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طلبية" sheetId="1" state="visible" r:id="rId1"/>
    <sheet name="التعليمات" sheetId="2" state="visible" r:id="rId2"/>
  </sheets>
  <definedNames>
    <definedName name="_xlnm.Print_Titles" localSheetId="0">'طلبية'!$11:$11</definedName>
    <definedName name="_xlnm.Print_Area" localSheetId="0">'طلبية'!$A$1:$I$51</definedName>
    <definedName name="_xlnm.Print_Area" localSheetId="1">'التعليمات'!$A$1:$B$22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###"/>
    <numFmt numFmtId="165" formatCode="0.000"/>
    <numFmt numFmtId="166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55555"/>
      <sz val="9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b val="1"/>
      <color rgb="00FFFFFF"/>
      <sz val="10"/>
    </font>
    <font>
      <name val="Arial"/>
      <color rgb="00000000"/>
      <sz val="11"/>
    </font>
    <font>
      <name val="Arial"/>
      <color rgb="00555555"/>
      <sz val="8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8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0F6E6E"/>
      </patternFill>
    </fill>
    <fill>
      <patternFill patternType="solid">
        <fgColor rgb="00EDEDE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5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applyProtection="1" pivotButton="0" quotePrefix="0" xfId="0">
      <alignment horizontal="right" vertical="center" wrapText="1"/>
      <protection locked="0" hidden="0"/>
    </xf>
    <xf numFmtId="164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5" fontId="8" fillId="7" borderId="1" applyAlignment="1" applyProtection="1" pivotButton="0" quotePrefix="0" xfId="0">
      <alignment horizontal="center" vertical="center" wrapText="1"/>
      <protection locked="0" hidden="0"/>
    </xf>
    <xf numFmtId="165" fontId="8" fillId="6" borderId="1" applyAlignment="1" pivotButton="0" quotePrefix="0" xfId="0">
      <alignment horizontal="center" vertical="center" wrapText="1"/>
    </xf>
    <xf numFmtId="166" fontId="8" fillId="7" borderId="1" applyAlignment="1" applyProtection="1" pivotButton="0" quotePrefix="0" xfId="0">
      <alignment horizontal="center" vertical="center" wrapText="1"/>
      <protection locked="0" hidden="0"/>
    </xf>
    <xf numFmtId="0" fontId="4" fillId="3" borderId="2" applyAlignment="1" pivotButton="0" quotePrefix="0" xfId="0">
      <alignment horizontal="right" vertical="center" wrapText="1"/>
    </xf>
    <xf numFmtId="0" fontId="0" fillId="0" borderId="2" pivotButton="0" quotePrefix="0" xfId="0"/>
    <xf numFmtId="165" fontId="6" fillId="6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name val="Arial"/>
        <b val="1"/>
        <color rgb="0017632A"/>
        <sz val="11"/>
      </font>
      <fill>
        <patternFill patternType="solid">
          <bgColor rgb="00D6F0D6"/>
        </patternFill>
      </fill>
    </dxf>
    <dxf>
      <font>
        <name val="Arial"/>
        <b val="1"/>
        <color rgb="00A11212"/>
        <sz val="11"/>
      </font>
      <fill>
        <patternFill patternType="solid">
          <bgColor rgb="00FBD5D5"/>
        </patternFill>
      </fill>
    </dxf>
    <dxf>
      <fill>
        <patternFill patternType="solid">
          <bgColor rgb="00FBD5D5"/>
        </patternFill>
      </fill>
    </dxf>
    <dxf>
      <fill>
        <patternFill patternType="solid">
          <bgColor rgb="00F0F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1"/>
  <sheetViews>
    <sheetView showGridLines="0" rightToLeft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8.5" customWidth="1" min="3" max="3"/>
    <col width="10" customWidth="1" min="4" max="4"/>
    <col width="12" customWidth="1" min="5" max="5"/>
    <col width="12" customWidth="1" min="6" max="6"/>
    <col width="12" customWidth="1" min="7" max="7"/>
    <col width="8" customWidth="1" min="8" max="8"/>
    <col width="22" customWidth="1" min="9" max="9"/>
  </cols>
  <sheetData>
    <row r="1" ht="30" customHeight="1">
      <c r="A1" s="1" t="inlineStr">
        <is>
          <t>نموذج طلبية ورشة — محلات العون لمواد البناء</t>
        </is>
      </c>
    </row>
    <row r="2" ht="16" customHeight="1">
      <c r="A2" s="2" t="inlineStr">
        <is>
          <t>تُملأ من ورقة الطلبية الأصلية / رسالة الواتساب — والأصل يُحفظ بنفس رقم الطلبية</t>
        </is>
      </c>
    </row>
    <row r="3" ht="22" customHeight="1">
      <c r="A3" s="3" t="inlineStr">
        <is>
          <t>اسم الورشة / المشروع</t>
        </is>
      </c>
      <c r="B3" s="4" t="n"/>
      <c r="C3" s="5" t="n"/>
      <c r="D3" s="5" t="n"/>
      <c r="E3" s="3" t="inlineStr">
        <is>
          <t>رقم الطلبية</t>
        </is>
      </c>
      <c r="F3" s="4" t="n"/>
      <c r="G3" s="3" t="inlineStr">
        <is>
          <t>تاريخ الطلبية</t>
        </is>
      </c>
      <c r="H3" s="4" t="n"/>
      <c r="I3" s="5" t="n"/>
    </row>
    <row r="4" ht="22" customHeight="1">
      <c r="A4" s="3" t="inlineStr">
        <is>
          <t>المهندس / المستلِم</t>
        </is>
      </c>
      <c r="B4" s="4" t="n"/>
      <c r="C4" s="5" t="n"/>
      <c r="D4" s="5" t="n"/>
      <c r="E4" s="3" t="inlineStr">
        <is>
          <t>مصدر الطلبية</t>
        </is>
      </c>
      <c r="F4" s="4" t="n"/>
      <c r="G4" s="3" t="inlineStr">
        <is>
          <t>صورة الأصل محفوظة؟</t>
        </is>
      </c>
      <c r="H4" s="4" t="n"/>
      <c r="I4" s="5" t="n"/>
    </row>
    <row r="5"/>
    <row r="6" ht="24" customHeight="1">
      <c r="A6" s="6" t="inlineStr">
        <is>
          <t>◆ ضوابط التدقيق — تُملأ من الورقة الأصلية قبل البدء بالإدخال ◆</t>
        </is>
      </c>
    </row>
    <row r="7" ht="24" customHeight="1">
      <c r="A7" s="3" t="inlineStr">
        <is>
          <t>عدد البنود حسب الأصل</t>
        </is>
      </c>
      <c r="B7" s="4" t="n"/>
      <c r="C7" s="3" t="inlineStr">
        <is>
          <t>المُدخَل فعلياً</t>
        </is>
      </c>
      <c r="D7" s="7">
        <f>COUNTA(B12:B46)</f>
        <v/>
      </c>
      <c r="E7" s="7">
        <f>IF(B7="","— اكتب عدد بنود الورقة أولاً",IF(D7=B7,"✅ مطابق — ما في بند ناقص",IF(D7&lt;B7,"⛔ ناقص "&amp;(B7-D7)&amp;" بند — راجع الورقة","⛔ زائد "&amp;(D7-B7)&amp;" بند — في بند مكرر")))</f>
        <v/>
      </c>
    </row>
    <row r="8" ht="24" customHeight="1">
      <c r="A8" s="3" t="inlineStr">
        <is>
          <t>مجموع الكميات حسب الأصل</t>
        </is>
      </c>
      <c r="B8" s="4" t="n"/>
      <c r="C8" s="3" t="inlineStr">
        <is>
          <t>المُدخَل فعلياً</t>
        </is>
      </c>
      <c r="D8" s="7">
        <f>SUM(C12:C46)</f>
        <v/>
      </c>
      <c r="E8" s="7">
        <f>IF(B8="","— اختياري (موصى به للطلبيات فوق 10 بنود)",IF(ROUND(D8,3)=ROUND(B8,3),"✅ مطابق","⛔ فرق "&amp;TEXT(D8-B8,"0.###")&amp;" — في كمية مكتوبة غلط"))</f>
        <v/>
      </c>
    </row>
    <row r="9" ht="24" customHeight="1">
      <c r="A9" s="3" t="inlineStr">
        <is>
          <t>البنود المدقَّقة ✔</t>
        </is>
      </c>
      <c r="B9" s="7">
        <f>COUNTIF(H12:H46,"✔")</f>
        <v/>
      </c>
      <c r="C9" s="3" t="inlineStr">
        <is>
          <t>الحالة النهائية</t>
        </is>
      </c>
      <c r="D9" s="8">
        <f>IF(D7=0,"⛔ ما في بنود مُدخلة",IF(B7="","⛔ ناقص: عدد البنود حسب الأصل",IF(D7&lt;&gt;B7,"⛔ عدد البنود مش مطابق",IF(B9&lt;D7,"⛔ باقي "&amp;(D7-B9)&amp;" بند بدون تدقيق","✅ جاهز للترحيل — ابعثها للأستاذ"))))</f>
        <v/>
      </c>
    </row>
    <row r="10"/>
    <row r="11" ht="34" customHeight="1">
      <c r="A11" s="9" t="inlineStr">
        <is>
          <t>#</t>
        </is>
      </c>
      <c r="B11" s="9" t="inlineStr">
        <is>
          <t>البند (كما طلع من المحل)</t>
        </is>
      </c>
      <c r="C11" s="9" t="inlineStr">
        <is>
          <t>الكمية</t>
        </is>
      </c>
      <c r="D11" s="9" t="inlineStr">
        <is>
          <t>الوحدة</t>
        </is>
      </c>
      <c r="E11" s="9" t="inlineStr">
        <is>
          <t>السعر الإفرادي</t>
        </is>
      </c>
      <c r="F11" s="9" t="inlineStr">
        <is>
          <t>المجموع</t>
        </is>
      </c>
      <c r="G11" s="9" t="inlineStr">
        <is>
          <t>تاريخ الإخراج</t>
        </is>
      </c>
      <c r="H11" s="9" t="inlineStr">
        <is>
          <t>✔ تدقيق</t>
        </is>
      </c>
      <c r="I11" s="9" t="inlineStr">
        <is>
          <t>ملاحظات</t>
        </is>
      </c>
    </row>
    <row r="12" ht="19" customHeight="1">
      <c r="A12" s="10">
        <f>IF(B12="","",ROW()-11)</f>
        <v/>
      </c>
      <c r="B12" s="11" t="n"/>
      <c r="C12" s="12" t="n"/>
      <c r="D12" s="13" t="n"/>
      <c r="E12" s="14" t="n"/>
      <c r="F12" s="15">
        <f>IF(OR(C12="",E12=""),"",C12*E12)</f>
        <v/>
      </c>
      <c r="G12" s="16" t="n"/>
      <c r="H12" s="13" t="n"/>
      <c r="I12" s="11" t="n"/>
    </row>
    <row r="13" ht="19" customHeight="1">
      <c r="A13" s="10">
        <f>IF(B13="","",ROW()-11)</f>
        <v/>
      </c>
      <c r="B13" s="11" t="n"/>
      <c r="C13" s="12" t="n"/>
      <c r="D13" s="13" t="n"/>
      <c r="E13" s="14" t="n"/>
      <c r="F13" s="15">
        <f>IF(OR(C13="",E13=""),"",C13*E13)</f>
        <v/>
      </c>
      <c r="G13" s="16" t="n"/>
      <c r="H13" s="13" t="n"/>
      <c r="I13" s="11" t="n"/>
    </row>
    <row r="14" ht="19" customHeight="1">
      <c r="A14" s="10">
        <f>IF(B14="","",ROW()-11)</f>
        <v/>
      </c>
      <c r="B14" s="11" t="n"/>
      <c r="C14" s="12" t="n"/>
      <c r="D14" s="13" t="n"/>
      <c r="E14" s="14" t="n"/>
      <c r="F14" s="15">
        <f>IF(OR(C14="",E14=""),"",C14*E14)</f>
        <v/>
      </c>
      <c r="G14" s="16" t="n"/>
      <c r="H14" s="13" t="n"/>
      <c r="I14" s="11" t="n"/>
    </row>
    <row r="15" ht="19" customHeight="1">
      <c r="A15" s="10">
        <f>IF(B15="","",ROW()-11)</f>
        <v/>
      </c>
      <c r="B15" s="11" t="n"/>
      <c r="C15" s="12" t="n"/>
      <c r="D15" s="13" t="n"/>
      <c r="E15" s="14" t="n"/>
      <c r="F15" s="15">
        <f>IF(OR(C15="",E15=""),"",C15*E15)</f>
        <v/>
      </c>
      <c r="G15" s="16" t="n"/>
      <c r="H15" s="13" t="n"/>
      <c r="I15" s="11" t="n"/>
    </row>
    <row r="16" ht="19" customHeight="1">
      <c r="A16" s="10">
        <f>IF(B16="","",ROW()-11)</f>
        <v/>
      </c>
      <c r="B16" s="11" t="n"/>
      <c r="C16" s="12" t="n"/>
      <c r="D16" s="13" t="n"/>
      <c r="E16" s="14" t="n"/>
      <c r="F16" s="15">
        <f>IF(OR(C16="",E16=""),"",C16*E16)</f>
        <v/>
      </c>
      <c r="G16" s="16" t="n"/>
      <c r="H16" s="13" t="n"/>
      <c r="I16" s="11" t="n"/>
    </row>
    <row r="17" ht="19" customHeight="1">
      <c r="A17" s="10">
        <f>IF(B17="","",ROW()-11)</f>
        <v/>
      </c>
      <c r="B17" s="11" t="n"/>
      <c r="C17" s="12" t="n"/>
      <c r="D17" s="13" t="n"/>
      <c r="E17" s="14" t="n"/>
      <c r="F17" s="15">
        <f>IF(OR(C17="",E17=""),"",C17*E17)</f>
        <v/>
      </c>
      <c r="G17" s="16" t="n"/>
      <c r="H17" s="13" t="n"/>
      <c r="I17" s="11" t="n"/>
    </row>
    <row r="18" ht="19" customHeight="1">
      <c r="A18" s="10">
        <f>IF(B18="","",ROW()-11)</f>
        <v/>
      </c>
      <c r="B18" s="11" t="n"/>
      <c r="C18" s="12" t="n"/>
      <c r="D18" s="13" t="n"/>
      <c r="E18" s="14" t="n"/>
      <c r="F18" s="15">
        <f>IF(OR(C18="",E18=""),"",C18*E18)</f>
        <v/>
      </c>
      <c r="G18" s="16" t="n"/>
      <c r="H18" s="13" t="n"/>
      <c r="I18" s="11" t="n"/>
    </row>
    <row r="19" ht="19" customHeight="1">
      <c r="A19" s="10">
        <f>IF(B19="","",ROW()-11)</f>
        <v/>
      </c>
      <c r="B19" s="11" t="n"/>
      <c r="C19" s="12" t="n"/>
      <c r="D19" s="13" t="n"/>
      <c r="E19" s="14" t="n"/>
      <c r="F19" s="15">
        <f>IF(OR(C19="",E19=""),"",C19*E19)</f>
        <v/>
      </c>
      <c r="G19" s="16" t="n"/>
      <c r="H19" s="13" t="n"/>
      <c r="I19" s="11" t="n"/>
    </row>
    <row r="20" ht="19" customHeight="1">
      <c r="A20" s="10">
        <f>IF(B20="","",ROW()-11)</f>
        <v/>
      </c>
      <c r="B20" s="11" t="n"/>
      <c r="C20" s="12" t="n"/>
      <c r="D20" s="13" t="n"/>
      <c r="E20" s="14" t="n"/>
      <c r="F20" s="15">
        <f>IF(OR(C20="",E20=""),"",C20*E20)</f>
        <v/>
      </c>
      <c r="G20" s="16" t="n"/>
      <c r="H20" s="13" t="n"/>
      <c r="I20" s="11" t="n"/>
    </row>
    <row r="21" ht="19" customHeight="1">
      <c r="A21" s="10">
        <f>IF(B21="","",ROW()-11)</f>
        <v/>
      </c>
      <c r="B21" s="11" t="n"/>
      <c r="C21" s="12" t="n"/>
      <c r="D21" s="13" t="n"/>
      <c r="E21" s="14" t="n"/>
      <c r="F21" s="15">
        <f>IF(OR(C21="",E21=""),"",C21*E21)</f>
        <v/>
      </c>
      <c r="G21" s="16" t="n"/>
      <c r="H21" s="13" t="n"/>
      <c r="I21" s="11" t="n"/>
    </row>
    <row r="22" ht="19" customHeight="1">
      <c r="A22" s="10">
        <f>IF(B22="","",ROW()-11)</f>
        <v/>
      </c>
      <c r="B22" s="11" t="n"/>
      <c r="C22" s="12" t="n"/>
      <c r="D22" s="13" t="n"/>
      <c r="E22" s="14" t="n"/>
      <c r="F22" s="15">
        <f>IF(OR(C22="",E22=""),"",C22*E22)</f>
        <v/>
      </c>
      <c r="G22" s="16" t="n"/>
      <c r="H22" s="13" t="n"/>
      <c r="I22" s="11" t="n"/>
    </row>
    <row r="23" ht="19" customHeight="1">
      <c r="A23" s="10">
        <f>IF(B23="","",ROW()-11)</f>
        <v/>
      </c>
      <c r="B23" s="11" t="n"/>
      <c r="C23" s="12" t="n"/>
      <c r="D23" s="13" t="n"/>
      <c r="E23" s="14" t="n"/>
      <c r="F23" s="15">
        <f>IF(OR(C23="",E23=""),"",C23*E23)</f>
        <v/>
      </c>
      <c r="G23" s="16" t="n"/>
      <c r="H23" s="13" t="n"/>
      <c r="I23" s="11" t="n"/>
    </row>
    <row r="24" ht="19" customHeight="1">
      <c r="A24" s="10">
        <f>IF(B24="","",ROW()-11)</f>
        <v/>
      </c>
      <c r="B24" s="11" t="n"/>
      <c r="C24" s="12" t="n"/>
      <c r="D24" s="13" t="n"/>
      <c r="E24" s="14" t="n"/>
      <c r="F24" s="15">
        <f>IF(OR(C24="",E24=""),"",C24*E24)</f>
        <v/>
      </c>
      <c r="G24" s="16" t="n"/>
      <c r="H24" s="13" t="n"/>
      <c r="I24" s="11" t="n"/>
    </row>
    <row r="25" ht="19" customHeight="1">
      <c r="A25" s="10">
        <f>IF(B25="","",ROW()-11)</f>
        <v/>
      </c>
      <c r="B25" s="11" t="n"/>
      <c r="C25" s="12" t="n"/>
      <c r="D25" s="13" t="n"/>
      <c r="E25" s="14" t="n"/>
      <c r="F25" s="15">
        <f>IF(OR(C25="",E25=""),"",C25*E25)</f>
        <v/>
      </c>
      <c r="G25" s="16" t="n"/>
      <c r="H25" s="13" t="n"/>
      <c r="I25" s="11" t="n"/>
    </row>
    <row r="26" ht="19" customHeight="1">
      <c r="A26" s="10">
        <f>IF(B26="","",ROW()-11)</f>
        <v/>
      </c>
      <c r="B26" s="11" t="n"/>
      <c r="C26" s="12" t="n"/>
      <c r="D26" s="13" t="n"/>
      <c r="E26" s="14" t="n"/>
      <c r="F26" s="15">
        <f>IF(OR(C26="",E26=""),"",C26*E26)</f>
        <v/>
      </c>
      <c r="G26" s="16" t="n"/>
      <c r="H26" s="13" t="n"/>
      <c r="I26" s="11" t="n"/>
    </row>
    <row r="27" ht="19" customHeight="1">
      <c r="A27" s="10">
        <f>IF(B27="","",ROW()-11)</f>
        <v/>
      </c>
      <c r="B27" s="11" t="n"/>
      <c r="C27" s="12" t="n"/>
      <c r="D27" s="13" t="n"/>
      <c r="E27" s="14" t="n"/>
      <c r="F27" s="15">
        <f>IF(OR(C27="",E27=""),"",C27*E27)</f>
        <v/>
      </c>
      <c r="G27" s="16" t="n"/>
      <c r="H27" s="13" t="n"/>
      <c r="I27" s="11" t="n"/>
    </row>
    <row r="28" ht="19" customHeight="1">
      <c r="A28" s="10">
        <f>IF(B28="","",ROW()-11)</f>
        <v/>
      </c>
      <c r="B28" s="11" t="n"/>
      <c r="C28" s="12" t="n"/>
      <c r="D28" s="13" t="n"/>
      <c r="E28" s="14" t="n"/>
      <c r="F28" s="15">
        <f>IF(OR(C28="",E28=""),"",C28*E28)</f>
        <v/>
      </c>
      <c r="G28" s="16" t="n"/>
      <c r="H28" s="13" t="n"/>
      <c r="I28" s="11" t="n"/>
    </row>
    <row r="29" ht="19" customHeight="1">
      <c r="A29" s="10">
        <f>IF(B29="","",ROW()-11)</f>
        <v/>
      </c>
      <c r="B29" s="11" t="n"/>
      <c r="C29" s="12" t="n"/>
      <c r="D29" s="13" t="n"/>
      <c r="E29" s="14" t="n"/>
      <c r="F29" s="15">
        <f>IF(OR(C29="",E29=""),"",C29*E29)</f>
        <v/>
      </c>
      <c r="G29" s="16" t="n"/>
      <c r="H29" s="13" t="n"/>
      <c r="I29" s="11" t="n"/>
    </row>
    <row r="30" ht="19" customHeight="1">
      <c r="A30" s="10">
        <f>IF(B30="","",ROW()-11)</f>
        <v/>
      </c>
      <c r="B30" s="11" t="n"/>
      <c r="C30" s="12" t="n"/>
      <c r="D30" s="13" t="n"/>
      <c r="E30" s="14" t="n"/>
      <c r="F30" s="15">
        <f>IF(OR(C30="",E30=""),"",C30*E30)</f>
        <v/>
      </c>
      <c r="G30" s="16" t="n"/>
      <c r="H30" s="13" t="n"/>
      <c r="I30" s="11" t="n"/>
    </row>
    <row r="31" ht="19" customHeight="1">
      <c r="A31" s="10">
        <f>IF(B31="","",ROW()-11)</f>
        <v/>
      </c>
      <c r="B31" s="11" t="n"/>
      <c r="C31" s="12" t="n"/>
      <c r="D31" s="13" t="n"/>
      <c r="E31" s="14" t="n"/>
      <c r="F31" s="15">
        <f>IF(OR(C31="",E31=""),"",C31*E31)</f>
        <v/>
      </c>
      <c r="G31" s="16" t="n"/>
      <c r="H31" s="13" t="n"/>
      <c r="I31" s="11" t="n"/>
    </row>
    <row r="32" ht="19" customHeight="1">
      <c r="A32" s="10">
        <f>IF(B32="","",ROW()-11)</f>
        <v/>
      </c>
      <c r="B32" s="11" t="n"/>
      <c r="C32" s="12" t="n"/>
      <c r="D32" s="13" t="n"/>
      <c r="E32" s="14" t="n"/>
      <c r="F32" s="15">
        <f>IF(OR(C32="",E32=""),"",C32*E32)</f>
        <v/>
      </c>
      <c r="G32" s="16" t="n"/>
      <c r="H32" s="13" t="n"/>
      <c r="I32" s="11" t="n"/>
    </row>
    <row r="33" ht="19" customHeight="1">
      <c r="A33" s="10">
        <f>IF(B33="","",ROW()-11)</f>
        <v/>
      </c>
      <c r="B33" s="11" t="n"/>
      <c r="C33" s="12" t="n"/>
      <c r="D33" s="13" t="n"/>
      <c r="E33" s="14" t="n"/>
      <c r="F33" s="15">
        <f>IF(OR(C33="",E33=""),"",C33*E33)</f>
        <v/>
      </c>
      <c r="G33" s="16" t="n"/>
      <c r="H33" s="13" t="n"/>
      <c r="I33" s="11" t="n"/>
    </row>
    <row r="34" ht="19" customHeight="1">
      <c r="A34" s="10">
        <f>IF(B34="","",ROW()-11)</f>
        <v/>
      </c>
      <c r="B34" s="11" t="n"/>
      <c r="C34" s="12" t="n"/>
      <c r="D34" s="13" t="n"/>
      <c r="E34" s="14" t="n"/>
      <c r="F34" s="15">
        <f>IF(OR(C34="",E34=""),"",C34*E34)</f>
        <v/>
      </c>
      <c r="G34" s="16" t="n"/>
      <c r="H34" s="13" t="n"/>
      <c r="I34" s="11" t="n"/>
    </row>
    <row r="35" ht="19" customHeight="1">
      <c r="A35" s="10">
        <f>IF(B35="","",ROW()-11)</f>
        <v/>
      </c>
      <c r="B35" s="11" t="n"/>
      <c r="C35" s="12" t="n"/>
      <c r="D35" s="13" t="n"/>
      <c r="E35" s="14" t="n"/>
      <c r="F35" s="15">
        <f>IF(OR(C35="",E35=""),"",C35*E35)</f>
        <v/>
      </c>
      <c r="G35" s="16" t="n"/>
      <c r="H35" s="13" t="n"/>
      <c r="I35" s="11" t="n"/>
    </row>
    <row r="36" ht="19" customHeight="1">
      <c r="A36" s="10">
        <f>IF(B36="","",ROW()-11)</f>
        <v/>
      </c>
      <c r="B36" s="11" t="n"/>
      <c r="C36" s="12" t="n"/>
      <c r="D36" s="13" t="n"/>
      <c r="E36" s="14" t="n"/>
      <c r="F36" s="15">
        <f>IF(OR(C36="",E36=""),"",C36*E36)</f>
        <v/>
      </c>
      <c r="G36" s="16" t="n"/>
      <c r="H36" s="13" t="n"/>
      <c r="I36" s="11" t="n"/>
    </row>
    <row r="37" ht="19" customHeight="1">
      <c r="A37" s="10">
        <f>IF(B37="","",ROW()-11)</f>
        <v/>
      </c>
      <c r="B37" s="11" t="n"/>
      <c r="C37" s="12" t="n"/>
      <c r="D37" s="13" t="n"/>
      <c r="E37" s="14" t="n"/>
      <c r="F37" s="15">
        <f>IF(OR(C37="",E37=""),"",C37*E37)</f>
        <v/>
      </c>
      <c r="G37" s="16" t="n"/>
      <c r="H37" s="13" t="n"/>
      <c r="I37" s="11" t="n"/>
    </row>
    <row r="38" ht="19" customHeight="1">
      <c r="A38" s="10">
        <f>IF(B38="","",ROW()-11)</f>
        <v/>
      </c>
      <c r="B38" s="11" t="n"/>
      <c r="C38" s="12" t="n"/>
      <c r="D38" s="13" t="n"/>
      <c r="E38" s="14" t="n"/>
      <c r="F38" s="15">
        <f>IF(OR(C38="",E38=""),"",C38*E38)</f>
        <v/>
      </c>
      <c r="G38" s="16" t="n"/>
      <c r="H38" s="13" t="n"/>
      <c r="I38" s="11" t="n"/>
    </row>
    <row r="39" ht="19" customHeight="1">
      <c r="A39" s="10">
        <f>IF(B39="","",ROW()-11)</f>
        <v/>
      </c>
      <c r="B39" s="11" t="n"/>
      <c r="C39" s="12" t="n"/>
      <c r="D39" s="13" t="n"/>
      <c r="E39" s="14" t="n"/>
      <c r="F39" s="15">
        <f>IF(OR(C39="",E39=""),"",C39*E39)</f>
        <v/>
      </c>
      <c r="G39" s="16" t="n"/>
      <c r="H39" s="13" t="n"/>
      <c r="I39" s="11" t="n"/>
    </row>
    <row r="40" ht="19" customHeight="1">
      <c r="A40" s="10">
        <f>IF(B40="","",ROW()-11)</f>
        <v/>
      </c>
      <c r="B40" s="11" t="n"/>
      <c r="C40" s="12" t="n"/>
      <c r="D40" s="13" t="n"/>
      <c r="E40" s="14" t="n"/>
      <c r="F40" s="15">
        <f>IF(OR(C40="",E40=""),"",C40*E40)</f>
        <v/>
      </c>
      <c r="G40" s="16" t="n"/>
      <c r="H40" s="13" t="n"/>
      <c r="I40" s="11" t="n"/>
    </row>
    <row r="41" ht="19" customHeight="1">
      <c r="A41" s="10">
        <f>IF(B41="","",ROW()-11)</f>
        <v/>
      </c>
      <c r="B41" s="11" t="n"/>
      <c r="C41" s="12" t="n"/>
      <c r="D41" s="13" t="n"/>
      <c r="E41" s="14" t="n"/>
      <c r="F41" s="15">
        <f>IF(OR(C41="",E41=""),"",C41*E41)</f>
        <v/>
      </c>
      <c r="G41" s="16" t="n"/>
      <c r="H41" s="13" t="n"/>
      <c r="I41" s="11" t="n"/>
    </row>
    <row r="42" ht="19" customHeight="1">
      <c r="A42" s="10">
        <f>IF(B42="","",ROW()-11)</f>
        <v/>
      </c>
      <c r="B42" s="11" t="n"/>
      <c r="C42" s="12" t="n"/>
      <c r="D42" s="13" t="n"/>
      <c r="E42" s="14" t="n"/>
      <c r="F42" s="15">
        <f>IF(OR(C42="",E42=""),"",C42*E42)</f>
        <v/>
      </c>
      <c r="G42" s="16" t="n"/>
      <c r="H42" s="13" t="n"/>
      <c r="I42" s="11" t="n"/>
    </row>
    <row r="43" ht="19" customHeight="1">
      <c r="A43" s="10">
        <f>IF(B43="","",ROW()-11)</f>
        <v/>
      </c>
      <c r="B43" s="11" t="n"/>
      <c r="C43" s="12" t="n"/>
      <c r="D43" s="13" t="n"/>
      <c r="E43" s="14" t="n"/>
      <c r="F43" s="15">
        <f>IF(OR(C43="",E43=""),"",C43*E43)</f>
        <v/>
      </c>
      <c r="G43" s="16" t="n"/>
      <c r="H43" s="13" t="n"/>
      <c r="I43" s="11" t="n"/>
    </row>
    <row r="44" ht="19" customHeight="1">
      <c r="A44" s="10">
        <f>IF(B44="","",ROW()-11)</f>
        <v/>
      </c>
      <c r="B44" s="11" t="n"/>
      <c r="C44" s="12" t="n"/>
      <c r="D44" s="13" t="n"/>
      <c r="E44" s="14" t="n"/>
      <c r="F44" s="15">
        <f>IF(OR(C44="",E44=""),"",C44*E44)</f>
        <v/>
      </c>
      <c r="G44" s="16" t="n"/>
      <c r="H44" s="13" t="n"/>
      <c r="I44" s="11" t="n"/>
    </row>
    <row r="45" ht="19" customHeight="1">
      <c r="A45" s="10">
        <f>IF(B45="","",ROW()-11)</f>
        <v/>
      </c>
      <c r="B45" s="11" t="n"/>
      <c r="C45" s="12" t="n"/>
      <c r="D45" s="13" t="n"/>
      <c r="E45" s="14" t="n"/>
      <c r="F45" s="15">
        <f>IF(OR(C45="",E45=""),"",C45*E45)</f>
        <v/>
      </c>
      <c r="G45" s="16" t="n"/>
      <c r="H45" s="13" t="n"/>
      <c r="I45" s="11" t="n"/>
    </row>
    <row r="46" ht="19" customHeight="1">
      <c r="A46" s="10">
        <f>IF(B46="","",ROW()-11)</f>
        <v/>
      </c>
      <c r="B46" s="11" t="n"/>
      <c r="C46" s="12" t="n"/>
      <c r="D46" s="13" t="n"/>
      <c r="E46" s="14" t="n"/>
      <c r="F46" s="15">
        <f>IF(OR(C46="",E46=""),"",C46*E46)</f>
        <v/>
      </c>
      <c r="G46" s="16" t="n"/>
      <c r="H46" s="13" t="n"/>
      <c r="I46" s="11" t="n"/>
    </row>
    <row r="47" ht="26" customHeight="1">
      <c r="A47" s="17" t="inlineStr">
        <is>
          <t>المجموع الكلي للبنود المسعَّرة (د.أ)</t>
        </is>
      </c>
      <c r="B47" s="18" t="n"/>
      <c r="C47" s="18" t="n"/>
      <c r="D47" s="18" t="n"/>
      <c r="E47" s="18" t="n"/>
      <c r="F47" s="19">
        <f>SUM(F12:F46)</f>
        <v/>
      </c>
      <c r="G47" s="20" t="inlineStr">
        <is>
          <t>البنود بدون سعر تُسعَّر من الكتالوج</t>
        </is>
      </c>
      <c r="H47" s="18" t="n"/>
      <c r="I47" s="18" t="n"/>
    </row>
    <row r="48"/>
    <row r="49" ht="22" customHeight="1">
      <c r="A49" s="21" t="inlineStr">
        <is>
          <t>لا تُرسَل الطلبية إلا والحالة النهائية خضراء ✅</t>
        </is>
      </c>
    </row>
    <row r="50" ht="26" customHeight="1">
      <c r="A50" s="3" t="inlineStr">
        <is>
          <t>أدخلها (الموظف)</t>
        </is>
      </c>
      <c r="B50" s="4" t="n"/>
      <c r="C50" s="5" t="n"/>
      <c r="D50" s="3" t="inlineStr">
        <is>
          <t>التاريخ</t>
        </is>
      </c>
      <c r="E50" s="4" t="n"/>
      <c r="F50" s="3" t="inlineStr">
        <is>
          <t>التوقيع</t>
        </is>
      </c>
      <c r="G50" s="4" t="n"/>
      <c r="H50" s="22" t="inlineStr">
        <is>
          <t>قرأ الورقة وأدخلها بند بند</t>
        </is>
      </c>
    </row>
    <row r="51" ht="26" customHeight="1">
      <c r="A51" s="3" t="inlineStr">
        <is>
          <t>دقّقها (أبو علي)</t>
        </is>
      </c>
      <c r="B51" s="4" t="n"/>
      <c r="C51" s="5" t="n"/>
      <c r="D51" s="3" t="inlineStr">
        <is>
          <t>التاريخ</t>
        </is>
      </c>
      <c r="E51" s="4" t="n"/>
      <c r="F51" s="3" t="inlineStr">
        <is>
          <t>التوقيع</t>
        </is>
      </c>
      <c r="G51" s="4" t="n"/>
      <c r="H51" s="22" t="inlineStr">
        <is>
          <t>قارَنها بالورقة الأصلية بنداً وكميةً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7">
    <mergeCell ref="G47:I47"/>
    <mergeCell ref="B3:D3"/>
    <mergeCell ref="A2:I2"/>
    <mergeCell ref="E7:I7"/>
    <mergeCell ref="A49:I49"/>
    <mergeCell ref="B51:C51"/>
    <mergeCell ref="B4:D4"/>
    <mergeCell ref="A1:I1"/>
    <mergeCell ref="D9:I9"/>
    <mergeCell ref="A47:E47"/>
    <mergeCell ref="H51:I51"/>
    <mergeCell ref="B50:C50"/>
    <mergeCell ref="H4:I4"/>
    <mergeCell ref="A6:I6"/>
    <mergeCell ref="H50:I50"/>
    <mergeCell ref="E8:I8"/>
    <mergeCell ref="H3:I3"/>
  </mergeCells>
  <conditionalFormatting sqref="E7">
    <cfRule type="expression" priority="1" dxfId="0">
      <formula>LEFT(E7,1)="✅"</formula>
    </cfRule>
    <cfRule type="expression" priority="2" dxfId="1">
      <formula>LEFT(E7,1)="⛔"</formula>
    </cfRule>
  </conditionalFormatting>
  <conditionalFormatting sqref="E8">
    <cfRule type="expression" priority="3" dxfId="0">
      <formula>LEFT(E8,1)="✅"</formula>
    </cfRule>
    <cfRule type="expression" priority="4" dxfId="1">
      <formula>LEFT(E8,1)="⛔"</formula>
    </cfRule>
  </conditionalFormatting>
  <conditionalFormatting sqref="D9">
    <cfRule type="expression" priority="5" dxfId="0">
      <formula>LEFT(D9,1)="✅"</formula>
    </cfRule>
    <cfRule type="expression" priority="6" dxfId="1">
      <formula>LEFT(D9,1)="⛔"</formula>
    </cfRule>
  </conditionalFormatting>
  <conditionalFormatting sqref="C12:C46">
    <cfRule type="expression" priority="7" dxfId="2">
      <formula>AND($B12&lt;&gt;"",$C12="")</formula>
    </cfRule>
  </conditionalFormatting>
  <conditionalFormatting sqref="G12:G46">
    <cfRule type="expression" priority="8" dxfId="2">
      <formula>AND($B12&lt;&gt;"",$G12="")</formula>
    </cfRule>
  </conditionalFormatting>
  <conditionalFormatting sqref="A12:I46">
    <cfRule type="expression" priority="9" dxfId="3">
      <formula>$H12="✔"</formula>
    </cfRule>
  </conditionalFormatting>
  <dataValidations count="5">
    <dataValidation sqref="D12:D46" showDropDown="0" showInputMessage="0" showErrorMessage="0" allowBlank="1" type="list">
      <formula1>"حبة,ربطة,جوز,لفة,باكيت,شوال,درم,جالون,طقم,عبوة,متر,كغم,لتر,طن"</formula1>
    </dataValidation>
    <dataValidation sqref="H12:H46" showDropDown="0" showInputMessage="0" showErrorMessage="0" allowBlank="1" type="list">
      <formula1>"✔"</formula1>
    </dataValidation>
    <dataValidation sqref="F4" showDropDown="0" showInputMessage="0" showErrorMessage="0" allowBlank="1" type="list">
      <formula1>"ورقة مكتوبة,واتساب,هاتف"</formula1>
    </dataValidation>
    <dataValidation sqref="H4" showDropDown="0" showInputMessage="0" showErrorMessage="0" allowBlank="1" type="list">
      <formula1>"نعم,لا"</formula1>
    </dataValidation>
    <dataValidation sqref="C12:C46" showDropDown="0" showInputMessage="0" showErrorMessage="1" allowBlank="1" errorTitle="كمية غير صحيحة" error="الكمية لازم تكون رقم فقط. الوحدة (ربطة/جوز/متر) تُكتب بخانة الوحدة." type="decimal" operator="greaterThan">
      <formula1>0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 ht="32" customHeight="1">
      <c r="A1" s="1" t="inlineStr">
        <is>
          <t>طريقة العمل — نموذج طلبية الورشة</t>
        </is>
      </c>
    </row>
    <row r="3" ht="24" customHeight="1">
      <c r="A3" s="23" t="inlineStr">
        <is>
          <t>أولاً — الموظف اللي بطلّع البضاعة</t>
        </is>
      </c>
    </row>
    <row r="4" ht="30" customHeight="1">
      <c r="A4" s="24" t="inlineStr">
        <is>
          <t>1</t>
        </is>
      </c>
      <c r="B4" s="25" t="inlineStr">
        <is>
          <t>كل طلبية إلها رقم متسلسل. اكتب الرقم على الورقة نفسها قبل أي شي، وافتح ورقة جديدة بالإكسل بنفس الرقم.</t>
        </is>
      </c>
    </row>
    <row r="5" ht="46" customHeight="1">
      <c r="A5" s="24" t="inlineStr">
        <is>
          <t>2</t>
        </is>
      </c>
      <c r="B5" s="25" t="inlineStr">
        <is>
          <t>قبل ما تبلّش الإدخال: عُدّ بنود الورقة واكتب العدد بخانة «عدد البنود حسب الأصل». هاي أهم خانة بالنموذج كله.</t>
        </is>
      </c>
    </row>
    <row r="6" ht="30" customHeight="1">
      <c r="A6" s="24" t="inlineStr">
        <is>
          <t>3</t>
        </is>
      </c>
      <c r="B6" s="25" t="inlineStr">
        <is>
          <t>أدخل البنود بند بند. وكل بند بتدخله — اشطبه بالقلم على الورقة. أي بند بضل بدون شطب = بند نسيته.</t>
        </is>
      </c>
    </row>
    <row r="7" ht="30" customHeight="1">
      <c r="A7" s="24" t="inlineStr">
        <is>
          <t>4</t>
        </is>
      </c>
      <c r="B7" s="25" t="inlineStr">
        <is>
          <t>الكمية رقم فقط. «2 ربطة» تُكتب: الكمية 2 والوحدة «ربطة». لا تكتب الوحدة جوا خانة الكمية.</t>
        </is>
      </c>
    </row>
    <row r="8" ht="30" customHeight="1">
      <c r="A8" s="24" t="inlineStr">
        <is>
          <t>5</t>
        </is>
      </c>
      <c r="B8" s="25" t="inlineStr">
        <is>
          <t>تاريخ الإخراج إلزامي لكل بند — كل تاريخ بصير فاتورة لحاله بالنظام.</t>
        </is>
      </c>
    </row>
    <row r="9" ht="30" customHeight="1">
      <c r="A9" s="24" t="inlineStr">
        <is>
          <t>6</t>
        </is>
      </c>
      <c r="B9" s="25" t="inlineStr">
        <is>
          <t>السعر الإفرادي: إذا المهندس اتفق مع المقاول على سعر، اكتبه هون مباشرة. إذا تركته فاضي بنسعّره من الكتالوج.</t>
        </is>
      </c>
    </row>
    <row r="10" ht="30" customHeight="1">
      <c r="A10" s="24" t="inlineStr">
        <is>
          <t>7</t>
        </is>
      </c>
      <c r="B10" s="25" t="inlineStr">
        <is>
          <t>صوّر الورقة الأصلية واحفظها بنفس رقم الطلبية، وحطّ «نعم» بخانة «صورة الأصل محفوظة».</t>
        </is>
      </c>
    </row>
    <row r="11" ht="24" customHeight="1">
      <c r="A11" s="23" t="inlineStr">
        <is>
          <t>ثانياً — التدقيق (أبو علي)</t>
        </is>
      </c>
    </row>
    <row r="12" ht="30" customHeight="1">
      <c r="A12" s="24" t="inlineStr">
        <is>
          <t>8</t>
        </is>
      </c>
      <c r="B12" s="25" t="inlineStr">
        <is>
          <t>التدقيق بصير من الورقة الأصلية، مش من الشاشة. امسك الورقة واقرأ منها، وقارن كل سطر بالإكسل.</t>
        </is>
      </c>
    </row>
    <row r="13" ht="30" customHeight="1">
      <c r="A13" s="24" t="inlineStr">
        <is>
          <t>9</t>
        </is>
      </c>
      <c r="B13" s="25" t="inlineStr">
        <is>
          <t>لكل بند تتأكد منه (الاسم صح + الكمية صح) حُطّ ✔ بخانة التدقيق.</t>
        </is>
      </c>
    </row>
    <row r="14" ht="30" customHeight="1">
      <c r="A14" s="24" t="inlineStr">
        <is>
          <t>10</t>
        </is>
      </c>
      <c r="B14" s="25" t="inlineStr">
        <is>
          <t>العدّاد فوق بيعدّ لحالو. ما بتصير الحالة خضراء إلا لما كل بند يتدقّق وعدد البنود يطابق الورقة.</t>
        </is>
      </c>
    </row>
    <row r="15" ht="30" customHeight="1">
      <c r="A15" s="24" t="inlineStr">
        <is>
          <t>11</t>
        </is>
      </c>
      <c r="B15" s="25" t="inlineStr">
        <is>
          <t>وقّع بخانة «دقّقها» وبعدين ابعث الملف + صورة الورقة للأستاذ.</t>
        </is>
      </c>
    </row>
    <row r="16" ht="24" customHeight="1">
      <c r="A16" s="23" t="inlineStr">
        <is>
          <t>الضوابط المدمجة بالنموذج</t>
        </is>
      </c>
    </row>
    <row r="17" ht="30" customHeight="1">
      <c r="A17" s="24" t="inlineStr">
        <is>
          <t>•</t>
        </is>
      </c>
      <c r="B17" s="25" t="inlineStr">
        <is>
          <t>«عدد البنود حسب الأصل» ≠ عدد البنود المُدخلة ← بطلع ⛔ أحمر ويقلك كم بند ناقص.</t>
        </is>
      </c>
    </row>
    <row r="18" ht="30" customHeight="1">
      <c r="A18" s="24" t="inlineStr">
        <is>
          <t>•</t>
        </is>
      </c>
      <c r="B18" s="25" t="inlineStr">
        <is>
          <t>«مجموع الكميات» (اختياري، موصى به فوق 10 بنود) ← بيمسك الكمية المكتوبة غلط (5 بدل 50).</t>
        </is>
      </c>
    </row>
    <row r="19" ht="30" customHeight="1">
      <c r="A19" s="24" t="inlineStr">
        <is>
          <t>•</t>
        </is>
      </c>
      <c r="B19" s="25" t="inlineStr">
        <is>
          <t>بند مكتوب بدون كمية أو بدون تاريخ ← الخانة بتصير حمرا.</t>
        </is>
      </c>
    </row>
    <row r="20" ht="30" customHeight="1">
      <c r="A20" s="24" t="inlineStr">
        <is>
          <t>•</t>
        </is>
      </c>
      <c r="B20" s="25" t="inlineStr">
        <is>
          <t>الخانات الرمادية محسوبة تلقائياً ومقفلة — لا تحاول تعدّلها.</t>
        </is>
      </c>
    </row>
    <row r="21" ht="24" customHeight="1">
      <c r="A21" s="23" t="inlineStr">
        <is>
          <t>الفكرة باختصار</t>
        </is>
      </c>
    </row>
    <row r="22" ht="46" customHeight="1">
      <c r="A22" s="24" t="inlineStr">
        <is>
          <t>◆</t>
        </is>
      </c>
      <c r="B22" s="25" t="inlineStr">
        <is>
          <t>البند المنسي ما بيترك أثر على الإكسل — عشان هيك التدقيق لازم يكون مقابل الورقة الأصلية، وعشان هيك في شطب بالقلم على الورقة + عدّ مسبق للبنود + شخص تاني بقرأ من الأصل. كل ضابط منهم بمسك الشي اللي الثاني بفوّته.</t>
        </is>
      </c>
    </row>
  </sheetData>
  <mergeCells count="5">
    <mergeCell ref="A21:B21"/>
    <mergeCell ref="A16:B16"/>
    <mergeCell ref="A11:B11"/>
    <mergeCell ref="A1:B1"/>
    <mergeCell ref="A3:B3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2026-09-19T07:23:34Z</dcterms:created>
  <dcterms:modified xsi:type="dcterms:W3CDTF">2026-09-19T07:23:34Z</dcterms:modified>
</cp:coreProperties>
</file>