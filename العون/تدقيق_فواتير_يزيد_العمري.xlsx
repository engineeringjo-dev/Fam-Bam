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تعليمات" sheetId="1" state="visible" r:id="rId1"/>
    <sheet name="الفواتير" sheetId="2" state="visible" r:id="rId2"/>
    <sheet name="البنو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sz val="14"/>
    </font>
    <font>
      <name val="Arial"/>
      <b val="1"/>
      <color rgb="00FFFFFF"/>
      <sz val="11"/>
    </font>
    <font>
      <name val="Arial"/>
      <color rgb="00777777"/>
      <sz val="9"/>
    </font>
  </fonts>
  <fills count="6">
    <fill>
      <patternFill/>
    </fill>
    <fill>
      <patternFill patternType="gray125"/>
    </fill>
    <fill>
      <patternFill patternType="solid">
        <fgColor rgb="004A5D73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 vertical="center" wrapText="1"/>
    </xf>
    <xf numFmtId="0" fontId="4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 wrapText="1"/>
    </xf>
    <xf numFmtId="164" fontId="5" fillId="4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كشف تدقيق فواتير يزيد العمري</t>
        </is>
      </c>
    </row>
    <row r="2">
      <c r="A2" s="2" t="inlineStr">
        <is>
          <t>محلات العون لمواد البناء — 18/09/2026</t>
        </is>
      </c>
    </row>
    <row r="4">
      <c r="A4" s="2" t="inlineStr">
        <is>
          <t>الخانات الصفراء هي الوحيدة الي بتعبّيها. باقي الأعمدة للقراءة بس.</t>
        </is>
      </c>
    </row>
    <row r="6">
      <c r="A6" s="3" t="inlineStr">
        <is>
          <t>ورقة «البنود» — سطر لكل بند</t>
        </is>
      </c>
    </row>
    <row r="7">
      <c r="A7" s="2" t="inlineStr">
        <is>
          <t>التاريخ الصحيح</t>
        </is>
      </c>
      <c r="B7" s="4" t="inlineStr">
        <is>
          <t>اكتب التاريخ الصح لو تاريخ الفاتورة غلط (يوم/شهر/سنة). اتركه فاضي لو التاريخ مضبوط.</t>
        </is>
      </c>
    </row>
    <row r="8">
      <c r="A8" s="2" t="inlineStr">
        <is>
          <t>الكمية الصحيحة</t>
        </is>
      </c>
      <c r="B8" s="4" t="inlineStr">
        <is>
          <t>اكتب الكمية الصح لو مختلفة. اتركها فاضية لو مضبوطة.</t>
        </is>
      </c>
    </row>
    <row r="9">
      <c r="A9" s="2" t="inlineStr">
        <is>
          <t>السعر الصحيح</t>
        </is>
      </c>
      <c r="B9" s="4" t="inlineStr">
        <is>
          <t>اكتب سعر الحبة الصح لو مختلف. اتركه فاضي لو مضبوط.</t>
        </is>
      </c>
    </row>
    <row r="10">
      <c r="A10" s="2" t="inlineStr">
        <is>
          <t>احذف؟</t>
        </is>
      </c>
      <c r="B10" s="4" t="inlineStr">
        <is>
          <t>اكتب «نعم» لو البند مش موجود بالفاتورة الأصلية ولازم ينشال.</t>
        </is>
      </c>
    </row>
    <row r="11">
      <c r="A11" s="2" t="inlineStr">
        <is>
          <t>مدقّق؟</t>
        </is>
      </c>
      <c r="B11" s="4" t="inlineStr">
        <is>
          <t>اكتب «نعم» لما تتأكد إن البند صحيح ١٠٠٪.</t>
        </is>
      </c>
    </row>
    <row r="12">
      <c r="A12" s="2" t="inlineStr">
        <is>
          <t>ملاحظات</t>
        </is>
      </c>
      <c r="B12" s="4" t="inlineStr">
        <is>
          <t>أي إشي بدك تقوله عن البند — اسم الصنف غلط، بند ناقص، إلخ.</t>
        </is>
      </c>
    </row>
    <row r="14">
      <c r="A14" s="3" t="inlineStr">
        <is>
          <t>ورقة «الفواتير» — سطر لكل فاتورة</t>
        </is>
      </c>
    </row>
    <row r="15">
      <c r="A15" s="2" t="inlineStr">
        <is>
          <t>التاريخ الصحيح</t>
        </is>
      </c>
      <c r="B15" s="4" t="inlineStr">
        <is>
          <t>لو بدك تصحّح تاريخ الفاتورة كلها من مكان واحد.</t>
        </is>
      </c>
    </row>
    <row r="16">
      <c r="A16" s="2" t="inlineStr">
        <is>
          <t>مدقّقة؟</t>
        </is>
      </c>
      <c r="B16" s="4" t="inlineStr">
        <is>
          <t>اكتب «نعم» لما تخلّص كل بنود الفاتورة.</t>
        </is>
      </c>
    </row>
    <row r="17">
      <c r="A17" s="2" t="inlineStr">
        <is>
          <t>بنود ناقصة</t>
        </is>
      </c>
      <c r="B17" s="4" t="inlineStr">
        <is>
          <t>اكتب البنود الي بالورقة ومش بأودو: الاسم × الكمية @ السعر</t>
        </is>
      </c>
    </row>
    <row r="18">
      <c r="A18" s="2" t="inlineStr">
        <is>
          <t>ملاحظات</t>
        </is>
      </c>
      <c r="B18" s="4" t="inlineStr">
        <is>
          <t>أي إشي عن الفاتورة ككل.</t>
        </is>
      </c>
    </row>
    <row r="20">
      <c r="A20" s="3" t="inlineStr">
        <is>
          <t>مهم</t>
        </is>
      </c>
    </row>
    <row r="21">
      <c r="A21" s="2" t="inlineStr">
        <is>
          <t>لا تغيّر عمود «المعرّف» — هو الي بربط فيه البند بأودو.</t>
        </is>
      </c>
    </row>
    <row r="22">
      <c r="A22" s="2" t="inlineStr">
        <is>
          <t>عمود «الإجمالي الجديد» بينحسب لحاله لما تكتب كمية أو سعر.</t>
        </is>
      </c>
    </row>
    <row r="23">
      <c r="A23" s="2" t="inlineStr">
        <is>
          <t>لما تخلّص ابعتلي الملف وبنفّذ كل التعديلات دفعة وحدة.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5" customWidth="1" min="4" max="4"/>
    <col width="11" customWidth="1" min="5" max="5"/>
    <col width="15" customWidth="1" min="6" max="6"/>
    <col width="16" customWidth="1" min="7" max="7"/>
    <col width="11" customWidth="1" min="8" max="8"/>
    <col width="42" customWidth="1" min="9" max="9"/>
    <col width="34" customWidth="1" min="10" max="10"/>
  </cols>
  <sheetData>
    <row r="1">
      <c r="A1" s="5" t="inlineStr">
        <is>
          <t>المعرّف</t>
        </is>
      </c>
      <c r="B1" s="5" t="inlineStr">
        <is>
          <t>رقم الفاتورة</t>
        </is>
      </c>
      <c r="C1" s="5" t="inlineStr">
        <is>
          <t>النوع</t>
        </is>
      </c>
      <c r="D1" s="5" t="inlineStr">
        <is>
          <t>التاريخ بأودو</t>
        </is>
      </c>
      <c r="E1" s="5" t="inlineStr">
        <is>
          <t>عدد البنود</t>
        </is>
      </c>
      <c r="F1" s="5" t="inlineStr">
        <is>
          <t>المجموع بأودو</t>
        </is>
      </c>
      <c r="G1" s="5" t="inlineStr">
        <is>
          <t>التاريخ الصحيح</t>
        </is>
      </c>
      <c r="H1" s="5" t="inlineStr">
        <is>
          <t>مدقّقة؟</t>
        </is>
      </c>
      <c r="I1" s="5" t="inlineStr">
        <is>
          <t>بنود ناقصة</t>
        </is>
      </c>
      <c r="J1" s="5" t="inlineStr">
        <is>
          <t>ملاحظات</t>
        </is>
      </c>
    </row>
    <row r="2">
      <c r="A2" s="6" t="n">
        <v>84</v>
      </c>
      <c r="B2" s="7" t="inlineStr">
        <is>
          <t>INV/2024/00001</t>
        </is>
      </c>
      <c r="C2" s="6" t="inlineStr">
        <is>
          <t>فاتورة</t>
        </is>
      </c>
      <c r="D2" s="6" t="inlineStr">
        <is>
          <t>2024-04-13</t>
        </is>
      </c>
      <c r="E2" s="6" t="n">
        <v>9</v>
      </c>
      <c r="F2" s="8" t="n">
        <v>94.95</v>
      </c>
      <c r="G2" s="9" t="n"/>
      <c r="H2" s="9" t="n"/>
      <c r="I2" s="10" t="n"/>
      <c r="J2" s="10" t="n"/>
    </row>
    <row r="3">
      <c r="A3" s="6" t="n">
        <v>141</v>
      </c>
      <c r="B3" s="7" t="inlineStr">
        <is>
          <t>INV/2024/00020</t>
        </is>
      </c>
      <c r="C3" s="6" t="inlineStr">
        <is>
          <t>فاتورة</t>
        </is>
      </c>
      <c r="D3" s="6" t="inlineStr">
        <is>
          <t>2024-04-18</t>
        </is>
      </c>
      <c r="E3" s="6" t="n">
        <v>1</v>
      </c>
      <c r="F3" s="8" t="n">
        <v>26</v>
      </c>
      <c r="G3" s="9" t="n"/>
      <c r="H3" s="9" t="n"/>
      <c r="I3" s="10" t="n"/>
      <c r="J3" s="10" t="n"/>
    </row>
    <row r="4">
      <c r="A4" s="6" t="n">
        <v>86</v>
      </c>
      <c r="B4" s="7" t="inlineStr">
        <is>
          <t>INV/2024/00003</t>
        </is>
      </c>
      <c r="C4" s="6" t="inlineStr">
        <is>
          <t>فاتورة</t>
        </is>
      </c>
      <c r="D4" s="6" t="inlineStr">
        <is>
          <t>2024-06-27</t>
        </is>
      </c>
      <c r="E4" s="6" t="n">
        <v>16</v>
      </c>
      <c r="F4" s="8" t="n">
        <v>117.15</v>
      </c>
      <c r="G4" s="9" t="n"/>
      <c r="H4" s="9" t="n"/>
      <c r="I4" s="10" t="n"/>
      <c r="J4" s="10" t="n"/>
    </row>
    <row r="5">
      <c r="A5" s="6" t="n">
        <v>103</v>
      </c>
      <c r="B5" s="7" t="inlineStr">
        <is>
          <t>INV/2024/00015</t>
        </is>
      </c>
      <c r="C5" s="6" t="inlineStr">
        <is>
          <t>فاتورة</t>
        </is>
      </c>
      <c r="D5" s="6" t="inlineStr">
        <is>
          <t>2024-07-21</t>
        </is>
      </c>
      <c r="E5" s="6" t="n">
        <v>10</v>
      </c>
      <c r="F5" s="8" t="n">
        <v>132</v>
      </c>
      <c r="G5" s="9" t="n"/>
      <c r="H5" s="9" t="n"/>
      <c r="I5" s="10" t="n"/>
      <c r="J5" s="10" t="n"/>
    </row>
    <row r="6">
      <c r="A6" s="6" t="n">
        <v>104</v>
      </c>
      <c r="B6" s="7" t="inlineStr">
        <is>
          <t>INV/2024/00016</t>
        </is>
      </c>
      <c r="C6" s="6" t="inlineStr">
        <is>
          <t>فاتورة</t>
        </is>
      </c>
      <c r="D6" s="6" t="inlineStr">
        <is>
          <t>2024-08-04</t>
        </is>
      </c>
      <c r="E6" s="6" t="n">
        <v>10</v>
      </c>
      <c r="F6" s="8" t="n">
        <v>72.75</v>
      </c>
      <c r="G6" s="9" t="n"/>
      <c r="H6" s="9" t="n"/>
      <c r="I6" s="10" t="n"/>
      <c r="J6" s="10" t="n"/>
    </row>
    <row r="7">
      <c r="A7" s="6" t="n">
        <v>85</v>
      </c>
      <c r="B7" s="7" t="inlineStr">
        <is>
          <t>INV/2024/00002</t>
        </is>
      </c>
      <c r="C7" s="6" t="inlineStr">
        <is>
          <t>فاتورة</t>
        </is>
      </c>
      <c r="D7" s="6" t="inlineStr">
        <is>
          <t>2024-09-06</t>
        </is>
      </c>
      <c r="E7" s="6" t="n">
        <v>16</v>
      </c>
      <c r="F7" s="8" t="n">
        <v>329.25</v>
      </c>
      <c r="G7" s="9" t="n"/>
      <c r="H7" s="9" t="n"/>
      <c r="I7" s="10" t="n"/>
      <c r="J7" s="10" t="n"/>
    </row>
    <row r="8">
      <c r="A8" s="6" t="n">
        <v>105</v>
      </c>
      <c r="B8" s="7" t="inlineStr">
        <is>
          <t>INV/2024/00017</t>
        </is>
      </c>
      <c r="C8" s="6" t="inlineStr">
        <is>
          <t>فاتورة</t>
        </is>
      </c>
      <c r="D8" s="6" t="inlineStr">
        <is>
          <t>2024-09-07</t>
        </is>
      </c>
      <c r="E8" s="6" t="n">
        <v>17</v>
      </c>
      <c r="F8" s="8" t="n">
        <v>138</v>
      </c>
      <c r="G8" s="9" t="n"/>
      <c r="H8" s="9" t="n"/>
      <c r="I8" s="10" t="n"/>
      <c r="J8" s="10" t="n"/>
    </row>
    <row r="9">
      <c r="A9" s="6" t="n">
        <v>106</v>
      </c>
      <c r="B9" s="7" t="inlineStr">
        <is>
          <t>INV/2024/00018</t>
        </is>
      </c>
      <c r="C9" s="6" t="inlineStr">
        <is>
          <t>فاتورة</t>
        </is>
      </c>
      <c r="D9" s="6" t="inlineStr">
        <is>
          <t>2024-11-18</t>
        </is>
      </c>
      <c r="E9" s="6" t="n">
        <v>11</v>
      </c>
      <c r="F9" s="8" t="n">
        <v>91.75</v>
      </c>
      <c r="G9" s="9" t="n"/>
      <c r="H9" s="9" t="n"/>
      <c r="I9" s="10" t="n"/>
      <c r="J9" s="10" t="n"/>
    </row>
    <row r="10">
      <c r="A10" s="6" t="n">
        <v>107</v>
      </c>
      <c r="B10" s="7" t="inlineStr">
        <is>
          <t>INV/2024/00019</t>
        </is>
      </c>
      <c r="C10" s="6" t="inlineStr">
        <is>
          <t>فاتورة</t>
        </is>
      </c>
      <c r="D10" s="6" t="inlineStr">
        <is>
          <t>2024-12-30</t>
        </is>
      </c>
      <c r="E10" s="6" t="n">
        <v>15</v>
      </c>
      <c r="F10" s="8" t="n">
        <v>292.5</v>
      </c>
      <c r="G10" s="9" t="n"/>
      <c r="H10" s="9" t="n"/>
      <c r="I10" s="10" t="n"/>
      <c r="J10" s="10" t="n"/>
    </row>
    <row r="11">
      <c r="A11" s="6" t="n">
        <v>109</v>
      </c>
      <c r="B11" s="7" t="inlineStr">
        <is>
          <t>INV/2025/00001</t>
        </is>
      </c>
      <c r="C11" s="6" t="inlineStr">
        <is>
          <t>فاتورة</t>
        </is>
      </c>
      <c r="D11" s="6" t="inlineStr">
        <is>
          <t>2025-01-13</t>
        </is>
      </c>
      <c r="E11" s="6" t="n">
        <v>13</v>
      </c>
      <c r="F11" s="8" t="n">
        <v>191.6</v>
      </c>
      <c r="G11" s="9" t="n"/>
      <c r="H11" s="9" t="n"/>
      <c r="I11" s="10" t="n"/>
      <c r="J11" s="10" t="n"/>
    </row>
    <row r="12">
      <c r="A12" s="6" t="n">
        <v>122</v>
      </c>
      <c r="B12" s="7" t="inlineStr">
        <is>
          <t>INV/2025/00004</t>
        </is>
      </c>
      <c r="C12" s="6" t="inlineStr">
        <is>
          <t>فاتورة</t>
        </is>
      </c>
      <c r="D12" s="6" t="inlineStr">
        <is>
          <t>2025-01-25</t>
        </is>
      </c>
      <c r="E12" s="6" t="n">
        <v>14</v>
      </c>
      <c r="F12" s="8" t="n">
        <v>293.75</v>
      </c>
      <c r="G12" s="9" t="n"/>
      <c r="H12" s="9" t="n"/>
      <c r="I12" s="10" t="n"/>
      <c r="J12" s="10" t="n"/>
    </row>
    <row r="13">
      <c r="A13" s="6" t="n">
        <v>142</v>
      </c>
      <c r="B13" s="7" t="inlineStr">
        <is>
          <t>INV/2025/00005</t>
        </is>
      </c>
      <c r="C13" s="6" t="inlineStr">
        <is>
          <t>فاتورة</t>
        </is>
      </c>
      <c r="D13" s="6" t="inlineStr">
        <is>
          <t>2025-02-01</t>
        </is>
      </c>
      <c r="E13" s="6" t="n">
        <v>21</v>
      </c>
      <c r="F13" s="8" t="n">
        <v>115</v>
      </c>
      <c r="G13" s="9" t="n"/>
      <c r="H13" s="9" t="n"/>
      <c r="I13" s="10" t="n"/>
      <c r="J13" s="10" t="n"/>
    </row>
    <row r="14">
      <c r="A14" s="6" t="n">
        <v>117</v>
      </c>
      <c r="B14" s="7" t="inlineStr">
        <is>
          <t>INV/2025/00002</t>
        </is>
      </c>
      <c r="C14" s="6" t="inlineStr">
        <is>
          <t>فاتورة</t>
        </is>
      </c>
      <c r="D14" s="6" t="inlineStr">
        <is>
          <t>2025-02-04</t>
        </is>
      </c>
      <c r="E14" s="6" t="n">
        <v>5</v>
      </c>
      <c r="F14" s="8" t="n">
        <v>63.3</v>
      </c>
      <c r="G14" s="9" t="n"/>
      <c r="H14" s="9" t="n"/>
      <c r="I14" s="10" t="n"/>
      <c r="J14" s="10" t="n"/>
    </row>
    <row r="15">
      <c r="A15" s="6" t="n">
        <v>143</v>
      </c>
      <c r="B15" s="7" t="inlineStr">
        <is>
          <t>INV/2025/00006</t>
        </is>
      </c>
      <c r="C15" s="6" t="inlineStr">
        <is>
          <t>فاتورة</t>
        </is>
      </c>
      <c r="D15" s="6" t="inlineStr">
        <is>
          <t>2025-02-13</t>
        </is>
      </c>
      <c r="E15" s="6" t="n">
        <v>15</v>
      </c>
      <c r="F15" s="8" t="n">
        <v>133.75</v>
      </c>
      <c r="G15" s="9" t="n"/>
      <c r="H15" s="9" t="n"/>
      <c r="I15" s="10" t="n"/>
      <c r="J15" s="10" t="n"/>
    </row>
    <row r="16">
      <c r="A16" s="6" t="n">
        <v>118</v>
      </c>
      <c r="B16" s="7" t="inlineStr">
        <is>
          <t>INV/2025/00003</t>
        </is>
      </c>
      <c r="C16" s="6" t="inlineStr">
        <is>
          <t>فاتورة</t>
        </is>
      </c>
      <c r="D16" s="6" t="inlineStr">
        <is>
          <t>2025-02-15</t>
        </is>
      </c>
      <c r="E16" s="6" t="n">
        <v>34</v>
      </c>
      <c r="F16" s="8" t="n">
        <v>494.05</v>
      </c>
      <c r="G16" s="9" t="n"/>
      <c r="H16" s="9" t="n"/>
      <c r="I16" s="10" t="n"/>
      <c r="J16" s="10" t="n"/>
    </row>
    <row r="17">
      <c r="A17" s="6" t="n">
        <v>144</v>
      </c>
      <c r="B17" s="7" t="inlineStr">
        <is>
          <t>INV/2025/00007</t>
        </is>
      </c>
      <c r="C17" s="6" t="inlineStr">
        <is>
          <t>فاتورة</t>
        </is>
      </c>
      <c r="D17" s="6" t="inlineStr">
        <is>
          <t>2025-02-26</t>
        </is>
      </c>
      <c r="E17" s="6" t="n">
        <v>10</v>
      </c>
      <c r="F17" s="8" t="n">
        <v>73.25</v>
      </c>
      <c r="G17" s="9" t="n"/>
      <c r="H17" s="9" t="n"/>
      <c r="I17" s="10" t="n"/>
      <c r="J17" s="10" t="n"/>
    </row>
    <row r="18">
      <c r="A18" s="6" t="n">
        <v>145</v>
      </c>
      <c r="B18" s="7" t="inlineStr">
        <is>
          <t>INV/2025/00008</t>
        </is>
      </c>
      <c r="C18" s="6" t="inlineStr">
        <is>
          <t>فاتورة</t>
        </is>
      </c>
      <c r="D18" s="6" t="inlineStr">
        <is>
          <t>2025-04-16</t>
        </is>
      </c>
      <c r="E18" s="6" t="n">
        <v>13</v>
      </c>
      <c r="F18" s="8" t="n">
        <v>115.9</v>
      </c>
      <c r="G18" s="9" t="n"/>
      <c r="H18" s="9" t="n"/>
      <c r="I18" s="10" t="n"/>
      <c r="J18" s="10" t="n"/>
    </row>
    <row r="19">
      <c r="E19" s="11" t="inlineStr">
        <is>
          <t>المجموع</t>
        </is>
      </c>
      <c r="F19" s="12">
        <f>SUM(F2:F18)</f>
        <v/>
      </c>
    </row>
  </sheetData>
  <dataValidations count="1">
    <dataValidation sqref="H2:H18" showDropDown="0" showInputMessage="0" showErrorMessage="0" allowBlank="1" type="list">
      <formula1>"نعم"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3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5" customWidth="1" min="4" max="4"/>
    <col width="13" customWidth="1" min="5" max="5"/>
    <col width="46" customWidth="1" min="6" max="6"/>
    <col width="9" customWidth="1" min="7" max="7"/>
    <col width="10" customWidth="1" min="8" max="8"/>
    <col width="12" customWidth="1" min="9" max="9"/>
    <col width="15" customWidth="1" min="10" max="10"/>
    <col width="14" customWidth="1" min="11" max="11"/>
    <col width="13" customWidth="1" min="12" max="12"/>
    <col width="15" customWidth="1" min="13" max="13"/>
    <col width="9" customWidth="1" min="14" max="14"/>
    <col width="9" customWidth="1" min="15" max="15"/>
    <col width="34" customWidth="1" min="16" max="16"/>
  </cols>
  <sheetData>
    <row r="1" ht="30" customHeight="1">
      <c r="A1" s="5" t="inlineStr">
        <is>
          <t>المعرّف</t>
        </is>
      </c>
      <c r="B1" s="5" t="inlineStr">
        <is>
          <t>رقم الفاتورة</t>
        </is>
      </c>
      <c r="C1" s="5" t="inlineStr">
        <is>
          <t>التاريخ بأودو</t>
        </is>
      </c>
      <c r="D1" s="5" t="inlineStr">
        <is>
          <t>#</t>
        </is>
      </c>
      <c r="E1" s="5" t="inlineStr">
        <is>
          <t>كود الصنف</t>
        </is>
      </c>
      <c r="F1" s="5" t="inlineStr">
        <is>
          <t>اسم الصنف / البيان</t>
        </is>
      </c>
      <c r="G1" s="5" t="inlineStr">
        <is>
          <t>الكمية</t>
        </is>
      </c>
      <c r="H1" s="5" t="inlineStr">
        <is>
          <t>السعر</t>
        </is>
      </c>
      <c r="I1" s="5" t="inlineStr">
        <is>
          <t>الإجمالي</t>
        </is>
      </c>
      <c r="J1" s="5" t="inlineStr">
        <is>
          <t>التاريخ الصحيح</t>
        </is>
      </c>
      <c r="K1" s="5" t="inlineStr">
        <is>
          <t>الكمية الصحيحة</t>
        </is>
      </c>
      <c r="L1" s="5" t="inlineStr">
        <is>
          <t>السعر الصحيح</t>
        </is>
      </c>
      <c r="M1" s="5" t="inlineStr">
        <is>
          <t>الإجمالي الجديد</t>
        </is>
      </c>
      <c r="N1" s="5" t="inlineStr">
        <is>
          <t>احذف؟</t>
        </is>
      </c>
      <c r="O1" s="5" t="inlineStr">
        <is>
          <t>مدقّق؟</t>
        </is>
      </c>
      <c r="P1" s="5" t="inlineStr">
        <is>
          <t>ملاحظات</t>
        </is>
      </c>
    </row>
    <row r="2">
      <c r="A2" s="13" t="inlineStr">
        <is>
          <t>(مثال)</t>
        </is>
      </c>
      <c r="B2" s="14" t="inlineStr">
        <is>
          <t>INV/2024/00001</t>
        </is>
      </c>
      <c r="C2" s="13" t="inlineStr">
        <is>
          <t>2024-04-13</t>
        </is>
      </c>
      <c r="D2" s="13" t="n">
        <v>1</v>
      </c>
      <c r="E2" s="13" t="inlineStr">
        <is>
          <t>100114</t>
        </is>
      </c>
      <c r="F2" s="14" t="inlineStr">
        <is>
          <t>ريشة حجر عادي 08 ملم</t>
        </is>
      </c>
      <c r="G2" s="13" t="n">
        <v>10</v>
      </c>
      <c r="H2" s="15" t="n">
        <v>0.375</v>
      </c>
      <c r="I2" s="15" t="n">
        <v>3.75</v>
      </c>
      <c r="J2" s="13" t="inlineStr">
        <is>
          <t>2024-04-15</t>
        </is>
      </c>
      <c r="K2" s="13" t="n">
        <v>12</v>
      </c>
      <c r="L2" s="15" t="n">
        <v>0.4</v>
      </c>
      <c r="M2" s="15">
        <f>IFERROR(IF(K2="",G2,K2)*IF(L2="",H2,L2),"")</f>
        <v/>
      </c>
      <c r="N2" s="13" t="inlineStr"/>
      <c r="O2" s="13" t="inlineStr">
        <is>
          <t>نعم</t>
        </is>
      </c>
      <c r="P2" s="14" t="inlineStr">
        <is>
          <t>السعر بالورقة 0.400 مش 0.375</t>
        </is>
      </c>
    </row>
    <row r="3">
      <c r="A3" s="6" t="n">
        <v>531</v>
      </c>
      <c r="B3" s="7" t="inlineStr">
        <is>
          <t>INV/2024/00001</t>
        </is>
      </c>
      <c r="C3" s="6" t="inlineStr">
        <is>
          <t>2024-04-13</t>
        </is>
      </c>
      <c r="D3" s="6" t="n">
        <v>1</v>
      </c>
      <c r="E3" s="6" t="inlineStr">
        <is>
          <t>500106</t>
        </is>
      </c>
      <c r="F3" s="7" t="inlineStr">
        <is>
          <t>[500106] محبس زاوية ايطالي</t>
        </is>
      </c>
      <c r="G3" s="6" t="n">
        <v>6</v>
      </c>
      <c r="H3" s="8" t="n">
        <v>2</v>
      </c>
      <c r="I3" s="8" t="n">
        <v>12</v>
      </c>
      <c r="J3" s="9" t="n"/>
      <c r="K3" s="9" t="n"/>
      <c r="L3" s="16" t="n"/>
      <c r="M3" s="17">
        <f>IFERROR(IF(K3="",G3,K3)*IF(L3="",H3,L3),"")</f>
        <v/>
      </c>
      <c r="N3" s="9" t="n"/>
      <c r="O3" s="9" t="n"/>
      <c r="P3" s="10" t="n"/>
    </row>
    <row r="4">
      <c r="A4" s="6" t="n">
        <v>532</v>
      </c>
      <c r="B4" s="7" t="inlineStr">
        <is>
          <t>INV/2024/00001</t>
        </is>
      </c>
      <c r="C4" s="6" t="inlineStr">
        <is>
          <t>2024-04-13</t>
        </is>
      </c>
      <c r="D4" s="6" t="n">
        <v>2</v>
      </c>
      <c r="E4" s="6" t="inlineStr">
        <is>
          <t>100308</t>
        </is>
      </c>
      <c r="F4" s="7" t="inlineStr">
        <is>
          <t>[100308] سيفون حلزوني 1.25 انش تركي</t>
        </is>
      </c>
      <c r="G4" s="6" t="n">
        <v>2</v>
      </c>
      <c r="H4" s="8" t="n">
        <v>1.5</v>
      </c>
      <c r="I4" s="8" t="n">
        <v>3</v>
      </c>
      <c r="J4" s="9" t="n"/>
      <c r="K4" s="9" t="n"/>
      <c r="L4" s="16" t="n"/>
      <c r="M4" s="17">
        <f>IFERROR(IF(K4="",G4,K4)*IF(L4="",H4,L4),"")</f>
        <v/>
      </c>
      <c r="N4" s="9" t="n"/>
      <c r="O4" s="9" t="n"/>
      <c r="P4" s="10" t="n"/>
    </row>
    <row r="5">
      <c r="A5" s="6" t="n">
        <v>533</v>
      </c>
      <c r="B5" s="7" t="inlineStr">
        <is>
          <t>INV/2024/00001</t>
        </is>
      </c>
      <c r="C5" s="6" t="inlineStr">
        <is>
          <t>2024-04-13</t>
        </is>
      </c>
      <c r="D5" s="6" t="n">
        <v>3</v>
      </c>
      <c r="E5" s="6" t="inlineStr">
        <is>
          <t>500264</t>
        </is>
      </c>
      <c r="F5" s="7" t="inlineStr">
        <is>
          <t>[500264] جلدة مانجيت 11/4"</t>
        </is>
      </c>
      <c r="G5" s="6" t="n">
        <v>2</v>
      </c>
      <c r="H5" s="8" t="n">
        <v>0.75</v>
      </c>
      <c r="I5" s="8" t="n">
        <v>1.5</v>
      </c>
      <c r="J5" s="9" t="n"/>
      <c r="K5" s="9" t="n"/>
      <c r="L5" s="16" t="n"/>
      <c r="M5" s="17">
        <f>IFERROR(IF(K5="",G5,K5)*IF(L5="",H5,L5),"")</f>
        <v/>
      </c>
      <c r="N5" s="9" t="n"/>
      <c r="O5" s="9" t="n"/>
      <c r="P5" s="10" t="n"/>
    </row>
    <row r="6">
      <c r="A6" s="6" t="n">
        <v>534</v>
      </c>
      <c r="B6" s="7" t="inlineStr">
        <is>
          <t>INV/2024/00001</t>
        </is>
      </c>
      <c r="C6" s="6" t="inlineStr">
        <is>
          <t>2024-04-13</t>
        </is>
      </c>
      <c r="D6" s="6" t="n">
        <v>4</v>
      </c>
      <c r="E6" s="6" t="inlineStr">
        <is>
          <t>100289</t>
        </is>
      </c>
      <c r="F6" s="7" t="inlineStr">
        <is>
          <t>[100289] سيليكون شفاف 280 غم SK</t>
        </is>
      </c>
      <c r="G6" s="6" t="n">
        <v>2</v>
      </c>
      <c r="H6" s="8" t="n">
        <v>1.25</v>
      </c>
      <c r="I6" s="8" t="n">
        <v>2.5</v>
      </c>
      <c r="J6" s="9" t="n"/>
      <c r="K6" s="9" t="n"/>
      <c r="L6" s="16" t="n"/>
      <c r="M6" s="17">
        <f>IFERROR(IF(K6="",G6,K6)*IF(L6="",H6,L6),"")</f>
        <v/>
      </c>
      <c r="N6" s="9" t="n"/>
      <c r="O6" s="9" t="n"/>
      <c r="P6" s="10" t="n"/>
    </row>
    <row r="7">
      <c r="A7" s="6" t="n">
        <v>535</v>
      </c>
      <c r="B7" s="7" t="inlineStr">
        <is>
          <t>INV/2024/00001</t>
        </is>
      </c>
      <c r="C7" s="6" t="inlineStr">
        <is>
          <t>2024-04-13</t>
        </is>
      </c>
      <c r="D7" s="6" t="n">
        <v>5</v>
      </c>
      <c r="E7" s="6" t="inlineStr">
        <is>
          <t>500220</t>
        </is>
      </c>
      <c r="F7" s="7" t="inlineStr">
        <is>
          <t>[500220] نبل كروم مشكل ايطالي 2سم</t>
        </is>
      </c>
      <c r="G7" s="6" t="n">
        <v>8</v>
      </c>
      <c r="H7" s="8" t="n">
        <v>0.9</v>
      </c>
      <c r="I7" s="8" t="n">
        <v>7.2</v>
      </c>
      <c r="J7" s="9" t="n"/>
      <c r="K7" s="9" t="n"/>
      <c r="L7" s="16" t="n"/>
      <c r="M7" s="17">
        <f>IFERROR(IF(K7="",G7,K7)*IF(L7="",H7,L7),"")</f>
        <v/>
      </c>
      <c r="N7" s="9" t="n"/>
      <c r="O7" s="9" t="n"/>
      <c r="P7" s="10" t="n"/>
    </row>
    <row r="8">
      <c r="A8" s="6" t="n">
        <v>536</v>
      </c>
      <c r="B8" s="7" t="inlineStr">
        <is>
          <t>INV/2024/00001</t>
        </is>
      </c>
      <c r="C8" s="6" t="inlineStr">
        <is>
          <t>2024-04-13</t>
        </is>
      </c>
      <c r="D8" s="6" t="n">
        <v>6</v>
      </c>
      <c r="E8" s="6" t="inlineStr">
        <is>
          <t>700902</t>
        </is>
      </c>
      <c r="F8" s="7" t="inlineStr">
        <is>
          <t>[700902] بولسترين عازل</t>
        </is>
      </c>
      <c r="G8" s="6" t="n">
        <v>15</v>
      </c>
      <c r="H8" s="8" t="n">
        <v>2</v>
      </c>
      <c r="I8" s="8" t="n">
        <v>30</v>
      </c>
      <c r="J8" s="9" t="n"/>
      <c r="K8" s="9" t="n"/>
      <c r="L8" s="16" t="n"/>
      <c r="M8" s="17">
        <f>IFERROR(IF(K8="",G8,K8)*IF(L8="",H8,L8),"")</f>
        <v/>
      </c>
      <c r="N8" s="9" t="n"/>
      <c r="O8" s="9" t="n"/>
      <c r="P8" s="10" t="n"/>
    </row>
    <row r="9">
      <c r="A9" s="6" t="n">
        <v>537</v>
      </c>
      <c r="B9" s="7" t="inlineStr">
        <is>
          <t>INV/2024/00001</t>
        </is>
      </c>
      <c r="C9" s="6" t="inlineStr">
        <is>
          <t>2024-04-13</t>
        </is>
      </c>
      <c r="D9" s="6" t="n">
        <v>7</v>
      </c>
      <c r="E9" s="6" t="inlineStr">
        <is>
          <t>900070</t>
        </is>
      </c>
      <c r="F9" s="7" t="inlineStr">
        <is>
          <t>[900070] مسمار بناء 6 سم</t>
        </is>
      </c>
      <c r="G9" s="6" t="n">
        <v>10</v>
      </c>
      <c r="H9" s="8" t="n">
        <v>1.95</v>
      </c>
      <c r="I9" s="8" t="n">
        <v>19.5</v>
      </c>
      <c r="J9" s="9" t="n"/>
      <c r="K9" s="9" t="n"/>
      <c r="L9" s="16" t="n"/>
      <c r="M9" s="17">
        <f>IFERROR(IF(K9="",G9,K9)*IF(L9="",H9,L9),"")</f>
        <v/>
      </c>
      <c r="N9" s="9" t="n"/>
      <c r="O9" s="9" t="n"/>
      <c r="P9" s="10" t="n"/>
    </row>
    <row r="10">
      <c r="A10" s="6" t="n">
        <v>538</v>
      </c>
      <c r="B10" s="7" t="inlineStr">
        <is>
          <t>INV/2024/00001</t>
        </is>
      </c>
      <c r="C10" s="6" t="inlineStr">
        <is>
          <t>2024-04-13</t>
        </is>
      </c>
      <c r="D10" s="6" t="n">
        <v>8</v>
      </c>
      <c r="E10" s="6" t="inlineStr">
        <is>
          <t>900036</t>
        </is>
      </c>
      <c r="F10" s="7" t="inlineStr">
        <is>
          <t>[900036] سلك مجدول اسود</t>
        </is>
      </c>
      <c r="G10" s="6" t="n">
        <v>3</v>
      </c>
      <c r="H10" s="8" t="n">
        <v>2.25</v>
      </c>
      <c r="I10" s="8" t="n">
        <v>6.75</v>
      </c>
      <c r="J10" s="9" t="n"/>
      <c r="K10" s="9" t="n"/>
      <c r="L10" s="16" t="n"/>
      <c r="M10" s="17">
        <f>IFERROR(IF(K10="",G10,K10)*IF(L10="",H10,L10),"")</f>
        <v/>
      </c>
      <c r="N10" s="9" t="n"/>
      <c r="O10" s="9" t="n"/>
      <c r="P10" s="10" t="n"/>
    </row>
    <row r="11">
      <c r="A11" s="6" t="n">
        <v>539</v>
      </c>
      <c r="B11" s="7" t="inlineStr">
        <is>
          <t>INV/2024/00001</t>
        </is>
      </c>
      <c r="C11" s="6" t="inlineStr">
        <is>
          <t>2024-04-13</t>
        </is>
      </c>
      <c r="D11" s="6" t="n">
        <v>9</v>
      </c>
      <c r="E11" s="6" t="inlineStr">
        <is>
          <t>900037</t>
        </is>
      </c>
      <c r="F11" s="7" t="inlineStr">
        <is>
          <t>[900037] سلك تربيط ناعم ابيض</t>
        </is>
      </c>
      <c r="G11" s="6" t="n">
        <v>10</v>
      </c>
      <c r="H11" s="8" t="n">
        <v>1.25</v>
      </c>
      <c r="I11" s="8" t="n">
        <v>12.5</v>
      </c>
      <c r="J11" s="9" t="n"/>
      <c r="K11" s="9" t="n"/>
      <c r="L11" s="16" t="n"/>
      <c r="M11" s="17">
        <f>IFERROR(IF(K11="",G11,K11)*IF(L11="",H11,L11),"")</f>
        <v/>
      </c>
      <c r="N11" s="9" t="n"/>
      <c r="O11" s="9" t="n"/>
      <c r="P11" s="10" t="n"/>
    </row>
    <row r="12">
      <c r="A12" s="6" t="n">
        <v>924</v>
      </c>
      <c r="B12" s="7" t="inlineStr">
        <is>
          <t>INV/2024/00020</t>
        </is>
      </c>
      <c r="C12" s="6" t="inlineStr">
        <is>
          <t>2024-04-18</t>
        </is>
      </c>
      <c r="D12" s="6" t="n">
        <v>1</v>
      </c>
      <c r="E12" s="6" t="inlineStr">
        <is>
          <t>702710</t>
        </is>
      </c>
      <c r="F12" s="7" t="inlineStr">
        <is>
          <t>بضاعة متنوعة — فاتورة يدوية بلا تفاصيل بنود (موثّقة برسالة واتساب من يزيد)</t>
        </is>
      </c>
      <c r="G12" s="6" t="n">
        <v>1</v>
      </c>
      <c r="H12" s="8" t="n">
        <v>26</v>
      </c>
      <c r="I12" s="8" t="n">
        <v>26</v>
      </c>
      <c r="J12" s="9" t="n"/>
      <c r="K12" s="9" t="n"/>
      <c r="L12" s="16" t="n"/>
      <c r="M12" s="17">
        <f>IFERROR(IF(K12="",G12,K12)*IF(L12="",H12,L12),"")</f>
        <v/>
      </c>
      <c r="N12" s="9" t="n"/>
      <c r="O12" s="9" t="n"/>
      <c r="P12" s="10" t="n"/>
    </row>
    <row r="13">
      <c r="A13" s="6" t="n">
        <v>558</v>
      </c>
      <c r="B13" s="7" t="inlineStr">
        <is>
          <t>INV/2024/00003</t>
        </is>
      </c>
      <c r="C13" s="6" t="inlineStr">
        <is>
          <t>2024-06-27</t>
        </is>
      </c>
      <c r="D13" s="6" t="n">
        <v>1</v>
      </c>
      <c r="E13" s="6" t="inlineStr">
        <is>
          <t>500080</t>
        </is>
      </c>
      <c r="F13" s="7" t="inlineStr">
        <is>
          <t>[500080] 3/4" ماسورة (شانيل) سعودي</t>
        </is>
      </c>
      <c r="G13" s="6" t="n">
        <v>4</v>
      </c>
      <c r="H13" s="8" t="n">
        <v>11</v>
      </c>
      <c r="I13" s="8" t="n">
        <v>44</v>
      </c>
      <c r="J13" s="9" t="n"/>
      <c r="K13" s="9" t="n"/>
      <c r="L13" s="16" t="n"/>
      <c r="M13" s="17">
        <f>IFERROR(IF(K13="",G13,K13)*IF(L13="",H13,L13),"")</f>
        <v/>
      </c>
      <c r="N13" s="9" t="n"/>
      <c r="O13" s="9" t="n"/>
      <c r="P13" s="10" t="n"/>
    </row>
    <row r="14">
      <c r="A14" s="6" t="n">
        <v>559</v>
      </c>
      <c r="B14" s="7" t="inlineStr">
        <is>
          <t>INV/2024/00003</t>
        </is>
      </c>
      <c r="C14" s="6" t="inlineStr">
        <is>
          <t>2024-06-27</t>
        </is>
      </c>
      <c r="D14" s="6" t="n">
        <v>2</v>
      </c>
      <c r="E14" s="6" t="inlineStr">
        <is>
          <t>500480</t>
        </is>
      </c>
      <c r="F14" s="7" t="inlineStr">
        <is>
          <t>[500480] كوع فاتح سعودي 3/4"</t>
        </is>
      </c>
      <c r="G14" s="6" t="n">
        <v>15</v>
      </c>
      <c r="H14" s="8" t="n">
        <v>0.5</v>
      </c>
      <c r="I14" s="8" t="n">
        <v>7.5</v>
      </c>
      <c r="J14" s="9" t="n"/>
      <c r="K14" s="9" t="n"/>
      <c r="L14" s="16" t="n"/>
      <c r="M14" s="17">
        <f>IFERROR(IF(K14="",G14,K14)*IF(L14="",H14,L14),"")</f>
        <v/>
      </c>
      <c r="N14" s="9" t="n"/>
      <c r="O14" s="9" t="n"/>
      <c r="P14" s="10" t="n"/>
    </row>
    <row r="15">
      <c r="A15" s="6" t="n">
        <v>560</v>
      </c>
      <c r="B15" s="7" t="inlineStr">
        <is>
          <t>INV/2024/00003</t>
        </is>
      </c>
      <c r="C15" s="6" t="inlineStr">
        <is>
          <t>2024-06-27</t>
        </is>
      </c>
      <c r="D15" s="6" t="n">
        <v>3</v>
      </c>
      <c r="E15" s="6" t="inlineStr">
        <is>
          <t>500485</t>
        </is>
      </c>
      <c r="F15" s="7" t="inlineStr">
        <is>
          <t>[500485] تي T سعودي 3/4"</t>
        </is>
      </c>
      <c r="G15" s="6" t="n">
        <v>8</v>
      </c>
      <c r="H15" s="8" t="n">
        <v>0.8</v>
      </c>
      <c r="I15" s="8" t="n">
        <v>6.4</v>
      </c>
      <c r="J15" s="9" t="n"/>
      <c r="K15" s="9" t="n"/>
      <c r="L15" s="16" t="n"/>
      <c r="M15" s="17">
        <f>IFERROR(IF(K15="",G15,K15)*IF(L15="",H15,L15),"")</f>
        <v/>
      </c>
      <c r="N15" s="9" t="n"/>
      <c r="O15" s="9" t="n"/>
      <c r="P15" s="10" t="n"/>
    </row>
    <row r="16">
      <c r="A16" s="6" t="n">
        <v>561</v>
      </c>
      <c r="B16" s="7" t="inlineStr">
        <is>
          <t>INV/2024/00003</t>
        </is>
      </c>
      <c r="C16" s="6" t="inlineStr">
        <is>
          <t>2024-06-27</t>
        </is>
      </c>
      <c r="D16" s="6" t="n">
        <v>4</v>
      </c>
      <c r="E16" s="6" t="inlineStr">
        <is>
          <t>500499</t>
        </is>
      </c>
      <c r="F16" s="7" t="inlineStr">
        <is>
          <t>[500499] جسر سعودي 3/4"</t>
        </is>
      </c>
      <c r="G16" s="6" t="n">
        <v>4</v>
      </c>
      <c r="H16" s="8" t="n">
        <v>0.5</v>
      </c>
      <c r="I16" s="8" t="n">
        <v>2</v>
      </c>
      <c r="J16" s="9" t="n"/>
      <c r="K16" s="9" t="n"/>
      <c r="L16" s="16" t="n"/>
      <c r="M16" s="17">
        <f>IFERROR(IF(K16="",G16,K16)*IF(L16="",H16,L16),"")</f>
        <v/>
      </c>
      <c r="N16" s="9" t="n"/>
      <c r="O16" s="9" t="n"/>
      <c r="P16" s="10" t="n"/>
    </row>
    <row r="17">
      <c r="A17" s="6" t="n">
        <v>562</v>
      </c>
      <c r="B17" s="7" t="inlineStr">
        <is>
          <t>INV/2024/00003</t>
        </is>
      </c>
      <c r="C17" s="6" t="inlineStr">
        <is>
          <t>2024-06-27</t>
        </is>
      </c>
      <c r="D17" s="6" t="n">
        <v>5</v>
      </c>
      <c r="E17" s="6" t="inlineStr">
        <is>
          <t>500490</t>
        </is>
      </c>
      <c r="F17" s="7" t="inlineStr">
        <is>
          <t>[500490] مفة سعودي 3/4"</t>
        </is>
      </c>
      <c r="G17" s="6" t="n">
        <v>4</v>
      </c>
      <c r="H17" s="8" t="n">
        <v>0.5</v>
      </c>
      <c r="I17" s="8" t="n">
        <v>2</v>
      </c>
      <c r="J17" s="9" t="n"/>
      <c r="K17" s="9" t="n"/>
      <c r="L17" s="16" t="n"/>
      <c r="M17" s="17">
        <f>IFERROR(IF(K17="",G17,K17)*IF(L17="",H17,L17),"")</f>
        <v/>
      </c>
      <c r="N17" s="9" t="n"/>
      <c r="O17" s="9" t="n"/>
      <c r="P17" s="10" t="n"/>
    </row>
    <row r="18">
      <c r="A18" s="6" t="n">
        <v>563</v>
      </c>
      <c r="B18" s="7" t="inlineStr">
        <is>
          <t>INV/2024/00003</t>
        </is>
      </c>
      <c r="C18" s="6" t="inlineStr">
        <is>
          <t>2024-06-27</t>
        </is>
      </c>
      <c r="D18" s="6" t="n">
        <v>6</v>
      </c>
      <c r="E18" s="6" t="inlineStr">
        <is>
          <t>700020</t>
        </is>
      </c>
      <c r="F18" s="7" t="inlineStr">
        <is>
          <t>[700020] منظف انابيب - مسلك مصارف 500 غم تركي</t>
        </is>
      </c>
      <c r="G18" s="6" t="n">
        <v>1</v>
      </c>
      <c r="H18" s="8" t="n">
        <v>3</v>
      </c>
      <c r="I18" s="8" t="n">
        <v>3</v>
      </c>
      <c r="J18" s="9" t="n"/>
      <c r="K18" s="9" t="n"/>
      <c r="L18" s="16" t="n"/>
      <c r="M18" s="17">
        <f>IFERROR(IF(K18="",G18,K18)*IF(L18="",H18,L18),"")</f>
        <v/>
      </c>
      <c r="N18" s="9" t="n"/>
      <c r="O18" s="9" t="n"/>
      <c r="P18" s="10" t="n"/>
    </row>
    <row r="19">
      <c r="A19" s="6" t="n">
        <v>564</v>
      </c>
      <c r="B19" s="7" t="inlineStr">
        <is>
          <t>INV/2024/00003</t>
        </is>
      </c>
      <c r="C19" s="6" t="inlineStr">
        <is>
          <t>2024-06-27</t>
        </is>
      </c>
      <c r="D19" s="6" t="n">
        <v>7</v>
      </c>
      <c r="E19" s="6" t="inlineStr">
        <is>
          <t>500513</t>
        </is>
      </c>
      <c r="F19" s="7" t="inlineStr">
        <is>
          <t>[500513] كوع سن نحاس سعودي 3/4 * 3/4</t>
        </is>
      </c>
      <c r="G19" s="6" t="n">
        <v>8</v>
      </c>
      <c r="H19" s="8" t="n">
        <v>1.5</v>
      </c>
      <c r="I19" s="8" t="n">
        <v>12</v>
      </c>
      <c r="J19" s="9" t="n"/>
      <c r="K19" s="9" t="n"/>
      <c r="L19" s="16" t="n"/>
      <c r="M19" s="17">
        <f>IFERROR(IF(K19="",G19,K19)*IF(L19="",H19,L19),"")</f>
        <v/>
      </c>
      <c r="N19" s="9" t="n"/>
      <c r="O19" s="9" t="n"/>
      <c r="P19" s="10" t="n"/>
    </row>
    <row r="20">
      <c r="A20" s="6" t="n">
        <v>565</v>
      </c>
      <c r="B20" s="7" t="inlineStr">
        <is>
          <t>INV/2024/00003</t>
        </is>
      </c>
      <c r="C20" s="6" t="inlineStr">
        <is>
          <t>2024-06-27</t>
        </is>
      </c>
      <c r="D20" s="6" t="n">
        <v>8</v>
      </c>
      <c r="E20" s="6" t="inlineStr">
        <is>
          <t>500521</t>
        </is>
      </c>
      <c r="F20" s="7" t="inlineStr">
        <is>
          <t>[500521] ادبتر ذكر سعودي 3/4 * 3/4</t>
        </is>
      </c>
      <c r="G20" s="6" t="n">
        <v>2</v>
      </c>
      <c r="H20" s="8" t="n">
        <v>1.25</v>
      </c>
      <c r="I20" s="8" t="n">
        <v>2.5</v>
      </c>
      <c r="J20" s="9" t="n"/>
      <c r="K20" s="9" t="n"/>
      <c r="L20" s="16" t="n"/>
      <c r="M20" s="17">
        <f>IFERROR(IF(K20="",G20,K20)*IF(L20="",H20,L20),"")</f>
        <v/>
      </c>
      <c r="N20" s="9" t="n"/>
      <c r="O20" s="9" t="n"/>
      <c r="P20" s="10" t="n"/>
    </row>
    <row r="21">
      <c r="A21" s="6" t="n">
        <v>566</v>
      </c>
      <c r="B21" s="7" t="inlineStr">
        <is>
          <t>INV/2024/00003</t>
        </is>
      </c>
      <c r="C21" s="6" t="inlineStr">
        <is>
          <t>2024-06-27</t>
        </is>
      </c>
      <c r="D21" s="6" t="n">
        <v>9</v>
      </c>
      <c r="E21" s="6" t="inlineStr">
        <is>
          <t>500527</t>
        </is>
      </c>
      <c r="F21" s="7" t="inlineStr">
        <is>
          <t>[500527] ادبتر انثى سعودي 3/4 * 3/4</t>
        </is>
      </c>
      <c r="G21" s="6" t="n">
        <v>2</v>
      </c>
      <c r="H21" s="8" t="n">
        <v>1.25</v>
      </c>
      <c r="I21" s="8" t="n">
        <v>2.5</v>
      </c>
      <c r="J21" s="9" t="n"/>
      <c r="K21" s="9" t="n"/>
      <c r="L21" s="16" t="n"/>
      <c r="M21" s="17">
        <f>IFERROR(IF(K21="",G21,K21)*IF(L21="",H21,L21),"")</f>
        <v/>
      </c>
      <c r="N21" s="9" t="n"/>
      <c r="O21" s="9" t="n"/>
      <c r="P21" s="10" t="n"/>
    </row>
    <row r="22">
      <c r="A22" s="6" t="n">
        <v>567</v>
      </c>
      <c r="B22" s="7" t="inlineStr">
        <is>
          <t>INV/2024/00003</t>
        </is>
      </c>
      <c r="C22" s="6" t="inlineStr">
        <is>
          <t>2024-06-27</t>
        </is>
      </c>
      <c r="D22" s="6" t="n">
        <v>10</v>
      </c>
      <c r="E22" s="6" t="inlineStr">
        <is>
          <t>500502</t>
        </is>
      </c>
      <c r="F22" s="7" t="inlineStr">
        <is>
          <t>[500502] سدة سعودي 3/4"</t>
        </is>
      </c>
      <c r="G22" s="6" t="n">
        <v>4</v>
      </c>
      <c r="H22" s="8" t="n">
        <v>0.625</v>
      </c>
      <c r="I22" s="8" t="n">
        <v>2.5</v>
      </c>
      <c r="J22" s="9" t="n"/>
      <c r="K22" s="9" t="n"/>
      <c r="L22" s="16" t="n"/>
      <c r="M22" s="17">
        <f>IFERROR(IF(K22="",G22,K22)*IF(L22="",H22,L22),"")</f>
        <v/>
      </c>
      <c r="N22" s="9" t="n"/>
      <c r="O22" s="9" t="n"/>
      <c r="P22" s="10" t="n"/>
    </row>
    <row r="23">
      <c r="A23" s="6" t="n">
        <v>568</v>
      </c>
      <c r="B23" s="7" t="inlineStr">
        <is>
          <t>INV/2024/00003</t>
        </is>
      </c>
      <c r="C23" s="6" t="inlineStr">
        <is>
          <t>2024-06-27</t>
        </is>
      </c>
      <c r="D23" s="6" t="n">
        <v>11</v>
      </c>
      <c r="E23" s="6" t="inlineStr">
        <is>
          <t>230049</t>
        </is>
      </c>
      <c r="F23" s="7" t="inlineStr">
        <is>
          <t>[230049] محبس دبل ايطالي</t>
        </is>
      </c>
      <c r="G23" s="6" t="n">
        <v>1</v>
      </c>
      <c r="H23" s="8" t="n">
        <v>4</v>
      </c>
      <c r="I23" s="8" t="n">
        <v>4</v>
      </c>
      <c r="J23" s="9" t="n"/>
      <c r="K23" s="9" t="n"/>
      <c r="L23" s="16" t="n"/>
      <c r="M23" s="17">
        <f>IFERROR(IF(K23="",G23,K23)*IF(L23="",H23,L23),"")</f>
        <v/>
      </c>
      <c r="N23" s="9" t="n"/>
      <c r="O23" s="9" t="n"/>
      <c r="P23" s="10" t="n"/>
    </row>
    <row r="24">
      <c r="A24" s="6" t="n">
        <v>569</v>
      </c>
      <c r="B24" s="7" t="inlineStr">
        <is>
          <t>INV/2024/00003</t>
        </is>
      </c>
      <c r="C24" s="6" t="inlineStr">
        <is>
          <t>2024-06-27</t>
        </is>
      </c>
      <c r="D24" s="6" t="n">
        <v>12</v>
      </c>
      <c r="E24" s="6" t="inlineStr">
        <is>
          <t>500106</t>
        </is>
      </c>
      <c r="F24" s="7" t="inlineStr">
        <is>
          <t>[500106] محبس زاوية ايطالي</t>
        </is>
      </c>
      <c r="G24" s="6" t="n">
        <v>4</v>
      </c>
      <c r="H24" s="8" t="n">
        <v>2.5</v>
      </c>
      <c r="I24" s="8" t="n">
        <v>10</v>
      </c>
      <c r="J24" s="9" t="n"/>
      <c r="K24" s="9" t="n"/>
      <c r="L24" s="16" t="n"/>
      <c r="M24" s="17">
        <f>IFERROR(IF(K24="",G24,K24)*IF(L24="",H24,L24),"")</f>
        <v/>
      </c>
      <c r="N24" s="9" t="n"/>
      <c r="O24" s="9" t="n"/>
      <c r="P24" s="10" t="n"/>
    </row>
    <row r="25">
      <c r="A25" s="6" t="n">
        <v>570</v>
      </c>
      <c r="B25" s="7" t="inlineStr">
        <is>
          <t>INV/2024/00003</t>
        </is>
      </c>
      <c r="C25" s="6" t="inlineStr">
        <is>
          <t>2024-06-27</t>
        </is>
      </c>
      <c r="D25" s="6" t="n">
        <v>13</v>
      </c>
      <c r="E25" s="6" t="inlineStr">
        <is>
          <t>500786</t>
        </is>
      </c>
      <c r="F25" s="7" t="inlineStr">
        <is>
          <t>[500786] بربيش كيزر (اسباني/ايطالي) 40 سم</t>
        </is>
      </c>
      <c r="G25" s="6" t="n">
        <v>1</v>
      </c>
      <c r="H25" s="8" t="n">
        <v>1.5</v>
      </c>
      <c r="I25" s="8" t="n">
        <v>1.5</v>
      </c>
      <c r="J25" s="9" t="n"/>
      <c r="K25" s="9" t="n"/>
      <c r="L25" s="16" t="n"/>
      <c r="M25" s="17">
        <f>IFERROR(IF(K25="",G25,K25)*IF(L25="",H25,L25),"")</f>
        <v/>
      </c>
      <c r="N25" s="9" t="n"/>
      <c r="O25" s="9" t="n"/>
      <c r="P25" s="10" t="n"/>
    </row>
    <row r="26">
      <c r="A26" s="6" t="n">
        <v>575</v>
      </c>
      <c r="B26" s="7" t="inlineStr">
        <is>
          <t>INV/2024/00003</t>
        </is>
      </c>
      <c r="C26" s="6" t="inlineStr">
        <is>
          <t>2024-06-27</t>
        </is>
      </c>
      <c r="D26" s="6" t="n">
        <v>14</v>
      </c>
      <c r="E26" s="6" t="inlineStr">
        <is>
          <t>900919</t>
        </is>
      </c>
      <c r="F26" s="7" t="inlineStr">
        <is>
          <t>[900919] مكنسة ناعمة مع عصا زان</t>
        </is>
      </c>
      <c r="G26" s="6" t="n">
        <v>1</v>
      </c>
      <c r="H26" s="8" t="n">
        <v>3</v>
      </c>
      <c r="I26" s="8" t="n">
        <v>3</v>
      </c>
      <c r="J26" s="9" t="n"/>
      <c r="K26" s="9" t="n"/>
      <c r="L26" s="16" t="n"/>
      <c r="M26" s="17">
        <f>IFERROR(IF(K26="",G26,K26)*IF(L26="",H26,L26),"")</f>
        <v/>
      </c>
      <c r="N26" s="9" t="n"/>
      <c r="O26" s="9" t="n"/>
      <c r="P26" s="10" t="n"/>
    </row>
    <row r="27">
      <c r="A27" s="6" t="n">
        <v>572</v>
      </c>
      <c r="B27" s="7" t="inlineStr">
        <is>
          <t>INV/2024/00003</t>
        </is>
      </c>
      <c r="C27" s="6" t="inlineStr">
        <is>
          <t>2024-06-27</t>
        </is>
      </c>
      <c r="D27" s="6" t="n">
        <v>15</v>
      </c>
      <c r="E27" s="6" t="inlineStr">
        <is>
          <t>900920</t>
        </is>
      </c>
      <c r="F27" s="7" t="inlineStr">
        <is>
          <t>[900920] مكنسة خشنة مع عصا زان</t>
        </is>
      </c>
      <c r="G27" s="6" t="n">
        <v>1</v>
      </c>
      <c r="H27" s="8" t="n">
        <v>3</v>
      </c>
      <c r="I27" s="8" t="n">
        <v>3</v>
      </c>
      <c r="J27" s="9" t="n"/>
      <c r="K27" s="9" t="n"/>
      <c r="L27" s="16" t="n"/>
      <c r="M27" s="17">
        <f>IFERROR(IF(K27="",G27,K27)*IF(L27="",H27,L27),"")</f>
        <v/>
      </c>
      <c r="N27" s="9" t="n"/>
      <c r="O27" s="9" t="n"/>
      <c r="P27" s="10" t="n"/>
    </row>
    <row r="28">
      <c r="A28" s="6" t="n">
        <v>573</v>
      </c>
      <c r="B28" s="7" t="inlineStr">
        <is>
          <t>INV/2024/00003</t>
        </is>
      </c>
      <c r="C28" s="6" t="inlineStr">
        <is>
          <t>2024-06-27</t>
        </is>
      </c>
      <c r="D28" s="6" t="n">
        <v>16</v>
      </c>
      <c r="E28" s="6" t="inlineStr">
        <is>
          <t>900036</t>
        </is>
      </c>
      <c r="F28" s="7" t="inlineStr">
        <is>
          <t>[900036] سلك مجدول اسود</t>
        </is>
      </c>
      <c r="G28" s="6" t="n">
        <v>5</v>
      </c>
      <c r="H28" s="8" t="n">
        <v>2.25</v>
      </c>
      <c r="I28" s="8" t="n">
        <v>11.25</v>
      </c>
      <c r="J28" s="9" t="n"/>
      <c r="K28" s="9" t="n"/>
      <c r="L28" s="16" t="n"/>
      <c r="M28" s="17">
        <f>IFERROR(IF(K28="",G28,K28)*IF(L28="",H28,L28),"")</f>
        <v/>
      </c>
      <c r="N28" s="9" t="n"/>
      <c r="O28" s="9" t="n"/>
      <c r="P28" s="10" t="n"/>
    </row>
    <row r="29">
      <c r="A29" s="6" t="n">
        <v>643</v>
      </c>
      <c r="B29" s="7" t="inlineStr">
        <is>
          <t>INV/2024/00015</t>
        </is>
      </c>
      <c r="C29" s="6" t="inlineStr">
        <is>
          <t>2024-07-21</t>
        </is>
      </c>
      <c r="D29" s="6" t="n">
        <v>1</v>
      </c>
      <c r="E29" s="6" t="inlineStr">
        <is>
          <t>500410</t>
        </is>
      </c>
      <c r="F29" s="7" t="inlineStr">
        <is>
          <t>[500410] ماسورة بلاستيك 4" ضغط صغير ومرار</t>
        </is>
      </c>
      <c r="G29" s="6" t="n">
        <v>23</v>
      </c>
      <c r="H29" s="8" t="n">
        <v>2.5</v>
      </c>
      <c r="I29" s="8" t="n">
        <v>57.5</v>
      </c>
      <c r="J29" s="9" t="n"/>
      <c r="K29" s="9" t="n"/>
      <c r="L29" s="16" t="n"/>
      <c r="M29" s="17">
        <f>IFERROR(IF(K29="",G29,K29)*IF(L29="",H29,L29),"")</f>
        <v/>
      </c>
      <c r="N29" s="9" t="n"/>
      <c r="O29" s="9" t="n"/>
      <c r="P29" s="10" t="n"/>
    </row>
    <row r="30">
      <c r="A30" s="6" t="n">
        <v>644</v>
      </c>
      <c r="B30" s="7" t="inlineStr">
        <is>
          <t>INV/2024/00015</t>
        </is>
      </c>
      <c r="C30" s="6" t="inlineStr">
        <is>
          <t>2024-07-21</t>
        </is>
      </c>
      <c r="D30" s="6" t="n">
        <v>2</v>
      </c>
      <c r="E30" s="6" t="inlineStr">
        <is>
          <t>900002</t>
        </is>
      </c>
      <c r="F30" s="7" t="inlineStr">
        <is>
          <t>[900002] شوال اسمنت ابيض</t>
        </is>
      </c>
      <c r="G30" s="6" t="n">
        <v>2</v>
      </c>
      <c r="H30" s="8" t="n">
        <v>5</v>
      </c>
      <c r="I30" s="8" t="n">
        <v>10</v>
      </c>
      <c r="J30" s="9" t="n"/>
      <c r="K30" s="9" t="n"/>
      <c r="L30" s="16" t="n"/>
      <c r="M30" s="17">
        <f>IFERROR(IF(K30="",G30,K30)*IF(L30="",H30,L30),"")</f>
        <v/>
      </c>
      <c r="N30" s="9" t="n"/>
      <c r="O30" s="9" t="n"/>
      <c r="P30" s="10" t="n"/>
    </row>
    <row r="31">
      <c r="A31" s="6" t="n">
        <v>645</v>
      </c>
      <c r="B31" s="7" t="inlineStr">
        <is>
          <t>INV/2024/00015</t>
        </is>
      </c>
      <c r="C31" s="6" t="inlineStr">
        <is>
          <t>2024-07-21</t>
        </is>
      </c>
      <c r="D31" s="6" t="n">
        <v>3</v>
      </c>
      <c r="E31" s="6" t="inlineStr">
        <is>
          <t>701021</t>
        </is>
      </c>
      <c r="F31" s="7" t="inlineStr">
        <is>
          <t>[701021] مشرط OLFA جودة عالية</t>
        </is>
      </c>
      <c r="G31" s="6" t="n">
        <v>1</v>
      </c>
      <c r="H31" s="8" t="n">
        <v>2</v>
      </c>
      <c r="I31" s="8" t="n">
        <v>2</v>
      </c>
      <c r="J31" s="9" t="n"/>
      <c r="K31" s="9" t="n"/>
      <c r="L31" s="16" t="n"/>
      <c r="M31" s="17">
        <f>IFERROR(IF(K31="",G31,K31)*IF(L31="",H31,L31),"")</f>
        <v/>
      </c>
      <c r="N31" s="9" t="n"/>
      <c r="O31" s="9" t="n"/>
      <c r="P31" s="10" t="n"/>
    </row>
    <row r="32">
      <c r="A32" s="6" t="n">
        <v>646</v>
      </c>
      <c r="B32" s="7" t="inlineStr">
        <is>
          <t>INV/2024/00015</t>
        </is>
      </c>
      <c r="C32" s="6" t="inlineStr">
        <is>
          <t>2024-07-21</t>
        </is>
      </c>
      <c r="D32" s="6" t="n">
        <v>4</v>
      </c>
      <c r="E32" s="6" t="inlineStr">
        <is>
          <t>500379</t>
        </is>
      </c>
      <c r="F32" s="7" t="inlineStr">
        <is>
          <t>[500379] اجو (اسود) 1/4 ك شنل امريكي</t>
        </is>
      </c>
      <c r="G32" s="6" t="n">
        <v>2</v>
      </c>
      <c r="H32" s="8" t="n">
        <v>3.5</v>
      </c>
      <c r="I32" s="8" t="n">
        <v>7</v>
      </c>
      <c r="J32" s="9" t="n"/>
      <c r="K32" s="9" t="n"/>
      <c r="L32" s="16" t="n"/>
      <c r="M32" s="17">
        <f>IFERROR(IF(K32="",G32,K32)*IF(L32="",H32,L32),"")</f>
        <v/>
      </c>
      <c r="N32" s="9" t="n"/>
      <c r="O32" s="9" t="n"/>
      <c r="P32" s="10" t="n"/>
    </row>
    <row r="33">
      <c r="A33" s="6" t="n">
        <v>647</v>
      </c>
      <c r="B33" s="7" t="inlineStr">
        <is>
          <t>INV/2024/00015</t>
        </is>
      </c>
      <c r="C33" s="6" t="inlineStr">
        <is>
          <t>2024-07-21</t>
        </is>
      </c>
      <c r="D33" s="6" t="n">
        <v>5</v>
      </c>
      <c r="E33" s="6" t="inlineStr">
        <is>
          <t>500378</t>
        </is>
      </c>
      <c r="F33" s="7" t="inlineStr">
        <is>
          <t>[500378] اجو (اسود) 1/2 ك شنل امريكي</t>
        </is>
      </c>
      <c r="G33" s="6" t="n">
        <v>2</v>
      </c>
      <c r="H33" s="8" t="n">
        <v>4.5</v>
      </c>
      <c r="I33" s="8" t="n">
        <v>9</v>
      </c>
      <c r="J33" s="9" t="n"/>
      <c r="K33" s="9" t="n"/>
      <c r="L33" s="16" t="n"/>
      <c r="M33" s="17">
        <f>IFERROR(IF(K33="",G33,K33)*IF(L33="",H33,L33),"")</f>
        <v/>
      </c>
      <c r="N33" s="9" t="n"/>
      <c r="O33" s="9" t="n"/>
      <c r="P33" s="10" t="n"/>
    </row>
    <row r="34">
      <c r="A34" s="6" t="n">
        <v>648</v>
      </c>
      <c r="B34" s="7" t="inlineStr">
        <is>
          <t>INV/2024/00015</t>
        </is>
      </c>
      <c r="C34" s="6" t="inlineStr">
        <is>
          <t>2024-07-21</t>
        </is>
      </c>
      <c r="D34" s="6" t="n">
        <v>6</v>
      </c>
      <c r="E34" s="6" t="inlineStr">
        <is>
          <t>900036</t>
        </is>
      </c>
      <c r="F34" s="7" t="inlineStr">
        <is>
          <t>[900036] سلك مجدول اسود</t>
        </is>
      </c>
      <c r="G34" s="6" t="n">
        <v>5</v>
      </c>
      <c r="H34" s="8" t="n">
        <v>2.25</v>
      </c>
      <c r="I34" s="8" t="n">
        <v>11.25</v>
      </c>
      <c r="J34" s="9" t="n"/>
      <c r="K34" s="9" t="n"/>
      <c r="L34" s="16" t="n"/>
      <c r="M34" s="17">
        <f>IFERROR(IF(K34="",G34,K34)*IF(L34="",H34,L34),"")</f>
        <v/>
      </c>
      <c r="N34" s="9" t="n"/>
      <c r="O34" s="9" t="n"/>
      <c r="P34" s="10" t="n"/>
    </row>
    <row r="35">
      <c r="A35" s="6" t="n">
        <v>649</v>
      </c>
      <c r="B35" s="7" t="inlineStr">
        <is>
          <t>INV/2024/00015</t>
        </is>
      </c>
      <c r="C35" s="6" t="inlineStr">
        <is>
          <t>2024-07-21</t>
        </is>
      </c>
      <c r="D35" s="6" t="n">
        <v>7</v>
      </c>
      <c r="E35" s="6" t="inlineStr">
        <is>
          <t>900037</t>
        </is>
      </c>
      <c r="F35" s="7" t="inlineStr">
        <is>
          <t>[900037] سلك تربيط ناعم ابيض</t>
        </is>
      </c>
      <c r="G35" s="6" t="n">
        <v>5</v>
      </c>
      <c r="H35" s="8" t="n">
        <v>1.25</v>
      </c>
      <c r="I35" s="8" t="n">
        <v>6.25</v>
      </c>
      <c r="J35" s="9" t="n"/>
      <c r="K35" s="9" t="n"/>
      <c r="L35" s="16" t="n"/>
      <c r="M35" s="17">
        <f>IFERROR(IF(K35="",G35,K35)*IF(L35="",H35,L35),"")</f>
        <v/>
      </c>
      <c r="N35" s="9" t="n"/>
      <c r="O35" s="9" t="n"/>
      <c r="P35" s="10" t="n"/>
    </row>
    <row r="36">
      <c r="A36" s="6" t="n">
        <v>650</v>
      </c>
      <c r="B36" s="7" t="inlineStr">
        <is>
          <t>INV/2024/00015</t>
        </is>
      </c>
      <c r="C36" s="6" t="inlineStr">
        <is>
          <t>2024-07-21</t>
        </is>
      </c>
      <c r="D36" s="6" t="n">
        <v>8</v>
      </c>
      <c r="E36" s="6" t="inlineStr">
        <is>
          <t>600185</t>
        </is>
      </c>
      <c r="F36" s="7" t="inlineStr">
        <is>
          <t>[600185] سبوت 36 واط خارجي</t>
        </is>
      </c>
      <c r="G36" s="6" t="n">
        <v>4</v>
      </c>
      <c r="H36" s="8" t="n">
        <v>3</v>
      </c>
      <c r="I36" s="8" t="n">
        <v>12</v>
      </c>
      <c r="J36" s="9" t="n"/>
      <c r="K36" s="9" t="n"/>
      <c r="L36" s="16" t="n"/>
      <c r="M36" s="17">
        <f>IFERROR(IF(K36="",G36,K36)*IF(L36="",H36,L36),"")</f>
        <v/>
      </c>
      <c r="N36" s="9" t="n"/>
      <c r="O36" s="9" t="n"/>
      <c r="P36" s="10" t="n"/>
    </row>
    <row r="37">
      <c r="A37" s="6" t="n">
        <v>651</v>
      </c>
      <c r="B37" s="7" t="inlineStr">
        <is>
          <t>INV/2024/00015</t>
        </is>
      </c>
      <c r="C37" s="6" t="inlineStr">
        <is>
          <t>2024-07-21</t>
        </is>
      </c>
      <c r="D37" s="6" t="n">
        <v>9</v>
      </c>
      <c r="E37" s="6" t="inlineStr">
        <is>
          <t>900917</t>
        </is>
      </c>
      <c r="F37" s="7" t="inlineStr">
        <is>
          <t>[900917] اسفين حجر بناء</t>
        </is>
      </c>
      <c r="G37" s="6" t="n">
        <v>20</v>
      </c>
      <c r="H37" s="8" t="n">
        <v>0.75</v>
      </c>
      <c r="I37" s="8" t="n">
        <v>15</v>
      </c>
      <c r="J37" s="9" t="n"/>
      <c r="K37" s="9" t="n"/>
      <c r="L37" s="16" t="n"/>
      <c r="M37" s="17">
        <f>IFERROR(IF(K37="",G37,K37)*IF(L37="",H37,L37),"")</f>
        <v/>
      </c>
      <c r="N37" s="9" t="n"/>
      <c r="O37" s="9" t="n"/>
      <c r="P37" s="10" t="n"/>
    </row>
    <row r="38">
      <c r="A38" s="6" t="n">
        <v>652</v>
      </c>
      <c r="B38" s="7" t="inlineStr">
        <is>
          <t>INV/2024/00015</t>
        </is>
      </c>
      <c r="C38" s="6" t="inlineStr">
        <is>
          <t>2024-07-21</t>
        </is>
      </c>
      <c r="D38" s="6" t="n">
        <v>10</v>
      </c>
      <c r="E38" s="6" t="inlineStr">
        <is>
          <t>700303</t>
        </is>
      </c>
      <c r="F38" s="7" t="inlineStr">
        <is>
          <t>[700303] بطارية قلم ريموت AAA</t>
        </is>
      </c>
      <c r="G38" s="6" t="n">
        <v>4</v>
      </c>
      <c r="H38" s="8" t="n">
        <v>0.5</v>
      </c>
      <c r="I38" s="8" t="n">
        <v>2</v>
      </c>
      <c r="J38" s="9" t="n"/>
      <c r="K38" s="9" t="n"/>
      <c r="L38" s="16" t="n"/>
      <c r="M38" s="17">
        <f>IFERROR(IF(K38="",G38,K38)*IF(L38="",H38,L38),"")</f>
        <v/>
      </c>
      <c r="N38" s="9" t="n"/>
      <c r="O38" s="9" t="n"/>
      <c r="P38" s="10" t="n"/>
    </row>
    <row r="39">
      <c r="A39" s="6" t="n">
        <v>654</v>
      </c>
      <c r="B39" s="7" t="inlineStr">
        <is>
          <t>INV/2024/00016</t>
        </is>
      </c>
      <c r="C39" s="6" t="inlineStr">
        <is>
          <t>2024-08-04</t>
        </is>
      </c>
      <c r="D39" s="6" t="n">
        <v>1</v>
      </c>
      <c r="E39" s="6" t="inlineStr">
        <is>
          <t>500425</t>
        </is>
      </c>
      <c r="F39" s="7" t="inlineStr">
        <is>
          <t>[500425] مفة بلاستيك 2" ضغط صغير ومرار</t>
        </is>
      </c>
      <c r="G39" s="6" t="n">
        <v>10</v>
      </c>
      <c r="H39" s="8" t="n">
        <v>0.35</v>
      </c>
      <c r="I39" s="8" t="n">
        <v>3.5</v>
      </c>
      <c r="J39" s="9" t="n"/>
      <c r="K39" s="9" t="n"/>
      <c r="L39" s="16" t="n"/>
      <c r="M39" s="17">
        <f>IFERROR(IF(K39="",G39,K39)*IF(L39="",H39,L39),"")</f>
        <v/>
      </c>
      <c r="N39" s="9" t="n"/>
      <c r="O39" s="9" t="n"/>
      <c r="P39" s="10" t="n"/>
    </row>
    <row r="40">
      <c r="A40" s="6" t="n">
        <v>655</v>
      </c>
      <c r="B40" s="7" t="inlineStr">
        <is>
          <t>INV/2024/00016</t>
        </is>
      </c>
      <c r="C40" s="6" t="inlineStr">
        <is>
          <t>2024-08-04</t>
        </is>
      </c>
      <c r="D40" s="6" t="n">
        <v>2</v>
      </c>
      <c r="E40" s="6" t="inlineStr">
        <is>
          <t>500377</t>
        </is>
      </c>
      <c r="F40" s="7" t="inlineStr">
        <is>
          <t>[500377] اجو (اسود) 1 ك شنل امريكي</t>
        </is>
      </c>
      <c r="G40" s="6" t="n">
        <v>2</v>
      </c>
      <c r="H40" s="8" t="n">
        <v>6</v>
      </c>
      <c r="I40" s="8" t="n">
        <v>12</v>
      </c>
      <c r="J40" s="9" t="n"/>
      <c r="K40" s="9" t="n"/>
      <c r="L40" s="16" t="n"/>
      <c r="M40" s="17">
        <f>IFERROR(IF(K40="",G40,K40)*IF(L40="",H40,L40),"")</f>
        <v/>
      </c>
      <c r="N40" s="9" t="n"/>
      <c r="O40" s="9" t="n"/>
      <c r="P40" s="10" t="n"/>
    </row>
    <row r="41">
      <c r="A41" s="6" t="n">
        <v>656</v>
      </c>
      <c r="B41" s="7" t="inlineStr">
        <is>
          <t>INV/2024/00016</t>
        </is>
      </c>
      <c r="C41" s="6" t="inlineStr">
        <is>
          <t>2024-08-04</t>
        </is>
      </c>
      <c r="D41" s="6" t="n">
        <v>3</v>
      </c>
      <c r="E41" s="6" t="inlineStr">
        <is>
          <t>500531</t>
        </is>
      </c>
      <c r="F41" s="7" t="inlineStr">
        <is>
          <t>[500531] ماسورة بلاستيك 2" ضغط اردني (فصول)</t>
        </is>
      </c>
      <c r="G41" s="6" t="n">
        <v>12</v>
      </c>
      <c r="H41" s="8" t="n">
        <v>0.75</v>
      </c>
      <c r="I41" s="8" t="n">
        <v>9</v>
      </c>
      <c r="J41" s="9" t="n"/>
      <c r="K41" s="9" t="n"/>
      <c r="L41" s="16" t="n"/>
      <c r="M41" s="17">
        <f>IFERROR(IF(K41="",G41,K41)*IF(L41="",H41,L41),"")</f>
        <v/>
      </c>
      <c r="N41" s="9" t="n"/>
      <c r="O41" s="9" t="n"/>
      <c r="P41" s="10" t="n"/>
    </row>
    <row r="42">
      <c r="A42" s="6" t="n">
        <v>657</v>
      </c>
      <c r="B42" s="7" t="inlineStr">
        <is>
          <t>INV/2024/00016</t>
        </is>
      </c>
      <c r="C42" s="6" t="inlineStr">
        <is>
          <t>2024-08-04</t>
        </is>
      </c>
      <c r="D42" s="6" t="n">
        <v>4</v>
      </c>
      <c r="E42" s="6" t="inlineStr">
        <is>
          <t>500533</t>
        </is>
      </c>
      <c r="F42" s="7" t="inlineStr">
        <is>
          <t>[500533] ماسورة بلاستيك 4" ضغط اردني (فصول)</t>
        </is>
      </c>
      <c r="G42" s="6" t="n">
        <v>12</v>
      </c>
      <c r="H42" s="8" t="n">
        <v>1.5</v>
      </c>
      <c r="I42" s="8" t="n">
        <v>18</v>
      </c>
      <c r="J42" s="9" t="n"/>
      <c r="K42" s="9" t="n"/>
      <c r="L42" s="16" t="n"/>
      <c r="M42" s="17">
        <f>IFERROR(IF(K42="",G42,K42)*IF(L42="",H42,L42),"")</f>
        <v/>
      </c>
      <c r="N42" s="9" t="n"/>
      <c r="O42" s="9" t="n"/>
      <c r="P42" s="10" t="n"/>
    </row>
    <row r="43">
      <c r="A43" s="6" t="n">
        <v>658</v>
      </c>
      <c r="B43" s="7" t="inlineStr">
        <is>
          <t>INV/2024/00016</t>
        </is>
      </c>
      <c r="C43" s="6" t="inlineStr">
        <is>
          <t>2024-08-04</t>
        </is>
      </c>
      <c r="D43" s="6" t="n">
        <v>5</v>
      </c>
      <c r="E43" s="6" t="inlineStr">
        <is>
          <t>700021</t>
        </is>
      </c>
      <c r="F43" s="7" t="inlineStr">
        <is>
          <t>[700021] تب عزل سكني 14 يارد HIGH POWER</t>
        </is>
      </c>
      <c r="G43" s="6" t="n">
        <v>1</v>
      </c>
      <c r="H43" s="8" t="n">
        <v>1.5</v>
      </c>
      <c r="I43" s="8" t="n">
        <v>1.5</v>
      </c>
      <c r="J43" s="9" t="n"/>
      <c r="K43" s="9" t="n"/>
      <c r="L43" s="16" t="n"/>
      <c r="M43" s="17">
        <f>IFERROR(IF(K43="",G43,K43)*IF(L43="",H43,L43),"")</f>
        <v/>
      </c>
      <c r="N43" s="9" t="n"/>
      <c r="O43" s="9" t="n"/>
      <c r="P43" s="10" t="n"/>
    </row>
    <row r="44">
      <c r="A44" s="6" t="n">
        <v>659</v>
      </c>
      <c r="B44" s="7" t="inlineStr">
        <is>
          <t>INV/2024/00016</t>
        </is>
      </c>
      <c r="C44" s="6" t="inlineStr">
        <is>
          <t>2024-08-04</t>
        </is>
      </c>
      <c r="D44" s="6" t="n">
        <v>6</v>
      </c>
      <c r="E44" s="6" t="inlineStr">
        <is>
          <t>100310</t>
        </is>
      </c>
      <c r="F44" s="7" t="inlineStr">
        <is>
          <t>[100310] تفلون مواسير 10م</t>
        </is>
      </c>
      <c r="G44" s="6" t="n">
        <v>10</v>
      </c>
      <c r="H44" s="8" t="n">
        <v>0.25</v>
      </c>
      <c r="I44" s="8" t="n">
        <v>2.5</v>
      </c>
      <c r="J44" s="9" t="n"/>
      <c r="K44" s="9" t="n"/>
      <c r="L44" s="16" t="n"/>
      <c r="M44" s="17">
        <f>IFERROR(IF(K44="",G44,K44)*IF(L44="",H44,L44),"")</f>
        <v/>
      </c>
      <c r="N44" s="9" t="n"/>
      <c r="O44" s="9" t="n"/>
      <c r="P44" s="10" t="n"/>
    </row>
    <row r="45">
      <c r="A45" s="6" t="n">
        <v>660</v>
      </c>
      <c r="B45" s="7" t="inlineStr">
        <is>
          <t>INV/2024/00016</t>
        </is>
      </c>
      <c r="C45" s="6" t="inlineStr">
        <is>
          <t>2024-08-04</t>
        </is>
      </c>
      <c r="D45" s="6" t="n">
        <v>7</v>
      </c>
      <c r="E45" s="6" t="inlineStr">
        <is>
          <t>900037</t>
        </is>
      </c>
      <c r="F45" s="7" t="inlineStr">
        <is>
          <t>[900037] سلك تربيط ناعم ابيض</t>
        </is>
      </c>
      <c r="G45" s="6" t="n">
        <v>11</v>
      </c>
      <c r="H45" s="8" t="n">
        <v>1.25</v>
      </c>
      <c r="I45" s="8" t="n">
        <v>13.75</v>
      </c>
      <c r="J45" s="9" t="n"/>
      <c r="K45" s="9" t="n"/>
      <c r="L45" s="16" t="n"/>
      <c r="M45" s="17">
        <f>IFERROR(IF(K45="",G45,K45)*IF(L45="",H45,L45),"")</f>
        <v/>
      </c>
      <c r="N45" s="9" t="n"/>
      <c r="O45" s="9" t="n"/>
      <c r="P45" s="10" t="n"/>
    </row>
    <row r="46">
      <c r="A46" s="6" t="n">
        <v>661</v>
      </c>
      <c r="B46" s="7" t="inlineStr">
        <is>
          <t>INV/2024/00016</t>
        </is>
      </c>
      <c r="C46" s="6" t="inlineStr">
        <is>
          <t>2024-08-04</t>
        </is>
      </c>
      <c r="D46" s="6" t="n">
        <v>8</v>
      </c>
      <c r="E46" s="6" t="inlineStr">
        <is>
          <t>500431</t>
        </is>
      </c>
      <c r="F46" s="7" t="inlineStr">
        <is>
          <t>[500431] واي بلاستيك 4" ضغط صغير ومرار</t>
        </is>
      </c>
      <c r="G46" s="6" t="n">
        <v>1</v>
      </c>
      <c r="H46" s="8" t="n">
        <v>3</v>
      </c>
      <c r="I46" s="8" t="n">
        <v>3</v>
      </c>
      <c r="J46" s="9" t="n"/>
      <c r="K46" s="9" t="n"/>
      <c r="L46" s="16" t="n"/>
      <c r="M46" s="17">
        <f>IFERROR(IF(K46="",G46,K46)*IF(L46="",H46,L46),"")</f>
        <v/>
      </c>
      <c r="N46" s="9" t="n"/>
      <c r="O46" s="9" t="n"/>
      <c r="P46" s="10" t="n"/>
    </row>
    <row r="47">
      <c r="A47" s="6" t="n">
        <v>662</v>
      </c>
      <c r="B47" s="7" t="inlineStr">
        <is>
          <t>INV/2024/00016</t>
        </is>
      </c>
      <c r="C47" s="6" t="inlineStr">
        <is>
          <t>2024-08-04</t>
        </is>
      </c>
      <c r="D47" s="6" t="n">
        <v>9</v>
      </c>
      <c r="E47" s="6" t="inlineStr">
        <is>
          <t>500447</t>
        </is>
      </c>
      <c r="F47" s="7" t="inlineStr">
        <is>
          <t>[500447] فولتراب بلاستيك 2*4 ضغط صغير ومرار</t>
        </is>
      </c>
      <c r="G47" s="6" t="n">
        <v>2</v>
      </c>
      <c r="H47" s="8" t="n">
        <v>3.5</v>
      </c>
      <c r="I47" s="8" t="n">
        <v>7</v>
      </c>
      <c r="J47" s="9" t="n"/>
      <c r="K47" s="9" t="n"/>
      <c r="L47" s="16" t="n"/>
      <c r="M47" s="17">
        <f>IFERROR(IF(K47="",G47,K47)*IF(L47="",H47,L47),"")</f>
        <v/>
      </c>
      <c r="N47" s="9" t="n"/>
      <c r="O47" s="9" t="n"/>
      <c r="P47" s="10" t="n"/>
    </row>
    <row r="48">
      <c r="A48" s="6" t="n">
        <v>663</v>
      </c>
      <c r="B48" s="7" t="inlineStr">
        <is>
          <t>INV/2024/00016</t>
        </is>
      </c>
      <c r="C48" s="6" t="inlineStr">
        <is>
          <t>2024-08-04</t>
        </is>
      </c>
      <c r="D48" s="6" t="n">
        <v>10</v>
      </c>
      <c r="E48" s="6" t="inlineStr">
        <is>
          <t>500458</t>
        </is>
      </c>
      <c r="F48" s="7" t="inlineStr">
        <is>
          <t>[500458] سدة مع باب بلاستيك 4" ضغط صغير ومرار</t>
        </is>
      </c>
      <c r="G48" s="6" t="n">
        <v>2</v>
      </c>
      <c r="H48" s="8" t="n">
        <v>1.25</v>
      </c>
      <c r="I48" s="8" t="n">
        <v>2.5</v>
      </c>
      <c r="J48" s="9" t="n"/>
      <c r="K48" s="9" t="n"/>
      <c r="L48" s="16" t="n"/>
      <c r="M48" s="17">
        <f>IFERROR(IF(K48="",G48,K48)*IF(L48="",H48,L48),"")</f>
        <v/>
      </c>
      <c r="N48" s="9" t="n"/>
      <c r="O48" s="9" t="n"/>
      <c r="P48" s="10" t="n"/>
    </row>
    <row r="49">
      <c r="A49" s="6" t="n">
        <v>541</v>
      </c>
      <c r="B49" s="7" t="inlineStr">
        <is>
          <t>INV/2024/00002</t>
        </is>
      </c>
      <c r="C49" s="6" t="inlineStr">
        <is>
          <t>2024-09-06</t>
        </is>
      </c>
      <c r="D49" s="6" t="n">
        <v>1</v>
      </c>
      <c r="E49" s="6" t="inlineStr">
        <is>
          <t>900902</t>
        </is>
      </c>
      <c r="F49" s="7" t="inlineStr">
        <is>
          <t>[900902] بربيش كهرباء 19 ملم اسود</t>
        </is>
      </c>
      <c r="G49" s="6" t="n">
        <v>4</v>
      </c>
      <c r="H49" s="8" t="n">
        <v>2</v>
      </c>
      <c r="I49" s="8" t="n">
        <v>8</v>
      </c>
      <c r="J49" s="9" t="n"/>
      <c r="K49" s="9" t="n"/>
      <c r="L49" s="16" t="n"/>
      <c r="M49" s="17">
        <f>IFERROR(IF(K49="",G49,K49)*IF(L49="",H49,L49),"")</f>
        <v/>
      </c>
      <c r="N49" s="9" t="n"/>
      <c r="O49" s="9" t="n"/>
      <c r="P49" s="10" t="n"/>
    </row>
    <row r="50">
      <c r="A50" s="6" t="n">
        <v>542</v>
      </c>
      <c r="B50" s="7" t="inlineStr">
        <is>
          <t>INV/2024/00002</t>
        </is>
      </c>
      <c r="C50" s="6" t="inlineStr">
        <is>
          <t>2024-09-06</t>
        </is>
      </c>
      <c r="D50" s="6" t="n">
        <v>2</v>
      </c>
      <c r="E50" s="6" t="inlineStr">
        <is>
          <t>900917</t>
        </is>
      </c>
      <c r="F50" s="7" t="inlineStr">
        <is>
          <t>[900917] اسفين حجر بناء</t>
        </is>
      </c>
      <c r="G50" s="6" t="n">
        <v>40</v>
      </c>
      <c r="H50" s="8" t="n">
        <v>0.75</v>
      </c>
      <c r="I50" s="8" t="n">
        <v>30</v>
      </c>
      <c r="J50" s="9" t="n"/>
      <c r="K50" s="9" t="n"/>
      <c r="L50" s="16" t="n"/>
      <c r="M50" s="17">
        <f>IFERROR(IF(K50="",G50,K50)*IF(L50="",H50,L50),"")</f>
        <v/>
      </c>
      <c r="N50" s="9" t="n"/>
      <c r="O50" s="9" t="n"/>
      <c r="P50" s="10" t="n"/>
    </row>
    <row r="51">
      <c r="A51" s="6" t="n">
        <v>543</v>
      </c>
      <c r="B51" s="7" t="inlineStr">
        <is>
          <t>INV/2024/00002</t>
        </is>
      </c>
      <c r="C51" s="6" t="inlineStr">
        <is>
          <t>2024-09-06</t>
        </is>
      </c>
      <c r="D51" s="6" t="n">
        <v>3</v>
      </c>
      <c r="E51" s="6" t="inlineStr">
        <is>
          <t>500414</t>
        </is>
      </c>
      <c r="F51" s="7" t="inlineStr">
        <is>
          <t>[500414] كوع فاتح بلاستيك 4" ضغط صغير ومرار</t>
        </is>
      </c>
      <c r="G51" s="6" t="n">
        <v>3</v>
      </c>
      <c r="H51" s="8" t="n">
        <v>1.5</v>
      </c>
      <c r="I51" s="8" t="n">
        <v>4.5</v>
      </c>
      <c r="J51" s="9" t="n"/>
      <c r="K51" s="9" t="n"/>
      <c r="L51" s="16" t="n"/>
      <c r="M51" s="17">
        <f>IFERROR(IF(K51="",G51,K51)*IF(L51="",H51,L51),"")</f>
        <v/>
      </c>
      <c r="N51" s="9" t="n"/>
      <c r="O51" s="9" t="n"/>
      <c r="P51" s="10" t="n"/>
    </row>
    <row r="52">
      <c r="A52" s="6" t="n">
        <v>544</v>
      </c>
      <c r="B52" s="7" t="inlineStr">
        <is>
          <t>INV/2024/00002</t>
        </is>
      </c>
      <c r="C52" s="6" t="inlineStr">
        <is>
          <t>2024-09-06</t>
        </is>
      </c>
      <c r="D52" s="6" t="n">
        <v>4</v>
      </c>
      <c r="E52" s="6" t="inlineStr">
        <is>
          <t>500413</t>
        </is>
      </c>
      <c r="F52" s="7" t="inlineStr">
        <is>
          <t>[500413] كوع فاتح بلاستيك 6" ضغط صغير ومرار</t>
        </is>
      </c>
      <c r="G52" s="6" t="n">
        <v>4</v>
      </c>
      <c r="H52" s="8" t="n">
        <v>3.5</v>
      </c>
      <c r="I52" s="8" t="n">
        <v>14</v>
      </c>
      <c r="J52" s="9" t="n"/>
      <c r="K52" s="9" t="n"/>
      <c r="L52" s="16" t="n"/>
      <c r="M52" s="17">
        <f>IFERROR(IF(K52="",G52,K52)*IF(L52="",H52,L52),"")</f>
        <v/>
      </c>
      <c r="N52" s="9" t="n"/>
      <c r="O52" s="9" t="n"/>
      <c r="P52" s="10" t="n"/>
    </row>
    <row r="53">
      <c r="A53" s="6" t="n">
        <v>545</v>
      </c>
      <c r="B53" s="7" t="inlineStr">
        <is>
          <t>INV/2024/00002</t>
        </is>
      </c>
      <c r="C53" s="6" t="inlineStr">
        <is>
          <t>2024-09-06</t>
        </is>
      </c>
      <c r="D53" s="6" t="n">
        <v>5</v>
      </c>
      <c r="E53" s="6" t="inlineStr">
        <is>
          <t>900915</t>
        </is>
      </c>
      <c r="F53" s="7" t="inlineStr">
        <is>
          <t>[900915] سلك كهرباء كيبل 2×2.5 - لفة 100 يارد (91 متر)</t>
        </is>
      </c>
      <c r="G53" s="6" t="n">
        <v>1</v>
      </c>
      <c r="H53" s="8" t="n">
        <v>55</v>
      </c>
      <c r="I53" s="8" t="n">
        <v>55</v>
      </c>
      <c r="J53" s="9" t="n"/>
      <c r="K53" s="9" t="n"/>
      <c r="L53" s="16" t="n"/>
      <c r="M53" s="17">
        <f>IFERROR(IF(K53="",G53,K53)*IF(L53="",H53,L53),"")</f>
        <v/>
      </c>
      <c r="N53" s="9" t="n"/>
      <c r="O53" s="9" t="n"/>
      <c r="P53" s="10" t="n"/>
    </row>
    <row r="54">
      <c r="A54" s="6" t="n">
        <v>546</v>
      </c>
      <c r="B54" s="7" t="inlineStr">
        <is>
          <t>INV/2024/00002</t>
        </is>
      </c>
      <c r="C54" s="6" t="inlineStr">
        <is>
          <t>2024-09-06</t>
        </is>
      </c>
      <c r="D54" s="6" t="n">
        <v>6</v>
      </c>
      <c r="E54" s="6" t="inlineStr">
        <is>
          <t>701635</t>
        </is>
      </c>
      <c r="F54" s="7" t="inlineStr">
        <is>
          <t>[701635] درم ستوك ايطالي مع منشف</t>
        </is>
      </c>
      <c r="G54" s="6" t="n">
        <v>1</v>
      </c>
      <c r="H54" s="8" t="n">
        <v>27</v>
      </c>
      <c r="I54" s="8" t="n">
        <v>27</v>
      </c>
      <c r="J54" s="9" t="n"/>
      <c r="K54" s="9" t="n"/>
      <c r="L54" s="16" t="n"/>
      <c r="M54" s="17">
        <f>IFERROR(IF(K54="",G54,K54)*IF(L54="",H54,L54),"")</f>
        <v/>
      </c>
      <c r="N54" s="9" t="n"/>
      <c r="O54" s="9" t="n"/>
      <c r="P54" s="10" t="n"/>
    </row>
    <row r="55">
      <c r="A55" s="6" t="n">
        <v>547</v>
      </c>
      <c r="B55" s="7" t="inlineStr">
        <is>
          <t>INV/2024/00002</t>
        </is>
      </c>
      <c r="C55" s="6" t="inlineStr">
        <is>
          <t>2024-09-06</t>
        </is>
      </c>
      <c r="D55" s="6" t="n">
        <v>7</v>
      </c>
      <c r="E55" s="6" t="inlineStr">
        <is>
          <t>900917</t>
        </is>
      </c>
      <c r="F55" s="7" t="inlineStr">
        <is>
          <t>[900917] اسفين حجر بناء</t>
        </is>
      </c>
      <c r="G55" s="6" t="n">
        <v>25</v>
      </c>
      <c r="H55" s="8" t="n">
        <v>0.75</v>
      </c>
      <c r="I55" s="8" t="n">
        <v>18.75</v>
      </c>
      <c r="J55" s="9" t="n"/>
      <c r="K55" s="9" t="n"/>
      <c r="L55" s="16" t="n"/>
      <c r="M55" s="17">
        <f>IFERROR(IF(K55="",G55,K55)*IF(L55="",H55,L55),"")</f>
        <v/>
      </c>
      <c r="N55" s="9" t="n"/>
      <c r="O55" s="9" t="n"/>
      <c r="P55" s="10" t="n"/>
    </row>
    <row r="56">
      <c r="A56" s="6" t="n">
        <v>548</v>
      </c>
      <c r="B56" s="7" t="inlineStr">
        <is>
          <t>INV/2024/00002</t>
        </is>
      </c>
      <c r="C56" s="6" t="inlineStr">
        <is>
          <t>2024-09-06</t>
        </is>
      </c>
      <c r="D56" s="6" t="n">
        <v>8</v>
      </c>
      <c r="E56" s="6" t="inlineStr">
        <is>
          <t>700325</t>
        </is>
      </c>
      <c r="F56" s="7" t="inlineStr">
        <is>
          <t>[700325] عصا كريك</t>
        </is>
      </c>
      <c r="G56" s="6" t="n">
        <v>2</v>
      </c>
      <c r="H56" s="8" t="n">
        <v>1.5</v>
      </c>
      <c r="I56" s="8" t="n">
        <v>3</v>
      </c>
      <c r="J56" s="9" t="n"/>
      <c r="K56" s="9" t="n"/>
      <c r="L56" s="16" t="n"/>
      <c r="M56" s="17">
        <f>IFERROR(IF(K56="",G56,K56)*IF(L56="",H56,L56),"")</f>
        <v/>
      </c>
      <c r="N56" s="9" t="n"/>
      <c r="O56" s="9" t="n"/>
      <c r="P56" s="10" t="n"/>
    </row>
    <row r="57">
      <c r="A57" s="6" t="n">
        <v>549</v>
      </c>
      <c r="B57" s="7" t="inlineStr">
        <is>
          <t>INV/2024/00002</t>
        </is>
      </c>
      <c r="C57" s="6" t="inlineStr">
        <is>
          <t>2024-09-06</t>
        </is>
      </c>
      <c r="D57" s="6" t="n">
        <v>9</v>
      </c>
      <c r="E57" s="6" t="inlineStr">
        <is>
          <t>500353</t>
        </is>
      </c>
      <c r="F57" s="7" t="inlineStr">
        <is>
          <t>[500353] مضخة صيني 1/2 حصان</t>
        </is>
      </c>
      <c r="G57" s="6" t="n">
        <v>1</v>
      </c>
      <c r="H57" s="8" t="n">
        <v>25</v>
      </c>
      <c r="I57" s="8" t="n">
        <v>25</v>
      </c>
      <c r="J57" s="9" t="n"/>
      <c r="K57" s="9" t="n"/>
      <c r="L57" s="16" t="n"/>
      <c r="M57" s="17">
        <f>IFERROR(IF(K57="",G57,K57)*IF(L57="",H57,L57),"")</f>
        <v/>
      </c>
      <c r="N57" s="9" t="n"/>
      <c r="O57" s="9" t="n"/>
      <c r="P57" s="10" t="n"/>
    </row>
    <row r="58">
      <c r="A58" s="6" t="n">
        <v>550</v>
      </c>
      <c r="B58" s="7" t="inlineStr">
        <is>
          <t>INV/2024/00002</t>
        </is>
      </c>
      <c r="C58" s="6" t="inlineStr">
        <is>
          <t>2024-09-06</t>
        </is>
      </c>
      <c r="D58" s="6" t="n">
        <v>10</v>
      </c>
      <c r="E58" s="6" t="inlineStr">
        <is>
          <t>701173</t>
        </is>
      </c>
      <c r="F58" s="7" t="inlineStr">
        <is>
          <t>[701173] بربيش ماء شفاف 3/4 * 25 متر كريستال</t>
        </is>
      </c>
      <c r="G58" s="6" t="n">
        <v>1</v>
      </c>
      <c r="H58" s="8" t="n">
        <v>25</v>
      </c>
      <c r="I58" s="8" t="n">
        <v>25</v>
      </c>
      <c r="J58" s="9" t="n"/>
      <c r="K58" s="9" t="n"/>
      <c r="L58" s="16" t="n"/>
      <c r="M58" s="17">
        <f>IFERROR(IF(K58="",G58,K58)*IF(L58="",H58,L58),"")</f>
        <v/>
      </c>
      <c r="N58" s="9" t="n"/>
      <c r="O58" s="9" t="n"/>
      <c r="P58" s="10" t="n"/>
    </row>
    <row r="59">
      <c r="A59" s="6" t="n">
        <v>551</v>
      </c>
      <c r="B59" s="7" t="inlineStr">
        <is>
          <t>INV/2024/00002</t>
        </is>
      </c>
      <c r="C59" s="6" t="inlineStr">
        <is>
          <t>2024-09-06</t>
        </is>
      </c>
      <c r="D59" s="6" t="n">
        <v>11</v>
      </c>
      <c r="E59" s="6" t="inlineStr">
        <is>
          <t>900036</t>
        </is>
      </c>
      <c r="F59" s="7" t="inlineStr">
        <is>
          <t>[900036] سلك مجدول اسود</t>
        </is>
      </c>
      <c r="G59" s="6" t="n">
        <v>10</v>
      </c>
      <c r="H59" s="8" t="n">
        <v>2.25</v>
      </c>
      <c r="I59" s="8" t="n">
        <v>22.5</v>
      </c>
      <c r="J59" s="9" t="n"/>
      <c r="K59" s="9" t="n"/>
      <c r="L59" s="16" t="n"/>
      <c r="M59" s="17">
        <f>IFERROR(IF(K59="",G59,K59)*IF(L59="",H59,L59),"")</f>
        <v/>
      </c>
      <c r="N59" s="9" t="n"/>
      <c r="O59" s="9" t="n"/>
      <c r="P59" s="10" t="n"/>
    </row>
    <row r="60">
      <c r="A60" s="6" t="n">
        <v>552</v>
      </c>
      <c r="B60" s="7" t="inlineStr">
        <is>
          <t>INV/2024/00002</t>
        </is>
      </c>
      <c r="C60" s="6" t="inlineStr">
        <is>
          <t>2024-09-06</t>
        </is>
      </c>
      <c r="D60" s="6" t="n">
        <v>12</v>
      </c>
      <c r="E60" s="6" t="inlineStr">
        <is>
          <t>900002</t>
        </is>
      </c>
      <c r="F60" s="7" t="inlineStr">
        <is>
          <t>[900002] شوال اسمنت ابيض</t>
        </is>
      </c>
      <c r="G60" s="6" t="n">
        <v>3</v>
      </c>
      <c r="H60" s="8" t="n">
        <v>5</v>
      </c>
      <c r="I60" s="8" t="n">
        <v>15</v>
      </c>
      <c r="J60" s="9" t="n"/>
      <c r="K60" s="9" t="n"/>
      <c r="L60" s="16" t="n"/>
      <c r="M60" s="17">
        <f>IFERROR(IF(K60="",G60,K60)*IF(L60="",H60,L60),"")</f>
        <v/>
      </c>
      <c r="N60" s="9" t="n"/>
      <c r="O60" s="9" t="n"/>
      <c r="P60" s="10" t="n"/>
    </row>
    <row r="61">
      <c r="A61" s="6" t="n">
        <v>553</v>
      </c>
      <c r="B61" s="7" t="inlineStr">
        <is>
          <t>INV/2024/00002</t>
        </is>
      </c>
      <c r="C61" s="6" t="inlineStr">
        <is>
          <t>2024-09-06</t>
        </is>
      </c>
      <c r="D61" s="6" t="n">
        <v>13</v>
      </c>
      <c r="E61" s="6" t="inlineStr">
        <is>
          <t>700902</t>
        </is>
      </c>
      <c r="F61" s="7" t="inlineStr">
        <is>
          <t>[700902] بولسترين عازل</t>
        </is>
      </c>
      <c r="G61" s="6" t="n">
        <v>15</v>
      </c>
      <c r="H61" s="8" t="n">
        <v>2</v>
      </c>
      <c r="I61" s="8" t="n">
        <v>30</v>
      </c>
      <c r="J61" s="9" t="n"/>
      <c r="K61" s="9" t="n"/>
      <c r="L61" s="16" t="n"/>
      <c r="M61" s="17">
        <f>IFERROR(IF(K61="",G61,K61)*IF(L61="",H61,L61),"")</f>
        <v/>
      </c>
      <c r="N61" s="9" t="n"/>
      <c r="O61" s="9" t="n"/>
      <c r="P61" s="10" t="n"/>
    </row>
    <row r="62">
      <c r="A62" s="6" t="n">
        <v>554</v>
      </c>
      <c r="B62" s="7" t="inlineStr">
        <is>
          <t>INV/2024/00002</t>
        </is>
      </c>
      <c r="C62" s="6" t="inlineStr">
        <is>
          <t>2024-09-06</t>
        </is>
      </c>
      <c r="D62" s="6" t="n">
        <v>14</v>
      </c>
      <c r="E62" s="6" t="inlineStr">
        <is>
          <t>500117</t>
        </is>
      </c>
      <c r="F62" s="7" t="inlineStr">
        <is>
          <t>[500117] كبسة نيجارا برتغالي</t>
        </is>
      </c>
      <c r="G62" s="6" t="n">
        <v>1</v>
      </c>
      <c r="H62" s="8" t="n">
        <v>2</v>
      </c>
      <c r="I62" s="8" t="n">
        <v>2</v>
      </c>
      <c r="J62" s="9" t="n"/>
      <c r="K62" s="9" t="n"/>
      <c r="L62" s="16" t="n"/>
      <c r="M62" s="17">
        <f>IFERROR(IF(K62="",G62,K62)*IF(L62="",H62,L62),"")</f>
        <v/>
      </c>
      <c r="N62" s="9" t="n"/>
      <c r="O62" s="9" t="n"/>
      <c r="P62" s="10" t="n"/>
    </row>
    <row r="63">
      <c r="A63" s="6" t="n">
        <v>555</v>
      </c>
      <c r="B63" s="7" t="inlineStr">
        <is>
          <t>INV/2024/00002</t>
        </is>
      </c>
      <c r="C63" s="6" t="inlineStr">
        <is>
          <t>2024-09-06</t>
        </is>
      </c>
      <c r="D63" s="6" t="n">
        <v>15</v>
      </c>
      <c r="E63" s="6" t="inlineStr">
        <is>
          <t>700902</t>
        </is>
      </c>
      <c r="F63" s="7" t="inlineStr">
        <is>
          <t>[700902] بولسترين عازل</t>
        </is>
      </c>
      <c r="G63" s="6" t="n">
        <v>15</v>
      </c>
      <c r="H63" s="8" t="n">
        <v>2</v>
      </c>
      <c r="I63" s="8" t="n">
        <v>30</v>
      </c>
      <c r="J63" s="9" t="n"/>
      <c r="K63" s="9" t="n"/>
      <c r="L63" s="16" t="n"/>
      <c r="M63" s="17">
        <f>IFERROR(IF(K63="",G63,K63)*IF(L63="",H63,L63),"")</f>
        <v/>
      </c>
      <c r="N63" s="9" t="n"/>
      <c r="O63" s="9" t="n"/>
      <c r="P63" s="10" t="n"/>
    </row>
    <row r="64">
      <c r="A64" s="6" t="n">
        <v>556</v>
      </c>
      <c r="B64" s="7" t="inlineStr">
        <is>
          <t>INV/2024/00002</t>
        </is>
      </c>
      <c r="C64" s="6" t="inlineStr">
        <is>
          <t>2024-09-06</t>
        </is>
      </c>
      <c r="D64" s="6" t="n">
        <v>16</v>
      </c>
      <c r="E64" s="6" t="inlineStr">
        <is>
          <t>900070</t>
        </is>
      </c>
      <c r="F64" s="7" t="inlineStr">
        <is>
          <t>[900070] مسمار بناء 6 سم</t>
        </is>
      </c>
      <c r="G64" s="6" t="n">
        <v>10</v>
      </c>
      <c r="H64" s="8" t="n">
        <v>1.95</v>
      </c>
      <c r="I64" s="8" t="n">
        <v>19.5</v>
      </c>
      <c r="J64" s="9" t="n"/>
      <c r="K64" s="9" t="n"/>
      <c r="L64" s="16" t="n"/>
      <c r="M64" s="17">
        <f>IFERROR(IF(K64="",G64,K64)*IF(L64="",H64,L64),"")</f>
        <v/>
      </c>
      <c r="N64" s="9" t="n"/>
      <c r="O64" s="9" t="n"/>
      <c r="P64" s="10" t="n"/>
    </row>
    <row r="65">
      <c r="A65" s="6" t="n">
        <v>665</v>
      </c>
      <c r="B65" s="7" t="inlineStr">
        <is>
          <t>INV/2024/00017</t>
        </is>
      </c>
      <c r="C65" s="6" t="inlineStr">
        <is>
          <t>2024-09-07</t>
        </is>
      </c>
      <c r="D65" s="6" t="n">
        <v>1</v>
      </c>
      <c r="E65" s="6" t="inlineStr">
        <is>
          <t>500272</t>
        </is>
      </c>
      <c r="F65" s="7" t="inlineStr">
        <is>
          <t>[500272] مرحاض افرنجي خزف هندي</t>
        </is>
      </c>
      <c r="G65" s="6" t="n">
        <v>1</v>
      </c>
      <c r="H65" s="8" t="n">
        <v>27</v>
      </c>
      <c r="I65" s="8" t="n">
        <v>27</v>
      </c>
      <c r="J65" s="9" t="n"/>
      <c r="K65" s="9" t="n"/>
      <c r="L65" s="16" t="n"/>
      <c r="M65" s="17">
        <f>IFERROR(IF(K65="",G65,K65)*IF(L65="",H65,L65),"")</f>
        <v/>
      </c>
      <c r="N65" s="9" t="n"/>
      <c r="O65" s="9" t="n"/>
      <c r="P65" s="10" t="n"/>
    </row>
    <row r="66">
      <c r="A66" s="6" t="n">
        <v>666</v>
      </c>
      <c r="B66" s="7" t="inlineStr">
        <is>
          <t>INV/2024/00017</t>
        </is>
      </c>
      <c r="C66" s="6" t="inlineStr">
        <is>
          <t>2024-09-07</t>
        </is>
      </c>
      <c r="D66" s="6" t="n">
        <v>2</v>
      </c>
      <c r="E66" s="6" t="inlineStr">
        <is>
          <t>230090</t>
        </is>
      </c>
      <c r="F66" s="7" t="inlineStr">
        <is>
          <t>[230090] غطاء مرحاض بيج صحراوي</t>
        </is>
      </c>
      <c r="G66" s="6" t="n">
        <v>1</v>
      </c>
      <c r="H66" s="8" t="n">
        <v>5</v>
      </c>
      <c r="I66" s="8" t="n">
        <v>5</v>
      </c>
      <c r="J66" s="9" t="n"/>
      <c r="K66" s="9" t="n"/>
      <c r="L66" s="16" t="n"/>
      <c r="M66" s="17">
        <f>IFERROR(IF(K66="",G66,K66)*IF(L66="",H66,L66),"")</f>
        <v/>
      </c>
      <c r="N66" s="9" t="n"/>
      <c r="O66" s="9" t="n"/>
      <c r="P66" s="10" t="n"/>
    </row>
    <row r="67">
      <c r="A67" s="6" t="n">
        <v>667</v>
      </c>
      <c r="B67" s="7" t="inlineStr">
        <is>
          <t>INV/2024/00017</t>
        </is>
      </c>
      <c r="C67" s="6" t="inlineStr">
        <is>
          <t>2024-09-07</t>
        </is>
      </c>
      <c r="D67" s="6" t="n">
        <v>3</v>
      </c>
      <c r="E67" s="6" t="inlineStr">
        <is>
          <t>500287</t>
        </is>
      </c>
      <c r="F67" s="7" t="inlineStr">
        <is>
          <t>[500287] عدة نيجارا برتغالي (جنب/سفلي)</t>
        </is>
      </c>
      <c r="G67" s="6" t="n">
        <v>1</v>
      </c>
      <c r="H67" s="8" t="n">
        <v>7.5</v>
      </c>
      <c r="I67" s="8" t="n">
        <v>7.5</v>
      </c>
      <c r="J67" s="9" t="n"/>
      <c r="K67" s="9" t="n"/>
      <c r="L67" s="16" t="n"/>
      <c r="M67" s="17">
        <f>IFERROR(IF(K67="",G67,K67)*IF(L67="",H67,L67),"")</f>
        <v/>
      </c>
      <c r="N67" s="9" t="n"/>
      <c r="O67" s="9" t="n"/>
      <c r="P67" s="10" t="n"/>
    </row>
    <row r="68">
      <c r="A68" s="6" t="n">
        <v>668</v>
      </c>
      <c r="B68" s="7" t="inlineStr">
        <is>
          <t>INV/2024/00017</t>
        </is>
      </c>
      <c r="C68" s="6" t="inlineStr">
        <is>
          <t>2024-09-07</t>
        </is>
      </c>
      <c r="D68" s="6" t="n">
        <v>4</v>
      </c>
      <c r="E68" s="6" t="inlineStr">
        <is>
          <t>500267</t>
        </is>
      </c>
      <c r="F68" s="7" t="inlineStr">
        <is>
          <t>[500267] جلدة مانجيت 4" انجليزي E</t>
        </is>
      </c>
      <c r="G68" s="6" t="n">
        <v>1</v>
      </c>
      <c r="H68" s="8" t="n">
        <v>2</v>
      </c>
      <c r="I68" s="8" t="n">
        <v>2</v>
      </c>
      <c r="J68" s="9" t="n"/>
      <c r="K68" s="9" t="n"/>
      <c r="L68" s="16" t="n"/>
      <c r="M68" s="17">
        <f>IFERROR(IF(K68="",G68,K68)*IF(L68="",H68,L68),"")</f>
        <v/>
      </c>
      <c r="N68" s="9" t="n"/>
      <c r="O68" s="9" t="n"/>
      <c r="P68" s="10" t="n"/>
    </row>
    <row r="69">
      <c r="A69" s="6" t="n">
        <v>669</v>
      </c>
      <c r="B69" s="7" t="inlineStr">
        <is>
          <t>INV/2024/00017</t>
        </is>
      </c>
      <c r="C69" s="6" t="inlineStr">
        <is>
          <t>2024-09-07</t>
        </is>
      </c>
      <c r="D69" s="6" t="n">
        <v>5</v>
      </c>
      <c r="E69" s="6" t="inlineStr">
        <is>
          <t>230049</t>
        </is>
      </c>
      <c r="F69" s="7" t="inlineStr">
        <is>
          <t>[230049] محبس دبل ايطالي</t>
        </is>
      </c>
      <c r="G69" s="6" t="n">
        <v>1</v>
      </c>
      <c r="H69" s="8" t="n">
        <v>4</v>
      </c>
      <c r="I69" s="8" t="n">
        <v>4</v>
      </c>
      <c r="J69" s="9" t="n"/>
      <c r="K69" s="9" t="n"/>
      <c r="L69" s="16" t="n"/>
      <c r="M69" s="17">
        <f>IFERROR(IF(K69="",G69,K69)*IF(L69="",H69,L69),"")</f>
        <v/>
      </c>
      <c r="N69" s="9" t="n"/>
      <c r="O69" s="9" t="n"/>
      <c r="P69" s="10" t="n"/>
    </row>
    <row r="70">
      <c r="A70" s="6" t="n">
        <v>670</v>
      </c>
      <c r="B70" s="7" t="inlineStr">
        <is>
          <t>INV/2024/00017</t>
        </is>
      </c>
      <c r="C70" s="6" t="inlineStr">
        <is>
          <t>2024-09-07</t>
        </is>
      </c>
      <c r="D70" s="6" t="n">
        <v>6</v>
      </c>
      <c r="E70" s="6" t="inlineStr">
        <is>
          <t>500787</t>
        </is>
      </c>
      <c r="F70" s="7" t="inlineStr">
        <is>
          <t>[500787] بربيش كيزر (اسباني/ايطالي) 50 سم</t>
        </is>
      </c>
      <c r="G70" s="6" t="n">
        <v>1</v>
      </c>
      <c r="H70" s="8" t="n">
        <v>1</v>
      </c>
      <c r="I70" s="8" t="n">
        <v>1</v>
      </c>
      <c r="J70" s="9" t="n"/>
      <c r="K70" s="9" t="n"/>
      <c r="L70" s="16" t="n"/>
      <c r="M70" s="17">
        <f>IFERROR(IF(K70="",G70,K70)*IF(L70="",H70,L70),"")</f>
        <v/>
      </c>
      <c r="N70" s="9" t="n"/>
      <c r="O70" s="9" t="n"/>
      <c r="P70" s="10" t="n"/>
    </row>
    <row r="71">
      <c r="A71" s="6" t="n">
        <v>671</v>
      </c>
      <c r="B71" s="7" t="inlineStr">
        <is>
          <t>INV/2024/00017</t>
        </is>
      </c>
      <c r="C71" s="6" t="inlineStr">
        <is>
          <t>2024-09-07</t>
        </is>
      </c>
      <c r="D71" s="6" t="n">
        <v>7</v>
      </c>
      <c r="E71" s="6" t="inlineStr">
        <is>
          <t>900087</t>
        </is>
      </c>
      <c r="F71" s="7" t="inlineStr">
        <is>
          <t>[900087] نقاصة حديد 1/2"×3/4" عادي</t>
        </is>
      </c>
      <c r="G71" s="6" t="n">
        <v>1</v>
      </c>
      <c r="H71" s="8" t="n">
        <v>0.75</v>
      </c>
      <c r="I71" s="8" t="n">
        <v>0.75</v>
      </c>
      <c r="J71" s="9" t="n"/>
      <c r="K71" s="9" t="n"/>
      <c r="L71" s="16" t="n"/>
      <c r="M71" s="17">
        <f>IFERROR(IF(K71="",G71,K71)*IF(L71="",H71,L71),"")</f>
        <v/>
      </c>
      <c r="N71" s="9" t="n"/>
      <c r="O71" s="9" t="n"/>
      <c r="P71" s="10" t="n"/>
    </row>
    <row r="72">
      <c r="A72" s="6" t="n">
        <v>672</v>
      </c>
      <c r="B72" s="7" t="inlineStr">
        <is>
          <t>INV/2024/00017</t>
        </is>
      </c>
      <c r="C72" s="6" t="inlineStr">
        <is>
          <t>2024-09-07</t>
        </is>
      </c>
      <c r="D72" s="6" t="n">
        <v>8</v>
      </c>
      <c r="E72" s="6" t="inlineStr">
        <is>
          <t>500051</t>
        </is>
      </c>
      <c r="F72" s="7" t="inlineStr">
        <is>
          <t>[500051] شطاف ايطالي ثقيل FIERMER</t>
        </is>
      </c>
      <c r="G72" s="6" t="n">
        <v>1</v>
      </c>
      <c r="H72" s="8" t="n">
        <v>9</v>
      </c>
      <c r="I72" s="8" t="n">
        <v>9</v>
      </c>
      <c r="J72" s="9" t="n"/>
      <c r="K72" s="9" t="n"/>
      <c r="L72" s="16" t="n"/>
      <c r="M72" s="17">
        <f>IFERROR(IF(K72="",G72,K72)*IF(L72="",H72,L72),"")</f>
        <v/>
      </c>
      <c r="N72" s="9" t="n"/>
      <c r="O72" s="9" t="n"/>
      <c r="P72" s="10" t="n"/>
    </row>
    <row r="73">
      <c r="A73" s="6" t="n">
        <v>673</v>
      </c>
      <c r="B73" s="7" t="inlineStr">
        <is>
          <t>INV/2024/00017</t>
        </is>
      </c>
      <c r="C73" s="6" t="inlineStr">
        <is>
          <t>2024-09-07</t>
        </is>
      </c>
      <c r="D73" s="6" t="n">
        <v>9</v>
      </c>
      <c r="E73" s="6" t="inlineStr">
        <is>
          <t>500810</t>
        </is>
      </c>
      <c r="F73" s="7" t="inlineStr">
        <is>
          <t>[500810] سيليكون شفاف اسباني</t>
        </is>
      </c>
      <c r="G73" s="6" t="n">
        <v>2</v>
      </c>
      <c r="H73" s="8" t="n">
        <v>2.5</v>
      </c>
      <c r="I73" s="8" t="n">
        <v>5</v>
      </c>
      <c r="J73" s="9" t="n"/>
      <c r="K73" s="9" t="n"/>
      <c r="L73" s="16" t="n"/>
      <c r="M73" s="17">
        <f>IFERROR(IF(K73="",G73,K73)*IF(L73="",H73,L73),"")</f>
        <v/>
      </c>
      <c r="N73" s="9" t="n"/>
      <c r="O73" s="9" t="n"/>
      <c r="P73" s="10" t="n"/>
    </row>
    <row r="74">
      <c r="A74" s="6" t="n">
        <v>674</v>
      </c>
      <c r="B74" s="7" t="inlineStr">
        <is>
          <t>INV/2024/00017</t>
        </is>
      </c>
      <c r="C74" s="6" t="inlineStr">
        <is>
          <t>2024-09-07</t>
        </is>
      </c>
      <c r="D74" s="6" t="n">
        <v>10</v>
      </c>
      <c r="E74" s="6" t="inlineStr">
        <is>
          <t>100289</t>
        </is>
      </c>
      <c r="F74" s="7" t="inlineStr">
        <is>
          <t>[100289] سيليكون شفاف 280 غم SK</t>
        </is>
      </c>
      <c r="G74" s="6" t="n">
        <v>1</v>
      </c>
      <c r="H74" s="8" t="n">
        <v>1.5</v>
      </c>
      <c r="I74" s="8" t="n">
        <v>1.5</v>
      </c>
      <c r="J74" s="9" t="n"/>
      <c r="K74" s="9" t="n"/>
      <c r="L74" s="16" t="n"/>
      <c r="M74" s="17">
        <f>IFERROR(IF(K74="",G74,K74)*IF(L74="",H74,L74),"")</f>
        <v/>
      </c>
      <c r="N74" s="9" t="n"/>
      <c r="O74" s="9" t="n"/>
      <c r="P74" s="10" t="n"/>
    </row>
    <row r="75">
      <c r="A75" s="6" t="n">
        <v>675</v>
      </c>
      <c r="B75" s="7" t="inlineStr">
        <is>
          <t>INV/2024/00017</t>
        </is>
      </c>
      <c r="C75" s="6" t="inlineStr">
        <is>
          <t>2024-09-07</t>
        </is>
      </c>
      <c r="D75" s="6" t="n">
        <v>11</v>
      </c>
      <c r="E75" s="6" t="inlineStr">
        <is>
          <t>500410</t>
        </is>
      </c>
      <c r="F75" s="7" t="inlineStr">
        <is>
          <t>[500410] ماسورة بلاستيك 4" ضغط صغير ومرار</t>
        </is>
      </c>
      <c r="G75" s="6" t="n">
        <v>6</v>
      </c>
      <c r="H75" s="8" t="n">
        <v>2.5</v>
      </c>
      <c r="I75" s="8" t="n">
        <v>15</v>
      </c>
      <c r="J75" s="9" t="n"/>
      <c r="K75" s="9" t="n"/>
      <c r="L75" s="16" t="n"/>
      <c r="M75" s="17">
        <f>IFERROR(IF(K75="",G75,K75)*IF(L75="",H75,L75),"")</f>
        <v/>
      </c>
      <c r="N75" s="9" t="n"/>
      <c r="O75" s="9" t="n"/>
      <c r="P75" s="10" t="n"/>
    </row>
    <row r="76">
      <c r="A76" s="6" t="n">
        <v>676</v>
      </c>
      <c r="B76" s="7" t="inlineStr">
        <is>
          <t>INV/2024/00017</t>
        </is>
      </c>
      <c r="C76" s="6" t="inlineStr">
        <is>
          <t>2024-09-07</t>
        </is>
      </c>
      <c r="D76" s="6" t="n">
        <v>12</v>
      </c>
      <c r="E76" s="6" t="inlineStr">
        <is>
          <t>900037</t>
        </is>
      </c>
      <c r="F76" s="7" t="inlineStr">
        <is>
          <t>[900037] سلك تربيط ناعم ابيض</t>
        </is>
      </c>
      <c r="G76" s="6" t="n">
        <v>3</v>
      </c>
      <c r="H76" s="8" t="n">
        <v>1.25</v>
      </c>
      <c r="I76" s="8" t="n">
        <v>3.75</v>
      </c>
      <c r="J76" s="9" t="n"/>
      <c r="K76" s="9" t="n"/>
      <c r="L76" s="16" t="n"/>
      <c r="M76" s="17">
        <f>IFERROR(IF(K76="",G76,K76)*IF(L76="",H76,L76),"")</f>
        <v/>
      </c>
      <c r="N76" s="9" t="n"/>
      <c r="O76" s="9" t="n"/>
      <c r="P76" s="10" t="n"/>
    </row>
    <row r="77">
      <c r="A77" s="6" t="n">
        <v>677</v>
      </c>
      <c r="B77" s="7" t="inlineStr">
        <is>
          <t>INV/2024/00017</t>
        </is>
      </c>
      <c r="C77" s="6" t="inlineStr">
        <is>
          <t>2024-09-07</t>
        </is>
      </c>
      <c r="D77" s="6" t="n">
        <v>13</v>
      </c>
      <c r="E77" s="6" t="inlineStr">
        <is>
          <t>200299</t>
        </is>
      </c>
      <c r="F77" s="7" t="inlineStr">
        <is>
          <t>[200299] شوال لاصق بلاط اراسيا</t>
        </is>
      </c>
      <c r="G77" s="6" t="n">
        <v>2</v>
      </c>
      <c r="H77" s="8" t="n">
        <v>5.5</v>
      </c>
      <c r="I77" s="8" t="n">
        <v>11</v>
      </c>
      <c r="J77" s="9" t="n"/>
      <c r="K77" s="9" t="n"/>
      <c r="L77" s="16" t="n"/>
      <c r="M77" s="17">
        <f>IFERROR(IF(K77="",G77,K77)*IF(L77="",H77,L77),"")</f>
        <v/>
      </c>
      <c r="N77" s="9" t="n"/>
      <c r="O77" s="9" t="n"/>
      <c r="P77" s="10" t="n"/>
    </row>
    <row r="78">
      <c r="A78" s="6" t="n">
        <v>678</v>
      </c>
      <c r="B78" s="7" t="inlineStr">
        <is>
          <t>INV/2024/00017</t>
        </is>
      </c>
      <c r="C78" s="6" t="inlineStr">
        <is>
          <t>2024-09-07</t>
        </is>
      </c>
      <c r="D78" s="6" t="n">
        <v>14</v>
      </c>
      <c r="E78" s="6" t="inlineStr">
        <is>
          <t>700463</t>
        </is>
      </c>
      <c r="F78" s="7" t="inlineStr">
        <is>
          <t>[700463] دكت مطابخ 4 انش طول 10م</t>
        </is>
      </c>
      <c r="G78" s="6" t="n">
        <v>1</v>
      </c>
      <c r="H78" s="8" t="n">
        <v>9</v>
      </c>
      <c r="I78" s="8" t="n">
        <v>9</v>
      </c>
      <c r="J78" s="9" t="n"/>
      <c r="K78" s="9" t="n"/>
      <c r="L78" s="16" t="n"/>
      <c r="M78" s="17">
        <f>IFERROR(IF(K78="",G78,K78)*IF(L78="",H78,L78),"")</f>
        <v/>
      </c>
      <c r="N78" s="9" t="n"/>
      <c r="O78" s="9" t="n"/>
      <c r="P78" s="10" t="n"/>
    </row>
    <row r="79">
      <c r="A79" s="6" t="n">
        <v>679</v>
      </c>
      <c r="B79" s="7" t="inlineStr">
        <is>
          <t>INV/2024/00017</t>
        </is>
      </c>
      <c r="C79" s="6" t="inlineStr">
        <is>
          <t>2024-09-07</t>
        </is>
      </c>
      <c r="D79" s="6" t="n">
        <v>15</v>
      </c>
      <c r="E79" s="6" t="inlineStr">
        <is>
          <t>600064</t>
        </is>
      </c>
      <c r="F79" s="7" t="inlineStr">
        <is>
          <t>[600064] شفاط 4" دائري بوري</t>
        </is>
      </c>
      <c r="G79" s="6" t="n">
        <v>1</v>
      </c>
      <c r="H79" s="8" t="n">
        <v>8.5</v>
      </c>
      <c r="I79" s="8" t="n">
        <v>8.5</v>
      </c>
      <c r="J79" s="9" t="n"/>
      <c r="K79" s="9" t="n"/>
      <c r="L79" s="16" t="n"/>
      <c r="M79" s="17">
        <f>IFERROR(IF(K79="",G79,K79)*IF(L79="",H79,L79),"")</f>
        <v/>
      </c>
      <c r="N79" s="9" t="n"/>
      <c r="O79" s="9" t="n"/>
      <c r="P79" s="10" t="n"/>
    </row>
    <row r="80">
      <c r="A80" s="6" t="n">
        <v>680</v>
      </c>
      <c r="B80" s="7" t="inlineStr">
        <is>
          <t>INV/2024/00017</t>
        </is>
      </c>
      <c r="C80" s="6" t="inlineStr">
        <is>
          <t>2024-09-07</t>
        </is>
      </c>
      <c r="D80" s="6" t="n">
        <v>16</v>
      </c>
      <c r="E80" s="6" t="inlineStr">
        <is>
          <t>600096</t>
        </is>
      </c>
      <c r="F80" s="7" t="inlineStr">
        <is>
          <t>[600096] سبوت 7 سم 3D</t>
        </is>
      </c>
      <c r="G80" s="6" t="n">
        <v>4</v>
      </c>
      <c r="H80" s="8" t="n">
        <v>1.5</v>
      </c>
      <c r="I80" s="8" t="n">
        <v>6</v>
      </c>
      <c r="J80" s="9" t="n"/>
      <c r="K80" s="9" t="n"/>
      <c r="L80" s="16" t="n"/>
      <c r="M80" s="17">
        <f>IFERROR(IF(K80="",G80,K80)*IF(L80="",H80,L80),"")</f>
        <v/>
      </c>
      <c r="N80" s="9" t="n"/>
      <c r="O80" s="9" t="n"/>
      <c r="P80" s="10" t="n"/>
    </row>
    <row r="81">
      <c r="A81" s="6" t="n">
        <v>681</v>
      </c>
      <c r="B81" s="7" t="inlineStr">
        <is>
          <t>INV/2024/00017</t>
        </is>
      </c>
      <c r="C81" s="6" t="inlineStr">
        <is>
          <t>2024-09-07</t>
        </is>
      </c>
      <c r="D81" s="6" t="n">
        <v>17</v>
      </c>
      <c r="E81" s="6" t="inlineStr">
        <is>
          <t>701647</t>
        </is>
      </c>
      <c r="F81" s="7" t="inlineStr">
        <is>
          <t>[701647] درل كهرباء 500 واط MEAKIDA</t>
        </is>
      </c>
      <c r="G81" s="6" t="n">
        <v>1</v>
      </c>
      <c r="H81" s="8" t="n">
        <v>22</v>
      </c>
      <c r="I81" s="8" t="n">
        <v>22</v>
      </c>
      <c r="J81" s="9" t="n"/>
      <c r="K81" s="9" t="n"/>
      <c r="L81" s="16" t="n"/>
      <c r="M81" s="17">
        <f>IFERROR(IF(K81="",G81,K81)*IF(L81="",H81,L81),"")</f>
        <v/>
      </c>
      <c r="N81" s="9" t="n"/>
      <c r="O81" s="9" t="n"/>
      <c r="P81" s="10" t="n"/>
    </row>
    <row r="82">
      <c r="A82" s="6" t="n">
        <v>683</v>
      </c>
      <c r="B82" s="7" t="inlineStr">
        <is>
          <t>INV/2024/00018</t>
        </is>
      </c>
      <c r="C82" s="6" t="inlineStr">
        <is>
          <t>2024-11-18</t>
        </is>
      </c>
      <c r="D82" s="6" t="n">
        <v>1</v>
      </c>
      <c r="E82" s="6" t="inlineStr">
        <is>
          <t>500410</t>
        </is>
      </c>
      <c r="F82" s="7" t="inlineStr">
        <is>
          <t>[500410] ماسورة بلاستيك 4" ضغط صغير ومرار</t>
        </is>
      </c>
      <c r="G82" s="6" t="n">
        <v>10</v>
      </c>
      <c r="H82" s="8" t="n">
        <v>2.5</v>
      </c>
      <c r="I82" s="8" t="n">
        <v>25</v>
      </c>
      <c r="J82" s="9" t="n"/>
      <c r="K82" s="9" t="n"/>
      <c r="L82" s="16" t="n"/>
      <c r="M82" s="17">
        <f>IFERROR(IF(K82="",G82,K82)*IF(L82="",H82,L82),"")</f>
        <v/>
      </c>
      <c r="N82" s="9" t="n"/>
      <c r="O82" s="9" t="n"/>
      <c r="P82" s="10" t="n"/>
    </row>
    <row r="83">
      <c r="A83" s="6" t="n">
        <v>684</v>
      </c>
      <c r="B83" s="7" t="inlineStr">
        <is>
          <t>INV/2024/00018</t>
        </is>
      </c>
      <c r="C83" s="6" t="inlineStr">
        <is>
          <t>2024-11-18</t>
        </is>
      </c>
      <c r="D83" s="6" t="n">
        <v>2</v>
      </c>
      <c r="E83" s="6" t="inlineStr">
        <is>
          <t>500379</t>
        </is>
      </c>
      <c r="F83" s="7" t="inlineStr">
        <is>
          <t>[500379] اجو (اسود) 1/4 ك شنل امريكي</t>
        </is>
      </c>
      <c r="G83" s="6" t="n">
        <v>4</v>
      </c>
      <c r="H83" s="8" t="n">
        <v>3.5</v>
      </c>
      <c r="I83" s="8" t="n">
        <v>14</v>
      </c>
      <c r="J83" s="9" t="n"/>
      <c r="K83" s="9" t="n"/>
      <c r="L83" s="16" t="n"/>
      <c r="M83" s="17">
        <f>IFERROR(IF(K83="",G83,K83)*IF(L83="",H83,L83),"")</f>
        <v/>
      </c>
      <c r="N83" s="9" t="n"/>
      <c r="O83" s="9" t="n"/>
      <c r="P83" s="10" t="n"/>
    </row>
    <row r="84">
      <c r="A84" s="6" t="n">
        <v>685</v>
      </c>
      <c r="B84" s="7" t="inlineStr">
        <is>
          <t>INV/2024/00018</t>
        </is>
      </c>
      <c r="C84" s="6" t="inlineStr">
        <is>
          <t>2024-11-18</t>
        </is>
      </c>
      <c r="D84" s="6" t="n">
        <v>3</v>
      </c>
      <c r="E84" s="6" t="inlineStr">
        <is>
          <t>100297</t>
        </is>
      </c>
      <c r="F84" s="7" t="inlineStr">
        <is>
          <t>[100297] طورية مربعة هندي مع عصا</t>
        </is>
      </c>
      <c r="G84" s="6" t="n">
        <v>1</v>
      </c>
      <c r="H84" s="8" t="n">
        <v>5</v>
      </c>
      <c r="I84" s="8" t="n">
        <v>5</v>
      </c>
      <c r="J84" s="9" t="n"/>
      <c r="K84" s="9" t="n"/>
      <c r="L84" s="16" t="n"/>
      <c r="M84" s="17">
        <f>IFERROR(IF(K84="",G84,K84)*IF(L84="",H84,L84),"")</f>
        <v/>
      </c>
      <c r="N84" s="9" t="n"/>
      <c r="O84" s="9" t="n"/>
      <c r="P84" s="10" t="n"/>
    </row>
    <row r="85">
      <c r="A85" s="6" t="n">
        <v>686</v>
      </c>
      <c r="B85" s="7" t="inlineStr">
        <is>
          <t>INV/2024/00018</t>
        </is>
      </c>
      <c r="C85" s="6" t="inlineStr">
        <is>
          <t>2024-11-18</t>
        </is>
      </c>
      <c r="D85" s="6" t="n">
        <v>4</v>
      </c>
      <c r="E85" s="6" t="inlineStr">
        <is>
          <t>230026</t>
        </is>
      </c>
      <c r="F85" s="7" t="inlineStr">
        <is>
          <t>[230026] تب ورق عريض دبل</t>
        </is>
      </c>
      <c r="G85" s="6" t="n">
        <v>1</v>
      </c>
      <c r="H85" s="8" t="n">
        <v>1</v>
      </c>
      <c r="I85" s="8" t="n">
        <v>1</v>
      </c>
      <c r="J85" s="9" t="n"/>
      <c r="K85" s="9" t="n"/>
      <c r="L85" s="16" t="n"/>
      <c r="M85" s="17">
        <f>IFERROR(IF(K85="",G85,K85)*IF(L85="",H85,L85),"")</f>
        <v/>
      </c>
      <c r="N85" s="9" t="n"/>
      <c r="O85" s="9" t="n"/>
      <c r="P85" s="10" t="n"/>
    </row>
    <row r="86">
      <c r="A86" s="6" t="n">
        <v>687</v>
      </c>
      <c r="B86" s="7" t="inlineStr">
        <is>
          <t>INV/2024/00018</t>
        </is>
      </c>
      <c r="C86" s="6" t="inlineStr">
        <is>
          <t>2024-11-18</t>
        </is>
      </c>
      <c r="D86" s="6" t="n">
        <v>5</v>
      </c>
      <c r="E86" s="6" t="inlineStr">
        <is>
          <t>700021</t>
        </is>
      </c>
      <c r="F86" s="7" t="inlineStr">
        <is>
          <t>[700021] تب عزل سكني 14 يارد HIGH POWER</t>
        </is>
      </c>
      <c r="G86" s="6" t="n">
        <v>1</v>
      </c>
      <c r="H86" s="8" t="n">
        <v>1.5</v>
      </c>
      <c r="I86" s="8" t="n">
        <v>1.5</v>
      </c>
      <c r="J86" s="9" t="n"/>
      <c r="K86" s="9" t="n"/>
      <c r="L86" s="16" t="n"/>
      <c r="M86" s="17">
        <f>IFERROR(IF(K86="",G86,K86)*IF(L86="",H86,L86),"")</f>
        <v/>
      </c>
      <c r="N86" s="9" t="n"/>
      <c r="O86" s="9" t="n"/>
      <c r="P86" s="10" t="n"/>
    </row>
    <row r="87">
      <c r="A87" s="6" t="n">
        <v>688</v>
      </c>
      <c r="B87" s="7" t="inlineStr">
        <is>
          <t>INV/2024/00018</t>
        </is>
      </c>
      <c r="C87" s="6" t="inlineStr">
        <is>
          <t>2024-11-18</t>
        </is>
      </c>
      <c r="D87" s="6" t="n">
        <v>6</v>
      </c>
      <c r="E87" s="6" t="inlineStr">
        <is>
          <t>700479</t>
        </is>
      </c>
      <c r="F87" s="7" t="inlineStr">
        <is>
          <t>[700479] مسمار بناء 6 سم، باكيت 2 كغم</t>
        </is>
      </c>
      <c r="G87" s="6" t="n">
        <v>2</v>
      </c>
      <c r="H87" s="8" t="n">
        <v>2</v>
      </c>
      <c r="I87" s="8" t="n">
        <v>4</v>
      </c>
      <c r="J87" s="9" t="n"/>
      <c r="K87" s="9" t="n"/>
      <c r="L87" s="16" t="n"/>
      <c r="M87" s="17">
        <f>IFERROR(IF(K87="",G87,K87)*IF(L87="",H87,L87),"")</f>
        <v/>
      </c>
      <c r="N87" s="9" t="n"/>
      <c r="O87" s="9" t="n"/>
      <c r="P87" s="10" t="n"/>
    </row>
    <row r="88">
      <c r="A88" s="6" t="n">
        <v>689</v>
      </c>
      <c r="B88" s="7" t="inlineStr">
        <is>
          <t>INV/2024/00018</t>
        </is>
      </c>
      <c r="C88" s="6" t="inlineStr">
        <is>
          <t>2024-11-18</t>
        </is>
      </c>
      <c r="D88" s="6" t="n">
        <v>7</v>
      </c>
      <c r="E88" s="6" t="inlineStr">
        <is>
          <t>700481</t>
        </is>
      </c>
      <c r="F88" s="7" t="inlineStr">
        <is>
          <t>[700481] مسمار بناء 10 سم، باكيت 2 كغم</t>
        </is>
      </c>
      <c r="G88" s="6" t="n">
        <v>2</v>
      </c>
      <c r="H88" s="8" t="n">
        <v>2</v>
      </c>
      <c r="I88" s="8" t="n">
        <v>4</v>
      </c>
      <c r="J88" s="9" t="n"/>
      <c r="K88" s="9" t="n"/>
      <c r="L88" s="16" t="n"/>
      <c r="M88" s="17">
        <f>IFERROR(IF(K88="",G88,K88)*IF(L88="",H88,L88),"")</f>
        <v/>
      </c>
      <c r="N88" s="9" t="n"/>
      <c r="O88" s="9" t="n"/>
      <c r="P88" s="10" t="n"/>
    </row>
    <row r="89">
      <c r="A89" s="6" t="n">
        <v>690</v>
      </c>
      <c r="B89" s="7" t="inlineStr">
        <is>
          <t>INV/2024/00018</t>
        </is>
      </c>
      <c r="C89" s="6" t="inlineStr">
        <is>
          <t>2024-11-18</t>
        </is>
      </c>
      <c r="D89" s="6" t="n">
        <v>8</v>
      </c>
      <c r="E89" s="6" t="inlineStr">
        <is>
          <t>900037</t>
        </is>
      </c>
      <c r="F89" s="7" t="inlineStr">
        <is>
          <t>[900037] سلك تربيط ناعم ابيض</t>
        </is>
      </c>
      <c r="G89" s="6" t="n">
        <v>10</v>
      </c>
      <c r="H89" s="8" t="n">
        <v>1.25</v>
      </c>
      <c r="I89" s="8" t="n">
        <v>12.5</v>
      </c>
      <c r="J89" s="9" t="n"/>
      <c r="K89" s="9" t="n"/>
      <c r="L89" s="16" t="n"/>
      <c r="M89" s="17">
        <f>IFERROR(IF(K89="",G89,K89)*IF(L89="",H89,L89),"")</f>
        <v/>
      </c>
      <c r="N89" s="9" t="n"/>
      <c r="O89" s="9" t="n"/>
      <c r="P89" s="10" t="n"/>
    </row>
    <row r="90">
      <c r="A90" s="6" t="n">
        <v>691</v>
      </c>
      <c r="B90" s="7" t="inlineStr">
        <is>
          <t>INV/2024/00018</t>
        </is>
      </c>
      <c r="C90" s="6" t="inlineStr">
        <is>
          <t>2024-11-18</t>
        </is>
      </c>
      <c r="D90" s="6" t="n">
        <v>9</v>
      </c>
      <c r="E90" s="6" t="inlineStr">
        <is>
          <t>900036</t>
        </is>
      </c>
      <c r="F90" s="7" t="inlineStr">
        <is>
          <t>[900036] سلك مجدول اسود</t>
        </is>
      </c>
      <c r="G90" s="6" t="n">
        <v>5</v>
      </c>
      <c r="H90" s="8" t="n">
        <v>2.25</v>
      </c>
      <c r="I90" s="8" t="n">
        <v>11.25</v>
      </c>
      <c r="J90" s="9" t="n"/>
      <c r="K90" s="9" t="n"/>
      <c r="L90" s="16" t="n"/>
      <c r="M90" s="17">
        <f>IFERROR(IF(K90="",G90,K90)*IF(L90="",H90,L90),"")</f>
        <v/>
      </c>
      <c r="N90" s="9" t="n"/>
      <c r="O90" s="9" t="n"/>
      <c r="P90" s="10" t="n"/>
    </row>
    <row r="91">
      <c r="A91" s="6" t="n">
        <v>692</v>
      </c>
      <c r="B91" s="7" t="inlineStr">
        <is>
          <t>INV/2024/00018</t>
        </is>
      </c>
      <c r="C91" s="6" t="inlineStr">
        <is>
          <t>2024-11-18</t>
        </is>
      </c>
      <c r="D91" s="6" t="n">
        <v>10</v>
      </c>
      <c r="E91" s="6" t="inlineStr">
        <is>
          <t>900917</t>
        </is>
      </c>
      <c r="F91" s="7" t="inlineStr">
        <is>
          <t>[900917] اسفين حجر بناء</t>
        </is>
      </c>
      <c r="G91" s="6" t="n">
        <v>10</v>
      </c>
      <c r="H91" s="8" t="n">
        <v>0.75</v>
      </c>
      <c r="I91" s="8" t="n">
        <v>7.5</v>
      </c>
      <c r="J91" s="9" t="n"/>
      <c r="K91" s="9" t="n"/>
      <c r="L91" s="16" t="n"/>
      <c r="M91" s="17">
        <f>IFERROR(IF(K91="",G91,K91)*IF(L91="",H91,L91),"")</f>
        <v/>
      </c>
      <c r="N91" s="9" t="n"/>
      <c r="O91" s="9" t="n"/>
      <c r="P91" s="10" t="n"/>
    </row>
    <row r="92">
      <c r="A92" s="6" t="n">
        <v>693</v>
      </c>
      <c r="B92" s="7" t="inlineStr">
        <is>
          <t>INV/2024/00018</t>
        </is>
      </c>
      <c r="C92" s="6" t="inlineStr">
        <is>
          <t>2024-11-18</t>
        </is>
      </c>
      <c r="D92" s="6" t="n">
        <v>11</v>
      </c>
      <c r="E92" s="6" t="inlineStr">
        <is>
          <t>700784</t>
        </is>
      </c>
      <c r="F92" s="7" t="inlineStr">
        <is>
          <t>[700784] اسطوانة قص حجر خليلي 9"</t>
        </is>
      </c>
      <c r="G92" s="6" t="n">
        <v>3</v>
      </c>
      <c r="H92" s="8" t="n">
        <v>2</v>
      </c>
      <c r="I92" s="8" t="n">
        <v>6</v>
      </c>
      <c r="J92" s="9" t="n"/>
      <c r="K92" s="9" t="n"/>
      <c r="L92" s="16" t="n"/>
      <c r="M92" s="17">
        <f>IFERROR(IF(K92="",G92,K92)*IF(L92="",H92,L92),"")</f>
        <v/>
      </c>
      <c r="N92" s="9" t="n"/>
      <c r="O92" s="9" t="n"/>
      <c r="P92" s="10" t="n"/>
    </row>
    <row r="93">
      <c r="A93" s="6" t="n">
        <v>695</v>
      </c>
      <c r="B93" s="7" t="inlineStr">
        <is>
          <t>INV/2024/00019</t>
        </is>
      </c>
      <c r="C93" s="6" t="inlineStr">
        <is>
          <t>2024-12-30</t>
        </is>
      </c>
      <c r="D93" s="6" t="n">
        <v>1</v>
      </c>
      <c r="E93" s="6" t="inlineStr">
        <is>
          <t>500447</t>
        </is>
      </c>
      <c r="F93" s="7" t="inlineStr">
        <is>
          <t>[500447] فولتراب بلاستيك 2*4 ضغط صغير ومرار</t>
        </is>
      </c>
      <c r="G93" s="6" t="n">
        <v>3</v>
      </c>
      <c r="H93" s="8" t="n">
        <v>4.6</v>
      </c>
      <c r="I93" s="8" t="n">
        <v>13.8</v>
      </c>
      <c r="J93" s="9" t="n"/>
      <c r="K93" s="9" t="n"/>
      <c r="L93" s="16" t="n"/>
      <c r="M93" s="17">
        <f>IFERROR(IF(K93="",G93,K93)*IF(L93="",H93,L93),"")</f>
        <v/>
      </c>
      <c r="N93" s="9" t="n"/>
      <c r="O93" s="9" t="n"/>
      <c r="P93" s="10" t="n"/>
    </row>
    <row r="94">
      <c r="A94" s="6" t="n">
        <v>696</v>
      </c>
      <c r="B94" s="7" t="inlineStr">
        <is>
          <t>INV/2024/00019</t>
        </is>
      </c>
      <c r="C94" s="6" t="inlineStr">
        <is>
          <t>2024-12-30</t>
        </is>
      </c>
      <c r="D94" s="6" t="n">
        <v>2</v>
      </c>
      <c r="E94" s="6" t="inlineStr">
        <is>
          <t>500449</t>
        </is>
      </c>
      <c r="F94" s="7" t="inlineStr">
        <is>
          <t>[500449] وصلة فلتراب 5" صغير ومرار</t>
        </is>
      </c>
      <c r="G94" s="6" t="n">
        <v>3</v>
      </c>
      <c r="H94" s="8" t="n">
        <v>1.3</v>
      </c>
      <c r="I94" s="8" t="n">
        <v>3.9</v>
      </c>
      <c r="J94" s="9" t="n"/>
      <c r="K94" s="9" t="n"/>
      <c r="L94" s="16" t="n"/>
      <c r="M94" s="17">
        <f>IFERROR(IF(K94="",G94,K94)*IF(L94="",H94,L94),"")</f>
        <v/>
      </c>
      <c r="N94" s="9" t="n"/>
      <c r="O94" s="9" t="n"/>
      <c r="P94" s="10" t="n"/>
    </row>
    <row r="95">
      <c r="A95" s="6" t="n">
        <v>697</v>
      </c>
      <c r="B95" s="7" t="inlineStr">
        <is>
          <t>INV/2024/00019</t>
        </is>
      </c>
      <c r="C95" s="6" t="inlineStr">
        <is>
          <t>2024-12-30</t>
        </is>
      </c>
      <c r="D95" s="6" t="n">
        <v>3</v>
      </c>
      <c r="E95" s="6" t="inlineStr">
        <is>
          <t>500454</t>
        </is>
      </c>
      <c r="F95" s="7" t="inlineStr">
        <is>
          <t>[500454] سدة كبس بلاستيك 4" ضغط صغير ومرار</t>
        </is>
      </c>
      <c r="G95" s="6" t="n">
        <v>3</v>
      </c>
      <c r="H95" s="8" t="n">
        <v>1</v>
      </c>
      <c r="I95" s="8" t="n">
        <v>3</v>
      </c>
      <c r="J95" s="9" t="n"/>
      <c r="K95" s="9" t="n"/>
      <c r="L95" s="16" t="n"/>
      <c r="M95" s="17">
        <f>IFERROR(IF(K95="",G95,K95)*IF(L95="",H95,L95),"")</f>
        <v/>
      </c>
      <c r="N95" s="9" t="n"/>
      <c r="O95" s="9" t="n"/>
      <c r="P95" s="10" t="n"/>
    </row>
    <row r="96">
      <c r="A96" s="6" t="n">
        <v>698</v>
      </c>
      <c r="B96" s="7" t="inlineStr">
        <is>
          <t>INV/2024/00019</t>
        </is>
      </c>
      <c r="C96" s="6" t="inlineStr">
        <is>
          <t>2024-12-30</t>
        </is>
      </c>
      <c r="D96" s="6" t="n">
        <v>4</v>
      </c>
      <c r="E96" s="6" t="inlineStr">
        <is>
          <t>500410</t>
        </is>
      </c>
      <c r="F96" s="7" t="inlineStr">
        <is>
          <t>[500410] ماسورة بلاستيك 4" ضغط صغير ومرار</t>
        </is>
      </c>
      <c r="G96" s="6" t="n">
        <v>12</v>
      </c>
      <c r="H96" s="8" t="n">
        <v>3.3</v>
      </c>
      <c r="I96" s="8" t="n">
        <v>39.6</v>
      </c>
      <c r="J96" s="9" t="n"/>
      <c r="K96" s="9" t="n"/>
      <c r="L96" s="16" t="n"/>
      <c r="M96" s="17">
        <f>IFERROR(IF(K96="",G96,K96)*IF(L96="",H96,L96),"")</f>
        <v/>
      </c>
      <c r="N96" s="9" t="n"/>
      <c r="O96" s="9" t="n"/>
      <c r="P96" s="10" t="n"/>
    </row>
    <row r="97">
      <c r="A97" s="6" t="n">
        <v>699</v>
      </c>
      <c r="B97" s="7" t="inlineStr">
        <is>
          <t>INV/2024/00019</t>
        </is>
      </c>
      <c r="C97" s="6" t="inlineStr">
        <is>
          <t>2024-12-30</t>
        </is>
      </c>
      <c r="D97" s="6" t="n">
        <v>5</v>
      </c>
      <c r="E97" s="6" t="inlineStr">
        <is>
          <t>500713</t>
        </is>
      </c>
      <c r="F97" s="7" t="inlineStr">
        <is>
          <t>[500713] بكس بلاستيك مدكك عادي 16ملم - لفة 100 متر</t>
        </is>
      </c>
      <c r="G97" s="6" t="n">
        <v>2</v>
      </c>
      <c r="H97" s="8" t="n">
        <v>32</v>
      </c>
      <c r="I97" s="8" t="n">
        <v>64</v>
      </c>
      <c r="J97" s="9" t="n"/>
      <c r="K97" s="9" t="n"/>
      <c r="L97" s="16" t="n"/>
      <c r="M97" s="17">
        <f>IFERROR(IF(K97="",G97,K97)*IF(L97="",H97,L97),"")</f>
        <v/>
      </c>
      <c r="N97" s="9" t="n"/>
      <c r="O97" s="9" t="n"/>
      <c r="P97" s="10" t="n"/>
    </row>
    <row r="98">
      <c r="A98" s="6" t="n">
        <v>700</v>
      </c>
      <c r="B98" s="7" t="inlineStr">
        <is>
          <t>INV/2024/00019</t>
        </is>
      </c>
      <c r="C98" s="6" t="inlineStr">
        <is>
          <t>2024-12-30</t>
        </is>
      </c>
      <c r="D98" s="6" t="n">
        <v>6</v>
      </c>
      <c r="E98" s="6" t="inlineStr">
        <is>
          <t>500141</t>
        </is>
      </c>
      <c r="F98" s="7" t="inlineStr">
        <is>
          <t>[500141] كوع نجاصة ايطالي 16*1/2</t>
        </is>
      </c>
      <c r="G98" s="6" t="n">
        <v>30</v>
      </c>
      <c r="H98" s="8" t="n">
        <v>2.65</v>
      </c>
      <c r="I98" s="8" t="n">
        <v>79.5</v>
      </c>
      <c r="J98" s="9" t="n"/>
      <c r="K98" s="9" t="n"/>
      <c r="L98" s="16" t="n"/>
      <c r="M98" s="17">
        <f>IFERROR(IF(K98="",G98,K98)*IF(L98="",H98,L98),"")</f>
        <v/>
      </c>
      <c r="N98" s="9" t="n"/>
      <c r="O98" s="9" t="n"/>
      <c r="P98" s="10" t="n"/>
    </row>
    <row r="99">
      <c r="A99" s="6" t="n">
        <v>701</v>
      </c>
      <c r="B99" s="7" t="inlineStr">
        <is>
          <t>INV/2024/00019</t>
        </is>
      </c>
      <c r="C99" s="6" t="inlineStr">
        <is>
          <t>2024-12-30</t>
        </is>
      </c>
      <c r="D99" s="6" t="n">
        <v>7</v>
      </c>
      <c r="E99" s="6" t="inlineStr">
        <is>
          <t>500145</t>
        </is>
      </c>
      <c r="F99" s="7" t="inlineStr">
        <is>
          <t>[500145] غلاف انجاصة سكني</t>
        </is>
      </c>
      <c r="G99" s="6" t="n">
        <v>30</v>
      </c>
      <c r="H99" s="8" t="n">
        <v>0.25</v>
      </c>
      <c r="I99" s="8" t="n">
        <v>7.5</v>
      </c>
      <c r="J99" s="9" t="n"/>
      <c r="K99" s="9" t="n"/>
      <c r="L99" s="16" t="n"/>
      <c r="M99" s="17">
        <f>IFERROR(IF(K99="",G99,K99)*IF(L99="",H99,L99),"")</f>
        <v/>
      </c>
      <c r="N99" s="9" t="n"/>
      <c r="O99" s="9" t="n"/>
      <c r="P99" s="10" t="n"/>
    </row>
    <row r="100">
      <c r="A100" s="6" t="n">
        <v>702</v>
      </c>
      <c r="B100" s="7" t="inlineStr">
        <is>
          <t>INV/2024/00019</t>
        </is>
      </c>
      <c r="C100" s="6" t="inlineStr">
        <is>
          <t>2024-12-30</t>
        </is>
      </c>
      <c r="D100" s="6" t="n">
        <v>8</v>
      </c>
      <c r="E100" s="6" t="inlineStr">
        <is>
          <t>500388</t>
        </is>
      </c>
      <c r="F100" s="7" t="inlineStr">
        <is>
          <t>[500388] نهاية كوليكتر 1" اندبيس</t>
        </is>
      </c>
      <c r="G100" s="6" t="n">
        <v>2</v>
      </c>
      <c r="H100" s="8" t="n">
        <v>3.5</v>
      </c>
      <c r="I100" s="8" t="n">
        <v>7</v>
      </c>
      <c r="J100" s="9" t="n"/>
      <c r="K100" s="9" t="n"/>
      <c r="L100" s="16" t="n"/>
      <c r="M100" s="17">
        <f>IFERROR(IF(K100="",G100,K100)*IF(L100="",H100,L100),"")</f>
        <v/>
      </c>
      <c r="N100" s="9" t="n"/>
      <c r="O100" s="9" t="n"/>
      <c r="P100" s="10" t="n"/>
    </row>
    <row r="101">
      <c r="A101" s="6" t="n">
        <v>703</v>
      </c>
      <c r="B101" s="7" t="inlineStr">
        <is>
          <t>INV/2024/00019</t>
        </is>
      </c>
      <c r="C101" s="6" t="inlineStr">
        <is>
          <t>2024-12-30</t>
        </is>
      </c>
      <c r="D101" s="6" t="n">
        <v>9</v>
      </c>
      <c r="E101" s="6" t="inlineStr">
        <is>
          <t>500163</t>
        </is>
      </c>
      <c r="F101" s="7" t="inlineStr">
        <is>
          <t>[500163] هواية 3/8" (جاكوميني) ايطالي</t>
        </is>
      </c>
      <c r="G101" s="6" t="n">
        <v>2</v>
      </c>
      <c r="H101" s="8" t="n">
        <v>3.5</v>
      </c>
      <c r="I101" s="8" t="n">
        <v>7</v>
      </c>
      <c r="J101" s="9" t="n"/>
      <c r="K101" s="9" t="n"/>
      <c r="L101" s="16" t="n"/>
      <c r="M101" s="17">
        <f>IFERROR(IF(K101="",G101,K101)*IF(L101="",H101,L101),"")</f>
        <v/>
      </c>
      <c r="N101" s="9" t="n"/>
      <c r="O101" s="9" t="n"/>
      <c r="P101" s="10" t="n"/>
    </row>
    <row r="102">
      <c r="A102" s="6" t="n">
        <v>704</v>
      </c>
      <c r="B102" s="7" t="inlineStr">
        <is>
          <t>INV/2024/00019</t>
        </is>
      </c>
      <c r="C102" s="6" t="inlineStr">
        <is>
          <t>2024-12-30</t>
        </is>
      </c>
      <c r="D102" s="6" t="n">
        <v>10</v>
      </c>
      <c r="E102" s="6" t="inlineStr">
        <is>
          <t>500148</t>
        </is>
      </c>
      <c r="F102" s="7" t="inlineStr">
        <is>
          <t>[500148] سدة نحاس ايطالي 1"</t>
        </is>
      </c>
      <c r="G102" s="6" t="n">
        <v>1</v>
      </c>
      <c r="H102" s="8" t="n">
        <v>1.5</v>
      </c>
      <c r="I102" s="8" t="n">
        <v>1.5</v>
      </c>
      <c r="J102" s="9" t="n"/>
      <c r="K102" s="9" t="n"/>
      <c r="L102" s="16" t="n"/>
      <c r="M102" s="17">
        <f>IFERROR(IF(K102="",G102,K102)*IF(L102="",H102,L102),"")</f>
        <v/>
      </c>
      <c r="N102" s="9" t="n"/>
      <c r="O102" s="9" t="n"/>
      <c r="P102" s="10" t="n"/>
    </row>
    <row r="103">
      <c r="A103" s="6" t="n">
        <v>705</v>
      </c>
      <c r="B103" s="7" t="inlineStr">
        <is>
          <t>INV/2024/00019</t>
        </is>
      </c>
      <c r="C103" s="6" t="inlineStr">
        <is>
          <t>2024-12-30</t>
        </is>
      </c>
      <c r="D103" s="6" t="n">
        <v>11</v>
      </c>
      <c r="E103" s="6" t="inlineStr">
        <is>
          <t>500385</t>
        </is>
      </c>
      <c r="F103" s="7" t="inlineStr">
        <is>
          <t>[500385] مربط كوليكتر قصير . 1 جوز</t>
        </is>
      </c>
      <c r="G103" s="6" t="n">
        <v>1</v>
      </c>
      <c r="H103" s="8" t="n">
        <v>3</v>
      </c>
      <c r="I103" s="8" t="n">
        <v>3</v>
      </c>
      <c r="J103" s="9" t="n"/>
      <c r="K103" s="9" t="n"/>
      <c r="L103" s="16" t="n"/>
      <c r="M103" s="17">
        <f>IFERROR(IF(K103="",G103,K103)*IF(L103="",H103,L103),"")</f>
        <v/>
      </c>
      <c r="N103" s="9" t="n"/>
      <c r="O103" s="9" t="n"/>
      <c r="P103" s="10" t="n"/>
    </row>
    <row r="104">
      <c r="A104" s="6" t="n">
        <v>706</v>
      </c>
      <c r="B104" s="7" t="inlineStr">
        <is>
          <t>INV/2024/00019</t>
        </is>
      </c>
      <c r="C104" s="6" t="inlineStr">
        <is>
          <t>2024-12-30</t>
        </is>
      </c>
      <c r="D104" s="6" t="n">
        <v>12</v>
      </c>
      <c r="E104" s="6" t="inlineStr">
        <is>
          <t>500178</t>
        </is>
      </c>
      <c r="F104" s="7" t="inlineStr">
        <is>
          <t>[500178] محبس فراشة مع شد وصل نحاس 1" NTM</t>
        </is>
      </c>
      <c r="G104" s="6" t="n">
        <v>1</v>
      </c>
      <c r="H104" s="8" t="n">
        <v>12</v>
      </c>
      <c r="I104" s="8" t="n">
        <v>12</v>
      </c>
      <c r="J104" s="9" t="n"/>
      <c r="K104" s="9" t="n"/>
      <c r="L104" s="16" t="n"/>
      <c r="M104" s="17">
        <f>IFERROR(IF(K104="",G104,K104)*IF(L104="",H104,L104),"")</f>
        <v/>
      </c>
      <c r="N104" s="9" t="n"/>
      <c r="O104" s="9" t="n"/>
      <c r="P104" s="10" t="n"/>
    </row>
    <row r="105">
      <c r="A105" s="6" t="n">
        <v>707</v>
      </c>
      <c r="B105" s="7" t="inlineStr">
        <is>
          <t>INV/2024/00019</t>
        </is>
      </c>
      <c r="C105" s="6" t="inlineStr">
        <is>
          <t>2024-12-30</t>
        </is>
      </c>
      <c r="D105" s="6" t="n">
        <v>13</v>
      </c>
      <c r="E105" s="6" t="inlineStr">
        <is>
          <t>500647</t>
        </is>
      </c>
      <c r="F105" s="7" t="inlineStr">
        <is>
          <t>[500647] كوع مع شد وصل ايطالي 1"×32ملم</t>
        </is>
      </c>
      <c r="G105" s="6" t="n">
        <v>1</v>
      </c>
      <c r="H105" s="8" t="n">
        <v>7.5</v>
      </c>
      <c r="I105" s="8" t="n">
        <v>7.5</v>
      </c>
      <c r="J105" s="9" t="n"/>
      <c r="K105" s="9" t="n"/>
      <c r="L105" s="16" t="n"/>
      <c r="M105" s="17">
        <f>IFERROR(IF(K105="",G105,K105)*IF(L105="",H105,L105),"")</f>
        <v/>
      </c>
      <c r="N105" s="9" t="n"/>
      <c r="O105" s="9" t="n"/>
      <c r="P105" s="10" t="n"/>
    </row>
    <row r="106">
      <c r="A106" s="6" t="n">
        <v>708</v>
      </c>
      <c r="B106" s="7" t="inlineStr">
        <is>
          <t>INV/2024/00019</t>
        </is>
      </c>
      <c r="C106" s="6" t="inlineStr">
        <is>
          <t>2024-12-30</t>
        </is>
      </c>
      <c r="D106" s="6" t="n">
        <v>14</v>
      </c>
      <c r="E106" s="6" t="inlineStr">
        <is>
          <t>500377</t>
        </is>
      </c>
      <c r="F106" s="7" t="inlineStr">
        <is>
          <t>[500377] اجو (اسود) 1 ك شنل امريكي</t>
        </is>
      </c>
      <c r="G106" s="6" t="n">
        <v>2</v>
      </c>
      <c r="H106" s="8" t="n">
        <v>6</v>
      </c>
      <c r="I106" s="8" t="n">
        <v>12</v>
      </c>
      <c r="J106" s="9" t="n"/>
      <c r="K106" s="9" t="n"/>
      <c r="L106" s="16" t="n"/>
      <c r="M106" s="17">
        <f>IFERROR(IF(K106="",G106,K106)*IF(L106="",H106,L106),"")</f>
        <v/>
      </c>
      <c r="N106" s="9" t="n"/>
      <c r="O106" s="9" t="n"/>
      <c r="P106" s="10" t="n"/>
    </row>
    <row r="107">
      <c r="A107" s="6" t="n">
        <v>709</v>
      </c>
      <c r="B107" s="7" t="inlineStr">
        <is>
          <t>INV/2024/00019</t>
        </is>
      </c>
      <c r="C107" s="6" t="inlineStr">
        <is>
          <t>2024-12-30</t>
        </is>
      </c>
      <c r="D107" s="6" t="n">
        <v>15</v>
      </c>
      <c r="E107" s="6" t="inlineStr">
        <is>
          <t>500431</t>
        </is>
      </c>
      <c r="F107" s="7" t="inlineStr">
        <is>
          <t>[500431] واي بلاستيك 4" ضغط صغير ومرار</t>
        </is>
      </c>
      <c r="G107" s="6" t="n">
        <v>8</v>
      </c>
      <c r="H107" s="8" t="n">
        <v>3.9</v>
      </c>
      <c r="I107" s="8" t="n">
        <v>31.2</v>
      </c>
      <c r="J107" s="9" t="n"/>
      <c r="K107" s="9" t="n"/>
      <c r="L107" s="16" t="n"/>
      <c r="M107" s="17">
        <f>IFERROR(IF(K107="",G107,K107)*IF(L107="",H107,L107),"")</f>
        <v/>
      </c>
      <c r="N107" s="9" t="n"/>
      <c r="O107" s="9" t="n"/>
      <c r="P107" s="10" t="n"/>
    </row>
    <row r="108">
      <c r="A108" s="6" t="n">
        <v>713</v>
      </c>
      <c r="B108" s="7" t="inlineStr">
        <is>
          <t>INV/2025/00001</t>
        </is>
      </c>
      <c r="C108" s="6" t="inlineStr">
        <is>
          <t>2025-01-13</t>
        </is>
      </c>
      <c r="D108" s="6" t="n">
        <v>1</v>
      </c>
      <c r="E108" s="6" t="inlineStr">
        <is>
          <t>500071</t>
        </is>
      </c>
      <c r="F108" s="7" t="inlineStr">
        <is>
          <t>[500071] يد شطاف ايطالي</t>
        </is>
      </c>
      <c r="G108" s="6" t="n">
        <v>1</v>
      </c>
      <c r="H108" s="8" t="n">
        <v>1.5</v>
      </c>
      <c r="I108" s="8" t="n">
        <v>1.5</v>
      </c>
      <c r="J108" s="9" t="n"/>
      <c r="K108" s="9" t="n"/>
      <c r="L108" s="16" t="n"/>
      <c r="M108" s="17">
        <f>IFERROR(IF(K108="",G108,K108)*IF(L108="",H108,L108),"")</f>
        <v/>
      </c>
      <c r="N108" s="9" t="n"/>
      <c r="O108" s="9" t="n"/>
      <c r="P108" s="10" t="n"/>
    </row>
    <row r="109">
      <c r="A109" s="6" t="n">
        <v>714</v>
      </c>
      <c r="B109" s="7" t="inlineStr">
        <is>
          <t>INV/2025/00001</t>
        </is>
      </c>
      <c r="C109" s="6" t="inlineStr">
        <is>
          <t>2025-01-13</t>
        </is>
      </c>
      <c r="D109" s="6" t="n">
        <v>2</v>
      </c>
      <c r="E109" s="6" t="inlineStr">
        <is>
          <t>100599</t>
        </is>
      </c>
      <c r="F109" s="7" t="inlineStr">
        <is>
          <t>[100599] كفوف عمال بلاستيك DINQI 93001</t>
        </is>
      </c>
      <c r="G109" s="6" t="n">
        <v>1</v>
      </c>
      <c r="H109" s="8" t="n">
        <v>1</v>
      </c>
      <c r="I109" s="8" t="n">
        <v>1</v>
      </c>
      <c r="J109" s="9" t="n"/>
      <c r="K109" s="9" t="n"/>
      <c r="L109" s="16" t="n"/>
      <c r="M109" s="17">
        <f>IFERROR(IF(K109="",G109,K109)*IF(L109="",H109,L109),"")</f>
        <v/>
      </c>
      <c r="N109" s="9" t="n"/>
      <c r="O109" s="9" t="n"/>
      <c r="P109" s="10" t="n"/>
    </row>
    <row r="110">
      <c r="A110" s="6" t="n">
        <v>715</v>
      </c>
      <c r="B110" s="7" t="inlineStr">
        <is>
          <t>INV/2025/00001</t>
        </is>
      </c>
      <c r="C110" s="6" t="inlineStr">
        <is>
          <t>2025-01-13</t>
        </is>
      </c>
      <c r="D110" s="6" t="n">
        <v>3</v>
      </c>
      <c r="E110" s="6" t="inlineStr">
        <is>
          <t>700077</t>
        </is>
      </c>
      <c r="F110" s="7" t="inlineStr">
        <is>
          <t>[700077] مسلك مصارف سائل (ماء نار)</t>
        </is>
      </c>
      <c r="G110" s="6" t="n">
        <v>1</v>
      </c>
      <c r="H110" s="8" t="n">
        <v>1.25</v>
      </c>
      <c r="I110" s="8" t="n">
        <v>1.25</v>
      </c>
      <c r="J110" s="9" t="n"/>
      <c r="K110" s="9" t="n"/>
      <c r="L110" s="16" t="n"/>
      <c r="M110" s="17">
        <f>IFERROR(IF(K110="",G110,K110)*IF(L110="",H110,L110),"")</f>
        <v/>
      </c>
      <c r="N110" s="9" t="n"/>
      <c r="O110" s="9" t="n"/>
      <c r="P110" s="10" t="n"/>
    </row>
    <row r="111">
      <c r="A111" s="6" t="n">
        <v>716</v>
      </c>
      <c r="B111" s="7" t="inlineStr">
        <is>
          <t>INV/2025/00001</t>
        </is>
      </c>
      <c r="C111" s="6" t="inlineStr">
        <is>
          <t>2025-01-13</t>
        </is>
      </c>
      <c r="D111" s="6" t="n">
        <v>4</v>
      </c>
      <c r="E111" s="6" t="inlineStr">
        <is>
          <t>600083</t>
        </is>
      </c>
      <c r="F111" s="7" t="inlineStr">
        <is>
          <t>[600083] فيش كهرباء بلغاري 16 امبير</t>
        </is>
      </c>
      <c r="G111" s="6" t="n">
        <v>1</v>
      </c>
      <c r="H111" s="8" t="n">
        <v>1.5</v>
      </c>
      <c r="I111" s="8" t="n">
        <v>1.5</v>
      </c>
      <c r="J111" s="9" t="n"/>
      <c r="K111" s="9" t="n"/>
      <c r="L111" s="16" t="n"/>
      <c r="M111" s="17">
        <f>IFERROR(IF(K111="",G111,K111)*IF(L111="",H111,L111),"")</f>
        <v/>
      </c>
      <c r="N111" s="9" t="n"/>
      <c r="O111" s="9" t="n"/>
      <c r="P111" s="10" t="n"/>
    </row>
    <row r="112">
      <c r="A112" s="6" t="n">
        <v>717</v>
      </c>
      <c r="B112" s="7" t="inlineStr">
        <is>
          <t>INV/2025/00001</t>
        </is>
      </c>
      <c r="C112" s="6" t="inlineStr">
        <is>
          <t>2025-01-13</t>
        </is>
      </c>
      <c r="D112" s="6" t="n">
        <v>5</v>
      </c>
      <c r="E112" s="6" t="inlineStr">
        <is>
          <t>700077</t>
        </is>
      </c>
      <c r="F112" s="7" t="inlineStr">
        <is>
          <t>[700077] مسلك مصارف سائل (ماء نار)</t>
        </is>
      </c>
      <c r="G112" s="6" t="n">
        <v>1</v>
      </c>
      <c r="H112" s="8" t="n">
        <v>1.25</v>
      </c>
      <c r="I112" s="8" t="n">
        <v>1.25</v>
      </c>
      <c r="J112" s="9" t="n"/>
      <c r="K112" s="9" t="n"/>
      <c r="L112" s="16" t="n"/>
      <c r="M112" s="17">
        <f>IFERROR(IF(K112="",G112,K112)*IF(L112="",H112,L112),"")</f>
        <v/>
      </c>
      <c r="N112" s="9" t="n"/>
      <c r="O112" s="9" t="n"/>
      <c r="P112" s="10" t="n"/>
    </row>
    <row r="113">
      <c r="A113" s="6" t="n">
        <v>718</v>
      </c>
      <c r="B113" s="7" t="inlineStr">
        <is>
          <t>INV/2025/00001</t>
        </is>
      </c>
      <c r="C113" s="6" t="inlineStr">
        <is>
          <t>2025-01-13</t>
        </is>
      </c>
      <c r="D113" s="6" t="n">
        <v>6</v>
      </c>
      <c r="E113" s="6" t="inlineStr">
        <is>
          <t>230047</t>
        </is>
      </c>
      <c r="F113" s="7" t="inlineStr">
        <is>
          <t>[230047] نيون قاتلة ناموس تايلندي (قطعة غيار)</t>
        </is>
      </c>
      <c r="G113" s="6" t="n">
        <v>1</v>
      </c>
      <c r="H113" s="8" t="n">
        <v>2</v>
      </c>
      <c r="I113" s="8" t="n">
        <v>2</v>
      </c>
      <c r="J113" s="9" t="n"/>
      <c r="K113" s="9" t="n"/>
      <c r="L113" s="16" t="n"/>
      <c r="M113" s="17">
        <f>IFERROR(IF(K113="",G113,K113)*IF(L113="",H113,L113),"")</f>
        <v/>
      </c>
      <c r="N113" s="9" t="n"/>
      <c r="O113" s="9" t="n"/>
      <c r="P113" s="10" t="n"/>
    </row>
    <row r="114">
      <c r="A114" s="6" t="n">
        <v>719</v>
      </c>
      <c r="B114" s="7" t="inlineStr">
        <is>
          <t>INV/2025/00001</t>
        </is>
      </c>
      <c r="C114" s="6" t="inlineStr">
        <is>
          <t>2025-01-13</t>
        </is>
      </c>
      <c r="D114" s="6" t="n">
        <v>7</v>
      </c>
      <c r="E114" s="6" t="inlineStr">
        <is>
          <t>500431</t>
        </is>
      </c>
      <c r="F114" s="7" t="inlineStr">
        <is>
          <t>[500431] واي بلاستيك 4" ضغط صغير ومرار</t>
        </is>
      </c>
      <c r="G114" s="6" t="n">
        <v>5</v>
      </c>
      <c r="H114" s="8" t="n">
        <v>3.9</v>
      </c>
      <c r="I114" s="8" t="n">
        <v>19.5</v>
      </c>
      <c r="J114" s="9" t="n"/>
      <c r="K114" s="9" t="n"/>
      <c r="L114" s="16" t="n"/>
      <c r="M114" s="17">
        <f>IFERROR(IF(K114="",G114,K114)*IF(L114="",H114,L114),"")</f>
        <v/>
      </c>
      <c r="N114" s="9" t="n"/>
      <c r="O114" s="9" t="n"/>
      <c r="P114" s="10" t="n"/>
    </row>
    <row r="115">
      <c r="A115" s="6" t="n">
        <v>720</v>
      </c>
      <c r="B115" s="7" t="inlineStr">
        <is>
          <t>INV/2025/00001</t>
        </is>
      </c>
      <c r="C115" s="6" t="inlineStr">
        <is>
          <t>2025-01-13</t>
        </is>
      </c>
      <c r="D115" s="6" t="n">
        <v>8</v>
      </c>
      <c r="E115" s="6" t="inlineStr">
        <is>
          <t>500410</t>
        </is>
      </c>
      <c r="F115" s="7" t="inlineStr">
        <is>
          <t>[500410] ماسورة بلاستيك 4" ضغط صغير ومرار</t>
        </is>
      </c>
      <c r="G115" s="6" t="n">
        <v>12</v>
      </c>
      <c r="H115" s="8" t="n">
        <v>3.3</v>
      </c>
      <c r="I115" s="8" t="n">
        <v>39.6</v>
      </c>
      <c r="J115" s="9" t="n"/>
      <c r="K115" s="9" t="n"/>
      <c r="L115" s="16" t="n"/>
      <c r="M115" s="17">
        <f>IFERROR(IF(K115="",G115,K115)*IF(L115="",H115,L115),"")</f>
        <v/>
      </c>
      <c r="N115" s="9" t="n"/>
      <c r="O115" s="9" t="n"/>
      <c r="P115" s="10" t="n"/>
    </row>
    <row r="116">
      <c r="A116" s="6" t="n">
        <v>721</v>
      </c>
      <c r="B116" s="7" t="inlineStr">
        <is>
          <t>INV/2025/00001</t>
        </is>
      </c>
      <c r="C116" s="6" t="inlineStr">
        <is>
          <t>2025-01-13</t>
        </is>
      </c>
      <c r="D116" s="6" t="n">
        <v>9</v>
      </c>
      <c r="E116" s="6" t="inlineStr">
        <is>
          <t>500713</t>
        </is>
      </c>
      <c r="F116" s="7" t="inlineStr">
        <is>
          <t>[500713] بكس بلاستيك مدكك عادي 16ملم - لفة 100 متر</t>
        </is>
      </c>
      <c r="G116" s="6" t="n">
        <v>1</v>
      </c>
      <c r="H116" s="8" t="n">
        <v>32</v>
      </c>
      <c r="I116" s="8" t="n">
        <v>32</v>
      </c>
      <c r="J116" s="9" t="n"/>
      <c r="K116" s="9" t="n"/>
      <c r="L116" s="16" t="n"/>
      <c r="M116" s="17">
        <f>IFERROR(IF(K116="",G116,K116)*IF(L116="",H116,L116),"")</f>
        <v/>
      </c>
      <c r="N116" s="9" t="n"/>
      <c r="O116" s="9" t="n"/>
      <c r="P116" s="10" t="n"/>
    </row>
    <row r="117">
      <c r="A117" s="6" t="n">
        <v>722</v>
      </c>
      <c r="B117" s="7" t="inlineStr">
        <is>
          <t>INV/2025/00001</t>
        </is>
      </c>
      <c r="C117" s="6" t="inlineStr">
        <is>
          <t>2025-01-13</t>
        </is>
      </c>
      <c r="D117" s="6" t="n">
        <v>10</v>
      </c>
      <c r="E117" s="6" t="inlineStr">
        <is>
          <t>200317</t>
        </is>
      </c>
      <c r="F117" s="7" t="inlineStr">
        <is>
          <t>[200317] شوال لاصق بلاط شامبيون 25 كغم</t>
        </is>
      </c>
      <c r="G117" s="6" t="n">
        <v>5</v>
      </c>
      <c r="H117" s="8" t="n">
        <v>5</v>
      </c>
      <c r="I117" s="8" t="n">
        <v>25</v>
      </c>
      <c r="J117" s="9" t="n"/>
      <c r="K117" s="9" t="n"/>
      <c r="L117" s="16" t="n"/>
      <c r="M117" s="17">
        <f>IFERROR(IF(K117="",G117,K117)*IF(L117="",H117,L117),"")</f>
        <v/>
      </c>
      <c r="N117" s="9" t="n"/>
      <c r="O117" s="9" t="n"/>
      <c r="P117" s="10" t="n"/>
    </row>
    <row r="118">
      <c r="A118" s="6" t="n">
        <v>723</v>
      </c>
      <c r="B118" s="7" t="inlineStr">
        <is>
          <t>INV/2025/00001</t>
        </is>
      </c>
      <c r="C118" s="6" t="inlineStr">
        <is>
          <t>2025-01-13</t>
        </is>
      </c>
      <c r="D118" s="6" t="n">
        <v>11</v>
      </c>
      <c r="E118" s="6" t="inlineStr">
        <is>
          <t>500377</t>
        </is>
      </c>
      <c r="F118" s="7" t="inlineStr">
        <is>
          <t>[500377] اجو (اسود) 1 ك شنل امريكي</t>
        </is>
      </c>
      <c r="G118" s="6" t="n">
        <v>2</v>
      </c>
      <c r="H118" s="8" t="n">
        <v>6</v>
      </c>
      <c r="I118" s="8" t="n">
        <v>12</v>
      </c>
      <c r="J118" s="9" t="n"/>
      <c r="K118" s="9" t="n"/>
      <c r="L118" s="16" t="n"/>
      <c r="M118" s="17">
        <f>IFERROR(IF(K118="",G118,K118)*IF(L118="",H118,L118),"")</f>
        <v/>
      </c>
      <c r="N118" s="9" t="n"/>
      <c r="O118" s="9" t="n"/>
      <c r="P118" s="10" t="n"/>
    </row>
    <row r="119">
      <c r="A119" s="6" t="n">
        <v>724</v>
      </c>
      <c r="B119" s="7" t="inlineStr">
        <is>
          <t>INV/2025/00001</t>
        </is>
      </c>
      <c r="C119" s="6" t="inlineStr">
        <is>
          <t>2025-01-13</t>
        </is>
      </c>
      <c r="D119" s="6" t="n">
        <v>12</v>
      </c>
      <c r="E119" s="6" t="inlineStr">
        <is>
          <t>200001</t>
        </is>
      </c>
      <c r="F119" s="7" t="inlineStr">
        <is>
          <t>[200001] درم املشن ديلوكس ابيض</t>
        </is>
      </c>
      <c r="G119" s="6" t="n">
        <v>2</v>
      </c>
      <c r="H119" s="8" t="n">
        <v>21</v>
      </c>
      <c r="I119" s="8" t="n">
        <v>42</v>
      </c>
      <c r="J119" s="9" t="n"/>
      <c r="K119" s="9" t="n"/>
      <c r="L119" s="16" t="n"/>
      <c r="M119" s="17">
        <f>IFERROR(IF(K119="",G119,K119)*IF(L119="",H119,L119),"")</f>
        <v/>
      </c>
      <c r="N119" s="9" t="n"/>
      <c r="O119" s="9" t="n"/>
      <c r="P119" s="10" t="n"/>
    </row>
    <row r="120">
      <c r="A120" s="6" t="n">
        <v>725</v>
      </c>
      <c r="B120" s="7" t="inlineStr">
        <is>
          <t>INV/2025/00001</t>
        </is>
      </c>
      <c r="C120" s="6" t="inlineStr">
        <is>
          <t>2025-01-13</t>
        </is>
      </c>
      <c r="D120" s="6" t="n">
        <v>13</v>
      </c>
      <c r="E120" s="6" t="inlineStr">
        <is>
          <t>200260</t>
        </is>
      </c>
      <c r="F120" s="7" t="inlineStr">
        <is>
          <t>[200260] شوال معجونة جدران (طلس) 25 كغم القدس</t>
        </is>
      </c>
      <c r="G120" s="6" t="n">
        <v>2</v>
      </c>
      <c r="H120" s="8" t="n">
        <v>6.5</v>
      </c>
      <c r="I120" s="8" t="n">
        <v>13</v>
      </c>
      <c r="J120" s="9" t="n"/>
      <c r="K120" s="9" t="n"/>
      <c r="L120" s="16" t="n"/>
      <c r="M120" s="17">
        <f>IFERROR(IF(K120="",G120,K120)*IF(L120="",H120,L120),"")</f>
        <v/>
      </c>
      <c r="N120" s="9" t="n"/>
      <c r="O120" s="9" t="n"/>
      <c r="P120" s="10" t="n"/>
    </row>
    <row r="121">
      <c r="A121" s="6" t="n">
        <v>800</v>
      </c>
      <c r="B121" s="7" t="inlineStr">
        <is>
          <t>INV/2025/00004</t>
        </is>
      </c>
      <c r="C121" s="6" t="inlineStr">
        <is>
          <t>2025-01-25</t>
        </is>
      </c>
      <c r="D121" s="6" t="n">
        <v>1</v>
      </c>
      <c r="E121" s="6" t="inlineStr">
        <is>
          <t>701817</t>
        </is>
      </c>
      <c r="F121" s="7" t="inlineStr">
        <is>
          <t>[701817] طقم زرفيل مع ايادي Zero مع 5 مفتاح كمبيوتر</t>
        </is>
      </c>
      <c r="G121" s="6" t="n">
        <v>1</v>
      </c>
      <c r="H121" s="8" t="n">
        <v>10</v>
      </c>
      <c r="I121" s="8" t="n">
        <v>10</v>
      </c>
      <c r="J121" s="9" t="n"/>
      <c r="K121" s="9" t="n"/>
      <c r="L121" s="16" t="n"/>
      <c r="M121" s="17">
        <f>IFERROR(IF(K121="",G121,K121)*IF(L121="",H121,L121),"")</f>
        <v/>
      </c>
      <c r="N121" s="9" t="n"/>
      <c r="O121" s="9" t="n"/>
      <c r="P121" s="10" t="n"/>
    </row>
    <row r="122">
      <c r="A122" s="6" t="n">
        <v>801</v>
      </c>
      <c r="B122" s="7" t="inlineStr">
        <is>
          <t>INV/2025/00004</t>
        </is>
      </c>
      <c r="C122" s="6" t="inlineStr">
        <is>
          <t>2025-01-25</t>
        </is>
      </c>
      <c r="D122" s="6" t="n">
        <v>2</v>
      </c>
      <c r="E122" s="6" t="inlineStr">
        <is>
          <t>701578</t>
        </is>
      </c>
      <c r="F122" s="7" t="inlineStr">
        <is>
          <t>[701578] درل شحن مع اكسسوارات 21 فولت MEAKIDA</t>
        </is>
      </c>
      <c r="G122" s="6" t="n">
        <v>1</v>
      </c>
      <c r="H122" s="8" t="n">
        <v>32</v>
      </c>
      <c r="I122" s="8" t="n">
        <v>32</v>
      </c>
      <c r="J122" s="9" t="n"/>
      <c r="K122" s="9" t="n"/>
      <c r="L122" s="16" t="n"/>
      <c r="M122" s="17">
        <f>IFERROR(IF(K122="",G122,K122)*IF(L122="",H122,L122),"")</f>
        <v/>
      </c>
      <c r="N122" s="9" t="n"/>
      <c r="O122" s="9" t="n"/>
      <c r="P122" s="10" t="n"/>
    </row>
    <row r="123">
      <c r="A123" s="6" t="n">
        <v>802</v>
      </c>
      <c r="B123" s="7" t="inlineStr">
        <is>
          <t>INV/2025/00004</t>
        </is>
      </c>
      <c r="C123" s="6" t="inlineStr">
        <is>
          <t>2025-01-25</t>
        </is>
      </c>
      <c r="D123" s="6" t="n">
        <v>3</v>
      </c>
      <c r="E123" s="6" t="inlineStr">
        <is>
          <t>900002</t>
        </is>
      </c>
      <c r="F123" s="7" t="inlineStr">
        <is>
          <t>[900002] شوال اسمنت ابيض 25 كغم</t>
        </is>
      </c>
      <c r="G123" s="6" t="n">
        <v>3</v>
      </c>
      <c r="H123" s="8" t="n">
        <v>15</v>
      </c>
      <c r="I123" s="8" t="n">
        <v>45</v>
      </c>
      <c r="J123" s="9" t="n"/>
      <c r="K123" s="9" t="n"/>
      <c r="L123" s="16" t="n"/>
      <c r="M123" s="17">
        <f>IFERROR(IF(K123="",G123,K123)*IF(L123="",H123,L123),"")</f>
        <v/>
      </c>
      <c r="N123" s="9" t="n"/>
      <c r="O123" s="9" t="n"/>
      <c r="P123" s="10" t="n"/>
    </row>
    <row r="124">
      <c r="A124" s="6" t="n">
        <v>803</v>
      </c>
      <c r="B124" s="7" t="inlineStr">
        <is>
          <t>INV/2025/00004</t>
        </is>
      </c>
      <c r="C124" s="6" t="inlineStr">
        <is>
          <t>2025-01-25</t>
        </is>
      </c>
      <c r="D124" s="6" t="n">
        <v>4</v>
      </c>
      <c r="E124" s="6" t="inlineStr">
        <is>
          <t>900036</t>
        </is>
      </c>
      <c r="F124" s="7" t="inlineStr">
        <is>
          <t>[900036] سلك مجدول اسود</t>
        </is>
      </c>
      <c r="G124" s="6" t="n">
        <v>12</v>
      </c>
      <c r="H124" s="8" t="n">
        <v>2</v>
      </c>
      <c r="I124" s="8" t="n">
        <v>24</v>
      </c>
      <c r="J124" s="9" t="n"/>
      <c r="K124" s="9" t="n"/>
      <c r="L124" s="16" t="n"/>
      <c r="M124" s="17">
        <f>IFERROR(IF(K124="",G124,K124)*IF(L124="",H124,L124),"")</f>
        <v/>
      </c>
      <c r="N124" s="9" t="n"/>
      <c r="O124" s="9" t="n"/>
      <c r="P124" s="10" t="n"/>
    </row>
    <row r="125">
      <c r="A125" s="6" t="n">
        <v>804</v>
      </c>
      <c r="B125" s="7" t="inlineStr">
        <is>
          <t>INV/2025/00004</t>
        </is>
      </c>
      <c r="C125" s="6" t="inlineStr">
        <is>
          <t>2025-01-25</t>
        </is>
      </c>
      <c r="D125" s="6" t="n">
        <v>5</v>
      </c>
      <c r="E125" s="6" t="inlineStr">
        <is>
          <t>900921</t>
        </is>
      </c>
      <c r="F125" s="7" t="inlineStr">
        <is>
          <t>[900921] تب كهرباء فيتنامي/ياباني</t>
        </is>
      </c>
      <c r="G125" s="6" t="n">
        <v>10</v>
      </c>
      <c r="H125" s="8" t="n">
        <v>0.3</v>
      </c>
      <c r="I125" s="8" t="n">
        <v>3</v>
      </c>
      <c r="J125" s="9" t="n"/>
      <c r="K125" s="9" t="n"/>
      <c r="L125" s="16" t="n"/>
      <c r="M125" s="17">
        <f>IFERROR(IF(K125="",G125,K125)*IF(L125="",H125,L125),"")</f>
        <v/>
      </c>
      <c r="N125" s="9" t="n"/>
      <c r="O125" s="9" t="n"/>
      <c r="P125" s="10" t="n"/>
    </row>
    <row r="126">
      <c r="A126" s="6" t="n">
        <v>805</v>
      </c>
      <c r="B126" s="7" t="inlineStr">
        <is>
          <t>INV/2025/00004</t>
        </is>
      </c>
      <c r="C126" s="6" t="inlineStr">
        <is>
          <t>2025-01-25</t>
        </is>
      </c>
      <c r="D126" s="6" t="n">
        <v>6</v>
      </c>
      <c r="E126" s="6" t="inlineStr">
        <is>
          <t>500377</t>
        </is>
      </c>
      <c r="F126" s="7" t="inlineStr">
        <is>
          <t>[500377] اجو (اسود) 1 ك شنل امريكي</t>
        </is>
      </c>
      <c r="G126" s="6" t="n">
        <v>2</v>
      </c>
      <c r="H126" s="8" t="n">
        <v>6.5</v>
      </c>
      <c r="I126" s="8" t="n">
        <v>13</v>
      </c>
      <c r="J126" s="9" t="n"/>
      <c r="K126" s="9" t="n"/>
      <c r="L126" s="16" t="n"/>
      <c r="M126" s="17">
        <f>IFERROR(IF(K126="",G126,K126)*IF(L126="",H126,L126),"")</f>
        <v/>
      </c>
      <c r="N126" s="9" t="n"/>
      <c r="O126" s="9" t="n"/>
      <c r="P126" s="10" t="n"/>
    </row>
    <row r="127">
      <c r="A127" s="6" t="n">
        <v>806</v>
      </c>
      <c r="B127" s="7" t="inlineStr">
        <is>
          <t>INV/2025/00004</t>
        </is>
      </c>
      <c r="C127" s="6" t="inlineStr">
        <is>
          <t>2025-01-25</t>
        </is>
      </c>
      <c r="D127" s="6" t="n">
        <v>7</v>
      </c>
      <c r="E127" s="6" t="inlineStr">
        <is>
          <t>700389</t>
        </is>
      </c>
      <c r="F127" s="7" t="inlineStr">
        <is>
          <t>[700389] شبر جبسمبورد كنف KNAUF</t>
        </is>
      </c>
      <c r="G127" s="6" t="n">
        <v>4</v>
      </c>
      <c r="H127" s="8" t="n">
        <v>2.5</v>
      </c>
      <c r="I127" s="8" t="n">
        <v>10</v>
      </c>
      <c r="J127" s="9" t="n"/>
      <c r="K127" s="9" t="n"/>
      <c r="L127" s="16" t="n"/>
      <c r="M127" s="17">
        <f>IFERROR(IF(K127="",G127,K127)*IF(L127="",H127,L127),"")</f>
        <v/>
      </c>
      <c r="N127" s="9" t="n"/>
      <c r="O127" s="9" t="n"/>
      <c r="P127" s="10" t="n"/>
    </row>
    <row r="128">
      <c r="A128" s="6" t="n">
        <v>807</v>
      </c>
      <c r="B128" s="7" t="inlineStr">
        <is>
          <t>INV/2025/00004</t>
        </is>
      </c>
      <c r="C128" s="6" t="inlineStr">
        <is>
          <t>2025-01-25</t>
        </is>
      </c>
      <c r="D128" s="6" t="n">
        <v>8</v>
      </c>
      <c r="E128" s="6" t="inlineStr">
        <is>
          <t>900917</t>
        </is>
      </c>
      <c r="F128" s="7" t="inlineStr">
        <is>
          <t>[900917] اسفين حجر بناء</t>
        </is>
      </c>
      <c r="G128" s="6" t="n">
        <v>25</v>
      </c>
      <c r="H128" s="8" t="n">
        <v>0.75</v>
      </c>
      <c r="I128" s="8" t="n">
        <v>18.75</v>
      </c>
      <c r="J128" s="9" t="n"/>
      <c r="K128" s="9" t="n"/>
      <c r="L128" s="16" t="n"/>
      <c r="M128" s="17">
        <f>IFERROR(IF(K128="",G128,K128)*IF(L128="",H128,L128),"")</f>
        <v/>
      </c>
      <c r="N128" s="9" t="n"/>
      <c r="O128" s="9" t="n"/>
      <c r="P128" s="10" t="n"/>
    </row>
    <row r="129">
      <c r="A129" s="6" t="n">
        <v>808</v>
      </c>
      <c r="B129" s="7" t="inlineStr">
        <is>
          <t>INV/2025/00004</t>
        </is>
      </c>
      <c r="C129" s="6" t="inlineStr">
        <is>
          <t>2025-01-25</t>
        </is>
      </c>
      <c r="D129" s="6" t="n">
        <v>9</v>
      </c>
      <c r="E129" s="6" t="inlineStr">
        <is>
          <t>701173</t>
        </is>
      </c>
      <c r="F129" s="7" t="inlineStr">
        <is>
          <t>[701173] بربيش ماء شفاف 3/4×25 متر كريستال</t>
        </is>
      </c>
      <c r="G129" s="6" t="n">
        <v>1</v>
      </c>
      <c r="H129" s="8" t="n">
        <v>25</v>
      </c>
      <c r="I129" s="8" t="n">
        <v>25</v>
      </c>
      <c r="J129" s="9" t="n"/>
      <c r="K129" s="9" t="n"/>
      <c r="L129" s="16" t="n"/>
      <c r="M129" s="17">
        <f>IFERROR(IF(K129="",G129,K129)*IF(L129="",H129,L129),"")</f>
        <v/>
      </c>
      <c r="N129" s="9" t="n"/>
      <c r="O129" s="9" t="n"/>
      <c r="P129" s="10" t="n"/>
    </row>
    <row r="130">
      <c r="A130" s="6" t="n">
        <v>809</v>
      </c>
      <c r="B130" s="7" t="inlineStr">
        <is>
          <t>INV/2025/00004</t>
        </is>
      </c>
      <c r="C130" s="6" t="inlineStr">
        <is>
          <t>2025-01-25</t>
        </is>
      </c>
      <c r="D130" s="6" t="n">
        <v>10</v>
      </c>
      <c r="E130" s="6" t="inlineStr">
        <is>
          <t>100620</t>
        </is>
      </c>
      <c r="F130" s="7" t="inlineStr">
        <is>
          <t>[100620] لوح جبسمبورد ابيض</t>
        </is>
      </c>
      <c r="G130" s="6" t="n">
        <v>8</v>
      </c>
      <c r="H130" s="8" t="n">
        <v>4</v>
      </c>
      <c r="I130" s="8" t="n">
        <v>32</v>
      </c>
      <c r="J130" s="9" t="n"/>
      <c r="K130" s="9" t="n"/>
      <c r="L130" s="16" t="n"/>
      <c r="M130" s="17">
        <f>IFERROR(IF(K130="",G130,K130)*IF(L130="",H130,L130),"")</f>
        <v/>
      </c>
      <c r="N130" s="9" t="n"/>
      <c r="O130" s="9" t="n"/>
      <c r="P130" s="10" t="n"/>
    </row>
    <row r="131">
      <c r="A131" s="6" t="n">
        <v>810</v>
      </c>
      <c r="B131" s="7" t="inlineStr">
        <is>
          <t>INV/2025/00004</t>
        </is>
      </c>
      <c r="C131" s="6" t="inlineStr">
        <is>
          <t>2025-01-25</t>
        </is>
      </c>
      <c r="D131" s="6" t="n">
        <v>11</v>
      </c>
      <c r="E131" s="6" t="inlineStr">
        <is>
          <t>100622</t>
        </is>
      </c>
      <c r="F131" s="7" t="inlineStr">
        <is>
          <t>[100622] زاوية جبسمبورد</t>
        </is>
      </c>
      <c r="G131" s="6" t="n">
        <v>60</v>
      </c>
      <c r="H131" s="8" t="n">
        <v>0.5</v>
      </c>
      <c r="I131" s="8" t="n">
        <v>30</v>
      </c>
      <c r="J131" s="9" t="n"/>
      <c r="K131" s="9" t="n"/>
      <c r="L131" s="16" t="n"/>
      <c r="M131" s="17">
        <f>IFERROR(IF(K131="",G131,K131)*IF(L131="",H131,L131),"")</f>
        <v/>
      </c>
      <c r="N131" s="9" t="n"/>
      <c r="O131" s="9" t="n"/>
      <c r="P131" s="10" t="n"/>
    </row>
    <row r="132">
      <c r="A132" s="6" t="n">
        <v>811</v>
      </c>
      <c r="B132" s="7" t="inlineStr">
        <is>
          <t>INV/2025/00004</t>
        </is>
      </c>
      <c r="C132" s="6" t="inlineStr">
        <is>
          <t>2025-01-25</t>
        </is>
      </c>
      <c r="D132" s="6" t="n">
        <v>12</v>
      </c>
      <c r="E132" s="6" t="inlineStr">
        <is>
          <t>100624</t>
        </is>
      </c>
      <c r="F132" s="7" t="inlineStr">
        <is>
          <t>[100624] اوميغا جبسمبورد</t>
        </is>
      </c>
      <c r="G132" s="6" t="n">
        <v>20</v>
      </c>
      <c r="H132" s="8" t="n">
        <v>1</v>
      </c>
      <c r="I132" s="8" t="n">
        <v>20</v>
      </c>
      <c r="J132" s="9" t="n"/>
      <c r="K132" s="9" t="n"/>
      <c r="L132" s="16" t="n"/>
      <c r="M132" s="17">
        <f>IFERROR(IF(K132="",G132,K132)*IF(L132="",H132,L132),"")</f>
        <v/>
      </c>
      <c r="N132" s="9" t="n"/>
      <c r="O132" s="9" t="n"/>
      <c r="P132" s="10" t="n"/>
    </row>
    <row r="133">
      <c r="A133" s="6" t="n">
        <v>812</v>
      </c>
      <c r="B133" s="7" t="inlineStr">
        <is>
          <t>INV/2025/00004</t>
        </is>
      </c>
      <c r="C133" s="6" t="inlineStr">
        <is>
          <t>2025-01-25</t>
        </is>
      </c>
      <c r="D133" s="6" t="n">
        <v>13</v>
      </c>
      <c r="E133" s="6" t="inlineStr">
        <is>
          <t>200351</t>
        </is>
      </c>
      <c r="F133" s="7" t="inlineStr">
        <is>
          <t>[200351] شوال معجونة اسمنتية سافيتو</t>
        </is>
      </c>
      <c r="G133" s="6" t="n">
        <v>2</v>
      </c>
      <c r="H133" s="8" t="n">
        <v>7</v>
      </c>
      <c r="I133" s="8" t="n">
        <v>14</v>
      </c>
      <c r="J133" s="9" t="n"/>
      <c r="K133" s="9" t="n"/>
      <c r="L133" s="16" t="n"/>
      <c r="M133" s="17">
        <f>IFERROR(IF(K133="",G133,K133)*IF(L133="",H133,L133),"")</f>
        <v/>
      </c>
      <c r="N133" s="9" t="n"/>
      <c r="O133" s="9" t="n"/>
      <c r="P133" s="10" t="n"/>
    </row>
    <row r="134">
      <c r="A134" s="6" t="n">
        <v>813</v>
      </c>
      <c r="B134" s="7" t="inlineStr">
        <is>
          <t>INV/2025/00004</t>
        </is>
      </c>
      <c r="C134" s="6" t="inlineStr">
        <is>
          <t>2025-01-25</t>
        </is>
      </c>
      <c r="D134" s="6" t="n">
        <v>14</v>
      </c>
      <c r="E134" s="6" t="inlineStr">
        <is>
          <t>200001</t>
        </is>
      </c>
      <c r="F134" s="7" t="inlineStr">
        <is>
          <t>[200001] درم املشن ديلوكس ابيض</t>
        </is>
      </c>
      <c r="G134" s="6" t="n">
        <v>1</v>
      </c>
      <c r="H134" s="8" t="n">
        <v>17</v>
      </c>
      <c r="I134" s="8" t="n">
        <v>17</v>
      </c>
      <c r="J134" s="9" t="n"/>
      <c r="K134" s="9" t="n"/>
      <c r="L134" s="16" t="n"/>
      <c r="M134" s="17">
        <f>IFERROR(IF(K134="",G134,K134)*IF(L134="",H134,L134),"")</f>
        <v/>
      </c>
      <c r="N134" s="9" t="n"/>
      <c r="O134" s="9" t="n"/>
      <c r="P134" s="10" t="n"/>
    </row>
    <row r="135">
      <c r="A135" s="6" t="n">
        <v>926</v>
      </c>
      <c r="B135" s="7" t="inlineStr">
        <is>
          <t>INV/2025/00005</t>
        </is>
      </c>
      <c r="C135" s="6" t="inlineStr">
        <is>
          <t>2025-02-01</t>
        </is>
      </c>
      <c r="D135" s="6" t="n">
        <v>1</v>
      </c>
      <c r="E135" s="6" t="inlineStr">
        <is>
          <t>200189</t>
        </is>
      </c>
      <c r="F135" s="7" t="inlineStr">
        <is>
          <t>[200189] تب كورنر اصلي</t>
        </is>
      </c>
      <c r="G135" s="6" t="n">
        <v>3</v>
      </c>
      <c r="H135" s="8" t="n">
        <v>4.5</v>
      </c>
      <c r="I135" s="8" t="n">
        <v>13.5</v>
      </c>
      <c r="J135" s="9" t="n"/>
      <c r="K135" s="9" t="n"/>
      <c r="L135" s="16" t="n"/>
      <c r="M135" s="17">
        <f>IFERROR(IF(K135="",G135,K135)*IF(L135="",H135,L135),"")</f>
        <v/>
      </c>
      <c r="N135" s="9" t="n"/>
      <c r="O135" s="9" t="n"/>
      <c r="P135" s="10" t="n"/>
    </row>
    <row r="136">
      <c r="A136" s="6" t="n">
        <v>927</v>
      </c>
      <c r="B136" s="7" t="inlineStr">
        <is>
          <t>INV/2025/00005</t>
        </is>
      </c>
      <c r="C136" s="6" t="inlineStr">
        <is>
          <t>2025-02-01</t>
        </is>
      </c>
      <c r="D136" s="6" t="n">
        <v>2</v>
      </c>
      <c r="E136" s="6" t="inlineStr">
        <is>
          <t>700990</t>
        </is>
      </c>
      <c r="F136" s="7" t="inlineStr">
        <is>
          <t>[700990] ورق حف مربع نعومة 120 صيني</t>
        </is>
      </c>
      <c r="G136" s="6" t="n">
        <v>8</v>
      </c>
      <c r="H136" s="8" t="n">
        <v>0.25</v>
      </c>
      <c r="I136" s="8" t="n">
        <v>2</v>
      </c>
      <c r="J136" s="9" t="n"/>
      <c r="K136" s="9" t="n"/>
      <c r="L136" s="16" t="n"/>
      <c r="M136" s="17">
        <f>IFERROR(IF(K136="",G136,K136)*IF(L136="",H136,L136),"")</f>
        <v/>
      </c>
      <c r="N136" s="9" t="n"/>
      <c r="O136" s="9" t="n"/>
      <c r="P136" s="10" t="n"/>
    </row>
    <row r="137">
      <c r="A137" s="6" t="n">
        <v>928</v>
      </c>
      <c r="B137" s="7" t="inlineStr">
        <is>
          <t>INV/2025/00005</t>
        </is>
      </c>
      <c r="C137" s="6" t="inlineStr">
        <is>
          <t>2025-02-01</t>
        </is>
      </c>
      <c r="D137" s="6" t="n">
        <v>3</v>
      </c>
      <c r="E137" s="6" t="inlineStr">
        <is>
          <t>100378</t>
        </is>
      </c>
      <c r="F137" s="7" t="inlineStr">
        <is>
          <t>[100378] مسطرين كف 20 مربع</t>
        </is>
      </c>
      <c r="G137" s="6" t="n">
        <v>1</v>
      </c>
      <c r="H137" s="8" t="n">
        <v>2.5</v>
      </c>
      <c r="I137" s="8" t="n">
        <v>2.5</v>
      </c>
      <c r="J137" s="9" t="n"/>
      <c r="K137" s="9" t="n"/>
      <c r="L137" s="16" t="n"/>
      <c r="M137" s="17">
        <f>IFERROR(IF(K137="",G137,K137)*IF(L137="",H137,L137),"")</f>
        <v/>
      </c>
      <c r="N137" s="9" t="n"/>
      <c r="O137" s="9" t="n"/>
      <c r="P137" s="10" t="n"/>
    </row>
    <row r="138">
      <c r="A138" s="6" t="n">
        <v>929</v>
      </c>
      <c r="B138" s="7" t="inlineStr">
        <is>
          <t>INV/2025/00005</t>
        </is>
      </c>
      <c r="C138" s="6" t="inlineStr">
        <is>
          <t>2025-02-01</t>
        </is>
      </c>
      <c r="D138" s="6" t="n">
        <v>4</v>
      </c>
      <c r="E138" s="6" t="inlineStr">
        <is>
          <t>700821</t>
        </is>
      </c>
      <c r="F138" s="7" t="inlineStr">
        <is>
          <t>[700821] مشحاف روبة بلاستيك الماني 4 قطع</t>
        </is>
      </c>
      <c r="G138" s="6" t="n">
        <v>1</v>
      </c>
      <c r="H138" s="8" t="n">
        <v>2.5</v>
      </c>
      <c r="I138" s="8" t="n">
        <v>2.5</v>
      </c>
      <c r="J138" s="9" t="n"/>
      <c r="K138" s="9" t="n"/>
      <c r="L138" s="16" t="n"/>
      <c r="M138" s="17">
        <f>IFERROR(IF(K138="",G138,K138)*IF(L138="",H138,L138),"")</f>
        <v/>
      </c>
      <c r="N138" s="9" t="n"/>
      <c r="O138" s="9" t="n"/>
      <c r="P138" s="10" t="n"/>
    </row>
    <row r="139">
      <c r="A139" s="6" t="n">
        <v>930</v>
      </c>
      <c r="B139" s="7" t="inlineStr">
        <is>
          <t>INV/2025/00005</t>
        </is>
      </c>
      <c r="C139" s="6" t="inlineStr">
        <is>
          <t>2025-02-01</t>
        </is>
      </c>
      <c r="D139" s="6" t="n">
        <v>5</v>
      </c>
      <c r="E139" s="6" t="inlineStr">
        <is>
          <t>701655</t>
        </is>
      </c>
      <c r="F139" s="7" t="inlineStr">
        <is>
          <t>[701655] ريشة حجر 22 ملم×40 سم</t>
        </is>
      </c>
      <c r="G139" s="6" t="n">
        <v>1</v>
      </c>
      <c r="H139" s="8" t="n">
        <v>6</v>
      </c>
      <c r="I139" s="8" t="n">
        <v>6</v>
      </c>
      <c r="J139" s="9" t="n"/>
      <c r="K139" s="9" t="n"/>
      <c r="L139" s="16" t="n"/>
      <c r="M139" s="17">
        <f>IFERROR(IF(K139="",G139,K139)*IF(L139="",H139,L139),"")</f>
        <v/>
      </c>
      <c r="N139" s="9" t="n"/>
      <c r="O139" s="9" t="n"/>
      <c r="P139" s="10" t="n"/>
    </row>
    <row r="140">
      <c r="A140" s="6" t="n">
        <v>931</v>
      </c>
      <c r="B140" s="7" t="inlineStr">
        <is>
          <t>INV/2025/00005</t>
        </is>
      </c>
      <c r="C140" s="6" t="inlineStr">
        <is>
          <t>2025-02-01</t>
        </is>
      </c>
      <c r="D140" s="6" t="n">
        <v>6</v>
      </c>
      <c r="E140" s="6" t="inlineStr">
        <is>
          <t>701606</t>
        </is>
      </c>
      <c r="F140" s="7" t="inlineStr">
        <is>
          <t>[701606] طقم مفاتيح شق رنق 6 قطع</t>
        </is>
      </c>
      <c r="G140" s="6" t="n">
        <v>1</v>
      </c>
      <c r="H140" s="8" t="n">
        <v>5</v>
      </c>
      <c r="I140" s="8" t="n">
        <v>5</v>
      </c>
      <c r="J140" s="9" t="n"/>
      <c r="K140" s="9" t="n"/>
      <c r="L140" s="16" t="n"/>
      <c r="M140" s="17">
        <f>IFERROR(IF(K140="",G140,K140)*IF(L140="",H140,L140),"")</f>
        <v/>
      </c>
      <c r="N140" s="9" t="n"/>
      <c r="O140" s="9" t="n"/>
      <c r="P140" s="10" t="n"/>
    </row>
    <row r="141">
      <c r="A141" s="6" t="n">
        <v>932</v>
      </c>
      <c r="B141" s="7" t="inlineStr">
        <is>
          <t>INV/2025/00005</t>
        </is>
      </c>
      <c r="C141" s="6" t="inlineStr">
        <is>
          <t>2025-02-01</t>
        </is>
      </c>
      <c r="D141" s="6" t="n">
        <v>7</v>
      </c>
      <c r="E141" s="6" t="inlineStr">
        <is>
          <t>701450</t>
        </is>
      </c>
      <c r="F141" s="7" t="inlineStr">
        <is>
          <t>[701450] ستوك لاصق رخام 1000 غم</t>
        </is>
      </c>
      <c r="G141" s="6" t="n">
        <v>1</v>
      </c>
      <c r="H141" s="8" t="n">
        <v>4</v>
      </c>
      <c r="I141" s="8" t="n">
        <v>4</v>
      </c>
      <c r="J141" s="9" t="n"/>
      <c r="K141" s="9" t="n"/>
      <c r="L141" s="16" t="n"/>
      <c r="M141" s="17">
        <f>IFERROR(IF(K141="",G141,K141)*IF(L141="",H141,L141),"")</f>
        <v/>
      </c>
      <c r="N141" s="9" t="n"/>
      <c r="O141" s="9" t="n"/>
      <c r="P141" s="10" t="n"/>
    </row>
    <row r="142">
      <c r="A142" s="6" t="n">
        <v>933</v>
      </c>
      <c r="B142" s="7" t="inlineStr">
        <is>
          <t>INV/2025/00005</t>
        </is>
      </c>
      <c r="C142" s="6" t="inlineStr">
        <is>
          <t>2025-02-01</t>
        </is>
      </c>
      <c r="D142" s="6" t="n">
        <v>8</v>
      </c>
      <c r="E142" s="6" t="inlineStr">
        <is>
          <t>500411</t>
        </is>
      </c>
      <c r="F142" s="7" t="inlineStr">
        <is>
          <t>[500411] ماسورة بلاستيك 3" ضغط صغير ومرار</t>
        </is>
      </c>
      <c r="G142" s="6" t="n">
        <v>10</v>
      </c>
      <c r="H142" s="8" t="n">
        <v>1.15</v>
      </c>
      <c r="I142" s="8" t="n">
        <v>11.5</v>
      </c>
      <c r="J142" s="9" t="n"/>
      <c r="K142" s="9" t="n"/>
      <c r="L142" s="16" t="n"/>
      <c r="M142" s="17">
        <f>IFERROR(IF(K142="",G142,K142)*IF(L142="",H142,L142),"")</f>
        <v/>
      </c>
      <c r="N142" s="9" t="n"/>
      <c r="O142" s="9" t="n"/>
      <c r="P142" s="10" t="n"/>
    </row>
    <row r="143">
      <c r="A143" s="6" t="n">
        <v>934</v>
      </c>
      <c r="B143" s="7" t="inlineStr">
        <is>
          <t>INV/2025/00005</t>
        </is>
      </c>
      <c r="C143" s="6" t="inlineStr">
        <is>
          <t>2025-02-01</t>
        </is>
      </c>
      <c r="D143" s="6" t="n">
        <v>9</v>
      </c>
      <c r="E143" s="6" t="inlineStr">
        <is>
          <t>500465</t>
        </is>
      </c>
      <c r="F143" s="7" t="inlineStr">
        <is>
          <t>[500465] نقاصة طويلة بلاستيك 3"×4" ضغط صغير ومرار</t>
        </is>
      </c>
      <c r="G143" s="6" t="n">
        <v>1</v>
      </c>
      <c r="H143" s="8" t="n">
        <v>1</v>
      </c>
      <c r="I143" s="8" t="n">
        <v>1</v>
      </c>
      <c r="J143" s="9" t="n"/>
      <c r="K143" s="9" t="n"/>
      <c r="L143" s="16" t="n"/>
      <c r="M143" s="17">
        <f>IFERROR(IF(K143="",G143,K143)*IF(L143="",H143,L143),"")</f>
        <v/>
      </c>
      <c r="N143" s="9" t="n"/>
      <c r="O143" s="9" t="n"/>
      <c r="P143" s="10" t="n"/>
    </row>
    <row r="144">
      <c r="A144" s="6" t="n">
        <v>935</v>
      </c>
      <c r="B144" s="7" t="inlineStr">
        <is>
          <t>INV/2025/00005</t>
        </is>
      </c>
      <c r="C144" s="6" t="inlineStr">
        <is>
          <t>2025-02-01</t>
        </is>
      </c>
      <c r="D144" s="6" t="n">
        <v>10</v>
      </c>
      <c r="E144" s="6" t="inlineStr">
        <is>
          <t>700902</t>
        </is>
      </c>
      <c r="F144" s="7" t="inlineStr">
        <is>
          <t>[700902] بولسترين عازل</t>
        </is>
      </c>
      <c r="G144" s="6" t="n">
        <v>7</v>
      </c>
      <c r="H144" s="8" t="n">
        <v>2</v>
      </c>
      <c r="I144" s="8" t="n">
        <v>14</v>
      </c>
      <c r="J144" s="9" t="n"/>
      <c r="K144" s="9" t="n"/>
      <c r="L144" s="16" t="n"/>
      <c r="M144" s="17">
        <f>IFERROR(IF(K144="",G144,K144)*IF(L144="",H144,L144),"")</f>
        <v/>
      </c>
      <c r="N144" s="9" t="n"/>
      <c r="O144" s="9" t="n"/>
      <c r="P144" s="10" t="n"/>
    </row>
    <row r="145">
      <c r="A145" s="6" t="n">
        <v>936</v>
      </c>
      <c r="B145" s="7" t="inlineStr">
        <is>
          <t>INV/2025/00005</t>
        </is>
      </c>
      <c r="C145" s="6" t="inlineStr">
        <is>
          <t>2025-02-01</t>
        </is>
      </c>
      <c r="D145" s="6" t="n">
        <v>11</v>
      </c>
      <c r="E145" s="6" t="inlineStr">
        <is>
          <t>900036</t>
        </is>
      </c>
      <c r="F145" s="7" t="inlineStr">
        <is>
          <t>[900036] سلك مجدول اسود</t>
        </is>
      </c>
      <c r="G145" s="6" t="n">
        <v>3</v>
      </c>
      <c r="H145" s="8" t="n">
        <v>2</v>
      </c>
      <c r="I145" s="8" t="n">
        <v>6</v>
      </c>
      <c r="J145" s="9" t="n"/>
      <c r="K145" s="9" t="n"/>
      <c r="L145" s="16" t="n"/>
      <c r="M145" s="17">
        <f>IFERROR(IF(K145="",G145,K145)*IF(L145="",H145,L145),"")</f>
        <v/>
      </c>
      <c r="N145" s="9" t="n"/>
      <c r="O145" s="9" t="n"/>
      <c r="P145" s="10" t="n"/>
    </row>
    <row r="146">
      <c r="A146" s="6" t="n">
        <v>937</v>
      </c>
      <c r="B146" s="7" t="inlineStr">
        <is>
          <t>INV/2025/00005</t>
        </is>
      </c>
      <c r="C146" s="6" t="inlineStr">
        <is>
          <t>2025-02-01</t>
        </is>
      </c>
      <c r="D146" s="6" t="n">
        <v>12</v>
      </c>
      <c r="E146" s="6" t="inlineStr">
        <is>
          <t>700784</t>
        </is>
      </c>
      <c r="F146" s="7" t="inlineStr">
        <is>
          <t>[700784] اسطوانة قص حجر خليلي 9"</t>
        </is>
      </c>
      <c r="G146" s="6" t="n">
        <v>4</v>
      </c>
      <c r="H146" s="8" t="n">
        <v>2</v>
      </c>
      <c r="I146" s="8" t="n">
        <v>8</v>
      </c>
      <c r="J146" s="9" t="n"/>
      <c r="K146" s="9" t="n"/>
      <c r="L146" s="16" t="n"/>
      <c r="M146" s="17">
        <f>IFERROR(IF(K146="",G146,K146)*IF(L146="",H146,L146),"")</f>
        <v/>
      </c>
      <c r="N146" s="9" t="n"/>
      <c r="O146" s="9" t="n"/>
      <c r="P146" s="10" t="n"/>
    </row>
    <row r="147">
      <c r="A147" s="6" t="n">
        <v>938</v>
      </c>
      <c r="B147" s="7" t="inlineStr">
        <is>
          <t>INV/2025/00005</t>
        </is>
      </c>
      <c r="C147" s="6" t="inlineStr">
        <is>
          <t>2025-02-01</t>
        </is>
      </c>
      <c r="D147" s="6" t="n">
        <v>13</v>
      </c>
      <c r="E147" s="6" t="inlineStr">
        <is>
          <t>100089</t>
        </is>
      </c>
      <c r="F147" s="7" t="inlineStr">
        <is>
          <t>[100089] اسطوانة قص 9" حجر تركي</t>
        </is>
      </c>
      <c r="G147" s="6" t="n">
        <v>1</v>
      </c>
      <c r="H147" s="8" t="n">
        <v>1.5</v>
      </c>
      <c r="I147" s="8" t="n">
        <v>1.5</v>
      </c>
      <c r="J147" s="9" t="n"/>
      <c r="K147" s="9" t="n"/>
      <c r="L147" s="16" t="n"/>
      <c r="M147" s="17">
        <f>IFERROR(IF(K147="",G147,K147)*IF(L147="",H147,L147),"")</f>
        <v/>
      </c>
      <c r="N147" s="9" t="n"/>
      <c r="O147" s="9" t="n"/>
      <c r="P147" s="10" t="n"/>
    </row>
    <row r="148">
      <c r="A148" s="6" t="n">
        <v>939</v>
      </c>
      <c r="B148" s="7" t="inlineStr">
        <is>
          <t>INV/2025/00005</t>
        </is>
      </c>
      <c r="C148" s="6" t="inlineStr">
        <is>
          <t>2025-02-01</t>
        </is>
      </c>
      <c r="D148" s="6" t="n">
        <v>14</v>
      </c>
      <c r="E148" s="6" t="inlineStr">
        <is>
          <t>700862</t>
        </is>
      </c>
      <c r="F148" s="7" t="inlineStr">
        <is>
          <t>[700862] طقم مشحاف روبة ستانلس</t>
        </is>
      </c>
      <c r="G148" s="6" t="n">
        <v>1</v>
      </c>
      <c r="H148" s="8" t="n">
        <v>1</v>
      </c>
      <c r="I148" s="8" t="n">
        <v>1</v>
      </c>
      <c r="J148" s="9" t="n"/>
      <c r="K148" s="9" t="n"/>
      <c r="L148" s="16" t="n"/>
      <c r="M148" s="17">
        <f>IFERROR(IF(K148="",G148,K148)*IF(L148="",H148,L148),"")</f>
        <v/>
      </c>
      <c r="N148" s="9" t="n"/>
      <c r="O148" s="9" t="n"/>
      <c r="P148" s="10" t="n"/>
    </row>
    <row r="149">
      <c r="A149" s="6" t="n">
        <v>940</v>
      </c>
      <c r="B149" s="7" t="inlineStr">
        <is>
          <t>INV/2025/00005</t>
        </is>
      </c>
      <c r="C149" s="6" t="inlineStr">
        <is>
          <t>2025-02-01</t>
        </is>
      </c>
      <c r="D149" s="6" t="n">
        <v>15</v>
      </c>
      <c r="E149" s="6" t="inlineStr">
        <is>
          <t>702730</t>
        </is>
      </c>
      <c r="F149" s="7" t="inlineStr">
        <is>
          <t>[702730] سيليكون شفاف اماراتي</t>
        </is>
      </c>
      <c r="G149" s="6" t="n">
        <v>8</v>
      </c>
      <c r="H149" s="8" t="n">
        <v>1.5</v>
      </c>
      <c r="I149" s="8" t="n">
        <v>12</v>
      </c>
      <c r="J149" s="9" t="n"/>
      <c r="K149" s="9" t="n"/>
      <c r="L149" s="16" t="n"/>
      <c r="M149" s="17">
        <f>IFERROR(IF(K149="",G149,K149)*IF(L149="",H149,L149),"")</f>
        <v/>
      </c>
      <c r="N149" s="9" t="n"/>
      <c r="O149" s="9" t="n"/>
      <c r="P149" s="10" t="n"/>
    </row>
    <row r="150">
      <c r="A150" s="6" t="n">
        <v>941</v>
      </c>
      <c r="B150" s="7" t="inlineStr">
        <is>
          <t>INV/2025/00005</t>
        </is>
      </c>
      <c r="C150" s="6" t="inlineStr">
        <is>
          <t>2025-02-01</t>
        </is>
      </c>
      <c r="D150" s="6" t="n">
        <v>16</v>
      </c>
      <c r="E150" s="6" t="inlineStr">
        <is>
          <t>200155</t>
        </is>
      </c>
      <c r="F150" s="7" t="inlineStr">
        <is>
          <t>[200155] معجونة سيليكون ابيض DUNLOP</t>
        </is>
      </c>
      <c r="G150" s="6" t="n">
        <v>4</v>
      </c>
      <c r="H150" s="8" t="n">
        <v>1.25</v>
      </c>
      <c r="I150" s="8" t="n">
        <v>5</v>
      </c>
      <c r="J150" s="9" t="n"/>
      <c r="K150" s="9" t="n"/>
      <c r="L150" s="16" t="n"/>
      <c r="M150" s="17">
        <f>IFERROR(IF(K150="",G150,K150)*IF(L150="",H150,L150),"")</f>
        <v/>
      </c>
      <c r="N150" s="9" t="n"/>
      <c r="O150" s="9" t="n"/>
      <c r="P150" s="10" t="n"/>
    </row>
    <row r="151">
      <c r="A151" s="6" t="n">
        <v>942</v>
      </c>
      <c r="B151" s="7" t="inlineStr">
        <is>
          <t>INV/2025/00005</t>
        </is>
      </c>
      <c r="C151" s="6" t="inlineStr">
        <is>
          <t>2025-02-01</t>
        </is>
      </c>
      <c r="D151" s="6" t="n">
        <v>17</v>
      </c>
      <c r="E151" s="6" t="inlineStr">
        <is>
          <t>702731</t>
        </is>
      </c>
      <c r="F151" s="7" t="inlineStr">
        <is>
          <t>[702731] ابريز كهرباء فيبون</t>
        </is>
      </c>
      <c r="G151" s="6" t="n">
        <v>5</v>
      </c>
      <c r="H151" s="8" t="n">
        <v>0.75</v>
      </c>
      <c r="I151" s="8" t="n">
        <v>3.75</v>
      </c>
      <c r="J151" s="9" t="n"/>
      <c r="K151" s="9" t="n"/>
      <c r="L151" s="16" t="n"/>
      <c r="M151" s="17">
        <f>IFERROR(IF(K151="",G151,K151)*IF(L151="",H151,L151),"")</f>
        <v/>
      </c>
      <c r="N151" s="9" t="n"/>
      <c r="O151" s="9" t="n"/>
      <c r="P151" s="10" t="n"/>
    </row>
    <row r="152">
      <c r="A152" s="6" t="n">
        <v>943</v>
      </c>
      <c r="B152" s="7" t="inlineStr">
        <is>
          <t>INV/2025/00005</t>
        </is>
      </c>
      <c r="C152" s="6" t="inlineStr">
        <is>
          <t>2025-02-01</t>
        </is>
      </c>
      <c r="D152" s="6" t="n">
        <v>18</v>
      </c>
      <c r="E152" s="6" t="inlineStr">
        <is>
          <t>702725</t>
        </is>
      </c>
      <c r="F152" s="7" t="inlineStr">
        <is>
          <t>[702725] مفتاح (كبسة) كهرباء فيبون</t>
        </is>
      </c>
      <c r="G152" s="6" t="n">
        <v>10</v>
      </c>
      <c r="H152" s="8" t="n">
        <v>0.75</v>
      </c>
      <c r="I152" s="8" t="n">
        <v>7.5</v>
      </c>
      <c r="J152" s="9" t="n"/>
      <c r="K152" s="9" t="n"/>
      <c r="L152" s="16" t="n"/>
      <c r="M152" s="17">
        <f>IFERROR(IF(K152="",G152,K152)*IF(L152="",H152,L152),"")</f>
        <v/>
      </c>
      <c r="N152" s="9" t="n"/>
      <c r="O152" s="9" t="n"/>
      <c r="P152" s="10" t="n"/>
    </row>
    <row r="153">
      <c r="A153" s="6" t="n">
        <v>944</v>
      </c>
      <c r="B153" s="7" t="inlineStr">
        <is>
          <t>INV/2025/00005</t>
        </is>
      </c>
      <c r="C153" s="6" t="inlineStr">
        <is>
          <t>2025-02-01</t>
        </is>
      </c>
      <c r="D153" s="6" t="n">
        <v>19</v>
      </c>
      <c r="E153" s="6" t="inlineStr">
        <is>
          <t>702726</t>
        </is>
      </c>
      <c r="F153" s="7" t="inlineStr">
        <is>
          <t>[702726] سدة كهرباء فيبون</t>
        </is>
      </c>
      <c r="G153" s="6" t="n">
        <v>6</v>
      </c>
      <c r="H153" s="8" t="n">
        <v>0.15</v>
      </c>
      <c r="I153" s="8" t="n">
        <v>0.9</v>
      </c>
      <c r="J153" s="9" t="n"/>
      <c r="K153" s="9" t="n"/>
      <c r="L153" s="16" t="n"/>
      <c r="M153" s="17">
        <f>IFERROR(IF(K153="",G153,K153)*IF(L153="",H153,L153),"")</f>
        <v/>
      </c>
      <c r="N153" s="9" t="n"/>
      <c r="O153" s="9" t="n"/>
      <c r="P153" s="10" t="n"/>
    </row>
    <row r="154">
      <c r="A154" s="6" t="n">
        <v>945</v>
      </c>
      <c r="B154" s="7" t="inlineStr">
        <is>
          <t>INV/2025/00005</t>
        </is>
      </c>
      <c r="C154" s="6" t="inlineStr">
        <is>
          <t>2025-02-01</t>
        </is>
      </c>
      <c r="D154" s="6" t="n">
        <v>20</v>
      </c>
      <c r="E154" s="6" t="inlineStr">
        <is>
          <t>702727</t>
        </is>
      </c>
      <c r="F154" s="7" t="inlineStr">
        <is>
          <t>[702727] غطاء جسر كهرباء فيبون</t>
        </is>
      </c>
      <c r="G154" s="6" t="n">
        <v>6</v>
      </c>
      <c r="H154" s="8" t="n">
        <v>0.6</v>
      </c>
      <c r="I154" s="8" t="n">
        <v>3.6</v>
      </c>
      <c r="J154" s="9" t="n"/>
      <c r="K154" s="9" t="n"/>
      <c r="L154" s="16" t="n"/>
      <c r="M154" s="17">
        <f>IFERROR(IF(K154="",G154,K154)*IF(L154="",H154,L154),"")</f>
        <v/>
      </c>
      <c r="N154" s="9" t="n"/>
      <c r="O154" s="9" t="n"/>
      <c r="P154" s="10" t="n"/>
    </row>
    <row r="155">
      <c r="A155" s="6" t="n">
        <v>946</v>
      </c>
      <c r="B155" s="7" t="inlineStr">
        <is>
          <t>INV/2025/00005</t>
        </is>
      </c>
      <c r="C155" s="6" t="inlineStr">
        <is>
          <t>2025-02-01</t>
        </is>
      </c>
      <c r="D155" s="6" t="n">
        <v>21</v>
      </c>
      <c r="E155" s="6" t="inlineStr">
        <is>
          <t>900037</t>
        </is>
      </c>
      <c r="F155" s="7" t="inlineStr">
        <is>
          <t>[900037] سلك تربيط ناعم ابيض</t>
        </is>
      </c>
      <c r="G155" s="6" t="n">
        <v>3</v>
      </c>
      <c r="H155" s="8" t="n">
        <v>1.25</v>
      </c>
      <c r="I155" s="8" t="n">
        <v>3.75</v>
      </c>
      <c r="J155" s="9" t="n"/>
      <c r="K155" s="9" t="n"/>
      <c r="L155" s="16" t="n"/>
      <c r="M155" s="17">
        <f>IFERROR(IF(K155="",G155,K155)*IF(L155="",H155,L155),"")</f>
        <v/>
      </c>
      <c r="N155" s="9" t="n"/>
      <c r="O155" s="9" t="n"/>
      <c r="P155" s="10" t="n"/>
    </row>
    <row r="156">
      <c r="A156" s="6" t="n">
        <v>749</v>
      </c>
      <c r="B156" s="7" t="inlineStr">
        <is>
          <t>INV/2025/00002</t>
        </is>
      </c>
      <c r="C156" s="6" t="inlineStr">
        <is>
          <t>2025-02-04</t>
        </is>
      </c>
      <c r="D156" s="6" t="n">
        <v>1</v>
      </c>
      <c r="E156" s="6" t="inlineStr">
        <is>
          <t>500532</t>
        </is>
      </c>
      <c r="F156" s="7" t="inlineStr">
        <is>
          <t>[500532] ماسورة بلاستيك 3" ضغط اردني (فصول)</t>
        </is>
      </c>
      <c r="G156" s="6" t="n">
        <v>12</v>
      </c>
      <c r="H156" s="8" t="n">
        <v>1.15</v>
      </c>
      <c r="I156" s="8" t="n">
        <v>13.8</v>
      </c>
      <c r="J156" s="9" t="n"/>
      <c r="K156" s="9" t="n"/>
      <c r="L156" s="16" t="n"/>
      <c r="M156" s="17">
        <f>IFERROR(IF(K156="",G156,K156)*IF(L156="",H156,L156),"")</f>
        <v/>
      </c>
      <c r="N156" s="9" t="n"/>
      <c r="O156" s="9" t="n"/>
      <c r="P156" s="10" t="n"/>
    </row>
    <row r="157">
      <c r="A157" s="6" t="n">
        <v>750</v>
      </c>
      <c r="B157" s="7" t="inlineStr">
        <is>
          <t>INV/2025/00002</t>
        </is>
      </c>
      <c r="C157" s="6" t="inlineStr">
        <is>
          <t>2025-02-04</t>
        </is>
      </c>
      <c r="D157" s="6" t="n">
        <v>2</v>
      </c>
      <c r="E157" s="6" t="inlineStr">
        <is>
          <t>500414</t>
        </is>
      </c>
      <c r="F157" s="7" t="inlineStr">
        <is>
          <t>[500414] كوع فاتح بلاستيك 4" ضغط صغير ومرار</t>
        </is>
      </c>
      <c r="G157" s="6" t="n">
        <v>2</v>
      </c>
      <c r="H157" s="8" t="n">
        <v>1.5</v>
      </c>
      <c r="I157" s="8" t="n">
        <v>3</v>
      </c>
      <c r="J157" s="9" t="n"/>
      <c r="K157" s="9" t="n"/>
      <c r="L157" s="16" t="n"/>
      <c r="M157" s="17">
        <f>IFERROR(IF(K157="",G157,K157)*IF(L157="",H157,L157),"")</f>
        <v/>
      </c>
      <c r="N157" s="9" t="n"/>
      <c r="O157" s="9" t="n"/>
      <c r="P157" s="10" t="n"/>
    </row>
    <row r="158">
      <c r="A158" s="6" t="n">
        <v>751</v>
      </c>
      <c r="B158" s="7" t="inlineStr">
        <is>
          <t>INV/2025/00002</t>
        </is>
      </c>
      <c r="C158" s="6" t="inlineStr">
        <is>
          <t>2025-02-04</t>
        </is>
      </c>
      <c r="D158" s="6" t="n">
        <v>3</v>
      </c>
      <c r="E158" s="6" t="inlineStr">
        <is>
          <t>100096</t>
        </is>
      </c>
      <c r="F158" s="7" t="inlineStr">
        <is>
          <t>[100096] مفك عادي</t>
        </is>
      </c>
      <c r="G158" s="6" t="n">
        <v>3</v>
      </c>
      <c r="H158" s="8" t="n">
        <v>1.5</v>
      </c>
      <c r="I158" s="8" t="n">
        <v>4.5</v>
      </c>
      <c r="J158" s="9" t="n"/>
      <c r="K158" s="9" t="n"/>
      <c r="L158" s="16" t="n"/>
      <c r="M158" s="17">
        <f>IFERROR(IF(K158="",G158,K158)*IF(L158="",H158,L158),"")</f>
        <v/>
      </c>
      <c r="N158" s="9" t="n"/>
      <c r="O158" s="9" t="n"/>
      <c r="P158" s="10" t="n"/>
    </row>
    <row r="159">
      <c r="A159" s="6" t="n">
        <v>752</v>
      </c>
      <c r="B159" s="7" t="inlineStr">
        <is>
          <t>INV/2025/00002</t>
        </is>
      </c>
      <c r="C159" s="6" t="inlineStr">
        <is>
          <t>2025-02-04</t>
        </is>
      </c>
      <c r="D159" s="6" t="n">
        <v>4</v>
      </c>
      <c r="E159" s="6" t="inlineStr">
        <is>
          <t>700902</t>
        </is>
      </c>
      <c r="F159" s="7" t="inlineStr">
        <is>
          <t>[700902] بولسترين عازل</t>
        </is>
      </c>
      <c r="G159" s="6" t="n">
        <v>1</v>
      </c>
      <c r="H159" s="8" t="n">
        <v>30</v>
      </c>
      <c r="I159" s="8" t="n">
        <v>30</v>
      </c>
      <c r="J159" s="9" t="n"/>
      <c r="K159" s="9" t="n"/>
      <c r="L159" s="16" t="n"/>
      <c r="M159" s="17">
        <f>IFERROR(IF(K159="",G159,K159)*IF(L159="",H159,L159),"")</f>
        <v/>
      </c>
      <c r="N159" s="9" t="n"/>
      <c r="O159" s="9" t="n"/>
      <c r="P159" s="10" t="n"/>
    </row>
    <row r="160">
      <c r="A160" s="6" t="n">
        <v>753</v>
      </c>
      <c r="B160" s="7" t="inlineStr">
        <is>
          <t>INV/2025/00002</t>
        </is>
      </c>
      <c r="C160" s="6" t="inlineStr">
        <is>
          <t>2025-02-04</t>
        </is>
      </c>
      <c r="D160" s="6" t="n">
        <v>5</v>
      </c>
      <c r="E160" s="6" t="inlineStr">
        <is>
          <t>200297</t>
        </is>
      </c>
      <c r="F160" s="7" t="inlineStr">
        <is>
          <t>[200297] شوال معجونة ديلوكس جدران 25 كغم</t>
        </is>
      </c>
      <c r="G160" s="6" t="n">
        <v>2</v>
      </c>
      <c r="H160" s="8" t="n">
        <v>6</v>
      </c>
      <c r="I160" s="8" t="n">
        <v>12</v>
      </c>
      <c r="J160" s="9" t="n"/>
      <c r="K160" s="9" t="n"/>
      <c r="L160" s="16" t="n"/>
      <c r="M160" s="17">
        <f>IFERROR(IF(K160="",G160,K160)*IF(L160="",H160,L160),"")</f>
        <v/>
      </c>
      <c r="N160" s="9" t="n"/>
      <c r="O160" s="9" t="n"/>
      <c r="P160" s="10" t="n"/>
    </row>
    <row r="161">
      <c r="A161" s="6" t="n">
        <v>948</v>
      </c>
      <c r="B161" s="7" t="inlineStr">
        <is>
          <t>INV/2025/00006</t>
        </is>
      </c>
      <c r="C161" s="6" t="inlineStr">
        <is>
          <t>2025-02-13</t>
        </is>
      </c>
      <c r="D161" s="6" t="n">
        <v>1</v>
      </c>
      <c r="E161" s="6" t="inlineStr">
        <is>
          <t>700477</t>
        </is>
      </c>
      <c r="F161" s="7" t="inlineStr">
        <is>
          <t>[700477] سلك بناء اسود ناعم</t>
        </is>
      </c>
      <c r="G161" s="6" t="n">
        <v>5</v>
      </c>
      <c r="H161" s="8" t="n">
        <v>2</v>
      </c>
      <c r="I161" s="8" t="n">
        <v>10</v>
      </c>
      <c r="J161" s="9" t="n"/>
      <c r="K161" s="9" t="n"/>
      <c r="L161" s="16" t="n"/>
      <c r="M161" s="17">
        <f>IFERROR(IF(K161="",G161,K161)*IF(L161="",H161,L161),"")</f>
        <v/>
      </c>
      <c r="N161" s="9" t="n"/>
      <c r="O161" s="9" t="n"/>
      <c r="P161" s="10" t="n"/>
    </row>
    <row r="162">
      <c r="A162" s="6" t="n">
        <v>949</v>
      </c>
      <c r="B162" s="7" t="inlineStr">
        <is>
          <t>INV/2025/00006</t>
        </is>
      </c>
      <c r="C162" s="6" t="inlineStr">
        <is>
          <t>2025-02-13</t>
        </is>
      </c>
      <c r="D162" s="6" t="n">
        <v>2</v>
      </c>
      <c r="E162" s="6" t="inlineStr">
        <is>
          <t>900070</t>
        </is>
      </c>
      <c r="F162" s="7" t="inlineStr">
        <is>
          <t>مسمار بناء 6 سم — انقسم من سطر «6سم +10سم» ×4</t>
        </is>
      </c>
      <c r="G162" s="6" t="n">
        <v>2</v>
      </c>
      <c r="H162" s="8" t="n">
        <v>2</v>
      </c>
      <c r="I162" s="8" t="n">
        <v>4</v>
      </c>
      <c r="J162" s="9" t="n"/>
      <c r="K162" s="9" t="n"/>
      <c r="L162" s="16" t="n"/>
      <c r="M162" s="17">
        <f>IFERROR(IF(K162="",G162,K162)*IF(L162="",H162,L162),"")</f>
        <v/>
      </c>
      <c r="N162" s="9" t="n"/>
      <c r="O162" s="9" t="n"/>
      <c r="P162" s="10" t="n"/>
    </row>
    <row r="163">
      <c r="A163" s="6" t="n">
        <v>950</v>
      </c>
      <c r="B163" s="7" t="inlineStr">
        <is>
          <t>INV/2025/00006</t>
        </is>
      </c>
      <c r="C163" s="6" t="inlineStr">
        <is>
          <t>2025-02-13</t>
        </is>
      </c>
      <c r="D163" s="6" t="n">
        <v>3</v>
      </c>
      <c r="E163" s="6" t="inlineStr">
        <is>
          <t>900069</t>
        </is>
      </c>
      <c r="F163" s="7" t="inlineStr">
        <is>
          <t>مسمار بناء 10 سم — انقسم من سطر «6سم +10سم» ×4</t>
        </is>
      </c>
      <c r="G163" s="6" t="n">
        <v>2</v>
      </c>
      <c r="H163" s="8" t="n">
        <v>2</v>
      </c>
      <c r="I163" s="8" t="n">
        <v>4</v>
      </c>
      <c r="J163" s="9" t="n"/>
      <c r="K163" s="9" t="n"/>
      <c r="L163" s="16" t="n"/>
      <c r="M163" s="17">
        <f>IFERROR(IF(K163="",G163,K163)*IF(L163="",H163,L163),"")</f>
        <v/>
      </c>
      <c r="N163" s="9" t="n"/>
      <c r="O163" s="9" t="n"/>
      <c r="P163" s="10" t="n"/>
    </row>
    <row r="164">
      <c r="A164" s="6" t="n">
        <v>951</v>
      </c>
      <c r="B164" s="7" t="inlineStr">
        <is>
          <t>INV/2025/00006</t>
        </is>
      </c>
      <c r="C164" s="6" t="inlineStr">
        <is>
          <t>2025-02-13</t>
        </is>
      </c>
      <c r="D164" s="6" t="n">
        <v>4</v>
      </c>
      <c r="E164" s="6" t="inlineStr">
        <is>
          <t>200001</t>
        </is>
      </c>
      <c r="F164" s="7" t="inlineStr">
        <is>
          <t>[200001] درم املشن ديلوكس ابيض</t>
        </is>
      </c>
      <c r="G164" s="6" t="n">
        <v>1</v>
      </c>
      <c r="H164" s="8" t="n">
        <v>16</v>
      </c>
      <c r="I164" s="8" t="n">
        <v>16</v>
      </c>
      <c r="J164" s="9" t="n"/>
      <c r="K164" s="9" t="n"/>
      <c r="L164" s="16" t="n"/>
      <c r="M164" s="17">
        <f>IFERROR(IF(K164="",G164,K164)*IF(L164="",H164,L164),"")</f>
        <v/>
      </c>
      <c r="N164" s="9" t="n"/>
      <c r="O164" s="9" t="n"/>
      <c r="P164" s="10" t="n"/>
    </row>
    <row r="165">
      <c r="A165" s="6" t="n">
        <v>952</v>
      </c>
      <c r="B165" s="7" t="inlineStr">
        <is>
          <t>INV/2025/00006</t>
        </is>
      </c>
      <c r="C165" s="6" t="inlineStr">
        <is>
          <t>2025-02-13</t>
        </is>
      </c>
      <c r="D165" s="6" t="n">
        <v>5</v>
      </c>
      <c r="E165" s="6" t="inlineStr">
        <is>
          <t>200261</t>
        </is>
      </c>
      <c r="F165" s="7" t="inlineStr">
        <is>
          <t>[200261] شوال معجونة جدران 10كغم القدس</t>
        </is>
      </c>
      <c r="G165" s="6" t="n">
        <v>1</v>
      </c>
      <c r="H165" s="8" t="n">
        <v>3</v>
      </c>
      <c r="I165" s="8" t="n">
        <v>3</v>
      </c>
      <c r="J165" s="9" t="n"/>
      <c r="K165" s="9" t="n"/>
      <c r="L165" s="16" t="n"/>
      <c r="M165" s="17">
        <f>IFERROR(IF(K165="",G165,K165)*IF(L165="",H165,L165),"")</f>
        <v/>
      </c>
      <c r="N165" s="9" t="n"/>
      <c r="O165" s="9" t="n"/>
      <c r="P165" s="10" t="n"/>
    </row>
    <row r="166">
      <c r="A166" s="6" t="n">
        <v>953</v>
      </c>
      <c r="B166" s="7" t="inlineStr">
        <is>
          <t>INV/2025/00006</t>
        </is>
      </c>
      <c r="C166" s="6" t="inlineStr">
        <is>
          <t>2025-02-13</t>
        </is>
      </c>
      <c r="D166" s="6" t="n">
        <v>6</v>
      </c>
      <c r="E166" s="6" t="inlineStr">
        <is>
          <t>100410</t>
        </is>
      </c>
      <c r="F166" s="7" t="inlineStr">
        <is>
          <t>[100410] طلق وشرشور جبسمبورد</t>
        </is>
      </c>
      <c r="G166" s="6" t="n">
        <v>2</v>
      </c>
      <c r="H166" s="8" t="n">
        <v>6</v>
      </c>
      <c r="I166" s="8" t="n">
        <v>12</v>
      </c>
      <c r="J166" s="9" t="n"/>
      <c r="K166" s="9" t="n"/>
      <c r="L166" s="16" t="n"/>
      <c r="M166" s="17">
        <f>IFERROR(IF(K166="",G166,K166)*IF(L166="",H166,L166),"")</f>
        <v/>
      </c>
      <c r="N166" s="9" t="n"/>
      <c r="O166" s="9" t="n"/>
      <c r="P166" s="10" t="n"/>
    </row>
    <row r="167">
      <c r="A167" s="6" t="n">
        <v>954</v>
      </c>
      <c r="B167" s="7" t="inlineStr">
        <is>
          <t>INV/2025/00006</t>
        </is>
      </c>
      <c r="C167" s="6" t="inlineStr">
        <is>
          <t>2025-02-13</t>
        </is>
      </c>
      <c r="D167" s="6" t="n">
        <v>7</v>
      </c>
      <c r="E167" s="6" t="inlineStr">
        <is>
          <t>800040</t>
        </is>
      </c>
      <c r="F167" s="7" t="inlineStr">
        <is>
          <t>[800040] براغي جبسمبورد اماراتي</t>
        </is>
      </c>
      <c r="G167" s="6" t="n">
        <v>1</v>
      </c>
      <c r="H167" s="8" t="n">
        <v>4.5</v>
      </c>
      <c r="I167" s="8" t="n">
        <v>4.5</v>
      </c>
      <c r="J167" s="9" t="n"/>
      <c r="K167" s="9" t="n"/>
      <c r="L167" s="16" t="n"/>
      <c r="M167" s="17">
        <f>IFERROR(IF(K167="",G167,K167)*IF(L167="",H167,L167),"")</f>
        <v/>
      </c>
      <c r="N167" s="9" t="n"/>
      <c r="O167" s="9" t="n"/>
      <c r="P167" s="10" t="n"/>
    </row>
    <row r="168">
      <c r="A168" s="6" t="n">
        <v>955</v>
      </c>
      <c r="B168" s="7" t="inlineStr">
        <is>
          <t>INV/2025/00006</t>
        </is>
      </c>
      <c r="C168" s="6" t="inlineStr">
        <is>
          <t>2025-02-13</t>
        </is>
      </c>
      <c r="D168" s="6" t="n">
        <v>8</v>
      </c>
      <c r="E168" s="6" t="inlineStr">
        <is>
          <t>600004</t>
        </is>
      </c>
      <c r="F168" s="7" t="inlineStr">
        <is>
          <t>وصلة كهرباء 5متر — السعر 4.500 ← 5.000 بقرار صاحب المحل</t>
        </is>
      </c>
      <c r="G168" s="6" t="n">
        <v>1</v>
      </c>
      <c r="H168" s="8" t="n">
        <v>5</v>
      </c>
      <c r="I168" s="8" t="n">
        <v>5</v>
      </c>
      <c r="J168" s="9" t="n"/>
      <c r="K168" s="9" t="n"/>
      <c r="L168" s="16" t="n"/>
      <c r="M168" s="17">
        <f>IFERROR(IF(K168="",G168,K168)*IF(L168="",H168,L168),"")</f>
        <v/>
      </c>
      <c r="N168" s="9" t="n"/>
      <c r="O168" s="9" t="n"/>
      <c r="P168" s="10" t="n"/>
    </row>
    <row r="169">
      <c r="A169" s="6" t="n">
        <v>956</v>
      </c>
      <c r="B169" s="7" t="inlineStr">
        <is>
          <t>INV/2025/00006</t>
        </is>
      </c>
      <c r="C169" s="6" t="inlineStr">
        <is>
          <t>2025-02-13</t>
        </is>
      </c>
      <c r="D169" s="6" t="n">
        <v>9</v>
      </c>
      <c r="E169" s="6" t="inlineStr">
        <is>
          <t>200203</t>
        </is>
      </c>
      <c r="F169" s="7" t="inlineStr">
        <is>
          <t>صبغة دهان — اندمجت كل الألوان بصنف واحد · سعر الكاتالوج صار 0.750</t>
        </is>
      </c>
      <c r="G169" s="6" t="n">
        <v>3</v>
      </c>
      <c r="H169" s="8" t="n">
        <v>0.75</v>
      </c>
      <c r="I169" s="8" t="n">
        <v>2.25</v>
      </c>
      <c r="J169" s="9" t="n"/>
      <c r="K169" s="9" t="n"/>
      <c r="L169" s="16" t="n"/>
      <c r="M169" s="17">
        <f>IFERROR(IF(K169="",G169,K169)*IF(L169="",H169,L169),"")</f>
        <v/>
      </c>
      <c r="N169" s="9" t="n"/>
      <c r="O169" s="9" t="n"/>
      <c r="P169" s="10" t="n"/>
    </row>
    <row r="170">
      <c r="A170" s="6" t="n">
        <v>957</v>
      </c>
      <c r="B170" s="7" t="inlineStr">
        <is>
          <t>INV/2025/00006</t>
        </is>
      </c>
      <c r="C170" s="6" t="inlineStr">
        <is>
          <t>2025-02-13</t>
        </is>
      </c>
      <c r="D170" s="6" t="n">
        <v>10</v>
      </c>
      <c r="E170" s="6" t="inlineStr">
        <is>
          <t>600198</t>
        </is>
      </c>
      <c r="F170" s="7" t="inlineStr">
        <is>
          <t>[600198] وصلة حبل ليد بروفايل</t>
        </is>
      </c>
      <c r="G170" s="6" t="n">
        <v>6</v>
      </c>
      <c r="H170" s="8" t="n">
        <v>1</v>
      </c>
      <c r="I170" s="8" t="n">
        <v>6</v>
      </c>
      <c r="J170" s="9" t="n"/>
      <c r="K170" s="9" t="n"/>
      <c r="L170" s="16" t="n"/>
      <c r="M170" s="17">
        <f>IFERROR(IF(K170="",G170,K170)*IF(L170="",H170,L170),"")</f>
        <v/>
      </c>
      <c r="N170" s="9" t="n"/>
      <c r="O170" s="9" t="n"/>
      <c r="P170" s="10" t="n"/>
    </row>
    <row r="171">
      <c r="A171" s="6" t="n">
        <v>958</v>
      </c>
      <c r="B171" s="7" t="inlineStr">
        <is>
          <t>INV/2025/00006</t>
        </is>
      </c>
      <c r="C171" s="6" t="inlineStr">
        <is>
          <t>2025-02-13</t>
        </is>
      </c>
      <c r="D171" s="6" t="n">
        <v>11</v>
      </c>
      <c r="E171" s="6" t="inlineStr">
        <is>
          <t>702728</t>
        </is>
      </c>
      <c r="F171" s="7" t="inlineStr">
        <is>
          <t>[702728] جسر كهرباء فيبون</t>
        </is>
      </c>
      <c r="G171" s="6" t="n">
        <v>4</v>
      </c>
      <c r="H171" s="8" t="n">
        <v>0.5</v>
      </c>
      <c r="I171" s="8" t="n">
        <v>2</v>
      </c>
      <c r="J171" s="9" t="n"/>
      <c r="K171" s="9" t="n"/>
      <c r="L171" s="16" t="n"/>
      <c r="M171" s="17">
        <f>IFERROR(IF(K171="",G171,K171)*IF(L171="",H171,L171),"")</f>
        <v/>
      </c>
      <c r="N171" s="9" t="n"/>
      <c r="O171" s="9" t="n"/>
      <c r="P171" s="10" t="n"/>
    </row>
    <row r="172">
      <c r="A172" s="6" t="n">
        <v>959</v>
      </c>
      <c r="B172" s="7" t="inlineStr">
        <is>
          <t>INV/2025/00006</t>
        </is>
      </c>
      <c r="C172" s="6" t="inlineStr">
        <is>
          <t>2025-02-13</t>
        </is>
      </c>
      <c r="D172" s="6" t="n">
        <v>12</v>
      </c>
      <c r="E172" s="6" t="inlineStr">
        <is>
          <t>700012</t>
        </is>
      </c>
      <c r="F172" s="7" t="inlineStr">
        <is>
          <t>[700012] مصلب بلاط هندسي 2 ملي (تعبئة 100)</t>
        </is>
      </c>
      <c r="G172" s="6" t="n">
        <v>5</v>
      </c>
      <c r="H172" s="8" t="n">
        <v>1.5</v>
      </c>
      <c r="I172" s="8" t="n">
        <v>7.5</v>
      </c>
      <c r="J172" s="9" t="n"/>
      <c r="K172" s="9" t="n"/>
      <c r="L172" s="16" t="n"/>
      <c r="M172" s="17">
        <f>IFERROR(IF(K172="",G172,K172)*IF(L172="",H172,L172),"")</f>
        <v/>
      </c>
      <c r="N172" s="9" t="n"/>
      <c r="O172" s="9" t="n"/>
      <c r="P172" s="10" t="n"/>
    </row>
    <row r="173">
      <c r="A173" s="6" t="n">
        <v>960</v>
      </c>
      <c r="B173" s="7" t="inlineStr">
        <is>
          <t>INV/2025/00006</t>
        </is>
      </c>
      <c r="C173" s="6" t="inlineStr">
        <is>
          <t>2025-02-13</t>
        </is>
      </c>
      <c r="D173" s="6" t="n">
        <v>13</v>
      </c>
      <c r="E173" s="6" t="inlineStr">
        <is>
          <t>700902</t>
        </is>
      </c>
      <c r="F173" s="7" t="inlineStr">
        <is>
          <t>[700902] بولسترين عازل</t>
        </is>
      </c>
      <c r="G173" s="6" t="n">
        <v>1</v>
      </c>
      <c r="H173" s="8" t="n">
        <v>30</v>
      </c>
      <c r="I173" s="8" t="n">
        <v>30</v>
      </c>
      <c r="J173" s="9" t="n"/>
      <c r="K173" s="9" t="n"/>
      <c r="L173" s="16" t="n"/>
      <c r="M173" s="17">
        <f>IFERROR(IF(K173="",G173,K173)*IF(L173="",H173,L173),"")</f>
        <v/>
      </c>
      <c r="N173" s="9" t="n"/>
      <c r="O173" s="9" t="n"/>
      <c r="P173" s="10" t="n"/>
    </row>
    <row r="174">
      <c r="A174" s="6" t="n">
        <v>961</v>
      </c>
      <c r="B174" s="7" t="inlineStr">
        <is>
          <t>INV/2025/00006</t>
        </is>
      </c>
      <c r="C174" s="6" t="inlineStr">
        <is>
          <t>2025-02-13</t>
        </is>
      </c>
      <c r="D174" s="6" t="n">
        <v>14</v>
      </c>
      <c r="E174" s="6" t="inlineStr">
        <is>
          <t>200343</t>
        </is>
      </c>
      <c r="F174" s="7" t="inlineStr">
        <is>
          <t>[200343] شوال معجونة تيراكو 25 كغم</t>
        </is>
      </c>
      <c r="G174" s="6" t="n">
        <v>4</v>
      </c>
      <c r="H174" s="8" t="n">
        <v>5.5</v>
      </c>
      <c r="I174" s="8" t="n">
        <v>22</v>
      </c>
      <c r="J174" s="9" t="n"/>
      <c r="K174" s="9" t="n"/>
      <c r="L174" s="16" t="n"/>
      <c r="M174" s="17">
        <f>IFERROR(IF(K174="",G174,K174)*IF(L174="",H174,L174),"")</f>
        <v/>
      </c>
      <c r="N174" s="9" t="n"/>
      <c r="O174" s="9" t="n"/>
      <c r="P174" s="10" t="n"/>
    </row>
    <row r="175">
      <c r="A175" s="6" t="n">
        <v>962</v>
      </c>
      <c r="B175" s="7" t="inlineStr">
        <is>
          <t>INV/2025/00006</t>
        </is>
      </c>
      <c r="C175" s="6" t="inlineStr">
        <is>
          <t>2025-02-13</t>
        </is>
      </c>
      <c r="D175" s="6" t="n">
        <v>15</v>
      </c>
      <c r="E175" s="6" t="inlineStr">
        <is>
          <t>200297</t>
        </is>
      </c>
      <c r="F175" s="7" t="inlineStr">
        <is>
          <t>[200297] شوال معجونة ديلوكس جدران 25 كغم</t>
        </is>
      </c>
      <c r="G175" s="6" t="n">
        <v>1</v>
      </c>
      <c r="H175" s="8" t="n">
        <v>5.5</v>
      </c>
      <c r="I175" s="8" t="n">
        <v>5.5</v>
      </c>
      <c r="J175" s="9" t="n"/>
      <c r="K175" s="9" t="n"/>
      <c r="L175" s="16" t="n"/>
      <c r="M175" s="17">
        <f>IFERROR(IF(K175="",G175,K175)*IF(L175="",H175,L175),"")</f>
        <v/>
      </c>
      <c r="N175" s="9" t="n"/>
      <c r="O175" s="9" t="n"/>
      <c r="P175" s="10" t="n"/>
    </row>
    <row r="176">
      <c r="A176" s="6" t="n">
        <v>755</v>
      </c>
      <c r="B176" s="7" t="inlineStr">
        <is>
          <t>INV/2025/00003</t>
        </is>
      </c>
      <c r="C176" s="6" t="inlineStr">
        <is>
          <t>2025-02-15</t>
        </is>
      </c>
      <c r="D176" s="6" t="n">
        <v>1</v>
      </c>
      <c r="E176" s="6" t="inlineStr">
        <is>
          <t>500410</t>
        </is>
      </c>
      <c r="F176" s="7" t="inlineStr">
        <is>
          <t>[500410] ماسورة بلاستيك 4" ضغط صغير ومرار</t>
        </is>
      </c>
      <c r="G176" s="6" t="n">
        <v>14</v>
      </c>
      <c r="H176" s="8" t="n">
        <v>2.5</v>
      </c>
      <c r="I176" s="8" t="n">
        <v>35</v>
      </c>
      <c r="J176" s="9" t="n"/>
      <c r="K176" s="9" t="n"/>
      <c r="L176" s="16" t="n"/>
      <c r="M176" s="17">
        <f>IFERROR(IF(K176="",G176,K176)*IF(L176="",H176,L176),"")</f>
        <v/>
      </c>
      <c r="N176" s="9" t="n"/>
      <c r="O176" s="9" t="n"/>
      <c r="P176" s="10" t="n"/>
    </row>
    <row r="177">
      <c r="A177" s="6" t="n">
        <v>756</v>
      </c>
      <c r="B177" s="7" t="inlineStr">
        <is>
          <t>INV/2025/00003</t>
        </is>
      </c>
      <c r="C177" s="6" t="inlineStr">
        <is>
          <t>2025-02-15</t>
        </is>
      </c>
      <c r="D177" s="6" t="n">
        <v>2</v>
      </c>
      <c r="E177" s="6" t="inlineStr">
        <is>
          <t>500431</t>
        </is>
      </c>
      <c r="F177" s="7" t="inlineStr">
        <is>
          <t>[500431] واي بلاستيك 4" ضغط صغير ومرار</t>
        </is>
      </c>
      <c r="G177" s="6" t="n">
        <v>5</v>
      </c>
      <c r="H177" s="8" t="n">
        <v>2.25</v>
      </c>
      <c r="I177" s="8" t="n">
        <v>11.25</v>
      </c>
      <c r="J177" s="9" t="n"/>
      <c r="K177" s="9" t="n"/>
      <c r="L177" s="16" t="n"/>
      <c r="M177" s="17">
        <f>IFERROR(IF(K177="",G177,K177)*IF(L177="",H177,L177),"")</f>
        <v/>
      </c>
      <c r="N177" s="9" t="n"/>
      <c r="O177" s="9" t="n"/>
      <c r="P177" s="10" t="n"/>
    </row>
    <row r="178">
      <c r="A178" s="6" t="n">
        <v>757</v>
      </c>
      <c r="B178" s="7" t="inlineStr">
        <is>
          <t>INV/2025/00003</t>
        </is>
      </c>
      <c r="C178" s="6" t="inlineStr">
        <is>
          <t>2025-02-15</t>
        </is>
      </c>
      <c r="D178" s="6" t="n">
        <v>3</v>
      </c>
      <c r="E178" s="6" t="inlineStr">
        <is>
          <t>500418</t>
        </is>
      </c>
      <c r="F178" s="7" t="inlineStr">
        <is>
          <t>[500418] كوع زاوية بلاستيك 4" ضغط صغير ومرار</t>
        </is>
      </c>
      <c r="G178" s="6" t="n">
        <v>4</v>
      </c>
      <c r="H178" s="8" t="n">
        <v>1.5</v>
      </c>
      <c r="I178" s="8" t="n">
        <v>6</v>
      </c>
      <c r="J178" s="9" t="n"/>
      <c r="K178" s="9" t="n"/>
      <c r="L178" s="16" t="n"/>
      <c r="M178" s="17">
        <f>IFERROR(IF(K178="",G178,K178)*IF(L178="",H178,L178),"")</f>
        <v/>
      </c>
      <c r="N178" s="9" t="n"/>
      <c r="O178" s="9" t="n"/>
      <c r="P178" s="10" t="n"/>
    </row>
    <row r="179">
      <c r="A179" s="6" t="n">
        <v>758</v>
      </c>
      <c r="B179" s="7" t="inlineStr">
        <is>
          <t>INV/2025/00003</t>
        </is>
      </c>
      <c r="C179" s="6" t="inlineStr">
        <is>
          <t>2025-02-15</t>
        </is>
      </c>
      <c r="D179" s="6" t="n">
        <v>4</v>
      </c>
      <c r="E179" s="6" t="inlineStr">
        <is>
          <t>500414</t>
        </is>
      </c>
      <c r="F179" s="7" t="inlineStr">
        <is>
          <t>[500414] كوع فاتح بلاستيك 4" ضغط صغير ومرار</t>
        </is>
      </c>
      <c r="G179" s="6" t="n">
        <v>8</v>
      </c>
      <c r="H179" s="8" t="n">
        <v>1.5</v>
      </c>
      <c r="I179" s="8" t="n">
        <v>12</v>
      </c>
      <c r="J179" s="9" t="n"/>
      <c r="K179" s="9" t="n"/>
      <c r="L179" s="16" t="n"/>
      <c r="M179" s="17">
        <f>IFERROR(IF(K179="",G179,K179)*IF(L179="",H179,L179),"")</f>
        <v/>
      </c>
      <c r="N179" s="9" t="n"/>
      <c r="O179" s="9" t="n"/>
      <c r="P179" s="10" t="n"/>
    </row>
    <row r="180">
      <c r="A180" s="6" t="n">
        <v>759</v>
      </c>
      <c r="B180" s="7" t="inlineStr">
        <is>
          <t>INV/2025/00003</t>
        </is>
      </c>
      <c r="C180" s="6" t="inlineStr">
        <is>
          <t>2025-02-15</t>
        </is>
      </c>
      <c r="D180" s="6" t="n">
        <v>5</v>
      </c>
      <c r="E180" s="6" t="inlineStr">
        <is>
          <t>500447</t>
        </is>
      </c>
      <c r="F180" s="7" t="inlineStr">
        <is>
          <t>[500447] فولتراب بلاستيك 2×4 ضغط صغير ومرار</t>
        </is>
      </c>
      <c r="G180" s="6" t="n">
        <v>5</v>
      </c>
      <c r="H180" s="8" t="n">
        <v>3.5</v>
      </c>
      <c r="I180" s="8" t="n">
        <v>17.5</v>
      </c>
      <c r="J180" s="9" t="n"/>
      <c r="K180" s="9" t="n"/>
      <c r="L180" s="16" t="n"/>
      <c r="M180" s="17">
        <f>IFERROR(IF(K180="",G180,K180)*IF(L180="",H180,L180),"")</f>
        <v/>
      </c>
      <c r="N180" s="9" t="n"/>
      <c r="O180" s="9" t="n"/>
      <c r="P180" s="10" t="n"/>
    </row>
    <row r="181">
      <c r="A181" s="6" t="n">
        <v>760</v>
      </c>
      <c r="B181" s="7" t="inlineStr">
        <is>
          <t>INV/2025/00003</t>
        </is>
      </c>
      <c r="C181" s="6" t="inlineStr">
        <is>
          <t>2025-02-15</t>
        </is>
      </c>
      <c r="D181" s="6" t="n">
        <v>6</v>
      </c>
      <c r="E181" s="6" t="inlineStr">
        <is>
          <t>500412</t>
        </is>
      </c>
      <c r="F181" s="7" t="inlineStr">
        <is>
          <t>[500412] ماسورة بلاستيك 2" ضغط صغير ومرار</t>
        </is>
      </c>
      <c r="G181" s="6" t="n">
        <v>14</v>
      </c>
      <c r="H181" s="8" t="n">
        <v>1.15</v>
      </c>
      <c r="I181" s="8" t="n">
        <v>16.1</v>
      </c>
      <c r="J181" s="9" t="n"/>
      <c r="K181" s="9" t="n"/>
      <c r="L181" s="16" t="n"/>
      <c r="M181" s="17">
        <f>IFERROR(IF(K181="",G181,K181)*IF(L181="",H181,L181),"")</f>
        <v/>
      </c>
      <c r="N181" s="9" t="n"/>
      <c r="O181" s="9" t="n"/>
      <c r="P181" s="10" t="n"/>
    </row>
    <row r="182">
      <c r="A182" s="6" t="n">
        <v>761</v>
      </c>
      <c r="B182" s="7" t="inlineStr">
        <is>
          <t>INV/2025/00003</t>
        </is>
      </c>
      <c r="C182" s="6" t="inlineStr">
        <is>
          <t>2025-02-15</t>
        </is>
      </c>
      <c r="D182" s="6" t="n">
        <v>7</v>
      </c>
      <c r="E182" s="6" t="inlineStr">
        <is>
          <t>500416</t>
        </is>
      </c>
      <c r="F182" s="7" t="inlineStr">
        <is>
          <t>[500416] كوع فاتح بلاستيك 2" ضغط صغير ومرار</t>
        </is>
      </c>
      <c r="G182" s="6" t="n">
        <v>12</v>
      </c>
      <c r="H182" s="8" t="n">
        <v>0.5</v>
      </c>
      <c r="I182" s="8" t="n">
        <v>6</v>
      </c>
      <c r="J182" s="9" t="n"/>
      <c r="K182" s="9" t="n"/>
      <c r="L182" s="16" t="n"/>
      <c r="M182" s="17">
        <f>IFERROR(IF(K182="",G182,K182)*IF(L182="",H182,L182),"")</f>
        <v/>
      </c>
      <c r="N182" s="9" t="n"/>
      <c r="O182" s="9" t="n"/>
      <c r="P182" s="10" t="n"/>
    </row>
    <row r="183">
      <c r="A183" s="6" t="n">
        <v>762</v>
      </c>
      <c r="B183" s="7" t="inlineStr">
        <is>
          <t>INV/2025/00003</t>
        </is>
      </c>
      <c r="C183" s="6" t="inlineStr">
        <is>
          <t>2025-02-15</t>
        </is>
      </c>
      <c r="D183" s="6" t="n">
        <v>8</v>
      </c>
      <c r="E183" s="6" t="inlineStr">
        <is>
          <t>500420</t>
        </is>
      </c>
      <c r="F183" s="7" t="inlineStr">
        <is>
          <t>[500420] كوع زاوية بلاستيك 2" ضغط صغير ومرار</t>
        </is>
      </c>
      <c r="G183" s="6" t="n">
        <v>12</v>
      </c>
      <c r="H183" s="8" t="n">
        <v>0.5</v>
      </c>
      <c r="I183" s="8" t="n">
        <v>6</v>
      </c>
      <c r="J183" s="9" t="n"/>
      <c r="K183" s="9" t="n"/>
      <c r="L183" s="16" t="n"/>
      <c r="M183" s="17">
        <f>IFERROR(IF(K183="",G183,K183)*IF(L183="",H183,L183),"")</f>
        <v/>
      </c>
      <c r="N183" s="9" t="n"/>
      <c r="O183" s="9" t="n"/>
      <c r="P183" s="10" t="n"/>
    </row>
    <row r="184">
      <c r="A184" s="6" t="n">
        <v>763</v>
      </c>
      <c r="B184" s="7" t="inlineStr">
        <is>
          <t>INV/2025/00003</t>
        </is>
      </c>
      <c r="C184" s="6" t="inlineStr">
        <is>
          <t>2025-02-15</t>
        </is>
      </c>
      <c r="D184" s="6" t="n">
        <v>9</v>
      </c>
      <c r="E184" s="6" t="inlineStr">
        <is>
          <t>500425</t>
        </is>
      </c>
      <c r="F184" s="7" t="inlineStr">
        <is>
          <t>[500425] مفة بلاستيك 2" ضغط صغير ومرار</t>
        </is>
      </c>
      <c r="G184" s="6" t="n">
        <v>2</v>
      </c>
      <c r="H184" s="8" t="n">
        <v>0.35</v>
      </c>
      <c r="I184" s="8" t="n">
        <v>0.7</v>
      </c>
      <c r="J184" s="9" t="n"/>
      <c r="K184" s="9" t="n"/>
      <c r="L184" s="16" t="n"/>
      <c r="M184" s="17">
        <f>IFERROR(IF(K184="",G184,K184)*IF(L184="",H184,L184),"")</f>
        <v/>
      </c>
      <c r="N184" s="9" t="n"/>
      <c r="O184" s="9" t="n"/>
      <c r="P184" s="10" t="n"/>
    </row>
    <row r="185">
      <c r="A185" s="6" t="n">
        <v>764</v>
      </c>
      <c r="B185" s="7" t="inlineStr">
        <is>
          <t>INV/2025/00003</t>
        </is>
      </c>
      <c r="C185" s="6" t="inlineStr">
        <is>
          <t>2025-02-15</t>
        </is>
      </c>
      <c r="D185" s="6" t="n">
        <v>10</v>
      </c>
      <c r="E185" s="6" t="inlineStr">
        <is>
          <t>500422</t>
        </is>
      </c>
      <c r="F185" s="7" t="inlineStr">
        <is>
          <t>[500422] مفة بلاستيك 4" ضغط صغير ومرار</t>
        </is>
      </c>
      <c r="G185" s="6" t="n">
        <v>6</v>
      </c>
      <c r="H185" s="8" t="n">
        <v>1</v>
      </c>
      <c r="I185" s="8" t="n">
        <v>6</v>
      </c>
      <c r="J185" s="9" t="n"/>
      <c r="K185" s="9" t="n"/>
      <c r="L185" s="16" t="n"/>
      <c r="M185" s="17">
        <f>IFERROR(IF(K185="",G185,K185)*IF(L185="",H185,L185),"")</f>
        <v/>
      </c>
      <c r="N185" s="9" t="n"/>
      <c r="O185" s="9" t="n"/>
      <c r="P185" s="10" t="n"/>
    </row>
    <row r="186">
      <c r="A186" s="6" t="n">
        <v>765</v>
      </c>
      <c r="B186" s="7" t="inlineStr">
        <is>
          <t>INV/2025/00003</t>
        </is>
      </c>
      <c r="C186" s="6" t="inlineStr">
        <is>
          <t>2025-02-15</t>
        </is>
      </c>
      <c r="D186" s="6" t="n">
        <v>11</v>
      </c>
      <c r="E186" s="6" t="inlineStr">
        <is>
          <t>500433</t>
        </is>
      </c>
      <c r="F186" s="7" t="inlineStr">
        <is>
          <t>[500433] واي بلاستيك 2" ضغط صغير ومرار</t>
        </is>
      </c>
      <c r="G186" s="6" t="n">
        <v>2</v>
      </c>
      <c r="H186" s="8" t="n">
        <v>0.75</v>
      </c>
      <c r="I186" s="8" t="n">
        <v>1.5</v>
      </c>
      <c r="J186" s="9" t="n"/>
      <c r="K186" s="9" t="n"/>
      <c r="L186" s="16" t="n"/>
      <c r="M186" s="17">
        <f>IFERROR(IF(K186="",G186,K186)*IF(L186="",H186,L186),"")</f>
        <v/>
      </c>
      <c r="N186" s="9" t="n"/>
      <c r="O186" s="9" t="n"/>
      <c r="P186" s="10" t="n"/>
    </row>
    <row r="187">
      <c r="A187" s="6" t="n">
        <v>766</v>
      </c>
      <c r="B187" s="7" t="inlineStr">
        <is>
          <t>INV/2025/00003</t>
        </is>
      </c>
      <c r="C187" s="6" t="inlineStr">
        <is>
          <t>2025-02-15</t>
        </is>
      </c>
      <c r="D187" s="6" t="n">
        <v>12</v>
      </c>
      <c r="E187" s="6" t="inlineStr">
        <is>
          <t>500377</t>
        </is>
      </c>
      <c r="F187" s="7" t="inlineStr">
        <is>
          <t>[500377] اجو (اسود) 1 ك شنل امريكي</t>
        </is>
      </c>
      <c r="G187" s="6" t="n">
        <v>2</v>
      </c>
      <c r="H187" s="8" t="n">
        <v>6</v>
      </c>
      <c r="I187" s="8" t="n">
        <v>12</v>
      </c>
      <c r="J187" s="9" t="n"/>
      <c r="K187" s="9" t="n"/>
      <c r="L187" s="16" t="n"/>
      <c r="M187" s="17">
        <f>IFERROR(IF(K187="",G187,K187)*IF(L187="",H187,L187),"")</f>
        <v/>
      </c>
      <c r="N187" s="9" t="n"/>
      <c r="O187" s="9" t="n"/>
      <c r="P187" s="10" t="n"/>
    </row>
    <row r="188">
      <c r="A188" s="6" t="n">
        <v>767</v>
      </c>
      <c r="B188" s="7" t="inlineStr">
        <is>
          <t>INV/2025/00003</t>
        </is>
      </c>
      <c r="C188" s="6" t="inlineStr">
        <is>
          <t>2025-02-15</t>
        </is>
      </c>
      <c r="D188" s="6" t="n">
        <v>13</v>
      </c>
      <c r="E188" s="6" t="inlineStr">
        <is>
          <t>500597</t>
        </is>
      </c>
      <c r="F188" s="7" t="inlineStr">
        <is>
          <t>[500597] بكس بلاستيك ايطالي 16ملم - متر</t>
        </is>
      </c>
      <c r="G188" s="6" t="n">
        <v>300</v>
      </c>
      <c r="H188" s="8" t="n">
        <v>0.38</v>
      </c>
      <c r="I188" s="8" t="n">
        <v>114</v>
      </c>
      <c r="J188" s="9" t="n"/>
      <c r="K188" s="9" t="n"/>
      <c r="L188" s="16" t="n"/>
      <c r="M188" s="17">
        <f>IFERROR(IF(K188="",G188,K188)*IF(L188="",H188,L188),"")</f>
        <v/>
      </c>
      <c r="N188" s="9" t="n"/>
      <c r="O188" s="9" t="n"/>
      <c r="P188" s="10" t="n"/>
    </row>
    <row r="189">
      <c r="A189" s="6" t="n">
        <v>768</v>
      </c>
      <c r="B189" s="7" t="inlineStr">
        <is>
          <t>INV/2025/00003</t>
        </is>
      </c>
      <c r="C189" s="6" t="inlineStr">
        <is>
          <t>2025-02-15</t>
        </is>
      </c>
      <c r="D189" s="6" t="n">
        <v>14</v>
      </c>
      <c r="E189" s="6" t="inlineStr">
        <is>
          <t>500397</t>
        </is>
      </c>
      <c r="F189" s="7" t="inlineStr">
        <is>
          <t>[500397] سليف حلزوني احمر وازرق 32ملم - لفة 50 متر</t>
        </is>
      </c>
      <c r="G189" s="6" t="n">
        <v>4</v>
      </c>
      <c r="H189" s="8" t="n">
        <v>5</v>
      </c>
      <c r="I189" s="8" t="n">
        <v>20</v>
      </c>
      <c r="J189" s="9" t="n"/>
      <c r="K189" s="9" t="n"/>
      <c r="L189" s="16" t="n"/>
      <c r="M189" s="17">
        <f>IFERROR(IF(K189="",G189,K189)*IF(L189="",H189,L189),"")</f>
        <v/>
      </c>
      <c r="N189" s="9" t="n"/>
      <c r="O189" s="9" t="n"/>
      <c r="P189" s="10" t="n"/>
    </row>
    <row r="190">
      <c r="A190" s="6" t="n">
        <v>769</v>
      </c>
      <c r="B190" s="7" t="inlineStr">
        <is>
          <t>INV/2025/00003</t>
        </is>
      </c>
      <c r="C190" s="6" t="inlineStr">
        <is>
          <t>2025-02-15</t>
        </is>
      </c>
      <c r="D190" s="6" t="n">
        <v>15</v>
      </c>
      <c r="E190" s="6" t="inlineStr">
        <is>
          <t>500397</t>
        </is>
      </c>
      <c r="F190" s="7" t="inlineStr">
        <is>
          <t>[500397] سليف حلزوني احمر وازرق 32ملم - لفة 50 متر</t>
        </is>
      </c>
      <c r="G190" s="6" t="n">
        <v>3</v>
      </c>
      <c r="H190" s="8" t="n">
        <v>5</v>
      </c>
      <c r="I190" s="8" t="n">
        <v>15</v>
      </c>
      <c r="J190" s="9" t="n"/>
      <c r="K190" s="9" t="n"/>
      <c r="L190" s="16" t="n"/>
      <c r="M190" s="17">
        <f>IFERROR(IF(K190="",G190,K190)*IF(L190="",H190,L190),"")</f>
        <v/>
      </c>
      <c r="N190" s="9" t="n"/>
      <c r="O190" s="9" t="n"/>
      <c r="P190" s="10" t="n"/>
    </row>
    <row r="191">
      <c r="A191" s="6" t="n">
        <v>770</v>
      </c>
      <c r="B191" s="7" t="inlineStr">
        <is>
          <t>INV/2025/00003</t>
        </is>
      </c>
      <c r="C191" s="6" t="inlineStr">
        <is>
          <t>2025-02-15</t>
        </is>
      </c>
      <c r="D191" s="6" t="n">
        <v>16</v>
      </c>
      <c r="E191" s="6" t="inlineStr">
        <is>
          <t>500398</t>
        </is>
      </c>
      <c r="F191" s="7" t="inlineStr">
        <is>
          <t>[500398] سليف حلزوني احمر وازرق 50ملم - لفة 25 متر</t>
        </is>
      </c>
      <c r="G191" s="6" t="n">
        <v>1</v>
      </c>
      <c r="H191" s="8" t="n">
        <v>5</v>
      </c>
      <c r="I191" s="8" t="n">
        <v>5</v>
      </c>
      <c r="J191" s="9" t="n"/>
      <c r="K191" s="9" t="n"/>
      <c r="L191" s="16" t="n"/>
      <c r="M191" s="17">
        <f>IFERROR(IF(K191="",G191,K191)*IF(L191="",H191,L191),"")</f>
        <v/>
      </c>
      <c r="N191" s="9" t="n"/>
      <c r="O191" s="9" t="n"/>
      <c r="P191" s="10" t="n"/>
    </row>
    <row r="192">
      <c r="A192" s="6" t="n">
        <v>771</v>
      </c>
      <c r="B192" s="7" t="inlineStr">
        <is>
          <t>INV/2025/00003</t>
        </is>
      </c>
      <c r="C192" s="6" t="inlineStr">
        <is>
          <t>2025-02-15</t>
        </is>
      </c>
      <c r="D192" s="6" t="n">
        <v>17</v>
      </c>
      <c r="E192" s="6" t="inlineStr">
        <is>
          <t>500398</t>
        </is>
      </c>
      <c r="F192" s="7" t="inlineStr">
        <is>
          <t>[500398] سليف حلزوني احمر وازرق 50ملم - لفة 25 متر</t>
        </is>
      </c>
      <c r="G192" s="6" t="n">
        <v>1</v>
      </c>
      <c r="H192" s="8" t="n">
        <v>5</v>
      </c>
      <c r="I192" s="8" t="n">
        <v>5</v>
      </c>
      <c r="J192" s="9" t="n"/>
      <c r="K192" s="9" t="n"/>
      <c r="L192" s="16" t="n"/>
      <c r="M192" s="17">
        <f>IFERROR(IF(K192="",G192,K192)*IF(L192="",H192,L192),"")</f>
        <v/>
      </c>
      <c r="N192" s="9" t="n"/>
      <c r="O192" s="9" t="n"/>
      <c r="P192" s="10" t="n"/>
    </row>
    <row r="193">
      <c r="A193" s="6" t="n">
        <v>772</v>
      </c>
      <c r="B193" s="7" t="inlineStr">
        <is>
          <t>INV/2025/00003</t>
        </is>
      </c>
      <c r="C193" s="6" t="inlineStr">
        <is>
          <t>2025-02-15</t>
        </is>
      </c>
      <c r="D193" s="6" t="n">
        <v>18</v>
      </c>
      <c r="E193" s="6" t="inlineStr">
        <is>
          <t>500597</t>
        </is>
      </c>
      <c r="F193" s="7" t="inlineStr">
        <is>
          <t>[500597] بكس بلاستيك ايطالي 16ملم - متر</t>
        </is>
      </c>
      <c r="G193" s="6" t="n">
        <v>25</v>
      </c>
      <c r="H193" s="8" t="n">
        <v>0.5</v>
      </c>
      <c r="I193" s="8" t="n">
        <v>12.5</v>
      </c>
      <c r="J193" s="9" t="n"/>
      <c r="K193" s="9" t="n"/>
      <c r="L193" s="16" t="n"/>
      <c r="M193" s="17">
        <f>IFERROR(IF(K193="",G193,K193)*IF(L193="",H193,L193),"")</f>
        <v/>
      </c>
      <c r="N193" s="9" t="n"/>
      <c r="O193" s="9" t="n"/>
      <c r="P193" s="10" t="n"/>
    </row>
    <row r="194">
      <c r="A194" s="6" t="n">
        <v>773</v>
      </c>
      <c r="B194" s="7" t="inlineStr">
        <is>
          <t>INV/2025/00003</t>
        </is>
      </c>
      <c r="C194" s="6" t="inlineStr">
        <is>
          <t>2025-02-15</t>
        </is>
      </c>
      <c r="D194" s="6" t="n">
        <v>19</v>
      </c>
      <c r="E194" s="6" t="inlineStr">
        <is>
          <t>500780</t>
        </is>
      </c>
      <c r="F194" s="7" t="inlineStr">
        <is>
          <t>[500780] بكس بلاستيك ايطالي كوستا 25ملم - متر</t>
        </is>
      </c>
      <c r="G194" s="6" t="n">
        <v>25</v>
      </c>
      <c r="H194" s="8" t="n">
        <v>1</v>
      </c>
      <c r="I194" s="8" t="n">
        <v>25</v>
      </c>
      <c r="J194" s="9" t="n"/>
      <c r="K194" s="9" t="n"/>
      <c r="L194" s="16" t="n"/>
      <c r="M194" s="17">
        <f>IFERROR(IF(K194="",G194,K194)*IF(L194="",H194,L194),"")</f>
        <v/>
      </c>
      <c r="N194" s="9" t="n"/>
      <c r="O194" s="9" t="n"/>
      <c r="P194" s="10" t="n"/>
    </row>
    <row r="195">
      <c r="A195" s="6" t="n">
        <v>774</v>
      </c>
      <c r="B195" s="7" t="inlineStr">
        <is>
          <t>INV/2025/00003</t>
        </is>
      </c>
      <c r="C195" s="6" t="inlineStr">
        <is>
          <t>2025-02-15</t>
        </is>
      </c>
      <c r="D195" s="6" t="n">
        <v>20</v>
      </c>
      <c r="E195" s="6" t="inlineStr">
        <is>
          <t>500141</t>
        </is>
      </c>
      <c r="F195" s="7" t="inlineStr">
        <is>
          <t>[500141] كوع نجاصة ايطالي 16×1/2</t>
        </is>
      </c>
      <c r="G195" s="6" t="n">
        <v>4</v>
      </c>
      <c r="H195" s="8" t="n">
        <v>2.75</v>
      </c>
      <c r="I195" s="8" t="n">
        <v>11</v>
      </c>
      <c r="J195" s="9" t="n"/>
      <c r="K195" s="9" t="n"/>
      <c r="L195" s="16" t="n"/>
      <c r="M195" s="17">
        <f>IFERROR(IF(K195="",G195,K195)*IF(L195="",H195,L195),"")</f>
        <v/>
      </c>
      <c r="N195" s="9" t="n"/>
      <c r="O195" s="9" t="n"/>
      <c r="P195" s="10" t="n"/>
    </row>
    <row r="196">
      <c r="A196" s="6" t="n">
        <v>775</v>
      </c>
      <c r="B196" s="7" t="inlineStr">
        <is>
          <t>INV/2025/00003</t>
        </is>
      </c>
      <c r="C196" s="6" t="inlineStr">
        <is>
          <t>2025-02-15</t>
        </is>
      </c>
      <c r="D196" s="6" t="n">
        <v>21</v>
      </c>
      <c r="E196" s="6" t="inlineStr">
        <is>
          <t>500693</t>
        </is>
      </c>
      <c r="F196" s="7" t="inlineStr">
        <is>
          <t>[500693] كوع نجاصة نحاس ايطالي 20ملم×1/2"</t>
        </is>
      </c>
      <c r="G196" s="6" t="n">
        <v>2</v>
      </c>
      <c r="H196" s="8" t="n">
        <v>3</v>
      </c>
      <c r="I196" s="8" t="n">
        <v>6</v>
      </c>
      <c r="J196" s="9" t="n"/>
      <c r="K196" s="9" t="n"/>
      <c r="L196" s="16" t="n"/>
      <c r="M196" s="17">
        <f>IFERROR(IF(K196="",G196,K196)*IF(L196="",H196,L196),"")</f>
        <v/>
      </c>
      <c r="N196" s="9" t="n"/>
      <c r="O196" s="9" t="n"/>
      <c r="P196" s="10" t="n"/>
    </row>
    <row r="197">
      <c r="A197" s="6" t="n">
        <v>776</v>
      </c>
      <c r="B197" s="7" t="inlineStr">
        <is>
          <t>INV/2025/00003</t>
        </is>
      </c>
      <c r="C197" s="6" t="inlineStr">
        <is>
          <t>2025-02-15</t>
        </is>
      </c>
      <c r="D197" s="6" t="n">
        <v>22</v>
      </c>
      <c r="E197" s="6" t="inlineStr">
        <is>
          <t>500173</t>
        </is>
      </c>
      <c r="F197" s="7" t="inlineStr">
        <is>
          <t>[500173] كوع ستريت نحاس ايطالي 3/4"</t>
        </is>
      </c>
      <c r="G197" s="6" t="n">
        <v>2</v>
      </c>
      <c r="H197" s="8" t="n">
        <v>2.5</v>
      </c>
      <c r="I197" s="8" t="n">
        <v>5</v>
      </c>
      <c r="J197" s="9" t="n"/>
      <c r="K197" s="9" t="n"/>
      <c r="L197" s="16" t="n"/>
      <c r="M197" s="17">
        <f>IFERROR(IF(K197="",G197,K197)*IF(L197="",H197,L197),"")</f>
        <v/>
      </c>
      <c r="N197" s="9" t="n"/>
      <c r="O197" s="9" t="n"/>
      <c r="P197" s="10" t="n"/>
    </row>
    <row r="198">
      <c r="A198" s="6" t="n">
        <v>777</v>
      </c>
      <c r="B198" s="7" t="inlineStr">
        <is>
          <t>INV/2025/00003</t>
        </is>
      </c>
      <c r="C198" s="6" t="inlineStr">
        <is>
          <t>2025-02-15</t>
        </is>
      </c>
      <c r="D198" s="6" t="n">
        <v>23</v>
      </c>
      <c r="E198" s="6" t="inlineStr">
        <is>
          <t>500708</t>
        </is>
      </c>
      <c r="F198" s="7" t="inlineStr">
        <is>
          <t>[500708] شد وصل ايطالي 3/4"×25ملم</t>
        </is>
      </c>
      <c r="G198" s="6" t="n">
        <v>2</v>
      </c>
      <c r="H198" s="8" t="n">
        <v>4</v>
      </c>
      <c r="I198" s="8" t="n">
        <v>8</v>
      </c>
      <c r="J198" s="9" t="n"/>
      <c r="K198" s="9" t="n"/>
      <c r="L198" s="16" t="n"/>
      <c r="M198" s="17">
        <f>IFERROR(IF(K198="",G198,K198)*IF(L198="",H198,L198),"")</f>
        <v/>
      </c>
      <c r="N198" s="9" t="n"/>
      <c r="O198" s="9" t="n"/>
      <c r="P198" s="10" t="n"/>
    </row>
    <row r="199">
      <c r="A199" s="6" t="n">
        <v>778</v>
      </c>
      <c r="B199" s="7" t="inlineStr">
        <is>
          <t>INV/2025/00003</t>
        </is>
      </c>
      <c r="C199" s="6" t="inlineStr">
        <is>
          <t>2025-02-15</t>
        </is>
      </c>
      <c r="D199" s="6" t="n">
        <v>24</v>
      </c>
      <c r="E199" s="6" t="inlineStr">
        <is>
          <t>500695</t>
        </is>
      </c>
      <c r="F199" s="7" t="inlineStr">
        <is>
          <t>[500695] سدة بلاستيك طويلة فحص 1/2"</t>
        </is>
      </c>
      <c r="G199" s="6" t="n">
        <v>25</v>
      </c>
      <c r="H199" s="8" t="n">
        <v>0.15</v>
      </c>
      <c r="I199" s="8" t="n">
        <v>3.75</v>
      </c>
      <c r="J199" s="9" t="n"/>
      <c r="K199" s="9" t="n"/>
      <c r="L199" s="16" t="n"/>
      <c r="M199" s="17">
        <f>IFERROR(IF(K199="",G199,K199)*IF(L199="",H199,L199),"")</f>
        <v/>
      </c>
      <c r="N199" s="9" t="n"/>
      <c r="O199" s="9" t="n"/>
      <c r="P199" s="10" t="n"/>
    </row>
    <row r="200">
      <c r="A200" s="6" t="n">
        <v>779</v>
      </c>
      <c r="B200" s="7" t="inlineStr">
        <is>
          <t>INV/2025/00003</t>
        </is>
      </c>
      <c r="C200" s="6" t="inlineStr">
        <is>
          <t>2025-02-15</t>
        </is>
      </c>
      <c r="D200" s="6" t="n">
        <v>25</v>
      </c>
      <c r="E200" s="6" t="inlineStr">
        <is>
          <t>500080</t>
        </is>
      </c>
      <c r="F200" s="7" t="inlineStr">
        <is>
          <t>[500080] ماسورة (شانيل) سعودي 3/4"</t>
        </is>
      </c>
      <c r="G200" s="6" t="n">
        <v>8</v>
      </c>
      <c r="H200" s="8" t="n">
        <v>11</v>
      </c>
      <c r="I200" s="8" t="n">
        <v>88</v>
      </c>
      <c r="J200" s="9" t="n"/>
      <c r="K200" s="9" t="n"/>
      <c r="L200" s="16" t="n"/>
      <c r="M200" s="17">
        <f>IFERROR(IF(K200="",G200,K200)*IF(L200="",H200,L200),"")</f>
        <v/>
      </c>
      <c r="N200" s="9" t="n"/>
      <c r="O200" s="9" t="n"/>
      <c r="P200" s="10" t="n"/>
    </row>
    <row r="201">
      <c r="A201" s="6" t="n">
        <v>780</v>
      </c>
      <c r="B201" s="7" t="inlineStr">
        <is>
          <t>INV/2025/00003</t>
        </is>
      </c>
      <c r="C201" s="6" t="inlineStr">
        <is>
          <t>2025-02-15</t>
        </is>
      </c>
      <c r="D201" s="6" t="n">
        <v>26</v>
      </c>
      <c r="E201" s="6" t="inlineStr">
        <is>
          <t>500475</t>
        </is>
      </c>
      <c r="F201" s="7" t="inlineStr">
        <is>
          <t>[500475] كوع زاوية سعودي 3/4"</t>
        </is>
      </c>
      <c r="G201" s="6" t="n">
        <v>10</v>
      </c>
      <c r="H201" s="8" t="n">
        <v>0.5</v>
      </c>
      <c r="I201" s="8" t="n">
        <v>5</v>
      </c>
      <c r="J201" s="9" t="n"/>
      <c r="K201" s="9" t="n"/>
      <c r="L201" s="16" t="n"/>
      <c r="M201" s="17">
        <f>IFERROR(IF(K201="",G201,K201)*IF(L201="",H201,L201),"")</f>
        <v/>
      </c>
      <c r="N201" s="9" t="n"/>
      <c r="O201" s="9" t="n"/>
      <c r="P201" s="10" t="n"/>
    </row>
    <row r="202">
      <c r="A202" s="6" t="n">
        <v>781</v>
      </c>
      <c r="B202" s="7" t="inlineStr">
        <is>
          <t>INV/2025/00003</t>
        </is>
      </c>
      <c r="C202" s="6" t="inlineStr">
        <is>
          <t>2025-02-15</t>
        </is>
      </c>
      <c r="D202" s="6" t="n">
        <v>27</v>
      </c>
      <c r="E202" s="6" t="inlineStr">
        <is>
          <t>500480</t>
        </is>
      </c>
      <c r="F202" s="7" t="inlineStr">
        <is>
          <t>[500480] كوع فاتح سعودي 3/4"</t>
        </is>
      </c>
      <c r="G202" s="6" t="n">
        <v>10</v>
      </c>
      <c r="H202" s="8" t="n">
        <v>0.5</v>
      </c>
      <c r="I202" s="8" t="n">
        <v>5</v>
      </c>
      <c r="J202" s="9" t="n"/>
      <c r="K202" s="9" t="n"/>
      <c r="L202" s="16" t="n"/>
      <c r="M202" s="17">
        <f>IFERROR(IF(K202="",G202,K202)*IF(L202="",H202,L202),"")</f>
        <v/>
      </c>
      <c r="N202" s="9" t="n"/>
      <c r="O202" s="9" t="n"/>
      <c r="P202" s="10" t="n"/>
    </row>
    <row r="203">
      <c r="A203" s="6" t="n">
        <v>782</v>
      </c>
      <c r="B203" s="7" t="inlineStr">
        <is>
          <t>INV/2025/00003</t>
        </is>
      </c>
      <c r="C203" s="6" t="inlineStr">
        <is>
          <t>2025-02-15</t>
        </is>
      </c>
      <c r="D203" s="6" t="n">
        <v>28</v>
      </c>
      <c r="E203" s="6" t="inlineStr">
        <is>
          <t>500485</t>
        </is>
      </c>
      <c r="F203" s="7" t="inlineStr">
        <is>
          <t>[500485] تي T سعودي 3/4"</t>
        </is>
      </c>
      <c r="G203" s="6" t="n">
        <v>2</v>
      </c>
      <c r="H203" s="8" t="n">
        <v>0.75</v>
      </c>
      <c r="I203" s="8" t="n">
        <v>1.5</v>
      </c>
      <c r="J203" s="9" t="n"/>
      <c r="K203" s="9" t="n"/>
      <c r="L203" s="16" t="n"/>
      <c r="M203" s="17">
        <f>IFERROR(IF(K203="",G203,K203)*IF(L203="",H203,L203),"")</f>
        <v/>
      </c>
      <c r="N203" s="9" t="n"/>
      <c r="O203" s="9" t="n"/>
      <c r="P203" s="10" t="n"/>
    </row>
    <row r="204">
      <c r="A204" s="6" t="n">
        <v>783</v>
      </c>
      <c r="B204" s="7" t="inlineStr">
        <is>
          <t>INV/2025/00003</t>
        </is>
      </c>
      <c r="C204" s="6" t="inlineStr">
        <is>
          <t>2025-02-15</t>
        </is>
      </c>
      <c r="D204" s="6" t="n">
        <v>29</v>
      </c>
      <c r="E204" s="6" t="inlineStr">
        <is>
          <t>500379</t>
        </is>
      </c>
      <c r="F204" s="7" t="inlineStr">
        <is>
          <t>[500379] اجو (اسود) 1/4 ك شنل امريكي</t>
        </is>
      </c>
      <c r="G204" s="6" t="n">
        <v>1</v>
      </c>
      <c r="H204" s="8" t="n">
        <v>4</v>
      </c>
      <c r="I204" s="8" t="n">
        <v>4</v>
      </c>
      <c r="J204" s="9" t="n"/>
      <c r="K204" s="9" t="n"/>
      <c r="L204" s="16" t="n"/>
      <c r="M204" s="17">
        <f>IFERROR(IF(K204="",G204,K204)*IF(L204="",H204,L204),"")</f>
        <v/>
      </c>
      <c r="N204" s="9" t="n"/>
      <c r="O204" s="9" t="n"/>
      <c r="P204" s="10" t="n"/>
    </row>
    <row r="205">
      <c r="A205" s="6" t="n">
        <v>784</v>
      </c>
      <c r="B205" s="7" t="inlineStr">
        <is>
          <t>INV/2025/00003</t>
        </is>
      </c>
      <c r="C205" s="6" t="inlineStr">
        <is>
          <t>2025-02-15</t>
        </is>
      </c>
      <c r="D205" s="6" t="n">
        <v>30</v>
      </c>
      <c r="E205" s="6" t="inlineStr">
        <is>
          <t>700021</t>
        </is>
      </c>
      <c r="F205" s="7" t="inlineStr">
        <is>
          <t>[700021] تب عزل سكني 14 يارد HIGH POWER</t>
        </is>
      </c>
      <c r="G205" s="6" t="n">
        <v>2</v>
      </c>
      <c r="H205" s="8" t="n">
        <v>1</v>
      </c>
      <c r="I205" s="8" t="n">
        <v>2</v>
      </c>
      <c r="J205" s="9" t="n"/>
      <c r="K205" s="9" t="n"/>
      <c r="L205" s="16" t="n"/>
      <c r="M205" s="17">
        <f>IFERROR(IF(K205="",G205,K205)*IF(L205="",H205,L205),"")</f>
        <v/>
      </c>
      <c r="N205" s="9" t="n"/>
      <c r="O205" s="9" t="n"/>
      <c r="P205" s="10" t="n"/>
    </row>
    <row r="206">
      <c r="A206" s="6" t="n">
        <v>785</v>
      </c>
      <c r="B206" s="7" t="inlineStr">
        <is>
          <t>INV/2025/00003</t>
        </is>
      </c>
      <c r="C206" s="6" t="inlineStr">
        <is>
          <t>2025-02-15</t>
        </is>
      </c>
      <c r="D206" s="6" t="n">
        <v>31</v>
      </c>
      <c r="E206" s="6" t="inlineStr">
        <is>
          <t>900037</t>
        </is>
      </c>
      <c r="F206" s="7" t="inlineStr">
        <is>
          <t>[900037] سلك تربيط ناعم ابيض</t>
        </is>
      </c>
      <c r="G206" s="6" t="n">
        <v>1</v>
      </c>
      <c r="H206" s="8" t="n">
        <v>1.5</v>
      </c>
      <c r="I206" s="8" t="n">
        <v>1.5</v>
      </c>
      <c r="J206" s="9" t="n"/>
      <c r="K206" s="9" t="n"/>
      <c r="L206" s="16" t="n"/>
      <c r="M206" s="17">
        <f>IFERROR(IF(K206="",G206,K206)*IF(L206="",H206,L206),"")</f>
        <v/>
      </c>
      <c r="N206" s="9" t="n"/>
      <c r="O206" s="9" t="n"/>
      <c r="P206" s="10" t="n"/>
    </row>
    <row r="207">
      <c r="A207" s="6" t="n">
        <v>786</v>
      </c>
      <c r="B207" s="7" t="inlineStr">
        <is>
          <t>INV/2025/00003</t>
        </is>
      </c>
      <c r="C207" s="6" t="inlineStr">
        <is>
          <t>2025-02-15</t>
        </is>
      </c>
      <c r="D207" s="6" t="n">
        <v>32</v>
      </c>
      <c r="E207" s="6" t="inlineStr">
        <is>
          <t>500757</t>
        </is>
      </c>
      <c r="F207" s="7" t="inlineStr">
        <is>
          <t>[500757] مفة حديد 1" صيني</t>
        </is>
      </c>
      <c r="G207" s="6" t="n">
        <v>6</v>
      </c>
      <c r="H207" s="8" t="n">
        <v>0.5</v>
      </c>
      <c r="I207" s="8" t="n">
        <v>3</v>
      </c>
      <c r="J207" s="9" t="n"/>
      <c r="K207" s="9" t="n"/>
      <c r="L207" s="16" t="n"/>
      <c r="M207" s="17">
        <f>IFERROR(IF(K207="",G207,K207)*IF(L207="",H207,L207),"")</f>
        <v/>
      </c>
      <c r="N207" s="9" t="n"/>
      <c r="O207" s="9" t="n"/>
      <c r="P207" s="10" t="n"/>
    </row>
    <row r="208">
      <c r="A208" s="6" t="n">
        <v>787</v>
      </c>
      <c r="B208" s="7" t="inlineStr">
        <is>
          <t>INV/2025/00003</t>
        </is>
      </c>
      <c r="C208" s="6" t="inlineStr">
        <is>
          <t>2025-02-15</t>
        </is>
      </c>
      <c r="D208" s="6" t="n">
        <v>33</v>
      </c>
      <c r="E208" s="6" t="inlineStr">
        <is>
          <t>500769</t>
        </is>
      </c>
      <c r="F208" s="7" t="inlineStr">
        <is>
          <t>[500769] نقاصة حديد 3/4"×1" صيني</t>
        </is>
      </c>
      <c r="G208" s="6" t="n">
        <v>1</v>
      </c>
      <c r="H208" s="8" t="n">
        <v>0.75</v>
      </c>
      <c r="I208" s="8" t="n">
        <v>0.75</v>
      </c>
      <c r="J208" s="9" t="n"/>
      <c r="K208" s="9" t="n"/>
      <c r="L208" s="16" t="n"/>
      <c r="M208" s="17">
        <f>IFERROR(IF(K208="",G208,K208)*IF(L208="",H208,L208),"")</f>
        <v/>
      </c>
      <c r="N208" s="9" t="n"/>
      <c r="O208" s="9" t="n"/>
      <c r="P208" s="10" t="n"/>
    </row>
    <row r="209">
      <c r="A209" s="6" t="n">
        <v>788</v>
      </c>
      <c r="B209" s="7" t="inlineStr">
        <is>
          <t>INV/2025/00003</t>
        </is>
      </c>
      <c r="C209" s="6" t="inlineStr">
        <is>
          <t>2025-02-15</t>
        </is>
      </c>
      <c r="D209" s="6" t="n">
        <v>34</v>
      </c>
      <c r="E209" s="6" t="inlineStr">
        <is>
          <t>500202</t>
        </is>
      </c>
      <c r="F209" s="7" t="inlineStr">
        <is>
          <t>[500202] خزانة بكس 1 متر</t>
        </is>
      </c>
      <c r="G209" s="6" t="n">
        <v>1</v>
      </c>
      <c r="H209" s="8" t="n">
        <v>23</v>
      </c>
      <c r="I209" s="8" t="n">
        <v>23</v>
      </c>
      <c r="J209" s="9" t="n"/>
      <c r="K209" s="9" t="n"/>
      <c r="L209" s="16" t="n"/>
      <c r="M209" s="17">
        <f>IFERROR(IF(K209="",G209,K209)*IF(L209="",H209,L209),"")</f>
        <v/>
      </c>
      <c r="N209" s="9" t="n"/>
      <c r="O209" s="9" t="n"/>
      <c r="P209" s="10" t="n"/>
    </row>
    <row r="210">
      <c r="A210" s="6" t="n">
        <v>964</v>
      </c>
      <c r="B210" s="7" t="inlineStr">
        <is>
          <t>INV/2025/00007</t>
        </is>
      </c>
      <c r="C210" s="6" t="inlineStr">
        <is>
          <t>2025-02-26</t>
        </is>
      </c>
      <c r="D210" s="6" t="n">
        <v>1</v>
      </c>
      <c r="E210" s="6" t="inlineStr">
        <is>
          <t>700638</t>
        </is>
      </c>
      <c r="F210" s="7" t="inlineStr">
        <is>
          <t>[700638] اسطوانة قص حديد 9"</t>
        </is>
      </c>
      <c r="G210" s="6" t="n">
        <v>7</v>
      </c>
      <c r="H210" s="8" t="n">
        <v>2</v>
      </c>
      <c r="I210" s="8" t="n">
        <v>14</v>
      </c>
      <c r="J210" s="9" t="n"/>
      <c r="K210" s="9" t="n"/>
      <c r="L210" s="16" t="n"/>
      <c r="M210" s="17">
        <f>IFERROR(IF(K210="",G210,K210)*IF(L210="",H210,L210),"")</f>
        <v/>
      </c>
      <c r="N210" s="9" t="n"/>
      <c r="O210" s="9" t="n"/>
      <c r="P210" s="10" t="n"/>
    </row>
    <row r="211">
      <c r="A211" s="6" t="n">
        <v>965</v>
      </c>
      <c r="B211" s="7" t="inlineStr">
        <is>
          <t>INV/2025/00007</t>
        </is>
      </c>
      <c r="C211" s="6" t="inlineStr">
        <is>
          <t>2025-02-26</t>
        </is>
      </c>
      <c r="D211" s="6" t="n">
        <v>2</v>
      </c>
      <c r="E211" s="6" t="inlineStr">
        <is>
          <t>100090</t>
        </is>
      </c>
      <c r="F211" s="7" t="inlineStr">
        <is>
          <t>[100090] اسطوانة قص 4.5" حديد تركي</t>
        </is>
      </c>
      <c r="G211" s="6" t="n">
        <v>7</v>
      </c>
      <c r="H211" s="8" t="n">
        <v>0.5</v>
      </c>
      <c r="I211" s="8" t="n">
        <v>3.5</v>
      </c>
      <c r="J211" s="9" t="n"/>
      <c r="K211" s="9" t="n"/>
      <c r="L211" s="16" t="n"/>
      <c r="M211" s="17">
        <f>IFERROR(IF(K211="",G211,K211)*IF(L211="",H211,L211),"")</f>
        <v/>
      </c>
      <c r="N211" s="9" t="n"/>
      <c r="O211" s="9" t="n"/>
      <c r="P211" s="10" t="n"/>
    </row>
    <row r="212">
      <c r="A212" s="6" t="n">
        <v>966</v>
      </c>
      <c r="B212" s="7" t="inlineStr">
        <is>
          <t>INV/2025/00007</t>
        </is>
      </c>
      <c r="C212" s="6" t="inlineStr">
        <is>
          <t>2025-02-26</t>
        </is>
      </c>
      <c r="D212" s="6" t="n">
        <v>3</v>
      </c>
      <c r="E212" s="6" t="inlineStr">
        <is>
          <t>200083</t>
        </is>
      </c>
      <c r="F212" s="7" t="inlineStr">
        <is>
          <t>ورق حف مربع نعومة 120 كابتن تايلندي — سعر خاص لمشروع يزيد — الكاتالوج 0.250</t>
        </is>
      </c>
      <c r="G212" s="6" t="n">
        <v>50</v>
      </c>
      <c r="H212" s="8" t="n">
        <v>0.15</v>
      </c>
      <c r="I212" s="8" t="n">
        <v>7.5</v>
      </c>
      <c r="J212" s="9" t="n"/>
      <c r="K212" s="9" t="n"/>
      <c r="L212" s="16" t="n"/>
      <c r="M212" s="17">
        <f>IFERROR(IF(K212="",G212,K212)*IF(L212="",H212,L212),"")</f>
        <v/>
      </c>
      <c r="N212" s="9" t="n"/>
      <c r="O212" s="9" t="n"/>
      <c r="P212" s="10" t="n"/>
    </row>
    <row r="213">
      <c r="A213" s="6" t="n">
        <v>967</v>
      </c>
      <c r="B213" s="7" t="inlineStr">
        <is>
          <t>INV/2025/00007</t>
        </is>
      </c>
      <c r="C213" s="6" t="inlineStr">
        <is>
          <t>2025-02-26</t>
        </is>
      </c>
      <c r="D213" s="6" t="n">
        <v>4</v>
      </c>
      <c r="E213" s="6" t="inlineStr">
        <is>
          <t>230026</t>
        </is>
      </c>
      <c r="F213" s="7" t="inlineStr">
        <is>
          <t>[230026] تب ورق عريض دبل</t>
        </is>
      </c>
      <c r="G213" s="6" t="n">
        <v>6</v>
      </c>
      <c r="H213" s="8" t="n">
        <v>0.5</v>
      </c>
      <c r="I213" s="8" t="n">
        <v>3</v>
      </c>
      <c r="J213" s="9" t="n"/>
      <c r="K213" s="9" t="n"/>
      <c r="L213" s="16" t="n"/>
      <c r="M213" s="17">
        <f>IFERROR(IF(K213="",G213,K213)*IF(L213="",H213,L213),"")</f>
        <v/>
      </c>
      <c r="N213" s="9" t="n"/>
      <c r="O213" s="9" t="n"/>
      <c r="P213" s="10" t="n"/>
    </row>
    <row r="214">
      <c r="A214" s="6" t="n">
        <v>968</v>
      </c>
      <c r="B214" s="7" t="inlineStr">
        <is>
          <t>INV/2025/00007</t>
        </is>
      </c>
      <c r="C214" s="6" t="inlineStr">
        <is>
          <t>2025-02-26</t>
        </is>
      </c>
      <c r="D214" s="6" t="n">
        <v>5</v>
      </c>
      <c r="E214" s="6" t="inlineStr">
        <is>
          <t>200008</t>
        </is>
      </c>
      <c r="F214" s="7" t="inlineStr">
        <is>
          <t>[200008] تب لاصق ورق 1" كريستال</t>
        </is>
      </c>
      <c r="G214" s="6" t="n">
        <v>6</v>
      </c>
      <c r="H214" s="8" t="n">
        <v>0.25</v>
      </c>
      <c r="I214" s="8" t="n">
        <v>1.5</v>
      </c>
      <c r="J214" s="9" t="n"/>
      <c r="K214" s="9" t="n"/>
      <c r="L214" s="16" t="n"/>
      <c r="M214" s="17">
        <f>IFERROR(IF(K214="",G214,K214)*IF(L214="",H214,L214),"")</f>
        <v/>
      </c>
      <c r="N214" s="9" t="n"/>
      <c r="O214" s="9" t="n"/>
      <c r="P214" s="10" t="n"/>
    </row>
    <row r="215">
      <c r="A215" s="6" t="n">
        <v>969</v>
      </c>
      <c r="B215" s="7" t="inlineStr">
        <is>
          <t>INV/2025/00007</t>
        </is>
      </c>
      <c r="C215" s="6" t="inlineStr">
        <is>
          <t>2025-02-26</t>
        </is>
      </c>
      <c r="D215" s="6" t="n">
        <v>6</v>
      </c>
      <c r="E215" s="6" t="inlineStr">
        <is>
          <t>500410</t>
        </is>
      </c>
      <c r="F215" s="7" t="inlineStr">
        <is>
          <t>[500410] ماسورة بلاستيك 4" ضغط صغير ومرار</t>
        </is>
      </c>
      <c r="G215" s="6" t="n">
        <v>3</v>
      </c>
      <c r="H215" s="8" t="n">
        <v>2.5</v>
      </c>
      <c r="I215" s="8" t="n">
        <v>7.5</v>
      </c>
      <c r="J215" s="9" t="n"/>
      <c r="K215" s="9" t="n"/>
      <c r="L215" s="16" t="n"/>
      <c r="M215" s="17">
        <f>IFERROR(IF(K215="",G215,K215)*IF(L215="",H215,L215),"")</f>
        <v/>
      </c>
      <c r="N215" s="9" t="n"/>
      <c r="O215" s="9" t="n"/>
      <c r="P215" s="10" t="n"/>
    </row>
    <row r="216">
      <c r="A216" s="6" t="n">
        <v>970</v>
      </c>
      <c r="B216" s="7" t="inlineStr">
        <is>
          <t>INV/2025/00007</t>
        </is>
      </c>
      <c r="C216" s="6" t="inlineStr">
        <is>
          <t>2025-02-26</t>
        </is>
      </c>
      <c r="D216" s="6" t="n">
        <v>7</v>
      </c>
      <c r="E216" s="6" t="inlineStr">
        <is>
          <t>200343</t>
        </is>
      </c>
      <c r="F216" s="7" t="inlineStr">
        <is>
          <t>[200343] شوال معجونة تيراكو 25 كغم</t>
        </is>
      </c>
      <c r="G216" s="6" t="n">
        <v>4</v>
      </c>
      <c r="H216" s="8" t="n">
        <v>4</v>
      </c>
      <c r="I216" s="8" t="n">
        <v>16</v>
      </c>
      <c r="J216" s="9" t="n"/>
      <c r="K216" s="9" t="n"/>
      <c r="L216" s="16" t="n"/>
      <c r="M216" s="17">
        <f>IFERROR(IF(K216="",G216,K216)*IF(L216="",H216,L216),"")</f>
        <v/>
      </c>
      <c r="N216" s="9" t="n"/>
      <c r="O216" s="9" t="n"/>
      <c r="P216" s="10" t="n"/>
    </row>
    <row r="217">
      <c r="A217" s="6" t="n">
        <v>971</v>
      </c>
      <c r="B217" s="7" t="inlineStr">
        <is>
          <t>INV/2025/00007</t>
        </is>
      </c>
      <c r="C217" s="6" t="inlineStr">
        <is>
          <t>2025-02-26</t>
        </is>
      </c>
      <c r="D217" s="6" t="n">
        <v>8</v>
      </c>
      <c r="E217" s="6" t="inlineStr">
        <is>
          <t>700202</t>
        </is>
      </c>
      <c r="F217" s="7" t="inlineStr">
        <is>
          <t>[700202] باكيت مسمار بولاذ 8 سم</t>
        </is>
      </c>
      <c r="G217" s="6" t="n">
        <v>5</v>
      </c>
      <c r="H217" s="8" t="n">
        <v>1.25</v>
      </c>
      <c r="I217" s="8" t="n">
        <v>6.25</v>
      </c>
      <c r="J217" s="9" t="n"/>
      <c r="K217" s="9" t="n"/>
      <c r="L217" s="16" t="n"/>
      <c r="M217" s="17">
        <f>IFERROR(IF(K217="",G217,K217)*IF(L217="",H217,L217),"")</f>
        <v/>
      </c>
      <c r="N217" s="9" t="n"/>
      <c r="O217" s="9" t="n"/>
      <c r="P217" s="10" t="n"/>
    </row>
    <row r="218">
      <c r="A218" s="6" t="n">
        <v>972</v>
      </c>
      <c r="B218" s="7" t="inlineStr">
        <is>
          <t>INV/2025/00007</t>
        </is>
      </c>
      <c r="C218" s="6" t="inlineStr">
        <is>
          <t>2025-02-26</t>
        </is>
      </c>
      <c r="D218" s="6" t="n">
        <v>9</v>
      </c>
      <c r="E218" s="6" t="inlineStr">
        <is>
          <t>701637</t>
        </is>
      </c>
      <c r="F218" s="7" t="inlineStr">
        <is>
          <t>[701637] جالون اس بي ار SBR تجاري</t>
        </is>
      </c>
      <c r="G218" s="6" t="n">
        <v>2</v>
      </c>
      <c r="H218" s="8" t="n">
        <v>5</v>
      </c>
      <c r="I218" s="8" t="n">
        <v>10</v>
      </c>
      <c r="J218" s="9" t="n"/>
      <c r="K218" s="9" t="n"/>
      <c r="L218" s="16" t="n"/>
      <c r="M218" s="17">
        <f>IFERROR(IF(K218="",G218,K218)*IF(L218="",H218,L218),"")</f>
        <v/>
      </c>
      <c r="N218" s="9" t="n"/>
      <c r="O218" s="9" t="n"/>
      <c r="P218" s="10" t="n"/>
    </row>
    <row r="219">
      <c r="A219" s="6" t="n">
        <v>973</v>
      </c>
      <c r="B219" s="7" t="inlineStr">
        <is>
          <t>INV/2025/00007</t>
        </is>
      </c>
      <c r="C219" s="6" t="inlineStr">
        <is>
          <t>2025-02-26</t>
        </is>
      </c>
      <c r="D219" s="6" t="n">
        <v>10</v>
      </c>
      <c r="E219" s="6" t="inlineStr">
        <is>
          <t>900919</t>
        </is>
      </c>
      <c r="F219" s="7" t="inlineStr">
        <is>
          <t>[900919] مكنسة ناعمة مع عصا زان</t>
        </is>
      </c>
      <c r="G219" s="6" t="n">
        <v>2</v>
      </c>
      <c r="H219" s="8" t="n">
        <v>2</v>
      </c>
      <c r="I219" s="8" t="n">
        <v>4</v>
      </c>
      <c r="J219" s="9" t="n"/>
      <c r="K219" s="9" t="n"/>
      <c r="L219" s="16" t="n"/>
      <c r="M219" s="17">
        <f>IFERROR(IF(K219="",G219,K219)*IF(L219="",H219,L219),"")</f>
        <v/>
      </c>
      <c r="N219" s="9" t="n"/>
      <c r="O219" s="9" t="n"/>
      <c r="P219" s="10" t="n"/>
    </row>
    <row r="220">
      <c r="A220" s="6" t="n">
        <v>975</v>
      </c>
      <c r="B220" s="7" t="inlineStr">
        <is>
          <t>INV/2025/00008</t>
        </is>
      </c>
      <c r="C220" s="6" t="inlineStr">
        <is>
          <t>2025-04-16</t>
        </is>
      </c>
      <c r="D220" s="6" t="n">
        <v>1</v>
      </c>
      <c r="E220" s="6" t="inlineStr">
        <is>
          <t>600167</t>
        </is>
      </c>
      <c r="F220" s="7" t="inlineStr">
        <is>
          <t>وصلة كهرباء بلغاري — السعر 4.000 ← 4.500 بقرار صاحب المحل</t>
        </is>
      </c>
      <c r="G220" s="6" t="n">
        <v>1</v>
      </c>
      <c r="H220" s="8" t="n">
        <v>4.5</v>
      </c>
      <c r="I220" s="8" t="n">
        <v>4.5</v>
      </c>
      <c r="J220" s="9" t="n"/>
      <c r="K220" s="9" t="n"/>
      <c r="L220" s="16" t="n"/>
      <c r="M220" s="17">
        <f>IFERROR(IF(K220="",G220,K220)*IF(L220="",H220,L220),"")</f>
        <v/>
      </c>
      <c r="N220" s="9" t="n"/>
      <c r="O220" s="9" t="n"/>
      <c r="P220" s="10" t="n"/>
    </row>
    <row r="221">
      <c r="A221" s="6" t="n">
        <v>976</v>
      </c>
      <c r="B221" s="7" t="inlineStr">
        <is>
          <t>INV/2025/00008</t>
        </is>
      </c>
      <c r="C221" s="6" t="inlineStr">
        <is>
          <t>2025-04-16</t>
        </is>
      </c>
      <c r="D221" s="6" t="n">
        <v>2</v>
      </c>
      <c r="E221" s="6" t="inlineStr">
        <is>
          <t>702729</t>
        </is>
      </c>
      <c r="F221" s="7" t="inlineStr">
        <is>
          <t>[702729] عظمة وصلة كهرباء صيني</t>
        </is>
      </c>
      <c r="G221" s="6" t="n">
        <v>1</v>
      </c>
      <c r="H221" s="8" t="n">
        <v>3</v>
      </c>
      <c r="I221" s="8" t="n">
        <v>3</v>
      </c>
      <c r="J221" s="9" t="n"/>
      <c r="K221" s="9" t="n"/>
      <c r="L221" s="16" t="n"/>
      <c r="M221" s="17">
        <f>IFERROR(IF(K221="",G221,K221)*IF(L221="",H221,L221),"")</f>
        <v/>
      </c>
      <c r="N221" s="9" t="n"/>
      <c r="O221" s="9" t="n"/>
      <c r="P221" s="10" t="n"/>
    </row>
    <row r="222">
      <c r="A222" s="6" t="n">
        <v>977</v>
      </c>
      <c r="B222" s="7" t="inlineStr">
        <is>
          <t>INV/2025/00008</t>
        </is>
      </c>
      <c r="C222" s="6" t="inlineStr">
        <is>
          <t>2025-04-16</t>
        </is>
      </c>
      <c r="D222" s="6" t="n">
        <v>3</v>
      </c>
      <c r="E222" s="6" t="inlineStr">
        <is>
          <t>700477</t>
        </is>
      </c>
      <c r="F222" s="7" t="inlineStr">
        <is>
          <t>[700477] سلك بناء اسود ناعم</t>
        </is>
      </c>
      <c r="G222" s="6" t="n">
        <v>3</v>
      </c>
      <c r="H222" s="8" t="n">
        <v>1.9</v>
      </c>
      <c r="I222" s="8" t="n">
        <v>5.7</v>
      </c>
      <c r="J222" s="9" t="n"/>
      <c r="K222" s="9" t="n"/>
      <c r="L222" s="16" t="n"/>
      <c r="M222" s="17">
        <f>IFERROR(IF(K222="",G222,K222)*IF(L222="",H222,L222),"")</f>
        <v/>
      </c>
      <c r="N222" s="9" t="n"/>
      <c r="O222" s="9" t="n"/>
      <c r="P222" s="10" t="n"/>
    </row>
    <row r="223">
      <c r="A223" s="6" t="n">
        <v>978</v>
      </c>
      <c r="B223" s="7" t="inlineStr">
        <is>
          <t>INV/2025/00008</t>
        </is>
      </c>
      <c r="C223" s="6" t="inlineStr">
        <is>
          <t>2025-04-16</t>
        </is>
      </c>
      <c r="D223" s="6" t="n">
        <v>4</v>
      </c>
      <c r="E223" s="6" t="inlineStr">
        <is>
          <t>900036</t>
        </is>
      </c>
      <c r="F223" s="7" t="inlineStr">
        <is>
          <t>[900036] سلك مجدول اسود</t>
        </is>
      </c>
      <c r="G223" s="6" t="n">
        <v>2</v>
      </c>
      <c r="H223" s="8" t="n">
        <v>1.95</v>
      </c>
      <c r="I223" s="8" t="n">
        <v>3.9</v>
      </c>
      <c r="J223" s="9" t="n"/>
      <c r="K223" s="9" t="n"/>
      <c r="L223" s="16" t="n"/>
      <c r="M223" s="17">
        <f>IFERROR(IF(K223="",G223,K223)*IF(L223="",H223,L223),"")</f>
        <v/>
      </c>
      <c r="N223" s="9" t="n"/>
      <c r="O223" s="9" t="n"/>
      <c r="P223" s="10" t="n"/>
    </row>
    <row r="224">
      <c r="A224" s="6" t="n">
        <v>979</v>
      </c>
      <c r="B224" s="7" t="inlineStr">
        <is>
          <t>INV/2025/00008</t>
        </is>
      </c>
      <c r="C224" s="6" t="inlineStr">
        <is>
          <t>2025-04-16</t>
        </is>
      </c>
      <c r="D224" s="6" t="n">
        <v>5</v>
      </c>
      <c r="E224" s="6" t="inlineStr">
        <is>
          <t>701173</t>
        </is>
      </c>
      <c r="F224" s="7" t="inlineStr">
        <is>
          <t>[701173] بربيش ماء شفاف 3/4×25 متر كريستال</t>
        </is>
      </c>
      <c r="G224" s="6" t="n">
        <v>1</v>
      </c>
      <c r="H224" s="8" t="n">
        <v>25</v>
      </c>
      <c r="I224" s="8" t="n">
        <v>25</v>
      </c>
      <c r="J224" s="9" t="n"/>
      <c r="K224" s="9" t="n"/>
      <c r="L224" s="16" t="n"/>
      <c r="M224" s="17">
        <f>IFERROR(IF(K224="",G224,K224)*IF(L224="",H224,L224),"")</f>
        <v/>
      </c>
      <c r="N224" s="9" t="n"/>
      <c r="O224" s="9" t="n"/>
      <c r="P224" s="10" t="n"/>
    </row>
    <row r="225">
      <c r="A225" s="6" t="n">
        <v>980</v>
      </c>
      <c r="B225" s="7" t="inlineStr">
        <is>
          <t>INV/2025/00008</t>
        </is>
      </c>
      <c r="C225" s="6" t="inlineStr">
        <is>
          <t>2025-04-16</t>
        </is>
      </c>
      <c r="D225" s="6" t="n">
        <v>6</v>
      </c>
      <c r="E225" s="6" t="inlineStr">
        <is>
          <t>702010</t>
        </is>
      </c>
      <c r="F225" s="7" t="inlineStr">
        <is>
          <t>سلك كهرباء كيبل 2×2.5 ملم — سعر المتر — السعر 0.750 ← 0.800 بقرار صاحب المحل</t>
        </is>
      </c>
      <c r="G225" s="6" t="n">
        <v>24</v>
      </c>
      <c r="H225" s="8" t="n">
        <v>0.8</v>
      </c>
      <c r="I225" s="8" t="n">
        <v>19.2</v>
      </c>
      <c r="J225" s="9" t="n"/>
      <c r="K225" s="9" t="n"/>
      <c r="L225" s="16" t="n"/>
      <c r="M225" s="17">
        <f>IFERROR(IF(K225="",G225,K225)*IF(L225="",H225,L225),"")</f>
        <v/>
      </c>
      <c r="N225" s="9" t="n"/>
      <c r="O225" s="9" t="n"/>
      <c r="P225" s="10" t="n"/>
    </row>
    <row r="226">
      <c r="A226" s="6" t="n">
        <v>981</v>
      </c>
      <c r="B226" s="7" t="inlineStr">
        <is>
          <t>INV/2025/00008</t>
        </is>
      </c>
      <c r="C226" s="6" t="inlineStr">
        <is>
          <t>2025-04-16</t>
        </is>
      </c>
      <c r="D226" s="6" t="n">
        <v>7</v>
      </c>
      <c r="E226" s="6" t="inlineStr">
        <is>
          <t>600092</t>
        </is>
      </c>
      <c r="F226" s="7" t="inlineStr">
        <is>
          <t>[600092] وصلة كهرباء ربر مع سدات</t>
        </is>
      </c>
      <c r="G226" s="6" t="n">
        <v>1</v>
      </c>
      <c r="H226" s="8" t="n">
        <v>5.5</v>
      </c>
      <c r="I226" s="8" t="n">
        <v>5.5</v>
      </c>
      <c r="J226" s="9" t="n"/>
      <c r="K226" s="9" t="n"/>
      <c r="L226" s="16" t="n"/>
      <c r="M226" s="17">
        <f>IFERROR(IF(K226="",G226,K226)*IF(L226="",H226,L226),"")</f>
        <v/>
      </c>
      <c r="N226" s="9" t="n"/>
      <c r="O226" s="9" t="n"/>
      <c r="P226" s="10" t="n"/>
    </row>
    <row r="227">
      <c r="A227" s="6" t="n">
        <v>982</v>
      </c>
      <c r="B227" s="7" t="inlineStr">
        <is>
          <t>INV/2025/00008</t>
        </is>
      </c>
      <c r="C227" s="6" t="inlineStr">
        <is>
          <t>2025-04-16</t>
        </is>
      </c>
      <c r="D227" s="6" t="n">
        <v>8</v>
      </c>
      <c r="E227" s="6" t="inlineStr">
        <is>
          <t>700638</t>
        </is>
      </c>
      <c r="F227" s="7" t="inlineStr">
        <is>
          <t>[700638] اسطوانة قص حديد 9"</t>
        </is>
      </c>
      <c r="G227" s="6" t="n">
        <v>10</v>
      </c>
      <c r="H227" s="8" t="n">
        <v>2</v>
      </c>
      <c r="I227" s="8" t="n">
        <v>20</v>
      </c>
      <c r="J227" s="9" t="n"/>
      <c r="K227" s="9" t="n"/>
      <c r="L227" s="16" t="n"/>
      <c r="M227" s="17">
        <f>IFERROR(IF(K227="",G227,K227)*IF(L227="",H227,L227),"")</f>
        <v/>
      </c>
      <c r="N227" s="9" t="n"/>
      <c r="O227" s="9" t="n"/>
      <c r="P227" s="10" t="n"/>
    </row>
    <row r="228">
      <c r="A228" s="6" t="n">
        <v>983</v>
      </c>
      <c r="B228" s="7" t="inlineStr">
        <is>
          <t>INV/2025/00008</t>
        </is>
      </c>
      <c r="C228" s="6" t="inlineStr">
        <is>
          <t>2025-04-16</t>
        </is>
      </c>
      <c r="D228" s="6" t="n">
        <v>9</v>
      </c>
      <c r="E228" s="6" t="inlineStr">
        <is>
          <t>900070</t>
        </is>
      </c>
      <c r="F228" s="7" t="inlineStr">
        <is>
          <t>[900070] مسمار بناء 6 سم</t>
        </is>
      </c>
      <c r="G228" s="6" t="n">
        <v>3</v>
      </c>
      <c r="H228" s="8" t="n">
        <v>1.95</v>
      </c>
      <c r="I228" s="8" t="n">
        <v>5.85</v>
      </c>
      <c r="J228" s="9" t="n"/>
      <c r="K228" s="9" t="n"/>
      <c r="L228" s="16" t="n"/>
      <c r="M228" s="17">
        <f>IFERROR(IF(K228="",G228,K228)*IF(L228="",H228,L228),"")</f>
        <v/>
      </c>
      <c r="N228" s="9" t="n"/>
      <c r="O228" s="9" t="n"/>
      <c r="P228" s="10" t="n"/>
    </row>
    <row r="229">
      <c r="A229" s="6" t="n">
        <v>984</v>
      </c>
      <c r="B229" s="7" t="inlineStr">
        <is>
          <t>INV/2025/00008</t>
        </is>
      </c>
      <c r="C229" s="6" t="inlineStr">
        <is>
          <t>2025-04-16</t>
        </is>
      </c>
      <c r="D229" s="6" t="n">
        <v>10</v>
      </c>
      <c r="E229" s="6" t="inlineStr">
        <is>
          <t>900069</t>
        </is>
      </c>
      <c r="F229" s="7" t="inlineStr">
        <is>
          <t>[900069] مسمار بناء 10 سم</t>
        </is>
      </c>
      <c r="G229" s="6" t="n">
        <v>5</v>
      </c>
      <c r="H229" s="8" t="n">
        <v>1.95</v>
      </c>
      <c r="I229" s="8" t="n">
        <v>9.75</v>
      </c>
      <c r="J229" s="9" t="n"/>
      <c r="K229" s="9" t="n"/>
      <c r="L229" s="16" t="n"/>
      <c r="M229" s="17">
        <f>IFERROR(IF(K229="",G229,K229)*IF(L229="",H229,L229),"")</f>
        <v/>
      </c>
      <c r="N229" s="9" t="n"/>
      <c r="O229" s="9" t="n"/>
      <c r="P229" s="10" t="n"/>
    </row>
    <row r="230">
      <c r="A230" s="6" t="n">
        <v>985</v>
      </c>
      <c r="B230" s="7" t="inlineStr">
        <is>
          <t>INV/2025/00008</t>
        </is>
      </c>
      <c r="C230" s="6" t="inlineStr">
        <is>
          <t>2025-04-16</t>
        </is>
      </c>
      <c r="D230" s="6" t="n">
        <v>11</v>
      </c>
      <c r="E230" s="6" t="inlineStr">
        <is>
          <t>900921</t>
        </is>
      </c>
      <c r="F230" s="7" t="inlineStr">
        <is>
          <t>[900921] تب كهرباء فيتنامي/ياباني</t>
        </is>
      </c>
      <c r="G230" s="6" t="n">
        <v>2</v>
      </c>
      <c r="H230" s="8" t="n">
        <v>0.25</v>
      </c>
      <c r="I230" s="8" t="n">
        <v>0.5</v>
      </c>
      <c r="J230" s="9" t="n"/>
      <c r="K230" s="9" t="n"/>
      <c r="L230" s="16" t="n"/>
      <c r="M230" s="17">
        <f>IFERROR(IF(K230="",G230,K230)*IF(L230="",H230,L230),"")</f>
        <v/>
      </c>
      <c r="N230" s="9" t="n"/>
      <c r="O230" s="9" t="n"/>
      <c r="P230" s="10" t="n"/>
    </row>
    <row r="231">
      <c r="A231" s="6" t="n">
        <v>986</v>
      </c>
      <c r="B231" s="7" t="inlineStr">
        <is>
          <t>INV/2025/00008</t>
        </is>
      </c>
      <c r="C231" s="6" t="inlineStr">
        <is>
          <t>2025-04-16</t>
        </is>
      </c>
      <c r="D231" s="6" t="n">
        <v>12</v>
      </c>
      <c r="E231" s="6" t="inlineStr">
        <is>
          <t>100485</t>
        </is>
      </c>
      <c r="F231" s="7" t="inlineStr">
        <is>
          <t>[100485] مفك تست كهرباء 14 سم الماني</t>
        </is>
      </c>
      <c r="G231" s="6" t="n">
        <v>1</v>
      </c>
      <c r="H231" s="8" t="n">
        <v>1</v>
      </c>
      <c r="I231" s="8" t="n">
        <v>1</v>
      </c>
      <c r="J231" s="9" t="n"/>
      <c r="K231" s="9" t="n"/>
      <c r="L231" s="16" t="n"/>
      <c r="M231" s="17">
        <f>IFERROR(IF(K231="",G231,K231)*IF(L231="",H231,L231),"")</f>
        <v/>
      </c>
      <c r="N231" s="9" t="n"/>
      <c r="O231" s="9" t="n"/>
      <c r="P231" s="10" t="n"/>
    </row>
    <row r="232">
      <c r="A232" s="6" t="n">
        <v>987</v>
      </c>
      <c r="B232" s="7" t="inlineStr">
        <is>
          <t>INV/2025/00008</t>
        </is>
      </c>
      <c r="C232" s="6" t="inlineStr">
        <is>
          <t>2025-04-16</t>
        </is>
      </c>
      <c r="D232" s="6" t="n">
        <v>13</v>
      </c>
      <c r="E232" s="6" t="inlineStr">
        <is>
          <t>701642</t>
        </is>
      </c>
      <c r="F232" s="7" t="inlineStr">
        <is>
          <t>[701642] جالون اس بي ار SBR تيراكو</t>
        </is>
      </c>
      <c r="G232" s="6" t="n">
        <v>2</v>
      </c>
      <c r="H232" s="8" t="n">
        <v>6</v>
      </c>
      <c r="I232" s="8" t="n">
        <v>12</v>
      </c>
      <c r="J232" s="9" t="n"/>
      <c r="K232" s="9" t="n"/>
      <c r="L232" s="16" t="n"/>
      <c r="M232" s="17">
        <f>IFERROR(IF(K232="",G232,K232)*IF(L232="",H232,L232),"")</f>
        <v/>
      </c>
      <c r="N232" s="9" t="n"/>
      <c r="O232" s="9" t="n"/>
      <c r="P232" s="10" t="n"/>
    </row>
    <row r="233">
      <c r="F233" s="11" t="inlineStr">
        <is>
          <t>المجموع</t>
        </is>
      </c>
      <c r="I233" s="12">
        <f>SUM(I3:I232)</f>
        <v/>
      </c>
      <c r="M233" s="12">
        <f>SUM(M3:M232)</f>
        <v/>
      </c>
    </row>
  </sheetData>
  <dataValidations count="1">
    <dataValidation sqref="N3:N232 O3:O232" showDropDown="0" showInputMessage="0" showErrorMessage="0" allowBlank="1" type="list">
      <formula1>"نعم"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2026-09-18T16:09:25Z</dcterms:created>
  <dcterms:modified xsi:type="dcterms:W3CDTF">2026-09-18T16:09:25Z</dcterms:modified>
</cp:coreProperties>
</file>