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وظفين" sheetId="1" state="visible" r:id="rId3"/>
    <sheet name="الأرصدة الافتتاحية" sheetId="2" state="visible" r:id="rId4"/>
    <sheet name="السقوف" sheetId="3" state="visible" r:id="rId5"/>
    <sheet name="المهام" sheetId="4" state="visible" r:id="rId6"/>
    <sheet name="التعليم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FreeSans"/>
            <family val="2"/>
          </rPr>
          <t xml:space="preserve">المطلوب: أجر الـ</t>
        </r>
        <r>
          <rPr>
            <sz val="10"/>
            <rFont val="Arial"/>
            <family val="2"/>
          </rPr>
          <t xml:space="preserve">10 أيام كاملة (مش شهري ومش يومي).</t>
        </r>
      </text>
    </comment>
    <comment ref="D7" authorId="0">
      <text>
        <r>
          <rPr>
            <sz val="10"/>
            <rFont val="FreeSans"/>
            <family val="2"/>
          </rPr>
          <t xml:space="preserve">المطلوب: أجر الأسبوع كاملاً</t>
        </r>
        <r>
          <rPr>
            <sz val="10"/>
            <rFont val="Arial"/>
            <family val="2"/>
          </rPr>
          <t xml:space="preserve">.</t>
        </r>
      </text>
    </comment>
    <comment ref="D8" authorId="0">
      <text>
        <r>
          <rPr>
            <sz val="10"/>
            <rFont val="FreeSans"/>
            <family val="2"/>
          </rPr>
          <t xml:space="preserve">المطلوب: أجر اليوم الواحد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<sst xmlns="http://schemas.openxmlformats.org/spreadsheetml/2006/main" count="126" uniqueCount="108">
  <si>
    <t xml:space="preserve">١) الموظفون — محلات العون لمواد البناء</t>
  </si>
  <si>
    <t xml:space="preserve">سطر لكل موظف. عمال المهام: سطر لكل عامل بالاسم (الأجر يُترك فاضياً — كل مهمة بسعرها من ورقة «المهام»).</t>
  </si>
  <si>
    <t xml:space="preserve">🟨 خلية صفراء = تتعبّى   ⬜ رمادية = تنحسب لحالها   ⚪ بيضاء = اختياري</t>
  </si>
  <si>
    <t xml:space="preserve">#</t>
  </si>
  <si>
    <t xml:space="preserve">الاسم</t>
  </si>
  <si>
    <t xml:space="preserve">النوع</t>
  </si>
  <si>
    <t xml:space="preserve">الأجر (دينار)</t>
  </si>
  <si>
    <t xml:space="preserve">الأجر لكل</t>
  </si>
  <si>
    <t xml:space="preserve">يوم القبض</t>
  </si>
  <si>
    <t xml:space="preserve">الهاتف</t>
  </si>
  <si>
    <t xml:space="preserve">تاريخ البدء</t>
  </si>
  <si>
    <t xml:space="preserve">ملاحظات</t>
  </si>
  <si>
    <t xml:space="preserve">المدير</t>
  </si>
  <si>
    <t xml:space="preserve">دائم كل 10 أيام</t>
  </si>
  <si>
    <t xml:space="preserve">10 أيام</t>
  </si>
  <si>
    <t xml:space="preserve">الأجر ويوم القبض</t>
  </si>
  <si>
    <t xml:space="preserve">عمر المصري</t>
  </si>
  <si>
    <t xml:space="preserve">دائم أسبوعي</t>
  </si>
  <si>
    <t xml:space="preserve">أسبوع</t>
  </si>
  <si>
    <t xml:space="preserve">عبدالعزيز</t>
  </si>
  <si>
    <t xml:space="preserve">مياومة</t>
  </si>
  <si>
    <t xml:space="preserve">يوم</t>
  </si>
  <si>
    <t xml:space="preserve">آخر يوم دوام</t>
  </si>
  <si>
    <t xml:space="preserve">أجر اليوم — يقبض نهاية كل يوم بيجي فيه</t>
  </si>
  <si>
    <t xml:space="preserve">عامل مهام</t>
  </si>
  <si>
    <t xml:space="preserve">مهمة</t>
  </si>
  <si>
    <t xml:space="preserve">عند التسليم</t>
  </si>
  <si>
    <t xml:space="preserve">اكتب اسم كل عامل مهام بسطر</t>
  </si>
  <si>
    <t xml:space="preserve">مثال للتعبئة (مش بيانات حقيقية): «عمر المصري · دائم أسبوعي · 100.000 · أسبوع · الخميس · 079xxxxxxx · 01/01/2026»</t>
  </si>
  <si>
    <t xml:space="preserve">٢) الأرصدة الافتتاحية — شو على كل موظف اليوم</t>
  </si>
  <si>
    <t xml:space="preserve">سطر لكل سلفة أو دين أو بضاعة قائمة الآن. السلفة العادية اللي بتنخصم كلها آخر الأسبوع: القسط = الأصل. البضاعة: اكتب وصفها بالملاحظات وسعرها اللي انحسب عليه.</t>
  </si>
  <si>
    <t xml:space="preserve">الموظف</t>
  </si>
  <si>
    <t xml:space="preserve">التاريخ</t>
  </si>
  <si>
    <t xml:space="preserve">الأصل (دينار)</t>
  </si>
  <si>
    <t xml:space="preserve">المسدَّد لحد اليوم</t>
  </si>
  <si>
    <t xml:space="preserve">المتبقي</t>
  </si>
  <si>
    <t xml:space="preserve">القسط</t>
  </si>
  <si>
    <t xml:space="preserve">القسط كل</t>
  </si>
  <si>
    <t xml:space="preserve">ملاحظات / وصف البضاعة</t>
  </si>
  <si>
    <t xml:space="preserve">ملخص المتبقي على كل موظف (ينحسب لحاله)</t>
  </si>
  <si>
    <t xml:space="preserve">سلف</t>
  </si>
  <si>
    <t xml:space="preserve">ديون</t>
  </si>
  <si>
    <t xml:space="preserve">بضاعة</t>
  </si>
  <si>
    <t xml:space="preserve">المجموع</t>
  </si>
  <si>
    <t xml:space="preserve">مثال للتعبئة: «عمر المصري · دين · 01/09/2026 · 200.000 · 25.000 · (يُحسب 175.000) · 25.000 · أسبوع · دين كاش»</t>
  </si>
  <si>
    <t xml:space="preserve">٣) السقوف والقواعد</t>
  </si>
  <si>
    <t xml:space="preserve">القاعدة</t>
  </si>
  <si>
    <t xml:space="preserve">القيمة</t>
  </si>
  <si>
    <t xml:space="preserve">الوحدة</t>
  </si>
  <si>
    <t xml:space="preserve">الشرح</t>
  </si>
  <si>
    <t xml:space="preserve">سقف السلفة خلال الدورة</t>
  </si>
  <si>
    <t xml:space="preserve">% من أجر الدورة</t>
  </si>
  <si>
    <t xml:space="preserve">أقصى مجموع سلف يقدر ياخذها الموظف بين قبضتين. اكتب 0 = بلا سقف (حسب تقديرك كل مرة).</t>
  </si>
  <si>
    <t xml:space="preserve">سقف مجموع الأقساط بالدورة</t>
  </si>
  <si>
    <t xml:space="preserve">أقصى نسبة تنخصم أقساطاً (دين + بضاعة) من قبضة وحدة عشان يضل يقبض شي.</t>
  </si>
  <si>
    <t xml:space="preserve">سقف الدين الإجمالي للموظف</t>
  </si>
  <si>
    <t xml:space="preserve">دينار</t>
  </si>
  <si>
    <t xml:space="preserve">أقصى رصيد مدين مسموح (دين + بضاعة قائمة). 0 = بلا سقف.</t>
  </si>
  <si>
    <t xml:space="preserve">سعر البضاعة للموظف</t>
  </si>
  <si>
    <t xml:space="preserve">سعر الجملة</t>
  </si>
  <si>
    <t xml:space="preserve">اختيار</t>
  </si>
  <si>
    <t xml:space="preserve">سعر الجملة · سعر التكلفة · سعر الكتالوج · حسب كل حالة</t>
  </si>
  <si>
    <t xml:space="preserve">السلفة بتنخصم</t>
  </si>
  <si>
    <t xml:space="preserve">كاملة بنفس الدورة</t>
  </si>
  <si>
    <t xml:space="preserve">كاملة بنفس الدورة · أو ممكن تتقسّط لو كبيرة</t>
  </si>
  <si>
    <t xml:space="preserve">إذا الصافي طلع سالب (السلف أكثر من الأجر)</t>
  </si>
  <si>
    <t xml:space="preserve">يترحّل للدورة الجاية</t>
  </si>
  <si>
    <t xml:space="preserve">يترحّل للدورة الجاية · يُحوَّل لدين بقسط</t>
  </si>
  <si>
    <t xml:space="preserve">يوم إقفال الدورة والكشف</t>
  </si>
  <si>
    <t xml:space="preserve">الخميس</t>
  </si>
  <si>
    <t xml:space="preserve">اليوم اللي بيطلعلك فيه مدير الموظفين جدول الصافي لكل موظف</t>
  </si>
  <si>
    <t xml:space="preserve">القيم المكتوبة هي اقتراحي — غيّرها براحتك. 0 = بلا سقف.</t>
  </si>
  <si>
    <t xml:space="preserve">أسعار المهام المتكررة — لعمال حسب الطلب</t>
  </si>
  <si>
    <t xml:space="preserve">قائمة المهام اللي بتتكرر وسعر كل وحدة، عشان لما تقول «تنزيل طبلية جبسمبورد – فلان» ينزل السطر بسعره لحاله. المهمة الجديدة بتنضاف وقتها.</t>
  </si>
  <si>
    <t xml:space="preserve">المهمة</t>
  </si>
  <si>
    <t xml:space="preserve">السعر (دينار)</t>
  </si>
  <si>
    <t xml:space="preserve">تنزيل طبلية جبسمبورد</t>
  </si>
  <si>
    <t xml:space="preserve">طبلية</t>
  </si>
  <si>
    <t xml:space="preserve">تنزيل طبلية اسمنت</t>
  </si>
  <si>
    <t xml:space="preserve">تحميل / تنزيل شوالات</t>
  </si>
  <si>
    <t xml:space="preserve">شوال</t>
  </si>
  <si>
    <t xml:space="preserve">توصيل بضاعة داخل المدينة</t>
  </si>
  <si>
    <t xml:space="preserve">نقلة</t>
  </si>
  <si>
    <t xml:space="preserve">تنظيف المستودع</t>
  </si>
  <si>
    <t xml:space="preserve">مقطوعية</t>
  </si>
  <si>
    <t xml:space="preserve">المهام المكتوبة أمثلة من كلامك — عدّل أو احذف أو أضف.</t>
  </si>
  <si>
    <t xml:space="preserve">كيف تتعبّى</t>
  </si>
  <si>
    <t xml:space="preserve">ورقة «الموظفين»</t>
  </si>
  <si>
    <t xml:space="preserve">1</t>
  </si>
  <si>
    <t xml:space="preserve">الأسماء الثلاثة مكتوبة من كلامك. الناقص: الأجر (الصفراء) ويوم القبض والهاتف. عمال المهام: اكتب اسم كل واحد بسطر — أجره فاضي لأنه بيتحاسب بالمهمة.</t>
  </si>
  <si>
    <t xml:space="preserve">2</t>
  </si>
  <si>
    <t xml:space="preserve">الأجر يُكتب لكامل الدورة: أجر الـ10 أيام للمدير · أجر الأسبوع لعمر · أجر اليوم لعبدالعزيز.</t>
  </si>
  <si>
    <t xml:space="preserve">ورقة «الأرصدة الافتتاحية»</t>
  </si>
  <si>
    <t xml:space="preserve">3</t>
  </si>
  <si>
    <t xml:space="preserve">كل شي قائم اليوم على أي موظف، سطر لحاله: سلفة · دين · بضاعة. الأصل والمسدَّد لحد اليوم، والمتبقي بينحسب. القسط وكل قديش.</t>
  </si>
  <si>
    <t xml:space="preserve">4</t>
  </si>
  <si>
    <t xml:space="preserve">البضاعة: اكتب وصفها وسعرها اللي انحسب عليه بالملاحظات. لو بدك، ابعتلي فاتورتها وبدخّلها كفاتورة بيع عليه.</t>
  </si>
  <si>
    <t xml:space="preserve">5</t>
  </si>
  <si>
    <t xml:space="preserve">الملخص تحت الجدول بيجمعلك لحاله شو على كل واحد.</t>
  </si>
  <si>
    <t xml:space="preserve">ورقة «السقوف»</t>
  </si>
  <si>
    <t xml:space="preserve">6</t>
  </si>
  <si>
    <t xml:space="preserve">القيم اقتراحي. غيّرها أو اكتب 0 = بلا سقف. هاي القواعد اللي بيمشي عليها مدير الموظفين تلقائياً وبينبّهك لما تنكسر.</t>
  </si>
  <si>
    <t xml:space="preserve">ورقة «المهام»</t>
  </si>
  <si>
    <t xml:space="preserve">7</t>
  </si>
  <si>
    <t xml:space="preserve">أسعار المهام المتكررة. لما تكتبلي «تنزيل طبلية جبسمبورد – محمد» بينزل السطر بسعره من هون.</t>
  </si>
  <si>
    <t xml:space="preserve">بعدها</t>
  </si>
  <si>
    <t xml:space="preserve">8</t>
  </si>
  <si>
    <t xml:space="preserve">ابعتلي الملف. بفتح لكل موظف شريكاً وسجلّاً على أودو، وبدخّل الأرصدة الافتتاحية كمسودة، وبعرضها عليك قبل الترحيل.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</si>
</sst>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0"/>
    <numFmt numFmtId="167" formatCode="dd/mm/yyyy"/>
    <numFmt numFmtId="168" formatCode="#,##0.000;[RED]\-#,##0.00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8A6A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5"/>
      <color rgb="FF1F4E6B"/>
      <name val="Arial"/>
      <family val="0"/>
      <charset val="1"/>
    </font>
    <font>
      <b val="true"/>
      <sz val="12"/>
      <color rgb="FF0F6E6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6B"/>
        <bgColor rgb="FF444444"/>
      </patternFill>
    </fill>
    <fill>
      <patternFill patternType="solid">
        <fgColor rgb="FFEDEDED"/>
        <bgColor rgb="FFF5F5F5"/>
      </patternFill>
    </fill>
    <fill>
      <patternFill patternType="solid">
        <fgColor rgb="FFFFF6CC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0F6E6E"/>
        <bgColor rgb="FF008080"/>
      </patternFill>
    </fill>
    <fill>
      <patternFill patternType="solid">
        <fgColor rgb="FFF5F5F5"/>
        <bgColor rgb="FFEDEDED"/>
      </patternFill>
    </fill>
    <fill>
      <patternFill patternType="solid">
        <fgColor rgb="FF8A6A00"/>
        <bgColor rgb="FF666666"/>
      </patternFill>
    </fill>
    <fill>
      <patternFill patternType="solid">
        <fgColor rgb="FF5B3A6B"/>
        <bgColor rgb="FF44444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5AD"/>
      </left>
      <right style="thin">
        <color rgb="FF9AA5AD"/>
      </right>
      <top style="medium">
        <color rgb="FF1F4E6B"/>
      </top>
      <bottom style="medium">
        <color rgb="FF1F4E6B"/>
      </bottom>
      <diagonal/>
    </border>
    <border diagonalUp="false" diagonalDown="false"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B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00"/>
      <rgbColor rgb="FF800080"/>
      <rgbColor rgb="FF0F6E6E"/>
      <rgbColor rgb="FFC0C0C0"/>
      <rgbColor rgb="FF808080"/>
      <rgbColor rgb="FF9999FF"/>
      <rgbColor rgb="FF993366"/>
      <rgbColor rgb="FFFFF6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66"/>
      <rgbColor rgb="FF9AA5AD"/>
      <rgbColor rgb="FF1F4E6B"/>
      <rgbColor rgb="FF339966"/>
      <rgbColor rgb="FF003300"/>
      <rgbColor rgb="FF555555"/>
      <rgbColor rgb="FF993300"/>
      <rgbColor rgb="FF993366"/>
      <rgbColor rgb="FF5B3A6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21.75" hidden="false" customHeight="true" outlineLevel="0" collapsed="false">
      <c r="A6" s="5" t="n">
        <f aca="false">IF(B6="","",ROW()-5)</f>
        <v>1</v>
      </c>
      <c r="B6" s="6" t="s">
        <v>12</v>
      </c>
      <c r="C6" s="6" t="s">
        <v>13</v>
      </c>
      <c r="D6" s="7"/>
      <c r="E6" s="6" t="s">
        <v>14</v>
      </c>
      <c r="F6" s="6"/>
      <c r="G6" s="6"/>
      <c r="H6" s="8"/>
      <c r="I6" s="9" t="s">
        <v>15</v>
      </c>
    </row>
    <row r="7" customFormat="false" ht="21.75" hidden="false" customHeight="true" outlineLevel="0" collapsed="false">
      <c r="A7" s="5" t="n">
        <f aca="false">IF(B7="","",ROW()-5)</f>
        <v>2</v>
      </c>
      <c r="B7" s="6" t="s">
        <v>16</v>
      </c>
      <c r="C7" s="6" t="s">
        <v>17</v>
      </c>
      <c r="D7" s="7"/>
      <c r="E7" s="6" t="s">
        <v>18</v>
      </c>
      <c r="F7" s="6"/>
      <c r="G7" s="6"/>
      <c r="H7" s="8"/>
      <c r="I7" s="9" t="s">
        <v>15</v>
      </c>
    </row>
    <row r="8" customFormat="false" ht="21.75" hidden="false" customHeight="true" outlineLevel="0" collapsed="false">
      <c r="A8" s="5" t="n">
        <f aca="false">IF(B8="","",ROW()-5)</f>
        <v>3</v>
      </c>
      <c r="B8" s="6" t="s">
        <v>19</v>
      </c>
      <c r="C8" s="6" t="s">
        <v>20</v>
      </c>
      <c r="D8" s="7"/>
      <c r="E8" s="6" t="s">
        <v>21</v>
      </c>
      <c r="F8" s="6" t="s">
        <v>22</v>
      </c>
      <c r="G8" s="6"/>
      <c r="H8" s="8"/>
      <c r="I8" s="9" t="s">
        <v>23</v>
      </c>
    </row>
    <row r="9" customFormat="false" ht="21.75" hidden="false" customHeight="true" outlineLevel="0" collapsed="false">
      <c r="A9" s="5" t="str">
        <f aca="false">IF(B9="","",ROW()-5)</f>
        <v/>
      </c>
      <c r="B9" s="6"/>
      <c r="C9" s="6" t="s">
        <v>24</v>
      </c>
      <c r="D9" s="7"/>
      <c r="E9" s="6" t="s">
        <v>25</v>
      </c>
      <c r="F9" s="6" t="s">
        <v>26</v>
      </c>
      <c r="G9" s="6"/>
      <c r="H9" s="8"/>
      <c r="I9" s="9" t="s">
        <v>27</v>
      </c>
    </row>
    <row r="10" customFormat="false" ht="21.75" hidden="false" customHeight="true" outlineLevel="0" collapsed="false">
      <c r="A10" s="5" t="str">
        <f aca="false">IF(B10="","",ROW()-5)</f>
        <v/>
      </c>
      <c r="B10" s="6"/>
      <c r="C10" s="6" t="s">
        <v>24</v>
      </c>
      <c r="D10" s="7"/>
      <c r="E10" s="6" t="s">
        <v>25</v>
      </c>
      <c r="F10" s="6" t="s">
        <v>26</v>
      </c>
      <c r="G10" s="6"/>
      <c r="H10" s="8"/>
      <c r="I10" s="9"/>
    </row>
    <row r="11" customFormat="false" ht="21.75" hidden="false" customHeight="true" outlineLevel="0" collapsed="false">
      <c r="A11" s="5" t="str">
        <f aca="false">IF(B11="","",ROW()-5)</f>
        <v/>
      </c>
      <c r="B11" s="6"/>
      <c r="C11" s="6"/>
      <c r="D11" s="7"/>
      <c r="E11" s="6"/>
      <c r="F11" s="6"/>
      <c r="G11" s="6"/>
      <c r="H11" s="8"/>
      <c r="I11" s="10"/>
    </row>
    <row r="12" customFormat="false" ht="21.75" hidden="false" customHeight="true" outlineLevel="0" collapsed="false">
      <c r="A12" s="5" t="str">
        <f aca="false">IF(B12="","",ROW()-5)</f>
        <v/>
      </c>
      <c r="B12" s="6"/>
      <c r="C12" s="6"/>
      <c r="D12" s="7"/>
      <c r="E12" s="6"/>
      <c r="F12" s="6"/>
      <c r="G12" s="6"/>
      <c r="H12" s="8"/>
      <c r="I12" s="10"/>
    </row>
    <row r="13" customFormat="false" ht="21.75" hidden="false" customHeight="true" outlineLevel="0" collapsed="false">
      <c r="A13" s="5" t="str">
        <f aca="false">IF(B13="","",ROW()-5)</f>
        <v/>
      </c>
      <c r="B13" s="6"/>
      <c r="C13" s="6"/>
      <c r="D13" s="7"/>
      <c r="E13" s="6"/>
      <c r="F13" s="6"/>
      <c r="G13" s="6"/>
      <c r="H13" s="8"/>
      <c r="I13" s="10"/>
    </row>
    <row r="14" customFormat="false" ht="21.75" hidden="false" customHeight="true" outlineLevel="0" collapsed="false">
      <c r="A14" s="5" t="str">
        <f aca="false">IF(B14="","",ROW()-5)</f>
        <v/>
      </c>
      <c r="B14" s="6"/>
      <c r="C14" s="6"/>
      <c r="D14" s="7"/>
      <c r="E14" s="6"/>
      <c r="F14" s="6"/>
      <c r="G14" s="6"/>
      <c r="H14" s="8"/>
      <c r="I14" s="10"/>
    </row>
    <row r="15" customFormat="false" ht="21.75" hidden="false" customHeight="true" outlineLevel="0" collapsed="false">
      <c r="A15" s="5" t="str">
        <f aca="false">IF(B15="","",ROW()-5)</f>
        <v/>
      </c>
      <c r="B15" s="6"/>
      <c r="C15" s="6"/>
      <c r="D15" s="7"/>
      <c r="E15" s="6"/>
      <c r="F15" s="6"/>
      <c r="G15" s="6"/>
      <c r="H15" s="8"/>
      <c r="I15" s="10"/>
    </row>
    <row r="16" customFormat="false" ht="21.75" hidden="false" customHeight="true" outlineLevel="0" collapsed="false">
      <c r="A16" s="5" t="str">
        <f aca="false">IF(B16="","",ROW()-5)</f>
        <v/>
      </c>
      <c r="B16" s="6"/>
      <c r="C16" s="6"/>
      <c r="D16" s="7"/>
      <c r="E16" s="6"/>
      <c r="F16" s="6"/>
      <c r="G16" s="6"/>
      <c r="H16" s="8"/>
      <c r="I16" s="10"/>
    </row>
    <row r="17" customFormat="false" ht="21.75" hidden="false" customHeight="true" outlineLevel="0" collapsed="false">
      <c r="A17" s="5" t="str">
        <f aca="false">IF(B17="","",ROW()-5)</f>
        <v/>
      </c>
      <c r="B17" s="6"/>
      <c r="C17" s="6"/>
      <c r="D17" s="7"/>
      <c r="E17" s="6"/>
      <c r="F17" s="6"/>
      <c r="G17" s="6"/>
      <c r="H17" s="8"/>
      <c r="I17" s="10"/>
    </row>
    <row r="18" customFormat="false" ht="21.75" hidden="false" customHeight="true" outlineLevel="0" collapsed="false">
      <c r="A18" s="5" t="str">
        <f aca="false">IF(B18="","",ROW()-5)</f>
        <v/>
      </c>
      <c r="B18" s="6"/>
      <c r="C18" s="6"/>
      <c r="D18" s="7"/>
      <c r="E18" s="6"/>
      <c r="F18" s="6"/>
      <c r="G18" s="6"/>
      <c r="H18" s="8"/>
      <c r="I18" s="10"/>
    </row>
    <row r="19" customFormat="false" ht="21.75" hidden="false" customHeight="true" outlineLevel="0" collapsed="false">
      <c r="A19" s="5" t="str">
        <f aca="false">IF(B19="","",ROW()-5)</f>
        <v/>
      </c>
      <c r="B19" s="6"/>
      <c r="C19" s="6"/>
      <c r="D19" s="7"/>
      <c r="E19" s="6"/>
      <c r="F19" s="6"/>
      <c r="G19" s="6"/>
      <c r="H19" s="8"/>
      <c r="I19" s="10"/>
    </row>
    <row r="20" customFormat="false" ht="21.75" hidden="false" customHeight="true" outlineLevel="0" collapsed="false">
      <c r="A20" s="5" t="str">
        <f aca="false">IF(B20="","",ROW()-5)</f>
        <v/>
      </c>
      <c r="B20" s="6"/>
      <c r="C20" s="6"/>
      <c r="D20" s="7"/>
      <c r="E20" s="6"/>
      <c r="F20" s="6"/>
      <c r="G20" s="6"/>
      <c r="H20" s="8"/>
      <c r="I20" s="10"/>
    </row>
    <row r="21" customFormat="false" ht="21.75" hidden="false" customHeight="true" outlineLevel="0" collapsed="false">
      <c r="A21" s="5" t="str">
        <f aca="false">IF(B21="","",ROW()-5)</f>
        <v/>
      </c>
      <c r="B21" s="6"/>
      <c r="C21" s="6"/>
      <c r="D21" s="7"/>
      <c r="E21" s="6"/>
      <c r="F21" s="6"/>
      <c r="G21" s="6"/>
      <c r="H21" s="8"/>
      <c r="I21" s="10"/>
    </row>
    <row r="22" customFormat="false" ht="21.75" hidden="false" customHeight="true" outlineLevel="0" collapsed="false">
      <c r="A22" s="5" t="str">
        <f aca="false">IF(B22="","",ROW()-5)</f>
        <v/>
      </c>
      <c r="B22" s="6"/>
      <c r="C22" s="6"/>
      <c r="D22" s="7"/>
      <c r="E22" s="6"/>
      <c r="F22" s="6"/>
      <c r="G22" s="6"/>
      <c r="H22" s="8"/>
      <c r="I22" s="10"/>
    </row>
    <row r="23" customFormat="false" ht="21.75" hidden="false" customHeight="true" outlineLevel="0" collapsed="false">
      <c r="A23" s="5" t="str">
        <f aca="false">IF(B23="","",ROW()-5)</f>
        <v/>
      </c>
      <c r="B23" s="6"/>
      <c r="C23" s="6"/>
      <c r="D23" s="7"/>
      <c r="E23" s="6"/>
      <c r="F23" s="6"/>
      <c r="G23" s="6"/>
      <c r="H23" s="8"/>
      <c r="I23" s="10"/>
    </row>
    <row r="24" customFormat="false" ht="21.75" hidden="false" customHeight="true" outlineLevel="0" collapsed="false">
      <c r="A24" s="5" t="str">
        <f aca="false">IF(B24="","",ROW()-5)</f>
        <v/>
      </c>
      <c r="B24" s="6"/>
      <c r="C24" s="6"/>
      <c r="D24" s="7"/>
      <c r="E24" s="6"/>
      <c r="F24" s="6"/>
      <c r="G24" s="6"/>
      <c r="H24" s="8"/>
      <c r="I24" s="10"/>
    </row>
    <row r="25" customFormat="false" ht="21.75" hidden="false" customHeight="true" outlineLevel="0" collapsed="false">
      <c r="A25" s="5" t="str">
        <f aca="false">IF(B25="","",ROW()-5)</f>
        <v/>
      </c>
      <c r="B25" s="6"/>
      <c r="C25" s="6"/>
      <c r="D25" s="7"/>
      <c r="E25" s="6"/>
      <c r="F25" s="6"/>
      <c r="G25" s="6"/>
      <c r="H25" s="8"/>
      <c r="I25" s="10"/>
    </row>
    <row r="27" customFormat="false" ht="15" hidden="false" customHeight="true" outlineLevel="0" collapsed="false">
      <c r="B27" s="11" t="s">
        <v>28</v>
      </c>
      <c r="C27" s="11"/>
      <c r="D27" s="11"/>
      <c r="E27" s="11"/>
      <c r="F27" s="11"/>
      <c r="G27" s="11"/>
      <c r="H27" s="11"/>
      <c r="I27" s="11"/>
    </row>
  </sheetData>
  <mergeCells count="4">
    <mergeCell ref="A1:I1"/>
    <mergeCell ref="A2:I2"/>
    <mergeCell ref="A3:I3"/>
    <mergeCell ref="B27:I27"/>
  </mergeCells>
  <dataValidations count="3">
    <dataValidation allowBlank="true" errorStyle="stop" operator="between" prompt="دائم أسبوعي · دائم كل 10 أيام · مياومة · عامل مهام" promptTitle="اختر" showDropDown="false" showErrorMessage="false" showInputMessage="true" sqref="C6:C25" type="list">
      <formula1>"دائم أسبوعي,دائم كل 10 أيام,مياومة,عامل مهام"</formula1>
      <formula2>0</formula2>
    </dataValidation>
    <dataValidation allowBlank="true" errorStyle="stop" operator="between" showDropDown="false" showErrorMessage="false" showInputMessage="false" sqref="E6:E25" type="list">
      <formula1>"أسبوع,10 أيام,يوم,مهمة"</formula1>
      <formula2>0</formula2>
    </dataValidation>
    <dataValidation allowBlank="true" errorStyle="stop" operator="between" showDropDown="false" showErrorMessage="false" showInputMessage="false" sqref="F6:F25" type="list">
      <formula1>"السبت,الأحد,الاثنين,الثلاثاء,الأربعاء,الخميس,الجمعة,آخر يوم دوام,عند التسليم"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2" t="s">
        <v>29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3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0" hidden="false" customHeight="true" outlineLevel="0" collapsed="false">
      <c r="A5" s="13" t="s">
        <v>3</v>
      </c>
      <c r="B5" s="13" t="s">
        <v>31</v>
      </c>
      <c r="C5" s="13" t="s">
        <v>5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38</v>
      </c>
    </row>
    <row r="6" customFormat="false" ht="21.75" hidden="false" customHeight="true" outlineLevel="0" collapsed="false">
      <c r="A6" s="5" t="str">
        <f aca="false">IF(B6="","",ROW()-5)</f>
        <v/>
      </c>
      <c r="B6" s="6"/>
      <c r="C6" s="6"/>
      <c r="D6" s="8"/>
      <c r="E6" s="7"/>
      <c r="F6" s="7"/>
      <c r="G6" s="14" t="str">
        <f aca="false">IF(E6="","",E6-F6)</f>
        <v/>
      </c>
      <c r="H6" s="7"/>
      <c r="I6" s="6"/>
      <c r="J6" s="6"/>
    </row>
    <row r="7" customFormat="false" ht="21.75" hidden="false" customHeight="true" outlineLevel="0" collapsed="false">
      <c r="A7" s="5" t="str">
        <f aca="false">IF(B7="","",ROW()-5)</f>
        <v/>
      </c>
      <c r="B7" s="6"/>
      <c r="C7" s="6"/>
      <c r="D7" s="8"/>
      <c r="E7" s="7"/>
      <c r="F7" s="7"/>
      <c r="G7" s="14" t="str">
        <f aca="false">IF(E7="","",E7-F7)</f>
        <v/>
      </c>
      <c r="H7" s="7"/>
      <c r="I7" s="6"/>
      <c r="J7" s="6"/>
    </row>
    <row r="8" customFormat="false" ht="21.75" hidden="false" customHeight="true" outlineLevel="0" collapsed="false">
      <c r="A8" s="5" t="str">
        <f aca="false">IF(B8="","",ROW()-5)</f>
        <v/>
      </c>
      <c r="B8" s="6"/>
      <c r="C8" s="6"/>
      <c r="D8" s="8"/>
      <c r="E8" s="7"/>
      <c r="F8" s="7"/>
      <c r="G8" s="14" t="str">
        <f aca="false">IF(E8="","",E8-F8)</f>
        <v/>
      </c>
      <c r="H8" s="7"/>
      <c r="I8" s="6"/>
      <c r="J8" s="6"/>
    </row>
    <row r="9" customFormat="false" ht="21.75" hidden="false" customHeight="true" outlineLevel="0" collapsed="false">
      <c r="A9" s="5" t="str">
        <f aca="false">IF(B9="","",ROW()-5)</f>
        <v/>
      </c>
      <c r="B9" s="6"/>
      <c r="C9" s="6"/>
      <c r="D9" s="8"/>
      <c r="E9" s="7"/>
      <c r="F9" s="7"/>
      <c r="G9" s="14" t="str">
        <f aca="false">IF(E9="","",E9-F9)</f>
        <v/>
      </c>
      <c r="H9" s="7"/>
      <c r="I9" s="6"/>
      <c r="J9" s="6"/>
    </row>
    <row r="10" customFormat="false" ht="21.75" hidden="false" customHeight="true" outlineLevel="0" collapsed="false">
      <c r="A10" s="5" t="str">
        <f aca="false">IF(B10="","",ROW()-5)</f>
        <v/>
      </c>
      <c r="B10" s="6"/>
      <c r="C10" s="6"/>
      <c r="D10" s="8"/>
      <c r="E10" s="7"/>
      <c r="F10" s="7"/>
      <c r="G10" s="14" t="str">
        <f aca="false">IF(E10="","",E10-F10)</f>
        <v/>
      </c>
      <c r="H10" s="7"/>
      <c r="I10" s="6"/>
      <c r="J10" s="6"/>
    </row>
    <row r="11" customFormat="false" ht="21.75" hidden="false" customHeight="true" outlineLevel="0" collapsed="false">
      <c r="A11" s="5" t="str">
        <f aca="false">IF(B11="","",ROW()-5)</f>
        <v/>
      </c>
      <c r="B11" s="6"/>
      <c r="C11" s="6"/>
      <c r="D11" s="8"/>
      <c r="E11" s="7"/>
      <c r="F11" s="7"/>
      <c r="G11" s="14" t="str">
        <f aca="false">IF(E11="","",E11-F11)</f>
        <v/>
      </c>
      <c r="H11" s="7"/>
      <c r="I11" s="6"/>
      <c r="J11" s="6"/>
    </row>
    <row r="12" customFormat="false" ht="21.75" hidden="false" customHeight="true" outlineLevel="0" collapsed="false">
      <c r="A12" s="5" t="str">
        <f aca="false">IF(B12="","",ROW()-5)</f>
        <v/>
      </c>
      <c r="B12" s="6"/>
      <c r="C12" s="6"/>
      <c r="D12" s="8"/>
      <c r="E12" s="7"/>
      <c r="F12" s="7"/>
      <c r="G12" s="14" t="str">
        <f aca="false">IF(E12="","",E12-F12)</f>
        <v/>
      </c>
      <c r="H12" s="7"/>
      <c r="I12" s="6"/>
      <c r="J12" s="6"/>
    </row>
    <row r="13" customFormat="false" ht="21.75" hidden="false" customHeight="true" outlineLevel="0" collapsed="false">
      <c r="A13" s="5" t="str">
        <f aca="false">IF(B13="","",ROW()-5)</f>
        <v/>
      </c>
      <c r="B13" s="6"/>
      <c r="C13" s="6"/>
      <c r="D13" s="8"/>
      <c r="E13" s="7"/>
      <c r="F13" s="7"/>
      <c r="G13" s="14" t="str">
        <f aca="false">IF(E13="","",E13-F13)</f>
        <v/>
      </c>
      <c r="H13" s="7"/>
      <c r="I13" s="6"/>
      <c r="J13" s="6"/>
    </row>
    <row r="14" customFormat="false" ht="21.75" hidden="false" customHeight="true" outlineLevel="0" collapsed="false">
      <c r="A14" s="5" t="str">
        <f aca="false">IF(B14="","",ROW()-5)</f>
        <v/>
      </c>
      <c r="B14" s="6"/>
      <c r="C14" s="6"/>
      <c r="D14" s="8"/>
      <c r="E14" s="7"/>
      <c r="F14" s="7"/>
      <c r="G14" s="14" t="str">
        <f aca="false">IF(E14="","",E14-F14)</f>
        <v/>
      </c>
      <c r="H14" s="7"/>
      <c r="I14" s="6"/>
      <c r="J14" s="6"/>
    </row>
    <row r="15" customFormat="false" ht="21.75" hidden="false" customHeight="true" outlineLevel="0" collapsed="false">
      <c r="A15" s="5" t="str">
        <f aca="false">IF(B15="","",ROW()-5)</f>
        <v/>
      </c>
      <c r="B15" s="6"/>
      <c r="C15" s="6"/>
      <c r="D15" s="8"/>
      <c r="E15" s="7"/>
      <c r="F15" s="7"/>
      <c r="G15" s="14" t="str">
        <f aca="false">IF(E15="","",E15-F15)</f>
        <v/>
      </c>
      <c r="H15" s="7"/>
      <c r="I15" s="6"/>
      <c r="J15" s="6"/>
    </row>
    <row r="16" customFormat="false" ht="21.75" hidden="false" customHeight="true" outlineLevel="0" collapsed="false">
      <c r="A16" s="5" t="str">
        <f aca="false">IF(B16="","",ROW()-5)</f>
        <v/>
      </c>
      <c r="B16" s="6"/>
      <c r="C16" s="6"/>
      <c r="D16" s="8"/>
      <c r="E16" s="7"/>
      <c r="F16" s="7"/>
      <c r="G16" s="14" t="str">
        <f aca="false">IF(E16="","",E16-F16)</f>
        <v/>
      </c>
      <c r="H16" s="7"/>
      <c r="I16" s="6"/>
      <c r="J16" s="6"/>
    </row>
    <row r="17" customFormat="false" ht="21.75" hidden="false" customHeight="true" outlineLevel="0" collapsed="false">
      <c r="A17" s="5" t="str">
        <f aca="false">IF(B17="","",ROW()-5)</f>
        <v/>
      </c>
      <c r="B17" s="6"/>
      <c r="C17" s="6"/>
      <c r="D17" s="8"/>
      <c r="E17" s="7"/>
      <c r="F17" s="7"/>
      <c r="G17" s="14" t="str">
        <f aca="false">IF(E17="","",E17-F17)</f>
        <v/>
      </c>
      <c r="H17" s="7"/>
      <c r="I17" s="6"/>
      <c r="J17" s="6"/>
    </row>
    <row r="18" customFormat="false" ht="21.75" hidden="false" customHeight="true" outlineLevel="0" collapsed="false">
      <c r="A18" s="5" t="str">
        <f aca="false">IF(B18="","",ROW()-5)</f>
        <v/>
      </c>
      <c r="B18" s="6"/>
      <c r="C18" s="6"/>
      <c r="D18" s="8"/>
      <c r="E18" s="7"/>
      <c r="F18" s="7"/>
      <c r="G18" s="14" t="str">
        <f aca="false">IF(E18="","",E18-F18)</f>
        <v/>
      </c>
      <c r="H18" s="7"/>
      <c r="I18" s="6"/>
      <c r="J18" s="6"/>
    </row>
    <row r="19" customFormat="false" ht="21.75" hidden="false" customHeight="true" outlineLevel="0" collapsed="false">
      <c r="A19" s="5" t="str">
        <f aca="false">IF(B19="","",ROW()-5)</f>
        <v/>
      </c>
      <c r="B19" s="6"/>
      <c r="C19" s="6"/>
      <c r="D19" s="8"/>
      <c r="E19" s="7"/>
      <c r="F19" s="7"/>
      <c r="G19" s="14" t="str">
        <f aca="false">IF(E19="","",E19-F19)</f>
        <v/>
      </c>
      <c r="H19" s="7"/>
      <c r="I19" s="6"/>
      <c r="J19" s="6"/>
    </row>
    <row r="20" customFormat="false" ht="21.75" hidden="false" customHeight="true" outlineLevel="0" collapsed="false">
      <c r="A20" s="5" t="str">
        <f aca="false">IF(B20="","",ROW()-5)</f>
        <v/>
      </c>
      <c r="B20" s="6"/>
      <c r="C20" s="6"/>
      <c r="D20" s="8"/>
      <c r="E20" s="7"/>
      <c r="F20" s="7"/>
      <c r="G20" s="14" t="str">
        <f aca="false">IF(E20="","",E20-F20)</f>
        <v/>
      </c>
      <c r="H20" s="7"/>
      <c r="I20" s="6"/>
      <c r="J20" s="6"/>
    </row>
    <row r="21" customFormat="false" ht="21.75" hidden="false" customHeight="true" outlineLevel="0" collapsed="false">
      <c r="A21" s="5" t="str">
        <f aca="false">IF(B21="","",ROW()-5)</f>
        <v/>
      </c>
      <c r="B21" s="6"/>
      <c r="C21" s="6"/>
      <c r="D21" s="8"/>
      <c r="E21" s="7"/>
      <c r="F21" s="7"/>
      <c r="G21" s="14" t="str">
        <f aca="false">IF(E21="","",E21-F21)</f>
        <v/>
      </c>
      <c r="H21" s="7"/>
      <c r="I21" s="6"/>
      <c r="J21" s="6"/>
    </row>
    <row r="22" customFormat="false" ht="21.75" hidden="false" customHeight="true" outlineLevel="0" collapsed="false">
      <c r="A22" s="5" t="str">
        <f aca="false">IF(B22="","",ROW()-5)</f>
        <v/>
      </c>
      <c r="B22" s="6"/>
      <c r="C22" s="6"/>
      <c r="D22" s="8"/>
      <c r="E22" s="7"/>
      <c r="F22" s="7"/>
      <c r="G22" s="14" t="str">
        <f aca="false">IF(E22="","",E22-F22)</f>
        <v/>
      </c>
      <c r="H22" s="7"/>
      <c r="I22" s="6"/>
      <c r="J22" s="6"/>
    </row>
    <row r="23" customFormat="false" ht="21.75" hidden="false" customHeight="true" outlineLevel="0" collapsed="false">
      <c r="A23" s="5" t="str">
        <f aca="false">IF(B23="","",ROW()-5)</f>
        <v/>
      </c>
      <c r="B23" s="6"/>
      <c r="C23" s="6"/>
      <c r="D23" s="8"/>
      <c r="E23" s="7"/>
      <c r="F23" s="7"/>
      <c r="G23" s="14" t="str">
        <f aca="false">IF(E23="","",E23-F23)</f>
        <v/>
      </c>
      <c r="H23" s="7"/>
      <c r="I23" s="6"/>
      <c r="J23" s="6"/>
    </row>
    <row r="24" customFormat="false" ht="21.75" hidden="false" customHeight="true" outlineLevel="0" collapsed="false">
      <c r="A24" s="5" t="str">
        <f aca="false">IF(B24="","",ROW()-5)</f>
        <v/>
      </c>
      <c r="B24" s="6"/>
      <c r="C24" s="6"/>
      <c r="D24" s="8"/>
      <c r="E24" s="7"/>
      <c r="F24" s="7"/>
      <c r="G24" s="14" t="str">
        <f aca="false">IF(E24="","",E24-F24)</f>
        <v/>
      </c>
      <c r="H24" s="7"/>
      <c r="I24" s="6"/>
      <c r="J24" s="6"/>
    </row>
    <row r="25" customFormat="false" ht="21.75" hidden="false" customHeight="true" outlineLevel="0" collapsed="false">
      <c r="A25" s="5" t="str">
        <f aca="false">IF(B25="","",ROW()-5)</f>
        <v/>
      </c>
      <c r="B25" s="6"/>
      <c r="C25" s="6"/>
      <c r="D25" s="8"/>
      <c r="E25" s="7"/>
      <c r="F25" s="7"/>
      <c r="G25" s="14" t="str">
        <f aca="false">IF(E25="","",E25-F25)</f>
        <v/>
      </c>
      <c r="H25" s="7"/>
      <c r="I25" s="6"/>
      <c r="J25" s="6"/>
    </row>
    <row r="26" customFormat="false" ht="21.75" hidden="false" customHeight="true" outlineLevel="0" collapsed="false">
      <c r="A26" s="5" t="str">
        <f aca="false">IF(B26="","",ROW()-5)</f>
        <v/>
      </c>
      <c r="B26" s="6"/>
      <c r="C26" s="6"/>
      <c r="D26" s="8"/>
      <c r="E26" s="7"/>
      <c r="F26" s="7"/>
      <c r="G26" s="14" t="str">
        <f aca="false">IF(E26="","",E26-F26)</f>
        <v/>
      </c>
      <c r="H26" s="7"/>
      <c r="I26" s="6"/>
      <c r="J26" s="6"/>
    </row>
    <row r="27" customFormat="false" ht="21.75" hidden="false" customHeight="true" outlineLevel="0" collapsed="false">
      <c r="A27" s="5" t="str">
        <f aca="false">IF(B27="","",ROW()-5)</f>
        <v/>
      </c>
      <c r="B27" s="6"/>
      <c r="C27" s="6"/>
      <c r="D27" s="8"/>
      <c r="E27" s="7"/>
      <c r="F27" s="7"/>
      <c r="G27" s="14" t="str">
        <f aca="false">IF(E27="","",E27-F27)</f>
        <v/>
      </c>
      <c r="H27" s="7"/>
      <c r="I27" s="6"/>
      <c r="J27" s="6"/>
    </row>
    <row r="28" customFormat="false" ht="21.75" hidden="false" customHeight="true" outlineLevel="0" collapsed="false">
      <c r="A28" s="5" t="str">
        <f aca="false">IF(B28="","",ROW()-5)</f>
        <v/>
      </c>
      <c r="B28" s="6"/>
      <c r="C28" s="6"/>
      <c r="D28" s="8"/>
      <c r="E28" s="7"/>
      <c r="F28" s="7"/>
      <c r="G28" s="14" t="str">
        <f aca="false">IF(E28="","",E28-F28)</f>
        <v/>
      </c>
      <c r="H28" s="7"/>
      <c r="I28" s="6"/>
      <c r="J28" s="6"/>
    </row>
    <row r="29" customFormat="false" ht="21.75" hidden="false" customHeight="true" outlineLevel="0" collapsed="false">
      <c r="A29" s="5" t="str">
        <f aca="false">IF(B29="","",ROW()-5)</f>
        <v/>
      </c>
      <c r="B29" s="6"/>
      <c r="C29" s="6"/>
      <c r="D29" s="8"/>
      <c r="E29" s="7"/>
      <c r="F29" s="7"/>
      <c r="G29" s="14" t="str">
        <f aca="false">IF(E29="","",E29-F29)</f>
        <v/>
      </c>
      <c r="H29" s="7"/>
      <c r="I29" s="6"/>
      <c r="J29" s="6"/>
    </row>
    <row r="30" customFormat="false" ht="21.75" hidden="false" customHeight="true" outlineLevel="0" collapsed="false">
      <c r="A30" s="5" t="str">
        <f aca="false">IF(B30="","",ROW()-5)</f>
        <v/>
      </c>
      <c r="B30" s="6"/>
      <c r="C30" s="6"/>
      <c r="D30" s="8"/>
      <c r="E30" s="7"/>
      <c r="F30" s="7"/>
      <c r="G30" s="14" t="str">
        <f aca="false">IF(E30="","",E30-F30)</f>
        <v/>
      </c>
      <c r="H30" s="7"/>
      <c r="I30" s="6"/>
      <c r="J30" s="6"/>
    </row>
    <row r="31" customFormat="false" ht="21.75" hidden="false" customHeight="true" outlineLevel="0" collapsed="false">
      <c r="A31" s="5" t="str">
        <f aca="false">IF(B31="","",ROW()-5)</f>
        <v/>
      </c>
      <c r="B31" s="6"/>
      <c r="C31" s="6"/>
      <c r="D31" s="8"/>
      <c r="E31" s="7"/>
      <c r="F31" s="7"/>
      <c r="G31" s="14" t="str">
        <f aca="false">IF(E31="","",E31-F31)</f>
        <v/>
      </c>
      <c r="H31" s="7"/>
      <c r="I31" s="6"/>
      <c r="J31" s="6"/>
    </row>
    <row r="32" customFormat="false" ht="21.75" hidden="false" customHeight="true" outlineLevel="0" collapsed="false">
      <c r="A32" s="5" t="str">
        <f aca="false">IF(B32="","",ROW()-5)</f>
        <v/>
      </c>
      <c r="B32" s="6"/>
      <c r="C32" s="6"/>
      <c r="D32" s="8"/>
      <c r="E32" s="7"/>
      <c r="F32" s="7"/>
      <c r="G32" s="14" t="str">
        <f aca="false">IF(E32="","",E32-F32)</f>
        <v/>
      </c>
      <c r="H32" s="7"/>
      <c r="I32" s="6"/>
      <c r="J32" s="6"/>
    </row>
    <row r="33" customFormat="false" ht="21.75" hidden="false" customHeight="true" outlineLevel="0" collapsed="false">
      <c r="A33" s="5" t="str">
        <f aca="false">IF(B33="","",ROW()-5)</f>
        <v/>
      </c>
      <c r="B33" s="6"/>
      <c r="C33" s="6"/>
      <c r="D33" s="8"/>
      <c r="E33" s="7"/>
      <c r="F33" s="7"/>
      <c r="G33" s="14" t="str">
        <f aca="false">IF(E33="","",E33-F33)</f>
        <v/>
      </c>
      <c r="H33" s="7"/>
      <c r="I33" s="6"/>
      <c r="J33" s="6"/>
    </row>
    <row r="34" customFormat="false" ht="21.75" hidden="false" customHeight="true" outlineLevel="0" collapsed="false">
      <c r="A34" s="5" t="str">
        <f aca="false">IF(B34="","",ROW()-5)</f>
        <v/>
      </c>
      <c r="B34" s="6"/>
      <c r="C34" s="6"/>
      <c r="D34" s="8"/>
      <c r="E34" s="7"/>
      <c r="F34" s="7"/>
      <c r="G34" s="14" t="str">
        <f aca="false">IF(E34="","",E34-F34)</f>
        <v/>
      </c>
      <c r="H34" s="7"/>
      <c r="I34" s="6"/>
      <c r="J34" s="6"/>
    </row>
    <row r="35" customFormat="false" ht="21.75" hidden="false" customHeight="true" outlineLevel="0" collapsed="false">
      <c r="A35" s="5" t="str">
        <f aca="false">IF(B35="","",ROW()-5)</f>
        <v/>
      </c>
      <c r="B35" s="6"/>
      <c r="C35" s="6"/>
      <c r="D35" s="8"/>
      <c r="E35" s="7"/>
      <c r="F35" s="7"/>
      <c r="G35" s="14" t="str">
        <f aca="false">IF(E35="","",E35-F35)</f>
        <v/>
      </c>
      <c r="H35" s="7"/>
      <c r="I35" s="6"/>
      <c r="J35" s="6"/>
    </row>
    <row r="36" customFormat="false" ht="21.75" hidden="false" customHeight="true" outlineLevel="0" collapsed="false">
      <c r="A36" s="5" t="str">
        <f aca="false">IF(B36="","",ROW()-5)</f>
        <v/>
      </c>
      <c r="B36" s="6"/>
      <c r="C36" s="6"/>
      <c r="D36" s="8"/>
      <c r="E36" s="7"/>
      <c r="F36" s="7"/>
      <c r="G36" s="14" t="str">
        <f aca="false">IF(E36="","",E36-F36)</f>
        <v/>
      </c>
      <c r="H36" s="7"/>
      <c r="I36" s="6"/>
      <c r="J36" s="6"/>
    </row>
    <row r="37" customFormat="false" ht="21.75" hidden="false" customHeight="true" outlineLevel="0" collapsed="false">
      <c r="A37" s="5" t="str">
        <f aca="false">IF(B37="","",ROW()-5)</f>
        <v/>
      </c>
      <c r="B37" s="6"/>
      <c r="C37" s="6"/>
      <c r="D37" s="8"/>
      <c r="E37" s="7"/>
      <c r="F37" s="7"/>
      <c r="G37" s="14" t="str">
        <f aca="false">IF(E37="","",E37-F37)</f>
        <v/>
      </c>
      <c r="H37" s="7"/>
      <c r="I37" s="6"/>
      <c r="J37" s="6"/>
    </row>
    <row r="38" customFormat="false" ht="21.75" hidden="false" customHeight="true" outlineLevel="0" collapsed="false">
      <c r="A38" s="5" t="str">
        <f aca="false">IF(B38="","",ROW()-5)</f>
        <v/>
      </c>
      <c r="B38" s="6"/>
      <c r="C38" s="6"/>
      <c r="D38" s="8"/>
      <c r="E38" s="7"/>
      <c r="F38" s="7"/>
      <c r="G38" s="14" t="str">
        <f aca="false">IF(E38="","",E38-F38)</f>
        <v/>
      </c>
      <c r="H38" s="7"/>
      <c r="I38" s="6"/>
      <c r="J38" s="6"/>
    </row>
    <row r="39" customFormat="false" ht="21.75" hidden="false" customHeight="true" outlineLevel="0" collapsed="false">
      <c r="A39" s="5" t="str">
        <f aca="false">IF(B39="","",ROW()-5)</f>
        <v/>
      </c>
      <c r="B39" s="6"/>
      <c r="C39" s="6"/>
      <c r="D39" s="8"/>
      <c r="E39" s="7"/>
      <c r="F39" s="7"/>
      <c r="G39" s="14" t="str">
        <f aca="false">IF(E39="","",E39-F39)</f>
        <v/>
      </c>
      <c r="H39" s="7"/>
      <c r="I39" s="6"/>
      <c r="J39" s="6"/>
    </row>
    <row r="40" customFormat="false" ht="21.75" hidden="false" customHeight="true" outlineLevel="0" collapsed="false">
      <c r="A40" s="5" t="str">
        <f aca="false">IF(B40="","",ROW()-5)</f>
        <v/>
      </c>
      <c r="B40" s="6"/>
      <c r="C40" s="6"/>
      <c r="D40" s="8"/>
      <c r="E40" s="7"/>
      <c r="F40" s="7"/>
      <c r="G40" s="14" t="str">
        <f aca="false">IF(E40="","",E40-F40)</f>
        <v/>
      </c>
      <c r="H40" s="7"/>
      <c r="I40" s="6"/>
      <c r="J40" s="6"/>
    </row>
    <row r="41" customFormat="false" ht="21.75" hidden="false" customHeight="true" outlineLevel="0" collapsed="false">
      <c r="A41" s="5" t="str">
        <f aca="false">IF(B41="","",ROW()-5)</f>
        <v/>
      </c>
      <c r="B41" s="6"/>
      <c r="C41" s="6"/>
      <c r="D41" s="8"/>
      <c r="E41" s="7"/>
      <c r="F41" s="7"/>
      <c r="G41" s="14" t="str">
        <f aca="false">IF(E41="","",E41-F41)</f>
        <v/>
      </c>
      <c r="H41" s="7"/>
      <c r="I41" s="6"/>
      <c r="J41" s="6"/>
    </row>
    <row r="42" customFormat="false" ht="21.75" hidden="false" customHeight="true" outlineLevel="0" collapsed="false">
      <c r="A42" s="5" t="str">
        <f aca="false">IF(B42="","",ROW()-5)</f>
        <v/>
      </c>
      <c r="B42" s="6"/>
      <c r="C42" s="6"/>
      <c r="D42" s="8"/>
      <c r="E42" s="7"/>
      <c r="F42" s="7"/>
      <c r="G42" s="14" t="str">
        <f aca="false">IF(E42="","",E42-F42)</f>
        <v/>
      </c>
      <c r="H42" s="7"/>
      <c r="I42" s="6"/>
      <c r="J42" s="6"/>
    </row>
    <row r="43" customFormat="false" ht="21.75" hidden="false" customHeight="true" outlineLevel="0" collapsed="false">
      <c r="A43" s="5" t="str">
        <f aca="false">IF(B43="","",ROW()-5)</f>
        <v/>
      </c>
      <c r="B43" s="6"/>
      <c r="C43" s="6"/>
      <c r="D43" s="8"/>
      <c r="E43" s="7"/>
      <c r="F43" s="7"/>
      <c r="G43" s="14" t="str">
        <f aca="false">IF(E43="","",E43-F43)</f>
        <v/>
      </c>
      <c r="H43" s="7"/>
      <c r="I43" s="6"/>
      <c r="J43" s="6"/>
    </row>
    <row r="44" customFormat="false" ht="21.75" hidden="false" customHeight="true" outlineLevel="0" collapsed="false">
      <c r="A44" s="5" t="str">
        <f aca="false">IF(B44="","",ROW()-5)</f>
        <v/>
      </c>
      <c r="B44" s="6"/>
      <c r="C44" s="6"/>
      <c r="D44" s="8"/>
      <c r="E44" s="7"/>
      <c r="F44" s="7"/>
      <c r="G44" s="14" t="str">
        <f aca="false">IF(E44="","",E44-F44)</f>
        <v/>
      </c>
      <c r="H44" s="7"/>
      <c r="I44" s="6"/>
      <c r="J44" s="6"/>
    </row>
    <row r="45" customFormat="false" ht="21.75" hidden="false" customHeight="true" outlineLevel="0" collapsed="false">
      <c r="A45" s="5" t="str">
        <f aca="false">IF(B45="","",ROW()-5)</f>
        <v/>
      </c>
      <c r="B45" s="6"/>
      <c r="C45" s="6"/>
      <c r="D45" s="8"/>
      <c r="E45" s="7"/>
      <c r="F45" s="7"/>
      <c r="G45" s="14" t="str">
        <f aca="false">IF(E45="","",E45-F45)</f>
        <v/>
      </c>
      <c r="H45" s="7"/>
      <c r="I45" s="6"/>
      <c r="J45" s="6"/>
    </row>
    <row r="48" customFormat="false" ht="15" hidden="false" customHeight="true" outlineLevel="0" collapsed="false">
      <c r="B48" s="15" t="s">
        <v>39</v>
      </c>
      <c r="C48" s="15"/>
      <c r="D48" s="15"/>
      <c r="E48" s="15"/>
      <c r="F48" s="15"/>
    </row>
    <row r="49" customFormat="false" ht="15" hidden="false" customHeight="false" outlineLevel="0" collapsed="false">
      <c r="B49" s="16" t="s">
        <v>31</v>
      </c>
      <c r="C49" s="16" t="s">
        <v>40</v>
      </c>
      <c r="D49" s="16" t="s">
        <v>41</v>
      </c>
      <c r="E49" s="16" t="s">
        <v>42</v>
      </c>
      <c r="F49" s="16" t="s">
        <v>43</v>
      </c>
    </row>
    <row r="50" customFormat="false" ht="15" hidden="false" customHeight="false" outlineLevel="0" collapsed="false">
      <c r="B50" s="17" t="str">
        <f aca="false">IF(الموظفين!B6="","",الموظفين!B6)</f>
        <v>المدير</v>
      </c>
      <c r="C50" s="18" t="n">
        <f aca="false">IF($B50="","",SUMIFS($G$6:$G$45,$B$6:$B$45,$B50,$C$6:$C$45,"سلفة"))</f>
        <v>0</v>
      </c>
      <c r="D50" s="18" t="n">
        <f aca="false">IF($B50="","",SUMIFS($G$6:$G$45,$B$6:$B$45,$B50,$C$6:$C$45,"دين"))</f>
        <v>0</v>
      </c>
      <c r="E50" s="18" t="n">
        <f aca="false">IF($B50="","",SUMIFS($G$6:$G$45,$B$6:$B$45,$B50,$C$6:$C$45,"بضاعة"))</f>
        <v>0</v>
      </c>
      <c r="F50" s="18" t="n">
        <f aca="false">IF(B50="","",SUM(C50:E50))</f>
        <v>0</v>
      </c>
    </row>
    <row r="51" customFormat="false" ht="15" hidden="false" customHeight="false" outlineLevel="0" collapsed="false">
      <c r="B51" s="17" t="str">
        <f aca="false">IF(الموظفين!B7="","",الموظفين!B7)</f>
        <v>عمر المصري</v>
      </c>
      <c r="C51" s="18" t="n">
        <f aca="false">IF($B51="","",SUMIFS($G$6:$G$45,$B$6:$B$45,$B51,$C$6:$C$45,"سلفة"))</f>
        <v>0</v>
      </c>
      <c r="D51" s="18" t="n">
        <f aca="false">IF($B51="","",SUMIFS($G$6:$G$45,$B$6:$B$45,$B51,$C$6:$C$45,"دين"))</f>
        <v>0</v>
      </c>
      <c r="E51" s="18" t="n">
        <f aca="false">IF($B51="","",SUMIFS($G$6:$G$45,$B$6:$B$45,$B51,$C$6:$C$45,"بضاعة"))</f>
        <v>0</v>
      </c>
      <c r="F51" s="18" t="n">
        <f aca="false">IF(B51="","",SUM(C51:E51))</f>
        <v>0</v>
      </c>
    </row>
    <row r="52" customFormat="false" ht="15" hidden="false" customHeight="false" outlineLevel="0" collapsed="false">
      <c r="B52" s="17" t="str">
        <f aca="false">IF(الموظفين!B8="","",الموظفين!B8)</f>
        <v>عبدالعزيز</v>
      </c>
      <c r="C52" s="18" t="n">
        <f aca="false">IF($B52="","",SUMIFS($G$6:$G$45,$B$6:$B$45,$B52,$C$6:$C$45,"سلفة"))</f>
        <v>0</v>
      </c>
      <c r="D52" s="18" t="n">
        <f aca="false">IF($B52="","",SUMIFS($G$6:$G$45,$B$6:$B$45,$B52,$C$6:$C$45,"دين"))</f>
        <v>0</v>
      </c>
      <c r="E52" s="18" t="n">
        <f aca="false">IF($B52="","",SUMIFS($G$6:$G$45,$B$6:$B$45,$B52,$C$6:$C$45,"بضاعة"))</f>
        <v>0</v>
      </c>
      <c r="F52" s="18" t="n">
        <f aca="false">IF(B52="","",SUM(C52:E52))</f>
        <v>0</v>
      </c>
    </row>
    <row r="53" customFormat="false" ht="15" hidden="false" customHeight="false" outlineLevel="0" collapsed="false">
      <c r="B53" s="17" t="str">
        <f aca="false">IF(الموظفين!B9="","",الموظفين!B9)</f>
        <v/>
      </c>
      <c r="C53" s="18" t="str">
        <f aca="false">IF($B53="","",SUMIFS($G$6:$G$45,$B$6:$B$45,$B53,$C$6:$C$45,"سلفة"))</f>
        <v/>
      </c>
      <c r="D53" s="18" t="str">
        <f aca="false">IF($B53="","",SUMIFS($G$6:$G$45,$B$6:$B$45,$B53,$C$6:$C$45,"دين"))</f>
        <v/>
      </c>
      <c r="E53" s="18" t="str">
        <f aca="false">IF($B53="","",SUMIFS($G$6:$G$45,$B$6:$B$45,$B53,$C$6:$C$45,"بضاعة"))</f>
        <v/>
      </c>
      <c r="F53" s="18" t="str">
        <f aca="false">IF(B53="","",SUM(C53:E53))</f>
        <v/>
      </c>
    </row>
    <row r="54" customFormat="false" ht="15" hidden="false" customHeight="false" outlineLevel="0" collapsed="false">
      <c r="B54" s="17" t="str">
        <f aca="false">IF(الموظفين!B10="","",الموظفين!B10)</f>
        <v/>
      </c>
      <c r="C54" s="18" t="str">
        <f aca="false">IF($B54="","",SUMIFS($G$6:$G$45,$B$6:$B$45,$B54,$C$6:$C$45,"سلفة"))</f>
        <v/>
      </c>
      <c r="D54" s="18" t="str">
        <f aca="false">IF($B54="","",SUMIFS($G$6:$G$45,$B$6:$B$45,$B54,$C$6:$C$45,"دين"))</f>
        <v/>
      </c>
      <c r="E54" s="18" t="str">
        <f aca="false">IF($B54="","",SUMIFS($G$6:$G$45,$B$6:$B$45,$B54,$C$6:$C$45,"بضاعة"))</f>
        <v/>
      </c>
      <c r="F54" s="18" t="str">
        <f aca="false">IF(B54="","",SUM(C54:E54))</f>
        <v/>
      </c>
    </row>
    <row r="55" customFormat="false" ht="15" hidden="false" customHeight="false" outlineLevel="0" collapsed="false">
      <c r="B55" s="17" t="str">
        <f aca="false">IF(الموظفين!B11="","",الموظفين!B11)</f>
        <v/>
      </c>
      <c r="C55" s="18" t="str">
        <f aca="false">IF($B55="","",SUMIFS($G$6:$G$45,$B$6:$B$45,$B55,$C$6:$C$45,"سلفة"))</f>
        <v/>
      </c>
      <c r="D55" s="18" t="str">
        <f aca="false">IF($B55="","",SUMIFS($G$6:$G$45,$B$6:$B$45,$B55,$C$6:$C$45,"دين"))</f>
        <v/>
      </c>
      <c r="E55" s="18" t="str">
        <f aca="false">IF($B55="","",SUMIFS($G$6:$G$45,$B$6:$B$45,$B55,$C$6:$C$45,"بضاعة"))</f>
        <v/>
      </c>
      <c r="F55" s="18" t="str">
        <f aca="false">IF(B55="","",SUM(C55:E55))</f>
        <v/>
      </c>
    </row>
    <row r="56" customFormat="false" ht="15" hidden="false" customHeight="false" outlineLevel="0" collapsed="false">
      <c r="B56" s="17" t="str">
        <f aca="false">IF(الموظفين!B12="","",الموظفين!B12)</f>
        <v/>
      </c>
      <c r="C56" s="18" t="str">
        <f aca="false">IF($B56="","",SUMIFS($G$6:$G$45,$B$6:$B$45,$B56,$C$6:$C$45,"سلفة"))</f>
        <v/>
      </c>
      <c r="D56" s="18" t="str">
        <f aca="false">IF($B56="","",SUMIFS($G$6:$G$45,$B$6:$B$45,$B56,$C$6:$C$45,"دين"))</f>
        <v/>
      </c>
      <c r="E56" s="18" t="str">
        <f aca="false">IF($B56="","",SUMIFS($G$6:$G$45,$B$6:$B$45,$B56,$C$6:$C$45,"بضاعة"))</f>
        <v/>
      </c>
      <c r="F56" s="18" t="str">
        <f aca="false">IF(B56="","",SUM(C56:E56))</f>
        <v/>
      </c>
    </row>
    <row r="57" customFormat="false" ht="15" hidden="false" customHeight="false" outlineLevel="0" collapsed="false">
      <c r="B57" s="17" t="str">
        <f aca="false">IF(الموظفين!B13="","",الموظفين!B13)</f>
        <v/>
      </c>
      <c r="C57" s="18" t="str">
        <f aca="false">IF($B57="","",SUMIFS($G$6:$G$45,$B$6:$B$45,$B57,$C$6:$C$45,"سلفة"))</f>
        <v/>
      </c>
      <c r="D57" s="18" t="str">
        <f aca="false">IF($B57="","",SUMIFS($G$6:$G$45,$B$6:$B$45,$B57,$C$6:$C$45,"دين"))</f>
        <v/>
      </c>
      <c r="E57" s="18" t="str">
        <f aca="false">IF($B57="","",SUMIFS($G$6:$G$45,$B$6:$B$45,$B57,$C$6:$C$45,"بضاعة"))</f>
        <v/>
      </c>
      <c r="F57" s="18" t="str">
        <f aca="false">IF(B57="","",SUM(C57:E57))</f>
        <v/>
      </c>
    </row>
    <row r="58" customFormat="false" ht="15" hidden="false" customHeight="false" outlineLevel="0" collapsed="false">
      <c r="B58" s="17" t="str">
        <f aca="false">IF(الموظفين!B14="","",الموظفين!B14)</f>
        <v/>
      </c>
      <c r="C58" s="18" t="str">
        <f aca="false">IF($B58="","",SUMIFS($G$6:$G$45,$B$6:$B$45,$B58,$C$6:$C$45,"سلفة"))</f>
        <v/>
      </c>
      <c r="D58" s="18" t="str">
        <f aca="false">IF($B58="","",SUMIFS($G$6:$G$45,$B$6:$B$45,$B58,$C$6:$C$45,"دين"))</f>
        <v/>
      </c>
      <c r="E58" s="18" t="str">
        <f aca="false">IF($B58="","",SUMIFS($G$6:$G$45,$B$6:$B$45,$B58,$C$6:$C$45,"بضاعة"))</f>
        <v/>
      </c>
      <c r="F58" s="18" t="str">
        <f aca="false">IF(B58="","",SUM(C58:E58))</f>
        <v/>
      </c>
    </row>
    <row r="59" customFormat="false" ht="15" hidden="false" customHeight="false" outlineLevel="0" collapsed="false">
      <c r="B59" s="17" t="str">
        <f aca="false">IF(الموظفين!B15="","",الموظفين!B15)</f>
        <v/>
      </c>
      <c r="C59" s="18" t="str">
        <f aca="false">IF($B59="","",SUMIFS($G$6:$G$45,$B$6:$B$45,$B59,$C$6:$C$45,"سلفة"))</f>
        <v/>
      </c>
      <c r="D59" s="18" t="str">
        <f aca="false">IF($B59="","",SUMIFS($G$6:$G$45,$B$6:$B$45,$B59,$C$6:$C$45,"دين"))</f>
        <v/>
      </c>
      <c r="E59" s="18" t="str">
        <f aca="false">IF($B59="","",SUMIFS($G$6:$G$45,$B$6:$B$45,$B59,$C$6:$C$45,"بضاعة"))</f>
        <v/>
      </c>
      <c r="F59" s="18" t="str">
        <f aca="false">IF(B59="","",SUM(C59:E59))</f>
        <v/>
      </c>
    </row>
    <row r="60" customFormat="false" ht="15" hidden="false" customHeight="false" outlineLevel="0" collapsed="false">
      <c r="B60" s="17" t="str">
        <f aca="false">IF(الموظفين!B16="","",الموظفين!B16)</f>
        <v/>
      </c>
      <c r="C60" s="18" t="str">
        <f aca="false">IF($B60="","",SUMIFS($G$6:$G$45,$B$6:$B$45,$B60,$C$6:$C$45,"سلفة"))</f>
        <v/>
      </c>
      <c r="D60" s="18" t="str">
        <f aca="false">IF($B60="","",SUMIFS($G$6:$G$45,$B$6:$B$45,$B60,$C$6:$C$45,"دين"))</f>
        <v/>
      </c>
      <c r="E60" s="18" t="str">
        <f aca="false">IF($B60="","",SUMIFS($G$6:$G$45,$B$6:$B$45,$B60,$C$6:$C$45,"بضاعة"))</f>
        <v/>
      </c>
      <c r="F60" s="18" t="str">
        <f aca="false">IF(B60="","",SUM(C60:E60))</f>
        <v/>
      </c>
    </row>
    <row r="61" customFormat="false" ht="15" hidden="false" customHeight="false" outlineLevel="0" collapsed="false">
      <c r="B61" s="17" t="str">
        <f aca="false">IF(الموظفين!B17="","",الموظفين!B17)</f>
        <v/>
      </c>
      <c r="C61" s="18" t="str">
        <f aca="false">IF($B61="","",SUMIFS($G$6:$G$45,$B$6:$B$45,$B61,$C$6:$C$45,"سلفة"))</f>
        <v/>
      </c>
      <c r="D61" s="18" t="str">
        <f aca="false">IF($B61="","",SUMIFS($G$6:$G$45,$B$6:$B$45,$B61,$C$6:$C$45,"دين"))</f>
        <v/>
      </c>
      <c r="E61" s="18" t="str">
        <f aca="false">IF($B61="","",SUMIFS($G$6:$G$45,$B$6:$B$45,$B61,$C$6:$C$45,"بضاعة"))</f>
        <v/>
      </c>
      <c r="F61" s="18" t="str">
        <f aca="false">IF(B61="","",SUM(C61:E61))</f>
        <v/>
      </c>
    </row>
    <row r="62" customFormat="false" ht="15" hidden="false" customHeight="false" outlineLevel="0" collapsed="false">
      <c r="B62" s="17" t="str">
        <f aca="false">IF(الموظفين!B18="","",الموظفين!B18)</f>
        <v/>
      </c>
      <c r="C62" s="18" t="str">
        <f aca="false">IF($B62="","",SUMIFS($G$6:$G$45,$B$6:$B$45,$B62,$C$6:$C$45,"سلفة"))</f>
        <v/>
      </c>
      <c r="D62" s="18" t="str">
        <f aca="false">IF($B62="","",SUMIFS($G$6:$G$45,$B$6:$B$45,$B62,$C$6:$C$45,"دين"))</f>
        <v/>
      </c>
      <c r="E62" s="18" t="str">
        <f aca="false">IF($B62="","",SUMIFS($G$6:$G$45,$B$6:$B$45,$B62,$C$6:$C$45,"بضاعة"))</f>
        <v/>
      </c>
      <c r="F62" s="18" t="str">
        <f aca="false">IF(B62="","",SUM(C62:E62))</f>
        <v/>
      </c>
    </row>
    <row r="63" customFormat="false" ht="15" hidden="false" customHeight="false" outlineLevel="0" collapsed="false">
      <c r="B63" s="17" t="str">
        <f aca="false">IF(الموظفين!B19="","",الموظفين!B19)</f>
        <v/>
      </c>
      <c r="C63" s="18" t="str">
        <f aca="false">IF($B63="","",SUMIFS($G$6:$G$45,$B$6:$B$45,$B63,$C$6:$C$45,"سلفة"))</f>
        <v/>
      </c>
      <c r="D63" s="18" t="str">
        <f aca="false">IF($B63="","",SUMIFS($G$6:$G$45,$B$6:$B$45,$B63,$C$6:$C$45,"دين"))</f>
        <v/>
      </c>
      <c r="E63" s="18" t="str">
        <f aca="false">IF($B63="","",SUMIFS($G$6:$G$45,$B$6:$B$45,$B63,$C$6:$C$45,"بضاعة"))</f>
        <v/>
      </c>
      <c r="F63" s="18" t="str">
        <f aca="false">IF(B63="","",SUM(C63:E63))</f>
        <v/>
      </c>
    </row>
    <row r="64" customFormat="false" ht="15" hidden="false" customHeight="false" outlineLevel="0" collapsed="false">
      <c r="B64" s="17" t="str">
        <f aca="false">IF(الموظفين!B20="","",الموظفين!B20)</f>
        <v/>
      </c>
      <c r="C64" s="18" t="str">
        <f aca="false">IF($B64="","",SUMIFS($G$6:$G$45,$B$6:$B$45,$B64,$C$6:$C$45,"سلفة"))</f>
        <v/>
      </c>
      <c r="D64" s="18" t="str">
        <f aca="false">IF($B64="","",SUMIFS($G$6:$G$45,$B$6:$B$45,$B64,$C$6:$C$45,"دين"))</f>
        <v/>
      </c>
      <c r="E64" s="18" t="str">
        <f aca="false">IF($B64="","",SUMIFS($G$6:$G$45,$B$6:$B$45,$B64,$C$6:$C$45,"بضاعة"))</f>
        <v/>
      </c>
      <c r="F64" s="18" t="str">
        <f aca="false">IF(B64="","",SUM(C64:E64))</f>
        <v/>
      </c>
    </row>
    <row r="65" customFormat="false" ht="15" hidden="false" customHeight="false" outlineLevel="0" collapsed="false">
      <c r="B65" s="17" t="str">
        <f aca="false">IF(الموظفين!B21="","",الموظفين!B21)</f>
        <v/>
      </c>
      <c r="C65" s="18" t="str">
        <f aca="false">IF($B65="","",SUMIFS($G$6:$G$45,$B$6:$B$45,$B65,$C$6:$C$45,"سلفة"))</f>
        <v/>
      </c>
      <c r="D65" s="18" t="str">
        <f aca="false">IF($B65="","",SUMIFS($G$6:$G$45,$B$6:$B$45,$B65,$C$6:$C$45,"دين"))</f>
        <v/>
      </c>
      <c r="E65" s="18" t="str">
        <f aca="false">IF($B65="","",SUMIFS($G$6:$G$45,$B$6:$B$45,$B65,$C$6:$C$45,"بضاعة"))</f>
        <v/>
      </c>
      <c r="F65" s="18" t="str">
        <f aca="false">IF(B65="","",SUM(C65:E65))</f>
        <v/>
      </c>
    </row>
    <row r="66" customFormat="false" ht="15" hidden="false" customHeight="false" outlineLevel="0" collapsed="false">
      <c r="B66" s="17" t="str">
        <f aca="false">IF(الموظفين!B22="","",الموظفين!B22)</f>
        <v/>
      </c>
      <c r="C66" s="18" t="str">
        <f aca="false">IF($B66="","",SUMIFS($G$6:$G$45,$B$6:$B$45,$B66,$C$6:$C$45,"سلفة"))</f>
        <v/>
      </c>
      <c r="D66" s="18" t="str">
        <f aca="false">IF($B66="","",SUMIFS($G$6:$G$45,$B$6:$B$45,$B66,$C$6:$C$45,"دين"))</f>
        <v/>
      </c>
      <c r="E66" s="18" t="str">
        <f aca="false">IF($B66="","",SUMIFS($G$6:$G$45,$B$6:$B$45,$B66,$C$6:$C$45,"بضاعة"))</f>
        <v/>
      </c>
      <c r="F66" s="18" t="str">
        <f aca="false">IF(B66="","",SUM(C66:E66))</f>
        <v/>
      </c>
    </row>
    <row r="67" customFormat="false" ht="15" hidden="false" customHeight="false" outlineLevel="0" collapsed="false">
      <c r="B67" s="17" t="str">
        <f aca="false">IF(الموظفين!B23="","",الموظفين!B23)</f>
        <v/>
      </c>
      <c r="C67" s="18" t="str">
        <f aca="false">IF($B67="","",SUMIFS($G$6:$G$45,$B$6:$B$45,$B67,$C$6:$C$45,"سلفة"))</f>
        <v/>
      </c>
      <c r="D67" s="18" t="str">
        <f aca="false">IF($B67="","",SUMIFS($G$6:$G$45,$B$6:$B$45,$B67,$C$6:$C$45,"دين"))</f>
        <v/>
      </c>
      <c r="E67" s="18" t="str">
        <f aca="false">IF($B67="","",SUMIFS($G$6:$G$45,$B$6:$B$45,$B67,$C$6:$C$45,"بضاعة"))</f>
        <v/>
      </c>
      <c r="F67" s="18" t="str">
        <f aca="false">IF(B67="","",SUM(C67:E67))</f>
        <v/>
      </c>
    </row>
    <row r="68" customFormat="false" ht="15" hidden="false" customHeight="false" outlineLevel="0" collapsed="false">
      <c r="B68" s="17" t="str">
        <f aca="false">IF(الموظفين!B24="","",الموظفين!B24)</f>
        <v/>
      </c>
      <c r="C68" s="18" t="str">
        <f aca="false">IF($B68="","",SUMIFS($G$6:$G$45,$B$6:$B$45,$B68,$C$6:$C$45,"سلفة"))</f>
        <v/>
      </c>
      <c r="D68" s="18" t="str">
        <f aca="false">IF($B68="","",SUMIFS($G$6:$G$45,$B$6:$B$45,$B68,$C$6:$C$45,"دين"))</f>
        <v/>
      </c>
      <c r="E68" s="18" t="str">
        <f aca="false">IF($B68="","",SUMIFS($G$6:$G$45,$B$6:$B$45,$B68,$C$6:$C$45,"بضاعة"))</f>
        <v/>
      </c>
      <c r="F68" s="18" t="str">
        <f aca="false">IF(B68="","",SUM(C68:E68))</f>
        <v/>
      </c>
    </row>
    <row r="69" customFormat="false" ht="15" hidden="false" customHeight="false" outlineLevel="0" collapsed="false">
      <c r="B69" s="17" t="str">
        <f aca="false">IF(الموظفين!B25="","",الموظفين!B25)</f>
        <v/>
      </c>
      <c r="C69" s="18" t="str">
        <f aca="false">IF($B69="","",SUMIFS($G$6:$G$45,$B$6:$B$45,$B69,$C$6:$C$45,"سلفة"))</f>
        <v/>
      </c>
      <c r="D69" s="18" t="str">
        <f aca="false">IF($B69="","",SUMIFS($G$6:$G$45,$B$6:$B$45,$B69,$C$6:$C$45,"دين"))</f>
        <v/>
      </c>
      <c r="E69" s="18" t="str">
        <f aca="false">IF($B69="","",SUMIFS($G$6:$G$45,$B$6:$B$45,$B69,$C$6:$C$45,"بضاعة"))</f>
        <v/>
      </c>
      <c r="F69" s="18" t="str">
        <f aca="false">IF(B69="","",SUM(C69:E69))</f>
        <v/>
      </c>
    </row>
    <row r="71" customFormat="false" ht="15" hidden="false" customHeight="true" outlineLevel="0" collapsed="false">
      <c r="B71" s="11" t="s">
        <v>44</v>
      </c>
      <c r="C71" s="11"/>
      <c r="D71" s="11"/>
      <c r="E71" s="11"/>
      <c r="F71" s="11"/>
      <c r="G71" s="11"/>
      <c r="H71" s="11"/>
      <c r="I71" s="11"/>
      <c r="J71" s="11"/>
    </row>
  </sheetData>
  <mergeCells count="5">
    <mergeCell ref="A1:J1"/>
    <mergeCell ref="A2:J2"/>
    <mergeCell ref="A3:J3"/>
    <mergeCell ref="B48:F48"/>
    <mergeCell ref="B71:J71"/>
  </mergeCells>
  <conditionalFormatting sqref="H6:H45">
    <cfRule type="expression" priority="2" aboveAverage="0" equalAverage="0" bottom="0" percent="0" rank="0" text="" dxfId="0">
      <formula>AND(H6&lt;&gt;"",G6&lt;&gt;"",H6&gt;G6)</formula>
    </cfRule>
  </conditionalFormatting>
  <dataValidations count="3">
    <dataValidation allowBlank="true" errorStyle="stop" operator="between" prompt="الأسماء من ورقة الموظفين" promptTitle="اختر" showDropDown="false" showErrorMessage="false" showInputMessage="true" sqref="B6:B45" type="list">
      <formula1>الموظفين!$B$6:$B$25</formula1>
      <formula2>0</formula2>
    </dataValidation>
    <dataValidation allowBlank="true" errorStyle="stop" operator="between" showDropDown="false" showErrorMessage="false" showInputMessage="false" sqref="C6:C45" type="list">
      <formula1>"سلفة,دين,بضاعة"</formula1>
      <formula2>0</formula2>
    </dataValidation>
    <dataValidation allowBlank="true" errorStyle="stop" operator="between" showDropDown="false" showErrorMessage="false" showInputMessage="false" sqref="I6:I45" type="list">
      <formula1>"أسبوع,10 أيام,يوم,دفعة وحدة"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9" t="s">
        <v>45</v>
      </c>
      <c r="B1" s="19"/>
      <c r="C1" s="19"/>
      <c r="D1" s="19"/>
      <c r="E1" s="19"/>
    </row>
    <row r="3" customFormat="false" ht="15" hidden="false" customHeight="false" outlineLevel="0" collapsed="false">
      <c r="A3" s="20" t="s">
        <v>3</v>
      </c>
      <c r="B3" s="20" t="s">
        <v>46</v>
      </c>
      <c r="C3" s="20" t="s">
        <v>47</v>
      </c>
      <c r="D3" s="20" t="s">
        <v>48</v>
      </c>
      <c r="E3" s="20" t="s">
        <v>49</v>
      </c>
    </row>
    <row r="4" customFormat="false" ht="33.75" hidden="false" customHeight="true" outlineLevel="0" collapsed="false">
      <c r="A4" s="21" t="n">
        <v>1</v>
      </c>
      <c r="B4" s="22" t="s">
        <v>50</v>
      </c>
      <c r="C4" s="23" t="n">
        <v>50</v>
      </c>
      <c r="D4" s="21" t="s">
        <v>51</v>
      </c>
      <c r="E4" s="24" t="s">
        <v>52</v>
      </c>
    </row>
    <row r="5" customFormat="false" ht="33.75" hidden="false" customHeight="true" outlineLevel="0" collapsed="false">
      <c r="A5" s="21" t="n">
        <v>2</v>
      </c>
      <c r="B5" s="22" t="s">
        <v>53</v>
      </c>
      <c r="C5" s="23" t="n">
        <v>40</v>
      </c>
      <c r="D5" s="21" t="s">
        <v>51</v>
      </c>
      <c r="E5" s="24" t="s">
        <v>54</v>
      </c>
    </row>
    <row r="6" customFormat="false" ht="33.75" hidden="false" customHeight="true" outlineLevel="0" collapsed="false">
      <c r="A6" s="21" t="n">
        <v>3</v>
      </c>
      <c r="B6" s="22" t="s">
        <v>55</v>
      </c>
      <c r="C6" s="23" t="n">
        <v>0</v>
      </c>
      <c r="D6" s="21" t="s">
        <v>56</v>
      </c>
      <c r="E6" s="24" t="s">
        <v>57</v>
      </c>
    </row>
    <row r="7" customFormat="false" ht="33.75" hidden="false" customHeight="true" outlineLevel="0" collapsed="false">
      <c r="A7" s="21" t="n">
        <v>4</v>
      </c>
      <c r="B7" s="22" t="s">
        <v>58</v>
      </c>
      <c r="C7" s="23" t="s">
        <v>59</v>
      </c>
      <c r="D7" s="21" t="s">
        <v>60</v>
      </c>
      <c r="E7" s="24" t="s">
        <v>61</v>
      </c>
    </row>
    <row r="8" customFormat="false" ht="33.75" hidden="false" customHeight="true" outlineLevel="0" collapsed="false">
      <c r="A8" s="21" t="n">
        <v>5</v>
      </c>
      <c r="B8" s="22" t="s">
        <v>62</v>
      </c>
      <c r="C8" s="23" t="s">
        <v>63</v>
      </c>
      <c r="D8" s="21" t="s">
        <v>60</v>
      </c>
      <c r="E8" s="24" t="s">
        <v>64</v>
      </c>
    </row>
    <row r="9" customFormat="false" ht="33.75" hidden="false" customHeight="true" outlineLevel="0" collapsed="false">
      <c r="A9" s="21" t="n">
        <v>6</v>
      </c>
      <c r="B9" s="22" t="s">
        <v>65</v>
      </c>
      <c r="C9" s="23" t="s">
        <v>66</v>
      </c>
      <c r="D9" s="21" t="s">
        <v>60</v>
      </c>
      <c r="E9" s="24" t="s">
        <v>67</v>
      </c>
    </row>
    <row r="10" customFormat="false" ht="33.75" hidden="false" customHeight="true" outlineLevel="0" collapsed="false">
      <c r="A10" s="21" t="n">
        <v>7</v>
      </c>
      <c r="B10" s="22" t="s">
        <v>68</v>
      </c>
      <c r="C10" s="23" t="s">
        <v>69</v>
      </c>
      <c r="D10" s="21" t="s">
        <v>21</v>
      </c>
      <c r="E10" s="24" t="s">
        <v>70</v>
      </c>
    </row>
    <row r="12" customFormat="false" ht="23.85" hidden="false" customHeight="false" outlineLevel="0" collapsed="false">
      <c r="B12" s="25" t="s">
        <v>71</v>
      </c>
    </row>
  </sheetData>
  <mergeCells count="1">
    <mergeCell ref="A1:E1"/>
  </mergeCells>
  <dataValidations count="4">
    <dataValidation allowBlank="true" errorStyle="stop" operator="between" showDropDown="false" showErrorMessage="false" showInputMessage="false" sqref="C7" type="list">
      <formula1>"سعر الجملة,سعر التكلفة,سعر الكتالوج,حسب كل حالة"</formula1>
      <formula2>0</formula2>
    </dataValidation>
    <dataValidation allowBlank="true" errorStyle="stop" operator="between" showDropDown="false" showErrorMessage="false" showInputMessage="false" sqref="C8" type="list">
      <formula1>"كاملة بنفس الدورة,ممكن تتقسّط"</formula1>
      <formula2>0</formula2>
    </dataValidation>
    <dataValidation allowBlank="true" errorStyle="stop" operator="between" showDropDown="false" showErrorMessage="false" showInputMessage="false" sqref="C9" type="list">
      <formula1>"يترحّل للدورة الجاية,يُحوَّل لدين بقسط"</formula1>
      <formula2>0</formula2>
    </dataValidation>
    <dataValidation allowBlank="true" errorStyle="stop" operator="between" showDropDown="false" showErrorMessage="false" showInputMessage="false" sqref="C10" type="list">
      <formula1>"السبت,الأحد,الاثنين,الثلاثاء,الأربعاء,الخميس,الجمعة"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26" t="s">
        <v>72</v>
      </c>
      <c r="B1" s="26"/>
      <c r="C1" s="26"/>
      <c r="D1" s="26"/>
      <c r="E1" s="26"/>
    </row>
    <row r="2" customFormat="false" ht="33.75" hidden="false" customHeight="true" outlineLevel="0" collapsed="false">
      <c r="A2" s="2" t="s">
        <v>73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5" customFormat="false" ht="30" hidden="false" customHeight="true" outlineLevel="0" collapsed="false">
      <c r="A5" s="27" t="s">
        <v>3</v>
      </c>
      <c r="B5" s="27" t="s">
        <v>74</v>
      </c>
      <c r="C5" s="27" t="s">
        <v>75</v>
      </c>
      <c r="D5" s="27" t="s">
        <v>48</v>
      </c>
      <c r="E5" s="27" t="s">
        <v>11</v>
      </c>
    </row>
    <row r="6" customFormat="false" ht="21.75" hidden="false" customHeight="true" outlineLevel="0" collapsed="false">
      <c r="A6" s="5" t="n">
        <f aca="false">IF(B6="","",ROW()-5)</f>
        <v>1</v>
      </c>
      <c r="B6" s="6" t="s">
        <v>76</v>
      </c>
      <c r="C6" s="7"/>
      <c r="D6" s="6" t="s">
        <v>77</v>
      </c>
      <c r="E6" s="6"/>
    </row>
    <row r="7" customFormat="false" ht="21.75" hidden="false" customHeight="true" outlineLevel="0" collapsed="false">
      <c r="A7" s="5" t="n">
        <f aca="false">IF(B7="","",ROW()-5)</f>
        <v>2</v>
      </c>
      <c r="B7" s="6" t="s">
        <v>78</v>
      </c>
      <c r="C7" s="7"/>
      <c r="D7" s="6" t="s">
        <v>77</v>
      </c>
      <c r="E7" s="6"/>
    </row>
    <row r="8" customFormat="false" ht="21.75" hidden="false" customHeight="true" outlineLevel="0" collapsed="false">
      <c r="A8" s="5" t="n">
        <f aca="false">IF(B8="","",ROW()-5)</f>
        <v>3</v>
      </c>
      <c r="B8" s="6" t="s">
        <v>79</v>
      </c>
      <c r="C8" s="7"/>
      <c r="D8" s="6" t="s">
        <v>80</v>
      </c>
      <c r="E8" s="6"/>
    </row>
    <row r="9" customFormat="false" ht="21.75" hidden="false" customHeight="true" outlineLevel="0" collapsed="false">
      <c r="A9" s="5" t="n">
        <f aca="false">IF(B9="","",ROW()-5)</f>
        <v>4</v>
      </c>
      <c r="B9" s="6" t="s">
        <v>81</v>
      </c>
      <c r="C9" s="7"/>
      <c r="D9" s="6" t="s">
        <v>82</v>
      </c>
      <c r="E9" s="6"/>
    </row>
    <row r="10" customFormat="false" ht="21.75" hidden="false" customHeight="true" outlineLevel="0" collapsed="false">
      <c r="A10" s="5" t="n">
        <f aca="false">IF(B10="","",ROW()-5)</f>
        <v>5</v>
      </c>
      <c r="B10" s="6" t="s">
        <v>83</v>
      </c>
      <c r="C10" s="7"/>
      <c r="D10" s="6" t="s">
        <v>84</v>
      </c>
      <c r="E10" s="6"/>
    </row>
    <row r="11" customFormat="false" ht="21.75" hidden="false" customHeight="true" outlineLevel="0" collapsed="false">
      <c r="A11" s="5" t="str">
        <f aca="false">IF(B11="","",ROW()-5)</f>
        <v/>
      </c>
      <c r="B11" s="6"/>
      <c r="C11" s="7"/>
      <c r="D11" s="6"/>
      <c r="E11" s="6"/>
    </row>
    <row r="12" customFormat="false" ht="21.75" hidden="false" customHeight="true" outlineLevel="0" collapsed="false">
      <c r="A12" s="5" t="str">
        <f aca="false">IF(B12="","",ROW()-5)</f>
        <v/>
      </c>
      <c r="B12" s="6"/>
      <c r="C12" s="7"/>
      <c r="D12" s="6"/>
      <c r="E12" s="6"/>
    </row>
    <row r="13" customFormat="false" ht="21.75" hidden="false" customHeight="true" outlineLevel="0" collapsed="false">
      <c r="A13" s="5" t="str">
        <f aca="false">IF(B13="","",ROW()-5)</f>
        <v/>
      </c>
      <c r="B13" s="6"/>
      <c r="C13" s="7"/>
      <c r="D13" s="6"/>
      <c r="E13" s="6"/>
    </row>
    <row r="14" customFormat="false" ht="21.75" hidden="false" customHeight="true" outlineLevel="0" collapsed="false">
      <c r="A14" s="5" t="str">
        <f aca="false">IF(B14="","",ROW()-5)</f>
        <v/>
      </c>
      <c r="B14" s="6"/>
      <c r="C14" s="7"/>
      <c r="D14" s="6"/>
      <c r="E14" s="6"/>
    </row>
    <row r="15" customFormat="false" ht="21.75" hidden="false" customHeight="true" outlineLevel="0" collapsed="false">
      <c r="A15" s="5" t="str">
        <f aca="false">IF(B15="","",ROW()-5)</f>
        <v/>
      </c>
      <c r="B15" s="6"/>
      <c r="C15" s="7"/>
      <c r="D15" s="6"/>
      <c r="E15" s="6"/>
    </row>
    <row r="16" customFormat="false" ht="21.75" hidden="false" customHeight="true" outlineLevel="0" collapsed="false">
      <c r="A16" s="5" t="str">
        <f aca="false">IF(B16="","",ROW()-5)</f>
        <v/>
      </c>
      <c r="B16" s="6"/>
      <c r="C16" s="7"/>
      <c r="D16" s="6"/>
      <c r="E16" s="6"/>
    </row>
    <row r="17" customFormat="false" ht="21.75" hidden="false" customHeight="true" outlineLevel="0" collapsed="false">
      <c r="A17" s="5" t="str">
        <f aca="false">IF(B17="","",ROW()-5)</f>
        <v/>
      </c>
      <c r="B17" s="6"/>
      <c r="C17" s="7"/>
      <c r="D17" s="6"/>
      <c r="E17" s="6"/>
    </row>
    <row r="18" customFormat="false" ht="21.75" hidden="false" customHeight="true" outlineLevel="0" collapsed="false">
      <c r="A18" s="5" t="str">
        <f aca="false">IF(B18="","",ROW()-5)</f>
        <v/>
      </c>
      <c r="B18" s="6"/>
      <c r="C18" s="7"/>
      <c r="D18" s="6"/>
      <c r="E18" s="6"/>
    </row>
    <row r="19" customFormat="false" ht="21.75" hidden="false" customHeight="true" outlineLevel="0" collapsed="false">
      <c r="A19" s="5" t="str">
        <f aca="false">IF(B19="","",ROW()-5)</f>
        <v/>
      </c>
      <c r="B19" s="6"/>
      <c r="C19" s="7"/>
      <c r="D19" s="6"/>
      <c r="E19" s="6"/>
    </row>
    <row r="20" customFormat="false" ht="21.75" hidden="false" customHeight="true" outlineLevel="0" collapsed="false">
      <c r="A20" s="5" t="str">
        <f aca="false">IF(B20="","",ROW()-5)</f>
        <v/>
      </c>
      <c r="B20" s="6"/>
      <c r="C20" s="7"/>
      <c r="D20" s="6"/>
      <c r="E20" s="6"/>
    </row>
    <row r="21" customFormat="false" ht="21.75" hidden="false" customHeight="true" outlineLevel="0" collapsed="false">
      <c r="A21" s="5" t="str">
        <f aca="false">IF(B21="","",ROW()-5)</f>
        <v/>
      </c>
      <c r="B21" s="6"/>
      <c r="C21" s="7"/>
      <c r="D21" s="6"/>
      <c r="E21" s="6"/>
    </row>
    <row r="22" customFormat="false" ht="21.75" hidden="false" customHeight="true" outlineLevel="0" collapsed="false">
      <c r="A22" s="5" t="str">
        <f aca="false">IF(B22="","",ROW()-5)</f>
        <v/>
      </c>
      <c r="B22" s="6"/>
      <c r="C22" s="7"/>
      <c r="D22" s="6"/>
      <c r="E22" s="6"/>
    </row>
    <row r="23" customFormat="false" ht="21.75" hidden="false" customHeight="true" outlineLevel="0" collapsed="false">
      <c r="A23" s="5" t="str">
        <f aca="false">IF(B23="","",ROW()-5)</f>
        <v/>
      </c>
      <c r="B23" s="6"/>
      <c r="C23" s="7"/>
      <c r="D23" s="6"/>
      <c r="E23" s="6"/>
    </row>
    <row r="24" customFormat="false" ht="21.75" hidden="false" customHeight="true" outlineLevel="0" collapsed="false">
      <c r="A24" s="5" t="str">
        <f aca="false">IF(B24="","",ROW()-5)</f>
        <v/>
      </c>
      <c r="B24" s="6"/>
      <c r="C24" s="7"/>
      <c r="D24" s="6"/>
      <c r="E24" s="6"/>
    </row>
    <row r="25" customFormat="false" ht="21.75" hidden="false" customHeight="true" outlineLevel="0" collapsed="false">
      <c r="A25" s="5" t="str">
        <f aca="false">IF(B25="","",ROW()-5)</f>
        <v/>
      </c>
      <c r="B25" s="6"/>
      <c r="C25" s="7"/>
      <c r="D25" s="6"/>
      <c r="E25" s="6"/>
    </row>
    <row r="26" customFormat="false" ht="21.75" hidden="false" customHeight="true" outlineLevel="0" collapsed="false">
      <c r="A26" s="5" t="str">
        <f aca="false">IF(B26="","",ROW()-5)</f>
        <v/>
      </c>
      <c r="B26" s="6"/>
      <c r="C26" s="7"/>
      <c r="D26" s="6"/>
      <c r="E26" s="6"/>
    </row>
    <row r="27" customFormat="false" ht="21.75" hidden="false" customHeight="true" outlineLevel="0" collapsed="false">
      <c r="A27" s="5" t="str">
        <f aca="false">IF(B27="","",ROW()-5)</f>
        <v/>
      </c>
      <c r="B27" s="6"/>
      <c r="C27" s="7"/>
      <c r="D27" s="6"/>
      <c r="E27" s="6"/>
    </row>
    <row r="28" customFormat="false" ht="21.75" hidden="false" customHeight="true" outlineLevel="0" collapsed="false">
      <c r="A28" s="5" t="str">
        <f aca="false">IF(B28="","",ROW()-5)</f>
        <v/>
      </c>
      <c r="B28" s="6"/>
      <c r="C28" s="7"/>
      <c r="D28" s="6"/>
      <c r="E28" s="6"/>
    </row>
    <row r="29" customFormat="false" ht="21.75" hidden="false" customHeight="true" outlineLevel="0" collapsed="false">
      <c r="A29" s="5" t="str">
        <f aca="false">IF(B29="","",ROW()-5)</f>
        <v/>
      </c>
      <c r="B29" s="6"/>
      <c r="C29" s="7"/>
      <c r="D29" s="6"/>
      <c r="E29" s="6"/>
    </row>
    <row r="30" customFormat="false" ht="21.75" hidden="false" customHeight="true" outlineLevel="0" collapsed="false">
      <c r="A30" s="5" t="str">
        <f aca="false">IF(B30="","",ROW()-5)</f>
        <v/>
      </c>
      <c r="B30" s="6"/>
      <c r="C30" s="7"/>
      <c r="D30" s="6"/>
      <c r="E30" s="6"/>
    </row>
    <row r="31" customFormat="false" ht="21.75" hidden="false" customHeight="true" outlineLevel="0" collapsed="false">
      <c r="A31" s="5" t="str">
        <f aca="false">IF(B31="","",ROW()-5)</f>
        <v/>
      </c>
      <c r="B31" s="6"/>
      <c r="C31" s="7"/>
      <c r="D31" s="6"/>
      <c r="E31" s="6"/>
    </row>
    <row r="32" customFormat="false" ht="21.75" hidden="false" customHeight="true" outlineLevel="0" collapsed="false">
      <c r="A32" s="5" t="str">
        <f aca="false">IF(B32="","",ROW()-5)</f>
        <v/>
      </c>
      <c r="B32" s="6"/>
      <c r="C32" s="7"/>
      <c r="D32" s="6"/>
      <c r="E32" s="6"/>
    </row>
    <row r="33" customFormat="false" ht="21.75" hidden="false" customHeight="true" outlineLevel="0" collapsed="false">
      <c r="A33" s="5" t="str">
        <f aca="false">IF(B33="","",ROW()-5)</f>
        <v/>
      </c>
      <c r="B33" s="6"/>
      <c r="C33" s="7"/>
      <c r="D33" s="6"/>
      <c r="E33" s="6"/>
    </row>
    <row r="34" customFormat="false" ht="21.75" hidden="false" customHeight="true" outlineLevel="0" collapsed="false">
      <c r="A34" s="5" t="str">
        <f aca="false">IF(B34="","",ROW()-5)</f>
        <v/>
      </c>
      <c r="B34" s="6"/>
      <c r="C34" s="7"/>
      <c r="D34" s="6"/>
      <c r="E34" s="6"/>
    </row>
    <row r="35" customFormat="false" ht="21.75" hidden="false" customHeight="true" outlineLevel="0" collapsed="false">
      <c r="A35" s="5" t="str">
        <f aca="false">IF(B35="","",ROW()-5)</f>
        <v/>
      </c>
      <c r="B35" s="6"/>
      <c r="C35" s="7"/>
      <c r="D35" s="6"/>
      <c r="E35" s="6"/>
    </row>
    <row r="37" customFormat="false" ht="15" hidden="false" customHeight="false" outlineLevel="0" collapsed="false">
      <c r="B37" s="28" t="s">
        <v>85</v>
      </c>
    </row>
  </sheetData>
  <mergeCells count="3">
    <mergeCell ref="A1:E1"/>
    <mergeCell ref="A2:E2"/>
    <mergeCell ref="A3:E3"/>
  </mergeCells>
  <dataValidations count="1">
    <dataValidation allowBlank="true" errorStyle="stop" operator="between" showDropDown="false" showErrorMessage="false" showInputMessage="false" sqref="D6:D35" type="list">
      <formula1>"طبلية,شوال,حبة,ساعة,يوم,نقلة,مقطوعية"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0"/>
  </cols>
  <sheetData>
    <row r="1" customFormat="false" ht="18.55" hidden="false" customHeight="false" outlineLevel="0" collapsed="false">
      <c r="B1" s="29" t="s">
        <v>86</v>
      </c>
    </row>
    <row r="3" customFormat="false" ht="15" hidden="false" customHeight="false" outlineLevel="0" collapsed="false">
      <c r="B3" s="30" t="s">
        <v>87</v>
      </c>
    </row>
    <row r="4" customFormat="false" ht="33.75" hidden="false" customHeight="true" outlineLevel="0" collapsed="false">
      <c r="A4" s="31" t="s">
        <v>88</v>
      </c>
      <c r="B4" s="32" t="s">
        <v>89</v>
      </c>
    </row>
    <row r="5" customFormat="false" ht="33.75" hidden="false" customHeight="true" outlineLevel="0" collapsed="false">
      <c r="A5" s="31" t="s">
        <v>90</v>
      </c>
      <c r="B5" s="32" t="s">
        <v>91</v>
      </c>
    </row>
    <row r="6" customFormat="false" ht="15" hidden="false" customHeight="false" outlineLevel="0" collapsed="false">
      <c r="B6" s="30" t="s">
        <v>92</v>
      </c>
    </row>
    <row r="7" customFormat="false" ht="33.75" hidden="false" customHeight="true" outlineLevel="0" collapsed="false">
      <c r="A7" s="31" t="s">
        <v>93</v>
      </c>
      <c r="B7" s="32" t="s">
        <v>94</v>
      </c>
    </row>
    <row r="8" customFormat="false" ht="33.75" hidden="false" customHeight="true" outlineLevel="0" collapsed="false">
      <c r="A8" s="31" t="s">
        <v>95</v>
      </c>
      <c r="B8" s="32" t="s">
        <v>96</v>
      </c>
    </row>
    <row r="9" customFormat="false" ht="33.75" hidden="false" customHeight="true" outlineLevel="0" collapsed="false">
      <c r="A9" s="31" t="s">
        <v>97</v>
      </c>
      <c r="B9" s="32" t="s">
        <v>98</v>
      </c>
    </row>
    <row r="10" customFormat="false" ht="15" hidden="false" customHeight="false" outlineLevel="0" collapsed="false">
      <c r="B10" s="30" t="s">
        <v>99</v>
      </c>
    </row>
    <row r="11" customFormat="false" ht="33.75" hidden="false" customHeight="true" outlineLevel="0" collapsed="false">
      <c r="A11" s="31" t="s">
        <v>100</v>
      </c>
      <c r="B11" s="32" t="s">
        <v>101</v>
      </c>
    </row>
    <row r="12" customFormat="false" ht="15" hidden="false" customHeight="false" outlineLevel="0" collapsed="false">
      <c r="B12" s="30" t="s">
        <v>102</v>
      </c>
    </row>
    <row r="13" customFormat="false" ht="33.75" hidden="false" customHeight="true" outlineLevel="0" collapsed="false">
      <c r="A13" s="31" t="s">
        <v>103</v>
      </c>
      <c r="B13" s="32" t="s">
        <v>104</v>
      </c>
    </row>
    <row r="14" customFormat="false" ht="15" hidden="false" customHeight="false" outlineLevel="0" collapsed="false">
      <c r="B14" s="30" t="s">
        <v>105</v>
      </c>
    </row>
    <row r="15" customFormat="false" ht="33.75" hidden="false" customHeight="true" outlineLevel="0" collapsed="false">
      <c r="A15" s="31" t="s">
        <v>106</v>
      </c>
      <c r="B15" s="3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2026-09-26T09:05:28Z</dcterms:created>
  <dc:creator>openpyxl</dc:creator>
  <dc:description/>
  <dc:language>en-US</dc:language>
  <cp:lastModifiedBy/>
  <dcterms:modified xsi:type="dcterms:W3CDTF">2026-09-26T09:05:28Z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