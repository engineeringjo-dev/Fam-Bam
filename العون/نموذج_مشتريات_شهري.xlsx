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فواتير" sheetId="1" state="visible" r:id="rId1"/>
    <sheet name="البنود" sheetId="2" state="visible" r:id="rId2"/>
    <sheet name="التعليمات" sheetId="3" state="visible" r:id="rId3"/>
  </sheets>
  <definedNames>
    <definedName name="فواتير_مفتوحة">OFFSET('البنود'!$N$7,0,0,MAX(1,SUMPRODUCT(--('البنود'!$N$7:$N$206&lt;&gt;""))),1)</definedName>
    <definedName name="_xlnm.Print_Titles" localSheetId="0">'الفواتير'!$1:$6</definedName>
    <definedName name="_xlnm.Print_Area" localSheetId="0">'الفواتير'!$A$1:$I$208</definedName>
    <definedName name="_xlnm.Print_Titles" localSheetId="1">'البنود'!$1:$6</definedName>
    <definedName name="_xlnm.Print_Area" localSheetId="1">'البنود'!$A$1:$F$608</definedName>
    <definedName name="_xlnm.Print_Area" localSheetId="2">'التعليمات'!$A$1:$B$29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0&quot;/&quot;00&quot;/&quot;0000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000000"/>
      <sz val="10"/>
    </font>
    <font>
      <name val="Arial"/>
      <b val="1"/>
      <color rgb="00000000"/>
      <sz val="13"/>
    </font>
    <font>
      <name val="Arial"/>
      <b val="1"/>
      <color rgb="00000000"/>
      <sz val="11"/>
    </font>
    <font>
      <name val="Arial"/>
      <b val="1"/>
      <color rgb="00000000"/>
      <sz val="12"/>
    </font>
    <font>
      <name val="Arial"/>
      <b val="1"/>
      <color rgb="00FFFFFF"/>
      <sz val="11"/>
    </font>
    <font>
      <name val="Arial"/>
      <color rgb="00000000"/>
      <sz val="11"/>
    </font>
    <font>
      <name val="Arial"/>
      <b val="1"/>
      <color rgb="00FFFFFF"/>
      <sz val="10"/>
    </font>
    <font>
      <name val="Arial"/>
      <b val="1"/>
      <color rgb="00FFFFFF"/>
      <sz val="12"/>
    </font>
    <font>
      <name val="Arial"/>
      <b val="1"/>
      <color rgb="001F4E6B"/>
      <sz val="11"/>
    </font>
  </fonts>
  <fills count="9">
    <fill>
      <patternFill/>
    </fill>
    <fill>
      <patternFill patternType="gray125"/>
    </fill>
    <fill>
      <patternFill patternType="solid">
        <fgColor rgb="001F4E6B"/>
      </patternFill>
    </fill>
    <fill>
      <patternFill patternType="solid">
        <fgColor rgb="00E8EDF0"/>
      </patternFill>
    </fill>
    <fill>
      <patternFill patternType="solid">
        <fgColor rgb="00FFF6CC"/>
      </patternFill>
    </fill>
    <fill>
      <patternFill patternType="solid">
        <fgColor rgb="00EDEDED"/>
      </patternFill>
    </fill>
    <fill>
      <patternFill patternType="solid">
        <fgColor rgb="00FFFFFF"/>
      </patternFill>
    </fill>
    <fill>
      <patternFill patternType="solid">
        <fgColor rgb="000F6E6E"/>
      </patternFill>
    </fill>
    <fill>
      <patternFill patternType="solid">
        <fgColor rgb="008A6A00"/>
      </patternFill>
    </fill>
  </fills>
  <borders count="3">
    <border>
      <left/>
      <right/>
      <top/>
      <bottom/>
      <diagonal/>
    </border>
    <border>
      <left style="thin">
        <color rgb="009AA5AD"/>
      </left>
      <right style="thin">
        <color rgb="009AA5AD"/>
      </right>
      <top style="thin">
        <color rgb="009AA5AD"/>
      </top>
      <bottom style="thin">
        <color rgb="009AA5AD"/>
      </bottom>
    </border>
    <border>
      <left style="thin">
        <color rgb="009AA5AD"/>
      </left>
      <right style="thin">
        <color rgb="009AA5AD"/>
      </right>
      <top style="medium">
        <color rgb="001F4E6B"/>
      </top>
      <bottom style="medium">
        <color rgb="001F4E6B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4" borderId="1" applyAlignment="1" applyProtection="1" pivotButton="0" quotePrefix="0" xfId="0">
      <alignment horizontal="center" vertical="center" wrapText="1"/>
      <protection locked="0" hidden="0"/>
    </xf>
    <xf numFmtId="0" fontId="0" fillId="0" borderId="1" pivotButton="0" quotePrefix="0" xfId="0"/>
    <xf numFmtId="0" fontId="4" fillId="5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6" borderId="1" applyAlignment="1" applyProtection="1" pivotButton="0" quotePrefix="0" xfId="0">
      <alignment horizontal="right" vertical="center" wrapText="1"/>
      <protection locked="0" hidden="0"/>
    </xf>
    <xf numFmtId="165" fontId="7" fillId="6" borderId="1" applyAlignment="1" applyProtection="1" pivotButton="0" quotePrefix="0" xfId="0">
      <alignment horizontal="center" vertical="center" wrapText="1"/>
      <protection locked="0" hidden="0"/>
    </xf>
    <xf numFmtId="0" fontId="7" fillId="6" borderId="1" applyAlignment="1" applyProtection="1" pivotButton="0" quotePrefix="0" xfId="0">
      <alignment horizontal="center" vertical="center" wrapText="1"/>
      <protection locked="0" hidden="0"/>
    </xf>
    <xf numFmtId="164" fontId="7" fillId="6" borderId="1" applyAlignment="1" applyProtection="1" pivotButton="0" quotePrefix="0" xfId="0">
      <alignment horizontal="center" vertical="center" wrapText="1"/>
      <protection locked="0" hidden="0"/>
    </xf>
    <xf numFmtId="164" fontId="7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8" fillId="7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center" vertical="center" wrapText="1"/>
    </xf>
    <xf numFmtId="0" fontId="8" fillId="8" borderId="0" applyAlignment="1" pivotButton="0" quotePrefix="0" xfId="0">
      <alignment horizontal="center" vertical="center" wrapText="1"/>
    </xf>
    <xf numFmtId="0" fontId="9" fillId="7" borderId="0" applyAlignment="1" pivotButton="0" quotePrefix="0" xfId="0">
      <alignment horizontal="right" vertical="center" wrapText="1"/>
    </xf>
    <xf numFmtId="0" fontId="10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right" vertical="top" wrapText="1"/>
    </xf>
  </cellXfs>
  <cellStyles count="1">
    <cellStyle name="Normal" xfId="0" builtinId="0" hidden="0"/>
  </cellStyles>
  <dxfs count="8">
    <dxf>
      <font>
        <name val="Arial"/>
        <b val="1"/>
        <color rgb="0017632A"/>
        <sz val="12"/>
      </font>
      <fill>
        <patternFill patternType="solid">
          <bgColor rgb="00D6F0D6"/>
        </patternFill>
      </fill>
    </dxf>
    <dxf>
      <font>
        <name val="Arial"/>
        <b val="1"/>
        <color rgb="00A11212"/>
        <sz val="12"/>
      </font>
      <fill>
        <patternFill patternType="solid">
          <bgColor rgb="00FBD5D5"/>
        </patternFill>
      </fill>
    </dxf>
    <dxf>
      <font>
        <name val="Arial"/>
        <b val="1"/>
        <color rgb="00A11212"/>
        <sz val="10"/>
      </font>
      <fill>
        <patternFill patternType="solid">
          <bgColor rgb="00FBD5D5"/>
        </patternFill>
      </fill>
    </dxf>
    <dxf>
      <font>
        <name val="Arial"/>
        <b val="1"/>
        <color rgb="0017632A"/>
        <sz val="10"/>
      </font>
      <fill>
        <patternFill patternType="solid">
          <bgColor rgb="00D6F0D6"/>
        </patternFill>
      </fill>
    </dxf>
    <dxf>
      <fill>
        <patternFill patternType="solid">
          <bgColor rgb="00FFD9A0"/>
        </patternFill>
      </fill>
    </dxf>
    <dxf>
      <font>
        <name val="Arial"/>
        <b val="1"/>
        <color rgb="00A11212"/>
        <sz val="11"/>
      </font>
      <fill>
        <patternFill patternType="solid">
          <bgColor rgb="00FFD9A0"/>
        </patternFill>
      </fill>
    </dxf>
    <dxf>
      <fill>
        <patternFill patternType="solid">
          <bgColor rgb="00FBD5D5"/>
        </patternFill>
      </fill>
    </dxf>
    <dxf>
      <font>
        <name val="Arial"/>
        <b val="1"/>
        <color rgb="008A6A00"/>
        <sz val="10"/>
      </font>
      <fill>
        <patternFill patternType="solid">
          <bgColor rgb="00FFF0C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208"/>
  <sheetViews>
    <sheetView showGridLines="0" rightToLeft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6" customWidth="1" min="3" max="3"/>
    <col width="14" customWidth="1" min="4" max="4"/>
    <col width="12" customWidth="1" min="5" max="5"/>
    <col width="12" customWidth="1" min="6" max="6"/>
    <col width="10" customWidth="1" min="7" max="7"/>
    <col width="12" customWidth="1" min="8" max="8"/>
    <col width="26" customWidth="1" min="9" max="9"/>
  </cols>
  <sheetData>
    <row r="1" ht="30" customHeight="1">
      <c r="A1" s="1" t="inlineStr">
        <is>
          <t>مشتريات البضاعة — محلات العون لمواد البناء</t>
        </is>
      </c>
    </row>
    <row r="2" ht="26" customHeight="1">
      <c r="A2" s="2" t="inlineStr">
        <is>
          <t>الشهر</t>
        </is>
      </c>
      <c r="B2" s="3" t="n"/>
      <c r="C2" s="4" t="n"/>
      <c r="D2" s="4" t="n"/>
      <c r="E2" s="4" t="n"/>
      <c r="F2" s="4" t="n"/>
      <c r="G2" s="4" t="n"/>
      <c r="H2" s="4" t="n"/>
      <c r="I2" s="4" t="n"/>
    </row>
    <row r="3"/>
    <row r="4" ht="26" customHeight="1">
      <c r="A4" s="2" t="inlineStr">
        <is>
          <t>عدد الفواتير</t>
        </is>
      </c>
      <c r="B4" s="5">
        <f>COUNTA(B7:B206)</f>
        <v/>
      </c>
      <c r="C4" s="2" t="inlineStr">
        <is>
          <t>مجموع الصافي</t>
        </is>
      </c>
      <c r="D4" s="6">
        <f>SUM(H7:H206)</f>
        <v/>
      </c>
      <c r="E4" s="7">
        <f>IF(B4=0,"⛔ ما في فواتير مُدخلة",IF(COUNTIF(I7:I206,"⛔*")+COUNTIF(I7:I206,"🟡*")&gt;0,"⛔ في "&amp;(COUNTIF(I7:I206,"⛔*")+COUNTIF(I7:I206,"🟡*"))&amp;" فاتورة ناقصة","✅ كل الفواتير مكتملة"))</f>
        <v/>
      </c>
    </row>
    <row r="5"/>
    <row r="6" ht="28" customHeight="1">
      <c r="A6" s="8" t="inlineStr">
        <is>
          <t>#</t>
        </is>
      </c>
      <c r="B6" s="8" t="inlineStr">
        <is>
          <t>المورد</t>
        </is>
      </c>
      <c r="C6" s="8" t="inlineStr">
        <is>
          <t>التاريخ</t>
        </is>
      </c>
      <c r="D6" s="8" t="inlineStr">
        <is>
          <t>رقم الفاتورة</t>
        </is>
      </c>
      <c r="E6" s="8" t="inlineStr">
        <is>
          <t>النوع</t>
        </is>
      </c>
      <c r="F6" s="8" t="inlineStr">
        <is>
          <t>المجموع</t>
        </is>
      </c>
      <c r="G6" s="8" t="inlineStr">
        <is>
          <t>الخصم</t>
        </is>
      </c>
      <c r="H6" s="8" t="inlineStr">
        <is>
          <t>الصافي</t>
        </is>
      </c>
      <c r="I6" s="8" t="inlineStr">
        <is>
          <t>الحالة</t>
        </is>
      </c>
    </row>
    <row r="7" ht="21" customHeight="1">
      <c r="A7" s="9">
        <f>IF(B7="","",ROW()-6)</f>
        <v/>
      </c>
      <c r="B7" s="10" t="n"/>
      <c r="C7" s="11" t="n"/>
      <c r="D7" s="12" t="n"/>
      <c r="E7" s="12" t="n"/>
      <c r="F7" s="13" t="n"/>
      <c r="G7" s="13" t="n"/>
      <c r="H7" s="14">
        <f>IF(F7="","",F7-N(G7))</f>
        <v/>
      </c>
      <c r="I7" s="15">
        <f>IF(B7="","",IF(E7="","⛔ اختر النوع",IF(E7="مطبوعة","📷 مع الصورة",IF(D7="","⛔ اكتب رقم الفاتورة",IF(SUMIF('البنود'!$B$7:$B$606,D7,'البنود'!$F$7:$F$606)=0,"🟡 بنودها ما انزلت",IF(ROUND(SUMIF('البنود'!$B$7:$B$606,D7,'البنود'!$F$7:$F$606)-N(F7),3)=0,"✅ خلصت — البنود مطابقة","⛔ فرق "&amp;TEXT(N(F7)-SUMIF('البنود'!$B$7:$B$606,D7,'البنود'!$F$7:$F$606),"0.000")))))))</f>
        <v/>
      </c>
    </row>
    <row r="8" ht="21" customHeight="1">
      <c r="A8" s="9">
        <f>IF(B8="","",ROW()-6)</f>
        <v/>
      </c>
      <c r="B8" s="10" t="n"/>
      <c r="C8" s="11" t="n"/>
      <c r="D8" s="12" t="n"/>
      <c r="E8" s="12" t="n"/>
      <c r="F8" s="13" t="n"/>
      <c r="G8" s="13" t="n"/>
      <c r="H8" s="14">
        <f>IF(F8="","",F8-N(G8))</f>
        <v/>
      </c>
      <c r="I8" s="15">
        <f>IF(B8="","",IF(E8="","⛔ اختر النوع",IF(E8="مطبوعة","📷 مع الصورة",IF(D8="","⛔ اكتب رقم الفاتورة",IF(SUMIF('البنود'!$B$7:$B$606,D8,'البنود'!$F$7:$F$606)=0,"🟡 بنودها ما انزلت",IF(ROUND(SUMIF('البنود'!$B$7:$B$606,D8,'البنود'!$F$7:$F$606)-N(F8),3)=0,"✅ خلصت — البنود مطابقة","⛔ فرق "&amp;TEXT(N(F8)-SUMIF('البنود'!$B$7:$B$606,D8,'البنود'!$F$7:$F$606),"0.000")))))))</f>
        <v/>
      </c>
    </row>
    <row r="9" ht="21" customHeight="1">
      <c r="A9" s="9">
        <f>IF(B9="","",ROW()-6)</f>
        <v/>
      </c>
      <c r="B9" s="10" t="n"/>
      <c r="C9" s="11" t="n"/>
      <c r="D9" s="12" t="n"/>
      <c r="E9" s="12" t="n"/>
      <c r="F9" s="13" t="n"/>
      <c r="G9" s="13" t="n"/>
      <c r="H9" s="14">
        <f>IF(F9="","",F9-N(G9))</f>
        <v/>
      </c>
      <c r="I9" s="15">
        <f>IF(B9="","",IF(E9="","⛔ اختر النوع",IF(E9="مطبوعة","📷 مع الصورة",IF(D9="","⛔ اكتب رقم الفاتورة",IF(SUMIF('البنود'!$B$7:$B$606,D9,'البنود'!$F$7:$F$606)=0,"🟡 بنودها ما انزلت",IF(ROUND(SUMIF('البنود'!$B$7:$B$606,D9,'البنود'!$F$7:$F$606)-N(F9),3)=0,"✅ خلصت — البنود مطابقة","⛔ فرق "&amp;TEXT(N(F9)-SUMIF('البنود'!$B$7:$B$606,D9,'البنود'!$F$7:$F$606),"0.000")))))))</f>
        <v/>
      </c>
    </row>
    <row r="10" ht="21" customHeight="1">
      <c r="A10" s="9">
        <f>IF(B10="","",ROW()-6)</f>
        <v/>
      </c>
      <c r="B10" s="10" t="n"/>
      <c r="C10" s="11" t="n"/>
      <c r="D10" s="12" t="n"/>
      <c r="E10" s="12" t="n"/>
      <c r="F10" s="13" t="n"/>
      <c r="G10" s="13" t="n"/>
      <c r="H10" s="14">
        <f>IF(F10="","",F10-N(G10))</f>
        <v/>
      </c>
      <c r="I10" s="15">
        <f>IF(B10="","",IF(E10="","⛔ اختر النوع",IF(E10="مطبوعة","📷 مع الصورة",IF(D10="","⛔ اكتب رقم الفاتورة",IF(SUMIF('البنود'!$B$7:$B$606,D10,'البنود'!$F$7:$F$606)=0,"🟡 بنودها ما انزلت",IF(ROUND(SUMIF('البنود'!$B$7:$B$606,D10,'البنود'!$F$7:$F$606)-N(F10),3)=0,"✅ خلصت — البنود مطابقة","⛔ فرق "&amp;TEXT(N(F10)-SUMIF('البنود'!$B$7:$B$606,D10,'البنود'!$F$7:$F$606),"0.000")))))))</f>
        <v/>
      </c>
    </row>
    <row r="11" ht="21" customHeight="1">
      <c r="A11" s="9">
        <f>IF(B11="","",ROW()-6)</f>
        <v/>
      </c>
      <c r="B11" s="10" t="n"/>
      <c r="C11" s="11" t="n"/>
      <c r="D11" s="12" t="n"/>
      <c r="E11" s="12" t="n"/>
      <c r="F11" s="13" t="n"/>
      <c r="G11" s="13" t="n"/>
      <c r="H11" s="14">
        <f>IF(F11="","",F11-N(G11))</f>
        <v/>
      </c>
      <c r="I11" s="15">
        <f>IF(B11="","",IF(E11="","⛔ اختر النوع",IF(E11="مطبوعة","📷 مع الصورة",IF(D11="","⛔ اكتب رقم الفاتورة",IF(SUMIF('البنود'!$B$7:$B$606,D11,'البنود'!$F$7:$F$606)=0,"🟡 بنودها ما انزلت",IF(ROUND(SUMIF('البنود'!$B$7:$B$606,D11,'البنود'!$F$7:$F$606)-N(F11),3)=0,"✅ خلصت — البنود مطابقة","⛔ فرق "&amp;TEXT(N(F11)-SUMIF('البنود'!$B$7:$B$606,D11,'البنود'!$F$7:$F$606),"0.000")))))))</f>
        <v/>
      </c>
    </row>
    <row r="12" ht="21" customHeight="1">
      <c r="A12" s="9">
        <f>IF(B12="","",ROW()-6)</f>
        <v/>
      </c>
      <c r="B12" s="10" t="n"/>
      <c r="C12" s="11" t="n"/>
      <c r="D12" s="12" t="n"/>
      <c r="E12" s="12" t="n"/>
      <c r="F12" s="13" t="n"/>
      <c r="G12" s="13" t="n"/>
      <c r="H12" s="14">
        <f>IF(F12="","",F12-N(G12))</f>
        <v/>
      </c>
      <c r="I12" s="15">
        <f>IF(B12="","",IF(E12="","⛔ اختر النوع",IF(E12="مطبوعة","📷 مع الصورة",IF(D12="","⛔ اكتب رقم الفاتورة",IF(SUMIF('البنود'!$B$7:$B$606,D12,'البنود'!$F$7:$F$606)=0,"🟡 بنودها ما انزلت",IF(ROUND(SUMIF('البنود'!$B$7:$B$606,D12,'البنود'!$F$7:$F$606)-N(F12),3)=0,"✅ خلصت — البنود مطابقة","⛔ فرق "&amp;TEXT(N(F12)-SUMIF('البنود'!$B$7:$B$606,D12,'البنود'!$F$7:$F$606),"0.000")))))))</f>
        <v/>
      </c>
    </row>
    <row r="13" ht="21" customHeight="1">
      <c r="A13" s="9">
        <f>IF(B13="","",ROW()-6)</f>
        <v/>
      </c>
      <c r="B13" s="10" t="n"/>
      <c r="C13" s="11" t="n"/>
      <c r="D13" s="12" t="n"/>
      <c r="E13" s="12" t="n"/>
      <c r="F13" s="13" t="n"/>
      <c r="G13" s="13" t="n"/>
      <c r="H13" s="14">
        <f>IF(F13="","",F13-N(G13))</f>
        <v/>
      </c>
      <c r="I13" s="15">
        <f>IF(B13="","",IF(E13="","⛔ اختر النوع",IF(E13="مطبوعة","📷 مع الصورة",IF(D13="","⛔ اكتب رقم الفاتورة",IF(SUMIF('البنود'!$B$7:$B$606,D13,'البنود'!$F$7:$F$606)=0,"🟡 بنودها ما انزلت",IF(ROUND(SUMIF('البنود'!$B$7:$B$606,D13,'البنود'!$F$7:$F$606)-N(F13),3)=0,"✅ خلصت — البنود مطابقة","⛔ فرق "&amp;TEXT(N(F13)-SUMIF('البنود'!$B$7:$B$606,D13,'البنود'!$F$7:$F$606),"0.000")))))))</f>
        <v/>
      </c>
    </row>
    <row r="14" ht="21" customHeight="1">
      <c r="A14" s="9">
        <f>IF(B14="","",ROW()-6)</f>
        <v/>
      </c>
      <c r="B14" s="10" t="n"/>
      <c r="C14" s="11" t="n"/>
      <c r="D14" s="12" t="n"/>
      <c r="E14" s="12" t="n"/>
      <c r="F14" s="13" t="n"/>
      <c r="G14" s="13" t="n"/>
      <c r="H14" s="14">
        <f>IF(F14="","",F14-N(G14))</f>
        <v/>
      </c>
      <c r="I14" s="15">
        <f>IF(B14="","",IF(E14="","⛔ اختر النوع",IF(E14="مطبوعة","📷 مع الصورة",IF(D14="","⛔ اكتب رقم الفاتورة",IF(SUMIF('البنود'!$B$7:$B$606,D14,'البنود'!$F$7:$F$606)=0,"🟡 بنودها ما انزلت",IF(ROUND(SUMIF('البنود'!$B$7:$B$606,D14,'البنود'!$F$7:$F$606)-N(F14),3)=0,"✅ خلصت — البنود مطابقة","⛔ فرق "&amp;TEXT(N(F14)-SUMIF('البنود'!$B$7:$B$606,D14,'البنود'!$F$7:$F$606),"0.000")))))))</f>
        <v/>
      </c>
    </row>
    <row r="15" ht="21" customHeight="1">
      <c r="A15" s="9">
        <f>IF(B15="","",ROW()-6)</f>
        <v/>
      </c>
      <c r="B15" s="10" t="n"/>
      <c r="C15" s="11" t="n"/>
      <c r="D15" s="12" t="n"/>
      <c r="E15" s="12" t="n"/>
      <c r="F15" s="13" t="n"/>
      <c r="G15" s="13" t="n"/>
      <c r="H15" s="14">
        <f>IF(F15="","",F15-N(G15))</f>
        <v/>
      </c>
      <c r="I15" s="15">
        <f>IF(B15="","",IF(E15="","⛔ اختر النوع",IF(E15="مطبوعة","📷 مع الصورة",IF(D15="","⛔ اكتب رقم الفاتورة",IF(SUMIF('البنود'!$B$7:$B$606,D15,'البنود'!$F$7:$F$606)=0,"🟡 بنودها ما انزلت",IF(ROUND(SUMIF('البنود'!$B$7:$B$606,D15,'البنود'!$F$7:$F$606)-N(F15),3)=0,"✅ خلصت — البنود مطابقة","⛔ فرق "&amp;TEXT(N(F15)-SUMIF('البنود'!$B$7:$B$606,D15,'البنود'!$F$7:$F$606),"0.000")))))))</f>
        <v/>
      </c>
    </row>
    <row r="16" ht="21" customHeight="1">
      <c r="A16" s="9">
        <f>IF(B16="","",ROW()-6)</f>
        <v/>
      </c>
      <c r="B16" s="10" t="n"/>
      <c r="C16" s="11" t="n"/>
      <c r="D16" s="12" t="n"/>
      <c r="E16" s="12" t="n"/>
      <c r="F16" s="13" t="n"/>
      <c r="G16" s="13" t="n"/>
      <c r="H16" s="14">
        <f>IF(F16="","",F16-N(G16))</f>
        <v/>
      </c>
      <c r="I16" s="15">
        <f>IF(B16="","",IF(E16="","⛔ اختر النوع",IF(E16="مطبوعة","📷 مع الصورة",IF(D16="","⛔ اكتب رقم الفاتورة",IF(SUMIF('البنود'!$B$7:$B$606,D16,'البنود'!$F$7:$F$606)=0,"🟡 بنودها ما انزلت",IF(ROUND(SUMIF('البنود'!$B$7:$B$606,D16,'البنود'!$F$7:$F$606)-N(F16),3)=0,"✅ خلصت — البنود مطابقة","⛔ فرق "&amp;TEXT(N(F16)-SUMIF('البنود'!$B$7:$B$606,D16,'البنود'!$F$7:$F$606),"0.000")))))))</f>
        <v/>
      </c>
    </row>
    <row r="17" ht="21" customHeight="1">
      <c r="A17" s="9">
        <f>IF(B17="","",ROW()-6)</f>
        <v/>
      </c>
      <c r="B17" s="10" t="n"/>
      <c r="C17" s="11" t="n"/>
      <c r="D17" s="12" t="n"/>
      <c r="E17" s="12" t="n"/>
      <c r="F17" s="13" t="n"/>
      <c r="G17" s="13" t="n"/>
      <c r="H17" s="14">
        <f>IF(F17="","",F17-N(G17))</f>
        <v/>
      </c>
      <c r="I17" s="15">
        <f>IF(B17="","",IF(E17="","⛔ اختر النوع",IF(E17="مطبوعة","📷 مع الصورة",IF(D17="","⛔ اكتب رقم الفاتورة",IF(SUMIF('البنود'!$B$7:$B$606,D17,'البنود'!$F$7:$F$606)=0,"🟡 بنودها ما انزلت",IF(ROUND(SUMIF('البنود'!$B$7:$B$606,D17,'البنود'!$F$7:$F$606)-N(F17),3)=0,"✅ خلصت — البنود مطابقة","⛔ فرق "&amp;TEXT(N(F17)-SUMIF('البنود'!$B$7:$B$606,D17,'البنود'!$F$7:$F$606),"0.000")))))))</f>
        <v/>
      </c>
    </row>
    <row r="18" ht="21" customHeight="1">
      <c r="A18" s="9">
        <f>IF(B18="","",ROW()-6)</f>
        <v/>
      </c>
      <c r="B18" s="10" t="n"/>
      <c r="C18" s="11" t="n"/>
      <c r="D18" s="12" t="n"/>
      <c r="E18" s="12" t="n"/>
      <c r="F18" s="13" t="n"/>
      <c r="G18" s="13" t="n"/>
      <c r="H18" s="14">
        <f>IF(F18="","",F18-N(G18))</f>
        <v/>
      </c>
      <c r="I18" s="15">
        <f>IF(B18="","",IF(E18="","⛔ اختر النوع",IF(E18="مطبوعة","📷 مع الصورة",IF(D18="","⛔ اكتب رقم الفاتورة",IF(SUMIF('البنود'!$B$7:$B$606,D18,'البنود'!$F$7:$F$606)=0,"🟡 بنودها ما انزلت",IF(ROUND(SUMIF('البنود'!$B$7:$B$606,D18,'البنود'!$F$7:$F$606)-N(F18),3)=0,"✅ خلصت — البنود مطابقة","⛔ فرق "&amp;TEXT(N(F18)-SUMIF('البنود'!$B$7:$B$606,D18,'البنود'!$F$7:$F$606),"0.000")))))))</f>
        <v/>
      </c>
    </row>
    <row r="19" ht="21" customHeight="1">
      <c r="A19" s="9">
        <f>IF(B19="","",ROW()-6)</f>
        <v/>
      </c>
      <c r="B19" s="10" t="n"/>
      <c r="C19" s="11" t="n"/>
      <c r="D19" s="12" t="n"/>
      <c r="E19" s="12" t="n"/>
      <c r="F19" s="13" t="n"/>
      <c r="G19" s="13" t="n"/>
      <c r="H19" s="14">
        <f>IF(F19="","",F19-N(G19))</f>
        <v/>
      </c>
      <c r="I19" s="15">
        <f>IF(B19="","",IF(E19="","⛔ اختر النوع",IF(E19="مطبوعة","📷 مع الصورة",IF(D19="","⛔ اكتب رقم الفاتورة",IF(SUMIF('البنود'!$B$7:$B$606,D19,'البنود'!$F$7:$F$606)=0,"🟡 بنودها ما انزلت",IF(ROUND(SUMIF('البنود'!$B$7:$B$606,D19,'البنود'!$F$7:$F$606)-N(F19),3)=0,"✅ خلصت — البنود مطابقة","⛔ فرق "&amp;TEXT(N(F19)-SUMIF('البنود'!$B$7:$B$606,D19,'البنود'!$F$7:$F$606),"0.000")))))))</f>
        <v/>
      </c>
    </row>
    <row r="20" ht="21" customHeight="1">
      <c r="A20" s="9">
        <f>IF(B20="","",ROW()-6)</f>
        <v/>
      </c>
      <c r="B20" s="10" t="n"/>
      <c r="C20" s="11" t="n"/>
      <c r="D20" s="12" t="n"/>
      <c r="E20" s="12" t="n"/>
      <c r="F20" s="13" t="n"/>
      <c r="G20" s="13" t="n"/>
      <c r="H20" s="14">
        <f>IF(F20="","",F20-N(G20))</f>
        <v/>
      </c>
      <c r="I20" s="15">
        <f>IF(B20="","",IF(E20="","⛔ اختر النوع",IF(E20="مطبوعة","📷 مع الصورة",IF(D20="","⛔ اكتب رقم الفاتورة",IF(SUMIF('البنود'!$B$7:$B$606,D20,'البنود'!$F$7:$F$606)=0,"🟡 بنودها ما انزلت",IF(ROUND(SUMIF('البنود'!$B$7:$B$606,D20,'البنود'!$F$7:$F$606)-N(F20),3)=0,"✅ خلصت — البنود مطابقة","⛔ فرق "&amp;TEXT(N(F20)-SUMIF('البنود'!$B$7:$B$606,D20,'البنود'!$F$7:$F$606),"0.000")))))))</f>
        <v/>
      </c>
    </row>
    <row r="21" ht="21" customHeight="1">
      <c r="A21" s="9">
        <f>IF(B21="","",ROW()-6)</f>
        <v/>
      </c>
      <c r="B21" s="10" t="n"/>
      <c r="C21" s="11" t="n"/>
      <c r="D21" s="12" t="n"/>
      <c r="E21" s="12" t="n"/>
      <c r="F21" s="13" t="n"/>
      <c r="G21" s="13" t="n"/>
      <c r="H21" s="14">
        <f>IF(F21="","",F21-N(G21))</f>
        <v/>
      </c>
      <c r="I21" s="15">
        <f>IF(B21="","",IF(E21="","⛔ اختر النوع",IF(E21="مطبوعة","📷 مع الصورة",IF(D21="","⛔ اكتب رقم الفاتورة",IF(SUMIF('البنود'!$B$7:$B$606,D21,'البنود'!$F$7:$F$606)=0,"🟡 بنودها ما انزلت",IF(ROUND(SUMIF('البنود'!$B$7:$B$606,D21,'البنود'!$F$7:$F$606)-N(F21),3)=0,"✅ خلصت — البنود مطابقة","⛔ فرق "&amp;TEXT(N(F21)-SUMIF('البنود'!$B$7:$B$606,D21,'البنود'!$F$7:$F$606),"0.000")))))))</f>
        <v/>
      </c>
    </row>
    <row r="22" ht="21" customHeight="1">
      <c r="A22" s="9">
        <f>IF(B22="","",ROW()-6)</f>
        <v/>
      </c>
      <c r="B22" s="10" t="n"/>
      <c r="C22" s="11" t="n"/>
      <c r="D22" s="12" t="n"/>
      <c r="E22" s="12" t="n"/>
      <c r="F22" s="13" t="n"/>
      <c r="G22" s="13" t="n"/>
      <c r="H22" s="14">
        <f>IF(F22="","",F22-N(G22))</f>
        <v/>
      </c>
      <c r="I22" s="15">
        <f>IF(B22="","",IF(E22="","⛔ اختر النوع",IF(E22="مطبوعة","📷 مع الصورة",IF(D22="","⛔ اكتب رقم الفاتورة",IF(SUMIF('البنود'!$B$7:$B$606,D22,'البنود'!$F$7:$F$606)=0,"🟡 بنودها ما انزلت",IF(ROUND(SUMIF('البنود'!$B$7:$B$606,D22,'البنود'!$F$7:$F$606)-N(F22),3)=0,"✅ خلصت — البنود مطابقة","⛔ فرق "&amp;TEXT(N(F22)-SUMIF('البنود'!$B$7:$B$606,D22,'البنود'!$F$7:$F$606),"0.000")))))))</f>
        <v/>
      </c>
    </row>
    <row r="23" ht="21" customHeight="1">
      <c r="A23" s="9">
        <f>IF(B23="","",ROW()-6)</f>
        <v/>
      </c>
      <c r="B23" s="10" t="n"/>
      <c r="C23" s="11" t="n"/>
      <c r="D23" s="12" t="n"/>
      <c r="E23" s="12" t="n"/>
      <c r="F23" s="13" t="n"/>
      <c r="G23" s="13" t="n"/>
      <c r="H23" s="14">
        <f>IF(F23="","",F23-N(G23))</f>
        <v/>
      </c>
      <c r="I23" s="15">
        <f>IF(B23="","",IF(E23="","⛔ اختر النوع",IF(E23="مطبوعة","📷 مع الصورة",IF(D23="","⛔ اكتب رقم الفاتورة",IF(SUMIF('البنود'!$B$7:$B$606,D23,'البنود'!$F$7:$F$606)=0,"🟡 بنودها ما انزلت",IF(ROUND(SUMIF('البنود'!$B$7:$B$606,D23,'البنود'!$F$7:$F$606)-N(F23),3)=0,"✅ خلصت — البنود مطابقة","⛔ فرق "&amp;TEXT(N(F23)-SUMIF('البنود'!$B$7:$B$606,D23,'البنود'!$F$7:$F$606),"0.000")))))))</f>
        <v/>
      </c>
    </row>
    <row r="24" ht="21" customHeight="1">
      <c r="A24" s="9">
        <f>IF(B24="","",ROW()-6)</f>
        <v/>
      </c>
      <c r="B24" s="10" t="n"/>
      <c r="C24" s="11" t="n"/>
      <c r="D24" s="12" t="n"/>
      <c r="E24" s="12" t="n"/>
      <c r="F24" s="13" t="n"/>
      <c r="G24" s="13" t="n"/>
      <c r="H24" s="14">
        <f>IF(F24="","",F24-N(G24))</f>
        <v/>
      </c>
      <c r="I24" s="15">
        <f>IF(B24="","",IF(E24="","⛔ اختر النوع",IF(E24="مطبوعة","📷 مع الصورة",IF(D24="","⛔ اكتب رقم الفاتورة",IF(SUMIF('البنود'!$B$7:$B$606,D24,'البنود'!$F$7:$F$606)=0,"🟡 بنودها ما انزلت",IF(ROUND(SUMIF('البنود'!$B$7:$B$606,D24,'البنود'!$F$7:$F$606)-N(F24),3)=0,"✅ خلصت — البنود مطابقة","⛔ فرق "&amp;TEXT(N(F24)-SUMIF('البنود'!$B$7:$B$606,D24,'البنود'!$F$7:$F$606),"0.000")))))))</f>
        <v/>
      </c>
    </row>
    <row r="25" ht="21" customHeight="1">
      <c r="A25" s="9">
        <f>IF(B25="","",ROW()-6)</f>
        <v/>
      </c>
      <c r="B25" s="10" t="n"/>
      <c r="C25" s="11" t="n"/>
      <c r="D25" s="12" t="n"/>
      <c r="E25" s="12" t="n"/>
      <c r="F25" s="13" t="n"/>
      <c r="G25" s="13" t="n"/>
      <c r="H25" s="14">
        <f>IF(F25="","",F25-N(G25))</f>
        <v/>
      </c>
      <c r="I25" s="15">
        <f>IF(B25="","",IF(E25="","⛔ اختر النوع",IF(E25="مطبوعة","📷 مع الصورة",IF(D25="","⛔ اكتب رقم الفاتورة",IF(SUMIF('البنود'!$B$7:$B$606,D25,'البنود'!$F$7:$F$606)=0,"🟡 بنودها ما انزلت",IF(ROUND(SUMIF('البنود'!$B$7:$B$606,D25,'البنود'!$F$7:$F$606)-N(F25),3)=0,"✅ خلصت — البنود مطابقة","⛔ فرق "&amp;TEXT(N(F25)-SUMIF('البنود'!$B$7:$B$606,D25,'البنود'!$F$7:$F$606),"0.000")))))))</f>
        <v/>
      </c>
    </row>
    <row r="26" ht="21" customHeight="1">
      <c r="A26" s="9">
        <f>IF(B26="","",ROW()-6)</f>
        <v/>
      </c>
      <c r="B26" s="10" t="n"/>
      <c r="C26" s="11" t="n"/>
      <c r="D26" s="12" t="n"/>
      <c r="E26" s="12" t="n"/>
      <c r="F26" s="13" t="n"/>
      <c r="G26" s="13" t="n"/>
      <c r="H26" s="14">
        <f>IF(F26="","",F26-N(G26))</f>
        <v/>
      </c>
      <c r="I26" s="15">
        <f>IF(B26="","",IF(E26="","⛔ اختر النوع",IF(E26="مطبوعة","📷 مع الصورة",IF(D26="","⛔ اكتب رقم الفاتورة",IF(SUMIF('البنود'!$B$7:$B$606,D26,'البنود'!$F$7:$F$606)=0,"🟡 بنودها ما انزلت",IF(ROUND(SUMIF('البنود'!$B$7:$B$606,D26,'البنود'!$F$7:$F$606)-N(F26),3)=0,"✅ خلصت — البنود مطابقة","⛔ فرق "&amp;TEXT(N(F26)-SUMIF('البنود'!$B$7:$B$606,D26,'البنود'!$F$7:$F$606),"0.000")))))))</f>
        <v/>
      </c>
    </row>
    <row r="27" ht="21" customHeight="1">
      <c r="A27" s="9">
        <f>IF(B27="","",ROW()-6)</f>
        <v/>
      </c>
      <c r="B27" s="10" t="n"/>
      <c r="C27" s="11" t="n"/>
      <c r="D27" s="12" t="n"/>
      <c r="E27" s="12" t="n"/>
      <c r="F27" s="13" t="n"/>
      <c r="G27" s="13" t="n"/>
      <c r="H27" s="14">
        <f>IF(F27="","",F27-N(G27))</f>
        <v/>
      </c>
      <c r="I27" s="15">
        <f>IF(B27="","",IF(E27="","⛔ اختر النوع",IF(E27="مطبوعة","📷 مع الصورة",IF(D27="","⛔ اكتب رقم الفاتورة",IF(SUMIF('البنود'!$B$7:$B$606,D27,'البنود'!$F$7:$F$606)=0,"🟡 بنودها ما انزلت",IF(ROUND(SUMIF('البنود'!$B$7:$B$606,D27,'البنود'!$F$7:$F$606)-N(F27),3)=0,"✅ خلصت — البنود مطابقة","⛔ فرق "&amp;TEXT(N(F27)-SUMIF('البنود'!$B$7:$B$606,D27,'البنود'!$F$7:$F$606),"0.000")))))))</f>
        <v/>
      </c>
    </row>
    <row r="28" ht="21" customHeight="1">
      <c r="A28" s="9">
        <f>IF(B28="","",ROW()-6)</f>
        <v/>
      </c>
      <c r="B28" s="10" t="n"/>
      <c r="C28" s="11" t="n"/>
      <c r="D28" s="12" t="n"/>
      <c r="E28" s="12" t="n"/>
      <c r="F28" s="13" t="n"/>
      <c r="G28" s="13" t="n"/>
      <c r="H28" s="14">
        <f>IF(F28="","",F28-N(G28))</f>
        <v/>
      </c>
      <c r="I28" s="15">
        <f>IF(B28="","",IF(E28="","⛔ اختر النوع",IF(E28="مطبوعة","📷 مع الصورة",IF(D28="","⛔ اكتب رقم الفاتورة",IF(SUMIF('البنود'!$B$7:$B$606,D28,'البنود'!$F$7:$F$606)=0,"🟡 بنودها ما انزلت",IF(ROUND(SUMIF('البنود'!$B$7:$B$606,D28,'البنود'!$F$7:$F$606)-N(F28),3)=0,"✅ خلصت — البنود مطابقة","⛔ فرق "&amp;TEXT(N(F28)-SUMIF('البنود'!$B$7:$B$606,D28,'البنود'!$F$7:$F$606),"0.000")))))))</f>
        <v/>
      </c>
    </row>
    <row r="29" ht="21" customHeight="1">
      <c r="A29" s="9">
        <f>IF(B29="","",ROW()-6)</f>
        <v/>
      </c>
      <c r="B29" s="10" t="n"/>
      <c r="C29" s="11" t="n"/>
      <c r="D29" s="12" t="n"/>
      <c r="E29" s="12" t="n"/>
      <c r="F29" s="13" t="n"/>
      <c r="G29" s="13" t="n"/>
      <c r="H29" s="14">
        <f>IF(F29="","",F29-N(G29))</f>
        <v/>
      </c>
      <c r="I29" s="15">
        <f>IF(B29="","",IF(E29="","⛔ اختر النوع",IF(E29="مطبوعة","📷 مع الصورة",IF(D29="","⛔ اكتب رقم الفاتورة",IF(SUMIF('البنود'!$B$7:$B$606,D29,'البنود'!$F$7:$F$606)=0,"🟡 بنودها ما انزلت",IF(ROUND(SUMIF('البنود'!$B$7:$B$606,D29,'البنود'!$F$7:$F$606)-N(F29),3)=0,"✅ خلصت — البنود مطابقة","⛔ فرق "&amp;TEXT(N(F29)-SUMIF('البنود'!$B$7:$B$606,D29,'البنود'!$F$7:$F$606),"0.000")))))))</f>
        <v/>
      </c>
    </row>
    <row r="30" ht="21" customHeight="1">
      <c r="A30" s="9">
        <f>IF(B30="","",ROW()-6)</f>
        <v/>
      </c>
      <c r="B30" s="10" t="n"/>
      <c r="C30" s="11" t="n"/>
      <c r="D30" s="12" t="n"/>
      <c r="E30" s="12" t="n"/>
      <c r="F30" s="13" t="n"/>
      <c r="G30" s="13" t="n"/>
      <c r="H30" s="14">
        <f>IF(F30="","",F30-N(G30))</f>
        <v/>
      </c>
      <c r="I30" s="15">
        <f>IF(B30="","",IF(E30="","⛔ اختر النوع",IF(E30="مطبوعة","📷 مع الصورة",IF(D30="","⛔ اكتب رقم الفاتورة",IF(SUMIF('البنود'!$B$7:$B$606,D30,'البنود'!$F$7:$F$606)=0,"🟡 بنودها ما انزلت",IF(ROUND(SUMIF('البنود'!$B$7:$B$606,D30,'البنود'!$F$7:$F$606)-N(F30),3)=0,"✅ خلصت — البنود مطابقة","⛔ فرق "&amp;TEXT(N(F30)-SUMIF('البنود'!$B$7:$B$606,D30,'البنود'!$F$7:$F$606),"0.000")))))))</f>
        <v/>
      </c>
    </row>
    <row r="31" ht="21" customHeight="1">
      <c r="A31" s="9">
        <f>IF(B31="","",ROW()-6)</f>
        <v/>
      </c>
      <c r="B31" s="10" t="n"/>
      <c r="C31" s="11" t="n"/>
      <c r="D31" s="12" t="n"/>
      <c r="E31" s="12" t="n"/>
      <c r="F31" s="13" t="n"/>
      <c r="G31" s="13" t="n"/>
      <c r="H31" s="14">
        <f>IF(F31="","",F31-N(G31))</f>
        <v/>
      </c>
      <c r="I31" s="15">
        <f>IF(B31="","",IF(E31="","⛔ اختر النوع",IF(E31="مطبوعة","📷 مع الصورة",IF(D31="","⛔ اكتب رقم الفاتورة",IF(SUMIF('البنود'!$B$7:$B$606,D31,'البنود'!$F$7:$F$606)=0,"🟡 بنودها ما انزلت",IF(ROUND(SUMIF('البنود'!$B$7:$B$606,D31,'البنود'!$F$7:$F$606)-N(F31),3)=0,"✅ خلصت — البنود مطابقة","⛔ فرق "&amp;TEXT(N(F31)-SUMIF('البنود'!$B$7:$B$606,D31,'البنود'!$F$7:$F$606),"0.000")))))))</f>
        <v/>
      </c>
    </row>
    <row r="32" ht="21" customHeight="1">
      <c r="A32" s="9">
        <f>IF(B32="","",ROW()-6)</f>
        <v/>
      </c>
      <c r="B32" s="10" t="n"/>
      <c r="C32" s="11" t="n"/>
      <c r="D32" s="12" t="n"/>
      <c r="E32" s="12" t="n"/>
      <c r="F32" s="13" t="n"/>
      <c r="G32" s="13" t="n"/>
      <c r="H32" s="14">
        <f>IF(F32="","",F32-N(G32))</f>
        <v/>
      </c>
      <c r="I32" s="15">
        <f>IF(B32="","",IF(E32="","⛔ اختر النوع",IF(E32="مطبوعة","📷 مع الصورة",IF(D32="","⛔ اكتب رقم الفاتورة",IF(SUMIF('البنود'!$B$7:$B$606,D32,'البنود'!$F$7:$F$606)=0,"🟡 بنودها ما انزلت",IF(ROUND(SUMIF('البنود'!$B$7:$B$606,D32,'البنود'!$F$7:$F$606)-N(F32),3)=0,"✅ خلصت — البنود مطابقة","⛔ فرق "&amp;TEXT(N(F32)-SUMIF('البنود'!$B$7:$B$606,D32,'البنود'!$F$7:$F$606),"0.000")))))))</f>
        <v/>
      </c>
    </row>
    <row r="33" ht="21" customHeight="1">
      <c r="A33" s="9">
        <f>IF(B33="","",ROW()-6)</f>
        <v/>
      </c>
      <c r="B33" s="10" t="n"/>
      <c r="C33" s="11" t="n"/>
      <c r="D33" s="12" t="n"/>
      <c r="E33" s="12" t="n"/>
      <c r="F33" s="13" t="n"/>
      <c r="G33" s="13" t="n"/>
      <c r="H33" s="14">
        <f>IF(F33="","",F33-N(G33))</f>
        <v/>
      </c>
      <c r="I33" s="15">
        <f>IF(B33="","",IF(E33="","⛔ اختر النوع",IF(E33="مطبوعة","📷 مع الصورة",IF(D33="","⛔ اكتب رقم الفاتورة",IF(SUMIF('البنود'!$B$7:$B$606,D33,'البنود'!$F$7:$F$606)=0,"🟡 بنودها ما انزلت",IF(ROUND(SUMIF('البنود'!$B$7:$B$606,D33,'البنود'!$F$7:$F$606)-N(F33),3)=0,"✅ خلصت — البنود مطابقة","⛔ فرق "&amp;TEXT(N(F33)-SUMIF('البنود'!$B$7:$B$606,D33,'البنود'!$F$7:$F$606),"0.000")))))))</f>
        <v/>
      </c>
    </row>
    <row r="34" ht="21" customHeight="1">
      <c r="A34" s="9">
        <f>IF(B34="","",ROW()-6)</f>
        <v/>
      </c>
      <c r="B34" s="10" t="n"/>
      <c r="C34" s="11" t="n"/>
      <c r="D34" s="12" t="n"/>
      <c r="E34" s="12" t="n"/>
      <c r="F34" s="13" t="n"/>
      <c r="G34" s="13" t="n"/>
      <c r="H34" s="14">
        <f>IF(F34="","",F34-N(G34))</f>
        <v/>
      </c>
      <c r="I34" s="15">
        <f>IF(B34="","",IF(E34="","⛔ اختر النوع",IF(E34="مطبوعة","📷 مع الصورة",IF(D34="","⛔ اكتب رقم الفاتورة",IF(SUMIF('البنود'!$B$7:$B$606,D34,'البنود'!$F$7:$F$606)=0,"🟡 بنودها ما انزلت",IF(ROUND(SUMIF('البنود'!$B$7:$B$606,D34,'البنود'!$F$7:$F$606)-N(F34),3)=0,"✅ خلصت — البنود مطابقة","⛔ فرق "&amp;TEXT(N(F34)-SUMIF('البنود'!$B$7:$B$606,D34,'البنود'!$F$7:$F$606),"0.000")))))))</f>
        <v/>
      </c>
    </row>
    <row r="35" ht="21" customHeight="1">
      <c r="A35" s="9">
        <f>IF(B35="","",ROW()-6)</f>
        <v/>
      </c>
      <c r="B35" s="10" t="n"/>
      <c r="C35" s="11" t="n"/>
      <c r="D35" s="12" t="n"/>
      <c r="E35" s="12" t="n"/>
      <c r="F35" s="13" t="n"/>
      <c r="G35" s="13" t="n"/>
      <c r="H35" s="14">
        <f>IF(F35="","",F35-N(G35))</f>
        <v/>
      </c>
      <c r="I35" s="15">
        <f>IF(B35="","",IF(E35="","⛔ اختر النوع",IF(E35="مطبوعة","📷 مع الصورة",IF(D35="","⛔ اكتب رقم الفاتورة",IF(SUMIF('البنود'!$B$7:$B$606,D35,'البنود'!$F$7:$F$606)=0,"🟡 بنودها ما انزلت",IF(ROUND(SUMIF('البنود'!$B$7:$B$606,D35,'البنود'!$F$7:$F$606)-N(F35),3)=0,"✅ خلصت — البنود مطابقة","⛔ فرق "&amp;TEXT(N(F35)-SUMIF('البنود'!$B$7:$B$606,D35,'البنود'!$F$7:$F$606),"0.000")))))))</f>
        <v/>
      </c>
    </row>
    <row r="36" ht="21" customHeight="1">
      <c r="A36" s="9">
        <f>IF(B36="","",ROW()-6)</f>
        <v/>
      </c>
      <c r="B36" s="10" t="n"/>
      <c r="C36" s="11" t="n"/>
      <c r="D36" s="12" t="n"/>
      <c r="E36" s="12" t="n"/>
      <c r="F36" s="13" t="n"/>
      <c r="G36" s="13" t="n"/>
      <c r="H36" s="14">
        <f>IF(F36="","",F36-N(G36))</f>
        <v/>
      </c>
      <c r="I36" s="15">
        <f>IF(B36="","",IF(E36="","⛔ اختر النوع",IF(E36="مطبوعة","📷 مع الصورة",IF(D36="","⛔ اكتب رقم الفاتورة",IF(SUMIF('البنود'!$B$7:$B$606,D36,'البنود'!$F$7:$F$606)=0,"🟡 بنودها ما انزلت",IF(ROUND(SUMIF('البنود'!$B$7:$B$606,D36,'البنود'!$F$7:$F$606)-N(F36),3)=0,"✅ خلصت — البنود مطابقة","⛔ فرق "&amp;TEXT(N(F36)-SUMIF('البنود'!$B$7:$B$606,D36,'البنود'!$F$7:$F$606),"0.000")))))))</f>
        <v/>
      </c>
    </row>
    <row r="37" ht="21" customHeight="1">
      <c r="A37" s="9">
        <f>IF(B37="","",ROW()-6)</f>
        <v/>
      </c>
      <c r="B37" s="10" t="n"/>
      <c r="C37" s="11" t="n"/>
      <c r="D37" s="12" t="n"/>
      <c r="E37" s="12" t="n"/>
      <c r="F37" s="13" t="n"/>
      <c r="G37" s="13" t="n"/>
      <c r="H37" s="14">
        <f>IF(F37="","",F37-N(G37))</f>
        <v/>
      </c>
      <c r="I37" s="15">
        <f>IF(B37="","",IF(E37="","⛔ اختر النوع",IF(E37="مطبوعة","📷 مع الصورة",IF(D37="","⛔ اكتب رقم الفاتورة",IF(SUMIF('البنود'!$B$7:$B$606,D37,'البنود'!$F$7:$F$606)=0,"🟡 بنودها ما انزلت",IF(ROUND(SUMIF('البنود'!$B$7:$B$606,D37,'البنود'!$F$7:$F$606)-N(F37),3)=0,"✅ خلصت — البنود مطابقة","⛔ فرق "&amp;TEXT(N(F37)-SUMIF('البنود'!$B$7:$B$606,D37,'البنود'!$F$7:$F$606),"0.000")))))))</f>
        <v/>
      </c>
    </row>
    <row r="38" ht="21" customHeight="1">
      <c r="A38" s="9">
        <f>IF(B38="","",ROW()-6)</f>
        <v/>
      </c>
      <c r="B38" s="10" t="n"/>
      <c r="C38" s="11" t="n"/>
      <c r="D38" s="12" t="n"/>
      <c r="E38" s="12" t="n"/>
      <c r="F38" s="13" t="n"/>
      <c r="G38" s="13" t="n"/>
      <c r="H38" s="14">
        <f>IF(F38="","",F38-N(G38))</f>
        <v/>
      </c>
      <c r="I38" s="15">
        <f>IF(B38="","",IF(E38="","⛔ اختر النوع",IF(E38="مطبوعة","📷 مع الصورة",IF(D38="","⛔ اكتب رقم الفاتورة",IF(SUMIF('البنود'!$B$7:$B$606,D38,'البنود'!$F$7:$F$606)=0,"🟡 بنودها ما انزلت",IF(ROUND(SUMIF('البنود'!$B$7:$B$606,D38,'البنود'!$F$7:$F$606)-N(F38),3)=0,"✅ خلصت — البنود مطابقة","⛔ فرق "&amp;TEXT(N(F38)-SUMIF('البنود'!$B$7:$B$606,D38,'البنود'!$F$7:$F$606),"0.000")))))))</f>
        <v/>
      </c>
    </row>
    <row r="39" ht="21" customHeight="1">
      <c r="A39" s="9">
        <f>IF(B39="","",ROW()-6)</f>
        <v/>
      </c>
      <c r="B39" s="10" t="n"/>
      <c r="C39" s="11" t="n"/>
      <c r="D39" s="12" t="n"/>
      <c r="E39" s="12" t="n"/>
      <c r="F39" s="13" t="n"/>
      <c r="G39" s="13" t="n"/>
      <c r="H39" s="14">
        <f>IF(F39="","",F39-N(G39))</f>
        <v/>
      </c>
      <c r="I39" s="15">
        <f>IF(B39="","",IF(E39="","⛔ اختر النوع",IF(E39="مطبوعة","📷 مع الصورة",IF(D39="","⛔ اكتب رقم الفاتورة",IF(SUMIF('البنود'!$B$7:$B$606,D39,'البنود'!$F$7:$F$606)=0,"🟡 بنودها ما انزلت",IF(ROUND(SUMIF('البنود'!$B$7:$B$606,D39,'البنود'!$F$7:$F$606)-N(F39),3)=0,"✅ خلصت — البنود مطابقة","⛔ فرق "&amp;TEXT(N(F39)-SUMIF('البنود'!$B$7:$B$606,D39,'البنود'!$F$7:$F$606),"0.000")))))))</f>
        <v/>
      </c>
    </row>
    <row r="40" ht="21" customHeight="1">
      <c r="A40" s="9">
        <f>IF(B40="","",ROW()-6)</f>
        <v/>
      </c>
      <c r="B40" s="10" t="n"/>
      <c r="C40" s="11" t="n"/>
      <c r="D40" s="12" t="n"/>
      <c r="E40" s="12" t="n"/>
      <c r="F40" s="13" t="n"/>
      <c r="G40" s="13" t="n"/>
      <c r="H40" s="14">
        <f>IF(F40="","",F40-N(G40))</f>
        <v/>
      </c>
      <c r="I40" s="15">
        <f>IF(B40="","",IF(E40="","⛔ اختر النوع",IF(E40="مطبوعة","📷 مع الصورة",IF(D40="","⛔ اكتب رقم الفاتورة",IF(SUMIF('البنود'!$B$7:$B$606,D40,'البنود'!$F$7:$F$606)=0,"🟡 بنودها ما انزلت",IF(ROUND(SUMIF('البنود'!$B$7:$B$606,D40,'البنود'!$F$7:$F$606)-N(F40),3)=0,"✅ خلصت — البنود مطابقة","⛔ فرق "&amp;TEXT(N(F40)-SUMIF('البنود'!$B$7:$B$606,D40,'البنود'!$F$7:$F$606),"0.000")))))))</f>
        <v/>
      </c>
    </row>
    <row r="41" ht="21" customHeight="1">
      <c r="A41" s="9">
        <f>IF(B41="","",ROW()-6)</f>
        <v/>
      </c>
      <c r="B41" s="10" t="n"/>
      <c r="C41" s="11" t="n"/>
      <c r="D41" s="12" t="n"/>
      <c r="E41" s="12" t="n"/>
      <c r="F41" s="13" t="n"/>
      <c r="G41" s="13" t="n"/>
      <c r="H41" s="14">
        <f>IF(F41="","",F41-N(G41))</f>
        <v/>
      </c>
      <c r="I41" s="15">
        <f>IF(B41="","",IF(E41="","⛔ اختر النوع",IF(E41="مطبوعة","📷 مع الصورة",IF(D41="","⛔ اكتب رقم الفاتورة",IF(SUMIF('البنود'!$B$7:$B$606,D41,'البنود'!$F$7:$F$606)=0,"🟡 بنودها ما انزلت",IF(ROUND(SUMIF('البنود'!$B$7:$B$606,D41,'البنود'!$F$7:$F$606)-N(F41),3)=0,"✅ خلصت — البنود مطابقة","⛔ فرق "&amp;TEXT(N(F41)-SUMIF('البنود'!$B$7:$B$606,D41,'البنود'!$F$7:$F$606),"0.000")))))))</f>
        <v/>
      </c>
    </row>
    <row r="42" ht="21" customHeight="1">
      <c r="A42" s="9">
        <f>IF(B42="","",ROW()-6)</f>
        <v/>
      </c>
      <c r="B42" s="10" t="n"/>
      <c r="C42" s="11" t="n"/>
      <c r="D42" s="12" t="n"/>
      <c r="E42" s="12" t="n"/>
      <c r="F42" s="13" t="n"/>
      <c r="G42" s="13" t="n"/>
      <c r="H42" s="14">
        <f>IF(F42="","",F42-N(G42))</f>
        <v/>
      </c>
      <c r="I42" s="15">
        <f>IF(B42="","",IF(E42="","⛔ اختر النوع",IF(E42="مطبوعة","📷 مع الصورة",IF(D42="","⛔ اكتب رقم الفاتورة",IF(SUMIF('البنود'!$B$7:$B$606,D42,'البنود'!$F$7:$F$606)=0,"🟡 بنودها ما انزلت",IF(ROUND(SUMIF('البنود'!$B$7:$B$606,D42,'البنود'!$F$7:$F$606)-N(F42),3)=0,"✅ خلصت — البنود مطابقة","⛔ فرق "&amp;TEXT(N(F42)-SUMIF('البنود'!$B$7:$B$606,D42,'البنود'!$F$7:$F$606),"0.000")))))))</f>
        <v/>
      </c>
    </row>
    <row r="43" ht="21" customHeight="1">
      <c r="A43" s="9">
        <f>IF(B43="","",ROW()-6)</f>
        <v/>
      </c>
      <c r="B43" s="10" t="n"/>
      <c r="C43" s="11" t="n"/>
      <c r="D43" s="12" t="n"/>
      <c r="E43" s="12" t="n"/>
      <c r="F43" s="13" t="n"/>
      <c r="G43" s="13" t="n"/>
      <c r="H43" s="14">
        <f>IF(F43="","",F43-N(G43))</f>
        <v/>
      </c>
      <c r="I43" s="15">
        <f>IF(B43="","",IF(E43="","⛔ اختر النوع",IF(E43="مطبوعة","📷 مع الصورة",IF(D43="","⛔ اكتب رقم الفاتورة",IF(SUMIF('البنود'!$B$7:$B$606,D43,'البنود'!$F$7:$F$606)=0,"🟡 بنودها ما انزلت",IF(ROUND(SUMIF('البنود'!$B$7:$B$606,D43,'البنود'!$F$7:$F$606)-N(F43),3)=0,"✅ خلصت — البنود مطابقة","⛔ فرق "&amp;TEXT(N(F43)-SUMIF('البنود'!$B$7:$B$606,D43,'البنود'!$F$7:$F$606),"0.000")))))))</f>
        <v/>
      </c>
    </row>
    <row r="44" ht="21" customHeight="1">
      <c r="A44" s="9">
        <f>IF(B44="","",ROW()-6)</f>
        <v/>
      </c>
      <c r="B44" s="10" t="n"/>
      <c r="C44" s="11" t="n"/>
      <c r="D44" s="12" t="n"/>
      <c r="E44" s="12" t="n"/>
      <c r="F44" s="13" t="n"/>
      <c r="G44" s="13" t="n"/>
      <c r="H44" s="14">
        <f>IF(F44="","",F44-N(G44))</f>
        <v/>
      </c>
      <c r="I44" s="15">
        <f>IF(B44="","",IF(E44="","⛔ اختر النوع",IF(E44="مطبوعة","📷 مع الصورة",IF(D44="","⛔ اكتب رقم الفاتورة",IF(SUMIF('البنود'!$B$7:$B$606,D44,'البنود'!$F$7:$F$606)=0,"🟡 بنودها ما انزلت",IF(ROUND(SUMIF('البنود'!$B$7:$B$606,D44,'البنود'!$F$7:$F$606)-N(F44),3)=0,"✅ خلصت — البنود مطابقة","⛔ فرق "&amp;TEXT(N(F44)-SUMIF('البنود'!$B$7:$B$606,D44,'البنود'!$F$7:$F$606),"0.000")))))))</f>
        <v/>
      </c>
    </row>
    <row r="45" ht="21" customHeight="1">
      <c r="A45" s="9">
        <f>IF(B45="","",ROW()-6)</f>
        <v/>
      </c>
      <c r="B45" s="10" t="n"/>
      <c r="C45" s="11" t="n"/>
      <c r="D45" s="12" t="n"/>
      <c r="E45" s="12" t="n"/>
      <c r="F45" s="13" t="n"/>
      <c r="G45" s="13" t="n"/>
      <c r="H45" s="14">
        <f>IF(F45="","",F45-N(G45))</f>
        <v/>
      </c>
      <c r="I45" s="15">
        <f>IF(B45="","",IF(E45="","⛔ اختر النوع",IF(E45="مطبوعة","📷 مع الصورة",IF(D45="","⛔ اكتب رقم الفاتورة",IF(SUMIF('البنود'!$B$7:$B$606,D45,'البنود'!$F$7:$F$606)=0,"🟡 بنودها ما انزلت",IF(ROUND(SUMIF('البنود'!$B$7:$B$606,D45,'البنود'!$F$7:$F$606)-N(F45),3)=0,"✅ خلصت — البنود مطابقة","⛔ فرق "&amp;TEXT(N(F45)-SUMIF('البنود'!$B$7:$B$606,D45,'البنود'!$F$7:$F$606),"0.000")))))))</f>
        <v/>
      </c>
    </row>
    <row r="46" ht="21" customHeight="1">
      <c r="A46" s="9">
        <f>IF(B46="","",ROW()-6)</f>
        <v/>
      </c>
      <c r="B46" s="10" t="n"/>
      <c r="C46" s="11" t="n"/>
      <c r="D46" s="12" t="n"/>
      <c r="E46" s="12" t="n"/>
      <c r="F46" s="13" t="n"/>
      <c r="G46" s="13" t="n"/>
      <c r="H46" s="14">
        <f>IF(F46="","",F46-N(G46))</f>
        <v/>
      </c>
      <c r="I46" s="15">
        <f>IF(B46="","",IF(E46="","⛔ اختر النوع",IF(E46="مطبوعة","📷 مع الصورة",IF(D46="","⛔ اكتب رقم الفاتورة",IF(SUMIF('البنود'!$B$7:$B$606,D46,'البنود'!$F$7:$F$606)=0,"🟡 بنودها ما انزلت",IF(ROUND(SUMIF('البنود'!$B$7:$B$606,D46,'البنود'!$F$7:$F$606)-N(F46),3)=0,"✅ خلصت — البنود مطابقة","⛔ فرق "&amp;TEXT(N(F46)-SUMIF('البنود'!$B$7:$B$606,D46,'البنود'!$F$7:$F$606),"0.000")))))))</f>
        <v/>
      </c>
    </row>
    <row r="47" ht="21" customHeight="1">
      <c r="A47" s="9">
        <f>IF(B47="","",ROW()-6)</f>
        <v/>
      </c>
      <c r="B47" s="10" t="n"/>
      <c r="C47" s="11" t="n"/>
      <c r="D47" s="12" t="n"/>
      <c r="E47" s="12" t="n"/>
      <c r="F47" s="13" t="n"/>
      <c r="G47" s="13" t="n"/>
      <c r="H47" s="14">
        <f>IF(F47="","",F47-N(G47))</f>
        <v/>
      </c>
      <c r="I47" s="15">
        <f>IF(B47="","",IF(E47="","⛔ اختر النوع",IF(E47="مطبوعة","📷 مع الصورة",IF(D47="","⛔ اكتب رقم الفاتورة",IF(SUMIF('البنود'!$B$7:$B$606,D47,'البنود'!$F$7:$F$606)=0,"🟡 بنودها ما انزلت",IF(ROUND(SUMIF('البنود'!$B$7:$B$606,D47,'البنود'!$F$7:$F$606)-N(F47),3)=0,"✅ خلصت — البنود مطابقة","⛔ فرق "&amp;TEXT(N(F47)-SUMIF('البنود'!$B$7:$B$606,D47,'البنود'!$F$7:$F$606),"0.000")))))))</f>
        <v/>
      </c>
    </row>
    <row r="48" ht="21" customHeight="1">
      <c r="A48" s="9">
        <f>IF(B48="","",ROW()-6)</f>
        <v/>
      </c>
      <c r="B48" s="10" t="n"/>
      <c r="C48" s="11" t="n"/>
      <c r="D48" s="12" t="n"/>
      <c r="E48" s="12" t="n"/>
      <c r="F48" s="13" t="n"/>
      <c r="G48" s="13" t="n"/>
      <c r="H48" s="14">
        <f>IF(F48="","",F48-N(G48))</f>
        <v/>
      </c>
      <c r="I48" s="15">
        <f>IF(B48="","",IF(E48="","⛔ اختر النوع",IF(E48="مطبوعة","📷 مع الصورة",IF(D48="","⛔ اكتب رقم الفاتورة",IF(SUMIF('البنود'!$B$7:$B$606,D48,'البنود'!$F$7:$F$606)=0,"🟡 بنودها ما انزلت",IF(ROUND(SUMIF('البنود'!$B$7:$B$606,D48,'البنود'!$F$7:$F$606)-N(F48),3)=0,"✅ خلصت — البنود مطابقة","⛔ فرق "&amp;TEXT(N(F48)-SUMIF('البنود'!$B$7:$B$606,D48,'البنود'!$F$7:$F$606),"0.000")))))))</f>
        <v/>
      </c>
    </row>
    <row r="49" ht="21" customHeight="1">
      <c r="A49" s="9">
        <f>IF(B49="","",ROW()-6)</f>
        <v/>
      </c>
      <c r="B49" s="10" t="n"/>
      <c r="C49" s="11" t="n"/>
      <c r="D49" s="12" t="n"/>
      <c r="E49" s="12" t="n"/>
      <c r="F49" s="13" t="n"/>
      <c r="G49" s="13" t="n"/>
      <c r="H49" s="14">
        <f>IF(F49="","",F49-N(G49))</f>
        <v/>
      </c>
      <c r="I49" s="15">
        <f>IF(B49="","",IF(E49="","⛔ اختر النوع",IF(E49="مطبوعة","📷 مع الصورة",IF(D49="","⛔ اكتب رقم الفاتورة",IF(SUMIF('البنود'!$B$7:$B$606,D49,'البنود'!$F$7:$F$606)=0,"🟡 بنودها ما انزلت",IF(ROUND(SUMIF('البنود'!$B$7:$B$606,D49,'البنود'!$F$7:$F$606)-N(F49),3)=0,"✅ خلصت — البنود مطابقة","⛔ فرق "&amp;TEXT(N(F49)-SUMIF('البنود'!$B$7:$B$606,D49,'البنود'!$F$7:$F$606),"0.000")))))))</f>
        <v/>
      </c>
    </row>
    <row r="50" ht="21" customHeight="1">
      <c r="A50" s="9">
        <f>IF(B50="","",ROW()-6)</f>
        <v/>
      </c>
      <c r="B50" s="10" t="n"/>
      <c r="C50" s="11" t="n"/>
      <c r="D50" s="12" t="n"/>
      <c r="E50" s="12" t="n"/>
      <c r="F50" s="13" t="n"/>
      <c r="G50" s="13" t="n"/>
      <c r="H50" s="14">
        <f>IF(F50="","",F50-N(G50))</f>
        <v/>
      </c>
      <c r="I50" s="15">
        <f>IF(B50="","",IF(E50="","⛔ اختر النوع",IF(E50="مطبوعة","📷 مع الصورة",IF(D50="","⛔ اكتب رقم الفاتورة",IF(SUMIF('البنود'!$B$7:$B$606,D50,'البنود'!$F$7:$F$606)=0,"🟡 بنودها ما انزلت",IF(ROUND(SUMIF('البنود'!$B$7:$B$606,D50,'البنود'!$F$7:$F$606)-N(F50),3)=0,"✅ خلصت — البنود مطابقة","⛔ فرق "&amp;TEXT(N(F50)-SUMIF('البنود'!$B$7:$B$606,D50,'البنود'!$F$7:$F$606),"0.000")))))))</f>
        <v/>
      </c>
    </row>
    <row r="51" ht="21" customHeight="1">
      <c r="A51" s="9">
        <f>IF(B51="","",ROW()-6)</f>
        <v/>
      </c>
      <c r="B51" s="10" t="n"/>
      <c r="C51" s="11" t="n"/>
      <c r="D51" s="12" t="n"/>
      <c r="E51" s="12" t="n"/>
      <c r="F51" s="13" t="n"/>
      <c r="G51" s="13" t="n"/>
      <c r="H51" s="14">
        <f>IF(F51="","",F51-N(G51))</f>
        <v/>
      </c>
      <c r="I51" s="15">
        <f>IF(B51="","",IF(E51="","⛔ اختر النوع",IF(E51="مطبوعة","📷 مع الصورة",IF(D51="","⛔ اكتب رقم الفاتورة",IF(SUMIF('البنود'!$B$7:$B$606,D51,'البنود'!$F$7:$F$606)=0,"🟡 بنودها ما انزلت",IF(ROUND(SUMIF('البنود'!$B$7:$B$606,D51,'البنود'!$F$7:$F$606)-N(F51),3)=0,"✅ خلصت — البنود مطابقة","⛔ فرق "&amp;TEXT(N(F51)-SUMIF('البنود'!$B$7:$B$606,D51,'البنود'!$F$7:$F$606),"0.000")))))))</f>
        <v/>
      </c>
    </row>
    <row r="52" ht="21" customHeight="1">
      <c r="A52" s="9">
        <f>IF(B52="","",ROW()-6)</f>
        <v/>
      </c>
      <c r="B52" s="10" t="n"/>
      <c r="C52" s="11" t="n"/>
      <c r="D52" s="12" t="n"/>
      <c r="E52" s="12" t="n"/>
      <c r="F52" s="13" t="n"/>
      <c r="G52" s="13" t="n"/>
      <c r="H52" s="14">
        <f>IF(F52="","",F52-N(G52))</f>
        <v/>
      </c>
      <c r="I52" s="15">
        <f>IF(B52="","",IF(E52="","⛔ اختر النوع",IF(E52="مطبوعة","📷 مع الصورة",IF(D52="","⛔ اكتب رقم الفاتورة",IF(SUMIF('البنود'!$B$7:$B$606,D52,'البنود'!$F$7:$F$606)=0,"🟡 بنودها ما انزلت",IF(ROUND(SUMIF('البنود'!$B$7:$B$606,D52,'البنود'!$F$7:$F$606)-N(F52),3)=0,"✅ خلصت — البنود مطابقة","⛔ فرق "&amp;TEXT(N(F52)-SUMIF('البنود'!$B$7:$B$606,D52,'البنود'!$F$7:$F$606),"0.000")))))))</f>
        <v/>
      </c>
    </row>
    <row r="53" ht="21" customHeight="1">
      <c r="A53" s="9">
        <f>IF(B53="","",ROW()-6)</f>
        <v/>
      </c>
      <c r="B53" s="10" t="n"/>
      <c r="C53" s="11" t="n"/>
      <c r="D53" s="12" t="n"/>
      <c r="E53" s="12" t="n"/>
      <c r="F53" s="13" t="n"/>
      <c r="G53" s="13" t="n"/>
      <c r="H53" s="14">
        <f>IF(F53="","",F53-N(G53))</f>
        <v/>
      </c>
      <c r="I53" s="15">
        <f>IF(B53="","",IF(E53="","⛔ اختر النوع",IF(E53="مطبوعة","📷 مع الصورة",IF(D53="","⛔ اكتب رقم الفاتورة",IF(SUMIF('البنود'!$B$7:$B$606,D53,'البنود'!$F$7:$F$606)=0,"🟡 بنودها ما انزلت",IF(ROUND(SUMIF('البنود'!$B$7:$B$606,D53,'البنود'!$F$7:$F$606)-N(F53),3)=0,"✅ خلصت — البنود مطابقة","⛔ فرق "&amp;TEXT(N(F53)-SUMIF('البنود'!$B$7:$B$606,D53,'البنود'!$F$7:$F$606),"0.000")))))))</f>
        <v/>
      </c>
    </row>
    <row r="54" ht="21" customHeight="1">
      <c r="A54" s="9">
        <f>IF(B54="","",ROW()-6)</f>
        <v/>
      </c>
      <c r="B54" s="10" t="n"/>
      <c r="C54" s="11" t="n"/>
      <c r="D54" s="12" t="n"/>
      <c r="E54" s="12" t="n"/>
      <c r="F54" s="13" t="n"/>
      <c r="G54" s="13" t="n"/>
      <c r="H54" s="14">
        <f>IF(F54="","",F54-N(G54))</f>
        <v/>
      </c>
      <c r="I54" s="15">
        <f>IF(B54="","",IF(E54="","⛔ اختر النوع",IF(E54="مطبوعة","📷 مع الصورة",IF(D54="","⛔ اكتب رقم الفاتورة",IF(SUMIF('البنود'!$B$7:$B$606,D54,'البنود'!$F$7:$F$606)=0,"🟡 بنودها ما انزلت",IF(ROUND(SUMIF('البنود'!$B$7:$B$606,D54,'البنود'!$F$7:$F$606)-N(F54),3)=0,"✅ خلصت — البنود مطابقة","⛔ فرق "&amp;TEXT(N(F54)-SUMIF('البنود'!$B$7:$B$606,D54,'البنود'!$F$7:$F$606),"0.000")))))))</f>
        <v/>
      </c>
    </row>
    <row r="55" ht="21" customHeight="1">
      <c r="A55" s="9">
        <f>IF(B55="","",ROW()-6)</f>
        <v/>
      </c>
      <c r="B55" s="10" t="n"/>
      <c r="C55" s="11" t="n"/>
      <c r="D55" s="12" t="n"/>
      <c r="E55" s="12" t="n"/>
      <c r="F55" s="13" t="n"/>
      <c r="G55" s="13" t="n"/>
      <c r="H55" s="14">
        <f>IF(F55="","",F55-N(G55))</f>
        <v/>
      </c>
      <c r="I55" s="15">
        <f>IF(B55="","",IF(E55="","⛔ اختر النوع",IF(E55="مطبوعة","📷 مع الصورة",IF(D55="","⛔ اكتب رقم الفاتورة",IF(SUMIF('البنود'!$B$7:$B$606,D55,'البنود'!$F$7:$F$606)=0,"🟡 بنودها ما انزلت",IF(ROUND(SUMIF('البنود'!$B$7:$B$606,D55,'البنود'!$F$7:$F$606)-N(F55),3)=0,"✅ خلصت — البنود مطابقة","⛔ فرق "&amp;TEXT(N(F55)-SUMIF('البنود'!$B$7:$B$606,D55,'البنود'!$F$7:$F$606),"0.000")))))))</f>
        <v/>
      </c>
    </row>
    <row r="56" ht="21" customHeight="1">
      <c r="A56" s="9">
        <f>IF(B56="","",ROW()-6)</f>
        <v/>
      </c>
      <c r="B56" s="10" t="n"/>
      <c r="C56" s="11" t="n"/>
      <c r="D56" s="12" t="n"/>
      <c r="E56" s="12" t="n"/>
      <c r="F56" s="13" t="n"/>
      <c r="G56" s="13" t="n"/>
      <c r="H56" s="14">
        <f>IF(F56="","",F56-N(G56))</f>
        <v/>
      </c>
      <c r="I56" s="15">
        <f>IF(B56="","",IF(E56="","⛔ اختر النوع",IF(E56="مطبوعة","📷 مع الصورة",IF(D56="","⛔ اكتب رقم الفاتورة",IF(SUMIF('البنود'!$B$7:$B$606,D56,'البنود'!$F$7:$F$606)=0,"🟡 بنودها ما انزلت",IF(ROUND(SUMIF('البنود'!$B$7:$B$606,D56,'البنود'!$F$7:$F$606)-N(F56),3)=0,"✅ خلصت — البنود مطابقة","⛔ فرق "&amp;TEXT(N(F56)-SUMIF('البنود'!$B$7:$B$606,D56,'البنود'!$F$7:$F$606),"0.000")))))))</f>
        <v/>
      </c>
    </row>
    <row r="57" ht="21" customHeight="1">
      <c r="A57" s="9">
        <f>IF(B57="","",ROW()-6)</f>
        <v/>
      </c>
      <c r="B57" s="10" t="n"/>
      <c r="C57" s="11" t="n"/>
      <c r="D57" s="12" t="n"/>
      <c r="E57" s="12" t="n"/>
      <c r="F57" s="13" t="n"/>
      <c r="G57" s="13" t="n"/>
      <c r="H57" s="14">
        <f>IF(F57="","",F57-N(G57))</f>
        <v/>
      </c>
      <c r="I57" s="15">
        <f>IF(B57="","",IF(E57="","⛔ اختر النوع",IF(E57="مطبوعة","📷 مع الصورة",IF(D57="","⛔ اكتب رقم الفاتورة",IF(SUMIF('البنود'!$B$7:$B$606,D57,'البنود'!$F$7:$F$606)=0,"🟡 بنودها ما انزلت",IF(ROUND(SUMIF('البنود'!$B$7:$B$606,D57,'البنود'!$F$7:$F$606)-N(F57),3)=0,"✅ خلصت — البنود مطابقة","⛔ فرق "&amp;TEXT(N(F57)-SUMIF('البنود'!$B$7:$B$606,D57,'البنود'!$F$7:$F$606),"0.000")))))))</f>
        <v/>
      </c>
    </row>
    <row r="58" ht="21" customHeight="1">
      <c r="A58" s="9">
        <f>IF(B58="","",ROW()-6)</f>
        <v/>
      </c>
      <c r="B58" s="10" t="n"/>
      <c r="C58" s="11" t="n"/>
      <c r="D58" s="12" t="n"/>
      <c r="E58" s="12" t="n"/>
      <c r="F58" s="13" t="n"/>
      <c r="G58" s="13" t="n"/>
      <c r="H58" s="14">
        <f>IF(F58="","",F58-N(G58))</f>
        <v/>
      </c>
      <c r="I58" s="15">
        <f>IF(B58="","",IF(E58="","⛔ اختر النوع",IF(E58="مطبوعة","📷 مع الصورة",IF(D58="","⛔ اكتب رقم الفاتورة",IF(SUMIF('البنود'!$B$7:$B$606,D58,'البنود'!$F$7:$F$606)=0,"🟡 بنودها ما انزلت",IF(ROUND(SUMIF('البنود'!$B$7:$B$606,D58,'البنود'!$F$7:$F$606)-N(F58),3)=0,"✅ خلصت — البنود مطابقة","⛔ فرق "&amp;TEXT(N(F58)-SUMIF('البنود'!$B$7:$B$606,D58,'البنود'!$F$7:$F$606),"0.000")))))))</f>
        <v/>
      </c>
    </row>
    <row r="59" ht="21" customHeight="1">
      <c r="A59" s="9">
        <f>IF(B59="","",ROW()-6)</f>
        <v/>
      </c>
      <c r="B59" s="10" t="n"/>
      <c r="C59" s="11" t="n"/>
      <c r="D59" s="12" t="n"/>
      <c r="E59" s="12" t="n"/>
      <c r="F59" s="13" t="n"/>
      <c r="G59" s="13" t="n"/>
      <c r="H59" s="14">
        <f>IF(F59="","",F59-N(G59))</f>
        <v/>
      </c>
      <c r="I59" s="15">
        <f>IF(B59="","",IF(E59="","⛔ اختر النوع",IF(E59="مطبوعة","📷 مع الصورة",IF(D59="","⛔ اكتب رقم الفاتورة",IF(SUMIF('البنود'!$B$7:$B$606,D59,'البنود'!$F$7:$F$606)=0,"🟡 بنودها ما انزلت",IF(ROUND(SUMIF('البنود'!$B$7:$B$606,D59,'البنود'!$F$7:$F$606)-N(F59),3)=0,"✅ خلصت — البنود مطابقة","⛔ فرق "&amp;TEXT(N(F59)-SUMIF('البنود'!$B$7:$B$606,D59,'البنود'!$F$7:$F$606),"0.000")))))))</f>
        <v/>
      </c>
    </row>
    <row r="60" ht="21" customHeight="1">
      <c r="A60" s="9">
        <f>IF(B60="","",ROW()-6)</f>
        <v/>
      </c>
      <c r="B60" s="10" t="n"/>
      <c r="C60" s="11" t="n"/>
      <c r="D60" s="12" t="n"/>
      <c r="E60" s="12" t="n"/>
      <c r="F60" s="13" t="n"/>
      <c r="G60" s="13" t="n"/>
      <c r="H60" s="14">
        <f>IF(F60="","",F60-N(G60))</f>
        <v/>
      </c>
      <c r="I60" s="15">
        <f>IF(B60="","",IF(E60="","⛔ اختر النوع",IF(E60="مطبوعة","📷 مع الصورة",IF(D60="","⛔ اكتب رقم الفاتورة",IF(SUMIF('البنود'!$B$7:$B$606,D60,'البنود'!$F$7:$F$606)=0,"🟡 بنودها ما انزلت",IF(ROUND(SUMIF('البنود'!$B$7:$B$606,D60,'البنود'!$F$7:$F$606)-N(F60),3)=0,"✅ خلصت — البنود مطابقة","⛔ فرق "&amp;TEXT(N(F60)-SUMIF('البنود'!$B$7:$B$606,D60,'البنود'!$F$7:$F$606),"0.000")))))))</f>
        <v/>
      </c>
    </row>
    <row r="61" ht="21" customHeight="1">
      <c r="A61" s="9">
        <f>IF(B61="","",ROW()-6)</f>
        <v/>
      </c>
      <c r="B61" s="10" t="n"/>
      <c r="C61" s="11" t="n"/>
      <c r="D61" s="12" t="n"/>
      <c r="E61" s="12" t="n"/>
      <c r="F61" s="13" t="n"/>
      <c r="G61" s="13" t="n"/>
      <c r="H61" s="14">
        <f>IF(F61="","",F61-N(G61))</f>
        <v/>
      </c>
      <c r="I61" s="15">
        <f>IF(B61="","",IF(E61="","⛔ اختر النوع",IF(E61="مطبوعة","📷 مع الصورة",IF(D61="","⛔ اكتب رقم الفاتورة",IF(SUMIF('البنود'!$B$7:$B$606,D61,'البنود'!$F$7:$F$606)=0,"🟡 بنودها ما انزلت",IF(ROUND(SUMIF('البنود'!$B$7:$B$606,D61,'البنود'!$F$7:$F$606)-N(F61),3)=0,"✅ خلصت — البنود مطابقة","⛔ فرق "&amp;TEXT(N(F61)-SUMIF('البنود'!$B$7:$B$606,D61,'البنود'!$F$7:$F$606),"0.000")))))))</f>
        <v/>
      </c>
    </row>
    <row r="62" ht="21" customHeight="1">
      <c r="A62" s="9">
        <f>IF(B62="","",ROW()-6)</f>
        <v/>
      </c>
      <c r="B62" s="10" t="n"/>
      <c r="C62" s="11" t="n"/>
      <c r="D62" s="12" t="n"/>
      <c r="E62" s="12" t="n"/>
      <c r="F62" s="13" t="n"/>
      <c r="G62" s="13" t="n"/>
      <c r="H62" s="14">
        <f>IF(F62="","",F62-N(G62))</f>
        <v/>
      </c>
      <c r="I62" s="15">
        <f>IF(B62="","",IF(E62="","⛔ اختر النوع",IF(E62="مطبوعة","📷 مع الصورة",IF(D62="","⛔ اكتب رقم الفاتورة",IF(SUMIF('البنود'!$B$7:$B$606,D62,'البنود'!$F$7:$F$606)=0,"🟡 بنودها ما انزلت",IF(ROUND(SUMIF('البنود'!$B$7:$B$606,D62,'البنود'!$F$7:$F$606)-N(F62),3)=0,"✅ خلصت — البنود مطابقة","⛔ فرق "&amp;TEXT(N(F62)-SUMIF('البنود'!$B$7:$B$606,D62,'البنود'!$F$7:$F$606),"0.000")))))))</f>
        <v/>
      </c>
    </row>
    <row r="63" ht="21" customHeight="1">
      <c r="A63" s="9">
        <f>IF(B63="","",ROW()-6)</f>
        <v/>
      </c>
      <c r="B63" s="10" t="n"/>
      <c r="C63" s="11" t="n"/>
      <c r="D63" s="12" t="n"/>
      <c r="E63" s="12" t="n"/>
      <c r="F63" s="13" t="n"/>
      <c r="G63" s="13" t="n"/>
      <c r="H63" s="14">
        <f>IF(F63="","",F63-N(G63))</f>
        <v/>
      </c>
      <c r="I63" s="15">
        <f>IF(B63="","",IF(E63="","⛔ اختر النوع",IF(E63="مطبوعة","📷 مع الصورة",IF(D63="","⛔ اكتب رقم الفاتورة",IF(SUMIF('البنود'!$B$7:$B$606,D63,'البنود'!$F$7:$F$606)=0,"🟡 بنودها ما انزلت",IF(ROUND(SUMIF('البنود'!$B$7:$B$606,D63,'البنود'!$F$7:$F$606)-N(F63),3)=0,"✅ خلصت — البنود مطابقة","⛔ فرق "&amp;TEXT(N(F63)-SUMIF('البنود'!$B$7:$B$606,D63,'البنود'!$F$7:$F$606),"0.000")))))))</f>
        <v/>
      </c>
    </row>
    <row r="64" ht="21" customHeight="1">
      <c r="A64" s="9">
        <f>IF(B64="","",ROW()-6)</f>
        <v/>
      </c>
      <c r="B64" s="10" t="n"/>
      <c r="C64" s="11" t="n"/>
      <c r="D64" s="12" t="n"/>
      <c r="E64" s="12" t="n"/>
      <c r="F64" s="13" t="n"/>
      <c r="G64" s="13" t="n"/>
      <c r="H64" s="14">
        <f>IF(F64="","",F64-N(G64))</f>
        <v/>
      </c>
      <c r="I64" s="15">
        <f>IF(B64="","",IF(E64="","⛔ اختر النوع",IF(E64="مطبوعة","📷 مع الصورة",IF(D64="","⛔ اكتب رقم الفاتورة",IF(SUMIF('البنود'!$B$7:$B$606,D64,'البنود'!$F$7:$F$606)=0,"🟡 بنودها ما انزلت",IF(ROUND(SUMIF('البنود'!$B$7:$B$606,D64,'البنود'!$F$7:$F$606)-N(F64),3)=0,"✅ خلصت — البنود مطابقة","⛔ فرق "&amp;TEXT(N(F64)-SUMIF('البنود'!$B$7:$B$606,D64,'البنود'!$F$7:$F$606),"0.000")))))))</f>
        <v/>
      </c>
    </row>
    <row r="65" ht="21" customHeight="1">
      <c r="A65" s="9">
        <f>IF(B65="","",ROW()-6)</f>
        <v/>
      </c>
      <c r="B65" s="10" t="n"/>
      <c r="C65" s="11" t="n"/>
      <c r="D65" s="12" t="n"/>
      <c r="E65" s="12" t="n"/>
      <c r="F65" s="13" t="n"/>
      <c r="G65" s="13" t="n"/>
      <c r="H65" s="14">
        <f>IF(F65="","",F65-N(G65))</f>
        <v/>
      </c>
      <c r="I65" s="15">
        <f>IF(B65="","",IF(E65="","⛔ اختر النوع",IF(E65="مطبوعة","📷 مع الصورة",IF(D65="","⛔ اكتب رقم الفاتورة",IF(SUMIF('البنود'!$B$7:$B$606,D65,'البنود'!$F$7:$F$606)=0,"🟡 بنودها ما انزلت",IF(ROUND(SUMIF('البنود'!$B$7:$B$606,D65,'البنود'!$F$7:$F$606)-N(F65),3)=0,"✅ خلصت — البنود مطابقة","⛔ فرق "&amp;TEXT(N(F65)-SUMIF('البنود'!$B$7:$B$606,D65,'البنود'!$F$7:$F$606),"0.000")))))))</f>
        <v/>
      </c>
    </row>
    <row r="66" ht="21" customHeight="1">
      <c r="A66" s="9">
        <f>IF(B66="","",ROW()-6)</f>
        <v/>
      </c>
      <c r="B66" s="10" t="n"/>
      <c r="C66" s="11" t="n"/>
      <c r="D66" s="12" t="n"/>
      <c r="E66" s="12" t="n"/>
      <c r="F66" s="13" t="n"/>
      <c r="G66" s="13" t="n"/>
      <c r="H66" s="14">
        <f>IF(F66="","",F66-N(G66))</f>
        <v/>
      </c>
      <c r="I66" s="15">
        <f>IF(B66="","",IF(E66="","⛔ اختر النوع",IF(E66="مطبوعة","📷 مع الصورة",IF(D66="","⛔ اكتب رقم الفاتورة",IF(SUMIF('البنود'!$B$7:$B$606,D66,'البنود'!$F$7:$F$606)=0,"🟡 بنودها ما انزلت",IF(ROUND(SUMIF('البنود'!$B$7:$B$606,D66,'البنود'!$F$7:$F$606)-N(F66),3)=0,"✅ خلصت — البنود مطابقة","⛔ فرق "&amp;TEXT(N(F66)-SUMIF('البنود'!$B$7:$B$606,D66,'البنود'!$F$7:$F$606),"0.000")))))))</f>
        <v/>
      </c>
    </row>
    <row r="67" ht="21" customHeight="1">
      <c r="A67" s="9">
        <f>IF(B67="","",ROW()-6)</f>
        <v/>
      </c>
      <c r="B67" s="10" t="n"/>
      <c r="C67" s="11" t="n"/>
      <c r="D67" s="12" t="n"/>
      <c r="E67" s="12" t="n"/>
      <c r="F67" s="13" t="n"/>
      <c r="G67" s="13" t="n"/>
      <c r="H67" s="14">
        <f>IF(F67="","",F67-N(G67))</f>
        <v/>
      </c>
      <c r="I67" s="15">
        <f>IF(B67="","",IF(E67="","⛔ اختر النوع",IF(E67="مطبوعة","📷 مع الصورة",IF(D67="","⛔ اكتب رقم الفاتورة",IF(SUMIF('البنود'!$B$7:$B$606,D67,'البنود'!$F$7:$F$606)=0,"🟡 بنودها ما انزلت",IF(ROUND(SUMIF('البنود'!$B$7:$B$606,D67,'البنود'!$F$7:$F$606)-N(F67),3)=0,"✅ خلصت — البنود مطابقة","⛔ فرق "&amp;TEXT(N(F67)-SUMIF('البنود'!$B$7:$B$606,D67,'البنود'!$F$7:$F$606),"0.000")))))))</f>
        <v/>
      </c>
    </row>
    <row r="68" ht="21" customHeight="1">
      <c r="A68" s="9">
        <f>IF(B68="","",ROW()-6)</f>
        <v/>
      </c>
      <c r="B68" s="10" t="n"/>
      <c r="C68" s="11" t="n"/>
      <c r="D68" s="12" t="n"/>
      <c r="E68" s="12" t="n"/>
      <c r="F68" s="13" t="n"/>
      <c r="G68" s="13" t="n"/>
      <c r="H68" s="14">
        <f>IF(F68="","",F68-N(G68))</f>
        <v/>
      </c>
      <c r="I68" s="15">
        <f>IF(B68="","",IF(E68="","⛔ اختر النوع",IF(E68="مطبوعة","📷 مع الصورة",IF(D68="","⛔ اكتب رقم الفاتورة",IF(SUMIF('البنود'!$B$7:$B$606,D68,'البنود'!$F$7:$F$606)=0,"🟡 بنودها ما انزلت",IF(ROUND(SUMIF('البنود'!$B$7:$B$606,D68,'البنود'!$F$7:$F$606)-N(F68),3)=0,"✅ خلصت — البنود مطابقة","⛔ فرق "&amp;TEXT(N(F68)-SUMIF('البنود'!$B$7:$B$606,D68,'البنود'!$F$7:$F$606),"0.000")))))))</f>
        <v/>
      </c>
    </row>
    <row r="69" ht="21" customHeight="1">
      <c r="A69" s="9">
        <f>IF(B69="","",ROW()-6)</f>
        <v/>
      </c>
      <c r="B69" s="10" t="n"/>
      <c r="C69" s="11" t="n"/>
      <c r="D69" s="12" t="n"/>
      <c r="E69" s="12" t="n"/>
      <c r="F69" s="13" t="n"/>
      <c r="G69" s="13" t="n"/>
      <c r="H69" s="14">
        <f>IF(F69="","",F69-N(G69))</f>
        <v/>
      </c>
      <c r="I69" s="15">
        <f>IF(B69="","",IF(E69="","⛔ اختر النوع",IF(E69="مطبوعة","📷 مع الصورة",IF(D69="","⛔ اكتب رقم الفاتورة",IF(SUMIF('البنود'!$B$7:$B$606,D69,'البنود'!$F$7:$F$606)=0,"🟡 بنودها ما انزلت",IF(ROUND(SUMIF('البنود'!$B$7:$B$606,D69,'البنود'!$F$7:$F$606)-N(F69),3)=0,"✅ خلصت — البنود مطابقة","⛔ فرق "&amp;TEXT(N(F69)-SUMIF('البنود'!$B$7:$B$606,D69,'البنود'!$F$7:$F$606),"0.000")))))))</f>
        <v/>
      </c>
    </row>
    <row r="70" ht="21" customHeight="1">
      <c r="A70" s="9">
        <f>IF(B70="","",ROW()-6)</f>
        <v/>
      </c>
      <c r="B70" s="10" t="n"/>
      <c r="C70" s="11" t="n"/>
      <c r="D70" s="12" t="n"/>
      <c r="E70" s="12" t="n"/>
      <c r="F70" s="13" t="n"/>
      <c r="G70" s="13" t="n"/>
      <c r="H70" s="14">
        <f>IF(F70="","",F70-N(G70))</f>
        <v/>
      </c>
      <c r="I70" s="15">
        <f>IF(B70="","",IF(E70="","⛔ اختر النوع",IF(E70="مطبوعة","📷 مع الصورة",IF(D70="","⛔ اكتب رقم الفاتورة",IF(SUMIF('البنود'!$B$7:$B$606,D70,'البنود'!$F$7:$F$606)=0,"🟡 بنودها ما انزلت",IF(ROUND(SUMIF('البنود'!$B$7:$B$606,D70,'البنود'!$F$7:$F$606)-N(F70),3)=0,"✅ خلصت — البنود مطابقة","⛔ فرق "&amp;TEXT(N(F70)-SUMIF('البنود'!$B$7:$B$606,D70,'البنود'!$F$7:$F$606),"0.000")))))))</f>
        <v/>
      </c>
    </row>
    <row r="71" ht="21" customHeight="1">
      <c r="A71" s="9">
        <f>IF(B71="","",ROW()-6)</f>
        <v/>
      </c>
      <c r="B71" s="10" t="n"/>
      <c r="C71" s="11" t="n"/>
      <c r="D71" s="12" t="n"/>
      <c r="E71" s="12" t="n"/>
      <c r="F71" s="13" t="n"/>
      <c r="G71" s="13" t="n"/>
      <c r="H71" s="14">
        <f>IF(F71="","",F71-N(G71))</f>
        <v/>
      </c>
      <c r="I71" s="15">
        <f>IF(B71="","",IF(E71="","⛔ اختر النوع",IF(E71="مطبوعة","📷 مع الصورة",IF(D71="","⛔ اكتب رقم الفاتورة",IF(SUMIF('البنود'!$B$7:$B$606,D71,'البنود'!$F$7:$F$606)=0,"🟡 بنودها ما انزلت",IF(ROUND(SUMIF('البنود'!$B$7:$B$606,D71,'البنود'!$F$7:$F$606)-N(F71),3)=0,"✅ خلصت — البنود مطابقة","⛔ فرق "&amp;TEXT(N(F71)-SUMIF('البنود'!$B$7:$B$606,D71,'البنود'!$F$7:$F$606),"0.000")))))))</f>
        <v/>
      </c>
    </row>
    <row r="72" ht="21" customHeight="1">
      <c r="A72" s="9">
        <f>IF(B72="","",ROW()-6)</f>
        <v/>
      </c>
      <c r="B72" s="10" t="n"/>
      <c r="C72" s="11" t="n"/>
      <c r="D72" s="12" t="n"/>
      <c r="E72" s="12" t="n"/>
      <c r="F72" s="13" t="n"/>
      <c r="G72" s="13" t="n"/>
      <c r="H72" s="14">
        <f>IF(F72="","",F72-N(G72))</f>
        <v/>
      </c>
      <c r="I72" s="15">
        <f>IF(B72="","",IF(E72="","⛔ اختر النوع",IF(E72="مطبوعة","📷 مع الصورة",IF(D72="","⛔ اكتب رقم الفاتورة",IF(SUMIF('البنود'!$B$7:$B$606,D72,'البنود'!$F$7:$F$606)=0,"🟡 بنودها ما انزلت",IF(ROUND(SUMIF('البنود'!$B$7:$B$606,D72,'البنود'!$F$7:$F$606)-N(F72),3)=0,"✅ خلصت — البنود مطابقة","⛔ فرق "&amp;TEXT(N(F72)-SUMIF('البنود'!$B$7:$B$606,D72,'البنود'!$F$7:$F$606),"0.000")))))))</f>
        <v/>
      </c>
    </row>
    <row r="73" ht="21" customHeight="1">
      <c r="A73" s="9">
        <f>IF(B73="","",ROW()-6)</f>
        <v/>
      </c>
      <c r="B73" s="10" t="n"/>
      <c r="C73" s="11" t="n"/>
      <c r="D73" s="12" t="n"/>
      <c r="E73" s="12" t="n"/>
      <c r="F73" s="13" t="n"/>
      <c r="G73" s="13" t="n"/>
      <c r="H73" s="14">
        <f>IF(F73="","",F73-N(G73))</f>
        <v/>
      </c>
      <c r="I73" s="15">
        <f>IF(B73="","",IF(E73="","⛔ اختر النوع",IF(E73="مطبوعة","📷 مع الصورة",IF(D73="","⛔ اكتب رقم الفاتورة",IF(SUMIF('البنود'!$B$7:$B$606,D73,'البنود'!$F$7:$F$606)=0,"🟡 بنودها ما انزلت",IF(ROUND(SUMIF('البنود'!$B$7:$B$606,D73,'البنود'!$F$7:$F$606)-N(F73),3)=0,"✅ خلصت — البنود مطابقة","⛔ فرق "&amp;TEXT(N(F73)-SUMIF('البنود'!$B$7:$B$606,D73,'البنود'!$F$7:$F$606),"0.000")))))))</f>
        <v/>
      </c>
    </row>
    <row r="74" ht="21" customHeight="1">
      <c r="A74" s="9">
        <f>IF(B74="","",ROW()-6)</f>
        <v/>
      </c>
      <c r="B74" s="10" t="n"/>
      <c r="C74" s="11" t="n"/>
      <c r="D74" s="12" t="n"/>
      <c r="E74" s="12" t="n"/>
      <c r="F74" s="13" t="n"/>
      <c r="G74" s="13" t="n"/>
      <c r="H74" s="14">
        <f>IF(F74="","",F74-N(G74))</f>
        <v/>
      </c>
      <c r="I74" s="15">
        <f>IF(B74="","",IF(E74="","⛔ اختر النوع",IF(E74="مطبوعة","📷 مع الصورة",IF(D74="","⛔ اكتب رقم الفاتورة",IF(SUMIF('البنود'!$B$7:$B$606,D74,'البنود'!$F$7:$F$606)=0,"🟡 بنودها ما انزلت",IF(ROUND(SUMIF('البنود'!$B$7:$B$606,D74,'البنود'!$F$7:$F$606)-N(F74),3)=0,"✅ خلصت — البنود مطابقة","⛔ فرق "&amp;TEXT(N(F74)-SUMIF('البنود'!$B$7:$B$606,D74,'البنود'!$F$7:$F$606),"0.000")))))))</f>
        <v/>
      </c>
    </row>
    <row r="75" ht="21" customHeight="1">
      <c r="A75" s="9">
        <f>IF(B75="","",ROW()-6)</f>
        <v/>
      </c>
      <c r="B75" s="10" t="n"/>
      <c r="C75" s="11" t="n"/>
      <c r="D75" s="12" t="n"/>
      <c r="E75" s="12" t="n"/>
      <c r="F75" s="13" t="n"/>
      <c r="G75" s="13" t="n"/>
      <c r="H75" s="14">
        <f>IF(F75="","",F75-N(G75))</f>
        <v/>
      </c>
      <c r="I75" s="15">
        <f>IF(B75="","",IF(E75="","⛔ اختر النوع",IF(E75="مطبوعة","📷 مع الصورة",IF(D75="","⛔ اكتب رقم الفاتورة",IF(SUMIF('البنود'!$B$7:$B$606,D75,'البنود'!$F$7:$F$606)=0,"🟡 بنودها ما انزلت",IF(ROUND(SUMIF('البنود'!$B$7:$B$606,D75,'البنود'!$F$7:$F$606)-N(F75),3)=0,"✅ خلصت — البنود مطابقة","⛔ فرق "&amp;TEXT(N(F75)-SUMIF('البنود'!$B$7:$B$606,D75,'البنود'!$F$7:$F$606),"0.000")))))))</f>
        <v/>
      </c>
    </row>
    <row r="76" ht="21" customHeight="1">
      <c r="A76" s="9">
        <f>IF(B76="","",ROW()-6)</f>
        <v/>
      </c>
      <c r="B76" s="10" t="n"/>
      <c r="C76" s="11" t="n"/>
      <c r="D76" s="12" t="n"/>
      <c r="E76" s="12" t="n"/>
      <c r="F76" s="13" t="n"/>
      <c r="G76" s="13" t="n"/>
      <c r="H76" s="14">
        <f>IF(F76="","",F76-N(G76))</f>
        <v/>
      </c>
      <c r="I76" s="15">
        <f>IF(B76="","",IF(E76="","⛔ اختر النوع",IF(E76="مطبوعة","📷 مع الصورة",IF(D76="","⛔ اكتب رقم الفاتورة",IF(SUMIF('البنود'!$B$7:$B$606,D76,'البنود'!$F$7:$F$606)=0,"🟡 بنودها ما انزلت",IF(ROUND(SUMIF('البنود'!$B$7:$B$606,D76,'البنود'!$F$7:$F$606)-N(F76),3)=0,"✅ خلصت — البنود مطابقة","⛔ فرق "&amp;TEXT(N(F76)-SUMIF('البنود'!$B$7:$B$606,D76,'البنود'!$F$7:$F$606),"0.000")))))))</f>
        <v/>
      </c>
    </row>
    <row r="77" ht="21" customHeight="1">
      <c r="A77" s="9">
        <f>IF(B77="","",ROW()-6)</f>
        <v/>
      </c>
      <c r="B77" s="10" t="n"/>
      <c r="C77" s="11" t="n"/>
      <c r="D77" s="12" t="n"/>
      <c r="E77" s="12" t="n"/>
      <c r="F77" s="13" t="n"/>
      <c r="G77" s="13" t="n"/>
      <c r="H77" s="14">
        <f>IF(F77="","",F77-N(G77))</f>
        <v/>
      </c>
      <c r="I77" s="15">
        <f>IF(B77="","",IF(E77="","⛔ اختر النوع",IF(E77="مطبوعة","📷 مع الصورة",IF(D77="","⛔ اكتب رقم الفاتورة",IF(SUMIF('البنود'!$B$7:$B$606,D77,'البنود'!$F$7:$F$606)=0,"🟡 بنودها ما انزلت",IF(ROUND(SUMIF('البنود'!$B$7:$B$606,D77,'البنود'!$F$7:$F$606)-N(F77),3)=0,"✅ خلصت — البنود مطابقة","⛔ فرق "&amp;TEXT(N(F77)-SUMIF('البنود'!$B$7:$B$606,D77,'البنود'!$F$7:$F$606),"0.000")))))))</f>
        <v/>
      </c>
    </row>
    <row r="78" ht="21" customHeight="1">
      <c r="A78" s="9">
        <f>IF(B78="","",ROW()-6)</f>
        <v/>
      </c>
      <c r="B78" s="10" t="n"/>
      <c r="C78" s="11" t="n"/>
      <c r="D78" s="12" t="n"/>
      <c r="E78" s="12" t="n"/>
      <c r="F78" s="13" t="n"/>
      <c r="G78" s="13" t="n"/>
      <c r="H78" s="14">
        <f>IF(F78="","",F78-N(G78))</f>
        <v/>
      </c>
      <c r="I78" s="15">
        <f>IF(B78="","",IF(E78="","⛔ اختر النوع",IF(E78="مطبوعة","📷 مع الصورة",IF(D78="","⛔ اكتب رقم الفاتورة",IF(SUMIF('البنود'!$B$7:$B$606,D78,'البنود'!$F$7:$F$606)=0,"🟡 بنودها ما انزلت",IF(ROUND(SUMIF('البنود'!$B$7:$B$606,D78,'البنود'!$F$7:$F$606)-N(F78),3)=0,"✅ خلصت — البنود مطابقة","⛔ فرق "&amp;TEXT(N(F78)-SUMIF('البنود'!$B$7:$B$606,D78,'البنود'!$F$7:$F$606),"0.000")))))))</f>
        <v/>
      </c>
    </row>
    <row r="79" ht="21" customHeight="1">
      <c r="A79" s="9">
        <f>IF(B79="","",ROW()-6)</f>
        <v/>
      </c>
      <c r="B79" s="10" t="n"/>
      <c r="C79" s="11" t="n"/>
      <c r="D79" s="12" t="n"/>
      <c r="E79" s="12" t="n"/>
      <c r="F79" s="13" t="n"/>
      <c r="G79" s="13" t="n"/>
      <c r="H79" s="14">
        <f>IF(F79="","",F79-N(G79))</f>
        <v/>
      </c>
      <c r="I79" s="15">
        <f>IF(B79="","",IF(E79="","⛔ اختر النوع",IF(E79="مطبوعة","📷 مع الصورة",IF(D79="","⛔ اكتب رقم الفاتورة",IF(SUMIF('البنود'!$B$7:$B$606,D79,'البنود'!$F$7:$F$606)=0,"🟡 بنودها ما انزلت",IF(ROUND(SUMIF('البنود'!$B$7:$B$606,D79,'البنود'!$F$7:$F$606)-N(F79),3)=0,"✅ خلصت — البنود مطابقة","⛔ فرق "&amp;TEXT(N(F79)-SUMIF('البنود'!$B$7:$B$606,D79,'البنود'!$F$7:$F$606),"0.000")))))))</f>
        <v/>
      </c>
    </row>
    <row r="80" ht="21" customHeight="1">
      <c r="A80" s="9">
        <f>IF(B80="","",ROW()-6)</f>
        <v/>
      </c>
      <c r="B80" s="10" t="n"/>
      <c r="C80" s="11" t="n"/>
      <c r="D80" s="12" t="n"/>
      <c r="E80" s="12" t="n"/>
      <c r="F80" s="13" t="n"/>
      <c r="G80" s="13" t="n"/>
      <c r="H80" s="14">
        <f>IF(F80="","",F80-N(G80))</f>
        <v/>
      </c>
      <c r="I80" s="15">
        <f>IF(B80="","",IF(E80="","⛔ اختر النوع",IF(E80="مطبوعة","📷 مع الصورة",IF(D80="","⛔ اكتب رقم الفاتورة",IF(SUMIF('البنود'!$B$7:$B$606,D80,'البنود'!$F$7:$F$606)=0,"🟡 بنودها ما انزلت",IF(ROUND(SUMIF('البنود'!$B$7:$B$606,D80,'البنود'!$F$7:$F$606)-N(F80),3)=0,"✅ خلصت — البنود مطابقة","⛔ فرق "&amp;TEXT(N(F80)-SUMIF('البنود'!$B$7:$B$606,D80,'البنود'!$F$7:$F$606),"0.000")))))))</f>
        <v/>
      </c>
    </row>
    <row r="81" ht="21" customHeight="1">
      <c r="A81" s="9">
        <f>IF(B81="","",ROW()-6)</f>
        <v/>
      </c>
      <c r="B81" s="10" t="n"/>
      <c r="C81" s="11" t="n"/>
      <c r="D81" s="12" t="n"/>
      <c r="E81" s="12" t="n"/>
      <c r="F81" s="13" t="n"/>
      <c r="G81" s="13" t="n"/>
      <c r="H81" s="14">
        <f>IF(F81="","",F81-N(G81))</f>
        <v/>
      </c>
      <c r="I81" s="15">
        <f>IF(B81="","",IF(E81="","⛔ اختر النوع",IF(E81="مطبوعة","📷 مع الصورة",IF(D81="","⛔ اكتب رقم الفاتورة",IF(SUMIF('البنود'!$B$7:$B$606,D81,'البنود'!$F$7:$F$606)=0,"🟡 بنودها ما انزلت",IF(ROUND(SUMIF('البنود'!$B$7:$B$606,D81,'البنود'!$F$7:$F$606)-N(F81),3)=0,"✅ خلصت — البنود مطابقة","⛔ فرق "&amp;TEXT(N(F81)-SUMIF('البنود'!$B$7:$B$606,D81,'البنود'!$F$7:$F$606),"0.000")))))))</f>
        <v/>
      </c>
    </row>
    <row r="82" ht="21" customHeight="1">
      <c r="A82" s="9">
        <f>IF(B82="","",ROW()-6)</f>
        <v/>
      </c>
      <c r="B82" s="10" t="n"/>
      <c r="C82" s="11" t="n"/>
      <c r="D82" s="12" t="n"/>
      <c r="E82" s="12" t="n"/>
      <c r="F82" s="13" t="n"/>
      <c r="G82" s="13" t="n"/>
      <c r="H82" s="14">
        <f>IF(F82="","",F82-N(G82))</f>
        <v/>
      </c>
      <c r="I82" s="15">
        <f>IF(B82="","",IF(E82="","⛔ اختر النوع",IF(E82="مطبوعة","📷 مع الصورة",IF(D82="","⛔ اكتب رقم الفاتورة",IF(SUMIF('البنود'!$B$7:$B$606,D82,'البنود'!$F$7:$F$606)=0,"🟡 بنودها ما انزلت",IF(ROUND(SUMIF('البنود'!$B$7:$B$606,D82,'البنود'!$F$7:$F$606)-N(F82),3)=0,"✅ خلصت — البنود مطابقة","⛔ فرق "&amp;TEXT(N(F82)-SUMIF('البنود'!$B$7:$B$606,D82,'البنود'!$F$7:$F$606),"0.000")))))))</f>
        <v/>
      </c>
    </row>
    <row r="83" ht="21" customHeight="1">
      <c r="A83" s="9">
        <f>IF(B83="","",ROW()-6)</f>
        <v/>
      </c>
      <c r="B83" s="10" t="n"/>
      <c r="C83" s="11" t="n"/>
      <c r="D83" s="12" t="n"/>
      <c r="E83" s="12" t="n"/>
      <c r="F83" s="13" t="n"/>
      <c r="G83" s="13" t="n"/>
      <c r="H83" s="14">
        <f>IF(F83="","",F83-N(G83))</f>
        <v/>
      </c>
      <c r="I83" s="15">
        <f>IF(B83="","",IF(E83="","⛔ اختر النوع",IF(E83="مطبوعة","📷 مع الصورة",IF(D83="","⛔ اكتب رقم الفاتورة",IF(SUMIF('البنود'!$B$7:$B$606,D83,'البنود'!$F$7:$F$606)=0,"🟡 بنودها ما انزلت",IF(ROUND(SUMIF('البنود'!$B$7:$B$606,D83,'البنود'!$F$7:$F$606)-N(F83),3)=0,"✅ خلصت — البنود مطابقة","⛔ فرق "&amp;TEXT(N(F83)-SUMIF('البنود'!$B$7:$B$606,D83,'البنود'!$F$7:$F$606),"0.000")))))))</f>
        <v/>
      </c>
    </row>
    <row r="84" ht="21" customHeight="1">
      <c r="A84" s="9">
        <f>IF(B84="","",ROW()-6)</f>
        <v/>
      </c>
      <c r="B84" s="10" t="n"/>
      <c r="C84" s="11" t="n"/>
      <c r="D84" s="12" t="n"/>
      <c r="E84" s="12" t="n"/>
      <c r="F84" s="13" t="n"/>
      <c r="G84" s="13" t="n"/>
      <c r="H84" s="14">
        <f>IF(F84="","",F84-N(G84))</f>
        <v/>
      </c>
      <c r="I84" s="15">
        <f>IF(B84="","",IF(E84="","⛔ اختر النوع",IF(E84="مطبوعة","📷 مع الصورة",IF(D84="","⛔ اكتب رقم الفاتورة",IF(SUMIF('البنود'!$B$7:$B$606,D84,'البنود'!$F$7:$F$606)=0,"🟡 بنودها ما انزلت",IF(ROUND(SUMIF('البنود'!$B$7:$B$606,D84,'البنود'!$F$7:$F$606)-N(F84),3)=0,"✅ خلصت — البنود مطابقة","⛔ فرق "&amp;TEXT(N(F84)-SUMIF('البنود'!$B$7:$B$606,D84,'البنود'!$F$7:$F$606),"0.000")))))))</f>
        <v/>
      </c>
    </row>
    <row r="85" ht="21" customHeight="1">
      <c r="A85" s="9">
        <f>IF(B85="","",ROW()-6)</f>
        <v/>
      </c>
      <c r="B85" s="10" t="n"/>
      <c r="C85" s="11" t="n"/>
      <c r="D85" s="12" t="n"/>
      <c r="E85" s="12" t="n"/>
      <c r="F85" s="13" t="n"/>
      <c r="G85" s="13" t="n"/>
      <c r="H85" s="14">
        <f>IF(F85="","",F85-N(G85))</f>
        <v/>
      </c>
      <c r="I85" s="15">
        <f>IF(B85="","",IF(E85="","⛔ اختر النوع",IF(E85="مطبوعة","📷 مع الصورة",IF(D85="","⛔ اكتب رقم الفاتورة",IF(SUMIF('البنود'!$B$7:$B$606,D85,'البنود'!$F$7:$F$606)=0,"🟡 بنودها ما انزلت",IF(ROUND(SUMIF('البنود'!$B$7:$B$606,D85,'البنود'!$F$7:$F$606)-N(F85),3)=0,"✅ خلصت — البنود مطابقة","⛔ فرق "&amp;TEXT(N(F85)-SUMIF('البنود'!$B$7:$B$606,D85,'البنود'!$F$7:$F$606),"0.000")))))))</f>
        <v/>
      </c>
    </row>
    <row r="86" ht="21" customHeight="1">
      <c r="A86" s="9">
        <f>IF(B86="","",ROW()-6)</f>
        <v/>
      </c>
      <c r="B86" s="10" t="n"/>
      <c r="C86" s="11" t="n"/>
      <c r="D86" s="12" t="n"/>
      <c r="E86" s="12" t="n"/>
      <c r="F86" s="13" t="n"/>
      <c r="G86" s="13" t="n"/>
      <c r="H86" s="14">
        <f>IF(F86="","",F86-N(G86))</f>
        <v/>
      </c>
      <c r="I86" s="15">
        <f>IF(B86="","",IF(E86="","⛔ اختر النوع",IF(E86="مطبوعة","📷 مع الصورة",IF(D86="","⛔ اكتب رقم الفاتورة",IF(SUMIF('البنود'!$B$7:$B$606,D86,'البنود'!$F$7:$F$606)=0,"🟡 بنودها ما انزلت",IF(ROUND(SUMIF('البنود'!$B$7:$B$606,D86,'البنود'!$F$7:$F$606)-N(F86),3)=0,"✅ خلصت — البنود مطابقة","⛔ فرق "&amp;TEXT(N(F86)-SUMIF('البنود'!$B$7:$B$606,D86,'البنود'!$F$7:$F$606),"0.000")))))))</f>
        <v/>
      </c>
    </row>
    <row r="87" ht="21" customHeight="1">
      <c r="A87" s="9">
        <f>IF(B87="","",ROW()-6)</f>
        <v/>
      </c>
      <c r="B87" s="10" t="n"/>
      <c r="C87" s="11" t="n"/>
      <c r="D87" s="12" t="n"/>
      <c r="E87" s="12" t="n"/>
      <c r="F87" s="13" t="n"/>
      <c r="G87" s="13" t="n"/>
      <c r="H87" s="14">
        <f>IF(F87="","",F87-N(G87))</f>
        <v/>
      </c>
      <c r="I87" s="15">
        <f>IF(B87="","",IF(E87="","⛔ اختر النوع",IF(E87="مطبوعة","📷 مع الصورة",IF(D87="","⛔ اكتب رقم الفاتورة",IF(SUMIF('البنود'!$B$7:$B$606,D87,'البنود'!$F$7:$F$606)=0,"🟡 بنودها ما انزلت",IF(ROUND(SUMIF('البنود'!$B$7:$B$606,D87,'البنود'!$F$7:$F$606)-N(F87),3)=0,"✅ خلصت — البنود مطابقة","⛔ فرق "&amp;TEXT(N(F87)-SUMIF('البنود'!$B$7:$B$606,D87,'البنود'!$F$7:$F$606),"0.000")))))))</f>
        <v/>
      </c>
    </row>
    <row r="88" ht="21" customHeight="1">
      <c r="A88" s="9">
        <f>IF(B88="","",ROW()-6)</f>
        <v/>
      </c>
      <c r="B88" s="10" t="n"/>
      <c r="C88" s="11" t="n"/>
      <c r="D88" s="12" t="n"/>
      <c r="E88" s="12" t="n"/>
      <c r="F88" s="13" t="n"/>
      <c r="G88" s="13" t="n"/>
      <c r="H88" s="14">
        <f>IF(F88="","",F88-N(G88))</f>
        <v/>
      </c>
      <c r="I88" s="15">
        <f>IF(B88="","",IF(E88="","⛔ اختر النوع",IF(E88="مطبوعة","📷 مع الصورة",IF(D88="","⛔ اكتب رقم الفاتورة",IF(SUMIF('البنود'!$B$7:$B$606,D88,'البنود'!$F$7:$F$606)=0,"🟡 بنودها ما انزلت",IF(ROUND(SUMIF('البنود'!$B$7:$B$606,D88,'البنود'!$F$7:$F$606)-N(F88),3)=0,"✅ خلصت — البنود مطابقة","⛔ فرق "&amp;TEXT(N(F88)-SUMIF('البنود'!$B$7:$B$606,D88,'البنود'!$F$7:$F$606),"0.000")))))))</f>
        <v/>
      </c>
    </row>
    <row r="89" ht="21" customHeight="1">
      <c r="A89" s="9">
        <f>IF(B89="","",ROW()-6)</f>
        <v/>
      </c>
      <c r="B89" s="10" t="n"/>
      <c r="C89" s="11" t="n"/>
      <c r="D89" s="12" t="n"/>
      <c r="E89" s="12" t="n"/>
      <c r="F89" s="13" t="n"/>
      <c r="G89" s="13" t="n"/>
      <c r="H89" s="14">
        <f>IF(F89="","",F89-N(G89))</f>
        <v/>
      </c>
      <c r="I89" s="15">
        <f>IF(B89="","",IF(E89="","⛔ اختر النوع",IF(E89="مطبوعة","📷 مع الصورة",IF(D89="","⛔ اكتب رقم الفاتورة",IF(SUMIF('البنود'!$B$7:$B$606,D89,'البنود'!$F$7:$F$606)=0,"🟡 بنودها ما انزلت",IF(ROUND(SUMIF('البنود'!$B$7:$B$606,D89,'البنود'!$F$7:$F$606)-N(F89),3)=0,"✅ خلصت — البنود مطابقة","⛔ فرق "&amp;TEXT(N(F89)-SUMIF('البنود'!$B$7:$B$606,D89,'البنود'!$F$7:$F$606),"0.000")))))))</f>
        <v/>
      </c>
    </row>
    <row r="90" ht="21" customHeight="1">
      <c r="A90" s="9">
        <f>IF(B90="","",ROW()-6)</f>
        <v/>
      </c>
      <c r="B90" s="10" t="n"/>
      <c r="C90" s="11" t="n"/>
      <c r="D90" s="12" t="n"/>
      <c r="E90" s="12" t="n"/>
      <c r="F90" s="13" t="n"/>
      <c r="G90" s="13" t="n"/>
      <c r="H90" s="14">
        <f>IF(F90="","",F90-N(G90))</f>
        <v/>
      </c>
      <c r="I90" s="15">
        <f>IF(B90="","",IF(E90="","⛔ اختر النوع",IF(E90="مطبوعة","📷 مع الصورة",IF(D90="","⛔ اكتب رقم الفاتورة",IF(SUMIF('البنود'!$B$7:$B$606,D90,'البنود'!$F$7:$F$606)=0,"🟡 بنودها ما انزلت",IF(ROUND(SUMIF('البنود'!$B$7:$B$606,D90,'البنود'!$F$7:$F$606)-N(F90),3)=0,"✅ خلصت — البنود مطابقة","⛔ فرق "&amp;TEXT(N(F90)-SUMIF('البنود'!$B$7:$B$606,D90,'البنود'!$F$7:$F$606),"0.000")))))))</f>
        <v/>
      </c>
    </row>
    <row r="91" ht="21" customHeight="1">
      <c r="A91" s="9">
        <f>IF(B91="","",ROW()-6)</f>
        <v/>
      </c>
      <c r="B91" s="10" t="n"/>
      <c r="C91" s="11" t="n"/>
      <c r="D91" s="12" t="n"/>
      <c r="E91" s="12" t="n"/>
      <c r="F91" s="13" t="n"/>
      <c r="G91" s="13" t="n"/>
      <c r="H91" s="14">
        <f>IF(F91="","",F91-N(G91))</f>
        <v/>
      </c>
      <c r="I91" s="15">
        <f>IF(B91="","",IF(E91="","⛔ اختر النوع",IF(E91="مطبوعة","📷 مع الصورة",IF(D91="","⛔ اكتب رقم الفاتورة",IF(SUMIF('البنود'!$B$7:$B$606,D91,'البنود'!$F$7:$F$606)=0,"🟡 بنودها ما انزلت",IF(ROUND(SUMIF('البنود'!$B$7:$B$606,D91,'البنود'!$F$7:$F$606)-N(F91),3)=0,"✅ خلصت — البنود مطابقة","⛔ فرق "&amp;TEXT(N(F91)-SUMIF('البنود'!$B$7:$B$606,D91,'البنود'!$F$7:$F$606),"0.000")))))))</f>
        <v/>
      </c>
    </row>
    <row r="92" ht="21" customHeight="1">
      <c r="A92" s="9">
        <f>IF(B92="","",ROW()-6)</f>
        <v/>
      </c>
      <c r="B92" s="10" t="n"/>
      <c r="C92" s="11" t="n"/>
      <c r="D92" s="12" t="n"/>
      <c r="E92" s="12" t="n"/>
      <c r="F92" s="13" t="n"/>
      <c r="G92" s="13" t="n"/>
      <c r="H92" s="14">
        <f>IF(F92="","",F92-N(G92))</f>
        <v/>
      </c>
      <c r="I92" s="15">
        <f>IF(B92="","",IF(E92="","⛔ اختر النوع",IF(E92="مطبوعة","📷 مع الصورة",IF(D92="","⛔ اكتب رقم الفاتورة",IF(SUMIF('البنود'!$B$7:$B$606,D92,'البنود'!$F$7:$F$606)=0,"🟡 بنودها ما انزلت",IF(ROUND(SUMIF('البنود'!$B$7:$B$606,D92,'البنود'!$F$7:$F$606)-N(F92),3)=0,"✅ خلصت — البنود مطابقة","⛔ فرق "&amp;TEXT(N(F92)-SUMIF('البنود'!$B$7:$B$606,D92,'البنود'!$F$7:$F$606),"0.000")))))))</f>
        <v/>
      </c>
    </row>
    <row r="93" ht="21" customHeight="1">
      <c r="A93" s="9">
        <f>IF(B93="","",ROW()-6)</f>
        <v/>
      </c>
      <c r="B93" s="10" t="n"/>
      <c r="C93" s="11" t="n"/>
      <c r="D93" s="12" t="n"/>
      <c r="E93" s="12" t="n"/>
      <c r="F93" s="13" t="n"/>
      <c r="G93" s="13" t="n"/>
      <c r="H93" s="14">
        <f>IF(F93="","",F93-N(G93))</f>
        <v/>
      </c>
      <c r="I93" s="15">
        <f>IF(B93="","",IF(E93="","⛔ اختر النوع",IF(E93="مطبوعة","📷 مع الصورة",IF(D93="","⛔ اكتب رقم الفاتورة",IF(SUMIF('البنود'!$B$7:$B$606,D93,'البنود'!$F$7:$F$606)=0,"🟡 بنودها ما انزلت",IF(ROUND(SUMIF('البنود'!$B$7:$B$606,D93,'البنود'!$F$7:$F$606)-N(F93),3)=0,"✅ خلصت — البنود مطابقة","⛔ فرق "&amp;TEXT(N(F93)-SUMIF('البنود'!$B$7:$B$606,D93,'البنود'!$F$7:$F$606),"0.000")))))))</f>
        <v/>
      </c>
    </row>
    <row r="94" ht="21" customHeight="1">
      <c r="A94" s="9">
        <f>IF(B94="","",ROW()-6)</f>
        <v/>
      </c>
      <c r="B94" s="10" t="n"/>
      <c r="C94" s="11" t="n"/>
      <c r="D94" s="12" t="n"/>
      <c r="E94" s="12" t="n"/>
      <c r="F94" s="13" t="n"/>
      <c r="G94" s="13" t="n"/>
      <c r="H94" s="14">
        <f>IF(F94="","",F94-N(G94))</f>
        <v/>
      </c>
      <c r="I94" s="15">
        <f>IF(B94="","",IF(E94="","⛔ اختر النوع",IF(E94="مطبوعة","📷 مع الصورة",IF(D94="","⛔ اكتب رقم الفاتورة",IF(SUMIF('البنود'!$B$7:$B$606,D94,'البنود'!$F$7:$F$606)=0,"🟡 بنودها ما انزلت",IF(ROUND(SUMIF('البنود'!$B$7:$B$606,D94,'البنود'!$F$7:$F$606)-N(F94),3)=0,"✅ خلصت — البنود مطابقة","⛔ فرق "&amp;TEXT(N(F94)-SUMIF('البنود'!$B$7:$B$606,D94,'البنود'!$F$7:$F$606),"0.000")))))))</f>
        <v/>
      </c>
    </row>
    <row r="95" ht="21" customHeight="1">
      <c r="A95" s="9">
        <f>IF(B95="","",ROW()-6)</f>
        <v/>
      </c>
      <c r="B95" s="10" t="n"/>
      <c r="C95" s="11" t="n"/>
      <c r="D95" s="12" t="n"/>
      <c r="E95" s="12" t="n"/>
      <c r="F95" s="13" t="n"/>
      <c r="G95" s="13" t="n"/>
      <c r="H95" s="14">
        <f>IF(F95="","",F95-N(G95))</f>
        <v/>
      </c>
      <c r="I95" s="15">
        <f>IF(B95="","",IF(E95="","⛔ اختر النوع",IF(E95="مطبوعة","📷 مع الصورة",IF(D95="","⛔ اكتب رقم الفاتورة",IF(SUMIF('البنود'!$B$7:$B$606,D95,'البنود'!$F$7:$F$606)=0,"🟡 بنودها ما انزلت",IF(ROUND(SUMIF('البنود'!$B$7:$B$606,D95,'البنود'!$F$7:$F$606)-N(F95),3)=0,"✅ خلصت — البنود مطابقة","⛔ فرق "&amp;TEXT(N(F95)-SUMIF('البنود'!$B$7:$B$606,D95,'البنود'!$F$7:$F$606),"0.000")))))))</f>
        <v/>
      </c>
    </row>
    <row r="96" ht="21" customHeight="1">
      <c r="A96" s="9">
        <f>IF(B96="","",ROW()-6)</f>
        <v/>
      </c>
      <c r="B96" s="10" t="n"/>
      <c r="C96" s="11" t="n"/>
      <c r="D96" s="12" t="n"/>
      <c r="E96" s="12" t="n"/>
      <c r="F96" s="13" t="n"/>
      <c r="G96" s="13" t="n"/>
      <c r="H96" s="14">
        <f>IF(F96="","",F96-N(G96))</f>
        <v/>
      </c>
      <c r="I96" s="15">
        <f>IF(B96="","",IF(E96="","⛔ اختر النوع",IF(E96="مطبوعة","📷 مع الصورة",IF(D96="","⛔ اكتب رقم الفاتورة",IF(SUMIF('البنود'!$B$7:$B$606,D96,'البنود'!$F$7:$F$606)=0,"🟡 بنودها ما انزلت",IF(ROUND(SUMIF('البنود'!$B$7:$B$606,D96,'البنود'!$F$7:$F$606)-N(F96),3)=0,"✅ خلصت — البنود مطابقة","⛔ فرق "&amp;TEXT(N(F96)-SUMIF('البنود'!$B$7:$B$606,D96,'البنود'!$F$7:$F$606),"0.000")))))))</f>
        <v/>
      </c>
    </row>
    <row r="97" ht="21" customHeight="1">
      <c r="A97" s="9">
        <f>IF(B97="","",ROW()-6)</f>
        <v/>
      </c>
      <c r="B97" s="10" t="n"/>
      <c r="C97" s="11" t="n"/>
      <c r="D97" s="12" t="n"/>
      <c r="E97" s="12" t="n"/>
      <c r="F97" s="13" t="n"/>
      <c r="G97" s="13" t="n"/>
      <c r="H97" s="14">
        <f>IF(F97="","",F97-N(G97))</f>
        <v/>
      </c>
      <c r="I97" s="15">
        <f>IF(B97="","",IF(E97="","⛔ اختر النوع",IF(E97="مطبوعة","📷 مع الصورة",IF(D97="","⛔ اكتب رقم الفاتورة",IF(SUMIF('البنود'!$B$7:$B$606,D97,'البنود'!$F$7:$F$606)=0,"🟡 بنودها ما انزلت",IF(ROUND(SUMIF('البنود'!$B$7:$B$606,D97,'البنود'!$F$7:$F$606)-N(F97),3)=0,"✅ خلصت — البنود مطابقة","⛔ فرق "&amp;TEXT(N(F97)-SUMIF('البنود'!$B$7:$B$606,D97,'البنود'!$F$7:$F$606),"0.000")))))))</f>
        <v/>
      </c>
    </row>
    <row r="98" ht="21" customHeight="1">
      <c r="A98" s="9">
        <f>IF(B98="","",ROW()-6)</f>
        <v/>
      </c>
      <c r="B98" s="10" t="n"/>
      <c r="C98" s="11" t="n"/>
      <c r="D98" s="12" t="n"/>
      <c r="E98" s="12" t="n"/>
      <c r="F98" s="13" t="n"/>
      <c r="G98" s="13" t="n"/>
      <c r="H98" s="14">
        <f>IF(F98="","",F98-N(G98))</f>
        <v/>
      </c>
      <c r="I98" s="15">
        <f>IF(B98="","",IF(E98="","⛔ اختر النوع",IF(E98="مطبوعة","📷 مع الصورة",IF(D98="","⛔ اكتب رقم الفاتورة",IF(SUMIF('البنود'!$B$7:$B$606,D98,'البنود'!$F$7:$F$606)=0,"🟡 بنودها ما انزلت",IF(ROUND(SUMIF('البنود'!$B$7:$B$606,D98,'البنود'!$F$7:$F$606)-N(F98),3)=0,"✅ خلصت — البنود مطابقة","⛔ فرق "&amp;TEXT(N(F98)-SUMIF('البنود'!$B$7:$B$606,D98,'البنود'!$F$7:$F$606),"0.000")))))))</f>
        <v/>
      </c>
    </row>
    <row r="99" ht="21" customHeight="1">
      <c r="A99" s="9">
        <f>IF(B99="","",ROW()-6)</f>
        <v/>
      </c>
      <c r="B99" s="10" t="n"/>
      <c r="C99" s="11" t="n"/>
      <c r="D99" s="12" t="n"/>
      <c r="E99" s="12" t="n"/>
      <c r="F99" s="13" t="n"/>
      <c r="G99" s="13" t="n"/>
      <c r="H99" s="14">
        <f>IF(F99="","",F99-N(G99))</f>
        <v/>
      </c>
      <c r="I99" s="15">
        <f>IF(B99="","",IF(E99="","⛔ اختر النوع",IF(E99="مطبوعة","📷 مع الصورة",IF(D99="","⛔ اكتب رقم الفاتورة",IF(SUMIF('البنود'!$B$7:$B$606,D99,'البنود'!$F$7:$F$606)=0,"🟡 بنودها ما انزلت",IF(ROUND(SUMIF('البنود'!$B$7:$B$606,D99,'البنود'!$F$7:$F$606)-N(F99),3)=0,"✅ خلصت — البنود مطابقة","⛔ فرق "&amp;TEXT(N(F99)-SUMIF('البنود'!$B$7:$B$606,D99,'البنود'!$F$7:$F$606),"0.000")))))))</f>
        <v/>
      </c>
    </row>
    <row r="100" ht="21" customHeight="1">
      <c r="A100" s="9">
        <f>IF(B100="","",ROW()-6)</f>
        <v/>
      </c>
      <c r="B100" s="10" t="n"/>
      <c r="C100" s="11" t="n"/>
      <c r="D100" s="12" t="n"/>
      <c r="E100" s="12" t="n"/>
      <c r="F100" s="13" t="n"/>
      <c r="G100" s="13" t="n"/>
      <c r="H100" s="14">
        <f>IF(F100="","",F100-N(G100))</f>
        <v/>
      </c>
      <c r="I100" s="15">
        <f>IF(B100="","",IF(E100="","⛔ اختر النوع",IF(E100="مطبوعة","📷 مع الصورة",IF(D100="","⛔ اكتب رقم الفاتورة",IF(SUMIF('البنود'!$B$7:$B$606,D100,'البنود'!$F$7:$F$606)=0,"🟡 بنودها ما انزلت",IF(ROUND(SUMIF('البنود'!$B$7:$B$606,D100,'البنود'!$F$7:$F$606)-N(F100),3)=0,"✅ خلصت — البنود مطابقة","⛔ فرق "&amp;TEXT(N(F100)-SUMIF('البنود'!$B$7:$B$606,D100,'البنود'!$F$7:$F$606),"0.000")))))))</f>
        <v/>
      </c>
    </row>
    <row r="101" ht="21" customHeight="1">
      <c r="A101" s="9">
        <f>IF(B101="","",ROW()-6)</f>
        <v/>
      </c>
      <c r="B101" s="10" t="n"/>
      <c r="C101" s="11" t="n"/>
      <c r="D101" s="12" t="n"/>
      <c r="E101" s="12" t="n"/>
      <c r="F101" s="13" t="n"/>
      <c r="G101" s="13" t="n"/>
      <c r="H101" s="14">
        <f>IF(F101="","",F101-N(G101))</f>
        <v/>
      </c>
      <c r="I101" s="15">
        <f>IF(B101="","",IF(E101="","⛔ اختر النوع",IF(E101="مطبوعة","📷 مع الصورة",IF(D101="","⛔ اكتب رقم الفاتورة",IF(SUMIF('البنود'!$B$7:$B$606,D101,'البنود'!$F$7:$F$606)=0,"🟡 بنودها ما انزلت",IF(ROUND(SUMIF('البنود'!$B$7:$B$606,D101,'البنود'!$F$7:$F$606)-N(F101),3)=0,"✅ خلصت — البنود مطابقة","⛔ فرق "&amp;TEXT(N(F101)-SUMIF('البنود'!$B$7:$B$606,D101,'البنود'!$F$7:$F$606),"0.000")))))))</f>
        <v/>
      </c>
    </row>
    <row r="102" ht="21" customHeight="1">
      <c r="A102" s="9">
        <f>IF(B102="","",ROW()-6)</f>
        <v/>
      </c>
      <c r="B102" s="10" t="n"/>
      <c r="C102" s="11" t="n"/>
      <c r="D102" s="12" t="n"/>
      <c r="E102" s="12" t="n"/>
      <c r="F102" s="13" t="n"/>
      <c r="G102" s="13" t="n"/>
      <c r="H102" s="14">
        <f>IF(F102="","",F102-N(G102))</f>
        <v/>
      </c>
      <c r="I102" s="15">
        <f>IF(B102="","",IF(E102="","⛔ اختر النوع",IF(E102="مطبوعة","📷 مع الصورة",IF(D102="","⛔ اكتب رقم الفاتورة",IF(SUMIF('البنود'!$B$7:$B$606,D102,'البنود'!$F$7:$F$606)=0,"🟡 بنودها ما انزلت",IF(ROUND(SUMIF('البنود'!$B$7:$B$606,D102,'البنود'!$F$7:$F$606)-N(F102),3)=0,"✅ خلصت — البنود مطابقة","⛔ فرق "&amp;TEXT(N(F102)-SUMIF('البنود'!$B$7:$B$606,D102,'البنود'!$F$7:$F$606),"0.000")))))))</f>
        <v/>
      </c>
    </row>
    <row r="103" ht="21" customHeight="1">
      <c r="A103" s="9">
        <f>IF(B103="","",ROW()-6)</f>
        <v/>
      </c>
      <c r="B103" s="10" t="n"/>
      <c r="C103" s="11" t="n"/>
      <c r="D103" s="12" t="n"/>
      <c r="E103" s="12" t="n"/>
      <c r="F103" s="13" t="n"/>
      <c r="G103" s="13" t="n"/>
      <c r="H103" s="14">
        <f>IF(F103="","",F103-N(G103))</f>
        <v/>
      </c>
      <c r="I103" s="15">
        <f>IF(B103="","",IF(E103="","⛔ اختر النوع",IF(E103="مطبوعة","📷 مع الصورة",IF(D103="","⛔ اكتب رقم الفاتورة",IF(SUMIF('البنود'!$B$7:$B$606,D103,'البنود'!$F$7:$F$606)=0,"🟡 بنودها ما انزلت",IF(ROUND(SUMIF('البنود'!$B$7:$B$606,D103,'البنود'!$F$7:$F$606)-N(F103),3)=0,"✅ خلصت — البنود مطابقة","⛔ فرق "&amp;TEXT(N(F103)-SUMIF('البنود'!$B$7:$B$606,D103,'البنود'!$F$7:$F$606),"0.000")))))))</f>
        <v/>
      </c>
    </row>
    <row r="104" ht="21" customHeight="1">
      <c r="A104" s="9">
        <f>IF(B104="","",ROW()-6)</f>
        <v/>
      </c>
      <c r="B104" s="10" t="n"/>
      <c r="C104" s="11" t="n"/>
      <c r="D104" s="12" t="n"/>
      <c r="E104" s="12" t="n"/>
      <c r="F104" s="13" t="n"/>
      <c r="G104" s="13" t="n"/>
      <c r="H104" s="14">
        <f>IF(F104="","",F104-N(G104))</f>
        <v/>
      </c>
      <c r="I104" s="15">
        <f>IF(B104="","",IF(E104="","⛔ اختر النوع",IF(E104="مطبوعة","📷 مع الصورة",IF(D104="","⛔ اكتب رقم الفاتورة",IF(SUMIF('البنود'!$B$7:$B$606,D104,'البنود'!$F$7:$F$606)=0,"🟡 بنودها ما انزلت",IF(ROUND(SUMIF('البنود'!$B$7:$B$606,D104,'البنود'!$F$7:$F$606)-N(F104),3)=0,"✅ خلصت — البنود مطابقة","⛔ فرق "&amp;TEXT(N(F104)-SUMIF('البنود'!$B$7:$B$606,D104,'البنود'!$F$7:$F$606),"0.000")))))))</f>
        <v/>
      </c>
    </row>
    <row r="105" ht="21" customHeight="1">
      <c r="A105" s="9">
        <f>IF(B105="","",ROW()-6)</f>
        <v/>
      </c>
      <c r="B105" s="10" t="n"/>
      <c r="C105" s="11" t="n"/>
      <c r="D105" s="12" t="n"/>
      <c r="E105" s="12" t="n"/>
      <c r="F105" s="13" t="n"/>
      <c r="G105" s="13" t="n"/>
      <c r="H105" s="14">
        <f>IF(F105="","",F105-N(G105))</f>
        <v/>
      </c>
      <c r="I105" s="15">
        <f>IF(B105="","",IF(E105="","⛔ اختر النوع",IF(E105="مطبوعة","📷 مع الصورة",IF(D105="","⛔ اكتب رقم الفاتورة",IF(SUMIF('البنود'!$B$7:$B$606,D105,'البنود'!$F$7:$F$606)=0,"🟡 بنودها ما انزلت",IF(ROUND(SUMIF('البنود'!$B$7:$B$606,D105,'البنود'!$F$7:$F$606)-N(F105),3)=0,"✅ خلصت — البنود مطابقة","⛔ فرق "&amp;TEXT(N(F105)-SUMIF('البنود'!$B$7:$B$606,D105,'البنود'!$F$7:$F$606),"0.000")))))))</f>
        <v/>
      </c>
    </row>
    <row r="106" ht="21" customHeight="1">
      <c r="A106" s="9">
        <f>IF(B106="","",ROW()-6)</f>
        <v/>
      </c>
      <c r="B106" s="10" t="n"/>
      <c r="C106" s="11" t="n"/>
      <c r="D106" s="12" t="n"/>
      <c r="E106" s="12" t="n"/>
      <c r="F106" s="13" t="n"/>
      <c r="G106" s="13" t="n"/>
      <c r="H106" s="14">
        <f>IF(F106="","",F106-N(G106))</f>
        <v/>
      </c>
      <c r="I106" s="15">
        <f>IF(B106="","",IF(E106="","⛔ اختر النوع",IF(E106="مطبوعة","📷 مع الصورة",IF(D106="","⛔ اكتب رقم الفاتورة",IF(SUMIF('البنود'!$B$7:$B$606,D106,'البنود'!$F$7:$F$606)=0,"🟡 بنودها ما انزلت",IF(ROUND(SUMIF('البنود'!$B$7:$B$606,D106,'البنود'!$F$7:$F$606)-N(F106),3)=0,"✅ خلصت — البنود مطابقة","⛔ فرق "&amp;TEXT(N(F106)-SUMIF('البنود'!$B$7:$B$606,D106,'البنود'!$F$7:$F$606),"0.000")))))))</f>
        <v/>
      </c>
    </row>
    <row r="107" ht="21" customHeight="1">
      <c r="A107" s="9">
        <f>IF(B107="","",ROW()-6)</f>
        <v/>
      </c>
      <c r="B107" s="10" t="n"/>
      <c r="C107" s="11" t="n"/>
      <c r="D107" s="12" t="n"/>
      <c r="E107" s="12" t="n"/>
      <c r="F107" s="13" t="n"/>
      <c r="G107" s="13" t="n"/>
      <c r="H107" s="14">
        <f>IF(F107="","",F107-N(G107))</f>
        <v/>
      </c>
      <c r="I107" s="15">
        <f>IF(B107="","",IF(E107="","⛔ اختر النوع",IF(E107="مطبوعة","📷 مع الصورة",IF(D107="","⛔ اكتب رقم الفاتورة",IF(SUMIF('البنود'!$B$7:$B$606,D107,'البنود'!$F$7:$F$606)=0,"🟡 بنودها ما انزلت",IF(ROUND(SUMIF('البنود'!$B$7:$B$606,D107,'البنود'!$F$7:$F$606)-N(F107),3)=0,"✅ خلصت — البنود مطابقة","⛔ فرق "&amp;TEXT(N(F107)-SUMIF('البنود'!$B$7:$B$606,D107,'البنود'!$F$7:$F$606),"0.000")))))))</f>
        <v/>
      </c>
    </row>
    <row r="108" ht="21" customHeight="1">
      <c r="A108" s="9">
        <f>IF(B108="","",ROW()-6)</f>
        <v/>
      </c>
      <c r="B108" s="10" t="n"/>
      <c r="C108" s="11" t="n"/>
      <c r="D108" s="12" t="n"/>
      <c r="E108" s="12" t="n"/>
      <c r="F108" s="13" t="n"/>
      <c r="G108" s="13" t="n"/>
      <c r="H108" s="14">
        <f>IF(F108="","",F108-N(G108))</f>
        <v/>
      </c>
      <c r="I108" s="15">
        <f>IF(B108="","",IF(E108="","⛔ اختر النوع",IF(E108="مطبوعة","📷 مع الصورة",IF(D108="","⛔ اكتب رقم الفاتورة",IF(SUMIF('البنود'!$B$7:$B$606,D108,'البنود'!$F$7:$F$606)=0,"🟡 بنودها ما انزلت",IF(ROUND(SUMIF('البنود'!$B$7:$B$606,D108,'البنود'!$F$7:$F$606)-N(F108),3)=0,"✅ خلصت — البنود مطابقة","⛔ فرق "&amp;TEXT(N(F108)-SUMIF('البنود'!$B$7:$B$606,D108,'البنود'!$F$7:$F$606),"0.000")))))))</f>
        <v/>
      </c>
    </row>
    <row r="109" ht="21" customHeight="1">
      <c r="A109" s="9">
        <f>IF(B109="","",ROW()-6)</f>
        <v/>
      </c>
      <c r="B109" s="10" t="n"/>
      <c r="C109" s="11" t="n"/>
      <c r="D109" s="12" t="n"/>
      <c r="E109" s="12" t="n"/>
      <c r="F109" s="13" t="n"/>
      <c r="G109" s="13" t="n"/>
      <c r="H109" s="14">
        <f>IF(F109="","",F109-N(G109))</f>
        <v/>
      </c>
      <c r="I109" s="15">
        <f>IF(B109="","",IF(E109="","⛔ اختر النوع",IF(E109="مطبوعة","📷 مع الصورة",IF(D109="","⛔ اكتب رقم الفاتورة",IF(SUMIF('البنود'!$B$7:$B$606,D109,'البنود'!$F$7:$F$606)=0,"🟡 بنودها ما انزلت",IF(ROUND(SUMIF('البنود'!$B$7:$B$606,D109,'البنود'!$F$7:$F$606)-N(F109),3)=0,"✅ خلصت — البنود مطابقة","⛔ فرق "&amp;TEXT(N(F109)-SUMIF('البنود'!$B$7:$B$606,D109,'البنود'!$F$7:$F$606),"0.000")))))))</f>
        <v/>
      </c>
    </row>
    <row r="110" ht="21" customHeight="1">
      <c r="A110" s="9">
        <f>IF(B110="","",ROW()-6)</f>
        <v/>
      </c>
      <c r="B110" s="10" t="n"/>
      <c r="C110" s="11" t="n"/>
      <c r="D110" s="12" t="n"/>
      <c r="E110" s="12" t="n"/>
      <c r="F110" s="13" t="n"/>
      <c r="G110" s="13" t="n"/>
      <c r="H110" s="14">
        <f>IF(F110="","",F110-N(G110))</f>
        <v/>
      </c>
      <c r="I110" s="15">
        <f>IF(B110="","",IF(E110="","⛔ اختر النوع",IF(E110="مطبوعة","📷 مع الصورة",IF(D110="","⛔ اكتب رقم الفاتورة",IF(SUMIF('البنود'!$B$7:$B$606,D110,'البنود'!$F$7:$F$606)=0,"🟡 بنودها ما انزلت",IF(ROUND(SUMIF('البنود'!$B$7:$B$606,D110,'البنود'!$F$7:$F$606)-N(F110),3)=0,"✅ خلصت — البنود مطابقة","⛔ فرق "&amp;TEXT(N(F110)-SUMIF('البنود'!$B$7:$B$606,D110,'البنود'!$F$7:$F$606),"0.000")))))))</f>
        <v/>
      </c>
    </row>
    <row r="111" ht="21" customHeight="1">
      <c r="A111" s="9">
        <f>IF(B111="","",ROW()-6)</f>
        <v/>
      </c>
      <c r="B111" s="10" t="n"/>
      <c r="C111" s="11" t="n"/>
      <c r="D111" s="12" t="n"/>
      <c r="E111" s="12" t="n"/>
      <c r="F111" s="13" t="n"/>
      <c r="G111" s="13" t="n"/>
      <c r="H111" s="14">
        <f>IF(F111="","",F111-N(G111))</f>
        <v/>
      </c>
      <c r="I111" s="15">
        <f>IF(B111="","",IF(E111="","⛔ اختر النوع",IF(E111="مطبوعة","📷 مع الصورة",IF(D111="","⛔ اكتب رقم الفاتورة",IF(SUMIF('البنود'!$B$7:$B$606,D111,'البنود'!$F$7:$F$606)=0,"🟡 بنودها ما انزلت",IF(ROUND(SUMIF('البنود'!$B$7:$B$606,D111,'البنود'!$F$7:$F$606)-N(F111),3)=0,"✅ خلصت — البنود مطابقة","⛔ فرق "&amp;TEXT(N(F111)-SUMIF('البنود'!$B$7:$B$606,D111,'البنود'!$F$7:$F$606),"0.000")))))))</f>
        <v/>
      </c>
    </row>
    <row r="112" ht="21" customHeight="1">
      <c r="A112" s="9">
        <f>IF(B112="","",ROW()-6)</f>
        <v/>
      </c>
      <c r="B112" s="10" t="n"/>
      <c r="C112" s="11" t="n"/>
      <c r="D112" s="12" t="n"/>
      <c r="E112" s="12" t="n"/>
      <c r="F112" s="13" t="n"/>
      <c r="G112" s="13" t="n"/>
      <c r="H112" s="14">
        <f>IF(F112="","",F112-N(G112))</f>
        <v/>
      </c>
      <c r="I112" s="15">
        <f>IF(B112="","",IF(E112="","⛔ اختر النوع",IF(E112="مطبوعة","📷 مع الصورة",IF(D112="","⛔ اكتب رقم الفاتورة",IF(SUMIF('البنود'!$B$7:$B$606,D112,'البنود'!$F$7:$F$606)=0,"🟡 بنودها ما انزلت",IF(ROUND(SUMIF('البنود'!$B$7:$B$606,D112,'البنود'!$F$7:$F$606)-N(F112),3)=0,"✅ خلصت — البنود مطابقة","⛔ فرق "&amp;TEXT(N(F112)-SUMIF('البنود'!$B$7:$B$606,D112,'البنود'!$F$7:$F$606),"0.000")))))))</f>
        <v/>
      </c>
    </row>
    <row r="113" ht="21" customHeight="1">
      <c r="A113" s="9">
        <f>IF(B113="","",ROW()-6)</f>
        <v/>
      </c>
      <c r="B113" s="10" t="n"/>
      <c r="C113" s="11" t="n"/>
      <c r="D113" s="12" t="n"/>
      <c r="E113" s="12" t="n"/>
      <c r="F113" s="13" t="n"/>
      <c r="G113" s="13" t="n"/>
      <c r="H113" s="14">
        <f>IF(F113="","",F113-N(G113))</f>
        <v/>
      </c>
      <c r="I113" s="15">
        <f>IF(B113="","",IF(E113="","⛔ اختر النوع",IF(E113="مطبوعة","📷 مع الصورة",IF(D113="","⛔ اكتب رقم الفاتورة",IF(SUMIF('البنود'!$B$7:$B$606,D113,'البنود'!$F$7:$F$606)=0,"🟡 بنودها ما انزلت",IF(ROUND(SUMIF('البنود'!$B$7:$B$606,D113,'البنود'!$F$7:$F$606)-N(F113),3)=0,"✅ خلصت — البنود مطابقة","⛔ فرق "&amp;TEXT(N(F113)-SUMIF('البنود'!$B$7:$B$606,D113,'البنود'!$F$7:$F$606),"0.000")))))))</f>
        <v/>
      </c>
    </row>
    <row r="114" ht="21" customHeight="1">
      <c r="A114" s="9">
        <f>IF(B114="","",ROW()-6)</f>
        <v/>
      </c>
      <c r="B114" s="10" t="n"/>
      <c r="C114" s="11" t="n"/>
      <c r="D114" s="12" t="n"/>
      <c r="E114" s="12" t="n"/>
      <c r="F114" s="13" t="n"/>
      <c r="G114" s="13" t="n"/>
      <c r="H114" s="14">
        <f>IF(F114="","",F114-N(G114))</f>
        <v/>
      </c>
      <c r="I114" s="15">
        <f>IF(B114="","",IF(E114="","⛔ اختر النوع",IF(E114="مطبوعة","📷 مع الصورة",IF(D114="","⛔ اكتب رقم الفاتورة",IF(SUMIF('البنود'!$B$7:$B$606,D114,'البنود'!$F$7:$F$606)=0,"🟡 بنودها ما انزلت",IF(ROUND(SUMIF('البنود'!$B$7:$B$606,D114,'البنود'!$F$7:$F$606)-N(F114),3)=0,"✅ خلصت — البنود مطابقة","⛔ فرق "&amp;TEXT(N(F114)-SUMIF('البنود'!$B$7:$B$606,D114,'البنود'!$F$7:$F$606),"0.000")))))))</f>
        <v/>
      </c>
    </row>
    <row r="115" ht="21" customHeight="1">
      <c r="A115" s="9">
        <f>IF(B115="","",ROW()-6)</f>
        <v/>
      </c>
      <c r="B115" s="10" t="n"/>
      <c r="C115" s="11" t="n"/>
      <c r="D115" s="12" t="n"/>
      <c r="E115" s="12" t="n"/>
      <c r="F115" s="13" t="n"/>
      <c r="G115" s="13" t="n"/>
      <c r="H115" s="14">
        <f>IF(F115="","",F115-N(G115))</f>
        <v/>
      </c>
      <c r="I115" s="15">
        <f>IF(B115="","",IF(E115="","⛔ اختر النوع",IF(E115="مطبوعة","📷 مع الصورة",IF(D115="","⛔ اكتب رقم الفاتورة",IF(SUMIF('البنود'!$B$7:$B$606,D115,'البنود'!$F$7:$F$606)=0,"🟡 بنودها ما انزلت",IF(ROUND(SUMIF('البنود'!$B$7:$B$606,D115,'البنود'!$F$7:$F$606)-N(F115),3)=0,"✅ خلصت — البنود مطابقة","⛔ فرق "&amp;TEXT(N(F115)-SUMIF('البنود'!$B$7:$B$606,D115,'البنود'!$F$7:$F$606),"0.000")))))))</f>
        <v/>
      </c>
    </row>
    <row r="116" ht="21" customHeight="1">
      <c r="A116" s="9">
        <f>IF(B116="","",ROW()-6)</f>
        <v/>
      </c>
      <c r="B116" s="10" t="n"/>
      <c r="C116" s="11" t="n"/>
      <c r="D116" s="12" t="n"/>
      <c r="E116" s="12" t="n"/>
      <c r="F116" s="13" t="n"/>
      <c r="G116" s="13" t="n"/>
      <c r="H116" s="14">
        <f>IF(F116="","",F116-N(G116))</f>
        <v/>
      </c>
      <c r="I116" s="15">
        <f>IF(B116="","",IF(E116="","⛔ اختر النوع",IF(E116="مطبوعة","📷 مع الصورة",IF(D116="","⛔ اكتب رقم الفاتورة",IF(SUMIF('البنود'!$B$7:$B$606,D116,'البنود'!$F$7:$F$606)=0,"🟡 بنودها ما انزلت",IF(ROUND(SUMIF('البنود'!$B$7:$B$606,D116,'البنود'!$F$7:$F$606)-N(F116),3)=0,"✅ خلصت — البنود مطابقة","⛔ فرق "&amp;TEXT(N(F116)-SUMIF('البنود'!$B$7:$B$606,D116,'البنود'!$F$7:$F$606),"0.000")))))))</f>
        <v/>
      </c>
    </row>
    <row r="117" ht="21" customHeight="1">
      <c r="A117" s="9">
        <f>IF(B117="","",ROW()-6)</f>
        <v/>
      </c>
      <c r="B117" s="10" t="n"/>
      <c r="C117" s="11" t="n"/>
      <c r="D117" s="12" t="n"/>
      <c r="E117" s="12" t="n"/>
      <c r="F117" s="13" t="n"/>
      <c r="G117" s="13" t="n"/>
      <c r="H117" s="14">
        <f>IF(F117="","",F117-N(G117))</f>
        <v/>
      </c>
      <c r="I117" s="15">
        <f>IF(B117="","",IF(E117="","⛔ اختر النوع",IF(E117="مطبوعة","📷 مع الصورة",IF(D117="","⛔ اكتب رقم الفاتورة",IF(SUMIF('البنود'!$B$7:$B$606,D117,'البنود'!$F$7:$F$606)=0,"🟡 بنودها ما انزلت",IF(ROUND(SUMIF('البنود'!$B$7:$B$606,D117,'البنود'!$F$7:$F$606)-N(F117),3)=0,"✅ خلصت — البنود مطابقة","⛔ فرق "&amp;TEXT(N(F117)-SUMIF('البنود'!$B$7:$B$606,D117,'البنود'!$F$7:$F$606),"0.000")))))))</f>
        <v/>
      </c>
    </row>
    <row r="118" ht="21" customHeight="1">
      <c r="A118" s="9">
        <f>IF(B118="","",ROW()-6)</f>
        <v/>
      </c>
      <c r="B118" s="10" t="n"/>
      <c r="C118" s="11" t="n"/>
      <c r="D118" s="12" t="n"/>
      <c r="E118" s="12" t="n"/>
      <c r="F118" s="13" t="n"/>
      <c r="G118" s="13" t="n"/>
      <c r="H118" s="14">
        <f>IF(F118="","",F118-N(G118))</f>
        <v/>
      </c>
      <c r="I118" s="15">
        <f>IF(B118="","",IF(E118="","⛔ اختر النوع",IF(E118="مطبوعة","📷 مع الصورة",IF(D118="","⛔ اكتب رقم الفاتورة",IF(SUMIF('البنود'!$B$7:$B$606,D118,'البنود'!$F$7:$F$606)=0,"🟡 بنودها ما انزلت",IF(ROUND(SUMIF('البنود'!$B$7:$B$606,D118,'البنود'!$F$7:$F$606)-N(F118),3)=0,"✅ خلصت — البنود مطابقة","⛔ فرق "&amp;TEXT(N(F118)-SUMIF('البنود'!$B$7:$B$606,D118,'البنود'!$F$7:$F$606),"0.000")))))))</f>
        <v/>
      </c>
    </row>
    <row r="119" ht="21" customHeight="1">
      <c r="A119" s="9">
        <f>IF(B119="","",ROW()-6)</f>
        <v/>
      </c>
      <c r="B119" s="10" t="n"/>
      <c r="C119" s="11" t="n"/>
      <c r="D119" s="12" t="n"/>
      <c r="E119" s="12" t="n"/>
      <c r="F119" s="13" t="n"/>
      <c r="G119" s="13" t="n"/>
      <c r="H119" s="14">
        <f>IF(F119="","",F119-N(G119))</f>
        <v/>
      </c>
      <c r="I119" s="15">
        <f>IF(B119="","",IF(E119="","⛔ اختر النوع",IF(E119="مطبوعة","📷 مع الصورة",IF(D119="","⛔ اكتب رقم الفاتورة",IF(SUMIF('البنود'!$B$7:$B$606,D119,'البنود'!$F$7:$F$606)=0,"🟡 بنودها ما انزلت",IF(ROUND(SUMIF('البنود'!$B$7:$B$606,D119,'البنود'!$F$7:$F$606)-N(F119),3)=0,"✅ خلصت — البنود مطابقة","⛔ فرق "&amp;TEXT(N(F119)-SUMIF('البنود'!$B$7:$B$606,D119,'البنود'!$F$7:$F$606),"0.000")))))))</f>
        <v/>
      </c>
    </row>
    <row r="120" ht="21" customHeight="1">
      <c r="A120" s="9">
        <f>IF(B120="","",ROW()-6)</f>
        <v/>
      </c>
      <c r="B120" s="10" t="n"/>
      <c r="C120" s="11" t="n"/>
      <c r="D120" s="12" t="n"/>
      <c r="E120" s="12" t="n"/>
      <c r="F120" s="13" t="n"/>
      <c r="G120" s="13" t="n"/>
      <c r="H120" s="14">
        <f>IF(F120="","",F120-N(G120))</f>
        <v/>
      </c>
      <c r="I120" s="15">
        <f>IF(B120="","",IF(E120="","⛔ اختر النوع",IF(E120="مطبوعة","📷 مع الصورة",IF(D120="","⛔ اكتب رقم الفاتورة",IF(SUMIF('البنود'!$B$7:$B$606,D120,'البنود'!$F$7:$F$606)=0,"🟡 بنودها ما انزلت",IF(ROUND(SUMIF('البنود'!$B$7:$B$606,D120,'البنود'!$F$7:$F$606)-N(F120),3)=0,"✅ خلصت — البنود مطابقة","⛔ فرق "&amp;TEXT(N(F120)-SUMIF('البنود'!$B$7:$B$606,D120,'البنود'!$F$7:$F$606),"0.000")))))))</f>
        <v/>
      </c>
    </row>
    <row r="121" ht="21" customHeight="1">
      <c r="A121" s="9">
        <f>IF(B121="","",ROW()-6)</f>
        <v/>
      </c>
      <c r="B121" s="10" t="n"/>
      <c r="C121" s="11" t="n"/>
      <c r="D121" s="12" t="n"/>
      <c r="E121" s="12" t="n"/>
      <c r="F121" s="13" t="n"/>
      <c r="G121" s="13" t="n"/>
      <c r="H121" s="14">
        <f>IF(F121="","",F121-N(G121))</f>
        <v/>
      </c>
      <c r="I121" s="15">
        <f>IF(B121="","",IF(E121="","⛔ اختر النوع",IF(E121="مطبوعة","📷 مع الصورة",IF(D121="","⛔ اكتب رقم الفاتورة",IF(SUMIF('البنود'!$B$7:$B$606,D121,'البنود'!$F$7:$F$606)=0,"🟡 بنودها ما انزلت",IF(ROUND(SUMIF('البنود'!$B$7:$B$606,D121,'البنود'!$F$7:$F$606)-N(F121),3)=0,"✅ خلصت — البنود مطابقة","⛔ فرق "&amp;TEXT(N(F121)-SUMIF('البنود'!$B$7:$B$606,D121,'البنود'!$F$7:$F$606),"0.000")))))))</f>
        <v/>
      </c>
    </row>
    <row r="122" ht="21" customHeight="1">
      <c r="A122" s="9">
        <f>IF(B122="","",ROW()-6)</f>
        <v/>
      </c>
      <c r="B122" s="10" t="n"/>
      <c r="C122" s="11" t="n"/>
      <c r="D122" s="12" t="n"/>
      <c r="E122" s="12" t="n"/>
      <c r="F122" s="13" t="n"/>
      <c r="G122" s="13" t="n"/>
      <c r="H122" s="14">
        <f>IF(F122="","",F122-N(G122))</f>
        <v/>
      </c>
      <c r="I122" s="15">
        <f>IF(B122="","",IF(E122="","⛔ اختر النوع",IF(E122="مطبوعة","📷 مع الصورة",IF(D122="","⛔ اكتب رقم الفاتورة",IF(SUMIF('البنود'!$B$7:$B$606,D122,'البنود'!$F$7:$F$606)=0,"🟡 بنودها ما انزلت",IF(ROUND(SUMIF('البنود'!$B$7:$B$606,D122,'البنود'!$F$7:$F$606)-N(F122),3)=0,"✅ خلصت — البنود مطابقة","⛔ فرق "&amp;TEXT(N(F122)-SUMIF('البنود'!$B$7:$B$606,D122,'البنود'!$F$7:$F$606),"0.000")))))))</f>
        <v/>
      </c>
    </row>
    <row r="123" ht="21" customHeight="1">
      <c r="A123" s="9">
        <f>IF(B123="","",ROW()-6)</f>
        <v/>
      </c>
      <c r="B123" s="10" t="n"/>
      <c r="C123" s="11" t="n"/>
      <c r="D123" s="12" t="n"/>
      <c r="E123" s="12" t="n"/>
      <c r="F123" s="13" t="n"/>
      <c r="G123" s="13" t="n"/>
      <c r="H123" s="14">
        <f>IF(F123="","",F123-N(G123))</f>
        <v/>
      </c>
      <c r="I123" s="15">
        <f>IF(B123="","",IF(E123="","⛔ اختر النوع",IF(E123="مطبوعة","📷 مع الصورة",IF(D123="","⛔ اكتب رقم الفاتورة",IF(SUMIF('البنود'!$B$7:$B$606,D123,'البنود'!$F$7:$F$606)=0,"🟡 بنودها ما انزلت",IF(ROUND(SUMIF('البنود'!$B$7:$B$606,D123,'البنود'!$F$7:$F$606)-N(F123),3)=0,"✅ خلصت — البنود مطابقة","⛔ فرق "&amp;TEXT(N(F123)-SUMIF('البنود'!$B$7:$B$606,D123,'البنود'!$F$7:$F$606),"0.000")))))))</f>
        <v/>
      </c>
    </row>
    <row r="124" ht="21" customHeight="1">
      <c r="A124" s="9">
        <f>IF(B124="","",ROW()-6)</f>
        <v/>
      </c>
      <c r="B124" s="10" t="n"/>
      <c r="C124" s="11" t="n"/>
      <c r="D124" s="12" t="n"/>
      <c r="E124" s="12" t="n"/>
      <c r="F124" s="13" t="n"/>
      <c r="G124" s="13" t="n"/>
      <c r="H124" s="14">
        <f>IF(F124="","",F124-N(G124))</f>
        <v/>
      </c>
      <c r="I124" s="15">
        <f>IF(B124="","",IF(E124="","⛔ اختر النوع",IF(E124="مطبوعة","📷 مع الصورة",IF(D124="","⛔ اكتب رقم الفاتورة",IF(SUMIF('البنود'!$B$7:$B$606,D124,'البنود'!$F$7:$F$606)=0,"🟡 بنودها ما انزلت",IF(ROUND(SUMIF('البنود'!$B$7:$B$606,D124,'البنود'!$F$7:$F$606)-N(F124),3)=0,"✅ خلصت — البنود مطابقة","⛔ فرق "&amp;TEXT(N(F124)-SUMIF('البنود'!$B$7:$B$606,D124,'البنود'!$F$7:$F$606),"0.000")))))))</f>
        <v/>
      </c>
    </row>
    <row r="125" ht="21" customHeight="1">
      <c r="A125" s="9">
        <f>IF(B125="","",ROW()-6)</f>
        <v/>
      </c>
      <c r="B125" s="10" t="n"/>
      <c r="C125" s="11" t="n"/>
      <c r="D125" s="12" t="n"/>
      <c r="E125" s="12" t="n"/>
      <c r="F125" s="13" t="n"/>
      <c r="G125" s="13" t="n"/>
      <c r="H125" s="14">
        <f>IF(F125="","",F125-N(G125))</f>
        <v/>
      </c>
      <c r="I125" s="15">
        <f>IF(B125="","",IF(E125="","⛔ اختر النوع",IF(E125="مطبوعة","📷 مع الصورة",IF(D125="","⛔ اكتب رقم الفاتورة",IF(SUMIF('البنود'!$B$7:$B$606,D125,'البنود'!$F$7:$F$606)=0,"🟡 بنودها ما انزلت",IF(ROUND(SUMIF('البنود'!$B$7:$B$606,D125,'البنود'!$F$7:$F$606)-N(F125),3)=0,"✅ خلصت — البنود مطابقة","⛔ فرق "&amp;TEXT(N(F125)-SUMIF('البنود'!$B$7:$B$606,D125,'البنود'!$F$7:$F$606),"0.000")))))))</f>
        <v/>
      </c>
    </row>
    <row r="126" ht="21" customHeight="1">
      <c r="A126" s="9">
        <f>IF(B126="","",ROW()-6)</f>
        <v/>
      </c>
      <c r="B126" s="10" t="n"/>
      <c r="C126" s="11" t="n"/>
      <c r="D126" s="12" t="n"/>
      <c r="E126" s="12" t="n"/>
      <c r="F126" s="13" t="n"/>
      <c r="G126" s="13" t="n"/>
      <c r="H126" s="14">
        <f>IF(F126="","",F126-N(G126))</f>
        <v/>
      </c>
      <c r="I126" s="15">
        <f>IF(B126="","",IF(E126="","⛔ اختر النوع",IF(E126="مطبوعة","📷 مع الصورة",IF(D126="","⛔ اكتب رقم الفاتورة",IF(SUMIF('البنود'!$B$7:$B$606,D126,'البنود'!$F$7:$F$606)=0,"🟡 بنودها ما انزلت",IF(ROUND(SUMIF('البنود'!$B$7:$B$606,D126,'البنود'!$F$7:$F$606)-N(F126),3)=0,"✅ خلصت — البنود مطابقة","⛔ فرق "&amp;TEXT(N(F126)-SUMIF('البنود'!$B$7:$B$606,D126,'البنود'!$F$7:$F$606),"0.000")))))))</f>
        <v/>
      </c>
    </row>
    <row r="127" ht="21" customHeight="1">
      <c r="A127" s="9">
        <f>IF(B127="","",ROW()-6)</f>
        <v/>
      </c>
      <c r="B127" s="10" t="n"/>
      <c r="C127" s="11" t="n"/>
      <c r="D127" s="12" t="n"/>
      <c r="E127" s="12" t="n"/>
      <c r="F127" s="13" t="n"/>
      <c r="G127" s="13" t="n"/>
      <c r="H127" s="14">
        <f>IF(F127="","",F127-N(G127))</f>
        <v/>
      </c>
      <c r="I127" s="15">
        <f>IF(B127="","",IF(E127="","⛔ اختر النوع",IF(E127="مطبوعة","📷 مع الصورة",IF(D127="","⛔ اكتب رقم الفاتورة",IF(SUMIF('البنود'!$B$7:$B$606,D127,'البنود'!$F$7:$F$606)=0,"🟡 بنودها ما انزلت",IF(ROUND(SUMIF('البنود'!$B$7:$B$606,D127,'البنود'!$F$7:$F$606)-N(F127),3)=0,"✅ خلصت — البنود مطابقة","⛔ فرق "&amp;TEXT(N(F127)-SUMIF('البنود'!$B$7:$B$606,D127,'البنود'!$F$7:$F$606),"0.000")))))))</f>
        <v/>
      </c>
    </row>
    <row r="128" ht="21" customHeight="1">
      <c r="A128" s="9">
        <f>IF(B128="","",ROW()-6)</f>
        <v/>
      </c>
      <c r="B128" s="10" t="n"/>
      <c r="C128" s="11" t="n"/>
      <c r="D128" s="12" t="n"/>
      <c r="E128" s="12" t="n"/>
      <c r="F128" s="13" t="n"/>
      <c r="G128" s="13" t="n"/>
      <c r="H128" s="14">
        <f>IF(F128="","",F128-N(G128))</f>
        <v/>
      </c>
      <c r="I128" s="15">
        <f>IF(B128="","",IF(E128="","⛔ اختر النوع",IF(E128="مطبوعة","📷 مع الصورة",IF(D128="","⛔ اكتب رقم الفاتورة",IF(SUMIF('البنود'!$B$7:$B$606,D128,'البنود'!$F$7:$F$606)=0,"🟡 بنودها ما انزلت",IF(ROUND(SUMIF('البنود'!$B$7:$B$606,D128,'البنود'!$F$7:$F$606)-N(F128),3)=0,"✅ خلصت — البنود مطابقة","⛔ فرق "&amp;TEXT(N(F128)-SUMIF('البنود'!$B$7:$B$606,D128,'البنود'!$F$7:$F$606),"0.000")))))))</f>
        <v/>
      </c>
    </row>
    <row r="129" ht="21" customHeight="1">
      <c r="A129" s="9">
        <f>IF(B129="","",ROW()-6)</f>
        <v/>
      </c>
      <c r="B129" s="10" t="n"/>
      <c r="C129" s="11" t="n"/>
      <c r="D129" s="12" t="n"/>
      <c r="E129" s="12" t="n"/>
      <c r="F129" s="13" t="n"/>
      <c r="G129" s="13" t="n"/>
      <c r="H129" s="14">
        <f>IF(F129="","",F129-N(G129))</f>
        <v/>
      </c>
      <c r="I129" s="15">
        <f>IF(B129="","",IF(E129="","⛔ اختر النوع",IF(E129="مطبوعة","📷 مع الصورة",IF(D129="","⛔ اكتب رقم الفاتورة",IF(SUMIF('البنود'!$B$7:$B$606,D129,'البنود'!$F$7:$F$606)=0,"🟡 بنودها ما انزلت",IF(ROUND(SUMIF('البنود'!$B$7:$B$606,D129,'البنود'!$F$7:$F$606)-N(F129),3)=0,"✅ خلصت — البنود مطابقة","⛔ فرق "&amp;TEXT(N(F129)-SUMIF('البنود'!$B$7:$B$606,D129,'البنود'!$F$7:$F$606),"0.000")))))))</f>
        <v/>
      </c>
    </row>
    <row r="130" ht="21" customHeight="1">
      <c r="A130" s="9">
        <f>IF(B130="","",ROW()-6)</f>
        <v/>
      </c>
      <c r="B130" s="10" t="n"/>
      <c r="C130" s="11" t="n"/>
      <c r="D130" s="12" t="n"/>
      <c r="E130" s="12" t="n"/>
      <c r="F130" s="13" t="n"/>
      <c r="G130" s="13" t="n"/>
      <c r="H130" s="14">
        <f>IF(F130="","",F130-N(G130))</f>
        <v/>
      </c>
      <c r="I130" s="15">
        <f>IF(B130="","",IF(E130="","⛔ اختر النوع",IF(E130="مطبوعة","📷 مع الصورة",IF(D130="","⛔ اكتب رقم الفاتورة",IF(SUMIF('البنود'!$B$7:$B$606,D130,'البنود'!$F$7:$F$606)=0,"🟡 بنودها ما انزلت",IF(ROUND(SUMIF('البنود'!$B$7:$B$606,D130,'البنود'!$F$7:$F$606)-N(F130),3)=0,"✅ خلصت — البنود مطابقة","⛔ فرق "&amp;TEXT(N(F130)-SUMIF('البنود'!$B$7:$B$606,D130,'البنود'!$F$7:$F$606),"0.000")))))))</f>
        <v/>
      </c>
    </row>
    <row r="131" ht="21" customHeight="1">
      <c r="A131" s="9">
        <f>IF(B131="","",ROW()-6)</f>
        <v/>
      </c>
      <c r="B131" s="10" t="n"/>
      <c r="C131" s="11" t="n"/>
      <c r="D131" s="12" t="n"/>
      <c r="E131" s="12" t="n"/>
      <c r="F131" s="13" t="n"/>
      <c r="G131" s="13" t="n"/>
      <c r="H131" s="14">
        <f>IF(F131="","",F131-N(G131))</f>
        <v/>
      </c>
      <c r="I131" s="15">
        <f>IF(B131="","",IF(E131="","⛔ اختر النوع",IF(E131="مطبوعة","📷 مع الصورة",IF(D131="","⛔ اكتب رقم الفاتورة",IF(SUMIF('البنود'!$B$7:$B$606,D131,'البنود'!$F$7:$F$606)=0,"🟡 بنودها ما انزلت",IF(ROUND(SUMIF('البنود'!$B$7:$B$606,D131,'البنود'!$F$7:$F$606)-N(F131),3)=0,"✅ خلصت — البنود مطابقة","⛔ فرق "&amp;TEXT(N(F131)-SUMIF('البنود'!$B$7:$B$606,D131,'البنود'!$F$7:$F$606),"0.000")))))))</f>
        <v/>
      </c>
    </row>
    <row r="132" ht="21" customHeight="1">
      <c r="A132" s="9">
        <f>IF(B132="","",ROW()-6)</f>
        <v/>
      </c>
      <c r="B132" s="10" t="n"/>
      <c r="C132" s="11" t="n"/>
      <c r="D132" s="12" t="n"/>
      <c r="E132" s="12" t="n"/>
      <c r="F132" s="13" t="n"/>
      <c r="G132" s="13" t="n"/>
      <c r="H132" s="14">
        <f>IF(F132="","",F132-N(G132))</f>
        <v/>
      </c>
      <c r="I132" s="15">
        <f>IF(B132="","",IF(E132="","⛔ اختر النوع",IF(E132="مطبوعة","📷 مع الصورة",IF(D132="","⛔ اكتب رقم الفاتورة",IF(SUMIF('البنود'!$B$7:$B$606,D132,'البنود'!$F$7:$F$606)=0,"🟡 بنودها ما انزلت",IF(ROUND(SUMIF('البنود'!$B$7:$B$606,D132,'البنود'!$F$7:$F$606)-N(F132),3)=0,"✅ خلصت — البنود مطابقة","⛔ فرق "&amp;TEXT(N(F132)-SUMIF('البنود'!$B$7:$B$606,D132,'البنود'!$F$7:$F$606),"0.000")))))))</f>
        <v/>
      </c>
    </row>
    <row r="133" ht="21" customHeight="1">
      <c r="A133" s="9">
        <f>IF(B133="","",ROW()-6)</f>
        <v/>
      </c>
      <c r="B133" s="10" t="n"/>
      <c r="C133" s="11" t="n"/>
      <c r="D133" s="12" t="n"/>
      <c r="E133" s="12" t="n"/>
      <c r="F133" s="13" t="n"/>
      <c r="G133" s="13" t="n"/>
      <c r="H133" s="14">
        <f>IF(F133="","",F133-N(G133))</f>
        <v/>
      </c>
      <c r="I133" s="15">
        <f>IF(B133="","",IF(E133="","⛔ اختر النوع",IF(E133="مطبوعة","📷 مع الصورة",IF(D133="","⛔ اكتب رقم الفاتورة",IF(SUMIF('البنود'!$B$7:$B$606,D133,'البنود'!$F$7:$F$606)=0,"🟡 بنودها ما انزلت",IF(ROUND(SUMIF('البنود'!$B$7:$B$606,D133,'البنود'!$F$7:$F$606)-N(F133),3)=0,"✅ خلصت — البنود مطابقة","⛔ فرق "&amp;TEXT(N(F133)-SUMIF('البنود'!$B$7:$B$606,D133,'البنود'!$F$7:$F$606),"0.000")))))))</f>
        <v/>
      </c>
    </row>
    <row r="134" ht="21" customHeight="1">
      <c r="A134" s="9">
        <f>IF(B134="","",ROW()-6)</f>
        <v/>
      </c>
      <c r="B134" s="10" t="n"/>
      <c r="C134" s="11" t="n"/>
      <c r="D134" s="12" t="n"/>
      <c r="E134" s="12" t="n"/>
      <c r="F134" s="13" t="n"/>
      <c r="G134" s="13" t="n"/>
      <c r="H134" s="14">
        <f>IF(F134="","",F134-N(G134))</f>
        <v/>
      </c>
      <c r="I134" s="15">
        <f>IF(B134="","",IF(E134="","⛔ اختر النوع",IF(E134="مطبوعة","📷 مع الصورة",IF(D134="","⛔ اكتب رقم الفاتورة",IF(SUMIF('البنود'!$B$7:$B$606,D134,'البنود'!$F$7:$F$606)=0,"🟡 بنودها ما انزلت",IF(ROUND(SUMIF('البنود'!$B$7:$B$606,D134,'البنود'!$F$7:$F$606)-N(F134),3)=0,"✅ خلصت — البنود مطابقة","⛔ فرق "&amp;TEXT(N(F134)-SUMIF('البنود'!$B$7:$B$606,D134,'البنود'!$F$7:$F$606),"0.000")))))))</f>
        <v/>
      </c>
    </row>
    <row r="135" ht="21" customHeight="1">
      <c r="A135" s="9">
        <f>IF(B135="","",ROW()-6)</f>
        <v/>
      </c>
      <c r="B135" s="10" t="n"/>
      <c r="C135" s="11" t="n"/>
      <c r="D135" s="12" t="n"/>
      <c r="E135" s="12" t="n"/>
      <c r="F135" s="13" t="n"/>
      <c r="G135" s="13" t="n"/>
      <c r="H135" s="14">
        <f>IF(F135="","",F135-N(G135))</f>
        <v/>
      </c>
      <c r="I135" s="15">
        <f>IF(B135="","",IF(E135="","⛔ اختر النوع",IF(E135="مطبوعة","📷 مع الصورة",IF(D135="","⛔ اكتب رقم الفاتورة",IF(SUMIF('البنود'!$B$7:$B$606,D135,'البنود'!$F$7:$F$606)=0,"🟡 بنودها ما انزلت",IF(ROUND(SUMIF('البنود'!$B$7:$B$606,D135,'البنود'!$F$7:$F$606)-N(F135),3)=0,"✅ خلصت — البنود مطابقة","⛔ فرق "&amp;TEXT(N(F135)-SUMIF('البنود'!$B$7:$B$606,D135,'البنود'!$F$7:$F$606),"0.000")))))))</f>
        <v/>
      </c>
    </row>
    <row r="136" ht="21" customHeight="1">
      <c r="A136" s="9">
        <f>IF(B136="","",ROW()-6)</f>
        <v/>
      </c>
      <c r="B136" s="10" t="n"/>
      <c r="C136" s="11" t="n"/>
      <c r="D136" s="12" t="n"/>
      <c r="E136" s="12" t="n"/>
      <c r="F136" s="13" t="n"/>
      <c r="G136" s="13" t="n"/>
      <c r="H136" s="14">
        <f>IF(F136="","",F136-N(G136))</f>
        <v/>
      </c>
      <c r="I136" s="15">
        <f>IF(B136="","",IF(E136="","⛔ اختر النوع",IF(E136="مطبوعة","📷 مع الصورة",IF(D136="","⛔ اكتب رقم الفاتورة",IF(SUMIF('البنود'!$B$7:$B$606,D136,'البنود'!$F$7:$F$606)=0,"🟡 بنودها ما انزلت",IF(ROUND(SUMIF('البنود'!$B$7:$B$606,D136,'البنود'!$F$7:$F$606)-N(F136),3)=0,"✅ خلصت — البنود مطابقة","⛔ فرق "&amp;TEXT(N(F136)-SUMIF('البنود'!$B$7:$B$606,D136,'البنود'!$F$7:$F$606),"0.000")))))))</f>
        <v/>
      </c>
    </row>
    <row r="137" ht="21" customHeight="1">
      <c r="A137" s="9">
        <f>IF(B137="","",ROW()-6)</f>
        <v/>
      </c>
      <c r="B137" s="10" t="n"/>
      <c r="C137" s="11" t="n"/>
      <c r="D137" s="12" t="n"/>
      <c r="E137" s="12" t="n"/>
      <c r="F137" s="13" t="n"/>
      <c r="G137" s="13" t="n"/>
      <c r="H137" s="14">
        <f>IF(F137="","",F137-N(G137))</f>
        <v/>
      </c>
      <c r="I137" s="15">
        <f>IF(B137="","",IF(E137="","⛔ اختر النوع",IF(E137="مطبوعة","📷 مع الصورة",IF(D137="","⛔ اكتب رقم الفاتورة",IF(SUMIF('البنود'!$B$7:$B$606,D137,'البنود'!$F$7:$F$606)=0,"🟡 بنودها ما انزلت",IF(ROUND(SUMIF('البنود'!$B$7:$B$606,D137,'البنود'!$F$7:$F$606)-N(F137),3)=0,"✅ خلصت — البنود مطابقة","⛔ فرق "&amp;TEXT(N(F137)-SUMIF('البنود'!$B$7:$B$606,D137,'البنود'!$F$7:$F$606),"0.000")))))))</f>
        <v/>
      </c>
    </row>
    <row r="138" ht="21" customHeight="1">
      <c r="A138" s="9">
        <f>IF(B138="","",ROW()-6)</f>
        <v/>
      </c>
      <c r="B138" s="10" t="n"/>
      <c r="C138" s="11" t="n"/>
      <c r="D138" s="12" t="n"/>
      <c r="E138" s="12" t="n"/>
      <c r="F138" s="13" t="n"/>
      <c r="G138" s="13" t="n"/>
      <c r="H138" s="14">
        <f>IF(F138="","",F138-N(G138))</f>
        <v/>
      </c>
      <c r="I138" s="15">
        <f>IF(B138="","",IF(E138="","⛔ اختر النوع",IF(E138="مطبوعة","📷 مع الصورة",IF(D138="","⛔ اكتب رقم الفاتورة",IF(SUMIF('البنود'!$B$7:$B$606,D138,'البنود'!$F$7:$F$606)=0,"🟡 بنودها ما انزلت",IF(ROUND(SUMIF('البنود'!$B$7:$B$606,D138,'البنود'!$F$7:$F$606)-N(F138),3)=0,"✅ خلصت — البنود مطابقة","⛔ فرق "&amp;TEXT(N(F138)-SUMIF('البنود'!$B$7:$B$606,D138,'البنود'!$F$7:$F$606),"0.000")))))))</f>
        <v/>
      </c>
    </row>
    <row r="139" ht="21" customHeight="1">
      <c r="A139" s="9">
        <f>IF(B139="","",ROW()-6)</f>
        <v/>
      </c>
      <c r="B139" s="10" t="n"/>
      <c r="C139" s="11" t="n"/>
      <c r="D139" s="12" t="n"/>
      <c r="E139" s="12" t="n"/>
      <c r="F139" s="13" t="n"/>
      <c r="G139" s="13" t="n"/>
      <c r="H139" s="14">
        <f>IF(F139="","",F139-N(G139))</f>
        <v/>
      </c>
      <c r="I139" s="15">
        <f>IF(B139="","",IF(E139="","⛔ اختر النوع",IF(E139="مطبوعة","📷 مع الصورة",IF(D139="","⛔ اكتب رقم الفاتورة",IF(SUMIF('البنود'!$B$7:$B$606,D139,'البنود'!$F$7:$F$606)=0,"🟡 بنودها ما انزلت",IF(ROUND(SUMIF('البنود'!$B$7:$B$606,D139,'البنود'!$F$7:$F$606)-N(F139),3)=0,"✅ خلصت — البنود مطابقة","⛔ فرق "&amp;TEXT(N(F139)-SUMIF('البنود'!$B$7:$B$606,D139,'البنود'!$F$7:$F$606),"0.000")))))))</f>
        <v/>
      </c>
    </row>
    <row r="140" ht="21" customHeight="1">
      <c r="A140" s="9">
        <f>IF(B140="","",ROW()-6)</f>
        <v/>
      </c>
      <c r="B140" s="10" t="n"/>
      <c r="C140" s="11" t="n"/>
      <c r="D140" s="12" t="n"/>
      <c r="E140" s="12" t="n"/>
      <c r="F140" s="13" t="n"/>
      <c r="G140" s="13" t="n"/>
      <c r="H140" s="14">
        <f>IF(F140="","",F140-N(G140))</f>
        <v/>
      </c>
      <c r="I140" s="15">
        <f>IF(B140="","",IF(E140="","⛔ اختر النوع",IF(E140="مطبوعة","📷 مع الصورة",IF(D140="","⛔ اكتب رقم الفاتورة",IF(SUMIF('البنود'!$B$7:$B$606,D140,'البنود'!$F$7:$F$606)=0,"🟡 بنودها ما انزلت",IF(ROUND(SUMIF('البنود'!$B$7:$B$606,D140,'البنود'!$F$7:$F$606)-N(F140),3)=0,"✅ خلصت — البنود مطابقة","⛔ فرق "&amp;TEXT(N(F140)-SUMIF('البنود'!$B$7:$B$606,D140,'البنود'!$F$7:$F$606),"0.000")))))))</f>
        <v/>
      </c>
    </row>
    <row r="141" ht="21" customHeight="1">
      <c r="A141" s="9">
        <f>IF(B141="","",ROW()-6)</f>
        <v/>
      </c>
      <c r="B141" s="10" t="n"/>
      <c r="C141" s="11" t="n"/>
      <c r="D141" s="12" t="n"/>
      <c r="E141" s="12" t="n"/>
      <c r="F141" s="13" t="n"/>
      <c r="G141" s="13" t="n"/>
      <c r="H141" s="14">
        <f>IF(F141="","",F141-N(G141))</f>
        <v/>
      </c>
      <c r="I141" s="15">
        <f>IF(B141="","",IF(E141="","⛔ اختر النوع",IF(E141="مطبوعة","📷 مع الصورة",IF(D141="","⛔ اكتب رقم الفاتورة",IF(SUMIF('البنود'!$B$7:$B$606,D141,'البنود'!$F$7:$F$606)=0,"🟡 بنودها ما انزلت",IF(ROUND(SUMIF('البنود'!$B$7:$B$606,D141,'البنود'!$F$7:$F$606)-N(F141),3)=0,"✅ خلصت — البنود مطابقة","⛔ فرق "&amp;TEXT(N(F141)-SUMIF('البنود'!$B$7:$B$606,D141,'البنود'!$F$7:$F$606),"0.000")))))))</f>
        <v/>
      </c>
    </row>
    <row r="142" ht="21" customHeight="1">
      <c r="A142" s="9">
        <f>IF(B142="","",ROW()-6)</f>
        <v/>
      </c>
      <c r="B142" s="10" t="n"/>
      <c r="C142" s="11" t="n"/>
      <c r="D142" s="12" t="n"/>
      <c r="E142" s="12" t="n"/>
      <c r="F142" s="13" t="n"/>
      <c r="G142" s="13" t="n"/>
      <c r="H142" s="14">
        <f>IF(F142="","",F142-N(G142))</f>
        <v/>
      </c>
      <c r="I142" s="15">
        <f>IF(B142="","",IF(E142="","⛔ اختر النوع",IF(E142="مطبوعة","📷 مع الصورة",IF(D142="","⛔ اكتب رقم الفاتورة",IF(SUMIF('البنود'!$B$7:$B$606,D142,'البنود'!$F$7:$F$606)=0,"🟡 بنودها ما انزلت",IF(ROUND(SUMIF('البنود'!$B$7:$B$606,D142,'البنود'!$F$7:$F$606)-N(F142),3)=0,"✅ خلصت — البنود مطابقة","⛔ فرق "&amp;TEXT(N(F142)-SUMIF('البنود'!$B$7:$B$606,D142,'البنود'!$F$7:$F$606),"0.000")))))))</f>
        <v/>
      </c>
    </row>
    <row r="143" ht="21" customHeight="1">
      <c r="A143" s="9">
        <f>IF(B143="","",ROW()-6)</f>
        <v/>
      </c>
      <c r="B143" s="10" t="n"/>
      <c r="C143" s="11" t="n"/>
      <c r="D143" s="12" t="n"/>
      <c r="E143" s="12" t="n"/>
      <c r="F143" s="13" t="n"/>
      <c r="G143" s="13" t="n"/>
      <c r="H143" s="14">
        <f>IF(F143="","",F143-N(G143))</f>
        <v/>
      </c>
      <c r="I143" s="15">
        <f>IF(B143="","",IF(E143="","⛔ اختر النوع",IF(E143="مطبوعة","📷 مع الصورة",IF(D143="","⛔ اكتب رقم الفاتورة",IF(SUMIF('البنود'!$B$7:$B$606,D143,'البنود'!$F$7:$F$606)=0,"🟡 بنودها ما انزلت",IF(ROUND(SUMIF('البنود'!$B$7:$B$606,D143,'البنود'!$F$7:$F$606)-N(F143),3)=0,"✅ خلصت — البنود مطابقة","⛔ فرق "&amp;TEXT(N(F143)-SUMIF('البنود'!$B$7:$B$606,D143,'البنود'!$F$7:$F$606),"0.000")))))))</f>
        <v/>
      </c>
    </row>
    <row r="144" ht="21" customHeight="1">
      <c r="A144" s="9">
        <f>IF(B144="","",ROW()-6)</f>
        <v/>
      </c>
      <c r="B144" s="10" t="n"/>
      <c r="C144" s="11" t="n"/>
      <c r="D144" s="12" t="n"/>
      <c r="E144" s="12" t="n"/>
      <c r="F144" s="13" t="n"/>
      <c r="G144" s="13" t="n"/>
      <c r="H144" s="14">
        <f>IF(F144="","",F144-N(G144))</f>
        <v/>
      </c>
      <c r="I144" s="15">
        <f>IF(B144="","",IF(E144="","⛔ اختر النوع",IF(E144="مطبوعة","📷 مع الصورة",IF(D144="","⛔ اكتب رقم الفاتورة",IF(SUMIF('البنود'!$B$7:$B$606,D144,'البنود'!$F$7:$F$606)=0,"🟡 بنودها ما انزلت",IF(ROUND(SUMIF('البنود'!$B$7:$B$606,D144,'البنود'!$F$7:$F$606)-N(F144),3)=0,"✅ خلصت — البنود مطابقة","⛔ فرق "&amp;TEXT(N(F144)-SUMIF('البنود'!$B$7:$B$606,D144,'البنود'!$F$7:$F$606),"0.000")))))))</f>
        <v/>
      </c>
    </row>
    <row r="145" ht="21" customHeight="1">
      <c r="A145" s="9">
        <f>IF(B145="","",ROW()-6)</f>
        <v/>
      </c>
      <c r="B145" s="10" t="n"/>
      <c r="C145" s="11" t="n"/>
      <c r="D145" s="12" t="n"/>
      <c r="E145" s="12" t="n"/>
      <c r="F145" s="13" t="n"/>
      <c r="G145" s="13" t="n"/>
      <c r="H145" s="14">
        <f>IF(F145="","",F145-N(G145))</f>
        <v/>
      </c>
      <c r="I145" s="15">
        <f>IF(B145="","",IF(E145="","⛔ اختر النوع",IF(E145="مطبوعة","📷 مع الصورة",IF(D145="","⛔ اكتب رقم الفاتورة",IF(SUMIF('البنود'!$B$7:$B$606,D145,'البنود'!$F$7:$F$606)=0,"🟡 بنودها ما انزلت",IF(ROUND(SUMIF('البنود'!$B$7:$B$606,D145,'البنود'!$F$7:$F$606)-N(F145),3)=0,"✅ خلصت — البنود مطابقة","⛔ فرق "&amp;TEXT(N(F145)-SUMIF('البنود'!$B$7:$B$606,D145,'البنود'!$F$7:$F$606),"0.000")))))))</f>
        <v/>
      </c>
    </row>
    <row r="146" ht="21" customHeight="1">
      <c r="A146" s="9">
        <f>IF(B146="","",ROW()-6)</f>
        <v/>
      </c>
      <c r="B146" s="10" t="n"/>
      <c r="C146" s="11" t="n"/>
      <c r="D146" s="12" t="n"/>
      <c r="E146" s="12" t="n"/>
      <c r="F146" s="13" t="n"/>
      <c r="G146" s="13" t="n"/>
      <c r="H146" s="14">
        <f>IF(F146="","",F146-N(G146))</f>
        <v/>
      </c>
      <c r="I146" s="15">
        <f>IF(B146="","",IF(E146="","⛔ اختر النوع",IF(E146="مطبوعة","📷 مع الصورة",IF(D146="","⛔ اكتب رقم الفاتورة",IF(SUMIF('البنود'!$B$7:$B$606,D146,'البنود'!$F$7:$F$606)=0,"🟡 بنودها ما انزلت",IF(ROUND(SUMIF('البنود'!$B$7:$B$606,D146,'البنود'!$F$7:$F$606)-N(F146),3)=0,"✅ خلصت — البنود مطابقة","⛔ فرق "&amp;TEXT(N(F146)-SUMIF('البنود'!$B$7:$B$606,D146,'البنود'!$F$7:$F$606),"0.000")))))))</f>
        <v/>
      </c>
    </row>
    <row r="147" ht="21" customHeight="1">
      <c r="A147" s="9">
        <f>IF(B147="","",ROW()-6)</f>
        <v/>
      </c>
      <c r="B147" s="10" t="n"/>
      <c r="C147" s="11" t="n"/>
      <c r="D147" s="12" t="n"/>
      <c r="E147" s="12" t="n"/>
      <c r="F147" s="13" t="n"/>
      <c r="G147" s="13" t="n"/>
      <c r="H147" s="14">
        <f>IF(F147="","",F147-N(G147))</f>
        <v/>
      </c>
      <c r="I147" s="15">
        <f>IF(B147="","",IF(E147="","⛔ اختر النوع",IF(E147="مطبوعة","📷 مع الصورة",IF(D147="","⛔ اكتب رقم الفاتورة",IF(SUMIF('البنود'!$B$7:$B$606,D147,'البنود'!$F$7:$F$606)=0,"🟡 بنودها ما انزلت",IF(ROUND(SUMIF('البنود'!$B$7:$B$606,D147,'البنود'!$F$7:$F$606)-N(F147),3)=0,"✅ خلصت — البنود مطابقة","⛔ فرق "&amp;TEXT(N(F147)-SUMIF('البنود'!$B$7:$B$606,D147,'البنود'!$F$7:$F$606),"0.000")))))))</f>
        <v/>
      </c>
    </row>
    <row r="148" ht="21" customHeight="1">
      <c r="A148" s="9">
        <f>IF(B148="","",ROW()-6)</f>
        <v/>
      </c>
      <c r="B148" s="10" t="n"/>
      <c r="C148" s="11" t="n"/>
      <c r="D148" s="12" t="n"/>
      <c r="E148" s="12" t="n"/>
      <c r="F148" s="13" t="n"/>
      <c r="G148" s="13" t="n"/>
      <c r="H148" s="14">
        <f>IF(F148="","",F148-N(G148))</f>
        <v/>
      </c>
      <c r="I148" s="15">
        <f>IF(B148="","",IF(E148="","⛔ اختر النوع",IF(E148="مطبوعة","📷 مع الصورة",IF(D148="","⛔ اكتب رقم الفاتورة",IF(SUMIF('البنود'!$B$7:$B$606,D148,'البنود'!$F$7:$F$606)=0,"🟡 بنودها ما انزلت",IF(ROUND(SUMIF('البنود'!$B$7:$B$606,D148,'البنود'!$F$7:$F$606)-N(F148),3)=0,"✅ خلصت — البنود مطابقة","⛔ فرق "&amp;TEXT(N(F148)-SUMIF('البنود'!$B$7:$B$606,D148,'البنود'!$F$7:$F$606),"0.000")))))))</f>
        <v/>
      </c>
    </row>
    <row r="149" ht="21" customHeight="1">
      <c r="A149" s="9">
        <f>IF(B149="","",ROW()-6)</f>
        <v/>
      </c>
      <c r="B149" s="10" t="n"/>
      <c r="C149" s="11" t="n"/>
      <c r="D149" s="12" t="n"/>
      <c r="E149" s="12" t="n"/>
      <c r="F149" s="13" t="n"/>
      <c r="G149" s="13" t="n"/>
      <c r="H149" s="14">
        <f>IF(F149="","",F149-N(G149))</f>
        <v/>
      </c>
      <c r="I149" s="15">
        <f>IF(B149="","",IF(E149="","⛔ اختر النوع",IF(E149="مطبوعة","📷 مع الصورة",IF(D149="","⛔ اكتب رقم الفاتورة",IF(SUMIF('البنود'!$B$7:$B$606,D149,'البنود'!$F$7:$F$606)=0,"🟡 بنودها ما انزلت",IF(ROUND(SUMIF('البنود'!$B$7:$B$606,D149,'البنود'!$F$7:$F$606)-N(F149),3)=0,"✅ خلصت — البنود مطابقة","⛔ فرق "&amp;TEXT(N(F149)-SUMIF('البنود'!$B$7:$B$606,D149,'البنود'!$F$7:$F$606),"0.000")))))))</f>
        <v/>
      </c>
    </row>
    <row r="150" ht="21" customHeight="1">
      <c r="A150" s="9">
        <f>IF(B150="","",ROW()-6)</f>
        <v/>
      </c>
      <c r="B150" s="10" t="n"/>
      <c r="C150" s="11" t="n"/>
      <c r="D150" s="12" t="n"/>
      <c r="E150" s="12" t="n"/>
      <c r="F150" s="13" t="n"/>
      <c r="G150" s="13" t="n"/>
      <c r="H150" s="14">
        <f>IF(F150="","",F150-N(G150))</f>
        <v/>
      </c>
      <c r="I150" s="15">
        <f>IF(B150="","",IF(E150="","⛔ اختر النوع",IF(E150="مطبوعة","📷 مع الصورة",IF(D150="","⛔ اكتب رقم الفاتورة",IF(SUMIF('البنود'!$B$7:$B$606,D150,'البنود'!$F$7:$F$606)=0,"🟡 بنودها ما انزلت",IF(ROUND(SUMIF('البنود'!$B$7:$B$606,D150,'البنود'!$F$7:$F$606)-N(F150),3)=0,"✅ خلصت — البنود مطابقة","⛔ فرق "&amp;TEXT(N(F150)-SUMIF('البنود'!$B$7:$B$606,D150,'البنود'!$F$7:$F$606),"0.000")))))))</f>
        <v/>
      </c>
    </row>
    <row r="151" ht="21" customHeight="1">
      <c r="A151" s="9">
        <f>IF(B151="","",ROW()-6)</f>
        <v/>
      </c>
      <c r="B151" s="10" t="n"/>
      <c r="C151" s="11" t="n"/>
      <c r="D151" s="12" t="n"/>
      <c r="E151" s="12" t="n"/>
      <c r="F151" s="13" t="n"/>
      <c r="G151" s="13" t="n"/>
      <c r="H151" s="14">
        <f>IF(F151="","",F151-N(G151))</f>
        <v/>
      </c>
      <c r="I151" s="15">
        <f>IF(B151="","",IF(E151="","⛔ اختر النوع",IF(E151="مطبوعة","📷 مع الصورة",IF(D151="","⛔ اكتب رقم الفاتورة",IF(SUMIF('البنود'!$B$7:$B$606,D151,'البنود'!$F$7:$F$606)=0,"🟡 بنودها ما انزلت",IF(ROUND(SUMIF('البنود'!$B$7:$B$606,D151,'البنود'!$F$7:$F$606)-N(F151),3)=0,"✅ خلصت — البنود مطابقة","⛔ فرق "&amp;TEXT(N(F151)-SUMIF('البنود'!$B$7:$B$606,D151,'البنود'!$F$7:$F$606),"0.000")))))))</f>
        <v/>
      </c>
    </row>
    <row r="152" ht="21" customHeight="1">
      <c r="A152" s="9">
        <f>IF(B152="","",ROW()-6)</f>
        <v/>
      </c>
      <c r="B152" s="10" t="n"/>
      <c r="C152" s="11" t="n"/>
      <c r="D152" s="12" t="n"/>
      <c r="E152" s="12" t="n"/>
      <c r="F152" s="13" t="n"/>
      <c r="G152" s="13" t="n"/>
      <c r="H152" s="14">
        <f>IF(F152="","",F152-N(G152))</f>
        <v/>
      </c>
      <c r="I152" s="15">
        <f>IF(B152="","",IF(E152="","⛔ اختر النوع",IF(E152="مطبوعة","📷 مع الصورة",IF(D152="","⛔ اكتب رقم الفاتورة",IF(SUMIF('البنود'!$B$7:$B$606,D152,'البنود'!$F$7:$F$606)=0,"🟡 بنودها ما انزلت",IF(ROUND(SUMIF('البنود'!$B$7:$B$606,D152,'البنود'!$F$7:$F$606)-N(F152),3)=0,"✅ خلصت — البنود مطابقة","⛔ فرق "&amp;TEXT(N(F152)-SUMIF('البنود'!$B$7:$B$606,D152,'البنود'!$F$7:$F$606),"0.000")))))))</f>
        <v/>
      </c>
    </row>
    <row r="153" ht="21" customHeight="1">
      <c r="A153" s="9">
        <f>IF(B153="","",ROW()-6)</f>
        <v/>
      </c>
      <c r="B153" s="10" t="n"/>
      <c r="C153" s="11" t="n"/>
      <c r="D153" s="12" t="n"/>
      <c r="E153" s="12" t="n"/>
      <c r="F153" s="13" t="n"/>
      <c r="G153" s="13" t="n"/>
      <c r="H153" s="14">
        <f>IF(F153="","",F153-N(G153))</f>
        <v/>
      </c>
      <c r="I153" s="15">
        <f>IF(B153="","",IF(E153="","⛔ اختر النوع",IF(E153="مطبوعة","📷 مع الصورة",IF(D153="","⛔ اكتب رقم الفاتورة",IF(SUMIF('البنود'!$B$7:$B$606,D153,'البنود'!$F$7:$F$606)=0,"🟡 بنودها ما انزلت",IF(ROUND(SUMIF('البنود'!$B$7:$B$606,D153,'البنود'!$F$7:$F$606)-N(F153),3)=0,"✅ خلصت — البنود مطابقة","⛔ فرق "&amp;TEXT(N(F153)-SUMIF('البنود'!$B$7:$B$606,D153,'البنود'!$F$7:$F$606),"0.000")))))))</f>
        <v/>
      </c>
    </row>
    <row r="154" ht="21" customHeight="1">
      <c r="A154" s="9">
        <f>IF(B154="","",ROW()-6)</f>
        <v/>
      </c>
      <c r="B154" s="10" t="n"/>
      <c r="C154" s="11" t="n"/>
      <c r="D154" s="12" t="n"/>
      <c r="E154" s="12" t="n"/>
      <c r="F154" s="13" t="n"/>
      <c r="G154" s="13" t="n"/>
      <c r="H154" s="14">
        <f>IF(F154="","",F154-N(G154))</f>
        <v/>
      </c>
      <c r="I154" s="15">
        <f>IF(B154="","",IF(E154="","⛔ اختر النوع",IF(E154="مطبوعة","📷 مع الصورة",IF(D154="","⛔ اكتب رقم الفاتورة",IF(SUMIF('البنود'!$B$7:$B$606,D154,'البنود'!$F$7:$F$606)=0,"🟡 بنودها ما انزلت",IF(ROUND(SUMIF('البنود'!$B$7:$B$606,D154,'البنود'!$F$7:$F$606)-N(F154),3)=0,"✅ خلصت — البنود مطابقة","⛔ فرق "&amp;TEXT(N(F154)-SUMIF('البنود'!$B$7:$B$606,D154,'البنود'!$F$7:$F$606),"0.000")))))))</f>
        <v/>
      </c>
    </row>
    <row r="155" ht="21" customHeight="1">
      <c r="A155" s="9">
        <f>IF(B155="","",ROW()-6)</f>
        <v/>
      </c>
      <c r="B155" s="10" t="n"/>
      <c r="C155" s="11" t="n"/>
      <c r="D155" s="12" t="n"/>
      <c r="E155" s="12" t="n"/>
      <c r="F155" s="13" t="n"/>
      <c r="G155" s="13" t="n"/>
      <c r="H155" s="14">
        <f>IF(F155="","",F155-N(G155))</f>
        <v/>
      </c>
      <c r="I155" s="15">
        <f>IF(B155="","",IF(E155="","⛔ اختر النوع",IF(E155="مطبوعة","📷 مع الصورة",IF(D155="","⛔ اكتب رقم الفاتورة",IF(SUMIF('البنود'!$B$7:$B$606,D155,'البنود'!$F$7:$F$606)=0,"🟡 بنودها ما انزلت",IF(ROUND(SUMIF('البنود'!$B$7:$B$606,D155,'البنود'!$F$7:$F$606)-N(F155),3)=0,"✅ خلصت — البنود مطابقة","⛔ فرق "&amp;TEXT(N(F155)-SUMIF('البنود'!$B$7:$B$606,D155,'البنود'!$F$7:$F$606),"0.000")))))))</f>
        <v/>
      </c>
    </row>
    <row r="156" ht="21" customHeight="1">
      <c r="A156" s="9">
        <f>IF(B156="","",ROW()-6)</f>
        <v/>
      </c>
      <c r="B156" s="10" t="n"/>
      <c r="C156" s="11" t="n"/>
      <c r="D156" s="12" t="n"/>
      <c r="E156" s="12" t="n"/>
      <c r="F156" s="13" t="n"/>
      <c r="G156" s="13" t="n"/>
      <c r="H156" s="14">
        <f>IF(F156="","",F156-N(G156))</f>
        <v/>
      </c>
      <c r="I156" s="15">
        <f>IF(B156="","",IF(E156="","⛔ اختر النوع",IF(E156="مطبوعة","📷 مع الصورة",IF(D156="","⛔ اكتب رقم الفاتورة",IF(SUMIF('البنود'!$B$7:$B$606,D156,'البنود'!$F$7:$F$606)=0,"🟡 بنودها ما انزلت",IF(ROUND(SUMIF('البنود'!$B$7:$B$606,D156,'البنود'!$F$7:$F$606)-N(F156),3)=0,"✅ خلصت — البنود مطابقة","⛔ فرق "&amp;TEXT(N(F156)-SUMIF('البنود'!$B$7:$B$606,D156,'البنود'!$F$7:$F$606),"0.000")))))))</f>
        <v/>
      </c>
    </row>
    <row r="157" ht="21" customHeight="1">
      <c r="A157" s="9">
        <f>IF(B157="","",ROW()-6)</f>
        <v/>
      </c>
      <c r="B157" s="10" t="n"/>
      <c r="C157" s="11" t="n"/>
      <c r="D157" s="12" t="n"/>
      <c r="E157" s="12" t="n"/>
      <c r="F157" s="13" t="n"/>
      <c r="G157" s="13" t="n"/>
      <c r="H157" s="14">
        <f>IF(F157="","",F157-N(G157))</f>
        <v/>
      </c>
      <c r="I157" s="15">
        <f>IF(B157="","",IF(E157="","⛔ اختر النوع",IF(E157="مطبوعة","📷 مع الصورة",IF(D157="","⛔ اكتب رقم الفاتورة",IF(SUMIF('البنود'!$B$7:$B$606,D157,'البنود'!$F$7:$F$606)=0,"🟡 بنودها ما انزلت",IF(ROUND(SUMIF('البنود'!$B$7:$B$606,D157,'البنود'!$F$7:$F$606)-N(F157),3)=0,"✅ خلصت — البنود مطابقة","⛔ فرق "&amp;TEXT(N(F157)-SUMIF('البنود'!$B$7:$B$606,D157,'البنود'!$F$7:$F$606),"0.000")))))))</f>
        <v/>
      </c>
    </row>
    <row r="158" ht="21" customHeight="1">
      <c r="A158" s="9">
        <f>IF(B158="","",ROW()-6)</f>
        <v/>
      </c>
      <c r="B158" s="10" t="n"/>
      <c r="C158" s="11" t="n"/>
      <c r="D158" s="12" t="n"/>
      <c r="E158" s="12" t="n"/>
      <c r="F158" s="13" t="n"/>
      <c r="G158" s="13" t="n"/>
      <c r="H158" s="14">
        <f>IF(F158="","",F158-N(G158))</f>
        <v/>
      </c>
      <c r="I158" s="15">
        <f>IF(B158="","",IF(E158="","⛔ اختر النوع",IF(E158="مطبوعة","📷 مع الصورة",IF(D158="","⛔ اكتب رقم الفاتورة",IF(SUMIF('البنود'!$B$7:$B$606,D158,'البنود'!$F$7:$F$606)=0,"🟡 بنودها ما انزلت",IF(ROUND(SUMIF('البنود'!$B$7:$B$606,D158,'البنود'!$F$7:$F$606)-N(F158),3)=0,"✅ خلصت — البنود مطابقة","⛔ فرق "&amp;TEXT(N(F158)-SUMIF('البنود'!$B$7:$B$606,D158,'البنود'!$F$7:$F$606),"0.000")))))))</f>
        <v/>
      </c>
    </row>
    <row r="159" ht="21" customHeight="1">
      <c r="A159" s="9">
        <f>IF(B159="","",ROW()-6)</f>
        <v/>
      </c>
      <c r="B159" s="10" t="n"/>
      <c r="C159" s="11" t="n"/>
      <c r="D159" s="12" t="n"/>
      <c r="E159" s="12" t="n"/>
      <c r="F159" s="13" t="n"/>
      <c r="G159" s="13" t="n"/>
      <c r="H159" s="14">
        <f>IF(F159="","",F159-N(G159))</f>
        <v/>
      </c>
      <c r="I159" s="15">
        <f>IF(B159="","",IF(E159="","⛔ اختر النوع",IF(E159="مطبوعة","📷 مع الصورة",IF(D159="","⛔ اكتب رقم الفاتورة",IF(SUMIF('البنود'!$B$7:$B$606,D159,'البنود'!$F$7:$F$606)=0,"🟡 بنودها ما انزلت",IF(ROUND(SUMIF('البنود'!$B$7:$B$606,D159,'البنود'!$F$7:$F$606)-N(F159),3)=0,"✅ خلصت — البنود مطابقة","⛔ فرق "&amp;TEXT(N(F159)-SUMIF('البنود'!$B$7:$B$606,D159,'البنود'!$F$7:$F$606),"0.000")))))))</f>
        <v/>
      </c>
    </row>
    <row r="160" ht="21" customHeight="1">
      <c r="A160" s="9">
        <f>IF(B160="","",ROW()-6)</f>
        <v/>
      </c>
      <c r="B160" s="10" t="n"/>
      <c r="C160" s="11" t="n"/>
      <c r="D160" s="12" t="n"/>
      <c r="E160" s="12" t="n"/>
      <c r="F160" s="13" t="n"/>
      <c r="G160" s="13" t="n"/>
      <c r="H160" s="14">
        <f>IF(F160="","",F160-N(G160))</f>
        <v/>
      </c>
      <c r="I160" s="15">
        <f>IF(B160="","",IF(E160="","⛔ اختر النوع",IF(E160="مطبوعة","📷 مع الصورة",IF(D160="","⛔ اكتب رقم الفاتورة",IF(SUMIF('البنود'!$B$7:$B$606,D160,'البنود'!$F$7:$F$606)=0,"🟡 بنودها ما انزلت",IF(ROUND(SUMIF('البنود'!$B$7:$B$606,D160,'البنود'!$F$7:$F$606)-N(F160),3)=0,"✅ خلصت — البنود مطابقة","⛔ فرق "&amp;TEXT(N(F160)-SUMIF('البنود'!$B$7:$B$606,D160,'البنود'!$F$7:$F$606),"0.000")))))))</f>
        <v/>
      </c>
    </row>
    <row r="161" ht="21" customHeight="1">
      <c r="A161" s="9">
        <f>IF(B161="","",ROW()-6)</f>
        <v/>
      </c>
      <c r="B161" s="10" t="n"/>
      <c r="C161" s="11" t="n"/>
      <c r="D161" s="12" t="n"/>
      <c r="E161" s="12" t="n"/>
      <c r="F161" s="13" t="n"/>
      <c r="G161" s="13" t="n"/>
      <c r="H161" s="14">
        <f>IF(F161="","",F161-N(G161))</f>
        <v/>
      </c>
      <c r="I161" s="15">
        <f>IF(B161="","",IF(E161="","⛔ اختر النوع",IF(E161="مطبوعة","📷 مع الصورة",IF(D161="","⛔ اكتب رقم الفاتورة",IF(SUMIF('البنود'!$B$7:$B$606,D161,'البنود'!$F$7:$F$606)=0,"🟡 بنودها ما انزلت",IF(ROUND(SUMIF('البنود'!$B$7:$B$606,D161,'البنود'!$F$7:$F$606)-N(F161),3)=0,"✅ خلصت — البنود مطابقة","⛔ فرق "&amp;TEXT(N(F161)-SUMIF('البنود'!$B$7:$B$606,D161,'البنود'!$F$7:$F$606),"0.000")))))))</f>
        <v/>
      </c>
    </row>
    <row r="162" ht="21" customHeight="1">
      <c r="A162" s="9">
        <f>IF(B162="","",ROW()-6)</f>
        <v/>
      </c>
      <c r="B162" s="10" t="n"/>
      <c r="C162" s="11" t="n"/>
      <c r="D162" s="12" t="n"/>
      <c r="E162" s="12" t="n"/>
      <c r="F162" s="13" t="n"/>
      <c r="G162" s="13" t="n"/>
      <c r="H162" s="14">
        <f>IF(F162="","",F162-N(G162))</f>
        <v/>
      </c>
      <c r="I162" s="15">
        <f>IF(B162="","",IF(E162="","⛔ اختر النوع",IF(E162="مطبوعة","📷 مع الصورة",IF(D162="","⛔ اكتب رقم الفاتورة",IF(SUMIF('البنود'!$B$7:$B$606,D162,'البنود'!$F$7:$F$606)=0,"🟡 بنودها ما انزلت",IF(ROUND(SUMIF('البنود'!$B$7:$B$606,D162,'البنود'!$F$7:$F$606)-N(F162),3)=0,"✅ خلصت — البنود مطابقة","⛔ فرق "&amp;TEXT(N(F162)-SUMIF('البنود'!$B$7:$B$606,D162,'البنود'!$F$7:$F$606),"0.000")))))))</f>
        <v/>
      </c>
    </row>
    <row r="163" ht="21" customHeight="1">
      <c r="A163" s="9">
        <f>IF(B163="","",ROW()-6)</f>
        <v/>
      </c>
      <c r="B163" s="10" t="n"/>
      <c r="C163" s="11" t="n"/>
      <c r="D163" s="12" t="n"/>
      <c r="E163" s="12" t="n"/>
      <c r="F163" s="13" t="n"/>
      <c r="G163" s="13" t="n"/>
      <c r="H163" s="14">
        <f>IF(F163="","",F163-N(G163))</f>
        <v/>
      </c>
      <c r="I163" s="15">
        <f>IF(B163="","",IF(E163="","⛔ اختر النوع",IF(E163="مطبوعة","📷 مع الصورة",IF(D163="","⛔ اكتب رقم الفاتورة",IF(SUMIF('البنود'!$B$7:$B$606,D163,'البنود'!$F$7:$F$606)=0,"🟡 بنودها ما انزلت",IF(ROUND(SUMIF('البنود'!$B$7:$B$606,D163,'البنود'!$F$7:$F$606)-N(F163),3)=0,"✅ خلصت — البنود مطابقة","⛔ فرق "&amp;TEXT(N(F163)-SUMIF('البنود'!$B$7:$B$606,D163,'البنود'!$F$7:$F$606),"0.000")))))))</f>
        <v/>
      </c>
    </row>
    <row r="164" ht="21" customHeight="1">
      <c r="A164" s="9">
        <f>IF(B164="","",ROW()-6)</f>
        <v/>
      </c>
      <c r="B164" s="10" t="n"/>
      <c r="C164" s="11" t="n"/>
      <c r="D164" s="12" t="n"/>
      <c r="E164" s="12" t="n"/>
      <c r="F164" s="13" t="n"/>
      <c r="G164" s="13" t="n"/>
      <c r="H164" s="14">
        <f>IF(F164="","",F164-N(G164))</f>
        <v/>
      </c>
      <c r="I164" s="15">
        <f>IF(B164="","",IF(E164="","⛔ اختر النوع",IF(E164="مطبوعة","📷 مع الصورة",IF(D164="","⛔ اكتب رقم الفاتورة",IF(SUMIF('البنود'!$B$7:$B$606,D164,'البنود'!$F$7:$F$606)=0,"🟡 بنودها ما انزلت",IF(ROUND(SUMIF('البنود'!$B$7:$B$606,D164,'البنود'!$F$7:$F$606)-N(F164),3)=0,"✅ خلصت — البنود مطابقة","⛔ فرق "&amp;TEXT(N(F164)-SUMIF('البنود'!$B$7:$B$606,D164,'البنود'!$F$7:$F$606),"0.000")))))))</f>
        <v/>
      </c>
    </row>
    <row r="165" ht="21" customHeight="1">
      <c r="A165" s="9">
        <f>IF(B165="","",ROW()-6)</f>
        <v/>
      </c>
      <c r="B165" s="10" t="n"/>
      <c r="C165" s="11" t="n"/>
      <c r="D165" s="12" t="n"/>
      <c r="E165" s="12" t="n"/>
      <c r="F165" s="13" t="n"/>
      <c r="G165" s="13" t="n"/>
      <c r="H165" s="14">
        <f>IF(F165="","",F165-N(G165))</f>
        <v/>
      </c>
      <c r="I165" s="15">
        <f>IF(B165="","",IF(E165="","⛔ اختر النوع",IF(E165="مطبوعة","📷 مع الصورة",IF(D165="","⛔ اكتب رقم الفاتورة",IF(SUMIF('البنود'!$B$7:$B$606,D165,'البنود'!$F$7:$F$606)=0,"🟡 بنودها ما انزلت",IF(ROUND(SUMIF('البنود'!$B$7:$B$606,D165,'البنود'!$F$7:$F$606)-N(F165),3)=0,"✅ خلصت — البنود مطابقة","⛔ فرق "&amp;TEXT(N(F165)-SUMIF('البنود'!$B$7:$B$606,D165,'البنود'!$F$7:$F$606),"0.000")))))))</f>
        <v/>
      </c>
    </row>
    <row r="166" ht="21" customHeight="1">
      <c r="A166" s="9">
        <f>IF(B166="","",ROW()-6)</f>
        <v/>
      </c>
      <c r="B166" s="10" t="n"/>
      <c r="C166" s="11" t="n"/>
      <c r="D166" s="12" t="n"/>
      <c r="E166" s="12" t="n"/>
      <c r="F166" s="13" t="n"/>
      <c r="G166" s="13" t="n"/>
      <c r="H166" s="14">
        <f>IF(F166="","",F166-N(G166))</f>
        <v/>
      </c>
      <c r="I166" s="15">
        <f>IF(B166="","",IF(E166="","⛔ اختر النوع",IF(E166="مطبوعة","📷 مع الصورة",IF(D166="","⛔ اكتب رقم الفاتورة",IF(SUMIF('البنود'!$B$7:$B$606,D166,'البنود'!$F$7:$F$606)=0,"🟡 بنودها ما انزلت",IF(ROUND(SUMIF('البنود'!$B$7:$B$606,D166,'البنود'!$F$7:$F$606)-N(F166),3)=0,"✅ خلصت — البنود مطابقة","⛔ فرق "&amp;TEXT(N(F166)-SUMIF('البنود'!$B$7:$B$606,D166,'البنود'!$F$7:$F$606),"0.000")))))))</f>
        <v/>
      </c>
    </row>
    <row r="167" ht="21" customHeight="1">
      <c r="A167" s="9">
        <f>IF(B167="","",ROW()-6)</f>
        <v/>
      </c>
      <c r="B167" s="10" t="n"/>
      <c r="C167" s="11" t="n"/>
      <c r="D167" s="12" t="n"/>
      <c r="E167" s="12" t="n"/>
      <c r="F167" s="13" t="n"/>
      <c r="G167" s="13" t="n"/>
      <c r="H167" s="14">
        <f>IF(F167="","",F167-N(G167))</f>
        <v/>
      </c>
      <c r="I167" s="15">
        <f>IF(B167="","",IF(E167="","⛔ اختر النوع",IF(E167="مطبوعة","📷 مع الصورة",IF(D167="","⛔ اكتب رقم الفاتورة",IF(SUMIF('البنود'!$B$7:$B$606,D167,'البنود'!$F$7:$F$606)=0,"🟡 بنودها ما انزلت",IF(ROUND(SUMIF('البنود'!$B$7:$B$606,D167,'البنود'!$F$7:$F$606)-N(F167),3)=0,"✅ خلصت — البنود مطابقة","⛔ فرق "&amp;TEXT(N(F167)-SUMIF('البنود'!$B$7:$B$606,D167,'البنود'!$F$7:$F$606),"0.000")))))))</f>
        <v/>
      </c>
    </row>
    <row r="168" ht="21" customHeight="1">
      <c r="A168" s="9">
        <f>IF(B168="","",ROW()-6)</f>
        <v/>
      </c>
      <c r="B168" s="10" t="n"/>
      <c r="C168" s="11" t="n"/>
      <c r="D168" s="12" t="n"/>
      <c r="E168" s="12" t="n"/>
      <c r="F168" s="13" t="n"/>
      <c r="G168" s="13" t="n"/>
      <c r="H168" s="14">
        <f>IF(F168="","",F168-N(G168))</f>
        <v/>
      </c>
      <c r="I168" s="15">
        <f>IF(B168="","",IF(E168="","⛔ اختر النوع",IF(E168="مطبوعة","📷 مع الصورة",IF(D168="","⛔ اكتب رقم الفاتورة",IF(SUMIF('البنود'!$B$7:$B$606,D168,'البنود'!$F$7:$F$606)=0,"🟡 بنودها ما انزلت",IF(ROUND(SUMIF('البنود'!$B$7:$B$606,D168,'البنود'!$F$7:$F$606)-N(F168),3)=0,"✅ خلصت — البنود مطابقة","⛔ فرق "&amp;TEXT(N(F168)-SUMIF('البنود'!$B$7:$B$606,D168,'البنود'!$F$7:$F$606),"0.000")))))))</f>
        <v/>
      </c>
    </row>
    <row r="169" ht="21" customHeight="1">
      <c r="A169" s="9">
        <f>IF(B169="","",ROW()-6)</f>
        <v/>
      </c>
      <c r="B169" s="10" t="n"/>
      <c r="C169" s="11" t="n"/>
      <c r="D169" s="12" t="n"/>
      <c r="E169" s="12" t="n"/>
      <c r="F169" s="13" t="n"/>
      <c r="G169" s="13" t="n"/>
      <c r="H169" s="14">
        <f>IF(F169="","",F169-N(G169))</f>
        <v/>
      </c>
      <c r="I169" s="15">
        <f>IF(B169="","",IF(E169="","⛔ اختر النوع",IF(E169="مطبوعة","📷 مع الصورة",IF(D169="","⛔ اكتب رقم الفاتورة",IF(SUMIF('البنود'!$B$7:$B$606,D169,'البنود'!$F$7:$F$606)=0,"🟡 بنودها ما انزلت",IF(ROUND(SUMIF('البنود'!$B$7:$B$606,D169,'البنود'!$F$7:$F$606)-N(F169),3)=0,"✅ خلصت — البنود مطابقة","⛔ فرق "&amp;TEXT(N(F169)-SUMIF('البنود'!$B$7:$B$606,D169,'البنود'!$F$7:$F$606),"0.000")))))))</f>
        <v/>
      </c>
    </row>
    <row r="170" ht="21" customHeight="1">
      <c r="A170" s="9">
        <f>IF(B170="","",ROW()-6)</f>
        <v/>
      </c>
      <c r="B170" s="10" t="n"/>
      <c r="C170" s="11" t="n"/>
      <c r="D170" s="12" t="n"/>
      <c r="E170" s="12" t="n"/>
      <c r="F170" s="13" t="n"/>
      <c r="G170" s="13" t="n"/>
      <c r="H170" s="14">
        <f>IF(F170="","",F170-N(G170))</f>
        <v/>
      </c>
      <c r="I170" s="15">
        <f>IF(B170="","",IF(E170="","⛔ اختر النوع",IF(E170="مطبوعة","📷 مع الصورة",IF(D170="","⛔ اكتب رقم الفاتورة",IF(SUMIF('البنود'!$B$7:$B$606,D170,'البنود'!$F$7:$F$606)=0,"🟡 بنودها ما انزلت",IF(ROUND(SUMIF('البنود'!$B$7:$B$606,D170,'البنود'!$F$7:$F$606)-N(F170),3)=0,"✅ خلصت — البنود مطابقة","⛔ فرق "&amp;TEXT(N(F170)-SUMIF('البنود'!$B$7:$B$606,D170,'البنود'!$F$7:$F$606),"0.000")))))))</f>
        <v/>
      </c>
    </row>
    <row r="171" ht="21" customHeight="1">
      <c r="A171" s="9">
        <f>IF(B171="","",ROW()-6)</f>
        <v/>
      </c>
      <c r="B171" s="10" t="n"/>
      <c r="C171" s="11" t="n"/>
      <c r="D171" s="12" t="n"/>
      <c r="E171" s="12" t="n"/>
      <c r="F171" s="13" t="n"/>
      <c r="G171" s="13" t="n"/>
      <c r="H171" s="14">
        <f>IF(F171="","",F171-N(G171))</f>
        <v/>
      </c>
      <c r="I171" s="15">
        <f>IF(B171="","",IF(E171="","⛔ اختر النوع",IF(E171="مطبوعة","📷 مع الصورة",IF(D171="","⛔ اكتب رقم الفاتورة",IF(SUMIF('البنود'!$B$7:$B$606,D171,'البنود'!$F$7:$F$606)=0,"🟡 بنودها ما انزلت",IF(ROUND(SUMIF('البنود'!$B$7:$B$606,D171,'البنود'!$F$7:$F$606)-N(F171),3)=0,"✅ خلصت — البنود مطابقة","⛔ فرق "&amp;TEXT(N(F171)-SUMIF('البنود'!$B$7:$B$606,D171,'البنود'!$F$7:$F$606),"0.000")))))))</f>
        <v/>
      </c>
    </row>
    <row r="172" ht="21" customHeight="1">
      <c r="A172" s="9">
        <f>IF(B172="","",ROW()-6)</f>
        <v/>
      </c>
      <c r="B172" s="10" t="n"/>
      <c r="C172" s="11" t="n"/>
      <c r="D172" s="12" t="n"/>
      <c r="E172" s="12" t="n"/>
      <c r="F172" s="13" t="n"/>
      <c r="G172" s="13" t="n"/>
      <c r="H172" s="14">
        <f>IF(F172="","",F172-N(G172))</f>
        <v/>
      </c>
      <c r="I172" s="15">
        <f>IF(B172="","",IF(E172="","⛔ اختر النوع",IF(E172="مطبوعة","📷 مع الصورة",IF(D172="","⛔ اكتب رقم الفاتورة",IF(SUMIF('البنود'!$B$7:$B$606,D172,'البنود'!$F$7:$F$606)=0,"🟡 بنودها ما انزلت",IF(ROUND(SUMIF('البنود'!$B$7:$B$606,D172,'البنود'!$F$7:$F$606)-N(F172),3)=0,"✅ خلصت — البنود مطابقة","⛔ فرق "&amp;TEXT(N(F172)-SUMIF('البنود'!$B$7:$B$606,D172,'البنود'!$F$7:$F$606),"0.000")))))))</f>
        <v/>
      </c>
    </row>
    <row r="173" ht="21" customHeight="1">
      <c r="A173" s="9">
        <f>IF(B173="","",ROW()-6)</f>
        <v/>
      </c>
      <c r="B173" s="10" t="n"/>
      <c r="C173" s="11" t="n"/>
      <c r="D173" s="12" t="n"/>
      <c r="E173" s="12" t="n"/>
      <c r="F173" s="13" t="n"/>
      <c r="G173" s="13" t="n"/>
      <c r="H173" s="14">
        <f>IF(F173="","",F173-N(G173))</f>
        <v/>
      </c>
      <c r="I173" s="15">
        <f>IF(B173="","",IF(E173="","⛔ اختر النوع",IF(E173="مطبوعة","📷 مع الصورة",IF(D173="","⛔ اكتب رقم الفاتورة",IF(SUMIF('البنود'!$B$7:$B$606,D173,'البنود'!$F$7:$F$606)=0,"🟡 بنودها ما انزلت",IF(ROUND(SUMIF('البنود'!$B$7:$B$606,D173,'البنود'!$F$7:$F$606)-N(F173),3)=0,"✅ خلصت — البنود مطابقة","⛔ فرق "&amp;TEXT(N(F173)-SUMIF('البنود'!$B$7:$B$606,D173,'البنود'!$F$7:$F$606),"0.000")))))))</f>
        <v/>
      </c>
    </row>
    <row r="174" ht="21" customHeight="1">
      <c r="A174" s="9">
        <f>IF(B174="","",ROW()-6)</f>
        <v/>
      </c>
      <c r="B174" s="10" t="n"/>
      <c r="C174" s="11" t="n"/>
      <c r="D174" s="12" t="n"/>
      <c r="E174" s="12" t="n"/>
      <c r="F174" s="13" t="n"/>
      <c r="G174" s="13" t="n"/>
      <c r="H174" s="14">
        <f>IF(F174="","",F174-N(G174))</f>
        <v/>
      </c>
      <c r="I174" s="15">
        <f>IF(B174="","",IF(E174="","⛔ اختر النوع",IF(E174="مطبوعة","📷 مع الصورة",IF(D174="","⛔ اكتب رقم الفاتورة",IF(SUMIF('البنود'!$B$7:$B$606,D174,'البنود'!$F$7:$F$606)=0,"🟡 بنودها ما انزلت",IF(ROUND(SUMIF('البنود'!$B$7:$B$606,D174,'البنود'!$F$7:$F$606)-N(F174),3)=0,"✅ خلصت — البنود مطابقة","⛔ فرق "&amp;TEXT(N(F174)-SUMIF('البنود'!$B$7:$B$606,D174,'البنود'!$F$7:$F$606),"0.000")))))))</f>
        <v/>
      </c>
    </row>
    <row r="175" ht="21" customHeight="1">
      <c r="A175" s="9">
        <f>IF(B175="","",ROW()-6)</f>
        <v/>
      </c>
      <c r="B175" s="10" t="n"/>
      <c r="C175" s="11" t="n"/>
      <c r="D175" s="12" t="n"/>
      <c r="E175" s="12" t="n"/>
      <c r="F175" s="13" t="n"/>
      <c r="G175" s="13" t="n"/>
      <c r="H175" s="14">
        <f>IF(F175="","",F175-N(G175))</f>
        <v/>
      </c>
      <c r="I175" s="15">
        <f>IF(B175="","",IF(E175="","⛔ اختر النوع",IF(E175="مطبوعة","📷 مع الصورة",IF(D175="","⛔ اكتب رقم الفاتورة",IF(SUMIF('البنود'!$B$7:$B$606,D175,'البنود'!$F$7:$F$606)=0,"🟡 بنودها ما انزلت",IF(ROUND(SUMIF('البنود'!$B$7:$B$606,D175,'البنود'!$F$7:$F$606)-N(F175),3)=0,"✅ خلصت — البنود مطابقة","⛔ فرق "&amp;TEXT(N(F175)-SUMIF('البنود'!$B$7:$B$606,D175,'البنود'!$F$7:$F$606),"0.000")))))))</f>
        <v/>
      </c>
    </row>
    <row r="176" ht="21" customHeight="1">
      <c r="A176" s="9">
        <f>IF(B176="","",ROW()-6)</f>
        <v/>
      </c>
      <c r="B176" s="10" t="n"/>
      <c r="C176" s="11" t="n"/>
      <c r="D176" s="12" t="n"/>
      <c r="E176" s="12" t="n"/>
      <c r="F176" s="13" t="n"/>
      <c r="G176" s="13" t="n"/>
      <c r="H176" s="14">
        <f>IF(F176="","",F176-N(G176))</f>
        <v/>
      </c>
      <c r="I176" s="15">
        <f>IF(B176="","",IF(E176="","⛔ اختر النوع",IF(E176="مطبوعة","📷 مع الصورة",IF(D176="","⛔ اكتب رقم الفاتورة",IF(SUMIF('البنود'!$B$7:$B$606,D176,'البنود'!$F$7:$F$606)=0,"🟡 بنودها ما انزلت",IF(ROUND(SUMIF('البنود'!$B$7:$B$606,D176,'البنود'!$F$7:$F$606)-N(F176),3)=0,"✅ خلصت — البنود مطابقة","⛔ فرق "&amp;TEXT(N(F176)-SUMIF('البنود'!$B$7:$B$606,D176,'البنود'!$F$7:$F$606),"0.000")))))))</f>
        <v/>
      </c>
    </row>
    <row r="177" ht="21" customHeight="1">
      <c r="A177" s="9">
        <f>IF(B177="","",ROW()-6)</f>
        <v/>
      </c>
      <c r="B177" s="10" t="n"/>
      <c r="C177" s="11" t="n"/>
      <c r="D177" s="12" t="n"/>
      <c r="E177" s="12" t="n"/>
      <c r="F177" s="13" t="n"/>
      <c r="G177" s="13" t="n"/>
      <c r="H177" s="14">
        <f>IF(F177="","",F177-N(G177))</f>
        <v/>
      </c>
      <c r="I177" s="15">
        <f>IF(B177="","",IF(E177="","⛔ اختر النوع",IF(E177="مطبوعة","📷 مع الصورة",IF(D177="","⛔ اكتب رقم الفاتورة",IF(SUMIF('البنود'!$B$7:$B$606,D177,'البنود'!$F$7:$F$606)=0,"🟡 بنودها ما انزلت",IF(ROUND(SUMIF('البنود'!$B$7:$B$606,D177,'البنود'!$F$7:$F$606)-N(F177),3)=0,"✅ خلصت — البنود مطابقة","⛔ فرق "&amp;TEXT(N(F177)-SUMIF('البنود'!$B$7:$B$606,D177,'البنود'!$F$7:$F$606),"0.000")))))))</f>
        <v/>
      </c>
    </row>
    <row r="178" ht="21" customHeight="1">
      <c r="A178" s="9">
        <f>IF(B178="","",ROW()-6)</f>
        <v/>
      </c>
      <c r="B178" s="10" t="n"/>
      <c r="C178" s="11" t="n"/>
      <c r="D178" s="12" t="n"/>
      <c r="E178" s="12" t="n"/>
      <c r="F178" s="13" t="n"/>
      <c r="G178" s="13" t="n"/>
      <c r="H178" s="14">
        <f>IF(F178="","",F178-N(G178))</f>
        <v/>
      </c>
      <c r="I178" s="15">
        <f>IF(B178="","",IF(E178="","⛔ اختر النوع",IF(E178="مطبوعة","📷 مع الصورة",IF(D178="","⛔ اكتب رقم الفاتورة",IF(SUMIF('البنود'!$B$7:$B$606,D178,'البنود'!$F$7:$F$606)=0,"🟡 بنودها ما انزلت",IF(ROUND(SUMIF('البنود'!$B$7:$B$606,D178,'البنود'!$F$7:$F$606)-N(F178),3)=0,"✅ خلصت — البنود مطابقة","⛔ فرق "&amp;TEXT(N(F178)-SUMIF('البنود'!$B$7:$B$606,D178,'البنود'!$F$7:$F$606),"0.000")))))))</f>
        <v/>
      </c>
    </row>
    <row r="179" ht="21" customHeight="1">
      <c r="A179" s="9">
        <f>IF(B179="","",ROW()-6)</f>
        <v/>
      </c>
      <c r="B179" s="10" t="n"/>
      <c r="C179" s="11" t="n"/>
      <c r="D179" s="12" t="n"/>
      <c r="E179" s="12" t="n"/>
      <c r="F179" s="13" t="n"/>
      <c r="G179" s="13" t="n"/>
      <c r="H179" s="14">
        <f>IF(F179="","",F179-N(G179))</f>
        <v/>
      </c>
      <c r="I179" s="15">
        <f>IF(B179="","",IF(E179="","⛔ اختر النوع",IF(E179="مطبوعة","📷 مع الصورة",IF(D179="","⛔ اكتب رقم الفاتورة",IF(SUMIF('البنود'!$B$7:$B$606,D179,'البنود'!$F$7:$F$606)=0,"🟡 بنودها ما انزلت",IF(ROUND(SUMIF('البنود'!$B$7:$B$606,D179,'البنود'!$F$7:$F$606)-N(F179),3)=0,"✅ خلصت — البنود مطابقة","⛔ فرق "&amp;TEXT(N(F179)-SUMIF('البنود'!$B$7:$B$606,D179,'البنود'!$F$7:$F$606),"0.000")))))))</f>
        <v/>
      </c>
    </row>
    <row r="180" ht="21" customHeight="1">
      <c r="A180" s="9">
        <f>IF(B180="","",ROW()-6)</f>
        <v/>
      </c>
      <c r="B180" s="10" t="n"/>
      <c r="C180" s="11" t="n"/>
      <c r="D180" s="12" t="n"/>
      <c r="E180" s="12" t="n"/>
      <c r="F180" s="13" t="n"/>
      <c r="G180" s="13" t="n"/>
      <c r="H180" s="14">
        <f>IF(F180="","",F180-N(G180))</f>
        <v/>
      </c>
      <c r="I180" s="15">
        <f>IF(B180="","",IF(E180="","⛔ اختر النوع",IF(E180="مطبوعة","📷 مع الصورة",IF(D180="","⛔ اكتب رقم الفاتورة",IF(SUMIF('البنود'!$B$7:$B$606,D180,'البنود'!$F$7:$F$606)=0,"🟡 بنودها ما انزلت",IF(ROUND(SUMIF('البنود'!$B$7:$B$606,D180,'البنود'!$F$7:$F$606)-N(F180),3)=0,"✅ خلصت — البنود مطابقة","⛔ فرق "&amp;TEXT(N(F180)-SUMIF('البنود'!$B$7:$B$606,D180,'البنود'!$F$7:$F$606),"0.000")))))))</f>
        <v/>
      </c>
    </row>
    <row r="181" ht="21" customHeight="1">
      <c r="A181" s="9">
        <f>IF(B181="","",ROW()-6)</f>
        <v/>
      </c>
      <c r="B181" s="10" t="n"/>
      <c r="C181" s="11" t="n"/>
      <c r="D181" s="12" t="n"/>
      <c r="E181" s="12" t="n"/>
      <c r="F181" s="13" t="n"/>
      <c r="G181" s="13" t="n"/>
      <c r="H181" s="14">
        <f>IF(F181="","",F181-N(G181))</f>
        <v/>
      </c>
      <c r="I181" s="15">
        <f>IF(B181="","",IF(E181="","⛔ اختر النوع",IF(E181="مطبوعة","📷 مع الصورة",IF(D181="","⛔ اكتب رقم الفاتورة",IF(SUMIF('البنود'!$B$7:$B$606,D181,'البنود'!$F$7:$F$606)=0,"🟡 بنودها ما انزلت",IF(ROUND(SUMIF('البنود'!$B$7:$B$606,D181,'البنود'!$F$7:$F$606)-N(F181),3)=0,"✅ خلصت — البنود مطابقة","⛔ فرق "&amp;TEXT(N(F181)-SUMIF('البنود'!$B$7:$B$606,D181,'البنود'!$F$7:$F$606),"0.000")))))))</f>
        <v/>
      </c>
    </row>
    <row r="182" ht="21" customHeight="1">
      <c r="A182" s="9">
        <f>IF(B182="","",ROW()-6)</f>
        <v/>
      </c>
      <c r="B182" s="10" t="n"/>
      <c r="C182" s="11" t="n"/>
      <c r="D182" s="12" t="n"/>
      <c r="E182" s="12" t="n"/>
      <c r="F182" s="13" t="n"/>
      <c r="G182" s="13" t="n"/>
      <c r="H182" s="14">
        <f>IF(F182="","",F182-N(G182))</f>
        <v/>
      </c>
      <c r="I182" s="15">
        <f>IF(B182="","",IF(E182="","⛔ اختر النوع",IF(E182="مطبوعة","📷 مع الصورة",IF(D182="","⛔ اكتب رقم الفاتورة",IF(SUMIF('البنود'!$B$7:$B$606,D182,'البنود'!$F$7:$F$606)=0,"🟡 بنودها ما انزلت",IF(ROUND(SUMIF('البنود'!$B$7:$B$606,D182,'البنود'!$F$7:$F$606)-N(F182),3)=0,"✅ خلصت — البنود مطابقة","⛔ فرق "&amp;TEXT(N(F182)-SUMIF('البنود'!$B$7:$B$606,D182,'البنود'!$F$7:$F$606),"0.000")))))))</f>
        <v/>
      </c>
    </row>
    <row r="183" ht="21" customHeight="1">
      <c r="A183" s="9">
        <f>IF(B183="","",ROW()-6)</f>
        <v/>
      </c>
      <c r="B183" s="10" t="n"/>
      <c r="C183" s="11" t="n"/>
      <c r="D183" s="12" t="n"/>
      <c r="E183" s="12" t="n"/>
      <c r="F183" s="13" t="n"/>
      <c r="G183" s="13" t="n"/>
      <c r="H183" s="14">
        <f>IF(F183="","",F183-N(G183))</f>
        <v/>
      </c>
      <c r="I183" s="15">
        <f>IF(B183="","",IF(E183="","⛔ اختر النوع",IF(E183="مطبوعة","📷 مع الصورة",IF(D183="","⛔ اكتب رقم الفاتورة",IF(SUMIF('البنود'!$B$7:$B$606,D183,'البنود'!$F$7:$F$606)=0,"🟡 بنودها ما انزلت",IF(ROUND(SUMIF('البنود'!$B$7:$B$606,D183,'البنود'!$F$7:$F$606)-N(F183),3)=0,"✅ خلصت — البنود مطابقة","⛔ فرق "&amp;TEXT(N(F183)-SUMIF('البنود'!$B$7:$B$606,D183,'البنود'!$F$7:$F$606),"0.000")))))))</f>
        <v/>
      </c>
    </row>
    <row r="184" ht="21" customHeight="1">
      <c r="A184" s="9">
        <f>IF(B184="","",ROW()-6)</f>
        <v/>
      </c>
      <c r="B184" s="10" t="n"/>
      <c r="C184" s="11" t="n"/>
      <c r="D184" s="12" t="n"/>
      <c r="E184" s="12" t="n"/>
      <c r="F184" s="13" t="n"/>
      <c r="G184" s="13" t="n"/>
      <c r="H184" s="14">
        <f>IF(F184="","",F184-N(G184))</f>
        <v/>
      </c>
      <c r="I184" s="15">
        <f>IF(B184="","",IF(E184="","⛔ اختر النوع",IF(E184="مطبوعة","📷 مع الصورة",IF(D184="","⛔ اكتب رقم الفاتورة",IF(SUMIF('البنود'!$B$7:$B$606,D184,'البنود'!$F$7:$F$606)=0,"🟡 بنودها ما انزلت",IF(ROUND(SUMIF('البنود'!$B$7:$B$606,D184,'البنود'!$F$7:$F$606)-N(F184),3)=0,"✅ خلصت — البنود مطابقة","⛔ فرق "&amp;TEXT(N(F184)-SUMIF('البنود'!$B$7:$B$606,D184,'البنود'!$F$7:$F$606),"0.000")))))))</f>
        <v/>
      </c>
    </row>
    <row r="185" ht="21" customHeight="1">
      <c r="A185" s="9">
        <f>IF(B185="","",ROW()-6)</f>
        <v/>
      </c>
      <c r="B185" s="10" t="n"/>
      <c r="C185" s="11" t="n"/>
      <c r="D185" s="12" t="n"/>
      <c r="E185" s="12" t="n"/>
      <c r="F185" s="13" t="n"/>
      <c r="G185" s="13" t="n"/>
      <c r="H185" s="14">
        <f>IF(F185="","",F185-N(G185))</f>
        <v/>
      </c>
      <c r="I185" s="15">
        <f>IF(B185="","",IF(E185="","⛔ اختر النوع",IF(E185="مطبوعة","📷 مع الصورة",IF(D185="","⛔ اكتب رقم الفاتورة",IF(SUMIF('البنود'!$B$7:$B$606,D185,'البنود'!$F$7:$F$606)=0,"🟡 بنودها ما انزلت",IF(ROUND(SUMIF('البنود'!$B$7:$B$606,D185,'البنود'!$F$7:$F$606)-N(F185),3)=0,"✅ خلصت — البنود مطابقة","⛔ فرق "&amp;TEXT(N(F185)-SUMIF('البنود'!$B$7:$B$606,D185,'البنود'!$F$7:$F$606),"0.000")))))))</f>
        <v/>
      </c>
    </row>
    <row r="186" ht="21" customHeight="1">
      <c r="A186" s="9">
        <f>IF(B186="","",ROW()-6)</f>
        <v/>
      </c>
      <c r="B186" s="10" t="n"/>
      <c r="C186" s="11" t="n"/>
      <c r="D186" s="12" t="n"/>
      <c r="E186" s="12" t="n"/>
      <c r="F186" s="13" t="n"/>
      <c r="G186" s="13" t="n"/>
      <c r="H186" s="14">
        <f>IF(F186="","",F186-N(G186))</f>
        <v/>
      </c>
      <c r="I186" s="15">
        <f>IF(B186="","",IF(E186="","⛔ اختر النوع",IF(E186="مطبوعة","📷 مع الصورة",IF(D186="","⛔ اكتب رقم الفاتورة",IF(SUMIF('البنود'!$B$7:$B$606,D186,'البنود'!$F$7:$F$606)=0,"🟡 بنودها ما انزلت",IF(ROUND(SUMIF('البنود'!$B$7:$B$606,D186,'البنود'!$F$7:$F$606)-N(F186),3)=0,"✅ خلصت — البنود مطابقة","⛔ فرق "&amp;TEXT(N(F186)-SUMIF('البنود'!$B$7:$B$606,D186,'البنود'!$F$7:$F$606),"0.000")))))))</f>
        <v/>
      </c>
    </row>
    <row r="187" ht="21" customHeight="1">
      <c r="A187" s="9">
        <f>IF(B187="","",ROW()-6)</f>
        <v/>
      </c>
      <c r="B187" s="10" t="n"/>
      <c r="C187" s="11" t="n"/>
      <c r="D187" s="12" t="n"/>
      <c r="E187" s="12" t="n"/>
      <c r="F187" s="13" t="n"/>
      <c r="G187" s="13" t="n"/>
      <c r="H187" s="14">
        <f>IF(F187="","",F187-N(G187))</f>
        <v/>
      </c>
      <c r="I187" s="15">
        <f>IF(B187="","",IF(E187="","⛔ اختر النوع",IF(E187="مطبوعة","📷 مع الصورة",IF(D187="","⛔ اكتب رقم الفاتورة",IF(SUMIF('البنود'!$B$7:$B$606,D187,'البنود'!$F$7:$F$606)=0,"🟡 بنودها ما انزلت",IF(ROUND(SUMIF('البنود'!$B$7:$B$606,D187,'البنود'!$F$7:$F$606)-N(F187),3)=0,"✅ خلصت — البنود مطابقة","⛔ فرق "&amp;TEXT(N(F187)-SUMIF('البنود'!$B$7:$B$606,D187,'البنود'!$F$7:$F$606),"0.000")))))))</f>
        <v/>
      </c>
    </row>
    <row r="188" ht="21" customHeight="1">
      <c r="A188" s="9">
        <f>IF(B188="","",ROW()-6)</f>
        <v/>
      </c>
      <c r="B188" s="10" t="n"/>
      <c r="C188" s="11" t="n"/>
      <c r="D188" s="12" t="n"/>
      <c r="E188" s="12" t="n"/>
      <c r="F188" s="13" t="n"/>
      <c r="G188" s="13" t="n"/>
      <c r="H188" s="14">
        <f>IF(F188="","",F188-N(G188))</f>
        <v/>
      </c>
      <c r="I188" s="15">
        <f>IF(B188="","",IF(E188="","⛔ اختر النوع",IF(E188="مطبوعة","📷 مع الصورة",IF(D188="","⛔ اكتب رقم الفاتورة",IF(SUMIF('البنود'!$B$7:$B$606,D188,'البنود'!$F$7:$F$606)=0,"🟡 بنودها ما انزلت",IF(ROUND(SUMIF('البنود'!$B$7:$B$606,D188,'البنود'!$F$7:$F$606)-N(F188),3)=0,"✅ خلصت — البنود مطابقة","⛔ فرق "&amp;TEXT(N(F188)-SUMIF('البنود'!$B$7:$B$606,D188,'البنود'!$F$7:$F$606),"0.000")))))))</f>
        <v/>
      </c>
    </row>
    <row r="189" ht="21" customHeight="1">
      <c r="A189" s="9">
        <f>IF(B189="","",ROW()-6)</f>
        <v/>
      </c>
      <c r="B189" s="10" t="n"/>
      <c r="C189" s="11" t="n"/>
      <c r="D189" s="12" t="n"/>
      <c r="E189" s="12" t="n"/>
      <c r="F189" s="13" t="n"/>
      <c r="G189" s="13" t="n"/>
      <c r="H189" s="14">
        <f>IF(F189="","",F189-N(G189))</f>
        <v/>
      </c>
      <c r="I189" s="15">
        <f>IF(B189="","",IF(E189="","⛔ اختر النوع",IF(E189="مطبوعة","📷 مع الصورة",IF(D189="","⛔ اكتب رقم الفاتورة",IF(SUMIF('البنود'!$B$7:$B$606,D189,'البنود'!$F$7:$F$606)=0,"🟡 بنودها ما انزلت",IF(ROUND(SUMIF('البنود'!$B$7:$B$606,D189,'البنود'!$F$7:$F$606)-N(F189),3)=0,"✅ خلصت — البنود مطابقة","⛔ فرق "&amp;TEXT(N(F189)-SUMIF('البنود'!$B$7:$B$606,D189,'البنود'!$F$7:$F$606),"0.000")))))))</f>
        <v/>
      </c>
    </row>
    <row r="190" ht="21" customHeight="1">
      <c r="A190" s="9">
        <f>IF(B190="","",ROW()-6)</f>
        <v/>
      </c>
      <c r="B190" s="10" t="n"/>
      <c r="C190" s="11" t="n"/>
      <c r="D190" s="12" t="n"/>
      <c r="E190" s="12" t="n"/>
      <c r="F190" s="13" t="n"/>
      <c r="G190" s="13" t="n"/>
      <c r="H190" s="14">
        <f>IF(F190="","",F190-N(G190))</f>
        <v/>
      </c>
      <c r="I190" s="15">
        <f>IF(B190="","",IF(E190="","⛔ اختر النوع",IF(E190="مطبوعة","📷 مع الصورة",IF(D190="","⛔ اكتب رقم الفاتورة",IF(SUMIF('البنود'!$B$7:$B$606,D190,'البنود'!$F$7:$F$606)=0,"🟡 بنودها ما انزلت",IF(ROUND(SUMIF('البنود'!$B$7:$B$606,D190,'البنود'!$F$7:$F$606)-N(F190),3)=0,"✅ خلصت — البنود مطابقة","⛔ فرق "&amp;TEXT(N(F190)-SUMIF('البنود'!$B$7:$B$606,D190,'البنود'!$F$7:$F$606),"0.000")))))))</f>
        <v/>
      </c>
    </row>
    <row r="191" ht="21" customHeight="1">
      <c r="A191" s="9">
        <f>IF(B191="","",ROW()-6)</f>
        <v/>
      </c>
      <c r="B191" s="10" t="n"/>
      <c r="C191" s="11" t="n"/>
      <c r="D191" s="12" t="n"/>
      <c r="E191" s="12" t="n"/>
      <c r="F191" s="13" t="n"/>
      <c r="G191" s="13" t="n"/>
      <c r="H191" s="14">
        <f>IF(F191="","",F191-N(G191))</f>
        <v/>
      </c>
      <c r="I191" s="15">
        <f>IF(B191="","",IF(E191="","⛔ اختر النوع",IF(E191="مطبوعة","📷 مع الصورة",IF(D191="","⛔ اكتب رقم الفاتورة",IF(SUMIF('البنود'!$B$7:$B$606,D191,'البنود'!$F$7:$F$606)=0,"🟡 بنودها ما انزلت",IF(ROUND(SUMIF('البنود'!$B$7:$B$606,D191,'البنود'!$F$7:$F$606)-N(F191),3)=0,"✅ خلصت — البنود مطابقة","⛔ فرق "&amp;TEXT(N(F191)-SUMIF('البنود'!$B$7:$B$606,D191,'البنود'!$F$7:$F$606),"0.000")))))))</f>
        <v/>
      </c>
    </row>
    <row r="192" ht="21" customHeight="1">
      <c r="A192" s="9">
        <f>IF(B192="","",ROW()-6)</f>
        <v/>
      </c>
      <c r="B192" s="10" t="n"/>
      <c r="C192" s="11" t="n"/>
      <c r="D192" s="12" t="n"/>
      <c r="E192" s="12" t="n"/>
      <c r="F192" s="13" t="n"/>
      <c r="G192" s="13" t="n"/>
      <c r="H192" s="14">
        <f>IF(F192="","",F192-N(G192))</f>
        <v/>
      </c>
      <c r="I192" s="15">
        <f>IF(B192="","",IF(E192="","⛔ اختر النوع",IF(E192="مطبوعة","📷 مع الصورة",IF(D192="","⛔ اكتب رقم الفاتورة",IF(SUMIF('البنود'!$B$7:$B$606,D192,'البنود'!$F$7:$F$606)=0,"🟡 بنودها ما انزلت",IF(ROUND(SUMIF('البنود'!$B$7:$B$606,D192,'البنود'!$F$7:$F$606)-N(F192),3)=0,"✅ خلصت — البنود مطابقة","⛔ فرق "&amp;TEXT(N(F192)-SUMIF('البنود'!$B$7:$B$606,D192,'البنود'!$F$7:$F$606),"0.000")))))))</f>
        <v/>
      </c>
    </row>
    <row r="193" ht="21" customHeight="1">
      <c r="A193" s="9">
        <f>IF(B193="","",ROW()-6)</f>
        <v/>
      </c>
      <c r="B193" s="10" t="n"/>
      <c r="C193" s="11" t="n"/>
      <c r="D193" s="12" t="n"/>
      <c r="E193" s="12" t="n"/>
      <c r="F193" s="13" t="n"/>
      <c r="G193" s="13" t="n"/>
      <c r="H193" s="14">
        <f>IF(F193="","",F193-N(G193))</f>
        <v/>
      </c>
      <c r="I193" s="15">
        <f>IF(B193="","",IF(E193="","⛔ اختر النوع",IF(E193="مطبوعة","📷 مع الصورة",IF(D193="","⛔ اكتب رقم الفاتورة",IF(SUMIF('البنود'!$B$7:$B$606,D193,'البنود'!$F$7:$F$606)=0,"🟡 بنودها ما انزلت",IF(ROUND(SUMIF('البنود'!$B$7:$B$606,D193,'البنود'!$F$7:$F$606)-N(F193),3)=0,"✅ خلصت — البنود مطابقة","⛔ فرق "&amp;TEXT(N(F193)-SUMIF('البنود'!$B$7:$B$606,D193,'البنود'!$F$7:$F$606),"0.000")))))))</f>
        <v/>
      </c>
    </row>
    <row r="194" ht="21" customHeight="1">
      <c r="A194" s="9">
        <f>IF(B194="","",ROW()-6)</f>
        <v/>
      </c>
      <c r="B194" s="10" t="n"/>
      <c r="C194" s="11" t="n"/>
      <c r="D194" s="12" t="n"/>
      <c r="E194" s="12" t="n"/>
      <c r="F194" s="13" t="n"/>
      <c r="G194" s="13" t="n"/>
      <c r="H194" s="14">
        <f>IF(F194="","",F194-N(G194))</f>
        <v/>
      </c>
      <c r="I194" s="15">
        <f>IF(B194="","",IF(E194="","⛔ اختر النوع",IF(E194="مطبوعة","📷 مع الصورة",IF(D194="","⛔ اكتب رقم الفاتورة",IF(SUMIF('البنود'!$B$7:$B$606,D194,'البنود'!$F$7:$F$606)=0,"🟡 بنودها ما انزلت",IF(ROUND(SUMIF('البنود'!$B$7:$B$606,D194,'البنود'!$F$7:$F$606)-N(F194),3)=0,"✅ خلصت — البنود مطابقة","⛔ فرق "&amp;TEXT(N(F194)-SUMIF('البنود'!$B$7:$B$606,D194,'البنود'!$F$7:$F$606),"0.000")))))))</f>
        <v/>
      </c>
    </row>
    <row r="195" ht="21" customHeight="1">
      <c r="A195" s="9">
        <f>IF(B195="","",ROW()-6)</f>
        <v/>
      </c>
      <c r="B195" s="10" t="n"/>
      <c r="C195" s="11" t="n"/>
      <c r="D195" s="12" t="n"/>
      <c r="E195" s="12" t="n"/>
      <c r="F195" s="13" t="n"/>
      <c r="G195" s="13" t="n"/>
      <c r="H195" s="14">
        <f>IF(F195="","",F195-N(G195))</f>
        <v/>
      </c>
      <c r="I195" s="15">
        <f>IF(B195="","",IF(E195="","⛔ اختر النوع",IF(E195="مطبوعة","📷 مع الصورة",IF(D195="","⛔ اكتب رقم الفاتورة",IF(SUMIF('البنود'!$B$7:$B$606,D195,'البنود'!$F$7:$F$606)=0,"🟡 بنودها ما انزلت",IF(ROUND(SUMIF('البنود'!$B$7:$B$606,D195,'البنود'!$F$7:$F$606)-N(F195),3)=0,"✅ خلصت — البنود مطابقة","⛔ فرق "&amp;TEXT(N(F195)-SUMIF('البنود'!$B$7:$B$606,D195,'البنود'!$F$7:$F$606),"0.000")))))))</f>
        <v/>
      </c>
    </row>
    <row r="196" ht="21" customHeight="1">
      <c r="A196" s="9">
        <f>IF(B196="","",ROW()-6)</f>
        <v/>
      </c>
      <c r="B196" s="10" t="n"/>
      <c r="C196" s="11" t="n"/>
      <c r="D196" s="12" t="n"/>
      <c r="E196" s="12" t="n"/>
      <c r="F196" s="13" t="n"/>
      <c r="G196" s="13" t="n"/>
      <c r="H196" s="14">
        <f>IF(F196="","",F196-N(G196))</f>
        <v/>
      </c>
      <c r="I196" s="15">
        <f>IF(B196="","",IF(E196="","⛔ اختر النوع",IF(E196="مطبوعة","📷 مع الصورة",IF(D196="","⛔ اكتب رقم الفاتورة",IF(SUMIF('البنود'!$B$7:$B$606,D196,'البنود'!$F$7:$F$606)=0,"🟡 بنودها ما انزلت",IF(ROUND(SUMIF('البنود'!$B$7:$B$606,D196,'البنود'!$F$7:$F$606)-N(F196),3)=0,"✅ خلصت — البنود مطابقة","⛔ فرق "&amp;TEXT(N(F196)-SUMIF('البنود'!$B$7:$B$606,D196,'البنود'!$F$7:$F$606),"0.000")))))))</f>
        <v/>
      </c>
    </row>
    <row r="197" ht="21" customHeight="1">
      <c r="A197" s="9">
        <f>IF(B197="","",ROW()-6)</f>
        <v/>
      </c>
      <c r="B197" s="10" t="n"/>
      <c r="C197" s="11" t="n"/>
      <c r="D197" s="12" t="n"/>
      <c r="E197" s="12" t="n"/>
      <c r="F197" s="13" t="n"/>
      <c r="G197" s="13" t="n"/>
      <c r="H197" s="14">
        <f>IF(F197="","",F197-N(G197))</f>
        <v/>
      </c>
      <c r="I197" s="15">
        <f>IF(B197="","",IF(E197="","⛔ اختر النوع",IF(E197="مطبوعة","📷 مع الصورة",IF(D197="","⛔ اكتب رقم الفاتورة",IF(SUMIF('البنود'!$B$7:$B$606,D197,'البنود'!$F$7:$F$606)=0,"🟡 بنودها ما انزلت",IF(ROUND(SUMIF('البنود'!$B$7:$B$606,D197,'البنود'!$F$7:$F$606)-N(F197),3)=0,"✅ خلصت — البنود مطابقة","⛔ فرق "&amp;TEXT(N(F197)-SUMIF('البنود'!$B$7:$B$606,D197,'البنود'!$F$7:$F$606),"0.000")))))))</f>
        <v/>
      </c>
    </row>
    <row r="198" ht="21" customHeight="1">
      <c r="A198" s="9">
        <f>IF(B198="","",ROW()-6)</f>
        <v/>
      </c>
      <c r="B198" s="10" t="n"/>
      <c r="C198" s="11" t="n"/>
      <c r="D198" s="12" t="n"/>
      <c r="E198" s="12" t="n"/>
      <c r="F198" s="13" t="n"/>
      <c r="G198" s="13" t="n"/>
      <c r="H198" s="14">
        <f>IF(F198="","",F198-N(G198))</f>
        <v/>
      </c>
      <c r="I198" s="15">
        <f>IF(B198="","",IF(E198="","⛔ اختر النوع",IF(E198="مطبوعة","📷 مع الصورة",IF(D198="","⛔ اكتب رقم الفاتورة",IF(SUMIF('البنود'!$B$7:$B$606,D198,'البنود'!$F$7:$F$606)=0,"🟡 بنودها ما انزلت",IF(ROUND(SUMIF('البنود'!$B$7:$B$606,D198,'البنود'!$F$7:$F$606)-N(F198),3)=0,"✅ خلصت — البنود مطابقة","⛔ فرق "&amp;TEXT(N(F198)-SUMIF('البنود'!$B$7:$B$606,D198,'البنود'!$F$7:$F$606),"0.000")))))))</f>
        <v/>
      </c>
    </row>
    <row r="199" ht="21" customHeight="1">
      <c r="A199" s="9">
        <f>IF(B199="","",ROW()-6)</f>
        <v/>
      </c>
      <c r="B199" s="10" t="n"/>
      <c r="C199" s="11" t="n"/>
      <c r="D199" s="12" t="n"/>
      <c r="E199" s="12" t="n"/>
      <c r="F199" s="13" t="n"/>
      <c r="G199" s="13" t="n"/>
      <c r="H199" s="14">
        <f>IF(F199="","",F199-N(G199))</f>
        <v/>
      </c>
      <c r="I199" s="15">
        <f>IF(B199="","",IF(E199="","⛔ اختر النوع",IF(E199="مطبوعة","📷 مع الصورة",IF(D199="","⛔ اكتب رقم الفاتورة",IF(SUMIF('البنود'!$B$7:$B$606,D199,'البنود'!$F$7:$F$606)=0,"🟡 بنودها ما انزلت",IF(ROUND(SUMIF('البنود'!$B$7:$B$606,D199,'البنود'!$F$7:$F$606)-N(F199),3)=0,"✅ خلصت — البنود مطابقة","⛔ فرق "&amp;TEXT(N(F199)-SUMIF('البنود'!$B$7:$B$606,D199,'البنود'!$F$7:$F$606),"0.000")))))))</f>
        <v/>
      </c>
    </row>
    <row r="200" ht="21" customHeight="1">
      <c r="A200" s="9">
        <f>IF(B200="","",ROW()-6)</f>
        <v/>
      </c>
      <c r="B200" s="10" t="n"/>
      <c r="C200" s="11" t="n"/>
      <c r="D200" s="12" t="n"/>
      <c r="E200" s="12" t="n"/>
      <c r="F200" s="13" t="n"/>
      <c r="G200" s="13" t="n"/>
      <c r="H200" s="14">
        <f>IF(F200="","",F200-N(G200))</f>
        <v/>
      </c>
      <c r="I200" s="15">
        <f>IF(B200="","",IF(E200="","⛔ اختر النوع",IF(E200="مطبوعة","📷 مع الصورة",IF(D200="","⛔ اكتب رقم الفاتورة",IF(SUMIF('البنود'!$B$7:$B$606,D200,'البنود'!$F$7:$F$606)=0,"🟡 بنودها ما انزلت",IF(ROUND(SUMIF('البنود'!$B$7:$B$606,D200,'البنود'!$F$7:$F$606)-N(F200),3)=0,"✅ خلصت — البنود مطابقة","⛔ فرق "&amp;TEXT(N(F200)-SUMIF('البنود'!$B$7:$B$606,D200,'البنود'!$F$7:$F$606),"0.000")))))))</f>
        <v/>
      </c>
    </row>
    <row r="201" ht="21" customHeight="1">
      <c r="A201" s="9">
        <f>IF(B201="","",ROW()-6)</f>
        <v/>
      </c>
      <c r="B201" s="10" t="n"/>
      <c r="C201" s="11" t="n"/>
      <c r="D201" s="12" t="n"/>
      <c r="E201" s="12" t="n"/>
      <c r="F201" s="13" t="n"/>
      <c r="G201" s="13" t="n"/>
      <c r="H201" s="14">
        <f>IF(F201="","",F201-N(G201))</f>
        <v/>
      </c>
      <c r="I201" s="15">
        <f>IF(B201="","",IF(E201="","⛔ اختر النوع",IF(E201="مطبوعة","📷 مع الصورة",IF(D201="","⛔ اكتب رقم الفاتورة",IF(SUMIF('البنود'!$B$7:$B$606,D201,'البنود'!$F$7:$F$606)=0,"🟡 بنودها ما انزلت",IF(ROUND(SUMIF('البنود'!$B$7:$B$606,D201,'البنود'!$F$7:$F$606)-N(F201),3)=0,"✅ خلصت — البنود مطابقة","⛔ فرق "&amp;TEXT(N(F201)-SUMIF('البنود'!$B$7:$B$606,D201,'البنود'!$F$7:$F$606),"0.000")))))))</f>
        <v/>
      </c>
    </row>
    <row r="202" ht="21" customHeight="1">
      <c r="A202" s="9">
        <f>IF(B202="","",ROW()-6)</f>
        <v/>
      </c>
      <c r="B202" s="10" t="n"/>
      <c r="C202" s="11" t="n"/>
      <c r="D202" s="12" t="n"/>
      <c r="E202" s="12" t="n"/>
      <c r="F202" s="13" t="n"/>
      <c r="G202" s="13" t="n"/>
      <c r="H202" s="14">
        <f>IF(F202="","",F202-N(G202))</f>
        <v/>
      </c>
      <c r="I202" s="15">
        <f>IF(B202="","",IF(E202="","⛔ اختر النوع",IF(E202="مطبوعة","📷 مع الصورة",IF(D202="","⛔ اكتب رقم الفاتورة",IF(SUMIF('البنود'!$B$7:$B$606,D202,'البنود'!$F$7:$F$606)=0,"🟡 بنودها ما انزلت",IF(ROUND(SUMIF('البنود'!$B$7:$B$606,D202,'البنود'!$F$7:$F$606)-N(F202),3)=0,"✅ خلصت — البنود مطابقة","⛔ فرق "&amp;TEXT(N(F202)-SUMIF('البنود'!$B$7:$B$606,D202,'البنود'!$F$7:$F$606),"0.000")))))))</f>
        <v/>
      </c>
    </row>
    <row r="203" ht="21" customHeight="1">
      <c r="A203" s="9">
        <f>IF(B203="","",ROW()-6)</f>
        <v/>
      </c>
      <c r="B203" s="10" t="n"/>
      <c r="C203" s="11" t="n"/>
      <c r="D203" s="12" t="n"/>
      <c r="E203" s="12" t="n"/>
      <c r="F203" s="13" t="n"/>
      <c r="G203" s="13" t="n"/>
      <c r="H203" s="14">
        <f>IF(F203="","",F203-N(G203))</f>
        <v/>
      </c>
      <c r="I203" s="15">
        <f>IF(B203="","",IF(E203="","⛔ اختر النوع",IF(E203="مطبوعة","📷 مع الصورة",IF(D203="","⛔ اكتب رقم الفاتورة",IF(SUMIF('البنود'!$B$7:$B$606,D203,'البنود'!$F$7:$F$606)=0,"🟡 بنودها ما انزلت",IF(ROUND(SUMIF('البنود'!$B$7:$B$606,D203,'البنود'!$F$7:$F$606)-N(F203),3)=0,"✅ خلصت — البنود مطابقة","⛔ فرق "&amp;TEXT(N(F203)-SUMIF('البنود'!$B$7:$B$606,D203,'البنود'!$F$7:$F$606),"0.000")))))))</f>
        <v/>
      </c>
    </row>
    <row r="204" ht="21" customHeight="1">
      <c r="A204" s="9">
        <f>IF(B204="","",ROW()-6)</f>
        <v/>
      </c>
      <c r="B204" s="10" t="n"/>
      <c r="C204" s="11" t="n"/>
      <c r="D204" s="12" t="n"/>
      <c r="E204" s="12" t="n"/>
      <c r="F204" s="13" t="n"/>
      <c r="G204" s="13" t="n"/>
      <c r="H204" s="14">
        <f>IF(F204="","",F204-N(G204))</f>
        <v/>
      </c>
      <c r="I204" s="15">
        <f>IF(B204="","",IF(E204="","⛔ اختر النوع",IF(E204="مطبوعة","📷 مع الصورة",IF(D204="","⛔ اكتب رقم الفاتورة",IF(SUMIF('البنود'!$B$7:$B$606,D204,'البنود'!$F$7:$F$606)=0,"🟡 بنودها ما انزلت",IF(ROUND(SUMIF('البنود'!$B$7:$B$606,D204,'البنود'!$F$7:$F$606)-N(F204),3)=0,"✅ خلصت — البنود مطابقة","⛔ فرق "&amp;TEXT(N(F204)-SUMIF('البنود'!$B$7:$B$606,D204,'البنود'!$F$7:$F$606),"0.000")))))))</f>
        <v/>
      </c>
    </row>
    <row r="205" ht="21" customHeight="1">
      <c r="A205" s="9">
        <f>IF(B205="","",ROW()-6)</f>
        <v/>
      </c>
      <c r="B205" s="10" t="n"/>
      <c r="C205" s="11" t="n"/>
      <c r="D205" s="12" t="n"/>
      <c r="E205" s="12" t="n"/>
      <c r="F205" s="13" t="n"/>
      <c r="G205" s="13" t="n"/>
      <c r="H205" s="14">
        <f>IF(F205="","",F205-N(G205))</f>
        <v/>
      </c>
      <c r="I205" s="15">
        <f>IF(B205="","",IF(E205="","⛔ اختر النوع",IF(E205="مطبوعة","📷 مع الصورة",IF(D205="","⛔ اكتب رقم الفاتورة",IF(SUMIF('البنود'!$B$7:$B$606,D205,'البنود'!$F$7:$F$606)=0,"🟡 بنودها ما انزلت",IF(ROUND(SUMIF('البنود'!$B$7:$B$606,D205,'البنود'!$F$7:$F$606)-N(F205),3)=0,"✅ خلصت — البنود مطابقة","⛔ فرق "&amp;TEXT(N(F205)-SUMIF('البنود'!$B$7:$B$606,D205,'البنود'!$F$7:$F$606),"0.000")))))))</f>
        <v/>
      </c>
    </row>
    <row r="206" ht="21" customHeight="1">
      <c r="A206" s="9">
        <f>IF(B206="","",ROW()-6)</f>
        <v/>
      </c>
      <c r="B206" s="10" t="n"/>
      <c r="C206" s="11" t="n"/>
      <c r="D206" s="12" t="n"/>
      <c r="E206" s="12" t="n"/>
      <c r="F206" s="13" t="n"/>
      <c r="G206" s="13" t="n"/>
      <c r="H206" s="14">
        <f>IF(F206="","",F206-N(G206))</f>
        <v/>
      </c>
      <c r="I206" s="15">
        <f>IF(B206="","",IF(E206="","⛔ اختر النوع",IF(E206="مطبوعة","📷 مع الصورة",IF(D206="","⛔ اكتب رقم الفاتورة",IF(SUMIF('البنود'!$B$7:$B$606,D206,'البنود'!$F$7:$F$606)=0,"🟡 بنودها ما انزلت",IF(ROUND(SUMIF('البنود'!$B$7:$B$606,D206,'البنود'!$F$7:$F$606)-N(F206),3)=0,"✅ خلصت — البنود مطابقة","⛔ فرق "&amp;TEXT(N(F206)-SUMIF('البنود'!$B$7:$B$606,D206,'البنود'!$F$7:$F$606),"0.000")))))))</f>
        <v/>
      </c>
    </row>
    <row r="207"/>
    <row r="208" ht="22" customHeight="1">
      <c r="A208" s="16" t="inlineStr">
        <is>
          <t>الفاتورة المطبوعة: تاريخ + مورد + رقم + مجموع وبس، وابعث صورتها. اليدوية: بنودها بورقة «البنود».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0" formatRows="1" sort="1"/>
  <mergeCells count="4">
    <mergeCell ref="A1:I1"/>
    <mergeCell ref="A208:I208"/>
    <mergeCell ref="B2:I2"/>
    <mergeCell ref="E4:I4"/>
  </mergeCells>
  <conditionalFormatting sqref="E4">
    <cfRule type="expression" priority="1" dxfId="0">
      <formula>LEFT(E4,1)="✅"</formula>
    </cfRule>
    <cfRule type="expression" priority="2" dxfId="1">
      <formula>LEFT(E4,1)="⛔"</formula>
    </cfRule>
  </conditionalFormatting>
  <conditionalFormatting sqref="I7:I206">
    <cfRule type="expression" priority="3" dxfId="2">
      <formula>LEFT(I7,1)="⛔"</formula>
    </cfRule>
    <cfRule type="expression" priority="4" dxfId="3">
      <formula>LEFT(I7,1)="✅"</formula>
    </cfRule>
  </conditionalFormatting>
  <conditionalFormatting sqref="D7:D206">
    <cfRule type="expression" priority="5" dxfId="4">
      <formula>AND($D7&lt;&gt;"",COUNTIF($D$7:$D$206,$D7)&gt;1)</formula>
    </cfRule>
  </conditionalFormatting>
  <conditionalFormatting sqref="C7:C206">
    <cfRule type="expression" priority="6" dxfId="5">
      <formula>AND($B7&lt;&gt;"",$C7&lt;&gt;"",OR(INT($C7/1000000)&lt;1,INT($C7/1000000)&gt;31,MOD(INT($C7/10000),100)&lt;1,MOD(INT($C7/10000),100)&gt;12,MOD($C7,10000)&lt;2020))</formula>
    </cfRule>
    <cfRule type="expression" priority="7" dxfId="6">
      <formula>AND($B7&lt;&gt;"",$C7="")</formula>
    </cfRule>
  </conditionalFormatting>
  <conditionalFormatting sqref="F7:F206">
    <cfRule type="expression" priority="8" dxfId="6">
      <formula>AND($B7&lt;&gt;"",$F7="")</formula>
    </cfRule>
  </conditionalFormatting>
  <dataValidations count="1">
    <dataValidation sqref="E7:E206" showDropDown="0" showInputMessage="0" showErrorMessage="0" allowBlank="1" type="list">
      <formula1>"مطبوعة,يدوية"</formula1>
    </dataValidation>
  </dataValidations>
  <pageMargins left="0.3" right="0.3" top="0.4" bottom="0.4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608"/>
  <sheetViews>
    <sheetView showGridLines="0" rightToLeft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50" customWidth="1" min="3" max="3"/>
    <col width="10" customWidth="1" min="4" max="4"/>
    <col width="12" customWidth="1" min="5" max="5"/>
    <col width="13" customWidth="1" min="6" max="6"/>
    <col width="3" customWidth="1" min="7" max="7"/>
    <col width="14" customWidth="1" min="8" max="8"/>
    <col width="13" customWidth="1" min="9" max="9"/>
    <col width="13" customWidth="1" min="10" max="10"/>
    <col width="26" customWidth="1" min="11" max="11"/>
    <col hidden="1" width="14" customWidth="1" min="12" max="12"/>
    <col hidden="1" width="14" customWidth="1" min="13" max="13"/>
    <col hidden="1" width="14" customWidth="1" min="14" max="14"/>
  </cols>
  <sheetData>
    <row r="1" ht="30" customHeight="1">
      <c r="A1" s="17" t="inlineStr">
        <is>
          <t>بنود الفواتير اليدوية — محلات العون لمواد البناء</t>
        </is>
      </c>
    </row>
    <row r="2" ht="26" customHeight="1">
      <c r="A2" s="2" t="inlineStr">
        <is>
          <t>الشهر</t>
        </is>
      </c>
      <c r="B2" s="18">
        <f>IF('الفواتير'!B2="","",'الفواتير'!B2)</f>
        <v/>
      </c>
      <c r="C2" s="4" t="n"/>
      <c r="D2" s="4" t="n"/>
      <c r="E2" s="4" t="n"/>
      <c r="F2" s="4" t="n"/>
    </row>
    <row r="3"/>
    <row r="4" ht="26" customHeight="1">
      <c r="A4" s="2" t="inlineStr">
        <is>
          <t>عدد البنود</t>
        </is>
      </c>
      <c r="B4" s="5">
        <f>COUNTA(C7:C606)</f>
        <v/>
      </c>
      <c r="C4" s="2" t="inlineStr">
        <is>
          <t>مجموعها</t>
        </is>
      </c>
      <c r="D4" s="6">
        <f>SUM(F7:F606)</f>
        <v/>
      </c>
      <c r="E4" s="7">
        <f>IF(B4=0,"لا يوجد بنود",IF(COUNTIF(A7:A606,"⛔*")&gt;0,"⛔ في بند رقم فاتورته مش موجود","✅ كل البنود مربوطة"))</f>
        <v/>
      </c>
      <c r="H4" s="7">
        <f>IF(COUNTIF('الفواتير'!$E$7:$E$206,"يدوية")=0,"لا يوجد فواتير يدوية",COUNTIF(K7:K206,"✅*")&amp;" مكتملة من "&amp;COUNTIF('الفواتير'!$E$7:$E$206,"يدوية")&amp;" فاتورة يدوية")</f>
        <v/>
      </c>
    </row>
    <row r="5"/>
    <row r="6" ht="28" customHeight="1">
      <c r="A6" s="19" t="inlineStr">
        <is>
          <t>#</t>
        </is>
      </c>
      <c r="B6" s="19" t="inlineStr">
        <is>
          <t>رقم الفاتورة</t>
        </is>
      </c>
      <c r="C6" s="19" t="inlineStr">
        <is>
          <t>البند</t>
        </is>
      </c>
      <c r="D6" s="19" t="inlineStr">
        <is>
          <t>الكمية</t>
        </is>
      </c>
      <c r="E6" s="19" t="inlineStr">
        <is>
          <t>الإفرادي</t>
        </is>
      </c>
      <c r="F6" s="19" t="inlineStr">
        <is>
          <t>الإجمالي</t>
        </is>
      </c>
      <c r="H6" s="20" t="inlineStr">
        <is>
          <t>رقم الفاتورة اليدوية</t>
        </is>
      </c>
      <c r="I6" s="20" t="inlineStr">
        <is>
          <t>مجموع الفاتورة</t>
        </is>
      </c>
      <c r="J6" s="20" t="inlineStr">
        <is>
          <t>مجموع بنودها</t>
        </is>
      </c>
      <c r="K6" s="20" t="inlineStr">
        <is>
          <t>خلصت؟</t>
        </is>
      </c>
      <c r="M6" t="inlineStr">
        <is>
          <t>ترتيب</t>
        </is>
      </c>
      <c r="N6" t="inlineStr">
        <is>
          <t>المفتوحة</t>
        </is>
      </c>
    </row>
    <row r="7" ht="21" customHeight="1">
      <c r="A7" s="9">
        <f>IF(C7="","",IF(COUNTIF('الفواتير'!$D$7:$D$206,B7)=0,"⛔",ROW()-6))</f>
        <v/>
      </c>
      <c r="B7" s="12" t="n"/>
      <c r="C7" s="10" t="n"/>
      <c r="D7" s="12" t="n"/>
      <c r="E7" s="13" t="n"/>
      <c r="F7" s="14">
        <f>IF(C7="","",N(D7)*N(E7))</f>
        <v/>
      </c>
      <c r="H7" s="9">
        <f>IF('الفواتير'!$E7="يدوية",'الفواتير'!$D7,"")</f>
        <v/>
      </c>
      <c r="I7" s="14">
        <f>IF($H7="","",'الفواتير'!$F7)</f>
        <v/>
      </c>
      <c r="J7" s="14">
        <f>IF($H7="","",SUMIF($B$7:$B$606,$H7,$F$7:$F$606))</f>
        <v/>
      </c>
      <c r="K7" s="15">
        <f>IF($H7="","",IF($H7=0,"⛔ اكتب رقم الفاتورة",IF(COUNTIF($B$7:$B$606,$H7)=0,"🟡 ما انزلت بنودها",IF(ROUND($I7-$J7,3)=0,"✅ خلصت","⛔ فرق "&amp;TEXT($I7-$J7,"0.000")))))</f>
        <v/>
      </c>
      <c r="M7">
        <f>IF(AND($H7&lt;&gt;"",$H7&lt;&gt;0,LEFT($K7,1)&lt;&gt;"✅"),COUNT($M$6:M6)+1,"")</f>
        <v/>
      </c>
      <c r="N7">
        <f>IFERROR(INDEX($H$7:$H$206,MATCH(ROW()-6,$M$7:$M$206,0)),"")</f>
        <v/>
      </c>
    </row>
    <row r="8" ht="21" customHeight="1">
      <c r="A8" s="9">
        <f>IF(C8="","",IF(COUNTIF('الفواتير'!$D$7:$D$206,B8)=0,"⛔",ROW()-6))</f>
        <v/>
      </c>
      <c r="B8" s="12" t="n"/>
      <c r="C8" s="10" t="n"/>
      <c r="D8" s="12" t="n"/>
      <c r="E8" s="13" t="n"/>
      <c r="F8" s="14">
        <f>IF(C8="","",N(D8)*N(E8))</f>
        <v/>
      </c>
      <c r="H8" s="9">
        <f>IF('الفواتير'!$E8="يدوية",'الفواتير'!$D8,"")</f>
        <v/>
      </c>
      <c r="I8" s="14">
        <f>IF($H8="","",'الفواتير'!$F8)</f>
        <v/>
      </c>
      <c r="J8" s="14">
        <f>IF($H8="","",SUMIF($B$7:$B$606,$H8,$F$7:$F$606))</f>
        <v/>
      </c>
      <c r="K8" s="15">
        <f>IF($H8="","",IF($H8=0,"⛔ اكتب رقم الفاتورة",IF(COUNTIF($B$7:$B$606,$H8)=0,"🟡 ما انزلت بنودها",IF(ROUND($I8-$J8,3)=0,"✅ خلصت","⛔ فرق "&amp;TEXT($I8-$J8,"0.000")))))</f>
        <v/>
      </c>
      <c r="M8">
        <f>IF(AND($H8&lt;&gt;"",$H8&lt;&gt;0,LEFT($K8,1)&lt;&gt;"✅"),COUNT($M$6:M7)+1,"")</f>
        <v/>
      </c>
      <c r="N8">
        <f>IFERROR(INDEX($H$7:$H$206,MATCH(ROW()-6,$M$7:$M$206,0)),"")</f>
        <v/>
      </c>
    </row>
    <row r="9" ht="21" customHeight="1">
      <c r="A9" s="9">
        <f>IF(C9="","",IF(COUNTIF('الفواتير'!$D$7:$D$206,B9)=0,"⛔",ROW()-6))</f>
        <v/>
      </c>
      <c r="B9" s="12" t="n"/>
      <c r="C9" s="10" t="n"/>
      <c r="D9" s="12" t="n"/>
      <c r="E9" s="13" t="n"/>
      <c r="F9" s="14">
        <f>IF(C9="","",N(D9)*N(E9))</f>
        <v/>
      </c>
      <c r="H9" s="9">
        <f>IF('الفواتير'!$E9="يدوية",'الفواتير'!$D9,"")</f>
        <v/>
      </c>
      <c r="I9" s="14">
        <f>IF($H9="","",'الفواتير'!$F9)</f>
        <v/>
      </c>
      <c r="J9" s="14">
        <f>IF($H9="","",SUMIF($B$7:$B$606,$H9,$F$7:$F$606))</f>
        <v/>
      </c>
      <c r="K9" s="15">
        <f>IF($H9="","",IF($H9=0,"⛔ اكتب رقم الفاتورة",IF(COUNTIF($B$7:$B$606,$H9)=0,"🟡 ما انزلت بنودها",IF(ROUND($I9-$J9,3)=0,"✅ خلصت","⛔ فرق "&amp;TEXT($I9-$J9,"0.000")))))</f>
        <v/>
      </c>
      <c r="M9">
        <f>IF(AND($H9&lt;&gt;"",$H9&lt;&gt;0,LEFT($K9,1)&lt;&gt;"✅"),COUNT($M$6:M8)+1,"")</f>
        <v/>
      </c>
      <c r="N9">
        <f>IFERROR(INDEX($H$7:$H$206,MATCH(ROW()-6,$M$7:$M$206,0)),"")</f>
        <v/>
      </c>
    </row>
    <row r="10" ht="21" customHeight="1">
      <c r="A10" s="9">
        <f>IF(C10="","",IF(COUNTIF('الفواتير'!$D$7:$D$206,B10)=0,"⛔",ROW()-6))</f>
        <v/>
      </c>
      <c r="B10" s="12" t="n"/>
      <c r="C10" s="10" t="n"/>
      <c r="D10" s="12" t="n"/>
      <c r="E10" s="13" t="n"/>
      <c r="F10" s="14">
        <f>IF(C10="","",N(D10)*N(E10))</f>
        <v/>
      </c>
      <c r="H10" s="9">
        <f>IF('الفواتير'!$E10="يدوية",'الفواتير'!$D10,"")</f>
        <v/>
      </c>
      <c r="I10" s="14">
        <f>IF($H10="","",'الفواتير'!$F10)</f>
        <v/>
      </c>
      <c r="J10" s="14">
        <f>IF($H10="","",SUMIF($B$7:$B$606,$H10,$F$7:$F$606))</f>
        <v/>
      </c>
      <c r="K10" s="15">
        <f>IF($H10="","",IF($H10=0,"⛔ اكتب رقم الفاتورة",IF(COUNTIF($B$7:$B$606,$H10)=0,"🟡 ما انزلت بنودها",IF(ROUND($I10-$J10,3)=0,"✅ خلصت","⛔ فرق "&amp;TEXT($I10-$J10,"0.000")))))</f>
        <v/>
      </c>
      <c r="M10">
        <f>IF(AND($H10&lt;&gt;"",$H10&lt;&gt;0,LEFT($K10,1)&lt;&gt;"✅"),COUNT($M$6:M9)+1,"")</f>
        <v/>
      </c>
      <c r="N10">
        <f>IFERROR(INDEX($H$7:$H$206,MATCH(ROW()-6,$M$7:$M$206,0)),"")</f>
        <v/>
      </c>
    </row>
    <row r="11" ht="21" customHeight="1">
      <c r="A11" s="9">
        <f>IF(C11="","",IF(COUNTIF('الفواتير'!$D$7:$D$206,B11)=0,"⛔",ROW()-6))</f>
        <v/>
      </c>
      <c r="B11" s="12" t="n"/>
      <c r="C11" s="10" t="n"/>
      <c r="D11" s="12" t="n"/>
      <c r="E11" s="13" t="n"/>
      <c r="F11" s="14">
        <f>IF(C11="","",N(D11)*N(E11))</f>
        <v/>
      </c>
      <c r="H11" s="9">
        <f>IF('الفواتير'!$E11="يدوية",'الفواتير'!$D11,"")</f>
        <v/>
      </c>
      <c r="I11" s="14">
        <f>IF($H11="","",'الفواتير'!$F11)</f>
        <v/>
      </c>
      <c r="J11" s="14">
        <f>IF($H11="","",SUMIF($B$7:$B$606,$H11,$F$7:$F$606))</f>
        <v/>
      </c>
      <c r="K11" s="15">
        <f>IF($H11="","",IF($H11=0,"⛔ اكتب رقم الفاتورة",IF(COUNTIF($B$7:$B$606,$H11)=0,"🟡 ما انزلت بنودها",IF(ROUND($I11-$J11,3)=0,"✅ خلصت","⛔ فرق "&amp;TEXT($I11-$J11,"0.000")))))</f>
        <v/>
      </c>
      <c r="M11">
        <f>IF(AND($H11&lt;&gt;"",$H11&lt;&gt;0,LEFT($K11,1)&lt;&gt;"✅"),COUNT($M$6:M10)+1,"")</f>
        <v/>
      </c>
      <c r="N11">
        <f>IFERROR(INDEX($H$7:$H$206,MATCH(ROW()-6,$M$7:$M$206,0)),"")</f>
        <v/>
      </c>
    </row>
    <row r="12" ht="21" customHeight="1">
      <c r="A12" s="9">
        <f>IF(C12="","",IF(COUNTIF('الفواتير'!$D$7:$D$206,B12)=0,"⛔",ROW()-6))</f>
        <v/>
      </c>
      <c r="B12" s="12" t="n"/>
      <c r="C12" s="10" t="n"/>
      <c r="D12" s="12" t="n"/>
      <c r="E12" s="13" t="n"/>
      <c r="F12" s="14">
        <f>IF(C12="","",N(D12)*N(E12))</f>
        <v/>
      </c>
      <c r="H12" s="9">
        <f>IF('الفواتير'!$E12="يدوية",'الفواتير'!$D12,"")</f>
        <v/>
      </c>
      <c r="I12" s="14">
        <f>IF($H12="","",'الفواتير'!$F12)</f>
        <v/>
      </c>
      <c r="J12" s="14">
        <f>IF($H12="","",SUMIF($B$7:$B$606,$H12,$F$7:$F$606))</f>
        <v/>
      </c>
      <c r="K12" s="15">
        <f>IF($H12="","",IF($H12=0,"⛔ اكتب رقم الفاتورة",IF(COUNTIF($B$7:$B$606,$H12)=0,"🟡 ما انزلت بنودها",IF(ROUND($I12-$J12,3)=0,"✅ خلصت","⛔ فرق "&amp;TEXT($I12-$J12,"0.000")))))</f>
        <v/>
      </c>
      <c r="M12">
        <f>IF(AND($H12&lt;&gt;"",$H12&lt;&gt;0,LEFT($K12,1)&lt;&gt;"✅"),COUNT($M$6:M11)+1,"")</f>
        <v/>
      </c>
      <c r="N12">
        <f>IFERROR(INDEX($H$7:$H$206,MATCH(ROW()-6,$M$7:$M$206,0)),"")</f>
        <v/>
      </c>
    </row>
    <row r="13" ht="21" customHeight="1">
      <c r="A13" s="9">
        <f>IF(C13="","",IF(COUNTIF('الفواتير'!$D$7:$D$206,B13)=0,"⛔",ROW()-6))</f>
        <v/>
      </c>
      <c r="B13" s="12" t="n"/>
      <c r="C13" s="10" t="n"/>
      <c r="D13" s="12" t="n"/>
      <c r="E13" s="13" t="n"/>
      <c r="F13" s="14">
        <f>IF(C13="","",N(D13)*N(E13))</f>
        <v/>
      </c>
      <c r="H13" s="9">
        <f>IF('الفواتير'!$E13="يدوية",'الفواتير'!$D13,"")</f>
        <v/>
      </c>
      <c r="I13" s="14">
        <f>IF($H13="","",'الفواتير'!$F13)</f>
        <v/>
      </c>
      <c r="J13" s="14">
        <f>IF($H13="","",SUMIF($B$7:$B$606,$H13,$F$7:$F$606))</f>
        <v/>
      </c>
      <c r="K13" s="15">
        <f>IF($H13="","",IF($H13=0,"⛔ اكتب رقم الفاتورة",IF(COUNTIF($B$7:$B$606,$H13)=0,"🟡 ما انزلت بنودها",IF(ROUND($I13-$J13,3)=0,"✅ خلصت","⛔ فرق "&amp;TEXT($I13-$J13,"0.000")))))</f>
        <v/>
      </c>
      <c r="M13">
        <f>IF(AND($H13&lt;&gt;"",$H13&lt;&gt;0,LEFT($K13,1)&lt;&gt;"✅"),COUNT($M$6:M12)+1,"")</f>
        <v/>
      </c>
      <c r="N13">
        <f>IFERROR(INDEX($H$7:$H$206,MATCH(ROW()-6,$M$7:$M$206,0)),"")</f>
        <v/>
      </c>
    </row>
    <row r="14" ht="21" customHeight="1">
      <c r="A14" s="9">
        <f>IF(C14="","",IF(COUNTIF('الفواتير'!$D$7:$D$206,B14)=0,"⛔",ROW()-6))</f>
        <v/>
      </c>
      <c r="B14" s="12" t="n"/>
      <c r="C14" s="10" t="n"/>
      <c r="D14" s="12" t="n"/>
      <c r="E14" s="13" t="n"/>
      <c r="F14" s="14">
        <f>IF(C14="","",N(D14)*N(E14))</f>
        <v/>
      </c>
      <c r="H14" s="9">
        <f>IF('الفواتير'!$E14="يدوية",'الفواتير'!$D14,"")</f>
        <v/>
      </c>
      <c r="I14" s="14">
        <f>IF($H14="","",'الفواتير'!$F14)</f>
        <v/>
      </c>
      <c r="J14" s="14">
        <f>IF($H14="","",SUMIF($B$7:$B$606,$H14,$F$7:$F$606))</f>
        <v/>
      </c>
      <c r="K14" s="15">
        <f>IF($H14="","",IF($H14=0,"⛔ اكتب رقم الفاتورة",IF(COUNTIF($B$7:$B$606,$H14)=0,"🟡 ما انزلت بنودها",IF(ROUND($I14-$J14,3)=0,"✅ خلصت","⛔ فرق "&amp;TEXT($I14-$J14,"0.000")))))</f>
        <v/>
      </c>
      <c r="M14">
        <f>IF(AND($H14&lt;&gt;"",$H14&lt;&gt;0,LEFT($K14,1)&lt;&gt;"✅"),COUNT($M$6:M13)+1,"")</f>
        <v/>
      </c>
      <c r="N14">
        <f>IFERROR(INDEX($H$7:$H$206,MATCH(ROW()-6,$M$7:$M$206,0)),"")</f>
        <v/>
      </c>
    </row>
    <row r="15" ht="21" customHeight="1">
      <c r="A15" s="9">
        <f>IF(C15="","",IF(COUNTIF('الفواتير'!$D$7:$D$206,B15)=0,"⛔",ROW()-6))</f>
        <v/>
      </c>
      <c r="B15" s="12" t="n"/>
      <c r="C15" s="10" t="n"/>
      <c r="D15" s="12" t="n"/>
      <c r="E15" s="13" t="n"/>
      <c r="F15" s="14">
        <f>IF(C15="","",N(D15)*N(E15))</f>
        <v/>
      </c>
      <c r="H15" s="9">
        <f>IF('الفواتير'!$E15="يدوية",'الفواتير'!$D15,"")</f>
        <v/>
      </c>
      <c r="I15" s="14">
        <f>IF($H15="","",'الفواتير'!$F15)</f>
        <v/>
      </c>
      <c r="J15" s="14">
        <f>IF($H15="","",SUMIF($B$7:$B$606,$H15,$F$7:$F$606))</f>
        <v/>
      </c>
      <c r="K15" s="15">
        <f>IF($H15="","",IF($H15=0,"⛔ اكتب رقم الفاتورة",IF(COUNTIF($B$7:$B$606,$H15)=0,"🟡 ما انزلت بنودها",IF(ROUND($I15-$J15,3)=0,"✅ خلصت","⛔ فرق "&amp;TEXT($I15-$J15,"0.000")))))</f>
        <v/>
      </c>
      <c r="M15">
        <f>IF(AND($H15&lt;&gt;"",$H15&lt;&gt;0,LEFT($K15,1)&lt;&gt;"✅"),COUNT($M$6:M14)+1,"")</f>
        <v/>
      </c>
      <c r="N15">
        <f>IFERROR(INDEX($H$7:$H$206,MATCH(ROW()-6,$M$7:$M$206,0)),"")</f>
        <v/>
      </c>
    </row>
    <row r="16" ht="21" customHeight="1">
      <c r="A16" s="9">
        <f>IF(C16="","",IF(COUNTIF('الفواتير'!$D$7:$D$206,B16)=0,"⛔",ROW()-6))</f>
        <v/>
      </c>
      <c r="B16" s="12" t="n"/>
      <c r="C16" s="10" t="n"/>
      <c r="D16" s="12" t="n"/>
      <c r="E16" s="13" t="n"/>
      <c r="F16" s="14">
        <f>IF(C16="","",N(D16)*N(E16))</f>
        <v/>
      </c>
      <c r="H16" s="9">
        <f>IF('الفواتير'!$E16="يدوية",'الفواتير'!$D16,"")</f>
        <v/>
      </c>
      <c r="I16" s="14">
        <f>IF($H16="","",'الفواتير'!$F16)</f>
        <v/>
      </c>
      <c r="J16" s="14">
        <f>IF($H16="","",SUMIF($B$7:$B$606,$H16,$F$7:$F$606))</f>
        <v/>
      </c>
      <c r="K16" s="15">
        <f>IF($H16="","",IF($H16=0,"⛔ اكتب رقم الفاتورة",IF(COUNTIF($B$7:$B$606,$H16)=0,"🟡 ما انزلت بنودها",IF(ROUND($I16-$J16,3)=0,"✅ خلصت","⛔ فرق "&amp;TEXT($I16-$J16,"0.000")))))</f>
        <v/>
      </c>
      <c r="M16">
        <f>IF(AND($H16&lt;&gt;"",$H16&lt;&gt;0,LEFT($K16,1)&lt;&gt;"✅"),COUNT($M$6:M15)+1,"")</f>
        <v/>
      </c>
      <c r="N16">
        <f>IFERROR(INDEX($H$7:$H$206,MATCH(ROW()-6,$M$7:$M$206,0)),"")</f>
        <v/>
      </c>
    </row>
    <row r="17" ht="21" customHeight="1">
      <c r="A17" s="9">
        <f>IF(C17="","",IF(COUNTIF('الفواتير'!$D$7:$D$206,B17)=0,"⛔",ROW()-6))</f>
        <v/>
      </c>
      <c r="B17" s="12" t="n"/>
      <c r="C17" s="10" t="n"/>
      <c r="D17" s="12" t="n"/>
      <c r="E17" s="13" t="n"/>
      <c r="F17" s="14">
        <f>IF(C17="","",N(D17)*N(E17))</f>
        <v/>
      </c>
      <c r="H17" s="9">
        <f>IF('الفواتير'!$E17="يدوية",'الفواتير'!$D17,"")</f>
        <v/>
      </c>
      <c r="I17" s="14">
        <f>IF($H17="","",'الفواتير'!$F17)</f>
        <v/>
      </c>
      <c r="J17" s="14">
        <f>IF($H17="","",SUMIF($B$7:$B$606,$H17,$F$7:$F$606))</f>
        <v/>
      </c>
      <c r="K17" s="15">
        <f>IF($H17="","",IF($H17=0,"⛔ اكتب رقم الفاتورة",IF(COUNTIF($B$7:$B$606,$H17)=0,"🟡 ما انزلت بنودها",IF(ROUND($I17-$J17,3)=0,"✅ خلصت","⛔ فرق "&amp;TEXT($I17-$J17,"0.000")))))</f>
        <v/>
      </c>
      <c r="M17">
        <f>IF(AND($H17&lt;&gt;"",$H17&lt;&gt;0,LEFT($K17,1)&lt;&gt;"✅"),COUNT($M$6:M16)+1,"")</f>
        <v/>
      </c>
      <c r="N17">
        <f>IFERROR(INDEX($H$7:$H$206,MATCH(ROW()-6,$M$7:$M$206,0)),"")</f>
        <v/>
      </c>
    </row>
    <row r="18" ht="21" customHeight="1">
      <c r="A18" s="9">
        <f>IF(C18="","",IF(COUNTIF('الفواتير'!$D$7:$D$206,B18)=0,"⛔",ROW()-6))</f>
        <v/>
      </c>
      <c r="B18" s="12" t="n"/>
      <c r="C18" s="10" t="n"/>
      <c r="D18" s="12" t="n"/>
      <c r="E18" s="13" t="n"/>
      <c r="F18" s="14">
        <f>IF(C18="","",N(D18)*N(E18))</f>
        <v/>
      </c>
      <c r="H18" s="9">
        <f>IF('الفواتير'!$E18="يدوية",'الفواتير'!$D18,"")</f>
        <v/>
      </c>
      <c r="I18" s="14">
        <f>IF($H18="","",'الفواتير'!$F18)</f>
        <v/>
      </c>
      <c r="J18" s="14">
        <f>IF($H18="","",SUMIF($B$7:$B$606,$H18,$F$7:$F$606))</f>
        <v/>
      </c>
      <c r="K18" s="15">
        <f>IF($H18="","",IF($H18=0,"⛔ اكتب رقم الفاتورة",IF(COUNTIF($B$7:$B$606,$H18)=0,"🟡 ما انزلت بنودها",IF(ROUND($I18-$J18,3)=0,"✅ خلصت","⛔ فرق "&amp;TEXT($I18-$J18,"0.000")))))</f>
        <v/>
      </c>
      <c r="M18">
        <f>IF(AND($H18&lt;&gt;"",$H18&lt;&gt;0,LEFT($K18,1)&lt;&gt;"✅"),COUNT($M$6:M17)+1,"")</f>
        <v/>
      </c>
      <c r="N18">
        <f>IFERROR(INDEX($H$7:$H$206,MATCH(ROW()-6,$M$7:$M$206,0)),"")</f>
        <v/>
      </c>
    </row>
    <row r="19" ht="21" customHeight="1">
      <c r="A19" s="9">
        <f>IF(C19="","",IF(COUNTIF('الفواتير'!$D$7:$D$206,B19)=0,"⛔",ROW()-6))</f>
        <v/>
      </c>
      <c r="B19" s="12" t="n"/>
      <c r="C19" s="10" t="n"/>
      <c r="D19" s="12" t="n"/>
      <c r="E19" s="13" t="n"/>
      <c r="F19" s="14">
        <f>IF(C19="","",N(D19)*N(E19))</f>
        <v/>
      </c>
      <c r="H19" s="9">
        <f>IF('الفواتير'!$E19="يدوية",'الفواتير'!$D19,"")</f>
        <v/>
      </c>
      <c r="I19" s="14">
        <f>IF($H19="","",'الفواتير'!$F19)</f>
        <v/>
      </c>
      <c r="J19" s="14">
        <f>IF($H19="","",SUMIF($B$7:$B$606,$H19,$F$7:$F$606))</f>
        <v/>
      </c>
      <c r="K19" s="15">
        <f>IF($H19="","",IF($H19=0,"⛔ اكتب رقم الفاتورة",IF(COUNTIF($B$7:$B$606,$H19)=0,"🟡 ما انزلت بنودها",IF(ROUND($I19-$J19,3)=0,"✅ خلصت","⛔ فرق "&amp;TEXT($I19-$J19,"0.000")))))</f>
        <v/>
      </c>
      <c r="M19">
        <f>IF(AND($H19&lt;&gt;"",$H19&lt;&gt;0,LEFT($K19,1)&lt;&gt;"✅"),COUNT($M$6:M18)+1,"")</f>
        <v/>
      </c>
      <c r="N19">
        <f>IFERROR(INDEX($H$7:$H$206,MATCH(ROW()-6,$M$7:$M$206,0)),"")</f>
        <v/>
      </c>
    </row>
    <row r="20" ht="21" customHeight="1">
      <c r="A20" s="9">
        <f>IF(C20="","",IF(COUNTIF('الفواتير'!$D$7:$D$206,B20)=0,"⛔",ROW()-6))</f>
        <v/>
      </c>
      <c r="B20" s="12" t="n"/>
      <c r="C20" s="10" t="n"/>
      <c r="D20" s="12" t="n"/>
      <c r="E20" s="13" t="n"/>
      <c r="F20" s="14">
        <f>IF(C20="","",N(D20)*N(E20))</f>
        <v/>
      </c>
      <c r="H20" s="9">
        <f>IF('الفواتير'!$E20="يدوية",'الفواتير'!$D20,"")</f>
        <v/>
      </c>
      <c r="I20" s="14">
        <f>IF($H20="","",'الفواتير'!$F20)</f>
        <v/>
      </c>
      <c r="J20" s="14">
        <f>IF($H20="","",SUMIF($B$7:$B$606,$H20,$F$7:$F$606))</f>
        <v/>
      </c>
      <c r="K20" s="15">
        <f>IF($H20="","",IF($H20=0,"⛔ اكتب رقم الفاتورة",IF(COUNTIF($B$7:$B$606,$H20)=0,"🟡 ما انزلت بنودها",IF(ROUND($I20-$J20,3)=0,"✅ خلصت","⛔ فرق "&amp;TEXT($I20-$J20,"0.000")))))</f>
        <v/>
      </c>
      <c r="M20">
        <f>IF(AND($H20&lt;&gt;"",$H20&lt;&gt;0,LEFT($K20,1)&lt;&gt;"✅"),COUNT($M$6:M19)+1,"")</f>
        <v/>
      </c>
      <c r="N20">
        <f>IFERROR(INDEX($H$7:$H$206,MATCH(ROW()-6,$M$7:$M$206,0)),"")</f>
        <v/>
      </c>
    </row>
    <row r="21" ht="21" customHeight="1">
      <c r="A21" s="9">
        <f>IF(C21="","",IF(COUNTIF('الفواتير'!$D$7:$D$206,B21)=0,"⛔",ROW()-6))</f>
        <v/>
      </c>
      <c r="B21" s="12" t="n"/>
      <c r="C21" s="10" t="n"/>
      <c r="D21" s="12" t="n"/>
      <c r="E21" s="13" t="n"/>
      <c r="F21" s="14">
        <f>IF(C21="","",N(D21)*N(E21))</f>
        <v/>
      </c>
      <c r="H21" s="9">
        <f>IF('الفواتير'!$E21="يدوية",'الفواتير'!$D21,"")</f>
        <v/>
      </c>
      <c r="I21" s="14">
        <f>IF($H21="","",'الفواتير'!$F21)</f>
        <v/>
      </c>
      <c r="J21" s="14">
        <f>IF($H21="","",SUMIF($B$7:$B$606,$H21,$F$7:$F$606))</f>
        <v/>
      </c>
      <c r="K21" s="15">
        <f>IF($H21="","",IF($H21=0,"⛔ اكتب رقم الفاتورة",IF(COUNTIF($B$7:$B$606,$H21)=0,"🟡 ما انزلت بنودها",IF(ROUND($I21-$J21,3)=0,"✅ خلصت","⛔ فرق "&amp;TEXT($I21-$J21,"0.000")))))</f>
        <v/>
      </c>
      <c r="M21">
        <f>IF(AND($H21&lt;&gt;"",$H21&lt;&gt;0,LEFT($K21,1)&lt;&gt;"✅"),COUNT($M$6:M20)+1,"")</f>
        <v/>
      </c>
      <c r="N21">
        <f>IFERROR(INDEX($H$7:$H$206,MATCH(ROW()-6,$M$7:$M$206,0)),"")</f>
        <v/>
      </c>
    </row>
    <row r="22" ht="21" customHeight="1">
      <c r="A22" s="9">
        <f>IF(C22="","",IF(COUNTIF('الفواتير'!$D$7:$D$206,B22)=0,"⛔",ROW()-6))</f>
        <v/>
      </c>
      <c r="B22" s="12" t="n"/>
      <c r="C22" s="10" t="n"/>
      <c r="D22" s="12" t="n"/>
      <c r="E22" s="13" t="n"/>
      <c r="F22" s="14">
        <f>IF(C22="","",N(D22)*N(E22))</f>
        <v/>
      </c>
      <c r="H22" s="9">
        <f>IF('الفواتير'!$E22="يدوية",'الفواتير'!$D22,"")</f>
        <v/>
      </c>
      <c r="I22" s="14">
        <f>IF($H22="","",'الفواتير'!$F22)</f>
        <v/>
      </c>
      <c r="J22" s="14">
        <f>IF($H22="","",SUMIF($B$7:$B$606,$H22,$F$7:$F$606))</f>
        <v/>
      </c>
      <c r="K22" s="15">
        <f>IF($H22="","",IF($H22=0,"⛔ اكتب رقم الفاتورة",IF(COUNTIF($B$7:$B$606,$H22)=0,"🟡 ما انزلت بنودها",IF(ROUND($I22-$J22,3)=0,"✅ خلصت","⛔ فرق "&amp;TEXT($I22-$J22,"0.000")))))</f>
        <v/>
      </c>
      <c r="M22">
        <f>IF(AND($H22&lt;&gt;"",$H22&lt;&gt;0,LEFT($K22,1)&lt;&gt;"✅"),COUNT($M$6:M21)+1,"")</f>
        <v/>
      </c>
      <c r="N22">
        <f>IFERROR(INDEX($H$7:$H$206,MATCH(ROW()-6,$M$7:$M$206,0)),"")</f>
        <v/>
      </c>
    </row>
    <row r="23" ht="21" customHeight="1">
      <c r="A23" s="9">
        <f>IF(C23="","",IF(COUNTIF('الفواتير'!$D$7:$D$206,B23)=0,"⛔",ROW()-6))</f>
        <v/>
      </c>
      <c r="B23" s="12" t="n"/>
      <c r="C23" s="10" t="n"/>
      <c r="D23" s="12" t="n"/>
      <c r="E23" s="13" t="n"/>
      <c r="F23" s="14">
        <f>IF(C23="","",N(D23)*N(E23))</f>
        <v/>
      </c>
      <c r="H23" s="9">
        <f>IF('الفواتير'!$E23="يدوية",'الفواتير'!$D23,"")</f>
        <v/>
      </c>
      <c r="I23" s="14">
        <f>IF($H23="","",'الفواتير'!$F23)</f>
        <v/>
      </c>
      <c r="J23" s="14">
        <f>IF($H23="","",SUMIF($B$7:$B$606,$H23,$F$7:$F$606))</f>
        <v/>
      </c>
      <c r="K23" s="15">
        <f>IF($H23="","",IF($H23=0,"⛔ اكتب رقم الفاتورة",IF(COUNTIF($B$7:$B$606,$H23)=0,"🟡 ما انزلت بنودها",IF(ROUND($I23-$J23,3)=0,"✅ خلصت","⛔ فرق "&amp;TEXT($I23-$J23,"0.000")))))</f>
        <v/>
      </c>
      <c r="M23">
        <f>IF(AND($H23&lt;&gt;"",$H23&lt;&gt;0,LEFT($K23,1)&lt;&gt;"✅"),COUNT($M$6:M22)+1,"")</f>
        <v/>
      </c>
      <c r="N23">
        <f>IFERROR(INDEX($H$7:$H$206,MATCH(ROW()-6,$M$7:$M$206,0)),"")</f>
        <v/>
      </c>
    </row>
    <row r="24" ht="21" customHeight="1">
      <c r="A24" s="9">
        <f>IF(C24="","",IF(COUNTIF('الفواتير'!$D$7:$D$206,B24)=0,"⛔",ROW()-6))</f>
        <v/>
      </c>
      <c r="B24" s="12" t="n"/>
      <c r="C24" s="10" t="n"/>
      <c r="D24" s="12" t="n"/>
      <c r="E24" s="13" t="n"/>
      <c r="F24" s="14">
        <f>IF(C24="","",N(D24)*N(E24))</f>
        <v/>
      </c>
      <c r="H24" s="9">
        <f>IF('الفواتير'!$E24="يدوية",'الفواتير'!$D24,"")</f>
        <v/>
      </c>
      <c r="I24" s="14">
        <f>IF($H24="","",'الفواتير'!$F24)</f>
        <v/>
      </c>
      <c r="J24" s="14">
        <f>IF($H24="","",SUMIF($B$7:$B$606,$H24,$F$7:$F$606))</f>
        <v/>
      </c>
      <c r="K24" s="15">
        <f>IF($H24="","",IF($H24=0,"⛔ اكتب رقم الفاتورة",IF(COUNTIF($B$7:$B$606,$H24)=0,"🟡 ما انزلت بنودها",IF(ROUND($I24-$J24,3)=0,"✅ خلصت","⛔ فرق "&amp;TEXT($I24-$J24,"0.000")))))</f>
        <v/>
      </c>
      <c r="M24">
        <f>IF(AND($H24&lt;&gt;"",$H24&lt;&gt;0,LEFT($K24,1)&lt;&gt;"✅"),COUNT($M$6:M23)+1,"")</f>
        <v/>
      </c>
      <c r="N24">
        <f>IFERROR(INDEX($H$7:$H$206,MATCH(ROW()-6,$M$7:$M$206,0)),"")</f>
        <v/>
      </c>
    </row>
    <row r="25" ht="21" customHeight="1">
      <c r="A25" s="9">
        <f>IF(C25="","",IF(COUNTIF('الفواتير'!$D$7:$D$206,B25)=0,"⛔",ROW()-6))</f>
        <v/>
      </c>
      <c r="B25" s="12" t="n"/>
      <c r="C25" s="10" t="n"/>
      <c r="D25" s="12" t="n"/>
      <c r="E25" s="13" t="n"/>
      <c r="F25" s="14">
        <f>IF(C25="","",N(D25)*N(E25))</f>
        <v/>
      </c>
      <c r="H25" s="9">
        <f>IF('الفواتير'!$E25="يدوية",'الفواتير'!$D25,"")</f>
        <v/>
      </c>
      <c r="I25" s="14">
        <f>IF($H25="","",'الفواتير'!$F25)</f>
        <v/>
      </c>
      <c r="J25" s="14">
        <f>IF($H25="","",SUMIF($B$7:$B$606,$H25,$F$7:$F$606))</f>
        <v/>
      </c>
      <c r="K25" s="15">
        <f>IF($H25="","",IF($H25=0,"⛔ اكتب رقم الفاتورة",IF(COUNTIF($B$7:$B$606,$H25)=0,"🟡 ما انزلت بنودها",IF(ROUND($I25-$J25,3)=0,"✅ خلصت","⛔ فرق "&amp;TEXT($I25-$J25,"0.000")))))</f>
        <v/>
      </c>
      <c r="M25">
        <f>IF(AND($H25&lt;&gt;"",$H25&lt;&gt;0,LEFT($K25,1)&lt;&gt;"✅"),COUNT($M$6:M24)+1,"")</f>
        <v/>
      </c>
      <c r="N25">
        <f>IFERROR(INDEX($H$7:$H$206,MATCH(ROW()-6,$M$7:$M$206,0)),"")</f>
        <v/>
      </c>
    </row>
    <row r="26" ht="21" customHeight="1">
      <c r="A26" s="9">
        <f>IF(C26="","",IF(COUNTIF('الفواتير'!$D$7:$D$206,B26)=0,"⛔",ROW()-6))</f>
        <v/>
      </c>
      <c r="B26" s="12" t="n"/>
      <c r="C26" s="10" t="n"/>
      <c r="D26" s="12" t="n"/>
      <c r="E26" s="13" t="n"/>
      <c r="F26" s="14">
        <f>IF(C26="","",N(D26)*N(E26))</f>
        <v/>
      </c>
      <c r="H26" s="9">
        <f>IF('الفواتير'!$E26="يدوية",'الفواتير'!$D26,"")</f>
        <v/>
      </c>
      <c r="I26" s="14">
        <f>IF($H26="","",'الفواتير'!$F26)</f>
        <v/>
      </c>
      <c r="J26" s="14">
        <f>IF($H26="","",SUMIF($B$7:$B$606,$H26,$F$7:$F$606))</f>
        <v/>
      </c>
      <c r="K26" s="15">
        <f>IF($H26="","",IF($H26=0,"⛔ اكتب رقم الفاتورة",IF(COUNTIF($B$7:$B$606,$H26)=0,"🟡 ما انزلت بنودها",IF(ROUND($I26-$J26,3)=0,"✅ خلصت","⛔ فرق "&amp;TEXT($I26-$J26,"0.000")))))</f>
        <v/>
      </c>
      <c r="M26">
        <f>IF(AND($H26&lt;&gt;"",$H26&lt;&gt;0,LEFT($K26,1)&lt;&gt;"✅"),COUNT($M$6:M25)+1,"")</f>
        <v/>
      </c>
      <c r="N26">
        <f>IFERROR(INDEX($H$7:$H$206,MATCH(ROW()-6,$M$7:$M$206,0)),"")</f>
        <v/>
      </c>
    </row>
    <row r="27" ht="21" customHeight="1">
      <c r="A27" s="9">
        <f>IF(C27="","",IF(COUNTIF('الفواتير'!$D$7:$D$206,B27)=0,"⛔",ROW()-6))</f>
        <v/>
      </c>
      <c r="B27" s="12" t="n"/>
      <c r="C27" s="10" t="n"/>
      <c r="D27" s="12" t="n"/>
      <c r="E27" s="13" t="n"/>
      <c r="F27" s="14">
        <f>IF(C27="","",N(D27)*N(E27))</f>
        <v/>
      </c>
      <c r="H27" s="9">
        <f>IF('الفواتير'!$E27="يدوية",'الفواتير'!$D27,"")</f>
        <v/>
      </c>
      <c r="I27" s="14">
        <f>IF($H27="","",'الفواتير'!$F27)</f>
        <v/>
      </c>
      <c r="J27" s="14">
        <f>IF($H27="","",SUMIF($B$7:$B$606,$H27,$F$7:$F$606))</f>
        <v/>
      </c>
      <c r="K27" s="15">
        <f>IF($H27="","",IF($H27=0,"⛔ اكتب رقم الفاتورة",IF(COUNTIF($B$7:$B$606,$H27)=0,"🟡 ما انزلت بنودها",IF(ROUND($I27-$J27,3)=0,"✅ خلصت","⛔ فرق "&amp;TEXT($I27-$J27,"0.000")))))</f>
        <v/>
      </c>
      <c r="M27">
        <f>IF(AND($H27&lt;&gt;"",$H27&lt;&gt;0,LEFT($K27,1)&lt;&gt;"✅"),COUNT($M$6:M26)+1,"")</f>
        <v/>
      </c>
      <c r="N27">
        <f>IFERROR(INDEX($H$7:$H$206,MATCH(ROW()-6,$M$7:$M$206,0)),"")</f>
        <v/>
      </c>
    </row>
    <row r="28" ht="21" customHeight="1">
      <c r="A28" s="9">
        <f>IF(C28="","",IF(COUNTIF('الفواتير'!$D$7:$D$206,B28)=0,"⛔",ROW()-6))</f>
        <v/>
      </c>
      <c r="B28" s="12" t="n"/>
      <c r="C28" s="10" t="n"/>
      <c r="D28" s="12" t="n"/>
      <c r="E28" s="13" t="n"/>
      <c r="F28" s="14">
        <f>IF(C28="","",N(D28)*N(E28))</f>
        <v/>
      </c>
      <c r="H28" s="9">
        <f>IF('الفواتير'!$E28="يدوية",'الفواتير'!$D28,"")</f>
        <v/>
      </c>
      <c r="I28" s="14">
        <f>IF($H28="","",'الفواتير'!$F28)</f>
        <v/>
      </c>
      <c r="J28" s="14">
        <f>IF($H28="","",SUMIF($B$7:$B$606,$H28,$F$7:$F$606))</f>
        <v/>
      </c>
      <c r="K28" s="15">
        <f>IF($H28="","",IF($H28=0,"⛔ اكتب رقم الفاتورة",IF(COUNTIF($B$7:$B$606,$H28)=0,"🟡 ما انزلت بنودها",IF(ROUND($I28-$J28,3)=0,"✅ خلصت","⛔ فرق "&amp;TEXT($I28-$J28,"0.000")))))</f>
        <v/>
      </c>
      <c r="M28">
        <f>IF(AND($H28&lt;&gt;"",$H28&lt;&gt;0,LEFT($K28,1)&lt;&gt;"✅"),COUNT($M$6:M27)+1,"")</f>
        <v/>
      </c>
      <c r="N28">
        <f>IFERROR(INDEX($H$7:$H$206,MATCH(ROW()-6,$M$7:$M$206,0)),"")</f>
        <v/>
      </c>
    </row>
    <row r="29" ht="21" customHeight="1">
      <c r="A29" s="9">
        <f>IF(C29="","",IF(COUNTIF('الفواتير'!$D$7:$D$206,B29)=0,"⛔",ROW()-6))</f>
        <v/>
      </c>
      <c r="B29" s="12" t="n"/>
      <c r="C29" s="10" t="n"/>
      <c r="D29" s="12" t="n"/>
      <c r="E29" s="13" t="n"/>
      <c r="F29" s="14">
        <f>IF(C29="","",N(D29)*N(E29))</f>
        <v/>
      </c>
      <c r="H29" s="9">
        <f>IF('الفواتير'!$E29="يدوية",'الفواتير'!$D29,"")</f>
        <v/>
      </c>
      <c r="I29" s="14">
        <f>IF($H29="","",'الفواتير'!$F29)</f>
        <v/>
      </c>
      <c r="J29" s="14">
        <f>IF($H29="","",SUMIF($B$7:$B$606,$H29,$F$7:$F$606))</f>
        <v/>
      </c>
      <c r="K29" s="15">
        <f>IF($H29="","",IF($H29=0,"⛔ اكتب رقم الفاتورة",IF(COUNTIF($B$7:$B$606,$H29)=0,"🟡 ما انزلت بنودها",IF(ROUND($I29-$J29,3)=0,"✅ خلصت","⛔ فرق "&amp;TEXT($I29-$J29,"0.000")))))</f>
        <v/>
      </c>
      <c r="M29">
        <f>IF(AND($H29&lt;&gt;"",$H29&lt;&gt;0,LEFT($K29,1)&lt;&gt;"✅"),COUNT($M$6:M28)+1,"")</f>
        <v/>
      </c>
      <c r="N29">
        <f>IFERROR(INDEX($H$7:$H$206,MATCH(ROW()-6,$M$7:$M$206,0)),"")</f>
        <v/>
      </c>
    </row>
    <row r="30" ht="21" customHeight="1">
      <c r="A30" s="9">
        <f>IF(C30="","",IF(COUNTIF('الفواتير'!$D$7:$D$206,B30)=0,"⛔",ROW()-6))</f>
        <v/>
      </c>
      <c r="B30" s="12" t="n"/>
      <c r="C30" s="10" t="n"/>
      <c r="D30" s="12" t="n"/>
      <c r="E30" s="13" t="n"/>
      <c r="F30" s="14">
        <f>IF(C30="","",N(D30)*N(E30))</f>
        <v/>
      </c>
      <c r="H30" s="9">
        <f>IF('الفواتير'!$E30="يدوية",'الفواتير'!$D30,"")</f>
        <v/>
      </c>
      <c r="I30" s="14">
        <f>IF($H30="","",'الفواتير'!$F30)</f>
        <v/>
      </c>
      <c r="J30" s="14">
        <f>IF($H30="","",SUMIF($B$7:$B$606,$H30,$F$7:$F$606))</f>
        <v/>
      </c>
      <c r="K30" s="15">
        <f>IF($H30="","",IF($H30=0,"⛔ اكتب رقم الفاتورة",IF(COUNTIF($B$7:$B$606,$H30)=0,"🟡 ما انزلت بنودها",IF(ROUND($I30-$J30,3)=0,"✅ خلصت","⛔ فرق "&amp;TEXT($I30-$J30,"0.000")))))</f>
        <v/>
      </c>
      <c r="M30">
        <f>IF(AND($H30&lt;&gt;"",$H30&lt;&gt;0,LEFT($K30,1)&lt;&gt;"✅"),COUNT($M$6:M29)+1,"")</f>
        <v/>
      </c>
      <c r="N30">
        <f>IFERROR(INDEX($H$7:$H$206,MATCH(ROW()-6,$M$7:$M$206,0)),"")</f>
        <v/>
      </c>
    </row>
    <row r="31" ht="21" customHeight="1">
      <c r="A31" s="9">
        <f>IF(C31="","",IF(COUNTIF('الفواتير'!$D$7:$D$206,B31)=0,"⛔",ROW()-6))</f>
        <v/>
      </c>
      <c r="B31" s="12" t="n"/>
      <c r="C31" s="10" t="n"/>
      <c r="D31" s="12" t="n"/>
      <c r="E31" s="13" t="n"/>
      <c r="F31" s="14">
        <f>IF(C31="","",N(D31)*N(E31))</f>
        <v/>
      </c>
      <c r="H31" s="9">
        <f>IF('الفواتير'!$E31="يدوية",'الفواتير'!$D31,"")</f>
        <v/>
      </c>
      <c r="I31" s="14">
        <f>IF($H31="","",'الفواتير'!$F31)</f>
        <v/>
      </c>
      <c r="J31" s="14">
        <f>IF($H31="","",SUMIF($B$7:$B$606,$H31,$F$7:$F$606))</f>
        <v/>
      </c>
      <c r="K31" s="15">
        <f>IF($H31="","",IF($H31=0,"⛔ اكتب رقم الفاتورة",IF(COUNTIF($B$7:$B$606,$H31)=0,"🟡 ما انزلت بنودها",IF(ROUND($I31-$J31,3)=0,"✅ خلصت","⛔ فرق "&amp;TEXT($I31-$J31,"0.000")))))</f>
        <v/>
      </c>
      <c r="M31">
        <f>IF(AND($H31&lt;&gt;"",$H31&lt;&gt;0,LEFT($K31,1)&lt;&gt;"✅"),COUNT($M$6:M30)+1,"")</f>
        <v/>
      </c>
      <c r="N31">
        <f>IFERROR(INDEX($H$7:$H$206,MATCH(ROW()-6,$M$7:$M$206,0)),"")</f>
        <v/>
      </c>
    </row>
    <row r="32" ht="21" customHeight="1">
      <c r="A32" s="9">
        <f>IF(C32="","",IF(COUNTIF('الفواتير'!$D$7:$D$206,B32)=0,"⛔",ROW()-6))</f>
        <v/>
      </c>
      <c r="B32" s="12" t="n"/>
      <c r="C32" s="10" t="n"/>
      <c r="D32" s="12" t="n"/>
      <c r="E32" s="13" t="n"/>
      <c r="F32" s="14">
        <f>IF(C32="","",N(D32)*N(E32))</f>
        <v/>
      </c>
      <c r="H32" s="9">
        <f>IF('الفواتير'!$E32="يدوية",'الفواتير'!$D32,"")</f>
        <v/>
      </c>
      <c r="I32" s="14">
        <f>IF($H32="","",'الفواتير'!$F32)</f>
        <v/>
      </c>
      <c r="J32" s="14">
        <f>IF($H32="","",SUMIF($B$7:$B$606,$H32,$F$7:$F$606))</f>
        <v/>
      </c>
      <c r="K32" s="15">
        <f>IF($H32="","",IF($H32=0,"⛔ اكتب رقم الفاتورة",IF(COUNTIF($B$7:$B$606,$H32)=0,"🟡 ما انزلت بنودها",IF(ROUND($I32-$J32,3)=0,"✅ خلصت","⛔ فرق "&amp;TEXT($I32-$J32,"0.000")))))</f>
        <v/>
      </c>
      <c r="M32">
        <f>IF(AND($H32&lt;&gt;"",$H32&lt;&gt;0,LEFT($K32,1)&lt;&gt;"✅"),COUNT($M$6:M31)+1,"")</f>
        <v/>
      </c>
      <c r="N32">
        <f>IFERROR(INDEX($H$7:$H$206,MATCH(ROW()-6,$M$7:$M$206,0)),"")</f>
        <v/>
      </c>
    </row>
    <row r="33" ht="21" customHeight="1">
      <c r="A33" s="9">
        <f>IF(C33="","",IF(COUNTIF('الفواتير'!$D$7:$D$206,B33)=0,"⛔",ROW()-6))</f>
        <v/>
      </c>
      <c r="B33" s="12" t="n"/>
      <c r="C33" s="10" t="n"/>
      <c r="D33" s="12" t="n"/>
      <c r="E33" s="13" t="n"/>
      <c r="F33" s="14">
        <f>IF(C33="","",N(D33)*N(E33))</f>
        <v/>
      </c>
      <c r="H33" s="9">
        <f>IF('الفواتير'!$E33="يدوية",'الفواتير'!$D33,"")</f>
        <v/>
      </c>
      <c r="I33" s="14">
        <f>IF($H33="","",'الفواتير'!$F33)</f>
        <v/>
      </c>
      <c r="J33" s="14">
        <f>IF($H33="","",SUMIF($B$7:$B$606,$H33,$F$7:$F$606))</f>
        <v/>
      </c>
      <c r="K33" s="15">
        <f>IF($H33="","",IF($H33=0,"⛔ اكتب رقم الفاتورة",IF(COUNTIF($B$7:$B$606,$H33)=0,"🟡 ما انزلت بنودها",IF(ROUND($I33-$J33,3)=0,"✅ خلصت","⛔ فرق "&amp;TEXT($I33-$J33,"0.000")))))</f>
        <v/>
      </c>
      <c r="M33">
        <f>IF(AND($H33&lt;&gt;"",$H33&lt;&gt;0,LEFT($K33,1)&lt;&gt;"✅"),COUNT($M$6:M32)+1,"")</f>
        <v/>
      </c>
      <c r="N33">
        <f>IFERROR(INDEX($H$7:$H$206,MATCH(ROW()-6,$M$7:$M$206,0)),"")</f>
        <v/>
      </c>
    </row>
    <row r="34" ht="21" customHeight="1">
      <c r="A34" s="9">
        <f>IF(C34="","",IF(COUNTIF('الفواتير'!$D$7:$D$206,B34)=0,"⛔",ROW()-6))</f>
        <v/>
      </c>
      <c r="B34" s="12" t="n"/>
      <c r="C34" s="10" t="n"/>
      <c r="D34" s="12" t="n"/>
      <c r="E34" s="13" t="n"/>
      <c r="F34" s="14">
        <f>IF(C34="","",N(D34)*N(E34))</f>
        <v/>
      </c>
      <c r="H34" s="9">
        <f>IF('الفواتير'!$E34="يدوية",'الفواتير'!$D34,"")</f>
        <v/>
      </c>
      <c r="I34" s="14">
        <f>IF($H34="","",'الفواتير'!$F34)</f>
        <v/>
      </c>
      <c r="J34" s="14">
        <f>IF($H34="","",SUMIF($B$7:$B$606,$H34,$F$7:$F$606))</f>
        <v/>
      </c>
      <c r="K34" s="15">
        <f>IF($H34="","",IF($H34=0,"⛔ اكتب رقم الفاتورة",IF(COUNTIF($B$7:$B$606,$H34)=0,"🟡 ما انزلت بنودها",IF(ROUND($I34-$J34,3)=0,"✅ خلصت","⛔ فرق "&amp;TEXT($I34-$J34,"0.000")))))</f>
        <v/>
      </c>
      <c r="M34">
        <f>IF(AND($H34&lt;&gt;"",$H34&lt;&gt;0,LEFT($K34,1)&lt;&gt;"✅"),COUNT($M$6:M33)+1,"")</f>
        <v/>
      </c>
      <c r="N34">
        <f>IFERROR(INDEX($H$7:$H$206,MATCH(ROW()-6,$M$7:$M$206,0)),"")</f>
        <v/>
      </c>
    </row>
    <row r="35" ht="21" customHeight="1">
      <c r="A35" s="9">
        <f>IF(C35="","",IF(COUNTIF('الفواتير'!$D$7:$D$206,B35)=0,"⛔",ROW()-6))</f>
        <v/>
      </c>
      <c r="B35" s="12" t="n"/>
      <c r="C35" s="10" t="n"/>
      <c r="D35" s="12" t="n"/>
      <c r="E35" s="13" t="n"/>
      <c r="F35" s="14">
        <f>IF(C35="","",N(D35)*N(E35))</f>
        <v/>
      </c>
      <c r="H35" s="9">
        <f>IF('الفواتير'!$E35="يدوية",'الفواتير'!$D35,"")</f>
        <v/>
      </c>
      <c r="I35" s="14">
        <f>IF($H35="","",'الفواتير'!$F35)</f>
        <v/>
      </c>
      <c r="J35" s="14">
        <f>IF($H35="","",SUMIF($B$7:$B$606,$H35,$F$7:$F$606))</f>
        <v/>
      </c>
      <c r="K35" s="15">
        <f>IF($H35="","",IF($H35=0,"⛔ اكتب رقم الفاتورة",IF(COUNTIF($B$7:$B$606,$H35)=0,"🟡 ما انزلت بنودها",IF(ROUND($I35-$J35,3)=0,"✅ خلصت","⛔ فرق "&amp;TEXT($I35-$J35,"0.000")))))</f>
        <v/>
      </c>
      <c r="M35">
        <f>IF(AND($H35&lt;&gt;"",$H35&lt;&gt;0,LEFT($K35,1)&lt;&gt;"✅"),COUNT($M$6:M34)+1,"")</f>
        <v/>
      </c>
      <c r="N35">
        <f>IFERROR(INDEX($H$7:$H$206,MATCH(ROW()-6,$M$7:$M$206,0)),"")</f>
        <v/>
      </c>
    </row>
    <row r="36" ht="21" customHeight="1">
      <c r="A36" s="9">
        <f>IF(C36="","",IF(COUNTIF('الفواتير'!$D$7:$D$206,B36)=0,"⛔",ROW()-6))</f>
        <v/>
      </c>
      <c r="B36" s="12" t="n"/>
      <c r="C36" s="10" t="n"/>
      <c r="D36" s="12" t="n"/>
      <c r="E36" s="13" t="n"/>
      <c r="F36" s="14">
        <f>IF(C36="","",N(D36)*N(E36))</f>
        <v/>
      </c>
      <c r="H36" s="9">
        <f>IF('الفواتير'!$E36="يدوية",'الفواتير'!$D36,"")</f>
        <v/>
      </c>
      <c r="I36" s="14">
        <f>IF($H36="","",'الفواتير'!$F36)</f>
        <v/>
      </c>
      <c r="J36" s="14">
        <f>IF($H36="","",SUMIF($B$7:$B$606,$H36,$F$7:$F$606))</f>
        <v/>
      </c>
      <c r="K36" s="15">
        <f>IF($H36="","",IF($H36=0,"⛔ اكتب رقم الفاتورة",IF(COUNTIF($B$7:$B$606,$H36)=0,"🟡 ما انزلت بنودها",IF(ROUND($I36-$J36,3)=0,"✅ خلصت","⛔ فرق "&amp;TEXT($I36-$J36,"0.000")))))</f>
        <v/>
      </c>
      <c r="M36">
        <f>IF(AND($H36&lt;&gt;"",$H36&lt;&gt;0,LEFT($K36,1)&lt;&gt;"✅"),COUNT($M$6:M35)+1,"")</f>
        <v/>
      </c>
      <c r="N36">
        <f>IFERROR(INDEX($H$7:$H$206,MATCH(ROW()-6,$M$7:$M$206,0)),"")</f>
        <v/>
      </c>
    </row>
    <row r="37" ht="21" customHeight="1">
      <c r="A37" s="9">
        <f>IF(C37="","",IF(COUNTIF('الفواتير'!$D$7:$D$206,B37)=0,"⛔",ROW()-6))</f>
        <v/>
      </c>
      <c r="B37" s="12" t="n"/>
      <c r="C37" s="10" t="n"/>
      <c r="D37" s="12" t="n"/>
      <c r="E37" s="13" t="n"/>
      <c r="F37" s="14">
        <f>IF(C37="","",N(D37)*N(E37))</f>
        <v/>
      </c>
      <c r="H37" s="9">
        <f>IF('الفواتير'!$E37="يدوية",'الفواتير'!$D37,"")</f>
        <v/>
      </c>
      <c r="I37" s="14">
        <f>IF($H37="","",'الفواتير'!$F37)</f>
        <v/>
      </c>
      <c r="J37" s="14">
        <f>IF($H37="","",SUMIF($B$7:$B$606,$H37,$F$7:$F$606))</f>
        <v/>
      </c>
      <c r="K37" s="15">
        <f>IF($H37="","",IF($H37=0,"⛔ اكتب رقم الفاتورة",IF(COUNTIF($B$7:$B$606,$H37)=0,"🟡 ما انزلت بنودها",IF(ROUND($I37-$J37,3)=0,"✅ خلصت","⛔ فرق "&amp;TEXT($I37-$J37,"0.000")))))</f>
        <v/>
      </c>
      <c r="M37">
        <f>IF(AND($H37&lt;&gt;"",$H37&lt;&gt;0,LEFT($K37,1)&lt;&gt;"✅"),COUNT($M$6:M36)+1,"")</f>
        <v/>
      </c>
      <c r="N37">
        <f>IFERROR(INDEX($H$7:$H$206,MATCH(ROW()-6,$M$7:$M$206,0)),"")</f>
        <v/>
      </c>
    </row>
    <row r="38" ht="21" customHeight="1">
      <c r="A38" s="9">
        <f>IF(C38="","",IF(COUNTIF('الفواتير'!$D$7:$D$206,B38)=0,"⛔",ROW()-6))</f>
        <v/>
      </c>
      <c r="B38" s="12" t="n"/>
      <c r="C38" s="10" t="n"/>
      <c r="D38" s="12" t="n"/>
      <c r="E38" s="13" t="n"/>
      <c r="F38" s="14">
        <f>IF(C38="","",N(D38)*N(E38))</f>
        <v/>
      </c>
      <c r="H38" s="9">
        <f>IF('الفواتير'!$E38="يدوية",'الفواتير'!$D38,"")</f>
        <v/>
      </c>
      <c r="I38" s="14">
        <f>IF($H38="","",'الفواتير'!$F38)</f>
        <v/>
      </c>
      <c r="J38" s="14">
        <f>IF($H38="","",SUMIF($B$7:$B$606,$H38,$F$7:$F$606))</f>
        <v/>
      </c>
      <c r="K38" s="15">
        <f>IF($H38="","",IF($H38=0,"⛔ اكتب رقم الفاتورة",IF(COUNTIF($B$7:$B$606,$H38)=0,"🟡 ما انزلت بنودها",IF(ROUND($I38-$J38,3)=0,"✅ خلصت","⛔ فرق "&amp;TEXT($I38-$J38,"0.000")))))</f>
        <v/>
      </c>
      <c r="M38">
        <f>IF(AND($H38&lt;&gt;"",$H38&lt;&gt;0,LEFT($K38,1)&lt;&gt;"✅"),COUNT($M$6:M37)+1,"")</f>
        <v/>
      </c>
      <c r="N38">
        <f>IFERROR(INDEX($H$7:$H$206,MATCH(ROW()-6,$M$7:$M$206,0)),"")</f>
        <v/>
      </c>
    </row>
    <row r="39" ht="21" customHeight="1">
      <c r="A39" s="9">
        <f>IF(C39="","",IF(COUNTIF('الفواتير'!$D$7:$D$206,B39)=0,"⛔",ROW()-6))</f>
        <v/>
      </c>
      <c r="B39" s="12" t="n"/>
      <c r="C39" s="10" t="n"/>
      <c r="D39" s="12" t="n"/>
      <c r="E39" s="13" t="n"/>
      <c r="F39" s="14">
        <f>IF(C39="","",N(D39)*N(E39))</f>
        <v/>
      </c>
      <c r="H39" s="9">
        <f>IF('الفواتير'!$E39="يدوية",'الفواتير'!$D39,"")</f>
        <v/>
      </c>
      <c r="I39" s="14">
        <f>IF($H39="","",'الفواتير'!$F39)</f>
        <v/>
      </c>
      <c r="J39" s="14">
        <f>IF($H39="","",SUMIF($B$7:$B$606,$H39,$F$7:$F$606))</f>
        <v/>
      </c>
      <c r="K39" s="15">
        <f>IF($H39="","",IF($H39=0,"⛔ اكتب رقم الفاتورة",IF(COUNTIF($B$7:$B$606,$H39)=0,"🟡 ما انزلت بنودها",IF(ROUND($I39-$J39,3)=0,"✅ خلصت","⛔ فرق "&amp;TEXT($I39-$J39,"0.000")))))</f>
        <v/>
      </c>
      <c r="M39">
        <f>IF(AND($H39&lt;&gt;"",$H39&lt;&gt;0,LEFT($K39,1)&lt;&gt;"✅"),COUNT($M$6:M38)+1,"")</f>
        <v/>
      </c>
      <c r="N39">
        <f>IFERROR(INDEX($H$7:$H$206,MATCH(ROW()-6,$M$7:$M$206,0)),"")</f>
        <v/>
      </c>
    </row>
    <row r="40" ht="21" customHeight="1">
      <c r="A40" s="9">
        <f>IF(C40="","",IF(COUNTIF('الفواتير'!$D$7:$D$206,B40)=0,"⛔",ROW()-6))</f>
        <v/>
      </c>
      <c r="B40" s="12" t="n"/>
      <c r="C40" s="10" t="n"/>
      <c r="D40" s="12" t="n"/>
      <c r="E40" s="13" t="n"/>
      <c r="F40" s="14">
        <f>IF(C40="","",N(D40)*N(E40))</f>
        <v/>
      </c>
      <c r="H40" s="9">
        <f>IF('الفواتير'!$E40="يدوية",'الفواتير'!$D40,"")</f>
        <v/>
      </c>
      <c r="I40" s="14">
        <f>IF($H40="","",'الفواتير'!$F40)</f>
        <v/>
      </c>
      <c r="J40" s="14">
        <f>IF($H40="","",SUMIF($B$7:$B$606,$H40,$F$7:$F$606))</f>
        <v/>
      </c>
      <c r="K40" s="15">
        <f>IF($H40="","",IF($H40=0,"⛔ اكتب رقم الفاتورة",IF(COUNTIF($B$7:$B$606,$H40)=0,"🟡 ما انزلت بنودها",IF(ROUND($I40-$J40,3)=0,"✅ خلصت","⛔ فرق "&amp;TEXT($I40-$J40,"0.000")))))</f>
        <v/>
      </c>
      <c r="M40">
        <f>IF(AND($H40&lt;&gt;"",$H40&lt;&gt;0,LEFT($K40,1)&lt;&gt;"✅"),COUNT($M$6:M39)+1,"")</f>
        <v/>
      </c>
      <c r="N40">
        <f>IFERROR(INDEX($H$7:$H$206,MATCH(ROW()-6,$M$7:$M$206,0)),"")</f>
        <v/>
      </c>
    </row>
    <row r="41" ht="21" customHeight="1">
      <c r="A41" s="9">
        <f>IF(C41="","",IF(COUNTIF('الفواتير'!$D$7:$D$206,B41)=0,"⛔",ROW()-6))</f>
        <v/>
      </c>
      <c r="B41" s="12" t="n"/>
      <c r="C41" s="10" t="n"/>
      <c r="D41" s="12" t="n"/>
      <c r="E41" s="13" t="n"/>
      <c r="F41" s="14">
        <f>IF(C41="","",N(D41)*N(E41))</f>
        <v/>
      </c>
      <c r="H41" s="9">
        <f>IF('الفواتير'!$E41="يدوية",'الفواتير'!$D41,"")</f>
        <v/>
      </c>
      <c r="I41" s="14">
        <f>IF($H41="","",'الفواتير'!$F41)</f>
        <v/>
      </c>
      <c r="J41" s="14">
        <f>IF($H41="","",SUMIF($B$7:$B$606,$H41,$F$7:$F$606))</f>
        <v/>
      </c>
      <c r="K41" s="15">
        <f>IF($H41="","",IF($H41=0,"⛔ اكتب رقم الفاتورة",IF(COUNTIF($B$7:$B$606,$H41)=0,"🟡 ما انزلت بنودها",IF(ROUND($I41-$J41,3)=0,"✅ خلصت","⛔ فرق "&amp;TEXT($I41-$J41,"0.000")))))</f>
        <v/>
      </c>
      <c r="M41">
        <f>IF(AND($H41&lt;&gt;"",$H41&lt;&gt;0,LEFT($K41,1)&lt;&gt;"✅"),COUNT($M$6:M40)+1,"")</f>
        <v/>
      </c>
      <c r="N41">
        <f>IFERROR(INDEX($H$7:$H$206,MATCH(ROW()-6,$M$7:$M$206,0)),"")</f>
        <v/>
      </c>
    </row>
    <row r="42" ht="21" customHeight="1">
      <c r="A42" s="9">
        <f>IF(C42="","",IF(COUNTIF('الفواتير'!$D$7:$D$206,B42)=0,"⛔",ROW()-6))</f>
        <v/>
      </c>
      <c r="B42" s="12" t="n"/>
      <c r="C42" s="10" t="n"/>
      <c r="D42" s="12" t="n"/>
      <c r="E42" s="13" t="n"/>
      <c r="F42" s="14">
        <f>IF(C42="","",N(D42)*N(E42))</f>
        <v/>
      </c>
      <c r="H42" s="9">
        <f>IF('الفواتير'!$E42="يدوية",'الفواتير'!$D42,"")</f>
        <v/>
      </c>
      <c r="I42" s="14">
        <f>IF($H42="","",'الفواتير'!$F42)</f>
        <v/>
      </c>
      <c r="J42" s="14">
        <f>IF($H42="","",SUMIF($B$7:$B$606,$H42,$F$7:$F$606))</f>
        <v/>
      </c>
      <c r="K42" s="15">
        <f>IF($H42="","",IF($H42=0,"⛔ اكتب رقم الفاتورة",IF(COUNTIF($B$7:$B$606,$H42)=0,"🟡 ما انزلت بنودها",IF(ROUND($I42-$J42,3)=0,"✅ خلصت","⛔ فرق "&amp;TEXT($I42-$J42,"0.000")))))</f>
        <v/>
      </c>
      <c r="M42">
        <f>IF(AND($H42&lt;&gt;"",$H42&lt;&gt;0,LEFT($K42,1)&lt;&gt;"✅"),COUNT($M$6:M41)+1,"")</f>
        <v/>
      </c>
      <c r="N42">
        <f>IFERROR(INDEX($H$7:$H$206,MATCH(ROW()-6,$M$7:$M$206,0)),"")</f>
        <v/>
      </c>
    </row>
    <row r="43" ht="21" customHeight="1">
      <c r="A43" s="9">
        <f>IF(C43="","",IF(COUNTIF('الفواتير'!$D$7:$D$206,B43)=0,"⛔",ROW()-6))</f>
        <v/>
      </c>
      <c r="B43" s="12" t="n"/>
      <c r="C43" s="10" t="n"/>
      <c r="D43" s="12" t="n"/>
      <c r="E43" s="13" t="n"/>
      <c r="F43" s="14">
        <f>IF(C43="","",N(D43)*N(E43))</f>
        <v/>
      </c>
      <c r="H43" s="9">
        <f>IF('الفواتير'!$E43="يدوية",'الفواتير'!$D43,"")</f>
        <v/>
      </c>
      <c r="I43" s="14">
        <f>IF($H43="","",'الفواتير'!$F43)</f>
        <v/>
      </c>
      <c r="J43" s="14">
        <f>IF($H43="","",SUMIF($B$7:$B$606,$H43,$F$7:$F$606))</f>
        <v/>
      </c>
      <c r="K43" s="15">
        <f>IF($H43="","",IF($H43=0,"⛔ اكتب رقم الفاتورة",IF(COUNTIF($B$7:$B$606,$H43)=0,"🟡 ما انزلت بنودها",IF(ROUND($I43-$J43,3)=0,"✅ خلصت","⛔ فرق "&amp;TEXT($I43-$J43,"0.000")))))</f>
        <v/>
      </c>
      <c r="M43">
        <f>IF(AND($H43&lt;&gt;"",$H43&lt;&gt;0,LEFT($K43,1)&lt;&gt;"✅"),COUNT($M$6:M42)+1,"")</f>
        <v/>
      </c>
      <c r="N43">
        <f>IFERROR(INDEX($H$7:$H$206,MATCH(ROW()-6,$M$7:$M$206,0)),"")</f>
        <v/>
      </c>
    </row>
    <row r="44" ht="21" customHeight="1">
      <c r="A44" s="9">
        <f>IF(C44="","",IF(COUNTIF('الفواتير'!$D$7:$D$206,B44)=0,"⛔",ROW()-6))</f>
        <v/>
      </c>
      <c r="B44" s="12" t="n"/>
      <c r="C44" s="10" t="n"/>
      <c r="D44" s="12" t="n"/>
      <c r="E44" s="13" t="n"/>
      <c r="F44" s="14">
        <f>IF(C44="","",N(D44)*N(E44))</f>
        <v/>
      </c>
      <c r="H44" s="9">
        <f>IF('الفواتير'!$E44="يدوية",'الفواتير'!$D44,"")</f>
        <v/>
      </c>
      <c r="I44" s="14">
        <f>IF($H44="","",'الفواتير'!$F44)</f>
        <v/>
      </c>
      <c r="J44" s="14">
        <f>IF($H44="","",SUMIF($B$7:$B$606,$H44,$F$7:$F$606))</f>
        <v/>
      </c>
      <c r="K44" s="15">
        <f>IF($H44="","",IF($H44=0,"⛔ اكتب رقم الفاتورة",IF(COUNTIF($B$7:$B$606,$H44)=0,"🟡 ما انزلت بنودها",IF(ROUND($I44-$J44,3)=0,"✅ خلصت","⛔ فرق "&amp;TEXT($I44-$J44,"0.000")))))</f>
        <v/>
      </c>
      <c r="M44">
        <f>IF(AND($H44&lt;&gt;"",$H44&lt;&gt;0,LEFT($K44,1)&lt;&gt;"✅"),COUNT($M$6:M43)+1,"")</f>
        <v/>
      </c>
      <c r="N44">
        <f>IFERROR(INDEX($H$7:$H$206,MATCH(ROW()-6,$M$7:$M$206,0)),"")</f>
        <v/>
      </c>
    </row>
    <row r="45" ht="21" customHeight="1">
      <c r="A45" s="9">
        <f>IF(C45="","",IF(COUNTIF('الفواتير'!$D$7:$D$206,B45)=0,"⛔",ROW()-6))</f>
        <v/>
      </c>
      <c r="B45" s="12" t="n"/>
      <c r="C45" s="10" t="n"/>
      <c r="D45" s="12" t="n"/>
      <c r="E45" s="13" t="n"/>
      <c r="F45" s="14">
        <f>IF(C45="","",N(D45)*N(E45))</f>
        <v/>
      </c>
      <c r="H45" s="9">
        <f>IF('الفواتير'!$E45="يدوية",'الفواتير'!$D45,"")</f>
        <v/>
      </c>
      <c r="I45" s="14">
        <f>IF($H45="","",'الفواتير'!$F45)</f>
        <v/>
      </c>
      <c r="J45" s="14">
        <f>IF($H45="","",SUMIF($B$7:$B$606,$H45,$F$7:$F$606))</f>
        <v/>
      </c>
      <c r="K45" s="15">
        <f>IF($H45="","",IF($H45=0,"⛔ اكتب رقم الفاتورة",IF(COUNTIF($B$7:$B$606,$H45)=0,"🟡 ما انزلت بنودها",IF(ROUND($I45-$J45,3)=0,"✅ خلصت","⛔ فرق "&amp;TEXT($I45-$J45,"0.000")))))</f>
        <v/>
      </c>
      <c r="M45">
        <f>IF(AND($H45&lt;&gt;"",$H45&lt;&gt;0,LEFT($K45,1)&lt;&gt;"✅"),COUNT($M$6:M44)+1,"")</f>
        <v/>
      </c>
      <c r="N45">
        <f>IFERROR(INDEX($H$7:$H$206,MATCH(ROW()-6,$M$7:$M$206,0)),"")</f>
        <v/>
      </c>
    </row>
    <row r="46" ht="21" customHeight="1">
      <c r="A46" s="9">
        <f>IF(C46="","",IF(COUNTIF('الفواتير'!$D$7:$D$206,B46)=0,"⛔",ROW()-6))</f>
        <v/>
      </c>
      <c r="B46" s="12" t="n"/>
      <c r="C46" s="10" t="n"/>
      <c r="D46" s="12" t="n"/>
      <c r="E46" s="13" t="n"/>
      <c r="F46" s="14">
        <f>IF(C46="","",N(D46)*N(E46))</f>
        <v/>
      </c>
      <c r="H46" s="9">
        <f>IF('الفواتير'!$E46="يدوية",'الفواتير'!$D46,"")</f>
        <v/>
      </c>
      <c r="I46" s="14">
        <f>IF($H46="","",'الفواتير'!$F46)</f>
        <v/>
      </c>
      <c r="J46" s="14">
        <f>IF($H46="","",SUMIF($B$7:$B$606,$H46,$F$7:$F$606))</f>
        <v/>
      </c>
      <c r="K46" s="15">
        <f>IF($H46="","",IF($H46=0,"⛔ اكتب رقم الفاتورة",IF(COUNTIF($B$7:$B$606,$H46)=0,"🟡 ما انزلت بنودها",IF(ROUND($I46-$J46,3)=0,"✅ خلصت","⛔ فرق "&amp;TEXT($I46-$J46,"0.000")))))</f>
        <v/>
      </c>
      <c r="M46">
        <f>IF(AND($H46&lt;&gt;"",$H46&lt;&gt;0,LEFT($K46,1)&lt;&gt;"✅"),COUNT($M$6:M45)+1,"")</f>
        <v/>
      </c>
      <c r="N46">
        <f>IFERROR(INDEX($H$7:$H$206,MATCH(ROW()-6,$M$7:$M$206,0)),"")</f>
        <v/>
      </c>
    </row>
    <row r="47" ht="21" customHeight="1">
      <c r="A47" s="9">
        <f>IF(C47="","",IF(COUNTIF('الفواتير'!$D$7:$D$206,B47)=0,"⛔",ROW()-6))</f>
        <v/>
      </c>
      <c r="B47" s="12" t="n"/>
      <c r="C47" s="10" t="n"/>
      <c r="D47" s="12" t="n"/>
      <c r="E47" s="13" t="n"/>
      <c r="F47" s="14">
        <f>IF(C47="","",N(D47)*N(E47))</f>
        <v/>
      </c>
      <c r="H47" s="9">
        <f>IF('الفواتير'!$E47="يدوية",'الفواتير'!$D47,"")</f>
        <v/>
      </c>
      <c r="I47" s="14">
        <f>IF($H47="","",'الفواتير'!$F47)</f>
        <v/>
      </c>
      <c r="J47" s="14">
        <f>IF($H47="","",SUMIF($B$7:$B$606,$H47,$F$7:$F$606))</f>
        <v/>
      </c>
      <c r="K47" s="15">
        <f>IF($H47="","",IF($H47=0,"⛔ اكتب رقم الفاتورة",IF(COUNTIF($B$7:$B$606,$H47)=0,"🟡 ما انزلت بنودها",IF(ROUND($I47-$J47,3)=0,"✅ خلصت","⛔ فرق "&amp;TEXT($I47-$J47,"0.000")))))</f>
        <v/>
      </c>
      <c r="M47">
        <f>IF(AND($H47&lt;&gt;"",$H47&lt;&gt;0,LEFT($K47,1)&lt;&gt;"✅"),COUNT($M$6:M46)+1,"")</f>
        <v/>
      </c>
      <c r="N47">
        <f>IFERROR(INDEX($H$7:$H$206,MATCH(ROW()-6,$M$7:$M$206,0)),"")</f>
        <v/>
      </c>
    </row>
    <row r="48" ht="21" customHeight="1">
      <c r="A48" s="9">
        <f>IF(C48="","",IF(COUNTIF('الفواتير'!$D$7:$D$206,B48)=0,"⛔",ROW()-6))</f>
        <v/>
      </c>
      <c r="B48" s="12" t="n"/>
      <c r="C48" s="10" t="n"/>
      <c r="D48" s="12" t="n"/>
      <c r="E48" s="13" t="n"/>
      <c r="F48" s="14">
        <f>IF(C48="","",N(D48)*N(E48))</f>
        <v/>
      </c>
      <c r="H48" s="9">
        <f>IF('الفواتير'!$E48="يدوية",'الفواتير'!$D48,"")</f>
        <v/>
      </c>
      <c r="I48" s="14">
        <f>IF($H48="","",'الفواتير'!$F48)</f>
        <v/>
      </c>
      <c r="J48" s="14">
        <f>IF($H48="","",SUMIF($B$7:$B$606,$H48,$F$7:$F$606))</f>
        <v/>
      </c>
      <c r="K48" s="15">
        <f>IF($H48="","",IF($H48=0,"⛔ اكتب رقم الفاتورة",IF(COUNTIF($B$7:$B$606,$H48)=0,"🟡 ما انزلت بنودها",IF(ROUND($I48-$J48,3)=0,"✅ خلصت","⛔ فرق "&amp;TEXT($I48-$J48,"0.000")))))</f>
        <v/>
      </c>
      <c r="M48">
        <f>IF(AND($H48&lt;&gt;"",$H48&lt;&gt;0,LEFT($K48,1)&lt;&gt;"✅"),COUNT($M$6:M47)+1,"")</f>
        <v/>
      </c>
      <c r="N48">
        <f>IFERROR(INDEX($H$7:$H$206,MATCH(ROW()-6,$M$7:$M$206,0)),"")</f>
        <v/>
      </c>
    </row>
    <row r="49" ht="21" customHeight="1">
      <c r="A49" s="9">
        <f>IF(C49="","",IF(COUNTIF('الفواتير'!$D$7:$D$206,B49)=0,"⛔",ROW()-6))</f>
        <v/>
      </c>
      <c r="B49" s="12" t="n"/>
      <c r="C49" s="10" t="n"/>
      <c r="D49" s="12" t="n"/>
      <c r="E49" s="13" t="n"/>
      <c r="F49" s="14">
        <f>IF(C49="","",N(D49)*N(E49))</f>
        <v/>
      </c>
      <c r="H49" s="9">
        <f>IF('الفواتير'!$E49="يدوية",'الفواتير'!$D49,"")</f>
        <v/>
      </c>
      <c r="I49" s="14">
        <f>IF($H49="","",'الفواتير'!$F49)</f>
        <v/>
      </c>
      <c r="J49" s="14">
        <f>IF($H49="","",SUMIF($B$7:$B$606,$H49,$F$7:$F$606))</f>
        <v/>
      </c>
      <c r="K49" s="15">
        <f>IF($H49="","",IF($H49=0,"⛔ اكتب رقم الفاتورة",IF(COUNTIF($B$7:$B$606,$H49)=0,"🟡 ما انزلت بنودها",IF(ROUND($I49-$J49,3)=0,"✅ خلصت","⛔ فرق "&amp;TEXT($I49-$J49,"0.000")))))</f>
        <v/>
      </c>
      <c r="M49">
        <f>IF(AND($H49&lt;&gt;"",$H49&lt;&gt;0,LEFT($K49,1)&lt;&gt;"✅"),COUNT($M$6:M48)+1,"")</f>
        <v/>
      </c>
      <c r="N49">
        <f>IFERROR(INDEX($H$7:$H$206,MATCH(ROW()-6,$M$7:$M$206,0)),"")</f>
        <v/>
      </c>
    </row>
    <row r="50" ht="21" customHeight="1">
      <c r="A50" s="9">
        <f>IF(C50="","",IF(COUNTIF('الفواتير'!$D$7:$D$206,B50)=0,"⛔",ROW()-6))</f>
        <v/>
      </c>
      <c r="B50" s="12" t="n"/>
      <c r="C50" s="10" t="n"/>
      <c r="D50" s="12" t="n"/>
      <c r="E50" s="13" t="n"/>
      <c r="F50" s="14">
        <f>IF(C50="","",N(D50)*N(E50))</f>
        <v/>
      </c>
      <c r="H50" s="9">
        <f>IF('الفواتير'!$E50="يدوية",'الفواتير'!$D50,"")</f>
        <v/>
      </c>
      <c r="I50" s="14">
        <f>IF($H50="","",'الفواتير'!$F50)</f>
        <v/>
      </c>
      <c r="J50" s="14">
        <f>IF($H50="","",SUMIF($B$7:$B$606,$H50,$F$7:$F$606))</f>
        <v/>
      </c>
      <c r="K50" s="15">
        <f>IF($H50="","",IF($H50=0,"⛔ اكتب رقم الفاتورة",IF(COUNTIF($B$7:$B$606,$H50)=0,"🟡 ما انزلت بنودها",IF(ROUND($I50-$J50,3)=0,"✅ خلصت","⛔ فرق "&amp;TEXT($I50-$J50,"0.000")))))</f>
        <v/>
      </c>
      <c r="M50">
        <f>IF(AND($H50&lt;&gt;"",$H50&lt;&gt;0,LEFT($K50,1)&lt;&gt;"✅"),COUNT($M$6:M49)+1,"")</f>
        <v/>
      </c>
      <c r="N50">
        <f>IFERROR(INDEX($H$7:$H$206,MATCH(ROW()-6,$M$7:$M$206,0)),"")</f>
        <v/>
      </c>
    </row>
    <row r="51" ht="21" customHeight="1">
      <c r="A51" s="9">
        <f>IF(C51="","",IF(COUNTIF('الفواتير'!$D$7:$D$206,B51)=0,"⛔",ROW()-6))</f>
        <v/>
      </c>
      <c r="B51" s="12" t="n"/>
      <c r="C51" s="10" t="n"/>
      <c r="D51" s="12" t="n"/>
      <c r="E51" s="13" t="n"/>
      <c r="F51" s="14">
        <f>IF(C51="","",N(D51)*N(E51))</f>
        <v/>
      </c>
      <c r="H51" s="9">
        <f>IF('الفواتير'!$E51="يدوية",'الفواتير'!$D51,"")</f>
        <v/>
      </c>
      <c r="I51" s="14">
        <f>IF($H51="","",'الفواتير'!$F51)</f>
        <v/>
      </c>
      <c r="J51" s="14">
        <f>IF($H51="","",SUMIF($B$7:$B$606,$H51,$F$7:$F$606))</f>
        <v/>
      </c>
      <c r="K51" s="15">
        <f>IF($H51="","",IF($H51=0,"⛔ اكتب رقم الفاتورة",IF(COUNTIF($B$7:$B$606,$H51)=0,"🟡 ما انزلت بنودها",IF(ROUND($I51-$J51,3)=0,"✅ خلصت","⛔ فرق "&amp;TEXT($I51-$J51,"0.000")))))</f>
        <v/>
      </c>
      <c r="M51">
        <f>IF(AND($H51&lt;&gt;"",$H51&lt;&gt;0,LEFT($K51,1)&lt;&gt;"✅"),COUNT($M$6:M50)+1,"")</f>
        <v/>
      </c>
      <c r="N51">
        <f>IFERROR(INDEX($H$7:$H$206,MATCH(ROW()-6,$M$7:$M$206,0)),"")</f>
        <v/>
      </c>
    </row>
    <row r="52" ht="21" customHeight="1">
      <c r="A52" s="9">
        <f>IF(C52="","",IF(COUNTIF('الفواتير'!$D$7:$D$206,B52)=0,"⛔",ROW()-6))</f>
        <v/>
      </c>
      <c r="B52" s="12" t="n"/>
      <c r="C52" s="10" t="n"/>
      <c r="D52" s="12" t="n"/>
      <c r="E52" s="13" t="n"/>
      <c r="F52" s="14">
        <f>IF(C52="","",N(D52)*N(E52))</f>
        <v/>
      </c>
      <c r="H52" s="9">
        <f>IF('الفواتير'!$E52="يدوية",'الفواتير'!$D52,"")</f>
        <v/>
      </c>
      <c r="I52" s="14">
        <f>IF($H52="","",'الفواتير'!$F52)</f>
        <v/>
      </c>
      <c r="J52" s="14">
        <f>IF($H52="","",SUMIF($B$7:$B$606,$H52,$F$7:$F$606))</f>
        <v/>
      </c>
      <c r="K52" s="15">
        <f>IF($H52="","",IF($H52=0,"⛔ اكتب رقم الفاتورة",IF(COUNTIF($B$7:$B$606,$H52)=0,"🟡 ما انزلت بنودها",IF(ROUND($I52-$J52,3)=0,"✅ خلصت","⛔ فرق "&amp;TEXT($I52-$J52,"0.000")))))</f>
        <v/>
      </c>
      <c r="M52">
        <f>IF(AND($H52&lt;&gt;"",$H52&lt;&gt;0,LEFT($K52,1)&lt;&gt;"✅"),COUNT($M$6:M51)+1,"")</f>
        <v/>
      </c>
      <c r="N52">
        <f>IFERROR(INDEX($H$7:$H$206,MATCH(ROW()-6,$M$7:$M$206,0)),"")</f>
        <v/>
      </c>
    </row>
    <row r="53" ht="21" customHeight="1">
      <c r="A53" s="9">
        <f>IF(C53="","",IF(COUNTIF('الفواتير'!$D$7:$D$206,B53)=0,"⛔",ROW()-6))</f>
        <v/>
      </c>
      <c r="B53" s="12" t="n"/>
      <c r="C53" s="10" t="n"/>
      <c r="D53" s="12" t="n"/>
      <c r="E53" s="13" t="n"/>
      <c r="F53" s="14">
        <f>IF(C53="","",N(D53)*N(E53))</f>
        <v/>
      </c>
      <c r="H53" s="9">
        <f>IF('الفواتير'!$E53="يدوية",'الفواتير'!$D53,"")</f>
        <v/>
      </c>
      <c r="I53" s="14">
        <f>IF($H53="","",'الفواتير'!$F53)</f>
        <v/>
      </c>
      <c r="J53" s="14">
        <f>IF($H53="","",SUMIF($B$7:$B$606,$H53,$F$7:$F$606))</f>
        <v/>
      </c>
      <c r="K53" s="15">
        <f>IF($H53="","",IF($H53=0,"⛔ اكتب رقم الفاتورة",IF(COUNTIF($B$7:$B$606,$H53)=0,"🟡 ما انزلت بنودها",IF(ROUND($I53-$J53,3)=0,"✅ خلصت","⛔ فرق "&amp;TEXT($I53-$J53,"0.000")))))</f>
        <v/>
      </c>
      <c r="M53">
        <f>IF(AND($H53&lt;&gt;"",$H53&lt;&gt;0,LEFT($K53,1)&lt;&gt;"✅"),COUNT($M$6:M52)+1,"")</f>
        <v/>
      </c>
      <c r="N53">
        <f>IFERROR(INDEX($H$7:$H$206,MATCH(ROW()-6,$M$7:$M$206,0)),"")</f>
        <v/>
      </c>
    </row>
    <row r="54" ht="21" customHeight="1">
      <c r="A54" s="9">
        <f>IF(C54="","",IF(COUNTIF('الفواتير'!$D$7:$D$206,B54)=0,"⛔",ROW()-6))</f>
        <v/>
      </c>
      <c r="B54" s="12" t="n"/>
      <c r="C54" s="10" t="n"/>
      <c r="D54" s="12" t="n"/>
      <c r="E54" s="13" t="n"/>
      <c r="F54" s="14">
        <f>IF(C54="","",N(D54)*N(E54))</f>
        <v/>
      </c>
      <c r="H54" s="9">
        <f>IF('الفواتير'!$E54="يدوية",'الفواتير'!$D54,"")</f>
        <v/>
      </c>
      <c r="I54" s="14">
        <f>IF($H54="","",'الفواتير'!$F54)</f>
        <v/>
      </c>
      <c r="J54" s="14">
        <f>IF($H54="","",SUMIF($B$7:$B$606,$H54,$F$7:$F$606))</f>
        <v/>
      </c>
      <c r="K54" s="15">
        <f>IF($H54="","",IF($H54=0,"⛔ اكتب رقم الفاتورة",IF(COUNTIF($B$7:$B$606,$H54)=0,"🟡 ما انزلت بنودها",IF(ROUND($I54-$J54,3)=0,"✅ خلصت","⛔ فرق "&amp;TEXT($I54-$J54,"0.000")))))</f>
        <v/>
      </c>
      <c r="M54">
        <f>IF(AND($H54&lt;&gt;"",$H54&lt;&gt;0,LEFT($K54,1)&lt;&gt;"✅"),COUNT($M$6:M53)+1,"")</f>
        <v/>
      </c>
      <c r="N54">
        <f>IFERROR(INDEX($H$7:$H$206,MATCH(ROW()-6,$M$7:$M$206,0)),"")</f>
        <v/>
      </c>
    </row>
    <row r="55" ht="21" customHeight="1">
      <c r="A55" s="9">
        <f>IF(C55="","",IF(COUNTIF('الفواتير'!$D$7:$D$206,B55)=0,"⛔",ROW()-6))</f>
        <v/>
      </c>
      <c r="B55" s="12" t="n"/>
      <c r="C55" s="10" t="n"/>
      <c r="D55" s="12" t="n"/>
      <c r="E55" s="13" t="n"/>
      <c r="F55" s="14">
        <f>IF(C55="","",N(D55)*N(E55))</f>
        <v/>
      </c>
      <c r="H55" s="9">
        <f>IF('الفواتير'!$E55="يدوية",'الفواتير'!$D55,"")</f>
        <v/>
      </c>
      <c r="I55" s="14">
        <f>IF($H55="","",'الفواتير'!$F55)</f>
        <v/>
      </c>
      <c r="J55" s="14">
        <f>IF($H55="","",SUMIF($B$7:$B$606,$H55,$F$7:$F$606))</f>
        <v/>
      </c>
      <c r="K55" s="15">
        <f>IF($H55="","",IF($H55=0,"⛔ اكتب رقم الفاتورة",IF(COUNTIF($B$7:$B$606,$H55)=0,"🟡 ما انزلت بنودها",IF(ROUND($I55-$J55,3)=0,"✅ خلصت","⛔ فرق "&amp;TEXT($I55-$J55,"0.000")))))</f>
        <v/>
      </c>
      <c r="M55">
        <f>IF(AND($H55&lt;&gt;"",$H55&lt;&gt;0,LEFT($K55,1)&lt;&gt;"✅"),COUNT($M$6:M54)+1,"")</f>
        <v/>
      </c>
      <c r="N55">
        <f>IFERROR(INDEX($H$7:$H$206,MATCH(ROW()-6,$M$7:$M$206,0)),"")</f>
        <v/>
      </c>
    </row>
    <row r="56" ht="21" customHeight="1">
      <c r="A56" s="9">
        <f>IF(C56="","",IF(COUNTIF('الفواتير'!$D$7:$D$206,B56)=0,"⛔",ROW()-6))</f>
        <v/>
      </c>
      <c r="B56" s="12" t="n"/>
      <c r="C56" s="10" t="n"/>
      <c r="D56" s="12" t="n"/>
      <c r="E56" s="13" t="n"/>
      <c r="F56" s="14">
        <f>IF(C56="","",N(D56)*N(E56))</f>
        <v/>
      </c>
      <c r="H56" s="9">
        <f>IF('الفواتير'!$E56="يدوية",'الفواتير'!$D56,"")</f>
        <v/>
      </c>
      <c r="I56" s="14">
        <f>IF($H56="","",'الفواتير'!$F56)</f>
        <v/>
      </c>
      <c r="J56" s="14">
        <f>IF($H56="","",SUMIF($B$7:$B$606,$H56,$F$7:$F$606))</f>
        <v/>
      </c>
      <c r="K56" s="15">
        <f>IF($H56="","",IF($H56=0,"⛔ اكتب رقم الفاتورة",IF(COUNTIF($B$7:$B$606,$H56)=0,"🟡 ما انزلت بنودها",IF(ROUND($I56-$J56,3)=0,"✅ خلصت","⛔ فرق "&amp;TEXT($I56-$J56,"0.000")))))</f>
        <v/>
      </c>
      <c r="M56">
        <f>IF(AND($H56&lt;&gt;"",$H56&lt;&gt;0,LEFT($K56,1)&lt;&gt;"✅"),COUNT($M$6:M55)+1,"")</f>
        <v/>
      </c>
      <c r="N56">
        <f>IFERROR(INDEX($H$7:$H$206,MATCH(ROW()-6,$M$7:$M$206,0)),"")</f>
        <v/>
      </c>
    </row>
    <row r="57" ht="21" customHeight="1">
      <c r="A57" s="9">
        <f>IF(C57="","",IF(COUNTIF('الفواتير'!$D$7:$D$206,B57)=0,"⛔",ROW()-6))</f>
        <v/>
      </c>
      <c r="B57" s="12" t="n"/>
      <c r="C57" s="10" t="n"/>
      <c r="D57" s="12" t="n"/>
      <c r="E57" s="13" t="n"/>
      <c r="F57" s="14">
        <f>IF(C57="","",N(D57)*N(E57))</f>
        <v/>
      </c>
      <c r="H57" s="9">
        <f>IF('الفواتير'!$E57="يدوية",'الفواتير'!$D57,"")</f>
        <v/>
      </c>
      <c r="I57" s="14">
        <f>IF($H57="","",'الفواتير'!$F57)</f>
        <v/>
      </c>
      <c r="J57" s="14">
        <f>IF($H57="","",SUMIF($B$7:$B$606,$H57,$F$7:$F$606))</f>
        <v/>
      </c>
      <c r="K57" s="15">
        <f>IF($H57="","",IF($H57=0,"⛔ اكتب رقم الفاتورة",IF(COUNTIF($B$7:$B$606,$H57)=0,"🟡 ما انزلت بنودها",IF(ROUND($I57-$J57,3)=0,"✅ خلصت","⛔ فرق "&amp;TEXT($I57-$J57,"0.000")))))</f>
        <v/>
      </c>
      <c r="M57">
        <f>IF(AND($H57&lt;&gt;"",$H57&lt;&gt;0,LEFT($K57,1)&lt;&gt;"✅"),COUNT($M$6:M56)+1,"")</f>
        <v/>
      </c>
      <c r="N57">
        <f>IFERROR(INDEX($H$7:$H$206,MATCH(ROW()-6,$M$7:$M$206,0)),"")</f>
        <v/>
      </c>
    </row>
    <row r="58" ht="21" customHeight="1">
      <c r="A58" s="9">
        <f>IF(C58="","",IF(COUNTIF('الفواتير'!$D$7:$D$206,B58)=0,"⛔",ROW()-6))</f>
        <v/>
      </c>
      <c r="B58" s="12" t="n"/>
      <c r="C58" s="10" t="n"/>
      <c r="D58" s="12" t="n"/>
      <c r="E58" s="13" t="n"/>
      <c r="F58" s="14">
        <f>IF(C58="","",N(D58)*N(E58))</f>
        <v/>
      </c>
      <c r="H58" s="9">
        <f>IF('الفواتير'!$E58="يدوية",'الفواتير'!$D58,"")</f>
        <v/>
      </c>
      <c r="I58" s="14">
        <f>IF($H58="","",'الفواتير'!$F58)</f>
        <v/>
      </c>
      <c r="J58" s="14">
        <f>IF($H58="","",SUMIF($B$7:$B$606,$H58,$F$7:$F$606))</f>
        <v/>
      </c>
      <c r="K58" s="15">
        <f>IF($H58="","",IF($H58=0,"⛔ اكتب رقم الفاتورة",IF(COUNTIF($B$7:$B$606,$H58)=0,"🟡 ما انزلت بنودها",IF(ROUND($I58-$J58,3)=0,"✅ خلصت","⛔ فرق "&amp;TEXT($I58-$J58,"0.000")))))</f>
        <v/>
      </c>
      <c r="M58">
        <f>IF(AND($H58&lt;&gt;"",$H58&lt;&gt;0,LEFT($K58,1)&lt;&gt;"✅"),COUNT($M$6:M57)+1,"")</f>
        <v/>
      </c>
      <c r="N58">
        <f>IFERROR(INDEX($H$7:$H$206,MATCH(ROW()-6,$M$7:$M$206,0)),"")</f>
        <v/>
      </c>
    </row>
    <row r="59" ht="21" customHeight="1">
      <c r="A59" s="9">
        <f>IF(C59="","",IF(COUNTIF('الفواتير'!$D$7:$D$206,B59)=0,"⛔",ROW()-6))</f>
        <v/>
      </c>
      <c r="B59" s="12" t="n"/>
      <c r="C59" s="10" t="n"/>
      <c r="D59" s="12" t="n"/>
      <c r="E59" s="13" t="n"/>
      <c r="F59" s="14">
        <f>IF(C59="","",N(D59)*N(E59))</f>
        <v/>
      </c>
      <c r="H59" s="9">
        <f>IF('الفواتير'!$E59="يدوية",'الفواتير'!$D59,"")</f>
        <v/>
      </c>
      <c r="I59" s="14">
        <f>IF($H59="","",'الفواتير'!$F59)</f>
        <v/>
      </c>
      <c r="J59" s="14">
        <f>IF($H59="","",SUMIF($B$7:$B$606,$H59,$F$7:$F$606))</f>
        <v/>
      </c>
      <c r="K59" s="15">
        <f>IF($H59="","",IF($H59=0,"⛔ اكتب رقم الفاتورة",IF(COUNTIF($B$7:$B$606,$H59)=0,"🟡 ما انزلت بنودها",IF(ROUND($I59-$J59,3)=0,"✅ خلصت","⛔ فرق "&amp;TEXT($I59-$J59,"0.000")))))</f>
        <v/>
      </c>
      <c r="M59">
        <f>IF(AND($H59&lt;&gt;"",$H59&lt;&gt;0,LEFT($K59,1)&lt;&gt;"✅"),COUNT($M$6:M58)+1,"")</f>
        <v/>
      </c>
      <c r="N59">
        <f>IFERROR(INDEX($H$7:$H$206,MATCH(ROW()-6,$M$7:$M$206,0)),"")</f>
        <v/>
      </c>
    </row>
    <row r="60" ht="21" customHeight="1">
      <c r="A60" s="9">
        <f>IF(C60="","",IF(COUNTIF('الفواتير'!$D$7:$D$206,B60)=0,"⛔",ROW()-6))</f>
        <v/>
      </c>
      <c r="B60" s="12" t="n"/>
      <c r="C60" s="10" t="n"/>
      <c r="D60" s="12" t="n"/>
      <c r="E60" s="13" t="n"/>
      <c r="F60" s="14">
        <f>IF(C60="","",N(D60)*N(E60))</f>
        <v/>
      </c>
      <c r="H60" s="9">
        <f>IF('الفواتير'!$E60="يدوية",'الفواتير'!$D60,"")</f>
        <v/>
      </c>
      <c r="I60" s="14">
        <f>IF($H60="","",'الفواتير'!$F60)</f>
        <v/>
      </c>
      <c r="J60" s="14">
        <f>IF($H60="","",SUMIF($B$7:$B$606,$H60,$F$7:$F$606))</f>
        <v/>
      </c>
      <c r="K60" s="15">
        <f>IF($H60="","",IF($H60=0,"⛔ اكتب رقم الفاتورة",IF(COUNTIF($B$7:$B$606,$H60)=0,"🟡 ما انزلت بنودها",IF(ROUND($I60-$J60,3)=0,"✅ خلصت","⛔ فرق "&amp;TEXT($I60-$J60,"0.000")))))</f>
        <v/>
      </c>
      <c r="M60">
        <f>IF(AND($H60&lt;&gt;"",$H60&lt;&gt;0,LEFT($K60,1)&lt;&gt;"✅"),COUNT($M$6:M59)+1,"")</f>
        <v/>
      </c>
      <c r="N60">
        <f>IFERROR(INDEX($H$7:$H$206,MATCH(ROW()-6,$M$7:$M$206,0)),"")</f>
        <v/>
      </c>
    </row>
    <row r="61" ht="21" customHeight="1">
      <c r="A61" s="9">
        <f>IF(C61="","",IF(COUNTIF('الفواتير'!$D$7:$D$206,B61)=0,"⛔",ROW()-6))</f>
        <v/>
      </c>
      <c r="B61" s="12" t="n"/>
      <c r="C61" s="10" t="n"/>
      <c r="D61" s="12" t="n"/>
      <c r="E61" s="13" t="n"/>
      <c r="F61" s="14">
        <f>IF(C61="","",N(D61)*N(E61))</f>
        <v/>
      </c>
      <c r="H61" s="9">
        <f>IF('الفواتير'!$E61="يدوية",'الفواتير'!$D61,"")</f>
        <v/>
      </c>
      <c r="I61" s="14">
        <f>IF($H61="","",'الفواتير'!$F61)</f>
        <v/>
      </c>
      <c r="J61" s="14">
        <f>IF($H61="","",SUMIF($B$7:$B$606,$H61,$F$7:$F$606))</f>
        <v/>
      </c>
      <c r="K61" s="15">
        <f>IF($H61="","",IF($H61=0,"⛔ اكتب رقم الفاتورة",IF(COUNTIF($B$7:$B$606,$H61)=0,"🟡 ما انزلت بنودها",IF(ROUND($I61-$J61,3)=0,"✅ خلصت","⛔ فرق "&amp;TEXT($I61-$J61,"0.000")))))</f>
        <v/>
      </c>
      <c r="M61">
        <f>IF(AND($H61&lt;&gt;"",$H61&lt;&gt;0,LEFT($K61,1)&lt;&gt;"✅"),COUNT($M$6:M60)+1,"")</f>
        <v/>
      </c>
      <c r="N61">
        <f>IFERROR(INDEX($H$7:$H$206,MATCH(ROW()-6,$M$7:$M$206,0)),"")</f>
        <v/>
      </c>
    </row>
    <row r="62" ht="21" customHeight="1">
      <c r="A62" s="9">
        <f>IF(C62="","",IF(COUNTIF('الفواتير'!$D$7:$D$206,B62)=0,"⛔",ROW()-6))</f>
        <v/>
      </c>
      <c r="B62" s="12" t="n"/>
      <c r="C62" s="10" t="n"/>
      <c r="D62" s="12" t="n"/>
      <c r="E62" s="13" t="n"/>
      <c r="F62" s="14">
        <f>IF(C62="","",N(D62)*N(E62))</f>
        <v/>
      </c>
      <c r="H62" s="9">
        <f>IF('الفواتير'!$E62="يدوية",'الفواتير'!$D62,"")</f>
        <v/>
      </c>
      <c r="I62" s="14">
        <f>IF($H62="","",'الفواتير'!$F62)</f>
        <v/>
      </c>
      <c r="J62" s="14">
        <f>IF($H62="","",SUMIF($B$7:$B$606,$H62,$F$7:$F$606))</f>
        <v/>
      </c>
      <c r="K62" s="15">
        <f>IF($H62="","",IF($H62=0,"⛔ اكتب رقم الفاتورة",IF(COUNTIF($B$7:$B$606,$H62)=0,"🟡 ما انزلت بنودها",IF(ROUND($I62-$J62,3)=0,"✅ خلصت","⛔ فرق "&amp;TEXT($I62-$J62,"0.000")))))</f>
        <v/>
      </c>
      <c r="M62">
        <f>IF(AND($H62&lt;&gt;"",$H62&lt;&gt;0,LEFT($K62,1)&lt;&gt;"✅"),COUNT($M$6:M61)+1,"")</f>
        <v/>
      </c>
      <c r="N62">
        <f>IFERROR(INDEX($H$7:$H$206,MATCH(ROW()-6,$M$7:$M$206,0)),"")</f>
        <v/>
      </c>
    </row>
    <row r="63" ht="21" customHeight="1">
      <c r="A63" s="9">
        <f>IF(C63="","",IF(COUNTIF('الفواتير'!$D$7:$D$206,B63)=0,"⛔",ROW()-6))</f>
        <v/>
      </c>
      <c r="B63" s="12" t="n"/>
      <c r="C63" s="10" t="n"/>
      <c r="D63" s="12" t="n"/>
      <c r="E63" s="13" t="n"/>
      <c r="F63" s="14">
        <f>IF(C63="","",N(D63)*N(E63))</f>
        <v/>
      </c>
      <c r="H63" s="9">
        <f>IF('الفواتير'!$E63="يدوية",'الفواتير'!$D63,"")</f>
        <v/>
      </c>
      <c r="I63" s="14">
        <f>IF($H63="","",'الفواتير'!$F63)</f>
        <v/>
      </c>
      <c r="J63" s="14">
        <f>IF($H63="","",SUMIF($B$7:$B$606,$H63,$F$7:$F$606))</f>
        <v/>
      </c>
      <c r="K63" s="15">
        <f>IF($H63="","",IF($H63=0,"⛔ اكتب رقم الفاتورة",IF(COUNTIF($B$7:$B$606,$H63)=0,"🟡 ما انزلت بنودها",IF(ROUND($I63-$J63,3)=0,"✅ خلصت","⛔ فرق "&amp;TEXT($I63-$J63,"0.000")))))</f>
        <v/>
      </c>
      <c r="M63">
        <f>IF(AND($H63&lt;&gt;"",$H63&lt;&gt;0,LEFT($K63,1)&lt;&gt;"✅"),COUNT($M$6:M62)+1,"")</f>
        <v/>
      </c>
      <c r="N63">
        <f>IFERROR(INDEX($H$7:$H$206,MATCH(ROW()-6,$M$7:$M$206,0)),"")</f>
        <v/>
      </c>
    </row>
    <row r="64" ht="21" customHeight="1">
      <c r="A64" s="9">
        <f>IF(C64="","",IF(COUNTIF('الفواتير'!$D$7:$D$206,B64)=0,"⛔",ROW()-6))</f>
        <v/>
      </c>
      <c r="B64" s="12" t="n"/>
      <c r="C64" s="10" t="n"/>
      <c r="D64" s="12" t="n"/>
      <c r="E64" s="13" t="n"/>
      <c r="F64" s="14">
        <f>IF(C64="","",N(D64)*N(E64))</f>
        <v/>
      </c>
      <c r="H64" s="9">
        <f>IF('الفواتير'!$E64="يدوية",'الفواتير'!$D64,"")</f>
        <v/>
      </c>
      <c r="I64" s="14">
        <f>IF($H64="","",'الفواتير'!$F64)</f>
        <v/>
      </c>
      <c r="J64" s="14">
        <f>IF($H64="","",SUMIF($B$7:$B$606,$H64,$F$7:$F$606))</f>
        <v/>
      </c>
      <c r="K64" s="15">
        <f>IF($H64="","",IF($H64=0,"⛔ اكتب رقم الفاتورة",IF(COUNTIF($B$7:$B$606,$H64)=0,"🟡 ما انزلت بنودها",IF(ROUND($I64-$J64,3)=0,"✅ خلصت","⛔ فرق "&amp;TEXT($I64-$J64,"0.000")))))</f>
        <v/>
      </c>
      <c r="M64">
        <f>IF(AND($H64&lt;&gt;"",$H64&lt;&gt;0,LEFT($K64,1)&lt;&gt;"✅"),COUNT($M$6:M63)+1,"")</f>
        <v/>
      </c>
      <c r="N64">
        <f>IFERROR(INDEX($H$7:$H$206,MATCH(ROW()-6,$M$7:$M$206,0)),"")</f>
        <v/>
      </c>
    </row>
    <row r="65" ht="21" customHeight="1">
      <c r="A65" s="9">
        <f>IF(C65="","",IF(COUNTIF('الفواتير'!$D$7:$D$206,B65)=0,"⛔",ROW()-6))</f>
        <v/>
      </c>
      <c r="B65" s="12" t="n"/>
      <c r="C65" s="10" t="n"/>
      <c r="D65" s="12" t="n"/>
      <c r="E65" s="13" t="n"/>
      <c r="F65" s="14">
        <f>IF(C65="","",N(D65)*N(E65))</f>
        <v/>
      </c>
      <c r="H65" s="9">
        <f>IF('الفواتير'!$E65="يدوية",'الفواتير'!$D65,"")</f>
        <v/>
      </c>
      <c r="I65" s="14">
        <f>IF($H65="","",'الفواتير'!$F65)</f>
        <v/>
      </c>
      <c r="J65" s="14">
        <f>IF($H65="","",SUMIF($B$7:$B$606,$H65,$F$7:$F$606))</f>
        <v/>
      </c>
      <c r="K65" s="15">
        <f>IF($H65="","",IF($H65=0,"⛔ اكتب رقم الفاتورة",IF(COUNTIF($B$7:$B$606,$H65)=0,"🟡 ما انزلت بنودها",IF(ROUND($I65-$J65,3)=0,"✅ خلصت","⛔ فرق "&amp;TEXT($I65-$J65,"0.000")))))</f>
        <v/>
      </c>
      <c r="M65">
        <f>IF(AND($H65&lt;&gt;"",$H65&lt;&gt;0,LEFT($K65,1)&lt;&gt;"✅"),COUNT($M$6:M64)+1,"")</f>
        <v/>
      </c>
      <c r="N65">
        <f>IFERROR(INDEX($H$7:$H$206,MATCH(ROW()-6,$M$7:$M$206,0)),"")</f>
        <v/>
      </c>
    </row>
    <row r="66" ht="21" customHeight="1">
      <c r="A66" s="9">
        <f>IF(C66="","",IF(COUNTIF('الفواتير'!$D$7:$D$206,B66)=0,"⛔",ROW()-6))</f>
        <v/>
      </c>
      <c r="B66" s="12" t="n"/>
      <c r="C66" s="10" t="n"/>
      <c r="D66" s="12" t="n"/>
      <c r="E66" s="13" t="n"/>
      <c r="F66" s="14">
        <f>IF(C66="","",N(D66)*N(E66))</f>
        <v/>
      </c>
      <c r="H66" s="9">
        <f>IF('الفواتير'!$E66="يدوية",'الفواتير'!$D66,"")</f>
        <v/>
      </c>
      <c r="I66" s="14">
        <f>IF($H66="","",'الفواتير'!$F66)</f>
        <v/>
      </c>
      <c r="J66" s="14">
        <f>IF($H66="","",SUMIF($B$7:$B$606,$H66,$F$7:$F$606))</f>
        <v/>
      </c>
      <c r="K66" s="15">
        <f>IF($H66="","",IF($H66=0,"⛔ اكتب رقم الفاتورة",IF(COUNTIF($B$7:$B$606,$H66)=0,"🟡 ما انزلت بنودها",IF(ROUND($I66-$J66,3)=0,"✅ خلصت","⛔ فرق "&amp;TEXT($I66-$J66,"0.000")))))</f>
        <v/>
      </c>
      <c r="M66">
        <f>IF(AND($H66&lt;&gt;"",$H66&lt;&gt;0,LEFT($K66,1)&lt;&gt;"✅"),COUNT($M$6:M65)+1,"")</f>
        <v/>
      </c>
      <c r="N66">
        <f>IFERROR(INDEX($H$7:$H$206,MATCH(ROW()-6,$M$7:$M$206,0)),"")</f>
        <v/>
      </c>
    </row>
    <row r="67" ht="21" customHeight="1">
      <c r="A67" s="9">
        <f>IF(C67="","",IF(COUNTIF('الفواتير'!$D$7:$D$206,B67)=0,"⛔",ROW()-6))</f>
        <v/>
      </c>
      <c r="B67" s="12" t="n"/>
      <c r="C67" s="10" t="n"/>
      <c r="D67" s="12" t="n"/>
      <c r="E67" s="13" t="n"/>
      <c r="F67" s="14">
        <f>IF(C67="","",N(D67)*N(E67))</f>
        <v/>
      </c>
      <c r="H67" s="9">
        <f>IF('الفواتير'!$E67="يدوية",'الفواتير'!$D67,"")</f>
        <v/>
      </c>
      <c r="I67" s="14">
        <f>IF($H67="","",'الفواتير'!$F67)</f>
        <v/>
      </c>
      <c r="J67" s="14">
        <f>IF($H67="","",SUMIF($B$7:$B$606,$H67,$F$7:$F$606))</f>
        <v/>
      </c>
      <c r="K67" s="15">
        <f>IF($H67="","",IF($H67=0,"⛔ اكتب رقم الفاتورة",IF(COUNTIF($B$7:$B$606,$H67)=0,"🟡 ما انزلت بنودها",IF(ROUND($I67-$J67,3)=0,"✅ خلصت","⛔ فرق "&amp;TEXT($I67-$J67,"0.000")))))</f>
        <v/>
      </c>
      <c r="M67">
        <f>IF(AND($H67&lt;&gt;"",$H67&lt;&gt;0,LEFT($K67,1)&lt;&gt;"✅"),COUNT($M$6:M66)+1,"")</f>
        <v/>
      </c>
      <c r="N67">
        <f>IFERROR(INDEX($H$7:$H$206,MATCH(ROW()-6,$M$7:$M$206,0)),"")</f>
        <v/>
      </c>
    </row>
    <row r="68" ht="21" customHeight="1">
      <c r="A68" s="9">
        <f>IF(C68="","",IF(COUNTIF('الفواتير'!$D$7:$D$206,B68)=0,"⛔",ROW()-6))</f>
        <v/>
      </c>
      <c r="B68" s="12" t="n"/>
      <c r="C68" s="10" t="n"/>
      <c r="D68" s="12" t="n"/>
      <c r="E68" s="13" t="n"/>
      <c r="F68" s="14">
        <f>IF(C68="","",N(D68)*N(E68))</f>
        <v/>
      </c>
      <c r="H68" s="9">
        <f>IF('الفواتير'!$E68="يدوية",'الفواتير'!$D68,"")</f>
        <v/>
      </c>
      <c r="I68" s="14">
        <f>IF($H68="","",'الفواتير'!$F68)</f>
        <v/>
      </c>
      <c r="J68" s="14">
        <f>IF($H68="","",SUMIF($B$7:$B$606,$H68,$F$7:$F$606))</f>
        <v/>
      </c>
      <c r="K68" s="15">
        <f>IF($H68="","",IF($H68=0,"⛔ اكتب رقم الفاتورة",IF(COUNTIF($B$7:$B$606,$H68)=0,"🟡 ما انزلت بنودها",IF(ROUND($I68-$J68,3)=0,"✅ خلصت","⛔ فرق "&amp;TEXT($I68-$J68,"0.000")))))</f>
        <v/>
      </c>
      <c r="M68">
        <f>IF(AND($H68&lt;&gt;"",$H68&lt;&gt;0,LEFT($K68,1)&lt;&gt;"✅"),COUNT($M$6:M67)+1,"")</f>
        <v/>
      </c>
      <c r="N68">
        <f>IFERROR(INDEX($H$7:$H$206,MATCH(ROW()-6,$M$7:$M$206,0)),"")</f>
        <v/>
      </c>
    </row>
    <row r="69" ht="21" customHeight="1">
      <c r="A69" s="9">
        <f>IF(C69="","",IF(COUNTIF('الفواتير'!$D$7:$D$206,B69)=0,"⛔",ROW()-6))</f>
        <v/>
      </c>
      <c r="B69" s="12" t="n"/>
      <c r="C69" s="10" t="n"/>
      <c r="D69" s="12" t="n"/>
      <c r="E69" s="13" t="n"/>
      <c r="F69" s="14">
        <f>IF(C69="","",N(D69)*N(E69))</f>
        <v/>
      </c>
      <c r="H69" s="9">
        <f>IF('الفواتير'!$E69="يدوية",'الفواتير'!$D69,"")</f>
        <v/>
      </c>
      <c r="I69" s="14">
        <f>IF($H69="","",'الفواتير'!$F69)</f>
        <v/>
      </c>
      <c r="J69" s="14">
        <f>IF($H69="","",SUMIF($B$7:$B$606,$H69,$F$7:$F$606))</f>
        <v/>
      </c>
      <c r="K69" s="15">
        <f>IF($H69="","",IF($H69=0,"⛔ اكتب رقم الفاتورة",IF(COUNTIF($B$7:$B$606,$H69)=0,"🟡 ما انزلت بنودها",IF(ROUND($I69-$J69,3)=0,"✅ خلصت","⛔ فرق "&amp;TEXT($I69-$J69,"0.000")))))</f>
        <v/>
      </c>
      <c r="M69">
        <f>IF(AND($H69&lt;&gt;"",$H69&lt;&gt;0,LEFT($K69,1)&lt;&gt;"✅"),COUNT($M$6:M68)+1,"")</f>
        <v/>
      </c>
      <c r="N69">
        <f>IFERROR(INDEX($H$7:$H$206,MATCH(ROW()-6,$M$7:$M$206,0)),"")</f>
        <v/>
      </c>
    </row>
    <row r="70" ht="21" customHeight="1">
      <c r="A70" s="9">
        <f>IF(C70="","",IF(COUNTIF('الفواتير'!$D$7:$D$206,B70)=0,"⛔",ROW()-6))</f>
        <v/>
      </c>
      <c r="B70" s="12" t="n"/>
      <c r="C70" s="10" t="n"/>
      <c r="D70" s="12" t="n"/>
      <c r="E70" s="13" t="n"/>
      <c r="F70" s="14">
        <f>IF(C70="","",N(D70)*N(E70))</f>
        <v/>
      </c>
      <c r="H70" s="9">
        <f>IF('الفواتير'!$E70="يدوية",'الفواتير'!$D70,"")</f>
        <v/>
      </c>
      <c r="I70" s="14">
        <f>IF($H70="","",'الفواتير'!$F70)</f>
        <v/>
      </c>
      <c r="J70" s="14">
        <f>IF($H70="","",SUMIF($B$7:$B$606,$H70,$F$7:$F$606))</f>
        <v/>
      </c>
      <c r="K70" s="15">
        <f>IF($H70="","",IF($H70=0,"⛔ اكتب رقم الفاتورة",IF(COUNTIF($B$7:$B$606,$H70)=0,"🟡 ما انزلت بنودها",IF(ROUND($I70-$J70,3)=0,"✅ خلصت","⛔ فرق "&amp;TEXT($I70-$J70,"0.000")))))</f>
        <v/>
      </c>
      <c r="M70">
        <f>IF(AND($H70&lt;&gt;"",$H70&lt;&gt;0,LEFT($K70,1)&lt;&gt;"✅"),COUNT($M$6:M69)+1,"")</f>
        <v/>
      </c>
      <c r="N70">
        <f>IFERROR(INDEX($H$7:$H$206,MATCH(ROW()-6,$M$7:$M$206,0)),"")</f>
        <v/>
      </c>
    </row>
    <row r="71" ht="21" customHeight="1">
      <c r="A71" s="9">
        <f>IF(C71="","",IF(COUNTIF('الفواتير'!$D$7:$D$206,B71)=0,"⛔",ROW()-6))</f>
        <v/>
      </c>
      <c r="B71" s="12" t="n"/>
      <c r="C71" s="10" t="n"/>
      <c r="D71" s="12" t="n"/>
      <c r="E71" s="13" t="n"/>
      <c r="F71" s="14">
        <f>IF(C71="","",N(D71)*N(E71))</f>
        <v/>
      </c>
      <c r="H71" s="9">
        <f>IF('الفواتير'!$E71="يدوية",'الفواتير'!$D71,"")</f>
        <v/>
      </c>
      <c r="I71" s="14">
        <f>IF($H71="","",'الفواتير'!$F71)</f>
        <v/>
      </c>
      <c r="J71" s="14">
        <f>IF($H71="","",SUMIF($B$7:$B$606,$H71,$F$7:$F$606))</f>
        <v/>
      </c>
      <c r="K71" s="15">
        <f>IF($H71="","",IF($H71=0,"⛔ اكتب رقم الفاتورة",IF(COUNTIF($B$7:$B$606,$H71)=0,"🟡 ما انزلت بنودها",IF(ROUND($I71-$J71,3)=0,"✅ خلصت","⛔ فرق "&amp;TEXT($I71-$J71,"0.000")))))</f>
        <v/>
      </c>
      <c r="M71">
        <f>IF(AND($H71&lt;&gt;"",$H71&lt;&gt;0,LEFT($K71,1)&lt;&gt;"✅"),COUNT($M$6:M70)+1,"")</f>
        <v/>
      </c>
      <c r="N71">
        <f>IFERROR(INDEX($H$7:$H$206,MATCH(ROW()-6,$M$7:$M$206,0)),"")</f>
        <v/>
      </c>
    </row>
    <row r="72" ht="21" customHeight="1">
      <c r="A72" s="9">
        <f>IF(C72="","",IF(COUNTIF('الفواتير'!$D$7:$D$206,B72)=0,"⛔",ROW()-6))</f>
        <v/>
      </c>
      <c r="B72" s="12" t="n"/>
      <c r="C72" s="10" t="n"/>
      <c r="D72" s="12" t="n"/>
      <c r="E72" s="13" t="n"/>
      <c r="F72" s="14">
        <f>IF(C72="","",N(D72)*N(E72))</f>
        <v/>
      </c>
      <c r="H72" s="9">
        <f>IF('الفواتير'!$E72="يدوية",'الفواتير'!$D72,"")</f>
        <v/>
      </c>
      <c r="I72" s="14">
        <f>IF($H72="","",'الفواتير'!$F72)</f>
        <v/>
      </c>
      <c r="J72" s="14">
        <f>IF($H72="","",SUMIF($B$7:$B$606,$H72,$F$7:$F$606))</f>
        <v/>
      </c>
      <c r="K72" s="15">
        <f>IF($H72="","",IF($H72=0,"⛔ اكتب رقم الفاتورة",IF(COUNTIF($B$7:$B$606,$H72)=0,"🟡 ما انزلت بنودها",IF(ROUND($I72-$J72,3)=0,"✅ خلصت","⛔ فرق "&amp;TEXT($I72-$J72,"0.000")))))</f>
        <v/>
      </c>
      <c r="M72">
        <f>IF(AND($H72&lt;&gt;"",$H72&lt;&gt;0,LEFT($K72,1)&lt;&gt;"✅"),COUNT($M$6:M71)+1,"")</f>
        <v/>
      </c>
      <c r="N72">
        <f>IFERROR(INDEX($H$7:$H$206,MATCH(ROW()-6,$M$7:$M$206,0)),"")</f>
        <v/>
      </c>
    </row>
    <row r="73" ht="21" customHeight="1">
      <c r="A73" s="9">
        <f>IF(C73="","",IF(COUNTIF('الفواتير'!$D$7:$D$206,B73)=0,"⛔",ROW()-6))</f>
        <v/>
      </c>
      <c r="B73" s="12" t="n"/>
      <c r="C73" s="10" t="n"/>
      <c r="D73" s="12" t="n"/>
      <c r="E73" s="13" t="n"/>
      <c r="F73" s="14">
        <f>IF(C73="","",N(D73)*N(E73))</f>
        <v/>
      </c>
      <c r="H73" s="9">
        <f>IF('الفواتير'!$E73="يدوية",'الفواتير'!$D73,"")</f>
        <v/>
      </c>
      <c r="I73" s="14">
        <f>IF($H73="","",'الفواتير'!$F73)</f>
        <v/>
      </c>
      <c r="J73" s="14">
        <f>IF($H73="","",SUMIF($B$7:$B$606,$H73,$F$7:$F$606))</f>
        <v/>
      </c>
      <c r="K73" s="15">
        <f>IF($H73="","",IF($H73=0,"⛔ اكتب رقم الفاتورة",IF(COUNTIF($B$7:$B$606,$H73)=0,"🟡 ما انزلت بنودها",IF(ROUND($I73-$J73,3)=0,"✅ خلصت","⛔ فرق "&amp;TEXT($I73-$J73,"0.000")))))</f>
        <v/>
      </c>
      <c r="M73">
        <f>IF(AND($H73&lt;&gt;"",$H73&lt;&gt;0,LEFT($K73,1)&lt;&gt;"✅"),COUNT($M$6:M72)+1,"")</f>
        <v/>
      </c>
      <c r="N73">
        <f>IFERROR(INDEX($H$7:$H$206,MATCH(ROW()-6,$M$7:$M$206,0)),"")</f>
        <v/>
      </c>
    </row>
    <row r="74" ht="21" customHeight="1">
      <c r="A74" s="9">
        <f>IF(C74="","",IF(COUNTIF('الفواتير'!$D$7:$D$206,B74)=0,"⛔",ROW()-6))</f>
        <v/>
      </c>
      <c r="B74" s="12" t="n"/>
      <c r="C74" s="10" t="n"/>
      <c r="D74" s="12" t="n"/>
      <c r="E74" s="13" t="n"/>
      <c r="F74" s="14">
        <f>IF(C74="","",N(D74)*N(E74))</f>
        <v/>
      </c>
      <c r="H74" s="9">
        <f>IF('الفواتير'!$E74="يدوية",'الفواتير'!$D74,"")</f>
        <v/>
      </c>
      <c r="I74" s="14">
        <f>IF($H74="","",'الفواتير'!$F74)</f>
        <v/>
      </c>
      <c r="J74" s="14">
        <f>IF($H74="","",SUMIF($B$7:$B$606,$H74,$F$7:$F$606))</f>
        <v/>
      </c>
      <c r="K74" s="15">
        <f>IF($H74="","",IF($H74=0,"⛔ اكتب رقم الفاتورة",IF(COUNTIF($B$7:$B$606,$H74)=0,"🟡 ما انزلت بنودها",IF(ROUND($I74-$J74,3)=0,"✅ خلصت","⛔ فرق "&amp;TEXT($I74-$J74,"0.000")))))</f>
        <v/>
      </c>
      <c r="M74">
        <f>IF(AND($H74&lt;&gt;"",$H74&lt;&gt;0,LEFT($K74,1)&lt;&gt;"✅"),COUNT($M$6:M73)+1,"")</f>
        <v/>
      </c>
      <c r="N74">
        <f>IFERROR(INDEX($H$7:$H$206,MATCH(ROW()-6,$M$7:$M$206,0)),"")</f>
        <v/>
      </c>
    </row>
    <row r="75" ht="21" customHeight="1">
      <c r="A75" s="9">
        <f>IF(C75="","",IF(COUNTIF('الفواتير'!$D$7:$D$206,B75)=0,"⛔",ROW()-6))</f>
        <v/>
      </c>
      <c r="B75" s="12" t="n"/>
      <c r="C75" s="10" t="n"/>
      <c r="D75" s="12" t="n"/>
      <c r="E75" s="13" t="n"/>
      <c r="F75" s="14">
        <f>IF(C75="","",N(D75)*N(E75))</f>
        <v/>
      </c>
      <c r="H75" s="9">
        <f>IF('الفواتير'!$E75="يدوية",'الفواتير'!$D75,"")</f>
        <v/>
      </c>
      <c r="I75" s="14">
        <f>IF($H75="","",'الفواتير'!$F75)</f>
        <v/>
      </c>
      <c r="J75" s="14">
        <f>IF($H75="","",SUMIF($B$7:$B$606,$H75,$F$7:$F$606))</f>
        <v/>
      </c>
      <c r="K75" s="15">
        <f>IF($H75="","",IF($H75=0,"⛔ اكتب رقم الفاتورة",IF(COUNTIF($B$7:$B$606,$H75)=0,"🟡 ما انزلت بنودها",IF(ROUND($I75-$J75,3)=0,"✅ خلصت","⛔ فرق "&amp;TEXT($I75-$J75,"0.000")))))</f>
        <v/>
      </c>
      <c r="M75">
        <f>IF(AND($H75&lt;&gt;"",$H75&lt;&gt;0,LEFT($K75,1)&lt;&gt;"✅"),COUNT($M$6:M74)+1,"")</f>
        <v/>
      </c>
      <c r="N75">
        <f>IFERROR(INDEX($H$7:$H$206,MATCH(ROW()-6,$M$7:$M$206,0)),"")</f>
        <v/>
      </c>
    </row>
    <row r="76" ht="21" customHeight="1">
      <c r="A76" s="9">
        <f>IF(C76="","",IF(COUNTIF('الفواتير'!$D$7:$D$206,B76)=0,"⛔",ROW()-6))</f>
        <v/>
      </c>
      <c r="B76" s="12" t="n"/>
      <c r="C76" s="10" t="n"/>
      <c r="D76" s="12" t="n"/>
      <c r="E76" s="13" t="n"/>
      <c r="F76" s="14">
        <f>IF(C76="","",N(D76)*N(E76))</f>
        <v/>
      </c>
      <c r="H76" s="9">
        <f>IF('الفواتير'!$E76="يدوية",'الفواتير'!$D76,"")</f>
        <v/>
      </c>
      <c r="I76" s="14">
        <f>IF($H76="","",'الفواتير'!$F76)</f>
        <v/>
      </c>
      <c r="J76" s="14">
        <f>IF($H76="","",SUMIF($B$7:$B$606,$H76,$F$7:$F$606))</f>
        <v/>
      </c>
      <c r="K76" s="15">
        <f>IF($H76="","",IF($H76=0,"⛔ اكتب رقم الفاتورة",IF(COUNTIF($B$7:$B$606,$H76)=0,"🟡 ما انزلت بنودها",IF(ROUND($I76-$J76,3)=0,"✅ خلصت","⛔ فرق "&amp;TEXT($I76-$J76,"0.000")))))</f>
        <v/>
      </c>
      <c r="M76">
        <f>IF(AND($H76&lt;&gt;"",$H76&lt;&gt;0,LEFT($K76,1)&lt;&gt;"✅"),COUNT($M$6:M75)+1,"")</f>
        <v/>
      </c>
      <c r="N76">
        <f>IFERROR(INDEX($H$7:$H$206,MATCH(ROW()-6,$M$7:$M$206,0)),"")</f>
        <v/>
      </c>
    </row>
    <row r="77" ht="21" customHeight="1">
      <c r="A77" s="9">
        <f>IF(C77="","",IF(COUNTIF('الفواتير'!$D$7:$D$206,B77)=0,"⛔",ROW()-6))</f>
        <v/>
      </c>
      <c r="B77" s="12" t="n"/>
      <c r="C77" s="10" t="n"/>
      <c r="D77" s="12" t="n"/>
      <c r="E77" s="13" t="n"/>
      <c r="F77" s="14">
        <f>IF(C77="","",N(D77)*N(E77))</f>
        <v/>
      </c>
      <c r="H77" s="9">
        <f>IF('الفواتير'!$E77="يدوية",'الفواتير'!$D77,"")</f>
        <v/>
      </c>
      <c r="I77" s="14">
        <f>IF($H77="","",'الفواتير'!$F77)</f>
        <v/>
      </c>
      <c r="J77" s="14">
        <f>IF($H77="","",SUMIF($B$7:$B$606,$H77,$F$7:$F$606))</f>
        <v/>
      </c>
      <c r="K77" s="15">
        <f>IF($H77="","",IF($H77=0,"⛔ اكتب رقم الفاتورة",IF(COUNTIF($B$7:$B$606,$H77)=0,"🟡 ما انزلت بنودها",IF(ROUND($I77-$J77,3)=0,"✅ خلصت","⛔ فرق "&amp;TEXT($I77-$J77,"0.000")))))</f>
        <v/>
      </c>
      <c r="M77">
        <f>IF(AND($H77&lt;&gt;"",$H77&lt;&gt;0,LEFT($K77,1)&lt;&gt;"✅"),COUNT($M$6:M76)+1,"")</f>
        <v/>
      </c>
      <c r="N77">
        <f>IFERROR(INDEX($H$7:$H$206,MATCH(ROW()-6,$M$7:$M$206,0)),"")</f>
        <v/>
      </c>
    </row>
    <row r="78" ht="21" customHeight="1">
      <c r="A78" s="9">
        <f>IF(C78="","",IF(COUNTIF('الفواتير'!$D$7:$D$206,B78)=0,"⛔",ROW()-6))</f>
        <v/>
      </c>
      <c r="B78" s="12" t="n"/>
      <c r="C78" s="10" t="n"/>
      <c r="D78" s="12" t="n"/>
      <c r="E78" s="13" t="n"/>
      <c r="F78" s="14">
        <f>IF(C78="","",N(D78)*N(E78))</f>
        <v/>
      </c>
      <c r="H78" s="9">
        <f>IF('الفواتير'!$E78="يدوية",'الفواتير'!$D78,"")</f>
        <v/>
      </c>
      <c r="I78" s="14">
        <f>IF($H78="","",'الفواتير'!$F78)</f>
        <v/>
      </c>
      <c r="J78" s="14">
        <f>IF($H78="","",SUMIF($B$7:$B$606,$H78,$F$7:$F$606))</f>
        <v/>
      </c>
      <c r="K78" s="15">
        <f>IF($H78="","",IF($H78=0,"⛔ اكتب رقم الفاتورة",IF(COUNTIF($B$7:$B$606,$H78)=0,"🟡 ما انزلت بنودها",IF(ROUND($I78-$J78,3)=0,"✅ خلصت","⛔ فرق "&amp;TEXT($I78-$J78,"0.000")))))</f>
        <v/>
      </c>
      <c r="M78">
        <f>IF(AND($H78&lt;&gt;"",$H78&lt;&gt;0,LEFT($K78,1)&lt;&gt;"✅"),COUNT($M$6:M77)+1,"")</f>
        <v/>
      </c>
      <c r="N78">
        <f>IFERROR(INDEX($H$7:$H$206,MATCH(ROW()-6,$M$7:$M$206,0)),"")</f>
        <v/>
      </c>
    </row>
    <row r="79" ht="21" customHeight="1">
      <c r="A79" s="9">
        <f>IF(C79="","",IF(COUNTIF('الفواتير'!$D$7:$D$206,B79)=0,"⛔",ROW()-6))</f>
        <v/>
      </c>
      <c r="B79" s="12" t="n"/>
      <c r="C79" s="10" t="n"/>
      <c r="D79" s="12" t="n"/>
      <c r="E79" s="13" t="n"/>
      <c r="F79" s="14">
        <f>IF(C79="","",N(D79)*N(E79))</f>
        <v/>
      </c>
      <c r="H79" s="9">
        <f>IF('الفواتير'!$E79="يدوية",'الفواتير'!$D79,"")</f>
        <v/>
      </c>
      <c r="I79" s="14">
        <f>IF($H79="","",'الفواتير'!$F79)</f>
        <v/>
      </c>
      <c r="J79" s="14">
        <f>IF($H79="","",SUMIF($B$7:$B$606,$H79,$F$7:$F$606))</f>
        <v/>
      </c>
      <c r="K79" s="15">
        <f>IF($H79="","",IF($H79=0,"⛔ اكتب رقم الفاتورة",IF(COUNTIF($B$7:$B$606,$H79)=0,"🟡 ما انزلت بنودها",IF(ROUND($I79-$J79,3)=0,"✅ خلصت","⛔ فرق "&amp;TEXT($I79-$J79,"0.000")))))</f>
        <v/>
      </c>
      <c r="M79">
        <f>IF(AND($H79&lt;&gt;"",$H79&lt;&gt;0,LEFT($K79,1)&lt;&gt;"✅"),COUNT($M$6:M78)+1,"")</f>
        <v/>
      </c>
      <c r="N79">
        <f>IFERROR(INDEX($H$7:$H$206,MATCH(ROW()-6,$M$7:$M$206,0)),"")</f>
        <v/>
      </c>
    </row>
    <row r="80" ht="21" customHeight="1">
      <c r="A80" s="9">
        <f>IF(C80="","",IF(COUNTIF('الفواتير'!$D$7:$D$206,B80)=0,"⛔",ROW()-6))</f>
        <v/>
      </c>
      <c r="B80" s="12" t="n"/>
      <c r="C80" s="10" t="n"/>
      <c r="D80" s="12" t="n"/>
      <c r="E80" s="13" t="n"/>
      <c r="F80" s="14">
        <f>IF(C80="","",N(D80)*N(E80))</f>
        <v/>
      </c>
      <c r="H80" s="9">
        <f>IF('الفواتير'!$E80="يدوية",'الفواتير'!$D80,"")</f>
        <v/>
      </c>
      <c r="I80" s="14">
        <f>IF($H80="","",'الفواتير'!$F80)</f>
        <v/>
      </c>
      <c r="J80" s="14">
        <f>IF($H80="","",SUMIF($B$7:$B$606,$H80,$F$7:$F$606))</f>
        <v/>
      </c>
      <c r="K80" s="15">
        <f>IF($H80="","",IF($H80=0,"⛔ اكتب رقم الفاتورة",IF(COUNTIF($B$7:$B$606,$H80)=0,"🟡 ما انزلت بنودها",IF(ROUND($I80-$J80,3)=0,"✅ خلصت","⛔ فرق "&amp;TEXT($I80-$J80,"0.000")))))</f>
        <v/>
      </c>
      <c r="M80">
        <f>IF(AND($H80&lt;&gt;"",$H80&lt;&gt;0,LEFT($K80,1)&lt;&gt;"✅"),COUNT($M$6:M79)+1,"")</f>
        <v/>
      </c>
      <c r="N80">
        <f>IFERROR(INDEX($H$7:$H$206,MATCH(ROW()-6,$M$7:$M$206,0)),"")</f>
        <v/>
      </c>
    </row>
    <row r="81" ht="21" customHeight="1">
      <c r="A81" s="9">
        <f>IF(C81="","",IF(COUNTIF('الفواتير'!$D$7:$D$206,B81)=0,"⛔",ROW()-6))</f>
        <v/>
      </c>
      <c r="B81" s="12" t="n"/>
      <c r="C81" s="10" t="n"/>
      <c r="D81" s="12" t="n"/>
      <c r="E81" s="13" t="n"/>
      <c r="F81" s="14">
        <f>IF(C81="","",N(D81)*N(E81))</f>
        <v/>
      </c>
      <c r="H81" s="9">
        <f>IF('الفواتير'!$E81="يدوية",'الفواتير'!$D81,"")</f>
        <v/>
      </c>
      <c r="I81" s="14">
        <f>IF($H81="","",'الفواتير'!$F81)</f>
        <v/>
      </c>
      <c r="J81" s="14">
        <f>IF($H81="","",SUMIF($B$7:$B$606,$H81,$F$7:$F$606))</f>
        <v/>
      </c>
      <c r="K81" s="15">
        <f>IF($H81="","",IF($H81=0,"⛔ اكتب رقم الفاتورة",IF(COUNTIF($B$7:$B$606,$H81)=0,"🟡 ما انزلت بنودها",IF(ROUND($I81-$J81,3)=0,"✅ خلصت","⛔ فرق "&amp;TEXT($I81-$J81,"0.000")))))</f>
        <v/>
      </c>
      <c r="M81">
        <f>IF(AND($H81&lt;&gt;"",$H81&lt;&gt;0,LEFT($K81,1)&lt;&gt;"✅"),COUNT($M$6:M80)+1,"")</f>
        <v/>
      </c>
      <c r="N81">
        <f>IFERROR(INDEX($H$7:$H$206,MATCH(ROW()-6,$M$7:$M$206,0)),"")</f>
        <v/>
      </c>
    </row>
    <row r="82" ht="21" customHeight="1">
      <c r="A82" s="9">
        <f>IF(C82="","",IF(COUNTIF('الفواتير'!$D$7:$D$206,B82)=0,"⛔",ROW()-6))</f>
        <v/>
      </c>
      <c r="B82" s="12" t="n"/>
      <c r="C82" s="10" t="n"/>
      <c r="D82" s="12" t="n"/>
      <c r="E82" s="13" t="n"/>
      <c r="F82" s="14">
        <f>IF(C82="","",N(D82)*N(E82))</f>
        <v/>
      </c>
      <c r="H82" s="9">
        <f>IF('الفواتير'!$E82="يدوية",'الفواتير'!$D82,"")</f>
        <v/>
      </c>
      <c r="I82" s="14">
        <f>IF($H82="","",'الفواتير'!$F82)</f>
        <v/>
      </c>
      <c r="J82" s="14">
        <f>IF($H82="","",SUMIF($B$7:$B$606,$H82,$F$7:$F$606))</f>
        <v/>
      </c>
      <c r="K82" s="15">
        <f>IF($H82="","",IF($H82=0,"⛔ اكتب رقم الفاتورة",IF(COUNTIF($B$7:$B$606,$H82)=0,"🟡 ما انزلت بنودها",IF(ROUND($I82-$J82,3)=0,"✅ خلصت","⛔ فرق "&amp;TEXT($I82-$J82,"0.000")))))</f>
        <v/>
      </c>
      <c r="M82">
        <f>IF(AND($H82&lt;&gt;"",$H82&lt;&gt;0,LEFT($K82,1)&lt;&gt;"✅"),COUNT($M$6:M81)+1,"")</f>
        <v/>
      </c>
      <c r="N82">
        <f>IFERROR(INDEX($H$7:$H$206,MATCH(ROW()-6,$M$7:$M$206,0)),"")</f>
        <v/>
      </c>
    </row>
    <row r="83" ht="21" customHeight="1">
      <c r="A83" s="9">
        <f>IF(C83="","",IF(COUNTIF('الفواتير'!$D$7:$D$206,B83)=0,"⛔",ROW()-6))</f>
        <v/>
      </c>
      <c r="B83" s="12" t="n"/>
      <c r="C83" s="10" t="n"/>
      <c r="D83" s="12" t="n"/>
      <c r="E83" s="13" t="n"/>
      <c r="F83" s="14">
        <f>IF(C83="","",N(D83)*N(E83))</f>
        <v/>
      </c>
      <c r="H83" s="9">
        <f>IF('الفواتير'!$E83="يدوية",'الفواتير'!$D83,"")</f>
        <v/>
      </c>
      <c r="I83" s="14">
        <f>IF($H83="","",'الفواتير'!$F83)</f>
        <v/>
      </c>
      <c r="J83" s="14">
        <f>IF($H83="","",SUMIF($B$7:$B$606,$H83,$F$7:$F$606))</f>
        <v/>
      </c>
      <c r="K83" s="15">
        <f>IF($H83="","",IF($H83=0,"⛔ اكتب رقم الفاتورة",IF(COUNTIF($B$7:$B$606,$H83)=0,"🟡 ما انزلت بنودها",IF(ROUND($I83-$J83,3)=0,"✅ خلصت","⛔ فرق "&amp;TEXT($I83-$J83,"0.000")))))</f>
        <v/>
      </c>
      <c r="M83">
        <f>IF(AND($H83&lt;&gt;"",$H83&lt;&gt;0,LEFT($K83,1)&lt;&gt;"✅"),COUNT($M$6:M82)+1,"")</f>
        <v/>
      </c>
      <c r="N83">
        <f>IFERROR(INDEX($H$7:$H$206,MATCH(ROW()-6,$M$7:$M$206,0)),"")</f>
        <v/>
      </c>
    </row>
    <row r="84" ht="21" customHeight="1">
      <c r="A84" s="9">
        <f>IF(C84="","",IF(COUNTIF('الفواتير'!$D$7:$D$206,B84)=0,"⛔",ROW()-6))</f>
        <v/>
      </c>
      <c r="B84" s="12" t="n"/>
      <c r="C84" s="10" t="n"/>
      <c r="D84" s="12" t="n"/>
      <c r="E84" s="13" t="n"/>
      <c r="F84" s="14">
        <f>IF(C84="","",N(D84)*N(E84))</f>
        <v/>
      </c>
      <c r="H84" s="9">
        <f>IF('الفواتير'!$E84="يدوية",'الفواتير'!$D84,"")</f>
        <v/>
      </c>
      <c r="I84" s="14">
        <f>IF($H84="","",'الفواتير'!$F84)</f>
        <v/>
      </c>
      <c r="J84" s="14">
        <f>IF($H84="","",SUMIF($B$7:$B$606,$H84,$F$7:$F$606))</f>
        <v/>
      </c>
      <c r="K84" s="15">
        <f>IF($H84="","",IF($H84=0,"⛔ اكتب رقم الفاتورة",IF(COUNTIF($B$7:$B$606,$H84)=0,"🟡 ما انزلت بنودها",IF(ROUND($I84-$J84,3)=0,"✅ خلصت","⛔ فرق "&amp;TEXT($I84-$J84,"0.000")))))</f>
        <v/>
      </c>
      <c r="M84">
        <f>IF(AND($H84&lt;&gt;"",$H84&lt;&gt;0,LEFT($K84,1)&lt;&gt;"✅"),COUNT($M$6:M83)+1,"")</f>
        <v/>
      </c>
      <c r="N84">
        <f>IFERROR(INDEX($H$7:$H$206,MATCH(ROW()-6,$M$7:$M$206,0)),"")</f>
        <v/>
      </c>
    </row>
    <row r="85" ht="21" customHeight="1">
      <c r="A85" s="9">
        <f>IF(C85="","",IF(COUNTIF('الفواتير'!$D$7:$D$206,B85)=0,"⛔",ROW()-6))</f>
        <v/>
      </c>
      <c r="B85" s="12" t="n"/>
      <c r="C85" s="10" t="n"/>
      <c r="D85" s="12" t="n"/>
      <c r="E85" s="13" t="n"/>
      <c r="F85" s="14">
        <f>IF(C85="","",N(D85)*N(E85))</f>
        <v/>
      </c>
      <c r="H85" s="9">
        <f>IF('الفواتير'!$E85="يدوية",'الفواتير'!$D85,"")</f>
        <v/>
      </c>
      <c r="I85" s="14">
        <f>IF($H85="","",'الفواتير'!$F85)</f>
        <v/>
      </c>
      <c r="J85" s="14">
        <f>IF($H85="","",SUMIF($B$7:$B$606,$H85,$F$7:$F$606))</f>
        <v/>
      </c>
      <c r="K85" s="15">
        <f>IF($H85="","",IF($H85=0,"⛔ اكتب رقم الفاتورة",IF(COUNTIF($B$7:$B$606,$H85)=0,"🟡 ما انزلت بنودها",IF(ROUND($I85-$J85,3)=0,"✅ خلصت","⛔ فرق "&amp;TEXT($I85-$J85,"0.000")))))</f>
        <v/>
      </c>
      <c r="M85">
        <f>IF(AND($H85&lt;&gt;"",$H85&lt;&gt;0,LEFT($K85,1)&lt;&gt;"✅"),COUNT($M$6:M84)+1,"")</f>
        <v/>
      </c>
      <c r="N85">
        <f>IFERROR(INDEX($H$7:$H$206,MATCH(ROW()-6,$M$7:$M$206,0)),"")</f>
        <v/>
      </c>
    </row>
    <row r="86" ht="21" customHeight="1">
      <c r="A86" s="9">
        <f>IF(C86="","",IF(COUNTIF('الفواتير'!$D$7:$D$206,B86)=0,"⛔",ROW()-6))</f>
        <v/>
      </c>
      <c r="B86" s="12" t="n"/>
      <c r="C86" s="10" t="n"/>
      <c r="D86" s="12" t="n"/>
      <c r="E86" s="13" t="n"/>
      <c r="F86" s="14">
        <f>IF(C86="","",N(D86)*N(E86))</f>
        <v/>
      </c>
      <c r="H86" s="9">
        <f>IF('الفواتير'!$E86="يدوية",'الفواتير'!$D86,"")</f>
        <v/>
      </c>
      <c r="I86" s="14">
        <f>IF($H86="","",'الفواتير'!$F86)</f>
        <v/>
      </c>
      <c r="J86" s="14">
        <f>IF($H86="","",SUMIF($B$7:$B$606,$H86,$F$7:$F$606))</f>
        <v/>
      </c>
      <c r="K86" s="15">
        <f>IF($H86="","",IF($H86=0,"⛔ اكتب رقم الفاتورة",IF(COUNTIF($B$7:$B$606,$H86)=0,"🟡 ما انزلت بنودها",IF(ROUND($I86-$J86,3)=0,"✅ خلصت","⛔ فرق "&amp;TEXT($I86-$J86,"0.000")))))</f>
        <v/>
      </c>
      <c r="M86">
        <f>IF(AND($H86&lt;&gt;"",$H86&lt;&gt;0,LEFT($K86,1)&lt;&gt;"✅"),COUNT($M$6:M85)+1,"")</f>
        <v/>
      </c>
      <c r="N86">
        <f>IFERROR(INDEX($H$7:$H$206,MATCH(ROW()-6,$M$7:$M$206,0)),"")</f>
        <v/>
      </c>
    </row>
    <row r="87" ht="21" customHeight="1">
      <c r="A87" s="9">
        <f>IF(C87="","",IF(COUNTIF('الفواتير'!$D$7:$D$206,B87)=0,"⛔",ROW()-6))</f>
        <v/>
      </c>
      <c r="B87" s="12" t="n"/>
      <c r="C87" s="10" t="n"/>
      <c r="D87" s="12" t="n"/>
      <c r="E87" s="13" t="n"/>
      <c r="F87" s="14">
        <f>IF(C87="","",N(D87)*N(E87))</f>
        <v/>
      </c>
      <c r="H87" s="9">
        <f>IF('الفواتير'!$E87="يدوية",'الفواتير'!$D87,"")</f>
        <v/>
      </c>
      <c r="I87" s="14">
        <f>IF($H87="","",'الفواتير'!$F87)</f>
        <v/>
      </c>
      <c r="J87" s="14">
        <f>IF($H87="","",SUMIF($B$7:$B$606,$H87,$F$7:$F$606))</f>
        <v/>
      </c>
      <c r="K87" s="15">
        <f>IF($H87="","",IF($H87=0,"⛔ اكتب رقم الفاتورة",IF(COUNTIF($B$7:$B$606,$H87)=0,"🟡 ما انزلت بنودها",IF(ROUND($I87-$J87,3)=0,"✅ خلصت","⛔ فرق "&amp;TEXT($I87-$J87,"0.000")))))</f>
        <v/>
      </c>
      <c r="M87">
        <f>IF(AND($H87&lt;&gt;"",$H87&lt;&gt;0,LEFT($K87,1)&lt;&gt;"✅"),COUNT($M$6:M86)+1,"")</f>
        <v/>
      </c>
      <c r="N87">
        <f>IFERROR(INDEX($H$7:$H$206,MATCH(ROW()-6,$M$7:$M$206,0)),"")</f>
        <v/>
      </c>
    </row>
    <row r="88" ht="21" customHeight="1">
      <c r="A88" s="9">
        <f>IF(C88="","",IF(COUNTIF('الفواتير'!$D$7:$D$206,B88)=0,"⛔",ROW()-6))</f>
        <v/>
      </c>
      <c r="B88" s="12" t="n"/>
      <c r="C88" s="10" t="n"/>
      <c r="D88" s="12" t="n"/>
      <c r="E88" s="13" t="n"/>
      <c r="F88" s="14">
        <f>IF(C88="","",N(D88)*N(E88))</f>
        <v/>
      </c>
      <c r="H88" s="9">
        <f>IF('الفواتير'!$E88="يدوية",'الفواتير'!$D88,"")</f>
        <v/>
      </c>
      <c r="I88" s="14">
        <f>IF($H88="","",'الفواتير'!$F88)</f>
        <v/>
      </c>
      <c r="J88" s="14">
        <f>IF($H88="","",SUMIF($B$7:$B$606,$H88,$F$7:$F$606))</f>
        <v/>
      </c>
      <c r="K88" s="15">
        <f>IF($H88="","",IF($H88=0,"⛔ اكتب رقم الفاتورة",IF(COUNTIF($B$7:$B$606,$H88)=0,"🟡 ما انزلت بنودها",IF(ROUND($I88-$J88,3)=0,"✅ خلصت","⛔ فرق "&amp;TEXT($I88-$J88,"0.000")))))</f>
        <v/>
      </c>
      <c r="M88">
        <f>IF(AND($H88&lt;&gt;"",$H88&lt;&gt;0,LEFT($K88,1)&lt;&gt;"✅"),COUNT($M$6:M87)+1,"")</f>
        <v/>
      </c>
      <c r="N88">
        <f>IFERROR(INDEX($H$7:$H$206,MATCH(ROW()-6,$M$7:$M$206,0)),"")</f>
        <v/>
      </c>
    </row>
    <row r="89" ht="21" customHeight="1">
      <c r="A89" s="9">
        <f>IF(C89="","",IF(COUNTIF('الفواتير'!$D$7:$D$206,B89)=0,"⛔",ROW()-6))</f>
        <v/>
      </c>
      <c r="B89" s="12" t="n"/>
      <c r="C89" s="10" t="n"/>
      <c r="D89" s="12" t="n"/>
      <c r="E89" s="13" t="n"/>
      <c r="F89" s="14">
        <f>IF(C89="","",N(D89)*N(E89))</f>
        <v/>
      </c>
      <c r="H89" s="9">
        <f>IF('الفواتير'!$E89="يدوية",'الفواتير'!$D89,"")</f>
        <v/>
      </c>
      <c r="I89" s="14">
        <f>IF($H89="","",'الفواتير'!$F89)</f>
        <v/>
      </c>
      <c r="J89" s="14">
        <f>IF($H89="","",SUMIF($B$7:$B$606,$H89,$F$7:$F$606))</f>
        <v/>
      </c>
      <c r="K89" s="15">
        <f>IF($H89="","",IF($H89=0,"⛔ اكتب رقم الفاتورة",IF(COUNTIF($B$7:$B$606,$H89)=0,"🟡 ما انزلت بنودها",IF(ROUND($I89-$J89,3)=0,"✅ خلصت","⛔ فرق "&amp;TEXT($I89-$J89,"0.000")))))</f>
        <v/>
      </c>
      <c r="M89">
        <f>IF(AND($H89&lt;&gt;"",$H89&lt;&gt;0,LEFT($K89,1)&lt;&gt;"✅"),COUNT($M$6:M88)+1,"")</f>
        <v/>
      </c>
      <c r="N89">
        <f>IFERROR(INDEX($H$7:$H$206,MATCH(ROW()-6,$M$7:$M$206,0)),"")</f>
        <v/>
      </c>
    </row>
    <row r="90" ht="21" customHeight="1">
      <c r="A90" s="9">
        <f>IF(C90="","",IF(COUNTIF('الفواتير'!$D$7:$D$206,B90)=0,"⛔",ROW()-6))</f>
        <v/>
      </c>
      <c r="B90" s="12" t="n"/>
      <c r="C90" s="10" t="n"/>
      <c r="D90" s="12" t="n"/>
      <c r="E90" s="13" t="n"/>
      <c r="F90" s="14">
        <f>IF(C90="","",N(D90)*N(E90))</f>
        <v/>
      </c>
      <c r="H90" s="9">
        <f>IF('الفواتير'!$E90="يدوية",'الفواتير'!$D90,"")</f>
        <v/>
      </c>
      <c r="I90" s="14">
        <f>IF($H90="","",'الفواتير'!$F90)</f>
        <v/>
      </c>
      <c r="J90" s="14">
        <f>IF($H90="","",SUMIF($B$7:$B$606,$H90,$F$7:$F$606))</f>
        <v/>
      </c>
      <c r="K90" s="15">
        <f>IF($H90="","",IF($H90=0,"⛔ اكتب رقم الفاتورة",IF(COUNTIF($B$7:$B$606,$H90)=0,"🟡 ما انزلت بنودها",IF(ROUND($I90-$J90,3)=0,"✅ خلصت","⛔ فرق "&amp;TEXT($I90-$J90,"0.000")))))</f>
        <v/>
      </c>
      <c r="M90">
        <f>IF(AND($H90&lt;&gt;"",$H90&lt;&gt;0,LEFT($K90,1)&lt;&gt;"✅"),COUNT($M$6:M89)+1,"")</f>
        <v/>
      </c>
      <c r="N90">
        <f>IFERROR(INDEX($H$7:$H$206,MATCH(ROW()-6,$M$7:$M$206,0)),"")</f>
        <v/>
      </c>
    </row>
    <row r="91" ht="21" customHeight="1">
      <c r="A91" s="9">
        <f>IF(C91="","",IF(COUNTIF('الفواتير'!$D$7:$D$206,B91)=0,"⛔",ROW()-6))</f>
        <v/>
      </c>
      <c r="B91" s="12" t="n"/>
      <c r="C91" s="10" t="n"/>
      <c r="D91" s="12" t="n"/>
      <c r="E91" s="13" t="n"/>
      <c r="F91" s="14">
        <f>IF(C91="","",N(D91)*N(E91))</f>
        <v/>
      </c>
      <c r="H91" s="9">
        <f>IF('الفواتير'!$E91="يدوية",'الفواتير'!$D91,"")</f>
        <v/>
      </c>
      <c r="I91" s="14">
        <f>IF($H91="","",'الفواتير'!$F91)</f>
        <v/>
      </c>
      <c r="J91" s="14">
        <f>IF($H91="","",SUMIF($B$7:$B$606,$H91,$F$7:$F$606))</f>
        <v/>
      </c>
      <c r="K91" s="15">
        <f>IF($H91="","",IF($H91=0,"⛔ اكتب رقم الفاتورة",IF(COUNTIF($B$7:$B$606,$H91)=0,"🟡 ما انزلت بنودها",IF(ROUND($I91-$J91,3)=0,"✅ خلصت","⛔ فرق "&amp;TEXT($I91-$J91,"0.000")))))</f>
        <v/>
      </c>
      <c r="M91">
        <f>IF(AND($H91&lt;&gt;"",$H91&lt;&gt;0,LEFT($K91,1)&lt;&gt;"✅"),COUNT($M$6:M90)+1,"")</f>
        <v/>
      </c>
      <c r="N91">
        <f>IFERROR(INDEX($H$7:$H$206,MATCH(ROW()-6,$M$7:$M$206,0)),"")</f>
        <v/>
      </c>
    </row>
    <row r="92" ht="21" customHeight="1">
      <c r="A92" s="9">
        <f>IF(C92="","",IF(COUNTIF('الفواتير'!$D$7:$D$206,B92)=0,"⛔",ROW()-6))</f>
        <v/>
      </c>
      <c r="B92" s="12" t="n"/>
      <c r="C92" s="10" t="n"/>
      <c r="D92" s="12" t="n"/>
      <c r="E92" s="13" t="n"/>
      <c r="F92" s="14">
        <f>IF(C92="","",N(D92)*N(E92))</f>
        <v/>
      </c>
      <c r="H92" s="9">
        <f>IF('الفواتير'!$E92="يدوية",'الفواتير'!$D92,"")</f>
        <v/>
      </c>
      <c r="I92" s="14">
        <f>IF($H92="","",'الفواتير'!$F92)</f>
        <v/>
      </c>
      <c r="J92" s="14">
        <f>IF($H92="","",SUMIF($B$7:$B$606,$H92,$F$7:$F$606))</f>
        <v/>
      </c>
      <c r="K92" s="15">
        <f>IF($H92="","",IF($H92=0,"⛔ اكتب رقم الفاتورة",IF(COUNTIF($B$7:$B$606,$H92)=0,"🟡 ما انزلت بنودها",IF(ROUND($I92-$J92,3)=0,"✅ خلصت","⛔ فرق "&amp;TEXT($I92-$J92,"0.000")))))</f>
        <v/>
      </c>
      <c r="M92">
        <f>IF(AND($H92&lt;&gt;"",$H92&lt;&gt;0,LEFT($K92,1)&lt;&gt;"✅"),COUNT($M$6:M91)+1,"")</f>
        <v/>
      </c>
      <c r="N92">
        <f>IFERROR(INDEX($H$7:$H$206,MATCH(ROW()-6,$M$7:$M$206,0)),"")</f>
        <v/>
      </c>
    </row>
    <row r="93" ht="21" customHeight="1">
      <c r="A93" s="9">
        <f>IF(C93="","",IF(COUNTIF('الفواتير'!$D$7:$D$206,B93)=0,"⛔",ROW()-6))</f>
        <v/>
      </c>
      <c r="B93" s="12" t="n"/>
      <c r="C93" s="10" t="n"/>
      <c r="D93" s="12" t="n"/>
      <c r="E93" s="13" t="n"/>
      <c r="F93" s="14">
        <f>IF(C93="","",N(D93)*N(E93))</f>
        <v/>
      </c>
      <c r="H93" s="9">
        <f>IF('الفواتير'!$E93="يدوية",'الفواتير'!$D93,"")</f>
        <v/>
      </c>
      <c r="I93" s="14">
        <f>IF($H93="","",'الفواتير'!$F93)</f>
        <v/>
      </c>
      <c r="J93" s="14">
        <f>IF($H93="","",SUMIF($B$7:$B$606,$H93,$F$7:$F$606))</f>
        <v/>
      </c>
      <c r="K93" s="15">
        <f>IF($H93="","",IF($H93=0,"⛔ اكتب رقم الفاتورة",IF(COUNTIF($B$7:$B$606,$H93)=0,"🟡 ما انزلت بنودها",IF(ROUND($I93-$J93,3)=0,"✅ خلصت","⛔ فرق "&amp;TEXT($I93-$J93,"0.000")))))</f>
        <v/>
      </c>
      <c r="M93">
        <f>IF(AND($H93&lt;&gt;"",$H93&lt;&gt;0,LEFT($K93,1)&lt;&gt;"✅"),COUNT($M$6:M92)+1,"")</f>
        <v/>
      </c>
      <c r="N93">
        <f>IFERROR(INDEX($H$7:$H$206,MATCH(ROW()-6,$M$7:$M$206,0)),"")</f>
        <v/>
      </c>
    </row>
    <row r="94" ht="21" customHeight="1">
      <c r="A94" s="9">
        <f>IF(C94="","",IF(COUNTIF('الفواتير'!$D$7:$D$206,B94)=0,"⛔",ROW()-6))</f>
        <v/>
      </c>
      <c r="B94" s="12" t="n"/>
      <c r="C94" s="10" t="n"/>
      <c r="D94" s="12" t="n"/>
      <c r="E94" s="13" t="n"/>
      <c r="F94" s="14">
        <f>IF(C94="","",N(D94)*N(E94))</f>
        <v/>
      </c>
      <c r="H94" s="9">
        <f>IF('الفواتير'!$E94="يدوية",'الفواتير'!$D94,"")</f>
        <v/>
      </c>
      <c r="I94" s="14">
        <f>IF($H94="","",'الفواتير'!$F94)</f>
        <v/>
      </c>
      <c r="J94" s="14">
        <f>IF($H94="","",SUMIF($B$7:$B$606,$H94,$F$7:$F$606))</f>
        <v/>
      </c>
      <c r="K94" s="15">
        <f>IF($H94="","",IF($H94=0,"⛔ اكتب رقم الفاتورة",IF(COUNTIF($B$7:$B$606,$H94)=0,"🟡 ما انزلت بنودها",IF(ROUND($I94-$J94,3)=0,"✅ خلصت","⛔ فرق "&amp;TEXT($I94-$J94,"0.000")))))</f>
        <v/>
      </c>
      <c r="M94">
        <f>IF(AND($H94&lt;&gt;"",$H94&lt;&gt;0,LEFT($K94,1)&lt;&gt;"✅"),COUNT($M$6:M93)+1,"")</f>
        <v/>
      </c>
      <c r="N94">
        <f>IFERROR(INDEX($H$7:$H$206,MATCH(ROW()-6,$M$7:$M$206,0)),"")</f>
        <v/>
      </c>
    </row>
    <row r="95" ht="21" customHeight="1">
      <c r="A95" s="9">
        <f>IF(C95="","",IF(COUNTIF('الفواتير'!$D$7:$D$206,B95)=0,"⛔",ROW()-6))</f>
        <v/>
      </c>
      <c r="B95" s="12" t="n"/>
      <c r="C95" s="10" t="n"/>
      <c r="D95" s="12" t="n"/>
      <c r="E95" s="13" t="n"/>
      <c r="F95" s="14">
        <f>IF(C95="","",N(D95)*N(E95))</f>
        <v/>
      </c>
      <c r="H95" s="9">
        <f>IF('الفواتير'!$E95="يدوية",'الفواتير'!$D95,"")</f>
        <v/>
      </c>
      <c r="I95" s="14">
        <f>IF($H95="","",'الفواتير'!$F95)</f>
        <v/>
      </c>
      <c r="J95" s="14">
        <f>IF($H95="","",SUMIF($B$7:$B$606,$H95,$F$7:$F$606))</f>
        <v/>
      </c>
      <c r="K95" s="15">
        <f>IF($H95="","",IF($H95=0,"⛔ اكتب رقم الفاتورة",IF(COUNTIF($B$7:$B$606,$H95)=0,"🟡 ما انزلت بنودها",IF(ROUND($I95-$J95,3)=0,"✅ خلصت","⛔ فرق "&amp;TEXT($I95-$J95,"0.000")))))</f>
        <v/>
      </c>
      <c r="M95">
        <f>IF(AND($H95&lt;&gt;"",$H95&lt;&gt;0,LEFT($K95,1)&lt;&gt;"✅"),COUNT($M$6:M94)+1,"")</f>
        <v/>
      </c>
      <c r="N95">
        <f>IFERROR(INDEX($H$7:$H$206,MATCH(ROW()-6,$M$7:$M$206,0)),"")</f>
        <v/>
      </c>
    </row>
    <row r="96" ht="21" customHeight="1">
      <c r="A96" s="9">
        <f>IF(C96="","",IF(COUNTIF('الفواتير'!$D$7:$D$206,B96)=0,"⛔",ROW()-6))</f>
        <v/>
      </c>
      <c r="B96" s="12" t="n"/>
      <c r="C96" s="10" t="n"/>
      <c r="D96" s="12" t="n"/>
      <c r="E96" s="13" t="n"/>
      <c r="F96" s="14">
        <f>IF(C96="","",N(D96)*N(E96))</f>
        <v/>
      </c>
      <c r="H96" s="9">
        <f>IF('الفواتير'!$E96="يدوية",'الفواتير'!$D96,"")</f>
        <v/>
      </c>
      <c r="I96" s="14">
        <f>IF($H96="","",'الفواتير'!$F96)</f>
        <v/>
      </c>
      <c r="J96" s="14">
        <f>IF($H96="","",SUMIF($B$7:$B$606,$H96,$F$7:$F$606))</f>
        <v/>
      </c>
      <c r="K96" s="15">
        <f>IF($H96="","",IF($H96=0,"⛔ اكتب رقم الفاتورة",IF(COUNTIF($B$7:$B$606,$H96)=0,"🟡 ما انزلت بنودها",IF(ROUND($I96-$J96,3)=0,"✅ خلصت","⛔ فرق "&amp;TEXT($I96-$J96,"0.000")))))</f>
        <v/>
      </c>
      <c r="M96">
        <f>IF(AND($H96&lt;&gt;"",$H96&lt;&gt;0,LEFT($K96,1)&lt;&gt;"✅"),COUNT($M$6:M95)+1,"")</f>
        <v/>
      </c>
      <c r="N96">
        <f>IFERROR(INDEX($H$7:$H$206,MATCH(ROW()-6,$M$7:$M$206,0)),"")</f>
        <v/>
      </c>
    </row>
    <row r="97" ht="21" customHeight="1">
      <c r="A97" s="9">
        <f>IF(C97="","",IF(COUNTIF('الفواتير'!$D$7:$D$206,B97)=0,"⛔",ROW()-6))</f>
        <v/>
      </c>
      <c r="B97" s="12" t="n"/>
      <c r="C97" s="10" t="n"/>
      <c r="D97" s="12" t="n"/>
      <c r="E97" s="13" t="n"/>
      <c r="F97" s="14">
        <f>IF(C97="","",N(D97)*N(E97))</f>
        <v/>
      </c>
      <c r="H97" s="9">
        <f>IF('الفواتير'!$E97="يدوية",'الفواتير'!$D97,"")</f>
        <v/>
      </c>
      <c r="I97" s="14">
        <f>IF($H97="","",'الفواتير'!$F97)</f>
        <v/>
      </c>
      <c r="J97" s="14">
        <f>IF($H97="","",SUMIF($B$7:$B$606,$H97,$F$7:$F$606))</f>
        <v/>
      </c>
      <c r="K97" s="15">
        <f>IF($H97="","",IF($H97=0,"⛔ اكتب رقم الفاتورة",IF(COUNTIF($B$7:$B$606,$H97)=0,"🟡 ما انزلت بنودها",IF(ROUND($I97-$J97,3)=0,"✅ خلصت","⛔ فرق "&amp;TEXT($I97-$J97,"0.000")))))</f>
        <v/>
      </c>
      <c r="M97">
        <f>IF(AND($H97&lt;&gt;"",$H97&lt;&gt;0,LEFT($K97,1)&lt;&gt;"✅"),COUNT($M$6:M96)+1,"")</f>
        <v/>
      </c>
      <c r="N97">
        <f>IFERROR(INDEX($H$7:$H$206,MATCH(ROW()-6,$M$7:$M$206,0)),"")</f>
        <v/>
      </c>
    </row>
    <row r="98" ht="21" customHeight="1">
      <c r="A98" s="9">
        <f>IF(C98="","",IF(COUNTIF('الفواتير'!$D$7:$D$206,B98)=0,"⛔",ROW()-6))</f>
        <v/>
      </c>
      <c r="B98" s="12" t="n"/>
      <c r="C98" s="10" t="n"/>
      <c r="D98" s="12" t="n"/>
      <c r="E98" s="13" t="n"/>
      <c r="F98" s="14">
        <f>IF(C98="","",N(D98)*N(E98))</f>
        <v/>
      </c>
      <c r="H98" s="9">
        <f>IF('الفواتير'!$E98="يدوية",'الفواتير'!$D98,"")</f>
        <v/>
      </c>
      <c r="I98" s="14">
        <f>IF($H98="","",'الفواتير'!$F98)</f>
        <v/>
      </c>
      <c r="J98" s="14">
        <f>IF($H98="","",SUMIF($B$7:$B$606,$H98,$F$7:$F$606))</f>
        <v/>
      </c>
      <c r="K98" s="15">
        <f>IF($H98="","",IF($H98=0,"⛔ اكتب رقم الفاتورة",IF(COUNTIF($B$7:$B$606,$H98)=0,"🟡 ما انزلت بنودها",IF(ROUND($I98-$J98,3)=0,"✅ خلصت","⛔ فرق "&amp;TEXT($I98-$J98,"0.000")))))</f>
        <v/>
      </c>
      <c r="M98">
        <f>IF(AND($H98&lt;&gt;"",$H98&lt;&gt;0,LEFT($K98,1)&lt;&gt;"✅"),COUNT($M$6:M97)+1,"")</f>
        <v/>
      </c>
      <c r="N98">
        <f>IFERROR(INDEX($H$7:$H$206,MATCH(ROW()-6,$M$7:$M$206,0)),"")</f>
        <v/>
      </c>
    </row>
    <row r="99" ht="21" customHeight="1">
      <c r="A99" s="9">
        <f>IF(C99="","",IF(COUNTIF('الفواتير'!$D$7:$D$206,B99)=0,"⛔",ROW()-6))</f>
        <v/>
      </c>
      <c r="B99" s="12" t="n"/>
      <c r="C99" s="10" t="n"/>
      <c r="D99" s="12" t="n"/>
      <c r="E99" s="13" t="n"/>
      <c r="F99" s="14">
        <f>IF(C99="","",N(D99)*N(E99))</f>
        <v/>
      </c>
      <c r="H99" s="9">
        <f>IF('الفواتير'!$E99="يدوية",'الفواتير'!$D99,"")</f>
        <v/>
      </c>
      <c r="I99" s="14">
        <f>IF($H99="","",'الفواتير'!$F99)</f>
        <v/>
      </c>
      <c r="J99" s="14">
        <f>IF($H99="","",SUMIF($B$7:$B$606,$H99,$F$7:$F$606))</f>
        <v/>
      </c>
      <c r="K99" s="15">
        <f>IF($H99="","",IF($H99=0,"⛔ اكتب رقم الفاتورة",IF(COUNTIF($B$7:$B$606,$H99)=0,"🟡 ما انزلت بنودها",IF(ROUND($I99-$J99,3)=0,"✅ خلصت","⛔ فرق "&amp;TEXT($I99-$J99,"0.000")))))</f>
        <v/>
      </c>
      <c r="M99">
        <f>IF(AND($H99&lt;&gt;"",$H99&lt;&gt;0,LEFT($K99,1)&lt;&gt;"✅"),COUNT($M$6:M98)+1,"")</f>
        <v/>
      </c>
      <c r="N99">
        <f>IFERROR(INDEX($H$7:$H$206,MATCH(ROW()-6,$M$7:$M$206,0)),"")</f>
        <v/>
      </c>
    </row>
    <row r="100" ht="21" customHeight="1">
      <c r="A100" s="9">
        <f>IF(C100="","",IF(COUNTIF('الفواتير'!$D$7:$D$206,B100)=0,"⛔",ROW()-6))</f>
        <v/>
      </c>
      <c r="B100" s="12" t="n"/>
      <c r="C100" s="10" t="n"/>
      <c r="D100" s="12" t="n"/>
      <c r="E100" s="13" t="n"/>
      <c r="F100" s="14">
        <f>IF(C100="","",N(D100)*N(E100))</f>
        <v/>
      </c>
      <c r="H100" s="9">
        <f>IF('الفواتير'!$E100="يدوية",'الفواتير'!$D100,"")</f>
        <v/>
      </c>
      <c r="I100" s="14">
        <f>IF($H100="","",'الفواتير'!$F100)</f>
        <v/>
      </c>
      <c r="J100" s="14">
        <f>IF($H100="","",SUMIF($B$7:$B$606,$H100,$F$7:$F$606))</f>
        <v/>
      </c>
      <c r="K100" s="15">
        <f>IF($H100="","",IF($H100=0,"⛔ اكتب رقم الفاتورة",IF(COUNTIF($B$7:$B$606,$H100)=0,"🟡 ما انزلت بنودها",IF(ROUND($I100-$J100,3)=0,"✅ خلصت","⛔ فرق "&amp;TEXT($I100-$J100,"0.000")))))</f>
        <v/>
      </c>
      <c r="M100">
        <f>IF(AND($H100&lt;&gt;"",$H100&lt;&gt;0,LEFT($K100,1)&lt;&gt;"✅"),COUNT($M$6:M99)+1,"")</f>
        <v/>
      </c>
      <c r="N100">
        <f>IFERROR(INDEX($H$7:$H$206,MATCH(ROW()-6,$M$7:$M$206,0)),"")</f>
        <v/>
      </c>
    </row>
    <row r="101" ht="21" customHeight="1">
      <c r="A101" s="9">
        <f>IF(C101="","",IF(COUNTIF('الفواتير'!$D$7:$D$206,B101)=0,"⛔",ROW()-6))</f>
        <v/>
      </c>
      <c r="B101" s="12" t="n"/>
      <c r="C101" s="10" t="n"/>
      <c r="D101" s="12" t="n"/>
      <c r="E101" s="13" t="n"/>
      <c r="F101" s="14">
        <f>IF(C101="","",N(D101)*N(E101))</f>
        <v/>
      </c>
      <c r="H101" s="9">
        <f>IF('الفواتير'!$E101="يدوية",'الفواتير'!$D101,"")</f>
        <v/>
      </c>
      <c r="I101" s="14">
        <f>IF($H101="","",'الفواتير'!$F101)</f>
        <v/>
      </c>
      <c r="J101" s="14">
        <f>IF($H101="","",SUMIF($B$7:$B$606,$H101,$F$7:$F$606))</f>
        <v/>
      </c>
      <c r="K101" s="15">
        <f>IF($H101="","",IF($H101=0,"⛔ اكتب رقم الفاتورة",IF(COUNTIF($B$7:$B$606,$H101)=0,"🟡 ما انزلت بنودها",IF(ROUND($I101-$J101,3)=0,"✅ خلصت","⛔ فرق "&amp;TEXT($I101-$J101,"0.000")))))</f>
        <v/>
      </c>
      <c r="M101">
        <f>IF(AND($H101&lt;&gt;"",$H101&lt;&gt;0,LEFT($K101,1)&lt;&gt;"✅"),COUNT($M$6:M100)+1,"")</f>
        <v/>
      </c>
      <c r="N101">
        <f>IFERROR(INDEX($H$7:$H$206,MATCH(ROW()-6,$M$7:$M$206,0)),"")</f>
        <v/>
      </c>
    </row>
    <row r="102" ht="21" customHeight="1">
      <c r="A102" s="9">
        <f>IF(C102="","",IF(COUNTIF('الفواتير'!$D$7:$D$206,B102)=0,"⛔",ROW()-6))</f>
        <v/>
      </c>
      <c r="B102" s="12" t="n"/>
      <c r="C102" s="10" t="n"/>
      <c r="D102" s="12" t="n"/>
      <c r="E102" s="13" t="n"/>
      <c r="F102" s="14">
        <f>IF(C102="","",N(D102)*N(E102))</f>
        <v/>
      </c>
      <c r="H102" s="9">
        <f>IF('الفواتير'!$E102="يدوية",'الفواتير'!$D102,"")</f>
        <v/>
      </c>
      <c r="I102" s="14">
        <f>IF($H102="","",'الفواتير'!$F102)</f>
        <v/>
      </c>
      <c r="J102" s="14">
        <f>IF($H102="","",SUMIF($B$7:$B$606,$H102,$F$7:$F$606))</f>
        <v/>
      </c>
      <c r="K102" s="15">
        <f>IF($H102="","",IF($H102=0,"⛔ اكتب رقم الفاتورة",IF(COUNTIF($B$7:$B$606,$H102)=0,"🟡 ما انزلت بنودها",IF(ROUND($I102-$J102,3)=0,"✅ خلصت","⛔ فرق "&amp;TEXT($I102-$J102,"0.000")))))</f>
        <v/>
      </c>
      <c r="M102">
        <f>IF(AND($H102&lt;&gt;"",$H102&lt;&gt;0,LEFT($K102,1)&lt;&gt;"✅"),COUNT($M$6:M101)+1,"")</f>
        <v/>
      </c>
      <c r="N102">
        <f>IFERROR(INDEX($H$7:$H$206,MATCH(ROW()-6,$M$7:$M$206,0)),"")</f>
        <v/>
      </c>
    </row>
    <row r="103" ht="21" customHeight="1">
      <c r="A103" s="9">
        <f>IF(C103="","",IF(COUNTIF('الفواتير'!$D$7:$D$206,B103)=0,"⛔",ROW()-6))</f>
        <v/>
      </c>
      <c r="B103" s="12" t="n"/>
      <c r="C103" s="10" t="n"/>
      <c r="D103" s="12" t="n"/>
      <c r="E103" s="13" t="n"/>
      <c r="F103" s="14">
        <f>IF(C103="","",N(D103)*N(E103))</f>
        <v/>
      </c>
      <c r="H103" s="9">
        <f>IF('الفواتير'!$E103="يدوية",'الفواتير'!$D103,"")</f>
        <v/>
      </c>
      <c r="I103" s="14">
        <f>IF($H103="","",'الفواتير'!$F103)</f>
        <v/>
      </c>
      <c r="J103" s="14">
        <f>IF($H103="","",SUMIF($B$7:$B$606,$H103,$F$7:$F$606))</f>
        <v/>
      </c>
      <c r="K103" s="15">
        <f>IF($H103="","",IF($H103=0,"⛔ اكتب رقم الفاتورة",IF(COUNTIF($B$7:$B$606,$H103)=0,"🟡 ما انزلت بنودها",IF(ROUND($I103-$J103,3)=0,"✅ خلصت","⛔ فرق "&amp;TEXT($I103-$J103,"0.000")))))</f>
        <v/>
      </c>
      <c r="M103">
        <f>IF(AND($H103&lt;&gt;"",$H103&lt;&gt;0,LEFT($K103,1)&lt;&gt;"✅"),COUNT($M$6:M102)+1,"")</f>
        <v/>
      </c>
      <c r="N103">
        <f>IFERROR(INDEX($H$7:$H$206,MATCH(ROW()-6,$M$7:$M$206,0)),"")</f>
        <v/>
      </c>
    </row>
    <row r="104" ht="21" customHeight="1">
      <c r="A104" s="9">
        <f>IF(C104="","",IF(COUNTIF('الفواتير'!$D$7:$D$206,B104)=0,"⛔",ROW()-6))</f>
        <v/>
      </c>
      <c r="B104" s="12" t="n"/>
      <c r="C104" s="10" t="n"/>
      <c r="D104" s="12" t="n"/>
      <c r="E104" s="13" t="n"/>
      <c r="F104" s="14">
        <f>IF(C104="","",N(D104)*N(E104))</f>
        <v/>
      </c>
      <c r="H104" s="9">
        <f>IF('الفواتير'!$E104="يدوية",'الفواتير'!$D104,"")</f>
        <v/>
      </c>
      <c r="I104" s="14">
        <f>IF($H104="","",'الفواتير'!$F104)</f>
        <v/>
      </c>
      <c r="J104" s="14">
        <f>IF($H104="","",SUMIF($B$7:$B$606,$H104,$F$7:$F$606))</f>
        <v/>
      </c>
      <c r="K104" s="15">
        <f>IF($H104="","",IF($H104=0,"⛔ اكتب رقم الفاتورة",IF(COUNTIF($B$7:$B$606,$H104)=0,"🟡 ما انزلت بنودها",IF(ROUND($I104-$J104,3)=0,"✅ خلصت","⛔ فرق "&amp;TEXT($I104-$J104,"0.000")))))</f>
        <v/>
      </c>
      <c r="M104">
        <f>IF(AND($H104&lt;&gt;"",$H104&lt;&gt;0,LEFT($K104,1)&lt;&gt;"✅"),COUNT($M$6:M103)+1,"")</f>
        <v/>
      </c>
      <c r="N104">
        <f>IFERROR(INDEX($H$7:$H$206,MATCH(ROW()-6,$M$7:$M$206,0)),"")</f>
        <v/>
      </c>
    </row>
    <row r="105" ht="21" customHeight="1">
      <c r="A105" s="9">
        <f>IF(C105="","",IF(COUNTIF('الفواتير'!$D$7:$D$206,B105)=0,"⛔",ROW()-6))</f>
        <v/>
      </c>
      <c r="B105" s="12" t="n"/>
      <c r="C105" s="10" t="n"/>
      <c r="D105" s="12" t="n"/>
      <c r="E105" s="13" t="n"/>
      <c r="F105" s="14">
        <f>IF(C105="","",N(D105)*N(E105))</f>
        <v/>
      </c>
      <c r="H105" s="9">
        <f>IF('الفواتير'!$E105="يدوية",'الفواتير'!$D105,"")</f>
        <v/>
      </c>
      <c r="I105" s="14">
        <f>IF($H105="","",'الفواتير'!$F105)</f>
        <v/>
      </c>
      <c r="J105" s="14">
        <f>IF($H105="","",SUMIF($B$7:$B$606,$H105,$F$7:$F$606))</f>
        <v/>
      </c>
      <c r="K105" s="15">
        <f>IF($H105="","",IF($H105=0,"⛔ اكتب رقم الفاتورة",IF(COUNTIF($B$7:$B$606,$H105)=0,"🟡 ما انزلت بنودها",IF(ROUND($I105-$J105,3)=0,"✅ خلصت","⛔ فرق "&amp;TEXT($I105-$J105,"0.000")))))</f>
        <v/>
      </c>
      <c r="M105">
        <f>IF(AND($H105&lt;&gt;"",$H105&lt;&gt;0,LEFT($K105,1)&lt;&gt;"✅"),COUNT($M$6:M104)+1,"")</f>
        <v/>
      </c>
      <c r="N105">
        <f>IFERROR(INDEX($H$7:$H$206,MATCH(ROW()-6,$M$7:$M$206,0)),"")</f>
        <v/>
      </c>
    </row>
    <row r="106" ht="21" customHeight="1">
      <c r="A106" s="9">
        <f>IF(C106="","",IF(COUNTIF('الفواتير'!$D$7:$D$206,B106)=0,"⛔",ROW()-6))</f>
        <v/>
      </c>
      <c r="B106" s="12" t="n"/>
      <c r="C106" s="10" t="n"/>
      <c r="D106" s="12" t="n"/>
      <c r="E106" s="13" t="n"/>
      <c r="F106" s="14">
        <f>IF(C106="","",N(D106)*N(E106))</f>
        <v/>
      </c>
      <c r="H106" s="9">
        <f>IF('الفواتير'!$E106="يدوية",'الفواتير'!$D106,"")</f>
        <v/>
      </c>
      <c r="I106" s="14">
        <f>IF($H106="","",'الفواتير'!$F106)</f>
        <v/>
      </c>
      <c r="J106" s="14">
        <f>IF($H106="","",SUMIF($B$7:$B$606,$H106,$F$7:$F$606))</f>
        <v/>
      </c>
      <c r="K106" s="15">
        <f>IF($H106="","",IF($H106=0,"⛔ اكتب رقم الفاتورة",IF(COUNTIF($B$7:$B$606,$H106)=0,"🟡 ما انزلت بنودها",IF(ROUND($I106-$J106,3)=0,"✅ خلصت","⛔ فرق "&amp;TEXT($I106-$J106,"0.000")))))</f>
        <v/>
      </c>
      <c r="M106">
        <f>IF(AND($H106&lt;&gt;"",$H106&lt;&gt;0,LEFT($K106,1)&lt;&gt;"✅"),COUNT($M$6:M105)+1,"")</f>
        <v/>
      </c>
      <c r="N106">
        <f>IFERROR(INDEX($H$7:$H$206,MATCH(ROW()-6,$M$7:$M$206,0)),"")</f>
        <v/>
      </c>
    </row>
    <row r="107" ht="21" customHeight="1">
      <c r="A107" s="9">
        <f>IF(C107="","",IF(COUNTIF('الفواتير'!$D$7:$D$206,B107)=0,"⛔",ROW()-6))</f>
        <v/>
      </c>
      <c r="B107" s="12" t="n"/>
      <c r="C107" s="10" t="n"/>
      <c r="D107" s="12" t="n"/>
      <c r="E107" s="13" t="n"/>
      <c r="F107" s="14">
        <f>IF(C107="","",N(D107)*N(E107))</f>
        <v/>
      </c>
      <c r="H107" s="9">
        <f>IF('الفواتير'!$E107="يدوية",'الفواتير'!$D107,"")</f>
        <v/>
      </c>
      <c r="I107" s="14">
        <f>IF($H107="","",'الفواتير'!$F107)</f>
        <v/>
      </c>
      <c r="J107" s="14">
        <f>IF($H107="","",SUMIF($B$7:$B$606,$H107,$F$7:$F$606))</f>
        <v/>
      </c>
      <c r="K107" s="15">
        <f>IF($H107="","",IF($H107=0,"⛔ اكتب رقم الفاتورة",IF(COUNTIF($B$7:$B$606,$H107)=0,"🟡 ما انزلت بنودها",IF(ROUND($I107-$J107,3)=0,"✅ خلصت","⛔ فرق "&amp;TEXT($I107-$J107,"0.000")))))</f>
        <v/>
      </c>
      <c r="M107">
        <f>IF(AND($H107&lt;&gt;"",$H107&lt;&gt;0,LEFT($K107,1)&lt;&gt;"✅"),COUNT($M$6:M106)+1,"")</f>
        <v/>
      </c>
      <c r="N107">
        <f>IFERROR(INDEX($H$7:$H$206,MATCH(ROW()-6,$M$7:$M$206,0)),"")</f>
        <v/>
      </c>
    </row>
    <row r="108" ht="21" customHeight="1">
      <c r="A108" s="9">
        <f>IF(C108="","",IF(COUNTIF('الفواتير'!$D$7:$D$206,B108)=0,"⛔",ROW()-6))</f>
        <v/>
      </c>
      <c r="B108" s="12" t="n"/>
      <c r="C108" s="10" t="n"/>
      <c r="D108" s="12" t="n"/>
      <c r="E108" s="13" t="n"/>
      <c r="F108" s="14">
        <f>IF(C108="","",N(D108)*N(E108))</f>
        <v/>
      </c>
      <c r="H108" s="9">
        <f>IF('الفواتير'!$E108="يدوية",'الفواتير'!$D108,"")</f>
        <v/>
      </c>
      <c r="I108" s="14">
        <f>IF($H108="","",'الفواتير'!$F108)</f>
        <v/>
      </c>
      <c r="J108" s="14">
        <f>IF($H108="","",SUMIF($B$7:$B$606,$H108,$F$7:$F$606))</f>
        <v/>
      </c>
      <c r="K108" s="15">
        <f>IF($H108="","",IF($H108=0,"⛔ اكتب رقم الفاتورة",IF(COUNTIF($B$7:$B$606,$H108)=0,"🟡 ما انزلت بنودها",IF(ROUND($I108-$J108,3)=0,"✅ خلصت","⛔ فرق "&amp;TEXT($I108-$J108,"0.000")))))</f>
        <v/>
      </c>
      <c r="M108">
        <f>IF(AND($H108&lt;&gt;"",$H108&lt;&gt;0,LEFT($K108,1)&lt;&gt;"✅"),COUNT($M$6:M107)+1,"")</f>
        <v/>
      </c>
      <c r="N108">
        <f>IFERROR(INDEX($H$7:$H$206,MATCH(ROW()-6,$M$7:$M$206,0)),"")</f>
        <v/>
      </c>
    </row>
    <row r="109" ht="21" customHeight="1">
      <c r="A109" s="9">
        <f>IF(C109="","",IF(COUNTIF('الفواتير'!$D$7:$D$206,B109)=0,"⛔",ROW()-6))</f>
        <v/>
      </c>
      <c r="B109" s="12" t="n"/>
      <c r="C109" s="10" t="n"/>
      <c r="D109" s="12" t="n"/>
      <c r="E109" s="13" t="n"/>
      <c r="F109" s="14">
        <f>IF(C109="","",N(D109)*N(E109))</f>
        <v/>
      </c>
      <c r="H109" s="9">
        <f>IF('الفواتير'!$E109="يدوية",'الفواتير'!$D109,"")</f>
        <v/>
      </c>
      <c r="I109" s="14">
        <f>IF($H109="","",'الفواتير'!$F109)</f>
        <v/>
      </c>
      <c r="J109" s="14">
        <f>IF($H109="","",SUMIF($B$7:$B$606,$H109,$F$7:$F$606))</f>
        <v/>
      </c>
      <c r="K109" s="15">
        <f>IF($H109="","",IF($H109=0,"⛔ اكتب رقم الفاتورة",IF(COUNTIF($B$7:$B$606,$H109)=0,"🟡 ما انزلت بنودها",IF(ROUND($I109-$J109,3)=0,"✅ خلصت","⛔ فرق "&amp;TEXT($I109-$J109,"0.000")))))</f>
        <v/>
      </c>
      <c r="M109">
        <f>IF(AND($H109&lt;&gt;"",$H109&lt;&gt;0,LEFT($K109,1)&lt;&gt;"✅"),COUNT($M$6:M108)+1,"")</f>
        <v/>
      </c>
      <c r="N109">
        <f>IFERROR(INDEX($H$7:$H$206,MATCH(ROW()-6,$M$7:$M$206,0)),"")</f>
        <v/>
      </c>
    </row>
    <row r="110" ht="21" customHeight="1">
      <c r="A110" s="9">
        <f>IF(C110="","",IF(COUNTIF('الفواتير'!$D$7:$D$206,B110)=0,"⛔",ROW()-6))</f>
        <v/>
      </c>
      <c r="B110" s="12" t="n"/>
      <c r="C110" s="10" t="n"/>
      <c r="D110" s="12" t="n"/>
      <c r="E110" s="13" t="n"/>
      <c r="F110" s="14">
        <f>IF(C110="","",N(D110)*N(E110))</f>
        <v/>
      </c>
      <c r="H110" s="9">
        <f>IF('الفواتير'!$E110="يدوية",'الفواتير'!$D110,"")</f>
        <v/>
      </c>
      <c r="I110" s="14">
        <f>IF($H110="","",'الفواتير'!$F110)</f>
        <v/>
      </c>
      <c r="J110" s="14">
        <f>IF($H110="","",SUMIF($B$7:$B$606,$H110,$F$7:$F$606))</f>
        <v/>
      </c>
      <c r="K110" s="15">
        <f>IF($H110="","",IF($H110=0,"⛔ اكتب رقم الفاتورة",IF(COUNTIF($B$7:$B$606,$H110)=0,"🟡 ما انزلت بنودها",IF(ROUND($I110-$J110,3)=0,"✅ خلصت","⛔ فرق "&amp;TEXT($I110-$J110,"0.000")))))</f>
        <v/>
      </c>
      <c r="M110">
        <f>IF(AND($H110&lt;&gt;"",$H110&lt;&gt;0,LEFT($K110,1)&lt;&gt;"✅"),COUNT($M$6:M109)+1,"")</f>
        <v/>
      </c>
      <c r="N110">
        <f>IFERROR(INDEX($H$7:$H$206,MATCH(ROW()-6,$M$7:$M$206,0)),"")</f>
        <v/>
      </c>
    </row>
    <row r="111" ht="21" customHeight="1">
      <c r="A111" s="9">
        <f>IF(C111="","",IF(COUNTIF('الفواتير'!$D$7:$D$206,B111)=0,"⛔",ROW()-6))</f>
        <v/>
      </c>
      <c r="B111" s="12" t="n"/>
      <c r="C111" s="10" t="n"/>
      <c r="D111" s="12" t="n"/>
      <c r="E111" s="13" t="n"/>
      <c r="F111" s="14">
        <f>IF(C111="","",N(D111)*N(E111))</f>
        <v/>
      </c>
      <c r="H111" s="9">
        <f>IF('الفواتير'!$E111="يدوية",'الفواتير'!$D111,"")</f>
        <v/>
      </c>
      <c r="I111" s="14">
        <f>IF($H111="","",'الفواتير'!$F111)</f>
        <v/>
      </c>
      <c r="J111" s="14">
        <f>IF($H111="","",SUMIF($B$7:$B$606,$H111,$F$7:$F$606))</f>
        <v/>
      </c>
      <c r="K111" s="15">
        <f>IF($H111="","",IF($H111=0,"⛔ اكتب رقم الفاتورة",IF(COUNTIF($B$7:$B$606,$H111)=0,"🟡 ما انزلت بنودها",IF(ROUND($I111-$J111,3)=0,"✅ خلصت","⛔ فرق "&amp;TEXT($I111-$J111,"0.000")))))</f>
        <v/>
      </c>
      <c r="M111">
        <f>IF(AND($H111&lt;&gt;"",$H111&lt;&gt;0,LEFT($K111,1)&lt;&gt;"✅"),COUNT($M$6:M110)+1,"")</f>
        <v/>
      </c>
      <c r="N111">
        <f>IFERROR(INDEX($H$7:$H$206,MATCH(ROW()-6,$M$7:$M$206,0)),"")</f>
        <v/>
      </c>
    </row>
    <row r="112" ht="21" customHeight="1">
      <c r="A112" s="9">
        <f>IF(C112="","",IF(COUNTIF('الفواتير'!$D$7:$D$206,B112)=0,"⛔",ROW()-6))</f>
        <v/>
      </c>
      <c r="B112" s="12" t="n"/>
      <c r="C112" s="10" t="n"/>
      <c r="D112" s="12" t="n"/>
      <c r="E112" s="13" t="n"/>
      <c r="F112" s="14">
        <f>IF(C112="","",N(D112)*N(E112))</f>
        <v/>
      </c>
      <c r="H112" s="9">
        <f>IF('الفواتير'!$E112="يدوية",'الفواتير'!$D112,"")</f>
        <v/>
      </c>
      <c r="I112" s="14">
        <f>IF($H112="","",'الفواتير'!$F112)</f>
        <v/>
      </c>
      <c r="J112" s="14">
        <f>IF($H112="","",SUMIF($B$7:$B$606,$H112,$F$7:$F$606))</f>
        <v/>
      </c>
      <c r="K112" s="15">
        <f>IF($H112="","",IF($H112=0,"⛔ اكتب رقم الفاتورة",IF(COUNTIF($B$7:$B$606,$H112)=0,"🟡 ما انزلت بنودها",IF(ROUND($I112-$J112,3)=0,"✅ خلصت","⛔ فرق "&amp;TEXT($I112-$J112,"0.000")))))</f>
        <v/>
      </c>
      <c r="M112">
        <f>IF(AND($H112&lt;&gt;"",$H112&lt;&gt;0,LEFT($K112,1)&lt;&gt;"✅"),COUNT($M$6:M111)+1,"")</f>
        <v/>
      </c>
      <c r="N112">
        <f>IFERROR(INDEX($H$7:$H$206,MATCH(ROW()-6,$M$7:$M$206,0)),"")</f>
        <v/>
      </c>
    </row>
    <row r="113" ht="21" customHeight="1">
      <c r="A113" s="9">
        <f>IF(C113="","",IF(COUNTIF('الفواتير'!$D$7:$D$206,B113)=0,"⛔",ROW()-6))</f>
        <v/>
      </c>
      <c r="B113" s="12" t="n"/>
      <c r="C113" s="10" t="n"/>
      <c r="D113" s="12" t="n"/>
      <c r="E113" s="13" t="n"/>
      <c r="F113" s="14">
        <f>IF(C113="","",N(D113)*N(E113))</f>
        <v/>
      </c>
      <c r="H113" s="9">
        <f>IF('الفواتير'!$E113="يدوية",'الفواتير'!$D113,"")</f>
        <v/>
      </c>
      <c r="I113" s="14">
        <f>IF($H113="","",'الفواتير'!$F113)</f>
        <v/>
      </c>
      <c r="J113" s="14">
        <f>IF($H113="","",SUMIF($B$7:$B$606,$H113,$F$7:$F$606))</f>
        <v/>
      </c>
      <c r="K113" s="15">
        <f>IF($H113="","",IF($H113=0,"⛔ اكتب رقم الفاتورة",IF(COUNTIF($B$7:$B$606,$H113)=0,"🟡 ما انزلت بنودها",IF(ROUND($I113-$J113,3)=0,"✅ خلصت","⛔ فرق "&amp;TEXT($I113-$J113,"0.000")))))</f>
        <v/>
      </c>
      <c r="M113">
        <f>IF(AND($H113&lt;&gt;"",$H113&lt;&gt;0,LEFT($K113,1)&lt;&gt;"✅"),COUNT($M$6:M112)+1,"")</f>
        <v/>
      </c>
      <c r="N113">
        <f>IFERROR(INDEX($H$7:$H$206,MATCH(ROW()-6,$M$7:$M$206,0)),"")</f>
        <v/>
      </c>
    </row>
    <row r="114" ht="21" customHeight="1">
      <c r="A114" s="9">
        <f>IF(C114="","",IF(COUNTIF('الفواتير'!$D$7:$D$206,B114)=0,"⛔",ROW()-6))</f>
        <v/>
      </c>
      <c r="B114" s="12" t="n"/>
      <c r="C114" s="10" t="n"/>
      <c r="D114" s="12" t="n"/>
      <c r="E114" s="13" t="n"/>
      <c r="F114" s="14">
        <f>IF(C114="","",N(D114)*N(E114))</f>
        <v/>
      </c>
      <c r="H114" s="9">
        <f>IF('الفواتير'!$E114="يدوية",'الفواتير'!$D114,"")</f>
        <v/>
      </c>
      <c r="I114" s="14">
        <f>IF($H114="","",'الفواتير'!$F114)</f>
        <v/>
      </c>
      <c r="J114" s="14">
        <f>IF($H114="","",SUMIF($B$7:$B$606,$H114,$F$7:$F$606))</f>
        <v/>
      </c>
      <c r="K114" s="15">
        <f>IF($H114="","",IF($H114=0,"⛔ اكتب رقم الفاتورة",IF(COUNTIF($B$7:$B$606,$H114)=0,"🟡 ما انزلت بنودها",IF(ROUND($I114-$J114,3)=0,"✅ خلصت","⛔ فرق "&amp;TEXT($I114-$J114,"0.000")))))</f>
        <v/>
      </c>
      <c r="M114">
        <f>IF(AND($H114&lt;&gt;"",$H114&lt;&gt;0,LEFT($K114,1)&lt;&gt;"✅"),COUNT($M$6:M113)+1,"")</f>
        <v/>
      </c>
      <c r="N114">
        <f>IFERROR(INDEX($H$7:$H$206,MATCH(ROW()-6,$M$7:$M$206,0)),"")</f>
        <v/>
      </c>
    </row>
    <row r="115" ht="21" customHeight="1">
      <c r="A115" s="9">
        <f>IF(C115="","",IF(COUNTIF('الفواتير'!$D$7:$D$206,B115)=0,"⛔",ROW()-6))</f>
        <v/>
      </c>
      <c r="B115" s="12" t="n"/>
      <c r="C115" s="10" t="n"/>
      <c r="D115" s="12" t="n"/>
      <c r="E115" s="13" t="n"/>
      <c r="F115" s="14">
        <f>IF(C115="","",N(D115)*N(E115))</f>
        <v/>
      </c>
      <c r="H115" s="9">
        <f>IF('الفواتير'!$E115="يدوية",'الفواتير'!$D115,"")</f>
        <v/>
      </c>
      <c r="I115" s="14">
        <f>IF($H115="","",'الفواتير'!$F115)</f>
        <v/>
      </c>
      <c r="J115" s="14">
        <f>IF($H115="","",SUMIF($B$7:$B$606,$H115,$F$7:$F$606))</f>
        <v/>
      </c>
      <c r="K115" s="15">
        <f>IF($H115="","",IF($H115=0,"⛔ اكتب رقم الفاتورة",IF(COUNTIF($B$7:$B$606,$H115)=0,"🟡 ما انزلت بنودها",IF(ROUND($I115-$J115,3)=0,"✅ خلصت","⛔ فرق "&amp;TEXT($I115-$J115,"0.000")))))</f>
        <v/>
      </c>
      <c r="M115">
        <f>IF(AND($H115&lt;&gt;"",$H115&lt;&gt;0,LEFT($K115,1)&lt;&gt;"✅"),COUNT($M$6:M114)+1,"")</f>
        <v/>
      </c>
      <c r="N115">
        <f>IFERROR(INDEX($H$7:$H$206,MATCH(ROW()-6,$M$7:$M$206,0)),"")</f>
        <v/>
      </c>
    </row>
    <row r="116" ht="21" customHeight="1">
      <c r="A116" s="9">
        <f>IF(C116="","",IF(COUNTIF('الفواتير'!$D$7:$D$206,B116)=0,"⛔",ROW()-6))</f>
        <v/>
      </c>
      <c r="B116" s="12" t="n"/>
      <c r="C116" s="10" t="n"/>
      <c r="D116" s="12" t="n"/>
      <c r="E116" s="13" t="n"/>
      <c r="F116" s="14">
        <f>IF(C116="","",N(D116)*N(E116))</f>
        <v/>
      </c>
      <c r="H116" s="9">
        <f>IF('الفواتير'!$E116="يدوية",'الفواتير'!$D116,"")</f>
        <v/>
      </c>
      <c r="I116" s="14">
        <f>IF($H116="","",'الفواتير'!$F116)</f>
        <v/>
      </c>
      <c r="J116" s="14">
        <f>IF($H116="","",SUMIF($B$7:$B$606,$H116,$F$7:$F$606))</f>
        <v/>
      </c>
      <c r="K116" s="15">
        <f>IF($H116="","",IF($H116=0,"⛔ اكتب رقم الفاتورة",IF(COUNTIF($B$7:$B$606,$H116)=0,"🟡 ما انزلت بنودها",IF(ROUND($I116-$J116,3)=0,"✅ خلصت","⛔ فرق "&amp;TEXT($I116-$J116,"0.000")))))</f>
        <v/>
      </c>
      <c r="M116">
        <f>IF(AND($H116&lt;&gt;"",$H116&lt;&gt;0,LEFT($K116,1)&lt;&gt;"✅"),COUNT($M$6:M115)+1,"")</f>
        <v/>
      </c>
      <c r="N116">
        <f>IFERROR(INDEX($H$7:$H$206,MATCH(ROW()-6,$M$7:$M$206,0)),"")</f>
        <v/>
      </c>
    </row>
    <row r="117" ht="21" customHeight="1">
      <c r="A117" s="9">
        <f>IF(C117="","",IF(COUNTIF('الفواتير'!$D$7:$D$206,B117)=0,"⛔",ROW()-6))</f>
        <v/>
      </c>
      <c r="B117" s="12" t="n"/>
      <c r="C117" s="10" t="n"/>
      <c r="D117" s="12" t="n"/>
      <c r="E117" s="13" t="n"/>
      <c r="F117" s="14">
        <f>IF(C117="","",N(D117)*N(E117))</f>
        <v/>
      </c>
      <c r="H117" s="9">
        <f>IF('الفواتير'!$E117="يدوية",'الفواتير'!$D117,"")</f>
        <v/>
      </c>
      <c r="I117" s="14">
        <f>IF($H117="","",'الفواتير'!$F117)</f>
        <v/>
      </c>
      <c r="J117" s="14">
        <f>IF($H117="","",SUMIF($B$7:$B$606,$H117,$F$7:$F$606))</f>
        <v/>
      </c>
      <c r="K117" s="15">
        <f>IF($H117="","",IF($H117=0,"⛔ اكتب رقم الفاتورة",IF(COUNTIF($B$7:$B$606,$H117)=0,"🟡 ما انزلت بنودها",IF(ROUND($I117-$J117,3)=0,"✅ خلصت","⛔ فرق "&amp;TEXT($I117-$J117,"0.000")))))</f>
        <v/>
      </c>
      <c r="M117">
        <f>IF(AND($H117&lt;&gt;"",$H117&lt;&gt;0,LEFT($K117,1)&lt;&gt;"✅"),COUNT($M$6:M116)+1,"")</f>
        <v/>
      </c>
      <c r="N117">
        <f>IFERROR(INDEX($H$7:$H$206,MATCH(ROW()-6,$M$7:$M$206,0)),"")</f>
        <v/>
      </c>
    </row>
    <row r="118" ht="21" customHeight="1">
      <c r="A118" s="9">
        <f>IF(C118="","",IF(COUNTIF('الفواتير'!$D$7:$D$206,B118)=0,"⛔",ROW()-6))</f>
        <v/>
      </c>
      <c r="B118" s="12" t="n"/>
      <c r="C118" s="10" t="n"/>
      <c r="D118" s="12" t="n"/>
      <c r="E118" s="13" t="n"/>
      <c r="F118" s="14">
        <f>IF(C118="","",N(D118)*N(E118))</f>
        <v/>
      </c>
      <c r="H118" s="9">
        <f>IF('الفواتير'!$E118="يدوية",'الفواتير'!$D118,"")</f>
        <v/>
      </c>
      <c r="I118" s="14">
        <f>IF($H118="","",'الفواتير'!$F118)</f>
        <v/>
      </c>
      <c r="J118" s="14">
        <f>IF($H118="","",SUMIF($B$7:$B$606,$H118,$F$7:$F$606))</f>
        <v/>
      </c>
      <c r="K118" s="15">
        <f>IF($H118="","",IF($H118=0,"⛔ اكتب رقم الفاتورة",IF(COUNTIF($B$7:$B$606,$H118)=0,"🟡 ما انزلت بنودها",IF(ROUND($I118-$J118,3)=0,"✅ خلصت","⛔ فرق "&amp;TEXT($I118-$J118,"0.000")))))</f>
        <v/>
      </c>
      <c r="M118">
        <f>IF(AND($H118&lt;&gt;"",$H118&lt;&gt;0,LEFT($K118,1)&lt;&gt;"✅"),COUNT($M$6:M117)+1,"")</f>
        <v/>
      </c>
      <c r="N118">
        <f>IFERROR(INDEX($H$7:$H$206,MATCH(ROW()-6,$M$7:$M$206,0)),"")</f>
        <v/>
      </c>
    </row>
    <row r="119" ht="21" customHeight="1">
      <c r="A119" s="9">
        <f>IF(C119="","",IF(COUNTIF('الفواتير'!$D$7:$D$206,B119)=0,"⛔",ROW()-6))</f>
        <v/>
      </c>
      <c r="B119" s="12" t="n"/>
      <c r="C119" s="10" t="n"/>
      <c r="D119" s="12" t="n"/>
      <c r="E119" s="13" t="n"/>
      <c r="F119" s="14">
        <f>IF(C119="","",N(D119)*N(E119))</f>
        <v/>
      </c>
      <c r="H119" s="9">
        <f>IF('الفواتير'!$E119="يدوية",'الفواتير'!$D119,"")</f>
        <v/>
      </c>
      <c r="I119" s="14">
        <f>IF($H119="","",'الفواتير'!$F119)</f>
        <v/>
      </c>
      <c r="J119" s="14">
        <f>IF($H119="","",SUMIF($B$7:$B$606,$H119,$F$7:$F$606))</f>
        <v/>
      </c>
      <c r="K119" s="15">
        <f>IF($H119="","",IF($H119=0,"⛔ اكتب رقم الفاتورة",IF(COUNTIF($B$7:$B$606,$H119)=0,"🟡 ما انزلت بنودها",IF(ROUND($I119-$J119,3)=0,"✅ خلصت","⛔ فرق "&amp;TEXT($I119-$J119,"0.000")))))</f>
        <v/>
      </c>
      <c r="M119">
        <f>IF(AND($H119&lt;&gt;"",$H119&lt;&gt;0,LEFT($K119,1)&lt;&gt;"✅"),COUNT($M$6:M118)+1,"")</f>
        <v/>
      </c>
      <c r="N119">
        <f>IFERROR(INDEX($H$7:$H$206,MATCH(ROW()-6,$M$7:$M$206,0)),"")</f>
        <v/>
      </c>
    </row>
    <row r="120" ht="21" customHeight="1">
      <c r="A120" s="9">
        <f>IF(C120="","",IF(COUNTIF('الفواتير'!$D$7:$D$206,B120)=0,"⛔",ROW()-6))</f>
        <v/>
      </c>
      <c r="B120" s="12" t="n"/>
      <c r="C120" s="10" t="n"/>
      <c r="D120" s="12" t="n"/>
      <c r="E120" s="13" t="n"/>
      <c r="F120" s="14">
        <f>IF(C120="","",N(D120)*N(E120))</f>
        <v/>
      </c>
      <c r="H120" s="9">
        <f>IF('الفواتير'!$E120="يدوية",'الفواتير'!$D120,"")</f>
        <v/>
      </c>
      <c r="I120" s="14">
        <f>IF($H120="","",'الفواتير'!$F120)</f>
        <v/>
      </c>
      <c r="J120" s="14">
        <f>IF($H120="","",SUMIF($B$7:$B$606,$H120,$F$7:$F$606))</f>
        <v/>
      </c>
      <c r="K120" s="15">
        <f>IF($H120="","",IF($H120=0,"⛔ اكتب رقم الفاتورة",IF(COUNTIF($B$7:$B$606,$H120)=0,"🟡 ما انزلت بنودها",IF(ROUND($I120-$J120,3)=0,"✅ خلصت","⛔ فرق "&amp;TEXT($I120-$J120,"0.000")))))</f>
        <v/>
      </c>
      <c r="M120">
        <f>IF(AND($H120&lt;&gt;"",$H120&lt;&gt;0,LEFT($K120,1)&lt;&gt;"✅"),COUNT($M$6:M119)+1,"")</f>
        <v/>
      </c>
      <c r="N120">
        <f>IFERROR(INDEX($H$7:$H$206,MATCH(ROW()-6,$M$7:$M$206,0)),"")</f>
        <v/>
      </c>
    </row>
    <row r="121" ht="21" customHeight="1">
      <c r="A121" s="9">
        <f>IF(C121="","",IF(COUNTIF('الفواتير'!$D$7:$D$206,B121)=0,"⛔",ROW()-6))</f>
        <v/>
      </c>
      <c r="B121" s="12" t="n"/>
      <c r="C121" s="10" t="n"/>
      <c r="D121" s="12" t="n"/>
      <c r="E121" s="13" t="n"/>
      <c r="F121" s="14">
        <f>IF(C121="","",N(D121)*N(E121))</f>
        <v/>
      </c>
      <c r="H121" s="9">
        <f>IF('الفواتير'!$E121="يدوية",'الفواتير'!$D121,"")</f>
        <v/>
      </c>
      <c r="I121" s="14">
        <f>IF($H121="","",'الفواتير'!$F121)</f>
        <v/>
      </c>
      <c r="J121" s="14">
        <f>IF($H121="","",SUMIF($B$7:$B$606,$H121,$F$7:$F$606))</f>
        <v/>
      </c>
      <c r="K121" s="15">
        <f>IF($H121="","",IF($H121=0,"⛔ اكتب رقم الفاتورة",IF(COUNTIF($B$7:$B$606,$H121)=0,"🟡 ما انزلت بنودها",IF(ROUND($I121-$J121,3)=0,"✅ خلصت","⛔ فرق "&amp;TEXT($I121-$J121,"0.000")))))</f>
        <v/>
      </c>
      <c r="M121">
        <f>IF(AND($H121&lt;&gt;"",$H121&lt;&gt;0,LEFT($K121,1)&lt;&gt;"✅"),COUNT($M$6:M120)+1,"")</f>
        <v/>
      </c>
      <c r="N121">
        <f>IFERROR(INDEX($H$7:$H$206,MATCH(ROW()-6,$M$7:$M$206,0)),"")</f>
        <v/>
      </c>
    </row>
    <row r="122" ht="21" customHeight="1">
      <c r="A122" s="9">
        <f>IF(C122="","",IF(COUNTIF('الفواتير'!$D$7:$D$206,B122)=0,"⛔",ROW()-6))</f>
        <v/>
      </c>
      <c r="B122" s="12" t="n"/>
      <c r="C122" s="10" t="n"/>
      <c r="D122" s="12" t="n"/>
      <c r="E122" s="13" t="n"/>
      <c r="F122" s="14">
        <f>IF(C122="","",N(D122)*N(E122))</f>
        <v/>
      </c>
      <c r="H122" s="9">
        <f>IF('الفواتير'!$E122="يدوية",'الفواتير'!$D122,"")</f>
        <v/>
      </c>
      <c r="I122" s="14">
        <f>IF($H122="","",'الفواتير'!$F122)</f>
        <v/>
      </c>
      <c r="J122" s="14">
        <f>IF($H122="","",SUMIF($B$7:$B$606,$H122,$F$7:$F$606))</f>
        <v/>
      </c>
      <c r="K122" s="15">
        <f>IF($H122="","",IF($H122=0,"⛔ اكتب رقم الفاتورة",IF(COUNTIF($B$7:$B$606,$H122)=0,"🟡 ما انزلت بنودها",IF(ROUND($I122-$J122,3)=0,"✅ خلصت","⛔ فرق "&amp;TEXT($I122-$J122,"0.000")))))</f>
        <v/>
      </c>
      <c r="M122">
        <f>IF(AND($H122&lt;&gt;"",$H122&lt;&gt;0,LEFT($K122,1)&lt;&gt;"✅"),COUNT($M$6:M121)+1,"")</f>
        <v/>
      </c>
      <c r="N122">
        <f>IFERROR(INDEX($H$7:$H$206,MATCH(ROW()-6,$M$7:$M$206,0)),"")</f>
        <v/>
      </c>
    </row>
    <row r="123" ht="21" customHeight="1">
      <c r="A123" s="9">
        <f>IF(C123="","",IF(COUNTIF('الفواتير'!$D$7:$D$206,B123)=0,"⛔",ROW()-6))</f>
        <v/>
      </c>
      <c r="B123" s="12" t="n"/>
      <c r="C123" s="10" t="n"/>
      <c r="D123" s="12" t="n"/>
      <c r="E123" s="13" t="n"/>
      <c r="F123" s="14">
        <f>IF(C123="","",N(D123)*N(E123))</f>
        <v/>
      </c>
      <c r="H123" s="9">
        <f>IF('الفواتير'!$E123="يدوية",'الفواتير'!$D123,"")</f>
        <v/>
      </c>
      <c r="I123" s="14">
        <f>IF($H123="","",'الفواتير'!$F123)</f>
        <v/>
      </c>
      <c r="J123" s="14">
        <f>IF($H123="","",SUMIF($B$7:$B$606,$H123,$F$7:$F$606))</f>
        <v/>
      </c>
      <c r="K123" s="15">
        <f>IF($H123="","",IF($H123=0,"⛔ اكتب رقم الفاتورة",IF(COUNTIF($B$7:$B$606,$H123)=0,"🟡 ما انزلت بنودها",IF(ROUND($I123-$J123,3)=0,"✅ خلصت","⛔ فرق "&amp;TEXT($I123-$J123,"0.000")))))</f>
        <v/>
      </c>
      <c r="M123">
        <f>IF(AND($H123&lt;&gt;"",$H123&lt;&gt;0,LEFT($K123,1)&lt;&gt;"✅"),COUNT($M$6:M122)+1,"")</f>
        <v/>
      </c>
      <c r="N123">
        <f>IFERROR(INDEX($H$7:$H$206,MATCH(ROW()-6,$M$7:$M$206,0)),"")</f>
        <v/>
      </c>
    </row>
    <row r="124" ht="21" customHeight="1">
      <c r="A124" s="9">
        <f>IF(C124="","",IF(COUNTIF('الفواتير'!$D$7:$D$206,B124)=0,"⛔",ROW()-6))</f>
        <v/>
      </c>
      <c r="B124" s="12" t="n"/>
      <c r="C124" s="10" t="n"/>
      <c r="D124" s="12" t="n"/>
      <c r="E124" s="13" t="n"/>
      <c r="F124" s="14">
        <f>IF(C124="","",N(D124)*N(E124))</f>
        <v/>
      </c>
      <c r="H124" s="9">
        <f>IF('الفواتير'!$E124="يدوية",'الفواتير'!$D124,"")</f>
        <v/>
      </c>
      <c r="I124" s="14">
        <f>IF($H124="","",'الفواتير'!$F124)</f>
        <v/>
      </c>
      <c r="J124" s="14">
        <f>IF($H124="","",SUMIF($B$7:$B$606,$H124,$F$7:$F$606))</f>
        <v/>
      </c>
      <c r="K124" s="15">
        <f>IF($H124="","",IF($H124=0,"⛔ اكتب رقم الفاتورة",IF(COUNTIF($B$7:$B$606,$H124)=0,"🟡 ما انزلت بنودها",IF(ROUND($I124-$J124,3)=0,"✅ خلصت","⛔ فرق "&amp;TEXT($I124-$J124,"0.000")))))</f>
        <v/>
      </c>
      <c r="M124">
        <f>IF(AND($H124&lt;&gt;"",$H124&lt;&gt;0,LEFT($K124,1)&lt;&gt;"✅"),COUNT($M$6:M123)+1,"")</f>
        <v/>
      </c>
      <c r="N124">
        <f>IFERROR(INDEX($H$7:$H$206,MATCH(ROW()-6,$M$7:$M$206,0)),"")</f>
        <v/>
      </c>
    </row>
    <row r="125" ht="21" customHeight="1">
      <c r="A125" s="9">
        <f>IF(C125="","",IF(COUNTIF('الفواتير'!$D$7:$D$206,B125)=0,"⛔",ROW()-6))</f>
        <v/>
      </c>
      <c r="B125" s="12" t="n"/>
      <c r="C125" s="10" t="n"/>
      <c r="D125" s="12" t="n"/>
      <c r="E125" s="13" t="n"/>
      <c r="F125" s="14">
        <f>IF(C125="","",N(D125)*N(E125))</f>
        <v/>
      </c>
      <c r="H125" s="9">
        <f>IF('الفواتير'!$E125="يدوية",'الفواتير'!$D125,"")</f>
        <v/>
      </c>
      <c r="I125" s="14">
        <f>IF($H125="","",'الفواتير'!$F125)</f>
        <v/>
      </c>
      <c r="J125" s="14">
        <f>IF($H125="","",SUMIF($B$7:$B$606,$H125,$F$7:$F$606))</f>
        <v/>
      </c>
      <c r="K125" s="15">
        <f>IF($H125="","",IF($H125=0,"⛔ اكتب رقم الفاتورة",IF(COUNTIF($B$7:$B$606,$H125)=0,"🟡 ما انزلت بنودها",IF(ROUND($I125-$J125,3)=0,"✅ خلصت","⛔ فرق "&amp;TEXT($I125-$J125,"0.000")))))</f>
        <v/>
      </c>
      <c r="M125">
        <f>IF(AND($H125&lt;&gt;"",$H125&lt;&gt;0,LEFT($K125,1)&lt;&gt;"✅"),COUNT($M$6:M124)+1,"")</f>
        <v/>
      </c>
      <c r="N125">
        <f>IFERROR(INDEX($H$7:$H$206,MATCH(ROW()-6,$M$7:$M$206,0)),"")</f>
        <v/>
      </c>
    </row>
    <row r="126" ht="21" customHeight="1">
      <c r="A126" s="9">
        <f>IF(C126="","",IF(COUNTIF('الفواتير'!$D$7:$D$206,B126)=0,"⛔",ROW()-6))</f>
        <v/>
      </c>
      <c r="B126" s="12" t="n"/>
      <c r="C126" s="10" t="n"/>
      <c r="D126" s="12" t="n"/>
      <c r="E126" s="13" t="n"/>
      <c r="F126" s="14">
        <f>IF(C126="","",N(D126)*N(E126))</f>
        <v/>
      </c>
      <c r="H126" s="9">
        <f>IF('الفواتير'!$E126="يدوية",'الفواتير'!$D126,"")</f>
        <v/>
      </c>
      <c r="I126" s="14">
        <f>IF($H126="","",'الفواتير'!$F126)</f>
        <v/>
      </c>
      <c r="J126" s="14">
        <f>IF($H126="","",SUMIF($B$7:$B$606,$H126,$F$7:$F$606))</f>
        <v/>
      </c>
      <c r="K126" s="15">
        <f>IF($H126="","",IF($H126=0,"⛔ اكتب رقم الفاتورة",IF(COUNTIF($B$7:$B$606,$H126)=0,"🟡 ما انزلت بنودها",IF(ROUND($I126-$J126,3)=0,"✅ خلصت","⛔ فرق "&amp;TEXT($I126-$J126,"0.000")))))</f>
        <v/>
      </c>
      <c r="M126">
        <f>IF(AND($H126&lt;&gt;"",$H126&lt;&gt;0,LEFT($K126,1)&lt;&gt;"✅"),COUNT($M$6:M125)+1,"")</f>
        <v/>
      </c>
      <c r="N126">
        <f>IFERROR(INDEX($H$7:$H$206,MATCH(ROW()-6,$M$7:$M$206,0)),"")</f>
        <v/>
      </c>
    </row>
    <row r="127" ht="21" customHeight="1">
      <c r="A127" s="9">
        <f>IF(C127="","",IF(COUNTIF('الفواتير'!$D$7:$D$206,B127)=0,"⛔",ROW()-6))</f>
        <v/>
      </c>
      <c r="B127" s="12" t="n"/>
      <c r="C127" s="10" t="n"/>
      <c r="D127" s="12" t="n"/>
      <c r="E127" s="13" t="n"/>
      <c r="F127" s="14">
        <f>IF(C127="","",N(D127)*N(E127))</f>
        <v/>
      </c>
      <c r="H127" s="9">
        <f>IF('الفواتير'!$E127="يدوية",'الفواتير'!$D127,"")</f>
        <v/>
      </c>
      <c r="I127" s="14">
        <f>IF($H127="","",'الفواتير'!$F127)</f>
        <v/>
      </c>
      <c r="J127" s="14">
        <f>IF($H127="","",SUMIF($B$7:$B$606,$H127,$F$7:$F$606))</f>
        <v/>
      </c>
      <c r="K127" s="15">
        <f>IF($H127="","",IF($H127=0,"⛔ اكتب رقم الفاتورة",IF(COUNTIF($B$7:$B$606,$H127)=0,"🟡 ما انزلت بنودها",IF(ROUND($I127-$J127,3)=0,"✅ خلصت","⛔ فرق "&amp;TEXT($I127-$J127,"0.000")))))</f>
        <v/>
      </c>
      <c r="M127">
        <f>IF(AND($H127&lt;&gt;"",$H127&lt;&gt;0,LEFT($K127,1)&lt;&gt;"✅"),COUNT($M$6:M126)+1,"")</f>
        <v/>
      </c>
      <c r="N127">
        <f>IFERROR(INDEX($H$7:$H$206,MATCH(ROW()-6,$M$7:$M$206,0)),"")</f>
        <v/>
      </c>
    </row>
    <row r="128" ht="21" customHeight="1">
      <c r="A128" s="9">
        <f>IF(C128="","",IF(COUNTIF('الفواتير'!$D$7:$D$206,B128)=0,"⛔",ROW()-6))</f>
        <v/>
      </c>
      <c r="B128" s="12" t="n"/>
      <c r="C128" s="10" t="n"/>
      <c r="D128" s="12" t="n"/>
      <c r="E128" s="13" t="n"/>
      <c r="F128" s="14">
        <f>IF(C128="","",N(D128)*N(E128))</f>
        <v/>
      </c>
      <c r="H128" s="9">
        <f>IF('الفواتير'!$E128="يدوية",'الفواتير'!$D128,"")</f>
        <v/>
      </c>
      <c r="I128" s="14">
        <f>IF($H128="","",'الفواتير'!$F128)</f>
        <v/>
      </c>
      <c r="J128" s="14">
        <f>IF($H128="","",SUMIF($B$7:$B$606,$H128,$F$7:$F$606))</f>
        <v/>
      </c>
      <c r="K128" s="15">
        <f>IF($H128="","",IF($H128=0,"⛔ اكتب رقم الفاتورة",IF(COUNTIF($B$7:$B$606,$H128)=0,"🟡 ما انزلت بنودها",IF(ROUND($I128-$J128,3)=0,"✅ خلصت","⛔ فرق "&amp;TEXT($I128-$J128,"0.000")))))</f>
        <v/>
      </c>
      <c r="M128">
        <f>IF(AND($H128&lt;&gt;"",$H128&lt;&gt;0,LEFT($K128,1)&lt;&gt;"✅"),COUNT($M$6:M127)+1,"")</f>
        <v/>
      </c>
      <c r="N128">
        <f>IFERROR(INDEX($H$7:$H$206,MATCH(ROW()-6,$M$7:$M$206,0)),"")</f>
        <v/>
      </c>
    </row>
    <row r="129" ht="21" customHeight="1">
      <c r="A129" s="9">
        <f>IF(C129="","",IF(COUNTIF('الفواتير'!$D$7:$D$206,B129)=0,"⛔",ROW()-6))</f>
        <v/>
      </c>
      <c r="B129" s="12" t="n"/>
      <c r="C129" s="10" t="n"/>
      <c r="D129" s="12" t="n"/>
      <c r="E129" s="13" t="n"/>
      <c r="F129" s="14">
        <f>IF(C129="","",N(D129)*N(E129))</f>
        <v/>
      </c>
      <c r="H129" s="9">
        <f>IF('الفواتير'!$E129="يدوية",'الفواتير'!$D129,"")</f>
        <v/>
      </c>
      <c r="I129" s="14">
        <f>IF($H129="","",'الفواتير'!$F129)</f>
        <v/>
      </c>
      <c r="J129" s="14">
        <f>IF($H129="","",SUMIF($B$7:$B$606,$H129,$F$7:$F$606))</f>
        <v/>
      </c>
      <c r="K129" s="15">
        <f>IF($H129="","",IF($H129=0,"⛔ اكتب رقم الفاتورة",IF(COUNTIF($B$7:$B$606,$H129)=0,"🟡 ما انزلت بنودها",IF(ROUND($I129-$J129,3)=0,"✅ خلصت","⛔ فرق "&amp;TEXT($I129-$J129,"0.000")))))</f>
        <v/>
      </c>
      <c r="M129">
        <f>IF(AND($H129&lt;&gt;"",$H129&lt;&gt;0,LEFT($K129,1)&lt;&gt;"✅"),COUNT($M$6:M128)+1,"")</f>
        <v/>
      </c>
      <c r="N129">
        <f>IFERROR(INDEX($H$7:$H$206,MATCH(ROW()-6,$M$7:$M$206,0)),"")</f>
        <v/>
      </c>
    </row>
    <row r="130" ht="21" customHeight="1">
      <c r="A130" s="9">
        <f>IF(C130="","",IF(COUNTIF('الفواتير'!$D$7:$D$206,B130)=0,"⛔",ROW()-6))</f>
        <v/>
      </c>
      <c r="B130" s="12" t="n"/>
      <c r="C130" s="10" t="n"/>
      <c r="D130" s="12" t="n"/>
      <c r="E130" s="13" t="n"/>
      <c r="F130" s="14">
        <f>IF(C130="","",N(D130)*N(E130))</f>
        <v/>
      </c>
      <c r="H130" s="9">
        <f>IF('الفواتير'!$E130="يدوية",'الفواتير'!$D130,"")</f>
        <v/>
      </c>
      <c r="I130" s="14">
        <f>IF($H130="","",'الفواتير'!$F130)</f>
        <v/>
      </c>
      <c r="J130" s="14">
        <f>IF($H130="","",SUMIF($B$7:$B$606,$H130,$F$7:$F$606))</f>
        <v/>
      </c>
      <c r="K130" s="15">
        <f>IF($H130="","",IF($H130=0,"⛔ اكتب رقم الفاتورة",IF(COUNTIF($B$7:$B$606,$H130)=0,"🟡 ما انزلت بنودها",IF(ROUND($I130-$J130,3)=0,"✅ خلصت","⛔ فرق "&amp;TEXT($I130-$J130,"0.000")))))</f>
        <v/>
      </c>
      <c r="M130">
        <f>IF(AND($H130&lt;&gt;"",$H130&lt;&gt;0,LEFT($K130,1)&lt;&gt;"✅"),COUNT($M$6:M129)+1,"")</f>
        <v/>
      </c>
      <c r="N130">
        <f>IFERROR(INDEX($H$7:$H$206,MATCH(ROW()-6,$M$7:$M$206,0)),"")</f>
        <v/>
      </c>
    </row>
    <row r="131" ht="21" customHeight="1">
      <c r="A131" s="9">
        <f>IF(C131="","",IF(COUNTIF('الفواتير'!$D$7:$D$206,B131)=0,"⛔",ROW()-6))</f>
        <v/>
      </c>
      <c r="B131" s="12" t="n"/>
      <c r="C131" s="10" t="n"/>
      <c r="D131" s="12" t="n"/>
      <c r="E131" s="13" t="n"/>
      <c r="F131" s="14">
        <f>IF(C131="","",N(D131)*N(E131))</f>
        <v/>
      </c>
      <c r="H131" s="9">
        <f>IF('الفواتير'!$E131="يدوية",'الفواتير'!$D131,"")</f>
        <v/>
      </c>
      <c r="I131" s="14">
        <f>IF($H131="","",'الفواتير'!$F131)</f>
        <v/>
      </c>
      <c r="J131" s="14">
        <f>IF($H131="","",SUMIF($B$7:$B$606,$H131,$F$7:$F$606))</f>
        <v/>
      </c>
      <c r="K131" s="15">
        <f>IF($H131="","",IF($H131=0,"⛔ اكتب رقم الفاتورة",IF(COUNTIF($B$7:$B$606,$H131)=0,"🟡 ما انزلت بنودها",IF(ROUND($I131-$J131,3)=0,"✅ خلصت","⛔ فرق "&amp;TEXT($I131-$J131,"0.000")))))</f>
        <v/>
      </c>
      <c r="M131">
        <f>IF(AND($H131&lt;&gt;"",$H131&lt;&gt;0,LEFT($K131,1)&lt;&gt;"✅"),COUNT($M$6:M130)+1,"")</f>
        <v/>
      </c>
      <c r="N131">
        <f>IFERROR(INDEX($H$7:$H$206,MATCH(ROW()-6,$M$7:$M$206,0)),"")</f>
        <v/>
      </c>
    </row>
    <row r="132" ht="21" customHeight="1">
      <c r="A132" s="9">
        <f>IF(C132="","",IF(COUNTIF('الفواتير'!$D$7:$D$206,B132)=0,"⛔",ROW()-6))</f>
        <v/>
      </c>
      <c r="B132" s="12" t="n"/>
      <c r="C132" s="10" t="n"/>
      <c r="D132" s="12" t="n"/>
      <c r="E132" s="13" t="n"/>
      <c r="F132" s="14">
        <f>IF(C132="","",N(D132)*N(E132))</f>
        <v/>
      </c>
      <c r="H132" s="9">
        <f>IF('الفواتير'!$E132="يدوية",'الفواتير'!$D132,"")</f>
        <v/>
      </c>
      <c r="I132" s="14">
        <f>IF($H132="","",'الفواتير'!$F132)</f>
        <v/>
      </c>
      <c r="J132" s="14">
        <f>IF($H132="","",SUMIF($B$7:$B$606,$H132,$F$7:$F$606))</f>
        <v/>
      </c>
      <c r="K132" s="15">
        <f>IF($H132="","",IF($H132=0,"⛔ اكتب رقم الفاتورة",IF(COUNTIF($B$7:$B$606,$H132)=0,"🟡 ما انزلت بنودها",IF(ROUND($I132-$J132,3)=0,"✅ خلصت","⛔ فرق "&amp;TEXT($I132-$J132,"0.000")))))</f>
        <v/>
      </c>
      <c r="M132">
        <f>IF(AND($H132&lt;&gt;"",$H132&lt;&gt;0,LEFT($K132,1)&lt;&gt;"✅"),COUNT($M$6:M131)+1,"")</f>
        <v/>
      </c>
      <c r="N132">
        <f>IFERROR(INDEX($H$7:$H$206,MATCH(ROW()-6,$M$7:$M$206,0)),"")</f>
        <v/>
      </c>
    </row>
    <row r="133" ht="21" customHeight="1">
      <c r="A133" s="9">
        <f>IF(C133="","",IF(COUNTIF('الفواتير'!$D$7:$D$206,B133)=0,"⛔",ROW()-6))</f>
        <v/>
      </c>
      <c r="B133" s="12" t="n"/>
      <c r="C133" s="10" t="n"/>
      <c r="D133" s="12" t="n"/>
      <c r="E133" s="13" t="n"/>
      <c r="F133" s="14">
        <f>IF(C133="","",N(D133)*N(E133))</f>
        <v/>
      </c>
      <c r="H133" s="9">
        <f>IF('الفواتير'!$E133="يدوية",'الفواتير'!$D133,"")</f>
        <v/>
      </c>
      <c r="I133" s="14">
        <f>IF($H133="","",'الفواتير'!$F133)</f>
        <v/>
      </c>
      <c r="J133" s="14">
        <f>IF($H133="","",SUMIF($B$7:$B$606,$H133,$F$7:$F$606))</f>
        <v/>
      </c>
      <c r="K133" s="15">
        <f>IF($H133="","",IF($H133=0,"⛔ اكتب رقم الفاتورة",IF(COUNTIF($B$7:$B$606,$H133)=0,"🟡 ما انزلت بنودها",IF(ROUND($I133-$J133,3)=0,"✅ خلصت","⛔ فرق "&amp;TEXT($I133-$J133,"0.000")))))</f>
        <v/>
      </c>
      <c r="M133">
        <f>IF(AND($H133&lt;&gt;"",$H133&lt;&gt;0,LEFT($K133,1)&lt;&gt;"✅"),COUNT($M$6:M132)+1,"")</f>
        <v/>
      </c>
      <c r="N133">
        <f>IFERROR(INDEX($H$7:$H$206,MATCH(ROW()-6,$M$7:$M$206,0)),"")</f>
        <v/>
      </c>
    </row>
    <row r="134" ht="21" customHeight="1">
      <c r="A134" s="9">
        <f>IF(C134="","",IF(COUNTIF('الفواتير'!$D$7:$D$206,B134)=0,"⛔",ROW()-6))</f>
        <v/>
      </c>
      <c r="B134" s="12" t="n"/>
      <c r="C134" s="10" t="n"/>
      <c r="D134" s="12" t="n"/>
      <c r="E134" s="13" t="n"/>
      <c r="F134" s="14">
        <f>IF(C134="","",N(D134)*N(E134))</f>
        <v/>
      </c>
      <c r="H134" s="9">
        <f>IF('الفواتير'!$E134="يدوية",'الفواتير'!$D134,"")</f>
        <v/>
      </c>
      <c r="I134" s="14">
        <f>IF($H134="","",'الفواتير'!$F134)</f>
        <v/>
      </c>
      <c r="J134" s="14">
        <f>IF($H134="","",SUMIF($B$7:$B$606,$H134,$F$7:$F$606))</f>
        <v/>
      </c>
      <c r="K134" s="15">
        <f>IF($H134="","",IF($H134=0,"⛔ اكتب رقم الفاتورة",IF(COUNTIF($B$7:$B$606,$H134)=0,"🟡 ما انزلت بنودها",IF(ROUND($I134-$J134,3)=0,"✅ خلصت","⛔ فرق "&amp;TEXT($I134-$J134,"0.000")))))</f>
        <v/>
      </c>
      <c r="M134">
        <f>IF(AND($H134&lt;&gt;"",$H134&lt;&gt;0,LEFT($K134,1)&lt;&gt;"✅"),COUNT($M$6:M133)+1,"")</f>
        <v/>
      </c>
      <c r="N134">
        <f>IFERROR(INDEX($H$7:$H$206,MATCH(ROW()-6,$M$7:$M$206,0)),"")</f>
        <v/>
      </c>
    </row>
    <row r="135" ht="21" customHeight="1">
      <c r="A135" s="9">
        <f>IF(C135="","",IF(COUNTIF('الفواتير'!$D$7:$D$206,B135)=0,"⛔",ROW()-6))</f>
        <v/>
      </c>
      <c r="B135" s="12" t="n"/>
      <c r="C135" s="10" t="n"/>
      <c r="D135" s="12" t="n"/>
      <c r="E135" s="13" t="n"/>
      <c r="F135" s="14">
        <f>IF(C135="","",N(D135)*N(E135))</f>
        <v/>
      </c>
      <c r="H135" s="9">
        <f>IF('الفواتير'!$E135="يدوية",'الفواتير'!$D135,"")</f>
        <v/>
      </c>
      <c r="I135" s="14">
        <f>IF($H135="","",'الفواتير'!$F135)</f>
        <v/>
      </c>
      <c r="J135" s="14">
        <f>IF($H135="","",SUMIF($B$7:$B$606,$H135,$F$7:$F$606))</f>
        <v/>
      </c>
      <c r="K135" s="15">
        <f>IF($H135="","",IF($H135=0,"⛔ اكتب رقم الفاتورة",IF(COUNTIF($B$7:$B$606,$H135)=0,"🟡 ما انزلت بنودها",IF(ROUND($I135-$J135,3)=0,"✅ خلصت","⛔ فرق "&amp;TEXT($I135-$J135,"0.000")))))</f>
        <v/>
      </c>
      <c r="M135">
        <f>IF(AND($H135&lt;&gt;"",$H135&lt;&gt;0,LEFT($K135,1)&lt;&gt;"✅"),COUNT($M$6:M134)+1,"")</f>
        <v/>
      </c>
      <c r="N135">
        <f>IFERROR(INDEX($H$7:$H$206,MATCH(ROW()-6,$M$7:$M$206,0)),"")</f>
        <v/>
      </c>
    </row>
    <row r="136" ht="21" customHeight="1">
      <c r="A136" s="9">
        <f>IF(C136="","",IF(COUNTIF('الفواتير'!$D$7:$D$206,B136)=0,"⛔",ROW()-6))</f>
        <v/>
      </c>
      <c r="B136" s="12" t="n"/>
      <c r="C136" s="10" t="n"/>
      <c r="D136" s="12" t="n"/>
      <c r="E136" s="13" t="n"/>
      <c r="F136" s="14">
        <f>IF(C136="","",N(D136)*N(E136))</f>
        <v/>
      </c>
      <c r="H136" s="9">
        <f>IF('الفواتير'!$E136="يدوية",'الفواتير'!$D136,"")</f>
        <v/>
      </c>
      <c r="I136" s="14">
        <f>IF($H136="","",'الفواتير'!$F136)</f>
        <v/>
      </c>
      <c r="J136" s="14">
        <f>IF($H136="","",SUMIF($B$7:$B$606,$H136,$F$7:$F$606))</f>
        <v/>
      </c>
      <c r="K136" s="15">
        <f>IF($H136="","",IF($H136=0,"⛔ اكتب رقم الفاتورة",IF(COUNTIF($B$7:$B$606,$H136)=0,"🟡 ما انزلت بنودها",IF(ROUND($I136-$J136,3)=0,"✅ خلصت","⛔ فرق "&amp;TEXT($I136-$J136,"0.000")))))</f>
        <v/>
      </c>
      <c r="M136">
        <f>IF(AND($H136&lt;&gt;"",$H136&lt;&gt;0,LEFT($K136,1)&lt;&gt;"✅"),COUNT($M$6:M135)+1,"")</f>
        <v/>
      </c>
      <c r="N136">
        <f>IFERROR(INDEX($H$7:$H$206,MATCH(ROW()-6,$M$7:$M$206,0)),"")</f>
        <v/>
      </c>
    </row>
    <row r="137" ht="21" customHeight="1">
      <c r="A137" s="9">
        <f>IF(C137="","",IF(COUNTIF('الفواتير'!$D$7:$D$206,B137)=0,"⛔",ROW()-6))</f>
        <v/>
      </c>
      <c r="B137" s="12" t="n"/>
      <c r="C137" s="10" t="n"/>
      <c r="D137" s="12" t="n"/>
      <c r="E137" s="13" t="n"/>
      <c r="F137" s="14">
        <f>IF(C137="","",N(D137)*N(E137))</f>
        <v/>
      </c>
      <c r="H137" s="9">
        <f>IF('الفواتير'!$E137="يدوية",'الفواتير'!$D137,"")</f>
        <v/>
      </c>
      <c r="I137" s="14">
        <f>IF($H137="","",'الفواتير'!$F137)</f>
        <v/>
      </c>
      <c r="J137" s="14">
        <f>IF($H137="","",SUMIF($B$7:$B$606,$H137,$F$7:$F$606))</f>
        <v/>
      </c>
      <c r="K137" s="15">
        <f>IF($H137="","",IF($H137=0,"⛔ اكتب رقم الفاتورة",IF(COUNTIF($B$7:$B$606,$H137)=0,"🟡 ما انزلت بنودها",IF(ROUND($I137-$J137,3)=0,"✅ خلصت","⛔ فرق "&amp;TEXT($I137-$J137,"0.000")))))</f>
        <v/>
      </c>
      <c r="M137">
        <f>IF(AND($H137&lt;&gt;"",$H137&lt;&gt;0,LEFT($K137,1)&lt;&gt;"✅"),COUNT($M$6:M136)+1,"")</f>
        <v/>
      </c>
      <c r="N137">
        <f>IFERROR(INDEX($H$7:$H$206,MATCH(ROW()-6,$M$7:$M$206,0)),"")</f>
        <v/>
      </c>
    </row>
    <row r="138" ht="21" customHeight="1">
      <c r="A138" s="9">
        <f>IF(C138="","",IF(COUNTIF('الفواتير'!$D$7:$D$206,B138)=0,"⛔",ROW()-6))</f>
        <v/>
      </c>
      <c r="B138" s="12" t="n"/>
      <c r="C138" s="10" t="n"/>
      <c r="D138" s="12" t="n"/>
      <c r="E138" s="13" t="n"/>
      <c r="F138" s="14">
        <f>IF(C138="","",N(D138)*N(E138))</f>
        <v/>
      </c>
      <c r="H138" s="9">
        <f>IF('الفواتير'!$E138="يدوية",'الفواتير'!$D138,"")</f>
        <v/>
      </c>
      <c r="I138" s="14">
        <f>IF($H138="","",'الفواتير'!$F138)</f>
        <v/>
      </c>
      <c r="J138" s="14">
        <f>IF($H138="","",SUMIF($B$7:$B$606,$H138,$F$7:$F$606))</f>
        <v/>
      </c>
      <c r="K138" s="15">
        <f>IF($H138="","",IF($H138=0,"⛔ اكتب رقم الفاتورة",IF(COUNTIF($B$7:$B$606,$H138)=0,"🟡 ما انزلت بنودها",IF(ROUND($I138-$J138,3)=0,"✅ خلصت","⛔ فرق "&amp;TEXT($I138-$J138,"0.000")))))</f>
        <v/>
      </c>
      <c r="M138">
        <f>IF(AND($H138&lt;&gt;"",$H138&lt;&gt;0,LEFT($K138,1)&lt;&gt;"✅"),COUNT($M$6:M137)+1,"")</f>
        <v/>
      </c>
      <c r="N138">
        <f>IFERROR(INDEX($H$7:$H$206,MATCH(ROW()-6,$M$7:$M$206,0)),"")</f>
        <v/>
      </c>
    </row>
    <row r="139" ht="21" customHeight="1">
      <c r="A139" s="9">
        <f>IF(C139="","",IF(COUNTIF('الفواتير'!$D$7:$D$206,B139)=0,"⛔",ROW()-6))</f>
        <v/>
      </c>
      <c r="B139" s="12" t="n"/>
      <c r="C139" s="10" t="n"/>
      <c r="D139" s="12" t="n"/>
      <c r="E139" s="13" t="n"/>
      <c r="F139" s="14">
        <f>IF(C139="","",N(D139)*N(E139))</f>
        <v/>
      </c>
      <c r="H139" s="9">
        <f>IF('الفواتير'!$E139="يدوية",'الفواتير'!$D139,"")</f>
        <v/>
      </c>
      <c r="I139" s="14">
        <f>IF($H139="","",'الفواتير'!$F139)</f>
        <v/>
      </c>
      <c r="J139" s="14">
        <f>IF($H139="","",SUMIF($B$7:$B$606,$H139,$F$7:$F$606))</f>
        <v/>
      </c>
      <c r="K139" s="15">
        <f>IF($H139="","",IF($H139=0,"⛔ اكتب رقم الفاتورة",IF(COUNTIF($B$7:$B$606,$H139)=0,"🟡 ما انزلت بنودها",IF(ROUND($I139-$J139,3)=0,"✅ خلصت","⛔ فرق "&amp;TEXT($I139-$J139,"0.000")))))</f>
        <v/>
      </c>
      <c r="M139">
        <f>IF(AND($H139&lt;&gt;"",$H139&lt;&gt;0,LEFT($K139,1)&lt;&gt;"✅"),COUNT($M$6:M138)+1,"")</f>
        <v/>
      </c>
      <c r="N139">
        <f>IFERROR(INDEX($H$7:$H$206,MATCH(ROW()-6,$M$7:$M$206,0)),"")</f>
        <v/>
      </c>
    </row>
    <row r="140" ht="21" customHeight="1">
      <c r="A140" s="9">
        <f>IF(C140="","",IF(COUNTIF('الفواتير'!$D$7:$D$206,B140)=0,"⛔",ROW()-6))</f>
        <v/>
      </c>
      <c r="B140" s="12" t="n"/>
      <c r="C140" s="10" t="n"/>
      <c r="D140" s="12" t="n"/>
      <c r="E140" s="13" t="n"/>
      <c r="F140" s="14">
        <f>IF(C140="","",N(D140)*N(E140))</f>
        <v/>
      </c>
      <c r="H140" s="9">
        <f>IF('الفواتير'!$E140="يدوية",'الفواتير'!$D140,"")</f>
        <v/>
      </c>
      <c r="I140" s="14">
        <f>IF($H140="","",'الفواتير'!$F140)</f>
        <v/>
      </c>
      <c r="J140" s="14">
        <f>IF($H140="","",SUMIF($B$7:$B$606,$H140,$F$7:$F$606))</f>
        <v/>
      </c>
      <c r="K140" s="15">
        <f>IF($H140="","",IF($H140=0,"⛔ اكتب رقم الفاتورة",IF(COUNTIF($B$7:$B$606,$H140)=0,"🟡 ما انزلت بنودها",IF(ROUND($I140-$J140,3)=0,"✅ خلصت","⛔ فرق "&amp;TEXT($I140-$J140,"0.000")))))</f>
        <v/>
      </c>
      <c r="M140">
        <f>IF(AND($H140&lt;&gt;"",$H140&lt;&gt;0,LEFT($K140,1)&lt;&gt;"✅"),COUNT($M$6:M139)+1,"")</f>
        <v/>
      </c>
      <c r="N140">
        <f>IFERROR(INDEX($H$7:$H$206,MATCH(ROW()-6,$M$7:$M$206,0)),"")</f>
        <v/>
      </c>
    </row>
    <row r="141" ht="21" customHeight="1">
      <c r="A141" s="9">
        <f>IF(C141="","",IF(COUNTIF('الفواتير'!$D$7:$D$206,B141)=0,"⛔",ROW()-6))</f>
        <v/>
      </c>
      <c r="B141" s="12" t="n"/>
      <c r="C141" s="10" t="n"/>
      <c r="D141" s="12" t="n"/>
      <c r="E141" s="13" t="n"/>
      <c r="F141" s="14">
        <f>IF(C141="","",N(D141)*N(E141))</f>
        <v/>
      </c>
      <c r="H141" s="9">
        <f>IF('الفواتير'!$E141="يدوية",'الفواتير'!$D141,"")</f>
        <v/>
      </c>
      <c r="I141" s="14">
        <f>IF($H141="","",'الفواتير'!$F141)</f>
        <v/>
      </c>
      <c r="J141" s="14">
        <f>IF($H141="","",SUMIF($B$7:$B$606,$H141,$F$7:$F$606))</f>
        <v/>
      </c>
      <c r="K141" s="15">
        <f>IF($H141="","",IF($H141=0,"⛔ اكتب رقم الفاتورة",IF(COUNTIF($B$7:$B$606,$H141)=0,"🟡 ما انزلت بنودها",IF(ROUND($I141-$J141,3)=0,"✅ خلصت","⛔ فرق "&amp;TEXT($I141-$J141,"0.000")))))</f>
        <v/>
      </c>
      <c r="M141">
        <f>IF(AND($H141&lt;&gt;"",$H141&lt;&gt;0,LEFT($K141,1)&lt;&gt;"✅"),COUNT($M$6:M140)+1,"")</f>
        <v/>
      </c>
      <c r="N141">
        <f>IFERROR(INDEX($H$7:$H$206,MATCH(ROW()-6,$M$7:$M$206,0)),"")</f>
        <v/>
      </c>
    </row>
    <row r="142" ht="21" customHeight="1">
      <c r="A142" s="9">
        <f>IF(C142="","",IF(COUNTIF('الفواتير'!$D$7:$D$206,B142)=0,"⛔",ROW()-6))</f>
        <v/>
      </c>
      <c r="B142" s="12" t="n"/>
      <c r="C142" s="10" t="n"/>
      <c r="D142" s="12" t="n"/>
      <c r="E142" s="13" t="n"/>
      <c r="F142" s="14">
        <f>IF(C142="","",N(D142)*N(E142))</f>
        <v/>
      </c>
      <c r="H142" s="9">
        <f>IF('الفواتير'!$E142="يدوية",'الفواتير'!$D142,"")</f>
        <v/>
      </c>
      <c r="I142" s="14">
        <f>IF($H142="","",'الفواتير'!$F142)</f>
        <v/>
      </c>
      <c r="J142" s="14">
        <f>IF($H142="","",SUMIF($B$7:$B$606,$H142,$F$7:$F$606))</f>
        <v/>
      </c>
      <c r="K142" s="15">
        <f>IF($H142="","",IF($H142=0,"⛔ اكتب رقم الفاتورة",IF(COUNTIF($B$7:$B$606,$H142)=0,"🟡 ما انزلت بنودها",IF(ROUND($I142-$J142,3)=0,"✅ خلصت","⛔ فرق "&amp;TEXT($I142-$J142,"0.000")))))</f>
        <v/>
      </c>
      <c r="M142">
        <f>IF(AND($H142&lt;&gt;"",$H142&lt;&gt;0,LEFT($K142,1)&lt;&gt;"✅"),COUNT($M$6:M141)+1,"")</f>
        <v/>
      </c>
      <c r="N142">
        <f>IFERROR(INDEX($H$7:$H$206,MATCH(ROW()-6,$M$7:$M$206,0)),"")</f>
        <v/>
      </c>
    </row>
    <row r="143" ht="21" customHeight="1">
      <c r="A143" s="9">
        <f>IF(C143="","",IF(COUNTIF('الفواتير'!$D$7:$D$206,B143)=0,"⛔",ROW()-6))</f>
        <v/>
      </c>
      <c r="B143" s="12" t="n"/>
      <c r="C143" s="10" t="n"/>
      <c r="D143" s="12" t="n"/>
      <c r="E143" s="13" t="n"/>
      <c r="F143" s="14">
        <f>IF(C143="","",N(D143)*N(E143))</f>
        <v/>
      </c>
      <c r="H143" s="9">
        <f>IF('الفواتير'!$E143="يدوية",'الفواتير'!$D143,"")</f>
        <v/>
      </c>
      <c r="I143" s="14">
        <f>IF($H143="","",'الفواتير'!$F143)</f>
        <v/>
      </c>
      <c r="J143" s="14">
        <f>IF($H143="","",SUMIF($B$7:$B$606,$H143,$F$7:$F$606))</f>
        <v/>
      </c>
      <c r="K143" s="15">
        <f>IF($H143="","",IF($H143=0,"⛔ اكتب رقم الفاتورة",IF(COUNTIF($B$7:$B$606,$H143)=0,"🟡 ما انزلت بنودها",IF(ROUND($I143-$J143,3)=0,"✅ خلصت","⛔ فرق "&amp;TEXT($I143-$J143,"0.000")))))</f>
        <v/>
      </c>
      <c r="M143">
        <f>IF(AND($H143&lt;&gt;"",$H143&lt;&gt;0,LEFT($K143,1)&lt;&gt;"✅"),COUNT($M$6:M142)+1,"")</f>
        <v/>
      </c>
      <c r="N143">
        <f>IFERROR(INDEX($H$7:$H$206,MATCH(ROW()-6,$M$7:$M$206,0)),"")</f>
        <v/>
      </c>
    </row>
    <row r="144" ht="21" customHeight="1">
      <c r="A144" s="9">
        <f>IF(C144="","",IF(COUNTIF('الفواتير'!$D$7:$D$206,B144)=0,"⛔",ROW()-6))</f>
        <v/>
      </c>
      <c r="B144" s="12" t="n"/>
      <c r="C144" s="10" t="n"/>
      <c r="D144" s="12" t="n"/>
      <c r="E144" s="13" t="n"/>
      <c r="F144" s="14">
        <f>IF(C144="","",N(D144)*N(E144))</f>
        <v/>
      </c>
      <c r="H144" s="9">
        <f>IF('الفواتير'!$E144="يدوية",'الفواتير'!$D144,"")</f>
        <v/>
      </c>
      <c r="I144" s="14">
        <f>IF($H144="","",'الفواتير'!$F144)</f>
        <v/>
      </c>
      <c r="J144" s="14">
        <f>IF($H144="","",SUMIF($B$7:$B$606,$H144,$F$7:$F$606))</f>
        <v/>
      </c>
      <c r="K144" s="15">
        <f>IF($H144="","",IF($H144=0,"⛔ اكتب رقم الفاتورة",IF(COUNTIF($B$7:$B$606,$H144)=0,"🟡 ما انزلت بنودها",IF(ROUND($I144-$J144,3)=0,"✅ خلصت","⛔ فرق "&amp;TEXT($I144-$J144,"0.000")))))</f>
        <v/>
      </c>
      <c r="M144">
        <f>IF(AND($H144&lt;&gt;"",$H144&lt;&gt;0,LEFT($K144,1)&lt;&gt;"✅"),COUNT($M$6:M143)+1,"")</f>
        <v/>
      </c>
      <c r="N144">
        <f>IFERROR(INDEX($H$7:$H$206,MATCH(ROW()-6,$M$7:$M$206,0)),"")</f>
        <v/>
      </c>
    </row>
    <row r="145" ht="21" customHeight="1">
      <c r="A145" s="9">
        <f>IF(C145="","",IF(COUNTIF('الفواتير'!$D$7:$D$206,B145)=0,"⛔",ROW()-6))</f>
        <v/>
      </c>
      <c r="B145" s="12" t="n"/>
      <c r="C145" s="10" t="n"/>
      <c r="D145" s="12" t="n"/>
      <c r="E145" s="13" t="n"/>
      <c r="F145" s="14">
        <f>IF(C145="","",N(D145)*N(E145))</f>
        <v/>
      </c>
      <c r="H145" s="9">
        <f>IF('الفواتير'!$E145="يدوية",'الفواتير'!$D145,"")</f>
        <v/>
      </c>
      <c r="I145" s="14">
        <f>IF($H145="","",'الفواتير'!$F145)</f>
        <v/>
      </c>
      <c r="J145" s="14">
        <f>IF($H145="","",SUMIF($B$7:$B$606,$H145,$F$7:$F$606))</f>
        <v/>
      </c>
      <c r="K145" s="15">
        <f>IF($H145="","",IF($H145=0,"⛔ اكتب رقم الفاتورة",IF(COUNTIF($B$7:$B$606,$H145)=0,"🟡 ما انزلت بنودها",IF(ROUND($I145-$J145,3)=0,"✅ خلصت","⛔ فرق "&amp;TEXT($I145-$J145,"0.000")))))</f>
        <v/>
      </c>
      <c r="M145">
        <f>IF(AND($H145&lt;&gt;"",$H145&lt;&gt;0,LEFT($K145,1)&lt;&gt;"✅"),COUNT($M$6:M144)+1,"")</f>
        <v/>
      </c>
      <c r="N145">
        <f>IFERROR(INDEX($H$7:$H$206,MATCH(ROW()-6,$M$7:$M$206,0)),"")</f>
        <v/>
      </c>
    </row>
    <row r="146" ht="21" customHeight="1">
      <c r="A146" s="9">
        <f>IF(C146="","",IF(COUNTIF('الفواتير'!$D$7:$D$206,B146)=0,"⛔",ROW()-6))</f>
        <v/>
      </c>
      <c r="B146" s="12" t="n"/>
      <c r="C146" s="10" t="n"/>
      <c r="D146" s="12" t="n"/>
      <c r="E146" s="13" t="n"/>
      <c r="F146" s="14">
        <f>IF(C146="","",N(D146)*N(E146))</f>
        <v/>
      </c>
      <c r="H146" s="9">
        <f>IF('الفواتير'!$E146="يدوية",'الفواتير'!$D146,"")</f>
        <v/>
      </c>
      <c r="I146" s="14">
        <f>IF($H146="","",'الفواتير'!$F146)</f>
        <v/>
      </c>
      <c r="J146" s="14">
        <f>IF($H146="","",SUMIF($B$7:$B$606,$H146,$F$7:$F$606))</f>
        <v/>
      </c>
      <c r="K146" s="15">
        <f>IF($H146="","",IF($H146=0,"⛔ اكتب رقم الفاتورة",IF(COUNTIF($B$7:$B$606,$H146)=0,"🟡 ما انزلت بنودها",IF(ROUND($I146-$J146,3)=0,"✅ خلصت","⛔ فرق "&amp;TEXT($I146-$J146,"0.000")))))</f>
        <v/>
      </c>
      <c r="M146">
        <f>IF(AND($H146&lt;&gt;"",$H146&lt;&gt;0,LEFT($K146,1)&lt;&gt;"✅"),COUNT($M$6:M145)+1,"")</f>
        <v/>
      </c>
      <c r="N146">
        <f>IFERROR(INDEX($H$7:$H$206,MATCH(ROW()-6,$M$7:$M$206,0)),"")</f>
        <v/>
      </c>
    </row>
    <row r="147" ht="21" customHeight="1">
      <c r="A147" s="9">
        <f>IF(C147="","",IF(COUNTIF('الفواتير'!$D$7:$D$206,B147)=0,"⛔",ROW()-6))</f>
        <v/>
      </c>
      <c r="B147" s="12" t="n"/>
      <c r="C147" s="10" t="n"/>
      <c r="D147" s="12" t="n"/>
      <c r="E147" s="13" t="n"/>
      <c r="F147" s="14">
        <f>IF(C147="","",N(D147)*N(E147))</f>
        <v/>
      </c>
      <c r="H147" s="9">
        <f>IF('الفواتير'!$E147="يدوية",'الفواتير'!$D147,"")</f>
        <v/>
      </c>
      <c r="I147" s="14">
        <f>IF($H147="","",'الفواتير'!$F147)</f>
        <v/>
      </c>
      <c r="J147" s="14">
        <f>IF($H147="","",SUMIF($B$7:$B$606,$H147,$F$7:$F$606))</f>
        <v/>
      </c>
      <c r="K147" s="15">
        <f>IF($H147="","",IF($H147=0,"⛔ اكتب رقم الفاتورة",IF(COUNTIF($B$7:$B$606,$H147)=0,"🟡 ما انزلت بنودها",IF(ROUND($I147-$J147,3)=0,"✅ خلصت","⛔ فرق "&amp;TEXT($I147-$J147,"0.000")))))</f>
        <v/>
      </c>
      <c r="M147">
        <f>IF(AND($H147&lt;&gt;"",$H147&lt;&gt;0,LEFT($K147,1)&lt;&gt;"✅"),COUNT($M$6:M146)+1,"")</f>
        <v/>
      </c>
      <c r="N147">
        <f>IFERROR(INDEX($H$7:$H$206,MATCH(ROW()-6,$M$7:$M$206,0)),"")</f>
        <v/>
      </c>
    </row>
    <row r="148" ht="21" customHeight="1">
      <c r="A148" s="9">
        <f>IF(C148="","",IF(COUNTIF('الفواتير'!$D$7:$D$206,B148)=0,"⛔",ROW()-6))</f>
        <v/>
      </c>
      <c r="B148" s="12" t="n"/>
      <c r="C148" s="10" t="n"/>
      <c r="D148" s="12" t="n"/>
      <c r="E148" s="13" t="n"/>
      <c r="F148" s="14">
        <f>IF(C148="","",N(D148)*N(E148))</f>
        <v/>
      </c>
      <c r="H148" s="9">
        <f>IF('الفواتير'!$E148="يدوية",'الفواتير'!$D148,"")</f>
        <v/>
      </c>
      <c r="I148" s="14">
        <f>IF($H148="","",'الفواتير'!$F148)</f>
        <v/>
      </c>
      <c r="J148" s="14">
        <f>IF($H148="","",SUMIF($B$7:$B$606,$H148,$F$7:$F$606))</f>
        <v/>
      </c>
      <c r="K148" s="15">
        <f>IF($H148="","",IF($H148=0,"⛔ اكتب رقم الفاتورة",IF(COUNTIF($B$7:$B$606,$H148)=0,"🟡 ما انزلت بنودها",IF(ROUND($I148-$J148,3)=0,"✅ خلصت","⛔ فرق "&amp;TEXT($I148-$J148,"0.000")))))</f>
        <v/>
      </c>
      <c r="M148">
        <f>IF(AND($H148&lt;&gt;"",$H148&lt;&gt;0,LEFT($K148,1)&lt;&gt;"✅"),COUNT($M$6:M147)+1,"")</f>
        <v/>
      </c>
      <c r="N148">
        <f>IFERROR(INDEX($H$7:$H$206,MATCH(ROW()-6,$M$7:$M$206,0)),"")</f>
        <v/>
      </c>
    </row>
    <row r="149" ht="21" customHeight="1">
      <c r="A149" s="9">
        <f>IF(C149="","",IF(COUNTIF('الفواتير'!$D$7:$D$206,B149)=0,"⛔",ROW()-6))</f>
        <v/>
      </c>
      <c r="B149" s="12" t="n"/>
      <c r="C149" s="10" t="n"/>
      <c r="D149" s="12" t="n"/>
      <c r="E149" s="13" t="n"/>
      <c r="F149" s="14">
        <f>IF(C149="","",N(D149)*N(E149))</f>
        <v/>
      </c>
      <c r="H149" s="9">
        <f>IF('الفواتير'!$E149="يدوية",'الفواتير'!$D149,"")</f>
        <v/>
      </c>
      <c r="I149" s="14">
        <f>IF($H149="","",'الفواتير'!$F149)</f>
        <v/>
      </c>
      <c r="J149" s="14">
        <f>IF($H149="","",SUMIF($B$7:$B$606,$H149,$F$7:$F$606))</f>
        <v/>
      </c>
      <c r="K149" s="15">
        <f>IF($H149="","",IF($H149=0,"⛔ اكتب رقم الفاتورة",IF(COUNTIF($B$7:$B$606,$H149)=0,"🟡 ما انزلت بنودها",IF(ROUND($I149-$J149,3)=0,"✅ خلصت","⛔ فرق "&amp;TEXT($I149-$J149,"0.000")))))</f>
        <v/>
      </c>
      <c r="M149">
        <f>IF(AND($H149&lt;&gt;"",$H149&lt;&gt;0,LEFT($K149,1)&lt;&gt;"✅"),COUNT($M$6:M148)+1,"")</f>
        <v/>
      </c>
      <c r="N149">
        <f>IFERROR(INDEX($H$7:$H$206,MATCH(ROW()-6,$M$7:$M$206,0)),"")</f>
        <v/>
      </c>
    </row>
    <row r="150" ht="21" customHeight="1">
      <c r="A150" s="9">
        <f>IF(C150="","",IF(COUNTIF('الفواتير'!$D$7:$D$206,B150)=0,"⛔",ROW()-6))</f>
        <v/>
      </c>
      <c r="B150" s="12" t="n"/>
      <c r="C150" s="10" t="n"/>
      <c r="D150" s="12" t="n"/>
      <c r="E150" s="13" t="n"/>
      <c r="F150" s="14">
        <f>IF(C150="","",N(D150)*N(E150))</f>
        <v/>
      </c>
      <c r="H150" s="9">
        <f>IF('الفواتير'!$E150="يدوية",'الفواتير'!$D150,"")</f>
        <v/>
      </c>
      <c r="I150" s="14">
        <f>IF($H150="","",'الفواتير'!$F150)</f>
        <v/>
      </c>
      <c r="J150" s="14">
        <f>IF($H150="","",SUMIF($B$7:$B$606,$H150,$F$7:$F$606))</f>
        <v/>
      </c>
      <c r="K150" s="15">
        <f>IF($H150="","",IF($H150=0,"⛔ اكتب رقم الفاتورة",IF(COUNTIF($B$7:$B$606,$H150)=0,"🟡 ما انزلت بنودها",IF(ROUND($I150-$J150,3)=0,"✅ خلصت","⛔ فرق "&amp;TEXT($I150-$J150,"0.000")))))</f>
        <v/>
      </c>
      <c r="M150">
        <f>IF(AND($H150&lt;&gt;"",$H150&lt;&gt;0,LEFT($K150,1)&lt;&gt;"✅"),COUNT($M$6:M149)+1,"")</f>
        <v/>
      </c>
      <c r="N150">
        <f>IFERROR(INDEX($H$7:$H$206,MATCH(ROW()-6,$M$7:$M$206,0)),"")</f>
        <v/>
      </c>
    </row>
    <row r="151" ht="21" customHeight="1">
      <c r="A151" s="9">
        <f>IF(C151="","",IF(COUNTIF('الفواتير'!$D$7:$D$206,B151)=0,"⛔",ROW()-6))</f>
        <v/>
      </c>
      <c r="B151" s="12" t="n"/>
      <c r="C151" s="10" t="n"/>
      <c r="D151" s="12" t="n"/>
      <c r="E151" s="13" t="n"/>
      <c r="F151" s="14">
        <f>IF(C151="","",N(D151)*N(E151))</f>
        <v/>
      </c>
      <c r="H151" s="9">
        <f>IF('الفواتير'!$E151="يدوية",'الفواتير'!$D151,"")</f>
        <v/>
      </c>
      <c r="I151" s="14">
        <f>IF($H151="","",'الفواتير'!$F151)</f>
        <v/>
      </c>
      <c r="J151" s="14">
        <f>IF($H151="","",SUMIF($B$7:$B$606,$H151,$F$7:$F$606))</f>
        <v/>
      </c>
      <c r="K151" s="15">
        <f>IF($H151="","",IF($H151=0,"⛔ اكتب رقم الفاتورة",IF(COUNTIF($B$7:$B$606,$H151)=0,"🟡 ما انزلت بنودها",IF(ROUND($I151-$J151,3)=0,"✅ خلصت","⛔ فرق "&amp;TEXT($I151-$J151,"0.000")))))</f>
        <v/>
      </c>
      <c r="M151">
        <f>IF(AND($H151&lt;&gt;"",$H151&lt;&gt;0,LEFT($K151,1)&lt;&gt;"✅"),COUNT($M$6:M150)+1,"")</f>
        <v/>
      </c>
      <c r="N151">
        <f>IFERROR(INDEX($H$7:$H$206,MATCH(ROW()-6,$M$7:$M$206,0)),"")</f>
        <v/>
      </c>
    </row>
    <row r="152" ht="21" customHeight="1">
      <c r="A152" s="9">
        <f>IF(C152="","",IF(COUNTIF('الفواتير'!$D$7:$D$206,B152)=0,"⛔",ROW()-6))</f>
        <v/>
      </c>
      <c r="B152" s="12" t="n"/>
      <c r="C152" s="10" t="n"/>
      <c r="D152" s="12" t="n"/>
      <c r="E152" s="13" t="n"/>
      <c r="F152" s="14">
        <f>IF(C152="","",N(D152)*N(E152))</f>
        <v/>
      </c>
      <c r="H152" s="9">
        <f>IF('الفواتير'!$E152="يدوية",'الفواتير'!$D152,"")</f>
        <v/>
      </c>
      <c r="I152" s="14">
        <f>IF($H152="","",'الفواتير'!$F152)</f>
        <v/>
      </c>
      <c r="J152" s="14">
        <f>IF($H152="","",SUMIF($B$7:$B$606,$H152,$F$7:$F$606))</f>
        <v/>
      </c>
      <c r="K152" s="15">
        <f>IF($H152="","",IF($H152=0,"⛔ اكتب رقم الفاتورة",IF(COUNTIF($B$7:$B$606,$H152)=0,"🟡 ما انزلت بنودها",IF(ROUND($I152-$J152,3)=0,"✅ خلصت","⛔ فرق "&amp;TEXT($I152-$J152,"0.000")))))</f>
        <v/>
      </c>
      <c r="M152">
        <f>IF(AND($H152&lt;&gt;"",$H152&lt;&gt;0,LEFT($K152,1)&lt;&gt;"✅"),COUNT($M$6:M151)+1,"")</f>
        <v/>
      </c>
      <c r="N152">
        <f>IFERROR(INDEX($H$7:$H$206,MATCH(ROW()-6,$M$7:$M$206,0)),"")</f>
        <v/>
      </c>
    </row>
    <row r="153" ht="21" customHeight="1">
      <c r="A153" s="9">
        <f>IF(C153="","",IF(COUNTIF('الفواتير'!$D$7:$D$206,B153)=0,"⛔",ROW()-6))</f>
        <v/>
      </c>
      <c r="B153" s="12" t="n"/>
      <c r="C153" s="10" t="n"/>
      <c r="D153" s="12" t="n"/>
      <c r="E153" s="13" t="n"/>
      <c r="F153" s="14">
        <f>IF(C153="","",N(D153)*N(E153))</f>
        <v/>
      </c>
      <c r="H153" s="9">
        <f>IF('الفواتير'!$E153="يدوية",'الفواتير'!$D153,"")</f>
        <v/>
      </c>
      <c r="I153" s="14">
        <f>IF($H153="","",'الفواتير'!$F153)</f>
        <v/>
      </c>
      <c r="J153" s="14">
        <f>IF($H153="","",SUMIF($B$7:$B$606,$H153,$F$7:$F$606))</f>
        <v/>
      </c>
      <c r="K153" s="15">
        <f>IF($H153="","",IF($H153=0,"⛔ اكتب رقم الفاتورة",IF(COUNTIF($B$7:$B$606,$H153)=0,"🟡 ما انزلت بنودها",IF(ROUND($I153-$J153,3)=0,"✅ خلصت","⛔ فرق "&amp;TEXT($I153-$J153,"0.000")))))</f>
        <v/>
      </c>
      <c r="M153">
        <f>IF(AND($H153&lt;&gt;"",$H153&lt;&gt;0,LEFT($K153,1)&lt;&gt;"✅"),COUNT($M$6:M152)+1,"")</f>
        <v/>
      </c>
      <c r="N153">
        <f>IFERROR(INDEX($H$7:$H$206,MATCH(ROW()-6,$M$7:$M$206,0)),"")</f>
        <v/>
      </c>
    </row>
    <row r="154" ht="21" customHeight="1">
      <c r="A154" s="9">
        <f>IF(C154="","",IF(COUNTIF('الفواتير'!$D$7:$D$206,B154)=0,"⛔",ROW()-6))</f>
        <v/>
      </c>
      <c r="B154" s="12" t="n"/>
      <c r="C154" s="10" t="n"/>
      <c r="D154" s="12" t="n"/>
      <c r="E154" s="13" t="n"/>
      <c r="F154" s="14">
        <f>IF(C154="","",N(D154)*N(E154))</f>
        <v/>
      </c>
      <c r="H154" s="9">
        <f>IF('الفواتير'!$E154="يدوية",'الفواتير'!$D154,"")</f>
        <v/>
      </c>
      <c r="I154" s="14">
        <f>IF($H154="","",'الفواتير'!$F154)</f>
        <v/>
      </c>
      <c r="J154" s="14">
        <f>IF($H154="","",SUMIF($B$7:$B$606,$H154,$F$7:$F$606))</f>
        <v/>
      </c>
      <c r="K154" s="15">
        <f>IF($H154="","",IF($H154=0,"⛔ اكتب رقم الفاتورة",IF(COUNTIF($B$7:$B$606,$H154)=0,"🟡 ما انزلت بنودها",IF(ROUND($I154-$J154,3)=0,"✅ خلصت","⛔ فرق "&amp;TEXT($I154-$J154,"0.000")))))</f>
        <v/>
      </c>
      <c r="M154">
        <f>IF(AND($H154&lt;&gt;"",$H154&lt;&gt;0,LEFT($K154,1)&lt;&gt;"✅"),COUNT($M$6:M153)+1,"")</f>
        <v/>
      </c>
      <c r="N154">
        <f>IFERROR(INDEX($H$7:$H$206,MATCH(ROW()-6,$M$7:$M$206,0)),"")</f>
        <v/>
      </c>
    </row>
    <row r="155" ht="21" customHeight="1">
      <c r="A155" s="9">
        <f>IF(C155="","",IF(COUNTIF('الفواتير'!$D$7:$D$206,B155)=0,"⛔",ROW()-6))</f>
        <v/>
      </c>
      <c r="B155" s="12" t="n"/>
      <c r="C155" s="10" t="n"/>
      <c r="D155" s="12" t="n"/>
      <c r="E155" s="13" t="n"/>
      <c r="F155" s="14">
        <f>IF(C155="","",N(D155)*N(E155))</f>
        <v/>
      </c>
      <c r="H155" s="9">
        <f>IF('الفواتير'!$E155="يدوية",'الفواتير'!$D155,"")</f>
        <v/>
      </c>
      <c r="I155" s="14">
        <f>IF($H155="","",'الفواتير'!$F155)</f>
        <v/>
      </c>
      <c r="J155" s="14">
        <f>IF($H155="","",SUMIF($B$7:$B$606,$H155,$F$7:$F$606))</f>
        <v/>
      </c>
      <c r="K155" s="15">
        <f>IF($H155="","",IF($H155=0,"⛔ اكتب رقم الفاتورة",IF(COUNTIF($B$7:$B$606,$H155)=0,"🟡 ما انزلت بنودها",IF(ROUND($I155-$J155,3)=0,"✅ خلصت","⛔ فرق "&amp;TEXT($I155-$J155,"0.000")))))</f>
        <v/>
      </c>
      <c r="M155">
        <f>IF(AND($H155&lt;&gt;"",$H155&lt;&gt;0,LEFT($K155,1)&lt;&gt;"✅"),COUNT($M$6:M154)+1,"")</f>
        <v/>
      </c>
      <c r="N155">
        <f>IFERROR(INDEX($H$7:$H$206,MATCH(ROW()-6,$M$7:$M$206,0)),"")</f>
        <v/>
      </c>
    </row>
    <row r="156" ht="21" customHeight="1">
      <c r="A156" s="9">
        <f>IF(C156="","",IF(COUNTIF('الفواتير'!$D$7:$D$206,B156)=0,"⛔",ROW()-6))</f>
        <v/>
      </c>
      <c r="B156" s="12" t="n"/>
      <c r="C156" s="10" t="n"/>
      <c r="D156" s="12" t="n"/>
      <c r="E156" s="13" t="n"/>
      <c r="F156" s="14">
        <f>IF(C156="","",N(D156)*N(E156))</f>
        <v/>
      </c>
      <c r="H156" s="9">
        <f>IF('الفواتير'!$E156="يدوية",'الفواتير'!$D156,"")</f>
        <v/>
      </c>
      <c r="I156" s="14">
        <f>IF($H156="","",'الفواتير'!$F156)</f>
        <v/>
      </c>
      <c r="J156" s="14">
        <f>IF($H156="","",SUMIF($B$7:$B$606,$H156,$F$7:$F$606))</f>
        <v/>
      </c>
      <c r="K156" s="15">
        <f>IF($H156="","",IF($H156=0,"⛔ اكتب رقم الفاتورة",IF(COUNTIF($B$7:$B$606,$H156)=0,"🟡 ما انزلت بنودها",IF(ROUND($I156-$J156,3)=0,"✅ خلصت","⛔ فرق "&amp;TEXT($I156-$J156,"0.000")))))</f>
        <v/>
      </c>
      <c r="M156">
        <f>IF(AND($H156&lt;&gt;"",$H156&lt;&gt;0,LEFT($K156,1)&lt;&gt;"✅"),COUNT($M$6:M155)+1,"")</f>
        <v/>
      </c>
      <c r="N156">
        <f>IFERROR(INDEX($H$7:$H$206,MATCH(ROW()-6,$M$7:$M$206,0)),"")</f>
        <v/>
      </c>
    </row>
    <row r="157" ht="21" customHeight="1">
      <c r="A157" s="9">
        <f>IF(C157="","",IF(COUNTIF('الفواتير'!$D$7:$D$206,B157)=0,"⛔",ROW()-6))</f>
        <v/>
      </c>
      <c r="B157" s="12" t="n"/>
      <c r="C157" s="10" t="n"/>
      <c r="D157" s="12" t="n"/>
      <c r="E157" s="13" t="n"/>
      <c r="F157" s="14">
        <f>IF(C157="","",N(D157)*N(E157))</f>
        <v/>
      </c>
      <c r="H157" s="9">
        <f>IF('الفواتير'!$E157="يدوية",'الفواتير'!$D157,"")</f>
        <v/>
      </c>
      <c r="I157" s="14">
        <f>IF($H157="","",'الفواتير'!$F157)</f>
        <v/>
      </c>
      <c r="J157" s="14">
        <f>IF($H157="","",SUMIF($B$7:$B$606,$H157,$F$7:$F$606))</f>
        <v/>
      </c>
      <c r="K157" s="15">
        <f>IF($H157="","",IF($H157=0,"⛔ اكتب رقم الفاتورة",IF(COUNTIF($B$7:$B$606,$H157)=0,"🟡 ما انزلت بنودها",IF(ROUND($I157-$J157,3)=0,"✅ خلصت","⛔ فرق "&amp;TEXT($I157-$J157,"0.000")))))</f>
        <v/>
      </c>
      <c r="M157">
        <f>IF(AND($H157&lt;&gt;"",$H157&lt;&gt;0,LEFT($K157,1)&lt;&gt;"✅"),COUNT($M$6:M156)+1,"")</f>
        <v/>
      </c>
      <c r="N157">
        <f>IFERROR(INDEX($H$7:$H$206,MATCH(ROW()-6,$M$7:$M$206,0)),"")</f>
        <v/>
      </c>
    </row>
    <row r="158" ht="21" customHeight="1">
      <c r="A158" s="9">
        <f>IF(C158="","",IF(COUNTIF('الفواتير'!$D$7:$D$206,B158)=0,"⛔",ROW()-6))</f>
        <v/>
      </c>
      <c r="B158" s="12" t="n"/>
      <c r="C158" s="10" t="n"/>
      <c r="D158" s="12" t="n"/>
      <c r="E158" s="13" t="n"/>
      <c r="F158" s="14">
        <f>IF(C158="","",N(D158)*N(E158))</f>
        <v/>
      </c>
      <c r="H158" s="9">
        <f>IF('الفواتير'!$E158="يدوية",'الفواتير'!$D158,"")</f>
        <v/>
      </c>
      <c r="I158" s="14">
        <f>IF($H158="","",'الفواتير'!$F158)</f>
        <v/>
      </c>
      <c r="J158" s="14">
        <f>IF($H158="","",SUMIF($B$7:$B$606,$H158,$F$7:$F$606))</f>
        <v/>
      </c>
      <c r="K158" s="15">
        <f>IF($H158="","",IF($H158=0,"⛔ اكتب رقم الفاتورة",IF(COUNTIF($B$7:$B$606,$H158)=0,"🟡 ما انزلت بنودها",IF(ROUND($I158-$J158,3)=0,"✅ خلصت","⛔ فرق "&amp;TEXT($I158-$J158,"0.000")))))</f>
        <v/>
      </c>
      <c r="M158">
        <f>IF(AND($H158&lt;&gt;"",$H158&lt;&gt;0,LEFT($K158,1)&lt;&gt;"✅"),COUNT($M$6:M157)+1,"")</f>
        <v/>
      </c>
      <c r="N158">
        <f>IFERROR(INDEX($H$7:$H$206,MATCH(ROW()-6,$M$7:$M$206,0)),"")</f>
        <v/>
      </c>
    </row>
    <row r="159" ht="21" customHeight="1">
      <c r="A159" s="9">
        <f>IF(C159="","",IF(COUNTIF('الفواتير'!$D$7:$D$206,B159)=0,"⛔",ROW()-6))</f>
        <v/>
      </c>
      <c r="B159" s="12" t="n"/>
      <c r="C159" s="10" t="n"/>
      <c r="D159" s="12" t="n"/>
      <c r="E159" s="13" t="n"/>
      <c r="F159" s="14">
        <f>IF(C159="","",N(D159)*N(E159))</f>
        <v/>
      </c>
      <c r="H159" s="9">
        <f>IF('الفواتير'!$E159="يدوية",'الفواتير'!$D159,"")</f>
        <v/>
      </c>
      <c r="I159" s="14">
        <f>IF($H159="","",'الفواتير'!$F159)</f>
        <v/>
      </c>
      <c r="J159" s="14">
        <f>IF($H159="","",SUMIF($B$7:$B$606,$H159,$F$7:$F$606))</f>
        <v/>
      </c>
      <c r="K159" s="15">
        <f>IF($H159="","",IF($H159=0,"⛔ اكتب رقم الفاتورة",IF(COUNTIF($B$7:$B$606,$H159)=0,"🟡 ما انزلت بنودها",IF(ROUND($I159-$J159,3)=0,"✅ خلصت","⛔ فرق "&amp;TEXT($I159-$J159,"0.000")))))</f>
        <v/>
      </c>
      <c r="M159">
        <f>IF(AND($H159&lt;&gt;"",$H159&lt;&gt;0,LEFT($K159,1)&lt;&gt;"✅"),COUNT($M$6:M158)+1,"")</f>
        <v/>
      </c>
      <c r="N159">
        <f>IFERROR(INDEX($H$7:$H$206,MATCH(ROW()-6,$M$7:$M$206,0)),"")</f>
        <v/>
      </c>
    </row>
    <row r="160" ht="21" customHeight="1">
      <c r="A160" s="9">
        <f>IF(C160="","",IF(COUNTIF('الفواتير'!$D$7:$D$206,B160)=0,"⛔",ROW()-6))</f>
        <v/>
      </c>
      <c r="B160" s="12" t="n"/>
      <c r="C160" s="10" t="n"/>
      <c r="D160" s="12" t="n"/>
      <c r="E160" s="13" t="n"/>
      <c r="F160" s="14">
        <f>IF(C160="","",N(D160)*N(E160))</f>
        <v/>
      </c>
      <c r="H160" s="9">
        <f>IF('الفواتير'!$E160="يدوية",'الفواتير'!$D160,"")</f>
        <v/>
      </c>
      <c r="I160" s="14">
        <f>IF($H160="","",'الفواتير'!$F160)</f>
        <v/>
      </c>
      <c r="J160" s="14">
        <f>IF($H160="","",SUMIF($B$7:$B$606,$H160,$F$7:$F$606))</f>
        <v/>
      </c>
      <c r="K160" s="15">
        <f>IF($H160="","",IF($H160=0,"⛔ اكتب رقم الفاتورة",IF(COUNTIF($B$7:$B$606,$H160)=0,"🟡 ما انزلت بنودها",IF(ROUND($I160-$J160,3)=0,"✅ خلصت","⛔ فرق "&amp;TEXT($I160-$J160,"0.000")))))</f>
        <v/>
      </c>
      <c r="M160">
        <f>IF(AND($H160&lt;&gt;"",$H160&lt;&gt;0,LEFT($K160,1)&lt;&gt;"✅"),COUNT($M$6:M159)+1,"")</f>
        <v/>
      </c>
      <c r="N160">
        <f>IFERROR(INDEX($H$7:$H$206,MATCH(ROW()-6,$M$7:$M$206,0)),"")</f>
        <v/>
      </c>
    </row>
    <row r="161" ht="21" customHeight="1">
      <c r="A161" s="9">
        <f>IF(C161="","",IF(COUNTIF('الفواتير'!$D$7:$D$206,B161)=0,"⛔",ROW()-6))</f>
        <v/>
      </c>
      <c r="B161" s="12" t="n"/>
      <c r="C161" s="10" t="n"/>
      <c r="D161" s="12" t="n"/>
      <c r="E161" s="13" t="n"/>
      <c r="F161" s="14">
        <f>IF(C161="","",N(D161)*N(E161))</f>
        <v/>
      </c>
      <c r="H161" s="9">
        <f>IF('الفواتير'!$E161="يدوية",'الفواتير'!$D161,"")</f>
        <v/>
      </c>
      <c r="I161" s="14">
        <f>IF($H161="","",'الفواتير'!$F161)</f>
        <v/>
      </c>
      <c r="J161" s="14">
        <f>IF($H161="","",SUMIF($B$7:$B$606,$H161,$F$7:$F$606))</f>
        <v/>
      </c>
      <c r="K161" s="15">
        <f>IF($H161="","",IF($H161=0,"⛔ اكتب رقم الفاتورة",IF(COUNTIF($B$7:$B$606,$H161)=0,"🟡 ما انزلت بنودها",IF(ROUND($I161-$J161,3)=0,"✅ خلصت","⛔ فرق "&amp;TEXT($I161-$J161,"0.000")))))</f>
        <v/>
      </c>
      <c r="M161">
        <f>IF(AND($H161&lt;&gt;"",$H161&lt;&gt;0,LEFT($K161,1)&lt;&gt;"✅"),COUNT($M$6:M160)+1,"")</f>
        <v/>
      </c>
      <c r="N161">
        <f>IFERROR(INDEX($H$7:$H$206,MATCH(ROW()-6,$M$7:$M$206,0)),"")</f>
        <v/>
      </c>
    </row>
    <row r="162" ht="21" customHeight="1">
      <c r="A162" s="9">
        <f>IF(C162="","",IF(COUNTIF('الفواتير'!$D$7:$D$206,B162)=0,"⛔",ROW()-6))</f>
        <v/>
      </c>
      <c r="B162" s="12" t="n"/>
      <c r="C162" s="10" t="n"/>
      <c r="D162" s="12" t="n"/>
      <c r="E162" s="13" t="n"/>
      <c r="F162" s="14">
        <f>IF(C162="","",N(D162)*N(E162))</f>
        <v/>
      </c>
      <c r="H162" s="9">
        <f>IF('الفواتير'!$E162="يدوية",'الفواتير'!$D162,"")</f>
        <v/>
      </c>
      <c r="I162" s="14">
        <f>IF($H162="","",'الفواتير'!$F162)</f>
        <v/>
      </c>
      <c r="J162" s="14">
        <f>IF($H162="","",SUMIF($B$7:$B$606,$H162,$F$7:$F$606))</f>
        <v/>
      </c>
      <c r="K162" s="15">
        <f>IF($H162="","",IF($H162=0,"⛔ اكتب رقم الفاتورة",IF(COUNTIF($B$7:$B$606,$H162)=0,"🟡 ما انزلت بنودها",IF(ROUND($I162-$J162,3)=0,"✅ خلصت","⛔ فرق "&amp;TEXT($I162-$J162,"0.000")))))</f>
        <v/>
      </c>
      <c r="M162">
        <f>IF(AND($H162&lt;&gt;"",$H162&lt;&gt;0,LEFT($K162,1)&lt;&gt;"✅"),COUNT($M$6:M161)+1,"")</f>
        <v/>
      </c>
      <c r="N162">
        <f>IFERROR(INDEX($H$7:$H$206,MATCH(ROW()-6,$M$7:$M$206,0)),"")</f>
        <v/>
      </c>
    </row>
    <row r="163" ht="21" customHeight="1">
      <c r="A163" s="9">
        <f>IF(C163="","",IF(COUNTIF('الفواتير'!$D$7:$D$206,B163)=0,"⛔",ROW()-6))</f>
        <v/>
      </c>
      <c r="B163" s="12" t="n"/>
      <c r="C163" s="10" t="n"/>
      <c r="D163" s="12" t="n"/>
      <c r="E163" s="13" t="n"/>
      <c r="F163" s="14">
        <f>IF(C163="","",N(D163)*N(E163))</f>
        <v/>
      </c>
      <c r="H163" s="9">
        <f>IF('الفواتير'!$E163="يدوية",'الفواتير'!$D163,"")</f>
        <v/>
      </c>
      <c r="I163" s="14">
        <f>IF($H163="","",'الفواتير'!$F163)</f>
        <v/>
      </c>
      <c r="J163" s="14">
        <f>IF($H163="","",SUMIF($B$7:$B$606,$H163,$F$7:$F$606))</f>
        <v/>
      </c>
      <c r="K163" s="15">
        <f>IF($H163="","",IF($H163=0,"⛔ اكتب رقم الفاتورة",IF(COUNTIF($B$7:$B$606,$H163)=0,"🟡 ما انزلت بنودها",IF(ROUND($I163-$J163,3)=0,"✅ خلصت","⛔ فرق "&amp;TEXT($I163-$J163,"0.000")))))</f>
        <v/>
      </c>
      <c r="M163">
        <f>IF(AND($H163&lt;&gt;"",$H163&lt;&gt;0,LEFT($K163,1)&lt;&gt;"✅"),COUNT($M$6:M162)+1,"")</f>
        <v/>
      </c>
      <c r="N163">
        <f>IFERROR(INDEX($H$7:$H$206,MATCH(ROW()-6,$M$7:$M$206,0)),"")</f>
        <v/>
      </c>
    </row>
    <row r="164" ht="21" customHeight="1">
      <c r="A164" s="9">
        <f>IF(C164="","",IF(COUNTIF('الفواتير'!$D$7:$D$206,B164)=0,"⛔",ROW()-6))</f>
        <v/>
      </c>
      <c r="B164" s="12" t="n"/>
      <c r="C164" s="10" t="n"/>
      <c r="D164" s="12" t="n"/>
      <c r="E164" s="13" t="n"/>
      <c r="F164" s="14">
        <f>IF(C164="","",N(D164)*N(E164))</f>
        <v/>
      </c>
      <c r="H164" s="9">
        <f>IF('الفواتير'!$E164="يدوية",'الفواتير'!$D164,"")</f>
        <v/>
      </c>
      <c r="I164" s="14">
        <f>IF($H164="","",'الفواتير'!$F164)</f>
        <v/>
      </c>
      <c r="J164" s="14">
        <f>IF($H164="","",SUMIF($B$7:$B$606,$H164,$F$7:$F$606))</f>
        <v/>
      </c>
      <c r="K164" s="15">
        <f>IF($H164="","",IF($H164=0,"⛔ اكتب رقم الفاتورة",IF(COUNTIF($B$7:$B$606,$H164)=0,"🟡 ما انزلت بنودها",IF(ROUND($I164-$J164,3)=0,"✅ خلصت","⛔ فرق "&amp;TEXT($I164-$J164,"0.000")))))</f>
        <v/>
      </c>
      <c r="M164">
        <f>IF(AND($H164&lt;&gt;"",$H164&lt;&gt;0,LEFT($K164,1)&lt;&gt;"✅"),COUNT($M$6:M163)+1,"")</f>
        <v/>
      </c>
      <c r="N164">
        <f>IFERROR(INDEX($H$7:$H$206,MATCH(ROW()-6,$M$7:$M$206,0)),"")</f>
        <v/>
      </c>
    </row>
    <row r="165" ht="21" customHeight="1">
      <c r="A165" s="9">
        <f>IF(C165="","",IF(COUNTIF('الفواتير'!$D$7:$D$206,B165)=0,"⛔",ROW()-6))</f>
        <v/>
      </c>
      <c r="B165" s="12" t="n"/>
      <c r="C165" s="10" t="n"/>
      <c r="D165" s="12" t="n"/>
      <c r="E165" s="13" t="n"/>
      <c r="F165" s="14">
        <f>IF(C165="","",N(D165)*N(E165))</f>
        <v/>
      </c>
      <c r="H165" s="9">
        <f>IF('الفواتير'!$E165="يدوية",'الفواتير'!$D165,"")</f>
        <v/>
      </c>
      <c r="I165" s="14">
        <f>IF($H165="","",'الفواتير'!$F165)</f>
        <v/>
      </c>
      <c r="J165" s="14">
        <f>IF($H165="","",SUMIF($B$7:$B$606,$H165,$F$7:$F$606))</f>
        <v/>
      </c>
      <c r="K165" s="15">
        <f>IF($H165="","",IF($H165=0,"⛔ اكتب رقم الفاتورة",IF(COUNTIF($B$7:$B$606,$H165)=0,"🟡 ما انزلت بنودها",IF(ROUND($I165-$J165,3)=0,"✅ خلصت","⛔ فرق "&amp;TEXT($I165-$J165,"0.000")))))</f>
        <v/>
      </c>
      <c r="M165">
        <f>IF(AND($H165&lt;&gt;"",$H165&lt;&gt;0,LEFT($K165,1)&lt;&gt;"✅"),COUNT($M$6:M164)+1,"")</f>
        <v/>
      </c>
      <c r="N165">
        <f>IFERROR(INDEX($H$7:$H$206,MATCH(ROW()-6,$M$7:$M$206,0)),"")</f>
        <v/>
      </c>
    </row>
    <row r="166" ht="21" customHeight="1">
      <c r="A166" s="9">
        <f>IF(C166="","",IF(COUNTIF('الفواتير'!$D$7:$D$206,B166)=0,"⛔",ROW()-6))</f>
        <v/>
      </c>
      <c r="B166" s="12" t="n"/>
      <c r="C166" s="10" t="n"/>
      <c r="D166" s="12" t="n"/>
      <c r="E166" s="13" t="n"/>
      <c r="F166" s="14">
        <f>IF(C166="","",N(D166)*N(E166))</f>
        <v/>
      </c>
      <c r="H166" s="9">
        <f>IF('الفواتير'!$E166="يدوية",'الفواتير'!$D166,"")</f>
        <v/>
      </c>
      <c r="I166" s="14">
        <f>IF($H166="","",'الفواتير'!$F166)</f>
        <v/>
      </c>
      <c r="J166" s="14">
        <f>IF($H166="","",SUMIF($B$7:$B$606,$H166,$F$7:$F$606))</f>
        <v/>
      </c>
      <c r="K166" s="15">
        <f>IF($H166="","",IF($H166=0,"⛔ اكتب رقم الفاتورة",IF(COUNTIF($B$7:$B$606,$H166)=0,"🟡 ما انزلت بنودها",IF(ROUND($I166-$J166,3)=0,"✅ خلصت","⛔ فرق "&amp;TEXT($I166-$J166,"0.000")))))</f>
        <v/>
      </c>
      <c r="M166">
        <f>IF(AND($H166&lt;&gt;"",$H166&lt;&gt;0,LEFT($K166,1)&lt;&gt;"✅"),COUNT($M$6:M165)+1,"")</f>
        <v/>
      </c>
      <c r="N166">
        <f>IFERROR(INDEX($H$7:$H$206,MATCH(ROW()-6,$M$7:$M$206,0)),"")</f>
        <v/>
      </c>
    </row>
    <row r="167" ht="21" customHeight="1">
      <c r="A167" s="9">
        <f>IF(C167="","",IF(COUNTIF('الفواتير'!$D$7:$D$206,B167)=0,"⛔",ROW()-6))</f>
        <v/>
      </c>
      <c r="B167" s="12" t="n"/>
      <c r="C167" s="10" t="n"/>
      <c r="D167" s="12" t="n"/>
      <c r="E167" s="13" t="n"/>
      <c r="F167" s="14">
        <f>IF(C167="","",N(D167)*N(E167))</f>
        <v/>
      </c>
      <c r="H167" s="9">
        <f>IF('الفواتير'!$E167="يدوية",'الفواتير'!$D167,"")</f>
        <v/>
      </c>
      <c r="I167" s="14">
        <f>IF($H167="","",'الفواتير'!$F167)</f>
        <v/>
      </c>
      <c r="J167" s="14">
        <f>IF($H167="","",SUMIF($B$7:$B$606,$H167,$F$7:$F$606))</f>
        <v/>
      </c>
      <c r="K167" s="15">
        <f>IF($H167="","",IF($H167=0,"⛔ اكتب رقم الفاتورة",IF(COUNTIF($B$7:$B$606,$H167)=0,"🟡 ما انزلت بنودها",IF(ROUND($I167-$J167,3)=0,"✅ خلصت","⛔ فرق "&amp;TEXT($I167-$J167,"0.000")))))</f>
        <v/>
      </c>
      <c r="M167">
        <f>IF(AND($H167&lt;&gt;"",$H167&lt;&gt;0,LEFT($K167,1)&lt;&gt;"✅"),COUNT($M$6:M166)+1,"")</f>
        <v/>
      </c>
      <c r="N167">
        <f>IFERROR(INDEX($H$7:$H$206,MATCH(ROW()-6,$M$7:$M$206,0)),"")</f>
        <v/>
      </c>
    </row>
    <row r="168" ht="21" customHeight="1">
      <c r="A168" s="9">
        <f>IF(C168="","",IF(COUNTIF('الفواتير'!$D$7:$D$206,B168)=0,"⛔",ROW()-6))</f>
        <v/>
      </c>
      <c r="B168" s="12" t="n"/>
      <c r="C168" s="10" t="n"/>
      <c r="D168" s="12" t="n"/>
      <c r="E168" s="13" t="n"/>
      <c r="F168" s="14">
        <f>IF(C168="","",N(D168)*N(E168))</f>
        <v/>
      </c>
      <c r="H168" s="9">
        <f>IF('الفواتير'!$E168="يدوية",'الفواتير'!$D168,"")</f>
        <v/>
      </c>
      <c r="I168" s="14">
        <f>IF($H168="","",'الفواتير'!$F168)</f>
        <v/>
      </c>
      <c r="J168" s="14">
        <f>IF($H168="","",SUMIF($B$7:$B$606,$H168,$F$7:$F$606))</f>
        <v/>
      </c>
      <c r="K168" s="15">
        <f>IF($H168="","",IF($H168=0,"⛔ اكتب رقم الفاتورة",IF(COUNTIF($B$7:$B$606,$H168)=0,"🟡 ما انزلت بنودها",IF(ROUND($I168-$J168,3)=0,"✅ خلصت","⛔ فرق "&amp;TEXT($I168-$J168,"0.000")))))</f>
        <v/>
      </c>
      <c r="M168">
        <f>IF(AND($H168&lt;&gt;"",$H168&lt;&gt;0,LEFT($K168,1)&lt;&gt;"✅"),COUNT($M$6:M167)+1,"")</f>
        <v/>
      </c>
      <c r="N168">
        <f>IFERROR(INDEX($H$7:$H$206,MATCH(ROW()-6,$M$7:$M$206,0)),"")</f>
        <v/>
      </c>
    </row>
    <row r="169" ht="21" customHeight="1">
      <c r="A169" s="9">
        <f>IF(C169="","",IF(COUNTIF('الفواتير'!$D$7:$D$206,B169)=0,"⛔",ROW()-6))</f>
        <v/>
      </c>
      <c r="B169" s="12" t="n"/>
      <c r="C169" s="10" t="n"/>
      <c r="D169" s="12" t="n"/>
      <c r="E169" s="13" t="n"/>
      <c r="F169" s="14">
        <f>IF(C169="","",N(D169)*N(E169))</f>
        <v/>
      </c>
      <c r="H169" s="9">
        <f>IF('الفواتير'!$E169="يدوية",'الفواتير'!$D169,"")</f>
        <v/>
      </c>
      <c r="I169" s="14">
        <f>IF($H169="","",'الفواتير'!$F169)</f>
        <v/>
      </c>
      <c r="J169" s="14">
        <f>IF($H169="","",SUMIF($B$7:$B$606,$H169,$F$7:$F$606))</f>
        <v/>
      </c>
      <c r="K169" s="15">
        <f>IF($H169="","",IF($H169=0,"⛔ اكتب رقم الفاتورة",IF(COUNTIF($B$7:$B$606,$H169)=0,"🟡 ما انزلت بنودها",IF(ROUND($I169-$J169,3)=0,"✅ خلصت","⛔ فرق "&amp;TEXT($I169-$J169,"0.000")))))</f>
        <v/>
      </c>
      <c r="M169">
        <f>IF(AND($H169&lt;&gt;"",$H169&lt;&gt;0,LEFT($K169,1)&lt;&gt;"✅"),COUNT($M$6:M168)+1,"")</f>
        <v/>
      </c>
      <c r="N169">
        <f>IFERROR(INDEX($H$7:$H$206,MATCH(ROW()-6,$M$7:$M$206,0)),"")</f>
        <v/>
      </c>
    </row>
    <row r="170" ht="21" customHeight="1">
      <c r="A170" s="9">
        <f>IF(C170="","",IF(COUNTIF('الفواتير'!$D$7:$D$206,B170)=0,"⛔",ROW()-6))</f>
        <v/>
      </c>
      <c r="B170" s="12" t="n"/>
      <c r="C170" s="10" t="n"/>
      <c r="D170" s="12" t="n"/>
      <c r="E170" s="13" t="n"/>
      <c r="F170" s="14">
        <f>IF(C170="","",N(D170)*N(E170))</f>
        <v/>
      </c>
      <c r="H170" s="9">
        <f>IF('الفواتير'!$E170="يدوية",'الفواتير'!$D170,"")</f>
        <v/>
      </c>
      <c r="I170" s="14">
        <f>IF($H170="","",'الفواتير'!$F170)</f>
        <v/>
      </c>
      <c r="J170" s="14">
        <f>IF($H170="","",SUMIF($B$7:$B$606,$H170,$F$7:$F$606))</f>
        <v/>
      </c>
      <c r="K170" s="15">
        <f>IF($H170="","",IF($H170=0,"⛔ اكتب رقم الفاتورة",IF(COUNTIF($B$7:$B$606,$H170)=0,"🟡 ما انزلت بنودها",IF(ROUND($I170-$J170,3)=0,"✅ خلصت","⛔ فرق "&amp;TEXT($I170-$J170,"0.000")))))</f>
        <v/>
      </c>
      <c r="M170">
        <f>IF(AND($H170&lt;&gt;"",$H170&lt;&gt;0,LEFT($K170,1)&lt;&gt;"✅"),COUNT($M$6:M169)+1,"")</f>
        <v/>
      </c>
      <c r="N170">
        <f>IFERROR(INDEX($H$7:$H$206,MATCH(ROW()-6,$M$7:$M$206,0)),"")</f>
        <v/>
      </c>
    </row>
    <row r="171" ht="21" customHeight="1">
      <c r="A171" s="9">
        <f>IF(C171="","",IF(COUNTIF('الفواتير'!$D$7:$D$206,B171)=0,"⛔",ROW()-6))</f>
        <v/>
      </c>
      <c r="B171" s="12" t="n"/>
      <c r="C171" s="10" t="n"/>
      <c r="D171" s="12" t="n"/>
      <c r="E171" s="13" t="n"/>
      <c r="F171" s="14">
        <f>IF(C171="","",N(D171)*N(E171))</f>
        <v/>
      </c>
      <c r="H171" s="9">
        <f>IF('الفواتير'!$E171="يدوية",'الفواتير'!$D171,"")</f>
        <v/>
      </c>
      <c r="I171" s="14">
        <f>IF($H171="","",'الفواتير'!$F171)</f>
        <v/>
      </c>
      <c r="J171" s="14">
        <f>IF($H171="","",SUMIF($B$7:$B$606,$H171,$F$7:$F$606))</f>
        <v/>
      </c>
      <c r="K171" s="15">
        <f>IF($H171="","",IF($H171=0,"⛔ اكتب رقم الفاتورة",IF(COUNTIF($B$7:$B$606,$H171)=0,"🟡 ما انزلت بنودها",IF(ROUND($I171-$J171,3)=0,"✅ خلصت","⛔ فرق "&amp;TEXT($I171-$J171,"0.000")))))</f>
        <v/>
      </c>
      <c r="M171">
        <f>IF(AND($H171&lt;&gt;"",$H171&lt;&gt;0,LEFT($K171,1)&lt;&gt;"✅"),COUNT($M$6:M170)+1,"")</f>
        <v/>
      </c>
      <c r="N171">
        <f>IFERROR(INDEX($H$7:$H$206,MATCH(ROW()-6,$M$7:$M$206,0)),"")</f>
        <v/>
      </c>
    </row>
    <row r="172" ht="21" customHeight="1">
      <c r="A172" s="9">
        <f>IF(C172="","",IF(COUNTIF('الفواتير'!$D$7:$D$206,B172)=0,"⛔",ROW()-6))</f>
        <v/>
      </c>
      <c r="B172" s="12" t="n"/>
      <c r="C172" s="10" t="n"/>
      <c r="D172" s="12" t="n"/>
      <c r="E172" s="13" t="n"/>
      <c r="F172" s="14">
        <f>IF(C172="","",N(D172)*N(E172))</f>
        <v/>
      </c>
      <c r="H172" s="9">
        <f>IF('الفواتير'!$E172="يدوية",'الفواتير'!$D172,"")</f>
        <v/>
      </c>
      <c r="I172" s="14">
        <f>IF($H172="","",'الفواتير'!$F172)</f>
        <v/>
      </c>
      <c r="J172" s="14">
        <f>IF($H172="","",SUMIF($B$7:$B$606,$H172,$F$7:$F$606))</f>
        <v/>
      </c>
      <c r="K172" s="15">
        <f>IF($H172="","",IF($H172=0,"⛔ اكتب رقم الفاتورة",IF(COUNTIF($B$7:$B$606,$H172)=0,"🟡 ما انزلت بنودها",IF(ROUND($I172-$J172,3)=0,"✅ خلصت","⛔ فرق "&amp;TEXT($I172-$J172,"0.000")))))</f>
        <v/>
      </c>
      <c r="M172">
        <f>IF(AND($H172&lt;&gt;"",$H172&lt;&gt;0,LEFT($K172,1)&lt;&gt;"✅"),COUNT($M$6:M171)+1,"")</f>
        <v/>
      </c>
      <c r="N172">
        <f>IFERROR(INDEX($H$7:$H$206,MATCH(ROW()-6,$M$7:$M$206,0)),"")</f>
        <v/>
      </c>
    </row>
    <row r="173" ht="21" customHeight="1">
      <c r="A173" s="9">
        <f>IF(C173="","",IF(COUNTIF('الفواتير'!$D$7:$D$206,B173)=0,"⛔",ROW()-6))</f>
        <v/>
      </c>
      <c r="B173" s="12" t="n"/>
      <c r="C173" s="10" t="n"/>
      <c r="D173" s="12" t="n"/>
      <c r="E173" s="13" t="n"/>
      <c r="F173" s="14">
        <f>IF(C173="","",N(D173)*N(E173))</f>
        <v/>
      </c>
      <c r="H173" s="9">
        <f>IF('الفواتير'!$E173="يدوية",'الفواتير'!$D173,"")</f>
        <v/>
      </c>
      <c r="I173" s="14">
        <f>IF($H173="","",'الفواتير'!$F173)</f>
        <v/>
      </c>
      <c r="J173" s="14">
        <f>IF($H173="","",SUMIF($B$7:$B$606,$H173,$F$7:$F$606))</f>
        <v/>
      </c>
      <c r="K173" s="15">
        <f>IF($H173="","",IF($H173=0,"⛔ اكتب رقم الفاتورة",IF(COUNTIF($B$7:$B$606,$H173)=0,"🟡 ما انزلت بنودها",IF(ROUND($I173-$J173,3)=0,"✅ خلصت","⛔ فرق "&amp;TEXT($I173-$J173,"0.000")))))</f>
        <v/>
      </c>
      <c r="M173">
        <f>IF(AND($H173&lt;&gt;"",$H173&lt;&gt;0,LEFT($K173,1)&lt;&gt;"✅"),COUNT($M$6:M172)+1,"")</f>
        <v/>
      </c>
      <c r="N173">
        <f>IFERROR(INDEX($H$7:$H$206,MATCH(ROW()-6,$M$7:$M$206,0)),"")</f>
        <v/>
      </c>
    </row>
    <row r="174" ht="21" customHeight="1">
      <c r="A174" s="9">
        <f>IF(C174="","",IF(COUNTIF('الفواتير'!$D$7:$D$206,B174)=0,"⛔",ROW()-6))</f>
        <v/>
      </c>
      <c r="B174" s="12" t="n"/>
      <c r="C174" s="10" t="n"/>
      <c r="D174" s="12" t="n"/>
      <c r="E174" s="13" t="n"/>
      <c r="F174" s="14">
        <f>IF(C174="","",N(D174)*N(E174))</f>
        <v/>
      </c>
      <c r="H174" s="9">
        <f>IF('الفواتير'!$E174="يدوية",'الفواتير'!$D174,"")</f>
        <v/>
      </c>
      <c r="I174" s="14">
        <f>IF($H174="","",'الفواتير'!$F174)</f>
        <v/>
      </c>
      <c r="J174" s="14">
        <f>IF($H174="","",SUMIF($B$7:$B$606,$H174,$F$7:$F$606))</f>
        <v/>
      </c>
      <c r="K174" s="15">
        <f>IF($H174="","",IF($H174=0,"⛔ اكتب رقم الفاتورة",IF(COUNTIF($B$7:$B$606,$H174)=0,"🟡 ما انزلت بنودها",IF(ROUND($I174-$J174,3)=0,"✅ خلصت","⛔ فرق "&amp;TEXT($I174-$J174,"0.000")))))</f>
        <v/>
      </c>
      <c r="M174">
        <f>IF(AND($H174&lt;&gt;"",$H174&lt;&gt;0,LEFT($K174,1)&lt;&gt;"✅"),COUNT($M$6:M173)+1,"")</f>
        <v/>
      </c>
      <c r="N174">
        <f>IFERROR(INDEX($H$7:$H$206,MATCH(ROW()-6,$M$7:$M$206,0)),"")</f>
        <v/>
      </c>
    </row>
    <row r="175" ht="21" customHeight="1">
      <c r="A175" s="9">
        <f>IF(C175="","",IF(COUNTIF('الفواتير'!$D$7:$D$206,B175)=0,"⛔",ROW()-6))</f>
        <v/>
      </c>
      <c r="B175" s="12" t="n"/>
      <c r="C175" s="10" t="n"/>
      <c r="D175" s="12" t="n"/>
      <c r="E175" s="13" t="n"/>
      <c r="F175" s="14">
        <f>IF(C175="","",N(D175)*N(E175))</f>
        <v/>
      </c>
      <c r="H175" s="9">
        <f>IF('الفواتير'!$E175="يدوية",'الفواتير'!$D175,"")</f>
        <v/>
      </c>
      <c r="I175" s="14">
        <f>IF($H175="","",'الفواتير'!$F175)</f>
        <v/>
      </c>
      <c r="J175" s="14">
        <f>IF($H175="","",SUMIF($B$7:$B$606,$H175,$F$7:$F$606))</f>
        <v/>
      </c>
      <c r="K175" s="15">
        <f>IF($H175="","",IF($H175=0,"⛔ اكتب رقم الفاتورة",IF(COUNTIF($B$7:$B$606,$H175)=0,"🟡 ما انزلت بنودها",IF(ROUND($I175-$J175,3)=0,"✅ خلصت","⛔ فرق "&amp;TEXT($I175-$J175,"0.000")))))</f>
        <v/>
      </c>
      <c r="M175">
        <f>IF(AND($H175&lt;&gt;"",$H175&lt;&gt;0,LEFT($K175,1)&lt;&gt;"✅"),COUNT($M$6:M174)+1,"")</f>
        <v/>
      </c>
      <c r="N175">
        <f>IFERROR(INDEX($H$7:$H$206,MATCH(ROW()-6,$M$7:$M$206,0)),"")</f>
        <v/>
      </c>
    </row>
    <row r="176" ht="21" customHeight="1">
      <c r="A176" s="9">
        <f>IF(C176="","",IF(COUNTIF('الفواتير'!$D$7:$D$206,B176)=0,"⛔",ROW()-6))</f>
        <v/>
      </c>
      <c r="B176" s="12" t="n"/>
      <c r="C176" s="10" t="n"/>
      <c r="D176" s="12" t="n"/>
      <c r="E176" s="13" t="n"/>
      <c r="F176" s="14">
        <f>IF(C176="","",N(D176)*N(E176))</f>
        <v/>
      </c>
      <c r="H176" s="9">
        <f>IF('الفواتير'!$E176="يدوية",'الفواتير'!$D176,"")</f>
        <v/>
      </c>
      <c r="I176" s="14">
        <f>IF($H176="","",'الفواتير'!$F176)</f>
        <v/>
      </c>
      <c r="J176" s="14">
        <f>IF($H176="","",SUMIF($B$7:$B$606,$H176,$F$7:$F$606))</f>
        <v/>
      </c>
      <c r="K176" s="15">
        <f>IF($H176="","",IF($H176=0,"⛔ اكتب رقم الفاتورة",IF(COUNTIF($B$7:$B$606,$H176)=0,"🟡 ما انزلت بنودها",IF(ROUND($I176-$J176,3)=0,"✅ خلصت","⛔ فرق "&amp;TEXT($I176-$J176,"0.000")))))</f>
        <v/>
      </c>
      <c r="M176">
        <f>IF(AND($H176&lt;&gt;"",$H176&lt;&gt;0,LEFT($K176,1)&lt;&gt;"✅"),COUNT($M$6:M175)+1,"")</f>
        <v/>
      </c>
      <c r="N176">
        <f>IFERROR(INDEX($H$7:$H$206,MATCH(ROW()-6,$M$7:$M$206,0)),"")</f>
        <v/>
      </c>
    </row>
    <row r="177" ht="21" customHeight="1">
      <c r="A177" s="9">
        <f>IF(C177="","",IF(COUNTIF('الفواتير'!$D$7:$D$206,B177)=0,"⛔",ROW()-6))</f>
        <v/>
      </c>
      <c r="B177" s="12" t="n"/>
      <c r="C177" s="10" t="n"/>
      <c r="D177" s="12" t="n"/>
      <c r="E177" s="13" t="n"/>
      <c r="F177" s="14">
        <f>IF(C177="","",N(D177)*N(E177))</f>
        <v/>
      </c>
      <c r="H177" s="9">
        <f>IF('الفواتير'!$E177="يدوية",'الفواتير'!$D177,"")</f>
        <v/>
      </c>
      <c r="I177" s="14">
        <f>IF($H177="","",'الفواتير'!$F177)</f>
        <v/>
      </c>
      <c r="J177" s="14">
        <f>IF($H177="","",SUMIF($B$7:$B$606,$H177,$F$7:$F$606))</f>
        <v/>
      </c>
      <c r="K177" s="15">
        <f>IF($H177="","",IF($H177=0,"⛔ اكتب رقم الفاتورة",IF(COUNTIF($B$7:$B$606,$H177)=0,"🟡 ما انزلت بنودها",IF(ROUND($I177-$J177,3)=0,"✅ خلصت","⛔ فرق "&amp;TEXT($I177-$J177,"0.000")))))</f>
        <v/>
      </c>
      <c r="M177">
        <f>IF(AND($H177&lt;&gt;"",$H177&lt;&gt;0,LEFT($K177,1)&lt;&gt;"✅"),COUNT($M$6:M176)+1,"")</f>
        <v/>
      </c>
      <c r="N177">
        <f>IFERROR(INDEX($H$7:$H$206,MATCH(ROW()-6,$M$7:$M$206,0)),"")</f>
        <v/>
      </c>
    </row>
    <row r="178" ht="21" customHeight="1">
      <c r="A178" s="9">
        <f>IF(C178="","",IF(COUNTIF('الفواتير'!$D$7:$D$206,B178)=0,"⛔",ROW()-6))</f>
        <v/>
      </c>
      <c r="B178" s="12" t="n"/>
      <c r="C178" s="10" t="n"/>
      <c r="D178" s="12" t="n"/>
      <c r="E178" s="13" t="n"/>
      <c r="F178" s="14">
        <f>IF(C178="","",N(D178)*N(E178))</f>
        <v/>
      </c>
      <c r="H178" s="9">
        <f>IF('الفواتير'!$E178="يدوية",'الفواتير'!$D178,"")</f>
        <v/>
      </c>
      <c r="I178" s="14">
        <f>IF($H178="","",'الفواتير'!$F178)</f>
        <v/>
      </c>
      <c r="J178" s="14">
        <f>IF($H178="","",SUMIF($B$7:$B$606,$H178,$F$7:$F$606))</f>
        <v/>
      </c>
      <c r="K178" s="15">
        <f>IF($H178="","",IF($H178=0,"⛔ اكتب رقم الفاتورة",IF(COUNTIF($B$7:$B$606,$H178)=0,"🟡 ما انزلت بنودها",IF(ROUND($I178-$J178,3)=0,"✅ خلصت","⛔ فرق "&amp;TEXT($I178-$J178,"0.000")))))</f>
        <v/>
      </c>
      <c r="M178">
        <f>IF(AND($H178&lt;&gt;"",$H178&lt;&gt;0,LEFT($K178,1)&lt;&gt;"✅"),COUNT($M$6:M177)+1,"")</f>
        <v/>
      </c>
      <c r="N178">
        <f>IFERROR(INDEX($H$7:$H$206,MATCH(ROW()-6,$M$7:$M$206,0)),"")</f>
        <v/>
      </c>
    </row>
    <row r="179" ht="21" customHeight="1">
      <c r="A179" s="9">
        <f>IF(C179="","",IF(COUNTIF('الفواتير'!$D$7:$D$206,B179)=0,"⛔",ROW()-6))</f>
        <v/>
      </c>
      <c r="B179" s="12" t="n"/>
      <c r="C179" s="10" t="n"/>
      <c r="D179" s="12" t="n"/>
      <c r="E179" s="13" t="n"/>
      <c r="F179" s="14">
        <f>IF(C179="","",N(D179)*N(E179))</f>
        <v/>
      </c>
      <c r="H179" s="9">
        <f>IF('الفواتير'!$E179="يدوية",'الفواتير'!$D179,"")</f>
        <v/>
      </c>
      <c r="I179" s="14">
        <f>IF($H179="","",'الفواتير'!$F179)</f>
        <v/>
      </c>
      <c r="J179" s="14">
        <f>IF($H179="","",SUMIF($B$7:$B$606,$H179,$F$7:$F$606))</f>
        <v/>
      </c>
      <c r="K179" s="15">
        <f>IF($H179="","",IF($H179=0,"⛔ اكتب رقم الفاتورة",IF(COUNTIF($B$7:$B$606,$H179)=0,"🟡 ما انزلت بنودها",IF(ROUND($I179-$J179,3)=0,"✅ خلصت","⛔ فرق "&amp;TEXT($I179-$J179,"0.000")))))</f>
        <v/>
      </c>
      <c r="M179">
        <f>IF(AND($H179&lt;&gt;"",$H179&lt;&gt;0,LEFT($K179,1)&lt;&gt;"✅"),COUNT($M$6:M178)+1,"")</f>
        <v/>
      </c>
      <c r="N179">
        <f>IFERROR(INDEX($H$7:$H$206,MATCH(ROW()-6,$M$7:$M$206,0)),"")</f>
        <v/>
      </c>
    </row>
    <row r="180" ht="21" customHeight="1">
      <c r="A180" s="9">
        <f>IF(C180="","",IF(COUNTIF('الفواتير'!$D$7:$D$206,B180)=0,"⛔",ROW()-6))</f>
        <v/>
      </c>
      <c r="B180" s="12" t="n"/>
      <c r="C180" s="10" t="n"/>
      <c r="D180" s="12" t="n"/>
      <c r="E180" s="13" t="n"/>
      <c r="F180" s="14">
        <f>IF(C180="","",N(D180)*N(E180))</f>
        <v/>
      </c>
      <c r="H180" s="9">
        <f>IF('الفواتير'!$E180="يدوية",'الفواتير'!$D180,"")</f>
        <v/>
      </c>
      <c r="I180" s="14">
        <f>IF($H180="","",'الفواتير'!$F180)</f>
        <v/>
      </c>
      <c r="J180" s="14">
        <f>IF($H180="","",SUMIF($B$7:$B$606,$H180,$F$7:$F$606))</f>
        <v/>
      </c>
      <c r="K180" s="15">
        <f>IF($H180="","",IF($H180=0,"⛔ اكتب رقم الفاتورة",IF(COUNTIF($B$7:$B$606,$H180)=0,"🟡 ما انزلت بنودها",IF(ROUND($I180-$J180,3)=0,"✅ خلصت","⛔ فرق "&amp;TEXT($I180-$J180,"0.000")))))</f>
        <v/>
      </c>
      <c r="M180">
        <f>IF(AND($H180&lt;&gt;"",$H180&lt;&gt;0,LEFT($K180,1)&lt;&gt;"✅"),COUNT($M$6:M179)+1,"")</f>
        <v/>
      </c>
      <c r="N180">
        <f>IFERROR(INDEX($H$7:$H$206,MATCH(ROW()-6,$M$7:$M$206,0)),"")</f>
        <v/>
      </c>
    </row>
    <row r="181" ht="21" customHeight="1">
      <c r="A181" s="9">
        <f>IF(C181="","",IF(COUNTIF('الفواتير'!$D$7:$D$206,B181)=0,"⛔",ROW()-6))</f>
        <v/>
      </c>
      <c r="B181" s="12" t="n"/>
      <c r="C181" s="10" t="n"/>
      <c r="D181" s="12" t="n"/>
      <c r="E181" s="13" t="n"/>
      <c r="F181" s="14">
        <f>IF(C181="","",N(D181)*N(E181))</f>
        <v/>
      </c>
      <c r="H181" s="9">
        <f>IF('الفواتير'!$E181="يدوية",'الفواتير'!$D181,"")</f>
        <v/>
      </c>
      <c r="I181" s="14">
        <f>IF($H181="","",'الفواتير'!$F181)</f>
        <v/>
      </c>
      <c r="J181" s="14">
        <f>IF($H181="","",SUMIF($B$7:$B$606,$H181,$F$7:$F$606))</f>
        <v/>
      </c>
      <c r="K181" s="15">
        <f>IF($H181="","",IF($H181=0,"⛔ اكتب رقم الفاتورة",IF(COUNTIF($B$7:$B$606,$H181)=0,"🟡 ما انزلت بنودها",IF(ROUND($I181-$J181,3)=0,"✅ خلصت","⛔ فرق "&amp;TEXT($I181-$J181,"0.000")))))</f>
        <v/>
      </c>
      <c r="M181">
        <f>IF(AND($H181&lt;&gt;"",$H181&lt;&gt;0,LEFT($K181,1)&lt;&gt;"✅"),COUNT($M$6:M180)+1,"")</f>
        <v/>
      </c>
      <c r="N181">
        <f>IFERROR(INDEX($H$7:$H$206,MATCH(ROW()-6,$M$7:$M$206,0)),"")</f>
        <v/>
      </c>
    </row>
    <row r="182" ht="21" customHeight="1">
      <c r="A182" s="9">
        <f>IF(C182="","",IF(COUNTIF('الفواتير'!$D$7:$D$206,B182)=0,"⛔",ROW()-6))</f>
        <v/>
      </c>
      <c r="B182" s="12" t="n"/>
      <c r="C182" s="10" t="n"/>
      <c r="D182" s="12" t="n"/>
      <c r="E182" s="13" t="n"/>
      <c r="F182" s="14">
        <f>IF(C182="","",N(D182)*N(E182))</f>
        <v/>
      </c>
      <c r="H182" s="9">
        <f>IF('الفواتير'!$E182="يدوية",'الفواتير'!$D182,"")</f>
        <v/>
      </c>
      <c r="I182" s="14">
        <f>IF($H182="","",'الفواتير'!$F182)</f>
        <v/>
      </c>
      <c r="J182" s="14">
        <f>IF($H182="","",SUMIF($B$7:$B$606,$H182,$F$7:$F$606))</f>
        <v/>
      </c>
      <c r="K182" s="15">
        <f>IF($H182="","",IF($H182=0,"⛔ اكتب رقم الفاتورة",IF(COUNTIF($B$7:$B$606,$H182)=0,"🟡 ما انزلت بنودها",IF(ROUND($I182-$J182,3)=0,"✅ خلصت","⛔ فرق "&amp;TEXT($I182-$J182,"0.000")))))</f>
        <v/>
      </c>
      <c r="M182">
        <f>IF(AND($H182&lt;&gt;"",$H182&lt;&gt;0,LEFT($K182,1)&lt;&gt;"✅"),COUNT($M$6:M181)+1,"")</f>
        <v/>
      </c>
      <c r="N182">
        <f>IFERROR(INDEX($H$7:$H$206,MATCH(ROW()-6,$M$7:$M$206,0)),"")</f>
        <v/>
      </c>
    </row>
    <row r="183" ht="21" customHeight="1">
      <c r="A183" s="9">
        <f>IF(C183="","",IF(COUNTIF('الفواتير'!$D$7:$D$206,B183)=0,"⛔",ROW()-6))</f>
        <v/>
      </c>
      <c r="B183" s="12" t="n"/>
      <c r="C183" s="10" t="n"/>
      <c r="D183" s="12" t="n"/>
      <c r="E183" s="13" t="n"/>
      <c r="F183" s="14">
        <f>IF(C183="","",N(D183)*N(E183))</f>
        <v/>
      </c>
      <c r="H183" s="9">
        <f>IF('الفواتير'!$E183="يدوية",'الفواتير'!$D183,"")</f>
        <v/>
      </c>
      <c r="I183" s="14">
        <f>IF($H183="","",'الفواتير'!$F183)</f>
        <v/>
      </c>
      <c r="J183" s="14">
        <f>IF($H183="","",SUMIF($B$7:$B$606,$H183,$F$7:$F$606))</f>
        <v/>
      </c>
      <c r="K183" s="15">
        <f>IF($H183="","",IF($H183=0,"⛔ اكتب رقم الفاتورة",IF(COUNTIF($B$7:$B$606,$H183)=0,"🟡 ما انزلت بنودها",IF(ROUND($I183-$J183,3)=0,"✅ خلصت","⛔ فرق "&amp;TEXT($I183-$J183,"0.000")))))</f>
        <v/>
      </c>
      <c r="M183">
        <f>IF(AND($H183&lt;&gt;"",$H183&lt;&gt;0,LEFT($K183,1)&lt;&gt;"✅"),COUNT($M$6:M182)+1,"")</f>
        <v/>
      </c>
      <c r="N183">
        <f>IFERROR(INDEX($H$7:$H$206,MATCH(ROW()-6,$M$7:$M$206,0)),"")</f>
        <v/>
      </c>
    </row>
    <row r="184" ht="21" customHeight="1">
      <c r="A184" s="9">
        <f>IF(C184="","",IF(COUNTIF('الفواتير'!$D$7:$D$206,B184)=0,"⛔",ROW()-6))</f>
        <v/>
      </c>
      <c r="B184" s="12" t="n"/>
      <c r="C184" s="10" t="n"/>
      <c r="D184" s="12" t="n"/>
      <c r="E184" s="13" t="n"/>
      <c r="F184" s="14">
        <f>IF(C184="","",N(D184)*N(E184))</f>
        <v/>
      </c>
      <c r="H184" s="9">
        <f>IF('الفواتير'!$E184="يدوية",'الفواتير'!$D184,"")</f>
        <v/>
      </c>
      <c r="I184" s="14">
        <f>IF($H184="","",'الفواتير'!$F184)</f>
        <v/>
      </c>
      <c r="J184" s="14">
        <f>IF($H184="","",SUMIF($B$7:$B$606,$H184,$F$7:$F$606))</f>
        <v/>
      </c>
      <c r="K184" s="15">
        <f>IF($H184="","",IF($H184=0,"⛔ اكتب رقم الفاتورة",IF(COUNTIF($B$7:$B$606,$H184)=0,"🟡 ما انزلت بنودها",IF(ROUND($I184-$J184,3)=0,"✅ خلصت","⛔ فرق "&amp;TEXT($I184-$J184,"0.000")))))</f>
        <v/>
      </c>
      <c r="M184">
        <f>IF(AND($H184&lt;&gt;"",$H184&lt;&gt;0,LEFT($K184,1)&lt;&gt;"✅"),COUNT($M$6:M183)+1,"")</f>
        <v/>
      </c>
      <c r="N184">
        <f>IFERROR(INDEX($H$7:$H$206,MATCH(ROW()-6,$M$7:$M$206,0)),"")</f>
        <v/>
      </c>
    </row>
    <row r="185" ht="21" customHeight="1">
      <c r="A185" s="9">
        <f>IF(C185="","",IF(COUNTIF('الفواتير'!$D$7:$D$206,B185)=0,"⛔",ROW()-6))</f>
        <v/>
      </c>
      <c r="B185" s="12" t="n"/>
      <c r="C185" s="10" t="n"/>
      <c r="D185" s="12" t="n"/>
      <c r="E185" s="13" t="n"/>
      <c r="F185" s="14">
        <f>IF(C185="","",N(D185)*N(E185))</f>
        <v/>
      </c>
      <c r="H185" s="9">
        <f>IF('الفواتير'!$E185="يدوية",'الفواتير'!$D185,"")</f>
        <v/>
      </c>
      <c r="I185" s="14">
        <f>IF($H185="","",'الفواتير'!$F185)</f>
        <v/>
      </c>
      <c r="J185" s="14">
        <f>IF($H185="","",SUMIF($B$7:$B$606,$H185,$F$7:$F$606))</f>
        <v/>
      </c>
      <c r="K185" s="15">
        <f>IF($H185="","",IF($H185=0,"⛔ اكتب رقم الفاتورة",IF(COUNTIF($B$7:$B$606,$H185)=0,"🟡 ما انزلت بنودها",IF(ROUND($I185-$J185,3)=0,"✅ خلصت","⛔ فرق "&amp;TEXT($I185-$J185,"0.000")))))</f>
        <v/>
      </c>
      <c r="M185">
        <f>IF(AND($H185&lt;&gt;"",$H185&lt;&gt;0,LEFT($K185,1)&lt;&gt;"✅"),COUNT($M$6:M184)+1,"")</f>
        <v/>
      </c>
      <c r="N185">
        <f>IFERROR(INDEX($H$7:$H$206,MATCH(ROW()-6,$M$7:$M$206,0)),"")</f>
        <v/>
      </c>
    </row>
    <row r="186" ht="21" customHeight="1">
      <c r="A186" s="9">
        <f>IF(C186="","",IF(COUNTIF('الفواتير'!$D$7:$D$206,B186)=0,"⛔",ROW()-6))</f>
        <v/>
      </c>
      <c r="B186" s="12" t="n"/>
      <c r="C186" s="10" t="n"/>
      <c r="D186" s="12" t="n"/>
      <c r="E186" s="13" t="n"/>
      <c r="F186" s="14">
        <f>IF(C186="","",N(D186)*N(E186))</f>
        <v/>
      </c>
      <c r="H186" s="9">
        <f>IF('الفواتير'!$E186="يدوية",'الفواتير'!$D186,"")</f>
        <v/>
      </c>
      <c r="I186" s="14">
        <f>IF($H186="","",'الفواتير'!$F186)</f>
        <v/>
      </c>
      <c r="J186" s="14">
        <f>IF($H186="","",SUMIF($B$7:$B$606,$H186,$F$7:$F$606))</f>
        <v/>
      </c>
      <c r="K186" s="15">
        <f>IF($H186="","",IF($H186=0,"⛔ اكتب رقم الفاتورة",IF(COUNTIF($B$7:$B$606,$H186)=0,"🟡 ما انزلت بنودها",IF(ROUND($I186-$J186,3)=0,"✅ خلصت","⛔ فرق "&amp;TEXT($I186-$J186,"0.000")))))</f>
        <v/>
      </c>
      <c r="M186">
        <f>IF(AND($H186&lt;&gt;"",$H186&lt;&gt;0,LEFT($K186,1)&lt;&gt;"✅"),COUNT($M$6:M185)+1,"")</f>
        <v/>
      </c>
      <c r="N186">
        <f>IFERROR(INDEX($H$7:$H$206,MATCH(ROW()-6,$M$7:$M$206,0)),"")</f>
        <v/>
      </c>
    </row>
    <row r="187" ht="21" customHeight="1">
      <c r="A187" s="9">
        <f>IF(C187="","",IF(COUNTIF('الفواتير'!$D$7:$D$206,B187)=0,"⛔",ROW()-6))</f>
        <v/>
      </c>
      <c r="B187" s="12" t="n"/>
      <c r="C187" s="10" t="n"/>
      <c r="D187" s="12" t="n"/>
      <c r="E187" s="13" t="n"/>
      <c r="F187" s="14">
        <f>IF(C187="","",N(D187)*N(E187))</f>
        <v/>
      </c>
      <c r="H187" s="9">
        <f>IF('الفواتير'!$E187="يدوية",'الفواتير'!$D187,"")</f>
        <v/>
      </c>
      <c r="I187" s="14">
        <f>IF($H187="","",'الفواتير'!$F187)</f>
        <v/>
      </c>
      <c r="J187" s="14">
        <f>IF($H187="","",SUMIF($B$7:$B$606,$H187,$F$7:$F$606))</f>
        <v/>
      </c>
      <c r="K187" s="15">
        <f>IF($H187="","",IF($H187=0,"⛔ اكتب رقم الفاتورة",IF(COUNTIF($B$7:$B$606,$H187)=0,"🟡 ما انزلت بنودها",IF(ROUND($I187-$J187,3)=0,"✅ خلصت","⛔ فرق "&amp;TEXT($I187-$J187,"0.000")))))</f>
        <v/>
      </c>
      <c r="M187">
        <f>IF(AND($H187&lt;&gt;"",$H187&lt;&gt;0,LEFT($K187,1)&lt;&gt;"✅"),COUNT($M$6:M186)+1,"")</f>
        <v/>
      </c>
      <c r="N187">
        <f>IFERROR(INDEX($H$7:$H$206,MATCH(ROW()-6,$M$7:$M$206,0)),"")</f>
        <v/>
      </c>
    </row>
    <row r="188" ht="21" customHeight="1">
      <c r="A188" s="9">
        <f>IF(C188="","",IF(COUNTIF('الفواتير'!$D$7:$D$206,B188)=0,"⛔",ROW()-6))</f>
        <v/>
      </c>
      <c r="B188" s="12" t="n"/>
      <c r="C188" s="10" t="n"/>
      <c r="D188" s="12" t="n"/>
      <c r="E188" s="13" t="n"/>
      <c r="F188" s="14">
        <f>IF(C188="","",N(D188)*N(E188))</f>
        <v/>
      </c>
      <c r="H188" s="9">
        <f>IF('الفواتير'!$E188="يدوية",'الفواتير'!$D188,"")</f>
        <v/>
      </c>
      <c r="I188" s="14">
        <f>IF($H188="","",'الفواتير'!$F188)</f>
        <v/>
      </c>
      <c r="J188" s="14">
        <f>IF($H188="","",SUMIF($B$7:$B$606,$H188,$F$7:$F$606))</f>
        <v/>
      </c>
      <c r="K188" s="15">
        <f>IF($H188="","",IF($H188=0,"⛔ اكتب رقم الفاتورة",IF(COUNTIF($B$7:$B$606,$H188)=0,"🟡 ما انزلت بنودها",IF(ROUND($I188-$J188,3)=0,"✅ خلصت","⛔ فرق "&amp;TEXT($I188-$J188,"0.000")))))</f>
        <v/>
      </c>
      <c r="M188">
        <f>IF(AND($H188&lt;&gt;"",$H188&lt;&gt;0,LEFT($K188,1)&lt;&gt;"✅"),COUNT($M$6:M187)+1,"")</f>
        <v/>
      </c>
      <c r="N188">
        <f>IFERROR(INDEX($H$7:$H$206,MATCH(ROW()-6,$M$7:$M$206,0)),"")</f>
        <v/>
      </c>
    </row>
    <row r="189" ht="21" customHeight="1">
      <c r="A189" s="9">
        <f>IF(C189="","",IF(COUNTIF('الفواتير'!$D$7:$D$206,B189)=0,"⛔",ROW()-6))</f>
        <v/>
      </c>
      <c r="B189" s="12" t="n"/>
      <c r="C189" s="10" t="n"/>
      <c r="D189" s="12" t="n"/>
      <c r="E189" s="13" t="n"/>
      <c r="F189" s="14">
        <f>IF(C189="","",N(D189)*N(E189))</f>
        <v/>
      </c>
      <c r="H189" s="9">
        <f>IF('الفواتير'!$E189="يدوية",'الفواتير'!$D189,"")</f>
        <v/>
      </c>
      <c r="I189" s="14">
        <f>IF($H189="","",'الفواتير'!$F189)</f>
        <v/>
      </c>
      <c r="J189" s="14">
        <f>IF($H189="","",SUMIF($B$7:$B$606,$H189,$F$7:$F$606))</f>
        <v/>
      </c>
      <c r="K189" s="15">
        <f>IF($H189="","",IF($H189=0,"⛔ اكتب رقم الفاتورة",IF(COUNTIF($B$7:$B$606,$H189)=0,"🟡 ما انزلت بنودها",IF(ROUND($I189-$J189,3)=0,"✅ خلصت","⛔ فرق "&amp;TEXT($I189-$J189,"0.000")))))</f>
        <v/>
      </c>
      <c r="M189">
        <f>IF(AND($H189&lt;&gt;"",$H189&lt;&gt;0,LEFT($K189,1)&lt;&gt;"✅"),COUNT($M$6:M188)+1,"")</f>
        <v/>
      </c>
      <c r="N189">
        <f>IFERROR(INDEX($H$7:$H$206,MATCH(ROW()-6,$M$7:$M$206,0)),"")</f>
        <v/>
      </c>
    </row>
    <row r="190" ht="21" customHeight="1">
      <c r="A190" s="9">
        <f>IF(C190="","",IF(COUNTIF('الفواتير'!$D$7:$D$206,B190)=0,"⛔",ROW()-6))</f>
        <v/>
      </c>
      <c r="B190" s="12" t="n"/>
      <c r="C190" s="10" t="n"/>
      <c r="D190" s="12" t="n"/>
      <c r="E190" s="13" t="n"/>
      <c r="F190" s="14">
        <f>IF(C190="","",N(D190)*N(E190))</f>
        <v/>
      </c>
      <c r="H190" s="9">
        <f>IF('الفواتير'!$E190="يدوية",'الفواتير'!$D190,"")</f>
        <v/>
      </c>
      <c r="I190" s="14">
        <f>IF($H190="","",'الفواتير'!$F190)</f>
        <v/>
      </c>
      <c r="J190" s="14">
        <f>IF($H190="","",SUMIF($B$7:$B$606,$H190,$F$7:$F$606))</f>
        <v/>
      </c>
      <c r="K190" s="15">
        <f>IF($H190="","",IF($H190=0,"⛔ اكتب رقم الفاتورة",IF(COUNTIF($B$7:$B$606,$H190)=0,"🟡 ما انزلت بنودها",IF(ROUND($I190-$J190,3)=0,"✅ خلصت","⛔ فرق "&amp;TEXT($I190-$J190,"0.000")))))</f>
        <v/>
      </c>
      <c r="M190">
        <f>IF(AND($H190&lt;&gt;"",$H190&lt;&gt;0,LEFT($K190,1)&lt;&gt;"✅"),COUNT($M$6:M189)+1,"")</f>
        <v/>
      </c>
      <c r="N190">
        <f>IFERROR(INDEX($H$7:$H$206,MATCH(ROW()-6,$M$7:$M$206,0)),"")</f>
        <v/>
      </c>
    </row>
    <row r="191" ht="21" customHeight="1">
      <c r="A191" s="9">
        <f>IF(C191="","",IF(COUNTIF('الفواتير'!$D$7:$D$206,B191)=0,"⛔",ROW()-6))</f>
        <v/>
      </c>
      <c r="B191" s="12" t="n"/>
      <c r="C191" s="10" t="n"/>
      <c r="D191" s="12" t="n"/>
      <c r="E191" s="13" t="n"/>
      <c r="F191" s="14">
        <f>IF(C191="","",N(D191)*N(E191))</f>
        <v/>
      </c>
      <c r="H191" s="9">
        <f>IF('الفواتير'!$E191="يدوية",'الفواتير'!$D191,"")</f>
        <v/>
      </c>
      <c r="I191" s="14">
        <f>IF($H191="","",'الفواتير'!$F191)</f>
        <v/>
      </c>
      <c r="J191" s="14">
        <f>IF($H191="","",SUMIF($B$7:$B$606,$H191,$F$7:$F$606))</f>
        <v/>
      </c>
      <c r="K191" s="15">
        <f>IF($H191="","",IF($H191=0,"⛔ اكتب رقم الفاتورة",IF(COUNTIF($B$7:$B$606,$H191)=0,"🟡 ما انزلت بنودها",IF(ROUND($I191-$J191,3)=0,"✅ خلصت","⛔ فرق "&amp;TEXT($I191-$J191,"0.000")))))</f>
        <v/>
      </c>
      <c r="M191">
        <f>IF(AND($H191&lt;&gt;"",$H191&lt;&gt;0,LEFT($K191,1)&lt;&gt;"✅"),COUNT($M$6:M190)+1,"")</f>
        <v/>
      </c>
      <c r="N191">
        <f>IFERROR(INDEX($H$7:$H$206,MATCH(ROW()-6,$M$7:$M$206,0)),"")</f>
        <v/>
      </c>
    </row>
    <row r="192" ht="21" customHeight="1">
      <c r="A192" s="9">
        <f>IF(C192="","",IF(COUNTIF('الفواتير'!$D$7:$D$206,B192)=0,"⛔",ROW()-6))</f>
        <v/>
      </c>
      <c r="B192" s="12" t="n"/>
      <c r="C192" s="10" t="n"/>
      <c r="D192" s="12" t="n"/>
      <c r="E192" s="13" t="n"/>
      <c r="F192" s="14">
        <f>IF(C192="","",N(D192)*N(E192))</f>
        <v/>
      </c>
      <c r="H192" s="9">
        <f>IF('الفواتير'!$E192="يدوية",'الفواتير'!$D192,"")</f>
        <v/>
      </c>
      <c r="I192" s="14">
        <f>IF($H192="","",'الفواتير'!$F192)</f>
        <v/>
      </c>
      <c r="J192" s="14">
        <f>IF($H192="","",SUMIF($B$7:$B$606,$H192,$F$7:$F$606))</f>
        <v/>
      </c>
      <c r="K192" s="15">
        <f>IF($H192="","",IF($H192=0,"⛔ اكتب رقم الفاتورة",IF(COUNTIF($B$7:$B$606,$H192)=0,"🟡 ما انزلت بنودها",IF(ROUND($I192-$J192,3)=0,"✅ خلصت","⛔ فرق "&amp;TEXT($I192-$J192,"0.000")))))</f>
        <v/>
      </c>
      <c r="M192">
        <f>IF(AND($H192&lt;&gt;"",$H192&lt;&gt;0,LEFT($K192,1)&lt;&gt;"✅"),COUNT($M$6:M191)+1,"")</f>
        <v/>
      </c>
      <c r="N192">
        <f>IFERROR(INDEX($H$7:$H$206,MATCH(ROW()-6,$M$7:$M$206,0)),"")</f>
        <v/>
      </c>
    </row>
    <row r="193" ht="21" customHeight="1">
      <c r="A193" s="9">
        <f>IF(C193="","",IF(COUNTIF('الفواتير'!$D$7:$D$206,B193)=0,"⛔",ROW()-6))</f>
        <v/>
      </c>
      <c r="B193" s="12" t="n"/>
      <c r="C193" s="10" t="n"/>
      <c r="D193" s="12" t="n"/>
      <c r="E193" s="13" t="n"/>
      <c r="F193" s="14">
        <f>IF(C193="","",N(D193)*N(E193))</f>
        <v/>
      </c>
      <c r="H193" s="9">
        <f>IF('الفواتير'!$E193="يدوية",'الفواتير'!$D193,"")</f>
        <v/>
      </c>
      <c r="I193" s="14">
        <f>IF($H193="","",'الفواتير'!$F193)</f>
        <v/>
      </c>
      <c r="J193" s="14">
        <f>IF($H193="","",SUMIF($B$7:$B$606,$H193,$F$7:$F$606))</f>
        <v/>
      </c>
      <c r="K193" s="15">
        <f>IF($H193="","",IF($H193=0,"⛔ اكتب رقم الفاتورة",IF(COUNTIF($B$7:$B$606,$H193)=0,"🟡 ما انزلت بنودها",IF(ROUND($I193-$J193,3)=0,"✅ خلصت","⛔ فرق "&amp;TEXT($I193-$J193,"0.000")))))</f>
        <v/>
      </c>
      <c r="M193">
        <f>IF(AND($H193&lt;&gt;"",$H193&lt;&gt;0,LEFT($K193,1)&lt;&gt;"✅"),COUNT($M$6:M192)+1,"")</f>
        <v/>
      </c>
      <c r="N193">
        <f>IFERROR(INDEX($H$7:$H$206,MATCH(ROW()-6,$M$7:$M$206,0)),"")</f>
        <v/>
      </c>
    </row>
    <row r="194" ht="21" customHeight="1">
      <c r="A194" s="9">
        <f>IF(C194="","",IF(COUNTIF('الفواتير'!$D$7:$D$206,B194)=0,"⛔",ROW()-6))</f>
        <v/>
      </c>
      <c r="B194" s="12" t="n"/>
      <c r="C194" s="10" t="n"/>
      <c r="D194" s="12" t="n"/>
      <c r="E194" s="13" t="n"/>
      <c r="F194" s="14">
        <f>IF(C194="","",N(D194)*N(E194))</f>
        <v/>
      </c>
      <c r="H194" s="9">
        <f>IF('الفواتير'!$E194="يدوية",'الفواتير'!$D194,"")</f>
        <v/>
      </c>
      <c r="I194" s="14">
        <f>IF($H194="","",'الفواتير'!$F194)</f>
        <v/>
      </c>
      <c r="J194" s="14">
        <f>IF($H194="","",SUMIF($B$7:$B$606,$H194,$F$7:$F$606))</f>
        <v/>
      </c>
      <c r="K194" s="15">
        <f>IF($H194="","",IF($H194=0,"⛔ اكتب رقم الفاتورة",IF(COUNTIF($B$7:$B$606,$H194)=0,"🟡 ما انزلت بنودها",IF(ROUND($I194-$J194,3)=0,"✅ خلصت","⛔ فرق "&amp;TEXT($I194-$J194,"0.000")))))</f>
        <v/>
      </c>
      <c r="M194">
        <f>IF(AND($H194&lt;&gt;"",$H194&lt;&gt;0,LEFT($K194,1)&lt;&gt;"✅"),COUNT($M$6:M193)+1,"")</f>
        <v/>
      </c>
      <c r="N194">
        <f>IFERROR(INDEX($H$7:$H$206,MATCH(ROW()-6,$M$7:$M$206,0)),"")</f>
        <v/>
      </c>
    </row>
    <row r="195" ht="21" customHeight="1">
      <c r="A195" s="9">
        <f>IF(C195="","",IF(COUNTIF('الفواتير'!$D$7:$D$206,B195)=0,"⛔",ROW()-6))</f>
        <v/>
      </c>
      <c r="B195" s="12" t="n"/>
      <c r="C195" s="10" t="n"/>
      <c r="D195" s="12" t="n"/>
      <c r="E195" s="13" t="n"/>
      <c r="F195" s="14">
        <f>IF(C195="","",N(D195)*N(E195))</f>
        <v/>
      </c>
      <c r="H195" s="9">
        <f>IF('الفواتير'!$E195="يدوية",'الفواتير'!$D195,"")</f>
        <v/>
      </c>
      <c r="I195" s="14">
        <f>IF($H195="","",'الفواتير'!$F195)</f>
        <v/>
      </c>
      <c r="J195" s="14">
        <f>IF($H195="","",SUMIF($B$7:$B$606,$H195,$F$7:$F$606))</f>
        <v/>
      </c>
      <c r="K195" s="15">
        <f>IF($H195="","",IF($H195=0,"⛔ اكتب رقم الفاتورة",IF(COUNTIF($B$7:$B$606,$H195)=0,"🟡 ما انزلت بنودها",IF(ROUND($I195-$J195,3)=0,"✅ خلصت","⛔ فرق "&amp;TEXT($I195-$J195,"0.000")))))</f>
        <v/>
      </c>
      <c r="M195">
        <f>IF(AND($H195&lt;&gt;"",$H195&lt;&gt;0,LEFT($K195,1)&lt;&gt;"✅"),COUNT($M$6:M194)+1,"")</f>
        <v/>
      </c>
      <c r="N195">
        <f>IFERROR(INDEX($H$7:$H$206,MATCH(ROW()-6,$M$7:$M$206,0)),"")</f>
        <v/>
      </c>
    </row>
    <row r="196" ht="21" customHeight="1">
      <c r="A196" s="9">
        <f>IF(C196="","",IF(COUNTIF('الفواتير'!$D$7:$D$206,B196)=0,"⛔",ROW()-6))</f>
        <v/>
      </c>
      <c r="B196" s="12" t="n"/>
      <c r="C196" s="10" t="n"/>
      <c r="D196" s="12" t="n"/>
      <c r="E196" s="13" t="n"/>
      <c r="F196" s="14">
        <f>IF(C196="","",N(D196)*N(E196))</f>
        <v/>
      </c>
      <c r="H196" s="9">
        <f>IF('الفواتير'!$E196="يدوية",'الفواتير'!$D196,"")</f>
        <v/>
      </c>
      <c r="I196" s="14">
        <f>IF($H196="","",'الفواتير'!$F196)</f>
        <v/>
      </c>
      <c r="J196" s="14">
        <f>IF($H196="","",SUMIF($B$7:$B$606,$H196,$F$7:$F$606))</f>
        <v/>
      </c>
      <c r="K196" s="15">
        <f>IF($H196="","",IF($H196=0,"⛔ اكتب رقم الفاتورة",IF(COUNTIF($B$7:$B$606,$H196)=0,"🟡 ما انزلت بنودها",IF(ROUND($I196-$J196,3)=0,"✅ خلصت","⛔ فرق "&amp;TEXT($I196-$J196,"0.000")))))</f>
        <v/>
      </c>
      <c r="M196">
        <f>IF(AND($H196&lt;&gt;"",$H196&lt;&gt;0,LEFT($K196,1)&lt;&gt;"✅"),COUNT($M$6:M195)+1,"")</f>
        <v/>
      </c>
      <c r="N196">
        <f>IFERROR(INDEX($H$7:$H$206,MATCH(ROW()-6,$M$7:$M$206,0)),"")</f>
        <v/>
      </c>
    </row>
    <row r="197" ht="21" customHeight="1">
      <c r="A197" s="9">
        <f>IF(C197="","",IF(COUNTIF('الفواتير'!$D$7:$D$206,B197)=0,"⛔",ROW()-6))</f>
        <v/>
      </c>
      <c r="B197" s="12" t="n"/>
      <c r="C197" s="10" t="n"/>
      <c r="D197" s="12" t="n"/>
      <c r="E197" s="13" t="n"/>
      <c r="F197" s="14">
        <f>IF(C197="","",N(D197)*N(E197))</f>
        <v/>
      </c>
      <c r="H197" s="9">
        <f>IF('الفواتير'!$E197="يدوية",'الفواتير'!$D197,"")</f>
        <v/>
      </c>
      <c r="I197" s="14">
        <f>IF($H197="","",'الفواتير'!$F197)</f>
        <v/>
      </c>
      <c r="J197" s="14">
        <f>IF($H197="","",SUMIF($B$7:$B$606,$H197,$F$7:$F$606))</f>
        <v/>
      </c>
      <c r="K197" s="15">
        <f>IF($H197="","",IF($H197=0,"⛔ اكتب رقم الفاتورة",IF(COUNTIF($B$7:$B$606,$H197)=0,"🟡 ما انزلت بنودها",IF(ROUND($I197-$J197,3)=0,"✅ خلصت","⛔ فرق "&amp;TEXT($I197-$J197,"0.000")))))</f>
        <v/>
      </c>
      <c r="M197">
        <f>IF(AND($H197&lt;&gt;"",$H197&lt;&gt;0,LEFT($K197,1)&lt;&gt;"✅"),COUNT($M$6:M196)+1,"")</f>
        <v/>
      </c>
      <c r="N197">
        <f>IFERROR(INDEX($H$7:$H$206,MATCH(ROW()-6,$M$7:$M$206,0)),"")</f>
        <v/>
      </c>
    </row>
    <row r="198" ht="21" customHeight="1">
      <c r="A198" s="9">
        <f>IF(C198="","",IF(COUNTIF('الفواتير'!$D$7:$D$206,B198)=0,"⛔",ROW()-6))</f>
        <v/>
      </c>
      <c r="B198" s="12" t="n"/>
      <c r="C198" s="10" t="n"/>
      <c r="D198" s="12" t="n"/>
      <c r="E198" s="13" t="n"/>
      <c r="F198" s="14">
        <f>IF(C198="","",N(D198)*N(E198))</f>
        <v/>
      </c>
      <c r="H198" s="9">
        <f>IF('الفواتير'!$E198="يدوية",'الفواتير'!$D198,"")</f>
        <v/>
      </c>
      <c r="I198" s="14">
        <f>IF($H198="","",'الفواتير'!$F198)</f>
        <v/>
      </c>
      <c r="J198" s="14">
        <f>IF($H198="","",SUMIF($B$7:$B$606,$H198,$F$7:$F$606))</f>
        <v/>
      </c>
      <c r="K198" s="15">
        <f>IF($H198="","",IF($H198=0,"⛔ اكتب رقم الفاتورة",IF(COUNTIF($B$7:$B$606,$H198)=0,"🟡 ما انزلت بنودها",IF(ROUND($I198-$J198,3)=0,"✅ خلصت","⛔ فرق "&amp;TEXT($I198-$J198,"0.000")))))</f>
        <v/>
      </c>
      <c r="M198">
        <f>IF(AND($H198&lt;&gt;"",$H198&lt;&gt;0,LEFT($K198,1)&lt;&gt;"✅"),COUNT($M$6:M197)+1,"")</f>
        <v/>
      </c>
      <c r="N198">
        <f>IFERROR(INDEX($H$7:$H$206,MATCH(ROW()-6,$M$7:$M$206,0)),"")</f>
        <v/>
      </c>
    </row>
    <row r="199" ht="21" customHeight="1">
      <c r="A199" s="9">
        <f>IF(C199="","",IF(COUNTIF('الفواتير'!$D$7:$D$206,B199)=0,"⛔",ROW()-6))</f>
        <v/>
      </c>
      <c r="B199" s="12" t="n"/>
      <c r="C199" s="10" t="n"/>
      <c r="D199" s="12" t="n"/>
      <c r="E199" s="13" t="n"/>
      <c r="F199" s="14">
        <f>IF(C199="","",N(D199)*N(E199))</f>
        <v/>
      </c>
      <c r="H199" s="9">
        <f>IF('الفواتير'!$E199="يدوية",'الفواتير'!$D199,"")</f>
        <v/>
      </c>
      <c r="I199" s="14">
        <f>IF($H199="","",'الفواتير'!$F199)</f>
        <v/>
      </c>
      <c r="J199" s="14">
        <f>IF($H199="","",SUMIF($B$7:$B$606,$H199,$F$7:$F$606))</f>
        <v/>
      </c>
      <c r="K199" s="15">
        <f>IF($H199="","",IF($H199=0,"⛔ اكتب رقم الفاتورة",IF(COUNTIF($B$7:$B$606,$H199)=0,"🟡 ما انزلت بنودها",IF(ROUND($I199-$J199,3)=0,"✅ خلصت","⛔ فرق "&amp;TEXT($I199-$J199,"0.000")))))</f>
        <v/>
      </c>
      <c r="M199">
        <f>IF(AND($H199&lt;&gt;"",$H199&lt;&gt;0,LEFT($K199,1)&lt;&gt;"✅"),COUNT($M$6:M198)+1,"")</f>
        <v/>
      </c>
      <c r="N199">
        <f>IFERROR(INDEX($H$7:$H$206,MATCH(ROW()-6,$M$7:$M$206,0)),"")</f>
        <v/>
      </c>
    </row>
    <row r="200" ht="21" customHeight="1">
      <c r="A200" s="9">
        <f>IF(C200="","",IF(COUNTIF('الفواتير'!$D$7:$D$206,B200)=0,"⛔",ROW()-6))</f>
        <v/>
      </c>
      <c r="B200" s="12" t="n"/>
      <c r="C200" s="10" t="n"/>
      <c r="D200" s="12" t="n"/>
      <c r="E200" s="13" t="n"/>
      <c r="F200" s="14">
        <f>IF(C200="","",N(D200)*N(E200))</f>
        <v/>
      </c>
      <c r="H200" s="9">
        <f>IF('الفواتير'!$E200="يدوية",'الفواتير'!$D200,"")</f>
        <v/>
      </c>
      <c r="I200" s="14">
        <f>IF($H200="","",'الفواتير'!$F200)</f>
        <v/>
      </c>
      <c r="J200" s="14">
        <f>IF($H200="","",SUMIF($B$7:$B$606,$H200,$F$7:$F$606))</f>
        <v/>
      </c>
      <c r="K200" s="15">
        <f>IF($H200="","",IF($H200=0,"⛔ اكتب رقم الفاتورة",IF(COUNTIF($B$7:$B$606,$H200)=0,"🟡 ما انزلت بنودها",IF(ROUND($I200-$J200,3)=0,"✅ خلصت","⛔ فرق "&amp;TEXT($I200-$J200,"0.000")))))</f>
        <v/>
      </c>
      <c r="M200">
        <f>IF(AND($H200&lt;&gt;"",$H200&lt;&gt;0,LEFT($K200,1)&lt;&gt;"✅"),COUNT($M$6:M199)+1,"")</f>
        <v/>
      </c>
      <c r="N200">
        <f>IFERROR(INDEX($H$7:$H$206,MATCH(ROW()-6,$M$7:$M$206,0)),"")</f>
        <v/>
      </c>
    </row>
    <row r="201" ht="21" customHeight="1">
      <c r="A201" s="9">
        <f>IF(C201="","",IF(COUNTIF('الفواتير'!$D$7:$D$206,B201)=0,"⛔",ROW()-6))</f>
        <v/>
      </c>
      <c r="B201" s="12" t="n"/>
      <c r="C201" s="10" t="n"/>
      <c r="D201" s="12" t="n"/>
      <c r="E201" s="13" t="n"/>
      <c r="F201" s="14">
        <f>IF(C201="","",N(D201)*N(E201))</f>
        <v/>
      </c>
      <c r="H201" s="9">
        <f>IF('الفواتير'!$E201="يدوية",'الفواتير'!$D201,"")</f>
        <v/>
      </c>
      <c r="I201" s="14">
        <f>IF($H201="","",'الفواتير'!$F201)</f>
        <v/>
      </c>
      <c r="J201" s="14">
        <f>IF($H201="","",SUMIF($B$7:$B$606,$H201,$F$7:$F$606))</f>
        <v/>
      </c>
      <c r="K201" s="15">
        <f>IF($H201="","",IF($H201=0,"⛔ اكتب رقم الفاتورة",IF(COUNTIF($B$7:$B$606,$H201)=0,"🟡 ما انزلت بنودها",IF(ROUND($I201-$J201,3)=0,"✅ خلصت","⛔ فرق "&amp;TEXT($I201-$J201,"0.000")))))</f>
        <v/>
      </c>
      <c r="M201">
        <f>IF(AND($H201&lt;&gt;"",$H201&lt;&gt;0,LEFT($K201,1)&lt;&gt;"✅"),COUNT($M$6:M200)+1,"")</f>
        <v/>
      </c>
      <c r="N201">
        <f>IFERROR(INDEX($H$7:$H$206,MATCH(ROW()-6,$M$7:$M$206,0)),"")</f>
        <v/>
      </c>
    </row>
    <row r="202" ht="21" customHeight="1">
      <c r="A202" s="9">
        <f>IF(C202="","",IF(COUNTIF('الفواتير'!$D$7:$D$206,B202)=0,"⛔",ROW()-6))</f>
        <v/>
      </c>
      <c r="B202" s="12" t="n"/>
      <c r="C202" s="10" t="n"/>
      <c r="D202" s="12" t="n"/>
      <c r="E202" s="13" t="n"/>
      <c r="F202" s="14">
        <f>IF(C202="","",N(D202)*N(E202))</f>
        <v/>
      </c>
      <c r="H202" s="9">
        <f>IF('الفواتير'!$E202="يدوية",'الفواتير'!$D202,"")</f>
        <v/>
      </c>
      <c r="I202" s="14">
        <f>IF($H202="","",'الفواتير'!$F202)</f>
        <v/>
      </c>
      <c r="J202" s="14">
        <f>IF($H202="","",SUMIF($B$7:$B$606,$H202,$F$7:$F$606))</f>
        <v/>
      </c>
      <c r="K202" s="15">
        <f>IF($H202="","",IF($H202=0,"⛔ اكتب رقم الفاتورة",IF(COUNTIF($B$7:$B$606,$H202)=0,"🟡 ما انزلت بنودها",IF(ROUND($I202-$J202,3)=0,"✅ خلصت","⛔ فرق "&amp;TEXT($I202-$J202,"0.000")))))</f>
        <v/>
      </c>
      <c r="M202">
        <f>IF(AND($H202&lt;&gt;"",$H202&lt;&gt;0,LEFT($K202,1)&lt;&gt;"✅"),COUNT($M$6:M201)+1,"")</f>
        <v/>
      </c>
      <c r="N202">
        <f>IFERROR(INDEX($H$7:$H$206,MATCH(ROW()-6,$M$7:$M$206,0)),"")</f>
        <v/>
      </c>
    </row>
    <row r="203" ht="21" customHeight="1">
      <c r="A203" s="9">
        <f>IF(C203="","",IF(COUNTIF('الفواتير'!$D$7:$D$206,B203)=0,"⛔",ROW()-6))</f>
        <v/>
      </c>
      <c r="B203" s="12" t="n"/>
      <c r="C203" s="10" t="n"/>
      <c r="D203" s="12" t="n"/>
      <c r="E203" s="13" t="n"/>
      <c r="F203" s="14">
        <f>IF(C203="","",N(D203)*N(E203))</f>
        <v/>
      </c>
      <c r="H203" s="9">
        <f>IF('الفواتير'!$E203="يدوية",'الفواتير'!$D203,"")</f>
        <v/>
      </c>
      <c r="I203" s="14">
        <f>IF($H203="","",'الفواتير'!$F203)</f>
        <v/>
      </c>
      <c r="J203" s="14">
        <f>IF($H203="","",SUMIF($B$7:$B$606,$H203,$F$7:$F$606))</f>
        <v/>
      </c>
      <c r="K203" s="15">
        <f>IF($H203="","",IF($H203=0,"⛔ اكتب رقم الفاتورة",IF(COUNTIF($B$7:$B$606,$H203)=0,"🟡 ما انزلت بنودها",IF(ROUND($I203-$J203,3)=0,"✅ خلصت","⛔ فرق "&amp;TEXT($I203-$J203,"0.000")))))</f>
        <v/>
      </c>
      <c r="M203">
        <f>IF(AND($H203&lt;&gt;"",$H203&lt;&gt;0,LEFT($K203,1)&lt;&gt;"✅"),COUNT($M$6:M202)+1,"")</f>
        <v/>
      </c>
      <c r="N203">
        <f>IFERROR(INDEX($H$7:$H$206,MATCH(ROW()-6,$M$7:$M$206,0)),"")</f>
        <v/>
      </c>
    </row>
    <row r="204" ht="21" customHeight="1">
      <c r="A204" s="9">
        <f>IF(C204="","",IF(COUNTIF('الفواتير'!$D$7:$D$206,B204)=0,"⛔",ROW()-6))</f>
        <v/>
      </c>
      <c r="B204" s="12" t="n"/>
      <c r="C204" s="10" t="n"/>
      <c r="D204" s="12" t="n"/>
      <c r="E204" s="13" t="n"/>
      <c r="F204" s="14">
        <f>IF(C204="","",N(D204)*N(E204))</f>
        <v/>
      </c>
      <c r="H204" s="9">
        <f>IF('الفواتير'!$E204="يدوية",'الفواتير'!$D204,"")</f>
        <v/>
      </c>
      <c r="I204" s="14">
        <f>IF($H204="","",'الفواتير'!$F204)</f>
        <v/>
      </c>
      <c r="J204" s="14">
        <f>IF($H204="","",SUMIF($B$7:$B$606,$H204,$F$7:$F$606))</f>
        <v/>
      </c>
      <c r="K204" s="15">
        <f>IF($H204="","",IF($H204=0,"⛔ اكتب رقم الفاتورة",IF(COUNTIF($B$7:$B$606,$H204)=0,"🟡 ما انزلت بنودها",IF(ROUND($I204-$J204,3)=0,"✅ خلصت","⛔ فرق "&amp;TEXT($I204-$J204,"0.000")))))</f>
        <v/>
      </c>
      <c r="M204">
        <f>IF(AND($H204&lt;&gt;"",$H204&lt;&gt;0,LEFT($K204,1)&lt;&gt;"✅"),COUNT($M$6:M203)+1,"")</f>
        <v/>
      </c>
      <c r="N204">
        <f>IFERROR(INDEX($H$7:$H$206,MATCH(ROW()-6,$M$7:$M$206,0)),"")</f>
        <v/>
      </c>
    </row>
    <row r="205" ht="21" customHeight="1">
      <c r="A205" s="9">
        <f>IF(C205="","",IF(COUNTIF('الفواتير'!$D$7:$D$206,B205)=0,"⛔",ROW()-6))</f>
        <v/>
      </c>
      <c r="B205" s="12" t="n"/>
      <c r="C205" s="10" t="n"/>
      <c r="D205" s="12" t="n"/>
      <c r="E205" s="13" t="n"/>
      <c r="F205" s="14">
        <f>IF(C205="","",N(D205)*N(E205))</f>
        <v/>
      </c>
      <c r="H205" s="9">
        <f>IF('الفواتير'!$E205="يدوية",'الفواتير'!$D205,"")</f>
        <v/>
      </c>
      <c r="I205" s="14">
        <f>IF($H205="","",'الفواتير'!$F205)</f>
        <v/>
      </c>
      <c r="J205" s="14">
        <f>IF($H205="","",SUMIF($B$7:$B$606,$H205,$F$7:$F$606))</f>
        <v/>
      </c>
      <c r="K205" s="15">
        <f>IF($H205="","",IF($H205=0,"⛔ اكتب رقم الفاتورة",IF(COUNTIF($B$7:$B$606,$H205)=0,"🟡 ما انزلت بنودها",IF(ROUND($I205-$J205,3)=0,"✅ خلصت","⛔ فرق "&amp;TEXT($I205-$J205,"0.000")))))</f>
        <v/>
      </c>
      <c r="M205">
        <f>IF(AND($H205&lt;&gt;"",$H205&lt;&gt;0,LEFT($K205,1)&lt;&gt;"✅"),COUNT($M$6:M204)+1,"")</f>
        <v/>
      </c>
      <c r="N205">
        <f>IFERROR(INDEX($H$7:$H$206,MATCH(ROW()-6,$M$7:$M$206,0)),"")</f>
        <v/>
      </c>
    </row>
    <row r="206" ht="21" customHeight="1">
      <c r="A206" s="9">
        <f>IF(C206="","",IF(COUNTIF('الفواتير'!$D$7:$D$206,B206)=0,"⛔",ROW()-6))</f>
        <v/>
      </c>
      <c r="B206" s="12" t="n"/>
      <c r="C206" s="10" t="n"/>
      <c r="D206" s="12" t="n"/>
      <c r="E206" s="13" t="n"/>
      <c r="F206" s="14">
        <f>IF(C206="","",N(D206)*N(E206))</f>
        <v/>
      </c>
      <c r="H206" s="9">
        <f>IF('الفواتير'!$E206="يدوية",'الفواتير'!$D206,"")</f>
        <v/>
      </c>
      <c r="I206" s="14">
        <f>IF($H206="","",'الفواتير'!$F206)</f>
        <v/>
      </c>
      <c r="J206" s="14">
        <f>IF($H206="","",SUMIF($B$7:$B$606,$H206,$F$7:$F$606))</f>
        <v/>
      </c>
      <c r="K206" s="15">
        <f>IF($H206="","",IF($H206=0,"⛔ اكتب رقم الفاتورة",IF(COUNTIF($B$7:$B$606,$H206)=0,"🟡 ما انزلت بنودها",IF(ROUND($I206-$J206,3)=0,"✅ خلصت","⛔ فرق "&amp;TEXT($I206-$J206,"0.000")))))</f>
        <v/>
      </c>
      <c r="M206">
        <f>IF(AND($H206&lt;&gt;"",$H206&lt;&gt;0,LEFT($K206,1)&lt;&gt;"✅"),COUNT($M$6:M205)+1,"")</f>
        <v/>
      </c>
      <c r="N206">
        <f>IFERROR(INDEX($H$7:$H$206,MATCH(ROW()-6,$M$7:$M$206,0)),"")</f>
        <v/>
      </c>
    </row>
    <row r="207" ht="21" customHeight="1">
      <c r="A207" s="9">
        <f>IF(C207="","",IF(COUNTIF('الفواتير'!$D$7:$D$206,B207)=0,"⛔",ROW()-6))</f>
        <v/>
      </c>
      <c r="B207" s="12" t="n"/>
      <c r="C207" s="10" t="n"/>
      <c r="D207" s="12" t="n"/>
      <c r="E207" s="13" t="n"/>
      <c r="F207" s="14">
        <f>IF(C207="","",N(D207)*N(E207))</f>
        <v/>
      </c>
    </row>
    <row r="208" ht="21" customHeight="1">
      <c r="A208" s="9">
        <f>IF(C208="","",IF(COUNTIF('الفواتير'!$D$7:$D$206,B208)=0,"⛔",ROW()-6))</f>
        <v/>
      </c>
      <c r="B208" s="12" t="n"/>
      <c r="C208" s="10" t="n"/>
      <c r="D208" s="12" t="n"/>
      <c r="E208" s="13" t="n"/>
      <c r="F208" s="14">
        <f>IF(C208="","",N(D208)*N(E208))</f>
        <v/>
      </c>
    </row>
    <row r="209" ht="21" customHeight="1">
      <c r="A209" s="9">
        <f>IF(C209="","",IF(COUNTIF('الفواتير'!$D$7:$D$206,B209)=0,"⛔",ROW()-6))</f>
        <v/>
      </c>
      <c r="B209" s="12" t="n"/>
      <c r="C209" s="10" t="n"/>
      <c r="D209" s="12" t="n"/>
      <c r="E209" s="13" t="n"/>
      <c r="F209" s="14">
        <f>IF(C209="","",N(D209)*N(E209))</f>
        <v/>
      </c>
    </row>
    <row r="210" ht="21" customHeight="1">
      <c r="A210" s="9">
        <f>IF(C210="","",IF(COUNTIF('الفواتير'!$D$7:$D$206,B210)=0,"⛔",ROW()-6))</f>
        <v/>
      </c>
      <c r="B210" s="12" t="n"/>
      <c r="C210" s="10" t="n"/>
      <c r="D210" s="12" t="n"/>
      <c r="E210" s="13" t="n"/>
      <c r="F210" s="14">
        <f>IF(C210="","",N(D210)*N(E210))</f>
        <v/>
      </c>
    </row>
    <row r="211" ht="21" customHeight="1">
      <c r="A211" s="9">
        <f>IF(C211="","",IF(COUNTIF('الفواتير'!$D$7:$D$206,B211)=0,"⛔",ROW()-6))</f>
        <v/>
      </c>
      <c r="B211" s="12" t="n"/>
      <c r="C211" s="10" t="n"/>
      <c r="D211" s="12" t="n"/>
      <c r="E211" s="13" t="n"/>
      <c r="F211" s="14">
        <f>IF(C211="","",N(D211)*N(E211))</f>
        <v/>
      </c>
    </row>
    <row r="212" ht="21" customHeight="1">
      <c r="A212" s="9">
        <f>IF(C212="","",IF(COUNTIF('الفواتير'!$D$7:$D$206,B212)=0,"⛔",ROW()-6))</f>
        <v/>
      </c>
      <c r="B212" s="12" t="n"/>
      <c r="C212" s="10" t="n"/>
      <c r="D212" s="12" t="n"/>
      <c r="E212" s="13" t="n"/>
      <c r="F212" s="14">
        <f>IF(C212="","",N(D212)*N(E212))</f>
        <v/>
      </c>
    </row>
    <row r="213" ht="21" customHeight="1">
      <c r="A213" s="9">
        <f>IF(C213="","",IF(COUNTIF('الفواتير'!$D$7:$D$206,B213)=0,"⛔",ROW()-6))</f>
        <v/>
      </c>
      <c r="B213" s="12" t="n"/>
      <c r="C213" s="10" t="n"/>
      <c r="D213" s="12" t="n"/>
      <c r="E213" s="13" t="n"/>
      <c r="F213" s="14">
        <f>IF(C213="","",N(D213)*N(E213))</f>
        <v/>
      </c>
    </row>
    <row r="214" ht="21" customHeight="1">
      <c r="A214" s="9">
        <f>IF(C214="","",IF(COUNTIF('الفواتير'!$D$7:$D$206,B214)=0,"⛔",ROW()-6))</f>
        <v/>
      </c>
      <c r="B214" s="12" t="n"/>
      <c r="C214" s="10" t="n"/>
      <c r="D214" s="12" t="n"/>
      <c r="E214" s="13" t="n"/>
      <c r="F214" s="14">
        <f>IF(C214="","",N(D214)*N(E214))</f>
        <v/>
      </c>
    </row>
    <row r="215" ht="21" customHeight="1">
      <c r="A215" s="9">
        <f>IF(C215="","",IF(COUNTIF('الفواتير'!$D$7:$D$206,B215)=0,"⛔",ROW()-6))</f>
        <v/>
      </c>
      <c r="B215" s="12" t="n"/>
      <c r="C215" s="10" t="n"/>
      <c r="D215" s="12" t="n"/>
      <c r="E215" s="13" t="n"/>
      <c r="F215" s="14">
        <f>IF(C215="","",N(D215)*N(E215))</f>
        <v/>
      </c>
    </row>
    <row r="216" ht="21" customHeight="1">
      <c r="A216" s="9">
        <f>IF(C216="","",IF(COUNTIF('الفواتير'!$D$7:$D$206,B216)=0,"⛔",ROW()-6))</f>
        <v/>
      </c>
      <c r="B216" s="12" t="n"/>
      <c r="C216" s="10" t="n"/>
      <c r="D216" s="12" t="n"/>
      <c r="E216" s="13" t="n"/>
      <c r="F216" s="14">
        <f>IF(C216="","",N(D216)*N(E216))</f>
        <v/>
      </c>
    </row>
    <row r="217" ht="21" customHeight="1">
      <c r="A217" s="9">
        <f>IF(C217="","",IF(COUNTIF('الفواتير'!$D$7:$D$206,B217)=0,"⛔",ROW()-6))</f>
        <v/>
      </c>
      <c r="B217" s="12" t="n"/>
      <c r="C217" s="10" t="n"/>
      <c r="D217" s="12" t="n"/>
      <c r="E217" s="13" t="n"/>
      <c r="F217" s="14">
        <f>IF(C217="","",N(D217)*N(E217))</f>
        <v/>
      </c>
    </row>
    <row r="218" ht="21" customHeight="1">
      <c r="A218" s="9">
        <f>IF(C218="","",IF(COUNTIF('الفواتير'!$D$7:$D$206,B218)=0,"⛔",ROW()-6))</f>
        <v/>
      </c>
      <c r="B218" s="12" t="n"/>
      <c r="C218" s="10" t="n"/>
      <c r="D218" s="12" t="n"/>
      <c r="E218" s="13" t="n"/>
      <c r="F218" s="14">
        <f>IF(C218="","",N(D218)*N(E218))</f>
        <v/>
      </c>
    </row>
    <row r="219" ht="21" customHeight="1">
      <c r="A219" s="9">
        <f>IF(C219="","",IF(COUNTIF('الفواتير'!$D$7:$D$206,B219)=0,"⛔",ROW()-6))</f>
        <v/>
      </c>
      <c r="B219" s="12" t="n"/>
      <c r="C219" s="10" t="n"/>
      <c r="D219" s="12" t="n"/>
      <c r="E219" s="13" t="n"/>
      <c r="F219" s="14">
        <f>IF(C219="","",N(D219)*N(E219))</f>
        <v/>
      </c>
    </row>
    <row r="220" ht="21" customHeight="1">
      <c r="A220" s="9">
        <f>IF(C220="","",IF(COUNTIF('الفواتير'!$D$7:$D$206,B220)=0,"⛔",ROW()-6))</f>
        <v/>
      </c>
      <c r="B220" s="12" t="n"/>
      <c r="C220" s="10" t="n"/>
      <c r="D220" s="12" t="n"/>
      <c r="E220" s="13" t="n"/>
      <c r="F220" s="14">
        <f>IF(C220="","",N(D220)*N(E220))</f>
        <v/>
      </c>
    </row>
    <row r="221" ht="21" customHeight="1">
      <c r="A221" s="9">
        <f>IF(C221="","",IF(COUNTIF('الفواتير'!$D$7:$D$206,B221)=0,"⛔",ROW()-6))</f>
        <v/>
      </c>
      <c r="B221" s="12" t="n"/>
      <c r="C221" s="10" t="n"/>
      <c r="D221" s="12" t="n"/>
      <c r="E221" s="13" t="n"/>
      <c r="F221" s="14">
        <f>IF(C221="","",N(D221)*N(E221))</f>
        <v/>
      </c>
    </row>
    <row r="222" ht="21" customHeight="1">
      <c r="A222" s="9">
        <f>IF(C222="","",IF(COUNTIF('الفواتير'!$D$7:$D$206,B222)=0,"⛔",ROW()-6))</f>
        <v/>
      </c>
      <c r="B222" s="12" t="n"/>
      <c r="C222" s="10" t="n"/>
      <c r="D222" s="12" t="n"/>
      <c r="E222" s="13" t="n"/>
      <c r="F222" s="14">
        <f>IF(C222="","",N(D222)*N(E222))</f>
        <v/>
      </c>
    </row>
    <row r="223" ht="21" customHeight="1">
      <c r="A223" s="9">
        <f>IF(C223="","",IF(COUNTIF('الفواتير'!$D$7:$D$206,B223)=0,"⛔",ROW()-6))</f>
        <v/>
      </c>
      <c r="B223" s="12" t="n"/>
      <c r="C223" s="10" t="n"/>
      <c r="D223" s="12" t="n"/>
      <c r="E223" s="13" t="n"/>
      <c r="F223" s="14">
        <f>IF(C223="","",N(D223)*N(E223))</f>
        <v/>
      </c>
    </row>
    <row r="224" ht="21" customHeight="1">
      <c r="A224" s="9">
        <f>IF(C224="","",IF(COUNTIF('الفواتير'!$D$7:$D$206,B224)=0,"⛔",ROW()-6))</f>
        <v/>
      </c>
      <c r="B224" s="12" t="n"/>
      <c r="C224" s="10" t="n"/>
      <c r="D224" s="12" t="n"/>
      <c r="E224" s="13" t="n"/>
      <c r="F224" s="14">
        <f>IF(C224="","",N(D224)*N(E224))</f>
        <v/>
      </c>
    </row>
    <row r="225" ht="21" customHeight="1">
      <c r="A225" s="9">
        <f>IF(C225="","",IF(COUNTIF('الفواتير'!$D$7:$D$206,B225)=0,"⛔",ROW()-6))</f>
        <v/>
      </c>
      <c r="B225" s="12" t="n"/>
      <c r="C225" s="10" t="n"/>
      <c r="D225" s="12" t="n"/>
      <c r="E225" s="13" t="n"/>
      <c r="F225" s="14">
        <f>IF(C225="","",N(D225)*N(E225))</f>
        <v/>
      </c>
    </row>
    <row r="226" ht="21" customHeight="1">
      <c r="A226" s="9">
        <f>IF(C226="","",IF(COUNTIF('الفواتير'!$D$7:$D$206,B226)=0,"⛔",ROW()-6))</f>
        <v/>
      </c>
      <c r="B226" s="12" t="n"/>
      <c r="C226" s="10" t="n"/>
      <c r="D226" s="12" t="n"/>
      <c r="E226" s="13" t="n"/>
      <c r="F226" s="14">
        <f>IF(C226="","",N(D226)*N(E226))</f>
        <v/>
      </c>
    </row>
    <row r="227" ht="21" customHeight="1">
      <c r="A227" s="9">
        <f>IF(C227="","",IF(COUNTIF('الفواتير'!$D$7:$D$206,B227)=0,"⛔",ROW()-6))</f>
        <v/>
      </c>
      <c r="B227" s="12" t="n"/>
      <c r="C227" s="10" t="n"/>
      <c r="D227" s="12" t="n"/>
      <c r="E227" s="13" t="n"/>
      <c r="F227" s="14">
        <f>IF(C227="","",N(D227)*N(E227))</f>
        <v/>
      </c>
    </row>
    <row r="228" ht="21" customHeight="1">
      <c r="A228" s="9">
        <f>IF(C228="","",IF(COUNTIF('الفواتير'!$D$7:$D$206,B228)=0,"⛔",ROW()-6))</f>
        <v/>
      </c>
      <c r="B228" s="12" t="n"/>
      <c r="C228" s="10" t="n"/>
      <c r="D228" s="12" t="n"/>
      <c r="E228" s="13" t="n"/>
      <c r="F228" s="14">
        <f>IF(C228="","",N(D228)*N(E228))</f>
        <v/>
      </c>
    </row>
    <row r="229" ht="21" customHeight="1">
      <c r="A229" s="9">
        <f>IF(C229="","",IF(COUNTIF('الفواتير'!$D$7:$D$206,B229)=0,"⛔",ROW()-6))</f>
        <v/>
      </c>
      <c r="B229" s="12" t="n"/>
      <c r="C229" s="10" t="n"/>
      <c r="D229" s="12" t="n"/>
      <c r="E229" s="13" t="n"/>
      <c r="F229" s="14">
        <f>IF(C229="","",N(D229)*N(E229))</f>
        <v/>
      </c>
    </row>
    <row r="230" ht="21" customHeight="1">
      <c r="A230" s="9">
        <f>IF(C230="","",IF(COUNTIF('الفواتير'!$D$7:$D$206,B230)=0,"⛔",ROW()-6))</f>
        <v/>
      </c>
      <c r="B230" s="12" t="n"/>
      <c r="C230" s="10" t="n"/>
      <c r="D230" s="12" t="n"/>
      <c r="E230" s="13" t="n"/>
      <c r="F230" s="14">
        <f>IF(C230="","",N(D230)*N(E230))</f>
        <v/>
      </c>
    </row>
    <row r="231" ht="21" customHeight="1">
      <c r="A231" s="9">
        <f>IF(C231="","",IF(COUNTIF('الفواتير'!$D$7:$D$206,B231)=0,"⛔",ROW()-6))</f>
        <v/>
      </c>
      <c r="B231" s="12" t="n"/>
      <c r="C231" s="10" t="n"/>
      <c r="D231" s="12" t="n"/>
      <c r="E231" s="13" t="n"/>
      <c r="F231" s="14">
        <f>IF(C231="","",N(D231)*N(E231))</f>
        <v/>
      </c>
    </row>
    <row r="232" ht="21" customHeight="1">
      <c r="A232" s="9">
        <f>IF(C232="","",IF(COUNTIF('الفواتير'!$D$7:$D$206,B232)=0,"⛔",ROW()-6))</f>
        <v/>
      </c>
      <c r="B232" s="12" t="n"/>
      <c r="C232" s="10" t="n"/>
      <c r="D232" s="12" t="n"/>
      <c r="E232" s="13" t="n"/>
      <c r="F232" s="14">
        <f>IF(C232="","",N(D232)*N(E232))</f>
        <v/>
      </c>
    </row>
    <row r="233" ht="21" customHeight="1">
      <c r="A233" s="9">
        <f>IF(C233="","",IF(COUNTIF('الفواتير'!$D$7:$D$206,B233)=0,"⛔",ROW()-6))</f>
        <v/>
      </c>
      <c r="B233" s="12" t="n"/>
      <c r="C233" s="10" t="n"/>
      <c r="D233" s="12" t="n"/>
      <c r="E233" s="13" t="n"/>
      <c r="F233" s="14">
        <f>IF(C233="","",N(D233)*N(E233))</f>
        <v/>
      </c>
    </row>
    <row r="234" ht="21" customHeight="1">
      <c r="A234" s="9">
        <f>IF(C234="","",IF(COUNTIF('الفواتير'!$D$7:$D$206,B234)=0,"⛔",ROW()-6))</f>
        <v/>
      </c>
      <c r="B234" s="12" t="n"/>
      <c r="C234" s="10" t="n"/>
      <c r="D234" s="12" t="n"/>
      <c r="E234" s="13" t="n"/>
      <c r="F234" s="14">
        <f>IF(C234="","",N(D234)*N(E234))</f>
        <v/>
      </c>
    </row>
    <row r="235" ht="21" customHeight="1">
      <c r="A235" s="9">
        <f>IF(C235="","",IF(COUNTIF('الفواتير'!$D$7:$D$206,B235)=0,"⛔",ROW()-6))</f>
        <v/>
      </c>
      <c r="B235" s="12" t="n"/>
      <c r="C235" s="10" t="n"/>
      <c r="D235" s="12" t="n"/>
      <c r="E235" s="13" t="n"/>
      <c r="F235" s="14">
        <f>IF(C235="","",N(D235)*N(E235))</f>
        <v/>
      </c>
    </row>
    <row r="236" ht="21" customHeight="1">
      <c r="A236" s="9">
        <f>IF(C236="","",IF(COUNTIF('الفواتير'!$D$7:$D$206,B236)=0,"⛔",ROW()-6))</f>
        <v/>
      </c>
      <c r="B236" s="12" t="n"/>
      <c r="C236" s="10" t="n"/>
      <c r="D236" s="12" t="n"/>
      <c r="E236" s="13" t="n"/>
      <c r="F236" s="14">
        <f>IF(C236="","",N(D236)*N(E236))</f>
        <v/>
      </c>
    </row>
    <row r="237" ht="21" customHeight="1">
      <c r="A237" s="9">
        <f>IF(C237="","",IF(COUNTIF('الفواتير'!$D$7:$D$206,B237)=0,"⛔",ROW()-6))</f>
        <v/>
      </c>
      <c r="B237" s="12" t="n"/>
      <c r="C237" s="10" t="n"/>
      <c r="D237" s="12" t="n"/>
      <c r="E237" s="13" t="n"/>
      <c r="F237" s="14">
        <f>IF(C237="","",N(D237)*N(E237))</f>
        <v/>
      </c>
    </row>
    <row r="238" ht="21" customHeight="1">
      <c r="A238" s="9">
        <f>IF(C238="","",IF(COUNTIF('الفواتير'!$D$7:$D$206,B238)=0,"⛔",ROW()-6))</f>
        <v/>
      </c>
      <c r="B238" s="12" t="n"/>
      <c r="C238" s="10" t="n"/>
      <c r="D238" s="12" t="n"/>
      <c r="E238" s="13" t="n"/>
      <c r="F238" s="14">
        <f>IF(C238="","",N(D238)*N(E238))</f>
        <v/>
      </c>
    </row>
    <row r="239" ht="21" customHeight="1">
      <c r="A239" s="9">
        <f>IF(C239="","",IF(COUNTIF('الفواتير'!$D$7:$D$206,B239)=0,"⛔",ROW()-6))</f>
        <v/>
      </c>
      <c r="B239" s="12" t="n"/>
      <c r="C239" s="10" t="n"/>
      <c r="D239" s="12" t="n"/>
      <c r="E239" s="13" t="n"/>
      <c r="F239" s="14">
        <f>IF(C239="","",N(D239)*N(E239))</f>
        <v/>
      </c>
    </row>
    <row r="240" ht="21" customHeight="1">
      <c r="A240" s="9">
        <f>IF(C240="","",IF(COUNTIF('الفواتير'!$D$7:$D$206,B240)=0,"⛔",ROW()-6))</f>
        <v/>
      </c>
      <c r="B240" s="12" t="n"/>
      <c r="C240" s="10" t="n"/>
      <c r="D240" s="12" t="n"/>
      <c r="E240" s="13" t="n"/>
      <c r="F240" s="14">
        <f>IF(C240="","",N(D240)*N(E240))</f>
        <v/>
      </c>
    </row>
    <row r="241" ht="21" customHeight="1">
      <c r="A241" s="9">
        <f>IF(C241="","",IF(COUNTIF('الفواتير'!$D$7:$D$206,B241)=0,"⛔",ROW()-6))</f>
        <v/>
      </c>
      <c r="B241" s="12" t="n"/>
      <c r="C241" s="10" t="n"/>
      <c r="D241" s="12" t="n"/>
      <c r="E241" s="13" t="n"/>
      <c r="F241" s="14">
        <f>IF(C241="","",N(D241)*N(E241))</f>
        <v/>
      </c>
    </row>
    <row r="242" ht="21" customHeight="1">
      <c r="A242" s="9">
        <f>IF(C242="","",IF(COUNTIF('الفواتير'!$D$7:$D$206,B242)=0,"⛔",ROW()-6))</f>
        <v/>
      </c>
      <c r="B242" s="12" t="n"/>
      <c r="C242" s="10" t="n"/>
      <c r="D242" s="12" t="n"/>
      <c r="E242" s="13" t="n"/>
      <c r="F242" s="14">
        <f>IF(C242="","",N(D242)*N(E242))</f>
        <v/>
      </c>
    </row>
    <row r="243" ht="21" customHeight="1">
      <c r="A243" s="9">
        <f>IF(C243="","",IF(COUNTIF('الفواتير'!$D$7:$D$206,B243)=0,"⛔",ROW()-6))</f>
        <v/>
      </c>
      <c r="B243" s="12" t="n"/>
      <c r="C243" s="10" t="n"/>
      <c r="D243" s="12" t="n"/>
      <c r="E243" s="13" t="n"/>
      <c r="F243" s="14">
        <f>IF(C243="","",N(D243)*N(E243))</f>
        <v/>
      </c>
    </row>
    <row r="244" ht="21" customHeight="1">
      <c r="A244" s="9">
        <f>IF(C244="","",IF(COUNTIF('الفواتير'!$D$7:$D$206,B244)=0,"⛔",ROW()-6))</f>
        <v/>
      </c>
      <c r="B244" s="12" t="n"/>
      <c r="C244" s="10" t="n"/>
      <c r="D244" s="12" t="n"/>
      <c r="E244" s="13" t="n"/>
      <c r="F244" s="14">
        <f>IF(C244="","",N(D244)*N(E244))</f>
        <v/>
      </c>
    </row>
    <row r="245" ht="21" customHeight="1">
      <c r="A245" s="9">
        <f>IF(C245="","",IF(COUNTIF('الفواتير'!$D$7:$D$206,B245)=0,"⛔",ROW()-6))</f>
        <v/>
      </c>
      <c r="B245" s="12" t="n"/>
      <c r="C245" s="10" t="n"/>
      <c r="D245" s="12" t="n"/>
      <c r="E245" s="13" t="n"/>
      <c r="F245" s="14">
        <f>IF(C245="","",N(D245)*N(E245))</f>
        <v/>
      </c>
    </row>
    <row r="246" ht="21" customHeight="1">
      <c r="A246" s="9">
        <f>IF(C246="","",IF(COUNTIF('الفواتير'!$D$7:$D$206,B246)=0,"⛔",ROW()-6))</f>
        <v/>
      </c>
      <c r="B246" s="12" t="n"/>
      <c r="C246" s="10" t="n"/>
      <c r="D246" s="12" t="n"/>
      <c r="E246" s="13" t="n"/>
      <c r="F246" s="14">
        <f>IF(C246="","",N(D246)*N(E246))</f>
        <v/>
      </c>
    </row>
    <row r="247" ht="21" customHeight="1">
      <c r="A247" s="9">
        <f>IF(C247="","",IF(COUNTIF('الفواتير'!$D$7:$D$206,B247)=0,"⛔",ROW()-6))</f>
        <v/>
      </c>
      <c r="B247" s="12" t="n"/>
      <c r="C247" s="10" t="n"/>
      <c r="D247" s="12" t="n"/>
      <c r="E247" s="13" t="n"/>
      <c r="F247" s="14">
        <f>IF(C247="","",N(D247)*N(E247))</f>
        <v/>
      </c>
    </row>
    <row r="248" ht="21" customHeight="1">
      <c r="A248" s="9">
        <f>IF(C248="","",IF(COUNTIF('الفواتير'!$D$7:$D$206,B248)=0,"⛔",ROW()-6))</f>
        <v/>
      </c>
      <c r="B248" s="12" t="n"/>
      <c r="C248" s="10" t="n"/>
      <c r="D248" s="12" t="n"/>
      <c r="E248" s="13" t="n"/>
      <c r="F248" s="14">
        <f>IF(C248="","",N(D248)*N(E248))</f>
        <v/>
      </c>
    </row>
    <row r="249" ht="21" customHeight="1">
      <c r="A249" s="9">
        <f>IF(C249="","",IF(COUNTIF('الفواتير'!$D$7:$D$206,B249)=0,"⛔",ROW()-6))</f>
        <v/>
      </c>
      <c r="B249" s="12" t="n"/>
      <c r="C249" s="10" t="n"/>
      <c r="D249" s="12" t="n"/>
      <c r="E249" s="13" t="n"/>
      <c r="F249" s="14">
        <f>IF(C249="","",N(D249)*N(E249))</f>
        <v/>
      </c>
    </row>
    <row r="250" ht="21" customHeight="1">
      <c r="A250" s="9">
        <f>IF(C250="","",IF(COUNTIF('الفواتير'!$D$7:$D$206,B250)=0,"⛔",ROW()-6))</f>
        <v/>
      </c>
      <c r="B250" s="12" t="n"/>
      <c r="C250" s="10" t="n"/>
      <c r="D250" s="12" t="n"/>
      <c r="E250" s="13" t="n"/>
      <c r="F250" s="14">
        <f>IF(C250="","",N(D250)*N(E250))</f>
        <v/>
      </c>
    </row>
    <row r="251" ht="21" customHeight="1">
      <c r="A251" s="9">
        <f>IF(C251="","",IF(COUNTIF('الفواتير'!$D$7:$D$206,B251)=0,"⛔",ROW()-6))</f>
        <v/>
      </c>
      <c r="B251" s="12" t="n"/>
      <c r="C251" s="10" t="n"/>
      <c r="D251" s="12" t="n"/>
      <c r="E251" s="13" t="n"/>
      <c r="F251" s="14">
        <f>IF(C251="","",N(D251)*N(E251))</f>
        <v/>
      </c>
    </row>
    <row r="252" ht="21" customHeight="1">
      <c r="A252" s="9">
        <f>IF(C252="","",IF(COUNTIF('الفواتير'!$D$7:$D$206,B252)=0,"⛔",ROW()-6))</f>
        <v/>
      </c>
      <c r="B252" s="12" t="n"/>
      <c r="C252" s="10" t="n"/>
      <c r="D252" s="12" t="n"/>
      <c r="E252" s="13" t="n"/>
      <c r="F252" s="14">
        <f>IF(C252="","",N(D252)*N(E252))</f>
        <v/>
      </c>
    </row>
    <row r="253" ht="21" customHeight="1">
      <c r="A253" s="9">
        <f>IF(C253="","",IF(COUNTIF('الفواتير'!$D$7:$D$206,B253)=0,"⛔",ROW()-6))</f>
        <v/>
      </c>
      <c r="B253" s="12" t="n"/>
      <c r="C253" s="10" t="n"/>
      <c r="D253" s="12" t="n"/>
      <c r="E253" s="13" t="n"/>
      <c r="F253" s="14">
        <f>IF(C253="","",N(D253)*N(E253))</f>
        <v/>
      </c>
    </row>
    <row r="254" ht="21" customHeight="1">
      <c r="A254" s="9">
        <f>IF(C254="","",IF(COUNTIF('الفواتير'!$D$7:$D$206,B254)=0,"⛔",ROW()-6))</f>
        <v/>
      </c>
      <c r="B254" s="12" t="n"/>
      <c r="C254" s="10" t="n"/>
      <c r="D254" s="12" t="n"/>
      <c r="E254" s="13" t="n"/>
      <c r="F254" s="14">
        <f>IF(C254="","",N(D254)*N(E254))</f>
        <v/>
      </c>
    </row>
    <row r="255" ht="21" customHeight="1">
      <c r="A255" s="9">
        <f>IF(C255="","",IF(COUNTIF('الفواتير'!$D$7:$D$206,B255)=0,"⛔",ROW()-6))</f>
        <v/>
      </c>
      <c r="B255" s="12" t="n"/>
      <c r="C255" s="10" t="n"/>
      <c r="D255" s="12" t="n"/>
      <c r="E255" s="13" t="n"/>
      <c r="F255" s="14">
        <f>IF(C255="","",N(D255)*N(E255))</f>
        <v/>
      </c>
    </row>
    <row r="256" ht="21" customHeight="1">
      <c r="A256" s="9">
        <f>IF(C256="","",IF(COUNTIF('الفواتير'!$D$7:$D$206,B256)=0,"⛔",ROW()-6))</f>
        <v/>
      </c>
      <c r="B256" s="12" t="n"/>
      <c r="C256" s="10" t="n"/>
      <c r="D256" s="12" t="n"/>
      <c r="E256" s="13" t="n"/>
      <c r="F256" s="14">
        <f>IF(C256="","",N(D256)*N(E256))</f>
        <v/>
      </c>
    </row>
    <row r="257" ht="21" customHeight="1">
      <c r="A257" s="9">
        <f>IF(C257="","",IF(COUNTIF('الفواتير'!$D$7:$D$206,B257)=0,"⛔",ROW()-6))</f>
        <v/>
      </c>
      <c r="B257" s="12" t="n"/>
      <c r="C257" s="10" t="n"/>
      <c r="D257" s="12" t="n"/>
      <c r="E257" s="13" t="n"/>
      <c r="F257" s="14">
        <f>IF(C257="","",N(D257)*N(E257))</f>
        <v/>
      </c>
    </row>
    <row r="258" ht="21" customHeight="1">
      <c r="A258" s="9">
        <f>IF(C258="","",IF(COUNTIF('الفواتير'!$D$7:$D$206,B258)=0,"⛔",ROW()-6))</f>
        <v/>
      </c>
      <c r="B258" s="12" t="n"/>
      <c r="C258" s="10" t="n"/>
      <c r="D258" s="12" t="n"/>
      <c r="E258" s="13" t="n"/>
      <c r="F258" s="14">
        <f>IF(C258="","",N(D258)*N(E258))</f>
        <v/>
      </c>
    </row>
    <row r="259" ht="21" customHeight="1">
      <c r="A259" s="9">
        <f>IF(C259="","",IF(COUNTIF('الفواتير'!$D$7:$D$206,B259)=0,"⛔",ROW()-6))</f>
        <v/>
      </c>
      <c r="B259" s="12" t="n"/>
      <c r="C259" s="10" t="n"/>
      <c r="D259" s="12" t="n"/>
      <c r="E259" s="13" t="n"/>
      <c r="F259" s="14">
        <f>IF(C259="","",N(D259)*N(E259))</f>
        <v/>
      </c>
    </row>
    <row r="260" ht="21" customHeight="1">
      <c r="A260" s="9">
        <f>IF(C260="","",IF(COUNTIF('الفواتير'!$D$7:$D$206,B260)=0,"⛔",ROW()-6))</f>
        <v/>
      </c>
      <c r="B260" s="12" t="n"/>
      <c r="C260" s="10" t="n"/>
      <c r="D260" s="12" t="n"/>
      <c r="E260" s="13" t="n"/>
      <c r="F260" s="14">
        <f>IF(C260="","",N(D260)*N(E260))</f>
        <v/>
      </c>
    </row>
    <row r="261" ht="21" customHeight="1">
      <c r="A261" s="9">
        <f>IF(C261="","",IF(COUNTIF('الفواتير'!$D$7:$D$206,B261)=0,"⛔",ROW()-6))</f>
        <v/>
      </c>
      <c r="B261" s="12" t="n"/>
      <c r="C261" s="10" t="n"/>
      <c r="D261" s="12" t="n"/>
      <c r="E261" s="13" t="n"/>
      <c r="F261" s="14">
        <f>IF(C261="","",N(D261)*N(E261))</f>
        <v/>
      </c>
    </row>
    <row r="262" ht="21" customHeight="1">
      <c r="A262" s="9">
        <f>IF(C262="","",IF(COUNTIF('الفواتير'!$D$7:$D$206,B262)=0,"⛔",ROW()-6))</f>
        <v/>
      </c>
      <c r="B262" s="12" t="n"/>
      <c r="C262" s="10" t="n"/>
      <c r="D262" s="12" t="n"/>
      <c r="E262" s="13" t="n"/>
      <c r="F262" s="14">
        <f>IF(C262="","",N(D262)*N(E262))</f>
        <v/>
      </c>
    </row>
    <row r="263" ht="21" customHeight="1">
      <c r="A263" s="9">
        <f>IF(C263="","",IF(COUNTIF('الفواتير'!$D$7:$D$206,B263)=0,"⛔",ROW()-6))</f>
        <v/>
      </c>
      <c r="B263" s="12" t="n"/>
      <c r="C263" s="10" t="n"/>
      <c r="D263" s="12" t="n"/>
      <c r="E263" s="13" t="n"/>
      <c r="F263" s="14">
        <f>IF(C263="","",N(D263)*N(E263))</f>
        <v/>
      </c>
    </row>
    <row r="264" ht="21" customHeight="1">
      <c r="A264" s="9">
        <f>IF(C264="","",IF(COUNTIF('الفواتير'!$D$7:$D$206,B264)=0,"⛔",ROW()-6))</f>
        <v/>
      </c>
      <c r="B264" s="12" t="n"/>
      <c r="C264" s="10" t="n"/>
      <c r="D264" s="12" t="n"/>
      <c r="E264" s="13" t="n"/>
      <c r="F264" s="14">
        <f>IF(C264="","",N(D264)*N(E264))</f>
        <v/>
      </c>
    </row>
    <row r="265" ht="21" customHeight="1">
      <c r="A265" s="9">
        <f>IF(C265="","",IF(COUNTIF('الفواتير'!$D$7:$D$206,B265)=0,"⛔",ROW()-6))</f>
        <v/>
      </c>
      <c r="B265" s="12" t="n"/>
      <c r="C265" s="10" t="n"/>
      <c r="D265" s="12" t="n"/>
      <c r="E265" s="13" t="n"/>
      <c r="F265" s="14">
        <f>IF(C265="","",N(D265)*N(E265))</f>
        <v/>
      </c>
    </row>
    <row r="266" ht="21" customHeight="1">
      <c r="A266" s="9">
        <f>IF(C266="","",IF(COUNTIF('الفواتير'!$D$7:$D$206,B266)=0,"⛔",ROW()-6))</f>
        <v/>
      </c>
      <c r="B266" s="12" t="n"/>
      <c r="C266" s="10" t="n"/>
      <c r="D266" s="12" t="n"/>
      <c r="E266" s="13" t="n"/>
      <c r="F266" s="14">
        <f>IF(C266="","",N(D266)*N(E266))</f>
        <v/>
      </c>
    </row>
    <row r="267" ht="21" customHeight="1">
      <c r="A267" s="9">
        <f>IF(C267="","",IF(COUNTIF('الفواتير'!$D$7:$D$206,B267)=0,"⛔",ROW()-6))</f>
        <v/>
      </c>
      <c r="B267" s="12" t="n"/>
      <c r="C267" s="10" t="n"/>
      <c r="D267" s="12" t="n"/>
      <c r="E267" s="13" t="n"/>
      <c r="F267" s="14">
        <f>IF(C267="","",N(D267)*N(E267))</f>
        <v/>
      </c>
    </row>
    <row r="268" ht="21" customHeight="1">
      <c r="A268" s="9">
        <f>IF(C268="","",IF(COUNTIF('الفواتير'!$D$7:$D$206,B268)=0,"⛔",ROW()-6))</f>
        <v/>
      </c>
      <c r="B268" s="12" t="n"/>
      <c r="C268" s="10" t="n"/>
      <c r="D268" s="12" t="n"/>
      <c r="E268" s="13" t="n"/>
      <c r="F268" s="14">
        <f>IF(C268="","",N(D268)*N(E268))</f>
        <v/>
      </c>
    </row>
    <row r="269" ht="21" customHeight="1">
      <c r="A269" s="9">
        <f>IF(C269="","",IF(COUNTIF('الفواتير'!$D$7:$D$206,B269)=0,"⛔",ROW()-6))</f>
        <v/>
      </c>
      <c r="B269" s="12" t="n"/>
      <c r="C269" s="10" t="n"/>
      <c r="D269" s="12" t="n"/>
      <c r="E269" s="13" t="n"/>
      <c r="F269" s="14">
        <f>IF(C269="","",N(D269)*N(E269))</f>
        <v/>
      </c>
    </row>
    <row r="270" ht="21" customHeight="1">
      <c r="A270" s="9">
        <f>IF(C270="","",IF(COUNTIF('الفواتير'!$D$7:$D$206,B270)=0,"⛔",ROW()-6))</f>
        <v/>
      </c>
      <c r="B270" s="12" t="n"/>
      <c r="C270" s="10" t="n"/>
      <c r="D270" s="12" t="n"/>
      <c r="E270" s="13" t="n"/>
      <c r="F270" s="14">
        <f>IF(C270="","",N(D270)*N(E270))</f>
        <v/>
      </c>
    </row>
    <row r="271" ht="21" customHeight="1">
      <c r="A271" s="9">
        <f>IF(C271="","",IF(COUNTIF('الفواتير'!$D$7:$D$206,B271)=0,"⛔",ROW()-6))</f>
        <v/>
      </c>
      <c r="B271" s="12" t="n"/>
      <c r="C271" s="10" t="n"/>
      <c r="D271" s="12" t="n"/>
      <c r="E271" s="13" t="n"/>
      <c r="F271" s="14">
        <f>IF(C271="","",N(D271)*N(E271))</f>
        <v/>
      </c>
    </row>
    <row r="272" ht="21" customHeight="1">
      <c r="A272" s="9">
        <f>IF(C272="","",IF(COUNTIF('الفواتير'!$D$7:$D$206,B272)=0,"⛔",ROW()-6))</f>
        <v/>
      </c>
      <c r="B272" s="12" t="n"/>
      <c r="C272" s="10" t="n"/>
      <c r="D272" s="12" t="n"/>
      <c r="E272" s="13" t="n"/>
      <c r="F272" s="14">
        <f>IF(C272="","",N(D272)*N(E272))</f>
        <v/>
      </c>
    </row>
    <row r="273" ht="21" customHeight="1">
      <c r="A273" s="9">
        <f>IF(C273="","",IF(COUNTIF('الفواتير'!$D$7:$D$206,B273)=0,"⛔",ROW()-6))</f>
        <v/>
      </c>
      <c r="B273" s="12" t="n"/>
      <c r="C273" s="10" t="n"/>
      <c r="D273" s="12" t="n"/>
      <c r="E273" s="13" t="n"/>
      <c r="F273" s="14">
        <f>IF(C273="","",N(D273)*N(E273))</f>
        <v/>
      </c>
    </row>
    <row r="274" ht="21" customHeight="1">
      <c r="A274" s="9">
        <f>IF(C274="","",IF(COUNTIF('الفواتير'!$D$7:$D$206,B274)=0,"⛔",ROW()-6))</f>
        <v/>
      </c>
      <c r="B274" s="12" t="n"/>
      <c r="C274" s="10" t="n"/>
      <c r="D274" s="12" t="n"/>
      <c r="E274" s="13" t="n"/>
      <c r="F274" s="14">
        <f>IF(C274="","",N(D274)*N(E274))</f>
        <v/>
      </c>
    </row>
    <row r="275" ht="21" customHeight="1">
      <c r="A275" s="9">
        <f>IF(C275="","",IF(COUNTIF('الفواتير'!$D$7:$D$206,B275)=0,"⛔",ROW()-6))</f>
        <v/>
      </c>
      <c r="B275" s="12" t="n"/>
      <c r="C275" s="10" t="n"/>
      <c r="D275" s="12" t="n"/>
      <c r="E275" s="13" t="n"/>
      <c r="F275" s="14">
        <f>IF(C275="","",N(D275)*N(E275))</f>
        <v/>
      </c>
    </row>
    <row r="276" ht="21" customHeight="1">
      <c r="A276" s="9">
        <f>IF(C276="","",IF(COUNTIF('الفواتير'!$D$7:$D$206,B276)=0,"⛔",ROW()-6))</f>
        <v/>
      </c>
      <c r="B276" s="12" t="n"/>
      <c r="C276" s="10" t="n"/>
      <c r="D276" s="12" t="n"/>
      <c r="E276" s="13" t="n"/>
      <c r="F276" s="14">
        <f>IF(C276="","",N(D276)*N(E276))</f>
        <v/>
      </c>
    </row>
    <row r="277" ht="21" customHeight="1">
      <c r="A277" s="9">
        <f>IF(C277="","",IF(COUNTIF('الفواتير'!$D$7:$D$206,B277)=0,"⛔",ROW()-6))</f>
        <v/>
      </c>
      <c r="B277" s="12" t="n"/>
      <c r="C277" s="10" t="n"/>
      <c r="D277" s="12" t="n"/>
      <c r="E277" s="13" t="n"/>
      <c r="F277" s="14">
        <f>IF(C277="","",N(D277)*N(E277))</f>
        <v/>
      </c>
    </row>
    <row r="278" ht="21" customHeight="1">
      <c r="A278" s="9">
        <f>IF(C278="","",IF(COUNTIF('الفواتير'!$D$7:$D$206,B278)=0,"⛔",ROW()-6))</f>
        <v/>
      </c>
      <c r="B278" s="12" t="n"/>
      <c r="C278" s="10" t="n"/>
      <c r="D278" s="12" t="n"/>
      <c r="E278" s="13" t="n"/>
      <c r="F278" s="14">
        <f>IF(C278="","",N(D278)*N(E278))</f>
        <v/>
      </c>
    </row>
    <row r="279" ht="21" customHeight="1">
      <c r="A279" s="9">
        <f>IF(C279="","",IF(COUNTIF('الفواتير'!$D$7:$D$206,B279)=0,"⛔",ROW()-6))</f>
        <v/>
      </c>
      <c r="B279" s="12" t="n"/>
      <c r="C279" s="10" t="n"/>
      <c r="D279" s="12" t="n"/>
      <c r="E279" s="13" t="n"/>
      <c r="F279" s="14">
        <f>IF(C279="","",N(D279)*N(E279))</f>
        <v/>
      </c>
    </row>
    <row r="280" ht="21" customHeight="1">
      <c r="A280" s="9">
        <f>IF(C280="","",IF(COUNTIF('الفواتير'!$D$7:$D$206,B280)=0,"⛔",ROW()-6))</f>
        <v/>
      </c>
      <c r="B280" s="12" t="n"/>
      <c r="C280" s="10" t="n"/>
      <c r="D280" s="12" t="n"/>
      <c r="E280" s="13" t="n"/>
      <c r="F280" s="14">
        <f>IF(C280="","",N(D280)*N(E280))</f>
        <v/>
      </c>
    </row>
    <row r="281" ht="21" customHeight="1">
      <c r="A281" s="9">
        <f>IF(C281="","",IF(COUNTIF('الفواتير'!$D$7:$D$206,B281)=0,"⛔",ROW()-6))</f>
        <v/>
      </c>
      <c r="B281" s="12" t="n"/>
      <c r="C281" s="10" t="n"/>
      <c r="D281" s="12" t="n"/>
      <c r="E281" s="13" t="n"/>
      <c r="F281" s="14">
        <f>IF(C281="","",N(D281)*N(E281))</f>
        <v/>
      </c>
    </row>
    <row r="282" ht="21" customHeight="1">
      <c r="A282" s="9">
        <f>IF(C282="","",IF(COUNTIF('الفواتير'!$D$7:$D$206,B282)=0,"⛔",ROW()-6))</f>
        <v/>
      </c>
      <c r="B282" s="12" t="n"/>
      <c r="C282" s="10" t="n"/>
      <c r="D282" s="12" t="n"/>
      <c r="E282" s="13" t="n"/>
      <c r="F282" s="14">
        <f>IF(C282="","",N(D282)*N(E282))</f>
        <v/>
      </c>
    </row>
    <row r="283" ht="21" customHeight="1">
      <c r="A283" s="9">
        <f>IF(C283="","",IF(COUNTIF('الفواتير'!$D$7:$D$206,B283)=0,"⛔",ROW()-6))</f>
        <v/>
      </c>
      <c r="B283" s="12" t="n"/>
      <c r="C283" s="10" t="n"/>
      <c r="D283" s="12" t="n"/>
      <c r="E283" s="13" t="n"/>
      <c r="F283" s="14">
        <f>IF(C283="","",N(D283)*N(E283))</f>
        <v/>
      </c>
    </row>
    <row r="284" ht="21" customHeight="1">
      <c r="A284" s="9">
        <f>IF(C284="","",IF(COUNTIF('الفواتير'!$D$7:$D$206,B284)=0,"⛔",ROW()-6))</f>
        <v/>
      </c>
      <c r="B284" s="12" t="n"/>
      <c r="C284" s="10" t="n"/>
      <c r="D284" s="12" t="n"/>
      <c r="E284" s="13" t="n"/>
      <c r="F284" s="14">
        <f>IF(C284="","",N(D284)*N(E284))</f>
        <v/>
      </c>
    </row>
    <row r="285" ht="21" customHeight="1">
      <c r="A285" s="9">
        <f>IF(C285="","",IF(COUNTIF('الفواتير'!$D$7:$D$206,B285)=0,"⛔",ROW()-6))</f>
        <v/>
      </c>
      <c r="B285" s="12" t="n"/>
      <c r="C285" s="10" t="n"/>
      <c r="D285" s="12" t="n"/>
      <c r="E285" s="13" t="n"/>
      <c r="F285" s="14">
        <f>IF(C285="","",N(D285)*N(E285))</f>
        <v/>
      </c>
    </row>
    <row r="286" ht="21" customHeight="1">
      <c r="A286" s="9">
        <f>IF(C286="","",IF(COUNTIF('الفواتير'!$D$7:$D$206,B286)=0,"⛔",ROW()-6))</f>
        <v/>
      </c>
      <c r="B286" s="12" t="n"/>
      <c r="C286" s="10" t="n"/>
      <c r="D286" s="12" t="n"/>
      <c r="E286" s="13" t="n"/>
      <c r="F286" s="14">
        <f>IF(C286="","",N(D286)*N(E286))</f>
        <v/>
      </c>
    </row>
    <row r="287" ht="21" customHeight="1">
      <c r="A287" s="9">
        <f>IF(C287="","",IF(COUNTIF('الفواتير'!$D$7:$D$206,B287)=0,"⛔",ROW()-6))</f>
        <v/>
      </c>
      <c r="B287" s="12" t="n"/>
      <c r="C287" s="10" t="n"/>
      <c r="D287" s="12" t="n"/>
      <c r="E287" s="13" t="n"/>
      <c r="F287" s="14">
        <f>IF(C287="","",N(D287)*N(E287))</f>
        <v/>
      </c>
    </row>
    <row r="288" ht="21" customHeight="1">
      <c r="A288" s="9">
        <f>IF(C288="","",IF(COUNTIF('الفواتير'!$D$7:$D$206,B288)=0,"⛔",ROW()-6))</f>
        <v/>
      </c>
      <c r="B288" s="12" t="n"/>
      <c r="C288" s="10" t="n"/>
      <c r="D288" s="12" t="n"/>
      <c r="E288" s="13" t="n"/>
      <c r="F288" s="14">
        <f>IF(C288="","",N(D288)*N(E288))</f>
        <v/>
      </c>
    </row>
    <row r="289" ht="21" customHeight="1">
      <c r="A289" s="9">
        <f>IF(C289="","",IF(COUNTIF('الفواتير'!$D$7:$D$206,B289)=0,"⛔",ROW()-6))</f>
        <v/>
      </c>
      <c r="B289" s="12" t="n"/>
      <c r="C289" s="10" t="n"/>
      <c r="D289" s="12" t="n"/>
      <c r="E289" s="13" t="n"/>
      <c r="F289" s="14">
        <f>IF(C289="","",N(D289)*N(E289))</f>
        <v/>
      </c>
    </row>
    <row r="290" ht="21" customHeight="1">
      <c r="A290" s="9">
        <f>IF(C290="","",IF(COUNTIF('الفواتير'!$D$7:$D$206,B290)=0,"⛔",ROW()-6))</f>
        <v/>
      </c>
      <c r="B290" s="12" t="n"/>
      <c r="C290" s="10" t="n"/>
      <c r="D290" s="12" t="n"/>
      <c r="E290" s="13" t="n"/>
      <c r="F290" s="14">
        <f>IF(C290="","",N(D290)*N(E290))</f>
        <v/>
      </c>
    </row>
    <row r="291" ht="21" customHeight="1">
      <c r="A291" s="9">
        <f>IF(C291="","",IF(COUNTIF('الفواتير'!$D$7:$D$206,B291)=0,"⛔",ROW()-6))</f>
        <v/>
      </c>
      <c r="B291" s="12" t="n"/>
      <c r="C291" s="10" t="n"/>
      <c r="D291" s="12" t="n"/>
      <c r="E291" s="13" t="n"/>
      <c r="F291" s="14">
        <f>IF(C291="","",N(D291)*N(E291))</f>
        <v/>
      </c>
    </row>
    <row r="292" ht="21" customHeight="1">
      <c r="A292" s="9">
        <f>IF(C292="","",IF(COUNTIF('الفواتير'!$D$7:$D$206,B292)=0,"⛔",ROW()-6))</f>
        <v/>
      </c>
      <c r="B292" s="12" t="n"/>
      <c r="C292" s="10" t="n"/>
      <c r="D292" s="12" t="n"/>
      <c r="E292" s="13" t="n"/>
      <c r="F292" s="14">
        <f>IF(C292="","",N(D292)*N(E292))</f>
        <v/>
      </c>
    </row>
    <row r="293" ht="21" customHeight="1">
      <c r="A293" s="9">
        <f>IF(C293="","",IF(COUNTIF('الفواتير'!$D$7:$D$206,B293)=0,"⛔",ROW()-6))</f>
        <v/>
      </c>
      <c r="B293" s="12" t="n"/>
      <c r="C293" s="10" t="n"/>
      <c r="D293" s="12" t="n"/>
      <c r="E293" s="13" t="n"/>
      <c r="F293" s="14">
        <f>IF(C293="","",N(D293)*N(E293))</f>
        <v/>
      </c>
    </row>
    <row r="294" ht="21" customHeight="1">
      <c r="A294" s="9">
        <f>IF(C294="","",IF(COUNTIF('الفواتير'!$D$7:$D$206,B294)=0,"⛔",ROW()-6))</f>
        <v/>
      </c>
      <c r="B294" s="12" t="n"/>
      <c r="C294" s="10" t="n"/>
      <c r="D294" s="12" t="n"/>
      <c r="E294" s="13" t="n"/>
      <c r="F294" s="14">
        <f>IF(C294="","",N(D294)*N(E294))</f>
        <v/>
      </c>
    </row>
    <row r="295" ht="21" customHeight="1">
      <c r="A295" s="9">
        <f>IF(C295="","",IF(COUNTIF('الفواتير'!$D$7:$D$206,B295)=0,"⛔",ROW()-6))</f>
        <v/>
      </c>
      <c r="B295" s="12" t="n"/>
      <c r="C295" s="10" t="n"/>
      <c r="D295" s="12" t="n"/>
      <c r="E295" s="13" t="n"/>
      <c r="F295" s="14">
        <f>IF(C295="","",N(D295)*N(E295))</f>
        <v/>
      </c>
    </row>
    <row r="296" ht="21" customHeight="1">
      <c r="A296" s="9">
        <f>IF(C296="","",IF(COUNTIF('الفواتير'!$D$7:$D$206,B296)=0,"⛔",ROW()-6))</f>
        <v/>
      </c>
      <c r="B296" s="12" t="n"/>
      <c r="C296" s="10" t="n"/>
      <c r="D296" s="12" t="n"/>
      <c r="E296" s="13" t="n"/>
      <c r="F296" s="14">
        <f>IF(C296="","",N(D296)*N(E296))</f>
        <v/>
      </c>
    </row>
    <row r="297" ht="21" customHeight="1">
      <c r="A297" s="9">
        <f>IF(C297="","",IF(COUNTIF('الفواتير'!$D$7:$D$206,B297)=0,"⛔",ROW()-6))</f>
        <v/>
      </c>
      <c r="B297" s="12" t="n"/>
      <c r="C297" s="10" t="n"/>
      <c r="D297" s="12" t="n"/>
      <c r="E297" s="13" t="n"/>
      <c r="F297" s="14">
        <f>IF(C297="","",N(D297)*N(E297))</f>
        <v/>
      </c>
    </row>
    <row r="298" ht="21" customHeight="1">
      <c r="A298" s="9">
        <f>IF(C298="","",IF(COUNTIF('الفواتير'!$D$7:$D$206,B298)=0,"⛔",ROW()-6))</f>
        <v/>
      </c>
      <c r="B298" s="12" t="n"/>
      <c r="C298" s="10" t="n"/>
      <c r="D298" s="12" t="n"/>
      <c r="E298" s="13" t="n"/>
      <c r="F298" s="14">
        <f>IF(C298="","",N(D298)*N(E298))</f>
        <v/>
      </c>
    </row>
    <row r="299" ht="21" customHeight="1">
      <c r="A299" s="9">
        <f>IF(C299="","",IF(COUNTIF('الفواتير'!$D$7:$D$206,B299)=0,"⛔",ROW()-6))</f>
        <v/>
      </c>
      <c r="B299" s="12" t="n"/>
      <c r="C299" s="10" t="n"/>
      <c r="D299" s="12" t="n"/>
      <c r="E299" s="13" t="n"/>
      <c r="F299" s="14">
        <f>IF(C299="","",N(D299)*N(E299))</f>
        <v/>
      </c>
    </row>
    <row r="300" ht="21" customHeight="1">
      <c r="A300" s="9">
        <f>IF(C300="","",IF(COUNTIF('الفواتير'!$D$7:$D$206,B300)=0,"⛔",ROW()-6))</f>
        <v/>
      </c>
      <c r="B300" s="12" t="n"/>
      <c r="C300" s="10" t="n"/>
      <c r="D300" s="12" t="n"/>
      <c r="E300" s="13" t="n"/>
      <c r="F300" s="14">
        <f>IF(C300="","",N(D300)*N(E300))</f>
        <v/>
      </c>
    </row>
    <row r="301" ht="21" customHeight="1">
      <c r="A301" s="9">
        <f>IF(C301="","",IF(COUNTIF('الفواتير'!$D$7:$D$206,B301)=0,"⛔",ROW()-6))</f>
        <v/>
      </c>
      <c r="B301" s="12" t="n"/>
      <c r="C301" s="10" t="n"/>
      <c r="D301" s="12" t="n"/>
      <c r="E301" s="13" t="n"/>
      <c r="F301" s="14">
        <f>IF(C301="","",N(D301)*N(E301))</f>
        <v/>
      </c>
    </row>
    <row r="302" ht="21" customHeight="1">
      <c r="A302" s="9">
        <f>IF(C302="","",IF(COUNTIF('الفواتير'!$D$7:$D$206,B302)=0,"⛔",ROW()-6))</f>
        <v/>
      </c>
      <c r="B302" s="12" t="n"/>
      <c r="C302" s="10" t="n"/>
      <c r="D302" s="12" t="n"/>
      <c r="E302" s="13" t="n"/>
      <c r="F302" s="14">
        <f>IF(C302="","",N(D302)*N(E302))</f>
        <v/>
      </c>
    </row>
    <row r="303" ht="21" customHeight="1">
      <c r="A303" s="9">
        <f>IF(C303="","",IF(COUNTIF('الفواتير'!$D$7:$D$206,B303)=0,"⛔",ROW()-6))</f>
        <v/>
      </c>
      <c r="B303" s="12" t="n"/>
      <c r="C303" s="10" t="n"/>
      <c r="D303" s="12" t="n"/>
      <c r="E303" s="13" t="n"/>
      <c r="F303" s="14">
        <f>IF(C303="","",N(D303)*N(E303))</f>
        <v/>
      </c>
    </row>
    <row r="304" ht="21" customHeight="1">
      <c r="A304" s="9">
        <f>IF(C304="","",IF(COUNTIF('الفواتير'!$D$7:$D$206,B304)=0,"⛔",ROW()-6))</f>
        <v/>
      </c>
      <c r="B304" s="12" t="n"/>
      <c r="C304" s="10" t="n"/>
      <c r="D304" s="12" t="n"/>
      <c r="E304" s="13" t="n"/>
      <c r="F304" s="14">
        <f>IF(C304="","",N(D304)*N(E304))</f>
        <v/>
      </c>
    </row>
    <row r="305" ht="21" customHeight="1">
      <c r="A305" s="9">
        <f>IF(C305="","",IF(COUNTIF('الفواتير'!$D$7:$D$206,B305)=0,"⛔",ROW()-6))</f>
        <v/>
      </c>
      <c r="B305" s="12" t="n"/>
      <c r="C305" s="10" t="n"/>
      <c r="D305" s="12" t="n"/>
      <c r="E305" s="13" t="n"/>
      <c r="F305" s="14">
        <f>IF(C305="","",N(D305)*N(E305))</f>
        <v/>
      </c>
    </row>
    <row r="306" ht="21" customHeight="1">
      <c r="A306" s="9">
        <f>IF(C306="","",IF(COUNTIF('الفواتير'!$D$7:$D$206,B306)=0,"⛔",ROW()-6))</f>
        <v/>
      </c>
      <c r="B306" s="12" t="n"/>
      <c r="C306" s="10" t="n"/>
      <c r="D306" s="12" t="n"/>
      <c r="E306" s="13" t="n"/>
      <c r="F306" s="14">
        <f>IF(C306="","",N(D306)*N(E306))</f>
        <v/>
      </c>
    </row>
    <row r="307" ht="21" customHeight="1">
      <c r="A307" s="9">
        <f>IF(C307="","",IF(COUNTIF('الفواتير'!$D$7:$D$206,B307)=0,"⛔",ROW()-6))</f>
        <v/>
      </c>
      <c r="B307" s="12" t="n"/>
      <c r="C307" s="10" t="n"/>
      <c r="D307" s="12" t="n"/>
      <c r="E307" s="13" t="n"/>
      <c r="F307" s="14">
        <f>IF(C307="","",N(D307)*N(E307))</f>
        <v/>
      </c>
    </row>
    <row r="308" ht="21" customHeight="1">
      <c r="A308" s="9">
        <f>IF(C308="","",IF(COUNTIF('الفواتير'!$D$7:$D$206,B308)=0,"⛔",ROW()-6))</f>
        <v/>
      </c>
      <c r="B308" s="12" t="n"/>
      <c r="C308" s="10" t="n"/>
      <c r="D308" s="12" t="n"/>
      <c r="E308" s="13" t="n"/>
      <c r="F308" s="14">
        <f>IF(C308="","",N(D308)*N(E308))</f>
        <v/>
      </c>
    </row>
    <row r="309" ht="21" customHeight="1">
      <c r="A309" s="9">
        <f>IF(C309="","",IF(COUNTIF('الفواتير'!$D$7:$D$206,B309)=0,"⛔",ROW()-6))</f>
        <v/>
      </c>
      <c r="B309" s="12" t="n"/>
      <c r="C309" s="10" t="n"/>
      <c r="D309" s="12" t="n"/>
      <c r="E309" s="13" t="n"/>
      <c r="F309" s="14">
        <f>IF(C309="","",N(D309)*N(E309))</f>
        <v/>
      </c>
    </row>
    <row r="310" ht="21" customHeight="1">
      <c r="A310" s="9">
        <f>IF(C310="","",IF(COUNTIF('الفواتير'!$D$7:$D$206,B310)=0,"⛔",ROW()-6))</f>
        <v/>
      </c>
      <c r="B310" s="12" t="n"/>
      <c r="C310" s="10" t="n"/>
      <c r="D310" s="12" t="n"/>
      <c r="E310" s="13" t="n"/>
      <c r="F310" s="14">
        <f>IF(C310="","",N(D310)*N(E310))</f>
        <v/>
      </c>
    </row>
    <row r="311" ht="21" customHeight="1">
      <c r="A311" s="9">
        <f>IF(C311="","",IF(COUNTIF('الفواتير'!$D$7:$D$206,B311)=0,"⛔",ROW()-6))</f>
        <v/>
      </c>
      <c r="B311" s="12" t="n"/>
      <c r="C311" s="10" t="n"/>
      <c r="D311" s="12" t="n"/>
      <c r="E311" s="13" t="n"/>
      <c r="F311" s="14">
        <f>IF(C311="","",N(D311)*N(E311))</f>
        <v/>
      </c>
    </row>
    <row r="312" ht="21" customHeight="1">
      <c r="A312" s="9">
        <f>IF(C312="","",IF(COUNTIF('الفواتير'!$D$7:$D$206,B312)=0,"⛔",ROW()-6))</f>
        <v/>
      </c>
      <c r="B312" s="12" t="n"/>
      <c r="C312" s="10" t="n"/>
      <c r="D312" s="12" t="n"/>
      <c r="E312" s="13" t="n"/>
      <c r="F312" s="14">
        <f>IF(C312="","",N(D312)*N(E312))</f>
        <v/>
      </c>
    </row>
    <row r="313" ht="21" customHeight="1">
      <c r="A313" s="9">
        <f>IF(C313="","",IF(COUNTIF('الفواتير'!$D$7:$D$206,B313)=0,"⛔",ROW()-6))</f>
        <v/>
      </c>
      <c r="B313" s="12" t="n"/>
      <c r="C313" s="10" t="n"/>
      <c r="D313" s="12" t="n"/>
      <c r="E313" s="13" t="n"/>
      <c r="F313" s="14">
        <f>IF(C313="","",N(D313)*N(E313))</f>
        <v/>
      </c>
    </row>
    <row r="314" ht="21" customHeight="1">
      <c r="A314" s="9">
        <f>IF(C314="","",IF(COUNTIF('الفواتير'!$D$7:$D$206,B314)=0,"⛔",ROW()-6))</f>
        <v/>
      </c>
      <c r="B314" s="12" t="n"/>
      <c r="C314" s="10" t="n"/>
      <c r="D314" s="12" t="n"/>
      <c r="E314" s="13" t="n"/>
      <c r="F314" s="14">
        <f>IF(C314="","",N(D314)*N(E314))</f>
        <v/>
      </c>
    </row>
    <row r="315" ht="21" customHeight="1">
      <c r="A315" s="9">
        <f>IF(C315="","",IF(COUNTIF('الفواتير'!$D$7:$D$206,B315)=0,"⛔",ROW()-6))</f>
        <v/>
      </c>
      <c r="B315" s="12" t="n"/>
      <c r="C315" s="10" t="n"/>
      <c r="D315" s="12" t="n"/>
      <c r="E315" s="13" t="n"/>
      <c r="F315" s="14">
        <f>IF(C315="","",N(D315)*N(E315))</f>
        <v/>
      </c>
    </row>
    <row r="316" ht="21" customHeight="1">
      <c r="A316" s="9">
        <f>IF(C316="","",IF(COUNTIF('الفواتير'!$D$7:$D$206,B316)=0,"⛔",ROW()-6))</f>
        <v/>
      </c>
      <c r="B316" s="12" t="n"/>
      <c r="C316" s="10" t="n"/>
      <c r="D316" s="12" t="n"/>
      <c r="E316" s="13" t="n"/>
      <c r="F316" s="14">
        <f>IF(C316="","",N(D316)*N(E316))</f>
        <v/>
      </c>
    </row>
    <row r="317" ht="21" customHeight="1">
      <c r="A317" s="9">
        <f>IF(C317="","",IF(COUNTIF('الفواتير'!$D$7:$D$206,B317)=0,"⛔",ROW()-6))</f>
        <v/>
      </c>
      <c r="B317" s="12" t="n"/>
      <c r="C317" s="10" t="n"/>
      <c r="D317" s="12" t="n"/>
      <c r="E317" s="13" t="n"/>
      <c r="F317" s="14">
        <f>IF(C317="","",N(D317)*N(E317))</f>
        <v/>
      </c>
    </row>
    <row r="318" ht="21" customHeight="1">
      <c r="A318" s="9">
        <f>IF(C318="","",IF(COUNTIF('الفواتير'!$D$7:$D$206,B318)=0,"⛔",ROW()-6))</f>
        <v/>
      </c>
      <c r="B318" s="12" t="n"/>
      <c r="C318" s="10" t="n"/>
      <c r="D318" s="12" t="n"/>
      <c r="E318" s="13" t="n"/>
      <c r="F318" s="14">
        <f>IF(C318="","",N(D318)*N(E318))</f>
        <v/>
      </c>
    </row>
    <row r="319" ht="21" customHeight="1">
      <c r="A319" s="9">
        <f>IF(C319="","",IF(COUNTIF('الفواتير'!$D$7:$D$206,B319)=0,"⛔",ROW()-6))</f>
        <v/>
      </c>
      <c r="B319" s="12" t="n"/>
      <c r="C319" s="10" t="n"/>
      <c r="D319" s="12" t="n"/>
      <c r="E319" s="13" t="n"/>
      <c r="F319" s="14">
        <f>IF(C319="","",N(D319)*N(E319))</f>
        <v/>
      </c>
    </row>
    <row r="320" ht="21" customHeight="1">
      <c r="A320" s="9">
        <f>IF(C320="","",IF(COUNTIF('الفواتير'!$D$7:$D$206,B320)=0,"⛔",ROW()-6))</f>
        <v/>
      </c>
      <c r="B320" s="12" t="n"/>
      <c r="C320" s="10" t="n"/>
      <c r="D320" s="12" t="n"/>
      <c r="E320" s="13" t="n"/>
      <c r="F320" s="14">
        <f>IF(C320="","",N(D320)*N(E320))</f>
        <v/>
      </c>
    </row>
    <row r="321" ht="21" customHeight="1">
      <c r="A321" s="9">
        <f>IF(C321="","",IF(COUNTIF('الفواتير'!$D$7:$D$206,B321)=0,"⛔",ROW()-6))</f>
        <v/>
      </c>
      <c r="B321" s="12" t="n"/>
      <c r="C321" s="10" t="n"/>
      <c r="D321" s="12" t="n"/>
      <c r="E321" s="13" t="n"/>
      <c r="F321" s="14">
        <f>IF(C321="","",N(D321)*N(E321))</f>
        <v/>
      </c>
    </row>
    <row r="322" ht="21" customHeight="1">
      <c r="A322" s="9">
        <f>IF(C322="","",IF(COUNTIF('الفواتير'!$D$7:$D$206,B322)=0,"⛔",ROW()-6))</f>
        <v/>
      </c>
      <c r="B322" s="12" t="n"/>
      <c r="C322" s="10" t="n"/>
      <c r="D322" s="12" t="n"/>
      <c r="E322" s="13" t="n"/>
      <c r="F322" s="14">
        <f>IF(C322="","",N(D322)*N(E322))</f>
        <v/>
      </c>
    </row>
    <row r="323" ht="21" customHeight="1">
      <c r="A323" s="9">
        <f>IF(C323="","",IF(COUNTIF('الفواتير'!$D$7:$D$206,B323)=0,"⛔",ROW()-6))</f>
        <v/>
      </c>
      <c r="B323" s="12" t="n"/>
      <c r="C323" s="10" t="n"/>
      <c r="D323" s="12" t="n"/>
      <c r="E323" s="13" t="n"/>
      <c r="F323" s="14">
        <f>IF(C323="","",N(D323)*N(E323))</f>
        <v/>
      </c>
    </row>
    <row r="324" ht="21" customHeight="1">
      <c r="A324" s="9">
        <f>IF(C324="","",IF(COUNTIF('الفواتير'!$D$7:$D$206,B324)=0,"⛔",ROW()-6))</f>
        <v/>
      </c>
      <c r="B324" s="12" t="n"/>
      <c r="C324" s="10" t="n"/>
      <c r="D324" s="12" t="n"/>
      <c r="E324" s="13" t="n"/>
      <c r="F324" s="14">
        <f>IF(C324="","",N(D324)*N(E324))</f>
        <v/>
      </c>
    </row>
    <row r="325" ht="21" customHeight="1">
      <c r="A325" s="9">
        <f>IF(C325="","",IF(COUNTIF('الفواتير'!$D$7:$D$206,B325)=0,"⛔",ROW()-6))</f>
        <v/>
      </c>
      <c r="B325" s="12" t="n"/>
      <c r="C325" s="10" t="n"/>
      <c r="D325" s="12" t="n"/>
      <c r="E325" s="13" t="n"/>
      <c r="F325" s="14">
        <f>IF(C325="","",N(D325)*N(E325))</f>
        <v/>
      </c>
    </row>
    <row r="326" ht="21" customHeight="1">
      <c r="A326" s="9">
        <f>IF(C326="","",IF(COUNTIF('الفواتير'!$D$7:$D$206,B326)=0,"⛔",ROW()-6))</f>
        <v/>
      </c>
      <c r="B326" s="12" t="n"/>
      <c r="C326" s="10" t="n"/>
      <c r="D326" s="12" t="n"/>
      <c r="E326" s="13" t="n"/>
      <c r="F326" s="14">
        <f>IF(C326="","",N(D326)*N(E326))</f>
        <v/>
      </c>
    </row>
    <row r="327" ht="21" customHeight="1">
      <c r="A327" s="9">
        <f>IF(C327="","",IF(COUNTIF('الفواتير'!$D$7:$D$206,B327)=0,"⛔",ROW()-6))</f>
        <v/>
      </c>
      <c r="B327" s="12" t="n"/>
      <c r="C327" s="10" t="n"/>
      <c r="D327" s="12" t="n"/>
      <c r="E327" s="13" t="n"/>
      <c r="F327" s="14">
        <f>IF(C327="","",N(D327)*N(E327))</f>
        <v/>
      </c>
    </row>
    <row r="328" ht="21" customHeight="1">
      <c r="A328" s="9">
        <f>IF(C328="","",IF(COUNTIF('الفواتير'!$D$7:$D$206,B328)=0,"⛔",ROW()-6))</f>
        <v/>
      </c>
      <c r="B328" s="12" t="n"/>
      <c r="C328" s="10" t="n"/>
      <c r="D328" s="12" t="n"/>
      <c r="E328" s="13" t="n"/>
      <c r="F328" s="14">
        <f>IF(C328="","",N(D328)*N(E328))</f>
        <v/>
      </c>
    </row>
    <row r="329" ht="21" customHeight="1">
      <c r="A329" s="9">
        <f>IF(C329="","",IF(COUNTIF('الفواتير'!$D$7:$D$206,B329)=0,"⛔",ROW()-6))</f>
        <v/>
      </c>
      <c r="B329" s="12" t="n"/>
      <c r="C329" s="10" t="n"/>
      <c r="D329" s="12" t="n"/>
      <c r="E329" s="13" t="n"/>
      <c r="F329" s="14">
        <f>IF(C329="","",N(D329)*N(E329))</f>
        <v/>
      </c>
    </row>
    <row r="330" ht="21" customHeight="1">
      <c r="A330" s="9">
        <f>IF(C330="","",IF(COUNTIF('الفواتير'!$D$7:$D$206,B330)=0,"⛔",ROW()-6))</f>
        <v/>
      </c>
      <c r="B330" s="12" t="n"/>
      <c r="C330" s="10" t="n"/>
      <c r="D330" s="12" t="n"/>
      <c r="E330" s="13" t="n"/>
      <c r="F330" s="14">
        <f>IF(C330="","",N(D330)*N(E330))</f>
        <v/>
      </c>
    </row>
    <row r="331" ht="21" customHeight="1">
      <c r="A331" s="9">
        <f>IF(C331="","",IF(COUNTIF('الفواتير'!$D$7:$D$206,B331)=0,"⛔",ROW()-6))</f>
        <v/>
      </c>
      <c r="B331" s="12" t="n"/>
      <c r="C331" s="10" t="n"/>
      <c r="D331" s="12" t="n"/>
      <c r="E331" s="13" t="n"/>
      <c r="F331" s="14">
        <f>IF(C331="","",N(D331)*N(E331))</f>
        <v/>
      </c>
    </row>
    <row r="332" ht="21" customHeight="1">
      <c r="A332" s="9">
        <f>IF(C332="","",IF(COUNTIF('الفواتير'!$D$7:$D$206,B332)=0,"⛔",ROW()-6))</f>
        <v/>
      </c>
      <c r="B332" s="12" t="n"/>
      <c r="C332" s="10" t="n"/>
      <c r="D332" s="12" t="n"/>
      <c r="E332" s="13" t="n"/>
      <c r="F332" s="14">
        <f>IF(C332="","",N(D332)*N(E332))</f>
        <v/>
      </c>
    </row>
    <row r="333" ht="21" customHeight="1">
      <c r="A333" s="9">
        <f>IF(C333="","",IF(COUNTIF('الفواتير'!$D$7:$D$206,B333)=0,"⛔",ROW()-6))</f>
        <v/>
      </c>
      <c r="B333" s="12" t="n"/>
      <c r="C333" s="10" t="n"/>
      <c r="D333" s="12" t="n"/>
      <c r="E333" s="13" t="n"/>
      <c r="F333" s="14">
        <f>IF(C333="","",N(D333)*N(E333))</f>
        <v/>
      </c>
    </row>
    <row r="334" ht="21" customHeight="1">
      <c r="A334" s="9">
        <f>IF(C334="","",IF(COUNTIF('الفواتير'!$D$7:$D$206,B334)=0,"⛔",ROW()-6))</f>
        <v/>
      </c>
      <c r="B334" s="12" t="n"/>
      <c r="C334" s="10" t="n"/>
      <c r="D334" s="12" t="n"/>
      <c r="E334" s="13" t="n"/>
      <c r="F334" s="14">
        <f>IF(C334="","",N(D334)*N(E334))</f>
        <v/>
      </c>
    </row>
    <row r="335" ht="21" customHeight="1">
      <c r="A335" s="9">
        <f>IF(C335="","",IF(COUNTIF('الفواتير'!$D$7:$D$206,B335)=0,"⛔",ROW()-6))</f>
        <v/>
      </c>
      <c r="B335" s="12" t="n"/>
      <c r="C335" s="10" t="n"/>
      <c r="D335" s="12" t="n"/>
      <c r="E335" s="13" t="n"/>
      <c r="F335" s="14">
        <f>IF(C335="","",N(D335)*N(E335))</f>
        <v/>
      </c>
    </row>
    <row r="336" ht="21" customHeight="1">
      <c r="A336" s="9">
        <f>IF(C336="","",IF(COUNTIF('الفواتير'!$D$7:$D$206,B336)=0,"⛔",ROW()-6))</f>
        <v/>
      </c>
      <c r="B336" s="12" t="n"/>
      <c r="C336" s="10" t="n"/>
      <c r="D336" s="12" t="n"/>
      <c r="E336" s="13" t="n"/>
      <c r="F336" s="14">
        <f>IF(C336="","",N(D336)*N(E336))</f>
        <v/>
      </c>
    </row>
    <row r="337" ht="21" customHeight="1">
      <c r="A337" s="9">
        <f>IF(C337="","",IF(COUNTIF('الفواتير'!$D$7:$D$206,B337)=0,"⛔",ROW()-6))</f>
        <v/>
      </c>
      <c r="B337" s="12" t="n"/>
      <c r="C337" s="10" t="n"/>
      <c r="D337" s="12" t="n"/>
      <c r="E337" s="13" t="n"/>
      <c r="F337" s="14">
        <f>IF(C337="","",N(D337)*N(E337))</f>
        <v/>
      </c>
    </row>
    <row r="338" ht="21" customHeight="1">
      <c r="A338" s="9">
        <f>IF(C338="","",IF(COUNTIF('الفواتير'!$D$7:$D$206,B338)=0,"⛔",ROW()-6))</f>
        <v/>
      </c>
      <c r="B338" s="12" t="n"/>
      <c r="C338" s="10" t="n"/>
      <c r="D338" s="12" t="n"/>
      <c r="E338" s="13" t="n"/>
      <c r="F338" s="14">
        <f>IF(C338="","",N(D338)*N(E338))</f>
        <v/>
      </c>
    </row>
    <row r="339" ht="21" customHeight="1">
      <c r="A339" s="9">
        <f>IF(C339="","",IF(COUNTIF('الفواتير'!$D$7:$D$206,B339)=0,"⛔",ROW()-6))</f>
        <v/>
      </c>
      <c r="B339" s="12" t="n"/>
      <c r="C339" s="10" t="n"/>
      <c r="D339" s="12" t="n"/>
      <c r="E339" s="13" t="n"/>
      <c r="F339" s="14">
        <f>IF(C339="","",N(D339)*N(E339))</f>
        <v/>
      </c>
    </row>
    <row r="340" ht="21" customHeight="1">
      <c r="A340" s="9">
        <f>IF(C340="","",IF(COUNTIF('الفواتير'!$D$7:$D$206,B340)=0,"⛔",ROW()-6))</f>
        <v/>
      </c>
      <c r="B340" s="12" t="n"/>
      <c r="C340" s="10" t="n"/>
      <c r="D340" s="12" t="n"/>
      <c r="E340" s="13" t="n"/>
      <c r="F340" s="14">
        <f>IF(C340="","",N(D340)*N(E340))</f>
        <v/>
      </c>
    </row>
    <row r="341" ht="21" customHeight="1">
      <c r="A341" s="9">
        <f>IF(C341="","",IF(COUNTIF('الفواتير'!$D$7:$D$206,B341)=0,"⛔",ROW()-6))</f>
        <v/>
      </c>
      <c r="B341" s="12" t="n"/>
      <c r="C341" s="10" t="n"/>
      <c r="D341" s="12" t="n"/>
      <c r="E341" s="13" t="n"/>
      <c r="F341" s="14">
        <f>IF(C341="","",N(D341)*N(E341))</f>
        <v/>
      </c>
    </row>
    <row r="342" ht="21" customHeight="1">
      <c r="A342" s="9">
        <f>IF(C342="","",IF(COUNTIF('الفواتير'!$D$7:$D$206,B342)=0,"⛔",ROW()-6))</f>
        <v/>
      </c>
      <c r="B342" s="12" t="n"/>
      <c r="C342" s="10" t="n"/>
      <c r="D342" s="12" t="n"/>
      <c r="E342" s="13" t="n"/>
      <c r="F342" s="14">
        <f>IF(C342="","",N(D342)*N(E342))</f>
        <v/>
      </c>
    </row>
    <row r="343" ht="21" customHeight="1">
      <c r="A343" s="9">
        <f>IF(C343="","",IF(COUNTIF('الفواتير'!$D$7:$D$206,B343)=0,"⛔",ROW()-6))</f>
        <v/>
      </c>
      <c r="B343" s="12" t="n"/>
      <c r="C343" s="10" t="n"/>
      <c r="D343" s="12" t="n"/>
      <c r="E343" s="13" t="n"/>
      <c r="F343" s="14">
        <f>IF(C343="","",N(D343)*N(E343))</f>
        <v/>
      </c>
    </row>
    <row r="344" ht="21" customHeight="1">
      <c r="A344" s="9">
        <f>IF(C344="","",IF(COUNTIF('الفواتير'!$D$7:$D$206,B344)=0,"⛔",ROW()-6))</f>
        <v/>
      </c>
      <c r="B344" s="12" t="n"/>
      <c r="C344" s="10" t="n"/>
      <c r="D344" s="12" t="n"/>
      <c r="E344" s="13" t="n"/>
      <c r="F344" s="14">
        <f>IF(C344="","",N(D344)*N(E344))</f>
        <v/>
      </c>
    </row>
    <row r="345" ht="21" customHeight="1">
      <c r="A345" s="9">
        <f>IF(C345="","",IF(COUNTIF('الفواتير'!$D$7:$D$206,B345)=0,"⛔",ROW()-6))</f>
        <v/>
      </c>
      <c r="B345" s="12" t="n"/>
      <c r="C345" s="10" t="n"/>
      <c r="D345" s="12" t="n"/>
      <c r="E345" s="13" t="n"/>
      <c r="F345" s="14">
        <f>IF(C345="","",N(D345)*N(E345))</f>
        <v/>
      </c>
    </row>
    <row r="346" ht="21" customHeight="1">
      <c r="A346" s="9">
        <f>IF(C346="","",IF(COUNTIF('الفواتير'!$D$7:$D$206,B346)=0,"⛔",ROW()-6))</f>
        <v/>
      </c>
      <c r="B346" s="12" t="n"/>
      <c r="C346" s="10" t="n"/>
      <c r="D346" s="12" t="n"/>
      <c r="E346" s="13" t="n"/>
      <c r="F346" s="14">
        <f>IF(C346="","",N(D346)*N(E346))</f>
        <v/>
      </c>
    </row>
    <row r="347" ht="21" customHeight="1">
      <c r="A347" s="9">
        <f>IF(C347="","",IF(COUNTIF('الفواتير'!$D$7:$D$206,B347)=0,"⛔",ROW()-6))</f>
        <v/>
      </c>
      <c r="B347" s="12" t="n"/>
      <c r="C347" s="10" t="n"/>
      <c r="D347" s="12" t="n"/>
      <c r="E347" s="13" t="n"/>
      <c r="F347" s="14">
        <f>IF(C347="","",N(D347)*N(E347))</f>
        <v/>
      </c>
    </row>
    <row r="348" ht="21" customHeight="1">
      <c r="A348" s="9">
        <f>IF(C348="","",IF(COUNTIF('الفواتير'!$D$7:$D$206,B348)=0,"⛔",ROW()-6))</f>
        <v/>
      </c>
      <c r="B348" s="12" t="n"/>
      <c r="C348" s="10" t="n"/>
      <c r="D348" s="12" t="n"/>
      <c r="E348" s="13" t="n"/>
      <c r="F348" s="14">
        <f>IF(C348="","",N(D348)*N(E348))</f>
        <v/>
      </c>
    </row>
    <row r="349" ht="21" customHeight="1">
      <c r="A349" s="9">
        <f>IF(C349="","",IF(COUNTIF('الفواتير'!$D$7:$D$206,B349)=0,"⛔",ROW()-6))</f>
        <v/>
      </c>
      <c r="B349" s="12" t="n"/>
      <c r="C349" s="10" t="n"/>
      <c r="D349" s="12" t="n"/>
      <c r="E349" s="13" t="n"/>
      <c r="F349" s="14">
        <f>IF(C349="","",N(D349)*N(E349))</f>
        <v/>
      </c>
    </row>
    <row r="350" ht="21" customHeight="1">
      <c r="A350" s="9">
        <f>IF(C350="","",IF(COUNTIF('الفواتير'!$D$7:$D$206,B350)=0,"⛔",ROW()-6))</f>
        <v/>
      </c>
      <c r="B350" s="12" t="n"/>
      <c r="C350" s="10" t="n"/>
      <c r="D350" s="12" t="n"/>
      <c r="E350" s="13" t="n"/>
      <c r="F350" s="14">
        <f>IF(C350="","",N(D350)*N(E350))</f>
        <v/>
      </c>
    </row>
    <row r="351" ht="21" customHeight="1">
      <c r="A351" s="9">
        <f>IF(C351="","",IF(COUNTIF('الفواتير'!$D$7:$D$206,B351)=0,"⛔",ROW()-6))</f>
        <v/>
      </c>
      <c r="B351" s="12" t="n"/>
      <c r="C351" s="10" t="n"/>
      <c r="D351" s="12" t="n"/>
      <c r="E351" s="13" t="n"/>
      <c r="F351" s="14">
        <f>IF(C351="","",N(D351)*N(E351))</f>
        <v/>
      </c>
    </row>
    <row r="352" ht="21" customHeight="1">
      <c r="A352" s="9">
        <f>IF(C352="","",IF(COUNTIF('الفواتير'!$D$7:$D$206,B352)=0,"⛔",ROW()-6))</f>
        <v/>
      </c>
      <c r="B352" s="12" t="n"/>
      <c r="C352" s="10" t="n"/>
      <c r="D352" s="12" t="n"/>
      <c r="E352" s="13" t="n"/>
      <c r="F352" s="14">
        <f>IF(C352="","",N(D352)*N(E352))</f>
        <v/>
      </c>
    </row>
    <row r="353" ht="21" customHeight="1">
      <c r="A353" s="9">
        <f>IF(C353="","",IF(COUNTIF('الفواتير'!$D$7:$D$206,B353)=0,"⛔",ROW()-6))</f>
        <v/>
      </c>
      <c r="B353" s="12" t="n"/>
      <c r="C353" s="10" t="n"/>
      <c r="D353" s="12" t="n"/>
      <c r="E353" s="13" t="n"/>
      <c r="F353" s="14">
        <f>IF(C353="","",N(D353)*N(E353))</f>
        <v/>
      </c>
    </row>
    <row r="354" ht="21" customHeight="1">
      <c r="A354" s="9">
        <f>IF(C354="","",IF(COUNTIF('الفواتير'!$D$7:$D$206,B354)=0,"⛔",ROW()-6))</f>
        <v/>
      </c>
      <c r="B354" s="12" t="n"/>
      <c r="C354" s="10" t="n"/>
      <c r="D354" s="12" t="n"/>
      <c r="E354" s="13" t="n"/>
      <c r="F354" s="14">
        <f>IF(C354="","",N(D354)*N(E354))</f>
        <v/>
      </c>
    </row>
    <row r="355" ht="21" customHeight="1">
      <c r="A355" s="9">
        <f>IF(C355="","",IF(COUNTIF('الفواتير'!$D$7:$D$206,B355)=0,"⛔",ROW()-6))</f>
        <v/>
      </c>
      <c r="B355" s="12" t="n"/>
      <c r="C355" s="10" t="n"/>
      <c r="D355" s="12" t="n"/>
      <c r="E355" s="13" t="n"/>
      <c r="F355" s="14">
        <f>IF(C355="","",N(D355)*N(E355))</f>
        <v/>
      </c>
    </row>
    <row r="356" ht="21" customHeight="1">
      <c r="A356" s="9">
        <f>IF(C356="","",IF(COUNTIF('الفواتير'!$D$7:$D$206,B356)=0,"⛔",ROW()-6))</f>
        <v/>
      </c>
      <c r="B356" s="12" t="n"/>
      <c r="C356" s="10" t="n"/>
      <c r="D356" s="12" t="n"/>
      <c r="E356" s="13" t="n"/>
      <c r="F356" s="14">
        <f>IF(C356="","",N(D356)*N(E356))</f>
        <v/>
      </c>
    </row>
    <row r="357" ht="21" customHeight="1">
      <c r="A357" s="9">
        <f>IF(C357="","",IF(COUNTIF('الفواتير'!$D$7:$D$206,B357)=0,"⛔",ROW()-6))</f>
        <v/>
      </c>
      <c r="B357" s="12" t="n"/>
      <c r="C357" s="10" t="n"/>
      <c r="D357" s="12" t="n"/>
      <c r="E357" s="13" t="n"/>
      <c r="F357" s="14">
        <f>IF(C357="","",N(D357)*N(E357))</f>
        <v/>
      </c>
    </row>
    <row r="358" ht="21" customHeight="1">
      <c r="A358" s="9">
        <f>IF(C358="","",IF(COUNTIF('الفواتير'!$D$7:$D$206,B358)=0,"⛔",ROW()-6))</f>
        <v/>
      </c>
      <c r="B358" s="12" t="n"/>
      <c r="C358" s="10" t="n"/>
      <c r="D358" s="12" t="n"/>
      <c r="E358" s="13" t="n"/>
      <c r="F358" s="14">
        <f>IF(C358="","",N(D358)*N(E358))</f>
        <v/>
      </c>
    </row>
    <row r="359" ht="21" customHeight="1">
      <c r="A359" s="9">
        <f>IF(C359="","",IF(COUNTIF('الفواتير'!$D$7:$D$206,B359)=0,"⛔",ROW()-6))</f>
        <v/>
      </c>
      <c r="B359" s="12" t="n"/>
      <c r="C359" s="10" t="n"/>
      <c r="D359" s="12" t="n"/>
      <c r="E359" s="13" t="n"/>
      <c r="F359" s="14">
        <f>IF(C359="","",N(D359)*N(E359))</f>
        <v/>
      </c>
    </row>
    <row r="360" ht="21" customHeight="1">
      <c r="A360" s="9">
        <f>IF(C360="","",IF(COUNTIF('الفواتير'!$D$7:$D$206,B360)=0,"⛔",ROW()-6))</f>
        <v/>
      </c>
      <c r="B360" s="12" t="n"/>
      <c r="C360" s="10" t="n"/>
      <c r="D360" s="12" t="n"/>
      <c r="E360" s="13" t="n"/>
      <c r="F360" s="14">
        <f>IF(C360="","",N(D360)*N(E360))</f>
        <v/>
      </c>
    </row>
    <row r="361" ht="21" customHeight="1">
      <c r="A361" s="9">
        <f>IF(C361="","",IF(COUNTIF('الفواتير'!$D$7:$D$206,B361)=0,"⛔",ROW()-6))</f>
        <v/>
      </c>
      <c r="B361" s="12" t="n"/>
      <c r="C361" s="10" t="n"/>
      <c r="D361" s="12" t="n"/>
      <c r="E361" s="13" t="n"/>
      <c r="F361" s="14">
        <f>IF(C361="","",N(D361)*N(E361))</f>
        <v/>
      </c>
    </row>
    <row r="362" ht="21" customHeight="1">
      <c r="A362" s="9">
        <f>IF(C362="","",IF(COUNTIF('الفواتير'!$D$7:$D$206,B362)=0,"⛔",ROW()-6))</f>
        <v/>
      </c>
      <c r="B362" s="12" t="n"/>
      <c r="C362" s="10" t="n"/>
      <c r="D362" s="12" t="n"/>
      <c r="E362" s="13" t="n"/>
      <c r="F362" s="14">
        <f>IF(C362="","",N(D362)*N(E362))</f>
        <v/>
      </c>
    </row>
    <row r="363" ht="21" customHeight="1">
      <c r="A363" s="9">
        <f>IF(C363="","",IF(COUNTIF('الفواتير'!$D$7:$D$206,B363)=0,"⛔",ROW()-6))</f>
        <v/>
      </c>
      <c r="B363" s="12" t="n"/>
      <c r="C363" s="10" t="n"/>
      <c r="D363" s="12" t="n"/>
      <c r="E363" s="13" t="n"/>
      <c r="F363" s="14">
        <f>IF(C363="","",N(D363)*N(E363))</f>
        <v/>
      </c>
    </row>
    <row r="364" ht="21" customHeight="1">
      <c r="A364" s="9">
        <f>IF(C364="","",IF(COUNTIF('الفواتير'!$D$7:$D$206,B364)=0,"⛔",ROW()-6))</f>
        <v/>
      </c>
      <c r="B364" s="12" t="n"/>
      <c r="C364" s="10" t="n"/>
      <c r="D364" s="12" t="n"/>
      <c r="E364" s="13" t="n"/>
      <c r="F364" s="14">
        <f>IF(C364="","",N(D364)*N(E364))</f>
        <v/>
      </c>
    </row>
    <row r="365" ht="21" customHeight="1">
      <c r="A365" s="9">
        <f>IF(C365="","",IF(COUNTIF('الفواتير'!$D$7:$D$206,B365)=0,"⛔",ROW()-6))</f>
        <v/>
      </c>
      <c r="B365" s="12" t="n"/>
      <c r="C365" s="10" t="n"/>
      <c r="D365" s="12" t="n"/>
      <c r="E365" s="13" t="n"/>
      <c r="F365" s="14">
        <f>IF(C365="","",N(D365)*N(E365))</f>
        <v/>
      </c>
    </row>
    <row r="366" ht="21" customHeight="1">
      <c r="A366" s="9">
        <f>IF(C366="","",IF(COUNTIF('الفواتير'!$D$7:$D$206,B366)=0,"⛔",ROW()-6))</f>
        <v/>
      </c>
      <c r="B366" s="12" t="n"/>
      <c r="C366" s="10" t="n"/>
      <c r="D366" s="12" t="n"/>
      <c r="E366" s="13" t="n"/>
      <c r="F366" s="14">
        <f>IF(C366="","",N(D366)*N(E366))</f>
        <v/>
      </c>
    </row>
    <row r="367" ht="21" customHeight="1">
      <c r="A367" s="9">
        <f>IF(C367="","",IF(COUNTIF('الفواتير'!$D$7:$D$206,B367)=0,"⛔",ROW()-6))</f>
        <v/>
      </c>
      <c r="B367" s="12" t="n"/>
      <c r="C367" s="10" t="n"/>
      <c r="D367" s="12" t="n"/>
      <c r="E367" s="13" t="n"/>
      <c r="F367" s="14">
        <f>IF(C367="","",N(D367)*N(E367))</f>
        <v/>
      </c>
    </row>
    <row r="368" ht="21" customHeight="1">
      <c r="A368" s="9">
        <f>IF(C368="","",IF(COUNTIF('الفواتير'!$D$7:$D$206,B368)=0,"⛔",ROW()-6))</f>
        <v/>
      </c>
      <c r="B368" s="12" t="n"/>
      <c r="C368" s="10" t="n"/>
      <c r="D368" s="12" t="n"/>
      <c r="E368" s="13" t="n"/>
      <c r="F368" s="14">
        <f>IF(C368="","",N(D368)*N(E368))</f>
        <v/>
      </c>
    </row>
    <row r="369" ht="21" customHeight="1">
      <c r="A369" s="9">
        <f>IF(C369="","",IF(COUNTIF('الفواتير'!$D$7:$D$206,B369)=0,"⛔",ROW()-6))</f>
        <v/>
      </c>
      <c r="B369" s="12" t="n"/>
      <c r="C369" s="10" t="n"/>
      <c r="D369" s="12" t="n"/>
      <c r="E369" s="13" t="n"/>
      <c r="F369" s="14">
        <f>IF(C369="","",N(D369)*N(E369))</f>
        <v/>
      </c>
    </row>
    <row r="370" ht="21" customHeight="1">
      <c r="A370" s="9">
        <f>IF(C370="","",IF(COUNTIF('الفواتير'!$D$7:$D$206,B370)=0,"⛔",ROW()-6))</f>
        <v/>
      </c>
      <c r="B370" s="12" t="n"/>
      <c r="C370" s="10" t="n"/>
      <c r="D370" s="12" t="n"/>
      <c r="E370" s="13" t="n"/>
      <c r="F370" s="14">
        <f>IF(C370="","",N(D370)*N(E370))</f>
        <v/>
      </c>
    </row>
    <row r="371" ht="21" customHeight="1">
      <c r="A371" s="9">
        <f>IF(C371="","",IF(COUNTIF('الفواتير'!$D$7:$D$206,B371)=0,"⛔",ROW()-6))</f>
        <v/>
      </c>
      <c r="B371" s="12" t="n"/>
      <c r="C371" s="10" t="n"/>
      <c r="D371" s="12" t="n"/>
      <c r="E371" s="13" t="n"/>
      <c r="F371" s="14">
        <f>IF(C371="","",N(D371)*N(E371))</f>
        <v/>
      </c>
    </row>
    <row r="372" ht="21" customHeight="1">
      <c r="A372" s="9">
        <f>IF(C372="","",IF(COUNTIF('الفواتير'!$D$7:$D$206,B372)=0,"⛔",ROW()-6))</f>
        <v/>
      </c>
      <c r="B372" s="12" t="n"/>
      <c r="C372" s="10" t="n"/>
      <c r="D372" s="12" t="n"/>
      <c r="E372" s="13" t="n"/>
      <c r="F372" s="14">
        <f>IF(C372="","",N(D372)*N(E372))</f>
        <v/>
      </c>
    </row>
    <row r="373" ht="21" customHeight="1">
      <c r="A373" s="9">
        <f>IF(C373="","",IF(COUNTIF('الفواتير'!$D$7:$D$206,B373)=0,"⛔",ROW()-6))</f>
        <v/>
      </c>
      <c r="B373" s="12" t="n"/>
      <c r="C373" s="10" t="n"/>
      <c r="D373" s="12" t="n"/>
      <c r="E373" s="13" t="n"/>
      <c r="F373" s="14">
        <f>IF(C373="","",N(D373)*N(E373))</f>
        <v/>
      </c>
    </row>
    <row r="374" ht="21" customHeight="1">
      <c r="A374" s="9">
        <f>IF(C374="","",IF(COUNTIF('الفواتير'!$D$7:$D$206,B374)=0,"⛔",ROW()-6))</f>
        <v/>
      </c>
      <c r="B374" s="12" t="n"/>
      <c r="C374" s="10" t="n"/>
      <c r="D374" s="12" t="n"/>
      <c r="E374" s="13" t="n"/>
      <c r="F374" s="14">
        <f>IF(C374="","",N(D374)*N(E374))</f>
        <v/>
      </c>
    </row>
    <row r="375" ht="21" customHeight="1">
      <c r="A375" s="9">
        <f>IF(C375="","",IF(COUNTIF('الفواتير'!$D$7:$D$206,B375)=0,"⛔",ROW()-6))</f>
        <v/>
      </c>
      <c r="B375" s="12" t="n"/>
      <c r="C375" s="10" t="n"/>
      <c r="D375" s="12" t="n"/>
      <c r="E375" s="13" t="n"/>
      <c r="F375" s="14">
        <f>IF(C375="","",N(D375)*N(E375))</f>
        <v/>
      </c>
    </row>
    <row r="376" ht="21" customHeight="1">
      <c r="A376" s="9">
        <f>IF(C376="","",IF(COUNTIF('الفواتير'!$D$7:$D$206,B376)=0,"⛔",ROW()-6))</f>
        <v/>
      </c>
      <c r="B376" s="12" t="n"/>
      <c r="C376" s="10" t="n"/>
      <c r="D376" s="12" t="n"/>
      <c r="E376" s="13" t="n"/>
      <c r="F376" s="14">
        <f>IF(C376="","",N(D376)*N(E376))</f>
        <v/>
      </c>
    </row>
    <row r="377" ht="21" customHeight="1">
      <c r="A377" s="9">
        <f>IF(C377="","",IF(COUNTIF('الفواتير'!$D$7:$D$206,B377)=0,"⛔",ROW()-6))</f>
        <v/>
      </c>
      <c r="B377" s="12" t="n"/>
      <c r="C377" s="10" t="n"/>
      <c r="D377" s="12" t="n"/>
      <c r="E377" s="13" t="n"/>
      <c r="F377" s="14">
        <f>IF(C377="","",N(D377)*N(E377))</f>
        <v/>
      </c>
    </row>
    <row r="378" ht="21" customHeight="1">
      <c r="A378" s="9">
        <f>IF(C378="","",IF(COUNTIF('الفواتير'!$D$7:$D$206,B378)=0,"⛔",ROW()-6))</f>
        <v/>
      </c>
      <c r="B378" s="12" t="n"/>
      <c r="C378" s="10" t="n"/>
      <c r="D378" s="12" t="n"/>
      <c r="E378" s="13" t="n"/>
      <c r="F378" s="14">
        <f>IF(C378="","",N(D378)*N(E378))</f>
        <v/>
      </c>
    </row>
    <row r="379" ht="21" customHeight="1">
      <c r="A379" s="9">
        <f>IF(C379="","",IF(COUNTIF('الفواتير'!$D$7:$D$206,B379)=0,"⛔",ROW()-6))</f>
        <v/>
      </c>
      <c r="B379" s="12" t="n"/>
      <c r="C379" s="10" t="n"/>
      <c r="D379" s="12" t="n"/>
      <c r="E379" s="13" t="n"/>
      <c r="F379" s="14">
        <f>IF(C379="","",N(D379)*N(E379))</f>
        <v/>
      </c>
    </row>
    <row r="380" ht="21" customHeight="1">
      <c r="A380" s="9">
        <f>IF(C380="","",IF(COUNTIF('الفواتير'!$D$7:$D$206,B380)=0,"⛔",ROW()-6))</f>
        <v/>
      </c>
      <c r="B380" s="12" t="n"/>
      <c r="C380" s="10" t="n"/>
      <c r="D380" s="12" t="n"/>
      <c r="E380" s="13" t="n"/>
      <c r="F380" s="14">
        <f>IF(C380="","",N(D380)*N(E380))</f>
        <v/>
      </c>
    </row>
    <row r="381" ht="21" customHeight="1">
      <c r="A381" s="9">
        <f>IF(C381="","",IF(COUNTIF('الفواتير'!$D$7:$D$206,B381)=0,"⛔",ROW()-6))</f>
        <v/>
      </c>
      <c r="B381" s="12" t="n"/>
      <c r="C381" s="10" t="n"/>
      <c r="D381" s="12" t="n"/>
      <c r="E381" s="13" t="n"/>
      <c r="F381" s="14">
        <f>IF(C381="","",N(D381)*N(E381))</f>
        <v/>
      </c>
    </row>
    <row r="382" ht="21" customHeight="1">
      <c r="A382" s="9">
        <f>IF(C382="","",IF(COUNTIF('الفواتير'!$D$7:$D$206,B382)=0,"⛔",ROW()-6))</f>
        <v/>
      </c>
      <c r="B382" s="12" t="n"/>
      <c r="C382" s="10" t="n"/>
      <c r="D382" s="12" t="n"/>
      <c r="E382" s="13" t="n"/>
      <c r="F382" s="14">
        <f>IF(C382="","",N(D382)*N(E382))</f>
        <v/>
      </c>
    </row>
    <row r="383" ht="21" customHeight="1">
      <c r="A383" s="9">
        <f>IF(C383="","",IF(COUNTIF('الفواتير'!$D$7:$D$206,B383)=0,"⛔",ROW()-6))</f>
        <v/>
      </c>
      <c r="B383" s="12" t="n"/>
      <c r="C383" s="10" t="n"/>
      <c r="D383" s="12" t="n"/>
      <c r="E383" s="13" t="n"/>
      <c r="F383" s="14">
        <f>IF(C383="","",N(D383)*N(E383))</f>
        <v/>
      </c>
    </row>
    <row r="384" ht="21" customHeight="1">
      <c r="A384" s="9">
        <f>IF(C384="","",IF(COUNTIF('الفواتير'!$D$7:$D$206,B384)=0,"⛔",ROW()-6))</f>
        <v/>
      </c>
      <c r="B384" s="12" t="n"/>
      <c r="C384" s="10" t="n"/>
      <c r="D384" s="12" t="n"/>
      <c r="E384" s="13" t="n"/>
      <c r="F384" s="14">
        <f>IF(C384="","",N(D384)*N(E384))</f>
        <v/>
      </c>
    </row>
    <row r="385" ht="21" customHeight="1">
      <c r="A385" s="9">
        <f>IF(C385="","",IF(COUNTIF('الفواتير'!$D$7:$D$206,B385)=0,"⛔",ROW()-6))</f>
        <v/>
      </c>
      <c r="B385" s="12" t="n"/>
      <c r="C385" s="10" t="n"/>
      <c r="D385" s="12" t="n"/>
      <c r="E385" s="13" t="n"/>
      <c r="F385" s="14">
        <f>IF(C385="","",N(D385)*N(E385))</f>
        <v/>
      </c>
    </row>
    <row r="386" ht="21" customHeight="1">
      <c r="A386" s="9">
        <f>IF(C386="","",IF(COUNTIF('الفواتير'!$D$7:$D$206,B386)=0,"⛔",ROW()-6))</f>
        <v/>
      </c>
      <c r="B386" s="12" t="n"/>
      <c r="C386" s="10" t="n"/>
      <c r="D386" s="12" t="n"/>
      <c r="E386" s="13" t="n"/>
      <c r="F386" s="14">
        <f>IF(C386="","",N(D386)*N(E386))</f>
        <v/>
      </c>
    </row>
    <row r="387" ht="21" customHeight="1">
      <c r="A387" s="9">
        <f>IF(C387="","",IF(COUNTIF('الفواتير'!$D$7:$D$206,B387)=0,"⛔",ROW()-6))</f>
        <v/>
      </c>
      <c r="B387" s="12" t="n"/>
      <c r="C387" s="10" t="n"/>
      <c r="D387" s="12" t="n"/>
      <c r="E387" s="13" t="n"/>
      <c r="F387" s="14">
        <f>IF(C387="","",N(D387)*N(E387))</f>
        <v/>
      </c>
    </row>
    <row r="388" ht="21" customHeight="1">
      <c r="A388" s="9">
        <f>IF(C388="","",IF(COUNTIF('الفواتير'!$D$7:$D$206,B388)=0,"⛔",ROW()-6))</f>
        <v/>
      </c>
      <c r="B388" s="12" t="n"/>
      <c r="C388" s="10" t="n"/>
      <c r="D388" s="12" t="n"/>
      <c r="E388" s="13" t="n"/>
      <c r="F388" s="14">
        <f>IF(C388="","",N(D388)*N(E388))</f>
        <v/>
      </c>
    </row>
    <row r="389" ht="21" customHeight="1">
      <c r="A389" s="9">
        <f>IF(C389="","",IF(COUNTIF('الفواتير'!$D$7:$D$206,B389)=0,"⛔",ROW()-6))</f>
        <v/>
      </c>
      <c r="B389" s="12" t="n"/>
      <c r="C389" s="10" t="n"/>
      <c r="D389" s="12" t="n"/>
      <c r="E389" s="13" t="n"/>
      <c r="F389" s="14">
        <f>IF(C389="","",N(D389)*N(E389))</f>
        <v/>
      </c>
    </row>
    <row r="390" ht="21" customHeight="1">
      <c r="A390" s="9">
        <f>IF(C390="","",IF(COUNTIF('الفواتير'!$D$7:$D$206,B390)=0,"⛔",ROW()-6))</f>
        <v/>
      </c>
      <c r="B390" s="12" t="n"/>
      <c r="C390" s="10" t="n"/>
      <c r="D390" s="12" t="n"/>
      <c r="E390" s="13" t="n"/>
      <c r="F390" s="14">
        <f>IF(C390="","",N(D390)*N(E390))</f>
        <v/>
      </c>
    </row>
    <row r="391" ht="21" customHeight="1">
      <c r="A391" s="9">
        <f>IF(C391="","",IF(COUNTIF('الفواتير'!$D$7:$D$206,B391)=0,"⛔",ROW()-6))</f>
        <v/>
      </c>
      <c r="B391" s="12" t="n"/>
      <c r="C391" s="10" t="n"/>
      <c r="D391" s="12" t="n"/>
      <c r="E391" s="13" t="n"/>
      <c r="F391" s="14">
        <f>IF(C391="","",N(D391)*N(E391))</f>
        <v/>
      </c>
    </row>
    <row r="392" ht="21" customHeight="1">
      <c r="A392" s="9">
        <f>IF(C392="","",IF(COUNTIF('الفواتير'!$D$7:$D$206,B392)=0,"⛔",ROW()-6))</f>
        <v/>
      </c>
      <c r="B392" s="12" t="n"/>
      <c r="C392" s="10" t="n"/>
      <c r="D392" s="12" t="n"/>
      <c r="E392" s="13" t="n"/>
      <c r="F392" s="14">
        <f>IF(C392="","",N(D392)*N(E392))</f>
        <v/>
      </c>
    </row>
    <row r="393" ht="21" customHeight="1">
      <c r="A393" s="9">
        <f>IF(C393="","",IF(COUNTIF('الفواتير'!$D$7:$D$206,B393)=0,"⛔",ROW()-6))</f>
        <v/>
      </c>
      <c r="B393" s="12" t="n"/>
      <c r="C393" s="10" t="n"/>
      <c r="D393" s="12" t="n"/>
      <c r="E393" s="13" t="n"/>
      <c r="F393" s="14">
        <f>IF(C393="","",N(D393)*N(E393))</f>
        <v/>
      </c>
    </row>
    <row r="394" ht="21" customHeight="1">
      <c r="A394" s="9">
        <f>IF(C394="","",IF(COUNTIF('الفواتير'!$D$7:$D$206,B394)=0,"⛔",ROW()-6))</f>
        <v/>
      </c>
      <c r="B394" s="12" t="n"/>
      <c r="C394" s="10" t="n"/>
      <c r="D394" s="12" t="n"/>
      <c r="E394" s="13" t="n"/>
      <c r="F394" s="14">
        <f>IF(C394="","",N(D394)*N(E394))</f>
        <v/>
      </c>
    </row>
    <row r="395" ht="21" customHeight="1">
      <c r="A395" s="9">
        <f>IF(C395="","",IF(COUNTIF('الفواتير'!$D$7:$D$206,B395)=0,"⛔",ROW()-6))</f>
        <v/>
      </c>
      <c r="B395" s="12" t="n"/>
      <c r="C395" s="10" t="n"/>
      <c r="D395" s="12" t="n"/>
      <c r="E395" s="13" t="n"/>
      <c r="F395" s="14">
        <f>IF(C395="","",N(D395)*N(E395))</f>
        <v/>
      </c>
    </row>
    <row r="396" ht="21" customHeight="1">
      <c r="A396" s="9">
        <f>IF(C396="","",IF(COUNTIF('الفواتير'!$D$7:$D$206,B396)=0,"⛔",ROW()-6))</f>
        <v/>
      </c>
      <c r="B396" s="12" t="n"/>
      <c r="C396" s="10" t="n"/>
      <c r="D396" s="12" t="n"/>
      <c r="E396" s="13" t="n"/>
      <c r="F396" s="14">
        <f>IF(C396="","",N(D396)*N(E396))</f>
        <v/>
      </c>
    </row>
    <row r="397" ht="21" customHeight="1">
      <c r="A397" s="9">
        <f>IF(C397="","",IF(COUNTIF('الفواتير'!$D$7:$D$206,B397)=0,"⛔",ROW()-6))</f>
        <v/>
      </c>
      <c r="B397" s="12" t="n"/>
      <c r="C397" s="10" t="n"/>
      <c r="D397" s="12" t="n"/>
      <c r="E397" s="13" t="n"/>
      <c r="F397" s="14">
        <f>IF(C397="","",N(D397)*N(E397))</f>
        <v/>
      </c>
    </row>
    <row r="398" ht="21" customHeight="1">
      <c r="A398" s="9">
        <f>IF(C398="","",IF(COUNTIF('الفواتير'!$D$7:$D$206,B398)=0,"⛔",ROW()-6))</f>
        <v/>
      </c>
      <c r="B398" s="12" t="n"/>
      <c r="C398" s="10" t="n"/>
      <c r="D398" s="12" t="n"/>
      <c r="E398" s="13" t="n"/>
      <c r="F398" s="14">
        <f>IF(C398="","",N(D398)*N(E398))</f>
        <v/>
      </c>
    </row>
    <row r="399" ht="21" customHeight="1">
      <c r="A399" s="9">
        <f>IF(C399="","",IF(COUNTIF('الفواتير'!$D$7:$D$206,B399)=0,"⛔",ROW()-6))</f>
        <v/>
      </c>
      <c r="B399" s="12" t="n"/>
      <c r="C399" s="10" t="n"/>
      <c r="D399" s="12" t="n"/>
      <c r="E399" s="13" t="n"/>
      <c r="F399" s="14">
        <f>IF(C399="","",N(D399)*N(E399))</f>
        <v/>
      </c>
    </row>
    <row r="400" ht="21" customHeight="1">
      <c r="A400" s="9">
        <f>IF(C400="","",IF(COUNTIF('الفواتير'!$D$7:$D$206,B400)=0,"⛔",ROW()-6))</f>
        <v/>
      </c>
      <c r="B400" s="12" t="n"/>
      <c r="C400" s="10" t="n"/>
      <c r="D400" s="12" t="n"/>
      <c r="E400" s="13" t="n"/>
      <c r="F400" s="14">
        <f>IF(C400="","",N(D400)*N(E400))</f>
        <v/>
      </c>
    </row>
    <row r="401" ht="21" customHeight="1">
      <c r="A401" s="9">
        <f>IF(C401="","",IF(COUNTIF('الفواتير'!$D$7:$D$206,B401)=0,"⛔",ROW()-6))</f>
        <v/>
      </c>
      <c r="B401" s="12" t="n"/>
      <c r="C401" s="10" t="n"/>
      <c r="D401" s="12" t="n"/>
      <c r="E401" s="13" t="n"/>
      <c r="F401" s="14">
        <f>IF(C401="","",N(D401)*N(E401))</f>
        <v/>
      </c>
    </row>
    <row r="402" ht="21" customHeight="1">
      <c r="A402" s="9">
        <f>IF(C402="","",IF(COUNTIF('الفواتير'!$D$7:$D$206,B402)=0,"⛔",ROW()-6))</f>
        <v/>
      </c>
      <c r="B402" s="12" t="n"/>
      <c r="C402" s="10" t="n"/>
      <c r="D402" s="12" t="n"/>
      <c r="E402" s="13" t="n"/>
      <c r="F402" s="14">
        <f>IF(C402="","",N(D402)*N(E402))</f>
        <v/>
      </c>
    </row>
    <row r="403" ht="21" customHeight="1">
      <c r="A403" s="9">
        <f>IF(C403="","",IF(COUNTIF('الفواتير'!$D$7:$D$206,B403)=0,"⛔",ROW()-6))</f>
        <v/>
      </c>
      <c r="B403" s="12" t="n"/>
      <c r="C403" s="10" t="n"/>
      <c r="D403" s="12" t="n"/>
      <c r="E403" s="13" t="n"/>
      <c r="F403" s="14">
        <f>IF(C403="","",N(D403)*N(E403))</f>
        <v/>
      </c>
    </row>
    <row r="404" ht="21" customHeight="1">
      <c r="A404" s="9">
        <f>IF(C404="","",IF(COUNTIF('الفواتير'!$D$7:$D$206,B404)=0,"⛔",ROW()-6))</f>
        <v/>
      </c>
      <c r="B404" s="12" t="n"/>
      <c r="C404" s="10" t="n"/>
      <c r="D404" s="12" t="n"/>
      <c r="E404" s="13" t="n"/>
      <c r="F404" s="14">
        <f>IF(C404="","",N(D404)*N(E404))</f>
        <v/>
      </c>
    </row>
    <row r="405" ht="21" customHeight="1">
      <c r="A405" s="9">
        <f>IF(C405="","",IF(COUNTIF('الفواتير'!$D$7:$D$206,B405)=0,"⛔",ROW()-6))</f>
        <v/>
      </c>
      <c r="B405" s="12" t="n"/>
      <c r="C405" s="10" t="n"/>
      <c r="D405" s="12" t="n"/>
      <c r="E405" s="13" t="n"/>
      <c r="F405" s="14">
        <f>IF(C405="","",N(D405)*N(E405))</f>
        <v/>
      </c>
    </row>
    <row r="406" ht="21" customHeight="1">
      <c r="A406" s="9">
        <f>IF(C406="","",IF(COUNTIF('الفواتير'!$D$7:$D$206,B406)=0,"⛔",ROW()-6))</f>
        <v/>
      </c>
      <c r="B406" s="12" t="n"/>
      <c r="C406" s="10" t="n"/>
      <c r="D406" s="12" t="n"/>
      <c r="E406" s="13" t="n"/>
      <c r="F406" s="14">
        <f>IF(C406="","",N(D406)*N(E406))</f>
        <v/>
      </c>
    </row>
    <row r="407" ht="21" customHeight="1">
      <c r="A407" s="9">
        <f>IF(C407="","",IF(COUNTIF('الفواتير'!$D$7:$D$206,B407)=0,"⛔",ROW()-6))</f>
        <v/>
      </c>
      <c r="B407" s="12" t="n"/>
      <c r="C407" s="10" t="n"/>
      <c r="D407" s="12" t="n"/>
      <c r="E407" s="13" t="n"/>
      <c r="F407" s="14">
        <f>IF(C407="","",N(D407)*N(E407))</f>
        <v/>
      </c>
    </row>
    <row r="408" ht="21" customHeight="1">
      <c r="A408" s="9">
        <f>IF(C408="","",IF(COUNTIF('الفواتير'!$D$7:$D$206,B408)=0,"⛔",ROW()-6))</f>
        <v/>
      </c>
      <c r="B408" s="12" t="n"/>
      <c r="C408" s="10" t="n"/>
      <c r="D408" s="12" t="n"/>
      <c r="E408" s="13" t="n"/>
      <c r="F408" s="14">
        <f>IF(C408="","",N(D408)*N(E408))</f>
        <v/>
      </c>
    </row>
    <row r="409" ht="21" customHeight="1">
      <c r="A409" s="9">
        <f>IF(C409="","",IF(COUNTIF('الفواتير'!$D$7:$D$206,B409)=0,"⛔",ROW()-6))</f>
        <v/>
      </c>
      <c r="B409" s="12" t="n"/>
      <c r="C409" s="10" t="n"/>
      <c r="D409" s="12" t="n"/>
      <c r="E409" s="13" t="n"/>
      <c r="F409" s="14">
        <f>IF(C409="","",N(D409)*N(E409))</f>
        <v/>
      </c>
    </row>
    <row r="410" ht="21" customHeight="1">
      <c r="A410" s="9">
        <f>IF(C410="","",IF(COUNTIF('الفواتير'!$D$7:$D$206,B410)=0,"⛔",ROW()-6))</f>
        <v/>
      </c>
      <c r="B410" s="12" t="n"/>
      <c r="C410" s="10" t="n"/>
      <c r="D410" s="12" t="n"/>
      <c r="E410" s="13" t="n"/>
      <c r="F410" s="14">
        <f>IF(C410="","",N(D410)*N(E410))</f>
        <v/>
      </c>
    </row>
    <row r="411" ht="21" customHeight="1">
      <c r="A411" s="9">
        <f>IF(C411="","",IF(COUNTIF('الفواتير'!$D$7:$D$206,B411)=0,"⛔",ROW()-6))</f>
        <v/>
      </c>
      <c r="B411" s="12" t="n"/>
      <c r="C411" s="10" t="n"/>
      <c r="D411" s="12" t="n"/>
      <c r="E411" s="13" t="n"/>
      <c r="F411" s="14">
        <f>IF(C411="","",N(D411)*N(E411))</f>
        <v/>
      </c>
    </row>
    <row r="412" ht="21" customHeight="1">
      <c r="A412" s="9">
        <f>IF(C412="","",IF(COUNTIF('الفواتير'!$D$7:$D$206,B412)=0,"⛔",ROW()-6))</f>
        <v/>
      </c>
      <c r="B412" s="12" t="n"/>
      <c r="C412" s="10" t="n"/>
      <c r="D412" s="12" t="n"/>
      <c r="E412" s="13" t="n"/>
      <c r="F412" s="14">
        <f>IF(C412="","",N(D412)*N(E412))</f>
        <v/>
      </c>
    </row>
    <row r="413" ht="21" customHeight="1">
      <c r="A413" s="9">
        <f>IF(C413="","",IF(COUNTIF('الفواتير'!$D$7:$D$206,B413)=0,"⛔",ROW()-6))</f>
        <v/>
      </c>
      <c r="B413" s="12" t="n"/>
      <c r="C413" s="10" t="n"/>
      <c r="D413" s="12" t="n"/>
      <c r="E413" s="13" t="n"/>
      <c r="F413" s="14">
        <f>IF(C413="","",N(D413)*N(E413))</f>
        <v/>
      </c>
    </row>
    <row r="414" ht="21" customHeight="1">
      <c r="A414" s="9">
        <f>IF(C414="","",IF(COUNTIF('الفواتير'!$D$7:$D$206,B414)=0,"⛔",ROW()-6))</f>
        <v/>
      </c>
      <c r="B414" s="12" t="n"/>
      <c r="C414" s="10" t="n"/>
      <c r="D414" s="12" t="n"/>
      <c r="E414" s="13" t="n"/>
      <c r="F414" s="14">
        <f>IF(C414="","",N(D414)*N(E414))</f>
        <v/>
      </c>
    </row>
    <row r="415" ht="21" customHeight="1">
      <c r="A415" s="9">
        <f>IF(C415="","",IF(COUNTIF('الفواتير'!$D$7:$D$206,B415)=0,"⛔",ROW()-6))</f>
        <v/>
      </c>
      <c r="B415" s="12" t="n"/>
      <c r="C415" s="10" t="n"/>
      <c r="D415" s="12" t="n"/>
      <c r="E415" s="13" t="n"/>
      <c r="F415" s="14">
        <f>IF(C415="","",N(D415)*N(E415))</f>
        <v/>
      </c>
    </row>
    <row r="416" ht="21" customHeight="1">
      <c r="A416" s="9">
        <f>IF(C416="","",IF(COUNTIF('الفواتير'!$D$7:$D$206,B416)=0,"⛔",ROW()-6))</f>
        <v/>
      </c>
      <c r="B416" s="12" t="n"/>
      <c r="C416" s="10" t="n"/>
      <c r="D416" s="12" t="n"/>
      <c r="E416" s="13" t="n"/>
      <c r="F416" s="14">
        <f>IF(C416="","",N(D416)*N(E416))</f>
        <v/>
      </c>
    </row>
    <row r="417" ht="21" customHeight="1">
      <c r="A417" s="9">
        <f>IF(C417="","",IF(COUNTIF('الفواتير'!$D$7:$D$206,B417)=0,"⛔",ROW()-6))</f>
        <v/>
      </c>
      <c r="B417" s="12" t="n"/>
      <c r="C417" s="10" t="n"/>
      <c r="D417" s="12" t="n"/>
      <c r="E417" s="13" t="n"/>
      <c r="F417" s="14">
        <f>IF(C417="","",N(D417)*N(E417))</f>
        <v/>
      </c>
    </row>
    <row r="418" ht="21" customHeight="1">
      <c r="A418" s="9">
        <f>IF(C418="","",IF(COUNTIF('الفواتير'!$D$7:$D$206,B418)=0,"⛔",ROW()-6))</f>
        <v/>
      </c>
      <c r="B418" s="12" t="n"/>
      <c r="C418" s="10" t="n"/>
      <c r="D418" s="12" t="n"/>
      <c r="E418" s="13" t="n"/>
      <c r="F418" s="14">
        <f>IF(C418="","",N(D418)*N(E418))</f>
        <v/>
      </c>
    </row>
    <row r="419" ht="21" customHeight="1">
      <c r="A419" s="9">
        <f>IF(C419="","",IF(COUNTIF('الفواتير'!$D$7:$D$206,B419)=0,"⛔",ROW()-6))</f>
        <v/>
      </c>
      <c r="B419" s="12" t="n"/>
      <c r="C419" s="10" t="n"/>
      <c r="D419" s="12" t="n"/>
      <c r="E419" s="13" t="n"/>
      <c r="F419" s="14">
        <f>IF(C419="","",N(D419)*N(E419))</f>
        <v/>
      </c>
    </row>
    <row r="420" ht="21" customHeight="1">
      <c r="A420" s="9">
        <f>IF(C420="","",IF(COUNTIF('الفواتير'!$D$7:$D$206,B420)=0,"⛔",ROW()-6))</f>
        <v/>
      </c>
      <c r="B420" s="12" t="n"/>
      <c r="C420" s="10" t="n"/>
      <c r="D420" s="12" t="n"/>
      <c r="E420" s="13" t="n"/>
      <c r="F420" s="14">
        <f>IF(C420="","",N(D420)*N(E420))</f>
        <v/>
      </c>
    </row>
    <row r="421" ht="21" customHeight="1">
      <c r="A421" s="9">
        <f>IF(C421="","",IF(COUNTIF('الفواتير'!$D$7:$D$206,B421)=0,"⛔",ROW()-6))</f>
        <v/>
      </c>
      <c r="B421" s="12" t="n"/>
      <c r="C421" s="10" t="n"/>
      <c r="D421" s="12" t="n"/>
      <c r="E421" s="13" t="n"/>
      <c r="F421" s="14">
        <f>IF(C421="","",N(D421)*N(E421))</f>
        <v/>
      </c>
    </row>
    <row r="422" ht="21" customHeight="1">
      <c r="A422" s="9">
        <f>IF(C422="","",IF(COUNTIF('الفواتير'!$D$7:$D$206,B422)=0,"⛔",ROW()-6))</f>
        <v/>
      </c>
      <c r="B422" s="12" t="n"/>
      <c r="C422" s="10" t="n"/>
      <c r="D422" s="12" t="n"/>
      <c r="E422" s="13" t="n"/>
      <c r="F422" s="14">
        <f>IF(C422="","",N(D422)*N(E422))</f>
        <v/>
      </c>
    </row>
    <row r="423" ht="21" customHeight="1">
      <c r="A423" s="9">
        <f>IF(C423="","",IF(COUNTIF('الفواتير'!$D$7:$D$206,B423)=0,"⛔",ROW()-6))</f>
        <v/>
      </c>
      <c r="B423" s="12" t="n"/>
      <c r="C423" s="10" t="n"/>
      <c r="D423" s="12" t="n"/>
      <c r="E423" s="13" t="n"/>
      <c r="F423" s="14">
        <f>IF(C423="","",N(D423)*N(E423))</f>
        <v/>
      </c>
    </row>
    <row r="424" ht="21" customHeight="1">
      <c r="A424" s="9">
        <f>IF(C424="","",IF(COUNTIF('الفواتير'!$D$7:$D$206,B424)=0,"⛔",ROW()-6))</f>
        <v/>
      </c>
      <c r="B424" s="12" t="n"/>
      <c r="C424" s="10" t="n"/>
      <c r="D424" s="12" t="n"/>
      <c r="E424" s="13" t="n"/>
      <c r="F424" s="14">
        <f>IF(C424="","",N(D424)*N(E424))</f>
        <v/>
      </c>
    </row>
    <row r="425" ht="21" customHeight="1">
      <c r="A425" s="9">
        <f>IF(C425="","",IF(COUNTIF('الفواتير'!$D$7:$D$206,B425)=0,"⛔",ROW()-6))</f>
        <v/>
      </c>
      <c r="B425" s="12" t="n"/>
      <c r="C425" s="10" t="n"/>
      <c r="D425" s="12" t="n"/>
      <c r="E425" s="13" t="n"/>
      <c r="F425" s="14">
        <f>IF(C425="","",N(D425)*N(E425))</f>
        <v/>
      </c>
    </row>
    <row r="426" ht="21" customHeight="1">
      <c r="A426" s="9">
        <f>IF(C426="","",IF(COUNTIF('الفواتير'!$D$7:$D$206,B426)=0,"⛔",ROW()-6))</f>
        <v/>
      </c>
      <c r="B426" s="12" t="n"/>
      <c r="C426" s="10" t="n"/>
      <c r="D426" s="12" t="n"/>
      <c r="E426" s="13" t="n"/>
      <c r="F426" s="14">
        <f>IF(C426="","",N(D426)*N(E426))</f>
        <v/>
      </c>
    </row>
    <row r="427" ht="21" customHeight="1">
      <c r="A427" s="9">
        <f>IF(C427="","",IF(COUNTIF('الفواتير'!$D$7:$D$206,B427)=0,"⛔",ROW()-6))</f>
        <v/>
      </c>
      <c r="B427" s="12" t="n"/>
      <c r="C427" s="10" t="n"/>
      <c r="D427" s="12" t="n"/>
      <c r="E427" s="13" t="n"/>
      <c r="F427" s="14">
        <f>IF(C427="","",N(D427)*N(E427))</f>
        <v/>
      </c>
    </row>
    <row r="428" ht="21" customHeight="1">
      <c r="A428" s="9">
        <f>IF(C428="","",IF(COUNTIF('الفواتير'!$D$7:$D$206,B428)=0,"⛔",ROW()-6))</f>
        <v/>
      </c>
      <c r="B428" s="12" t="n"/>
      <c r="C428" s="10" t="n"/>
      <c r="D428" s="12" t="n"/>
      <c r="E428" s="13" t="n"/>
      <c r="F428" s="14">
        <f>IF(C428="","",N(D428)*N(E428))</f>
        <v/>
      </c>
    </row>
    <row r="429" ht="21" customHeight="1">
      <c r="A429" s="9">
        <f>IF(C429="","",IF(COUNTIF('الفواتير'!$D$7:$D$206,B429)=0,"⛔",ROW()-6))</f>
        <v/>
      </c>
      <c r="B429" s="12" t="n"/>
      <c r="C429" s="10" t="n"/>
      <c r="D429" s="12" t="n"/>
      <c r="E429" s="13" t="n"/>
      <c r="F429" s="14">
        <f>IF(C429="","",N(D429)*N(E429))</f>
        <v/>
      </c>
    </row>
    <row r="430" ht="21" customHeight="1">
      <c r="A430" s="9">
        <f>IF(C430="","",IF(COUNTIF('الفواتير'!$D$7:$D$206,B430)=0,"⛔",ROW()-6))</f>
        <v/>
      </c>
      <c r="B430" s="12" t="n"/>
      <c r="C430" s="10" t="n"/>
      <c r="D430" s="12" t="n"/>
      <c r="E430" s="13" t="n"/>
      <c r="F430" s="14">
        <f>IF(C430="","",N(D430)*N(E430))</f>
        <v/>
      </c>
    </row>
    <row r="431" ht="21" customHeight="1">
      <c r="A431" s="9">
        <f>IF(C431="","",IF(COUNTIF('الفواتير'!$D$7:$D$206,B431)=0,"⛔",ROW()-6))</f>
        <v/>
      </c>
      <c r="B431" s="12" t="n"/>
      <c r="C431" s="10" t="n"/>
      <c r="D431" s="12" t="n"/>
      <c r="E431" s="13" t="n"/>
      <c r="F431" s="14">
        <f>IF(C431="","",N(D431)*N(E431))</f>
        <v/>
      </c>
    </row>
    <row r="432" ht="21" customHeight="1">
      <c r="A432" s="9">
        <f>IF(C432="","",IF(COUNTIF('الفواتير'!$D$7:$D$206,B432)=0,"⛔",ROW()-6))</f>
        <v/>
      </c>
      <c r="B432" s="12" t="n"/>
      <c r="C432" s="10" t="n"/>
      <c r="D432" s="12" t="n"/>
      <c r="E432" s="13" t="n"/>
      <c r="F432" s="14">
        <f>IF(C432="","",N(D432)*N(E432))</f>
        <v/>
      </c>
    </row>
    <row r="433" ht="21" customHeight="1">
      <c r="A433" s="9">
        <f>IF(C433="","",IF(COUNTIF('الفواتير'!$D$7:$D$206,B433)=0,"⛔",ROW()-6))</f>
        <v/>
      </c>
      <c r="B433" s="12" t="n"/>
      <c r="C433" s="10" t="n"/>
      <c r="D433" s="12" t="n"/>
      <c r="E433" s="13" t="n"/>
      <c r="F433" s="14">
        <f>IF(C433="","",N(D433)*N(E433))</f>
        <v/>
      </c>
    </row>
    <row r="434" ht="21" customHeight="1">
      <c r="A434" s="9">
        <f>IF(C434="","",IF(COUNTIF('الفواتير'!$D$7:$D$206,B434)=0,"⛔",ROW()-6))</f>
        <v/>
      </c>
      <c r="B434" s="12" t="n"/>
      <c r="C434" s="10" t="n"/>
      <c r="D434" s="12" t="n"/>
      <c r="E434" s="13" t="n"/>
      <c r="F434" s="14">
        <f>IF(C434="","",N(D434)*N(E434))</f>
        <v/>
      </c>
    </row>
    <row r="435" ht="21" customHeight="1">
      <c r="A435" s="9">
        <f>IF(C435="","",IF(COUNTIF('الفواتير'!$D$7:$D$206,B435)=0,"⛔",ROW()-6))</f>
        <v/>
      </c>
      <c r="B435" s="12" t="n"/>
      <c r="C435" s="10" t="n"/>
      <c r="D435" s="12" t="n"/>
      <c r="E435" s="13" t="n"/>
      <c r="F435" s="14">
        <f>IF(C435="","",N(D435)*N(E435))</f>
        <v/>
      </c>
    </row>
    <row r="436" ht="21" customHeight="1">
      <c r="A436" s="9">
        <f>IF(C436="","",IF(COUNTIF('الفواتير'!$D$7:$D$206,B436)=0,"⛔",ROW()-6))</f>
        <v/>
      </c>
      <c r="B436" s="12" t="n"/>
      <c r="C436" s="10" t="n"/>
      <c r="D436" s="12" t="n"/>
      <c r="E436" s="13" t="n"/>
      <c r="F436" s="14">
        <f>IF(C436="","",N(D436)*N(E436))</f>
        <v/>
      </c>
    </row>
    <row r="437" ht="21" customHeight="1">
      <c r="A437" s="9">
        <f>IF(C437="","",IF(COUNTIF('الفواتير'!$D$7:$D$206,B437)=0,"⛔",ROW()-6))</f>
        <v/>
      </c>
      <c r="B437" s="12" t="n"/>
      <c r="C437" s="10" t="n"/>
      <c r="D437" s="12" t="n"/>
      <c r="E437" s="13" t="n"/>
      <c r="F437" s="14">
        <f>IF(C437="","",N(D437)*N(E437))</f>
        <v/>
      </c>
    </row>
    <row r="438" ht="21" customHeight="1">
      <c r="A438" s="9">
        <f>IF(C438="","",IF(COUNTIF('الفواتير'!$D$7:$D$206,B438)=0,"⛔",ROW()-6))</f>
        <v/>
      </c>
      <c r="B438" s="12" t="n"/>
      <c r="C438" s="10" t="n"/>
      <c r="D438" s="12" t="n"/>
      <c r="E438" s="13" t="n"/>
      <c r="F438" s="14">
        <f>IF(C438="","",N(D438)*N(E438))</f>
        <v/>
      </c>
    </row>
    <row r="439" ht="21" customHeight="1">
      <c r="A439" s="9">
        <f>IF(C439="","",IF(COUNTIF('الفواتير'!$D$7:$D$206,B439)=0,"⛔",ROW()-6))</f>
        <v/>
      </c>
      <c r="B439" s="12" t="n"/>
      <c r="C439" s="10" t="n"/>
      <c r="D439" s="12" t="n"/>
      <c r="E439" s="13" t="n"/>
      <c r="F439" s="14">
        <f>IF(C439="","",N(D439)*N(E439))</f>
        <v/>
      </c>
    </row>
    <row r="440" ht="21" customHeight="1">
      <c r="A440" s="9">
        <f>IF(C440="","",IF(COUNTIF('الفواتير'!$D$7:$D$206,B440)=0,"⛔",ROW()-6))</f>
        <v/>
      </c>
      <c r="B440" s="12" t="n"/>
      <c r="C440" s="10" t="n"/>
      <c r="D440" s="12" t="n"/>
      <c r="E440" s="13" t="n"/>
      <c r="F440" s="14">
        <f>IF(C440="","",N(D440)*N(E440))</f>
        <v/>
      </c>
    </row>
    <row r="441" ht="21" customHeight="1">
      <c r="A441" s="9">
        <f>IF(C441="","",IF(COUNTIF('الفواتير'!$D$7:$D$206,B441)=0,"⛔",ROW()-6))</f>
        <v/>
      </c>
      <c r="B441" s="12" t="n"/>
      <c r="C441" s="10" t="n"/>
      <c r="D441" s="12" t="n"/>
      <c r="E441" s="13" t="n"/>
      <c r="F441" s="14">
        <f>IF(C441="","",N(D441)*N(E441))</f>
        <v/>
      </c>
    </row>
    <row r="442" ht="21" customHeight="1">
      <c r="A442" s="9">
        <f>IF(C442="","",IF(COUNTIF('الفواتير'!$D$7:$D$206,B442)=0,"⛔",ROW()-6))</f>
        <v/>
      </c>
      <c r="B442" s="12" t="n"/>
      <c r="C442" s="10" t="n"/>
      <c r="D442" s="12" t="n"/>
      <c r="E442" s="13" t="n"/>
      <c r="F442" s="14">
        <f>IF(C442="","",N(D442)*N(E442))</f>
        <v/>
      </c>
    </row>
    <row r="443" ht="21" customHeight="1">
      <c r="A443" s="9">
        <f>IF(C443="","",IF(COUNTIF('الفواتير'!$D$7:$D$206,B443)=0,"⛔",ROW()-6))</f>
        <v/>
      </c>
      <c r="B443" s="12" t="n"/>
      <c r="C443" s="10" t="n"/>
      <c r="D443" s="12" t="n"/>
      <c r="E443" s="13" t="n"/>
      <c r="F443" s="14">
        <f>IF(C443="","",N(D443)*N(E443))</f>
        <v/>
      </c>
    </row>
    <row r="444" ht="21" customHeight="1">
      <c r="A444" s="9">
        <f>IF(C444="","",IF(COUNTIF('الفواتير'!$D$7:$D$206,B444)=0,"⛔",ROW()-6))</f>
        <v/>
      </c>
      <c r="B444" s="12" t="n"/>
      <c r="C444" s="10" t="n"/>
      <c r="D444" s="12" t="n"/>
      <c r="E444" s="13" t="n"/>
      <c r="F444" s="14">
        <f>IF(C444="","",N(D444)*N(E444))</f>
        <v/>
      </c>
    </row>
    <row r="445" ht="21" customHeight="1">
      <c r="A445" s="9">
        <f>IF(C445="","",IF(COUNTIF('الفواتير'!$D$7:$D$206,B445)=0,"⛔",ROW()-6))</f>
        <v/>
      </c>
      <c r="B445" s="12" t="n"/>
      <c r="C445" s="10" t="n"/>
      <c r="D445" s="12" t="n"/>
      <c r="E445" s="13" t="n"/>
      <c r="F445" s="14">
        <f>IF(C445="","",N(D445)*N(E445))</f>
        <v/>
      </c>
    </row>
    <row r="446" ht="21" customHeight="1">
      <c r="A446" s="9">
        <f>IF(C446="","",IF(COUNTIF('الفواتير'!$D$7:$D$206,B446)=0,"⛔",ROW()-6))</f>
        <v/>
      </c>
      <c r="B446" s="12" t="n"/>
      <c r="C446" s="10" t="n"/>
      <c r="D446" s="12" t="n"/>
      <c r="E446" s="13" t="n"/>
      <c r="F446" s="14">
        <f>IF(C446="","",N(D446)*N(E446))</f>
        <v/>
      </c>
    </row>
    <row r="447" ht="21" customHeight="1">
      <c r="A447" s="9">
        <f>IF(C447="","",IF(COUNTIF('الفواتير'!$D$7:$D$206,B447)=0,"⛔",ROW()-6))</f>
        <v/>
      </c>
      <c r="B447" s="12" t="n"/>
      <c r="C447" s="10" t="n"/>
      <c r="D447" s="12" t="n"/>
      <c r="E447" s="13" t="n"/>
      <c r="F447" s="14">
        <f>IF(C447="","",N(D447)*N(E447))</f>
        <v/>
      </c>
    </row>
    <row r="448" ht="21" customHeight="1">
      <c r="A448" s="9">
        <f>IF(C448="","",IF(COUNTIF('الفواتير'!$D$7:$D$206,B448)=0,"⛔",ROW()-6))</f>
        <v/>
      </c>
      <c r="B448" s="12" t="n"/>
      <c r="C448" s="10" t="n"/>
      <c r="D448" s="12" t="n"/>
      <c r="E448" s="13" t="n"/>
      <c r="F448" s="14">
        <f>IF(C448="","",N(D448)*N(E448))</f>
        <v/>
      </c>
    </row>
    <row r="449" ht="21" customHeight="1">
      <c r="A449" s="9">
        <f>IF(C449="","",IF(COUNTIF('الفواتير'!$D$7:$D$206,B449)=0,"⛔",ROW()-6))</f>
        <v/>
      </c>
      <c r="B449" s="12" t="n"/>
      <c r="C449" s="10" t="n"/>
      <c r="D449" s="12" t="n"/>
      <c r="E449" s="13" t="n"/>
      <c r="F449" s="14">
        <f>IF(C449="","",N(D449)*N(E449))</f>
        <v/>
      </c>
    </row>
    <row r="450" ht="21" customHeight="1">
      <c r="A450" s="9">
        <f>IF(C450="","",IF(COUNTIF('الفواتير'!$D$7:$D$206,B450)=0,"⛔",ROW()-6))</f>
        <v/>
      </c>
      <c r="B450" s="12" t="n"/>
      <c r="C450" s="10" t="n"/>
      <c r="D450" s="12" t="n"/>
      <c r="E450" s="13" t="n"/>
      <c r="F450" s="14">
        <f>IF(C450="","",N(D450)*N(E450))</f>
        <v/>
      </c>
    </row>
    <row r="451" ht="21" customHeight="1">
      <c r="A451" s="9">
        <f>IF(C451="","",IF(COUNTIF('الفواتير'!$D$7:$D$206,B451)=0,"⛔",ROW()-6))</f>
        <v/>
      </c>
      <c r="B451" s="12" t="n"/>
      <c r="C451" s="10" t="n"/>
      <c r="D451" s="12" t="n"/>
      <c r="E451" s="13" t="n"/>
      <c r="F451" s="14">
        <f>IF(C451="","",N(D451)*N(E451))</f>
        <v/>
      </c>
    </row>
    <row r="452" ht="21" customHeight="1">
      <c r="A452" s="9">
        <f>IF(C452="","",IF(COUNTIF('الفواتير'!$D$7:$D$206,B452)=0,"⛔",ROW()-6))</f>
        <v/>
      </c>
      <c r="B452" s="12" t="n"/>
      <c r="C452" s="10" t="n"/>
      <c r="D452" s="12" t="n"/>
      <c r="E452" s="13" t="n"/>
      <c r="F452" s="14">
        <f>IF(C452="","",N(D452)*N(E452))</f>
        <v/>
      </c>
    </row>
    <row r="453" ht="21" customHeight="1">
      <c r="A453" s="9">
        <f>IF(C453="","",IF(COUNTIF('الفواتير'!$D$7:$D$206,B453)=0,"⛔",ROW()-6))</f>
        <v/>
      </c>
      <c r="B453" s="12" t="n"/>
      <c r="C453" s="10" t="n"/>
      <c r="D453" s="12" t="n"/>
      <c r="E453" s="13" t="n"/>
      <c r="F453" s="14">
        <f>IF(C453="","",N(D453)*N(E453))</f>
        <v/>
      </c>
    </row>
    <row r="454" ht="21" customHeight="1">
      <c r="A454" s="9">
        <f>IF(C454="","",IF(COUNTIF('الفواتير'!$D$7:$D$206,B454)=0,"⛔",ROW()-6))</f>
        <v/>
      </c>
      <c r="B454" s="12" t="n"/>
      <c r="C454" s="10" t="n"/>
      <c r="D454" s="12" t="n"/>
      <c r="E454" s="13" t="n"/>
      <c r="F454" s="14">
        <f>IF(C454="","",N(D454)*N(E454))</f>
        <v/>
      </c>
    </row>
    <row r="455" ht="21" customHeight="1">
      <c r="A455" s="9">
        <f>IF(C455="","",IF(COUNTIF('الفواتير'!$D$7:$D$206,B455)=0,"⛔",ROW()-6))</f>
        <v/>
      </c>
      <c r="B455" s="12" t="n"/>
      <c r="C455" s="10" t="n"/>
      <c r="D455" s="12" t="n"/>
      <c r="E455" s="13" t="n"/>
      <c r="F455" s="14">
        <f>IF(C455="","",N(D455)*N(E455))</f>
        <v/>
      </c>
    </row>
    <row r="456" ht="21" customHeight="1">
      <c r="A456" s="9">
        <f>IF(C456="","",IF(COUNTIF('الفواتير'!$D$7:$D$206,B456)=0,"⛔",ROW()-6))</f>
        <v/>
      </c>
      <c r="B456" s="12" t="n"/>
      <c r="C456" s="10" t="n"/>
      <c r="D456" s="12" t="n"/>
      <c r="E456" s="13" t="n"/>
      <c r="F456" s="14">
        <f>IF(C456="","",N(D456)*N(E456))</f>
        <v/>
      </c>
    </row>
    <row r="457" ht="21" customHeight="1">
      <c r="A457" s="9">
        <f>IF(C457="","",IF(COUNTIF('الفواتير'!$D$7:$D$206,B457)=0,"⛔",ROW()-6))</f>
        <v/>
      </c>
      <c r="B457" s="12" t="n"/>
      <c r="C457" s="10" t="n"/>
      <c r="D457" s="12" t="n"/>
      <c r="E457" s="13" t="n"/>
      <c r="F457" s="14">
        <f>IF(C457="","",N(D457)*N(E457))</f>
        <v/>
      </c>
    </row>
    <row r="458" ht="21" customHeight="1">
      <c r="A458" s="9">
        <f>IF(C458="","",IF(COUNTIF('الفواتير'!$D$7:$D$206,B458)=0,"⛔",ROW()-6))</f>
        <v/>
      </c>
      <c r="B458" s="12" t="n"/>
      <c r="C458" s="10" t="n"/>
      <c r="D458" s="12" t="n"/>
      <c r="E458" s="13" t="n"/>
      <c r="F458" s="14">
        <f>IF(C458="","",N(D458)*N(E458))</f>
        <v/>
      </c>
    </row>
    <row r="459" ht="21" customHeight="1">
      <c r="A459" s="9">
        <f>IF(C459="","",IF(COUNTIF('الفواتير'!$D$7:$D$206,B459)=0,"⛔",ROW()-6))</f>
        <v/>
      </c>
      <c r="B459" s="12" t="n"/>
      <c r="C459" s="10" t="n"/>
      <c r="D459" s="12" t="n"/>
      <c r="E459" s="13" t="n"/>
      <c r="F459" s="14">
        <f>IF(C459="","",N(D459)*N(E459))</f>
        <v/>
      </c>
    </row>
    <row r="460" ht="21" customHeight="1">
      <c r="A460" s="9">
        <f>IF(C460="","",IF(COUNTIF('الفواتير'!$D$7:$D$206,B460)=0,"⛔",ROW()-6))</f>
        <v/>
      </c>
      <c r="B460" s="12" t="n"/>
      <c r="C460" s="10" t="n"/>
      <c r="D460" s="12" t="n"/>
      <c r="E460" s="13" t="n"/>
      <c r="F460" s="14">
        <f>IF(C460="","",N(D460)*N(E460))</f>
        <v/>
      </c>
    </row>
    <row r="461" ht="21" customHeight="1">
      <c r="A461" s="9">
        <f>IF(C461="","",IF(COUNTIF('الفواتير'!$D$7:$D$206,B461)=0,"⛔",ROW()-6))</f>
        <v/>
      </c>
      <c r="B461" s="12" t="n"/>
      <c r="C461" s="10" t="n"/>
      <c r="D461" s="12" t="n"/>
      <c r="E461" s="13" t="n"/>
      <c r="F461" s="14">
        <f>IF(C461="","",N(D461)*N(E461))</f>
        <v/>
      </c>
    </row>
    <row r="462" ht="21" customHeight="1">
      <c r="A462" s="9">
        <f>IF(C462="","",IF(COUNTIF('الفواتير'!$D$7:$D$206,B462)=0,"⛔",ROW()-6))</f>
        <v/>
      </c>
      <c r="B462" s="12" t="n"/>
      <c r="C462" s="10" t="n"/>
      <c r="D462" s="12" t="n"/>
      <c r="E462" s="13" t="n"/>
      <c r="F462" s="14">
        <f>IF(C462="","",N(D462)*N(E462))</f>
        <v/>
      </c>
    </row>
    <row r="463" ht="21" customHeight="1">
      <c r="A463" s="9">
        <f>IF(C463="","",IF(COUNTIF('الفواتير'!$D$7:$D$206,B463)=0,"⛔",ROW()-6))</f>
        <v/>
      </c>
      <c r="B463" s="12" t="n"/>
      <c r="C463" s="10" t="n"/>
      <c r="D463" s="12" t="n"/>
      <c r="E463" s="13" t="n"/>
      <c r="F463" s="14">
        <f>IF(C463="","",N(D463)*N(E463))</f>
        <v/>
      </c>
    </row>
    <row r="464" ht="21" customHeight="1">
      <c r="A464" s="9">
        <f>IF(C464="","",IF(COUNTIF('الفواتير'!$D$7:$D$206,B464)=0,"⛔",ROW()-6))</f>
        <v/>
      </c>
      <c r="B464" s="12" t="n"/>
      <c r="C464" s="10" t="n"/>
      <c r="D464" s="12" t="n"/>
      <c r="E464" s="13" t="n"/>
      <c r="F464" s="14">
        <f>IF(C464="","",N(D464)*N(E464))</f>
        <v/>
      </c>
    </row>
    <row r="465" ht="21" customHeight="1">
      <c r="A465" s="9">
        <f>IF(C465="","",IF(COUNTIF('الفواتير'!$D$7:$D$206,B465)=0,"⛔",ROW()-6))</f>
        <v/>
      </c>
      <c r="B465" s="12" t="n"/>
      <c r="C465" s="10" t="n"/>
      <c r="D465" s="12" t="n"/>
      <c r="E465" s="13" t="n"/>
      <c r="F465" s="14">
        <f>IF(C465="","",N(D465)*N(E465))</f>
        <v/>
      </c>
    </row>
    <row r="466" ht="21" customHeight="1">
      <c r="A466" s="9">
        <f>IF(C466="","",IF(COUNTIF('الفواتير'!$D$7:$D$206,B466)=0,"⛔",ROW()-6))</f>
        <v/>
      </c>
      <c r="B466" s="12" t="n"/>
      <c r="C466" s="10" t="n"/>
      <c r="D466" s="12" t="n"/>
      <c r="E466" s="13" t="n"/>
      <c r="F466" s="14">
        <f>IF(C466="","",N(D466)*N(E466))</f>
        <v/>
      </c>
    </row>
    <row r="467" ht="21" customHeight="1">
      <c r="A467" s="9">
        <f>IF(C467="","",IF(COUNTIF('الفواتير'!$D$7:$D$206,B467)=0,"⛔",ROW()-6))</f>
        <v/>
      </c>
      <c r="B467" s="12" t="n"/>
      <c r="C467" s="10" t="n"/>
      <c r="D467" s="12" t="n"/>
      <c r="E467" s="13" t="n"/>
      <c r="F467" s="14">
        <f>IF(C467="","",N(D467)*N(E467))</f>
        <v/>
      </c>
    </row>
    <row r="468" ht="21" customHeight="1">
      <c r="A468" s="9">
        <f>IF(C468="","",IF(COUNTIF('الفواتير'!$D$7:$D$206,B468)=0,"⛔",ROW()-6))</f>
        <v/>
      </c>
      <c r="B468" s="12" t="n"/>
      <c r="C468" s="10" t="n"/>
      <c r="D468" s="12" t="n"/>
      <c r="E468" s="13" t="n"/>
      <c r="F468" s="14">
        <f>IF(C468="","",N(D468)*N(E468))</f>
        <v/>
      </c>
    </row>
    <row r="469" ht="21" customHeight="1">
      <c r="A469" s="9">
        <f>IF(C469="","",IF(COUNTIF('الفواتير'!$D$7:$D$206,B469)=0,"⛔",ROW()-6))</f>
        <v/>
      </c>
      <c r="B469" s="12" t="n"/>
      <c r="C469" s="10" t="n"/>
      <c r="D469" s="12" t="n"/>
      <c r="E469" s="13" t="n"/>
      <c r="F469" s="14">
        <f>IF(C469="","",N(D469)*N(E469))</f>
        <v/>
      </c>
    </row>
    <row r="470" ht="21" customHeight="1">
      <c r="A470" s="9">
        <f>IF(C470="","",IF(COUNTIF('الفواتير'!$D$7:$D$206,B470)=0,"⛔",ROW()-6))</f>
        <v/>
      </c>
      <c r="B470" s="12" t="n"/>
      <c r="C470" s="10" t="n"/>
      <c r="D470" s="12" t="n"/>
      <c r="E470" s="13" t="n"/>
      <c r="F470" s="14">
        <f>IF(C470="","",N(D470)*N(E470))</f>
        <v/>
      </c>
    </row>
    <row r="471" ht="21" customHeight="1">
      <c r="A471" s="9">
        <f>IF(C471="","",IF(COUNTIF('الفواتير'!$D$7:$D$206,B471)=0,"⛔",ROW()-6))</f>
        <v/>
      </c>
      <c r="B471" s="12" t="n"/>
      <c r="C471" s="10" t="n"/>
      <c r="D471" s="12" t="n"/>
      <c r="E471" s="13" t="n"/>
      <c r="F471" s="14">
        <f>IF(C471="","",N(D471)*N(E471))</f>
        <v/>
      </c>
    </row>
    <row r="472" ht="21" customHeight="1">
      <c r="A472" s="9">
        <f>IF(C472="","",IF(COUNTIF('الفواتير'!$D$7:$D$206,B472)=0,"⛔",ROW()-6))</f>
        <v/>
      </c>
      <c r="B472" s="12" t="n"/>
      <c r="C472" s="10" t="n"/>
      <c r="D472" s="12" t="n"/>
      <c r="E472" s="13" t="n"/>
      <c r="F472" s="14">
        <f>IF(C472="","",N(D472)*N(E472))</f>
        <v/>
      </c>
    </row>
    <row r="473" ht="21" customHeight="1">
      <c r="A473" s="9">
        <f>IF(C473="","",IF(COUNTIF('الفواتير'!$D$7:$D$206,B473)=0,"⛔",ROW()-6))</f>
        <v/>
      </c>
      <c r="B473" s="12" t="n"/>
      <c r="C473" s="10" t="n"/>
      <c r="D473" s="12" t="n"/>
      <c r="E473" s="13" t="n"/>
      <c r="F473" s="14">
        <f>IF(C473="","",N(D473)*N(E473))</f>
        <v/>
      </c>
    </row>
    <row r="474" ht="21" customHeight="1">
      <c r="A474" s="9">
        <f>IF(C474="","",IF(COUNTIF('الفواتير'!$D$7:$D$206,B474)=0,"⛔",ROW()-6))</f>
        <v/>
      </c>
      <c r="B474" s="12" t="n"/>
      <c r="C474" s="10" t="n"/>
      <c r="D474" s="12" t="n"/>
      <c r="E474" s="13" t="n"/>
      <c r="F474" s="14">
        <f>IF(C474="","",N(D474)*N(E474))</f>
        <v/>
      </c>
    </row>
    <row r="475" ht="21" customHeight="1">
      <c r="A475" s="9">
        <f>IF(C475="","",IF(COUNTIF('الفواتير'!$D$7:$D$206,B475)=0,"⛔",ROW()-6))</f>
        <v/>
      </c>
      <c r="B475" s="12" t="n"/>
      <c r="C475" s="10" t="n"/>
      <c r="D475" s="12" t="n"/>
      <c r="E475" s="13" t="n"/>
      <c r="F475" s="14">
        <f>IF(C475="","",N(D475)*N(E475))</f>
        <v/>
      </c>
    </row>
    <row r="476" ht="21" customHeight="1">
      <c r="A476" s="9">
        <f>IF(C476="","",IF(COUNTIF('الفواتير'!$D$7:$D$206,B476)=0,"⛔",ROW()-6))</f>
        <v/>
      </c>
      <c r="B476" s="12" t="n"/>
      <c r="C476" s="10" t="n"/>
      <c r="D476" s="12" t="n"/>
      <c r="E476" s="13" t="n"/>
      <c r="F476" s="14">
        <f>IF(C476="","",N(D476)*N(E476))</f>
        <v/>
      </c>
    </row>
    <row r="477" ht="21" customHeight="1">
      <c r="A477" s="9">
        <f>IF(C477="","",IF(COUNTIF('الفواتير'!$D$7:$D$206,B477)=0,"⛔",ROW()-6))</f>
        <v/>
      </c>
      <c r="B477" s="12" t="n"/>
      <c r="C477" s="10" t="n"/>
      <c r="D477" s="12" t="n"/>
      <c r="E477" s="13" t="n"/>
      <c r="F477" s="14">
        <f>IF(C477="","",N(D477)*N(E477))</f>
        <v/>
      </c>
    </row>
    <row r="478" ht="21" customHeight="1">
      <c r="A478" s="9">
        <f>IF(C478="","",IF(COUNTIF('الفواتير'!$D$7:$D$206,B478)=0,"⛔",ROW()-6))</f>
        <v/>
      </c>
      <c r="B478" s="12" t="n"/>
      <c r="C478" s="10" t="n"/>
      <c r="D478" s="12" t="n"/>
      <c r="E478" s="13" t="n"/>
      <c r="F478" s="14">
        <f>IF(C478="","",N(D478)*N(E478))</f>
        <v/>
      </c>
    </row>
    <row r="479" ht="21" customHeight="1">
      <c r="A479" s="9">
        <f>IF(C479="","",IF(COUNTIF('الفواتير'!$D$7:$D$206,B479)=0,"⛔",ROW()-6))</f>
        <v/>
      </c>
      <c r="B479" s="12" t="n"/>
      <c r="C479" s="10" t="n"/>
      <c r="D479" s="12" t="n"/>
      <c r="E479" s="13" t="n"/>
      <c r="F479" s="14">
        <f>IF(C479="","",N(D479)*N(E479))</f>
        <v/>
      </c>
    </row>
    <row r="480" ht="21" customHeight="1">
      <c r="A480" s="9">
        <f>IF(C480="","",IF(COUNTIF('الفواتير'!$D$7:$D$206,B480)=0,"⛔",ROW()-6))</f>
        <v/>
      </c>
      <c r="B480" s="12" t="n"/>
      <c r="C480" s="10" t="n"/>
      <c r="D480" s="12" t="n"/>
      <c r="E480" s="13" t="n"/>
      <c r="F480" s="14">
        <f>IF(C480="","",N(D480)*N(E480))</f>
        <v/>
      </c>
    </row>
    <row r="481" ht="21" customHeight="1">
      <c r="A481" s="9">
        <f>IF(C481="","",IF(COUNTIF('الفواتير'!$D$7:$D$206,B481)=0,"⛔",ROW()-6))</f>
        <v/>
      </c>
      <c r="B481" s="12" t="n"/>
      <c r="C481" s="10" t="n"/>
      <c r="D481" s="12" t="n"/>
      <c r="E481" s="13" t="n"/>
      <c r="F481" s="14">
        <f>IF(C481="","",N(D481)*N(E481))</f>
        <v/>
      </c>
    </row>
    <row r="482" ht="21" customHeight="1">
      <c r="A482" s="9">
        <f>IF(C482="","",IF(COUNTIF('الفواتير'!$D$7:$D$206,B482)=0,"⛔",ROW()-6))</f>
        <v/>
      </c>
      <c r="B482" s="12" t="n"/>
      <c r="C482" s="10" t="n"/>
      <c r="D482" s="12" t="n"/>
      <c r="E482" s="13" t="n"/>
      <c r="F482" s="14">
        <f>IF(C482="","",N(D482)*N(E482))</f>
        <v/>
      </c>
    </row>
    <row r="483" ht="21" customHeight="1">
      <c r="A483" s="9">
        <f>IF(C483="","",IF(COUNTIF('الفواتير'!$D$7:$D$206,B483)=0,"⛔",ROW()-6))</f>
        <v/>
      </c>
      <c r="B483" s="12" t="n"/>
      <c r="C483" s="10" t="n"/>
      <c r="D483" s="12" t="n"/>
      <c r="E483" s="13" t="n"/>
      <c r="F483" s="14">
        <f>IF(C483="","",N(D483)*N(E483))</f>
        <v/>
      </c>
    </row>
    <row r="484" ht="21" customHeight="1">
      <c r="A484" s="9">
        <f>IF(C484="","",IF(COUNTIF('الفواتير'!$D$7:$D$206,B484)=0,"⛔",ROW()-6))</f>
        <v/>
      </c>
      <c r="B484" s="12" t="n"/>
      <c r="C484" s="10" t="n"/>
      <c r="D484" s="12" t="n"/>
      <c r="E484" s="13" t="n"/>
      <c r="F484" s="14">
        <f>IF(C484="","",N(D484)*N(E484))</f>
        <v/>
      </c>
    </row>
    <row r="485" ht="21" customHeight="1">
      <c r="A485" s="9">
        <f>IF(C485="","",IF(COUNTIF('الفواتير'!$D$7:$D$206,B485)=0,"⛔",ROW()-6))</f>
        <v/>
      </c>
      <c r="B485" s="12" t="n"/>
      <c r="C485" s="10" t="n"/>
      <c r="D485" s="12" t="n"/>
      <c r="E485" s="13" t="n"/>
      <c r="F485" s="14">
        <f>IF(C485="","",N(D485)*N(E485))</f>
        <v/>
      </c>
    </row>
    <row r="486" ht="21" customHeight="1">
      <c r="A486" s="9">
        <f>IF(C486="","",IF(COUNTIF('الفواتير'!$D$7:$D$206,B486)=0,"⛔",ROW()-6))</f>
        <v/>
      </c>
      <c r="B486" s="12" t="n"/>
      <c r="C486" s="10" t="n"/>
      <c r="D486" s="12" t="n"/>
      <c r="E486" s="13" t="n"/>
      <c r="F486" s="14">
        <f>IF(C486="","",N(D486)*N(E486))</f>
        <v/>
      </c>
    </row>
    <row r="487" ht="21" customHeight="1">
      <c r="A487" s="9">
        <f>IF(C487="","",IF(COUNTIF('الفواتير'!$D$7:$D$206,B487)=0,"⛔",ROW()-6))</f>
        <v/>
      </c>
      <c r="B487" s="12" t="n"/>
      <c r="C487" s="10" t="n"/>
      <c r="D487" s="12" t="n"/>
      <c r="E487" s="13" t="n"/>
      <c r="F487" s="14">
        <f>IF(C487="","",N(D487)*N(E487))</f>
        <v/>
      </c>
    </row>
    <row r="488" ht="21" customHeight="1">
      <c r="A488" s="9">
        <f>IF(C488="","",IF(COUNTIF('الفواتير'!$D$7:$D$206,B488)=0,"⛔",ROW()-6))</f>
        <v/>
      </c>
      <c r="B488" s="12" t="n"/>
      <c r="C488" s="10" t="n"/>
      <c r="D488" s="12" t="n"/>
      <c r="E488" s="13" t="n"/>
      <c r="F488" s="14">
        <f>IF(C488="","",N(D488)*N(E488))</f>
        <v/>
      </c>
    </row>
    <row r="489" ht="21" customHeight="1">
      <c r="A489" s="9">
        <f>IF(C489="","",IF(COUNTIF('الفواتير'!$D$7:$D$206,B489)=0,"⛔",ROW()-6))</f>
        <v/>
      </c>
      <c r="B489" s="12" t="n"/>
      <c r="C489" s="10" t="n"/>
      <c r="D489" s="12" t="n"/>
      <c r="E489" s="13" t="n"/>
      <c r="F489" s="14">
        <f>IF(C489="","",N(D489)*N(E489))</f>
        <v/>
      </c>
    </row>
    <row r="490" ht="21" customHeight="1">
      <c r="A490" s="9">
        <f>IF(C490="","",IF(COUNTIF('الفواتير'!$D$7:$D$206,B490)=0,"⛔",ROW()-6))</f>
        <v/>
      </c>
      <c r="B490" s="12" t="n"/>
      <c r="C490" s="10" t="n"/>
      <c r="D490" s="12" t="n"/>
      <c r="E490" s="13" t="n"/>
      <c r="F490" s="14">
        <f>IF(C490="","",N(D490)*N(E490))</f>
        <v/>
      </c>
    </row>
    <row r="491" ht="21" customHeight="1">
      <c r="A491" s="9">
        <f>IF(C491="","",IF(COUNTIF('الفواتير'!$D$7:$D$206,B491)=0,"⛔",ROW()-6))</f>
        <v/>
      </c>
      <c r="B491" s="12" t="n"/>
      <c r="C491" s="10" t="n"/>
      <c r="D491" s="12" t="n"/>
      <c r="E491" s="13" t="n"/>
      <c r="F491" s="14">
        <f>IF(C491="","",N(D491)*N(E491))</f>
        <v/>
      </c>
    </row>
    <row r="492" ht="21" customHeight="1">
      <c r="A492" s="9">
        <f>IF(C492="","",IF(COUNTIF('الفواتير'!$D$7:$D$206,B492)=0,"⛔",ROW()-6))</f>
        <v/>
      </c>
      <c r="B492" s="12" t="n"/>
      <c r="C492" s="10" t="n"/>
      <c r="D492" s="12" t="n"/>
      <c r="E492" s="13" t="n"/>
      <c r="F492" s="14">
        <f>IF(C492="","",N(D492)*N(E492))</f>
        <v/>
      </c>
    </row>
    <row r="493" ht="21" customHeight="1">
      <c r="A493" s="9">
        <f>IF(C493="","",IF(COUNTIF('الفواتير'!$D$7:$D$206,B493)=0,"⛔",ROW()-6))</f>
        <v/>
      </c>
      <c r="B493" s="12" t="n"/>
      <c r="C493" s="10" t="n"/>
      <c r="D493" s="12" t="n"/>
      <c r="E493" s="13" t="n"/>
      <c r="F493" s="14">
        <f>IF(C493="","",N(D493)*N(E493))</f>
        <v/>
      </c>
    </row>
    <row r="494" ht="21" customHeight="1">
      <c r="A494" s="9">
        <f>IF(C494="","",IF(COUNTIF('الفواتير'!$D$7:$D$206,B494)=0,"⛔",ROW()-6))</f>
        <v/>
      </c>
      <c r="B494" s="12" t="n"/>
      <c r="C494" s="10" t="n"/>
      <c r="D494" s="12" t="n"/>
      <c r="E494" s="13" t="n"/>
      <c r="F494" s="14">
        <f>IF(C494="","",N(D494)*N(E494))</f>
        <v/>
      </c>
    </row>
    <row r="495" ht="21" customHeight="1">
      <c r="A495" s="9">
        <f>IF(C495="","",IF(COUNTIF('الفواتير'!$D$7:$D$206,B495)=0,"⛔",ROW()-6))</f>
        <v/>
      </c>
      <c r="B495" s="12" t="n"/>
      <c r="C495" s="10" t="n"/>
      <c r="D495" s="12" t="n"/>
      <c r="E495" s="13" t="n"/>
      <c r="F495" s="14">
        <f>IF(C495="","",N(D495)*N(E495))</f>
        <v/>
      </c>
    </row>
    <row r="496" ht="21" customHeight="1">
      <c r="A496" s="9">
        <f>IF(C496="","",IF(COUNTIF('الفواتير'!$D$7:$D$206,B496)=0,"⛔",ROW()-6))</f>
        <v/>
      </c>
      <c r="B496" s="12" t="n"/>
      <c r="C496" s="10" t="n"/>
      <c r="D496" s="12" t="n"/>
      <c r="E496" s="13" t="n"/>
      <c r="F496" s="14">
        <f>IF(C496="","",N(D496)*N(E496))</f>
        <v/>
      </c>
    </row>
    <row r="497" ht="21" customHeight="1">
      <c r="A497" s="9">
        <f>IF(C497="","",IF(COUNTIF('الفواتير'!$D$7:$D$206,B497)=0,"⛔",ROW()-6))</f>
        <v/>
      </c>
      <c r="B497" s="12" t="n"/>
      <c r="C497" s="10" t="n"/>
      <c r="D497" s="12" t="n"/>
      <c r="E497" s="13" t="n"/>
      <c r="F497" s="14">
        <f>IF(C497="","",N(D497)*N(E497))</f>
        <v/>
      </c>
    </row>
    <row r="498" ht="21" customHeight="1">
      <c r="A498" s="9">
        <f>IF(C498="","",IF(COUNTIF('الفواتير'!$D$7:$D$206,B498)=0,"⛔",ROW()-6))</f>
        <v/>
      </c>
      <c r="B498" s="12" t="n"/>
      <c r="C498" s="10" t="n"/>
      <c r="D498" s="12" t="n"/>
      <c r="E498" s="13" t="n"/>
      <c r="F498" s="14">
        <f>IF(C498="","",N(D498)*N(E498))</f>
        <v/>
      </c>
    </row>
    <row r="499" ht="21" customHeight="1">
      <c r="A499" s="9">
        <f>IF(C499="","",IF(COUNTIF('الفواتير'!$D$7:$D$206,B499)=0,"⛔",ROW()-6))</f>
        <v/>
      </c>
      <c r="B499" s="12" t="n"/>
      <c r="C499" s="10" t="n"/>
      <c r="D499" s="12" t="n"/>
      <c r="E499" s="13" t="n"/>
      <c r="F499" s="14">
        <f>IF(C499="","",N(D499)*N(E499))</f>
        <v/>
      </c>
    </row>
    <row r="500" ht="21" customHeight="1">
      <c r="A500" s="9">
        <f>IF(C500="","",IF(COUNTIF('الفواتير'!$D$7:$D$206,B500)=0,"⛔",ROW()-6))</f>
        <v/>
      </c>
      <c r="B500" s="12" t="n"/>
      <c r="C500" s="10" t="n"/>
      <c r="D500" s="12" t="n"/>
      <c r="E500" s="13" t="n"/>
      <c r="F500" s="14">
        <f>IF(C500="","",N(D500)*N(E500))</f>
        <v/>
      </c>
    </row>
    <row r="501" ht="21" customHeight="1">
      <c r="A501" s="9">
        <f>IF(C501="","",IF(COUNTIF('الفواتير'!$D$7:$D$206,B501)=0,"⛔",ROW()-6))</f>
        <v/>
      </c>
      <c r="B501" s="12" t="n"/>
      <c r="C501" s="10" t="n"/>
      <c r="D501" s="12" t="n"/>
      <c r="E501" s="13" t="n"/>
      <c r="F501" s="14">
        <f>IF(C501="","",N(D501)*N(E501))</f>
        <v/>
      </c>
    </row>
    <row r="502" ht="21" customHeight="1">
      <c r="A502" s="9">
        <f>IF(C502="","",IF(COUNTIF('الفواتير'!$D$7:$D$206,B502)=0,"⛔",ROW()-6))</f>
        <v/>
      </c>
      <c r="B502" s="12" t="n"/>
      <c r="C502" s="10" t="n"/>
      <c r="D502" s="12" t="n"/>
      <c r="E502" s="13" t="n"/>
      <c r="F502" s="14">
        <f>IF(C502="","",N(D502)*N(E502))</f>
        <v/>
      </c>
    </row>
    <row r="503" ht="21" customHeight="1">
      <c r="A503" s="9">
        <f>IF(C503="","",IF(COUNTIF('الفواتير'!$D$7:$D$206,B503)=0,"⛔",ROW()-6))</f>
        <v/>
      </c>
      <c r="B503" s="12" t="n"/>
      <c r="C503" s="10" t="n"/>
      <c r="D503" s="12" t="n"/>
      <c r="E503" s="13" t="n"/>
      <c r="F503" s="14">
        <f>IF(C503="","",N(D503)*N(E503))</f>
        <v/>
      </c>
    </row>
    <row r="504" ht="21" customHeight="1">
      <c r="A504" s="9">
        <f>IF(C504="","",IF(COUNTIF('الفواتير'!$D$7:$D$206,B504)=0,"⛔",ROW()-6))</f>
        <v/>
      </c>
      <c r="B504" s="12" t="n"/>
      <c r="C504" s="10" t="n"/>
      <c r="D504" s="12" t="n"/>
      <c r="E504" s="13" t="n"/>
      <c r="F504" s="14">
        <f>IF(C504="","",N(D504)*N(E504))</f>
        <v/>
      </c>
    </row>
    <row r="505" ht="21" customHeight="1">
      <c r="A505" s="9">
        <f>IF(C505="","",IF(COUNTIF('الفواتير'!$D$7:$D$206,B505)=0,"⛔",ROW()-6))</f>
        <v/>
      </c>
      <c r="B505" s="12" t="n"/>
      <c r="C505" s="10" t="n"/>
      <c r="D505" s="12" t="n"/>
      <c r="E505" s="13" t="n"/>
      <c r="F505" s="14">
        <f>IF(C505="","",N(D505)*N(E505))</f>
        <v/>
      </c>
    </row>
    <row r="506" ht="21" customHeight="1">
      <c r="A506" s="9">
        <f>IF(C506="","",IF(COUNTIF('الفواتير'!$D$7:$D$206,B506)=0,"⛔",ROW()-6))</f>
        <v/>
      </c>
      <c r="B506" s="12" t="n"/>
      <c r="C506" s="10" t="n"/>
      <c r="D506" s="12" t="n"/>
      <c r="E506" s="13" t="n"/>
      <c r="F506" s="14">
        <f>IF(C506="","",N(D506)*N(E506))</f>
        <v/>
      </c>
    </row>
    <row r="507" ht="21" customHeight="1">
      <c r="A507" s="9">
        <f>IF(C507="","",IF(COUNTIF('الفواتير'!$D$7:$D$206,B507)=0,"⛔",ROW()-6))</f>
        <v/>
      </c>
      <c r="B507" s="12" t="n"/>
      <c r="C507" s="10" t="n"/>
      <c r="D507" s="12" t="n"/>
      <c r="E507" s="13" t="n"/>
      <c r="F507" s="14">
        <f>IF(C507="","",N(D507)*N(E507))</f>
        <v/>
      </c>
    </row>
    <row r="508" ht="21" customHeight="1">
      <c r="A508" s="9">
        <f>IF(C508="","",IF(COUNTIF('الفواتير'!$D$7:$D$206,B508)=0,"⛔",ROW()-6))</f>
        <v/>
      </c>
      <c r="B508" s="12" t="n"/>
      <c r="C508" s="10" t="n"/>
      <c r="D508" s="12" t="n"/>
      <c r="E508" s="13" t="n"/>
      <c r="F508" s="14">
        <f>IF(C508="","",N(D508)*N(E508))</f>
        <v/>
      </c>
    </row>
    <row r="509" ht="21" customHeight="1">
      <c r="A509" s="9">
        <f>IF(C509="","",IF(COUNTIF('الفواتير'!$D$7:$D$206,B509)=0,"⛔",ROW()-6))</f>
        <v/>
      </c>
      <c r="B509" s="12" t="n"/>
      <c r="C509" s="10" t="n"/>
      <c r="D509" s="12" t="n"/>
      <c r="E509" s="13" t="n"/>
      <c r="F509" s="14">
        <f>IF(C509="","",N(D509)*N(E509))</f>
        <v/>
      </c>
    </row>
    <row r="510" ht="21" customHeight="1">
      <c r="A510" s="9">
        <f>IF(C510="","",IF(COUNTIF('الفواتير'!$D$7:$D$206,B510)=0,"⛔",ROW()-6))</f>
        <v/>
      </c>
      <c r="B510" s="12" t="n"/>
      <c r="C510" s="10" t="n"/>
      <c r="D510" s="12" t="n"/>
      <c r="E510" s="13" t="n"/>
      <c r="F510" s="14">
        <f>IF(C510="","",N(D510)*N(E510))</f>
        <v/>
      </c>
    </row>
    <row r="511" ht="21" customHeight="1">
      <c r="A511" s="9">
        <f>IF(C511="","",IF(COUNTIF('الفواتير'!$D$7:$D$206,B511)=0,"⛔",ROW()-6))</f>
        <v/>
      </c>
      <c r="B511" s="12" t="n"/>
      <c r="C511" s="10" t="n"/>
      <c r="D511" s="12" t="n"/>
      <c r="E511" s="13" t="n"/>
      <c r="F511" s="14">
        <f>IF(C511="","",N(D511)*N(E511))</f>
        <v/>
      </c>
    </row>
    <row r="512" ht="21" customHeight="1">
      <c r="A512" s="9">
        <f>IF(C512="","",IF(COUNTIF('الفواتير'!$D$7:$D$206,B512)=0,"⛔",ROW()-6))</f>
        <v/>
      </c>
      <c r="B512" s="12" t="n"/>
      <c r="C512" s="10" t="n"/>
      <c r="D512" s="12" t="n"/>
      <c r="E512" s="13" t="n"/>
      <c r="F512" s="14">
        <f>IF(C512="","",N(D512)*N(E512))</f>
        <v/>
      </c>
    </row>
    <row r="513" ht="21" customHeight="1">
      <c r="A513" s="9">
        <f>IF(C513="","",IF(COUNTIF('الفواتير'!$D$7:$D$206,B513)=0,"⛔",ROW()-6))</f>
        <v/>
      </c>
      <c r="B513" s="12" t="n"/>
      <c r="C513" s="10" t="n"/>
      <c r="D513" s="12" t="n"/>
      <c r="E513" s="13" t="n"/>
      <c r="F513" s="14">
        <f>IF(C513="","",N(D513)*N(E513))</f>
        <v/>
      </c>
    </row>
    <row r="514" ht="21" customHeight="1">
      <c r="A514" s="9">
        <f>IF(C514="","",IF(COUNTIF('الفواتير'!$D$7:$D$206,B514)=0,"⛔",ROW()-6))</f>
        <v/>
      </c>
      <c r="B514" s="12" t="n"/>
      <c r="C514" s="10" t="n"/>
      <c r="D514" s="12" t="n"/>
      <c r="E514" s="13" t="n"/>
      <c r="F514" s="14">
        <f>IF(C514="","",N(D514)*N(E514))</f>
        <v/>
      </c>
    </row>
    <row r="515" ht="21" customHeight="1">
      <c r="A515" s="9">
        <f>IF(C515="","",IF(COUNTIF('الفواتير'!$D$7:$D$206,B515)=0,"⛔",ROW()-6))</f>
        <v/>
      </c>
      <c r="B515" s="12" t="n"/>
      <c r="C515" s="10" t="n"/>
      <c r="D515" s="12" t="n"/>
      <c r="E515" s="13" t="n"/>
      <c r="F515" s="14">
        <f>IF(C515="","",N(D515)*N(E515))</f>
        <v/>
      </c>
    </row>
    <row r="516" ht="21" customHeight="1">
      <c r="A516" s="9">
        <f>IF(C516="","",IF(COUNTIF('الفواتير'!$D$7:$D$206,B516)=0,"⛔",ROW()-6))</f>
        <v/>
      </c>
      <c r="B516" s="12" t="n"/>
      <c r="C516" s="10" t="n"/>
      <c r="D516" s="12" t="n"/>
      <c r="E516" s="13" t="n"/>
      <c r="F516" s="14">
        <f>IF(C516="","",N(D516)*N(E516))</f>
        <v/>
      </c>
    </row>
    <row r="517" ht="21" customHeight="1">
      <c r="A517" s="9">
        <f>IF(C517="","",IF(COUNTIF('الفواتير'!$D$7:$D$206,B517)=0,"⛔",ROW()-6))</f>
        <v/>
      </c>
      <c r="B517" s="12" t="n"/>
      <c r="C517" s="10" t="n"/>
      <c r="D517" s="12" t="n"/>
      <c r="E517" s="13" t="n"/>
      <c r="F517" s="14">
        <f>IF(C517="","",N(D517)*N(E517))</f>
        <v/>
      </c>
    </row>
    <row r="518" ht="21" customHeight="1">
      <c r="A518" s="9">
        <f>IF(C518="","",IF(COUNTIF('الفواتير'!$D$7:$D$206,B518)=0,"⛔",ROW()-6))</f>
        <v/>
      </c>
      <c r="B518" s="12" t="n"/>
      <c r="C518" s="10" t="n"/>
      <c r="D518" s="12" t="n"/>
      <c r="E518" s="13" t="n"/>
      <c r="F518" s="14">
        <f>IF(C518="","",N(D518)*N(E518))</f>
        <v/>
      </c>
    </row>
    <row r="519" ht="21" customHeight="1">
      <c r="A519" s="9">
        <f>IF(C519="","",IF(COUNTIF('الفواتير'!$D$7:$D$206,B519)=0,"⛔",ROW()-6))</f>
        <v/>
      </c>
      <c r="B519" s="12" t="n"/>
      <c r="C519" s="10" t="n"/>
      <c r="D519" s="12" t="n"/>
      <c r="E519" s="13" t="n"/>
      <c r="F519" s="14">
        <f>IF(C519="","",N(D519)*N(E519))</f>
        <v/>
      </c>
    </row>
    <row r="520" ht="21" customHeight="1">
      <c r="A520" s="9">
        <f>IF(C520="","",IF(COUNTIF('الفواتير'!$D$7:$D$206,B520)=0,"⛔",ROW()-6))</f>
        <v/>
      </c>
      <c r="B520" s="12" t="n"/>
      <c r="C520" s="10" t="n"/>
      <c r="D520" s="12" t="n"/>
      <c r="E520" s="13" t="n"/>
      <c r="F520" s="14">
        <f>IF(C520="","",N(D520)*N(E520))</f>
        <v/>
      </c>
    </row>
    <row r="521" ht="21" customHeight="1">
      <c r="A521" s="9">
        <f>IF(C521="","",IF(COUNTIF('الفواتير'!$D$7:$D$206,B521)=0,"⛔",ROW()-6))</f>
        <v/>
      </c>
      <c r="B521" s="12" t="n"/>
      <c r="C521" s="10" t="n"/>
      <c r="D521" s="12" t="n"/>
      <c r="E521" s="13" t="n"/>
      <c r="F521" s="14">
        <f>IF(C521="","",N(D521)*N(E521))</f>
        <v/>
      </c>
    </row>
    <row r="522" ht="21" customHeight="1">
      <c r="A522" s="9">
        <f>IF(C522="","",IF(COUNTIF('الفواتير'!$D$7:$D$206,B522)=0,"⛔",ROW()-6))</f>
        <v/>
      </c>
      <c r="B522" s="12" t="n"/>
      <c r="C522" s="10" t="n"/>
      <c r="D522" s="12" t="n"/>
      <c r="E522" s="13" t="n"/>
      <c r="F522" s="14">
        <f>IF(C522="","",N(D522)*N(E522))</f>
        <v/>
      </c>
    </row>
    <row r="523" ht="21" customHeight="1">
      <c r="A523" s="9">
        <f>IF(C523="","",IF(COUNTIF('الفواتير'!$D$7:$D$206,B523)=0,"⛔",ROW()-6))</f>
        <v/>
      </c>
      <c r="B523" s="12" t="n"/>
      <c r="C523" s="10" t="n"/>
      <c r="D523" s="12" t="n"/>
      <c r="E523" s="13" t="n"/>
      <c r="F523" s="14">
        <f>IF(C523="","",N(D523)*N(E523))</f>
        <v/>
      </c>
    </row>
    <row r="524" ht="21" customHeight="1">
      <c r="A524" s="9">
        <f>IF(C524="","",IF(COUNTIF('الفواتير'!$D$7:$D$206,B524)=0,"⛔",ROW()-6))</f>
        <v/>
      </c>
      <c r="B524" s="12" t="n"/>
      <c r="C524" s="10" t="n"/>
      <c r="D524" s="12" t="n"/>
      <c r="E524" s="13" t="n"/>
      <c r="F524" s="14">
        <f>IF(C524="","",N(D524)*N(E524))</f>
        <v/>
      </c>
    </row>
    <row r="525" ht="21" customHeight="1">
      <c r="A525" s="9">
        <f>IF(C525="","",IF(COUNTIF('الفواتير'!$D$7:$D$206,B525)=0,"⛔",ROW()-6))</f>
        <v/>
      </c>
      <c r="B525" s="12" t="n"/>
      <c r="C525" s="10" t="n"/>
      <c r="D525" s="12" t="n"/>
      <c r="E525" s="13" t="n"/>
      <c r="F525" s="14">
        <f>IF(C525="","",N(D525)*N(E525))</f>
        <v/>
      </c>
    </row>
    <row r="526" ht="21" customHeight="1">
      <c r="A526" s="9">
        <f>IF(C526="","",IF(COUNTIF('الفواتير'!$D$7:$D$206,B526)=0,"⛔",ROW()-6))</f>
        <v/>
      </c>
      <c r="B526" s="12" t="n"/>
      <c r="C526" s="10" t="n"/>
      <c r="D526" s="12" t="n"/>
      <c r="E526" s="13" t="n"/>
      <c r="F526" s="14">
        <f>IF(C526="","",N(D526)*N(E526))</f>
        <v/>
      </c>
    </row>
    <row r="527" ht="21" customHeight="1">
      <c r="A527" s="9">
        <f>IF(C527="","",IF(COUNTIF('الفواتير'!$D$7:$D$206,B527)=0,"⛔",ROW()-6))</f>
        <v/>
      </c>
      <c r="B527" s="12" t="n"/>
      <c r="C527" s="10" t="n"/>
      <c r="D527" s="12" t="n"/>
      <c r="E527" s="13" t="n"/>
      <c r="F527" s="14">
        <f>IF(C527="","",N(D527)*N(E527))</f>
        <v/>
      </c>
    </row>
    <row r="528" ht="21" customHeight="1">
      <c r="A528" s="9">
        <f>IF(C528="","",IF(COUNTIF('الفواتير'!$D$7:$D$206,B528)=0,"⛔",ROW()-6))</f>
        <v/>
      </c>
      <c r="B528" s="12" t="n"/>
      <c r="C528" s="10" t="n"/>
      <c r="D528" s="12" t="n"/>
      <c r="E528" s="13" t="n"/>
      <c r="F528" s="14">
        <f>IF(C528="","",N(D528)*N(E528))</f>
        <v/>
      </c>
    </row>
    <row r="529" ht="21" customHeight="1">
      <c r="A529" s="9">
        <f>IF(C529="","",IF(COUNTIF('الفواتير'!$D$7:$D$206,B529)=0,"⛔",ROW()-6))</f>
        <v/>
      </c>
      <c r="B529" s="12" t="n"/>
      <c r="C529" s="10" t="n"/>
      <c r="D529" s="12" t="n"/>
      <c r="E529" s="13" t="n"/>
      <c r="F529" s="14">
        <f>IF(C529="","",N(D529)*N(E529))</f>
        <v/>
      </c>
    </row>
    <row r="530" ht="21" customHeight="1">
      <c r="A530" s="9">
        <f>IF(C530="","",IF(COUNTIF('الفواتير'!$D$7:$D$206,B530)=0,"⛔",ROW()-6))</f>
        <v/>
      </c>
      <c r="B530" s="12" t="n"/>
      <c r="C530" s="10" t="n"/>
      <c r="D530" s="12" t="n"/>
      <c r="E530" s="13" t="n"/>
      <c r="F530" s="14">
        <f>IF(C530="","",N(D530)*N(E530))</f>
        <v/>
      </c>
    </row>
    <row r="531" ht="21" customHeight="1">
      <c r="A531" s="9">
        <f>IF(C531="","",IF(COUNTIF('الفواتير'!$D$7:$D$206,B531)=0,"⛔",ROW()-6))</f>
        <v/>
      </c>
      <c r="B531" s="12" t="n"/>
      <c r="C531" s="10" t="n"/>
      <c r="D531" s="12" t="n"/>
      <c r="E531" s="13" t="n"/>
      <c r="F531" s="14">
        <f>IF(C531="","",N(D531)*N(E531))</f>
        <v/>
      </c>
    </row>
    <row r="532" ht="21" customHeight="1">
      <c r="A532" s="9">
        <f>IF(C532="","",IF(COUNTIF('الفواتير'!$D$7:$D$206,B532)=0,"⛔",ROW()-6))</f>
        <v/>
      </c>
      <c r="B532" s="12" t="n"/>
      <c r="C532" s="10" t="n"/>
      <c r="D532" s="12" t="n"/>
      <c r="E532" s="13" t="n"/>
      <c r="F532" s="14">
        <f>IF(C532="","",N(D532)*N(E532))</f>
        <v/>
      </c>
    </row>
    <row r="533" ht="21" customHeight="1">
      <c r="A533" s="9">
        <f>IF(C533="","",IF(COUNTIF('الفواتير'!$D$7:$D$206,B533)=0,"⛔",ROW()-6))</f>
        <v/>
      </c>
      <c r="B533" s="12" t="n"/>
      <c r="C533" s="10" t="n"/>
      <c r="D533" s="12" t="n"/>
      <c r="E533" s="13" t="n"/>
      <c r="F533" s="14">
        <f>IF(C533="","",N(D533)*N(E533))</f>
        <v/>
      </c>
    </row>
    <row r="534" ht="21" customHeight="1">
      <c r="A534" s="9">
        <f>IF(C534="","",IF(COUNTIF('الفواتير'!$D$7:$D$206,B534)=0,"⛔",ROW()-6))</f>
        <v/>
      </c>
      <c r="B534" s="12" t="n"/>
      <c r="C534" s="10" t="n"/>
      <c r="D534" s="12" t="n"/>
      <c r="E534" s="13" t="n"/>
      <c r="F534" s="14">
        <f>IF(C534="","",N(D534)*N(E534))</f>
        <v/>
      </c>
    </row>
    <row r="535" ht="21" customHeight="1">
      <c r="A535" s="9">
        <f>IF(C535="","",IF(COUNTIF('الفواتير'!$D$7:$D$206,B535)=0,"⛔",ROW()-6))</f>
        <v/>
      </c>
      <c r="B535" s="12" t="n"/>
      <c r="C535" s="10" t="n"/>
      <c r="D535" s="12" t="n"/>
      <c r="E535" s="13" t="n"/>
      <c r="F535" s="14">
        <f>IF(C535="","",N(D535)*N(E535))</f>
        <v/>
      </c>
    </row>
    <row r="536" ht="21" customHeight="1">
      <c r="A536" s="9">
        <f>IF(C536="","",IF(COUNTIF('الفواتير'!$D$7:$D$206,B536)=0,"⛔",ROW()-6))</f>
        <v/>
      </c>
      <c r="B536" s="12" t="n"/>
      <c r="C536" s="10" t="n"/>
      <c r="D536" s="12" t="n"/>
      <c r="E536" s="13" t="n"/>
      <c r="F536" s="14">
        <f>IF(C536="","",N(D536)*N(E536))</f>
        <v/>
      </c>
    </row>
    <row r="537" ht="21" customHeight="1">
      <c r="A537" s="9">
        <f>IF(C537="","",IF(COUNTIF('الفواتير'!$D$7:$D$206,B537)=0,"⛔",ROW()-6))</f>
        <v/>
      </c>
      <c r="B537" s="12" t="n"/>
      <c r="C537" s="10" t="n"/>
      <c r="D537" s="12" t="n"/>
      <c r="E537" s="13" t="n"/>
      <c r="F537" s="14">
        <f>IF(C537="","",N(D537)*N(E537))</f>
        <v/>
      </c>
    </row>
    <row r="538" ht="21" customHeight="1">
      <c r="A538" s="9">
        <f>IF(C538="","",IF(COUNTIF('الفواتير'!$D$7:$D$206,B538)=0,"⛔",ROW()-6))</f>
        <v/>
      </c>
      <c r="B538" s="12" t="n"/>
      <c r="C538" s="10" t="n"/>
      <c r="D538" s="12" t="n"/>
      <c r="E538" s="13" t="n"/>
      <c r="F538" s="14">
        <f>IF(C538="","",N(D538)*N(E538))</f>
        <v/>
      </c>
    </row>
    <row r="539" ht="21" customHeight="1">
      <c r="A539" s="9">
        <f>IF(C539="","",IF(COUNTIF('الفواتير'!$D$7:$D$206,B539)=0,"⛔",ROW()-6))</f>
        <v/>
      </c>
      <c r="B539" s="12" t="n"/>
      <c r="C539" s="10" t="n"/>
      <c r="D539" s="12" t="n"/>
      <c r="E539" s="13" t="n"/>
      <c r="F539" s="14">
        <f>IF(C539="","",N(D539)*N(E539))</f>
        <v/>
      </c>
    </row>
    <row r="540" ht="21" customHeight="1">
      <c r="A540" s="9">
        <f>IF(C540="","",IF(COUNTIF('الفواتير'!$D$7:$D$206,B540)=0,"⛔",ROW()-6))</f>
        <v/>
      </c>
      <c r="B540" s="12" t="n"/>
      <c r="C540" s="10" t="n"/>
      <c r="D540" s="12" t="n"/>
      <c r="E540" s="13" t="n"/>
      <c r="F540" s="14">
        <f>IF(C540="","",N(D540)*N(E540))</f>
        <v/>
      </c>
    </row>
    <row r="541" ht="21" customHeight="1">
      <c r="A541" s="9">
        <f>IF(C541="","",IF(COUNTIF('الفواتير'!$D$7:$D$206,B541)=0,"⛔",ROW()-6))</f>
        <v/>
      </c>
      <c r="B541" s="12" t="n"/>
      <c r="C541" s="10" t="n"/>
      <c r="D541" s="12" t="n"/>
      <c r="E541" s="13" t="n"/>
      <c r="F541" s="14">
        <f>IF(C541="","",N(D541)*N(E541))</f>
        <v/>
      </c>
    </row>
    <row r="542" ht="21" customHeight="1">
      <c r="A542" s="9">
        <f>IF(C542="","",IF(COUNTIF('الفواتير'!$D$7:$D$206,B542)=0,"⛔",ROW()-6))</f>
        <v/>
      </c>
      <c r="B542" s="12" t="n"/>
      <c r="C542" s="10" t="n"/>
      <c r="D542" s="12" t="n"/>
      <c r="E542" s="13" t="n"/>
      <c r="F542" s="14">
        <f>IF(C542="","",N(D542)*N(E542))</f>
        <v/>
      </c>
    </row>
    <row r="543" ht="21" customHeight="1">
      <c r="A543" s="9">
        <f>IF(C543="","",IF(COUNTIF('الفواتير'!$D$7:$D$206,B543)=0,"⛔",ROW()-6))</f>
        <v/>
      </c>
      <c r="B543" s="12" t="n"/>
      <c r="C543" s="10" t="n"/>
      <c r="D543" s="12" t="n"/>
      <c r="E543" s="13" t="n"/>
      <c r="F543" s="14">
        <f>IF(C543="","",N(D543)*N(E543))</f>
        <v/>
      </c>
    </row>
    <row r="544" ht="21" customHeight="1">
      <c r="A544" s="9">
        <f>IF(C544="","",IF(COUNTIF('الفواتير'!$D$7:$D$206,B544)=0,"⛔",ROW()-6))</f>
        <v/>
      </c>
      <c r="B544" s="12" t="n"/>
      <c r="C544" s="10" t="n"/>
      <c r="D544" s="12" t="n"/>
      <c r="E544" s="13" t="n"/>
      <c r="F544" s="14">
        <f>IF(C544="","",N(D544)*N(E544))</f>
        <v/>
      </c>
    </row>
    <row r="545" ht="21" customHeight="1">
      <c r="A545" s="9">
        <f>IF(C545="","",IF(COUNTIF('الفواتير'!$D$7:$D$206,B545)=0,"⛔",ROW()-6))</f>
        <v/>
      </c>
      <c r="B545" s="12" t="n"/>
      <c r="C545" s="10" t="n"/>
      <c r="D545" s="12" t="n"/>
      <c r="E545" s="13" t="n"/>
      <c r="F545" s="14">
        <f>IF(C545="","",N(D545)*N(E545))</f>
        <v/>
      </c>
    </row>
    <row r="546" ht="21" customHeight="1">
      <c r="A546" s="9">
        <f>IF(C546="","",IF(COUNTIF('الفواتير'!$D$7:$D$206,B546)=0,"⛔",ROW()-6))</f>
        <v/>
      </c>
      <c r="B546" s="12" t="n"/>
      <c r="C546" s="10" t="n"/>
      <c r="D546" s="12" t="n"/>
      <c r="E546" s="13" t="n"/>
      <c r="F546" s="14">
        <f>IF(C546="","",N(D546)*N(E546))</f>
        <v/>
      </c>
    </row>
    <row r="547" ht="21" customHeight="1">
      <c r="A547" s="9">
        <f>IF(C547="","",IF(COUNTIF('الفواتير'!$D$7:$D$206,B547)=0,"⛔",ROW()-6))</f>
        <v/>
      </c>
      <c r="B547" s="12" t="n"/>
      <c r="C547" s="10" t="n"/>
      <c r="D547" s="12" t="n"/>
      <c r="E547" s="13" t="n"/>
      <c r="F547" s="14">
        <f>IF(C547="","",N(D547)*N(E547))</f>
        <v/>
      </c>
    </row>
    <row r="548" ht="21" customHeight="1">
      <c r="A548" s="9">
        <f>IF(C548="","",IF(COUNTIF('الفواتير'!$D$7:$D$206,B548)=0,"⛔",ROW()-6))</f>
        <v/>
      </c>
      <c r="B548" s="12" t="n"/>
      <c r="C548" s="10" t="n"/>
      <c r="D548" s="12" t="n"/>
      <c r="E548" s="13" t="n"/>
      <c r="F548" s="14">
        <f>IF(C548="","",N(D548)*N(E548))</f>
        <v/>
      </c>
    </row>
    <row r="549" ht="21" customHeight="1">
      <c r="A549" s="9">
        <f>IF(C549="","",IF(COUNTIF('الفواتير'!$D$7:$D$206,B549)=0,"⛔",ROW()-6))</f>
        <v/>
      </c>
      <c r="B549" s="12" t="n"/>
      <c r="C549" s="10" t="n"/>
      <c r="D549" s="12" t="n"/>
      <c r="E549" s="13" t="n"/>
      <c r="F549" s="14">
        <f>IF(C549="","",N(D549)*N(E549))</f>
        <v/>
      </c>
    </row>
    <row r="550" ht="21" customHeight="1">
      <c r="A550" s="9">
        <f>IF(C550="","",IF(COUNTIF('الفواتير'!$D$7:$D$206,B550)=0,"⛔",ROW()-6))</f>
        <v/>
      </c>
      <c r="B550" s="12" t="n"/>
      <c r="C550" s="10" t="n"/>
      <c r="D550" s="12" t="n"/>
      <c r="E550" s="13" t="n"/>
      <c r="F550" s="14">
        <f>IF(C550="","",N(D550)*N(E550))</f>
        <v/>
      </c>
    </row>
    <row r="551" ht="21" customHeight="1">
      <c r="A551" s="9">
        <f>IF(C551="","",IF(COUNTIF('الفواتير'!$D$7:$D$206,B551)=0,"⛔",ROW()-6))</f>
        <v/>
      </c>
      <c r="B551" s="12" t="n"/>
      <c r="C551" s="10" t="n"/>
      <c r="D551" s="12" t="n"/>
      <c r="E551" s="13" t="n"/>
      <c r="F551" s="14">
        <f>IF(C551="","",N(D551)*N(E551))</f>
        <v/>
      </c>
    </row>
    <row r="552" ht="21" customHeight="1">
      <c r="A552" s="9">
        <f>IF(C552="","",IF(COUNTIF('الفواتير'!$D$7:$D$206,B552)=0,"⛔",ROW()-6))</f>
        <v/>
      </c>
      <c r="B552" s="12" t="n"/>
      <c r="C552" s="10" t="n"/>
      <c r="D552" s="12" t="n"/>
      <c r="E552" s="13" t="n"/>
      <c r="F552" s="14">
        <f>IF(C552="","",N(D552)*N(E552))</f>
        <v/>
      </c>
    </row>
    <row r="553" ht="21" customHeight="1">
      <c r="A553" s="9">
        <f>IF(C553="","",IF(COUNTIF('الفواتير'!$D$7:$D$206,B553)=0,"⛔",ROW()-6))</f>
        <v/>
      </c>
      <c r="B553" s="12" t="n"/>
      <c r="C553" s="10" t="n"/>
      <c r="D553" s="12" t="n"/>
      <c r="E553" s="13" t="n"/>
      <c r="F553" s="14">
        <f>IF(C553="","",N(D553)*N(E553))</f>
        <v/>
      </c>
    </row>
    <row r="554" ht="21" customHeight="1">
      <c r="A554" s="9">
        <f>IF(C554="","",IF(COUNTIF('الفواتير'!$D$7:$D$206,B554)=0,"⛔",ROW()-6))</f>
        <v/>
      </c>
      <c r="B554" s="12" t="n"/>
      <c r="C554" s="10" t="n"/>
      <c r="D554" s="12" t="n"/>
      <c r="E554" s="13" t="n"/>
      <c r="F554" s="14">
        <f>IF(C554="","",N(D554)*N(E554))</f>
        <v/>
      </c>
    </row>
    <row r="555" ht="21" customHeight="1">
      <c r="A555" s="9">
        <f>IF(C555="","",IF(COUNTIF('الفواتير'!$D$7:$D$206,B555)=0,"⛔",ROW()-6))</f>
        <v/>
      </c>
      <c r="B555" s="12" t="n"/>
      <c r="C555" s="10" t="n"/>
      <c r="D555" s="12" t="n"/>
      <c r="E555" s="13" t="n"/>
      <c r="F555" s="14">
        <f>IF(C555="","",N(D555)*N(E555))</f>
        <v/>
      </c>
    </row>
    <row r="556" ht="21" customHeight="1">
      <c r="A556" s="9">
        <f>IF(C556="","",IF(COUNTIF('الفواتير'!$D$7:$D$206,B556)=0,"⛔",ROW()-6))</f>
        <v/>
      </c>
      <c r="B556" s="12" t="n"/>
      <c r="C556" s="10" t="n"/>
      <c r="D556" s="12" t="n"/>
      <c r="E556" s="13" t="n"/>
      <c r="F556" s="14">
        <f>IF(C556="","",N(D556)*N(E556))</f>
        <v/>
      </c>
    </row>
    <row r="557" ht="21" customHeight="1">
      <c r="A557" s="9">
        <f>IF(C557="","",IF(COUNTIF('الفواتير'!$D$7:$D$206,B557)=0,"⛔",ROW()-6))</f>
        <v/>
      </c>
      <c r="B557" s="12" t="n"/>
      <c r="C557" s="10" t="n"/>
      <c r="D557" s="12" t="n"/>
      <c r="E557" s="13" t="n"/>
      <c r="F557" s="14">
        <f>IF(C557="","",N(D557)*N(E557))</f>
        <v/>
      </c>
    </row>
    <row r="558" ht="21" customHeight="1">
      <c r="A558" s="9">
        <f>IF(C558="","",IF(COUNTIF('الفواتير'!$D$7:$D$206,B558)=0,"⛔",ROW()-6))</f>
        <v/>
      </c>
      <c r="B558" s="12" t="n"/>
      <c r="C558" s="10" t="n"/>
      <c r="D558" s="12" t="n"/>
      <c r="E558" s="13" t="n"/>
      <c r="F558" s="14">
        <f>IF(C558="","",N(D558)*N(E558))</f>
        <v/>
      </c>
    </row>
    <row r="559" ht="21" customHeight="1">
      <c r="A559" s="9">
        <f>IF(C559="","",IF(COUNTIF('الفواتير'!$D$7:$D$206,B559)=0,"⛔",ROW()-6))</f>
        <v/>
      </c>
      <c r="B559" s="12" t="n"/>
      <c r="C559" s="10" t="n"/>
      <c r="D559" s="12" t="n"/>
      <c r="E559" s="13" t="n"/>
      <c r="F559" s="14">
        <f>IF(C559="","",N(D559)*N(E559))</f>
        <v/>
      </c>
    </row>
    <row r="560" ht="21" customHeight="1">
      <c r="A560" s="9">
        <f>IF(C560="","",IF(COUNTIF('الفواتير'!$D$7:$D$206,B560)=0,"⛔",ROW()-6))</f>
        <v/>
      </c>
      <c r="B560" s="12" t="n"/>
      <c r="C560" s="10" t="n"/>
      <c r="D560" s="12" t="n"/>
      <c r="E560" s="13" t="n"/>
      <c r="F560" s="14">
        <f>IF(C560="","",N(D560)*N(E560))</f>
        <v/>
      </c>
    </row>
    <row r="561" ht="21" customHeight="1">
      <c r="A561" s="9">
        <f>IF(C561="","",IF(COUNTIF('الفواتير'!$D$7:$D$206,B561)=0,"⛔",ROW()-6))</f>
        <v/>
      </c>
      <c r="B561" s="12" t="n"/>
      <c r="C561" s="10" t="n"/>
      <c r="D561" s="12" t="n"/>
      <c r="E561" s="13" t="n"/>
      <c r="F561" s="14">
        <f>IF(C561="","",N(D561)*N(E561))</f>
        <v/>
      </c>
    </row>
    <row r="562" ht="21" customHeight="1">
      <c r="A562" s="9">
        <f>IF(C562="","",IF(COUNTIF('الفواتير'!$D$7:$D$206,B562)=0,"⛔",ROW()-6))</f>
        <v/>
      </c>
      <c r="B562" s="12" t="n"/>
      <c r="C562" s="10" t="n"/>
      <c r="D562" s="12" t="n"/>
      <c r="E562" s="13" t="n"/>
      <c r="F562" s="14">
        <f>IF(C562="","",N(D562)*N(E562))</f>
        <v/>
      </c>
    </row>
    <row r="563" ht="21" customHeight="1">
      <c r="A563" s="9">
        <f>IF(C563="","",IF(COUNTIF('الفواتير'!$D$7:$D$206,B563)=0,"⛔",ROW()-6))</f>
        <v/>
      </c>
      <c r="B563" s="12" t="n"/>
      <c r="C563" s="10" t="n"/>
      <c r="D563" s="12" t="n"/>
      <c r="E563" s="13" t="n"/>
      <c r="F563" s="14">
        <f>IF(C563="","",N(D563)*N(E563))</f>
        <v/>
      </c>
    </row>
    <row r="564" ht="21" customHeight="1">
      <c r="A564" s="9">
        <f>IF(C564="","",IF(COUNTIF('الفواتير'!$D$7:$D$206,B564)=0,"⛔",ROW()-6))</f>
        <v/>
      </c>
      <c r="B564" s="12" t="n"/>
      <c r="C564" s="10" t="n"/>
      <c r="D564" s="12" t="n"/>
      <c r="E564" s="13" t="n"/>
      <c r="F564" s="14">
        <f>IF(C564="","",N(D564)*N(E564))</f>
        <v/>
      </c>
    </row>
    <row r="565" ht="21" customHeight="1">
      <c r="A565" s="9">
        <f>IF(C565="","",IF(COUNTIF('الفواتير'!$D$7:$D$206,B565)=0,"⛔",ROW()-6))</f>
        <v/>
      </c>
      <c r="B565" s="12" t="n"/>
      <c r="C565" s="10" t="n"/>
      <c r="D565" s="12" t="n"/>
      <c r="E565" s="13" t="n"/>
      <c r="F565" s="14">
        <f>IF(C565="","",N(D565)*N(E565))</f>
        <v/>
      </c>
    </row>
    <row r="566" ht="21" customHeight="1">
      <c r="A566" s="9">
        <f>IF(C566="","",IF(COUNTIF('الفواتير'!$D$7:$D$206,B566)=0,"⛔",ROW()-6))</f>
        <v/>
      </c>
      <c r="B566" s="12" t="n"/>
      <c r="C566" s="10" t="n"/>
      <c r="D566" s="12" t="n"/>
      <c r="E566" s="13" t="n"/>
      <c r="F566" s="14">
        <f>IF(C566="","",N(D566)*N(E566))</f>
        <v/>
      </c>
    </row>
    <row r="567" ht="21" customHeight="1">
      <c r="A567" s="9">
        <f>IF(C567="","",IF(COUNTIF('الفواتير'!$D$7:$D$206,B567)=0,"⛔",ROW()-6))</f>
        <v/>
      </c>
      <c r="B567" s="12" t="n"/>
      <c r="C567" s="10" t="n"/>
      <c r="D567" s="12" t="n"/>
      <c r="E567" s="13" t="n"/>
      <c r="F567" s="14">
        <f>IF(C567="","",N(D567)*N(E567))</f>
        <v/>
      </c>
    </row>
    <row r="568" ht="21" customHeight="1">
      <c r="A568" s="9">
        <f>IF(C568="","",IF(COUNTIF('الفواتير'!$D$7:$D$206,B568)=0,"⛔",ROW()-6))</f>
        <v/>
      </c>
      <c r="B568" s="12" t="n"/>
      <c r="C568" s="10" t="n"/>
      <c r="D568" s="12" t="n"/>
      <c r="E568" s="13" t="n"/>
      <c r="F568" s="14">
        <f>IF(C568="","",N(D568)*N(E568))</f>
        <v/>
      </c>
    </row>
    <row r="569" ht="21" customHeight="1">
      <c r="A569" s="9">
        <f>IF(C569="","",IF(COUNTIF('الفواتير'!$D$7:$D$206,B569)=0,"⛔",ROW()-6))</f>
        <v/>
      </c>
      <c r="B569" s="12" t="n"/>
      <c r="C569" s="10" t="n"/>
      <c r="D569" s="12" t="n"/>
      <c r="E569" s="13" t="n"/>
      <c r="F569" s="14">
        <f>IF(C569="","",N(D569)*N(E569))</f>
        <v/>
      </c>
    </row>
    <row r="570" ht="21" customHeight="1">
      <c r="A570" s="9">
        <f>IF(C570="","",IF(COUNTIF('الفواتير'!$D$7:$D$206,B570)=0,"⛔",ROW()-6))</f>
        <v/>
      </c>
      <c r="B570" s="12" t="n"/>
      <c r="C570" s="10" t="n"/>
      <c r="D570" s="12" t="n"/>
      <c r="E570" s="13" t="n"/>
      <c r="F570" s="14">
        <f>IF(C570="","",N(D570)*N(E570))</f>
        <v/>
      </c>
    </row>
    <row r="571" ht="21" customHeight="1">
      <c r="A571" s="9">
        <f>IF(C571="","",IF(COUNTIF('الفواتير'!$D$7:$D$206,B571)=0,"⛔",ROW()-6))</f>
        <v/>
      </c>
      <c r="B571" s="12" t="n"/>
      <c r="C571" s="10" t="n"/>
      <c r="D571" s="12" t="n"/>
      <c r="E571" s="13" t="n"/>
      <c r="F571" s="14">
        <f>IF(C571="","",N(D571)*N(E571))</f>
        <v/>
      </c>
    </row>
    <row r="572" ht="21" customHeight="1">
      <c r="A572" s="9">
        <f>IF(C572="","",IF(COUNTIF('الفواتير'!$D$7:$D$206,B572)=0,"⛔",ROW()-6))</f>
        <v/>
      </c>
      <c r="B572" s="12" t="n"/>
      <c r="C572" s="10" t="n"/>
      <c r="D572" s="12" t="n"/>
      <c r="E572" s="13" t="n"/>
      <c r="F572" s="14">
        <f>IF(C572="","",N(D572)*N(E572))</f>
        <v/>
      </c>
    </row>
    <row r="573" ht="21" customHeight="1">
      <c r="A573" s="9">
        <f>IF(C573="","",IF(COUNTIF('الفواتير'!$D$7:$D$206,B573)=0,"⛔",ROW()-6))</f>
        <v/>
      </c>
      <c r="B573" s="12" t="n"/>
      <c r="C573" s="10" t="n"/>
      <c r="D573" s="12" t="n"/>
      <c r="E573" s="13" t="n"/>
      <c r="F573" s="14">
        <f>IF(C573="","",N(D573)*N(E573))</f>
        <v/>
      </c>
    </row>
    <row r="574" ht="21" customHeight="1">
      <c r="A574" s="9">
        <f>IF(C574="","",IF(COUNTIF('الفواتير'!$D$7:$D$206,B574)=0,"⛔",ROW()-6))</f>
        <v/>
      </c>
      <c r="B574" s="12" t="n"/>
      <c r="C574" s="10" t="n"/>
      <c r="D574" s="12" t="n"/>
      <c r="E574" s="13" t="n"/>
      <c r="F574" s="14">
        <f>IF(C574="","",N(D574)*N(E574))</f>
        <v/>
      </c>
    </row>
    <row r="575" ht="21" customHeight="1">
      <c r="A575" s="9">
        <f>IF(C575="","",IF(COUNTIF('الفواتير'!$D$7:$D$206,B575)=0,"⛔",ROW()-6))</f>
        <v/>
      </c>
      <c r="B575" s="12" t="n"/>
      <c r="C575" s="10" t="n"/>
      <c r="D575" s="12" t="n"/>
      <c r="E575" s="13" t="n"/>
      <c r="F575" s="14">
        <f>IF(C575="","",N(D575)*N(E575))</f>
        <v/>
      </c>
    </row>
    <row r="576" ht="21" customHeight="1">
      <c r="A576" s="9">
        <f>IF(C576="","",IF(COUNTIF('الفواتير'!$D$7:$D$206,B576)=0,"⛔",ROW()-6))</f>
        <v/>
      </c>
      <c r="B576" s="12" t="n"/>
      <c r="C576" s="10" t="n"/>
      <c r="D576" s="12" t="n"/>
      <c r="E576" s="13" t="n"/>
      <c r="F576" s="14">
        <f>IF(C576="","",N(D576)*N(E576))</f>
        <v/>
      </c>
    </row>
    <row r="577" ht="21" customHeight="1">
      <c r="A577" s="9">
        <f>IF(C577="","",IF(COUNTIF('الفواتير'!$D$7:$D$206,B577)=0,"⛔",ROW()-6))</f>
        <v/>
      </c>
      <c r="B577" s="12" t="n"/>
      <c r="C577" s="10" t="n"/>
      <c r="D577" s="12" t="n"/>
      <c r="E577" s="13" t="n"/>
      <c r="F577" s="14">
        <f>IF(C577="","",N(D577)*N(E577))</f>
        <v/>
      </c>
    </row>
    <row r="578" ht="21" customHeight="1">
      <c r="A578" s="9">
        <f>IF(C578="","",IF(COUNTIF('الفواتير'!$D$7:$D$206,B578)=0,"⛔",ROW()-6))</f>
        <v/>
      </c>
      <c r="B578" s="12" t="n"/>
      <c r="C578" s="10" t="n"/>
      <c r="D578" s="12" t="n"/>
      <c r="E578" s="13" t="n"/>
      <c r="F578" s="14">
        <f>IF(C578="","",N(D578)*N(E578))</f>
        <v/>
      </c>
    </row>
    <row r="579" ht="21" customHeight="1">
      <c r="A579" s="9">
        <f>IF(C579="","",IF(COUNTIF('الفواتير'!$D$7:$D$206,B579)=0,"⛔",ROW()-6))</f>
        <v/>
      </c>
      <c r="B579" s="12" t="n"/>
      <c r="C579" s="10" t="n"/>
      <c r="D579" s="12" t="n"/>
      <c r="E579" s="13" t="n"/>
      <c r="F579" s="14">
        <f>IF(C579="","",N(D579)*N(E579))</f>
        <v/>
      </c>
    </row>
    <row r="580" ht="21" customHeight="1">
      <c r="A580" s="9">
        <f>IF(C580="","",IF(COUNTIF('الفواتير'!$D$7:$D$206,B580)=0,"⛔",ROW()-6))</f>
        <v/>
      </c>
      <c r="B580" s="12" t="n"/>
      <c r="C580" s="10" t="n"/>
      <c r="D580" s="12" t="n"/>
      <c r="E580" s="13" t="n"/>
      <c r="F580" s="14">
        <f>IF(C580="","",N(D580)*N(E580))</f>
        <v/>
      </c>
    </row>
    <row r="581" ht="21" customHeight="1">
      <c r="A581" s="9">
        <f>IF(C581="","",IF(COUNTIF('الفواتير'!$D$7:$D$206,B581)=0,"⛔",ROW()-6))</f>
        <v/>
      </c>
      <c r="B581" s="12" t="n"/>
      <c r="C581" s="10" t="n"/>
      <c r="D581" s="12" t="n"/>
      <c r="E581" s="13" t="n"/>
      <c r="F581" s="14">
        <f>IF(C581="","",N(D581)*N(E581))</f>
        <v/>
      </c>
    </row>
    <row r="582" ht="21" customHeight="1">
      <c r="A582" s="9">
        <f>IF(C582="","",IF(COUNTIF('الفواتير'!$D$7:$D$206,B582)=0,"⛔",ROW()-6))</f>
        <v/>
      </c>
      <c r="B582" s="12" t="n"/>
      <c r="C582" s="10" t="n"/>
      <c r="D582" s="12" t="n"/>
      <c r="E582" s="13" t="n"/>
      <c r="F582" s="14">
        <f>IF(C582="","",N(D582)*N(E582))</f>
        <v/>
      </c>
    </row>
    <row r="583" ht="21" customHeight="1">
      <c r="A583" s="9">
        <f>IF(C583="","",IF(COUNTIF('الفواتير'!$D$7:$D$206,B583)=0,"⛔",ROW()-6))</f>
        <v/>
      </c>
      <c r="B583" s="12" t="n"/>
      <c r="C583" s="10" t="n"/>
      <c r="D583" s="12" t="n"/>
      <c r="E583" s="13" t="n"/>
      <c r="F583" s="14">
        <f>IF(C583="","",N(D583)*N(E583))</f>
        <v/>
      </c>
    </row>
    <row r="584" ht="21" customHeight="1">
      <c r="A584" s="9">
        <f>IF(C584="","",IF(COUNTIF('الفواتير'!$D$7:$D$206,B584)=0,"⛔",ROW()-6))</f>
        <v/>
      </c>
      <c r="B584" s="12" t="n"/>
      <c r="C584" s="10" t="n"/>
      <c r="D584" s="12" t="n"/>
      <c r="E584" s="13" t="n"/>
      <c r="F584" s="14">
        <f>IF(C584="","",N(D584)*N(E584))</f>
        <v/>
      </c>
    </row>
    <row r="585" ht="21" customHeight="1">
      <c r="A585" s="9">
        <f>IF(C585="","",IF(COUNTIF('الفواتير'!$D$7:$D$206,B585)=0,"⛔",ROW()-6))</f>
        <v/>
      </c>
      <c r="B585" s="12" t="n"/>
      <c r="C585" s="10" t="n"/>
      <c r="D585" s="12" t="n"/>
      <c r="E585" s="13" t="n"/>
      <c r="F585" s="14">
        <f>IF(C585="","",N(D585)*N(E585))</f>
        <v/>
      </c>
    </row>
    <row r="586" ht="21" customHeight="1">
      <c r="A586" s="9">
        <f>IF(C586="","",IF(COUNTIF('الفواتير'!$D$7:$D$206,B586)=0,"⛔",ROW()-6))</f>
        <v/>
      </c>
      <c r="B586" s="12" t="n"/>
      <c r="C586" s="10" t="n"/>
      <c r="D586" s="12" t="n"/>
      <c r="E586" s="13" t="n"/>
      <c r="F586" s="14">
        <f>IF(C586="","",N(D586)*N(E586))</f>
        <v/>
      </c>
    </row>
    <row r="587" ht="21" customHeight="1">
      <c r="A587" s="9">
        <f>IF(C587="","",IF(COUNTIF('الفواتير'!$D$7:$D$206,B587)=0,"⛔",ROW()-6))</f>
        <v/>
      </c>
      <c r="B587" s="12" t="n"/>
      <c r="C587" s="10" t="n"/>
      <c r="D587" s="12" t="n"/>
      <c r="E587" s="13" t="n"/>
      <c r="F587" s="14">
        <f>IF(C587="","",N(D587)*N(E587))</f>
        <v/>
      </c>
    </row>
    <row r="588" ht="21" customHeight="1">
      <c r="A588" s="9">
        <f>IF(C588="","",IF(COUNTIF('الفواتير'!$D$7:$D$206,B588)=0,"⛔",ROW()-6))</f>
        <v/>
      </c>
      <c r="B588" s="12" t="n"/>
      <c r="C588" s="10" t="n"/>
      <c r="D588" s="12" t="n"/>
      <c r="E588" s="13" t="n"/>
      <c r="F588" s="14">
        <f>IF(C588="","",N(D588)*N(E588))</f>
        <v/>
      </c>
    </row>
    <row r="589" ht="21" customHeight="1">
      <c r="A589" s="9">
        <f>IF(C589="","",IF(COUNTIF('الفواتير'!$D$7:$D$206,B589)=0,"⛔",ROW()-6))</f>
        <v/>
      </c>
      <c r="B589" s="12" t="n"/>
      <c r="C589" s="10" t="n"/>
      <c r="D589" s="12" t="n"/>
      <c r="E589" s="13" t="n"/>
      <c r="F589" s="14">
        <f>IF(C589="","",N(D589)*N(E589))</f>
        <v/>
      </c>
    </row>
    <row r="590" ht="21" customHeight="1">
      <c r="A590" s="9">
        <f>IF(C590="","",IF(COUNTIF('الفواتير'!$D$7:$D$206,B590)=0,"⛔",ROW()-6))</f>
        <v/>
      </c>
      <c r="B590" s="12" t="n"/>
      <c r="C590" s="10" t="n"/>
      <c r="D590" s="12" t="n"/>
      <c r="E590" s="13" t="n"/>
      <c r="F590" s="14">
        <f>IF(C590="","",N(D590)*N(E590))</f>
        <v/>
      </c>
    </row>
    <row r="591" ht="21" customHeight="1">
      <c r="A591" s="9">
        <f>IF(C591="","",IF(COUNTIF('الفواتير'!$D$7:$D$206,B591)=0,"⛔",ROW()-6))</f>
        <v/>
      </c>
      <c r="B591" s="12" t="n"/>
      <c r="C591" s="10" t="n"/>
      <c r="D591" s="12" t="n"/>
      <c r="E591" s="13" t="n"/>
      <c r="F591" s="14">
        <f>IF(C591="","",N(D591)*N(E591))</f>
        <v/>
      </c>
    </row>
    <row r="592" ht="21" customHeight="1">
      <c r="A592" s="9">
        <f>IF(C592="","",IF(COUNTIF('الفواتير'!$D$7:$D$206,B592)=0,"⛔",ROW()-6))</f>
        <v/>
      </c>
      <c r="B592" s="12" t="n"/>
      <c r="C592" s="10" t="n"/>
      <c r="D592" s="12" t="n"/>
      <c r="E592" s="13" t="n"/>
      <c r="F592" s="14">
        <f>IF(C592="","",N(D592)*N(E592))</f>
        <v/>
      </c>
    </row>
    <row r="593" ht="21" customHeight="1">
      <c r="A593" s="9">
        <f>IF(C593="","",IF(COUNTIF('الفواتير'!$D$7:$D$206,B593)=0,"⛔",ROW()-6))</f>
        <v/>
      </c>
      <c r="B593" s="12" t="n"/>
      <c r="C593" s="10" t="n"/>
      <c r="D593" s="12" t="n"/>
      <c r="E593" s="13" t="n"/>
      <c r="F593" s="14">
        <f>IF(C593="","",N(D593)*N(E593))</f>
        <v/>
      </c>
    </row>
    <row r="594" ht="21" customHeight="1">
      <c r="A594" s="9">
        <f>IF(C594="","",IF(COUNTIF('الفواتير'!$D$7:$D$206,B594)=0,"⛔",ROW()-6))</f>
        <v/>
      </c>
      <c r="B594" s="12" t="n"/>
      <c r="C594" s="10" t="n"/>
      <c r="D594" s="12" t="n"/>
      <c r="E594" s="13" t="n"/>
      <c r="F594" s="14">
        <f>IF(C594="","",N(D594)*N(E594))</f>
        <v/>
      </c>
    </row>
    <row r="595" ht="21" customHeight="1">
      <c r="A595" s="9">
        <f>IF(C595="","",IF(COUNTIF('الفواتير'!$D$7:$D$206,B595)=0,"⛔",ROW()-6))</f>
        <v/>
      </c>
      <c r="B595" s="12" t="n"/>
      <c r="C595" s="10" t="n"/>
      <c r="D595" s="12" t="n"/>
      <c r="E595" s="13" t="n"/>
      <c r="F595" s="14">
        <f>IF(C595="","",N(D595)*N(E595))</f>
        <v/>
      </c>
    </row>
    <row r="596" ht="21" customHeight="1">
      <c r="A596" s="9">
        <f>IF(C596="","",IF(COUNTIF('الفواتير'!$D$7:$D$206,B596)=0,"⛔",ROW()-6))</f>
        <v/>
      </c>
      <c r="B596" s="12" t="n"/>
      <c r="C596" s="10" t="n"/>
      <c r="D596" s="12" t="n"/>
      <c r="E596" s="13" t="n"/>
      <c r="F596" s="14">
        <f>IF(C596="","",N(D596)*N(E596))</f>
        <v/>
      </c>
    </row>
    <row r="597" ht="21" customHeight="1">
      <c r="A597" s="9">
        <f>IF(C597="","",IF(COUNTIF('الفواتير'!$D$7:$D$206,B597)=0,"⛔",ROW()-6))</f>
        <v/>
      </c>
      <c r="B597" s="12" t="n"/>
      <c r="C597" s="10" t="n"/>
      <c r="D597" s="12" t="n"/>
      <c r="E597" s="13" t="n"/>
      <c r="F597" s="14">
        <f>IF(C597="","",N(D597)*N(E597))</f>
        <v/>
      </c>
    </row>
    <row r="598" ht="21" customHeight="1">
      <c r="A598" s="9">
        <f>IF(C598="","",IF(COUNTIF('الفواتير'!$D$7:$D$206,B598)=0,"⛔",ROW()-6))</f>
        <v/>
      </c>
      <c r="B598" s="12" t="n"/>
      <c r="C598" s="10" t="n"/>
      <c r="D598" s="12" t="n"/>
      <c r="E598" s="13" t="n"/>
      <c r="F598" s="14">
        <f>IF(C598="","",N(D598)*N(E598))</f>
        <v/>
      </c>
    </row>
    <row r="599" ht="21" customHeight="1">
      <c r="A599" s="9">
        <f>IF(C599="","",IF(COUNTIF('الفواتير'!$D$7:$D$206,B599)=0,"⛔",ROW()-6))</f>
        <v/>
      </c>
      <c r="B599" s="12" t="n"/>
      <c r="C599" s="10" t="n"/>
      <c r="D599" s="12" t="n"/>
      <c r="E599" s="13" t="n"/>
      <c r="F599" s="14">
        <f>IF(C599="","",N(D599)*N(E599))</f>
        <v/>
      </c>
    </row>
    <row r="600" ht="21" customHeight="1">
      <c r="A600" s="9">
        <f>IF(C600="","",IF(COUNTIF('الفواتير'!$D$7:$D$206,B600)=0,"⛔",ROW()-6))</f>
        <v/>
      </c>
      <c r="B600" s="12" t="n"/>
      <c r="C600" s="10" t="n"/>
      <c r="D600" s="12" t="n"/>
      <c r="E600" s="13" t="n"/>
      <c r="F600" s="14">
        <f>IF(C600="","",N(D600)*N(E600))</f>
        <v/>
      </c>
    </row>
    <row r="601" ht="21" customHeight="1">
      <c r="A601" s="9">
        <f>IF(C601="","",IF(COUNTIF('الفواتير'!$D$7:$D$206,B601)=0,"⛔",ROW()-6))</f>
        <v/>
      </c>
      <c r="B601" s="12" t="n"/>
      <c r="C601" s="10" t="n"/>
      <c r="D601" s="12" t="n"/>
      <c r="E601" s="13" t="n"/>
      <c r="F601" s="14">
        <f>IF(C601="","",N(D601)*N(E601))</f>
        <v/>
      </c>
    </row>
    <row r="602" ht="21" customHeight="1">
      <c r="A602" s="9">
        <f>IF(C602="","",IF(COUNTIF('الفواتير'!$D$7:$D$206,B602)=0,"⛔",ROW()-6))</f>
        <v/>
      </c>
      <c r="B602" s="12" t="n"/>
      <c r="C602" s="10" t="n"/>
      <c r="D602" s="12" t="n"/>
      <c r="E602" s="13" t="n"/>
      <c r="F602" s="14">
        <f>IF(C602="","",N(D602)*N(E602))</f>
        <v/>
      </c>
    </row>
    <row r="603" ht="21" customHeight="1">
      <c r="A603" s="9">
        <f>IF(C603="","",IF(COUNTIF('الفواتير'!$D$7:$D$206,B603)=0,"⛔",ROW()-6))</f>
        <v/>
      </c>
      <c r="B603" s="12" t="n"/>
      <c r="C603" s="10" t="n"/>
      <c r="D603" s="12" t="n"/>
      <c r="E603" s="13" t="n"/>
      <c r="F603" s="14">
        <f>IF(C603="","",N(D603)*N(E603))</f>
        <v/>
      </c>
    </row>
    <row r="604" ht="21" customHeight="1">
      <c r="A604" s="9">
        <f>IF(C604="","",IF(COUNTIF('الفواتير'!$D$7:$D$206,B604)=0,"⛔",ROW()-6))</f>
        <v/>
      </c>
      <c r="B604" s="12" t="n"/>
      <c r="C604" s="10" t="n"/>
      <c r="D604" s="12" t="n"/>
      <c r="E604" s="13" t="n"/>
      <c r="F604" s="14">
        <f>IF(C604="","",N(D604)*N(E604))</f>
        <v/>
      </c>
    </row>
    <row r="605" ht="21" customHeight="1">
      <c r="A605" s="9">
        <f>IF(C605="","",IF(COUNTIF('الفواتير'!$D$7:$D$206,B605)=0,"⛔",ROW()-6))</f>
        <v/>
      </c>
      <c r="B605" s="12" t="n"/>
      <c r="C605" s="10" t="n"/>
      <c r="D605" s="12" t="n"/>
      <c r="E605" s="13" t="n"/>
      <c r="F605" s="14">
        <f>IF(C605="","",N(D605)*N(E605))</f>
        <v/>
      </c>
    </row>
    <row r="606" ht="21" customHeight="1">
      <c r="A606" s="9">
        <f>IF(C606="","",IF(COUNTIF('الفواتير'!$D$7:$D$206,B606)=0,"⛔",ROW()-6))</f>
        <v/>
      </c>
      <c r="B606" s="12" t="n"/>
      <c r="C606" s="10" t="n"/>
      <c r="D606" s="12" t="n"/>
      <c r="E606" s="13" t="n"/>
      <c r="F606" s="14">
        <f>IF(C606="","",N(D606)*N(E606))</f>
        <v/>
      </c>
    </row>
    <row r="607"/>
    <row r="608" ht="22" customHeight="1">
      <c r="A608" s="21" t="inlineStr">
        <is>
          <t>رقم الفاتورة لازم يكون نفسه المكتوب بورقة «الفواتير» — وإلا بيطلع ⛔ بعمود #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0" formatRows="1" sort="1"/>
  <mergeCells count="5">
    <mergeCell ref="H4:K4"/>
    <mergeCell ref="E4:F4"/>
    <mergeCell ref="B2:F2"/>
    <mergeCell ref="A1:F1"/>
    <mergeCell ref="A608:F608"/>
  </mergeCells>
  <conditionalFormatting sqref="K7:K206">
    <cfRule type="expression" priority="1" dxfId="3">
      <formula>LEFT($K7,1)="✅"</formula>
    </cfRule>
    <cfRule type="expression" priority="2" dxfId="2">
      <formula>LEFT($K7,1)="⛔"</formula>
    </cfRule>
    <cfRule type="expression" priority="3" dxfId="7">
      <formula>LEFT($K7,1)="🟡"</formula>
    </cfRule>
  </conditionalFormatting>
  <conditionalFormatting sqref="H4">
    <cfRule type="expression" priority="4" dxfId="0">
      <formula>AND(COUNTIF($K$7:$K$206,"✅*")&gt;0,COUNTIF($K$7:$K$206,"✅*")=COUNTIF('الفواتير'!$E$7:$E$206,"يدوية"))</formula>
    </cfRule>
  </conditionalFormatting>
  <conditionalFormatting sqref="E4">
    <cfRule type="expression" priority="5" dxfId="0">
      <formula>LEFT(E4,1)="✅"</formula>
    </cfRule>
    <cfRule type="expression" priority="6" dxfId="1">
      <formula>LEFT(E4,1)="⛔"</formula>
    </cfRule>
  </conditionalFormatting>
  <conditionalFormatting sqref="A7:F606">
    <cfRule type="expression" priority="7" dxfId="6">
      <formula>$A7="⛔"</formula>
    </cfRule>
  </conditionalFormatting>
  <conditionalFormatting sqref="B7:B606">
    <cfRule type="expression" priority="8" dxfId="6">
      <formula>AND($C7&lt;&gt;"",$B7="")</formula>
    </cfRule>
  </conditionalFormatting>
  <conditionalFormatting sqref="D7:D606">
    <cfRule type="expression" priority="9" dxfId="6">
      <formula>AND($C7&lt;&gt;"",$D7="")</formula>
    </cfRule>
  </conditionalFormatting>
  <conditionalFormatting sqref="E7:E606">
    <cfRule type="expression" priority="10" dxfId="6">
      <formula>AND($C7&lt;&gt;"",$E7="")</formula>
    </cfRule>
  </conditionalFormatting>
  <dataValidations count="1">
    <dataValidation sqref="B7:B606" showDropDown="0" showInputMessage="0" showErrorMessage="0" allowBlank="1" errorTitle="رقم غير موجود بالقائمة" error="اختر رقم فاتورة يدوية لسا ما خلصت من القائمة." type="list">
      <formula1>=فواتير_مفتوحة</formula1>
    </dataValidation>
  </dataValidations>
  <pageMargins left="0.3" right="0.3" top="0.4" bottom="0.4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29"/>
  <sheetViews>
    <sheetView showGridLines="0" rightToLeft="1" workbookViewId="0">
      <selection activeCell="A1" sqref="A1"/>
    </sheetView>
  </sheetViews>
  <sheetFormatPr baseColWidth="8" defaultRowHeight="15"/>
  <cols>
    <col width="4" customWidth="1" min="1" max="1"/>
    <col width="92" customWidth="1" min="2" max="2"/>
  </cols>
  <sheetData>
    <row r="1" ht="30" customHeight="1">
      <c r="A1" s="1" t="inlineStr">
        <is>
          <t>طريقة العمل</t>
        </is>
      </c>
    </row>
    <row r="3" ht="24" customHeight="1">
      <c r="A3" s="22" t="inlineStr">
        <is>
          <t>القاعدة الأساسية</t>
        </is>
      </c>
    </row>
    <row r="4" ht="15" customHeight="1">
      <c r="A4" s="23" t="inlineStr">
        <is>
          <t>1</t>
        </is>
      </c>
      <c r="B4" s="24" t="inlineStr">
        <is>
          <t>ملف واحد لكل شهر. بتفرّغ فيه فواتير شراء البضاعة يوم بيوم — مش آخر الشهر.</t>
        </is>
      </c>
    </row>
    <row r="5" ht="15" customHeight="1">
      <c r="A5" s="23" t="inlineStr">
        <is>
          <t>2</t>
        </is>
      </c>
      <c r="B5" s="24" t="inlineStr">
        <is>
          <t>اكتب الشهر مرة وحدة فوق بورقة «الفواتير» وبس. ورقة «البنود» بتاخده لحالها.</t>
        </is>
      </c>
    </row>
    <row r="6" ht="24" customHeight="1">
      <c r="A6" s="22" t="inlineStr">
        <is>
          <t>ورقة «الفواتير» — سطر لكل فاتورة</t>
        </is>
      </c>
    </row>
    <row r="7" ht="30" customHeight="1">
      <c r="A7" s="23" t="inlineStr">
        <is>
          <t>3</t>
        </is>
      </c>
      <c r="B7" s="24" t="inlineStr">
        <is>
          <t>المورد: اكتب الاسم نفسه بالضبط كل مرة. «كتانة» و«سليم كتانة» بينحسبوا موردين اثنين.</t>
        </is>
      </c>
    </row>
    <row r="8" ht="45" customHeight="1">
      <c r="A8" s="23" t="inlineStr">
        <is>
          <t>4</t>
        </is>
      </c>
      <c r="B8" s="24" t="inlineStr">
        <is>
          <t>التاريخ: اكتبه أرقام ورا بعض بلا شرطات — 24092026 والخانة بتعرضه 24/09/2026 لحالها. إذا صار برتقالي يعني التاريخ غلط (يوم أكبر من 31 أو شهر أكبر من 12).</t>
        </is>
      </c>
    </row>
    <row r="9" ht="15" customHeight="1">
      <c r="A9" s="23" t="inlineStr">
        <is>
          <t>5</t>
        </is>
      </c>
      <c r="B9" s="24" t="inlineStr">
        <is>
          <t>النوع: من القائمة — مطبوعة أو يدوية. هاي بتحدّد شو بعدها.</t>
        </is>
      </c>
    </row>
    <row r="10" ht="30" customHeight="1">
      <c r="A10" s="23" t="inlineStr">
        <is>
          <t>6</t>
        </is>
      </c>
      <c r="B10" s="24" t="inlineStr">
        <is>
          <t>مطبوعة ← المورد + التاريخ + رقم الفاتورة + المجموع وبس. ما بدنا بنودها، بس ابعث صورتها مع الملف.</t>
        </is>
      </c>
    </row>
    <row r="11" ht="30" customHeight="1">
      <c r="A11" s="23" t="inlineStr">
        <is>
          <t>7</t>
        </is>
      </c>
      <c r="B11" s="24" t="inlineStr">
        <is>
          <t>يدوية ← نفس الأربعة، وكمان بنودها بورقة «البنود». السبب: الخط اليدوي ما بينقرأ، والبنود لازم تنكتب عشان تنزل على النظام.</t>
        </is>
      </c>
    </row>
    <row r="12" ht="30" customHeight="1">
      <c r="A12" s="23" t="inlineStr">
        <is>
          <t>8</t>
        </is>
      </c>
      <c r="B12" s="24" t="inlineStr">
        <is>
          <t>الخصم: إذا في خصم على الفاتورة كلها اكتبه، وإلا اتركه فاضي. الصافي بيتحسب لحاله (المجموع − الخصم).</t>
        </is>
      </c>
    </row>
    <row r="13" ht="30" customHeight="1">
      <c r="A13" s="23" t="inlineStr">
        <is>
          <t>9</t>
        </is>
      </c>
      <c r="B13" s="24" t="inlineStr">
        <is>
          <t>رقم الفاتورة اللي بيصير برتقالي = مكرر بنفس الملف. غيّره، وإلا بنودها بتختلط.</t>
        </is>
      </c>
    </row>
    <row r="14" ht="24" customHeight="1">
      <c r="A14" s="22" t="inlineStr">
        <is>
          <t>ورقة «البنود» — للفواتير اليدوية فقط</t>
        </is>
      </c>
    </row>
    <row r="15" ht="15" customHeight="1">
      <c r="A15" s="23" t="inlineStr">
        <is>
          <t>10</t>
        </is>
      </c>
      <c r="B15" s="24" t="inlineStr">
        <is>
          <t>كل بند بسطر: رقم الفاتورة + البند + الكمية + الإفرادي. الإجمالي بيتحسب لحاله.</t>
        </is>
      </c>
    </row>
    <row r="16" ht="30" customHeight="1">
      <c r="A16" s="23" t="inlineStr">
        <is>
          <t>11</t>
        </is>
      </c>
      <c r="B16" s="24" t="inlineStr">
        <is>
          <t>رقم الفاتورة لازم يكون نفسه المكتوب بورقة «الفواتير». إذا طلع ⛔ مكان الرقم التسلسلي ← يعني الرقم مش موجود بورقة الفواتير.</t>
        </is>
      </c>
    </row>
    <row r="17" ht="15" customHeight="1">
      <c r="A17" s="23" t="inlineStr">
        <is>
          <t>12</t>
        </is>
      </c>
      <c r="B17" s="24" t="inlineStr">
        <is>
          <t>اكتب البند زي ما هو مكتوب بالفاتورة. مش لازم يطابق الكتالوج — أنا بطابقه.</t>
        </is>
      </c>
    </row>
    <row r="18" ht="24" customHeight="1">
      <c r="A18" s="22" t="inlineStr">
        <is>
          <t>لوحة المتابعة — يمين ورقة «البنود»</t>
        </is>
      </c>
    </row>
    <row r="19" ht="30" customHeight="1">
      <c r="A19" s="23" t="inlineStr">
        <is>
          <t>◆</t>
        </is>
      </c>
      <c r="B19" s="24" t="inlineStr">
        <is>
          <t>أرقام الفواتير اليدوية بتطلع فيها لحالها — ما بتكتب إشي. جنب كل رقم: مجموع الفاتورة · مجموع بنودها اللي أدخلتها · وعمود «خلصت؟».</t>
        </is>
      </c>
    </row>
    <row r="20" ht="30" customHeight="1">
      <c r="A20" s="23" t="inlineStr">
        <is>
          <t>◆</t>
        </is>
      </c>
      <c r="B20" s="24" t="inlineStr">
        <is>
          <t>🟡 ما انزلت بنودها = لسا ما بلّشت فيها · ⛔ فرق 0.500 = المجموعان مش متطابقين · ✅ خلصت = المجموعان تطابقا وخلصت هاي الفاتورة.</t>
        </is>
      </c>
    </row>
    <row r="21" ht="30" customHeight="1">
      <c r="A21" s="23" t="inlineStr">
        <is>
          <t>◆</t>
        </is>
      </c>
      <c r="B21" s="24" t="inlineStr">
        <is>
          <t>فوق اللوحة بيطلع «3 مكتملة من 5 فواتير يدوية» — لما يصير أخضر يعني كلهن خلصوا.</t>
        </is>
      </c>
    </row>
    <row r="22" ht="24" customHeight="1">
      <c r="A22" s="22" t="inlineStr">
        <is>
          <t>التدقيق — شغل الإكسل مش شغلك</t>
        </is>
      </c>
    </row>
    <row r="23" ht="30" customHeight="1">
      <c r="A23" s="23" t="inlineStr">
        <is>
          <t>13</t>
        </is>
      </c>
      <c r="B23" s="24" t="inlineStr">
        <is>
          <t>عمود «الحالة» بيقارن مجموع البنود مع مجموع الفاتورة لحاله: ✅ البنود مطابقة يعني تمام · ⛔ فرق 0.500 يعني ناقص أو زايد 500 فلس.</t>
        </is>
      </c>
    </row>
    <row r="24" ht="30" customHeight="1">
      <c r="A24" s="23" t="inlineStr">
        <is>
          <t>14</t>
        </is>
      </c>
      <c r="B24" s="24" t="inlineStr">
        <is>
          <t>العدّاد فوق ما بيصير أخضر إلا لما كل فاتورة تكون سليمة. لا تبعث الملف وهو أحمر.</t>
        </is>
      </c>
    </row>
    <row r="25" ht="24" customHeight="1">
      <c r="A25" s="22" t="inlineStr">
        <is>
          <t>الإرسال</t>
        </is>
      </c>
    </row>
    <row r="26" ht="15" customHeight="1">
      <c r="A26" s="23" t="inlineStr">
        <is>
          <t>15</t>
        </is>
      </c>
      <c r="B26" s="24" t="inlineStr">
        <is>
          <t>كل يوم: ابعث الملف + صور الفواتير المطبوعة اللي دخّلتها اليوم.</t>
        </is>
      </c>
    </row>
    <row r="27" ht="30" customHeight="1">
      <c r="A27" s="23" t="inlineStr">
        <is>
          <t>16</t>
        </is>
      </c>
      <c r="B27" s="24" t="inlineStr">
        <is>
          <t>الفواتير بتنزل على أودو يوم بيوم — مش آخر الشهر. كل يوم بيمرّ بلا تنزيل = يوم بتشتغل فيه على أرقام مش صحيحة.</t>
        </is>
      </c>
    </row>
    <row r="28" ht="24" customHeight="1">
      <c r="A28" s="22" t="inlineStr">
        <is>
          <t>الفكرة باختصار</t>
        </is>
      </c>
    </row>
    <row r="29" ht="30" customHeight="1">
      <c r="A29" s="23" t="inlineStr">
        <is>
          <t>◆</t>
        </is>
      </c>
      <c r="B29" s="24" t="inlineStr">
        <is>
          <t>المطبوعة إلها صورة بتغني عن كتابة بنودها. اليدوية ما إلها — فبنكتب بنودها مرة وحدة هون، وبتضل مقروءة للأبد.</t>
        </is>
      </c>
    </row>
  </sheetData>
  <mergeCells count="8">
    <mergeCell ref="A25:B25"/>
    <mergeCell ref="A28:B28"/>
    <mergeCell ref="A14:B14"/>
    <mergeCell ref="A1:B1"/>
    <mergeCell ref="A18:B18"/>
    <mergeCell ref="A3:B3"/>
    <mergeCell ref="A6:B6"/>
    <mergeCell ref="A22:B22"/>
  </mergeCells>
  <pageMargins left="0.75" right="0.75" top="1" bottom="1" header="0.5" footer="0.5"/>
  <pageSetup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2026-09-25T11:49:04Z</dcterms:created>
  <dcterms:modified xsi:type="dcterms:W3CDTF">2026-09-25T11:49:05Z</dcterms:modified>
</cp:coreProperties>
</file>