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 والديون" sheetId="4" state="visible" r:id="rId6"/>
    <sheet name="المدير" sheetId="5" state="visible" r:id="rId7"/>
    <sheet name="عمال المهام" sheetId="6" state="visible" r:id="rId8"/>
    <sheet name="القواعد" sheetId="7" state="visible" r:id="rId9"/>
    <sheet name="التعليمات" sheetId="8" state="visible" r:id="rId10"/>
    <sheet name="القوائم" sheetId="9" state="hidden" r:id="rId11"/>
  </sheets>
  <definedNames>
    <definedName function="false" hidden="false" name="ADV_CAP" vbProcedure="false">القواعد!$C$12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ADV" vbProcedure="false">'السلف والديون'!$C$9:$C$128</definedName>
    <definedName function="false" hidden="false" name="LG_D" vbProcedure="false">'السلف والديون'!$A$9:$A$128</definedName>
    <definedName function="false" hidden="false" name="LG_DEBT" vbProcedure="false">'السلف والديون'!$D$9:$D$128</definedName>
    <definedName function="false" hidden="false" name="LG_E" vbProcedure="false">'السلف والديون'!$B$9:$B$128</definedName>
    <definedName function="false" hidden="false" name="LG_REP" vbProcedure="false">'السلف والديون'!$E$9:$E$128</definedName>
    <definedName function="false" hidden="false" name="MEND" vbProcedure="false">القوائم!$G$2</definedName>
    <definedName function="false" hidden="false" name="MGR_SAL" vbProcedure="false">القواعد!$C$13</definedName>
    <definedName function="false" hidden="false" name="MGR_START" vbProcedure="false">القواعد!$C$14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<sst xmlns="http://schemas.openxmlformats.org/spreadsheetml/2006/main" count="285" uniqueCount="229">
  <si>
    <t xml:space="preserve">نظام الموظفين — التسوية الأسبوعية والشهرية</t>
  </si>
  <si>
    <t xml:space="preserve">اختر الشهر</t>
  </si>
  <si>
    <t xml:space="preserve">اختر السنة</t>
  </si>
  <si>
    <t xml:space="preserve">← أول شي اختار الشهر والسنة — كل الملف (الأسابيع وتواريخ الأيام) بيتبرمج عليهم</t>
  </si>
  <si>
    <t xml:space="preserve">الأسبوع</t>
  </si>
  <si>
    <t xml:space="preserve">الأسبوع الأول</t>
  </si>
  <si>
    <t xml:space="preserve">افتتاح الشهر — انقل الأرقام من «إقفال الشهر» بملف الشهر الماضي</t>
  </si>
  <si>
    <t xml:space="preserve">الموظف</t>
  </si>
  <si>
    <t xml:space="preserve">مستحق له لسا ما قبضه (دينار)</t>
  </si>
  <si>
    <t xml:space="preserve">دين أو بضاعة متبقي عليه (دينار)</t>
  </si>
  <si>
    <t xml:space="preserve">القسط الأسبوعي (دينار)</t>
  </si>
  <si>
    <t xml:space="preserve">«مستحق له» = أيام اشتغلها آخر الشهر الماضي وما انقبضت (مثلاً أسبوع مقطوع). بينضاف لصافي أول أسبوع. · «دين متبقي» = اللي ضل عليه من ديون وبضاعة. بينخصم منه القسط الأسبوعي لحد ما يخلص.</t>
  </si>
  <si>
    <t xml:space="preserve">عمر المصري</t>
  </si>
  <si>
    <t xml:space="preserve">عبدالعزيز</t>
  </si>
  <si>
    <t xml:space="preserve">عدد الساعات</t>
  </si>
  <si>
    <t xml:space="preserve">المستحق (دينار)</t>
  </si>
  <si>
    <t xml:space="preserve">+ مدوّر</t>
  </si>
  <si>
    <t xml:space="preserve">− مقبوض يومياً</t>
  </si>
  <si>
    <t xml:space="preserve">− السلف</t>
  </si>
  <si>
    <t xml:space="preserve">− القسط</t>
  </si>
  <si>
    <t xml:space="preserve">الصافي للدفع</t>
  </si>
  <si>
    <t xml:space="preserve">المدفوع (دينار)</t>
  </si>
  <si>
    <t xml:space="preserve">الباقي له</t>
  </si>
  <si>
    <t xml:space="preserve">ملاحظة</t>
  </si>
  <si>
    <t xml:space="preserve">المدفوع بينكتب بجداول الشهر تحت (سطر الأسبوع) — وهون بيطلع لحاله. المدير بورقته لحال · عمال المهام بورقتهم.</t>
  </si>
  <si>
    <t xml:space="preserve">عمر المصري — كل أسابيع الشهر</t>
  </si>
  <si>
    <t xml:space="preserve">مجموع الشهر</t>
  </si>
  <si>
    <t xml:space="preserve">عبدالعزيز — كل أسابيع الشهر</t>
  </si>
  <si>
    <t xml:space="preserve">إقفال الشهر — هالأرقام بتنكتب بـ«افتتاح الشهر» بملف الشهر الجاي</t>
  </si>
  <si>
    <t xml:space="preserve">ساعات عمر المصري</t>
  </si>
  <si>
    <t xml:space="preserve"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</si>
  <si>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</si>
  <si>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</si>
  <si>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</si>
  <si>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</si>
  <si>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عادي</t>
  </si>
  <si>
    <t xml:space="preserve">منها إضافي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</si>
  <si>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</si>
  <si>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</si>
  <si>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«نعم» + المبلغ.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</si>
  <si>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</si>
  <si>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</si>
  <si>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المقبوض (دينار)</t>
  </si>
  <si>
    <t xml:space="preserve">السلف والديون — عمر المصري وعبدالعزيز</t>
  </si>
  <si>
    <t xml:space="preserve">• سلفة: كاش بياخذه وسط الأسبوع ← بتنخصم كاملة من صافي نفس الأسبوع.</t>
  </si>
  <si>
    <t xml:space="preserve">• دين أو بضاعة: مبلغ كاش كبير أو بضاعة لورشته (بالسعر اللي بتحدده) ← ما بينخصم مرة وحدة، بينخصم «القسط الأسبوعي» كل أسبوع لحد ما يخلص.</t>
  </si>
  <si>
    <t xml:space="preserve">• تسديد مباشر: لو دفع من جيبته جزء من الدين (مش من راتبه).</t>
  </si>
  <si>
    <t xml:space="preserve">• راتبه اللي بتدفعه آخر الأسبوع ما بينكتب هون — بينكتب بخانة «المدفوع» بورقة التسوية.</t>
  </si>
  <si>
    <t xml:space="preserve">سلفة (دينار)</t>
  </si>
  <si>
    <t xml:space="preserve">دين أو بضاعة (دينار)</t>
  </si>
  <si>
    <t xml:space="preserve">تسديد مباشر (دينار)</t>
  </si>
  <si>
    <t xml:space="preserve">البيان</t>
  </si>
  <si>
    <t xml:space="preserve">مثال: 05/10/2026 · عمر المصري · سلفة 20.000 · «كاش من الصندوق»   |   07/10/2026 · عمر المصري · دين أو بضاعة 150.000 · «بضاعة لورشة بيته بسعر الجملة»</t>
  </si>
  <si>
    <t xml:space="preserve">المدير — 125 دينار كل 10 أيام</t>
  </si>
  <si>
    <t xml:space="preserve">الفترات بتطلع لحالها من «بداية أول فترة» بورقة القواعد، وكل فترة بتنحسب بملف الشهر اللي بتخلص فيه. سلفه وديونه بجدول تحت بهالورقة نفسها.</t>
  </si>
  <si>
    <t xml:space="preserve">افتتاح الشهر</t>
  </si>
  <si>
    <t xml:space="preserve">مستحق له لسا ما قبضه</t>
  </si>
  <si>
    <t xml:space="preserve">دين متبقي عليه</t>
  </si>
  <si>
    <t xml:space="preserve">القسط كل فترة</t>
  </si>
  <si>
    <t xml:space="preserve">من الشهر الماضي</t>
  </si>
  <si>
    <t xml:space="preserve">الفترة</t>
  </si>
  <si>
    <t xml:space="preserve">من</t>
  </si>
  <si>
    <t xml:space="preserve">إلى</t>
  </si>
  <si>
    <t xml:space="preserve">الراتب (دينار)</t>
  </si>
  <si>
    <t xml:space="preserve">الصافي</t>
  </si>
  <si>
    <t xml:space="preserve">إقفال الشهر ← افتتاح الشهر الجاي:</t>
  </si>
  <si>
    <t xml:space="preserve">مستحق له</t>
  </si>
  <si>
    <t xml:space="preserve">دين عليه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</si>
  <si>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</si>
  <si>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</si>
  <si>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</si>
  <si>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</si>
  <si>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</si>
  <si>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</si>
  <si>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</si>
  <si>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</si>
  <si>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</si>
  <si>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</si>
  <si>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</si>
  <si>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</si>
  <si>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</si>
  <si>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</si>
  <si>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</si>
  <si>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</si>
  <si>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</si>
  <si>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</si>
  <si>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</si>
  <si>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</si>
  <si>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</si>
  <si>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</si>
  <si>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</si>
  <si>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</si>
  <si>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</si>
  <si>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</si>
  <si>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</si>
  <si>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سقف السلف بالأسبوع (نسبة من المستحق)</t>
  </si>
  <si>
    <t xml:space="preserve">تنبيه لو السلف تجاوزت. 0 = بلا سقف.</t>
  </si>
  <si>
    <t xml:space="preserve">المدير — راتب كل 10 أيام (دينار)</t>
  </si>
  <si>
    <t xml:space="preserve">المدير — بداية أول فترة</t>
  </si>
  <si>
    <t xml:space="preserve">الفترات بتتسلسل من هالتاريخ كل 10 أيام. ثابت لكل الشهور.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</si>
  <si>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</si>
  <si>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</si>
  <si>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</si>
  <si>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أول شي فوق بورقة «التسوية»: اختر الشهر والسنة — كل الملف (الأسابيع وتواريخ الأيام) بيتبرمج عليهم.</t>
  </si>
  <si>
    <t xml:space="preserve">2</t>
  </si>
  <si>
    <t xml:space="preserve">انقل أرقام «إقفال الشهر» من ملف الشهر الماضي لـ«افتتاح الشهر»: مستحق له لسا ما قبضه · دين متبقي عليه · القسط الأسبوعي. (وكمان للمدير بورقته.)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</si>
  <si>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</si>
  <si>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</si>
  <si>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</si>
  <si>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</si>
  <si>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بـ«إقفال الشهر» ← «مستحق له» بافتتاح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</si>
  <si>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</si>
  <si>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</si>
  <si>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ربع ساعة، AM/PM) — أو اكتبه مثل 7:30 AM. عدد الساعات (مثل 11 س 30 د) والعادي والإضافي والمستحق بيطلعوا لحالهم. عبدالعزيز: آخر اليوم «قبض؟ نعم» + المبلغ.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</si>
  <si>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</si>
  <si>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</si>
  <si>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</si>
  <si>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أو دين أو بضاعة: سطر بورقة «السلف والديون» — كل نوع إله عمود لحاله.</t>
  </si>
  <si>
    <t xml:space="preserve">آخر الأسبوع</t>
  </si>
  <si>
    <t xml:space="preserve">8</t>
  </si>
  <si>
    <t xml:space="preserve">بورقة «التسوية» اختر الأسبوع — بيطلعلك لكل واحد المستحق (مجبور لربع دينار) ناقص السلف والقسط = الصافي للدفع.</t>
  </si>
  <si>
    <t xml:space="preserve">9</t>
  </si>
  <si>
    <t xml:space="preserve">لما تدفع: اكتب المبلغ بخانة «المدفوع» بسطر الأسبوع بجدول الشهر.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</si>
  <si>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</si>
  <si>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</si>
  <si>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</si>
  <si>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</si>
  <si>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خانات التاريخ ما بتقبل إلا تاريخ من الشهر المختار.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</si>
  <si>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</si>
  <si>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</si>
  <si>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</si>
  <si>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</si>
  <si>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</si>
  <si>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</si>
  <si>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</si>
  <si>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</si>
  <si>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</si>
  <si>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</si>
  <si>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</si>
  <si>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</si>
  <si>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الأسبوع الثاني</t>
  </si>
  <si>
    <t xml:space="preserve">9:00 AM</t>
  </si>
  <si>
    <t xml:space="preserve">الأسبوع الثالث</t>
  </si>
  <si>
    <t xml:space="preserve">9:15 AM</t>
  </si>
  <si>
    <t xml:space="preserve">الأسبوع الرابع</t>
  </si>
  <si>
    <t xml:space="preserve">9:30 AM</t>
  </si>
  <si>
    <t xml:space="preserve">الأسبوع الخامس</t>
  </si>
  <si>
    <t xml:space="preserve">9:45 AM</t>
  </si>
  <si>
    <t xml:space="preserve">الأسبوع السادس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</si>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</sst>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0"/>
    <numFmt numFmtId="166" formatCode="0"/>
    <numFmt numFmtId="167" formatCode="General"/>
    <numFmt numFmtId="168" formatCode="#,##0.000;[RED]\-#,##0.000;\-"/>
    <numFmt numFmtId="169" formatCode="[h]&quot; س &quot;mm&quot; د&quot;"/>
    <numFmt numFmtId="170" formatCode="dd/mm/yyyy"/>
    <numFmt numFmtId="171" formatCode="h:mm\ AM/PM"/>
    <numFmt numFmtId="172" formatCode="0.00"/>
    <numFmt numFmtId="173" formatCode="0.000"/>
    <numFmt numFmtId="174" formatCode="@"/>
    <numFmt numFmtId="175" formatCode="0%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0"/>
      <color rgb="FF0F6E6E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2"/>
      <color rgb="FF8A6A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EDEDED"/>
        <bgColor rgb="FFE3EFE3"/>
      </patternFill>
    </fill>
    <fill>
      <patternFill patternType="solid">
        <fgColor rgb="FFE3EFE3"/>
        <bgColor rgb="FFEDEDED"/>
      </patternFill>
    </fill>
    <fill>
      <patternFill patternType="solid">
        <fgColor rgb="FF0F6E6E"/>
        <bgColor rgb="FF008080"/>
      </patternFill>
    </fill>
    <fill>
      <patternFill patternType="solid">
        <fgColor rgb="FFDCE6EE"/>
        <bgColor rgb="FFE3EFE3"/>
      </patternFill>
    </fill>
    <fill>
      <patternFill patternType="solid">
        <fgColor rgb="FFFFE9A8"/>
        <bgColor rgb="FFFFF2B3"/>
      </patternFill>
    </fill>
    <fill>
      <patternFill patternType="solid">
        <fgColor rgb="FF8A6A00"/>
        <bgColor rgb="FF8B3A2F"/>
      </patternFill>
    </fill>
    <fill>
      <patternFill patternType="solid">
        <fgColor rgb="FF5B3A6B"/>
        <bgColor rgb="FF55555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4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4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4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BBBBBB"/>
      <rgbColor rgb="FF808080"/>
      <rgbColor rgb="FF9999FF"/>
      <rgbColor rgb="FF993366"/>
      <rgbColor rgb="FFFFF6CC"/>
      <rgbColor rgb="FFDCE6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DE2C8"/>
      <rgbColor rgb="FFCC99FF"/>
      <rgbColor rgb="FFFFE9A8"/>
      <rgbColor rgb="FF3366FF"/>
      <rgbColor rgb="FF33CCCC"/>
      <rgbColor rgb="FF99CC00"/>
      <rgbColor rgb="FFFFCC00"/>
      <rgbColor rgb="FFFF9900"/>
      <rgbColor rgb="FFFF6600"/>
      <rgbColor rgb="FF555555"/>
      <rgbColor rgb="FF9AA5AD"/>
      <rgbColor rgb="FF1F4E6B"/>
      <rgbColor rgb="FF339966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11" min="5" style="0" width="12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5" t="s">
        <v>3</v>
      </c>
      <c r="G3" s="5"/>
      <c r="H3" s="5"/>
      <c r="I3" s="5"/>
      <c r="J3" s="5"/>
      <c r="K3" s="5"/>
      <c r="L3" s="5"/>
    </row>
    <row r="5" customFormat="false" ht="30" hidden="false" customHeight="true" outlineLevel="0" collapsed="false">
      <c r="B5" s="6" t="s">
        <v>4</v>
      </c>
      <c r="C5" s="7" t="s">
        <v>5</v>
      </c>
      <c r="D5" s="7"/>
      <c r="N5" s="8" t="n">
        <f aca="false">IFERROR(MIN(MATCH($C$5,القوائم!$K$11:$K$16,0),NW),1)</f>
        <v>1</v>
      </c>
    </row>
    <row r="7" customFormat="false" ht="15" hidden="false" customHeight="true" outlineLevel="0" collapsed="false">
      <c r="A7" s="9" t="s">
        <v>6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customFormat="false" ht="33.75" hidden="false" customHeight="true" outlineLevel="0" collapsed="false">
      <c r="A8" s="10" t="s">
        <v>7</v>
      </c>
      <c r="B8" s="10" t="s">
        <v>8</v>
      </c>
      <c r="C8" s="10" t="s">
        <v>9</v>
      </c>
      <c r="D8" s="10" t="s">
        <v>10</v>
      </c>
      <c r="E8" s="11" t="s">
        <v>11</v>
      </c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2" t="s">
        <v>12</v>
      </c>
      <c r="B9" s="13" t="n">
        <v>0</v>
      </c>
      <c r="C9" s="13" t="n">
        <v>0</v>
      </c>
      <c r="D9" s="13" t="n">
        <v>0</v>
      </c>
    </row>
    <row r="10" customFormat="false" ht="15" hidden="false" customHeight="false" outlineLevel="0" collapsed="false">
      <c r="A10" s="12" t="s">
        <v>13</v>
      </c>
      <c r="B10" s="13" t="n">
        <v>0</v>
      </c>
      <c r="C10" s="13" t="n">
        <v>0</v>
      </c>
      <c r="D10" s="13" t="n">
        <v>0</v>
      </c>
    </row>
    <row r="12" customFormat="false" ht="24" hidden="false" customHeight="true" outlineLevel="0" collapsed="false">
      <c r="A12" s="14" t="str">
        <f aca="false">"تسوية الأسبوع المختار   ·   "&amp;$C$5</f>
        <v>تسوية الأسبوع المختار   ·   الأسبوع الأول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customFormat="false" ht="33.75" hidden="false" customHeight="true" outlineLevel="0" collapsed="false">
      <c r="A13" s="15" t="s">
        <v>7</v>
      </c>
      <c r="B13" s="15" t="s">
        <v>14</v>
      </c>
      <c r="C13" s="15" t="s">
        <v>15</v>
      </c>
      <c r="D13" s="15" t="s">
        <v>16</v>
      </c>
      <c r="E13" s="15" t="s">
        <v>17</v>
      </c>
      <c r="F13" s="15" t="s">
        <v>18</v>
      </c>
      <c r="G13" s="15" t="s">
        <v>19</v>
      </c>
      <c r="H13" s="15" t="s">
        <v>20</v>
      </c>
      <c r="I13" s="15" t="s">
        <v>21</v>
      </c>
      <c r="J13" s="15" t="s">
        <v>22</v>
      </c>
      <c r="K13" s="15" t="s">
        <v>23</v>
      </c>
      <c r="L13" s="15"/>
    </row>
    <row r="14" customFormat="false" ht="24" hidden="false" customHeight="true" outlineLevel="0" collapsed="false">
      <c r="A14" s="16" t="s">
        <v>12</v>
      </c>
      <c r="B14" s="17" t="n">
        <f aca="false">N(INDEX(B22:B27,WK))</f>
        <v>0</v>
      </c>
      <c r="C14" s="18" t="n">
        <f aca="false">N(INDEX(C22:C27,WK))</f>
        <v>0</v>
      </c>
      <c r="D14" s="18" t="n">
        <f aca="false">N(INDEX(D22:D27,WK))</f>
        <v>0</v>
      </c>
      <c r="E14" s="18" t="n">
        <v>0</v>
      </c>
      <c r="F14" s="18" t="n">
        <f aca="false">N(INDEX(E22:E27,WK))</f>
        <v>0</v>
      </c>
      <c r="G14" s="18" t="n">
        <f aca="false">N(INDEX(F22:F27,WK))</f>
        <v>0</v>
      </c>
      <c r="H14" s="19" t="n">
        <f aca="false">N(INDEX(G22:G27,WK))</f>
        <v>0</v>
      </c>
      <c r="I14" s="18" t="n">
        <f aca="false">N(INDEX(H22:H27,WK))</f>
        <v>0</v>
      </c>
      <c r="J14" s="18" t="n">
        <f aca="false">N(INDEX(I22:I27,WK))</f>
        <v>0</v>
      </c>
      <c r="K14" s="20" t="str">
        <f aca="false">IF(AND(ADV_CAP&gt;0,C14&gt;0,F14&gt;ADV_CAP*C14),"⚠️ السلف فوق السقف",IF(H14&lt;0,"⚠️ السلف أكثر من المستحق",IF(AND(H14&gt;0,J14=0),"✔ مدفوع",IF(H14&gt;0,"لسا ما اندفع",""))))</f>
        <v/>
      </c>
      <c r="L14" s="20"/>
    </row>
    <row r="15" customFormat="false" ht="24" hidden="false" customHeight="true" outlineLevel="0" collapsed="false">
      <c r="A15" s="16" t="s">
        <v>13</v>
      </c>
      <c r="B15" s="17" t="n">
        <f aca="false">N(INDEX(B32:B37,WK))</f>
        <v>0</v>
      </c>
      <c r="C15" s="18" t="n">
        <f aca="false">N(INDEX(C32:C37,WK))</f>
        <v>0</v>
      </c>
      <c r="D15" s="18" t="n">
        <f aca="false">N(INDEX(D32:D37,WK))</f>
        <v>0</v>
      </c>
      <c r="E15" s="18" t="n">
        <f aca="false">N(INDEX(E32:E37,WK))</f>
        <v>0</v>
      </c>
      <c r="F15" s="18" t="n">
        <f aca="false">N(INDEX(F32:F37,WK))</f>
        <v>0</v>
      </c>
      <c r="G15" s="18" t="n">
        <f aca="false">N(INDEX(G32:G37,WK))</f>
        <v>0</v>
      </c>
      <c r="H15" s="19" t="n">
        <f aca="false">N(INDEX(H32:H37,WK))</f>
        <v>0</v>
      </c>
      <c r="I15" s="18" t="n">
        <f aca="false">N(INDEX(I32:I37,WK))</f>
        <v>0</v>
      </c>
      <c r="J15" s="18" t="n">
        <f aca="false">N(INDEX(J32:J37,WK))</f>
        <v>0</v>
      </c>
      <c r="K15" s="20" t="str">
        <f aca="false">IF(AND(ADV_CAP&gt;0,C15&gt;0,F15&gt;ADV_CAP*C15),"⚠️ السلف فوق السقف",IF(H15&lt;0,"⚠️ السلف أكثر من المستحق",IF(AND(H15&gt;0,J15=0),"✔ مدفوع",IF(H15&gt;0,"لسا ما اندفع",""))))</f>
        <v/>
      </c>
      <c r="L15" s="20"/>
    </row>
    <row r="17" customFormat="false" ht="15" hidden="false" customHeight="true" outlineLevel="0" collapsed="false">
      <c r="A17" s="11" t="s">
        <v>24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20" customFormat="false" ht="16.15" hidden="false" customHeight="true" outlineLevel="0" collapsed="false">
      <c r="A20" s="14" t="s">
        <v>25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customFormat="false" ht="33.75" hidden="false" customHeight="true" outlineLevel="0" collapsed="false">
      <c r="A21" s="15" t="s">
        <v>4</v>
      </c>
      <c r="B21" s="15" t="s">
        <v>14</v>
      </c>
      <c r="C21" s="15" t="s">
        <v>15</v>
      </c>
      <c r="D21" s="15" t="s">
        <v>16</v>
      </c>
      <c r="E21" s="15" t="s">
        <v>18</v>
      </c>
      <c r="F21" s="15" t="s">
        <v>19</v>
      </c>
      <c r="G21" s="15" t="s">
        <v>20</v>
      </c>
      <c r="H21" s="15" t="s">
        <v>21</v>
      </c>
      <c r="I21" s="15" t="s">
        <v>22</v>
      </c>
      <c r="J21" s="15" t="s">
        <v>23</v>
      </c>
    </row>
    <row r="22" customFormat="false" ht="15" hidden="false" customHeight="false" outlineLevel="0" collapsed="false">
      <c r="A22" s="21" t="str">
        <f aca="false">IF(1&lt;=NW,"الأسبوع الأول","")</f>
        <v>الأسبوع الأول</v>
      </c>
      <c r="B22" s="17" t="n">
        <f aca="false">IF(1&lt;=NW,N('ساعات عمر'!E14),"")</f>
        <v>0</v>
      </c>
      <c r="C22" s="18" t="n">
        <f aca="false">IF(1&lt;=NW,N('ساعات عمر'!H15),"")</f>
        <v>0</v>
      </c>
      <c r="D22" s="18" t="n">
        <f aca="false">IF(1&lt;=NW,$B$9,"")</f>
        <v>0</v>
      </c>
      <c r="E22" s="18" t="n">
        <f aca="false">IF(1&lt;=NW,SUMIFS(LG_ADV,LG_E,"عمر المصري",LG_D,"&gt;="&amp;القوائم!$H$11,LG_D,"&lt;="&amp;القوائم!$I$11),"")</f>
        <v>0</v>
      </c>
      <c r="F22" s="18" t="n">
        <f aca="false">IF(1&lt;=NW,IF(N(C22)=0,0,MIN($D$9,MAX(0,$C$9+SUMIFS(LG_DEBT,LG_E,"عمر المصري",LG_D,"&lt;="&amp;القوائم!$I$11)-SUMIFS(LG_REP,LG_E,"عمر المصري",LG_D,"&lt;="&amp;القوائم!$I$11)-0))),"")</f>
        <v>0</v>
      </c>
      <c r="G22" s="18" t="n">
        <f aca="false">IF(1&lt;=NW,C22+D22-E22-F22,"")</f>
        <v>0</v>
      </c>
      <c r="H22" s="22"/>
      <c r="I22" s="18" t="n">
        <f aca="false">IF(1&lt;=NW,G22-N(H22),"")</f>
        <v>0</v>
      </c>
      <c r="J22" s="23" t="str">
        <f aca="false">IF(1&lt;=NW,IF(AND(ADV_CAP&gt;0,C22&gt;0,E22&gt;ADV_CAP*C22),"⚠️ السلف فوق السقف",IF(G22&lt;0,"⚠️ السلف أكثر من المستحق","")),"")</f>
        <v/>
      </c>
    </row>
    <row r="23" customFormat="false" ht="15" hidden="false" customHeight="false" outlineLevel="0" collapsed="false">
      <c r="A23" s="21" t="str">
        <f aca="false">IF(2&lt;=NW,"الأسبوع الثاني","")</f>
        <v>الأسبوع الثاني</v>
      </c>
      <c r="B23" s="17" t="n">
        <f aca="false">IF(2&lt;=NW,N('ساعات عمر'!E24),"")</f>
        <v>0</v>
      </c>
      <c r="C23" s="18" t="n">
        <f aca="false">IF(2&lt;=NW,N('ساعات عمر'!H25),"")</f>
        <v>0</v>
      </c>
      <c r="D23" s="18" t="n">
        <f aca="false">IF(2&lt;=NW,0,"")</f>
        <v>0</v>
      </c>
      <c r="E23" s="18" t="n">
        <f aca="false">IF(2&lt;=NW,SUMIFS(LG_ADV,LG_E,"عمر المصري",LG_D,"&gt;="&amp;القوائم!$H$12,LG_D,"&lt;="&amp;القوائم!$I$12),"")</f>
        <v>0</v>
      </c>
      <c r="F23" s="18" t="n">
        <f aca="false">IF(2&lt;=NW,IF(N(C23)=0,0,MIN($D$9,MAX(0,$C$9+SUMIFS(LG_DEBT,LG_E,"عمر المصري",LG_D,"&lt;="&amp;القوائم!$I$12)-SUMIFS(LG_REP,LG_E,"عمر المصري",LG_D,"&lt;="&amp;القوائم!$I$12)-SUM(F22:F22)))),"")</f>
        <v>0</v>
      </c>
      <c r="G23" s="18" t="n">
        <f aca="false">IF(2&lt;=NW,C23+D23-E23-F23,"")</f>
        <v>0</v>
      </c>
      <c r="H23" s="22"/>
      <c r="I23" s="18" t="n">
        <f aca="false">IF(2&lt;=NW,G23-N(H23),"")</f>
        <v>0</v>
      </c>
      <c r="J23" s="23" t="str">
        <f aca="false">IF(2&lt;=NW,IF(AND(ADV_CAP&gt;0,C23&gt;0,E23&gt;ADV_CAP*C23),"⚠️ السلف فوق السقف",IF(G23&lt;0,"⚠️ السلف أكثر من المستحق","")),"")</f>
        <v/>
      </c>
    </row>
    <row r="24" customFormat="false" ht="15" hidden="false" customHeight="false" outlineLevel="0" collapsed="false">
      <c r="A24" s="21" t="str">
        <f aca="false">IF(3&lt;=NW,"الأسبوع الثالث","")</f>
        <v>الأسبوع الثالث</v>
      </c>
      <c r="B24" s="17" t="n">
        <f aca="false">IF(3&lt;=NW,N('ساعات عمر'!E34),"")</f>
        <v>0</v>
      </c>
      <c r="C24" s="18" t="n">
        <f aca="false">IF(3&lt;=NW,N('ساعات عمر'!H35),"")</f>
        <v>0</v>
      </c>
      <c r="D24" s="18" t="n">
        <f aca="false">IF(3&lt;=NW,0,"")</f>
        <v>0</v>
      </c>
      <c r="E24" s="18" t="n">
        <f aca="false">IF(3&lt;=NW,SUMIFS(LG_ADV,LG_E,"عمر المصري",LG_D,"&gt;="&amp;القوائم!$H$13,LG_D,"&lt;="&amp;القوائم!$I$13),"")</f>
        <v>0</v>
      </c>
      <c r="F24" s="18" t="n">
        <f aca="false">IF(3&lt;=NW,IF(N(C24)=0,0,MIN($D$9,MAX(0,$C$9+SUMIFS(LG_DEBT,LG_E,"عمر المصري",LG_D,"&lt;="&amp;القوائم!$I$13)-SUMIFS(LG_REP,LG_E,"عمر المصري",LG_D,"&lt;="&amp;القوائم!$I$13)-SUM(F22:F23)))),"")</f>
        <v>0</v>
      </c>
      <c r="G24" s="18" t="n">
        <f aca="false">IF(3&lt;=NW,C24+D24-E24-F24,"")</f>
        <v>0</v>
      </c>
      <c r="H24" s="22"/>
      <c r="I24" s="18" t="n">
        <f aca="false">IF(3&lt;=NW,G24-N(H24),"")</f>
        <v>0</v>
      </c>
      <c r="J24" s="23" t="str">
        <f aca="false">IF(3&lt;=NW,IF(AND(ADV_CAP&gt;0,C24&gt;0,E24&gt;ADV_CAP*C24),"⚠️ السلف فوق السقف",IF(G24&lt;0,"⚠️ السلف أكثر من المستحق","")),"")</f>
        <v/>
      </c>
    </row>
    <row r="25" customFormat="false" ht="15" hidden="false" customHeight="false" outlineLevel="0" collapsed="false">
      <c r="A25" s="21" t="str">
        <f aca="false">IF(4&lt;=NW,"الأسبوع الرابع","")</f>
        <v>الأسبوع الرابع</v>
      </c>
      <c r="B25" s="17" t="n">
        <f aca="false">IF(4&lt;=NW,N('ساعات عمر'!E44),"")</f>
        <v>0</v>
      </c>
      <c r="C25" s="18" t="n">
        <f aca="false">IF(4&lt;=NW,N('ساعات عمر'!H45),"")</f>
        <v>0</v>
      </c>
      <c r="D25" s="18" t="n">
        <f aca="false">IF(4&lt;=NW,0,"")</f>
        <v>0</v>
      </c>
      <c r="E25" s="18" t="n">
        <f aca="false">IF(4&lt;=NW,SUMIFS(LG_ADV,LG_E,"عمر المصري",LG_D,"&gt;="&amp;القوائم!$H$14,LG_D,"&lt;="&amp;القوائم!$I$14),"")</f>
        <v>0</v>
      </c>
      <c r="F25" s="18" t="n">
        <f aca="false">IF(4&lt;=NW,IF(N(C25)=0,0,MIN($D$9,MAX(0,$C$9+SUMIFS(LG_DEBT,LG_E,"عمر المصري",LG_D,"&lt;="&amp;القوائم!$I$14)-SUMIFS(LG_REP,LG_E,"عمر المصري",LG_D,"&lt;="&amp;القوائم!$I$14)-SUM(F22:F24)))),"")</f>
        <v>0</v>
      </c>
      <c r="G25" s="18" t="n">
        <f aca="false">IF(4&lt;=NW,C25+D25-E25-F25,"")</f>
        <v>0</v>
      </c>
      <c r="H25" s="22"/>
      <c r="I25" s="18" t="n">
        <f aca="false">IF(4&lt;=NW,G25-N(H25),"")</f>
        <v>0</v>
      </c>
      <c r="J25" s="23" t="str">
        <f aca="false">IF(4&lt;=NW,IF(AND(ADV_CAP&gt;0,C25&gt;0,E25&gt;ADV_CAP*C25),"⚠️ السلف فوق السقف",IF(G25&lt;0,"⚠️ السلف أكثر من المستحق","")),"")</f>
        <v/>
      </c>
    </row>
    <row r="26" customFormat="false" ht="15" hidden="false" customHeight="false" outlineLevel="0" collapsed="false">
      <c r="A26" s="21" t="str">
        <f aca="false">IF(5&lt;=NW,"الأسبوع الخامس","")</f>
        <v>الأسبوع الخامس</v>
      </c>
      <c r="B26" s="17" t="n">
        <f aca="false">IF(5&lt;=NW,N('ساعات عمر'!E54),"")</f>
        <v>0</v>
      </c>
      <c r="C26" s="18" t="n">
        <f aca="false">IF(5&lt;=NW,N('ساعات عمر'!H55),"")</f>
        <v>0</v>
      </c>
      <c r="D26" s="18" t="n">
        <f aca="false">IF(5&lt;=NW,0,"")</f>
        <v>0</v>
      </c>
      <c r="E26" s="18" t="n">
        <f aca="false">IF(5&lt;=NW,SUMIFS(LG_ADV,LG_E,"عمر المصري",LG_D,"&gt;="&amp;القوائم!$H$15,LG_D,"&lt;="&amp;القوائم!$I$15),"")</f>
        <v>0</v>
      </c>
      <c r="F26" s="18" t="n">
        <f aca="false">IF(5&lt;=NW,IF(N(C26)=0,0,MIN($D$9,MAX(0,$C$9+SUMIFS(LG_DEBT,LG_E,"عمر المصري",LG_D,"&lt;="&amp;القوائم!$I$15)-SUMIFS(LG_REP,LG_E,"عمر المصري",LG_D,"&lt;="&amp;القوائم!$I$15)-SUM(F22:F25)))),"")</f>
        <v>0</v>
      </c>
      <c r="G26" s="18" t="n">
        <f aca="false">IF(5&lt;=NW,C26+D26-E26-F26,"")</f>
        <v>0</v>
      </c>
      <c r="H26" s="22"/>
      <c r="I26" s="18" t="n">
        <f aca="false">IF(5&lt;=NW,G26-N(H26),"")</f>
        <v>0</v>
      </c>
      <c r="J26" s="23" t="str">
        <f aca="false">IF(5&lt;=NW,IF(AND(ADV_CAP&gt;0,C26&gt;0,E26&gt;ADV_CAP*C26),"⚠️ السلف فوق السقف",IF(G26&lt;0,"⚠️ السلف أكثر من المستحق","")),"")</f>
        <v/>
      </c>
    </row>
    <row r="27" customFormat="false" ht="15" hidden="false" customHeight="false" outlineLevel="0" collapsed="false">
      <c r="A27" s="21" t="str">
        <f aca="false">IF(6&lt;=NW,"الأسبوع السادس","")</f>
        <v>الأسبوع السادس</v>
      </c>
      <c r="B27" s="17" t="n">
        <f aca="false">IF(6&lt;=NW,N('ساعات عمر'!E64),"")</f>
        <v>0</v>
      </c>
      <c r="C27" s="18" t="n">
        <f aca="false">IF(6&lt;=NW,N('ساعات عمر'!H65),"")</f>
        <v>0</v>
      </c>
      <c r="D27" s="18" t="n">
        <f aca="false">IF(6&lt;=NW,0,"")</f>
        <v>0</v>
      </c>
      <c r="E27" s="18" t="n">
        <f aca="false">IF(6&lt;=NW,SUMIFS(LG_ADV,LG_E,"عمر المصري",LG_D,"&gt;="&amp;القوائم!$H$16,LG_D,"&lt;="&amp;القوائم!$I$16),"")</f>
        <v>0</v>
      </c>
      <c r="F27" s="18" t="n">
        <f aca="false">IF(6&lt;=NW,IF(N(C27)=0,0,MIN($D$9,MAX(0,$C$9+SUMIFS(LG_DEBT,LG_E,"عمر المصري",LG_D,"&lt;="&amp;القوائم!$I$16)-SUMIFS(LG_REP,LG_E,"عمر المصري",LG_D,"&lt;="&amp;القوائم!$I$16)-SUM(F22:F26)))),"")</f>
        <v>0</v>
      </c>
      <c r="G27" s="18" t="n">
        <f aca="false">IF(6&lt;=NW,C27+D27-E27-F27,"")</f>
        <v>0</v>
      </c>
      <c r="H27" s="22"/>
      <c r="I27" s="18" t="n">
        <f aca="false">IF(6&lt;=NW,G27-N(H27),"")</f>
        <v>0</v>
      </c>
      <c r="J27" s="23" t="str">
        <f aca="false">IF(6&lt;=NW,IF(AND(ADV_CAP&gt;0,C27&gt;0,E27&gt;ADV_CAP*C27),"⚠️ السلف فوق السقف",IF(G27&lt;0,"⚠️ السلف أكثر من المستحق","")),"")</f>
        <v/>
      </c>
    </row>
    <row r="28" customFormat="false" ht="15" hidden="false" customHeight="false" outlineLevel="0" collapsed="false">
      <c r="A28" s="24" t="s">
        <v>26</v>
      </c>
      <c r="B28" s="25" t="n">
        <f aca="false">SUM(B22:B27)</f>
        <v>0</v>
      </c>
      <c r="C28" s="26" t="n">
        <f aca="false">SUM(C22:C27)</f>
        <v>0</v>
      </c>
      <c r="D28" s="26" t="n">
        <f aca="false">SUM(D22:D27)</f>
        <v>0</v>
      </c>
      <c r="E28" s="26" t="n">
        <f aca="false">SUM(E22:E27)</f>
        <v>0</v>
      </c>
      <c r="F28" s="26" t="n">
        <f aca="false">SUM(F22:F27)</f>
        <v>0</v>
      </c>
      <c r="G28" s="26" t="n">
        <f aca="false">SUM(G22:G27)</f>
        <v>0</v>
      </c>
      <c r="H28" s="26" t="n">
        <f aca="false">SUM(H22:H27)</f>
        <v>0</v>
      </c>
      <c r="I28" s="26" t="n">
        <f aca="false">SUM(I22:I27)</f>
        <v>0</v>
      </c>
      <c r="J28" s="24"/>
    </row>
    <row r="30" customFormat="false" ht="16.15" hidden="false" customHeight="true" outlineLevel="0" collapsed="false">
      <c r="A30" s="27" t="s">
        <v>27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customFormat="false" ht="33.75" hidden="false" customHeight="true" outlineLevel="0" collapsed="false">
      <c r="A31" s="28" t="s">
        <v>4</v>
      </c>
      <c r="B31" s="28" t="s">
        <v>14</v>
      </c>
      <c r="C31" s="28" t="s">
        <v>15</v>
      </c>
      <c r="D31" s="28" t="s">
        <v>16</v>
      </c>
      <c r="E31" s="28" t="s">
        <v>17</v>
      </c>
      <c r="F31" s="28" t="s">
        <v>18</v>
      </c>
      <c r="G31" s="28" t="s">
        <v>19</v>
      </c>
      <c r="H31" s="28" t="s">
        <v>20</v>
      </c>
      <c r="I31" s="28" t="s">
        <v>21</v>
      </c>
      <c r="J31" s="28" t="s">
        <v>22</v>
      </c>
    </row>
    <row r="32" customFormat="false" ht="15" hidden="false" customHeight="false" outlineLevel="0" collapsed="false">
      <c r="A32" s="29" t="str">
        <f aca="false">IF(1&lt;=NW,"الأسبوع الأول","")</f>
        <v>الأسبوع الأول</v>
      </c>
      <c r="B32" s="17" t="n">
        <f aca="false">IF(1&lt;=NW,N('ساعات عبدالعزيز'!E14),"")</f>
        <v>0</v>
      </c>
      <c r="C32" s="18" t="n">
        <f aca="false">IF(1&lt;=NW,N('ساعات عبدالعزيز'!F15),"")</f>
        <v>0</v>
      </c>
      <c r="D32" s="18" t="n">
        <f aca="false">IF(1&lt;=NW,$B$10,"")</f>
        <v>0</v>
      </c>
      <c r="E32" s="18" t="n">
        <f aca="false">IF(1&lt;=NW,N('ساعات عبدالعزيز'!H14),"")</f>
        <v>0</v>
      </c>
      <c r="F32" s="18" t="n">
        <f aca="false">IF(1&lt;=NW,SUMIFS(LG_ADV,LG_E,"عبدالعزيز",LG_D,"&gt;="&amp;القوائم!$H$11,LG_D,"&lt;="&amp;القوائم!$I$11),"")</f>
        <v>0</v>
      </c>
      <c r="G32" s="18" t="n">
        <f aca="false">IF(1&lt;=NW,IF(N(C32)=0,0,MIN($D$10,MAX(0,$C$10+SUMIFS(LG_DEBT,LG_E,"عبدالعزيز",LG_D,"&lt;="&amp;القوائم!$I$11)-SUMIFS(LG_REP,LG_E,"عبدالعزيز",LG_D,"&lt;="&amp;القوائم!$I$11)-0))),"")</f>
        <v>0</v>
      </c>
      <c r="H32" s="18" t="n">
        <f aca="false">IF(1&lt;=NW,C32+D32-E32-F32-G32,"")</f>
        <v>0</v>
      </c>
      <c r="I32" s="22"/>
      <c r="J32" s="18" t="n">
        <f aca="false">IF(1&lt;=NW,H32-N(I32),"")</f>
        <v>0</v>
      </c>
    </row>
    <row r="33" customFormat="false" ht="15" hidden="false" customHeight="false" outlineLevel="0" collapsed="false">
      <c r="A33" s="29" t="str">
        <f aca="false">IF(2&lt;=NW,"الأسبوع الثاني","")</f>
        <v>الأسبوع الثاني</v>
      </c>
      <c r="B33" s="17" t="n">
        <f aca="false">IF(2&lt;=NW,N('ساعات عبدالعزيز'!E24),"")</f>
        <v>0</v>
      </c>
      <c r="C33" s="18" t="n">
        <f aca="false">IF(2&lt;=NW,N('ساعات عبدالعزيز'!F25),"")</f>
        <v>0</v>
      </c>
      <c r="D33" s="18" t="n">
        <f aca="false">IF(2&lt;=NW,0,"")</f>
        <v>0</v>
      </c>
      <c r="E33" s="18" t="n">
        <f aca="false">IF(2&lt;=NW,N('ساعات عبدالعزيز'!H24),"")</f>
        <v>0</v>
      </c>
      <c r="F33" s="18" t="n">
        <f aca="false">IF(2&lt;=NW,SUMIFS(LG_ADV,LG_E,"عبدالعزيز",LG_D,"&gt;="&amp;القوائم!$H$12,LG_D,"&lt;="&amp;القوائم!$I$12),"")</f>
        <v>0</v>
      </c>
      <c r="G33" s="18" t="n">
        <f aca="false">IF(2&lt;=NW,IF(N(C33)=0,0,MIN($D$10,MAX(0,$C$10+SUMIFS(LG_DEBT,LG_E,"عبدالعزيز",LG_D,"&lt;="&amp;القوائم!$I$12)-SUMIFS(LG_REP,LG_E,"عبدالعزيز",LG_D,"&lt;="&amp;القوائم!$I$12)-SUM(G32:G32)))),"")</f>
        <v>0</v>
      </c>
      <c r="H33" s="18" t="n">
        <f aca="false">IF(2&lt;=NW,C33+D33-E33-F33-G33,"")</f>
        <v>0</v>
      </c>
      <c r="I33" s="22"/>
      <c r="J33" s="18" t="n">
        <f aca="false">IF(2&lt;=NW,H33-N(I33),"")</f>
        <v>0</v>
      </c>
    </row>
    <row r="34" customFormat="false" ht="15" hidden="false" customHeight="false" outlineLevel="0" collapsed="false">
      <c r="A34" s="29" t="str">
        <f aca="false">IF(3&lt;=NW,"الأسبوع الثالث","")</f>
        <v>الأسبوع الثالث</v>
      </c>
      <c r="B34" s="17" t="n">
        <f aca="false">IF(3&lt;=NW,N('ساعات عبدالعزيز'!E34),"")</f>
        <v>0</v>
      </c>
      <c r="C34" s="18" t="n">
        <f aca="false">IF(3&lt;=NW,N('ساعات عبدالعزيز'!F35),"")</f>
        <v>0</v>
      </c>
      <c r="D34" s="18" t="n">
        <f aca="false">IF(3&lt;=NW,0,"")</f>
        <v>0</v>
      </c>
      <c r="E34" s="18" t="n">
        <f aca="false">IF(3&lt;=NW,N('ساعات عبدالعزيز'!H34),"")</f>
        <v>0</v>
      </c>
      <c r="F34" s="18" t="n">
        <f aca="false">IF(3&lt;=NW,SUMIFS(LG_ADV,LG_E,"عبدالعزيز",LG_D,"&gt;="&amp;القوائم!$H$13,LG_D,"&lt;="&amp;القوائم!$I$13),"")</f>
        <v>0</v>
      </c>
      <c r="G34" s="18" t="n">
        <f aca="false">IF(3&lt;=NW,IF(N(C34)=0,0,MIN($D$10,MAX(0,$C$10+SUMIFS(LG_DEBT,LG_E,"عبدالعزيز",LG_D,"&lt;="&amp;القوائم!$I$13)-SUMIFS(LG_REP,LG_E,"عبدالعزيز",LG_D,"&lt;="&amp;القوائم!$I$13)-SUM(G32:G33)))),"")</f>
        <v>0</v>
      </c>
      <c r="H34" s="18" t="n">
        <f aca="false">IF(3&lt;=NW,C34+D34-E34-F34-G34,"")</f>
        <v>0</v>
      </c>
      <c r="I34" s="22"/>
      <c r="J34" s="18" t="n">
        <f aca="false">IF(3&lt;=NW,H34-N(I34),"")</f>
        <v>0</v>
      </c>
    </row>
    <row r="35" customFormat="false" ht="15" hidden="false" customHeight="false" outlineLevel="0" collapsed="false">
      <c r="A35" s="29" t="str">
        <f aca="false">IF(4&lt;=NW,"الأسبوع الرابع","")</f>
        <v>الأسبوع الرابع</v>
      </c>
      <c r="B35" s="17" t="n">
        <f aca="false">IF(4&lt;=NW,N('ساعات عبدالعزيز'!E44),"")</f>
        <v>0</v>
      </c>
      <c r="C35" s="18" t="n">
        <f aca="false">IF(4&lt;=NW,N('ساعات عبدالعزيز'!F45),"")</f>
        <v>0</v>
      </c>
      <c r="D35" s="18" t="n">
        <f aca="false">IF(4&lt;=NW,0,"")</f>
        <v>0</v>
      </c>
      <c r="E35" s="18" t="n">
        <f aca="false">IF(4&lt;=NW,N('ساعات عبدالعزيز'!H44),"")</f>
        <v>0</v>
      </c>
      <c r="F35" s="18" t="n">
        <f aca="false">IF(4&lt;=NW,SUMIFS(LG_ADV,LG_E,"عبدالعزيز",LG_D,"&gt;="&amp;القوائم!$H$14,LG_D,"&lt;="&amp;القوائم!$I$14),"")</f>
        <v>0</v>
      </c>
      <c r="G35" s="18" t="n">
        <f aca="false">IF(4&lt;=NW,IF(N(C35)=0,0,MIN($D$10,MAX(0,$C$10+SUMIFS(LG_DEBT,LG_E,"عبدالعزيز",LG_D,"&lt;="&amp;القوائم!$I$14)-SUMIFS(LG_REP,LG_E,"عبدالعزيز",LG_D,"&lt;="&amp;القوائم!$I$14)-SUM(G32:G34)))),"")</f>
        <v>0</v>
      </c>
      <c r="H35" s="18" t="n">
        <f aca="false">IF(4&lt;=NW,C35+D35-E35-F35-G35,"")</f>
        <v>0</v>
      </c>
      <c r="I35" s="22"/>
      <c r="J35" s="18" t="n">
        <f aca="false">IF(4&lt;=NW,H35-N(I35),"")</f>
        <v>0</v>
      </c>
    </row>
    <row r="36" customFormat="false" ht="15" hidden="false" customHeight="false" outlineLevel="0" collapsed="false">
      <c r="A36" s="29" t="str">
        <f aca="false">IF(5&lt;=NW,"الأسبوع الخامس","")</f>
        <v>الأسبوع الخامس</v>
      </c>
      <c r="B36" s="17" t="n">
        <f aca="false">IF(5&lt;=NW,N('ساعات عبدالعزيز'!E54),"")</f>
        <v>0</v>
      </c>
      <c r="C36" s="18" t="n">
        <f aca="false">IF(5&lt;=NW,N('ساعات عبدالعزيز'!F55),"")</f>
        <v>0</v>
      </c>
      <c r="D36" s="18" t="n">
        <f aca="false">IF(5&lt;=NW,0,"")</f>
        <v>0</v>
      </c>
      <c r="E36" s="18" t="n">
        <f aca="false">IF(5&lt;=NW,N('ساعات عبدالعزيز'!H54),"")</f>
        <v>0</v>
      </c>
      <c r="F36" s="18" t="n">
        <f aca="false">IF(5&lt;=NW,SUMIFS(LG_ADV,LG_E,"عبدالعزيز",LG_D,"&gt;="&amp;القوائم!$H$15,LG_D,"&lt;="&amp;القوائم!$I$15),"")</f>
        <v>0</v>
      </c>
      <c r="G36" s="18" t="n">
        <f aca="false">IF(5&lt;=NW,IF(N(C36)=0,0,MIN($D$10,MAX(0,$C$10+SUMIFS(LG_DEBT,LG_E,"عبدالعزيز",LG_D,"&lt;="&amp;القوائم!$I$15)-SUMIFS(LG_REP,LG_E,"عبدالعزيز",LG_D,"&lt;="&amp;القوائم!$I$15)-SUM(G32:G35)))),"")</f>
        <v>0</v>
      </c>
      <c r="H36" s="18" t="n">
        <f aca="false">IF(5&lt;=NW,C36+D36-E36-F36-G36,"")</f>
        <v>0</v>
      </c>
      <c r="I36" s="22"/>
      <c r="J36" s="18" t="n">
        <f aca="false">IF(5&lt;=NW,H36-N(I36),"")</f>
        <v>0</v>
      </c>
    </row>
    <row r="37" customFormat="false" ht="15" hidden="false" customHeight="false" outlineLevel="0" collapsed="false">
      <c r="A37" s="29" t="str">
        <f aca="false">IF(6&lt;=NW,"الأسبوع السادس","")</f>
        <v>الأسبوع السادس</v>
      </c>
      <c r="B37" s="17" t="n">
        <f aca="false">IF(6&lt;=NW,N('ساعات عبدالعزيز'!E64),"")</f>
        <v>0</v>
      </c>
      <c r="C37" s="18" t="n">
        <f aca="false">IF(6&lt;=NW,N('ساعات عبدالعزيز'!F65),"")</f>
        <v>0</v>
      </c>
      <c r="D37" s="18" t="n">
        <f aca="false">IF(6&lt;=NW,0,"")</f>
        <v>0</v>
      </c>
      <c r="E37" s="18" t="n">
        <f aca="false">IF(6&lt;=NW,N('ساعات عبدالعزيز'!H64),"")</f>
        <v>0</v>
      </c>
      <c r="F37" s="18" t="n">
        <f aca="false">IF(6&lt;=NW,SUMIFS(LG_ADV,LG_E,"عبدالعزيز",LG_D,"&gt;="&amp;القوائم!$H$16,LG_D,"&lt;="&amp;القوائم!$I$16),"")</f>
        <v>0</v>
      </c>
      <c r="G37" s="18" t="n">
        <f aca="false">IF(6&lt;=NW,IF(N(C37)=0,0,MIN($D$10,MAX(0,$C$10+SUMIFS(LG_DEBT,LG_E,"عبدالعزيز",LG_D,"&lt;="&amp;القوائم!$I$16)-SUMIFS(LG_REP,LG_E,"عبدالعزيز",LG_D,"&lt;="&amp;القوائم!$I$16)-SUM(G32:G36)))),"")</f>
        <v>0</v>
      </c>
      <c r="H37" s="18" t="n">
        <f aca="false">IF(6&lt;=NW,C37+D37-E37-F37-G37,"")</f>
        <v>0</v>
      </c>
      <c r="I37" s="22"/>
      <c r="J37" s="18" t="n">
        <f aca="false">IF(6&lt;=NW,H37-N(I37),"")</f>
        <v>0</v>
      </c>
    </row>
    <row r="38" customFormat="false" ht="15" hidden="false" customHeight="false" outlineLevel="0" collapsed="false">
      <c r="A38" s="24" t="s">
        <v>26</v>
      </c>
      <c r="B38" s="25" t="n">
        <f aca="false">SUM(B32:B37)</f>
        <v>0</v>
      </c>
      <c r="C38" s="26" t="n">
        <f aca="false">SUM(C32:C37)</f>
        <v>0</v>
      </c>
      <c r="D38" s="26" t="n">
        <f aca="false">SUM(D32:D37)</f>
        <v>0</v>
      </c>
      <c r="E38" s="26" t="n">
        <f aca="false">SUM(E32:E37)</f>
        <v>0</v>
      </c>
      <c r="F38" s="26" t="n">
        <f aca="false">SUM(F32:F37)</f>
        <v>0</v>
      </c>
      <c r="G38" s="26" t="n">
        <f aca="false">SUM(G32:G37)</f>
        <v>0</v>
      </c>
      <c r="H38" s="26" t="n">
        <f aca="false">SUM(H32:H37)</f>
        <v>0</v>
      </c>
      <c r="I38" s="26" t="n">
        <f aca="false">SUM(I32:I37)</f>
        <v>0</v>
      </c>
      <c r="J38" s="26" t="n">
        <f aca="false">SUM(J32:J37)</f>
        <v>0</v>
      </c>
    </row>
    <row r="41" customFormat="false" ht="16.15" hidden="false" customHeight="true" outlineLevel="0" collapsed="false">
      <c r="A41" s="30" t="s">
        <v>28</v>
      </c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</row>
    <row r="42" customFormat="false" ht="33.75" hidden="false" customHeight="true" outlineLevel="0" collapsed="false">
      <c r="A42" s="10" t="s">
        <v>7</v>
      </c>
      <c r="B42" s="10" t="s">
        <v>8</v>
      </c>
      <c r="C42" s="10" t="s">
        <v>9</v>
      </c>
      <c r="D42" s="10" t="s">
        <v>10</v>
      </c>
    </row>
    <row r="43" customFormat="false" ht="15" hidden="false" customHeight="false" outlineLevel="0" collapsed="false">
      <c r="A43" s="31" t="s">
        <v>12</v>
      </c>
      <c r="B43" s="32" t="n">
        <f aca="false">I28</f>
        <v>0</v>
      </c>
      <c r="C43" s="32" t="n">
        <f aca="false">$C$9+SUMIFS(LG_DEBT,LG_E,A43)-SUMIFS(LG_REP,LG_E,A43)-F28</f>
        <v>0</v>
      </c>
      <c r="D43" s="32" t="n">
        <f aca="false">IF(C43&gt;0,$D$9,0)</f>
        <v>0</v>
      </c>
      <c r="E43" s="33" t="str">
        <f aca="false">IF(B43&gt;0.0005,"المحل لسا مدين إله بـ "&amp;TEXT(B43,"0.000"),IF(B43&lt;-0.0005,"قبض زيادة "&amp;TEXT(-B43,"0.000")&amp;" — بتنخصم الشهر الجاي","ما إله شي"))&amp;IF(C43&gt;0.0005,"  ·  وعليه دين "&amp;TEXT(C43,"0.000"),"")</f>
        <v>ما إله شي</v>
      </c>
      <c r="F43" s="33"/>
      <c r="G43" s="33"/>
      <c r="H43" s="33"/>
      <c r="I43" s="33"/>
      <c r="J43" s="33"/>
      <c r="K43" s="33"/>
      <c r="L43" s="33"/>
    </row>
    <row r="44" customFormat="false" ht="15" hidden="false" customHeight="false" outlineLevel="0" collapsed="false">
      <c r="A44" s="31" t="s">
        <v>13</v>
      </c>
      <c r="B44" s="32" t="n">
        <f aca="false">J38</f>
        <v>0</v>
      </c>
      <c r="C44" s="32" t="n">
        <f aca="false">$C$10+SUMIFS(LG_DEBT,LG_E,A44)-SUMIFS(LG_REP,LG_E,A44)-G38</f>
        <v>0</v>
      </c>
      <c r="D44" s="32" t="n">
        <f aca="false">IF(C44&gt;0,$D$10,0)</f>
        <v>0</v>
      </c>
      <c r="E44" s="33" t="str">
        <f aca="false">IF(B44&gt;0.0005,"المحل لسا مدين إله بـ "&amp;TEXT(B44,"0.000"),IF(B44&lt;-0.0005,"قبض زيادة "&amp;TEXT(-B44,"0.000")&amp;" — بتنخصم الشهر الجاي","ما إله شي"))&amp;IF(C44&gt;0.0005,"  ·  وعليه دين "&amp;TEXT(C44,"0.000"),"")</f>
        <v>ما إله شي</v>
      </c>
      <c r="F44" s="33"/>
      <c r="G44" s="33"/>
      <c r="H44" s="33"/>
      <c r="I44" s="33"/>
      <c r="J44" s="33"/>
      <c r="K44" s="33"/>
      <c r="L44" s="33"/>
    </row>
  </sheetData>
  <sheetProtection sheet="true" formatColumns="false" formatRows="false"/>
  <mergeCells count="15">
    <mergeCell ref="A1:L1"/>
    <mergeCell ref="F3:L3"/>
    <mergeCell ref="C5:D5"/>
    <mergeCell ref="A7:L7"/>
    <mergeCell ref="E8:L8"/>
    <mergeCell ref="A12:L12"/>
    <mergeCell ref="K13:L13"/>
    <mergeCell ref="K14:L14"/>
    <mergeCell ref="K15:L15"/>
    <mergeCell ref="A17:L17"/>
    <mergeCell ref="A20:L20"/>
    <mergeCell ref="A30:L30"/>
    <mergeCell ref="A41:L41"/>
    <mergeCell ref="E43:L43"/>
    <mergeCell ref="E44:L44"/>
  </mergeCells>
  <conditionalFormatting sqref="A22:J27">
    <cfRule type="expression" priority="2" aboveAverage="0" equalAverage="0" bottom="0" percent="0" rank="0" text="" dxfId="0">
      <formula>AND($A22&lt;&gt;"",ROW()-22+1=WK)</formula>
    </cfRule>
  </conditionalFormatting>
  <conditionalFormatting sqref="A32:J37">
    <cfRule type="expression" priority="3" aboveAverage="0" equalAverage="0" bottom="0" percent="0" rank="0" text="" dxfId="0">
      <formula>AND($A32&lt;&gt;"",ROW()-32+1=WK)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2" min="11" style="0" width="13"/>
  </cols>
  <sheetData>
    <row r="1" customFormat="false" ht="31.5" hidden="false" customHeight="true" outlineLevel="0" collapsed="false">
      <c r="A1" s="1" t="s">
        <v>29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34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34"/>
      <c r="C2" s="34"/>
      <c r="D2" s="34"/>
      <c r="E2" s="34"/>
      <c r="F2" s="34"/>
      <c r="G2" s="34"/>
      <c r="H2" s="34"/>
      <c r="I2" s="34"/>
    </row>
    <row r="3" customFormat="false" ht="36" hidden="false" customHeight="true" outlineLevel="0" collapsed="false">
      <c r="A3" s="35" t="s">
        <v>30</v>
      </c>
      <c r="B3" s="35"/>
      <c r="C3" s="35"/>
      <c r="D3" s="35"/>
      <c r="E3" s="35"/>
      <c r="F3" s="35"/>
      <c r="G3" s="35"/>
      <c r="H3" s="35"/>
      <c r="I3" s="35"/>
    </row>
    <row r="5" customFormat="false" ht="31.5" hidden="false" customHeight="true" outlineLevel="0" collapsed="false">
      <c r="A5" s="36" t="s">
        <v>31</v>
      </c>
      <c r="B5" s="36" t="s">
        <v>32</v>
      </c>
      <c r="C5" s="36" t="s">
        <v>33</v>
      </c>
      <c r="D5" s="36" t="s">
        <v>34</v>
      </c>
      <c r="E5" s="36" t="s">
        <v>14</v>
      </c>
      <c r="F5" s="36" t="s">
        <v>35</v>
      </c>
      <c r="G5" s="36" t="s">
        <v>36</v>
      </c>
      <c r="H5" s="36" t="s">
        <v>15</v>
      </c>
      <c r="I5" s="36" t="s">
        <v>37</v>
      </c>
    </row>
    <row r="6" customFormat="false" ht="27.75" hidden="false" customHeight="true" outlineLevel="0" collapsed="false">
      <c r="A6" s="37" t="str">
        <f aca="false">IF(1&lt;=NW,"الأسبوع الأول","")</f>
        <v>الأسبوع الأول</v>
      </c>
      <c r="B6" s="37"/>
      <c r="C6" s="37"/>
      <c r="D6" s="37"/>
      <c r="E6" s="37"/>
      <c r="F6" s="37"/>
      <c r="G6" s="37"/>
      <c r="H6" s="37"/>
      <c r="I6" s="37"/>
    </row>
    <row r="7" customFormat="false" ht="15" hidden="false" customHeight="false" outlineLevel="0" collapsed="false">
      <c r="A7" s="38" t="str">
        <f aca="false">IF(AND(1&lt;=NW,WFIRST+0&gt;=MSTART,WFIRST+0&lt;=MEND),WFIRST+0,"")</f>
        <v/>
      </c>
      <c r="B7" s="39" t="str">
        <f aca="false">IF(A7="","",CHOOSE(WEEKDAY(A7,1),"الأحد","الاثنين","الثلاثاء","الأربعاء","الخميس","الجمعة","السبت"))</f>
        <v/>
      </c>
      <c r="C7" s="40"/>
      <c r="D7" s="40"/>
      <c r="E7" s="17" t="str">
        <f aca="false">IF(OR(K7="",L7=""),"",MOD(L7-K7,1))</f>
        <v/>
      </c>
      <c r="F7" s="17" t="str">
        <f aca="false">IF(E7="","",IF(WEEKDAY(A7,1)=6,E7,MIN(E7,MAX(0,MIN(IF(L7&lt;K7,L7+1,L7),OMR_OT_AT)-K7))))</f>
        <v/>
      </c>
      <c r="G7" s="17" t="str">
        <f aca="false">IF(E7="","",MAX(0,E7-F7))</f>
        <v/>
      </c>
      <c r="H7" s="18" t="str">
        <f aca="false">IF(E7="","",ROUND((F7*OMR_RATE+G7*OMR_OT)*24,3))</f>
        <v/>
      </c>
      <c r="I7" s="40"/>
      <c r="K7" s="41" t="str">
        <f aca="false">IF(OR(A7="",C7=""),"",IF(ISNUMBER(C7),MOD(C7,1),IFERROR(INDEX(القوائم!$B$1:$B$96,MATCH(TRIM(C7),القوائم!$A$1:$A$96,0)),IFERROR(MOD(TIMEVALUE(C7),1),""))))</f>
        <v/>
      </c>
      <c r="L7" s="41" t="str">
        <f aca="false">IF(OR(A7="",D7=""),"",IF(ISNUMBER(D7),MOD(D7,1),IFERROR(INDEX(القوائم!$B$1:$B$96,MATCH(TRIM(D7),القوائم!$A$1:$A$96,0)),IFERROR(MOD(TIMEVALUE(D7),1),""))))</f>
        <v/>
      </c>
    </row>
    <row r="8" customFormat="false" ht="15" hidden="false" customHeight="false" outlineLevel="0" collapsed="false">
      <c r="A8" s="38" t="str">
        <f aca="false">IF(AND(1&lt;=NW,WFIRST+1&gt;=MSTART,WFIRST+1&lt;=MEND),WFIRST+1,"")</f>
        <v/>
      </c>
      <c r="B8" s="39" t="str">
        <f aca="false">IF(A8="","",CHOOSE(WEEKDAY(A8,1),"الأحد","الاثنين","الثلاثاء","الأربعاء","الخميس","الجمعة","السبت"))</f>
        <v/>
      </c>
      <c r="C8" s="40"/>
      <c r="D8" s="40"/>
      <c r="E8" s="17" t="str">
        <f aca="false">IF(OR(K8="",L8=""),"",MOD(L8-K8,1))</f>
        <v/>
      </c>
      <c r="F8" s="17" t="str">
        <f aca="false">IF(E8="","",IF(WEEKDAY(A8,1)=6,E8,MIN(E8,MAX(0,MIN(IF(L8&lt;K8,L8+1,L8),OMR_OT_AT)-K8))))</f>
        <v/>
      </c>
      <c r="G8" s="17" t="str">
        <f aca="false">IF(E8="","",MAX(0,E8-F8))</f>
        <v/>
      </c>
      <c r="H8" s="18" t="str">
        <f aca="false">IF(E8="","",ROUND((F8*OMR_RATE+G8*OMR_OT)*24,3))</f>
        <v/>
      </c>
      <c r="I8" s="40"/>
      <c r="K8" s="41" t="str">
        <f aca="false">IF(OR(A8="",C8=""),"",IF(ISNUMBER(C8),MOD(C8,1),IFERROR(INDEX(القوائم!$B$1:$B$96,MATCH(TRIM(C8),القوائم!$A$1:$A$96,0)),IFERROR(MOD(TIMEVALUE(C8),1),""))))</f>
        <v/>
      </c>
      <c r="L8" s="41" t="str">
        <f aca="false">IF(OR(A8="",D8=""),"",IF(ISNUMBER(D8),MOD(D8,1),IFERROR(INDEX(القوائم!$B$1:$B$96,MATCH(TRIM(D8),القوائم!$A$1:$A$96,0)),IFERROR(MOD(TIMEVALUE(D8),1),""))))</f>
        <v/>
      </c>
    </row>
    <row r="9" customFormat="false" ht="15" hidden="false" customHeight="false" outlineLevel="0" collapsed="false">
      <c r="A9" s="38" t="str">
        <f aca="false">IF(AND(1&lt;=NW,WFIRST+2&gt;=MSTART,WFIRST+2&lt;=MEND),WFIRST+2,"")</f>
        <v/>
      </c>
      <c r="B9" s="39" t="str">
        <f aca="false">IF(A9="","",CHOOSE(WEEKDAY(A9,1),"الأحد","الاثنين","الثلاثاء","الأربعاء","الخميس","الجمعة","السبت"))</f>
        <v/>
      </c>
      <c r="C9" s="40"/>
      <c r="D9" s="40"/>
      <c r="E9" s="17" t="str">
        <f aca="false">IF(OR(K9="",L9=""),"",MOD(L9-K9,1))</f>
        <v/>
      </c>
      <c r="F9" s="17" t="str">
        <f aca="false">IF(E9="","",IF(WEEKDAY(A9,1)=6,E9,MIN(E9,MAX(0,MIN(IF(L9&lt;K9,L9+1,L9),OMR_OT_AT)-K9))))</f>
        <v/>
      </c>
      <c r="G9" s="17" t="str">
        <f aca="false">IF(E9="","",MAX(0,E9-F9))</f>
        <v/>
      </c>
      <c r="H9" s="18" t="str">
        <f aca="false">IF(E9="","",ROUND((F9*OMR_RATE+G9*OMR_OT)*24,3))</f>
        <v/>
      </c>
      <c r="I9" s="40"/>
      <c r="K9" s="41" t="str">
        <f aca="false">IF(OR(A9="",C9=""),"",IF(ISNUMBER(C9),MOD(C9,1),IFERROR(INDEX(القوائم!$B$1:$B$96,MATCH(TRIM(C9),القوائم!$A$1:$A$96,0)),IFERROR(MOD(TIMEVALUE(C9),1),""))))</f>
        <v/>
      </c>
      <c r="L9" s="41" t="str">
        <f aca="false">IF(OR(A9="",D9=""),"",IF(ISNUMBER(D9),MOD(D9,1),IFERROR(INDEX(القوائم!$B$1:$B$96,MATCH(TRIM(D9),القوائم!$A$1:$A$96,0)),IFERROR(MOD(TIMEVALUE(D9),1),""))))</f>
        <v/>
      </c>
    </row>
    <row r="10" customFormat="false" ht="15" hidden="false" customHeight="false" outlineLevel="0" collapsed="false">
      <c r="A10" s="38" t="str">
        <f aca="false">IF(AND(1&lt;=NW,WFIRST+3&gt;=MSTART,WFIRST+3&lt;=MEND),WFIRST+3,"")</f>
        <v/>
      </c>
      <c r="B10" s="39" t="str">
        <f aca="false">IF(A10="","",CHOOSE(WEEKDAY(A10,1),"الأحد","الاثنين","الثلاثاء","الأربعاء","الخميس","الجمعة","السبت"))</f>
        <v/>
      </c>
      <c r="C10" s="40"/>
      <c r="D10" s="40"/>
      <c r="E10" s="17" t="str">
        <f aca="false">IF(OR(K10="",L10=""),"",MOD(L10-K10,1))</f>
        <v/>
      </c>
      <c r="F10" s="17" t="str">
        <f aca="false">IF(E10="","",IF(WEEKDAY(A10,1)=6,E10,MIN(E10,MAX(0,MIN(IF(L10&lt;K10,L10+1,L10),OMR_OT_AT)-K10))))</f>
        <v/>
      </c>
      <c r="G10" s="17" t="str">
        <f aca="false">IF(E10="","",MAX(0,E10-F10))</f>
        <v/>
      </c>
      <c r="H10" s="18" t="str">
        <f aca="false">IF(E10="","",ROUND((F10*OMR_RATE+G10*OMR_OT)*24,3))</f>
        <v/>
      </c>
      <c r="I10" s="40"/>
      <c r="K10" s="41" t="str">
        <f aca="false">IF(OR(A10="",C10=""),"",IF(ISNUMBER(C10),MOD(C10,1),IFERROR(INDEX(القوائم!$B$1:$B$96,MATCH(TRIM(C10),القوائم!$A$1:$A$96,0)),IFERROR(MOD(TIMEVALUE(C10),1),""))))</f>
        <v/>
      </c>
      <c r="L10" s="41" t="str">
        <f aca="false">IF(OR(A10="",D10=""),"",IF(ISNUMBER(D10),MOD(D10,1),IFERROR(INDEX(القوائم!$B$1:$B$96,MATCH(TRIM(D10),القوائم!$A$1:$A$96,0)),IFERROR(MOD(TIMEVALUE(D10),1),""))))</f>
        <v/>
      </c>
    </row>
    <row r="11" customFormat="false" ht="15" hidden="false" customHeight="false" outlineLevel="0" collapsed="false">
      <c r="A11" s="38" t="str">
        <f aca="false">IF(AND(1&lt;=NW,WFIRST+4&gt;=MSTART,WFIRST+4&lt;=MEND),WFIRST+4,"")</f>
        <v/>
      </c>
      <c r="B11" s="39" t="str">
        <f aca="false">IF(A11="","",CHOOSE(WEEKDAY(A11,1),"الأحد","الاثنين","الثلاثاء","الأربعاء","الخميس","الجمعة","السبت"))</f>
        <v/>
      </c>
      <c r="C11" s="40"/>
      <c r="D11" s="40"/>
      <c r="E11" s="17" t="str">
        <f aca="false">IF(OR(K11="",L11=""),"",MOD(L11-K11,1))</f>
        <v/>
      </c>
      <c r="F11" s="17" t="str">
        <f aca="false">IF(E11="","",IF(WEEKDAY(A11,1)=6,E11,MIN(E11,MAX(0,MIN(IF(L11&lt;K11,L11+1,L11),OMR_OT_AT)-K11))))</f>
        <v/>
      </c>
      <c r="G11" s="17" t="str">
        <f aca="false">IF(E11="","",MAX(0,E11-F11))</f>
        <v/>
      </c>
      <c r="H11" s="18" t="str">
        <f aca="false">IF(E11="","",ROUND((F11*OMR_RATE+G11*OMR_OT)*24,3))</f>
        <v/>
      </c>
      <c r="I11" s="40"/>
      <c r="K11" s="41" t="str">
        <f aca="false">IF(OR(A11="",C11=""),"",IF(ISNUMBER(C11),MOD(C11,1),IFERROR(INDEX(القوائم!$B$1:$B$96,MATCH(TRIM(C11),القوائم!$A$1:$A$96,0)),IFERROR(MOD(TIMEVALUE(C11),1),""))))</f>
        <v/>
      </c>
      <c r="L11" s="41" t="str">
        <f aca="false">IF(OR(A11="",D11=""),"",IF(ISNUMBER(D11),MOD(D11,1),IFERROR(INDEX(القوائم!$B$1:$B$96,MATCH(TRIM(D11),القوائم!$A$1:$A$96,0)),IFERROR(MOD(TIMEVALUE(D11),1),""))))</f>
        <v/>
      </c>
    </row>
    <row r="12" customFormat="false" ht="15" hidden="false" customHeight="false" outlineLevel="0" collapsed="false">
      <c r="A12" s="38" t="n">
        <f aca="false">IF(AND(1&lt;=NW,WFIRST+5&gt;=MSTART,WFIRST+5&lt;=MEND),WFIRST+5,"")</f>
        <v>46296</v>
      </c>
      <c r="B12" s="39" t="str">
        <f aca="false">IF(A12="","",CHOOSE(WEEKDAY(A12,1),"الأحد","الاثنين","الثلاثاء","الأربعاء","الخميس","الجمعة","السبت"))</f>
        <v>الخميس</v>
      </c>
      <c r="C12" s="40"/>
      <c r="D12" s="40"/>
      <c r="E12" s="17" t="str">
        <f aca="false">IF(OR(K12="",L12=""),"",MOD(L12-K12,1))</f>
        <v/>
      </c>
      <c r="F12" s="17" t="str">
        <f aca="false">IF(E12="","",IF(WEEKDAY(A12,1)=6,E12,MIN(E12,MAX(0,MIN(IF(L12&lt;K12,L12+1,L12),OMR_OT_AT)-K12))))</f>
        <v/>
      </c>
      <c r="G12" s="17" t="str">
        <f aca="false">IF(E12="","",MAX(0,E12-F12))</f>
        <v/>
      </c>
      <c r="H12" s="18" t="str">
        <f aca="false">IF(E12="","",ROUND((F12*OMR_RATE+G12*OMR_OT)*24,3))</f>
        <v/>
      </c>
      <c r="I12" s="40"/>
      <c r="K12" s="41" t="str">
        <f aca="false">IF(OR(A12="",C12=""),"",IF(ISNUMBER(C12),MOD(C12,1),IFERROR(INDEX(القوائم!$B$1:$B$96,MATCH(TRIM(C12),القوائم!$A$1:$A$96,0)),IFERROR(MOD(TIMEVALUE(C12),1),""))))</f>
        <v/>
      </c>
      <c r="L12" s="41" t="str">
        <f aca="false">IF(OR(A12="",D12=""),"",IF(ISNUMBER(D12),MOD(D12,1),IFERROR(INDEX(القوائم!$B$1:$B$96,MATCH(TRIM(D12),القوائم!$A$1:$A$96,0)),IFERROR(MOD(TIMEVALUE(D12),1),""))))</f>
        <v/>
      </c>
    </row>
    <row r="13" customFormat="false" ht="15" hidden="false" customHeight="false" outlineLevel="0" collapsed="false">
      <c r="A13" s="42" t="n">
        <f aca="false">IF(AND(1&lt;=NW,WFIRST+6&gt;=MSTART,WFIRST+6&lt;=MEND),WFIRST+6,"")</f>
        <v>46297</v>
      </c>
      <c r="B13" s="21" t="str">
        <f aca="false">IF(A13="","",CHOOSE(WEEKDAY(A13,1),"الأحد","الاثنين","الثلاثاء","الأربعاء","الخميس","الجمعة","السبت"))</f>
        <v>الجمعة</v>
      </c>
      <c r="C13" s="40"/>
      <c r="D13" s="40"/>
      <c r="E13" s="17" t="str">
        <f aca="false">IF(OR(K13="",L13=""),"",MOD(L13-K13,1))</f>
        <v/>
      </c>
      <c r="F13" s="17" t="str">
        <f aca="false">IF(E13="","",IF(WEEKDAY(A13,1)=6,E13,MIN(E13,MAX(0,MIN(IF(L13&lt;K13,L13+1,L13),OMR_OT_AT)-K13))))</f>
        <v/>
      </c>
      <c r="G13" s="17" t="str">
        <f aca="false">IF(E13="","",MAX(0,E13-F13))</f>
        <v/>
      </c>
      <c r="H13" s="18" t="str">
        <f aca="false">IF(E13="","",ROUND((F13*OMR_RATE+G13*OMR_OT)*24,3))</f>
        <v/>
      </c>
      <c r="I13" s="40"/>
      <c r="K13" s="41" t="str">
        <f aca="false">IF(OR(A13="",C13=""),"",IF(ISNUMBER(C13),MOD(C13,1),IFERROR(INDEX(القوائم!$B$1:$B$96,MATCH(TRIM(C13),القوائم!$A$1:$A$96,0)),IFERROR(MOD(TIMEVALUE(C13),1),""))))</f>
        <v/>
      </c>
      <c r="L13" s="41" t="str">
        <f aca="false">IF(OR(A13="",D13=""),"",IF(ISNUMBER(D13),MOD(D13,1),IFERROR(INDEX(القوائم!$B$1:$B$96,MATCH(TRIM(D13),القوائم!$A$1:$A$96,0)),IFERROR(MOD(TIMEVALUE(D13),1),""))))</f>
        <v/>
      </c>
    </row>
    <row r="14" customFormat="false" ht="15" hidden="false" customHeight="false" outlineLevel="0" collapsed="false">
      <c r="A14" s="24" t="str">
        <f aca="false">IF(1&lt;=NW,"مجموع أيام الأسبوع الأول","")</f>
        <v>مجموع أيام الأسبوع الأول</v>
      </c>
      <c r="B14" s="24"/>
      <c r="C14" s="24"/>
      <c r="D14" s="24"/>
      <c r="E14" s="25" t="n">
        <f aca="false">IF(1&lt;=NW,SUM(E7:E13),"")</f>
        <v>0</v>
      </c>
      <c r="F14" s="25" t="n">
        <f aca="false">IF(1&lt;=NW,SUM(F7:F13),"")</f>
        <v>0</v>
      </c>
      <c r="G14" s="25" t="n">
        <f aca="false">IF(1&lt;=NW,SUM(G7:G13),"")</f>
        <v>0</v>
      </c>
      <c r="H14" s="26" t="n">
        <f aca="false">IF(1&lt;=NW,SUM(H7:H13),"")</f>
        <v>0</v>
      </c>
      <c r="I14" s="24"/>
    </row>
    <row r="15" customFormat="false" ht="16.15" hidden="false" customHeight="false" outlineLevel="0" collapsed="false">
      <c r="A15" s="43" t="str">
        <f aca="false">IF(1&lt;=NW,"ساعات تحميل الجبسمبورد بهالأسبوع (رقم: 2 أو 1.5) ←","")</f>
        <v>ساعات تحميل الجبسمبورد بهالأسبوع (رقم: 2 أو 1.5) ←</v>
      </c>
      <c r="B15" s="43"/>
      <c r="C15" s="43"/>
      <c r="D15" s="43"/>
      <c r="E15" s="44"/>
      <c r="F15" s="43" t="str">
        <f aca="false">IF(1&lt;=NW,"مستحق الأسبوع (دينار) ←","")</f>
        <v>مستحق الأسبوع (دينار) ←</v>
      </c>
      <c r="G15" s="43"/>
      <c r="H15" s="45" t="n">
        <f aca="false">IF(1&lt;=NW,IF(ROUND_MODE="للأعلى",CEILING(ROUND((N(H14)+N(E15)*(GYP_RATE-OMR_RATE)),3),0.25),ROUND((N(H14)+N(E15)*(GYP_RATE-OMR_RATE))*4,0)/4),"")</f>
        <v>0</v>
      </c>
      <c r="I15" s="46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37" t="str">
        <f aca="false">IF(2&lt;=NW,"الأسبوع الثاني","")</f>
        <v>الأسبوع الثاني</v>
      </c>
      <c r="B16" s="37"/>
      <c r="C16" s="37"/>
      <c r="D16" s="37"/>
      <c r="E16" s="37"/>
      <c r="F16" s="37"/>
      <c r="G16" s="37"/>
      <c r="H16" s="37"/>
      <c r="I16" s="37"/>
    </row>
    <row r="17" customFormat="false" ht="15" hidden="false" customHeight="false" outlineLevel="0" collapsed="false">
      <c r="A17" s="38" t="n">
        <f aca="false">IF(AND(2&lt;=NW,WFIRST+7&gt;=MSTART,WFIRST+7&lt;=MEND),WFIRST+7,"")</f>
        <v>46298</v>
      </c>
      <c r="B17" s="39" t="str">
        <f aca="false">IF(A17="","",CHOOSE(WEEKDAY(A17,1),"الأحد","الاثنين","الثلاثاء","الأربعاء","الخميس","الجمعة","السبت"))</f>
        <v>السبت</v>
      </c>
      <c r="C17" s="40"/>
      <c r="D17" s="40"/>
      <c r="E17" s="17" t="str">
        <f aca="false">IF(OR(K17="",L17=""),"",MOD(L17-K17,1))</f>
        <v/>
      </c>
      <c r="F17" s="17" t="str">
        <f aca="false">IF(E17="","",IF(WEEKDAY(A17,1)=6,E17,MIN(E17,MAX(0,MIN(IF(L17&lt;K17,L17+1,L17),OMR_OT_AT)-K17))))</f>
        <v/>
      </c>
      <c r="G17" s="17" t="str">
        <f aca="false">IF(E17="","",MAX(0,E17-F17))</f>
        <v/>
      </c>
      <c r="H17" s="18" t="str">
        <f aca="false">IF(E17="","",ROUND((F17*OMR_RATE+G17*OMR_OT)*24,3))</f>
        <v/>
      </c>
      <c r="I17" s="40"/>
      <c r="K17" s="41" t="str">
        <f aca="false">IF(OR(A17="",C17=""),"",IF(ISNUMBER(C17),MOD(C17,1),IFERROR(INDEX(القوائم!$B$1:$B$96,MATCH(TRIM(C17),القوائم!$A$1:$A$96,0)),IFERROR(MOD(TIMEVALUE(C17),1),""))))</f>
        <v/>
      </c>
      <c r="L17" s="41" t="str">
        <f aca="false">IF(OR(A17="",D17=""),"",IF(ISNUMBER(D17),MOD(D17,1),IFERROR(INDEX(القوائم!$B$1:$B$96,MATCH(TRIM(D17),القوائم!$A$1:$A$96,0)),IFERROR(MOD(TIMEVALUE(D17),1),""))))</f>
        <v/>
      </c>
    </row>
    <row r="18" customFormat="false" ht="15" hidden="false" customHeight="false" outlineLevel="0" collapsed="false">
      <c r="A18" s="38" t="n">
        <f aca="false">IF(AND(2&lt;=NW,WFIRST+8&gt;=MSTART,WFIRST+8&lt;=MEND),WFIRST+8,"")</f>
        <v>46299</v>
      </c>
      <c r="B18" s="39" t="str">
        <f aca="false">IF(A18="","",CHOOSE(WEEKDAY(A18,1),"الأحد","الاثنين","الثلاثاء","الأربعاء","الخميس","الجمعة","السبت"))</f>
        <v>الأحد</v>
      </c>
      <c r="C18" s="40"/>
      <c r="D18" s="40"/>
      <c r="E18" s="17" t="str">
        <f aca="false">IF(OR(K18="",L18=""),"",MOD(L18-K18,1))</f>
        <v/>
      </c>
      <c r="F18" s="17" t="str">
        <f aca="false">IF(E18="","",IF(WEEKDAY(A18,1)=6,E18,MIN(E18,MAX(0,MIN(IF(L18&lt;K18,L18+1,L18),OMR_OT_AT)-K18))))</f>
        <v/>
      </c>
      <c r="G18" s="17" t="str">
        <f aca="false">IF(E18="","",MAX(0,E18-F18))</f>
        <v/>
      </c>
      <c r="H18" s="18" t="str">
        <f aca="false">IF(E18="","",ROUND((F18*OMR_RATE+G18*OMR_OT)*24,3))</f>
        <v/>
      </c>
      <c r="I18" s="40"/>
      <c r="K18" s="41" t="str">
        <f aca="false">IF(OR(A18="",C18=""),"",IF(ISNUMBER(C18),MOD(C18,1),IFERROR(INDEX(القوائم!$B$1:$B$96,MATCH(TRIM(C18),القوائم!$A$1:$A$96,0)),IFERROR(MOD(TIMEVALUE(C18),1),""))))</f>
        <v/>
      </c>
      <c r="L18" s="41" t="str">
        <f aca="false">IF(OR(A18="",D18=""),"",IF(ISNUMBER(D18),MOD(D18,1),IFERROR(INDEX(القوائم!$B$1:$B$96,MATCH(TRIM(D18),القوائم!$A$1:$A$96,0)),IFERROR(MOD(TIMEVALUE(D18),1),""))))</f>
        <v/>
      </c>
    </row>
    <row r="19" customFormat="false" ht="15" hidden="false" customHeight="false" outlineLevel="0" collapsed="false">
      <c r="A19" s="38" t="n">
        <f aca="false">IF(AND(2&lt;=NW,WFIRST+9&gt;=MSTART,WFIRST+9&lt;=MEND),WFIRST+9,"")</f>
        <v>46300</v>
      </c>
      <c r="B19" s="39" t="str">
        <f aca="false">IF(A19="","",CHOOSE(WEEKDAY(A19,1),"الأحد","الاثنين","الثلاثاء","الأربعاء","الخميس","الجمعة","السبت"))</f>
        <v>الاثنين</v>
      </c>
      <c r="C19" s="40"/>
      <c r="D19" s="40"/>
      <c r="E19" s="17" t="str">
        <f aca="false">IF(OR(K19="",L19=""),"",MOD(L19-K19,1))</f>
        <v/>
      </c>
      <c r="F19" s="17" t="str">
        <f aca="false">IF(E19="","",IF(WEEKDAY(A19,1)=6,E19,MIN(E19,MAX(0,MIN(IF(L19&lt;K19,L19+1,L19),OMR_OT_AT)-K19))))</f>
        <v/>
      </c>
      <c r="G19" s="17" t="str">
        <f aca="false">IF(E19="","",MAX(0,E19-F19))</f>
        <v/>
      </c>
      <c r="H19" s="18" t="str">
        <f aca="false">IF(E19="","",ROUND((F19*OMR_RATE+G19*OMR_OT)*24,3))</f>
        <v/>
      </c>
      <c r="I19" s="40"/>
      <c r="K19" s="41" t="str">
        <f aca="false">IF(OR(A19="",C19=""),"",IF(ISNUMBER(C19),MOD(C19,1),IFERROR(INDEX(القوائم!$B$1:$B$96,MATCH(TRIM(C19),القوائم!$A$1:$A$96,0)),IFERROR(MOD(TIMEVALUE(C19),1),""))))</f>
        <v/>
      </c>
      <c r="L19" s="41" t="str">
        <f aca="false">IF(OR(A19="",D19=""),"",IF(ISNUMBER(D19),MOD(D19,1),IFERROR(INDEX(القوائم!$B$1:$B$96,MATCH(TRIM(D19),القوائم!$A$1:$A$96,0)),IFERROR(MOD(TIMEVALUE(D19),1),""))))</f>
        <v/>
      </c>
    </row>
    <row r="20" customFormat="false" ht="15" hidden="false" customHeight="false" outlineLevel="0" collapsed="false">
      <c r="A20" s="38" t="n">
        <f aca="false">IF(AND(2&lt;=NW,WFIRST+10&gt;=MSTART,WFIRST+10&lt;=MEND),WFIRST+10,"")</f>
        <v>46301</v>
      </c>
      <c r="B20" s="39" t="str">
        <f aca="false">IF(A20="","",CHOOSE(WEEKDAY(A20,1),"الأحد","الاثنين","الثلاثاء","الأربعاء","الخميس","الجمعة","السبت"))</f>
        <v>الثلاثاء</v>
      </c>
      <c r="C20" s="40"/>
      <c r="D20" s="40"/>
      <c r="E20" s="17" t="str">
        <f aca="false">IF(OR(K20="",L20=""),"",MOD(L20-K20,1))</f>
        <v/>
      </c>
      <c r="F20" s="17" t="str">
        <f aca="false">IF(E20="","",IF(WEEKDAY(A20,1)=6,E20,MIN(E20,MAX(0,MIN(IF(L20&lt;K20,L20+1,L20),OMR_OT_AT)-K20))))</f>
        <v/>
      </c>
      <c r="G20" s="17" t="str">
        <f aca="false">IF(E20="","",MAX(0,E20-F20))</f>
        <v/>
      </c>
      <c r="H20" s="18" t="str">
        <f aca="false">IF(E20="","",ROUND((F20*OMR_RATE+G20*OMR_OT)*24,3))</f>
        <v/>
      </c>
      <c r="I20" s="40"/>
      <c r="K20" s="41" t="str">
        <f aca="false">IF(OR(A20="",C20=""),"",IF(ISNUMBER(C20),MOD(C20,1),IFERROR(INDEX(القوائم!$B$1:$B$96,MATCH(TRIM(C20),القوائم!$A$1:$A$96,0)),IFERROR(MOD(TIMEVALUE(C20),1),""))))</f>
        <v/>
      </c>
      <c r="L20" s="41" t="str">
        <f aca="false">IF(OR(A20="",D20=""),"",IF(ISNUMBER(D20),MOD(D20,1),IFERROR(INDEX(القوائم!$B$1:$B$96,MATCH(TRIM(D20),القوائم!$A$1:$A$96,0)),IFERROR(MOD(TIMEVALUE(D20),1),""))))</f>
        <v/>
      </c>
    </row>
    <row r="21" customFormat="false" ht="15" hidden="false" customHeight="false" outlineLevel="0" collapsed="false">
      <c r="A21" s="38" t="n">
        <f aca="false">IF(AND(2&lt;=NW,WFIRST+11&gt;=MSTART,WFIRST+11&lt;=MEND),WFIRST+11,"")</f>
        <v>46302</v>
      </c>
      <c r="B21" s="39" t="str">
        <f aca="false">IF(A21="","",CHOOSE(WEEKDAY(A21,1),"الأحد","الاثنين","الثلاثاء","الأربعاء","الخميس","الجمعة","السبت"))</f>
        <v>الأربعاء</v>
      </c>
      <c r="C21" s="40"/>
      <c r="D21" s="40"/>
      <c r="E21" s="17" t="str">
        <f aca="false">IF(OR(K21="",L21=""),"",MOD(L21-K21,1))</f>
        <v/>
      </c>
      <c r="F21" s="17" t="str">
        <f aca="false">IF(E21="","",IF(WEEKDAY(A21,1)=6,E21,MIN(E21,MAX(0,MIN(IF(L21&lt;K21,L21+1,L21),OMR_OT_AT)-K21))))</f>
        <v/>
      </c>
      <c r="G21" s="17" t="str">
        <f aca="false">IF(E21="","",MAX(0,E21-F21))</f>
        <v/>
      </c>
      <c r="H21" s="18" t="str">
        <f aca="false">IF(E21="","",ROUND((F21*OMR_RATE+G21*OMR_OT)*24,3))</f>
        <v/>
      </c>
      <c r="I21" s="40"/>
      <c r="K21" s="41" t="str">
        <f aca="false">IF(OR(A21="",C21=""),"",IF(ISNUMBER(C21),MOD(C21,1),IFERROR(INDEX(القوائم!$B$1:$B$96,MATCH(TRIM(C21),القوائم!$A$1:$A$96,0)),IFERROR(MOD(TIMEVALUE(C21),1),""))))</f>
        <v/>
      </c>
      <c r="L21" s="41" t="str">
        <f aca="false">IF(OR(A21="",D21=""),"",IF(ISNUMBER(D21),MOD(D21,1),IFERROR(INDEX(القوائم!$B$1:$B$96,MATCH(TRIM(D21),القوائم!$A$1:$A$96,0)),IFERROR(MOD(TIMEVALUE(D21),1),""))))</f>
        <v/>
      </c>
    </row>
    <row r="22" customFormat="false" ht="15" hidden="false" customHeight="false" outlineLevel="0" collapsed="false">
      <c r="A22" s="38" t="n">
        <f aca="false">IF(AND(2&lt;=NW,WFIRST+12&gt;=MSTART,WFIRST+12&lt;=MEND),WFIRST+12,"")</f>
        <v>46303</v>
      </c>
      <c r="B22" s="39" t="str">
        <f aca="false">IF(A22="","",CHOOSE(WEEKDAY(A22,1),"الأحد","الاثنين","الثلاثاء","الأربعاء","الخميس","الجمعة","السبت"))</f>
        <v>الخميس</v>
      </c>
      <c r="C22" s="40"/>
      <c r="D22" s="40"/>
      <c r="E22" s="17" t="str">
        <f aca="false">IF(OR(K22="",L22=""),"",MOD(L22-K22,1))</f>
        <v/>
      </c>
      <c r="F22" s="17" t="str">
        <f aca="false">IF(E22="","",IF(WEEKDAY(A22,1)=6,E22,MIN(E22,MAX(0,MIN(IF(L22&lt;K22,L22+1,L22),OMR_OT_AT)-K22))))</f>
        <v/>
      </c>
      <c r="G22" s="17" t="str">
        <f aca="false">IF(E22="","",MAX(0,E22-F22))</f>
        <v/>
      </c>
      <c r="H22" s="18" t="str">
        <f aca="false">IF(E22="","",ROUND((F22*OMR_RATE+G22*OMR_OT)*24,3))</f>
        <v/>
      </c>
      <c r="I22" s="40"/>
      <c r="K22" s="41" t="str">
        <f aca="false">IF(OR(A22="",C22=""),"",IF(ISNUMBER(C22),MOD(C22,1),IFERROR(INDEX(القوائم!$B$1:$B$96,MATCH(TRIM(C22),القوائم!$A$1:$A$96,0)),IFERROR(MOD(TIMEVALUE(C22),1),""))))</f>
        <v/>
      </c>
      <c r="L22" s="41" t="str">
        <f aca="false">IF(OR(A22="",D22=""),"",IF(ISNUMBER(D22),MOD(D22,1),IFERROR(INDEX(القوائم!$B$1:$B$96,MATCH(TRIM(D22),القوائم!$A$1:$A$96,0)),IFERROR(MOD(TIMEVALUE(D22),1),""))))</f>
        <v/>
      </c>
    </row>
    <row r="23" customFormat="false" ht="15" hidden="false" customHeight="false" outlineLevel="0" collapsed="false">
      <c r="A23" s="42" t="n">
        <f aca="false">IF(AND(2&lt;=NW,WFIRST+13&gt;=MSTART,WFIRST+13&lt;=MEND),WFIRST+13,"")</f>
        <v>46304</v>
      </c>
      <c r="B23" s="21" t="str">
        <f aca="false">IF(A23="","",CHOOSE(WEEKDAY(A23,1),"الأحد","الاثنين","الثلاثاء","الأربعاء","الخميس","الجمعة","السبت"))</f>
        <v>الجمعة</v>
      </c>
      <c r="C23" s="40"/>
      <c r="D23" s="40"/>
      <c r="E23" s="17" t="str">
        <f aca="false">IF(OR(K23="",L23=""),"",MOD(L23-K23,1))</f>
        <v/>
      </c>
      <c r="F23" s="17" t="str">
        <f aca="false">IF(E23="","",IF(WEEKDAY(A23,1)=6,E23,MIN(E23,MAX(0,MIN(IF(L23&lt;K23,L23+1,L23),OMR_OT_AT)-K23))))</f>
        <v/>
      </c>
      <c r="G23" s="17" t="str">
        <f aca="false">IF(E23="","",MAX(0,E23-F23))</f>
        <v/>
      </c>
      <c r="H23" s="18" t="str">
        <f aca="false">IF(E23="","",ROUND((F23*OMR_RATE+G23*OMR_OT)*24,3))</f>
        <v/>
      </c>
      <c r="I23" s="40"/>
      <c r="K23" s="41" t="str">
        <f aca="false">IF(OR(A23="",C23=""),"",IF(ISNUMBER(C23),MOD(C23,1),IFERROR(INDEX(القوائم!$B$1:$B$96,MATCH(TRIM(C23),القوائم!$A$1:$A$96,0)),IFERROR(MOD(TIMEVALUE(C23),1),""))))</f>
        <v/>
      </c>
      <c r="L23" s="41" t="str">
        <f aca="false">IF(OR(A23="",D23=""),"",IF(ISNUMBER(D23),MOD(D23,1),IFERROR(INDEX(القوائم!$B$1:$B$96,MATCH(TRIM(D23),القوائم!$A$1:$A$96,0)),IFERROR(MOD(TIMEVALUE(D23),1),""))))</f>
        <v/>
      </c>
    </row>
    <row r="24" customFormat="false" ht="15" hidden="false" customHeight="false" outlineLevel="0" collapsed="false">
      <c r="A24" s="24" t="str">
        <f aca="false">IF(2&lt;=NW,"مجموع أيام الأسبوع الثاني","")</f>
        <v>مجموع أيام الأسبوع الثاني</v>
      </c>
      <c r="B24" s="24"/>
      <c r="C24" s="24"/>
      <c r="D24" s="24"/>
      <c r="E24" s="25" t="n">
        <f aca="false">IF(2&lt;=NW,SUM(E17:E23),"")</f>
        <v>0</v>
      </c>
      <c r="F24" s="25" t="n">
        <f aca="false">IF(2&lt;=NW,SUM(F17:F23),"")</f>
        <v>0</v>
      </c>
      <c r="G24" s="25" t="n">
        <f aca="false">IF(2&lt;=NW,SUM(G17:G23),"")</f>
        <v>0</v>
      </c>
      <c r="H24" s="26" t="n">
        <f aca="false">IF(2&lt;=NW,SUM(H17:H23),"")</f>
        <v>0</v>
      </c>
      <c r="I24" s="24"/>
    </row>
    <row r="25" customFormat="false" ht="16.15" hidden="false" customHeight="false" outlineLevel="0" collapsed="false">
      <c r="A25" s="43" t="str">
        <f aca="false">IF(2&lt;=NW,"ساعات تحميل الجبسمبورد بهالأسبوع (رقم: 2 أو 1.5) ←","")</f>
        <v>ساعات تحميل الجبسمبورد بهالأسبوع (رقم: 2 أو 1.5) ←</v>
      </c>
      <c r="B25" s="43"/>
      <c r="C25" s="43"/>
      <c r="D25" s="43"/>
      <c r="E25" s="44"/>
      <c r="F25" s="43" t="str">
        <f aca="false">IF(2&lt;=NW,"مستحق الأسبوع (دينار) ←","")</f>
        <v>مستحق الأسبوع (دينار) ←</v>
      </c>
      <c r="G25" s="43"/>
      <c r="H25" s="45" t="n">
        <f aca="false">IF(2&lt;=NW,IF(ROUND_MODE="للأعلى",CEILING(ROUND((N(H24)+N(E25)*(GYP_RATE-OMR_RATE)),3),0.25),ROUND((N(H24)+N(E25)*(GYP_RATE-OMR_RATE))*4,0)/4),"")</f>
        <v>0</v>
      </c>
      <c r="I25" s="46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37" t="str">
        <f aca="false">IF(3&lt;=NW,"الأسبوع الثالث","")</f>
        <v>الأسبوع الثالث</v>
      </c>
      <c r="B26" s="37"/>
      <c r="C26" s="37"/>
      <c r="D26" s="37"/>
      <c r="E26" s="37"/>
      <c r="F26" s="37"/>
      <c r="G26" s="37"/>
      <c r="H26" s="37"/>
      <c r="I26" s="37"/>
    </row>
    <row r="27" customFormat="false" ht="15" hidden="false" customHeight="false" outlineLevel="0" collapsed="false">
      <c r="A27" s="38" t="n">
        <f aca="false">IF(AND(3&lt;=NW,WFIRST+14&gt;=MSTART,WFIRST+14&lt;=MEND),WFIRST+14,"")</f>
        <v>46305</v>
      </c>
      <c r="B27" s="39" t="str">
        <f aca="false">IF(A27="","",CHOOSE(WEEKDAY(A27,1),"الأحد","الاثنين","الثلاثاء","الأربعاء","الخميس","الجمعة","السبت"))</f>
        <v>السبت</v>
      </c>
      <c r="C27" s="40"/>
      <c r="D27" s="40"/>
      <c r="E27" s="17" t="str">
        <f aca="false">IF(OR(K27="",L27=""),"",MOD(L27-K27,1))</f>
        <v/>
      </c>
      <c r="F27" s="17" t="str">
        <f aca="false">IF(E27="","",IF(WEEKDAY(A27,1)=6,E27,MIN(E27,MAX(0,MIN(IF(L27&lt;K27,L27+1,L27),OMR_OT_AT)-K27))))</f>
        <v/>
      </c>
      <c r="G27" s="17" t="str">
        <f aca="false">IF(E27="","",MAX(0,E27-F27))</f>
        <v/>
      </c>
      <c r="H27" s="18" t="str">
        <f aca="false">IF(E27="","",ROUND((F27*OMR_RATE+G27*OMR_OT)*24,3))</f>
        <v/>
      </c>
      <c r="I27" s="40"/>
      <c r="K27" s="41" t="str">
        <f aca="false">IF(OR(A27="",C27=""),"",IF(ISNUMBER(C27),MOD(C27,1),IFERROR(INDEX(القوائم!$B$1:$B$96,MATCH(TRIM(C27),القوائم!$A$1:$A$96,0)),IFERROR(MOD(TIMEVALUE(C27),1),""))))</f>
        <v/>
      </c>
      <c r="L27" s="41" t="str">
        <f aca="false">IF(OR(A27="",D27=""),"",IF(ISNUMBER(D27),MOD(D27,1),IFERROR(INDEX(القوائم!$B$1:$B$96,MATCH(TRIM(D27),القوائم!$A$1:$A$96,0)),IFERROR(MOD(TIMEVALUE(D27),1),""))))</f>
        <v/>
      </c>
    </row>
    <row r="28" customFormat="false" ht="15" hidden="false" customHeight="false" outlineLevel="0" collapsed="false">
      <c r="A28" s="38" t="n">
        <f aca="false">IF(AND(3&lt;=NW,WFIRST+15&gt;=MSTART,WFIRST+15&lt;=MEND),WFIRST+15,"")</f>
        <v>46306</v>
      </c>
      <c r="B28" s="39" t="str">
        <f aca="false">IF(A28="","",CHOOSE(WEEKDAY(A28,1),"الأحد","الاثنين","الثلاثاء","الأربعاء","الخميس","الجمعة","السبت"))</f>
        <v>الأحد</v>
      </c>
      <c r="C28" s="40"/>
      <c r="D28" s="40"/>
      <c r="E28" s="17" t="str">
        <f aca="false">IF(OR(K28="",L28=""),"",MOD(L28-K28,1))</f>
        <v/>
      </c>
      <c r="F28" s="17" t="str">
        <f aca="false">IF(E28="","",IF(WEEKDAY(A28,1)=6,E28,MIN(E28,MAX(0,MIN(IF(L28&lt;K28,L28+1,L28),OMR_OT_AT)-K28))))</f>
        <v/>
      </c>
      <c r="G28" s="17" t="str">
        <f aca="false">IF(E28="","",MAX(0,E28-F28))</f>
        <v/>
      </c>
      <c r="H28" s="18" t="str">
        <f aca="false">IF(E28="","",ROUND((F28*OMR_RATE+G28*OMR_OT)*24,3))</f>
        <v/>
      </c>
      <c r="I28" s="40"/>
      <c r="K28" s="41" t="str">
        <f aca="false">IF(OR(A28="",C28=""),"",IF(ISNUMBER(C28),MOD(C28,1),IFERROR(INDEX(القوائم!$B$1:$B$96,MATCH(TRIM(C28),القوائم!$A$1:$A$96,0)),IFERROR(MOD(TIMEVALUE(C28),1),""))))</f>
        <v/>
      </c>
      <c r="L28" s="41" t="str">
        <f aca="false">IF(OR(A28="",D28=""),"",IF(ISNUMBER(D28),MOD(D28,1),IFERROR(INDEX(القوائم!$B$1:$B$96,MATCH(TRIM(D28),القوائم!$A$1:$A$96,0)),IFERROR(MOD(TIMEVALUE(D28),1),""))))</f>
        <v/>
      </c>
    </row>
    <row r="29" customFormat="false" ht="15" hidden="false" customHeight="false" outlineLevel="0" collapsed="false">
      <c r="A29" s="38" t="n">
        <f aca="false">IF(AND(3&lt;=NW,WFIRST+16&gt;=MSTART,WFIRST+16&lt;=MEND),WFIRST+16,"")</f>
        <v>46307</v>
      </c>
      <c r="B29" s="39" t="str">
        <f aca="false">IF(A29="","",CHOOSE(WEEKDAY(A29,1),"الأحد","الاثنين","الثلاثاء","الأربعاء","الخميس","الجمعة","السبت"))</f>
        <v>الاثنين</v>
      </c>
      <c r="C29" s="40"/>
      <c r="D29" s="40"/>
      <c r="E29" s="17" t="str">
        <f aca="false">IF(OR(K29="",L29=""),"",MOD(L29-K29,1))</f>
        <v/>
      </c>
      <c r="F29" s="17" t="str">
        <f aca="false">IF(E29="","",IF(WEEKDAY(A29,1)=6,E29,MIN(E29,MAX(0,MIN(IF(L29&lt;K29,L29+1,L29),OMR_OT_AT)-K29))))</f>
        <v/>
      </c>
      <c r="G29" s="17" t="str">
        <f aca="false">IF(E29="","",MAX(0,E29-F29))</f>
        <v/>
      </c>
      <c r="H29" s="18" t="str">
        <f aca="false">IF(E29="","",ROUND((F29*OMR_RATE+G29*OMR_OT)*24,3))</f>
        <v/>
      </c>
      <c r="I29" s="40"/>
      <c r="K29" s="41" t="str">
        <f aca="false">IF(OR(A29="",C29=""),"",IF(ISNUMBER(C29),MOD(C29,1),IFERROR(INDEX(القوائم!$B$1:$B$96,MATCH(TRIM(C29),القوائم!$A$1:$A$96,0)),IFERROR(MOD(TIMEVALUE(C29),1),""))))</f>
        <v/>
      </c>
      <c r="L29" s="41" t="str">
        <f aca="false">IF(OR(A29="",D29=""),"",IF(ISNUMBER(D29),MOD(D29,1),IFERROR(INDEX(القوائم!$B$1:$B$96,MATCH(TRIM(D29),القوائم!$A$1:$A$96,0)),IFERROR(MOD(TIMEVALUE(D29),1),""))))</f>
        <v/>
      </c>
    </row>
    <row r="30" customFormat="false" ht="15" hidden="false" customHeight="false" outlineLevel="0" collapsed="false">
      <c r="A30" s="38" t="n">
        <f aca="false">IF(AND(3&lt;=NW,WFIRST+17&gt;=MSTART,WFIRST+17&lt;=MEND),WFIRST+17,"")</f>
        <v>46308</v>
      </c>
      <c r="B30" s="39" t="str">
        <f aca="false">IF(A30="","",CHOOSE(WEEKDAY(A30,1),"الأحد","الاثنين","الثلاثاء","الأربعاء","الخميس","الجمعة","السبت"))</f>
        <v>الثلاثاء</v>
      </c>
      <c r="C30" s="40"/>
      <c r="D30" s="40"/>
      <c r="E30" s="17" t="str">
        <f aca="false">IF(OR(K30="",L30=""),"",MOD(L30-K30,1))</f>
        <v/>
      </c>
      <c r="F30" s="17" t="str">
        <f aca="false">IF(E30="","",IF(WEEKDAY(A30,1)=6,E30,MIN(E30,MAX(0,MIN(IF(L30&lt;K30,L30+1,L30),OMR_OT_AT)-K30))))</f>
        <v/>
      </c>
      <c r="G30" s="17" t="str">
        <f aca="false">IF(E30="","",MAX(0,E30-F30))</f>
        <v/>
      </c>
      <c r="H30" s="18" t="str">
        <f aca="false">IF(E30="","",ROUND((F30*OMR_RATE+G30*OMR_OT)*24,3))</f>
        <v/>
      </c>
      <c r="I30" s="40"/>
      <c r="K30" s="41" t="str">
        <f aca="false">IF(OR(A30="",C30=""),"",IF(ISNUMBER(C30),MOD(C30,1),IFERROR(INDEX(القوائم!$B$1:$B$96,MATCH(TRIM(C30),القوائم!$A$1:$A$96,0)),IFERROR(MOD(TIMEVALUE(C30),1),""))))</f>
        <v/>
      </c>
      <c r="L30" s="41" t="str">
        <f aca="false">IF(OR(A30="",D30=""),"",IF(ISNUMBER(D30),MOD(D30,1),IFERROR(INDEX(القوائم!$B$1:$B$96,MATCH(TRIM(D30),القوائم!$A$1:$A$96,0)),IFERROR(MOD(TIMEVALUE(D30),1),""))))</f>
        <v/>
      </c>
    </row>
    <row r="31" customFormat="false" ht="15" hidden="false" customHeight="false" outlineLevel="0" collapsed="false">
      <c r="A31" s="38" t="n">
        <f aca="false">IF(AND(3&lt;=NW,WFIRST+18&gt;=MSTART,WFIRST+18&lt;=MEND),WFIRST+18,"")</f>
        <v>46309</v>
      </c>
      <c r="B31" s="39" t="str">
        <f aca="false">IF(A31="","",CHOOSE(WEEKDAY(A31,1),"الأحد","الاثنين","الثلاثاء","الأربعاء","الخميس","الجمعة","السبت"))</f>
        <v>الأربعاء</v>
      </c>
      <c r="C31" s="40"/>
      <c r="D31" s="40"/>
      <c r="E31" s="17" t="str">
        <f aca="false">IF(OR(K31="",L31=""),"",MOD(L31-K31,1))</f>
        <v/>
      </c>
      <c r="F31" s="17" t="str">
        <f aca="false">IF(E31="","",IF(WEEKDAY(A31,1)=6,E31,MIN(E31,MAX(0,MIN(IF(L31&lt;K31,L31+1,L31),OMR_OT_AT)-K31))))</f>
        <v/>
      </c>
      <c r="G31" s="17" t="str">
        <f aca="false">IF(E31="","",MAX(0,E31-F31))</f>
        <v/>
      </c>
      <c r="H31" s="18" t="str">
        <f aca="false">IF(E31="","",ROUND((F31*OMR_RATE+G31*OMR_OT)*24,3))</f>
        <v/>
      </c>
      <c r="I31" s="40"/>
      <c r="K31" s="41" t="str">
        <f aca="false">IF(OR(A31="",C31=""),"",IF(ISNUMBER(C31),MOD(C31,1),IFERROR(INDEX(القوائم!$B$1:$B$96,MATCH(TRIM(C31),القوائم!$A$1:$A$96,0)),IFERROR(MOD(TIMEVALUE(C31),1),""))))</f>
        <v/>
      </c>
      <c r="L31" s="41" t="str">
        <f aca="false">IF(OR(A31="",D31=""),"",IF(ISNUMBER(D31),MOD(D31,1),IFERROR(INDEX(القوائم!$B$1:$B$96,MATCH(TRIM(D31),القوائم!$A$1:$A$96,0)),IFERROR(MOD(TIMEVALUE(D31),1),""))))</f>
        <v/>
      </c>
    </row>
    <row r="32" customFormat="false" ht="15" hidden="false" customHeight="false" outlineLevel="0" collapsed="false">
      <c r="A32" s="38" t="n">
        <f aca="false">IF(AND(3&lt;=NW,WFIRST+19&gt;=MSTART,WFIRST+19&lt;=MEND),WFIRST+19,"")</f>
        <v>46310</v>
      </c>
      <c r="B32" s="39" t="str">
        <f aca="false">IF(A32="","",CHOOSE(WEEKDAY(A32,1),"الأحد","الاثنين","الثلاثاء","الأربعاء","الخميس","الجمعة","السبت"))</f>
        <v>الخميس</v>
      </c>
      <c r="C32" s="40"/>
      <c r="D32" s="40"/>
      <c r="E32" s="17" t="str">
        <f aca="false">IF(OR(K32="",L32=""),"",MOD(L32-K32,1))</f>
        <v/>
      </c>
      <c r="F32" s="17" t="str">
        <f aca="false">IF(E32="","",IF(WEEKDAY(A32,1)=6,E32,MIN(E32,MAX(0,MIN(IF(L32&lt;K32,L32+1,L32),OMR_OT_AT)-K32))))</f>
        <v/>
      </c>
      <c r="G32" s="17" t="str">
        <f aca="false">IF(E32="","",MAX(0,E32-F32))</f>
        <v/>
      </c>
      <c r="H32" s="18" t="str">
        <f aca="false">IF(E32="","",ROUND((F32*OMR_RATE+G32*OMR_OT)*24,3))</f>
        <v/>
      </c>
      <c r="I32" s="40"/>
      <c r="K32" s="41" t="str">
        <f aca="false">IF(OR(A32="",C32=""),"",IF(ISNUMBER(C32),MOD(C32,1),IFERROR(INDEX(القوائم!$B$1:$B$96,MATCH(TRIM(C32),القوائم!$A$1:$A$96,0)),IFERROR(MOD(TIMEVALUE(C32),1),""))))</f>
        <v/>
      </c>
      <c r="L32" s="41" t="str">
        <f aca="false">IF(OR(A32="",D32=""),"",IF(ISNUMBER(D32),MOD(D32,1),IFERROR(INDEX(القوائم!$B$1:$B$96,MATCH(TRIM(D32),القوائم!$A$1:$A$96,0)),IFERROR(MOD(TIMEVALUE(D32),1),""))))</f>
        <v/>
      </c>
    </row>
    <row r="33" customFormat="false" ht="15" hidden="false" customHeight="false" outlineLevel="0" collapsed="false">
      <c r="A33" s="42" t="n">
        <f aca="false">IF(AND(3&lt;=NW,WFIRST+20&gt;=MSTART,WFIRST+20&lt;=MEND),WFIRST+20,"")</f>
        <v>46311</v>
      </c>
      <c r="B33" s="21" t="str">
        <f aca="false">IF(A33="","",CHOOSE(WEEKDAY(A33,1),"الأحد","الاثنين","الثلاثاء","الأربعاء","الخميس","الجمعة","السبت"))</f>
        <v>الجمعة</v>
      </c>
      <c r="C33" s="40"/>
      <c r="D33" s="40"/>
      <c r="E33" s="17" t="str">
        <f aca="false">IF(OR(K33="",L33=""),"",MOD(L33-K33,1))</f>
        <v/>
      </c>
      <c r="F33" s="17" t="str">
        <f aca="false">IF(E33="","",IF(WEEKDAY(A33,1)=6,E33,MIN(E33,MAX(0,MIN(IF(L33&lt;K33,L33+1,L33),OMR_OT_AT)-K33))))</f>
        <v/>
      </c>
      <c r="G33" s="17" t="str">
        <f aca="false">IF(E33="","",MAX(0,E33-F33))</f>
        <v/>
      </c>
      <c r="H33" s="18" t="str">
        <f aca="false">IF(E33="","",ROUND((F33*OMR_RATE+G33*OMR_OT)*24,3))</f>
        <v/>
      </c>
      <c r="I33" s="40"/>
      <c r="K33" s="41" t="str">
        <f aca="false">IF(OR(A33="",C33=""),"",IF(ISNUMBER(C33),MOD(C33,1),IFERROR(INDEX(القوائم!$B$1:$B$96,MATCH(TRIM(C33),القوائم!$A$1:$A$96,0)),IFERROR(MOD(TIMEVALUE(C33),1),""))))</f>
        <v/>
      </c>
      <c r="L33" s="41" t="str">
        <f aca="false">IF(OR(A33="",D33=""),"",IF(ISNUMBER(D33),MOD(D33,1),IFERROR(INDEX(القوائم!$B$1:$B$96,MATCH(TRIM(D33),القوائم!$A$1:$A$96,0)),IFERROR(MOD(TIMEVALUE(D33),1),""))))</f>
        <v/>
      </c>
    </row>
    <row r="34" customFormat="false" ht="15" hidden="false" customHeight="false" outlineLevel="0" collapsed="false">
      <c r="A34" s="24" t="str">
        <f aca="false">IF(3&lt;=NW,"مجموع أيام الأسبوع الثالث","")</f>
        <v>مجموع أيام الأسبوع الثالث</v>
      </c>
      <c r="B34" s="24"/>
      <c r="C34" s="24"/>
      <c r="D34" s="24"/>
      <c r="E34" s="25" t="n">
        <f aca="false">IF(3&lt;=NW,SUM(E27:E33),"")</f>
        <v>0</v>
      </c>
      <c r="F34" s="25" t="n">
        <f aca="false">IF(3&lt;=NW,SUM(F27:F33),"")</f>
        <v>0</v>
      </c>
      <c r="G34" s="25" t="n">
        <f aca="false">IF(3&lt;=NW,SUM(G27:G33),"")</f>
        <v>0</v>
      </c>
      <c r="H34" s="26" t="n">
        <f aca="false">IF(3&lt;=NW,SUM(H27:H33),"")</f>
        <v>0</v>
      </c>
      <c r="I34" s="24"/>
    </row>
    <row r="35" customFormat="false" ht="16.15" hidden="false" customHeight="false" outlineLevel="0" collapsed="false">
      <c r="A35" s="43" t="str">
        <f aca="false">IF(3&lt;=NW,"ساعات تحميل الجبسمبورد بهالأسبوع (رقم: 2 أو 1.5) ←","")</f>
        <v>ساعات تحميل الجبسمبورد بهالأسبوع (رقم: 2 أو 1.5) ←</v>
      </c>
      <c r="B35" s="43"/>
      <c r="C35" s="43"/>
      <c r="D35" s="43"/>
      <c r="E35" s="44"/>
      <c r="F35" s="43" t="str">
        <f aca="false">IF(3&lt;=NW,"مستحق الأسبوع (دينار) ←","")</f>
        <v>مستحق الأسبوع (دينار) ←</v>
      </c>
      <c r="G35" s="43"/>
      <c r="H35" s="45" t="n">
        <f aca="false">IF(3&lt;=NW,IF(ROUND_MODE="للأعلى",CEILING(ROUND((N(H34)+N(E35)*(GYP_RATE-OMR_RATE)),3),0.25),ROUND((N(H34)+N(E35)*(GYP_RATE-OMR_RATE))*4,0)/4),"")</f>
        <v>0</v>
      </c>
      <c r="I35" s="46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37" t="str">
        <f aca="false">IF(4&lt;=NW,"الأسبوع الرابع","")</f>
        <v>الأسبوع الرابع</v>
      </c>
      <c r="B36" s="37"/>
      <c r="C36" s="37"/>
      <c r="D36" s="37"/>
      <c r="E36" s="37"/>
      <c r="F36" s="37"/>
      <c r="G36" s="37"/>
      <c r="H36" s="37"/>
      <c r="I36" s="37"/>
    </row>
    <row r="37" customFormat="false" ht="15" hidden="false" customHeight="false" outlineLevel="0" collapsed="false">
      <c r="A37" s="38" t="n">
        <f aca="false">IF(AND(4&lt;=NW,WFIRST+21&gt;=MSTART,WFIRST+21&lt;=MEND),WFIRST+21,"")</f>
        <v>46312</v>
      </c>
      <c r="B37" s="39" t="str">
        <f aca="false">IF(A37="","",CHOOSE(WEEKDAY(A37,1),"الأحد","الاثنين","الثلاثاء","الأربعاء","الخميس","الجمعة","السبت"))</f>
        <v>السبت</v>
      </c>
      <c r="C37" s="40"/>
      <c r="D37" s="40"/>
      <c r="E37" s="17" t="str">
        <f aca="false">IF(OR(K37="",L37=""),"",MOD(L37-K37,1))</f>
        <v/>
      </c>
      <c r="F37" s="17" t="str">
        <f aca="false">IF(E37="","",IF(WEEKDAY(A37,1)=6,E37,MIN(E37,MAX(0,MIN(IF(L37&lt;K37,L37+1,L37),OMR_OT_AT)-K37))))</f>
        <v/>
      </c>
      <c r="G37" s="17" t="str">
        <f aca="false">IF(E37="","",MAX(0,E37-F37))</f>
        <v/>
      </c>
      <c r="H37" s="18" t="str">
        <f aca="false">IF(E37="","",ROUND((F37*OMR_RATE+G37*OMR_OT)*24,3))</f>
        <v/>
      </c>
      <c r="I37" s="40"/>
      <c r="K37" s="41" t="str">
        <f aca="false">IF(OR(A37="",C37=""),"",IF(ISNUMBER(C37),MOD(C37,1),IFERROR(INDEX(القوائم!$B$1:$B$96,MATCH(TRIM(C37),القوائم!$A$1:$A$96,0)),IFERROR(MOD(TIMEVALUE(C37),1),""))))</f>
        <v/>
      </c>
      <c r="L37" s="41" t="str">
        <f aca="false">IF(OR(A37="",D37=""),"",IF(ISNUMBER(D37),MOD(D37,1),IFERROR(INDEX(القوائم!$B$1:$B$96,MATCH(TRIM(D37),القوائم!$A$1:$A$96,0)),IFERROR(MOD(TIMEVALUE(D37),1),""))))</f>
        <v/>
      </c>
    </row>
    <row r="38" customFormat="false" ht="15" hidden="false" customHeight="false" outlineLevel="0" collapsed="false">
      <c r="A38" s="38" t="n">
        <f aca="false">IF(AND(4&lt;=NW,WFIRST+22&gt;=MSTART,WFIRST+22&lt;=MEND),WFIRST+22,"")</f>
        <v>46313</v>
      </c>
      <c r="B38" s="39" t="str">
        <f aca="false">IF(A38="","",CHOOSE(WEEKDAY(A38,1),"الأحد","الاثنين","الثلاثاء","الأربعاء","الخميس","الجمعة","السبت"))</f>
        <v>الأحد</v>
      </c>
      <c r="C38" s="40"/>
      <c r="D38" s="40"/>
      <c r="E38" s="17" t="str">
        <f aca="false">IF(OR(K38="",L38=""),"",MOD(L38-K38,1))</f>
        <v/>
      </c>
      <c r="F38" s="17" t="str">
        <f aca="false">IF(E38="","",IF(WEEKDAY(A38,1)=6,E38,MIN(E38,MAX(0,MIN(IF(L38&lt;K38,L38+1,L38),OMR_OT_AT)-K38))))</f>
        <v/>
      </c>
      <c r="G38" s="17" t="str">
        <f aca="false">IF(E38="","",MAX(0,E38-F38))</f>
        <v/>
      </c>
      <c r="H38" s="18" t="str">
        <f aca="false">IF(E38="","",ROUND((F38*OMR_RATE+G38*OMR_OT)*24,3))</f>
        <v/>
      </c>
      <c r="I38" s="40"/>
      <c r="K38" s="41" t="str">
        <f aca="false">IF(OR(A38="",C38=""),"",IF(ISNUMBER(C38),MOD(C38,1),IFERROR(INDEX(القوائم!$B$1:$B$96,MATCH(TRIM(C38),القوائم!$A$1:$A$96,0)),IFERROR(MOD(TIMEVALUE(C38),1),""))))</f>
        <v/>
      </c>
      <c r="L38" s="41" t="str">
        <f aca="false">IF(OR(A38="",D38=""),"",IF(ISNUMBER(D38),MOD(D38,1),IFERROR(INDEX(القوائم!$B$1:$B$96,MATCH(TRIM(D38),القوائم!$A$1:$A$96,0)),IFERROR(MOD(TIMEVALUE(D38),1),""))))</f>
        <v/>
      </c>
    </row>
    <row r="39" customFormat="false" ht="15" hidden="false" customHeight="false" outlineLevel="0" collapsed="false">
      <c r="A39" s="38" t="n">
        <f aca="false">IF(AND(4&lt;=NW,WFIRST+23&gt;=MSTART,WFIRST+23&lt;=MEND),WFIRST+23,"")</f>
        <v>46314</v>
      </c>
      <c r="B39" s="39" t="str">
        <f aca="false">IF(A39="","",CHOOSE(WEEKDAY(A39,1),"الأحد","الاثنين","الثلاثاء","الأربعاء","الخميس","الجمعة","السبت"))</f>
        <v>الاثنين</v>
      </c>
      <c r="C39" s="40"/>
      <c r="D39" s="40"/>
      <c r="E39" s="17" t="str">
        <f aca="false">IF(OR(K39="",L39=""),"",MOD(L39-K39,1))</f>
        <v/>
      </c>
      <c r="F39" s="17" t="str">
        <f aca="false">IF(E39="","",IF(WEEKDAY(A39,1)=6,E39,MIN(E39,MAX(0,MIN(IF(L39&lt;K39,L39+1,L39),OMR_OT_AT)-K39))))</f>
        <v/>
      </c>
      <c r="G39" s="17" t="str">
        <f aca="false">IF(E39="","",MAX(0,E39-F39))</f>
        <v/>
      </c>
      <c r="H39" s="18" t="str">
        <f aca="false">IF(E39="","",ROUND((F39*OMR_RATE+G39*OMR_OT)*24,3))</f>
        <v/>
      </c>
      <c r="I39" s="40"/>
      <c r="K39" s="41" t="str">
        <f aca="false">IF(OR(A39="",C39=""),"",IF(ISNUMBER(C39),MOD(C39,1),IFERROR(INDEX(القوائم!$B$1:$B$96,MATCH(TRIM(C39),القوائم!$A$1:$A$96,0)),IFERROR(MOD(TIMEVALUE(C39),1),""))))</f>
        <v/>
      </c>
      <c r="L39" s="41" t="str">
        <f aca="false">IF(OR(A39="",D39=""),"",IF(ISNUMBER(D39),MOD(D39,1),IFERROR(INDEX(القوائم!$B$1:$B$96,MATCH(TRIM(D39),القوائم!$A$1:$A$96,0)),IFERROR(MOD(TIMEVALUE(D39),1),""))))</f>
        <v/>
      </c>
    </row>
    <row r="40" customFormat="false" ht="15" hidden="false" customHeight="false" outlineLevel="0" collapsed="false">
      <c r="A40" s="38" t="n">
        <f aca="false">IF(AND(4&lt;=NW,WFIRST+24&gt;=MSTART,WFIRST+24&lt;=MEND),WFIRST+24,"")</f>
        <v>46315</v>
      </c>
      <c r="B40" s="39" t="str">
        <f aca="false">IF(A40="","",CHOOSE(WEEKDAY(A40,1),"الأحد","الاثنين","الثلاثاء","الأربعاء","الخميس","الجمعة","السبت"))</f>
        <v>الثلاثاء</v>
      </c>
      <c r="C40" s="40"/>
      <c r="D40" s="40"/>
      <c r="E40" s="17" t="str">
        <f aca="false">IF(OR(K40="",L40=""),"",MOD(L40-K40,1))</f>
        <v/>
      </c>
      <c r="F40" s="17" t="str">
        <f aca="false">IF(E40="","",IF(WEEKDAY(A40,1)=6,E40,MIN(E40,MAX(0,MIN(IF(L40&lt;K40,L40+1,L40),OMR_OT_AT)-K40))))</f>
        <v/>
      </c>
      <c r="G40" s="17" t="str">
        <f aca="false">IF(E40="","",MAX(0,E40-F40))</f>
        <v/>
      </c>
      <c r="H40" s="18" t="str">
        <f aca="false">IF(E40="","",ROUND((F40*OMR_RATE+G40*OMR_OT)*24,3))</f>
        <v/>
      </c>
      <c r="I40" s="40"/>
      <c r="K40" s="41" t="str">
        <f aca="false">IF(OR(A40="",C40=""),"",IF(ISNUMBER(C40),MOD(C40,1),IFERROR(INDEX(القوائم!$B$1:$B$96,MATCH(TRIM(C40),القوائم!$A$1:$A$96,0)),IFERROR(MOD(TIMEVALUE(C40),1),""))))</f>
        <v/>
      </c>
      <c r="L40" s="41" t="str">
        <f aca="false">IF(OR(A40="",D40=""),"",IF(ISNUMBER(D40),MOD(D40,1),IFERROR(INDEX(القوائم!$B$1:$B$96,MATCH(TRIM(D40),القوائم!$A$1:$A$96,0)),IFERROR(MOD(TIMEVALUE(D40),1),""))))</f>
        <v/>
      </c>
    </row>
    <row r="41" customFormat="false" ht="15" hidden="false" customHeight="false" outlineLevel="0" collapsed="false">
      <c r="A41" s="38" t="n">
        <f aca="false">IF(AND(4&lt;=NW,WFIRST+25&gt;=MSTART,WFIRST+25&lt;=MEND),WFIRST+25,"")</f>
        <v>46316</v>
      </c>
      <c r="B41" s="39" t="str">
        <f aca="false">IF(A41="","",CHOOSE(WEEKDAY(A41,1),"الأحد","الاثنين","الثلاثاء","الأربعاء","الخميس","الجمعة","السبت"))</f>
        <v>الأربعاء</v>
      </c>
      <c r="C41" s="40"/>
      <c r="D41" s="40"/>
      <c r="E41" s="17" t="str">
        <f aca="false">IF(OR(K41="",L41=""),"",MOD(L41-K41,1))</f>
        <v/>
      </c>
      <c r="F41" s="17" t="str">
        <f aca="false">IF(E41="","",IF(WEEKDAY(A41,1)=6,E41,MIN(E41,MAX(0,MIN(IF(L41&lt;K41,L41+1,L41),OMR_OT_AT)-K41))))</f>
        <v/>
      </c>
      <c r="G41" s="17" t="str">
        <f aca="false">IF(E41="","",MAX(0,E41-F41))</f>
        <v/>
      </c>
      <c r="H41" s="18" t="str">
        <f aca="false">IF(E41="","",ROUND((F41*OMR_RATE+G41*OMR_OT)*24,3))</f>
        <v/>
      </c>
      <c r="I41" s="40"/>
      <c r="K41" s="41" t="str">
        <f aca="false">IF(OR(A41="",C41=""),"",IF(ISNUMBER(C41),MOD(C41,1),IFERROR(INDEX(القوائم!$B$1:$B$96,MATCH(TRIM(C41),القوائم!$A$1:$A$96,0)),IFERROR(MOD(TIMEVALUE(C41),1),""))))</f>
        <v/>
      </c>
      <c r="L41" s="41" t="str">
        <f aca="false">IF(OR(A41="",D41=""),"",IF(ISNUMBER(D41),MOD(D41,1),IFERROR(INDEX(القوائم!$B$1:$B$96,MATCH(TRIM(D41),القوائم!$A$1:$A$96,0)),IFERROR(MOD(TIMEVALUE(D41),1),""))))</f>
        <v/>
      </c>
    </row>
    <row r="42" customFormat="false" ht="15" hidden="false" customHeight="false" outlineLevel="0" collapsed="false">
      <c r="A42" s="38" t="n">
        <f aca="false">IF(AND(4&lt;=NW,WFIRST+26&gt;=MSTART,WFIRST+26&lt;=MEND),WFIRST+26,"")</f>
        <v>46317</v>
      </c>
      <c r="B42" s="39" t="str">
        <f aca="false">IF(A42="","",CHOOSE(WEEKDAY(A42,1),"الأحد","الاثنين","الثلاثاء","الأربعاء","الخميس","الجمعة","السبت"))</f>
        <v>الخميس</v>
      </c>
      <c r="C42" s="40"/>
      <c r="D42" s="40"/>
      <c r="E42" s="17" t="str">
        <f aca="false">IF(OR(K42="",L42=""),"",MOD(L42-K42,1))</f>
        <v/>
      </c>
      <c r="F42" s="17" t="str">
        <f aca="false">IF(E42="","",IF(WEEKDAY(A42,1)=6,E42,MIN(E42,MAX(0,MIN(IF(L42&lt;K42,L42+1,L42),OMR_OT_AT)-K42))))</f>
        <v/>
      </c>
      <c r="G42" s="17" t="str">
        <f aca="false">IF(E42="","",MAX(0,E42-F42))</f>
        <v/>
      </c>
      <c r="H42" s="18" t="str">
        <f aca="false">IF(E42="","",ROUND((F42*OMR_RATE+G42*OMR_OT)*24,3))</f>
        <v/>
      </c>
      <c r="I42" s="40"/>
      <c r="K42" s="41" t="str">
        <f aca="false">IF(OR(A42="",C42=""),"",IF(ISNUMBER(C42),MOD(C42,1),IFERROR(INDEX(القوائم!$B$1:$B$96,MATCH(TRIM(C42),القوائم!$A$1:$A$96,0)),IFERROR(MOD(TIMEVALUE(C42),1),""))))</f>
        <v/>
      </c>
      <c r="L42" s="41" t="str">
        <f aca="false">IF(OR(A42="",D42=""),"",IF(ISNUMBER(D42),MOD(D42,1),IFERROR(INDEX(القوائم!$B$1:$B$96,MATCH(TRIM(D42),القوائم!$A$1:$A$96,0)),IFERROR(MOD(TIMEVALUE(D42),1),""))))</f>
        <v/>
      </c>
    </row>
    <row r="43" customFormat="false" ht="15" hidden="false" customHeight="false" outlineLevel="0" collapsed="false">
      <c r="A43" s="42" t="n">
        <f aca="false">IF(AND(4&lt;=NW,WFIRST+27&gt;=MSTART,WFIRST+27&lt;=MEND),WFIRST+27,"")</f>
        <v>46318</v>
      </c>
      <c r="B43" s="21" t="str">
        <f aca="false">IF(A43="","",CHOOSE(WEEKDAY(A43,1),"الأحد","الاثنين","الثلاثاء","الأربعاء","الخميس","الجمعة","السبت"))</f>
        <v>الجمعة</v>
      </c>
      <c r="C43" s="40"/>
      <c r="D43" s="40"/>
      <c r="E43" s="17" t="str">
        <f aca="false">IF(OR(K43="",L43=""),"",MOD(L43-K43,1))</f>
        <v/>
      </c>
      <c r="F43" s="17" t="str">
        <f aca="false">IF(E43="","",IF(WEEKDAY(A43,1)=6,E43,MIN(E43,MAX(0,MIN(IF(L43&lt;K43,L43+1,L43),OMR_OT_AT)-K43))))</f>
        <v/>
      </c>
      <c r="G43" s="17" t="str">
        <f aca="false">IF(E43="","",MAX(0,E43-F43))</f>
        <v/>
      </c>
      <c r="H43" s="18" t="str">
        <f aca="false">IF(E43="","",ROUND((F43*OMR_RATE+G43*OMR_OT)*24,3))</f>
        <v/>
      </c>
      <c r="I43" s="40"/>
      <c r="K43" s="41" t="str">
        <f aca="false">IF(OR(A43="",C43=""),"",IF(ISNUMBER(C43),MOD(C43,1),IFERROR(INDEX(القوائم!$B$1:$B$96,MATCH(TRIM(C43),القوائم!$A$1:$A$96,0)),IFERROR(MOD(TIMEVALUE(C43),1),""))))</f>
        <v/>
      </c>
      <c r="L43" s="41" t="str">
        <f aca="false">IF(OR(A43="",D43=""),"",IF(ISNUMBER(D43),MOD(D43,1),IFERROR(INDEX(القوائم!$B$1:$B$96,MATCH(TRIM(D43),القوائم!$A$1:$A$96,0)),IFERROR(MOD(TIMEVALUE(D43),1),""))))</f>
        <v/>
      </c>
    </row>
    <row r="44" customFormat="false" ht="15" hidden="false" customHeight="false" outlineLevel="0" collapsed="false">
      <c r="A44" s="24" t="str">
        <f aca="false">IF(4&lt;=NW,"مجموع أيام الأسبوع الرابع","")</f>
        <v>مجموع أيام الأسبوع الرابع</v>
      </c>
      <c r="B44" s="24"/>
      <c r="C44" s="24"/>
      <c r="D44" s="24"/>
      <c r="E44" s="25" t="n">
        <f aca="false">IF(4&lt;=NW,SUM(E37:E43),"")</f>
        <v>0</v>
      </c>
      <c r="F44" s="25" t="n">
        <f aca="false">IF(4&lt;=NW,SUM(F37:F43),"")</f>
        <v>0</v>
      </c>
      <c r="G44" s="25" t="n">
        <f aca="false">IF(4&lt;=NW,SUM(G37:G43),"")</f>
        <v>0</v>
      </c>
      <c r="H44" s="26" t="n">
        <f aca="false">IF(4&lt;=NW,SUM(H37:H43),"")</f>
        <v>0</v>
      </c>
      <c r="I44" s="24"/>
    </row>
    <row r="45" customFormat="false" ht="16.15" hidden="false" customHeight="false" outlineLevel="0" collapsed="false">
      <c r="A45" s="43" t="str">
        <f aca="false">IF(4&lt;=NW,"ساعات تحميل الجبسمبورد بهالأسبوع (رقم: 2 أو 1.5) ←","")</f>
        <v>ساعات تحميل الجبسمبورد بهالأسبوع (رقم: 2 أو 1.5) ←</v>
      </c>
      <c r="B45" s="43"/>
      <c r="C45" s="43"/>
      <c r="D45" s="43"/>
      <c r="E45" s="44"/>
      <c r="F45" s="43" t="str">
        <f aca="false">IF(4&lt;=NW,"مستحق الأسبوع (دينار) ←","")</f>
        <v>مستحق الأسبوع (دينار) ←</v>
      </c>
      <c r="G45" s="43"/>
      <c r="H45" s="45" t="n">
        <f aca="false">IF(4&lt;=NW,IF(ROUND_MODE="للأعلى",CEILING(ROUND((N(H44)+N(E45)*(GYP_RATE-OMR_RATE)),3),0.25),ROUND((N(H44)+N(E45)*(GYP_RATE-OMR_RATE))*4,0)/4),"")</f>
        <v>0</v>
      </c>
      <c r="I45" s="46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37" t="str">
        <f aca="false">IF(5&lt;=NW,"الأسبوع الخامس","")</f>
        <v>الأسبوع الخامس</v>
      </c>
      <c r="B46" s="37"/>
      <c r="C46" s="37"/>
      <c r="D46" s="37"/>
      <c r="E46" s="37"/>
      <c r="F46" s="37"/>
      <c r="G46" s="37"/>
      <c r="H46" s="37"/>
      <c r="I46" s="37"/>
    </row>
    <row r="47" customFormat="false" ht="15" hidden="false" customHeight="false" outlineLevel="0" collapsed="false">
      <c r="A47" s="38" t="n">
        <f aca="false">IF(AND(5&lt;=NW,WFIRST+28&gt;=MSTART,WFIRST+28&lt;=MEND),WFIRST+28,"")</f>
        <v>46319</v>
      </c>
      <c r="B47" s="39" t="str">
        <f aca="false">IF(A47="","",CHOOSE(WEEKDAY(A47,1),"الأحد","الاثنين","الثلاثاء","الأربعاء","الخميس","الجمعة","السبت"))</f>
        <v>السبت</v>
      </c>
      <c r="C47" s="40"/>
      <c r="D47" s="40"/>
      <c r="E47" s="17" t="str">
        <f aca="false">IF(OR(K47="",L47=""),"",MOD(L47-K47,1))</f>
        <v/>
      </c>
      <c r="F47" s="17" t="str">
        <f aca="false">IF(E47="","",IF(WEEKDAY(A47,1)=6,E47,MIN(E47,MAX(0,MIN(IF(L47&lt;K47,L47+1,L47),OMR_OT_AT)-K47))))</f>
        <v/>
      </c>
      <c r="G47" s="17" t="str">
        <f aca="false">IF(E47="","",MAX(0,E47-F47))</f>
        <v/>
      </c>
      <c r="H47" s="18" t="str">
        <f aca="false">IF(E47="","",ROUND((F47*OMR_RATE+G47*OMR_OT)*24,3))</f>
        <v/>
      </c>
      <c r="I47" s="40"/>
      <c r="K47" s="41" t="str">
        <f aca="false">IF(OR(A47="",C47=""),"",IF(ISNUMBER(C47),MOD(C47,1),IFERROR(INDEX(القوائم!$B$1:$B$96,MATCH(TRIM(C47),القوائم!$A$1:$A$96,0)),IFERROR(MOD(TIMEVALUE(C47),1),""))))</f>
        <v/>
      </c>
      <c r="L47" s="41" t="str">
        <f aca="false">IF(OR(A47="",D47=""),"",IF(ISNUMBER(D47),MOD(D47,1),IFERROR(INDEX(القوائم!$B$1:$B$96,MATCH(TRIM(D47),القوائم!$A$1:$A$96,0)),IFERROR(MOD(TIMEVALUE(D47),1),""))))</f>
        <v/>
      </c>
    </row>
    <row r="48" customFormat="false" ht="15" hidden="false" customHeight="false" outlineLevel="0" collapsed="false">
      <c r="A48" s="38" t="n">
        <f aca="false">IF(AND(5&lt;=NW,WFIRST+29&gt;=MSTART,WFIRST+29&lt;=MEND),WFIRST+29,"")</f>
        <v>46320</v>
      </c>
      <c r="B48" s="39" t="str">
        <f aca="false">IF(A48="","",CHOOSE(WEEKDAY(A48,1),"الأحد","الاثنين","الثلاثاء","الأربعاء","الخميس","الجمعة","السبت"))</f>
        <v>الأحد</v>
      </c>
      <c r="C48" s="40"/>
      <c r="D48" s="40"/>
      <c r="E48" s="17" t="str">
        <f aca="false">IF(OR(K48="",L48=""),"",MOD(L48-K48,1))</f>
        <v/>
      </c>
      <c r="F48" s="17" t="str">
        <f aca="false">IF(E48="","",IF(WEEKDAY(A48,1)=6,E48,MIN(E48,MAX(0,MIN(IF(L48&lt;K48,L48+1,L48),OMR_OT_AT)-K48))))</f>
        <v/>
      </c>
      <c r="G48" s="17" t="str">
        <f aca="false">IF(E48="","",MAX(0,E48-F48))</f>
        <v/>
      </c>
      <c r="H48" s="18" t="str">
        <f aca="false">IF(E48="","",ROUND((F48*OMR_RATE+G48*OMR_OT)*24,3))</f>
        <v/>
      </c>
      <c r="I48" s="40"/>
      <c r="K48" s="41" t="str">
        <f aca="false">IF(OR(A48="",C48=""),"",IF(ISNUMBER(C48),MOD(C48,1),IFERROR(INDEX(القوائم!$B$1:$B$96,MATCH(TRIM(C48),القوائم!$A$1:$A$96,0)),IFERROR(MOD(TIMEVALUE(C48),1),""))))</f>
        <v/>
      </c>
      <c r="L48" s="41" t="str">
        <f aca="false">IF(OR(A48="",D48=""),"",IF(ISNUMBER(D48),MOD(D48,1),IFERROR(INDEX(القوائم!$B$1:$B$96,MATCH(TRIM(D48),القوائم!$A$1:$A$96,0)),IFERROR(MOD(TIMEVALUE(D48),1),""))))</f>
        <v/>
      </c>
    </row>
    <row r="49" customFormat="false" ht="15" hidden="false" customHeight="false" outlineLevel="0" collapsed="false">
      <c r="A49" s="38" t="n">
        <f aca="false">IF(AND(5&lt;=NW,WFIRST+30&gt;=MSTART,WFIRST+30&lt;=MEND),WFIRST+30,"")</f>
        <v>46321</v>
      </c>
      <c r="B49" s="39" t="str">
        <f aca="false">IF(A49="","",CHOOSE(WEEKDAY(A49,1),"الأحد","الاثنين","الثلاثاء","الأربعاء","الخميس","الجمعة","السبت"))</f>
        <v>الاثنين</v>
      </c>
      <c r="C49" s="40"/>
      <c r="D49" s="40"/>
      <c r="E49" s="17" t="str">
        <f aca="false">IF(OR(K49="",L49=""),"",MOD(L49-K49,1))</f>
        <v/>
      </c>
      <c r="F49" s="17" t="str">
        <f aca="false">IF(E49="","",IF(WEEKDAY(A49,1)=6,E49,MIN(E49,MAX(0,MIN(IF(L49&lt;K49,L49+1,L49),OMR_OT_AT)-K49))))</f>
        <v/>
      </c>
      <c r="G49" s="17" t="str">
        <f aca="false">IF(E49="","",MAX(0,E49-F49))</f>
        <v/>
      </c>
      <c r="H49" s="18" t="str">
        <f aca="false">IF(E49="","",ROUND((F49*OMR_RATE+G49*OMR_OT)*24,3))</f>
        <v/>
      </c>
      <c r="I49" s="40"/>
      <c r="K49" s="41" t="str">
        <f aca="false">IF(OR(A49="",C49=""),"",IF(ISNUMBER(C49),MOD(C49,1),IFERROR(INDEX(القوائم!$B$1:$B$96,MATCH(TRIM(C49),القوائم!$A$1:$A$96,0)),IFERROR(MOD(TIMEVALUE(C49),1),""))))</f>
        <v/>
      </c>
      <c r="L49" s="41" t="str">
        <f aca="false">IF(OR(A49="",D49=""),"",IF(ISNUMBER(D49),MOD(D49,1),IFERROR(INDEX(القوائم!$B$1:$B$96,MATCH(TRIM(D49),القوائم!$A$1:$A$96,0)),IFERROR(MOD(TIMEVALUE(D49),1),""))))</f>
        <v/>
      </c>
    </row>
    <row r="50" customFormat="false" ht="15" hidden="false" customHeight="false" outlineLevel="0" collapsed="false">
      <c r="A50" s="38" t="n">
        <f aca="false">IF(AND(5&lt;=NW,WFIRST+31&gt;=MSTART,WFIRST+31&lt;=MEND),WFIRST+31,"")</f>
        <v>46322</v>
      </c>
      <c r="B50" s="39" t="str">
        <f aca="false">IF(A50="","",CHOOSE(WEEKDAY(A50,1),"الأحد","الاثنين","الثلاثاء","الأربعاء","الخميس","الجمعة","السبت"))</f>
        <v>الثلاثاء</v>
      </c>
      <c r="C50" s="40"/>
      <c r="D50" s="40"/>
      <c r="E50" s="17" t="str">
        <f aca="false">IF(OR(K50="",L50=""),"",MOD(L50-K50,1))</f>
        <v/>
      </c>
      <c r="F50" s="17" t="str">
        <f aca="false">IF(E50="","",IF(WEEKDAY(A50,1)=6,E50,MIN(E50,MAX(0,MIN(IF(L50&lt;K50,L50+1,L50),OMR_OT_AT)-K50))))</f>
        <v/>
      </c>
      <c r="G50" s="17" t="str">
        <f aca="false">IF(E50="","",MAX(0,E50-F50))</f>
        <v/>
      </c>
      <c r="H50" s="18" t="str">
        <f aca="false">IF(E50="","",ROUND((F50*OMR_RATE+G50*OMR_OT)*24,3))</f>
        <v/>
      </c>
      <c r="I50" s="40"/>
      <c r="K50" s="41" t="str">
        <f aca="false">IF(OR(A50="",C50=""),"",IF(ISNUMBER(C50),MOD(C50,1),IFERROR(INDEX(القوائم!$B$1:$B$96,MATCH(TRIM(C50),القوائم!$A$1:$A$96,0)),IFERROR(MOD(TIMEVALUE(C50),1),""))))</f>
        <v/>
      </c>
      <c r="L50" s="41" t="str">
        <f aca="false">IF(OR(A50="",D50=""),"",IF(ISNUMBER(D50),MOD(D50,1),IFERROR(INDEX(القوائم!$B$1:$B$96,MATCH(TRIM(D50),القوائم!$A$1:$A$96,0)),IFERROR(MOD(TIMEVALUE(D50),1),""))))</f>
        <v/>
      </c>
    </row>
    <row r="51" customFormat="false" ht="15" hidden="false" customHeight="false" outlineLevel="0" collapsed="false">
      <c r="A51" s="38" t="n">
        <f aca="false">IF(AND(5&lt;=NW,WFIRST+32&gt;=MSTART,WFIRST+32&lt;=MEND),WFIRST+32,"")</f>
        <v>46323</v>
      </c>
      <c r="B51" s="39" t="str">
        <f aca="false">IF(A51="","",CHOOSE(WEEKDAY(A51,1),"الأحد","الاثنين","الثلاثاء","الأربعاء","الخميس","الجمعة","السبت"))</f>
        <v>الأربعاء</v>
      </c>
      <c r="C51" s="40"/>
      <c r="D51" s="40"/>
      <c r="E51" s="17" t="str">
        <f aca="false">IF(OR(K51="",L51=""),"",MOD(L51-K51,1))</f>
        <v/>
      </c>
      <c r="F51" s="17" t="str">
        <f aca="false">IF(E51="","",IF(WEEKDAY(A51,1)=6,E51,MIN(E51,MAX(0,MIN(IF(L51&lt;K51,L51+1,L51),OMR_OT_AT)-K51))))</f>
        <v/>
      </c>
      <c r="G51" s="17" t="str">
        <f aca="false">IF(E51="","",MAX(0,E51-F51))</f>
        <v/>
      </c>
      <c r="H51" s="18" t="str">
        <f aca="false">IF(E51="","",ROUND((F51*OMR_RATE+G51*OMR_OT)*24,3))</f>
        <v/>
      </c>
      <c r="I51" s="40"/>
      <c r="K51" s="41" t="str">
        <f aca="false">IF(OR(A51="",C51=""),"",IF(ISNUMBER(C51),MOD(C51,1),IFERROR(INDEX(القوائم!$B$1:$B$96,MATCH(TRIM(C51),القوائم!$A$1:$A$96,0)),IFERROR(MOD(TIMEVALUE(C51),1),""))))</f>
        <v/>
      </c>
      <c r="L51" s="41" t="str">
        <f aca="false">IF(OR(A51="",D51=""),"",IF(ISNUMBER(D51),MOD(D51,1),IFERROR(INDEX(القوائم!$B$1:$B$96,MATCH(TRIM(D51),القوائم!$A$1:$A$96,0)),IFERROR(MOD(TIMEVALUE(D51),1),""))))</f>
        <v/>
      </c>
    </row>
    <row r="52" customFormat="false" ht="15" hidden="false" customHeight="false" outlineLevel="0" collapsed="false">
      <c r="A52" s="38" t="n">
        <f aca="false">IF(AND(5&lt;=NW,WFIRST+33&gt;=MSTART,WFIRST+33&lt;=MEND),WFIRST+33,"")</f>
        <v>46324</v>
      </c>
      <c r="B52" s="39" t="str">
        <f aca="false">IF(A52="","",CHOOSE(WEEKDAY(A52,1),"الأحد","الاثنين","الثلاثاء","الأربعاء","الخميس","الجمعة","السبت"))</f>
        <v>الخميس</v>
      </c>
      <c r="C52" s="40"/>
      <c r="D52" s="40"/>
      <c r="E52" s="17" t="str">
        <f aca="false">IF(OR(K52="",L52=""),"",MOD(L52-K52,1))</f>
        <v/>
      </c>
      <c r="F52" s="17" t="str">
        <f aca="false">IF(E52="","",IF(WEEKDAY(A52,1)=6,E52,MIN(E52,MAX(0,MIN(IF(L52&lt;K52,L52+1,L52),OMR_OT_AT)-K52))))</f>
        <v/>
      </c>
      <c r="G52" s="17" t="str">
        <f aca="false">IF(E52="","",MAX(0,E52-F52))</f>
        <v/>
      </c>
      <c r="H52" s="18" t="str">
        <f aca="false">IF(E52="","",ROUND((F52*OMR_RATE+G52*OMR_OT)*24,3))</f>
        <v/>
      </c>
      <c r="I52" s="40"/>
      <c r="K52" s="41" t="str">
        <f aca="false">IF(OR(A52="",C52=""),"",IF(ISNUMBER(C52),MOD(C52,1),IFERROR(INDEX(القوائم!$B$1:$B$96,MATCH(TRIM(C52),القوائم!$A$1:$A$96,0)),IFERROR(MOD(TIMEVALUE(C52),1),""))))</f>
        <v/>
      </c>
      <c r="L52" s="41" t="str">
        <f aca="false">IF(OR(A52="",D52=""),"",IF(ISNUMBER(D52),MOD(D52,1),IFERROR(INDEX(القوائم!$B$1:$B$96,MATCH(TRIM(D52),القوائم!$A$1:$A$96,0)),IFERROR(MOD(TIMEVALUE(D52),1),""))))</f>
        <v/>
      </c>
    </row>
    <row r="53" customFormat="false" ht="15" hidden="false" customHeight="false" outlineLevel="0" collapsed="false">
      <c r="A53" s="42" t="n">
        <f aca="false">IF(AND(5&lt;=NW,WFIRST+34&gt;=MSTART,WFIRST+34&lt;=MEND),WFIRST+34,"")</f>
        <v>46325</v>
      </c>
      <c r="B53" s="21" t="str">
        <f aca="false">IF(A53="","",CHOOSE(WEEKDAY(A53,1),"الأحد","الاثنين","الثلاثاء","الأربعاء","الخميس","الجمعة","السبت"))</f>
        <v>الجمعة</v>
      </c>
      <c r="C53" s="40"/>
      <c r="D53" s="40"/>
      <c r="E53" s="17" t="str">
        <f aca="false">IF(OR(K53="",L53=""),"",MOD(L53-K53,1))</f>
        <v/>
      </c>
      <c r="F53" s="17" t="str">
        <f aca="false">IF(E53="","",IF(WEEKDAY(A53,1)=6,E53,MIN(E53,MAX(0,MIN(IF(L53&lt;K53,L53+1,L53),OMR_OT_AT)-K53))))</f>
        <v/>
      </c>
      <c r="G53" s="17" t="str">
        <f aca="false">IF(E53="","",MAX(0,E53-F53))</f>
        <v/>
      </c>
      <c r="H53" s="18" t="str">
        <f aca="false">IF(E53="","",ROUND((F53*OMR_RATE+G53*OMR_OT)*24,3))</f>
        <v/>
      </c>
      <c r="I53" s="40"/>
      <c r="K53" s="41" t="str">
        <f aca="false">IF(OR(A53="",C53=""),"",IF(ISNUMBER(C53),MOD(C53,1),IFERROR(INDEX(القوائم!$B$1:$B$96,MATCH(TRIM(C53),القوائم!$A$1:$A$96,0)),IFERROR(MOD(TIMEVALUE(C53),1),""))))</f>
        <v/>
      </c>
      <c r="L53" s="41" t="str">
        <f aca="false">IF(OR(A53="",D53=""),"",IF(ISNUMBER(D53),MOD(D53,1),IFERROR(INDEX(القوائم!$B$1:$B$96,MATCH(TRIM(D53),القوائم!$A$1:$A$96,0)),IFERROR(MOD(TIMEVALUE(D53),1),""))))</f>
        <v/>
      </c>
    </row>
    <row r="54" customFormat="false" ht="15" hidden="false" customHeight="false" outlineLevel="0" collapsed="false">
      <c r="A54" s="24" t="str">
        <f aca="false">IF(5&lt;=NW,"مجموع أيام الأسبوع الخامس","")</f>
        <v>مجموع أيام الأسبوع الخامس</v>
      </c>
      <c r="B54" s="24"/>
      <c r="C54" s="24"/>
      <c r="D54" s="24"/>
      <c r="E54" s="25" t="n">
        <f aca="false">IF(5&lt;=NW,SUM(E47:E53),"")</f>
        <v>0</v>
      </c>
      <c r="F54" s="25" t="n">
        <f aca="false">IF(5&lt;=NW,SUM(F47:F53),"")</f>
        <v>0</v>
      </c>
      <c r="G54" s="25" t="n">
        <f aca="false">IF(5&lt;=NW,SUM(G47:G53),"")</f>
        <v>0</v>
      </c>
      <c r="H54" s="26" t="n">
        <f aca="false">IF(5&lt;=NW,SUM(H47:H53),"")</f>
        <v>0</v>
      </c>
      <c r="I54" s="24"/>
    </row>
    <row r="55" customFormat="false" ht="16.15" hidden="false" customHeight="false" outlineLevel="0" collapsed="false">
      <c r="A55" s="43" t="str">
        <f aca="false">IF(5&lt;=NW,"ساعات تحميل الجبسمبورد بهالأسبوع (رقم: 2 أو 1.5) ←","")</f>
        <v>ساعات تحميل الجبسمبورد بهالأسبوع (رقم: 2 أو 1.5) ←</v>
      </c>
      <c r="B55" s="43"/>
      <c r="C55" s="43"/>
      <c r="D55" s="43"/>
      <c r="E55" s="44"/>
      <c r="F55" s="43" t="str">
        <f aca="false">IF(5&lt;=NW,"مستحق الأسبوع (دينار) ←","")</f>
        <v>مستحق الأسبوع (دينار) ←</v>
      </c>
      <c r="G55" s="43"/>
      <c r="H55" s="45" t="n">
        <f aca="false">IF(5&lt;=NW,IF(ROUND_MODE="للأعلى",CEILING(ROUND((N(H54)+N(E55)*(GYP_RATE-OMR_RATE)),3),0.25),ROUND((N(H54)+N(E55)*(GYP_RATE-OMR_RATE))*4,0)/4),"")</f>
        <v>0</v>
      </c>
      <c r="I55" s="46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37" t="str">
        <f aca="false">IF(6&lt;=NW,"الأسبوع السادس","")</f>
        <v>الأسبوع السادس</v>
      </c>
      <c r="B56" s="37"/>
      <c r="C56" s="37"/>
      <c r="D56" s="37"/>
      <c r="E56" s="37"/>
      <c r="F56" s="37"/>
      <c r="G56" s="37"/>
      <c r="H56" s="37"/>
      <c r="I56" s="37"/>
    </row>
    <row r="57" customFormat="false" ht="15" hidden="false" customHeight="false" outlineLevel="0" collapsed="false">
      <c r="A57" s="38" t="n">
        <f aca="false">IF(AND(6&lt;=NW,WFIRST+35&gt;=MSTART,WFIRST+35&lt;=MEND),WFIRST+35,"")</f>
        <v>46326</v>
      </c>
      <c r="B57" s="39" t="str">
        <f aca="false">IF(A57="","",CHOOSE(WEEKDAY(A57,1),"الأحد","الاثنين","الثلاثاء","الأربعاء","الخميس","الجمعة","السبت"))</f>
        <v>السبت</v>
      </c>
      <c r="C57" s="40"/>
      <c r="D57" s="40"/>
      <c r="E57" s="17" t="str">
        <f aca="false">IF(OR(K57="",L57=""),"",MOD(L57-K57,1))</f>
        <v/>
      </c>
      <c r="F57" s="17" t="str">
        <f aca="false">IF(E57="","",IF(WEEKDAY(A57,1)=6,E57,MIN(E57,MAX(0,MIN(IF(L57&lt;K57,L57+1,L57),OMR_OT_AT)-K57))))</f>
        <v/>
      </c>
      <c r="G57" s="17" t="str">
        <f aca="false">IF(E57="","",MAX(0,E57-F57))</f>
        <v/>
      </c>
      <c r="H57" s="18" t="str">
        <f aca="false">IF(E57="","",ROUND((F57*OMR_RATE+G57*OMR_OT)*24,3))</f>
        <v/>
      </c>
      <c r="I57" s="40"/>
      <c r="K57" s="41" t="str">
        <f aca="false">IF(OR(A57="",C57=""),"",IF(ISNUMBER(C57),MOD(C57,1),IFERROR(INDEX(القوائم!$B$1:$B$96,MATCH(TRIM(C57),القوائم!$A$1:$A$96,0)),IFERROR(MOD(TIMEVALUE(C57),1),""))))</f>
        <v/>
      </c>
      <c r="L57" s="41" t="str">
        <f aca="false">IF(OR(A57="",D57=""),"",IF(ISNUMBER(D57),MOD(D57,1),IFERROR(INDEX(القوائم!$B$1:$B$96,MATCH(TRIM(D57),القوائم!$A$1:$A$96,0)),IFERROR(MOD(TIMEVALUE(D57),1),""))))</f>
        <v/>
      </c>
    </row>
    <row r="58" customFormat="false" ht="15" hidden="false" customHeight="false" outlineLevel="0" collapsed="false">
      <c r="A58" s="38" t="str">
        <f aca="false">IF(AND(6&lt;=NW,WFIRST+36&gt;=MSTART,WFIRST+36&lt;=MEND),WFIRST+36,"")</f>
        <v/>
      </c>
      <c r="B58" s="39" t="str">
        <f aca="false">IF(A58="","",CHOOSE(WEEKDAY(A58,1),"الأحد","الاثنين","الثلاثاء","الأربعاء","الخميس","الجمعة","السبت"))</f>
        <v/>
      </c>
      <c r="C58" s="40"/>
      <c r="D58" s="40"/>
      <c r="E58" s="17" t="str">
        <f aca="false">IF(OR(K58="",L58=""),"",MOD(L58-K58,1))</f>
        <v/>
      </c>
      <c r="F58" s="17" t="str">
        <f aca="false">IF(E58="","",IF(WEEKDAY(A58,1)=6,E58,MIN(E58,MAX(0,MIN(IF(L58&lt;K58,L58+1,L58),OMR_OT_AT)-K58))))</f>
        <v/>
      </c>
      <c r="G58" s="17" t="str">
        <f aca="false">IF(E58="","",MAX(0,E58-F58))</f>
        <v/>
      </c>
      <c r="H58" s="18" t="str">
        <f aca="false">IF(E58="","",ROUND((F58*OMR_RATE+G58*OMR_OT)*24,3))</f>
        <v/>
      </c>
      <c r="I58" s="40"/>
      <c r="K58" s="41" t="str">
        <f aca="false">IF(OR(A58="",C58=""),"",IF(ISNUMBER(C58),MOD(C58,1),IFERROR(INDEX(القوائم!$B$1:$B$96,MATCH(TRIM(C58),القوائم!$A$1:$A$96,0)),IFERROR(MOD(TIMEVALUE(C58),1),""))))</f>
        <v/>
      </c>
      <c r="L58" s="41" t="str">
        <f aca="false">IF(OR(A58="",D58=""),"",IF(ISNUMBER(D58),MOD(D58,1),IFERROR(INDEX(القوائم!$B$1:$B$96,MATCH(TRIM(D58),القوائم!$A$1:$A$96,0)),IFERROR(MOD(TIMEVALUE(D58),1),""))))</f>
        <v/>
      </c>
    </row>
    <row r="59" customFormat="false" ht="15" hidden="false" customHeight="false" outlineLevel="0" collapsed="false">
      <c r="A59" s="38" t="str">
        <f aca="false">IF(AND(6&lt;=NW,WFIRST+37&gt;=MSTART,WFIRST+37&lt;=MEND),WFIRST+37,"")</f>
        <v/>
      </c>
      <c r="B59" s="39" t="str">
        <f aca="false">IF(A59="","",CHOOSE(WEEKDAY(A59,1),"الأحد","الاثنين","الثلاثاء","الأربعاء","الخميس","الجمعة","السبت"))</f>
        <v/>
      </c>
      <c r="C59" s="40"/>
      <c r="D59" s="40"/>
      <c r="E59" s="17" t="str">
        <f aca="false">IF(OR(K59="",L59=""),"",MOD(L59-K59,1))</f>
        <v/>
      </c>
      <c r="F59" s="17" t="str">
        <f aca="false">IF(E59="","",IF(WEEKDAY(A59,1)=6,E59,MIN(E59,MAX(0,MIN(IF(L59&lt;K59,L59+1,L59),OMR_OT_AT)-K59))))</f>
        <v/>
      </c>
      <c r="G59" s="17" t="str">
        <f aca="false">IF(E59="","",MAX(0,E59-F59))</f>
        <v/>
      </c>
      <c r="H59" s="18" t="str">
        <f aca="false">IF(E59="","",ROUND((F59*OMR_RATE+G59*OMR_OT)*24,3))</f>
        <v/>
      </c>
      <c r="I59" s="40"/>
      <c r="K59" s="41" t="str">
        <f aca="false">IF(OR(A59="",C59=""),"",IF(ISNUMBER(C59),MOD(C59,1),IFERROR(INDEX(القوائم!$B$1:$B$96,MATCH(TRIM(C59),القوائم!$A$1:$A$96,0)),IFERROR(MOD(TIMEVALUE(C59),1),""))))</f>
        <v/>
      </c>
      <c r="L59" s="41" t="str">
        <f aca="false">IF(OR(A59="",D59=""),"",IF(ISNUMBER(D59),MOD(D59,1),IFERROR(INDEX(القوائم!$B$1:$B$96,MATCH(TRIM(D59),القوائم!$A$1:$A$96,0)),IFERROR(MOD(TIMEVALUE(D59),1),""))))</f>
        <v/>
      </c>
    </row>
    <row r="60" customFormat="false" ht="15" hidden="false" customHeight="false" outlineLevel="0" collapsed="false">
      <c r="A60" s="38" t="str">
        <f aca="false">IF(AND(6&lt;=NW,WFIRST+38&gt;=MSTART,WFIRST+38&lt;=MEND),WFIRST+38,"")</f>
        <v/>
      </c>
      <c r="B60" s="39" t="str">
        <f aca="false">IF(A60="","",CHOOSE(WEEKDAY(A60,1),"الأحد","الاثنين","الثلاثاء","الأربعاء","الخميس","الجمعة","السبت"))</f>
        <v/>
      </c>
      <c r="C60" s="40"/>
      <c r="D60" s="40"/>
      <c r="E60" s="17" t="str">
        <f aca="false">IF(OR(K60="",L60=""),"",MOD(L60-K60,1))</f>
        <v/>
      </c>
      <c r="F60" s="17" t="str">
        <f aca="false">IF(E60="","",IF(WEEKDAY(A60,1)=6,E60,MIN(E60,MAX(0,MIN(IF(L60&lt;K60,L60+1,L60),OMR_OT_AT)-K60))))</f>
        <v/>
      </c>
      <c r="G60" s="17" t="str">
        <f aca="false">IF(E60="","",MAX(0,E60-F60))</f>
        <v/>
      </c>
      <c r="H60" s="18" t="str">
        <f aca="false">IF(E60="","",ROUND((F60*OMR_RATE+G60*OMR_OT)*24,3))</f>
        <v/>
      </c>
      <c r="I60" s="40"/>
      <c r="K60" s="41" t="str">
        <f aca="false">IF(OR(A60="",C60=""),"",IF(ISNUMBER(C60),MOD(C60,1),IFERROR(INDEX(القوائم!$B$1:$B$96,MATCH(TRIM(C60),القوائم!$A$1:$A$96,0)),IFERROR(MOD(TIMEVALUE(C60),1),""))))</f>
        <v/>
      </c>
      <c r="L60" s="41" t="str">
        <f aca="false">IF(OR(A60="",D60=""),"",IF(ISNUMBER(D60),MOD(D60,1),IFERROR(INDEX(القوائم!$B$1:$B$96,MATCH(TRIM(D60),القوائم!$A$1:$A$96,0)),IFERROR(MOD(TIMEVALUE(D60),1),""))))</f>
        <v/>
      </c>
    </row>
    <row r="61" customFormat="false" ht="15" hidden="false" customHeight="false" outlineLevel="0" collapsed="false">
      <c r="A61" s="38" t="str">
        <f aca="false">IF(AND(6&lt;=NW,WFIRST+39&gt;=MSTART,WFIRST+39&lt;=MEND),WFIRST+39,"")</f>
        <v/>
      </c>
      <c r="B61" s="39" t="str">
        <f aca="false">IF(A61="","",CHOOSE(WEEKDAY(A61,1),"الأحد","الاثنين","الثلاثاء","الأربعاء","الخميس","الجمعة","السبت"))</f>
        <v/>
      </c>
      <c r="C61" s="40"/>
      <c r="D61" s="40"/>
      <c r="E61" s="17" t="str">
        <f aca="false">IF(OR(K61="",L61=""),"",MOD(L61-K61,1))</f>
        <v/>
      </c>
      <c r="F61" s="17" t="str">
        <f aca="false">IF(E61="","",IF(WEEKDAY(A61,1)=6,E61,MIN(E61,MAX(0,MIN(IF(L61&lt;K61,L61+1,L61),OMR_OT_AT)-K61))))</f>
        <v/>
      </c>
      <c r="G61" s="17" t="str">
        <f aca="false">IF(E61="","",MAX(0,E61-F61))</f>
        <v/>
      </c>
      <c r="H61" s="18" t="str">
        <f aca="false">IF(E61="","",ROUND((F61*OMR_RATE+G61*OMR_OT)*24,3))</f>
        <v/>
      </c>
      <c r="I61" s="40"/>
      <c r="K61" s="41" t="str">
        <f aca="false">IF(OR(A61="",C61=""),"",IF(ISNUMBER(C61),MOD(C61,1),IFERROR(INDEX(القوائم!$B$1:$B$96,MATCH(TRIM(C61),القوائم!$A$1:$A$96,0)),IFERROR(MOD(TIMEVALUE(C61),1),""))))</f>
        <v/>
      </c>
      <c r="L61" s="41" t="str">
        <f aca="false">IF(OR(A61="",D61=""),"",IF(ISNUMBER(D61),MOD(D61,1),IFERROR(INDEX(القوائم!$B$1:$B$96,MATCH(TRIM(D61),القوائم!$A$1:$A$96,0)),IFERROR(MOD(TIMEVALUE(D61),1),""))))</f>
        <v/>
      </c>
    </row>
    <row r="62" customFormat="false" ht="15" hidden="false" customHeight="false" outlineLevel="0" collapsed="false">
      <c r="A62" s="38" t="str">
        <f aca="false">IF(AND(6&lt;=NW,WFIRST+40&gt;=MSTART,WFIRST+40&lt;=MEND),WFIRST+40,"")</f>
        <v/>
      </c>
      <c r="B62" s="39" t="str">
        <f aca="false">IF(A62="","",CHOOSE(WEEKDAY(A62,1),"الأحد","الاثنين","الثلاثاء","الأربعاء","الخميس","الجمعة","السبت"))</f>
        <v/>
      </c>
      <c r="C62" s="40"/>
      <c r="D62" s="40"/>
      <c r="E62" s="17" t="str">
        <f aca="false">IF(OR(K62="",L62=""),"",MOD(L62-K62,1))</f>
        <v/>
      </c>
      <c r="F62" s="17" t="str">
        <f aca="false">IF(E62="","",IF(WEEKDAY(A62,1)=6,E62,MIN(E62,MAX(0,MIN(IF(L62&lt;K62,L62+1,L62),OMR_OT_AT)-K62))))</f>
        <v/>
      </c>
      <c r="G62" s="17" t="str">
        <f aca="false">IF(E62="","",MAX(0,E62-F62))</f>
        <v/>
      </c>
      <c r="H62" s="18" t="str">
        <f aca="false">IF(E62="","",ROUND((F62*OMR_RATE+G62*OMR_OT)*24,3))</f>
        <v/>
      </c>
      <c r="I62" s="40"/>
      <c r="K62" s="41" t="str">
        <f aca="false">IF(OR(A62="",C62=""),"",IF(ISNUMBER(C62),MOD(C62,1),IFERROR(INDEX(القوائم!$B$1:$B$96,MATCH(TRIM(C62),القوائم!$A$1:$A$96,0)),IFERROR(MOD(TIMEVALUE(C62),1),""))))</f>
        <v/>
      </c>
      <c r="L62" s="41" t="str">
        <f aca="false">IF(OR(A62="",D62=""),"",IF(ISNUMBER(D62),MOD(D62,1),IFERROR(INDEX(القوائم!$B$1:$B$96,MATCH(TRIM(D62),القوائم!$A$1:$A$96,0)),IFERROR(MOD(TIMEVALUE(D62),1),""))))</f>
        <v/>
      </c>
    </row>
    <row r="63" customFormat="false" ht="15" hidden="false" customHeight="false" outlineLevel="0" collapsed="false">
      <c r="A63" s="42" t="str">
        <f aca="false">IF(AND(6&lt;=NW,WFIRST+41&gt;=MSTART,WFIRST+41&lt;=MEND),WFIRST+41,"")</f>
        <v/>
      </c>
      <c r="B63" s="21" t="str">
        <f aca="false">IF(A63="","",CHOOSE(WEEKDAY(A63,1),"الأحد","الاثنين","الثلاثاء","الأربعاء","الخميس","الجمعة","السبت"))</f>
        <v/>
      </c>
      <c r="C63" s="40"/>
      <c r="D63" s="40"/>
      <c r="E63" s="17" t="str">
        <f aca="false">IF(OR(K63="",L63=""),"",MOD(L63-K63,1))</f>
        <v/>
      </c>
      <c r="F63" s="17" t="str">
        <f aca="false">IF(E63="","",IF(WEEKDAY(A63,1)=6,E63,MIN(E63,MAX(0,MIN(IF(L63&lt;K63,L63+1,L63),OMR_OT_AT)-K63))))</f>
        <v/>
      </c>
      <c r="G63" s="17" t="str">
        <f aca="false">IF(E63="","",MAX(0,E63-F63))</f>
        <v/>
      </c>
      <c r="H63" s="18" t="str">
        <f aca="false">IF(E63="","",ROUND((F63*OMR_RATE+G63*OMR_OT)*24,3))</f>
        <v/>
      </c>
      <c r="I63" s="40"/>
      <c r="K63" s="41" t="str">
        <f aca="false">IF(OR(A63="",C63=""),"",IF(ISNUMBER(C63),MOD(C63,1),IFERROR(INDEX(القوائم!$B$1:$B$96,MATCH(TRIM(C63),القوائم!$A$1:$A$96,0)),IFERROR(MOD(TIMEVALUE(C63),1),""))))</f>
        <v/>
      </c>
      <c r="L63" s="41" t="str">
        <f aca="false">IF(OR(A63="",D63=""),"",IF(ISNUMBER(D63),MOD(D63,1),IFERROR(INDEX(القوائم!$B$1:$B$96,MATCH(TRIM(D63),القوائم!$A$1:$A$96,0)),IFERROR(MOD(TIMEVALUE(D63),1),""))))</f>
        <v/>
      </c>
    </row>
    <row r="64" customFormat="false" ht="15" hidden="false" customHeight="false" outlineLevel="0" collapsed="false">
      <c r="A64" s="24" t="str">
        <f aca="false">IF(6&lt;=NW,"مجموع أيام الأسبوع السادس","")</f>
        <v>مجموع أيام الأسبوع السادس</v>
      </c>
      <c r="B64" s="24"/>
      <c r="C64" s="24"/>
      <c r="D64" s="24"/>
      <c r="E64" s="25" t="n">
        <f aca="false">IF(6&lt;=NW,SUM(E57:E63),"")</f>
        <v>0</v>
      </c>
      <c r="F64" s="25" t="n">
        <f aca="false">IF(6&lt;=NW,SUM(F57:F63),"")</f>
        <v>0</v>
      </c>
      <c r="G64" s="25" t="n">
        <f aca="false">IF(6&lt;=NW,SUM(G57:G63),"")</f>
        <v>0</v>
      </c>
      <c r="H64" s="26" t="n">
        <f aca="false">IF(6&lt;=NW,SUM(H57:H63),"")</f>
        <v>0</v>
      </c>
      <c r="I64" s="24"/>
    </row>
    <row r="65" customFormat="false" ht="16.15" hidden="false" customHeight="false" outlineLevel="0" collapsed="false">
      <c r="A65" s="43" t="str">
        <f aca="false">IF(6&lt;=NW,"ساعات تحميل الجبسمبورد بهالأسبوع (رقم: 2 أو 1.5) ←","")</f>
        <v>ساعات تحميل الجبسمبورد بهالأسبوع (رقم: 2 أو 1.5) ←</v>
      </c>
      <c r="B65" s="43"/>
      <c r="C65" s="43"/>
      <c r="D65" s="43"/>
      <c r="E65" s="44"/>
      <c r="F65" s="43" t="str">
        <f aca="false">IF(6&lt;=NW,"مستحق الأسبوع (دينار) ←","")</f>
        <v>مستحق الأسبوع (دينار) ←</v>
      </c>
      <c r="G65" s="43"/>
      <c r="H65" s="45" t="n">
        <f aca="false">IF(6&lt;=NW,IF(ROUND_MODE="للأعلى",CEILING(ROUND((N(H64)+N(E65)*(GYP_RATE-OMR_RATE)),3),0.25),ROUND((N(H64)+N(E65)*(GYP_RATE-OMR_RATE))*4,0)/4),"")</f>
        <v>0</v>
      </c>
      <c r="I65" s="46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AND(ISNUMBER($A6),$K6&lt;&gt;"",$L6&lt;&gt;"",WEEKDAY($A6,1)=6,OR($K6&lt;OMR_FRI_IN,$L6&gt;OMR_FRI_OUT))</formula>
    </cfRule>
    <cfRule type="expression" priority="3" aboveAverage="0" equalAverage="0" bottom="0" percent="0" rank="0" text="" dxfId="2">
      <formula>AND($A6="",$B6="")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true" outlineLevel="0" max="12" min="11" style="0" width="13"/>
  </cols>
  <sheetData>
    <row r="1" customFormat="false" ht="31.5" hidden="false" customHeight="true" outlineLevel="0" collapsed="false">
      <c r="A1" s="47" t="s">
        <v>38</v>
      </c>
      <c r="B1" s="47"/>
      <c r="C1" s="47"/>
      <c r="D1" s="47"/>
      <c r="E1" s="47"/>
      <c r="F1" s="47"/>
      <c r="G1" s="47"/>
      <c r="H1" s="47"/>
      <c r="I1" s="47"/>
    </row>
    <row r="2" customFormat="false" ht="21.75" hidden="false" customHeight="true" outlineLevel="0" collapsed="false">
      <c r="A2" s="48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48"/>
      <c r="C2" s="48"/>
      <c r="D2" s="48"/>
      <c r="E2" s="48"/>
      <c r="F2" s="48"/>
      <c r="G2" s="48"/>
      <c r="H2" s="48"/>
      <c r="I2" s="48"/>
    </row>
    <row r="3" customFormat="false" ht="36" hidden="false" customHeight="true" outlineLevel="0" collapsed="false">
      <c r="A3" s="35" t="s">
        <v>39</v>
      </c>
      <c r="B3" s="35"/>
      <c r="C3" s="35"/>
      <c r="D3" s="35"/>
      <c r="E3" s="35"/>
      <c r="F3" s="35"/>
      <c r="G3" s="35"/>
      <c r="H3" s="35"/>
      <c r="I3" s="35"/>
    </row>
    <row r="5" customFormat="false" ht="31.5" hidden="false" customHeight="true" outlineLevel="0" collapsed="false">
      <c r="A5" s="49" t="s">
        <v>31</v>
      </c>
      <c r="B5" s="49" t="s">
        <v>32</v>
      </c>
      <c r="C5" s="49" t="s">
        <v>33</v>
      </c>
      <c r="D5" s="49" t="s">
        <v>34</v>
      </c>
      <c r="E5" s="49" t="s">
        <v>14</v>
      </c>
      <c r="F5" s="49" t="s">
        <v>40</v>
      </c>
      <c r="G5" s="49" t="s">
        <v>41</v>
      </c>
      <c r="H5" s="49" t="s">
        <v>42</v>
      </c>
      <c r="I5" s="49" t="s">
        <v>37</v>
      </c>
    </row>
    <row r="6" customFormat="false" ht="27.75" hidden="false" customHeight="true" outlineLevel="0" collapsed="false">
      <c r="A6" s="50" t="str">
        <f aca="false">IF(1&lt;=NW,"الأسبوع الأول","")</f>
        <v>الأسبوع الأول</v>
      </c>
      <c r="B6" s="50"/>
      <c r="C6" s="50"/>
      <c r="D6" s="50"/>
      <c r="E6" s="50"/>
      <c r="F6" s="50"/>
      <c r="G6" s="50"/>
      <c r="H6" s="50"/>
      <c r="I6" s="50"/>
    </row>
    <row r="7" customFormat="false" ht="15" hidden="false" customHeight="false" outlineLevel="0" collapsed="false">
      <c r="A7" s="38" t="str">
        <f aca="false">IF(AND(1&lt;=NW,WFIRST+0&gt;=MSTART,WFIRST+0&lt;=MEND),WFIRST+0,"")</f>
        <v/>
      </c>
      <c r="B7" s="39" t="str">
        <f aca="false">IF(A7="","",CHOOSE(WEEKDAY(A7,1),"الأحد","الاثنين","الثلاثاء","الأربعاء","الخميس","الجمعة","السبت"))</f>
        <v/>
      </c>
      <c r="C7" s="40"/>
      <c r="D7" s="40"/>
      <c r="E7" s="17" t="str">
        <f aca="false">IF(OR(K7="",L7=""),"",MOD(L7-K7,1))</f>
        <v/>
      </c>
      <c r="F7" s="18" t="str">
        <f aca="false">IF(E7="","",IF(ROUND_MODE="للأعلى",CEILING(ROUND((E7*24*AZZ_RATE),3),0.25),ROUND((E7*24*AZZ_RATE)*4,0)/4))</f>
        <v/>
      </c>
      <c r="G7" s="40"/>
      <c r="H7" s="22"/>
      <c r="I7" s="40"/>
      <c r="K7" s="41" t="str">
        <f aca="false">IF(OR(A7="",C7=""),"",IF(ISNUMBER(C7),MOD(C7,1),IFERROR(INDEX(القوائم!$B$1:$B$96,MATCH(TRIM(C7),القوائم!$A$1:$A$96,0)),IFERROR(MOD(TIMEVALUE(C7),1),""))))</f>
        <v/>
      </c>
      <c r="L7" s="41" t="str">
        <f aca="false">IF(OR(A7="",D7=""),"",IF(ISNUMBER(D7),MOD(D7,1),IFERROR(INDEX(القوائم!$B$1:$B$96,MATCH(TRIM(D7),القوائم!$A$1:$A$96,0)),IFERROR(MOD(TIMEVALUE(D7),1),""))))</f>
        <v/>
      </c>
    </row>
    <row r="8" customFormat="false" ht="15" hidden="false" customHeight="false" outlineLevel="0" collapsed="false">
      <c r="A8" s="38" t="str">
        <f aca="false">IF(AND(1&lt;=NW,WFIRST+1&gt;=MSTART,WFIRST+1&lt;=MEND),WFIRST+1,"")</f>
        <v/>
      </c>
      <c r="B8" s="39" t="str">
        <f aca="false">IF(A8="","",CHOOSE(WEEKDAY(A8,1),"الأحد","الاثنين","الثلاثاء","الأربعاء","الخميس","الجمعة","السبت"))</f>
        <v/>
      </c>
      <c r="C8" s="40"/>
      <c r="D8" s="40"/>
      <c r="E8" s="17" t="str">
        <f aca="false">IF(OR(K8="",L8=""),"",MOD(L8-K8,1))</f>
        <v/>
      </c>
      <c r="F8" s="18" t="str">
        <f aca="false">IF(E8="","",IF(ROUND_MODE="للأعلى",CEILING(ROUND((E8*24*AZZ_RATE),3),0.25),ROUND((E8*24*AZZ_RATE)*4,0)/4))</f>
        <v/>
      </c>
      <c r="G8" s="40"/>
      <c r="H8" s="22"/>
      <c r="I8" s="40"/>
      <c r="K8" s="41" t="str">
        <f aca="false">IF(OR(A8="",C8=""),"",IF(ISNUMBER(C8),MOD(C8,1),IFERROR(INDEX(القوائم!$B$1:$B$96,MATCH(TRIM(C8),القوائم!$A$1:$A$96,0)),IFERROR(MOD(TIMEVALUE(C8),1),""))))</f>
        <v/>
      </c>
      <c r="L8" s="41" t="str">
        <f aca="false">IF(OR(A8="",D8=""),"",IF(ISNUMBER(D8),MOD(D8,1),IFERROR(INDEX(القوائم!$B$1:$B$96,MATCH(TRIM(D8),القوائم!$A$1:$A$96,0)),IFERROR(MOD(TIMEVALUE(D8),1),""))))</f>
        <v/>
      </c>
    </row>
    <row r="9" customFormat="false" ht="15" hidden="false" customHeight="false" outlineLevel="0" collapsed="false">
      <c r="A9" s="38" t="str">
        <f aca="false">IF(AND(1&lt;=NW,WFIRST+2&gt;=MSTART,WFIRST+2&lt;=MEND),WFIRST+2,"")</f>
        <v/>
      </c>
      <c r="B9" s="39" t="str">
        <f aca="false">IF(A9="","",CHOOSE(WEEKDAY(A9,1),"الأحد","الاثنين","الثلاثاء","الأربعاء","الخميس","الجمعة","السبت"))</f>
        <v/>
      </c>
      <c r="C9" s="40"/>
      <c r="D9" s="40"/>
      <c r="E9" s="17" t="str">
        <f aca="false">IF(OR(K9="",L9=""),"",MOD(L9-K9,1))</f>
        <v/>
      </c>
      <c r="F9" s="18" t="str">
        <f aca="false">IF(E9="","",IF(ROUND_MODE="للأعلى",CEILING(ROUND((E9*24*AZZ_RATE),3),0.25),ROUND((E9*24*AZZ_RATE)*4,0)/4))</f>
        <v/>
      </c>
      <c r="G9" s="40"/>
      <c r="H9" s="22"/>
      <c r="I9" s="40"/>
      <c r="K9" s="41" t="str">
        <f aca="false">IF(OR(A9="",C9=""),"",IF(ISNUMBER(C9),MOD(C9,1),IFERROR(INDEX(القوائم!$B$1:$B$96,MATCH(TRIM(C9),القوائم!$A$1:$A$96,0)),IFERROR(MOD(TIMEVALUE(C9),1),""))))</f>
        <v/>
      </c>
      <c r="L9" s="41" t="str">
        <f aca="false">IF(OR(A9="",D9=""),"",IF(ISNUMBER(D9),MOD(D9,1),IFERROR(INDEX(القوائم!$B$1:$B$96,MATCH(TRIM(D9),القوائم!$A$1:$A$96,0)),IFERROR(MOD(TIMEVALUE(D9),1),""))))</f>
        <v/>
      </c>
    </row>
    <row r="10" customFormat="false" ht="15" hidden="false" customHeight="false" outlineLevel="0" collapsed="false">
      <c r="A10" s="38" t="str">
        <f aca="false">IF(AND(1&lt;=NW,WFIRST+3&gt;=MSTART,WFIRST+3&lt;=MEND),WFIRST+3,"")</f>
        <v/>
      </c>
      <c r="B10" s="39" t="str">
        <f aca="false">IF(A10="","",CHOOSE(WEEKDAY(A10,1),"الأحد","الاثنين","الثلاثاء","الأربعاء","الخميس","الجمعة","السبت"))</f>
        <v/>
      </c>
      <c r="C10" s="40"/>
      <c r="D10" s="40"/>
      <c r="E10" s="17" t="str">
        <f aca="false">IF(OR(K10="",L10=""),"",MOD(L10-K10,1))</f>
        <v/>
      </c>
      <c r="F10" s="18" t="str">
        <f aca="false">IF(E10="","",IF(ROUND_MODE="للأعلى",CEILING(ROUND((E10*24*AZZ_RATE),3),0.25),ROUND((E10*24*AZZ_RATE)*4,0)/4))</f>
        <v/>
      </c>
      <c r="G10" s="40"/>
      <c r="H10" s="22"/>
      <c r="I10" s="40"/>
      <c r="K10" s="41" t="str">
        <f aca="false">IF(OR(A10="",C10=""),"",IF(ISNUMBER(C10),MOD(C10,1),IFERROR(INDEX(القوائم!$B$1:$B$96,MATCH(TRIM(C10),القوائم!$A$1:$A$96,0)),IFERROR(MOD(TIMEVALUE(C10),1),""))))</f>
        <v/>
      </c>
      <c r="L10" s="41" t="str">
        <f aca="false">IF(OR(A10="",D10=""),"",IF(ISNUMBER(D10),MOD(D10,1),IFERROR(INDEX(القوائم!$B$1:$B$96,MATCH(TRIM(D10),القوائم!$A$1:$A$96,0)),IFERROR(MOD(TIMEVALUE(D10),1),""))))</f>
        <v/>
      </c>
    </row>
    <row r="11" customFormat="false" ht="15" hidden="false" customHeight="false" outlineLevel="0" collapsed="false">
      <c r="A11" s="38" t="str">
        <f aca="false">IF(AND(1&lt;=NW,WFIRST+4&gt;=MSTART,WFIRST+4&lt;=MEND),WFIRST+4,"")</f>
        <v/>
      </c>
      <c r="B11" s="39" t="str">
        <f aca="false">IF(A11="","",CHOOSE(WEEKDAY(A11,1),"الأحد","الاثنين","الثلاثاء","الأربعاء","الخميس","الجمعة","السبت"))</f>
        <v/>
      </c>
      <c r="C11" s="40"/>
      <c r="D11" s="40"/>
      <c r="E11" s="17" t="str">
        <f aca="false">IF(OR(K11="",L11=""),"",MOD(L11-K11,1))</f>
        <v/>
      </c>
      <c r="F11" s="18" t="str">
        <f aca="false">IF(E11="","",IF(ROUND_MODE="للأعلى",CEILING(ROUND((E11*24*AZZ_RATE),3),0.25),ROUND((E11*24*AZZ_RATE)*4,0)/4))</f>
        <v/>
      </c>
      <c r="G11" s="40"/>
      <c r="H11" s="22"/>
      <c r="I11" s="40"/>
      <c r="K11" s="41" t="str">
        <f aca="false">IF(OR(A11="",C11=""),"",IF(ISNUMBER(C11),MOD(C11,1),IFERROR(INDEX(القوائم!$B$1:$B$96,MATCH(TRIM(C11),القوائم!$A$1:$A$96,0)),IFERROR(MOD(TIMEVALUE(C11),1),""))))</f>
        <v/>
      </c>
      <c r="L11" s="41" t="str">
        <f aca="false">IF(OR(A11="",D11=""),"",IF(ISNUMBER(D11),MOD(D11,1),IFERROR(INDEX(القوائم!$B$1:$B$96,MATCH(TRIM(D11),القوائم!$A$1:$A$96,0)),IFERROR(MOD(TIMEVALUE(D11),1),""))))</f>
        <v/>
      </c>
    </row>
    <row r="12" customFormat="false" ht="15" hidden="false" customHeight="false" outlineLevel="0" collapsed="false">
      <c r="A12" s="38" t="n">
        <f aca="false">IF(AND(1&lt;=NW,WFIRST+5&gt;=MSTART,WFIRST+5&lt;=MEND),WFIRST+5,"")</f>
        <v>46296</v>
      </c>
      <c r="B12" s="39" t="str">
        <f aca="false">IF(A12="","",CHOOSE(WEEKDAY(A12,1),"الأحد","الاثنين","الثلاثاء","الأربعاء","الخميس","الجمعة","السبت"))</f>
        <v>الخميس</v>
      </c>
      <c r="C12" s="40"/>
      <c r="D12" s="40"/>
      <c r="E12" s="17" t="str">
        <f aca="false">IF(OR(K12="",L12=""),"",MOD(L12-K12,1))</f>
        <v/>
      </c>
      <c r="F12" s="18" t="str">
        <f aca="false">IF(E12="","",IF(ROUND_MODE="للأعلى",CEILING(ROUND((E12*24*AZZ_RATE),3),0.25),ROUND((E12*24*AZZ_RATE)*4,0)/4))</f>
        <v/>
      </c>
      <c r="G12" s="40"/>
      <c r="H12" s="22"/>
      <c r="I12" s="40"/>
      <c r="K12" s="41" t="str">
        <f aca="false">IF(OR(A12="",C12=""),"",IF(ISNUMBER(C12),MOD(C12,1),IFERROR(INDEX(القوائم!$B$1:$B$96,MATCH(TRIM(C12),القوائم!$A$1:$A$96,0)),IFERROR(MOD(TIMEVALUE(C12),1),""))))</f>
        <v/>
      </c>
      <c r="L12" s="41" t="str">
        <f aca="false">IF(OR(A12="",D12=""),"",IF(ISNUMBER(D12),MOD(D12,1),IFERROR(INDEX(القوائم!$B$1:$B$96,MATCH(TRIM(D12),القوائم!$A$1:$A$96,0)),IFERROR(MOD(TIMEVALUE(D12),1),""))))</f>
        <v/>
      </c>
    </row>
    <row r="13" customFormat="false" ht="15" hidden="false" customHeight="false" outlineLevel="0" collapsed="false">
      <c r="A13" s="42" t="n">
        <f aca="false">IF(AND(1&lt;=NW,WFIRST+6&gt;=MSTART,WFIRST+6&lt;=MEND),WFIRST+6,"")</f>
        <v>46297</v>
      </c>
      <c r="B13" s="21" t="str">
        <f aca="false">IF(A13="","",CHOOSE(WEEKDAY(A13,1),"الأحد","الاثنين","الثلاثاء","الأربعاء","الخميس","الجمعة","السبت"))</f>
        <v>الجمعة</v>
      </c>
      <c r="C13" s="40"/>
      <c r="D13" s="40"/>
      <c r="E13" s="17" t="str">
        <f aca="false">IF(OR(K13="",L13=""),"",MOD(L13-K13,1))</f>
        <v/>
      </c>
      <c r="F13" s="18" t="str">
        <f aca="false">IF(E13="","",IF(ROUND_MODE="للأعلى",CEILING(ROUND((E13*24*AZZ_RATE),3),0.25),ROUND((E13*24*AZZ_RATE)*4,0)/4))</f>
        <v/>
      </c>
      <c r="G13" s="40"/>
      <c r="H13" s="22"/>
      <c r="I13" s="40"/>
      <c r="K13" s="41" t="str">
        <f aca="false">IF(OR(A13="",C13=""),"",IF(ISNUMBER(C13),MOD(C13,1),IFERROR(INDEX(القوائم!$B$1:$B$96,MATCH(TRIM(C13),القوائم!$A$1:$A$96,0)),IFERROR(MOD(TIMEVALUE(C13),1),""))))</f>
        <v/>
      </c>
      <c r="L13" s="41" t="str">
        <f aca="false">IF(OR(A13="",D13=""),"",IF(ISNUMBER(D13),MOD(D13,1),IFERROR(INDEX(القوائم!$B$1:$B$96,MATCH(TRIM(D13),القوائم!$A$1:$A$96,0)),IFERROR(MOD(TIMEVALUE(D13),1),""))))</f>
        <v/>
      </c>
    </row>
    <row r="14" customFormat="false" ht="15" hidden="false" customHeight="false" outlineLevel="0" collapsed="false">
      <c r="A14" s="24" t="str">
        <f aca="false">IF(1&lt;=NW,"مجموع أيام الأسبوع الأول","")</f>
        <v>مجموع أيام الأسبوع الأول</v>
      </c>
      <c r="B14" s="24"/>
      <c r="C14" s="24"/>
      <c r="D14" s="24"/>
      <c r="E14" s="25" t="n">
        <f aca="false">IF(1&lt;=NW,SUM(E7:E13),"")</f>
        <v>0</v>
      </c>
      <c r="F14" s="26" t="n">
        <f aca="false">IF(1&lt;=NW,SUM(F7:F13),"")</f>
        <v>0</v>
      </c>
      <c r="G14" s="24"/>
      <c r="H14" s="26" t="n">
        <f aca="false">IF(1&lt;=NW,SUM(H7:H13),"")</f>
        <v>0</v>
      </c>
      <c r="I14" s="24"/>
    </row>
    <row r="15" customFormat="false" ht="16.15" hidden="false" customHeight="false" outlineLevel="0" collapsed="false">
      <c r="A15" s="43" t="str">
        <f aca="false">IF(1&lt;=NW,"ساعات تحميل الجبسمبورد بهالأسبوع (رقم: 2 أو 1.5) ←","")</f>
        <v>ساعات تحميل الجبسمبورد بهالأسبوع (رقم: 2 أو 1.5) ←</v>
      </c>
      <c r="B15" s="43"/>
      <c r="C15" s="43"/>
      <c r="D15" s="43"/>
      <c r="E15" s="44"/>
      <c r="F15" s="45" t="n">
        <f aca="false">IF(1&lt;=NW,N(F14)+IF(ROUND_MODE="للأعلى",CEILING(ROUND((N(E15)*(GYP_RATE-AZZ_RATE)),3),0.25),ROUND((N(E15)*(GYP_RATE-AZZ_RATE))*4,0)/4),"")</f>
        <v>0</v>
      </c>
      <c r="G15" s="51" t="str">
        <f aca="false">IF(1&lt;=NW,"← مستحق الأسبوع كامل (دينار) مع فرق الجبسمبورد","")</f>
        <v>← مستحق الأسبوع كامل (دينار) مع فرق الجبسمبورد</v>
      </c>
      <c r="H15" s="51"/>
      <c r="I15" s="51"/>
    </row>
    <row r="16" customFormat="false" ht="27.75" hidden="false" customHeight="true" outlineLevel="0" collapsed="false">
      <c r="A16" s="50" t="str">
        <f aca="false">IF(2&lt;=NW,"الأسبوع الثاني","")</f>
        <v>الأسبوع الثاني</v>
      </c>
      <c r="B16" s="50"/>
      <c r="C16" s="50"/>
      <c r="D16" s="50"/>
      <c r="E16" s="50"/>
      <c r="F16" s="50"/>
      <c r="G16" s="50"/>
      <c r="H16" s="50"/>
      <c r="I16" s="50"/>
    </row>
    <row r="17" customFormat="false" ht="15" hidden="false" customHeight="false" outlineLevel="0" collapsed="false">
      <c r="A17" s="38" t="n">
        <f aca="false">IF(AND(2&lt;=NW,WFIRST+7&gt;=MSTART,WFIRST+7&lt;=MEND),WFIRST+7,"")</f>
        <v>46298</v>
      </c>
      <c r="B17" s="39" t="str">
        <f aca="false">IF(A17="","",CHOOSE(WEEKDAY(A17,1),"الأحد","الاثنين","الثلاثاء","الأربعاء","الخميس","الجمعة","السبت"))</f>
        <v>السبت</v>
      </c>
      <c r="C17" s="40"/>
      <c r="D17" s="40"/>
      <c r="E17" s="17" t="str">
        <f aca="false">IF(OR(K17="",L17=""),"",MOD(L17-K17,1))</f>
        <v/>
      </c>
      <c r="F17" s="18" t="str">
        <f aca="false">IF(E17="","",IF(ROUND_MODE="للأعلى",CEILING(ROUND((E17*24*AZZ_RATE),3),0.25),ROUND((E17*24*AZZ_RATE)*4,0)/4))</f>
        <v/>
      </c>
      <c r="G17" s="40"/>
      <c r="H17" s="22"/>
      <c r="I17" s="40"/>
      <c r="K17" s="41" t="str">
        <f aca="false">IF(OR(A17="",C17=""),"",IF(ISNUMBER(C17),MOD(C17,1),IFERROR(INDEX(القوائم!$B$1:$B$96,MATCH(TRIM(C17),القوائم!$A$1:$A$96,0)),IFERROR(MOD(TIMEVALUE(C17),1),""))))</f>
        <v/>
      </c>
      <c r="L17" s="41" t="str">
        <f aca="false">IF(OR(A17="",D17=""),"",IF(ISNUMBER(D17),MOD(D17,1),IFERROR(INDEX(القوائم!$B$1:$B$96,MATCH(TRIM(D17),القوائم!$A$1:$A$96,0)),IFERROR(MOD(TIMEVALUE(D17),1),""))))</f>
        <v/>
      </c>
    </row>
    <row r="18" customFormat="false" ht="15" hidden="false" customHeight="false" outlineLevel="0" collapsed="false">
      <c r="A18" s="38" t="n">
        <f aca="false">IF(AND(2&lt;=NW,WFIRST+8&gt;=MSTART,WFIRST+8&lt;=MEND),WFIRST+8,"")</f>
        <v>46299</v>
      </c>
      <c r="B18" s="39" t="str">
        <f aca="false">IF(A18="","",CHOOSE(WEEKDAY(A18,1),"الأحد","الاثنين","الثلاثاء","الأربعاء","الخميس","الجمعة","السبت"))</f>
        <v>الأحد</v>
      </c>
      <c r="C18" s="40"/>
      <c r="D18" s="40"/>
      <c r="E18" s="17" t="str">
        <f aca="false">IF(OR(K18="",L18=""),"",MOD(L18-K18,1))</f>
        <v/>
      </c>
      <c r="F18" s="18" t="str">
        <f aca="false">IF(E18="","",IF(ROUND_MODE="للأعلى",CEILING(ROUND((E18*24*AZZ_RATE),3),0.25),ROUND((E18*24*AZZ_RATE)*4,0)/4))</f>
        <v/>
      </c>
      <c r="G18" s="40"/>
      <c r="H18" s="22"/>
      <c r="I18" s="40"/>
      <c r="K18" s="41" t="str">
        <f aca="false">IF(OR(A18="",C18=""),"",IF(ISNUMBER(C18),MOD(C18,1),IFERROR(INDEX(القوائم!$B$1:$B$96,MATCH(TRIM(C18),القوائم!$A$1:$A$96,0)),IFERROR(MOD(TIMEVALUE(C18),1),""))))</f>
        <v/>
      </c>
      <c r="L18" s="41" t="str">
        <f aca="false">IF(OR(A18="",D18=""),"",IF(ISNUMBER(D18),MOD(D18,1),IFERROR(INDEX(القوائم!$B$1:$B$96,MATCH(TRIM(D18),القوائم!$A$1:$A$96,0)),IFERROR(MOD(TIMEVALUE(D18),1),""))))</f>
        <v/>
      </c>
    </row>
    <row r="19" customFormat="false" ht="15" hidden="false" customHeight="false" outlineLevel="0" collapsed="false">
      <c r="A19" s="38" t="n">
        <f aca="false">IF(AND(2&lt;=NW,WFIRST+9&gt;=MSTART,WFIRST+9&lt;=MEND),WFIRST+9,"")</f>
        <v>46300</v>
      </c>
      <c r="B19" s="39" t="str">
        <f aca="false">IF(A19="","",CHOOSE(WEEKDAY(A19,1),"الأحد","الاثنين","الثلاثاء","الأربعاء","الخميس","الجمعة","السبت"))</f>
        <v>الاثنين</v>
      </c>
      <c r="C19" s="40"/>
      <c r="D19" s="40"/>
      <c r="E19" s="17" t="str">
        <f aca="false">IF(OR(K19="",L19=""),"",MOD(L19-K19,1))</f>
        <v/>
      </c>
      <c r="F19" s="18" t="str">
        <f aca="false">IF(E19="","",IF(ROUND_MODE="للأعلى",CEILING(ROUND((E19*24*AZZ_RATE),3),0.25),ROUND((E19*24*AZZ_RATE)*4,0)/4))</f>
        <v/>
      </c>
      <c r="G19" s="40"/>
      <c r="H19" s="22"/>
      <c r="I19" s="40"/>
      <c r="K19" s="41" t="str">
        <f aca="false">IF(OR(A19="",C19=""),"",IF(ISNUMBER(C19),MOD(C19,1),IFERROR(INDEX(القوائم!$B$1:$B$96,MATCH(TRIM(C19),القوائم!$A$1:$A$96,0)),IFERROR(MOD(TIMEVALUE(C19),1),""))))</f>
        <v/>
      </c>
      <c r="L19" s="41" t="str">
        <f aca="false">IF(OR(A19="",D19=""),"",IF(ISNUMBER(D19),MOD(D19,1),IFERROR(INDEX(القوائم!$B$1:$B$96,MATCH(TRIM(D19),القوائم!$A$1:$A$96,0)),IFERROR(MOD(TIMEVALUE(D19),1),""))))</f>
        <v/>
      </c>
    </row>
    <row r="20" customFormat="false" ht="15" hidden="false" customHeight="false" outlineLevel="0" collapsed="false">
      <c r="A20" s="38" t="n">
        <f aca="false">IF(AND(2&lt;=NW,WFIRST+10&gt;=MSTART,WFIRST+10&lt;=MEND),WFIRST+10,"")</f>
        <v>46301</v>
      </c>
      <c r="B20" s="39" t="str">
        <f aca="false">IF(A20="","",CHOOSE(WEEKDAY(A20,1),"الأحد","الاثنين","الثلاثاء","الأربعاء","الخميس","الجمعة","السبت"))</f>
        <v>الثلاثاء</v>
      </c>
      <c r="C20" s="40"/>
      <c r="D20" s="40"/>
      <c r="E20" s="17" t="str">
        <f aca="false">IF(OR(K20="",L20=""),"",MOD(L20-K20,1))</f>
        <v/>
      </c>
      <c r="F20" s="18" t="str">
        <f aca="false">IF(E20="","",IF(ROUND_MODE="للأعلى",CEILING(ROUND((E20*24*AZZ_RATE),3),0.25),ROUND((E20*24*AZZ_RATE)*4,0)/4))</f>
        <v/>
      </c>
      <c r="G20" s="40"/>
      <c r="H20" s="22"/>
      <c r="I20" s="40"/>
      <c r="K20" s="41" t="str">
        <f aca="false">IF(OR(A20="",C20=""),"",IF(ISNUMBER(C20),MOD(C20,1),IFERROR(INDEX(القوائم!$B$1:$B$96,MATCH(TRIM(C20),القوائم!$A$1:$A$96,0)),IFERROR(MOD(TIMEVALUE(C20),1),""))))</f>
        <v/>
      </c>
      <c r="L20" s="41" t="str">
        <f aca="false">IF(OR(A20="",D20=""),"",IF(ISNUMBER(D20),MOD(D20,1),IFERROR(INDEX(القوائم!$B$1:$B$96,MATCH(TRIM(D20),القوائم!$A$1:$A$96,0)),IFERROR(MOD(TIMEVALUE(D20),1),""))))</f>
        <v/>
      </c>
    </row>
    <row r="21" customFormat="false" ht="15" hidden="false" customHeight="false" outlineLevel="0" collapsed="false">
      <c r="A21" s="38" t="n">
        <f aca="false">IF(AND(2&lt;=NW,WFIRST+11&gt;=MSTART,WFIRST+11&lt;=MEND),WFIRST+11,"")</f>
        <v>46302</v>
      </c>
      <c r="B21" s="39" t="str">
        <f aca="false">IF(A21="","",CHOOSE(WEEKDAY(A21,1),"الأحد","الاثنين","الثلاثاء","الأربعاء","الخميس","الجمعة","السبت"))</f>
        <v>الأربعاء</v>
      </c>
      <c r="C21" s="40"/>
      <c r="D21" s="40"/>
      <c r="E21" s="17" t="str">
        <f aca="false">IF(OR(K21="",L21=""),"",MOD(L21-K21,1))</f>
        <v/>
      </c>
      <c r="F21" s="18" t="str">
        <f aca="false">IF(E21="","",IF(ROUND_MODE="للأعلى",CEILING(ROUND((E21*24*AZZ_RATE),3),0.25),ROUND((E21*24*AZZ_RATE)*4,0)/4))</f>
        <v/>
      </c>
      <c r="G21" s="40"/>
      <c r="H21" s="22"/>
      <c r="I21" s="40"/>
      <c r="K21" s="41" t="str">
        <f aca="false">IF(OR(A21="",C21=""),"",IF(ISNUMBER(C21),MOD(C21,1),IFERROR(INDEX(القوائم!$B$1:$B$96,MATCH(TRIM(C21),القوائم!$A$1:$A$96,0)),IFERROR(MOD(TIMEVALUE(C21),1),""))))</f>
        <v/>
      </c>
      <c r="L21" s="41" t="str">
        <f aca="false">IF(OR(A21="",D21=""),"",IF(ISNUMBER(D21),MOD(D21,1),IFERROR(INDEX(القوائم!$B$1:$B$96,MATCH(TRIM(D21),القوائم!$A$1:$A$96,0)),IFERROR(MOD(TIMEVALUE(D21),1),""))))</f>
        <v/>
      </c>
    </row>
    <row r="22" customFormat="false" ht="15" hidden="false" customHeight="false" outlineLevel="0" collapsed="false">
      <c r="A22" s="38" t="n">
        <f aca="false">IF(AND(2&lt;=NW,WFIRST+12&gt;=MSTART,WFIRST+12&lt;=MEND),WFIRST+12,"")</f>
        <v>46303</v>
      </c>
      <c r="B22" s="39" t="str">
        <f aca="false">IF(A22="","",CHOOSE(WEEKDAY(A22,1),"الأحد","الاثنين","الثلاثاء","الأربعاء","الخميس","الجمعة","السبت"))</f>
        <v>الخميس</v>
      </c>
      <c r="C22" s="40"/>
      <c r="D22" s="40"/>
      <c r="E22" s="17" t="str">
        <f aca="false">IF(OR(K22="",L22=""),"",MOD(L22-K22,1))</f>
        <v/>
      </c>
      <c r="F22" s="18" t="str">
        <f aca="false">IF(E22="","",IF(ROUND_MODE="للأعلى",CEILING(ROUND((E22*24*AZZ_RATE),3),0.25),ROUND((E22*24*AZZ_RATE)*4,0)/4))</f>
        <v/>
      </c>
      <c r="G22" s="40"/>
      <c r="H22" s="22"/>
      <c r="I22" s="40"/>
      <c r="K22" s="41" t="str">
        <f aca="false">IF(OR(A22="",C22=""),"",IF(ISNUMBER(C22),MOD(C22,1),IFERROR(INDEX(القوائم!$B$1:$B$96,MATCH(TRIM(C22),القوائم!$A$1:$A$96,0)),IFERROR(MOD(TIMEVALUE(C22),1),""))))</f>
        <v/>
      </c>
      <c r="L22" s="41" t="str">
        <f aca="false">IF(OR(A22="",D22=""),"",IF(ISNUMBER(D22),MOD(D22,1),IFERROR(INDEX(القوائم!$B$1:$B$96,MATCH(TRIM(D22),القوائم!$A$1:$A$96,0)),IFERROR(MOD(TIMEVALUE(D22),1),""))))</f>
        <v/>
      </c>
    </row>
    <row r="23" customFormat="false" ht="15" hidden="false" customHeight="false" outlineLevel="0" collapsed="false">
      <c r="A23" s="42" t="n">
        <f aca="false">IF(AND(2&lt;=NW,WFIRST+13&gt;=MSTART,WFIRST+13&lt;=MEND),WFIRST+13,"")</f>
        <v>46304</v>
      </c>
      <c r="B23" s="21" t="str">
        <f aca="false">IF(A23="","",CHOOSE(WEEKDAY(A23,1),"الأحد","الاثنين","الثلاثاء","الأربعاء","الخميس","الجمعة","السبت"))</f>
        <v>الجمعة</v>
      </c>
      <c r="C23" s="40"/>
      <c r="D23" s="40"/>
      <c r="E23" s="17" t="str">
        <f aca="false">IF(OR(K23="",L23=""),"",MOD(L23-K23,1))</f>
        <v/>
      </c>
      <c r="F23" s="18" t="str">
        <f aca="false">IF(E23="","",IF(ROUND_MODE="للأعلى",CEILING(ROUND((E23*24*AZZ_RATE),3),0.25),ROUND((E23*24*AZZ_RATE)*4,0)/4))</f>
        <v/>
      </c>
      <c r="G23" s="40"/>
      <c r="H23" s="22"/>
      <c r="I23" s="40"/>
      <c r="K23" s="41" t="str">
        <f aca="false">IF(OR(A23="",C23=""),"",IF(ISNUMBER(C23),MOD(C23,1),IFERROR(INDEX(القوائم!$B$1:$B$96,MATCH(TRIM(C23),القوائم!$A$1:$A$96,0)),IFERROR(MOD(TIMEVALUE(C23),1),""))))</f>
        <v/>
      </c>
      <c r="L23" s="41" t="str">
        <f aca="false">IF(OR(A23="",D23=""),"",IF(ISNUMBER(D23),MOD(D23,1),IFERROR(INDEX(القوائم!$B$1:$B$96,MATCH(TRIM(D23),القوائم!$A$1:$A$96,0)),IFERROR(MOD(TIMEVALUE(D23),1),""))))</f>
        <v/>
      </c>
    </row>
    <row r="24" customFormat="false" ht="15" hidden="false" customHeight="false" outlineLevel="0" collapsed="false">
      <c r="A24" s="24" t="str">
        <f aca="false">IF(2&lt;=NW,"مجموع أيام الأسبوع الثاني","")</f>
        <v>مجموع أيام الأسبوع الثاني</v>
      </c>
      <c r="B24" s="24"/>
      <c r="C24" s="24"/>
      <c r="D24" s="24"/>
      <c r="E24" s="25" t="n">
        <f aca="false">IF(2&lt;=NW,SUM(E17:E23),"")</f>
        <v>0</v>
      </c>
      <c r="F24" s="26" t="n">
        <f aca="false">IF(2&lt;=NW,SUM(F17:F23),"")</f>
        <v>0</v>
      </c>
      <c r="G24" s="24"/>
      <c r="H24" s="26" t="n">
        <f aca="false">IF(2&lt;=NW,SUM(H17:H23),"")</f>
        <v>0</v>
      </c>
      <c r="I24" s="24"/>
    </row>
    <row r="25" customFormat="false" ht="16.15" hidden="false" customHeight="false" outlineLevel="0" collapsed="false">
      <c r="A25" s="43" t="str">
        <f aca="false">IF(2&lt;=NW,"ساعات تحميل الجبسمبورد بهالأسبوع (رقم: 2 أو 1.5) ←","")</f>
        <v>ساعات تحميل الجبسمبورد بهالأسبوع (رقم: 2 أو 1.5) ←</v>
      </c>
      <c r="B25" s="43"/>
      <c r="C25" s="43"/>
      <c r="D25" s="43"/>
      <c r="E25" s="44"/>
      <c r="F25" s="45" t="n">
        <f aca="false">IF(2&lt;=NW,N(F24)+IF(ROUND_MODE="للأعلى",CEILING(ROUND((N(E25)*(GYP_RATE-AZZ_RATE)),3),0.25),ROUND((N(E25)*(GYP_RATE-AZZ_RATE))*4,0)/4),"")</f>
        <v>0</v>
      </c>
      <c r="G25" s="51" t="str">
        <f aca="false">IF(2&lt;=NW,"← مستحق الأسبوع كامل (دينار) مع فرق الجبسمبورد","")</f>
        <v>← مستحق الأسبوع كامل (دينار) مع فرق الجبسمبورد</v>
      </c>
      <c r="H25" s="51"/>
      <c r="I25" s="51"/>
    </row>
    <row r="26" customFormat="false" ht="27.75" hidden="false" customHeight="true" outlineLevel="0" collapsed="false">
      <c r="A26" s="50" t="str">
        <f aca="false">IF(3&lt;=NW,"الأسبوع الثالث","")</f>
        <v>الأسبوع الثالث</v>
      </c>
      <c r="B26" s="50"/>
      <c r="C26" s="50"/>
      <c r="D26" s="50"/>
      <c r="E26" s="50"/>
      <c r="F26" s="50"/>
      <c r="G26" s="50"/>
      <c r="H26" s="50"/>
      <c r="I26" s="50"/>
    </row>
    <row r="27" customFormat="false" ht="15" hidden="false" customHeight="false" outlineLevel="0" collapsed="false">
      <c r="A27" s="38" t="n">
        <f aca="false">IF(AND(3&lt;=NW,WFIRST+14&gt;=MSTART,WFIRST+14&lt;=MEND),WFIRST+14,"")</f>
        <v>46305</v>
      </c>
      <c r="B27" s="39" t="str">
        <f aca="false">IF(A27="","",CHOOSE(WEEKDAY(A27,1),"الأحد","الاثنين","الثلاثاء","الأربعاء","الخميس","الجمعة","السبت"))</f>
        <v>السبت</v>
      </c>
      <c r="C27" s="40"/>
      <c r="D27" s="40"/>
      <c r="E27" s="17" t="str">
        <f aca="false">IF(OR(K27="",L27=""),"",MOD(L27-K27,1))</f>
        <v/>
      </c>
      <c r="F27" s="18" t="str">
        <f aca="false">IF(E27="","",IF(ROUND_MODE="للأعلى",CEILING(ROUND((E27*24*AZZ_RATE),3),0.25),ROUND((E27*24*AZZ_RATE)*4,0)/4))</f>
        <v/>
      </c>
      <c r="G27" s="40"/>
      <c r="H27" s="22"/>
      <c r="I27" s="40"/>
      <c r="K27" s="41" t="str">
        <f aca="false">IF(OR(A27="",C27=""),"",IF(ISNUMBER(C27),MOD(C27,1),IFERROR(INDEX(القوائم!$B$1:$B$96,MATCH(TRIM(C27),القوائم!$A$1:$A$96,0)),IFERROR(MOD(TIMEVALUE(C27),1),""))))</f>
        <v/>
      </c>
      <c r="L27" s="41" t="str">
        <f aca="false">IF(OR(A27="",D27=""),"",IF(ISNUMBER(D27),MOD(D27,1),IFERROR(INDEX(القوائم!$B$1:$B$96,MATCH(TRIM(D27),القوائم!$A$1:$A$96,0)),IFERROR(MOD(TIMEVALUE(D27),1),""))))</f>
        <v/>
      </c>
    </row>
    <row r="28" customFormat="false" ht="15" hidden="false" customHeight="false" outlineLevel="0" collapsed="false">
      <c r="A28" s="38" t="n">
        <f aca="false">IF(AND(3&lt;=NW,WFIRST+15&gt;=MSTART,WFIRST+15&lt;=MEND),WFIRST+15,"")</f>
        <v>46306</v>
      </c>
      <c r="B28" s="39" t="str">
        <f aca="false">IF(A28="","",CHOOSE(WEEKDAY(A28,1),"الأحد","الاثنين","الثلاثاء","الأربعاء","الخميس","الجمعة","السبت"))</f>
        <v>الأحد</v>
      </c>
      <c r="C28" s="40"/>
      <c r="D28" s="40"/>
      <c r="E28" s="17" t="str">
        <f aca="false">IF(OR(K28="",L28=""),"",MOD(L28-K28,1))</f>
        <v/>
      </c>
      <c r="F28" s="18" t="str">
        <f aca="false">IF(E28="","",IF(ROUND_MODE="للأعلى",CEILING(ROUND((E28*24*AZZ_RATE),3),0.25),ROUND((E28*24*AZZ_RATE)*4,0)/4))</f>
        <v/>
      </c>
      <c r="G28" s="40"/>
      <c r="H28" s="22"/>
      <c r="I28" s="40"/>
      <c r="K28" s="41" t="str">
        <f aca="false">IF(OR(A28="",C28=""),"",IF(ISNUMBER(C28),MOD(C28,1),IFERROR(INDEX(القوائم!$B$1:$B$96,MATCH(TRIM(C28),القوائم!$A$1:$A$96,0)),IFERROR(MOD(TIMEVALUE(C28),1),""))))</f>
        <v/>
      </c>
      <c r="L28" s="41" t="str">
        <f aca="false">IF(OR(A28="",D28=""),"",IF(ISNUMBER(D28),MOD(D28,1),IFERROR(INDEX(القوائم!$B$1:$B$96,MATCH(TRIM(D28),القوائم!$A$1:$A$96,0)),IFERROR(MOD(TIMEVALUE(D28),1),""))))</f>
        <v/>
      </c>
    </row>
    <row r="29" customFormat="false" ht="15" hidden="false" customHeight="false" outlineLevel="0" collapsed="false">
      <c r="A29" s="38" t="n">
        <f aca="false">IF(AND(3&lt;=NW,WFIRST+16&gt;=MSTART,WFIRST+16&lt;=MEND),WFIRST+16,"")</f>
        <v>46307</v>
      </c>
      <c r="B29" s="39" t="str">
        <f aca="false">IF(A29="","",CHOOSE(WEEKDAY(A29,1),"الأحد","الاثنين","الثلاثاء","الأربعاء","الخميس","الجمعة","السبت"))</f>
        <v>الاثنين</v>
      </c>
      <c r="C29" s="40"/>
      <c r="D29" s="40"/>
      <c r="E29" s="17" t="str">
        <f aca="false">IF(OR(K29="",L29=""),"",MOD(L29-K29,1))</f>
        <v/>
      </c>
      <c r="F29" s="18" t="str">
        <f aca="false">IF(E29="","",IF(ROUND_MODE="للأعلى",CEILING(ROUND((E29*24*AZZ_RATE),3),0.25),ROUND((E29*24*AZZ_RATE)*4,0)/4))</f>
        <v/>
      </c>
      <c r="G29" s="40"/>
      <c r="H29" s="22"/>
      <c r="I29" s="40"/>
      <c r="K29" s="41" t="str">
        <f aca="false">IF(OR(A29="",C29=""),"",IF(ISNUMBER(C29),MOD(C29,1),IFERROR(INDEX(القوائم!$B$1:$B$96,MATCH(TRIM(C29),القوائم!$A$1:$A$96,0)),IFERROR(MOD(TIMEVALUE(C29),1),""))))</f>
        <v/>
      </c>
      <c r="L29" s="41" t="str">
        <f aca="false">IF(OR(A29="",D29=""),"",IF(ISNUMBER(D29),MOD(D29,1),IFERROR(INDEX(القوائم!$B$1:$B$96,MATCH(TRIM(D29),القوائم!$A$1:$A$96,0)),IFERROR(MOD(TIMEVALUE(D29),1),""))))</f>
        <v/>
      </c>
    </row>
    <row r="30" customFormat="false" ht="15" hidden="false" customHeight="false" outlineLevel="0" collapsed="false">
      <c r="A30" s="38" t="n">
        <f aca="false">IF(AND(3&lt;=NW,WFIRST+17&gt;=MSTART,WFIRST+17&lt;=MEND),WFIRST+17,"")</f>
        <v>46308</v>
      </c>
      <c r="B30" s="39" t="str">
        <f aca="false">IF(A30="","",CHOOSE(WEEKDAY(A30,1),"الأحد","الاثنين","الثلاثاء","الأربعاء","الخميس","الجمعة","السبت"))</f>
        <v>الثلاثاء</v>
      </c>
      <c r="C30" s="40"/>
      <c r="D30" s="40"/>
      <c r="E30" s="17" t="str">
        <f aca="false">IF(OR(K30="",L30=""),"",MOD(L30-K30,1))</f>
        <v/>
      </c>
      <c r="F30" s="18" t="str">
        <f aca="false">IF(E30="","",IF(ROUND_MODE="للأعلى",CEILING(ROUND((E30*24*AZZ_RATE),3),0.25),ROUND((E30*24*AZZ_RATE)*4,0)/4))</f>
        <v/>
      </c>
      <c r="G30" s="40"/>
      <c r="H30" s="22"/>
      <c r="I30" s="40"/>
      <c r="K30" s="41" t="str">
        <f aca="false">IF(OR(A30="",C30=""),"",IF(ISNUMBER(C30),MOD(C30,1),IFERROR(INDEX(القوائم!$B$1:$B$96,MATCH(TRIM(C30),القوائم!$A$1:$A$96,0)),IFERROR(MOD(TIMEVALUE(C30),1),""))))</f>
        <v/>
      </c>
      <c r="L30" s="41" t="str">
        <f aca="false">IF(OR(A30="",D30=""),"",IF(ISNUMBER(D30),MOD(D30,1),IFERROR(INDEX(القوائم!$B$1:$B$96,MATCH(TRIM(D30),القوائم!$A$1:$A$96,0)),IFERROR(MOD(TIMEVALUE(D30),1),""))))</f>
        <v/>
      </c>
    </row>
    <row r="31" customFormat="false" ht="15" hidden="false" customHeight="false" outlineLevel="0" collapsed="false">
      <c r="A31" s="38" t="n">
        <f aca="false">IF(AND(3&lt;=NW,WFIRST+18&gt;=MSTART,WFIRST+18&lt;=MEND),WFIRST+18,"")</f>
        <v>46309</v>
      </c>
      <c r="B31" s="39" t="str">
        <f aca="false">IF(A31="","",CHOOSE(WEEKDAY(A31,1),"الأحد","الاثنين","الثلاثاء","الأربعاء","الخميس","الجمعة","السبت"))</f>
        <v>الأربعاء</v>
      </c>
      <c r="C31" s="40"/>
      <c r="D31" s="40"/>
      <c r="E31" s="17" t="str">
        <f aca="false">IF(OR(K31="",L31=""),"",MOD(L31-K31,1))</f>
        <v/>
      </c>
      <c r="F31" s="18" t="str">
        <f aca="false">IF(E31="","",IF(ROUND_MODE="للأعلى",CEILING(ROUND((E31*24*AZZ_RATE),3),0.25),ROUND((E31*24*AZZ_RATE)*4,0)/4))</f>
        <v/>
      </c>
      <c r="G31" s="40"/>
      <c r="H31" s="22"/>
      <c r="I31" s="40"/>
      <c r="K31" s="41" t="str">
        <f aca="false">IF(OR(A31="",C31=""),"",IF(ISNUMBER(C31),MOD(C31,1),IFERROR(INDEX(القوائم!$B$1:$B$96,MATCH(TRIM(C31),القوائم!$A$1:$A$96,0)),IFERROR(MOD(TIMEVALUE(C31),1),""))))</f>
        <v/>
      </c>
      <c r="L31" s="41" t="str">
        <f aca="false">IF(OR(A31="",D31=""),"",IF(ISNUMBER(D31),MOD(D31,1),IFERROR(INDEX(القوائم!$B$1:$B$96,MATCH(TRIM(D31),القوائم!$A$1:$A$96,0)),IFERROR(MOD(TIMEVALUE(D31),1),""))))</f>
        <v/>
      </c>
    </row>
    <row r="32" customFormat="false" ht="15" hidden="false" customHeight="false" outlineLevel="0" collapsed="false">
      <c r="A32" s="38" t="n">
        <f aca="false">IF(AND(3&lt;=NW,WFIRST+19&gt;=MSTART,WFIRST+19&lt;=MEND),WFIRST+19,"")</f>
        <v>46310</v>
      </c>
      <c r="B32" s="39" t="str">
        <f aca="false">IF(A32="","",CHOOSE(WEEKDAY(A32,1),"الأحد","الاثنين","الثلاثاء","الأربعاء","الخميس","الجمعة","السبت"))</f>
        <v>الخميس</v>
      </c>
      <c r="C32" s="40"/>
      <c r="D32" s="40"/>
      <c r="E32" s="17" t="str">
        <f aca="false">IF(OR(K32="",L32=""),"",MOD(L32-K32,1))</f>
        <v/>
      </c>
      <c r="F32" s="18" t="str">
        <f aca="false">IF(E32="","",IF(ROUND_MODE="للأعلى",CEILING(ROUND((E32*24*AZZ_RATE),3),0.25),ROUND((E32*24*AZZ_RATE)*4,0)/4))</f>
        <v/>
      </c>
      <c r="G32" s="40"/>
      <c r="H32" s="22"/>
      <c r="I32" s="40"/>
      <c r="K32" s="41" t="str">
        <f aca="false">IF(OR(A32="",C32=""),"",IF(ISNUMBER(C32),MOD(C32,1),IFERROR(INDEX(القوائم!$B$1:$B$96,MATCH(TRIM(C32),القوائم!$A$1:$A$96,0)),IFERROR(MOD(TIMEVALUE(C32),1),""))))</f>
        <v/>
      </c>
      <c r="L32" s="41" t="str">
        <f aca="false">IF(OR(A32="",D32=""),"",IF(ISNUMBER(D32),MOD(D32,1),IFERROR(INDEX(القوائم!$B$1:$B$96,MATCH(TRIM(D32),القوائم!$A$1:$A$96,0)),IFERROR(MOD(TIMEVALUE(D32),1),""))))</f>
        <v/>
      </c>
    </row>
    <row r="33" customFormat="false" ht="15" hidden="false" customHeight="false" outlineLevel="0" collapsed="false">
      <c r="A33" s="42" t="n">
        <f aca="false">IF(AND(3&lt;=NW,WFIRST+20&gt;=MSTART,WFIRST+20&lt;=MEND),WFIRST+20,"")</f>
        <v>46311</v>
      </c>
      <c r="B33" s="21" t="str">
        <f aca="false">IF(A33="","",CHOOSE(WEEKDAY(A33,1),"الأحد","الاثنين","الثلاثاء","الأربعاء","الخميس","الجمعة","السبت"))</f>
        <v>الجمعة</v>
      </c>
      <c r="C33" s="40"/>
      <c r="D33" s="40"/>
      <c r="E33" s="17" t="str">
        <f aca="false">IF(OR(K33="",L33=""),"",MOD(L33-K33,1))</f>
        <v/>
      </c>
      <c r="F33" s="18" t="str">
        <f aca="false">IF(E33="","",IF(ROUND_MODE="للأعلى",CEILING(ROUND((E33*24*AZZ_RATE),3),0.25),ROUND((E33*24*AZZ_RATE)*4,0)/4))</f>
        <v/>
      </c>
      <c r="G33" s="40"/>
      <c r="H33" s="22"/>
      <c r="I33" s="40"/>
      <c r="K33" s="41" t="str">
        <f aca="false">IF(OR(A33="",C33=""),"",IF(ISNUMBER(C33),MOD(C33,1),IFERROR(INDEX(القوائم!$B$1:$B$96,MATCH(TRIM(C33),القوائم!$A$1:$A$96,0)),IFERROR(MOD(TIMEVALUE(C33),1),""))))</f>
        <v/>
      </c>
      <c r="L33" s="41" t="str">
        <f aca="false">IF(OR(A33="",D33=""),"",IF(ISNUMBER(D33),MOD(D33,1),IFERROR(INDEX(القوائم!$B$1:$B$96,MATCH(TRIM(D33),القوائم!$A$1:$A$96,0)),IFERROR(MOD(TIMEVALUE(D33),1),""))))</f>
        <v/>
      </c>
    </row>
    <row r="34" customFormat="false" ht="15" hidden="false" customHeight="false" outlineLevel="0" collapsed="false">
      <c r="A34" s="24" t="str">
        <f aca="false">IF(3&lt;=NW,"مجموع أيام الأسبوع الثالث","")</f>
        <v>مجموع أيام الأسبوع الثالث</v>
      </c>
      <c r="B34" s="24"/>
      <c r="C34" s="24"/>
      <c r="D34" s="24"/>
      <c r="E34" s="25" t="n">
        <f aca="false">IF(3&lt;=NW,SUM(E27:E33),"")</f>
        <v>0</v>
      </c>
      <c r="F34" s="26" t="n">
        <f aca="false">IF(3&lt;=NW,SUM(F27:F33),"")</f>
        <v>0</v>
      </c>
      <c r="G34" s="24"/>
      <c r="H34" s="26" t="n">
        <f aca="false">IF(3&lt;=NW,SUM(H27:H33),"")</f>
        <v>0</v>
      </c>
      <c r="I34" s="24"/>
    </row>
    <row r="35" customFormat="false" ht="16.15" hidden="false" customHeight="false" outlineLevel="0" collapsed="false">
      <c r="A35" s="43" t="str">
        <f aca="false">IF(3&lt;=NW,"ساعات تحميل الجبسمبورد بهالأسبوع (رقم: 2 أو 1.5) ←","")</f>
        <v>ساعات تحميل الجبسمبورد بهالأسبوع (رقم: 2 أو 1.5) ←</v>
      </c>
      <c r="B35" s="43"/>
      <c r="C35" s="43"/>
      <c r="D35" s="43"/>
      <c r="E35" s="44"/>
      <c r="F35" s="45" t="n">
        <f aca="false">IF(3&lt;=NW,N(F34)+IF(ROUND_MODE="للأعلى",CEILING(ROUND((N(E35)*(GYP_RATE-AZZ_RATE)),3),0.25),ROUND((N(E35)*(GYP_RATE-AZZ_RATE))*4,0)/4),"")</f>
        <v>0</v>
      </c>
      <c r="G35" s="51" t="str">
        <f aca="false">IF(3&lt;=NW,"← مستحق الأسبوع كامل (دينار) مع فرق الجبسمبورد","")</f>
        <v>← مستحق الأسبوع كامل (دينار) مع فرق الجبسمبورد</v>
      </c>
      <c r="H35" s="51"/>
      <c r="I35" s="51"/>
    </row>
    <row r="36" customFormat="false" ht="27.75" hidden="false" customHeight="true" outlineLevel="0" collapsed="false">
      <c r="A36" s="50" t="str">
        <f aca="false">IF(4&lt;=NW,"الأسبوع الرابع","")</f>
        <v>الأسبوع الرابع</v>
      </c>
      <c r="B36" s="50"/>
      <c r="C36" s="50"/>
      <c r="D36" s="50"/>
      <c r="E36" s="50"/>
      <c r="F36" s="50"/>
      <c r="G36" s="50"/>
      <c r="H36" s="50"/>
      <c r="I36" s="50"/>
    </row>
    <row r="37" customFormat="false" ht="15" hidden="false" customHeight="false" outlineLevel="0" collapsed="false">
      <c r="A37" s="38" t="n">
        <f aca="false">IF(AND(4&lt;=NW,WFIRST+21&gt;=MSTART,WFIRST+21&lt;=MEND),WFIRST+21,"")</f>
        <v>46312</v>
      </c>
      <c r="B37" s="39" t="str">
        <f aca="false">IF(A37="","",CHOOSE(WEEKDAY(A37,1),"الأحد","الاثنين","الثلاثاء","الأربعاء","الخميس","الجمعة","السبت"))</f>
        <v>السبت</v>
      </c>
      <c r="C37" s="40"/>
      <c r="D37" s="40"/>
      <c r="E37" s="17" t="str">
        <f aca="false">IF(OR(K37="",L37=""),"",MOD(L37-K37,1))</f>
        <v/>
      </c>
      <c r="F37" s="18" t="str">
        <f aca="false">IF(E37="","",IF(ROUND_MODE="للأعلى",CEILING(ROUND((E37*24*AZZ_RATE),3),0.25),ROUND((E37*24*AZZ_RATE)*4,0)/4))</f>
        <v/>
      </c>
      <c r="G37" s="40"/>
      <c r="H37" s="22"/>
      <c r="I37" s="40"/>
      <c r="K37" s="41" t="str">
        <f aca="false">IF(OR(A37="",C37=""),"",IF(ISNUMBER(C37),MOD(C37,1),IFERROR(INDEX(القوائم!$B$1:$B$96,MATCH(TRIM(C37),القوائم!$A$1:$A$96,0)),IFERROR(MOD(TIMEVALUE(C37),1),""))))</f>
        <v/>
      </c>
      <c r="L37" s="41" t="str">
        <f aca="false">IF(OR(A37="",D37=""),"",IF(ISNUMBER(D37),MOD(D37,1),IFERROR(INDEX(القوائم!$B$1:$B$96,MATCH(TRIM(D37),القوائم!$A$1:$A$96,0)),IFERROR(MOD(TIMEVALUE(D37),1),""))))</f>
        <v/>
      </c>
    </row>
    <row r="38" customFormat="false" ht="15" hidden="false" customHeight="false" outlineLevel="0" collapsed="false">
      <c r="A38" s="38" t="n">
        <f aca="false">IF(AND(4&lt;=NW,WFIRST+22&gt;=MSTART,WFIRST+22&lt;=MEND),WFIRST+22,"")</f>
        <v>46313</v>
      </c>
      <c r="B38" s="39" t="str">
        <f aca="false">IF(A38="","",CHOOSE(WEEKDAY(A38,1),"الأحد","الاثنين","الثلاثاء","الأربعاء","الخميس","الجمعة","السبت"))</f>
        <v>الأحد</v>
      </c>
      <c r="C38" s="40"/>
      <c r="D38" s="40"/>
      <c r="E38" s="17" t="str">
        <f aca="false">IF(OR(K38="",L38=""),"",MOD(L38-K38,1))</f>
        <v/>
      </c>
      <c r="F38" s="18" t="str">
        <f aca="false">IF(E38="","",IF(ROUND_MODE="للأعلى",CEILING(ROUND((E38*24*AZZ_RATE),3),0.25),ROUND((E38*24*AZZ_RATE)*4,0)/4))</f>
        <v/>
      </c>
      <c r="G38" s="40"/>
      <c r="H38" s="22"/>
      <c r="I38" s="40"/>
      <c r="K38" s="41" t="str">
        <f aca="false">IF(OR(A38="",C38=""),"",IF(ISNUMBER(C38),MOD(C38,1),IFERROR(INDEX(القوائم!$B$1:$B$96,MATCH(TRIM(C38),القوائم!$A$1:$A$96,0)),IFERROR(MOD(TIMEVALUE(C38),1),""))))</f>
        <v/>
      </c>
      <c r="L38" s="41" t="str">
        <f aca="false">IF(OR(A38="",D38=""),"",IF(ISNUMBER(D38),MOD(D38,1),IFERROR(INDEX(القوائم!$B$1:$B$96,MATCH(TRIM(D38),القوائم!$A$1:$A$96,0)),IFERROR(MOD(TIMEVALUE(D38),1),""))))</f>
        <v/>
      </c>
    </row>
    <row r="39" customFormat="false" ht="15" hidden="false" customHeight="false" outlineLevel="0" collapsed="false">
      <c r="A39" s="38" t="n">
        <f aca="false">IF(AND(4&lt;=NW,WFIRST+23&gt;=MSTART,WFIRST+23&lt;=MEND),WFIRST+23,"")</f>
        <v>46314</v>
      </c>
      <c r="B39" s="39" t="str">
        <f aca="false">IF(A39="","",CHOOSE(WEEKDAY(A39,1),"الأحد","الاثنين","الثلاثاء","الأربعاء","الخميس","الجمعة","السبت"))</f>
        <v>الاثنين</v>
      </c>
      <c r="C39" s="40"/>
      <c r="D39" s="40"/>
      <c r="E39" s="17" t="str">
        <f aca="false">IF(OR(K39="",L39=""),"",MOD(L39-K39,1))</f>
        <v/>
      </c>
      <c r="F39" s="18" t="str">
        <f aca="false">IF(E39="","",IF(ROUND_MODE="للأعلى",CEILING(ROUND((E39*24*AZZ_RATE),3),0.25),ROUND((E39*24*AZZ_RATE)*4,0)/4))</f>
        <v/>
      </c>
      <c r="G39" s="40"/>
      <c r="H39" s="22"/>
      <c r="I39" s="40"/>
      <c r="K39" s="41" t="str">
        <f aca="false">IF(OR(A39="",C39=""),"",IF(ISNUMBER(C39),MOD(C39,1),IFERROR(INDEX(القوائم!$B$1:$B$96,MATCH(TRIM(C39),القوائم!$A$1:$A$96,0)),IFERROR(MOD(TIMEVALUE(C39),1),""))))</f>
        <v/>
      </c>
      <c r="L39" s="41" t="str">
        <f aca="false">IF(OR(A39="",D39=""),"",IF(ISNUMBER(D39),MOD(D39,1),IFERROR(INDEX(القوائم!$B$1:$B$96,MATCH(TRIM(D39),القوائم!$A$1:$A$96,0)),IFERROR(MOD(TIMEVALUE(D39),1),""))))</f>
        <v/>
      </c>
    </row>
    <row r="40" customFormat="false" ht="15" hidden="false" customHeight="false" outlineLevel="0" collapsed="false">
      <c r="A40" s="38" t="n">
        <f aca="false">IF(AND(4&lt;=NW,WFIRST+24&gt;=MSTART,WFIRST+24&lt;=MEND),WFIRST+24,"")</f>
        <v>46315</v>
      </c>
      <c r="B40" s="39" t="str">
        <f aca="false">IF(A40="","",CHOOSE(WEEKDAY(A40,1),"الأحد","الاثنين","الثلاثاء","الأربعاء","الخميس","الجمعة","السبت"))</f>
        <v>الثلاثاء</v>
      </c>
      <c r="C40" s="40"/>
      <c r="D40" s="40"/>
      <c r="E40" s="17" t="str">
        <f aca="false">IF(OR(K40="",L40=""),"",MOD(L40-K40,1))</f>
        <v/>
      </c>
      <c r="F40" s="18" t="str">
        <f aca="false">IF(E40="","",IF(ROUND_MODE="للأعلى",CEILING(ROUND((E40*24*AZZ_RATE),3),0.25),ROUND((E40*24*AZZ_RATE)*4,0)/4))</f>
        <v/>
      </c>
      <c r="G40" s="40"/>
      <c r="H40" s="22"/>
      <c r="I40" s="40"/>
      <c r="K40" s="41" t="str">
        <f aca="false">IF(OR(A40="",C40=""),"",IF(ISNUMBER(C40),MOD(C40,1),IFERROR(INDEX(القوائم!$B$1:$B$96,MATCH(TRIM(C40),القوائم!$A$1:$A$96,0)),IFERROR(MOD(TIMEVALUE(C40),1),""))))</f>
        <v/>
      </c>
      <c r="L40" s="41" t="str">
        <f aca="false">IF(OR(A40="",D40=""),"",IF(ISNUMBER(D40),MOD(D40,1),IFERROR(INDEX(القوائم!$B$1:$B$96,MATCH(TRIM(D40),القوائم!$A$1:$A$96,0)),IFERROR(MOD(TIMEVALUE(D40),1),""))))</f>
        <v/>
      </c>
    </row>
    <row r="41" customFormat="false" ht="15" hidden="false" customHeight="false" outlineLevel="0" collapsed="false">
      <c r="A41" s="38" t="n">
        <f aca="false">IF(AND(4&lt;=NW,WFIRST+25&gt;=MSTART,WFIRST+25&lt;=MEND),WFIRST+25,"")</f>
        <v>46316</v>
      </c>
      <c r="B41" s="39" t="str">
        <f aca="false">IF(A41="","",CHOOSE(WEEKDAY(A41,1),"الأحد","الاثنين","الثلاثاء","الأربعاء","الخميس","الجمعة","السبت"))</f>
        <v>الأربعاء</v>
      </c>
      <c r="C41" s="40"/>
      <c r="D41" s="40"/>
      <c r="E41" s="17" t="str">
        <f aca="false">IF(OR(K41="",L41=""),"",MOD(L41-K41,1))</f>
        <v/>
      </c>
      <c r="F41" s="18" t="str">
        <f aca="false">IF(E41="","",IF(ROUND_MODE="للأعلى",CEILING(ROUND((E41*24*AZZ_RATE),3),0.25),ROUND((E41*24*AZZ_RATE)*4,0)/4))</f>
        <v/>
      </c>
      <c r="G41" s="40"/>
      <c r="H41" s="22"/>
      <c r="I41" s="40"/>
      <c r="K41" s="41" t="str">
        <f aca="false">IF(OR(A41="",C41=""),"",IF(ISNUMBER(C41),MOD(C41,1),IFERROR(INDEX(القوائم!$B$1:$B$96,MATCH(TRIM(C41),القوائم!$A$1:$A$96,0)),IFERROR(MOD(TIMEVALUE(C41),1),""))))</f>
        <v/>
      </c>
      <c r="L41" s="41" t="str">
        <f aca="false">IF(OR(A41="",D41=""),"",IF(ISNUMBER(D41),MOD(D41,1),IFERROR(INDEX(القوائم!$B$1:$B$96,MATCH(TRIM(D41),القوائم!$A$1:$A$96,0)),IFERROR(MOD(TIMEVALUE(D41),1),""))))</f>
        <v/>
      </c>
    </row>
    <row r="42" customFormat="false" ht="15" hidden="false" customHeight="false" outlineLevel="0" collapsed="false">
      <c r="A42" s="38" t="n">
        <f aca="false">IF(AND(4&lt;=NW,WFIRST+26&gt;=MSTART,WFIRST+26&lt;=MEND),WFIRST+26,"")</f>
        <v>46317</v>
      </c>
      <c r="B42" s="39" t="str">
        <f aca="false">IF(A42="","",CHOOSE(WEEKDAY(A42,1),"الأحد","الاثنين","الثلاثاء","الأربعاء","الخميس","الجمعة","السبت"))</f>
        <v>الخميس</v>
      </c>
      <c r="C42" s="40"/>
      <c r="D42" s="40"/>
      <c r="E42" s="17" t="str">
        <f aca="false">IF(OR(K42="",L42=""),"",MOD(L42-K42,1))</f>
        <v/>
      </c>
      <c r="F42" s="18" t="str">
        <f aca="false">IF(E42="","",IF(ROUND_MODE="للأعلى",CEILING(ROUND((E42*24*AZZ_RATE),3),0.25),ROUND((E42*24*AZZ_RATE)*4,0)/4))</f>
        <v/>
      </c>
      <c r="G42" s="40"/>
      <c r="H42" s="22"/>
      <c r="I42" s="40"/>
      <c r="K42" s="41" t="str">
        <f aca="false">IF(OR(A42="",C42=""),"",IF(ISNUMBER(C42),MOD(C42,1),IFERROR(INDEX(القوائم!$B$1:$B$96,MATCH(TRIM(C42),القوائم!$A$1:$A$96,0)),IFERROR(MOD(TIMEVALUE(C42),1),""))))</f>
        <v/>
      </c>
      <c r="L42" s="41" t="str">
        <f aca="false">IF(OR(A42="",D42=""),"",IF(ISNUMBER(D42),MOD(D42,1),IFERROR(INDEX(القوائم!$B$1:$B$96,MATCH(TRIM(D42),القوائم!$A$1:$A$96,0)),IFERROR(MOD(TIMEVALUE(D42),1),""))))</f>
        <v/>
      </c>
    </row>
    <row r="43" customFormat="false" ht="15" hidden="false" customHeight="false" outlineLevel="0" collapsed="false">
      <c r="A43" s="42" t="n">
        <f aca="false">IF(AND(4&lt;=NW,WFIRST+27&gt;=MSTART,WFIRST+27&lt;=MEND),WFIRST+27,"")</f>
        <v>46318</v>
      </c>
      <c r="B43" s="21" t="str">
        <f aca="false">IF(A43="","",CHOOSE(WEEKDAY(A43,1),"الأحد","الاثنين","الثلاثاء","الأربعاء","الخميس","الجمعة","السبت"))</f>
        <v>الجمعة</v>
      </c>
      <c r="C43" s="40"/>
      <c r="D43" s="40"/>
      <c r="E43" s="17" t="str">
        <f aca="false">IF(OR(K43="",L43=""),"",MOD(L43-K43,1))</f>
        <v/>
      </c>
      <c r="F43" s="18" t="str">
        <f aca="false">IF(E43="","",IF(ROUND_MODE="للأعلى",CEILING(ROUND((E43*24*AZZ_RATE),3),0.25),ROUND((E43*24*AZZ_RATE)*4,0)/4))</f>
        <v/>
      </c>
      <c r="G43" s="40"/>
      <c r="H43" s="22"/>
      <c r="I43" s="40"/>
      <c r="K43" s="41" t="str">
        <f aca="false">IF(OR(A43="",C43=""),"",IF(ISNUMBER(C43),MOD(C43,1),IFERROR(INDEX(القوائم!$B$1:$B$96,MATCH(TRIM(C43),القوائم!$A$1:$A$96,0)),IFERROR(MOD(TIMEVALUE(C43),1),""))))</f>
        <v/>
      </c>
      <c r="L43" s="41" t="str">
        <f aca="false">IF(OR(A43="",D43=""),"",IF(ISNUMBER(D43),MOD(D43,1),IFERROR(INDEX(القوائم!$B$1:$B$96,MATCH(TRIM(D43),القوائم!$A$1:$A$96,0)),IFERROR(MOD(TIMEVALUE(D43),1),""))))</f>
        <v/>
      </c>
    </row>
    <row r="44" customFormat="false" ht="15" hidden="false" customHeight="false" outlineLevel="0" collapsed="false">
      <c r="A44" s="24" t="str">
        <f aca="false">IF(4&lt;=NW,"مجموع أيام الأسبوع الرابع","")</f>
        <v>مجموع أيام الأسبوع الرابع</v>
      </c>
      <c r="B44" s="24"/>
      <c r="C44" s="24"/>
      <c r="D44" s="24"/>
      <c r="E44" s="25" t="n">
        <f aca="false">IF(4&lt;=NW,SUM(E37:E43),"")</f>
        <v>0</v>
      </c>
      <c r="F44" s="26" t="n">
        <f aca="false">IF(4&lt;=NW,SUM(F37:F43),"")</f>
        <v>0</v>
      </c>
      <c r="G44" s="24"/>
      <c r="H44" s="26" t="n">
        <f aca="false">IF(4&lt;=NW,SUM(H37:H43),"")</f>
        <v>0</v>
      </c>
      <c r="I44" s="24"/>
    </row>
    <row r="45" customFormat="false" ht="16.15" hidden="false" customHeight="false" outlineLevel="0" collapsed="false">
      <c r="A45" s="43" t="str">
        <f aca="false">IF(4&lt;=NW,"ساعات تحميل الجبسمبورد بهالأسبوع (رقم: 2 أو 1.5) ←","")</f>
        <v>ساعات تحميل الجبسمبورد بهالأسبوع (رقم: 2 أو 1.5) ←</v>
      </c>
      <c r="B45" s="43"/>
      <c r="C45" s="43"/>
      <c r="D45" s="43"/>
      <c r="E45" s="44"/>
      <c r="F45" s="45" t="n">
        <f aca="false">IF(4&lt;=NW,N(F44)+IF(ROUND_MODE="للأعلى",CEILING(ROUND((N(E45)*(GYP_RATE-AZZ_RATE)),3),0.25),ROUND((N(E45)*(GYP_RATE-AZZ_RATE))*4,0)/4),"")</f>
        <v>0</v>
      </c>
      <c r="G45" s="51" t="str">
        <f aca="false">IF(4&lt;=NW,"← مستحق الأسبوع كامل (دينار) مع فرق الجبسمبورد","")</f>
        <v>← مستحق الأسبوع كامل (دينار) مع فرق الجبسمبورد</v>
      </c>
      <c r="H45" s="51"/>
      <c r="I45" s="51"/>
    </row>
    <row r="46" customFormat="false" ht="27.75" hidden="false" customHeight="true" outlineLevel="0" collapsed="false">
      <c r="A46" s="50" t="str">
        <f aca="false">IF(5&lt;=NW,"الأسبوع الخامس","")</f>
        <v>الأسبوع الخامس</v>
      </c>
      <c r="B46" s="50"/>
      <c r="C46" s="50"/>
      <c r="D46" s="50"/>
      <c r="E46" s="50"/>
      <c r="F46" s="50"/>
      <c r="G46" s="50"/>
      <c r="H46" s="50"/>
      <c r="I46" s="50"/>
    </row>
    <row r="47" customFormat="false" ht="15" hidden="false" customHeight="false" outlineLevel="0" collapsed="false">
      <c r="A47" s="38" t="n">
        <f aca="false">IF(AND(5&lt;=NW,WFIRST+28&gt;=MSTART,WFIRST+28&lt;=MEND),WFIRST+28,"")</f>
        <v>46319</v>
      </c>
      <c r="B47" s="39" t="str">
        <f aca="false">IF(A47="","",CHOOSE(WEEKDAY(A47,1),"الأحد","الاثنين","الثلاثاء","الأربعاء","الخميس","الجمعة","السبت"))</f>
        <v>السبت</v>
      </c>
      <c r="C47" s="40"/>
      <c r="D47" s="40"/>
      <c r="E47" s="17" t="str">
        <f aca="false">IF(OR(K47="",L47=""),"",MOD(L47-K47,1))</f>
        <v/>
      </c>
      <c r="F47" s="18" t="str">
        <f aca="false">IF(E47="","",IF(ROUND_MODE="للأعلى",CEILING(ROUND((E47*24*AZZ_RATE),3),0.25),ROUND((E47*24*AZZ_RATE)*4,0)/4))</f>
        <v/>
      </c>
      <c r="G47" s="40"/>
      <c r="H47" s="22"/>
      <c r="I47" s="40"/>
      <c r="K47" s="41" t="str">
        <f aca="false">IF(OR(A47="",C47=""),"",IF(ISNUMBER(C47),MOD(C47,1),IFERROR(INDEX(القوائم!$B$1:$B$96,MATCH(TRIM(C47),القوائم!$A$1:$A$96,0)),IFERROR(MOD(TIMEVALUE(C47),1),""))))</f>
        <v/>
      </c>
      <c r="L47" s="41" t="str">
        <f aca="false">IF(OR(A47="",D47=""),"",IF(ISNUMBER(D47),MOD(D47,1),IFERROR(INDEX(القوائم!$B$1:$B$96,MATCH(TRIM(D47),القوائم!$A$1:$A$96,0)),IFERROR(MOD(TIMEVALUE(D47),1),""))))</f>
        <v/>
      </c>
    </row>
    <row r="48" customFormat="false" ht="15" hidden="false" customHeight="false" outlineLevel="0" collapsed="false">
      <c r="A48" s="38" t="n">
        <f aca="false">IF(AND(5&lt;=NW,WFIRST+29&gt;=MSTART,WFIRST+29&lt;=MEND),WFIRST+29,"")</f>
        <v>46320</v>
      </c>
      <c r="B48" s="39" t="str">
        <f aca="false">IF(A48="","",CHOOSE(WEEKDAY(A48,1),"الأحد","الاثنين","الثلاثاء","الأربعاء","الخميس","الجمعة","السبت"))</f>
        <v>الأحد</v>
      </c>
      <c r="C48" s="40"/>
      <c r="D48" s="40"/>
      <c r="E48" s="17" t="str">
        <f aca="false">IF(OR(K48="",L48=""),"",MOD(L48-K48,1))</f>
        <v/>
      </c>
      <c r="F48" s="18" t="str">
        <f aca="false">IF(E48="","",IF(ROUND_MODE="للأعلى",CEILING(ROUND((E48*24*AZZ_RATE),3),0.25),ROUND((E48*24*AZZ_RATE)*4,0)/4))</f>
        <v/>
      </c>
      <c r="G48" s="40"/>
      <c r="H48" s="22"/>
      <c r="I48" s="40"/>
      <c r="K48" s="41" t="str">
        <f aca="false">IF(OR(A48="",C48=""),"",IF(ISNUMBER(C48),MOD(C48,1),IFERROR(INDEX(القوائم!$B$1:$B$96,MATCH(TRIM(C48),القوائم!$A$1:$A$96,0)),IFERROR(MOD(TIMEVALUE(C48),1),""))))</f>
        <v/>
      </c>
      <c r="L48" s="41" t="str">
        <f aca="false">IF(OR(A48="",D48=""),"",IF(ISNUMBER(D48),MOD(D48,1),IFERROR(INDEX(القوائم!$B$1:$B$96,MATCH(TRIM(D48),القوائم!$A$1:$A$96,0)),IFERROR(MOD(TIMEVALUE(D48),1),""))))</f>
        <v/>
      </c>
    </row>
    <row r="49" customFormat="false" ht="15" hidden="false" customHeight="false" outlineLevel="0" collapsed="false">
      <c r="A49" s="38" t="n">
        <f aca="false">IF(AND(5&lt;=NW,WFIRST+30&gt;=MSTART,WFIRST+30&lt;=MEND),WFIRST+30,"")</f>
        <v>46321</v>
      </c>
      <c r="B49" s="39" t="str">
        <f aca="false">IF(A49="","",CHOOSE(WEEKDAY(A49,1),"الأحد","الاثنين","الثلاثاء","الأربعاء","الخميس","الجمعة","السبت"))</f>
        <v>الاثنين</v>
      </c>
      <c r="C49" s="40"/>
      <c r="D49" s="40"/>
      <c r="E49" s="17" t="str">
        <f aca="false">IF(OR(K49="",L49=""),"",MOD(L49-K49,1))</f>
        <v/>
      </c>
      <c r="F49" s="18" t="str">
        <f aca="false">IF(E49="","",IF(ROUND_MODE="للأعلى",CEILING(ROUND((E49*24*AZZ_RATE),3),0.25),ROUND((E49*24*AZZ_RATE)*4,0)/4))</f>
        <v/>
      </c>
      <c r="G49" s="40"/>
      <c r="H49" s="22"/>
      <c r="I49" s="40"/>
      <c r="K49" s="41" t="str">
        <f aca="false">IF(OR(A49="",C49=""),"",IF(ISNUMBER(C49),MOD(C49,1),IFERROR(INDEX(القوائم!$B$1:$B$96,MATCH(TRIM(C49),القوائم!$A$1:$A$96,0)),IFERROR(MOD(TIMEVALUE(C49),1),""))))</f>
        <v/>
      </c>
      <c r="L49" s="41" t="str">
        <f aca="false">IF(OR(A49="",D49=""),"",IF(ISNUMBER(D49),MOD(D49,1),IFERROR(INDEX(القوائم!$B$1:$B$96,MATCH(TRIM(D49),القوائم!$A$1:$A$96,0)),IFERROR(MOD(TIMEVALUE(D49),1),""))))</f>
        <v/>
      </c>
    </row>
    <row r="50" customFormat="false" ht="15" hidden="false" customHeight="false" outlineLevel="0" collapsed="false">
      <c r="A50" s="38" t="n">
        <f aca="false">IF(AND(5&lt;=NW,WFIRST+31&gt;=MSTART,WFIRST+31&lt;=MEND),WFIRST+31,"")</f>
        <v>46322</v>
      </c>
      <c r="B50" s="39" t="str">
        <f aca="false">IF(A50="","",CHOOSE(WEEKDAY(A50,1),"الأحد","الاثنين","الثلاثاء","الأربعاء","الخميس","الجمعة","السبت"))</f>
        <v>الثلاثاء</v>
      </c>
      <c r="C50" s="40"/>
      <c r="D50" s="40"/>
      <c r="E50" s="17" t="str">
        <f aca="false">IF(OR(K50="",L50=""),"",MOD(L50-K50,1))</f>
        <v/>
      </c>
      <c r="F50" s="18" t="str">
        <f aca="false">IF(E50="","",IF(ROUND_MODE="للأعلى",CEILING(ROUND((E50*24*AZZ_RATE),3),0.25),ROUND((E50*24*AZZ_RATE)*4,0)/4))</f>
        <v/>
      </c>
      <c r="G50" s="40"/>
      <c r="H50" s="22"/>
      <c r="I50" s="40"/>
      <c r="K50" s="41" t="str">
        <f aca="false">IF(OR(A50="",C50=""),"",IF(ISNUMBER(C50),MOD(C50,1),IFERROR(INDEX(القوائم!$B$1:$B$96,MATCH(TRIM(C50),القوائم!$A$1:$A$96,0)),IFERROR(MOD(TIMEVALUE(C50),1),""))))</f>
        <v/>
      </c>
      <c r="L50" s="41" t="str">
        <f aca="false">IF(OR(A50="",D50=""),"",IF(ISNUMBER(D50),MOD(D50,1),IFERROR(INDEX(القوائم!$B$1:$B$96,MATCH(TRIM(D50),القوائم!$A$1:$A$96,0)),IFERROR(MOD(TIMEVALUE(D50),1),""))))</f>
        <v/>
      </c>
    </row>
    <row r="51" customFormat="false" ht="15" hidden="false" customHeight="false" outlineLevel="0" collapsed="false">
      <c r="A51" s="38" t="n">
        <f aca="false">IF(AND(5&lt;=NW,WFIRST+32&gt;=MSTART,WFIRST+32&lt;=MEND),WFIRST+32,"")</f>
        <v>46323</v>
      </c>
      <c r="B51" s="39" t="str">
        <f aca="false">IF(A51="","",CHOOSE(WEEKDAY(A51,1),"الأحد","الاثنين","الثلاثاء","الأربعاء","الخميس","الجمعة","السبت"))</f>
        <v>الأربعاء</v>
      </c>
      <c r="C51" s="40"/>
      <c r="D51" s="40"/>
      <c r="E51" s="17" t="str">
        <f aca="false">IF(OR(K51="",L51=""),"",MOD(L51-K51,1))</f>
        <v/>
      </c>
      <c r="F51" s="18" t="str">
        <f aca="false">IF(E51="","",IF(ROUND_MODE="للأعلى",CEILING(ROUND((E51*24*AZZ_RATE),3),0.25),ROUND((E51*24*AZZ_RATE)*4,0)/4))</f>
        <v/>
      </c>
      <c r="G51" s="40"/>
      <c r="H51" s="22"/>
      <c r="I51" s="40"/>
      <c r="K51" s="41" t="str">
        <f aca="false">IF(OR(A51="",C51=""),"",IF(ISNUMBER(C51),MOD(C51,1),IFERROR(INDEX(القوائم!$B$1:$B$96,MATCH(TRIM(C51),القوائم!$A$1:$A$96,0)),IFERROR(MOD(TIMEVALUE(C51),1),""))))</f>
        <v/>
      </c>
      <c r="L51" s="41" t="str">
        <f aca="false">IF(OR(A51="",D51=""),"",IF(ISNUMBER(D51),MOD(D51,1),IFERROR(INDEX(القوائم!$B$1:$B$96,MATCH(TRIM(D51),القوائم!$A$1:$A$96,0)),IFERROR(MOD(TIMEVALUE(D51),1),""))))</f>
        <v/>
      </c>
    </row>
    <row r="52" customFormat="false" ht="15" hidden="false" customHeight="false" outlineLevel="0" collapsed="false">
      <c r="A52" s="38" t="n">
        <f aca="false">IF(AND(5&lt;=NW,WFIRST+33&gt;=MSTART,WFIRST+33&lt;=MEND),WFIRST+33,"")</f>
        <v>46324</v>
      </c>
      <c r="B52" s="39" t="str">
        <f aca="false">IF(A52="","",CHOOSE(WEEKDAY(A52,1),"الأحد","الاثنين","الثلاثاء","الأربعاء","الخميس","الجمعة","السبت"))</f>
        <v>الخميس</v>
      </c>
      <c r="C52" s="40"/>
      <c r="D52" s="40"/>
      <c r="E52" s="17" t="str">
        <f aca="false">IF(OR(K52="",L52=""),"",MOD(L52-K52,1))</f>
        <v/>
      </c>
      <c r="F52" s="18" t="str">
        <f aca="false">IF(E52="","",IF(ROUND_MODE="للأعلى",CEILING(ROUND((E52*24*AZZ_RATE),3),0.25),ROUND((E52*24*AZZ_RATE)*4,0)/4))</f>
        <v/>
      </c>
      <c r="G52" s="40"/>
      <c r="H52" s="22"/>
      <c r="I52" s="40"/>
      <c r="K52" s="41" t="str">
        <f aca="false">IF(OR(A52="",C52=""),"",IF(ISNUMBER(C52),MOD(C52,1),IFERROR(INDEX(القوائم!$B$1:$B$96,MATCH(TRIM(C52),القوائم!$A$1:$A$96,0)),IFERROR(MOD(TIMEVALUE(C52),1),""))))</f>
        <v/>
      </c>
      <c r="L52" s="41" t="str">
        <f aca="false">IF(OR(A52="",D52=""),"",IF(ISNUMBER(D52),MOD(D52,1),IFERROR(INDEX(القوائم!$B$1:$B$96,MATCH(TRIM(D52),القوائم!$A$1:$A$96,0)),IFERROR(MOD(TIMEVALUE(D52),1),""))))</f>
        <v/>
      </c>
    </row>
    <row r="53" customFormat="false" ht="15" hidden="false" customHeight="false" outlineLevel="0" collapsed="false">
      <c r="A53" s="42" t="n">
        <f aca="false">IF(AND(5&lt;=NW,WFIRST+34&gt;=MSTART,WFIRST+34&lt;=MEND),WFIRST+34,"")</f>
        <v>46325</v>
      </c>
      <c r="B53" s="21" t="str">
        <f aca="false">IF(A53="","",CHOOSE(WEEKDAY(A53,1),"الأحد","الاثنين","الثلاثاء","الأربعاء","الخميس","الجمعة","السبت"))</f>
        <v>الجمعة</v>
      </c>
      <c r="C53" s="40"/>
      <c r="D53" s="40"/>
      <c r="E53" s="17" t="str">
        <f aca="false">IF(OR(K53="",L53=""),"",MOD(L53-K53,1))</f>
        <v/>
      </c>
      <c r="F53" s="18" t="str">
        <f aca="false">IF(E53="","",IF(ROUND_MODE="للأعلى",CEILING(ROUND((E53*24*AZZ_RATE),3),0.25),ROUND((E53*24*AZZ_RATE)*4,0)/4))</f>
        <v/>
      </c>
      <c r="G53" s="40"/>
      <c r="H53" s="22"/>
      <c r="I53" s="40"/>
      <c r="K53" s="41" t="str">
        <f aca="false">IF(OR(A53="",C53=""),"",IF(ISNUMBER(C53),MOD(C53,1),IFERROR(INDEX(القوائم!$B$1:$B$96,MATCH(TRIM(C53),القوائم!$A$1:$A$96,0)),IFERROR(MOD(TIMEVALUE(C53),1),""))))</f>
        <v/>
      </c>
      <c r="L53" s="41" t="str">
        <f aca="false">IF(OR(A53="",D53=""),"",IF(ISNUMBER(D53),MOD(D53,1),IFERROR(INDEX(القوائم!$B$1:$B$96,MATCH(TRIM(D53),القوائم!$A$1:$A$96,0)),IFERROR(MOD(TIMEVALUE(D53),1),""))))</f>
        <v/>
      </c>
    </row>
    <row r="54" customFormat="false" ht="15" hidden="false" customHeight="false" outlineLevel="0" collapsed="false">
      <c r="A54" s="24" t="str">
        <f aca="false">IF(5&lt;=NW,"مجموع أيام الأسبوع الخامس","")</f>
        <v>مجموع أيام الأسبوع الخامس</v>
      </c>
      <c r="B54" s="24"/>
      <c r="C54" s="24"/>
      <c r="D54" s="24"/>
      <c r="E54" s="25" t="n">
        <f aca="false">IF(5&lt;=NW,SUM(E47:E53),"")</f>
        <v>0</v>
      </c>
      <c r="F54" s="26" t="n">
        <f aca="false">IF(5&lt;=NW,SUM(F47:F53),"")</f>
        <v>0</v>
      </c>
      <c r="G54" s="24"/>
      <c r="H54" s="26" t="n">
        <f aca="false">IF(5&lt;=NW,SUM(H47:H53),"")</f>
        <v>0</v>
      </c>
      <c r="I54" s="24"/>
    </row>
    <row r="55" customFormat="false" ht="16.15" hidden="false" customHeight="false" outlineLevel="0" collapsed="false">
      <c r="A55" s="43" t="str">
        <f aca="false">IF(5&lt;=NW,"ساعات تحميل الجبسمبورد بهالأسبوع (رقم: 2 أو 1.5) ←","")</f>
        <v>ساعات تحميل الجبسمبورد بهالأسبوع (رقم: 2 أو 1.5) ←</v>
      </c>
      <c r="B55" s="43"/>
      <c r="C55" s="43"/>
      <c r="D55" s="43"/>
      <c r="E55" s="44"/>
      <c r="F55" s="45" t="n">
        <f aca="false">IF(5&lt;=NW,N(F54)+IF(ROUND_MODE="للأعلى",CEILING(ROUND((N(E55)*(GYP_RATE-AZZ_RATE)),3),0.25),ROUND((N(E55)*(GYP_RATE-AZZ_RATE))*4,0)/4),"")</f>
        <v>0</v>
      </c>
      <c r="G55" s="51" t="str">
        <f aca="false">IF(5&lt;=NW,"← مستحق الأسبوع كامل (دينار) مع فرق الجبسمبورد","")</f>
        <v>← مستحق الأسبوع كامل (دينار) مع فرق الجبسمبورد</v>
      </c>
      <c r="H55" s="51"/>
      <c r="I55" s="51"/>
    </row>
    <row r="56" customFormat="false" ht="27.75" hidden="false" customHeight="true" outlineLevel="0" collapsed="false">
      <c r="A56" s="50" t="str">
        <f aca="false">IF(6&lt;=NW,"الأسبوع السادس","")</f>
        <v>الأسبوع السادس</v>
      </c>
      <c r="B56" s="50"/>
      <c r="C56" s="50"/>
      <c r="D56" s="50"/>
      <c r="E56" s="50"/>
      <c r="F56" s="50"/>
      <c r="G56" s="50"/>
      <c r="H56" s="50"/>
      <c r="I56" s="50"/>
    </row>
    <row r="57" customFormat="false" ht="15" hidden="false" customHeight="false" outlineLevel="0" collapsed="false">
      <c r="A57" s="38" t="n">
        <f aca="false">IF(AND(6&lt;=NW,WFIRST+35&gt;=MSTART,WFIRST+35&lt;=MEND),WFIRST+35,"")</f>
        <v>46326</v>
      </c>
      <c r="B57" s="39" t="str">
        <f aca="false">IF(A57="","",CHOOSE(WEEKDAY(A57,1),"الأحد","الاثنين","الثلاثاء","الأربعاء","الخميس","الجمعة","السبت"))</f>
        <v>السبت</v>
      </c>
      <c r="C57" s="40"/>
      <c r="D57" s="40"/>
      <c r="E57" s="17" t="str">
        <f aca="false">IF(OR(K57="",L57=""),"",MOD(L57-K57,1))</f>
        <v/>
      </c>
      <c r="F57" s="18" t="str">
        <f aca="false">IF(E57="","",IF(ROUND_MODE="للأعلى",CEILING(ROUND((E57*24*AZZ_RATE),3),0.25),ROUND((E57*24*AZZ_RATE)*4,0)/4))</f>
        <v/>
      </c>
      <c r="G57" s="40"/>
      <c r="H57" s="22"/>
      <c r="I57" s="40"/>
      <c r="K57" s="41" t="str">
        <f aca="false">IF(OR(A57="",C57=""),"",IF(ISNUMBER(C57),MOD(C57,1),IFERROR(INDEX(القوائم!$B$1:$B$96,MATCH(TRIM(C57),القوائم!$A$1:$A$96,0)),IFERROR(MOD(TIMEVALUE(C57),1),""))))</f>
        <v/>
      </c>
      <c r="L57" s="41" t="str">
        <f aca="false">IF(OR(A57="",D57=""),"",IF(ISNUMBER(D57),MOD(D57,1),IFERROR(INDEX(القوائم!$B$1:$B$96,MATCH(TRIM(D57),القوائم!$A$1:$A$96,0)),IFERROR(MOD(TIMEVALUE(D57),1),""))))</f>
        <v/>
      </c>
    </row>
    <row r="58" customFormat="false" ht="15" hidden="false" customHeight="false" outlineLevel="0" collapsed="false">
      <c r="A58" s="38" t="str">
        <f aca="false">IF(AND(6&lt;=NW,WFIRST+36&gt;=MSTART,WFIRST+36&lt;=MEND),WFIRST+36,"")</f>
        <v/>
      </c>
      <c r="B58" s="39" t="str">
        <f aca="false">IF(A58="","",CHOOSE(WEEKDAY(A58,1),"الأحد","الاثنين","الثلاثاء","الأربعاء","الخميس","الجمعة","السبت"))</f>
        <v/>
      </c>
      <c r="C58" s="40"/>
      <c r="D58" s="40"/>
      <c r="E58" s="17" t="str">
        <f aca="false">IF(OR(K58="",L58=""),"",MOD(L58-K58,1))</f>
        <v/>
      </c>
      <c r="F58" s="18" t="str">
        <f aca="false">IF(E58="","",IF(ROUND_MODE="للأعلى",CEILING(ROUND((E58*24*AZZ_RATE),3),0.25),ROUND((E58*24*AZZ_RATE)*4,0)/4))</f>
        <v/>
      </c>
      <c r="G58" s="40"/>
      <c r="H58" s="22"/>
      <c r="I58" s="40"/>
      <c r="K58" s="41" t="str">
        <f aca="false">IF(OR(A58="",C58=""),"",IF(ISNUMBER(C58),MOD(C58,1),IFERROR(INDEX(القوائم!$B$1:$B$96,MATCH(TRIM(C58),القوائم!$A$1:$A$96,0)),IFERROR(MOD(TIMEVALUE(C58),1),""))))</f>
        <v/>
      </c>
      <c r="L58" s="41" t="str">
        <f aca="false">IF(OR(A58="",D58=""),"",IF(ISNUMBER(D58),MOD(D58,1),IFERROR(INDEX(القوائم!$B$1:$B$96,MATCH(TRIM(D58),القوائم!$A$1:$A$96,0)),IFERROR(MOD(TIMEVALUE(D58),1),""))))</f>
        <v/>
      </c>
    </row>
    <row r="59" customFormat="false" ht="15" hidden="false" customHeight="false" outlineLevel="0" collapsed="false">
      <c r="A59" s="38" t="str">
        <f aca="false">IF(AND(6&lt;=NW,WFIRST+37&gt;=MSTART,WFIRST+37&lt;=MEND),WFIRST+37,"")</f>
        <v/>
      </c>
      <c r="B59" s="39" t="str">
        <f aca="false">IF(A59="","",CHOOSE(WEEKDAY(A59,1),"الأحد","الاثنين","الثلاثاء","الأربعاء","الخميس","الجمعة","السبت"))</f>
        <v/>
      </c>
      <c r="C59" s="40"/>
      <c r="D59" s="40"/>
      <c r="E59" s="17" t="str">
        <f aca="false">IF(OR(K59="",L59=""),"",MOD(L59-K59,1))</f>
        <v/>
      </c>
      <c r="F59" s="18" t="str">
        <f aca="false">IF(E59="","",IF(ROUND_MODE="للأعلى",CEILING(ROUND((E59*24*AZZ_RATE),3),0.25),ROUND((E59*24*AZZ_RATE)*4,0)/4))</f>
        <v/>
      </c>
      <c r="G59" s="40"/>
      <c r="H59" s="22"/>
      <c r="I59" s="40"/>
      <c r="K59" s="41" t="str">
        <f aca="false">IF(OR(A59="",C59=""),"",IF(ISNUMBER(C59),MOD(C59,1),IFERROR(INDEX(القوائم!$B$1:$B$96,MATCH(TRIM(C59),القوائم!$A$1:$A$96,0)),IFERROR(MOD(TIMEVALUE(C59),1),""))))</f>
        <v/>
      </c>
      <c r="L59" s="41" t="str">
        <f aca="false">IF(OR(A59="",D59=""),"",IF(ISNUMBER(D59),MOD(D59,1),IFERROR(INDEX(القوائم!$B$1:$B$96,MATCH(TRIM(D59),القوائم!$A$1:$A$96,0)),IFERROR(MOD(TIMEVALUE(D59),1),""))))</f>
        <v/>
      </c>
    </row>
    <row r="60" customFormat="false" ht="15" hidden="false" customHeight="false" outlineLevel="0" collapsed="false">
      <c r="A60" s="38" t="str">
        <f aca="false">IF(AND(6&lt;=NW,WFIRST+38&gt;=MSTART,WFIRST+38&lt;=MEND),WFIRST+38,"")</f>
        <v/>
      </c>
      <c r="B60" s="39" t="str">
        <f aca="false">IF(A60="","",CHOOSE(WEEKDAY(A60,1),"الأحد","الاثنين","الثلاثاء","الأربعاء","الخميس","الجمعة","السبت"))</f>
        <v/>
      </c>
      <c r="C60" s="40"/>
      <c r="D60" s="40"/>
      <c r="E60" s="17" t="str">
        <f aca="false">IF(OR(K60="",L60=""),"",MOD(L60-K60,1))</f>
        <v/>
      </c>
      <c r="F60" s="18" t="str">
        <f aca="false">IF(E60="","",IF(ROUND_MODE="للأعلى",CEILING(ROUND((E60*24*AZZ_RATE),3),0.25),ROUND((E60*24*AZZ_RATE)*4,0)/4))</f>
        <v/>
      </c>
      <c r="G60" s="40"/>
      <c r="H60" s="22"/>
      <c r="I60" s="40"/>
      <c r="K60" s="41" t="str">
        <f aca="false">IF(OR(A60="",C60=""),"",IF(ISNUMBER(C60),MOD(C60,1),IFERROR(INDEX(القوائم!$B$1:$B$96,MATCH(TRIM(C60),القوائم!$A$1:$A$96,0)),IFERROR(MOD(TIMEVALUE(C60),1),""))))</f>
        <v/>
      </c>
      <c r="L60" s="41" t="str">
        <f aca="false">IF(OR(A60="",D60=""),"",IF(ISNUMBER(D60),MOD(D60,1),IFERROR(INDEX(القوائم!$B$1:$B$96,MATCH(TRIM(D60),القوائم!$A$1:$A$96,0)),IFERROR(MOD(TIMEVALUE(D60),1),""))))</f>
        <v/>
      </c>
    </row>
    <row r="61" customFormat="false" ht="15" hidden="false" customHeight="false" outlineLevel="0" collapsed="false">
      <c r="A61" s="38" t="str">
        <f aca="false">IF(AND(6&lt;=NW,WFIRST+39&gt;=MSTART,WFIRST+39&lt;=MEND),WFIRST+39,"")</f>
        <v/>
      </c>
      <c r="B61" s="39" t="str">
        <f aca="false">IF(A61="","",CHOOSE(WEEKDAY(A61,1),"الأحد","الاثنين","الثلاثاء","الأربعاء","الخميس","الجمعة","السبت"))</f>
        <v/>
      </c>
      <c r="C61" s="40"/>
      <c r="D61" s="40"/>
      <c r="E61" s="17" t="str">
        <f aca="false">IF(OR(K61="",L61=""),"",MOD(L61-K61,1))</f>
        <v/>
      </c>
      <c r="F61" s="18" t="str">
        <f aca="false">IF(E61="","",IF(ROUND_MODE="للأعلى",CEILING(ROUND((E61*24*AZZ_RATE),3),0.25),ROUND((E61*24*AZZ_RATE)*4,0)/4))</f>
        <v/>
      </c>
      <c r="G61" s="40"/>
      <c r="H61" s="22"/>
      <c r="I61" s="40"/>
      <c r="K61" s="41" t="str">
        <f aca="false">IF(OR(A61="",C61=""),"",IF(ISNUMBER(C61),MOD(C61,1),IFERROR(INDEX(القوائم!$B$1:$B$96,MATCH(TRIM(C61),القوائم!$A$1:$A$96,0)),IFERROR(MOD(TIMEVALUE(C61),1),""))))</f>
        <v/>
      </c>
      <c r="L61" s="41" t="str">
        <f aca="false">IF(OR(A61="",D61=""),"",IF(ISNUMBER(D61),MOD(D61,1),IFERROR(INDEX(القوائم!$B$1:$B$96,MATCH(TRIM(D61),القوائم!$A$1:$A$96,0)),IFERROR(MOD(TIMEVALUE(D61),1),""))))</f>
        <v/>
      </c>
    </row>
    <row r="62" customFormat="false" ht="15" hidden="false" customHeight="false" outlineLevel="0" collapsed="false">
      <c r="A62" s="38" t="str">
        <f aca="false">IF(AND(6&lt;=NW,WFIRST+40&gt;=MSTART,WFIRST+40&lt;=MEND),WFIRST+40,"")</f>
        <v/>
      </c>
      <c r="B62" s="39" t="str">
        <f aca="false">IF(A62="","",CHOOSE(WEEKDAY(A62,1),"الأحد","الاثنين","الثلاثاء","الأربعاء","الخميس","الجمعة","السبت"))</f>
        <v/>
      </c>
      <c r="C62" s="40"/>
      <c r="D62" s="40"/>
      <c r="E62" s="17" t="str">
        <f aca="false">IF(OR(K62="",L62=""),"",MOD(L62-K62,1))</f>
        <v/>
      </c>
      <c r="F62" s="18" t="str">
        <f aca="false">IF(E62="","",IF(ROUND_MODE="للأعلى",CEILING(ROUND((E62*24*AZZ_RATE),3),0.25),ROUND((E62*24*AZZ_RATE)*4,0)/4))</f>
        <v/>
      </c>
      <c r="G62" s="40"/>
      <c r="H62" s="22"/>
      <c r="I62" s="40"/>
      <c r="K62" s="41" t="str">
        <f aca="false">IF(OR(A62="",C62=""),"",IF(ISNUMBER(C62),MOD(C62,1),IFERROR(INDEX(القوائم!$B$1:$B$96,MATCH(TRIM(C62),القوائم!$A$1:$A$96,0)),IFERROR(MOD(TIMEVALUE(C62),1),""))))</f>
        <v/>
      </c>
      <c r="L62" s="41" t="str">
        <f aca="false">IF(OR(A62="",D62=""),"",IF(ISNUMBER(D62),MOD(D62,1),IFERROR(INDEX(القوائم!$B$1:$B$96,MATCH(TRIM(D62),القوائم!$A$1:$A$96,0)),IFERROR(MOD(TIMEVALUE(D62),1),""))))</f>
        <v/>
      </c>
    </row>
    <row r="63" customFormat="false" ht="15" hidden="false" customHeight="false" outlineLevel="0" collapsed="false">
      <c r="A63" s="42" t="str">
        <f aca="false">IF(AND(6&lt;=NW,WFIRST+41&gt;=MSTART,WFIRST+41&lt;=MEND),WFIRST+41,"")</f>
        <v/>
      </c>
      <c r="B63" s="21" t="str">
        <f aca="false">IF(A63="","",CHOOSE(WEEKDAY(A63,1),"الأحد","الاثنين","الثلاثاء","الأربعاء","الخميس","الجمعة","السبت"))</f>
        <v/>
      </c>
      <c r="C63" s="40"/>
      <c r="D63" s="40"/>
      <c r="E63" s="17" t="str">
        <f aca="false">IF(OR(K63="",L63=""),"",MOD(L63-K63,1))</f>
        <v/>
      </c>
      <c r="F63" s="18" t="str">
        <f aca="false">IF(E63="","",IF(ROUND_MODE="للأعلى",CEILING(ROUND((E63*24*AZZ_RATE),3),0.25),ROUND((E63*24*AZZ_RATE)*4,0)/4))</f>
        <v/>
      </c>
      <c r="G63" s="40"/>
      <c r="H63" s="22"/>
      <c r="I63" s="40"/>
      <c r="K63" s="41" t="str">
        <f aca="false">IF(OR(A63="",C63=""),"",IF(ISNUMBER(C63),MOD(C63,1),IFERROR(INDEX(القوائم!$B$1:$B$96,MATCH(TRIM(C63),القوائم!$A$1:$A$96,0)),IFERROR(MOD(TIMEVALUE(C63),1),""))))</f>
        <v/>
      </c>
      <c r="L63" s="41" t="str">
        <f aca="false">IF(OR(A63="",D63=""),"",IF(ISNUMBER(D63),MOD(D63,1),IFERROR(INDEX(القوائم!$B$1:$B$96,MATCH(TRIM(D63),القوائم!$A$1:$A$96,0)),IFERROR(MOD(TIMEVALUE(D63),1),""))))</f>
        <v/>
      </c>
    </row>
    <row r="64" customFormat="false" ht="15" hidden="false" customHeight="false" outlineLevel="0" collapsed="false">
      <c r="A64" s="24" t="str">
        <f aca="false">IF(6&lt;=NW,"مجموع أيام الأسبوع السادس","")</f>
        <v>مجموع أيام الأسبوع السادس</v>
      </c>
      <c r="B64" s="24"/>
      <c r="C64" s="24"/>
      <c r="D64" s="24"/>
      <c r="E64" s="25" t="n">
        <f aca="false">IF(6&lt;=NW,SUM(E57:E63),"")</f>
        <v>0</v>
      </c>
      <c r="F64" s="26" t="n">
        <f aca="false">IF(6&lt;=NW,SUM(F57:F63),"")</f>
        <v>0</v>
      </c>
      <c r="G64" s="24"/>
      <c r="H64" s="26" t="n">
        <f aca="false">IF(6&lt;=NW,SUM(H57:H63),"")</f>
        <v>0</v>
      </c>
      <c r="I64" s="24"/>
    </row>
    <row r="65" customFormat="false" ht="16.15" hidden="false" customHeight="false" outlineLevel="0" collapsed="false">
      <c r="A65" s="43" t="str">
        <f aca="false">IF(6&lt;=NW,"ساعات تحميل الجبسمبورد بهالأسبوع (رقم: 2 أو 1.5) ←","")</f>
        <v>ساعات تحميل الجبسمبورد بهالأسبوع (رقم: 2 أو 1.5) ←</v>
      </c>
      <c r="B65" s="43"/>
      <c r="C65" s="43"/>
      <c r="D65" s="43"/>
      <c r="E65" s="44"/>
      <c r="F65" s="45" t="n">
        <f aca="false">IF(6&lt;=NW,N(F64)+IF(ROUND_MODE="للأعلى",CEILING(ROUND((N(E65)*(GYP_RATE-AZZ_RATE)),3),0.25),ROUND((N(E65)*(GYP_RATE-AZZ_RATE))*4,0)/4),"")</f>
        <v>0</v>
      </c>
      <c r="G65" s="51" t="str">
        <f aca="false">IF(6&lt;=NW,"← مستحق الأسبوع كامل (دينار) مع فرق الجبسمبورد","")</f>
        <v>← مستحق الأسبوع كامل (دينار) مع فرق الجبسمبورد</v>
      </c>
      <c r="H65" s="51"/>
      <c r="I65" s="51"/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G15:I15"/>
    <mergeCell ref="A16:I16"/>
    <mergeCell ref="A24:D24"/>
    <mergeCell ref="A25:D25"/>
    <mergeCell ref="G25:I25"/>
    <mergeCell ref="A26:I26"/>
    <mergeCell ref="A34:D34"/>
    <mergeCell ref="A35:D35"/>
    <mergeCell ref="G35:I35"/>
    <mergeCell ref="A36:I36"/>
    <mergeCell ref="A44:D44"/>
    <mergeCell ref="A45:D45"/>
    <mergeCell ref="G45:I45"/>
    <mergeCell ref="A46:I46"/>
    <mergeCell ref="A54:D54"/>
    <mergeCell ref="A55:D55"/>
    <mergeCell ref="G55:I55"/>
    <mergeCell ref="A56:I56"/>
    <mergeCell ref="A64:D64"/>
    <mergeCell ref="A65:D65"/>
    <mergeCell ref="G65:I65"/>
  </mergeCells>
  <conditionalFormatting sqref="H6:H65">
    <cfRule type="expression" priority="2" aboveAverage="0" equalAverage="0" bottom="0" percent="0" rank="0" text="" dxfId="1">
      <formula>AND($G6="نعم",ISNUMBER($F6),N($H6)&lt;&gt;$F6)</formula>
    </cfRule>
  </conditionalFormatting>
  <conditionalFormatting sqref="C6:D65">
    <cfRule type="expression" priority="3" aboveAverage="0" equalAverage="0" bottom="0" percent="0" rank="0" text="" dxfId="2">
      <formula>AND($A6="",$B6="")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2" t="s">
        <v>43</v>
      </c>
      <c r="B1" s="52"/>
      <c r="C1" s="52"/>
      <c r="D1" s="52"/>
      <c r="E1" s="52"/>
      <c r="F1" s="52"/>
    </row>
    <row r="2" customFormat="false" ht="21.75" hidden="false" customHeight="true" outlineLevel="0" collapsed="false">
      <c r="A2" s="53" t="str">
        <f aca="false">"شهر "&amp;TEXT(التسوية!$C$3,"00")&amp;" / "&amp;التسوية!$E$3</f>
        <v>شهر 10 / 2026</v>
      </c>
      <c r="B2" s="53"/>
      <c r="C2" s="53"/>
      <c r="D2" s="53"/>
      <c r="E2" s="53"/>
      <c r="F2" s="53"/>
    </row>
    <row r="3" customFormat="false" ht="18" hidden="false" customHeight="true" outlineLevel="0" collapsed="false">
      <c r="A3" s="54" t="s">
        <v>44</v>
      </c>
      <c r="B3" s="54"/>
      <c r="C3" s="54"/>
      <c r="D3" s="54"/>
      <c r="E3" s="54"/>
      <c r="F3" s="54"/>
    </row>
    <row r="4" customFormat="false" ht="18" hidden="false" customHeight="true" outlineLevel="0" collapsed="false">
      <c r="A4" s="54" t="s">
        <v>45</v>
      </c>
      <c r="B4" s="54"/>
      <c r="C4" s="54"/>
      <c r="D4" s="54"/>
      <c r="E4" s="54"/>
      <c r="F4" s="54"/>
    </row>
    <row r="5" customFormat="false" ht="18" hidden="false" customHeight="true" outlineLevel="0" collapsed="false">
      <c r="A5" s="54" t="s">
        <v>46</v>
      </c>
      <c r="B5" s="54"/>
      <c r="C5" s="54"/>
      <c r="D5" s="54"/>
      <c r="E5" s="54"/>
      <c r="F5" s="54"/>
    </row>
    <row r="6" customFormat="false" ht="18" hidden="false" customHeight="true" outlineLevel="0" collapsed="false">
      <c r="A6" s="54" t="s">
        <v>47</v>
      </c>
      <c r="B6" s="54"/>
      <c r="C6" s="54"/>
      <c r="D6" s="54"/>
      <c r="E6" s="54"/>
      <c r="F6" s="54"/>
    </row>
    <row r="8" customFormat="false" ht="30" hidden="false" customHeight="true" outlineLevel="0" collapsed="false">
      <c r="A8" s="55" t="s">
        <v>31</v>
      </c>
      <c r="B8" s="55" t="s">
        <v>7</v>
      </c>
      <c r="C8" s="55" t="s">
        <v>48</v>
      </c>
      <c r="D8" s="55" t="s">
        <v>49</v>
      </c>
      <c r="E8" s="55" t="s">
        <v>50</v>
      </c>
      <c r="F8" s="55" t="s">
        <v>51</v>
      </c>
    </row>
    <row r="9" customFormat="false" ht="15" hidden="false" customHeight="false" outlineLevel="0" collapsed="false">
      <c r="A9" s="56"/>
      <c r="B9" s="40"/>
      <c r="C9" s="22"/>
      <c r="D9" s="22"/>
      <c r="E9" s="22"/>
      <c r="F9" s="57"/>
    </row>
    <row r="10" customFormat="false" ht="15" hidden="false" customHeight="false" outlineLevel="0" collapsed="false">
      <c r="A10" s="56"/>
      <c r="B10" s="40"/>
      <c r="C10" s="22"/>
      <c r="D10" s="22"/>
      <c r="E10" s="22"/>
      <c r="F10" s="57"/>
    </row>
    <row r="11" customFormat="false" ht="15" hidden="false" customHeight="false" outlineLevel="0" collapsed="false">
      <c r="A11" s="56"/>
      <c r="B11" s="40"/>
      <c r="C11" s="22"/>
      <c r="D11" s="22"/>
      <c r="E11" s="22"/>
      <c r="F11" s="57"/>
    </row>
    <row r="12" customFormat="false" ht="15" hidden="false" customHeight="false" outlineLevel="0" collapsed="false">
      <c r="A12" s="56"/>
      <c r="B12" s="40"/>
      <c r="C12" s="22"/>
      <c r="D12" s="22"/>
      <c r="E12" s="22"/>
      <c r="F12" s="57"/>
    </row>
    <row r="13" customFormat="false" ht="15" hidden="false" customHeight="false" outlineLevel="0" collapsed="false">
      <c r="A13" s="56"/>
      <c r="B13" s="40"/>
      <c r="C13" s="22"/>
      <c r="D13" s="22"/>
      <c r="E13" s="22"/>
      <c r="F13" s="57"/>
    </row>
    <row r="14" customFormat="false" ht="15" hidden="false" customHeight="false" outlineLevel="0" collapsed="false">
      <c r="A14" s="56"/>
      <c r="B14" s="40"/>
      <c r="C14" s="22"/>
      <c r="D14" s="22"/>
      <c r="E14" s="22"/>
      <c r="F14" s="57"/>
    </row>
    <row r="15" customFormat="false" ht="15" hidden="false" customHeight="false" outlineLevel="0" collapsed="false">
      <c r="A15" s="56"/>
      <c r="B15" s="40"/>
      <c r="C15" s="22"/>
      <c r="D15" s="22"/>
      <c r="E15" s="22"/>
      <c r="F15" s="57"/>
    </row>
    <row r="16" customFormat="false" ht="15" hidden="false" customHeight="false" outlineLevel="0" collapsed="false">
      <c r="A16" s="56"/>
      <c r="B16" s="40"/>
      <c r="C16" s="22"/>
      <c r="D16" s="22"/>
      <c r="E16" s="22"/>
      <c r="F16" s="57"/>
    </row>
    <row r="17" customFormat="false" ht="15" hidden="false" customHeight="false" outlineLevel="0" collapsed="false">
      <c r="A17" s="56"/>
      <c r="B17" s="40"/>
      <c r="C17" s="22"/>
      <c r="D17" s="22"/>
      <c r="E17" s="22"/>
      <c r="F17" s="57"/>
    </row>
    <row r="18" customFormat="false" ht="15" hidden="false" customHeight="false" outlineLevel="0" collapsed="false">
      <c r="A18" s="56"/>
      <c r="B18" s="40"/>
      <c r="C18" s="22"/>
      <c r="D18" s="22"/>
      <c r="E18" s="22"/>
      <c r="F18" s="57"/>
    </row>
    <row r="19" customFormat="false" ht="15" hidden="false" customHeight="false" outlineLevel="0" collapsed="false">
      <c r="A19" s="56"/>
      <c r="B19" s="40"/>
      <c r="C19" s="22"/>
      <c r="D19" s="22"/>
      <c r="E19" s="22"/>
      <c r="F19" s="57"/>
    </row>
    <row r="20" customFormat="false" ht="15" hidden="false" customHeight="false" outlineLevel="0" collapsed="false">
      <c r="A20" s="56"/>
      <c r="B20" s="40"/>
      <c r="C20" s="22"/>
      <c r="D20" s="22"/>
      <c r="E20" s="22"/>
      <c r="F20" s="57"/>
    </row>
    <row r="21" customFormat="false" ht="15" hidden="false" customHeight="false" outlineLevel="0" collapsed="false">
      <c r="A21" s="56"/>
      <c r="B21" s="40"/>
      <c r="C21" s="22"/>
      <c r="D21" s="22"/>
      <c r="E21" s="22"/>
      <c r="F21" s="57"/>
    </row>
    <row r="22" customFormat="false" ht="15" hidden="false" customHeight="false" outlineLevel="0" collapsed="false">
      <c r="A22" s="56"/>
      <c r="B22" s="40"/>
      <c r="C22" s="22"/>
      <c r="D22" s="22"/>
      <c r="E22" s="22"/>
      <c r="F22" s="57"/>
    </row>
    <row r="23" customFormat="false" ht="15" hidden="false" customHeight="false" outlineLevel="0" collapsed="false">
      <c r="A23" s="56"/>
      <c r="B23" s="40"/>
      <c r="C23" s="22"/>
      <c r="D23" s="22"/>
      <c r="E23" s="22"/>
      <c r="F23" s="57"/>
    </row>
    <row r="24" customFormat="false" ht="15" hidden="false" customHeight="false" outlineLevel="0" collapsed="false">
      <c r="A24" s="56"/>
      <c r="B24" s="40"/>
      <c r="C24" s="22"/>
      <c r="D24" s="22"/>
      <c r="E24" s="22"/>
      <c r="F24" s="57"/>
    </row>
    <row r="25" customFormat="false" ht="15" hidden="false" customHeight="false" outlineLevel="0" collapsed="false">
      <c r="A25" s="56"/>
      <c r="B25" s="40"/>
      <c r="C25" s="22"/>
      <c r="D25" s="22"/>
      <c r="E25" s="22"/>
      <c r="F25" s="57"/>
    </row>
    <row r="26" customFormat="false" ht="15" hidden="false" customHeight="false" outlineLevel="0" collapsed="false">
      <c r="A26" s="56"/>
      <c r="B26" s="40"/>
      <c r="C26" s="22"/>
      <c r="D26" s="22"/>
      <c r="E26" s="22"/>
      <c r="F26" s="57"/>
    </row>
    <row r="27" customFormat="false" ht="15" hidden="false" customHeight="false" outlineLevel="0" collapsed="false">
      <c r="A27" s="56"/>
      <c r="B27" s="40"/>
      <c r="C27" s="22"/>
      <c r="D27" s="22"/>
      <c r="E27" s="22"/>
      <c r="F27" s="57"/>
    </row>
    <row r="28" customFormat="false" ht="15" hidden="false" customHeight="false" outlineLevel="0" collapsed="false">
      <c r="A28" s="56"/>
      <c r="B28" s="40"/>
      <c r="C28" s="22"/>
      <c r="D28" s="22"/>
      <c r="E28" s="22"/>
      <c r="F28" s="57"/>
    </row>
    <row r="29" customFormat="false" ht="15" hidden="false" customHeight="false" outlineLevel="0" collapsed="false">
      <c r="A29" s="56"/>
      <c r="B29" s="40"/>
      <c r="C29" s="22"/>
      <c r="D29" s="22"/>
      <c r="E29" s="22"/>
      <c r="F29" s="57"/>
    </row>
    <row r="30" customFormat="false" ht="15" hidden="false" customHeight="false" outlineLevel="0" collapsed="false">
      <c r="A30" s="56"/>
      <c r="B30" s="40"/>
      <c r="C30" s="22"/>
      <c r="D30" s="22"/>
      <c r="E30" s="22"/>
      <c r="F30" s="57"/>
    </row>
    <row r="31" customFormat="false" ht="15" hidden="false" customHeight="false" outlineLevel="0" collapsed="false">
      <c r="A31" s="56"/>
      <c r="B31" s="40"/>
      <c r="C31" s="22"/>
      <c r="D31" s="22"/>
      <c r="E31" s="22"/>
      <c r="F31" s="57"/>
    </row>
    <row r="32" customFormat="false" ht="15" hidden="false" customHeight="false" outlineLevel="0" collapsed="false">
      <c r="A32" s="56"/>
      <c r="B32" s="40"/>
      <c r="C32" s="22"/>
      <c r="D32" s="22"/>
      <c r="E32" s="22"/>
      <c r="F32" s="57"/>
    </row>
    <row r="33" customFormat="false" ht="15" hidden="false" customHeight="false" outlineLevel="0" collapsed="false">
      <c r="A33" s="56"/>
      <c r="B33" s="40"/>
      <c r="C33" s="22"/>
      <c r="D33" s="22"/>
      <c r="E33" s="22"/>
      <c r="F33" s="57"/>
    </row>
    <row r="34" customFormat="false" ht="15" hidden="false" customHeight="false" outlineLevel="0" collapsed="false">
      <c r="A34" s="56"/>
      <c r="B34" s="40"/>
      <c r="C34" s="22"/>
      <c r="D34" s="22"/>
      <c r="E34" s="22"/>
      <c r="F34" s="57"/>
    </row>
    <row r="35" customFormat="false" ht="15" hidden="false" customHeight="false" outlineLevel="0" collapsed="false">
      <c r="A35" s="56"/>
      <c r="B35" s="40"/>
      <c r="C35" s="22"/>
      <c r="D35" s="22"/>
      <c r="E35" s="22"/>
      <c r="F35" s="57"/>
    </row>
    <row r="36" customFormat="false" ht="15" hidden="false" customHeight="false" outlineLevel="0" collapsed="false">
      <c r="A36" s="56"/>
      <c r="B36" s="40"/>
      <c r="C36" s="22"/>
      <c r="D36" s="22"/>
      <c r="E36" s="22"/>
      <c r="F36" s="57"/>
    </row>
    <row r="37" customFormat="false" ht="15" hidden="false" customHeight="false" outlineLevel="0" collapsed="false">
      <c r="A37" s="56"/>
      <c r="B37" s="40"/>
      <c r="C37" s="22"/>
      <c r="D37" s="22"/>
      <c r="E37" s="22"/>
      <c r="F37" s="57"/>
    </row>
    <row r="38" customFormat="false" ht="15" hidden="false" customHeight="false" outlineLevel="0" collapsed="false">
      <c r="A38" s="56"/>
      <c r="B38" s="40"/>
      <c r="C38" s="22"/>
      <c r="D38" s="22"/>
      <c r="E38" s="22"/>
      <c r="F38" s="57"/>
    </row>
    <row r="39" customFormat="false" ht="15" hidden="false" customHeight="false" outlineLevel="0" collapsed="false">
      <c r="A39" s="56"/>
      <c r="B39" s="40"/>
      <c r="C39" s="22"/>
      <c r="D39" s="22"/>
      <c r="E39" s="22"/>
      <c r="F39" s="57"/>
    </row>
    <row r="40" customFormat="false" ht="15" hidden="false" customHeight="false" outlineLevel="0" collapsed="false">
      <c r="A40" s="56"/>
      <c r="B40" s="40"/>
      <c r="C40" s="22"/>
      <c r="D40" s="22"/>
      <c r="E40" s="22"/>
      <c r="F40" s="57"/>
    </row>
    <row r="41" customFormat="false" ht="15" hidden="false" customHeight="false" outlineLevel="0" collapsed="false">
      <c r="A41" s="56"/>
      <c r="B41" s="40"/>
      <c r="C41" s="22"/>
      <c r="D41" s="22"/>
      <c r="E41" s="22"/>
      <c r="F41" s="57"/>
    </row>
    <row r="42" customFormat="false" ht="15" hidden="false" customHeight="false" outlineLevel="0" collapsed="false">
      <c r="A42" s="56"/>
      <c r="B42" s="40"/>
      <c r="C42" s="22"/>
      <c r="D42" s="22"/>
      <c r="E42" s="22"/>
      <c r="F42" s="57"/>
    </row>
    <row r="43" customFormat="false" ht="15" hidden="false" customHeight="false" outlineLevel="0" collapsed="false">
      <c r="A43" s="56"/>
      <c r="B43" s="40"/>
      <c r="C43" s="22"/>
      <c r="D43" s="22"/>
      <c r="E43" s="22"/>
      <c r="F43" s="57"/>
    </row>
    <row r="44" customFormat="false" ht="15" hidden="false" customHeight="false" outlineLevel="0" collapsed="false">
      <c r="A44" s="56"/>
      <c r="B44" s="40"/>
      <c r="C44" s="22"/>
      <c r="D44" s="22"/>
      <c r="E44" s="22"/>
      <c r="F44" s="57"/>
    </row>
    <row r="45" customFormat="false" ht="15" hidden="false" customHeight="false" outlineLevel="0" collapsed="false">
      <c r="A45" s="56"/>
      <c r="B45" s="40"/>
      <c r="C45" s="22"/>
      <c r="D45" s="22"/>
      <c r="E45" s="22"/>
      <c r="F45" s="57"/>
    </row>
    <row r="46" customFormat="false" ht="15" hidden="false" customHeight="false" outlineLevel="0" collapsed="false">
      <c r="A46" s="56"/>
      <c r="B46" s="40"/>
      <c r="C46" s="22"/>
      <c r="D46" s="22"/>
      <c r="E46" s="22"/>
      <c r="F46" s="57"/>
    </row>
    <row r="47" customFormat="false" ht="15" hidden="false" customHeight="false" outlineLevel="0" collapsed="false">
      <c r="A47" s="56"/>
      <c r="B47" s="40"/>
      <c r="C47" s="22"/>
      <c r="D47" s="22"/>
      <c r="E47" s="22"/>
      <c r="F47" s="57"/>
    </row>
    <row r="48" customFormat="false" ht="15" hidden="false" customHeight="false" outlineLevel="0" collapsed="false">
      <c r="A48" s="56"/>
      <c r="B48" s="40"/>
      <c r="C48" s="22"/>
      <c r="D48" s="22"/>
      <c r="E48" s="22"/>
      <c r="F48" s="57"/>
    </row>
    <row r="49" customFormat="false" ht="15" hidden="false" customHeight="false" outlineLevel="0" collapsed="false">
      <c r="A49" s="56"/>
      <c r="B49" s="40"/>
      <c r="C49" s="22"/>
      <c r="D49" s="22"/>
      <c r="E49" s="22"/>
      <c r="F49" s="57"/>
    </row>
    <row r="50" customFormat="false" ht="15" hidden="false" customHeight="false" outlineLevel="0" collapsed="false">
      <c r="A50" s="56"/>
      <c r="B50" s="40"/>
      <c r="C50" s="22"/>
      <c r="D50" s="22"/>
      <c r="E50" s="22"/>
      <c r="F50" s="57"/>
    </row>
    <row r="51" customFormat="false" ht="15" hidden="false" customHeight="false" outlineLevel="0" collapsed="false">
      <c r="A51" s="56"/>
      <c r="B51" s="40"/>
      <c r="C51" s="22"/>
      <c r="D51" s="22"/>
      <c r="E51" s="22"/>
      <c r="F51" s="57"/>
    </row>
    <row r="52" customFormat="false" ht="15" hidden="false" customHeight="false" outlineLevel="0" collapsed="false">
      <c r="A52" s="56"/>
      <c r="B52" s="40"/>
      <c r="C52" s="22"/>
      <c r="D52" s="22"/>
      <c r="E52" s="22"/>
      <c r="F52" s="57"/>
    </row>
    <row r="53" customFormat="false" ht="15" hidden="false" customHeight="false" outlineLevel="0" collapsed="false">
      <c r="A53" s="56"/>
      <c r="B53" s="40"/>
      <c r="C53" s="22"/>
      <c r="D53" s="22"/>
      <c r="E53" s="22"/>
      <c r="F53" s="57"/>
    </row>
    <row r="54" customFormat="false" ht="15" hidden="false" customHeight="false" outlineLevel="0" collapsed="false">
      <c r="A54" s="56"/>
      <c r="B54" s="40"/>
      <c r="C54" s="22"/>
      <c r="D54" s="22"/>
      <c r="E54" s="22"/>
      <c r="F54" s="57"/>
    </row>
    <row r="55" customFormat="false" ht="15" hidden="false" customHeight="false" outlineLevel="0" collapsed="false">
      <c r="A55" s="56"/>
      <c r="B55" s="40"/>
      <c r="C55" s="22"/>
      <c r="D55" s="22"/>
      <c r="E55" s="22"/>
      <c r="F55" s="57"/>
    </row>
    <row r="56" customFormat="false" ht="15" hidden="false" customHeight="false" outlineLevel="0" collapsed="false">
      <c r="A56" s="56"/>
      <c r="B56" s="40"/>
      <c r="C56" s="22"/>
      <c r="D56" s="22"/>
      <c r="E56" s="22"/>
      <c r="F56" s="57"/>
    </row>
    <row r="57" customFormat="false" ht="15" hidden="false" customHeight="false" outlineLevel="0" collapsed="false">
      <c r="A57" s="56"/>
      <c r="B57" s="40"/>
      <c r="C57" s="22"/>
      <c r="D57" s="22"/>
      <c r="E57" s="22"/>
      <c r="F57" s="57"/>
    </row>
    <row r="58" customFormat="false" ht="15" hidden="false" customHeight="false" outlineLevel="0" collapsed="false">
      <c r="A58" s="56"/>
      <c r="B58" s="40"/>
      <c r="C58" s="22"/>
      <c r="D58" s="22"/>
      <c r="E58" s="22"/>
      <c r="F58" s="57"/>
    </row>
    <row r="59" customFormat="false" ht="15" hidden="false" customHeight="false" outlineLevel="0" collapsed="false">
      <c r="A59" s="56"/>
      <c r="B59" s="40"/>
      <c r="C59" s="22"/>
      <c r="D59" s="22"/>
      <c r="E59" s="22"/>
      <c r="F59" s="57"/>
    </row>
    <row r="60" customFormat="false" ht="15" hidden="false" customHeight="false" outlineLevel="0" collapsed="false">
      <c r="A60" s="56"/>
      <c r="B60" s="40"/>
      <c r="C60" s="22"/>
      <c r="D60" s="22"/>
      <c r="E60" s="22"/>
      <c r="F60" s="57"/>
    </row>
    <row r="61" customFormat="false" ht="15" hidden="false" customHeight="false" outlineLevel="0" collapsed="false">
      <c r="A61" s="56"/>
      <c r="B61" s="40"/>
      <c r="C61" s="22"/>
      <c r="D61" s="22"/>
      <c r="E61" s="22"/>
      <c r="F61" s="57"/>
    </row>
    <row r="62" customFormat="false" ht="15" hidden="false" customHeight="false" outlineLevel="0" collapsed="false">
      <c r="A62" s="56"/>
      <c r="B62" s="40"/>
      <c r="C62" s="22"/>
      <c r="D62" s="22"/>
      <c r="E62" s="22"/>
      <c r="F62" s="57"/>
    </row>
    <row r="63" customFormat="false" ht="15" hidden="false" customHeight="false" outlineLevel="0" collapsed="false">
      <c r="A63" s="56"/>
      <c r="B63" s="40"/>
      <c r="C63" s="22"/>
      <c r="D63" s="22"/>
      <c r="E63" s="22"/>
      <c r="F63" s="57"/>
    </row>
    <row r="64" customFormat="false" ht="15" hidden="false" customHeight="false" outlineLevel="0" collapsed="false">
      <c r="A64" s="56"/>
      <c r="B64" s="40"/>
      <c r="C64" s="22"/>
      <c r="D64" s="22"/>
      <c r="E64" s="22"/>
      <c r="F64" s="57"/>
    </row>
    <row r="65" customFormat="false" ht="15" hidden="false" customHeight="false" outlineLevel="0" collapsed="false">
      <c r="A65" s="56"/>
      <c r="B65" s="40"/>
      <c r="C65" s="22"/>
      <c r="D65" s="22"/>
      <c r="E65" s="22"/>
      <c r="F65" s="57"/>
    </row>
    <row r="66" customFormat="false" ht="15" hidden="false" customHeight="false" outlineLevel="0" collapsed="false">
      <c r="A66" s="56"/>
      <c r="B66" s="40"/>
      <c r="C66" s="22"/>
      <c r="D66" s="22"/>
      <c r="E66" s="22"/>
      <c r="F66" s="57"/>
    </row>
    <row r="67" customFormat="false" ht="15" hidden="false" customHeight="false" outlineLevel="0" collapsed="false">
      <c r="A67" s="56"/>
      <c r="B67" s="40"/>
      <c r="C67" s="22"/>
      <c r="D67" s="22"/>
      <c r="E67" s="22"/>
      <c r="F67" s="57"/>
    </row>
    <row r="68" customFormat="false" ht="15" hidden="false" customHeight="false" outlineLevel="0" collapsed="false">
      <c r="A68" s="56"/>
      <c r="B68" s="40"/>
      <c r="C68" s="22"/>
      <c r="D68" s="22"/>
      <c r="E68" s="22"/>
      <c r="F68" s="57"/>
    </row>
    <row r="69" customFormat="false" ht="15" hidden="false" customHeight="false" outlineLevel="0" collapsed="false">
      <c r="A69" s="56"/>
      <c r="B69" s="40"/>
      <c r="C69" s="22"/>
      <c r="D69" s="22"/>
      <c r="E69" s="22"/>
      <c r="F69" s="57"/>
    </row>
    <row r="70" customFormat="false" ht="15" hidden="false" customHeight="false" outlineLevel="0" collapsed="false">
      <c r="A70" s="56"/>
      <c r="B70" s="40"/>
      <c r="C70" s="22"/>
      <c r="D70" s="22"/>
      <c r="E70" s="22"/>
      <c r="F70" s="57"/>
    </row>
    <row r="71" customFormat="false" ht="15" hidden="false" customHeight="false" outlineLevel="0" collapsed="false">
      <c r="A71" s="56"/>
      <c r="B71" s="40"/>
      <c r="C71" s="22"/>
      <c r="D71" s="22"/>
      <c r="E71" s="22"/>
      <c r="F71" s="57"/>
    </row>
    <row r="72" customFormat="false" ht="15" hidden="false" customHeight="false" outlineLevel="0" collapsed="false">
      <c r="A72" s="56"/>
      <c r="B72" s="40"/>
      <c r="C72" s="22"/>
      <c r="D72" s="22"/>
      <c r="E72" s="22"/>
      <c r="F72" s="57"/>
    </row>
    <row r="73" customFormat="false" ht="15" hidden="false" customHeight="false" outlineLevel="0" collapsed="false">
      <c r="A73" s="56"/>
      <c r="B73" s="40"/>
      <c r="C73" s="22"/>
      <c r="D73" s="22"/>
      <c r="E73" s="22"/>
      <c r="F73" s="57"/>
    </row>
    <row r="74" customFormat="false" ht="15" hidden="false" customHeight="false" outlineLevel="0" collapsed="false">
      <c r="A74" s="56"/>
      <c r="B74" s="40"/>
      <c r="C74" s="22"/>
      <c r="D74" s="22"/>
      <c r="E74" s="22"/>
      <c r="F74" s="57"/>
    </row>
    <row r="75" customFormat="false" ht="15" hidden="false" customHeight="false" outlineLevel="0" collapsed="false">
      <c r="A75" s="56"/>
      <c r="B75" s="40"/>
      <c r="C75" s="22"/>
      <c r="D75" s="22"/>
      <c r="E75" s="22"/>
      <c r="F75" s="57"/>
    </row>
    <row r="76" customFormat="false" ht="15" hidden="false" customHeight="false" outlineLevel="0" collapsed="false">
      <c r="A76" s="56"/>
      <c r="B76" s="40"/>
      <c r="C76" s="22"/>
      <c r="D76" s="22"/>
      <c r="E76" s="22"/>
      <c r="F76" s="57"/>
    </row>
    <row r="77" customFormat="false" ht="15" hidden="false" customHeight="false" outlineLevel="0" collapsed="false">
      <c r="A77" s="56"/>
      <c r="B77" s="40"/>
      <c r="C77" s="22"/>
      <c r="D77" s="22"/>
      <c r="E77" s="22"/>
      <c r="F77" s="57"/>
    </row>
    <row r="78" customFormat="false" ht="15" hidden="false" customHeight="false" outlineLevel="0" collapsed="false">
      <c r="A78" s="56"/>
      <c r="B78" s="40"/>
      <c r="C78" s="22"/>
      <c r="D78" s="22"/>
      <c r="E78" s="22"/>
      <c r="F78" s="57"/>
    </row>
    <row r="79" customFormat="false" ht="15" hidden="false" customHeight="false" outlineLevel="0" collapsed="false">
      <c r="A79" s="56"/>
      <c r="B79" s="40"/>
      <c r="C79" s="22"/>
      <c r="D79" s="22"/>
      <c r="E79" s="22"/>
      <c r="F79" s="57"/>
    </row>
    <row r="80" customFormat="false" ht="15" hidden="false" customHeight="false" outlineLevel="0" collapsed="false">
      <c r="A80" s="56"/>
      <c r="B80" s="40"/>
      <c r="C80" s="22"/>
      <c r="D80" s="22"/>
      <c r="E80" s="22"/>
      <c r="F80" s="57"/>
    </row>
    <row r="81" customFormat="false" ht="15" hidden="false" customHeight="false" outlineLevel="0" collapsed="false">
      <c r="A81" s="56"/>
      <c r="B81" s="40"/>
      <c r="C81" s="22"/>
      <c r="D81" s="22"/>
      <c r="E81" s="22"/>
      <c r="F81" s="57"/>
    </row>
    <row r="82" customFormat="false" ht="15" hidden="false" customHeight="false" outlineLevel="0" collapsed="false">
      <c r="A82" s="56"/>
      <c r="B82" s="40"/>
      <c r="C82" s="22"/>
      <c r="D82" s="22"/>
      <c r="E82" s="22"/>
      <c r="F82" s="57"/>
    </row>
    <row r="83" customFormat="false" ht="15" hidden="false" customHeight="false" outlineLevel="0" collapsed="false">
      <c r="A83" s="56"/>
      <c r="B83" s="40"/>
      <c r="C83" s="22"/>
      <c r="D83" s="22"/>
      <c r="E83" s="22"/>
      <c r="F83" s="57"/>
    </row>
    <row r="84" customFormat="false" ht="15" hidden="false" customHeight="false" outlineLevel="0" collapsed="false">
      <c r="A84" s="56"/>
      <c r="B84" s="40"/>
      <c r="C84" s="22"/>
      <c r="D84" s="22"/>
      <c r="E84" s="22"/>
      <c r="F84" s="57"/>
    </row>
    <row r="85" customFormat="false" ht="15" hidden="false" customHeight="false" outlineLevel="0" collapsed="false">
      <c r="A85" s="56"/>
      <c r="B85" s="40"/>
      <c r="C85" s="22"/>
      <c r="D85" s="22"/>
      <c r="E85" s="22"/>
      <c r="F85" s="57"/>
    </row>
    <row r="86" customFormat="false" ht="15" hidden="false" customHeight="false" outlineLevel="0" collapsed="false">
      <c r="A86" s="56"/>
      <c r="B86" s="40"/>
      <c r="C86" s="22"/>
      <c r="D86" s="22"/>
      <c r="E86" s="22"/>
      <c r="F86" s="57"/>
    </row>
    <row r="87" customFormat="false" ht="15" hidden="false" customHeight="false" outlineLevel="0" collapsed="false">
      <c r="A87" s="56"/>
      <c r="B87" s="40"/>
      <c r="C87" s="22"/>
      <c r="D87" s="22"/>
      <c r="E87" s="22"/>
      <c r="F87" s="57"/>
    </row>
    <row r="88" customFormat="false" ht="15" hidden="false" customHeight="false" outlineLevel="0" collapsed="false">
      <c r="A88" s="56"/>
      <c r="B88" s="40"/>
      <c r="C88" s="22"/>
      <c r="D88" s="22"/>
      <c r="E88" s="22"/>
      <c r="F88" s="57"/>
    </row>
    <row r="89" customFormat="false" ht="15" hidden="false" customHeight="false" outlineLevel="0" collapsed="false">
      <c r="A89" s="56"/>
      <c r="B89" s="40"/>
      <c r="C89" s="22"/>
      <c r="D89" s="22"/>
      <c r="E89" s="22"/>
      <c r="F89" s="57"/>
    </row>
    <row r="90" customFormat="false" ht="15" hidden="false" customHeight="false" outlineLevel="0" collapsed="false">
      <c r="A90" s="56"/>
      <c r="B90" s="40"/>
      <c r="C90" s="22"/>
      <c r="D90" s="22"/>
      <c r="E90" s="22"/>
      <c r="F90" s="57"/>
    </row>
    <row r="91" customFormat="false" ht="15" hidden="false" customHeight="false" outlineLevel="0" collapsed="false">
      <c r="A91" s="56"/>
      <c r="B91" s="40"/>
      <c r="C91" s="22"/>
      <c r="D91" s="22"/>
      <c r="E91" s="22"/>
      <c r="F91" s="57"/>
    </row>
    <row r="92" customFormat="false" ht="15" hidden="false" customHeight="false" outlineLevel="0" collapsed="false">
      <c r="A92" s="56"/>
      <c r="B92" s="40"/>
      <c r="C92" s="22"/>
      <c r="D92" s="22"/>
      <c r="E92" s="22"/>
      <c r="F92" s="57"/>
    </row>
    <row r="93" customFormat="false" ht="15" hidden="false" customHeight="false" outlineLevel="0" collapsed="false">
      <c r="A93" s="56"/>
      <c r="B93" s="40"/>
      <c r="C93" s="22"/>
      <c r="D93" s="22"/>
      <c r="E93" s="22"/>
      <c r="F93" s="57"/>
    </row>
    <row r="94" customFormat="false" ht="15" hidden="false" customHeight="false" outlineLevel="0" collapsed="false">
      <c r="A94" s="56"/>
      <c r="B94" s="40"/>
      <c r="C94" s="22"/>
      <c r="D94" s="22"/>
      <c r="E94" s="22"/>
      <c r="F94" s="57"/>
    </row>
    <row r="95" customFormat="false" ht="15" hidden="false" customHeight="false" outlineLevel="0" collapsed="false">
      <c r="A95" s="56"/>
      <c r="B95" s="40"/>
      <c r="C95" s="22"/>
      <c r="D95" s="22"/>
      <c r="E95" s="22"/>
      <c r="F95" s="57"/>
    </row>
    <row r="96" customFormat="false" ht="15" hidden="false" customHeight="false" outlineLevel="0" collapsed="false">
      <c r="A96" s="56"/>
      <c r="B96" s="40"/>
      <c r="C96" s="22"/>
      <c r="D96" s="22"/>
      <c r="E96" s="22"/>
      <c r="F96" s="57"/>
    </row>
    <row r="97" customFormat="false" ht="15" hidden="false" customHeight="false" outlineLevel="0" collapsed="false">
      <c r="A97" s="56"/>
      <c r="B97" s="40"/>
      <c r="C97" s="22"/>
      <c r="D97" s="22"/>
      <c r="E97" s="22"/>
      <c r="F97" s="57"/>
    </row>
    <row r="98" customFormat="false" ht="15" hidden="false" customHeight="false" outlineLevel="0" collapsed="false">
      <c r="A98" s="56"/>
      <c r="B98" s="40"/>
      <c r="C98" s="22"/>
      <c r="D98" s="22"/>
      <c r="E98" s="22"/>
      <c r="F98" s="57"/>
    </row>
    <row r="99" customFormat="false" ht="15" hidden="false" customHeight="false" outlineLevel="0" collapsed="false">
      <c r="A99" s="56"/>
      <c r="B99" s="40"/>
      <c r="C99" s="22"/>
      <c r="D99" s="22"/>
      <c r="E99" s="22"/>
      <c r="F99" s="57"/>
    </row>
    <row r="100" customFormat="false" ht="15" hidden="false" customHeight="false" outlineLevel="0" collapsed="false">
      <c r="A100" s="56"/>
      <c r="B100" s="40"/>
      <c r="C100" s="22"/>
      <c r="D100" s="22"/>
      <c r="E100" s="22"/>
      <c r="F100" s="57"/>
    </row>
    <row r="101" customFormat="false" ht="15" hidden="false" customHeight="false" outlineLevel="0" collapsed="false">
      <c r="A101" s="56"/>
      <c r="B101" s="40"/>
      <c r="C101" s="22"/>
      <c r="D101" s="22"/>
      <c r="E101" s="22"/>
      <c r="F101" s="57"/>
    </row>
    <row r="102" customFormat="false" ht="15" hidden="false" customHeight="false" outlineLevel="0" collapsed="false">
      <c r="A102" s="56"/>
      <c r="B102" s="40"/>
      <c r="C102" s="22"/>
      <c r="D102" s="22"/>
      <c r="E102" s="22"/>
      <c r="F102" s="57"/>
    </row>
    <row r="103" customFormat="false" ht="15" hidden="false" customHeight="false" outlineLevel="0" collapsed="false">
      <c r="A103" s="56"/>
      <c r="B103" s="40"/>
      <c r="C103" s="22"/>
      <c r="D103" s="22"/>
      <c r="E103" s="22"/>
      <c r="F103" s="57"/>
    </row>
    <row r="104" customFormat="false" ht="15" hidden="false" customHeight="false" outlineLevel="0" collapsed="false">
      <c r="A104" s="56"/>
      <c r="B104" s="40"/>
      <c r="C104" s="22"/>
      <c r="D104" s="22"/>
      <c r="E104" s="22"/>
      <c r="F104" s="57"/>
    </row>
    <row r="105" customFormat="false" ht="15" hidden="false" customHeight="false" outlineLevel="0" collapsed="false">
      <c r="A105" s="56"/>
      <c r="B105" s="40"/>
      <c r="C105" s="22"/>
      <c r="D105" s="22"/>
      <c r="E105" s="22"/>
      <c r="F105" s="57"/>
    </row>
    <row r="106" customFormat="false" ht="15" hidden="false" customHeight="false" outlineLevel="0" collapsed="false">
      <c r="A106" s="56"/>
      <c r="B106" s="40"/>
      <c r="C106" s="22"/>
      <c r="D106" s="22"/>
      <c r="E106" s="22"/>
      <c r="F106" s="57"/>
    </row>
    <row r="107" customFormat="false" ht="15" hidden="false" customHeight="false" outlineLevel="0" collapsed="false">
      <c r="A107" s="56"/>
      <c r="B107" s="40"/>
      <c r="C107" s="22"/>
      <c r="D107" s="22"/>
      <c r="E107" s="22"/>
      <c r="F107" s="57"/>
    </row>
    <row r="108" customFormat="false" ht="15" hidden="false" customHeight="false" outlineLevel="0" collapsed="false">
      <c r="A108" s="56"/>
      <c r="B108" s="40"/>
      <c r="C108" s="22"/>
      <c r="D108" s="22"/>
      <c r="E108" s="22"/>
      <c r="F108" s="57"/>
    </row>
    <row r="109" customFormat="false" ht="15" hidden="false" customHeight="false" outlineLevel="0" collapsed="false">
      <c r="A109" s="56"/>
      <c r="B109" s="40"/>
      <c r="C109" s="22"/>
      <c r="D109" s="22"/>
      <c r="E109" s="22"/>
      <c r="F109" s="57"/>
    </row>
    <row r="110" customFormat="false" ht="15" hidden="false" customHeight="false" outlineLevel="0" collapsed="false">
      <c r="A110" s="56"/>
      <c r="B110" s="40"/>
      <c r="C110" s="22"/>
      <c r="D110" s="22"/>
      <c r="E110" s="22"/>
      <c r="F110" s="57"/>
    </row>
    <row r="111" customFormat="false" ht="15" hidden="false" customHeight="false" outlineLevel="0" collapsed="false">
      <c r="A111" s="56"/>
      <c r="B111" s="40"/>
      <c r="C111" s="22"/>
      <c r="D111" s="22"/>
      <c r="E111" s="22"/>
      <c r="F111" s="57"/>
    </row>
    <row r="112" customFormat="false" ht="15" hidden="false" customHeight="false" outlineLevel="0" collapsed="false">
      <c r="A112" s="56"/>
      <c r="B112" s="40"/>
      <c r="C112" s="22"/>
      <c r="D112" s="22"/>
      <c r="E112" s="22"/>
      <c r="F112" s="57"/>
    </row>
    <row r="113" customFormat="false" ht="15" hidden="false" customHeight="false" outlineLevel="0" collapsed="false">
      <c r="A113" s="56"/>
      <c r="B113" s="40"/>
      <c r="C113" s="22"/>
      <c r="D113" s="22"/>
      <c r="E113" s="22"/>
      <c r="F113" s="57"/>
    </row>
    <row r="114" customFormat="false" ht="15" hidden="false" customHeight="false" outlineLevel="0" collapsed="false">
      <c r="A114" s="56"/>
      <c r="B114" s="40"/>
      <c r="C114" s="22"/>
      <c r="D114" s="22"/>
      <c r="E114" s="22"/>
      <c r="F114" s="57"/>
    </row>
    <row r="115" customFormat="false" ht="15" hidden="false" customHeight="false" outlineLevel="0" collapsed="false">
      <c r="A115" s="56"/>
      <c r="B115" s="40"/>
      <c r="C115" s="22"/>
      <c r="D115" s="22"/>
      <c r="E115" s="22"/>
      <c r="F115" s="57"/>
    </row>
    <row r="116" customFormat="false" ht="15" hidden="false" customHeight="false" outlineLevel="0" collapsed="false">
      <c r="A116" s="56"/>
      <c r="B116" s="40"/>
      <c r="C116" s="22"/>
      <c r="D116" s="22"/>
      <c r="E116" s="22"/>
      <c r="F116" s="57"/>
    </row>
    <row r="117" customFormat="false" ht="15" hidden="false" customHeight="false" outlineLevel="0" collapsed="false">
      <c r="A117" s="56"/>
      <c r="B117" s="40"/>
      <c r="C117" s="22"/>
      <c r="D117" s="22"/>
      <c r="E117" s="22"/>
      <c r="F117" s="57"/>
    </row>
    <row r="118" customFormat="false" ht="15" hidden="false" customHeight="false" outlineLevel="0" collapsed="false">
      <c r="A118" s="56"/>
      <c r="B118" s="40"/>
      <c r="C118" s="22"/>
      <c r="D118" s="22"/>
      <c r="E118" s="22"/>
      <c r="F118" s="57"/>
    </row>
    <row r="119" customFormat="false" ht="15" hidden="false" customHeight="false" outlineLevel="0" collapsed="false">
      <c r="A119" s="56"/>
      <c r="B119" s="40"/>
      <c r="C119" s="22"/>
      <c r="D119" s="22"/>
      <c r="E119" s="22"/>
      <c r="F119" s="57"/>
    </row>
    <row r="120" customFormat="false" ht="15" hidden="false" customHeight="false" outlineLevel="0" collapsed="false">
      <c r="A120" s="56"/>
      <c r="B120" s="40"/>
      <c r="C120" s="22"/>
      <c r="D120" s="22"/>
      <c r="E120" s="22"/>
      <c r="F120" s="57"/>
    </row>
    <row r="121" customFormat="false" ht="15" hidden="false" customHeight="false" outlineLevel="0" collapsed="false">
      <c r="A121" s="56"/>
      <c r="B121" s="40"/>
      <c r="C121" s="22"/>
      <c r="D121" s="22"/>
      <c r="E121" s="22"/>
      <c r="F121" s="57"/>
    </row>
    <row r="122" customFormat="false" ht="15" hidden="false" customHeight="false" outlineLevel="0" collapsed="false">
      <c r="A122" s="56"/>
      <c r="B122" s="40"/>
      <c r="C122" s="22"/>
      <c r="D122" s="22"/>
      <c r="E122" s="22"/>
      <c r="F122" s="57"/>
    </row>
    <row r="123" customFormat="false" ht="15" hidden="false" customHeight="false" outlineLevel="0" collapsed="false">
      <c r="A123" s="56"/>
      <c r="B123" s="40"/>
      <c r="C123" s="22"/>
      <c r="D123" s="22"/>
      <c r="E123" s="22"/>
      <c r="F123" s="57"/>
    </row>
    <row r="124" customFormat="false" ht="15" hidden="false" customHeight="false" outlineLevel="0" collapsed="false">
      <c r="A124" s="56"/>
      <c r="B124" s="40"/>
      <c r="C124" s="22"/>
      <c r="D124" s="22"/>
      <c r="E124" s="22"/>
      <c r="F124" s="57"/>
    </row>
    <row r="125" customFormat="false" ht="15" hidden="false" customHeight="false" outlineLevel="0" collapsed="false">
      <c r="A125" s="56"/>
      <c r="B125" s="40"/>
      <c r="C125" s="22"/>
      <c r="D125" s="22"/>
      <c r="E125" s="22"/>
      <c r="F125" s="57"/>
    </row>
    <row r="126" customFormat="false" ht="15" hidden="false" customHeight="false" outlineLevel="0" collapsed="false">
      <c r="A126" s="56"/>
      <c r="B126" s="40"/>
      <c r="C126" s="22"/>
      <c r="D126" s="22"/>
      <c r="E126" s="22"/>
      <c r="F126" s="57"/>
    </row>
    <row r="127" customFormat="false" ht="15" hidden="false" customHeight="false" outlineLevel="0" collapsed="false">
      <c r="A127" s="56"/>
      <c r="B127" s="40"/>
      <c r="C127" s="22"/>
      <c r="D127" s="22"/>
      <c r="E127" s="22"/>
      <c r="F127" s="57"/>
    </row>
    <row r="128" customFormat="false" ht="15" hidden="false" customHeight="false" outlineLevel="0" collapsed="false">
      <c r="A128" s="56"/>
      <c r="B128" s="40"/>
      <c r="C128" s="22"/>
      <c r="D128" s="22"/>
      <c r="E128" s="22"/>
      <c r="F128" s="57"/>
    </row>
    <row r="130" customFormat="false" ht="15" hidden="false" customHeight="true" outlineLevel="0" collapsed="false">
      <c r="A130" s="35" t="s">
        <v>52</v>
      </c>
      <c r="B130" s="35"/>
      <c r="C130" s="35"/>
      <c r="D130" s="35"/>
      <c r="E130" s="35"/>
      <c r="F130" s="35"/>
    </row>
  </sheetData>
  <sheetProtection sheet="true" formatColumns="false" formatRows="false"/>
  <mergeCells count="7">
    <mergeCell ref="A1:F1"/>
    <mergeCell ref="A2:F2"/>
    <mergeCell ref="A3:F3"/>
    <mergeCell ref="A4:F4"/>
    <mergeCell ref="A5:F5"/>
    <mergeCell ref="A6:F6"/>
    <mergeCell ref="A130:F130"/>
  </mergeCells>
  <dataValidations count="2">
    <dataValidation allowBlank="true" errorStyle="stop" operator="between" showDropDown="false" showErrorMessage="false" showInputMessage="false" sqref="B9:B128" type="list">
      <formula1>"عمر المصري,عبدالعزيز"</formula1>
      <formula2>0</formula2>
    </dataValidation>
    <dataValidation allowBlank="true" error="اكتب التاريخ يوم/شهر/سنة — ومن أيام الشهر المختار" errorStyle="stop" errorTitle="تاريخ غلط" operator="between" prompt="يوم/شهر/سنة  مثل 05/10/2026" promptTitle="التاريخ" showDropDown="false" showErrorMessage="true" showInputMessage="true" sqref="A9:A128" type="date">
      <formula1>MSTART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3"/>
    <col collapsed="false" customWidth="true" hidden="false" outlineLevel="0" max="6" min="4" style="0" width="12"/>
    <col collapsed="false" customWidth="true" hidden="false" outlineLevel="0" max="9" min="7" style="0" width="13"/>
    <col collapsed="false" customWidth="true" hidden="false" outlineLevel="0" max="10" min="10" style="0" width="24"/>
  </cols>
  <sheetData>
    <row r="1" customFormat="false" ht="31.5" hidden="false" customHeight="true" outlineLevel="0" collapsed="false">
      <c r="A1" s="58" t="s">
        <v>53</v>
      </c>
      <c r="B1" s="58"/>
      <c r="C1" s="58"/>
      <c r="D1" s="58"/>
      <c r="E1" s="58"/>
      <c r="F1" s="58"/>
      <c r="G1" s="58"/>
      <c r="H1" s="58"/>
      <c r="I1" s="58"/>
      <c r="J1" s="58"/>
    </row>
    <row r="2" customFormat="false" ht="21.75" hidden="false" customHeight="true" outlineLevel="0" collapsed="false">
      <c r="A2" s="59" t="str">
        <f aca="false">"شهر "&amp;TEXT(التسوية!$C$3,"00")&amp;" / "&amp;التسوية!$E$3&amp;"   ·   الفترات اللي بتخلص بهالشهر"</f>
        <v>شهر 10 / 2026   ·   الفترات اللي بتخلص بهالشهر</v>
      </c>
      <c r="B2" s="59"/>
      <c r="C2" s="59"/>
      <c r="D2" s="59"/>
      <c r="E2" s="59"/>
      <c r="F2" s="59"/>
      <c r="G2" s="59"/>
      <c r="H2" s="59"/>
      <c r="I2" s="59"/>
      <c r="J2" s="59"/>
    </row>
    <row r="3" customFormat="false" ht="31.5" hidden="false" customHeight="true" outlineLevel="0" collapsed="false">
      <c r="A3" s="35" t="s">
        <v>54</v>
      </c>
      <c r="B3" s="35"/>
      <c r="C3" s="35"/>
      <c r="D3" s="35"/>
      <c r="E3" s="35"/>
      <c r="F3" s="35"/>
      <c r="G3" s="35"/>
      <c r="H3" s="35"/>
      <c r="I3" s="35"/>
      <c r="J3" s="35"/>
    </row>
    <row r="5" customFormat="false" ht="30" hidden="false" customHeight="true" outlineLevel="0" collapsed="false">
      <c r="A5" s="60" t="s">
        <v>55</v>
      </c>
      <c r="B5" s="60" t="s">
        <v>56</v>
      </c>
      <c r="C5" s="60" t="s">
        <v>57</v>
      </c>
      <c r="D5" s="60" t="s">
        <v>58</v>
      </c>
    </row>
    <row r="6" customFormat="false" ht="15" hidden="false" customHeight="false" outlineLevel="0" collapsed="false">
      <c r="A6" s="12" t="s">
        <v>59</v>
      </c>
      <c r="B6" s="13" t="n">
        <v>0</v>
      </c>
      <c r="C6" s="13" t="n">
        <v>0</v>
      </c>
      <c r="D6" s="13" t="n">
        <v>0</v>
      </c>
    </row>
    <row r="8" customFormat="false" ht="30" hidden="false" customHeight="true" outlineLevel="0" collapsed="false">
      <c r="A8" s="60" t="s">
        <v>60</v>
      </c>
      <c r="B8" s="60" t="s">
        <v>61</v>
      </c>
      <c r="C8" s="60" t="s">
        <v>62</v>
      </c>
      <c r="D8" s="60" t="s">
        <v>63</v>
      </c>
      <c r="E8" s="60" t="s">
        <v>16</v>
      </c>
      <c r="F8" s="60" t="s">
        <v>18</v>
      </c>
      <c r="G8" s="60" t="s">
        <v>19</v>
      </c>
      <c r="H8" s="60" t="s">
        <v>64</v>
      </c>
      <c r="I8" s="60" t="s">
        <v>21</v>
      </c>
      <c r="J8" s="60" t="s">
        <v>22</v>
      </c>
      <c r="L8" s="8" t="n">
        <f aca="false">MAX(0,ROUNDUP((MSTART-MGR_START-9)/10,0))</f>
        <v>0</v>
      </c>
    </row>
    <row r="9" customFormat="false" ht="15" hidden="false" customHeight="false" outlineLevel="0" collapsed="false">
      <c r="A9" s="39" t="str">
        <f aca="false">IF(B9="","","الفترة الأولى")</f>
        <v>الفترة الأولى</v>
      </c>
      <c r="B9" s="38" t="n">
        <f aca="false">IF(AND(MGR_START+10*($L$8+0)+9&gt;=MSTART,MGR_START+10*($L$8+0)+9&lt;=MEND),MGR_START+10*($L$8+0),"")</f>
        <v>46291</v>
      </c>
      <c r="C9" s="38" t="n">
        <f aca="false">IF(B9="","",B9+9)</f>
        <v>46300</v>
      </c>
      <c r="D9" s="18" t="n">
        <f aca="false">IF(B9="","",MGR_SAL)</f>
        <v>125</v>
      </c>
      <c r="E9" s="18" t="n">
        <f aca="false">IF(B9="","",$B$6)</f>
        <v>0</v>
      </c>
      <c r="F9" s="18" t="n">
        <f aca="false">IF(B9="","",SUMIFS($B$18:$B$42,$A$18:$A$42,"&gt;="&amp;B9,$A$18:$A$42,"&lt;="&amp;C9))</f>
        <v>0</v>
      </c>
      <c r="G9" s="18" t="n">
        <f aca="false">IF(B9="","",MIN($D$6,MAX(0,$C$6+SUMIFS($C$18:$C$42,$A$18:$A$42,"&lt;="&amp;C9)-SUMIFS($D$18:$D$42,$A$18:$A$42,"&lt;="&amp;C9)-0)))</f>
        <v>0</v>
      </c>
      <c r="H9" s="18" t="n">
        <f aca="false">IF(B9="","",D9+E9-F9-G9)</f>
        <v>125</v>
      </c>
      <c r="I9" s="22"/>
      <c r="J9" s="18" t="n">
        <f aca="false">IF(B9="","",H9-N(I9))</f>
        <v>125</v>
      </c>
    </row>
    <row r="10" customFormat="false" ht="15" hidden="false" customHeight="false" outlineLevel="0" collapsed="false">
      <c r="A10" s="39" t="str">
        <f aca="false">IF(B10="","","الفترة الثانية")</f>
        <v>الفترة الثانية</v>
      </c>
      <c r="B10" s="38" t="n">
        <f aca="false">IF(AND(MGR_START+10*($L$8+1)+9&gt;=MSTART,MGR_START+10*($L$8+1)+9&lt;=MEND),MGR_START+10*($L$8+1),"")</f>
        <v>46301</v>
      </c>
      <c r="C10" s="38" t="n">
        <f aca="false">IF(B10="","",B10+9)</f>
        <v>46310</v>
      </c>
      <c r="D10" s="18" t="n">
        <f aca="false">IF(B10="","",MGR_SAL)</f>
        <v>125</v>
      </c>
      <c r="E10" s="18" t="n">
        <f aca="false">IF(B10="","",0)</f>
        <v>0</v>
      </c>
      <c r="F10" s="18" t="n">
        <f aca="false">IF(B10="","",SUMIFS($B$18:$B$42,$A$18:$A$42,"&gt;="&amp;B10,$A$18:$A$42,"&lt;="&amp;C10))</f>
        <v>0</v>
      </c>
      <c r="G10" s="18" t="n">
        <f aca="false">IF(B10="","",MIN($D$6,MAX(0,$C$6+SUMIFS($C$18:$C$42,$A$18:$A$42,"&lt;="&amp;C10)-SUMIFS($D$18:$D$42,$A$18:$A$42,"&lt;="&amp;C10)-SUM(G9:G9))))</f>
        <v>0</v>
      </c>
      <c r="H10" s="18" t="n">
        <f aca="false">IF(B10="","",D10+E10-F10-G10)</f>
        <v>125</v>
      </c>
      <c r="I10" s="22"/>
      <c r="J10" s="18" t="n">
        <f aca="false">IF(B10="","",H10-N(I10))</f>
        <v>125</v>
      </c>
    </row>
    <row r="11" customFormat="false" ht="15" hidden="false" customHeight="false" outlineLevel="0" collapsed="false">
      <c r="A11" s="39" t="str">
        <f aca="false">IF(B11="","","الفترة الثالثة")</f>
        <v>الفترة الثالثة</v>
      </c>
      <c r="B11" s="38" t="n">
        <f aca="false">IF(AND(MGR_START+10*($L$8+2)+9&gt;=MSTART,MGR_START+10*($L$8+2)+9&lt;=MEND),MGR_START+10*($L$8+2),"")</f>
        <v>46311</v>
      </c>
      <c r="C11" s="38" t="n">
        <f aca="false">IF(B11="","",B11+9)</f>
        <v>46320</v>
      </c>
      <c r="D11" s="18" t="n">
        <f aca="false">IF(B11="","",MGR_SAL)</f>
        <v>125</v>
      </c>
      <c r="E11" s="18" t="n">
        <f aca="false">IF(B11="","",0)</f>
        <v>0</v>
      </c>
      <c r="F11" s="18" t="n">
        <f aca="false">IF(B11="","",SUMIFS($B$18:$B$42,$A$18:$A$42,"&gt;="&amp;B11,$A$18:$A$42,"&lt;="&amp;C11))</f>
        <v>0</v>
      </c>
      <c r="G11" s="18" t="n">
        <f aca="false">IF(B11="","",MIN($D$6,MAX(0,$C$6+SUMIFS($C$18:$C$42,$A$18:$A$42,"&lt;="&amp;C11)-SUMIFS($D$18:$D$42,$A$18:$A$42,"&lt;="&amp;C11)-SUM(G9:G10))))</f>
        <v>0</v>
      </c>
      <c r="H11" s="18" t="n">
        <f aca="false">IF(B11="","",D11+E11-F11-G11)</f>
        <v>125</v>
      </c>
      <c r="I11" s="22"/>
      <c r="J11" s="18" t="n">
        <f aca="false">IF(B11="","",H11-N(I11))</f>
        <v>125</v>
      </c>
    </row>
    <row r="12" customFormat="false" ht="15" hidden="false" customHeight="false" outlineLevel="0" collapsed="false">
      <c r="A12" s="39" t="str">
        <f aca="false">IF(B12="","","الفترة الرابعة")</f>
        <v/>
      </c>
      <c r="B12" s="38" t="str">
        <f aca="false">IF(AND(MGR_START+10*($L$8+3)+9&gt;=MSTART,MGR_START+10*($L$8+3)+9&lt;=MEND),MGR_START+10*($L$8+3),"")</f>
        <v/>
      </c>
      <c r="C12" s="38" t="str">
        <f aca="false">IF(B12="","",B12+9)</f>
        <v/>
      </c>
      <c r="D12" s="18" t="str">
        <f aca="false">IF(B12="","",MGR_SAL)</f>
        <v/>
      </c>
      <c r="E12" s="18" t="str">
        <f aca="false">IF(B12="","",0)</f>
        <v/>
      </c>
      <c r="F12" s="18" t="str">
        <f aca="false">IF(B12="","",SUMIFS($B$18:$B$42,$A$18:$A$42,"&gt;="&amp;B12,$A$18:$A$42,"&lt;="&amp;C12))</f>
        <v/>
      </c>
      <c r="G12" s="18" t="str">
        <f aca="false">IF(B12="","",MIN($D$6,MAX(0,$C$6+SUMIFS($C$18:$C$42,$A$18:$A$42,"&lt;="&amp;C12)-SUMIFS($D$18:$D$42,$A$18:$A$42,"&lt;="&amp;C12)-SUM(G9:G11))))</f>
        <v/>
      </c>
      <c r="H12" s="18" t="str">
        <f aca="false">IF(B12="","",D12+E12-F12-G12)</f>
        <v/>
      </c>
      <c r="I12" s="22"/>
      <c r="J12" s="18" t="str">
        <f aca="false">IF(B12="","",H12-N(I12))</f>
        <v/>
      </c>
    </row>
    <row r="13" customFormat="false" ht="15" hidden="false" customHeight="false" outlineLevel="0" collapsed="false">
      <c r="A13" s="24" t="s">
        <v>26</v>
      </c>
      <c r="B13" s="24"/>
      <c r="C13" s="24"/>
      <c r="D13" s="26" t="n">
        <f aca="false">SUM(D9:D12)</f>
        <v>375</v>
      </c>
      <c r="E13" s="26" t="n">
        <f aca="false">SUM(E9:E12)</f>
        <v>0</v>
      </c>
      <c r="F13" s="26" t="n">
        <f aca="false">SUM(F9:F12)</f>
        <v>0</v>
      </c>
      <c r="G13" s="26" t="n">
        <f aca="false">SUM(G9:G12)</f>
        <v>0</v>
      </c>
      <c r="H13" s="26" t="n">
        <f aca="false">SUM(H9:H12)</f>
        <v>375</v>
      </c>
      <c r="I13" s="26" t="n">
        <f aca="false">SUM(I9:I12)</f>
        <v>0</v>
      </c>
      <c r="J13" s="26" t="n">
        <f aca="false">SUM(J9:J12)</f>
        <v>375</v>
      </c>
    </row>
    <row r="15" customFormat="false" ht="15" hidden="false" customHeight="false" outlineLevel="0" collapsed="false">
      <c r="A15" s="61" t="s">
        <v>65</v>
      </c>
      <c r="C15" s="62" t="s">
        <v>66</v>
      </c>
      <c r="D15" s="32" t="n">
        <f aca="false">J13</f>
        <v>375</v>
      </c>
      <c r="E15" s="62" t="s">
        <v>67</v>
      </c>
      <c r="F15" s="32" t="n">
        <f aca="false">C6+SUM(C18:C42)-SUM(D18:D42)-G13</f>
        <v>0</v>
      </c>
    </row>
    <row r="17" customFormat="false" ht="27.75" hidden="false" customHeight="true" outlineLevel="0" collapsed="false">
      <c r="A17" s="10" t="s">
        <v>31</v>
      </c>
      <c r="B17" s="10" t="s">
        <v>48</v>
      </c>
      <c r="C17" s="10" t="s">
        <v>49</v>
      </c>
      <c r="D17" s="10" t="s">
        <v>50</v>
      </c>
      <c r="E17" s="10" t="s">
        <v>51</v>
      </c>
      <c r="F17" s="10"/>
      <c r="G17" s="10"/>
      <c r="H17" s="10"/>
      <c r="I17" s="10"/>
      <c r="J17" s="10"/>
    </row>
    <row r="18" customFormat="false" ht="15" hidden="false" customHeight="false" outlineLevel="0" collapsed="false">
      <c r="A18" s="56"/>
      <c r="B18" s="22"/>
      <c r="C18" s="22"/>
      <c r="D18" s="22"/>
      <c r="E18" s="63"/>
      <c r="F18" s="63"/>
      <c r="G18" s="63"/>
      <c r="H18" s="63"/>
      <c r="I18" s="63"/>
      <c r="J18" s="63"/>
    </row>
    <row r="19" customFormat="false" ht="15" hidden="false" customHeight="false" outlineLevel="0" collapsed="false">
      <c r="A19" s="56"/>
      <c r="B19" s="22"/>
      <c r="C19" s="22"/>
      <c r="D19" s="22"/>
      <c r="E19" s="63"/>
      <c r="F19" s="63"/>
      <c r="G19" s="63"/>
      <c r="H19" s="63"/>
      <c r="I19" s="63"/>
      <c r="J19" s="63"/>
    </row>
    <row r="20" customFormat="false" ht="15" hidden="false" customHeight="false" outlineLevel="0" collapsed="false">
      <c r="A20" s="56"/>
      <c r="B20" s="22"/>
      <c r="C20" s="22"/>
      <c r="D20" s="22"/>
      <c r="E20" s="63"/>
      <c r="F20" s="63"/>
      <c r="G20" s="63"/>
      <c r="H20" s="63"/>
      <c r="I20" s="63"/>
      <c r="J20" s="63"/>
    </row>
    <row r="21" customFormat="false" ht="15" hidden="false" customHeight="false" outlineLevel="0" collapsed="false">
      <c r="A21" s="56"/>
      <c r="B21" s="22"/>
      <c r="C21" s="22"/>
      <c r="D21" s="22"/>
      <c r="E21" s="63"/>
      <c r="F21" s="63"/>
      <c r="G21" s="63"/>
      <c r="H21" s="63"/>
      <c r="I21" s="63"/>
      <c r="J21" s="63"/>
    </row>
    <row r="22" customFormat="false" ht="15" hidden="false" customHeight="false" outlineLevel="0" collapsed="false">
      <c r="A22" s="56"/>
      <c r="B22" s="22"/>
      <c r="C22" s="22"/>
      <c r="D22" s="22"/>
      <c r="E22" s="63"/>
      <c r="F22" s="63"/>
      <c r="G22" s="63"/>
      <c r="H22" s="63"/>
      <c r="I22" s="63"/>
      <c r="J22" s="63"/>
    </row>
    <row r="23" customFormat="false" ht="15" hidden="false" customHeight="false" outlineLevel="0" collapsed="false">
      <c r="A23" s="56"/>
      <c r="B23" s="22"/>
      <c r="C23" s="22"/>
      <c r="D23" s="22"/>
      <c r="E23" s="63"/>
      <c r="F23" s="63"/>
      <c r="G23" s="63"/>
      <c r="H23" s="63"/>
      <c r="I23" s="63"/>
      <c r="J23" s="63"/>
    </row>
    <row r="24" customFormat="false" ht="15" hidden="false" customHeight="false" outlineLevel="0" collapsed="false">
      <c r="A24" s="56"/>
      <c r="B24" s="22"/>
      <c r="C24" s="22"/>
      <c r="D24" s="22"/>
      <c r="E24" s="63"/>
      <c r="F24" s="63"/>
      <c r="G24" s="63"/>
      <c r="H24" s="63"/>
      <c r="I24" s="63"/>
      <c r="J24" s="63"/>
    </row>
    <row r="25" customFormat="false" ht="15" hidden="false" customHeight="false" outlineLevel="0" collapsed="false">
      <c r="A25" s="56"/>
      <c r="B25" s="22"/>
      <c r="C25" s="22"/>
      <c r="D25" s="22"/>
      <c r="E25" s="63"/>
      <c r="F25" s="63"/>
      <c r="G25" s="63"/>
      <c r="H25" s="63"/>
      <c r="I25" s="63"/>
      <c r="J25" s="63"/>
    </row>
    <row r="26" customFormat="false" ht="15" hidden="false" customHeight="false" outlineLevel="0" collapsed="false">
      <c r="A26" s="56"/>
      <c r="B26" s="22"/>
      <c r="C26" s="22"/>
      <c r="D26" s="22"/>
      <c r="E26" s="63"/>
      <c r="F26" s="63"/>
      <c r="G26" s="63"/>
      <c r="H26" s="63"/>
      <c r="I26" s="63"/>
      <c r="J26" s="63"/>
    </row>
    <row r="27" customFormat="false" ht="15" hidden="false" customHeight="false" outlineLevel="0" collapsed="false">
      <c r="A27" s="56"/>
      <c r="B27" s="22"/>
      <c r="C27" s="22"/>
      <c r="D27" s="22"/>
      <c r="E27" s="63"/>
      <c r="F27" s="63"/>
      <c r="G27" s="63"/>
      <c r="H27" s="63"/>
      <c r="I27" s="63"/>
      <c r="J27" s="63"/>
    </row>
    <row r="28" customFormat="false" ht="15" hidden="false" customHeight="false" outlineLevel="0" collapsed="false">
      <c r="A28" s="56"/>
      <c r="B28" s="22"/>
      <c r="C28" s="22"/>
      <c r="D28" s="22"/>
      <c r="E28" s="63"/>
      <c r="F28" s="63"/>
      <c r="G28" s="63"/>
      <c r="H28" s="63"/>
      <c r="I28" s="63"/>
      <c r="J28" s="63"/>
    </row>
    <row r="29" customFormat="false" ht="15" hidden="false" customHeight="false" outlineLevel="0" collapsed="false">
      <c r="A29" s="56"/>
      <c r="B29" s="22"/>
      <c r="C29" s="22"/>
      <c r="D29" s="22"/>
      <c r="E29" s="63"/>
      <c r="F29" s="63"/>
      <c r="G29" s="63"/>
      <c r="H29" s="63"/>
      <c r="I29" s="63"/>
      <c r="J29" s="63"/>
    </row>
    <row r="30" customFormat="false" ht="15" hidden="false" customHeight="false" outlineLevel="0" collapsed="false">
      <c r="A30" s="56"/>
      <c r="B30" s="22"/>
      <c r="C30" s="22"/>
      <c r="D30" s="22"/>
      <c r="E30" s="63"/>
      <c r="F30" s="63"/>
      <c r="G30" s="63"/>
      <c r="H30" s="63"/>
      <c r="I30" s="63"/>
      <c r="J30" s="63"/>
    </row>
    <row r="31" customFormat="false" ht="15" hidden="false" customHeight="false" outlineLevel="0" collapsed="false">
      <c r="A31" s="56"/>
      <c r="B31" s="22"/>
      <c r="C31" s="22"/>
      <c r="D31" s="22"/>
      <c r="E31" s="63"/>
      <c r="F31" s="63"/>
      <c r="G31" s="63"/>
      <c r="H31" s="63"/>
      <c r="I31" s="63"/>
      <c r="J31" s="63"/>
    </row>
    <row r="32" customFormat="false" ht="15" hidden="false" customHeight="false" outlineLevel="0" collapsed="false">
      <c r="A32" s="56"/>
      <c r="B32" s="22"/>
      <c r="C32" s="22"/>
      <c r="D32" s="22"/>
      <c r="E32" s="63"/>
      <c r="F32" s="63"/>
      <c r="G32" s="63"/>
      <c r="H32" s="63"/>
      <c r="I32" s="63"/>
      <c r="J32" s="63"/>
    </row>
    <row r="33" customFormat="false" ht="15" hidden="false" customHeight="false" outlineLevel="0" collapsed="false">
      <c r="A33" s="56"/>
      <c r="B33" s="22"/>
      <c r="C33" s="22"/>
      <c r="D33" s="22"/>
      <c r="E33" s="63"/>
      <c r="F33" s="63"/>
      <c r="G33" s="63"/>
      <c r="H33" s="63"/>
      <c r="I33" s="63"/>
      <c r="J33" s="63"/>
    </row>
    <row r="34" customFormat="false" ht="15" hidden="false" customHeight="false" outlineLevel="0" collapsed="false">
      <c r="A34" s="56"/>
      <c r="B34" s="22"/>
      <c r="C34" s="22"/>
      <c r="D34" s="22"/>
      <c r="E34" s="63"/>
      <c r="F34" s="63"/>
      <c r="G34" s="63"/>
      <c r="H34" s="63"/>
      <c r="I34" s="63"/>
      <c r="J34" s="63"/>
    </row>
    <row r="35" customFormat="false" ht="15" hidden="false" customHeight="false" outlineLevel="0" collapsed="false">
      <c r="A35" s="56"/>
      <c r="B35" s="22"/>
      <c r="C35" s="22"/>
      <c r="D35" s="22"/>
      <c r="E35" s="63"/>
      <c r="F35" s="63"/>
      <c r="G35" s="63"/>
      <c r="H35" s="63"/>
      <c r="I35" s="63"/>
      <c r="J35" s="63"/>
    </row>
    <row r="36" customFormat="false" ht="15" hidden="false" customHeight="false" outlineLevel="0" collapsed="false">
      <c r="A36" s="56"/>
      <c r="B36" s="22"/>
      <c r="C36" s="22"/>
      <c r="D36" s="22"/>
      <c r="E36" s="63"/>
      <c r="F36" s="63"/>
      <c r="G36" s="63"/>
      <c r="H36" s="63"/>
      <c r="I36" s="63"/>
      <c r="J36" s="63"/>
    </row>
    <row r="37" customFormat="false" ht="15" hidden="false" customHeight="false" outlineLevel="0" collapsed="false">
      <c r="A37" s="56"/>
      <c r="B37" s="22"/>
      <c r="C37" s="22"/>
      <c r="D37" s="22"/>
      <c r="E37" s="63"/>
      <c r="F37" s="63"/>
      <c r="G37" s="63"/>
      <c r="H37" s="63"/>
      <c r="I37" s="63"/>
      <c r="J37" s="63"/>
    </row>
    <row r="38" customFormat="false" ht="15" hidden="false" customHeight="false" outlineLevel="0" collapsed="false">
      <c r="A38" s="56"/>
      <c r="B38" s="22"/>
      <c r="C38" s="22"/>
      <c r="D38" s="22"/>
      <c r="E38" s="63"/>
      <c r="F38" s="63"/>
      <c r="G38" s="63"/>
      <c r="H38" s="63"/>
      <c r="I38" s="63"/>
      <c r="J38" s="63"/>
    </row>
    <row r="39" customFormat="false" ht="15" hidden="false" customHeight="false" outlineLevel="0" collapsed="false">
      <c r="A39" s="56"/>
      <c r="B39" s="22"/>
      <c r="C39" s="22"/>
      <c r="D39" s="22"/>
      <c r="E39" s="63"/>
      <c r="F39" s="63"/>
      <c r="G39" s="63"/>
      <c r="H39" s="63"/>
      <c r="I39" s="63"/>
      <c r="J39" s="63"/>
    </row>
    <row r="40" customFormat="false" ht="15" hidden="false" customHeight="false" outlineLevel="0" collapsed="false">
      <c r="A40" s="56"/>
      <c r="B40" s="22"/>
      <c r="C40" s="22"/>
      <c r="D40" s="22"/>
      <c r="E40" s="63"/>
      <c r="F40" s="63"/>
      <c r="G40" s="63"/>
      <c r="H40" s="63"/>
      <c r="I40" s="63"/>
      <c r="J40" s="63"/>
    </row>
    <row r="41" customFormat="false" ht="15" hidden="false" customHeight="false" outlineLevel="0" collapsed="false">
      <c r="A41" s="56"/>
      <c r="B41" s="22"/>
      <c r="C41" s="22"/>
      <c r="D41" s="22"/>
      <c r="E41" s="63"/>
      <c r="F41" s="63"/>
      <c r="G41" s="63"/>
      <c r="H41" s="63"/>
      <c r="I41" s="63"/>
      <c r="J41" s="63"/>
    </row>
    <row r="42" customFormat="false" ht="15" hidden="false" customHeight="false" outlineLevel="0" collapsed="false">
      <c r="A42" s="56"/>
      <c r="B42" s="22"/>
      <c r="C42" s="22"/>
      <c r="D42" s="22"/>
      <c r="E42" s="63"/>
      <c r="F42" s="63"/>
      <c r="G42" s="63"/>
      <c r="H42" s="63"/>
      <c r="I42" s="63"/>
      <c r="J42" s="63"/>
    </row>
  </sheetData>
  <sheetProtection sheet="true" formatColumns="false" formatRows="false"/>
  <mergeCells count="29">
    <mergeCell ref="A1:J1"/>
    <mergeCell ref="A2:J2"/>
    <mergeCell ref="A3:J3"/>
    <mergeCell ref="E17:J17"/>
    <mergeCell ref="E18:J18"/>
    <mergeCell ref="E19:J19"/>
    <mergeCell ref="E20:J20"/>
    <mergeCell ref="E21:J21"/>
    <mergeCell ref="E22:J22"/>
    <mergeCell ref="E23:J23"/>
    <mergeCell ref="E24:J24"/>
    <mergeCell ref="E25:J25"/>
    <mergeCell ref="E26:J26"/>
    <mergeCell ref="E27:J27"/>
    <mergeCell ref="E28:J28"/>
    <mergeCell ref="E29:J29"/>
    <mergeCell ref="E30:J30"/>
    <mergeCell ref="E31:J31"/>
    <mergeCell ref="E32:J32"/>
    <mergeCell ref="E33:J33"/>
    <mergeCell ref="E34:J34"/>
    <mergeCell ref="E35:J35"/>
    <mergeCell ref="E36:J36"/>
    <mergeCell ref="E37:J37"/>
    <mergeCell ref="E38:J38"/>
    <mergeCell ref="E39:J39"/>
    <mergeCell ref="E40:J40"/>
    <mergeCell ref="E41:J41"/>
    <mergeCell ref="E42:J42"/>
  </mergeCells>
  <dataValidations count="1">
    <dataValidation allowBlank="true" error="اكتب التاريخ يوم/شهر/سنة" errorStyle="stop" errorTitle="تاريخ غلط" operator="between" prompt="يوم/شهر/سنة  مثل 05/10/2026" promptTitle="التاريخ" showDropDown="false" showErrorMessage="true" showInputMessage="true" sqref="A18:A42" type="date">
      <formula1>MGR_START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</cols>
  <sheetData>
    <row r="1" customFormat="false" ht="31.5" hidden="false" customHeight="true" outlineLevel="0" collapsed="false">
      <c r="A1" s="64" t="s">
        <v>68</v>
      </c>
      <c r="B1" s="64"/>
      <c r="C1" s="64"/>
      <c r="D1" s="64"/>
      <c r="E1" s="64"/>
    </row>
    <row r="2" customFormat="false" ht="21.75" hidden="false" customHeight="true" outlineLevel="0" collapsed="false">
      <c r="A2" s="65" t="str">
        <f aca="false">"شهر "&amp;TEXT(التسوية!$C$3,"00")&amp;" / "&amp;التسوية!$E$3</f>
        <v>شهر 10 / 2026</v>
      </c>
      <c r="B2" s="65"/>
      <c r="C2" s="65"/>
      <c r="D2" s="65"/>
      <c r="E2" s="65"/>
    </row>
    <row r="3" customFormat="false" ht="15" hidden="false" customHeight="true" outlineLevel="0" collapsed="false">
      <c r="A3" s="35" t="s">
        <v>69</v>
      </c>
      <c r="B3" s="35"/>
      <c r="C3" s="35"/>
      <c r="D3" s="35"/>
      <c r="E3" s="35"/>
    </row>
    <row r="5" customFormat="false" ht="30" hidden="false" customHeight="true" outlineLevel="0" collapsed="false">
      <c r="A5" s="66" t="s">
        <v>31</v>
      </c>
      <c r="B5" s="66" t="s">
        <v>70</v>
      </c>
      <c r="C5" s="66" t="s">
        <v>71</v>
      </c>
      <c r="D5" s="66" t="s">
        <v>72</v>
      </c>
      <c r="E5" s="66" t="s">
        <v>37</v>
      </c>
    </row>
    <row r="6" customFormat="false" ht="15" hidden="false" customHeight="false" outlineLevel="0" collapsed="false">
      <c r="A6" s="56"/>
      <c r="B6" s="40"/>
      <c r="C6" s="57"/>
      <c r="D6" s="22"/>
      <c r="E6" s="57"/>
    </row>
    <row r="7" customFormat="false" ht="15" hidden="false" customHeight="false" outlineLevel="0" collapsed="false">
      <c r="A7" s="56"/>
      <c r="B7" s="40"/>
      <c r="C7" s="57"/>
      <c r="D7" s="22"/>
      <c r="E7" s="57"/>
    </row>
    <row r="8" customFormat="false" ht="15" hidden="false" customHeight="false" outlineLevel="0" collapsed="false">
      <c r="A8" s="56"/>
      <c r="B8" s="40"/>
      <c r="C8" s="57"/>
      <c r="D8" s="22"/>
      <c r="E8" s="57"/>
    </row>
    <row r="9" customFormat="false" ht="15" hidden="false" customHeight="false" outlineLevel="0" collapsed="false">
      <c r="A9" s="56"/>
      <c r="B9" s="40"/>
      <c r="C9" s="57"/>
      <c r="D9" s="22"/>
      <c r="E9" s="57"/>
    </row>
    <row r="10" customFormat="false" ht="15" hidden="false" customHeight="false" outlineLevel="0" collapsed="false">
      <c r="A10" s="56"/>
      <c r="B10" s="40"/>
      <c r="C10" s="57"/>
      <c r="D10" s="22"/>
      <c r="E10" s="57"/>
    </row>
    <row r="11" customFormat="false" ht="15" hidden="false" customHeight="false" outlineLevel="0" collapsed="false">
      <c r="A11" s="56"/>
      <c r="B11" s="40"/>
      <c r="C11" s="57"/>
      <c r="D11" s="22"/>
      <c r="E11" s="57"/>
    </row>
    <row r="12" customFormat="false" ht="15" hidden="false" customHeight="false" outlineLevel="0" collapsed="false">
      <c r="A12" s="56"/>
      <c r="B12" s="40"/>
      <c r="C12" s="57"/>
      <c r="D12" s="22"/>
      <c r="E12" s="57"/>
    </row>
    <row r="13" customFormat="false" ht="15" hidden="false" customHeight="false" outlineLevel="0" collapsed="false">
      <c r="A13" s="56"/>
      <c r="B13" s="40"/>
      <c r="C13" s="57"/>
      <c r="D13" s="22"/>
      <c r="E13" s="57"/>
    </row>
    <row r="14" customFormat="false" ht="15" hidden="false" customHeight="false" outlineLevel="0" collapsed="false">
      <c r="A14" s="56"/>
      <c r="B14" s="40"/>
      <c r="C14" s="57"/>
      <c r="D14" s="22"/>
      <c r="E14" s="57"/>
    </row>
    <row r="15" customFormat="false" ht="15" hidden="false" customHeight="false" outlineLevel="0" collapsed="false">
      <c r="A15" s="56"/>
      <c r="B15" s="40"/>
      <c r="C15" s="57"/>
      <c r="D15" s="22"/>
      <c r="E15" s="57"/>
    </row>
    <row r="16" customFormat="false" ht="15" hidden="false" customHeight="false" outlineLevel="0" collapsed="false">
      <c r="A16" s="56"/>
      <c r="B16" s="40"/>
      <c r="C16" s="57"/>
      <c r="D16" s="22"/>
      <c r="E16" s="57"/>
    </row>
    <row r="17" customFormat="false" ht="15" hidden="false" customHeight="false" outlineLevel="0" collapsed="false">
      <c r="A17" s="56"/>
      <c r="B17" s="40"/>
      <c r="C17" s="57"/>
      <c r="D17" s="22"/>
      <c r="E17" s="57"/>
    </row>
    <row r="18" customFormat="false" ht="15" hidden="false" customHeight="false" outlineLevel="0" collapsed="false">
      <c r="A18" s="56"/>
      <c r="B18" s="40"/>
      <c r="C18" s="57"/>
      <c r="D18" s="22"/>
      <c r="E18" s="57"/>
    </row>
    <row r="19" customFormat="false" ht="15" hidden="false" customHeight="false" outlineLevel="0" collapsed="false">
      <c r="A19" s="56"/>
      <c r="B19" s="40"/>
      <c r="C19" s="57"/>
      <c r="D19" s="22"/>
      <c r="E19" s="57"/>
    </row>
    <row r="20" customFormat="false" ht="15" hidden="false" customHeight="false" outlineLevel="0" collapsed="false">
      <c r="A20" s="56"/>
      <c r="B20" s="40"/>
      <c r="C20" s="57"/>
      <c r="D20" s="22"/>
      <c r="E20" s="57"/>
    </row>
    <row r="21" customFormat="false" ht="15" hidden="false" customHeight="false" outlineLevel="0" collapsed="false">
      <c r="A21" s="56"/>
      <c r="B21" s="40"/>
      <c r="C21" s="57"/>
      <c r="D21" s="22"/>
      <c r="E21" s="57"/>
    </row>
    <row r="22" customFormat="false" ht="15" hidden="false" customHeight="false" outlineLevel="0" collapsed="false">
      <c r="A22" s="56"/>
      <c r="B22" s="40"/>
      <c r="C22" s="57"/>
      <c r="D22" s="22"/>
      <c r="E22" s="57"/>
    </row>
    <row r="23" customFormat="false" ht="15" hidden="false" customHeight="false" outlineLevel="0" collapsed="false">
      <c r="A23" s="56"/>
      <c r="B23" s="40"/>
      <c r="C23" s="57"/>
      <c r="D23" s="22"/>
      <c r="E23" s="57"/>
    </row>
    <row r="24" customFormat="false" ht="15" hidden="false" customHeight="false" outlineLevel="0" collapsed="false">
      <c r="A24" s="56"/>
      <c r="B24" s="40"/>
      <c r="C24" s="57"/>
      <c r="D24" s="22"/>
      <c r="E24" s="57"/>
    </row>
    <row r="25" customFormat="false" ht="15" hidden="false" customHeight="false" outlineLevel="0" collapsed="false">
      <c r="A25" s="56"/>
      <c r="B25" s="40"/>
      <c r="C25" s="57"/>
      <c r="D25" s="22"/>
      <c r="E25" s="57"/>
    </row>
    <row r="26" customFormat="false" ht="15" hidden="false" customHeight="false" outlineLevel="0" collapsed="false">
      <c r="A26" s="56"/>
      <c r="B26" s="40"/>
      <c r="C26" s="57"/>
      <c r="D26" s="22"/>
      <c r="E26" s="57"/>
    </row>
    <row r="27" customFormat="false" ht="15" hidden="false" customHeight="false" outlineLevel="0" collapsed="false">
      <c r="A27" s="56"/>
      <c r="B27" s="40"/>
      <c r="C27" s="57"/>
      <c r="D27" s="22"/>
      <c r="E27" s="57"/>
    </row>
    <row r="28" customFormat="false" ht="15" hidden="false" customHeight="false" outlineLevel="0" collapsed="false">
      <c r="A28" s="56"/>
      <c r="B28" s="40"/>
      <c r="C28" s="57"/>
      <c r="D28" s="22"/>
      <c r="E28" s="57"/>
    </row>
    <row r="29" customFormat="false" ht="15" hidden="false" customHeight="false" outlineLevel="0" collapsed="false">
      <c r="A29" s="56"/>
      <c r="B29" s="40"/>
      <c r="C29" s="57"/>
      <c r="D29" s="22"/>
      <c r="E29" s="57"/>
    </row>
    <row r="30" customFormat="false" ht="15" hidden="false" customHeight="false" outlineLevel="0" collapsed="false">
      <c r="A30" s="56"/>
      <c r="B30" s="40"/>
      <c r="C30" s="57"/>
      <c r="D30" s="22"/>
      <c r="E30" s="57"/>
    </row>
    <row r="31" customFormat="false" ht="15" hidden="false" customHeight="false" outlineLevel="0" collapsed="false">
      <c r="A31" s="56"/>
      <c r="B31" s="40"/>
      <c r="C31" s="57"/>
      <c r="D31" s="22"/>
      <c r="E31" s="57"/>
    </row>
    <row r="32" customFormat="false" ht="15" hidden="false" customHeight="false" outlineLevel="0" collapsed="false">
      <c r="A32" s="56"/>
      <c r="B32" s="40"/>
      <c r="C32" s="57"/>
      <c r="D32" s="22"/>
      <c r="E32" s="57"/>
    </row>
    <row r="33" customFormat="false" ht="15" hidden="false" customHeight="false" outlineLevel="0" collapsed="false">
      <c r="A33" s="56"/>
      <c r="B33" s="40"/>
      <c r="C33" s="57"/>
      <c r="D33" s="22"/>
      <c r="E33" s="57"/>
    </row>
    <row r="34" customFormat="false" ht="15" hidden="false" customHeight="false" outlineLevel="0" collapsed="false">
      <c r="A34" s="56"/>
      <c r="B34" s="40"/>
      <c r="C34" s="57"/>
      <c r="D34" s="22"/>
      <c r="E34" s="57"/>
    </row>
    <row r="35" customFormat="false" ht="15" hidden="false" customHeight="false" outlineLevel="0" collapsed="false">
      <c r="A35" s="56"/>
      <c r="B35" s="40"/>
      <c r="C35" s="57"/>
      <c r="D35" s="22"/>
      <c r="E35" s="57"/>
    </row>
    <row r="36" customFormat="false" ht="15" hidden="false" customHeight="false" outlineLevel="0" collapsed="false">
      <c r="A36" s="56"/>
      <c r="B36" s="40"/>
      <c r="C36" s="57"/>
      <c r="D36" s="22"/>
      <c r="E36" s="57"/>
    </row>
    <row r="37" customFormat="false" ht="15" hidden="false" customHeight="false" outlineLevel="0" collapsed="false">
      <c r="A37" s="56"/>
      <c r="B37" s="40"/>
      <c r="C37" s="57"/>
      <c r="D37" s="22"/>
      <c r="E37" s="57"/>
    </row>
    <row r="38" customFormat="false" ht="15" hidden="false" customHeight="false" outlineLevel="0" collapsed="false">
      <c r="A38" s="56"/>
      <c r="B38" s="40"/>
      <c r="C38" s="57"/>
      <c r="D38" s="22"/>
      <c r="E38" s="57"/>
    </row>
    <row r="39" customFormat="false" ht="15" hidden="false" customHeight="false" outlineLevel="0" collapsed="false">
      <c r="A39" s="56"/>
      <c r="B39" s="40"/>
      <c r="C39" s="57"/>
      <c r="D39" s="22"/>
      <c r="E39" s="57"/>
    </row>
    <row r="40" customFormat="false" ht="15" hidden="false" customHeight="false" outlineLevel="0" collapsed="false">
      <c r="A40" s="56"/>
      <c r="B40" s="40"/>
      <c r="C40" s="57"/>
      <c r="D40" s="22"/>
      <c r="E40" s="57"/>
    </row>
    <row r="41" customFormat="false" ht="15" hidden="false" customHeight="false" outlineLevel="0" collapsed="false">
      <c r="A41" s="56"/>
      <c r="B41" s="40"/>
      <c r="C41" s="57"/>
      <c r="D41" s="22"/>
      <c r="E41" s="57"/>
    </row>
    <row r="42" customFormat="false" ht="15" hidden="false" customHeight="false" outlineLevel="0" collapsed="false">
      <c r="A42" s="56"/>
      <c r="B42" s="40"/>
      <c r="C42" s="57"/>
      <c r="D42" s="22"/>
      <c r="E42" s="57"/>
    </row>
    <row r="43" customFormat="false" ht="15" hidden="false" customHeight="false" outlineLevel="0" collapsed="false">
      <c r="A43" s="56"/>
      <c r="B43" s="40"/>
      <c r="C43" s="57"/>
      <c r="D43" s="22"/>
      <c r="E43" s="57"/>
    </row>
    <row r="44" customFormat="false" ht="15" hidden="false" customHeight="false" outlineLevel="0" collapsed="false">
      <c r="A44" s="56"/>
      <c r="B44" s="40"/>
      <c r="C44" s="57"/>
      <c r="D44" s="22"/>
      <c r="E44" s="57"/>
    </row>
    <row r="45" customFormat="false" ht="15" hidden="false" customHeight="false" outlineLevel="0" collapsed="false">
      <c r="A45" s="56"/>
      <c r="B45" s="40"/>
      <c r="C45" s="57"/>
      <c r="D45" s="22"/>
      <c r="E45" s="57"/>
    </row>
    <row r="46" customFormat="false" ht="15" hidden="false" customHeight="false" outlineLevel="0" collapsed="false">
      <c r="A46" s="56"/>
      <c r="B46" s="40"/>
      <c r="C46" s="57"/>
      <c r="D46" s="22"/>
      <c r="E46" s="57"/>
    </row>
    <row r="47" customFormat="false" ht="15" hidden="false" customHeight="false" outlineLevel="0" collapsed="false">
      <c r="A47" s="56"/>
      <c r="B47" s="40"/>
      <c r="C47" s="57"/>
      <c r="D47" s="22"/>
      <c r="E47" s="57"/>
    </row>
    <row r="48" customFormat="false" ht="15" hidden="false" customHeight="false" outlineLevel="0" collapsed="false">
      <c r="A48" s="56"/>
      <c r="B48" s="40"/>
      <c r="C48" s="57"/>
      <c r="D48" s="22"/>
      <c r="E48" s="57"/>
    </row>
    <row r="49" customFormat="false" ht="15" hidden="false" customHeight="false" outlineLevel="0" collapsed="false">
      <c r="A49" s="56"/>
      <c r="B49" s="40"/>
      <c r="C49" s="57"/>
      <c r="D49" s="22"/>
      <c r="E49" s="57"/>
    </row>
    <row r="50" customFormat="false" ht="15" hidden="false" customHeight="false" outlineLevel="0" collapsed="false">
      <c r="A50" s="56"/>
      <c r="B50" s="40"/>
      <c r="C50" s="57"/>
      <c r="D50" s="22"/>
      <c r="E50" s="57"/>
    </row>
    <row r="51" customFormat="false" ht="15" hidden="false" customHeight="false" outlineLevel="0" collapsed="false">
      <c r="A51" s="56"/>
      <c r="B51" s="40"/>
      <c r="C51" s="57"/>
      <c r="D51" s="22"/>
      <c r="E51" s="57"/>
    </row>
    <row r="52" customFormat="false" ht="15" hidden="false" customHeight="false" outlineLevel="0" collapsed="false">
      <c r="A52" s="56"/>
      <c r="B52" s="40"/>
      <c r="C52" s="57"/>
      <c r="D52" s="22"/>
      <c r="E52" s="57"/>
    </row>
    <row r="53" customFormat="false" ht="15" hidden="false" customHeight="false" outlineLevel="0" collapsed="false">
      <c r="A53" s="56"/>
      <c r="B53" s="40"/>
      <c r="C53" s="57"/>
      <c r="D53" s="22"/>
      <c r="E53" s="57"/>
    </row>
    <row r="54" customFormat="false" ht="15" hidden="false" customHeight="false" outlineLevel="0" collapsed="false">
      <c r="A54" s="56"/>
      <c r="B54" s="40"/>
      <c r="C54" s="57"/>
      <c r="D54" s="22"/>
      <c r="E54" s="57"/>
    </row>
    <row r="55" customFormat="false" ht="15" hidden="false" customHeight="false" outlineLevel="0" collapsed="false">
      <c r="A55" s="56"/>
      <c r="B55" s="40"/>
      <c r="C55" s="57"/>
      <c r="D55" s="22"/>
      <c r="E55" s="57"/>
    </row>
    <row r="56" customFormat="false" ht="15" hidden="false" customHeight="false" outlineLevel="0" collapsed="false">
      <c r="A56" s="56"/>
      <c r="B56" s="40"/>
      <c r="C56" s="57"/>
      <c r="D56" s="22"/>
      <c r="E56" s="57"/>
    </row>
    <row r="57" customFormat="false" ht="15" hidden="false" customHeight="false" outlineLevel="0" collapsed="false">
      <c r="A57" s="56"/>
      <c r="B57" s="40"/>
      <c r="C57" s="57"/>
      <c r="D57" s="22"/>
      <c r="E57" s="57"/>
    </row>
    <row r="58" customFormat="false" ht="15" hidden="false" customHeight="false" outlineLevel="0" collapsed="false">
      <c r="A58" s="56"/>
      <c r="B58" s="40"/>
      <c r="C58" s="57"/>
      <c r="D58" s="22"/>
      <c r="E58" s="57"/>
    </row>
    <row r="59" customFormat="false" ht="15" hidden="false" customHeight="false" outlineLevel="0" collapsed="false">
      <c r="A59" s="56"/>
      <c r="B59" s="40"/>
      <c r="C59" s="57"/>
      <c r="D59" s="22"/>
      <c r="E59" s="57"/>
    </row>
    <row r="60" customFormat="false" ht="15" hidden="false" customHeight="false" outlineLevel="0" collapsed="false">
      <c r="A60" s="56"/>
      <c r="B60" s="40"/>
      <c r="C60" s="57"/>
      <c r="D60" s="22"/>
      <c r="E60" s="57"/>
    </row>
    <row r="61" customFormat="false" ht="15" hidden="false" customHeight="false" outlineLevel="0" collapsed="false">
      <c r="A61" s="56"/>
      <c r="B61" s="40"/>
      <c r="C61" s="57"/>
      <c r="D61" s="22"/>
      <c r="E61" s="57"/>
    </row>
    <row r="62" customFormat="false" ht="15" hidden="false" customHeight="false" outlineLevel="0" collapsed="false">
      <c r="A62" s="56"/>
      <c r="B62" s="40"/>
      <c r="C62" s="57"/>
      <c r="D62" s="22"/>
      <c r="E62" s="57"/>
    </row>
    <row r="63" customFormat="false" ht="15" hidden="false" customHeight="false" outlineLevel="0" collapsed="false">
      <c r="A63" s="56"/>
      <c r="B63" s="40"/>
      <c r="C63" s="57"/>
      <c r="D63" s="22"/>
      <c r="E63" s="57"/>
    </row>
    <row r="64" customFormat="false" ht="15" hidden="false" customHeight="false" outlineLevel="0" collapsed="false">
      <c r="A64" s="56"/>
      <c r="B64" s="40"/>
      <c r="C64" s="57"/>
      <c r="D64" s="22"/>
      <c r="E64" s="57"/>
    </row>
    <row r="65" customFormat="false" ht="15" hidden="false" customHeight="false" outlineLevel="0" collapsed="false">
      <c r="A65" s="56"/>
      <c r="B65" s="40"/>
      <c r="C65" s="57"/>
      <c r="D65" s="22"/>
      <c r="E65" s="57"/>
    </row>
    <row r="66" customFormat="false" ht="15" hidden="false" customHeight="false" outlineLevel="0" collapsed="false">
      <c r="C66" s="24" t="s">
        <v>26</v>
      </c>
      <c r="D66" s="67" t="n">
        <f aca="false">SUM(D6:D65)</f>
        <v>0</v>
      </c>
    </row>
    <row r="68" customFormat="false" ht="15" hidden="false" customHeight="true" outlineLevel="0" collapsed="false">
      <c r="A68" s="35" t="s">
        <v>73</v>
      </c>
      <c r="B68" s="35"/>
      <c r="C68" s="35"/>
      <c r="D68" s="35"/>
      <c r="E68" s="35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="اكتب التاريخ يوم/شهر/سنة — ومن أيام الشهر المختار" errorStyle="stop" errorTitle="تاريخ غلط" operator="between" prompt="يوم/شهر/سنة  مثل 05/10/2026" promptTitle="التاريخ" showDropDown="false" showErrorMessage="true" showInputMessage="true" sqref="A6:A65" type="date">
      <formula1>MSTART</formula1>
      <formula2>MEND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58" t="s">
        <v>74</v>
      </c>
      <c r="B1" s="58"/>
      <c r="C1" s="58"/>
      <c r="D1" s="58"/>
    </row>
    <row r="3" customFormat="false" ht="25.5" hidden="false" customHeight="true" outlineLevel="0" collapsed="false">
      <c r="A3" s="68" t="s">
        <v>75</v>
      </c>
      <c r="B3" s="68" t="s">
        <v>76</v>
      </c>
      <c r="C3" s="68" t="s">
        <v>77</v>
      </c>
      <c r="D3" s="68" t="s">
        <v>78</v>
      </c>
    </row>
    <row r="4" customFormat="false" ht="30" hidden="false" customHeight="true" outlineLevel="0" collapsed="false">
      <c r="A4" s="69" t="n">
        <v>1</v>
      </c>
      <c r="B4" s="70" t="s">
        <v>79</v>
      </c>
      <c r="C4" s="71" t="n">
        <v>1.25</v>
      </c>
      <c r="D4" s="72" t="s">
        <v>80</v>
      </c>
    </row>
    <row r="5" customFormat="false" ht="30" hidden="false" customHeight="true" outlineLevel="0" collapsed="false">
      <c r="A5" s="69" t="n">
        <v>2</v>
      </c>
      <c r="B5" s="70" t="s">
        <v>81</v>
      </c>
      <c r="C5" s="71" t="n">
        <v>1.5</v>
      </c>
      <c r="D5" s="72" t="s">
        <v>82</v>
      </c>
    </row>
    <row r="6" customFormat="false" ht="30" hidden="false" customHeight="true" outlineLevel="0" collapsed="false">
      <c r="A6" s="69" t="n">
        <v>3</v>
      </c>
      <c r="B6" s="70" t="s">
        <v>83</v>
      </c>
      <c r="C6" s="73" t="n">
        <v>0.75</v>
      </c>
      <c r="D6" s="72" t="s">
        <v>84</v>
      </c>
    </row>
    <row r="7" customFormat="false" ht="30" hidden="false" customHeight="true" outlineLevel="0" collapsed="false">
      <c r="A7" s="69" t="n">
        <v>4</v>
      </c>
      <c r="B7" s="70" t="s">
        <v>85</v>
      </c>
      <c r="C7" s="73" t="n">
        <v>0.583333333333333</v>
      </c>
      <c r="D7" s="72" t="s">
        <v>86</v>
      </c>
    </row>
    <row r="8" customFormat="false" ht="30" hidden="false" customHeight="true" outlineLevel="0" collapsed="false">
      <c r="A8" s="69" t="n">
        <v>5</v>
      </c>
      <c r="B8" s="70" t="s">
        <v>87</v>
      </c>
      <c r="C8" s="73" t="n">
        <v>0.958333333333333</v>
      </c>
      <c r="D8" s="72"/>
    </row>
    <row r="9" customFormat="false" ht="30" hidden="false" customHeight="true" outlineLevel="0" collapsed="false">
      <c r="A9" s="69" t="n">
        <v>6</v>
      </c>
      <c r="B9" s="70" t="s">
        <v>88</v>
      </c>
      <c r="C9" s="71" t="n">
        <v>1</v>
      </c>
      <c r="D9" s="72" t="s">
        <v>89</v>
      </c>
    </row>
    <row r="10" customFormat="false" ht="30" hidden="false" customHeight="true" outlineLevel="0" collapsed="false">
      <c r="A10" s="69" t="n">
        <v>7</v>
      </c>
      <c r="B10" s="70" t="s">
        <v>90</v>
      </c>
      <c r="C10" s="71" t="n">
        <v>2.5</v>
      </c>
      <c r="D10" s="72" t="s">
        <v>91</v>
      </c>
    </row>
    <row r="11" customFormat="false" ht="30" hidden="false" customHeight="true" outlineLevel="0" collapsed="false">
      <c r="A11" s="69" t="n">
        <v>8</v>
      </c>
      <c r="B11" s="70" t="s">
        <v>92</v>
      </c>
      <c r="C11" s="74" t="s">
        <v>93</v>
      </c>
      <c r="D11" s="72" t="s">
        <v>94</v>
      </c>
    </row>
    <row r="12" customFormat="false" ht="30" hidden="false" customHeight="true" outlineLevel="0" collapsed="false">
      <c r="A12" s="69" t="n">
        <v>9</v>
      </c>
      <c r="B12" s="70" t="s">
        <v>95</v>
      </c>
      <c r="C12" s="75" t="n">
        <v>0.5</v>
      </c>
      <c r="D12" s="72" t="s">
        <v>96</v>
      </c>
    </row>
    <row r="13" customFormat="false" ht="30" hidden="false" customHeight="true" outlineLevel="0" collapsed="false">
      <c r="A13" s="69" t="n">
        <v>10</v>
      </c>
      <c r="B13" s="70" t="s">
        <v>97</v>
      </c>
      <c r="C13" s="71" t="n">
        <v>125</v>
      </c>
      <c r="D13" s="72"/>
    </row>
    <row r="14" customFormat="false" ht="30" hidden="false" customHeight="true" outlineLevel="0" collapsed="false">
      <c r="A14" s="69" t="n">
        <v>11</v>
      </c>
      <c r="B14" s="70" t="s">
        <v>98</v>
      </c>
      <c r="C14" s="76" t="n">
        <v>46291</v>
      </c>
      <c r="D14" s="72" t="s">
        <v>99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77" t="s">
        <v>100</v>
      </c>
    </row>
    <row r="3" customFormat="false" ht="15" hidden="false" customHeight="false" outlineLevel="0" collapsed="false">
      <c r="B3" s="78" t="s">
        <v>101</v>
      </c>
    </row>
    <row r="4" customFormat="false" ht="33.75" hidden="false" customHeight="true" outlineLevel="0" collapsed="false">
      <c r="A4" s="79" t="s">
        <v>102</v>
      </c>
      <c r="B4" s="80" t="s">
        <v>103</v>
      </c>
    </row>
    <row r="5" customFormat="false" ht="33.75" hidden="false" customHeight="true" outlineLevel="0" collapsed="false">
      <c r="A5" s="79" t="s">
        <v>104</v>
      </c>
      <c r="B5" s="80" t="s">
        <v>105</v>
      </c>
    </row>
    <row r="6" customFormat="false" ht="15" hidden="false" customHeight="false" outlineLevel="0" collapsed="false">
      <c r="B6" s="78" t="s">
        <v>106</v>
      </c>
    </row>
    <row r="7" customFormat="false" ht="33.75" hidden="false" customHeight="true" outlineLevel="0" collapsed="false">
      <c r="A7" s="79" t="s">
        <v>107</v>
      </c>
      <c r="B7" s="80" t="s">
        <v>108</v>
      </c>
    </row>
    <row r="8" customFormat="false" ht="33.75" hidden="false" customHeight="true" outlineLevel="0" collapsed="false">
      <c r="A8" s="79" t="s">
        <v>109</v>
      </c>
      <c r="B8" s="80" t="s">
        <v>110</v>
      </c>
    </row>
    <row r="9" customFormat="false" ht="15" hidden="false" customHeight="false" outlineLevel="0" collapsed="false">
      <c r="B9" s="78" t="s">
        <v>111</v>
      </c>
    </row>
    <row r="10" customFormat="false" ht="33.75" hidden="false" customHeight="true" outlineLevel="0" collapsed="false">
      <c r="A10" s="79" t="s">
        <v>112</v>
      </c>
      <c r="B10" s="80" t="s">
        <v>113</v>
      </c>
    </row>
    <row r="11" customFormat="false" ht="33.75" hidden="false" customHeight="true" outlineLevel="0" collapsed="false">
      <c r="A11" s="79" t="s">
        <v>114</v>
      </c>
      <c r="B11" s="80" t="s">
        <v>115</v>
      </c>
    </row>
    <row r="12" customFormat="false" ht="33.75" hidden="false" customHeight="true" outlineLevel="0" collapsed="false">
      <c r="A12" s="79" t="s">
        <v>116</v>
      </c>
      <c r="B12" s="80" t="s">
        <v>117</v>
      </c>
    </row>
    <row r="13" customFormat="false" ht="15" hidden="false" customHeight="false" outlineLevel="0" collapsed="false">
      <c r="B13" s="78" t="s">
        <v>118</v>
      </c>
    </row>
    <row r="14" customFormat="false" ht="33.75" hidden="false" customHeight="true" outlineLevel="0" collapsed="false">
      <c r="A14" s="79" t="s">
        <v>119</v>
      </c>
      <c r="B14" s="80" t="s">
        <v>120</v>
      </c>
    </row>
    <row r="15" customFormat="false" ht="33.75" hidden="false" customHeight="true" outlineLevel="0" collapsed="false">
      <c r="A15" s="79" t="s">
        <v>121</v>
      </c>
      <c r="B15" s="80" t="s">
        <v>122</v>
      </c>
    </row>
    <row r="16" customFormat="false" ht="15" hidden="false" customHeight="false" outlineLevel="0" collapsed="false">
      <c r="B16" s="78" t="s">
        <v>123</v>
      </c>
    </row>
    <row r="17" customFormat="false" ht="33.75" hidden="false" customHeight="true" outlineLevel="0" collapsed="false">
      <c r="A17" s="79" t="s">
        <v>124</v>
      </c>
      <c r="B17" s="80" t="s">
        <v>125</v>
      </c>
    </row>
    <row r="18" customFormat="false" ht="15" hidden="false" customHeight="false" outlineLevel="0" collapsed="false">
      <c r="B18" s="78" t="s">
        <v>31</v>
      </c>
    </row>
    <row r="19" customFormat="false" ht="33.75" hidden="false" customHeight="true" outlineLevel="0" collapsed="false">
      <c r="A19" s="79" t="s">
        <v>126</v>
      </c>
      <c r="B19" s="80" t="s">
        <v>127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128</v>
      </c>
      <c r="B1" s="41" t="n">
        <v>0.25</v>
      </c>
      <c r="D1" s="0" t="n">
        <v>1</v>
      </c>
      <c r="E1" s="0" t="n">
        <v>2026</v>
      </c>
      <c r="G1" s="81" t="n">
        <f aca="false">DATE(التسوية!$E$3,التسوية!$C$3,1)</f>
        <v>46296</v>
      </c>
    </row>
    <row r="2" customFormat="false" ht="15" hidden="false" customHeight="false" outlineLevel="0" collapsed="false">
      <c r="A2" s="0" t="s">
        <v>129</v>
      </c>
      <c r="B2" s="41" t="n">
        <v>0.260416666666667</v>
      </c>
      <c r="D2" s="0" t="n">
        <v>2</v>
      </c>
      <c r="E2" s="0" t="n">
        <v>2027</v>
      </c>
      <c r="G2" s="81" t="n">
        <f aca="false">EOMONTH(G1,0)</f>
        <v>46326</v>
      </c>
    </row>
    <row r="3" customFormat="false" ht="15" hidden="false" customHeight="false" outlineLevel="0" collapsed="false">
      <c r="A3" s="0" t="s">
        <v>130</v>
      </c>
      <c r="B3" s="41" t="n">
        <v>0.270833333333333</v>
      </c>
      <c r="D3" s="0" t="n">
        <v>3</v>
      </c>
      <c r="E3" s="0" t="n">
        <v>2028</v>
      </c>
      <c r="G3" s="81" t="n">
        <f aca="false">G1-MOD(WEEKDAY(G1,1),7)</f>
        <v>46291</v>
      </c>
    </row>
    <row r="4" customFormat="false" ht="15" hidden="false" customHeight="false" outlineLevel="0" collapsed="false">
      <c r="A4" s="0" t="s">
        <v>131</v>
      </c>
      <c r="B4" s="41" t="n">
        <v>0.28125</v>
      </c>
      <c r="D4" s="0" t="n">
        <v>4</v>
      </c>
      <c r="E4" s="0" t="n">
        <v>2029</v>
      </c>
      <c r="G4" s="62" t="n">
        <f aca="false">INT((G2-G3)/7)+1</f>
        <v>6</v>
      </c>
    </row>
    <row r="5" customFormat="false" ht="15" hidden="false" customHeight="false" outlineLevel="0" collapsed="false">
      <c r="A5" s="0" t="s">
        <v>132</v>
      </c>
      <c r="B5" s="41" t="n">
        <v>0.291666666666667</v>
      </c>
      <c r="D5" s="0" t="n">
        <v>5</v>
      </c>
      <c r="E5" s="0" t="n">
        <v>2030</v>
      </c>
    </row>
    <row r="6" customFormat="false" ht="15" hidden="false" customHeight="false" outlineLevel="0" collapsed="false">
      <c r="A6" s="0" t="s">
        <v>133</v>
      </c>
      <c r="B6" s="41" t="n">
        <v>0.302083333333333</v>
      </c>
      <c r="D6" s="0" t="n">
        <v>6</v>
      </c>
      <c r="E6" s="0" t="n">
        <v>2031</v>
      </c>
    </row>
    <row r="7" customFormat="false" ht="15" hidden="false" customHeight="false" outlineLevel="0" collapsed="false">
      <c r="A7" s="0" t="s">
        <v>134</v>
      </c>
      <c r="B7" s="41" t="n">
        <v>0.3125</v>
      </c>
      <c r="D7" s="0" t="n">
        <v>7</v>
      </c>
      <c r="E7" s="0" t="n">
        <v>2032</v>
      </c>
    </row>
    <row r="8" customFormat="false" ht="15" hidden="false" customHeight="false" outlineLevel="0" collapsed="false">
      <c r="A8" s="0" t="s">
        <v>135</v>
      </c>
      <c r="B8" s="41" t="n">
        <v>0.322916666666667</v>
      </c>
      <c r="D8" s="0" t="n">
        <v>8</v>
      </c>
      <c r="E8" s="0" t="n">
        <v>2033</v>
      </c>
    </row>
    <row r="9" customFormat="false" ht="15" hidden="false" customHeight="false" outlineLevel="0" collapsed="false">
      <c r="A9" s="0" t="s">
        <v>136</v>
      </c>
      <c r="B9" s="41" t="n">
        <v>0.333333333333333</v>
      </c>
      <c r="D9" s="0" t="n">
        <v>9</v>
      </c>
      <c r="E9" s="0" t="n">
        <v>2034</v>
      </c>
    </row>
    <row r="10" customFormat="false" ht="15" hidden="false" customHeight="false" outlineLevel="0" collapsed="false">
      <c r="A10" s="0" t="s">
        <v>137</v>
      </c>
      <c r="B10" s="41" t="n">
        <v>0.34375</v>
      </c>
      <c r="D10" s="0" t="n">
        <v>10</v>
      </c>
      <c r="E10" s="0" t="n">
        <v>2035</v>
      </c>
    </row>
    <row r="11" customFormat="false" ht="15" hidden="false" customHeight="false" outlineLevel="0" collapsed="false">
      <c r="A11" s="0" t="s">
        <v>138</v>
      </c>
      <c r="B11" s="41" t="n">
        <v>0.354166666666667</v>
      </c>
      <c r="D11" s="0" t="n">
        <v>11</v>
      </c>
      <c r="H11" s="81" t="n">
        <f aca="false">IF(1&lt;=NW,MAX(WFIRST+0,MSTART),"")</f>
        <v>46296</v>
      </c>
      <c r="I11" s="81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62" t="s">
        <v>5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</row>
    <row r="12" customFormat="false" ht="15" hidden="false" customHeight="false" outlineLevel="0" collapsed="false">
      <c r="A12" s="0" t="s">
        <v>139</v>
      </c>
      <c r="B12" s="41" t="n">
        <v>0.364583333333333</v>
      </c>
      <c r="D12" s="0" t="n">
        <v>12</v>
      </c>
      <c r="H12" s="81" t="n">
        <f aca="false">IF(2&lt;=NW,MAX(WFIRST+7,MSTART),"")</f>
        <v>46298</v>
      </c>
      <c r="I12" s="81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62" t="s">
        <v>140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3" customFormat="false" ht="15" hidden="false" customHeight="false" outlineLevel="0" collapsed="false">
      <c r="A13" s="0" t="s">
        <v>141</v>
      </c>
      <c r="B13" s="41" t="n">
        <v>0.375</v>
      </c>
      <c r="H13" s="81" t="n">
        <f aca="false">IF(3&lt;=NW,MAX(WFIRST+14,MSTART),"")</f>
        <v>46305</v>
      </c>
      <c r="I13" s="81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62" t="s">
        <v>142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4" customFormat="false" ht="15" hidden="false" customHeight="false" outlineLevel="0" collapsed="false">
      <c r="A14" s="0" t="s">
        <v>143</v>
      </c>
      <c r="B14" s="41" t="n">
        <v>0.385416666666667</v>
      </c>
      <c r="H14" s="81" t="n">
        <f aca="false">IF(4&lt;=NW,MAX(WFIRST+21,MSTART),"")</f>
        <v>46312</v>
      </c>
      <c r="I14" s="81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62" t="s">
        <v>144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5" customFormat="false" ht="15" hidden="false" customHeight="false" outlineLevel="0" collapsed="false">
      <c r="A15" s="0" t="s">
        <v>145</v>
      </c>
      <c r="B15" s="41" t="n">
        <v>0.395833333333333</v>
      </c>
      <c r="H15" s="81" t="n">
        <f aca="false">IF(5&lt;=NW,MAX(WFIRST+28,MSTART),"")</f>
        <v>46319</v>
      </c>
      <c r="I15" s="81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62" t="s">
        <v>146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</row>
    <row r="16" customFormat="false" ht="15" hidden="false" customHeight="false" outlineLevel="0" collapsed="false">
      <c r="A16" s="0" t="s">
        <v>147</v>
      </c>
      <c r="B16" s="41" t="n">
        <v>0.40625</v>
      </c>
      <c r="H16" s="81" t="n">
        <f aca="false">IF(6&lt;=NW,MAX(WFIRST+35,MSTART),"")</f>
        <v>46326</v>
      </c>
      <c r="I16" s="81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62" t="s">
        <v>148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</row>
    <row r="17" customFormat="false" ht="15" hidden="false" customHeight="false" outlineLevel="0" collapsed="false">
      <c r="A17" s="0" t="s">
        <v>149</v>
      </c>
      <c r="B17" s="41" t="n">
        <v>0.416666666666667</v>
      </c>
    </row>
    <row r="18" customFormat="false" ht="15" hidden="false" customHeight="false" outlineLevel="0" collapsed="false">
      <c r="A18" s="0" t="s">
        <v>150</v>
      </c>
      <c r="B18" s="41" t="n">
        <v>0.427083333333333</v>
      </c>
    </row>
    <row r="19" customFormat="false" ht="15" hidden="false" customHeight="false" outlineLevel="0" collapsed="false">
      <c r="A19" s="0" t="s">
        <v>151</v>
      </c>
      <c r="B19" s="41" t="n">
        <v>0.4375</v>
      </c>
    </row>
    <row r="20" customFormat="false" ht="15" hidden="false" customHeight="false" outlineLevel="0" collapsed="false">
      <c r="A20" s="0" t="s">
        <v>152</v>
      </c>
      <c r="B20" s="41" t="n">
        <v>0.447916666666667</v>
      </c>
    </row>
    <row r="21" customFormat="false" ht="15" hidden="false" customHeight="false" outlineLevel="0" collapsed="false">
      <c r="A21" s="0" t="s">
        <v>153</v>
      </c>
      <c r="B21" s="41" t="n">
        <v>0.458333333333333</v>
      </c>
    </row>
    <row r="22" customFormat="false" ht="15" hidden="false" customHeight="false" outlineLevel="0" collapsed="false">
      <c r="A22" s="0" t="s">
        <v>154</v>
      </c>
      <c r="B22" s="41" t="n">
        <v>0.46875</v>
      </c>
    </row>
    <row r="23" customFormat="false" ht="15" hidden="false" customHeight="false" outlineLevel="0" collapsed="false">
      <c r="A23" s="0" t="s">
        <v>155</v>
      </c>
      <c r="B23" s="41" t="n">
        <v>0.479166666666667</v>
      </c>
    </row>
    <row r="24" customFormat="false" ht="15" hidden="false" customHeight="false" outlineLevel="0" collapsed="false">
      <c r="A24" s="0" t="s">
        <v>156</v>
      </c>
      <c r="B24" s="41" t="n">
        <v>0.489583333333333</v>
      </c>
    </row>
    <row r="25" customFormat="false" ht="15" hidden="false" customHeight="false" outlineLevel="0" collapsed="false">
      <c r="A25" s="0" t="s">
        <v>157</v>
      </c>
      <c r="B25" s="41" t="n">
        <v>0.5</v>
      </c>
    </row>
    <row r="26" customFormat="false" ht="15" hidden="false" customHeight="false" outlineLevel="0" collapsed="false">
      <c r="A26" s="0" t="s">
        <v>158</v>
      </c>
      <c r="B26" s="41" t="n">
        <v>0.510416666666667</v>
      </c>
    </row>
    <row r="27" customFormat="false" ht="15" hidden="false" customHeight="false" outlineLevel="0" collapsed="false">
      <c r="A27" s="0" t="s">
        <v>159</v>
      </c>
      <c r="B27" s="41" t="n">
        <v>0.520833333333333</v>
      </c>
    </row>
    <row r="28" customFormat="false" ht="15" hidden="false" customHeight="false" outlineLevel="0" collapsed="false">
      <c r="A28" s="0" t="s">
        <v>160</v>
      </c>
      <c r="B28" s="41" t="n">
        <v>0.53125</v>
      </c>
    </row>
    <row r="29" customFormat="false" ht="15" hidden="false" customHeight="false" outlineLevel="0" collapsed="false">
      <c r="A29" s="0" t="s">
        <v>161</v>
      </c>
      <c r="B29" s="41" t="n">
        <v>0.541666666666667</v>
      </c>
    </row>
    <row r="30" customFormat="false" ht="15" hidden="false" customHeight="false" outlineLevel="0" collapsed="false">
      <c r="A30" s="0" t="s">
        <v>162</v>
      </c>
      <c r="B30" s="41" t="n">
        <v>0.552083333333333</v>
      </c>
    </row>
    <row r="31" customFormat="false" ht="15" hidden="false" customHeight="false" outlineLevel="0" collapsed="false">
      <c r="A31" s="0" t="s">
        <v>163</v>
      </c>
      <c r="B31" s="41" t="n">
        <v>0.5625</v>
      </c>
    </row>
    <row r="32" customFormat="false" ht="15" hidden="false" customHeight="false" outlineLevel="0" collapsed="false">
      <c r="A32" s="0" t="s">
        <v>164</v>
      </c>
      <c r="B32" s="41" t="n">
        <v>0.572916666666667</v>
      </c>
    </row>
    <row r="33" customFormat="false" ht="15" hidden="false" customHeight="false" outlineLevel="0" collapsed="false">
      <c r="A33" s="0" t="s">
        <v>165</v>
      </c>
      <c r="B33" s="41" t="n">
        <v>0.583333333333333</v>
      </c>
    </row>
    <row r="34" customFormat="false" ht="15" hidden="false" customHeight="false" outlineLevel="0" collapsed="false">
      <c r="A34" s="0" t="s">
        <v>166</v>
      </c>
      <c r="B34" s="41" t="n">
        <v>0.59375</v>
      </c>
    </row>
    <row r="35" customFormat="false" ht="15" hidden="false" customHeight="false" outlineLevel="0" collapsed="false">
      <c r="A35" s="0" t="s">
        <v>167</v>
      </c>
      <c r="B35" s="41" t="n">
        <v>0.604166666666667</v>
      </c>
    </row>
    <row r="36" customFormat="false" ht="15" hidden="false" customHeight="false" outlineLevel="0" collapsed="false">
      <c r="A36" s="0" t="s">
        <v>168</v>
      </c>
      <c r="B36" s="41" t="n">
        <v>0.614583333333333</v>
      </c>
    </row>
    <row r="37" customFormat="false" ht="15" hidden="false" customHeight="false" outlineLevel="0" collapsed="false">
      <c r="A37" s="0" t="s">
        <v>169</v>
      </c>
      <c r="B37" s="41" t="n">
        <v>0.625</v>
      </c>
    </row>
    <row r="38" customFormat="false" ht="15" hidden="false" customHeight="false" outlineLevel="0" collapsed="false">
      <c r="A38" s="0" t="s">
        <v>170</v>
      </c>
      <c r="B38" s="41" t="n">
        <v>0.635416666666667</v>
      </c>
    </row>
    <row r="39" customFormat="false" ht="15" hidden="false" customHeight="false" outlineLevel="0" collapsed="false">
      <c r="A39" s="0" t="s">
        <v>171</v>
      </c>
      <c r="B39" s="41" t="n">
        <v>0.645833333333333</v>
      </c>
    </row>
    <row r="40" customFormat="false" ht="15" hidden="false" customHeight="false" outlineLevel="0" collapsed="false">
      <c r="A40" s="0" t="s">
        <v>172</v>
      </c>
      <c r="B40" s="41" t="n">
        <v>0.65625</v>
      </c>
    </row>
    <row r="41" customFormat="false" ht="15" hidden="false" customHeight="false" outlineLevel="0" collapsed="false">
      <c r="A41" s="0" t="s">
        <v>173</v>
      </c>
      <c r="B41" s="41" t="n">
        <v>0.666666666666667</v>
      </c>
    </row>
    <row r="42" customFormat="false" ht="15" hidden="false" customHeight="false" outlineLevel="0" collapsed="false">
      <c r="A42" s="0" t="s">
        <v>174</v>
      </c>
      <c r="B42" s="41" t="n">
        <v>0.677083333333333</v>
      </c>
    </row>
    <row r="43" customFormat="false" ht="15" hidden="false" customHeight="false" outlineLevel="0" collapsed="false">
      <c r="A43" s="0" t="s">
        <v>175</v>
      </c>
      <c r="B43" s="41" t="n">
        <v>0.6875</v>
      </c>
    </row>
    <row r="44" customFormat="false" ht="15" hidden="false" customHeight="false" outlineLevel="0" collapsed="false">
      <c r="A44" s="0" t="s">
        <v>176</v>
      </c>
      <c r="B44" s="41" t="n">
        <v>0.697916666666667</v>
      </c>
    </row>
    <row r="45" customFormat="false" ht="15" hidden="false" customHeight="false" outlineLevel="0" collapsed="false">
      <c r="A45" s="0" t="s">
        <v>177</v>
      </c>
      <c r="B45" s="41" t="n">
        <v>0.708333333333333</v>
      </c>
    </row>
    <row r="46" customFormat="false" ht="15" hidden="false" customHeight="false" outlineLevel="0" collapsed="false">
      <c r="A46" s="0" t="s">
        <v>178</v>
      </c>
      <c r="B46" s="41" t="n">
        <v>0.71875</v>
      </c>
    </row>
    <row r="47" customFormat="false" ht="15" hidden="false" customHeight="false" outlineLevel="0" collapsed="false">
      <c r="A47" s="0" t="s">
        <v>179</v>
      </c>
      <c r="B47" s="41" t="n">
        <v>0.729166666666667</v>
      </c>
    </row>
    <row r="48" customFormat="false" ht="15" hidden="false" customHeight="false" outlineLevel="0" collapsed="false">
      <c r="A48" s="0" t="s">
        <v>180</v>
      </c>
      <c r="B48" s="41" t="n">
        <v>0.739583333333333</v>
      </c>
    </row>
    <row r="49" customFormat="false" ht="15" hidden="false" customHeight="false" outlineLevel="0" collapsed="false">
      <c r="A49" s="0" t="s">
        <v>181</v>
      </c>
      <c r="B49" s="41" t="n">
        <v>0.75</v>
      </c>
    </row>
    <row r="50" customFormat="false" ht="15" hidden="false" customHeight="false" outlineLevel="0" collapsed="false">
      <c r="A50" s="0" t="s">
        <v>182</v>
      </c>
      <c r="B50" s="41" t="n">
        <v>0.760416666666667</v>
      </c>
    </row>
    <row r="51" customFormat="false" ht="15" hidden="false" customHeight="false" outlineLevel="0" collapsed="false">
      <c r="A51" s="0" t="s">
        <v>183</v>
      </c>
      <c r="B51" s="41" t="n">
        <v>0.770833333333333</v>
      </c>
    </row>
    <row r="52" customFormat="false" ht="15" hidden="false" customHeight="false" outlineLevel="0" collapsed="false">
      <c r="A52" s="0" t="s">
        <v>184</v>
      </c>
      <c r="B52" s="41" t="n">
        <v>0.78125</v>
      </c>
    </row>
    <row r="53" customFormat="false" ht="15" hidden="false" customHeight="false" outlineLevel="0" collapsed="false">
      <c r="A53" s="0" t="s">
        <v>185</v>
      </c>
      <c r="B53" s="41" t="n">
        <v>0.791666666666667</v>
      </c>
    </row>
    <row r="54" customFormat="false" ht="15" hidden="false" customHeight="false" outlineLevel="0" collapsed="false">
      <c r="A54" s="0" t="s">
        <v>186</v>
      </c>
      <c r="B54" s="41" t="n">
        <v>0.802083333333333</v>
      </c>
    </row>
    <row r="55" customFormat="false" ht="15" hidden="false" customHeight="false" outlineLevel="0" collapsed="false">
      <c r="A55" s="0" t="s">
        <v>187</v>
      </c>
      <c r="B55" s="41" t="n">
        <v>0.8125</v>
      </c>
    </row>
    <row r="56" customFormat="false" ht="15" hidden="false" customHeight="false" outlineLevel="0" collapsed="false">
      <c r="A56" s="0" t="s">
        <v>188</v>
      </c>
      <c r="B56" s="41" t="n">
        <v>0.822916666666667</v>
      </c>
    </row>
    <row r="57" customFormat="false" ht="15" hidden="false" customHeight="false" outlineLevel="0" collapsed="false">
      <c r="A57" s="0" t="s">
        <v>189</v>
      </c>
      <c r="B57" s="41" t="n">
        <v>0.833333333333333</v>
      </c>
    </row>
    <row r="58" customFormat="false" ht="15" hidden="false" customHeight="false" outlineLevel="0" collapsed="false">
      <c r="A58" s="0" t="s">
        <v>190</v>
      </c>
      <c r="B58" s="41" t="n">
        <v>0.84375</v>
      </c>
    </row>
    <row r="59" customFormat="false" ht="15" hidden="false" customHeight="false" outlineLevel="0" collapsed="false">
      <c r="A59" s="0" t="s">
        <v>191</v>
      </c>
      <c r="B59" s="41" t="n">
        <v>0.854166666666667</v>
      </c>
    </row>
    <row r="60" customFormat="false" ht="15" hidden="false" customHeight="false" outlineLevel="0" collapsed="false">
      <c r="A60" s="0" t="s">
        <v>192</v>
      </c>
      <c r="B60" s="41" t="n">
        <v>0.864583333333333</v>
      </c>
    </row>
    <row r="61" customFormat="false" ht="15" hidden="false" customHeight="false" outlineLevel="0" collapsed="false">
      <c r="A61" s="0" t="s">
        <v>193</v>
      </c>
      <c r="B61" s="41" t="n">
        <v>0.875</v>
      </c>
    </row>
    <row r="62" customFormat="false" ht="15" hidden="false" customHeight="false" outlineLevel="0" collapsed="false">
      <c r="A62" s="0" t="s">
        <v>194</v>
      </c>
      <c r="B62" s="41" t="n">
        <v>0.885416666666667</v>
      </c>
    </row>
    <row r="63" customFormat="false" ht="15" hidden="false" customHeight="false" outlineLevel="0" collapsed="false">
      <c r="A63" s="0" t="s">
        <v>195</v>
      </c>
      <c r="B63" s="41" t="n">
        <v>0.895833333333333</v>
      </c>
    </row>
    <row r="64" customFormat="false" ht="15" hidden="false" customHeight="false" outlineLevel="0" collapsed="false">
      <c r="A64" s="0" t="s">
        <v>196</v>
      </c>
      <c r="B64" s="41" t="n">
        <v>0.90625</v>
      </c>
    </row>
    <row r="65" customFormat="false" ht="15" hidden="false" customHeight="false" outlineLevel="0" collapsed="false">
      <c r="A65" s="0" t="s">
        <v>197</v>
      </c>
      <c r="B65" s="41" t="n">
        <v>0.916666666666667</v>
      </c>
    </row>
    <row r="66" customFormat="false" ht="15" hidden="false" customHeight="false" outlineLevel="0" collapsed="false">
      <c r="A66" s="0" t="s">
        <v>198</v>
      </c>
      <c r="B66" s="41" t="n">
        <v>0.927083333333333</v>
      </c>
    </row>
    <row r="67" customFormat="false" ht="15" hidden="false" customHeight="false" outlineLevel="0" collapsed="false">
      <c r="A67" s="0" t="s">
        <v>199</v>
      </c>
      <c r="B67" s="41" t="n">
        <v>0.9375</v>
      </c>
    </row>
    <row r="68" customFormat="false" ht="15" hidden="false" customHeight="false" outlineLevel="0" collapsed="false">
      <c r="A68" s="0" t="s">
        <v>200</v>
      </c>
      <c r="B68" s="41" t="n">
        <v>0.947916666666667</v>
      </c>
    </row>
    <row r="69" customFormat="false" ht="15" hidden="false" customHeight="false" outlineLevel="0" collapsed="false">
      <c r="A69" s="0" t="s">
        <v>201</v>
      </c>
      <c r="B69" s="41" t="n">
        <v>0.958333333333333</v>
      </c>
    </row>
    <row r="70" customFormat="false" ht="15" hidden="false" customHeight="false" outlineLevel="0" collapsed="false">
      <c r="A70" s="0" t="s">
        <v>202</v>
      </c>
      <c r="B70" s="41" t="n">
        <v>0.96875</v>
      </c>
    </row>
    <row r="71" customFormat="false" ht="15" hidden="false" customHeight="false" outlineLevel="0" collapsed="false">
      <c r="A71" s="0" t="s">
        <v>203</v>
      </c>
      <c r="B71" s="41" t="n">
        <v>0.979166666666667</v>
      </c>
    </row>
    <row r="72" customFormat="false" ht="15" hidden="false" customHeight="false" outlineLevel="0" collapsed="false">
      <c r="A72" s="0" t="s">
        <v>204</v>
      </c>
      <c r="B72" s="41" t="n">
        <v>0.989583333333333</v>
      </c>
    </row>
    <row r="73" customFormat="false" ht="15" hidden="false" customHeight="false" outlineLevel="0" collapsed="false">
      <c r="A73" s="0" t="s">
        <v>205</v>
      </c>
      <c r="B73" s="41" t="n">
        <v>0</v>
      </c>
    </row>
    <row r="74" customFormat="false" ht="15" hidden="false" customHeight="false" outlineLevel="0" collapsed="false">
      <c r="A74" s="0" t="s">
        <v>206</v>
      </c>
      <c r="B74" s="41" t="n">
        <v>0.0104166666666667</v>
      </c>
    </row>
    <row r="75" customFormat="false" ht="15" hidden="false" customHeight="false" outlineLevel="0" collapsed="false">
      <c r="A75" s="0" t="s">
        <v>207</v>
      </c>
      <c r="B75" s="41" t="n">
        <v>0.0208333333333333</v>
      </c>
    </row>
    <row r="76" customFormat="false" ht="15" hidden="false" customHeight="false" outlineLevel="0" collapsed="false">
      <c r="A76" s="0" t="s">
        <v>208</v>
      </c>
      <c r="B76" s="41" t="n">
        <v>0.03125</v>
      </c>
    </row>
    <row r="77" customFormat="false" ht="15" hidden="false" customHeight="false" outlineLevel="0" collapsed="false">
      <c r="A77" s="0" t="s">
        <v>209</v>
      </c>
      <c r="B77" s="41" t="n">
        <v>0.0416666666666667</v>
      </c>
    </row>
    <row r="78" customFormat="false" ht="15" hidden="false" customHeight="false" outlineLevel="0" collapsed="false">
      <c r="A78" s="0" t="s">
        <v>210</v>
      </c>
      <c r="B78" s="41" t="n">
        <v>0.0520833333333333</v>
      </c>
    </row>
    <row r="79" customFormat="false" ht="15" hidden="false" customHeight="false" outlineLevel="0" collapsed="false">
      <c r="A79" s="0" t="s">
        <v>211</v>
      </c>
      <c r="B79" s="41" t="n">
        <v>0.0625</v>
      </c>
    </row>
    <row r="80" customFormat="false" ht="15" hidden="false" customHeight="false" outlineLevel="0" collapsed="false">
      <c r="A80" s="0" t="s">
        <v>212</v>
      </c>
      <c r="B80" s="41" t="n">
        <v>0.0729166666666667</v>
      </c>
    </row>
    <row r="81" customFormat="false" ht="15" hidden="false" customHeight="false" outlineLevel="0" collapsed="false">
      <c r="A81" s="0" t="s">
        <v>213</v>
      </c>
      <c r="B81" s="41" t="n">
        <v>0.0833333333333333</v>
      </c>
    </row>
    <row r="82" customFormat="false" ht="15" hidden="false" customHeight="false" outlineLevel="0" collapsed="false">
      <c r="A82" s="0" t="s">
        <v>214</v>
      </c>
      <c r="B82" s="41" t="n">
        <v>0.09375</v>
      </c>
    </row>
    <row r="83" customFormat="false" ht="15" hidden="false" customHeight="false" outlineLevel="0" collapsed="false">
      <c r="A83" s="0" t="s">
        <v>215</v>
      </c>
      <c r="B83" s="41" t="n">
        <v>0.104166666666667</v>
      </c>
    </row>
    <row r="84" customFormat="false" ht="15" hidden="false" customHeight="false" outlineLevel="0" collapsed="false">
      <c r="A84" s="0" t="s">
        <v>216</v>
      </c>
      <c r="B84" s="41" t="n">
        <v>0.114583333333333</v>
      </c>
    </row>
    <row r="85" customFormat="false" ht="15" hidden="false" customHeight="false" outlineLevel="0" collapsed="false">
      <c r="A85" s="0" t="s">
        <v>217</v>
      </c>
      <c r="B85" s="41" t="n">
        <v>0.125</v>
      </c>
    </row>
    <row r="86" customFormat="false" ht="15" hidden="false" customHeight="false" outlineLevel="0" collapsed="false">
      <c r="A86" s="0" t="s">
        <v>218</v>
      </c>
      <c r="B86" s="41" t="n">
        <v>0.135416666666667</v>
      </c>
    </row>
    <row r="87" customFormat="false" ht="15" hidden="false" customHeight="false" outlineLevel="0" collapsed="false">
      <c r="A87" s="0" t="s">
        <v>219</v>
      </c>
      <c r="B87" s="41" t="n">
        <v>0.145833333333333</v>
      </c>
    </row>
    <row r="88" customFormat="false" ht="15" hidden="false" customHeight="false" outlineLevel="0" collapsed="false">
      <c r="A88" s="0" t="s">
        <v>220</v>
      </c>
      <c r="B88" s="41" t="n">
        <v>0.15625</v>
      </c>
    </row>
    <row r="89" customFormat="false" ht="15" hidden="false" customHeight="false" outlineLevel="0" collapsed="false">
      <c r="A89" s="0" t="s">
        <v>221</v>
      </c>
      <c r="B89" s="41" t="n">
        <v>0.166666666666667</v>
      </c>
    </row>
    <row r="90" customFormat="false" ht="15" hidden="false" customHeight="false" outlineLevel="0" collapsed="false">
      <c r="A90" s="0" t="s">
        <v>222</v>
      </c>
      <c r="B90" s="41" t="n">
        <v>0.177083333333333</v>
      </c>
    </row>
    <row r="91" customFormat="false" ht="15" hidden="false" customHeight="false" outlineLevel="0" collapsed="false">
      <c r="A91" s="0" t="s">
        <v>223</v>
      </c>
      <c r="B91" s="41" t="n">
        <v>0.1875</v>
      </c>
    </row>
    <row r="92" customFormat="false" ht="15" hidden="false" customHeight="false" outlineLevel="0" collapsed="false">
      <c r="A92" s="0" t="s">
        <v>224</v>
      </c>
      <c r="B92" s="41" t="n">
        <v>0.197916666666667</v>
      </c>
    </row>
    <row r="93" customFormat="false" ht="15" hidden="false" customHeight="false" outlineLevel="0" collapsed="false">
      <c r="A93" s="0" t="s">
        <v>225</v>
      </c>
      <c r="B93" s="41" t="n">
        <v>0.208333333333333</v>
      </c>
    </row>
    <row r="94" customFormat="false" ht="15" hidden="false" customHeight="false" outlineLevel="0" collapsed="false">
      <c r="A94" s="0" t="s">
        <v>226</v>
      </c>
      <c r="B94" s="41" t="n">
        <v>0.21875</v>
      </c>
    </row>
    <row r="95" customFormat="false" ht="15" hidden="false" customHeight="false" outlineLevel="0" collapsed="false">
      <c r="A95" s="0" t="s">
        <v>227</v>
      </c>
      <c r="B95" s="41" t="n">
        <v>0.229166666666667</v>
      </c>
    </row>
    <row r="96" customFormat="false" ht="15" hidden="false" customHeight="false" outlineLevel="0" collapsed="false">
      <c r="A96" s="0" t="s">
        <v>228</v>
      </c>
      <c r="B96" s="41" t="n">
        <v>0.239583333333333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2026-09-28T21:10:17Z</dcterms:created>
  <dc:creator>openpyxl</dc:creator>
  <dc:description/>
  <dc:language>en-US</dc:language>
  <cp:lastModifiedBy/>
  <dcterms:modified xsi:type="dcterms:W3CDTF">2026-09-28T21:10:17Z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