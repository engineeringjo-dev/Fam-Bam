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تسوية" sheetId="1" state="visible" r:id="rId1"/>
    <sheet name="ساعات عمر" sheetId="2" state="visible" r:id="rId2"/>
    <sheet name="ساعات عبدالعزيز" sheetId="3" state="visible" r:id="rId3"/>
    <sheet name="السلف" sheetId="4" state="visible" r:id="rId4"/>
    <sheet name="القروض والديون" sheetId="5" state="visible" r:id="rId5"/>
    <sheet name="عمال المهام" sheetId="6" state="visible" r:id="rId6"/>
    <sheet name="دفتر الأسابيع" sheetId="7" state="visible" r:id="rId7"/>
    <sheet name="بداية السنة" sheetId="8" state="visible" r:id="rId8"/>
    <sheet name="القواعد" sheetId="9" state="visible" r:id="rId9"/>
    <sheet name="ملخص الأيدي العاملة" sheetId="10" state="visible" r:id="rId10"/>
    <sheet name="التعليمات" sheetId="11" state="visible" r:id="rId11"/>
    <sheet name="القوائم" sheetId="12" state="hidden" r:id="rId12"/>
  </sheets>
  <definedNames>
    <definedName name="YR">'القوائم'!$G$4</definedName>
    <definedName name="SAT1">'القوائم'!$G$1</definedName>
    <definedName name="NW">'القوائم'!$G$2</definedName>
    <definedName name="CURWK">'القوائم'!$G$3</definedName>
    <definedName name="WSAT">'القوائم'!$H$11:$H$63</definedName>
    <definedName name="WFRI">'القوائم'!$I$11:$I$63</definedName>
    <definedName name="WTITLE">'القوائم'!$J$11:$J$63</definedName>
    <definedName name="WMON">'القوائم'!$K$11:$K$63</definedName>
    <definedName name="OMR_OT_AT">'القواعد'!$C$4</definedName>
    <definedName name="OMR_FRI_IN">'القواعد'!$C$5</definedName>
    <definedName name="OMR_FRI_OUT">'القواعد'!$C$6</definedName>
    <definedName name="ROUND_MODE">'القواعد'!$C$7</definedName>
    <definedName name="ADV_CAP">'القواعد'!$C$8</definedName>
    <definedName name="INST_CAP">'القواعد'!$C$9</definedName>
    <definedName name="NET_FLOOR">'القواعد'!$C$10</definedName>
    <definedName name="RT_K">'القواعد'!$G$14:$G$23</definedName>
    <definedName name="RT_OMR">'القواعد'!$B$14:$B$23</definedName>
    <definedName name="RT_OT">'القواعد'!$C$14:$C$23</definedName>
    <definedName name="RT_AZZ">'القواعد'!$D$14:$D$23</definedName>
    <definedName name="RT_GYP">'القواعد'!$E$14:$E$23</definedName>
    <definedName name="START_O">'بداية السنة'!$B$6</definedName>
    <definedName name="START_Z">'بداية السنة'!$B$7</definedName>
    <definedName name="ADV_D">'السلف'!$G$10:$G$409</definedName>
    <definedName name="ADV_E">'السلف'!$B$10:$B$409</definedName>
    <definedName name="ADV_AMT">'السلف'!$C$10:$C$409</definedName>
    <definedName name="ADV_W">'السلف'!$H$10:$H$409</definedName>
    <definedName name="ADV_M">'السلف'!$I$10:$I$409</definedName>
    <definedName name="LG_D">'القروض والديون'!$K$11:$K$210</definedName>
    <definedName name="LG_E">'القروض والديون'!$B$11:$B$210</definedName>
    <definedName name="LG_TYPE">'القروض والديون'!$C$11:$C$210</definedName>
    <definedName name="LG_DEBT">'القروض والديون'!$D$11:$D$210</definedName>
    <definedName name="LG_INST">'القروض والديون'!$E$11:$E$210</definedName>
    <definedName name="LG_REP">'القروض والديون'!$F$11:$F$210</definedName>
    <definedName name="LG_IDX">'القروض والديون'!$J$11:$J$210</definedName>
    <definedName name="LG_W">'القروض والديون'!$L$11:$L$210</definedName>
    <definedName name="LG_M">'القروض والديون'!$M$11:$M$210</definedName>
    <definedName name="WK">'التسوية'!$N$5</definedName>
    <definedName name="LO_A">'دفتر الأسابيع'!$A$7:$A$59</definedName>
    <definedName name="LO_B">'دفتر الأسابيع'!$B$7:$B$59</definedName>
    <definedName name="LO_C">'دفتر الأسابيع'!$C$7:$C$59</definedName>
    <definedName name="LO_D">'دفتر الأسابيع'!$D$7:$D$59</definedName>
    <definedName name="LO_E">'دفتر الأسابيع'!$E$7:$E$59</definedName>
    <definedName name="LO_F">'دفتر الأسابيع'!$F$7:$F$59</definedName>
    <definedName name="LO_G">'دفتر الأسابيع'!$G$7:$G$59</definedName>
    <definedName name="LO_H">'دفتر الأسابيع'!$H$7:$H$59</definedName>
    <definedName name="LO_I">'دفتر الأسابيع'!$I$7:$I$59</definedName>
    <definedName name="LO_J">'دفتر الأسابيع'!$J$7:$J$59</definedName>
    <definedName name="LO_K">'دفتر الأسابيع'!$K$7:$K$59</definedName>
    <definedName name="LO_L">'دفتر الأسابيع'!$L$7:$L$59</definedName>
    <definedName name="LZ_A">'دفتر الأسابيع'!$A$65:$A$117</definedName>
    <definedName name="LZ_B">'دفتر الأسابيع'!$B$65:$B$117</definedName>
    <definedName name="LZ_C">'دفتر الأسابيع'!$C$65:$C$117</definedName>
    <definedName name="LZ_D">'دفتر الأسابيع'!$D$65:$D$117</definedName>
    <definedName name="LZ_E">'دفتر الأسابيع'!$E$65:$E$117</definedName>
    <definedName name="LZ_F">'دفتر الأسابيع'!$F$65:$F$117</definedName>
    <definedName name="LZ_G">'دفتر الأسابيع'!$G$65:$G$117</definedName>
    <definedName name="LZ_H">'دفتر الأسابيع'!$H$65:$H$117</definedName>
    <definedName name="LZ_I">'دفتر الأسابيع'!$I$65:$I$117</definedName>
    <definedName name="LZ_J">'دفتر الأسابيع'!$J$65:$J$117</definedName>
    <definedName name="LZ_K">'دفتر الأسابيع'!$K$65:$K$117</definedName>
    <definedName name="LZ_L">'دفتر الأسابيع'!$L$65:$L$117</definedName>
    <definedName name="TASK_AMT">'عمال المهام'!$D$6:$D$605</definedName>
    <definedName name="TASK_B">'عمال المهام'!$B$6:$B$605</definedName>
    <definedName name="TASK_W">'عمال المهام'!$I$6:$I$605</definedName>
    <definedName name="TASK_M">'عمال المهام'!$J$6:$J$605</definedName>
    <definedName name="TASK_G">'عمال المهام'!$G$6:$G$605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00"/>
    <numFmt numFmtId="166" formatCode="#,##0.000;[Red]-#,##0.000;-"/>
    <numFmt numFmtId="167" formatCode="[h]&quot; س &quot;mm&quot; د&quot;"/>
    <numFmt numFmtId="168" formatCode="&quot;قبض &quot;#,##0.000"/>
    <numFmt numFmtId="169" formatCode="[&lt;=3112]00\/00;dd/mm/yyyy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11"/>
    </font>
    <font>
      <name val="Arial"/>
      <color rgb="00555555"/>
      <sz val="10"/>
    </font>
    <font>
      <name val="Arial"/>
      <b val="1"/>
      <color rgb="008A6A00"/>
      <sz val="11"/>
    </font>
    <font>
      <name val="Arial"/>
      <b val="1"/>
      <color rgb="00FFFFFF"/>
      <sz val="10"/>
    </font>
    <font>
      <name val="Arial"/>
      <b val="1"/>
      <color rgb="008B3A2F"/>
      <sz val="12"/>
    </font>
    <font>
      <name val="Arial"/>
      <b val="1"/>
      <color rgb="008B3A2F"/>
      <sz val="13"/>
    </font>
    <font>
      <name val="Arial"/>
      <color rgb="00555555"/>
      <sz val="9"/>
    </font>
    <font>
      <name val="Arial"/>
      <b val="1"/>
      <color rgb="001F4E6B"/>
      <sz val="12"/>
    </font>
    <font>
      <name val="Arial"/>
      <b val="1"/>
      <color rgb="001F4E6B"/>
      <sz val="13"/>
    </font>
    <font>
      <name val="Arial"/>
      <b val="1"/>
      <color rgb="001F4E6B"/>
      <sz val="11"/>
    </font>
    <font>
      <name val="Arial"/>
      <b val="1"/>
      <color rgb="001B5E20"/>
      <sz val="12"/>
    </font>
    <font>
      <name val="Arial"/>
      <b val="1"/>
      <color rgb="00C55A11"/>
      <sz val="12"/>
    </font>
    <font>
      <name val="Arial"/>
      <b val="1"/>
      <color rgb="00000000"/>
      <sz val="16"/>
    </font>
    <font>
      <name val="Arial"/>
      <b val="1"/>
      <color rgb="001B5E20"/>
      <sz val="11"/>
    </font>
    <font>
      <name val="Arial"/>
      <b val="1"/>
      <color rgb="000F6E6E"/>
      <sz val="12"/>
    </font>
    <font>
      <name val="Arial"/>
      <b val="1"/>
      <color rgb="000F6E6E"/>
      <sz val="13"/>
    </font>
    <font>
      <name val="Arial"/>
      <color rgb="00333333"/>
      <sz val="10"/>
    </font>
    <font>
      <name val="Arial"/>
      <b val="1"/>
      <color rgb="00C55A11"/>
      <sz val="9"/>
    </font>
    <font>
      <name val="Arial"/>
      <b val="1"/>
      <color rgb="00000000"/>
      <sz val="12"/>
    </font>
    <font>
      <name val="Arial"/>
      <b val="1"/>
      <color rgb="00000000"/>
      <sz val="14"/>
    </font>
    <font>
      <name val="Arial"/>
      <color rgb="008B3A2F"/>
      <sz val="10"/>
    </font>
    <font>
      <name val="Arial"/>
      <color rgb="00FFFFFF"/>
      <sz val="8"/>
    </font>
    <font>
      <name val="Arial"/>
      <b val="1"/>
      <color rgb="001F4E6B"/>
      <sz val="14"/>
    </font>
    <font>
      <name val="Arial"/>
      <b val="1"/>
      <color rgb="00C55A11"/>
      <sz val="11"/>
    </font>
    <font>
      <name val="Arial"/>
      <b val="1"/>
      <color rgb="008B3A2F"/>
      <sz val="10"/>
    </font>
    <font>
      <name val="Arial"/>
      <color rgb="00EDEDED"/>
      <sz val="8"/>
    </font>
    <font>
      <name val="Arial"/>
      <color rgb="00000000"/>
      <sz val="12"/>
    </font>
    <font>
      <name val="Arial"/>
      <b val="1"/>
      <color rgb="008B3A2F"/>
      <sz val="11"/>
    </font>
    <font>
      <name val="Arial"/>
      <b val="1"/>
      <color rgb="001F4E79"/>
      <sz val="12"/>
    </font>
    <font>
      <name val="Arial"/>
      <b val="1"/>
      <color rgb="005B3A6B"/>
      <sz val="12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1B5E20"/>
      <sz val="10"/>
    </font>
    <font>
      <name val="Arial"/>
      <b val="1"/>
      <color rgb="005B3A6B"/>
      <sz val="13"/>
    </font>
    <font>
      <name val="Arial"/>
      <b val="1"/>
      <color rgb="005B3A6B"/>
      <sz val="11"/>
    </font>
    <font>
      <name val="Arial"/>
      <b val="1"/>
      <color rgb="001F4E6B"/>
      <sz val="16"/>
    </font>
  </fonts>
  <fills count="14">
    <fill>
      <patternFill/>
    </fill>
    <fill>
      <patternFill patternType="gray125"/>
    </fill>
    <fill>
      <patternFill patternType="solid">
        <fgColor rgb="008A6A00"/>
      </patternFill>
    </fill>
    <fill>
      <patternFill patternType="solid">
        <fgColor rgb="00FFFFFF"/>
      </patternFill>
    </fill>
    <fill>
      <patternFill patternType="solid">
        <fgColor rgb="00FFF6CC"/>
      </patternFill>
    </fill>
    <fill>
      <patternFill patternType="solid">
        <fgColor rgb="008B3A2F"/>
      </patternFill>
    </fill>
    <fill>
      <patternFill patternType="solid">
        <fgColor rgb="001F4E6B"/>
      </patternFill>
    </fill>
    <fill>
      <patternFill patternType="solid">
        <fgColor rgb="00DCE6EE"/>
      </patternFill>
    </fill>
    <fill>
      <patternFill patternType="solid">
        <fgColor rgb="00EDEDED"/>
      </patternFill>
    </fill>
    <fill>
      <patternFill patternType="solid">
        <fgColor rgb="00E2F0D9"/>
      </patternFill>
    </fill>
    <fill>
      <patternFill patternType="solid">
        <fgColor rgb="00E3EFE3"/>
      </patternFill>
    </fill>
    <fill>
      <patternFill patternType="solid">
        <fgColor rgb="000F6E6E"/>
      </patternFill>
    </fill>
    <fill>
      <patternFill patternType="solid">
        <fgColor rgb="00ED7D31"/>
      </patternFill>
    </fill>
    <fill>
      <patternFill patternType="solid">
        <fgColor rgb="005B3A6B"/>
      </patternFill>
    </fill>
  </fills>
  <borders count="6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/>
      <right/>
      <top style="thin">
        <color rgb="009AA5AD"/>
      </top>
      <bottom/>
      <diagonal/>
    </border>
    <border>
      <left/>
      <right style="thin">
        <color rgb="009AA5AD"/>
      </right>
      <top style="thin">
        <color rgb="009AA5AD"/>
      </top>
      <bottom/>
      <diagonal/>
    </border>
    <border>
      <left/>
      <right style="thin">
        <color rgb="009AA5AD"/>
      </right>
      <top style="thin">
        <color rgb="009AA5AD"/>
      </top>
      <bottom style="thin">
        <color rgb="009AA5AD"/>
      </bottom>
      <diagonal/>
    </border>
    <border>
      <left style="medium">
        <color rgb="001F4E6B"/>
      </left>
      <right style="medium">
        <color rgb="001F4E6B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center" vertical="center" wrapText="1"/>
    </xf>
    <xf numFmtId="1" fontId="23" fillId="4" borderId="1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pivotButton="0" quotePrefix="0" xfId="0">
      <alignment horizontal="right" vertical="center" wrapText="1"/>
    </xf>
    <xf numFmtId="0" fontId="22" fillId="4" borderId="1" applyAlignment="1" applyProtection="1" pivotButton="0" quotePrefix="0" xfId="0">
      <alignment horizontal="center" vertical="center" wrapText="1"/>
      <protection locked="0" hidden="0"/>
    </xf>
    <xf numFmtId="0" fontId="25" fillId="0" borderId="0" pivotButton="0" quotePrefix="0" xfId="0"/>
    <xf numFmtId="0" fontId="26" fillId="0" borderId="0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center" vertical="center" wrapText="1"/>
    </xf>
    <xf numFmtId="166" fontId="30" fillId="8" borderId="1" applyAlignment="1" pivotButton="0" quotePrefix="0" xfId="0">
      <alignment horizontal="center" vertical="center" wrapText="1"/>
    </xf>
    <xf numFmtId="166" fontId="1" fillId="12" borderId="5" applyAlignment="1" pivotButton="0" quotePrefix="0" xfId="0">
      <alignment horizontal="center" vertical="center" wrapText="1"/>
    </xf>
    <xf numFmtId="166" fontId="31" fillId="8" borderId="1" applyAlignment="1" pivotButton="0" quotePrefix="0" xfId="0">
      <alignment horizontal="center" vertical="center" wrapText="1"/>
    </xf>
    <xf numFmtId="0" fontId="22" fillId="10" borderId="1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right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 wrapText="1"/>
    </xf>
    <xf numFmtId="164" fontId="0" fillId="0" borderId="0" pivotButton="0" quotePrefix="0" xfId="0"/>
    <xf numFmtId="164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167" fontId="3" fillId="8" borderId="1" applyAlignment="1" pivotButton="0" quotePrefix="0" xfId="0">
      <alignment horizontal="center" vertical="center" wrapText="1"/>
    </xf>
    <xf numFmtId="166" fontId="14" fillId="9" borderId="1" applyAlignment="1" pivotButton="0" quotePrefix="0" xfId="0">
      <alignment horizontal="center" vertical="center" wrapText="1"/>
    </xf>
    <xf numFmtId="18" fontId="0" fillId="0" borderId="0" pivotButton="0" quotePrefix="0" xfId="0"/>
    <xf numFmtId="164" fontId="13" fillId="8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7" fontId="4" fillId="10" borderId="1" applyAlignment="1" pivotButton="0" quotePrefix="0" xfId="0">
      <alignment horizontal="center" vertical="center" wrapText="1"/>
    </xf>
    <xf numFmtId="166" fontId="14" fillId="10" borderId="1" applyAlignment="1" pivotButton="0" quotePrefix="0" xfId="0">
      <alignment horizontal="center" vertical="center" wrapText="1"/>
    </xf>
    <xf numFmtId="2" fontId="4" fillId="4" borderId="1" applyAlignment="1" applyProtection="1" pivotButton="0" quotePrefix="0" xfId="0">
      <alignment horizontal="center" vertical="center" wrapText="1"/>
      <protection locked="0" hidden="0"/>
    </xf>
    <xf numFmtId="0" fontId="15" fillId="10" borderId="1" applyAlignment="1" pivotButton="0" quotePrefix="0" xfId="0">
      <alignment horizontal="center" vertical="center" wrapText="1"/>
    </xf>
    <xf numFmtId="166" fontId="16" fillId="10" borderId="5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166" fontId="4" fillId="4" borderId="1" applyAlignment="1" applyProtection="1" pivotButton="0" quotePrefix="0" xfId="0">
      <alignment horizontal="center" vertical="center" wrapText="1"/>
      <protection locked="0" hidden="0"/>
    </xf>
    <xf numFmtId="0" fontId="17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right" vertical="center" wrapText="1"/>
    </xf>
    <xf numFmtId="168" fontId="4" fillId="1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6" fontId="22" fillId="8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  <xf numFmtId="169" fontId="3" fillId="4" borderId="1" applyAlignment="1" applyProtection="1" pivotButton="0" quotePrefix="0" xfId="0">
      <alignment horizontal="center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 wrapText="1"/>
      <protection locked="0" hidden="0"/>
    </xf>
    <xf numFmtId="0" fontId="3" fillId="4" borderId="1" applyAlignment="1" applyProtection="1" pivotButton="0" quotePrefix="0" xfId="0">
      <alignment horizontal="right" vertical="center" wrapText="1"/>
      <protection locked="0" hidden="0"/>
    </xf>
    <xf numFmtId="0" fontId="21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6" fontId="9" fillId="8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166" fontId="22" fillId="1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0" fontId="7" fillId="6" borderId="1" applyAlignment="1" pivotButton="0" quotePrefix="0" xfId="0">
      <alignment horizontal="center" vertical="center" wrapText="1"/>
    </xf>
    <xf numFmtId="1" fontId="3" fillId="8" borderId="1" applyAlignment="1" pivotButton="0" quotePrefix="0" xfId="0">
      <alignment horizontal="center" vertical="center" wrapText="1"/>
    </xf>
    <xf numFmtId="166" fontId="3" fillId="8" borderId="1" applyAlignment="1" pivotButton="0" quotePrefix="0" xfId="0">
      <alignment horizontal="center" vertical="center" wrapText="1"/>
    </xf>
    <xf numFmtId="166" fontId="27" fillId="8" borderId="1" applyAlignment="1" pivotButton="0" quotePrefix="0" xfId="0">
      <alignment horizontal="center" vertical="center" wrapText="1"/>
    </xf>
    <xf numFmtId="166" fontId="28" fillId="8" borderId="1" applyAlignment="1" pivotButton="0" quotePrefix="0" xfId="0">
      <alignment horizontal="center" vertical="center" wrapText="1"/>
    </xf>
    <xf numFmtId="166" fontId="29" fillId="8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center" wrapText="1"/>
    </xf>
    <xf numFmtId="0" fontId="7" fillId="11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1" fontId="4" fillId="4" borderId="1" applyAlignment="1" applyProtection="1" pivotButton="0" quotePrefix="0" xfId="0">
      <alignment horizontal="center" vertical="center" wrapText="1"/>
      <protection locked="0" hidden="0"/>
    </xf>
    <xf numFmtId="1" fontId="22" fillId="8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18" fontId="4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right" vertical="center" wrapText="1"/>
    </xf>
    <xf numFmtId="49" fontId="4" fillId="4" borderId="1" applyAlignment="1" applyProtection="1" pivotButton="0" quotePrefix="0" xfId="0">
      <alignment horizontal="center" vertical="center" wrapText="1"/>
      <protection locked="0" hidden="0"/>
    </xf>
    <xf numFmtId="9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3" fillId="4" borderId="1" applyAlignment="1" applyProtection="1" pivotButton="0" quotePrefix="0" xfId="0">
      <alignment horizontal="center" vertical="center" wrapText="1"/>
      <protection locked="0" hidden="0"/>
    </xf>
    <xf numFmtId="0" fontId="34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right" vertical="center" wrapText="1"/>
    </xf>
    <xf numFmtId="1" fontId="4" fillId="10" borderId="1" applyAlignment="1" pivotButton="0" quotePrefix="0" xfId="0">
      <alignment horizontal="center" vertical="center" wrapText="1"/>
    </xf>
    <xf numFmtId="166" fontId="35" fillId="12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right" vertical="center" wrapText="1"/>
    </xf>
    <xf numFmtId="0" fontId="37" fillId="0" borderId="0" applyAlignment="1" pivotButton="0" quotePrefix="0" xfId="0">
      <alignment horizontal="right" vertical="center" wrapText="1"/>
    </xf>
    <xf numFmtId="0" fontId="38" fillId="0" borderId="0" applyAlignment="1" pivotButton="0" quotePrefix="0" xfId="0">
      <alignment horizontal="left" vertical="center" wrapText="1"/>
    </xf>
    <xf numFmtId="1" fontId="22" fillId="4" borderId="1" applyAlignment="1" applyProtection="1" pivotButton="0" quotePrefix="0" xfId="0">
      <alignment horizontal="center" vertical="center" wrapText="1"/>
      <protection locked="0" hidden="0"/>
    </xf>
    <xf numFmtId="0" fontId="7" fillId="13" borderId="1" applyAlignment="1" pivotButton="0" quotePrefix="0" xfId="0">
      <alignment horizontal="center" vertical="center" wrapText="1"/>
    </xf>
    <xf numFmtId="0" fontId="39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6">
    <dxf>
      <fill>
        <patternFill patternType="solid">
          <fgColor rgb="00FDE2C8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E8F3E8"/>
        </patternFill>
      </fill>
    </dxf>
    <dxf>
      <fill>
        <patternFill patternType="solid">
          <fgColor rgb="00FFF2B3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2" customWidth="1" min="4" max="4"/>
    <col width="13" customWidth="1" min="5" max="5"/>
    <col width="17" customWidth="1" min="6" max="6"/>
    <col width="13" customWidth="1" min="7" max="7"/>
    <col width="13" customWidth="1" min="8" max="8"/>
    <col width="14" customWidth="1" min="9" max="9"/>
  </cols>
  <sheetData>
    <row r="1" ht="32" customHeight="1">
      <c r="A1" s="1" t="inlineStr">
        <is>
          <t>التسوية — قديش بدفع لكل موظف يوم الجمعة</t>
        </is>
      </c>
    </row>
    <row r="3" ht="30" customHeight="1">
      <c r="B3" s="2" t="inlineStr">
        <is>
          <t>السنة</t>
        </is>
      </c>
      <c r="C3" s="3">
        <f>"سنة "&amp;E3&amp;" · "&amp;NW&amp;" أسبوع"</f>
        <v/>
      </c>
      <c r="E3" s="4" t="n">
        <v>2026</v>
      </c>
      <c r="F3" s="5" t="inlineStr">
        <is>
          <t>← الملف للسنة كاملة: الأسبوع من السبت للجمعة، وبينسب للشهر اللي فيه جمعته (يوم القبض)</t>
        </is>
      </c>
    </row>
    <row r="5" ht="30" customHeight="1">
      <c r="B5" s="2" t="inlineStr">
        <is>
          <t>الأسبوع</t>
        </is>
      </c>
      <c r="C5" s="6" t="n"/>
      <c r="F5" s="5">
        <f>IF(C5="","← فاضية: بيعرض الأسبوع الحالي لحاله ("&amp;INDEX(WTITLE,CURWK)&amp;")","← بتعرض أسبوع مختار. امسحها عشان ترجع للأسبوع الحالي")</f>
        <v/>
      </c>
      <c r="N5" s="7">
        <f>IF(C5="",CURWK,IFERROR(MATCH(C5,WTITLE,0),CURWK))</f>
        <v/>
      </c>
    </row>
    <row r="7" ht="26" customHeight="1">
      <c r="A7" s="8">
        <f>"تسوية "&amp;INDEX(WTITLE,WK)&amp;"   (يوم القبض: الجمعة "&amp;TEXT(DAY(INDEX(WFRI,WK)),"00")&amp;"/"&amp;TEXT(MONTH(INDEX(WFRI,WK)),"00")&amp;")"</f>
        <v/>
      </c>
    </row>
    <row r="8" ht="30" customHeight="1">
      <c r="A8" s="9" t="inlineStr">
        <is>
          <t>الموظف</t>
        </is>
      </c>
      <c r="B8" s="9" t="inlineStr">
        <is>
          <t>المستحق</t>
        </is>
      </c>
      <c r="C8" s="9" t="inlineStr">
        <is>
          <t>إكرامية</t>
        </is>
      </c>
      <c r="D8" s="9" t="inlineStr">
        <is>
          <t>سلف</t>
        </is>
      </c>
      <c r="E8" s="9" t="inlineStr">
        <is>
          <t>قسط الدين</t>
        </is>
      </c>
      <c r="F8" s="9" t="inlineStr">
        <is>
          <t>الصافي للدفع</t>
        </is>
      </c>
      <c r="G8" s="9" t="inlineStr">
        <is>
          <t>المدفوع</t>
        </is>
      </c>
      <c r="H8" s="9" t="inlineStr">
        <is>
          <t>الباقي له</t>
        </is>
      </c>
      <c r="I8" s="9" t="inlineStr">
        <is>
          <t>الدين المتبقي</t>
        </is>
      </c>
    </row>
    <row r="9" ht="32" customHeight="1">
      <c r="A9" s="3" t="inlineStr">
        <is>
          <t>عمر المصري</t>
        </is>
      </c>
      <c r="B9" s="10">
        <f>N(INDEX(LO_C,WK))</f>
        <v/>
      </c>
      <c r="C9" s="10">
        <f>N(INDEX(LO_D,WK))</f>
        <v/>
      </c>
      <c r="D9" s="10">
        <f>N(INDEX(LO_E,WK))</f>
        <v/>
      </c>
      <c r="E9" s="10">
        <f>N(INDEX(LO_F,WK))</f>
        <v/>
      </c>
      <c r="F9" s="11">
        <f>N(INDEX(LO_G,WK))</f>
        <v/>
      </c>
      <c r="G9" s="10">
        <f>N(INDEX(LO_H,WK))</f>
        <v/>
      </c>
      <c r="H9" s="10">
        <f>N(INDEX(LO_I,WK))</f>
        <v/>
      </c>
      <c r="I9" s="12">
        <f>N(INDEX(LO_J,WK))</f>
        <v/>
      </c>
    </row>
    <row r="10" ht="32" customHeight="1">
      <c r="A10" s="3" t="inlineStr">
        <is>
          <t>عبدالعزيز</t>
        </is>
      </c>
      <c r="B10" s="10">
        <f>N(INDEX(LZ_C,WK))</f>
        <v/>
      </c>
      <c r="C10" s="10">
        <f>N(INDEX(LZ_D,WK))</f>
        <v/>
      </c>
      <c r="D10" s="10">
        <f>N(INDEX(LZ_E,WK))</f>
        <v/>
      </c>
      <c r="E10" s="10">
        <f>N(INDEX(LZ_F,WK))</f>
        <v/>
      </c>
      <c r="F10" s="11">
        <f>N(INDEX(LZ_G,WK))</f>
        <v/>
      </c>
      <c r="G10" s="10">
        <f>N(INDEX(LZ_H,WK))</f>
        <v/>
      </c>
      <c r="H10" s="10">
        <f>N(INDEX(LZ_I,WK))</f>
        <v/>
      </c>
      <c r="I10" s="12">
        <f>N(INDEX(LZ_J,WK))</f>
        <v/>
      </c>
    </row>
    <row r="11" ht="30" customHeight="1">
      <c r="A11" s="13" t="inlineStr">
        <is>
          <t>الكاش اللي بتطلعه الجمعة (الاثنين)</t>
        </is>
      </c>
      <c r="F11" s="11">
        <f>F9+F10</f>
        <v/>
      </c>
    </row>
    <row r="13" ht="24" customHeight="1">
      <c r="A13" s="14">
        <f>HYPERLINK("#'ساعات عمر'!A"&amp;(6+11*(WK-1)),"← افتح ساعات عمر لهالأسبوع")</f>
        <v/>
      </c>
    </row>
    <row r="14" ht="24" customHeight="1">
      <c r="A14" s="14">
        <f>HYPERLINK("#'ساعات عبدالعزيز'!A"&amp;(6+11*(WK-1)),"← افتح ساعات عبدالعزيز لهالأسبوع")</f>
        <v/>
      </c>
    </row>
    <row r="15" ht="24" customHeight="1">
      <c r="A15" s="14">
        <f>HYPERLINK("#'دفتر الأسابيع'!A"&amp;(7+WK-1),"← دفتر الأسابيع (كل أسابيع السنة)")</f>
        <v/>
      </c>
    </row>
    <row r="17" ht="28" customHeight="1">
      <c r="A17" s="15" t="inlineStr">
        <is>
          <t>الإكرامية والمدفوع يوم الجمعة بتنكتبوا تحت كل أسبوع بورقة الساعات (الخانات الصفراء). · عبدالعزيز: الصافي بعد ما انخصم اللي قبضه يومياً. · «الباقي له» بينتقل لحاله للأسبوع الجاي.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">
    <mergeCell ref="A7:I7"/>
    <mergeCell ref="C5:E5"/>
    <mergeCell ref="A15:E15"/>
    <mergeCell ref="F3:I3"/>
    <mergeCell ref="A1:I1"/>
    <mergeCell ref="A11:E11"/>
    <mergeCell ref="A17:I17"/>
    <mergeCell ref="A13:E13"/>
    <mergeCell ref="A14:E14"/>
    <mergeCell ref="F5:I5"/>
    <mergeCell ref="C3:D3"/>
  </mergeCells>
  <dataValidations count="2">
    <dataValidation sqref="E3" showDropDown="0" showInputMessage="0" showErrorMessage="0" allowBlank="1" type="list">
      <formula1>='القوائم'!$E$1:$E$10</formula1>
    </dataValidation>
    <dataValidation sqref="C5" showDropDown="0" showInputMessage="1" showErrorMessage="0" allowBlank="1" promptTitle="الأسبوع" prompt="اتركها فاضية = الأسبوع الحالي لحاله · أو اختار أي أسبوع" type="list">
      <formula1>=WTITLE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0" customWidth="1" min="5" max="5"/>
    <col width="11" customWidth="1" min="6" max="6"/>
    <col width="11" customWidth="1" min="7" max="7"/>
    <col width="14" customWidth="1" min="8" max="8"/>
    <col width="30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2" customHeight="1">
      <c r="A1" s="1" t="inlineStr">
        <is>
          <t>ساعات عمر المصري</t>
        </is>
      </c>
    </row>
    <row r="2" ht="22" customHeight="1">
      <c r="A2" s="16">
        <f>"سنة "&amp;YR&amp;"   (السنة بتنختار من ورقة التسوية)"</f>
        <v/>
      </c>
    </row>
    <row r="3" ht="40" customHeight="1">
      <c r="A3" s="17" t="inlineStr">
        <is>
          <t>اختر الدخول والخروج (كل 5 دقائق، AM/PM) — عدد الساعات والعادي والإضافي والمستحق بيطلعوا لحالهم. تحت كل أسبوع: ساعات الجبسمبورد · المستحق النهائي (مجبور لربع دينار) · الإكرامية · المدفوع يوم الجمعة. أول ما تكتب «المدفوع» الأسبوع بيتلوّن أخضر = مقبوض ومقفول: ما تعدّله، أي تصحيح بسطر الأسبوع الجاي.</t>
        </is>
      </c>
    </row>
    <row r="5" ht="32" customHeight="1">
      <c r="A5" s="9" t="inlineStr">
        <is>
          <t>التاريخ</t>
        </is>
      </c>
      <c r="B5" s="9" t="inlineStr">
        <is>
          <t>اليوم</t>
        </is>
      </c>
      <c r="C5" s="9" t="inlineStr">
        <is>
          <t>دخول</t>
        </is>
      </c>
      <c r="D5" s="9" t="inlineStr">
        <is>
          <t>خروج</t>
        </is>
      </c>
      <c r="E5" s="9" t="inlineStr">
        <is>
          <t>عدد الساعات</t>
        </is>
      </c>
      <c r="F5" s="9" t="inlineStr">
        <is>
          <t>منها عادي</t>
        </is>
      </c>
      <c r="G5" s="9" t="inlineStr">
        <is>
          <t>منها إضافي</t>
        </is>
      </c>
      <c r="H5" s="9" t="inlineStr">
        <is>
          <t>المستحق (دينار)</t>
        </is>
      </c>
      <c r="I5" s="9" t="inlineStr">
        <is>
          <t>ملاحظات</t>
        </is>
      </c>
    </row>
    <row r="6" ht="26" customHeight="1">
      <c r="A6" s="18">
        <f>IF(1&lt;=NW,"الأسبوع 1 · السبت "&amp;TEXT(DAY(SAT1+0),"00")&amp;"/"&amp;TEXT(MONTH(SAT1+0),"00")&amp;" ← الجمعة "&amp;TEXT(DAY(SAT1+6),"00")&amp;"/"&amp;TEXT(MONTH(SAT1+6),"00")&amp;" (يوم القبض)"&amp;IF(1&lt;START_O,"   — قبل أسبوع البداية (ما بينحسب)",""),"ما في أسبوع 1 هالسنة")</f>
        <v/>
      </c>
      <c r="L6" s="19">
        <f>IF(1&lt;=NW,SAT1+6,"")</f>
        <v/>
      </c>
      <c r="M6">
        <f>IF(AND(1&lt;=NW,1&gt;=START_O),1,0)</f>
        <v/>
      </c>
      <c r="N6">
        <f>IFERROR(INDEX(RT_OMR,MATCH(L6,RT_K,1)),INDEX(RT_OMR,1))</f>
        <v/>
      </c>
      <c r="O6">
        <f>IFERROR(INDEX(RT_OT,MATCH(L6,RT_K,1)),INDEX(RT_OT,1))</f>
        <v/>
      </c>
      <c r="P6">
        <f>IFERROR(INDEX(RT_GYP,MATCH(L6,RT_K,1)),INDEX(RT_GYP,1))</f>
        <v/>
      </c>
    </row>
    <row r="7">
      <c r="A7" s="20">
        <f>IF(1&lt;=NW,SAT1+0,"")</f>
        <v/>
      </c>
      <c r="B7" s="21">
        <f>IF(A7="","",CHOOSE(WEEKDAY(A7,1),"الأحد","الاثنين","الثلاثاء","الأربعاء","الخميس","الجمعة","السبت"))</f>
        <v/>
      </c>
      <c r="C7" s="22" t="n"/>
      <c r="D7" s="22" t="n"/>
      <c r="E7" s="23">
        <f>IF(OR(M7=0,K7="",L7=""),"",MOD(L7-K7,1))</f>
        <v/>
      </c>
      <c r="F7" s="23">
        <f>IF(OR(E7="",M7=0),"",IF(WEEKDAY(A7,1)=6,E7,MIN(E7,MAX(0,MIN(IF(L7&lt;K7,L7+1,L7),OMR_OT_AT)-K7))))</f>
        <v/>
      </c>
      <c r="G7" s="23">
        <f>IF(OR(E7="",M7=0),"",MAX(0,E7-F7))</f>
        <v/>
      </c>
      <c r="H7" s="24">
        <f>IF(OR(E7="",M7=0),"",ROUND((F7*$N$6+G7*$O$6)*24,3))</f>
        <v/>
      </c>
      <c r="I7" s="22" t="n"/>
      <c r="K7" s="25">
        <f>IF(OR(M7=0,C7=""),"",IF(ISNUMBER(C7),MOD(C7,1),IFERROR(INDEX('القوائم'!$B$1:$B$288,MATCH(TRIM(C7),'القوائم'!$A$1:$A$288,0)),IFERROR(MOD(TIMEVALUE(C7),1),""))))</f>
        <v/>
      </c>
      <c r="L7" s="25">
        <f>IF(OR(M7=0,D7=""),"",IF(ISNUMBER(D7),MOD(D7,1),IFERROR(INDEX('القوائم'!$B$1:$B$288,MATCH(TRIM(D7),'القوائم'!$A$1:$A$288,0)),IFERROR(MOD(TIMEVALUE(D7),1),""))))</f>
        <v/>
      </c>
      <c r="M7">
        <f>M6</f>
        <v/>
      </c>
      <c r="Q7">
        <f>IF(N(G16)&gt;0,1,0)</f>
        <v/>
      </c>
    </row>
    <row r="8">
      <c r="A8" s="20">
        <f>IF(1&lt;=NW,SAT1+1,"")</f>
        <v/>
      </c>
      <c r="B8" s="21">
        <f>IF(A8="","",CHOOSE(WEEKDAY(A8,1),"الأحد","الاثنين","الثلاثاء","الأربعاء","الخميس","الجمعة","السبت"))</f>
        <v/>
      </c>
      <c r="C8" s="22" t="n"/>
      <c r="D8" s="22" t="n"/>
      <c r="E8" s="23">
        <f>IF(OR(M8=0,K8="",L8=""),"",MOD(L8-K8,1))</f>
        <v/>
      </c>
      <c r="F8" s="23">
        <f>IF(OR(E8="",M8=0),"",IF(WEEKDAY(A8,1)=6,E8,MIN(E8,MAX(0,MIN(IF(L8&lt;K8,L8+1,L8),OMR_OT_AT)-K8))))</f>
        <v/>
      </c>
      <c r="G8" s="23">
        <f>IF(OR(E8="",M8=0),"",MAX(0,E8-F8))</f>
        <v/>
      </c>
      <c r="H8" s="24">
        <f>IF(OR(E8="",M8=0),"",ROUND((F8*$N$6+G8*$O$6)*24,3))</f>
        <v/>
      </c>
      <c r="I8" s="22" t="n"/>
      <c r="K8" s="25">
        <f>IF(OR(M8=0,C8=""),"",IF(ISNUMBER(C8),MOD(C8,1),IFERROR(INDEX('القوائم'!$B$1:$B$288,MATCH(TRIM(C8),'القوائم'!$A$1:$A$288,0)),IFERROR(MOD(TIMEVALUE(C8),1),""))))</f>
        <v/>
      </c>
      <c r="L8" s="25">
        <f>IF(OR(M8=0,D8=""),"",IF(ISNUMBER(D8),MOD(D8,1),IFERROR(INDEX('القوائم'!$B$1:$B$288,MATCH(TRIM(D8),'القوائم'!$A$1:$A$288,0)),IFERROR(MOD(TIMEVALUE(D8),1),""))))</f>
        <v/>
      </c>
      <c r="M8">
        <f>M6</f>
        <v/>
      </c>
      <c r="Q8">
        <f>IF(N(G16)&gt;0,1,0)</f>
        <v/>
      </c>
    </row>
    <row r="9">
      <c r="A9" s="20">
        <f>IF(1&lt;=NW,SAT1+2,"")</f>
        <v/>
      </c>
      <c r="B9" s="21">
        <f>IF(A9="","",CHOOSE(WEEKDAY(A9,1),"الأحد","الاثنين","الثلاثاء","الأربعاء","الخميس","الجمعة","السبت"))</f>
        <v/>
      </c>
      <c r="C9" s="22" t="n"/>
      <c r="D9" s="22" t="n"/>
      <c r="E9" s="23">
        <f>IF(OR(M9=0,K9="",L9=""),"",MOD(L9-K9,1))</f>
        <v/>
      </c>
      <c r="F9" s="23">
        <f>IF(OR(E9="",M9=0),"",IF(WEEKDAY(A9,1)=6,E9,MIN(E9,MAX(0,MIN(IF(L9&lt;K9,L9+1,L9),OMR_OT_AT)-K9))))</f>
        <v/>
      </c>
      <c r="G9" s="23">
        <f>IF(OR(E9="",M9=0),"",MAX(0,E9-F9))</f>
        <v/>
      </c>
      <c r="H9" s="24">
        <f>IF(OR(E9="",M9=0),"",ROUND((F9*$N$6+G9*$O$6)*24,3))</f>
        <v/>
      </c>
      <c r="I9" s="22" t="n"/>
      <c r="K9" s="25">
        <f>IF(OR(M9=0,C9=""),"",IF(ISNUMBER(C9),MOD(C9,1),IFERROR(INDEX('القوائم'!$B$1:$B$288,MATCH(TRIM(C9),'القوائم'!$A$1:$A$288,0)),IFERROR(MOD(TIMEVALUE(C9),1),""))))</f>
        <v/>
      </c>
      <c r="L9" s="25">
        <f>IF(OR(M9=0,D9=""),"",IF(ISNUMBER(D9),MOD(D9,1),IFERROR(INDEX('القوائم'!$B$1:$B$288,MATCH(TRIM(D9),'القوائم'!$A$1:$A$288,0)),IFERROR(MOD(TIMEVALUE(D9),1),""))))</f>
        <v/>
      </c>
      <c r="M9">
        <f>M6</f>
        <v/>
      </c>
      <c r="Q9">
        <f>IF(N(G16)&gt;0,1,0)</f>
        <v/>
      </c>
    </row>
    <row r="10">
      <c r="A10" s="20">
        <f>IF(1&lt;=NW,SAT1+3,"")</f>
        <v/>
      </c>
      <c r="B10" s="21">
        <f>IF(A10="","",CHOOSE(WEEKDAY(A10,1),"الأحد","الاثنين","الثلاثاء","الأربعاء","الخميس","الجمعة","السبت"))</f>
        <v/>
      </c>
      <c r="C10" s="22" t="n"/>
      <c r="D10" s="22" t="n"/>
      <c r="E10" s="23">
        <f>IF(OR(M10=0,K10="",L10=""),"",MOD(L10-K10,1))</f>
        <v/>
      </c>
      <c r="F10" s="23">
        <f>IF(OR(E10="",M10=0),"",IF(WEEKDAY(A10,1)=6,E10,MIN(E10,MAX(0,MIN(IF(L10&lt;K10,L10+1,L10),OMR_OT_AT)-K10))))</f>
        <v/>
      </c>
      <c r="G10" s="23">
        <f>IF(OR(E10="",M10=0),"",MAX(0,E10-F10))</f>
        <v/>
      </c>
      <c r="H10" s="24">
        <f>IF(OR(E10="",M10=0),"",ROUND((F10*$N$6+G10*$O$6)*24,3))</f>
        <v/>
      </c>
      <c r="I10" s="22" t="n"/>
      <c r="K10" s="25">
        <f>IF(OR(M10=0,C10=""),"",IF(ISNUMBER(C10),MOD(C10,1),IFERROR(INDEX('القوائم'!$B$1:$B$288,MATCH(TRIM(C10),'القوائم'!$A$1:$A$288,0)),IFERROR(MOD(TIMEVALUE(C10),1),""))))</f>
        <v/>
      </c>
      <c r="L10" s="25">
        <f>IF(OR(M10=0,D10=""),"",IF(ISNUMBER(D10),MOD(D10,1),IFERROR(INDEX('القوائم'!$B$1:$B$288,MATCH(TRIM(D10),'القوائم'!$A$1:$A$288,0)),IFERROR(MOD(TIMEVALUE(D10),1),""))))</f>
        <v/>
      </c>
      <c r="M10">
        <f>M6</f>
        <v/>
      </c>
      <c r="Q10">
        <f>IF(N(G16)&gt;0,1,0)</f>
        <v/>
      </c>
    </row>
    <row r="11">
      <c r="A11" s="20">
        <f>IF(1&lt;=NW,SAT1+4,"")</f>
        <v/>
      </c>
      <c r="B11" s="21">
        <f>IF(A11="","",CHOOSE(WEEKDAY(A11,1),"الأحد","الاثنين","الثلاثاء","الأربعاء","الخميس","الجمعة","السبت"))</f>
        <v/>
      </c>
      <c r="C11" s="22" t="n"/>
      <c r="D11" s="22" t="n"/>
      <c r="E11" s="23">
        <f>IF(OR(M11=0,K11="",L11=""),"",MOD(L11-K11,1))</f>
        <v/>
      </c>
      <c r="F11" s="23">
        <f>IF(OR(E11="",M11=0),"",IF(WEEKDAY(A11,1)=6,E11,MIN(E11,MAX(0,MIN(IF(L11&lt;K11,L11+1,L11),OMR_OT_AT)-K11))))</f>
        <v/>
      </c>
      <c r="G11" s="23">
        <f>IF(OR(E11="",M11=0),"",MAX(0,E11-F11))</f>
        <v/>
      </c>
      <c r="H11" s="24">
        <f>IF(OR(E11="",M11=0),"",ROUND((F11*$N$6+G11*$O$6)*24,3))</f>
        <v/>
      </c>
      <c r="I11" s="22" t="n"/>
      <c r="K11" s="25">
        <f>IF(OR(M11=0,C11=""),"",IF(ISNUMBER(C11),MOD(C11,1),IFERROR(INDEX('القوائم'!$B$1:$B$288,MATCH(TRIM(C11),'القوائم'!$A$1:$A$288,0)),IFERROR(MOD(TIMEVALUE(C11),1),""))))</f>
        <v/>
      </c>
      <c r="L11" s="25">
        <f>IF(OR(M11=0,D11=""),"",IF(ISNUMBER(D11),MOD(D11,1),IFERROR(INDEX('القوائم'!$B$1:$B$288,MATCH(TRIM(D11),'القوائم'!$A$1:$A$288,0)),IFERROR(MOD(TIMEVALUE(D11),1),""))))</f>
        <v/>
      </c>
      <c r="M11">
        <f>M6</f>
        <v/>
      </c>
      <c r="Q11">
        <f>IF(N(G16)&gt;0,1,0)</f>
        <v/>
      </c>
    </row>
    <row r="12">
      <c r="A12" s="20">
        <f>IF(1&lt;=NW,SAT1+5,"")</f>
        <v/>
      </c>
      <c r="B12" s="21">
        <f>IF(A12="","",CHOOSE(WEEKDAY(A12,1),"الأحد","الاثنين","الثلاثاء","الأربعاء","الخميس","الجمعة","السبت"))</f>
        <v/>
      </c>
      <c r="C12" s="22" t="n"/>
      <c r="D12" s="22" t="n"/>
      <c r="E12" s="23">
        <f>IF(OR(M12=0,K12="",L12=""),"",MOD(L12-K12,1))</f>
        <v/>
      </c>
      <c r="F12" s="23">
        <f>IF(OR(E12="",M12=0),"",IF(WEEKDAY(A12,1)=6,E12,MIN(E12,MAX(0,MIN(IF(L12&lt;K12,L12+1,L12),OMR_OT_AT)-K12))))</f>
        <v/>
      </c>
      <c r="G12" s="23">
        <f>IF(OR(E12="",M12=0),"",MAX(0,E12-F12))</f>
        <v/>
      </c>
      <c r="H12" s="24">
        <f>IF(OR(E12="",M12=0),"",ROUND((F12*$N$6+G12*$O$6)*24,3))</f>
        <v/>
      </c>
      <c r="I12" s="22" t="n"/>
      <c r="K12" s="25">
        <f>IF(OR(M12=0,C12=""),"",IF(ISNUMBER(C12),MOD(C12,1),IFERROR(INDEX('القوائم'!$B$1:$B$288,MATCH(TRIM(C12),'القوائم'!$A$1:$A$288,0)),IFERROR(MOD(TIMEVALUE(C12),1),""))))</f>
        <v/>
      </c>
      <c r="L12" s="25">
        <f>IF(OR(M12=0,D12=""),"",IF(ISNUMBER(D12),MOD(D12,1),IFERROR(INDEX('القوائم'!$B$1:$B$288,MATCH(TRIM(D12),'القوائم'!$A$1:$A$288,0)),IFERROR(MOD(TIMEVALUE(D12),1),""))))</f>
        <v/>
      </c>
      <c r="M12">
        <f>M6</f>
        <v/>
      </c>
      <c r="Q12">
        <f>IF(N(G16)&gt;0,1,0)</f>
        <v/>
      </c>
    </row>
    <row r="13">
      <c r="A13" s="26">
        <f>IF(1&lt;=NW,SAT1+6,"")</f>
        <v/>
      </c>
      <c r="B13" s="27">
        <f>IF(A13="","",CHOOSE(WEEKDAY(A13,1),"الأحد","الاثنين","الثلاثاء","الأربعاء","الخميس","الجمعة","السبت"))</f>
        <v/>
      </c>
      <c r="C13" s="22" t="n"/>
      <c r="D13" s="22" t="n"/>
      <c r="E13" s="23">
        <f>IF(OR(M13=0,K13="",L13=""),"",MOD(L13-K13,1))</f>
        <v/>
      </c>
      <c r="F13" s="23">
        <f>IF(OR(E13="",M13=0),"",IF(WEEKDAY(A13,1)=6,E13,MIN(E13,MAX(0,MIN(IF(L13&lt;K13,L13+1,L13),OMR_OT_AT)-K13))))</f>
        <v/>
      </c>
      <c r="G13" s="23">
        <f>IF(OR(E13="",M13=0),"",MAX(0,E13-F13))</f>
        <v/>
      </c>
      <c r="H13" s="24">
        <f>IF(OR(E13="",M13=0),"",ROUND((F13*$N$6+G13*$O$6)*24,3))</f>
        <v/>
      </c>
      <c r="I13" s="22" t="n"/>
      <c r="K13" s="25">
        <f>IF(OR(M13=0,C13=""),"",IF(ISNUMBER(C13),MOD(C13,1),IFERROR(INDEX('القوائم'!$B$1:$B$288,MATCH(TRIM(C13),'القوائم'!$A$1:$A$288,0)),IFERROR(MOD(TIMEVALUE(C13),1),""))))</f>
        <v/>
      </c>
      <c r="L13" s="25">
        <f>IF(OR(M13=0,D13=""),"",IF(ISNUMBER(D13),MOD(D13,1),IFERROR(INDEX('القوائم'!$B$1:$B$288,MATCH(TRIM(D13),'القوائم'!$A$1:$A$288,0)),IFERROR(MOD(TIMEVALUE(D13),1),""))))</f>
        <v/>
      </c>
      <c r="M13">
        <f>M6</f>
        <v/>
      </c>
      <c r="Q13">
        <f>IF(N(G16)&gt;0,1,0)</f>
        <v/>
      </c>
    </row>
    <row r="14">
      <c r="A14" s="28">
        <f>IF(M6=1,"مجموع أيام الأسبوع 1","")</f>
        <v/>
      </c>
      <c r="B14" s="28" t="n"/>
      <c r="C14" s="28" t="n"/>
      <c r="D14" s="28" t="n"/>
      <c r="E14" s="29">
        <f>IF(M6=1,SUM(E7:E13),"")</f>
        <v/>
      </c>
      <c r="F14" s="29">
        <f>IF(M6=1,SUM(F7:F13),"")</f>
        <v/>
      </c>
      <c r="G14" s="29">
        <f>IF(M6=1,SUM(G7:G13),"")</f>
        <v/>
      </c>
      <c r="H14" s="30">
        <f>IF(M6=1,SUM(H7:H13),"")</f>
        <v/>
      </c>
      <c r="I14" s="28" t="n"/>
    </row>
    <row r="15" ht="32" customHeight="1">
      <c r="A15" s="28">
        <f>IF(M6=1,"ساعات تحميل الجبسمبورد بهالأسبوع (رقم: 2 أو 1.5) ←","")</f>
        <v/>
      </c>
      <c r="E15" s="31" t="n"/>
      <c r="F15" s="32">
        <f>IF(M6=1,"المستحق النهائي للأسبوع (دينار) ←","")</f>
        <v/>
      </c>
      <c r="H15" s="33">
        <f>IF(M6=1,IF(ROUND_MODE="للأعلى",CEILING(ROUND((N(H14)+N(E15)*($P$6-$N$6)),3),0.25),ROUND((N(H14)+N(E15)*($P$6-$N$6))*4,0)/4),"")</f>
        <v/>
      </c>
      <c r="I15" s="34">
        <f>IF(M6=1,"قبل الجبر: "&amp;TEXT(N(H14)+N(E15)*($P$6-$N$6),"0.000"),"")</f>
        <v/>
      </c>
    </row>
    <row r="16" ht="26" customHeight="1">
      <c r="A16" s="28">
        <f>IF(M6=1,"إكرامية الأسبوع (دينار) ←","")</f>
        <v/>
      </c>
      <c r="D16" s="35" t="n"/>
      <c r="E16" s="28">
        <f>IF(M6=1,"المدفوع يوم الجمعة (دينار) ←","")</f>
        <v/>
      </c>
      <c r="G16" s="35" t="n"/>
      <c r="H16" s="36">
        <f>IF(M6=1,IF(N(G16)&gt;0,"✔ انقبض — الأسبوع مقفول","⏳ لسا ما انقبض"),"")</f>
        <v/>
      </c>
    </row>
    <row r="17" ht="26" customHeight="1">
      <c r="A17" s="18">
        <f>IF(2&lt;=NW,"الأسبوع 2 · السبت "&amp;TEXT(DAY(SAT1+7),"00")&amp;"/"&amp;TEXT(MONTH(SAT1+7),"00")&amp;" ← الجمعة "&amp;TEXT(DAY(SAT1+13),"00")&amp;"/"&amp;TEXT(MONTH(SAT1+13),"00")&amp;" (يوم القبض)"&amp;IF(2&lt;START_O,"   — قبل أسبوع البداية (ما بينحسب)",""),"ما في أسبوع 2 هالسنة")</f>
        <v/>
      </c>
      <c r="L17" s="19">
        <f>IF(2&lt;=NW,SAT1+13,"")</f>
        <v/>
      </c>
      <c r="M17">
        <f>IF(AND(2&lt;=NW,2&gt;=START_O),1,0)</f>
        <v/>
      </c>
      <c r="N17">
        <f>IFERROR(INDEX(RT_OMR,MATCH(L17,RT_K,1)),INDEX(RT_OMR,1))</f>
        <v/>
      </c>
      <c r="O17">
        <f>IFERROR(INDEX(RT_OT,MATCH(L17,RT_K,1)),INDEX(RT_OT,1))</f>
        <v/>
      </c>
      <c r="P17">
        <f>IFERROR(INDEX(RT_GYP,MATCH(L17,RT_K,1)),INDEX(RT_GYP,1))</f>
        <v/>
      </c>
    </row>
    <row r="18">
      <c r="A18" s="20">
        <f>IF(2&lt;=NW,SAT1+7,"")</f>
        <v/>
      </c>
      <c r="B18" s="21">
        <f>IF(A18="","",CHOOSE(WEEKDAY(A18,1),"الأحد","الاثنين","الثلاثاء","الأربعاء","الخميس","الجمعة","السبت"))</f>
        <v/>
      </c>
      <c r="C18" s="22" t="n"/>
      <c r="D18" s="22" t="n"/>
      <c r="E18" s="23">
        <f>IF(OR(M18=0,K18="",L18=""),"",MOD(L18-K18,1))</f>
        <v/>
      </c>
      <c r="F18" s="23">
        <f>IF(OR(E18="",M18=0),"",IF(WEEKDAY(A18,1)=6,E18,MIN(E18,MAX(0,MIN(IF(L18&lt;K18,L18+1,L18),OMR_OT_AT)-K18))))</f>
        <v/>
      </c>
      <c r="G18" s="23">
        <f>IF(OR(E18="",M18=0),"",MAX(0,E18-F18))</f>
        <v/>
      </c>
      <c r="H18" s="24">
        <f>IF(OR(E18="",M18=0),"",ROUND((F18*$N$17+G18*$O$17)*24,3))</f>
        <v/>
      </c>
      <c r="I18" s="22" t="n"/>
      <c r="K18" s="25">
        <f>IF(OR(M18=0,C18=""),"",IF(ISNUMBER(C18),MOD(C18,1),IFERROR(INDEX('القوائم'!$B$1:$B$288,MATCH(TRIM(C18),'القوائم'!$A$1:$A$288,0)),IFERROR(MOD(TIMEVALUE(C18),1),""))))</f>
        <v/>
      </c>
      <c r="L18" s="25">
        <f>IF(OR(M18=0,D18=""),"",IF(ISNUMBER(D18),MOD(D18,1),IFERROR(INDEX('القوائم'!$B$1:$B$288,MATCH(TRIM(D18),'القوائم'!$A$1:$A$288,0)),IFERROR(MOD(TIMEVALUE(D18),1),""))))</f>
        <v/>
      </c>
      <c r="M18">
        <f>M17</f>
        <v/>
      </c>
      <c r="Q18">
        <f>IF(N(G27)&gt;0,1,0)</f>
        <v/>
      </c>
    </row>
    <row r="19">
      <c r="A19" s="20">
        <f>IF(2&lt;=NW,SAT1+8,"")</f>
        <v/>
      </c>
      <c r="B19" s="21">
        <f>IF(A19="","",CHOOSE(WEEKDAY(A19,1),"الأحد","الاثنين","الثلاثاء","الأربعاء","الخميس","الجمعة","السبت"))</f>
        <v/>
      </c>
      <c r="C19" s="22" t="n"/>
      <c r="D19" s="22" t="n"/>
      <c r="E19" s="23">
        <f>IF(OR(M19=0,K19="",L19=""),"",MOD(L19-K19,1))</f>
        <v/>
      </c>
      <c r="F19" s="23">
        <f>IF(OR(E19="",M19=0),"",IF(WEEKDAY(A19,1)=6,E19,MIN(E19,MAX(0,MIN(IF(L19&lt;K19,L19+1,L19),OMR_OT_AT)-K19))))</f>
        <v/>
      </c>
      <c r="G19" s="23">
        <f>IF(OR(E19="",M19=0),"",MAX(0,E19-F19))</f>
        <v/>
      </c>
      <c r="H19" s="24">
        <f>IF(OR(E19="",M19=0),"",ROUND((F19*$N$17+G19*$O$17)*24,3))</f>
        <v/>
      </c>
      <c r="I19" s="22" t="n"/>
      <c r="K19" s="25">
        <f>IF(OR(M19=0,C19=""),"",IF(ISNUMBER(C19),MOD(C19,1),IFERROR(INDEX('القوائم'!$B$1:$B$288,MATCH(TRIM(C19),'القوائم'!$A$1:$A$288,0)),IFERROR(MOD(TIMEVALUE(C19),1),""))))</f>
        <v/>
      </c>
      <c r="L19" s="25">
        <f>IF(OR(M19=0,D19=""),"",IF(ISNUMBER(D19),MOD(D19,1),IFERROR(INDEX('القوائم'!$B$1:$B$288,MATCH(TRIM(D19),'القوائم'!$A$1:$A$288,0)),IFERROR(MOD(TIMEVALUE(D19),1),""))))</f>
        <v/>
      </c>
      <c r="M19">
        <f>M17</f>
        <v/>
      </c>
      <c r="Q19">
        <f>IF(N(G27)&gt;0,1,0)</f>
        <v/>
      </c>
    </row>
    <row r="20">
      <c r="A20" s="20">
        <f>IF(2&lt;=NW,SAT1+9,"")</f>
        <v/>
      </c>
      <c r="B20" s="21">
        <f>IF(A20="","",CHOOSE(WEEKDAY(A20,1),"الأحد","الاثنين","الثلاثاء","الأربعاء","الخميس","الجمعة","السبت"))</f>
        <v/>
      </c>
      <c r="C20" s="22" t="n"/>
      <c r="D20" s="22" t="n"/>
      <c r="E20" s="23">
        <f>IF(OR(M20=0,K20="",L20=""),"",MOD(L20-K20,1))</f>
        <v/>
      </c>
      <c r="F20" s="23">
        <f>IF(OR(E20="",M20=0),"",IF(WEEKDAY(A20,1)=6,E20,MIN(E20,MAX(0,MIN(IF(L20&lt;K20,L20+1,L20),OMR_OT_AT)-K20))))</f>
        <v/>
      </c>
      <c r="G20" s="23">
        <f>IF(OR(E20="",M20=0),"",MAX(0,E20-F20))</f>
        <v/>
      </c>
      <c r="H20" s="24">
        <f>IF(OR(E20="",M20=0),"",ROUND((F20*$N$17+G20*$O$17)*24,3))</f>
        <v/>
      </c>
      <c r="I20" s="22" t="n"/>
      <c r="K20" s="25">
        <f>IF(OR(M20=0,C20=""),"",IF(ISNUMBER(C20),MOD(C20,1),IFERROR(INDEX('القوائم'!$B$1:$B$288,MATCH(TRIM(C20),'القوائم'!$A$1:$A$288,0)),IFERROR(MOD(TIMEVALUE(C20),1),""))))</f>
        <v/>
      </c>
      <c r="L20" s="25">
        <f>IF(OR(M20=0,D20=""),"",IF(ISNUMBER(D20),MOD(D20,1),IFERROR(INDEX('القوائم'!$B$1:$B$288,MATCH(TRIM(D20),'القوائم'!$A$1:$A$288,0)),IFERROR(MOD(TIMEVALUE(D20),1),""))))</f>
        <v/>
      </c>
      <c r="M20">
        <f>M17</f>
        <v/>
      </c>
      <c r="Q20">
        <f>IF(N(G27)&gt;0,1,0)</f>
        <v/>
      </c>
    </row>
    <row r="21">
      <c r="A21" s="20">
        <f>IF(2&lt;=NW,SAT1+10,"")</f>
        <v/>
      </c>
      <c r="B21" s="21">
        <f>IF(A21="","",CHOOSE(WEEKDAY(A21,1),"الأحد","الاثنين","الثلاثاء","الأربعاء","الخميس","الجمعة","السبت"))</f>
        <v/>
      </c>
      <c r="C21" s="22" t="n"/>
      <c r="D21" s="22" t="n"/>
      <c r="E21" s="23">
        <f>IF(OR(M21=0,K21="",L21=""),"",MOD(L21-K21,1))</f>
        <v/>
      </c>
      <c r="F21" s="23">
        <f>IF(OR(E21="",M21=0),"",IF(WEEKDAY(A21,1)=6,E21,MIN(E21,MAX(0,MIN(IF(L21&lt;K21,L21+1,L21),OMR_OT_AT)-K21))))</f>
        <v/>
      </c>
      <c r="G21" s="23">
        <f>IF(OR(E21="",M21=0),"",MAX(0,E21-F21))</f>
        <v/>
      </c>
      <c r="H21" s="24">
        <f>IF(OR(E21="",M21=0),"",ROUND((F21*$N$17+G21*$O$17)*24,3))</f>
        <v/>
      </c>
      <c r="I21" s="22" t="n"/>
      <c r="K21" s="25">
        <f>IF(OR(M21=0,C21=""),"",IF(ISNUMBER(C21),MOD(C21,1),IFERROR(INDEX('القوائم'!$B$1:$B$288,MATCH(TRIM(C21),'القوائم'!$A$1:$A$288,0)),IFERROR(MOD(TIMEVALUE(C21),1),""))))</f>
        <v/>
      </c>
      <c r="L21" s="25">
        <f>IF(OR(M21=0,D21=""),"",IF(ISNUMBER(D21),MOD(D21,1),IFERROR(INDEX('القوائم'!$B$1:$B$288,MATCH(TRIM(D21),'القوائم'!$A$1:$A$288,0)),IFERROR(MOD(TIMEVALUE(D21),1),""))))</f>
        <v/>
      </c>
      <c r="M21">
        <f>M17</f>
        <v/>
      </c>
      <c r="Q21">
        <f>IF(N(G27)&gt;0,1,0)</f>
        <v/>
      </c>
    </row>
    <row r="22">
      <c r="A22" s="20">
        <f>IF(2&lt;=NW,SAT1+11,"")</f>
        <v/>
      </c>
      <c r="B22" s="21">
        <f>IF(A22="","",CHOOSE(WEEKDAY(A22,1),"الأحد","الاثنين","الثلاثاء","الأربعاء","الخميس","الجمعة","السبت"))</f>
        <v/>
      </c>
      <c r="C22" s="22" t="n"/>
      <c r="D22" s="22" t="n"/>
      <c r="E22" s="23">
        <f>IF(OR(M22=0,K22="",L22=""),"",MOD(L22-K22,1))</f>
        <v/>
      </c>
      <c r="F22" s="23">
        <f>IF(OR(E22="",M22=0),"",IF(WEEKDAY(A22,1)=6,E22,MIN(E22,MAX(0,MIN(IF(L22&lt;K22,L22+1,L22),OMR_OT_AT)-K22))))</f>
        <v/>
      </c>
      <c r="G22" s="23">
        <f>IF(OR(E22="",M22=0),"",MAX(0,E22-F22))</f>
        <v/>
      </c>
      <c r="H22" s="24">
        <f>IF(OR(E22="",M22=0),"",ROUND((F22*$N$17+G22*$O$17)*24,3))</f>
        <v/>
      </c>
      <c r="I22" s="22" t="n"/>
      <c r="K22" s="25">
        <f>IF(OR(M22=0,C22=""),"",IF(ISNUMBER(C22),MOD(C22,1),IFERROR(INDEX('القوائم'!$B$1:$B$288,MATCH(TRIM(C22),'القوائم'!$A$1:$A$288,0)),IFERROR(MOD(TIMEVALUE(C22),1),""))))</f>
        <v/>
      </c>
      <c r="L22" s="25">
        <f>IF(OR(M22=0,D22=""),"",IF(ISNUMBER(D22),MOD(D22,1),IFERROR(INDEX('القوائم'!$B$1:$B$288,MATCH(TRIM(D22),'القوائم'!$A$1:$A$288,0)),IFERROR(MOD(TIMEVALUE(D22),1),""))))</f>
        <v/>
      </c>
      <c r="M22">
        <f>M17</f>
        <v/>
      </c>
      <c r="Q22">
        <f>IF(N(G27)&gt;0,1,0)</f>
        <v/>
      </c>
    </row>
    <row r="23">
      <c r="A23" s="20">
        <f>IF(2&lt;=NW,SAT1+12,"")</f>
        <v/>
      </c>
      <c r="B23" s="21">
        <f>IF(A23="","",CHOOSE(WEEKDAY(A23,1),"الأحد","الاثنين","الثلاثاء","الأربعاء","الخميس","الجمعة","السبت"))</f>
        <v/>
      </c>
      <c r="C23" s="22" t="n"/>
      <c r="D23" s="22" t="n"/>
      <c r="E23" s="23">
        <f>IF(OR(M23=0,K23="",L23=""),"",MOD(L23-K23,1))</f>
        <v/>
      </c>
      <c r="F23" s="23">
        <f>IF(OR(E23="",M23=0),"",IF(WEEKDAY(A23,1)=6,E23,MIN(E23,MAX(0,MIN(IF(L23&lt;K23,L23+1,L23),OMR_OT_AT)-K23))))</f>
        <v/>
      </c>
      <c r="G23" s="23">
        <f>IF(OR(E23="",M23=0),"",MAX(0,E23-F23))</f>
        <v/>
      </c>
      <c r="H23" s="24">
        <f>IF(OR(E23="",M23=0),"",ROUND((F23*$N$17+G23*$O$17)*24,3))</f>
        <v/>
      </c>
      <c r="I23" s="22" t="n"/>
      <c r="K23" s="25">
        <f>IF(OR(M23=0,C23=""),"",IF(ISNUMBER(C23),MOD(C23,1),IFERROR(INDEX('القوائم'!$B$1:$B$288,MATCH(TRIM(C23),'القوائم'!$A$1:$A$288,0)),IFERROR(MOD(TIMEVALUE(C23),1),""))))</f>
        <v/>
      </c>
      <c r="L23" s="25">
        <f>IF(OR(M23=0,D23=""),"",IF(ISNUMBER(D23),MOD(D23,1),IFERROR(INDEX('القوائم'!$B$1:$B$288,MATCH(TRIM(D23),'القوائم'!$A$1:$A$288,0)),IFERROR(MOD(TIMEVALUE(D23),1),""))))</f>
        <v/>
      </c>
      <c r="M23">
        <f>M17</f>
        <v/>
      </c>
      <c r="Q23">
        <f>IF(N(G27)&gt;0,1,0)</f>
        <v/>
      </c>
    </row>
    <row r="24">
      <c r="A24" s="26">
        <f>IF(2&lt;=NW,SAT1+13,"")</f>
        <v/>
      </c>
      <c r="B24" s="27">
        <f>IF(A24="","",CHOOSE(WEEKDAY(A24,1),"الأحد","الاثنين","الثلاثاء","الأربعاء","الخميس","الجمعة","السبت"))</f>
        <v/>
      </c>
      <c r="C24" s="22" t="n"/>
      <c r="D24" s="22" t="n"/>
      <c r="E24" s="23">
        <f>IF(OR(M24=0,K24="",L24=""),"",MOD(L24-K24,1))</f>
        <v/>
      </c>
      <c r="F24" s="23">
        <f>IF(OR(E24="",M24=0),"",IF(WEEKDAY(A24,1)=6,E24,MIN(E24,MAX(0,MIN(IF(L24&lt;K24,L24+1,L24),OMR_OT_AT)-K24))))</f>
        <v/>
      </c>
      <c r="G24" s="23">
        <f>IF(OR(E24="",M24=0),"",MAX(0,E24-F24))</f>
        <v/>
      </c>
      <c r="H24" s="24">
        <f>IF(OR(E24="",M24=0),"",ROUND((F24*$N$17+G24*$O$17)*24,3))</f>
        <v/>
      </c>
      <c r="I24" s="22" t="n"/>
      <c r="K24" s="25">
        <f>IF(OR(M24=0,C24=""),"",IF(ISNUMBER(C24),MOD(C24,1),IFERROR(INDEX('القوائم'!$B$1:$B$288,MATCH(TRIM(C24),'القوائم'!$A$1:$A$288,0)),IFERROR(MOD(TIMEVALUE(C24),1),""))))</f>
        <v/>
      </c>
      <c r="L24" s="25">
        <f>IF(OR(M24=0,D24=""),"",IF(ISNUMBER(D24),MOD(D24,1),IFERROR(INDEX('القوائم'!$B$1:$B$288,MATCH(TRIM(D24),'القوائم'!$A$1:$A$288,0)),IFERROR(MOD(TIMEVALUE(D24),1),""))))</f>
        <v/>
      </c>
      <c r="M24">
        <f>M17</f>
        <v/>
      </c>
      <c r="Q24">
        <f>IF(N(G27)&gt;0,1,0)</f>
        <v/>
      </c>
    </row>
    <row r="25">
      <c r="A25" s="28">
        <f>IF(M17=1,"مجموع أيام الأسبوع 2","")</f>
        <v/>
      </c>
      <c r="B25" s="28" t="n"/>
      <c r="C25" s="28" t="n"/>
      <c r="D25" s="28" t="n"/>
      <c r="E25" s="29">
        <f>IF(M17=1,SUM(E18:E24),"")</f>
        <v/>
      </c>
      <c r="F25" s="29">
        <f>IF(M17=1,SUM(F18:F24),"")</f>
        <v/>
      </c>
      <c r="G25" s="29">
        <f>IF(M17=1,SUM(G18:G24),"")</f>
        <v/>
      </c>
      <c r="H25" s="30">
        <f>IF(M17=1,SUM(H18:H24),"")</f>
        <v/>
      </c>
      <c r="I25" s="28" t="n"/>
    </row>
    <row r="26" ht="32" customHeight="1">
      <c r="A26" s="28">
        <f>IF(M17=1,"ساعات تحميل الجبسمبورد بهالأسبوع (رقم: 2 أو 1.5) ←","")</f>
        <v/>
      </c>
      <c r="E26" s="31" t="n"/>
      <c r="F26" s="32">
        <f>IF(M17=1,"المستحق النهائي للأسبوع (دينار) ←","")</f>
        <v/>
      </c>
      <c r="H26" s="33">
        <f>IF(M17=1,IF(ROUND_MODE="للأعلى",CEILING(ROUND((N(H25)+N(E26)*($P$17-$N$17)),3),0.25),ROUND((N(H25)+N(E26)*($P$17-$N$17))*4,0)/4),"")</f>
        <v/>
      </c>
      <c r="I26" s="34">
        <f>IF(M17=1,"قبل الجبر: "&amp;TEXT(N(H25)+N(E26)*($P$17-$N$17),"0.000"),"")</f>
        <v/>
      </c>
    </row>
    <row r="27" ht="26" customHeight="1">
      <c r="A27" s="28">
        <f>IF(M17=1,"إكرامية الأسبوع (دينار) ←","")</f>
        <v/>
      </c>
      <c r="D27" s="35" t="n"/>
      <c r="E27" s="28">
        <f>IF(M17=1,"المدفوع يوم الجمعة (دينار) ←","")</f>
        <v/>
      </c>
      <c r="G27" s="35" t="n"/>
      <c r="H27" s="36">
        <f>IF(M17=1,IF(N(G27)&gt;0,"✔ انقبض — الأسبوع مقفول","⏳ لسا ما انقبض"),"")</f>
        <v/>
      </c>
    </row>
    <row r="28" ht="26" customHeight="1">
      <c r="A28" s="18">
        <f>IF(3&lt;=NW,"الأسبوع 3 · السبت "&amp;TEXT(DAY(SAT1+14),"00")&amp;"/"&amp;TEXT(MONTH(SAT1+14),"00")&amp;" ← الجمعة "&amp;TEXT(DAY(SAT1+20),"00")&amp;"/"&amp;TEXT(MONTH(SAT1+20),"00")&amp;" (يوم القبض)"&amp;IF(3&lt;START_O,"   — قبل أسبوع البداية (ما بينحسب)",""),"ما في أسبوع 3 هالسنة")</f>
        <v/>
      </c>
      <c r="L28" s="19">
        <f>IF(3&lt;=NW,SAT1+20,"")</f>
        <v/>
      </c>
      <c r="M28">
        <f>IF(AND(3&lt;=NW,3&gt;=START_O),1,0)</f>
        <v/>
      </c>
      <c r="N28">
        <f>IFERROR(INDEX(RT_OMR,MATCH(L28,RT_K,1)),INDEX(RT_OMR,1))</f>
        <v/>
      </c>
      <c r="O28">
        <f>IFERROR(INDEX(RT_OT,MATCH(L28,RT_K,1)),INDEX(RT_OT,1))</f>
        <v/>
      </c>
      <c r="P28">
        <f>IFERROR(INDEX(RT_GYP,MATCH(L28,RT_K,1)),INDEX(RT_GYP,1))</f>
        <v/>
      </c>
    </row>
    <row r="29">
      <c r="A29" s="20">
        <f>IF(3&lt;=NW,SAT1+14,"")</f>
        <v/>
      </c>
      <c r="B29" s="21">
        <f>IF(A29="","",CHOOSE(WEEKDAY(A29,1),"الأحد","الاثنين","الثلاثاء","الأربعاء","الخميس","الجمعة","السبت"))</f>
        <v/>
      </c>
      <c r="C29" s="22" t="n"/>
      <c r="D29" s="22" t="n"/>
      <c r="E29" s="23">
        <f>IF(OR(M29=0,K29="",L29=""),"",MOD(L29-K29,1))</f>
        <v/>
      </c>
      <c r="F29" s="23">
        <f>IF(OR(E29="",M29=0),"",IF(WEEKDAY(A29,1)=6,E29,MIN(E29,MAX(0,MIN(IF(L29&lt;K29,L29+1,L29),OMR_OT_AT)-K29))))</f>
        <v/>
      </c>
      <c r="G29" s="23">
        <f>IF(OR(E29="",M29=0),"",MAX(0,E29-F29))</f>
        <v/>
      </c>
      <c r="H29" s="24">
        <f>IF(OR(E29="",M29=0),"",ROUND((F29*$N$28+G29*$O$28)*24,3))</f>
        <v/>
      </c>
      <c r="I29" s="22" t="n"/>
      <c r="K29" s="25">
        <f>IF(OR(M29=0,C29=""),"",IF(ISNUMBER(C29),MOD(C29,1),IFERROR(INDEX('القوائم'!$B$1:$B$288,MATCH(TRIM(C29),'القوائم'!$A$1:$A$288,0)),IFERROR(MOD(TIMEVALUE(C29),1),""))))</f>
        <v/>
      </c>
      <c r="L29" s="25">
        <f>IF(OR(M29=0,D29=""),"",IF(ISNUMBER(D29),MOD(D29,1),IFERROR(INDEX('القوائم'!$B$1:$B$288,MATCH(TRIM(D29),'القوائم'!$A$1:$A$288,0)),IFERROR(MOD(TIMEVALUE(D29),1),""))))</f>
        <v/>
      </c>
      <c r="M29">
        <f>M28</f>
        <v/>
      </c>
      <c r="Q29">
        <f>IF(N(G38)&gt;0,1,0)</f>
        <v/>
      </c>
    </row>
    <row r="30">
      <c r="A30" s="20">
        <f>IF(3&lt;=NW,SAT1+15,"")</f>
        <v/>
      </c>
      <c r="B30" s="21">
        <f>IF(A30="","",CHOOSE(WEEKDAY(A30,1),"الأحد","الاثنين","الثلاثاء","الأربعاء","الخميس","الجمعة","السبت"))</f>
        <v/>
      </c>
      <c r="C30" s="22" t="n"/>
      <c r="D30" s="22" t="n"/>
      <c r="E30" s="23">
        <f>IF(OR(M30=0,K30="",L30=""),"",MOD(L30-K30,1))</f>
        <v/>
      </c>
      <c r="F30" s="23">
        <f>IF(OR(E30="",M30=0),"",IF(WEEKDAY(A30,1)=6,E30,MIN(E30,MAX(0,MIN(IF(L30&lt;K30,L30+1,L30),OMR_OT_AT)-K30))))</f>
        <v/>
      </c>
      <c r="G30" s="23">
        <f>IF(OR(E30="",M30=0),"",MAX(0,E30-F30))</f>
        <v/>
      </c>
      <c r="H30" s="24">
        <f>IF(OR(E30="",M30=0),"",ROUND((F30*$N$28+G30*$O$28)*24,3))</f>
        <v/>
      </c>
      <c r="I30" s="22" t="n"/>
      <c r="K30" s="25">
        <f>IF(OR(M30=0,C30=""),"",IF(ISNUMBER(C30),MOD(C30,1),IFERROR(INDEX('القوائم'!$B$1:$B$288,MATCH(TRIM(C30),'القوائم'!$A$1:$A$288,0)),IFERROR(MOD(TIMEVALUE(C30),1),""))))</f>
        <v/>
      </c>
      <c r="L30" s="25">
        <f>IF(OR(M30=0,D30=""),"",IF(ISNUMBER(D30),MOD(D30,1),IFERROR(INDEX('القوائم'!$B$1:$B$288,MATCH(TRIM(D30),'القوائم'!$A$1:$A$288,0)),IFERROR(MOD(TIMEVALUE(D30),1),""))))</f>
        <v/>
      </c>
      <c r="M30">
        <f>M28</f>
        <v/>
      </c>
      <c r="Q30">
        <f>IF(N(G38)&gt;0,1,0)</f>
        <v/>
      </c>
    </row>
    <row r="31">
      <c r="A31" s="20">
        <f>IF(3&lt;=NW,SAT1+16,"")</f>
        <v/>
      </c>
      <c r="B31" s="21">
        <f>IF(A31="","",CHOOSE(WEEKDAY(A31,1),"الأحد","الاثنين","الثلاثاء","الأربعاء","الخميس","الجمعة","السبت"))</f>
        <v/>
      </c>
      <c r="C31" s="22" t="n"/>
      <c r="D31" s="22" t="n"/>
      <c r="E31" s="23">
        <f>IF(OR(M31=0,K31="",L31=""),"",MOD(L31-K31,1))</f>
        <v/>
      </c>
      <c r="F31" s="23">
        <f>IF(OR(E31="",M31=0),"",IF(WEEKDAY(A31,1)=6,E31,MIN(E31,MAX(0,MIN(IF(L31&lt;K31,L31+1,L31),OMR_OT_AT)-K31))))</f>
        <v/>
      </c>
      <c r="G31" s="23">
        <f>IF(OR(E31="",M31=0),"",MAX(0,E31-F31))</f>
        <v/>
      </c>
      <c r="H31" s="24">
        <f>IF(OR(E31="",M31=0),"",ROUND((F31*$N$28+G31*$O$28)*24,3))</f>
        <v/>
      </c>
      <c r="I31" s="22" t="n"/>
      <c r="K31" s="25">
        <f>IF(OR(M31=0,C31=""),"",IF(ISNUMBER(C31),MOD(C31,1),IFERROR(INDEX('القوائم'!$B$1:$B$288,MATCH(TRIM(C31),'القوائم'!$A$1:$A$288,0)),IFERROR(MOD(TIMEVALUE(C31),1),""))))</f>
        <v/>
      </c>
      <c r="L31" s="25">
        <f>IF(OR(M31=0,D31=""),"",IF(ISNUMBER(D31),MOD(D31,1),IFERROR(INDEX('القوائم'!$B$1:$B$288,MATCH(TRIM(D31),'القوائم'!$A$1:$A$288,0)),IFERROR(MOD(TIMEVALUE(D31),1),""))))</f>
        <v/>
      </c>
      <c r="M31">
        <f>M28</f>
        <v/>
      </c>
      <c r="Q31">
        <f>IF(N(G38)&gt;0,1,0)</f>
        <v/>
      </c>
    </row>
    <row r="32">
      <c r="A32" s="20">
        <f>IF(3&lt;=NW,SAT1+17,"")</f>
        <v/>
      </c>
      <c r="B32" s="21">
        <f>IF(A32="","",CHOOSE(WEEKDAY(A32,1),"الأحد","الاثنين","الثلاثاء","الأربعاء","الخميس","الجمعة","السبت"))</f>
        <v/>
      </c>
      <c r="C32" s="22" t="n"/>
      <c r="D32" s="22" t="n"/>
      <c r="E32" s="23">
        <f>IF(OR(M32=0,K32="",L32=""),"",MOD(L32-K32,1))</f>
        <v/>
      </c>
      <c r="F32" s="23">
        <f>IF(OR(E32="",M32=0),"",IF(WEEKDAY(A32,1)=6,E32,MIN(E32,MAX(0,MIN(IF(L32&lt;K32,L32+1,L32),OMR_OT_AT)-K32))))</f>
        <v/>
      </c>
      <c r="G32" s="23">
        <f>IF(OR(E32="",M32=0),"",MAX(0,E32-F32))</f>
        <v/>
      </c>
      <c r="H32" s="24">
        <f>IF(OR(E32="",M32=0),"",ROUND((F32*$N$28+G32*$O$28)*24,3))</f>
        <v/>
      </c>
      <c r="I32" s="22" t="n"/>
      <c r="K32" s="25">
        <f>IF(OR(M32=0,C32=""),"",IF(ISNUMBER(C32),MOD(C32,1),IFERROR(INDEX('القوائم'!$B$1:$B$288,MATCH(TRIM(C32),'القوائم'!$A$1:$A$288,0)),IFERROR(MOD(TIMEVALUE(C32),1),""))))</f>
        <v/>
      </c>
      <c r="L32" s="25">
        <f>IF(OR(M32=0,D32=""),"",IF(ISNUMBER(D32),MOD(D32,1),IFERROR(INDEX('القوائم'!$B$1:$B$288,MATCH(TRIM(D32),'القوائم'!$A$1:$A$288,0)),IFERROR(MOD(TIMEVALUE(D32),1),""))))</f>
        <v/>
      </c>
      <c r="M32">
        <f>M28</f>
        <v/>
      </c>
      <c r="Q32">
        <f>IF(N(G38)&gt;0,1,0)</f>
        <v/>
      </c>
    </row>
    <row r="33">
      <c r="A33" s="20">
        <f>IF(3&lt;=NW,SAT1+18,"")</f>
        <v/>
      </c>
      <c r="B33" s="21">
        <f>IF(A33="","",CHOOSE(WEEKDAY(A33,1),"الأحد","الاثنين","الثلاثاء","الأربعاء","الخميس","الجمعة","السبت"))</f>
        <v/>
      </c>
      <c r="C33" s="22" t="n"/>
      <c r="D33" s="22" t="n"/>
      <c r="E33" s="23">
        <f>IF(OR(M33=0,K33="",L33=""),"",MOD(L33-K33,1))</f>
        <v/>
      </c>
      <c r="F33" s="23">
        <f>IF(OR(E33="",M33=0),"",IF(WEEKDAY(A33,1)=6,E33,MIN(E33,MAX(0,MIN(IF(L33&lt;K33,L33+1,L33),OMR_OT_AT)-K33))))</f>
        <v/>
      </c>
      <c r="G33" s="23">
        <f>IF(OR(E33="",M33=0),"",MAX(0,E33-F33))</f>
        <v/>
      </c>
      <c r="H33" s="24">
        <f>IF(OR(E33="",M33=0),"",ROUND((F33*$N$28+G33*$O$28)*24,3))</f>
        <v/>
      </c>
      <c r="I33" s="22" t="n"/>
      <c r="K33" s="25">
        <f>IF(OR(M33=0,C33=""),"",IF(ISNUMBER(C33),MOD(C33,1),IFERROR(INDEX('القوائم'!$B$1:$B$288,MATCH(TRIM(C33),'القوائم'!$A$1:$A$288,0)),IFERROR(MOD(TIMEVALUE(C33),1),""))))</f>
        <v/>
      </c>
      <c r="L33" s="25">
        <f>IF(OR(M33=0,D33=""),"",IF(ISNUMBER(D33),MOD(D33,1),IFERROR(INDEX('القوائم'!$B$1:$B$288,MATCH(TRIM(D33),'القوائم'!$A$1:$A$288,0)),IFERROR(MOD(TIMEVALUE(D33),1),""))))</f>
        <v/>
      </c>
      <c r="M33">
        <f>M28</f>
        <v/>
      </c>
      <c r="Q33">
        <f>IF(N(G38)&gt;0,1,0)</f>
        <v/>
      </c>
    </row>
    <row r="34">
      <c r="A34" s="20">
        <f>IF(3&lt;=NW,SAT1+19,"")</f>
        <v/>
      </c>
      <c r="B34" s="21">
        <f>IF(A34="","",CHOOSE(WEEKDAY(A34,1),"الأحد","الاثنين","الثلاثاء","الأربعاء","الخميس","الجمعة","السبت"))</f>
        <v/>
      </c>
      <c r="C34" s="22" t="n"/>
      <c r="D34" s="22" t="n"/>
      <c r="E34" s="23">
        <f>IF(OR(M34=0,K34="",L34=""),"",MOD(L34-K34,1))</f>
        <v/>
      </c>
      <c r="F34" s="23">
        <f>IF(OR(E34="",M34=0),"",IF(WEEKDAY(A34,1)=6,E34,MIN(E34,MAX(0,MIN(IF(L34&lt;K34,L34+1,L34),OMR_OT_AT)-K34))))</f>
        <v/>
      </c>
      <c r="G34" s="23">
        <f>IF(OR(E34="",M34=0),"",MAX(0,E34-F34))</f>
        <v/>
      </c>
      <c r="H34" s="24">
        <f>IF(OR(E34="",M34=0),"",ROUND((F34*$N$28+G34*$O$28)*24,3))</f>
        <v/>
      </c>
      <c r="I34" s="22" t="n"/>
      <c r="K34" s="25">
        <f>IF(OR(M34=0,C34=""),"",IF(ISNUMBER(C34),MOD(C34,1),IFERROR(INDEX('القوائم'!$B$1:$B$288,MATCH(TRIM(C34),'القوائم'!$A$1:$A$288,0)),IFERROR(MOD(TIMEVALUE(C34),1),""))))</f>
        <v/>
      </c>
      <c r="L34" s="25">
        <f>IF(OR(M34=0,D34=""),"",IF(ISNUMBER(D34),MOD(D34,1),IFERROR(INDEX('القوائم'!$B$1:$B$288,MATCH(TRIM(D34),'القوائم'!$A$1:$A$288,0)),IFERROR(MOD(TIMEVALUE(D34),1),""))))</f>
        <v/>
      </c>
      <c r="M34">
        <f>M28</f>
        <v/>
      </c>
      <c r="Q34">
        <f>IF(N(G38)&gt;0,1,0)</f>
        <v/>
      </c>
    </row>
    <row r="35">
      <c r="A35" s="26">
        <f>IF(3&lt;=NW,SAT1+20,"")</f>
        <v/>
      </c>
      <c r="B35" s="27">
        <f>IF(A35="","",CHOOSE(WEEKDAY(A35,1),"الأحد","الاثنين","الثلاثاء","الأربعاء","الخميس","الجمعة","السبت"))</f>
        <v/>
      </c>
      <c r="C35" s="22" t="n"/>
      <c r="D35" s="22" t="n"/>
      <c r="E35" s="23">
        <f>IF(OR(M35=0,K35="",L35=""),"",MOD(L35-K35,1))</f>
        <v/>
      </c>
      <c r="F35" s="23">
        <f>IF(OR(E35="",M35=0),"",IF(WEEKDAY(A35,1)=6,E35,MIN(E35,MAX(0,MIN(IF(L35&lt;K35,L35+1,L35),OMR_OT_AT)-K35))))</f>
        <v/>
      </c>
      <c r="G35" s="23">
        <f>IF(OR(E35="",M35=0),"",MAX(0,E35-F35))</f>
        <v/>
      </c>
      <c r="H35" s="24">
        <f>IF(OR(E35="",M35=0),"",ROUND((F35*$N$28+G35*$O$28)*24,3))</f>
        <v/>
      </c>
      <c r="I35" s="22" t="n"/>
      <c r="K35" s="25">
        <f>IF(OR(M35=0,C35=""),"",IF(ISNUMBER(C35),MOD(C35,1),IFERROR(INDEX('القوائم'!$B$1:$B$288,MATCH(TRIM(C35),'القوائم'!$A$1:$A$288,0)),IFERROR(MOD(TIMEVALUE(C35),1),""))))</f>
        <v/>
      </c>
      <c r="L35" s="25">
        <f>IF(OR(M35=0,D35=""),"",IF(ISNUMBER(D35),MOD(D35,1),IFERROR(INDEX('القوائم'!$B$1:$B$288,MATCH(TRIM(D35),'القوائم'!$A$1:$A$288,0)),IFERROR(MOD(TIMEVALUE(D35),1),""))))</f>
        <v/>
      </c>
      <c r="M35">
        <f>M28</f>
        <v/>
      </c>
      <c r="Q35">
        <f>IF(N(G38)&gt;0,1,0)</f>
        <v/>
      </c>
    </row>
    <row r="36">
      <c r="A36" s="28">
        <f>IF(M28=1,"مجموع أيام الأسبوع 3","")</f>
        <v/>
      </c>
      <c r="B36" s="28" t="n"/>
      <c r="C36" s="28" t="n"/>
      <c r="D36" s="28" t="n"/>
      <c r="E36" s="29">
        <f>IF(M28=1,SUM(E29:E35),"")</f>
        <v/>
      </c>
      <c r="F36" s="29">
        <f>IF(M28=1,SUM(F29:F35),"")</f>
        <v/>
      </c>
      <c r="G36" s="29">
        <f>IF(M28=1,SUM(G29:G35),"")</f>
        <v/>
      </c>
      <c r="H36" s="30">
        <f>IF(M28=1,SUM(H29:H35),"")</f>
        <v/>
      </c>
      <c r="I36" s="28" t="n"/>
    </row>
    <row r="37" ht="32" customHeight="1">
      <c r="A37" s="28">
        <f>IF(M28=1,"ساعات تحميل الجبسمبورد بهالأسبوع (رقم: 2 أو 1.5) ←","")</f>
        <v/>
      </c>
      <c r="E37" s="31" t="n"/>
      <c r="F37" s="32">
        <f>IF(M28=1,"المستحق النهائي للأسبوع (دينار) ←","")</f>
        <v/>
      </c>
      <c r="H37" s="33">
        <f>IF(M28=1,IF(ROUND_MODE="للأعلى",CEILING(ROUND((N(H36)+N(E37)*($P$28-$N$28)),3),0.25),ROUND((N(H36)+N(E37)*($P$28-$N$28))*4,0)/4),"")</f>
        <v/>
      </c>
      <c r="I37" s="34">
        <f>IF(M28=1,"قبل الجبر: "&amp;TEXT(N(H36)+N(E37)*($P$28-$N$28),"0.000"),"")</f>
        <v/>
      </c>
    </row>
    <row r="38" ht="26" customHeight="1">
      <c r="A38" s="28">
        <f>IF(M28=1,"إكرامية الأسبوع (دينار) ←","")</f>
        <v/>
      </c>
      <c r="D38" s="35" t="n"/>
      <c r="E38" s="28">
        <f>IF(M28=1,"المدفوع يوم الجمعة (دينار) ←","")</f>
        <v/>
      </c>
      <c r="G38" s="35" t="n"/>
      <c r="H38" s="36">
        <f>IF(M28=1,IF(N(G38)&gt;0,"✔ انقبض — الأسبوع مقفول","⏳ لسا ما انقبض"),"")</f>
        <v/>
      </c>
    </row>
    <row r="39" ht="26" customHeight="1">
      <c r="A39" s="18">
        <f>IF(4&lt;=NW,"الأسبوع 4 · السبت "&amp;TEXT(DAY(SAT1+21),"00")&amp;"/"&amp;TEXT(MONTH(SAT1+21),"00")&amp;" ← الجمعة "&amp;TEXT(DAY(SAT1+27),"00")&amp;"/"&amp;TEXT(MONTH(SAT1+27),"00")&amp;" (يوم القبض)"&amp;IF(4&lt;START_O,"   — قبل أسبوع البداية (ما بينحسب)",""),"ما في أسبوع 4 هالسنة")</f>
        <v/>
      </c>
      <c r="L39" s="19">
        <f>IF(4&lt;=NW,SAT1+27,"")</f>
        <v/>
      </c>
      <c r="M39">
        <f>IF(AND(4&lt;=NW,4&gt;=START_O),1,0)</f>
        <v/>
      </c>
      <c r="N39">
        <f>IFERROR(INDEX(RT_OMR,MATCH(L39,RT_K,1)),INDEX(RT_OMR,1))</f>
        <v/>
      </c>
      <c r="O39">
        <f>IFERROR(INDEX(RT_OT,MATCH(L39,RT_K,1)),INDEX(RT_OT,1))</f>
        <v/>
      </c>
      <c r="P39">
        <f>IFERROR(INDEX(RT_GYP,MATCH(L39,RT_K,1)),INDEX(RT_GYP,1))</f>
        <v/>
      </c>
    </row>
    <row r="40">
      <c r="A40" s="20">
        <f>IF(4&lt;=NW,SAT1+21,"")</f>
        <v/>
      </c>
      <c r="B40" s="21">
        <f>IF(A40="","",CHOOSE(WEEKDAY(A40,1),"الأحد","الاثنين","الثلاثاء","الأربعاء","الخميس","الجمعة","السبت"))</f>
        <v/>
      </c>
      <c r="C40" s="22" t="n"/>
      <c r="D40" s="22" t="n"/>
      <c r="E40" s="23">
        <f>IF(OR(M40=0,K40="",L40=""),"",MOD(L40-K40,1))</f>
        <v/>
      </c>
      <c r="F40" s="23">
        <f>IF(OR(E40="",M40=0),"",IF(WEEKDAY(A40,1)=6,E40,MIN(E40,MAX(0,MIN(IF(L40&lt;K40,L40+1,L40),OMR_OT_AT)-K40))))</f>
        <v/>
      </c>
      <c r="G40" s="23">
        <f>IF(OR(E40="",M40=0),"",MAX(0,E40-F40))</f>
        <v/>
      </c>
      <c r="H40" s="24">
        <f>IF(OR(E40="",M40=0),"",ROUND((F40*$N$39+G40*$O$39)*24,3))</f>
        <v/>
      </c>
      <c r="I40" s="22" t="n"/>
      <c r="K40" s="25">
        <f>IF(OR(M40=0,C40=""),"",IF(ISNUMBER(C40),MOD(C40,1),IFERROR(INDEX('القوائم'!$B$1:$B$288,MATCH(TRIM(C40),'القوائم'!$A$1:$A$288,0)),IFERROR(MOD(TIMEVALUE(C40),1),""))))</f>
        <v/>
      </c>
      <c r="L40" s="25">
        <f>IF(OR(M40=0,D40=""),"",IF(ISNUMBER(D40),MOD(D40,1),IFERROR(INDEX('القوائم'!$B$1:$B$288,MATCH(TRIM(D40),'القوائم'!$A$1:$A$288,0)),IFERROR(MOD(TIMEVALUE(D40),1),""))))</f>
        <v/>
      </c>
      <c r="M40">
        <f>M39</f>
        <v/>
      </c>
      <c r="Q40">
        <f>IF(N(G49)&gt;0,1,0)</f>
        <v/>
      </c>
    </row>
    <row r="41">
      <c r="A41" s="20">
        <f>IF(4&lt;=NW,SAT1+22,"")</f>
        <v/>
      </c>
      <c r="B41" s="21">
        <f>IF(A41="","",CHOOSE(WEEKDAY(A41,1),"الأحد","الاثنين","الثلاثاء","الأربعاء","الخميس","الجمعة","السبت"))</f>
        <v/>
      </c>
      <c r="C41" s="22" t="n"/>
      <c r="D41" s="22" t="n"/>
      <c r="E41" s="23">
        <f>IF(OR(M41=0,K41="",L41=""),"",MOD(L41-K41,1))</f>
        <v/>
      </c>
      <c r="F41" s="23">
        <f>IF(OR(E41="",M41=0),"",IF(WEEKDAY(A41,1)=6,E41,MIN(E41,MAX(0,MIN(IF(L41&lt;K41,L41+1,L41),OMR_OT_AT)-K41))))</f>
        <v/>
      </c>
      <c r="G41" s="23">
        <f>IF(OR(E41="",M41=0),"",MAX(0,E41-F41))</f>
        <v/>
      </c>
      <c r="H41" s="24">
        <f>IF(OR(E41="",M41=0),"",ROUND((F41*$N$39+G41*$O$39)*24,3))</f>
        <v/>
      </c>
      <c r="I41" s="22" t="n"/>
      <c r="K41" s="25">
        <f>IF(OR(M41=0,C41=""),"",IF(ISNUMBER(C41),MOD(C41,1),IFERROR(INDEX('القوائم'!$B$1:$B$288,MATCH(TRIM(C41),'القوائم'!$A$1:$A$288,0)),IFERROR(MOD(TIMEVALUE(C41),1),""))))</f>
        <v/>
      </c>
      <c r="L41" s="25">
        <f>IF(OR(M41=0,D41=""),"",IF(ISNUMBER(D41),MOD(D41,1),IFERROR(INDEX('القوائم'!$B$1:$B$288,MATCH(TRIM(D41),'القوائم'!$A$1:$A$288,0)),IFERROR(MOD(TIMEVALUE(D41),1),""))))</f>
        <v/>
      </c>
      <c r="M41">
        <f>M39</f>
        <v/>
      </c>
      <c r="Q41">
        <f>IF(N(G49)&gt;0,1,0)</f>
        <v/>
      </c>
    </row>
    <row r="42">
      <c r="A42" s="20">
        <f>IF(4&lt;=NW,SAT1+23,"")</f>
        <v/>
      </c>
      <c r="B42" s="21">
        <f>IF(A42="","",CHOOSE(WEEKDAY(A42,1),"الأحد","الاثنين","الثلاثاء","الأربعاء","الخميس","الجمعة","السبت"))</f>
        <v/>
      </c>
      <c r="C42" s="22" t="n"/>
      <c r="D42" s="22" t="n"/>
      <c r="E42" s="23">
        <f>IF(OR(M42=0,K42="",L42=""),"",MOD(L42-K42,1))</f>
        <v/>
      </c>
      <c r="F42" s="23">
        <f>IF(OR(E42="",M42=0),"",IF(WEEKDAY(A42,1)=6,E42,MIN(E42,MAX(0,MIN(IF(L42&lt;K42,L42+1,L42),OMR_OT_AT)-K42))))</f>
        <v/>
      </c>
      <c r="G42" s="23">
        <f>IF(OR(E42="",M42=0),"",MAX(0,E42-F42))</f>
        <v/>
      </c>
      <c r="H42" s="24">
        <f>IF(OR(E42="",M42=0),"",ROUND((F42*$N$39+G42*$O$39)*24,3))</f>
        <v/>
      </c>
      <c r="I42" s="22" t="n"/>
      <c r="K42" s="25">
        <f>IF(OR(M42=0,C42=""),"",IF(ISNUMBER(C42),MOD(C42,1),IFERROR(INDEX('القوائم'!$B$1:$B$288,MATCH(TRIM(C42),'القوائم'!$A$1:$A$288,0)),IFERROR(MOD(TIMEVALUE(C42),1),""))))</f>
        <v/>
      </c>
      <c r="L42" s="25">
        <f>IF(OR(M42=0,D42=""),"",IF(ISNUMBER(D42),MOD(D42,1),IFERROR(INDEX('القوائم'!$B$1:$B$288,MATCH(TRIM(D42),'القوائم'!$A$1:$A$288,0)),IFERROR(MOD(TIMEVALUE(D42),1),""))))</f>
        <v/>
      </c>
      <c r="M42">
        <f>M39</f>
        <v/>
      </c>
      <c r="Q42">
        <f>IF(N(G49)&gt;0,1,0)</f>
        <v/>
      </c>
    </row>
    <row r="43">
      <c r="A43" s="20">
        <f>IF(4&lt;=NW,SAT1+24,"")</f>
        <v/>
      </c>
      <c r="B43" s="21">
        <f>IF(A43="","",CHOOSE(WEEKDAY(A43,1),"الأحد","الاثنين","الثلاثاء","الأربعاء","الخميس","الجمعة","السبت"))</f>
        <v/>
      </c>
      <c r="C43" s="22" t="n"/>
      <c r="D43" s="22" t="n"/>
      <c r="E43" s="23">
        <f>IF(OR(M43=0,K43="",L43=""),"",MOD(L43-K43,1))</f>
        <v/>
      </c>
      <c r="F43" s="23">
        <f>IF(OR(E43="",M43=0),"",IF(WEEKDAY(A43,1)=6,E43,MIN(E43,MAX(0,MIN(IF(L43&lt;K43,L43+1,L43),OMR_OT_AT)-K43))))</f>
        <v/>
      </c>
      <c r="G43" s="23">
        <f>IF(OR(E43="",M43=0),"",MAX(0,E43-F43))</f>
        <v/>
      </c>
      <c r="H43" s="24">
        <f>IF(OR(E43="",M43=0),"",ROUND((F43*$N$39+G43*$O$39)*24,3))</f>
        <v/>
      </c>
      <c r="I43" s="22" t="n"/>
      <c r="K43" s="25">
        <f>IF(OR(M43=0,C43=""),"",IF(ISNUMBER(C43),MOD(C43,1),IFERROR(INDEX('القوائم'!$B$1:$B$288,MATCH(TRIM(C43),'القوائم'!$A$1:$A$288,0)),IFERROR(MOD(TIMEVALUE(C43),1),""))))</f>
        <v/>
      </c>
      <c r="L43" s="25">
        <f>IF(OR(M43=0,D43=""),"",IF(ISNUMBER(D43),MOD(D43,1),IFERROR(INDEX('القوائم'!$B$1:$B$288,MATCH(TRIM(D43),'القوائم'!$A$1:$A$288,0)),IFERROR(MOD(TIMEVALUE(D43),1),""))))</f>
        <v/>
      </c>
      <c r="M43">
        <f>M39</f>
        <v/>
      </c>
      <c r="Q43">
        <f>IF(N(G49)&gt;0,1,0)</f>
        <v/>
      </c>
    </row>
    <row r="44">
      <c r="A44" s="20">
        <f>IF(4&lt;=NW,SAT1+25,"")</f>
        <v/>
      </c>
      <c r="B44" s="21">
        <f>IF(A44="","",CHOOSE(WEEKDAY(A44,1),"الأحد","الاثنين","الثلاثاء","الأربعاء","الخميس","الجمعة","السبت"))</f>
        <v/>
      </c>
      <c r="C44" s="22" t="n"/>
      <c r="D44" s="22" t="n"/>
      <c r="E44" s="23">
        <f>IF(OR(M44=0,K44="",L44=""),"",MOD(L44-K44,1))</f>
        <v/>
      </c>
      <c r="F44" s="23">
        <f>IF(OR(E44="",M44=0),"",IF(WEEKDAY(A44,1)=6,E44,MIN(E44,MAX(0,MIN(IF(L44&lt;K44,L44+1,L44),OMR_OT_AT)-K44))))</f>
        <v/>
      </c>
      <c r="G44" s="23">
        <f>IF(OR(E44="",M44=0),"",MAX(0,E44-F44))</f>
        <v/>
      </c>
      <c r="H44" s="24">
        <f>IF(OR(E44="",M44=0),"",ROUND((F44*$N$39+G44*$O$39)*24,3))</f>
        <v/>
      </c>
      <c r="I44" s="22" t="n"/>
      <c r="K44" s="25">
        <f>IF(OR(M44=0,C44=""),"",IF(ISNUMBER(C44),MOD(C44,1),IFERROR(INDEX('القوائم'!$B$1:$B$288,MATCH(TRIM(C44),'القوائم'!$A$1:$A$288,0)),IFERROR(MOD(TIMEVALUE(C44),1),""))))</f>
        <v/>
      </c>
      <c r="L44" s="25">
        <f>IF(OR(M44=0,D44=""),"",IF(ISNUMBER(D44),MOD(D44,1),IFERROR(INDEX('القوائم'!$B$1:$B$288,MATCH(TRIM(D44),'القوائم'!$A$1:$A$288,0)),IFERROR(MOD(TIMEVALUE(D44),1),""))))</f>
        <v/>
      </c>
      <c r="M44">
        <f>M39</f>
        <v/>
      </c>
      <c r="Q44">
        <f>IF(N(G49)&gt;0,1,0)</f>
        <v/>
      </c>
    </row>
    <row r="45">
      <c r="A45" s="20">
        <f>IF(4&lt;=NW,SAT1+26,"")</f>
        <v/>
      </c>
      <c r="B45" s="21">
        <f>IF(A45="","",CHOOSE(WEEKDAY(A45,1),"الأحد","الاثنين","الثلاثاء","الأربعاء","الخميس","الجمعة","السبت"))</f>
        <v/>
      </c>
      <c r="C45" s="22" t="n"/>
      <c r="D45" s="22" t="n"/>
      <c r="E45" s="23">
        <f>IF(OR(M45=0,K45="",L45=""),"",MOD(L45-K45,1))</f>
        <v/>
      </c>
      <c r="F45" s="23">
        <f>IF(OR(E45="",M45=0),"",IF(WEEKDAY(A45,1)=6,E45,MIN(E45,MAX(0,MIN(IF(L45&lt;K45,L45+1,L45),OMR_OT_AT)-K45))))</f>
        <v/>
      </c>
      <c r="G45" s="23">
        <f>IF(OR(E45="",M45=0),"",MAX(0,E45-F45))</f>
        <v/>
      </c>
      <c r="H45" s="24">
        <f>IF(OR(E45="",M45=0),"",ROUND((F45*$N$39+G45*$O$39)*24,3))</f>
        <v/>
      </c>
      <c r="I45" s="22" t="n"/>
      <c r="K45" s="25">
        <f>IF(OR(M45=0,C45=""),"",IF(ISNUMBER(C45),MOD(C45,1),IFERROR(INDEX('القوائم'!$B$1:$B$288,MATCH(TRIM(C45),'القوائم'!$A$1:$A$288,0)),IFERROR(MOD(TIMEVALUE(C45),1),""))))</f>
        <v/>
      </c>
      <c r="L45" s="25">
        <f>IF(OR(M45=0,D45=""),"",IF(ISNUMBER(D45),MOD(D45,1),IFERROR(INDEX('القوائم'!$B$1:$B$288,MATCH(TRIM(D45),'القوائم'!$A$1:$A$288,0)),IFERROR(MOD(TIMEVALUE(D45),1),""))))</f>
        <v/>
      </c>
      <c r="M45">
        <f>M39</f>
        <v/>
      </c>
      <c r="Q45">
        <f>IF(N(G49)&gt;0,1,0)</f>
        <v/>
      </c>
    </row>
    <row r="46">
      <c r="A46" s="26">
        <f>IF(4&lt;=NW,SAT1+27,"")</f>
        <v/>
      </c>
      <c r="B46" s="27">
        <f>IF(A46="","",CHOOSE(WEEKDAY(A46,1),"الأحد","الاثنين","الثلاثاء","الأربعاء","الخميس","الجمعة","السبت"))</f>
        <v/>
      </c>
      <c r="C46" s="22" t="n"/>
      <c r="D46" s="22" t="n"/>
      <c r="E46" s="23">
        <f>IF(OR(M46=0,K46="",L46=""),"",MOD(L46-K46,1))</f>
        <v/>
      </c>
      <c r="F46" s="23">
        <f>IF(OR(E46="",M46=0),"",IF(WEEKDAY(A46,1)=6,E46,MIN(E46,MAX(0,MIN(IF(L46&lt;K46,L46+1,L46),OMR_OT_AT)-K46))))</f>
        <v/>
      </c>
      <c r="G46" s="23">
        <f>IF(OR(E46="",M46=0),"",MAX(0,E46-F46))</f>
        <v/>
      </c>
      <c r="H46" s="24">
        <f>IF(OR(E46="",M46=0),"",ROUND((F46*$N$39+G46*$O$39)*24,3))</f>
        <v/>
      </c>
      <c r="I46" s="22" t="n"/>
      <c r="K46" s="25">
        <f>IF(OR(M46=0,C46=""),"",IF(ISNUMBER(C46),MOD(C46,1),IFERROR(INDEX('القوائم'!$B$1:$B$288,MATCH(TRIM(C46),'القوائم'!$A$1:$A$288,0)),IFERROR(MOD(TIMEVALUE(C46),1),""))))</f>
        <v/>
      </c>
      <c r="L46" s="25">
        <f>IF(OR(M46=0,D46=""),"",IF(ISNUMBER(D46),MOD(D46,1),IFERROR(INDEX('القوائم'!$B$1:$B$288,MATCH(TRIM(D46),'القوائم'!$A$1:$A$288,0)),IFERROR(MOD(TIMEVALUE(D46),1),""))))</f>
        <v/>
      </c>
      <c r="M46">
        <f>M39</f>
        <v/>
      </c>
      <c r="Q46">
        <f>IF(N(G49)&gt;0,1,0)</f>
        <v/>
      </c>
    </row>
    <row r="47">
      <c r="A47" s="28">
        <f>IF(M39=1,"مجموع أيام الأسبوع 4","")</f>
        <v/>
      </c>
      <c r="B47" s="28" t="n"/>
      <c r="C47" s="28" t="n"/>
      <c r="D47" s="28" t="n"/>
      <c r="E47" s="29">
        <f>IF(M39=1,SUM(E40:E46),"")</f>
        <v/>
      </c>
      <c r="F47" s="29">
        <f>IF(M39=1,SUM(F40:F46),"")</f>
        <v/>
      </c>
      <c r="G47" s="29">
        <f>IF(M39=1,SUM(G40:G46),"")</f>
        <v/>
      </c>
      <c r="H47" s="30">
        <f>IF(M39=1,SUM(H40:H46),"")</f>
        <v/>
      </c>
      <c r="I47" s="28" t="n"/>
    </row>
    <row r="48" ht="32" customHeight="1">
      <c r="A48" s="28">
        <f>IF(M39=1,"ساعات تحميل الجبسمبورد بهالأسبوع (رقم: 2 أو 1.5) ←","")</f>
        <v/>
      </c>
      <c r="E48" s="31" t="n"/>
      <c r="F48" s="32">
        <f>IF(M39=1,"المستحق النهائي للأسبوع (دينار) ←","")</f>
        <v/>
      </c>
      <c r="H48" s="33">
        <f>IF(M39=1,IF(ROUND_MODE="للأعلى",CEILING(ROUND((N(H47)+N(E48)*($P$39-$N$39)),3),0.25),ROUND((N(H47)+N(E48)*($P$39-$N$39))*4,0)/4),"")</f>
        <v/>
      </c>
      <c r="I48" s="34">
        <f>IF(M39=1,"قبل الجبر: "&amp;TEXT(N(H47)+N(E48)*($P$39-$N$39),"0.000"),"")</f>
        <v/>
      </c>
    </row>
    <row r="49" ht="26" customHeight="1">
      <c r="A49" s="28">
        <f>IF(M39=1,"إكرامية الأسبوع (دينار) ←","")</f>
        <v/>
      </c>
      <c r="D49" s="35" t="n"/>
      <c r="E49" s="28">
        <f>IF(M39=1,"المدفوع يوم الجمعة (دينار) ←","")</f>
        <v/>
      </c>
      <c r="G49" s="35" t="n"/>
      <c r="H49" s="36">
        <f>IF(M39=1,IF(N(G49)&gt;0,"✔ انقبض — الأسبوع مقفول","⏳ لسا ما انقبض"),"")</f>
        <v/>
      </c>
    </row>
    <row r="50" ht="26" customHeight="1">
      <c r="A50" s="18">
        <f>IF(5&lt;=NW,"الأسبوع 5 · السبت "&amp;TEXT(DAY(SAT1+28),"00")&amp;"/"&amp;TEXT(MONTH(SAT1+28),"00")&amp;" ← الجمعة "&amp;TEXT(DAY(SAT1+34),"00")&amp;"/"&amp;TEXT(MONTH(SAT1+34),"00")&amp;" (يوم القبض)"&amp;IF(5&lt;START_O,"   — قبل أسبوع البداية (ما بينحسب)",""),"ما في أسبوع 5 هالسنة")</f>
        <v/>
      </c>
      <c r="L50" s="19">
        <f>IF(5&lt;=NW,SAT1+34,"")</f>
        <v/>
      </c>
      <c r="M50">
        <f>IF(AND(5&lt;=NW,5&gt;=START_O),1,0)</f>
        <v/>
      </c>
      <c r="N50">
        <f>IFERROR(INDEX(RT_OMR,MATCH(L50,RT_K,1)),INDEX(RT_OMR,1))</f>
        <v/>
      </c>
      <c r="O50">
        <f>IFERROR(INDEX(RT_OT,MATCH(L50,RT_K,1)),INDEX(RT_OT,1))</f>
        <v/>
      </c>
      <c r="P50">
        <f>IFERROR(INDEX(RT_GYP,MATCH(L50,RT_K,1)),INDEX(RT_GYP,1))</f>
        <v/>
      </c>
    </row>
    <row r="51">
      <c r="A51" s="20">
        <f>IF(5&lt;=NW,SAT1+28,"")</f>
        <v/>
      </c>
      <c r="B51" s="21">
        <f>IF(A51="","",CHOOSE(WEEKDAY(A51,1),"الأحد","الاثنين","الثلاثاء","الأربعاء","الخميس","الجمعة","السبت"))</f>
        <v/>
      </c>
      <c r="C51" s="22" t="n"/>
      <c r="D51" s="22" t="n"/>
      <c r="E51" s="23">
        <f>IF(OR(M51=0,K51="",L51=""),"",MOD(L51-K51,1))</f>
        <v/>
      </c>
      <c r="F51" s="23">
        <f>IF(OR(E51="",M51=0),"",IF(WEEKDAY(A51,1)=6,E51,MIN(E51,MAX(0,MIN(IF(L51&lt;K51,L51+1,L51),OMR_OT_AT)-K51))))</f>
        <v/>
      </c>
      <c r="G51" s="23">
        <f>IF(OR(E51="",M51=0),"",MAX(0,E51-F51))</f>
        <v/>
      </c>
      <c r="H51" s="24">
        <f>IF(OR(E51="",M51=0),"",ROUND((F51*$N$50+G51*$O$50)*24,3))</f>
        <v/>
      </c>
      <c r="I51" s="22" t="n"/>
      <c r="K51" s="25">
        <f>IF(OR(M51=0,C51=""),"",IF(ISNUMBER(C51),MOD(C51,1),IFERROR(INDEX('القوائم'!$B$1:$B$288,MATCH(TRIM(C51),'القوائم'!$A$1:$A$288,0)),IFERROR(MOD(TIMEVALUE(C51),1),""))))</f>
        <v/>
      </c>
      <c r="L51" s="25">
        <f>IF(OR(M51=0,D51=""),"",IF(ISNUMBER(D51),MOD(D51,1),IFERROR(INDEX('القوائم'!$B$1:$B$288,MATCH(TRIM(D51),'القوائم'!$A$1:$A$288,0)),IFERROR(MOD(TIMEVALUE(D51),1),""))))</f>
        <v/>
      </c>
      <c r="M51">
        <f>M50</f>
        <v/>
      </c>
      <c r="Q51">
        <f>IF(N(G60)&gt;0,1,0)</f>
        <v/>
      </c>
    </row>
    <row r="52">
      <c r="A52" s="20">
        <f>IF(5&lt;=NW,SAT1+29,"")</f>
        <v/>
      </c>
      <c r="B52" s="21">
        <f>IF(A52="","",CHOOSE(WEEKDAY(A52,1),"الأحد","الاثنين","الثلاثاء","الأربعاء","الخميس","الجمعة","السبت"))</f>
        <v/>
      </c>
      <c r="C52" s="22" t="n"/>
      <c r="D52" s="22" t="n"/>
      <c r="E52" s="23">
        <f>IF(OR(M52=0,K52="",L52=""),"",MOD(L52-K52,1))</f>
        <v/>
      </c>
      <c r="F52" s="23">
        <f>IF(OR(E52="",M52=0),"",IF(WEEKDAY(A52,1)=6,E52,MIN(E52,MAX(0,MIN(IF(L52&lt;K52,L52+1,L52),OMR_OT_AT)-K52))))</f>
        <v/>
      </c>
      <c r="G52" s="23">
        <f>IF(OR(E52="",M52=0),"",MAX(0,E52-F52))</f>
        <v/>
      </c>
      <c r="H52" s="24">
        <f>IF(OR(E52="",M52=0),"",ROUND((F52*$N$50+G52*$O$50)*24,3))</f>
        <v/>
      </c>
      <c r="I52" s="22" t="n"/>
      <c r="K52" s="25">
        <f>IF(OR(M52=0,C52=""),"",IF(ISNUMBER(C52),MOD(C52,1),IFERROR(INDEX('القوائم'!$B$1:$B$288,MATCH(TRIM(C52),'القوائم'!$A$1:$A$288,0)),IFERROR(MOD(TIMEVALUE(C52),1),""))))</f>
        <v/>
      </c>
      <c r="L52" s="25">
        <f>IF(OR(M52=0,D52=""),"",IF(ISNUMBER(D52),MOD(D52,1),IFERROR(INDEX('القوائم'!$B$1:$B$288,MATCH(TRIM(D52),'القوائم'!$A$1:$A$288,0)),IFERROR(MOD(TIMEVALUE(D52),1),""))))</f>
        <v/>
      </c>
      <c r="M52">
        <f>M50</f>
        <v/>
      </c>
      <c r="Q52">
        <f>IF(N(G60)&gt;0,1,0)</f>
        <v/>
      </c>
    </row>
    <row r="53">
      <c r="A53" s="20">
        <f>IF(5&lt;=NW,SAT1+30,"")</f>
        <v/>
      </c>
      <c r="B53" s="21">
        <f>IF(A53="","",CHOOSE(WEEKDAY(A53,1),"الأحد","الاثنين","الثلاثاء","الأربعاء","الخميس","الجمعة","السبت"))</f>
        <v/>
      </c>
      <c r="C53" s="22" t="n"/>
      <c r="D53" s="22" t="n"/>
      <c r="E53" s="23">
        <f>IF(OR(M53=0,K53="",L53=""),"",MOD(L53-K53,1))</f>
        <v/>
      </c>
      <c r="F53" s="23">
        <f>IF(OR(E53="",M53=0),"",IF(WEEKDAY(A53,1)=6,E53,MIN(E53,MAX(0,MIN(IF(L53&lt;K53,L53+1,L53),OMR_OT_AT)-K53))))</f>
        <v/>
      </c>
      <c r="G53" s="23">
        <f>IF(OR(E53="",M53=0),"",MAX(0,E53-F53))</f>
        <v/>
      </c>
      <c r="H53" s="24">
        <f>IF(OR(E53="",M53=0),"",ROUND((F53*$N$50+G53*$O$50)*24,3))</f>
        <v/>
      </c>
      <c r="I53" s="22" t="n"/>
      <c r="K53" s="25">
        <f>IF(OR(M53=0,C53=""),"",IF(ISNUMBER(C53),MOD(C53,1),IFERROR(INDEX('القوائم'!$B$1:$B$288,MATCH(TRIM(C53),'القوائم'!$A$1:$A$288,0)),IFERROR(MOD(TIMEVALUE(C53),1),""))))</f>
        <v/>
      </c>
      <c r="L53" s="25">
        <f>IF(OR(M53=0,D53=""),"",IF(ISNUMBER(D53),MOD(D53,1),IFERROR(INDEX('القوائم'!$B$1:$B$288,MATCH(TRIM(D53),'القوائم'!$A$1:$A$288,0)),IFERROR(MOD(TIMEVALUE(D53),1),""))))</f>
        <v/>
      </c>
      <c r="M53">
        <f>M50</f>
        <v/>
      </c>
      <c r="Q53">
        <f>IF(N(G60)&gt;0,1,0)</f>
        <v/>
      </c>
    </row>
    <row r="54">
      <c r="A54" s="20">
        <f>IF(5&lt;=NW,SAT1+31,"")</f>
        <v/>
      </c>
      <c r="B54" s="21">
        <f>IF(A54="","",CHOOSE(WEEKDAY(A54,1),"الأحد","الاثنين","الثلاثاء","الأربعاء","الخميس","الجمعة","السبت"))</f>
        <v/>
      </c>
      <c r="C54" s="22" t="n"/>
      <c r="D54" s="22" t="n"/>
      <c r="E54" s="23">
        <f>IF(OR(M54=0,K54="",L54=""),"",MOD(L54-K54,1))</f>
        <v/>
      </c>
      <c r="F54" s="23">
        <f>IF(OR(E54="",M54=0),"",IF(WEEKDAY(A54,1)=6,E54,MIN(E54,MAX(0,MIN(IF(L54&lt;K54,L54+1,L54),OMR_OT_AT)-K54))))</f>
        <v/>
      </c>
      <c r="G54" s="23">
        <f>IF(OR(E54="",M54=0),"",MAX(0,E54-F54))</f>
        <v/>
      </c>
      <c r="H54" s="24">
        <f>IF(OR(E54="",M54=0),"",ROUND((F54*$N$50+G54*$O$50)*24,3))</f>
        <v/>
      </c>
      <c r="I54" s="22" t="n"/>
      <c r="K54" s="25">
        <f>IF(OR(M54=0,C54=""),"",IF(ISNUMBER(C54),MOD(C54,1),IFERROR(INDEX('القوائم'!$B$1:$B$288,MATCH(TRIM(C54),'القوائم'!$A$1:$A$288,0)),IFERROR(MOD(TIMEVALUE(C54),1),""))))</f>
        <v/>
      </c>
      <c r="L54" s="25">
        <f>IF(OR(M54=0,D54=""),"",IF(ISNUMBER(D54),MOD(D54,1),IFERROR(INDEX('القوائم'!$B$1:$B$288,MATCH(TRIM(D54),'القوائم'!$A$1:$A$288,0)),IFERROR(MOD(TIMEVALUE(D54),1),""))))</f>
        <v/>
      </c>
      <c r="M54">
        <f>M50</f>
        <v/>
      </c>
      <c r="Q54">
        <f>IF(N(G60)&gt;0,1,0)</f>
        <v/>
      </c>
    </row>
    <row r="55">
      <c r="A55" s="20">
        <f>IF(5&lt;=NW,SAT1+32,"")</f>
        <v/>
      </c>
      <c r="B55" s="21">
        <f>IF(A55="","",CHOOSE(WEEKDAY(A55,1),"الأحد","الاثنين","الثلاثاء","الأربعاء","الخميس","الجمعة","السبت"))</f>
        <v/>
      </c>
      <c r="C55" s="22" t="n"/>
      <c r="D55" s="22" t="n"/>
      <c r="E55" s="23">
        <f>IF(OR(M55=0,K55="",L55=""),"",MOD(L55-K55,1))</f>
        <v/>
      </c>
      <c r="F55" s="23">
        <f>IF(OR(E55="",M55=0),"",IF(WEEKDAY(A55,1)=6,E55,MIN(E55,MAX(0,MIN(IF(L55&lt;K55,L55+1,L55),OMR_OT_AT)-K55))))</f>
        <v/>
      </c>
      <c r="G55" s="23">
        <f>IF(OR(E55="",M55=0),"",MAX(0,E55-F55))</f>
        <v/>
      </c>
      <c r="H55" s="24">
        <f>IF(OR(E55="",M55=0),"",ROUND((F55*$N$50+G55*$O$50)*24,3))</f>
        <v/>
      </c>
      <c r="I55" s="22" t="n"/>
      <c r="K55" s="25">
        <f>IF(OR(M55=0,C55=""),"",IF(ISNUMBER(C55),MOD(C55,1),IFERROR(INDEX('القوائم'!$B$1:$B$288,MATCH(TRIM(C55),'القوائم'!$A$1:$A$288,0)),IFERROR(MOD(TIMEVALUE(C55),1),""))))</f>
        <v/>
      </c>
      <c r="L55" s="25">
        <f>IF(OR(M55=0,D55=""),"",IF(ISNUMBER(D55),MOD(D55,1),IFERROR(INDEX('القوائم'!$B$1:$B$288,MATCH(TRIM(D55),'القوائم'!$A$1:$A$288,0)),IFERROR(MOD(TIMEVALUE(D55),1),""))))</f>
        <v/>
      </c>
      <c r="M55">
        <f>M50</f>
        <v/>
      </c>
      <c r="Q55">
        <f>IF(N(G60)&gt;0,1,0)</f>
        <v/>
      </c>
    </row>
    <row r="56">
      <c r="A56" s="20">
        <f>IF(5&lt;=NW,SAT1+33,"")</f>
        <v/>
      </c>
      <c r="B56" s="21">
        <f>IF(A56="","",CHOOSE(WEEKDAY(A56,1),"الأحد","الاثنين","الثلاثاء","الأربعاء","الخميس","الجمعة","السبت"))</f>
        <v/>
      </c>
      <c r="C56" s="22" t="n"/>
      <c r="D56" s="22" t="n"/>
      <c r="E56" s="23">
        <f>IF(OR(M56=0,K56="",L56=""),"",MOD(L56-K56,1))</f>
        <v/>
      </c>
      <c r="F56" s="23">
        <f>IF(OR(E56="",M56=0),"",IF(WEEKDAY(A56,1)=6,E56,MIN(E56,MAX(0,MIN(IF(L56&lt;K56,L56+1,L56),OMR_OT_AT)-K56))))</f>
        <v/>
      </c>
      <c r="G56" s="23">
        <f>IF(OR(E56="",M56=0),"",MAX(0,E56-F56))</f>
        <v/>
      </c>
      <c r="H56" s="24">
        <f>IF(OR(E56="",M56=0),"",ROUND((F56*$N$50+G56*$O$50)*24,3))</f>
        <v/>
      </c>
      <c r="I56" s="22" t="n"/>
      <c r="K56" s="25">
        <f>IF(OR(M56=0,C56=""),"",IF(ISNUMBER(C56),MOD(C56,1),IFERROR(INDEX('القوائم'!$B$1:$B$288,MATCH(TRIM(C56),'القوائم'!$A$1:$A$288,0)),IFERROR(MOD(TIMEVALUE(C56),1),""))))</f>
        <v/>
      </c>
      <c r="L56" s="25">
        <f>IF(OR(M56=0,D56=""),"",IF(ISNUMBER(D56),MOD(D56,1),IFERROR(INDEX('القوائم'!$B$1:$B$288,MATCH(TRIM(D56),'القوائم'!$A$1:$A$288,0)),IFERROR(MOD(TIMEVALUE(D56),1),""))))</f>
        <v/>
      </c>
      <c r="M56">
        <f>M50</f>
        <v/>
      </c>
      <c r="Q56">
        <f>IF(N(G60)&gt;0,1,0)</f>
        <v/>
      </c>
    </row>
    <row r="57">
      <c r="A57" s="26">
        <f>IF(5&lt;=NW,SAT1+34,"")</f>
        <v/>
      </c>
      <c r="B57" s="27">
        <f>IF(A57="","",CHOOSE(WEEKDAY(A57,1),"الأحد","الاثنين","الثلاثاء","الأربعاء","الخميس","الجمعة","السبت"))</f>
        <v/>
      </c>
      <c r="C57" s="22" t="n"/>
      <c r="D57" s="22" t="n"/>
      <c r="E57" s="23">
        <f>IF(OR(M57=0,K57="",L57=""),"",MOD(L57-K57,1))</f>
        <v/>
      </c>
      <c r="F57" s="23">
        <f>IF(OR(E57="",M57=0),"",IF(WEEKDAY(A57,1)=6,E57,MIN(E57,MAX(0,MIN(IF(L57&lt;K57,L57+1,L57),OMR_OT_AT)-K57))))</f>
        <v/>
      </c>
      <c r="G57" s="23">
        <f>IF(OR(E57="",M57=0),"",MAX(0,E57-F57))</f>
        <v/>
      </c>
      <c r="H57" s="24">
        <f>IF(OR(E57="",M57=0),"",ROUND((F57*$N$50+G57*$O$50)*24,3))</f>
        <v/>
      </c>
      <c r="I57" s="22" t="n"/>
      <c r="K57" s="25">
        <f>IF(OR(M57=0,C57=""),"",IF(ISNUMBER(C57),MOD(C57,1),IFERROR(INDEX('القوائم'!$B$1:$B$288,MATCH(TRIM(C57),'القوائم'!$A$1:$A$288,0)),IFERROR(MOD(TIMEVALUE(C57),1),""))))</f>
        <v/>
      </c>
      <c r="L57" s="25">
        <f>IF(OR(M57=0,D57=""),"",IF(ISNUMBER(D57),MOD(D57,1),IFERROR(INDEX('القوائم'!$B$1:$B$288,MATCH(TRIM(D57),'القوائم'!$A$1:$A$288,0)),IFERROR(MOD(TIMEVALUE(D57),1),""))))</f>
        <v/>
      </c>
      <c r="M57">
        <f>M50</f>
        <v/>
      </c>
      <c r="Q57">
        <f>IF(N(G60)&gt;0,1,0)</f>
        <v/>
      </c>
    </row>
    <row r="58">
      <c r="A58" s="28">
        <f>IF(M50=1,"مجموع أيام الأسبوع 5","")</f>
        <v/>
      </c>
      <c r="B58" s="28" t="n"/>
      <c r="C58" s="28" t="n"/>
      <c r="D58" s="28" t="n"/>
      <c r="E58" s="29">
        <f>IF(M50=1,SUM(E51:E57),"")</f>
        <v/>
      </c>
      <c r="F58" s="29">
        <f>IF(M50=1,SUM(F51:F57),"")</f>
        <v/>
      </c>
      <c r="G58" s="29">
        <f>IF(M50=1,SUM(G51:G57),"")</f>
        <v/>
      </c>
      <c r="H58" s="30">
        <f>IF(M50=1,SUM(H51:H57),"")</f>
        <v/>
      </c>
      <c r="I58" s="28" t="n"/>
    </row>
    <row r="59" ht="32" customHeight="1">
      <c r="A59" s="28">
        <f>IF(M50=1,"ساعات تحميل الجبسمبورد بهالأسبوع (رقم: 2 أو 1.5) ←","")</f>
        <v/>
      </c>
      <c r="E59" s="31" t="n"/>
      <c r="F59" s="32">
        <f>IF(M50=1,"المستحق النهائي للأسبوع (دينار) ←","")</f>
        <v/>
      </c>
      <c r="H59" s="33">
        <f>IF(M50=1,IF(ROUND_MODE="للأعلى",CEILING(ROUND((N(H58)+N(E59)*($P$50-$N$50)),3),0.25),ROUND((N(H58)+N(E59)*($P$50-$N$50))*4,0)/4),"")</f>
        <v/>
      </c>
      <c r="I59" s="34">
        <f>IF(M50=1,"قبل الجبر: "&amp;TEXT(N(H58)+N(E59)*($P$50-$N$50),"0.000"),"")</f>
        <v/>
      </c>
    </row>
    <row r="60" ht="26" customHeight="1">
      <c r="A60" s="28">
        <f>IF(M50=1,"إكرامية الأسبوع (دينار) ←","")</f>
        <v/>
      </c>
      <c r="D60" s="35" t="n"/>
      <c r="E60" s="28">
        <f>IF(M50=1,"المدفوع يوم الجمعة (دينار) ←","")</f>
        <v/>
      </c>
      <c r="G60" s="35" t="n"/>
      <c r="H60" s="36">
        <f>IF(M50=1,IF(N(G60)&gt;0,"✔ انقبض — الأسبوع مقفول","⏳ لسا ما انقبض"),"")</f>
        <v/>
      </c>
    </row>
    <row r="61" ht="26" customHeight="1">
      <c r="A61" s="18">
        <f>IF(6&lt;=NW,"الأسبوع 6 · السبت "&amp;TEXT(DAY(SAT1+35),"00")&amp;"/"&amp;TEXT(MONTH(SAT1+35),"00")&amp;" ← الجمعة "&amp;TEXT(DAY(SAT1+41),"00")&amp;"/"&amp;TEXT(MONTH(SAT1+41),"00")&amp;" (يوم القبض)"&amp;IF(6&lt;START_O,"   — قبل أسبوع البداية (ما بينحسب)",""),"ما في أسبوع 6 هالسنة")</f>
        <v/>
      </c>
      <c r="L61" s="19">
        <f>IF(6&lt;=NW,SAT1+41,"")</f>
        <v/>
      </c>
      <c r="M61">
        <f>IF(AND(6&lt;=NW,6&gt;=START_O),1,0)</f>
        <v/>
      </c>
      <c r="N61">
        <f>IFERROR(INDEX(RT_OMR,MATCH(L61,RT_K,1)),INDEX(RT_OMR,1))</f>
        <v/>
      </c>
      <c r="O61">
        <f>IFERROR(INDEX(RT_OT,MATCH(L61,RT_K,1)),INDEX(RT_OT,1))</f>
        <v/>
      </c>
      <c r="P61">
        <f>IFERROR(INDEX(RT_GYP,MATCH(L61,RT_K,1)),INDEX(RT_GYP,1))</f>
        <v/>
      </c>
    </row>
    <row r="62">
      <c r="A62" s="20">
        <f>IF(6&lt;=NW,SAT1+35,"")</f>
        <v/>
      </c>
      <c r="B62" s="21">
        <f>IF(A62="","",CHOOSE(WEEKDAY(A62,1),"الأحد","الاثنين","الثلاثاء","الأربعاء","الخميس","الجمعة","السبت"))</f>
        <v/>
      </c>
      <c r="C62" s="22" t="n"/>
      <c r="D62" s="22" t="n"/>
      <c r="E62" s="23">
        <f>IF(OR(M62=0,K62="",L62=""),"",MOD(L62-K62,1))</f>
        <v/>
      </c>
      <c r="F62" s="23">
        <f>IF(OR(E62="",M62=0),"",IF(WEEKDAY(A62,1)=6,E62,MIN(E62,MAX(0,MIN(IF(L62&lt;K62,L62+1,L62),OMR_OT_AT)-K62))))</f>
        <v/>
      </c>
      <c r="G62" s="23">
        <f>IF(OR(E62="",M62=0),"",MAX(0,E62-F62))</f>
        <v/>
      </c>
      <c r="H62" s="24">
        <f>IF(OR(E62="",M62=0),"",ROUND((F62*$N$61+G62*$O$61)*24,3))</f>
        <v/>
      </c>
      <c r="I62" s="22" t="n"/>
      <c r="K62" s="25">
        <f>IF(OR(M62=0,C62=""),"",IF(ISNUMBER(C62),MOD(C62,1),IFERROR(INDEX('القوائم'!$B$1:$B$288,MATCH(TRIM(C62),'القوائم'!$A$1:$A$288,0)),IFERROR(MOD(TIMEVALUE(C62),1),""))))</f>
        <v/>
      </c>
      <c r="L62" s="25">
        <f>IF(OR(M62=0,D62=""),"",IF(ISNUMBER(D62),MOD(D62,1),IFERROR(INDEX('القوائم'!$B$1:$B$288,MATCH(TRIM(D62),'القوائم'!$A$1:$A$288,0)),IFERROR(MOD(TIMEVALUE(D62),1),""))))</f>
        <v/>
      </c>
      <c r="M62">
        <f>M61</f>
        <v/>
      </c>
      <c r="Q62">
        <f>IF(N(G71)&gt;0,1,0)</f>
        <v/>
      </c>
    </row>
    <row r="63">
      <c r="A63" s="20">
        <f>IF(6&lt;=NW,SAT1+36,"")</f>
        <v/>
      </c>
      <c r="B63" s="21">
        <f>IF(A63="","",CHOOSE(WEEKDAY(A63,1),"الأحد","الاثنين","الثلاثاء","الأربعاء","الخميس","الجمعة","السبت"))</f>
        <v/>
      </c>
      <c r="C63" s="22" t="n"/>
      <c r="D63" s="22" t="n"/>
      <c r="E63" s="23">
        <f>IF(OR(M63=0,K63="",L63=""),"",MOD(L63-K63,1))</f>
        <v/>
      </c>
      <c r="F63" s="23">
        <f>IF(OR(E63="",M63=0),"",IF(WEEKDAY(A63,1)=6,E63,MIN(E63,MAX(0,MIN(IF(L63&lt;K63,L63+1,L63),OMR_OT_AT)-K63))))</f>
        <v/>
      </c>
      <c r="G63" s="23">
        <f>IF(OR(E63="",M63=0),"",MAX(0,E63-F63))</f>
        <v/>
      </c>
      <c r="H63" s="24">
        <f>IF(OR(E63="",M63=0),"",ROUND((F63*$N$61+G63*$O$61)*24,3))</f>
        <v/>
      </c>
      <c r="I63" s="22" t="n"/>
      <c r="K63" s="25">
        <f>IF(OR(M63=0,C63=""),"",IF(ISNUMBER(C63),MOD(C63,1),IFERROR(INDEX('القوائم'!$B$1:$B$288,MATCH(TRIM(C63),'القوائم'!$A$1:$A$288,0)),IFERROR(MOD(TIMEVALUE(C63),1),""))))</f>
        <v/>
      </c>
      <c r="L63" s="25">
        <f>IF(OR(M63=0,D63=""),"",IF(ISNUMBER(D63),MOD(D63,1),IFERROR(INDEX('القوائم'!$B$1:$B$288,MATCH(TRIM(D63),'القوائم'!$A$1:$A$288,0)),IFERROR(MOD(TIMEVALUE(D63),1),""))))</f>
        <v/>
      </c>
      <c r="M63">
        <f>M61</f>
        <v/>
      </c>
      <c r="Q63">
        <f>IF(N(G71)&gt;0,1,0)</f>
        <v/>
      </c>
    </row>
    <row r="64">
      <c r="A64" s="20">
        <f>IF(6&lt;=NW,SAT1+37,"")</f>
        <v/>
      </c>
      <c r="B64" s="21">
        <f>IF(A64="","",CHOOSE(WEEKDAY(A64,1),"الأحد","الاثنين","الثلاثاء","الأربعاء","الخميس","الجمعة","السبت"))</f>
        <v/>
      </c>
      <c r="C64" s="22" t="n"/>
      <c r="D64" s="22" t="n"/>
      <c r="E64" s="23">
        <f>IF(OR(M64=0,K64="",L64=""),"",MOD(L64-K64,1))</f>
        <v/>
      </c>
      <c r="F64" s="23">
        <f>IF(OR(E64="",M64=0),"",IF(WEEKDAY(A64,1)=6,E64,MIN(E64,MAX(0,MIN(IF(L64&lt;K64,L64+1,L64),OMR_OT_AT)-K64))))</f>
        <v/>
      </c>
      <c r="G64" s="23">
        <f>IF(OR(E64="",M64=0),"",MAX(0,E64-F64))</f>
        <v/>
      </c>
      <c r="H64" s="24">
        <f>IF(OR(E64="",M64=0),"",ROUND((F64*$N$61+G64*$O$61)*24,3))</f>
        <v/>
      </c>
      <c r="I64" s="22" t="n"/>
      <c r="K64" s="25">
        <f>IF(OR(M64=0,C64=""),"",IF(ISNUMBER(C64),MOD(C64,1),IFERROR(INDEX('القوائم'!$B$1:$B$288,MATCH(TRIM(C64),'القوائم'!$A$1:$A$288,0)),IFERROR(MOD(TIMEVALUE(C64),1),""))))</f>
        <v/>
      </c>
      <c r="L64" s="25">
        <f>IF(OR(M64=0,D64=""),"",IF(ISNUMBER(D64),MOD(D64,1),IFERROR(INDEX('القوائم'!$B$1:$B$288,MATCH(TRIM(D64),'القوائم'!$A$1:$A$288,0)),IFERROR(MOD(TIMEVALUE(D64),1),""))))</f>
        <v/>
      </c>
      <c r="M64">
        <f>M61</f>
        <v/>
      </c>
      <c r="Q64">
        <f>IF(N(G71)&gt;0,1,0)</f>
        <v/>
      </c>
    </row>
    <row r="65">
      <c r="A65" s="20">
        <f>IF(6&lt;=NW,SAT1+38,"")</f>
        <v/>
      </c>
      <c r="B65" s="21">
        <f>IF(A65="","",CHOOSE(WEEKDAY(A65,1),"الأحد","الاثنين","الثلاثاء","الأربعاء","الخميس","الجمعة","السبت"))</f>
        <v/>
      </c>
      <c r="C65" s="22" t="n"/>
      <c r="D65" s="22" t="n"/>
      <c r="E65" s="23">
        <f>IF(OR(M65=0,K65="",L65=""),"",MOD(L65-K65,1))</f>
        <v/>
      </c>
      <c r="F65" s="23">
        <f>IF(OR(E65="",M65=0),"",IF(WEEKDAY(A65,1)=6,E65,MIN(E65,MAX(0,MIN(IF(L65&lt;K65,L65+1,L65),OMR_OT_AT)-K65))))</f>
        <v/>
      </c>
      <c r="G65" s="23">
        <f>IF(OR(E65="",M65=0),"",MAX(0,E65-F65))</f>
        <v/>
      </c>
      <c r="H65" s="24">
        <f>IF(OR(E65="",M65=0),"",ROUND((F65*$N$61+G65*$O$61)*24,3))</f>
        <v/>
      </c>
      <c r="I65" s="22" t="n"/>
      <c r="K65" s="25">
        <f>IF(OR(M65=0,C65=""),"",IF(ISNUMBER(C65),MOD(C65,1),IFERROR(INDEX('القوائم'!$B$1:$B$288,MATCH(TRIM(C65),'القوائم'!$A$1:$A$288,0)),IFERROR(MOD(TIMEVALUE(C65),1),""))))</f>
        <v/>
      </c>
      <c r="L65" s="25">
        <f>IF(OR(M65=0,D65=""),"",IF(ISNUMBER(D65),MOD(D65,1),IFERROR(INDEX('القوائم'!$B$1:$B$288,MATCH(TRIM(D65),'القوائم'!$A$1:$A$288,0)),IFERROR(MOD(TIMEVALUE(D65),1),""))))</f>
        <v/>
      </c>
      <c r="M65">
        <f>M61</f>
        <v/>
      </c>
      <c r="Q65">
        <f>IF(N(G71)&gt;0,1,0)</f>
        <v/>
      </c>
    </row>
    <row r="66">
      <c r="A66" s="20">
        <f>IF(6&lt;=NW,SAT1+39,"")</f>
        <v/>
      </c>
      <c r="B66" s="21">
        <f>IF(A66="","",CHOOSE(WEEKDAY(A66,1),"الأحد","الاثنين","الثلاثاء","الأربعاء","الخميس","الجمعة","السبت"))</f>
        <v/>
      </c>
      <c r="C66" s="22" t="n"/>
      <c r="D66" s="22" t="n"/>
      <c r="E66" s="23">
        <f>IF(OR(M66=0,K66="",L66=""),"",MOD(L66-K66,1))</f>
        <v/>
      </c>
      <c r="F66" s="23">
        <f>IF(OR(E66="",M66=0),"",IF(WEEKDAY(A66,1)=6,E66,MIN(E66,MAX(0,MIN(IF(L66&lt;K66,L66+1,L66),OMR_OT_AT)-K66))))</f>
        <v/>
      </c>
      <c r="G66" s="23">
        <f>IF(OR(E66="",M66=0),"",MAX(0,E66-F66))</f>
        <v/>
      </c>
      <c r="H66" s="24">
        <f>IF(OR(E66="",M66=0),"",ROUND((F66*$N$61+G66*$O$61)*24,3))</f>
        <v/>
      </c>
      <c r="I66" s="22" t="n"/>
      <c r="K66" s="25">
        <f>IF(OR(M66=0,C66=""),"",IF(ISNUMBER(C66),MOD(C66,1),IFERROR(INDEX('القوائم'!$B$1:$B$288,MATCH(TRIM(C66),'القوائم'!$A$1:$A$288,0)),IFERROR(MOD(TIMEVALUE(C66),1),""))))</f>
        <v/>
      </c>
      <c r="L66" s="25">
        <f>IF(OR(M66=0,D66=""),"",IF(ISNUMBER(D66),MOD(D66,1),IFERROR(INDEX('القوائم'!$B$1:$B$288,MATCH(TRIM(D66),'القوائم'!$A$1:$A$288,0)),IFERROR(MOD(TIMEVALUE(D66),1),""))))</f>
        <v/>
      </c>
      <c r="M66">
        <f>M61</f>
        <v/>
      </c>
      <c r="Q66">
        <f>IF(N(G71)&gt;0,1,0)</f>
        <v/>
      </c>
    </row>
    <row r="67">
      <c r="A67" s="20">
        <f>IF(6&lt;=NW,SAT1+40,"")</f>
        <v/>
      </c>
      <c r="B67" s="21">
        <f>IF(A67="","",CHOOSE(WEEKDAY(A67,1),"الأحد","الاثنين","الثلاثاء","الأربعاء","الخميس","الجمعة","السبت"))</f>
        <v/>
      </c>
      <c r="C67" s="22" t="n"/>
      <c r="D67" s="22" t="n"/>
      <c r="E67" s="23">
        <f>IF(OR(M67=0,K67="",L67=""),"",MOD(L67-K67,1))</f>
        <v/>
      </c>
      <c r="F67" s="23">
        <f>IF(OR(E67="",M67=0),"",IF(WEEKDAY(A67,1)=6,E67,MIN(E67,MAX(0,MIN(IF(L67&lt;K67,L67+1,L67),OMR_OT_AT)-K67))))</f>
        <v/>
      </c>
      <c r="G67" s="23">
        <f>IF(OR(E67="",M67=0),"",MAX(0,E67-F67))</f>
        <v/>
      </c>
      <c r="H67" s="24">
        <f>IF(OR(E67="",M67=0),"",ROUND((F67*$N$61+G67*$O$61)*24,3))</f>
        <v/>
      </c>
      <c r="I67" s="22" t="n"/>
      <c r="K67" s="25">
        <f>IF(OR(M67=0,C67=""),"",IF(ISNUMBER(C67),MOD(C67,1),IFERROR(INDEX('القوائم'!$B$1:$B$288,MATCH(TRIM(C67),'القوائم'!$A$1:$A$288,0)),IFERROR(MOD(TIMEVALUE(C67),1),""))))</f>
        <v/>
      </c>
      <c r="L67" s="25">
        <f>IF(OR(M67=0,D67=""),"",IF(ISNUMBER(D67),MOD(D67,1),IFERROR(INDEX('القوائم'!$B$1:$B$288,MATCH(TRIM(D67),'القوائم'!$A$1:$A$288,0)),IFERROR(MOD(TIMEVALUE(D67),1),""))))</f>
        <v/>
      </c>
      <c r="M67">
        <f>M61</f>
        <v/>
      </c>
      <c r="Q67">
        <f>IF(N(G71)&gt;0,1,0)</f>
        <v/>
      </c>
    </row>
    <row r="68">
      <c r="A68" s="26">
        <f>IF(6&lt;=NW,SAT1+41,"")</f>
        <v/>
      </c>
      <c r="B68" s="27">
        <f>IF(A68="","",CHOOSE(WEEKDAY(A68,1),"الأحد","الاثنين","الثلاثاء","الأربعاء","الخميس","الجمعة","السبت"))</f>
        <v/>
      </c>
      <c r="C68" s="22" t="n"/>
      <c r="D68" s="22" t="n"/>
      <c r="E68" s="23">
        <f>IF(OR(M68=0,K68="",L68=""),"",MOD(L68-K68,1))</f>
        <v/>
      </c>
      <c r="F68" s="23">
        <f>IF(OR(E68="",M68=0),"",IF(WEEKDAY(A68,1)=6,E68,MIN(E68,MAX(0,MIN(IF(L68&lt;K68,L68+1,L68),OMR_OT_AT)-K68))))</f>
        <v/>
      </c>
      <c r="G68" s="23">
        <f>IF(OR(E68="",M68=0),"",MAX(0,E68-F68))</f>
        <v/>
      </c>
      <c r="H68" s="24">
        <f>IF(OR(E68="",M68=0),"",ROUND((F68*$N$61+G68*$O$61)*24,3))</f>
        <v/>
      </c>
      <c r="I68" s="22" t="n"/>
      <c r="K68" s="25">
        <f>IF(OR(M68=0,C68=""),"",IF(ISNUMBER(C68),MOD(C68,1),IFERROR(INDEX('القوائم'!$B$1:$B$288,MATCH(TRIM(C68),'القوائم'!$A$1:$A$288,0)),IFERROR(MOD(TIMEVALUE(C68),1),""))))</f>
        <v/>
      </c>
      <c r="L68" s="25">
        <f>IF(OR(M68=0,D68=""),"",IF(ISNUMBER(D68),MOD(D68,1),IFERROR(INDEX('القوائم'!$B$1:$B$288,MATCH(TRIM(D68),'القوائم'!$A$1:$A$288,0)),IFERROR(MOD(TIMEVALUE(D68),1),""))))</f>
        <v/>
      </c>
      <c r="M68">
        <f>M61</f>
        <v/>
      </c>
      <c r="Q68">
        <f>IF(N(G71)&gt;0,1,0)</f>
        <v/>
      </c>
    </row>
    <row r="69">
      <c r="A69" s="28">
        <f>IF(M61=1,"مجموع أيام الأسبوع 6","")</f>
        <v/>
      </c>
      <c r="B69" s="28" t="n"/>
      <c r="C69" s="28" t="n"/>
      <c r="D69" s="28" t="n"/>
      <c r="E69" s="29">
        <f>IF(M61=1,SUM(E62:E68),"")</f>
        <v/>
      </c>
      <c r="F69" s="29">
        <f>IF(M61=1,SUM(F62:F68),"")</f>
        <v/>
      </c>
      <c r="G69" s="29">
        <f>IF(M61=1,SUM(G62:G68),"")</f>
        <v/>
      </c>
      <c r="H69" s="30">
        <f>IF(M61=1,SUM(H62:H68),"")</f>
        <v/>
      </c>
      <c r="I69" s="28" t="n"/>
    </row>
    <row r="70" ht="32" customHeight="1">
      <c r="A70" s="28">
        <f>IF(M61=1,"ساعات تحميل الجبسمبورد بهالأسبوع (رقم: 2 أو 1.5) ←","")</f>
        <v/>
      </c>
      <c r="E70" s="31" t="n"/>
      <c r="F70" s="32">
        <f>IF(M61=1,"المستحق النهائي للأسبوع (دينار) ←","")</f>
        <v/>
      </c>
      <c r="H70" s="33">
        <f>IF(M61=1,IF(ROUND_MODE="للأعلى",CEILING(ROUND((N(H69)+N(E70)*($P$61-$N$61)),3),0.25),ROUND((N(H69)+N(E70)*($P$61-$N$61))*4,0)/4),"")</f>
        <v/>
      </c>
      <c r="I70" s="34">
        <f>IF(M61=1,"قبل الجبر: "&amp;TEXT(N(H69)+N(E70)*($P$61-$N$61),"0.000"),"")</f>
        <v/>
      </c>
    </row>
    <row r="71" ht="26" customHeight="1">
      <c r="A71" s="28">
        <f>IF(M61=1,"إكرامية الأسبوع (دينار) ←","")</f>
        <v/>
      </c>
      <c r="D71" s="35" t="n"/>
      <c r="E71" s="28">
        <f>IF(M61=1,"المدفوع يوم الجمعة (دينار) ←","")</f>
        <v/>
      </c>
      <c r="G71" s="35" t="n"/>
      <c r="H71" s="36">
        <f>IF(M61=1,IF(N(G71)&gt;0,"✔ انقبض — الأسبوع مقفول","⏳ لسا ما انقبض"),"")</f>
        <v/>
      </c>
    </row>
    <row r="72" ht="26" customHeight="1">
      <c r="A72" s="18">
        <f>IF(7&lt;=NW,"الأسبوع 7 · السبت "&amp;TEXT(DAY(SAT1+42),"00")&amp;"/"&amp;TEXT(MONTH(SAT1+42),"00")&amp;" ← الجمعة "&amp;TEXT(DAY(SAT1+48),"00")&amp;"/"&amp;TEXT(MONTH(SAT1+48),"00")&amp;" (يوم القبض)"&amp;IF(7&lt;START_O,"   — قبل أسبوع البداية (ما بينحسب)",""),"ما في أسبوع 7 هالسنة")</f>
        <v/>
      </c>
      <c r="L72" s="19">
        <f>IF(7&lt;=NW,SAT1+48,"")</f>
        <v/>
      </c>
      <c r="M72">
        <f>IF(AND(7&lt;=NW,7&gt;=START_O),1,0)</f>
        <v/>
      </c>
      <c r="N72">
        <f>IFERROR(INDEX(RT_OMR,MATCH(L72,RT_K,1)),INDEX(RT_OMR,1))</f>
        <v/>
      </c>
      <c r="O72">
        <f>IFERROR(INDEX(RT_OT,MATCH(L72,RT_K,1)),INDEX(RT_OT,1))</f>
        <v/>
      </c>
      <c r="P72">
        <f>IFERROR(INDEX(RT_GYP,MATCH(L72,RT_K,1)),INDEX(RT_GYP,1))</f>
        <v/>
      </c>
    </row>
    <row r="73">
      <c r="A73" s="20">
        <f>IF(7&lt;=NW,SAT1+42,"")</f>
        <v/>
      </c>
      <c r="B73" s="21">
        <f>IF(A73="","",CHOOSE(WEEKDAY(A73,1),"الأحد","الاثنين","الثلاثاء","الأربعاء","الخميس","الجمعة","السبت"))</f>
        <v/>
      </c>
      <c r="C73" s="22" t="n"/>
      <c r="D73" s="22" t="n"/>
      <c r="E73" s="23">
        <f>IF(OR(M73=0,K73="",L73=""),"",MOD(L73-K73,1))</f>
        <v/>
      </c>
      <c r="F73" s="23">
        <f>IF(OR(E73="",M73=0),"",IF(WEEKDAY(A73,1)=6,E73,MIN(E73,MAX(0,MIN(IF(L73&lt;K73,L73+1,L73),OMR_OT_AT)-K73))))</f>
        <v/>
      </c>
      <c r="G73" s="23">
        <f>IF(OR(E73="",M73=0),"",MAX(0,E73-F73))</f>
        <v/>
      </c>
      <c r="H73" s="24">
        <f>IF(OR(E73="",M73=0),"",ROUND((F73*$N$72+G73*$O$72)*24,3))</f>
        <v/>
      </c>
      <c r="I73" s="22" t="n"/>
      <c r="K73" s="25">
        <f>IF(OR(M73=0,C73=""),"",IF(ISNUMBER(C73),MOD(C73,1),IFERROR(INDEX('القوائم'!$B$1:$B$288,MATCH(TRIM(C73),'القوائم'!$A$1:$A$288,0)),IFERROR(MOD(TIMEVALUE(C73),1),""))))</f>
        <v/>
      </c>
      <c r="L73" s="25">
        <f>IF(OR(M73=0,D73=""),"",IF(ISNUMBER(D73),MOD(D73,1),IFERROR(INDEX('القوائم'!$B$1:$B$288,MATCH(TRIM(D73),'القوائم'!$A$1:$A$288,0)),IFERROR(MOD(TIMEVALUE(D73),1),""))))</f>
        <v/>
      </c>
      <c r="M73">
        <f>M72</f>
        <v/>
      </c>
      <c r="Q73">
        <f>IF(N(G82)&gt;0,1,0)</f>
        <v/>
      </c>
    </row>
    <row r="74">
      <c r="A74" s="20">
        <f>IF(7&lt;=NW,SAT1+43,"")</f>
        <v/>
      </c>
      <c r="B74" s="21">
        <f>IF(A74="","",CHOOSE(WEEKDAY(A74,1),"الأحد","الاثنين","الثلاثاء","الأربعاء","الخميس","الجمعة","السبت"))</f>
        <v/>
      </c>
      <c r="C74" s="22" t="n"/>
      <c r="D74" s="22" t="n"/>
      <c r="E74" s="23">
        <f>IF(OR(M74=0,K74="",L74=""),"",MOD(L74-K74,1))</f>
        <v/>
      </c>
      <c r="F74" s="23">
        <f>IF(OR(E74="",M74=0),"",IF(WEEKDAY(A74,1)=6,E74,MIN(E74,MAX(0,MIN(IF(L74&lt;K74,L74+1,L74),OMR_OT_AT)-K74))))</f>
        <v/>
      </c>
      <c r="G74" s="23">
        <f>IF(OR(E74="",M74=0),"",MAX(0,E74-F74))</f>
        <v/>
      </c>
      <c r="H74" s="24">
        <f>IF(OR(E74="",M74=0),"",ROUND((F74*$N$72+G74*$O$72)*24,3))</f>
        <v/>
      </c>
      <c r="I74" s="22" t="n"/>
      <c r="K74" s="25">
        <f>IF(OR(M74=0,C74=""),"",IF(ISNUMBER(C74),MOD(C74,1),IFERROR(INDEX('القوائم'!$B$1:$B$288,MATCH(TRIM(C74),'القوائم'!$A$1:$A$288,0)),IFERROR(MOD(TIMEVALUE(C74),1),""))))</f>
        <v/>
      </c>
      <c r="L74" s="25">
        <f>IF(OR(M74=0,D74=""),"",IF(ISNUMBER(D74),MOD(D74,1),IFERROR(INDEX('القوائم'!$B$1:$B$288,MATCH(TRIM(D74),'القوائم'!$A$1:$A$288,0)),IFERROR(MOD(TIMEVALUE(D74),1),""))))</f>
        <v/>
      </c>
      <c r="M74">
        <f>M72</f>
        <v/>
      </c>
      <c r="Q74">
        <f>IF(N(G82)&gt;0,1,0)</f>
        <v/>
      </c>
    </row>
    <row r="75">
      <c r="A75" s="20">
        <f>IF(7&lt;=NW,SAT1+44,"")</f>
        <v/>
      </c>
      <c r="B75" s="21">
        <f>IF(A75="","",CHOOSE(WEEKDAY(A75,1),"الأحد","الاثنين","الثلاثاء","الأربعاء","الخميس","الجمعة","السبت"))</f>
        <v/>
      </c>
      <c r="C75" s="22" t="n"/>
      <c r="D75" s="22" t="n"/>
      <c r="E75" s="23">
        <f>IF(OR(M75=0,K75="",L75=""),"",MOD(L75-K75,1))</f>
        <v/>
      </c>
      <c r="F75" s="23">
        <f>IF(OR(E75="",M75=0),"",IF(WEEKDAY(A75,1)=6,E75,MIN(E75,MAX(0,MIN(IF(L75&lt;K75,L75+1,L75),OMR_OT_AT)-K75))))</f>
        <v/>
      </c>
      <c r="G75" s="23">
        <f>IF(OR(E75="",M75=0),"",MAX(0,E75-F75))</f>
        <v/>
      </c>
      <c r="H75" s="24">
        <f>IF(OR(E75="",M75=0),"",ROUND((F75*$N$72+G75*$O$72)*24,3))</f>
        <v/>
      </c>
      <c r="I75" s="22" t="n"/>
      <c r="K75" s="25">
        <f>IF(OR(M75=0,C75=""),"",IF(ISNUMBER(C75),MOD(C75,1),IFERROR(INDEX('القوائم'!$B$1:$B$288,MATCH(TRIM(C75),'القوائم'!$A$1:$A$288,0)),IFERROR(MOD(TIMEVALUE(C75),1),""))))</f>
        <v/>
      </c>
      <c r="L75" s="25">
        <f>IF(OR(M75=0,D75=""),"",IF(ISNUMBER(D75),MOD(D75,1),IFERROR(INDEX('القوائم'!$B$1:$B$288,MATCH(TRIM(D75),'القوائم'!$A$1:$A$288,0)),IFERROR(MOD(TIMEVALUE(D75),1),""))))</f>
        <v/>
      </c>
      <c r="M75">
        <f>M72</f>
        <v/>
      </c>
      <c r="Q75">
        <f>IF(N(G82)&gt;0,1,0)</f>
        <v/>
      </c>
    </row>
    <row r="76">
      <c r="A76" s="20">
        <f>IF(7&lt;=NW,SAT1+45,"")</f>
        <v/>
      </c>
      <c r="B76" s="21">
        <f>IF(A76="","",CHOOSE(WEEKDAY(A76,1),"الأحد","الاثنين","الثلاثاء","الأربعاء","الخميس","الجمعة","السبت"))</f>
        <v/>
      </c>
      <c r="C76" s="22" t="n"/>
      <c r="D76" s="22" t="n"/>
      <c r="E76" s="23">
        <f>IF(OR(M76=0,K76="",L76=""),"",MOD(L76-K76,1))</f>
        <v/>
      </c>
      <c r="F76" s="23">
        <f>IF(OR(E76="",M76=0),"",IF(WEEKDAY(A76,1)=6,E76,MIN(E76,MAX(0,MIN(IF(L76&lt;K76,L76+1,L76),OMR_OT_AT)-K76))))</f>
        <v/>
      </c>
      <c r="G76" s="23">
        <f>IF(OR(E76="",M76=0),"",MAX(0,E76-F76))</f>
        <v/>
      </c>
      <c r="H76" s="24">
        <f>IF(OR(E76="",M76=0),"",ROUND((F76*$N$72+G76*$O$72)*24,3))</f>
        <v/>
      </c>
      <c r="I76" s="22" t="n"/>
      <c r="K76" s="25">
        <f>IF(OR(M76=0,C76=""),"",IF(ISNUMBER(C76),MOD(C76,1),IFERROR(INDEX('القوائم'!$B$1:$B$288,MATCH(TRIM(C76),'القوائم'!$A$1:$A$288,0)),IFERROR(MOD(TIMEVALUE(C76),1),""))))</f>
        <v/>
      </c>
      <c r="L76" s="25">
        <f>IF(OR(M76=0,D76=""),"",IF(ISNUMBER(D76),MOD(D76,1),IFERROR(INDEX('القوائم'!$B$1:$B$288,MATCH(TRIM(D76),'القوائم'!$A$1:$A$288,0)),IFERROR(MOD(TIMEVALUE(D76),1),""))))</f>
        <v/>
      </c>
      <c r="M76">
        <f>M72</f>
        <v/>
      </c>
      <c r="Q76">
        <f>IF(N(G82)&gt;0,1,0)</f>
        <v/>
      </c>
    </row>
    <row r="77">
      <c r="A77" s="20">
        <f>IF(7&lt;=NW,SAT1+46,"")</f>
        <v/>
      </c>
      <c r="B77" s="21">
        <f>IF(A77="","",CHOOSE(WEEKDAY(A77,1),"الأحد","الاثنين","الثلاثاء","الأربعاء","الخميس","الجمعة","السبت"))</f>
        <v/>
      </c>
      <c r="C77" s="22" t="n"/>
      <c r="D77" s="22" t="n"/>
      <c r="E77" s="23">
        <f>IF(OR(M77=0,K77="",L77=""),"",MOD(L77-K77,1))</f>
        <v/>
      </c>
      <c r="F77" s="23">
        <f>IF(OR(E77="",M77=0),"",IF(WEEKDAY(A77,1)=6,E77,MIN(E77,MAX(0,MIN(IF(L77&lt;K77,L77+1,L77),OMR_OT_AT)-K77))))</f>
        <v/>
      </c>
      <c r="G77" s="23">
        <f>IF(OR(E77="",M77=0),"",MAX(0,E77-F77))</f>
        <v/>
      </c>
      <c r="H77" s="24">
        <f>IF(OR(E77="",M77=0),"",ROUND((F77*$N$72+G77*$O$72)*24,3))</f>
        <v/>
      </c>
      <c r="I77" s="22" t="n"/>
      <c r="K77" s="25">
        <f>IF(OR(M77=0,C77=""),"",IF(ISNUMBER(C77),MOD(C77,1),IFERROR(INDEX('القوائم'!$B$1:$B$288,MATCH(TRIM(C77),'القوائم'!$A$1:$A$288,0)),IFERROR(MOD(TIMEVALUE(C77),1),""))))</f>
        <v/>
      </c>
      <c r="L77" s="25">
        <f>IF(OR(M77=0,D77=""),"",IF(ISNUMBER(D77),MOD(D77,1),IFERROR(INDEX('القوائم'!$B$1:$B$288,MATCH(TRIM(D77),'القوائم'!$A$1:$A$288,0)),IFERROR(MOD(TIMEVALUE(D77),1),""))))</f>
        <v/>
      </c>
      <c r="M77">
        <f>M72</f>
        <v/>
      </c>
      <c r="Q77">
        <f>IF(N(G82)&gt;0,1,0)</f>
        <v/>
      </c>
    </row>
    <row r="78">
      <c r="A78" s="20">
        <f>IF(7&lt;=NW,SAT1+47,"")</f>
        <v/>
      </c>
      <c r="B78" s="21">
        <f>IF(A78="","",CHOOSE(WEEKDAY(A78,1),"الأحد","الاثنين","الثلاثاء","الأربعاء","الخميس","الجمعة","السبت"))</f>
        <v/>
      </c>
      <c r="C78" s="22" t="n"/>
      <c r="D78" s="22" t="n"/>
      <c r="E78" s="23">
        <f>IF(OR(M78=0,K78="",L78=""),"",MOD(L78-K78,1))</f>
        <v/>
      </c>
      <c r="F78" s="23">
        <f>IF(OR(E78="",M78=0),"",IF(WEEKDAY(A78,1)=6,E78,MIN(E78,MAX(0,MIN(IF(L78&lt;K78,L78+1,L78),OMR_OT_AT)-K78))))</f>
        <v/>
      </c>
      <c r="G78" s="23">
        <f>IF(OR(E78="",M78=0),"",MAX(0,E78-F78))</f>
        <v/>
      </c>
      <c r="H78" s="24">
        <f>IF(OR(E78="",M78=0),"",ROUND((F78*$N$72+G78*$O$72)*24,3))</f>
        <v/>
      </c>
      <c r="I78" s="22" t="n"/>
      <c r="K78" s="25">
        <f>IF(OR(M78=0,C78=""),"",IF(ISNUMBER(C78),MOD(C78,1),IFERROR(INDEX('القوائم'!$B$1:$B$288,MATCH(TRIM(C78),'القوائم'!$A$1:$A$288,0)),IFERROR(MOD(TIMEVALUE(C78),1),""))))</f>
        <v/>
      </c>
      <c r="L78" s="25">
        <f>IF(OR(M78=0,D78=""),"",IF(ISNUMBER(D78),MOD(D78,1),IFERROR(INDEX('القوائم'!$B$1:$B$288,MATCH(TRIM(D78),'القوائم'!$A$1:$A$288,0)),IFERROR(MOD(TIMEVALUE(D78),1),""))))</f>
        <v/>
      </c>
      <c r="M78">
        <f>M72</f>
        <v/>
      </c>
      <c r="Q78">
        <f>IF(N(G82)&gt;0,1,0)</f>
        <v/>
      </c>
    </row>
    <row r="79">
      <c r="A79" s="26">
        <f>IF(7&lt;=NW,SAT1+48,"")</f>
        <v/>
      </c>
      <c r="B79" s="27">
        <f>IF(A79="","",CHOOSE(WEEKDAY(A79,1),"الأحد","الاثنين","الثلاثاء","الأربعاء","الخميس","الجمعة","السبت"))</f>
        <v/>
      </c>
      <c r="C79" s="22" t="n"/>
      <c r="D79" s="22" t="n"/>
      <c r="E79" s="23">
        <f>IF(OR(M79=0,K79="",L79=""),"",MOD(L79-K79,1))</f>
        <v/>
      </c>
      <c r="F79" s="23">
        <f>IF(OR(E79="",M79=0),"",IF(WEEKDAY(A79,1)=6,E79,MIN(E79,MAX(0,MIN(IF(L79&lt;K79,L79+1,L79),OMR_OT_AT)-K79))))</f>
        <v/>
      </c>
      <c r="G79" s="23">
        <f>IF(OR(E79="",M79=0),"",MAX(0,E79-F79))</f>
        <v/>
      </c>
      <c r="H79" s="24">
        <f>IF(OR(E79="",M79=0),"",ROUND((F79*$N$72+G79*$O$72)*24,3))</f>
        <v/>
      </c>
      <c r="I79" s="22" t="n"/>
      <c r="K79" s="25">
        <f>IF(OR(M79=0,C79=""),"",IF(ISNUMBER(C79),MOD(C79,1),IFERROR(INDEX('القوائم'!$B$1:$B$288,MATCH(TRIM(C79),'القوائم'!$A$1:$A$288,0)),IFERROR(MOD(TIMEVALUE(C79),1),""))))</f>
        <v/>
      </c>
      <c r="L79" s="25">
        <f>IF(OR(M79=0,D79=""),"",IF(ISNUMBER(D79),MOD(D79,1),IFERROR(INDEX('القوائم'!$B$1:$B$288,MATCH(TRIM(D79),'القوائم'!$A$1:$A$288,0)),IFERROR(MOD(TIMEVALUE(D79),1),""))))</f>
        <v/>
      </c>
      <c r="M79">
        <f>M72</f>
        <v/>
      </c>
      <c r="Q79">
        <f>IF(N(G82)&gt;0,1,0)</f>
        <v/>
      </c>
    </row>
    <row r="80">
      <c r="A80" s="28">
        <f>IF(M72=1,"مجموع أيام الأسبوع 7","")</f>
        <v/>
      </c>
      <c r="B80" s="28" t="n"/>
      <c r="C80" s="28" t="n"/>
      <c r="D80" s="28" t="n"/>
      <c r="E80" s="29">
        <f>IF(M72=1,SUM(E73:E79),"")</f>
        <v/>
      </c>
      <c r="F80" s="29">
        <f>IF(M72=1,SUM(F73:F79),"")</f>
        <v/>
      </c>
      <c r="G80" s="29">
        <f>IF(M72=1,SUM(G73:G79),"")</f>
        <v/>
      </c>
      <c r="H80" s="30">
        <f>IF(M72=1,SUM(H73:H79),"")</f>
        <v/>
      </c>
      <c r="I80" s="28" t="n"/>
    </row>
    <row r="81" ht="32" customHeight="1">
      <c r="A81" s="28">
        <f>IF(M72=1,"ساعات تحميل الجبسمبورد بهالأسبوع (رقم: 2 أو 1.5) ←","")</f>
        <v/>
      </c>
      <c r="E81" s="31" t="n"/>
      <c r="F81" s="32">
        <f>IF(M72=1,"المستحق النهائي للأسبوع (دينار) ←","")</f>
        <v/>
      </c>
      <c r="H81" s="33">
        <f>IF(M72=1,IF(ROUND_MODE="للأعلى",CEILING(ROUND((N(H80)+N(E81)*($P$72-$N$72)),3),0.25),ROUND((N(H80)+N(E81)*($P$72-$N$72))*4,0)/4),"")</f>
        <v/>
      </c>
      <c r="I81" s="34">
        <f>IF(M72=1,"قبل الجبر: "&amp;TEXT(N(H80)+N(E81)*($P$72-$N$72),"0.000"),"")</f>
        <v/>
      </c>
    </row>
    <row r="82" ht="26" customHeight="1">
      <c r="A82" s="28">
        <f>IF(M72=1,"إكرامية الأسبوع (دينار) ←","")</f>
        <v/>
      </c>
      <c r="D82" s="35" t="n"/>
      <c r="E82" s="28">
        <f>IF(M72=1,"المدفوع يوم الجمعة (دينار) ←","")</f>
        <v/>
      </c>
      <c r="G82" s="35" t="n"/>
      <c r="H82" s="36">
        <f>IF(M72=1,IF(N(G82)&gt;0,"✔ انقبض — الأسبوع مقفول","⏳ لسا ما انقبض"),"")</f>
        <v/>
      </c>
    </row>
    <row r="83" ht="26" customHeight="1">
      <c r="A83" s="18">
        <f>IF(8&lt;=NW,"الأسبوع 8 · السبت "&amp;TEXT(DAY(SAT1+49),"00")&amp;"/"&amp;TEXT(MONTH(SAT1+49),"00")&amp;" ← الجمعة "&amp;TEXT(DAY(SAT1+55),"00")&amp;"/"&amp;TEXT(MONTH(SAT1+55),"00")&amp;" (يوم القبض)"&amp;IF(8&lt;START_O,"   — قبل أسبوع البداية (ما بينحسب)",""),"ما في أسبوع 8 هالسنة")</f>
        <v/>
      </c>
      <c r="L83" s="19">
        <f>IF(8&lt;=NW,SAT1+55,"")</f>
        <v/>
      </c>
      <c r="M83">
        <f>IF(AND(8&lt;=NW,8&gt;=START_O),1,0)</f>
        <v/>
      </c>
      <c r="N83">
        <f>IFERROR(INDEX(RT_OMR,MATCH(L83,RT_K,1)),INDEX(RT_OMR,1))</f>
        <v/>
      </c>
      <c r="O83">
        <f>IFERROR(INDEX(RT_OT,MATCH(L83,RT_K,1)),INDEX(RT_OT,1))</f>
        <v/>
      </c>
      <c r="P83">
        <f>IFERROR(INDEX(RT_GYP,MATCH(L83,RT_K,1)),INDEX(RT_GYP,1))</f>
        <v/>
      </c>
    </row>
    <row r="84">
      <c r="A84" s="20">
        <f>IF(8&lt;=NW,SAT1+49,"")</f>
        <v/>
      </c>
      <c r="B84" s="21">
        <f>IF(A84="","",CHOOSE(WEEKDAY(A84,1),"الأحد","الاثنين","الثلاثاء","الأربعاء","الخميس","الجمعة","السبت"))</f>
        <v/>
      </c>
      <c r="C84" s="22" t="n"/>
      <c r="D84" s="22" t="n"/>
      <c r="E84" s="23">
        <f>IF(OR(M84=0,K84="",L84=""),"",MOD(L84-K84,1))</f>
        <v/>
      </c>
      <c r="F84" s="23">
        <f>IF(OR(E84="",M84=0),"",IF(WEEKDAY(A84,1)=6,E84,MIN(E84,MAX(0,MIN(IF(L84&lt;K84,L84+1,L84),OMR_OT_AT)-K84))))</f>
        <v/>
      </c>
      <c r="G84" s="23">
        <f>IF(OR(E84="",M84=0),"",MAX(0,E84-F84))</f>
        <v/>
      </c>
      <c r="H84" s="24">
        <f>IF(OR(E84="",M84=0),"",ROUND((F84*$N$83+G84*$O$83)*24,3))</f>
        <v/>
      </c>
      <c r="I84" s="22" t="n"/>
      <c r="K84" s="25">
        <f>IF(OR(M84=0,C84=""),"",IF(ISNUMBER(C84),MOD(C84,1),IFERROR(INDEX('القوائم'!$B$1:$B$288,MATCH(TRIM(C84),'القوائم'!$A$1:$A$288,0)),IFERROR(MOD(TIMEVALUE(C84),1),""))))</f>
        <v/>
      </c>
      <c r="L84" s="25">
        <f>IF(OR(M84=0,D84=""),"",IF(ISNUMBER(D84),MOD(D84,1),IFERROR(INDEX('القوائم'!$B$1:$B$288,MATCH(TRIM(D84),'القوائم'!$A$1:$A$288,0)),IFERROR(MOD(TIMEVALUE(D84),1),""))))</f>
        <v/>
      </c>
      <c r="M84">
        <f>M83</f>
        <v/>
      </c>
      <c r="Q84">
        <f>IF(N(G93)&gt;0,1,0)</f>
        <v/>
      </c>
    </row>
    <row r="85">
      <c r="A85" s="20">
        <f>IF(8&lt;=NW,SAT1+50,"")</f>
        <v/>
      </c>
      <c r="B85" s="21">
        <f>IF(A85="","",CHOOSE(WEEKDAY(A85,1),"الأحد","الاثنين","الثلاثاء","الأربعاء","الخميس","الجمعة","السبت"))</f>
        <v/>
      </c>
      <c r="C85" s="22" t="n"/>
      <c r="D85" s="22" t="n"/>
      <c r="E85" s="23">
        <f>IF(OR(M85=0,K85="",L85=""),"",MOD(L85-K85,1))</f>
        <v/>
      </c>
      <c r="F85" s="23">
        <f>IF(OR(E85="",M85=0),"",IF(WEEKDAY(A85,1)=6,E85,MIN(E85,MAX(0,MIN(IF(L85&lt;K85,L85+1,L85),OMR_OT_AT)-K85))))</f>
        <v/>
      </c>
      <c r="G85" s="23">
        <f>IF(OR(E85="",M85=0),"",MAX(0,E85-F85))</f>
        <v/>
      </c>
      <c r="H85" s="24">
        <f>IF(OR(E85="",M85=0),"",ROUND((F85*$N$83+G85*$O$83)*24,3))</f>
        <v/>
      </c>
      <c r="I85" s="22" t="n"/>
      <c r="K85" s="25">
        <f>IF(OR(M85=0,C85=""),"",IF(ISNUMBER(C85),MOD(C85,1),IFERROR(INDEX('القوائم'!$B$1:$B$288,MATCH(TRIM(C85),'القوائم'!$A$1:$A$288,0)),IFERROR(MOD(TIMEVALUE(C85),1),""))))</f>
        <v/>
      </c>
      <c r="L85" s="25">
        <f>IF(OR(M85=0,D85=""),"",IF(ISNUMBER(D85),MOD(D85,1),IFERROR(INDEX('القوائم'!$B$1:$B$288,MATCH(TRIM(D85),'القوائم'!$A$1:$A$288,0)),IFERROR(MOD(TIMEVALUE(D85),1),""))))</f>
        <v/>
      </c>
      <c r="M85">
        <f>M83</f>
        <v/>
      </c>
      <c r="Q85">
        <f>IF(N(G93)&gt;0,1,0)</f>
        <v/>
      </c>
    </row>
    <row r="86">
      <c r="A86" s="20">
        <f>IF(8&lt;=NW,SAT1+51,"")</f>
        <v/>
      </c>
      <c r="B86" s="21">
        <f>IF(A86="","",CHOOSE(WEEKDAY(A86,1),"الأحد","الاثنين","الثلاثاء","الأربعاء","الخميس","الجمعة","السبت"))</f>
        <v/>
      </c>
      <c r="C86" s="22" t="n"/>
      <c r="D86" s="22" t="n"/>
      <c r="E86" s="23">
        <f>IF(OR(M86=0,K86="",L86=""),"",MOD(L86-K86,1))</f>
        <v/>
      </c>
      <c r="F86" s="23">
        <f>IF(OR(E86="",M86=0),"",IF(WEEKDAY(A86,1)=6,E86,MIN(E86,MAX(0,MIN(IF(L86&lt;K86,L86+1,L86),OMR_OT_AT)-K86))))</f>
        <v/>
      </c>
      <c r="G86" s="23">
        <f>IF(OR(E86="",M86=0),"",MAX(0,E86-F86))</f>
        <v/>
      </c>
      <c r="H86" s="24">
        <f>IF(OR(E86="",M86=0),"",ROUND((F86*$N$83+G86*$O$83)*24,3))</f>
        <v/>
      </c>
      <c r="I86" s="22" t="n"/>
      <c r="K86" s="25">
        <f>IF(OR(M86=0,C86=""),"",IF(ISNUMBER(C86),MOD(C86,1),IFERROR(INDEX('القوائم'!$B$1:$B$288,MATCH(TRIM(C86),'القوائم'!$A$1:$A$288,0)),IFERROR(MOD(TIMEVALUE(C86),1),""))))</f>
        <v/>
      </c>
      <c r="L86" s="25">
        <f>IF(OR(M86=0,D86=""),"",IF(ISNUMBER(D86),MOD(D86,1),IFERROR(INDEX('القوائم'!$B$1:$B$288,MATCH(TRIM(D86),'القوائم'!$A$1:$A$288,0)),IFERROR(MOD(TIMEVALUE(D86),1),""))))</f>
        <v/>
      </c>
      <c r="M86">
        <f>M83</f>
        <v/>
      </c>
      <c r="Q86">
        <f>IF(N(G93)&gt;0,1,0)</f>
        <v/>
      </c>
    </row>
    <row r="87">
      <c r="A87" s="20">
        <f>IF(8&lt;=NW,SAT1+52,"")</f>
        <v/>
      </c>
      <c r="B87" s="21">
        <f>IF(A87="","",CHOOSE(WEEKDAY(A87,1),"الأحد","الاثنين","الثلاثاء","الأربعاء","الخميس","الجمعة","السبت"))</f>
        <v/>
      </c>
      <c r="C87" s="22" t="n"/>
      <c r="D87" s="22" t="n"/>
      <c r="E87" s="23">
        <f>IF(OR(M87=0,K87="",L87=""),"",MOD(L87-K87,1))</f>
        <v/>
      </c>
      <c r="F87" s="23">
        <f>IF(OR(E87="",M87=0),"",IF(WEEKDAY(A87,1)=6,E87,MIN(E87,MAX(0,MIN(IF(L87&lt;K87,L87+1,L87),OMR_OT_AT)-K87))))</f>
        <v/>
      </c>
      <c r="G87" s="23">
        <f>IF(OR(E87="",M87=0),"",MAX(0,E87-F87))</f>
        <v/>
      </c>
      <c r="H87" s="24">
        <f>IF(OR(E87="",M87=0),"",ROUND((F87*$N$83+G87*$O$83)*24,3))</f>
        <v/>
      </c>
      <c r="I87" s="22" t="n"/>
      <c r="K87" s="25">
        <f>IF(OR(M87=0,C87=""),"",IF(ISNUMBER(C87),MOD(C87,1),IFERROR(INDEX('القوائم'!$B$1:$B$288,MATCH(TRIM(C87),'القوائم'!$A$1:$A$288,0)),IFERROR(MOD(TIMEVALUE(C87),1),""))))</f>
        <v/>
      </c>
      <c r="L87" s="25">
        <f>IF(OR(M87=0,D87=""),"",IF(ISNUMBER(D87),MOD(D87,1),IFERROR(INDEX('القوائم'!$B$1:$B$288,MATCH(TRIM(D87),'القوائم'!$A$1:$A$288,0)),IFERROR(MOD(TIMEVALUE(D87),1),""))))</f>
        <v/>
      </c>
      <c r="M87">
        <f>M83</f>
        <v/>
      </c>
      <c r="Q87">
        <f>IF(N(G93)&gt;0,1,0)</f>
        <v/>
      </c>
    </row>
    <row r="88">
      <c r="A88" s="20">
        <f>IF(8&lt;=NW,SAT1+53,"")</f>
        <v/>
      </c>
      <c r="B88" s="21">
        <f>IF(A88="","",CHOOSE(WEEKDAY(A88,1),"الأحد","الاثنين","الثلاثاء","الأربعاء","الخميس","الجمعة","السبت"))</f>
        <v/>
      </c>
      <c r="C88" s="22" t="n"/>
      <c r="D88" s="22" t="n"/>
      <c r="E88" s="23">
        <f>IF(OR(M88=0,K88="",L88=""),"",MOD(L88-K88,1))</f>
        <v/>
      </c>
      <c r="F88" s="23">
        <f>IF(OR(E88="",M88=0),"",IF(WEEKDAY(A88,1)=6,E88,MIN(E88,MAX(0,MIN(IF(L88&lt;K88,L88+1,L88),OMR_OT_AT)-K88))))</f>
        <v/>
      </c>
      <c r="G88" s="23">
        <f>IF(OR(E88="",M88=0),"",MAX(0,E88-F88))</f>
        <v/>
      </c>
      <c r="H88" s="24">
        <f>IF(OR(E88="",M88=0),"",ROUND((F88*$N$83+G88*$O$83)*24,3))</f>
        <v/>
      </c>
      <c r="I88" s="22" t="n"/>
      <c r="K88" s="25">
        <f>IF(OR(M88=0,C88=""),"",IF(ISNUMBER(C88),MOD(C88,1),IFERROR(INDEX('القوائم'!$B$1:$B$288,MATCH(TRIM(C88),'القوائم'!$A$1:$A$288,0)),IFERROR(MOD(TIMEVALUE(C88),1),""))))</f>
        <v/>
      </c>
      <c r="L88" s="25">
        <f>IF(OR(M88=0,D88=""),"",IF(ISNUMBER(D88),MOD(D88,1),IFERROR(INDEX('القوائم'!$B$1:$B$288,MATCH(TRIM(D88),'القوائم'!$A$1:$A$288,0)),IFERROR(MOD(TIMEVALUE(D88),1),""))))</f>
        <v/>
      </c>
      <c r="M88">
        <f>M83</f>
        <v/>
      </c>
      <c r="Q88">
        <f>IF(N(G93)&gt;0,1,0)</f>
        <v/>
      </c>
    </row>
    <row r="89">
      <c r="A89" s="20">
        <f>IF(8&lt;=NW,SAT1+54,"")</f>
        <v/>
      </c>
      <c r="B89" s="21">
        <f>IF(A89="","",CHOOSE(WEEKDAY(A89,1),"الأحد","الاثنين","الثلاثاء","الأربعاء","الخميس","الجمعة","السبت"))</f>
        <v/>
      </c>
      <c r="C89" s="22" t="n"/>
      <c r="D89" s="22" t="n"/>
      <c r="E89" s="23">
        <f>IF(OR(M89=0,K89="",L89=""),"",MOD(L89-K89,1))</f>
        <v/>
      </c>
      <c r="F89" s="23">
        <f>IF(OR(E89="",M89=0),"",IF(WEEKDAY(A89,1)=6,E89,MIN(E89,MAX(0,MIN(IF(L89&lt;K89,L89+1,L89),OMR_OT_AT)-K89))))</f>
        <v/>
      </c>
      <c r="G89" s="23">
        <f>IF(OR(E89="",M89=0),"",MAX(0,E89-F89))</f>
        <v/>
      </c>
      <c r="H89" s="24">
        <f>IF(OR(E89="",M89=0),"",ROUND((F89*$N$83+G89*$O$83)*24,3))</f>
        <v/>
      </c>
      <c r="I89" s="22" t="n"/>
      <c r="K89" s="25">
        <f>IF(OR(M89=0,C89=""),"",IF(ISNUMBER(C89),MOD(C89,1),IFERROR(INDEX('القوائم'!$B$1:$B$288,MATCH(TRIM(C89),'القوائم'!$A$1:$A$288,0)),IFERROR(MOD(TIMEVALUE(C89),1),""))))</f>
        <v/>
      </c>
      <c r="L89" s="25">
        <f>IF(OR(M89=0,D89=""),"",IF(ISNUMBER(D89),MOD(D89,1),IFERROR(INDEX('القوائم'!$B$1:$B$288,MATCH(TRIM(D89),'القوائم'!$A$1:$A$288,0)),IFERROR(MOD(TIMEVALUE(D89),1),""))))</f>
        <v/>
      </c>
      <c r="M89">
        <f>M83</f>
        <v/>
      </c>
      <c r="Q89">
        <f>IF(N(G93)&gt;0,1,0)</f>
        <v/>
      </c>
    </row>
    <row r="90">
      <c r="A90" s="26">
        <f>IF(8&lt;=NW,SAT1+55,"")</f>
        <v/>
      </c>
      <c r="B90" s="27">
        <f>IF(A90="","",CHOOSE(WEEKDAY(A90,1),"الأحد","الاثنين","الثلاثاء","الأربعاء","الخميس","الجمعة","السبت"))</f>
        <v/>
      </c>
      <c r="C90" s="22" t="n"/>
      <c r="D90" s="22" t="n"/>
      <c r="E90" s="23">
        <f>IF(OR(M90=0,K90="",L90=""),"",MOD(L90-K90,1))</f>
        <v/>
      </c>
      <c r="F90" s="23">
        <f>IF(OR(E90="",M90=0),"",IF(WEEKDAY(A90,1)=6,E90,MIN(E90,MAX(0,MIN(IF(L90&lt;K90,L90+1,L90),OMR_OT_AT)-K90))))</f>
        <v/>
      </c>
      <c r="G90" s="23">
        <f>IF(OR(E90="",M90=0),"",MAX(0,E90-F90))</f>
        <v/>
      </c>
      <c r="H90" s="24">
        <f>IF(OR(E90="",M90=0),"",ROUND((F90*$N$83+G90*$O$83)*24,3))</f>
        <v/>
      </c>
      <c r="I90" s="22" t="n"/>
      <c r="K90" s="25">
        <f>IF(OR(M90=0,C90=""),"",IF(ISNUMBER(C90),MOD(C90,1),IFERROR(INDEX('القوائم'!$B$1:$B$288,MATCH(TRIM(C90),'القوائم'!$A$1:$A$288,0)),IFERROR(MOD(TIMEVALUE(C90),1),""))))</f>
        <v/>
      </c>
      <c r="L90" s="25">
        <f>IF(OR(M90=0,D90=""),"",IF(ISNUMBER(D90),MOD(D90,1),IFERROR(INDEX('القوائم'!$B$1:$B$288,MATCH(TRIM(D90),'القوائم'!$A$1:$A$288,0)),IFERROR(MOD(TIMEVALUE(D90),1),""))))</f>
        <v/>
      </c>
      <c r="M90">
        <f>M83</f>
        <v/>
      </c>
      <c r="Q90">
        <f>IF(N(G93)&gt;0,1,0)</f>
        <v/>
      </c>
    </row>
    <row r="91">
      <c r="A91" s="28">
        <f>IF(M83=1,"مجموع أيام الأسبوع 8","")</f>
        <v/>
      </c>
      <c r="B91" s="28" t="n"/>
      <c r="C91" s="28" t="n"/>
      <c r="D91" s="28" t="n"/>
      <c r="E91" s="29">
        <f>IF(M83=1,SUM(E84:E90),"")</f>
        <v/>
      </c>
      <c r="F91" s="29">
        <f>IF(M83=1,SUM(F84:F90),"")</f>
        <v/>
      </c>
      <c r="G91" s="29">
        <f>IF(M83=1,SUM(G84:G90),"")</f>
        <v/>
      </c>
      <c r="H91" s="30">
        <f>IF(M83=1,SUM(H84:H90),"")</f>
        <v/>
      </c>
      <c r="I91" s="28" t="n"/>
    </row>
    <row r="92" ht="32" customHeight="1">
      <c r="A92" s="28">
        <f>IF(M83=1,"ساعات تحميل الجبسمبورد بهالأسبوع (رقم: 2 أو 1.5) ←","")</f>
        <v/>
      </c>
      <c r="E92" s="31" t="n"/>
      <c r="F92" s="32">
        <f>IF(M83=1,"المستحق النهائي للأسبوع (دينار) ←","")</f>
        <v/>
      </c>
      <c r="H92" s="33">
        <f>IF(M83=1,IF(ROUND_MODE="للأعلى",CEILING(ROUND((N(H91)+N(E92)*($P$83-$N$83)),3),0.25),ROUND((N(H91)+N(E92)*($P$83-$N$83))*4,0)/4),"")</f>
        <v/>
      </c>
      <c r="I92" s="34">
        <f>IF(M83=1,"قبل الجبر: "&amp;TEXT(N(H91)+N(E92)*($P$83-$N$83),"0.000"),"")</f>
        <v/>
      </c>
    </row>
    <row r="93" ht="26" customHeight="1">
      <c r="A93" s="28">
        <f>IF(M83=1,"إكرامية الأسبوع (دينار) ←","")</f>
        <v/>
      </c>
      <c r="D93" s="35" t="n"/>
      <c r="E93" s="28">
        <f>IF(M83=1,"المدفوع يوم الجمعة (دينار) ←","")</f>
        <v/>
      </c>
      <c r="G93" s="35" t="n"/>
      <c r="H93" s="36">
        <f>IF(M83=1,IF(N(G93)&gt;0,"✔ انقبض — الأسبوع مقفول","⏳ لسا ما انقبض"),"")</f>
        <v/>
      </c>
    </row>
    <row r="94" ht="26" customHeight="1">
      <c r="A94" s="18">
        <f>IF(9&lt;=NW,"الأسبوع 9 · السبت "&amp;TEXT(DAY(SAT1+56),"00")&amp;"/"&amp;TEXT(MONTH(SAT1+56),"00")&amp;" ← الجمعة "&amp;TEXT(DAY(SAT1+62),"00")&amp;"/"&amp;TEXT(MONTH(SAT1+62),"00")&amp;" (يوم القبض)"&amp;IF(9&lt;START_O,"   — قبل أسبوع البداية (ما بينحسب)",""),"ما في أسبوع 9 هالسنة")</f>
        <v/>
      </c>
      <c r="L94" s="19">
        <f>IF(9&lt;=NW,SAT1+62,"")</f>
        <v/>
      </c>
      <c r="M94">
        <f>IF(AND(9&lt;=NW,9&gt;=START_O),1,0)</f>
        <v/>
      </c>
      <c r="N94">
        <f>IFERROR(INDEX(RT_OMR,MATCH(L94,RT_K,1)),INDEX(RT_OMR,1))</f>
        <v/>
      </c>
      <c r="O94">
        <f>IFERROR(INDEX(RT_OT,MATCH(L94,RT_K,1)),INDEX(RT_OT,1))</f>
        <v/>
      </c>
      <c r="P94">
        <f>IFERROR(INDEX(RT_GYP,MATCH(L94,RT_K,1)),INDEX(RT_GYP,1))</f>
        <v/>
      </c>
    </row>
    <row r="95">
      <c r="A95" s="20">
        <f>IF(9&lt;=NW,SAT1+56,"")</f>
        <v/>
      </c>
      <c r="B95" s="21">
        <f>IF(A95="","",CHOOSE(WEEKDAY(A95,1),"الأحد","الاثنين","الثلاثاء","الأربعاء","الخميس","الجمعة","السبت"))</f>
        <v/>
      </c>
      <c r="C95" s="22" t="n"/>
      <c r="D95" s="22" t="n"/>
      <c r="E95" s="23">
        <f>IF(OR(M95=0,K95="",L95=""),"",MOD(L95-K95,1))</f>
        <v/>
      </c>
      <c r="F95" s="23">
        <f>IF(OR(E95="",M95=0),"",IF(WEEKDAY(A95,1)=6,E95,MIN(E95,MAX(0,MIN(IF(L95&lt;K95,L95+1,L95),OMR_OT_AT)-K95))))</f>
        <v/>
      </c>
      <c r="G95" s="23">
        <f>IF(OR(E95="",M95=0),"",MAX(0,E95-F95))</f>
        <v/>
      </c>
      <c r="H95" s="24">
        <f>IF(OR(E95="",M95=0),"",ROUND((F95*$N$94+G95*$O$94)*24,3))</f>
        <v/>
      </c>
      <c r="I95" s="22" t="n"/>
      <c r="K95" s="25">
        <f>IF(OR(M95=0,C95=""),"",IF(ISNUMBER(C95),MOD(C95,1),IFERROR(INDEX('القوائم'!$B$1:$B$288,MATCH(TRIM(C95),'القوائم'!$A$1:$A$288,0)),IFERROR(MOD(TIMEVALUE(C95),1),""))))</f>
        <v/>
      </c>
      <c r="L95" s="25">
        <f>IF(OR(M95=0,D95=""),"",IF(ISNUMBER(D95),MOD(D95,1),IFERROR(INDEX('القوائم'!$B$1:$B$288,MATCH(TRIM(D95),'القوائم'!$A$1:$A$288,0)),IFERROR(MOD(TIMEVALUE(D95),1),""))))</f>
        <v/>
      </c>
      <c r="M95">
        <f>M94</f>
        <v/>
      </c>
      <c r="Q95">
        <f>IF(N(G104)&gt;0,1,0)</f>
        <v/>
      </c>
    </row>
    <row r="96">
      <c r="A96" s="20">
        <f>IF(9&lt;=NW,SAT1+57,"")</f>
        <v/>
      </c>
      <c r="B96" s="21">
        <f>IF(A96="","",CHOOSE(WEEKDAY(A96,1),"الأحد","الاثنين","الثلاثاء","الأربعاء","الخميس","الجمعة","السبت"))</f>
        <v/>
      </c>
      <c r="C96" s="22" t="n"/>
      <c r="D96" s="22" t="n"/>
      <c r="E96" s="23">
        <f>IF(OR(M96=0,K96="",L96=""),"",MOD(L96-K96,1))</f>
        <v/>
      </c>
      <c r="F96" s="23">
        <f>IF(OR(E96="",M96=0),"",IF(WEEKDAY(A96,1)=6,E96,MIN(E96,MAX(0,MIN(IF(L96&lt;K96,L96+1,L96),OMR_OT_AT)-K96))))</f>
        <v/>
      </c>
      <c r="G96" s="23">
        <f>IF(OR(E96="",M96=0),"",MAX(0,E96-F96))</f>
        <v/>
      </c>
      <c r="H96" s="24">
        <f>IF(OR(E96="",M96=0),"",ROUND((F96*$N$94+G96*$O$94)*24,3))</f>
        <v/>
      </c>
      <c r="I96" s="22" t="n"/>
      <c r="K96" s="25">
        <f>IF(OR(M96=0,C96=""),"",IF(ISNUMBER(C96),MOD(C96,1),IFERROR(INDEX('القوائم'!$B$1:$B$288,MATCH(TRIM(C96),'القوائم'!$A$1:$A$288,0)),IFERROR(MOD(TIMEVALUE(C96),1),""))))</f>
        <v/>
      </c>
      <c r="L96" s="25">
        <f>IF(OR(M96=0,D96=""),"",IF(ISNUMBER(D96),MOD(D96,1),IFERROR(INDEX('القوائم'!$B$1:$B$288,MATCH(TRIM(D96),'القوائم'!$A$1:$A$288,0)),IFERROR(MOD(TIMEVALUE(D96),1),""))))</f>
        <v/>
      </c>
      <c r="M96">
        <f>M94</f>
        <v/>
      </c>
      <c r="Q96">
        <f>IF(N(G104)&gt;0,1,0)</f>
        <v/>
      </c>
    </row>
    <row r="97">
      <c r="A97" s="20">
        <f>IF(9&lt;=NW,SAT1+58,"")</f>
        <v/>
      </c>
      <c r="B97" s="21">
        <f>IF(A97="","",CHOOSE(WEEKDAY(A97,1),"الأحد","الاثنين","الثلاثاء","الأربعاء","الخميس","الجمعة","السبت"))</f>
        <v/>
      </c>
      <c r="C97" s="22" t="n"/>
      <c r="D97" s="22" t="n"/>
      <c r="E97" s="23">
        <f>IF(OR(M97=0,K97="",L97=""),"",MOD(L97-K97,1))</f>
        <v/>
      </c>
      <c r="F97" s="23">
        <f>IF(OR(E97="",M97=0),"",IF(WEEKDAY(A97,1)=6,E97,MIN(E97,MAX(0,MIN(IF(L97&lt;K97,L97+1,L97),OMR_OT_AT)-K97))))</f>
        <v/>
      </c>
      <c r="G97" s="23">
        <f>IF(OR(E97="",M97=0),"",MAX(0,E97-F97))</f>
        <v/>
      </c>
      <c r="H97" s="24">
        <f>IF(OR(E97="",M97=0),"",ROUND((F97*$N$94+G97*$O$94)*24,3))</f>
        <v/>
      </c>
      <c r="I97" s="22" t="n"/>
      <c r="K97" s="25">
        <f>IF(OR(M97=0,C97=""),"",IF(ISNUMBER(C97),MOD(C97,1),IFERROR(INDEX('القوائم'!$B$1:$B$288,MATCH(TRIM(C97),'القوائم'!$A$1:$A$288,0)),IFERROR(MOD(TIMEVALUE(C97),1),""))))</f>
        <v/>
      </c>
      <c r="L97" s="25">
        <f>IF(OR(M97=0,D97=""),"",IF(ISNUMBER(D97),MOD(D97,1),IFERROR(INDEX('القوائم'!$B$1:$B$288,MATCH(TRIM(D97),'القوائم'!$A$1:$A$288,0)),IFERROR(MOD(TIMEVALUE(D97),1),""))))</f>
        <v/>
      </c>
      <c r="M97">
        <f>M94</f>
        <v/>
      </c>
      <c r="Q97">
        <f>IF(N(G104)&gt;0,1,0)</f>
        <v/>
      </c>
    </row>
    <row r="98">
      <c r="A98" s="20">
        <f>IF(9&lt;=NW,SAT1+59,"")</f>
        <v/>
      </c>
      <c r="B98" s="21">
        <f>IF(A98="","",CHOOSE(WEEKDAY(A98,1),"الأحد","الاثنين","الثلاثاء","الأربعاء","الخميس","الجمعة","السبت"))</f>
        <v/>
      </c>
      <c r="C98" s="22" t="n"/>
      <c r="D98" s="22" t="n"/>
      <c r="E98" s="23">
        <f>IF(OR(M98=0,K98="",L98=""),"",MOD(L98-K98,1))</f>
        <v/>
      </c>
      <c r="F98" s="23">
        <f>IF(OR(E98="",M98=0),"",IF(WEEKDAY(A98,1)=6,E98,MIN(E98,MAX(0,MIN(IF(L98&lt;K98,L98+1,L98),OMR_OT_AT)-K98))))</f>
        <v/>
      </c>
      <c r="G98" s="23">
        <f>IF(OR(E98="",M98=0),"",MAX(0,E98-F98))</f>
        <v/>
      </c>
      <c r="H98" s="24">
        <f>IF(OR(E98="",M98=0),"",ROUND((F98*$N$94+G98*$O$94)*24,3))</f>
        <v/>
      </c>
      <c r="I98" s="22" t="n"/>
      <c r="K98" s="25">
        <f>IF(OR(M98=0,C98=""),"",IF(ISNUMBER(C98),MOD(C98,1),IFERROR(INDEX('القوائم'!$B$1:$B$288,MATCH(TRIM(C98),'القوائم'!$A$1:$A$288,0)),IFERROR(MOD(TIMEVALUE(C98),1),""))))</f>
        <v/>
      </c>
      <c r="L98" s="25">
        <f>IF(OR(M98=0,D98=""),"",IF(ISNUMBER(D98),MOD(D98,1),IFERROR(INDEX('القوائم'!$B$1:$B$288,MATCH(TRIM(D98),'القوائم'!$A$1:$A$288,0)),IFERROR(MOD(TIMEVALUE(D98),1),""))))</f>
        <v/>
      </c>
      <c r="M98">
        <f>M94</f>
        <v/>
      </c>
      <c r="Q98">
        <f>IF(N(G104)&gt;0,1,0)</f>
        <v/>
      </c>
    </row>
    <row r="99">
      <c r="A99" s="20">
        <f>IF(9&lt;=NW,SAT1+60,"")</f>
        <v/>
      </c>
      <c r="B99" s="21">
        <f>IF(A99="","",CHOOSE(WEEKDAY(A99,1),"الأحد","الاثنين","الثلاثاء","الأربعاء","الخميس","الجمعة","السبت"))</f>
        <v/>
      </c>
      <c r="C99" s="22" t="n"/>
      <c r="D99" s="22" t="n"/>
      <c r="E99" s="23">
        <f>IF(OR(M99=0,K99="",L99=""),"",MOD(L99-K99,1))</f>
        <v/>
      </c>
      <c r="F99" s="23">
        <f>IF(OR(E99="",M99=0),"",IF(WEEKDAY(A99,1)=6,E99,MIN(E99,MAX(0,MIN(IF(L99&lt;K99,L99+1,L99),OMR_OT_AT)-K99))))</f>
        <v/>
      </c>
      <c r="G99" s="23">
        <f>IF(OR(E99="",M99=0),"",MAX(0,E99-F99))</f>
        <v/>
      </c>
      <c r="H99" s="24">
        <f>IF(OR(E99="",M99=0),"",ROUND((F99*$N$94+G99*$O$94)*24,3))</f>
        <v/>
      </c>
      <c r="I99" s="22" t="n"/>
      <c r="K99" s="25">
        <f>IF(OR(M99=0,C99=""),"",IF(ISNUMBER(C99),MOD(C99,1),IFERROR(INDEX('القوائم'!$B$1:$B$288,MATCH(TRIM(C99),'القوائم'!$A$1:$A$288,0)),IFERROR(MOD(TIMEVALUE(C99),1),""))))</f>
        <v/>
      </c>
      <c r="L99" s="25">
        <f>IF(OR(M99=0,D99=""),"",IF(ISNUMBER(D99),MOD(D99,1),IFERROR(INDEX('القوائم'!$B$1:$B$288,MATCH(TRIM(D99),'القوائم'!$A$1:$A$288,0)),IFERROR(MOD(TIMEVALUE(D99),1),""))))</f>
        <v/>
      </c>
      <c r="M99">
        <f>M94</f>
        <v/>
      </c>
      <c r="Q99">
        <f>IF(N(G104)&gt;0,1,0)</f>
        <v/>
      </c>
    </row>
    <row r="100">
      <c r="A100" s="20">
        <f>IF(9&lt;=NW,SAT1+61,"")</f>
        <v/>
      </c>
      <c r="B100" s="21">
        <f>IF(A100="","",CHOOSE(WEEKDAY(A100,1),"الأحد","الاثنين","الثلاثاء","الأربعاء","الخميس","الجمعة","السبت"))</f>
        <v/>
      </c>
      <c r="C100" s="22" t="n"/>
      <c r="D100" s="22" t="n"/>
      <c r="E100" s="23">
        <f>IF(OR(M100=0,K100="",L100=""),"",MOD(L100-K100,1))</f>
        <v/>
      </c>
      <c r="F100" s="23">
        <f>IF(OR(E100="",M100=0),"",IF(WEEKDAY(A100,1)=6,E100,MIN(E100,MAX(0,MIN(IF(L100&lt;K100,L100+1,L100),OMR_OT_AT)-K100))))</f>
        <v/>
      </c>
      <c r="G100" s="23">
        <f>IF(OR(E100="",M100=0),"",MAX(0,E100-F100))</f>
        <v/>
      </c>
      <c r="H100" s="24">
        <f>IF(OR(E100="",M100=0),"",ROUND((F100*$N$94+G100*$O$94)*24,3))</f>
        <v/>
      </c>
      <c r="I100" s="22" t="n"/>
      <c r="K100" s="25">
        <f>IF(OR(M100=0,C100=""),"",IF(ISNUMBER(C100),MOD(C100,1),IFERROR(INDEX('القوائم'!$B$1:$B$288,MATCH(TRIM(C100),'القوائم'!$A$1:$A$288,0)),IFERROR(MOD(TIMEVALUE(C100),1),""))))</f>
        <v/>
      </c>
      <c r="L100" s="25">
        <f>IF(OR(M100=0,D100=""),"",IF(ISNUMBER(D100),MOD(D100,1),IFERROR(INDEX('القوائم'!$B$1:$B$288,MATCH(TRIM(D100),'القوائم'!$A$1:$A$288,0)),IFERROR(MOD(TIMEVALUE(D100),1),""))))</f>
        <v/>
      </c>
      <c r="M100">
        <f>M94</f>
        <v/>
      </c>
      <c r="Q100">
        <f>IF(N(G104)&gt;0,1,0)</f>
        <v/>
      </c>
    </row>
    <row r="101">
      <c r="A101" s="26">
        <f>IF(9&lt;=NW,SAT1+62,"")</f>
        <v/>
      </c>
      <c r="B101" s="27">
        <f>IF(A101="","",CHOOSE(WEEKDAY(A101,1),"الأحد","الاثنين","الثلاثاء","الأربعاء","الخميس","الجمعة","السبت"))</f>
        <v/>
      </c>
      <c r="C101" s="22" t="n"/>
      <c r="D101" s="22" t="n"/>
      <c r="E101" s="23">
        <f>IF(OR(M101=0,K101="",L101=""),"",MOD(L101-K101,1))</f>
        <v/>
      </c>
      <c r="F101" s="23">
        <f>IF(OR(E101="",M101=0),"",IF(WEEKDAY(A101,1)=6,E101,MIN(E101,MAX(0,MIN(IF(L101&lt;K101,L101+1,L101),OMR_OT_AT)-K101))))</f>
        <v/>
      </c>
      <c r="G101" s="23">
        <f>IF(OR(E101="",M101=0),"",MAX(0,E101-F101))</f>
        <v/>
      </c>
      <c r="H101" s="24">
        <f>IF(OR(E101="",M101=0),"",ROUND((F101*$N$94+G101*$O$94)*24,3))</f>
        <v/>
      </c>
      <c r="I101" s="22" t="n"/>
      <c r="K101" s="25">
        <f>IF(OR(M101=0,C101=""),"",IF(ISNUMBER(C101),MOD(C101,1),IFERROR(INDEX('القوائم'!$B$1:$B$288,MATCH(TRIM(C101),'القوائم'!$A$1:$A$288,0)),IFERROR(MOD(TIMEVALUE(C101),1),""))))</f>
        <v/>
      </c>
      <c r="L101" s="25">
        <f>IF(OR(M101=0,D101=""),"",IF(ISNUMBER(D101),MOD(D101,1),IFERROR(INDEX('القوائم'!$B$1:$B$288,MATCH(TRIM(D101),'القوائم'!$A$1:$A$288,0)),IFERROR(MOD(TIMEVALUE(D101),1),""))))</f>
        <v/>
      </c>
      <c r="M101">
        <f>M94</f>
        <v/>
      </c>
      <c r="Q101">
        <f>IF(N(G104)&gt;0,1,0)</f>
        <v/>
      </c>
    </row>
    <row r="102">
      <c r="A102" s="28">
        <f>IF(M94=1,"مجموع أيام الأسبوع 9","")</f>
        <v/>
      </c>
      <c r="B102" s="28" t="n"/>
      <c r="C102" s="28" t="n"/>
      <c r="D102" s="28" t="n"/>
      <c r="E102" s="29">
        <f>IF(M94=1,SUM(E95:E101),"")</f>
        <v/>
      </c>
      <c r="F102" s="29">
        <f>IF(M94=1,SUM(F95:F101),"")</f>
        <v/>
      </c>
      <c r="G102" s="29">
        <f>IF(M94=1,SUM(G95:G101),"")</f>
        <v/>
      </c>
      <c r="H102" s="30">
        <f>IF(M94=1,SUM(H95:H101),"")</f>
        <v/>
      </c>
      <c r="I102" s="28" t="n"/>
    </row>
    <row r="103" ht="32" customHeight="1">
      <c r="A103" s="28">
        <f>IF(M94=1,"ساعات تحميل الجبسمبورد بهالأسبوع (رقم: 2 أو 1.5) ←","")</f>
        <v/>
      </c>
      <c r="E103" s="31" t="n"/>
      <c r="F103" s="32">
        <f>IF(M94=1,"المستحق النهائي للأسبوع (دينار) ←","")</f>
        <v/>
      </c>
      <c r="H103" s="33">
        <f>IF(M94=1,IF(ROUND_MODE="للأعلى",CEILING(ROUND((N(H102)+N(E103)*($P$94-$N$94)),3),0.25),ROUND((N(H102)+N(E103)*($P$94-$N$94))*4,0)/4),"")</f>
        <v/>
      </c>
      <c r="I103" s="34">
        <f>IF(M94=1,"قبل الجبر: "&amp;TEXT(N(H102)+N(E103)*($P$94-$N$94),"0.000"),"")</f>
        <v/>
      </c>
    </row>
    <row r="104" ht="26" customHeight="1">
      <c r="A104" s="28">
        <f>IF(M94=1,"إكرامية الأسبوع (دينار) ←","")</f>
        <v/>
      </c>
      <c r="D104" s="35" t="n"/>
      <c r="E104" s="28">
        <f>IF(M94=1,"المدفوع يوم الجمعة (دينار) ←","")</f>
        <v/>
      </c>
      <c r="G104" s="35" t="n"/>
      <c r="H104" s="36">
        <f>IF(M94=1,IF(N(G104)&gt;0,"✔ انقبض — الأسبوع مقفول","⏳ لسا ما انقبض"),"")</f>
        <v/>
      </c>
    </row>
    <row r="105" ht="26" customHeight="1">
      <c r="A105" s="18">
        <f>IF(10&lt;=NW,"الأسبوع 10 · السبت "&amp;TEXT(DAY(SAT1+63),"00")&amp;"/"&amp;TEXT(MONTH(SAT1+63),"00")&amp;" ← الجمعة "&amp;TEXT(DAY(SAT1+69),"00")&amp;"/"&amp;TEXT(MONTH(SAT1+69),"00")&amp;" (يوم القبض)"&amp;IF(10&lt;START_O,"   — قبل أسبوع البداية (ما بينحسب)",""),"ما في أسبوع 10 هالسنة")</f>
        <v/>
      </c>
      <c r="L105" s="19">
        <f>IF(10&lt;=NW,SAT1+69,"")</f>
        <v/>
      </c>
      <c r="M105">
        <f>IF(AND(10&lt;=NW,10&gt;=START_O),1,0)</f>
        <v/>
      </c>
      <c r="N105">
        <f>IFERROR(INDEX(RT_OMR,MATCH(L105,RT_K,1)),INDEX(RT_OMR,1))</f>
        <v/>
      </c>
      <c r="O105">
        <f>IFERROR(INDEX(RT_OT,MATCH(L105,RT_K,1)),INDEX(RT_OT,1))</f>
        <v/>
      </c>
      <c r="P105">
        <f>IFERROR(INDEX(RT_GYP,MATCH(L105,RT_K,1)),INDEX(RT_GYP,1))</f>
        <v/>
      </c>
    </row>
    <row r="106">
      <c r="A106" s="20">
        <f>IF(10&lt;=NW,SAT1+63,"")</f>
        <v/>
      </c>
      <c r="B106" s="21">
        <f>IF(A106="","",CHOOSE(WEEKDAY(A106,1),"الأحد","الاثنين","الثلاثاء","الأربعاء","الخميس","الجمعة","السبت"))</f>
        <v/>
      </c>
      <c r="C106" s="22" t="n"/>
      <c r="D106" s="22" t="n"/>
      <c r="E106" s="23">
        <f>IF(OR(M106=0,K106="",L106=""),"",MOD(L106-K106,1))</f>
        <v/>
      </c>
      <c r="F106" s="23">
        <f>IF(OR(E106="",M106=0),"",IF(WEEKDAY(A106,1)=6,E106,MIN(E106,MAX(0,MIN(IF(L106&lt;K106,L106+1,L106),OMR_OT_AT)-K106))))</f>
        <v/>
      </c>
      <c r="G106" s="23">
        <f>IF(OR(E106="",M106=0),"",MAX(0,E106-F106))</f>
        <v/>
      </c>
      <c r="H106" s="24">
        <f>IF(OR(E106="",M106=0),"",ROUND((F106*$N$105+G106*$O$105)*24,3))</f>
        <v/>
      </c>
      <c r="I106" s="22" t="n"/>
      <c r="K106" s="25">
        <f>IF(OR(M106=0,C106=""),"",IF(ISNUMBER(C106),MOD(C106,1),IFERROR(INDEX('القوائم'!$B$1:$B$288,MATCH(TRIM(C106),'القوائم'!$A$1:$A$288,0)),IFERROR(MOD(TIMEVALUE(C106),1),""))))</f>
        <v/>
      </c>
      <c r="L106" s="25">
        <f>IF(OR(M106=0,D106=""),"",IF(ISNUMBER(D106),MOD(D106,1),IFERROR(INDEX('القوائم'!$B$1:$B$288,MATCH(TRIM(D106),'القوائم'!$A$1:$A$288,0)),IFERROR(MOD(TIMEVALUE(D106),1),""))))</f>
        <v/>
      </c>
      <c r="M106">
        <f>M105</f>
        <v/>
      </c>
      <c r="Q106">
        <f>IF(N(G115)&gt;0,1,0)</f>
        <v/>
      </c>
    </row>
    <row r="107">
      <c r="A107" s="20">
        <f>IF(10&lt;=NW,SAT1+64,"")</f>
        <v/>
      </c>
      <c r="B107" s="21">
        <f>IF(A107="","",CHOOSE(WEEKDAY(A107,1),"الأحد","الاثنين","الثلاثاء","الأربعاء","الخميس","الجمعة","السبت"))</f>
        <v/>
      </c>
      <c r="C107" s="22" t="n"/>
      <c r="D107" s="22" t="n"/>
      <c r="E107" s="23">
        <f>IF(OR(M107=0,K107="",L107=""),"",MOD(L107-K107,1))</f>
        <v/>
      </c>
      <c r="F107" s="23">
        <f>IF(OR(E107="",M107=0),"",IF(WEEKDAY(A107,1)=6,E107,MIN(E107,MAX(0,MIN(IF(L107&lt;K107,L107+1,L107),OMR_OT_AT)-K107))))</f>
        <v/>
      </c>
      <c r="G107" s="23">
        <f>IF(OR(E107="",M107=0),"",MAX(0,E107-F107))</f>
        <v/>
      </c>
      <c r="H107" s="24">
        <f>IF(OR(E107="",M107=0),"",ROUND((F107*$N$105+G107*$O$105)*24,3))</f>
        <v/>
      </c>
      <c r="I107" s="22" t="n"/>
      <c r="K107" s="25">
        <f>IF(OR(M107=0,C107=""),"",IF(ISNUMBER(C107),MOD(C107,1),IFERROR(INDEX('القوائم'!$B$1:$B$288,MATCH(TRIM(C107),'القوائم'!$A$1:$A$288,0)),IFERROR(MOD(TIMEVALUE(C107),1),""))))</f>
        <v/>
      </c>
      <c r="L107" s="25">
        <f>IF(OR(M107=0,D107=""),"",IF(ISNUMBER(D107),MOD(D107,1),IFERROR(INDEX('القوائم'!$B$1:$B$288,MATCH(TRIM(D107),'القوائم'!$A$1:$A$288,0)),IFERROR(MOD(TIMEVALUE(D107),1),""))))</f>
        <v/>
      </c>
      <c r="M107">
        <f>M105</f>
        <v/>
      </c>
      <c r="Q107">
        <f>IF(N(G115)&gt;0,1,0)</f>
        <v/>
      </c>
    </row>
    <row r="108">
      <c r="A108" s="20">
        <f>IF(10&lt;=NW,SAT1+65,"")</f>
        <v/>
      </c>
      <c r="B108" s="21">
        <f>IF(A108="","",CHOOSE(WEEKDAY(A108,1),"الأحد","الاثنين","الثلاثاء","الأربعاء","الخميس","الجمعة","السبت"))</f>
        <v/>
      </c>
      <c r="C108" s="22" t="n"/>
      <c r="D108" s="22" t="n"/>
      <c r="E108" s="23">
        <f>IF(OR(M108=0,K108="",L108=""),"",MOD(L108-K108,1))</f>
        <v/>
      </c>
      <c r="F108" s="23">
        <f>IF(OR(E108="",M108=0),"",IF(WEEKDAY(A108,1)=6,E108,MIN(E108,MAX(0,MIN(IF(L108&lt;K108,L108+1,L108),OMR_OT_AT)-K108))))</f>
        <v/>
      </c>
      <c r="G108" s="23">
        <f>IF(OR(E108="",M108=0),"",MAX(0,E108-F108))</f>
        <v/>
      </c>
      <c r="H108" s="24">
        <f>IF(OR(E108="",M108=0),"",ROUND((F108*$N$105+G108*$O$105)*24,3))</f>
        <v/>
      </c>
      <c r="I108" s="22" t="n"/>
      <c r="K108" s="25">
        <f>IF(OR(M108=0,C108=""),"",IF(ISNUMBER(C108),MOD(C108,1),IFERROR(INDEX('القوائم'!$B$1:$B$288,MATCH(TRIM(C108),'القوائم'!$A$1:$A$288,0)),IFERROR(MOD(TIMEVALUE(C108),1),""))))</f>
        <v/>
      </c>
      <c r="L108" s="25">
        <f>IF(OR(M108=0,D108=""),"",IF(ISNUMBER(D108),MOD(D108,1),IFERROR(INDEX('القوائم'!$B$1:$B$288,MATCH(TRIM(D108),'القوائم'!$A$1:$A$288,0)),IFERROR(MOD(TIMEVALUE(D108),1),""))))</f>
        <v/>
      </c>
      <c r="M108">
        <f>M105</f>
        <v/>
      </c>
      <c r="Q108">
        <f>IF(N(G115)&gt;0,1,0)</f>
        <v/>
      </c>
    </row>
    <row r="109">
      <c r="A109" s="20">
        <f>IF(10&lt;=NW,SAT1+66,"")</f>
        <v/>
      </c>
      <c r="B109" s="21">
        <f>IF(A109="","",CHOOSE(WEEKDAY(A109,1),"الأحد","الاثنين","الثلاثاء","الأربعاء","الخميس","الجمعة","السبت"))</f>
        <v/>
      </c>
      <c r="C109" s="22" t="n"/>
      <c r="D109" s="22" t="n"/>
      <c r="E109" s="23">
        <f>IF(OR(M109=0,K109="",L109=""),"",MOD(L109-K109,1))</f>
        <v/>
      </c>
      <c r="F109" s="23">
        <f>IF(OR(E109="",M109=0),"",IF(WEEKDAY(A109,1)=6,E109,MIN(E109,MAX(0,MIN(IF(L109&lt;K109,L109+1,L109),OMR_OT_AT)-K109))))</f>
        <v/>
      </c>
      <c r="G109" s="23">
        <f>IF(OR(E109="",M109=0),"",MAX(0,E109-F109))</f>
        <v/>
      </c>
      <c r="H109" s="24">
        <f>IF(OR(E109="",M109=0),"",ROUND((F109*$N$105+G109*$O$105)*24,3))</f>
        <v/>
      </c>
      <c r="I109" s="22" t="n"/>
      <c r="K109" s="25">
        <f>IF(OR(M109=0,C109=""),"",IF(ISNUMBER(C109),MOD(C109,1),IFERROR(INDEX('القوائم'!$B$1:$B$288,MATCH(TRIM(C109),'القوائم'!$A$1:$A$288,0)),IFERROR(MOD(TIMEVALUE(C109),1),""))))</f>
        <v/>
      </c>
      <c r="L109" s="25">
        <f>IF(OR(M109=0,D109=""),"",IF(ISNUMBER(D109),MOD(D109,1),IFERROR(INDEX('القوائم'!$B$1:$B$288,MATCH(TRIM(D109),'القوائم'!$A$1:$A$288,0)),IFERROR(MOD(TIMEVALUE(D109),1),""))))</f>
        <v/>
      </c>
      <c r="M109">
        <f>M105</f>
        <v/>
      </c>
      <c r="Q109">
        <f>IF(N(G115)&gt;0,1,0)</f>
        <v/>
      </c>
    </row>
    <row r="110">
      <c r="A110" s="20">
        <f>IF(10&lt;=NW,SAT1+67,"")</f>
        <v/>
      </c>
      <c r="B110" s="21">
        <f>IF(A110="","",CHOOSE(WEEKDAY(A110,1),"الأحد","الاثنين","الثلاثاء","الأربعاء","الخميس","الجمعة","السبت"))</f>
        <v/>
      </c>
      <c r="C110" s="22" t="n"/>
      <c r="D110" s="22" t="n"/>
      <c r="E110" s="23">
        <f>IF(OR(M110=0,K110="",L110=""),"",MOD(L110-K110,1))</f>
        <v/>
      </c>
      <c r="F110" s="23">
        <f>IF(OR(E110="",M110=0),"",IF(WEEKDAY(A110,1)=6,E110,MIN(E110,MAX(0,MIN(IF(L110&lt;K110,L110+1,L110),OMR_OT_AT)-K110))))</f>
        <v/>
      </c>
      <c r="G110" s="23">
        <f>IF(OR(E110="",M110=0),"",MAX(0,E110-F110))</f>
        <v/>
      </c>
      <c r="H110" s="24">
        <f>IF(OR(E110="",M110=0),"",ROUND((F110*$N$105+G110*$O$105)*24,3))</f>
        <v/>
      </c>
      <c r="I110" s="22" t="n"/>
      <c r="K110" s="25">
        <f>IF(OR(M110=0,C110=""),"",IF(ISNUMBER(C110),MOD(C110,1),IFERROR(INDEX('القوائم'!$B$1:$B$288,MATCH(TRIM(C110),'القوائم'!$A$1:$A$288,0)),IFERROR(MOD(TIMEVALUE(C110),1),""))))</f>
        <v/>
      </c>
      <c r="L110" s="25">
        <f>IF(OR(M110=0,D110=""),"",IF(ISNUMBER(D110),MOD(D110,1),IFERROR(INDEX('القوائم'!$B$1:$B$288,MATCH(TRIM(D110),'القوائم'!$A$1:$A$288,0)),IFERROR(MOD(TIMEVALUE(D110),1),""))))</f>
        <v/>
      </c>
      <c r="M110">
        <f>M105</f>
        <v/>
      </c>
      <c r="Q110">
        <f>IF(N(G115)&gt;0,1,0)</f>
        <v/>
      </c>
    </row>
    <row r="111">
      <c r="A111" s="20">
        <f>IF(10&lt;=NW,SAT1+68,"")</f>
        <v/>
      </c>
      <c r="B111" s="21">
        <f>IF(A111="","",CHOOSE(WEEKDAY(A111,1),"الأحد","الاثنين","الثلاثاء","الأربعاء","الخميس","الجمعة","السبت"))</f>
        <v/>
      </c>
      <c r="C111" s="22" t="n"/>
      <c r="D111" s="22" t="n"/>
      <c r="E111" s="23">
        <f>IF(OR(M111=0,K111="",L111=""),"",MOD(L111-K111,1))</f>
        <v/>
      </c>
      <c r="F111" s="23">
        <f>IF(OR(E111="",M111=0),"",IF(WEEKDAY(A111,1)=6,E111,MIN(E111,MAX(0,MIN(IF(L111&lt;K111,L111+1,L111),OMR_OT_AT)-K111))))</f>
        <v/>
      </c>
      <c r="G111" s="23">
        <f>IF(OR(E111="",M111=0),"",MAX(0,E111-F111))</f>
        <v/>
      </c>
      <c r="H111" s="24">
        <f>IF(OR(E111="",M111=0),"",ROUND((F111*$N$105+G111*$O$105)*24,3))</f>
        <v/>
      </c>
      <c r="I111" s="22" t="n"/>
      <c r="K111" s="25">
        <f>IF(OR(M111=0,C111=""),"",IF(ISNUMBER(C111),MOD(C111,1),IFERROR(INDEX('القوائم'!$B$1:$B$288,MATCH(TRIM(C111),'القوائم'!$A$1:$A$288,0)),IFERROR(MOD(TIMEVALUE(C111),1),""))))</f>
        <v/>
      </c>
      <c r="L111" s="25">
        <f>IF(OR(M111=0,D111=""),"",IF(ISNUMBER(D111),MOD(D111,1),IFERROR(INDEX('القوائم'!$B$1:$B$288,MATCH(TRIM(D111),'القوائم'!$A$1:$A$288,0)),IFERROR(MOD(TIMEVALUE(D111),1),""))))</f>
        <v/>
      </c>
      <c r="M111">
        <f>M105</f>
        <v/>
      </c>
      <c r="Q111">
        <f>IF(N(G115)&gt;0,1,0)</f>
        <v/>
      </c>
    </row>
    <row r="112">
      <c r="A112" s="26">
        <f>IF(10&lt;=NW,SAT1+69,"")</f>
        <v/>
      </c>
      <c r="B112" s="27">
        <f>IF(A112="","",CHOOSE(WEEKDAY(A112,1),"الأحد","الاثنين","الثلاثاء","الأربعاء","الخميس","الجمعة","السبت"))</f>
        <v/>
      </c>
      <c r="C112" s="22" t="n"/>
      <c r="D112" s="22" t="n"/>
      <c r="E112" s="23">
        <f>IF(OR(M112=0,K112="",L112=""),"",MOD(L112-K112,1))</f>
        <v/>
      </c>
      <c r="F112" s="23">
        <f>IF(OR(E112="",M112=0),"",IF(WEEKDAY(A112,1)=6,E112,MIN(E112,MAX(0,MIN(IF(L112&lt;K112,L112+1,L112),OMR_OT_AT)-K112))))</f>
        <v/>
      </c>
      <c r="G112" s="23">
        <f>IF(OR(E112="",M112=0),"",MAX(0,E112-F112))</f>
        <v/>
      </c>
      <c r="H112" s="24">
        <f>IF(OR(E112="",M112=0),"",ROUND((F112*$N$105+G112*$O$105)*24,3))</f>
        <v/>
      </c>
      <c r="I112" s="22" t="n"/>
      <c r="K112" s="25">
        <f>IF(OR(M112=0,C112=""),"",IF(ISNUMBER(C112),MOD(C112,1),IFERROR(INDEX('القوائم'!$B$1:$B$288,MATCH(TRIM(C112),'القوائم'!$A$1:$A$288,0)),IFERROR(MOD(TIMEVALUE(C112),1),""))))</f>
        <v/>
      </c>
      <c r="L112" s="25">
        <f>IF(OR(M112=0,D112=""),"",IF(ISNUMBER(D112),MOD(D112,1),IFERROR(INDEX('القوائم'!$B$1:$B$288,MATCH(TRIM(D112),'القوائم'!$A$1:$A$288,0)),IFERROR(MOD(TIMEVALUE(D112),1),""))))</f>
        <v/>
      </c>
      <c r="M112">
        <f>M105</f>
        <v/>
      </c>
      <c r="Q112">
        <f>IF(N(G115)&gt;0,1,0)</f>
        <v/>
      </c>
    </row>
    <row r="113">
      <c r="A113" s="28">
        <f>IF(M105=1,"مجموع أيام الأسبوع 10","")</f>
        <v/>
      </c>
      <c r="B113" s="28" t="n"/>
      <c r="C113" s="28" t="n"/>
      <c r="D113" s="28" t="n"/>
      <c r="E113" s="29">
        <f>IF(M105=1,SUM(E106:E112),"")</f>
        <v/>
      </c>
      <c r="F113" s="29">
        <f>IF(M105=1,SUM(F106:F112),"")</f>
        <v/>
      </c>
      <c r="G113" s="29">
        <f>IF(M105=1,SUM(G106:G112),"")</f>
        <v/>
      </c>
      <c r="H113" s="30">
        <f>IF(M105=1,SUM(H106:H112),"")</f>
        <v/>
      </c>
      <c r="I113" s="28" t="n"/>
    </row>
    <row r="114" ht="32" customHeight="1">
      <c r="A114" s="28">
        <f>IF(M105=1,"ساعات تحميل الجبسمبورد بهالأسبوع (رقم: 2 أو 1.5) ←","")</f>
        <v/>
      </c>
      <c r="E114" s="31" t="n"/>
      <c r="F114" s="32">
        <f>IF(M105=1,"المستحق النهائي للأسبوع (دينار) ←","")</f>
        <v/>
      </c>
      <c r="H114" s="33">
        <f>IF(M105=1,IF(ROUND_MODE="للأعلى",CEILING(ROUND((N(H113)+N(E114)*($P$105-$N$105)),3),0.25),ROUND((N(H113)+N(E114)*($P$105-$N$105))*4,0)/4),"")</f>
        <v/>
      </c>
      <c r="I114" s="34">
        <f>IF(M105=1,"قبل الجبر: "&amp;TEXT(N(H113)+N(E114)*($P$105-$N$105),"0.000"),"")</f>
        <v/>
      </c>
    </row>
    <row r="115" ht="26" customHeight="1">
      <c r="A115" s="28">
        <f>IF(M105=1,"إكرامية الأسبوع (دينار) ←","")</f>
        <v/>
      </c>
      <c r="D115" s="35" t="n"/>
      <c r="E115" s="28">
        <f>IF(M105=1,"المدفوع يوم الجمعة (دينار) ←","")</f>
        <v/>
      </c>
      <c r="G115" s="35" t="n"/>
      <c r="H115" s="36">
        <f>IF(M105=1,IF(N(G115)&gt;0,"✔ انقبض — الأسبوع مقفول","⏳ لسا ما انقبض"),"")</f>
        <v/>
      </c>
    </row>
    <row r="116" ht="26" customHeight="1">
      <c r="A116" s="18">
        <f>IF(11&lt;=NW,"الأسبوع 11 · السبت "&amp;TEXT(DAY(SAT1+70),"00")&amp;"/"&amp;TEXT(MONTH(SAT1+70),"00")&amp;" ← الجمعة "&amp;TEXT(DAY(SAT1+76),"00")&amp;"/"&amp;TEXT(MONTH(SAT1+76),"00")&amp;" (يوم القبض)"&amp;IF(11&lt;START_O,"   — قبل أسبوع البداية (ما بينحسب)",""),"ما في أسبوع 11 هالسنة")</f>
        <v/>
      </c>
      <c r="L116" s="19">
        <f>IF(11&lt;=NW,SAT1+76,"")</f>
        <v/>
      </c>
      <c r="M116">
        <f>IF(AND(11&lt;=NW,11&gt;=START_O),1,0)</f>
        <v/>
      </c>
      <c r="N116">
        <f>IFERROR(INDEX(RT_OMR,MATCH(L116,RT_K,1)),INDEX(RT_OMR,1))</f>
        <v/>
      </c>
      <c r="O116">
        <f>IFERROR(INDEX(RT_OT,MATCH(L116,RT_K,1)),INDEX(RT_OT,1))</f>
        <v/>
      </c>
      <c r="P116">
        <f>IFERROR(INDEX(RT_GYP,MATCH(L116,RT_K,1)),INDEX(RT_GYP,1))</f>
        <v/>
      </c>
    </row>
    <row r="117">
      <c r="A117" s="20">
        <f>IF(11&lt;=NW,SAT1+70,"")</f>
        <v/>
      </c>
      <c r="B117" s="21">
        <f>IF(A117="","",CHOOSE(WEEKDAY(A117,1),"الأحد","الاثنين","الثلاثاء","الأربعاء","الخميس","الجمعة","السبت"))</f>
        <v/>
      </c>
      <c r="C117" s="22" t="n"/>
      <c r="D117" s="22" t="n"/>
      <c r="E117" s="23">
        <f>IF(OR(M117=0,K117="",L117=""),"",MOD(L117-K117,1))</f>
        <v/>
      </c>
      <c r="F117" s="23">
        <f>IF(OR(E117="",M117=0),"",IF(WEEKDAY(A117,1)=6,E117,MIN(E117,MAX(0,MIN(IF(L117&lt;K117,L117+1,L117),OMR_OT_AT)-K117))))</f>
        <v/>
      </c>
      <c r="G117" s="23">
        <f>IF(OR(E117="",M117=0),"",MAX(0,E117-F117))</f>
        <v/>
      </c>
      <c r="H117" s="24">
        <f>IF(OR(E117="",M117=0),"",ROUND((F117*$N$116+G117*$O$116)*24,3))</f>
        <v/>
      </c>
      <c r="I117" s="22" t="n"/>
      <c r="K117" s="25">
        <f>IF(OR(M117=0,C117=""),"",IF(ISNUMBER(C117),MOD(C117,1),IFERROR(INDEX('القوائم'!$B$1:$B$288,MATCH(TRIM(C117),'القوائم'!$A$1:$A$288,0)),IFERROR(MOD(TIMEVALUE(C117),1),""))))</f>
        <v/>
      </c>
      <c r="L117" s="25">
        <f>IF(OR(M117=0,D117=""),"",IF(ISNUMBER(D117),MOD(D117,1),IFERROR(INDEX('القوائم'!$B$1:$B$288,MATCH(TRIM(D117),'القوائم'!$A$1:$A$288,0)),IFERROR(MOD(TIMEVALUE(D117),1),""))))</f>
        <v/>
      </c>
      <c r="M117">
        <f>M116</f>
        <v/>
      </c>
      <c r="Q117">
        <f>IF(N(G126)&gt;0,1,0)</f>
        <v/>
      </c>
    </row>
    <row r="118">
      <c r="A118" s="20">
        <f>IF(11&lt;=NW,SAT1+71,"")</f>
        <v/>
      </c>
      <c r="B118" s="21">
        <f>IF(A118="","",CHOOSE(WEEKDAY(A118,1),"الأحد","الاثنين","الثلاثاء","الأربعاء","الخميس","الجمعة","السبت"))</f>
        <v/>
      </c>
      <c r="C118" s="22" t="n"/>
      <c r="D118" s="22" t="n"/>
      <c r="E118" s="23">
        <f>IF(OR(M118=0,K118="",L118=""),"",MOD(L118-K118,1))</f>
        <v/>
      </c>
      <c r="F118" s="23">
        <f>IF(OR(E118="",M118=0),"",IF(WEEKDAY(A118,1)=6,E118,MIN(E118,MAX(0,MIN(IF(L118&lt;K118,L118+1,L118),OMR_OT_AT)-K118))))</f>
        <v/>
      </c>
      <c r="G118" s="23">
        <f>IF(OR(E118="",M118=0),"",MAX(0,E118-F118))</f>
        <v/>
      </c>
      <c r="H118" s="24">
        <f>IF(OR(E118="",M118=0),"",ROUND((F118*$N$116+G118*$O$116)*24,3))</f>
        <v/>
      </c>
      <c r="I118" s="22" t="n"/>
      <c r="K118" s="25">
        <f>IF(OR(M118=0,C118=""),"",IF(ISNUMBER(C118),MOD(C118,1),IFERROR(INDEX('القوائم'!$B$1:$B$288,MATCH(TRIM(C118),'القوائم'!$A$1:$A$288,0)),IFERROR(MOD(TIMEVALUE(C118),1),""))))</f>
        <v/>
      </c>
      <c r="L118" s="25">
        <f>IF(OR(M118=0,D118=""),"",IF(ISNUMBER(D118),MOD(D118,1),IFERROR(INDEX('القوائم'!$B$1:$B$288,MATCH(TRIM(D118),'القوائم'!$A$1:$A$288,0)),IFERROR(MOD(TIMEVALUE(D118),1),""))))</f>
        <v/>
      </c>
      <c r="M118">
        <f>M116</f>
        <v/>
      </c>
      <c r="Q118">
        <f>IF(N(G126)&gt;0,1,0)</f>
        <v/>
      </c>
    </row>
    <row r="119">
      <c r="A119" s="20">
        <f>IF(11&lt;=NW,SAT1+72,"")</f>
        <v/>
      </c>
      <c r="B119" s="21">
        <f>IF(A119="","",CHOOSE(WEEKDAY(A119,1),"الأحد","الاثنين","الثلاثاء","الأربعاء","الخميس","الجمعة","السبت"))</f>
        <v/>
      </c>
      <c r="C119" s="22" t="n"/>
      <c r="D119" s="22" t="n"/>
      <c r="E119" s="23">
        <f>IF(OR(M119=0,K119="",L119=""),"",MOD(L119-K119,1))</f>
        <v/>
      </c>
      <c r="F119" s="23">
        <f>IF(OR(E119="",M119=0),"",IF(WEEKDAY(A119,1)=6,E119,MIN(E119,MAX(0,MIN(IF(L119&lt;K119,L119+1,L119),OMR_OT_AT)-K119))))</f>
        <v/>
      </c>
      <c r="G119" s="23">
        <f>IF(OR(E119="",M119=0),"",MAX(0,E119-F119))</f>
        <v/>
      </c>
      <c r="H119" s="24">
        <f>IF(OR(E119="",M119=0),"",ROUND((F119*$N$116+G119*$O$116)*24,3))</f>
        <v/>
      </c>
      <c r="I119" s="22" t="n"/>
      <c r="K119" s="25">
        <f>IF(OR(M119=0,C119=""),"",IF(ISNUMBER(C119),MOD(C119,1),IFERROR(INDEX('القوائم'!$B$1:$B$288,MATCH(TRIM(C119),'القوائم'!$A$1:$A$288,0)),IFERROR(MOD(TIMEVALUE(C119),1),""))))</f>
        <v/>
      </c>
      <c r="L119" s="25">
        <f>IF(OR(M119=0,D119=""),"",IF(ISNUMBER(D119),MOD(D119,1),IFERROR(INDEX('القوائم'!$B$1:$B$288,MATCH(TRIM(D119),'القوائم'!$A$1:$A$288,0)),IFERROR(MOD(TIMEVALUE(D119),1),""))))</f>
        <v/>
      </c>
      <c r="M119">
        <f>M116</f>
        <v/>
      </c>
      <c r="Q119">
        <f>IF(N(G126)&gt;0,1,0)</f>
        <v/>
      </c>
    </row>
    <row r="120">
      <c r="A120" s="20">
        <f>IF(11&lt;=NW,SAT1+73,"")</f>
        <v/>
      </c>
      <c r="B120" s="21">
        <f>IF(A120="","",CHOOSE(WEEKDAY(A120,1),"الأحد","الاثنين","الثلاثاء","الأربعاء","الخميس","الجمعة","السبت"))</f>
        <v/>
      </c>
      <c r="C120" s="22" t="n"/>
      <c r="D120" s="22" t="n"/>
      <c r="E120" s="23">
        <f>IF(OR(M120=0,K120="",L120=""),"",MOD(L120-K120,1))</f>
        <v/>
      </c>
      <c r="F120" s="23">
        <f>IF(OR(E120="",M120=0),"",IF(WEEKDAY(A120,1)=6,E120,MIN(E120,MAX(0,MIN(IF(L120&lt;K120,L120+1,L120),OMR_OT_AT)-K120))))</f>
        <v/>
      </c>
      <c r="G120" s="23">
        <f>IF(OR(E120="",M120=0),"",MAX(0,E120-F120))</f>
        <v/>
      </c>
      <c r="H120" s="24">
        <f>IF(OR(E120="",M120=0),"",ROUND((F120*$N$116+G120*$O$116)*24,3))</f>
        <v/>
      </c>
      <c r="I120" s="22" t="n"/>
      <c r="K120" s="25">
        <f>IF(OR(M120=0,C120=""),"",IF(ISNUMBER(C120),MOD(C120,1),IFERROR(INDEX('القوائم'!$B$1:$B$288,MATCH(TRIM(C120),'القوائم'!$A$1:$A$288,0)),IFERROR(MOD(TIMEVALUE(C120),1),""))))</f>
        <v/>
      </c>
      <c r="L120" s="25">
        <f>IF(OR(M120=0,D120=""),"",IF(ISNUMBER(D120),MOD(D120,1),IFERROR(INDEX('القوائم'!$B$1:$B$288,MATCH(TRIM(D120),'القوائم'!$A$1:$A$288,0)),IFERROR(MOD(TIMEVALUE(D120),1),""))))</f>
        <v/>
      </c>
      <c r="M120">
        <f>M116</f>
        <v/>
      </c>
      <c r="Q120">
        <f>IF(N(G126)&gt;0,1,0)</f>
        <v/>
      </c>
    </row>
    <row r="121">
      <c r="A121" s="20">
        <f>IF(11&lt;=NW,SAT1+74,"")</f>
        <v/>
      </c>
      <c r="B121" s="21">
        <f>IF(A121="","",CHOOSE(WEEKDAY(A121,1),"الأحد","الاثنين","الثلاثاء","الأربعاء","الخميس","الجمعة","السبت"))</f>
        <v/>
      </c>
      <c r="C121" s="22" t="n"/>
      <c r="D121" s="22" t="n"/>
      <c r="E121" s="23">
        <f>IF(OR(M121=0,K121="",L121=""),"",MOD(L121-K121,1))</f>
        <v/>
      </c>
      <c r="F121" s="23">
        <f>IF(OR(E121="",M121=0),"",IF(WEEKDAY(A121,1)=6,E121,MIN(E121,MAX(0,MIN(IF(L121&lt;K121,L121+1,L121),OMR_OT_AT)-K121))))</f>
        <v/>
      </c>
      <c r="G121" s="23">
        <f>IF(OR(E121="",M121=0),"",MAX(0,E121-F121))</f>
        <v/>
      </c>
      <c r="H121" s="24">
        <f>IF(OR(E121="",M121=0),"",ROUND((F121*$N$116+G121*$O$116)*24,3))</f>
        <v/>
      </c>
      <c r="I121" s="22" t="n"/>
      <c r="K121" s="25">
        <f>IF(OR(M121=0,C121=""),"",IF(ISNUMBER(C121),MOD(C121,1),IFERROR(INDEX('القوائم'!$B$1:$B$288,MATCH(TRIM(C121),'القوائم'!$A$1:$A$288,0)),IFERROR(MOD(TIMEVALUE(C121),1),""))))</f>
        <v/>
      </c>
      <c r="L121" s="25">
        <f>IF(OR(M121=0,D121=""),"",IF(ISNUMBER(D121),MOD(D121,1),IFERROR(INDEX('القوائم'!$B$1:$B$288,MATCH(TRIM(D121),'القوائم'!$A$1:$A$288,0)),IFERROR(MOD(TIMEVALUE(D121),1),""))))</f>
        <v/>
      </c>
      <c r="M121">
        <f>M116</f>
        <v/>
      </c>
      <c r="Q121">
        <f>IF(N(G126)&gt;0,1,0)</f>
        <v/>
      </c>
    </row>
    <row r="122">
      <c r="A122" s="20">
        <f>IF(11&lt;=NW,SAT1+75,"")</f>
        <v/>
      </c>
      <c r="B122" s="21">
        <f>IF(A122="","",CHOOSE(WEEKDAY(A122,1),"الأحد","الاثنين","الثلاثاء","الأربعاء","الخميس","الجمعة","السبت"))</f>
        <v/>
      </c>
      <c r="C122" s="22" t="n"/>
      <c r="D122" s="22" t="n"/>
      <c r="E122" s="23">
        <f>IF(OR(M122=0,K122="",L122=""),"",MOD(L122-K122,1))</f>
        <v/>
      </c>
      <c r="F122" s="23">
        <f>IF(OR(E122="",M122=0),"",IF(WEEKDAY(A122,1)=6,E122,MIN(E122,MAX(0,MIN(IF(L122&lt;K122,L122+1,L122),OMR_OT_AT)-K122))))</f>
        <v/>
      </c>
      <c r="G122" s="23">
        <f>IF(OR(E122="",M122=0),"",MAX(0,E122-F122))</f>
        <v/>
      </c>
      <c r="H122" s="24">
        <f>IF(OR(E122="",M122=0),"",ROUND((F122*$N$116+G122*$O$116)*24,3))</f>
        <v/>
      </c>
      <c r="I122" s="22" t="n"/>
      <c r="K122" s="25">
        <f>IF(OR(M122=0,C122=""),"",IF(ISNUMBER(C122),MOD(C122,1),IFERROR(INDEX('القوائم'!$B$1:$B$288,MATCH(TRIM(C122),'القوائم'!$A$1:$A$288,0)),IFERROR(MOD(TIMEVALUE(C122),1),""))))</f>
        <v/>
      </c>
      <c r="L122" s="25">
        <f>IF(OR(M122=0,D122=""),"",IF(ISNUMBER(D122),MOD(D122,1),IFERROR(INDEX('القوائم'!$B$1:$B$288,MATCH(TRIM(D122),'القوائم'!$A$1:$A$288,0)),IFERROR(MOD(TIMEVALUE(D122),1),""))))</f>
        <v/>
      </c>
      <c r="M122">
        <f>M116</f>
        <v/>
      </c>
      <c r="Q122">
        <f>IF(N(G126)&gt;0,1,0)</f>
        <v/>
      </c>
    </row>
    <row r="123">
      <c r="A123" s="26">
        <f>IF(11&lt;=NW,SAT1+76,"")</f>
        <v/>
      </c>
      <c r="B123" s="27">
        <f>IF(A123="","",CHOOSE(WEEKDAY(A123,1),"الأحد","الاثنين","الثلاثاء","الأربعاء","الخميس","الجمعة","السبت"))</f>
        <v/>
      </c>
      <c r="C123" s="22" t="n"/>
      <c r="D123" s="22" t="n"/>
      <c r="E123" s="23">
        <f>IF(OR(M123=0,K123="",L123=""),"",MOD(L123-K123,1))</f>
        <v/>
      </c>
      <c r="F123" s="23">
        <f>IF(OR(E123="",M123=0),"",IF(WEEKDAY(A123,1)=6,E123,MIN(E123,MAX(0,MIN(IF(L123&lt;K123,L123+1,L123),OMR_OT_AT)-K123))))</f>
        <v/>
      </c>
      <c r="G123" s="23">
        <f>IF(OR(E123="",M123=0),"",MAX(0,E123-F123))</f>
        <v/>
      </c>
      <c r="H123" s="24">
        <f>IF(OR(E123="",M123=0),"",ROUND((F123*$N$116+G123*$O$116)*24,3))</f>
        <v/>
      </c>
      <c r="I123" s="22" t="n"/>
      <c r="K123" s="25">
        <f>IF(OR(M123=0,C123=""),"",IF(ISNUMBER(C123),MOD(C123,1),IFERROR(INDEX('القوائم'!$B$1:$B$288,MATCH(TRIM(C123),'القوائم'!$A$1:$A$288,0)),IFERROR(MOD(TIMEVALUE(C123),1),""))))</f>
        <v/>
      </c>
      <c r="L123" s="25">
        <f>IF(OR(M123=0,D123=""),"",IF(ISNUMBER(D123),MOD(D123,1),IFERROR(INDEX('القوائم'!$B$1:$B$288,MATCH(TRIM(D123),'القوائم'!$A$1:$A$288,0)),IFERROR(MOD(TIMEVALUE(D123),1),""))))</f>
        <v/>
      </c>
      <c r="M123">
        <f>M116</f>
        <v/>
      </c>
      <c r="Q123">
        <f>IF(N(G126)&gt;0,1,0)</f>
        <v/>
      </c>
    </row>
    <row r="124">
      <c r="A124" s="28">
        <f>IF(M116=1,"مجموع أيام الأسبوع 11","")</f>
        <v/>
      </c>
      <c r="B124" s="28" t="n"/>
      <c r="C124" s="28" t="n"/>
      <c r="D124" s="28" t="n"/>
      <c r="E124" s="29">
        <f>IF(M116=1,SUM(E117:E123),"")</f>
        <v/>
      </c>
      <c r="F124" s="29">
        <f>IF(M116=1,SUM(F117:F123),"")</f>
        <v/>
      </c>
      <c r="G124" s="29">
        <f>IF(M116=1,SUM(G117:G123),"")</f>
        <v/>
      </c>
      <c r="H124" s="30">
        <f>IF(M116=1,SUM(H117:H123),"")</f>
        <v/>
      </c>
      <c r="I124" s="28" t="n"/>
    </row>
    <row r="125" ht="32" customHeight="1">
      <c r="A125" s="28">
        <f>IF(M116=1,"ساعات تحميل الجبسمبورد بهالأسبوع (رقم: 2 أو 1.5) ←","")</f>
        <v/>
      </c>
      <c r="E125" s="31" t="n"/>
      <c r="F125" s="32">
        <f>IF(M116=1,"المستحق النهائي للأسبوع (دينار) ←","")</f>
        <v/>
      </c>
      <c r="H125" s="33">
        <f>IF(M116=1,IF(ROUND_MODE="للأعلى",CEILING(ROUND((N(H124)+N(E125)*($P$116-$N$116)),3),0.25),ROUND((N(H124)+N(E125)*($P$116-$N$116))*4,0)/4),"")</f>
        <v/>
      </c>
      <c r="I125" s="34">
        <f>IF(M116=1,"قبل الجبر: "&amp;TEXT(N(H124)+N(E125)*($P$116-$N$116),"0.000"),"")</f>
        <v/>
      </c>
    </row>
    <row r="126" ht="26" customHeight="1">
      <c r="A126" s="28">
        <f>IF(M116=1,"إكرامية الأسبوع (دينار) ←","")</f>
        <v/>
      </c>
      <c r="D126" s="35" t="n"/>
      <c r="E126" s="28">
        <f>IF(M116=1,"المدفوع يوم الجمعة (دينار) ←","")</f>
        <v/>
      </c>
      <c r="G126" s="35" t="n"/>
      <c r="H126" s="36">
        <f>IF(M116=1,IF(N(G126)&gt;0,"✔ انقبض — الأسبوع مقفول","⏳ لسا ما انقبض"),"")</f>
        <v/>
      </c>
    </row>
    <row r="127" ht="26" customHeight="1">
      <c r="A127" s="18">
        <f>IF(12&lt;=NW,"الأسبوع 12 · السبت "&amp;TEXT(DAY(SAT1+77),"00")&amp;"/"&amp;TEXT(MONTH(SAT1+77),"00")&amp;" ← الجمعة "&amp;TEXT(DAY(SAT1+83),"00")&amp;"/"&amp;TEXT(MONTH(SAT1+83),"00")&amp;" (يوم القبض)"&amp;IF(12&lt;START_O,"   — قبل أسبوع البداية (ما بينحسب)",""),"ما في أسبوع 12 هالسنة")</f>
        <v/>
      </c>
      <c r="L127" s="19">
        <f>IF(12&lt;=NW,SAT1+83,"")</f>
        <v/>
      </c>
      <c r="M127">
        <f>IF(AND(12&lt;=NW,12&gt;=START_O),1,0)</f>
        <v/>
      </c>
      <c r="N127">
        <f>IFERROR(INDEX(RT_OMR,MATCH(L127,RT_K,1)),INDEX(RT_OMR,1))</f>
        <v/>
      </c>
      <c r="O127">
        <f>IFERROR(INDEX(RT_OT,MATCH(L127,RT_K,1)),INDEX(RT_OT,1))</f>
        <v/>
      </c>
      <c r="P127">
        <f>IFERROR(INDEX(RT_GYP,MATCH(L127,RT_K,1)),INDEX(RT_GYP,1))</f>
        <v/>
      </c>
    </row>
    <row r="128">
      <c r="A128" s="20">
        <f>IF(12&lt;=NW,SAT1+77,"")</f>
        <v/>
      </c>
      <c r="B128" s="21">
        <f>IF(A128="","",CHOOSE(WEEKDAY(A128,1),"الأحد","الاثنين","الثلاثاء","الأربعاء","الخميس","الجمعة","السبت"))</f>
        <v/>
      </c>
      <c r="C128" s="22" t="n"/>
      <c r="D128" s="22" t="n"/>
      <c r="E128" s="23">
        <f>IF(OR(M128=0,K128="",L128=""),"",MOD(L128-K128,1))</f>
        <v/>
      </c>
      <c r="F128" s="23">
        <f>IF(OR(E128="",M128=0),"",IF(WEEKDAY(A128,1)=6,E128,MIN(E128,MAX(0,MIN(IF(L128&lt;K128,L128+1,L128),OMR_OT_AT)-K128))))</f>
        <v/>
      </c>
      <c r="G128" s="23">
        <f>IF(OR(E128="",M128=0),"",MAX(0,E128-F128))</f>
        <v/>
      </c>
      <c r="H128" s="24">
        <f>IF(OR(E128="",M128=0),"",ROUND((F128*$N$127+G128*$O$127)*24,3))</f>
        <v/>
      </c>
      <c r="I128" s="22" t="n"/>
      <c r="K128" s="25">
        <f>IF(OR(M128=0,C128=""),"",IF(ISNUMBER(C128),MOD(C128,1),IFERROR(INDEX('القوائم'!$B$1:$B$288,MATCH(TRIM(C128),'القوائم'!$A$1:$A$288,0)),IFERROR(MOD(TIMEVALUE(C128),1),""))))</f>
        <v/>
      </c>
      <c r="L128" s="25">
        <f>IF(OR(M128=0,D128=""),"",IF(ISNUMBER(D128),MOD(D128,1),IFERROR(INDEX('القوائم'!$B$1:$B$288,MATCH(TRIM(D128),'القوائم'!$A$1:$A$288,0)),IFERROR(MOD(TIMEVALUE(D128),1),""))))</f>
        <v/>
      </c>
      <c r="M128">
        <f>M127</f>
        <v/>
      </c>
      <c r="Q128">
        <f>IF(N(G137)&gt;0,1,0)</f>
        <v/>
      </c>
    </row>
    <row r="129">
      <c r="A129" s="20">
        <f>IF(12&lt;=NW,SAT1+78,"")</f>
        <v/>
      </c>
      <c r="B129" s="21">
        <f>IF(A129="","",CHOOSE(WEEKDAY(A129,1),"الأحد","الاثنين","الثلاثاء","الأربعاء","الخميس","الجمعة","السبت"))</f>
        <v/>
      </c>
      <c r="C129" s="22" t="n"/>
      <c r="D129" s="22" t="n"/>
      <c r="E129" s="23">
        <f>IF(OR(M129=0,K129="",L129=""),"",MOD(L129-K129,1))</f>
        <v/>
      </c>
      <c r="F129" s="23">
        <f>IF(OR(E129="",M129=0),"",IF(WEEKDAY(A129,1)=6,E129,MIN(E129,MAX(0,MIN(IF(L129&lt;K129,L129+1,L129),OMR_OT_AT)-K129))))</f>
        <v/>
      </c>
      <c r="G129" s="23">
        <f>IF(OR(E129="",M129=0),"",MAX(0,E129-F129))</f>
        <v/>
      </c>
      <c r="H129" s="24">
        <f>IF(OR(E129="",M129=0),"",ROUND((F129*$N$127+G129*$O$127)*24,3))</f>
        <v/>
      </c>
      <c r="I129" s="22" t="n"/>
      <c r="K129" s="25">
        <f>IF(OR(M129=0,C129=""),"",IF(ISNUMBER(C129),MOD(C129,1),IFERROR(INDEX('القوائم'!$B$1:$B$288,MATCH(TRIM(C129),'القوائم'!$A$1:$A$288,0)),IFERROR(MOD(TIMEVALUE(C129),1),""))))</f>
        <v/>
      </c>
      <c r="L129" s="25">
        <f>IF(OR(M129=0,D129=""),"",IF(ISNUMBER(D129),MOD(D129,1),IFERROR(INDEX('القوائم'!$B$1:$B$288,MATCH(TRIM(D129),'القوائم'!$A$1:$A$288,0)),IFERROR(MOD(TIMEVALUE(D129),1),""))))</f>
        <v/>
      </c>
      <c r="M129">
        <f>M127</f>
        <v/>
      </c>
      <c r="Q129">
        <f>IF(N(G137)&gt;0,1,0)</f>
        <v/>
      </c>
    </row>
    <row r="130">
      <c r="A130" s="20">
        <f>IF(12&lt;=NW,SAT1+79,"")</f>
        <v/>
      </c>
      <c r="B130" s="21">
        <f>IF(A130="","",CHOOSE(WEEKDAY(A130,1),"الأحد","الاثنين","الثلاثاء","الأربعاء","الخميس","الجمعة","السبت"))</f>
        <v/>
      </c>
      <c r="C130" s="22" t="n"/>
      <c r="D130" s="22" t="n"/>
      <c r="E130" s="23">
        <f>IF(OR(M130=0,K130="",L130=""),"",MOD(L130-K130,1))</f>
        <v/>
      </c>
      <c r="F130" s="23">
        <f>IF(OR(E130="",M130=0),"",IF(WEEKDAY(A130,1)=6,E130,MIN(E130,MAX(0,MIN(IF(L130&lt;K130,L130+1,L130),OMR_OT_AT)-K130))))</f>
        <v/>
      </c>
      <c r="G130" s="23">
        <f>IF(OR(E130="",M130=0),"",MAX(0,E130-F130))</f>
        <v/>
      </c>
      <c r="H130" s="24">
        <f>IF(OR(E130="",M130=0),"",ROUND((F130*$N$127+G130*$O$127)*24,3))</f>
        <v/>
      </c>
      <c r="I130" s="22" t="n"/>
      <c r="K130" s="25">
        <f>IF(OR(M130=0,C130=""),"",IF(ISNUMBER(C130),MOD(C130,1),IFERROR(INDEX('القوائم'!$B$1:$B$288,MATCH(TRIM(C130),'القوائم'!$A$1:$A$288,0)),IFERROR(MOD(TIMEVALUE(C130),1),""))))</f>
        <v/>
      </c>
      <c r="L130" s="25">
        <f>IF(OR(M130=0,D130=""),"",IF(ISNUMBER(D130),MOD(D130,1),IFERROR(INDEX('القوائم'!$B$1:$B$288,MATCH(TRIM(D130),'القوائم'!$A$1:$A$288,0)),IFERROR(MOD(TIMEVALUE(D130),1),""))))</f>
        <v/>
      </c>
      <c r="M130">
        <f>M127</f>
        <v/>
      </c>
      <c r="Q130">
        <f>IF(N(G137)&gt;0,1,0)</f>
        <v/>
      </c>
    </row>
    <row r="131">
      <c r="A131" s="20">
        <f>IF(12&lt;=NW,SAT1+80,"")</f>
        <v/>
      </c>
      <c r="B131" s="21">
        <f>IF(A131="","",CHOOSE(WEEKDAY(A131,1),"الأحد","الاثنين","الثلاثاء","الأربعاء","الخميس","الجمعة","السبت"))</f>
        <v/>
      </c>
      <c r="C131" s="22" t="n"/>
      <c r="D131" s="22" t="n"/>
      <c r="E131" s="23">
        <f>IF(OR(M131=0,K131="",L131=""),"",MOD(L131-K131,1))</f>
        <v/>
      </c>
      <c r="F131" s="23">
        <f>IF(OR(E131="",M131=0),"",IF(WEEKDAY(A131,1)=6,E131,MIN(E131,MAX(0,MIN(IF(L131&lt;K131,L131+1,L131),OMR_OT_AT)-K131))))</f>
        <v/>
      </c>
      <c r="G131" s="23">
        <f>IF(OR(E131="",M131=0),"",MAX(0,E131-F131))</f>
        <v/>
      </c>
      <c r="H131" s="24">
        <f>IF(OR(E131="",M131=0),"",ROUND((F131*$N$127+G131*$O$127)*24,3))</f>
        <v/>
      </c>
      <c r="I131" s="22" t="n"/>
      <c r="K131" s="25">
        <f>IF(OR(M131=0,C131=""),"",IF(ISNUMBER(C131),MOD(C131,1),IFERROR(INDEX('القوائم'!$B$1:$B$288,MATCH(TRIM(C131),'القوائم'!$A$1:$A$288,0)),IFERROR(MOD(TIMEVALUE(C131),1),""))))</f>
        <v/>
      </c>
      <c r="L131" s="25">
        <f>IF(OR(M131=0,D131=""),"",IF(ISNUMBER(D131),MOD(D131,1),IFERROR(INDEX('القوائم'!$B$1:$B$288,MATCH(TRIM(D131),'القوائم'!$A$1:$A$288,0)),IFERROR(MOD(TIMEVALUE(D131),1),""))))</f>
        <v/>
      </c>
      <c r="M131">
        <f>M127</f>
        <v/>
      </c>
      <c r="Q131">
        <f>IF(N(G137)&gt;0,1,0)</f>
        <v/>
      </c>
    </row>
    <row r="132">
      <c r="A132" s="20">
        <f>IF(12&lt;=NW,SAT1+81,"")</f>
        <v/>
      </c>
      <c r="B132" s="21">
        <f>IF(A132="","",CHOOSE(WEEKDAY(A132,1),"الأحد","الاثنين","الثلاثاء","الأربعاء","الخميس","الجمعة","السبت"))</f>
        <v/>
      </c>
      <c r="C132" s="22" t="n"/>
      <c r="D132" s="22" t="n"/>
      <c r="E132" s="23">
        <f>IF(OR(M132=0,K132="",L132=""),"",MOD(L132-K132,1))</f>
        <v/>
      </c>
      <c r="F132" s="23">
        <f>IF(OR(E132="",M132=0),"",IF(WEEKDAY(A132,1)=6,E132,MIN(E132,MAX(0,MIN(IF(L132&lt;K132,L132+1,L132),OMR_OT_AT)-K132))))</f>
        <v/>
      </c>
      <c r="G132" s="23">
        <f>IF(OR(E132="",M132=0),"",MAX(0,E132-F132))</f>
        <v/>
      </c>
      <c r="H132" s="24">
        <f>IF(OR(E132="",M132=0),"",ROUND((F132*$N$127+G132*$O$127)*24,3))</f>
        <v/>
      </c>
      <c r="I132" s="22" t="n"/>
      <c r="K132" s="25">
        <f>IF(OR(M132=0,C132=""),"",IF(ISNUMBER(C132),MOD(C132,1),IFERROR(INDEX('القوائم'!$B$1:$B$288,MATCH(TRIM(C132),'القوائم'!$A$1:$A$288,0)),IFERROR(MOD(TIMEVALUE(C132),1),""))))</f>
        <v/>
      </c>
      <c r="L132" s="25">
        <f>IF(OR(M132=0,D132=""),"",IF(ISNUMBER(D132),MOD(D132,1),IFERROR(INDEX('القوائم'!$B$1:$B$288,MATCH(TRIM(D132),'القوائم'!$A$1:$A$288,0)),IFERROR(MOD(TIMEVALUE(D132),1),""))))</f>
        <v/>
      </c>
      <c r="M132">
        <f>M127</f>
        <v/>
      </c>
      <c r="Q132">
        <f>IF(N(G137)&gt;0,1,0)</f>
        <v/>
      </c>
    </row>
    <row r="133">
      <c r="A133" s="20">
        <f>IF(12&lt;=NW,SAT1+82,"")</f>
        <v/>
      </c>
      <c r="B133" s="21">
        <f>IF(A133="","",CHOOSE(WEEKDAY(A133,1),"الأحد","الاثنين","الثلاثاء","الأربعاء","الخميس","الجمعة","السبت"))</f>
        <v/>
      </c>
      <c r="C133" s="22" t="n"/>
      <c r="D133" s="22" t="n"/>
      <c r="E133" s="23">
        <f>IF(OR(M133=0,K133="",L133=""),"",MOD(L133-K133,1))</f>
        <v/>
      </c>
      <c r="F133" s="23">
        <f>IF(OR(E133="",M133=0),"",IF(WEEKDAY(A133,1)=6,E133,MIN(E133,MAX(0,MIN(IF(L133&lt;K133,L133+1,L133),OMR_OT_AT)-K133))))</f>
        <v/>
      </c>
      <c r="G133" s="23">
        <f>IF(OR(E133="",M133=0),"",MAX(0,E133-F133))</f>
        <v/>
      </c>
      <c r="H133" s="24">
        <f>IF(OR(E133="",M133=0),"",ROUND((F133*$N$127+G133*$O$127)*24,3))</f>
        <v/>
      </c>
      <c r="I133" s="22" t="n"/>
      <c r="K133" s="25">
        <f>IF(OR(M133=0,C133=""),"",IF(ISNUMBER(C133),MOD(C133,1),IFERROR(INDEX('القوائم'!$B$1:$B$288,MATCH(TRIM(C133),'القوائم'!$A$1:$A$288,0)),IFERROR(MOD(TIMEVALUE(C133),1),""))))</f>
        <v/>
      </c>
      <c r="L133" s="25">
        <f>IF(OR(M133=0,D133=""),"",IF(ISNUMBER(D133),MOD(D133,1),IFERROR(INDEX('القوائم'!$B$1:$B$288,MATCH(TRIM(D133),'القوائم'!$A$1:$A$288,0)),IFERROR(MOD(TIMEVALUE(D133),1),""))))</f>
        <v/>
      </c>
      <c r="M133">
        <f>M127</f>
        <v/>
      </c>
      <c r="Q133">
        <f>IF(N(G137)&gt;0,1,0)</f>
        <v/>
      </c>
    </row>
    <row r="134">
      <c r="A134" s="26">
        <f>IF(12&lt;=NW,SAT1+83,"")</f>
        <v/>
      </c>
      <c r="B134" s="27">
        <f>IF(A134="","",CHOOSE(WEEKDAY(A134,1),"الأحد","الاثنين","الثلاثاء","الأربعاء","الخميس","الجمعة","السبت"))</f>
        <v/>
      </c>
      <c r="C134" s="22" t="n"/>
      <c r="D134" s="22" t="n"/>
      <c r="E134" s="23">
        <f>IF(OR(M134=0,K134="",L134=""),"",MOD(L134-K134,1))</f>
        <v/>
      </c>
      <c r="F134" s="23">
        <f>IF(OR(E134="",M134=0),"",IF(WEEKDAY(A134,1)=6,E134,MIN(E134,MAX(0,MIN(IF(L134&lt;K134,L134+1,L134),OMR_OT_AT)-K134))))</f>
        <v/>
      </c>
      <c r="G134" s="23">
        <f>IF(OR(E134="",M134=0),"",MAX(0,E134-F134))</f>
        <v/>
      </c>
      <c r="H134" s="24">
        <f>IF(OR(E134="",M134=0),"",ROUND((F134*$N$127+G134*$O$127)*24,3))</f>
        <v/>
      </c>
      <c r="I134" s="22" t="n"/>
      <c r="K134" s="25">
        <f>IF(OR(M134=0,C134=""),"",IF(ISNUMBER(C134),MOD(C134,1),IFERROR(INDEX('القوائم'!$B$1:$B$288,MATCH(TRIM(C134),'القوائم'!$A$1:$A$288,0)),IFERROR(MOD(TIMEVALUE(C134),1),""))))</f>
        <v/>
      </c>
      <c r="L134" s="25">
        <f>IF(OR(M134=0,D134=""),"",IF(ISNUMBER(D134),MOD(D134,1),IFERROR(INDEX('القوائم'!$B$1:$B$288,MATCH(TRIM(D134),'القوائم'!$A$1:$A$288,0)),IFERROR(MOD(TIMEVALUE(D134),1),""))))</f>
        <v/>
      </c>
      <c r="M134">
        <f>M127</f>
        <v/>
      </c>
      <c r="Q134">
        <f>IF(N(G137)&gt;0,1,0)</f>
        <v/>
      </c>
    </row>
    <row r="135">
      <c r="A135" s="28">
        <f>IF(M127=1,"مجموع أيام الأسبوع 12","")</f>
        <v/>
      </c>
      <c r="B135" s="28" t="n"/>
      <c r="C135" s="28" t="n"/>
      <c r="D135" s="28" t="n"/>
      <c r="E135" s="29">
        <f>IF(M127=1,SUM(E128:E134),"")</f>
        <v/>
      </c>
      <c r="F135" s="29">
        <f>IF(M127=1,SUM(F128:F134),"")</f>
        <v/>
      </c>
      <c r="G135" s="29">
        <f>IF(M127=1,SUM(G128:G134),"")</f>
        <v/>
      </c>
      <c r="H135" s="30">
        <f>IF(M127=1,SUM(H128:H134),"")</f>
        <v/>
      </c>
      <c r="I135" s="28" t="n"/>
    </row>
    <row r="136" ht="32" customHeight="1">
      <c r="A136" s="28">
        <f>IF(M127=1,"ساعات تحميل الجبسمبورد بهالأسبوع (رقم: 2 أو 1.5) ←","")</f>
        <v/>
      </c>
      <c r="E136" s="31" t="n"/>
      <c r="F136" s="32">
        <f>IF(M127=1,"المستحق النهائي للأسبوع (دينار) ←","")</f>
        <v/>
      </c>
      <c r="H136" s="33">
        <f>IF(M127=1,IF(ROUND_MODE="للأعلى",CEILING(ROUND((N(H135)+N(E136)*($P$127-$N$127)),3),0.25),ROUND((N(H135)+N(E136)*($P$127-$N$127))*4,0)/4),"")</f>
        <v/>
      </c>
      <c r="I136" s="34">
        <f>IF(M127=1,"قبل الجبر: "&amp;TEXT(N(H135)+N(E136)*($P$127-$N$127),"0.000"),"")</f>
        <v/>
      </c>
    </row>
    <row r="137" ht="26" customHeight="1">
      <c r="A137" s="28">
        <f>IF(M127=1,"إكرامية الأسبوع (دينار) ←","")</f>
        <v/>
      </c>
      <c r="D137" s="35" t="n"/>
      <c r="E137" s="28">
        <f>IF(M127=1,"المدفوع يوم الجمعة (دينار) ←","")</f>
        <v/>
      </c>
      <c r="G137" s="35" t="n"/>
      <c r="H137" s="36">
        <f>IF(M127=1,IF(N(G137)&gt;0,"✔ انقبض — الأسبوع مقفول","⏳ لسا ما انقبض"),"")</f>
        <v/>
      </c>
    </row>
    <row r="138" ht="26" customHeight="1">
      <c r="A138" s="18">
        <f>IF(13&lt;=NW,"الأسبوع 13 · السبت "&amp;TEXT(DAY(SAT1+84),"00")&amp;"/"&amp;TEXT(MONTH(SAT1+84),"00")&amp;" ← الجمعة "&amp;TEXT(DAY(SAT1+90),"00")&amp;"/"&amp;TEXT(MONTH(SAT1+90),"00")&amp;" (يوم القبض)"&amp;IF(13&lt;START_O,"   — قبل أسبوع البداية (ما بينحسب)",""),"ما في أسبوع 13 هالسنة")</f>
        <v/>
      </c>
      <c r="L138" s="19">
        <f>IF(13&lt;=NW,SAT1+90,"")</f>
        <v/>
      </c>
      <c r="M138">
        <f>IF(AND(13&lt;=NW,13&gt;=START_O),1,0)</f>
        <v/>
      </c>
      <c r="N138">
        <f>IFERROR(INDEX(RT_OMR,MATCH(L138,RT_K,1)),INDEX(RT_OMR,1))</f>
        <v/>
      </c>
      <c r="O138">
        <f>IFERROR(INDEX(RT_OT,MATCH(L138,RT_K,1)),INDEX(RT_OT,1))</f>
        <v/>
      </c>
      <c r="P138">
        <f>IFERROR(INDEX(RT_GYP,MATCH(L138,RT_K,1)),INDEX(RT_GYP,1))</f>
        <v/>
      </c>
    </row>
    <row r="139">
      <c r="A139" s="20">
        <f>IF(13&lt;=NW,SAT1+84,"")</f>
        <v/>
      </c>
      <c r="B139" s="21">
        <f>IF(A139="","",CHOOSE(WEEKDAY(A139,1),"الأحد","الاثنين","الثلاثاء","الأربعاء","الخميس","الجمعة","السبت"))</f>
        <v/>
      </c>
      <c r="C139" s="22" t="n"/>
      <c r="D139" s="22" t="n"/>
      <c r="E139" s="23">
        <f>IF(OR(M139=0,K139="",L139=""),"",MOD(L139-K139,1))</f>
        <v/>
      </c>
      <c r="F139" s="23">
        <f>IF(OR(E139="",M139=0),"",IF(WEEKDAY(A139,1)=6,E139,MIN(E139,MAX(0,MIN(IF(L139&lt;K139,L139+1,L139),OMR_OT_AT)-K139))))</f>
        <v/>
      </c>
      <c r="G139" s="23">
        <f>IF(OR(E139="",M139=0),"",MAX(0,E139-F139))</f>
        <v/>
      </c>
      <c r="H139" s="24">
        <f>IF(OR(E139="",M139=0),"",ROUND((F139*$N$138+G139*$O$138)*24,3))</f>
        <v/>
      </c>
      <c r="I139" s="22" t="n"/>
      <c r="K139" s="25">
        <f>IF(OR(M139=0,C139=""),"",IF(ISNUMBER(C139),MOD(C139,1),IFERROR(INDEX('القوائم'!$B$1:$B$288,MATCH(TRIM(C139),'القوائم'!$A$1:$A$288,0)),IFERROR(MOD(TIMEVALUE(C139),1),""))))</f>
        <v/>
      </c>
      <c r="L139" s="25">
        <f>IF(OR(M139=0,D139=""),"",IF(ISNUMBER(D139),MOD(D139,1),IFERROR(INDEX('القوائم'!$B$1:$B$288,MATCH(TRIM(D139),'القوائم'!$A$1:$A$288,0)),IFERROR(MOD(TIMEVALUE(D139),1),""))))</f>
        <v/>
      </c>
      <c r="M139">
        <f>M138</f>
        <v/>
      </c>
      <c r="Q139">
        <f>IF(N(G148)&gt;0,1,0)</f>
        <v/>
      </c>
    </row>
    <row r="140">
      <c r="A140" s="20">
        <f>IF(13&lt;=NW,SAT1+85,"")</f>
        <v/>
      </c>
      <c r="B140" s="21">
        <f>IF(A140="","",CHOOSE(WEEKDAY(A140,1),"الأحد","الاثنين","الثلاثاء","الأربعاء","الخميس","الجمعة","السبت"))</f>
        <v/>
      </c>
      <c r="C140" s="22" t="n"/>
      <c r="D140" s="22" t="n"/>
      <c r="E140" s="23">
        <f>IF(OR(M140=0,K140="",L140=""),"",MOD(L140-K140,1))</f>
        <v/>
      </c>
      <c r="F140" s="23">
        <f>IF(OR(E140="",M140=0),"",IF(WEEKDAY(A140,1)=6,E140,MIN(E140,MAX(0,MIN(IF(L140&lt;K140,L140+1,L140),OMR_OT_AT)-K140))))</f>
        <v/>
      </c>
      <c r="G140" s="23">
        <f>IF(OR(E140="",M140=0),"",MAX(0,E140-F140))</f>
        <v/>
      </c>
      <c r="H140" s="24">
        <f>IF(OR(E140="",M140=0),"",ROUND((F140*$N$138+G140*$O$138)*24,3))</f>
        <v/>
      </c>
      <c r="I140" s="22" t="n"/>
      <c r="K140" s="25">
        <f>IF(OR(M140=0,C140=""),"",IF(ISNUMBER(C140),MOD(C140,1),IFERROR(INDEX('القوائم'!$B$1:$B$288,MATCH(TRIM(C140),'القوائم'!$A$1:$A$288,0)),IFERROR(MOD(TIMEVALUE(C140),1),""))))</f>
        <v/>
      </c>
      <c r="L140" s="25">
        <f>IF(OR(M140=0,D140=""),"",IF(ISNUMBER(D140),MOD(D140,1),IFERROR(INDEX('القوائم'!$B$1:$B$288,MATCH(TRIM(D140),'القوائم'!$A$1:$A$288,0)),IFERROR(MOD(TIMEVALUE(D140),1),""))))</f>
        <v/>
      </c>
      <c r="M140">
        <f>M138</f>
        <v/>
      </c>
      <c r="Q140">
        <f>IF(N(G148)&gt;0,1,0)</f>
        <v/>
      </c>
    </row>
    <row r="141">
      <c r="A141" s="20">
        <f>IF(13&lt;=NW,SAT1+86,"")</f>
        <v/>
      </c>
      <c r="B141" s="21">
        <f>IF(A141="","",CHOOSE(WEEKDAY(A141,1),"الأحد","الاثنين","الثلاثاء","الأربعاء","الخميس","الجمعة","السبت"))</f>
        <v/>
      </c>
      <c r="C141" s="22" t="n"/>
      <c r="D141" s="22" t="n"/>
      <c r="E141" s="23">
        <f>IF(OR(M141=0,K141="",L141=""),"",MOD(L141-K141,1))</f>
        <v/>
      </c>
      <c r="F141" s="23">
        <f>IF(OR(E141="",M141=0),"",IF(WEEKDAY(A141,1)=6,E141,MIN(E141,MAX(0,MIN(IF(L141&lt;K141,L141+1,L141),OMR_OT_AT)-K141))))</f>
        <v/>
      </c>
      <c r="G141" s="23">
        <f>IF(OR(E141="",M141=0),"",MAX(0,E141-F141))</f>
        <v/>
      </c>
      <c r="H141" s="24">
        <f>IF(OR(E141="",M141=0),"",ROUND((F141*$N$138+G141*$O$138)*24,3))</f>
        <v/>
      </c>
      <c r="I141" s="22" t="n"/>
      <c r="K141" s="25">
        <f>IF(OR(M141=0,C141=""),"",IF(ISNUMBER(C141),MOD(C141,1),IFERROR(INDEX('القوائم'!$B$1:$B$288,MATCH(TRIM(C141),'القوائم'!$A$1:$A$288,0)),IFERROR(MOD(TIMEVALUE(C141),1),""))))</f>
        <v/>
      </c>
      <c r="L141" s="25">
        <f>IF(OR(M141=0,D141=""),"",IF(ISNUMBER(D141),MOD(D141,1),IFERROR(INDEX('القوائم'!$B$1:$B$288,MATCH(TRIM(D141),'القوائم'!$A$1:$A$288,0)),IFERROR(MOD(TIMEVALUE(D141),1),""))))</f>
        <v/>
      </c>
      <c r="M141">
        <f>M138</f>
        <v/>
      </c>
      <c r="Q141">
        <f>IF(N(G148)&gt;0,1,0)</f>
        <v/>
      </c>
    </row>
    <row r="142">
      <c r="A142" s="20">
        <f>IF(13&lt;=NW,SAT1+87,"")</f>
        <v/>
      </c>
      <c r="B142" s="21">
        <f>IF(A142="","",CHOOSE(WEEKDAY(A142,1),"الأحد","الاثنين","الثلاثاء","الأربعاء","الخميس","الجمعة","السبت"))</f>
        <v/>
      </c>
      <c r="C142" s="22" t="n"/>
      <c r="D142" s="22" t="n"/>
      <c r="E142" s="23">
        <f>IF(OR(M142=0,K142="",L142=""),"",MOD(L142-K142,1))</f>
        <v/>
      </c>
      <c r="F142" s="23">
        <f>IF(OR(E142="",M142=0),"",IF(WEEKDAY(A142,1)=6,E142,MIN(E142,MAX(0,MIN(IF(L142&lt;K142,L142+1,L142),OMR_OT_AT)-K142))))</f>
        <v/>
      </c>
      <c r="G142" s="23">
        <f>IF(OR(E142="",M142=0),"",MAX(0,E142-F142))</f>
        <v/>
      </c>
      <c r="H142" s="24">
        <f>IF(OR(E142="",M142=0),"",ROUND((F142*$N$138+G142*$O$138)*24,3))</f>
        <v/>
      </c>
      <c r="I142" s="22" t="n"/>
      <c r="K142" s="25">
        <f>IF(OR(M142=0,C142=""),"",IF(ISNUMBER(C142),MOD(C142,1),IFERROR(INDEX('القوائم'!$B$1:$B$288,MATCH(TRIM(C142),'القوائم'!$A$1:$A$288,0)),IFERROR(MOD(TIMEVALUE(C142),1),""))))</f>
        <v/>
      </c>
      <c r="L142" s="25">
        <f>IF(OR(M142=0,D142=""),"",IF(ISNUMBER(D142),MOD(D142,1),IFERROR(INDEX('القوائم'!$B$1:$B$288,MATCH(TRIM(D142),'القوائم'!$A$1:$A$288,0)),IFERROR(MOD(TIMEVALUE(D142),1),""))))</f>
        <v/>
      </c>
      <c r="M142">
        <f>M138</f>
        <v/>
      </c>
      <c r="Q142">
        <f>IF(N(G148)&gt;0,1,0)</f>
        <v/>
      </c>
    </row>
    <row r="143">
      <c r="A143" s="20">
        <f>IF(13&lt;=NW,SAT1+88,"")</f>
        <v/>
      </c>
      <c r="B143" s="21">
        <f>IF(A143="","",CHOOSE(WEEKDAY(A143,1),"الأحد","الاثنين","الثلاثاء","الأربعاء","الخميس","الجمعة","السبت"))</f>
        <v/>
      </c>
      <c r="C143" s="22" t="n"/>
      <c r="D143" s="22" t="n"/>
      <c r="E143" s="23">
        <f>IF(OR(M143=0,K143="",L143=""),"",MOD(L143-K143,1))</f>
        <v/>
      </c>
      <c r="F143" s="23">
        <f>IF(OR(E143="",M143=0),"",IF(WEEKDAY(A143,1)=6,E143,MIN(E143,MAX(0,MIN(IF(L143&lt;K143,L143+1,L143),OMR_OT_AT)-K143))))</f>
        <v/>
      </c>
      <c r="G143" s="23">
        <f>IF(OR(E143="",M143=0),"",MAX(0,E143-F143))</f>
        <v/>
      </c>
      <c r="H143" s="24">
        <f>IF(OR(E143="",M143=0),"",ROUND((F143*$N$138+G143*$O$138)*24,3))</f>
        <v/>
      </c>
      <c r="I143" s="22" t="n"/>
      <c r="K143" s="25">
        <f>IF(OR(M143=0,C143=""),"",IF(ISNUMBER(C143),MOD(C143,1),IFERROR(INDEX('القوائم'!$B$1:$B$288,MATCH(TRIM(C143),'القوائم'!$A$1:$A$288,0)),IFERROR(MOD(TIMEVALUE(C143),1),""))))</f>
        <v/>
      </c>
      <c r="L143" s="25">
        <f>IF(OR(M143=0,D143=""),"",IF(ISNUMBER(D143),MOD(D143,1),IFERROR(INDEX('القوائم'!$B$1:$B$288,MATCH(TRIM(D143),'القوائم'!$A$1:$A$288,0)),IFERROR(MOD(TIMEVALUE(D143),1),""))))</f>
        <v/>
      </c>
      <c r="M143">
        <f>M138</f>
        <v/>
      </c>
      <c r="Q143">
        <f>IF(N(G148)&gt;0,1,0)</f>
        <v/>
      </c>
    </row>
    <row r="144">
      <c r="A144" s="20">
        <f>IF(13&lt;=NW,SAT1+89,"")</f>
        <v/>
      </c>
      <c r="B144" s="21">
        <f>IF(A144="","",CHOOSE(WEEKDAY(A144,1),"الأحد","الاثنين","الثلاثاء","الأربعاء","الخميس","الجمعة","السبت"))</f>
        <v/>
      </c>
      <c r="C144" s="22" t="n"/>
      <c r="D144" s="22" t="n"/>
      <c r="E144" s="23">
        <f>IF(OR(M144=0,K144="",L144=""),"",MOD(L144-K144,1))</f>
        <v/>
      </c>
      <c r="F144" s="23">
        <f>IF(OR(E144="",M144=0),"",IF(WEEKDAY(A144,1)=6,E144,MIN(E144,MAX(0,MIN(IF(L144&lt;K144,L144+1,L144),OMR_OT_AT)-K144))))</f>
        <v/>
      </c>
      <c r="G144" s="23">
        <f>IF(OR(E144="",M144=0),"",MAX(0,E144-F144))</f>
        <v/>
      </c>
      <c r="H144" s="24">
        <f>IF(OR(E144="",M144=0),"",ROUND((F144*$N$138+G144*$O$138)*24,3))</f>
        <v/>
      </c>
      <c r="I144" s="22" t="n"/>
      <c r="K144" s="25">
        <f>IF(OR(M144=0,C144=""),"",IF(ISNUMBER(C144),MOD(C144,1),IFERROR(INDEX('القوائم'!$B$1:$B$288,MATCH(TRIM(C144),'القوائم'!$A$1:$A$288,0)),IFERROR(MOD(TIMEVALUE(C144),1),""))))</f>
        <v/>
      </c>
      <c r="L144" s="25">
        <f>IF(OR(M144=0,D144=""),"",IF(ISNUMBER(D144),MOD(D144,1),IFERROR(INDEX('القوائم'!$B$1:$B$288,MATCH(TRIM(D144),'القوائم'!$A$1:$A$288,0)),IFERROR(MOD(TIMEVALUE(D144),1),""))))</f>
        <v/>
      </c>
      <c r="M144">
        <f>M138</f>
        <v/>
      </c>
      <c r="Q144">
        <f>IF(N(G148)&gt;0,1,0)</f>
        <v/>
      </c>
    </row>
    <row r="145">
      <c r="A145" s="26">
        <f>IF(13&lt;=NW,SAT1+90,"")</f>
        <v/>
      </c>
      <c r="B145" s="27">
        <f>IF(A145="","",CHOOSE(WEEKDAY(A145,1),"الأحد","الاثنين","الثلاثاء","الأربعاء","الخميس","الجمعة","السبت"))</f>
        <v/>
      </c>
      <c r="C145" s="22" t="n"/>
      <c r="D145" s="22" t="n"/>
      <c r="E145" s="23">
        <f>IF(OR(M145=0,K145="",L145=""),"",MOD(L145-K145,1))</f>
        <v/>
      </c>
      <c r="F145" s="23">
        <f>IF(OR(E145="",M145=0),"",IF(WEEKDAY(A145,1)=6,E145,MIN(E145,MAX(0,MIN(IF(L145&lt;K145,L145+1,L145),OMR_OT_AT)-K145))))</f>
        <v/>
      </c>
      <c r="G145" s="23">
        <f>IF(OR(E145="",M145=0),"",MAX(0,E145-F145))</f>
        <v/>
      </c>
      <c r="H145" s="24">
        <f>IF(OR(E145="",M145=0),"",ROUND((F145*$N$138+G145*$O$138)*24,3))</f>
        <v/>
      </c>
      <c r="I145" s="22" t="n"/>
      <c r="K145" s="25">
        <f>IF(OR(M145=0,C145=""),"",IF(ISNUMBER(C145),MOD(C145,1),IFERROR(INDEX('القوائم'!$B$1:$B$288,MATCH(TRIM(C145),'القوائم'!$A$1:$A$288,0)),IFERROR(MOD(TIMEVALUE(C145),1),""))))</f>
        <v/>
      </c>
      <c r="L145" s="25">
        <f>IF(OR(M145=0,D145=""),"",IF(ISNUMBER(D145),MOD(D145,1),IFERROR(INDEX('القوائم'!$B$1:$B$288,MATCH(TRIM(D145),'القوائم'!$A$1:$A$288,0)),IFERROR(MOD(TIMEVALUE(D145),1),""))))</f>
        <v/>
      </c>
      <c r="M145">
        <f>M138</f>
        <v/>
      </c>
      <c r="Q145">
        <f>IF(N(G148)&gt;0,1,0)</f>
        <v/>
      </c>
    </row>
    <row r="146">
      <c r="A146" s="28">
        <f>IF(M138=1,"مجموع أيام الأسبوع 13","")</f>
        <v/>
      </c>
      <c r="B146" s="28" t="n"/>
      <c r="C146" s="28" t="n"/>
      <c r="D146" s="28" t="n"/>
      <c r="E146" s="29">
        <f>IF(M138=1,SUM(E139:E145),"")</f>
        <v/>
      </c>
      <c r="F146" s="29">
        <f>IF(M138=1,SUM(F139:F145),"")</f>
        <v/>
      </c>
      <c r="G146" s="29">
        <f>IF(M138=1,SUM(G139:G145),"")</f>
        <v/>
      </c>
      <c r="H146" s="30">
        <f>IF(M138=1,SUM(H139:H145),"")</f>
        <v/>
      </c>
      <c r="I146" s="28" t="n"/>
    </row>
    <row r="147" ht="32" customHeight="1">
      <c r="A147" s="28">
        <f>IF(M138=1,"ساعات تحميل الجبسمبورد بهالأسبوع (رقم: 2 أو 1.5) ←","")</f>
        <v/>
      </c>
      <c r="E147" s="31" t="n"/>
      <c r="F147" s="32">
        <f>IF(M138=1,"المستحق النهائي للأسبوع (دينار) ←","")</f>
        <v/>
      </c>
      <c r="H147" s="33">
        <f>IF(M138=1,IF(ROUND_MODE="للأعلى",CEILING(ROUND((N(H146)+N(E147)*($P$138-$N$138)),3),0.25),ROUND((N(H146)+N(E147)*($P$138-$N$138))*4,0)/4),"")</f>
        <v/>
      </c>
      <c r="I147" s="34">
        <f>IF(M138=1,"قبل الجبر: "&amp;TEXT(N(H146)+N(E147)*($P$138-$N$138),"0.000"),"")</f>
        <v/>
      </c>
    </row>
    <row r="148" ht="26" customHeight="1">
      <c r="A148" s="28">
        <f>IF(M138=1,"إكرامية الأسبوع (دينار) ←","")</f>
        <v/>
      </c>
      <c r="D148" s="35" t="n"/>
      <c r="E148" s="28">
        <f>IF(M138=1,"المدفوع يوم الجمعة (دينار) ←","")</f>
        <v/>
      </c>
      <c r="G148" s="35" t="n"/>
      <c r="H148" s="36">
        <f>IF(M138=1,IF(N(G148)&gt;0,"✔ انقبض — الأسبوع مقفول","⏳ لسا ما انقبض"),"")</f>
        <v/>
      </c>
    </row>
    <row r="149" ht="26" customHeight="1">
      <c r="A149" s="18">
        <f>IF(14&lt;=NW,"الأسبوع 14 · السبت "&amp;TEXT(DAY(SAT1+91),"00")&amp;"/"&amp;TEXT(MONTH(SAT1+91),"00")&amp;" ← الجمعة "&amp;TEXT(DAY(SAT1+97),"00")&amp;"/"&amp;TEXT(MONTH(SAT1+97),"00")&amp;" (يوم القبض)"&amp;IF(14&lt;START_O,"   — قبل أسبوع البداية (ما بينحسب)",""),"ما في أسبوع 14 هالسنة")</f>
        <v/>
      </c>
      <c r="L149" s="19">
        <f>IF(14&lt;=NW,SAT1+97,"")</f>
        <v/>
      </c>
      <c r="M149">
        <f>IF(AND(14&lt;=NW,14&gt;=START_O),1,0)</f>
        <v/>
      </c>
      <c r="N149">
        <f>IFERROR(INDEX(RT_OMR,MATCH(L149,RT_K,1)),INDEX(RT_OMR,1))</f>
        <v/>
      </c>
      <c r="O149">
        <f>IFERROR(INDEX(RT_OT,MATCH(L149,RT_K,1)),INDEX(RT_OT,1))</f>
        <v/>
      </c>
      <c r="P149">
        <f>IFERROR(INDEX(RT_GYP,MATCH(L149,RT_K,1)),INDEX(RT_GYP,1))</f>
        <v/>
      </c>
    </row>
    <row r="150">
      <c r="A150" s="20">
        <f>IF(14&lt;=NW,SAT1+91,"")</f>
        <v/>
      </c>
      <c r="B150" s="21">
        <f>IF(A150="","",CHOOSE(WEEKDAY(A150,1),"الأحد","الاثنين","الثلاثاء","الأربعاء","الخميس","الجمعة","السبت"))</f>
        <v/>
      </c>
      <c r="C150" s="22" t="n"/>
      <c r="D150" s="22" t="n"/>
      <c r="E150" s="23">
        <f>IF(OR(M150=0,K150="",L150=""),"",MOD(L150-K150,1))</f>
        <v/>
      </c>
      <c r="F150" s="23">
        <f>IF(OR(E150="",M150=0),"",IF(WEEKDAY(A150,1)=6,E150,MIN(E150,MAX(0,MIN(IF(L150&lt;K150,L150+1,L150),OMR_OT_AT)-K150))))</f>
        <v/>
      </c>
      <c r="G150" s="23">
        <f>IF(OR(E150="",M150=0),"",MAX(0,E150-F150))</f>
        <v/>
      </c>
      <c r="H150" s="24">
        <f>IF(OR(E150="",M150=0),"",ROUND((F150*$N$149+G150*$O$149)*24,3))</f>
        <v/>
      </c>
      <c r="I150" s="22" t="n"/>
      <c r="K150" s="25">
        <f>IF(OR(M150=0,C150=""),"",IF(ISNUMBER(C150),MOD(C150,1),IFERROR(INDEX('القوائم'!$B$1:$B$288,MATCH(TRIM(C150),'القوائم'!$A$1:$A$288,0)),IFERROR(MOD(TIMEVALUE(C150),1),""))))</f>
        <v/>
      </c>
      <c r="L150" s="25">
        <f>IF(OR(M150=0,D150=""),"",IF(ISNUMBER(D150),MOD(D150,1),IFERROR(INDEX('القوائم'!$B$1:$B$288,MATCH(TRIM(D150),'القوائم'!$A$1:$A$288,0)),IFERROR(MOD(TIMEVALUE(D150),1),""))))</f>
        <v/>
      </c>
      <c r="M150">
        <f>M149</f>
        <v/>
      </c>
      <c r="Q150">
        <f>IF(N(G159)&gt;0,1,0)</f>
        <v/>
      </c>
    </row>
    <row r="151">
      <c r="A151" s="20">
        <f>IF(14&lt;=NW,SAT1+92,"")</f>
        <v/>
      </c>
      <c r="B151" s="21">
        <f>IF(A151="","",CHOOSE(WEEKDAY(A151,1),"الأحد","الاثنين","الثلاثاء","الأربعاء","الخميس","الجمعة","السبت"))</f>
        <v/>
      </c>
      <c r="C151" s="22" t="n"/>
      <c r="D151" s="22" t="n"/>
      <c r="E151" s="23">
        <f>IF(OR(M151=0,K151="",L151=""),"",MOD(L151-K151,1))</f>
        <v/>
      </c>
      <c r="F151" s="23">
        <f>IF(OR(E151="",M151=0),"",IF(WEEKDAY(A151,1)=6,E151,MIN(E151,MAX(0,MIN(IF(L151&lt;K151,L151+1,L151),OMR_OT_AT)-K151))))</f>
        <v/>
      </c>
      <c r="G151" s="23">
        <f>IF(OR(E151="",M151=0),"",MAX(0,E151-F151))</f>
        <v/>
      </c>
      <c r="H151" s="24">
        <f>IF(OR(E151="",M151=0),"",ROUND((F151*$N$149+G151*$O$149)*24,3))</f>
        <v/>
      </c>
      <c r="I151" s="22" t="n"/>
      <c r="K151" s="25">
        <f>IF(OR(M151=0,C151=""),"",IF(ISNUMBER(C151),MOD(C151,1),IFERROR(INDEX('القوائم'!$B$1:$B$288,MATCH(TRIM(C151),'القوائم'!$A$1:$A$288,0)),IFERROR(MOD(TIMEVALUE(C151),1),""))))</f>
        <v/>
      </c>
      <c r="L151" s="25">
        <f>IF(OR(M151=0,D151=""),"",IF(ISNUMBER(D151),MOD(D151,1),IFERROR(INDEX('القوائم'!$B$1:$B$288,MATCH(TRIM(D151),'القوائم'!$A$1:$A$288,0)),IFERROR(MOD(TIMEVALUE(D151),1),""))))</f>
        <v/>
      </c>
      <c r="M151">
        <f>M149</f>
        <v/>
      </c>
      <c r="Q151">
        <f>IF(N(G159)&gt;0,1,0)</f>
        <v/>
      </c>
    </row>
    <row r="152">
      <c r="A152" s="20">
        <f>IF(14&lt;=NW,SAT1+93,"")</f>
        <v/>
      </c>
      <c r="B152" s="21">
        <f>IF(A152="","",CHOOSE(WEEKDAY(A152,1),"الأحد","الاثنين","الثلاثاء","الأربعاء","الخميس","الجمعة","السبت"))</f>
        <v/>
      </c>
      <c r="C152" s="22" t="n"/>
      <c r="D152" s="22" t="n"/>
      <c r="E152" s="23">
        <f>IF(OR(M152=0,K152="",L152=""),"",MOD(L152-K152,1))</f>
        <v/>
      </c>
      <c r="F152" s="23">
        <f>IF(OR(E152="",M152=0),"",IF(WEEKDAY(A152,1)=6,E152,MIN(E152,MAX(0,MIN(IF(L152&lt;K152,L152+1,L152),OMR_OT_AT)-K152))))</f>
        <v/>
      </c>
      <c r="G152" s="23">
        <f>IF(OR(E152="",M152=0),"",MAX(0,E152-F152))</f>
        <v/>
      </c>
      <c r="H152" s="24">
        <f>IF(OR(E152="",M152=0),"",ROUND((F152*$N$149+G152*$O$149)*24,3))</f>
        <v/>
      </c>
      <c r="I152" s="22" t="n"/>
      <c r="K152" s="25">
        <f>IF(OR(M152=0,C152=""),"",IF(ISNUMBER(C152),MOD(C152,1),IFERROR(INDEX('القوائم'!$B$1:$B$288,MATCH(TRIM(C152),'القوائم'!$A$1:$A$288,0)),IFERROR(MOD(TIMEVALUE(C152),1),""))))</f>
        <v/>
      </c>
      <c r="L152" s="25">
        <f>IF(OR(M152=0,D152=""),"",IF(ISNUMBER(D152),MOD(D152,1),IFERROR(INDEX('القوائم'!$B$1:$B$288,MATCH(TRIM(D152),'القوائم'!$A$1:$A$288,0)),IFERROR(MOD(TIMEVALUE(D152),1),""))))</f>
        <v/>
      </c>
      <c r="M152">
        <f>M149</f>
        <v/>
      </c>
      <c r="Q152">
        <f>IF(N(G159)&gt;0,1,0)</f>
        <v/>
      </c>
    </row>
    <row r="153">
      <c r="A153" s="20">
        <f>IF(14&lt;=NW,SAT1+94,"")</f>
        <v/>
      </c>
      <c r="B153" s="21">
        <f>IF(A153="","",CHOOSE(WEEKDAY(A153,1),"الأحد","الاثنين","الثلاثاء","الأربعاء","الخميس","الجمعة","السبت"))</f>
        <v/>
      </c>
      <c r="C153" s="22" t="n"/>
      <c r="D153" s="22" t="n"/>
      <c r="E153" s="23">
        <f>IF(OR(M153=0,K153="",L153=""),"",MOD(L153-K153,1))</f>
        <v/>
      </c>
      <c r="F153" s="23">
        <f>IF(OR(E153="",M153=0),"",IF(WEEKDAY(A153,1)=6,E153,MIN(E153,MAX(0,MIN(IF(L153&lt;K153,L153+1,L153),OMR_OT_AT)-K153))))</f>
        <v/>
      </c>
      <c r="G153" s="23">
        <f>IF(OR(E153="",M153=0),"",MAX(0,E153-F153))</f>
        <v/>
      </c>
      <c r="H153" s="24">
        <f>IF(OR(E153="",M153=0),"",ROUND((F153*$N$149+G153*$O$149)*24,3))</f>
        <v/>
      </c>
      <c r="I153" s="22" t="n"/>
      <c r="K153" s="25">
        <f>IF(OR(M153=0,C153=""),"",IF(ISNUMBER(C153),MOD(C153,1),IFERROR(INDEX('القوائم'!$B$1:$B$288,MATCH(TRIM(C153),'القوائم'!$A$1:$A$288,0)),IFERROR(MOD(TIMEVALUE(C153),1),""))))</f>
        <v/>
      </c>
      <c r="L153" s="25">
        <f>IF(OR(M153=0,D153=""),"",IF(ISNUMBER(D153),MOD(D153,1),IFERROR(INDEX('القوائم'!$B$1:$B$288,MATCH(TRIM(D153),'القوائم'!$A$1:$A$288,0)),IFERROR(MOD(TIMEVALUE(D153),1),""))))</f>
        <v/>
      </c>
      <c r="M153">
        <f>M149</f>
        <v/>
      </c>
      <c r="Q153">
        <f>IF(N(G159)&gt;0,1,0)</f>
        <v/>
      </c>
    </row>
    <row r="154">
      <c r="A154" s="20">
        <f>IF(14&lt;=NW,SAT1+95,"")</f>
        <v/>
      </c>
      <c r="B154" s="21">
        <f>IF(A154="","",CHOOSE(WEEKDAY(A154,1),"الأحد","الاثنين","الثلاثاء","الأربعاء","الخميس","الجمعة","السبت"))</f>
        <v/>
      </c>
      <c r="C154" s="22" t="n"/>
      <c r="D154" s="22" t="n"/>
      <c r="E154" s="23">
        <f>IF(OR(M154=0,K154="",L154=""),"",MOD(L154-K154,1))</f>
        <v/>
      </c>
      <c r="F154" s="23">
        <f>IF(OR(E154="",M154=0),"",IF(WEEKDAY(A154,1)=6,E154,MIN(E154,MAX(0,MIN(IF(L154&lt;K154,L154+1,L154),OMR_OT_AT)-K154))))</f>
        <v/>
      </c>
      <c r="G154" s="23">
        <f>IF(OR(E154="",M154=0),"",MAX(0,E154-F154))</f>
        <v/>
      </c>
      <c r="H154" s="24">
        <f>IF(OR(E154="",M154=0),"",ROUND((F154*$N$149+G154*$O$149)*24,3))</f>
        <v/>
      </c>
      <c r="I154" s="22" t="n"/>
      <c r="K154" s="25">
        <f>IF(OR(M154=0,C154=""),"",IF(ISNUMBER(C154),MOD(C154,1),IFERROR(INDEX('القوائم'!$B$1:$B$288,MATCH(TRIM(C154),'القوائم'!$A$1:$A$288,0)),IFERROR(MOD(TIMEVALUE(C154),1),""))))</f>
        <v/>
      </c>
      <c r="L154" s="25">
        <f>IF(OR(M154=0,D154=""),"",IF(ISNUMBER(D154),MOD(D154,1),IFERROR(INDEX('القوائم'!$B$1:$B$288,MATCH(TRIM(D154),'القوائم'!$A$1:$A$288,0)),IFERROR(MOD(TIMEVALUE(D154),1),""))))</f>
        <v/>
      </c>
      <c r="M154">
        <f>M149</f>
        <v/>
      </c>
      <c r="Q154">
        <f>IF(N(G159)&gt;0,1,0)</f>
        <v/>
      </c>
    </row>
    <row r="155">
      <c r="A155" s="20">
        <f>IF(14&lt;=NW,SAT1+96,"")</f>
        <v/>
      </c>
      <c r="B155" s="21">
        <f>IF(A155="","",CHOOSE(WEEKDAY(A155,1),"الأحد","الاثنين","الثلاثاء","الأربعاء","الخميس","الجمعة","السبت"))</f>
        <v/>
      </c>
      <c r="C155" s="22" t="n"/>
      <c r="D155" s="22" t="n"/>
      <c r="E155" s="23">
        <f>IF(OR(M155=0,K155="",L155=""),"",MOD(L155-K155,1))</f>
        <v/>
      </c>
      <c r="F155" s="23">
        <f>IF(OR(E155="",M155=0),"",IF(WEEKDAY(A155,1)=6,E155,MIN(E155,MAX(0,MIN(IF(L155&lt;K155,L155+1,L155),OMR_OT_AT)-K155))))</f>
        <v/>
      </c>
      <c r="G155" s="23">
        <f>IF(OR(E155="",M155=0),"",MAX(0,E155-F155))</f>
        <v/>
      </c>
      <c r="H155" s="24">
        <f>IF(OR(E155="",M155=0),"",ROUND((F155*$N$149+G155*$O$149)*24,3))</f>
        <v/>
      </c>
      <c r="I155" s="22" t="n"/>
      <c r="K155" s="25">
        <f>IF(OR(M155=0,C155=""),"",IF(ISNUMBER(C155),MOD(C155,1),IFERROR(INDEX('القوائم'!$B$1:$B$288,MATCH(TRIM(C155),'القوائم'!$A$1:$A$288,0)),IFERROR(MOD(TIMEVALUE(C155),1),""))))</f>
        <v/>
      </c>
      <c r="L155" s="25">
        <f>IF(OR(M155=0,D155=""),"",IF(ISNUMBER(D155),MOD(D155,1),IFERROR(INDEX('القوائم'!$B$1:$B$288,MATCH(TRIM(D155),'القوائم'!$A$1:$A$288,0)),IFERROR(MOD(TIMEVALUE(D155),1),""))))</f>
        <v/>
      </c>
      <c r="M155">
        <f>M149</f>
        <v/>
      </c>
      <c r="Q155">
        <f>IF(N(G159)&gt;0,1,0)</f>
        <v/>
      </c>
    </row>
    <row r="156">
      <c r="A156" s="26">
        <f>IF(14&lt;=NW,SAT1+97,"")</f>
        <v/>
      </c>
      <c r="B156" s="27">
        <f>IF(A156="","",CHOOSE(WEEKDAY(A156,1),"الأحد","الاثنين","الثلاثاء","الأربعاء","الخميس","الجمعة","السبت"))</f>
        <v/>
      </c>
      <c r="C156" s="22" t="n"/>
      <c r="D156" s="22" t="n"/>
      <c r="E156" s="23">
        <f>IF(OR(M156=0,K156="",L156=""),"",MOD(L156-K156,1))</f>
        <v/>
      </c>
      <c r="F156" s="23">
        <f>IF(OR(E156="",M156=0),"",IF(WEEKDAY(A156,1)=6,E156,MIN(E156,MAX(0,MIN(IF(L156&lt;K156,L156+1,L156),OMR_OT_AT)-K156))))</f>
        <v/>
      </c>
      <c r="G156" s="23">
        <f>IF(OR(E156="",M156=0),"",MAX(0,E156-F156))</f>
        <v/>
      </c>
      <c r="H156" s="24">
        <f>IF(OR(E156="",M156=0),"",ROUND((F156*$N$149+G156*$O$149)*24,3))</f>
        <v/>
      </c>
      <c r="I156" s="22" t="n"/>
      <c r="K156" s="25">
        <f>IF(OR(M156=0,C156=""),"",IF(ISNUMBER(C156),MOD(C156,1),IFERROR(INDEX('القوائم'!$B$1:$B$288,MATCH(TRIM(C156),'القوائم'!$A$1:$A$288,0)),IFERROR(MOD(TIMEVALUE(C156),1),""))))</f>
        <v/>
      </c>
      <c r="L156" s="25">
        <f>IF(OR(M156=0,D156=""),"",IF(ISNUMBER(D156),MOD(D156,1),IFERROR(INDEX('القوائم'!$B$1:$B$288,MATCH(TRIM(D156),'القوائم'!$A$1:$A$288,0)),IFERROR(MOD(TIMEVALUE(D156),1),""))))</f>
        <v/>
      </c>
      <c r="M156">
        <f>M149</f>
        <v/>
      </c>
      <c r="Q156">
        <f>IF(N(G159)&gt;0,1,0)</f>
        <v/>
      </c>
    </row>
    <row r="157">
      <c r="A157" s="28">
        <f>IF(M149=1,"مجموع أيام الأسبوع 14","")</f>
        <v/>
      </c>
      <c r="B157" s="28" t="n"/>
      <c r="C157" s="28" t="n"/>
      <c r="D157" s="28" t="n"/>
      <c r="E157" s="29">
        <f>IF(M149=1,SUM(E150:E156),"")</f>
        <v/>
      </c>
      <c r="F157" s="29">
        <f>IF(M149=1,SUM(F150:F156),"")</f>
        <v/>
      </c>
      <c r="G157" s="29">
        <f>IF(M149=1,SUM(G150:G156),"")</f>
        <v/>
      </c>
      <c r="H157" s="30">
        <f>IF(M149=1,SUM(H150:H156),"")</f>
        <v/>
      </c>
      <c r="I157" s="28" t="n"/>
    </row>
    <row r="158" ht="32" customHeight="1">
      <c r="A158" s="28">
        <f>IF(M149=1,"ساعات تحميل الجبسمبورد بهالأسبوع (رقم: 2 أو 1.5) ←","")</f>
        <v/>
      </c>
      <c r="E158" s="31" t="n"/>
      <c r="F158" s="32">
        <f>IF(M149=1,"المستحق النهائي للأسبوع (دينار) ←","")</f>
        <v/>
      </c>
      <c r="H158" s="33">
        <f>IF(M149=1,IF(ROUND_MODE="للأعلى",CEILING(ROUND((N(H157)+N(E158)*($P$149-$N$149)),3),0.25),ROUND((N(H157)+N(E158)*($P$149-$N$149))*4,0)/4),"")</f>
        <v/>
      </c>
      <c r="I158" s="34">
        <f>IF(M149=1,"قبل الجبر: "&amp;TEXT(N(H157)+N(E158)*($P$149-$N$149),"0.000"),"")</f>
        <v/>
      </c>
    </row>
    <row r="159" ht="26" customHeight="1">
      <c r="A159" s="28">
        <f>IF(M149=1,"إكرامية الأسبوع (دينار) ←","")</f>
        <v/>
      </c>
      <c r="D159" s="35" t="n"/>
      <c r="E159" s="28">
        <f>IF(M149=1,"المدفوع يوم الجمعة (دينار) ←","")</f>
        <v/>
      </c>
      <c r="G159" s="35" t="n"/>
      <c r="H159" s="36">
        <f>IF(M149=1,IF(N(G159)&gt;0,"✔ انقبض — الأسبوع مقفول","⏳ لسا ما انقبض"),"")</f>
        <v/>
      </c>
    </row>
    <row r="160" ht="26" customHeight="1">
      <c r="A160" s="18">
        <f>IF(15&lt;=NW,"الأسبوع 15 · السبت "&amp;TEXT(DAY(SAT1+98),"00")&amp;"/"&amp;TEXT(MONTH(SAT1+98),"00")&amp;" ← الجمعة "&amp;TEXT(DAY(SAT1+104),"00")&amp;"/"&amp;TEXT(MONTH(SAT1+104),"00")&amp;" (يوم القبض)"&amp;IF(15&lt;START_O,"   — قبل أسبوع البداية (ما بينحسب)",""),"ما في أسبوع 15 هالسنة")</f>
        <v/>
      </c>
      <c r="L160" s="19">
        <f>IF(15&lt;=NW,SAT1+104,"")</f>
        <v/>
      </c>
      <c r="M160">
        <f>IF(AND(15&lt;=NW,15&gt;=START_O),1,0)</f>
        <v/>
      </c>
      <c r="N160">
        <f>IFERROR(INDEX(RT_OMR,MATCH(L160,RT_K,1)),INDEX(RT_OMR,1))</f>
        <v/>
      </c>
      <c r="O160">
        <f>IFERROR(INDEX(RT_OT,MATCH(L160,RT_K,1)),INDEX(RT_OT,1))</f>
        <v/>
      </c>
      <c r="P160">
        <f>IFERROR(INDEX(RT_GYP,MATCH(L160,RT_K,1)),INDEX(RT_GYP,1))</f>
        <v/>
      </c>
    </row>
    <row r="161">
      <c r="A161" s="20">
        <f>IF(15&lt;=NW,SAT1+98,"")</f>
        <v/>
      </c>
      <c r="B161" s="21">
        <f>IF(A161="","",CHOOSE(WEEKDAY(A161,1),"الأحد","الاثنين","الثلاثاء","الأربعاء","الخميس","الجمعة","السبت"))</f>
        <v/>
      </c>
      <c r="C161" s="22" t="n"/>
      <c r="D161" s="22" t="n"/>
      <c r="E161" s="23">
        <f>IF(OR(M161=0,K161="",L161=""),"",MOD(L161-K161,1))</f>
        <v/>
      </c>
      <c r="F161" s="23">
        <f>IF(OR(E161="",M161=0),"",IF(WEEKDAY(A161,1)=6,E161,MIN(E161,MAX(0,MIN(IF(L161&lt;K161,L161+1,L161),OMR_OT_AT)-K161))))</f>
        <v/>
      </c>
      <c r="G161" s="23">
        <f>IF(OR(E161="",M161=0),"",MAX(0,E161-F161))</f>
        <v/>
      </c>
      <c r="H161" s="24">
        <f>IF(OR(E161="",M161=0),"",ROUND((F161*$N$160+G161*$O$160)*24,3))</f>
        <v/>
      </c>
      <c r="I161" s="22" t="n"/>
      <c r="K161" s="25">
        <f>IF(OR(M161=0,C161=""),"",IF(ISNUMBER(C161),MOD(C161,1),IFERROR(INDEX('القوائم'!$B$1:$B$288,MATCH(TRIM(C161),'القوائم'!$A$1:$A$288,0)),IFERROR(MOD(TIMEVALUE(C161),1),""))))</f>
        <v/>
      </c>
      <c r="L161" s="25">
        <f>IF(OR(M161=0,D161=""),"",IF(ISNUMBER(D161),MOD(D161,1),IFERROR(INDEX('القوائم'!$B$1:$B$288,MATCH(TRIM(D161),'القوائم'!$A$1:$A$288,0)),IFERROR(MOD(TIMEVALUE(D161),1),""))))</f>
        <v/>
      </c>
      <c r="M161">
        <f>M160</f>
        <v/>
      </c>
      <c r="Q161">
        <f>IF(N(G170)&gt;0,1,0)</f>
        <v/>
      </c>
    </row>
    <row r="162">
      <c r="A162" s="20">
        <f>IF(15&lt;=NW,SAT1+99,"")</f>
        <v/>
      </c>
      <c r="B162" s="21">
        <f>IF(A162="","",CHOOSE(WEEKDAY(A162,1),"الأحد","الاثنين","الثلاثاء","الأربعاء","الخميس","الجمعة","السبت"))</f>
        <v/>
      </c>
      <c r="C162" s="22" t="n"/>
      <c r="D162" s="22" t="n"/>
      <c r="E162" s="23">
        <f>IF(OR(M162=0,K162="",L162=""),"",MOD(L162-K162,1))</f>
        <v/>
      </c>
      <c r="F162" s="23">
        <f>IF(OR(E162="",M162=0),"",IF(WEEKDAY(A162,1)=6,E162,MIN(E162,MAX(0,MIN(IF(L162&lt;K162,L162+1,L162),OMR_OT_AT)-K162))))</f>
        <v/>
      </c>
      <c r="G162" s="23">
        <f>IF(OR(E162="",M162=0),"",MAX(0,E162-F162))</f>
        <v/>
      </c>
      <c r="H162" s="24">
        <f>IF(OR(E162="",M162=0),"",ROUND((F162*$N$160+G162*$O$160)*24,3))</f>
        <v/>
      </c>
      <c r="I162" s="22" t="n"/>
      <c r="K162" s="25">
        <f>IF(OR(M162=0,C162=""),"",IF(ISNUMBER(C162),MOD(C162,1),IFERROR(INDEX('القوائم'!$B$1:$B$288,MATCH(TRIM(C162),'القوائم'!$A$1:$A$288,0)),IFERROR(MOD(TIMEVALUE(C162),1),""))))</f>
        <v/>
      </c>
      <c r="L162" s="25">
        <f>IF(OR(M162=0,D162=""),"",IF(ISNUMBER(D162),MOD(D162,1),IFERROR(INDEX('القوائم'!$B$1:$B$288,MATCH(TRIM(D162),'القوائم'!$A$1:$A$288,0)),IFERROR(MOD(TIMEVALUE(D162),1),""))))</f>
        <v/>
      </c>
      <c r="M162">
        <f>M160</f>
        <v/>
      </c>
      <c r="Q162">
        <f>IF(N(G170)&gt;0,1,0)</f>
        <v/>
      </c>
    </row>
    <row r="163">
      <c r="A163" s="20">
        <f>IF(15&lt;=NW,SAT1+100,"")</f>
        <v/>
      </c>
      <c r="B163" s="21">
        <f>IF(A163="","",CHOOSE(WEEKDAY(A163,1),"الأحد","الاثنين","الثلاثاء","الأربعاء","الخميس","الجمعة","السبت"))</f>
        <v/>
      </c>
      <c r="C163" s="22" t="n"/>
      <c r="D163" s="22" t="n"/>
      <c r="E163" s="23">
        <f>IF(OR(M163=0,K163="",L163=""),"",MOD(L163-K163,1))</f>
        <v/>
      </c>
      <c r="F163" s="23">
        <f>IF(OR(E163="",M163=0),"",IF(WEEKDAY(A163,1)=6,E163,MIN(E163,MAX(0,MIN(IF(L163&lt;K163,L163+1,L163),OMR_OT_AT)-K163))))</f>
        <v/>
      </c>
      <c r="G163" s="23">
        <f>IF(OR(E163="",M163=0),"",MAX(0,E163-F163))</f>
        <v/>
      </c>
      <c r="H163" s="24">
        <f>IF(OR(E163="",M163=0),"",ROUND((F163*$N$160+G163*$O$160)*24,3))</f>
        <v/>
      </c>
      <c r="I163" s="22" t="n"/>
      <c r="K163" s="25">
        <f>IF(OR(M163=0,C163=""),"",IF(ISNUMBER(C163),MOD(C163,1),IFERROR(INDEX('القوائم'!$B$1:$B$288,MATCH(TRIM(C163),'القوائم'!$A$1:$A$288,0)),IFERROR(MOD(TIMEVALUE(C163),1),""))))</f>
        <v/>
      </c>
      <c r="L163" s="25">
        <f>IF(OR(M163=0,D163=""),"",IF(ISNUMBER(D163),MOD(D163,1),IFERROR(INDEX('القوائم'!$B$1:$B$288,MATCH(TRIM(D163),'القوائم'!$A$1:$A$288,0)),IFERROR(MOD(TIMEVALUE(D163),1),""))))</f>
        <v/>
      </c>
      <c r="M163">
        <f>M160</f>
        <v/>
      </c>
      <c r="Q163">
        <f>IF(N(G170)&gt;0,1,0)</f>
        <v/>
      </c>
    </row>
    <row r="164">
      <c r="A164" s="20">
        <f>IF(15&lt;=NW,SAT1+101,"")</f>
        <v/>
      </c>
      <c r="B164" s="21">
        <f>IF(A164="","",CHOOSE(WEEKDAY(A164,1),"الأحد","الاثنين","الثلاثاء","الأربعاء","الخميس","الجمعة","السبت"))</f>
        <v/>
      </c>
      <c r="C164" s="22" t="n"/>
      <c r="D164" s="22" t="n"/>
      <c r="E164" s="23">
        <f>IF(OR(M164=0,K164="",L164=""),"",MOD(L164-K164,1))</f>
        <v/>
      </c>
      <c r="F164" s="23">
        <f>IF(OR(E164="",M164=0),"",IF(WEEKDAY(A164,1)=6,E164,MIN(E164,MAX(0,MIN(IF(L164&lt;K164,L164+1,L164),OMR_OT_AT)-K164))))</f>
        <v/>
      </c>
      <c r="G164" s="23">
        <f>IF(OR(E164="",M164=0),"",MAX(0,E164-F164))</f>
        <v/>
      </c>
      <c r="H164" s="24">
        <f>IF(OR(E164="",M164=0),"",ROUND((F164*$N$160+G164*$O$160)*24,3))</f>
        <v/>
      </c>
      <c r="I164" s="22" t="n"/>
      <c r="K164" s="25">
        <f>IF(OR(M164=0,C164=""),"",IF(ISNUMBER(C164),MOD(C164,1),IFERROR(INDEX('القوائم'!$B$1:$B$288,MATCH(TRIM(C164),'القوائم'!$A$1:$A$288,0)),IFERROR(MOD(TIMEVALUE(C164),1),""))))</f>
        <v/>
      </c>
      <c r="L164" s="25">
        <f>IF(OR(M164=0,D164=""),"",IF(ISNUMBER(D164),MOD(D164,1),IFERROR(INDEX('القوائم'!$B$1:$B$288,MATCH(TRIM(D164),'القوائم'!$A$1:$A$288,0)),IFERROR(MOD(TIMEVALUE(D164),1),""))))</f>
        <v/>
      </c>
      <c r="M164">
        <f>M160</f>
        <v/>
      </c>
      <c r="Q164">
        <f>IF(N(G170)&gt;0,1,0)</f>
        <v/>
      </c>
    </row>
    <row r="165">
      <c r="A165" s="20">
        <f>IF(15&lt;=NW,SAT1+102,"")</f>
        <v/>
      </c>
      <c r="B165" s="21">
        <f>IF(A165="","",CHOOSE(WEEKDAY(A165,1),"الأحد","الاثنين","الثلاثاء","الأربعاء","الخميس","الجمعة","السبت"))</f>
        <v/>
      </c>
      <c r="C165" s="22" t="n"/>
      <c r="D165" s="22" t="n"/>
      <c r="E165" s="23">
        <f>IF(OR(M165=0,K165="",L165=""),"",MOD(L165-K165,1))</f>
        <v/>
      </c>
      <c r="F165" s="23">
        <f>IF(OR(E165="",M165=0),"",IF(WEEKDAY(A165,1)=6,E165,MIN(E165,MAX(0,MIN(IF(L165&lt;K165,L165+1,L165),OMR_OT_AT)-K165))))</f>
        <v/>
      </c>
      <c r="G165" s="23">
        <f>IF(OR(E165="",M165=0),"",MAX(0,E165-F165))</f>
        <v/>
      </c>
      <c r="H165" s="24">
        <f>IF(OR(E165="",M165=0),"",ROUND((F165*$N$160+G165*$O$160)*24,3))</f>
        <v/>
      </c>
      <c r="I165" s="22" t="n"/>
      <c r="K165" s="25">
        <f>IF(OR(M165=0,C165=""),"",IF(ISNUMBER(C165),MOD(C165,1),IFERROR(INDEX('القوائم'!$B$1:$B$288,MATCH(TRIM(C165),'القوائم'!$A$1:$A$288,0)),IFERROR(MOD(TIMEVALUE(C165),1),""))))</f>
        <v/>
      </c>
      <c r="L165" s="25">
        <f>IF(OR(M165=0,D165=""),"",IF(ISNUMBER(D165),MOD(D165,1),IFERROR(INDEX('القوائم'!$B$1:$B$288,MATCH(TRIM(D165),'القوائم'!$A$1:$A$288,0)),IFERROR(MOD(TIMEVALUE(D165),1),""))))</f>
        <v/>
      </c>
      <c r="M165">
        <f>M160</f>
        <v/>
      </c>
      <c r="Q165">
        <f>IF(N(G170)&gt;0,1,0)</f>
        <v/>
      </c>
    </row>
    <row r="166">
      <c r="A166" s="20">
        <f>IF(15&lt;=NW,SAT1+103,"")</f>
        <v/>
      </c>
      <c r="B166" s="21">
        <f>IF(A166="","",CHOOSE(WEEKDAY(A166,1),"الأحد","الاثنين","الثلاثاء","الأربعاء","الخميس","الجمعة","السبت"))</f>
        <v/>
      </c>
      <c r="C166" s="22" t="n"/>
      <c r="D166" s="22" t="n"/>
      <c r="E166" s="23">
        <f>IF(OR(M166=0,K166="",L166=""),"",MOD(L166-K166,1))</f>
        <v/>
      </c>
      <c r="F166" s="23">
        <f>IF(OR(E166="",M166=0),"",IF(WEEKDAY(A166,1)=6,E166,MIN(E166,MAX(0,MIN(IF(L166&lt;K166,L166+1,L166),OMR_OT_AT)-K166))))</f>
        <v/>
      </c>
      <c r="G166" s="23">
        <f>IF(OR(E166="",M166=0),"",MAX(0,E166-F166))</f>
        <v/>
      </c>
      <c r="H166" s="24">
        <f>IF(OR(E166="",M166=0),"",ROUND((F166*$N$160+G166*$O$160)*24,3))</f>
        <v/>
      </c>
      <c r="I166" s="22" t="n"/>
      <c r="K166" s="25">
        <f>IF(OR(M166=0,C166=""),"",IF(ISNUMBER(C166),MOD(C166,1),IFERROR(INDEX('القوائم'!$B$1:$B$288,MATCH(TRIM(C166),'القوائم'!$A$1:$A$288,0)),IFERROR(MOD(TIMEVALUE(C166),1),""))))</f>
        <v/>
      </c>
      <c r="L166" s="25">
        <f>IF(OR(M166=0,D166=""),"",IF(ISNUMBER(D166),MOD(D166,1),IFERROR(INDEX('القوائم'!$B$1:$B$288,MATCH(TRIM(D166),'القوائم'!$A$1:$A$288,0)),IFERROR(MOD(TIMEVALUE(D166),1),""))))</f>
        <v/>
      </c>
      <c r="M166">
        <f>M160</f>
        <v/>
      </c>
      <c r="Q166">
        <f>IF(N(G170)&gt;0,1,0)</f>
        <v/>
      </c>
    </row>
    <row r="167">
      <c r="A167" s="26">
        <f>IF(15&lt;=NW,SAT1+104,"")</f>
        <v/>
      </c>
      <c r="B167" s="27">
        <f>IF(A167="","",CHOOSE(WEEKDAY(A167,1),"الأحد","الاثنين","الثلاثاء","الأربعاء","الخميس","الجمعة","السبت"))</f>
        <v/>
      </c>
      <c r="C167" s="22" t="n"/>
      <c r="D167" s="22" t="n"/>
      <c r="E167" s="23">
        <f>IF(OR(M167=0,K167="",L167=""),"",MOD(L167-K167,1))</f>
        <v/>
      </c>
      <c r="F167" s="23">
        <f>IF(OR(E167="",M167=0),"",IF(WEEKDAY(A167,1)=6,E167,MIN(E167,MAX(0,MIN(IF(L167&lt;K167,L167+1,L167),OMR_OT_AT)-K167))))</f>
        <v/>
      </c>
      <c r="G167" s="23">
        <f>IF(OR(E167="",M167=0),"",MAX(0,E167-F167))</f>
        <v/>
      </c>
      <c r="H167" s="24">
        <f>IF(OR(E167="",M167=0),"",ROUND((F167*$N$160+G167*$O$160)*24,3))</f>
        <v/>
      </c>
      <c r="I167" s="22" t="n"/>
      <c r="K167" s="25">
        <f>IF(OR(M167=0,C167=""),"",IF(ISNUMBER(C167),MOD(C167,1),IFERROR(INDEX('القوائم'!$B$1:$B$288,MATCH(TRIM(C167),'القوائم'!$A$1:$A$288,0)),IFERROR(MOD(TIMEVALUE(C167),1),""))))</f>
        <v/>
      </c>
      <c r="L167" s="25">
        <f>IF(OR(M167=0,D167=""),"",IF(ISNUMBER(D167),MOD(D167,1),IFERROR(INDEX('القوائم'!$B$1:$B$288,MATCH(TRIM(D167),'القوائم'!$A$1:$A$288,0)),IFERROR(MOD(TIMEVALUE(D167),1),""))))</f>
        <v/>
      </c>
      <c r="M167">
        <f>M160</f>
        <v/>
      </c>
      <c r="Q167">
        <f>IF(N(G170)&gt;0,1,0)</f>
        <v/>
      </c>
    </row>
    <row r="168">
      <c r="A168" s="28">
        <f>IF(M160=1,"مجموع أيام الأسبوع 15","")</f>
        <v/>
      </c>
      <c r="B168" s="28" t="n"/>
      <c r="C168" s="28" t="n"/>
      <c r="D168" s="28" t="n"/>
      <c r="E168" s="29">
        <f>IF(M160=1,SUM(E161:E167),"")</f>
        <v/>
      </c>
      <c r="F168" s="29">
        <f>IF(M160=1,SUM(F161:F167),"")</f>
        <v/>
      </c>
      <c r="G168" s="29">
        <f>IF(M160=1,SUM(G161:G167),"")</f>
        <v/>
      </c>
      <c r="H168" s="30">
        <f>IF(M160=1,SUM(H161:H167),"")</f>
        <v/>
      </c>
      <c r="I168" s="28" t="n"/>
    </row>
    <row r="169" ht="32" customHeight="1">
      <c r="A169" s="28">
        <f>IF(M160=1,"ساعات تحميل الجبسمبورد بهالأسبوع (رقم: 2 أو 1.5) ←","")</f>
        <v/>
      </c>
      <c r="E169" s="31" t="n"/>
      <c r="F169" s="32">
        <f>IF(M160=1,"المستحق النهائي للأسبوع (دينار) ←","")</f>
        <v/>
      </c>
      <c r="H169" s="33">
        <f>IF(M160=1,IF(ROUND_MODE="للأعلى",CEILING(ROUND((N(H168)+N(E169)*($P$160-$N$160)),3),0.25),ROUND((N(H168)+N(E169)*($P$160-$N$160))*4,0)/4),"")</f>
        <v/>
      </c>
      <c r="I169" s="34">
        <f>IF(M160=1,"قبل الجبر: "&amp;TEXT(N(H168)+N(E169)*($P$160-$N$160),"0.000"),"")</f>
        <v/>
      </c>
    </row>
    <row r="170" ht="26" customHeight="1">
      <c r="A170" s="28">
        <f>IF(M160=1,"إكرامية الأسبوع (دينار) ←","")</f>
        <v/>
      </c>
      <c r="D170" s="35" t="n"/>
      <c r="E170" s="28">
        <f>IF(M160=1,"المدفوع يوم الجمعة (دينار) ←","")</f>
        <v/>
      </c>
      <c r="G170" s="35" t="n"/>
      <c r="H170" s="36">
        <f>IF(M160=1,IF(N(G170)&gt;0,"✔ انقبض — الأسبوع مقفول","⏳ لسا ما انقبض"),"")</f>
        <v/>
      </c>
    </row>
    <row r="171" ht="26" customHeight="1">
      <c r="A171" s="18">
        <f>IF(16&lt;=NW,"الأسبوع 16 · السبت "&amp;TEXT(DAY(SAT1+105),"00")&amp;"/"&amp;TEXT(MONTH(SAT1+105),"00")&amp;" ← الجمعة "&amp;TEXT(DAY(SAT1+111),"00")&amp;"/"&amp;TEXT(MONTH(SAT1+111),"00")&amp;" (يوم القبض)"&amp;IF(16&lt;START_O,"   — قبل أسبوع البداية (ما بينحسب)",""),"ما في أسبوع 16 هالسنة")</f>
        <v/>
      </c>
      <c r="L171" s="19">
        <f>IF(16&lt;=NW,SAT1+111,"")</f>
        <v/>
      </c>
      <c r="M171">
        <f>IF(AND(16&lt;=NW,16&gt;=START_O),1,0)</f>
        <v/>
      </c>
      <c r="N171">
        <f>IFERROR(INDEX(RT_OMR,MATCH(L171,RT_K,1)),INDEX(RT_OMR,1))</f>
        <v/>
      </c>
      <c r="O171">
        <f>IFERROR(INDEX(RT_OT,MATCH(L171,RT_K,1)),INDEX(RT_OT,1))</f>
        <v/>
      </c>
      <c r="P171">
        <f>IFERROR(INDEX(RT_GYP,MATCH(L171,RT_K,1)),INDEX(RT_GYP,1))</f>
        <v/>
      </c>
    </row>
    <row r="172">
      <c r="A172" s="20">
        <f>IF(16&lt;=NW,SAT1+105,"")</f>
        <v/>
      </c>
      <c r="B172" s="21">
        <f>IF(A172="","",CHOOSE(WEEKDAY(A172,1),"الأحد","الاثنين","الثلاثاء","الأربعاء","الخميس","الجمعة","السبت"))</f>
        <v/>
      </c>
      <c r="C172" s="22" t="n"/>
      <c r="D172" s="22" t="n"/>
      <c r="E172" s="23">
        <f>IF(OR(M172=0,K172="",L172=""),"",MOD(L172-K172,1))</f>
        <v/>
      </c>
      <c r="F172" s="23">
        <f>IF(OR(E172="",M172=0),"",IF(WEEKDAY(A172,1)=6,E172,MIN(E172,MAX(0,MIN(IF(L172&lt;K172,L172+1,L172),OMR_OT_AT)-K172))))</f>
        <v/>
      </c>
      <c r="G172" s="23">
        <f>IF(OR(E172="",M172=0),"",MAX(0,E172-F172))</f>
        <v/>
      </c>
      <c r="H172" s="24">
        <f>IF(OR(E172="",M172=0),"",ROUND((F172*$N$171+G172*$O$171)*24,3))</f>
        <v/>
      </c>
      <c r="I172" s="22" t="n"/>
      <c r="K172" s="25">
        <f>IF(OR(M172=0,C172=""),"",IF(ISNUMBER(C172),MOD(C172,1),IFERROR(INDEX('القوائم'!$B$1:$B$288,MATCH(TRIM(C172),'القوائم'!$A$1:$A$288,0)),IFERROR(MOD(TIMEVALUE(C172),1),""))))</f>
        <v/>
      </c>
      <c r="L172" s="25">
        <f>IF(OR(M172=0,D172=""),"",IF(ISNUMBER(D172),MOD(D172,1),IFERROR(INDEX('القوائم'!$B$1:$B$288,MATCH(TRIM(D172),'القوائم'!$A$1:$A$288,0)),IFERROR(MOD(TIMEVALUE(D172),1),""))))</f>
        <v/>
      </c>
      <c r="M172">
        <f>M171</f>
        <v/>
      </c>
      <c r="Q172">
        <f>IF(N(G181)&gt;0,1,0)</f>
        <v/>
      </c>
    </row>
    <row r="173">
      <c r="A173" s="20">
        <f>IF(16&lt;=NW,SAT1+106,"")</f>
        <v/>
      </c>
      <c r="B173" s="21">
        <f>IF(A173="","",CHOOSE(WEEKDAY(A173,1),"الأحد","الاثنين","الثلاثاء","الأربعاء","الخميس","الجمعة","السبت"))</f>
        <v/>
      </c>
      <c r="C173" s="22" t="n"/>
      <c r="D173" s="22" t="n"/>
      <c r="E173" s="23">
        <f>IF(OR(M173=0,K173="",L173=""),"",MOD(L173-K173,1))</f>
        <v/>
      </c>
      <c r="F173" s="23">
        <f>IF(OR(E173="",M173=0),"",IF(WEEKDAY(A173,1)=6,E173,MIN(E173,MAX(0,MIN(IF(L173&lt;K173,L173+1,L173),OMR_OT_AT)-K173))))</f>
        <v/>
      </c>
      <c r="G173" s="23">
        <f>IF(OR(E173="",M173=0),"",MAX(0,E173-F173))</f>
        <v/>
      </c>
      <c r="H173" s="24">
        <f>IF(OR(E173="",M173=0),"",ROUND((F173*$N$171+G173*$O$171)*24,3))</f>
        <v/>
      </c>
      <c r="I173" s="22" t="n"/>
      <c r="K173" s="25">
        <f>IF(OR(M173=0,C173=""),"",IF(ISNUMBER(C173),MOD(C173,1),IFERROR(INDEX('القوائم'!$B$1:$B$288,MATCH(TRIM(C173),'القوائم'!$A$1:$A$288,0)),IFERROR(MOD(TIMEVALUE(C173),1),""))))</f>
        <v/>
      </c>
      <c r="L173" s="25">
        <f>IF(OR(M173=0,D173=""),"",IF(ISNUMBER(D173),MOD(D173,1),IFERROR(INDEX('القوائم'!$B$1:$B$288,MATCH(TRIM(D173),'القوائم'!$A$1:$A$288,0)),IFERROR(MOD(TIMEVALUE(D173),1),""))))</f>
        <v/>
      </c>
      <c r="M173">
        <f>M171</f>
        <v/>
      </c>
      <c r="Q173">
        <f>IF(N(G181)&gt;0,1,0)</f>
        <v/>
      </c>
    </row>
    <row r="174">
      <c r="A174" s="20">
        <f>IF(16&lt;=NW,SAT1+107,"")</f>
        <v/>
      </c>
      <c r="B174" s="21">
        <f>IF(A174="","",CHOOSE(WEEKDAY(A174,1),"الأحد","الاثنين","الثلاثاء","الأربعاء","الخميس","الجمعة","السبت"))</f>
        <v/>
      </c>
      <c r="C174" s="22" t="n"/>
      <c r="D174" s="22" t="n"/>
      <c r="E174" s="23">
        <f>IF(OR(M174=0,K174="",L174=""),"",MOD(L174-K174,1))</f>
        <v/>
      </c>
      <c r="F174" s="23">
        <f>IF(OR(E174="",M174=0),"",IF(WEEKDAY(A174,1)=6,E174,MIN(E174,MAX(0,MIN(IF(L174&lt;K174,L174+1,L174),OMR_OT_AT)-K174))))</f>
        <v/>
      </c>
      <c r="G174" s="23">
        <f>IF(OR(E174="",M174=0),"",MAX(0,E174-F174))</f>
        <v/>
      </c>
      <c r="H174" s="24">
        <f>IF(OR(E174="",M174=0),"",ROUND((F174*$N$171+G174*$O$171)*24,3))</f>
        <v/>
      </c>
      <c r="I174" s="22" t="n"/>
      <c r="K174" s="25">
        <f>IF(OR(M174=0,C174=""),"",IF(ISNUMBER(C174),MOD(C174,1),IFERROR(INDEX('القوائم'!$B$1:$B$288,MATCH(TRIM(C174),'القوائم'!$A$1:$A$288,0)),IFERROR(MOD(TIMEVALUE(C174),1),""))))</f>
        <v/>
      </c>
      <c r="L174" s="25">
        <f>IF(OR(M174=0,D174=""),"",IF(ISNUMBER(D174),MOD(D174,1),IFERROR(INDEX('القوائم'!$B$1:$B$288,MATCH(TRIM(D174),'القوائم'!$A$1:$A$288,0)),IFERROR(MOD(TIMEVALUE(D174),1),""))))</f>
        <v/>
      </c>
      <c r="M174">
        <f>M171</f>
        <v/>
      </c>
      <c r="Q174">
        <f>IF(N(G181)&gt;0,1,0)</f>
        <v/>
      </c>
    </row>
    <row r="175">
      <c r="A175" s="20">
        <f>IF(16&lt;=NW,SAT1+108,"")</f>
        <v/>
      </c>
      <c r="B175" s="21">
        <f>IF(A175="","",CHOOSE(WEEKDAY(A175,1),"الأحد","الاثنين","الثلاثاء","الأربعاء","الخميس","الجمعة","السبت"))</f>
        <v/>
      </c>
      <c r="C175" s="22" t="n"/>
      <c r="D175" s="22" t="n"/>
      <c r="E175" s="23">
        <f>IF(OR(M175=0,K175="",L175=""),"",MOD(L175-K175,1))</f>
        <v/>
      </c>
      <c r="F175" s="23">
        <f>IF(OR(E175="",M175=0),"",IF(WEEKDAY(A175,1)=6,E175,MIN(E175,MAX(0,MIN(IF(L175&lt;K175,L175+1,L175),OMR_OT_AT)-K175))))</f>
        <v/>
      </c>
      <c r="G175" s="23">
        <f>IF(OR(E175="",M175=0),"",MAX(0,E175-F175))</f>
        <v/>
      </c>
      <c r="H175" s="24">
        <f>IF(OR(E175="",M175=0),"",ROUND((F175*$N$171+G175*$O$171)*24,3))</f>
        <v/>
      </c>
      <c r="I175" s="22" t="n"/>
      <c r="K175" s="25">
        <f>IF(OR(M175=0,C175=""),"",IF(ISNUMBER(C175),MOD(C175,1),IFERROR(INDEX('القوائم'!$B$1:$B$288,MATCH(TRIM(C175),'القوائم'!$A$1:$A$288,0)),IFERROR(MOD(TIMEVALUE(C175),1),""))))</f>
        <v/>
      </c>
      <c r="L175" s="25">
        <f>IF(OR(M175=0,D175=""),"",IF(ISNUMBER(D175),MOD(D175,1),IFERROR(INDEX('القوائم'!$B$1:$B$288,MATCH(TRIM(D175),'القوائم'!$A$1:$A$288,0)),IFERROR(MOD(TIMEVALUE(D175),1),""))))</f>
        <v/>
      </c>
      <c r="M175">
        <f>M171</f>
        <v/>
      </c>
      <c r="Q175">
        <f>IF(N(G181)&gt;0,1,0)</f>
        <v/>
      </c>
    </row>
    <row r="176">
      <c r="A176" s="20">
        <f>IF(16&lt;=NW,SAT1+109,"")</f>
        <v/>
      </c>
      <c r="B176" s="21">
        <f>IF(A176="","",CHOOSE(WEEKDAY(A176,1),"الأحد","الاثنين","الثلاثاء","الأربعاء","الخميس","الجمعة","السبت"))</f>
        <v/>
      </c>
      <c r="C176" s="22" t="n"/>
      <c r="D176" s="22" t="n"/>
      <c r="E176" s="23">
        <f>IF(OR(M176=0,K176="",L176=""),"",MOD(L176-K176,1))</f>
        <v/>
      </c>
      <c r="F176" s="23">
        <f>IF(OR(E176="",M176=0),"",IF(WEEKDAY(A176,1)=6,E176,MIN(E176,MAX(0,MIN(IF(L176&lt;K176,L176+1,L176),OMR_OT_AT)-K176))))</f>
        <v/>
      </c>
      <c r="G176" s="23">
        <f>IF(OR(E176="",M176=0),"",MAX(0,E176-F176))</f>
        <v/>
      </c>
      <c r="H176" s="24">
        <f>IF(OR(E176="",M176=0),"",ROUND((F176*$N$171+G176*$O$171)*24,3))</f>
        <v/>
      </c>
      <c r="I176" s="22" t="n"/>
      <c r="K176" s="25">
        <f>IF(OR(M176=0,C176=""),"",IF(ISNUMBER(C176),MOD(C176,1),IFERROR(INDEX('القوائم'!$B$1:$B$288,MATCH(TRIM(C176),'القوائم'!$A$1:$A$288,0)),IFERROR(MOD(TIMEVALUE(C176),1),""))))</f>
        <v/>
      </c>
      <c r="L176" s="25">
        <f>IF(OR(M176=0,D176=""),"",IF(ISNUMBER(D176),MOD(D176,1),IFERROR(INDEX('القوائم'!$B$1:$B$288,MATCH(TRIM(D176),'القوائم'!$A$1:$A$288,0)),IFERROR(MOD(TIMEVALUE(D176),1),""))))</f>
        <v/>
      </c>
      <c r="M176">
        <f>M171</f>
        <v/>
      </c>
      <c r="Q176">
        <f>IF(N(G181)&gt;0,1,0)</f>
        <v/>
      </c>
    </row>
    <row r="177">
      <c r="A177" s="20">
        <f>IF(16&lt;=NW,SAT1+110,"")</f>
        <v/>
      </c>
      <c r="B177" s="21">
        <f>IF(A177="","",CHOOSE(WEEKDAY(A177,1),"الأحد","الاثنين","الثلاثاء","الأربعاء","الخميس","الجمعة","السبت"))</f>
        <v/>
      </c>
      <c r="C177" s="22" t="n"/>
      <c r="D177" s="22" t="n"/>
      <c r="E177" s="23">
        <f>IF(OR(M177=0,K177="",L177=""),"",MOD(L177-K177,1))</f>
        <v/>
      </c>
      <c r="F177" s="23">
        <f>IF(OR(E177="",M177=0),"",IF(WEEKDAY(A177,1)=6,E177,MIN(E177,MAX(0,MIN(IF(L177&lt;K177,L177+1,L177),OMR_OT_AT)-K177))))</f>
        <v/>
      </c>
      <c r="G177" s="23">
        <f>IF(OR(E177="",M177=0),"",MAX(0,E177-F177))</f>
        <v/>
      </c>
      <c r="H177" s="24">
        <f>IF(OR(E177="",M177=0),"",ROUND((F177*$N$171+G177*$O$171)*24,3))</f>
        <v/>
      </c>
      <c r="I177" s="22" t="n"/>
      <c r="K177" s="25">
        <f>IF(OR(M177=0,C177=""),"",IF(ISNUMBER(C177),MOD(C177,1),IFERROR(INDEX('القوائم'!$B$1:$B$288,MATCH(TRIM(C177),'القوائم'!$A$1:$A$288,0)),IFERROR(MOD(TIMEVALUE(C177),1),""))))</f>
        <v/>
      </c>
      <c r="L177" s="25">
        <f>IF(OR(M177=0,D177=""),"",IF(ISNUMBER(D177),MOD(D177,1),IFERROR(INDEX('القوائم'!$B$1:$B$288,MATCH(TRIM(D177),'القوائم'!$A$1:$A$288,0)),IFERROR(MOD(TIMEVALUE(D177),1),""))))</f>
        <v/>
      </c>
      <c r="M177">
        <f>M171</f>
        <v/>
      </c>
      <c r="Q177">
        <f>IF(N(G181)&gt;0,1,0)</f>
        <v/>
      </c>
    </row>
    <row r="178">
      <c r="A178" s="26">
        <f>IF(16&lt;=NW,SAT1+111,"")</f>
        <v/>
      </c>
      <c r="B178" s="27">
        <f>IF(A178="","",CHOOSE(WEEKDAY(A178,1),"الأحد","الاثنين","الثلاثاء","الأربعاء","الخميس","الجمعة","السبت"))</f>
        <v/>
      </c>
      <c r="C178" s="22" t="n"/>
      <c r="D178" s="22" t="n"/>
      <c r="E178" s="23">
        <f>IF(OR(M178=0,K178="",L178=""),"",MOD(L178-K178,1))</f>
        <v/>
      </c>
      <c r="F178" s="23">
        <f>IF(OR(E178="",M178=0),"",IF(WEEKDAY(A178,1)=6,E178,MIN(E178,MAX(0,MIN(IF(L178&lt;K178,L178+1,L178),OMR_OT_AT)-K178))))</f>
        <v/>
      </c>
      <c r="G178" s="23">
        <f>IF(OR(E178="",M178=0),"",MAX(0,E178-F178))</f>
        <v/>
      </c>
      <c r="H178" s="24">
        <f>IF(OR(E178="",M178=0),"",ROUND((F178*$N$171+G178*$O$171)*24,3))</f>
        <v/>
      </c>
      <c r="I178" s="22" t="n"/>
      <c r="K178" s="25">
        <f>IF(OR(M178=0,C178=""),"",IF(ISNUMBER(C178),MOD(C178,1),IFERROR(INDEX('القوائم'!$B$1:$B$288,MATCH(TRIM(C178),'القوائم'!$A$1:$A$288,0)),IFERROR(MOD(TIMEVALUE(C178),1),""))))</f>
        <v/>
      </c>
      <c r="L178" s="25">
        <f>IF(OR(M178=0,D178=""),"",IF(ISNUMBER(D178),MOD(D178,1),IFERROR(INDEX('القوائم'!$B$1:$B$288,MATCH(TRIM(D178),'القوائم'!$A$1:$A$288,0)),IFERROR(MOD(TIMEVALUE(D178),1),""))))</f>
        <v/>
      </c>
      <c r="M178">
        <f>M171</f>
        <v/>
      </c>
      <c r="Q178">
        <f>IF(N(G181)&gt;0,1,0)</f>
        <v/>
      </c>
    </row>
    <row r="179">
      <c r="A179" s="28">
        <f>IF(M171=1,"مجموع أيام الأسبوع 16","")</f>
        <v/>
      </c>
      <c r="B179" s="28" t="n"/>
      <c r="C179" s="28" t="n"/>
      <c r="D179" s="28" t="n"/>
      <c r="E179" s="29">
        <f>IF(M171=1,SUM(E172:E178),"")</f>
        <v/>
      </c>
      <c r="F179" s="29">
        <f>IF(M171=1,SUM(F172:F178),"")</f>
        <v/>
      </c>
      <c r="G179" s="29">
        <f>IF(M171=1,SUM(G172:G178),"")</f>
        <v/>
      </c>
      <c r="H179" s="30">
        <f>IF(M171=1,SUM(H172:H178),"")</f>
        <v/>
      </c>
      <c r="I179" s="28" t="n"/>
    </row>
    <row r="180" ht="32" customHeight="1">
      <c r="A180" s="28">
        <f>IF(M171=1,"ساعات تحميل الجبسمبورد بهالأسبوع (رقم: 2 أو 1.5) ←","")</f>
        <v/>
      </c>
      <c r="E180" s="31" t="n"/>
      <c r="F180" s="32">
        <f>IF(M171=1,"المستحق النهائي للأسبوع (دينار) ←","")</f>
        <v/>
      </c>
      <c r="H180" s="33">
        <f>IF(M171=1,IF(ROUND_MODE="للأعلى",CEILING(ROUND((N(H179)+N(E180)*($P$171-$N$171)),3),0.25),ROUND((N(H179)+N(E180)*($P$171-$N$171))*4,0)/4),"")</f>
        <v/>
      </c>
      <c r="I180" s="34">
        <f>IF(M171=1,"قبل الجبر: "&amp;TEXT(N(H179)+N(E180)*($P$171-$N$171),"0.000"),"")</f>
        <v/>
      </c>
    </row>
    <row r="181" ht="26" customHeight="1">
      <c r="A181" s="28">
        <f>IF(M171=1,"إكرامية الأسبوع (دينار) ←","")</f>
        <v/>
      </c>
      <c r="D181" s="35" t="n"/>
      <c r="E181" s="28">
        <f>IF(M171=1,"المدفوع يوم الجمعة (دينار) ←","")</f>
        <v/>
      </c>
      <c r="G181" s="35" t="n"/>
      <c r="H181" s="36">
        <f>IF(M171=1,IF(N(G181)&gt;0,"✔ انقبض — الأسبوع مقفول","⏳ لسا ما انقبض"),"")</f>
        <v/>
      </c>
    </row>
    <row r="182" ht="26" customHeight="1">
      <c r="A182" s="18">
        <f>IF(17&lt;=NW,"الأسبوع 17 · السبت "&amp;TEXT(DAY(SAT1+112),"00")&amp;"/"&amp;TEXT(MONTH(SAT1+112),"00")&amp;" ← الجمعة "&amp;TEXT(DAY(SAT1+118),"00")&amp;"/"&amp;TEXT(MONTH(SAT1+118),"00")&amp;" (يوم القبض)"&amp;IF(17&lt;START_O,"   — قبل أسبوع البداية (ما بينحسب)",""),"ما في أسبوع 17 هالسنة")</f>
        <v/>
      </c>
      <c r="L182" s="19">
        <f>IF(17&lt;=NW,SAT1+118,"")</f>
        <v/>
      </c>
      <c r="M182">
        <f>IF(AND(17&lt;=NW,17&gt;=START_O),1,0)</f>
        <v/>
      </c>
      <c r="N182">
        <f>IFERROR(INDEX(RT_OMR,MATCH(L182,RT_K,1)),INDEX(RT_OMR,1))</f>
        <v/>
      </c>
      <c r="O182">
        <f>IFERROR(INDEX(RT_OT,MATCH(L182,RT_K,1)),INDEX(RT_OT,1))</f>
        <v/>
      </c>
      <c r="P182">
        <f>IFERROR(INDEX(RT_GYP,MATCH(L182,RT_K,1)),INDEX(RT_GYP,1))</f>
        <v/>
      </c>
    </row>
    <row r="183">
      <c r="A183" s="20">
        <f>IF(17&lt;=NW,SAT1+112,"")</f>
        <v/>
      </c>
      <c r="B183" s="21">
        <f>IF(A183="","",CHOOSE(WEEKDAY(A183,1),"الأحد","الاثنين","الثلاثاء","الأربعاء","الخميس","الجمعة","السبت"))</f>
        <v/>
      </c>
      <c r="C183" s="22" t="n"/>
      <c r="D183" s="22" t="n"/>
      <c r="E183" s="23">
        <f>IF(OR(M183=0,K183="",L183=""),"",MOD(L183-K183,1))</f>
        <v/>
      </c>
      <c r="F183" s="23">
        <f>IF(OR(E183="",M183=0),"",IF(WEEKDAY(A183,1)=6,E183,MIN(E183,MAX(0,MIN(IF(L183&lt;K183,L183+1,L183),OMR_OT_AT)-K183))))</f>
        <v/>
      </c>
      <c r="G183" s="23">
        <f>IF(OR(E183="",M183=0),"",MAX(0,E183-F183))</f>
        <v/>
      </c>
      <c r="H183" s="24">
        <f>IF(OR(E183="",M183=0),"",ROUND((F183*$N$182+G183*$O$182)*24,3))</f>
        <v/>
      </c>
      <c r="I183" s="22" t="n"/>
      <c r="K183" s="25">
        <f>IF(OR(M183=0,C183=""),"",IF(ISNUMBER(C183),MOD(C183,1),IFERROR(INDEX('القوائم'!$B$1:$B$288,MATCH(TRIM(C183),'القوائم'!$A$1:$A$288,0)),IFERROR(MOD(TIMEVALUE(C183),1),""))))</f>
        <v/>
      </c>
      <c r="L183" s="25">
        <f>IF(OR(M183=0,D183=""),"",IF(ISNUMBER(D183),MOD(D183,1),IFERROR(INDEX('القوائم'!$B$1:$B$288,MATCH(TRIM(D183),'القوائم'!$A$1:$A$288,0)),IFERROR(MOD(TIMEVALUE(D183),1),""))))</f>
        <v/>
      </c>
      <c r="M183">
        <f>M182</f>
        <v/>
      </c>
      <c r="Q183">
        <f>IF(N(G192)&gt;0,1,0)</f>
        <v/>
      </c>
    </row>
    <row r="184">
      <c r="A184" s="20">
        <f>IF(17&lt;=NW,SAT1+113,"")</f>
        <v/>
      </c>
      <c r="B184" s="21">
        <f>IF(A184="","",CHOOSE(WEEKDAY(A184,1),"الأحد","الاثنين","الثلاثاء","الأربعاء","الخميس","الجمعة","السبت"))</f>
        <v/>
      </c>
      <c r="C184" s="22" t="n"/>
      <c r="D184" s="22" t="n"/>
      <c r="E184" s="23">
        <f>IF(OR(M184=0,K184="",L184=""),"",MOD(L184-K184,1))</f>
        <v/>
      </c>
      <c r="F184" s="23">
        <f>IF(OR(E184="",M184=0),"",IF(WEEKDAY(A184,1)=6,E184,MIN(E184,MAX(0,MIN(IF(L184&lt;K184,L184+1,L184),OMR_OT_AT)-K184))))</f>
        <v/>
      </c>
      <c r="G184" s="23">
        <f>IF(OR(E184="",M184=0),"",MAX(0,E184-F184))</f>
        <v/>
      </c>
      <c r="H184" s="24">
        <f>IF(OR(E184="",M184=0),"",ROUND((F184*$N$182+G184*$O$182)*24,3))</f>
        <v/>
      </c>
      <c r="I184" s="22" t="n"/>
      <c r="K184" s="25">
        <f>IF(OR(M184=0,C184=""),"",IF(ISNUMBER(C184),MOD(C184,1),IFERROR(INDEX('القوائم'!$B$1:$B$288,MATCH(TRIM(C184),'القوائم'!$A$1:$A$288,0)),IFERROR(MOD(TIMEVALUE(C184),1),""))))</f>
        <v/>
      </c>
      <c r="L184" s="25">
        <f>IF(OR(M184=0,D184=""),"",IF(ISNUMBER(D184),MOD(D184,1),IFERROR(INDEX('القوائم'!$B$1:$B$288,MATCH(TRIM(D184),'القوائم'!$A$1:$A$288,0)),IFERROR(MOD(TIMEVALUE(D184),1),""))))</f>
        <v/>
      </c>
      <c r="M184">
        <f>M182</f>
        <v/>
      </c>
      <c r="Q184">
        <f>IF(N(G192)&gt;0,1,0)</f>
        <v/>
      </c>
    </row>
    <row r="185">
      <c r="A185" s="20">
        <f>IF(17&lt;=NW,SAT1+114,"")</f>
        <v/>
      </c>
      <c r="B185" s="21">
        <f>IF(A185="","",CHOOSE(WEEKDAY(A185,1),"الأحد","الاثنين","الثلاثاء","الأربعاء","الخميس","الجمعة","السبت"))</f>
        <v/>
      </c>
      <c r="C185" s="22" t="n"/>
      <c r="D185" s="22" t="n"/>
      <c r="E185" s="23">
        <f>IF(OR(M185=0,K185="",L185=""),"",MOD(L185-K185,1))</f>
        <v/>
      </c>
      <c r="F185" s="23">
        <f>IF(OR(E185="",M185=0),"",IF(WEEKDAY(A185,1)=6,E185,MIN(E185,MAX(0,MIN(IF(L185&lt;K185,L185+1,L185),OMR_OT_AT)-K185))))</f>
        <v/>
      </c>
      <c r="G185" s="23">
        <f>IF(OR(E185="",M185=0),"",MAX(0,E185-F185))</f>
        <v/>
      </c>
      <c r="H185" s="24">
        <f>IF(OR(E185="",M185=0),"",ROUND((F185*$N$182+G185*$O$182)*24,3))</f>
        <v/>
      </c>
      <c r="I185" s="22" t="n"/>
      <c r="K185" s="25">
        <f>IF(OR(M185=0,C185=""),"",IF(ISNUMBER(C185),MOD(C185,1),IFERROR(INDEX('القوائم'!$B$1:$B$288,MATCH(TRIM(C185),'القوائم'!$A$1:$A$288,0)),IFERROR(MOD(TIMEVALUE(C185),1),""))))</f>
        <v/>
      </c>
      <c r="L185" s="25">
        <f>IF(OR(M185=0,D185=""),"",IF(ISNUMBER(D185),MOD(D185,1),IFERROR(INDEX('القوائم'!$B$1:$B$288,MATCH(TRIM(D185),'القوائم'!$A$1:$A$288,0)),IFERROR(MOD(TIMEVALUE(D185),1),""))))</f>
        <v/>
      </c>
      <c r="M185">
        <f>M182</f>
        <v/>
      </c>
      <c r="Q185">
        <f>IF(N(G192)&gt;0,1,0)</f>
        <v/>
      </c>
    </row>
    <row r="186">
      <c r="A186" s="20">
        <f>IF(17&lt;=NW,SAT1+115,"")</f>
        <v/>
      </c>
      <c r="B186" s="21">
        <f>IF(A186="","",CHOOSE(WEEKDAY(A186,1),"الأحد","الاثنين","الثلاثاء","الأربعاء","الخميس","الجمعة","السبت"))</f>
        <v/>
      </c>
      <c r="C186" s="22" t="n"/>
      <c r="D186" s="22" t="n"/>
      <c r="E186" s="23">
        <f>IF(OR(M186=0,K186="",L186=""),"",MOD(L186-K186,1))</f>
        <v/>
      </c>
      <c r="F186" s="23">
        <f>IF(OR(E186="",M186=0),"",IF(WEEKDAY(A186,1)=6,E186,MIN(E186,MAX(0,MIN(IF(L186&lt;K186,L186+1,L186),OMR_OT_AT)-K186))))</f>
        <v/>
      </c>
      <c r="G186" s="23">
        <f>IF(OR(E186="",M186=0),"",MAX(0,E186-F186))</f>
        <v/>
      </c>
      <c r="H186" s="24">
        <f>IF(OR(E186="",M186=0),"",ROUND((F186*$N$182+G186*$O$182)*24,3))</f>
        <v/>
      </c>
      <c r="I186" s="22" t="n"/>
      <c r="K186" s="25">
        <f>IF(OR(M186=0,C186=""),"",IF(ISNUMBER(C186),MOD(C186,1),IFERROR(INDEX('القوائم'!$B$1:$B$288,MATCH(TRIM(C186),'القوائم'!$A$1:$A$288,0)),IFERROR(MOD(TIMEVALUE(C186),1),""))))</f>
        <v/>
      </c>
      <c r="L186" s="25">
        <f>IF(OR(M186=0,D186=""),"",IF(ISNUMBER(D186),MOD(D186,1),IFERROR(INDEX('القوائم'!$B$1:$B$288,MATCH(TRIM(D186),'القوائم'!$A$1:$A$288,0)),IFERROR(MOD(TIMEVALUE(D186),1),""))))</f>
        <v/>
      </c>
      <c r="M186">
        <f>M182</f>
        <v/>
      </c>
      <c r="Q186">
        <f>IF(N(G192)&gt;0,1,0)</f>
        <v/>
      </c>
    </row>
    <row r="187">
      <c r="A187" s="20">
        <f>IF(17&lt;=NW,SAT1+116,"")</f>
        <v/>
      </c>
      <c r="B187" s="21">
        <f>IF(A187="","",CHOOSE(WEEKDAY(A187,1),"الأحد","الاثنين","الثلاثاء","الأربعاء","الخميس","الجمعة","السبت"))</f>
        <v/>
      </c>
      <c r="C187" s="22" t="n"/>
      <c r="D187" s="22" t="n"/>
      <c r="E187" s="23">
        <f>IF(OR(M187=0,K187="",L187=""),"",MOD(L187-K187,1))</f>
        <v/>
      </c>
      <c r="F187" s="23">
        <f>IF(OR(E187="",M187=0),"",IF(WEEKDAY(A187,1)=6,E187,MIN(E187,MAX(0,MIN(IF(L187&lt;K187,L187+1,L187),OMR_OT_AT)-K187))))</f>
        <v/>
      </c>
      <c r="G187" s="23">
        <f>IF(OR(E187="",M187=0),"",MAX(0,E187-F187))</f>
        <v/>
      </c>
      <c r="H187" s="24">
        <f>IF(OR(E187="",M187=0),"",ROUND((F187*$N$182+G187*$O$182)*24,3))</f>
        <v/>
      </c>
      <c r="I187" s="22" t="n"/>
      <c r="K187" s="25">
        <f>IF(OR(M187=0,C187=""),"",IF(ISNUMBER(C187),MOD(C187,1),IFERROR(INDEX('القوائم'!$B$1:$B$288,MATCH(TRIM(C187),'القوائم'!$A$1:$A$288,0)),IFERROR(MOD(TIMEVALUE(C187),1),""))))</f>
        <v/>
      </c>
      <c r="L187" s="25">
        <f>IF(OR(M187=0,D187=""),"",IF(ISNUMBER(D187),MOD(D187,1),IFERROR(INDEX('القوائم'!$B$1:$B$288,MATCH(TRIM(D187),'القوائم'!$A$1:$A$288,0)),IFERROR(MOD(TIMEVALUE(D187),1),""))))</f>
        <v/>
      </c>
      <c r="M187">
        <f>M182</f>
        <v/>
      </c>
      <c r="Q187">
        <f>IF(N(G192)&gt;0,1,0)</f>
        <v/>
      </c>
    </row>
    <row r="188">
      <c r="A188" s="20">
        <f>IF(17&lt;=NW,SAT1+117,"")</f>
        <v/>
      </c>
      <c r="B188" s="21">
        <f>IF(A188="","",CHOOSE(WEEKDAY(A188,1),"الأحد","الاثنين","الثلاثاء","الأربعاء","الخميس","الجمعة","السبت"))</f>
        <v/>
      </c>
      <c r="C188" s="22" t="n"/>
      <c r="D188" s="22" t="n"/>
      <c r="E188" s="23">
        <f>IF(OR(M188=0,K188="",L188=""),"",MOD(L188-K188,1))</f>
        <v/>
      </c>
      <c r="F188" s="23">
        <f>IF(OR(E188="",M188=0),"",IF(WEEKDAY(A188,1)=6,E188,MIN(E188,MAX(0,MIN(IF(L188&lt;K188,L188+1,L188),OMR_OT_AT)-K188))))</f>
        <v/>
      </c>
      <c r="G188" s="23">
        <f>IF(OR(E188="",M188=0),"",MAX(0,E188-F188))</f>
        <v/>
      </c>
      <c r="H188" s="24">
        <f>IF(OR(E188="",M188=0),"",ROUND((F188*$N$182+G188*$O$182)*24,3))</f>
        <v/>
      </c>
      <c r="I188" s="22" t="n"/>
      <c r="K188" s="25">
        <f>IF(OR(M188=0,C188=""),"",IF(ISNUMBER(C188),MOD(C188,1),IFERROR(INDEX('القوائم'!$B$1:$B$288,MATCH(TRIM(C188),'القوائم'!$A$1:$A$288,0)),IFERROR(MOD(TIMEVALUE(C188),1),""))))</f>
        <v/>
      </c>
      <c r="L188" s="25">
        <f>IF(OR(M188=0,D188=""),"",IF(ISNUMBER(D188),MOD(D188,1),IFERROR(INDEX('القوائم'!$B$1:$B$288,MATCH(TRIM(D188),'القوائم'!$A$1:$A$288,0)),IFERROR(MOD(TIMEVALUE(D188),1),""))))</f>
        <v/>
      </c>
      <c r="M188">
        <f>M182</f>
        <v/>
      </c>
      <c r="Q188">
        <f>IF(N(G192)&gt;0,1,0)</f>
        <v/>
      </c>
    </row>
    <row r="189">
      <c r="A189" s="26">
        <f>IF(17&lt;=NW,SAT1+118,"")</f>
        <v/>
      </c>
      <c r="B189" s="27">
        <f>IF(A189="","",CHOOSE(WEEKDAY(A189,1),"الأحد","الاثنين","الثلاثاء","الأربعاء","الخميس","الجمعة","السبت"))</f>
        <v/>
      </c>
      <c r="C189" s="22" t="n"/>
      <c r="D189" s="22" t="n"/>
      <c r="E189" s="23">
        <f>IF(OR(M189=0,K189="",L189=""),"",MOD(L189-K189,1))</f>
        <v/>
      </c>
      <c r="F189" s="23">
        <f>IF(OR(E189="",M189=0),"",IF(WEEKDAY(A189,1)=6,E189,MIN(E189,MAX(0,MIN(IF(L189&lt;K189,L189+1,L189),OMR_OT_AT)-K189))))</f>
        <v/>
      </c>
      <c r="G189" s="23">
        <f>IF(OR(E189="",M189=0),"",MAX(0,E189-F189))</f>
        <v/>
      </c>
      <c r="H189" s="24">
        <f>IF(OR(E189="",M189=0),"",ROUND((F189*$N$182+G189*$O$182)*24,3))</f>
        <v/>
      </c>
      <c r="I189" s="22" t="n"/>
      <c r="K189" s="25">
        <f>IF(OR(M189=0,C189=""),"",IF(ISNUMBER(C189),MOD(C189,1),IFERROR(INDEX('القوائم'!$B$1:$B$288,MATCH(TRIM(C189),'القوائم'!$A$1:$A$288,0)),IFERROR(MOD(TIMEVALUE(C189),1),""))))</f>
        <v/>
      </c>
      <c r="L189" s="25">
        <f>IF(OR(M189=0,D189=""),"",IF(ISNUMBER(D189),MOD(D189,1),IFERROR(INDEX('القوائم'!$B$1:$B$288,MATCH(TRIM(D189),'القوائم'!$A$1:$A$288,0)),IFERROR(MOD(TIMEVALUE(D189),1),""))))</f>
        <v/>
      </c>
      <c r="M189">
        <f>M182</f>
        <v/>
      </c>
      <c r="Q189">
        <f>IF(N(G192)&gt;0,1,0)</f>
        <v/>
      </c>
    </row>
    <row r="190">
      <c r="A190" s="28">
        <f>IF(M182=1,"مجموع أيام الأسبوع 17","")</f>
        <v/>
      </c>
      <c r="B190" s="28" t="n"/>
      <c r="C190" s="28" t="n"/>
      <c r="D190" s="28" t="n"/>
      <c r="E190" s="29">
        <f>IF(M182=1,SUM(E183:E189),"")</f>
        <v/>
      </c>
      <c r="F190" s="29">
        <f>IF(M182=1,SUM(F183:F189),"")</f>
        <v/>
      </c>
      <c r="G190" s="29">
        <f>IF(M182=1,SUM(G183:G189),"")</f>
        <v/>
      </c>
      <c r="H190" s="30">
        <f>IF(M182=1,SUM(H183:H189),"")</f>
        <v/>
      </c>
      <c r="I190" s="28" t="n"/>
    </row>
    <row r="191" ht="32" customHeight="1">
      <c r="A191" s="28">
        <f>IF(M182=1,"ساعات تحميل الجبسمبورد بهالأسبوع (رقم: 2 أو 1.5) ←","")</f>
        <v/>
      </c>
      <c r="E191" s="31" t="n"/>
      <c r="F191" s="32">
        <f>IF(M182=1,"المستحق النهائي للأسبوع (دينار) ←","")</f>
        <v/>
      </c>
      <c r="H191" s="33">
        <f>IF(M182=1,IF(ROUND_MODE="للأعلى",CEILING(ROUND((N(H190)+N(E191)*($P$182-$N$182)),3),0.25),ROUND((N(H190)+N(E191)*($P$182-$N$182))*4,0)/4),"")</f>
        <v/>
      </c>
      <c r="I191" s="34">
        <f>IF(M182=1,"قبل الجبر: "&amp;TEXT(N(H190)+N(E191)*($P$182-$N$182),"0.000"),"")</f>
        <v/>
      </c>
    </row>
    <row r="192" ht="26" customHeight="1">
      <c r="A192" s="28">
        <f>IF(M182=1,"إكرامية الأسبوع (دينار) ←","")</f>
        <v/>
      </c>
      <c r="D192" s="35" t="n"/>
      <c r="E192" s="28">
        <f>IF(M182=1,"المدفوع يوم الجمعة (دينار) ←","")</f>
        <v/>
      </c>
      <c r="G192" s="35" t="n"/>
      <c r="H192" s="36">
        <f>IF(M182=1,IF(N(G192)&gt;0,"✔ انقبض — الأسبوع مقفول","⏳ لسا ما انقبض"),"")</f>
        <v/>
      </c>
    </row>
    <row r="193" ht="26" customHeight="1">
      <c r="A193" s="18">
        <f>IF(18&lt;=NW,"الأسبوع 18 · السبت "&amp;TEXT(DAY(SAT1+119),"00")&amp;"/"&amp;TEXT(MONTH(SAT1+119),"00")&amp;" ← الجمعة "&amp;TEXT(DAY(SAT1+125),"00")&amp;"/"&amp;TEXT(MONTH(SAT1+125),"00")&amp;" (يوم القبض)"&amp;IF(18&lt;START_O,"   — قبل أسبوع البداية (ما بينحسب)",""),"ما في أسبوع 18 هالسنة")</f>
        <v/>
      </c>
      <c r="L193" s="19">
        <f>IF(18&lt;=NW,SAT1+125,"")</f>
        <v/>
      </c>
      <c r="M193">
        <f>IF(AND(18&lt;=NW,18&gt;=START_O),1,0)</f>
        <v/>
      </c>
      <c r="N193">
        <f>IFERROR(INDEX(RT_OMR,MATCH(L193,RT_K,1)),INDEX(RT_OMR,1))</f>
        <v/>
      </c>
      <c r="O193">
        <f>IFERROR(INDEX(RT_OT,MATCH(L193,RT_K,1)),INDEX(RT_OT,1))</f>
        <v/>
      </c>
      <c r="P193">
        <f>IFERROR(INDEX(RT_GYP,MATCH(L193,RT_K,1)),INDEX(RT_GYP,1))</f>
        <v/>
      </c>
    </row>
    <row r="194">
      <c r="A194" s="20">
        <f>IF(18&lt;=NW,SAT1+119,"")</f>
        <v/>
      </c>
      <c r="B194" s="21">
        <f>IF(A194="","",CHOOSE(WEEKDAY(A194,1),"الأحد","الاثنين","الثلاثاء","الأربعاء","الخميس","الجمعة","السبت"))</f>
        <v/>
      </c>
      <c r="C194" s="22" t="n"/>
      <c r="D194" s="22" t="n"/>
      <c r="E194" s="23">
        <f>IF(OR(M194=0,K194="",L194=""),"",MOD(L194-K194,1))</f>
        <v/>
      </c>
      <c r="F194" s="23">
        <f>IF(OR(E194="",M194=0),"",IF(WEEKDAY(A194,1)=6,E194,MIN(E194,MAX(0,MIN(IF(L194&lt;K194,L194+1,L194),OMR_OT_AT)-K194))))</f>
        <v/>
      </c>
      <c r="G194" s="23">
        <f>IF(OR(E194="",M194=0),"",MAX(0,E194-F194))</f>
        <v/>
      </c>
      <c r="H194" s="24">
        <f>IF(OR(E194="",M194=0),"",ROUND((F194*$N$193+G194*$O$193)*24,3))</f>
        <v/>
      </c>
      <c r="I194" s="22" t="n"/>
      <c r="K194" s="25">
        <f>IF(OR(M194=0,C194=""),"",IF(ISNUMBER(C194),MOD(C194,1),IFERROR(INDEX('القوائم'!$B$1:$B$288,MATCH(TRIM(C194),'القوائم'!$A$1:$A$288,0)),IFERROR(MOD(TIMEVALUE(C194),1),""))))</f>
        <v/>
      </c>
      <c r="L194" s="25">
        <f>IF(OR(M194=0,D194=""),"",IF(ISNUMBER(D194),MOD(D194,1),IFERROR(INDEX('القوائم'!$B$1:$B$288,MATCH(TRIM(D194),'القوائم'!$A$1:$A$288,0)),IFERROR(MOD(TIMEVALUE(D194),1),""))))</f>
        <v/>
      </c>
      <c r="M194">
        <f>M193</f>
        <v/>
      </c>
      <c r="Q194">
        <f>IF(N(G203)&gt;0,1,0)</f>
        <v/>
      </c>
    </row>
    <row r="195">
      <c r="A195" s="20">
        <f>IF(18&lt;=NW,SAT1+120,"")</f>
        <v/>
      </c>
      <c r="B195" s="21">
        <f>IF(A195="","",CHOOSE(WEEKDAY(A195,1),"الأحد","الاثنين","الثلاثاء","الأربعاء","الخميس","الجمعة","السبت"))</f>
        <v/>
      </c>
      <c r="C195" s="22" t="n"/>
      <c r="D195" s="22" t="n"/>
      <c r="E195" s="23">
        <f>IF(OR(M195=0,K195="",L195=""),"",MOD(L195-K195,1))</f>
        <v/>
      </c>
      <c r="F195" s="23">
        <f>IF(OR(E195="",M195=0),"",IF(WEEKDAY(A195,1)=6,E195,MIN(E195,MAX(0,MIN(IF(L195&lt;K195,L195+1,L195),OMR_OT_AT)-K195))))</f>
        <v/>
      </c>
      <c r="G195" s="23">
        <f>IF(OR(E195="",M195=0),"",MAX(0,E195-F195))</f>
        <v/>
      </c>
      <c r="H195" s="24">
        <f>IF(OR(E195="",M195=0),"",ROUND((F195*$N$193+G195*$O$193)*24,3))</f>
        <v/>
      </c>
      <c r="I195" s="22" t="n"/>
      <c r="K195" s="25">
        <f>IF(OR(M195=0,C195=""),"",IF(ISNUMBER(C195),MOD(C195,1),IFERROR(INDEX('القوائم'!$B$1:$B$288,MATCH(TRIM(C195),'القوائم'!$A$1:$A$288,0)),IFERROR(MOD(TIMEVALUE(C195),1),""))))</f>
        <v/>
      </c>
      <c r="L195" s="25">
        <f>IF(OR(M195=0,D195=""),"",IF(ISNUMBER(D195),MOD(D195,1),IFERROR(INDEX('القوائم'!$B$1:$B$288,MATCH(TRIM(D195),'القوائم'!$A$1:$A$288,0)),IFERROR(MOD(TIMEVALUE(D195),1),""))))</f>
        <v/>
      </c>
      <c r="M195">
        <f>M193</f>
        <v/>
      </c>
      <c r="Q195">
        <f>IF(N(G203)&gt;0,1,0)</f>
        <v/>
      </c>
    </row>
    <row r="196">
      <c r="A196" s="20">
        <f>IF(18&lt;=NW,SAT1+121,"")</f>
        <v/>
      </c>
      <c r="B196" s="21">
        <f>IF(A196="","",CHOOSE(WEEKDAY(A196,1),"الأحد","الاثنين","الثلاثاء","الأربعاء","الخميس","الجمعة","السبت"))</f>
        <v/>
      </c>
      <c r="C196" s="22" t="n"/>
      <c r="D196" s="22" t="n"/>
      <c r="E196" s="23">
        <f>IF(OR(M196=0,K196="",L196=""),"",MOD(L196-K196,1))</f>
        <v/>
      </c>
      <c r="F196" s="23">
        <f>IF(OR(E196="",M196=0),"",IF(WEEKDAY(A196,1)=6,E196,MIN(E196,MAX(0,MIN(IF(L196&lt;K196,L196+1,L196),OMR_OT_AT)-K196))))</f>
        <v/>
      </c>
      <c r="G196" s="23">
        <f>IF(OR(E196="",M196=0),"",MAX(0,E196-F196))</f>
        <v/>
      </c>
      <c r="H196" s="24">
        <f>IF(OR(E196="",M196=0),"",ROUND((F196*$N$193+G196*$O$193)*24,3))</f>
        <v/>
      </c>
      <c r="I196" s="22" t="n"/>
      <c r="K196" s="25">
        <f>IF(OR(M196=0,C196=""),"",IF(ISNUMBER(C196),MOD(C196,1),IFERROR(INDEX('القوائم'!$B$1:$B$288,MATCH(TRIM(C196),'القوائم'!$A$1:$A$288,0)),IFERROR(MOD(TIMEVALUE(C196),1),""))))</f>
        <v/>
      </c>
      <c r="L196" s="25">
        <f>IF(OR(M196=0,D196=""),"",IF(ISNUMBER(D196),MOD(D196,1),IFERROR(INDEX('القوائم'!$B$1:$B$288,MATCH(TRIM(D196),'القوائم'!$A$1:$A$288,0)),IFERROR(MOD(TIMEVALUE(D196),1),""))))</f>
        <v/>
      </c>
      <c r="M196">
        <f>M193</f>
        <v/>
      </c>
      <c r="Q196">
        <f>IF(N(G203)&gt;0,1,0)</f>
        <v/>
      </c>
    </row>
    <row r="197">
      <c r="A197" s="20">
        <f>IF(18&lt;=NW,SAT1+122,"")</f>
        <v/>
      </c>
      <c r="B197" s="21">
        <f>IF(A197="","",CHOOSE(WEEKDAY(A197,1),"الأحد","الاثنين","الثلاثاء","الأربعاء","الخميس","الجمعة","السبت"))</f>
        <v/>
      </c>
      <c r="C197" s="22" t="n"/>
      <c r="D197" s="22" t="n"/>
      <c r="E197" s="23">
        <f>IF(OR(M197=0,K197="",L197=""),"",MOD(L197-K197,1))</f>
        <v/>
      </c>
      <c r="F197" s="23">
        <f>IF(OR(E197="",M197=0),"",IF(WEEKDAY(A197,1)=6,E197,MIN(E197,MAX(0,MIN(IF(L197&lt;K197,L197+1,L197),OMR_OT_AT)-K197))))</f>
        <v/>
      </c>
      <c r="G197" s="23">
        <f>IF(OR(E197="",M197=0),"",MAX(0,E197-F197))</f>
        <v/>
      </c>
      <c r="H197" s="24">
        <f>IF(OR(E197="",M197=0),"",ROUND((F197*$N$193+G197*$O$193)*24,3))</f>
        <v/>
      </c>
      <c r="I197" s="22" t="n"/>
      <c r="K197" s="25">
        <f>IF(OR(M197=0,C197=""),"",IF(ISNUMBER(C197),MOD(C197,1),IFERROR(INDEX('القوائم'!$B$1:$B$288,MATCH(TRIM(C197),'القوائم'!$A$1:$A$288,0)),IFERROR(MOD(TIMEVALUE(C197),1),""))))</f>
        <v/>
      </c>
      <c r="L197" s="25">
        <f>IF(OR(M197=0,D197=""),"",IF(ISNUMBER(D197),MOD(D197,1),IFERROR(INDEX('القوائم'!$B$1:$B$288,MATCH(TRIM(D197),'القوائم'!$A$1:$A$288,0)),IFERROR(MOD(TIMEVALUE(D197),1),""))))</f>
        <v/>
      </c>
      <c r="M197">
        <f>M193</f>
        <v/>
      </c>
      <c r="Q197">
        <f>IF(N(G203)&gt;0,1,0)</f>
        <v/>
      </c>
    </row>
    <row r="198">
      <c r="A198" s="20">
        <f>IF(18&lt;=NW,SAT1+123,"")</f>
        <v/>
      </c>
      <c r="B198" s="21">
        <f>IF(A198="","",CHOOSE(WEEKDAY(A198,1),"الأحد","الاثنين","الثلاثاء","الأربعاء","الخميس","الجمعة","السبت"))</f>
        <v/>
      </c>
      <c r="C198" s="22" t="n"/>
      <c r="D198" s="22" t="n"/>
      <c r="E198" s="23">
        <f>IF(OR(M198=0,K198="",L198=""),"",MOD(L198-K198,1))</f>
        <v/>
      </c>
      <c r="F198" s="23">
        <f>IF(OR(E198="",M198=0),"",IF(WEEKDAY(A198,1)=6,E198,MIN(E198,MAX(0,MIN(IF(L198&lt;K198,L198+1,L198),OMR_OT_AT)-K198))))</f>
        <v/>
      </c>
      <c r="G198" s="23">
        <f>IF(OR(E198="",M198=0),"",MAX(0,E198-F198))</f>
        <v/>
      </c>
      <c r="H198" s="24">
        <f>IF(OR(E198="",M198=0),"",ROUND((F198*$N$193+G198*$O$193)*24,3))</f>
        <v/>
      </c>
      <c r="I198" s="22" t="n"/>
      <c r="K198" s="25">
        <f>IF(OR(M198=0,C198=""),"",IF(ISNUMBER(C198),MOD(C198,1),IFERROR(INDEX('القوائم'!$B$1:$B$288,MATCH(TRIM(C198),'القوائم'!$A$1:$A$288,0)),IFERROR(MOD(TIMEVALUE(C198),1),""))))</f>
        <v/>
      </c>
      <c r="L198" s="25">
        <f>IF(OR(M198=0,D198=""),"",IF(ISNUMBER(D198),MOD(D198,1),IFERROR(INDEX('القوائم'!$B$1:$B$288,MATCH(TRIM(D198),'القوائم'!$A$1:$A$288,0)),IFERROR(MOD(TIMEVALUE(D198),1),""))))</f>
        <v/>
      </c>
      <c r="M198">
        <f>M193</f>
        <v/>
      </c>
      <c r="Q198">
        <f>IF(N(G203)&gt;0,1,0)</f>
        <v/>
      </c>
    </row>
    <row r="199">
      <c r="A199" s="20">
        <f>IF(18&lt;=NW,SAT1+124,"")</f>
        <v/>
      </c>
      <c r="B199" s="21">
        <f>IF(A199="","",CHOOSE(WEEKDAY(A199,1),"الأحد","الاثنين","الثلاثاء","الأربعاء","الخميس","الجمعة","السبت"))</f>
        <v/>
      </c>
      <c r="C199" s="22" t="n"/>
      <c r="D199" s="22" t="n"/>
      <c r="E199" s="23">
        <f>IF(OR(M199=0,K199="",L199=""),"",MOD(L199-K199,1))</f>
        <v/>
      </c>
      <c r="F199" s="23">
        <f>IF(OR(E199="",M199=0),"",IF(WEEKDAY(A199,1)=6,E199,MIN(E199,MAX(0,MIN(IF(L199&lt;K199,L199+1,L199),OMR_OT_AT)-K199))))</f>
        <v/>
      </c>
      <c r="G199" s="23">
        <f>IF(OR(E199="",M199=0),"",MAX(0,E199-F199))</f>
        <v/>
      </c>
      <c r="H199" s="24">
        <f>IF(OR(E199="",M199=0),"",ROUND((F199*$N$193+G199*$O$193)*24,3))</f>
        <v/>
      </c>
      <c r="I199" s="22" t="n"/>
      <c r="K199" s="25">
        <f>IF(OR(M199=0,C199=""),"",IF(ISNUMBER(C199),MOD(C199,1),IFERROR(INDEX('القوائم'!$B$1:$B$288,MATCH(TRIM(C199),'القوائم'!$A$1:$A$288,0)),IFERROR(MOD(TIMEVALUE(C199),1),""))))</f>
        <v/>
      </c>
      <c r="L199" s="25">
        <f>IF(OR(M199=0,D199=""),"",IF(ISNUMBER(D199),MOD(D199,1),IFERROR(INDEX('القوائم'!$B$1:$B$288,MATCH(TRIM(D199),'القوائم'!$A$1:$A$288,0)),IFERROR(MOD(TIMEVALUE(D199),1),""))))</f>
        <v/>
      </c>
      <c r="M199">
        <f>M193</f>
        <v/>
      </c>
      <c r="Q199">
        <f>IF(N(G203)&gt;0,1,0)</f>
        <v/>
      </c>
    </row>
    <row r="200">
      <c r="A200" s="26">
        <f>IF(18&lt;=NW,SAT1+125,"")</f>
        <v/>
      </c>
      <c r="B200" s="27">
        <f>IF(A200="","",CHOOSE(WEEKDAY(A200,1),"الأحد","الاثنين","الثلاثاء","الأربعاء","الخميس","الجمعة","السبت"))</f>
        <v/>
      </c>
      <c r="C200" s="22" t="n"/>
      <c r="D200" s="22" t="n"/>
      <c r="E200" s="23">
        <f>IF(OR(M200=0,K200="",L200=""),"",MOD(L200-K200,1))</f>
        <v/>
      </c>
      <c r="F200" s="23">
        <f>IF(OR(E200="",M200=0),"",IF(WEEKDAY(A200,1)=6,E200,MIN(E200,MAX(0,MIN(IF(L200&lt;K200,L200+1,L200),OMR_OT_AT)-K200))))</f>
        <v/>
      </c>
      <c r="G200" s="23">
        <f>IF(OR(E200="",M200=0),"",MAX(0,E200-F200))</f>
        <v/>
      </c>
      <c r="H200" s="24">
        <f>IF(OR(E200="",M200=0),"",ROUND((F200*$N$193+G200*$O$193)*24,3))</f>
        <v/>
      </c>
      <c r="I200" s="22" t="n"/>
      <c r="K200" s="25">
        <f>IF(OR(M200=0,C200=""),"",IF(ISNUMBER(C200),MOD(C200,1),IFERROR(INDEX('القوائم'!$B$1:$B$288,MATCH(TRIM(C200),'القوائم'!$A$1:$A$288,0)),IFERROR(MOD(TIMEVALUE(C200),1),""))))</f>
        <v/>
      </c>
      <c r="L200" s="25">
        <f>IF(OR(M200=0,D200=""),"",IF(ISNUMBER(D200),MOD(D200,1),IFERROR(INDEX('القوائم'!$B$1:$B$288,MATCH(TRIM(D200),'القوائم'!$A$1:$A$288,0)),IFERROR(MOD(TIMEVALUE(D200),1),""))))</f>
        <v/>
      </c>
      <c r="M200">
        <f>M193</f>
        <v/>
      </c>
      <c r="Q200">
        <f>IF(N(G203)&gt;0,1,0)</f>
        <v/>
      </c>
    </row>
    <row r="201">
      <c r="A201" s="28">
        <f>IF(M193=1,"مجموع أيام الأسبوع 18","")</f>
        <v/>
      </c>
      <c r="B201" s="28" t="n"/>
      <c r="C201" s="28" t="n"/>
      <c r="D201" s="28" t="n"/>
      <c r="E201" s="29">
        <f>IF(M193=1,SUM(E194:E200),"")</f>
        <v/>
      </c>
      <c r="F201" s="29">
        <f>IF(M193=1,SUM(F194:F200),"")</f>
        <v/>
      </c>
      <c r="G201" s="29">
        <f>IF(M193=1,SUM(G194:G200),"")</f>
        <v/>
      </c>
      <c r="H201" s="30">
        <f>IF(M193=1,SUM(H194:H200),"")</f>
        <v/>
      </c>
      <c r="I201" s="28" t="n"/>
    </row>
    <row r="202" ht="32" customHeight="1">
      <c r="A202" s="28">
        <f>IF(M193=1,"ساعات تحميل الجبسمبورد بهالأسبوع (رقم: 2 أو 1.5) ←","")</f>
        <v/>
      </c>
      <c r="E202" s="31" t="n"/>
      <c r="F202" s="32">
        <f>IF(M193=1,"المستحق النهائي للأسبوع (دينار) ←","")</f>
        <v/>
      </c>
      <c r="H202" s="33">
        <f>IF(M193=1,IF(ROUND_MODE="للأعلى",CEILING(ROUND((N(H201)+N(E202)*($P$193-$N$193)),3),0.25),ROUND((N(H201)+N(E202)*($P$193-$N$193))*4,0)/4),"")</f>
        <v/>
      </c>
      <c r="I202" s="34">
        <f>IF(M193=1,"قبل الجبر: "&amp;TEXT(N(H201)+N(E202)*($P$193-$N$193),"0.000"),"")</f>
        <v/>
      </c>
    </row>
    <row r="203" ht="26" customHeight="1">
      <c r="A203" s="28">
        <f>IF(M193=1,"إكرامية الأسبوع (دينار) ←","")</f>
        <v/>
      </c>
      <c r="D203" s="35" t="n"/>
      <c r="E203" s="28">
        <f>IF(M193=1,"المدفوع يوم الجمعة (دينار) ←","")</f>
        <v/>
      </c>
      <c r="G203" s="35" t="n"/>
      <c r="H203" s="36">
        <f>IF(M193=1,IF(N(G203)&gt;0,"✔ انقبض — الأسبوع مقفول","⏳ لسا ما انقبض"),"")</f>
        <v/>
      </c>
    </row>
    <row r="204" ht="26" customHeight="1">
      <c r="A204" s="18">
        <f>IF(19&lt;=NW,"الأسبوع 19 · السبت "&amp;TEXT(DAY(SAT1+126),"00")&amp;"/"&amp;TEXT(MONTH(SAT1+126),"00")&amp;" ← الجمعة "&amp;TEXT(DAY(SAT1+132),"00")&amp;"/"&amp;TEXT(MONTH(SAT1+132),"00")&amp;" (يوم القبض)"&amp;IF(19&lt;START_O,"   — قبل أسبوع البداية (ما بينحسب)",""),"ما في أسبوع 19 هالسنة")</f>
        <v/>
      </c>
      <c r="L204" s="19">
        <f>IF(19&lt;=NW,SAT1+132,"")</f>
        <v/>
      </c>
      <c r="M204">
        <f>IF(AND(19&lt;=NW,19&gt;=START_O),1,0)</f>
        <v/>
      </c>
      <c r="N204">
        <f>IFERROR(INDEX(RT_OMR,MATCH(L204,RT_K,1)),INDEX(RT_OMR,1))</f>
        <v/>
      </c>
      <c r="O204">
        <f>IFERROR(INDEX(RT_OT,MATCH(L204,RT_K,1)),INDEX(RT_OT,1))</f>
        <v/>
      </c>
      <c r="P204">
        <f>IFERROR(INDEX(RT_GYP,MATCH(L204,RT_K,1)),INDEX(RT_GYP,1))</f>
        <v/>
      </c>
    </row>
    <row r="205">
      <c r="A205" s="20">
        <f>IF(19&lt;=NW,SAT1+126,"")</f>
        <v/>
      </c>
      <c r="B205" s="21">
        <f>IF(A205="","",CHOOSE(WEEKDAY(A205,1),"الأحد","الاثنين","الثلاثاء","الأربعاء","الخميس","الجمعة","السبت"))</f>
        <v/>
      </c>
      <c r="C205" s="22" t="n"/>
      <c r="D205" s="22" t="n"/>
      <c r="E205" s="23">
        <f>IF(OR(M205=0,K205="",L205=""),"",MOD(L205-K205,1))</f>
        <v/>
      </c>
      <c r="F205" s="23">
        <f>IF(OR(E205="",M205=0),"",IF(WEEKDAY(A205,1)=6,E205,MIN(E205,MAX(0,MIN(IF(L205&lt;K205,L205+1,L205),OMR_OT_AT)-K205))))</f>
        <v/>
      </c>
      <c r="G205" s="23">
        <f>IF(OR(E205="",M205=0),"",MAX(0,E205-F205))</f>
        <v/>
      </c>
      <c r="H205" s="24">
        <f>IF(OR(E205="",M205=0),"",ROUND((F205*$N$204+G205*$O$204)*24,3))</f>
        <v/>
      </c>
      <c r="I205" s="22" t="n"/>
      <c r="K205" s="25">
        <f>IF(OR(M205=0,C205=""),"",IF(ISNUMBER(C205),MOD(C205,1),IFERROR(INDEX('القوائم'!$B$1:$B$288,MATCH(TRIM(C205),'القوائم'!$A$1:$A$288,0)),IFERROR(MOD(TIMEVALUE(C205),1),""))))</f>
        <v/>
      </c>
      <c r="L205" s="25">
        <f>IF(OR(M205=0,D205=""),"",IF(ISNUMBER(D205),MOD(D205,1),IFERROR(INDEX('القوائم'!$B$1:$B$288,MATCH(TRIM(D205),'القوائم'!$A$1:$A$288,0)),IFERROR(MOD(TIMEVALUE(D205),1),""))))</f>
        <v/>
      </c>
      <c r="M205">
        <f>M204</f>
        <v/>
      </c>
      <c r="Q205">
        <f>IF(N(G214)&gt;0,1,0)</f>
        <v/>
      </c>
    </row>
    <row r="206">
      <c r="A206" s="20">
        <f>IF(19&lt;=NW,SAT1+127,"")</f>
        <v/>
      </c>
      <c r="B206" s="21">
        <f>IF(A206="","",CHOOSE(WEEKDAY(A206,1),"الأحد","الاثنين","الثلاثاء","الأربعاء","الخميس","الجمعة","السبت"))</f>
        <v/>
      </c>
      <c r="C206" s="22" t="n"/>
      <c r="D206" s="22" t="n"/>
      <c r="E206" s="23">
        <f>IF(OR(M206=0,K206="",L206=""),"",MOD(L206-K206,1))</f>
        <v/>
      </c>
      <c r="F206" s="23">
        <f>IF(OR(E206="",M206=0),"",IF(WEEKDAY(A206,1)=6,E206,MIN(E206,MAX(0,MIN(IF(L206&lt;K206,L206+1,L206),OMR_OT_AT)-K206))))</f>
        <v/>
      </c>
      <c r="G206" s="23">
        <f>IF(OR(E206="",M206=0),"",MAX(0,E206-F206))</f>
        <v/>
      </c>
      <c r="H206" s="24">
        <f>IF(OR(E206="",M206=0),"",ROUND((F206*$N$204+G206*$O$204)*24,3))</f>
        <v/>
      </c>
      <c r="I206" s="22" t="n"/>
      <c r="K206" s="25">
        <f>IF(OR(M206=0,C206=""),"",IF(ISNUMBER(C206),MOD(C206,1),IFERROR(INDEX('القوائم'!$B$1:$B$288,MATCH(TRIM(C206),'القوائم'!$A$1:$A$288,0)),IFERROR(MOD(TIMEVALUE(C206),1),""))))</f>
        <v/>
      </c>
      <c r="L206" s="25">
        <f>IF(OR(M206=0,D206=""),"",IF(ISNUMBER(D206),MOD(D206,1),IFERROR(INDEX('القوائم'!$B$1:$B$288,MATCH(TRIM(D206),'القوائم'!$A$1:$A$288,0)),IFERROR(MOD(TIMEVALUE(D206),1),""))))</f>
        <v/>
      </c>
      <c r="M206">
        <f>M204</f>
        <v/>
      </c>
      <c r="Q206">
        <f>IF(N(G214)&gt;0,1,0)</f>
        <v/>
      </c>
    </row>
    <row r="207">
      <c r="A207" s="20">
        <f>IF(19&lt;=NW,SAT1+128,"")</f>
        <v/>
      </c>
      <c r="B207" s="21">
        <f>IF(A207="","",CHOOSE(WEEKDAY(A207,1),"الأحد","الاثنين","الثلاثاء","الأربعاء","الخميس","الجمعة","السبت"))</f>
        <v/>
      </c>
      <c r="C207" s="22" t="n"/>
      <c r="D207" s="22" t="n"/>
      <c r="E207" s="23">
        <f>IF(OR(M207=0,K207="",L207=""),"",MOD(L207-K207,1))</f>
        <v/>
      </c>
      <c r="F207" s="23">
        <f>IF(OR(E207="",M207=0),"",IF(WEEKDAY(A207,1)=6,E207,MIN(E207,MAX(0,MIN(IF(L207&lt;K207,L207+1,L207),OMR_OT_AT)-K207))))</f>
        <v/>
      </c>
      <c r="G207" s="23">
        <f>IF(OR(E207="",M207=0),"",MAX(0,E207-F207))</f>
        <v/>
      </c>
      <c r="H207" s="24">
        <f>IF(OR(E207="",M207=0),"",ROUND((F207*$N$204+G207*$O$204)*24,3))</f>
        <v/>
      </c>
      <c r="I207" s="22" t="n"/>
      <c r="K207" s="25">
        <f>IF(OR(M207=0,C207=""),"",IF(ISNUMBER(C207),MOD(C207,1),IFERROR(INDEX('القوائم'!$B$1:$B$288,MATCH(TRIM(C207),'القوائم'!$A$1:$A$288,0)),IFERROR(MOD(TIMEVALUE(C207),1),""))))</f>
        <v/>
      </c>
      <c r="L207" s="25">
        <f>IF(OR(M207=0,D207=""),"",IF(ISNUMBER(D207),MOD(D207,1),IFERROR(INDEX('القوائم'!$B$1:$B$288,MATCH(TRIM(D207),'القوائم'!$A$1:$A$288,0)),IFERROR(MOD(TIMEVALUE(D207),1),""))))</f>
        <v/>
      </c>
      <c r="M207">
        <f>M204</f>
        <v/>
      </c>
      <c r="Q207">
        <f>IF(N(G214)&gt;0,1,0)</f>
        <v/>
      </c>
    </row>
    <row r="208">
      <c r="A208" s="20">
        <f>IF(19&lt;=NW,SAT1+129,"")</f>
        <v/>
      </c>
      <c r="B208" s="21">
        <f>IF(A208="","",CHOOSE(WEEKDAY(A208,1),"الأحد","الاثنين","الثلاثاء","الأربعاء","الخميس","الجمعة","السبت"))</f>
        <v/>
      </c>
      <c r="C208" s="22" t="n"/>
      <c r="D208" s="22" t="n"/>
      <c r="E208" s="23">
        <f>IF(OR(M208=0,K208="",L208=""),"",MOD(L208-K208,1))</f>
        <v/>
      </c>
      <c r="F208" s="23">
        <f>IF(OR(E208="",M208=0),"",IF(WEEKDAY(A208,1)=6,E208,MIN(E208,MAX(0,MIN(IF(L208&lt;K208,L208+1,L208),OMR_OT_AT)-K208))))</f>
        <v/>
      </c>
      <c r="G208" s="23">
        <f>IF(OR(E208="",M208=0),"",MAX(0,E208-F208))</f>
        <v/>
      </c>
      <c r="H208" s="24">
        <f>IF(OR(E208="",M208=0),"",ROUND((F208*$N$204+G208*$O$204)*24,3))</f>
        <v/>
      </c>
      <c r="I208" s="22" t="n"/>
      <c r="K208" s="25">
        <f>IF(OR(M208=0,C208=""),"",IF(ISNUMBER(C208),MOD(C208,1),IFERROR(INDEX('القوائم'!$B$1:$B$288,MATCH(TRIM(C208),'القوائم'!$A$1:$A$288,0)),IFERROR(MOD(TIMEVALUE(C208),1),""))))</f>
        <v/>
      </c>
      <c r="L208" s="25">
        <f>IF(OR(M208=0,D208=""),"",IF(ISNUMBER(D208),MOD(D208,1),IFERROR(INDEX('القوائم'!$B$1:$B$288,MATCH(TRIM(D208),'القوائم'!$A$1:$A$288,0)),IFERROR(MOD(TIMEVALUE(D208),1),""))))</f>
        <v/>
      </c>
      <c r="M208">
        <f>M204</f>
        <v/>
      </c>
      <c r="Q208">
        <f>IF(N(G214)&gt;0,1,0)</f>
        <v/>
      </c>
    </row>
    <row r="209">
      <c r="A209" s="20">
        <f>IF(19&lt;=NW,SAT1+130,"")</f>
        <v/>
      </c>
      <c r="B209" s="21">
        <f>IF(A209="","",CHOOSE(WEEKDAY(A209,1),"الأحد","الاثنين","الثلاثاء","الأربعاء","الخميس","الجمعة","السبت"))</f>
        <v/>
      </c>
      <c r="C209" s="22" t="n"/>
      <c r="D209" s="22" t="n"/>
      <c r="E209" s="23">
        <f>IF(OR(M209=0,K209="",L209=""),"",MOD(L209-K209,1))</f>
        <v/>
      </c>
      <c r="F209" s="23">
        <f>IF(OR(E209="",M209=0),"",IF(WEEKDAY(A209,1)=6,E209,MIN(E209,MAX(0,MIN(IF(L209&lt;K209,L209+1,L209),OMR_OT_AT)-K209))))</f>
        <v/>
      </c>
      <c r="G209" s="23">
        <f>IF(OR(E209="",M209=0),"",MAX(0,E209-F209))</f>
        <v/>
      </c>
      <c r="H209" s="24">
        <f>IF(OR(E209="",M209=0),"",ROUND((F209*$N$204+G209*$O$204)*24,3))</f>
        <v/>
      </c>
      <c r="I209" s="22" t="n"/>
      <c r="K209" s="25">
        <f>IF(OR(M209=0,C209=""),"",IF(ISNUMBER(C209),MOD(C209,1),IFERROR(INDEX('القوائم'!$B$1:$B$288,MATCH(TRIM(C209),'القوائم'!$A$1:$A$288,0)),IFERROR(MOD(TIMEVALUE(C209),1),""))))</f>
        <v/>
      </c>
      <c r="L209" s="25">
        <f>IF(OR(M209=0,D209=""),"",IF(ISNUMBER(D209),MOD(D209,1),IFERROR(INDEX('القوائم'!$B$1:$B$288,MATCH(TRIM(D209),'القوائم'!$A$1:$A$288,0)),IFERROR(MOD(TIMEVALUE(D209),1),""))))</f>
        <v/>
      </c>
      <c r="M209">
        <f>M204</f>
        <v/>
      </c>
      <c r="Q209">
        <f>IF(N(G214)&gt;0,1,0)</f>
        <v/>
      </c>
    </row>
    <row r="210">
      <c r="A210" s="20">
        <f>IF(19&lt;=NW,SAT1+131,"")</f>
        <v/>
      </c>
      <c r="B210" s="21">
        <f>IF(A210="","",CHOOSE(WEEKDAY(A210,1),"الأحد","الاثنين","الثلاثاء","الأربعاء","الخميس","الجمعة","السبت"))</f>
        <v/>
      </c>
      <c r="C210" s="22" t="n"/>
      <c r="D210" s="22" t="n"/>
      <c r="E210" s="23">
        <f>IF(OR(M210=0,K210="",L210=""),"",MOD(L210-K210,1))</f>
        <v/>
      </c>
      <c r="F210" s="23">
        <f>IF(OR(E210="",M210=0),"",IF(WEEKDAY(A210,1)=6,E210,MIN(E210,MAX(0,MIN(IF(L210&lt;K210,L210+1,L210),OMR_OT_AT)-K210))))</f>
        <v/>
      </c>
      <c r="G210" s="23">
        <f>IF(OR(E210="",M210=0),"",MAX(0,E210-F210))</f>
        <v/>
      </c>
      <c r="H210" s="24">
        <f>IF(OR(E210="",M210=0),"",ROUND((F210*$N$204+G210*$O$204)*24,3))</f>
        <v/>
      </c>
      <c r="I210" s="22" t="n"/>
      <c r="K210" s="25">
        <f>IF(OR(M210=0,C210=""),"",IF(ISNUMBER(C210),MOD(C210,1),IFERROR(INDEX('القوائم'!$B$1:$B$288,MATCH(TRIM(C210),'القوائم'!$A$1:$A$288,0)),IFERROR(MOD(TIMEVALUE(C210),1),""))))</f>
        <v/>
      </c>
      <c r="L210" s="25">
        <f>IF(OR(M210=0,D210=""),"",IF(ISNUMBER(D210),MOD(D210,1),IFERROR(INDEX('القوائم'!$B$1:$B$288,MATCH(TRIM(D210),'القوائم'!$A$1:$A$288,0)),IFERROR(MOD(TIMEVALUE(D210),1),""))))</f>
        <v/>
      </c>
      <c r="M210">
        <f>M204</f>
        <v/>
      </c>
      <c r="Q210">
        <f>IF(N(G214)&gt;0,1,0)</f>
        <v/>
      </c>
    </row>
    <row r="211">
      <c r="A211" s="26">
        <f>IF(19&lt;=NW,SAT1+132,"")</f>
        <v/>
      </c>
      <c r="B211" s="27">
        <f>IF(A211="","",CHOOSE(WEEKDAY(A211,1),"الأحد","الاثنين","الثلاثاء","الأربعاء","الخميس","الجمعة","السبت"))</f>
        <v/>
      </c>
      <c r="C211" s="22" t="n"/>
      <c r="D211" s="22" t="n"/>
      <c r="E211" s="23">
        <f>IF(OR(M211=0,K211="",L211=""),"",MOD(L211-K211,1))</f>
        <v/>
      </c>
      <c r="F211" s="23">
        <f>IF(OR(E211="",M211=0),"",IF(WEEKDAY(A211,1)=6,E211,MIN(E211,MAX(0,MIN(IF(L211&lt;K211,L211+1,L211),OMR_OT_AT)-K211))))</f>
        <v/>
      </c>
      <c r="G211" s="23">
        <f>IF(OR(E211="",M211=0),"",MAX(0,E211-F211))</f>
        <v/>
      </c>
      <c r="H211" s="24">
        <f>IF(OR(E211="",M211=0),"",ROUND((F211*$N$204+G211*$O$204)*24,3))</f>
        <v/>
      </c>
      <c r="I211" s="22" t="n"/>
      <c r="K211" s="25">
        <f>IF(OR(M211=0,C211=""),"",IF(ISNUMBER(C211),MOD(C211,1),IFERROR(INDEX('القوائم'!$B$1:$B$288,MATCH(TRIM(C211),'القوائم'!$A$1:$A$288,0)),IFERROR(MOD(TIMEVALUE(C211),1),""))))</f>
        <v/>
      </c>
      <c r="L211" s="25">
        <f>IF(OR(M211=0,D211=""),"",IF(ISNUMBER(D211),MOD(D211,1),IFERROR(INDEX('القوائم'!$B$1:$B$288,MATCH(TRIM(D211),'القوائم'!$A$1:$A$288,0)),IFERROR(MOD(TIMEVALUE(D211),1),""))))</f>
        <v/>
      </c>
      <c r="M211">
        <f>M204</f>
        <v/>
      </c>
      <c r="Q211">
        <f>IF(N(G214)&gt;0,1,0)</f>
        <v/>
      </c>
    </row>
    <row r="212">
      <c r="A212" s="28">
        <f>IF(M204=1,"مجموع أيام الأسبوع 19","")</f>
        <v/>
      </c>
      <c r="B212" s="28" t="n"/>
      <c r="C212" s="28" t="n"/>
      <c r="D212" s="28" t="n"/>
      <c r="E212" s="29">
        <f>IF(M204=1,SUM(E205:E211),"")</f>
        <v/>
      </c>
      <c r="F212" s="29">
        <f>IF(M204=1,SUM(F205:F211),"")</f>
        <v/>
      </c>
      <c r="G212" s="29">
        <f>IF(M204=1,SUM(G205:G211),"")</f>
        <v/>
      </c>
      <c r="H212" s="30">
        <f>IF(M204=1,SUM(H205:H211),"")</f>
        <v/>
      </c>
      <c r="I212" s="28" t="n"/>
    </row>
    <row r="213" ht="32" customHeight="1">
      <c r="A213" s="28">
        <f>IF(M204=1,"ساعات تحميل الجبسمبورد بهالأسبوع (رقم: 2 أو 1.5) ←","")</f>
        <v/>
      </c>
      <c r="E213" s="31" t="n"/>
      <c r="F213" s="32">
        <f>IF(M204=1,"المستحق النهائي للأسبوع (دينار) ←","")</f>
        <v/>
      </c>
      <c r="H213" s="33">
        <f>IF(M204=1,IF(ROUND_MODE="للأعلى",CEILING(ROUND((N(H212)+N(E213)*($P$204-$N$204)),3),0.25),ROUND((N(H212)+N(E213)*($P$204-$N$204))*4,0)/4),"")</f>
        <v/>
      </c>
      <c r="I213" s="34">
        <f>IF(M204=1,"قبل الجبر: "&amp;TEXT(N(H212)+N(E213)*($P$204-$N$204),"0.000"),"")</f>
        <v/>
      </c>
    </row>
    <row r="214" ht="26" customHeight="1">
      <c r="A214" s="28">
        <f>IF(M204=1,"إكرامية الأسبوع (دينار) ←","")</f>
        <v/>
      </c>
      <c r="D214" s="35" t="n"/>
      <c r="E214" s="28">
        <f>IF(M204=1,"المدفوع يوم الجمعة (دينار) ←","")</f>
        <v/>
      </c>
      <c r="G214" s="35" t="n"/>
      <c r="H214" s="36">
        <f>IF(M204=1,IF(N(G214)&gt;0,"✔ انقبض — الأسبوع مقفول","⏳ لسا ما انقبض"),"")</f>
        <v/>
      </c>
    </row>
    <row r="215" ht="26" customHeight="1">
      <c r="A215" s="18">
        <f>IF(20&lt;=NW,"الأسبوع 20 · السبت "&amp;TEXT(DAY(SAT1+133),"00")&amp;"/"&amp;TEXT(MONTH(SAT1+133),"00")&amp;" ← الجمعة "&amp;TEXT(DAY(SAT1+139),"00")&amp;"/"&amp;TEXT(MONTH(SAT1+139),"00")&amp;" (يوم القبض)"&amp;IF(20&lt;START_O,"   — قبل أسبوع البداية (ما بينحسب)",""),"ما في أسبوع 20 هالسنة")</f>
        <v/>
      </c>
      <c r="L215" s="19">
        <f>IF(20&lt;=NW,SAT1+139,"")</f>
        <v/>
      </c>
      <c r="M215">
        <f>IF(AND(20&lt;=NW,20&gt;=START_O),1,0)</f>
        <v/>
      </c>
      <c r="N215">
        <f>IFERROR(INDEX(RT_OMR,MATCH(L215,RT_K,1)),INDEX(RT_OMR,1))</f>
        <v/>
      </c>
      <c r="O215">
        <f>IFERROR(INDEX(RT_OT,MATCH(L215,RT_K,1)),INDEX(RT_OT,1))</f>
        <v/>
      </c>
      <c r="P215">
        <f>IFERROR(INDEX(RT_GYP,MATCH(L215,RT_K,1)),INDEX(RT_GYP,1))</f>
        <v/>
      </c>
    </row>
    <row r="216">
      <c r="A216" s="20">
        <f>IF(20&lt;=NW,SAT1+133,"")</f>
        <v/>
      </c>
      <c r="B216" s="21">
        <f>IF(A216="","",CHOOSE(WEEKDAY(A216,1),"الأحد","الاثنين","الثلاثاء","الأربعاء","الخميس","الجمعة","السبت"))</f>
        <v/>
      </c>
      <c r="C216" s="22" t="n"/>
      <c r="D216" s="22" t="n"/>
      <c r="E216" s="23">
        <f>IF(OR(M216=0,K216="",L216=""),"",MOD(L216-K216,1))</f>
        <v/>
      </c>
      <c r="F216" s="23">
        <f>IF(OR(E216="",M216=0),"",IF(WEEKDAY(A216,1)=6,E216,MIN(E216,MAX(0,MIN(IF(L216&lt;K216,L216+1,L216),OMR_OT_AT)-K216))))</f>
        <v/>
      </c>
      <c r="G216" s="23">
        <f>IF(OR(E216="",M216=0),"",MAX(0,E216-F216))</f>
        <v/>
      </c>
      <c r="H216" s="24">
        <f>IF(OR(E216="",M216=0),"",ROUND((F216*$N$215+G216*$O$215)*24,3))</f>
        <v/>
      </c>
      <c r="I216" s="22" t="n"/>
      <c r="K216" s="25">
        <f>IF(OR(M216=0,C216=""),"",IF(ISNUMBER(C216),MOD(C216,1),IFERROR(INDEX('القوائم'!$B$1:$B$288,MATCH(TRIM(C216),'القوائم'!$A$1:$A$288,0)),IFERROR(MOD(TIMEVALUE(C216),1),""))))</f>
        <v/>
      </c>
      <c r="L216" s="25">
        <f>IF(OR(M216=0,D216=""),"",IF(ISNUMBER(D216),MOD(D216,1),IFERROR(INDEX('القوائم'!$B$1:$B$288,MATCH(TRIM(D216),'القوائم'!$A$1:$A$288,0)),IFERROR(MOD(TIMEVALUE(D216),1),""))))</f>
        <v/>
      </c>
      <c r="M216">
        <f>M215</f>
        <v/>
      </c>
      <c r="Q216">
        <f>IF(N(G225)&gt;0,1,0)</f>
        <v/>
      </c>
    </row>
    <row r="217">
      <c r="A217" s="20">
        <f>IF(20&lt;=NW,SAT1+134,"")</f>
        <v/>
      </c>
      <c r="B217" s="21">
        <f>IF(A217="","",CHOOSE(WEEKDAY(A217,1),"الأحد","الاثنين","الثلاثاء","الأربعاء","الخميس","الجمعة","السبت"))</f>
        <v/>
      </c>
      <c r="C217" s="22" t="n"/>
      <c r="D217" s="22" t="n"/>
      <c r="E217" s="23">
        <f>IF(OR(M217=0,K217="",L217=""),"",MOD(L217-K217,1))</f>
        <v/>
      </c>
      <c r="F217" s="23">
        <f>IF(OR(E217="",M217=0),"",IF(WEEKDAY(A217,1)=6,E217,MIN(E217,MAX(0,MIN(IF(L217&lt;K217,L217+1,L217),OMR_OT_AT)-K217))))</f>
        <v/>
      </c>
      <c r="G217" s="23">
        <f>IF(OR(E217="",M217=0),"",MAX(0,E217-F217))</f>
        <v/>
      </c>
      <c r="H217" s="24">
        <f>IF(OR(E217="",M217=0),"",ROUND((F217*$N$215+G217*$O$215)*24,3))</f>
        <v/>
      </c>
      <c r="I217" s="22" t="n"/>
      <c r="K217" s="25">
        <f>IF(OR(M217=0,C217=""),"",IF(ISNUMBER(C217),MOD(C217,1),IFERROR(INDEX('القوائم'!$B$1:$B$288,MATCH(TRIM(C217),'القوائم'!$A$1:$A$288,0)),IFERROR(MOD(TIMEVALUE(C217),1),""))))</f>
        <v/>
      </c>
      <c r="L217" s="25">
        <f>IF(OR(M217=0,D217=""),"",IF(ISNUMBER(D217),MOD(D217,1),IFERROR(INDEX('القوائم'!$B$1:$B$288,MATCH(TRIM(D217),'القوائم'!$A$1:$A$288,0)),IFERROR(MOD(TIMEVALUE(D217),1),""))))</f>
        <v/>
      </c>
      <c r="M217">
        <f>M215</f>
        <v/>
      </c>
      <c r="Q217">
        <f>IF(N(G225)&gt;0,1,0)</f>
        <v/>
      </c>
    </row>
    <row r="218">
      <c r="A218" s="20">
        <f>IF(20&lt;=NW,SAT1+135,"")</f>
        <v/>
      </c>
      <c r="B218" s="21">
        <f>IF(A218="","",CHOOSE(WEEKDAY(A218,1),"الأحد","الاثنين","الثلاثاء","الأربعاء","الخميس","الجمعة","السبت"))</f>
        <v/>
      </c>
      <c r="C218" s="22" t="n"/>
      <c r="D218" s="22" t="n"/>
      <c r="E218" s="23">
        <f>IF(OR(M218=0,K218="",L218=""),"",MOD(L218-K218,1))</f>
        <v/>
      </c>
      <c r="F218" s="23">
        <f>IF(OR(E218="",M218=0),"",IF(WEEKDAY(A218,1)=6,E218,MIN(E218,MAX(0,MIN(IF(L218&lt;K218,L218+1,L218),OMR_OT_AT)-K218))))</f>
        <v/>
      </c>
      <c r="G218" s="23">
        <f>IF(OR(E218="",M218=0),"",MAX(0,E218-F218))</f>
        <v/>
      </c>
      <c r="H218" s="24">
        <f>IF(OR(E218="",M218=0),"",ROUND((F218*$N$215+G218*$O$215)*24,3))</f>
        <v/>
      </c>
      <c r="I218" s="22" t="n"/>
      <c r="K218" s="25">
        <f>IF(OR(M218=0,C218=""),"",IF(ISNUMBER(C218),MOD(C218,1),IFERROR(INDEX('القوائم'!$B$1:$B$288,MATCH(TRIM(C218),'القوائم'!$A$1:$A$288,0)),IFERROR(MOD(TIMEVALUE(C218),1),""))))</f>
        <v/>
      </c>
      <c r="L218" s="25">
        <f>IF(OR(M218=0,D218=""),"",IF(ISNUMBER(D218),MOD(D218,1),IFERROR(INDEX('القوائم'!$B$1:$B$288,MATCH(TRIM(D218),'القوائم'!$A$1:$A$288,0)),IFERROR(MOD(TIMEVALUE(D218),1),""))))</f>
        <v/>
      </c>
      <c r="M218">
        <f>M215</f>
        <v/>
      </c>
      <c r="Q218">
        <f>IF(N(G225)&gt;0,1,0)</f>
        <v/>
      </c>
    </row>
    <row r="219">
      <c r="A219" s="20">
        <f>IF(20&lt;=NW,SAT1+136,"")</f>
        <v/>
      </c>
      <c r="B219" s="21">
        <f>IF(A219="","",CHOOSE(WEEKDAY(A219,1),"الأحد","الاثنين","الثلاثاء","الأربعاء","الخميس","الجمعة","السبت"))</f>
        <v/>
      </c>
      <c r="C219" s="22" t="n"/>
      <c r="D219" s="22" t="n"/>
      <c r="E219" s="23">
        <f>IF(OR(M219=0,K219="",L219=""),"",MOD(L219-K219,1))</f>
        <v/>
      </c>
      <c r="F219" s="23">
        <f>IF(OR(E219="",M219=0),"",IF(WEEKDAY(A219,1)=6,E219,MIN(E219,MAX(0,MIN(IF(L219&lt;K219,L219+1,L219),OMR_OT_AT)-K219))))</f>
        <v/>
      </c>
      <c r="G219" s="23">
        <f>IF(OR(E219="",M219=0),"",MAX(0,E219-F219))</f>
        <v/>
      </c>
      <c r="H219" s="24">
        <f>IF(OR(E219="",M219=0),"",ROUND((F219*$N$215+G219*$O$215)*24,3))</f>
        <v/>
      </c>
      <c r="I219" s="22" t="n"/>
      <c r="K219" s="25">
        <f>IF(OR(M219=0,C219=""),"",IF(ISNUMBER(C219),MOD(C219,1),IFERROR(INDEX('القوائم'!$B$1:$B$288,MATCH(TRIM(C219),'القوائم'!$A$1:$A$288,0)),IFERROR(MOD(TIMEVALUE(C219),1),""))))</f>
        <v/>
      </c>
      <c r="L219" s="25">
        <f>IF(OR(M219=0,D219=""),"",IF(ISNUMBER(D219),MOD(D219,1),IFERROR(INDEX('القوائم'!$B$1:$B$288,MATCH(TRIM(D219),'القوائم'!$A$1:$A$288,0)),IFERROR(MOD(TIMEVALUE(D219),1),""))))</f>
        <v/>
      </c>
      <c r="M219">
        <f>M215</f>
        <v/>
      </c>
      <c r="Q219">
        <f>IF(N(G225)&gt;0,1,0)</f>
        <v/>
      </c>
    </row>
    <row r="220">
      <c r="A220" s="20">
        <f>IF(20&lt;=NW,SAT1+137,"")</f>
        <v/>
      </c>
      <c r="B220" s="21">
        <f>IF(A220="","",CHOOSE(WEEKDAY(A220,1),"الأحد","الاثنين","الثلاثاء","الأربعاء","الخميس","الجمعة","السبت"))</f>
        <v/>
      </c>
      <c r="C220" s="22" t="n"/>
      <c r="D220" s="22" t="n"/>
      <c r="E220" s="23">
        <f>IF(OR(M220=0,K220="",L220=""),"",MOD(L220-K220,1))</f>
        <v/>
      </c>
      <c r="F220" s="23">
        <f>IF(OR(E220="",M220=0),"",IF(WEEKDAY(A220,1)=6,E220,MIN(E220,MAX(0,MIN(IF(L220&lt;K220,L220+1,L220),OMR_OT_AT)-K220))))</f>
        <v/>
      </c>
      <c r="G220" s="23">
        <f>IF(OR(E220="",M220=0),"",MAX(0,E220-F220))</f>
        <v/>
      </c>
      <c r="H220" s="24">
        <f>IF(OR(E220="",M220=0),"",ROUND((F220*$N$215+G220*$O$215)*24,3))</f>
        <v/>
      </c>
      <c r="I220" s="22" t="n"/>
      <c r="K220" s="25">
        <f>IF(OR(M220=0,C220=""),"",IF(ISNUMBER(C220),MOD(C220,1),IFERROR(INDEX('القوائم'!$B$1:$B$288,MATCH(TRIM(C220),'القوائم'!$A$1:$A$288,0)),IFERROR(MOD(TIMEVALUE(C220),1),""))))</f>
        <v/>
      </c>
      <c r="L220" s="25">
        <f>IF(OR(M220=0,D220=""),"",IF(ISNUMBER(D220),MOD(D220,1),IFERROR(INDEX('القوائم'!$B$1:$B$288,MATCH(TRIM(D220),'القوائم'!$A$1:$A$288,0)),IFERROR(MOD(TIMEVALUE(D220),1),""))))</f>
        <v/>
      </c>
      <c r="M220">
        <f>M215</f>
        <v/>
      </c>
      <c r="Q220">
        <f>IF(N(G225)&gt;0,1,0)</f>
        <v/>
      </c>
    </row>
    <row r="221">
      <c r="A221" s="20">
        <f>IF(20&lt;=NW,SAT1+138,"")</f>
        <v/>
      </c>
      <c r="B221" s="21">
        <f>IF(A221="","",CHOOSE(WEEKDAY(A221,1),"الأحد","الاثنين","الثلاثاء","الأربعاء","الخميس","الجمعة","السبت"))</f>
        <v/>
      </c>
      <c r="C221" s="22" t="n"/>
      <c r="D221" s="22" t="n"/>
      <c r="E221" s="23">
        <f>IF(OR(M221=0,K221="",L221=""),"",MOD(L221-K221,1))</f>
        <v/>
      </c>
      <c r="F221" s="23">
        <f>IF(OR(E221="",M221=0),"",IF(WEEKDAY(A221,1)=6,E221,MIN(E221,MAX(0,MIN(IF(L221&lt;K221,L221+1,L221),OMR_OT_AT)-K221))))</f>
        <v/>
      </c>
      <c r="G221" s="23">
        <f>IF(OR(E221="",M221=0),"",MAX(0,E221-F221))</f>
        <v/>
      </c>
      <c r="H221" s="24">
        <f>IF(OR(E221="",M221=0),"",ROUND((F221*$N$215+G221*$O$215)*24,3))</f>
        <v/>
      </c>
      <c r="I221" s="22" t="n"/>
      <c r="K221" s="25">
        <f>IF(OR(M221=0,C221=""),"",IF(ISNUMBER(C221),MOD(C221,1),IFERROR(INDEX('القوائم'!$B$1:$B$288,MATCH(TRIM(C221),'القوائم'!$A$1:$A$288,0)),IFERROR(MOD(TIMEVALUE(C221),1),""))))</f>
        <v/>
      </c>
      <c r="L221" s="25">
        <f>IF(OR(M221=0,D221=""),"",IF(ISNUMBER(D221),MOD(D221,1),IFERROR(INDEX('القوائم'!$B$1:$B$288,MATCH(TRIM(D221),'القوائم'!$A$1:$A$288,0)),IFERROR(MOD(TIMEVALUE(D221),1),""))))</f>
        <v/>
      </c>
      <c r="M221">
        <f>M215</f>
        <v/>
      </c>
      <c r="Q221">
        <f>IF(N(G225)&gt;0,1,0)</f>
        <v/>
      </c>
    </row>
    <row r="222">
      <c r="A222" s="26">
        <f>IF(20&lt;=NW,SAT1+139,"")</f>
        <v/>
      </c>
      <c r="B222" s="27">
        <f>IF(A222="","",CHOOSE(WEEKDAY(A222,1),"الأحد","الاثنين","الثلاثاء","الأربعاء","الخميس","الجمعة","السبت"))</f>
        <v/>
      </c>
      <c r="C222" s="22" t="n"/>
      <c r="D222" s="22" t="n"/>
      <c r="E222" s="23">
        <f>IF(OR(M222=0,K222="",L222=""),"",MOD(L222-K222,1))</f>
        <v/>
      </c>
      <c r="F222" s="23">
        <f>IF(OR(E222="",M222=0),"",IF(WEEKDAY(A222,1)=6,E222,MIN(E222,MAX(0,MIN(IF(L222&lt;K222,L222+1,L222),OMR_OT_AT)-K222))))</f>
        <v/>
      </c>
      <c r="G222" s="23">
        <f>IF(OR(E222="",M222=0),"",MAX(0,E222-F222))</f>
        <v/>
      </c>
      <c r="H222" s="24">
        <f>IF(OR(E222="",M222=0),"",ROUND((F222*$N$215+G222*$O$215)*24,3))</f>
        <v/>
      </c>
      <c r="I222" s="22" t="n"/>
      <c r="K222" s="25">
        <f>IF(OR(M222=0,C222=""),"",IF(ISNUMBER(C222),MOD(C222,1),IFERROR(INDEX('القوائم'!$B$1:$B$288,MATCH(TRIM(C222),'القوائم'!$A$1:$A$288,0)),IFERROR(MOD(TIMEVALUE(C222),1),""))))</f>
        <v/>
      </c>
      <c r="L222" s="25">
        <f>IF(OR(M222=0,D222=""),"",IF(ISNUMBER(D222),MOD(D222,1),IFERROR(INDEX('القوائم'!$B$1:$B$288,MATCH(TRIM(D222),'القوائم'!$A$1:$A$288,0)),IFERROR(MOD(TIMEVALUE(D222),1),""))))</f>
        <v/>
      </c>
      <c r="M222">
        <f>M215</f>
        <v/>
      </c>
      <c r="Q222">
        <f>IF(N(G225)&gt;0,1,0)</f>
        <v/>
      </c>
    </row>
    <row r="223">
      <c r="A223" s="28">
        <f>IF(M215=1,"مجموع أيام الأسبوع 20","")</f>
        <v/>
      </c>
      <c r="B223" s="28" t="n"/>
      <c r="C223" s="28" t="n"/>
      <c r="D223" s="28" t="n"/>
      <c r="E223" s="29">
        <f>IF(M215=1,SUM(E216:E222),"")</f>
        <v/>
      </c>
      <c r="F223" s="29">
        <f>IF(M215=1,SUM(F216:F222),"")</f>
        <v/>
      </c>
      <c r="G223" s="29">
        <f>IF(M215=1,SUM(G216:G222),"")</f>
        <v/>
      </c>
      <c r="H223" s="30">
        <f>IF(M215=1,SUM(H216:H222),"")</f>
        <v/>
      </c>
      <c r="I223" s="28" t="n"/>
    </row>
    <row r="224" ht="32" customHeight="1">
      <c r="A224" s="28">
        <f>IF(M215=1,"ساعات تحميل الجبسمبورد بهالأسبوع (رقم: 2 أو 1.5) ←","")</f>
        <v/>
      </c>
      <c r="E224" s="31" t="n"/>
      <c r="F224" s="32">
        <f>IF(M215=1,"المستحق النهائي للأسبوع (دينار) ←","")</f>
        <v/>
      </c>
      <c r="H224" s="33">
        <f>IF(M215=1,IF(ROUND_MODE="للأعلى",CEILING(ROUND((N(H223)+N(E224)*($P$215-$N$215)),3),0.25),ROUND((N(H223)+N(E224)*($P$215-$N$215))*4,0)/4),"")</f>
        <v/>
      </c>
      <c r="I224" s="34">
        <f>IF(M215=1,"قبل الجبر: "&amp;TEXT(N(H223)+N(E224)*($P$215-$N$215),"0.000"),"")</f>
        <v/>
      </c>
    </row>
    <row r="225" ht="26" customHeight="1">
      <c r="A225" s="28">
        <f>IF(M215=1,"إكرامية الأسبوع (دينار) ←","")</f>
        <v/>
      </c>
      <c r="D225" s="35" t="n"/>
      <c r="E225" s="28">
        <f>IF(M215=1,"المدفوع يوم الجمعة (دينار) ←","")</f>
        <v/>
      </c>
      <c r="G225" s="35" t="n"/>
      <c r="H225" s="36">
        <f>IF(M215=1,IF(N(G225)&gt;0,"✔ انقبض — الأسبوع مقفول","⏳ لسا ما انقبض"),"")</f>
        <v/>
      </c>
    </row>
    <row r="226" ht="26" customHeight="1">
      <c r="A226" s="18">
        <f>IF(21&lt;=NW,"الأسبوع 21 · السبت "&amp;TEXT(DAY(SAT1+140),"00")&amp;"/"&amp;TEXT(MONTH(SAT1+140),"00")&amp;" ← الجمعة "&amp;TEXT(DAY(SAT1+146),"00")&amp;"/"&amp;TEXT(MONTH(SAT1+146),"00")&amp;" (يوم القبض)"&amp;IF(21&lt;START_O,"   — قبل أسبوع البداية (ما بينحسب)",""),"ما في أسبوع 21 هالسنة")</f>
        <v/>
      </c>
      <c r="L226" s="19">
        <f>IF(21&lt;=NW,SAT1+146,"")</f>
        <v/>
      </c>
      <c r="M226">
        <f>IF(AND(21&lt;=NW,21&gt;=START_O),1,0)</f>
        <v/>
      </c>
      <c r="N226">
        <f>IFERROR(INDEX(RT_OMR,MATCH(L226,RT_K,1)),INDEX(RT_OMR,1))</f>
        <v/>
      </c>
      <c r="O226">
        <f>IFERROR(INDEX(RT_OT,MATCH(L226,RT_K,1)),INDEX(RT_OT,1))</f>
        <v/>
      </c>
      <c r="P226">
        <f>IFERROR(INDEX(RT_GYP,MATCH(L226,RT_K,1)),INDEX(RT_GYP,1))</f>
        <v/>
      </c>
    </row>
    <row r="227">
      <c r="A227" s="20">
        <f>IF(21&lt;=NW,SAT1+140,"")</f>
        <v/>
      </c>
      <c r="B227" s="21">
        <f>IF(A227="","",CHOOSE(WEEKDAY(A227,1),"الأحد","الاثنين","الثلاثاء","الأربعاء","الخميس","الجمعة","السبت"))</f>
        <v/>
      </c>
      <c r="C227" s="22" t="n"/>
      <c r="D227" s="22" t="n"/>
      <c r="E227" s="23">
        <f>IF(OR(M227=0,K227="",L227=""),"",MOD(L227-K227,1))</f>
        <v/>
      </c>
      <c r="F227" s="23">
        <f>IF(OR(E227="",M227=0),"",IF(WEEKDAY(A227,1)=6,E227,MIN(E227,MAX(0,MIN(IF(L227&lt;K227,L227+1,L227),OMR_OT_AT)-K227))))</f>
        <v/>
      </c>
      <c r="G227" s="23">
        <f>IF(OR(E227="",M227=0),"",MAX(0,E227-F227))</f>
        <v/>
      </c>
      <c r="H227" s="24">
        <f>IF(OR(E227="",M227=0),"",ROUND((F227*$N$226+G227*$O$226)*24,3))</f>
        <v/>
      </c>
      <c r="I227" s="22" t="n"/>
      <c r="K227" s="25">
        <f>IF(OR(M227=0,C227=""),"",IF(ISNUMBER(C227),MOD(C227,1),IFERROR(INDEX('القوائم'!$B$1:$B$288,MATCH(TRIM(C227),'القوائم'!$A$1:$A$288,0)),IFERROR(MOD(TIMEVALUE(C227),1),""))))</f>
        <v/>
      </c>
      <c r="L227" s="25">
        <f>IF(OR(M227=0,D227=""),"",IF(ISNUMBER(D227),MOD(D227,1),IFERROR(INDEX('القوائم'!$B$1:$B$288,MATCH(TRIM(D227),'القوائم'!$A$1:$A$288,0)),IFERROR(MOD(TIMEVALUE(D227),1),""))))</f>
        <v/>
      </c>
      <c r="M227">
        <f>M226</f>
        <v/>
      </c>
      <c r="Q227">
        <f>IF(N(G236)&gt;0,1,0)</f>
        <v/>
      </c>
    </row>
    <row r="228">
      <c r="A228" s="20">
        <f>IF(21&lt;=NW,SAT1+141,"")</f>
        <v/>
      </c>
      <c r="B228" s="21">
        <f>IF(A228="","",CHOOSE(WEEKDAY(A228,1),"الأحد","الاثنين","الثلاثاء","الأربعاء","الخميس","الجمعة","السبت"))</f>
        <v/>
      </c>
      <c r="C228" s="22" t="n"/>
      <c r="D228" s="22" t="n"/>
      <c r="E228" s="23">
        <f>IF(OR(M228=0,K228="",L228=""),"",MOD(L228-K228,1))</f>
        <v/>
      </c>
      <c r="F228" s="23">
        <f>IF(OR(E228="",M228=0),"",IF(WEEKDAY(A228,1)=6,E228,MIN(E228,MAX(0,MIN(IF(L228&lt;K228,L228+1,L228),OMR_OT_AT)-K228))))</f>
        <v/>
      </c>
      <c r="G228" s="23">
        <f>IF(OR(E228="",M228=0),"",MAX(0,E228-F228))</f>
        <v/>
      </c>
      <c r="H228" s="24">
        <f>IF(OR(E228="",M228=0),"",ROUND((F228*$N$226+G228*$O$226)*24,3))</f>
        <v/>
      </c>
      <c r="I228" s="22" t="n"/>
      <c r="K228" s="25">
        <f>IF(OR(M228=0,C228=""),"",IF(ISNUMBER(C228),MOD(C228,1),IFERROR(INDEX('القوائم'!$B$1:$B$288,MATCH(TRIM(C228),'القوائم'!$A$1:$A$288,0)),IFERROR(MOD(TIMEVALUE(C228),1),""))))</f>
        <v/>
      </c>
      <c r="L228" s="25">
        <f>IF(OR(M228=0,D228=""),"",IF(ISNUMBER(D228),MOD(D228,1),IFERROR(INDEX('القوائم'!$B$1:$B$288,MATCH(TRIM(D228),'القوائم'!$A$1:$A$288,0)),IFERROR(MOD(TIMEVALUE(D228),1),""))))</f>
        <v/>
      </c>
      <c r="M228">
        <f>M226</f>
        <v/>
      </c>
      <c r="Q228">
        <f>IF(N(G236)&gt;0,1,0)</f>
        <v/>
      </c>
    </row>
    <row r="229">
      <c r="A229" s="20">
        <f>IF(21&lt;=NW,SAT1+142,"")</f>
        <v/>
      </c>
      <c r="B229" s="21">
        <f>IF(A229="","",CHOOSE(WEEKDAY(A229,1),"الأحد","الاثنين","الثلاثاء","الأربعاء","الخميس","الجمعة","السبت"))</f>
        <v/>
      </c>
      <c r="C229" s="22" t="n"/>
      <c r="D229" s="22" t="n"/>
      <c r="E229" s="23">
        <f>IF(OR(M229=0,K229="",L229=""),"",MOD(L229-K229,1))</f>
        <v/>
      </c>
      <c r="F229" s="23">
        <f>IF(OR(E229="",M229=0),"",IF(WEEKDAY(A229,1)=6,E229,MIN(E229,MAX(0,MIN(IF(L229&lt;K229,L229+1,L229),OMR_OT_AT)-K229))))</f>
        <v/>
      </c>
      <c r="G229" s="23">
        <f>IF(OR(E229="",M229=0),"",MAX(0,E229-F229))</f>
        <v/>
      </c>
      <c r="H229" s="24">
        <f>IF(OR(E229="",M229=0),"",ROUND((F229*$N$226+G229*$O$226)*24,3))</f>
        <v/>
      </c>
      <c r="I229" s="22" t="n"/>
      <c r="K229" s="25">
        <f>IF(OR(M229=0,C229=""),"",IF(ISNUMBER(C229),MOD(C229,1),IFERROR(INDEX('القوائم'!$B$1:$B$288,MATCH(TRIM(C229),'القوائم'!$A$1:$A$288,0)),IFERROR(MOD(TIMEVALUE(C229),1),""))))</f>
        <v/>
      </c>
      <c r="L229" s="25">
        <f>IF(OR(M229=0,D229=""),"",IF(ISNUMBER(D229),MOD(D229,1),IFERROR(INDEX('القوائم'!$B$1:$B$288,MATCH(TRIM(D229),'القوائم'!$A$1:$A$288,0)),IFERROR(MOD(TIMEVALUE(D229),1),""))))</f>
        <v/>
      </c>
      <c r="M229">
        <f>M226</f>
        <v/>
      </c>
      <c r="Q229">
        <f>IF(N(G236)&gt;0,1,0)</f>
        <v/>
      </c>
    </row>
    <row r="230">
      <c r="A230" s="20">
        <f>IF(21&lt;=NW,SAT1+143,"")</f>
        <v/>
      </c>
      <c r="B230" s="21">
        <f>IF(A230="","",CHOOSE(WEEKDAY(A230,1),"الأحد","الاثنين","الثلاثاء","الأربعاء","الخميس","الجمعة","السبت"))</f>
        <v/>
      </c>
      <c r="C230" s="22" t="n"/>
      <c r="D230" s="22" t="n"/>
      <c r="E230" s="23">
        <f>IF(OR(M230=0,K230="",L230=""),"",MOD(L230-K230,1))</f>
        <v/>
      </c>
      <c r="F230" s="23">
        <f>IF(OR(E230="",M230=0),"",IF(WEEKDAY(A230,1)=6,E230,MIN(E230,MAX(0,MIN(IF(L230&lt;K230,L230+1,L230),OMR_OT_AT)-K230))))</f>
        <v/>
      </c>
      <c r="G230" s="23">
        <f>IF(OR(E230="",M230=0),"",MAX(0,E230-F230))</f>
        <v/>
      </c>
      <c r="H230" s="24">
        <f>IF(OR(E230="",M230=0),"",ROUND((F230*$N$226+G230*$O$226)*24,3))</f>
        <v/>
      </c>
      <c r="I230" s="22" t="n"/>
      <c r="K230" s="25">
        <f>IF(OR(M230=0,C230=""),"",IF(ISNUMBER(C230),MOD(C230,1),IFERROR(INDEX('القوائم'!$B$1:$B$288,MATCH(TRIM(C230),'القوائم'!$A$1:$A$288,0)),IFERROR(MOD(TIMEVALUE(C230),1),""))))</f>
        <v/>
      </c>
      <c r="L230" s="25">
        <f>IF(OR(M230=0,D230=""),"",IF(ISNUMBER(D230),MOD(D230,1),IFERROR(INDEX('القوائم'!$B$1:$B$288,MATCH(TRIM(D230),'القوائم'!$A$1:$A$288,0)),IFERROR(MOD(TIMEVALUE(D230),1),""))))</f>
        <v/>
      </c>
      <c r="M230">
        <f>M226</f>
        <v/>
      </c>
      <c r="Q230">
        <f>IF(N(G236)&gt;0,1,0)</f>
        <v/>
      </c>
    </row>
    <row r="231">
      <c r="A231" s="20">
        <f>IF(21&lt;=NW,SAT1+144,"")</f>
        <v/>
      </c>
      <c r="B231" s="21">
        <f>IF(A231="","",CHOOSE(WEEKDAY(A231,1),"الأحد","الاثنين","الثلاثاء","الأربعاء","الخميس","الجمعة","السبت"))</f>
        <v/>
      </c>
      <c r="C231" s="22" t="n"/>
      <c r="D231" s="22" t="n"/>
      <c r="E231" s="23">
        <f>IF(OR(M231=0,K231="",L231=""),"",MOD(L231-K231,1))</f>
        <v/>
      </c>
      <c r="F231" s="23">
        <f>IF(OR(E231="",M231=0),"",IF(WEEKDAY(A231,1)=6,E231,MIN(E231,MAX(0,MIN(IF(L231&lt;K231,L231+1,L231),OMR_OT_AT)-K231))))</f>
        <v/>
      </c>
      <c r="G231" s="23">
        <f>IF(OR(E231="",M231=0),"",MAX(0,E231-F231))</f>
        <v/>
      </c>
      <c r="H231" s="24">
        <f>IF(OR(E231="",M231=0),"",ROUND((F231*$N$226+G231*$O$226)*24,3))</f>
        <v/>
      </c>
      <c r="I231" s="22" t="n"/>
      <c r="K231" s="25">
        <f>IF(OR(M231=0,C231=""),"",IF(ISNUMBER(C231),MOD(C231,1),IFERROR(INDEX('القوائم'!$B$1:$B$288,MATCH(TRIM(C231),'القوائم'!$A$1:$A$288,0)),IFERROR(MOD(TIMEVALUE(C231),1),""))))</f>
        <v/>
      </c>
      <c r="L231" s="25">
        <f>IF(OR(M231=0,D231=""),"",IF(ISNUMBER(D231),MOD(D231,1),IFERROR(INDEX('القوائم'!$B$1:$B$288,MATCH(TRIM(D231),'القوائم'!$A$1:$A$288,0)),IFERROR(MOD(TIMEVALUE(D231),1),""))))</f>
        <v/>
      </c>
      <c r="M231">
        <f>M226</f>
        <v/>
      </c>
      <c r="Q231">
        <f>IF(N(G236)&gt;0,1,0)</f>
        <v/>
      </c>
    </row>
    <row r="232">
      <c r="A232" s="20">
        <f>IF(21&lt;=NW,SAT1+145,"")</f>
        <v/>
      </c>
      <c r="B232" s="21">
        <f>IF(A232="","",CHOOSE(WEEKDAY(A232,1),"الأحد","الاثنين","الثلاثاء","الأربعاء","الخميس","الجمعة","السبت"))</f>
        <v/>
      </c>
      <c r="C232" s="22" t="n"/>
      <c r="D232" s="22" t="n"/>
      <c r="E232" s="23">
        <f>IF(OR(M232=0,K232="",L232=""),"",MOD(L232-K232,1))</f>
        <v/>
      </c>
      <c r="F232" s="23">
        <f>IF(OR(E232="",M232=0),"",IF(WEEKDAY(A232,1)=6,E232,MIN(E232,MAX(0,MIN(IF(L232&lt;K232,L232+1,L232),OMR_OT_AT)-K232))))</f>
        <v/>
      </c>
      <c r="G232" s="23">
        <f>IF(OR(E232="",M232=0),"",MAX(0,E232-F232))</f>
        <v/>
      </c>
      <c r="H232" s="24">
        <f>IF(OR(E232="",M232=0),"",ROUND((F232*$N$226+G232*$O$226)*24,3))</f>
        <v/>
      </c>
      <c r="I232" s="22" t="n"/>
      <c r="K232" s="25">
        <f>IF(OR(M232=0,C232=""),"",IF(ISNUMBER(C232),MOD(C232,1),IFERROR(INDEX('القوائم'!$B$1:$B$288,MATCH(TRIM(C232),'القوائم'!$A$1:$A$288,0)),IFERROR(MOD(TIMEVALUE(C232),1),""))))</f>
        <v/>
      </c>
      <c r="L232" s="25">
        <f>IF(OR(M232=0,D232=""),"",IF(ISNUMBER(D232),MOD(D232,1),IFERROR(INDEX('القوائم'!$B$1:$B$288,MATCH(TRIM(D232),'القوائم'!$A$1:$A$288,0)),IFERROR(MOD(TIMEVALUE(D232),1),""))))</f>
        <v/>
      </c>
      <c r="M232">
        <f>M226</f>
        <v/>
      </c>
      <c r="Q232">
        <f>IF(N(G236)&gt;0,1,0)</f>
        <v/>
      </c>
    </row>
    <row r="233">
      <c r="A233" s="26">
        <f>IF(21&lt;=NW,SAT1+146,"")</f>
        <v/>
      </c>
      <c r="B233" s="27">
        <f>IF(A233="","",CHOOSE(WEEKDAY(A233,1),"الأحد","الاثنين","الثلاثاء","الأربعاء","الخميس","الجمعة","السبت"))</f>
        <v/>
      </c>
      <c r="C233" s="22" t="n"/>
      <c r="D233" s="22" t="n"/>
      <c r="E233" s="23">
        <f>IF(OR(M233=0,K233="",L233=""),"",MOD(L233-K233,1))</f>
        <v/>
      </c>
      <c r="F233" s="23">
        <f>IF(OR(E233="",M233=0),"",IF(WEEKDAY(A233,1)=6,E233,MIN(E233,MAX(0,MIN(IF(L233&lt;K233,L233+1,L233),OMR_OT_AT)-K233))))</f>
        <v/>
      </c>
      <c r="G233" s="23">
        <f>IF(OR(E233="",M233=0),"",MAX(0,E233-F233))</f>
        <v/>
      </c>
      <c r="H233" s="24">
        <f>IF(OR(E233="",M233=0),"",ROUND((F233*$N$226+G233*$O$226)*24,3))</f>
        <v/>
      </c>
      <c r="I233" s="22" t="n"/>
      <c r="K233" s="25">
        <f>IF(OR(M233=0,C233=""),"",IF(ISNUMBER(C233),MOD(C233,1),IFERROR(INDEX('القوائم'!$B$1:$B$288,MATCH(TRIM(C233),'القوائم'!$A$1:$A$288,0)),IFERROR(MOD(TIMEVALUE(C233),1),""))))</f>
        <v/>
      </c>
      <c r="L233" s="25">
        <f>IF(OR(M233=0,D233=""),"",IF(ISNUMBER(D233),MOD(D233,1),IFERROR(INDEX('القوائم'!$B$1:$B$288,MATCH(TRIM(D233),'القوائم'!$A$1:$A$288,0)),IFERROR(MOD(TIMEVALUE(D233),1),""))))</f>
        <v/>
      </c>
      <c r="M233">
        <f>M226</f>
        <v/>
      </c>
      <c r="Q233">
        <f>IF(N(G236)&gt;0,1,0)</f>
        <v/>
      </c>
    </row>
    <row r="234">
      <c r="A234" s="28">
        <f>IF(M226=1,"مجموع أيام الأسبوع 21","")</f>
        <v/>
      </c>
      <c r="B234" s="28" t="n"/>
      <c r="C234" s="28" t="n"/>
      <c r="D234" s="28" t="n"/>
      <c r="E234" s="29">
        <f>IF(M226=1,SUM(E227:E233),"")</f>
        <v/>
      </c>
      <c r="F234" s="29">
        <f>IF(M226=1,SUM(F227:F233),"")</f>
        <v/>
      </c>
      <c r="G234" s="29">
        <f>IF(M226=1,SUM(G227:G233),"")</f>
        <v/>
      </c>
      <c r="H234" s="30">
        <f>IF(M226=1,SUM(H227:H233),"")</f>
        <v/>
      </c>
      <c r="I234" s="28" t="n"/>
    </row>
    <row r="235" ht="32" customHeight="1">
      <c r="A235" s="28">
        <f>IF(M226=1,"ساعات تحميل الجبسمبورد بهالأسبوع (رقم: 2 أو 1.5) ←","")</f>
        <v/>
      </c>
      <c r="E235" s="31" t="n"/>
      <c r="F235" s="32">
        <f>IF(M226=1,"المستحق النهائي للأسبوع (دينار) ←","")</f>
        <v/>
      </c>
      <c r="H235" s="33">
        <f>IF(M226=1,IF(ROUND_MODE="للأعلى",CEILING(ROUND((N(H234)+N(E235)*($P$226-$N$226)),3),0.25),ROUND((N(H234)+N(E235)*($P$226-$N$226))*4,0)/4),"")</f>
        <v/>
      </c>
      <c r="I235" s="34">
        <f>IF(M226=1,"قبل الجبر: "&amp;TEXT(N(H234)+N(E235)*($P$226-$N$226),"0.000"),"")</f>
        <v/>
      </c>
    </row>
    <row r="236" ht="26" customHeight="1">
      <c r="A236" s="28">
        <f>IF(M226=1,"إكرامية الأسبوع (دينار) ←","")</f>
        <v/>
      </c>
      <c r="D236" s="35" t="n"/>
      <c r="E236" s="28">
        <f>IF(M226=1,"المدفوع يوم الجمعة (دينار) ←","")</f>
        <v/>
      </c>
      <c r="G236" s="35" t="n"/>
      <c r="H236" s="36">
        <f>IF(M226=1,IF(N(G236)&gt;0,"✔ انقبض — الأسبوع مقفول","⏳ لسا ما انقبض"),"")</f>
        <v/>
      </c>
    </row>
    <row r="237" ht="26" customHeight="1">
      <c r="A237" s="18">
        <f>IF(22&lt;=NW,"الأسبوع 22 · السبت "&amp;TEXT(DAY(SAT1+147),"00")&amp;"/"&amp;TEXT(MONTH(SAT1+147),"00")&amp;" ← الجمعة "&amp;TEXT(DAY(SAT1+153),"00")&amp;"/"&amp;TEXT(MONTH(SAT1+153),"00")&amp;" (يوم القبض)"&amp;IF(22&lt;START_O,"   — قبل أسبوع البداية (ما بينحسب)",""),"ما في أسبوع 22 هالسنة")</f>
        <v/>
      </c>
      <c r="L237" s="19">
        <f>IF(22&lt;=NW,SAT1+153,"")</f>
        <v/>
      </c>
      <c r="M237">
        <f>IF(AND(22&lt;=NW,22&gt;=START_O),1,0)</f>
        <v/>
      </c>
      <c r="N237">
        <f>IFERROR(INDEX(RT_OMR,MATCH(L237,RT_K,1)),INDEX(RT_OMR,1))</f>
        <v/>
      </c>
      <c r="O237">
        <f>IFERROR(INDEX(RT_OT,MATCH(L237,RT_K,1)),INDEX(RT_OT,1))</f>
        <v/>
      </c>
      <c r="P237">
        <f>IFERROR(INDEX(RT_GYP,MATCH(L237,RT_K,1)),INDEX(RT_GYP,1))</f>
        <v/>
      </c>
    </row>
    <row r="238">
      <c r="A238" s="20">
        <f>IF(22&lt;=NW,SAT1+147,"")</f>
        <v/>
      </c>
      <c r="B238" s="21">
        <f>IF(A238="","",CHOOSE(WEEKDAY(A238,1),"الأحد","الاثنين","الثلاثاء","الأربعاء","الخميس","الجمعة","السبت"))</f>
        <v/>
      </c>
      <c r="C238" s="22" t="n"/>
      <c r="D238" s="22" t="n"/>
      <c r="E238" s="23">
        <f>IF(OR(M238=0,K238="",L238=""),"",MOD(L238-K238,1))</f>
        <v/>
      </c>
      <c r="F238" s="23">
        <f>IF(OR(E238="",M238=0),"",IF(WEEKDAY(A238,1)=6,E238,MIN(E238,MAX(0,MIN(IF(L238&lt;K238,L238+1,L238),OMR_OT_AT)-K238))))</f>
        <v/>
      </c>
      <c r="G238" s="23">
        <f>IF(OR(E238="",M238=0),"",MAX(0,E238-F238))</f>
        <v/>
      </c>
      <c r="H238" s="24">
        <f>IF(OR(E238="",M238=0),"",ROUND((F238*$N$237+G238*$O$237)*24,3))</f>
        <v/>
      </c>
      <c r="I238" s="22" t="n"/>
      <c r="K238" s="25">
        <f>IF(OR(M238=0,C238=""),"",IF(ISNUMBER(C238),MOD(C238,1),IFERROR(INDEX('القوائم'!$B$1:$B$288,MATCH(TRIM(C238),'القوائم'!$A$1:$A$288,0)),IFERROR(MOD(TIMEVALUE(C238),1),""))))</f>
        <v/>
      </c>
      <c r="L238" s="25">
        <f>IF(OR(M238=0,D238=""),"",IF(ISNUMBER(D238),MOD(D238,1),IFERROR(INDEX('القوائم'!$B$1:$B$288,MATCH(TRIM(D238),'القوائم'!$A$1:$A$288,0)),IFERROR(MOD(TIMEVALUE(D238),1),""))))</f>
        <v/>
      </c>
      <c r="M238">
        <f>M237</f>
        <v/>
      </c>
      <c r="Q238">
        <f>IF(N(G247)&gt;0,1,0)</f>
        <v/>
      </c>
    </row>
    <row r="239">
      <c r="A239" s="20">
        <f>IF(22&lt;=NW,SAT1+148,"")</f>
        <v/>
      </c>
      <c r="B239" s="21">
        <f>IF(A239="","",CHOOSE(WEEKDAY(A239,1),"الأحد","الاثنين","الثلاثاء","الأربعاء","الخميس","الجمعة","السبت"))</f>
        <v/>
      </c>
      <c r="C239" s="22" t="n"/>
      <c r="D239" s="22" t="n"/>
      <c r="E239" s="23">
        <f>IF(OR(M239=0,K239="",L239=""),"",MOD(L239-K239,1))</f>
        <v/>
      </c>
      <c r="F239" s="23">
        <f>IF(OR(E239="",M239=0),"",IF(WEEKDAY(A239,1)=6,E239,MIN(E239,MAX(0,MIN(IF(L239&lt;K239,L239+1,L239),OMR_OT_AT)-K239))))</f>
        <v/>
      </c>
      <c r="G239" s="23">
        <f>IF(OR(E239="",M239=0),"",MAX(0,E239-F239))</f>
        <v/>
      </c>
      <c r="H239" s="24">
        <f>IF(OR(E239="",M239=0),"",ROUND((F239*$N$237+G239*$O$237)*24,3))</f>
        <v/>
      </c>
      <c r="I239" s="22" t="n"/>
      <c r="K239" s="25">
        <f>IF(OR(M239=0,C239=""),"",IF(ISNUMBER(C239),MOD(C239,1),IFERROR(INDEX('القوائم'!$B$1:$B$288,MATCH(TRIM(C239),'القوائم'!$A$1:$A$288,0)),IFERROR(MOD(TIMEVALUE(C239),1),""))))</f>
        <v/>
      </c>
      <c r="L239" s="25">
        <f>IF(OR(M239=0,D239=""),"",IF(ISNUMBER(D239),MOD(D239,1),IFERROR(INDEX('القوائم'!$B$1:$B$288,MATCH(TRIM(D239),'القوائم'!$A$1:$A$288,0)),IFERROR(MOD(TIMEVALUE(D239),1),""))))</f>
        <v/>
      </c>
      <c r="M239">
        <f>M237</f>
        <v/>
      </c>
      <c r="Q239">
        <f>IF(N(G247)&gt;0,1,0)</f>
        <v/>
      </c>
    </row>
    <row r="240">
      <c r="A240" s="20">
        <f>IF(22&lt;=NW,SAT1+149,"")</f>
        <v/>
      </c>
      <c r="B240" s="21">
        <f>IF(A240="","",CHOOSE(WEEKDAY(A240,1),"الأحد","الاثنين","الثلاثاء","الأربعاء","الخميس","الجمعة","السبت"))</f>
        <v/>
      </c>
      <c r="C240" s="22" t="n"/>
      <c r="D240" s="22" t="n"/>
      <c r="E240" s="23">
        <f>IF(OR(M240=0,K240="",L240=""),"",MOD(L240-K240,1))</f>
        <v/>
      </c>
      <c r="F240" s="23">
        <f>IF(OR(E240="",M240=0),"",IF(WEEKDAY(A240,1)=6,E240,MIN(E240,MAX(0,MIN(IF(L240&lt;K240,L240+1,L240),OMR_OT_AT)-K240))))</f>
        <v/>
      </c>
      <c r="G240" s="23">
        <f>IF(OR(E240="",M240=0),"",MAX(0,E240-F240))</f>
        <v/>
      </c>
      <c r="H240" s="24">
        <f>IF(OR(E240="",M240=0),"",ROUND((F240*$N$237+G240*$O$237)*24,3))</f>
        <v/>
      </c>
      <c r="I240" s="22" t="n"/>
      <c r="K240" s="25">
        <f>IF(OR(M240=0,C240=""),"",IF(ISNUMBER(C240),MOD(C240,1),IFERROR(INDEX('القوائم'!$B$1:$B$288,MATCH(TRIM(C240),'القوائم'!$A$1:$A$288,0)),IFERROR(MOD(TIMEVALUE(C240),1),""))))</f>
        <v/>
      </c>
      <c r="L240" s="25">
        <f>IF(OR(M240=0,D240=""),"",IF(ISNUMBER(D240),MOD(D240,1),IFERROR(INDEX('القوائم'!$B$1:$B$288,MATCH(TRIM(D240),'القوائم'!$A$1:$A$288,0)),IFERROR(MOD(TIMEVALUE(D240),1),""))))</f>
        <v/>
      </c>
      <c r="M240">
        <f>M237</f>
        <v/>
      </c>
      <c r="Q240">
        <f>IF(N(G247)&gt;0,1,0)</f>
        <v/>
      </c>
    </row>
    <row r="241">
      <c r="A241" s="20">
        <f>IF(22&lt;=NW,SAT1+150,"")</f>
        <v/>
      </c>
      <c r="B241" s="21">
        <f>IF(A241="","",CHOOSE(WEEKDAY(A241,1),"الأحد","الاثنين","الثلاثاء","الأربعاء","الخميس","الجمعة","السبت"))</f>
        <v/>
      </c>
      <c r="C241" s="22" t="n"/>
      <c r="D241" s="22" t="n"/>
      <c r="E241" s="23">
        <f>IF(OR(M241=0,K241="",L241=""),"",MOD(L241-K241,1))</f>
        <v/>
      </c>
      <c r="F241" s="23">
        <f>IF(OR(E241="",M241=0),"",IF(WEEKDAY(A241,1)=6,E241,MIN(E241,MAX(0,MIN(IF(L241&lt;K241,L241+1,L241),OMR_OT_AT)-K241))))</f>
        <v/>
      </c>
      <c r="G241" s="23">
        <f>IF(OR(E241="",M241=0),"",MAX(0,E241-F241))</f>
        <v/>
      </c>
      <c r="H241" s="24">
        <f>IF(OR(E241="",M241=0),"",ROUND((F241*$N$237+G241*$O$237)*24,3))</f>
        <v/>
      </c>
      <c r="I241" s="22" t="n"/>
      <c r="K241" s="25">
        <f>IF(OR(M241=0,C241=""),"",IF(ISNUMBER(C241),MOD(C241,1),IFERROR(INDEX('القوائم'!$B$1:$B$288,MATCH(TRIM(C241),'القوائم'!$A$1:$A$288,0)),IFERROR(MOD(TIMEVALUE(C241),1),""))))</f>
        <v/>
      </c>
      <c r="L241" s="25">
        <f>IF(OR(M241=0,D241=""),"",IF(ISNUMBER(D241),MOD(D241,1),IFERROR(INDEX('القوائم'!$B$1:$B$288,MATCH(TRIM(D241),'القوائم'!$A$1:$A$288,0)),IFERROR(MOD(TIMEVALUE(D241),1),""))))</f>
        <v/>
      </c>
      <c r="M241">
        <f>M237</f>
        <v/>
      </c>
      <c r="Q241">
        <f>IF(N(G247)&gt;0,1,0)</f>
        <v/>
      </c>
    </row>
    <row r="242">
      <c r="A242" s="20">
        <f>IF(22&lt;=NW,SAT1+151,"")</f>
        <v/>
      </c>
      <c r="B242" s="21">
        <f>IF(A242="","",CHOOSE(WEEKDAY(A242,1),"الأحد","الاثنين","الثلاثاء","الأربعاء","الخميس","الجمعة","السبت"))</f>
        <v/>
      </c>
      <c r="C242" s="22" t="n"/>
      <c r="D242" s="22" t="n"/>
      <c r="E242" s="23">
        <f>IF(OR(M242=0,K242="",L242=""),"",MOD(L242-K242,1))</f>
        <v/>
      </c>
      <c r="F242" s="23">
        <f>IF(OR(E242="",M242=0),"",IF(WEEKDAY(A242,1)=6,E242,MIN(E242,MAX(0,MIN(IF(L242&lt;K242,L242+1,L242),OMR_OT_AT)-K242))))</f>
        <v/>
      </c>
      <c r="G242" s="23">
        <f>IF(OR(E242="",M242=0),"",MAX(0,E242-F242))</f>
        <v/>
      </c>
      <c r="H242" s="24">
        <f>IF(OR(E242="",M242=0),"",ROUND((F242*$N$237+G242*$O$237)*24,3))</f>
        <v/>
      </c>
      <c r="I242" s="22" t="n"/>
      <c r="K242" s="25">
        <f>IF(OR(M242=0,C242=""),"",IF(ISNUMBER(C242),MOD(C242,1),IFERROR(INDEX('القوائم'!$B$1:$B$288,MATCH(TRIM(C242),'القوائم'!$A$1:$A$288,0)),IFERROR(MOD(TIMEVALUE(C242),1),""))))</f>
        <v/>
      </c>
      <c r="L242" s="25">
        <f>IF(OR(M242=0,D242=""),"",IF(ISNUMBER(D242),MOD(D242,1),IFERROR(INDEX('القوائم'!$B$1:$B$288,MATCH(TRIM(D242),'القوائم'!$A$1:$A$288,0)),IFERROR(MOD(TIMEVALUE(D242),1),""))))</f>
        <v/>
      </c>
      <c r="M242">
        <f>M237</f>
        <v/>
      </c>
      <c r="Q242">
        <f>IF(N(G247)&gt;0,1,0)</f>
        <v/>
      </c>
    </row>
    <row r="243">
      <c r="A243" s="20">
        <f>IF(22&lt;=NW,SAT1+152,"")</f>
        <v/>
      </c>
      <c r="B243" s="21">
        <f>IF(A243="","",CHOOSE(WEEKDAY(A243,1),"الأحد","الاثنين","الثلاثاء","الأربعاء","الخميس","الجمعة","السبت"))</f>
        <v/>
      </c>
      <c r="C243" s="22" t="n"/>
      <c r="D243" s="22" t="n"/>
      <c r="E243" s="23">
        <f>IF(OR(M243=0,K243="",L243=""),"",MOD(L243-K243,1))</f>
        <v/>
      </c>
      <c r="F243" s="23">
        <f>IF(OR(E243="",M243=0),"",IF(WEEKDAY(A243,1)=6,E243,MIN(E243,MAX(0,MIN(IF(L243&lt;K243,L243+1,L243),OMR_OT_AT)-K243))))</f>
        <v/>
      </c>
      <c r="G243" s="23">
        <f>IF(OR(E243="",M243=0),"",MAX(0,E243-F243))</f>
        <v/>
      </c>
      <c r="H243" s="24">
        <f>IF(OR(E243="",M243=0),"",ROUND((F243*$N$237+G243*$O$237)*24,3))</f>
        <v/>
      </c>
      <c r="I243" s="22" t="n"/>
      <c r="K243" s="25">
        <f>IF(OR(M243=0,C243=""),"",IF(ISNUMBER(C243),MOD(C243,1),IFERROR(INDEX('القوائم'!$B$1:$B$288,MATCH(TRIM(C243),'القوائم'!$A$1:$A$288,0)),IFERROR(MOD(TIMEVALUE(C243),1),""))))</f>
        <v/>
      </c>
      <c r="L243" s="25">
        <f>IF(OR(M243=0,D243=""),"",IF(ISNUMBER(D243),MOD(D243,1),IFERROR(INDEX('القوائم'!$B$1:$B$288,MATCH(TRIM(D243),'القوائم'!$A$1:$A$288,0)),IFERROR(MOD(TIMEVALUE(D243),1),""))))</f>
        <v/>
      </c>
      <c r="M243">
        <f>M237</f>
        <v/>
      </c>
      <c r="Q243">
        <f>IF(N(G247)&gt;0,1,0)</f>
        <v/>
      </c>
    </row>
    <row r="244">
      <c r="A244" s="26">
        <f>IF(22&lt;=NW,SAT1+153,"")</f>
        <v/>
      </c>
      <c r="B244" s="27">
        <f>IF(A244="","",CHOOSE(WEEKDAY(A244,1),"الأحد","الاثنين","الثلاثاء","الأربعاء","الخميس","الجمعة","السبت"))</f>
        <v/>
      </c>
      <c r="C244" s="22" t="n"/>
      <c r="D244" s="22" t="n"/>
      <c r="E244" s="23">
        <f>IF(OR(M244=0,K244="",L244=""),"",MOD(L244-K244,1))</f>
        <v/>
      </c>
      <c r="F244" s="23">
        <f>IF(OR(E244="",M244=0),"",IF(WEEKDAY(A244,1)=6,E244,MIN(E244,MAX(0,MIN(IF(L244&lt;K244,L244+1,L244),OMR_OT_AT)-K244))))</f>
        <v/>
      </c>
      <c r="G244" s="23">
        <f>IF(OR(E244="",M244=0),"",MAX(0,E244-F244))</f>
        <v/>
      </c>
      <c r="H244" s="24">
        <f>IF(OR(E244="",M244=0),"",ROUND((F244*$N$237+G244*$O$237)*24,3))</f>
        <v/>
      </c>
      <c r="I244" s="22" t="n"/>
      <c r="K244" s="25">
        <f>IF(OR(M244=0,C244=""),"",IF(ISNUMBER(C244),MOD(C244,1),IFERROR(INDEX('القوائم'!$B$1:$B$288,MATCH(TRIM(C244),'القوائم'!$A$1:$A$288,0)),IFERROR(MOD(TIMEVALUE(C244),1),""))))</f>
        <v/>
      </c>
      <c r="L244" s="25">
        <f>IF(OR(M244=0,D244=""),"",IF(ISNUMBER(D244),MOD(D244,1),IFERROR(INDEX('القوائم'!$B$1:$B$288,MATCH(TRIM(D244),'القوائم'!$A$1:$A$288,0)),IFERROR(MOD(TIMEVALUE(D244),1),""))))</f>
        <v/>
      </c>
      <c r="M244">
        <f>M237</f>
        <v/>
      </c>
      <c r="Q244">
        <f>IF(N(G247)&gt;0,1,0)</f>
        <v/>
      </c>
    </row>
    <row r="245">
      <c r="A245" s="28">
        <f>IF(M237=1,"مجموع أيام الأسبوع 22","")</f>
        <v/>
      </c>
      <c r="B245" s="28" t="n"/>
      <c r="C245" s="28" t="n"/>
      <c r="D245" s="28" t="n"/>
      <c r="E245" s="29">
        <f>IF(M237=1,SUM(E238:E244),"")</f>
        <v/>
      </c>
      <c r="F245" s="29">
        <f>IF(M237=1,SUM(F238:F244),"")</f>
        <v/>
      </c>
      <c r="G245" s="29">
        <f>IF(M237=1,SUM(G238:G244),"")</f>
        <v/>
      </c>
      <c r="H245" s="30">
        <f>IF(M237=1,SUM(H238:H244),"")</f>
        <v/>
      </c>
      <c r="I245" s="28" t="n"/>
    </row>
    <row r="246" ht="32" customHeight="1">
      <c r="A246" s="28">
        <f>IF(M237=1,"ساعات تحميل الجبسمبورد بهالأسبوع (رقم: 2 أو 1.5) ←","")</f>
        <v/>
      </c>
      <c r="E246" s="31" t="n"/>
      <c r="F246" s="32">
        <f>IF(M237=1,"المستحق النهائي للأسبوع (دينار) ←","")</f>
        <v/>
      </c>
      <c r="H246" s="33">
        <f>IF(M237=1,IF(ROUND_MODE="للأعلى",CEILING(ROUND((N(H245)+N(E246)*($P$237-$N$237)),3),0.25),ROUND((N(H245)+N(E246)*($P$237-$N$237))*4,0)/4),"")</f>
        <v/>
      </c>
      <c r="I246" s="34">
        <f>IF(M237=1,"قبل الجبر: "&amp;TEXT(N(H245)+N(E246)*($P$237-$N$237),"0.000"),"")</f>
        <v/>
      </c>
    </row>
    <row r="247" ht="26" customHeight="1">
      <c r="A247" s="28">
        <f>IF(M237=1,"إكرامية الأسبوع (دينار) ←","")</f>
        <v/>
      </c>
      <c r="D247" s="35" t="n"/>
      <c r="E247" s="28">
        <f>IF(M237=1,"المدفوع يوم الجمعة (دينار) ←","")</f>
        <v/>
      </c>
      <c r="G247" s="35" t="n"/>
      <c r="H247" s="36">
        <f>IF(M237=1,IF(N(G247)&gt;0,"✔ انقبض — الأسبوع مقفول","⏳ لسا ما انقبض"),"")</f>
        <v/>
      </c>
    </row>
    <row r="248" ht="26" customHeight="1">
      <c r="A248" s="18">
        <f>IF(23&lt;=NW,"الأسبوع 23 · السبت "&amp;TEXT(DAY(SAT1+154),"00")&amp;"/"&amp;TEXT(MONTH(SAT1+154),"00")&amp;" ← الجمعة "&amp;TEXT(DAY(SAT1+160),"00")&amp;"/"&amp;TEXT(MONTH(SAT1+160),"00")&amp;" (يوم القبض)"&amp;IF(23&lt;START_O,"   — قبل أسبوع البداية (ما بينحسب)",""),"ما في أسبوع 23 هالسنة")</f>
        <v/>
      </c>
      <c r="L248" s="19">
        <f>IF(23&lt;=NW,SAT1+160,"")</f>
        <v/>
      </c>
      <c r="M248">
        <f>IF(AND(23&lt;=NW,23&gt;=START_O),1,0)</f>
        <v/>
      </c>
      <c r="N248">
        <f>IFERROR(INDEX(RT_OMR,MATCH(L248,RT_K,1)),INDEX(RT_OMR,1))</f>
        <v/>
      </c>
      <c r="O248">
        <f>IFERROR(INDEX(RT_OT,MATCH(L248,RT_K,1)),INDEX(RT_OT,1))</f>
        <v/>
      </c>
      <c r="P248">
        <f>IFERROR(INDEX(RT_GYP,MATCH(L248,RT_K,1)),INDEX(RT_GYP,1))</f>
        <v/>
      </c>
    </row>
    <row r="249">
      <c r="A249" s="20">
        <f>IF(23&lt;=NW,SAT1+154,"")</f>
        <v/>
      </c>
      <c r="B249" s="21">
        <f>IF(A249="","",CHOOSE(WEEKDAY(A249,1),"الأحد","الاثنين","الثلاثاء","الأربعاء","الخميس","الجمعة","السبت"))</f>
        <v/>
      </c>
      <c r="C249" s="22" t="n"/>
      <c r="D249" s="22" t="n"/>
      <c r="E249" s="23">
        <f>IF(OR(M249=0,K249="",L249=""),"",MOD(L249-K249,1))</f>
        <v/>
      </c>
      <c r="F249" s="23">
        <f>IF(OR(E249="",M249=0),"",IF(WEEKDAY(A249,1)=6,E249,MIN(E249,MAX(0,MIN(IF(L249&lt;K249,L249+1,L249),OMR_OT_AT)-K249))))</f>
        <v/>
      </c>
      <c r="G249" s="23">
        <f>IF(OR(E249="",M249=0),"",MAX(0,E249-F249))</f>
        <v/>
      </c>
      <c r="H249" s="24">
        <f>IF(OR(E249="",M249=0),"",ROUND((F249*$N$248+G249*$O$248)*24,3))</f>
        <v/>
      </c>
      <c r="I249" s="22" t="n"/>
      <c r="K249" s="25">
        <f>IF(OR(M249=0,C249=""),"",IF(ISNUMBER(C249),MOD(C249,1),IFERROR(INDEX('القوائم'!$B$1:$B$288,MATCH(TRIM(C249),'القوائم'!$A$1:$A$288,0)),IFERROR(MOD(TIMEVALUE(C249),1),""))))</f>
        <v/>
      </c>
      <c r="L249" s="25">
        <f>IF(OR(M249=0,D249=""),"",IF(ISNUMBER(D249),MOD(D249,1),IFERROR(INDEX('القوائم'!$B$1:$B$288,MATCH(TRIM(D249),'القوائم'!$A$1:$A$288,0)),IFERROR(MOD(TIMEVALUE(D249),1),""))))</f>
        <v/>
      </c>
      <c r="M249">
        <f>M248</f>
        <v/>
      </c>
      <c r="Q249">
        <f>IF(N(G258)&gt;0,1,0)</f>
        <v/>
      </c>
    </row>
    <row r="250">
      <c r="A250" s="20">
        <f>IF(23&lt;=NW,SAT1+155,"")</f>
        <v/>
      </c>
      <c r="B250" s="21">
        <f>IF(A250="","",CHOOSE(WEEKDAY(A250,1),"الأحد","الاثنين","الثلاثاء","الأربعاء","الخميس","الجمعة","السبت"))</f>
        <v/>
      </c>
      <c r="C250" s="22" t="n"/>
      <c r="D250" s="22" t="n"/>
      <c r="E250" s="23">
        <f>IF(OR(M250=0,K250="",L250=""),"",MOD(L250-K250,1))</f>
        <v/>
      </c>
      <c r="F250" s="23">
        <f>IF(OR(E250="",M250=0),"",IF(WEEKDAY(A250,1)=6,E250,MIN(E250,MAX(0,MIN(IF(L250&lt;K250,L250+1,L250),OMR_OT_AT)-K250))))</f>
        <v/>
      </c>
      <c r="G250" s="23">
        <f>IF(OR(E250="",M250=0),"",MAX(0,E250-F250))</f>
        <v/>
      </c>
      <c r="H250" s="24">
        <f>IF(OR(E250="",M250=0),"",ROUND((F250*$N$248+G250*$O$248)*24,3))</f>
        <v/>
      </c>
      <c r="I250" s="22" t="n"/>
      <c r="K250" s="25">
        <f>IF(OR(M250=0,C250=""),"",IF(ISNUMBER(C250),MOD(C250,1),IFERROR(INDEX('القوائم'!$B$1:$B$288,MATCH(TRIM(C250),'القوائم'!$A$1:$A$288,0)),IFERROR(MOD(TIMEVALUE(C250),1),""))))</f>
        <v/>
      </c>
      <c r="L250" s="25">
        <f>IF(OR(M250=0,D250=""),"",IF(ISNUMBER(D250),MOD(D250,1),IFERROR(INDEX('القوائم'!$B$1:$B$288,MATCH(TRIM(D250),'القوائم'!$A$1:$A$288,0)),IFERROR(MOD(TIMEVALUE(D250),1),""))))</f>
        <v/>
      </c>
      <c r="M250">
        <f>M248</f>
        <v/>
      </c>
      <c r="Q250">
        <f>IF(N(G258)&gt;0,1,0)</f>
        <v/>
      </c>
    </row>
    <row r="251">
      <c r="A251" s="20">
        <f>IF(23&lt;=NW,SAT1+156,"")</f>
        <v/>
      </c>
      <c r="B251" s="21">
        <f>IF(A251="","",CHOOSE(WEEKDAY(A251,1),"الأحد","الاثنين","الثلاثاء","الأربعاء","الخميس","الجمعة","السبت"))</f>
        <v/>
      </c>
      <c r="C251" s="22" t="n"/>
      <c r="D251" s="22" t="n"/>
      <c r="E251" s="23">
        <f>IF(OR(M251=0,K251="",L251=""),"",MOD(L251-K251,1))</f>
        <v/>
      </c>
      <c r="F251" s="23">
        <f>IF(OR(E251="",M251=0),"",IF(WEEKDAY(A251,1)=6,E251,MIN(E251,MAX(0,MIN(IF(L251&lt;K251,L251+1,L251),OMR_OT_AT)-K251))))</f>
        <v/>
      </c>
      <c r="G251" s="23">
        <f>IF(OR(E251="",M251=0),"",MAX(0,E251-F251))</f>
        <v/>
      </c>
      <c r="H251" s="24">
        <f>IF(OR(E251="",M251=0),"",ROUND((F251*$N$248+G251*$O$248)*24,3))</f>
        <v/>
      </c>
      <c r="I251" s="22" t="n"/>
      <c r="K251" s="25">
        <f>IF(OR(M251=0,C251=""),"",IF(ISNUMBER(C251),MOD(C251,1),IFERROR(INDEX('القوائم'!$B$1:$B$288,MATCH(TRIM(C251),'القوائم'!$A$1:$A$288,0)),IFERROR(MOD(TIMEVALUE(C251),1),""))))</f>
        <v/>
      </c>
      <c r="L251" s="25">
        <f>IF(OR(M251=0,D251=""),"",IF(ISNUMBER(D251),MOD(D251,1),IFERROR(INDEX('القوائم'!$B$1:$B$288,MATCH(TRIM(D251),'القوائم'!$A$1:$A$288,0)),IFERROR(MOD(TIMEVALUE(D251),1),""))))</f>
        <v/>
      </c>
      <c r="M251">
        <f>M248</f>
        <v/>
      </c>
      <c r="Q251">
        <f>IF(N(G258)&gt;0,1,0)</f>
        <v/>
      </c>
    </row>
    <row r="252">
      <c r="A252" s="20">
        <f>IF(23&lt;=NW,SAT1+157,"")</f>
        <v/>
      </c>
      <c r="B252" s="21">
        <f>IF(A252="","",CHOOSE(WEEKDAY(A252,1),"الأحد","الاثنين","الثلاثاء","الأربعاء","الخميس","الجمعة","السبت"))</f>
        <v/>
      </c>
      <c r="C252" s="22" t="n"/>
      <c r="D252" s="22" t="n"/>
      <c r="E252" s="23">
        <f>IF(OR(M252=0,K252="",L252=""),"",MOD(L252-K252,1))</f>
        <v/>
      </c>
      <c r="F252" s="23">
        <f>IF(OR(E252="",M252=0),"",IF(WEEKDAY(A252,1)=6,E252,MIN(E252,MAX(0,MIN(IF(L252&lt;K252,L252+1,L252),OMR_OT_AT)-K252))))</f>
        <v/>
      </c>
      <c r="G252" s="23">
        <f>IF(OR(E252="",M252=0),"",MAX(0,E252-F252))</f>
        <v/>
      </c>
      <c r="H252" s="24">
        <f>IF(OR(E252="",M252=0),"",ROUND((F252*$N$248+G252*$O$248)*24,3))</f>
        <v/>
      </c>
      <c r="I252" s="22" t="n"/>
      <c r="K252" s="25">
        <f>IF(OR(M252=0,C252=""),"",IF(ISNUMBER(C252),MOD(C252,1),IFERROR(INDEX('القوائم'!$B$1:$B$288,MATCH(TRIM(C252),'القوائم'!$A$1:$A$288,0)),IFERROR(MOD(TIMEVALUE(C252),1),""))))</f>
        <v/>
      </c>
      <c r="L252" s="25">
        <f>IF(OR(M252=0,D252=""),"",IF(ISNUMBER(D252),MOD(D252,1),IFERROR(INDEX('القوائم'!$B$1:$B$288,MATCH(TRIM(D252),'القوائم'!$A$1:$A$288,0)),IFERROR(MOD(TIMEVALUE(D252),1),""))))</f>
        <v/>
      </c>
      <c r="M252">
        <f>M248</f>
        <v/>
      </c>
      <c r="Q252">
        <f>IF(N(G258)&gt;0,1,0)</f>
        <v/>
      </c>
    </row>
    <row r="253">
      <c r="A253" s="20">
        <f>IF(23&lt;=NW,SAT1+158,"")</f>
        <v/>
      </c>
      <c r="B253" s="21">
        <f>IF(A253="","",CHOOSE(WEEKDAY(A253,1),"الأحد","الاثنين","الثلاثاء","الأربعاء","الخميس","الجمعة","السبت"))</f>
        <v/>
      </c>
      <c r="C253" s="22" t="n"/>
      <c r="D253" s="22" t="n"/>
      <c r="E253" s="23">
        <f>IF(OR(M253=0,K253="",L253=""),"",MOD(L253-K253,1))</f>
        <v/>
      </c>
      <c r="F253" s="23">
        <f>IF(OR(E253="",M253=0),"",IF(WEEKDAY(A253,1)=6,E253,MIN(E253,MAX(0,MIN(IF(L253&lt;K253,L253+1,L253),OMR_OT_AT)-K253))))</f>
        <v/>
      </c>
      <c r="G253" s="23">
        <f>IF(OR(E253="",M253=0),"",MAX(0,E253-F253))</f>
        <v/>
      </c>
      <c r="H253" s="24">
        <f>IF(OR(E253="",M253=0),"",ROUND((F253*$N$248+G253*$O$248)*24,3))</f>
        <v/>
      </c>
      <c r="I253" s="22" t="n"/>
      <c r="K253" s="25">
        <f>IF(OR(M253=0,C253=""),"",IF(ISNUMBER(C253),MOD(C253,1),IFERROR(INDEX('القوائم'!$B$1:$B$288,MATCH(TRIM(C253),'القوائم'!$A$1:$A$288,0)),IFERROR(MOD(TIMEVALUE(C253),1),""))))</f>
        <v/>
      </c>
      <c r="L253" s="25">
        <f>IF(OR(M253=0,D253=""),"",IF(ISNUMBER(D253),MOD(D253,1),IFERROR(INDEX('القوائم'!$B$1:$B$288,MATCH(TRIM(D253),'القوائم'!$A$1:$A$288,0)),IFERROR(MOD(TIMEVALUE(D253),1),""))))</f>
        <v/>
      </c>
      <c r="M253">
        <f>M248</f>
        <v/>
      </c>
      <c r="Q253">
        <f>IF(N(G258)&gt;0,1,0)</f>
        <v/>
      </c>
    </row>
    <row r="254">
      <c r="A254" s="20">
        <f>IF(23&lt;=NW,SAT1+159,"")</f>
        <v/>
      </c>
      <c r="B254" s="21">
        <f>IF(A254="","",CHOOSE(WEEKDAY(A254,1),"الأحد","الاثنين","الثلاثاء","الأربعاء","الخميس","الجمعة","السبت"))</f>
        <v/>
      </c>
      <c r="C254" s="22" t="n"/>
      <c r="D254" s="22" t="n"/>
      <c r="E254" s="23">
        <f>IF(OR(M254=0,K254="",L254=""),"",MOD(L254-K254,1))</f>
        <v/>
      </c>
      <c r="F254" s="23">
        <f>IF(OR(E254="",M254=0),"",IF(WEEKDAY(A254,1)=6,E254,MIN(E254,MAX(0,MIN(IF(L254&lt;K254,L254+1,L254),OMR_OT_AT)-K254))))</f>
        <v/>
      </c>
      <c r="G254" s="23">
        <f>IF(OR(E254="",M254=0),"",MAX(0,E254-F254))</f>
        <v/>
      </c>
      <c r="H254" s="24">
        <f>IF(OR(E254="",M254=0),"",ROUND((F254*$N$248+G254*$O$248)*24,3))</f>
        <v/>
      </c>
      <c r="I254" s="22" t="n"/>
      <c r="K254" s="25">
        <f>IF(OR(M254=0,C254=""),"",IF(ISNUMBER(C254),MOD(C254,1),IFERROR(INDEX('القوائم'!$B$1:$B$288,MATCH(TRIM(C254),'القوائم'!$A$1:$A$288,0)),IFERROR(MOD(TIMEVALUE(C254),1),""))))</f>
        <v/>
      </c>
      <c r="L254" s="25">
        <f>IF(OR(M254=0,D254=""),"",IF(ISNUMBER(D254),MOD(D254,1),IFERROR(INDEX('القوائم'!$B$1:$B$288,MATCH(TRIM(D254),'القوائم'!$A$1:$A$288,0)),IFERROR(MOD(TIMEVALUE(D254),1),""))))</f>
        <v/>
      </c>
      <c r="M254">
        <f>M248</f>
        <v/>
      </c>
      <c r="Q254">
        <f>IF(N(G258)&gt;0,1,0)</f>
        <v/>
      </c>
    </row>
    <row r="255">
      <c r="A255" s="26">
        <f>IF(23&lt;=NW,SAT1+160,"")</f>
        <v/>
      </c>
      <c r="B255" s="27">
        <f>IF(A255="","",CHOOSE(WEEKDAY(A255,1),"الأحد","الاثنين","الثلاثاء","الأربعاء","الخميس","الجمعة","السبت"))</f>
        <v/>
      </c>
      <c r="C255" s="22" t="n"/>
      <c r="D255" s="22" t="n"/>
      <c r="E255" s="23">
        <f>IF(OR(M255=0,K255="",L255=""),"",MOD(L255-K255,1))</f>
        <v/>
      </c>
      <c r="F255" s="23">
        <f>IF(OR(E255="",M255=0),"",IF(WEEKDAY(A255,1)=6,E255,MIN(E255,MAX(0,MIN(IF(L255&lt;K255,L255+1,L255),OMR_OT_AT)-K255))))</f>
        <v/>
      </c>
      <c r="G255" s="23">
        <f>IF(OR(E255="",M255=0),"",MAX(0,E255-F255))</f>
        <v/>
      </c>
      <c r="H255" s="24">
        <f>IF(OR(E255="",M255=0),"",ROUND((F255*$N$248+G255*$O$248)*24,3))</f>
        <v/>
      </c>
      <c r="I255" s="22" t="n"/>
      <c r="K255" s="25">
        <f>IF(OR(M255=0,C255=""),"",IF(ISNUMBER(C255),MOD(C255,1),IFERROR(INDEX('القوائم'!$B$1:$B$288,MATCH(TRIM(C255),'القوائم'!$A$1:$A$288,0)),IFERROR(MOD(TIMEVALUE(C255),1),""))))</f>
        <v/>
      </c>
      <c r="L255" s="25">
        <f>IF(OR(M255=0,D255=""),"",IF(ISNUMBER(D255),MOD(D255,1),IFERROR(INDEX('القوائم'!$B$1:$B$288,MATCH(TRIM(D255),'القوائم'!$A$1:$A$288,0)),IFERROR(MOD(TIMEVALUE(D255),1),""))))</f>
        <v/>
      </c>
      <c r="M255">
        <f>M248</f>
        <v/>
      </c>
      <c r="Q255">
        <f>IF(N(G258)&gt;0,1,0)</f>
        <v/>
      </c>
    </row>
    <row r="256">
      <c r="A256" s="28">
        <f>IF(M248=1,"مجموع أيام الأسبوع 23","")</f>
        <v/>
      </c>
      <c r="B256" s="28" t="n"/>
      <c r="C256" s="28" t="n"/>
      <c r="D256" s="28" t="n"/>
      <c r="E256" s="29">
        <f>IF(M248=1,SUM(E249:E255),"")</f>
        <v/>
      </c>
      <c r="F256" s="29">
        <f>IF(M248=1,SUM(F249:F255),"")</f>
        <v/>
      </c>
      <c r="G256" s="29">
        <f>IF(M248=1,SUM(G249:G255),"")</f>
        <v/>
      </c>
      <c r="H256" s="30">
        <f>IF(M248=1,SUM(H249:H255),"")</f>
        <v/>
      </c>
      <c r="I256" s="28" t="n"/>
    </row>
    <row r="257" ht="32" customHeight="1">
      <c r="A257" s="28">
        <f>IF(M248=1,"ساعات تحميل الجبسمبورد بهالأسبوع (رقم: 2 أو 1.5) ←","")</f>
        <v/>
      </c>
      <c r="E257" s="31" t="n"/>
      <c r="F257" s="32">
        <f>IF(M248=1,"المستحق النهائي للأسبوع (دينار) ←","")</f>
        <v/>
      </c>
      <c r="H257" s="33">
        <f>IF(M248=1,IF(ROUND_MODE="للأعلى",CEILING(ROUND((N(H256)+N(E257)*($P$248-$N$248)),3),0.25),ROUND((N(H256)+N(E257)*($P$248-$N$248))*4,0)/4),"")</f>
        <v/>
      </c>
      <c r="I257" s="34">
        <f>IF(M248=1,"قبل الجبر: "&amp;TEXT(N(H256)+N(E257)*($P$248-$N$248),"0.000"),"")</f>
        <v/>
      </c>
    </row>
    <row r="258" ht="26" customHeight="1">
      <c r="A258" s="28">
        <f>IF(M248=1,"إكرامية الأسبوع (دينار) ←","")</f>
        <v/>
      </c>
      <c r="D258" s="35" t="n"/>
      <c r="E258" s="28">
        <f>IF(M248=1,"المدفوع يوم الجمعة (دينار) ←","")</f>
        <v/>
      </c>
      <c r="G258" s="35" t="n"/>
      <c r="H258" s="36">
        <f>IF(M248=1,IF(N(G258)&gt;0,"✔ انقبض — الأسبوع مقفول","⏳ لسا ما انقبض"),"")</f>
        <v/>
      </c>
    </row>
    <row r="259" ht="26" customHeight="1">
      <c r="A259" s="18">
        <f>IF(24&lt;=NW,"الأسبوع 24 · السبت "&amp;TEXT(DAY(SAT1+161),"00")&amp;"/"&amp;TEXT(MONTH(SAT1+161),"00")&amp;" ← الجمعة "&amp;TEXT(DAY(SAT1+167),"00")&amp;"/"&amp;TEXT(MONTH(SAT1+167),"00")&amp;" (يوم القبض)"&amp;IF(24&lt;START_O,"   — قبل أسبوع البداية (ما بينحسب)",""),"ما في أسبوع 24 هالسنة")</f>
        <v/>
      </c>
      <c r="L259" s="19">
        <f>IF(24&lt;=NW,SAT1+167,"")</f>
        <v/>
      </c>
      <c r="M259">
        <f>IF(AND(24&lt;=NW,24&gt;=START_O),1,0)</f>
        <v/>
      </c>
      <c r="N259">
        <f>IFERROR(INDEX(RT_OMR,MATCH(L259,RT_K,1)),INDEX(RT_OMR,1))</f>
        <v/>
      </c>
      <c r="O259">
        <f>IFERROR(INDEX(RT_OT,MATCH(L259,RT_K,1)),INDEX(RT_OT,1))</f>
        <v/>
      </c>
      <c r="P259">
        <f>IFERROR(INDEX(RT_GYP,MATCH(L259,RT_K,1)),INDEX(RT_GYP,1))</f>
        <v/>
      </c>
    </row>
    <row r="260">
      <c r="A260" s="20">
        <f>IF(24&lt;=NW,SAT1+161,"")</f>
        <v/>
      </c>
      <c r="B260" s="21">
        <f>IF(A260="","",CHOOSE(WEEKDAY(A260,1),"الأحد","الاثنين","الثلاثاء","الأربعاء","الخميس","الجمعة","السبت"))</f>
        <v/>
      </c>
      <c r="C260" s="22" t="n"/>
      <c r="D260" s="22" t="n"/>
      <c r="E260" s="23">
        <f>IF(OR(M260=0,K260="",L260=""),"",MOD(L260-K260,1))</f>
        <v/>
      </c>
      <c r="F260" s="23">
        <f>IF(OR(E260="",M260=0),"",IF(WEEKDAY(A260,1)=6,E260,MIN(E260,MAX(0,MIN(IF(L260&lt;K260,L260+1,L260),OMR_OT_AT)-K260))))</f>
        <v/>
      </c>
      <c r="G260" s="23">
        <f>IF(OR(E260="",M260=0),"",MAX(0,E260-F260))</f>
        <v/>
      </c>
      <c r="H260" s="24">
        <f>IF(OR(E260="",M260=0),"",ROUND((F260*$N$259+G260*$O$259)*24,3))</f>
        <v/>
      </c>
      <c r="I260" s="22" t="n"/>
      <c r="K260" s="25">
        <f>IF(OR(M260=0,C260=""),"",IF(ISNUMBER(C260),MOD(C260,1),IFERROR(INDEX('القوائم'!$B$1:$B$288,MATCH(TRIM(C260),'القوائم'!$A$1:$A$288,0)),IFERROR(MOD(TIMEVALUE(C260),1),""))))</f>
        <v/>
      </c>
      <c r="L260" s="25">
        <f>IF(OR(M260=0,D260=""),"",IF(ISNUMBER(D260),MOD(D260,1),IFERROR(INDEX('القوائم'!$B$1:$B$288,MATCH(TRIM(D260),'القوائم'!$A$1:$A$288,0)),IFERROR(MOD(TIMEVALUE(D260),1),""))))</f>
        <v/>
      </c>
      <c r="M260">
        <f>M259</f>
        <v/>
      </c>
      <c r="Q260">
        <f>IF(N(G269)&gt;0,1,0)</f>
        <v/>
      </c>
    </row>
    <row r="261">
      <c r="A261" s="20">
        <f>IF(24&lt;=NW,SAT1+162,"")</f>
        <v/>
      </c>
      <c r="B261" s="21">
        <f>IF(A261="","",CHOOSE(WEEKDAY(A261,1),"الأحد","الاثنين","الثلاثاء","الأربعاء","الخميس","الجمعة","السبت"))</f>
        <v/>
      </c>
      <c r="C261" s="22" t="n"/>
      <c r="D261" s="22" t="n"/>
      <c r="E261" s="23">
        <f>IF(OR(M261=0,K261="",L261=""),"",MOD(L261-K261,1))</f>
        <v/>
      </c>
      <c r="F261" s="23">
        <f>IF(OR(E261="",M261=0),"",IF(WEEKDAY(A261,1)=6,E261,MIN(E261,MAX(0,MIN(IF(L261&lt;K261,L261+1,L261),OMR_OT_AT)-K261))))</f>
        <v/>
      </c>
      <c r="G261" s="23">
        <f>IF(OR(E261="",M261=0),"",MAX(0,E261-F261))</f>
        <v/>
      </c>
      <c r="H261" s="24">
        <f>IF(OR(E261="",M261=0),"",ROUND((F261*$N$259+G261*$O$259)*24,3))</f>
        <v/>
      </c>
      <c r="I261" s="22" t="n"/>
      <c r="K261" s="25">
        <f>IF(OR(M261=0,C261=""),"",IF(ISNUMBER(C261),MOD(C261,1),IFERROR(INDEX('القوائم'!$B$1:$B$288,MATCH(TRIM(C261),'القوائم'!$A$1:$A$288,0)),IFERROR(MOD(TIMEVALUE(C261),1),""))))</f>
        <v/>
      </c>
      <c r="L261" s="25">
        <f>IF(OR(M261=0,D261=""),"",IF(ISNUMBER(D261),MOD(D261,1),IFERROR(INDEX('القوائم'!$B$1:$B$288,MATCH(TRIM(D261),'القوائم'!$A$1:$A$288,0)),IFERROR(MOD(TIMEVALUE(D261),1),""))))</f>
        <v/>
      </c>
      <c r="M261">
        <f>M259</f>
        <v/>
      </c>
      <c r="Q261">
        <f>IF(N(G269)&gt;0,1,0)</f>
        <v/>
      </c>
    </row>
    <row r="262">
      <c r="A262" s="20">
        <f>IF(24&lt;=NW,SAT1+163,"")</f>
        <v/>
      </c>
      <c r="B262" s="21">
        <f>IF(A262="","",CHOOSE(WEEKDAY(A262,1),"الأحد","الاثنين","الثلاثاء","الأربعاء","الخميس","الجمعة","السبت"))</f>
        <v/>
      </c>
      <c r="C262" s="22" t="n"/>
      <c r="D262" s="22" t="n"/>
      <c r="E262" s="23">
        <f>IF(OR(M262=0,K262="",L262=""),"",MOD(L262-K262,1))</f>
        <v/>
      </c>
      <c r="F262" s="23">
        <f>IF(OR(E262="",M262=0),"",IF(WEEKDAY(A262,1)=6,E262,MIN(E262,MAX(0,MIN(IF(L262&lt;K262,L262+1,L262),OMR_OT_AT)-K262))))</f>
        <v/>
      </c>
      <c r="G262" s="23">
        <f>IF(OR(E262="",M262=0),"",MAX(0,E262-F262))</f>
        <v/>
      </c>
      <c r="H262" s="24">
        <f>IF(OR(E262="",M262=0),"",ROUND((F262*$N$259+G262*$O$259)*24,3))</f>
        <v/>
      </c>
      <c r="I262" s="22" t="n"/>
      <c r="K262" s="25">
        <f>IF(OR(M262=0,C262=""),"",IF(ISNUMBER(C262),MOD(C262,1),IFERROR(INDEX('القوائم'!$B$1:$B$288,MATCH(TRIM(C262),'القوائم'!$A$1:$A$288,0)),IFERROR(MOD(TIMEVALUE(C262),1),""))))</f>
        <v/>
      </c>
      <c r="L262" s="25">
        <f>IF(OR(M262=0,D262=""),"",IF(ISNUMBER(D262),MOD(D262,1),IFERROR(INDEX('القوائم'!$B$1:$B$288,MATCH(TRIM(D262),'القوائم'!$A$1:$A$288,0)),IFERROR(MOD(TIMEVALUE(D262),1),""))))</f>
        <v/>
      </c>
      <c r="M262">
        <f>M259</f>
        <v/>
      </c>
      <c r="Q262">
        <f>IF(N(G269)&gt;0,1,0)</f>
        <v/>
      </c>
    </row>
    <row r="263">
      <c r="A263" s="20">
        <f>IF(24&lt;=NW,SAT1+164,"")</f>
        <v/>
      </c>
      <c r="B263" s="21">
        <f>IF(A263="","",CHOOSE(WEEKDAY(A263,1),"الأحد","الاثنين","الثلاثاء","الأربعاء","الخميس","الجمعة","السبت"))</f>
        <v/>
      </c>
      <c r="C263" s="22" t="n"/>
      <c r="D263" s="22" t="n"/>
      <c r="E263" s="23">
        <f>IF(OR(M263=0,K263="",L263=""),"",MOD(L263-K263,1))</f>
        <v/>
      </c>
      <c r="F263" s="23">
        <f>IF(OR(E263="",M263=0),"",IF(WEEKDAY(A263,1)=6,E263,MIN(E263,MAX(0,MIN(IF(L263&lt;K263,L263+1,L263),OMR_OT_AT)-K263))))</f>
        <v/>
      </c>
      <c r="G263" s="23">
        <f>IF(OR(E263="",M263=0),"",MAX(0,E263-F263))</f>
        <v/>
      </c>
      <c r="H263" s="24">
        <f>IF(OR(E263="",M263=0),"",ROUND((F263*$N$259+G263*$O$259)*24,3))</f>
        <v/>
      </c>
      <c r="I263" s="22" t="n"/>
      <c r="K263" s="25">
        <f>IF(OR(M263=0,C263=""),"",IF(ISNUMBER(C263),MOD(C263,1),IFERROR(INDEX('القوائم'!$B$1:$B$288,MATCH(TRIM(C263),'القوائم'!$A$1:$A$288,0)),IFERROR(MOD(TIMEVALUE(C263),1),""))))</f>
        <v/>
      </c>
      <c r="L263" s="25">
        <f>IF(OR(M263=0,D263=""),"",IF(ISNUMBER(D263),MOD(D263,1),IFERROR(INDEX('القوائم'!$B$1:$B$288,MATCH(TRIM(D263),'القوائم'!$A$1:$A$288,0)),IFERROR(MOD(TIMEVALUE(D263),1),""))))</f>
        <v/>
      </c>
      <c r="M263">
        <f>M259</f>
        <v/>
      </c>
      <c r="Q263">
        <f>IF(N(G269)&gt;0,1,0)</f>
        <v/>
      </c>
    </row>
    <row r="264">
      <c r="A264" s="20">
        <f>IF(24&lt;=NW,SAT1+165,"")</f>
        <v/>
      </c>
      <c r="B264" s="21">
        <f>IF(A264="","",CHOOSE(WEEKDAY(A264,1),"الأحد","الاثنين","الثلاثاء","الأربعاء","الخميس","الجمعة","السبت"))</f>
        <v/>
      </c>
      <c r="C264" s="22" t="n"/>
      <c r="D264" s="22" t="n"/>
      <c r="E264" s="23">
        <f>IF(OR(M264=0,K264="",L264=""),"",MOD(L264-K264,1))</f>
        <v/>
      </c>
      <c r="F264" s="23">
        <f>IF(OR(E264="",M264=0),"",IF(WEEKDAY(A264,1)=6,E264,MIN(E264,MAX(0,MIN(IF(L264&lt;K264,L264+1,L264),OMR_OT_AT)-K264))))</f>
        <v/>
      </c>
      <c r="G264" s="23">
        <f>IF(OR(E264="",M264=0),"",MAX(0,E264-F264))</f>
        <v/>
      </c>
      <c r="H264" s="24">
        <f>IF(OR(E264="",M264=0),"",ROUND((F264*$N$259+G264*$O$259)*24,3))</f>
        <v/>
      </c>
      <c r="I264" s="22" t="n"/>
      <c r="K264" s="25">
        <f>IF(OR(M264=0,C264=""),"",IF(ISNUMBER(C264),MOD(C264,1),IFERROR(INDEX('القوائم'!$B$1:$B$288,MATCH(TRIM(C264),'القوائم'!$A$1:$A$288,0)),IFERROR(MOD(TIMEVALUE(C264),1),""))))</f>
        <v/>
      </c>
      <c r="L264" s="25">
        <f>IF(OR(M264=0,D264=""),"",IF(ISNUMBER(D264),MOD(D264,1),IFERROR(INDEX('القوائم'!$B$1:$B$288,MATCH(TRIM(D264),'القوائم'!$A$1:$A$288,0)),IFERROR(MOD(TIMEVALUE(D264),1),""))))</f>
        <v/>
      </c>
      <c r="M264">
        <f>M259</f>
        <v/>
      </c>
      <c r="Q264">
        <f>IF(N(G269)&gt;0,1,0)</f>
        <v/>
      </c>
    </row>
    <row r="265">
      <c r="A265" s="20">
        <f>IF(24&lt;=NW,SAT1+166,"")</f>
        <v/>
      </c>
      <c r="B265" s="21">
        <f>IF(A265="","",CHOOSE(WEEKDAY(A265,1),"الأحد","الاثنين","الثلاثاء","الأربعاء","الخميس","الجمعة","السبت"))</f>
        <v/>
      </c>
      <c r="C265" s="22" t="n"/>
      <c r="D265" s="22" t="n"/>
      <c r="E265" s="23">
        <f>IF(OR(M265=0,K265="",L265=""),"",MOD(L265-K265,1))</f>
        <v/>
      </c>
      <c r="F265" s="23">
        <f>IF(OR(E265="",M265=0),"",IF(WEEKDAY(A265,1)=6,E265,MIN(E265,MAX(0,MIN(IF(L265&lt;K265,L265+1,L265),OMR_OT_AT)-K265))))</f>
        <v/>
      </c>
      <c r="G265" s="23">
        <f>IF(OR(E265="",M265=0),"",MAX(0,E265-F265))</f>
        <v/>
      </c>
      <c r="H265" s="24">
        <f>IF(OR(E265="",M265=0),"",ROUND((F265*$N$259+G265*$O$259)*24,3))</f>
        <v/>
      </c>
      <c r="I265" s="22" t="n"/>
      <c r="K265" s="25">
        <f>IF(OR(M265=0,C265=""),"",IF(ISNUMBER(C265),MOD(C265,1),IFERROR(INDEX('القوائم'!$B$1:$B$288,MATCH(TRIM(C265),'القوائم'!$A$1:$A$288,0)),IFERROR(MOD(TIMEVALUE(C265),1),""))))</f>
        <v/>
      </c>
      <c r="L265" s="25">
        <f>IF(OR(M265=0,D265=""),"",IF(ISNUMBER(D265),MOD(D265,1),IFERROR(INDEX('القوائم'!$B$1:$B$288,MATCH(TRIM(D265),'القوائم'!$A$1:$A$288,0)),IFERROR(MOD(TIMEVALUE(D265),1),""))))</f>
        <v/>
      </c>
      <c r="M265">
        <f>M259</f>
        <v/>
      </c>
      <c r="Q265">
        <f>IF(N(G269)&gt;0,1,0)</f>
        <v/>
      </c>
    </row>
    <row r="266">
      <c r="A266" s="26">
        <f>IF(24&lt;=NW,SAT1+167,"")</f>
        <v/>
      </c>
      <c r="B266" s="27">
        <f>IF(A266="","",CHOOSE(WEEKDAY(A266,1),"الأحد","الاثنين","الثلاثاء","الأربعاء","الخميس","الجمعة","السبت"))</f>
        <v/>
      </c>
      <c r="C266" s="22" t="n"/>
      <c r="D266" s="22" t="n"/>
      <c r="E266" s="23">
        <f>IF(OR(M266=0,K266="",L266=""),"",MOD(L266-K266,1))</f>
        <v/>
      </c>
      <c r="F266" s="23">
        <f>IF(OR(E266="",M266=0),"",IF(WEEKDAY(A266,1)=6,E266,MIN(E266,MAX(0,MIN(IF(L266&lt;K266,L266+1,L266),OMR_OT_AT)-K266))))</f>
        <v/>
      </c>
      <c r="G266" s="23">
        <f>IF(OR(E266="",M266=0),"",MAX(0,E266-F266))</f>
        <v/>
      </c>
      <c r="H266" s="24">
        <f>IF(OR(E266="",M266=0),"",ROUND((F266*$N$259+G266*$O$259)*24,3))</f>
        <v/>
      </c>
      <c r="I266" s="22" t="n"/>
      <c r="K266" s="25">
        <f>IF(OR(M266=0,C266=""),"",IF(ISNUMBER(C266),MOD(C266,1),IFERROR(INDEX('القوائم'!$B$1:$B$288,MATCH(TRIM(C266),'القوائم'!$A$1:$A$288,0)),IFERROR(MOD(TIMEVALUE(C266),1),""))))</f>
        <v/>
      </c>
      <c r="L266" s="25">
        <f>IF(OR(M266=0,D266=""),"",IF(ISNUMBER(D266),MOD(D266,1),IFERROR(INDEX('القوائم'!$B$1:$B$288,MATCH(TRIM(D266),'القوائم'!$A$1:$A$288,0)),IFERROR(MOD(TIMEVALUE(D266),1),""))))</f>
        <v/>
      </c>
      <c r="M266">
        <f>M259</f>
        <v/>
      </c>
      <c r="Q266">
        <f>IF(N(G269)&gt;0,1,0)</f>
        <v/>
      </c>
    </row>
    <row r="267">
      <c r="A267" s="28">
        <f>IF(M259=1,"مجموع أيام الأسبوع 24","")</f>
        <v/>
      </c>
      <c r="B267" s="28" t="n"/>
      <c r="C267" s="28" t="n"/>
      <c r="D267" s="28" t="n"/>
      <c r="E267" s="29">
        <f>IF(M259=1,SUM(E260:E266),"")</f>
        <v/>
      </c>
      <c r="F267" s="29">
        <f>IF(M259=1,SUM(F260:F266),"")</f>
        <v/>
      </c>
      <c r="G267" s="29">
        <f>IF(M259=1,SUM(G260:G266),"")</f>
        <v/>
      </c>
      <c r="H267" s="30">
        <f>IF(M259=1,SUM(H260:H266),"")</f>
        <v/>
      </c>
      <c r="I267" s="28" t="n"/>
    </row>
    <row r="268" ht="32" customHeight="1">
      <c r="A268" s="28">
        <f>IF(M259=1,"ساعات تحميل الجبسمبورد بهالأسبوع (رقم: 2 أو 1.5) ←","")</f>
        <v/>
      </c>
      <c r="E268" s="31" t="n"/>
      <c r="F268" s="32">
        <f>IF(M259=1,"المستحق النهائي للأسبوع (دينار) ←","")</f>
        <v/>
      </c>
      <c r="H268" s="33">
        <f>IF(M259=1,IF(ROUND_MODE="للأعلى",CEILING(ROUND((N(H267)+N(E268)*($P$259-$N$259)),3),0.25),ROUND((N(H267)+N(E268)*($P$259-$N$259))*4,0)/4),"")</f>
        <v/>
      </c>
      <c r="I268" s="34">
        <f>IF(M259=1,"قبل الجبر: "&amp;TEXT(N(H267)+N(E268)*($P$259-$N$259),"0.000"),"")</f>
        <v/>
      </c>
    </row>
    <row r="269" ht="26" customHeight="1">
      <c r="A269" s="28">
        <f>IF(M259=1,"إكرامية الأسبوع (دينار) ←","")</f>
        <v/>
      </c>
      <c r="D269" s="35" t="n"/>
      <c r="E269" s="28">
        <f>IF(M259=1,"المدفوع يوم الجمعة (دينار) ←","")</f>
        <v/>
      </c>
      <c r="G269" s="35" t="n"/>
      <c r="H269" s="36">
        <f>IF(M259=1,IF(N(G269)&gt;0,"✔ انقبض — الأسبوع مقفول","⏳ لسا ما انقبض"),"")</f>
        <v/>
      </c>
    </row>
    <row r="270" ht="26" customHeight="1">
      <c r="A270" s="18">
        <f>IF(25&lt;=NW,"الأسبوع 25 · السبت "&amp;TEXT(DAY(SAT1+168),"00")&amp;"/"&amp;TEXT(MONTH(SAT1+168),"00")&amp;" ← الجمعة "&amp;TEXT(DAY(SAT1+174),"00")&amp;"/"&amp;TEXT(MONTH(SAT1+174),"00")&amp;" (يوم القبض)"&amp;IF(25&lt;START_O,"   — قبل أسبوع البداية (ما بينحسب)",""),"ما في أسبوع 25 هالسنة")</f>
        <v/>
      </c>
      <c r="L270" s="19">
        <f>IF(25&lt;=NW,SAT1+174,"")</f>
        <v/>
      </c>
      <c r="M270">
        <f>IF(AND(25&lt;=NW,25&gt;=START_O),1,0)</f>
        <v/>
      </c>
      <c r="N270">
        <f>IFERROR(INDEX(RT_OMR,MATCH(L270,RT_K,1)),INDEX(RT_OMR,1))</f>
        <v/>
      </c>
      <c r="O270">
        <f>IFERROR(INDEX(RT_OT,MATCH(L270,RT_K,1)),INDEX(RT_OT,1))</f>
        <v/>
      </c>
      <c r="P270">
        <f>IFERROR(INDEX(RT_GYP,MATCH(L270,RT_K,1)),INDEX(RT_GYP,1))</f>
        <v/>
      </c>
    </row>
    <row r="271">
      <c r="A271" s="20">
        <f>IF(25&lt;=NW,SAT1+168,"")</f>
        <v/>
      </c>
      <c r="B271" s="21">
        <f>IF(A271="","",CHOOSE(WEEKDAY(A271,1),"الأحد","الاثنين","الثلاثاء","الأربعاء","الخميس","الجمعة","السبت"))</f>
        <v/>
      </c>
      <c r="C271" s="22" t="n"/>
      <c r="D271" s="22" t="n"/>
      <c r="E271" s="23">
        <f>IF(OR(M271=0,K271="",L271=""),"",MOD(L271-K271,1))</f>
        <v/>
      </c>
      <c r="F271" s="23">
        <f>IF(OR(E271="",M271=0),"",IF(WEEKDAY(A271,1)=6,E271,MIN(E271,MAX(0,MIN(IF(L271&lt;K271,L271+1,L271),OMR_OT_AT)-K271))))</f>
        <v/>
      </c>
      <c r="G271" s="23">
        <f>IF(OR(E271="",M271=0),"",MAX(0,E271-F271))</f>
        <v/>
      </c>
      <c r="H271" s="24">
        <f>IF(OR(E271="",M271=0),"",ROUND((F271*$N$270+G271*$O$270)*24,3))</f>
        <v/>
      </c>
      <c r="I271" s="22" t="n"/>
      <c r="K271" s="25">
        <f>IF(OR(M271=0,C271=""),"",IF(ISNUMBER(C271),MOD(C271,1),IFERROR(INDEX('القوائم'!$B$1:$B$288,MATCH(TRIM(C271),'القوائم'!$A$1:$A$288,0)),IFERROR(MOD(TIMEVALUE(C271),1),""))))</f>
        <v/>
      </c>
      <c r="L271" s="25">
        <f>IF(OR(M271=0,D271=""),"",IF(ISNUMBER(D271),MOD(D271,1),IFERROR(INDEX('القوائم'!$B$1:$B$288,MATCH(TRIM(D271),'القوائم'!$A$1:$A$288,0)),IFERROR(MOD(TIMEVALUE(D271),1),""))))</f>
        <v/>
      </c>
      <c r="M271">
        <f>M270</f>
        <v/>
      </c>
      <c r="Q271">
        <f>IF(N(G280)&gt;0,1,0)</f>
        <v/>
      </c>
    </row>
    <row r="272">
      <c r="A272" s="20">
        <f>IF(25&lt;=NW,SAT1+169,"")</f>
        <v/>
      </c>
      <c r="B272" s="21">
        <f>IF(A272="","",CHOOSE(WEEKDAY(A272,1),"الأحد","الاثنين","الثلاثاء","الأربعاء","الخميس","الجمعة","السبت"))</f>
        <v/>
      </c>
      <c r="C272" s="22" t="n"/>
      <c r="D272" s="22" t="n"/>
      <c r="E272" s="23">
        <f>IF(OR(M272=0,K272="",L272=""),"",MOD(L272-K272,1))</f>
        <v/>
      </c>
      <c r="F272" s="23">
        <f>IF(OR(E272="",M272=0),"",IF(WEEKDAY(A272,1)=6,E272,MIN(E272,MAX(0,MIN(IF(L272&lt;K272,L272+1,L272),OMR_OT_AT)-K272))))</f>
        <v/>
      </c>
      <c r="G272" s="23">
        <f>IF(OR(E272="",M272=0),"",MAX(0,E272-F272))</f>
        <v/>
      </c>
      <c r="H272" s="24">
        <f>IF(OR(E272="",M272=0),"",ROUND((F272*$N$270+G272*$O$270)*24,3))</f>
        <v/>
      </c>
      <c r="I272" s="22" t="n"/>
      <c r="K272" s="25">
        <f>IF(OR(M272=0,C272=""),"",IF(ISNUMBER(C272),MOD(C272,1),IFERROR(INDEX('القوائم'!$B$1:$B$288,MATCH(TRIM(C272),'القوائم'!$A$1:$A$288,0)),IFERROR(MOD(TIMEVALUE(C272),1),""))))</f>
        <v/>
      </c>
      <c r="L272" s="25">
        <f>IF(OR(M272=0,D272=""),"",IF(ISNUMBER(D272),MOD(D272,1),IFERROR(INDEX('القوائم'!$B$1:$B$288,MATCH(TRIM(D272),'القوائم'!$A$1:$A$288,0)),IFERROR(MOD(TIMEVALUE(D272),1),""))))</f>
        <v/>
      </c>
      <c r="M272">
        <f>M270</f>
        <v/>
      </c>
      <c r="Q272">
        <f>IF(N(G280)&gt;0,1,0)</f>
        <v/>
      </c>
    </row>
    <row r="273">
      <c r="A273" s="20">
        <f>IF(25&lt;=NW,SAT1+170,"")</f>
        <v/>
      </c>
      <c r="B273" s="21">
        <f>IF(A273="","",CHOOSE(WEEKDAY(A273,1),"الأحد","الاثنين","الثلاثاء","الأربعاء","الخميس","الجمعة","السبت"))</f>
        <v/>
      </c>
      <c r="C273" s="22" t="n"/>
      <c r="D273" s="22" t="n"/>
      <c r="E273" s="23">
        <f>IF(OR(M273=0,K273="",L273=""),"",MOD(L273-K273,1))</f>
        <v/>
      </c>
      <c r="F273" s="23">
        <f>IF(OR(E273="",M273=0),"",IF(WEEKDAY(A273,1)=6,E273,MIN(E273,MAX(0,MIN(IF(L273&lt;K273,L273+1,L273),OMR_OT_AT)-K273))))</f>
        <v/>
      </c>
      <c r="G273" s="23">
        <f>IF(OR(E273="",M273=0),"",MAX(0,E273-F273))</f>
        <v/>
      </c>
      <c r="H273" s="24">
        <f>IF(OR(E273="",M273=0),"",ROUND((F273*$N$270+G273*$O$270)*24,3))</f>
        <v/>
      </c>
      <c r="I273" s="22" t="n"/>
      <c r="K273" s="25">
        <f>IF(OR(M273=0,C273=""),"",IF(ISNUMBER(C273),MOD(C273,1),IFERROR(INDEX('القوائم'!$B$1:$B$288,MATCH(TRIM(C273),'القوائم'!$A$1:$A$288,0)),IFERROR(MOD(TIMEVALUE(C273),1),""))))</f>
        <v/>
      </c>
      <c r="L273" s="25">
        <f>IF(OR(M273=0,D273=""),"",IF(ISNUMBER(D273),MOD(D273,1),IFERROR(INDEX('القوائم'!$B$1:$B$288,MATCH(TRIM(D273),'القوائم'!$A$1:$A$288,0)),IFERROR(MOD(TIMEVALUE(D273),1),""))))</f>
        <v/>
      </c>
      <c r="M273">
        <f>M270</f>
        <v/>
      </c>
      <c r="Q273">
        <f>IF(N(G280)&gt;0,1,0)</f>
        <v/>
      </c>
    </row>
    <row r="274">
      <c r="A274" s="20">
        <f>IF(25&lt;=NW,SAT1+171,"")</f>
        <v/>
      </c>
      <c r="B274" s="21">
        <f>IF(A274="","",CHOOSE(WEEKDAY(A274,1),"الأحد","الاثنين","الثلاثاء","الأربعاء","الخميس","الجمعة","السبت"))</f>
        <v/>
      </c>
      <c r="C274" s="22" t="n"/>
      <c r="D274" s="22" t="n"/>
      <c r="E274" s="23">
        <f>IF(OR(M274=0,K274="",L274=""),"",MOD(L274-K274,1))</f>
        <v/>
      </c>
      <c r="F274" s="23">
        <f>IF(OR(E274="",M274=0),"",IF(WEEKDAY(A274,1)=6,E274,MIN(E274,MAX(0,MIN(IF(L274&lt;K274,L274+1,L274),OMR_OT_AT)-K274))))</f>
        <v/>
      </c>
      <c r="G274" s="23">
        <f>IF(OR(E274="",M274=0),"",MAX(0,E274-F274))</f>
        <v/>
      </c>
      <c r="H274" s="24">
        <f>IF(OR(E274="",M274=0),"",ROUND((F274*$N$270+G274*$O$270)*24,3))</f>
        <v/>
      </c>
      <c r="I274" s="22" t="n"/>
      <c r="K274" s="25">
        <f>IF(OR(M274=0,C274=""),"",IF(ISNUMBER(C274),MOD(C274,1),IFERROR(INDEX('القوائم'!$B$1:$B$288,MATCH(TRIM(C274),'القوائم'!$A$1:$A$288,0)),IFERROR(MOD(TIMEVALUE(C274),1),""))))</f>
        <v/>
      </c>
      <c r="L274" s="25">
        <f>IF(OR(M274=0,D274=""),"",IF(ISNUMBER(D274),MOD(D274,1),IFERROR(INDEX('القوائم'!$B$1:$B$288,MATCH(TRIM(D274),'القوائم'!$A$1:$A$288,0)),IFERROR(MOD(TIMEVALUE(D274),1),""))))</f>
        <v/>
      </c>
      <c r="M274">
        <f>M270</f>
        <v/>
      </c>
      <c r="Q274">
        <f>IF(N(G280)&gt;0,1,0)</f>
        <v/>
      </c>
    </row>
    <row r="275">
      <c r="A275" s="20">
        <f>IF(25&lt;=NW,SAT1+172,"")</f>
        <v/>
      </c>
      <c r="B275" s="21">
        <f>IF(A275="","",CHOOSE(WEEKDAY(A275,1),"الأحد","الاثنين","الثلاثاء","الأربعاء","الخميس","الجمعة","السبت"))</f>
        <v/>
      </c>
      <c r="C275" s="22" t="n"/>
      <c r="D275" s="22" t="n"/>
      <c r="E275" s="23">
        <f>IF(OR(M275=0,K275="",L275=""),"",MOD(L275-K275,1))</f>
        <v/>
      </c>
      <c r="F275" s="23">
        <f>IF(OR(E275="",M275=0),"",IF(WEEKDAY(A275,1)=6,E275,MIN(E275,MAX(0,MIN(IF(L275&lt;K275,L275+1,L275),OMR_OT_AT)-K275))))</f>
        <v/>
      </c>
      <c r="G275" s="23">
        <f>IF(OR(E275="",M275=0),"",MAX(0,E275-F275))</f>
        <v/>
      </c>
      <c r="H275" s="24">
        <f>IF(OR(E275="",M275=0),"",ROUND((F275*$N$270+G275*$O$270)*24,3))</f>
        <v/>
      </c>
      <c r="I275" s="22" t="n"/>
      <c r="K275" s="25">
        <f>IF(OR(M275=0,C275=""),"",IF(ISNUMBER(C275),MOD(C275,1),IFERROR(INDEX('القوائم'!$B$1:$B$288,MATCH(TRIM(C275),'القوائم'!$A$1:$A$288,0)),IFERROR(MOD(TIMEVALUE(C275),1),""))))</f>
        <v/>
      </c>
      <c r="L275" s="25">
        <f>IF(OR(M275=0,D275=""),"",IF(ISNUMBER(D275),MOD(D275,1),IFERROR(INDEX('القوائم'!$B$1:$B$288,MATCH(TRIM(D275),'القوائم'!$A$1:$A$288,0)),IFERROR(MOD(TIMEVALUE(D275),1),""))))</f>
        <v/>
      </c>
      <c r="M275">
        <f>M270</f>
        <v/>
      </c>
      <c r="Q275">
        <f>IF(N(G280)&gt;0,1,0)</f>
        <v/>
      </c>
    </row>
    <row r="276">
      <c r="A276" s="20">
        <f>IF(25&lt;=NW,SAT1+173,"")</f>
        <v/>
      </c>
      <c r="B276" s="21">
        <f>IF(A276="","",CHOOSE(WEEKDAY(A276,1),"الأحد","الاثنين","الثلاثاء","الأربعاء","الخميس","الجمعة","السبت"))</f>
        <v/>
      </c>
      <c r="C276" s="22" t="n"/>
      <c r="D276" s="22" t="n"/>
      <c r="E276" s="23">
        <f>IF(OR(M276=0,K276="",L276=""),"",MOD(L276-K276,1))</f>
        <v/>
      </c>
      <c r="F276" s="23">
        <f>IF(OR(E276="",M276=0),"",IF(WEEKDAY(A276,1)=6,E276,MIN(E276,MAX(0,MIN(IF(L276&lt;K276,L276+1,L276),OMR_OT_AT)-K276))))</f>
        <v/>
      </c>
      <c r="G276" s="23">
        <f>IF(OR(E276="",M276=0),"",MAX(0,E276-F276))</f>
        <v/>
      </c>
      <c r="H276" s="24">
        <f>IF(OR(E276="",M276=0),"",ROUND((F276*$N$270+G276*$O$270)*24,3))</f>
        <v/>
      </c>
      <c r="I276" s="22" t="n"/>
      <c r="K276" s="25">
        <f>IF(OR(M276=0,C276=""),"",IF(ISNUMBER(C276),MOD(C276,1),IFERROR(INDEX('القوائم'!$B$1:$B$288,MATCH(TRIM(C276),'القوائم'!$A$1:$A$288,0)),IFERROR(MOD(TIMEVALUE(C276),1),""))))</f>
        <v/>
      </c>
      <c r="L276" s="25">
        <f>IF(OR(M276=0,D276=""),"",IF(ISNUMBER(D276),MOD(D276,1),IFERROR(INDEX('القوائم'!$B$1:$B$288,MATCH(TRIM(D276),'القوائم'!$A$1:$A$288,0)),IFERROR(MOD(TIMEVALUE(D276),1),""))))</f>
        <v/>
      </c>
      <c r="M276">
        <f>M270</f>
        <v/>
      </c>
      <c r="Q276">
        <f>IF(N(G280)&gt;0,1,0)</f>
        <v/>
      </c>
    </row>
    <row r="277">
      <c r="A277" s="26">
        <f>IF(25&lt;=NW,SAT1+174,"")</f>
        <v/>
      </c>
      <c r="B277" s="27">
        <f>IF(A277="","",CHOOSE(WEEKDAY(A277,1),"الأحد","الاثنين","الثلاثاء","الأربعاء","الخميس","الجمعة","السبت"))</f>
        <v/>
      </c>
      <c r="C277" s="22" t="n"/>
      <c r="D277" s="22" t="n"/>
      <c r="E277" s="23">
        <f>IF(OR(M277=0,K277="",L277=""),"",MOD(L277-K277,1))</f>
        <v/>
      </c>
      <c r="F277" s="23">
        <f>IF(OR(E277="",M277=0),"",IF(WEEKDAY(A277,1)=6,E277,MIN(E277,MAX(0,MIN(IF(L277&lt;K277,L277+1,L277),OMR_OT_AT)-K277))))</f>
        <v/>
      </c>
      <c r="G277" s="23">
        <f>IF(OR(E277="",M277=0),"",MAX(0,E277-F277))</f>
        <v/>
      </c>
      <c r="H277" s="24">
        <f>IF(OR(E277="",M277=0),"",ROUND((F277*$N$270+G277*$O$270)*24,3))</f>
        <v/>
      </c>
      <c r="I277" s="22" t="n"/>
      <c r="K277" s="25">
        <f>IF(OR(M277=0,C277=""),"",IF(ISNUMBER(C277),MOD(C277,1),IFERROR(INDEX('القوائم'!$B$1:$B$288,MATCH(TRIM(C277),'القوائم'!$A$1:$A$288,0)),IFERROR(MOD(TIMEVALUE(C277),1),""))))</f>
        <v/>
      </c>
      <c r="L277" s="25">
        <f>IF(OR(M277=0,D277=""),"",IF(ISNUMBER(D277),MOD(D277,1),IFERROR(INDEX('القوائم'!$B$1:$B$288,MATCH(TRIM(D277),'القوائم'!$A$1:$A$288,0)),IFERROR(MOD(TIMEVALUE(D277),1),""))))</f>
        <v/>
      </c>
      <c r="M277">
        <f>M270</f>
        <v/>
      </c>
      <c r="Q277">
        <f>IF(N(G280)&gt;0,1,0)</f>
        <v/>
      </c>
    </row>
    <row r="278">
      <c r="A278" s="28">
        <f>IF(M270=1,"مجموع أيام الأسبوع 25","")</f>
        <v/>
      </c>
      <c r="B278" s="28" t="n"/>
      <c r="C278" s="28" t="n"/>
      <c r="D278" s="28" t="n"/>
      <c r="E278" s="29">
        <f>IF(M270=1,SUM(E271:E277),"")</f>
        <v/>
      </c>
      <c r="F278" s="29">
        <f>IF(M270=1,SUM(F271:F277),"")</f>
        <v/>
      </c>
      <c r="G278" s="29">
        <f>IF(M270=1,SUM(G271:G277),"")</f>
        <v/>
      </c>
      <c r="H278" s="30">
        <f>IF(M270=1,SUM(H271:H277),"")</f>
        <v/>
      </c>
      <c r="I278" s="28" t="n"/>
    </row>
    <row r="279" ht="32" customHeight="1">
      <c r="A279" s="28">
        <f>IF(M270=1,"ساعات تحميل الجبسمبورد بهالأسبوع (رقم: 2 أو 1.5) ←","")</f>
        <v/>
      </c>
      <c r="E279" s="31" t="n"/>
      <c r="F279" s="32">
        <f>IF(M270=1,"المستحق النهائي للأسبوع (دينار) ←","")</f>
        <v/>
      </c>
      <c r="H279" s="33">
        <f>IF(M270=1,IF(ROUND_MODE="للأعلى",CEILING(ROUND((N(H278)+N(E279)*($P$270-$N$270)),3),0.25),ROUND((N(H278)+N(E279)*($P$270-$N$270))*4,0)/4),"")</f>
        <v/>
      </c>
      <c r="I279" s="34">
        <f>IF(M270=1,"قبل الجبر: "&amp;TEXT(N(H278)+N(E279)*($P$270-$N$270),"0.000"),"")</f>
        <v/>
      </c>
    </row>
    <row r="280" ht="26" customHeight="1">
      <c r="A280" s="28">
        <f>IF(M270=1,"إكرامية الأسبوع (دينار) ←","")</f>
        <v/>
      </c>
      <c r="D280" s="35" t="n"/>
      <c r="E280" s="28">
        <f>IF(M270=1,"المدفوع يوم الجمعة (دينار) ←","")</f>
        <v/>
      </c>
      <c r="G280" s="35" t="n"/>
      <c r="H280" s="36">
        <f>IF(M270=1,IF(N(G280)&gt;0,"✔ انقبض — الأسبوع مقفول","⏳ لسا ما انقبض"),"")</f>
        <v/>
      </c>
    </row>
    <row r="281" ht="26" customHeight="1">
      <c r="A281" s="18">
        <f>IF(26&lt;=NW,"الأسبوع 26 · السبت "&amp;TEXT(DAY(SAT1+175),"00")&amp;"/"&amp;TEXT(MONTH(SAT1+175),"00")&amp;" ← الجمعة "&amp;TEXT(DAY(SAT1+181),"00")&amp;"/"&amp;TEXT(MONTH(SAT1+181),"00")&amp;" (يوم القبض)"&amp;IF(26&lt;START_O,"   — قبل أسبوع البداية (ما بينحسب)",""),"ما في أسبوع 26 هالسنة")</f>
        <v/>
      </c>
      <c r="L281" s="19">
        <f>IF(26&lt;=NW,SAT1+181,"")</f>
        <v/>
      </c>
      <c r="M281">
        <f>IF(AND(26&lt;=NW,26&gt;=START_O),1,0)</f>
        <v/>
      </c>
      <c r="N281">
        <f>IFERROR(INDEX(RT_OMR,MATCH(L281,RT_K,1)),INDEX(RT_OMR,1))</f>
        <v/>
      </c>
      <c r="O281">
        <f>IFERROR(INDEX(RT_OT,MATCH(L281,RT_K,1)),INDEX(RT_OT,1))</f>
        <v/>
      </c>
      <c r="P281">
        <f>IFERROR(INDEX(RT_GYP,MATCH(L281,RT_K,1)),INDEX(RT_GYP,1))</f>
        <v/>
      </c>
    </row>
    <row r="282">
      <c r="A282" s="20">
        <f>IF(26&lt;=NW,SAT1+175,"")</f>
        <v/>
      </c>
      <c r="B282" s="21">
        <f>IF(A282="","",CHOOSE(WEEKDAY(A282,1),"الأحد","الاثنين","الثلاثاء","الأربعاء","الخميس","الجمعة","السبت"))</f>
        <v/>
      </c>
      <c r="C282" s="22" t="n"/>
      <c r="D282" s="22" t="n"/>
      <c r="E282" s="23">
        <f>IF(OR(M282=0,K282="",L282=""),"",MOD(L282-K282,1))</f>
        <v/>
      </c>
      <c r="F282" s="23">
        <f>IF(OR(E282="",M282=0),"",IF(WEEKDAY(A282,1)=6,E282,MIN(E282,MAX(0,MIN(IF(L282&lt;K282,L282+1,L282),OMR_OT_AT)-K282))))</f>
        <v/>
      </c>
      <c r="G282" s="23">
        <f>IF(OR(E282="",M282=0),"",MAX(0,E282-F282))</f>
        <v/>
      </c>
      <c r="H282" s="24">
        <f>IF(OR(E282="",M282=0),"",ROUND((F282*$N$281+G282*$O$281)*24,3))</f>
        <v/>
      </c>
      <c r="I282" s="22" t="n"/>
      <c r="K282" s="25">
        <f>IF(OR(M282=0,C282=""),"",IF(ISNUMBER(C282),MOD(C282,1),IFERROR(INDEX('القوائم'!$B$1:$B$288,MATCH(TRIM(C282),'القوائم'!$A$1:$A$288,0)),IFERROR(MOD(TIMEVALUE(C282),1),""))))</f>
        <v/>
      </c>
      <c r="L282" s="25">
        <f>IF(OR(M282=0,D282=""),"",IF(ISNUMBER(D282),MOD(D282,1),IFERROR(INDEX('القوائم'!$B$1:$B$288,MATCH(TRIM(D282),'القوائم'!$A$1:$A$288,0)),IFERROR(MOD(TIMEVALUE(D282),1),""))))</f>
        <v/>
      </c>
      <c r="M282">
        <f>M281</f>
        <v/>
      </c>
      <c r="Q282">
        <f>IF(N(G291)&gt;0,1,0)</f>
        <v/>
      </c>
    </row>
    <row r="283">
      <c r="A283" s="20">
        <f>IF(26&lt;=NW,SAT1+176,"")</f>
        <v/>
      </c>
      <c r="B283" s="21">
        <f>IF(A283="","",CHOOSE(WEEKDAY(A283,1),"الأحد","الاثنين","الثلاثاء","الأربعاء","الخميس","الجمعة","السبت"))</f>
        <v/>
      </c>
      <c r="C283" s="22" t="n"/>
      <c r="D283" s="22" t="n"/>
      <c r="E283" s="23">
        <f>IF(OR(M283=0,K283="",L283=""),"",MOD(L283-K283,1))</f>
        <v/>
      </c>
      <c r="F283" s="23">
        <f>IF(OR(E283="",M283=0),"",IF(WEEKDAY(A283,1)=6,E283,MIN(E283,MAX(0,MIN(IF(L283&lt;K283,L283+1,L283),OMR_OT_AT)-K283))))</f>
        <v/>
      </c>
      <c r="G283" s="23">
        <f>IF(OR(E283="",M283=0),"",MAX(0,E283-F283))</f>
        <v/>
      </c>
      <c r="H283" s="24">
        <f>IF(OR(E283="",M283=0),"",ROUND((F283*$N$281+G283*$O$281)*24,3))</f>
        <v/>
      </c>
      <c r="I283" s="22" t="n"/>
      <c r="K283" s="25">
        <f>IF(OR(M283=0,C283=""),"",IF(ISNUMBER(C283),MOD(C283,1),IFERROR(INDEX('القوائم'!$B$1:$B$288,MATCH(TRIM(C283),'القوائم'!$A$1:$A$288,0)),IFERROR(MOD(TIMEVALUE(C283),1),""))))</f>
        <v/>
      </c>
      <c r="L283" s="25">
        <f>IF(OR(M283=0,D283=""),"",IF(ISNUMBER(D283),MOD(D283,1),IFERROR(INDEX('القوائم'!$B$1:$B$288,MATCH(TRIM(D283),'القوائم'!$A$1:$A$288,0)),IFERROR(MOD(TIMEVALUE(D283),1),""))))</f>
        <v/>
      </c>
      <c r="M283">
        <f>M281</f>
        <v/>
      </c>
      <c r="Q283">
        <f>IF(N(G291)&gt;0,1,0)</f>
        <v/>
      </c>
    </row>
    <row r="284">
      <c r="A284" s="20">
        <f>IF(26&lt;=NW,SAT1+177,"")</f>
        <v/>
      </c>
      <c r="B284" s="21">
        <f>IF(A284="","",CHOOSE(WEEKDAY(A284,1),"الأحد","الاثنين","الثلاثاء","الأربعاء","الخميس","الجمعة","السبت"))</f>
        <v/>
      </c>
      <c r="C284" s="22" t="n"/>
      <c r="D284" s="22" t="n"/>
      <c r="E284" s="23">
        <f>IF(OR(M284=0,K284="",L284=""),"",MOD(L284-K284,1))</f>
        <v/>
      </c>
      <c r="F284" s="23">
        <f>IF(OR(E284="",M284=0),"",IF(WEEKDAY(A284,1)=6,E284,MIN(E284,MAX(0,MIN(IF(L284&lt;K284,L284+1,L284),OMR_OT_AT)-K284))))</f>
        <v/>
      </c>
      <c r="G284" s="23">
        <f>IF(OR(E284="",M284=0),"",MAX(0,E284-F284))</f>
        <v/>
      </c>
      <c r="H284" s="24">
        <f>IF(OR(E284="",M284=0),"",ROUND((F284*$N$281+G284*$O$281)*24,3))</f>
        <v/>
      </c>
      <c r="I284" s="22" t="n"/>
      <c r="K284" s="25">
        <f>IF(OR(M284=0,C284=""),"",IF(ISNUMBER(C284),MOD(C284,1),IFERROR(INDEX('القوائم'!$B$1:$B$288,MATCH(TRIM(C284),'القوائم'!$A$1:$A$288,0)),IFERROR(MOD(TIMEVALUE(C284),1),""))))</f>
        <v/>
      </c>
      <c r="L284" s="25">
        <f>IF(OR(M284=0,D284=""),"",IF(ISNUMBER(D284),MOD(D284,1),IFERROR(INDEX('القوائم'!$B$1:$B$288,MATCH(TRIM(D284),'القوائم'!$A$1:$A$288,0)),IFERROR(MOD(TIMEVALUE(D284),1),""))))</f>
        <v/>
      </c>
      <c r="M284">
        <f>M281</f>
        <v/>
      </c>
      <c r="Q284">
        <f>IF(N(G291)&gt;0,1,0)</f>
        <v/>
      </c>
    </row>
    <row r="285">
      <c r="A285" s="20">
        <f>IF(26&lt;=NW,SAT1+178,"")</f>
        <v/>
      </c>
      <c r="B285" s="21">
        <f>IF(A285="","",CHOOSE(WEEKDAY(A285,1),"الأحد","الاثنين","الثلاثاء","الأربعاء","الخميس","الجمعة","السبت"))</f>
        <v/>
      </c>
      <c r="C285" s="22" t="n"/>
      <c r="D285" s="22" t="n"/>
      <c r="E285" s="23">
        <f>IF(OR(M285=0,K285="",L285=""),"",MOD(L285-K285,1))</f>
        <v/>
      </c>
      <c r="F285" s="23">
        <f>IF(OR(E285="",M285=0),"",IF(WEEKDAY(A285,1)=6,E285,MIN(E285,MAX(0,MIN(IF(L285&lt;K285,L285+1,L285),OMR_OT_AT)-K285))))</f>
        <v/>
      </c>
      <c r="G285" s="23">
        <f>IF(OR(E285="",M285=0),"",MAX(0,E285-F285))</f>
        <v/>
      </c>
      <c r="H285" s="24">
        <f>IF(OR(E285="",M285=0),"",ROUND((F285*$N$281+G285*$O$281)*24,3))</f>
        <v/>
      </c>
      <c r="I285" s="22" t="n"/>
      <c r="K285" s="25">
        <f>IF(OR(M285=0,C285=""),"",IF(ISNUMBER(C285),MOD(C285,1),IFERROR(INDEX('القوائم'!$B$1:$B$288,MATCH(TRIM(C285),'القوائم'!$A$1:$A$288,0)),IFERROR(MOD(TIMEVALUE(C285),1),""))))</f>
        <v/>
      </c>
      <c r="L285" s="25">
        <f>IF(OR(M285=0,D285=""),"",IF(ISNUMBER(D285),MOD(D285,1),IFERROR(INDEX('القوائم'!$B$1:$B$288,MATCH(TRIM(D285),'القوائم'!$A$1:$A$288,0)),IFERROR(MOD(TIMEVALUE(D285),1),""))))</f>
        <v/>
      </c>
      <c r="M285">
        <f>M281</f>
        <v/>
      </c>
      <c r="Q285">
        <f>IF(N(G291)&gt;0,1,0)</f>
        <v/>
      </c>
    </row>
    <row r="286">
      <c r="A286" s="20">
        <f>IF(26&lt;=NW,SAT1+179,"")</f>
        <v/>
      </c>
      <c r="B286" s="21">
        <f>IF(A286="","",CHOOSE(WEEKDAY(A286,1),"الأحد","الاثنين","الثلاثاء","الأربعاء","الخميس","الجمعة","السبت"))</f>
        <v/>
      </c>
      <c r="C286" s="22" t="n"/>
      <c r="D286" s="22" t="n"/>
      <c r="E286" s="23">
        <f>IF(OR(M286=0,K286="",L286=""),"",MOD(L286-K286,1))</f>
        <v/>
      </c>
      <c r="F286" s="23">
        <f>IF(OR(E286="",M286=0),"",IF(WEEKDAY(A286,1)=6,E286,MIN(E286,MAX(0,MIN(IF(L286&lt;K286,L286+1,L286),OMR_OT_AT)-K286))))</f>
        <v/>
      </c>
      <c r="G286" s="23">
        <f>IF(OR(E286="",M286=0),"",MAX(0,E286-F286))</f>
        <v/>
      </c>
      <c r="H286" s="24">
        <f>IF(OR(E286="",M286=0),"",ROUND((F286*$N$281+G286*$O$281)*24,3))</f>
        <v/>
      </c>
      <c r="I286" s="22" t="n"/>
      <c r="K286" s="25">
        <f>IF(OR(M286=0,C286=""),"",IF(ISNUMBER(C286),MOD(C286,1),IFERROR(INDEX('القوائم'!$B$1:$B$288,MATCH(TRIM(C286),'القوائم'!$A$1:$A$288,0)),IFERROR(MOD(TIMEVALUE(C286),1),""))))</f>
        <v/>
      </c>
      <c r="L286" s="25">
        <f>IF(OR(M286=0,D286=""),"",IF(ISNUMBER(D286),MOD(D286,1),IFERROR(INDEX('القوائم'!$B$1:$B$288,MATCH(TRIM(D286),'القوائم'!$A$1:$A$288,0)),IFERROR(MOD(TIMEVALUE(D286),1),""))))</f>
        <v/>
      </c>
      <c r="M286">
        <f>M281</f>
        <v/>
      </c>
      <c r="Q286">
        <f>IF(N(G291)&gt;0,1,0)</f>
        <v/>
      </c>
    </row>
    <row r="287">
      <c r="A287" s="20">
        <f>IF(26&lt;=NW,SAT1+180,"")</f>
        <v/>
      </c>
      <c r="B287" s="21">
        <f>IF(A287="","",CHOOSE(WEEKDAY(A287,1),"الأحد","الاثنين","الثلاثاء","الأربعاء","الخميس","الجمعة","السبت"))</f>
        <v/>
      </c>
      <c r="C287" s="22" t="n"/>
      <c r="D287" s="22" t="n"/>
      <c r="E287" s="23">
        <f>IF(OR(M287=0,K287="",L287=""),"",MOD(L287-K287,1))</f>
        <v/>
      </c>
      <c r="F287" s="23">
        <f>IF(OR(E287="",M287=0),"",IF(WEEKDAY(A287,1)=6,E287,MIN(E287,MAX(0,MIN(IF(L287&lt;K287,L287+1,L287),OMR_OT_AT)-K287))))</f>
        <v/>
      </c>
      <c r="G287" s="23">
        <f>IF(OR(E287="",M287=0),"",MAX(0,E287-F287))</f>
        <v/>
      </c>
      <c r="H287" s="24">
        <f>IF(OR(E287="",M287=0),"",ROUND((F287*$N$281+G287*$O$281)*24,3))</f>
        <v/>
      </c>
      <c r="I287" s="22" t="n"/>
      <c r="K287" s="25">
        <f>IF(OR(M287=0,C287=""),"",IF(ISNUMBER(C287),MOD(C287,1),IFERROR(INDEX('القوائم'!$B$1:$B$288,MATCH(TRIM(C287),'القوائم'!$A$1:$A$288,0)),IFERROR(MOD(TIMEVALUE(C287),1),""))))</f>
        <v/>
      </c>
      <c r="L287" s="25">
        <f>IF(OR(M287=0,D287=""),"",IF(ISNUMBER(D287),MOD(D287,1),IFERROR(INDEX('القوائم'!$B$1:$B$288,MATCH(TRIM(D287),'القوائم'!$A$1:$A$288,0)),IFERROR(MOD(TIMEVALUE(D287),1),""))))</f>
        <v/>
      </c>
      <c r="M287">
        <f>M281</f>
        <v/>
      </c>
      <c r="Q287">
        <f>IF(N(G291)&gt;0,1,0)</f>
        <v/>
      </c>
    </row>
    <row r="288">
      <c r="A288" s="26">
        <f>IF(26&lt;=NW,SAT1+181,"")</f>
        <v/>
      </c>
      <c r="B288" s="27">
        <f>IF(A288="","",CHOOSE(WEEKDAY(A288,1),"الأحد","الاثنين","الثلاثاء","الأربعاء","الخميس","الجمعة","السبت"))</f>
        <v/>
      </c>
      <c r="C288" s="22" t="n"/>
      <c r="D288" s="22" t="n"/>
      <c r="E288" s="23">
        <f>IF(OR(M288=0,K288="",L288=""),"",MOD(L288-K288,1))</f>
        <v/>
      </c>
      <c r="F288" s="23">
        <f>IF(OR(E288="",M288=0),"",IF(WEEKDAY(A288,1)=6,E288,MIN(E288,MAX(0,MIN(IF(L288&lt;K288,L288+1,L288),OMR_OT_AT)-K288))))</f>
        <v/>
      </c>
      <c r="G288" s="23">
        <f>IF(OR(E288="",M288=0),"",MAX(0,E288-F288))</f>
        <v/>
      </c>
      <c r="H288" s="24">
        <f>IF(OR(E288="",M288=0),"",ROUND((F288*$N$281+G288*$O$281)*24,3))</f>
        <v/>
      </c>
      <c r="I288" s="22" t="n"/>
      <c r="K288" s="25">
        <f>IF(OR(M288=0,C288=""),"",IF(ISNUMBER(C288),MOD(C288,1),IFERROR(INDEX('القوائم'!$B$1:$B$288,MATCH(TRIM(C288),'القوائم'!$A$1:$A$288,0)),IFERROR(MOD(TIMEVALUE(C288),1),""))))</f>
        <v/>
      </c>
      <c r="L288" s="25">
        <f>IF(OR(M288=0,D288=""),"",IF(ISNUMBER(D288),MOD(D288,1),IFERROR(INDEX('القوائم'!$B$1:$B$288,MATCH(TRIM(D288),'القوائم'!$A$1:$A$288,0)),IFERROR(MOD(TIMEVALUE(D288),1),""))))</f>
        <v/>
      </c>
      <c r="M288">
        <f>M281</f>
        <v/>
      </c>
      <c r="Q288">
        <f>IF(N(G291)&gt;0,1,0)</f>
        <v/>
      </c>
    </row>
    <row r="289">
      <c r="A289" s="28">
        <f>IF(M281=1,"مجموع أيام الأسبوع 26","")</f>
        <v/>
      </c>
      <c r="B289" s="28" t="n"/>
      <c r="C289" s="28" t="n"/>
      <c r="D289" s="28" t="n"/>
      <c r="E289" s="29">
        <f>IF(M281=1,SUM(E282:E288),"")</f>
        <v/>
      </c>
      <c r="F289" s="29">
        <f>IF(M281=1,SUM(F282:F288),"")</f>
        <v/>
      </c>
      <c r="G289" s="29">
        <f>IF(M281=1,SUM(G282:G288),"")</f>
        <v/>
      </c>
      <c r="H289" s="30">
        <f>IF(M281=1,SUM(H282:H288),"")</f>
        <v/>
      </c>
      <c r="I289" s="28" t="n"/>
    </row>
    <row r="290" ht="32" customHeight="1">
      <c r="A290" s="28">
        <f>IF(M281=1,"ساعات تحميل الجبسمبورد بهالأسبوع (رقم: 2 أو 1.5) ←","")</f>
        <v/>
      </c>
      <c r="E290" s="31" t="n"/>
      <c r="F290" s="32">
        <f>IF(M281=1,"المستحق النهائي للأسبوع (دينار) ←","")</f>
        <v/>
      </c>
      <c r="H290" s="33">
        <f>IF(M281=1,IF(ROUND_MODE="للأعلى",CEILING(ROUND((N(H289)+N(E290)*($P$281-$N$281)),3),0.25),ROUND((N(H289)+N(E290)*($P$281-$N$281))*4,0)/4),"")</f>
        <v/>
      </c>
      <c r="I290" s="34">
        <f>IF(M281=1,"قبل الجبر: "&amp;TEXT(N(H289)+N(E290)*($P$281-$N$281),"0.000"),"")</f>
        <v/>
      </c>
    </row>
    <row r="291" ht="26" customHeight="1">
      <c r="A291" s="28">
        <f>IF(M281=1,"إكرامية الأسبوع (دينار) ←","")</f>
        <v/>
      </c>
      <c r="D291" s="35" t="n"/>
      <c r="E291" s="28">
        <f>IF(M281=1,"المدفوع يوم الجمعة (دينار) ←","")</f>
        <v/>
      </c>
      <c r="G291" s="35" t="n"/>
      <c r="H291" s="36">
        <f>IF(M281=1,IF(N(G291)&gt;0,"✔ انقبض — الأسبوع مقفول","⏳ لسا ما انقبض"),"")</f>
        <v/>
      </c>
    </row>
    <row r="292" ht="26" customHeight="1">
      <c r="A292" s="18">
        <f>IF(27&lt;=NW,"الأسبوع 27 · السبت "&amp;TEXT(DAY(SAT1+182),"00")&amp;"/"&amp;TEXT(MONTH(SAT1+182),"00")&amp;" ← الجمعة "&amp;TEXT(DAY(SAT1+188),"00")&amp;"/"&amp;TEXT(MONTH(SAT1+188),"00")&amp;" (يوم القبض)"&amp;IF(27&lt;START_O,"   — قبل أسبوع البداية (ما بينحسب)",""),"ما في أسبوع 27 هالسنة")</f>
        <v/>
      </c>
      <c r="L292" s="19">
        <f>IF(27&lt;=NW,SAT1+188,"")</f>
        <v/>
      </c>
      <c r="M292">
        <f>IF(AND(27&lt;=NW,27&gt;=START_O),1,0)</f>
        <v/>
      </c>
      <c r="N292">
        <f>IFERROR(INDEX(RT_OMR,MATCH(L292,RT_K,1)),INDEX(RT_OMR,1))</f>
        <v/>
      </c>
      <c r="O292">
        <f>IFERROR(INDEX(RT_OT,MATCH(L292,RT_K,1)),INDEX(RT_OT,1))</f>
        <v/>
      </c>
      <c r="P292">
        <f>IFERROR(INDEX(RT_GYP,MATCH(L292,RT_K,1)),INDEX(RT_GYP,1))</f>
        <v/>
      </c>
    </row>
    <row r="293">
      <c r="A293" s="20">
        <f>IF(27&lt;=NW,SAT1+182,"")</f>
        <v/>
      </c>
      <c r="B293" s="21">
        <f>IF(A293="","",CHOOSE(WEEKDAY(A293,1),"الأحد","الاثنين","الثلاثاء","الأربعاء","الخميس","الجمعة","السبت"))</f>
        <v/>
      </c>
      <c r="C293" s="22" t="n"/>
      <c r="D293" s="22" t="n"/>
      <c r="E293" s="23">
        <f>IF(OR(M293=0,K293="",L293=""),"",MOD(L293-K293,1))</f>
        <v/>
      </c>
      <c r="F293" s="23">
        <f>IF(OR(E293="",M293=0),"",IF(WEEKDAY(A293,1)=6,E293,MIN(E293,MAX(0,MIN(IF(L293&lt;K293,L293+1,L293),OMR_OT_AT)-K293))))</f>
        <v/>
      </c>
      <c r="G293" s="23">
        <f>IF(OR(E293="",M293=0),"",MAX(0,E293-F293))</f>
        <v/>
      </c>
      <c r="H293" s="24">
        <f>IF(OR(E293="",M293=0),"",ROUND((F293*$N$292+G293*$O$292)*24,3))</f>
        <v/>
      </c>
      <c r="I293" s="22" t="n"/>
      <c r="K293" s="25">
        <f>IF(OR(M293=0,C293=""),"",IF(ISNUMBER(C293),MOD(C293,1),IFERROR(INDEX('القوائم'!$B$1:$B$288,MATCH(TRIM(C293),'القوائم'!$A$1:$A$288,0)),IFERROR(MOD(TIMEVALUE(C293),1),""))))</f>
        <v/>
      </c>
      <c r="L293" s="25">
        <f>IF(OR(M293=0,D293=""),"",IF(ISNUMBER(D293),MOD(D293,1),IFERROR(INDEX('القوائم'!$B$1:$B$288,MATCH(TRIM(D293),'القوائم'!$A$1:$A$288,0)),IFERROR(MOD(TIMEVALUE(D293),1),""))))</f>
        <v/>
      </c>
      <c r="M293">
        <f>M292</f>
        <v/>
      </c>
      <c r="Q293">
        <f>IF(N(G302)&gt;0,1,0)</f>
        <v/>
      </c>
    </row>
    <row r="294">
      <c r="A294" s="20">
        <f>IF(27&lt;=NW,SAT1+183,"")</f>
        <v/>
      </c>
      <c r="B294" s="21">
        <f>IF(A294="","",CHOOSE(WEEKDAY(A294,1),"الأحد","الاثنين","الثلاثاء","الأربعاء","الخميس","الجمعة","السبت"))</f>
        <v/>
      </c>
      <c r="C294" s="22" t="n"/>
      <c r="D294" s="22" t="n"/>
      <c r="E294" s="23">
        <f>IF(OR(M294=0,K294="",L294=""),"",MOD(L294-K294,1))</f>
        <v/>
      </c>
      <c r="F294" s="23">
        <f>IF(OR(E294="",M294=0),"",IF(WEEKDAY(A294,1)=6,E294,MIN(E294,MAX(0,MIN(IF(L294&lt;K294,L294+1,L294),OMR_OT_AT)-K294))))</f>
        <v/>
      </c>
      <c r="G294" s="23">
        <f>IF(OR(E294="",M294=0),"",MAX(0,E294-F294))</f>
        <v/>
      </c>
      <c r="H294" s="24">
        <f>IF(OR(E294="",M294=0),"",ROUND((F294*$N$292+G294*$O$292)*24,3))</f>
        <v/>
      </c>
      <c r="I294" s="22" t="n"/>
      <c r="K294" s="25">
        <f>IF(OR(M294=0,C294=""),"",IF(ISNUMBER(C294),MOD(C294,1),IFERROR(INDEX('القوائم'!$B$1:$B$288,MATCH(TRIM(C294),'القوائم'!$A$1:$A$288,0)),IFERROR(MOD(TIMEVALUE(C294),1),""))))</f>
        <v/>
      </c>
      <c r="L294" s="25">
        <f>IF(OR(M294=0,D294=""),"",IF(ISNUMBER(D294),MOD(D294,1),IFERROR(INDEX('القوائم'!$B$1:$B$288,MATCH(TRIM(D294),'القوائم'!$A$1:$A$288,0)),IFERROR(MOD(TIMEVALUE(D294),1),""))))</f>
        <v/>
      </c>
      <c r="M294">
        <f>M292</f>
        <v/>
      </c>
      <c r="Q294">
        <f>IF(N(G302)&gt;0,1,0)</f>
        <v/>
      </c>
    </row>
    <row r="295">
      <c r="A295" s="20">
        <f>IF(27&lt;=NW,SAT1+184,"")</f>
        <v/>
      </c>
      <c r="B295" s="21">
        <f>IF(A295="","",CHOOSE(WEEKDAY(A295,1),"الأحد","الاثنين","الثلاثاء","الأربعاء","الخميس","الجمعة","السبت"))</f>
        <v/>
      </c>
      <c r="C295" s="22" t="n"/>
      <c r="D295" s="22" t="n"/>
      <c r="E295" s="23">
        <f>IF(OR(M295=0,K295="",L295=""),"",MOD(L295-K295,1))</f>
        <v/>
      </c>
      <c r="F295" s="23">
        <f>IF(OR(E295="",M295=0),"",IF(WEEKDAY(A295,1)=6,E295,MIN(E295,MAX(0,MIN(IF(L295&lt;K295,L295+1,L295),OMR_OT_AT)-K295))))</f>
        <v/>
      </c>
      <c r="G295" s="23">
        <f>IF(OR(E295="",M295=0),"",MAX(0,E295-F295))</f>
        <v/>
      </c>
      <c r="H295" s="24">
        <f>IF(OR(E295="",M295=0),"",ROUND((F295*$N$292+G295*$O$292)*24,3))</f>
        <v/>
      </c>
      <c r="I295" s="22" t="n"/>
      <c r="K295" s="25">
        <f>IF(OR(M295=0,C295=""),"",IF(ISNUMBER(C295),MOD(C295,1),IFERROR(INDEX('القوائم'!$B$1:$B$288,MATCH(TRIM(C295),'القوائم'!$A$1:$A$288,0)),IFERROR(MOD(TIMEVALUE(C295),1),""))))</f>
        <v/>
      </c>
      <c r="L295" s="25">
        <f>IF(OR(M295=0,D295=""),"",IF(ISNUMBER(D295),MOD(D295,1),IFERROR(INDEX('القوائم'!$B$1:$B$288,MATCH(TRIM(D295),'القوائم'!$A$1:$A$288,0)),IFERROR(MOD(TIMEVALUE(D295),1),""))))</f>
        <v/>
      </c>
      <c r="M295">
        <f>M292</f>
        <v/>
      </c>
      <c r="Q295">
        <f>IF(N(G302)&gt;0,1,0)</f>
        <v/>
      </c>
    </row>
    <row r="296">
      <c r="A296" s="20">
        <f>IF(27&lt;=NW,SAT1+185,"")</f>
        <v/>
      </c>
      <c r="B296" s="21">
        <f>IF(A296="","",CHOOSE(WEEKDAY(A296,1),"الأحد","الاثنين","الثلاثاء","الأربعاء","الخميس","الجمعة","السبت"))</f>
        <v/>
      </c>
      <c r="C296" s="22" t="n"/>
      <c r="D296" s="22" t="n"/>
      <c r="E296" s="23">
        <f>IF(OR(M296=0,K296="",L296=""),"",MOD(L296-K296,1))</f>
        <v/>
      </c>
      <c r="F296" s="23">
        <f>IF(OR(E296="",M296=0),"",IF(WEEKDAY(A296,1)=6,E296,MIN(E296,MAX(0,MIN(IF(L296&lt;K296,L296+1,L296),OMR_OT_AT)-K296))))</f>
        <v/>
      </c>
      <c r="G296" s="23">
        <f>IF(OR(E296="",M296=0),"",MAX(0,E296-F296))</f>
        <v/>
      </c>
      <c r="H296" s="24">
        <f>IF(OR(E296="",M296=0),"",ROUND((F296*$N$292+G296*$O$292)*24,3))</f>
        <v/>
      </c>
      <c r="I296" s="22" t="n"/>
      <c r="K296" s="25">
        <f>IF(OR(M296=0,C296=""),"",IF(ISNUMBER(C296),MOD(C296,1),IFERROR(INDEX('القوائم'!$B$1:$B$288,MATCH(TRIM(C296),'القوائم'!$A$1:$A$288,0)),IFERROR(MOD(TIMEVALUE(C296),1),""))))</f>
        <v/>
      </c>
      <c r="L296" s="25">
        <f>IF(OR(M296=0,D296=""),"",IF(ISNUMBER(D296),MOD(D296,1),IFERROR(INDEX('القوائم'!$B$1:$B$288,MATCH(TRIM(D296),'القوائم'!$A$1:$A$288,0)),IFERROR(MOD(TIMEVALUE(D296),1),""))))</f>
        <v/>
      </c>
      <c r="M296">
        <f>M292</f>
        <v/>
      </c>
      <c r="Q296">
        <f>IF(N(G302)&gt;0,1,0)</f>
        <v/>
      </c>
    </row>
    <row r="297">
      <c r="A297" s="20">
        <f>IF(27&lt;=NW,SAT1+186,"")</f>
        <v/>
      </c>
      <c r="B297" s="21">
        <f>IF(A297="","",CHOOSE(WEEKDAY(A297,1),"الأحد","الاثنين","الثلاثاء","الأربعاء","الخميس","الجمعة","السبت"))</f>
        <v/>
      </c>
      <c r="C297" s="22" t="n"/>
      <c r="D297" s="22" t="n"/>
      <c r="E297" s="23">
        <f>IF(OR(M297=0,K297="",L297=""),"",MOD(L297-K297,1))</f>
        <v/>
      </c>
      <c r="F297" s="23">
        <f>IF(OR(E297="",M297=0),"",IF(WEEKDAY(A297,1)=6,E297,MIN(E297,MAX(0,MIN(IF(L297&lt;K297,L297+1,L297),OMR_OT_AT)-K297))))</f>
        <v/>
      </c>
      <c r="G297" s="23">
        <f>IF(OR(E297="",M297=0),"",MAX(0,E297-F297))</f>
        <v/>
      </c>
      <c r="H297" s="24">
        <f>IF(OR(E297="",M297=0),"",ROUND((F297*$N$292+G297*$O$292)*24,3))</f>
        <v/>
      </c>
      <c r="I297" s="22" t="n"/>
      <c r="K297" s="25">
        <f>IF(OR(M297=0,C297=""),"",IF(ISNUMBER(C297),MOD(C297,1),IFERROR(INDEX('القوائم'!$B$1:$B$288,MATCH(TRIM(C297),'القوائم'!$A$1:$A$288,0)),IFERROR(MOD(TIMEVALUE(C297),1),""))))</f>
        <v/>
      </c>
      <c r="L297" s="25">
        <f>IF(OR(M297=0,D297=""),"",IF(ISNUMBER(D297),MOD(D297,1),IFERROR(INDEX('القوائم'!$B$1:$B$288,MATCH(TRIM(D297),'القوائم'!$A$1:$A$288,0)),IFERROR(MOD(TIMEVALUE(D297),1),""))))</f>
        <v/>
      </c>
      <c r="M297">
        <f>M292</f>
        <v/>
      </c>
      <c r="Q297">
        <f>IF(N(G302)&gt;0,1,0)</f>
        <v/>
      </c>
    </row>
    <row r="298">
      <c r="A298" s="20">
        <f>IF(27&lt;=NW,SAT1+187,"")</f>
        <v/>
      </c>
      <c r="B298" s="21">
        <f>IF(A298="","",CHOOSE(WEEKDAY(A298,1),"الأحد","الاثنين","الثلاثاء","الأربعاء","الخميس","الجمعة","السبت"))</f>
        <v/>
      </c>
      <c r="C298" s="22" t="n"/>
      <c r="D298" s="22" t="n"/>
      <c r="E298" s="23">
        <f>IF(OR(M298=0,K298="",L298=""),"",MOD(L298-K298,1))</f>
        <v/>
      </c>
      <c r="F298" s="23">
        <f>IF(OR(E298="",M298=0),"",IF(WEEKDAY(A298,1)=6,E298,MIN(E298,MAX(0,MIN(IF(L298&lt;K298,L298+1,L298),OMR_OT_AT)-K298))))</f>
        <v/>
      </c>
      <c r="G298" s="23">
        <f>IF(OR(E298="",M298=0),"",MAX(0,E298-F298))</f>
        <v/>
      </c>
      <c r="H298" s="24">
        <f>IF(OR(E298="",M298=0),"",ROUND((F298*$N$292+G298*$O$292)*24,3))</f>
        <v/>
      </c>
      <c r="I298" s="22" t="n"/>
      <c r="K298" s="25">
        <f>IF(OR(M298=0,C298=""),"",IF(ISNUMBER(C298),MOD(C298,1),IFERROR(INDEX('القوائم'!$B$1:$B$288,MATCH(TRIM(C298),'القوائم'!$A$1:$A$288,0)),IFERROR(MOD(TIMEVALUE(C298),1),""))))</f>
        <v/>
      </c>
      <c r="L298" s="25">
        <f>IF(OR(M298=0,D298=""),"",IF(ISNUMBER(D298),MOD(D298,1),IFERROR(INDEX('القوائم'!$B$1:$B$288,MATCH(TRIM(D298),'القوائم'!$A$1:$A$288,0)),IFERROR(MOD(TIMEVALUE(D298),1),""))))</f>
        <v/>
      </c>
      <c r="M298">
        <f>M292</f>
        <v/>
      </c>
      <c r="Q298">
        <f>IF(N(G302)&gt;0,1,0)</f>
        <v/>
      </c>
    </row>
    <row r="299">
      <c r="A299" s="26">
        <f>IF(27&lt;=NW,SAT1+188,"")</f>
        <v/>
      </c>
      <c r="B299" s="27">
        <f>IF(A299="","",CHOOSE(WEEKDAY(A299,1),"الأحد","الاثنين","الثلاثاء","الأربعاء","الخميس","الجمعة","السبت"))</f>
        <v/>
      </c>
      <c r="C299" s="22" t="n"/>
      <c r="D299" s="22" t="n"/>
      <c r="E299" s="23">
        <f>IF(OR(M299=0,K299="",L299=""),"",MOD(L299-K299,1))</f>
        <v/>
      </c>
      <c r="F299" s="23">
        <f>IF(OR(E299="",M299=0),"",IF(WEEKDAY(A299,1)=6,E299,MIN(E299,MAX(0,MIN(IF(L299&lt;K299,L299+1,L299),OMR_OT_AT)-K299))))</f>
        <v/>
      </c>
      <c r="G299" s="23">
        <f>IF(OR(E299="",M299=0),"",MAX(0,E299-F299))</f>
        <v/>
      </c>
      <c r="H299" s="24">
        <f>IF(OR(E299="",M299=0),"",ROUND((F299*$N$292+G299*$O$292)*24,3))</f>
        <v/>
      </c>
      <c r="I299" s="22" t="n"/>
      <c r="K299" s="25">
        <f>IF(OR(M299=0,C299=""),"",IF(ISNUMBER(C299),MOD(C299,1),IFERROR(INDEX('القوائم'!$B$1:$B$288,MATCH(TRIM(C299),'القوائم'!$A$1:$A$288,0)),IFERROR(MOD(TIMEVALUE(C299),1),""))))</f>
        <v/>
      </c>
      <c r="L299" s="25">
        <f>IF(OR(M299=0,D299=""),"",IF(ISNUMBER(D299),MOD(D299,1),IFERROR(INDEX('القوائم'!$B$1:$B$288,MATCH(TRIM(D299),'القوائم'!$A$1:$A$288,0)),IFERROR(MOD(TIMEVALUE(D299),1),""))))</f>
        <v/>
      </c>
      <c r="M299">
        <f>M292</f>
        <v/>
      </c>
      <c r="Q299">
        <f>IF(N(G302)&gt;0,1,0)</f>
        <v/>
      </c>
    </row>
    <row r="300">
      <c r="A300" s="28">
        <f>IF(M292=1,"مجموع أيام الأسبوع 27","")</f>
        <v/>
      </c>
      <c r="B300" s="28" t="n"/>
      <c r="C300" s="28" t="n"/>
      <c r="D300" s="28" t="n"/>
      <c r="E300" s="29">
        <f>IF(M292=1,SUM(E293:E299),"")</f>
        <v/>
      </c>
      <c r="F300" s="29">
        <f>IF(M292=1,SUM(F293:F299),"")</f>
        <v/>
      </c>
      <c r="G300" s="29">
        <f>IF(M292=1,SUM(G293:G299),"")</f>
        <v/>
      </c>
      <c r="H300" s="30">
        <f>IF(M292=1,SUM(H293:H299),"")</f>
        <v/>
      </c>
      <c r="I300" s="28" t="n"/>
    </row>
    <row r="301" ht="32" customHeight="1">
      <c r="A301" s="28">
        <f>IF(M292=1,"ساعات تحميل الجبسمبورد بهالأسبوع (رقم: 2 أو 1.5) ←","")</f>
        <v/>
      </c>
      <c r="E301" s="31" t="n"/>
      <c r="F301" s="32">
        <f>IF(M292=1,"المستحق النهائي للأسبوع (دينار) ←","")</f>
        <v/>
      </c>
      <c r="H301" s="33">
        <f>IF(M292=1,IF(ROUND_MODE="للأعلى",CEILING(ROUND((N(H300)+N(E301)*($P$292-$N$292)),3),0.25),ROUND((N(H300)+N(E301)*($P$292-$N$292))*4,0)/4),"")</f>
        <v/>
      </c>
      <c r="I301" s="34">
        <f>IF(M292=1,"قبل الجبر: "&amp;TEXT(N(H300)+N(E301)*($P$292-$N$292),"0.000"),"")</f>
        <v/>
      </c>
    </row>
    <row r="302" ht="26" customHeight="1">
      <c r="A302" s="28">
        <f>IF(M292=1,"إكرامية الأسبوع (دينار) ←","")</f>
        <v/>
      </c>
      <c r="D302" s="35" t="n"/>
      <c r="E302" s="28">
        <f>IF(M292=1,"المدفوع يوم الجمعة (دينار) ←","")</f>
        <v/>
      </c>
      <c r="G302" s="35" t="n"/>
      <c r="H302" s="36">
        <f>IF(M292=1,IF(N(G302)&gt;0,"✔ انقبض — الأسبوع مقفول","⏳ لسا ما انقبض"),"")</f>
        <v/>
      </c>
    </row>
    <row r="303" ht="26" customHeight="1">
      <c r="A303" s="18">
        <f>IF(28&lt;=NW,"الأسبوع 28 · السبت "&amp;TEXT(DAY(SAT1+189),"00")&amp;"/"&amp;TEXT(MONTH(SAT1+189),"00")&amp;" ← الجمعة "&amp;TEXT(DAY(SAT1+195),"00")&amp;"/"&amp;TEXT(MONTH(SAT1+195),"00")&amp;" (يوم القبض)"&amp;IF(28&lt;START_O,"   — قبل أسبوع البداية (ما بينحسب)",""),"ما في أسبوع 28 هالسنة")</f>
        <v/>
      </c>
      <c r="L303" s="19">
        <f>IF(28&lt;=NW,SAT1+195,"")</f>
        <v/>
      </c>
      <c r="M303">
        <f>IF(AND(28&lt;=NW,28&gt;=START_O),1,0)</f>
        <v/>
      </c>
      <c r="N303">
        <f>IFERROR(INDEX(RT_OMR,MATCH(L303,RT_K,1)),INDEX(RT_OMR,1))</f>
        <v/>
      </c>
      <c r="O303">
        <f>IFERROR(INDEX(RT_OT,MATCH(L303,RT_K,1)),INDEX(RT_OT,1))</f>
        <v/>
      </c>
      <c r="P303">
        <f>IFERROR(INDEX(RT_GYP,MATCH(L303,RT_K,1)),INDEX(RT_GYP,1))</f>
        <v/>
      </c>
    </row>
    <row r="304">
      <c r="A304" s="20">
        <f>IF(28&lt;=NW,SAT1+189,"")</f>
        <v/>
      </c>
      <c r="B304" s="21">
        <f>IF(A304="","",CHOOSE(WEEKDAY(A304,1),"الأحد","الاثنين","الثلاثاء","الأربعاء","الخميس","الجمعة","السبت"))</f>
        <v/>
      </c>
      <c r="C304" s="22" t="n"/>
      <c r="D304" s="22" t="n"/>
      <c r="E304" s="23">
        <f>IF(OR(M304=0,K304="",L304=""),"",MOD(L304-K304,1))</f>
        <v/>
      </c>
      <c r="F304" s="23">
        <f>IF(OR(E304="",M304=0),"",IF(WEEKDAY(A304,1)=6,E304,MIN(E304,MAX(0,MIN(IF(L304&lt;K304,L304+1,L304),OMR_OT_AT)-K304))))</f>
        <v/>
      </c>
      <c r="G304" s="23">
        <f>IF(OR(E304="",M304=0),"",MAX(0,E304-F304))</f>
        <v/>
      </c>
      <c r="H304" s="24">
        <f>IF(OR(E304="",M304=0),"",ROUND((F304*$N$303+G304*$O$303)*24,3))</f>
        <v/>
      </c>
      <c r="I304" s="22" t="n"/>
      <c r="K304" s="25">
        <f>IF(OR(M304=0,C304=""),"",IF(ISNUMBER(C304),MOD(C304,1),IFERROR(INDEX('القوائم'!$B$1:$B$288,MATCH(TRIM(C304),'القوائم'!$A$1:$A$288,0)),IFERROR(MOD(TIMEVALUE(C304),1),""))))</f>
        <v/>
      </c>
      <c r="L304" s="25">
        <f>IF(OR(M304=0,D304=""),"",IF(ISNUMBER(D304),MOD(D304,1),IFERROR(INDEX('القوائم'!$B$1:$B$288,MATCH(TRIM(D304),'القوائم'!$A$1:$A$288,0)),IFERROR(MOD(TIMEVALUE(D304),1),""))))</f>
        <v/>
      </c>
      <c r="M304">
        <f>M303</f>
        <v/>
      </c>
      <c r="Q304">
        <f>IF(N(G313)&gt;0,1,0)</f>
        <v/>
      </c>
    </row>
    <row r="305">
      <c r="A305" s="20">
        <f>IF(28&lt;=NW,SAT1+190,"")</f>
        <v/>
      </c>
      <c r="B305" s="21">
        <f>IF(A305="","",CHOOSE(WEEKDAY(A305,1),"الأحد","الاثنين","الثلاثاء","الأربعاء","الخميس","الجمعة","السبت"))</f>
        <v/>
      </c>
      <c r="C305" s="22" t="n"/>
      <c r="D305" s="22" t="n"/>
      <c r="E305" s="23">
        <f>IF(OR(M305=0,K305="",L305=""),"",MOD(L305-K305,1))</f>
        <v/>
      </c>
      <c r="F305" s="23">
        <f>IF(OR(E305="",M305=0),"",IF(WEEKDAY(A305,1)=6,E305,MIN(E305,MAX(0,MIN(IF(L305&lt;K305,L305+1,L305),OMR_OT_AT)-K305))))</f>
        <v/>
      </c>
      <c r="G305" s="23">
        <f>IF(OR(E305="",M305=0),"",MAX(0,E305-F305))</f>
        <v/>
      </c>
      <c r="H305" s="24">
        <f>IF(OR(E305="",M305=0),"",ROUND((F305*$N$303+G305*$O$303)*24,3))</f>
        <v/>
      </c>
      <c r="I305" s="22" t="n"/>
      <c r="K305" s="25">
        <f>IF(OR(M305=0,C305=""),"",IF(ISNUMBER(C305),MOD(C305,1),IFERROR(INDEX('القوائم'!$B$1:$B$288,MATCH(TRIM(C305),'القوائم'!$A$1:$A$288,0)),IFERROR(MOD(TIMEVALUE(C305),1),""))))</f>
        <v/>
      </c>
      <c r="L305" s="25">
        <f>IF(OR(M305=0,D305=""),"",IF(ISNUMBER(D305),MOD(D305,1),IFERROR(INDEX('القوائم'!$B$1:$B$288,MATCH(TRIM(D305),'القوائم'!$A$1:$A$288,0)),IFERROR(MOD(TIMEVALUE(D305),1),""))))</f>
        <v/>
      </c>
      <c r="M305">
        <f>M303</f>
        <v/>
      </c>
      <c r="Q305">
        <f>IF(N(G313)&gt;0,1,0)</f>
        <v/>
      </c>
    </row>
    <row r="306">
      <c r="A306" s="20">
        <f>IF(28&lt;=NW,SAT1+191,"")</f>
        <v/>
      </c>
      <c r="B306" s="21">
        <f>IF(A306="","",CHOOSE(WEEKDAY(A306,1),"الأحد","الاثنين","الثلاثاء","الأربعاء","الخميس","الجمعة","السبت"))</f>
        <v/>
      </c>
      <c r="C306" s="22" t="n"/>
      <c r="D306" s="22" t="n"/>
      <c r="E306" s="23">
        <f>IF(OR(M306=0,K306="",L306=""),"",MOD(L306-K306,1))</f>
        <v/>
      </c>
      <c r="F306" s="23">
        <f>IF(OR(E306="",M306=0),"",IF(WEEKDAY(A306,1)=6,E306,MIN(E306,MAX(0,MIN(IF(L306&lt;K306,L306+1,L306),OMR_OT_AT)-K306))))</f>
        <v/>
      </c>
      <c r="G306" s="23">
        <f>IF(OR(E306="",M306=0),"",MAX(0,E306-F306))</f>
        <v/>
      </c>
      <c r="H306" s="24">
        <f>IF(OR(E306="",M306=0),"",ROUND((F306*$N$303+G306*$O$303)*24,3))</f>
        <v/>
      </c>
      <c r="I306" s="22" t="n"/>
      <c r="K306" s="25">
        <f>IF(OR(M306=0,C306=""),"",IF(ISNUMBER(C306),MOD(C306,1),IFERROR(INDEX('القوائم'!$B$1:$B$288,MATCH(TRIM(C306),'القوائم'!$A$1:$A$288,0)),IFERROR(MOD(TIMEVALUE(C306),1),""))))</f>
        <v/>
      </c>
      <c r="L306" s="25">
        <f>IF(OR(M306=0,D306=""),"",IF(ISNUMBER(D306),MOD(D306,1),IFERROR(INDEX('القوائم'!$B$1:$B$288,MATCH(TRIM(D306),'القوائم'!$A$1:$A$288,0)),IFERROR(MOD(TIMEVALUE(D306),1),""))))</f>
        <v/>
      </c>
      <c r="M306">
        <f>M303</f>
        <v/>
      </c>
      <c r="Q306">
        <f>IF(N(G313)&gt;0,1,0)</f>
        <v/>
      </c>
    </row>
    <row r="307">
      <c r="A307" s="20">
        <f>IF(28&lt;=NW,SAT1+192,"")</f>
        <v/>
      </c>
      <c r="B307" s="21">
        <f>IF(A307="","",CHOOSE(WEEKDAY(A307,1),"الأحد","الاثنين","الثلاثاء","الأربعاء","الخميس","الجمعة","السبت"))</f>
        <v/>
      </c>
      <c r="C307" s="22" t="n"/>
      <c r="D307" s="22" t="n"/>
      <c r="E307" s="23">
        <f>IF(OR(M307=0,K307="",L307=""),"",MOD(L307-K307,1))</f>
        <v/>
      </c>
      <c r="F307" s="23">
        <f>IF(OR(E307="",M307=0),"",IF(WEEKDAY(A307,1)=6,E307,MIN(E307,MAX(0,MIN(IF(L307&lt;K307,L307+1,L307),OMR_OT_AT)-K307))))</f>
        <v/>
      </c>
      <c r="G307" s="23">
        <f>IF(OR(E307="",M307=0),"",MAX(0,E307-F307))</f>
        <v/>
      </c>
      <c r="H307" s="24">
        <f>IF(OR(E307="",M307=0),"",ROUND((F307*$N$303+G307*$O$303)*24,3))</f>
        <v/>
      </c>
      <c r="I307" s="22" t="n"/>
      <c r="K307" s="25">
        <f>IF(OR(M307=0,C307=""),"",IF(ISNUMBER(C307),MOD(C307,1),IFERROR(INDEX('القوائم'!$B$1:$B$288,MATCH(TRIM(C307),'القوائم'!$A$1:$A$288,0)),IFERROR(MOD(TIMEVALUE(C307),1),""))))</f>
        <v/>
      </c>
      <c r="L307" s="25">
        <f>IF(OR(M307=0,D307=""),"",IF(ISNUMBER(D307),MOD(D307,1),IFERROR(INDEX('القوائم'!$B$1:$B$288,MATCH(TRIM(D307),'القوائم'!$A$1:$A$288,0)),IFERROR(MOD(TIMEVALUE(D307),1),""))))</f>
        <v/>
      </c>
      <c r="M307">
        <f>M303</f>
        <v/>
      </c>
      <c r="Q307">
        <f>IF(N(G313)&gt;0,1,0)</f>
        <v/>
      </c>
    </row>
    <row r="308">
      <c r="A308" s="20">
        <f>IF(28&lt;=NW,SAT1+193,"")</f>
        <v/>
      </c>
      <c r="B308" s="21">
        <f>IF(A308="","",CHOOSE(WEEKDAY(A308,1),"الأحد","الاثنين","الثلاثاء","الأربعاء","الخميس","الجمعة","السبت"))</f>
        <v/>
      </c>
      <c r="C308" s="22" t="n"/>
      <c r="D308" s="22" t="n"/>
      <c r="E308" s="23">
        <f>IF(OR(M308=0,K308="",L308=""),"",MOD(L308-K308,1))</f>
        <v/>
      </c>
      <c r="F308" s="23">
        <f>IF(OR(E308="",M308=0),"",IF(WEEKDAY(A308,1)=6,E308,MIN(E308,MAX(0,MIN(IF(L308&lt;K308,L308+1,L308),OMR_OT_AT)-K308))))</f>
        <v/>
      </c>
      <c r="G308" s="23">
        <f>IF(OR(E308="",M308=0),"",MAX(0,E308-F308))</f>
        <v/>
      </c>
      <c r="H308" s="24">
        <f>IF(OR(E308="",M308=0),"",ROUND((F308*$N$303+G308*$O$303)*24,3))</f>
        <v/>
      </c>
      <c r="I308" s="22" t="n"/>
      <c r="K308" s="25">
        <f>IF(OR(M308=0,C308=""),"",IF(ISNUMBER(C308),MOD(C308,1),IFERROR(INDEX('القوائم'!$B$1:$B$288,MATCH(TRIM(C308),'القوائم'!$A$1:$A$288,0)),IFERROR(MOD(TIMEVALUE(C308),1),""))))</f>
        <v/>
      </c>
      <c r="L308" s="25">
        <f>IF(OR(M308=0,D308=""),"",IF(ISNUMBER(D308),MOD(D308,1),IFERROR(INDEX('القوائم'!$B$1:$B$288,MATCH(TRIM(D308),'القوائم'!$A$1:$A$288,0)),IFERROR(MOD(TIMEVALUE(D308),1),""))))</f>
        <v/>
      </c>
      <c r="M308">
        <f>M303</f>
        <v/>
      </c>
      <c r="Q308">
        <f>IF(N(G313)&gt;0,1,0)</f>
        <v/>
      </c>
    </row>
    <row r="309">
      <c r="A309" s="20">
        <f>IF(28&lt;=NW,SAT1+194,"")</f>
        <v/>
      </c>
      <c r="B309" s="21">
        <f>IF(A309="","",CHOOSE(WEEKDAY(A309,1),"الأحد","الاثنين","الثلاثاء","الأربعاء","الخميس","الجمعة","السبت"))</f>
        <v/>
      </c>
      <c r="C309" s="22" t="n"/>
      <c r="D309" s="22" t="n"/>
      <c r="E309" s="23">
        <f>IF(OR(M309=0,K309="",L309=""),"",MOD(L309-K309,1))</f>
        <v/>
      </c>
      <c r="F309" s="23">
        <f>IF(OR(E309="",M309=0),"",IF(WEEKDAY(A309,1)=6,E309,MIN(E309,MAX(0,MIN(IF(L309&lt;K309,L309+1,L309),OMR_OT_AT)-K309))))</f>
        <v/>
      </c>
      <c r="G309" s="23">
        <f>IF(OR(E309="",M309=0),"",MAX(0,E309-F309))</f>
        <v/>
      </c>
      <c r="H309" s="24">
        <f>IF(OR(E309="",M309=0),"",ROUND((F309*$N$303+G309*$O$303)*24,3))</f>
        <v/>
      </c>
      <c r="I309" s="22" t="n"/>
      <c r="K309" s="25">
        <f>IF(OR(M309=0,C309=""),"",IF(ISNUMBER(C309),MOD(C309,1),IFERROR(INDEX('القوائم'!$B$1:$B$288,MATCH(TRIM(C309),'القوائم'!$A$1:$A$288,0)),IFERROR(MOD(TIMEVALUE(C309),1),""))))</f>
        <v/>
      </c>
      <c r="L309" s="25">
        <f>IF(OR(M309=0,D309=""),"",IF(ISNUMBER(D309),MOD(D309,1),IFERROR(INDEX('القوائم'!$B$1:$B$288,MATCH(TRIM(D309),'القوائم'!$A$1:$A$288,0)),IFERROR(MOD(TIMEVALUE(D309),1),""))))</f>
        <v/>
      </c>
      <c r="M309">
        <f>M303</f>
        <v/>
      </c>
      <c r="Q309">
        <f>IF(N(G313)&gt;0,1,0)</f>
        <v/>
      </c>
    </row>
    <row r="310">
      <c r="A310" s="26">
        <f>IF(28&lt;=NW,SAT1+195,"")</f>
        <v/>
      </c>
      <c r="B310" s="27">
        <f>IF(A310="","",CHOOSE(WEEKDAY(A310,1),"الأحد","الاثنين","الثلاثاء","الأربعاء","الخميس","الجمعة","السبت"))</f>
        <v/>
      </c>
      <c r="C310" s="22" t="n"/>
      <c r="D310" s="22" t="n"/>
      <c r="E310" s="23">
        <f>IF(OR(M310=0,K310="",L310=""),"",MOD(L310-K310,1))</f>
        <v/>
      </c>
      <c r="F310" s="23">
        <f>IF(OR(E310="",M310=0),"",IF(WEEKDAY(A310,1)=6,E310,MIN(E310,MAX(0,MIN(IF(L310&lt;K310,L310+1,L310),OMR_OT_AT)-K310))))</f>
        <v/>
      </c>
      <c r="G310" s="23">
        <f>IF(OR(E310="",M310=0),"",MAX(0,E310-F310))</f>
        <v/>
      </c>
      <c r="H310" s="24">
        <f>IF(OR(E310="",M310=0),"",ROUND((F310*$N$303+G310*$O$303)*24,3))</f>
        <v/>
      </c>
      <c r="I310" s="22" t="n"/>
      <c r="K310" s="25">
        <f>IF(OR(M310=0,C310=""),"",IF(ISNUMBER(C310),MOD(C310,1),IFERROR(INDEX('القوائم'!$B$1:$B$288,MATCH(TRIM(C310),'القوائم'!$A$1:$A$288,0)),IFERROR(MOD(TIMEVALUE(C310),1),""))))</f>
        <v/>
      </c>
      <c r="L310" s="25">
        <f>IF(OR(M310=0,D310=""),"",IF(ISNUMBER(D310),MOD(D310,1),IFERROR(INDEX('القوائم'!$B$1:$B$288,MATCH(TRIM(D310),'القوائم'!$A$1:$A$288,0)),IFERROR(MOD(TIMEVALUE(D310),1),""))))</f>
        <v/>
      </c>
      <c r="M310">
        <f>M303</f>
        <v/>
      </c>
      <c r="Q310">
        <f>IF(N(G313)&gt;0,1,0)</f>
        <v/>
      </c>
    </row>
    <row r="311">
      <c r="A311" s="28">
        <f>IF(M303=1,"مجموع أيام الأسبوع 28","")</f>
        <v/>
      </c>
      <c r="B311" s="28" t="n"/>
      <c r="C311" s="28" t="n"/>
      <c r="D311" s="28" t="n"/>
      <c r="E311" s="29">
        <f>IF(M303=1,SUM(E304:E310),"")</f>
        <v/>
      </c>
      <c r="F311" s="29">
        <f>IF(M303=1,SUM(F304:F310),"")</f>
        <v/>
      </c>
      <c r="G311" s="29">
        <f>IF(M303=1,SUM(G304:G310),"")</f>
        <v/>
      </c>
      <c r="H311" s="30">
        <f>IF(M303=1,SUM(H304:H310),"")</f>
        <v/>
      </c>
      <c r="I311" s="28" t="n"/>
    </row>
    <row r="312" ht="32" customHeight="1">
      <c r="A312" s="28">
        <f>IF(M303=1,"ساعات تحميل الجبسمبورد بهالأسبوع (رقم: 2 أو 1.5) ←","")</f>
        <v/>
      </c>
      <c r="E312" s="31" t="n"/>
      <c r="F312" s="32">
        <f>IF(M303=1,"المستحق النهائي للأسبوع (دينار) ←","")</f>
        <v/>
      </c>
      <c r="H312" s="33">
        <f>IF(M303=1,IF(ROUND_MODE="للأعلى",CEILING(ROUND((N(H311)+N(E312)*($P$303-$N$303)),3),0.25),ROUND((N(H311)+N(E312)*($P$303-$N$303))*4,0)/4),"")</f>
        <v/>
      </c>
      <c r="I312" s="34">
        <f>IF(M303=1,"قبل الجبر: "&amp;TEXT(N(H311)+N(E312)*($P$303-$N$303),"0.000"),"")</f>
        <v/>
      </c>
    </row>
    <row r="313" ht="26" customHeight="1">
      <c r="A313" s="28">
        <f>IF(M303=1,"إكرامية الأسبوع (دينار) ←","")</f>
        <v/>
      </c>
      <c r="D313" s="35" t="n"/>
      <c r="E313" s="28">
        <f>IF(M303=1,"المدفوع يوم الجمعة (دينار) ←","")</f>
        <v/>
      </c>
      <c r="G313" s="35" t="n"/>
      <c r="H313" s="36">
        <f>IF(M303=1,IF(N(G313)&gt;0,"✔ انقبض — الأسبوع مقفول","⏳ لسا ما انقبض"),"")</f>
        <v/>
      </c>
    </row>
    <row r="314" ht="26" customHeight="1">
      <c r="A314" s="18">
        <f>IF(29&lt;=NW,"الأسبوع 29 · السبت "&amp;TEXT(DAY(SAT1+196),"00")&amp;"/"&amp;TEXT(MONTH(SAT1+196),"00")&amp;" ← الجمعة "&amp;TEXT(DAY(SAT1+202),"00")&amp;"/"&amp;TEXT(MONTH(SAT1+202),"00")&amp;" (يوم القبض)"&amp;IF(29&lt;START_O,"   — قبل أسبوع البداية (ما بينحسب)",""),"ما في أسبوع 29 هالسنة")</f>
        <v/>
      </c>
      <c r="L314" s="19">
        <f>IF(29&lt;=NW,SAT1+202,"")</f>
        <v/>
      </c>
      <c r="M314">
        <f>IF(AND(29&lt;=NW,29&gt;=START_O),1,0)</f>
        <v/>
      </c>
      <c r="N314">
        <f>IFERROR(INDEX(RT_OMR,MATCH(L314,RT_K,1)),INDEX(RT_OMR,1))</f>
        <v/>
      </c>
      <c r="O314">
        <f>IFERROR(INDEX(RT_OT,MATCH(L314,RT_K,1)),INDEX(RT_OT,1))</f>
        <v/>
      </c>
      <c r="P314">
        <f>IFERROR(INDEX(RT_GYP,MATCH(L314,RT_K,1)),INDEX(RT_GYP,1))</f>
        <v/>
      </c>
    </row>
    <row r="315">
      <c r="A315" s="20">
        <f>IF(29&lt;=NW,SAT1+196,"")</f>
        <v/>
      </c>
      <c r="B315" s="21">
        <f>IF(A315="","",CHOOSE(WEEKDAY(A315,1),"الأحد","الاثنين","الثلاثاء","الأربعاء","الخميس","الجمعة","السبت"))</f>
        <v/>
      </c>
      <c r="C315" s="22" t="n"/>
      <c r="D315" s="22" t="n"/>
      <c r="E315" s="23">
        <f>IF(OR(M315=0,K315="",L315=""),"",MOD(L315-K315,1))</f>
        <v/>
      </c>
      <c r="F315" s="23">
        <f>IF(OR(E315="",M315=0),"",IF(WEEKDAY(A315,1)=6,E315,MIN(E315,MAX(0,MIN(IF(L315&lt;K315,L315+1,L315),OMR_OT_AT)-K315))))</f>
        <v/>
      </c>
      <c r="G315" s="23">
        <f>IF(OR(E315="",M315=0),"",MAX(0,E315-F315))</f>
        <v/>
      </c>
      <c r="H315" s="24">
        <f>IF(OR(E315="",M315=0),"",ROUND((F315*$N$314+G315*$O$314)*24,3))</f>
        <v/>
      </c>
      <c r="I315" s="22" t="n"/>
      <c r="K315" s="25">
        <f>IF(OR(M315=0,C315=""),"",IF(ISNUMBER(C315),MOD(C315,1),IFERROR(INDEX('القوائم'!$B$1:$B$288,MATCH(TRIM(C315),'القوائم'!$A$1:$A$288,0)),IFERROR(MOD(TIMEVALUE(C315),1),""))))</f>
        <v/>
      </c>
      <c r="L315" s="25">
        <f>IF(OR(M315=0,D315=""),"",IF(ISNUMBER(D315),MOD(D315,1),IFERROR(INDEX('القوائم'!$B$1:$B$288,MATCH(TRIM(D315),'القوائم'!$A$1:$A$288,0)),IFERROR(MOD(TIMEVALUE(D315),1),""))))</f>
        <v/>
      </c>
      <c r="M315">
        <f>M314</f>
        <v/>
      </c>
      <c r="Q315">
        <f>IF(N(G324)&gt;0,1,0)</f>
        <v/>
      </c>
    </row>
    <row r="316">
      <c r="A316" s="20">
        <f>IF(29&lt;=NW,SAT1+197,"")</f>
        <v/>
      </c>
      <c r="B316" s="21">
        <f>IF(A316="","",CHOOSE(WEEKDAY(A316,1),"الأحد","الاثنين","الثلاثاء","الأربعاء","الخميس","الجمعة","السبت"))</f>
        <v/>
      </c>
      <c r="C316" s="22" t="n"/>
      <c r="D316" s="22" t="n"/>
      <c r="E316" s="23">
        <f>IF(OR(M316=0,K316="",L316=""),"",MOD(L316-K316,1))</f>
        <v/>
      </c>
      <c r="F316" s="23">
        <f>IF(OR(E316="",M316=0),"",IF(WEEKDAY(A316,1)=6,E316,MIN(E316,MAX(0,MIN(IF(L316&lt;K316,L316+1,L316),OMR_OT_AT)-K316))))</f>
        <v/>
      </c>
      <c r="G316" s="23">
        <f>IF(OR(E316="",M316=0),"",MAX(0,E316-F316))</f>
        <v/>
      </c>
      <c r="H316" s="24">
        <f>IF(OR(E316="",M316=0),"",ROUND((F316*$N$314+G316*$O$314)*24,3))</f>
        <v/>
      </c>
      <c r="I316" s="22" t="n"/>
      <c r="K316" s="25">
        <f>IF(OR(M316=0,C316=""),"",IF(ISNUMBER(C316),MOD(C316,1),IFERROR(INDEX('القوائم'!$B$1:$B$288,MATCH(TRIM(C316),'القوائم'!$A$1:$A$288,0)),IFERROR(MOD(TIMEVALUE(C316),1),""))))</f>
        <v/>
      </c>
      <c r="L316" s="25">
        <f>IF(OR(M316=0,D316=""),"",IF(ISNUMBER(D316),MOD(D316,1),IFERROR(INDEX('القوائم'!$B$1:$B$288,MATCH(TRIM(D316),'القوائم'!$A$1:$A$288,0)),IFERROR(MOD(TIMEVALUE(D316),1),""))))</f>
        <v/>
      </c>
      <c r="M316">
        <f>M314</f>
        <v/>
      </c>
      <c r="Q316">
        <f>IF(N(G324)&gt;0,1,0)</f>
        <v/>
      </c>
    </row>
    <row r="317">
      <c r="A317" s="20">
        <f>IF(29&lt;=NW,SAT1+198,"")</f>
        <v/>
      </c>
      <c r="B317" s="21">
        <f>IF(A317="","",CHOOSE(WEEKDAY(A317,1),"الأحد","الاثنين","الثلاثاء","الأربعاء","الخميس","الجمعة","السبت"))</f>
        <v/>
      </c>
      <c r="C317" s="22" t="n"/>
      <c r="D317" s="22" t="n"/>
      <c r="E317" s="23">
        <f>IF(OR(M317=0,K317="",L317=""),"",MOD(L317-K317,1))</f>
        <v/>
      </c>
      <c r="F317" s="23">
        <f>IF(OR(E317="",M317=0),"",IF(WEEKDAY(A317,1)=6,E317,MIN(E317,MAX(0,MIN(IF(L317&lt;K317,L317+1,L317),OMR_OT_AT)-K317))))</f>
        <v/>
      </c>
      <c r="G317" s="23">
        <f>IF(OR(E317="",M317=0),"",MAX(0,E317-F317))</f>
        <v/>
      </c>
      <c r="H317" s="24">
        <f>IF(OR(E317="",M317=0),"",ROUND((F317*$N$314+G317*$O$314)*24,3))</f>
        <v/>
      </c>
      <c r="I317" s="22" t="n"/>
      <c r="K317" s="25">
        <f>IF(OR(M317=0,C317=""),"",IF(ISNUMBER(C317),MOD(C317,1),IFERROR(INDEX('القوائم'!$B$1:$B$288,MATCH(TRIM(C317),'القوائم'!$A$1:$A$288,0)),IFERROR(MOD(TIMEVALUE(C317),1),""))))</f>
        <v/>
      </c>
      <c r="L317" s="25">
        <f>IF(OR(M317=0,D317=""),"",IF(ISNUMBER(D317),MOD(D317,1),IFERROR(INDEX('القوائم'!$B$1:$B$288,MATCH(TRIM(D317),'القوائم'!$A$1:$A$288,0)),IFERROR(MOD(TIMEVALUE(D317),1),""))))</f>
        <v/>
      </c>
      <c r="M317">
        <f>M314</f>
        <v/>
      </c>
      <c r="Q317">
        <f>IF(N(G324)&gt;0,1,0)</f>
        <v/>
      </c>
    </row>
    <row r="318">
      <c r="A318" s="20">
        <f>IF(29&lt;=NW,SAT1+199,"")</f>
        <v/>
      </c>
      <c r="B318" s="21">
        <f>IF(A318="","",CHOOSE(WEEKDAY(A318,1),"الأحد","الاثنين","الثلاثاء","الأربعاء","الخميس","الجمعة","السبت"))</f>
        <v/>
      </c>
      <c r="C318" s="22" t="n"/>
      <c r="D318" s="22" t="n"/>
      <c r="E318" s="23">
        <f>IF(OR(M318=0,K318="",L318=""),"",MOD(L318-K318,1))</f>
        <v/>
      </c>
      <c r="F318" s="23">
        <f>IF(OR(E318="",M318=0),"",IF(WEEKDAY(A318,1)=6,E318,MIN(E318,MAX(0,MIN(IF(L318&lt;K318,L318+1,L318),OMR_OT_AT)-K318))))</f>
        <v/>
      </c>
      <c r="G318" s="23">
        <f>IF(OR(E318="",M318=0),"",MAX(0,E318-F318))</f>
        <v/>
      </c>
      <c r="H318" s="24">
        <f>IF(OR(E318="",M318=0),"",ROUND((F318*$N$314+G318*$O$314)*24,3))</f>
        <v/>
      </c>
      <c r="I318" s="22" t="n"/>
      <c r="K318" s="25">
        <f>IF(OR(M318=0,C318=""),"",IF(ISNUMBER(C318),MOD(C318,1),IFERROR(INDEX('القوائم'!$B$1:$B$288,MATCH(TRIM(C318),'القوائم'!$A$1:$A$288,0)),IFERROR(MOD(TIMEVALUE(C318),1),""))))</f>
        <v/>
      </c>
      <c r="L318" s="25">
        <f>IF(OR(M318=0,D318=""),"",IF(ISNUMBER(D318),MOD(D318,1),IFERROR(INDEX('القوائم'!$B$1:$B$288,MATCH(TRIM(D318),'القوائم'!$A$1:$A$288,0)),IFERROR(MOD(TIMEVALUE(D318),1),""))))</f>
        <v/>
      </c>
      <c r="M318">
        <f>M314</f>
        <v/>
      </c>
      <c r="Q318">
        <f>IF(N(G324)&gt;0,1,0)</f>
        <v/>
      </c>
    </row>
    <row r="319">
      <c r="A319" s="20">
        <f>IF(29&lt;=NW,SAT1+200,"")</f>
        <v/>
      </c>
      <c r="B319" s="21">
        <f>IF(A319="","",CHOOSE(WEEKDAY(A319,1),"الأحد","الاثنين","الثلاثاء","الأربعاء","الخميس","الجمعة","السبت"))</f>
        <v/>
      </c>
      <c r="C319" s="22" t="n"/>
      <c r="D319" s="22" t="n"/>
      <c r="E319" s="23">
        <f>IF(OR(M319=0,K319="",L319=""),"",MOD(L319-K319,1))</f>
        <v/>
      </c>
      <c r="F319" s="23">
        <f>IF(OR(E319="",M319=0),"",IF(WEEKDAY(A319,1)=6,E319,MIN(E319,MAX(0,MIN(IF(L319&lt;K319,L319+1,L319),OMR_OT_AT)-K319))))</f>
        <v/>
      </c>
      <c r="G319" s="23">
        <f>IF(OR(E319="",M319=0),"",MAX(0,E319-F319))</f>
        <v/>
      </c>
      <c r="H319" s="24">
        <f>IF(OR(E319="",M319=0),"",ROUND((F319*$N$314+G319*$O$314)*24,3))</f>
        <v/>
      </c>
      <c r="I319" s="22" t="n"/>
      <c r="K319" s="25">
        <f>IF(OR(M319=0,C319=""),"",IF(ISNUMBER(C319),MOD(C319,1),IFERROR(INDEX('القوائم'!$B$1:$B$288,MATCH(TRIM(C319),'القوائم'!$A$1:$A$288,0)),IFERROR(MOD(TIMEVALUE(C319),1),""))))</f>
        <v/>
      </c>
      <c r="L319" s="25">
        <f>IF(OR(M319=0,D319=""),"",IF(ISNUMBER(D319),MOD(D319,1),IFERROR(INDEX('القوائم'!$B$1:$B$288,MATCH(TRIM(D319),'القوائم'!$A$1:$A$288,0)),IFERROR(MOD(TIMEVALUE(D319),1),""))))</f>
        <v/>
      </c>
      <c r="M319">
        <f>M314</f>
        <v/>
      </c>
      <c r="Q319">
        <f>IF(N(G324)&gt;0,1,0)</f>
        <v/>
      </c>
    </row>
    <row r="320">
      <c r="A320" s="20">
        <f>IF(29&lt;=NW,SAT1+201,"")</f>
        <v/>
      </c>
      <c r="B320" s="21">
        <f>IF(A320="","",CHOOSE(WEEKDAY(A320,1),"الأحد","الاثنين","الثلاثاء","الأربعاء","الخميس","الجمعة","السبت"))</f>
        <v/>
      </c>
      <c r="C320" s="22" t="n"/>
      <c r="D320" s="22" t="n"/>
      <c r="E320" s="23">
        <f>IF(OR(M320=0,K320="",L320=""),"",MOD(L320-K320,1))</f>
        <v/>
      </c>
      <c r="F320" s="23">
        <f>IF(OR(E320="",M320=0),"",IF(WEEKDAY(A320,1)=6,E320,MIN(E320,MAX(0,MIN(IF(L320&lt;K320,L320+1,L320),OMR_OT_AT)-K320))))</f>
        <v/>
      </c>
      <c r="G320" s="23">
        <f>IF(OR(E320="",M320=0),"",MAX(0,E320-F320))</f>
        <v/>
      </c>
      <c r="H320" s="24">
        <f>IF(OR(E320="",M320=0),"",ROUND((F320*$N$314+G320*$O$314)*24,3))</f>
        <v/>
      </c>
      <c r="I320" s="22" t="n"/>
      <c r="K320" s="25">
        <f>IF(OR(M320=0,C320=""),"",IF(ISNUMBER(C320),MOD(C320,1),IFERROR(INDEX('القوائم'!$B$1:$B$288,MATCH(TRIM(C320),'القوائم'!$A$1:$A$288,0)),IFERROR(MOD(TIMEVALUE(C320),1),""))))</f>
        <v/>
      </c>
      <c r="L320" s="25">
        <f>IF(OR(M320=0,D320=""),"",IF(ISNUMBER(D320),MOD(D320,1),IFERROR(INDEX('القوائم'!$B$1:$B$288,MATCH(TRIM(D320),'القوائم'!$A$1:$A$288,0)),IFERROR(MOD(TIMEVALUE(D320),1),""))))</f>
        <v/>
      </c>
      <c r="M320">
        <f>M314</f>
        <v/>
      </c>
      <c r="Q320">
        <f>IF(N(G324)&gt;0,1,0)</f>
        <v/>
      </c>
    </row>
    <row r="321">
      <c r="A321" s="26">
        <f>IF(29&lt;=NW,SAT1+202,"")</f>
        <v/>
      </c>
      <c r="B321" s="27">
        <f>IF(A321="","",CHOOSE(WEEKDAY(A321,1),"الأحد","الاثنين","الثلاثاء","الأربعاء","الخميس","الجمعة","السبت"))</f>
        <v/>
      </c>
      <c r="C321" s="22" t="n"/>
      <c r="D321" s="22" t="n"/>
      <c r="E321" s="23">
        <f>IF(OR(M321=0,K321="",L321=""),"",MOD(L321-K321,1))</f>
        <v/>
      </c>
      <c r="F321" s="23">
        <f>IF(OR(E321="",M321=0),"",IF(WEEKDAY(A321,1)=6,E321,MIN(E321,MAX(0,MIN(IF(L321&lt;K321,L321+1,L321),OMR_OT_AT)-K321))))</f>
        <v/>
      </c>
      <c r="G321" s="23">
        <f>IF(OR(E321="",M321=0),"",MAX(0,E321-F321))</f>
        <v/>
      </c>
      <c r="H321" s="24">
        <f>IF(OR(E321="",M321=0),"",ROUND((F321*$N$314+G321*$O$314)*24,3))</f>
        <v/>
      </c>
      <c r="I321" s="22" t="n"/>
      <c r="K321" s="25">
        <f>IF(OR(M321=0,C321=""),"",IF(ISNUMBER(C321),MOD(C321,1),IFERROR(INDEX('القوائم'!$B$1:$B$288,MATCH(TRIM(C321),'القوائم'!$A$1:$A$288,0)),IFERROR(MOD(TIMEVALUE(C321),1),""))))</f>
        <v/>
      </c>
      <c r="L321" s="25">
        <f>IF(OR(M321=0,D321=""),"",IF(ISNUMBER(D321),MOD(D321,1),IFERROR(INDEX('القوائم'!$B$1:$B$288,MATCH(TRIM(D321),'القوائم'!$A$1:$A$288,0)),IFERROR(MOD(TIMEVALUE(D321),1),""))))</f>
        <v/>
      </c>
      <c r="M321">
        <f>M314</f>
        <v/>
      </c>
      <c r="Q321">
        <f>IF(N(G324)&gt;0,1,0)</f>
        <v/>
      </c>
    </row>
    <row r="322">
      <c r="A322" s="28">
        <f>IF(M314=1,"مجموع أيام الأسبوع 29","")</f>
        <v/>
      </c>
      <c r="B322" s="28" t="n"/>
      <c r="C322" s="28" t="n"/>
      <c r="D322" s="28" t="n"/>
      <c r="E322" s="29">
        <f>IF(M314=1,SUM(E315:E321),"")</f>
        <v/>
      </c>
      <c r="F322" s="29">
        <f>IF(M314=1,SUM(F315:F321),"")</f>
        <v/>
      </c>
      <c r="G322" s="29">
        <f>IF(M314=1,SUM(G315:G321),"")</f>
        <v/>
      </c>
      <c r="H322" s="30">
        <f>IF(M314=1,SUM(H315:H321),"")</f>
        <v/>
      </c>
      <c r="I322" s="28" t="n"/>
    </row>
    <row r="323" ht="32" customHeight="1">
      <c r="A323" s="28">
        <f>IF(M314=1,"ساعات تحميل الجبسمبورد بهالأسبوع (رقم: 2 أو 1.5) ←","")</f>
        <v/>
      </c>
      <c r="E323" s="31" t="n"/>
      <c r="F323" s="32">
        <f>IF(M314=1,"المستحق النهائي للأسبوع (دينار) ←","")</f>
        <v/>
      </c>
      <c r="H323" s="33">
        <f>IF(M314=1,IF(ROUND_MODE="للأعلى",CEILING(ROUND((N(H322)+N(E323)*($P$314-$N$314)),3),0.25),ROUND((N(H322)+N(E323)*($P$314-$N$314))*4,0)/4),"")</f>
        <v/>
      </c>
      <c r="I323" s="34">
        <f>IF(M314=1,"قبل الجبر: "&amp;TEXT(N(H322)+N(E323)*($P$314-$N$314),"0.000"),"")</f>
        <v/>
      </c>
    </row>
    <row r="324" ht="26" customHeight="1">
      <c r="A324" s="28">
        <f>IF(M314=1,"إكرامية الأسبوع (دينار) ←","")</f>
        <v/>
      </c>
      <c r="D324" s="35" t="n"/>
      <c r="E324" s="28">
        <f>IF(M314=1,"المدفوع يوم الجمعة (دينار) ←","")</f>
        <v/>
      </c>
      <c r="G324" s="35" t="n"/>
      <c r="H324" s="36">
        <f>IF(M314=1,IF(N(G324)&gt;0,"✔ انقبض — الأسبوع مقفول","⏳ لسا ما انقبض"),"")</f>
        <v/>
      </c>
    </row>
    <row r="325" ht="26" customHeight="1">
      <c r="A325" s="18">
        <f>IF(30&lt;=NW,"الأسبوع 30 · السبت "&amp;TEXT(DAY(SAT1+203),"00")&amp;"/"&amp;TEXT(MONTH(SAT1+203),"00")&amp;" ← الجمعة "&amp;TEXT(DAY(SAT1+209),"00")&amp;"/"&amp;TEXT(MONTH(SAT1+209),"00")&amp;" (يوم القبض)"&amp;IF(30&lt;START_O,"   — قبل أسبوع البداية (ما بينحسب)",""),"ما في أسبوع 30 هالسنة")</f>
        <v/>
      </c>
      <c r="L325" s="19">
        <f>IF(30&lt;=NW,SAT1+209,"")</f>
        <v/>
      </c>
      <c r="M325">
        <f>IF(AND(30&lt;=NW,30&gt;=START_O),1,0)</f>
        <v/>
      </c>
      <c r="N325">
        <f>IFERROR(INDEX(RT_OMR,MATCH(L325,RT_K,1)),INDEX(RT_OMR,1))</f>
        <v/>
      </c>
      <c r="O325">
        <f>IFERROR(INDEX(RT_OT,MATCH(L325,RT_K,1)),INDEX(RT_OT,1))</f>
        <v/>
      </c>
      <c r="P325">
        <f>IFERROR(INDEX(RT_GYP,MATCH(L325,RT_K,1)),INDEX(RT_GYP,1))</f>
        <v/>
      </c>
    </row>
    <row r="326">
      <c r="A326" s="20">
        <f>IF(30&lt;=NW,SAT1+203,"")</f>
        <v/>
      </c>
      <c r="B326" s="21">
        <f>IF(A326="","",CHOOSE(WEEKDAY(A326,1),"الأحد","الاثنين","الثلاثاء","الأربعاء","الخميس","الجمعة","السبت"))</f>
        <v/>
      </c>
      <c r="C326" s="22" t="n"/>
      <c r="D326" s="22" t="n"/>
      <c r="E326" s="23">
        <f>IF(OR(M326=0,K326="",L326=""),"",MOD(L326-K326,1))</f>
        <v/>
      </c>
      <c r="F326" s="23">
        <f>IF(OR(E326="",M326=0),"",IF(WEEKDAY(A326,1)=6,E326,MIN(E326,MAX(0,MIN(IF(L326&lt;K326,L326+1,L326),OMR_OT_AT)-K326))))</f>
        <v/>
      </c>
      <c r="G326" s="23">
        <f>IF(OR(E326="",M326=0),"",MAX(0,E326-F326))</f>
        <v/>
      </c>
      <c r="H326" s="24">
        <f>IF(OR(E326="",M326=0),"",ROUND((F326*$N$325+G326*$O$325)*24,3))</f>
        <v/>
      </c>
      <c r="I326" s="22" t="n"/>
      <c r="K326" s="25">
        <f>IF(OR(M326=0,C326=""),"",IF(ISNUMBER(C326),MOD(C326,1),IFERROR(INDEX('القوائم'!$B$1:$B$288,MATCH(TRIM(C326),'القوائم'!$A$1:$A$288,0)),IFERROR(MOD(TIMEVALUE(C326),1),""))))</f>
        <v/>
      </c>
      <c r="L326" s="25">
        <f>IF(OR(M326=0,D326=""),"",IF(ISNUMBER(D326),MOD(D326,1),IFERROR(INDEX('القوائم'!$B$1:$B$288,MATCH(TRIM(D326),'القوائم'!$A$1:$A$288,0)),IFERROR(MOD(TIMEVALUE(D326),1),""))))</f>
        <v/>
      </c>
      <c r="M326">
        <f>M325</f>
        <v/>
      </c>
      <c r="Q326">
        <f>IF(N(G335)&gt;0,1,0)</f>
        <v/>
      </c>
    </row>
    <row r="327">
      <c r="A327" s="20">
        <f>IF(30&lt;=NW,SAT1+204,"")</f>
        <v/>
      </c>
      <c r="B327" s="21">
        <f>IF(A327="","",CHOOSE(WEEKDAY(A327,1),"الأحد","الاثنين","الثلاثاء","الأربعاء","الخميس","الجمعة","السبت"))</f>
        <v/>
      </c>
      <c r="C327" s="22" t="n"/>
      <c r="D327" s="22" t="n"/>
      <c r="E327" s="23">
        <f>IF(OR(M327=0,K327="",L327=""),"",MOD(L327-K327,1))</f>
        <v/>
      </c>
      <c r="F327" s="23">
        <f>IF(OR(E327="",M327=0),"",IF(WEEKDAY(A327,1)=6,E327,MIN(E327,MAX(0,MIN(IF(L327&lt;K327,L327+1,L327),OMR_OT_AT)-K327))))</f>
        <v/>
      </c>
      <c r="G327" s="23">
        <f>IF(OR(E327="",M327=0),"",MAX(0,E327-F327))</f>
        <v/>
      </c>
      <c r="H327" s="24">
        <f>IF(OR(E327="",M327=0),"",ROUND((F327*$N$325+G327*$O$325)*24,3))</f>
        <v/>
      </c>
      <c r="I327" s="22" t="n"/>
      <c r="K327" s="25">
        <f>IF(OR(M327=0,C327=""),"",IF(ISNUMBER(C327),MOD(C327,1),IFERROR(INDEX('القوائم'!$B$1:$B$288,MATCH(TRIM(C327),'القوائم'!$A$1:$A$288,0)),IFERROR(MOD(TIMEVALUE(C327),1),""))))</f>
        <v/>
      </c>
      <c r="L327" s="25">
        <f>IF(OR(M327=0,D327=""),"",IF(ISNUMBER(D327),MOD(D327,1),IFERROR(INDEX('القوائم'!$B$1:$B$288,MATCH(TRIM(D327),'القوائم'!$A$1:$A$288,0)),IFERROR(MOD(TIMEVALUE(D327),1),""))))</f>
        <v/>
      </c>
      <c r="M327">
        <f>M325</f>
        <v/>
      </c>
      <c r="Q327">
        <f>IF(N(G335)&gt;0,1,0)</f>
        <v/>
      </c>
    </row>
    <row r="328">
      <c r="A328" s="20">
        <f>IF(30&lt;=NW,SAT1+205,"")</f>
        <v/>
      </c>
      <c r="B328" s="21">
        <f>IF(A328="","",CHOOSE(WEEKDAY(A328,1),"الأحد","الاثنين","الثلاثاء","الأربعاء","الخميس","الجمعة","السبت"))</f>
        <v/>
      </c>
      <c r="C328" s="22" t="n"/>
      <c r="D328" s="22" t="n"/>
      <c r="E328" s="23">
        <f>IF(OR(M328=0,K328="",L328=""),"",MOD(L328-K328,1))</f>
        <v/>
      </c>
      <c r="F328" s="23">
        <f>IF(OR(E328="",M328=0),"",IF(WEEKDAY(A328,1)=6,E328,MIN(E328,MAX(0,MIN(IF(L328&lt;K328,L328+1,L328),OMR_OT_AT)-K328))))</f>
        <v/>
      </c>
      <c r="G328" s="23">
        <f>IF(OR(E328="",M328=0),"",MAX(0,E328-F328))</f>
        <v/>
      </c>
      <c r="H328" s="24">
        <f>IF(OR(E328="",M328=0),"",ROUND((F328*$N$325+G328*$O$325)*24,3))</f>
        <v/>
      </c>
      <c r="I328" s="22" t="n"/>
      <c r="K328" s="25">
        <f>IF(OR(M328=0,C328=""),"",IF(ISNUMBER(C328),MOD(C328,1),IFERROR(INDEX('القوائم'!$B$1:$B$288,MATCH(TRIM(C328),'القوائم'!$A$1:$A$288,0)),IFERROR(MOD(TIMEVALUE(C328),1),""))))</f>
        <v/>
      </c>
      <c r="L328" s="25">
        <f>IF(OR(M328=0,D328=""),"",IF(ISNUMBER(D328),MOD(D328,1),IFERROR(INDEX('القوائم'!$B$1:$B$288,MATCH(TRIM(D328),'القوائم'!$A$1:$A$288,0)),IFERROR(MOD(TIMEVALUE(D328),1),""))))</f>
        <v/>
      </c>
      <c r="M328">
        <f>M325</f>
        <v/>
      </c>
      <c r="Q328">
        <f>IF(N(G335)&gt;0,1,0)</f>
        <v/>
      </c>
    </row>
    <row r="329">
      <c r="A329" s="20">
        <f>IF(30&lt;=NW,SAT1+206,"")</f>
        <v/>
      </c>
      <c r="B329" s="21">
        <f>IF(A329="","",CHOOSE(WEEKDAY(A329,1),"الأحد","الاثنين","الثلاثاء","الأربعاء","الخميس","الجمعة","السبت"))</f>
        <v/>
      </c>
      <c r="C329" s="22" t="n"/>
      <c r="D329" s="22" t="n"/>
      <c r="E329" s="23">
        <f>IF(OR(M329=0,K329="",L329=""),"",MOD(L329-K329,1))</f>
        <v/>
      </c>
      <c r="F329" s="23">
        <f>IF(OR(E329="",M329=0),"",IF(WEEKDAY(A329,1)=6,E329,MIN(E329,MAX(0,MIN(IF(L329&lt;K329,L329+1,L329),OMR_OT_AT)-K329))))</f>
        <v/>
      </c>
      <c r="G329" s="23">
        <f>IF(OR(E329="",M329=0),"",MAX(0,E329-F329))</f>
        <v/>
      </c>
      <c r="H329" s="24">
        <f>IF(OR(E329="",M329=0),"",ROUND((F329*$N$325+G329*$O$325)*24,3))</f>
        <v/>
      </c>
      <c r="I329" s="22" t="n"/>
      <c r="K329" s="25">
        <f>IF(OR(M329=0,C329=""),"",IF(ISNUMBER(C329),MOD(C329,1),IFERROR(INDEX('القوائم'!$B$1:$B$288,MATCH(TRIM(C329),'القوائم'!$A$1:$A$288,0)),IFERROR(MOD(TIMEVALUE(C329),1),""))))</f>
        <v/>
      </c>
      <c r="L329" s="25">
        <f>IF(OR(M329=0,D329=""),"",IF(ISNUMBER(D329),MOD(D329,1),IFERROR(INDEX('القوائم'!$B$1:$B$288,MATCH(TRIM(D329),'القوائم'!$A$1:$A$288,0)),IFERROR(MOD(TIMEVALUE(D329),1),""))))</f>
        <v/>
      </c>
      <c r="M329">
        <f>M325</f>
        <v/>
      </c>
      <c r="Q329">
        <f>IF(N(G335)&gt;0,1,0)</f>
        <v/>
      </c>
    </row>
    <row r="330">
      <c r="A330" s="20">
        <f>IF(30&lt;=NW,SAT1+207,"")</f>
        <v/>
      </c>
      <c r="B330" s="21">
        <f>IF(A330="","",CHOOSE(WEEKDAY(A330,1),"الأحد","الاثنين","الثلاثاء","الأربعاء","الخميس","الجمعة","السبت"))</f>
        <v/>
      </c>
      <c r="C330" s="22" t="n"/>
      <c r="D330" s="22" t="n"/>
      <c r="E330" s="23">
        <f>IF(OR(M330=0,K330="",L330=""),"",MOD(L330-K330,1))</f>
        <v/>
      </c>
      <c r="F330" s="23">
        <f>IF(OR(E330="",M330=0),"",IF(WEEKDAY(A330,1)=6,E330,MIN(E330,MAX(0,MIN(IF(L330&lt;K330,L330+1,L330),OMR_OT_AT)-K330))))</f>
        <v/>
      </c>
      <c r="G330" s="23">
        <f>IF(OR(E330="",M330=0),"",MAX(0,E330-F330))</f>
        <v/>
      </c>
      <c r="H330" s="24">
        <f>IF(OR(E330="",M330=0),"",ROUND((F330*$N$325+G330*$O$325)*24,3))</f>
        <v/>
      </c>
      <c r="I330" s="22" t="n"/>
      <c r="K330" s="25">
        <f>IF(OR(M330=0,C330=""),"",IF(ISNUMBER(C330),MOD(C330,1),IFERROR(INDEX('القوائم'!$B$1:$B$288,MATCH(TRIM(C330),'القوائم'!$A$1:$A$288,0)),IFERROR(MOD(TIMEVALUE(C330),1),""))))</f>
        <v/>
      </c>
      <c r="L330" s="25">
        <f>IF(OR(M330=0,D330=""),"",IF(ISNUMBER(D330),MOD(D330,1),IFERROR(INDEX('القوائم'!$B$1:$B$288,MATCH(TRIM(D330),'القوائم'!$A$1:$A$288,0)),IFERROR(MOD(TIMEVALUE(D330),1),""))))</f>
        <v/>
      </c>
      <c r="M330">
        <f>M325</f>
        <v/>
      </c>
      <c r="Q330">
        <f>IF(N(G335)&gt;0,1,0)</f>
        <v/>
      </c>
    </row>
    <row r="331">
      <c r="A331" s="20">
        <f>IF(30&lt;=NW,SAT1+208,"")</f>
        <v/>
      </c>
      <c r="B331" s="21">
        <f>IF(A331="","",CHOOSE(WEEKDAY(A331,1),"الأحد","الاثنين","الثلاثاء","الأربعاء","الخميس","الجمعة","السبت"))</f>
        <v/>
      </c>
      <c r="C331" s="22" t="n"/>
      <c r="D331" s="22" t="n"/>
      <c r="E331" s="23">
        <f>IF(OR(M331=0,K331="",L331=""),"",MOD(L331-K331,1))</f>
        <v/>
      </c>
      <c r="F331" s="23">
        <f>IF(OR(E331="",M331=0),"",IF(WEEKDAY(A331,1)=6,E331,MIN(E331,MAX(0,MIN(IF(L331&lt;K331,L331+1,L331),OMR_OT_AT)-K331))))</f>
        <v/>
      </c>
      <c r="G331" s="23">
        <f>IF(OR(E331="",M331=0),"",MAX(0,E331-F331))</f>
        <v/>
      </c>
      <c r="H331" s="24">
        <f>IF(OR(E331="",M331=0),"",ROUND((F331*$N$325+G331*$O$325)*24,3))</f>
        <v/>
      </c>
      <c r="I331" s="22" t="n"/>
      <c r="K331" s="25">
        <f>IF(OR(M331=0,C331=""),"",IF(ISNUMBER(C331),MOD(C331,1),IFERROR(INDEX('القوائم'!$B$1:$B$288,MATCH(TRIM(C331),'القوائم'!$A$1:$A$288,0)),IFERROR(MOD(TIMEVALUE(C331),1),""))))</f>
        <v/>
      </c>
      <c r="L331" s="25">
        <f>IF(OR(M331=0,D331=""),"",IF(ISNUMBER(D331),MOD(D331,1),IFERROR(INDEX('القوائم'!$B$1:$B$288,MATCH(TRIM(D331),'القوائم'!$A$1:$A$288,0)),IFERROR(MOD(TIMEVALUE(D331),1),""))))</f>
        <v/>
      </c>
      <c r="M331">
        <f>M325</f>
        <v/>
      </c>
      <c r="Q331">
        <f>IF(N(G335)&gt;0,1,0)</f>
        <v/>
      </c>
    </row>
    <row r="332">
      <c r="A332" s="26">
        <f>IF(30&lt;=NW,SAT1+209,"")</f>
        <v/>
      </c>
      <c r="B332" s="27">
        <f>IF(A332="","",CHOOSE(WEEKDAY(A332,1),"الأحد","الاثنين","الثلاثاء","الأربعاء","الخميس","الجمعة","السبت"))</f>
        <v/>
      </c>
      <c r="C332" s="22" t="n"/>
      <c r="D332" s="22" t="n"/>
      <c r="E332" s="23">
        <f>IF(OR(M332=0,K332="",L332=""),"",MOD(L332-K332,1))</f>
        <v/>
      </c>
      <c r="F332" s="23">
        <f>IF(OR(E332="",M332=0),"",IF(WEEKDAY(A332,1)=6,E332,MIN(E332,MAX(0,MIN(IF(L332&lt;K332,L332+1,L332),OMR_OT_AT)-K332))))</f>
        <v/>
      </c>
      <c r="G332" s="23">
        <f>IF(OR(E332="",M332=0),"",MAX(0,E332-F332))</f>
        <v/>
      </c>
      <c r="H332" s="24">
        <f>IF(OR(E332="",M332=0),"",ROUND((F332*$N$325+G332*$O$325)*24,3))</f>
        <v/>
      </c>
      <c r="I332" s="22" t="n"/>
      <c r="K332" s="25">
        <f>IF(OR(M332=0,C332=""),"",IF(ISNUMBER(C332),MOD(C332,1),IFERROR(INDEX('القوائم'!$B$1:$B$288,MATCH(TRIM(C332),'القوائم'!$A$1:$A$288,0)),IFERROR(MOD(TIMEVALUE(C332),1),""))))</f>
        <v/>
      </c>
      <c r="L332" s="25">
        <f>IF(OR(M332=0,D332=""),"",IF(ISNUMBER(D332),MOD(D332,1),IFERROR(INDEX('القوائم'!$B$1:$B$288,MATCH(TRIM(D332),'القوائم'!$A$1:$A$288,0)),IFERROR(MOD(TIMEVALUE(D332),1),""))))</f>
        <v/>
      </c>
      <c r="M332">
        <f>M325</f>
        <v/>
      </c>
      <c r="Q332">
        <f>IF(N(G335)&gt;0,1,0)</f>
        <v/>
      </c>
    </row>
    <row r="333">
      <c r="A333" s="28">
        <f>IF(M325=1,"مجموع أيام الأسبوع 30","")</f>
        <v/>
      </c>
      <c r="B333" s="28" t="n"/>
      <c r="C333" s="28" t="n"/>
      <c r="D333" s="28" t="n"/>
      <c r="E333" s="29">
        <f>IF(M325=1,SUM(E326:E332),"")</f>
        <v/>
      </c>
      <c r="F333" s="29">
        <f>IF(M325=1,SUM(F326:F332),"")</f>
        <v/>
      </c>
      <c r="G333" s="29">
        <f>IF(M325=1,SUM(G326:G332),"")</f>
        <v/>
      </c>
      <c r="H333" s="30">
        <f>IF(M325=1,SUM(H326:H332),"")</f>
        <v/>
      </c>
      <c r="I333" s="28" t="n"/>
    </row>
    <row r="334" ht="32" customHeight="1">
      <c r="A334" s="28">
        <f>IF(M325=1,"ساعات تحميل الجبسمبورد بهالأسبوع (رقم: 2 أو 1.5) ←","")</f>
        <v/>
      </c>
      <c r="E334" s="31" t="n"/>
      <c r="F334" s="32">
        <f>IF(M325=1,"المستحق النهائي للأسبوع (دينار) ←","")</f>
        <v/>
      </c>
      <c r="H334" s="33">
        <f>IF(M325=1,IF(ROUND_MODE="للأعلى",CEILING(ROUND((N(H333)+N(E334)*($P$325-$N$325)),3),0.25),ROUND((N(H333)+N(E334)*($P$325-$N$325))*4,0)/4),"")</f>
        <v/>
      </c>
      <c r="I334" s="34">
        <f>IF(M325=1,"قبل الجبر: "&amp;TEXT(N(H333)+N(E334)*($P$325-$N$325),"0.000"),"")</f>
        <v/>
      </c>
    </row>
    <row r="335" ht="26" customHeight="1">
      <c r="A335" s="28">
        <f>IF(M325=1,"إكرامية الأسبوع (دينار) ←","")</f>
        <v/>
      </c>
      <c r="D335" s="35" t="n"/>
      <c r="E335" s="28">
        <f>IF(M325=1,"المدفوع يوم الجمعة (دينار) ←","")</f>
        <v/>
      </c>
      <c r="G335" s="35" t="n"/>
      <c r="H335" s="36">
        <f>IF(M325=1,IF(N(G335)&gt;0,"✔ انقبض — الأسبوع مقفول","⏳ لسا ما انقبض"),"")</f>
        <v/>
      </c>
    </row>
    <row r="336" ht="26" customHeight="1">
      <c r="A336" s="18">
        <f>IF(31&lt;=NW,"الأسبوع 31 · السبت "&amp;TEXT(DAY(SAT1+210),"00")&amp;"/"&amp;TEXT(MONTH(SAT1+210),"00")&amp;" ← الجمعة "&amp;TEXT(DAY(SAT1+216),"00")&amp;"/"&amp;TEXT(MONTH(SAT1+216),"00")&amp;" (يوم القبض)"&amp;IF(31&lt;START_O,"   — قبل أسبوع البداية (ما بينحسب)",""),"ما في أسبوع 31 هالسنة")</f>
        <v/>
      </c>
      <c r="L336" s="19">
        <f>IF(31&lt;=NW,SAT1+216,"")</f>
        <v/>
      </c>
      <c r="M336">
        <f>IF(AND(31&lt;=NW,31&gt;=START_O),1,0)</f>
        <v/>
      </c>
      <c r="N336">
        <f>IFERROR(INDEX(RT_OMR,MATCH(L336,RT_K,1)),INDEX(RT_OMR,1))</f>
        <v/>
      </c>
      <c r="O336">
        <f>IFERROR(INDEX(RT_OT,MATCH(L336,RT_K,1)),INDEX(RT_OT,1))</f>
        <v/>
      </c>
      <c r="P336">
        <f>IFERROR(INDEX(RT_GYP,MATCH(L336,RT_K,1)),INDEX(RT_GYP,1))</f>
        <v/>
      </c>
    </row>
    <row r="337">
      <c r="A337" s="20">
        <f>IF(31&lt;=NW,SAT1+210,"")</f>
        <v/>
      </c>
      <c r="B337" s="21">
        <f>IF(A337="","",CHOOSE(WEEKDAY(A337,1),"الأحد","الاثنين","الثلاثاء","الأربعاء","الخميس","الجمعة","السبت"))</f>
        <v/>
      </c>
      <c r="C337" s="22" t="n"/>
      <c r="D337" s="22" t="n"/>
      <c r="E337" s="23">
        <f>IF(OR(M337=0,K337="",L337=""),"",MOD(L337-K337,1))</f>
        <v/>
      </c>
      <c r="F337" s="23">
        <f>IF(OR(E337="",M337=0),"",IF(WEEKDAY(A337,1)=6,E337,MIN(E337,MAX(0,MIN(IF(L337&lt;K337,L337+1,L337),OMR_OT_AT)-K337))))</f>
        <v/>
      </c>
      <c r="G337" s="23">
        <f>IF(OR(E337="",M337=0),"",MAX(0,E337-F337))</f>
        <v/>
      </c>
      <c r="H337" s="24">
        <f>IF(OR(E337="",M337=0),"",ROUND((F337*$N$336+G337*$O$336)*24,3))</f>
        <v/>
      </c>
      <c r="I337" s="22" t="n"/>
      <c r="K337" s="25">
        <f>IF(OR(M337=0,C337=""),"",IF(ISNUMBER(C337),MOD(C337,1),IFERROR(INDEX('القوائم'!$B$1:$B$288,MATCH(TRIM(C337),'القوائم'!$A$1:$A$288,0)),IFERROR(MOD(TIMEVALUE(C337),1),""))))</f>
        <v/>
      </c>
      <c r="L337" s="25">
        <f>IF(OR(M337=0,D337=""),"",IF(ISNUMBER(D337),MOD(D337,1),IFERROR(INDEX('القوائم'!$B$1:$B$288,MATCH(TRIM(D337),'القوائم'!$A$1:$A$288,0)),IFERROR(MOD(TIMEVALUE(D337),1),""))))</f>
        <v/>
      </c>
      <c r="M337">
        <f>M336</f>
        <v/>
      </c>
      <c r="Q337">
        <f>IF(N(G346)&gt;0,1,0)</f>
        <v/>
      </c>
    </row>
    <row r="338">
      <c r="A338" s="20">
        <f>IF(31&lt;=NW,SAT1+211,"")</f>
        <v/>
      </c>
      <c r="B338" s="21">
        <f>IF(A338="","",CHOOSE(WEEKDAY(A338,1),"الأحد","الاثنين","الثلاثاء","الأربعاء","الخميس","الجمعة","السبت"))</f>
        <v/>
      </c>
      <c r="C338" s="22" t="n"/>
      <c r="D338" s="22" t="n"/>
      <c r="E338" s="23">
        <f>IF(OR(M338=0,K338="",L338=""),"",MOD(L338-K338,1))</f>
        <v/>
      </c>
      <c r="F338" s="23">
        <f>IF(OR(E338="",M338=0),"",IF(WEEKDAY(A338,1)=6,E338,MIN(E338,MAX(0,MIN(IF(L338&lt;K338,L338+1,L338),OMR_OT_AT)-K338))))</f>
        <v/>
      </c>
      <c r="G338" s="23">
        <f>IF(OR(E338="",M338=0),"",MAX(0,E338-F338))</f>
        <v/>
      </c>
      <c r="H338" s="24">
        <f>IF(OR(E338="",M338=0),"",ROUND((F338*$N$336+G338*$O$336)*24,3))</f>
        <v/>
      </c>
      <c r="I338" s="22" t="n"/>
      <c r="K338" s="25">
        <f>IF(OR(M338=0,C338=""),"",IF(ISNUMBER(C338),MOD(C338,1),IFERROR(INDEX('القوائم'!$B$1:$B$288,MATCH(TRIM(C338),'القوائم'!$A$1:$A$288,0)),IFERROR(MOD(TIMEVALUE(C338),1),""))))</f>
        <v/>
      </c>
      <c r="L338" s="25">
        <f>IF(OR(M338=0,D338=""),"",IF(ISNUMBER(D338),MOD(D338,1),IFERROR(INDEX('القوائم'!$B$1:$B$288,MATCH(TRIM(D338),'القوائم'!$A$1:$A$288,0)),IFERROR(MOD(TIMEVALUE(D338),1),""))))</f>
        <v/>
      </c>
      <c r="M338">
        <f>M336</f>
        <v/>
      </c>
      <c r="Q338">
        <f>IF(N(G346)&gt;0,1,0)</f>
        <v/>
      </c>
    </row>
    <row r="339">
      <c r="A339" s="20">
        <f>IF(31&lt;=NW,SAT1+212,"")</f>
        <v/>
      </c>
      <c r="B339" s="21">
        <f>IF(A339="","",CHOOSE(WEEKDAY(A339,1),"الأحد","الاثنين","الثلاثاء","الأربعاء","الخميس","الجمعة","السبت"))</f>
        <v/>
      </c>
      <c r="C339" s="22" t="n"/>
      <c r="D339" s="22" t="n"/>
      <c r="E339" s="23">
        <f>IF(OR(M339=0,K339="",L339=""),"",MOD(L339-K339,1))</f>
        <v/>
      </c>
      <c r="F339" s="23">
        <f>IF(OR(E339="",M339=0),"",IF(WEEKDAY(A339,1)=6,E339,MIN(E339,MAX(0,MIN(IF(L339&lt;K339,L339+1,L339),OMR_OT_AT)-K339))))</f>
        <v/>
      </c>
      <c r="G339" s="23">
        <f>IF(OR(E339="",M339=0),"",MAX(0,E339-F339))</f>
        <v/>
      </c>
      <c r="H339" s="24">
        <f>IF(OR(E339="",M339=0),"",ROUND((F339*$N$336+G339*$O$336)*24,3))</f>
        <v/>
      </c>
      <c r="I339" s="22" t="n"/>
      <c r="K339" s="25">
        <f>IF(OR(M339=0,C339=""),"",IF(ISNUMBER(C339),MOD(C339,1),IFERROR(INDEX('القوائم'!$B$1:$B$288,MATCH(TRIM(C339),'القوائم'!$A$1:$A$288,0)),IFERROR(MOD(TIMEVALUE(C339),1),""))))</f>
        <v/>
      </c>
      <c r="L339" s="25">
        <f>IF(OR(M339=0,D339=""),"",IF(ISNUMBER(D339),MOD(D339,1),IFERROR(INDEX('القوائم'!$B$1:$B$288,MATCH(TRIM(D339),'القوائم'!$A$1:$A$288,0)),IFERROR(MOD(TIMEVALUE(D339),1),""))))</f>
        <v/>
      </c>
      <c r="M339">
        <f>M336</f>
        <v/>
      </c>
      <c r="Q339">
        <f>IF(N(G346)&gt;0,1,0)</f>
        <v/>
      </c>
    </row>
    <row r="340">
      <c r="A340" s="20">
        <f>IF(31&lt;=NW,SAT1+213,"")</f>
        <v/>
      </c>
      <c r="B340" s="21">
        <f>IF(A340="","",CHOOSE(WEEKDAY(A340,1),"الأحد","الاثنين","الثلاثاء","الأربعاء","الخميس","الجمعة","السبت"))</f>
        <v/>
      </c>
      <c r="C340" s="22" t="n"/>
      <c r="D340" s="22" t="n"/>
      <c r="E340" s="23">
        <f>IF(OR(M340=0,K340="",L340=""),"",MOD(L340-K340,1))</f>
        <v/>
      </c>
      <c r="F340" s="23">
        <f>IF(OR(E340="",M340=0),"",IF(WEEKDAY(A340,1)=6,E340,MIN(E340,MAX(0,MIN(IF(L340&lt;K340,L340+1,L340),OMR_OT_AT)-K340))))</f>
        <v/>
      </c>
      <c r="G340" s="23">
        <f>IF(OR(E340="",M340=0),"",MAX(0,E340-F340))</f>
        <v/>
      </c>
      <c r="H340" s="24">
        <f>IF(OR(E340="",M340=0),"",ROUND((F340*$N$336+G340*$O$336)*24,3))</f>
        <v/>
      </c>
      <c r="I340" s="22" t="n"/>
      <c r="K340" s="25">
        <f>IF(OR(M340=0,C340=""),"",IF(ISNUMBER(C340),MOD(C340,1),IFERROR(INDEX('القوائم'!$B$1:$B$288,MATCH(TRIM(C340),'القوائم'!$A$1:$A$288,0)),IFERROR(MOD(TIMEVALUE(C340),1),""))))</f>
        <v/>
      </c>
      <c r="L340" s="25">
        <f>IF(OR(M340=0,D340=""),"",IF(ISNUMBER(D340),MOD(D340,1),IFERROR(INDEX('القوائم'!$B$1:$B$288,MATCH(TRIM(D340),'القوائم'!$A$1:$A$288,0)),IFERROR(MOD(TIMEVALUE(D340),1),""))))</f>
        <v/>
      </c>
      <c r="M340">
        <f>M336</f>
        <v/>
      </c>
      <c r="Q340">
        <f>IF(N(G346)&gt;0,1,0)</f>
        <v/>
      </c>
    </row>
    <row r="341">
      <c r="A341" s="20">
        <f>IF(31&lt;=NW,SAT1+214,"")</f>
        <v/>
      </c>
      <c r="B341" s="21">
        <f>IF(A341="","",CHOOSE(WEEKDAY(A341,1),"الأحد","الاثنين","الثلاثاء","الأربعاء","الخميس","الجمعة","السبت"))</f>
        <v/>
      </c>
      <c r="C341" s="22" t="n"/>
      <c r="D341" s="22" t="n"/>
      <c r="E341" s="23">
        <f>IF(OR(M341=0,K341="",L341=""),"",MOD(L341-K341,1))</f>
        <v/>
      </c>
      <c r="F341" s="23">
        <f>IF(OR(E341="",M341=0),"",IF(WEEKDAY(A341,1)=6,E341,MIN(E341,MAX(0,MIN(IF(L341&lt;K341,L341+1,L341),OMR_OT_AT)-K341))))</f>
        <v/>
      </c>
      <c r="G341" s="23">
        <f>IF(OR(E341="",M341=0),"",MAX(0,E341-F341))</f>
        <v/>
      </c>
      <c r="H341" s="24">
        <f>IF(OR(E341="",M341=0),"",ROUND((F341*$N$336+G341*$O$336)*24,3))</f>
        <v/>
      </c>
      <c r="I341" s="22" t="n"/>
      <c r="K341" s="25">
        <f>IF(OR(M341=0,C341=""),"",IF(ISNUMBER(C341),MOD(C341,1),IFERROR(INDEX('القوائم'!$B$1:$B$288,MATCH(TRIM(C341),'القوائم'!$A$1:$A$288,0)),IFERROR(MOD(TIMEVALUE(C341),1),""))))</f>
        <v/>
      </c>
      <c r="L341" s="25">
        <f>IF(OR(M341=0,D341=""),"",IF(ISNUMBER(D341),MOD(D341,1),IFERROR(INDEX('القوائم'!$B$1:$B$288,MATCH(TRIM(D341),'القوائم'!$A$1:$A$288,0)),IFERROR(MOD(TIMEVALUE(D341),1),""))))</f>
        <v/>
      </c>
      <c r="M341">
        <f>M336</f>
        <v/>
      </c>
      <c r="Q341">
        <f>IF(N(G346)&gt;0,1,0)</f>
        <v/>
      </c>
    </row>
    <row r="342">
      <c r="A342" s="20">
        <f>IF(31&lt;=NW,SAT1+215,"")</f>
        <v/>
      </c>
      <c r="B342" s="21">
        <f>IF(A342="","",CHOOSE(WEEKDAY(A342,1),"الأحد","الاثنين","الثلاثاء","الأربعاء","الخميس","الجمعة","السبت"))</f>
        <v/>
      </c>
      <c r="C342" s="22" t="n"/>
      <c r="D342" s="22" t="n"/>
      <c r="E342" s="23">
        <f>IF(OR(M342=0,K342="",L342=""),"",MOD(L342-K342,1))</f>
        <v/>
      </c>
      <c r="F342" s="23">
        <f>IF(OR(E342="",M342=0),"",IF(WEEKDAY(A342,1)=6,E342,MIN(E342,MAX(0,MIN(IF(L342&lt;K342,L342+1,L342),OMR_OT_AT)-K342))))</f>
        <v/>
      </c>
      <c r="G342" s="23">
        <f>IF(OR(E342="",M342=0),"",MAX(0,E342-F342))</f>
        <v/>
      </c>
      <c r="H342" s="24">
        <f>IF(OR(E342="",M342=0),"",ROUND((F342*$N$336+G342*$O$336)*24,3))</f>
        <v/>
      </c>
      <c r="I342" s="22" t="n"/>
      <c r="K342" s="25">
        <f>IF(OR(M342=0,C342=""),"",IF(ISNUMBER(C342),MOD(C342,1),IFERROR(INDEX('القوائم'!$B$1:$B$288,MATCH(TRIM(C342),'القوائم'!$A$1:$A$288,0)),IFERROR(MOD(TIMEVALUE(C342),1),""))))</f>
        <v/>
      </c>
      <c r="L342" s="25">
        <f>IF(OR(M342=0,D342=""),"",IF(ISNUMBER(D342),MOD(D342,1),IFERROR(INDEX('القوائم'!$B$1:$B$288,MATCH(TRIM(D342),'القوائم'!$A$1:$A$288,0)),IFERROR(MOD(TIMEVALUE(D342),1),""))))</f>
        <v/>
      </c>
      <c r="M342">
        <f>M336</f>
        <v/>
      </c>
      <c r="Q342">
        <f>IF(N(G346)&gt;0,1,0)</f>
        <v/>
      </c>
    </row>
    <row r="343">
      <c r="A343" s="26">
        <f>IF(31&lt;=NW,SAT1+216,"")</f>
        <v/>
      </c>
      <c r="B343" s="27">
        <f>IF(A343="","",CHOOSE(WEEKDAY(A343,1),"الأحد","الاثنين","الثلاثاء","الأربعاء","الخميس","الجمعة","السبت"))</f>
        <v/>
      </c>
      <c r="C343" s="22" t="n"/>
      <c r="D343" s="22" t="n"/>
      <c r="E343" s="23">
        <f>IF(OR(M343=0,K343="",L343=""),"",MOD(L343-K343,1))</f>
        <v/>
      </c>
      <c r="F343" s="23">
        <f>IF(OR(E343="",M343=0),"",IF(WEEKDAY(A343,1)=6,E343,MIN(E343,MAX(0,MIN(IF(L343&lt;K343,L343+1,L343),OMR_OT_AT)-K343))))</f>
        <v/>
      </c>
      <c r="G343" s="23">
        <f>IF(OR(E343="",M343=0),"",MAX(0,E343-F343))</f>
        <v/>
      </c>
      <c r="H343" s="24">
        <f>IF(OR(E343="",M343=0),"",ROUND((F343*$N$336+G343*$O$336)*24,3))</f>
        <v/>
      </c>
      <c r="I343" s="22" t="n"/>
      <c r="K343" s="25">
        <f>IF(OR(M343=0,C343=""),"",IF(ISNUMBER(C343),MOD(C343,1),IFERROR(INDEX('القوائم'!$B$1:$B$288,MATCH(TRIM(C343),'القوائم'!$A$1:$A$288,0)),IFERROR(MOD(TIMEVALUE(C343),1),""))))</f>
        <v/>
      </c>
      <c r="L343" s="25">
        <f>IF(OR(M343=0,D343=""),"",IF(ISNUMBER(D343),MOD(D343,1),IFERROR(INDEX('القوائم'!$B$1:$B$288,MATCH(TRIM(D343),'القوائم'!$A$1:$A$288,0)),IFERROR(MOD(TIMEVALUE(D343),1),""))))</f>
        <v/>
      </c>
      <c r="M343">
        <f>M336</f>
        <v/>
      </c>
      <c r="Q343">
        <f>IF(N(G346)&gt;0,1,0)</f>
        <v/>
      </c>
    </row>
    <row r="344">
      <c r="A344" s="28">
        <f>IF(M336=1,"مجموع أيام الأسبوع 31","")</f>
        <v/>
      </c>
      <c r="B344" s="28" t="n"/>
      <c r="C344" s="28" t="n"/>
      <c r="D344" s="28" t="n"/>
      <c r="E344" s="29">
        <f>IF(M336=1,SUM(E337:E343),"")</f>
        <v/>
      </c>
      <c r="F344" s="29">
        <f>IF(M336=1,SUM(F337:F343),"")</f>
        <v/>
      </c>
      <c r="G344" s="29">
        <f>IF(M336=1,SUM(G337:G343),"")</f>
        <v/>
      </c>
      <c r="H344" s="30">
        <f>IF(M336=1,SUM(H337:H343),"")</f>
        <v/>
      </c>
      <c r="I344" s="28" t="n"/>
    </row>
    <row r="345" ht="32" customHeight="1">
      <c r="A345" s="28">
        <f>IF(M336=1,"ساعات تحميل الجبسمبورد بهالأسبوع (رقم: 2 أو 1.5) ←","")</f>
        <v/>
      </c>
      <c r="E345" s="31" t="n"/>
      <c r="F345" s="32">
        <f>IF(M336=1,"المستحق النهائي للأسبوع (دينار) ←","")</f>
        <v/>
      </c>
      <c r="H345" s="33">
        <f>IF(M336=1,IF(ROUND_MODE="للأعلى",CEILING(ROUND((N(H344)+N(E345)*($P$336-$N$336)),3),0.25),ROUND((N(H344)+N(E345)*($P$336-$N$336))*4,0)/4),"")</f>
        <v/>
      </c>
      <c r="I345" s="34">
        <f>IF(M336=1,"قبل الجبر: "&amp;TEXT(N(H344)+N(E345)*($P$336-$N$336),"0.000"),"")</f>
        <v/>
      </c>
    </row>
    <row r="346" ht="26" customHeight="1">
      <c r="A346" s="28">
        <f>IF(M336=1,"إكرامية الأسبوع (دينار) ←","")</f>
        <v/>
      </c>
      <c r="D346" s="35" t="n"/>
      <c r="E346" s="28">
        <f>IF(M336=1,"المدفوع يوم الجمعة (دينار) ←","")</f>
        <v/>
      </c>
      <c r="G346" s="35" t="n"/>
      <c r="H346" s="36">
        <f>IF(M336=1,IF(N(G346)&gt;0,"✔ انقبض — الأسبوع مقفول","⏳ لسا ما انقبض"),"")</f>
        <v/>
      </c>
    </row>
    <row r="347" ht="26" customHeight="1">
      <c r="A347" s="18">
        <f>IF(32&lt;=NW,"الأسبوع 32 · السبت "&amp;TEXT(DAY(SAT1+217),"00")&amp;"/"&amp;TEXT(MONTH(SAT1+217),"00")&amp;" ← الجمعة "&amp;TEXT(DAY(SAT1+223),"00")&amp;"/"&amp;TEXT(MONTH(SAT1+223),"00")&amp;" (يوم القبض)"&amp;IF(32&lt;START_O,"   — قبل أسبوع البداية (ما بينحسب)",""),"ما في أسبوع 32 هالسنة")</f>
        <v/>
      </c>
      <c r="L347" s="19">
        <f>IF(32&lt;=NW,SAT1+223,"")</f>
        <v/>
      </c>
      <c r="M347">
        <f>IF(AND(32&lt;=NW,32&gt;=START_O),1,0)</f>
        <v/>
      </c>
      <c r="N347">
        <f>IFERROR(INDEX(RT_OMR,MATCH(L347,RT_K,1)),INDEX(RT_OMR,1))</f>
        <v/>
      </c>
      <c r="O347">
        <f>IFERROR(INDEX(RT_OT,MATCH(L347,RT_K,1)),INDEX(RT_OT,1))</f>
        <v/>
      </c>
      <c r="P347">
        <f>IFERROR(INDEX(RT_GYP,MATCH(L347,RT_K,1)),INDEX(RT_GYP,1))</f>
        <v/>
      </c>
    </row>
    <row r="348">
      <c r="A348" s="20">
        <f>IF(32&lt;=NW,SAT1+217,"")</f>
        <v/>
      </c>
      <c r="B348" s="21">
        <f>IF(A348="","",CHOOSE(WEEKDAY(A348,1),"الأحد","الاثنين","الثلاثاء","الأربعاء","الخميس","الجمعة","السبت"))</f>
        <v/>
      </c>
      <c r="C348" s="22" t="n"/>
      <c r="D348" s="22" t="n"/>
      <c r="E348" s="23">
        <f>IF(OR(M348=0,K348="",L348=""),"",MOD(L348-K348,1))</f>
        <v/>
      </c>
      <c r="F348" s="23">
        <f>IF(OR(E348="",M348=0),"",IF(WEEKDAY(A348,1)=6,E348,MIN(E348,MAX(0,MIN(IF(L348&lt;K348,L348+1,L348),OMR_OT_AT)-K348))))</f>
        <v/>
      </c>
      <c r="G348" s="23">
        <f>IF(OR(E348="",M348=0),"",MAX(0,E348-F348))</f>
        <v/>
      </c>
      <c r="H348" s="24">
        <f>IF(OR(E348="",M348=0),"",ROUND((F348*$N$347+G348*$O$347)*24,3))</f>
        <v/>
      </c>
      <c r="I348" s="22" t="n"/>
      <c r="K348" s="25">
        <f>IF(OR(M348=0,C348=""),"",IF(ISNUMBER(C348),MOD(C348,1),IFERROR(INDEX('القوائم'!$B$1:$B$288,MATCH(TRIM(C348),'القوائم'!$A$1:$A$288,0)),IFERROR(MOD(TIMEVALUE(C348),1),""))))</f>
        <v/>
      </c>
      <c r="L348" s="25">
        <f>IF(OR(M348=0,D348=""),"",IF(ISNUMBER(D348),MOD(D348,1),IFERROR(INDEX('القوائم'!$B$1:$B$288,MATCH(TRIM(D348),'القوائم'!$A$1:$A$288,0)),IFERROR(MOD(TIMEVALUE(D348),1),""))))</f>
        <v/>
      </c>
      <c r="M348">
        <f>M347</f>
        <v/>
      </c>
      <c r="Q348">
        <f>IF(N(G357)&gt;0,1,0)</f>
        <v/>
      </c>
    </row>
    <row r="349">
      <c r="A349" s="20">
        <f>IF(32&lt;=NW,SAT1+218,"")</f>
        <v/>
      </c>
      <c r="B349" s="21">
        <f>IF(A349="","",CHOOSE(WEEKDAY(A349,1),"الأحد","الاثنين","الثلاثاء","الأربعاء","الخميس","الجمعة","السبت"))</f>
        <v/>
      </c>
      <c r="C349" s="22" t="n"/>
      <c r="D349" s="22" t="n"/>
      <c r="E349" s="23">
        <f>IF(OR(M349=0,K349="",L349=""),"",MOD(L349-K349,1))</f>
        <v/>
      </c>
      <c r="F349" s="23">
        <f>IF(OR(E349="",M349=0),"",IF(WEEKDAY(A349,1)=6,E349,MIN(E349,MAX(0,MIN(IF(L349&lt;K349,L349+1,L349),OMR_OT_AT)-K349))))</f>
        <v/>
      </c>
      <c r="G349" s="23">
        <f>IF(OR(E349="",M349=0),"",MAX(0,E349-F349))</f>
        <v/>
      </c>
      <c r="H349" s="24">
        <f>IF(OR(E349="",M349=0),"",ROUND((F349*$N$347+G349*$O$347)*24,3))</f>
        <v/>
      </c>
      <c r="I349" s="22" t="n"/>
      <c r="K349" s="25">
        <f>IF(OR(M349=0,C349=""),"",IF(ISNUMBER(C349),MOD(C349,1),IFERROR(INDEX('القوائم'!$B$1:$B$288,MATCH(TRIM(C349),'القوائم'!$A$1:$A$288,0)),IFERROR(MOD(TIMEVALUE(C349),1),""))))</f>
        <v/>
      </c>
      <c r="L349" s="25">
        <f>IF(OR(M349=0,D349=""),"",IF(ISNUMBER(D349),MOD(D349,1),IFERROR(INDEX('القوائم'!$B$1:$B$288,MATCH(TRIM(D349),'القوائم'!$A$1:$A$288,0)),IFERROR(MOD(TIMEVALUE(D349),1),""))))</f>
        <v/>
      </c>
      <c r="M349">
        <f>M347</f>
        <v/>
      </c>
      <c r="Q349">
        <f>IF(N(G357)&gt;0,1,0)</f>
        <v/>
      </c>
    </row>
    <row r="350">
      <c r="A350" s="20">
        <f>IF(32&lt;=NW,SAT1+219,"")</f>
        <v/>
      </c>
      <c r="B350" s="21">
        <f>IF(A350="","",CHOOSE(WEEKDAY(A350,1),"الأحد","الاثنين","الثلاثاء","الأربعاء","الخميس","الجمعة","السبت"))</f>
        <v/>
      </c>
      <c r="C350" s="22" t="n"/>
      <c r="D350" s="22" t="n"/>
      <c r="E350" s="23">
        <f>IF(OR(M350=0,K350="",L350=""),"",MOD(L350-K350,1))</f>
        <v/>
      </c>
      <c r="F350" s="23">
        <f>IF(OR(E350="",M350=0),"",IF(WEEKDAY(A350,1)=6,E350,MIN(E350,MAX(0,MIN(IF(L350&lt;K350,L350+1,L350),OMR_OT_AT)-K350))))</f>
        <v/>
      </c>
      <c r="G350" s="23">
        <f>IF(OR(E350="",M350=0),"",MAX(0,E350-F350))</f>
        <v/>
      </c>
      <c r="H350" s="24">
        <f>IF(OR(E350="",M350=0),"",ROUND((F350*$N$347+G350*$O$347)*24,3))</f>
        <v/>
      </c>
      <c r="I350" s="22" t="n"/>
      <c r="K350" s="25">
        <f>IF(OR(M350=0,C350=""),"",IF(ISNUMBER(C350),MOD(C350,1),IFERROR(INDEX('القوائم'!$B$1:$B$288,MATCH(TRIM(C350),'القوائم'!$A$1:$A$288,0)),IFERROR(MOD(TIMEVALUE(C350),1),""))))</f>
        <v/>
      </c>
      <c r="L350" s="25">
        <f>IF(OR(M350=0,D350=""),"",IF(ISNUMBER(D350),MOD(D350,1),IFERROR(INDEX('القوائم'!$B$1:$B$288,MATCH(TRIM(D350),'القوائم'!$A$1:$A$288,0)),IFERROR(MOD(TIMEVALUE(D350),1),""))))</f>
        <v/>
      </c>
      <c r="M350">
        <f>M347</f>
        <v/>
      </c>
      <c r="Q350">
        <f>IF(N(G357)&gt;0,1,0)</f>
        <v/>
      </c>
    </row>
    <row r="351">
      <c r="A351" s="20">
        <f>IF(32&lt;=NW,SAT1+220,"")</f>
        <v/>
      </c>
      <c r="B351" s="21">
        <f>IF(A351="","",CHOOSE(WEEKDAY(A351,1),"الأحد","الاثنين","الثلاثاء","الأربعاء","الخميس","الجمعة","السبت"))</f>
        <v/>
      </c>
      <c r="C351" s="22" t="n"/>
      <c r="D351" s="22" t="n"/>
      <c r="E351" s="23">
        <f>IF(OR(M351=0,K351="",L351=""),"",MOD(L351-K351,1))</f>
        <v/>
      </c>
      <c r="F351" s="23">
        <f>IF(OR(E351="",M351=0),"",IF(WEEKDAY(A351,1)=6,E351,MIN(E351,MAX(0,MIN(IF(L351&lt;K351,L351+1,L351),OMR_OT_AT)-K351))))</f>
        <v/>
      </c>
      <c r="G351" s="23">
        <f>IF(OR(E351="",M351=0),"",MAX(0,E351-F351))</f>
        <v/>
      </c>
      <c r="H351" s="24">
        <f>IF(OR(E351="",M351=0),"",ROUND((F351*$N$347+G351*$O$347)*24,3))</f>
        <v/>
      </c>
      <c r="I351" s="22" t="n"/>
      <c r="K351" s="25">
        <f>IF(OR(M351=0,C351=""),"",IF(ISNUMBER(C351),MOD(C351,1),IFERROR(INDEX('القوائم'!$B$1:$B$288,MATCH(TRIM(C351),'القوائم'!$A$1:$A$288,0)),IFERROR(MOD(TIMEVALUE(C351),1),""))))</f>
        <v/>
      </c>
      <c r="L351" s="25">
        <f>IF(OR(M351=0,D351=""),"",IF(ISNUMBER(D351),MOD(D351,1),IFERROR(INDEX('القوائم'!$B$1:$B$288,MATCH(TRIM(D351),'القوائم'!$A$1:$A$288,0)),IFERROR(MOD(TIMEVALUE(D351),1),""))))</f>
        <v/>
      </c>
      <c r="M351">
        <f>M347</f>
        <v/>
      </c>
      <c r="Q351">
        <f>IF(N(G357)&gt;0,1,0)</f>
        <v/>
      </c>
    </row>
    <row r="352">
      <c r="A352" s="20">
        <f>IF(32&lt;=NW,SAT1+221,"")</f>
        <v/>
      </c>
      <c r="B352" s="21">
        <f>IF(A352="","",CHOOSE(WEEKDAY(A352,1),"الأحد","الاثنين","الثلاثاء","الأربعاء","الخميس","الجمعة","السبت"))</f>
        <v/>
      </c>
      <c r="C352" s="22" t="n"/>
      <c r="D352" s="22" t="n"/>
      <c r="E352" s="23">
        <f>IF(OR(M352=0,K352="",L352=""),"",MOD(L352-K352,1))</f>
        <v/>
      </c>
      <c r="F352" s="23">
        <f>IF(OR(E352="",M352=0),"",IF(WEEKDAY(A352,1)=6,E352,MIN(E352,MAX(0,MIN(IF(L352&lt;K352,L352+1,L352),OMR_OT_AT)-K352))))</f>
        <v/>
      </c>
      <c r="G352" s="23">
        <f>IF(OR(E352="",M352=0),"",MAX(0,E352-F352))</f>
        <v/>
      </c>
      <c r="H352" s="24">
        <f>IF(OR(E352="",M352=0),"",ROUND((F352*$N$347+G352*$O$347)*24,3))</f>
        <v/>
      </c>
      <c r="I352" s="22" t="n"/>
      <c r="K352" s="25">
        <f>IF(OR(M352=0,C352=""),"",IF(ISNUMBER(C352),MOD(C352,1),IFERROR(INDEX('القوائم'!$B$1:$B$288,MATCH(TRIM(C352),'القوائم'!$A$1:$A$288,0)),IFERROR(MOD(TIMEVALUE(C352),1),""))))</f>
        <v/>
      </c>
      <c r="L352" s="25">
        <f>IF(OR(M352=0,D352=""),"",IF(ISNUMBER(D352),MOD(D352,1),IFERROR(INDEX('القوائم'!$B$1:$B$288,MATCH(TRIM(D352),'القوائم'!$A$1:$A$288,0)),IFERROR(MOD(TIMEVALUE(D352),1),""))))</f>
        <v/>
      </c>
      <c r="M352">
        <f>M347</f>
        <v/>
      </c>
      <c r="Q352">
        <f>IF(N(G357)&gt;0,1,0)</f>
        <v/>
      </c>
    </row>
    <row r="353">
      <c r="A353" s="20">
        <f>IF(32&lt;=NW,SAT1+222,"")</f>
        <v/>
      </c>
      <c r="B353" s="21">
        <f>IF(A353="","",CHOOSE(WEEKDAY(A353,1),"الأحد","الاثنين","الثلاثاء","الأربعاء","الخميس","الجمعة","السبت"))</f>
        <v/>
      </c>
      <c r="C353" s="22" t="n"/>
      <c r="D353" s="22" t="n"/>
      <c r="E353" s="23">
        <f>IF(OR(M353=0,K353="",L353=""),"",MOD(L353-K353,1))</f>
        <v/>
      </c>
      <c r="F353" s="23">
        <f>IF(OR(E353="",M353=0),"",IF(WEEKDAY(A353,1)=6,E353,MIN(E353,MAX(0,MIN(IF(L353&lt;K353,L353+1,L353),OMR_OT_AT)-K353))))</f>
        <v/>
      </c>
      <c r="G353" s="23">
        <f>IF(OR(E353="",M353=0),"",MAX(0,E353-F353))</f>
        <v/>
      </c>
      <c r="H353" s="24">
        <f>IF(OR(E353="",M353=0),"",ROUND((F353*$N$347+G353*$O$347)*24,3))</f>
        <v/>
      </c>
      <c r="I353" s="22" t="n"/>
      <c r="K353" s="25">
        <f>IF(OR(M353=0,C353=""),"",IF(ISNUMBER(C353),MOD(C353,1),IFERROR(INDEX('القوائم'!$B$1:$B$288,MATCH(TRIM(C353),'القوائم'!$A$1:$A$288,0)),IFERROR(MOD(TIMEVALUE(C353),1),""))))</f>
        <v/>
      </c>
      <c r="L353" s="25">
        <f>IF(OR(M353=0,D353=""),"",IF(ISNUMBER(D353),MOD(D353,1),IFERROR(INDEX('القوائم'!$B$1:$B$288,MATCH(TRIM(D353),'القوائم'!$A$1:$A$288,0)),IFERROR(MOD(TIMEVALUE(D353),1),""))))</f>
        <v/>
      </c>
      <c r="M353">
        <f>M347</f>
        <v/>
      </c>
      <c r="Q353">
        <f>IF(N(G357)&gt;0,1,0)</f>
        <v/>
      </c>
    </row>
    <row r="354">
      <c r="A354" s="26">
        <f>IF(32&lt;=NW,SAT1+223,"")</f>
        <v/>
      </c>
      <c r="B354" s="27">
        <f>IF(A354="","",CHOOSE(WEEKDAY(A354,1),"الأحد","الاثنين","الثلاثاء","الأربعاء","الخميس","الجمعة","السبت"))</f>
        <v/>
      </c>
      <c r="C354" s="22" t="n"/>
      <c r="D354" s="22" t="n"/>
      <c r="E354" s="23">
        <f>IF(OR(M354=0,K354="",L354=""),"",MOD(L354-K354,1))</f>
        <v/>
      </c>
      <c r="F354" s="23">
        <f>IF(OR(E354="",M354=0),"",IF(WEEKDAY(A354,1)=6,E354,MIN(E354,MAX(0,MIN(IF(L354&lt;K354,L354+1,L354),OMR_OT_AT)-K354))))</f>
        <v/>
      </c>
      <c r="G354" s="23">
        <f>IF(OR(E354="",M354=0),"",MAX(0,E354-F354))</f>
        <v/>
      </c>
      <c r="H354" s="24">
        <f>IF(OR(E354="",M354=0),"",ROUND((F354*$N$347+G354*$O$347)*24,3))</f>
        <v/>
      </c>
      <c r="I354" s="22" t="n"/>
      <c r="K354" s="25">
        <f>IF(OR(M354=0,C354=""),"",IF(ISNUMBER(C354),MOD(C354,1),IFERROR(INDEX('القوائم'!$B$1:$B$288,MATCH(TRIM(C354),'القوائم'!$A$1:$A$288,0)),IFERROR(MOD(TIMEVALUE(C354),1),""))))</f>
        <v/>
      </c>
      <c r="L354" s="25">
        <f>IF(OR(M354=0,D354=""),"",IF(ISNUMBER(D354),MOD(D354,1),IFERROR(INDEX('القوائم'!$B$1:$B$288,MATCH(TRIM(D354),'القوائم'!$A$1:$A$288,0)),IFERROR(MOD(TIMEVALUE(D354),1),""))))</f>
        <v/>
      </c>
      <c r="M354">
        <f>M347</f>
        <v/>
      </c>
      <c r="Q354">
        <f>IF(N(G357)&gt;0,1,0)</f>
        <v/>
      </c>
    </row>
    <row r="355">
      <c r="A355" s="28">
        <f>IF(M347=1,"مجموع أيام الأسبوع 32","")</f>
        <v/>
      </c>
      <c r="B355" s="28" t="n"/>
      <c r="C355" s="28" t="n"/>
      <c r="D355" s="28" t="n"/>
      <c r="E355" s="29">
        <f>IF(M347=1,SUM(E348:E354),"")</f>
        <v/>
      </c>
      <c r="F355" s="29">
        <f>IF(M347=1,SUM(F348:F354),"")</f>
        <v/>
      </c>
      <c r="G355" s="29">
        <f>IF(M347=1,SUM(G348:G354),"")</f>
        <v/>
      </c>
      <c r="H355" s="30">
        <f>IF(M347=1,SUM(H348:H354),"")</f>
        <v/>
      </c>
      <c r="I355" s="28" t="n"/>
    </row>
    <row r="356" ht="32" customHeight="1">
      <c r="A356" s="28">
        <f>IF(M347=1,"ساعات تحميل الجبسمبورد بهالأسبوع (رقم: 2 أو 1.5) ←","")</f>
        <v/>
      </c>
      <c r="E356" s="31" t="n"/>
      <c r="F356" s="32">
        <f>IF(M347=1,"المستحق النهائي للأسبوع (دينار) ←","")</f>
        <v/>
      </c>
      <c r="H356" s="33">
        <f>IF(M347=1,IF(ROUND_MODE="للأعلى",CEILING(ROUND((N(H355)+N(E356)*($P$347-$N$347)),3),0.25),ROUND((N(H355)+N(E356)*($P$347-$N$347))*4,0)/4),"")</f>
        <v/>
      </c>
      <c r="I356" s="34">
        <f>IF(M347=1,"قبل الجبر: "&amp;TEXT(N(H355)+N(E356)*($P$347-$N$347),"0.000"),"")</f>
        <v/>
      </c>
    </row>
    <row r="357" ht="26" customHeight="1">
      <c r="A357" s="28">
        <f>IF(M347=1,"إكرامية الأسبوع (دينار) ←","")</f>
        <v/>
      </c>
      <c r="D357" s="35" t="n"/>
      <c r="E357" s="28">
        <f>IF(M347=1,"المدفوع يوم الجمعة (دينار) ←","")</f>
        <v/>
      </c>
      <c r="G357" s="35" t="n"/>
      <c r="H357" s="36">
        <f>IF(M347=1,IF(N(G357)&gt;0,"✔ انقبض — الأسبوع مقفول","⏳ لسا ما انقبض"),"")</f>
        <v/>
      </c>
    </row>
    <row r="358" ht="26" customHeight="1">
      <c r="A358" s="18">
        <f>IF(33&lt;=NW,"الأسبوع 33 · السبت "&amp;TEXT(DAY(SAT1+224),"00")&amp;"/"&amp;TEXT(MONTH(SAT1+224),"00")&amp;" ← الجمعة "&amp;TEXT(DAY(SAT1+230),"00")&amp;"/"&amp;TEXT(MONTH(SAT1+230),"00")&amp;" (يوم القبض)"&amp;IF(33&lt;START_O,"   — قبل أسبوع البداية (ما بينحسب)",""),"ما في أسبوع 33 هالسنة")</f>
        <v/>
      </c>
      <c r="L358" s="19">
        <f>IF(33&lt;=NW,SAT1+230,"")</f>
        <v/>
      </c>
      <c r="M358">
        <f>IF(AND(33&lt;=NW,33&gt;=START_O),1,0)</f>
        <v/>
      </c>
      <c r="N358">
        <f>IFERROR(INDEX(RT_OMR,MATCH(L358,RT_K,1)),INDEX(RT_OMR,1))</f>
        <v/>
      </c>
      <c r="O358">
        <f>IFERROR(INDEX(RT_OT,MATCH(L358,RT_K,1)),INDEX(RT_OT,1))</f>
        <v/>
      </c>
      <c r="P358">
        <f>IFERROR(INDEX(RT_GYP,MATCH(L358,RT_K,1)),INDEX(RT_GYP,1))</f>
        <v/>
      </c>
    </row>
    <row r="359">
      <c r="A359" s="20">
        <f>IF(33&lt;=NW,SAT1+224,"")</f>
        <v/>
      </c>
      <c r="B359" s="21">
        <f>IF(A359="","",CHOOSE(WEEKDAY(A359,1),"الأحد","الاثنين","الثلاثاء","الأربعاء","الخميس","الجمعة","السبت"))</f>
        <v/>
      </c>
      <c r="C359" s="22" t="n"/>
      <c r="D359" s="22" t="n"/>
      <c r="E359" s="23">
        <f>IF(OR(M359=0,K359="",L359=""),"",MOD(L359-K359,1))</f>
        <v/>
      </c>
      <c r="F359" s="23">
        <f>IF(OR(E359="",M359=0),"",IF(WEEKDAY(A359,1)=6,E359,MIN(E359,MAX(0,MIN(IF(L359&lt;K359,L359+1,L359),OMR_OT_AT)-K359))))</f>
        <v/>
      </c>
      <c r="G359" s="23">
        <f>IF(OR(E359="",M359=0),"",MAX(0,E359-F359))</f>
        <v/>
      </c>
      <c r="H359" s="24">
        <f>IF(OR(E359="",M359=0),"",ROUND((F359*$N$358+G359*$O$358)*24,3))</f>
        <v/>
      </c>
      <c r="I359" s="22" t="n"/>
      <c r="K359" s="25">
        <f>IF(OR(M359=0,C359=""),"",IF(ISNUMBER(C359),MOD(C359,1),IFERROR(INDEX('القوائم'!$B$1:$B$288,MATCH(TRIM(C359),'القوائم'!$A$1:$A$288,0)),IFERROR(MOD(TIMEVALUE(C359),1),""))))</f>
        <v/>
      </c>
      <c r="L359" s="25">
        <f>IF(OR(M359=0,D359=""),"",IF(ISNUMBER(D359),MOD(D359,1),IFERROR(INDEX('القوائم'!$B$1:$B$288,MATCH(TRIM(D359),'القوائم'!$A$1:$A$288,0)),IFERROR(MOD(TIMEVALUE(D359),1),""))))</f>
        <v/>
      </c>
      <c r="M359">
        <f>M358</f>
        <v/>
      </c>
      <c r="Q359">
        <f>IF(N(G368)&gt;0,1,0)</f>
        <v/>
      </c>
    </row>
    <row r="360">
      <c r="A360" s="20">
        <f>IF(33&lt;=NW,SAT1+225,"")</f>
        <v/>
      </c>
      <c r="B360" s="21">
        <f>IF(A360="","",CHOOSE(WEEKDAY(A360,1),"الأحد","الاثنين","الثلاثاء","الأربعاء","الخميس","الجمعة","السبت"))</f>
        <v/>
      </c>
      <c r="C360" s="22" t="n"/>
      <c r="D360" s="22" t="n"/>
      <c r="E360" s="23">
        <f>IF(OR(M360=0,K360="",L360=""),"",MOD(L360-K360,1))</f>
        <v/>
      </c>
      <c r="F360" s="23">
        <f>IF(OR(E360="",M360=0),"",IF(WEEKDAY(A360,1)=6,E360,MIN(E360,MAX(0,MIN(IF(L360&lt;K360,L360+1,L360),OMR_OT_AT)-K360))))</f>
        <v/>
      </c>
      <c r="G360" s="23">
        <f>IF(OR(E360="",M360=0),"",MAX(0,E360-F360))</f>
        <v/>
      </c>
      <c r="H360" s="24">
        <f>IF(OR(E360="",M360=0),"",ROUND((F360*$N$358+G360*$O$358)*24,3))</f>
        <v/>
      </c>
      <c r="I360" s="22" t="n"/>
      <c r="K360" s="25">
        <f>IF(OR(M360=0,C360=""),"",IF(ISNUMBER(C360),MOD(C360,1),IFERROR(INDEX('القوائم'!$B$1:$B$288,MATCH(TRIM(C360),'القوائم'!$A$1:$A$288,0)),IFERROR(MOD(TIMEVALUE(C360),1),""))))</f>
        <v/>
      </c>
      <c r="L360" s="25">
        <f>IF(OR(M360=0,D360=""),"",IF(ISNUMBER(D360),MOD(D360,1),IFERROR(INDEX('القوائم'!$B$1:$B$288,MATCH(TRIM(D360),'القوائم'!$A$1:$A$288,0)),IFERROR(MOD(TIMEVALUE(D360),1),""))))</f>
        <v/>
      </c>
      <c r="M360">
        <f>M358</f>
        <v/>
      </c>
      <c r="Q360">
        <f>IF(N(G368)&gt;0,1,0)</f>
        <v/>
      </c>
    </row>
    <row r="361">
      <c r="A361" s="20">
        <f>IF(33&lt;=NW,SAT1+226,"")</f>
        <v/>
      </c>
      <c r="B361" s="21">
        <f>IF(A361="","",CHOOSE(WEEKDAY(A361,1),"الأحد","الاثنين","الثلاثاء","الأربعاء","الخميس","الجمعة","السبت"))</f>
        <v/>
      </c>
      <c r="C361" s="22" t="n"/>
      <c r="D361" s="22" t="n"/>
      <c r="E361" s="23">
        <f>IF(OR(M361=0,K361="",L361=""),"",MOD(L361-K361,1))</f>
        <v/>
      </c>
      <c r="F361" s="23">
        <f>IF(OR(E361="",M361=0),"",IF(WEEKDAY(A361,1)=6,E361,MIN(E361,MAX(0,MIN(IF(L361&lt;K361,L361+1,L361),OMR_OT_AT)-K361))))</f>
        <v/>
      </c>
      <c r="G361" s="23">
        <f>IF(OR(E361="",M361=0),"",MAX(0,E361-F361))</f>
        <v/>
      </c>
      <c r="H361" s="24">
        <f>IF(OR(E361="",M361=0),"",ROUND((F361*$N$358+G361*$O$358)*24,3))</f>
        <v/>
      </c>
      <c r="I361" s="22" t="n"/>
      <c r="K361" s="25">
        <f>IF(OR(M361=0,C361=""),"",IF(ISNUMBER(C361),MOD(C361,1),IFERROR(INDEX('القوائم'!$B$1:$B$288,MATCH(TRIM(C361),'القوائم'!$A$1:$A$288,0)),IFERROR(MOD(TIMEVALUE(C361),1),""))))</f>
        <v/>
      </c>
      <c r="L361" s="25">
        <f>IF(OR(M361=0,D361=""),"",IF(ISNUMBER(D361),MOD(D361,1),IFERROR(INDEX('القوائم'!$B$1:$B$288,MATCH(TRIM(D361),'القوائم'!$A$1:$A$288,0)),IFERROR(MOD(TIMEVALUE(D361),1),""))))</f>
        <v/>
      </c>
      <c r="M361">
        <f>M358</f>
        <v/>
      </c>
      <c r="Q361">
        <f>IF(N(G368)&gt;0,1,0)</f>
        <v/>
      </c>
    </row>
    <row r="362">
      <c r="A362" s="20">
        <f>IF(33&lt;=NW,SAT1+227,"")</f>
        <v/>
      </c>
      <c r="B362" s="21">
        <f>IF(A362="","",CHOOSE(WEEKDAY(A362,1),"الأحد","الاثنين","الثلاثاء","الأربعاء","الخميس","الجمعة","السبت"))</f>
        <v/>
      </c>
      <c r="C362" s="22" t="n"/>
      <c r="D362" s="22" t="n"/>
      <c r="E362" s="23">
        <f>IF(OR(M362=0,K362="",L362=""),"",MOD(L362-K362,1))</f>
        <v/>
      </c>
      <c r="F362" s="23">
        <f>IF(OR(E362="",M362=0),"",IF(WEEKDAY(A362,1)=6,E362,MIN(E362,MAX(0,MIN(IF(L362&lt;K362,L362+1,L362),OMR_OT_AT)-K362))))</f>
        <v/>
      </c>
      <c r="G362" s="23">
        <f>IF(OR(E362="",M362=0),"",MAX(0,E362-F362))</f>
        <v/>
      </c>
      <c r="H362" s="24">
        <f>IF(OR(E362="",M362=0),"",ROUND((F362*$N$358+G362*$O$358)*24,3))</f>
        <v/>
      </c>
      <c r="I362" s="22" t="n"/>
      <c r="K362" s="25">
        <f>IF(OR(M362=0,C362=""),"",IF(ISNUMBER(C362),MOD(C362,1),IFERROR(INDEX('القوائم'!$B$1:$B$288,MATCH(TRIM(C362),'القوائم'!$A$1:$A$288,0)),IFERROR(MOD(TIMEVALUE(C362),1),""))))</f>
        <v/>
      </c>
      <c r="L362" s="25">
        <f>IF(OR(M362=0,D362=""),"",IF(ISNUMBER(D362),MOD(D362,1),IFERROR(INDEX('القوائم'!$B$1:$B$288,MATCH(TRIM(D362),'القوائم'!$A$1:$A$288,0)),IFERROR(MOD(TIMEVALUE(D362),1),""))))</f>
        <v/>
      </c>
      <c r="M362">
        <f>M358</f>
        <v/>
      </c>
      <c r="Q362">
        <f>IF(N(G368)&gt;0,1,0)</f>
        <v/>
      </c>
    </row>
    <row r="363">
      <c r="A363" s="20">
        <f>IF(33&lt;=NW,SAT1+228,"")</f>
        <v/>
      </c>
      <c r="B363" s="21">
        <f>IF(A363="","",CHOOSE(WEEKDAY(A363,1),"الأحد","الاثنين","الثلاثاء","الأربعاء","الخميس","الجمعة","السبت"))</f>
        <v/>
      </c>
      <c r="C363" s="22" t="n"/>
      <c r="D363" s="22" t="n"/>
      <c r="E363" s="23">
        <f>IF(OR(M363=0,K363="",L363=""),"",MOD(L363-K363,1))</f>
        <v/>
      </c>
      <c r="F363" s="23">
        <f>IF(OR(E363="",M363=0),"",IF(WEEKDAY(A363,1)=6,E363,MIN(E363,MAX(0,MIN(IF(L363&lt;K363,L363+1,L363),OMR_OT_AT)-K363))))</f>
        <v/>
      </c>
      <c r="G363" s="23">
        <f>IF(OR(E363="",M363=0),"",MAX(0,E363-F363))</f>
        <v/>
      </c>
      <c r="H363" s="24">
        <f>IF(OR(E363="",M363=0),"",ROUND((F363*$N$358+G363*$O$358)*24,3))</f>
        <v/>
      </c>
      <c r="I363" s="22" t="n"/>
      <c r="K363" s="25">
        <f>IF(OR(M363=0,C363=""),"",IF(ISNUMBER(C363),MOD(C363,1),IFERROR(INDEX('القوائم'!$B$1:$B$288,MATCH(TRIM(C363),'القوائم'!$A$1:$A$288,0)),IFERROR(MOD(TIMEVALUE(C363),1),""))))</f>
        <v/>
      </c>
      <c r="L363" s="25">
        <f>IF(OR(M363=0,D363=""),"",IF(ISNUMBER(D363),MOD(D363,1),IFERROR(INDEX('القوائم'!$B$1:$B$288,MATCH(TRIM(D363),'القوائم'!$A$1:$A$288,0)),IFERROR(MOD(TIMEVALUE(D363),1),""))))</f>
        <v/>
      </c>
      <c r="M363">
        <f>M358</f>
        <v/>
      </c>
      <c r="Q363">
        <f>IF(N(G368)&gt;0,1,0)</f>
        <v/>
      </c>
    </row>
    <row r="364">
      <c r="A364" s="20">
        <f>IF(33&lt;=NW,SAT1+229,"")</f>
        <v/>
      </c>
      <c r="B364" s="21">
        <f>IF(A364="","",CHOOSE(WEEKDAY(A364,1),"الأحد","الاثنين","الثلاثاء","الأربعاء","الخميس","الجمعة","السبت"))</f>
        <v/>
      </c>
      <c r="C364" s="22" t="n"/>
      <c r="D364" s="22" t="n"/>
      <c r="E364" s="23">
        <f>IF(OR(M364=0,K364="",L364=""),"",MOD(L364-K364,1))</f>
        <v/>
      </c>
      <c r="F364" s="23">
        <f>IF(OR(E364="",M364=0),"",IF(WEEKDAY(A364,1)=6,E364,MIN(E364,MAX(0,MIN(IF(L364&lt;K364,L364+1,L364),OMR_OT_AT)-K364))))</f>
        <v/>
      </c>
      <c r="G364" s="23">
        <f>IF(OR(E364="",M364=0),"",MAX(0,E364-F364))</f>
        <v/>
      </c>
      <c r="H364" s="24">
        <f>IF(OR(E364="",M364=0),"",ROUND((F364*$N$358+G364*$O$358)*24,3))</f>
        <v/>
      </c>
      <c r="I364" s="22" t="n"/>
      <c r="K364" s="25">
        <f>IF(OR(M364=0,C364=""),"",IF(ISNUMBER(C364),MOD(C364,1),IFERROR(INDEX('القوائم'!$B$1:$B$288,MATCH(TRIM(C364),'القوائم'!$A$1:$A$288,0)),IFERROR(MOD(TIMEVALUE(C364),1),""))))</f>
        <v/>
      </c>
      <c r="L364" s="25">
        <f>IF(OR(M364=0,D364=""),"",IF(ISNUMBER(D364),MOD(D364,1),IFERROR(INDEX('القوائم'!$B$1:$B$288,MATCH(TRIM(D364),'القوائم'!$A$1:$A$288,0)),IFERROR(MOD(TIMEVALUE(D364),1),""))))</f>
        <v/>
      </c>
      <c r="M364">
        <f>M358</f>
        <v/>
      </c>
      <c r="Q364">
        <f>IF(N(G368)&gt;0,1,0)</f>
        <v/>
      </c>
    </row>
    <row r="365">
      <c r="A365" s="26">
        <f>IF(33&lt;=NW,SAT1+230,"")</f>
        <v/>
      </c>
      <c r="B365" s="27">
        <f>IF(A365="","",CHOOSE(WEEKDAY(A365,1),"الأحد","الاثنين","الثلاثاء","الأربعاء","الخميس","الجمعة","السبت"))</f>
        <v/>
      </c>
      <c r="C365" s="22" t="n"/>
      <c r="D365" s="22" t="n"/>
      <c r="E365" s="23">
        <f>IF(OR(M365=0,K365="",L365=""),"",MOD(L365-K365,1))</f>
        <v/>
      </c>
      <c r="F365" s="23">
        <f>IF(OR(E365="",M365=0),"",IF(WEEKDAY(A365,1)=6,E365,MIN(E365,MAX(0,MIN(IF(L365&lt;K365,L365+1,L365),OMR_OT_AT)-K365))))</f>
        <v/>
      </c>
      <c r="G365" s="23">
        <f>IF(OR(E365="",M365=0),"",MAX(0,E365-F365))</f>
        <v/>
      </c>
      <c r="H365" s="24">
        <f>IF(OR(E365="",M365=0),"",ROUND((F365*$N$358+G365*$O$358)*24,3))</f>
        <v/>
      </c>
      <c r="I365" s="22" t="n"/>
      <c r="K365" s="25">
        <f>IF(OR(M365=0,C365=""),"",IF(ISNUMBER(C365),MOD(C365,1),IFERROR(INDEX('القوائم'!$B$1:$B$288,MATCH(TRIM(C365),'القوائم'!$A$1:$A$288,0)),IFERROR(MOD(TIMEVALUE(C365),1),""))))</f>
        <v/>
      </c>
      <c r="L365" s="25">
        <f>IF(OR(M365=0,D365=""),"",IF(ISNUMBER(D365),MOD(D365,1),IFERROR(INDEX('القوائم'!$B$1:$B$288,MATCH(TRIM(D365),'القوائم'!$A$1:$A$288,0)),IFERROR(MOD(TIMEVALUE(D365),1),""))))</f>
        <v/>
      </c>
      <c r="M365">
        <f>M358</f>
        <v/>
      </c>
      <c r="Q365">
        <f>IF(N(G368)&gt;0,1,0)</f>
        <v/>
      </c>
    </row>
    <row r="366">
      <c r="A366" s="28">
        <f>IF(M358=1,"مجموع أيام الأسبوع 33","")</f>
        <v/>
      </c>
      <c r="B366" s="28" t="n"/>
      <c r="C366" s="28" t="n"/>
      <c r="D366" s="28" t="n"/>
      <c r="E366" s="29">
        <f>IF(M358=1,SUM(E359:E365),"")</f>
        <v/>
      </c>
      <c r="F366" s="29">
        <f>IF(M358=1,SUM(F359:F365),"")</f>
        <v/>
      </c>
      <c r="G366" s="29">
        <f>IF(M358=1,SUM(G359:G365),"")</f>
        <v/>
      </c>
      <c r="H366" s="30">
        <f>IF(M358=1,SUM(H359:H365),"")</f>
        <v/>
      </c>
      <c r="I366" s="28" t="n"/>
    </row>
    <row r="367" ht="32" customHeight="1">
      <c r="A367" s="28">
        <f>IF(M358=1,"ساعات تحميل الجبسمبورد بهالأسبوع (رقم: 2 أو 1.5) ←","")</f>
        <v/>
      </c>
      <c r="E367" s="31" t="n"/>
      <c r="F367" s="32">
        <f>IF(M358=1,"المستحق النهائي للأسبوع (دينار) ←","")</f>
        <v/>
      </c>
      <c r="H367" s="33">
        <f>IF(M358=1,IF(ROUND_MODE="للأعلى",CEILING(ROUND((N(H366)+N(E367)*($P$358-$N$358)),3),0.25),ROUND((N(H366)+N(E367)*($P$358-$N$358))*4,0)/4),"")</f>
        <v/>
      </c>
      <c r="I367" s="34">
        <f>IF(M358=1,"قبل الجبر: "&amp;TEXT(N(H366)+N(E367)*($P$358-$N$358),"0.000"),"")</f>
        <v/>
      </c>
    </row>
    <row r="368" ht="26" customHeight="1">
      <c r="A368" s="28">
        <f>IF(M358=1,"إكرامية الأسبوع (دينار) ←","")</f>
        <v/>
      </c>
      <c r="D368" s="35" t="n"/>
      <c r="E368" s="28">
        <f>IF(M358=1,"المدفوع يوم الجمعة (دينار) ←","")</f>
        <v/>
      </c>
      <c r="G368" s="35" t="n"/>
      <c r="H368" s="36">
        <f>IF(M358=1,IF(N(G368)&gt;0,"✔ انقبض — الأسبوع مقفول","⏳ لسا ما انقبض"),"")</f>
        <v/>
      </c>
    </row>
    <row r="369" ht="26" customHeight="1">
      <c r="A369" s="18">
        <f>IF(34&lt;=NW,"الأسبوع 34 · السبت "&amp;TEXT(DAY(SAT1+231),"00")&amp;"/"&amp;TEXT(MONTH(SAT1+231),"00")&amp;" ← الجمعة "&amp;TEXT(DAY(SAT1+237),"00")&amp;"/"&amp;TEXT(MONTH(SAT1+237),"00")&amp;" (يوم القبض)"&amp;IF(34&lt;START_O,"   — قبل أسبوع البداية (ما بينحسب)",""),"ما في أسبوع 34 هالسنة")</f>
        <v/>
      </c>
      <c r="L369" s="19">
        <f>IF(34&lt;=NW,SAT1+237,"")</f>
        <v/>
      </c>
      <c r="M369">
        <f>IF(AND(34&lt;=NW,34&gt;=START_O),1,0)</f>
        <v/>
      </c>
      <c r="N369">
        <f>IFERROR(INDEX(RT_OMR,MATCH(L369,RT_K,1)),INDEX(RT_OMR,1))</f>
        <v/>
      </c>
      <c r="O369">
        <f>IFERROR(INDEX(RT_OT,MATCH(L369,RT_K,1)),INDEX(RT_OT,1))</f>
        <v/>
      </c>
      <c r="P369">
        <f>IFERROR(INDEX(RT_GYP,MATCH(L369,RT_K,1)),INDEX(RT_GYP,1))</f>
        <v/>
      </c>
    </row>
    <row r="370">
      <c r="A370" s="20">
        <f>IF(34&lt;=NW,SAT1+231,"")</f>
        <v/>
      </c>
      <c r="B370" s="21">
        <f>IF(A370="","",CHOOSE(WEEKDAY(A370,1),"الأحد","الاثنين","الثلاثاء","الأربعاء","الخميس","الجمعة","السبت"))</f>
        <v/>
      </c>
      <c r="C370" s="22" t="n"/>
      <c r="D370" s="22" t="n"/>
      <c r="E370" s="23">
        <f>IF(OR(M370=0,K370="",L370=""),"",MOD(L370-K370,1))</f>
        <v/>
      </c>
      <c r="F370" s="23">
        <f>IF(OR(E370="",M370=0),"",IF(WEEKDAY(A370,1)=6,E370,MIN(E370,MAX(0,MIN(IF(L370&lt;K370,L370+1,L370),OMR_OT_AT)-K370))))</f>
        <v/>
      </c>
      <c r="G370" s="23">
        <f>IF(OR(E370="",M370=0),"",MAX(0,E370-F370))</f>
        <v/>
      </c>
      <c r="H370" s="24">
        <f>IF(OR(E370="",M370=0),"",ROUND((F370*$N$369+G370*$O$369)*24,3))</f>
        <v/>
      </c>
      <c r="I370" s="22" t="n"/>
      <c r="K370" s="25">
        <f>IF(OR(M370=0,C370=""),"",IF(ISNUMBER(C370),MOD(C370,1),IFERROR(INDEX('القوائم'!$B$1:$B$288,MATCH(TRIM(C370),'القوائم'!$A$1:$A$288,0)),IFERROR(MOD(TIMEVALUE(C370),1),""))))</f>
        <v/>
      </c>
      <c r="L370" s="25">
        <f>IF(OR(M370=0,D370=""),"",IF(ISNUMBER(D370),MOD(D370,1),IFERROR(INDEX('القوائم'!$B$1:$B$288,MATCH(TRIM(D370),'القوائم'!$A$1:$A$288,0)),IFERROR(MOD(TIMEVALUE(D370),1),""))))</f>
        <v/>
      </c>
      <c r="M370">
        <f>M369</f>
        <v/>
      </c>
      <c r="Q370">
        <f>IF(N(G379)&gt;0,1,0)</f>
        <v/>
      </c>
    </row>
    <row r="371">
      <c r="A371" s="20">
        <f>IF(34&lt;=NW,SAT1+232,"")</f>
        <v/>
      </c>
      <c r="B371" s="21">
        <f>IF(A371="","",CHOOSE(WEEKDAY(A371,1),"الأحد","الاثنين","الثلاثاء","الأربعاء","الخميس","الجمعة","السبت"))</f>
        <v/>
      </c>
      <c r="C371" s="22" t="n"/>
      <c r="D371" s="22" t="n"/>
      <c r="E371" s="23">
        <f>IF(OR(M371=0,K371="",L371=""),"",MOD(L371-K371,1))</f>
        <v/>
      </c>
      <c r="F371" s="23">
        <f>IF(OR(E371="",M371=0),"",IF(WEEKDAY(A371,1)=6,E371,MIN(E371,MAX(0,MIN(IF(L371&lt;K371,L371+1,L371),OMR_OT_AT)-K371))))</f>
        <v/>
      </c>
      <c r="G371" s="23">
        <f>IF(OR(E371="",M371=0),"",MAX(0,E371-F371))</f>
        <v/>
      </c>
      <c r="H371" s="24">
        <f>IF(OR(E371="",M371=0),"",ROUND((F371*$N$369+G371*$O$369)*24,3))</f>
        <v/>
      </c>
      <c r="I371" s="22" t="n"/>
      <c r="K371" s="25">
        <f>IF(OR(M371=0,C371=""),"",IF(ISNUMBER(C371),MOD(C371,1),IFERROR(INDEX('القوائم'!$B$1:$B$288,MATCH(TRIM(C371),'القوائم'!$A$1:$A$288,0)),IFERROR(MOD(TIMEVALUE(C371),1),""))))</f>
        <v/>
      </c>
      <c r="L371" s="25">
        <f>IF(OR(M371=0,D371=""),"",IF(ISNUMBER(D371),MOD(D371,1),IFERROR(INDEX('القوائم'!$B$1:$B$288,MATCH(TRIM(D371),'القوائم'!$A$1:$A$288,0)),IFERROR(MOD(TIMEVALUE(D371),1),""))))</f>
        <v/>
      </c>
      <c r="M371">
        <f>M369</f>
        <v/>
      </c>
      <c r="Q371">
        <f>IF(N(G379)&gt;0,1,0)</f>
        <v/>
      </c>
    </row>
    <row r="372">
      <c r="A372" s="20">
        <f>IF(34&lt;=NW,SAT1+233,"")</f>
        <v/>
      </c>
      <c r="B372" s="21">
        <f>IF(A372="","",CHOOSE(WEEKDAY(A372,1),"الأحد","الاثنين","الثلاثاء","الأربعاء","الخميس","الجمعة","السبت"))</f>
        <v/>
      </c>
      <c r="C372" s="22" t="n"/>
      <c r="D372" s="22" t="n"/>
      <c r="E372" s="23">
        <f>IF(OR(M372=0,K372="",L372=""),"",MOD(L372-K372,1))</f>
        <v/>
      </c>
      <c r="F372" s="23">
        <f>IF(OR(E372="",M372=0),"",IF(WEEKDAY(A372,1)=6,E372,MIN(E372,MAX(0,MIN(IF(L372&lt;K372,L372+1,L372),OMR_OT_AT)-K372))))</f>
        <v/>
      </c>
      <c r="G372" s="23">
        <f>IF(OR(E372="",M372=0),"",MAX(0,E372-F372))</f>
        <v/>
      </c>
      <c r="H372" s="24">
        <f>IF(OR(E372="",M372=0),"",ROUND((F372*$N$369+G372*$O$369)*24,3))</f>
        <v/>
      </c>
      <c r="I372" s="22" t="n"/>
      <c r="K372" s="25">
        <f>IF(OR(M372=0,C372=""),"",IF(ISNUMBER(C372),MOD(C372,1),IFERROR(INDEX('القوائم'!$B$1:$B$288,MATCH(TRIM(C372),'القوائم'!$A$1:$A$288,0)),IFERROR(MOD(TIMEVALUE(C372),1),""))))</f>
        <v/>
      </c>
      <c r="L372" s="25">
        <f>IF(OR(M372=0,D372=""),"",IF(ISNUMBER(D372),MOD(D372,1),IFERROR(INDEX('القوائم'!$B$1:$B$288,MATCH(TRIM(D372),'القوائم'!$A$1:$A$288,0)),IFERROR(MOD(TIMEVALUE(D372),1),""))))</f>
        <v/>
      </c>
      <c r="M372">
        <f>M369</f>
        <v/>
      </c>
      <c r="Q372">
        <f>IF(N(G379)&gt;0,1,0)</f>
        <v/>
      </c>
    </row>
    <row r="373">
      <c r="A373" s="20">
        <f>IF(34&lt;=NW,SAT1+234,"")</f>
        <v/>
      </c>
      <c r="B373" s="21">
        <f>IF(A373="","",CHOOSE(WEEKDAY(A373,1),"الأحد","الاثنين","الثلاثاء","الأربعاء","الخميس","الجمعة","السبت"))</f>
        <v/>
      </c>
      <c r="C373" s="22" t="n"/>
      <c r="D373" s="22" t="n"/>
      <c r="E373" s="23">
        <f>IF(OR(M373=0,K373="",L373=""),"",MOD(L373-K373,1))</f>
        <v/>
      </c>
      <c r="F373" s="23">
        <f>IF(OR(E373="",M373=0),"",IF(WEEKDAY(A373,1)=6,E373,MIN(E373,MAX(0,MIN(IF(L373&lt;K373,L373+1,L373),OMR_OT_AT)-K373))))</f>
        <v/>
      </c>
      <c r="G373" s="23">
        <f>IF(OR(E373="",M373=0),"",MAX(0,E373-F373))</f>
        <v/>
      </c>
      <c r="H373" s="24">
        <f>IF(OR(E373="",M373=0),"",ROUND((F373*$N$369+G373*$O$369)*24,3))</f>
        <v/>
      </c>
      <c r="I373" s="22" t="n"/>
      <c r="K373" s="25">
        <f>IF(OR(M373=0,C373=""),"",IF(ISNUMBER(C373),MOD(C373,1),IFERROR(INDEX('القوائم'!$B$1:$B$288,MATCH(TRIM(C373),'القوائم'!$A$1:$A$288,0)),IFERROR(MOD(TIMEVALUE(C373),1),""))))</f>
        <v/>
      </c>
      <c r="L373" s="25">
        <f>IF(OR(M373=0,D373=""),"",IF(ISNUMBER(D373),MOD(D373,1),IFERROR(INDEX('القوائم'!$B$1:$B$288,MATCH(TRIM(D373),'القوائم'!$A$1:$A$288,0)),IFERROR(MOD(TIMEVALUE(D373),1),""))))</f>
        <v/>
      </c>
      <c r="M373">
        <f>M369</f>
        <v/>
      </c>
      <c r="Q373">
        <f>IF(N(G379)&gt;0,1,0)</f>
        <v/>
      </c>
    </row>
    <row r="374">
      <c r="A374" s="20">
        <f>IF(34&lt;=NW,SAT1+235,"")</f>
        <v/>
      </c>
      <c r="B374" s="21">
        <f>IF(A374="","",CHOOSE(WEEKDAY(A374,1),"الأحد","الاثنين","الثلاثاء","الأربعاء","الخميس","الجمعة","السبت"))</f>
        <v/>
      </c>
      <c r="C374" s="22" t="n"/>
      <c r="D374" s="22" t="n"/>
      <c r="E374" s="23">
        <f>IF(OR(M374=0,K374="",L374=""),"",MOD(L374-K374,1))</f>
        <v/>
      </c>
      <c r="F374" s="23">
        <f>IF(OR(E374="",M374=0),"",IF(WEEKDAY(A374,1)=6,E374,MIN(E374,MAX(0,MIN(IF(L374&lt;K374,L374+1,L374),OMR_OT_AT)-K374))))</f>
        <v/>
      </c>
      <c r="G374" s="23">
        <f>IF(OR(E374="",M374=0),"",MAX(0,E374-F374))</f>
        <v/>
      </c>
      <c r="H374" s="24">
        <f>IF(OR(E374="",M374=0),"",ROUND((F374*$N$369+G374*$O$369)*24,3))</f>
        <v/>
      </c>
      <c r="I374" s="22" t="n"/>
      <c r="K374" s="25">
        <f>IF(OR(M374=0,C374=""),"",IF(ISNUMBER(C374),MOD(C374,1),IFERROR(INDEX('القوائم'!$B$1:$B$288,MATCH(TRIM(C374),'القوائم'!$A$1:$A$288,0)),IFERROR(MOD(TIMEVALUE(C374),1),""))))</f>
        <v/>
      </c>
      <c r="L374" s="25">
        <f>IF(OR(M374=0,D374=""),"",IF(ISNUMBER(D374),MOD(D374,1),IFERROR(INDEX('القوائم'!$B$1:$B$288,MATCH(TRIM(D374),'القوائم'!$A$1:$A$288,0)),IFERROR(MOD(TIMEVALUE(D374),1),""))))</f>
        <v/>
      </c>
      <c r="M374">
        <f>M369</f>
        <v/>
      </c>
      <c r="Q374">
        <f>IF(N(G379)&gt;0,1,0)</f>
        <v/>
      </c>
    </row>
    <row r="375">
      <c r="A375" s="20">
        <f>IF(34&lt;=NW,SAT1+236,"")</f>
        <v/>
      </c>
      <c r="B375" s="21">
        <f>IF(A375="","",CHOOSE(WEEKDAY(A375,1),"الأحد","الاثنين","الثلاثاء","الأربعاء","الخميس","الجمعة","السبت"))</f>
        <v/>
      </c>
      <c r="C375" s="22" t="n"/>
      <c r="D375" s="22" t="n"/>
      <c r="E375" s="23">
        <f>IF(OR(M375=0,K375="",L375=""),"",MOD(L375-K375,1))</f>
        <v/>
      </c>
      <c r="F375" s="23">
        <f>IF(OR(E375="",M375=0),"",IF(WEEKDAY(A375,1)=6,E375,MIN(E375,MAX(0,MIN(IF(L375&lt;K375,L375+1,L375),OMR_OT_AT)-K375))))</f>
        <v/>
      </c>
      <c r="G375" s="23">
        <f>IF(OR(E375="",M375=0),"",MAX(0,E375-F375))</f>
        <v/>
      </c>
      <c r="H375" s="24">
        <f>IF(OR(E375="",M375=0),"",ROUND((F375*$N$369+G375*$O$369)*24,3))</f>
        <v/>
      </c>
      <c r="I375" s="22" t="n"/>
      <c r="K375" s="25">
        <f>IF(OR(M375=0,C375=""),"",IF(ISNUMBER(C375),MOD(C375,1),IFERROR(INDEX('القوائم'!$B$1:$B$288,MATCH(TRIM(C375),'القوائم'!$A$1:$A$288,0)),IFERROR(MOD(TIMEVALUE(C375),1),""))))</f>
        <v/>
      </c>
      <c r="L375" s="25">
        <f>IF(OR(M375=0,D375=""),"",IF(ISNUMBER(D375),MOD(D375,1),IFERROR(INDEX('القوائم'!$B$1:$B$288,MATCH(TRIM(D375),'القوائم'!$A$1:$A$288,0)),IFERROR(MOD(TIMEVALUE(D375),1),""))))</f>
        <v/>
      </c>
      <c r="M375">
        <f>M369</f>
        <v/>
      </c>
      <c r="Q375">
        <f>IF(N(G379)&gt;0,1,0)</f>
        <v/>
      </c>
    </row>
    <row r="376">
      <c r="A376" s="26">
        <f>IF(34&lt;=NW,SAT1+237,"")</f>
        <v/>
      </c>
      <c r="B376" s="27">
        <f>IF(A376="","",CHOOSE(WEEKDAY(A376,1),"الأحد","الاثنين","الثلاثاء","الأربعاء","الخميس","الجمعة","السبت"))</f>
        <v/>
      </c>
      <c r="C376" s="22" t="n"/>
      <c r="D376" s="22" t="n"/>
      <c r="E376" s="23">
        <f>IF(OR(M376=0,K376="",L376=""),"",MOD(L376-K376,1))</f>
        <v/>
      </c>
      <c r="F376" s="23">
        <f>IF(OR(E376="",M376=0),"",IF(WEEKDAY(A376,1)=6,E376,MIN(E376,MAX(0,MIN(IF(L376&lt;K376,L376+1,L376),OMR_OT_AT)-K376))))</f>
        <v/>
      </c>
      <c r="G376" s="23">
        <f>IF(OR(E376="",M376=0),"",MAX(0,E376-F376))</f>
        <v/>
      </c>
      <c r="H376" s="24">
        <f>IF(OR(E376="",M376=0),"",ROUND((F376*$N$369+G376*$O$369)*24,3))</f>
        <v/>
      </c>
      <c r="I376" s="22" t="n"/>
      <c r="K376" s="25">
        <f>IF(OR(M376=0,C376=""),"",IF(ISNUMBER(C376),MOD(C376,1),IFERROR(INDEX('القوائم'!$B$1:$B$288,MATCH(TRIM(C376),'القوائم'!$A$1:$A$288,0)),IFERROR(MOD(TIMEVALUE(C376),1),""))))</f>
        <v/>
      </c>
      <c r="L376" s="25">
        <f>IF(OR(M376=0,D376=""),"",IF(ISNUMBER(D376),MOD(D376,1),IFERROR(INDEX('القوائم'!$B$1:$B$288,MATCH(TRIM(D376),'القوائم'!$A$1:$A$288,0)),IFERROR(MOD(TIMEVALUE(D376),1),""))))</f>
        <v/>
      </c>
      <c r="M376">
        <f>M369</f>
        <v/>
      </c>
      <c r="Q376">
        <f>IF(N(G379)&gt;0,1,0)</f>
        <v/>
      </c>
    </row>
    <row r="377">
      <c r="A377" s="28">
        <f>IF(M369=1,"مجموع أيام الأسبوع 34","")</f>
        <v/>
      </c>
      <c r="B377" s="28" t="n"/>
      <c r="C377" s="28" t="n"/>
      <c r="D377" s="28" t="n"/>
      <c r="E377" s="29">
        <f>IF(M369=1,SUM(E370:E376),"")</f>
        <v/>
      </c>
      <c r="F377" s="29">
        <f>IF(M369=1,SUM(F370:F376),"")</f>
        <v/>
      </c>
      <c r="G377" s="29">
        <f>IF(M369=1,SUM(G370:G376),"")</f>
        <v/>
      </c>
      <c r="H377" s="30">
        <f>IF(M369=1,SUM(H370:H376),"")</f>
        <v/>
      </c>
      <c r="I377" s="28" t="n"/>
    </row>
    <row r="378" ht="32" customHeight="1">
      <c r="A378" s="28">
        <f>IF(M369=1,"ساعات تحميل الجبسمبورد بهالأسبوع (رقم: 2 أو 1.5) ←","")</f>
        <v/>
      </c>
      <c r="E378" s="31" t="n"/>
      <c r="F378" s="32">
        <f>IF(M369=1,"المستحق النهائي للأسبوع (دينار) ←","")</f>
        <v/>
      </c>
      <c r="H378" s="33">
        <f>IF(M369=1,IF(ROUND_MODE="للأعلى",CEILING(ROUND((N(H377)+N(E378)*($P$369-$N$369)),3),0.25),ROUND((N(H377)+N(E378)*($P$369-$N$369))*4,0)/4),"")</f>
        <v/>
      </c>
      <c r="I378" s="34">
        <f>IF(M369=1,"قبل الجبر: "&amp;TEXT(N(H377)+N(E378)*($P$369-$N$369),"0.000"),"")</f>
        <v/>
      </c>
    </row>
    <row r="379" ht="26" customHeight="1">
      <c r="A379" s="28">
        <f>IF(M369=1,"إكرامية الأسبوع (دينار) ←","")</f>
        <v/>
      </c>
      <c r="D379" s="35" t="n"/>
      <c r="E379" s="28">
        <f>IF(M369=1,"المدفوع يوم الجمعة (دينار) ←","")</f>
        <v/>
      </c>
      <c r="G379" s="35" t="n"/>
      <c r="H379" s="36">
        <f>IF(M369=1,IF(N(G379)&gt;0,"✔ انقبض — الأسبوع مقفول","⏳ لسا ما انقبض"),"")</f>
        <v/>
      </c>
    </row>
    <row r="380" ht="26" customHeight="1">
      <c r="A380" s="18">
        <f>IF(35&lt;=NW,"الأسبوع 35 · السبت "&amp;TEXT(DAY(SAT1+238),"00")&amp;"/"&amp;TEXT(MONTH(SAT1+238),"00")&amp;" ← الجمعة "&amp;TEXT(DAY(SAT1+244),"00")&amp;"/"&amp;TEXT(MONTH(SAT1+244),"00")&amp;" (يوم القبض)"&amp;IF(35&lt;START_O,"   — قبل أسبوع البداية (ما بينحسب)",""),"ما في أسبوع 35 هالسنة")</f>
        <v/>
      </c>
      <c r="L380" s="19">
        <f>IF(35&lt;=NW,SAT1+244,"")</f>
        <v/>
      </c>
      <c r="M380">
        <f>IF(AND(35&lt;=NW,35&gt;=START_O),1,0)</f>
        <v/>
      </c>
      <c r="N380">
        <f>IFERROR(INDEX(RT_OMR,MATCH(L380,RT_K,1)),INDEX(RT_OMR,1))</f>
        <v/>
      </c>
      <c r="O380">
        <f>IFERROR(INDEX(RT_OT,MATCH(L380,RT_K,1)),INDEX(RT_OT,1))</f>
        <v/>
      </c>
      <c r="P380">
        <f>IFERROR(INDEX(RT_GYP,MATCH(L380,RT_K,1)),INDEX(RT_GYP,1))</f>
        <v/>
      </c>
    </row>
    <row r="381">
      <c r="A381" s="20">
        <f>IF(35&lt;=NW,SAT1+238,"")</f>
        <v/>
      </c>
      <c r="B381" s="21">
        <f>IF(A381="","",CHOOSE(WEEKDAY(A381,1),"الأحد","الاثنين","الثلاثاء","الأربعاء","الخميس","الجمعة","السبت"))</f>
        <v/>
      </c>
      <c r="C381" s="22" t="n"/>
      <c r="D381" s="22" t="n"/>
      <c r="E381" s="23">
        <f>IF(OR(M381=0,K381="",L381=""),"",MOD(L381-K381,1))</f>
        <v/>
      </c>
      <c r="F381" s="23">
        <f>IF(OR(E381="",M381=0),"",IF(WEEKDAY(A381,1)=6,E381,MIN(E381,MAX(0,MIN(IF(L381&lt;K381,L381+1,L381),OMR_OT_AT)-K381))))</f>
        <v/>
      </c>
      <c r="G381" s="23">
        <f>IF(OR(E381="",M381=0),"",MAX(0,E381-F381))</f>
        <v/>
      </c>
      <c r="H381" s="24">
        <f>IF(OR(E381="",M381=0),"",ROUND((F381*$N$380+G381*$O$380)*24,3))</f>
        <v/>
      </c>
      <c r="I381" s="22" t="n"/>
      <c r="K381" s="25">
        <f>IF(OR(M381=0,C381=""),"",IF(ISNUMBER(C381),MOD(C381,1),IFERROR(INDEX('القوائم'!$B$1:$B$288,MATCH(TRIM(C381),'القوائم'!$A$1:$A$288,0)),IFERROR(MOD(TIMEVALUE(C381),1),""))))</f>
        <v/>
      </c>
      <c r="L381" s="25">
        <f>IF(OR(M381=0,D381=""),"",IF(ISNUMBER(D381),MOD(D381,1),IFERROR(INDEX('القوائم'!$B$1:$B$288,MATCH(TRIM(D381),'القوائم'!$A$1:$A$288,0)),IFERROR(MOD(TIMEVALUE(D381),1),""))))</f>
        <v/>
      </c>
      <c r="M381">
        <f>M380</f>
        <v/>
      </c>
      <c r="Q381">
        <f>IF(N(G390)&gt;0,1,0)</f>
        <v/>
      </c>
    </row>
    <row r="382">
      <c r="A382" s="20">
        <f>IF(35&lt;=NW,SAT1+239,"")</f>
        <v/>
      </c>
      <c r="B382" s="21">
        <f>IF(A382="","",CHOOSE(WEEKDAY(A382,1),"الأحد","الاثنين","الثلاثاء","الأربعاء","الخميس","الجمعة","السبت"))</f>
        <v/>
      </c>
      <c r="C382" s="22" t="n"/>
      <c r="D382" s="22" t="n"/>
      <c r="E382" s="23">
        <f>IF(OR(M382=0,K382="",L382=""),"",MOD(L382-K382,1))</f>
        <v/>
      </c>
      <c r="F382" s="23">
        <f>IF(OR(E382="",M382=0),"",IF(WEEKDAY(A382,1)=6,E382,MIN(E382,MAX(0,MIN(IF(L382&lt;K382,L382+1,L382),OMR_OT_AT)-K382))))</f>
        <v/>
      </c>
      <c r="G382" s="23">
        <f>IF(OR(E382="",M382=0),"",MAX(0,E382-F382))</f>
        <v/>
      </c>
      <c r="H382" s="24">
        <f>IF(OR(E382="",M382=0),"",ROUND((F382*$N$380+G382*$O$380)*24,3))</f>
        <v/>
      </c>
      <c r="I382" s="22" t="n"/>
      <c r="K382" s="25">
        <f>IF(OR(M382=0,C382=""),"",IF(ISNUMBER(C382),MOD(C382,1),IFERROR(INDEX('القوائم'!$B$1:$B$288,MATCH(TRIM(C382),'القوائم'!$A$1:$A$288,0)),IFERROR(MOD(TIMEVALUE(C382),1),""))))</f>
        <v/>
      </c>
      <c r="L382" s="25">
        <f>IF(OR(M382=0,D382=""),"",IF(ISNUMBER(D382),MOD(D382,1),IFERROR(INDEX('القوائم'!$B$1:$B$288,MATCH(TRIM(D382),'القوائم'!$A$1:$A$288,0)),IFERROR(MOD(TIMEVALUE(D382),1),""))))</f>
        <v/>
      </c>
      <c r="M382">
        <f>M380</f>
        <v/>
      </c>
      <c r="Q382">
        <f>IF(N(G390)&gt;0,1,0)</f>
        <v/>
      </c>
    </row>
    <row r="383">
      <c r="A383" s="20">
        <f>IF(35&lt;=NW,SAT1+240,"")</f>
        <v/>
      </c>
      <c r="B383" s="21">
        <f>IF(A383="","",CHOOSE(WEEKDAY(A383,1),"الأحد","الاثنين","الثلاثاء","الأربعاء","الخميس","الجمعة","السبت"))</f>
        <v/>
      </c>
      <c r="C383" s="22" t="n"/>
      <c r="D383" s="22" t="n"/>
      <c r="E383" s="23">
        <f>IF(OR(M383=0,K383="",L383=""),"",MOD(L383-K383,1))</f>
        <v/>
      </c>
      <c r="F383" s="23">
        <f>IF(OR(E383="",M383=0),"",IF(WEEKDAY(A383,1)=6,E383,MIN(E383,MAX(0,MIN(IF(L383&lt;K383,L383+1,L383),OMR_OT_AT)-K383))))</f>
        <v/>
      </c>
      <c r="G383" s="23">
        <f>IF(OR(E383="",M383=0),"",MAX(0,E383-F383))</f>
        <v/>
      </c>
      <c r="H383" s="24">
        <f>IF(OR(E383="",M383=0),"",ROUND((F383*$N$380+G383*$O$380)*24,3))</f>
        <v/>
      </c>
      <c r="I383" s="22" t="n"/>
      <c r="K383" s="25">
        <f>IF(OR(M383=0,C383=""),"",IF(ISNUMBER(C383),MOD(C383,1),IFERROR(INDEX('القوائم'!$B$1:$B$288,MATCH(TRIM(C383),'القوائم'!$A$1:$A$288,0)),IFERROR(MOD(TIMEVALUE(C383),1),""))))</f>
        <v/>
      </c>
      <c r="L383" s="25">
        <f>IF(OR(M383=0,D383=""),"",IF(ISNUMBER(D383),MOD(D383,1),IFERROR(INDEX('القوائم'!$B$1:$B$288,MATCH(TRIM(D383),'القوائم'!$A$1:$A$288,0)),IFERROR(MOD(TIMEVALUE(D383),1),""))))</f>
        <v/>
      </c>
      <c r="M383">
        <f>M380</f>
        <v/>
      </c>
      <c r="Q383">
        <f>IF(N(G390)&gt;0,1,0)</f>
        <v/>
      </c>
    </row>
    <row r="384">
      <c r="A384" s="20">
        <f>IF(35&lt;=NW,SAT1+241,"")</f>
        <v/>
      </c>
      <c r="B384" s="21">
        <f>IF(A384="","",CHOOSE(WEEKDAY(A384,1),"الأحد","الاثنين","الثلاثاء","الأربعاء","الخميس","الجمعة","السبت"))</f>
        <v/>
      </c>
      <c r="C384" s="22" t="n"/>
      <c r="D384" s="22" t="n"/>
      <c r="E384" s="23">
        <f>IF(OR(M384=0,K384="",L384=""),"",MOD(L384-K384,1))</f>
        <v/>
      </c>
      <c r="F384" s="23">
        <f>IF(OR(E384="",M384=0),"",IF(WEEKDAY(A384,1)=6,E384,MIN(E384,MAX(0,MIN(IF(L384&lt;K384,L384+1,L384),OMR_OT_AT)-K384))))</f>
        <v/>
      </c>
      <c r="G384" s="23">
        <f>IF(OR(E384="",M384=0),"",MAX(0,E384-F384))</f>
        <v/>
      </c>
      <c r="H384" s="24">
        <f>IF(OR(E384="",M384=0),"",ROUND((F384*$N$380+G384*$O$380)*24,3))</f>
        <v/>
      </c>
      <c r="I384" s="22" t="n"/>
      <c r="K384" s="25">
        <f>IF(OR(M384=0,C384=""),"",IF(ISNUMBER(C384),MOD(C384,1),IFERROR(INDEX('القوائم'!$B$1:$B$288,MATCH(TRIM(C384),'القوائم'!$A$1:$A$288,0)),IFERROR(MOD(TIMEVALUE(C384),1),""))))</f>
        <v/>
      </c>
      <c r="L384" s="25">
        <f>IF(OR(M384=0,D384=""),"",IF(ISNUMBER(D384),MOD(D384,1),IFERROR(INDEX('القوائم'!$B$1:$B$288,MATCH(TRIM(D384),'القوائم'!$A$1:$A$288,0)),IFERROR(MOD(TIMEVALUE(D384),1),""))))</f>
        <v/>
      </c>
      <c r="M384">
        <f>M380</f>
        <v/>
      </c>
      <c r="Q384">
        <f>IF(N(G390)&gt;0,1,0)</f>
        <v/>
      </c>
    </row>
    <row r="385">
      <c r="A385" s="20">
        <f>IF(35&lt;=NW,SAT1+242,"")</f>
        <v/>
      </c>
      <c r="B385" s="21">
        <f>IF(A385="","",CHOOSE(WEEKDAY(A385,1),"الأحد","الاثنين","الثلاثاء","الأربعاء","الخميس","الجمعة","السبت"))</f>
        <v/>
      </c>
      <c r="C385" s="22" t="n"/>
      <c r="D385" s="22" t="n"/>
      <c r="E385" s="23">
        <f>IF(OR(M385=0,K385="",L385=""),"",MOD(L385-K385,1))</f>
        <v/>
      </c>
      <c r="F385" s="23">
        <f>IF(OR(E385="",M385=0),"",IF(WEEKDAY(A385,1)=6,E385,MIN(E385,MAX(0,MIN(IF(L385&lt;K385,L385+1,L385),OMR_OT_AT)-K385))))</f>
        <v/>
      </c>
      <c r="G385" s="23">
        <f>IF(OR(E385="",M385=0),"",MAX(0,E385-F385))</f>
        <v/>
      </c>
      <c r="H385" s="24">
        <f>IF(OR(E385="",M385=0),"",ROUND((F385*$N$380+G385*$O$380)*24,3))</f>
        <v/>
      </c>
      <c r="I385" s="22" t="n"/>
      <c r="K385" s="25">
        <f>IF(OR(M385=0,C385=""),"",IF(ISNUMBER(C385),MOD(C385,1),IFERROR(INDEX('القوائم'!$B$1:$B$288,MATCH(TRIM(C385),'القوائم'!$A$1:$A$288,0)),IFERROR(MOD(TIMEVALUE(C385),1),""))))</f>
        <v/>
      </c>
      <c r="L385" s="25">
        <f>IF(OR(M385=0,D385=""),"",IF(ISNUMBER(D385),MOD(D385,1),IFERROR(INDEX('القوائم'!$B$1:$B$288,MATCH(TRIM(D385),'القوائم'!$A$1:$A$288,0)),IFERROR(MOD(TIMEVALUE(D385),1),""))))</f>
        <v/>
      </c>
      <c r="M385">
        <f>M380</f>
        <v/>
      </c>
      <c r="Q385">
        <f>IF(N(G390)&gt;0,1,0)</f>
        <v/>
      </c>
    </row>
    <row r="386">
      <c r="A386" s="20">
        <f>IF(35&lt;=NW,SAT1+243,"")</f>
        <v/>
      </c>
      <c r="B386" s="21">
        <f>IF(A386="","",CHOOSE(WEEKDAY(A386,1),"الأحد","الاثنين","الثلاثاء","الأربعاء","الخميس","الجمعة","السبت"))</f>
        <v/>
      </c>
      <c r="C386" s="22" t="n"/>
      <c r="D386" s="22" t="n"/>
      <c r="E386" s="23">
        <f>IF(OR(M386=0,K386="",L386=""),"",MOD(L386-K386,1))</f>
        <v/>
      </c>
      <c r="F386" s="23">
        <f>IF(OR(E386="",M386=0),"",IF(WEEKDAY(A386,1)=6,E386,MIN(E386,MAX(0,MIN(IF(L386&lt;K386,L386+1,L386),OMR_OT_AT)-K386))))</f>
        <v/>
      </c>
      <c r="G386" s="23">
        <f>IF(OR(E386="",M386=0),"",MAX(0,E386-F386))</f>
        <v/>
      </c>
      <c r="H386" s="24">
        <f>IF(OR(E386="",M386=0),"",ROUND((F386*$N$380+G386*$O$380)*24,3))</f>
        <v/>
      </c>
      <c r="I386" s="22" t="n"/>
      <c r="K386" s="25">
        <f>IF(OR(M386=0,C386=""),"",IF(ISNUMBER(C386),MOD(C386,1),IFERROR(INDEX('القوائم'!$B$1:$B$288,MATCH(TRIM(C386),'القوائم'!$A$1:$A$288,0)),IFERROR(MOD(TIMEVALUE(C386),1),""))))</f>
        <v/>
      </c>
      <c r="L386" s="25">
        <f>IF(OR(M386=0,D386=""),"",IF(ISNUMBER(D386),MOD(D386,1),IFERROR(INDEX('القوائم'!$B$1:$B$288,MATCH(TRIM(D386),'القوائم'!$A$1:$A$288,0)),IFERROR(MOD(TIMEVALUE(D386),1),""))))</f>
        <v/>
      </c>
      <c r="M386">
        <f>M380</f>
        <v/>
      </c>
      <c r="Q386">
        <f>IF(N(G390)&gt;0,1,0)</f>
        <v/>
      </c>
    </row>
    <row r="387">
      <c r="A387" s="26">
        <f>IF(35&lt;=NW,SAT1+244,"")</f>
        <v/>
      </c>
      <c r="B387" s="27">
        <f>IF(A387="","",CHOOSE(WEEKDAY(A387,1),"الأحد","الاثنين","الثلاثاء","الأربعاء","الخميس","الجمعة","السبت"))</f>
        <v/>
      </c>
      <c r="C387" s="22" t="n"/>
      <c r="D387" s="22" t="n"/>
      <c r="E387" s="23">
        <f>IF(OR(M387=0,K387="",L387=""),"",MOD(L387-K387,1))</f>
        <v/>
      </c>
      <c r="F387" s="23">
        <f>IF(OR(E387="",M387=0),"",IF(WEEKDAY(A387,1)=6,E387,MIN(E387,MAX(0,MIN(IF(L387&lt;K387,L387+1,L387),OMR_OT_AT)-K387))))</f>
        <v/>
      </c>
      <c r="G387" s="23">
        <f>IF(OR(E387="",M387=0),"",MAX(0,E387-F387))</f>
        <v/>
      </c>
      <c r="H387" s="24">
        <f>IF(OR(E387="",M387=0),"",ROUND((F387*$N$380+G387*$O$380)*24,3))</f>
        <v/>
      </c>
      <c r="I387" s="22" t="n"/>
      <c r="K387" s="25">
        <f>IF(OR(M387=0,C387=""),"",IF(ISNUMBER(C387),MOD(C387,1),IFERROR(INDEX('القوائم'!$B$1:$B$288,MATCH(TRIM(C387),'القوائم'!$A$1:$A$288,0)),IFERROR(MOD(TIMEVALUE(C387),1),""))))</f>
        <v/>
      </c>
      <c r="L387" s="25">
        <f>IF(OR(M387=0,D387=""),"",IF(ISNUMBER(D387),MOD(D387,1),IFERROR(INDEX('القوائم'!$B$1:$B$288,MATCH(TRIM(D387),'القوائم'!$A$1:$A$288,0)),IFERROR(MOD(TIMEVALUE(D387),1),""))))</f>
        <v/>
      </c>
      <c r="M387">
        <f>M380</f>
        <v/>
      </c>
      <c r="Q387">
        <f>IF(N(G390)&gt;0,1,0)</f>
        <v/>
      </c>
    </row>
    <row r="388">
      <c r="A388" s="28">
        <f>IF(M380=1,"مجموع أيام الأسبوع 35","")</f>
        <v/>
      </c>
      <c r="B388" s="28" t="n"/>
      <c r="C388" s="28" t="n"/>
      <c r="D388" s="28" t="n"/>
      <c r="E388" s="29">
        <f>IF(M380=1,SUM(E381:E387),"")</f>
        <v/>
      </c>
      <c r="F388" s="29">
        <f>IF(M380=1,SUM(F381:F387),"")</f>
        <v/>
      </c>
      <c r="G388" s="29">
        <f>IF(M380=1,SUM(G381:G387),"")</f>
        <v/>
      </c>
      <c r="H388" s="30">
        <f>IF(M380=1,SUM(H381:H387),"")</f>
        <v/>
      </c>
      <c r="I388" s="28" t="n"/>
    </row>
    <row r="389" ht="32" customHeight="1">
      <c r="A389" s="28">
        <f>IF(M380=1,"ساعات تحميل الجبسمبورد بهالأسبوع (رقم: 2 أو 1.5) ←","")</f>
        <v/>
      </c>
      <c r="E389" s="31" t="n"/>
      <c r="F389" s="32">
        <f>IF(M380=1,"المستحق النهائي للأسبوع (دينار) ←","")</f>
        <v/>
      </c>
      <c r="H389" s="33">
        <f>IF(M380=1,IF(ROUND_MODE="للأعلى",CEILING(ROUND((N(H388)+N(E389)*($P$380-$N$380)),3),0.25),ROUND((N(H388)+N(E389)*($P$380-$N$380))*4,0)/4),"")</f>
        <v/>
      </c>
      <c r="I389" s="34">
        <f>IF(M380=1,"قبل الجبر: "&amp;TEXT(N(H388)+N(E389)*($P$380-$N$380),"0.000"),"")</f>
        <v/>
      </c>
    </row>
    <row r="390" ht="26" customHeight="1">
      <c r="A390" s="28">
        <f>IF(M380=1,"إكرامية الأسبوع (دينار) ←","")</f>
        <v/>
      </c>
      <c r="D390" s="35" t="n"/>
      <c r="E390" s="28">
        <f>IF(M380=1,"المدفوع يوم الجمعة (دينار) ←","")</f>
        <v/>
      </c>
      <c r="G390" s="35" t="n"/>
      <c r="H390" s="36">
        <f>IF(M380=1,IF(N(G390)&gt;0,"✔ انقبض — الأسبوع مقفول","⏳ لسا ما انقبض"),"")</f>
        <v/>
      </c>
    </row>
    <row r="391" ht="26" customHeight="1">
      <c r="A391" s="18">
        <f>IF(36&lt;=NW,"الأسبوع 36 · السبت "&amp;TEXT(DAY(SAT1+245),"00")&amp;"/"&amp;TEXT(MONTH(SAT1+245),"00")&amp;" ← الجمعة "&amp;TEXT(DAY(SAT1+251),"00")&amp;"/"&amp;TEXT(MONTH(SAT1+251),"00")&amp;" (يوم القبض)"&amp;IF(36&lt;START_O,"   — قبل أسبوع البداية (ما بينحسب)",""),"ما في أسبوع 36 هالسنة")</f>
        <v/>
      </c>
      <c r="L391" s="19">
        <f>IF(36&lt;=NW,SAT1+251,"")</f>
        <v/>
      </c>
      <c r="M391">
        <f>IF(AND(36&lt;=NW,36&gt;=START_O),1,0)</f>
        <v/>
      </c>
      <c r="N391">
        <f>IFERROR(INDEX(RT_OMR,MATCH(L391,RT_K,1)),INDEX(RT_OMR,1))</f>
        <v/>
      </c>
      <c r="O391">
        <f>IFERROR(INDEX(RT_OT,MATCH(L391,RT_K,1)),INDEX(RT_OT,1))</f>
        <v/>
      </c>
      <c r="P391">
        <f>IFERROR(INDEX(RT_GYP,MATCH(L391,RT_K,1)),INDEX(RT_GYP,1))</f>
        <v/>
      </c>
    </row>
    <row r="392">
      <c r="A392" s="20">
        <f>IF(36&lt;=NW,SAT1+245,"")</f>
        <v/>
      </c>
      <c r="B392" s="21">
        <f>IF(A392="","",CHOOSE(WEEKDAY(A392,1),"الأحد","الاثنين","الثلاثاء","الأربعاء","الخميس","الجمعة","السبت"))</f>
        <v/>
      </c>
      <c r="C392" s="22" t="n"/>
      <c r="D392" s="22" t="n"/>
      <c r="E392" s="23">
        <f>IF(OR(M392=0,K392="",L392=""),"",MOD(L392-K392,1))</f>
        <v/>
      </c>
      <c r="F392" s="23">
        <f>IF(OR(E392="",M392=0),"",IF(WEEKDAY(A392,1)=6,E392,MIN(E392,MAX(0,MIN(IF(L392&lt;K392,L392+1,L392),OMR_OT_AT)-K392))))</f>
        <v/>
      </c>
      <c r="G392" s="23">
        <f>IF(OR(E392="",M392=0),"",MAX(0,E392-F392))</f>
        <v/>
      </c>
      <c r="H392" s="24">
        <f>IF(OR(E392="",M392=0),"",ROUND((F392*$N$391+G392*$O$391)*24,3))</f>
        <v/>
      </c>
      <c r="I392" s="22" t="n"/>
      <c r="K392" s="25">
        <f>IF(OR(M392=0,C392=""),"",IF(ISNUMBER(C392),MOD(C392,1),IFERROR(INDEX('القوائم'!$B$1:$B$288,MATCH(TRIM(C392),'القوائم'!$A$1:$A$288,0)),IFERROR(MOD(TIMEVALUE(C392),1),""))))</f>
        <v/>
      </c>
      <c r="L392" s="25">
        <f>IF(OR(M392=0,D392=""),"",IF(ISNUMBER(D392),MOD(D392,1),IFERROR(INDEX('القوائم'!$B$1:$B$288,MATCH(TRIM(D392),'القوائم'!$A$1:$A$288,0)),IFERROR(MOD(TIMEVALUE(D392),1),""))))</f>
        <v/>
      </c>
      <c r="M392">
        <f>M391</f>
        <v/>
      </c>
      <c r="Q392">
        <f>IF(N(G401)&gt;0,1,0)</f>
        <v/>
      </c>
    </row>
    <row r="393">
      <c r="A393" s="20">
        <f>IF(36&lt;=NW,SAT1+246,"")</f>
        <v/>
      </c>
      <c r="B393" s="21">
        <f>IF(A393="","",CHOOSE(WEEKDAY(A393,1),"الأحد","الاثنين","الثلاثاء","الأربعاء","الخميس","الجمعة","السبت"))</f>
        <v/>
      </c>
      <c r="C393" s="22" t="n"/>
      <c r="D393" s="22" t="n"/>
      <c r="E393" s="23">
        <f>IF(OR(M393=0,K393="",L393=""),"",MOD(L393-K393,1))</f>
        <v/>
      </c>
      <c r="F393" s="23">
        <f>IF(OR(E393="",M393=0),"",IF(WEEKDAY(A393,1)=6,E393,MIN(E393,MAX(0,MIN(IF(L393&lt;K393,L393+1,L393),OMR_OT_AT)-K393))))</f>
        <v/>
      </c>
      <c r="G393" s="23">
        <f>IF(OR(E393="",M393=0),"",MAX(0,E393-F393))</f>
        <v/>
      </c>
      <c r="H393" s="24">
        <f>IF(OR(E393="",M393=0),"",ROUND((F393*$N$391+G393*$O$391)*24,3))</f>
        <v/>
      </c>
      <c r="I393" s="22" t="n"/>
      <c r="K393" s="25">
        <f>IF(OR(M393=0,C393=""),"",IF(ISNUMBER(C393),MOD(C393,1),IFERROR(INDEX('القوائم'!$B$1:$B$288,MATCH(TRIM(C393),'القوائم'!$A$1:$A$288,0)),IFERROR(MOD(TIMEVALUE(C393),1),""))))</f>
        <v/>
      </c>
      <c r="L393" s="25">
        <f>IF(OR(M393=0,D393=""),"",IF(ISNUMBER(D393),MOD(D393,1),IFERROR(INDEX('القوائم'!$B$1:$B$288,MATCH(TRIM(D393),'القوائم'!$A$1:$A$288,0)),IFERROR(MOD(TIMEVALUE(D393),1),""))))</f>
        <v/>
      </c>
      <c r="M393">
        <f>M391</f>
        <v/>
      </c>
      <c r="Q393">
        <f>IF(N(G401)&gt;0,1,0)</f>
        <v/>
      </c>
    </row>
    <row r="394">
      <c r="A394" s="20">
        <f>IF(36&lt;=NW,SAT1+247,"")</f>
        <v/>
      </c>
      <c r="B394" s="21">
        <f>IF(A394="","",CHOOSE(WEEKDAY(A394,1),"الأحد","الاثنين","الثلاثاء","الأربعاء","الخميس","الجمعة","السبت"))</f>
        <v/>
      </c>
      <c r="C394" s="22" t="n"/>
      <c r="D394" s="22" t="n"/>
      <c r="E394" s="23">
        <f>IF(OR(M394=0,K394="",L394=""),"",MOD(L394-K394,1))</f>
        <v/>
      </c>
      <c r="F394" s="23">
        <f>IF(OR(E394="",M394=0),"",IF(WEEKDAY(A394,1)=6,E394,MIN(E394,MAX(0,MIN(IF(L394&lt;K394,L394+1,L394),OMR_OT_AT)-K394))))</f>
        <v/>
      </c>
      <c r="G394" s="23">
        <f>IF(OR(E394="",M394=0),"",MAX(0,E394-F394))</f>
        <v/>
      </c>
      <c r="H394" s="24">
        <f>IF(OR(E394="",M394=0),"",ROUND((F394*$N$391+G394*$O$391)*24,3))</f>
        <v/>
      </c>
      <c r="I394" s="22" t="n"/>
      <c r="K394" s="25">
        <f>IF(OR(M394=0,C394=""),"",IF(ISNUMBER(C394),MOD(C394,1),IFERROR(INDEX('القوائم'!$B$1:$B$288,MATCH(TRIM(C394),'القوائم'!$A$1:$A$288,0)),IFERROR(MOD(TIMEVALUE(C394),1),""))))</f>
        <v/>
      </c>
      <c r="L394" s="25">
        <f>IF(OR(M394=0,D394=""),"",IF(ISNUMBER(D394),MOD(D394,1),IFERROR(INDEX('القوائم'!$B$1:$B$288,MATCH(TRIM(D394),'القوائم'!$A$1:$A$288,0)),IFERROR(MOD(TIMEVALUE(D394),1),""))))</f>
        <v/>
      </c>
      <c r="M394">
        <f>M391</f>
        <v/>
      </c>
      <c r="Q394">
        <f>IF(N(G401)&gt;0,1,0)</f>
        <v/>
      </c>
    </row>
    <row r="395">
      <c r="A395" s="20">
        <f>IF(36&lt;=NW,SAT1+248,"")</f>
        <v/>
      </c>
      <c r="B395" s="21">
        <f>IF(A395="","",CHOOSE(WEEKDAY(A395,1),"الأحد","الاثنين","الثلاثاء","الأربعاء","الخميس","الجمعة","السبت"))</f>
        <v/>
      </c>
      <c r="C395" s="22" t="n"/>
      <c r="D395" s="22" t="n"/>
      <c r="E395" s="23">
        <f>IF(OR(M395=0,K395="",L395=""),"",MOD(L395-K395,1))</f>
        <v/>
      </c>
      <c r="F395" s="23">
        <f>IF(OR(E395="",M395=0),"",IF(WEEKDAY(A395,1)=6,E395,MIN(E395,MAX(0,MIN(IF(L395&lt;K395,L395+1,L395),OMR_OT_AT)-K395))))</f>
        <v/>
      </c>
      <c r="G395" s="23">
        <f>IF(OR(E395="",M395=0),"",MAX(0,E395-F395))</f>
        <v/>
      </c>
      <c r="H395" s="24">
        <f>IF(OR(E395="",M395=0),"",ROUND((F395*$N$391+G395*$O$391)*24,3))</f>
        <v/>
      </c>
      <c r="I395" s="22" t="n"/>
      <c r="K395" s="25">
        <f>IF(OR(M395=0,C395=""),"",IF(ISNUMBER(C395),MOD(C395,1),IFERROR(INDEX('القوائم'!$B$1:$B$288,MATCH(TRIM(C395),'القوائم'!$A$1:$A$288,0)),IFERROR(MOD(TIMEVALUE(C395),1),""))))</f>
        <v/>
      </c>
      <c r="L395" s="25">
        <f>IF(OR(M395=0,D395=""),"",IF(ISNUMBER(D395),MOD(D395,1),IFERROR(INDEX('القوائم'!$B$1:$B$288,MATCH(TRIM(D395),'القوائم'!$A$1:$A$288,0)),IFERROR(MOD(TIMEVALUE(D395),1),""))))</f>
        <v/>
      </c>
      <c r="M395">
        <f>M391</f>
        <v/>
      </c>
      <c r="Q395">
        <f>IF(N(G401)&gt;0,1,0)</f>
        <v/>
      </c>
    </row>
    <row r="396">
      <c r="A396" s="20">
        <f>IF(36&lt;=NW,SAT1+249,"")</f>
        <v/>
      </c>
      <c r="B396" s="21">
        <f>IF(A396="","",CHOOSE(WEEKDAY(A396,1),"الأحد","الاثنين","الثلاثاء","الأربعاء","الخميس","الجمعة","السبت"))</f>
        <v/>
      </c>
      <c r="C396" s="22" t="n"/>
      <c r="D396" s="22" t="n"/>
      <c r="E396" s="23">
        <f>IF(OR(M396=0,K396="",L396=""),"",MOD(L396-K396,1))</f>
        <v/>
      </c>
      <c r="F396" s="23">
        <f>IF(OR(E396="",M396=0),"",IF(WEEKDAY(A396,1)=6,E396,MIN(E396,MAX(0,MIN(IF(L396&lt;K396,L396+1,L396),OMR_OT_AT)-K396))))</f>
        <v/>
      </c>
      <c r="G396" s="23">
        <f>IF(OR(E396="",M396=0),"",MAX(0,E396-F396))</f>
        <v/>
      </c>
      <c r="H396" s="24">
        <f>IF(OR(E396="",M396=0),"",ROUND((F396*$N$391+G396*$O$391)*24,3))</f>
        <v/>
      </c>
      <c r="I396" s="22" t="n"/>
      <c r="K396" s="25">
        <f>IF(OR(M396=0,C396=""),"",IF(ISNUMBER(C396),MOD(C396,1),IFERROR(INDEX('القوائم'!$B$1:$B$288,MATCH(TRIM(C396),'القوائم'!$A$1:$A$288,0)),IFERROR(MOD(TIMEVALUE(C396),1),""))))</f>
        <v/>
      </c>
      <c r="L396" s="25">
        <f>IF(OR(M396=0,D396=""),"",IF(ISNUMBER(D396),MOD(D396,1),IFERROR(INDEX('القوائم'!$B$1:$B$288,MATCH(TRIM(D396),'القوائم'!$A$1:$A$288,0)),IFERROR(MOD(TIMEVALUE(D396),1),""))))</f>
        <v/>
      </c>
      <c r="M396">
        <f>M391</f>
        <v/>
      </c>
      <c r="Q396">
        <f>IF(N(G401)&gt;0,1,0)</f>
        <v/>
      </c>
    </row>
    <row r="397">
      <c r="A397" s="20">
        <f>IF(36&lt;=NW,SAT1+250,"")</f>
        <v/>
      </c>
      <c r="B397" s="21">
        <f>IF(A397="","",CHOOSE(WEEKDAY(A397,1),"الأحد","الاثنين","الثلاثاء","الأربعاء","الخميس","الجمعة","السبت"))</f>
        <v/>
      </c>
      <c r="C397" s="22" t="n"/>
      <c r="D397" s="22" t="n"/>
      <c r="E397" s="23">
        <f>IF(OR(M397=0,K397="",L397=""),"",MOD(L397-K397,1))</f>
        <v/>
      </c>
      <c r="F397" s="23">
        <f>IF(OR(E397="",M397=0),"",IF(WEEKDAY(A397,1)=6,E397,MIN(E397,MAX(0,MIN(IF(L397&lt;K397,L397+1,L397),OMR_OT_AT)-K397))))</f>
        <v/>
      </c>
      <c r="G397" s="23">
        <f>IF(OR(E397="",M397=0),"",MAX(0,E397-F397))</f>
        <v/>
      </c>
      <c r="H397" s="24">
        <f>IF(OR(E397="",M397=0),"",ROUND((F397*$N$391+G397*$O$391)*24,3))</f>
        <v/>
      </c>
      <c r="I397" s="22" t="n"/>
      <c r="K397" s="25">
        <f>IF(OR(M397=0,C397=""),"",IF(ISNUMBER(C397),MOD(C397,1),IFERROR(INDEX('القوائم'!$B$1:$B$288,MATCH(TRIM(C397),'القوائم'!$A$1:$A$288,0)),IFERROR(MOD(TIMEVALUE(C397),1),""))))</f>
        <v/>
      </c>
      <c r="L397" s="25">
        <f>IF(OR(M397=0,D397=""),"",IF(ISNUMBER(D397),MOD(D397,1),IFERROR(INDEX('القوائم'!$B$1:$B$288,MATCH(TRIM(D397),'القوائم'!$A$1:$A$288,0)),IFERROR(MOD(TIMEVALUE(D397),1),""))))</f>
        <v/>
      </c>
      <c r="M397">
        <f>M391</f>
        <v/>
      </c>
      <c r="Q397">
        <f>IF(N(G401)&gt;0,1,0)</f>
        <v/>
      </c>
    </row>
    <row r="398">
      <c r="A398" s="26">
        <f>IF(36&lt;=NW,SAT1+251,"")</f>
        <v/>
      </c>
      <c r="B398" s="27">
        <f>IF(A398="","",CHOOSE(WEEKDAY(A398,1),"الأحد","الاثنين","الثلاثاء","الأربعاء","الخميس","الجمعة","السبت"))</f>
        <v/>
      </c>
      <c r="C398" s="22" t="n"/>
      <c r="D398" s="22" t="n"/>
      <c r="E398" s="23">
        <f>IF(OR(M398=0,K398="",L398=""),"",MOD(L398-K398,1))</f>
        <v/>
      </c>
      <c r="F398" s="23">
        <f>IF(OR(E398="",M398=0),"",IF(WEEKDAY(A398,1)=6,E398,MIN(E398,MAX(0,MIN(IF(L398&lt;K398,L398+1,L398),OMR_OT_AT)-K398))))</f>
        <v/>
      </c>
      <c r="G398" s="23">
        <f>IF(OR(E398="",M398=0),"",MAX(0,E398-F398))</f>
        <v/>
      </c>
      <c r="H398" s="24">
        <f>IF(OR(E398="",M398=0),"",ROUND((F398*$N$391+G398*$O$391)*24,3))</f>
        <v/>
      </c>
      <c r="I398" s="22" t="n"/>
      <c r="K398" s="25">
        <f>IF(OR(M398=0,C398=""),"",IF(ISNUMBER(C398),MOD(C398,1),IFERROR(INDEX('القوائم'!$B$1:$B$288,MATCH(TRIM(C398),'القوائم'!$A$1:$A$288,0)),IFERROR(MOD(TIMEVALUE(C398),1),""))))</f>
        <v/>
      </c>
      <c r="L398" s="25">
        <f>IF(OR(M398=0,D398=""),"",IF(ISNUMBER(D398),MOD(D398,1),IFERROR(INDEX('القوائم'!$B$1:$B$288,MATCH(TRIM(D398),'القوائم'!$A$1:$A$288,0)),IFERROR(MOD(TIMEVALUE(D398),1),""))))</f>
        <v/>
      </c>
      <c r="M398">
        <f>M391</f>
        <v/>
      </c>
      <c r="Q398">
        <f>IF(N(G401)&gt;0,1,0)</f>
        <v/>
      </c>
    </row>
    <row r="399">
      <c r="A399" s="28">
        <f>IF(M391=1,"مجموع أيام الأسبوع 36","")</f>
        <v/>
      </c>
      <c r="B399" s="28" t="n"/>
      <c r="C399" s="28" t="n"/>
      <c r="D399" s="28" t="n"/>
      <c r="E399" s="29">
        <f>IF(M391=1,SUM(E392:E398),"")</f>
        <v/>
      </c>
      <c r="F399" s="29">
        <f>IF(M391=1,SUM(F392:F398),"")</f>
        <v/>
      </c>
      <c r="G399" s="29">
        <f>IF(M391=1,SUM(G392:G398),"")</f>
        <v/>
      </c>
      <c r="H399" s="30">
        <f>IF(M391=1,SUM(H392:H398),"")</f>
        <v/>
      </c>
      <c r="I399" s="28" t="n"/>
    </row>
    <row r="400" ht="32" customHeight="1">
      <c r="A400" s="28">
        <f>IF(M391=1,"ساعات تحميل الجبسمبورد بهالأسبوع (رقم: 2 أو 1.5) ←","")</f>
        <v/>
      </c>
      <c r="E400" s="31" t="n"/>
      <c r="F400" s="32">
        <f>IF(M391=1,"المستحق النهائي للأسبوع (دينار) ←","")</f>
        <v/>
      </c>
      <c r="H400" s="33">
        <f>IF(M391=1,IF(ROUND_MODE="للأعلى",CEILING(ROUND((N(H399)+N(E400)*($P$391-$N$391)),3),0.25),ROUND((N(H399)+N(E400)*($P$391-$N$391))*4,0)/4),"")</f>
        <v/>
      </c>
      <c r="I400" s="34">
        <f>IF(M391=1,"قبل الجبر: "&amp;TEXT(N(H399)+N(E400)*($P$391-$N$391),"0.000"),"")</f>
        <v/>
      </c>
    </row>
    <row r="401" ht="26" customHeight="1">
      <c r="A401" s="28">
        <f>IF(M391=1,"إكرامية الأسبوع (دينار) ←","")</f>
        <v/>
      </c>
      <c r="D401" s="35" t="n"/>
      <c r="E401" s="28">
        <f>IF(M391=1,"المدفوع يوم الجمعة (دينار) ←","")</f>
        <v/>
      </c>
      <c r="G401" s="35" t="n"/>
      <c r="H401" s="36">
        <f>IF(M391=1,IF(N(G401)&gt;0,"✔ انقبض — الأسبوع مقفول","⏳ لسا ما انقبض"),"")</f>
        <v/>
      </c>
    </row>
    <row r="402" ht="26" customHeight="1">
      <c r="A402" s="18">
        <f>IF(37&lt;=NW,"الأسبوع 37 · السبت "&amp;TEXT(DAY(SAT1+252),"00")&amp;"/"&amp;TEXT(MONTH(SAT1+252),"00")&amp;" ← الجمعة "&amp;TEXT(DAY(SAT1+258),"00")&amp;"/"&amp;TEXT(MONTH(SAT1+258),"00")&amp;" (يوم القبض)"&amp;IF(37&lt;START_O,"   — قبل أسبوع البداية (ما بينحسب)",""),"ما في أسبوع 37 هالسنة")</f>
        <v/>
      </c>
      <c r="L402" s="19">
        <f>IF(37&lt;=NW,SAT1+258,"")</f>
        <v/>
      </c>
      <c r="M402">
        <f>IF(AND(37&lt;=NW,37&gt;=START_O),1,0)</f>
        <v/>
      </c>
      <c r="N402">
        <f>IFERROR(INDEX(RT_OMR,MATCH(L402,RT_K,1)),INDEX(RT_OMR,1))</f>
        <v/>
      </c>
      <c r="O402">
        <f>IFERROR(INDEX(RT_OT,MATCH(L402,RT_K,1)),INDEX(RT_OT,1))</f>
        <v/>
      </c>
      <c r="P402">
        <f>IFERROR(INDEX(RT_GYP,MATCH(L402,RT_K,1)),INDEX(RT_GYP,1))</f>
        <v/>
      </c>
    </row>
    <row r="403">
      <c r="A403" s="20">
        <f>IF(37&lt;=NW,SAT1+252,"")</f>
        <v/>
      </c>
      <c r="B403" s="21">
        <f>IF(A403="","",CHOOSE(WEEKDAY(A403,1),"الأحد","الاثنين","الثلاثاء","الأربعاء","الخميس","الجمعة","السبت"))</f>
        <v/>
      </c>
      <c r="C403" s="22" t="n"/>
      <c r="D403" s="22" t="n"/>
      <c r="E403" s="23">
        <f>IF(OR(M403=0,K403="",L403=""),"",MOD(L403-K403,1))</f>
        <v/>
      </c>
      <c r="F403" s="23">
        <f>IF(OR(E403="",M403=0),"",IF(WEEKDAY(A403,1)=6,E403,MIN(E403,MAX(0,MIN(IF(L403&lt;K403,L403+1,L403),OMR_OT_AT)-K403))))</f>
        <v/>
      </c>
      <c r="G403" s="23">
        <f>IF(OR(E403="",M403=0),"",MAX(0,E403-F403))</f>
        <v/>
      </c>
      <c r="H403" s="24">
        <f>IF(OR(E403="",M403=0),"",ROUND((F403*$N$402+G403*$O$402)*24,3))</f>
        <v/>
      </c>
      <c r="I403" s="22" t="n"/>
      <c r="K403" s="25">
        <f>IF(OR(M403=0,C403=""),"",IF(ISNUMBER(C403),MOD(C403,1),IFERROR(INDEX('القوائم'!$B$1:$B$288,MATCH(TRIM(C403),'القوائم'!$A$1:$A$288,0)),IFERROR(MOD(TIMEVALUE(C403),1),""))))</f>
        <v/>
      </c>
      <c r="L403" s="25">
        <f>IF(OR(M403=0,D403=""),"",IF(ISNUMBER(D403),MOD(D403,1),IFERROR(INDEX('القوائم'!$B$1:$B$288,MATCH(TRIM(D403),'القوائم'!$A$1:$A$288,0)),IFERROR(MOD(TIMEVALUE(D403),1),""))))</f>
        <v/>
      </c>
      <c r="M403">
        <f>M402</f>
        <v/>
      </c>
      <c r="Q403">
        <f>IF(N(G412)&gt;0,1,0)</f>
        <v/>
      </c>
    </row>
    <row r="404">
      <c r="A404" s="20">
        <f>IF(37&lt;=NW,SAT1+253,"")</f>
        <v/>
      </c>
      <c r="B404" s="21">
        <f>IF(A404="","",CHOOSE(WEEKDAY(A404,1),"الأحد","الاثنين","الثلاثاء","الأربعاء","الخميس","الجمعة","السبت"))</f>
        <v/>
      </c>
      <c r="C404" s="22" t="n"/>
      <c r="D404" s="22" t="n"/>
      <c r="E404" s="23">
        <f>IF(OR(M404=0,K404="",L404=""),"",MOD(L404-K404,1))</f>
        <v/>
      </c>
      <c r="F404" s="23">
        <f>IF(OR(E404="",M404=0),"",IF(WEEKDAY(A404,1)=6,E404,MIN(E404,MAX(0,MIN(IF(L404&lt;K404,L404+1,L404),OMR_OT_AT)-K404))))</f>
        <v/>
      </c>
      <c r="G404" s="23">
        <f>IF(OR(E404="",M404=0),"",MAX(0,E404-F404))</f>
        <v/>
      </c>
      <c r="H404" s="24">
        <f>IF(OR(E404="",M404=0),"",ROUND((F404*$N$402+G404*$O$402)*24,3))</f>
        <v/>
      </c>
      <c r="I404" s="22" t="n"/>
      <c r="K404" s="25">
        <f>IF(OR(M404=0,C404=""),"",IF(ISNUMBER(C404),MOD(C404,1),IFERROR(INDEX('القوائم'!$B$1:$B$288,MATCH(TRIM(C404),'القوائم'!$A$1:$A$288,0)),IFERROR(MOD(TIMEVALUE(C404),1),""))))</f>
        <v/>
      </c>
      <c r="L404" s="25">
        <f>IF(OR(M404=0,D404=""),"",IF(ISNUMBER(D404),MOD(D404,1),IFERROR(INDEX('القوائم'!$B$1:$B$288,MATCH(TRIM(D404),'القوائم'!$A$1:$A$288,0)),IFERROR(MOD(TIMEVALUE(D404),1),""))))</f>
        <v/>
      </c>
      <c r="M404">
        <f>M402</f>
        <v/>
      </c>
      <c r="Q404">
        <f>IF(N(G412)&gt;0,1,0)</f>
        <v/>
      </c>
    </row>
    <row r="405">
      <c r="A405" s="20">
        <f>IF(37&lt;=NW,SAT1+254,"")</f>
        <v/>
      </c>
      <c r="B405" s="21">
        <f>IF(A405="","",CHOOSE(WEEKDAY(A405,1),"الأحد","الاثنين","الثلاثاء","الأربعاء","الخميس","الجمعة","السبت"))</f>
        <v/>
      </c>
      <c r="C405" s="22" t="n"/>
      <c r="D405" s="22" t="n"/>
      <c r="E405" s="23">
        <f>IF(OR(M405=0,K405="",L405=""),"",MOD(L405-K405,1))</f>
        <v/>
      </c>
      <c r="F405" s="23">
        <f>IF(OR(E405="",M405=0),"",IF(WEEKDAY(A405,1)=6,E405,MIN(E405,MAX(0,MIN(IF(L405&lt;K405,L405+1,L405),OMR_OT_AT)-K405))))</f>
        <v/>
      </c>
      <c r="G405" s="23">
        <f>IF(OR(E405="",M405=0),"",MAX(0,E405-F405))</f>
        <v/>
      </c>
      <c r="H405" s="24">
        <f>IF(OR(E405="",M405=0),"",ROUND((F405*$N$402+G405*$O$402)*24,3))</f>
        <v/>
      </c>
      <c r="I405" s="22" t="n"/>
      <c r="K405" s="25">
        <f>IF(OR(M405=0,C405=""),"",IF(ISNUMBER(C405),MOD(C405,1),IFERROR(INDEX('القوائم'!$B$1:$B$288,MATCH(TRIM(C405),'القوائم'!$A$1:$A$288,0)),IFERROR(MOD(TIMEVALUE(C405),1),""))))</f>
        <v/>
      </c>
      <c r="L405" s="25">
        <f>IF(OR(M405=0,D405=""),"",IF(ISNUMBER(D405),MOD(D405,1),IFERROR(INDEX('القوائم'!$B$1:$B$288,MATCH(TRIM(D405),'القوائم'!$A$1:$A$288,0)),IFERROR(MOD(TIMEVALUE(D405),1),""))))</f>
        <v/>
      </c>
      <c r="M405">
        <f>M402</f>
        <v/>
      </c>
      <c r="Q405">
        <f>IF(N(G412)&gt;0,1,0)</f>
        <v/>
      </c>
    </row>
    <row r="406">
      <c r="A406" s="20">
        <f>IF(37&lt;=NW,SAT1+255,"")</f>
        <v/>
      </c>
      <c r="B406" s="21">
        <f>IF(A406="","",CHOOSE(WEEKDAY(A406,1),"الأحد","الاثنين","الثلاثاء","الأربعاء","الخميس","الجمعة","السبت"))</f>
        <v/>
      </c>
      <c r="C406" s="22" t="n"/>
      <c r="D406" s="22" t="n"/>
      <c r="E406" s="23">
        <f>IF(OR(M406=0,K406="",L406=""),"",MOD(L406-K406,1))</f>
        <v/>
      </c>
      <c r="F406" s="23">
        <f>IF(OR(E406="",M406=0),"",IF(WEEKDAY(A406,1)=6,E406,MIN(E406,MAX(0,MIN(IF(L406&lt;K406,L406+1,L406),OMR_OT_AT)-K406))))</f>
        <v/>
      </c>
      <c r="G406" s="23">
        <f>IF(OR(E406="",M406=0),"",MAX(0,E406-F406))</f>
        <v/>
      </c>
      <c r="H406" s="24">
        <f>IF(OR(E406="",M406=0),"",ROUND((F406*$N$402+G406*$O$402)*24,3))</f>
        <v/>
      </c>
      <c r="I406" s="22" t="n"/>
      <c r="K406" s="25">
        <f>IF(OR(M406=0,C406=""),"",IF(ISNUMBER(C406),MOD(C406,1),IFERROR(INDEX('القوائم'!$B$1:$B$288,MATCH(TRIM(C406),'القوائم'!$A$1:$A$288,0)),IFERROR(MOD(TIMEVALUE(C406),1),""))))</f>
        <v/>
      </c>
      <c r="L406" s="25">
        <f>IF(OR(M406=0,D406=""),"",IF(ISNUMBER(D406),MOD(D406,1),IFERROR(INDEX('القوائم'!$B$1:$B$288,MATCH(TRIM(D406),'القوائم'!$A$1:$A$288,0)),IFERROR(MOD(TIMEVALUE(D406),1),""))))</f>
        <v/>
      </c>
      <c r="M406">
        <f>M402</f>
        <v/>
      </c>
      <c r="Q406">
        <f>IF(N(G412)&gt;0,1,0)</f>
        <v/>
      </c>
    </row>
    <row r="407">
      <c r="A407" s="20">
        <f>IF(37&lt;=NW,SAT1+256,"")</f>
        <v/>
      </c>
      <c r="B407" s="21">
        <f>IF(A407="","",CHOOSE(WEEKDAY(A407,1),"الأحد","الاثنين","الثلاثاء","الأربعاء","الخميس","الجمعة","السبت"))</f>
        <v/>
      </c>
      <c r="C407" s="22" t="n"/>
      <c r="D407" s="22" t="n"/>
      <c r="E407" s="23">
        <f>IF(OR(M407=0,K407="",L407=""),"",MOD(L407-K407,1))</f>
        <v/>
      </c>
      <c r="F407" s="23">
        <f>IF(OR(E407="",M407=0),"",IF(WEEKDAY(A407,1)=6,E407,MIN(E407,MAX(0,MIN(IF(L407&lt;K407,L407+1,L407),OMR_OT_AT)-K407))))</f>
        <v/>
      </c>
      <c r="G407" s="23">
        <f>IF(OR(E407="",M407=0),"",MAX(0,E407-F407))</f>
        <v/>
      </c>
      <c r="H407" s="24">
        <f>IF(OR(E407="",M407=0),"",ROUND((F407*$N$402+G407*$O$402)*24,3))</f>
        <v/>
      </c>
      <c r="I407" s="22" t="n"/>
      <c r="K407" s="25">
        <f>IF(OR(M407=0,C407=""),"",IF(ISNUMBER(C407),MOD(C407,1),IFERROR(INDEX('القوائم'!$B$1:$B$288,MATCH(TRIM(C407),'القوائم'!$A$1:$A$288,0)),IFERROR(MOD(TIMEVALUE(C407),1),""))))</f>
        <v/>
      </c>
      <c r="L407" s="25">
        <f>IF(OR(M407=0,D407=""),"",IF(ISNUMBER(D407),MOD(D407,1),IFERROR(INDEX('القوائم'!$B$1:$B$288,MATCH(TRIM(D407),'القوائم'!$A$1:$A$288,0)),IFERROR(MOD(TIMEVALUE(D407),1),""))))</f>
        <v/>
      </c>
      <c r="M407">
        <f>M402</f>
        <v/>
      </c>
      <c r="Q407">
        <f>IF(N(G412)&gt;0,1,0)</f>
        <v/>
      </c>
    </row>
    <row r="408">
      <c r="A408" s="20">
        <f>IF(37&lt;=NW,SAT1+257,"")</f>
        <v/>
      </c>
      <c r="B408" s="21">
        <f>IF(A408="","",CHOOSE(WEEKDAY(A408,1),"الأحد","الاثنين","الثلاثاء","الأربعاء","الخميس","الجمعة","السبت"))</f>
        <v/>
      </c>
      <c r="C408" s="22" t="n"/>
      <c r="D408" s="22" t="n"/>
      <c r="E408" s="23">
        <f>IF(OR(M408=0,K408="",L408=""),"",MOD(L408-K408,1))</f>
        <v/>
      </c>
      <c r="F408" s="23">
        <f>IF(OR(E408="",M408=0),"",IF(WEEKDAY(A408,1)=6,E408,MIN(E408,MAX(0,MIN(IF(L408&lt;K408,L408+1,L408),OMR_OT_AT)-K408))))</f>
        <v/>
      </c>
      <c r="G408" s="23">
        <f>IF(OR(E408="",M408=0),"",MAX(0,E408-F408))</f>
        <v/>
      </c>
      <c r="H408" s="24">
        <f>IF(OR(E408="",M408=0),"",ROUND((F408*$N$402+G408*$O$402)*24,3))</f>
        <v/>
      </c>
      <c r="I408" s="22" t="n"/>
      <c r="K408" s="25">
        <f>IF(OR(M408=0,C408=""),"",IF(ISNUMBER(C408),MOD(C408,1),IFERROR(INDEX('القوائم'!$B$1:$B$288,MATCH(TRIM(C408),'القوائم'!$A$1:$A$288,0)),IFERROR(MOD(TIMEVALUE(C408),1),""))))</f>
        <v/>
      </c>
      <c r="L408" s="25">
        <f>IF(OR(M408=0,D408=""),"",IF(ISNUMBER(D408),MOD(D408,1),IFERROR(INDEX('القوائم'!$B$1:$B$288,MATCH(TRIM(D408),'القوائم'!$A$1:$A$288,0)),IFERROR(MOD(TIMEVALUE(D408),1),""))))</f>
        <v/>
      </c>
      <c r="M408">
        <f>M402</f>
        <v/>
      </c>
      <c r="Q408">
        <f>IF(N(G412)&gt;0,1,0)</f>
        <v/>
      </c>
    </row>
    <row r="409">
      <c r="A409" s="26">
        <f>IF(37&lt;=NW,SAT1+258,"")</f>
        <v/>
      </c>
      <c r="B409" s="27">
        <f>IF(A409="","",CHOOSE(WEEKDAY(A409,1),"الأحد","الاثنين","الثلاثاء","الأربعاء","الخميس","الجمعة","السبت"))</f>
        <v/>
      </c>
      <c r="C409" s="22" t="n"/>
      <c r="D409" s="22" t="n"/>
      <c r="E409" s="23">
        <f>IF(OR(M409=0,K409="",L409=""),"",MOD(L409-K409,1))</f>
        <v/>
      </c>
      <c r="F409" s="23">
        <f>IF(OR(E409="",M409=0),"",IF(WEEKDAY(A409,1)=6,E409,MIN(E409,MAX(0,MIN(IF(L409&lt;K409,L409+1,L409),OMR_OT_AT)-K409))))</f>
        <v/>
      </c>
      <c r="G409" s="23">
        <f>IF(OR(E409="",M409=0),"",MAX(0,E409-F409))</f>
        <v/>
      </c>
      <c r="H409" s="24">
        <f>IF(OR(E409="",M409=0),"",ROUND((F409*$N$402+G409*$O$402)*24,3))</f>
        <v/>
      </c>
      <c r="I409" s="22" t="n"/>
      <c r="K409" s="25">
        <f>IF(OR(M409=0,C409=""),"",IF(ISNUMBER(C409),MOD(C409,1),IFERROR(INDEX('القوائم'!$B$1:$B$288,MATCH(TRIM(C409),'القوائم'!$A$1:$A$288,0)),IFERROR(MOD(TIMEVALUE(C409),1),""))))</f>
        <v/>
      </c>
      <c r="L409" s="25">
        <f>IF(OR(M409=0,D409=""),"",IF(ISNUMBER(D409),MOD(D409,1),IFERROR(INDEX('القوائم'!$B$1:$B$288,MATCH(TRIM(D409),'القوائم'!$A$1:$A$288,0)),IFERROR(MOD(TIMEVALUE(D409),1),""))))</f>
        <v/>
      </c>
      <c r="M409">
        <f>M402</f>
        <v/>
      </c>
      <c r="Q409">
        <f>IF(N(G412)&gt;0,1,0)</f>
        <v/>
      </c>
    </row>
    <row r="410">
      <c r="A410" s="28">
        <f>IF(M402=1,"مجموع أيام الأسبوع 37","")</f>
        <v/>
      </c>
      <c r="B410" s="28" t="n"/>
      <c r="C410" s="28" t="n"/>
      <c r="D410" s="28" t="n"/>
      <c r="E410" s="29">
        <f>IF(M402=1,SUM(E403:E409),"")</f>
        <v/>
      </c>
      <c r="F410" s="29">
        <f>IF(M402=1,SUM(F403:F409),"")</f>
        <v/>
      </c>
      <c r="G410" s="29">
        <f>IF(M402=1,SUM(G403:G409),"")</f>
        <v/>
      </c>
      <c r="H410" s="30">
        <f>IF(M402=1,SUM(H403:H409),"")</f>
        <v/>
      </c>
      <c r="I410" s="28" t="n"/>
    </row>
    <row r="411" ht="32" customHeight="1">
      <c r="A411" s="28">
        <f>IF(M402=1,"ساعات تحميل الجبسمبورد بهالأسبوع (رقم: 2 أو 1.5) ←","")</f>
        <v/>
      </c>
      <c r="E411" s="31" t="n"/>
      <c r="F411" s="32">
        <f>IF(M402=1,"المستحق النهائي للأسبوع (دينار) ←","")</f>
        <v/>
      </c>
      <c r="H411" s="33">
        <f>IF(M402=1,IF(ROUND_MODE="للأعلى",CEILING(ROUND((N(H410)+N(E411)*($P$402-$N$402)),3),0.25),ROUND((N(H410)+N(E411)*($P$402-$N$402))*4,0)/4),"")</f>
        <v/>
      </c>
      <c r="I411" s="34">
        <f>IF(M402=1,"قبل الجبر: "&amp;TEXT(N(H410)+N(E411)*($P$402-$N$402),"0.000"),"")</f>
        <v/>
      </c>
    </row>
    <row r="412" ht="26" customHeight="1">
      <c r="A412" s="28">
        <f>IF(M402=1,"إكرامية الأسبوع (دينار) ←","")</f>
        <v/>
      </c>
      <c r="D412" s="35" t="n"/>
      <c r="E412" s="28">
        <f>IF(M402=1,"المدفوع يوم الجمعة (دينار) ←","")</f>
        <v/>
      </c>
      <c r="G412" s="35" t="n"/>
      <c r="H412" s="36">
        <f>IF(M402=1,IF(N(G412)&gt;0,"✔ انقبض — الأسبوع مقفول","⏳ لسا ما انقبض"),"")</f>
        <v/>
      </c>
    </row>
    <row r="413" ht="26" customHeight="1">
      <c r="A413" s="18">
        <f>IF(38&lt;=NW,"الأسبوع 38 · السبت "&amp;TEXT(DAY(SAT1+259),"00")&amp;"/"&amp;TEXT(MONTH(SAT1+259),"00")&amp;" ← الجمعة "&amp;TEXT(DAY(SAT1+265),"00")&amp;"/"&amp;TEXT(MONTH(SAT1+265),"00")&amp;" (يوم القبض)"&amp;IF(38&lt;START_O,"   — قبل أسبوع البداية (ما بينحسب)",""),"ما في أسبوع 38 هالسنة")</f>
        <v/>
      </c>
      <c r="L413" s="19">
        <f>IF(38&lt;=NW,SAT1+265,"")</f>
        <v/>
      </c>
      <c r="M413">
        <f>IF(AND(38&lt;=NW,38&gt;=START_O),1,0)</f>
        <v/>
      </c>
      <c r="N413">
        <f>IFERROR(INDEX(RT_OMR,MATCH(L413,RT_K,1)),INDEX(RT_OMR,1))</f>
        <v/>
      </c>
      <c r="O413">
        <f>IFERROR(INDEX(RT_OT,MATCH(L413,RT_K,1)),INDEX(RT_OT,1))</f>
        <v/>
      </c>
      <c r="P413">
        <f>IFERROR(INDEX(RT_GYP,MATCH(L413,RT_K,1)),INDEX(RT_GYP,1))</f>
        <v/>
      </c>
    </row>
    <row r="414">
      <c r="A414" s="20">
        <f>IF(38&lt;=NW,SAT1+259,"")</f>
        <v/>
      </c>
      <c r="B414" s="21">
        <f>IF(A414="","",CHOOSE(WEEKDAY(A414,1),"الأحد","الاثنين","الثلاثاء","الأربعاء","الخميس","الجمعة","السبت"))</f>
        <v/>
      </c>
      <c r="C414" s="22" t="n"/>
      <c r="D414" s="22" t="n"/>
      <c r="E414" s="23">
        <f>IF(OR(M414=0,K414="",L414=""),"",MOD(L414-K414,1))</f>
        <v/>
      </c>
      <c r="F414" s="23">
        <f>IF(OR(E414="",M414=0),"",IF(WEEKDAY(A414,1)=6,E414,MIN(E414,MAX(0,MIN(IF(L414&lt;K414,L414+1,L414),OMR_OT_AT)-K414))))</f>
        <v/>
      </c>
      <c r="G414" s="23">
        <f>IF(OR(E414="",M414=0),"",MAX(0,E414-F414))</f>
        <v/>
      </c>
      <c r="H414" s="24">
        <f>IF(OR(E414="",M414=0),"",ROUND((F414*$N$413+G414*$O$413)*24,3))</f>
        <v/>
      </c>
      <c r="I414" s="22" t="n"/>
      <c r="K414" s="25">
        <f>IF(OR(M414=0,C414=""),"",IF(ISNUMBER(C414),MOD(C414,1),IFERROR(INDEX('القوائم'!$B$1:$B$288,MATCH(TRIM(C414),'القوائم'!$A$1:$A$288,0)),IFERROR(MOD(TIMEVALUE(C414),1),""))))</f>
        <v/>
      </c>
      <c r="L414" s="25">
        <f>IF(OR(M414=0,D414=""),"",IF(ISNUMBER(D414),MOD(D414,1),IFERROR(INDEX('القوائم'!$B$1:$B$288,MATCH(TRIM(D414),'القوائم'!$A$1:$A$288,0)),IFERROR(MOD(TIMEVALUE(D414),1),""))))</f>
        <v/>
      </c>
      <c r="M414">
        <f>M413</f>
        <v/>
      </c>
      <c r="Q414">
        <f>IF(N(G423)&gt;0,1,0)</f>
        <v/>
      </c>
    </row>
    <row r="415">
      <c r="A415" s="20">
        <f>IF(38&lt;=NW,SAT1+260,"")</f>
        <v/>
      </c>
      <c r="B415" s="21">
        <f>IF(A415="","",CHOOSE(WEEKDAY(A415,1),"الأحد","الاثنين","الثلاثاء","الأربعاء","الخميس","الجمعة","السبت"))</f>
        <v/>
      </c>
      <c r="C415" s="22" t="n"/>
      <c r="D415" s="22" t="n"/>
      <c r="E415" s="23">
        <f>IF(OR(M415=0,K415="",L415=""),"",MOD(L415-K415,1))</f>
        <v/>
      </c>
      <c r="F415" s="23">
        <f>IF(OR(E415="",M415=0),"",IF(WEEKDAY(A415,1)=6,E415,MIN(E415,MAX(0,MIN(IF(L415&lt;K415,L415+1,L415),OMR_OT_AT)-K415))))</f>
        <v/>
      </c>
      <c r="G415" s="23">
        <f>IF(OR(E415="",M415=0),"",MAX(0,E415-F415))</f>
        <v/>
      </c>
      <c r="H415" s="24">
        <f>IF(OR(E415="",M415=0),"",ROUND((F415*$N$413+G415*$O$413)*24,3))</f>
        <v/>
      </c>
      <c r="I415" s="22" t="n"/>
      <c r="K415" s="25">
        <f>IF(OR(M415=0,C415=""),"",IF(ISNUMBER(C415),MOD(C415,1),IFERROR(INDEX('القوائم'!$B$1:$B$288,MATCH(TRIM(C415),'القوائم'!$A$1:$A$288,0)),IFERROR(MOD(TIMEVALUE(C415),1),""))))</f>
        <v/>
      </c>
      <c r="L415" s="25">
        <f>IF(OR(M415=0,D415=""),"",IF(ISNUMBER(D415),MOD(D415,1),IFERROR(INDEX('القوائم'!$B$1:$B$288,MATCH(TRIM(D415),'القوائم'!$A$1:$A$288,0)),IFERROR(MOD(TIMEVALUE(D415),1),""))))</f>
        <v/>
      </c>
      <c r="M415">
        <f>M413</f>
        <v/>
      </c>
      <c r="Q415">
        <f>IF(N(G423)&gt;0,1,0)</f>
        <v/>
      </c>
    </row>
    <row r="416">
      <c r="A416" s="20">
        <f>IF(38&lt;=NW,SAT1+261,"")</f>
        <v/>
      </c>
      <c r="B416" s="21">
        <f>IF(A416="","",CHOOSE(WEEKDAY(A416,1),"الأحد","الاثنين","الثلاثاء","الأربعاء","الخميس","الجمعة","السبت"))</f>
        <v/>
      </c>
      <c r="C416" s="22" t="n"/>
      <c r="D416" s="22" t="n"/>
      <c r="E416" s="23">
        <f>IF(OR(M416=0,K416="",L416=""),"",MOD(L416-K416,1))</f>
        <v/>
      </c>
      <c r="F416" s="23">
        <f>IF(OR(E416="",M416=0),"",IF(WEEKDAY(A416,1)=6,E416,MIN(E416,MAX(0,MIN(IF(L416&lt;K416,L416+1,L416),OMR_OT_AT)-K416))))</f>
        <v/>
      </c>
      <c r="G416" s="23">
        <f>IF(OR(E416="",M416=0),"",MAX(0,E416-F416))</f>
        <v/>
      </c>
      <c r="H416" s="24">
        <f>IF(OR(E416="",M416=0),"",ROUND((F416*$N$413+G416*$O$413)*24,3))</f>
        <v/>
      </c>
      <c r="I416" s="22" t="n"/>
      <c r="K416" s="25">
        <f>IF(OR(M416=0,C416=""),"",IF(ISNUMBER(C416),MOD(C416,1),IFERROR(INDEX('القوائم'!$B$1:$B$288,MATCH(TRIM(C416),'القوائم'!$A$1:$A$288,0)),IFERROR(MOD(TIMEVALUE(C416),1),""))))</f>
        <v/>
      </c>
      <c r="L416" s="25">
        <f>IF(OR(M416=0,D416=""),"",IF(ISNUMBER(D416),MOD(D416,1),IFERROR(INDEX('القوائم'!$B$1:$B$288,MATCH(TRIM(D416),'القوائم'!$A$1:$A$288,0)),IFERROR(MOD(TIMEVALUE(D416),1),""))))</f>
        <v/>
      </c>
      <c r="M416">
        <f>M413</f>
        <v/>
      </c>
      <c r="Q416">
        <f>IF(N(G423)&gt;0,1,0)</f>
        <v/>
      </c>
    </row>
    <row r="417">
      <c r="A417" s="20">
        <f>IF(38&lt;=NW,SAT1+262,"")</f>
        <v/>
      </c>
      <c r="B417" s="21">
        <f>IF(A417="","",CHOOSE(WEEKDAY(A417,1),"الأحد","الاثنين","الثلاثاء","الأربعاء","الخميس","الجمعة","السبت"))</f>
        <v/>
      </c>
      <c r="C417" s="22" t="n"/>
      <c r="D417" s="22" t="n"/>
      <c r="E417" s="23">
        <f>IF(OR(M417=0,K417="",L417=""),"",MOD(L417-K417,1))</f>
        <v/>
      </c>
      <c r="F417" s="23">
        <f>IF(OR(E417="",M417=0),"",IF(WEEKDAY(A417,1)=6,E417,MIN(E417,MAX(0,MIN(IF(L417&lt;K417,L417+1,L417),OMR_OT_AT)-K417))))</f>
        <v/>
      </c>
      <c r="G417" s="23">
        <f>IF(OR(E417="",M417=0),"",MAX(0,E417-F417))</f>
        <v/>
      </c>
      <c r="H417" s="24">
        <f>IF(OR(E417="",M417=0),"",ROUND((F417*$N$413+G417*$O$413)*24,3))</f>
        <v/>
      </c>
      <c r="I417" s="22" t="n"/>
      <c r="K417" s="25">
        <f>IF(OR(M417=0,C417=""),"",IF(ISNUMBER(C417),MOD(C417,1),IFERROR(INDEX('القوائم'!$B$1:$B$288,MATCH(TRIM(C417),'القوائم'!$A$1:$A$288,0)),IFERROR(MOD(TIMEVALUE(C417),1),""))))</f>
        <v/>
      </c>
      <c r="L417" s="25">
        <f>IF(OR(M417=0,D417=""),"",IF(ISNUMBER(D417),MOD(D417,1),IFERROR(INDEX('القوائم'!$B$1:$B$288,MATCH(TRIM(D417),'القوائم'!$A$1:$A$288,0)),IFERROR(MOD(TIMEVALUE(D417),1),""))))</f>
        <v/>
      </c>
      <c r="M417">
        <f>M413</f>
        <v/>
      </c>
      <c r="Q417">
        <f>IF(N(G423)&gt;0,1,0)</f>
        <v/>
      </c>
    </row>
    <row r="418">
      <c r="A418" s="20">
        <f>IF(38&lt;=NW,SAT1+263,"")</f>
        <v/>
      </c>
      <c r="B418" s="21">
        <f>IF(A418="","",CHOOSE(WEEKDAY(A418,1),"الأحد","الاثنين","الثلاثاء","الأربعاء","الخميس","الجمعة","السبت"))</f>
        <v/>
      </c>
      <c r="C418" s="22" t="n"/>
      <c r="D418" s="22" t="n"/>
      <c r="E418" s="23">
        <f>IF(OR(M418=0,K418="",L418=""),"",MOD(L418-K418,1))</f>
        <v/>
      </c>
      <c r="F418" s="23">
        <f>IF(OR(E418="",M418=0),"",IF(WEEKDAY(A418,1)=6,E418,MIN(E418,MAX(0,MIN(IF(L418&lt;K418,L418+1,L418),OMR_OT_AT)-K418))))</f>
        <v/>
      </c>
      <c r="G418" s="23">
        <f>IF(OR(E418="",M418=0),"",MAX(0,E418-F418))</f>
        <v/>
      </c>
      <c r="H418" s="24">
        <f>IF(OR(E418="",M418=0),"",ROUND((F418*$N$413+G418*$O$413)*24,3))</f>
        <v/>
      </c>
      <c r="I418" s="22" t="n"/>
      <c r="K418" s="25">
        <f>IF(OR(M418=0,C418=""),"",IF(ISNUMBER(C418),MOD(C418,1),IFERROR(INDEX('القوائم'!$B$1:$B$288,MATCH(TRIM(C418),'القوائم'!$A$1:$A$288,0)),IFERROR(MOD(TIMEVALUE(C418),1),""))))</f>
        <v/>
      </c>
      <c r="L418" s="25">
        <f>IF(OR(M418=0,D418=""),"",IF(ISNUMBER(D418),MOD(D418,1),IFERROR(INDEX('القوائم'!$B$1:$B$288,MATCH(TRIM(D418),'القوائم'!$A$1:$A$288,0)),IFERROR(MOD(TIMEVALUE(D418),1),""))))</f>
        <v/>
      </c>
      <c r="M418">
        <f>M413</f>
        <v/>
      </c>
      <c r="Q418">
        <f>IF(N(G423)&gt;0,1,0)</f>
        <v/>
      </c>
    </row>
    <row r="419">
      <c r="A419" s="20">
        <f>IF(38&lt;=NW,SAT1+264,"")</f>
        <v/>
      </c>
      <c r="B419" s="21">
        <f>IF(A419="","",CHOOSE(WEEKDAY(A419,1),"الأحد","الاثنين","الثلاثاء","الأربعاء","الخميس","الجمعة","السبت"))</f>
        <v/>
      </c>
      <c r="C419" s="22" t="n"/>
      <c r="D419" s="22" t="n"/>
      <c r="E419" s="23">
        <f>IF(OR(M419=0,K419="",L419=""),"",MOD(L419-K419,1))</f>
        <v/>
      </c>
      <c r="F419" s="23">
        <f>IF(OR(E419="",M419=0),"",IF(WEEKDAY(A419,1)=6,E419,MIN(E419,MAX(0,MIN(IF(L419&lt;K419,L419+1,L419),OMR_OT_AT)-K419))))</f>
        <v/>
      </c>
      <c r="G419" s="23">
        <f>IF(OR(E419="",M419=0),"",MAX(0,E419-F419))</f>
        <v/>
      </c>
      <c r="H419" s="24">
        <f>IF(OR(E419="",M419=0),"",ROUND((F419*$N$413+G419*$O$413)*24,3))</f>
        <v/>
      </c>
      <c r="I419" s="22" t="n"/>
      <c r="K419" s="25">
        <f>IF(OR(M419=0,C419=""),"",IF(ISNUMBER(C419),MOD(C419,1),IFERROR(INDEX('القوائم'!$B$1:$B$288,MATCH(TRIM(C419),'القوائم'!$A$1:$A$288,0)),IFERROR(MOD(TIMEVALUE(C419),1),""))))</f>
        <v/>
      </c>
      <c r="L419" s="25">
        <f>IF(OR(M419=0,D419=""),"",IF(ISNUMBER(D419),MOD(D419,1),IFERROR(INDEX('القوائم'!$B$1:$B$288,MATCH(TRIM(D419),'القوائم'!$A$1:$A$288,0)),IFERROR(MOD(TIMEVALUE(D419),1),""))))</f>
        <v/>
      </c>
      <c r="M419">
        <f>M413</f>
        <v/>
      </c>
      <c r="Q419">
        <f>IF(N(G423)&gt;0,1,0)</f>
        <v/>
      </c>
    </row>
    <row r="420">
      <c r="A420" s="26">
        <f>IF(38&lt;=NW,SAT1+265,"")</f>
        <v/>
      </c>
      <c r="B420" s="27">
        <f>IF(A420="","",CHOOSE(WEEKDAY(A420,1),"الأحد","الاثنين","الثلاثاء","الأربعاء","الخميس","الجمعة","السبت"))</f>
        <v/>
      </c>
      <c r="C420" s="22" t="n"/>
      <c r="D420" s="22" t="n"/>
      <c r="E420" s="23">
        <f>IF(OR(M420=0,K420="",L420=""),"",MOD(L420-K420,1))</f>
        <v/>
      </c>
      <c r="F420" s="23">
        <f>IF(OR(E420="",M420=0),"",IF(WEEKDAY(A420,1)=6,E420,MIN(E420,MAX(0,MIN(IF(L420&lt;K420,L420+1,L420),OMR_OT_AT)-K420))))</f>
        <v/>
      </c>
      <c r="G420" s="23">
        <f>IF(OR(E420="",M420=0),"",MAX(0,E420-F420))</f>
        <v/>
      </c>
      <c r="H420" s="24">
        <f>IF(OR(E420="",M420=0),"",ROUND((F420*$N$413+G420*$O$413)*24,3))</f>
        <v/>
      </c>
      <c r="I420" s="22" t="n"/>
      <c r="K420" s="25">
        <f>IF(OR(M420=0,C420=""),"",IF(ISNUMBER(C420),MOD(C420,1),IFERROR(INDEX('القوائم'!$B$1:$B$288,MATCH(TRIM(C420),'القوائم'!$A$1:$A$288,0)),IFERROR(MOD(TIMEVALUE(C420),1),""))))</f>
        <v/>
      </c>
      <c r="L420" s="25">
        <f>IF(OR(M420=0,D420=""),"",IF(ISNUMBER(D420),MOD(D420,1),IFERROR(INDEX('القوائم'!$B$1:$B$288,MATCH(TRIM(D420),'القوائم'!$A$1:$A$288,0)),IFERROR(MOD(TIMEVALUE(D420),1),""))))</f>
        <v/>
      </c>
      <c r="M420">
        <f>M413</f>
        <v/>
      </c>
      <c r="Q420">
        <f>IF(N(G423)&gt;0,1,0)</f>
        <v/>
      </c>
    </row>
    <row r="421">
      <c r="A421" s="28">
        <f>IF(M413=1,"مجموع أيام الأسبوع 38","")</f>
        <v/>
      </c>
      <c r="B421" s="28" t="n"/>
      <c r="C421" s="28" t="n"/>
      <c r="D421" s="28" t="n"/>
      <c r="E421" s="29">
        <f>IF(M413=1,SUM(E414:E420),"")</f>
        <v/>
      </c>
      <c r="F421" s="29">
        <f>IF(M413=1,SUM(F414:F420),"")</f>
        <v/>
      </c>
      <c r="G421" s="29">
        <f>IF(M413=1,SUM(G414:G420),"")</f>
        <v/>
      </c>
      <c r="H421" s="30">
        <f>IF(M413=1,SUM(H414:H420),"")</f>
        <v/>
      </c>
      <c r="I421" s="28" t="n"/>
    </row>
    <row r="422" ht="32" customHeight="1">
      <c r="A422" s="28">
        <f>IF(M413=1,"ساعات تحميل الجبسمبورد بهالأسبوع (رقم: 2 أو 1.5) ←","")</f>
        <v/>
      </c>
      <c r="E422" s="31" t="n"/>
      <c r="F422" s="32">
        <f>IF(M413=1,"المستحق النهائي للأسبوع (دينار) ←","")</f>
        <v/>
      </c>
      <c r="H422" s="33">
        <f>IF(M413=1,IF(ROUND_MODE="للأعلى",CEILING(ROUND((N(H421)+N(E422)*($P$413-$N$413)),3),0.25),ROUND((N(H421)+N(E422)*($P$413-$N$413))*4,0)/4),"")</f>
        <v/>
      </c>
      <c r="I422" s="34">
        <f>IF(M413=1,"قبل الجبر: "&amp;TEXT(N(H421)+N(E422)*($P$413-$N$413),"0.000"),"")</f>
        <v/>
      </c>
    </row>
    <row r="423" ht="26" customHeight="1">
      <c r="A423" s="28">
        <f>IF(M413=1,"إكرامية الأسبوع (دينار) ←","")</f>
        <v/>
      </c>
      <c r="D423" s="35" t="n"/>
      <c r="E423" s="28">
        <f>IF(M413=1,"المدفوع يوم الجمعة (دينار) ←","")</f>
        <v/>
      </c>
      <c r="G423" s="35" t="n"/>
      <c r="H423" s="36">
        <f>IF(M413=1,IF(N(G423)&gt;0,"✔ انقبض — الأسبوع مقفول","⏳ لسا ما انقبض"),"")</f>
        <v/>
      </c>
    </row>
    <row r="424" ht="26" customHeight="1">
      <c r="A424" s="18">
        <f>IF(39&lt;=NW,"الأسبوع 39 · السبت "&amp;TEXT(DAY(SAT1+266),"00")&amp;"/"&amp;TEXT(MONTH(SAT1+266),"00")&amp;" ← الجمعة "&amp;TEXT(DAY(SAT1+272),"00")&amp;"/"&amp;TEXT(MONTH(SAT1+272),"00")&amp;" (يوم القبض)"&amp;IF(39&lt;START_O,"   — قبل أسبوع البداية (ما بينحسب)",""),"ما في أسبوع 39 هالسنة")</f>
        <v/>
      </c>
      <c r="L424" s="19">
        <f>IF(39&lt;=NW,SAT1+272,"")</f>
        <v/>
      </c>
      <c r="M424">
        <f>IF(AND(39&lt;=NW,39&gt;=START_O),1,0)</f>
        <v/>
      </c>
      <c r="N424">
        <f>IFERROR(INDEX(RT_OMR,MATCH(L424,RT_K,1)),INDEX(RT_OMR,1))</f>
        <v/>
      </c>
      <c r="O424">
        <f>IFERROR(INDEX(RT_OT,MATCH(L424,RT_K,1)),INDEX(RT_OT,1))</f>
        <v/>
      </c>
      <c r="P424">
        <f>IFERROR(INDEX(RT_GYP,MATCH(L424,RT_K,1)),INDEX(RT_GYP,1))</f>
        <v/>
      </c>
    </row>
    <row r="425">
      <c r="A425" s="20">
        <f>IF(39&lt;=NW,SAT1+266,"")</f>
        <v/>
      </c>
      <c r="B425" s="21">
        <f>IF(A425="","",CHOOSE(WEEKDAY(A425,1),"الأحد","الاثنين","الثلاثاء","الأربعاء","الخميس","الجمعة","السبت"))</f>
        <v/>
      </c>
      <c r="C425" s="22" t="n"/>
      <c r="D425" s="22" t="n"/>
      <c r="E425" s="23">
        <f>IF(OR(M425=0,K425="",L425=""),"",MOD(L425-K425,1))</f>
        <v/>
      </c>
      <c r="F425" s="23">
        <f>IF(OR(E425="",M425=0),"",IF(WEEKDAY(A425,1)=6,E425,MIN(E425,MAX(0,MIN(IF(L425&lt;K425,L425+1,L425),OMR_OT_AT)-K425))))</f>
        <v/>
      </c>
      <c r="G425" s="23">
        <f>IF(OR(E425="",M425=0),"",MAX(0,E425-F425))</f>
        <v/>
      </c>
      <c r="H425" s="24">
        <f>IF(OR(E425="",M425=0),"",ROUND((F425*$N$424+G425*$O$424)*24,3))</f>
        <v/>
      </c>
      <c r="I425" s="22" t="n"/>
      <c r="K425" s="25">
        <f>IF(OR(M425=0,C425=""),"",IF(ISNUMBER(C425),MOD(C425,1),IFERROR(INDEX('القوائم'!$B$1:$B$288,MATCH(TRIM(C425),'القوائم'!$A$1:$A$288,0)),IFERROR(MOD(TIMEVALUE(C425),1),""))))</f>
        <v/>
      </c>
      <c r="L425" s="25">
        <f>IF(OR(M425=0,D425=""),"",IF(ISNUMBER(D425),MOD(D425,1),IFERROR(INDEX('القوائم'!$B$1:$B$288,MATCH(TRIM(D425),'القوائم'!$A$1:$A$288,0)),IFERROR(MOD(TIMEVALUE(D425),1),""))))</f>
        <v/>
      </c>
      <c r="M425">
        <f>M424</f>
        <v/>
      </c>
      <c r="Q425">
        <f>IF(N(G434)&gt;0,1,0)</f>
        <v/>
      </c>
    </row>
    <row r="426">
      <c r="A426" s="20">
        <f>IF(39&lt;=NW,SAT1+267,"")</f>
        <v/>
      </c>
      <c r="B426" s="21">
        <f>IF(A426="","",CHOOSE(WEEKDAY(A426,1),"الأحد","الاثنين","الثلاثاء","الأربعاء","الخميس","الجمعة","السبت"))</f>
        <v/>
      </c>
      <c r="C426" s="22" t="n"/>
      <c r="D426" s="22" t="n"/>
      <c r="E426" s="23">
        <f>IF(OR(M426=0,K426="",L426=""),"",MOD(L426-K426,1))</f>
        <v/>
      </c>
      <c r="F426" s="23">
        <f>IF(OR(E426="",M426=0),"",IF(WEEKDAY(A426,1)=6,E426,MIN(E426,MAX(0,MIN(IF(L426&lt;K426,L426+1,L426),OMR_OT_AT)-K426))))</f>
        <v/>
      </c>
      <c r="G426" s="23">
        <f>IF(OR(E426="",M426=0),"",MAX(0,E426-F426))</f>
        <v/>
      </c>
      <c r="H426" s="24">
        <f>IF(OR(E426="",M426=0),"",ROUND((F426*$N$424+G426*$O$424)*24,3))</f>
        <v/>
      </c>
      <c r="I426" s="22" t="n"/>
      <c r="K426" s="25">
        <f>IF(OR(M426=0,C426=""),"",IF(ISNUMBER(C426),MOD(C426,1),IFERROR(INDEX('القوائم'!$B$1:$B$288,MATCH(TRIM(C426),'القوائم'!$A$1:$A$288,0)),IFERROR(MOD(TIMEVALUE(C426),1),""))))</f>
        <v/>
      </c>
      <c r="L426" s="25">
        <f>IF(OR(M426=0,D426=""),"",IF(ISNUMBER(D426),MOD(D426,1),IFERROR(INDEX('القوائم'!$B$1:$B$288,MATCH(TRIM(D426),'القوائم'!$A$1:$A$288,0)),IFERROR(MOD(TIMEVALUE(D426),1),""))))</f>
        <v/>
      </c>
      <c r="M426">
        <f>M424</f>
        <v/>
      </c>
      <c r="Q426">
        <f>IF(N(G434)&gt;0,1,0)</f>
        <v/>
      </c>
    </row>
    <row r="427">
      <c r="A427" s="20">
        <f>IF(39&lt;=NW,SAT1+268,"")</f>
        <v/>
      </c>
      <c r="B427" s="21">
        <f>IF(A427="","",CHOOSE(WEEKDAY(A427,1),"الأحد","الاثنين","الثلاثاء","الأربعاء","الخميس","الجمعة","السبت"))</f>
        <v/>
      </c>
      <c r="C427" s="22" t="n"/>
      <c r="D427" s="22" t="n"/>
      <c r="E427" s="23">
        <f>IF(OR(M427=0,K427="",L427=""),"",MOD(L427-K427,1))</f>
        <v/>
      </c>
      <c r="F427" s="23">
        <f>IF(OR(E427="",M427=0),"",IF(WEEKDAY(A427,1)=6,E427,MIN(E427,MAX(0,MIN(IF(L427&lt;K427,L427+1,L427),OMR_OT_AT)-K427))))</f>
        <v/>
      </c>
      <c r="G427" s="23">
        <f>IF(OR(E427="",M427=0),"",MAX(0,E427-F427))</f>
        <v/>
      </c>
      <c r="H427" s="24">
        <f>IF(OR(E427="",M427=0),"",ROUND((F427*$N$424+G427*$O$424)*24,3))</f>
        <v/>
      </c>
      <c r="I427" s="22" t="n"/>
      <c r="K427" s="25">
        <f>IF(OR(M427=0,C427=""),"",IF(ISNUMBER(C427),MOD(C427,1),IFERROR(INDEX('القوائم'!$B$1:$B$288,MATCH(TRIM(C427),'القوائم'!$A$1:$A$288,0)),IFERROR(MOD(TIMEVALUE(C427),1),""))))</f>
        <v/>
      </c>
      <c r="L427" s="25">
        <f>IF(OR(M427=0,D427=""),"",IF(ISNUMBER(D427),MOD(D427,1),IFERROR(INDEX('القوائم'!$B$1:$B$288,MATCH(TRIM(D427),'القوائم'!$A$1:$A$288,0)),IFERROR(MOD(TIMEVALUE(D427),1),""))))</f>
        <v/>
      </c>
      <c r="M427">
        <f>M424</f>
        <v/>
      </c>
      <c r="Q427">
        <f>IF(N(G434)&gt;0,1,0)</f>
        <v/>
      </c>
    </row>
    <row r="428">
      <c r="A428" s="20">
        <f>IF(39&lt;=NW,SAT1+269,"")</f>
        <v/>
      </c>
      <c r="B428" s="21">
        <f>IF(A428="","",CHOOSE(WEEKDAY(A428,1),"الأحد","الاثنين","الثلاثاء","الأربعاء","الخميس","الجمعة","السبت"))</f>
        <v/>
      </c>
      <c r="C428" s="22" t="n"/>
      <c r="D428" s="22" t="n"/>
      <c r="E428" s="23">
        <f>IF(OR(M428=0,K428="",L428=""),"",MOD(L428-K428,1))</f>
        <v/>
      </c>
      <c r="F428" s="23">
        <f>IF(OR(E428="",M428=0),"",IF(WEEKDAY(A428,1)=6,E428,MIN(E428,MAX(0,MIN(IF(L428&lt;K428,L428+1,L428),OMR_OT_AT)-K428))))</f>
        <v/>
      </c>
      <c r="G428" s="23">
        <f>IF(OR(E428="",M428=0),"",MAX(0,E428-F428))</f>
        <v/>
      </c>
      <c r="H428" s="24">
        <f>IF(OR(E428="",M428=0),"",ROUND((F428*$N$424+G428*$O$424)*24,3))</f>
        <v/>
      </c>
      <c r="I428" s="22" t="n"/>
      <c r="K428" s="25">
        <f>IF(OR(M428=0,C428=""),"",IF(ISNUMBER(C428),MOD(C428,1),IFERROR(INDEX('القوائم'!$B$1:$B$288,MATCH(TRIM(C428),'القوائم'!$A$1:$A$288,0)),IFERROR(MOD(TIMEVALUE(C428),1),""))))</f>
        <v/>
      </c>
      <c r="L428" s="25">
        <f>IF(OR(M428=0,D428=""),"",IF(ISNUMBER(D428),MOD(D428,1),IFERROR(INDEX('القوائم'!$B$1:$B$288,MATCH(TRIM(D428),'القوائم'!$A$1:$A$288,0)),IFERROR(MOD(TIMEVALUE(D428),1),""))))</f>
        <v/>
      </c>
      <c r="M428">
        <f>M424</f>
        <v/>
      </c>
      <c r="Q428">
        <f>IF(N(G434)&gt;0,1,0)</f>
        <v/>
      </c>
    </row>
    <row r="429">
      <c r="A429" s="20">
        <f>IF(39&lt;=NW,SAT1+270,"")</f>
        <v/>
      </c>
      <c r="B429" s="21">
        <f>IF(A429="","",CHOOSE(WEEKDAY(A429,1),"الأحد","الاثنين","الثلاثاء","الأربعاء","الخميس","الجمعة","السبت"))</f>
        <v/>
      </c>
      <c r="C429" s="22" t="n"/>
      <c r="D429" s="22" t="n"/>
      <c r="E429" s="23">
        <f>IF(OR(M429=0,K429="",L429=""),"",MOD(L429-K429,1))</f>
        <v/>
      </c>
      <c r="F429" s="23">
        <f>IF(OR(E429="",M429=0),"",IF(WEEKDAY(A429,1)=6,E429,MIN(E429,MAX(0,MIN(IF(L429&lt;K429,L429+1,L429),OMR_OT_AT)-K429))))</f>
        <v/>
      </c>
      <c r="G429" s="23">
        <f>IF(OR(E429="",M429=0),"",MAX(0,E429-F429))</f>
        <v/>
      </c>
      <c r="H429" s="24">
        <f>IF(OR(E429="",M429=0),"",ROUND((F429*$N$424+G429*$O$424)*24,3))</f>
        <v/>
      </c>
      <c r="I429" s="22" t="n"/>
      <c r="K429" s="25">
        <f>IF(OR(M429=0,C429=""),"",IF(ISNUMBER(C429),MOD(C429,1),IFERROR(INDEX('القوائم'!$B$1:$B$288,MATCH(TRIM(C429),'القوائم'!$A$1:$A$288,0)),IFERROR(MOD(TIMEVALUE(C429),1),""))))</f>
        <v/>
      </c>
      <c r="L429" s="25">
        <f>IF(OR(M429=0,D429=""),"",IF(ISNUMBER(D429),MOD(D429,1),IFERROR(INDEX('القوائم'!$B$1:$B$288,MATCH(TRIM(D429),'القوائم'!$A$1:$A$288,0)),IFERROR(MOD(TIMEVALUE(D429),1),""))))</f>
        <v/>
      </c>
      <c r="M429">
        <f>M424</f>
        <v/>
      </c>
      <c r="Q429">
        <f>IF(N(G434)&gt;0,1,0)</f>
        <v/>
      </c>
    </row>
    <row r="430">
      <c r="A430" s="20">
        <f>IF(39&lt;=NW,SAT1+271,"")</f>
        <v/>
      </c>
      <c r="B430" s="21">
        <f>IF(A430="","",CHOOSE(WEEKDAY(A430,1),"الأحد","الاثنين","الثلاثاء","الأربعاء","الخميس","الجمعة","السبت"))</f>
        <v/>
      </c>
      <c r="C430" s="22" t="n"/>
      <c r="D430" s="22" t="n"/>
      <c r="E430" s="23">
        <f>IF(OR(M430=0,K430="",L430=""),"",MOD(L430-K430,1))</f>
        <v/>
      </c>
      <c r="F430" s="23">
        <f>IF(OR(E430="",M430=0),"",IF(WEEKDAY(A430,1)=6,E430,MIN(E430,MAX(0,MIN(IF(L430&lt;K430,L430+1,L430),OMR_OT_AT)-K430))))</f>
        <v/>
      </c>
      <c r="G430" s="23">
        <f>IF(OR(E430="",M430=0),"",MAX(0,E430-F430))</f>
        <v/>
      </c>
      <c r="H430" s="24">
        <f>IF(OR(E430="",M430=0),"",ROUND((F430*$N$424+G430*$O$424)*24,3))</f>
        <v/>
      </c>
      <c r="I430" s="22" t="n"/>
      <c r="K430" s="25">
        <f>IF(OR(M430=0,C430=""),"",IF(ISNUMBER(C430),MOD(C430,1),IFERROR(INDEX('القوائم'!$B$1:$B$288,MATCH(TRIM(C430),'القوائم'!$A$1:$A$288,0)),IFERROR(MOD(TIMEVALUE(C430),1),""))))</f>
        <v/>
      </c>
      <c r="L430" s="25">
        <f>IF(OR(M430=0,D430=""),"",IF(ISNUMBER(D430),MOD(D430,1),IFERROR(INDEX('القوائم'!$B$1:$B$288,MATCH(TRIM(D430),'القوائم'!$A$1:$A$288,0)),IFERROR(MOD(TIMEVALUE(D430),1),""))))</f>
        <v/>
      </c>
      <c r="M430">
        <f>M424</f>
        <v/>
      </c>
      <c r="Q430">
        <f>IF(N(G434)&gt;0,1,0)</f>
        <v/>
      </c>
    </row>
    <row r="431">
      <c r="A431" s="26">
        <f>IF(39&lt;=NW,SAT1+272,"")</f>
        <v/>
      </c>
      <c r="B431" s="27">
        <f>IF(A431="","",CHOOSE(WEEKDAY(A431,1),"الأحد","الاثنين","الثلاثاء","الأربعاء","الخميس","الجمعة","السبت"))</f>
        <v/>
      </c>
      <c r="C431" s="22" t="n"/>
      <c r="D431" s="22" t="n"/>
      <c r="E431" s="23">
        <f>IF(OR(M431=0,K431="",L431=""),"",MOD(L431-K431,1))</f>
        <v/>
      </c>
      <c r="F431" s="23">
        <f>IF(OR(E431="",M431=0),"",IF(WEEKDAY(A431,1)=6,E431,MIN(E431,MAX(0,MIN(IF(L431&lt;K431,L431+1,L431),OMR_OT_AT)-K431))))</f>
        <v/>
      </c>
      <c r="G431" s="23">
        <f>IF(OR(E431="",M431=0),"",MAX(0,E431-F431))</f>
        <v/>
      </c>
      <c r="H431" s="24">
        <f>IF(OR(E431="",M431=0),"",ROUND((F431*$N$424+G431*$O$424)*24,3))</f>
        <v/>
      </c>
      <c r="I431" s="22" t="n"/>
      <c r="K431" s="25">
        <f>IF(OR(M431=0,C431=""),"",IF(ISNUMBER(C431),MOD(C431,1),IFERROR(INDEX('القوائم'!$B$1:$B$288,MATCH(TRIM(C431),'القوائم'!$A$1:$A$288,0)),IFERROR(MOD(TIMEVALUE(C431),1),""))))</f>
        <v/>
      </c>
      <c r="L431" s="25">
        <f>IF(OR(M431=0,D431=""),"",IF(ISNUMBER(D431),MOD(D431,1),IFERROR(INDEX('القوائم'!$B$1:$B$288,MATCH(TRIM(D431),'القوائم'!$A$1:$A$288,0)),IFERROR(MOD(TIMEVALUE(D431),1),""))))</f>
        <v/>
      </c>
      <c r="M431">
        <f>M424</f>
        <v/>
      </c>
      <c r="Q431">
        <f>IF(N(G434)&gt;0,1,0)</f>
        <v/>
      </c>
    </row>
    <row r="432">
      <c r="A432" s="28">
        <f>IF(M424=1,"مجموع أيام الأسبوع 39","")</f>
        <v/>
      </c>
      <c r="B432" s="28" t="n"/>
      <c r="C432" s="28" t="n"/>
      <c r="D432" s="28" t="n"/>
      <c r="E432" s="29">
        <f>IF(M424=1,SUM(E425:E431),"")</f>
        <v/>
      </c>
      <c r="F432" s="29">
        <f>IF(M424=1,SUM(F425:F431),"")</f>
        <v/>
      </c>
      <c r="G432" s="29">
        <f>IF(M424=1,SUM(G425:G431),"")</f>
        <v/>
      </c>
      <c r="H432" s="30">
        <f>IF(M424=1,SUM(H425:H431),"")</f>
        <v/>
      </c>
      <c r="I432" s="28" t="n"/>
    </row>
    <row r="433" ht="32" customHeight="1">
      <c r="A433" s="28">
        <f>IF(M424=1,"ساعات تحميل الجبسمبورد بهالأسبوع (رقم: 2 أو 1.5) ←","")</f>
        <v/>
      </c>
      <c r="E433" s="31" t="n"/>
      <c r="F433" s="32">
        <f>IF(M424=1,"المستحق النهائي للأسبوع (دينار) ←","")</f>
        <v/>
      </c>
      <c r="H433" s="33">
        <f>IF(M424=1,IF(ROUND_MODE="للأعلى",CEILING(ROUND((N(H432)+N(E433)*($P$424-$N$424)),3),0.25),ROUND((N(H432)+N(E433)*($P$424-$N$424))*4,0)/4),"")</f>
        <v/>
      </c>
      <c r="I433" s="34">
        <f>IF(M424=1,"قبل الجبر: "&amp;TEXT(N(H432)+N(E433)*($P$424-$N$424),"0.000"),"")</f>
        <v/>
      </c>
    </row>
    <row r="434" ht="26" customHeight="1">
      <c r="A434" s="28">
        <f>IF(M424=1,"إكرامية الأسبوع (دينار) ←","")</f>
        <v/>
      </c>
      <c r="D434" s="35" t="n"/>
      <c r="E434" s="28">
        <f>IF(M424=1,"المدفوع يوم الجمعة (دينار) ←","")</f>
        <v/>
      </c>
      <c r="G434" s="35" t="n"/>
      <c r="H434" s="36">
        <f>IF(M424=1,IF(N(G434)&gt;0,"✔ انقبض — الأسبوع مقفول","⏳ لسا ما انقبض"),"")</f>
        <v/>
      </c>
    </row>
    <row r="435" ht="26" customHeight="1">
      <c r="A435" s="18">
        <f>IF(40&lt;=NW,"الأسبوع 40 · السبت "&amp;TEXT(DAY(SAT1+273),"00")&amp;"/"&amp;TEXT(MONTH(SAT1+273),"00")&amp;" ← الجمعة "&amp;TEXT(DAY(SAT1+279),"00")&amp;"/"&amp;TEXT(MONTH(SAT1+279),"00")&amp;" (يوم القبض)"&amp;IF(40&lt;START_O,"   — قبل أسبوع البداية (ما بينحسب)",""),"ما في أسبوع 40 هالسنة")</f>
        <v/>
      </c>
      <c r="L435" s="19">
        <f>IF(40&lt;=NW,SAT1+279,"")</f>
        <v/>
      </c>
      <c r="M435">
        <f>IF(AND(40&lt;=NW,40&gt;=START_O),1,0)</f>
        <v/>
      </c>
      <c r="N435">
        <f>IFERROR(INDEX(RT_OMR,MATCH(L435,RT_K,1)),INDEX(RT_OMR,1))</f>
        <v/>
      </c>
      <c r="O435">
        <f>IFERROR(INDEX(RT_OT,MATCH(L435,RT_K,1)),INDEX(RT_OT,1))</f>
        <v/>
      </c>
      <c r="P435">
        <f>IFERROR(INDEX(RT_GYP,MATCH(L435,RT_K,1)),INDEX(RT_GYP,1))</f>
        <v/>
      </c>
    </row>
    <row r="436">
      <c r="A436" s="20">
        <f>IF(40&lt;=NW,SAT1+273,"")</f>
        <v/>
      </c>
      <c r="B436" s="21">
        <f>IF(A436="","",CHOOSE(WEEKDAY(A436,1),"الأحد","الاثنين","الثلاثاء","الأربعاء","الخميس","الجمعة","السبت"))</f>
        <v/>
      </c>
      <c r="C436" s="22" t="n"/>
      <c r="D436" s="22" t="n"/>
      <c r="E436" s="23">
        <f>IF(OR(M436=0,K436="",L436=""),"",MOD(L436-K436,1))</f>
        <v/>
      </c>
      <c r="F436" s="23">
        <f>IF(OR(E436="",M436=0),"",IF(WEEKDAY(A436,1)=6,E436,MIN(E436,MAX(0,MIN(IF(L436&lt;K436,L436+1,L436),OMR_OT_AT)-K436))))</f>
        <v/>
      </c>
      <c r="G436" s="23">
        <f>IF(OR(E436="",M436=0),"",MAX(0,E436-F436))</f>
        <v/>
      </c>
      <c r="H436" s="24">
        <f>IF(OR(E436="",M436=0),"",ROUND((F436*$N$435+G436*$O$435)*24,3))</f>
        <v/>
      </c>
      <c r="I436" s="22" t="n"/>
      <c r="K436" s="25">
        <f>IF(OR(M436=0,C436=""),"",IF(ISNUMBER(C436),MOD(C436,1),IFERROR(INDEX('القوائم'!$B$1:$B$288,MATCH(TRIM(C436),'القوائم'!$A$1:$A$288,0)),IFERROR(MOD(TIMEVALUE(C436),1),""))))</f>
        <v/>
      </c>
      <c r="L436" s="25">
        <f>IF(OR(M436=0,D436=""),"",IF(ISNUMBER(D436),MOD(D436,1),IFERROR(INDEX('القوائم'!$B$1:$B$288,MATCH(TRIM(D436),'القوائم'!$A$1:$A$288,0)),IFERROR(MOD(TIMEVALUE(D436),1),""))))</f>
        <v/>
      </c>
      <c r="M436">
        <f>M435</f>
        <v/>
      </c>
      <c r="Q436">
        <f>IF(N(G445)&gt;0,1,0)</f>
        <v/>
      </c>
    </row>
    <row r="437">
      <c r="A437" s="20">
        <f>IF(40&lt;=NW,SAT1+274,"")</f>
        <v/>
      </c>
      <c r="B437" s="21">
        <f>IF(A437="","",CHOOSE(WEEKDAY(A437,1),"الأحد","الاثنين","الثلاثاء","الأربعاء","الخميس","الجمعة","السبت"))</f>
        <v/>
      </c>
      <c r="C437" s="22" t="n"/>
      <c r="D437" s="22" t="n"/>
      <c r="E437" s="23">
        <f>IF(OR(M437=0,K437="",L437=""),"",MOD(L437-K437,1))</f>
        <v/>
      </c>
      <c r="F437" s="23">
        <f>IF(OR(E437="",M437=0),"",IF(WEEKDAY(A437,1)=6,E437,MIN(E437,MAX(0,MIN(IF(L437&lt;K437,L437+1,L437),OMR_OT_AT)-K437))))</f>
        <v/>
      </c>
      <c r="G437" s="23">
        <f>IF(OR(E437="",M437=0),"",MAX(0,E437-F437))</f>
        <v/>
      </c>
      <c r="H437" s="24">
        <f>IF(OR(E437="",M437=0),"",ROUND((F437*$N$435+G437*$O$435)*24,3))</f>
        <v/>
      </c>
      <c r="I437" s="22" t="n"/>
      <c r="K437" s="25">
        <f>IF(OR(M437=0,C437=""),"",IF(ISNUMBER(C437),MOD(C437,1),IFERROR(INDEX('القوائم'!$B$1:$B$288,MATCH(TRIM(C437),'القوائم'!$A$1:$A$288,0)),IFERROR(MOD(TIMEVALUE(C437),1),""))))</f>
        <v/>
      </c>
      <c r="L437" s="25">
        <f>IF(OR(M437=0,D437=""),"",IF(ISNUMBER(D437),MOD(D437,1),IFERROR(INDEX('القوائم'!$B$1:$B$288,MATCH(TRIM(D437),'القوائم'!$A$1:$A$288,0)),IFERROR(MOD(TIMEVALUE(D437),1),""))))</f>
        <v/>
      </c>
      <c r="M437">
        <f>M435</f>
        <v/>
      </c>
      <c r="Q437">
        <f>IF(N(G445)&gt;0,1,0)</f>
        <v/>
      </c>
    </row>
    <row r="438">
      <c r="A438" s="20">
        <f>IF(40&lt;=NW,SAT1+275,"")</f>
        <v/>
      </c>
      <c r="B438" s="21">
        <f>IF(A438="","",CHOOSE(WEEKDAY(A438,1),"الأحد","الاثنين","الثلاثاء","الأربعاء","الخميس","الجمعة","السبت"))</f>
        <v/>
      </c>
      <c r="C438" s="22" t="n"/>
      <c r="D438" s="22" t="n"/>
      <c r="E438" s="23">
        <f>IF(OR(M438=0,K438="",L438=""),"",MOD(L438-K438,1))</f>
        <v/>
      </c>
      <c r="F438" s="23">
        <f>IF(OR(E438="",M438=0),"",IF(WEEKDAY(A438,1)=6,E438,MIN(E438,MAX(0,MIN(IF(L438&lt;K438,L438+1,L438),OMR_OT_AT)-K438))))</f>
        <v/>
      </c>
      <c r="G438" s="23">
        <f>IF(OR(E438="",M438=0),"",MAX(0,E438-F438))</f>
        <v/>
      </c>
      <c r="H438" s="24">
        <f>IF(OR(E438="",M438=0),"",ROUND((F438*$N$435+G438*$O$435)*24,3))</f>
        <v/>
      </c>
      <c r="I438" s="22" t="n"/>
      <c r="K438" s="25">
        <f>IF(OR(M438=0,C438=""),"",IF(ISNUMBER(C438),MOD(C438,1),IFERROR(INDEX('القوائم'!$B$1:$B$288,MATCH(TRIM(C438),'القوائم'!$A$1:$A$288,0)),IFERROR(MOD(TIMEVALUE(C438),1),""))))</f>
        <v/>
      </c>
      <c r="L438" s="25">
        <f>IF(OR(M438=0,D438=""),"",IF(ISNUMBER(D438),MOD(D438,1),IFERROR(INDEX('القوائم'!$B$1:$B$288,MATCH(TRIM(D438),'القوائم'!$A$1:$A$288,0)),IFERROR(MOD(TIMEVALUE(D438),1),""))))</f>
        <v/>
      </c>
      <c r="M438">
        <f>M435</f>
        <v/>
      </c>
      <c r="Q438">
        <f>IF(N(G445)&gt;0,1,0)</f>
        <v/>
      </c>
    </row>
    <row r="439">
      <c r="A439" s="20">
        <f>IF(40&lt;=NW,SAT1+276,"")</f>
        <v/>
      </c>
      <c r="B439" s="21">
        <f>IF(A439="","",CHOOSE(WEEKDAY(A439,1),"الأحد","الاثنين","الثلاثاء","الأربعاء","الخميس","الجمعة","السبت"))</f>
        <v/>
      </c>
      <c r="C439" s="22" t="n"/>
      <c r="D439" s="22" t="n"/>
      <c r="E439" s="23">
        <f>IF(OR(M439=0,K439="",L439=""),"",MOD(L439-K439,1))</f>
        <v/>
      </c>
      <c r="F439" s="23">
        <f>IF(OR(E439="",M439=0),"",IF(WEEKDAY(A439,1)=6,E439,MIN(E439,MAX(0,MIN(IF(L439&lt;K439,L439+1,L439),OMR_OT_AT)-K439))))</f>
        <v/>
      </c>
      <c r="G439" s="23">
        <f>IF(OR(E439="",M439=0),"",MAX(0,E439-F439))</f>
        <v/>
      </c>
      <c r="H439" s="24">
        <f>IF(OR(E439="",M439=0),"",ROUND((F439*$N$435+G439*$O$435)*24,3))</f>
        <v/>
      </c>
      <c r="I439" s="22" t="n"/>
      <c r="K439" s="25">
        <f>IF(OR(M439=0,C439=""),"",IF(ISNUMBER(C439),MOD(C439,1),IFERROR(INDEX('القوائم'!$B$1:$B$288,MATCH(TRIM(C439),'القوائم'!$A$1:$A$288,0)),IFERROR(MOD(TIMEVALUE(C439),1),""))))</f>
        <v/>
      </c>
      <c r="L439" s="25">
        <f>IF(OR(M439=0,D439=""),"",IF(ISNUMBER(D439),MOD(D439,1),IFERROR(INDEX('القوائم'!$B$1:$B$288,MATCH(TRIM(D439),'القوائم'!$A$1:$A$288,0)),IFERROR(MOD(TIMEVALUE(D439),1),""))))</f>
        <v/>
      </c>
      <c r="M439">
        <f>M435</f>
        <v/>
      </c>
      <c r="Q439">
        <f>IF(N(G445)&gt;0,1,0)</f>
        <v/>
      </c>
    </row>
    <row r="440">
      <c r="A440" s="20">
        <f>IF(40&lt;=NW,SAT1+277,"")</f>
        <v/>
      </c>
      <c r="B440" s="21">
        <f>IF(A440="","",CHOOSE(WEEKDAY(A440,1),"الأحد","الاثنين","الثلاثاء","الأربعاء","الخميس","الجمعة","السبت"))</f>
        <v/>
      </c>
      <c r="C440" s="22" t="n"/>
      <c r="D440" s="22" t="n"/>
      <c r="E440" s="23">
        <f>IF(OR(M440=0,K440="",L440=""),"",MOD(L440-K440,1))</f>
        <v/>
      </c>
      <c r="F440" s="23">
        <f>IF(OR(E440="",M440=0),"",IF(WEEKDAY(A440,1)=6,E440,MIN(E440,MAX(0,MIN(IF(L440&lt;K440,L440+1,L440),OMR_OT_AT)-K440))))</f>
        <v/>
      </c>
      <c r="G440" s="23">
        <f>IF(OR(E440="",M440=0),"",MAX(0,E440-F440))</f>
        <v/>
      </c>
      <c r="H440" s="24">
        <f>IF(OR(E440="",M440=0),"",ROUND((F440*$N$435+G440*$O$435)*24,3))</f>
        <v/>
      </c>
      <c r="I440" s="22" t="n"/>
      <c r="K440" s="25">
        <f>IF(OR(M440=0,C440=""),"",IF(ISNUMBER(C440),MOD(C440,1),IFERROR(INDEX('القوائم'!$B$1:$B$288,MATCH(TRIM(C440),'القوائم'!$A$1:$A$288,0)),IFERROR(MOD(TIMEVALUE(C440),1),""))))</f>
        <v/>
      </c>
      <c r="L440" s="25">
        <f>IF(OR(M440=0,D440=""),"",IF(ISNUMBER(D440),MOD(D440,1),IFERROR(INDEX('القوائم'!$B$1:$B$288,MATCH(TRIM(D440),'القوائم'!$A$1:$A$288,0)),IFERROR(MOD(TIMEVALUE(D440),1),""))))</f>
        <v/>
      </c>
      <c r="M440">
        <f>M435</f>
        <v/>
      </c>
      <c r="Q440">
        <f>IF(N(G445)&gt;0,1,0)</f>
        <v/>
      </c>
    </row>
    <row r="441">
      <c r="A441" s="20">
        <f>IF(40&lt;=NW,SAT1+278,"")</f>
        <v/>
      </c>
      <c r="B441" s="21">
        <f>IF(A441="","",CHOOSE(WEEKDAY(A441,1),"الأحد","الاثنين","الثلاثاء","الأربعاء","الخميس","الجمعة","السبت"))</f>
        <v/>
      </c>
      <c r="C441" s="22" t="n"/>
      <c r="D441" s="22" t="n"/>
      <c r="E441" s="23">
        <f>IF(OR(M441=0,K441="",L441=""),"",MOD(L441-K441,1))</f>
        <v/>
      </c>
      <c r="F441" s="23">
        <f>IF(OR(E441="",M441=0),"",IF(WEEKDAY(A441,1)=6,E441,MIN(E441,MAX(0,MIN(IF(L441&lt;K441,L441+1,L441),OMR_OT_AT)-K441))))</f>
        <v/>
      </c>
      <c r="G441" s="23">
        <f>IF(OR(E441="",M441=0),"",MAX(0,E441-F441))</f>
        <v/>
      </c>
      <c r="H441" s="24">
        <f>IF(OR(E441="",M441=0),"",ROUND((F441*$N$435+G441*$O$435)*24,3))</f>
        <v/>
      </c>
      <c r="I441" s="22" t="n"/>
      <c r="K441" s="25">
        <f>IF(OR(M441=0,C441=""),"",IF(ISNUMBER(C441),MOD(C441,1),IFERROR(INDEX('القوائم'!$B$1:$B$288,MATCH(TRIM(C441),'القوائم'!$A$1:$A$288,0)),IFERROR(MOD(TIMEVALUE(C441),1),""))))</f>
        <v/>
      </c>
      <c r="L441" s="25">
        <f>IF(OR(M441=0,D441=""),"",IF(ISNUMBER(D441),MOD(D441,1),IFERROR(INDEX('القوائم'!$B$1:$B$288,MATCH(TRIM(D441),'القوائم'!$A$1:$A$288,0)),IFERROR(MOD(TIMEVALUE(D441),1),""))))</f>
        <v/>
      </c>
      <c r="M441">
        <f>M435</f>
        <v/>
      </c>
      <c r="Q441">
        <f>IF(N(G445)&gt;0,1,0)</f>
        <v/>
      </c>
    </row>
    <row r="442">
      <c r="A442" s="26">
        <f>IF(40&lt;=NW,SAT1+279,"")</f>
        <v/>
      </c>
      <c r="B442" s="27">
        <f>IF(A442="","",CHOOSE(WEEKDAY(A442,1),"الأحد","الاثنين","الثلاثاء","الأربعاء","الخميس","الجمعة","السبت"))</f>
        <v/>
      </c>
      <c r="C442" s="22" t="n"/>
      <c r="D442" s="22" t="n"/>
      <c r="E442" s="23">
        <f>IF(OR(M442=0,K442="",L442=""),"",MOD(L442-K442,1))</f>
        <v/>
      </c>
      <c r="F442" s="23">
        <f>IF(OR(E442="",M442=0),"",IF(WEEKDAY(A442,1)=6,E442,MIN(E442,MAX(0,MIN(IF(L442&lt;K442,L442+1,L442),OMR_OT_AT)-K442))))</f>
        <v/>
      </c>
      <c r="G442" s="23">
        <f>IF(OR(E442="",M442=0),"",MAX(0,E442-F442))</f>
        <v/>
      </c>
      <c r="H442" s="24">
        <f>IF(OR(E442="",M442=0),"",ROUND((F442*$N$435+G442*$O$435)*24,3))</f>
        <v/>
      </c>
      <c r="I442" s="22" t="n"/>
      <c r="K442" s="25">
        <f>IF(OR(M442=0,C442=""),"",IF(ISNUMBER(C442),MOD(C442,1),IFERROR(INDEX('القوائم'!$B$1:$B$288,MATCH(TRIM(C442),'القوائم'!$A$1:$A$288,0)),IFERROR(MOD(TIMEVALUE(C442),1),""))))</f>
        <v/>
      </c>
      <c r="L442" s="25">
        <f>IF(OR(M442=0,D442=""),"",IF(ISNUMBER(D442),MOD(D442,1),IFERROR(INDEX('القوائم'!$B$1:$B$288,MATCH(TRIM(D442),'القوائم'!$A$1:$A$288,0)),IFERROR(MOD(TIMEVALUE(D442),1),""))))</f>
        <v/>
      </c>
      <c r="M442">
        <f>M435</f>
        <v/>
      </c>
      <c r="Q442">
        <f>IF(N(G445)&gt;0,1,0)</f>
        <v/>
      </c>
    </row>
    <row r="443">
      <c r="A443" s="28">
        <f>IF(M435=1,"مجموع أيام الأسبوع 40","")</f>
        <v/>
      </c>
      <c r="B443" s="28" t="n"/>
      <c r="C443" s="28" t="n"/>
      <c r="D443" s="28" t="n"/>
      <c r="E443" s="29">
        <f>IF(M435=1,SUM(E436:E442),"")</f>
        <v/>
      </c>
      <c r="F443" s="29">
        <f>IF(M435=1,SUM(F436:F442),"")</f>
        <v/>
      </c>
      <c r="G443" s="29">
        <f>IF(M435=1,SUM(G436:G442),"")</f>
        <v/>
      </c>
      <c r="H443" s="30">
        <f>IF(M435=1,SUM(H436:H442),"")</f>
        <v/>
      </c>
      <c r="I443" s="28" t="n"/>
    </row>
    <row r="444" ht="32" customHeight="1">
      <c r="A444" s="28">
        <f>IF(M435=1,"ساعات تحميل الجبسمبورد بهالأسبوع (رقم: 2 أو 1.5) ←","")</f>
        <v/>
      </c>
      <c r="E444" s="31" t="n"/>
      <c r="F444" s="32">
        <f>IF(M435=1,"المستحق النهائي للأسبوع (دينار) ←","")</f>
        <v/>
      </c>
      <c r="H444" s="33">
        <f>IF(M435=1,IF(ROUND_MODE="للأعلى",CEILING(ROUND((N(H443)+N(E444)*($P$435-$N$435)),3),0.25),ROUND((N(H443)+N(E444)*($P$435-$N$435))*4,0)/4),"")</f>
        <v/>
      </c>
      <c r="I444" s="34">
        <f>IF(M435=1,"قبل الجبر: "&amp;TEXT(N(H443)+N(E444)*($P$435-$N$435),"0.000"),"")</f>
        <v/>
      </c>
    </row>
    <row r="445" ht="26" customHeight="1">
      <c r="A445" s="28">
        <f>IF(M435=1,"إكرامية الأسبوع (دينار) ←","")</f>
        <v/>
      </c>
      <c r="D445" s="35" t="n"/>
      <c r="E445" s="28">
        <f>IF(M435=1,"المدفوع يوم الجمعة (دينار) ←","")</f>
        <v/>
      </c>
      <c r="G445" s="35" t="n"/>
      <c r="H445" s="36">
        <f>IF(M435=1,IF(N(G445)&gt;0,"✔ انقبض — الأسبوع مقفول","⏳ لسا ما انقبض"),"")</f>
        <v/>
      </c>
    </row>
    <row r="446" ht="26" customHeight="1">
      <c r="A446" s="18">
        <f>IF(41&lt;=NW,"الأسبوع 41 · السبت "&amp;TEXT(DAY(SAT1+280),"00")&amp;"/"&amp;TEXT(MONTH(SAT1+280),"00")&amp;" ← الجمعة "&amp;TEXT(DAY(SAT1+286),"00")&amp;"/"&amp;TEXT(MONTH(SAT1+286),"00")&amp;" (يوم القبض)"&amp;IF(41&lt;START_O,"   — قبل أسبوع البداية (ما بينحسب)",""),"ما في أسبوع 41 هالسنة")</f>
        <v/>
      </c>
      <c r="L446" s="19">
        <f>IF(41&lt;=NW,SAT1+286,"")</f>
        <v/>
      </c>
      <c r="M446">
        <f>IF(AND(41&lt;=NW,41&gt;=START_O),1,0)</f>
        <v/>
      </c>
      <c r="N446">
        <f>IFERROR(INDEX(RT_OMR,MATCH(L446,RT_K,1)),INDEX(RT_OMR,1))</f>
        <v/>
      </c>
      <c r="O446">
        <f>IFERROR(INDEX(RT_OT,MATCH(L446,RT_K,1)),INDEX(RT_OT,1))</f>
        <v/>
      </c>
      <c r="P446">
        <f>IFERROR(INDEX(RT_GYP,MATCH(L446,RT_K,1)),INDEX(RT_GYP,1))</f>
        <v/>
      </c>
    </row>
    <row r="447">
      <c r="A447" s="20">
        <f>IF(41&lt;=NW,SAT1+280,"")</f>
        <v/>
      </c>
      <c r="B447" s="21">
        <f>IF(A447="","",CHOOSE(WEEKDAY(A447,1),"الأحد","الاثنين","الثلاثاء","الأربعاء","الخميس","الجمعة","السبت"))</f>
        <v/>
      </c>
      <c r="C447" s="22" t="n"/>
      <c r="D447" s="22" t="n"/>
      <c r="E447" s="23">
        <f>IF(OR(M447=0,K447="",L447=""),"",MOD(L447-K447,1))</f>
        <v/>
      </c>
      <c r="F447" s="23">
        <f>IF(OR(E447="",M447=0),"",IF(WEEKDAY(A447,1)=6,E447,MIN(E447,MAX(0,MIN(IF(L447&lt;K447,L447+1,L447),OMR_OT_AT)-K447))))</f>
        <v/>
      </c>
      <c r="G447" s="23">
        <f>IF(OR(E447="",M447=0),"",MAX(0,E447-F447))</f>
        <v/>
      </c>
      <c r="H447" s="24">
        <f>IF(OR(E447="",M447=0),"",ROUND((F447*$N$446+G447*$O$446)*24,3))</f>
        <v/>
      </c>
      <c r="I447" s="22" t="n"/>
      <c r="K447" s="25">
        <f>IF(OR(M447=0,C447=""),"",IF(ISNUMBER(C447),MOD(C447,1),IFERROR(INDEX('القوائم'!$B$1:$B$288,MATCH(TRIM(C447),'القوائم'!$A$1:$A$288,0)),IFERROR(MOD(TIMEVALUE(C447),1),""))))</f>
        <v/>
      </c>
      <c r="L447" s="25">
        <f>IF(OR(M447=0,D447=""),"",IF(ISNUMBER(D447),MOD(D447,1),IFERROR(INDEX('القوائم'!$B$1:$B$288,MATCH(TRIM(D447),'القوائم'!$A$1:$A$288,0)),IFERROR(MOD(TIMEVALUE(D447),1),""))))</f>
        <v/>
      </c>
      <c r="M447">
        <f>M446</f>
        <v/>
      </c>
      <c r="Q447">
        <f>IF(N(G456)&gt;0,1,0)</f>
        <v/>
      </c>
    </row>
    <row r="448">
      <c r="A448" s="20">
        <f>IF(41&lt;=NW,SAT1+281,"")</f>
        <v/>
      </c>
      <c r="B448" s="21">
        <f>IF(A448="","",CHOOSE(WEEKDAY(A448,1),"الأحد","الاثنين","الثلاثاء","الأربعاء","الخميس","الجمعة","السبت"))</f>
        <v/>
      </c>
      <c r="C448" s="22" t="n"/>
      <c r="D448" s="22" t="n"/>
      <c r="E448" s="23">
        <f>IF(OR(M448=0,K448="",L448=""),"",MOD(L448-K448,1))</f>
        <v/>
      </c>
      <c r="F448" s="23">
        <f>IF(OR(E448="",M448=0),"",IF(WEEKDAY(A448,1)=6,E448,MIN(E448,MAX(0,MIN(IF(L448&lt;K448,L448+1,L448),OMR_OT_AT)-K448))))</f>
        <v/>
      </c>
      <c r="G448" s="23">
        <f>IF(OR(E448="",M448=0),"",MAX(0,E448-F448))</f>
        <v/>
      </c>
      <c r="H448" s="24">
        <f>IF(OR(E448="",M448=0),"",ROUND((F448*$N$446+G448*$O$446)*24,3))</f>
        <v/>
      </c>
      <c r="I448" s="22" t="n"/>
      <c r="K448" s="25">
        <f>IF(OR(M448=0,C448=""),"",IF(ISNUMBER(C448),MOD(C448,1),IFERROR(INDEX('القوائم'!$B$1:$B$288,MATCH(TRIM(C448),'القوائم'!$A$1:$A$288,0)),IFERROR(MOD(TIMEVALUE(C448),1),""))))</f>
        <v/>
      </c>
      <c r="L448" s="25">
        <f>IF(OR(M448=0,D448=""),"",IF(ISNUMBER(D448),MOD(D448,1),IFERROR(INDEX('القوائم'!$B$1:$B$288,MATCH(TRIM(D448),'القوائم'!$A$1:$A$288,0)),IFERROR(MOD(TIMEVALUE(D448),1),""))))</f>
        <v/>
      </c>
      <c r="M448">
        <f>M446</f>
        <v/>
      </c>
      <c r="Q448">
        <f>IF(N(G456)&gt;0,1,0)</f>
        <v/>
      </c>
    </row>
    <row r="449">
      <c r="A449" s="20">
        <f>IF(41&lt;=NW,SAT1+282,"")</f>
        <v/>
      </c>
      <c r="B449" s="21">
        <f>IF(A449="","",CHOOSE(WEEKDAY(A449,1),"الأحد","الاثنين","الثلاثاء","الأربعاء","الخميس","الجمعة","السبت"))</f>
        <v/>
      </c>
      <c r="C449" s="22" t="n"/>
      <c r="D449" s="22" t="n"/>
      <c r="E449" s="23">
        <f>IF(OR(M449=0,K449="",L449=""),"",MOD(L449-K449,1))</f>
        <v/>
      </c>
      <c r="F449" s="23">
        <f>IF(OR(E449="",M449=0),"",IF(WEEKDAY(A449,1)=6,E449,MIN(E449,MAX(0,MIN(IF(L449&lt;K449,L449+1,L449),OMR_OT_AT)-K449))))</f>
        <v/>
      </c>
      <c r="G449" s="23">
        <f>IF(OR(E449="",M449=0),"",MAX(0,E449-F449))</f>
        <v/>
      </c>
      <c r="H449" s="24">
        <f>IF(OR(E449="",M449=0),"",ROUND((F449*$N$446+G449*$O$446)*24,3))</f>
        <v/>
      </c>
      <c r="I449" s="22" t="n"/>
      <c r="K449" s="25">
        <f>IF(OR(M449=0,C449=""),"",IF(ISNUMBER(C449),MOD(C449,1),IFERROR(INDEX('القوائم'!$B$1:$B$288,MATCH(TRIM(C449),'القوائم'!$A$1:$A$288,0)),IFERROR(MOD(TIMEVALUE(C449),1),""))))</f>
        <v/>
      </c>
      <c r="L449" s="25">
        <f>IF(OR(M449=0,D449=""),"",IF(ISNUMBER(D449),MOD(D449,1),IFERROR(INDEX('القوائم'!$B$1:$B$288,MATCH(TRIM(D449),'القوائم'!$A$1:$A$288,0)),IFERROR(MOD(TIMEVALUE(D449),1),""))))</f>
        <v/>
      </c>
      <c r="M449">
        <f>M446</f>
        <v/>
      </c>
      <c r="Q449">
        <f>IF(N(G456)&gt;0,1,0)</f>
        <v/>
      </c>
    </row>
    <row r="450">
      <c r="A450" s="20">
        <f>IF(41&lt;=NW,SAT1+283,"")</f>
        <v/>
      </c>
      <c r="B450" s="21">
        <f>IF(A450="","",CHOOSE(WEEKDAY(A450,1),"الأحد","الاثنين","الثلاثاء","الأربعاء","الخميس","الجمعة","السبت"))</f>
        <v/>
      </c>
      <c r="C450" s="22" t="n"/>
      <c r="D450" s="22" t="n"/>
      <c r="E450" s="23">
        <f>IF(OR(M450=0,K450="",L450=""),"",MOD(L450-K450,1))</f>
        <v/>
      </c>
      <c r="F450" s="23">
        <f>IF(OR(E450="",M450=0),"",IF(WEEKDAY(A450,1)=6,E450,MIN(E450,MAX(0,MIN(IF(L450&lt;K450,L450+1,L450),OMR_OT_AT)-K450))))</f>
        <v/>
      </c>
      <c r="G450" s="23">
        <f>IF(OR(E450="",M450=0),"",MAX(0,E450-F450))</f>
        <v/>
      </c>
      <c r="H450" s="24">
        <f>IF(OR(E450="",M450=0),"",ROUND((F450*$N$446+G450*$O$446)*24,3))</f>
        <v/>
      </c>
      <c r="I450" s="22" t="n"/>
      <c r="K450" s="25">
        <f>IF(OR(M450=0,C450=""),"",IF(ISNUMBER(C450),MOD(C450,1),IFERROR(INDEX('القوائم'!$B$1:$B$288,MATCH(TRIM(C450),'القوائم'!$A$1:$A$288,0)),IFERROR(MOD(TIMEVALUE(C450),1),""))))</f>
        <v/>
      </c>
      <c r="L450" s="25">
        <f>IF(OR(M450=0,D450=""),"",IF(ISNUMBER(D450),MOD(D450,1),IFERROR(INDEX('القوائم'!$B$1:$B$288,MATCH(TRIM(D450),'القوائم'!$A$1:$A$288,0)),IFERROR(MOD(TIMEVALUE(D450),1),""))))</f>
        <v/>
      </c>
      <c r="M450">
        <f>M446</f>
        <v/>
      </c>
      <c r="Q450">
        <f>IF(N(G456)&gt;0,1,0)</f>
        <v/>
      </c>
    </row>
    <row r="451">
      <c r="A451" s="20">
        <f>IF(41&lt;=NW,SAT1+284,"")</f>
        <v/>
      </c>
      <c r="B451" s="21">
        <f>IF(A451="","",CHOOSE(WEEKDAY(A451,1),"الأحد","الاثنين","الثلاثاء","الأربعاء","الخميس","الجمعة","السبت"))</f>
        <v/>
      </c>
      <c r="C451" s="22" t="n"/>
      <c r="D451" s="22" t="n"/>
      <c r="E451" s="23">
        <f>IF(OR(M451=0,K451="",L451=""),"",MOD(L451-K451,1))</f>
        <v/>
      </c>
      <c r="F451" s="23">
        <f>IF(OR(E451="",M451=0),"",IF(WEEKDAY(A451,1)=6,E451,MIN(E451,MAX(0,MIN(IF(L451&lt;K451,L451+1,L451),OMR_OT_AT)-K451))))</f>
        <v/>
      </c>
      <c r="G451" s="23">
        <f>IF(OR(E451="",M451=0),"",MAX(0,E451-F451))</f>
        <v/>
      </c>
      <c r="H451" s="24">
        <f>IF(OR(E451="",M451=0),"",ROUND((F451*$N$446+G451*$O$446)*24,3))</f>
        <v/>
      </c>
      <c r="I451" s="22" t="n"/>
      <c r="K451" s="25">
        <f>IF(OR(M451=0,C451=""),"",IF(ISNUMBER(C451),MOD(C451,1),IFERROR(INDEX('القوائم'!$B$1:$B$288,MATCH(TRIM(C451),'القوائم'!$A$1:$A$288,0)),IFERROR(MOD(TIMEVALUE(C451),1),""))))</f>
        <v/>
      </c>
      <c r="L451" s="25">
        <f>IF(OR(M451=0,D451=""),"",IF(ISNUMBER(D451),MOD(D451,1),IFERROR(INDEX('القوائم'!$B$1:$B$288,MATCH(TRIM(D451),'القوائم'!$A$1:$A$288,0)),IFERROR(MOD(TIMEVALUE(D451),1),""))))</f>
        <v/>
      </c>
      <c r="M451">
        <f>M446</f>
        <v/>
      </c>
      <c r="Q451">
        <f>IF(N(G456)&gt;0,1,0)</f>
        <v/>
      </c>
    </row>
    <row r="452">
      <c r="A452" s="20">
        <f>IF(41&lt;=NW,SAT1+285,"")</f>
        <v/>
      </c>
      <c r="B452" s="21">
        <f>IF(A452="","",CHOOSE(WEEKDAY(A452,1),"الأحد","الاثنين","الثلاثاء","الأربعاء","الخميس","الجمعة","السبت"))</f>
        <v/>
      </c>
      <c r="C452" s="22" t="n"/>
      <c r="D452" s="22" t="n"/>
      <c r="E452" s="23">
        <f>IF(OR(M452=0,K452="",L452=""),"",MOD(L452-K452,1))</f>
        <v/>
      </c>
      <c r="F452" s="23">
        <f>IF(OR(E452="",M452=0),"",IF(WEEKDAY(A452,1)=6,E452,MIN(E452,MAX(0,MIN(IF(L452&lt;K452,L452+1,L452),OMR_OT_AT)-K452))))</f>
        <v/>
      </c>
      <c r="G452" s="23">
        <f>IF(OR(E452="",M452=0),"",MAX(0,E452-F452))</f>
        <v/>
      </c>
      <c r="H452" s="24">
        <f>IF(OR(E452="",M452=0),"",ROUND((F452*$N$446+G452*$O$446)*24,3))</f>
        <v/>
      </c>
      <c r="I452" s="22" t="n"/>
      <c r="K452" s="25">
        <f>IF(OR(M452=0,C452=""),"",IF(ISNUMBER(C452),MOD(C452,1),IFERROR(INDEX('القوائم'!$B$1:$B$288,MATCH(TRIM(C452),'القوائم'!$A$1:$A$288,0)),IFERROR(MOD(TIMEVALUE(C452),1),""))))</f>
        <v/>
      </c>
      <c r="L452" s="25">
        <f>IF(OR(M452=0,D452=""),"",IF(ISNUMBER(D452),MOD(D452,1),IFERROR(INDEX('القوائم'!$B$1:$B$288,MATCH(TRIM(D452),'القوائم'!$A$1:$A$288,0)),IFERROR(MOD(TIMEVALUE(D452),1),""))))</f>
        <v/>
      </c>
      <c r="M452">
        <f>M446</f>
        <v/>
      </c>
      <c r="Q452">
        <f>IF(N(G456)&gt;0,1,0)</f>
        <v/>
      </c>
    </row>
    <row r="453">
      <c r="A453" s="26">
        <f>IF(41&lt;=NW,SAT1+286,"")</f>
        <v/>
      </c>
      <c r="B453" s="27">
        <f>IF(A453="","",CHOOSE(WEEKDAY(A453,1),"الأحد","الاثنين","الثلاثاء","الأربعاء","الخميس","الجمعة","السبت"))</f>
        <v/>
      </c>
      <c r="C453" s="22" t="n"/>
      <c r="D453" s="22" t="n"/>
      <c r="E453" s="23">
        <f>IF(OR(M453=0,K453="",L453=""),"",MOD(L453-K453,1))</f>
        <v/>
      </c>
      <c r="F453" s="23">
        <f>IF(OR(E453="",M453=0),"",IF(WEEKDAY(A453,1)=6,E453,MIN(E453,MAX(0,MIN(IF(L453&lt;K453,L453+1,L453),OMR_OT_AT)-K453))))</f>
        <v/>
      </c>
      <c r="G453" s="23">
        <f>IF(OR(E453="",M453=0),"",MAX(0,E453-F453))</f>
        <v/>
      </c>
      <c r="H453" s="24">
        <f>IF(OR(E453="",M453=0),"",ROUND((F453*$N$446+G453*$O$446)*24,3))</f>
        <v/>
      </c>
      <c r="I453" s="22" t="n"/>
      <c r="K453" s="25">
        <f>IF(OR(M453=0,C453=""),"",IF(ISNUMBER(C453),MOD(C453,1),IFERROR(INDEX('القوائم'!$B$1:$B$288,MATCH(TRIM(C453),'القوائم'!$A$1:$A$288,0)),IFERROR(MOD(TIMEVALUE(C453),1),""))))</f>
        <v/>
      </c>
      <c r="L453" s="25">
        <f>IF(OR(M453=0,D453=""),"",IF(ISNUMBER(D453),MOD(D453,1),IFERROR(INDEX('القوائم'!$B$1:$B$288,MATCH(TRIM(D453),'القوائم'!$A$1:$A$288,0)),IFERROR(MOD(TIMEVALUE(D453),1),""))))</f>
        <v/>
      </c>
      <c r="M453">
        <f>M446</f>
        <v/>
      </c>
      <c r="Q453">
        <f>IF(N(G456)&gt;0,1,0)</f>
        <v/>
      </c>
    </row>
    <row r="454">
      <c r="A454" s="28">
        <f>IF(M446=1,"مجموع أيام الأسبوع 41","")</f>
        <v/>
      </c>
      <c r="B454" s="28" t="n"/>
      <c r="C454" s="28" t="n"/>
      <c r="D454" s="28" t="n"/>
      <c r="E454" s="29">
        <f>IF(M446=1,SUM(E447:E453),"")</f>
        <v/>
      </c>
      <c r="F454" s="29">
        <f>IF(M446=1,SUM(F447:F453),"")</f>
        <v/>
      </c>
      <c r="G454" s="29">
        <f>IF(M446=1,SUM(G447:G453),"")</f>
        <v/>
      </c>
      <c r="H454" s="30">
        <f>IF(M446=1,SUM(H447:H453),"")</f>
        <v/>
      </c>
      <c r="I454" s="28" t="n"/>
    </row>
    <row r="455" ht="32" customHeight="1">
      <c r="A455" s="28">
        <f>IF(M446=1,"ساعات تحميل الجبسمبورد بهالأسبوع (رقم: 2 أو 1.5) ←","")</f>
        <v/>
      </c>
      <c r="E455" s="31" t="n"/>
      <c r="F455" s="32">
        <f>IF(M446=1,"المستحق النهائي للأسبوع (دينار) ←","")</f>
        <v/>
      </c>
      <c r="H455" s="33">
        <f>IF(M446=1,IF(ROUND_MODE="للأعلى",CEILING(ROUND((N(H454)+N(E455)*($P$446-$N$446)),3),0.25),ROUND((N(H454)+N(E455)*($P$446-$N$446))*4,0)/4),"")</f>
        <v/>
      </c>
      <c r="I455" s="34">
        <f>IF(M446=1,"قبل الجبر: "&amp;TEXT(N(H454)+N(E455)*($P$446-$N$446),"0.000"),"")</f>
        <v/>
      </c>
    </row>
    <row r="456" ht="26" customHeight="1">
      <c r="A456" s="28">
        <f>IF(M446=1,"إكرامية الأسبوع (دينار) ←","")</f>
        <v/>
      </c>
      <c r="D456" s="35" t="n"/>
      <c r="E456" s="28">
        <f>IF(M446=1,"المدفوع يوم الجمعة (دينار) ←","")</f>
        <v/>
      </c>
      <c r="G456" s="35" t="n"/>
      <c r="H456" s="36">
        <f>IF(M446=1,IF(N(G456)&gt;0,"✔ انقبض — الأسبوع مقفول","⏳ لسا ما انقبض"),"")</f>
        <v/>
      </c>
    </row>
    <row r="457" ht="26" customHeight="1">
      <c r="A457" s="18">
        <f>IF(42&lt;=NW,"الأسبوع 42 · السبت "&amp;TEXT(DAY(SAT1+287),"00")&amp;"/"&amp;TEXT(MONTH(SAT1+287),"00")&amp;" ← الجمعة "&amp;TEXT(DAY(SAT1+293),"00")&amp;"/"&amp;TEXT(MONTH(SAT1+293),"00")&amp;" (يوم القبض)"&amp;IF(42&lt;START_O,"   — قبل أسبوع البداية (ما بينحسب)",""),"ما في أسبوع 42 هالسنة")</f>
        <v/>
      </c>
      <c r="L457" s="19">
        <f>IF(42&lt;=NW,SAT1+293,"")</f>
        <v/>
      </c>
      <c r="M457">
        <f>IF(AND(42&lt;=NW,42&gt;=START_O),1,0)</f>
        <v/>
      </c>
      <c r="N457">
        <f>IFERROR(INDEX(RT_OMR,MATCH(L457,RT_K,1)),INDEX(RT_OMR,1))</f>
        <v/>
      </c>
      <c r="O457">
        <f>IFERROR(INDEX(RT_OT,MATCH(L457,RT_K,1)),INDEX(RT_OT,1))</f>
        <v/>
      </c>
      <c r="P457">
        <f>IFERROR(INDEX(RT_GYP,MATCH(L457,RT_K,1)),INDEX(RT_GYP,1))</f>
        <v/>
      </c>
    </row>
    <row r="458">
      <c r="A458" s="20">
        <f>IF(42&lt;=NW,SAT1+287,"")</f>
        <v/>
      </c>
      <c r="B458" s="21">
        <f>IF(A458="","",CHOOSE(WEEKDAY(A458,1),"الأحد","الاثنين","الثلاثاء","الأربعاء","الخميس","الجمعة","السبت"))</f>
        <v/>
      </c>
      <c r="C458" s="22" t="n"/>
      <c r="D458" s="22" t="n"/>
      <c r="E458" s="23">
        <f>IF(OR(M458=0,K458="",L458=""),"",MOD(L458-K458,1))</f>
        <v/>
      </c>
      <c r="F458" s="23">
        <f>IF(OR(E458="",M458=0),"",IF(WEEKDAY(A458,1)=6,E458,MIN(E458,MAX(0,MIN(IF(L458&lt;K458,L458+1,L458),OMR_OT_AT)-K458))))</f>
        <v/>
      </c>
      <c r="G458" s="23">
        <f>IF(OR(E458="",M458=0),"",MAX(0,E458-F458))</f>
        <v/>
      </c>
      <c r="H458" s="24">
        <f>IF(OR(E458="",M458=0),"",ROUND((F458*$N$457+G458*$O$457)*24,3))</f>
        <v/>
      </c>
      <c r="I458" s="22" t="n"/>
      <c r="K458" s="25">
        <f>IF(OR(M458=0,C458=""),"",IF(ISNUMBER(C458),MOD(C458,1),IFERROR(INDEX('القوائم'!$B$1:$B$288,MATCH(TRIM(C458),'القوائم'!$A$1:$A$288,0)),IFERROR(MOD(TIMEVALUE(C458),1),""))))</f>
        <v/>
      </c>
      <c r="L458" s="25">
        <f>IF(OR(M458=0,D458=""),"",IF(ISNUMBER(D458),MOD(D458,1),IFERROR(INDEX('القوائم'!$B$1:$B$288,MATCH(TRIM(D458),'القوائم'!$A$1:$A$288,0)),IFERROR(MOD(TIMEVALUE(D458),1),""))))</f>
        <v/>
      </c>
      <c r="M458">
        <f>M457</f>
        <v/>
      </c>
      <c r="Q458">
        <f>IF(N(G467)&gt;0,1,0)</f>
        <v/>
      </c>
    </row>
    <row r="459">
      <c r="A459" s="20">
        <f>IF(42&lt;=NW,SAT1+288,"")</f>
        <v/>
      </c>
      <c r="B459" s="21">
        <f>IF(A459="","",CHOOSE(WEEKDAY(A459,1),"الأحد","الاثنين","الثلاثاء","الأربعاء","الخميس","الجمعة","السبت"))</f>
        <v/>
      </c>
      <c r="C459" s="22" t="n"/>
      <c r="D459" s="22" t="n"/>
      <c r="E459" s="23">
        <f>IF(OR(M459=0,K459="",L459=""),"",MOD(L459-K459,1))</f>
        <v/>
      </c>
      <c r="F459" s="23">
        <f>IF(OR(E459="",M459=0),"",IF(WEEKDAY(A459,1)=6,E459,MIN(E459,MAX(0,MIN(IF(L459&lt;K459,L459+1,L459),OMR_OT_AT)-K459))))</f>
        <v/>
      </c>
      <c r="G459" s="23">
        <f>IF(OR(E459="",M459=0),"",MAX(0,E459-F459))</f>
        <v/>
      </c>
      <c r="H459" s="24">
        <f>IF(OR(E459="",M459=0),"",ROUND((F459*$N$457+G459*$O$457)*24,3))</f>
        <v/>
      </c>
      <c r="I459" s="22" t="n"/>
      <c r="K459" s="25">
        <f>IF(OR(M459=0,C459=""),"",IF(ISNUMBER(C459),MOD(C459,1),IFERROR(INDEX('القوائم'!$B$1:$B$288,MATCH(TRIM(C459),'القوائم'!$A$1:$A$288,0)),IFERROR(MOD(TIMEVALUE(C459),1),""))))</f>
        <v/>
      </c>
      <c r="L459" s="25">
        <f>IF(OR(M459=0,D459=""),"",IF(ISNUMBER(D459),MOD(D459,1),IFERROR(INDEX('القوائم'!$B$1:$B$288,MATCH(TRIM(D459),'القوائم'!$A$1:$A$288,0)),IFERROR(MOD(TIMEVALUE(D459),1),""))))</f>
        <v/>
      </c>
      <c r="M459">
        <f>M457</f>
        <v/>
      </c>
      <c r="Q459">
        <f>IF(N(G467)&gt;0,1,0)</f>
        <v/>
      </c>
    </row>
    <row r="460">
      <c r="A460" s="20">
        <f>IF(42&lt;=NW,SAT1+289,"")</f>
        <v/>
      </c>
      <c r="B460" s="21">
        <f>IF(A460="","",CHOOSE(WEEKDAY(A460,1),"الأحد","الاثنين","الثلاثاء","الأربعاء","الخميس","الجمعة","السبت"))</f>
        <v/>
      </c>
      <c r="C460" s="22" t="n"/>
      <c r="D460" s="22" t="n"/>
      <c r="E460" s="23">
        <f>IF(OR(M460=0,K460="",L460=""),"",MOD(L460-K460,1))</f>
        <v/>
      </c>
      <c r="F460" s="23">
        <f>IF(OR(E460="",M460=0),"",IF(WEEKDAY(A460,1)=6,E460,MIN(E460,MAX(0,MIN(IF(L460&lt;K460,L460+1,L460),OMR_OT_AT)-K460))))</f>
        <v/>
      </c>
      <c r="G460" s="23">
        <f>IF(OR(E460="",M460=0),"",MAX(0,E460-F460))</f>
        <v/>
      </c>
      <c r="H460" s="24">
        <f>IF(OR(E460="",M460=0),"",ROUND((F460*$N$457+G460*$O$457)*24,3))</f>
        <v/>
      </c>
      <c r="I460" s="22" t="n"/>
      <c r="K460" s="25">
        <f>IF(OR(M460=0,C460=""),"",IF(ISNUMBER(C460),MOD(C460,1),IFERROR(INDEX('القوائم'!$B$1:$B$288,MATCH(TRIM(C460),'القوائم'!$A$1:$A$288,0)),IFERROR(MOD(TIMEVALUE(C460),1),""))))</f>
        <v/>
      </c>
      <c r="L460" s="25">
        <f>IF(OR(M460=0,D460=""),"",IF(ISNUMBER(D460),MOD(D460,1),IFERROR(INDEX('القوائم'!$B$1:$B$288,MATCH(TRIM(D460),'القوائم'!$A$1:$A$288,0)),IFERROR(MOD(TIMEVALUE(D460),1),""))))</f>
        <v/>
      </c>
      <c r="M460">
        <f>M457</f>
        <v/>
      </c>
      <c r="Q460">
        <f>IF(N(G467)&gt;0,1,0)</f>
        <v/>
      </c>
    </row>
    <row r="461">
      <c r="A461" s="20">
        <f>IF(42&lt;=NW,SAT1+290,"")</f>
        <v/>
      </c>
      <c r="B461" s="21">
        <f>IF(A461="","",CHOOSE(WEEKDAY(A461,1),"الأحد","الاثنين","الثلاثاء","الأربعاء","الخميس","الجمعة","السبت"))</f>
        <v/>
      </c>
      <c r="C461" s="22" t="n"/>
      <c r="D461" s="22" t="n"/>
      <c r="E461" s="23">
        <f>IF(OR(M461=0,K461="",L461=""),"",MOD(L461-K461,1))</f>
        <v/>
      </c>
      <c r="F461" s="23">
        <f>IF(OR(E461="",M461=0),"",IF(WEEKDAY(A461,1)=6,E461,MIN(E461,MAX(0,MIN(IF(L461&lt;K461,L461+1,L461),OMR_OT_AT)-K461))))</f>
        <v/>
      </c>
      <c r="G461" s="23">
        <f>IF(OR(E461="",M461=0),"",MAX(0,E461-F461))</f>
        <v/>
      </c>
      <c r="H461" s="24">
        <f>IF(OR(E461="",M461=0),"",ROUND((F461*$N$457+G461*$O$457)*24,3))</f>
        <v/>
      </c>
      <c r="I461" s="22" t="n"/>
      <c r="K461" s="25">
        <f>IF(OR(M461=0,C461=""),"",IF(ISNUMBER(C461),MOD(C461,1),IFERROR(INDEX('القوائم'!$B$1:$B$288,MATCH(TRIM(C461),'القوائم'!$A$1:$A$288,0)),IFERROR(MOD(TIMEVALUE(C461),1),""))))</f>
        <v/>
      </c>
      <c r="L461" s="25">
        <f>IF(OR(M461=0,D461=""),"",IF(ISNUMBER(D461),MOD(D461,1),IFERROR(INDEX('القوائم'!$B$1:$B$288,MATCH(TRIM(D461),'القوائم'!$A$1:$A$288,0)),IFERROR(MOD(TIMEVALUE(D461),1),""))))</f>
        <v/>
      </c>
      <c r="M461">
        <f>M457</f>
        <v/>
      </c>
      <c r="Q461">
        <f>IF(N(G467)&gt;0,1,0)</f>
        <v/>
      </c>
    </row>
    <row r="462">
      <c r="A462" s="20">
        <f>IF(42&lt;=NW,SAT1+291,"")</f>
        <v/>
      </c>
      <c r="B462" s="21">
        <f>IF(A462="","",CHOOSE(WEEKDAY(A462,1),"الأحد","الاثنين","الثلاثاء","الأربعاء","الخميس","الجمعة","السبت"))</f>
        <v/>
      </c>
      <c r="C462" s="22" t="n"/>
      <c r="D462" s="22" t="n"/>
      <c r="E462" s="23">
        <f>IF(OR(M462=0,K462="",L462=""),"",MOD(L462-K462,1))</f>
        <v/>
      </c>
      <c r="F462" s="23">
        <f>IF(OR(E462="",M462=0),"",IF(WEEKDAY(A462,1)=6,E462,MIN(E462,MAX(0,MIN(IF(L462&lt;K462,L462+1,L462),OMR_OT_AT)-K462))))</f>
        <v/>
      </c>
      <c r="G462" s="23">
        <f>IF(OR(E462="",M462=0),"",MAX(0,E462-F462))</f>
        <v/>
      </c>
      <c r="H462" s="24">
        <f>IF(OR(E462="",M462=0),"",ROUND((F462*$N$457+G462*$O$457)*24,3))</f>
        <v/>
      </c>
      <c r="I462" s="22" t="n"/>
      <c r="K462" s="25">
        <f>IF(OR(M462=0,C462=""),"",IF(ISNUMBER(C462),MOD(C462,1),IFERROR(INDEX('القوائم'!$B$1:$B$288,MATCH(TRIM(C462),'القوائم'!$A$1:$A$288,0)),IFERROR(MOD(TIMEVALUE(C462),1),""))))</f>
        <v/>
      </c>
      <c r="L462" s="25">
        <f>IF(OR(M462=0,D462=""),"",IF(ISNUMBER(D462),MOD(D462,1),IFERROR(INDEX('القوائم'!$B$1:$B$288,MATCH(TRIM(D462),'القوائم'!$A$1:$A$288,0)),IFERROR(MOD(TIMEVALUE(D462),1),""))))</f>
        <v/>
      </c>
      <c r="M462">
        <f>M457</f>
        <v/>
      </c>
      <c r="Q462">
        <f>IF(N(G467)&gt;0,1,0)</f>
        <v/>
      </c>
    </row>
    <row r="463">
      <c r="A463" s="20">
        <f>IF(42&lt;=NW,SAT1+292,"")</f>
        <v/>
      </c>
      <c r="B463" s="21">
        <f>IF(A463="","",CHOOSE(WEEKDAY(A463,1),"الأحد","الاثنين","الثلاثاء","الأربعاء","الخميس","الجمعة","السبت"))</f>
        <v/>
      </c>
      <c r="C463" s="22" t="n"/>
      <c r="D463" s="22" t="n"/>
      <c r="E463" s="23">
        <f>IF(OR(M463=0,K463="",L463=""),"",MOD(L463-K463,1))</f>
        <v/>
      </c>
      <c r="F463" s="23">
        <f>IF(OR(E463="",M463=0),"",IF(WEEKDAY(A463,1)=6,E463,MIN(E463,MAX(0,MIN(IF(L463&lt;K463,L463+1,L463),OMR_OT_AT)-K463))))</f>
        <v/>
      </c>
      <c r="G463" s="23">
        <f>IF(OR(E463="",M463=0),"",MAX(0,E463-F463))</f>
        <v/>
      </c>
      <c r="H463" s="24">
        <f>IF(OR(E463="",M463=0),"",ROUND((F463*$N$457+G463*$O$457)*24,3))</f>
        <v/>
      </c>
      <c r="I463" s="22" t="n"/>
      <c r="K463" s="25">
        <f>IF(OR(M463=0,C463=""),"",IF(ISNUMBER(C463),MOD(C463,1),IFERROR(INDEX('القوائم'!$B$1:$B$288,MATCH(TRIM(C463),'القوائم'!$A$1:$A$288,0)),IFERROR(MOD(TIMEVALUE(C463),1),""))))</f>
        <v/>
      </c>
      <c r="L463" s="25">
        <f>IF(OR(M463=0,D463=""),"",IF(ISNUMBER(D463),MOD(D463,1),IFERROR(INDEX('القوائم'!$B$1:$B$288,MATCH(TRIM(D463),'القوائم'!$A$1:$A$288,0)),IFERROR(MOD(TIMEVALUE(D463),1),""))))</f>
        <v/>
      </c>
      <c r="M463">
        <f>M457</f>
        <v/>
      </c>
      <c r="Q463">
        <f>IF(N(G467)&gt;0,1,0)</f>
        <v/>
      </c>
    </row>
    <row r="464">
      <c r="A464" s="26">
        <f>IF(42&lt;=NW,SAT1+293,"")</f>
        <v/>
      </c>
      <c r="B464" s="27">
        <f>IF(A464="","",CHOOSE(WEEKDAY(A464,1),"الأحد","الاثنين","الثلاثاء","الأربعاء","الخميس","الجمعة","السبت"))</f>
        <v/>
      </c>
      <c r="C464" s="22" t="n"/>
      <c r="D464" s="22" t="n"/>
      <c r="E464" s="23">
        <f>IF(OR(M464=0,K464="",L464=""),"",MOD(L464-K464,1))</f>
        <v/>
      </c>
      <c r="F464" s="23">
        <f>IF(OR(E464="",M464=0),"",IF(WEEKDAY(A464,1)=6,E464,MIN(E464,MAX(0,MIN(IF(L464&lt;K464,L464+1,L464),OMR_OT_AT)-K464))))</f>
        <v/>
      </c>
      <c r="G464" s="23">
        <f>IF(OR(E464="",M464=0),"",MAX(0,E464-F464))</f>
        <v/>
      </c>
      <c r="H464" s="24">
        <f>IF(OR(E464="",M464=0),"",ROUND((F464*$N$457+G464*$O$457)*24,3))</f>
        <v/>
      </c>
      <c r="I464" s="22" t="n"/>
      <c r="K464" s="25">
        <f>IF(OR(M464=0,C464=""),"",IF(ISNUMBER(C464),MOD(C464,1),IFERROR(INDEX('القوائم'!$B$1:$B$288,MATCH(TRIM(C464),'القوائم'!$A$1:$A$288,0)),IFERROR(MOD(TIMEVALUE(C464),1),""))))</f>
        <v/>
      </c>
      <c r="L464" s="25">
        <f>IF(OR(M464=0,D464=""),"",IF(ISNUMBER(D464),MOD(D464,1),IFERROR(INDEX('القوائم'!$B$1:$B$288,MATCH(TRIM(D464),'القوائم'!$A$1:$A$288,0)),IFERROR(MOD(TIMEVALUE(D464),1),""))))</f>
        <v/>
      </c>
      <c r="M464">
        <f>M457</f>
        <v/>
      </c>
      <c r="Q464">
        <f>IF(N(G467)&gt;0,1,0)</f>
        <v/>
      </c>
    </row>
    <row r="465">
      <c r="A465" s="28">
        <f>IF(M457=1,"مجموع أيام الأسبوع 42","")</f>
        <v/>
      </c>
      <c r="B465" s="28" t="n"/>
      <c r="C465" s="28" t="n"/>
      <c r="D465" s="28" t="n"/>
      <c r="E465" s="29">
        <f>IF(M457=1,SUM(E458:E464),"")</f>
        <v/>
      </c>
      <c r="F465" s="29">
        <f>IF(M457=1,SUM(F458:F464),"")</f>
        <v/>
      </c>
      <c r="G465" s="29">
        <f>IF(M457=1,SUM(G458:G464),"")</f>
        <v/>
      </c>
      <c r="H465" s="30">
        <f>IF(M457=1,SUM(H458:H464),"")</f>
        <v/>
      </c>
      <c r="I465" s="28" t="n"/>
    </row>
    <row r="466" ht="32" customHeight="1">
      <c r="A466" s="28">
        <f>IF(M457=1,"ساعات تحميل الجبسمبورد بهالأسبوع (رقم: 2 أو 1.5) ←","")</f>
        <v/>
      </c>
      <c r="E466" s="31" t="n"/>
      <c r="F466" s="32">
        <f>IF(M457=1,"المستحق النهائي للأسبوع (دينار) ←","")</f>
        <v/>
      </c>
      <c r="H466" s="33">
        <f>IF(M457=1,IF(ROUND_MODE="للأعلى",CEILING(ROUND((N(H465)+N(E466)*($P$457-$N$457)),3),0.25),ROUND((N(H465)+N(E466)*($P$457-$N$457))*4,0)/4),"")</f>
        <v/>
      </c>
      <c r="I466" s="34">
        <f>IF(M457=1,"قبل الجبر: "&amp;TEXT(N(H465)+N(E466)*($P$457-$N$457),"0.000"),"")</f>
        <v/>
      </c>
    </row>
    <row r="467" ht="26" customHeight="1">
      <c r="A467" s="28">
        <f>IF(M457=1,"إكرامية الأسبوع (دينار) ←","")</f>
        <v/>
      </c>
      <c r="D467" s="35" t="n"/>
      <c r="E467" s="28">
        <f>IF(M457=1,"المدفوع يوم الجمعة (دينار) ←","")</f>
        <v/>
      </c>
      <c r="G467" s="35" t="n"/>
      <c r="H467" s="36">
        <f>IF(M457=1,IF(N(G467)&gt;0,"✔ انقبض — الأسبوع مقفول","⏳ لسا ما انقبض"),"")</f>
        <v/>
      </c>
    </row>
    <row r="468" ht="26" customHeight="1">
      <c r="A468" s="18">
        <f>IF(43&lt;=NW,"الأسبوع 43 · السبت "&amp;TEXT(DAY(SAT1+294),"00")&amp;"/"&amp;TEXT(MONTH(SAT1+294),"00")&amp;" ← الجمعة "&amp;TEXT(DAY(SAT1+300),"00")&amp;"/"&amp;TEXT(MONTH(SAT1+300),"00")&amp;" (يوم القبض)"&amp;IF(43&lt;START_O,"   — قبل أسبوع البداية (ما بينحسب)",""),"ما في أسبوع 43 هالسنة")</f>
        <v/>
      </c>
      <c r="L468" s="19">
        <f>IF(43&lt;=NW,SAT1+300,"")</f>
        <v/>
      </c>
      <c r="M468">
        <f>IF(AND(43&lt;=NW,43&gt;=START_O),1,0)</f>
        <v/>
      </c>
      <c r="N468">
        <f>IFERROR(INDEX(RT_OMR,MATCH(L468,RT_K,1)),INDEX(RT_OMR,1))</f>
        <v/>
      </c>
      <c r="O468">
        <f>IFERROR(INDEX(RT_OT,MATCH(L468,RT_K,1)),INDEX(RT_OT,1))</f>
        <v/>
      </c>
      <c r="P468">
        <f>IFERROR(INDEX(RT_GYP,MATCH(L468,RT_K,1)),INDEX(RT_GYP,1))</f>
        <v/>
      </c>
    </row>
    <row r="469">
      <c r="A469" s="20">
        <f>IF(43&lt;=NW,SAT1+294,"")</f>
        <v/>
      </c>
      <c r="B469" s="21">
        <f>IF(A469="","",CHOOSE(WEEKDAY(A469,1),"الأحد","الاثنين","الثلاثاء","الأربعاء","الخميس","الجمعة","السبت"))</f>
        <v/>
      </c>
      <c r="C469" s="22" t="n"/>
      <c r="D469" s="22" t="n"/>
      <c r="E469" s="23">
        <f>IF(OR(M469=0,K469="",L469=""),"",MOD(L469-K469,1))</f>
        <v/>
      </c>
      <c r="F469" s="23">
        <f>IF(OR(E469="",M469=0),"",IF(WEEKDAY(A469,1)=6,E469,MIN(E469,MAX(0,MIN(IF(L469&lt;K469,L469+1,L469),OMR_OT_AT)-K469))))</f>
        <v/>
      </c>
      <c r="G469" s="23">
        <f>IF(OR(E469="",M469=0),"",MAX(0,E469-F469))</f>
        <v/>
      </c>
      <c r="H469" s="24">
        <f>IF(OR(E469="",M469=0),"",ROUND((F469*$N$468+G469*$O$468)*24,3))</f>
        <v/>
      </c>
      <c r="I469" s="22" t="n"/>
      <c r="K469" s="25">
        <f>IF(OR(M469=0,C469=""),"",IF(ISNUMBER(C469),MOD(C469,1),IFERROR(INDEX('القوائم'!$B$1:$B$288,MATCH(TRIM(C469),'القوائم'!$A$1:$A$288,0)),IFERROR(MOD(TIMEVALUE(C469),1),""))))</f>
        <v/>
      </c>
      <c r="L469" s="25">
        <f>IF(OR(M469=0,D469=""),"",IF(ISNUMBER(D469),MOD(D469,1),IFERROR(INDEX('القوائم'!$B$1:$B$288,MATCH(TRIM(D469),'القوائم'!$A$1:$A$288,0)),IFERROR(MOD(TIMEVALUE(D469),1),""))))</f>
        <v/>
      </c>
      <c r="M469">
        <f>M468</f>
        <v/>
      </c>
      <c r="Q469">
        <f>IF(N(G478)&gt;0,1,0)</f>
        <v/>
      </c>
    </row>
    <row r="470">
      <c r="A470" s="20">
        <f>IF(43&lt;=NW,SAT1+295,"")</f>
        <v/>
      </c>
      <c r="B470" s="21">
        <f>IF(A470="","",CHOOSE(WEEKDAY(A470,1),"الأحد","الاثنين","الثلاثاء","الأربعاء","الخميس","الجمعة","السبت"))</f>
        <v/>
      </c>
      <c r="C470" s="22" t="n"/>
      <c r="D470" s="22" t="n"/>
      <c r="E470" s="23">
        <f>IF(OR(M470=0,K470="",L470=""),"",MOD(L470-K470,1))</f>
        <v/>
      </c>
      <c r="F470" s="23">
        <f>IF(OR(E470="",M470=0),"",IF(WEEKDAY(A470,1)=6,E470,MIN(E470,MAX(0,MIN(IF(L470&lt;K470,L470+1,L470),OMR_OT_AT)-K470))))</f>
        <v/>
      </c>
      <c r="G470" s="23">
        <f>IF(OR(E470="",M470=0),"",MAX(0,E470-F470))</f>
        <v/>
      </c>
      <c r="H470" s="24">
        <f>IF(OR(E470="",M470=0),"",ROUND((F470*$N$468+G470*$O$468)*24,3))</f>
        <v/>
      </c>
      <c r="I470" s="22" t="n"/>
      <c r="K470" s="25">
        <f>IF(OR(M470=0,C470=""),"",IF(ISNUMBER(C470),MOD(C470,1),IFERROR(INDEX('القوائم'!$B$1:$B$288,MATCH(TRIM(C470),'القوائم'!$A$1:$A$288,0)),IFERROR(MOD(TIMEVALUE(C470),1),""))))</f>
        <v/>
      </c>
      <c r="L470" s="25">
        <f>IF(OR(M470=0,D470=""),"",IF(ISNUMBER(D470),MOD(D470,1),IFERROR(INDEX('القوائم'!$B$1:$B$288,MATCH(TRIM(D470),'القوائم'!$A$1:$A$288,0)),IFERROR(MOD(TIMEVALUE(D470),1),""))))</f>
        <v/>
      </c>
      <c r="M470">
        <f>M468</f>
        <v/>
      </c>
      <c r="Q470">
        <f>IF(N(G478)&gt;0,1,0)</f>
        <v/>
      </c>
    </row>
    <row r="471">
      <c r="A471" s="20">
        <f>IF(43&lt;=NW,SAT1+296,"")</f>
        <v/>
      </c>
      <c r="B471" s="21">
        <f>IF(A471="","",CHOOSE(WEEKDAY(A471,1),"الأحد","الاثنين","الثلاثاء","الأربعاء","الخميس","الجمعة","السبت"))</f>
        <v/>
      </c>
      <c r="C471" s="22" t="n"/>
      <c r="D471" s="22" t="n"/>
      <c r="E471" s="23">
        <f>IF(OR(M471=0,K471="",L471=""),"",MOD(L471-K471,1))</f>
        <v/>
      </c>
      <c r="F471" s="23">
        <f>IF(OR(E471="",M471=0),"",IF(WEEKDAY(A471,1)=6,E471,MIN(E471,MAX(0,MIN(IF(L471&lt;K471,L471+1,L471),OMR_OT_AT)-K471))))</f>
        <v/>
      </c>
      <c r="G471" s="23">
        <f>IF(OR(E471="",M471=0),"",MAX(0,E471-F471))</f>
        <v/>
      </c>
      <c r="H471" s="24">
        <f>IF(OR(E471="",M471=0),"",ROUND((F471*$N$468+G471*$O$468)*24,3))</f>
        <v/>
      </c>
      <c r="I471" s="22" t="n"/>
      <c r="K471" s="25">
        <f>IF(OR(M471=0,C471=""),"",IF(ISNUMBER(C471),MOD(C471,1),IFERROR(INDEX('القوائم'!$B$1:$B$288,MATCH(TRIM(C471),'القوائم'!$A$1:$A$288,0)),IFERROR(MOD(TIMEVALUE(C471),1),""))))</f>
        <v/>
      </c>
      <c r="L471" s="25">
        <f>IF(OR(M471=0,D471=""),"",IF(ISNUMBER(D471),MOD(D471,1),IFERROR(INDEX('القوائم'!$B$1:$B$288,MATCH(TRIM(D471),'القوائم'!$A$1:$A$288,0)),IFERROR(MOD(TIMEVALUE(D471),1),""))))</f>
        <v/>
      </c>
      <c r="M471">
        <f>M468</f>
        <v/>
      </c>
      <c r="Q471">
        <f>IF(N(G478)&gt;0,1,0)</f>
        <v/>
      </c>
    </row>
    <row r="472">
      <c r="A472" s="20">
        <f>IF(43&lt;=NW,SAT1+297,"")</f>
        <v/>
      </c>
      <c r="B472" s="21">
        <f>IF(A472="","",CHOOSE(WEEKDAY(A472,1),"الأحد","الاثنين","الثلاثاء","الأربعاء","الخميس","الجمعة","السبت"))</f>
        <v/>
      </c>
      <c r="C472" s="22" t="n"/>
      <c r="D472" s="22" t="n"/>
      <c r="E472" s="23">
        <f>IF(OR(M472=0,K472="",L472=""),"",MOD(L472-K472,1))</f>
        <v/>
      </c>
      <c r="F472" s="23">
        <f>IF(OR(E472="",M472=0),"",IF(WEEKDAY(A472,1)=6,E472,MIN(E472,MAX(0,MIN(IF(L472&lt;K472,L472+1,L472),OMR_OT_AT)-K472))))</f>
        <v/>
      </c>
      <c r="G472" s="23">
        <f>IF(OR(E472="",M472=0),"",MAX(0,E472-F472))</f>
        <v/>
      </c>
      <c r="H472" s="24">
        <f>IF(OR(E472="",M472=0),"",ROUND((F472*$N$468+G472*$O$468)*24,3))</f>
        <v/>
      </c>
      <c r="I472" s="22" t="n"/>
      <c r="K472" s="25">
        <f>IF(OR(M472=0,C472=""),"",IF(ISNUMBER(C472),MOD(C472,1),IFERROR(INDEX('القوائم'!$B$1:$B$288,MATCH(TRIM(C472),'القوائم'!$A$1:$A$288,0)),IFERROR(MOD(TIMEVALUE(C472),1),""))))</f>
        <v/>
      </c>
      <c r="L472" s="25">
        <f>IF(OR(M472=0,D472=""),"",IF(ISNUMBER(D472),MOD(D472,1),IFERROR(INDEX('القوائم'!$B$1:$B$288,MATCH(TRIM(D472),'القوائم'!$A$1:$A$288,0)),IFERROR(MOD(TIMEVALUE(D472),1),""))))</f>
        <v/>
      </c>
      <c r="M472">
        <f>M468</f>
        <v/>
      </c>
      <c r="Q472">
        <f>IF(N(G478)&gt;0,1,0)</f>
        <v/>
      </c>
    </row>
    <row r="473">
      <c r="A473" s="20">
        <f>IF(43&lt;=NW,SAT1+298,"")</f>
        <v/>
      </c>
      <c r="B473" s="21">
        <f>IF(A473="","",CHOOSE(WEEKDAY(A473,1),"الأحد","الاثنين","الثلاثاء","الأربعاء","الخميس","الجمعة","السبت"))</f>
        <v/>
      </c>
      <c r="C473" s="22" t="n"/>
      <c r="D473" s="22" t="n"/>
      <c r="E473" s="23">
        <f>IF(OR(M473=0,K473="",L473=""),"",MOD(L473-K473,1))</f>
        <v/>
      </c>
      <c r="F473" s="23">
        <f>IF(OR(E473="",M473=0),"",IF(WEEKDAY(A473,1)=6,E473,MIN(E473,MAX(0,MIN(IF(L473&lt;K473,L473+1,L473),OMR_OT_AT)-K473))))</f>
        <v/>
      </c>
      <c r="G473" s="23">
        <f>IF(OR(E473="",M473=0),"",MAX(0,E473-F473))</f>
        <v/>
      </c>
      <c r="H473" s="24">
        <f>IF(OR(E473="",M473=0),"",ROUND((F473*$N$468+G473*$O$468)*24,3))</f>
        <v/>
      </c>
      <c r="I473" s="22" t="n"/>
      <c r="K473" s="25">
        <f>IF(OR(M473=0,C473=""),"",IF(ISNUMBER(C473),MOD(C473,1),IFERROR(INDEX('القوائم'!$B$1:$B$288,MATCH(TRIM(C473),'القوائم'!$A$1:$A$288,0)),IFERROR(MOD(TIMEVALUE(C473),1),""))))</f>
        <v/>
      </c>
      <c r="L473" s="25">
        <f>IF(OR(M473=0,D473=""),"",IF(ISNUMBER(D473),MOD(D473,1),IFERROR(INDEX('القوائم'!$B$1:$B$288,MATCH(TRIM(D473),'القوائم'!$A$1:$A$288,0)),IFERROR(MOD(TIMEVALUE(D473),1),""))))</f>
        <v/>
      </c>
      <c r="M473">
        <f>M468</f>
        <v/>
      </c>
      <c r="Q473">
        <f>IF(N(G478)&gt;0,1,0)</f>
        <v/>
      </c>
    </row>
    <row r="474">
      <c r="A474" s="20">
        <f>IF(43&lt;=NW,SAT1+299,"")</f>
        <v/>
      </c>
      <c r="B474" s="21">
        <f>IF(A474="","",CHOOSE(WEEKDAY(A474,1),"الأحد","الاثنين","الثلاثاء","الأربعاء","الخميس","الجمعة","السبت"))</f>
        <v/>
      </c>
      <c r="C474" s="22" t="n"/>
      <c r="D474" s="22" t="n"/>
      <c r="E474" s="23">
        <f>IF(OR(M474=0,K474="",L474=""),"",MOD(L474-K474,1))</f>
        <v/>
      </c>
      <c r="F474" s="23">
        <f>IF(OR(E474="",M474=0),"",IF(WEEKDAY(A474,1)=6,E474,MIN(E474,MAX(0,MIN(IF(L474&lt;K474,L474+1,L474),OMR_OT_AT)-K474))))</f>
        <v/>
      </c>
      <c r="G474" s="23">
        <f>IF(OR(E474="",M474=0),"",MAX(0,E474-F474))</f>
        <v/>
      </c>
      <c r="H474" s="24">
        <f>IF(OR(E474="",M474=0),"",ROUND((F474*$N$468+G474*$O$468)*24,3))</f>
        <v/>
      </c>
      <c r="I474" s="22" t="n"/>
      <c r="K474" s="25">
        <f>IF(OR(M474=0,C474=""),"",IF(ISNUMBER(C474),MOD(C474,1),IFERROR(INDEX('القوائم'!$B$1:$B$288,MATCH(TRIM(C474),'القوائم'!$A$1:$A$288,0)),IFERROR(MOD(TIMEVALUE(C474),1),""))))</f>
        <v/>
      </c>
      <c r="L474" s="25">
        <f>IF(OR(M474=0,D474=""),"",IF(ISNUMBER(D474),MOD(D474,1),IFERROR(INDEX('القوائم'!$B$1:$B$288,MATCH(TRIM(D474),'القوائم'!$A$1:$A$288,0)),IFERROR(MOD(TIMEVALUE(D474),1),""))))</f>
        <v/>
      </c>
      <c r="M474">
        <f>M468</f>
        <v/>
      </c>
      <c r="Q474">
        <f>IF(N(G478)&gt;0,1,0)</f>
        <v/>
      </c>
    </row>
    <row r="475">
      <c r="A475" s="26">
        <f>IF(43&lt;=NW,SAT1+300,"")</f>
        <v/>
      </c>
      <c r="B475" s="27">
        <f>IF(A475="","",CHOOSE(WEEKDAY(A475,1),"الأحد","الاثنين","الثلاثاء","الأربعاء","الخميس","الجمعة","السبت"))</f>
        <v/>
      </c>
      <c r="C475" s="22" t="n"/>
      <c r="D475" s="22" t="n"/>
      <c r="E475" s="23">
        <f>IF(OR(M475=0,K475="",L475=""),"",MOD(L475-K475,1))</f>
        <v/>
      </c>
      <c r="F475" s="23">
        <f>IF(OR(E475="",M475=0),"",IF(WEEKDAY(A475,1)=6,E475,MIN(E475,MAX(0,MIN(IF(L475&lt;K475,L475+1,L475),OMR_OT_AT)-K475))))</f>
        <v/>
      </c>
      <c r="G475" s="23">
        <f>IF(OR(E475="",M475=0),"",MAX(0,E475-F475))</f>
        <v/>
      </c>
      <c r="H475" s="24">
        <f>IF(OR(E475="",M475=0),"",ROUND((F475*$N$468+G475*$O$468)*24,3))</f>
        <v/>
      </c>
      <c r="I475" s="22" t="n"/>
      <c r="K475" s="25">
        <f>IF(OR(M475=0,C475=""),"",IF(ISNUMBER(C475),MOD(C475,1),IFERROR(INDEX('القوائم'!$B$1:$B$288,MATCH(TRIM(C475),'القوائم'!$A$1:$A$288,0)),IFERROR(MOD(TIMEVALUE(C475),1),""))))</f>
        <v/>
      </c>
      <c r="L475" s="25">
        <f>IF(OR(M475=0,D475=""),"",IF(ISNUMBER(D475),MOD(D475,1),IFERROR(INDEX('القوائم'!$B$1:$B$288,MATCH(TRIM(D475),'القوائم'!$A$1:$A$288,0)),IFERROR(MOD(TIMEVALUE(D475),1),""))))</f>
        <v/>
      </c>
      <c r="M475">
        <f>M468</f>
        <v/>
      </c>
      <c r="Q475">
        <f>IF(N(G478)&gt;0,1,0)</f>
        <v/>
      </c>
    </row>
    <row r="476">
      <c r="A476" s="28">
        <f>IF(M468=1,"مجموع أيام الأسبوع 43","")</f>
        <v/>
      </c>
      <c r="B476" s="28" t="n"/>
      <c r="C476" s="28" t="n"/>
      <c r="D476" s="28" t="n"/>
      <c r="E476" s="29">
        <f>IF(M468=1,SUM(E469:E475),"")</f>
        <v/>
      </c>
      <c r="F476" s="29">
        <f>IF(M468=1,SUM(F469:F475),"")</f>
        <v/>
      </c>
      <c r="G476" s="29">
        <f>IF(M468=1,SUM(G469:G475),"")</f>
        <v/>
      </c>
      <c r="H476" s="30">
        <f>IF(M468=1,SUM(H469:H475),"")</f>
        <v/>
      </c>
      <c r="I476" s="28" t="n"/>
    </row>
    <row r="477" ht="32" customHeight="1">
      <c r="A477" s="28">
        <f>IF(M468=1,"ساعات تحميل الجبسمبورد بهالأسبوع (رقم: 2 أو 1.5) ←","")</f>
        <v/>
      </c>
      <c r="E477" s="31" t="n"/>
      <c r="F477" s="32">
        <f>IF(M468=1,"المستحق النهائي للأسبوع (دينار) ←","")</f>
        <v/>
      </c>
      <c r="H477" s="33">
        <f>IF(M468=1,IF(ROUND_MODE="للأعلى",CEILING(ROUND((N(H476)+N(E477)*($P$468-$N$468)),3),0.25),ROUND((N(H476)+N(E477)*($P$468-$N$468))*4,0)/4),"")</f>
        <v/>
      </c>
      <c r="I477" s="34">
        <f>IF(M468=1,"قبل الجبر: "&amp;TEXT(N(H476)+N(E477)*($P$468-$N$468),"0.000"),"")</f>
        <v/>
      </c>
    </row>
    <row r="478" ht="26" customHeight="1">
      <c r="A478" s="28">
        <f>IF(M468=1,"إكرامية الأسبوع (دينار) ←","")</f>
        <v/>
      </c>
      <c r="D478" s="35" t="n"/>
      <c r="E478" s="28">
        <f>IF(M468=1,"المدفوع يوم الجمعة (دينار) ←","")</f>
        <v/>
      </c>
      <c r="G478" s="35" t="n"/>
      <c r="H478" s="36">
        <f>IF(M468=1,IF(N(G478)&gt;0,"✔ انقبض — الأسبوع مقفول","⏳ لسا ما انقبض"),"")</f>
        <v/>
      </c>
    </row>
    <row r="479" ht="26" customHeight="1">
      <c r="A479" s="18">
        <f>IF(44&lt;=NW,"الأسبوع 44 · السبت "&amp;TEXT(DAY(SAT1+301),"00")&amp;"/"&amp;TEXT(MONTH(SAT1+301),"00")&amp;" ← الجمعة "&amp;TEXT(DAY(SAT1+307),"00")&amp;"/"&amp;TEXT(MONTH(SAT1+307),"00")&amp;" (يوم القبض)"&amp;IF(44&lt;START_O,"   — قبل أسبوع البداية (ما بينحسب)",""),"ما في أسبوع 44 هالسنة")</f>
        <v/>
      </c>
      <c r="L479" s="19">
        <f>IF(44&lt;=NW,SAT1+307,"")</f>
        <v/>
      </c>
      <c r="M479">
        <f>IF(AND(44&lt;=NW,44&gt;=START_O),1,0)</f>
        <v/>
      </c>
      <c r="N479">
        <f>IFERROR(INDEX(RT_OMR,MATCH(L479,RT_K,1)),INDEX(RT_OMR,1))</f>
        <v/>
      </c>
      <c r="O479">
        <f>IFERROR(INDEX(RT_OT,MATCH(L479,RT_K,1)),INDEX(RT_OT,1))</f>
        <v/>
      </c>
      <c r="P479">
        <f>IFERROR(INDEX(RT_GYP,MATCH(L479,RT_K,1)),INDEX(RT_GYP,1))</f>
        <v/>
      </c>
    </row>
    <row r="480">
      <c r="A480" s="20">
        <f>IF(44&lt;=NW,SAT1+301,"")</f>
        <v/>
      </c>
      <c r="B480" s="21">
        <f>IF(A480="","",CHOOSE(WEEKDAY(A480,1),"الأحد","الاثنين","الثلاثاء","الأربعاء","الخميس","الجمعة","السبت"))</f>
        <v/>
      </c>
      <c r="C480" s="22" t="n"/>
      <c r="D480" s="22" t="n"/>
      <c r="E480" s="23">
        <f>IF(OR(M480=0,K480="",L480=""),"",MOD(L480-K480,1))</f>
        <v/>
      </c>
      <c r="F480" s="23">
        <f>IF(OR(E480="",M480=0),"",IF(WEEKDAY(A480,1)=6,E480,MIN(E480,MAX(0,MIN(IF(L480&lt;K480,L480+1,L480),OMR_OT_AT)-K480))))</f>
        <v/>
      </c>
      <c r="G480" s="23">
        <f>IF(OR(E480="",M480=0),"",MAX(0,E480-F480))</f>
        <v/>
      </c>
      <c r="H480" s="24">
        <f>IF(OR(E480="",M480=0),"",ROUND((F480*$N$479+G480*$O$479)*24,3))</f>
        <v/>
      </c>
      <c r="I480" s="22" t="n"/>
      <c r="K480" s="25">
        <f>IF(OR(M480=0,C480=""),"",IF(ISNUMBER(C480),MOD(C480,1),IFERROR(INDEX('القوائم'!$B$1:$B$288,MATCH(TRIM(C480),'القوائم'!$A$1:$A$288,0)),IFERROR(MOD(TIMEVALUE(C480),1),""))))</f>
        <v/>
      </c>
      <c r="L480" s="25">
        <f>IF(OR(M480=0,D480=""),"",IF(ISNUMBER(D480),MOD(D480,1),IFERROR(INDEX('القوائم'!$B$1:$B$288,MATCH(TRIM(D480),'القوائم'!$A$1:$A$288,0)),IFERROR(MOD(TIMEVALUE(D480),1),""))))</f>
        <v/>
      </c>
      <c r="M480">
        <f>M479</f>
        <v/>
      </c>
      <c r="Q480">
        <f>IF(N(G489)&gt;0,1,0)</f>
        <v/>
      </c>
    </row>
    <row r="481">
      <c r="A481" s="20">
        <f>IF(44&lt;=NW,SAT1+302,"")</f>
        <v/>
      </c>
      <c r="B481" s="21">
        <f>IF(A481="","",CHOOSE(WEEKDAY(A481,1),"الأحد","الاثنين","الثلاثاء","الأربعاء","الخميس","الجمعة","السبت"))</f>
        <v/>
      </c>
      <c r="C481" s="22" t="n"/>
      <c r="D481" s="22" t="n"/>
      <c r="E481" s="23">
        <f>IF(OR(M481=0,K481="",L481=""),"",MOD(L481-K481,1))</f>
        <v/>
      </c>
      <c r="F481" s="23">
        <f>IF(OR(E481="",M481=0),"",IF(WEEKDAY(A481,1)=6,E481,MIN(E481,MAX(0,MIN(IF(L481&lt;K481,L481+1,L481),OMR_OT_AT)-K481))))</f>
        <v/>
      </c>
      <c r="G481" s="23">
        <f>IF(OR(E481="",M481=0),"",MAX(0,E481-F481))</f>
        <v/>
      </c>
      <c r="H481" s="24">
        <f>IF(OR(E481="",M481=0),"",ROUND((F481*$N$479+G481*$O$479)*24,3))</f>
        <v/>
      </c>
      <c r="I481" s="22" t="n"/>
      <c r="K481" s="25">
        <f>IF(OR(M481=0,C481=""),"",IF(ISNUMBER(C481),MOD(C481,1),IFERROR(INDEX('القوائم'!$B$1:$B$288,MATCH(TRIM(C481),'القوائم'!$A$1:$A$288,0)),IFERROR(MOD(TIMEVALUE(C481),1),""))))</f>
        <v/>
      </c>
      <c r="L481" s="25">
        <f>IF(OR(M481=0,D481=""),"",IF(ISNUMBER(D481),MOD(D481,1),IFERROR(INDEX('القوائم'!$B$1:$B$288,MATCH(TRIM(D481),'القوائم'!$A$1:$A$288,0)),IFERROR(MOD(TIMEVALUE(D481),1),""))))</f>
        <v/>
      </c>
      <c r="M481">
        <f>M479</f>
        <v/>
      </c>
      <c r="Q481">
        <f>IF(N(G489)&gt;0,1,0)</f>
        <v/>
      </c>
    </row>
    <row r="482">
      <c r="A482" s="20">
        <f>IF(44&lt;=NW,SAT1+303,"")</f>
        <v/>
      </c>
      <c r="B482" s="21">
        <f>IF(A482="","",CHOOSE(WEEKDAY(A482,1),"الأحد","الاثنين","الثلاثاء","الأربعاء","الخميس","الجمعة","السبت"))</f>
        <v/>
      </c>
      <c r="C482" s="22" t="n"/>
      <c r="D482" s="22" t="n"/>
      <c r="E482" s="23">
        <f>IF(OR(M482=0,K482="",L482=""),"",MOD(L482-K482,1))</f>
        <v/>
      </c>
      <c r="F482" s="23">
        <f>IF(OR(E482="",M482=0),"",IF(WEEKDAY(A482,1)=6,E482,MIN(E482,MAX(0,MIN(IF(L482&lt;K482,L482+1,L482),OMR_OT_AT)-K482))))</f>
        <v/>
      </c>
      <c r="G482" s="23">
        <f>IF(OR(E482="",M482=0),"",MAX(0,E482-F482))</f>
        <v/>
      </c>
      <c r="H482" s="24">
        <f>IF(OR(E482="",M482=0),"",ROUND((F482*$N$479+G482*$O$479)*24,3))</f>
        <v/>
      </c>
      <c r="I482" s="22" t="n"/>
      <c r="K482" s="25">
        <f>IF(OR(M482=0,C482=""),"",IF(ISNUMBER(C482),MOD(C482,1),IFERROR(INDEX('القوائم'!$B$1:$B$288,MATCH(TRIM(C482),'القوائم'!$A$1:$A$288,0)),IFERROR(MOD(TIMEVALUE(C482),1),""))))</f>
        <v/>
      </c>
      <c r="L482" s="25">
        <f>IF(OR(M482=0,D482=""),"",IF(ISNUMBER(D482),MOD(D482,1),IFERROR(INDEX('القوائم'!$B$1:$B$288,MATCH(TRIM(D482),'القوائم'!$A$1:$A$288,0)),IFERROR(MOD(TIMEVALUE(D482),1),""))))</f>
        <v/>
      </c>
      <c r="M482">
        <f>M479</f>
        <v/>
      </c>
      <c r="Q482">
        <f>IF(N(G489)&gt;0,1,0)</f>
        <v/>
      </c>
    </row>
    <row r="483">
      <c r="A483" s="20">
        <f>IF(44&lt;=NW,SAT1+304,"")</f>
        <v/>
      </c>
      <c r="B483" s="21">
        <f>IF(A483="","",CHOOSE(WEEKDAY(A483,1),"الأحد","الاثنين","الثلاثاء","الأربعاء","الخميس","الجمعة","السبت"))</f>
        <v/>
      </c>
      <c r="C483" s="22" t="n"/>
      <c r="D483" s="22" t="n"/>
      <c r="E483" s="23">
        <f>IF(OR(M483=0,K483="",L483=""),"",MOD(L483-K483,1))</f>
        <v/>
      </c>
      <c r="F483" s="23">
        <f>IF(OR(E483="",M483=0),"",IF(WEEKDAY(A483,1)=6,E483,MIN(E483,MAX(0,MIN(IF(L483&lt;K483,L483+1,L483),OMR_OT_AT)-K483))))</f>
        <v/>
      </c>
      <c r="G483" s="23">
        <f>IF(OR(E483="",M483=0),"",MAX(0,E483-F483))</f>
        <v/>
      </c>
      <c r="H483" s="24">
        <f>IF(OR(E483="",M483=0),"",ROUND((F483*$N$479+G483*$O$479)*24,3))</f>
        <v/>
      </c>
      <c r="I483" s="22" t="n"/>
      <c r="K483" s="25">
        <f>IF(OR(M483=0,C483=""),"",IF(ISNUMBER(C483),MOD(C483,1),IFERROR(INDEX('القوائم'!$B$1:$B$288,MATCH(TRIM(C483),'القوائم'!$A$1:$A$288,0)),IFERROR(MOD(TIMEVALUE(C483),1),""))))</f>
        <v/>
      </c>
      <c r="L483" s="25">
        <f>IF(OR(M483=0,D483=""),"",IF(ISNUMBER(D483),MOD(D483,1),IFERROR(INDEX('القوائم'!$B$1:$B$288,MATCH(TRIM(D483),'القوائم'!$A$1:$A$288,0)),IFERROR(MOD(TIMEVALUE(D483),1),""))))</f>
        <v/>
      </c>
      <c r="M483">
        <f>M479</f>
        <v/>
      </c>
      <c r="Q483">
        <f>IF(N(G489)&gt;0,1,0)</f>
        <v/>
      </c>
    </row>
    <row r="484">
      <c r="A484" s="20">
        <f>IF(44&lt;=NW,SAT1+305,"")</f>
        <v/>
      </c>
      <c r="B484" s="21">
        <f>IF(A484="","",CHOOSE(WEEKDAY(A484,1),"الأحد","الاثنين","الثلاثاء","الأربعاء","الخميس","الجمعة","السبت"))</f>
        <v/>
      </c>
      <c r="C484" s="22" t="n"/>
      <c r="D484" s="22" t="n"/>
      <c r="E484" s="23">
        <f>IF(OR(M484=0,K484="",L484=""),"",MOD(L484-K484,1))</f>
        <v/>
      </c>
      <c r="F484" s="23">
        <f>IF(OR(E484="",M484=0),"",IF(WEEKDAY(A484,1)=6,E484,MIN(E484,MAX(0,MIN(IF(L484&lt;K484,L484+1,L484),OMR_OT_AT)-K484))))</f>
        <v/>
      </c>
      <c r="G484" s="23">
        <f>IF(OR(E484="",M484=0),"",MAX(0,E484-F484))</f>
        <v/>
      </c>
      <c r="H484" s="24">
        <f>IF(OR(E484="",M484=0),"",ROUND((F484*$N$479+G484*$O$479)*24,3))</f>
        <v/>
      </c>
      <c r="I484" s="22" t="n"/>
      <c r="K484" s="25">
        <f>IF(OR(M484=0,C484=""),"",IF(ISNUMBER(C484),MOD(C484,1),IFERROR(INDEX('القوائم'!$B$1:$B$288,MATCH(TRIM(C484),'القوائم'!$A$1:$A$288,0)),IFERROR(MOD(TIMEVALUE(C484),1),""))))</f>
        <v/>
      </c>
      <c r="L484" s="25">
        <f>IF(OR(M484=0,D484=""),"",IF(ISNUMBER(D484),MOD(D484,1),IFERROR(INDEX('القوائم'!$B$1:$B$288,MATCH(TRIM(D484),'القوائم'!$A$1:$A$288,0)),IFERROR(MOD(TIMEVALUE(D484),1),""))))</f>
        <v/>
      </c>
      <c r="M484">
        <f>M479</f>
        <v/>
      </c>
      <c r="Q484">
        <f>IF(N(G489)&gt;0,1,0)</f>
        <v/>
      </c>
    </row>
    <row r="485">
      <c r="A485" s="20">
        <f>IF(44&lt;=NW,SAT1+306,"")</f>
        <v/>
      </c>
      <c r="B485" s="21">
        <f>IF(A485="","",CHOOSE(WEEKDAY(A485,1),"الأحد","الاثنين","الثلاثاء","الأربعاء","الخميس","الجمعة","السبت"))</f>
        <v/>
      </c>
      <c r="C485" s="22" t="n"/>
      <c r="D485" s="22" t="n"/>
      <c r="E485" s="23">
        <f>IF(OR(M485=0,K485="",L485=""),"",MOD(L485-K485,1))</f>
        <v/>
      </c>
      <c r="F485" s="23">
        <f>IF(OR(E485="",M485=0),"",IF(WEEKDAY(A485,1)=6,E485,MIN(E485,MAX(0,MIN(IF(L485&lt;K485,L485+1,L485),OMR_OT_AT)-K485))))</f>
        <v/>
      </c>
      <c r="G485" s="23">
        <f>IF(OR(E485="",M485=0),"",MAX(0,E485-F485))</f>
        <v/>
      </c>
      <c r="H485" s="24">
        <f>IF(OR(E485="",M485=0),"",ROUND((F485*$N$479+G485*$O$479)*24,3))</f>
        <v/>
      </c>
      <c r="I485" s="22" t="n"/>
      <c r="K485" s="25">
        <f>IF(OR(M485=0,C485=""),"",IF(ISNUMBER(C485),MOD(C485,1),IFERROR(INDEX('القوائم'!$B$1:$B$288,MATCH(TRIM(C485),'القوائم'!$A$1:$A$288,0)),IFERROR(MOD(TIMEVALUE(C485),1),""))))</f>
        <v/>
      </c>
      <c r="L485" s="25">
        <f>IF(OR(M485=0,D485=""),"",IF(ISNUMBER(D485),MOD(D485,1),IFERROR(INDEX('القوائم'!$B$1:$B$288,MATCH(TRIM(D485),'القوائم'!$A$1:$A$288,0)),IFERROR(MOD(TIMEVALUE(D485),1),""))))</f>
        <v/>
      </c>
      <c r="M485">
        <f>M479</f>
        <v/>
      </c>
      <c r="Q485">
        <f>IF(N(G489)&gt;0,1,0)</f>
        <v/>
      </c>
    </row>
    <row r="486">
      <c r="A486" s="26">
        <f>IF(44&lt;=NW,SAT1+307,"")</f>
        <v/>
      </c>
      <c r="B486" s="27">
        <f>IF(A486="","",CHOOSE(WEEKDAY(A486,1),"الأحد","الاثنين","الثلاثاء","الأربعاء","الخميس","الجمعة","السبت"))</f>
        <v/>
      </c>
      <c r="C486" s="22" t="n"/>
      <c r="D486" s="22" t="n"/>
      <c r="E486" s="23">
        <f>IF(OR(M486=0,K486="",L486=""),"",MOD(L486-K486,1))</f>
        <v/>
      </c>
      <c r="F486" s="23">
        <f>IF(OR(E486="",M486=0),"",IF(WEEKDAY(A486,1)=6,E486,MIN(E486,MAX(0,MIN(IF(L486&lt;K486,L486+1,L486),OMR_OT_AT)-K486))))</f>
        <v/>
      </c>
      <c r="G486" s="23">
        <f>IF(OR(E486="",M486=0),"",MAX(0,E486-F486))</f>
        <v/>
      </c>
      <c r="H486" s="24">
        <f>IF(OR(E486="",M486=0),"",ROUND((F486*$N$479+G486*$O$479)*24,3))</f>
        <v/>
      </c>
      <c r="I486" s="22" t="n"/>
      <c r="K486" s="25">
        <f>IF(OR(M486=0,C486=""),"",IF(ISNUMBER(C486),MOD(C486,1),IFERROR(INDEX('القوائم'!$B$1:$B$288,MATCH(TRIM(C486),'القوائم'!$A$1:$A$288,0)),IFERROR(MOD(TIMEVALUE(C486),1),""))))</f>
        <v/>
      </c>
      <c r="L486" s="25">
        <f>IF(OR(M486=0,D486=""),"",IF(ISNUMBER(D486),MOD(D486,1),IFERROR(INDEX('القوائم'!$B$1:$B$288,MATCH(TRIM(D486),'القوائم'!$A$1:$A$288,0)),IFERROR(MOD(TIMEVALUE(D486),1),""))))</f>
        <v/>
      </c>
      <c r="M486">
        <f>M479</f>
        <v/>
      </c>
      <c r="Q486">
        <f>IF(N(G489)&gt;0,1,0)</f>
        <v/>
      </c>
    </row>
    <row r="487">
      <c r="A487" s="28">
        <f>IF(M479=1,"مجموع أيام الأسبوع 44","")</f>
        <v/>
      </c>
      <c r="B487" s="28" t="n"/>
      <c r="C487" s="28" t="n"/>
      <c r="D487" s="28" t="n"/>
      <c r="E487" s="29">
        <f>IF(M479=1,SUM(E480:E486),"")</f>
        <v/>
      </c>
      <c r="F487" s="29">
        <f>IF(M479=1,SUM(F480:F486),"")</f>
        <v/>
      </c>
      <c r="G487" s="29">
        <f>IF(M479=1,SUM(G480:G486),"")</f>
        <v/>
      </c>
      <c r="H487" s="30">
        <f>IF(M479=1,SUM(H480:H486),"")</f>
        <v/>
      </c>
      <c r="I487" s="28" t="n"/>
    </row>
    <row r="488" ht="32" customHeight="1">
      <c r="A488" s="28">
        <f>IF(M479=1,"ساعات تحميل الجبسمبورد بهالأسبوع (رقم: 2 أو 1.5) ←","")</f>
        <v/>
      </c>
      <c r="E488" s="31" t="n"/>
      <c r="F488" s="32">
        <f>IF(M479=1,"المستحق النهائي للأسبوع (دينار) ←","")</f>
        <v/>
      </c>
      <c r="H488" s="33">
        <f>IF(M479=1,IF(ROUND_MODE="للأعلى",CEILING(ROUND((N(H487)+N(E488)*($P$479-$N$479)),3),0.25),ROUND((N(H487)+N(E488)*($P$479-$N$479))*4,0)/4),"")</f>
        <v/>
      </c>
      <c r="I488" s="34">
        <f>IF(M479=1,"قبل الجبر: "&amp;TEXT(N(H487)+N(E488)*($P$479-$N$479),"0.000"),"")</f>
        <v/>
      </c>
    </row>
    <row r="489" ht="26" customHeight="1">
      <c r="A489" s="28">
        <f>IF(M479=1,"إكرامية الأسبوع (دينار) ←","")</f>
        <v/>
      </c>
      <c r="D489" s="35" t="n"/>
      <c r="E489" s="28">
        <f>IF(M479=1,"المدفوع يوم الجمعة (دينار) ←","")</f>
        <v/>
      </c>
      <c r="G489" s="35" t="n"/>
      <c r="H489" s="36">
        <f>IF(M479=1,IF(N(G489)&gt;0,"✔ انقبض — الأسبوع مقفول","⏳ لسا ما انقبض"),"")</f>
        <v/>
      </c>
    </row>
    <row r="490" ht="26" customHeight="1">
      <c r="A490" s="18">
        <f>IF(45&lt;=NW,"الأسبوع 45 · السبت "&amp;TEXT(DAY(SAT1+308),"00")&amp;"/"&amp;TEXT(MONTH(SAT1+308),"00")&amp;" ← الجمعة "&amp;TEXT(DAY(SAT1+314),"00")&amp;"/"&amp;TEXT(MONTH(SAT1+314),"00")&amp;" (يوم القبض)"&amp;IF(45&lt;START_O,"   — قبل أسبوع البداية (ما بينحسب)",""),"ما في أسبوع 45 هالسنة")</f>
        <v/>
      </c>
      <c r="L490" s="19">
        <f>IF(45&lt;=NW,SAT1+314,"")</f>
        <v/>
      </c>
      <c r="M490">
        <f>IF(AND(45&lt;=NW,45&gt;=START_O),1,0)</f>
        <v/>
      </c>
      <c r="N490">
        <f>IFERROR(INDEX(RT_OMR,MATCH(L490,RT_K,1)),INDEX(RT_OMR,1))</f>
        <v/>
      </c>
      <c r="O490">
        <f>IFERROR(INDEX(RT_OT,MATCH(L490,RT_K,1)),INDEX(RT_OT,1))</f>
        <v/>
      </c>
      <c r="P490">
        <f>IFERROR(INDEX(RT_GYP,MATCH(L490,RT_K,1)),INDEX(RT_GYP,1))</f>
        <v/>
      </c>
    </row>
    <row r="491">
      <c r="A491" s="20">
        <f>IF(45&lt;=NW,SAT1+308,"")</f>
        <v/>
      </c>
      <c r="B491" s="21">
        <f>IF(A491="","",CHOOSE(WEEKDAY(A491,1),"الأحد","الاثنين","الثلاثاء","الأربعاء","الخميس","الجمعة","السبت"))</f>
        <v/>
      </c>
      <c r="C491" s="22" t="n"/>
      <c r="D491" s="22" t="n"/>
      <c r="E491" s="23">
        <f>IF(OR(M491=0,K491="",L491=""),"",MOD(L491-K491,1))</f>
        <v/>
      </c>
      <c r="F491" s="23">
        <f>IF(OR(E491="",M491=0),"",IF(WEEKDAY(A491,1)=6,E491,MIN(E491,MAX(0,MIN(IF(L491&lt;K491,L491+1,L491),OMR_OT_AT)-K491))))</f>
        <v/>
      </c>
      <c r="G491" s="23">
        <f>IF(OR(E491="",M491=0),"",MAX(0,E491-F491))</f>
        <v/>
      </c>
      <c r="H491" s="24">
        <f>IF(OR(E491="",M491=0),"",ROUND((F491*$N$490+G491*$O$490)*24,3))</f>
        <v/>
      </c>
      <c r="I491" s="22" t="n"/>
      <c r="K491" s="25">
        <f>IF(OR(M491=0,C491=""),"",IF(ISNUMBER(C491),MOD(C491,1),IFERROR(INDEX('القوائم'!$B$1:$B$288,MATCH(TRIM(C491),'القوائم'!$A$1:$A$288,0)),IFERROR(MOD(TIMEVALUE(C491),1),""))))</f>
        <v/>
      </c>
      <c r="L491" s="25">
        <f>IF(OR(M491=0,D491=""),"",IF(ISNUMBER(D491),MOD(D491,1),IFERROR(INDEX('القوائم'!$B$1:$B$288,MATCH(TRIM(D491),'القوائم'!$A$1:$A$288,0)),IFERROR(MOD(TIMEVALUE(D491),1),""))))</f>
        <v/>
      </c>
      <c r="M491">
        <f>M490</f>
        <v/>
      </c>
      <c r="Q491">
        <f>IF(N(G500)&gt;0,1,0)</f>
        <v/>
      </c>
    </row>
    <row r="492">
      <c r="A492" s="20">
        <f>IF(45&lt;=NW,SAT1+309,"")</f>
        <v/>
      </c>
      <c r="B492" s="21">
        <f>IF(A492="","",CHOOSE(WEEKDAY(A492,1),"الأحد","الاثنين","الثلاثاء","الأربعاء","الخميس","الجمعة","السبت"))</f>
        <v/>
      </c>
      <c r="C492" s="22" t="n"/>
      <c r="D492" s="22" t="n"/>
      <c r="E492" s="23">
        <f>IF(OR(M492=0,K492="",L492=""),"",MOD(L492-K492,1))</f>
        <v/>
      </c>
      <c r="F492" s="23">
        <f>IF(OR(E492="",M492=0),"",IF(WEEKDAY(A492,1)=6,E492,MIN(E492,MAX(0,MIN(IF(L492&lt;K492,L492+1,L492),OMR_OT_AT)-K492))))</f>
        <v/>
      </c>
      <c r="G492" s="23">
        <f>IF(OR(E492="",M492=0),"",MAX(0,E492-F492))</f>
        <v/>
      </c>
      <c r="H492" s="24">
        <f>IF(OR(E492="",M492=0),"",ROUND((F492*$N$490+G492*$O$490)*24,3))</f>
        <v/>
      </c>
      <c r="I492" s="22" t="n"/>
      <c r="K492" s="25">
        <f>IF(OR(M492=0,C492=""),"",IF(ISNUMBER(C492),MOD(C492,1),IFERROR(INDEX('القوائم'!$B$1:$B$288,MATCH(TRIM(C492),'القوائم'!$A$1:$A$288,0)),IFERROR(MOD(TIMEVALUE(C492),1),""))))</f>
        <v/>
      </c>
      <c r="L492" s="25">
        <f>IF(OR(M492=0,D492=""),"",IF(ISNUMBER(D492),MOD(D492,1),IFERROR(INDEX('القوائم'!$B$1:$B$288,MATCH(TRIM(D492),'القوائم'!$A$1:$A$288,0)),IFERROR(MOD(TIMEVALUE(D492),1),""))))</f>
        <v/>
      </c>
      <c r="M492">
        <f>M490</f>
        <v/>
      </c>
      <c r="Q492">
        <f>IF(N(G500)&gt;0,1,0)</f>
        <v/>
      </c>
    </row>
    <row r="493">
      <c r="A493" s="20">
        <f>IF(45&lt;=NW,SAT1+310,"")</f>
        <v/>
      </c>
      <c r="B493" s="21">
        <f>IF(A493="","",CHOOSE(WEEKDAY(A493,1),"الأحد","الاثنين","الثلاثاء","الأربعاء","الخميس","الجمعة","السبت"))</f>
        <v/>
      </c>
      <c r="C493" s="22" t="n"/>
      <c r="D493" s="22" t="n"/>
      <c r="E493" s="23">
        <f>IF(OR(M493=0,K493="",L493=""),"",MOD(L493-K493,1))</f>
        <v/>
      </c>
      <c r="F493" s="23">
        <f>IF(OR(E493="",M493=0),"",IF(WEEKDAY(A493,1)=6,E493,MIN(E493,MAX(0,MIN(IF(L493&lt;K493,L493+1,L493),OMR_OT_AT)-K493))))</f>
        <v/>
      </c>
      <c r="G493" s="23">
        <f>IF(OR(E493="",M493=0),"",MAX(0,E493-F493))</f>
        <v/>
      </c>
      <c r="H493" s="24">
        <f>IF(OR(E493="",M493=0),"",ROUND((F493*$N$490+G493*$O$490)*24,3))</f>
        <v/>
      </c>
      <c r="I493" s="22" t="n"/>
      <c r="K493" s="25">
        <f>IF(OR(M493=0,C493=""),"",IF(ISNUMBER(C493),MOD(C493,1),IFERROR(INDEX('القوائم'!$B$1:$B$288,MATCH(TRIM(C493),'القوائم'!$A$1:$A$288,0)),IFERROR(MOD(TIMEVALUE(C493),1),""))))</f>
        <v/>
      </c>
      <c r="L493" s="25">
        <f>IF(OR(M493=0,D493=""),"",IF(ISNUMBER(D493),MOD(D493,1),IFERROR(INDEX('القوائم'!$B$1:$B$288,MATCH(TRIM(D493),'القوائم'!$A$1:$A$288,0)),IFERROR(MOD(TIMEVALUE(D493),1),""))))</f>
        <v/>
      </c>
      <c r="M493">
        <f>M490</f>
        <v/>
      </c>
      <c r="Q493">
        <f>IF(N(G500)&gt;0,1,0)</f>
        <v/>
      </c>
    </row>
    <row r="494">
      <c r="A494" s="20">
        <f>IF(45&lt;=NW,SAT1+311,"")</f>
        <v/>
      </c>
      <c r="B494" s="21">
        <f>IF(A494="","",CHOOSE(WEEKDAY(A494,1),"الأحد","الاثنين","الثلاثاء","الأربعاء","الخميس","الجمعة","السبت"))</f>
        <v/>
      </c>
      <c r="C494" s="22" t="n"/>
      <c r="D494" s="22" t="n"/>
      <c r="E494" s="23">
        <f>IF(OR(M494=0,K494="",L494=""),"",MOD(L494-K494,1))</f>
        <v/>
      </c>
      <c r="F494" s="23">
        <f>IF(OR(E494="",M494=0),"",IF(WEEKDAY(A494,1)=6,E494,MIN(E494,MAX(0,MIN(IF(L494&lt;K494,L494+1,L494),OMR_OT_AT)-K494))))</f>
        <v/>
      </c>
      <c r="G494" s="23">
        <f>IF(OR(E494="",M494=0),"",MAX(0,E494-F494))</f>
        <v/>
      </c>
      <c r="H494" s="24">
        <f>IF(OR(E494="",M494=0),"",ROUND((F494*$N$490+G494*$O$490)*24,3))</f>
        <v/>
      </c>
      <c r="I494" s="22" t="n"/>
      <c r="K494" s="25">
        <f>IF(OR(M494=0,C494=""),"",IF(ISNUMBER(C494),MOD(C494,1),IFERROR(INDEX('القوائم'!$B$1:$B$288,MATCH(TRIM(C494),'القوائم'!$A$1:$A$288,0)),IFERROR(MOD(TIMEVALUE(C494),1),""))))</f>
        <v/>
      </c>
      <c r="L494" s="25">
        <f>IF(OR(M494=0,D494=""),"",IF(ISNUMBER(D494),MOD(D494,1),IFERROR(INDEX('القوائم'!$B$1:$B$288,MATCH(TRIM(D494),'القوائم'!$A$1:$A$288,0)),IFERROR(MOD(TIMEVALUE(D494),1),""))))</f>
        <v/>
      </c>
      <c r="M494">
        <f>M490</f>
        <v/>
      </c>
      <c r="Q494">
        <f>IF(N(G500)&gt;0,1,0)</f>
        <v/>
      </c>
    </row>
    <row r="495">
      <c r="A495" s="20">
        <f>IF(45&lt;=NW,SAT1+312,"")</f>
        <v/>
      </c>
      <c r="B495" s="21">
        <f>IF(A495="","",CHOOSE(WEEKDAY(A495,1),"الأحد","الاثنين","الثلاثاء","الأربعاء","الخميس","الجمعة","السبت"))</f>
        <v/>
      </c>
      <c r="C495" s="22" t="n"/>
      <c r="D495" s="22" t="n"/>
      <c r="E495" s="23">
        <f>IF(OR(M495=0,K495="",L495=""),"",MOD(L495-K495,1))</f>
        <v/>
      </c>
      <c r="F495" s="23">
        <f>IF(OR(E495="",M495=0),"",IF(WEEKDAY(A495,1)=6,E495,MIN(E495,MAX(0,MIN(IF(L495&lt;K495,L495+1,L495),OMR_OT_AT)-K495))))</f>
        <v/>
      </c>
      <c r="G495" s="23">
        <f>IF(OR(E495="",M495=0),"",MAX(0,E495-F495))</f>
        <v/>
      </c>
      <c r="H495" s="24">
        <f>IF(OR(E495="",M495=0),"",ROUND((F495*$N$490+G495*$O$490)*24,3))</f>
        <v/>
      </c>
      <c r="I495" s="22" t="n"/>
      <c r="K495" s="25">
        <f>IF(OR(M495=0,C495=""),"",IF(ISNUMBER(C495),MOD(C495,1),IFERROR(INDEX('القوائم'!$B$1:$B$288,MATCH(TRIM(C495),'القوائم'!$A$1:$A$288,0)),IFERROR(MOD(TIMEVALUE(C495),1),""))))</f>
        <v/>
      </c>
      <c r="L495" s="25">
        <f>IF(OR(M495=0,D495=""),"",IF(ISNUMBER(D495),MOD(D495,1),IFERROR(INDEX('القوائم'!$B$1:$B$288,MATCH(TRIM(D495),'القوائم'!$A$1:$A$288,0)),IFERROR(MOD(TIMEVALUE(D495),1),""))))</f>
        <v/>
      </c>
      <c r="M495">
        <f>M490</f>
        <v/>
      </c>
      <c r="Q495">
        <f>IF(N(G500)&gt;0,1,0)</f>
        <v/>
      </c>
    </row>
    <row r="496">
      <c r="A496" s="20">
        <f>IF(45&lt;=NW,SAT1+313,"")</f>
        <v/>
      </c>
      <c r="B496" s="21">
        <f>IF(A496="","",CHOOSE(WEEKDAY(A496,1),"الأحد","الاثنين","الثلاثاء","الأربعاء","الخميس","الجمعة","السبت"))</f>
        <v/>
      </c>
      <c r="C496" s="22" t="n"/>
      <c r="D496" s="22" t="n"/>
      <c r="E496" s="23">
        <f>IF(OR(M496=0,K496="",L496=""),"",MOD(L496-K496,1))</f>
        <v/>
      </c>
      <c r="F496" s="23">
        <f>IF(OR(E496="",M496=0),"",IF(WEEKDAY(A496,1)=6,E496,MIN(E496,MAX(0,MIN(IF(L496&lt;K496,L496+1,L496),OMR_OT_AT)-K496))))</f>
        <v/>
      </c>
      <c r="G496" s="23">
        <f>IF(OR(E496="",M496=0),"",MAX(0,E496-F496))</f>
        <v/>
      </c>
      <c r="H496" s="24">
        <f>IF(OR(E496="",M496=0),"",ROUND((F496*$N$490+G496*$O$490)*24,3))</f>
        <v/>
      </c>
      <c r="I496" s="22" t="n"/>
      <c r="K496" s="25">
        <f>IF(OR(M496=0,C496=""),"",IF(ISNUMBER(C496),MOD(C496,1),IFERROR(INDEX('القوائم'!$B$1:$B$288,MATCH(TRIM(C496),'القوائم'!$A$1:$A$288,0)),IFERROR(MOD(TIMEVALUE(C496),1),""))))</f>
        <v/>
      </c>
      <c r="L496" s="25">
        <f>IF(OR(M496=0,D496=""),"",IF(ISNUMBER(D496),MOD(D496,1),IFERROR(INDEX('القوائم'!$B$1:$B$288,MATCH(TRIM(D496),'القوائم'!$A$1:$A$288,0)),IFERROR(MOD(TIMEVALUE(D496),1),""))))</f>
        <v/>
      </c>
      <c r="M496">
        <f>M490</f>
        <v/>
      </c>
      <c r="Q496">
        <f>IF(N(G500)&gt;0,1,0)</f>
        <v/>
      </c>
    </row>
    <row r="497">
      <c r="A497" s="26">
        <f>IF(45&lt;=NW,SAT1+314,"")</f>
        <v/>
      </c>
      <c r="B497" s="27">
        <f>IF(A497="","",CHOOSE(WEEKDAY(A497,1),"الأحد","الاثنين","الثلاثاء","الأربعاء","الخميس","الجمعة","السبت"))</f>
        <v/>
      </c>
      <c r="C497" s="22" t="n"/>
      <c r="D497" s="22" t="n"/>
      <c r="E497" s="23">
        <f>IF(OR(M497=0,K497="",L497=""),"",MOD(L497-K497,1))</f>
        <v/>
      </c>
      <c r="F497" s="23">
        <f>IF(OR(E497="",M497=0),"",IF(WEEKDAY(A497,1)=6,E497,MIN(E497,MAX(0,MIN(IF(L497&lt;K497,L497+1,L497),OMR_OT_AT)-K497))))</f>
        <v/>
      </c>
      <c r="G497" s="23">
        <f>IF(OR(E497="",M497=0),"",MAX(0,E497-F497))</f>
        <v/>
      </c>
      <c r="H497" s="24">
        <f>IF(OR(E497="",M497=0),"",ROUND((F497*$N$490+G497*$O$490)*24,3))</f>
        <v/>
      </c>
      <c r="I497" s="22" t="n"/>
      <c r="K497" s="25">
        <f>IF(OR(M497=0,C497=""),"",IF(ISNUMBER(C497),MOD(C497,1),IFERROR(INDEX('القوائم'!$B$1:$B$288,MATCH(TRIM(C497),'القوائم'!$A$1:$A$288,0)),IFERROR(MOD(TIMEVALUE(C497),1),""))))</f>
        <v/>
      </c>
      <c r="L497" s="25">
        <f>IF(OR(M497=0,D497=""),"",IF(ISNUMBER(D497),MOD(D497,1),IFERROR(INDEX('القوائم'!$B$1:$B$288,MATCH(TRIM(D497),'القوائم'!$A$1:$A$288,0)),IFERROR(MOD(TIMEVALUE(D497),1),""))))</f>
        <v/>
      </c>
      <c r="M497">
        <f>M490</f>
        <v/>
      </c>
      <c r="Q497">
        <f>IF(N(G500)&gt;0,1,0)</f>
        <v/>
      </c>
    </row>
    <row r="498">
      <c r="A498" s="28">
        <f>IF(M490=1,"مجموع أيام الأسبوع 45","")</f>
        <v/>
      </c>
      <c r="B498" s="28" t="n"/>
      <c r="C498" s="28" t="n"/>
      <c r="D498" s="28" t="n"/>
      <c r="E498" s="29">
        <f>IF(M490=1,SUM(E491:E497),"")</f>
        <v/>
      </c>
      <c r="F498" s="29">
        <f>IF(M490=1,SUM(F491:F497),"")</f>
        <v/>
      </c>
      <c r="G498" s="29">
        <f>IF(M490=1,SUM(G491:G497),"")</f>
        <v/>
      </c>
      <c r="H498" s="30">
        <f>IF(M490=1,SUM(H491:H497),"")</f>
        <v/>
      </c>
      <c r="I498" s="28" t="n"/>
    </row>
    <row r="499" ht="32" customHeight="1">
      <c r="A499" s="28">
        <f>IF(M490=1,"ساعات تحميل الجبسمبورد بهالأسبوع (رقم: 2 أو 1.5) ←","")</f>
        <v/>
      </c>
      <c r="E499" s="31" t="n"/>
      <c r="F499" s="32">
        <f>IF(M490=1,"المستحق النهائي للأسبوع (دينار) ←","")</f>
        <v/>
      </c>
      <c r="H499" s="33">
        <f>IF(M490=1,IF(ROUND_MODE="للأعلى",CEILING(ROUND((N(H498)+N(E499)*($P$490-$N$490)),3),0.25),ROUND((N(H498)+N(E499)*($P$490-$N$490))*4,0)/4),"")</f>
        <v/>
      </c>
      <c r="I499" s="34">
        <f>IF(M490=1,"قبل الجبر: "&amp;TEXT(N(H498)+N(E499)*($P$490-$N$490),"0.000"),"")</f>
        <v/>
      </c>
    </row>
    <row r="500" ht="26" customHeight="1">
      <c r="A500" s="28">
        <f>IF(M490=1,"إكرامية الأسبوع (دينار) ←","")</f>
        <v/>
      </c>
      <c r="D500" s="35" t="n"/>
      <c r="E500" s="28">
        <f>IF(M490=1,"المدفوع يوم الجمعة (دينار) ←","")</f>
        <v/>
      </c>
      <c r="G500" s="35" t="n"/>
      <c r="H500" s="36">
        <f>IF(M490=1,IF(N(G500)&gt;0,"✔ انقبض — الأسبوع مقفول","⏳ لسا ما انقبض"),"")</f>
        <v/>
      </c>
    </row>
    <row r="501" ht="26" customHeight="1">
      <c r="A501" s="18">
        <f>IF(46&lt;=NW,"الأسبوع 46 · السبت "&amp;TEXT(DAY(SAT1+315),"00")&amp;"/"&amp;TEXT(MONTH(SAT1+315),"00")&amp;" ← الجمعة "&amp;TEXT(DAY(SAT1+321),"00")&amp;"/"&amp;TEXT(MONTH(SAT1+321),"00")&amp;" (يوم القبض)"&amp;IF(46&lt;START_O,"   — قبل أسبوع البداية (ما بينحسب)",""),"ما في أسبوع 46 هالسنة")</f>
        <v/>
      </c>
      <c r="L501" s="19">
        <f>IF(46&lt;=NW,SAT1+321,"")</f>
        <v/>
      </c>
      <c r="M501">
        <f>IF(AND(46&lt;=NW,46&gt;=START_O),1,0)</f>
        <v/>
      </c>
      <c r="N501">
        <f>IFERROR(INDEX(RT_OMR,MATCH(L501,RT_K,1)),INDEX(RT_OMR,1))</f>
        <v/>
      </c>
      <c r="O501">
        <f>IFERROR(INDEX(RT_OT,MATCH(L501,RT_K,1)),INDEX(RT_OT,1))</f>
        <v/>
      </c>
      <c r="P501">
        <f>IFERROR(INDEX(RT_GYP,MATCH(L501,RT_K,1)),INDEX(RT_GYP,1))</f>
        <v/>
      </c>
    </row>
    <row r="502">
      <c r="A502" s="20">
        <f>IF(46&lt;=NW,SAT1+315,"")</f>
        <v/>
      </c>
      <c r="B502" s="21">
        <f>IF(A502="","",CHOOSE(WEEKDAY(A502,1),"الأحد","الاثنين","الثلاثاء","الأربعاء","الخميس","الجمعة","السبت"))</f>
        <v/>
      </c>
      <c r="C502" s="22" t="n"/>
      <c r="D502" s="22" t="n"/>
      <c r="E502" s="23">
        <f>IF(OR(M502=0,K502="",L502=""),"",MOD(L502-K502,1))</f>
        <v/>
      </c>
      <c r="F502" s="23">
        <f>IF(OR(E502="",M502=0),"",IF(WEEKDAY(A502,1)=6,E502,MIN(E502,MAX(0,MIN(IF(L502&lt;K502,L502+1,L502),OMR_OT_AT)-K502))))</f>
        <v/>
      </c>
      <c r="G502" s="23">
        <f>IF(OR(E502="",M502=0),"",MAX(0,E502-F502))</f>
        <v/>
      </c>
      <c r="H502" s="24">
        <f>IF(OR(E502="",M502=0),"",ROUND((F502*$N$501+G502*$O$501)*24,3))</f>
        <v/>
      </c>
      <c r="I502" s="22" t="n"/>
      <c r="K502" s="25">
        <f>IF(OR(M502=0,C502=""),"",IF(ISNUMBER(C502),MOD(C502,1),IFERROR(INDEX('القوائم'!$B$1:$B$288,MATCH(TRIM(C502),'القوائم'!$A$1:$A$288,0)),IFERROR(MOD(TIMEVALUE(C502),1),""))))</f>
        <v/>
      </c>
      <c r="L502" s="25">
        <f>IF(OR(M502=0,D502=""),"",IF(ISNUMBER(D502),MOD(D502,1),IFERROR(INDEX('القوائم'!$B$1:$B$288,MATCH(TRIM(D502),'القوائم'!$A$1:$A$288,0)),IFERROR(MOD(TIMEVALUE(D502),1),""))))</f>
        <v/>
      </c>
      <c r="M502">
        <f>M501</f>
        <v/>
      </c>
      <c r="Q502">
        <f>IF(N(G511)&gt;0,1,0)</f>
        <v/>
      </c>
    </row>
    <row r="503">
      <c r="A503" s="20">
        <f>IF(46&lt;=NW,SAT1+316,"")</f>
        <v/>
      </c>
      <c r="B503" s="21">
        <f>IF(A503="","",CHOOSE(WEEKDAY(A503,1),"الأحد","الاثنين","الثلاثاء","الأربعاء","الخميس","الجمعة","السبت"))</f>
        <v/>
      </c>
      <c r="C503" s="22" t="n"/>
      <c r="D503" s="22" t="n"/>
      <c r="E503" s="23">
        <f>IF(OR(M503=0,K503="",L503=""),"",MOD(L503-K503,1))</f>
        <v/>
      </c>
      <c r="F503" s="23">
        <f>IF(OR(E503="",M503=0),"",IF(WEEKDAY(A503,1)=6,E503,MIN(E503,MAX(0,MIN(IF(L503&lt;K503,L503+1,L503),OMR_OT_AT)-K503))))</f>
        <v/>
      </c>
      <c r="G503" s="23">
        <f>IF(OR(E503="",M503=0),"",MAX(0,E503-F503))</f>
        <v/>
      </c>
      <c r="H503" s="24">
        <f>IF(OR(E503="",M503=0),"",ROUND((F503*$N$501+G503*$O$501)*24,3))</f>
        <v/>
      </c>
      <c r="I503" s="22" t="n"/>
      <c r="K503" s="25">
        <f>IF(OR(M503=0,C503=""),"",IF(ISNUMBER(C503),MOD(C503,1),IFERROR(INDEX('القوائم'!$B$1:$B$288,MATCH(TRIM(C503),'القوائم'!$A$1:$A$288,0)),IFERROR(MOD(TIMEVALUE(C503),1),""))))</f>
        <v/>
      </c>
      <c r="L503" s="25">
        <f>IF(OR(M503=0,D503=""),"",IF(ISNUMBER(D503),MOD(D503,1),IFERROR(INDEX('القوائم'!$B$1:$B$288,MATCH(TRIM(D503),'القوائم'!$A$1:$A$288,0)),IFERROR(MOD(TIMEVALUE(D503),1),""))))</f>
        <v/>
      </c>
      <c r="M503">
        <f>M501</f>
        <v/>
      </c>
      <c r="Q503">
        <f>IF(N(G511)&gt;0,1,0)</f>
        <v/>
      </c>
    </row>
    <row r="504">
      <c r="A504" s="20">
        <f>IF(46&lt;=NW,SAT1+317,"")</f>
        <v/>
      </c>
      <c r="B504" s="21">
        <f>IF(A504="","",CHOOSE(WEEKDAY(A504,1),"الأحد","الاثنين","الثلاثاء","الأربعاء","الخميس","الجمعة","السبت"))</f>
        <v/>
      </c>
      <c r="C504" s="22" t="n"/>
      <c r="D504" s="22" t="n"/>
      <c r="E504" s="23">
        <f>IF(OR(M504=0,K504="",L504=""),"",MOD(L504-K504,1))</f>
        <v/>
      </c>
      <c r="F504" s="23">
        <f>IF(OR(E504="",M504=0),"",IF(WEEKDAY(A504,1)=6,E504,MIN(E504,MAX(0,MIN(IF(L504&lt;K504,L504+1,L504),OMR_OT_AT)-K504))))</f>
        <v/>
      </c>
      <c r="G504" s="23">
        <f>IF(OR(E504="",M504=0),"",MAX(0,E504-F504))</f>
        <v/>
      </c>
      <c r="H504" s="24">
        <f>IF(OR(E504="",M504=0),"",ROUND((F504*$N$501+G504*$O$501)*24,3))</f>
        <v/>
      </c>
      <c r="I504" s="22" t="n"/>
      <c r="K504" s="25">
        <f>IF(OR(M504=0,C504=""),"",IF(ISNUMBER(C504),MOD(C504,1),IFERROR(INDEX('القوائم'!$B$1:$B$288,MATCH(TRIM(C504),'القوائم'!$A$1:$A$288,0)),IFERROR(MOD(TIMEVALUE(C504),1),""))))</f>
        <v/>
      </c>
      <c r="L504" s="25">
        <f>IF(OR(M504=0,D504=""),"",IF(ISNUMBER(D504),MOD(D504,1),IFERROR(INDEX('القوائم'!$B$1:$B$288,MATCH(TRIM(D504),'القوائم'!$A$1:$A$288,0)),IFERROR(MOD(TIMEVALUE(D504),1),""))))</f>
        <v/>
      </c>
      <c r="M504">
        <f>M501</f>
        <v/>
      </c>
      <c r="Q504">
        <f>IF(N(G511)&gt;0,1,0)</f>
        <v/>
      </c>
    </row>
    <row r="505">
      <c r="A505" s="20">
        <f>IF(46&lt;=NW,SAT1+318,"")</f>
        <v/>
      </c>
      <c r="B505" s="21">
        <f>IF(A505="","",CHOOSE(WEEKDAY(A505,1),"الأحد","الاثنين","الثلاثاء","الأربعاء","الخميس","الجمعة","السبت"))</f>
        <v/>
      </c>
      <c r="C505" s="22" t="n"/>
      <c r="D505" s="22" t="n"/>
      <c r="E505" s="23">
        <f>IF(OR(M505=0,K505="",L505=""),"",MOD(L505-K505,1))</f>
        <v/>
      </c>
      <c r="F505" s="23">
        <f>IF(OR(E505="",M505=0),"",IF(WEEKDAY(A505,1)=6,E505,MIN(E505,MAX(0,MIN(IF(L505&lt;K505,L505+1,L505),OMR_OT_AT)-K505))))</f>
        <v/>
      </c>
      <c r="G505" s="23">
        <f>IF(OR(E505="",M505=0),"",MAX(0,E505-F505))</f>
        <v/>
      </c>
      <c r="H505" s="24">
        <f>IF(OR(E505="",M505=0),"",ROUND((F505*$N$501+G505*$O$501)*24,3))</f>
        <v/>
      </c>
      <c r="I505" s="22" t="n"/>
      <c r="K505" s="25">
        <f>IF(OR(M505=0,C505=""),"",IF(ISNUMBER(C505),MOD(C505,1),IFERROR(INDEX('القوائم'!$B$1:$B$288,MATCH(TRIM(C505),'القوائم'!$A$1:$A$288,0)),IFERROR(MOD(TIMEVALUE(C505),1),""))))</f>
        <v/>
      </c>
      <c r="L505" s="25">
        <f>IF(OR(M505=0,D505=""),"",IF(ISNUMBER(D505),MOD(D505,1),IFERROR(INDEX('القوائم'!$B$1:$B$288,MATCH(TRIM(D505),'القوائم'!$A$1:$A$288,0)),IFERROR(MOD(TIMEVALUE(D505),1),""))))</f>
        <v/>
      </c>
      <c r="M505">
        <f>M501</f>
        <v/>
      </c>
      <c r="Q505">
        <f>IF(N(G511)&gt;0,1,0)</f>
        <v/>
      </c>
    </row>
    <row r="506">
      <c r="A506" s="20">
        <f>IF(46&lt;=NW,SAT1+319,"")</f>
        <v/>
      </c>
      <c r="B506" s="21">
        <f>IF(A506="","",CHOOSE(WEEKDAY(A506,1),"الأحد","الاثنين","الثلاثاء","الأربعاء","الخميس","الجمعة","السبت"))</f>
        <v/>
      </c>
      <c r="C506" s="22" t="n"/>
      <c r="D506" s="22" t="n"/>
      <c r="E506" s="23">
        <f>IF(OR(M506=0,K506="",L506=""),"",MOD(L506-K506,1))</f>
        <v/>
      </c>
      <c r="F506" s="23">
        <f>IF(OR(E506="",M506=0),"",IF(WEEKDAY(A506,1)=6,E506,MIN(E506,MAX(0,MIN(IF(L506&lt;K506,L506+1,L506),OMR_OT_AT)-K506))))</f>
        <v/>
      </c>
      <c r="G506" s="23">
        <f>IF(OR(E506="",M506=0),"",MAX(0,E506-F506))</f>
        <v/>
      </c>
      <c r="H506" s="24">
        <f>IF(OR(E506="",M506=0),"",ROUND((F506*$N$501+G506*$O$501)*24,3))</f>
        <v/>
      </c>
      <c r="I506" s="22" t="n"/>
      <c r="K506" s="25">
        <f>IF(OR(M506=0,C506=""),"",IF(ISNUMBER(C506),MOD(C506,1),IFERROR(INDEX('القوائم'!$B$1:$B$288,MATCH(TRIM(C506),'القوائم'!$A$1:$A$288,0)),IFERROR(MOD(TIMEVALUE(C506),1),""))))</f>
        <v/>
      </c>
      <c r="L506" s="25">
        <f>IF(OR(M506=0,D506=""),"",IF(ISNUMBER(D506),MOD(D506,1),IFERROR(INDEX('القوائم'!$B$1:$B$288,MATCH(TRIM(D506),'القوائم'!$A$1:$A$288,0)),IFERROR(MOD(TIMEVALUE(D506),1),""))))</f>
        <v/>
      </c>
      <c r="M506">
        <f>M501</f>
        <v/>
      </c>
      <c r="Q506">
        <f>IF(N(G511)&gt;0,1,0)</f>
        <v/>
      </c>
    </row>
    <row r="507">
      <c r="A507" s="20">
        <f>IF(46&lt;=NW,SAT1+320,"")</f>
        <v/>
      </c>
      <c r="B507" s="21">
        <f>IF(A507="","",CHOOSE(WEEKDAY(A507,1),"الأحد","الاثنين","الثلاثاء","الأربعاء","الخميس","الجمعة","السبت"))</f>
        <v/>
      </c>
      <c r="C507" s="22" t="n"/>
      <c r="D507" s="22" t="n"/>
      <c r="E507" s="23">
        <f>IF(OR(M507=0,K507="",L507=""),"",MOD(L507-K507,1))</f>
        <v/>
      </c>
      <c r="F507" s="23">
        <f>IF(OR(E507="",M507=0),"",IF(WEEKDAY(A507,1)=6,E507,MIN(E507,MAX(0,MIN(IF(L507&lt;K507,L507+1,L507),OMR_OT_AT)-K507))))</f>
        <v/>
      </c>
      <c r="G507" s="23">
        <f>IF(OR(E507="",M507=0),"",MAX(0,E507-F507))</f>
        <v/>
      </c>
      <c r="H507" s="24">
        <f>IF(OR(E507="",M507=0),"",ROUND((F507*$N$501+G507*$O$501)*24,3))</f>
        <v/>
      </c>
      <c r="I507" s="22" t="n"/>
      <c r="K507" s="25">
        <f>IF(OR(M507=0,C507=""),"",IF(ISNUMBER(C507),MOD(C507,1),IFERROR(INDEX('القوائم'!$B$1:$B$288,MATCH(TRIM(C507),'القوائم'!$A$1:$A$288,0)),IFERROR(MOD(TIMEVALUE(C507),1),""))))</f>
        <v/>
      </c>
      <c r="L507" s="25">
        <f>IF(OR(M507=0,D507=""),"",IF(ISNUMBER(D507),MOD(D507,1),IFERROR(INDEX('القوائم'!$B$1:$B$288,MATCH(TRIM(D507),'القوائم'!$A$1:$A$288,0)),IFERROR(MOD(TIMEVALUE(D507),1),""))))</f>
        <v/>
      </c>
      <c r="M507">
        <f>M501</f>
        <v/>
      </c>
      <c r="Q507">
        <f>IF(N(G511)&gt;0,1,0)</f>
        <v/>
      </c>
    </row>
    <row r="508">
      <c r="A508" s="26">
        <f>IF(46&lt;=NW,SAT1+321,"")</f>
        <v/>
      </c>
      <c r="B508" s="27">
        <f>IF(A508="","",CHOOSE(WEEKDAY(A508,1),"الأحد","الاثنين","الثلاثاء","الأربعاء","الخميس","الجمعة","السبت"))</f>
        <v/>
      </c>
      <c r="C508" s="22" t="n"/>
      <c r="D508" s="22" t="n"/>
      <c r="E508" s="23">
        <f>IF(OR(M508=0,K508="",L508=""),"",MOD(L508-K508,1))</f>
        <v/>
      </c>
      <c r="F508" s="23">
        <f>IF(OR(E508="",M508=0),"",IF(WEEKDAY(A508,1)=6,E508,MIN(E508,MAX(0,MIN(IF(L508&lt;K508,L508+1,L508),OMR_OT_AT)-K508))))</f>
        <v/>
      </c>
      <c r="G508" s="23">
        <f>IF(OR(E508="",M508=0),"",MAX(0,E508-F508))</f>
        <v/>
      </c>
      <c r="H508" s="24">
        <f>IF(OR(E508="",M508=0),"",ROUND((F508*$N$501+G508*$O$501)*24,3))</f>
        <v/>
      </c>
      <c r="I508" s="22" t="n"/>
      <c r="K508" s="25">
        <f>IF(OR(M508=0,C508=""),"",IF(ISNUMBER(C508),MOD(C508,1),IFERROR(INDEX('القوائم'!$B$1:$B$288,MATCH(TRIM(C508),'القوائم'!$A$1:$A$288,0)),IFERROR(MOD(TIMEVALUE(C508),1),""))))</f>
        <v/>
      </c>
      <c r="L508" s="25">
        <f>IF(OR(M508=0,D508=""),"",IF(ISNUMBER(D508),MOD(D508,1),IFERROR(INDEX('القوائم'!$B$1:$B$288,MATCH(TRIM(D508),'القوائم'!$A$1:$A$288,0)),IFERROR(MOD(TIMEVALUE(D508),1),""))))</f>
        <v/>
      </c>
      <c r="M508">
        <f>M501</f>
        <v/>
      </c>
      <c r="Q508">
        <f>IF(N(G511)&gt;0,1,0)</f>
        <v/>
      </c>
    </row>
    <row r="509">
      <c r="A509" s="28">
        <f>IF(M501=1,"مجموع أيام الأسبوع 46","")</f>
        <v/>
      </c>
      <c r="B509" s="28" t="n"/>
      <c r="C509" s="28" t="n"/>
      <c r="D509" s="28" t="n"/>
      <c r="E509" s="29">
        <f>IF(M501=1,SUM(E502:E508),"")</f>
        <v/>
      </c>
      <c r="F509" s="29">
        <f>IF(M501=1,SUM(F502:F508),"")</f>
        <v/>
      </c>
      <c r="G509" s="29">
        <f>IF(M501=1,SUM(G502:G508),"")</f>
        <v/>
      </c>
      <c r="H509" s="30">
        <f>IF(M501=1,SUM(H502:H508),"")</f>
        <v/>
      </c>
      <c r="I509" s="28" t="n"/>
    </row>
    <row r="510" ht="32" customHeight="1">
      <c r="A510" s="28">
        <f>IF(M501=1,"ساعات تحميل الجبسمبورد بهالأسبوع (رقم: 2 أو 1.5) ←","")</f>
        <v/>
      </c>
      <c r="E510" s="31" t="n"/>
      <c r="F510" s="32">
        <f>IF(M501=1,"المستحق النهائي للأسبوع (دينار) ←","")</f>
        <v/>
      </c>
      <c r="H510" s="33">
        <f>IF(M501=1,IF(ROUND_MODE="للأعلى",CEILING(ROUND((N(H509)+N(E510)*($P$501-$N$501)),3),0.25),ROUND((N(H509)+N(E510)*($P$501-$N$501))*4,0)/4),"")</f>
        <v/>
      </c>
      <c r="I510" s="34">
        <f>IF(M501=1,"قبل الجبر: "&amp;TEXT(N(H509)+N(E510)*($P$501-$N$501),"0.000"),"")</f>
        <v/>
      </c>
    </row>
    <row r="511" ht="26" customHeight="1">
      <c r="A511" s="28">
        <f>IF(M501=1,"إكرامية الأسبوع (دينار) ←","")</f>
        <v/>
      </c>
      <c r="D511" s="35" t="n"/>
      <c r="E511" s="28">
        <f>IF(M501=1,"المدفوع يوم الجمعة (دينار) ←","")</f>
        <v/>
      </c>
      <c r="G511" s="35" t="n"/>
      <c r="H511" s="36">
        <f>IF(M501=1,IF(N(G511)&gt;0,"✔ انقبض — الأسبوع مقفول","⏳ لسا ما انقبض"),"")</f>
        <v/>
      </c>
    </row>
    <row r="512" ht="26" customHeight="1">
      <c r="A512" s="18">
        <f>IF(47&lt;=NW,"الأسبوع 47 · السبت "&amp;TEXT(DAY(SAT1+322),"00")&amp;"/"&amp;TEXT(MONTH(SAT1+322),"00")&amp;" ← الجمعة "&amp;TEXT(DAY(SAT1+328),"00")&amp;"/"&amp;TEXT(MONTH(SAT1+328),"00")&amp;" (يوم القبض)"&amp;IF(47&lt;START_O,"   — قبل أسبوع البداية (ما بينحسب)",""),"ما في أسبوع 47 هالسنة")</f>
        <v/>
      </c>
      <c r="L512" s="19">
        <f>IF(47&lt;=NW,SAT1+328,"")</f>
        <v/>
      </c>
      <c r="M512">
        <f>IF(AND(47&lt;=NW,47&gt;=START_O),1,0)</f>
        <v/>
      </c>
      <c r="N512">
        <f>IFERROR(INDEX(RT_OMR,MATCH(L512,RT_K,1)),INDEX(RT_OMR,1))</f>
        <v/>
      </c>
      <c r="O512">
        <f>IFERROR(INDEX(RT_OT,MATCH(L512,RT_K,1)),INDEX(RT_OT,1))</f>
        <v/>
      </c>
      <c r="P512">
        <f>IFERROR(INDEX(RT_GYP,MATCH(L512,RT_K,1)),INDEX(RT_GYP,1))</f>
        <v/>
      </c>
    </row>
    <row r="513">
      <c r="A513" s="20">
        <f>IF(47&lt;=NW,SAT1+322,"")</f>
        <v/>
      </c>
      <c r="B513" s="21">
        <f>IF(A513="","",CHOOSE(WEEKDAY(A513,1),"الأحد","الاثنين","الثلاثاء","الأربعاء","الخميس","الجمعة","السبت"))</f>
        <v/>
      </c>
      <c r="C513" s="22" t="n"/>
      <c r="D513" s="22" t="n"/>
      <c r="E513" s="23">
        <f>IF(OR(M513=0,K513="",L513=""),"",MOD(L513-K513,1))</f>
        <v/>
      </c>
      <c r="F513" s="23">
        <f>IF(OR(E513="",M513=0),"",IF(WEEKDAY(A513,1)=6,E513,MIN(E513,MAX(0,MIN(IF(L513&lt;K513,L513+1,L513),OMR_OT_AT)-K513))))</f>
        <v/>
      </c>
      <c r="G513" s="23">
        <f>IF(OR(E513="",M513=0),"",MAX(0,E513-F513))</f>
        <v/>
      </c>
      <c r="H513" s="24">
        <f>IF(OR(E513="",M513=0),"",ROUND((F513*$N$512+G513*$O$512)*24,3))</f>
        <v/>
      </c>
      <c r="I513" s="22" t="n"/>
      <c r="K513" s="25">
        <f>IF(OR(M513=0,C513=""),"",IF(ISNUMBER(C513),MOD(C513,1),IFERROR(INDEX('القوائم'!$B$1:$B$288,MATCH(TRIM(C513),'القوائم'!$A$1:$A$288,0)),IFERROR(MOD(TIMEVALUE(C513),1),""))))</f>
        <v/>
      </c>
      <c r="L513" s="25">
        <f>IF(OR(M513=0,D513=""),"",IF(ISNUMBER(D513),MOD(D513,1),IFERROR(INDEX('القوائم'!$B$1:$B$288,MATCH(TRIM(D513),'القوائم'!$A$1:$A$288,0)),IFERROR(MOD(TIMEVALUE(D513),1),""))))</f>
        <v/>
      </c>
      <c r="M513">
        <f>M512</f>
        <v/>
      </c>
      <c r="Q513">
        <f>IF(N(G522)&gt;0,1,0)</f>
        <v/>
      </c>
    </row>
    <row r="514">
      <c r="A514" s="20">
        <f>IF(47&lt;=NW,SAT1+323,"")</f>
        <v/>
      </c>
      <c r="B514" s="21">
        <f>IF(A514="","",CHOOSE(WEEKDAY(A514,1),"الأحد","الاثنين","الثلاثاء","الأربعاء","الخميس","الجمعة","السبت"))</f>
        <v/>
      </c>
      <c r="C514" s="22" t="n"/>
      <c r="D514" s="22" t="n"/>
      <c r="E514" s="23">
        <f>IF(OR(M514=0,K514="",L514=""),"",MOD(L514-K514,1))</f>
        <v/>
      </c>
      <c r="F514" s="23">
        <f>IF(OR(E514="",M514=0),"",IF(WEEKDAY(A514,1)=6,E514,MIN(E514,MAX(0,MIN(IF(L514&lt;K514,L514+1,L514),OMR_OT_AT)-K514))))</f>
        <v/>
      </c>
      <c r="G514" s="23">
        <f>IF(OR(E514="",M514=0),"",MAX(0,E514-F514))</f>
        <v/>
      </c>
      <c r="H514" s="24">
        <f>IF(OR(E514="",M514=0),"",ROUND((F514*$N$512+G514*$O$512)*24,3))</f>
        <v/>
      </c>
      <c r="I514" s="22" t="n"/>
      <c r="K514" s="25">
        <f>IF(OR(M514=0,C514=""),"",IF(ISNUMBER(C514),MOD(C514,1),IFERROR(INDEX('القوائم'!$B$1:$B$288,MATCH(TRIM(C514),'القوائم'!$A$1:$A$288,0)),IFERROR(MOD(TIMEVALUE(C514),1),""))))</f>
        <v/>
      </c>
      <c r="L514" s="25">
        <f>IF(OR(M514=0,D514=""),"",IF(ISNUMBER(D514),MOD(D514,1),IFERROR(INDEX('القوائم'!$B$1:$B$288,MATCH(TRIM(D514),'القوائم'!$A$1:$A$288,0)),IFERROR(MOD(TIMEVALUE(D514),1),""))))</f>
        <v/>
      </c>
      <c r="M514">
        <f>M512</f>
        <v/>
      </c>
      <c r="Q514">
        <f>IF(N(G522)&gt;0,1,0)</f>
        <v/>
      </c>
    </row>
    <row r="515">
      <c r="A515" s="20">
        <f>IF(47&lt;=NW,SAT1+324,"")</f>
        <v/>
      </c>
      <c r="B515" s="21">
        <f>IF(A515="","",CHOOSE(WEEKDAY(A515,1),"الأحد","الاثنين","الثلاثاء","الأربعاء","الخميس","الجمعة","السبت"))</f>
        <v/>
      </c>
      <c r="C515" s="22" t="n"/>
      <c r="D515" s="22" t="n"/>
      <c r="E515" s="23">
        <f>IF(OR(M515=0,K515="",L515=""),"",MOD(L515-K515,1))</f>
        <v/>
      </c>
      <c r="F515" s="23">
        <f>IF(OR(E515="",M515=0),"",IF(WEEKDAY(A515,1)=6,E515,MIN(E515,MAX(0,MIN(IF(L515&lt;K515,L515+1,L515),OMR_OT_AT)-K515))))</f>
        <v/>
      </c>
      <c r="G515" s="23">
        <f>IF(OR(E515="",M515=0),"",MAX(0,E515-F515))</f>
        <v/>
      </c>
      <c r="H515" s="24">
        <f>IF(OR(E515="",M515=0),"",ROUND((F515*$N$512+G515*$O$512)*24,3))</f>
        <v/>
      </c>
      <c r="I515" s="22" t="n"/>
      <c r="K515" s="25">
        <f>IF(OR(M515=0,C515=""),"",IF(ISNUMBER(C515),MOD(C515,1),IFERROR(INDEX('القوائم'!$B$1:$B$288,MATCH(TRIM(C515),'القوائم'!$A$1:$A$288,0)),IFERROR(MOD(TIMEVALUE(C515),1),""))))</f>
        <v/>
      </c>
      <c r="L515" s="25">
        <f>IF(OR(M515=0,D515=""),"",IF(ISNUMBER(D515),MOD(D515,1),IFERROR(INDEX('القوائم'!$B$1:$B$288,MATCH(TRIM(D515),'القوائم'!$A$1:$A$288,0)),IFERROR(MOD(TIMEVALUE(D515),1),""))))</f>
        <v/>
      </c>
      <c r="M515">
        <f>M512</f>
        <v/>
      </c>
      <c r="Q515">
        <f>IF(N(G522)&gt;0,1,0)</f>
        <v/>
      </c>
    </row>
    <row r="516">
      <c r="A516" s="20">
        <f>IF(47&lt;=NW,SAT1+325,"")</f>
        <v/>
      </c>
      <c r="B516" s="21">
        <f>IF(A516="","",CHOOSE(WEEKDAY(A516,1),"الأحد","الاثنين","الثلاثاء","الأربعاء","الخميس","الجمعة","السبت"))</f>
        <v/>
      </c>
      <c r="C516" s="22" t="n"/>
      <c r="D516" s="22" t="n"/>
      <c r="E516" s="23">
        <f>IF(OR(M516=0,K516="",L516=""),"",MOD(L516-K516,1))</f>
        <v/>
      </c>
      <c r="F516" s="23">
        <f>IF(OR(E516="",M516=0),"",IF(WEEKDAY(A516,1)=6,E516,MIN(E516,MAX(0,MIN(IF(L516&lt;K516,L516+1,L516),OMR_OT_AT)-K516))))</f>
        <v/>
      </c>
      <c r="G516" s="23">
        <f>IF(OR(E516="",M516=0),"",MAX(0,E516-F516))</f>
        <v/>
      </c>
      <c r="H516" s="24">
        <f>IF(OR(E516="",M516=0),"",ROUND((F516*$N$512+G516*$O$512)*24,3))</f>
        <v/>
      </c>
      <c r="I516" s="22" t="n"/>
      <c r="K516" s="25">
        <f>IF(OR(M516=0,C516=""),"",IF(ISNUMBER(C516),MOD(C516,1),IFERROR(INDEX('القوائم'!$B$1:$B$288,MATCH(TRIM(C516),'القوائم'!$A$1:$A$288,0)),IFERROR(MOD(TIMEVALUE(C516),1),""))))</f>
        <v/>
      </c>
      <c r="L516" s="25">
        <f>IF(OR(M516=0,D516=""),"",IF(ISNUMBER(D516),MOD(D516,1),IFERROR(INDEX('القوائم'!$B$1:$B$288,MATCH(TRIM(D516),'القوائم'!$A$1:$A$288,0)),IFERROR(MOD(TIMEVALUE(D516),1),""))))</f>
        <v/>
      </c>
      <c r="M516">
        <f>M512</f>
        <v/>
      </c>
      <c r="Q516">
        <f>IF(N(G522)&gt;0,1,0)</f>
        <v/>
      </c>
    </row>
    <row r="517">
      <c r="A517" s="20">
        <f>IF(47&lt;=NW,SAT1+326,"")</f>
        <v/>
      </c>
      <c r="B517" s="21">
        <f>IF(A517="","",CHOOSE(WEEKDAY(A517,1),"الأحد","الاثنين","الثلاثاء","الأربعاء","الخميس","الجمعة","السبت"))</f>
        <v/>
      </c>
      <c r="C517" s="22" t="n"/>
      <c r="D517" s="22" t="n"/>
      <c r="E517" s="23">
        <f>IF(OR(M517=0,K517="",L517=""),"",MOD(L517-K517,1))</f>
        <v/>
      </c>
      <c r="F517" s="23">
        <f>IF(OR(E517="",M517=0),"",IF(WEEKDAY(A517,1)=6,E517,MIN(E517,MAX(0,MIN(IF(L517&lt;K517,L517+1,L517),OMR_OT_AT)-K517))))</f>
        <v/>
      </c>
      <c r="G517" s="23">
        <f>IF(OR(E517="",M517=0),"",MAX(0,E517-F517))</f>
        <v/>
      </c>
      <c r="H517" s="24">
        <f>IF(OR(E517="",M517=0),"",ROUND((F517*$N$512+G517*$O$512)*24,3))</f>
        <v/>
      </c>
      <c r="I517" s="22" t="n"/>
      <c r="K517" s="25">
        <f>IF(OR(M517=0,C517=""),"",IF(ISNUMBER(C517),MOD(C517,1),IFERROR(INDEX('القوائم'!$B$1:$B$288,MATCH(TRIM(C517),'القوائم'!$A$1:$A$288,0)),IFERROR(MOD(TIMEVALUE(C517),1),""))))</f>
        <v/>
      </c>
      <c r="L517" s="25">
        <f>IF(OR(M517=0,D517=""),"",IF(ISNUMBER(D517),MOD(D517,1),IFERROR(INDEX('القوائم'!$B$1:$B$288,MATCH(TRIM(D517),'القوائم'!$A$1:$A$288,0)),IFERROR(MOD(TIMEVALUE(D517),1),""))))</f>
        <v/>
      </c>
      <c r="M517">
        <f>M512</f>
        <v/>
      </c>
      <c r="Q517">
        <f>IF(N(G522)&gt;0,1,0)</f>
        <v/>
      </c>
    </row>
    <row r="518">
      <c r="A518" s="20">
        <f>IF(47&lt;=NW,SAT1+327,"")</f>
        <v/>
      </c>
      <c r="B518" s="21">
        <f>IF(A518="","",CHOOSE(WEEKDAY(A518,1),"الأحد","الاثنين","الثلاثاء","الأربعاء","الخميس","الجمعة","السبت"))</f>
        <v/>
      </c>
      <c r="C518" s="22" t="n"/>
      <c r="D518" s="22" t="n"/>
      <c r="E518" s="23">
        <f>IF(OR(M518=0,K518="",L518=""),"",MOD(L518-K518,1))</f>
        <v/>
      </c>
      <c r="F518" s="23">
        <f>IF(OR(E518="",M518=0),"",IF(WEEKDAY(A518,1)=6,E518,MIN(E518,MAX(0,MIN(IF(L518&lt;K518,L518+1,L518),OMR_OT_AT)-K518))))</f>
        <v/>
      </c>
      <c r="G518" s="23">
        <f>IF(OR(E518="",M518=0),"",MAX(0,E518-F518))</f>
        <v/>
      </c>
      <c r="H518" s="24">
        <f>IF(OR(E518="",M518=0),"",ROUND((F518*$N$512+G518*$O$512)*24,3))</f>
        <v/>
      </c>
      <c r="I518" s="22" t="n"/>
      <c r="K518" s="25">
        <f>IF(OR(M518=0,C518=""),"",IF(ISNUMBER(C518),MOD(C518,1),IFERROR(INDEX('القوائم'!$B$1:$B$288,MATCH(TRIM(C518),'القوائم'!$A$1:$A$288,0)),IFERROR(MOD(TIMEVALUE(C518),1),""))))</f>
        <v/>
      </c>
      <c r="L518" s="25">
        <f>IF(OR(M518=0,D518=""),"",IF(ISNUMBER(D518),MOD(D518,1),IFERROR(INDEX('القوائم'!$B$1:$B$288,MATCH(TRIM(D518),'القوائم'!$A$1:$A$288,0)),IFERROR(MOD(TIMEVALUE(D518),1),""))))</f>
        <v/>
      </c>
      <c r="M518">
        <f>M512</f>
        <v/>
      </c>
      <c r="Q518">
        <f>IF(N(G522)&gt;0,1,0)</f>
        <v/>
      </c>
    </row>
    <row r="519">
      <c r="A519" s="26">
        <f>IF(47&lt;=NW,SAT1+328,"")</f>
        <v/>
      </c>
      <c r="B519" s="27">
        <f>IF(A519="","",CHOOSE(WEEKDAY(A519,1),"الأحد","الاثنين","الثلاثاء","الأربعاء","الخميس","الجمعة","السبت"))</f>
        <v/>
      </c>
      <c r="C519" s="22" t="n"/>
      <c r="D519" s="22" t="n"/>
      <c r="E519" s="23">
        <f>IF(OR(M519=0,K519="",L519=""),"",MOD(L519-K519,1))</f>
        <v/>
      </c>
      <c r="F519" s="23">
        <f>IF(OR(E519="",M519=0),"",IF(WEEKDAY(A519,1)=6,E519,MIN(E519,MAX(0,MIN(IF(L519&lt;K519,L519+1,L519),OMR_OT_AT)-K519))))</f>
        <v/>
      </c>
      <c r="G519" s="23">
        <f>IF(OR(E519="",M519=0),"",MAX(0,E519-F519))</f>
        <v/>
      </c>
      <c r="H519" s="24">
        <f>IF(OR(E519="",M519=0),"",ROUND((F519*$N$512+G519*$O$512)*24,3))</f>
        <v/>
      </c>
      <c r="I519" s="22" t="n"/>
      <c r="K519" s="25">
        <f>IF(OR(M519=0,C519=""),"",IF(ISNUMBER(C519),MOD(C519,1),IFERROR(INDEX('القوائم'!$B$1:$B$288,MATCH(TRIM(C519),'القوائم'!$A$1:$A$288,0)),IFERROR(MOD(TIMEVALUE(C519),1),""))))</f>
        <v/>
      </c>
      <c r="L519" s="25">
        <f>IF(OR(M519=0,D519=""),"",IF(ISNUMBER(D519),MOD(D519,1),IFERROR(INDEX('القوائم'!$B$1:$B$288,MATCH(TRIM(D519),'القوائم'!$A$1:$A$288,0)),IFERROR(MOD(TIMEVALUE(D519),1),""))))</f>
        <v/>
      </c>
      <c r="M519">
        <f>M512</f>
        <v/>
      </c>
      <c r="Q519">
        <f>IF(N(G522)&gt;0,1,0)</f>
        <v/>
      </c>
    </row>
    <row r="520">
      <c r="A520" s="28">
        <f>IF(M512=1,"مجموع أيام الأسبوع 47","")</f>
        <v/>
      </c>
      <c r="B520" s="28" t="n"/>
      <c r="C520" s="28" t="n"/>
      <c r="D520" s="28" t="n"/>
      <c r="E520" s="29">
        <f>IF(M512=1,SUM(E513:E519),"")</f>
        <v/>
      </c>
      <c r="F520" s="29">
        <f>IF(M512=1,SUM(F513:F519),"")</f>
        <v/>
      </c>
      <c r="G520" s="29">
        <f>IF(M512=1,SUM(G513:G519),"")</f>
        <v/>
      </c>
      <c r="H520" s="30">
        <f>IF(M512=1,SUM(H513:H519),"")</f>
        <v/>
      </c>
      <c r="I520" s="28" t="n"/>
    </row>
    <row r="521" ht="32" customHeight="1">
      <c r="A521" s="28">
        <f>IF(M512=1,"ساعات تحميل الجبسمبورد بهالأسبوع (رقم: 2 أو 1.5) ←","")</f>
        <v/>
      </c>
      <c r="E521" s="31" t="n"/>
      <c r="F521" s="32">
        <f>IF(M512=1,"المستحق النهائي للأسبوع (دينار) ←","")</f>
        <v/>
      </c>
      <c r="H521" s="33">
        <f>IF(M512=1,IF(ROUND_MODE="للأعلى",CEILING(ROUND((N(H520)+N(E521)*($P$512-$N$512)),3),0.25),ROUND((N(H520)+N(E521)*($P$512-$N$512))*4,0)/4),"")</f>
        <v/>
      </c>
      <c r="I521" s="34">
        <f>IF(M512=1,"قبل الجبر: "&amp;TEXT(N(H520)+N(E521)*($P$512-$N$512),"0.000"),"")</f>
        <v/>
      </c>
    </row>
    <row r="522" ht="26" customHeight="1">
      <c r="A522" s="28">
        <f>IF(M512=1,"إكرامية الأسبوع (دينار) ←","")</f>
        <v/>
      </c>
      <c r="D522" s="35" t="n"/>
      <c r="E522" s="28">
        <f>IF(M512=1,"المدفوع يوم الجمعة (دينار) ←","")</f>
        <v/>
      </c>
      <c r="G522" s="35" t="n"/>
      <c r="H522" s="36">
        <f>IF(M512=1,IF(N(G522)&gt;0,"✔ انقبض — الأسبوع مقفول","⏳ لسا ما انقبض"),"")</f>
        <v/>
      </c>
    </row>
    <row r="523" ht="26" customHeight="1">
      <c r="A523" s="18">
        <f>IF(48&lt;=NW,"الأسبوع 48 · السبت "&amp;TEXT(DAY(SAT1+329),"00")&amp;"/"&amp;TEXT(MONTH(SAT1+329),"00")&amp;" ← الجمعة "&amp;TEXT(DAY(SAT1+335),"00")&amp;"/"&amp;TEXT(MONTH(SAT1+335),"00")&amp;" (يوم القبض)"&amp;IF(48&lt;START_O,"   — قبل أسبوع البداية (ما بينحسب)",""),"ما في أسبوع 48 هالسنة")</f>
        <v/>
      </c>
      <c r="L523" s="19">
        <f>IF(48&lt;=NW,SAT1+335,"")</f>
        <v/>
      </c>
      <c r="M523">
        <f>IF(AND(48&lt;=NW,48&gt;=START_O),1,0)</f>
        <v/>
      </c>
      <c r="N523">
        <f>IFERROR(INDEX(RT_OMR,MATCH(L523,RT_K,1)),INDEX(RT_OMR,1))</f>
        <v/>
      </c>
      <c r="O523">
        <f>IFERROR(INDEX(RT_OT,MATCH(L523,RT_K,1)),INDEX(RT_OT,1))</f>
        <v/>
      </c>
      <c r="P523">
        <f>IFERROR(INDEX(RT_GYP,MATCH(L523,RT_K,1)),INDEX(RT_GYP,1))</f>
        <v/>
      </c>
    </row>
    <row r="524">
      <c r="A524" s="20">
        <f>IF(48&lt;=NW,SAT1+329,"")</f>
        <v/>
      </c>
      <c r="B524" s="21">
        <f>IF(A524="","",CHOOSE(WEEKDAY(A524,1),"الأحد","الاثنين","الثلاثاء","الأربعاء","الخميس","الجمعة","السبت"))</f>
        <v/>
      </c>
      <c r="C524" s="22" t="n"/>
      <c r="D524" s="22" t="n"/>
      <c r="E524" s="23">
        <f>IF(OR(M524=0,K524="",L524=""),"",MOD(L524-K524,1))</f>
        <v/>
      </c>
      <c r="F524" s="23">
        <f>IF(OR(E524="",M524=0),"",IF(WEEKDAY(A524,1)=6,E524,MIN(E524,MAX(0,MIN(IF(L524&lt;K524,L524+1,L524),OMR_OT_AT)-K524))))</f>
        <v/>
      </c>
      <c r="G524" s="23">
        <f>IF(OR(E524="",M524=0),"",MAX(0,E524-F524))</f>
        <v/>
      </c>
      <c r="H524" s="24">
        <f>IF(OR(E524="",M524=0),"",ROUND((F524*$N$523+G524*$O$523)*24,3))</f>
        <v/>
      </c>
      <c r="I524" s="22" t="n"/>
      <c r="K524" s="25">
        <f>IF(OR(M524=0,C524=""),"",IF(ISNUMBER(C524),MOD(C524,1),IFERROR(INDEX('القوائم'!$B$1:$B$288,MATCH(TRIM(C524),'القوائم'!$A$1:$A$288,0)),IFERROR(MOD(TIMEVALUE(C524),1),""))))</f>
        <v/>
      </c>
      <c r="L524" s="25">
        <f>IF(OR(M524=0,D524=""),"",IF(ISNUMBER(D524),MOD(D524,1),IFERROR(INDEX('القوائم'!$B$1:$B$288,MATCH(TRIM(D524),'القوائم'!$A$1:$A$288,0)),IFERROR(MOD(TIMEVALUE(D524),1),""))))</f>
        <v/>
      </c>
      <c r="M524">
        <f>M523</f>
        <v/>
      </c>
      <c r="Q524">
        <f>IF(N(G533)&gt;0,1,0)</f>
        <v/>
      </c>
    </row>
    <row r="525">
      <c r="A525" s="20">
        <f>IF(48&lt;=NW,SAT1+330,"")</f>
        <v/>
      </c>
      <c r="B525" s="21">
        <f>IF(A525="","",CHOOSE(WEEKDAY(A525,1),"الأحد","الاثنين","الثلاثاء","الأربعاء","الخميس","الجمعة","السبت"))</f>
        <v/>
      </c>
      <c r="C525" s="22" t="n"/>
      <c r="D525" s="22" t="n"/>
      <c r="E525" s="23">
        <f>IF(OR(M525=0,K525="",L525=""),"",MOD(L525-K525,1))</f>
        <v/>
      </c>
      <c r="F525" s="23">
        <f>IF(OR(E525="",M525=0),"",IF(WEEKDAY(A525,1)=6,E525,MIN(E525,MAX(0,MIN(IF(L525&lt;K525,L525+1,L525),OMR_OT_AT)-K525))))</f>
        <v/>
      </c>
      <c r="G525" s="23">
        <f>IF(OR(E525="",M525=0),"",MAX(0,E525-F525))</f>
        <v/>
      </c>
      <c r="H525" s="24">
        <f>IF(OR(E525="",M525=0),"",ROUND((F525*$N$523+G525*$O$523)*24,3))</f>
        <v/>
      </c>
      <c r="I525" s="22" t="n"/>
      <c r="K525" s="25">
        <f>IF(OR(M525=0,C525=""),"",IF(ISNUMBER(C525),MOD(C525,1),IFERROR(INDEX('القوائم'!$B$1:$B$288,MATCH(TRIM(C525),'القوائم'!$A$1:$A$288,0)),IFERROR(MOD(TIMEVALUE(C525),1),""))))</f>
        <v/>
      </c>
      <c r="L525" s="25">
        <f>IF(OR(M525=0,D525=""),"",IF(ISNUMBER(D525),MOD(D525,1),IFERROR(INDEX('القوائم'!$B$1:$B$288,MATCH(TRIM(D525),'القوائم'!$A$1:$A$288,0)),IFERROR(MOD(TIMEVALUE(D525),1),""))))</f>
        <v/>
      </c>
      <c r="M525">
        <f>M523</f>
        <v/>
      </c>
      <c r="Q525">
        <f>IF(N(G533)&gt;0,1,0)</f>
        <v/>
      </c>
    </row>
    <row r="526">
      <c r="A526" s="20">
        <f>IF(48&lt;=NW,SAT1+331,"")</f>
        <v/>
      </c>
      <c r="B526" s="21">
        <f>IF(A526="","",CHOOSE(WEEKDAY(A526,1),"الأحد","الاثنين","الثلاثاء","الأربعاء","الخميس","الجمعة","السبت"))</f>
        <v/>
      </c>
      <c r="C526" s="22" t="n"/>
      <c r="D526" s="22" t="n"/>
      <c r="E526" s="23">
        <f>IF(OR(M526=0,K526="",L526=""),"",MOD(L526-K526,1))</f>
        <v/>
      </c>
      <c r="F526" s="23">
        <f>IF(OR(E526="",M526=0),"",IF(WEEKDAY(A526,1)=6,E526,MIN(E526,MAX(0,MIN(IF(L526&lt;K526,L526+1,L526),OMR_OT_AT)-K526))))</f>
        <v/>
      </c>
      <c r="G526" s="23">
        <f>IF(OR(E526="",M526=0),"",MAX(0,E526-F526))</f>
        <v/>
      </c>
      <c r="H526" s="24">
        <f>IF(OR(E526="",M526=0),"",ROUND((F526*$N$523+G526*$O$523)*24,3))</f>
        <v/>
      </c>
      <c r="I526" s="22" t="n"/>
      <c r="K526" s="25">
        <f>IF(OR(M526=0,C526=""),"",IF(ISNUMBER(C526),MOD(C526,1),IFERROR(INDEX('القوائم'!$B$1:$B$288,MATCH(TRIM(C526),'القوائم'!$A$1:$A$288,0)),IFERROR(MOD(TIMEVALUE(C526),1),""))))</f>
        <v/>
      </c>
      <c r="L526" s="25">
        <f>IF(OR(M526=0,D526=""),"",IF(ISNUMBER(D526),MOD(D526,1),IFERROR(INDEX('القوائم'!$B$1:$B$288,MATCH(TRIM(D526),'القوائم'!$A$1:$A$288,0)),IFERROR(MOD(TIMEVALUE(D526),1),""))))</f>
        <v/>
      </c>
      <c r="M526">
        <f>M523</f>
        <v/>
      </c>
      <c r="Q526">
        <f>IF(N(G533)&gt;0,1,0)</f>
        <v/>
      </c>
    </row>
    <row r="527">
      <c r="A527" s="20">
        <f>IF(48&lt;=NW,SAT1+332,"")</f>
        <v/>
      </c>
      <c r="B527" s="21">
        <f>IF(A527="","",CHOOSE(WEEKDAY(A527,1),"الأحد","الاثنين","الثلاثاء","الأربعاء","الخميس","الجمعة","السبت"))</f>
        <v/>
      </c>
      <c r="C527" s="22" t="n"/>
      <c r="D527" s="22" t="n"/>
      <c r="E527" s="23">
        <f>IF(OR(M527=0,K527="",L527=""),"",MOD(L527-K527,1))</f>
        <v/>
      </c>
      <c r="F527" s="23">
        <f>IF(OR(E527="",M527=0),"",IF(WEEKDAY(A527,1)=6,E527,MIN(E527,MAX(0,MIN(IF(L527&lt;K527,L527+1,L527),OMR_OT_AT)-K527))))</f>
        <v/>
      </c>
      <c r="G527" s="23">
        <f>IF(OR(E527="",M527=0),"",MAX(0,E527-F527))</f>
        <v/>
      </c>
      <c r="H527" s="24">
        <f>IF(OR(E527="",M527=0),"",ROUND((F527*$N$523+G527*$O$523)*24,3))</f>
        <v/>
      </c>
      <c r="I527" s="22" t="n"/>
      <c r="K527" s="25">
        <f>IF(OR(M527=0,C527=""),"",IF(ISNUMBER(C527),MOD(C527,1),IFERROR(INDEX('القوائم'!$B$1:$B$288,MATCH(TRIM(C527),'القوائم'!$A$1:$A$288,0)),IFERROR(MOD(TIMEVALUE(C527),1),""))))</f>
        <v/>
      </c>
      <c r="L527" s="25">
        <f>IF(OR(M527=0,D527=""),"",IF(ISNUMBER(D527),MOD(D527,1),IFERROR(INDEX('القوائم'!$B$1:$B$288,MATCH(TRIM(D527),'القوائم'!$A$1:$A$288,0)),IFERROR(MOD(TIMEVALUE(D527),1),""))))</f>
        <v/>
      </c>
      <c r="M527">
        <f>M523</f>
        <v/>
      </c>
      <c r="Q527">
        <f>IF(N(G533)&gt;0,1,0)</f>
        <v/>
      </c>
    </row>
    <row r="528">
      <c r="A528" s="20">
        <f>IF(48&lt;=NW,SAT1+333,"")</f>
        <v/>
      </c>
      <c r="B528" s="21">
        <f>IF(A528="","",CHOOSE(WEEKDAY(A528,1),"الأحد","الاثنين","الثلاثاء","الأربعاء","الخميس","الجمعة","السبت"))</f>
        <v/>
      </c>
      <c r="C528" s="22" t="n"/>
      <c r="D528" s="22" t="n"/>
      <c r="E528" s="23">
        <f>IF(OR(M528=0,K528="",L528=""),"",MOD(L528-K528,1))</f>
        <v/>
      </c>
      <c r="F528" s="23">
        <f>IF(OR(E528="",M528=0),"",IF(WEEKDAY(A528,1)=6,E528,MIN(E528,MAX(0,MIN(IF(L528&lt;K528,L528+1,L528),OMR_OT_AT)-K528))))</f>
        <v/>
      </c>
      <c r="G528" s="23">
        <f>IF(OR(E528="",M528=0),"",MAX(0,E528-F528))</f>
        <v/>
      </c>
      <c r="H528" s="24">
        <f>IF(OR(E528="",M528=0),"",ROUND((F528*$N$523+G528*$O$523)*24,3))</f>
        <v/>
      </c>
      <c r="I528" s="22" t="n"/>
      <c r="K528" s="25">
        <f>IF(OR(M528=0,C528=""),"",IF(ISNUMBER(C528),MOD(C528,1),IFERROR(INDEX('القوائم'!$B$1:$B$288,MATCH(TRIM(C528),'القوائم'!$A$1:$A$288,0)),IFERROR(MOD(TIMEVALUE(C528),1),""))))</f>
        <v/>
      </c>
      <c r="L528" s="25">
        <f>IF(OR(M528=0,D528=""),"",IF(ISNUMBER(D528),MOD(D528,1),IFERROR(INDEX('القوائم'!$B$1:$B$288,MATCH(TRIM(D528),'القوائم'!$A$1:$A$288,0)),IFERROR(MOD(TIMEVALUE(D528),1),""))))</f>
        <v/>
      </c>
      <c r="M528">
        <f>M523</f>
        <v/>
      </c>
      <c r="Q528">
        <f>IF(N(G533)&gt;0,1,0)</f>
        <v/>
      </c>
    </row>
    <row r="529">
      <c r="A529" s="20">
        <f>IF(48&lt;=NW,SAT1+334,"")</f>
        <v/>
      </c>
      <c r="B529" s="21">
        <f>IF(A529="","",CHOOSE(WEEKDAY(A529,1),"الأحد","الاثنين","الثلاثاء","الأربعاء","الخميس","الجمعة","السبت"))</f>
        <v/>
      </c>
      <c r="C529" s="22" t="n"/>
      <c r="D529" s="22" t="n"/>
      <c r="E529" s="23">
        <f>IF(OR(M529=0,K529="",L529=""),"",MOD(L529-K529,1))</f>
        <v/>
      </c>
      <c r="F529" s="23">
        <f>IF(OR(E529="",M529=0),"",IF(WEEKDAY(A529,1)=6,E529,MIN(E529,MAX(0,MIN(IF(L529&lt;K529,L529+1,L529),OMR_OT_AT)-K529))))</f>
        <v/>
      </c>
      <c r="G529" s="23">
        <f>IF(OR(E529="",M529=0),"",MAX(0,E529-F529))</f>
        <v/>
      </c>
      <c r="H529" s="24">
        <f>IF(OR(E529="",M529=0),"",ROUND((F529*$N$523+G529*$O$523)*24,3))</f>
        <v/>
      </c>
      <c r="I529" s="22" t="n"/>
      <c r="K529" s="25">
        <f>IF(OR(M529=0,C529=""),"",IF(ISNUMBER(C529),MOD(C529,1),IFERROR(INDEX('القوائم'!$B$1:$B$288,MATCH(TRIM(C529),'القوائم'!$A$1:$A$288,0)),IFERROR(MOD(TIMEVALUE(C529),1),""))))</f>
        <v/>
      </c>
      <c r="L529" s="25">
        <f>IF(OR(M529=0,D529=""),"",IF(ISNUMBER(D529),MOD(D529,1),IFERROR(INDEX('القوائم'!$B$1:$B$288,MATCH(TRIM(D529),'القوائم'!$A$1:$A$288,0)),IFERROR(MOD(TIMEVALUE(D529),1),""))))</f>
        <v/>
      </c>
      <c r="M529">
        <f>M523</f>
        <v/>
      </c>
      <c r="Q529">
        <f>IF(N(G533)&gt;0,1,0)</f>
        <v/>
      </c>
    </row>
    <row r="530">
      <c r="A530" s="26">
        <f>IF(48&lt;=NW,SAT1+335,"")</f>
        <v/>
      </c>
      <c r="B530" s="27">
        <f>IF(A530="","",CHOOSE(WEEKDAY(A530,1),"الأحد","الاثنين","الثلاثاء","الأربعاء","الخميس","الجمعة","السبت"))</f>
        <v/>
      </c>
      <c r="C530" s="22" t="n"/>
      <c r="D530" s="22" t="n"/>
      <c r="E530" s="23">
        <f>IF(OR(M530=0,K530="",L530=""),"",MOD(L530-K530,1))</f>
        <v/>
      </c>
      <c r="F530" s="23">
        <f>IF(OR(E530="",M530=0),"",IF(WEEKDAY(A530,1)=6,E530,MIN(E530,MAX(0,MIN(IF(L530&lt;K530,L530+1,L530),OMR_OT_AT)-K530))))</f>
        <v/>
      </c>
      <c r="G530" s="23">
        <f>IF(OR(E530="",M530=0),"",MAX(0,E530-F530))</f>
        <v/>
      </c>
      <c r="H530" s="24">
        <f>IF(OR(E530="",M530=0),"",ROUND((F530*$N$523+G530*$O$523)*24,3))</f>
        <v/>
      </c>
      <c r="I530" s="22" t="n"/>
      <c r="K530" s="25">
        <f>IF(OR(M530=0,C530=""),"",IF(ISNUMBER(C530),MOD(C530,1),IFERROR(INDEX('القوائم'!$B$1:$B$288,MATCH(TRIM(C530),'القوائم'!$A$1:$A$288,0)),IFERROR(MOD(TIMEVALUE(C530),1),""))))</f>
        <v/>
      </c>
      <c r="L530" s="25">
        <f>IF(OR(M530=0,D530=""),"",IF(ISNUMBER(D530),MOD(D530,1),IFERROR(INDEX('القوائم'!$B$1:$B$288,MATCH(TRIM(D530),'القوائم'!$A$1:$A$288,0)),IFERROR(MOD(TIMEVALUE(D530),1),""))))</f>
        <v/>
      </c>
      <c r="M530">
        <f>M523</f>
        <v/>
      </c>
      <c r="Q530">
        <f>IF(N(G533)&gt;0,1,0)</f>
        <v/>
      </c>
    </row>
    <row r="531">
      <c r="A531" s="28">
        <f>IF(M523=1,"مجموع أيام الأسبوع 48","")</f>
        <v/>
      </c>
      <c r="B531" s="28" t="n"/>
      <c r="C531" s="28" t="n"/>
      <c r="D531" s="28" t="n"/>
      <c r="E531" s="29">
        <f>IF(M523=1,SUM(E524:E530),"")</f>
        <v/>
      </c>
      <c r="F531" s="29">
        <f>IF(M523=1,SUM(F524:F530),"")</f>
        <v/>
      </c>
      <c r="G531" s="29">
        <f>IF(M523=1,SUM(G524:G530),"")</f>
        <v/>
      </c>
      <c r="H531" s="30">
        <f>IF(M523=1,SUM(H524:H530),"")</f>
        <v/>
      </c>
      <c r="I531" s="28" t="n"/>
    </row>
    <row r="532" ht="32" customHeight="1">
      <c r="A532" s="28">
        <f>IF(M523=1,"ساعات تحميل الجبسمبورد بهالأسبوع (رقم: 2 أو 1.5) ←","")</f>
        <v/>
      </c>
      <c r="E532" s="31" t="n"/>
      <c r="F532" s="32">
        <f>IF(M523=1,"المستحق النهائي للأسبوع (دينار) ←","")</f>
        <v/>
      </c>
      <c r="H532" s="33">
        <f>IF(M523=1,IF(ROUND_MODE="للأعلى",CEILING(ROUND((N(H531)+N(E532)*($P$523-$N$523)),3),0.25),ROUND((N(H531)+N(E532)*($P$523-$N$523))*4,0)/4),"")</f>
        <v/>
      </c>
      <c r="I532" s="34">
        <f>IF(M523=1,"قبل الجبر: "&amp;TEXT(N(H531)+N(E532)*($P$523-$N$523),"0.000"),"")</f>
        <v/>
      </c>
    </row>
    <row r="533" ht="26" customHeight="1">
      <c r="A533" s="28">
        <f>IF(M523=1,"إكرامية الأسبوع (دينار) ←","")</f>
        <v/>
      </c>
      <c r="D533" s="35" t="n"/>
      <c r="E533" s="28">
        <f>IF(M523=1,"المدفوع يوم الجمعة (دينار) ←","")</f>
        <v/>
      </c>
      <c r="G533" s="35" t="n"/>
      <c r="H533" s="36">
        <f>IF(M523=1,IF(N(G533)&gt;0,"✔ انقبض — الأسبوع مقفول","⏳ لسا ما انقبض"),"")</f>
        <v/>
      </c>
    </row>
    <row r="534" ht="26" customHeight="1">
      <c r="A534" s="18">
        <f>IF(49&lt;=NW,"الأسبوع 49 · السبت "&amp;TEXT(DAY(SAT1+336),"00")&amp;"/"&amp;TEXT(MONTH(SAT1+336),"00")&amp;" ← الجمعة "&amp;TEXT(DAY(SAT1+342),"00")&amp;"/"&amp;TEXT(MONTH(SAT1+342),"00")&amp;" (يوم القبض)"&amp;IF(49&lt;START_O,"   — قبل أسبوع البداية (ما بينحسب)",""),"ما في أسبوع 49 هالسنة")</f>
        <v/>
      </c>
      <c r="L534" s="19">
        <f>IF(49&lt;=NW,SAT1+342,"")</f>
        <v/>
      </c>
      <c r="M534">
        <f>IF(AND(49&lt;=NW,49&gt;=START_O),1,0)</f>
        <v/>
      </c>
      <c r="N534">
        <f>IFERROR(INDEX(RT_OMR,MATCH(L534,RT_K,1)),INDEX(RT_OMR,1))</f>
        <v/>
      </c>
      <c r="O534">
        <f>IFERROR(INDEX(RT_OT,MATCH(L534,RT_K,1)),INDEX(RT_OT,1))</f>
        <v/>
      </c>
      <c r="P534">
        <f>IFERROR(INDEX(RT_GYP,MATCH(L534,RT_K,1)),INDEX(RT_GYP,1))</f>
        <v/>
      </c>
    </row>
    <row r="535">
      <c r="A535" s="20">
        <f>IF(49&lt;=NW,SAT1+336,"")</f>
        <v/>
      </c>
      <c r="B535" s="21">
        <f>IF(A535="","",CHOOSE(WEEKDAY(A535,1),"الأحد","الاثنين","الثلاثاء","الأربعاء","الخميس","الجمعة","السبت"))</f>
        <v/>
      </c>
      <c r="C535" s="22" t="n"/>
      <c r="D535" s="22" t="n"/>
      <c r="E535" s="23">
        <f>IF(OR(M535=0,K535="",L535=""),"",MOD(L535-K535,1))</f>
        <v/>
      </c>
      <c r="F535" s="23">
        <f>IF(OR(E535="",M535=0),"",IF(WEEKDAY(A535,1)=6,E535,MIN(E535,MAX(0,MIN(IF(L535&lt;K535,L535+1,L535),OMR_OT_AT)-K535))))</f>
        <v/>
      </c>
      <c r="G535" s="23">
        <f>IF(OR(E535="",M535=0),"",MAX(0,E535-F535))</f>
        <v/>
      </c>
      <c r="H535" s="24">
        <f>IF(OR(E535="",M535=0),"",ROUND((F535*$N$534+G535*$O$534)*24,3))</f>
        <v/>
      </c>
      <c r="I535" s="22" t="n"/>
      <c r="K535" s="25">
        <f>IF(OR(M535=0,C535=""),"",IF(ISNUMBER(C535),MOD(C535,1),IFERROR(INDEX('القوائم'!$B$1:$B$288,MATCH(TRIM(C535),'القوائم'!$A$1:$A$288,0)),IFERROR(MOD(TIMEVALUE(C535),1),""))))</f>
        <v/>
      </c>
      <c r="L535" s="25">
        <f>IF(OR(M535=0,D535=""),"",IF(ISNUMBER(D535),MOD(D535,1),IFERROR(INDEX('القوائم'!$B$1:$B$288,MATCH(TRIM(D535),'القوائم'!$A$1:$A$288,0)),IFERROR(MOD(TIMEVALUE(D535),1),""))))</f>
        <v/>
      </c>
      <c r="M535">
        <f>M534</f>
        <v/>
      </c>
      <c r="Q535">
        <f>IF(N(G544)&gt;0,1,0)</f>
        <v/>
      </c>
    </row>
    <row r="536">
      <c r="A536" s="20">
        <f>IF(49&lt;=NW,SAT1+337,"")</f>
        <v/>
      </c>
      <c r="B536" s="21">
        <f>IF(A536="","",CHOOSE(WEEKDAY(A536,1),"الأحد","الاثنين","الثلاثاء","الأربعاء","الخميس","الجمعة","السبت"))</f>
        <v/>
      </c>
      <c r="C536" s="22" t="n"/>
      <c r="D536" s="22" t="n"/>
      <c r="E536" s="23">
        <f>IF(OR(M536=0,K536="",L536=""),"",MOD(L536-K536,1))</f>
        <v/>
      </c>
      <c r="F536" s="23">
        <f>IF(OR(E536="",M536=0),"",IF(WEEKDAY(A536,1)=6,E536,MIN(E536,MAX(0,MIN(IF(L536&lt;K536,L536+1,L536),OMR_OT_AT)-K536))))</f>
        <v/>
      </c>
      <c r="G536" s="23">
        <f>IF(OR(E536="",M536=0),"",MAX(0,E536-F536))</f>
        <v/>
      </c>
      <c r="H536" s="24">
        <f>IF(OR(E536="",M536=0),"",ROUND((F536*$N$534+G536*$O$534)*24,3))</f>
        <v/>
      </c>
      <c r="I536" s="22" t="n"/>
      <c r="K536" s="25">
        <f>IF(OR(M536=0,C536=""),"",IF(ISNUMBER(C536),MOD(C536,1),IFERROR(INDEX('القوائم'!$B$1:$B$288,MATCH(TRIM(C536),'القوائم'!$A$1:$A$288,0)),IFERROR(MOD(TIMEVALUE(C536),1),""))))</f>
        <v/>
      </c>
      <c r="L536" s="25">
        <f>IF(OR(M536=0,D536=""),"",IF(ISNUMBER(D536),MOD(D536,1),IFERROR(INDEX('القوائم'!$B$1:$B$288,MATCH(TRIM(D536),'القوائم'!$A$1:$A$288,0)),IFERROR(MOD(TIMEVALUE(D536),1),""))))</f>
        <v/>
      </c>
      <c r="M536">
        <f>M534</f>
        <v/>
      </c>
      <c r="Q536">
        <f>IF(N(G544)&gt;0,1,0)</f>
        <v/>
      </c>
    </row>
    <row r="537">
      <c r="A537" s="20">
        <f>IF(49&lt;=NW,SAT1+338,"")</f>
        <v/>
      </c>
      <c r="B537" s="21">
        <f>IF(A537="","",CHOOSE(WEEKDAY(A537,1),"الأحد","الاثنين","الثلاثاء","الأربعاء","الخميس","الجمعة","السبت"))</f>
        <v/>
      </c>
      <c r="C537" s="22" t="n"/>
      <c r="D537" s="22" t="n"/>
      <c r="E537" s="23">
        <f>IF(OR(M537=0,K537="",L537=""),"",MOD(L537-K537,1))</f>
        <v/>
      </c>
      <c r="F537" s="23">
        <f>IF(OR(E537="",M537=0),"",IF(WEEKDAY(A537,1)=6,E537,MIN(E537,MAX(0,MIN(IF(L537&lt;K537,L537+1,L537),OMR_OT_AT)-K537))))</f>
        <v/>
      </c>
      <c r="G537" s="23">
        <f>IF(OR(E537="",M537=0),"",MAX(0,E537-F537))</f>
        <v/>
      </c>
      <c r="H537" s="24">
        <f>IF(OR(E537="",M537=0),"",ROUND((F537*$N$534+G537*$O$534)*24,3))</f>
        <v/>
      </c>
      <c r="I537" s="22" t="n"/>
      <c r="K537" s="25">
        <f>IF(OR(M537=0,C537=""),"",IF(ISNUMBER(C537),MOD(C537,1),IFERROR(INDEX('القوائم'!$B$1:$B$288,MATCH(TRIM(C537),'القوائم'!$A$1:$A$288,0)),IFERROR(MOD(TIMEVALUE(C537),1),""))))</f>
        <v/>
      </c>
      <c r="L537" s="25">
        <f>IF(OR(M537=0,D537=""),"",IF(ISNUMBER(D537),MOD(D537,1),IFERROR(INDEX('القوائم'!$B$1:$B$288,MATCH(TRIM(D537),'القوائم'!$A$1:$A$288,0)),IFERROR(MOD(TIMEVALUE(D537),1),""))))</f>
        <v/>
      </c>
      <c r="M537">
        <f>M534</f>
        <v/>
      </c>
      <c r="Q537">
        <f>IF(N(G544)&gt;0,1,0)</f>
        <v/>
      </c>
    </row>
    <row r="538">
      <c r="A538" s="20">
        <f>IF(49&lt;=NW,SAT1+339,"")</f>
        <v/>
      </c>
      <c r="B538" s="21">
        <f>IF(A538="","",CHOOSE(WEEKDAY(A538,1),"الأحد","الاثنين","الثلاثاء","الأربعاء","الخميس","الجمعة","السبت"))</f>
        <v/>
      </c>
      <c r="C538" s="22" t="n"/>
      <c r="D538" s="22" t="n"/>
      <c r="E538" s="23">
        <f>IF(OR(M538=0,K538="",L538=""),"",MOD(L538-K538,1))</f>
        <v/>
      </c>
      <c r="F538" s="23">
        <f>IF(OR(E538="",M538=0),"",IF(WEEKDAY(A538,1)=6,E538,MIN(E538,MAX(0,MIN(IF(L538&lt;K538,L538+1,L538),OMR_OT_AT)-K538))))</f>
        <v/>
      </c>
      <c r="G538" s="23">
        <f>IF(OR(E538="",M538=0),"",MAX(0,E538-F538))</f>
        <v/>
      </c>
      <c r="H538" s="24">
        <f>IF(OR(E538="",M538=0),"",ROUND((F538*$N$534+G538*$O$534)*24,3))</f>
        <v/>
      </c>
      <c r="I538" s="22" t="n"/>
      <c r="K538" s="25">
        <f>IF(OR(M538=0,C538=""),"",IF(ISNUMBER(C538),MOD(C538,1),IFERROR(INDEX('القوائم'!$B$1:$B$288,MATCH(TRIM(C538),'القوائم'!$A$1:$A$288,0)),IFERROR(MOD(TIMEVALUE(C538),1),""))))</f>
        <v/>
      </c>
      <c r="L538" s="25">
        <f>IF(OR(M538=0,D538=""),"",IF(ISNUMBER(D538),MOD(D538,1),IFERROR(INDEX('القوائم'!$B$1:$B$288,MATCH(TRIM(D538),'القوائم'!$A$1:$A$288,0)),IFERROR(MOD(TIMEVALUE(D538),1),""))))</f>
        <v/>
      </c>
      <c r="M538">
        <f>M534</f>
        <v/>
      </c>
      <c r="Q538">
        <f>IF(N(G544)&gt;0,1,0)</f>
        <v/>
      </c>
    </row>
    <row r="539">
      <c r="A539" s="20">
        <f>IF(49&lt;=NW,SAT1+340,"")</f>
        <v/>
      </c>
      <c r="B539" s="21">
        <f>IF(A539="","",CHOOSE(WEEKDAY(A539,1),"الأحد","الاثنين","الثلاثاء","الأربعاء","الخميس","الجمعة","السبت"))</f>
        <v/>
      </c>
      <c r="C539" s="22" t="n"/>
      <c r="D539" s="22" t="n"/>
      <c r="E539" s="23">
        <f>IF(OR(M539=0,K539="",L539=""),"",MOD(L539-K539,1))</f>
        <v/>
      </c>
      <c r="F539" s="23">
        <f>IF(OR(E539="",M539=0),"",IF(WEEKDAY(A539,1)=6,E539,MIN(E539,MAX(0,MIN(IF(L539&lt;K539,L539+1,L539),OMR_OT_AT)-K539))))</f>
        <v/>
      </c>
      <c r="G539" s="23">
        <f>IF(OR(E539="",M539=0),"",MAX(0,E539-F539))</f>
        <v/>
      </c>
      <c r="H539" s="24">
        <f>IF(OR(E539="",M539=0),"",ROUND((F539*$N$534+G539*$O$534)*24,3))</f>
        <v/>
      </c>
      <c r="I539" s="22" t="n"/>
      <c r="K539" s="25">
        <f>IF(OR(M539=0,C539=""),"",IF(ISNUMBER(C539),MOD(C539,1),IFERROR(INDEX('القوائم'!$B$1:$B$288,MATCH(TRIM(C539),'القوائم'!$A$1:$A$288,0)),IFERROR(MOD(TIMEVALUE(C539),1),""))))</f>
        <v/>
      </c>
      <c r="L539" s="25">
        <f>IF(OR(M539=0,D539=""),"",IF(ISNUMBER(D539),MOD(D539,1),IFERROR(INDEX('القوائم'!$B$1:$B$288,MATCH(TRIM(D539),'القوائم'!$A$1:$A$288,0)),IFERROR(MOD(TIMEVALUE(D539),1),""))))</f>
        <v/>
      </c>
      <c r="M539">
        <f>M534</f>
        <v/>
      </c>
      <c r="Q539">
        <f>IF(N(G544)&gt;0,1,0)</f>
        <v/>
      </c>
    </row>
    <row r="540">
      <c r="A540" s="20">
        <f>IF(49&lt;=NW,SAT1+341,"")</f>
        <v/>
      </c>
      <c r="B540" s="21">
        <f>IF(A540="","",CHOOSE(WEEKDAY(A540,1),"الأحد","الاثنين","الثلاثاء","الأربعاء","الخميس","الجمعة","السبت"))</f>
        <v/>
      </c>
      <c r="C540" s="22" t="n"/>
      <c r="D540" s="22" t="n"/>
      <c r="E540" s="23">
        <f>IF(OR(M540=0,K540="",L540=""),"",MOD(L540-K540,1))</f>
        <v/>
      </c>
      <c r="F540" s="23">
        <f>IF(OR(E540="",M540=0),"",IF(WEEKDAY(A540,1)=6,E540,MIN(E540,MAX(0,MIN(IF(L540&lt;K540,L540+1,L540),OMR_OT_AT)-K540))))</f>
        <v/>
      </c>
      <c r="G540" s="23">
        <f>IF(OR(E540="",M540=0),"",MAX(0,E540-F540))</f>
        <v/>
      </c>
      <c r="H540" s="24">
        <f>IF(OR(E540="",M540=0),"",ROUND((F540*$N$534+G540*$O$534)*24,3))</f>
        <v/>
      </c>
      <c r="I540" s="22" t="n"/>
      <c r="K540" s="25">
        <f>IF(OR(M540=0,C540=""),"",IF(ISNUMBER(C540),MOD(C540,1),IFERROR(INDEX('القوائم'!$B$1:$B$288,MATCH(TRIM(C540),'القوائم'!$A$1:$A$288,0)),IFERROR(MOD(TIMEVALUE(C540),1),""))))</f>
        <v/>
      </c>
      <c r="L540" s="25">
        <f>IF(OR(M540=0,D540=""),"",IF(ISNUMBER(D540),MOD(D540,1),IFERROR(INDEX('القوائم'!$B$1:$B$288,MATCH(TRIM(D540),'القوائم'!$A$1:$A$288,0)),IFERROR(MOD(TIMEVALUE(D540),1),""))))</f>
        <v/>
      </c>
      <c r="M540">
        <f>M534</f>
        <v/>
      </c>
      <c r="Q540">
        <f>IF(N(G544)&gt;0,1,0)</f>
        <v/>
      </c>
    </row>
    <row r="541">
      <c r="A541" s="26">
        <f>IF(49&lt;=NW,SAT1+342,"")</f>
        <v/>
      </c>
      <c r="B541" s="27">
        <f>IF(A541="","",CHOOSE(WEEKDAY(A541,1),"الأحد","الاثنين","الثلاثاء","الأربعاء","الخميس","الجمعة","السبت"))</f>
        <v/>
      </c>
      <c r="C541" s="22" t="n"/>
      <c r="D541" s="22" t="n"/>
      <c r="E541" s="23">
        <f>IF(OR(M541=0,K541="",L541=""),"",MOD(L541-K541,1))</f>
        <v/>
      </c>
      <c r="F541" s="23">
        <f>IF(OR(E541="",M541=0),"",IF(WEEKDAY(A541,1)=6,E541,MIN(E541,MAX(0,MIN(IF(L541&lt;K541,L541+1,L541),OMR_OT_AT)-K541))))</f>
        <v/>
      </c>
      <c r="G541" s="23">
        <f>IF(OR(E541="",M541=0),"",MAX(0,E541-F541))</f>
        <v/>
      </c>
      <c r="H541" s="24">
        <f>IF(OR(E541="",M541=0),"",ROUND((F541*$N$534+G541*$O$534)*24,3))</f>
        <v/>
      </c>
      <c r="I541" s="22" t="n"/>
      <c r="K541" s="25">
        <f>IF(OR(M541=0,C541=""),"",IF(ISNUMBER(C541),MOD(C541,1),IFERROR(INDEX('القوائم'!$B$1:$B$288,MATCH(TRIM(C541),'القوائم'!$A$1:$A$288,0)),IFERROR(MOD(TIMEVALUE(C541),1),""))))</f>
        <v/>
      </c>
      <c r="L541" s="25">
        <f>IF(OR(M541=0,D541=""),"",IF(ISNUMBER(D541),MOD(D541,1),IFERROR(INDEX('القوائم'!$B$1:$B$288,MATCH(TRIM(D541),'القوائم'!$A$1:$A$288,0)),IFERROR(MOD(TIMEVALUE(D541),1),""))))</f>
        <v/>
      </c>
      <c r="M541">
        <f>M534</f>
        <v/>
      </c>
      <c r="Q541">
        <f>IF(N(G544)&gt;0,1,0)</f>
        <v/>
      </c>
    </row>
    <row r="542">
      <c r="A542" s="28">
        <f>IF(M534=1,"مجموع أيام الأسبوع 49","")</f>
        <v/>
      </c>
      <c r="B542" s="28" t="n"/>
      <c r="C542" s="28" t="n"/>
      <c r="D542" s="28" t="n"/>
      <c r="E542" s="29">
        <f>IF(M534=1,SUM(E535:E541),"")</f>
        <v/>
      </c>
      <c r="F542" s="29">
        <f>IF(M534=1,SUM(F535:F541),"")</f>
        <v/>
      </c>
      <c r="G542" s="29">
        <f>IF(M534=1,SUM(G535:G541),"")</f>
        <v/>
      </c>
      <c r="H542" s="30">
        <f>IF(M534=1,SUM(H535:H541),"")</f>
        <v/>
      </c>
      <c r="I542" s="28" t="n"/>
    </row>
    <row r="543" ht="32" customHeight="1">
      <c r="A543" s="28">
        <f>IF(M534=1,"ساعات تحميل الجبسمبورد بهالأسبوع (رقم: 2 أو 1.5) ←","")</f>
        <v/>
      </c>
      <c r="E543" s="31" t="n"/>
      <c r="F543" s="32">
        <f>IF(M534=1,"المستحق النهائي للأسبوع (دينار) ←","")</f>
        <v/>
      </c>
      <c r="H543" s="33">
        <f>IF(M534=1,IF(ROUND_MODE="للأعلى",CEILING(ROUND((N(H542)+N(E543)*($P$534-$N$534)),3),0.25),ROUND((N(H542)+N(E543)*($P$534-$N$534))*4,0)/4),"")</f>
        <v/>
      </c>
      <c r="I543" s="34">
        <f>IF(M534=1,"قبل الجبر: "&amp;TEXT(N(H542)+N(E543)*($P$534-$N$534),"0.000"),"")</f>
        <v/>
      </c>
    </row>
    <row r="544" ht="26" customHeight="1">
      <c r="A544" s="28">
        <f>IF(M534=1,"إكرامية الأسبوع (دينار) ←","")</f>
        <v/>
      </c>
      <c r="D544" s="35" t="n"/>
      <c r="E544" s="28">
        <f>IF(M534=1,"المدفوع يوم الجمعة (دينار) ←","")</f>
        <v/>
      </c>
      <c r="G544" s="35" t="n"/>
      <c r="H544" s="36">
        <f>IF(M534=1,IF(N(G544)&gt;0,"✔ انقبض — الأسبوع مقفول","⏳ لسا ما انقبض"),"")</f>
        <v/>
      </c>
    </row>
    <row r="545" ht="26" customHeight="1">
      <c r="A545" s="18">
        <f>IF(50&lt;=NW,"الأسبوع 50 · السبت "&amp;TEXT(DAY(SAT1+343),"00")&amp;"/"&amp;TEXT(MONTH(SAT1+343),"00")&amp;" ← الجمعة "&amp;TEXT(DAY(SAT1+349),"00")&amp;"/"&amp;TEXT(MONTH(SAT1+349),"00")&amp;" (يوم القبض)"&amp;IF(50&lt;START_O,"   — قبل أسبوع البداية (ما بينحسب)",""),"ما في أسبوع 50 هالسنة")</f>
        <v/>
      </c>
      <c r="L545" s="19">
        <f>IF(50&lt;=NW,SAT1+349,"")</f>
        <v/>
      </c>
      <c r="M545">
        <f>IF(AND(50&lt;=NW,50&gt;=START_O),1,0)</f>
        <v/>
      </c>
      <c r="N545">
        <f>IFERROR(INDEX(RT_OMR,MATCH(L545,RT_K,1)),INDEX(RT_OMR,1))</f>
        <v/>
      </c>
      <c r="O545">
        <f>IFERROR(INDEX(RT_OT,MATCH(L545,RT_K,1)),INDEX(RT_OT,1))</f>
        <v/>
      </c>
      <c r="P545">
        <f>IFERROR(INDEX(RT_GYP,MATCH(L545,RT_K,1)),INDEX(RT_GYP,1))</f>
        <v/>
      </c>
    </row>
    <row r="546">
      <c r="A546" s="20">
        <f>IF(50&lt;=NW,SAT1+343,"")</f>
        <v/>
      </c>
      <c r="B546" s="21">
        <f>IF(A546="","",CHOOSE(WEEKDAY(A546,1),"الأحد","الاثنين","الثلاثاء","الأربعاء","الخميس","الجمعة","السبت"))</f>
        <v/>
      </c>
      <c r="C546" s="22" t="n"/>
      <c r="D546" s="22" t="n"/>
      <c r="E546" s="23">
        <f>IF(OR(M546=0,K546="",L546=""),"",MOD(L546-K546,1))</f>
        <v/>
      </c>
      <c r="F546" s="23">
        <f>IF(OR(E546="",M546=0),"",IF(WEEKDAY(A546,1)=6,E546,MIN(E546,MAX(0,MIN(IF(L546&lt;K546,L546+1,L546),OMR_OT_AT)-K546))))</f>
        <v/>
      </c>
      <c r="G546" s="23">
        <f>IF(OR(E546="",M546=0),"",MAX(0,E546-F546))</f>
        <v/>
      </c>
      <c r="H546" s="24">
        <f>IF(OR(E546="",M546=0),"",ROUND((F546*$N$545+G546*$O$545)*24,3))</f>
        <v/>
      </c>
      <c r="I546" s="22" t="n"/>
      <c r="K546" s="25">
        <f>IF(OR(M546=0,C546=""),"",IF(ISNUMBER(C546),MOD(C546,1),IFERROR(INDEX('القوائم'!$B$1:$B$288,MATCH(TRIM(C546),'القوائم'!$A$1:$A$288,0)),IFERROR(MOD(TIMEVALUE(C546),1),""))))</f>
        <v/>
      </c>
      <c r="L546" s="25">
        <f>IF(OR(M546=0,D546=""),"",IF(ISNUMBER(D546),MOD(D546,1),IFERROR(INDEX('القوائم'!$B$1:$B$288,MATCH(TRIM(D546),'القوائم'!$A$1:$A$288,0)),IFERROR(MOD(TIMEVALUE(D546),1),""))))</f>
        <v/>
      </c>
      <c r="M546">
        <f>M545</f>
        <v/>
      </c>
      <c r="Q546">
        <f>IF(N(G555)&gt;0,1,0)</f>
        <v/>
      </c>
    </row>
    <row r="547">
      <c r="A547" s="20">
        <f>IF(50&lt;=NW,SAT1+344,"")</f>
        <v/>
      </c>
      <c r="B547" s="21">
        <f>IF(A547="","",CHOOSE(WEEKDAY(A547,1),"الأحد","الاثنين","الثلاثاء","الأربعاء","الخميس","الجمعة","السبت"))</f>
        <v/>
      </c>
      <c r="C547" s="22" t="n"/>
      <c r="D547" s="22" t="n"/>
      <c r="E547" s="23">
        <f>IF(OR(M547=0,K547="",L547=""),"",MOD(L547-K547,1))</f>
        <v/>
      </c>
      <c r="F547" s="23">
        <f>IF(OR(E547="",M547=0),"",IF(WEEKDAY(A547,1)=6,E547,MIN(E547,MAX(0,MIN(IF(L547&lt;K547,L547+1,L547),OMR_OT_AT)-K547))))</f>
        <v/>
      </c>
      <c r="G547" s="23">
        <f>IF(OR(E547="",M547=0),"",MAX(0,E547-F547))</f>
        <v/>
      </c>
      <c r="H547" s="24">
        <f>IF(OR(E547="",M547=0),"",ROUND((F547*$N$545+G547*$O$545)*24,3))</f>
        <v/>
      </c>
      <c r="I547" s="22" t="n"/>
      <c r="K547" s="25">
        <f>IF(OR(M547=0,C547=""),"",IF(ISNUMBER(C547),MOD(C547,1),IFERROR(INDEX('القوائم'!$B$1:$B$288,MATCH(TRIM(C547),'القوائم'!$A$1:$A$288,0)),IFERROR(MOD(TIMEVALUE(C547),1),""))))</f>
        <v/>
      </c>
      <c r="L547" s="25">
        <f>IF(OR(M547=0,D547=""),"",IF(ISNUMBER(D547),MOD(D547,1),IFERROR(INDEX('القوائم'!$B$1:$B$288,MATCH(TRIM(D547),'القوائم'!$A$1:$A$288,0)),IFERROR(MOD(TIMEVALUE(D547),1),""))))</f>
        <v/>
      </c>
      <c r="M547">
        <f>M545</f>
        <v/>
      </c>
      <c r="Q547">
        <f>IF(N(G555)&gt;0,1,0)</f>
        <v/>
      </c>
    </row>
    <row r="548">
      <c r="A548" s="20">
        <f>IF(50&lt;=NW,SAT1+345,"")</f>
        <v/>
      </c>
      <c r="B548" s="21">
        <f>IF(A548="","",CHOOSE(WEEKDAY(A548,1),"الأحد","الاثنين","الثلاثاء","الأربعاء","الخميس","الجمعة","السبت"))</f>
        <v/>
      </c>
      <c r="C548" s="22" t="n"/>
      <c r="D548" s="22" t="n"/>
      <c r="E548" s="23">
        <f>IF(OR(M548=0,K548="",L548=""),"",MOD(L548-K548,1))</f>
        <v/>
      </c>
      <c r="F548" s="23">
        <f>IF(OR(E548="",M548=0),"",IF(WEEKDAY(A548,1)=6,E548,MIN(E548,MAX(0,MIN(IF(L548&lt;K548,L548+1,L548),OMR_OT_AT)-K548))))</f>
        <v/>
      </c>
      <c r="G548" s="23">
        <f>IF(OR(E548="",M548=0),"",MAX(0,E548-F548))</f>
        <v/>
      </c>
      <c r="H548" s="24">
        <f>IF(OR(E548="",M548=0),"",ROUND((F548*$N$545+G548*$O$545)*24,3))</f>
        <v/>
      </c>
      <c r="I548" s="22" t="n"/>
      <c r="K548" s="25">
        <f>IF(OR(M548=0,C548=""),"",IF(ISNUMBER(C548),MOD(C548,1),IFERROR(INDEX('القوائم'!$B$1:$B$288,MATCH(TRIM(C548),'القوائم'!$A$1:$A$288,0)),IFERROR(MOD(TIMEVALUE(C548),1),""))))</f>
        <v/>
      </c>
      <c r="L548" s="25">
        <f>IF(OR(M548=0,D548=""),"",IF(ISNUMBER(D548),MOD(D548,1),IFERROR(INDEX('القوائم'!$B$1:$B$288,MATCH(TRIM(D548),'القوائم'!$A$1:$A$288,0)),IFERROR(MOD(TIMEVALUE(D548),1),""))))</f>
        <v/>
      </c>
      <c r="M548">
        <f>M545</f>
        <v/>
      </c>
      <c r="Q548">
        <f>IF(N(G555)&gt;0,1,0)</f>
        <v/>
      </c>
    </row>
    <row r="549">
      <c r="A549" s="20">
        <f>IF(50&lt;=NW,SAT1+346,"")</f>
        <v/>
      </c>
      <c r="B549" s="21">
        <f>IF(A549="","",CHOOSE(WEEKDAY(A549,1),"الأحد","الاثنين","الثلاثاء","الأربعاء","الخميس","الجمعة","السبت"))</f>
        <v/>
      </c>
      <c r="C549" s="22" t="n"/>
      <c r="D549" s="22" t="n"/>
      <c r="E549" s="23">
        <f>IF(OR(M549=0,K549="",L549=""),"",MOD(L549-K549,1))</f>
        <v/>
      </c>
      <c r="F549" s="23">
        <f>IF(OR(E549="",M549=0),"",IF(WEEKDAY(A549,1)=6,E549,MIN(E549,MAX(0,MIN(IF(L549&lt;K549,L549+1,L549),OMR_OT_AT)-K549))))</f>
        <v/>
      </c>
      <c r="G549" s="23">
        <f>IF(OR(E549="",M549=0),"",MAX(0,E549-F549))</f>
        <v/>
      </c>
      <c r="H549" s="24">
        <f>IF(OR(E549="",M549=0),"",ROUND((F549*$N$545+G549*$O$545)*24,3))</f>
        <v/>
      </c>
      <c r="I549" s="22" t="n"/>
      <c r="K549" s="25">
        <f>IF(OR(M549=0,C549=""),"",IF(ISNUMBER(C549),MOD(C549,1),IFERROR(INDEX('القوائم'!$B$1:$B$288,MATCH(TRIM(C549),'القوائم'!$A$1:$A$288,0)),IFERROR(MOD(TIMEVALUE(C549),1),""))))</f>
        <v/>
      </c>
      <c r="L549" s="25">
        <f>IF(OR(M549=0,D549=""),"",IF(ISNUMBER(D549),MOD(D549,1),IFERROR(INDEX('القوائم'!$B$1:$B$288,MATCH(TRIM(D549),'القوائم'!$A$1:$A$288,0)),IFERROR(MOD(TIMEVALUE(D549),1),""))))</f>
        <v/>
      </c>
      <c r="M549">
        <f>M545</f>
        <v/>
      </c>
      <c r="Q549">
        <f>IF(N(G555)&gt;0,1,0)</f>
        <v/>
      </c>
    </row>
    <row r="550">
      <c r="A550" s="20">
        <f>IF(50&lt;=NW,SAT1+347,"")</f>
        <v/>
      </c>
      <c r="B550" s="21">
        <f>IF(A550="","",CHOOSE(WEEKDAY(A550,1),"الأحد","الاثنين","الثلاثاء","الأربعاء","الخميس","الجمعة","السبت"))</f>
        <v/>
      </c>
      <c r="C550" s="22" t="n"/>
      <c r="D550" s="22" t="n"/>
      <c r="E550" s="23">
        <f>IF(OR(M550=0,K550="",L550=""),"",MOD(L550-K550,1))</f>
        <v/>
      </c>
      <c r="F550" s="23">
        <f>IF(OR(E550="",M550=0),"",IF(WEEKDAY(A550,1)=6,E550,MIN(E550,MAX(0,MIN(IF(L550&lt;K550,L550+1,L550),OMR_OT_AT)-K550))))</f>
        <v/>
      </c>
      <c r="G550" s="23">
        <f>IF(OR(E550="",M550=0),"",MAX(0,E550-F550))</f>
        <v/>
      </c>
      <c r="H550" s="24">
        <f>IF(OR(E550="",M550=0),"",ROUND((F550*$N$545+G550*$O$545)*24,3))</f>
        <v/>
      </c>
      <c r="I550" s="22" t="n"/>
      <c r="K550" s="25">
        <f>IF(OR(M550=0,C550=""),"",IF(ISNUMBER(C550),MOD(C550,1),IFERROR(INDEX('القوائم'!$B$1:$B$288,MATCH(TRIM(C550),'القوائم'!$A$1:$A$288,0)),IFERROR(MOD(TIMEVALUE(C550),1),""))))</f>
        <v/>
      </c>
      <c r="L550" s="25">
        <f>IF(OR(M550=0,D550=""),"",IF(ISNUMBER(D550),MOD(D550,1),IFERROR(INDEX('القوائم'!$B$1:$B$288,MATCH(TRIM(D550),'القوائم'!$A$1:$A$288,0)),IFERROR(MOD(TIMEVALUE(D550),1),""))))</f>
        <v/>
      </c>
      <c r="M550">
        <f>M545</f>
        <v/>
      </c>
      <c r="Q550">
        <f>IF(N(G555)&gt;0,1,0)</f>
        <v/>
      </c>
    </row>
    <row r="551">
      <c r="A551" s="20">
        <f>IF(50&lt;=NW,SAT1+348,"")</f>
        <v/>
      </c>
      <c r="B551" s="21">
        <f>IF(A551="","",CHOOSE(WEEKDAY(A551,1),"الأحد","الاثنين","الثلاثاء","الأربعاء","الخميس","الجمعة","السبت"))</f>
        <v/>
      </c>
      <c r="C551" s="22" t="n"/>
      <c r="D551" s="22" t="n"/>
      <c r="E551" s="23">
        <f>IF(OR(M551=0,K551="",L551=""),"",MOD(L551-K551,1))</f>
        <v/>
      </c>
      <c r="F551" s="23">
        <f>IF(OR(E551="",M551=0),"",IF(WEEKDAY(A551,1)=6,E551,MIN(E551,MAX(0,MIN(IF(L551&lt;K551,L551+1,L551),OMR_OT_AT)-K551))))</f>
        <v/>
      </c>
      <c r="G551" s="23">
        <f>IF(OR(E551="",M551=0),"",MAX(0,E551-F551))</f>
        <v/>
      </c>
      <c r="H551" s="24">
        <f>IF(OR(E551="",M551=0),"",ROUND((F551*$N$545+G551*$O$545)*24,3))</f>
        <v/>
      </c>
      <c r="I551" s="22" t="n"/>
      <c r="K551" s="25">
        <f>IF(OR(M551=0,C551=""),"",IF(ISNUMBER(C551),MOD(C551,1),IFERROR(INDEX('القوائم'!$B$1:$B$288,MATCH(TRIM(C551),'القوائم'!$A$1:$A$288,0)),IFERROR(MOD(TIMEVALUE(C551),1),""))))</f>
        <v/>
      </c>
      <c r="L551" s="25">
        <f>IF(OR(M551=0,D551=""),"",IF(ISNUMBER(D551),MOD(D551,1),IFERROR(INDEX('القوائم'!$B$1:$B$288,MATCH(TRIM(D551),'القوائم'!$A$1:$A$288,0)),IFERROR(MOD(TIMEVALUE(D551),1),""))))</f>
        <v/>
      </c>
      <c r="M551">
        <f>M545</f>
        <v/>
      </c>
      <c r="Q551">
        <f>IF(N(G555)&gt;0,1,0)</f>
        <v/>
      </c>
    </row>
    <row r="552">
      <c r="A552" s="26">
        <f>IF(50&lt;=NW,SAT1+349,"")</f>
        <v/>
      </c>
      <c r="B552" s="27">
        <f>IF(A552="","",CHOOSE(WEEKDAY(A552,1),"الأحد","الاثنين","الثلاثاء","الأربعاء","الخميس","الجمعة","السبت"))</f>
        <v/>
      </c>
      <c r="C552" s="22" t="n"/>
      <c r="D552" s="22" t="n"/>
      <c r="E552" s="23">
        <f>IF(OR(M552=0,K552="",L552=""),"",MOD(L552-K552,1))</f>
        <v/>
      </c>
      <c r="F552" s="23">
        <f>IF(OR(E552="",M552=0),"",IF(WEEKDAY(A552,1)=6,E552,MIN(E552,MAX(0,MIN(IF(L552&lt;K552,L552+1,L552),OMR_OT_AT)-K552))))</f>
        <v/>
      </c>
      <c r="G552" s="23">
        <f>IF(OR(E552="",M552=0),"",MAX(0,E552-F552))</f>
        <v/>
      </c>
      <c r="H552" s="24">
        <f>IF(OR(E552="",M552=0),"",ROUND((F552*$N$545+G552*$O$545)*24,3))</f>
        <v/>
      </c>
      <c r="I552" s="22" t="n"/>
      <c r="K552" s="25">
        <f>IF(OR(M552=0,C552=""),"",IF(ISNUMBER(C552),MOD(C552,1),IFERROR(INDEX('القوائم'!$B$1:$B$288,MATCH(TRIM(C552),'القوائم'!$A$1:$A$288,0)),IFERROR(MOD(TIMEVALUE(C552),1),""))))</f>
        <v/>
      </c>
      <c r="L552" s="25">
        <f>IF(OR(M552=0,D552=""),"",IF(ISNUMBER(D552),MOD(D552,1),IFERROR(INDEX('القوائم'!$B$1:$B$288,MATCH(TRIM(D552),'القوائم'!$A$1:$A$288,0)),IFERROR(MOD(TIMEVALUE(D552),1),""))))</f>
        <v/>
      </c>
      <c r="M552">
        <f>M545</f>
        <v/>
      </c>
      <c r="Q552">
        <f>IF(N(G555)&gt;0,1,0)</f>
        <v/>
      </c>
    </row>
    <row r="553">
      <c r="A553" s="28">
        <f>IF(M545=1,"مجموع أيام الأسبوع 50","")</f>
        <v/>
      </c>
      <c r="B553" s="28" t="n"/>
      <c r="C553" s="28" t="n"/>
      <c r="D553" s="28" t="n"/>
      <c r="E553" s="29">
        <f>IF(M545=1,SUM(E546:E552),"")</f>
        <v/>
      </c>
      <c r="F553" s="29">
        <f>IF(M545=1,SUM(F546:F552),"")</f>
        <v/>
      </c>
      <c r="G553" s="29">
        <f>IF(M545=1,SUM(G546:G552),"")</f>
        <v/>
      </c>
      <c r="H553" s="30">
        <f>IF(M545=1,SUM(H546:H552),"")</f>
        <v/>
      </c>
      <c r="I553" s="28" t="n"/>
    </row>
    <row r="554" ht="32" customHeight="1">
      <c r="A554" s="28">
        <f>IF(M545=1,"ساعات تحميل الجبسمبورد بهالأسبوع (رقم: 2 أو 1.5) ←","")</f>
        <v/>
      </c>
      <c r="E554" s="31" t="n"/>
      <c r="F554" s="32">
        <f>IF(M545=1,"المستحق النهائي للأسبوع (دينار) ←","")</f>
        <v/>
      </c>
      <c r="H554" s="33">
        <f>IF(M545=1,IF(ROUND_MODE="للأعلى",CEILING(ROUND((N(H553)+N(E554)*($P$545-$N$545)),3),0.25),ROUND((N(H553)+N(E554)*($P$545-$N$545))*4,0)/4),"")</f>
        <v/>
      </c>
      <c r="I554" s="34">
        <f>IF(M545=1,"قبل الجبر: "&amp;TEXT(N(H553)+N(E554)*($P$545-$N$545),"0.000"),"")</f>
        <v/>
      </c>
    </row>
    <row r="555" ht="26" customHeight="1">
      <c r="A555" s="28">
        <f>IF(M545=1,"إكرامية الأسبوع (دينار) ←","")</f>
        <v/>
      </c>
      <c r="D555" s="35" t="n"/>
      <c r="E555" s="28">
        <f>IF(M545=1,"المدفوع يوم الجمعة (دينار) ←","")</f>
        <v/>
      </c>
      <c r="G555" s="35" t="n"/>
      <c r="H555" s="36">
        <f>IF(M545=1,IF(N(G555)&gt;0,"✔ انقبض — الأسبوع مقفول","⏳ لسا ما انقبض"),"")</f>
        <v/>
      </c>
    </row>
    <row r="556" ht="26" customHeight="1">
      <c r="A556" s="18">
        <f>IF(51&lt;=NW,"الأسبوع 51 · السبت "&amp;TEXT(DAY(SAT1+350),"00")&amp;"/"&amp;TEXT(MONTH(SAT1+350),"00")&amp;" ← الجمعة "&amp;TEXT(DAY(SAT1+356),"00")&amp;"/"&amp;TEXT(MONTH(SAT1+356),"00")&amp;" (يوم القبض)"&amp;IF(51&lt;START_O,"   — قبل أسبوع البداية (ما بينحسب)",""),"ما في أسبوع 51 هالسنة")</f>
        <v/>
      </c>
      <c r="L556" s="19">
        <f>IF(51&lt;=NW,SAT1+356,"")</f>
        <v/>
      </c>
      <c r="M556">
        <f>IF(AND(51&lt;=NW,51&gt;=START_O),1,0)</f>
        <v/>
      </c>
      <c r="N556">
        <f>IFERROR(INDEX(RT_OMR,MATCH(L556,RT_K,1)),INDEX(RT_OMR,1))</f>
        <v/>
      </c>
      <c r="O556">
        <f>IFERROR(INDEX(RT_OT,MATCH(L556,RT_K,1)),INDEX(RT_OT,1))</f>
        <v/>
      </c>
      <c r="P556">
        <f>IFERROR(INDEX(RT_GYP,MATCH(L556,RT_K,1)),INDEX(RT_GYP,1))</f>
        <v/>
      </c>
    </row>
    <row r="557">
      <c r="A557" s="20">
        <f>IF(51&lt;=NW,SAT1+350,"")</f>
        <v/>
      </c>
      <c r="B557" s="21">
        <f>IF(A557="","",CHOOSE(WEEKDAY(A557,1),"الأحد","الاثنين","الثلاثاء","الأربعاء","الخميس","الجمعة","السبت"))</f>
        <v/>
      </c>
      <c r="C557" s="22" t="n"/>
      <c r="D557" s="22" t="n"/>
      <c r="E557" s="23">
        <f>IF(OR(M557=0,K557="",L557=""),"",MOD(L557-K557,1))</f>
        <v/>
      </c>
      <c r="F557" s="23">
        <f>IF(OR(E557="",M557=0),"",IF(WEEKDAY(A557,1)=6,E557,MIN(E557,MAX(0,MIN(IF(L557&lt;K557,L557+1,L557),OMR_OT_AT)-K557))))</f>
        <v/>
      </c>
      <c r="G557" s="23">
        <f>IF(OR(E557="",M557=0),"",MAX(0,E557-F557))</f>
        <v/>
      </c>
      <c r="H557" s="24">
        <f>IF(OR(E557="",M557=0),"",ROUND((F557*$N$556+G557*$O$556)*24,3))</f>
        <v/>
      </c>
      <c r="I557" s="22" t="n"/>
      <c r="K557" s="25">
        <f>IF(OR(M557=0,C557=""),"",IF(ISNUMBER(C557),MOD(C557,1),IFERROR(INDEX('القوائم'!$B$1:$B$288,MATCH(TRIM(C557),'القوائم'!$A$1:$A$288,0)),IFERROR(MOD(TIMEVALUE(C557),1),""))))</f>
        <v/>
      </c>
      <c r="L557" s="25">
        <f>IF(OR(M557=0,D557=""),"",IF(ISNUMBER(D557),MOD(D557,1),IFERROR(INDEX('القوائم'!$B$1:$B$288,MATCH(TRIM(D557),'القوائم'!$A$1:$A$288,0)),IFERROR(MOD(TIMEVALUE(D557),1),""))))</f>
        <v/>
      </c>
      <c r="M557">
        <f>M556</f>
        <v/>
      </c>
      <c r="Q557">
        <f>IF(N(G566)&gt;0,1,0)</f>
        <v/>
      </c>
    </row>
    <row r="558">
      <c r="A558" s="20">
        <f>IF(51&lt;=NW,SAT1+351,"")</f>
        <v/>
      </c>
      <c r="B558" s="21">
        <f>IF(A558="","",CHOOSE(WEEKDAY(A558,1),"الأحد","الاثنين","الثلاثاء","الأربعاء","الخميس","الجمعة","السبت"))</f>
        <v/>
      </c>
      <c r="C558" s="22" t="n"/>
      <c r="D558" s="22" t="n"/>
      <c r="E558" s="23">
        <f>IF(OR(M558=0,K558="",L558=""),"",MOD(L558-K558,1))</f>
        <v/>
      </c>
      <c r="F558" s="23">
        <f>IF(OR(E558="",M558=0),"",IF(WEEKDAY(A558,1)=6,E558,MIN(E558,MAX(0,MIN(IF(L558&lt;K558,L558+1,L558),OMR_OT_AT)-K558))))</f>
        <v/>
      </c>
      <c r="G558" s="23">
        <f>IF(OR(E558="",M558=0),"",MAX(0,E558-F558))</f>
        <v/>
      </c>
      <c r="H558" s="24">
        <f>IF(OR(E558="",M558=0),"",ROUND((F558*$N$556+G558*$O$556)*24,3))</f>
        <v/>
      </c>
      <c r="I558" s="22" t="n"/>
      <c r="K558" s="25">
        <f>IF(OR(M558=0,C558=""),"",IF(ISNUMBER(C558),MOD(C558,1),IFERROR(INDEX('القوائم'!$B$1:$B$288,MATCH(TRIM(C558),'القوائم'!$A$1:$A$288,0)),IFERROR(MOD(TIMEVALUE(C558),1),""))))</f>
        <v/>
      </c>
      <c r="L558" s="25">
        <f>IF(OR(M558=0,D558=""),"",IF(ISNUMBER(D558),MOD(D558,1),IFERROR(INDEX('القوائم'!$B$1:$B$288,MATCH(TRIM(D558),'القوائم'!$A$1:$A$288,0)),IFERROR(MOD(TIMEVALUE(D558),1),""))))</f>
        <v/>
      </c>
      <c r="M558">
        <f>M556</f>
        <v/>
      </c>
      <c r="Q558">
        <f>IF(N(G566)&gt;0,1,0)</f>
        <v/>
      </c>
    </row>
    <row r="559">
      <c r="A559" s="20">
        <f>IF(51&lt;=NW,SAT1+352,"")</f>
        <v/>
      </c>
      <c r="B559" s="21">
        <f>IF(A559="","",CHOOSE(WEEKDAY(A559,1),"الأحد","الاثنين","الثلاثاء","الأربعاء","الخميس","الجمعة","السبت"))</f>
        <v/>
      </c>
      <c r="C559" s="22" t="n"/>
      <c r="D559" s="22" t="n"/>
      <c r="E559" s="23">
        <f>IF(OR(M559=0,K559="",L559=""),"",MOD(L559-K559,1))</f>
        <v/>
      </c>
      <c r="F559" s="23">
        <f>IF(OR(E559="",M559=0),"",IF(WEEKDAY(A559,1)=6,E559,MIN(E559,MAX(0,MIN(IF(L559&lt;K559,L559+1,L559),OMR_OT_AT)-K559))))</f>
        <v/>
      </c>
      <c r="G559" s="23">
        <f>IF(OR(E559="",M559=0),"",MAX(0,E559-F559))</f>
        <v/>
      </c>
      <c r="H559" s="24">
        <f>IF(OR(E559="",M559=0),"",ROUND((F559*$N$556+G559*$O$556)*24,3))</f>
        <v/>
      </c>
      <c r="I559" s="22" t="n"/>
      <c r="K559" s="25">
        <f>IF(OR(M559=0,C559=""),"",IF(ISNUMBER(C559),MOD(C559,1),IFERROR(INDEX('القوائم'!$B$1:$B$288,MATCH(TRIM(C559),'القوائم'!$A$1:$A$288,0)),IFERROR(MOD(TIMEVALUE(C559),1),""))))</f>
        <v/>
      </c>
      <c r="L559" s="25">
        <f>IF(OR(M559=0,D559=""),"",IF(ISNUMBER(D559),MOD(D559,1),IFERROR(INDEX('القوائم'!$B$1:$B$288,MATCH(TRIM(D559),'القوائم'!$A$1:$A$288,0)),IFERROR(MOD(TIMEVALUE(D559),1),""))))</f>
        <v/>
      </c>
      <c r="M559">
        <f>M556</f>
        <v/>
      </c>
      <c r="Q559">
        <f>IF(N(G566)&gt;0,1,0)</f>
        <v/>
      </c>
    </row>
    <row r="560">
      <c r="A560" s="20">
        <f>IF(51&lt;=NW,SAT1+353,"")</f>
        <v/>
      </c>
      <c r="B560" s="21">
        <f>IF(A560="","",CHOOSE(WEEKDAY(A560,1),"الأحد","الاثنين","الثلاثاء","الأربعاء","الخميس","الجمعة","السبت"))</f>
        <v/>
      </c>
      <c r="C560" s="22" t="n"/>
      <c r="D560" s="22" t="n"/>
      <c r="E560" s="23">
        <f>IF(OR(M560=0,K560="",L560=""),"",MOD(L560-K560,1))</f>
        <v/>
      </c>
      <c r="F560" s="23">
        <f>IF(OR(E560="",M560=0),"",IF(WEEKDAY(A560,1)=6,E560,MIN(E560,MAX(0,MIN(IF(L560&lt;K560,L560+1,L560),OMR_OT_AT)-K560))))</f>
        <v/>
      </c>
      <c r="G560" s="23">
        <f>IF(OR(E560="",M560=0),"",MAX(0,E560-F560))</f>
        <v/>
      </c>
      <c r="H560" s="24">
        <f>IF(OR(E560="",M560=0),"",ROUND((F560*$N$556+G560*$O$556)*24,3))</f>
        <v/>
      </c>
      <c r="I560" s="22" t="n"/>
      <c r="K560" s="25">
        <f>IF(OR(M560=0,C560=""),"",IF(ISNUMBER(C560),MOD(C560,1),IFERROR(INDEX('القوائم'!$B$1:$B$288,MATCH(TRIM(C560),'القوائم'!$A$1:$A$288,0)),IFERROR(MOD(TIMEVALUE(C560),1),""))))</f>
        <v/>
      </c>
      <c r="L560" s="25">
        <f>IF(OR(M560=0,D560=""),"",IF(ISNUMBER(D560),MOD(D560,1),IFERROR(INDEX('القوائم'!$B$1:$B$288,MATCH(TRIM(D560),'القوائم'!$A$1:$A$288,0)),IFERROR(MOD(TIMEVALUE(D560),1),""))))</f>
        <v/>
      </c>
      <c r="M560">
        <f>M556</f>
        <v/>
      </c>
      <c r="Q560">
        <f>IF(N(G566)&gt;0,1,0)</f>
        <v/>
      </c>
    </row>
    <row r="561">
      <c r="A561" s="20">
        <f>IF(51&lt;=NW,SAT1+354,"")</f>
        <v/>
      </c>
      <c r="B561" s="21">
        <f>IF(A561="","",CHOOSE(WEEKDAY(A561,1),"الأحد","الاثنين","الثلاثاء","الأربعاء","الخميس","الجمعة","السبت"))</f>
        <v/>
      </c>
      <c r="C561" s="22" t="n"/>
      <c r="D561" s="22" t="n"/>
      <c r="E561" s="23">
        <f>IF(OR(M561=0,K561="",L561=""),"",MOD(L561-K561,1))</f>
        <v/>
      </c>
      <c r="F561" s="23">
        <f>IF(OR(E561="",M561=0),"",IF(WEEKDAY(A561,1)=6,E561,MIN(E561,MAX(0,MIN(IF(L561&lt;K561,L561+1,L561),OMR_OT_AT)-K561))))</f>
        <v/>
      </c>
      <c r="G561" s="23">
        <f>IF(OR(E561="",M561=0),"",MAX(0,E561-F561))</f>
        <v/>
      </c>
      <c r="H561" s="24">
        <f>IF(OR(E561="",M561=0),"",ROUND((F561*$N$556+G561*$O$556)*24,3))</f>
        <v/>
      </c>
      <c r="I561" s="22" t="n"/>
      <c r="K561" s="25">
        <f>IF(OR(M561=0,C561=""),"",IF(ISNUMBER(C561),MOD(C561,1),IFERROR(INDEX('القوائم'!$B$1:$B$288,MATCH(TRIM(C561),'القوائم'!$A$1:$A$288,0)),IFERROR(MOD(TIMEVALUE(C561),1),""))))</f>
        <v/>
      </c>
      <c r="L561" s="25">
        <f>IF(OR(M561=0,D561=""),"",IF(ISNUMBER(D561),MOD(D561,1),IFERROR(INDEX('القوائم'!$B$1:$B$288,MATCH(TRIM(D561),'القوائم'!$A$1:$A$288,0)),IFERROR(MOD(TIMEVALUE(D561),1),""))))</f>
        <v/>
      </c>
      <c r="M561">
        <f>M556</f>
        <v/>
      </c>
      <c r="Q561">
        <f>IF(N(G566)&gt;0,1,0)</f>
        <v/>
      </c>
    </row>
    <row r="562">
      <c r="A562" s="20">
        <f>IF(51&lt;=NW,SAT1+355,"")</f>
        <v/>
      </c>
      <c r="B562" s="21">
        <f>IF(A562="","",CHOOSE(WEEKDAY(A562,1),"الأحد","الاثنين","الثلاثاء","الأربعاء","الخميس","الجمعة","السبت"))</f>
        <v/>
      </c>
      <c r="C562" s="22" t="n"/>
      <c r="D562" s="22" t="n"/>
      <c r="E562" s="23">
        <f>IF(OR(M562=0,K562="",L562=""),"",MOD(L562-K562,1))</f>
        <v/>
      </c>
      <c r="F562" s="23">
        <f>IF(OR(E562="",M562=0),"",IF(WEEKDAY(A562,1)=6,E562,MIN(E562,MAX(0,MIN(IF(L562&lt;K562,L562+1,L562),OMR_OT_AT)-K562))))</f>
        <v/>
      </c>
      <c r="G562" s="23">
        <f>IF(OR(E562="",M562=0),"",MAX(0,E562-F562))</f>
        <v/>
      </c>
      <c r="H562" s="24">
        <f>IF(OR(E562="",M562=0),"",ROUND((F562*$N$556+G562*$O$556)*24,3))</f>
        <v/>
      </c>
      <c r="I562" s="22" t="n"/>
      <c r="K562" s="25">
        <f>IF(OR(M562=0,C562=""),"",IF(ISNUMBER(C562),MOD(C562,1),IFERROR(INDEX('القوائم'!$B$1:$B$288,MATCH(TRIM(C562),'القوائم'!$A$1:$A$288,0)),IFERROR(MOD(TIMEVALUE(C562),1),""))))</f>
        <v/>
      </c>
      <c r="L562" s="25">
        <f>IF(OR(M562=0,D562=""),"",IF(ISNUMBER(D562),MOD(D562,1),IFERROR(INDEX('القوائم'!$B$1:$B$288,MATCH(TRIM(D562),'القوائم'!$A$1:$A$288,0)),IFERROR(MOD(TIMEVALUE(D562),1),""))))</f>
        <v/>
      </c>
      <c r="M562">
        <f>M556</f>
        <v/>
      </c>
      <c r="Q562">
        <f>IF(N(G566)&gt;0,1,0)</f>
        <v/>
      </c>
    </row>
    <row r="563">
      <c r="A563" s="26">
        <f>IF(51&lt;=NW,SAT1+356,"")</f>
        <v/>
      </c>
      <c r="B563" s="27">
        <f>IF(A563="","",CHOOSE(WEEKDAY(A563,1),"الأحد","الاثنين","الثلاثاء","الأربعاء","الخميس","الجمعة","السبت"))</f>
        <v/>
      </c>
      <c r="C563" s="22" t="n"/>
      <c r="D563" s="22" t="n"/>
      <c r="E563" s="23">
        <f>IF(OR(M563=0,K563="",L563=""),"",MOD(L563-K563,1))</f>
        <v/>
      </c>
      <c r="F563" s="23">
        <f>IF(OR(E563="",M563=0),"",IF(WEEKDAY(A563,1)=6,E563,MIN(E563,MAX(0,MIN(IF(L563&lt;K563,L563+1,L563),OMR_OT_AT)-K563))))</f>
        <v/>
      </c>
      <c r="G563" s="23">
        <f>IF(OR(E563="",M563=0),"",MAX(0,E563-F563))</f>
        <v/>
      </c>
      <c r="H563" s="24">
        <f>IF(OR(E563="",M563=0),"",ROUND((F563*$N$556+G563*$O$556)*24,3))</f>
        <v/>
      </c>
      <c r="I563" s="22" t="n"/>
      <c r="K563" s="25">
        <f>IF(OR(M563=0,C563=""),"",IF(ISNUMBER(C563),MOD(C563,1),IFERROR(INDEX('القوائم'!$B$1:$B$288,MATCH(TRIM(C563),'القوائم'!$A$1:$A$288,0)),IFERROR(MOD(TIMEVALUE(C563),1),""))))</f>
        <v/>
      </c>
      <c r="L563" s="25">
        <f>IF(OR(M563=0,D563=""),"",IF(ISNUMBER(D563),MOD(D563,1),IFERROR(INDEX('القوائم'!$B$1:$B$288,MATCH(TRIM(D563),'القوائم'!$A$1:$A$288,0)),IFERROR(MOD(TIMEVALUE(D563),1),""))))</f>
        <v/>
      </c>
      <c r="M563">
        <f>M556</f>
        <v/>
      </c>
      <c r="Q563">
        <f>IF(N(G566)&gt;0,1,0)</f>
        <v/>
      </c>
    </row>
    <row r="564">
      <c r="A564" s="28">
        <f>IF(M556=1,"مجموع أيام الأسبوع 51","")</f>
        <v/>
      </c>
      <c r="B564" s="28" t="n"/>
      <c r="C564" s="28" t="n"/>
      <c r="D564" s="28" t="n"/>
      <c r="E564" s="29">
        <f>IF(M556=1,SUM(E557:E563),"")</f>
        <v/>
      </c>
      <c r="F564" s="29">
        <f>IF(M556=1,SUM(F557:F563),"")</f>
        <v/>
      </c>
      <c r="G564" s="29">
        <f>IF(M556=1,SUM(G557:G563),"")</f>
        <v/>
      </c>
      <c r="H564" s="30">
        <f>IF(M556=1,SUM(H557:H563),"")</f>
        <v/>
      </c>
      <c r="I564" s="28" t="n"/>
    </row>
    <row r="565" ht="32" customHeight="1">
      <c r="A565" s="28">
        <f>IF(M556=1,"ساعات تحميل الجبسمبورد بهالأسبوع (رقم: 2 أو 1.5) ←","")</f>
        <v/>
      </c>
      <c r="E565" s="31" t="n"/>
      <c r="F565" s="32">
        <f>IF(M556=1,"المستحق النهائي للأسبوع (دينار) ←","")</f>
        <v/>
      </c>
      <c r="H565" s="33">
        <f>IF(M556=1,IF(ROUND_MODE="للأعلى",CEILING(ROUND((N(H564)+N(E565)*($P$556-$N$556)),3),0.25),ROUND((N(H564)+N(E565)*($P$556-$N$556))*4,0)/4),"")</f>
        <v/>
      </c>
      <c r="I565" s="34">
        <f>IF(M556=1,"قبل الجبر: "&amp;TEXT(N(H564)+N(E565)*($P$556-$N$556),"0.000"),"")</f>
        <v/>
      </c>
    </row>
    <row r="566" ht="26" customHeight="1">
      <c r="A566" s="28">
        <f>IF(M556=1,"إكرامية الأسبوع (دينار) ←","")</f>
        <v/>
      </c>
      <c r="D566" s="35" t="n"/>
      <c r="E566" s="28">
        <f>IF(M556=1,"المدفوع يوم الجمعة (دينار) ←","")</f>
        <v/>
      </c>
      <c r="G566" s="35" t="n"/>
      <c r="H566" s="36">
        <f>IF(M556=1,IF(N(G566)&gt;0,"✔ انقبض — الأسبوع مقفول","⏳ لسا ما انقبض"),"")</f>
        <v/>
      </c>
    </row>
    <row r="567" ht="26" customHeight="1">
      <c r="A567" s="18">
        <f>IF(52&lt;=NW,"الأسبوع 52 · السبت "&amp;TEXT(DAY(SAT1+357),"00")&amp;"/"&amp;TEXT(MONTH(SAT1+357),"00")&amp;" ← الجمعة "&amp;TEXT(DAY(SAT1+363),"00")&amp;"/"&amp;TEXT(MONTH(SAT1+363),"00")&amp;" (يوم القبض)"&amp;IF(52&lt;START_O,"   — قبل أسبوع البداية (ما بينحسب)",""),"ما في أسبوع 52 هالسنة")</f>
        <v/>
      </c>
      <c r="L567" s="19">
        <f>IF(52&lt;=NW,SAT1+363,"")</f>
        <v/>
      </c>
      <c r="M567">
        <f>IF(AND(52&lt;=NW,52&gt;=START_O),1,0)</f>
        <v/>
      </c>
      <c r="N567">
        <f>IFERROR(INDEX(RT_OMR,MATCH(L567,RT_K,1)),INDEX(RT_OMR,1))</f>
        <v/>
      </c>
      <c r="O567">
        <f>IFERROR(INDEX(RT_OT,MATCH(L567,RT_K,1)),INDEX(RT_OT,1))</f>
        <v/>
      </c>
      <c r="P567">
        <f>IFERROR(INDEX(RT_GYP,MATCH(L567,RT_K,1)),INDEX(RT_GYP,1))</f>
        <v/>
      </c>
    </row>
    <row r="568">
      <c r="A568" s="20">
        <f>IF(52&lt;=NW,SAT1+357,"")</f>
        <v/>
      </c>
      <c r="B568" s="21">
        <f>IF(A568="","",CHOOSE(WEEKDAY(A568,1),"الأحد","الاثنين","الثلاثاء","الأربعاء","الخميس","الجمعة","السبت"))</f>
        <v/>
      </c>
      <c r="C568" s="22" t="n"/>
      <c r="D568" s="22" t="n"/>
      <c r="E568" s="23">
        <f>IF(OR(M568=0,K568="",L568=""),"",MOD(L568-K568,1))</f>
        <v/>
      </c>
      <c r="F568" s="23">
        <f>IF(OR(E568="",M568=0),"",IF(WEEKDAY(A568,1)=6,E568,MIN(E568,MAX(0,MIN(IF(L568&lt;K568,L568+1,L568),OMR_OT_AT)-K568))))</f>
        <v/>
      </c>
      <c r="G568" s="23">
        <f>IF(OR(E568="",M568=0),"",MAX(0,E568-F568))</f>
        <v/>
      </c>
      <c r="H568" s="24">
        <f>IF(OR(E568="",M568=0),"",ROUND((F568*$N$567+G568*$O$567)*24,3))</f>
        <v/>
      </c>
      <c r="I568" s="22" t="n"/>
      <c r="K568" s="25">
        <f>IF(OR(M568=0,C568=""),"",IF(ISNUMBER(C568),MOD(C568,1),IFERROR(INDEX('القوائم'!$B$1:$B$288,MATCH(TRIM(C568),'القوائم'!$A$1:$A$288,0)),IFERROR(MOD(TIMEVALUE(C568),1),""))))</f>
        <v/>
      </c>
      <c r="L568" s="25">
        <f>IF(OR(M568=0,D568=""),"",IF(ISNUMBER(D568),MOD(D568,1),IFERROR(INDEX('القوائم'!$B$1:$B$288,MATCH(TRIM(D568),'القوائم'!$A$1:$A$288,0)),IFERROR(MOD(TIMEVALUE(D568),1),""))))</f>
        <v/>
      </c>
      <c r="M568">
        <f>M567</f>
        <v/>
      </c>
      <c r="Q568">
        <f>IF(N(G577)&gt;0,1,0)</f>
        <v/>
      </c>
    </row>
    <row r="569">
      <c r="A569" s="20">
        <f>IF(52&lt;=NW,SAT1+358,"")</f>
        <v/>
      </c>
      <c r="B569" s="21">
        <f>IF(A569="","",CHOOSE(WEEKDAY(A569,1),"الأحد","الاثنين","الثلاثاء","الأربعاء","الخميس","الجمعة","السبت"))</f>
        <v/>
      </c>
      <c r="C569" s="22" t="n"/>
      <c r="D569" s="22" t="n"/>
      <c r="E569" s="23">
        <f>IF(OR(M569=0,K569="",L569=""),"",MOD(L569-K569,1))</f>
        <v/>
      </c>
      <c r="F569" s="23">
        <f>IF(OR(E569="",M569=0),"",IF(WEEKDAY(A569,1)=6,E569,MIN(E569,MAX(0,MIN(IF(L569&lt;K569,L569+1,L569),OMR_OT_AT)-K569))))</f>
        <v/>
      </c>
      <c r="G569" s="23">
        <f>IF(OR(E569="",M569=0),"",MAX(0,E569-F569))</f>
        <v/>
      </c>
      <c r="H569" s="24">
        <f>IF(OR(E569="",M569=0),"",ROUND((F569*$N$567+G569*$O$567)*24,3))</f>
        <v/>
      </c>
      <c r="I569" s="22" t="n"/>
      <c r="K569" s="25">
        <f>IF(OR(M569=0,C569=""),"",IF(ISNUMBER(C569),MOD(C569,1),IFERROR(INDEX('القوائم'!$B$1:$B$288,MATCH(TRIM(C569),'القوائم'!$A$1:$A$288,0)),IFERROR(MOD(TIMEVALUE(C569),1),""))))</f>
        <v/>
      </c>
      <c r="L569" s="25">
        <f>IF(OR(M569=0,D569=""),"",IF(ISNUMBER(D569),MOD(D569,1),IFERROR(INDEX('القوائم'!$B$1:$B$288,MATCH(TRIM(D569),'القوائم'!$A$1:$A$288,0)),IFERROR(MOD(TIMEVALUE(D569),1),""))))</f>
        <v/>
      </c>
      <c r="M569">
        <f>M567</f>
        <v/>
      </c>
      <c r="Q569">
        <f>IF(N(G577)&gt;0,1,0)</f>
        <v/>
      </c>
    </row>
    <row r="570">
      <c r="A570" s="20">
        <f>IF(52&lt;=NW,SAT1+359,"")</f>
        <v/>
      </c>
      <c r="B570" s="21">
        <f>IF(A570="","",CHOOSE(WEEKDAY(A570,1),"الأحد","الاثنين","الثلاثاء","الأربعاء","الخميس","الجمعة","السبت"))</f>
        <v/>
      </c>
      <c r="C570" s="22" t="n"/>
      <c r="D570" s="22" t="n"/>
      <c r="E570" s="23">
        <f>IF(OR(M570=0,K570="",L570=""),"",MOD(L570-K570,1))</f>
        <v/>
      </c>
      <c r="F570" s="23">
        <f>IF(OR(E570="",M570=0),"",IF(WEEKDAY(A570,1)=6,E570,MIN(E570,MAX(0,MIN(IF(L570&lt;K570,L570+1,L570),OMR_OT_AT)-K570))))</f>
        <v/>
      </c>
      <c r="G570" s="23">
        <f>IF(OR(E570="",M570=0),"",MAX(0,E570-F570))</f>
        <v/>
      </c>
      <c r="H570" s="24">
        <f>IF(OR(E570="",M570=0),"",ROUND((F570*$N$567+G570*$O$567)*24,3))</f>
        <v/>
      </c>
      <c r="I570" s="22" t="n"/>
      <c r="K570" s="25">
        <f>IF(OR(M570=0,C570=""),"",IF(ISNUMBER(C570),MOD(C570,1),IFERROR(INDEX('القوائم'!$B$1:$B$288,MATCH(TRIM(C570),'القوائم'!$A$1:$A$288,0)),IFERROR(MOD(TIMEVALUE(C570),1),""))))</f>
        <v/>
      </c>
      <c r="L570" s="25">
        <f>IF(OR(M570=0,D570=""),"",IF(ISNUMBER(D570),MOD(D570,1),IFERROR(INDEX('القوائم'!$B$1:$B$288,MATCH(TRIM(D570),'القوائم'!$A$1:$A$288,0)),IFERROR(MOD(TIMEVALUE(D570),1),""))))</f>
        <v/>
      </c>
      <c r="M570">
        <f>M567</f>
        <v/>
      </c>
      <c r="Q570">
        <f>IF(N(G577)&gt;0,1,0)</f>
        <v/>
      </c>
    </row>
    <row r="571">
      <c r="A571" s="20">
        <f>IF(52&lt;=NW,SAT1+360,"")</f>
        <v/>
      </c>
      <c r="B571" s="21">
        <f>IF(A571="","",CHOOSE(WEEKDAY(A571,1),"الأحد","الاثنين","الثلاثاء","الأربعاء","الخميس","الجمعة","السبت"))</f>
        <v/>
      </c>
      <c r="C571" s="22" t="n"/>
      <c r="D571" s="22" t="n"/>
      <c r="E571" s="23">
        <f>IF(OR(M571=0,K571="",L571=""),"",MOD(L571-K571,1))</f>
        <v/>
      </c>
      <c r="F571" s="23">
        <f>IF(OR(E571="",M571=0),"",IF(WEEKDAY(A571,1)=6,E571,MIN(E571,MAX(0,MIN(IF(L571&lt;K571,L571+1,L571),OMR_OT_AT)-K571))))</f>
        <v/>
      </c>
      <c r="G571" s="23">
        <f>IF(OR(E571="",M571=0),"",MAX(0,E571-F571))</f>
        <v/>
      </c>
      <c r="H571" s="24">
        <f>IF(OR(E571="",M571=0),"",ROUND((F571*$N$567+G571*$O$567)*24,3))</f>
        <v/>
      </c>
      <c r="I571" s="22" t="n"/>
      <c r="K571" s="25">
        <f>IF(OR(M571=0,C571=""),"",IF(ISNUMBER(C571),MOD(C571,1),IFERROR(INDEX('القوائم'!$B$1:$B$288,MATCH(TRIM(C571),'القوائم'!$A$1:$A$288,0)),IFERROR(MOD(TIMEVALUE(C571),1),""))))</f>
        <v/>
      </c>
      <c r="L571" s="25">
        <f>IF(OR(M571=0,D571=""),"",IF(ISNUMBER(D571),MOD(D571,1),IFERROR(INDEX('القوائم'!$B$1:$B$288,MATCH(TRIM(D571),'القوائم'!$A$1:$A$288,0)),IFERROR(MOD(TIMEVALUE(D571),1),""))))</f>
        <v/>
      </c>
      <c r="M571">
        <f>M567</f>
        <v/>
      </c>
      <c r="Q571">
        <f>IF(N(G577)&gt;0,1,0)</f>
        <v/>
      </c>
    </row>
    <row r="572">
      <c r="A572" s="20">
        <f>IF(52&lt;=NW,SAT1+361,"")</f>
        <v/>
      </c>
      <c r="B572" s="21">
        <f>IF(A572="","",CHOOSE(WEEKDAY(A572,1),"الأحد","الاثنين","الثلاثاء","الأربعاء","الخميس","الجمعة","السبت"))</f>
        <v/>
      </c>
      <c r="C572" s="22" t="n"/>
      <c r="D572" s="22" t="n"/>
      <c r="E572" s="23">
        <f>IF(OR(M572=0,K572="",L572=""),"",MOD(L572-K572,1))</f>
        <v/>
      </c>
      <c r="F572" s="23">
        <f>IF(OR(E572="",M572=0),"",IF(WEEKDAY(A572,1)=6,E572,MIN(E572,MAX(0,MIN(IF(L572&lt;K572,L572+1,L572),OMR_OT_AT)-K572))))</f>
        <v/>
      </c>
      <c r="G572" s="23">
        <f>IF(OR(E572="",M572=0),"",MAX(0,E572-F572))</f>
        <v/>
      </c>
      <c r="H572" s="24">
        <f>IF(OR(E572="",M572=0),"",ROUND((F572*$N$567+G572*$O$567)*24,3))</f>
        <v/>
      </c>
      <c r="I572" s="22" t="n"/>
      <c r="K572" s="25">
        <f>IF(OR(M572=0,C572=""),"",IF(ISNUMBER(C572),MOD(C572,1),IFERROR(INDEX('القوائم'!$B$1:$B$288,MATCH(TRIM(C572),'القوائم'!$A$1:$A$288,0)),IFERROR(MOD(TIMEVALUE(C572),1),""))))</f>
        <v/>
      </c>
      <c r="L572" s="25">
        <f>IF(OR(M572=0,D572=""),"",IF(ISNUMBER(D572),MOD(D572,1),IFERROR(INDEX('القوائم'!$B$1:$B$288,MATCH(TRIM(D572),'القوائم'!$A$1:$A$288,0)),IFERROR(MOD(TIMEVALUE(D572),1),""))))</f>
        <v/>
      </c>
      <c r="M572">
        <f>M567</f>
        <v/>
      </c>
      <c r="Q572">
        <f>IF(N(G577)&gt;0,1,0)</f>
        <v/>
      </c>
    </row>
    <row r="573">
      <c r="A573" s="20">
        <f>IF(52&lt;=NW,SAT1+362,"")</f>
        <v/>
      </c>
      <c r="B573" s="21">
        <f>IF(A573="","",CHOOSE(WEEKDAY(A573,1),"الأحد","الاثنين","الثلاثاء","الأربعاء","الخميس","الجمعة","السبت"))</f>
        <v/>
      </c>
      <c r="C573" s="22" t="n"/>
      <c r="D573" s="22" t="n"/>
      <c r="E573" s="23">
        <f>IF(OR(M573=0,K573="",L573=""),"",MOD(L573-K573,1))</f>
        <v/>
      </c>
      <c r="F573" s="23">
        <f>IF(OR(E573="",M573=0),"",IF(WEEKDAY(A573,1)=6,E573,MIN(E573,MAX(0,MIN(IF(L573&lt;K573,L573+1,L573),OMR_OT_AT)-K573))))</f>
        <v/>
      </c>
      <c r="G573" s="23">
        <f>IF(OR(E573="",M573=0),"",MAX(0,E573-F573))</f>
        <v/>
      </c>
      <c r="H573" s="24">
        <f>IF(OR(E573="",M573=0),"",ROUND((F573*$N$567+G573*$O$567)*24,3))</f>
        <v/>
      </c>
      <c r="I573" s="22" t="n"/>
      <c r="K573" s="25">
        <f>IF(OR(M573=0,C573=""),"",IF(ISNUMBER(C573),MOD(C573,1),IFERROR(INDEX('القوائم'!$B$1:$B$288,MATCH(TRIM(C573),'القوائم'!$A$1:$A$288,0)),IFERROR(MOD(TIMEVALUE(C573),1),""))))</f>
        <v/>
      </c>
      <c r="L573" s="25">
        <f>IF(OR(M573=0,D573=""),"",IF(ISNUMBER(D573),MOD(D573,1),IFERROR(INDEX('القوائم'!$B$1:$B$288,MATCH(TRIM(D573),'القوائم'!$A$1:$A$288,0)),IFERROR(MOD(TIMEVALUE(D573),1),""))))</f>
        <v/>
      </c>
      <c r="M573">
        <f>M567</f>
        <v/>
      </c>
      <c r="Q573">
        <f>IF(N(G577)&gt;0,1,0)</f>
        <v/>
      </c>
    </row>
    <row r="574">
      <c r="A574" s="26">
        <f>IF(52&lt;=NW,SAT1+363,"")</f>
        <v/>
      </c>
      <c r="B574" s="27">
        <f>IF(A574="","",CHOOSE(WEEKDAY(A574,1),"الأحد","الاثنين","الثلاثاء","الأربعاء","الخميس","الجمعة","السبت"))</f>
        <v/>
      </c>
      <c r="C574" s="22" t="n"/>
      <c r="D574" s="22" t="n"/>
      <c r="E574" s="23">
        <f>IF(OR(M574=0,K574="",L574=""),"",MOD(L574-K574,1))</f>
        <v/>
      </c>
      <c r="F574" s="23">
        <f>IF(OR(E574="",M574=0),"",IF(WEEKDAY(A574,1)=6,E574,MIN(E574,MAX(0,MIN(IF(L574&lt;K574,L574+1,L574),OMR_OT_AT)-K574))))</f>
        <v/>
      </c>
      <c r="G574" s="23">
        <f>IF(OR(E574="",M574=0),"",MAX(0,E574-F574))</f>
        <v/>
      </c>
      <c r="H574" s="24">
        <f>IF(OR(E574="",M574=0),"",ROUND((F574*$N$567+G574*$O$567)*24,3))</f>
        <v/>
      </c>
      <c r="I574" s="22" t="n"/>
      <c r="K574" s="25">
        <f>IF(OR(M574=0,C574=""),"",IF(ISNUMBER(C574),MOD(C574,1),IFERROR(INDEX('القوائم'!$B$1:$B$288,MATCH(TRIM(C574),'القوائم'!$A$1:$A$288,0)),IFERROR(MOD(TIMEVALUE(C574),1),""))))</f>
        <v/>
      </c>
      <c r="L574" s="25">
        <f>IF(OR(M574=0,D574=""),"",IF(ISNUMBER(D574),MOD(D574,1),IFERROR(INDEX('القوائم'!$B$1:$B$288,MATCH(TRIM(D574),'القوائم'!$A$1:$A$288,0)),IFERROR(MOD(TIMEVALUE(D574),1),""))))</f>
        <v/>
      </c>
      <c r="M574">
        <f>M567</f>
        <v/>
      </c>
      <c r="Q574">
        <f>IF(N(G577)&gt;0,1,0)</f>
        <v/>
      </c>
    </row>
    <row r="575">
      <c r="A575" s="28">
        <f>IF(M567=1,"مجموع أيام الأسبوع 52","")</f>
        <v/>
      </c>
      <c r="B575" s="28" t="n"/>
      <c r="C575" s="28" t="n"/>
      <c r="D575" s="28" t="n"/>
      <c r="E575" s="29">
        <f>IF(M567=1,SUM(E568:E574),"")</f>
        <v/>
      </c>
      <c r="F575" s="29">
        <f>IF(M567=1,SUM(F568:F574),"")</f>
        <v/>
      </c>
      <c r="G575" s="29">
        <f>IF(M567=1,SUM(G568:G574),"")</f>
        <v/>
      </c>
      <c r="H575" s="30">
        <f>IF(M567=1,SUM(H568:H574),"")</f>
        <v/>
      </c>
      <c r="I575" s="28" t="n"/>
    </row>
    <row r="576" ht="32" customHeight="1">
      <c r="A576" s="28">
        <f>IF(M567=1,"ساعات تحميل الجبسمبورد بهالأسبوع (رقم: 2 أو 1.5) ←","")</f>
        <v/>
      </c>
      <c r="E576" s="31" t="n"/>
      <c r="F576" s="32">
        <f>IF(M567=1,"المستحق النهائي للأسبوع (دينار) ←","")</f>
        <v/>
      </c>
      <c r="H576" s="33">
        <f>IF(M567=1,IF(ROUND_MODE="للأعلى",CEILING(ROUND((N(H575)+N(E576)*($P$567-$N$567)),3),0.25),ROUND((N(H575)+N(E576)*($P$567-$N$567))*4,0)/4),"")</f>
        <v/>
      </c>
      <c r="I576" s="34">
        <f>IF(M567=1,"قبل الجبر: "&amp;TEXT(N(H575)+N(E576)*($P$567-$N$567),"0.000"),"")</f>
        <v/>
      </c>
    </row>
    <row r="577" ht="26" customHeight="1">
      <c r="A577" s="28">
        <f>IF(M567=1,"إكرامية الأسبوع (دينار) ←","")</f>
        <v/>
      </c>
      <c r="D577" s="35" t="n"/>
      <c r="E577" s="28">
        <f>IF(M567=1,"المدفوع يوم الجمعة (دينار) ←","")</f>
        <v/>
      </c>
      <c r="G577" s="35" t="n"/>
      <c r="H577" s="36">
        <f>IF(M567=1,IF(N(G577)&gt;0,"✔ انقبض — الأسبوع مقفول","⏳ لسا ما انقبض"),"")</f>
        <v/>
      </c>
    </row>
    <row r="578" ht="26" customHeight="1">
      <c r="A578" s="18">
        <f>IF(53&lt;=NW,"الأسبوع 53 · السبت "&amp;TEXT(DAY(SAT1+364),"00")&amp;"/"&amp;TEXT(MONTH(SAT1+364),"00")&amp;" ← الجمعة "&amp;TEXT(DAY(SAT1+370),"00")&amp;"/"&amp;TEXT(MONTH(SAT1+370),"00")&amp;" (يوم القبض)"&amp;IF(53&lt;START_O,"   — قبل أسبوع البداية (ما بينحسب)",""),"ما في أسبوع 53 هالسنة")</f>
        <v/>
      </c>
      <c r="L578" s="19">
        <f>IF(53&lt;=NW,SAT1+370,"")</f>
        <v/>
      </c>
      <c r="M578">
        <f>IF(AND(53&lt;=NW,53&gt;=START_O),1,0)</f>
        <v/>
      </c>
      <c r="N578">
        <f>IFERROR(INDEX(RT_OMR,MATCH(L578,RT_K,1)),INDEX(RT_OMR,1))</f>
        <v/>
      </c>
      <c r="O578">
        <f>IFERROR(INDEX(RT_OT,MATCH(L578,RT_K,1)),INDEX(RT_OT,1))</f>
        <v/>
      </c>
      <c r="P578">
        <f>IFERROR(INDEX(RT_GYP,MATCH(L578,RT_K,1)),INDEX(RT_GYP,1))</f>
        <v/>
      </c>
    </row>
    <row r="579">
      <c r="A579" s="20">
        <f>IF(53&lt;=NW,SAT1+364,"")</f>
        <v/>
      </c>
      <c r="B579" s="21">
        <f>IF(A579="","",CHOOSE(WEEKDAY(A579,1),"الأحد","الاثنين","الثلاثاء","الأربعاء","الخميس","الجمعة","السبت"))</f>
        <v/>
      </c>
      <c r="C579" s="22" t="n"/>
      <c r="D579" s="22" t="n"/>
      <c r="E579" s="23">
        <f>IF(OR(M579=0,K579="",L579=""),"",MOD(L579-K579,1))</f>
        <v/>
      </c>
      <c r="F579" s="23">
        <f>IF(OR(E579="",M579=0),"",IF(WEEKDAY(A579,1)=6,E579,MIN(E579,MAX(0,MIN(IF(L579&lt;K579,L579+1,L579),OMR_OT_AT)-K579))))</f>
        <v/>
      </c>
      <c r="G579" s="23">
        <f>IF(OR(E579="",M579=0),"",MAX(0,E579-F579))</f>
        <v/>
      </c>
      <c r="H579" s="24">
        <f>IF(OR(E579="",M579=0),"",ROUND((F579*$N$578+G579*$O$578)*24,3))</f>
        <v/>
      </c>
      <c r="I579" s="22" t="n"/>
      <c r="K579" s="25">
        <f>IF(OR(M579=0,C579=""),"",IF(ISNUMBER(C579),MOD(C579,1),IFERROR(INDEX('القوائم'!$B$1:$B$288,MATCH(TRIM(C579),'القوائم'!$A$1:$A$288,0)),IFERROR(MOD(TIMEVALUE(C579),1),""))))</f>
        <v/>
      </c>
      <c r="L579" s="25">
        <f>IF(OR(M579=0,D579=""),"",IF(ISNUMBER(D579),MOD(D579,1),IFERROR(INDEX('القوائم'!$B$1:$B$288,MATCH(TRIM(D579),'القوائم'!$A$1:$A$288,0)),IFERROR(MOD(TIMEVALUE(D579),1),""))))</f>
        <v/>
      </c>
      <c r="M579">
        <f>M578</f>
        <v/>
      </c>
      <c r="Q579">
        <f>IF(N(G588)&gt;0,1,0)</f>
        <v/>
      </c>
    </row>
    <row r="580">
      <c r="A580" s="20">
        <f>IF(53&lt;=NW,SAT1+365,"")</f>
        <v/>
      </c>
      <c r="B580" s="21">
        <f>IF(A580="","",CHOOSE(WEEKDAY(A580,1),"الأحد","الاثنين","الثلاثاء","الأربعاء","الخميس","الجمعة","السبت"))</f>
        <v/>
      </c>
      <c r="C580" s="22" t="n"/>
      <c r="D580" s="22" t="n"/>
      <c r="E580" s="23">
        <f>IF(OR(M580=0,K580="",L580=""),"",MOD(L580-K580,1))</f>
        <v/>
      </c>
      <c r="F580" s="23">
        <f>IF(OR(E580="",M580=0),"",IF(WEEKDAY(A580,1)=6,E580,MIN(E580,MAX(0,MIN(IF(L580&lt;K580,L580+1,L580),OMR_OT_AT)-K580))))</f>
        <v/>
      </c>
      <c r="G580" s="23">
        <f>IF(OR(E580="",M580=0),"",MAX(0,E580-F580))</f>
        <v/>
      </c>
      <c r="H580" s="24">
        <f>IF(OR(E580="",M580=0),"",ROUND((F580*$N$578+G580*$O$578)*24,3))</f>
        <v/>
      </c>
      <c r="I580" s="22" t="n"/>
      <c r="K580" s="25">
        <f>IF(OR(M580=0,C580=""),"",IF(ISNUMBER(C580),MOD(C580,1),IFERROR(INDEX('القوائم'!$B$1:$B$288,MATCH(TRIM(C580),'القوائم'!$A$1:$A$288,0)),IFERROR(MOD(TIMEVALUE(C580),1),""))))</f>
        <v/>
      </c>
      <c r="L580" s="25">
        <f>IF(OR(M580=0,D580=""),"",IF(ISNUMBER(D580),MOD(D580,1),IFERROR(INDEX('القوائم'!$B$1:$B$288,MATCH(TRIM(D580),'القوائم'!$A$1:$A$288,0)),IFERROR(MOD(TIMEVALUE(D580),1),""))))</f>
        <v/>
      </c>
      <c r="M580">
        <f>M578</f>
        <v/>
      </c>
      <c r="Q580">
        <f>IF(N(G588)&gt;0,1,0)</f>
        <v/>
      </c>
    </row>
    <row r="581">
      <c r="A581" s="20">
        <f>IF(53&lt;=NW,SAT1+366,"")</f>
        <v/>
      </c>
      <c r="B581" s="21">
        <f>IF(A581="","",CHOOSE(WEEKDAY(A581,1),"الأحد","الاثنين","الثلاثاء","الأربعاء","الخميس","الجمعة","السبت"))</f>
        <v/>
      </c>
      <c r="C581" s="22" t="n"/>
      <c r="D581" s="22" t="n"/>
      <c r="E581" s="23">
        <f>IF(OR(M581=0,K581="",L581=""),"",MOD(L581-K581,1))</f>
        <v/>
      </c>
      <c r="F581" s="23">
        <f>IF(OR(E581="",M581=0),"",IF(WEEKDAY(A581,1)=6,E581,MIN(E581,MAX(0,MIN(IF(L581&lt;K581,L581+1,L581),OMR_OT_AT)-K581))))</f>
        <v/>
      </c>
      <c r="G581" s="23">
        <f>IF(OR(E581="",M581=0),"",MAX(0,E581-F581))</f>
        <v/>
      </c>
      <c r="H581" s="24">
        <f>IF(OR(E581="",M581=0),"",ROUND((F581*$N$578+G581*$O$578)*24,3))</f>
        <v/>
      </c>
      <c r="I581" s="22" t="n"/>
      <c r="K581" s="25">
        <f>IF(OR(M581=0,C581=""),"",IF(ISNUMBER(C581),MOD(C581,1),IFERROR(INDEX('القوائم'!$B$1:$B$288,MATCH(TRIM(C581),'القوائم'!$A$1:$A$288,0)),IFERROR(MOD(TIMEVALUE(C581),1),""))))</f>
        <v/>
      </c>
      <c r="L581" s="25">
        <f>IF(OR(M581=0,D581=""),"",IF(ISNUMBER(D581),MOD(D581,1),IFERROR(INDEX('القوائم'!$B$1:$B$288,MATCH(TRIM(D581),'القوائم'!$A$1:$A$288,0)),IFERROR(MOD(TIMEVALUE(D581),1),""))))</f>
        <v/>
      </c>
      <c r="M581">
        <f>M578</f>
        <v/>
      </c>
      <c r="Q581">
        <f>IF(N(G588)&gt;0,1,0)</f>
        <v/>
      </c>
    </row>
    <row r="582">
      <c r="A582" s="20">
        <f>IF(53&lt;=NW,SAT1+367,"")</f>
        <v/>
      </c>
      <c r="B582" s="21">
        <f>IF(A582="","",CHOOSE(WEEKDAY(A582,1),"الأحد","الاثنين","الثلاثاء","الأربعاء","الخميس","الجمعة","السبت"))</f>
        <v/>
      </c>
      <c r="C582" s="22" t="n"/>
      <c r="D582" s="22" t="n"/>
      <c r="E582" s="23">
        <f>IF(OR(M582=0,K582="",L582=""),"",MOD(L582-K582,1))</f>
        <v/>
      </c>
      <c r="F582" s="23">
        <f>IF(OR(E582="",M582=0),"",IF(WEEKDAY(A582,1)=6,E582,MIN(E582,MAX(0,MIN(IF(L582&lt;K582,L582+1,L582),OMR_OT_AT)-K582))))</f>
        <v/>
      </c>
      <c r="G582" s="23">
        <f>IF(OR(E582="",M582=0),"",MAX(0,E582-F582))</f>
        <v/>
      </c>
      <c r="H582" s="24">
        <f>IF(OR(E582="",M582=0),"",ROUND((F582*$N$578+G582*$O$578)*24,3))</f>
        <v/>
      </c>
      <c r="I582" s="22" t="n"/>
      <c r="K582" s="25">
        <f>IF(OR(M582=0,C582=""),"",IF(ISNUMBER(C582),MOD(C582,1),IFERROR(INDEX('القوائم'!$B$1:$B$288,MATCH(TRIM(C582),'القوائم'!$A$1:$A$288,0)),IFERROR(MOD(TIMEVALUE(C582),1),""))))</f>
        <v/>
      </c>
      <c r="L582" s="25">
        <f>IF(OR(M582=0,D582=""),"",IF(ISNUMBER(D582),MOD(D582,1),IFERROR(INDEX('القوائم'!$B$1:$B$288,MATCH(TRIM(D582),'القوائم'!$A$1:$A$288,0)),IFERROR(MOD(TIMEVALUE(D582),1),""))))</f>
        <v/>
      </c>
      <c r="M582">
        <f>M578</f>
        <v/>
      </c>
      <c r="Q582">
        <f>IF(N(G588)&gt;0,1,0)</f>
        <v/>
      </c>
    </row>
    <row r="583">
      <c r="A583" s="20">
        <f>IF(53&lt;=NW,SAT1+368,"")</f>
        <v/>
      </c>
      <c r="B583" s="21">
        <f>IF(A583="","",CHOOSE(WEEKDAY(A583,1),"الأحد","الاثنين","الثلاثاء","الأربعاء","الخميس","الجمعة","السبت"))</f>
        <v/>
      </c>
      <c r="C583" s="22" t="n"/>
      <c r="D583" s="22" t="n"/>
      <c r="E583" s="23">
        <f>IF(OR(M583=0,K583="",L583=""),"",MOD(L583-K583,1))</f>
        <v/>
      </c>
      <c r="F583" s="23">
        <f>IF(OR(E583="",M583=0),"",IF(WEEKDAY(A583,1)=6,E583,MIN(E583,MAX(0,MIN(IF(L583&lt;K583,L583+1,L583),OMR_OT_AT)-K583))))</f>
        <v/>
      </c>
      <c r="G583" s="23">
        <f>IF(OR(E583="",M583=0),"",MAX(0,E583-F583))</f>
        <v/>
      </c>
      <c r="H583" s="24">
        <f>IF(OR(E583="",M583=0),"",ROUND((F583*$N$578+G583*$O$578)*24,3))</f>
        <v/>
      </c>
      <c r="I583" s="22" t="n"/>
      <c r="K583" s="25">
        <f>IF(OR(M583=0,C583=""),"",IF(ISNUMBER(C583),MOD(C583,1),IFERROR(INDEX('القوائم'!$B$1:$B$288,MATCH(TRIM(C583),'القوائم'!$A$1:$A$288,0)),IFERROR(MOD(TIMEVALUE(C583),1),""))))</f>
        <v/>
      </c>
      <c r="L583" s="25">
        <f>IF(OR(M583=0,D583=""),"",IF(ISNUMBER(D583),MOD(D583,1),IFERROR(INDEX('القوائم'!$B$1:$B$288,MATCH(TRIM(D583),'القوائم'!$A$1:$A$288,0)),IFERROR(MOD(TIMEVALUE(D583),1),""))))</f>
        <v/>
      </c>
      <c r="M583">
        <f>M578</f>
        <v/>
      </c>
      <c r="Q583">
        <f>IF(N(G588)&gt;0,1,0)</f>
        <v/>
      </c>
    </row>
    <row r="584">
      <c r="A584" s="20">
        <f>IF(53&lt;=NW,SAT1+369,"")</f>
        <v/>
      </c>
      <c r="B584" s="21">
        <f>IF(A584="","",CHOOSE(WEEKDAY(A584,1),"الأحد","الاثنين","الثلاثاء","الأربعاء","الخميس","الجمعة","السبت"))</f>
        <v/>
      </c>
      <c r="C584" s="22" t="n"/>
      <c r="D584" s="22" t="n"/>
      <c r="E584" s="23">
        <f>IF(OR(M584=0,K584="",L584=""),"",MOD(L584-K584,1))</f>
        <v/>
      </c>
      <c r="F584" s="23">
        <f>IF(OR(E584="",M584=0),"",IF(WEEKDAY(A584,1)=6,E584,MIN(E584,MAX(0,MIN(IF(L584&lt;K584,L584+1,L584),OMR_OT_AT)-K584))))</f>
        <v/>
      </c>
      <c r="G584" s="23">
        <f>IF(OR(E584="",M584=0),"",MAX(0,E584-F584))</f>
        <v/>
      </c>
      <c r="H584" s="24">
        <f>IF(OR(E584="",M584=0),"",ROUND((F584*$N$578+G584*$O$578)*24,3))</f>
        <v/>
      </c>
      <c r="I584" s="22" t="n"/>
      <c r="K584" s="25">
        <f>IF(OR(M584=0,C584=""),"",IF(ISNUMBER(C584),MOD(C584,1),IFERROR(INDEX('القوائم'!$B$1:$B$288,MATCH(TRIM(C584),'القوائم'!$A$1:$A$288,0)),IFERROR(MOD(TIMEVALUE(C584),1),""))))</f>
        <v/>
      </c>
      <c r="L584" s="25">
        <f>IF(OR(M584=0,D584=""),"",IF(ISNUMBER(D584),MOD(D584,1),IFERROR(INDEX('القوائم'!$B$1:$B$288,MATCH(TRIM(D584),'القوائم'!$A$1:$A$288,0)),IFERROR(MOD(TIMEVALUE(D584),1),""))))</f>
        <v/>
      </c>
      <c r="M584">
        <f>M578</f>
        <v/>
      </c>
      <c r="Q584">
        <f>IF(N(G588)&gt;0,1,0)</f>
        <v/>
      </c>
    </row>
    <row r="585">
      <c r="A585" s="26">
        <f>IF(53&lt;=NW,SAT1+370,"")</f>
        <v/>
      </c>
      <c r="B585" s="27">
        <f>IF(A585="","",CHOOSE(WEEKDAY(A585,1),"الأحد","الاثنين","الثلاثاء","الأربعاء","الخميس","الجمعة","السبت"))</f>
        <v/>
      </c>
      <c r="C585" s="22" t="n"/>
      <c r="D585" s="22" t="n"/>
      <c r="E585" s="23">
        <f>IF(OR(M585=0,K585="",L585=""),"",MOD(L585-K585,1))</f>
        <v/>
      </c>
      <c r="F585" s="23">
        <f>IF(OR(E585="",M585=0),"",IF(WEEKDAY(A585,1)=6,E585,MIN(E585,MAX(0,MIN(IF(L585&lt;K585,L585+1,L585),OMR_OT_AT)-K585))))</f>
        <v/>
      </c>
      <c r="G585" s="23">
        <f>IF(OR(E585="",M585=0),"",MAX(0,E585-F585))</f>
        <v/>
      </c>
      <c r="H585" s="24">
        <f>IF(OR(E585="",M585=0),"",ROUND((F585*$N$578+G585*$O$578)*24,3))</f>
        <v/>
      </c>
      <c r="I585" s="22" t="n"/>
      <c r="K585" s="25">
        <f>IF(OR(M585=0,C585=""),"",IF(ISNUMBER(C585),MOD(C585,1),IFERROR(INDEX('القوائم'!$B$1:$B$288,MATCH(TRIM(C585),'القوائم'!$A$1:$A$288,0)),IFERROR(MOD(TIMEVALUE(C585),1),""))))</f>
        <v/>
      </c>
      <c r="L585" s="25">
        <f>IF(OR(M585=0,D585=""),"",IF(ISNUMBER(D585),MOD(D585,1),IFERROR(INDEX('القوائم'!$B$1:$B$288,MATCH(TRIM(D585),'القوائم'!$A$1:$A$288,0)),IFERROR(MOD(TIMEVALUE(D585),1),""))))</f>
        <v/>
      </c>
      <c r="M585">
        <f>M578</f>
        <v/>
      </c>
      <c r="Q585">
        <f>IF(N(G588)&gt;0,1,0)</f>
        <v/>
      </c>
    </row>
    <row r="586">
      <c r="A586" s="28">
        <f>IF(M578=1,"مجموع أيام الأسبوع 53","")</f>
        <v/>
      </c>
      <c r="B586" s="28" t="n"/>
      <c r="C586" s="28" t="n"/>
      <c r="D586" s="28" t="n"/>
      <c r="E586" s="29">
        <f>IF(M578=1,SUM(E579:E585),"")</f>
        <v/>
      </c>
      <c r="F586" s="29">
        <f>IF(M578=1,SUM(F579:F585),"")</f>
        <v/>
      </c>
      <c r="G586" s="29">
        <f>IF(M578=1,SUM(G579:G585),"")</f>
        <v/>
      </c>
      <c r="H586" s="30">
        <f>IF(M578=1,SUM(H579:H585),"")</f>
        <v/>
      </c>
      <c r="I586" s="28" t="n"/>
    </row>
    <row r="587" ht="32" customHeight="1">
      <c r="A587" s="28">
        <f>IF(M578=1,"ساعات تحميل الجبسمبورد بهالأسبوع (رقم: 2 أو 1.5) ←","")</f>
        <v/>
      </c>
      <c r="E587" s="31" t="n"/>
      <c r="F587" s="32">
        <f>IF(M578=1,"المستحق النهائي للأسبوع (دينار) ←","")</f>
        <v/>
      </c>
      <c r="H587" s="33">
        <f>IF(M578=1,IF(ROUND_MODE="للأعلى",CEILING(ROUND((N(H586)+N(E587)*($P$578-$N$578)),3),0.25),ROUND((N(H586)+N(E587)*($P$578-$N$578))*4,0)/4),"")</f>
        <v/>
      </c>
      <c r="I587" s="34">
        <f>IF(M578=1,"قبل الجبر: "&amp;TEXT(N(H586)+N(E587)*($P$578-$N$578),"0.000"),"")</f>
        <v/>
      </c>
    </row>
    <row r="588" ht="26" customHeight="1">
      <c r="A588" s="28">
        <f>IF(M578=1,"إكرامية الأسبوع (دينار) ←","")</f>
        <v/>
      </c>
      <c r="D588" s="35" t="n"/>
      <c r="E588" s="28">
        <f>IF(M578=1,"المدفوع يوم الجمعة (دينار) ←","")</f>
        <v/>
      </c>
      <c r="G588" s="35" t="n"/>
      <c r="H588" s="36">
        <f>IF(M578=1,IF(N(G588)&gt;0,"✔ انقبض — الأسبوع مقفول","⏳ لسا ما انقبض"),"")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74">
    <mergeCell ref="E71:F71"/>
    <mergeCell ref="F103:G103"/>
    <mergeCell ref="E313:F313"/>
    <mergeCell ref="H401:I401"/>
    <mergeCell ref="A192:C192"/>
    <mergeCell ref="F466:G466"/>
    <mergeCell ref="A202:D202"/>
    <mergeCell ref="A58:D58"/>
    <mergeCell ref="E236:F236"/>
    <mergeCell ref="A565:D565"/>
    <mergeCell ref="A181:C181"/>
    <mergeCell ref="A421:D421"/>
    <mergeCell ref="A17:I17"/>
    <mergeCell ref="A545:I545"/>
    <mergeCell ref="E137:F137"/>
    <mergeCell ref="A259:I259"/>
    <mergeCell ref="A424:I424"/>
    <mergeCell ref="E544:F544"/>
    <mergeCell ref="F70:G70"/>
    <mergeCell ref="A564:D564"/>
    <mergeCell ref="E148:F148"/>
    <mergeCell ref="E335:F335"/>
    <mergeCell ref="A124:D124"/>
    <mergeCell ref="A422:D422"/>
    <mergeCell ref="A490:I490"/>
    <mergeCell ref="A368:C368"/>
    <mergeCell ref="A49:C49"/>
    <mergeCell ref="F565:G565"/>
    <mergeCell ref="H456:I456"/>
    <mergeCell ref="E522:F522"/>
    <mergeCell ref="A553:D553"/>
    <mergeCell ref="A411:D411"/>
    <mergeCell ref="H93:I93"/>
    <mergeCell ref="A190:D190"/>
    <mergeCell ref="E588:F588"/>
    <mergeCell ref="A48:D48"/>
    <mergeCell ref="A477:D477"/>
    <mergeCell ref="A357:C357"/>
    <mergeCell ref="E379:F379"/>
    <mergeCell ref="F345:G345"/>
    <mergeCell ref="F411:G411"/>
    <mergeCell ref="A258:C258"/>
    <mergeCell ref="A500:C500"/>
    <mergeCell ref="F488:G488"/>
    <mergeCell ref="A268:D268"/>
    <mergeCell ref="A366:D366"/>
    <mergeCell ref="A60:C60"/>
    <mergeCell ref="E16:F16"/>
    <mergeCell ref="F48:G48"/>
    <mergeCell ref="H104:I104"/>
    <mergeCell ref="A325:I325"/>
    <mergeCell ref="A443:D443"/>
    <mergeCell ref="F477:G477"/>
    <mergeCell ref="A94:I94"/>
    <mergeCell ref="H533:I533"/>
    <mergeCell ref="A281:I281"/>
    <mergeCell ref="A193:I193"/>
    <mergeCell ref="A369:I369"/>
    <mergeCell ref="H137:I137"/>
    <mergeCell ref="A434:C434"/>
    <mergeCell ref="F422:G422"/>
    <mergeCell ref="H335:I335"/>
    <mergeCell ref="A126:C126"/>
    <mergeCell ref="A92:D92"/>
    <mergeCell ref="F114:G114"/>
    <mergeCell ref="A279:D279"/>
    <mergeCell ref="A521:D521"/>
    <mergeCell ref="A300:D300"/>
    <mergeCell ref="A380:I380"/>
    <mergeCell ref="A69:D69"/>
    <mergeCell ref="A367:D367"/>
    <mergeCell ref="A256:D256"/>
    <mergeCell ref="A498:D498"/>
    <mergeCell ref="A345:D345"/>
    <mergeCell ref="A446:I446"/>
    <mergeCell ref="A356:D356"/>
    <mergeCell ref="F92:G92"/>
    <mergeCell ref="A291:C291"/>
    <mergeCell ref="A6:I6"/>
    <mergeCell ref="E258:F258"/>
    <mergeCell ref="F290:G290"/>
    <mergeCell ref="A137:C137"/>
    <mergeCell ref="A379:C379"/>
    <mergeCell ref="A234:D234"/>
    <mergeCell ref="F367:G367"/>
    <mergeCell ref="A566:C566"/>
    <mergeCell ref="A147:D147"/>
    <mergeCell ref="A432:D432"/>
    <mergeCell ref="E126:F126"/>
    <mergeCell ref="E82:F82"/>
    <mergeCell ref="E324:F324"/>
    <mergeCell ref="H412:I412"/>
    <mergeCell ref="A509:D509"/>
    <mergeCell ref="A203:C203"/>
    <mergeCell ref="A160:I160"/>
    <mergeCell ref="A72:I72"/>
    <mergeCell ref="A146:D146"/>
    <mergeCell ref="A435:I435"/>
    <mergeCell ref="H203:I203"/>
    <mergeCell ref="A158:D158"/>
    <mergeCell ref="A587:D587"/>
    <mergeCell ref="H478:I478"/>
    <mergeCell ref="A301:D301"/>
    <mergeCell ref="E159:F159"/>
    <mergeCell ref="H269:I269"/>
    <mergeCell ref="E401:F401"/>
    <mergeCell ref="H181:I181"/>
    <mergeCell ref="A224:D224"/>
    <mergeCell ref="H544:I544"/>
    <mergeCell ref="E203:F203"/>
    <mergeCell ref="A512:I512"/>
    <mergeCell ref="F158:G158"/>
    <mergeCell ref="A71:C71"/>
    <mergeCell ref="A313:C313"/>
    <mergeCell ref="F587:G587"/>
    <mergeCell ref="F356:G356"/>
    <mergeCell ref="F433:G433"/>
    <mergeCell ref="H555:I555"/>
    <mergeCell ref="F224:G224"/>
    <mergeCell ref="E27:F27"/>
    <mergeCell ref="A212:D212"/>
    <mergeCell ref="A148:C148"/>
    <mergeCell ref="A575:D575"/>
    <mergeCell ref="A182:I182"/>
    <mergeCell ref="E93:F93"/>
    <mergeCell ref="A278:D278"/>
    <mergeCell ref="A522:C522"/>
    <mergeCell ref="F510:G510"/>
    <mergeCell ref="A556:I556"/>
    <mergeCell ref="A466:D466"/>
    <mergeCell ref="E38:F38"/>
    <mergeCell ref="E280:F280"/>
    <mergeCell ref="E445:F445"/>
    <mergeCell ref="H368:I368"/>
    <mergeCell ref="A159:C159"/>
    <mergeCell ref="H577:I577"/>
    <mergeCell ref="A116:I116"/>
    <mergeCell ref="H49:I49"/>
    <mergeCell ref="A588:C588"/>
    <mergeCell ref="A169:D169"/>
    <mergeCell ref="A532:D532"/>
    <mergeCell ref="E104:F104"/>
    <mergeCell ref="A391:I391"/>
    <mergeCell ref="E511:F511"/>
    <mergeCell ref="H159:I159"/>
    <mergeCell ref="A444:D444"/>
    <mergeCell ref="F136:G136"/>
    <mergeCell ref="A179:D179"/>
    <mergeCell ref="A543:D543"/>
    <mergeCell ref="H434:I434"/>
    <mergeCell ref="A457:I457"/>
    <mergeCell ref="H225:I225"/>
    <mergeCell ref="A322:D322"/>
    <mergeCell ref="A16:C16"/>
    <mergeCell ref="A423:C423"/>
    <mergeCell ref="A91:D91"/>
    <mergeCell ref="A389:D389"/>
    <mergeCell ref="E489:F489"/>
    <mergeCell ref="A214:C214"/>
    <mergeCell ref="A180:D180"/>
    <mergeCell ref="A456:C456"/>
    <mergeCell ref="F202:G202"/>
    <mergeCell ref="H500:I500"/>
    <mergeCell ref="A248:I248"/>
    <mergeCell ref="H60:I60"/>
    <mergeCell ref="A157:D157"/>
    <mergeCell ref="A455:D455"/>
    <mergeCell ref="A401:C401"/>
    <mergeCell ref="F389:G389"/>
    <mergeCell ref="F180:G180"/>
    <mergeCell ref="A246:D246"/>
    <mergeCell ref="E346:F346"/>
    <mergeCell ref="A37:D37"/>
    <mergeCell ref="A531:D531"/>
    <mergeCell ref="A225:C225"/>
    <mergeCell ref="A467:C467"/>
    <mergeCell ref="H357:I357"/>
    <mergeCell ref="A138:I138"/>
    <mergeCell ref="A235:D235"/>
    <mergeCell ref="A14:D14"/>
    <mergeCell ref="E214:F214"/>
    <mergeCell ref="A312:D312"/>
    <mergeCell ref="E456:F456"/>
    <mergeCell ref="E412:F412"/>
    <mergeCell ref="A335:C335"/>
    <mergeCell ref="E577:F577"/>
    <mergeCell ref="F532:G532"/>
    <mergeCell ref="F246:G246"/>
    <mergeCell ref="F444:G444"/>
    <mergeCell ref="A201:D201"/>
    <mergeCell ref="F235:G235"/>
    <mergeCell ref="H291:I291"/>
    <mergeCell ref="A324:C324"/>
    <mergeCell ref="H302:I302"/>
    <mergeCell ref="A488:D488"/>
    <mergeCell ref="A127:I127"/>
    <mergeCell ref="H566:I566"/>
    <mergeCell ref="A25:D25"/>
    <mergeCell ref="E225:F225"/>
    <mergeCell ref="A314:I314"/>
    <mergeCell ref="A347:I347"/>
    <mergeCell ref="E467:F467"/>
    <mergeCell ref="A534:I534"/>
    <mergeCell ref="A465:D465"/>
    <mergeCell ref="F455:G455"/>
    <mergeCell ref="A567:I567"/>
    <mergeCell ref="A554:D554"/>
    <mergeCell ref="H236:I236"/>
    <mergeCell ref="A533:C533"/>
    <mergeCell ref="A247:C247"/>
    <mergeCell ref="F521:G521"/>
    <mergeCell ref="A204:I204"/>
    <mergeCell ref="A114:D114"/>
    <mergeCell ref="A15:D15"/>
    <mergeCell ref="A257:D257"/>
    <mergeCell ref="A476:D476"/>
    <mergeCell ref="F125:G125"/>
    <mergeCell ref="A28:I28"/>
    <mergeCell ref="F312:G312"/>
    <mergeCell ref="F554:G554"/>
    <mergeCell ref="A39:I39"/>
    <mergeCell ref="H170:I170"/>
    <mergeCell ref="A267:D267"/>
    <mergeCell ref="H71:I71"/>
    <mergeCell ref="H313:I313"/>
    <mergeCell ref="A61:I61"/>
    <mergeCell ref="A135:D135"/>
    <mergeCell ref="A377:D377"/>
    <mergeCell ref="A433:D433"/>
    <mergeCell ref="E368:F368"/>
    <mergeCell ref="A333:D333"/>
    <mergeCell ref="A413:I413"/>
    <mergeCell ref="E533:F533"/>
    <mergeCell ref="E247:F247"/>
    <mergeCell ref="H148:I148"/>
    <mergeCell ref="A245:D245"/>
    <mergeCell ref="E170:F170"/>
    <mergeCell ref="A59:D59"/>
    <mergeCell ref="A479:I479"/>
    <mergeCell ref="H247:I247"/>
    <mergeCell ref="A38:C38"/>
    <mergeCell ref="A280:C280"/>
    <mergeCell ref="A445:C445"/>
    <mergeCell ref="A83:I83"/>
    <mergeCell ref="H522:I522"/>
    <mergeCell ref="A270:I270"/>
    <mergeCell ref="A555:C555"/>
    <mergeCell ref="A388:D388"/>
    <mergeCell ref="A82:C82"/>
    <mergeCell ref="E390:F390"/>
    <mergeCell ref="A136:D136"/>
    <mergeCell ref="A511:C511"/>
    <mergeCell ref="A1:I1"/>
    <mergeCell ref="A586:D586"/>
    <mergeCell ref="E302:F302"/>
    <mergeCell ref="F257:G257"/>
    <mergeCell ref="H588:I588"/>
    <mergeCell ref="A510:D510"/>
    <mergeCell ref="H192:I192"/>
    <mergeCell ref="A489:C489"/>
    <mergeCell ref="A36:D36"/>
    <mergeCell ref="A334:D334"/>
    <mergeCell ref="A576:D576"/>
    <mergeCell ref="H16:I16"/>
    <mergeCell ref="H423:I423"/>
    <mergeCell ref="E555:F555"/>
    <mergeCell ref="A80:D80"/>
    <mergeCell ref="A378:D378"/>
    <mergeCell ref="E478:F478"/>
    <mergeCell ref="A346:C346"/>
    <mergeCell ref="F499:G499"/>
    <mergeCell ref="A149:I149"/>
    <mergeCell ref="A27:C27"/>
    <mergeCell ref="E269:F269"/>
    <mergeCell ref="A454:D454"/>
    <mergeCell ref="A578:I578"/>
    <mergeCell ref="A50:I50"/>
    <mergeCell ref="A390:C390"/>
    <mergeCell ref="A577:C577"/>
    <mergeCell ref="F169:G169"/>
    <mergeCell ref="H467:I467"/>
    <mergeCell ref="A215:I215"/>
    <mergeCell ref="A520:D520"/>
    <mergeCell ref="H258:I258"/>
    <mergeCell ref="F37:G37"/>
    <mergeCell ref="F543:G543"/>
    <mergeCell ref="A226:I226"/>
    <mergeCell ref="A213:D213"/>
    <mergeCell ref="H126:I126"/>
    <mergeCell ref="E192:F192"/>
    <mergeCell ref="H82:I82"/>
    <mergeCell ref="H324:I324"/>
    <mergeCell ref="A501:I501"/>
    <mergeCell ref="A292:I292"/>
    <mergeCell ref="F576:G576"/>
    <mergeCell ref="A81:D81"/>
    <mergeCell ref="A323:D323"/>
    <mergeCell ref="E181:F181"/>
    <mergeCell ref="A302:C302"/>
    <mergeCell ref="A289:D289"/>
    <mergeCell ref="A2:I2"/>
    <mergeCell ref="F15:G15"/>
    <mergeCell ref="F213:G213"/>
    <mergeCell ref="F378:G378"/>
    <mergeCell ref="A70:D70"/>
    <mergeCell ref="A399:D399"/>
    <mergeCell ref="A93:C93"/>
    <mergeCell ref="A355:D355"/>
    <mergeCell ref="E49:F49"/>
    <mergeCell ref="F81:G81"/>
    <mergeCell ref="H379:I379"/>
    <mergeCell ref="A223:D223"/>
    <mergeCell ref="E434:F434"/>
    <mergeCell ref="A523:I523"/>
    <mergeCell ref="E115:F115"/>
    <mergeCell ref="A311:D311"/>
    <mergeCell ref="A125:D125"/>
    <mergeCell ref="A105:I105"/>
    <mergeCell ref="A104:C104"/>
    <mergeCell ref="A468:I468"/>
    <mergeCell ref="E500:F500"/>
    <mergeCell ref="A191:D191"/>
    <mergeCell ref="A171:I171"/>
    <mergeCell ref="E291:F291"/>
    <mergeCell ref="A336:I336"/>
    <mergeCell ref="A170:C170"/>
    <mergeCell ref="F323:G323"/>
    <mergeCell ref="F279:G279"/>
    <mergeCell ref="A402:I402"/>
    <mergeCell ref="A26:D26"/>
    <mergeCell ref="F147:G147"/>
    <mergeCell ref="H38:I38"/>
    <mergeCell ref="E357:F357"/>
    <mergeCell ref="H445:I445"/>
    <mergeCell ref="A542:D542"/>
    <mergeCell ref="A236:C236"/>
    <mergeCell ref="A3:I3"/>
    <mergeCell ref="A102:D102"/>
    <mergeCell ref="A344:D344"/>
    <mergeCell ref="A400:D400"/>
    <mergeCell ref="A303:I303"/>
    <mergeCell ref="H511:I511"/>
    <mergeCell ref="F334:G334"/>
    <mergeCell ref="A103:D103"/>
    <mergeCell ref="A168:D168"/>
    <mergeCell ref="A412:C412"/>
    <mergeCell ref="F400:G400"/>
    <mergeCell ref="E566:F566"/>
    <mergeCell ref="H489:I489"/>
    <mergeCell ref="A113:D113"/>
    <mergeCell ref="A237:I237"/>
    <mergeCell ref="A499:D499"/>
    <mergeCell ref="A478:C478"/>
    <mergeCell ref="A290:D290"/>
    <mergeCell ref="F191:G191"/>
    <mergeCell ref="H280:I280"/>
    <mergeCell ref="F59:G59"/>
    <mergeCell ref="F301:G301"/>
    <mergeCell ref="A269:C269"/>
    <mergeCell ref="E60:F60"/>
    <mergeCell ref="F26:G26"/>
    <mergeCell ref="F268:G268"/>
    <mergeCell ref="E423:F423"/>
    <mergeCell ref="A115:C115"/>
    <mergeCell ref="H346:I346"/>
    <mergeCell ref="H115:I115"/>
    <mergeCell ref="A544:C544"/>
    <mergeCell ref="A410:D410"/>
    <mergeCell ref="H27:I27"/>
    <mergeCell ref="H214:I214"/>
    <mergeCell ref="H390:I390"/>
    <mergeCell ref="A487:D487"/>
    <mergeCell ref="A358:I358"/>
    <mergeCell ref="A47:D47"/>
  </mergeCells>
  <conditionalFormatting sqref="C6:D588">
    <cfRule type="expression" priority="1" dxfId="0">
      <formula>AND($M6=1,$K6&lt;&gt;"",$L6&lt;&gt;"",WEEKDAY($A6,1)=6,OR($K6&lt;OMR_FRI_IN,$L6&gt;OMR_FRI_OUT))</formula>
    </cfRule>
  </conditionalFormatting>
  <conditionalFormatting sqref="A6:I588">
    <cfRule type="expression" priority="2" dxfId="1">
      <formula>$M6=0</formula>
    </cfRule>
    <cfRule type="expression" priority="3" dxfId="2">
      <formula>AND($M6=1,$Q6=1)</formula>
    </cfRule>
  </conditionalFormatting>
  <conditionalFormatting sqref="A6:A588">
    <cfRule type="expression" priority="4" dxfId="3">
      <formula>AND(ISNUMBER($A6),$A6&gt;=SAT1+7*(CURWK-1),$A6&lt;=SAT1+7*(CURWK-1)+6)</formula>
    </cfRule>
  </conditionalFormatting>
  <conditionalFormatting sqref="H15">
    <cfRule type="expression" priority="5" dxfId="4">
      <formula>H15&lt;&gt;""</formula>
    </cfRule>
  </conditionalFormatting>
  <conditionalFormatting sqref="H26">
    <cfRule type="expression" priority="6" dxfId="4">
      <formula>H26&lt;&gt;""</formula>
    </cfRule>
  </conditionalFormatting>
  <conditionalFormatting sqref="H37">
    <cfRule type="expression" priority="7" dxfId="4">
      <formula>H37&lt;&gt;""</formula>
    </cfRule>
  </conditionalFormatting>
  <conditionalFormatting sqref="H48">
    <cfRule type="expression" priority="8" dxfId="4">
      <formula>H48&lt;&gt;""</formula>
    </cfRule>
  </conditionalFormatting>
  <conditionalFormatting sqref="H59">
    <cfRule type="expression" priority="9" dxfId="4">
      <formula>H59&lt;&gt;""</formula>
    </cfRule>
  </conditionalFormatting>
  <conditionalFormatting sqref="H70">
    <cfRule type="expression" priority="10" dxfId="4">
      <formula>H70&lt;&gt;""</formula>
    </cfRule>
  </conditionalFormatting>
  <conditionalFormatting sqref="H81">
    <cfRule type="expression" priority="11" dxfId="4">
      <formula>H81&lt;&gt;""</formula>
    </cfRule>
  </conditionalFormatting>
  <conditionalFormatting sqref="H92">
    <cfRule type="expression" priority="12" dxfId="4">
      <formula>H92&lt;&gt;""</formula>
    </cfRule>
  </conditionalFormatting>
  <conditionalFormatting sqref="H103">
    <cfRule type="expression" priority="13" dxfId="4">
      <formula>H103&lt;&gt;""</formula>
    </cfRule>
  </conditionalFormatting>
  <conditionalFormatting sqref="H114">
    <cfRule type="expression" priority="14" dxfId="4">
      <formula>H114&lt;&gt;""</formula>
    </cfRule>
  </conditionalFormatting>
  <conditionalFormatting sqref="H125">
    <cfRule type="expression" priority="15" dxfId="4">
      <formula>H125&lt;&gt;""</formula>
    </cfRule>
  </conditionalFormatting>
  <conditionalFormatting sqref="H136">
    <cfRule type="expression" priority="16" dxfId="4">
      <formula>H136&lt;&gt;""</formula>
    </cfRule>
  </conditionalFormatting>
  <conditionalFormatting sqref="H147">
    <cfRule type="expression" priority="17" dxfId="4">
      <formula>H147&lt;&gt;""</formula>
    </cfRule>
  </conditionalFormatting>
  <conditionalFormatting sqref="H158">
    <cfRule type="expression" priority="18" dxfId="4">
      <formula>H158&lt;&gt;""</formula>
    </cfRule>
  </conditionalFormatting>
  <conditionalFormatting sqref="H169">
    <cfRule type="expression" priority="19" dxfId="4">
      <formula>H169&lt;&gt;""</formula>
    </cfRule>
  </conditionalFormatting>
  <conditionalFormatting sqref="H180">
    <cfRule type="expression" priority="20" dxfId="4">
      <formula>H180&lt;&gt;""</formula>
    </cfRule>
  </conditionalFormatting>
  <conditionalFormatting sqref="H191">
    <cfRule type="expression" priority="21" dxfId="4">
      <formula>H191&lt;&gt;""</formula>
    </cfRule>
  </conditionalFormatting>
  <conditionalFormatting sqref="H202">
    <cfRule type="expression" priority="22" dxfId="4">
      <formula>H202&lt;&gt;""</formula>
    </cfRule>
  </conditionalFormatting>
  <conditionalFormatting sqref="H213">
    <cfRule type="expression" priority="23" dxfId="4">
      <formula>H213&lt;&gt;""</formula>
    </cfRule>
  </conditionalFormatting>
  <conditionalFormatting sqref="H224">
    <cfRule type="expression" priority="24" dxfId="4">
      <formula>H224&lt;&gt;""</formula>
    </cfRule>
  </conditionalFormatting>
  <conditionalFormatting sqref="H235">
    <cfRule type="expression" priority="25" dxfId="4">
      <formula>H235&lt;&gt;""</formula>
    </cfRule>
  </conditionalFormatting>
  <conditionalFormatting sqref="H246">
    <cfRule type="expression" priority="26" dxfId="4">
      <formula>H246&lt;&gt;""</formula>
    </cfRule>
  </conditionalFormatting>
  <conditionalFormatting sqref="H257">
    <cfRule type="expression" priority="27" dxfId="4">
      <formula>H257&lt;&gt;""</formula>
    </cfRule>
  </conditionalFormatting>
  <conditionalFormatting sqref="H268">
    <cfRule type="expression" priority="28" dxfId="4">
      <formula>H268&lt;&gt;""</formula>
    </cfRule>
  </conditionalFormatting>
  <conditionalFormatting sqref="H279">
    <cfRule type="expression" priority="29" dxfId="4">
      <formula>H279&lt;&gt;""</formula>
    </cfRule>
  </conditionalFormatting>
  <conditionalFormatting sqref="H290">
    <cfRule type="expression" priority="30" dxfId="4">
      <formula>H290&lt;&gt;""</formula>
    </cfRule>
  </conditionalFormatting>
  <conditionalFormatting sqref="H301">
    <cfRule type="expression" priority="31" dxfId="4">
      <formula>H301&lt;&gt;""</formula>
    </cfRule>
  </conditionalFormatting>
  <conditionalFormatting sqref="H312">
    <cfRule type="expression" priority="32" dxfId="4">
      <formula>H312&lt;&gt;""</formula>
    </cfRule>
  </conditionalFormatting>
  <conditionalFormatting sqref="H323">
    <cfRule type="expression" priority="33" dxfId="4">
      <formula>H323&lt;&gt;""</formula>
    </cfRule>
  </conditionalFormatting>
  <conditionalFormatting sqref="H334">
    <cfRule type="expression" priority="34" dxfId="4">
      <formula>H334&lt;&gt;""</formula>
    </cfRule>
  </conditionalFormatting>
  <conditionalFormatting sqref="H345">
    <cfRule type="expression" priority="35" dxfId="4">
      <formula>H345&lt;&gt;""</formula>
    </cfRule>
  </conditionalFormatting>
  <conditionalFormatting sqref="H356">
    <cfRule type="expression" priority="36" dxfId="4">
      <formula>H356&lt;&gt;""</formula>
    </cfRule>
  </conditionalFormatting>
  <conditionalFormatting sqref="H367">
    <cfRule type="expression" priority="37" dxfId="4">
      <formula>H367&lt;&gt;""</formula>
    </cfRule>
  </conditionalFormatting>
  <conditionalFormatting sqref="H378">
    <cfRule type="expression" priority="38" dxfId="4">
      <formula>H378&lt;&gt;""</formula>
    </cfRule>
  </conditionalFormatting>
  <conditionalFormatting sqref="H389">
    <cfRule type="expression" priority="39" dxfId="4">
      <formula>H389&lt;&gt;""</formula>
    </cfRule>
  </conditionalFormatting>
  <conditionalFormatting sqref="H400">
    <cfRule type="expression" priority="40" dxfId="4">
      <formula>H400&lt;&gt;""</formula>
    </cfRule>
  </conditionalFormatting>
  <conditionalFormatting sqref="H411">
    <cfRule type="expression" priority="41" dxfId="4">
      <formula>H411&lt;&gt;""</formula>
    </cfRule>
  </conditionalFormatting>
  <conditionalFormatting sqref="H422">
    <cfRule type="expression" priority="42" dxfId="4">
      <formula>H422&lt;&gt;""</formula>
    </cfRule>
  </conditionalFormatting>
  <conditionalFormatting sqref="H433">
    <cfRule type="expression" priority="43" dxfId="4">
      <formula>H433&lt;&gt;""</formula>
    </cfRule>
  </conditionalFormatting>
  <conditionalFormatting sqref="H444">
    <cfRule type="expression" priority="44" dxfId="4">
      <formula>H444&lt;&gt;""</formula>
    </cfRule>
  </conditionalFormatting>
  <conditionalFormatting sqref="H455">
    <cfRule type="expression" priority="45" dxfId="4">
      <formula>H455&lt;&gt;""</formula>
    </cfRule>
  </conditionalFormatting>
  <conditionalFormatting sqref="H466">
    <cfRule type="expression" priority="46" dxfId="4">
      <formula>H466&lt;&gt;""</formula>
    </cfRule>
  </conditionalFormatting>
  <conditionalFormatting sqref="H477">
    <cfRule type="expression" priority="47" dxfId="4">
      <formula>H477&lt;&gt;""</formula>
    </cfRule>
  </conditionalFormatting>
  <conditionalFormatting sqref="H488">
    <cfRule type="expression" priority="48" dxfId="4">
      <formula>H488&lt;&gt;""</formula>
    </cfRule>
  </conditionalFormatting>
  <conditionalFormatting sqref="H499">
    <cfRule type="expression" priority="49" dxfId="4">
      <formula>H499&lt;&gt;""</formula>
    </cfRule>
  </conditionalFormatting>
  <conditionalFormatting sqref="H510">
    <cfRule type="expression" priority="50" dxfId="4">
      <formula>H510&lt;&gt;""</formula>
    </cfRule>
  </conditionalFormatting>
  <conditionalFormatting sqref="H521">
    <cfRule type="expression" priority="51" dxfId="4">
      <formula>H521&lt;&gt;""</formula>
    </cfRule>
  </conditionalFormatting>
  <conditionalFormatting sqref="H532">
    <cfRule type="expression" priority="52" dxfId="4">
      <formula>H532&lt;&gt;""</formula>
    </cfRule>
  </conditionalFormatting>
  <conditionalFormatting sqref="H543">
    <cfRule type="expression" priority="53" dxfId="4">
      <formula>H543&lt;&gt;""</formula>
    </cfRule>
  </conditionalFormatting>
  <conditionalFormatting sqref="H554">
    <cfRule type="expression" priority="54" dxfId="4">
      <formula>H554&lt;&gt;""</formula>
    </cfRule>
  </conditionalFormatting>
  <conditionalFormatting sqref="H565">
    <cfRule type="expression" priority="55" dxfId="4">
      <formula>H565&lt;&gt;""</formula>
    </cfRule>
  </conditionalFormatting>
  <conditionalFormatting sqref="H576">
    <cfRule type="expression" priority="56" dxfId="4">
      <formula>H576&lt;&gt;""</formula>
    </cfRule>
  </conditionalFormatting>
  <conditionalFormatting sqref="H587">
    <cfRule type="expression" priority="57" dxfId="4">
      <formula>H587&lt;&gt;""</formula>
    </cfRule>
  </conditionalFormatting>
  <dataValidations count="1">
    <dataValidation sqref="C6:D588" showDropDown="0" showInputMessage="0" showErrorMessage="0" allowBlank="1" type="list">
      <formula1>='القوائم'!$A$1:$A$288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0" customWidth="1" min="5" max="5"/>
    <col width="14" customWidth="1" min="6" max="6"/>
    <col width="9" customWidth="1" min="7" max="7"/>
    <col width="34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2" customHeight="1">
      <c r="A1" s="37" t="inlineStr">
        <is>
          <t>ساعات عبدالعزيز — بيقبض نهاية كل يوم وبيتسوّى الجمعة</t>
        </is>
      </c>
    </row>
    <row r="2" ht="22" customHeight="1">
      <c r="A2" s="38">
        <f>"سنة "&amp;YR&amp;"   (السنة بتنختار من ورقة التسوية)"</f>
        <v/>
      </c>
    </row>
    <row r="3" ht="40" customHeight="1">
      <c r="A3" s="17" t="inlineStr">
        <is>
          <t>دينار للساعة أي يوم. مستحق كل يوم مجبور لربع دينار. لما يقبض آخر اليوم: «قبض؟ نعم» — المبلغ = مستحق اليوم. اللي قبضه يومياً دفعة مقدّمة بتنخصم من تسوية الجمعة. تحت كل أسبوع: الجبسمبورد · المستحق النهائي · الإكرامية · المدفوع يوم الجمعة (التسوية).</t>
        </is>
      </c>
    </row>
    <row r="5" ht="32" customHeight="1">
      <c r="A5" s="39" t="inlineStr">
        <is>
          <t>التاريخ</t>
        </is>
      </c>
      <c r="B5" s="39" t="inlineStr">
        <is>
          <t>اليوم</t>
        </is>
      </c>
      <c r="C5" s="39" t="inlineStr">
        <is>
          <t>دخول</t>
        </is>
      </c>
      <c r="D5" s="39" t="inlineStr">
        <is>
          <t>خروج</t>
        </is>
      </c>
      <c r="E5" s="39" t="inlineStr">
        <is>
          <t>عدد الساعات</t>
        </is>
      </c>
      <c r="F5" s="39" t="inlineStr">
        <is>
          <t>مستحق اليوم (دينار)</t>
        </is>
      </c>
      <c r="G5" s="39" t="inlineStr">
        <is>
          <t>قبض؟</t>
        </is>
      </c>
      <c r="H5" s="39" t="inlineStr">
        <is>
          <t>ملاحظات</t>
        </is>
      </c>
    </row>
    <row r="6" ht="26" customHeight="1">
      <c r="A6" s="40">
        <f>IF(1&lt;=NW,"الأسبوع 1 · السبت "&amp;TEXT(DAY(SAT1+0),"00")&amp;"/"&amp;TEXT(MONTH(SAT1+0),"00")&amp;" ← الجمعة "&amp;TEXT(DAY(SAT1+6),"00")&amp;"/"&amp;TEXT(MONTH(SAT1+6),"00")&amp;" (يوم القبض)"&amp;IF(1&lt;START_Z,"   — قبل أسبوع البداية (ما بينحسب)",""),"ما في أسبوع 1 هالسنة")</f>
        <v/>
      </c>
      <c r="L6" s="19">
        <f>IF(1&lt;=NW,SAT1+6,"")</f>
        <v/>
      </c>
      <c r="M6">
        <f>IF(AND(1&lt;=NW,1&gt;=START_Z),1,0)</f>
        <v/>
      </c>
      <c r="N6">
        <f>IFERROR(INDEX(RT_AZZ,MATCH(L6,RT_K,1)),INDEX(RT_AZZ,1))</f>
        <v/>
      </c>
      <c r="P6">
        <f>IFERROR(INDEX(RT_GYP,MATCH(L6,RT_K,1)),INDEX(RT_GYP,1))</f>
        <v/>
      </c>
    </row>
    <row r="7">
      <c r="A7" s="20">
        <f>IF(1&lt;=NW,SAT1+0,"")</f>
        <v/>
      </c>
      <c r="B7" s="21">
        <f>IF(A7="","",CHOOSE(WEEKDAY(A7,1),"الأحد","الاثنين","الثلاثاء","الأربعاء","الخميس","الجمعة","السبت"))</f>
        <v/>
      </c>
      <c r="C7" s="22" t="n"/>
      <c r="D7" s="22" t="n"/>
      <c r="E7" s="23">
        <f>IF(OR(M7=0,K7="",L7=""),"",MOD(L7-K7,1))</f>
        <v/>
      </c>
      <c r="F7" s="24">
        <f>IF(OR(E7="",M7=0),"",IF(ROUND_MODE="للأعلى",CEILING(ROUND((E7*24*$N$6),3),0.25),ROUND((E7*24*$N$6)*4,0)/4))</f>
        <v/>
      </c>
      <c r="G7" s="22" t="n"/>
      <c r="H7" s="22" t="n"/>
      <c r="K7" s="25">
        <f>IF(OR(M7=0,C7=""),"",IF(ISNUMBER(C7),MOD(C7,1),IFERROR(INDEX('القوائم'!$B$1:$B$288,MATCH(TRIM(C7),'القوائم'!$A$1:$A$288,0)),IFERROR(MOD(TIMEVALUE(C7),1),""))))</f>
        <v/>
      </c>
      <c r="L7" s="25">
        <f>IF(OR(M7=0,D7=""),"",IF(ISNUMBER(D7),MOD(D7,1),IFERROR(INDEX('القوائم'!$B$1:$B$288,MATCH(TRIM(D7),'القوائم'!$A$1:$A$288,0)),IFERROR(MOD(TIMEVALUE(D7),1),""))))</f>
        <v/>
      </c>
      <c r="M7">
        <f>M6</f>
        <v/>
      </c>
      <c r="Q7">
        <f>IF(N(F16)&gt;0,1,0)</f>
        <v/>
      </c>
    </row>
    <row r="8">
      <c r="A8" s="20">
        <f>IF(1&lt;=NW,SAT1+1,"")</f>
        <v/>
      </c>
      <c r="B8" s="21">
        <f>IF(A8="","",CHOOSE(WEEKDAY(A8,1),"الأحد","الاثنين","الثلاثاء","الأربعاء","الخميس","الجمعة","السبت"))</f>
        <v/>
      </c>
      <c r="C8" s="22" t="n"/>
      <c r="D8" s="22" t="n"/>
      <c r="E8" s="23">
        <f>IF(OR(M8=0,K8="",L8=""),"",MOD(L8-K8,1))</f>
        <v/>
      </c>
      <c r="F8" s="24">
        <f>IF(OR(E8="",M8=0),"",IF(ROUND_MODE="للأعلى",CEILING(ROUND((E8*24*$N$6),3),0.25),ROUND((E8*24*$N$6)*4,0)/4))</f>
        <v/>
      </c>
      <c r="G8" s="22" t="n"/>
      <c r="H8" s="22" t="n"/>
      <c r="K8" s="25">
        <f>IF(OR(M8=0,C8=""),"",IF(ISNUMBER(C8),MOD(C8,1),IFERROR(INDEX('القوائم'!$B$1:$B$288,MATCH(TRIM(C8),'القوائم'!$A$1:$A$288,0)),IFERROR(MOD(TIMEVALUE(C8),1),""))))</f>
        <v/>
      </c>
      <c r="L8" s="25">
        <f>IF(OR(M8=0,D8=""),"",IF(ISNUMBER(D8),MOD(D8,1),IFERROR(INDEX('القوائم'!$B$1:$B$288,MATCH(TRIM(D8),'القوائم'!$A$1:$A$288,0)),IFERROR(MOD(TIMEVALUE(D8),1),""))))</f>
        <v/>
      </c>
      <c r="M8">
        <f>M6</f>
        <v/>
      </c>
      <c r="Q8">
        <f>IF(N(F16)&gt;0,1,0)</f>
        <v/>
      </c>
    </row>
    <row r="9">
      <c r="A9" s="20">
        <f>IF(1&lt;=NW,SAT1+2,"")</f>
        <v/>
      </c>
      <c r="B9" s="21">
        <f>IF(A9="","",CHOOSE(WEEKDAY(A9,1),"الأحد","الاثنين","الثلاثاء","الأربعاء","الخميس","الجمعة","السبت"))</f>
        <v/>
      </c>
      <c r="C9" s="22" t="n"/>
      <c r="D9" s="22" t="n"/>
      <c r="E9" s="23">
        <f>IF(OR(M9=0,K9="",L9=""),"",MOD(L9-K9,1))</f>
        <v/>
      </c>
      <c r="F9" s="24">
        <f>IF(OR(E9="",M9=0),"",IF(ROUND_MODE="للأعلى",CEILING(ROUND((E9*24*$N$6),3),0.25),ROUND((E9*24*$N$6)*4,0)/4))</f>
        <v/>
      </c>
      <c r="G9" s="22" t="n"/>
      <c r="H9" s="22" t="n"/>
      <c r="K9" s="25">
        <f>IF(OR(M9=0,C9=""),"",IF(ISNUMBER(C9),MOD(C9,1),IFERROR(INDEX('القوائم'!$B$1:$B$288,MATCH(TRIM(C9),'القوائم'!$A$1:$A$288,0)),IFERROR(MOD(TIMEVALUE(C9),1),""))))</f>
        <v/>
      </c>
      <c r="L9" s="25">
        <f>IF(OR(M9=0,D9=""),"",IF(ISNUMBER(D9),MOD(D9,1),IFERROR(INDEX('القوائم'!$B$1:$B$288,MATCH(TRIM(D9),'القوائم'!$A$1:$A$288,0)),IFERROR(MOD(TIMEVALUE(D9),1),""))))</f>
        <v/>
      </c>
      <c r="M9">
        <f>M6</f>
        <v/>
      </c>
      <c r="Q9">
        <f>IF(N(F16)&gt;0,1,0)</f>
        <v/>
      </c>
    </row>
    <row r="10">
      <c r="A10" s="20">
        <f>IF(1&lt;=NW,SAT1+3,"")</f>
        <v/>
      </c>
      <c r="B10" s="21">
        <f>IF(A10="","",CHOOSE(WEEKDAY(A10,1),"الأحد","الاثنين","الثلاثاء","الأربعاء","الخميس","الجمعة","السبت"))</f>
        <v/>
      </c>
      <c r="C10" s="22" t="n"/>
      <c r="D10" s="22" t="n"/>
      <c r="E10" s="23">
        <f>IF(OR(M10=0,K10="",L10=""),"",MOD(L10-K10,1))</f>
        <v/>
      </c>
      <c r="F10" s="24">
        <f>IF(OR(E10="",M10=0),"",IF(ROUND_MODE="للأعلى",CEILING(ROUND((E10*24*$N$6),3),0.25),ROUND((E10*24*$N$6)*4,0)/4))</f>
        <v/>
      </c>
      <c r="G10" s="22" t="n"/>
      <c r="H10" s="22" t="n"/>
      <c r="K10" s="25">
        <f>IF(OR(M10=0,C10=""),"",IF(ISNUMBER(C10),MOD(C10,1),IFERROR(INDEX('القوائم'!$B$1:$B$288,MATCH(TRIM(C10),'القوائم'!$A$1:$A$288,0)),IFERROR(MOD(TIMEVALUE(C10),1),""))))</f>
        <v/>
      </c>
      <c r="L10" s="25">
        <f>IF(OR(M10=0,D10=""),"",IF(ISNUMBER(D10),MOD(D10,1),IFERROR(INDEX('القوائم'!$B$1:$B$288,MATCH(TRIM(D10),'القوائم'!$A$1:$A$288,0)),IFERROR(MOD(TIMEVALUE(D10),1),""))))</f>
        <v/>
      </c>
      <c r="M10">
        <f>M6</f>
        <v/>
      </c>
      <c r="Q10">
        <f>IF(N(F16)&gt;0,1,0)</f>
        <v/>
      </c>
    </row>
    <row r="11">
      <c r="A11" s="20">
        <f>IF(1&lt;=NW,SAT1+4,"")</f>
        <v/>
      </c>
      <c r="B11" s="21">
        <f>IF(A11="","",CHOOSE(WEEKDAY(A11,1),"الأحد","الاثنين","الثلاثاء","الأربعاء","الخميس","الجمعة","السبت"))</f>
        <v/>
      </c>
      <c r="C11" s="22" t="n"/>
      <c r="D11" s="22" t="n"/>
      <c r="E11" s="23">
        <f>IF(OR(M11=0,K11="",L11=""),"",MOD(L11-K11,1))</f>
        <v/>
      </c>
      <c r="F11" s="24">
        <f>IF(OR(E11="",M11=0),"",IF(ROUND_MODE="للأعلى",CEILING(ROUND((E11*24*$N$6),3),0.25),ROUND((E11*24*$N$6)*4,0)/4))</f>
        <v/>
      </c>
      <c r="G11" s="22" t="n"/>
      <c r="H11" s="22" t="n"/>
      <c r="K11" s="25">
        <f>IF(OR(M11=0,C11=""),"",IF(ISNUMBER(C11),MOD(C11,1),IFERROR(INDEX('القوائم'!$B$1:$B$288,MATCH(TRIM(C11),'القوائم'!$A$1:$A$288,0)),IFERROR(MOD(TIMEVALUE(C11),1),""))))</f>
        <v/>
      </c>
      <c r="L11" s="25">
        <f>IF(OR(M11=0,D11=""),"",IF(ISNUMBER(D11),MOD(D11,1),IFERROR(INDEX('القوائم'!$B$1:$B$288,MATCH(TRIM(D11),'القوائم'!$A$1:$A$288,0)),IFERROR(MOD(TIMEVALUE(D11),1),""))))</f>
        <v/>
      </c>
      <c r="M11">
        <f>M6</f>
        <v/>
      </c>
      <c r="Q11">
        <f>IF(N(F16)&gt;0,1,0)</f>
        <v/>
      </c>
    </row>
    <row r="12">
      <c r="A12" s="20">
        <f>IF(1&lt;=NW,SAT1+5,"")</f>
        <v/>
      </c>
      <c r="B12" s="21">
        <f>IF(A12="","",CHOOSE(WEEKDAY(A12,1),"الأحد","الاثنين","الثلاثاء","الأربعاء","الخميس","الجمعة","السبت"))</f>
        <v/>
      </c>
      <c r="C12" s="22" t="n"/>
      <c r="D12" s="22" t="n"/>
      <c r="E12" s="23">
        <f>IF(OR(M12=0,K12="",L12=""),"",MOD(L12-K12,1))</f>
        <v/>
      </c>
      <c r="F12" s="24">
        <f>IF(OR(E12="",M12=0),"",IF(ROUND_MODE="للأعلى",CEILING(ROUND((E12*24*$N$6),3),0.25),ROUND((E12*24*$N$6)*4,0)/4))</f>
        <v/>
      </c>
      <c r="G12" s="22" t="n"/>
      <c r="H12" s="22" t="n"/>
      <c r="K12" s="25">
        <f>IF(OR(M12=0,C12=""),"",IF(ISNUMBER(C12),MOD(C12,1),IFERROR(INDEX('القوائم'!$B$1:$B$288,MATCH(TRIM(C12),'القوائم'!$A$1:$A$288,0)),IFERROR(MOD(TIMEVALUE(C12),1),""))))</f>
        <v/>
      </c>
      <c r="L12" s="25">
        <f>IF(OR(M12=0,D12=""),"",IF(ISNUMBER(D12),MOD(D12,1),IFERROR(INDEX('القوائم'!$B$1:$B$288,MATCH(TRIM(D12),'القوائم'!$A$1:$A$288,0)),IFERROR(MOD(TIMEVALUE(D12),1),""))))</f>
        <v/>
      </c>
      <c r="M12">
        <f>M6</f>
        <v/>
      </c>
      <c r="Q12">
        <f>IF(N(F16)&gt;0,1,0)</f>
        <v/>
      </c>
    </row>
    <row r="13">
      <c r="A13" s="26">
        <f>IF(1&lt;=NW,SAT1+6,"")</f>
        <v/>
      </c>
      <c r="B13" s="27">
        <f>IF(A13="","",CHOOSE(WEEKDAY(A13,1),"الأحد","الاثنين","الثلاثاء","الأربعاء","الخميس","الجمعة","السبت"))</f>
        <v/>
      </c>
      <c r="C13" s="22" t="n"/>
      <c r="D13" s="22" t="n"/>
      <c r="E13" s="23">
        <f>IF(OR(M13=0,K13="",L13=""),"",MOD(L13-K13,1))</f>
        <v/>
      </c>
      <c r="F13" s="24">
        <f>IF(OR(E13="",M13=0),"",IF(ROUND_MODE="للأعلى",CEILING(ROUND((E13*24*$N$6),3),0.25),ROUND((E13*24*$N$6)*4,0)/4))</f>
        <v/>
      </c>
      <c r="G13" s="22" t="n"/>
      <c r="H13" s="22" t="n"/>
      <c r="K13" s="25">
        <f>IF(OR(M13=0,C13=""),"",IF(ISNUMBER(C13),MOD(C13,1),IFERROR(INDEX('القوائم'!$B$1:$B$288,MATCH(TRIM(C13),'القوائم'!$A$1:$A$288,0)),IFERROR(MOD(TIMEVALUE(C13),1),""))))</f>
        <v/>
      </c>
      <c r="L13" s="25">
        <f>IF(OR(M13=0,D13=""),"",IF(ISNUMBER(D13),MOD(D13,1),IFERROR(INDEX('القوائم'!$B$1:$B$288,MATCH(TRIM(D13),'القوائم'!$A$1:$A$288,0)),IFERROR(MOD(TIMEVALUE(D13),1),""))))</f>
        <v/>
      </c>
      <c r="M13">
        <f>M6</f>
        <v/>
      </c>
      <c r="Q13">
        <f>IF(N(F16)&gt;0,1,0)</f>
        <v/>
      </c>
    </row>
    <row r="14">
      <c r="A14" s="28">
        <f>IF(M6=1,"مجموع أيام الأسبوع 1","")</f>
        <v/>
      </c>
      <c r="B14" s="28" t="n"/>
      <c r="C14" s="28" t="n"/>
      <c r="D14" s="28" t="n"/>
      <c r="E14" s="29">
        <f>IF(M6=1,SUM(E7:E13),"")</f>
        <v/>
      </c>
      <c r="F14" s="30">
        <f>IF(M6=1,SUM(F7:F13),"")</f>
        <v/>
      </c>
      <c r="G14" s="41">
        <f>IF(M6=1,SUMIFS(F7:F13,G7:G13,"نعم"),"")</f>
        <v/>
      </c>
      <c r="H14" s="28" t="n"/>
    </row>
    <row r="15" ht="32" customHeight="1">
      <c r="A15" s="28">
        <f>IF(M6=1,"ساعات تحميل الجبسمبورد بهالأسبوع (رقم: 2 أو 1.5) ←","")</f>
        <v/>
      </c>
      <c r="E15" s="31" t="n"/>
      <c r="F15" s="33">
        <f>IF(M6=1,N(F14)+IF(ROUND_MODE="للأعلى",CEILING(ROUND((N(E15)*($P$6-$N$6)),3),0.25),ROUND((N(E15)*($P$6-$N$6))*4,0)/4),"")</f>
        <v/>
      </c>
      <c r="G15" s="32">
        <f>IF(M6=1,"← المستحق النهائي للأسبوع (دينار) مع فرق الجبسمبورد","")</f>
        <v/>
      </c>
    </row>
    <row r="16" ht="26" customHeight="1">
      <c r="A16" s="28">
        <f>IF(M6=1,"إكرامية الأسبوع ←","")</f>
        <v/>
      </c>
      <c r="C16" s="35" t="n"/>
      <c r="D16" s="28">
        <f>IF(M6=1,"المدفوع يوم الجمعة (التسوية) ←","")</f>
        <v/>
      </c>
      <c r="F16" s="35" t="n"/>
      <c r="G16" s="36">
        <f>IF(M6=1,IF(N(F16)&gt;0,"✔ انقبض — الأسبوع مقفول","⏳ لسا ما انقبض"),"")</f>
        <v/>
      </c>
    </row>
    <row r="17" ht="26" customHeight="1">
      <c r="A17" s="40">
        <f>IF(2&lt;=NW,"الأسبوع 2 · السبت "&amp;TEXT(DAY(SAT1+7),"00")&amp;"/"&amp;TEXT(MONTH(SAT1+7),"00")&amp;" ← الجمعة "&amp;TEXT(DAY(SAT1+13),"00")&amp;"/"&amp;TEXT(MONTH(SAT1+13),"00")&amp;" (يوم القبض)"&amp;IF(2&lt;START_Z,"   — قبل أسبوع البداية (ما بينحسب)",""),"ما في أسبوع 2 هالسنة")</f>
        <v/>
      </c>
      <c r="L17" s="19">
        <f>IF(2&lt;=NW,SAT1+13,"")</f>
        <v/>
      </c>
      <c r="M17">
        <f>IF(AND(2&lt;=NW,2&gt;=START_Z),1,0)</f>
        <v/>
      </c>
      <c r="N17">
        <f>IFERROR(INDEX(RT_AZZ,MATCH(L17,RT_K,1)),INDEX(RT_AZZ,1))</f>
        <v/>
      </c>
      <c r="P17">
        <f>IFERROR(INDEX(RT_GYP,MATCH(L17,RT_K,1)),INDEX(RT_GYP,1))</f>
        <v/>
      </c>
    </row>
    <row r="18">
      <c r="A18" s="20">
        <f>IF(2&lt;=NW,SAT1+7,"")</f>
        <v/>
      </c>
      <c r="B18" s="21">
        <f>IF(A18="","",CHOOSE(WEEKDAY(A18,1),"الأحد","الاثنين","الثلاثاء","الأربعاء","الخميس","الجمعة","السبت"))</f>
        <v/>
      </c>
      <c r="C18" s="22" t="n"/>
      <c r="D18" s="22" t="n"/>
      <c r="E18" s="23">
        <f>IF(OR(M18=0,K18="",L18=""),"",MOD(L18-K18,1))</f>
        <v/>
      </c>
      <c r="F18" s="24">
        <f>IF(OR(E18="",M18=0),"",IF(ROUND_MODE="للأعلى",CEILING(ROUND((E18*24*$N$17),3),0.25),ROUND((E18*24*$N$17)*4,0)/4))</f>
        <v/>
      </c>
      <c r="G18" s="22" t="n"/>
      <c r="H18" s="22" t="n"/>
      <c r="K18" s="25">
        <f>IF(OR(M18=0,C18=""),"",IF(ISNUMBER(C18),MOD(C18,1),IFERROR(INDEX('القوائم'!$B$1:$B$288,MATCH(TRIM(C18),'القوائم'!$A$1:$A$288,0)),IFERROR(MOD(TIMEVALUE(C18),1),""))))</f>
        <v/>
      </c>
      <c r="L18" s="25">
        <f>IF(OR(M18=0,D18=""),"",IF(ISNUMBER(D18),MOD(D18,1),IFERROR(INDEX('القوائم'!$B$1:$B$288,MATCH(TRIM(D18),'القوائم'!$A$1:$A$288,0)),IFERROR(MOD(TIMEVALUE(D18),1),""))))</f>
        <v/>
      </c>
      <c r="M18">
        <f>M17</f>
        <v/>
      </c>
      <c r="Q18">
        <f>IF(N(F27)&gt;0,1,0)</f>
        <v/>
      </c>
    </row>
    <row r="19">
      <c r="A19" s="20">
        <f>IF(2&lt;=NW,SAT1+8,"")</f>
        <v/>
      </c>
      <c r="B19" s="21">
        <f>IF(A19="","",CHOOSE(WEEKDAY(A19,1),"الأحد","الاثنين","الثلاثاء","الأربعاء","الخميس","الجمعة","السبت"))</f>
        <v/>
      </c>
      <c r="C19" s="22" t="n"/>
      <c r="D19" s="22" t="n"/>
      <c r="E19" s="23">
        <f>IF(OR(M19=0,K19="",L19=""),"",MOD(L19-K19,1))</f>
        <v/>
      </c>
      <c r="F19" s="24">
        <f>IF(OR(E19="",M19=0),"",IF(ROUND_MODE="للأعلى",CEILING(ROUND((E19*24*$N$17),3),0.25),ROUND((E19*24*$N$17)*4,0)/4))</f>
        <v/>
      </c>
      <c r="G19" s="22" t="n"/>
      <c r="H19" s="22" t="n"/>
      <c r="K19" s="25">
        <f>IF(OR(M19=0,C19=""),"",IF(ISNUMBER(C19),MOD(C19,1),IFERROR(INDEX('القوائم'!$B$1:$B$288,MATCH(TRIM(C19),'القوائم'!$A$1:$A$288,0)),IFERROR(MOD(TIMEVALUE(C19),1),""))))</f>
        <v/>
      </c>
      <c r="L19" s="25">
        <f>IF(OR(M19=0,D19=""),"",IF(ISNUMBER(D19),MOD(D19,1),IFERROR(INDEX('القوائم'!$B$1:$B$288,MATCH(TRIM(D19),'القوائم'!$A$1:$A$288,0)),IFERROR(MOD(TIMEVALUE(D19),1),""))))</f>
        <v/>
      </c>
      <c r="M19">
        <f>M17</f>
        <v/>
      </c>
      <c r="Q19">
        <f>IF(N(F27)&gt;0,1,0)</f>
        <v/>
      </c>
    </row>
    <row r="20">
      <c r="A20" s="20">
        <f>IF(2&lt;=NW,SAT1+9,"")</f>
        <v/>
      </c>
      <c r="B20" s="21">
        <f>IF(A20="","",CHOOSE(WEEKDAY(A20,1),"الأحد","الاثنين","الثلاثاء","الأربعاء","الخميس","الجمعة","السبت"))</f>
        <v/>
      </c>
      <c r="C20" s="22" t="n"/>
      <c r="D20" s="22" t="n"/>
      <c r="E20" s="23">
        <f>IF(OR(M20=0,K20="",L20=""),"",MOD(L20-K20,1))</f>
        <v/>
      </c>
      <c r="F20" s="24">
        <f>IF(OR(E20="",M20=0),"",IF(ROUND_MODE="للأعلى",CEILING(ROUND((E20*24*$N$17),3),0.25),ROUND((E20*24*$N$17)*4,0)/4))</f>
        <v/>
      </c>
      <c r="G20" s="22" t="n"/>
      <c r="H20" s="22" t="n"/>
      <c r="K20" s="25">
        <f>IF(OR(M20=0,C20=""),"",IF(ISNUMBER(C20),MOD(C20,1),IFERROR(INDEX('القوائم'!$B$1:$B$288,MATCH(TRIM(C20),'القوائم'!$A$1:$A$288,0)),IFERROR(MOD(TIMEVALUE(C20),1),""))))</f>
        <v/>
      </c>
      <c r="L20" s="25">
        <f>IF(OR(M20=0,D20=""),"",IF(ISNUMBER(D20),MOD(D20,1),IFERROR(INDEX('القوائم'!$B$1:$B$288,MATCH(TRIM(D20),'القوائم'!$A$1:$A$288,0)),IFERROR(MOD(TIMEVALUE(D20),1),""))))</f>
        <v/>
      </c>
      <c r="M20">
        <f>M17</f>
        <v/>
      </c>
      <c r="Q20">
        <f>IF(N(F27)&gt;0,1,0)</f>
        <v/>
      </c>
    </row>
    <row r="21">
      <c r="A21" s="20">
        <f>IF(2&lt;=NW,SAT1+10,"")</f>
        <v/>
      </c>
      <c r="B21" s="21">
        <f>IF(A21="","",CHOOSE(WEEKDAY(A21,1),"الأحد","الاثنين","الثلاثاء","الأربعاء","الخميس","الجمعة","السبت"))</f>
        <v/>
      </c>
      <c r="C21" s="22" t="n"/>
      <c r="D21" s="22" t="n"/>
      <c r="E21" s="23">
        <f>IF(OR(M21=0,K21="",L21=""),"",MOD(L21-K21,1))</f>
        <v/>
      </c>
      <c r="F21" s="24">
        <f>IF(OR(E21="",M21=0),"",IF(ROUND_MODE="للأعلى",CEILING(ROUND((E21*24*$N$17),3),0.25),ROUND((E21*24*$N$17)*4,0)/4))</f>
        <v/>
      </c>
      <c r="G21" s="22" t="n"/>
      <c r="H21" s="22" t="n"/>
      <c r="K21" s="25">
        <f>IF(OR(M21=0,C21=""),"",IF(ISNUMBER(C21),MOD(C21,1),IFERROR(INDEX('القوائم'!$B$1:$B$288,MATCH(TRIM(C21),'القوائم'!$A$1:$A$288,0)),IFERROR(MOD(TIMEVALUE(C21),1),""))))</f>
        <v/>
      </c>
      <c r="L21" s="25">
        <f>IF(OR(M21=0,D21=""),"",IF(ISNUMBER(D21),MOD(D21,1),IFERROR(INDEX('القوائم'!$B$1:$B$288,MATCH(TRIM(D21),'القوائم'!$A$1:$A$288,0)),IFERROR(MOD(TIMEVALUE(D21),1),""))))</f>
        <v/>
      </c>
      <c r="M21">
        <f>M17</f>
        <v/>
      </c>
      <c r="Q21">
        <f>IF(N(F27)&gt;0,1,0)</f>
        <v/>
      </c>
    </row>
    <row r="22">
      <c r="A22" s="20">
        <f>IF(2&lt;=NW,SAT1+11,"")</f>
        <v/>
      </c>
      <c r="B22" s="21">
        <f>IF(A22="","",CHOOSE(WEEKDAY(A22,1),"الأحد","الاثنين","الثلاثاء","الأربعاء","الخميس","الجمعة","السبت"))</f>
        <v/>
      </c>
      <c r="C22" s="22" t="n"/>
      <c r="D22" s="22" t="n"/>
      <c r="E22" s="23">
        <f>IF(OR(M22=0,K22="",L22=""),"",MOD(L22-K22,1))</f>
        <v/>
      </c>
      <c r="F22" s="24">
        <f>IF(OR(E22="",M22=0),"",IF(ROUND_MODE="للأعلى",CEILING(ROUND((E22*24*$N$17),3),0.25),ROUND((E22*24*$N$17)*4,0)/4))</f>
        <v/>
      </c>
      <c r="G22" s="22" t="n"/>
      <c r="H22" s="22" t="n"/>
      <c r="K22" s="25">
        <f>IF(OR(M22=0,C22=""),"",IF(ISNUMBER(C22),MOD(C22,1),IFERROR(INDEX('القوائم'!$B$1:$B$288,MATCH(TRIM(C22),'القوائم'!$A$1:$A$288,0)),IFERROR(MOD(TIMEVALUE(C22),1),""))))</f>
        <v/>
      </c>
      <c r="L22" s="25">
        <f>IF(OR(M22=0,D22=""),"",IF(ISNUMBER(D22),MOD(D22,1),IFERROR(INDEX('القوائم'!$B$1:$B$288,MATCH(TRIM(D22),'القوائم'!$A$1:$A$288,0)),IFERROR(MOD(TIMEVALUE(D22),1),""))))</f>
        <v/>
      </c>
      <c r="M22">
        <f>M17</f>
        <v/>
      </c>
      <c r="Q22">
        <f>IF(N(F27)&gt;0,1,0)</f>
        <v/>
      </c>
    </row>
    <row r="23">
      <c r="A23" s="20">
        <f>IF(2&lt;=NW,SAT1+12,"")</f>
        <v/>
      </c>
      <c r="B23" s="21">
        <f>IF(A23="","",CHOOSE(WEEKDAY(A23,1),"الأحد","الاثنين","الثلاثاء","الأربعاء","الخميس","الجمعة","السبت"))</f>
        <v/>
      </c>
      <c r="C23" s="22" t="n"/>
      <c r="D23" s="22" t="n"/>
      <c r="E23" s="23">
        <f>IF(OR(M23=0,K23="",L23=""),"",MOD(L23-K23,1))</f>
        <v/>
      </c>
      <c r="F23" s="24">
        <f>IF(OR(E23="",M23=0),"",IF(ROUND_MODE="للأعلى",CEILING(ROUND((E23*24*$N$17),3),0.25),ROUND((E23*24*$N$17)*4,0)/4))</f>
        <v/>
      </c>
      <c r="G23" s="22" t="n"/>
      <c r="H23" s="22" t="n"/>
      <c r="K23" s="25">
        <f>IF(OR(M23=0,C23=""),"",IF(ISNUMBER(C23),MOD(C23,1),IFERROR(INDEX('القوائم'!$B$1:$B$288,MATCH(TRIM(C23),'القوائم'!$A$1:$A$288,0)),IFERROR(MOD(TIMEVALUE(C23),1),""))))</f>
        <v/>
      </c>
      <c r="L23" s="25">
        <f>IF(OR(M23=0,D23=""),"",IF(ISNUMBER(D23),MOD(D23,1),IFERROR(INDEX('القوائم'!$B$1:$B$288,MATCH(TRIM(D23),'القوائم'!$A$1:$A$288,0)),IFERROR(MOD(TIMEVALUE(D23),1),""))))</f>
        <v/>
      </c>
      <c r="M23">
        <f>M17</f>
        <v/>
      </c>
      <c r="Q23">
        <f>IF(N(F27)&gt;0,1,0)</f>
        <v/>
      </c>
    </row>
    <row r="24">
      <c r="A24" s="26">
        <f>IF(2&lt;=NW,SAT1+13,"")</f>
        <v/>
      </c>
      <c r="B24" s="27">
        <f>IF(A24="","",CHOOSE(WEEKDAY(A24,1),"الأحد","الاثنين","الثلاثاء","الأربعاء","الخميس","الجمعة","السبت"))</f>
        <v/>
      </c>
      <c r="C24" s="22" t="n"/>
      <c r="D24" s="22" t="n"/>
      <c r="E24" s="23">
        <f>IF(OR(M24=0,K24="",L24=""),"",MOD(L24-K24,1))</f>
        <v/>
      </c>
      <c r="F24" s="24">
        <f>IF(OR(E24="",M24=0),"",IF(ROUND_MODE="للأعلى",CEILING(ROUND((E24*24*$N$17),3),0.25),ROUND((E24*24*$N$17)*4,0)/4))</f>
        <v/>
      </c>
      <c r="G24" s="22" t="n"/>
      <c r="H24" s="22" t="n"/>
      <c r="K24" s="25">
        <f>IF(OR(M24=0,C24=""),"",IF(ISNUMBER(C24),MOD(C24,1),IFERROR(INDEX('القوائم'!$B$1:$B$288,MATCH(TRIM(C24),'القوائم'!$A$1:$A$288,0)),IFERROR(MOD(TIMEVALUE(C24),1),""))))</f>
        <v/>
      </c>
      <c r="L24" s="25">
        <f>IF(OR(M24=0,D24=""),"",IF(ISNUMBER(D24),MOD(D24,1),IFERROR(INDEX('القوائم'!$B$1:$B$288,MATCH(TRIM(D24),'القوائم'!$A$1:$A$288,0)),IFERROR(MOD(TIMEVALUE(D24),1),""))))</f>
        <v/>
      </c>
      <c r="M24">
        <f>M17</f>
        <v/>
      </c>
      <c r="Q24">
        <f>IF(N(F27)&gt;0,1,0)</f>
        <v/>
      </c>
    </row>
    <row r="25">
      <c r="A25" s="28">
        <f>IF(M17=1,"مجموع أيام الأسبوع 2","")</f>
        <v/>
      </c>
      <c r="B25" s="28" t="n"/>
      <c r="C25" s="28" t="n"/>
      <c r="D25" s="28" t="n"/>
      <c r="E25" s="29">
        <f>IF(M17=1,SUM(E18:E24),"")</f>
        <v/>
      </c>
      <c r="F25" s="30">
        <f>IF(M17=1,SUM(F18:F24),"")</f>
        <v/>
      </c>
      <c r="G25" s="41">
        <f>IF(M17=1,SUMIFS(F18:F24,G18:G24,"نعم"),"")</f>
        <v/>
      </c>
      <c r="H25" s="28" t="n"/>
    </row>
    <row r="26" ht="32" customHeight="1">
      <c r="A26" s="28">
        <f>IF(M17=1,"ساعات تحميل الجبسمبورد بهالأسبوع (رقم: 2 أو 1.5) ←","")</f>
        <v/>
      </c>
      <c r="E26" s="31" t="n"/>
      <c r="F26" s="33">
        <f>IF(M17=1,N(F25)+IF(ROUND_MODE="للأعلى",CEILING(ROUND((N(E26)*($P$17-$N$17)),3),0.25),ROUND((N(E26)*($P$17-$N$17))*4,0)/4),"")</f>
        <v/>
      </c>
      <c r="G26" s="32">
        <f>IF(M17=1,"← المستحق النهائي للأسبوع (دينار) مع فرق الجبسمبورد","")</f>
        <v/>
      </c>
    </row>
    <row r="27" ht="26" customHeight="1">
      <c r="A27" s="28">
        <f>IF(M17=1,"إكرامية الأسبوع ←","")</f>
        <v/>
      </c>
      <c r="C27" s="35" t="n"/>
      <c r="D27" s="28">
        <f>IF(M17=1,"المدفوع يوم الجمعة (التسوية) ←","")</f>
        <v/>
      </c>
      <c r="F27" s="35" t="n"/>
      <c r="G27" s="36">
        <f>IF(M17=1,IF(N(F27)&gt;0,"✔ انقبض — الأسبوع مقفول","⏳ لسا ما انقبض"),"")</f>
        <v/>
      </c>
    </row>
    <row r="28" ht="26" customHeight="1">
      <c r="A28" s="40">
        <f>IF(3&lt;=NW,"الأسبوع 3 · السبت "&amp;TEXT(DAY(SAT1+14),"00")&amp;"/"&amp;TEXT(MONTH(SAT1+14),"00")&amp;" ← الجمعة "&amp;TEXT(DAY(SAT1+20),"00")&amp;"/"&amp;TEXT(MONTH(SAT1+20),"00")&amp;" (يوم القبض)"&amp;IF(3&lt;START_Z,"   — قبل أسبوع البداية (ما بينحسب)",""),"ما في أسبوع 3 هالسنة")</f>
        <v/>
      </c>
      <c r="L28" s="19">
        <f>IF(3&lt;=NW,SAT1+20,"")</f>
        <v/>
      </c>
      <c r="M28">
        <f>IF(AND(3&lt;=NW,3&gt;=START_Z),1,0)</f>
        <v/>
      </c>
      <c r="N28">
        <f>IFERROR(INDEX(RT_AZZ,MATCH(L28,RT_K,1)),INDEX(RT_AZZ,1))</f>
        <v/>
      </c>
      <c r="P28">
        <f>IFERROR(INDEX(RT_GYP,MATCH(L28,RT_K,1)),INDEX(RT_GYP,1))</f>
        <v/>
      </c>
    </row>
    <row r="29">
      <c r="A29" s="20">
        <f>IF(3&lt;=NW,SAT1+14,"")</f>
        <v/>
      </c>
      <c r="B29" s="21">
        <f>IF(A29="","",CHOOSE(WEEKDAY(A29,1),"الأحد","الاثنين","الثلاثاء","الأربعاء","الخميس","الجمعة","السبت"))</f>
        <v/>
      </c>
      <c r="C29" s="22" t="n"/>
      <c r="D29" s="22" t="n"/>
      <c r="E29" s="23">
        <f>IF(OR(M29=0,K29="",L29=""),"",MOD(L29-K29,1))</f>
        <v/>
      </c>
      <c r="F29" s="24">
        <f>IF(OR(E29="",M29=0),"",IF(ROUND_MODE="للأعلى",CEILING(ROUND((E29*24*$N$28),3),0.25),ROUND((E29*24*$N$28)*4,0)/4))</f>
        <v/>
      </c>
      <c r="G29" s="22" t="n"/>
      <c r="H29" s="22" t="n"/>
      <c r="K29" s="25">
        <f>IF(OR(M29=0,C29=""),"",IF(ISNUMBER(C29),MOD(C29,1),IFERROR(INDEX('القوائم'!$B$1:$B$288,MATCH(TRIM(C29),'القوائم'!$A$1:$A$288,0)),IFERROR(MOD(TIMEVALUE(C29),1),""))))</f>
        <v/>
      </c>
      <c r="L29" s="25">
        <f>IF(OR(M29=0,D29=""),"",IF(ISNUMBER(D29),MOD(D29,1),IFERROR(INDEX('القوائم'!$B$1:$B$288,MATCH(TRIM(D29),'القوائم'!$A$1:$A$288,0)),IFERROR(MOD(TIMEVALUE(D29),1),""))))</f>
        <v/>
      </c>
      <c r="M29">
        <f>M28</f>
        <v/>
      </c>
      <c r="Q29">
        <f>IF(N(F38)&gt;0,1,0)</f>
        <v/>
      </c>
    </row>
    <row r="30">
      <c r="A30" s="20">
        <f>IF(3&lt;=NW,SAT1+15,"")</f>
        <v/>
      </c>
      <c r="B30" s="21">
        <f>IF(A30="","",CHOOSE(WEEKDAY(A30,1),"الأحد","الاثنين","الثلاثاء","الأربعاء","الخميس","الجمعة","السبت"))</f>
        <v/>
      </c>
      <c r="C30" s="22" t="n"/>
      <c r="D30" s="22" t="n"/>
      <c r="E30" s="23">
        <f>IF(OR(M30=0,K30="",L30=""),"",MOD(L30-K30,1))</f>
        <v/>
      </c>
      <c r="F30" s="24">
        <f>IF(OR(E30="",M30=0),"",IF(ROUND_MODE="للأعلى",CEILING(ROUND((E30*24*$N$28),3),0.25),ROUND((E30*24*$N$28)*4,0)/4))</f>
        <v/>
      </c>
      <c r="G30" s="22" t="n"/>
      <c r="H30" s="22" t="n"/>
      <c r="K30" s="25">
        <f>IF(OR(M30=0,C30=""),"",IF(ISNUMBER(C30),MOD(C30,1),IFERROR(INDEX('القوائم'!$B$1:$B$288,MATCH(TRIM(C30),'القوائم'!$A$1:$A$288,0)),IFERROR(MOD(TIMEVALUE(C30),1),""))))</f>
        <v/>
      </c>
      <c r="L30" s="25">
        <f>IF(OR(M30=0,D30=""),"",IF(ISNUMBER(D30),MOD(D30,1),IFERROR(INDEX('القوائم'!$B$1:$B$288,MATCH(TRIM(D30),'القوائم'!$A$1:$A$288,0)),IFERROR(MOD(TIMEVALUE(D30),1),""))))</f>
        <v/>
      </c>
      <c r="M30">
        <f>M28</f>
        <v/>
      </c>
      <c r="Q30">
        <f>IF(N(F38)&gt;0,1,0)</f>
        <v/>
      </c>
    </row>
    <row r="31">
      <c r="A31" s="20">
        <f>IF(3&lt;=NW,SAT1+16,"")</f>
        <v/>
      </c>
      <c r="B31" s="21">
        <f>IF(A31="","",CHOOSE(WEEKDAY(A31,1),"الأحد","الاثنين","الثلاثاء","الأربعاء","الخميس","الجمعة","السبت"))</f>
        <v/>
      </c>
      <c r="C31" s="22" t="n"/>
      <c r="D31" s="22" t="n"/>
      <c r="E31" s="23">
        <f>IF(OR(M31=0,K31="",L31=""),"",MOD(L31-K31,1))</f>
        <v/>
      </c>
      <c r="F31" s="24">
        <f>IF(OR(E31="",M31=0),"",IF(ROUND_MODE="للأعلى",CEILING(ROUND((E31*24*$N$28),3),0.25),ROUND((E31*24*$N$28)*4,0)/4))</f>
        <v/>
      </c>
      <c r="G31" s="22" t="n"/>
      <c r="H31" s="22" t="n"/>
      <c r="K31" s="25">
        <f>IF(OR(M31=0,C31=""),"",IF(ISNUMBER(C31),MOD(C31,1),IFERROR(INDEX('القوائم'!$B$1:$B$288,MATCH(TRIM(C31),'القوائم'!$A$1:$A$288,0)),IFERROR(MOD(TIMEVALUE(C31),1),""))))</f>
        <v/>
      </c>
      <c r="L31" s="25">
        <f>IF(OR(M31=0,D31=""),"",IF(ISNUMBER(D31),MOD(D31,1),IFERROR(INDEX('القوائم'!$B$1:$B$288,MATCH(TRIM(D31),'القوائم'!$A$1:$A$288,0)),IFERROR(MOD(TIMEVALUE(D31),1),""))))</f>
        <v/>
      </c>
      <c r="M31">
        <f>M28</f>
        <v/>
      </c>
      <c r="Q31">
        <f>IF(N(F38)&gt;0,1,0)</f>
        <v/>
      </c>
    </row>
    <row r="32">
      <c r="A32" s="20">
        <f>IF(3&lt;=NW,SAT1+17,"")</f>
        <v/>
      </c>
      <c r="B32" s="21">
        <f>IF(A32="","",CHOOSE(WEEKDAY(A32,1),"الأحد","الاثنين","الثلاثاء","الأربعاء","الخميس","الجمعة","السبت"))</f>
        <v/>
      </c>
      <c r="C32" s="22" t="n"/>
      <c r="D32" s="22" t="n"/>
      <c r="E32" s="23">
        <f>IF(OR(M32=0,K32="",L32=""),"",MOD(L32-K32,1))</f>
        <v/>
      </c>
      <c r="F32" s="24">
        <f>IF(OR(E32="",M32=0),"",IF(ROUND_MODE="للأعلى",CEILING(ROUND((E32*24*$N$28),3),0.25),ROUND((E32*24*$N$28)*4,0)/4))</f>
        <v/>
      </c>
      <c r="G32" s="22" t="n"/>
      <c r="H32" s="22" t="n"/>
      <c r="K32" s="25">
        <f>IF(OR(M32=0,C32=""),"",IF(ISNUMBER(C32),MOD(C32,1),IFERROR(INDEX('القوائم'!$B$1:$B$288,MATCH(TRIM(C32),'القوائم'!$A$1:$A$288,0)),IFERROR(MOD(TIMEVALUE(C32),1),""))))</f>
        <v/>
      </c>
      <c r="L32" s="25">
        <f>IF(OR(M32=0,D32=""),"",IF(ISNUMBER(D32),MOD(D32,1),IFERROR(INDEX('القوائم'!$B$1:$B$288,MATCH(TRIM(D32),'القوائم'!$A$1:$A$288,0)),IFERROR(MOD(TIMEVALUE(D32),1),""))))</f>
        <v/>
      </c>
      <c r="M32">
        <f>M28</f>
        <v/>
      </c>
      <c r="Q32">
        <f>IF(N(F38)&gt;0,1,0)</f>
        <v/>
      </c>
    </row>
    <row r="33">
      <c r="A33" s="20">
        <f>IF(3&lt;=NW,SAT1+18,"")</f>
        <v/>
      </c>
      <c r="B33" s="21">
        <f>IF(A33="","",CHOOSE(WEEKDAY(A33,1),"الأحد","الاثنين","الثلاثاء","الأربعاء","الخميس","الجمعة","السبت"))</f>
        <v/>
      </c>
      <c r="C33" s="22" t="n"/>
      <c r="D33" s="22" t="n"/>
      <c r="E33" s="23">
        <f>IF(OR(M33=0,K33="",L33=""),"",MOD(L33-K33,1))</f>
        <v/>
      </c>
      <c r="F33" s="24">
        <f>IF(OR(E33="",M33=0),"",IF(ROUND_MODE="للأعلى",CEILING(ROUND((E33*24*$N$28),3),0.25),ROUND((E33*24*$N$28)*4,0)/4))</f>
        <v/>
      </c>
      <c r="G33" s="22" t="n"/>
      <c r="H33" s="22" t="n"/>
      <c r="K33" s="25">
        <f>IF(OR(M33=0,C33=""),"",IF(ISNUMBER(C33),MOD(C33,1),IFERROR(INDEX('القوائم'!$B$1:$B$288,MATCH(TRIM(C33),'القوائم'!$A$1:$A$288,0)),IFERROR(MOD(TIMEVALUE(C33),1),""))))</f>
        <v/>
      </c>
      <c r="L33" s="25">
        <f>IF(OR(M33=0,D33=""),"",IF(ISNUMBER(D33),MOD(D33,1),IFERROR(INDEX('القوائم'!$B$1:$B$288,MATCH(TRIM(D33),'القوائم'!$A$1:$A$288,0)),IFERROR(MOD(TIMEVALUE(D33),1),""))))</f>
        <v/>
      </c>
      <c r="M33">
        <f>M28</f>
        <v/>
      </c>
      <c r="Q33">
        <f>IF(N(F38)&gt;0,1,0)</f>
        <v/>
      </c>
    </row>
    <row r="34">
      <c r="A34" s="20">
        <f>IF(3&lt;=NW,SAT1+19,"")</f>
        <v/>
      </c>
      <c r="B34" s="21">
        <f>IF(A34="","",CHOOSE(WEEKDAY(A34,1),"الأحد","الاثنين","الثلاثاء","الأربعاء","الخميس","الجمعة","السبت"))</f>
        <v/>
      </c>
      <c r="C34" s="22" t="n"/>
      <c r="D34" s="22" t="n"/>
      <c r="E34" s="23">
        <f>IF(OR(M34=0,K34="",L34=""),"",MOD(L34-K34,1))</f>
        <v/>
      </c>
      <c r="F34" s="24">
        <f>IF(OR(E34="",M34=0),"",IF(ROUND_MODE="للأعلى",CEILING(ROUND((E34*24*$N$28),3),0.25),ROUND((E34*24*$N$28)*4,0)/4))</f>
        <v/>
      </c>
      <c r="G34" s="22" t="n"/>
      <c r="H34" s="22" t="n"/>
      <c r="K34" s="25">
        <f>IF(OR(M34=0,C34=""),"",IF(ISNUMBER(C34),MOD(C34,1),IFERROR(INDEX('القوائم'!$B$1:$B$288,MATCH(TRIM(C34),'القوائم'!$A$1:$A$288,0)),IFERROR(MOD(TIMEVALUE(C34),1),""))))</f>
        <v/>
      </c>
      <c r="L34" s="25">
        <f>IF(OR(M34=0,D34=""),"",IF(ISNUMBER(D34),MOD(D34,1),IFERROR(INDEX('القوائم'!$B$1:$B$288,MATCH(TRIM(D34),'القوائم'!$A$1:$A$288,0)),IFERROR(MOD(TIMEVALUE(D34),1),""))))</f>
        <v/>
      </c>
      <c r="M34">
        <f>M28</f>
        <v/>
      </c>
      <c r="Q34">
        <f>IF(N(F38)&gt;0,1,0)</f>
        <v/>
      </c>
    </row>
    <row r="35">
      <c r="A35" s="26">
        <f>IF(3&lt;=NW,SAT1+20,"")</f>
        <v/>
      </c>
      <c r="B35" s="27">
        <f>IF(A35="","",CHOOSE(WEEKDAY(A35,1),"الأحد","الاثنين","الثلاثاء","الأربعاء","الخميس","الجمعة","السبت"))</f>
        <v/>
      </c>
      <c r="C35" s="22" t="n"/>
      <c r="D35" s="22" t="n"/>
      <c r="E35" s="23">
        <f>IF(OR(M35=0,K35="",L35=""),"",MOD(L35-K35,1))</f>
        <v/>
      </c>
      <c r="F35" s="24">
        <f>IF(OR(E35="",M35=0),"",IF(ROUND_MODE="للأعلى",CEILING(ROUND((E35*24*$N$28),3),0.25),ROUND((E35*24*$N$28)*4,0)/4))</f>
        <v/>
      </c>
      <c r="G35" s="22" t="n"/>
      <c r="H35" s="22" t="n"/>
      <c r="K35" s="25">
        <f>IF(OR(M35=0,C35=""),"",IF(ISNUMBER(C35),MOD(C35,1),IFERROR(INDEX('القوائم'!$B$1:$B$288,MATCH(TRIM(C35),'القوائم'!$A$1:$A$288,0)),IFERROR(MOD(TIMEVALUE(C35),1),""))))</f>
        <v/>
      </c>
      <c r="L35" s="25">
        <f>IF(OR(M35=0,D35=""),"",IF(ISNUMBER(D35),MOD(D35,1),IFERROR(INDEX('القوائم'!$B$1:$B$288,MATCH(TRIM(D35),'القوائم'!$A$1:$A$288,0)),IFERROR(MOD(TIMEVALUE(D35),1),""))))</f>
        <v/>
      </c>
      <c r="M35">
        <f>M28</f>
        <v/>
      </c>
      <c r="Q35">
        <f>IF(N(F38)&gt;0,1,0)</f>
        <v/>
      </c>
    </row>
    <row r="36">
      <c r="A36" s="28">
        <f>IF(M28=1,"مجموع أيام الأسبوع 3","")</f>
        <v/>
      </c>
      <c r="B36" s="28" t="n"/>
      <c r="C36" s="28" t="n"/>
      <c r="D36" s="28" t="n"/>
      <c r="E36" s="29">
        <f>IF(M28=1,SUM(E29:E35),"")</f>
        <v/>
      </c>
      <c r="F36" s="30">
        <f>IF(M28=1,SUM(F29:F35),"")</f>
        <v/>
      </c>
      <c r="G36" s="41">
        <f>IF(M28=1,SUMIFS(F29:F35,G29:G35,"نعم"),"")</f>
        <v/>
      </c>
      <c r="H36" s="28" t="n"/>
    </row>
    <row r="37" ht="32" customHeight="1">
      <c r="A37" s="28">
        <f>IF(M28=1,"ساعات تحميل الجبسمبورد بهالأسبوع (رقم: 2 أو 1.5) ←","")</f>
        <v/>
      </c>
      <c r="E37" s="31" t="n"/>
      <c r="F37" s="33">
        <f>IF(M28=1,N(F36)+IF(ROUND_MODE="للأعلى",CEILING(ROUND((N(E37)*($P$28-$N$28)),3),0.25),ROUND((N(E37)*($P$28-$N$28))*4,0)/4),"")</f>
        <v/>
      </c>
      <c r="G37" s="32">
        <f>IF(M28=1,"← المستحق النهائي للأسبوع (دينار) مع فرق الجبسمبورد","")</f>
        <v/>
      </c>
    </row>
    <row r="38" ht="26" customHeight="1">
      <c r="A38" s="28">
        <f>IF(M28=1,"إكرامية الأسبوع ←","")</f>
        <v/>
      </c>
      <c r="C38" s="35" t="n"/>
      <c r="D38" s="28">
        <f>IF(M28=1,"المدفوع يوم الجمعة (التسوية) ←","")</f>
        <v/>
      </c>
      <c r="F38" s="35" t="n"/>
      <c r="G38" s="36">
        <f>IF(M28=1,IF(N(F38)&gt;0,"✔ انقبض — الأسبوع مقفول","⏳ لسا ما انقبض"),"")</f>
        <v/>
      </c>
    </row>
    <row r="39" ht="26" customHeight="1">
      <c r="A39" s="40">
        <f>IF(4&lt;=NW,"الأسبوع 4 · السبت "&amp;TEXT(DAY(SAT1+21),"00")&amp;"/"&amp;TEXT(MONTH(SAT1+21),"00")&amp;" ← الجمعة "&amp;TEXT(DAY(SAT1+27),"00")&amp;"/"&amp;TEXT(MONTH(SAT1+27),"00")&amp;" (يوم القبض)"&amp;IF(4&lt;START_Z,"   — قبل أسبوع البداية (ما بينحسب)",""),"ما في أسبوع 4 هالسنة")</f>
        <v/>
      </c>
      <c r="L39" s="19">
        <f>IF(4&lt;=NW,SAT1+27,"")</f>
        <v/>
      </c>
      <c r="M39">
        <f>IF(AND(4&lt;=NW,4&gt;=START_Z),1,0)</f>
        <v/>
      </c>
      <c r="N39">
        <f>IFERROR(INDEX(RT_AZZ,MATCH(L39,RT_K,1)),INDEX(RT_AZZ,1))</f>
        <v/>
      </c>
      <c r="P39">
        <f>IFERROR(INDEX(RT_GYP,MATCH(L39,RT_K,1)),INDEX(RT_GYP,1))</f>
        <v/>
      </c>
    </row>
    <row r="40">
      <c r="A40" s="20">
        <f>IF(4&lt;=NW,SAT1+21,"")</f>
        <v/>
      </c>
      <c r="B40" s="21">
        <f>IF(A40="","",CHOOSE(WEEKDAY(A40,1),"الأحد","الاثنين","الثلاثاء","الأربعاء","الخميس","الجمعة","السبت"))</f>
        <v/>
      </c>
      <c r="C40" s="22" t="n"/>
      <c r="D40" s="22" t="n"/>
      <c r="E40" s="23">
        <f>IF(OR(M40=0,K40="",L40=""),"",MOD(L40-K40,1))</f>
        <v/>
      </c>
      <c r="F40" s="24">
        <f>IF(OR(E40="",M40=0),"",IF(ROUND_MODE="للأعلى",CEILING(ROUND((E40*24*$N$39),3),0.25),ROUND((E40*24*$N$39)*4,0)/4))</f>
        <v/>
      </c>
      <c r="G40" s="22" t="n"/>
      <c r="H40" s="22" t="n"/>
      <c r="K40" s="25">
        <f>IF(OR(M40=0,C40=""),"",IF(ISNUMBER(C40),MOD(C40,1),IFERROR(INDEX('القوائم'!$B$1:$B$288,MATCH(TRIM(C40),'القوائم'!$A$1:$A$288,0)),IFERROR(MOD(TIMEVALUE(C40),1),""))))</f>
        <v/>
      </c>
      <c r="L40" s="25">
        <f>IF(OR(M40=0,D40=""),"",IF(ISNUMBER(D40),MOD(D40,1),IFERROR(INDEX('القوائم'!$B$1:$B$288,MATCH(TRIM(D40),'القوائم'!$A$1:$A$288,0)),IFERROR(MOD(TIMEVALUE(D40),1),""))))</f>
        <v/>
      </c>
      <c r="M40">
        <f>M39</f>
        <v/>
      </c>
      <c r="Q40">
        <f>IF(N(F49)&gt;0,1,0)</f>
        <v/>
      </c>
    </row>
    <row r="41">
      <c r="A41" s="20">
        <f>IF(4&lt;=NW,SAT1+22,"")</f>
        <v/>
      </c>
      <c r="B41" s="21">
        <f>IF(A41="","",CHOOSE(WEEKDAY(A41,1),"الأحد","الاثنين","الثلاثاء","الأربعاء","الخميس","الجمعة","السبت"))</f>
        <v/>
      </c>
      <c r="C41" s="22" t="n"/>
      <c r="D41" s="22" t="n"/>
      <c r="E41" s="23">
        <f>IF(OR(M41=0,K41="",L41=""),"",MOD(L41-K41,1))</f>
        <v/>
      </c>
      <c r="F41" s="24">
        <f>IF(OR(E41="",M41=0),"",IF(ROUND_MODE="للأعلى",CEILING(ROUND((E41*24*$N$39),3),0.25),ROUND((E41*24*$N$39)*4,0)/4))</f>
        <v/>
      </c>
      <c r="G41" s="22" t="n"/>
      <c r="H41" s="22" t="n"/>
      <c r="K41" s="25">
        <f>IF(OR(M41=0,C41=""),"",IF(ISNUMBER(C41),MOD(C41,1),IFERROR(INDEX('القوائم'!$B$1:$B$288,MATCH(TRIM(C41),'القوائم'!$A$1:$A$288,0)),IFERROR(MOD(TIMEVALUE(C41),1),""))))</f>
        <v/>
      </c>
      <c r="L41" s="25">
        <f>IF(OR(M41=0,D41=""),"",IF(ISNUMBER(D41),MOD(D41,1),IFERROR(INDEX('القوائم'!$B$1:$B$288,MATCH(TRIM(D41),'القوائم'!$A$1:$A$288,0)),IFERROR(MOD(TIMEVALUE(D41),1),""))))</f>
        <v/>
      </c>
      <c r="M41">
        <f>M39</f>
        <v/>
      </c>
      <c r="Q41">
        <f>IF(N(F49)&gt;0,1,0)</f>
        <v/>
      </c>
    </row>
    <row r="42">
      <c r="A42" s="20">
        <f>IF(4&lt;=NW,SAT1+23,"")</f>
        <v/>
      </c>
      <c r="B42" s="21">
        <f>IF(A42="","",CHOOSE(WEEKDAY(A42,1),"الأحد","الاثنين","الثلاثاء","الأربعاء","الخميس","الجمعة","السبت"))</f>
        <v/>
      </c>
      <c r="C42" s="22" t="n"/>
      <c r="D42" s="22" t="n"/>
      <c r="E42" s="23">
        <f>IF(OR(M42=0,K42="",L42=""),"",MOD(L42-K42,1))</f>
        <v/>
      </c>
      <c r="F42" s="24">
        <f>IF(OR(E42="",M42=0),"",IF(ROUND_MODE="للأعلى",CEILING(ROUND((E42*24*$N$39),3),0.25),ROUND((E42*24*$N$39)*4,0)/4))</f>
        <v/>
      </c>
      <c r="G42" s="22" t="n"/>
      <c r="H42" s="22" t="n"/>
      <c r="K42" s="25">
        <f>IF(OR(M42=0,C42=""),"",IF(ISNUMBER(C42),MOD(C42,1),IFERROR(INDEX('القوائم'!$B$1:$B$288,MATCH(TRIM(C42),'القوائم'!$A$1:$A$288,0)),IFERROR(MOD(TIMEVALUE(C42),1),""))))</f>
        <v/>
      </c>
      <c r="L42" s="25">
        <f>IF(OR(M42=0,D42=""),"",IF(ISNUMBER(D42),MOD(D42,1),IFERROR(INDEX('القوائم'!$B$1:$B$288,MATCH(TRIM(D42),'القوائم'!$A$1:$A$288,0)),IFERROR(MOD(TIMEVALUE(D42),1),""))))</f>
        <v/>
      </c>
      <c r="M42">
        <f>M39</f>
        <v/>
      </c>
      <c r="Q42">
        <f>IF(N(F49)&gt;0,1,0)</f>
        <v/>
      </c>
    </row>
    <row r="43">
      <c r="A43" s="20">
        <f>IF(4&lt;=NW,SAT1+24,"")</f>
        <v/>
      </c>
      <c r="B43" s="21">
        <f>IF(A43="","",CHOOSE(WEEKDAY(A43,1),"الأحد","الاثنين","الثلاثاء","الأربعاء","الخميس","الجمعة","السبت"))</f>
        <v/>
      </c>
      <c r="C43" s="22" t="n"/>
      <c r="D43" s="22" t="n"/>
      <c r="E43" s="23">
        <f>IF(OR(M43=0,K43="",L43=""),"",MOD(L43-K43,1))</f>
        <v/>
      </c>
      <c r="F43" s="24">
        <f>IF(OR(E43="",M43=0),"",IF(ROUND_MODE="للأعلى",CEILING(ROUND((E43*24*$N$39),3),0.25),ROUND((E43*24*$N$39)*4,0)/4))</f>
        <v/>
      </c>
      <c r="G43" s="22" t="n"/>
      <c r="H43" s="22" t="n"/>
      <c r="K43" s="25">
        <f>IF(OR(M43=0,C43=""),"",IF(ISNUMBER(C43),MOD(C43,1),IFERROR(INDEX('القوائم'!$B$1:$B$288,MATCH(TRIM(C43),'القوائم'!$A$1:$A$288,0)),IFERROR(MOD(TIMEVALUE(C43),1),""))))</f>
        <v/>
      </c>
      <c r="L43" s="25">
        <f>IF(OR(M43=0,D43=""),"",IF(ISNUMBER(D43),MOD(D43,1),IFERROR(INDEX('القوائم'!$B$1:$B$288,MATCH(TRIM(D43),'القوائم'!$A$1:$A$288,0)),IFERROR(MOD(TIMEVALUE(D43),1),""))))</f>
        <v/>
      </c>
      <c r="M43">
        <f>M39</f>
        <v/>
      </c>
      <c r="Q43">
        <f>IF(N(F49)&gt;0,1,0)</f>
        <v/>
      </c>
    </row>
    <row r="44">
      <c r="A44" s="20">
        <f>IF(4&lt;=NW,SAT1+25,"")</f>
        <v/>
      </c>
      <c r="B44" s="21">
        <f>IF(A44="","",CHOOSE(WEEKDAY(A44,1),"الأحد","الاثنين","الثلاثاء","الأربعاء","الخميس","الجمعة","السبت"))</f>
        <v/>
      </c>
      <c r="C44" s="22" t="n"/>
      <c r="D44" s="22" t="n"/>
      <c r="E44" s="23">
        <f>IF(OR(M44=0,K44="",L44=""),"",MOD(L44-K44,1))</f>
        <v/>
      </c>
      <c r="F44" s="24">
        <f>IF(OR(E44="",M44=0),"",IF(ROUND_MODE="للأعلى",CEILING(ROUND((E44*24*$N$39),3),0.25),ROUND((E44*24*$N$39)*4,0)/4))</f>
        <v/>
      </c>
      <c r="G44" s="22" t="n"/>
      <c r="H44" s="22" t="n"/>
      <c r="K44" s="25">
        <f>IF(OR(M44=0,C44=""),"",IF(ISNUMBER(C44),MOD(C44,1),IFERROR(INDEX('القوائم'!$B$1:$B$288,MATCH(TRIM(C44),'القوائم'!$A$1:$A$288,0)),IFERROR(MOD(TIMEVALUE(C44),1),""))))</f>
        <v/>
      </c>
      <c r="L44" s="25">
        <f>IF(OR(M44=0,D44=""),"",IF(ISNUMBER(D44),MOD(D44,1),IFERROR(INDEX('القوائم'!$B$1:$B$288,MATCH(TRIM(D44),'القوائم'!$A$1:$A$288,0)),IFERROR(MOD(TIMEVALUE(D44),1),""))))</f>
        <v/>
      </c>
      <c r="M44">
        <f>M39</f>
        <v/>
      </c>
      <c r="Q44">
        <f>IF(N(F49)&gt;0,1,0)</f>
        <v/>
      </c>
    </row>
    <row r="45">
      <c r="A45" s="20">
        <f>IF(4&lt;=NW,SAT1+26,"")</f>
        <v/>
      </c>
      <c r="B45" s="21">
        <f>IF(A45="","",CHOOSE(WEEKDAY(A45,1),"الأحد","الاثنين","الثلاثاء","الأربعاء","الخميس","الجمعة","السبت"))</f>
        <v/>
      </c>
      <c r="C45" s="22" t="n"/>
      <c r="D45" s="22" t="n"/>
      <c r="E45" s="23">
        <f>IF(OR(M45=0,K45="",L45=""),"",MOD(L45-K45,1))</f>
        <v/>
      </c>
      <c r="F45" s="24">
        <f>IF(OR(E45="",M45=0),"",IF(ROUND_MODE="للأعلى",CEILING(ROUND((E45*24*$N$39),3),0.25),ROUND((E45*24*$N$39)*4,0)/4))</f>
        <v/>
      </c>
      <c r="G45" s="22" t="n"/>
      <c r="H45" s="22" t="n"/>
      <c r="K45" s="25">
        <f>IF(OR(M45=0,C45=""),"",IF(ISNUMBER(C45),MOD(C45,1),IFERROR(INDEX('القوائم'!$B$1:$B$288,MATCH(TRIM(C45),'القوائم'!$A$1:$A$288,0)),IFERROR(MOD(TIMEVALUE(C45),1),""))))</f>
        <v/>
      </c>
      <c r="L45" s="25">
        <f>IF(OR(M45=0,D45=""),"",IF(ISNUMBER(D45),MOD(D45,1),IFERROR(INDEX('القوائم'!$B$1:$B$288,MATCH(TRIM(D45),'القوائم'!$A$1:$A$288,0)),IFERROR(MOD(TIMEVALUE(D45),1),""))))</f>
        <v/>
      </c>
      <c r="M45">
        <f>M39</f>
        <v/>
      </c>
      <c r="Q45">
        <f>IF(N(F49)&gt;0,1,0)</f>
        <v/>
      </c>
    </row>
    <row r="46">
      <c r="A46" s="26">
        <f>IF(4&lt;=NW,SAT1+27,"")</f>
        <v/>
      </c>
      <c r="B46" s="27">
        <f>IF(A46="","",CHOOSE(WEEKDAY(A46,1),"الأحد","الاثنين","الثلاثاء","الأربعاء","الخميس","الجمعة","السبت"))</f>
        <v/>
      </c>
      <c r="C46" s="22" t="n"/>
      <c r="D46" s="22" t="n"/>
      <c r="E46" s="23">
        <f>IF(OR(M46=0,K46="",L46=""),"",MOD(L46-K46,1))</f>
        <v/>
      </c>
      <c r="F46" s="24">
        <f>IF(OR(E46="",M46=0),"",IF(ROUND_MODE="للأعلى",CEILING(ROUND((E46*24*$N$39),3),0.25),ROUND((E46*24*$N$39)*4,0)/4))</f>
        <v/>
      </c>
      <c r="G46" s="22" t="n"/>
      <c r="H46" s="22" t="n"/>
      <c r="K46" s="25">
        <f>IF(OR(M46=0,C46=""),"",IF(ISNUMBER(C46),MOD(C46,1),IFERROR(INDEX('القوائم'!$B$1:$B$288,MATCH(TRIM(C46),'القوائم'!$A$1:$A$288,0)),IFERROR(MOD(TIMEVALUE(C46),1),""))))</f>
        <v/>
      </c>
      <c r="L46" s="25">
        <f>IF(OR(M46=0,D46=""),"",IF(ISNUMBER(D46),MOD(D46,1),IFERROR(INDEX('القوائم'!$B$1:$B$288,MATCH(TRIM(D46),'القوائم'!$A$1:$A$288,0)),IFERROR(MOD(TIMEVALUE(D46),1),""))))</f>
        <v/>
      </c>
      <c r="M46">
        <f>M39</f>
        <v/>
      </c>
      <c r="Q46">
        <f>IF(N(F49)&gt;0,1,0)</f>
        <v/>
      </c>
    </row>
    <row r="47">
      <c r="A47" s="28">
        <f>IF(M39=1,"مجموع أيام الأسبوع 4","")</f>
        <v/>
      </c>
      <c r="B47" s="28" t="n"/>
      <c r="C47" s="28" t="n"/>
      <c r="D47" s="28" t="n"/>
      <c r="E47" s="29">
        <f>IF(M39=1,SUM(E40:E46),"")</f>
        <v/>
      </c>
      <c r="F47" s="30">
        <f>IF(M39=1,SUM(F40:F46),"")</f>
        <v/>
      </c>
      <c r="G47" s="41">
        <f>IF(M39=1,SUMIFS(F40:F46,G40:G46,"نعم"),"")</f>
        <v/>
      </c>
      <c r="H47" s="28" t="n"/>
    </row>
    <row r="48" ht="32" customHeight="1">
      <c r="A48" s="28">
        <f>IF(M39=1,"ساعات تحميل الجبسمبورد بهالأسبوع (رقم: 2 أو 1.5) ←","")</f>
        <v/>
      </c>
      <c r="E48" s="31" t="n"/>
      <c r="F48" s="33">
        <f>IF(M39=1,N(F47)+IF(ROUND_MODE="للأعلى",CEILING(ROUND((N(E48)*($P$39-$N$39)),3),0.25),ROUND((N(E48)*($P$39-$N$39))*4,0)/4),"")</f>
        <v/>
      </c>
      <c r="G48" s="32">
        <f>IF(M39=1,"← المستحق النهائي للأسبوع (دينار) مع فرق الجبسمبورد","")</f>
        <v/>
      </c>
    </row>
    <row r="49" ht="26" customHeight="1">
      <c r="A49" s="28">
        <f>IF(M39=1,"إكرامية الأسبوع ←","")</f>
        <v/>
      </c>
      <c r="C49" s="35" t="n"/>
      <c r="D49" s="28">
        <f>IF(M39=1,"المدفوع يوم الجمعة (التسوية) ←","")</f>
        <v/>
      </c>
      <c r="F49" s="35" t="n"/>
      <c r="G49" s="36">
        <f>IF(M39=1,IF(N(F49)&gt;0,"✔ انقبض — الأسبوع مقفول","⏳ لسا ما انقبض"),"")</f>
        <v/>
      </c>
    </row>
    <row r="50" ht="26" customHeight="1">
      <c r="A50" s="40">
        <f>IF(5&lt;=NW,"الأسبوع 5 · السبت "&amp;TEXT(DAY(SAT1+28),"00")&amp;"/"&amp;TEXT(MONTH(SAT1+28),"00")&amp;" ← الجمعة "&amp;TEXT(DAY(SAT1+34),"00")&amp;"/"&amp;TEXT(MONTH(SAT1+34),"00")&amp;" (يوم القبض)"&amp;IF(5&lt;START_Z,"   — قبل أسبوع البداية (ما بينحسب)",""),"ما في أسبوع 5 هالسنة")</f>
        <v/>
      </c>
      <c r="L50" s="19">
        <f>IF(5&lt;=NW,SAT1+34,"")</f>
        <v/>
      </c>
      <c r="M50">
        <f>IF(AND(5&lt;=NW,5&gt;=START_Z),1,0)</f>
        <v/>
      </c>
      <c r="N50">
        <f>IFERROR(INDEX(RT_AZZ,MATCH(L50,RT_K,1)),INDEX(RT_AZZ,1))</f>
        <v/>
      </c>
      <c r="P50">
        <f>IFERROR(INDEX(RT_GYP,MATCH(L50,RT_K,1)),INDEX(RT_GYP,1))</f>
        <v/>
      </c>
    </row>
    <row r="51">
      <c r="A51" s="20">
        <f>IF(5&lt;=NW,SAT1+28,"")</f>
        <v/>
      </c>
      <c r="B51" s="21">
        <f>IF(A51="","",CHOOSE(WEEKDAY(A51,1),"الأحد","الاثنين","الثلاثاء","الأربعاء","الخميس","الجمعة","السبت"))</f>
        <v/>
      </c>
      <c r="C51" s="22" t="n"/>
      <c r="D51" s="22" t="n"/>
      <c r="E51" s="23">
        <f>IF(OR(M51=0,K51="",L51=""),"",MOD(L51-K51,1))</f>
        <v/>
      </c>
      <c r="F51" s="24">
        <f>IF(OR(E51="",M51=0),"",IF(ROUND_MODE="للأعلى",CEILING(ROUND((E51*24*$N$50),3),0.25),ROUND((E51*24*$N$50)*4,0)/4))</f>
        <v/>
      </c>
      <c r="G51" s="22" t="n"/>
      <c r="H51" s="22" t="n"/>
      <c r="K51" s="25">
        <f>IF(OR(M51=0,C51=""),"",IF(ISNUMBER(C51),MOD(C51,1),IFERROR(INDEX('القوائم'!$B$1:$B$288,MATCH(TRIM(C51),'القوائم'!$A$1:$A$288,0)),IFERROR(MOD(TIMEVALUE(C51),1),""))))</f>
        <v/>
      </c>
      <c r="L51" s="25">
        <f>IF(OR(M51=0,D51=""),"",IF(ISNUMBER(D51),MOD(D51,1),IFERROR(INDEX('القوائم'!$B$1:$B$288,MATCH(TRIM(D51),'القوائم'!$A$1:$A$288,0)),IFERROR(MOD(TIMEVALUE(D51),1),""))))</f>
        <v/>
      </c>
      <c r="M51">
        <f>M50</f>
        <v/>
      </c>
      <c r="Q51">
        <f>IF(N(F60)&gt;0,1,0)</f>
        <v/>
      </c>
    </row>
    <row r="52">
      <c r="A52" s="20">
        <f>IF(5&lt;=NW,SAT1+29,"")</f>
        <v/>
      </c>
      <c r="B52" s="21">
        <f>IF(A52="","",CHOOSE(WEEKDAY(A52,1),"الأحد","الاثنين","الثلاثاء","الأربعاء","الخميس","الجمعة","السبت"))</f>
        <v/>
      </c>
      <c r="C52" s="22" t="n"/>
      <c r="D52" s="22" t="n"/>
      <c r="E52" s="23">
        <f>IF(OR(M52=0,K52="",L52=""),"",MOD(L52-K52,1))</f>
        <v/>
      </c>
      <c r="F52" s="24">
        <f>IF(OR(E52="",M52=0),"",IF(ROUND_MODE="للأعلى",CEILING(ROUND((E52*24*$N$50),3),0.25),ROUND((E52*24*$N$50)*4,0)/4))</f>
        <v/>
      </c>
      <c r="G52" s="22" t="n"/>
      <c r="H52" s="22" t="n"/>
      <c r="K52" s="25">
        <f>IF(OR(M52=0,C52=""),"",IF(ISNUMBER(C52),MOD(C52,1),IFERROR(INDEX('القوائم'!$B$1:$B$288,MATCH(TRIM(C52),'القوائم'!$A$1:$A$288,0)),IFERROR(MOD(TIMEVALUE(C52),1),""))))</f>
        <v/>
      </c>
      <c r="L52" s="25">
        <f>IF(OR(M52=0,D52=""),"",IF(ISNUMBER(D52),MOD(D52,1),IFERROR(INDEX('القوائم'!$B$1:$B$288,MATCH(TRIM(D52),'القوائم'!$A$1:$A$288,0)),IFERROR(MOD(TIMEVALUE(D52),1),""))))</f>
        <v/>
      </c>
      <c r="M52">
        <f>M50</f>
        <v/>
      </c>
      <c r="Q52">
        <f>IF(N(F60)&gt;0,1,0)</f>
        <v/>
      </c>
    </row>
    <row r="53">
      <c r="A53" s="20">
        <f>IF(5&lt;=NW,SAT1+30,"")</f>
        <v/>
      </c>
      <c r="B53" s="21">
        <f>IF(A53="","",CHOOSE(WEEKDAY(A53,1),"الأحد","الاثنين","الثلاثاء","الأربعاء","الخميس","الجمعة","السبت"))</f>
        <v/>
      </c>
      <c r="C53" s="22" t="n"/>
      <c r="D53" s="22" t="n"/>
      <c r="E53" s="23">
        <f>IF(OR(M53=0,K53="",L53=""),"",MOD(L53-K53,1))</f>
        <v/>
      </c>
      <c r="F53" s="24">
        <f>IF(OR(E53="",M53=0),"",IF(ROUND_MODE="للأعلى",CEILING(ROUND((E53*24*$N$50),3),0.25),ROUND((E53*24*$N$50)*4,0)/4))</f>
        <v/>
      </c>
      <c r="G53" s="22" t="n"/>
      <c r="H53" s="22" t="n"/>
      <c r="K53" s="25">
        <f>IF(OR(M53=0,C53=""),"",IF(ISNUMBER(C53),MOD(C53,1),IFERROR(INDEX('القوائم'!$B$1:$B$288,MATCH(TRIM(C53),'القوائم'!$A$1:$A$288,0)),IFERROR(MOD(TIMEVALUE(C53),1),""))))</f>
        <v/>
      </c>
      <c r="L53" s="25">
        <f>IF(OR(M53=0,D53=""),"",IF(ISNUMBER(D53),MOD(D53,1),IFERROR(INDEX('القوائم'!$B$1:$B$288,MATCH(TRIM(D53),'القوائم'!$A$1:$A$288,0)),IFERROR(MOD(TIMEVALUE(D53),1),""))))</f>
        <v/>
      </c>
      <c r="M53">
        <f>M50</f>
        <v/>
      </c>
      <c r="Q53">
        <f>IF(N(F60)&gt;0,1,0)</f>
        <v/>
      </c>
    </row>
    <row r="54">
      <c r="A54" s="20">
        <f>IF(5&lt;=NW,SAT1+31,"")</f>
        <v/>
      </c>
      <c r="B54" s="21">
        <f>IF(A54="","",CHOOSE(WEEKDAY(A54,1),"الأحد","الاثنين","الثلاثاء","الأربعاء","الخميس","الجمعة","السبت"))</f>
        <v/>
      </c>
      <c r="C54" s="22" t="n"/>
      <c r="D54" s="22" t="n"/>
      <c r="E54" s="23">
        <f>IF(OR(M54=0,K54="",L54=""),"",MOD(L54-K54,1))</f>
        <v/>
      </c>
      <c r="F54" s="24">
        <f>IF(OR(E54="",M54=0),"",IF(ROUND_MODE="للأعلى",CEILING(ROUND((E54*24*$N$50),3),0.25),ROUND((E54*24*$N$50)*4,0)/4))</f>
        <v/>
      </c>
      <c r="G54" s="22" t="n"/>
      <c r="H54" s="22" t="n"/>
      <c r="K54" s="25">
        <f>IF(OR(M54=0,C54=""),"",IF(ISNUMBER(C54),MOD(C54,1),IFERROR(INDEX('القوائم'!$B$1:$B$288,MATCH(TRIM(C54),'القوائم'!$A$1:$A$288,0)),IFERROR(MOD(TIMEVALUE(C54),1),""))))</f>
        <v/>
      </c>
      <c r="L54" s="25">
        <f>IF(OR(M54=0,D54=""),"",IF(ISNUMBER(D54),MOD(D54,1),IFERROR(INDEX('القوائم'!$B$1:$B$288,MATCH(TRIM(D54),'القوائم'!$A$1:$A$288,0)),IFERROR(MOD(TIMEVALUE(D54),1),""))))</f>
        <v/>
      </c>
      <c r="M54">
        <f>M50</f>
        <v/>
      </c>
      <c r="Q54">
        <f>IF(N(F60)&gt;0,1,0)</f>
        <v/>
      </c>
    </row>
    <row r="55">
      <c r="A55" s="20">
        <f>IF(5&lt;=NW,SAT1+32,"")</f>
        <v/>
      </c>
      <c r="B55" s="21">
        <f>IF(A55="","",CHOOSE(WEEKDAY(A55,1),"الأحد","الاثنين","الثلاثاء","الأربعاء","الخميس","الجمعة","السبت"))</f>
        <v/>
      </c>
      <c r="C55" s="22" t="n"/>
      <c r="D55" s="22" t="n"/>
      <c r="E55" s="23">
        <f>IF(OR(M55=0,K55="",L55=""),"",MOD(L55-K55,1))</f>
        <v/>
      </c>
      <c r="F55" s="24">
        <f>IF(OR(E55="",M55=0),"",IF(ROUND_MODE="للأعلى",CEILING(ROUND((E55*24*$N$50),3),0.25),ROUND((E55*24*$N$50)*4,0)/4))</f>
        <v/>
      </c>
      <c r="G55" s="22" t="n"/>
      <c r="H55" s="22" t="n"/>
      <c r="K55" s="25">
        <f>IF(OR(M55=0,C55=""),"",IF(ISNUMBER(C55),MOD(C55,1),IFERROR(INDEX('القوائم'!$B$1:$B$288,MATCH(TRIM(C55),'القوائم'!$A$1:$A$288,0)),IFERROR(MOD(TIMEVALUE(C55),1),""))))</f>
        <v/>
      </c>
      <c r="L55" s="25">
        <f>IF(OR(M55=0,D55=""),"",IF(ISNUMBER(D55),MOD(D55,1),IFERROR(INDEX('القوائم'!$B$1:$B$288,MATCH(TRIM(D55),'القوائم'!$A$1:$A$288,0)),IFERROR(MOD(TIMEVALUE(D55),1),""))))</f>
        <v/>
      </c>
      <c r="M55">
        <f>M50</f>
        <v/>
      </c>
      <c r="Q55">
        <f>IF(N(F60)&gt;0,1,0)</f>
        <v/>
      </c>
    </row>
    <row r="56">
      <c r="A56" s="20">
        <f>IF(5&lt;=NW,SAT1+33,"")</f>
        <v/>
      </c>
      <c r="B56" s="21">
        <f>IF(A56="","",CHOOSE(WEEKDAY(A56,1),"الأحد","الاثنين","الثلاثاء","الأربعاء","الخميس","الجمعة","السبت"))</f>
        <v/>
      </c>
      <c r="C56" s="22" t="n"/>
      <c r="D56" s="22" t="n"/>
      <c r="E56" s="23">
        <f>IF(OR(M56=0,K56="",L56=""),"",MOD(L56-K56,1))</f>
        <v/>
      </c>
      <c r="F56" s="24">
        <f>IF(OR(E56="",M56=0),"",IF(ROUND_MODE="للأعلى",CEILING(ROUND((E56*24*$N$50),3),0.25),ROUND((E56*24*$N$50)*4,0)/4))</f>
        <v/>
      </c>
      <c r="G56" s="22" t="n"/>
      <c r="H56" s="22" t="n"/>
      <c r="K56" s="25">
        <f>IF(OR(M56=0,C56=""),"",IF(ISNUMBER(C56),MOD(C56,1),IFERROR(INDEX('القوائم'!$B$1:$B$288,MATCH(TRIM(C56),'القوائم'!$A$1:$A$288,0)),IFERROR(MOD(TIMEVALUE(C56),1),""))))</f>
        <v/>
      </c>
      <c r="L56" s="25">
        <f>IF(OR(M56=0,D56=""),"",IF(ISNUMBER(D56),MOD(D56,1),IFERROR(INDEX('القوائم'!$B$1:$B$288,MATCH(TRIM(D56),'القوائم'!$A$1:$A$288,0)),IFERROR(MOD(TIMEVALUE(D56),1),""))))</f>
        <v/>
      </c>
      <c r="M56">
        <f>M50</f>
        <v/>
      </c>
      <c r="Q56">
        <f>IF(N(F60)&gt;0,1,0)</f>
        <v/>
      </c>
    </row>
    <row r="57">
      <c r="A57" s="26">
        <f>IF(5&lt;=NW,SAT1+34,"")</f>
        <v/>
      </c>
      <c r="B57" s="27">
        <f>IF(A57="","",CHOOSE(WEEKDAY(A57,1),"الأحد","الاثنين","الثلاثاء","الأربعاء","الخميس","الجمعة","السبت"))</f>
        <v/>
      </c>
      <c r="C57" s="22" t="n"/>
      <c r="D57" s="22" t="n"/>
      <c r="E57" s="23">
        <f>IF(OR(M57=0,K57="",L57=""),"",MOD(L57-K57,1))</f>
        <v/>
      </c>
      <c r="F57" s="24">
        <f>IF(OR(E57="",M57=0),"",IF(ROUND_MODE="للأعلى",CEILING(ROUND((E57*24*$N$50),3),0.25),ROUND((E57*24*$N$50)*4,0)/4))</f>
        <v/>
      </c>
      <c r="G57" s="22" t="n"/>
      <c r="H57" s="22" t="n"/>
      <c r="K57" s="25">
        <f>IF(OR(M57=0,C57=""),"",IF(ISNUMBER(C57),MOD(C57,1),IFERROR(INDEX('القوائم'!$B$1:$B$288,MATCH(TRIM(C57),'القوائم'!$A$1:$A$288,0)),IFERROR(MOD(TIMEVALUE(C57),1),""))))</f>
        <v/>
      </c>
      <c r="L57" s="25">
        <f>IF(OR(M57=0,D57=""),"",IF(ISNUMBER(D57),MOD(D57,1),IFERROR(INDEX('القوائم'!$B$1:$B$288,MATCH(TRIM(D57),'القوائم'!$A$1:$A$288,0)),IFERROR(MOD(TIMEVALUE(D57),1),""))))</f>
        <v/>
      </c>
      <c r="M57">
        <f>M50</f>
        <v/>
      </c>
      <c r="Q57">
        <f>IF(N(F60)&gt;0,1,0)</f>
        <v/>
      </c>
    </row>
    <row r="58">
      <c r="A58" s="28">
        <f>IF(M50=1,"مجموع أيام الأسبوع 5","")</f>
        <v/>
      </c>
      <c r="B58" s="28" t="n"/>
      <c r="C58" s="28" t="n"/>
      <c r="D58" s="28" t="n"/>
      <c r="E58" s="29">
        <f>IF(M50=1,SUM(E51:E57),"")</f>
        <v/>
      </c>
      <c r="F58" s="30">
        <f>IF(M50=1,SUM(F51:F57),"")</f>
        <v/>
      </c>
      <c r="G58" s="41">
        <f>IF(M50=1,SUMIFS(F51:F57,G51:G57,"نعم"),"")</f>
        <v/>
      </c>
      <c r="H58" s="28" t="n"/>
    </row>
    <row r="59" ht="32" customHeight="1">
      <c r="A59" s="28">
        <f>IF(M50=1,"ساعات تحميل الجبسمبورد بهالأسبوع (رقم: 2 أو 1.5) ←","")</f>
        <v/>
      </c>
      <c r="E59" s="31" t="n"/>
      <c r="F59" s="33">
        <f>IF(M50=1,N(F58)+IF(ROUND_MODE="للأعلى",CEILING(ROUND((N(E59)*($P$50-$N$50)),3),0.25),ROUND((N(E59)*($P$50-$N$50))*4,0)/4),"")</f>
        <v/>
      </c>
      <c r="G59" s="32">
        <f>IF(M50=1,"← المستحق النهائي للأسبوع (دينار) مع فرق الجبسمبورد","")</f>
        <v/>
      </c>
    </row>
    <row r="60" ht="26" customHeight="1">
      <c r="A60" s="28">
        <f>IF(M50=1,"إكرامية الأسبوع ←","")</f>
        <v/>
      </c>
      <c r="C60" s="35" t="n"/>
      <c r="D60" s="28">
        <f>IF(M50=1,"المدفوع يوم الجمعة (التسوية) ←","")</f>
        <v/>
      </c>
      <c r="F60" s="35" t="n"/>
      <c r="G60" s="36">
        <f>IF(M50=1,IF(N(F60)&gt;0,"✔ انقبض — الأسبوع مقفول","⏳ لسا ما انقبض"),"")</f>
        <v/>
      </c>
    </row>
    <row r="61" ht="26" customHeight="1">
      <c r="A61" s="40">
        <f>IF(6&lt;=NW,"الأسبوع 6 · السبت "&amp;TEXT(DAY(SAT1+35),"00")&amp;"/"&amp;TEXT(MONTH(SAT1+35),"00")&amp;" ← الجمعة "&amp;TEXT(DAY(SAT1+41),"00")&amp;"/"&amp;TEXT(MONTH(SAT1+41),"00")&amp;" (يوم القبض)"&amp;IF(6&lt;START_Z,"   — قبل أسبوع البداية (ما بينحسب)",""),"ما في أسبوع 6 هالسنة")</f>
        <v/>
      </c>
      <c r="L61" s="19">
        <f>IF(6&lt;=NW,SAT1+41,"")</f>
        <v/>
      </c>
      <c r="M61">
        <f>IF(AND(6&lt;=NW,6&gt;=START_Z),1,0)</f>
        <v/>
      </c>
      <c r="N61">
        <f>IFERROR(INDEX(RT_AZZ,MATCH(L61,RT_K,1)),INDEX(RT_AZZ,1))</f>
        <v/>
      </c>
      <c r="P61">
        <f>IFERROR(INDEX(RT_GYP,MATCH(L61,RT_K,1)),INDEX(RT_GYP,1))</f>
        <v/>
      </c>
    </row>
    <row r="62">
      <c r="A62" s="20">
        <f>IF(6&lt;=NW,SAT1+35,"")</f>
        <v/>
      </c>
      <c r="B62" s="21">
        <f>IF(A62="","",CHOOSE(WEEKDAY(A62,1),"الأحد","الاثنين","الثلاثاء","الأربعاء","الخميس","الجمعة","السبت"))</f>
        <v/>
      </c>
      <c r="C62" s="22" t="n"/>
      <c r="D62" s="22" t="n"/>
      <c r="E62" s="23">
        <f>IF(OR(M62=0,K62="",L62=""),"",MOD(L62-K62,1))</f>
        <v/>
      </c>
      <c r="F62" s="24">
        <f>IF(OR(E62="",M62=0),"",IF(ROUND_MODE="للأعلى",CEILING(ROUND((E62*24*$N$61),3),0.25),ROUND((E62*24*$N$61)*4,0)/4))</f>
        <v/>
      </c>
      <c r="G62" s="22" t="n"/>
      <c r="H62" s="22" t="n"/>
      <c r="K62" s="25">
        <f>IF(OR(M62=0,C62=""),"",IF(ISNUMBER(C62),MOD(C62,1),IFERROR(INDEX('القوائم'!$B$1:$B$288,MATCH(TRIM(C62),'القوائم'!$A$1:$A$288,0)),IFERROR(MOD(TIMEVALUE(C62),1),""))))</f>
        <v/>
      </c>
      <c r="L62" s="25">
        <f>IF(OR(M62=0,D62=""),"",IF(ISNUMBER(D62),MOD(D62,1),IFERROR(INDEX('القوائم'!$B$1:$B$288,MATCH(TRIM(D62),'القوائم'!$A$1:$A$288,0)),IFERROR(MOD(TIMEVALUE(D62),1),""))))</f>
        <v/>
      </c>
      <c r="M62">
        <f>M61</f>
        <v/>
      </c>
      <c r="Q62">
        <f>IF(N(F71)&gt;0,1,0)</f>
        <v/>
      </c>
    </row>
    <row r="63">
      <c r="A63" s="20">
        <f>IF(6&lt;=NW,SAT1+36,"")</f>
        <v/>
      </c>
      <c r="B63" s="21">
        <f>IF(A63="","",CHOOSE(WEEKDAY(A63,1),"الأحد","الاثنين","الثلاثاء","الأربعاء","الخميس","الجمعة","السبت"))</f>
        <v/>
      </c>
      <c r="C63" s="22" t="n"/>
      <c r="D63" s="22" t="n"/>
      <c r="E63" s="23">
        <f>IF(OR(M63=0,K63="",L63=""),"",MOD(L63-K63,1))</f>
        <v/>
      </c>
      <c r="F63" s="24">
        <f>IF(OR(E63="",M63=0),"",IF(ROUND_MODE="للأعلى",CEILING(ROUND((E63*24*$N$61),3),0.25),ROUND((E63*24*$N$61)*4,0)/4))</f>
        <v/>
      </c>
      <c r="G63" s="22" t="n"/>
      <c r="H63" s="22" t="n"/>
      <c r="K63" s="25">
        <f>IF(OR(M63=0,C63=""),"",IF(ISNUMBER(C63),MOD(C63,1),IFERROR(INDEX('القوائم'!$B$1:$B$288,MATCH(TRIM(C63),'القوائم'!$A$1:$A$288,0)),IFERROR(MOD(TIMEVALUE(C63),1),""))))</f>
        <v/>
      </c>
      <c r="L63" s="25">
        <f>IF(OR(M63=0,D63=""),"",IF(ISNUMBER(D63),MOD(D63,1),IFERROR(INDEX('القوائم'!$B$1:$B$288,MATCH(TRIM(D63),'القوائم'!$A$1:$A$288,0)),IFERROR(MOD(TIMEVALUE(D63),1),""))))</f>
        <v/>
      </c>
      <c r="M63">
        <f>M61</f>
        <v/>
      </c>
      <c r="Q63">
        <f>IF(N(F71)&gt;0,1,0)</f>
        <v/>
      </c>
    </row>
    <row r="64">
      <c r="A64" s="20">
        <f>IF(6&lt;=NW,SAT1+37,"")</f>
        <v/>
      </c>
      <c r="B64" s="21">
        <f>IF(A64="","",CHOOSE(WEEKDAY(A64,1),"الأحد","الاثنين","الثلاثاء","الأربعاء","الخميس","الجمعة","السبت"))</f>
        <v/>
      </c>
      <c r="C64" s="22" t="n"/>
      <c r="D64" s="22" t="n"/>
      <c r="E64" s="23">
        <f>IF(OR(M64=0,K64="",L64=""),"",MOD(L64-K64,1))</f>
        <v/>
      </c>
      <c r="F64" s="24">
        <f>IF(OR(E64="",M64=0),"",IF(ROUND_MODE="للأعلى",CEILING(ROUND((E64*24*$N$61),3),0.25),ROUND((E64*24*$N$61)*4,0)/4))</f>
        <v/>
      </c>
      <c r="G64" s="22" t="n"/>
      <c r="H64" s="22" t="n"/>
      <c r="K64" s="25">
        <f>IF(OR(M64=0,C64=""),"",IF(ISNUMBER(C64),MOD(C64,1),IFERROR(INDEX('القوائم'!$B$1:$B$288,MATCH(TRIM(C64),'القوائم'!$A$1:$A$288,0)),IFERROR(MOD(TIMEVALUE(C64),1),""))))</f>
        <v/>
      </c>
      <c r="L64" s="25">
        <f>IF(OR(M64=0,D64=""),"",IF(ISNUMBER(D64),MOD(D64,1),IFERROR(INDEX('القوائم'!$B$1:$B$288,MATCH(TRIM(D64),'القوائم'!$A$1:$A$288,0)),IFERROR(MOD(TIMEVALUE(D64),1),""))))</f>
        <v/>
      </c>
      <c r="M64">
        <f>M61</f>
        <v/>
      </c>
      <c r="Q64">
        <f>IF(N(F71)&gt;0,1,0)</f>
        <v/>
      </c>
    </row>
    <row r="65">
      <c r="A65" s="20">
        <f>IF(6&lt;=NW,SAT1+38,"")</f>
        <v/>
      </c>
      <c r="B65" s="21">
        <f>IF(A65="","",CHOOSE(WEEKDAY(A65,1),"الأحد","الاثنين","الثلاثاء","الأربعاء","الخميس","الجمعة","السبت"))</f>
        <v/>
      </c>
      <c r="C65" s="22" t="n"/>
      <c r="D65" s="22" t="n"/>
      <c r="E65" s="23">
        <f>IF(OR(M65=0,K65="",L65=""),"",MOD(L65-K65,1))</f>
        <v/>
      </c>
      <c r="F65" s="24">
        <f>IF(OR(E65="",M65=0),"",IF(ROUND_MODE="للأعلى",CEILING(ROUND((E65*24*$N$61),3),0.25),ROUND((E65*24*$N$61)*4,0)/4))</f>
        <v/>
      </c>
      <c r="G65" s="22" t="n"/>
      <c r="H65" s="22" t="n"/>
      <c r="K65" s="25">
        <f>IF(OR(M65=0,C65=""),"",IF(ISNUMBER(C65),MOD(C65,1),IFERROR(INDEX('القوائم'!$B$1:$B$288,MATCH(TRIM(C65),'القوائم'!$A$1:$A$288,0)),IFERROR(MOD(TIMEVALUE(C65),1),""))))</f>
        <v/>
      </c>
      <c r="L65" s="25">
        <f>IF(OR(M65=0,D65=""),"",IF(ISNUMBER(D65),MOD(D65,1),IFERROR(INDEX('القوائم'!$B$1:$B$288,MATCH(TRIM(D65),'القوائم'!$A$1:$A$288,0)),IFERROR(MOD(TIMEVALUE(D65),1),""))))</f>
        <v/>
      </c>
      <c r="M65">
        <f>M61</f>
        <v/>
      </c>
      <c r="Q65">
        <f>IF(N(F71)&gt;0,1,0)</f>
        <v/>
      </c>
    </row>
    <row r="66">
      <c r="A66" s="20">
        <f>IF(6&lt;=NW,SAT1+39,"")</f>
        <v/>
      </c>
      <c r="B66" s="21">
        <f>IF(A66="","",CHOOSE(WEEKDAY(A66,1),"الأحد","الاثنين","الثلاثاء","الأربعاء","الخميس","الجمعة","السبت"))</f>
        <v/>
      </c>
      <c r="C66" s="22" t="n"/>
      <c r="D66" s="22" t="n"/>
      <c r="E66" s="23">
        <f>IF(OR(M66=0,K66="",L66=""),"",MOD(L66-K66,1))</f>
        <v/>
      </c>
      <c r="F66" s="24">
        <f>IF(OR(E66="",M66=0),"",IF(ROUND_MODE="للأعلى",CEILING(ROUND((E66*24*$N$61),3),0.25),ROUND((E66*24*$N$61)*4,0)/4))</f>
        <v/>
      </c>
      <c r="G66" s="22" t="n"/>
      <c r="H66" s="22" t="n"/>
      <c r="K66" s="25">
        <f>IF(OR(M66=0,C66=""),"",IF(ISNUMBER(C66),MOD(C66,1),IFERROR(INDEX('القوائم'!$B$1:$B$288,MATCH(TRIM(C66),'القوائم'!$A$1:$A$288,0)),IFERROR(MOD(TIMEVALUE(C66),1),""))))</f>
        <v/>
      </c>
      <c r="L66" s="25">
        <f>IF(OR(M66=0,D66=""),"",IF(ISNUMBER(D66),MOD(D66,1),IFERROR(INDEX('القوائم'!$B$1:$B$288,MATCH(TRIM(D66),'القوائم'!$A$1:$A$288,0)),IFERROR(MOD(TIMEVALUE(D66),1),""))))</f>
        <v/>
      </c>
      <c r="M66">
        <f>M61</f>
        <v/>
      </c>
      <c r="Q66">
        <f>IF(N(F71)&gt;0,1,0)</f>
        <v/>
      </c>
    </row>
    <row r="67">
      <c r="A67" s="20">
        <f>IF(6&lt;=NW,SAT1+40,"")</f>
        <v/>
      </c>
      <c r="B67" s="21">
        <f>IF(A67="","",CHOOSE(WEEKDAY(A67,1),"الأحد","الاثنين","الثلاثاء","الأربعاء","الخميس","الجمعة","السبت"))</f>
        <v/>
      </c>
      <c r="C67" s="22" t="n"/>
      <c r="D67" s="22" t="n"/>
      <c r="E67" s="23">
        <f>IF(OR(M67=0,K67="",L67=""),"",MOD(L67-K67,1))</f>
        <v/>
      </c>
      <c r="F67" s="24">
        <f>IF(OR(E67="",M67=0),"",IF(ROUND_MODE="للأعلى",CEILING(ROUND((E67*24*$N$61),3),0.25),ROUND((E67*24*$N$61)*4,0)/4))</f>
        <v/>
      </c>
      <c r="G67" s="22" t="n"/>
      <c r="H67" s="22" t="n"/>
      <c r="K67" s="25">
        <f>IF(OR(M67=0,C67=""),"",IF(ISNUMBER(C67),MOD(C67,1),IFERROR(INDEX('القوائم'!$B$1:$B$288,MATCH(TRIM(C67),'القوائم'!$A$1:$A$288,0)),IFERROR(MOD(TIMEVALUE(C67),1),""))))</f>
        <v/>
      </c>
      <c r="L67" s="25">
        <f>IF(OR(M67=0,D67=""),"",IF(ISNUMBER(D67),MOD(D67,1),IFERROR(INDEX('القوائم'!$B$1:$B$288,MATCH(TRIM(D67),'القوائم'!$A$1:$A$288,0)),IFERROR(MOD(TIMEVALUE(D67),1),""))))</f>
        <v/>
      </c>
      <c r="M67">
        <f>M61</f>
        <v/>
      </c>
      <c r="Q67">
        <f>IF(N(F71)&gt;0,1,0)</f>
        <v/>
      </c>
    </row>
    <row r="68">
      <c r="A68" s="26">
        <f>IF(6&lt;=NW,SAT1+41,"")</f>
        <v/>
      </c>
      <c r="B68" s="27">
        <f>IF(A68="","",CHOOSE(WEEKDAY(A68,1),"الأحد","الاثنين","الثلاثاء","الأربعاء","الخميس","الجمعة","السبت"))</f>
        <v/>
      </c>
      <c r="C68" s="22" t="n"/>
      <c r="D68" s="22" t="n"/>
      <c r="E68" s="23">
        <f>IF(OR(M68=0,K68="",L68=""),"",MOD(L68-K68,1))</f>
        <v/>
      </c>
      <c r="F68" s="24">
        <f>IF(OR(E68="",M68=0),"",IF(ROUND_MODE="للأعلى",CEILING(ROUND((E68*24*$N$61),3),0.25),ROUND((E68*24*$N$61)*4,0)/4))</f>
        <v/>
      </c>
      <c r="G68" s="22" t="n"/>
      <c r="H68" s="22" t="n"/>
      <c r="K68" s="25">
        <f>IF(OR(M68=0,C68=""),"",IF(ISNUMBER(C68),MOD(C68,1),IFERROR(INDEX('القوائم'!$B$1:$B$288,MATCH(TRIM(C68),'القوائم'!$A$1:$A$288,0)),IFERROR(MOD(TIMEVALUE(C68),1),""))))</f>
        <v/>
      </c>
      <c r="L68" s="25">
        <f>IF(OR(M68=0,D68=""),"",IF(ISNUMBER(D68),MOD(D68,1),IFERROR(INDEX('القوائم'!$B$1:$B$288,MATCH(TRIM(D68),'القوائم'!$A$1:$A$288,0)),IFERROR(MOD(TIMEVALUE(D68),1),""))))</f>
        <v/>
      </c>
      <c r="M68">
        <f>M61</f>
        <v/>
      </c>
      <c r="Q68">
        <f>IF(N(F71)&gt;0,1,0)</f>
        <v/>
      </c>
    </row>
    <row r="69">
      <c r="A69" s="28">
        <f>IF(M61=1,"مجموع أيام الأسبوع 6","")</f>
        <v/>
      </c>
      <c r="B69" s="28" t="n"/>
      <c r="C69" s="28" t="n"/>
      <c r="D69" s="28" t="n"/>
      <c r="E69" s="29">
        <f>IF(M61=1,SUM(E62:E68),"")</f>
        <v/>
      </c>
      <c r="F69" s="30">
        <f>IF(M61=1,SUM(F62:F68),"")</f>
        <v/>
      </c>
      <c r="G69" s="41">
        <f>IF(M61=1,SUMIFS(F62:F68,G62:G68,"نعم"),"")</f>
        <v/>
      </c>
      <c r="H69" s="28" t="n"/>
    </row>
    <row r="70" ht="32" customHeight="1">
      <c r="A70" s="28">
        <f>IF(M61=1,"ساعات تحميل الجبسمبورد بهالأسبوع (رقم: 2 أو 1.5) ←","")</f>
        <v/>
      </c>
      <c r="E70" s="31" t="n"/>
      <c r="F70" s="33">
        <f>IF(M61=1,N(F69)+IF(ROUND_MODE="للأعلى",CEILING(ROUND((N(E70)*($P$61-$N$61)),3),0.25),ROUND((N(E70)*($P$61-$N$61))*4,0)/4),"")</f>
        <v/>
      </c>
      <c r="G70" s="32">
        <f>IF(M61=1,"← المستحق النهائي للأسبوع (دينار) مع فرق الجبسمبورد","")</f>
        <v/>
      </c>
    </row>
    <row r="71" ht="26" customHeight="1">
      <c r="A71" s="28">
        <f>IF(M61=1,"إكرامية الأسبوع ←","")</f>
        <v/>
      </c>
      <c r="C71" s="35" t="n"/>
      <c r="D71" s="28">
        <f>IF(M61=1,"المدفوع يوم الجمعة (التسوية) ←","")</f>
        <v/>
      </c>
      <c r="F71" s="35" t="n"/>
      <c r="G71" s="36">
        <f>IF(M61=1,IF(N(F71)&gt;0,"✔ انقبض — الأسبوع مقفول","⏳ لسا ما انقبض"),"")</f>
        <v/>
      </c>
    </row>
    <row r="72" ht="26" customHeight="1">
      <c r="A72" s="40">
        <f>IF(7&lt;=NW,"الأسبوع 7 · السبت "&amp;TEXT(DAY(SAT1+42),"00")&amp;"/"&amp;TEXT(MONTH(SAT1+42),"00")&amp;" ← الجمعة "&amp;TEXT(DAY(SAT1+48),"00")&amp;"/"&amp;TEXT(MONTH(SAT1+48),"00")&amp;" (يوم القبض)"&amp;IF(7&lt;START_Z,"   — قبل أسبوع البداية (ما بينحسب)",""),"ما في أسبوع 7 هالسنة")</f>
        <v/>
      </c>
      <c r="L72" s="19">
        <f>IF(7&lt;=NW,SAT1+48,"")</f>
        <v/>
      </c>
      <c r="M72">
        <f>IF(AND(7&lt;=NW,7&gt;=START_Z),1,0)</f>
        <v/>
      </c>
      <c r="N72">
        <f>IFERROR(INDEX(RT_AZZ,MATCH(L72,RT_K,1)),INDEX(RT_AZZ,1))</f>
        <v/>
      </c>
      <c r="P72">
        <f>IFERROR(INDEX(RT_GYP,MATCH(L72,RT_K,1)),INDEX(RT_GYP,1))</f>
        <v/>
      </c>
    </row>
    <row r="73">
      <c r="A73" s="20">
        <f>IF(7&lt;=NW,SAT1+42,"")</f>
        <v/>
      </c>
      <c r="B73" s="21">
        <f>IF(A73="","",CHOOSE(WEEKDAY(A73,1),"الأحد","الاثنين","الثلاثاء","الأربعاء","الخميس","الجمعة","السبت"))</f>
        <v/>
      </c>
      <c r="C73" s="22" t="n"/>
      <c r="D73" s="22" t="n"/>
      <c r="E73" s="23">
        <f>IF(OR(M73=0,K73="",L73=""),"",MOD(L73-K73,1))</f>
        <v/>
      </c>
      <c r="F73" s="24">
        <f>IF(OR(E73="",M73=0),"",IF(ROUND_MODE="للأعلى",CEILING(ROUND((E73*24*$N$72),3),0.25),ROUND((E73*24*$N$72)*4,0)/4))</f>
        <v/>
      </c>
      <c r="G73" s="22" t="n"/>
      <c r="H73" s="22" t="n"/>
      <c r="K73" s="25">
        <f>IF(OR(M73=0,C73=""),"",IF(ISNUMBER(C73),MOD(C73,1),IFERROR(INDEX('القوائم'!$B$1:$B$288,MATCH(TRIM(C73),'القوائم'!$A$1:$A$288,0)),IFERROR(MOD(TIMEVALUE(C73),1),""))))</f>
        <v/>
      </c>
      <c r="L73" s="25">
        <f>IF(OR(M73=0,D73=""),"",IF(ISNUMBER(D73),MOD(D73,1),IFERROR(INDEX('القوائم'!$B$1:$B$288,MATCH(TRIM(D73),'القوائم'!$A$1:$A$288,0)),IFERROR(MOD(TIMEVALUE(D73),1),""))))</f>
        <v/>
      </c>
      <c r="M73">
        <f>M72</f>
        <v/>
      </c>
      <c r="Q73">
        <f>IF(N(F82)&gt;0,1,0)</f>
        <v/>
      </c>
    </row>
    <row r="74">
      <c r="A74" s="20">
        <f>IF(7&lt;=NW,SAT1+43,"")</f>
        <v/>
      </c>
      <c r="B74" s="21">
        <f>IF(A74="","",CHOOSE(WEEKDAY(A74,1),"الأحد","الاثنين","الثلاثاء","الأربعاء","الخميس","الجمعة","السبت"))</f>
        <v/>
      </c>
      <c r="C74" s="22" t="n"/>
      <c r="D74" s="22" t="n"/>
      <c r="E74" s="23">
        <f>IF(OR(M74=0,K74="",L74=""),"",MOD(L74-K74,1))</f>
        <v/>
      </c>
      <c r="F74" s="24">
        <f>IF(OR(E74="",M74=0),"",IF(ROUND_MODE="للأعلى",CEILING(ROUND((E74*24*$N$72),3),0.25),ROUND((E74*24*$N$72)*4,0)/4))</f>
        <v/>
      </c>
      <c r="G74" s="22" t="n"/>
      <c r="H74" s="22" t="n"/>
      <c r="K74" s="25">
        <f>IF(OR(M74=0,C74=""),"",IF(ISNUMBER(C74),MOD(C74,1),IFERROR(INDEX('القوائم'!$B$1:$B$288,MATCH(TRIM(C74),'القوائم'!$A$1:$A$288,0)),IFERROR(MOD(TIMEVALUE(C74),1),""))))</f>
        <v/>
      </c>
      <c r="L74" s="25">
        <f>IF(OR(M74=0,D74=""),"",IF(ISNUMBER(D74),MOD(D74,1),IFERROR(INDEX('القوائم'!$B$1:$B$288,MATCH(TRIM(D74),'القوائم'!$A$1:$A$288,0)),IFERROR(MOD(TIMEVALUE(D74),1),""))))</f>
        <v/>
      </c>
      <c r="M74">
        <f>M72</f>
        <v/>
      </c>
      <c r="Q74">
        <f>IF(N(F82)&gt;0,1,0)</f>
        <v/>
      </c>
    </row>
    <row r="75">
      <c r="A75" s="20">
        <f>IF(7&lt;=NW,SAT1+44,"")</f>
        <v/>
      </c>
      <c r="B75" s="21">
        <f>IF(A75="","",CHOOSE(WEEKDAY(A75,1),"الأحد","الاثنين","الثلاثاء","الأربعاء","الخميس","الجمعة","السبت"))</f>
        <v/>
      </c>
      <c r="C75" s="22" t="n"/>
      <c r="D75" s="22" t="n"/>
      <c r="E75" s="23">
        <f>IF(OR(M75=0,K75="",L75=""),"",MOD(L75-K75,1))</f>
        <v/>
      </c>
      <c r="F75" s="24">
        <f>IF(OR(E75="",M75=0),"",IF(ROUND_MODE="للأعلى",CEILING(ROUND((E75*24*$N$72),3),0.25),ROUND((E75*24*$N$72)*4,0)/4))</f>
        <v/>
      </c>
      <c r="G75" s="22" t="n"/>
      <c r="H75" s="22" t="n"/>
      <c r="K75" s="25">
        <f>IF(OR(M75=0,C75=""),"",IF(ISNUMBER(C75),MOD(C75,1),IFERROR(INDEX('القوائم'!$B$1:$B$288,MATCH(TRIM(C75),'القوائم'!$A$1:$A$288,0)),IFERROR(MOD(TIMEVALUE(C75),1),""))))</f>
        <v/>
      </c>
      <c r="L75" s="25">
        <f>IF(OR(M75=0,D75=""),"",IF(ISNUMBER(D75),MOD(D75,1),IFERROR(INDEX('القوائم'!$B$1:$B$288,MATCH(TRIM(D75),'القوائم'!$A$1:$A$288,0)),IFERROR(MOD(TIMEVALUE(D75),1),""))))</f>
        <v/>
      </c>
      <c r="M75">
        <f>M72</f>
        <v/>
      </c>
      <c r="Q75">
        <f>IF(N(F82)&gt;0,1,0)</f>
        <v/>
      </c>
    </row>
    <row r="76">
      <c r="A76" s="20">
        <f>IF(7&lt;=NW,SAT1+45,"")</f>
        <v/>
      </c>
      <c r="B76" s="21">
        <f>IF(A76="","",CHOOSE(WEEKDAY(A76,1),"الأحد","الاثنين","الثلاثاء","الأربعاء","الخميس","الجمعة","السبت"))</f>
        <v/>
      </c>
      <c r="C76" s="22" t="n"/>
      <c r="D76" s="22" t="n"/>
      <c r="E76" s="23">
        <f>IF(OR(M76=0,K76="",L76=""),"",MOD(L76-K76,1))</f>
        <v/>
      </c>
      <c r="F76" s="24">
        <f>IF(OR(E76="",M76=0),"",IF(ROUND_MODE="للأعلى",CEILING(ROUND((E76*24*$N$72),3),0.25),ROUND((E76*24*$N$72)*4,0)/4))</f>
        <v/>
      </c>
      <c r="G76" s="22" t="n"/>
      <c r="H76" s="22" t="n"/>
      <c r="K76" s="25">
        <f>IF(OR(M76=0,C76=""),"",IF(ISNUMBER(C76),MOD(C76,1),IFERROR(INDEX('القوائم'!$B$1:$B$288,MATCH(TRIM(C76),'القوائم'!$A$1:$A$288,0)),IFERROR(MOD(TIMEVALUE(C76),1),""))))</f>
        <v/>
      </c>
      <c r="L76" s="25">
        <f>IF(OR(M76=0,D76=""),"",IF(ISNUMBER(D76),MOD(D76,1),IFERROR(INDEX('القوائم'!$B$1:$B$288,MATCH(TRIM(D76),'القوائم'!$A$1:$A$288,0)),IFERROR(MOD(TIMEVALUE(D76),1),""))))</f>
        <v/>
      </c>
      <c r="M76">
        <f>M72</f>
        <v/>
      </c>
      <c r="Q76">
        <f>IF(N(F82)&gt;0,1,0)</f>
        <v/>
      </c>
    </row>
    <row r="77">
      <c r="A77" s="20">
        <f>IF(7&lt;=NW,SAT1+46,"")</f>
        <v/>
      </c>
      <c r="B77" s="21">
        <f>IF(A77="","",CHOOSE(WEEKDAY(A77,1),"الأحد","الاثنين","الثلاثاء","الأربعاء","الخميس","الجمعة","السبت"))</f>
        <v/>
      </c>
      <c r="C77" s="22" t="n"/>
      <c r="D77" s="22" t="n"/>
      <c r="E77" s="23">
        <f>IF(OR(M77=0,K77="",L77=""),"",MOD(L77-K77,1))</f>
        <v/>
      </c>
      <c r="F77" s="24">
        <f>IF(OR(E77="",M77=0),"",IF(ROUND_MODE="للأعلى",CEILING(ROUND((E77*24*$N$72),3),0.25),ROUND((E77*24*$N$72)*4,0)/4))</f>
        <v/>
      </c>
      <c r="G77" s="22" t="n"/>
      <c r="H77" s="22" t="n"/>
      <c r="K77" s="25">
        <f>IF(OR(M77=0,C77=""),"",IF(ISNUMBER(C77),MOD(C77,1),IFERROR(INDEX('القوائم'!$B$1:$B$288,MATCH(TRIM(C77),'القوائم'!$A$1:$A$288,0)),IFERROR(MOD(TIMEVALUE(C77),1),""))))</f>
        <v/>
      </c>
      <c r="L77" s="25">
        <f>IF(OR(M77=0,D77=""),"",IF(ISNUMBER(D77),MOD(D77,1),IFERROR(INDEX('القوائم'!$B$1:$B$288,MATCH(TRIM(D77),'القوائم'!$A$1:$A$288,0)),IFERROR(MOD(TIMEVALUE(D77),1),""))))</f>
        <v/>
      </c>
      <c r="M77">
        <f>M72</f>
        <v/>
      </c>
      <c r="Q77">
        <f>IF(N(F82)&gt;0,1,0)</f>
        <v/>
      </c>
    </row>
    <row r="78">
      <c r="A78" s="20">
        <f>IF(7&lt;=NW,SAT1+47,"")</f>
        <v/>
      </c>
      <c r="B78" s="21">
        <f>IF(A78="","",CHOOSE(WEEKDAY(A78,1),"الأحد","الاثنين","الثلاثاء","الأربعاء","الخميس","الجمعة","السبت"))</f>
        <v/>
      </c>
      <c r="C78" s="22" t="n"/>
      <c r="D78" s="22" t="n"/>
      <c r="E78" s="23">
        <f>IF(OR(M78=0,K78="",L78=""),"",MOD(L78-K78,1))</f>
        <v/>
      </c>
      <c r="F78" s="24">
        <f>IF(OR(E78="",M78=0),"",IF(ROUND_MODE="للأعلى",CEILING(ROUND((E78*24*$N$72),3),0.25),ROUND((E78*24*$N$72)*4,0)/4))</f>
        <v/>
      </c>
      <c r="G78" s="22" t="n"/>
      <c r="H78" s="22" t="n"/>
      <c r="K78" s="25">
        <f>IF(OR(M78=0,C78=""),"",IF(ISNUMBER(C78),MOD(C78,1),IFERROR(INDEX('القوائم'!$B$1:$B$288,MATCH(TRIM(C78),'القوائم'!$A$1:$A$288,0)),IFERROR(MOD(TIMEVALUE(C78),1),""))))</f>
        <v/>
      </c>
      <c r="L78" s="25">
        <f>IF(OR(M78=0,D78=""),"",IF(ISNUMBER(D78),MOD(D78,1),IFERROR(INDEX('القوائم'!$B$1:$B$288,MATCH(TRIM(D78),'القوائم'!$A$1:$A$288,0)),IFERROR(MOD(TIMEVALUE(D78),1),""))))</f>
        <v/>
      </c>
      <c r="M78">
        <f>M72</f>
        <v/>
      </c>
      <c r="Q78">
        <f>IF(N(F82)&gt;0,1,0)</f>
        <v/>
      </c>
    </row>
    <row r="79">
      <c r="A79" s="26">
        <f>IF(7&lt;=NW,SAT1+48,"")</f>
        <v/>
      </c>
      <c r="B79" s="27">
        <f>IF(A79="","",CHOOSE(WEEKDAY(A79,1),"الأحد","الاثنين","الثلاثاء","الأربعاء","الخميس","الجمعة","السبت"))</f>
        <v/>
      </c>
      <c r="C79" s="22" t="n"/>
      <c r="D79" s="22" t="n"/>
      <c r="E79" s="23">
        <f>IF(OR(M79=0,K79="",L79=""),"",MOD(L79-K79,1))</f>
        <v/>
      </c>
      <c r="F79" s="24">
        <f>IF(OR(E79="",M79=0),"",IF(ROUND_MODE="للأعلى",CEILING(ROUND((E79*24*$N$72),3),0.25),ROUND((E79*24*$N$72)*4,0)/4))</f>
        <v/>
      </c>
      <c r="G79" s="22" t="n"/>
      <c r="H79" s="22" t="n"/>
      <c r="K79" s="25">
        <f>IF(OR(M79=0,C79=""),"",IF(ISNUMBER(C79),MOD(C79,1),IFERROR(INDEX('القوائم'!$B$1:$B$288,MATCH(TRIM(C79),'القوائم'!$A$1:$A$288,0)),IFERROR(MOD(TIMEVALUE(C79),1),""))))</f>
        <v/>
      </c>
      <c r="L79" s="25">
        <f>IF(OR(M79=0,D79=""),"",IF(ISNUMBER(D79),MOD(D79,1),IFERROR(INDEX('القوائم'!$B$1:$B$288,MATCH(TRIM(D79),'القوائم'!$A$1:$A$288,0)),IFERROR(MOD(TIMEVALUE(D79),1),""))))</f>
        <v/>
      </c>
      <c r="M79">
        <f>M72</f>
        <v/>
      </c>
      <c r="Q79">
        <f>IF(N(F82)&gt;0,1,0)</f>
        <v/>
      </c>
    </row>
    <row r="80">
      <c r="A80" s="28">
        <f>IF(M72=1,"مجموع أيام الأسبوع 7","")</f>
        <v/>
      </c>
      <c r="B80" s="28" t="n"/>
      <c r="C80" s="28" t="n"/>
      <c r="D80" s="28" t="n"/>
      <c r="E80" s="29">
        <f>IF(M72=1,SUM(E73:E79),"")</f>
        <v/>
      </c>
      <c r="F80" s="30">
        <f>IF(M72=1,SUM(F73:F79),"")</f>
        <v/>
      </c>
      <c r="G80" s="41">
        <f>IF(M72=1,SUMIFS(F73:F79,G73:G79,"نعم"),"")</f>
        <v/>
      </c>
      <c r="H80" s="28" t="n"/>
    </row>
    <row r="81" ht="32" customHeight="1">
      <c r="A81" s="28">
        <f>IF(M72=1,"ساعات تحميل الجبسمبورد بهالأسبوع (رقم: 2 أو 1.5) ←","")</f>
        <v/>
      </c>
      <c r="E81" s="31" t="n"/>
      <c r="F81" s="33">
        <f>IF(M72=1,N(F80)+IF(ROUND_MODE="للأعلى",CEILING(ROUND((N(E81)*($P$72-$N$72)),3),0.25),ROUND((N(E81)*($P$72-$N$72))*4,0)/4),"")</f>
        <v/>
      </c>
      <c r="G81" s="32">
        <f>IF(M72=1,"← المستحق النهائي للأسبوع (دينار) مع فرق الجبسمبورد","")</f>
        <v/>
      </c>
    </row>
    <row r="82" ht="26" customHeight="1">
      <c r="A82" s="28">
        <f>IF(M72=1,"إكرامية الأسبوع ←","")</f>
        <v/>
      </c>
      <c r="C82" s="35" t="n"/>
      <c r="D82" s="28">
        <f>IF(M72=1,"المدفوع يوم الجمعة (التسوية) ←","")</f>
        <v/>
      </c>
      <c r="F82" s="35" t="n"/>
      <c r="G82" s="36">
        <f>IF(M72=1,IF(N(F82)&gt;0,"✔ انقبض — الأسبوع مقفول","⏳ لسا ما انقبض"),"")</f>
        <v/>
      </c>
    </row>
    <row r="83" ht="26" customHeight="1">
      <c r="A83" s="40">
        <f>IF(8&lt;=NW,"الأسبوع 8 · السبت "&amp;TEXT(DAY(SAT1+49),"00")&amp;"/"&amp;TEXT(MONTH(SAT1+49),"00")&amp;" ← الجمعة "&amp;TEXT(DAY(SAT1+55),"00")&amp;"/"&amp;TEXT(MONTH(SAT1+55),"00")&amp;" (يوم القبض)"&amp;IF(8&lt;START_Z,"   — قبل أسبوع البداية (ما بينحسب)",""),"ما في أسبوع 8 هالسنة")</f>
        <v/>
      </c>
      <c r="L83" s="19">
        <f>IF(8&lt;=NW,SAT1+55,"")</f>
        <v/>
      </c>
      <c r="M83">
        <f>IF(AND(8&lt;=NW,8&gt;=START_Z),1,0)</f>
        <v/>
      </c>
      <c r="N83">
        <f>IFERROR(INDEX(RT_AZZ,MATCH(L83,RT_K,1)),INDEX(RT_AZZ,1))</f>
        <v/>
      </c>
      <c r="P83">
        <f>IFERROR(INDEX(RT_GYP,MATCH(L83,RT_K,1)),INDEX(RT_GYP,1))</f>
        <v/>
      </c>
    </row>
    <row r="84">
      <c r="A84" s="20">
        <f>IF(8&lt;=NW,SAT1+49,"")</f>
        <v/>
      </c>
      <c r="B84" s="21">
        <f>IF(A84="","",CHOOSE(WEEKDAY(A84,1),"الأحد","الاثنين","الثلاثاء","الأربعاء","الخميس","الجمعة","السبت"))</f>
        <v/>
      </c>
      <c r="C84" s="22" t="n"/>
      <c r="D84" s="22" t="n"/>
      <c r="E84" s="23">
        <f>IF(OR(M84=0,K84="",L84=""),"",MOD(L84-K84,1))</f>
        <v/>
      </c>
      <c r="F84" s="24">
        <f>IF(OR(E84="",M84=0),"",IF(ROUND_MODE="للأعلى",CEILING(ROUND((E84*24*$N$83),3),0.25),ROUND((E84*24*$N$83)*4,0)/4))</f>
        <v/>
      </c>
      <c r="G84" s="22" t="n"/>
      <c r="H84" s="22" t="n"/>
      <c r="K84" s="25">
        <f>IF(OR(M84=0,C84=""),"",IF(ISNUMBER(C84),MOD(C84,1),IFERROR(INDEX('القوائم'!$B$1:$B$288,MATCH(TRIM(C84),'القوائم'!$A$1:$A$288,0)),IFERROR(MOD(TIMEVALUE(C84),1),""))))</f>
        <v/>
      </c>
      <c r="L84" s="25">
        <f>IF(OR(M84=0,D84=""),"",IF(ISNUMBER(D84),MOD(D84,1),IFERROR(INDEX('القوائم'!$B$1:$B$288,MATCH(TRIM(D84),'القوائم'!$A$1:$A$288,0)),IFERROR(MOD(TIMEVALUE(D84),1),""))))</f>
        <v/>
      </c>
      <c r="M84">
        <f>M83</f>
        <v/>
      </c>
      <c r="Q84">
        <f>IF(N(F93)&gt;0,1,0)</f>
        <v/>
      </c>
    </row>
    <row r="85">
      <c r="A85" s="20">
        <f>IF(8&lt;=NW,SAT1+50,"")</f>
        <v/>
      </c>
      <c r="B85" s="21">
        <f>IF(A85="","",CHOOSE(WEEKDAY(A85,1),"الأحد","الاثنين","الثلاثاء","الأربعاء","الخميس","الجمعة","السبت"))</f>
        <v/>
      </c>
      <c r="C85" s="22" t="n"/>
      <c r="D85" s="22" t="n"/>
      <c r="E85" s="23">
        <f>IF(OR(M85=0,K85="",L85=""),"",MOD(L85-K85,1))</f>
        <v/>
      </c>
      <c r="F85" s="24">
        <f>IF(OR(E85="",M85=0),"",IF(ROUND_MODE="للأعلى",CEILING(ROUND((E85*24*$N$83),3),0.25),ROUND((E85*24*$N$83)*4,0)/4))</f>
        <v/>
      </c>
      <c r="G85" s="22" t="n"/>
      <c r="H85" s="22" t="n"/>
      <c r="K85" s="25">
        <f>IF(OR(M85=0,C85=""),"",IF(ISNUMBER(C85),MOD(C85,1),IFERROR(INDEX('القوائم'!$B$1:$B$288,MATCH(TRIM(C85),'القوائم'!$A$1:$A$288,0)),IFERROR(MOD(TIMEVALUE(C85),1),""))))</f>
        <v/>
      </c>
      <c r="L85" s="25">
        <f>IF(OR(M85=0,D85=""),"",IF(ISNUMBER(D85),MOD(D85,1),IFERROR(INDEX('القوائم'!$B$1:$B$288,MATCH(TRIM(D85),'القوائم'!$A$1:$A$288,0)),IFERROR(MOD(TIMEVALUE(D85),1),""))))</f>
        <v/>
      </c>
      <c r="M85">
        <f>M83</f>
        <v/>
      </c>
      <c r="Q85">
        <f>IF(N(F93)&gt;0,1,0)</f>
        <v/>
      </c>
    </row>
    <row r="86">
      <c r="A86" s="20">
        <f>IF(8&lt;=NW,SAT1+51,"")</f>
        <v/>
      </c>
      <c r="B86" s="21">
        <f>IF(A86="","",CHOOSE(WEEKDAY(A86,1),"الأحد","الاثنين","الثلاثاء","الأربعاء","الخميس","الجمعة","السبت"))</f>
        <v/>
      </c>
      <c r="C86" s="22" t="n"/>
      <c r="D86" s="22" t="n"/>
      <c r="E86" s="23">
        <f>IF(OR(M86=0,K86="",L86=""),"",MOD(L86-K86,1))</f>
        <v/>
      </c>
      <c r="F86" s="24">
        <f>IF(OR(E86="",M86=0),"",IF(ROUND_MODE="للأعلى",CEILING(ROUND((E86*24*$N$83),3),0.25),ROUND((E86*24*$N$83)*4,0)/4))</f>
        <v/>
      </c>
      <c r="G86" s="22" t="n"/>
      <c r="H86" s="22" t="n"/>
      <c r="K86" s="25">
        <f>IF(OR(M86=0,C86=""),"",IF(ISNUMBER(C86),MOD(C86,1),IFERROR(INDEX('القوائم'!$B$1:$B$288,MATCH(TRIM(C86),'القوائم'!$A$1:$A$288,0)),IFERROR(MOD(TIMEVALUE(C86),1),""))))</f>
        <v/>
      </c>
      <c r="L86" s="25">
        <f>IF(OR(M86=0,D86=""),"",IF(ISNUMBER(D86),MOD(D86,1),IFERROR(INDEX('القوائم'!$B$1:$B$288,MATCH(TRIM(D86),'القوائم'!$A$1:$A$288,0)),IFERROR(MOD(TIMEVALUE(D86),1),""))))</f>
        <v/>
      </c>
      <c r="M86">
        <f>M83</f>
        <v/>
      </c>
      <c r="Q86">
        <f>IF(N(F93)&gt;0,1,0)</f>
        <v/>
      </c>
    </row>
    <row r="87">
      <c r="A87" s="20">
        <f>IF(8&lt;=NW,SAT1+52,"")</f>
        <v/>
      </c>
      <c r="B87" s="21">
        <f>IF(A87="","",CHOOSE(WEEKDAY(A87,1),"الأحد","الاثنين","الثلاثاء","الأربعاء","الخميس","الجمعة","السبت"))</f>
        <v/>
      </c>
      <c r="C87" s="22" t="n"/>
      <c r="D87" s="22" t="n"/>
      <c r="E87" s="23">
        <f>IF(OR(M87=0,K87="",L87=""),"",MOD(L87-K87,1))</f>
        <v/>
      </c>
      <c r="F87" s="24">
        <f>IF(OR(E87="",M87=0),"",IF(ROUND_MODE="للأعلى",CEILING(ROUND((E87*24*$N$83),3),0.25),ROUND((E87*24*$N$83)*4,0)/4))</f>
        <v/>
      </c>
      <c r="G87" s="22" t="n"/>
      <c r="H87" s="22" t="n"/>
      <c r="K87" s="25">
        <f>IF(OR(M87=0,C87=""),"",IF(ISNUMBER(C87),MOD(C87,1),IFERROR(INDEX('القوائم'!$B$1:$B$288,MATCH(TRIM(C87),'القوائم'!$A$1:$A$288,0)),IFERROR(MOD(TIMEVALUE(C87),1),""))))</f>
        <v/>
      </c>
      <c r="L87" s="25">
        <f>IF(OR(M87=0,D87=""),"",IF(ISNUMBER(D87),MOD(D87,1),IFERROR(INDEX('القوائم'!$B$1:$B$288,MATCH(TRIM(D87),'القوائم'!$A$1:$A$288,0)),IFERROR(MOD(TIMEVALUE(D87),1),""))))</f>
        <v/>
      </c>
      <c r="M87">
        <f>M83</f>
        <v/>
      </c>
      <c r="Q87">
        <f>IF(N(F93)&gt;0,1,0)</f>
        <v/>
      </c>
    </row>
    <row r="88">
      <c r="A88" s="20">
        <f>IF(8&lt;=NW,SAT1+53,"")</f>
        <v/>
      </c>
      <c r="B88" s="21">
        <f>IF(A88="","",CHOOSE(WEEKDAY(A88,1),"الأحد","الاثنين","الثلاثاء","الأربعاء","الخميس","الجمعة","السبت"))</f>
        <v/>
      </c>
      <c r="C88" s="22" t="n"/>
      <c r="D88" s="22" t="n"/>
      <c r="E88" s="23">
        <f>IF(OR(M88=0,K88="",L88=""),"",MOD(L88-K88,1))</f>
        <v/>
      </c>
      <c r="F88" s="24">
        <f>IF(OR(E88="",M88=0),"",IF(ROUND_MODE="للأعلى",CEILING(ROUND((E88*24*$N$83),3),0.25),ROUND((E88*24*$N$83)*4,0)/4))</f>
        <v/>
      </c>
      <c r="G88" s="22" t="n"/>
      <c r="H88" s="22" t="n"/>
      <c r="K88" s="25">
        <f>IF(OR(M88=0,C88=""),"",IF(ISNUMBER(C88),MOD(C88,1),IFERROR(INDEX('القوائم'!$B$1:$B$288,MATCH(TRIM(C88),'القوائم'!$A$1:$A$288,0)),IFERROR(MOD(TIMEVALUE(C88),1),""))))</f>
        <v/>
      </c>
      <c r="L88" s="25">
        <f>IF(OR(M88=0,D88=""),"",IF(ISNUMBER(D88),MOD(D88,1),IFERROR(INDEX('القوائم'!$B$1:$B$288,MATCH(TRIM(D88),'القوائم'!$A$1:$A$288,0)),IFERROR(MOD(TIMEVALUE(D88),1),""))))</f>
        <v/>
      </c>
      <c r="M88">
        <f>M83</f>
        <v/>
      </c>
      <c r="Q88">
        <f>IF(N(F93)&gt;0,1,0)</f>
        <v/>
      </c>
    </row>
    <row r="89">
      <c r="A89" s="20">
        <f>IF(8&lt;=NW,SAT1+54,"")</f>
        <v/>
      </c>
      <c r="B89" s="21">
        <f>IF(A89="","",CHOOSE(WEEKDAY(A89,1),"الأحد","الاثنين","الثلاثاء","الأربعاء","الخميس","الجمعة","السبت"))</f>
        <v/>
      </c>
      <c r="C89" s="22" t="n"/>
      <c r="D89" s="22" t="n"/>
      <c r="E89" s="23">
        <f>IF(OR(M89=0,K89="",L89=""),"",MOD(L89-K89,1))</f>
        <v/>
      </c>
      <c r="F89" s="24">
        <f>IF(OR(E89="",M89=0),"",IF(ROUND_MODE="للأعلى",CEILING(ROUND((E89*24*$N$83),3),0.25),ROUND((E89*24*$N$83)*4,0)/4))</f>
        <v/>
      </c>
      <c r="G89" s="22" t="n"/>
      <c r="H89" s="22" t="n"/>
      <c r="K89" s="25">
        <f>IF(OR(M89=0,C89=""),"",IF(ISNUMBER(C89),MOD(C89,1),IFERROR(INDEX('القوائم'!$B$1:$B$288,MATCH(TRIM(C89),'القوائم'!$A$1:$A$288,0)),IFERROR(MOD(TIMEVALUE(C89),1),""))))</f>
        <v/>
      </c>
      <c r="L89" s="25">
        <f>IF(OR(M89=0,D89=""),"",IF(ISNUMBER(D89),MOD(D89,1),IFERROR(INDEX('القوائم'!$B$1:$B$288,MATCH(TRIM(D89),'القوائم'!$A$1:$A$288,0)),IFERROR(MOD(TIMEVALUE(D89),1),""))))</f>
        <v/>
      </c>
      <c r="M89">
        <f>M83</f>
        <v/>
      </c>
      <c r="Q89">
        <f>IF(N(F93)&gt;0,1,0)</f>
        <v/>
      </c>
    </row>
    <row r="90">
      <c r="A90" s="26">
        <f>IF(8&lt;=NW,SAT1+55,"")</f>
        <v/>
      </c>
      <c r="B90" s="27">
        <f>IF(A90="","",CHOOSE(WEEKDAY(A90,1),"الأحد","الاثنين","الثلاثاء","الأربعاء","الخميس","الجمعة","السبت"))</f>
        <v/>
      </c>
      <c r="C90" s="22" t="n"/>
      <c r="D90" s="22" t="n"/>
      <c r="E90" s="23">
        <f>IF(OR(M90=0,K90="",L90=""),"",MOD(L90-K90,1))</f>
        <v/>
      </c>
      <c r="F90" s="24">
        <f>IF(OR(E90="",M90=0),"",IF(ROUND_MODE="للأعلى",CEILING(ROUND((E90*24*$N$83),3),0.25),ROUND((E90*24*$N$83)*4,0)/4))</f>
        <v/>
      </c>
      <c r="G90" s="22" t="n"/>
      <c r="H90" s="22" t="n"/>
      <c r="K90" s="25">
        <f>IF(OR(M90=0,C90=""),"",IF(ISNUMBER(C90),MOD(C90,1),IFERROR(INDEX('القوائم'!$B$1:$B$288,MATCH(TRIM(C90),'القوائم'!$A$1:$A$288,0)),IFERROR(MOD(TIMEVALUE(C90),1),""))))</f>
        <v/>
      </c>
      <c r="L90" s="25">
        <f>IF(OR(M90=0,D90=""),"",IF(ISNUMBER(D90),MOD(D90,1),IFERROR(INDEX('القوائم'!$B$1:$B$288,MATCH(TRIM(D90),'القوائم'!$A$1:$A$288,0)),IFERROR(MOD(TIMEVALUE(D90),1),""))))</f>
        <v/>
      </c>
      <c r="M90">
        <f>M83</f>
        <v/>
      </c>
      <c r="Q90">
        <f>IF(N(F93)&gt;0,1,0)</f>
        <v/>
      </c>
    </row>
    <row r="91">
      <c r="A91" s="28">
        <f>IF(M83=1,"مجموع أيام الأسبوع 8","")</f>
        <v/>
      </c>
      <c r="B91" s="28" t="n"/>
      <c r="C91" s="28" t="n"/>
      <c r="D91" s="28" t="n"/>
      <c r="E91" s="29">
        <f>IF(M83=1,SUM(E84:E90),"")</f>
        <v/>
      </c>
      <c r="F91" s="30">
        <f>IF(M83=1,SUM(F84:F90),"")</f>
        <v/>
      </c>
      <c r="G91" s="41">
        <f>IF(M83=1,SUMIFS(F84:F90,G84:G90,"نعم"),"")</f>
        <v/>
      </c>
      <c r="H91" s="28" t="n"/>
    </row>
    <row r="92" ht="32" customHeight="1">
      <c r="A92" s="28">
        <f>IF(M83=1,"ساعات تحميل الجبسمبورد بهالأسبوع (رقم: 2 أو 1.5) ←","")</f>
        <v/>
      </c>
      <c r="E92" s="31" t="n"/>
      <c r="F92" s="33">
        <f>IF(M83=1,N(F91)+IF(ROUND_MODE="للأعلى",CEILING(ROUND((N(E92)*($P$83-$N$83)),3),0.25),ROUND((N(E92)*($P$83-$N$83))*4,0)/4),"")</f>
        <v/>
      </c>
      <c r="G92" s="32">
        <f>IF(M83=1,"← المستحق النهائي للأسبوع (دينار) مع فرق الجبسمبورد","")</f>
        <v/>
      </c>
    </row>
    <row r="93" ht="26" customHeight="1">
      <c r="A93" s="28">
        <f>IF(M83=1,"إكرامية الأسبوع ←","")</f>
        <v/>
      </c>
      <c r="C93" s="35" t="n"/>
      <c r="D93" s="28">
        <f>IF(M83=1,"المدفوع يوم الجمعة (التسوية) ←","")</f>
        <v/>
      </c>
      <c r="F93" s="35" t="n"/>
      <c r="G93" s="36">
        <f>IF(M83=1,IF(N(F93)&gt;0,"✔ انقبض — الأسبوع مقفول","⏳ لسا ما انقبض"),"")</f>
        <v/>
      </c>
    </row>
    <row r="94" ht="26" customHeight="1">
      <c r="A94" s="40">
        <f>IF(9&lt;=NW,"الأسبوع 9 · السبت "&amp;TEXT(DAY(SAT1+56),"00")&amp;"/"&amp;TEXT(MONTH(SAT1+56),"00")&amp;" ← الجمعة "&amp;TEXT(DAY(SAT1+62),"00")&amp;"/"&amp;TEXT(MONTH(SAT1+62),"00")&amp;" (يوم القبض)"&amp;IF(9&lt;START_Z,"   — قبل أسبوع البداية (ما بينحسب)",""),"ما في أسبوع 9 هالسنة")</f>
        <v/>
      </c>
      <c r="L94" s="19">
        <f>IF(9&lt;=NW,SAT1+62,"")</f>
        <v/>
      </c>
      <c r="M94">
        <f>IF(AND(9&lt;=NW,9&gt;=START_Z),1,0)</f>
        <v/>
      </c>
      <c r="N94">
        <f>IFERROR(INDEX(RT_AZZ,MATCH(L94,RT_K,1)),INDEX(RT_AZZ,1))</f>
        <v/>
      </c>
      <c r="P94">
        <f>IFERROR(INDEX(RT_GYP,MATCH(L94,RT_K,1)),INDEX(RT_GYP,1))</f>
        <v/>
      </c>
    </row>
    <row r="95">
      <c r="A95" s="20">
        <f>IF(9&lt;=NW,SAT1+56,"")</f>
        <v/>
      </c>
      <c r="B95" s="21">
        <f>IF(A95="","",CHOOSE(WEEKDAY(A95,1),"الأحد","الاثنين","الثلاثاء","الأربعاء","الخميس","الجمعة","السبت"))</f>
        <v/>
      </c>
      <c r="C95" s="22" t="n"/>
      <c r="D95" s="22" t="n"/>
      <c r="E95" s="23">
        <f>IF(OR(M95=0,K95="",L95=""),"",MOD(L95-K95,1))</f>
        <v/>
      </c>
      <c r="F95" s="24">
        <f>IF(OR(E95="",M95=0),"",IF(ROUND_MODE="للأعلى",CEILING(ROUND((E95*24*$N$94),3),0.25),ROUND((E95*24*$N$94)*4,0)/4))</f>
        <v/>
      </c>
      <c r="G95" s="22" t="n"/>
      <c r="H95" s="22" t="n"/>
      <c r="K95" s="25">
        <f>IF(OR(M95=0,C95=""),"",IF(ISNUMBER(C95),MOD(C95,1),IFERROR(INDEX('القوائم'!$B$1:$B$288,MATCH(TRIM(C95),'القوائم'!$A$1:$A$288,0)),IFERROR(MOD(TIMEVALUE(C95),1),""))))</f>
        <v/>
      </c>
      <c r="L95" s="25">
        <f>IF(OR(M95=0,D95=""),"",IF(ISNUMBER(D95),MOD(D95,1),IFERROR(INDEX('القوائم'!$B$1:$B$288,MATCH(TRIM(D95),'القوائم'!$A$1:$A$288,0)),IFERROR(MOD(TIMEVALUE(D95),1),""))))</f>
        <v/>
      </c>
      <c r="M95">
        <f>M94</f>
        <v/>
      </c>
      <c r="Q95">
        <f>IF(N(F104)&gt;0,1,0)</f>
        <v/>
      </c>
    </row>
    <row r="96">
      <c r="A96" s="20">
        <f>IF(9&lt;=NW,SAT1+57,"")</f>
        <v/>
      </c>
      <c r="B96" s="21">
        <f>IF(A96="","",CHOOSE(WEEKDAY(A96,1),"الأحد","الاثنين","الثلاثاء","الأربعاء","الخميس","الجمعة","السبت"))</f>
        <v/>
      </c>
      <c r="C96" s="22" t="n"/>
      <c r="D96" s="22" t="n"/>
      <c r="E96" s="23">
        <f>IF(OR(M96=0,K96="",L96=""),"",MOD(L96-K96,1))</f>
        <v/>
      </c>
      <c r="F96" s="24">
        <f>IF(OR(E96="",M96=0),"",IF(ROUND_MODE="للأعلى",CEILING(ROUND((E96*24*$N$94),3),0.25),ROUND((E96*24*$N$94)*4,0)/4))</f>
        <v/>
      </c>
      <c r="G96" s="22" t="n"/>
      <c r="H96" s="22" t="n"/>
      <c r="K96" s="25">
        <f>IF(OR(M96=0,C96=""),"",IF(ISNUMBER(C96),MOD(C96,1),IFERROR(INDEX('القوائم'!$B$1:$B$288,MATCH(TRIM(C96),'القوائم'!$A$1:$A$288,0)),IFERROR(MOD(TIMEVALUE(C96),1),""))))</f>
        <v/>
      </c>
      <c r="L96" s="25">
        <f>IF(OR(M96=0,D96=""),"",IF(ISNUMBER(D96),MOD(D96,1),IFERROR(INDEX('القوائم'!$B$1:$B$288,MATCH(TRIM(D96),'القوائم'!$A$1:$A$288,0)),IFERROR(MOD(TIMEVALUE(D96),1),""))))</f>
        <v/>
      </c>
      <c r="M96">
        <f>M94</f>
        <v/>
      </c>
      <c r="Q96">
        <f>IF(N(F104)&gt;0,1,0)</f>
        <v/>
      </c>
    </row>
    <row r="97">
      <c r="A97" s="20">
        <f>IF(9&lt;=NW,SAT1+58,"")</f>
        <v/>
      </c>
      <c r="B97" s="21">
        <f>IF(A97="","",CHOOSE(WEEKDAY(A97,1),"الأحد","الاثنين","الثلاثاء","الأربعاء","الخميس","الجمعة","السبت"))</f>
        <v/>
      </c>
      <c r="C97" s="22" t="n"/>
      <c r="D97" s="22" t="n"/>
      <c r="E97" s="23">
        <f>IF(OR(M97=0,K97="",L97=""),"",MOD(L97-K97,1))</f>
        <v/>
      </c>
      <c r="F97" s="24">
        <f>IF(OR(E97="",M97=0),"",IF(ROUND_MODE="للأعلى",CEILING(ROUND((E97*24*$N$94),3),0.25),ROUND((E97*24*$N$94)*4,0)/4))</f>
        <v/>
      </c>
      <c r="G97" s="22" t="n"/>
      <c r="H97" s="22" t="n"/>
      <c r="K97" s="25">
        <f>IF(OR(M97=0,C97=""),"",IF(ISNUMBER(C97),MOD(C97,1),IFERROR(INDEX('القوائم'!$B$1:$B$288,MATCH(TRIM(C97),'القوائم'!$A$1:$A$288,0)),IFERROR(MOD(TIMEVALUE(C97),1),""))))</f>
        <v/>
      </c>
      <c r="L97" s="25">
        <f>IF(OR(M97=0,D97=""),"",IF(ISNUMBER(D97),MOD(D97,1),IFERROR(INDEX('القوائم'!$B$1:$B$288,MATCH(TRIM(D97),'القوائم'!$A$1:$A$288,0)),IFERROR(MOD(TIMEVALUE(D97),1),""))))</f>
        <v/>
      </c>
      <c r="M97">
        <f>M94</f>
        <v/>
      </c>
      <c r="Q97">
        <f>IF(N(F104)&gt;0,1,0)</f>
        <v/>
      </c>
    </row>
    <row r="98">
      <c r="A98" s="20">
        <f>IF(9&lt;=NW,SAT1+59,"")</f>
        <v/>
      </c>
      <c r="B98" s="21">
        <f>IF(A98="","",CHOOSE(WEEKDAY(A98,1),"الأحد","الاثنين","الثلاثاء","الأربعاء","الخميس","الجمعة","السبت"))</f>
        <v/>
      </c>
      <c r="C98" s="22" t="n"/>
      <c r="D98" s="22" t="n"/>
      <c r="E98" s="23">
        <f>IF(OR(M98=0,K98="",L98=""),"",MOD(L98-K98,1))</f>
        <v/>
      </c>
      <c r="F98" s="24">
        <f>IF(OR(E98="",M98=0),"",IF(ROUND_MODE="للأعلى",CEILING(ROUND((E98*24*$N$94),3),0.25),ROUND((E98*24*$N$94)*4,0)/4))</f>
        <v/>
      </c>
      <c r="G98" s="22" t="n"/>
      <c r="H98" s="22" t="n"/>
      <c r="K98" s="25">
        <f>IF(OR(M98=0,C98=""),"",IF(ISNUMBER(C98),MOD(C98,1),IFERROR(INDEX('القوائم'!$B$1:$B$288,MATCH(TRIM(C98),'القوائم'!$A$1:$A$288,0)),IFERROR(MOD(TIMEVALUE(C98),1),""))))</f>
        <v/>
      </c>
      <c r="L98" s="25">
        <f>IF(OR(M98=0,D98=""),"",IF(ISNUMBER(D98),MOD(D98,1),IFERROR(INDEX('القوائم'!$B$1:$B$288,MATCH(TRIM(D98),'القوائم'!$A$1:$A$288,0)),IFERROR(MOD(TIMEVALUE(D98),1),""))))</f>
        <v/>
      </c>
      <c r="M98">
        <f>M94</f>
        <v/>
      </c>
      <c r="Q98">
        <f>IF(N(F104)&gt;0,1,0)</f>
        <v/>
      </c>
    </row>
    <row r="99">
      <c r="A99" s="20">
        <f>IF(9&lt;=NW,SAT1+60,"")</f>
        <v/>
      </c>
      <c r="B99" s="21">
        <f>IF(A99="","",CHOOSE(WEEKDAY(A99,1),"الأحد","الاثنين","الثلاثاء","الأربعاء","الخميس","الجمعة","السبت"))</f>
        <v/>
      </c>
      <c r="C99" s="22" t="n"/>
      <c r="D99" s="22" t="n"/>
      <c r="E99" s="23">
        <f>IF(OR(M99=0,K99="",L99=""),"",MOD(L99-K99,1))</f>
        <v/>
      </c>
      <c r="F99" s="24">
        <f>IF(OR(E99="",M99=0),"",IF(ROUND_MODE="للأعلى",CEILING(ROUND((E99*24*$N$94),3),0.25),ROUND((E99*24*$N$94)*4,0)/4))</f>
        <v/>
      </c>
      <c r="G99" s="22" t="n"/>
      <c r="H99" s="22" t="n"/>
      <c r="K99" s="25">
        <f>IF(OR(M99=0,C99=""),"",IF(ISNUMBER(C99),MOD(C99,1),IFERROR(INDEX('القوائم'!$B$1:$B$288,MATCH(TRIM(C99),'القوائم'!$A$1:$A$288,0)),IFERROR(MOD(TIMEVALUE(C99),1),""))))</f>
        <v/>
      </c>
      <c r="L99" s="25">
        <f>IF(OR(M99=0,D99=""),"",IF(ISNUMBER(D99),MOD(D99,1),IFERROR(INDEX('القوائم'!$B$1:$B$288,MATCH(TRIM(D99),'القوائم'!$A$1:$A$288,0)),IFERROR(MOD(TIMEVALUE(D99),1),""))))</f>
        <v/>
      </c>
      <c r="M99">
        <f>M94</f>
        <v/>
      </c>
      <c r="Q99">
        <f>IF(N(F104)&gt;0,1,0)</f>
        <v/>
      </c>
    </row>
    <row r="100">
      <c r="A100" s="20">
        <f>IF(9&lt;=NW,SAT1+61,"")</f>
        <v/>
      </c>
      <c r="B100" s="21">
        <f>IF(A100="","",CHOOSE(WEEKDAY(A100,1),"الأحد","الاثنين","الثلاثاء","الأربعاء","الخميس","الجمعة","السبت"))</f>
        <v/>
      </c>
      <c r="C100" s="22" t="n"/>
      <c r="D100" s="22" t="n"/>
      <c r="E100" s="23">
        <f>IF(OR(M100=0,K100="",L100=""),"",MOD(L100-K100,1))</f>
        <v/>
      </c>
      <c r="F100" s="24">
        <f>IF(OR(E100="",M100=0),"",IF(ROUND_MODE="للأعلى",CEILING(ROUND((E100*24*$N$94),3),0.25),ROUND((E100*24*$N$94)*4,0)/4))</f>
        <v/>
      </c>
      <c r="G100" s="22" t="n"/>
      <c r="H100" s="22" t="n"/>
      <c r="K100" s="25">
        <f>IF(OR(M100=0,C100=""),"",IF(ISNUMBER(C100),MOD(C100,1),IFERROR(INDEX('القوائم'!$B$1:$B$288,MATCH(TRIM(C100),'القوائم'!$A$1:$A$288,0)),IFERROR(MOD(TIMEVALUE(C100),1),""))))</f>
        <v/>
      </c>
      <c r="L100" s="25">
        <f>IF(OR(M100=0,D100=""),"",IF(ISNUMBER(D100),MOD(D100,1),IFERROR(INDEX('القوائم'!$B$1:$B$288,MATCH(TRIM(D100),'القوائم'!$A$1:$A$288,0)),IFERROR(MOD(TIMEVALUE(D100),1),""))))</f>
        <v/>
      </c>
      <c r="M100">
        <f>M94</f>
        <v/>
      </c>
      <c r="Q100">
        <f>IF(N(F104)&gt;0,1,0)</f>
        <v/>
      </c>
    </row>
    <row r="101">
      <c r="A101" s="26">
        <f>IF(9&lt;=NW,SAT1+62,"")</f>
        <v/>
      </c>
      <c r="B101" s="27">
        <f>IF(A101="","",CHOOSE(WEEKDAY(A101,1),"الأحد","الاثنين","الثلاثاء","الأربعاء","الخميس","الجمعة","السبت"))</f>
        <v/>
      </c>
      <c r="C101" s="22" t="n"/>
      <c r="D101" s="22" t="n"/>
      <c r="E101" s="23">
        <f>IF(OR(M101=0,K101="",L101=""),"",MOD(L101-K101,1))</f>
        <v/>
      </c>
      <c r="F101" s="24">
        <f>IF(OR(E101="",M101=0),"",IF(ROUND_MODE="للأعلى",CEILING(ROUND((E101*24*$N$94),3),0.25),ROUND((E101*24*$N$94)*4,0)/4))</f>
        <v/>
      </c>
      <c r="G101" s="22" t="n"/>
      <c r="H101" s="22" t="n"/>
      <c r="K101" s="25">
        <f>IF(OR(M101=0,C101=""),"",IF(ISNUMBER(C101),MOD(C101,1),IFERROR(INDEX('القوائم'!$B$1:$B$288,MATCH(TRIM(C101),'القوائم'!$A$1:$A$288,0)),IFERROR(MOD(TIMEVALUE(C101),1),""))))</f>
        <v/>
      </c>
      <c r="L101" s="25">
        <f>IF(OR(M101=0,D101=""),"",IF(ISNUMBER(D101),MOD(D101,1),IFERROR(INDEX('القوائم'!$B$1:$B$288,MATCH(TRIM(D101),'القوائم'!$A$1:$A$288,0)),IFERROR(MOD(TIMEVALUE(D101),1),""))))</f>
        <v/>
      </c>
      <c r="M101">
        <f>M94</f>
        <v/>
      </c>
      <c r="Q101">
        <f>IF(N(F104)&gt;0,1,0)</f>
        <v/>
      </c>
    </row>
    <row r="102">
      <c r="A102" s="28">
        <f>IF(M94=1,"مجموع أيام الأسبوع 9","")</f>
        <v/>
      </c>
      <c r="B102" s="28" t="n"/>
      <c r="C102" s="28" t="n"/>
      <c r="D102" s="28" t="n"/>
      <c r="E102" s="29">
        <f>IF(M94=1,SUM(E95:E101),"")</f>
        <v/>
      </c>
      <c r="F102" s="30">
        <f>IF(M94=1,SUM(F95:F101),"")</f>
        <v/>
      </c>
      <c r="G102" s="41">
        <f>IF(M94=1,SUMIFS(F95:F101,G95:G101,"نعم"),"")</f>
        <v/>
      </c>
      <c r="H102" s="28" t="n"/>
    </row>
    <row r="103" ht="32" customHeight="1">
      <c r="A103" s="28">
        <f>IF(M94=1,"ساعات تحميل الجبسمبورد بهالأسبوع (رقم: 2 أو 1.5) ←","")</f>
        <v/>
      </c>
      <c r="E103" s="31" t="n"/>
      <c r="F103" s="33">
        <f>IF(M94=1,N(F102)+IF(ROUND_MODE="للأعلى",CEILING(ROUND((N(E103)*($P$94-$N$94)),3),0.25),ROUND((N(E103)*($P$94-$N$94))*4,0)/4),"")</f>
        <v/>
      </c>
      <c r="G103" s="32">
        <f>IF(M94=1,"← المستحق النهائي للأسبوع (دينار) مع فرق الجبسمبورد","")</f>
        <v/>
      </c>
    </row>
    <row r="104" ht="26" customHeight="1">
      <c r="A104" s="28">
        <f>IF(M94=1,"إكرامية الأسبوع ←","")</f>
        <v/>
      </c>
      <c r="C104" s="35" t="n"/>
      <c r="D104" s="28">
        <f>IF(M94=1,"المدفوع يوم الجمعة (التسوية) ←","")</f>
        <v/>
      </c>
      <c r="F104" s="35" t="n"/>
      <c r="G104" s="36">
        <f>IF(M94=1,IF(N(F104)&gt;0,"✔ انقبض — الأسبوع مقفول","⏳ لسا ما انقبض"),"")</f>
        <v/>
      </c>
    </row>
    <row r="105" ht="26" customHeight="1">
      <c r="A105" s="40">
        <f>IF(10&lt;=NW,"الأسبوع 10 · السبت "&amp;TEXT(DAY(SAT1+63),"00")&amp;"/"&amp;TEXT(MONTH(SAT1+63),"00")&amp;" ← الجمعة "&amp;TEXT(DAY(SAT1+69),"00")&amp;"/"&amp;TEXT(MONTH(SAT1+69),"00")&amp;" (يوم القبض)"&amp;IF(10&lt;START_Z,"   — قبل أسبوع البداية (ما بينحسب)",""),"ما في أسبوع 10 هالسنة")</f>
        <v/>
      </c>
      <c r="L105" s="19">
        <f>IF(10&lt;=NW,SAT1+69,"")</f>
        <v/>
      </c>
      <c r="M105">
        <f>IF(AND(10&lt;=NW,10&gt;=START_Z),1,0)</f>
        <v/>
      </c>
      <c r="N105">
        <f>IFERROR(INDEX(RT_AZZ,MATCH(L105,RT_K,1)),INDEX(RT_AZZ,1))</f>
        <v/>
      </c>
      <c r="P105">
        <f>IFERROR(INDEX(RT_GYP,MATCH(L105,RT_K,1)),INDEX(RT_GYP,1))</f>
        <v/>
      </c>
    </row>
    <row r="106">
      <c r="A106" s="20">
        <f>IF(10&lt;=NW,SAT1+63,"")</f>
        <v/>
      </c>
      <c r="B106" s="21">
        <f>IF(A106="","",CHOOSE(WEEKDAY(A106,1),"الأحد","الاثنين","الثلاثاء","الأربعاء","الخميس","الجمعة","السبت"))</f>
        <v/>
      </c>
      <c r="C106" s="22" t="n"/>
      <c r="D106" s="22" t="n"/>
      <c r="E106" s="23">
        <f>IF(OR(M106=0,K106="",L106=""),"",MOD(L106-K106,1))</f>
        <v/>
      </c>
      <c r="F106" s="24">
        <f>IF(OR(E106="",M106=0),"",IF(ROUND_MODE="للأعلى",CEILING(ROUND((E106*24*$N$105),3),0.25),ROUND((E106*24*$N$105)*4,0)/4))</f>
        <v/>
      </c>
      <c r="G106" s="22" t="n"/>
      <c r="H106" s="22" t="n"/>
      <c r="K106" s="25">
        <f>IF(OR(M106=0,C106=""),"",IF(ISNUMBER(C106),MOD(C106,1),IFERROR(INDEX('القوائم'!$B$1:$B$288,MATCH(TRIM(C106),'القوائم'!$A$1:$A$288,0)),IFERROR(MOD(TIMEVALUE(C106),1),""))))</f>
        <v/>
      </c>
      <c r="L106" s="25">
        <f>IF(OR(M106=0,D106=""),"",IF(ISNUMBER(D106),MOD(D106,1),IFERROR(INDEX('القوائم'!$B$1:$B$288,MATCH(TRIM(D106),'القوائم'!$A$1:$A$288,0)),IFERROR(MOD(TIMEVALUE(D106),1),""))))</f>
        <v/>
      </c>
      <c r="M106">
        <f>M105</f>
        <v/>
      </c>
      <c r="Q106">
        <f>IF(N(F115)&gt;0,1,0)</f>
        <v/>
      </c>
    </row>
    <row r="107">
      <c r="A107" s="20">
        <f>IF(10&lt;=NW,SAT1+64,"")</f>
        <v/>
      </c>
      <c r="B107" s="21">
        <f>IF(A107="","",CHOOSE(WEEKDAY(A107,1),"الأحد","الاثنين","الثلاثاء","الأربعاء","الخميس","الجمعة","السبت"))</f>
        <v/>
      </c>
      <c r="C107" s="22" t="n"/>
      <c r="D107" s="22" t="n"/>
      <c r="E107" s="23">
        <f>IF(OR(M107=0,K107="",L107=""),"",MOD(L107-K107,1))</f>
        <v/>
      </c>
      <c r="F107" s="24">
        <f>IF(OR(E107="",M107=0),"",IF(ROUND_MODE="للأعلى",CEILING(ROUND((E107*24*$N$105),3),0.25),ROUND((E107*24*$N$105)*4,0)/4))</f>
        <v/>
      </c>
      <c r="G107" s="22" t="n"/>
      <c r="H107" s="22" t="n"/>
      <c r="K107" s="25">
        <f>IF(OR(M107=0,C107=""),"",IF(ISNUMBER(C107),MOD(C107,1),IFERROR(INDEX('القوائم'!$B$1:$B$288,MATCH(TRIM(C107),'القوائم'!$A$1:$A$288,0)),IFERROR(MOD(TIMEVALUE(C107),1),""))))</f>
        <v/>
      </c>
      <c r="L107" s="25">
        <f>IF(OR(M107=0,D107=""),"",IF(ISNUMBER(D107),MOD(D107,1),IFERROR(INDEX('القوائم'!$B$1:$B$288,MATCH(TRIM(D107),'القوائم'!$A$1:$A$288,0)),IFERROR(MOD(TIMEVALUE(D107),1),""))))</f>
        <v/>
      </c>
      <c r="M107">
        <f>M105</f>
        <v/>
      </c>
      <c r="Q107">
        <f>IF(N(F115)&gt;0,1,0)</f>
        <v/>
      </c>
    </row>
    <row r="108">
      <c r="A108" s="20">
        <f>IF(10&lt;=NW,SAT1+65,"")</f>
        <v/>
      </c>
      <c r="B108" s="21">
        <f>IF(A108="","",CHOOSE(WEEKDAY(A108,1),"الأحد","الاثنين","الثلاثاء","الأربعاء","الخميس","الجمعة","السبت"))</f>
        <v/>
      </c>
      <c r="C108" s="22" t="n"/>
      <c r="D108" s="22" t="n"/>
      <c r="E108" s="23">
        <f>IF(OR(M108=0,K108="",L108=""),"",MOD(L108-K108,1))</f>
        <v/>
      </c>
      <c r="F108" s="24">
        <f>IF(OR(E108="",M108=0),"",IF(ROUND_MODE="للأعلى",CEILING(ROUND((E108*24*$N$105),3),0.25),ROUND((E108*24*$N$105)*4,0)/4))</f>
        <v/>
      </c>
      <c r="G108" s="22" t="n"/>
      <c r="H108" s="22" t="n"/>
      <c r="K108" s="25">
        <f>IF(OR(M108=0,C108=""),"",IF(ISNUMBER(C108),MOD(C108,1),IFERROR(INDEX('القوائم'!$B$1:$B$288,MATCH(TRIM(C108),'القوائم'!$A$1:$A$288,0)),IFERROR(MOD(TIMEVALUE(C108),1),""))))</f>
        <v/>
      </c>
      <c r="L108" s="25">
        <f>IF(OR(M108=0,D108=""),"",IF(ISNUMBER(D108),MOD(D108,1),IFERROR(INDEX('القوائم'!$B$1:$B$288,MATCH(TRIM(D108),'القوائم'!$A$1:$A$288,0)),IFERROR(MOD(TIMEVALUE(D108),1),""))))</f>
        <v/>
      </c>
      <c r="M108">
        <f>M105</f>
        <v/>
      </c>
      <c r="Q108">
        <f>IF(N(F115)&gt;0,1,0)</f>
        <v/>
      </c>
    </row>
    <row r="109">
      <c r="A109" s="20">
        <f>IF(10&lt;=NW,SAT1+66,"")</f>
        <v/>
      </c>
      <c r="B109" s="21">
        <f>IF(A109="","",CHOOSE(WEEKDAY(A109,1),"الأحد","الاثنين","الثلاثاء","الأربعاء","الخميس","الجمعة","السبت"))</f>
        <v/>
      </c>
      <c r="C109" s="22" t="n"/>
      <c r="D109" s="22" t="n"/>
      <c r="E109" s="23">
        <f>IF(OR(M109=0,K109="",L109=""),"",MOD(L109-K109,1))</f>
        <v/>
      </c>
      <c r="F109" s="24">
        <f>IF(OR(E109="",M109=0),"",IF(ROUND_MODE="للأعلى",CEILING(ROUND((E109*24*$N$105),3),0.25),ROUND((E109*24*$N$105)*4,0)/4))</f>
        <v/>
      </c>
      <c r="G109" s="22" t="n"/>
      <c r="H109" s="22" t="n"/>
      <c r="K109" s="25">
        <f>IF(OR(M109=0,C109=""),"",IF(ISNUMBER(C109),MOD(C109,1),IFERROR(INDEX('القوائم'!$B$1:$B$288,MATCH(TRIM(C109),'القوائم'!$A$1:$A$288,0)),IFERROR(MOD(TIMEVALUE(C109),1),""))))</f>
        <v/>
      </c>
      <c r="L109" s="25">
        <f>IF(OR(M109=0,D109=""),"",IF(ISNUMBER(D109),MOD(D109,1),IFERROR(INDEX('القوائم'!$B$1:$B$288,MATCH(TRIM(D109),'القوائم'!$A$1:$A$288,0)),IFERROR(MOD(TIMEVALUE(D109),1),""))))</f>
        <v/>
      </c>
      <c r="M109">
        <f>M105</f>
        <v/>
      </c>
      <c r="Q109">
        <f>IF(N(F115)&gt;0,1,0)</f>
        <v/>
      </c>
    </row>
    <row r="110">
      <c r="A110" s="20">
        <f>IF(10&lt;=NW,SAT1+67,"")</f>
        <v/>
      </c>
      <c r="B110" s="21">
        <f>IF(A110="","",CHOOSE(WEEKDAY(A110,1),"الأحد","الاثنين","الثلاثاء","الأربعاء","الخميس","الجمعة","السبت"))</f>
        <v/>
      </c>
      <c r="C110" s="22" t="n"/>
      <c r="D110" s="22" t="n"/>
      <c r="E110" s="23">
        <f>IF(OR(M110=0,K110="",L110=""),"",MOD(L110-K110,1))</f>
        <v/>
      </c>
      <c r="F110" s="24">
        <f>IF(OR(E110="",M110=0),"",IF(ROUND_MODE="للأعلى",CEILING(ROUND((E110*24*$N$105),3),0.25),ROUND((E110*24*$N$105)*4,0)/4))</f>
        <v/>
      </c>
      <c r="G110" s="22" t="n"/>
      <c r="H110" s="22" t="n"/>
      <c r="K110" s="25">
        <f>IF(OR(M110=0,C110=""),"",IF(ISNUMBER(C110),MOD(C110,1),IFERROR(INDEX('القوائم'!$B$1:$B$288,MATCH(TRIM(C110),'القوائم'!$A$1:$A$288,0)),IFERROR(MOD(TIMEVALUE(C110),1),""))))</f>
        <v/>
      </c>
      <c r="L110" s="25">
        <f>IF(OR(M110=0,D110=""),"",IF(ISNUMBER(D110),MOD(D110,1),IFERROR(INDEX('القوائم'!$B$1:$B$288,MATCH(TRIM(D110),'القوائم'!$A$1:$A$288,0)),IFERROR(MOD(TIMEVALUE(D110),1),""))))</f>
        <v/>
      </c>
      <c r="M110">
        <f>M105</f>
        <v/>
      </c>
      <c r="Q110">
        <f>IF(N(F115)&gt;0,1,0)</f>
        <v/>
      </c>
    </row>
    <row r="111">
      <c r="A111" s="20">
        <f>IF(10&lt;=NW,SAT1+68,"")</f>
        <v/>
      </c>
      <c r="B111" s="21">
        <f>IF(A111="","",CHOOSE(WEEKDAY(A111,1),"الأحد","الاثنين","الثلاثاء","الأربعاء","الخميس","الجمعة","السبت"))</f>
        <v/>
      </c>
      <c r="C111" s="22" t="n"/>
      <c r="D111" s="22" t="n"/>
      <c r="E111" s="23">
        <f>IF(OR(M111=0,K111="",L111=""),"",MOD(L111-K111,1))</f>
        <v/>
      </c>
      <c r="F111" s="24">
        <f>IF(OR(E111="",M111=0),"",IF(ROUND_MODE="للأعلى",CEILING(ROUND((E111*24*$N$105),3),0.25),ROUND((E111*24*$N$105)*4,0)/4))</f>
        <v/>
      </c>
      <c r="G111" s="22" t="n"/>
      <c r="H111" s="22" t="n"/>
      <c r="K111" s="25">
        <f>IF(OR(M111=0,C111=""),"",IF(ISNUMBER(C111),MOD(C111,1),IFERROR(INDEX('القوائم'!$B$1:$B$288,MATCH(TRIM(C111),'القوائم'!$A$1:$A$288,0)),IFERROR(MOD(TIMEVALUE(C111),1),""))))</f>
        <v/>
      </c>
      <c r="L111" s="25">
        <f>IF(OR(M111=0,D111=""),"",IF(ISNUMBER(D111),MOD(D111,1),IFERROR(INDEX('القوائم'!$B$1:$B$288,MATCH(TRIM(D111),'القوائم'!$A$1:$A$288,0)),IFERROR(MOD(TIMEVALUE(D111),1),""))))</f>
        <v/>
      </c>
      <c r="M111">
        <f>M105</f>
        <v/>
      </c>
      <c r="Q111">
        <f>IF(N(F115)&gt;0,1,0)</f>
        <v/>
      </c>
    </row>
    <row r="112">
      <c r="A112" s="26">
        <f>IF(10&lt;=NW,SAT1+69,"")</f>
        <v/>
      </c>
      <c r="B112" s="27">
        <f>IF(A112="","",CHOOSE(WEEKDAY(A112,1),"الأحد","الاثنين","الثلاثاء","الأربعاء","الخميس","الجمعة","السبت"))</f>
        <v/>
      </c>
      <c r="C112" s="22" t="n"/>
      <c r="D112" s="22" t="n"/>
      <c r="E112" s="23">
        <f>IF(OR(M112=0,K112="",L112=""),"",MOD(L112-K112,1))</f>
        <v/>
      </c>
      <c r="F112" s="24">
        <f>IF(OR(E112="",M112=0),"",IF(ROUND_MODE="للأعلى",CEILING(ROUND((E112*24*$N$105),3),0.25),ROUND((E112*24*$N$105)*4,0)/4))</f>
        <v/>
      </c>
      <c r="G112" s="22" t="n"/>
      <c r="H112" s="22" t="n"/>
      <c r="K112" s="25">
        <f>IF(OR(M112=0,C112=""),"",IF(ISNUMBER(C112),MOD(C112,1),IFERROR(INDEX('القوائم'!$B$1:$B$288,MATCH(TRIM(C112),'القوائم'!$A$1:$A$288,0)),IFERROR(MOD(TIMEVALUE(C112),1),""))))</f>
        <v/>
      </c>
      <c r="L112" s="25">
        <f>IF(OR(M112=0,D112=""),"",IF(ISNUMBER(D112),MOD(D112,1),IFERROR(INDEX('القوائم'!$B$1:$B$288,MATCH(TRIM(D112),'القوائم'!$A$1:$A$288,0)),IFERROR(MOD(TIMEVALUE(D112),1),""))))</f>
        <v/>
      </c>
      <c r="M112">
        <f>M105</f>
        <v/>
      </c>
      <c r="Q112">
        <f>IF(N(F115)&gt;0,1,0)</f>
        <v/>
      </c>
    </row>
    <row r="113">
      <c r="A113" s="28">
        <f>IF(M105=1,"مجموع أيام الأسبوع 10","")</f>
        <v/>
      </c>
      <c r="B113" s="28" t="n"/>
      <c r="C113" s="28" t="n"/>
      <c r="D113" s="28" t="n"/>
      <c r="E113" s="29">
        <f>IF(M105=1,SUM(E106:E112),"")</f>
        <v/>
      </c>
      <c r="F113" s="30">
        <f>IF(M105=1,SUM(F106:F112),"")</f>
        <v/>
      </c>
      <c r="G113" s="41">
        <f>IF(M105=1,SUMIFS(F106:F112,G106:G112,"نعم"),"")</f>
        <v/>
      </c>
      <c r="H113" s="28" t="n"/>
    </row>
    <row r="114" ht="32" customHeight="1">
      <c r="A114" s="28">
        <f>IF(M105=1,"ساعات تحميل الجبسمبورد بهالأسبوع (رقم: 2 أو 1.5) ←","")</f>
        <v/>
      </c>
      <c r="E114" s="31" t="n"/>
      <c r="F114" s="33">
        <f>IF(M105=1,N(F113)+IF(ROUND_MODE="للأعلى",CEILING(ROUND((N(E114)*($P$105-$N$105)),3),0.25),ROUND((N(E114)*($P$105-$N$105))*4,0)/4),"")</f>
        <v/>
      </c>
      <c r="G114" s="32">
        <f>IF(M105=1,"← المستحق النهائي للأسبوع (دينار) مع فرق الجبسمبورد","")</f>
        <v/>
      </c>
    </row>
    <row r="115" ht="26" customHeight="1">
      <c r="A115" s="28">
        <f>IF(M105=1,"إكرامية الأسبوع ←","")</f>
        <v/>
      </c>
      <c r="C115" s="35" t="n"/>
      <c r="D115" s="28">
        <f>IF(M105=1,"المدفوع يوم الجمعة (التسوية) ←","")</f>
        <v/>
      </c>
      <c r="F115" s="35" t="n"/>
      <c r="G115" s="36">
        <f>IF(M105=1,IF(N(F115)&gt;0,"✔ انقبض — الأسبوع مقفول","⏳ لسا ما انقبض"),"")</f>
        <v/>
      </c>
    </row>
    <row r="116" ht="26" customHeight="1">
      <c r="A116" s="40">
        <f>IF(11&lt;=NW,"الأسبوع 11 · السبت "&amp;TEXT(DAY(SAT1+70),"00")&amp;"/"&amp;TEXT(MONTH(SAT1+70),"00")&amp;" ← الجمعة "&amp;TEXT(DAY(SAT1+76),"00")&amp;"/"&amp;TEXT(MONTH(SAT1+76),"00")&amp;" (يوم القبض)"&amp;IF(11&lt;START_Z,"   — قبل أسبوع البداية (ما بينحسب)",""),"ما في أسبوع 11 هالسنة")</f>
        <v/>
      </c>
      <c r="L116" s="19">
        <f>IF(11&lt;=NW,SAT1+76,"")</f>
        <v/>
      </c>
      <c r="M116">
        <f>IF(AND(11&lt;=NW,11&gt;=START_Z),1,0)</f>
        <v/>
      </c>
      <c r="N116">
        <f>IFERROR(INDEX(RT_AZZ,MATCH(L116,RT_K,1)),INDEX(RT_AZZ,1))</f>
        <v/>
      </c>
      <c r="P116">
        <f>IFERROR(INDEX(RT_GYP,MATCH(L116,RT_K,1)),INDEX(RT_GYP,1))</f>
        <v/>
      </c>
    </row>
    <row r="117">
      <c r="A117" s="20">
        <f>IF(11&lt;=NW,SAT1+70,"")</f>
        <v/>
      </c>
      <c r="B117" s="21">
        <f>IF(A117="","",CHOOSE(WEEKDAY(A117,1),"الأحد","الاثنين","الثلاثاء","الأربعاء","الخميس","الجمعة","السبت"))</f>
        <v/>
      </c>
      <c r="C117" s="22" t="n"/>
      <c r="D117" s="22" t="n"/>
      <c r="E117" s="23">
        <f>IF(OR(M117=0,K117="",L117=""),"",MOD(L117-K117,1))</f>
        <v/>
      </c>
      <c r="F117" s="24">
        <f>IF(OR(E117="",M117=0),"",IF(ROUND_MODE="للأعلى",CEILING(ROUND((E117*24*$N$116),3),0.25),ROUND((E117*24*$N$116)*4,0)/4))</f>
        <v/>
      </c>
      <c r="G117" s="22" t="n"/>
      <c r="H117" s="22" t="n"/>
      <c r="K117" s="25">
        <f>IF(OR(M117=0,C117=""),"",IF(ISNUMBER(C117),MOD(C117,1),IFERROR(INDEX('القوائم'!$B$1:$B$288,MATCH(TRIM(C117),'القوائم'!$A$1:$A$288,0)),IFERROR(MOD(TIMEVALUE(C117),1),""))))</f>
        <v/>
      </c>
      <c r="L117" s="25">
        <f>IF(OR(M117=0,D117=""),"",IF(ISNUMBER(D117),MOD(D117,1),IFERROR(INDEX('القوائم'!$B$1:$B$288,MATCH(TRIM(D117),'القوائم'!$A$1:$A$288,0)),IFERROR(MOD(TIMEVALUE(D117),1),""))))</f>
        <v/>
      </c>
      <c r="M117">
        <f>M116</f>
        <v/>
      </c>
      <c r="Q117">
        <f>IF(N(F126)&gt;0,1,0)</f>
        <v/>
      </c>
    </row>
    <row r="118">
      <c r="A118" s="20">
        <f>IF(11&lt;=NW,SAT1+71,"")</f>
        <v/>
      </c>
      <c r="B118" s="21">
        <f>IF(A118="","",CHOOSE(WEEKDAY(A118,1),"الأحد","الاثنين","الثلاثاء","الأربعاء","الخميس","الجمعة","السبت"))</f>
        <v/>
      </c>
      <c r="C118" s="22" t="n"/>
      <c r="D118" s="22" t="n"/>
      <c r="E118" s="23">
        <f>IF(OR(M118=0,K118="",L118=""),"",MOD(L118-K118,1))</f>
        <v/>
      </c>
      <c r="F118" s="24">
        <f>IF(OR(E118="",M118=0),"",IF(ROUND_MODE="للأعلى",CEILING(ROUND((E118*24*$N$116),3),0.25),ROUND((E118*24*$N$116)*4,0)/4))</f>
        <v/>
      </c>
      <c r="G118" s="22" t="n"/>
      <c r="H118" s="22" t="n"/>
      <c r="K118" s="25">
        <f>IF(OR(M118=0,C118=""),"",IF(ISNUMBER(C118),MOD(C118,1),IFERROR(INDEX('القوائم'!$B$1:$B$288,MATCH(TRIM(C118),'القوائم'!$A$1:$A$288,0)),IFERROR(MOD(TIMEVALUE(C118),1),""))))</f>
        <v/>
      </c>
      <c r="L118" s="25">
        <f>IF(OR(M118=0,D118=""),"",IF(ISNUMBER(D118),MOD(D118,1),IFERROR(INDEX('القوائم'!$B$1:$B$288,MATCH(TRIM(D118),'القوائم'!$A$1:$A$288,0)),IFERROR(MOD(TIMEVALUE(D118),1),""))))</f>
        <v/>
      </c>
      <c r="M118">
        <f>M116</f>
        <v/>
      </c>
      <c r="Q118">
        <f>IF(N(F126)&gt;0,1,0)</f>
        <v/>
      </c>
    </row>
    <row r="119">
      <c r="A119" s="20">
        <f>IF(11&lt;=NW,SAT1+72,"")</f>
        <v/>
      </c>
      <c r="B119" s="21">
        <f>IF(A119="","",CHOOSE(WEEKDAY(A119,1),"الأحد","الاثنين","الثلاثاء","الأربعاء","الخميس","الجمعة","السبت"))</f>
        <v/>
      </c>
      <c r="C119" s="22" t="n"/>
      <c r="D119" s="22" t="n"/>
      <c r="E119" s="23">
        <f>IF(OR(M119=0,K119="",L119=""),"",MOD(L119-K119,1))</f>
        <v/>
      </c>
      <c r="F119" s="24">
        <f>IF(OR(E119="",M119=0),"",IF(ROUND_MODE="للأعلى",CEILING(ROUND((E119*24*$N$116),3),0.25),ROUND((E119*24*$N$116)*4,0)/4))</f>
        <v/>
      </c>
      <c r="G119" s="22" t="n"/>
      <c r="H119" s="22" t="n"/>
      <c r="K119" s="25">
        <f>IF(OR(M119=0,C119=""),"",IF(ISNUMBER(C119),MOD(C119,1),IFERROR(INDEX('القوائم'!$B$1:$B$288,MATCH(TRIM(C119),'القوائم'!$A$1:$A$288,0)),IFERROR(MOD(TIMEVALUE(C119),1),""))))</f>
        <v/>
      </c>
      <c r="L119" s="25">
        <f>IF(OR(M119=0,D119=""),"",IF(ISNUMBER(D119),MOD(D119,1),IFERROR(INDEX('القوائم'!$B$1:$B$288,MATCH(TRIM(D119),'القوائم'!$A$1:$A$288,0)),IFERROR(MOD(TIMEVALUE(D119),1),""))))</f>
        <v/>
      </c>
      <c r="M119">
        <f>M116</f>
        <v/>
      </c>
      <c r="Q119">
        <f>IF(N(F126)&gt;0,1,0)</f>
        <v/>
      </c>
    </row>
    <row r="120">
      <c r="A120" s="20">
        <f>IF(11&lt;=NW,SAT1+73,"")</f>
        <v/>
      </c>
      <c r="B120" s="21">
        <f>IF(A120="","",CHOOSE(WEEKDAY(A120,1),"الأحد","الاثنين","الثلاثاء","الأربعاء","الخميس","الجمعة","السبت"))</f>
        <v/>
      </c>
      <c r="C120" s="22" t="n"/>
      <c r="D120" s="22" t="n"/>
      <c r="E120" s="23">
        <f>IF(OR(M120=0,K120="",L120=""),"",MOD(L120-K120,1))</f>
        <v/>
      </c>
      <c r="F120" s="24">
        <f>IF(OR(E120="",M120=0),"",IF(ROUND_MODE="للأعلى",CEILING(ROUND((E120*24*$N$116),3),0.25),ROUND((E120*24*$N$116)*4,0)/4))</f>
        <v/>
      </c>
      <c r="G120" s="22" t="n"/>
      <c r="H120" s="22" t="n"/>
      <c r="K120" s="25">
        <f>IF(OR(M120=0,C120=""),"",IF(ISNUMBER(C120),MOD(C120,1),IFERROR(INDEX('القوائم'!$B$1:$B$288,MATCH(TRIM(C120),'القوائم'!$A$1:$A$288,0)),IFERROR(MOD(TIMEVALUE(C120),1),""))))</f>
        <v/>
      </c>
      <c r="L120" s="25">
        <f>IF(OR(M120=0,D120=""),"",IF(ISNUMBER(D120),MOD(D120,1),IFERROR(INDEX('القوائم'!$B$1:$B$288,MATCH(TRIM(D120),'القوائم'!$A$1:$A$288,0)),IFERROR(MOD(TIMEVALUE(D120),1),""))))</f>
        <v/>
      </c>
      <c r="M120">
        <f>M116</f>
        <v/>
      </c>
      <c r="Q120">
        <f>IF(N(F126)&gt;0,1,0)</f>
        <v/>
      </c>
    </row>
    <row r="121">
      <c r="A121" s="20">
        <f>IF(11&lt;=NW,SAT1+74,"")</f>
        <v/>
      </c>
      <c r="B121" s="21">
        <f>IF(A121="","",CHOOSE(WEEKDAY(A121,1),"الأحد","الاثنين","الثلاثاء","الأربعاء","الخميس","الجمعة","السبت"))</f>
        <v/>
      </c>
      <c r="C121" s="22" t="n"/>
      <c r="D121" s="22" t="n"/>
      <c r="E121" s="23">
        <f>IF(OR(M121=0,K121="",L121=""),"",MOD(L121-K121,1))</f>
        <v/>
      </c>
      <c r="F121" s="24">
        <f>IF(OR(E121="",M121=0),"",IF(ROUND_MODE="للأعلى",CEILING(ROUND((E121*24*$N$116),3),0.25),ROUND((E121*24*$N$116)*4,0)/4))</f>
        <v/>
      </c>
      <c r="G121" s="22" t="n"/>
      <c r="H121" s="22" t="n"/>
      <c r="K121" s="25">
        <f>IF(OR(M121=0,C121=""),"",IF(ISNUMBER(C121),MOD(C121,1),IFERROR(INDEX('القوائم'!$B$1:$B$288,MATCH(TRIM(C121),'القوائم'!$A$1:$A$288,0)),IFERROR(MOD(TIMEVALUE(C121),1),""))))</f>
        <v/>
      </c>
      <c r="L121" s="25">
        <f>IF(OR(M121=0,D121=""),"",IF(ISNUMBER(D121),MOD(D121,1),IFERROR(INDEX('القوائم'!$B$1:$B$288,MATCH(TRIM(D121),'القوائم'!$A$1:$A$288,0)),IFERROR(MOD(TIMEVALUE(D121),1),""))))</f>
        <v/>
      </c>
      <c r="M121">
        <f>M116</f>
        <v/>
      </c>
      <c r="Q121">
        <f>IF(N(F126)&gt;0,1,0)</f>
        <v/>
      </c>
    </row>
    <row r="122">
      <c r="A122" s="20">
        <f>IF(11&lt;=NW,SAT1+75,"")</f>
        <v/>
      </c>
      <c r="B122" s="21">
        <f>IF(A122="","",CHOOSE(WEEKDAY(A122,1),"الأحد","الاثنين","الثلاثاء","الأربعاء","الخميس","الجمعة","السبت"))</f>
        <v/>
      </c>
      <c r="C122" s="22" t="n"/>
      <c r="D122" s="22" t="n"/>
      <c r="E122" s="23">
        <f>IF(OR(M122=0,K122="",L122=""),"",MOD(L122-K122,1))</f>
        <v/>
      </c>
      <c r="F122" s="24">
        <f>IF(OR(E122="",M122=0),"",IF(ROUND_MODE="للأعلى",CEILING(ROUND((E122*24*$N$116),3),0.25),ROUND((E122*24*$N$116)*4,0)/4))</f>
        <v/>
      </c>
      <c r="G122" s="22" t="n"/>
      <c r="H122" s="22" t="n"/>
      <c r="K122" s="25">
        <f>IF(OR(M122=0,C122=""),"",IF(ISNUMBER(C122),MOD(C122,1),IFERROR(INDEX('القوائم'!$B$1:$B$288,MATCH(TRIM(C122),'القوائم'!$A$1:$A$288,0)),IFERROR(MOD(TIMEVALUE(C122),1),""))))</f>
        <v/>
      </c>
      <c r="L122" s="25">
        <f>IF(OR(M122=0,D122=""),"",IF(ISNUMBER(D122),MOD(D122,1),IFERROR(INDEX('القوائم'!$B$1:$B$288,MATCH(TRIM(D122),'القوائم'!$A$1:$A$288,0)),IFERROR(MOD(TIMEVALUE(D122),1),""))))</f>
        <v/>
      </c>
      <c r="M122">
        <f>M116</f>
        <v/>
      </c>
      <c r="Q122">
        <f>IF(N(F126)&gt;0,1,0)</f>
        <v/>
      </c>
    </row>
    <row r="123">
      <c r="A123" s="26">
        <f>IF(11&lt;=NW,SAT1+76,"")</f>
        <v/>
      </c>
      <c r="B123" s="27">
        <f>IF(A123="","",CHOOSE(WEEKDAY(A123,1),"الأحد","الاثنين","الثلاثاء","الأربعاء","الخميس","الجمعة","السبت"))</f>
        <v/>
      </c>
      <c r="C123" s="22" t="n"/>
      <c r="D123" s="22" t="n"/>
      <c r="E123" s="23">
        <f>IF(OR(M123=0,K123="",L123=""),"",MOD(L123-K123,1))</f>
        <v/>
      </c>
      <c r="F123" s="24">
        <f>IF(OR(E123="",M123=0),"",IF(ROUND_MODE="للأعلى",CEILING(ROUND((E123*24*$N$116),3),0.25),ROUND((E123*24*$N$116)*4,0)/4))</f>
        <v/>
      </c>
      <c r="G123" s="22" t="n"/>
      <c r="H123" s="22" t="n"/>
      <c r="K123" s="25">
        <f>IF(OR(M123=0,C123=""),"",IF(ISNUMBER(C123),MOD(C123,1),IFERROR(INDEX('القوائم'!$B$1:$B$288,MATCH(TRIM(C123),'القوائم'!$A$1:$A$288,0)),IFERROR(MOD(TIMEVALUE(C123),1),""))))</f>
        <v/>
      </c>
      <c r="L123" s="25">
        <f>IF(OR(M123=0,D123=""),"",IF(ISNUMBER(D123),MOD(D123,1),IFERROR(INDEX('القوائم'!$B$1:$B$288,MATCH(TRIM(D123),'القوائم'!$A$1:$A$288,0)),IFERROR(MOD(TIMEVALUE(D123),1),""))))</f>
        <v/>
      </c>
      <c r="M123">
        <f>M116</f>
        <v/>
      </c>
      <c r="Q123">
        <f>IF(N(F126)&gt;0,1,0)</f>
        <v/>
      </c>
    </row>
    <row r="124">
      <c r="A124" s="28">
        <f>IF(M116=1,"مجموع أيام الأسبوع 11","")</f>
        <v/>
      </c>
      <c r="B124" s="28" t="n"/>
      <c r="C124" s="28" t="n"/>
      <c r="D124" s="28" t="n"/>
      <c r="E124" s="29">
        <f>IF(M116=1,SUM(E117:E123),"")</f>
        <v/>
      </c>
      <c r="F124" s="30">
        <f>IF(M116=1,SUM(F117:F123),"")</f>
        <v/>
      </c>
      <c r="G124" s="41">
        <f>IF(M116=1,SUMIFS(F117:F123,G117:G123,"نعم"),"")</f>
        <v/>
      </c>
      <c r="H124" s="28" t="n"/>
    </row>
    <row r="125" ht="32" customHeight="1">
      <c r="A125" s="28">
        <f>IF(M116=1,"ساعات تحميل الجبسمبورد بهالأسبوع (رقم: 2 أو 1.5) ←","")</f>
        <v/>
      </c>
      <c r="E125" s="31" t="n"/>
      <c r="F125" s="33">
        <f>IF(M116=1,N(F124)+IF(ROUND_MODE="للأعلى",CEILING(ROUND((N(E125)*($P$116-$N$116)),3),0.25),ROUND((N(E125)*($P$116-$N$116))*4,0)/4),"")</f>
        <v/>
      </c>
      <c r="G125" s="32">
        <f>IF(M116=1,"← المستحق النهائي للأسبوع (دينار) مع فرق الجبسمبورد","")</f>
        <v/>
      </c>
    </row>
    <row r="126" ht="26" customHeight="1">
      <c r="A126" s="28">
        <f>IF(M116=1,"إكرامية الأسبوع ←","")</f>
        <v/>
      </c>
      <c r="C126" s="35" t="n"/>
      <c r="D126" s="28">
        <f>IF(M116=1,"المدفوع يوم الجمعة (التسوية) ←","")</f>
        <v/>
      </c>
      <c r="F126" s="35" t="n"/>
      <c r="G126" s="36">
        <f>IF(M116=1,IF(N(F126)&gt;0,"✔ انقبض — الأسبوع مقفول","⏳ لسا ما انقبض"),"")</f>
        <v/>
      </c>
    </row>
    <row r="127" ht="26" customHeight="1">
      <c r="A127" s="40">
        <f>IF(12&lt;=NW,"الأسبوع 12 · السبت "&amp;TEXT(DAY(SAT1+77),"00")&amp;"/"&amp;TEXT(MONTH(SAT1+77),"00")&amp;" ← الجمعة "&amp;TEXT(DAY(SAT1+83),"00")&amp;"/"&amp;TEXT(MONTH(SAT1+83),"00")&amp;" (يوم القبض)"&amp;IF(12&lt;START_Z,"   — قبل أسبوع البداية (ما بينحسب)",""),"ما في أسبوع 12 هالسنة")</f>
        <v/>
      </c>
      <c r="L127" s="19">
        <f>IF(12&lt;=NW,SAT1+83,"")</f>
        <v/>
      </c>
      <c r="M127">
        <f>IF(AND(12&lt;=NW,12&gt;=START_Z),1,0)</f>
        <v/>
      </c>
      <c r="N127">
        <f>IFERROR(INDEX(RT_AZZ,MATCH(L127,RT_K,1)),INDEX(RT_AZZ,1))</f>
        <v/>
      </c>
      <c r="P127">
        <f>IFERROR(INDEX(RT_GYP,MATCH(L127,RT_K,1)),INDEX(RT_GYP,1))</f>
        <v/>
      </c>
    </row>
    <row r="128">
      <c r="A128" s="20">
        <f>IF(12&lt;=NW,SAT1+77,"")</f>
        <v/>
      </c>
      <c r="B128" s="21">
        <f>IF(A128="","",CHOOSE(WEEKDAY(A128,1),"الأحد","الاثنين","الثلاثاء","الأربعاء","الخميس","الجمعة","السبت"))</f>
        <v/>
      </c>
      <c r="C128" s="22" t="n"/>
      <c r="D128" s="22" t="n"/>
      <c r="E128" s="23">
        <f>IF(OR(M128=0,K128="",L128=""),"",MOD(L128-K128,1))</f>
        <v/>
      </c>
      <c r="F128" s="24">
        <f>IF(OR(E128="",M128=0),"",IF(ROUND_MODE="للأعلى",CEILING(ROUND((E128*24*$N$127),3),0.25),ROUND((E128*24*$N$127)*4,0)/4))</f>
        <v/>
      </c>
      <c r="G128" s="22" t="n"/>
      <c r="H128" s="22" t="n"/>
      <c r="K128" s="25">
        <f>IF(OR(M128=0,C128=""),"",IF(ISNUMBER(C128),MOD(C128,1),IFERROR(INDEX('القوائم'!$B$1:$B$288,MATCH(TRIM(C128),'القوائم'!$A$1:$A$288,0)),IFERROR(MOD(TIMEVALUE(C128),1),""))))</f>
        <v/>
      </c>
      <c r="L128" s="25">
        <f>IF(OR(M128=0,D128=""),"",IF(ISNUMBER(D128),MOD(D128,1),IFERROR(INDEX('القوائم'!$B$1:$B$288,MATCH(TRIM(D128),'القوائم'!$A$1:$A$288,0)),IFERROR(MOD(TIMEVALUE(D128),1),""))))</f>
        <v/>
      </c>
      <c r="M128">
        <f>M127</f>
        <v/>
      </c>
      <c r="Q128">
        <f>IF(N(F137)&gt;0,1,0)</f>
        <v/>
      </c>
    </row>
    <row r="129">
      <c r="A129" s="20">
        <f>IF(12&lt;=NW,SAT1+78,"")</f>
        <v/>
      </c>
      <c r="B129" s="21">
        <f>IF(A129="","",CHOOSE(WEEKDAY(A129,1),"الأحد","الاثنين","الثلاثاء","الأربعاء","الخميس","الجمعة","السبت"))</f>
        <v/>
      </c>
      <c r="C129" s="22" t="n"/>
      <c r="D129" s="22" t="n"/>
      <c r="E129" s="23">
        <f>IF(OR(M129=0,K129="",L129=""),"",MOD(L129-K129,1))</f>
        <v/>
      </c>
      <c r="F129" s="24">
        <f>IF(OR(E129="",M129=0),"",IF(ROUND_MODE="للأعلى",CEILING(ROUND((E129*24*$N$127),3),0.25),ROUND((E129*24*$N$127)*4,0)/4))</f>
        <v/>
      </c>
      <c r="G129" s="22" t="n"/>
      <c r="H129" s="22" t="n"/>
      <c r="K129" s="25">
        <f>IF(OR(M129=0,C129=""),"",IF(ISNUMBER(C129),MOD(C129,1),IFERROR(INDEX('القوائم'!$B$1:$B$288,MATCH(TRIM(C129),'القوائم'!$A$1:$A$288,0)),IFERROR(MOD(TIMEVALUE(C129),1),""))))</f>
        <v/>
      </c>
      <c r="L129" s="25">
        <f>IF(OR(M129=0,D129=""),"",IF(ISNUMBER(D129),MOD(D129,1),IFERROR(INDEX('القوائم'!$B$1:$B$288,MATCH(TRIM(D129),'القوائم'!$A$1:$A$288,0)),IFERROR(MOD(TIMEVALUE(D129),1),""))))</f>
        <v/>
      </c>
      <c r="M129">
        <f>M127</f>
        <v/>
      </c>
      <c r="Q129">
        <f>IF(N(F137)&gt;0,1,0)</f>
        <v/>
      </c>
    </row>
    <row r="130">
      <c r="A130" s="20">
        <f>IF(12&lt;=NW,SAT1+79,"")</f>
        <v/>
      </c>
      <c r="B130" s="21">
        <f>IF(A130="","",CHOOSE(WEEKDAY(A130,1),"الأحد","الاثنين","الثلاثاء","الأربعاء","الخميس","الجمعة","السبت"))</f>
        <v/>
      </c>
      <c r="C130" s="22" t="n"/>
      <c r="D130" s="22" t="n"/>
      <c r="E130" s="23">
        <f>IF(OR(M130=0,K130="",L130=""),"",MOD(L130-K130,1))</f>
        <v/>
      </c>
      <c r="F130" s="24">
        <f>IF(OR(E130="",M130=0),"",IF(ROUND_MODE="للأعلى",CEILING(ROUND((E130*24*$N$127),3),0.25),ROUND((E130*24*$N$127)*4,0)/4))</f>
        <v/>
      </c>
      <c r="G130" s="22" t="n"/>
      <c r="H130" s="22" t="n"/>
      <c r="K130" s="25">
        <f>IF(OR(M130=0,C130=""),"",IF(ISNUMBER(C130),MOD(C130,1),IFERROR(INDEX('القوائم'!$B$1:$B$288,MATCH(TRIM(C130),'القوائم'!$A$1:$A$288,0)),IFERROR(MOD(TIMEVALUE(C130),1),""))))</f>
        <v/>
      </c>
      <c r="L130" s="25">
        <f>IF(OR(M130=0,D130=""),"",IF(ISNUMBER(D130),MOD(D130,1),IFERROR(INDEX('القوائم'!$B$1:$B$288,MATCH(TRIM(D130),'القوائم'!$A$1:$A$288,0)),IFERROR(MOD(TIMEVALUE(D130),1),""))))</f>
        <v/>
      </c>
      <c r="M130">
        <f>M127</f>
        <v/>
      </c>
      <c r="Q130">
        <f>IF(N(F137)&gt;0,1,0)</f>
        <v/>
      </c>
    </row>
    <row r="131">
      <c r="A131" s="20">
        <f>IF(12&lt;=NW,SAT1+80,"")</f>
        <v/>
      </c>
      <c r="B131" s="21">
        <f>IF(A131="","",CHOOSE(WEEKDAY(A131,1),"الأحد","الاثنين","الثلاثاء","الأربعاء","الخميس","الجمعة","السبت"))</f>
        <v/>
      </c>
      <c r="C131" s="22" t="n"/>
      <c r="D131" s="22" t="n"/>
      <c r="E131" s="23">
        <f>IF(OR(M131=0,K131="",L131=""),"",MOD(L131-K131,1))</f>
        <v/>
      </c>
      <c r="F131" s="24">
        <f>IF(OR(E131="",M131=0),"",IF(ROUND_MODE="للأعلى",CEILING(ROUND((E131*24*$N$127),3),0.25),ROUND((E131*24*$N$127)*4,0)/4))</f>
        <v/>
      </c>
      <c r="G131" s="22" t="n"/>
      <c r="H131" s="22" t="n"/>
      <c r="K131" s="25">
        <f>IF(OR(M131=0,C131=""),"",IF(ISNUMBER(C131),MOD(C131,1),IFERROR(INDEX('القوائم'!$B$1:$B$288,MATCH(TRIM(C131),'القوائم'!$A$1:$A$288,0)),IFERROR(MOD(TIMEVALUE(C131),1),""))))</f>
        <v/>
      </c>
      <c r="L131" s="25">
        <f>IF(OR(M131=0,D131=""),"",IF(ISNUMBER(D131),MOD(D131,1),IFERROR(INDEX('القوائم'!$B$1:$B$288,MATCH(TRIM(D131),'القوائم'!$A$1:$A$288,0)),IFERROR(MOD(TIMEVALUE(D131),1),""))))</f>
        <v/>
      </c>
      <c r="M131">
        <f>M127</f>
        <v/>
      </c>
      <c r="Q131">
        <f>IF(N(F137)&gt;0,1,0)</f>
        <v/>
      </c>
    </row>
    <row r="132">
      <c r="A132" s="20">
        <f>IF(12&lt;=NW,SAT1+81,"")</f>
        <v/>
      </c>
      <c r="B132" s="21">
        <f>IF(A132="","",CHOOSE(WEEKDAY(A132,1),"الأحد","الاثنين","الثلاثاء","الأربعاء","الخميس","الجمعة","السبت"))</f>
        <v/>
      </c>
      <c r="C132" s="22" t="n"/>
      <c r="D132" s="22" t="n"/>
      <c r="E132" s="23">
        <f>IF(OR(M132=0,K132="",L132=""),"",MOD(L132-K132,1))</f>
        <v/>
      </c>
      <c r="F132" s="24">
        <f>IF(OR(E132="",M132=0),"",IF(ROUND_MODE="للأعلى",CEILING(ROUND((E132*24*$N$127),3),0.25),ROUND((E132*24*$N$127)*4,0)/4))</f>
        <v/>
      </c>
      <c r="G132" s="22" t="n"/>
      <c r="H132" s="22" t="n"/>
      <c r="K132" s="25">
        <f>IF(OR(M132=0,C132=""),"",IF(ISNUMBER(C132),MOD(C132,1),IFERROR(INDEX('القوائم'!$B$1:$B$288,MATCH(TRIM(C132),'القوائم'!$A$1:$A$288,0)),IFERROR(MOD(TIMEVALUE(C132),1),""))))</f>
        <v/>
      </c>
      <c r="L132" s="25">
        <f>IF(OR(M132=0,D132=""),"",IF(ISNUMBER(D132),MOD(D132,1),IFERROR(INDEX('القوائم'!$B$1:$B$288,MATCH(TRIM(D132),'القوائم'!$A$1:$A$288,0)),IFERROR(MOD(TIMEVALUE(D132),1),""))))</f>
        <v/>
      </c>
      <c r="M132">
        <f>M127</f>
        <v/>
      </c>
      <c r="Q132">
        <f>IF(N(F137)&gt;0,1,0)</f>
        <v/>
      </c>
    </row>
    <row r="133">
      <c r="A133" s="20">
        <f>IF(12&lt;=NW,SAT1+82,"")</f>
        <v/>
      </c>
      <c r="B133" s="21">
        <f>IF(A133="","",CHOOSE(WEEKDAY(A133,1),"الأحد","الاثنين","الثلاثاء","الأربعاء","الخميس","الجمعة","السبت"))</f>
        <v/>
      </c>
      <c r="C133" s="22" t="n"/>
      <c r="D133" s="22" t="n"/>
      <c r="E133" s="23">
        <f>IF(OR(M133=0,K133="",L133=""),"",MOD(L133-K133,1))</f>
        <v/>
      </c>
      <c r="F133" s="24">
        <f>IF(OR(E133="",M133=0),"",IF(ROUND_MODE="للأعلى",CEILING(ROUND((E133*24*$N$127),3),0.25),ROUND((E133*24*$N$127)*4,0)/4))</f>
        <v/>
      </c>
      <c r="G133" s="22" t="n"/>
      <c r="H133" s="22" t="n"/>
      <c r="K133" s="25">
        <f>IF(OR(M133=0,C133=""),"",IF(ISNUMBER(C133),MOD(C133,1),IFERROR(INDEX('القوائم'!$B$1:$B$288,MATCH(TRIM(C133),'القوائم'!$A$1:$A$288,0)),IFERROR(MOD(TIMEVALUE(C133),1),""))))</f>
        <v/>
      </c>
      <c r="L133" s="25">
        <f>IF(OR(M133=0,D133=""),"",IF(ISNUMBER(D133),MOD(D133,1),IFERROR(INDEX('القوائم'!$B$1:$B$288,MATCH(TRIM(D133),'القوائم'!$A$1:$A$288,0)),IFERROR(MOD(TIMEVALUE(D133),1),""))))</f>
        <v/>
      </c>
      <c r="M133">
        <f>M127</f>
        <v/>
      </c>
      <c r="Q133">
        <f>IF(N(F137)&gt;0,1,0)</f>
        <v/>
      </c>
    </row>
    <row r="134">
      <c r="A134" s="26">
        <f>IF(12&lt;=NW,SAT1+83,"")</f>
        <v/>
      </c>
      <c r="B134" s="27">
        <f>IF(A134="","",CHOOSE(WEEKDAY(A134,1),"الأحد","الاثنين","الثلاثاء","الأربعاء","الخميس","الجمعة","السبت"))</f>
        <v/>
      </c>
      <c r="C134" s="22" t="n"/>
      <c r="D134" s="22" t="n"/>
      <c r="E134" s="23">
        <f>IF(OR(M134=0,K134="",L134=""),"",MOD(L134-K134,1))</f>
        <v/>
      </c>
      <c r="F134" s="24">
        <f>IF(OR(E134="",M134=0),"",IF(ROUND_MODE="للأعلى",CEILING(ROUND((E134*24*$N$127),3),0.25),ROUND((E134*24*$N$127)*4,0)/4))</f>
        <v/>
      </c>
      <c r="G134" s="22" t="n"/>
      <c r="H134" s="22" t="n"/>
      <c r="K134" s="25">
        <f>IF(OR(M134=0,C134=""),"",IF(ISNUMBER(C134),MOD(C134,1),IFERROR(INDEX('القوائم'!$B$1:$B$288,MATCH(TRIM(C134),'القوائم'!$A$1:$A$288,0)),IFERROR(MOD(TIMEVALUE(C134),1),""))))</f>
        <v/>
      </c>
      <c r="L134" s="25">
        <f>IF(OR(M134=0,D134=""),"",IF(ISNUMBER(D134),MOD(D134,1),IFERROR(INDEX('القوائم'!$B$1:$B$288,MATCH(TRIM(D134),'القوائم'!$A$1:$A$288,0)),IFERROR(MOD(TIMEVALUE(D134),1),""))))</f>
        <v/>
      </c>
      <c r="M134">
        <f>M127</f>
        <v/>
      </c>
      <c r="Q134">
        <f>IF(N(F137)&gt;0,1,0)</f>
        <v/>
      </c>
    </row>
    <row r="135">
      <c r="A135" s="28">
        <f>IF(M127=1,"مجموع أيام الأسبوع 12","")</f>
        <v/>
      </c>
      <c r="B135" s="28" t="n"/>
      <c r="C135" s="28" t="n"/>
      <c r="D135" s="28" t="n"/>
      <c r="E135" s="29">
        <f>IF(M127=1,SUM(E128:E134),"")</f>
        <v/>
      </c>
      <c r="F135" s="30">
        <f>IF(M127=1,SUM(F128:F134),"")</f>
        <v/>
      </c>
      <c r="G135" s="41">
        <f>IF(M127=1,SUMIFS(F128:F134,G128:G134,"نعم"),"")</f>
        <v/>
      </c>
      <c r="H135" s="28" t="n"/>
    </row>
    <row r="136" ht="32" customHeight="1">
      <c r="A136" s="28">
        <f>IF(M127=1,"ساعات تحميل الجبسمبورد بهالأسبوع (رقم: 2 أو 1.5) ←","")</f>
        <v/>
      </c>
      <c r="E136" s="31" t="n"/>
      <c r="F136" s="33">
        <f>IF(M127=1,N(F135)+IF(ROUND_MODE="للأعلى",CEILING(ROUND((N(E136)*($P$127-$N$127)),3),0.25),ROUND((N(E136)*($P$127-$N$127))*4,0)/4),"")</f>
        <v/>
      </c>
      <c r="G136" s="32">
        <f>IF(M127=1,"← المستحق النهائي للأسبوع (دينار) مع فرق الجبسمبورد","")</f>
        <v/>
      </c>
    </row>
    <row r="137" ht="26" customHeight="1">
      <c r="A137" s="28">
        <f>IF(M127=1,"إكرامية الأسبوع ←","")</f>
        <v/>
      </c>
      <c r="C137" s="35" t="n"/>
      <c r="D137" s="28">
        <f>IF(M127=1,"المدفوع يوم الجمعة (التسوية) ←","")</f>
        <v/>
      </c>
      <c r="F137" s="35" t="n"/>
      <c r="G137" s="36">
        <f>IF(M127=1,IF(N(F137)&gt;0,"✔ انقبض — الأسبوع مقفول","⏳ لسا ما انقبض"),"")</f>
        <v/>
      </c>
    </row>
    <row r="138" ht="26" customHeight="1">
      <c r="A138" s="40">
        <f>IF(13&lt;=NW,"الأسبوع 13 · السبت "&amp;TEXT(DAY(SAT1+84),"00")&amp;"/"&amp;TEXT(MONTH(SAT1+84),"00")&amp;" ← الجمعة "&amp;TEXT(DAY(SAT1+90),"00")&amp;"/"&amp;TEXT(MONTH(SAT1+90),"00")&amp;" (يوم القبض)"&amp;IF(13&lt;START_Z,"   — قبل أسبوع البداية (ما بينحسب)",""),"ما في أسبوع 13 هالسنة")</f>
        <v/>
      </c>
      <c r="L138" s="19">
        <f>IF(13&lt;=NW,SAT1+90,"")</f>
        <v/>
      </c>
      <c r="M138">
        <f>IF(AND(13&lt;=NW,13&gt;=START_Z),1,0)</f>
        <v/>
      </c>
      <c r="N138">
        <f>IFERROR(INDEX(RT_AZZ,MATCH(L138,RT_K,1)),INDEX(RT_AZZ,1))</f>
        <v/>
      </c>
      <c r="P138">
        <f>IFERROR(INDEX(RT_GYP,MATCH(L138,RT_K,1)),INDEX(RT_GYP,1))</f>
        <v/>
      </c>
    </row>
    <row r="139">
      <c r="A139" s="20">
        <f>IF(13&lt;=NW,SAT1+84,"")</f>
        <v/>
      </c>
      <c r="B139" s="21">
        <f>IF(A139="","",CHOOSE(WEEKDAY(A139,1),"الأحد","الاثنين","الثلاثاء","الأربعاء","الخميس","الجمعة","السبت"))</f>
        <v/>
      </c>
      <c r="C139" s="22" t="n"/>
      <c r="D139" s="22" t="n"/>
      <c r="E139" s="23">
        <f>IF(OR(M139=0,K139="",L139=""),"",MOD(L139-K139,1))</f>
        <v/>
      </c>
      <c r="F139" s="24">
        <f>IF(OR(E139="",M139=0),"",IF(ROUND_MODE="للأعلى",CEILING(ROUND((E139*24*$N$138),3),0.25),ROUND((E139*24*$N$138)*4,0)/4))</f>
        <v/>
      </c>
      <c r="G139" s="22" t="n"/>
      <c r="H139" s="22" t="n"/>
      <c r="K139" s="25">
        <f>IF(OR(M139=0,C139=""),"",IF(ISNUMBER(C139),MOD(C139,1),IFERROR(INDEX('القوائم'!$B$1:$B$288,MATCH(TRIM(C139),'القوائم'!$A$1:$A$288,0)),IFERROR(MOD(TIMEVALUE(C139),1),""))))</f>
        <v/>
      </c>
      <c r="L139" s="25">
        <f>IF(OR(M139=0,D139=""),"",IF(ISNUMBER(D139),MOD(D139,1),IFERROR(INDEX('القوائم'!$B$1:$B$288,MATCH(TRIM(D139),'القوائم'!$A$1:$A$288,0)),IFERROR(MOD(TIMEVALUE(D139),1),""))))</f>
        <v/>
      </c>
      <c r="M139">
        <f>M138</f>
        <v/>
      </c>
      <c r="Q139">
        <f>IF(N(F148)&gt;0,1,0)</f>
        <v/>
      </c>
    </row>
    <row r="140">
      <c r="A140" s="20">
        <f>IF(13&lt;=NW,SAT1+85,"")</f>
        <v/>
      </c>
      <c r="B140" s="21">
        <f>IF(A140="","",CHOOSE(WEEKDAY(A140,1),"الأحد","الاثنين","الثلاثاء","الأربعاء","الخميس","الجمعة","السبت"))</f>
        <v/>
      </c>
      <c r="C140" s="22" t="n"/>
      <c r="D140" s="22" t="n"/>
      <c r="E140" s="23">
        <f>IF(OR(M140=0,K140="",L140=""),"",MOD(L140-K140,1))</f>
        <v/>
      </c>
      <c r="F140" s="24">
        <f>IF(OR(E140="",M140=0),"",IF(ROUND_MODE="للأعلى",CEILING(ROUND((E140*24*$N$138),3),0.25),ROUND((E140*24*$N$138)*4,0)/4))</f>
        <v/>
      </c>
      <c r="G140" s="22" t="n"/>
      <c r="H140" s="22" t="n"/>
      <c r="K140" s="25">
        <f>IF(OR(M140=0,C140=""),"",IF(ISNUMBER(C140),MOD(C140,1),IFERROR(INDEX('القوائم'!$B$1:$B$288,MATCH(TRIM(C140),'القوائم'!$A$1:$A$288,0)),IFERROR(MOD(TIMEVALUE(C140),1),""))))</f>
        <v/>
      </c>
      <c r="L140" s="25">
        <f>IF(OR(M140=0,D140=""),"",IF(ISNUMBER(D140),MOD(D140,1),IFERROR(INDEX('القوائم'!$B$1:$B$288,MATCH(TRIM(D140),'القوائم'!$A$1:$A$288,0)),IFERROR(MOD(TIMEVALUE(D140),1),""))))</f>
        <v/>
      </c>
      <c r="M140">
        <f>M138</f>
        <v/>
      </c>
      <c r="Q140">
        <f>IF(N(F148)&gt;0,1,0)</f>
        <v/>
      </c>
    </row>
    <row r="141">
      <c r="A141" s="20">
        <f>IF(13&lt;=NW,SAT1+86,"")</f>
        <v/>
      </c>
      <c r="B141" s="21">
        <f>IF(A141="","",CHOOSE(WEEKDAY(A141,1),"الأحد","الاثنين","الثلاثاء","الأربعاء","الخميس","الجمعة","السبت"))</f>
        <v/>
      </c>
      <c r="C141" s="22" t="n"/>
      <c r="D141" s="22" t="n"/>
      <c r="E141" s="23">
        <f>IF(OR(M141=0,K141="",L141=""),"",MOD(L141-K141,1))</f>
        <v/>
      </c>
      <c r="F141" s="24">
        <f>IF(OR(E141="",M141=0),"",IF(ROUND_MODE="للأعلى",CEILING(ROUND((E141*24*$N$138),3),0.25),ROUND((E141*24*$N$138)*4,0)/4))</f>
        <v/>
      </c>
      <c r="G141" s="22" t="n"/>
      <c r="H141" s="22" t="n"/>
      <c r="K141" s="25">
        <f>IF(OR(M141=0,C141=""),"",IF(ISNUMBER(C141),MOD(C141,1),IFERROR(INDEX('القوائم'!$B$1:$B$288,MATCH(TRIM(C141),'القوائم'!$A$1:$A$288,0)),IFERROR(MOD(TIMEVALUE(C141),1),""))))</f>
        <v/>
      </c>
      <c r="L141" s="25">
        <f>IF(OR(M141=0,D141=""),"",IF(ISNUMBER(D141),MOD(D141,1),IFERROR(INDEX('القوائم'!$B$1:$B$288,MATCH(TRIM(D141),'القوائم'!$A$1:$A$288,0)),IFERROR(MOD(TIMEVALUE(D141),1),""))))</f>
        <v/>
      </c>
      <c r="M141">
        <f>M138</f>
        <v/>
      </c>
      <c r="Q141">
        <f>IF(N(F148)&gt;0,1,0)</f>
        <v/>
      </c>
    </row>
    <row r="142">
      <c r="A142" s="20">
        <f>IF(13&lt;=NW,SAT1+87,"")</f>
        <v/>
      </c>
      <c r="B142" s="21">
        <f>IF(A142="","",CHOOSE(WEEKDAY(A142,1),"الأحد","الاثنين","الثلاثاء","الأربعاء","الخميس","الجمعة","السبت"))</f>
        <v/>
      </c>
      <c r="C142" s="22" t="n"/>
      <c r="D142" s="22" t="n"/>
      <c r="E142" s="23">
        <f>IF(OR(M142=0,K142="",L142=""),"",MOD(L142-K142,1))</f>
        <v/>
      </c>
      <c r="F142" s="24">
        <f>IF(OR(E142="",M142=0),"",IF(ROUND_MODE="للأعلى",CEILING(ROUND((E142*24*$N$138),3),0.25),ROUND((E142*24*$N$138)*4,0)/4))</f>
        <v/>
      </c>
      <c r="G142" s="22" t="n"/>
      <c r="H142" s="22" t="n"/>
      <c r="K142" s="25">
        <f>IF(OR(M142=0,C142=""),"",IF(ISNUMBER(C142),MOD(C142,1),IFERROR(INDEX('القوائم'!$B$1:$B$288,MATCH(TRIM(C142),'القوائم'!$A$1:$A$288,0)),IFERROR(MOD(TIMEVALUE(C142),1),""))))</f>
        <v/>
      </c>
      <c r="L142" s="25">
        <f>IF(OR(M142=0,D142=""),"",IF(ISNUMBER(D142),MOD(D142,1),IFERROR(INDEX('القوائم'!$B$1:$B$288,MATCH(TRIM(D142),'القوائم'!$A$1:$A$288,0)),IFERROR(MOD(TIMEVALUE(D142),1),""))))</f>
        <v/>
      </c>
      <c r="M142">
        <f>M138</f>
        <v/>
      </c>
      <c r="Q142">
        <f>IF(N(F148)&gt;0,1,0)</f>
        <v/>
      </c>
    </row>
    <row r="143">
      <c r="A143" s="20">
        <f>IF(13&lt;=NW,SAT1+88,"")</f>
        <v/>
      </c>
      <c r="B143" s="21">
        <f>IF(A143="","",CHOOSE(WEEKDAY(A143,1),"الأحد","الاثنين","الثلاثاء","الأربعاء","الخميس","الجمعة","السبت"))</f>
        <v/>
      </c>
      <c r="C143" s="22" t="n"/>
      <c r="D143" s="22" t="n"/>
      <c r="E143" s="23">
        <f>IF(OR(M143=0,K143="",L143=""),"",MOD(L143-K143,1))</f>
        <v/>
      </c>
      <c r="F143" s="24">
        <f>IF(OR(E143="",M143=0),"",IF(ROUND_MODE="للأعلى",CEILING(ROUND((E143*24*$N$138),3),0.25),ROUND((E143*24*$N$138)*4,0)/4))</f>
        <v/>
      </c>
      <c r="G143" s="22" t="n"/>
      <c r="H143" s="22" t="n"/>
      <c r="K143" s="25">
        <f>IF(OR(M143=0,C143=""),"",IF(ISNUMBER(C143),MOD(C143,1),IFERROR(INDEX('القوائم'!$B$1:$B$288,MATCH(TRIM(C143),'القوائم'!$A$1:$A$288,0)),IFERROR(MOD(TIMEVALUE(C143),1),""))))</f>
        <v/>
      </c>
      <c r="L143" s="25">
        <f>IF(OR(M143=0,D143=""),"",IF(ISNUMBER(D143),MOD(D143,1),IFERROR(INDEX('القوائم'!$B$1:$B$288,MATCH(TRIM(D143),'القوائم'!$A$1:$A$288,0)),IFERROR(MOD(TIMEVALUE(D143),1),""))))</f>
        <v/>
      </c>
      <c r="M143">
        <f>M138</f>
        <v/>
      </c>
      <c r="Q143">
        <f>IF(N(F148)&gt;0,1,0)</f>
        <v/>
      </c>
    </row>
    <row r="144">
      <c r="A144" s="20">
        <f>IF(13&lt;=NW,SAT1+89,"")</f>
        <v/>
      </c>
      <c r="B144" s="21">
        <f>IF(A144="","",CHOOSE(WEEKDAY(A144,1),"الأحد","الاثنين","الثلاثاء","الأربعاء","الخميس","الجمعة","السبت"))</f>
        <v/>
      </c>
      <c r="C144" s="22" t="n"/>
      <c r="D144" s="22" t="n"/>
      <c r="E144" s="23">
        <f>IF(OR(M144=0,K144="",L144=""),"",MOD(L144-K144,1))</f>
        <v/>
      </c>
      <c r="F144" s="24">
        <f>IF(OR(E144="",M144=0),"",IF(ROUND_MODE="للأعلى",CEILING(ROUND((E144*24*$N$138),3),0.25),ROUND((E144*24*$N$138)*4,0)/4))</f>
        <v/>
      </c>
      <c r="G144" s="22" t="n"/>
      <c r="H144" s="22" t="n"/>
      <c r="K144" s="25">
        <f>IF(OR(M144=0,C144=""),"",IF(ISNUMBER(C144),MOD(C144,1),IFERROR(INDEX('القوائم'!$B$1:$B$288,MATCH(TRIM(C144),'القوائم'!$A$1:$A$288,0)),IFERROR(MOD(TIMEVALUE(C144),1),""))))</f>
        <v/>
      </c>
      <c r="L144" s="25">
        <f>IF(OR(M144=0,D144=""),"",IF(ISNUMBER(D144),MOD(D144,1),IFERROR(INDEX('القوائم'!$B$1:$B$288,MATCH(TRIM(D144),'القوائم'!$A$1:$A$288,0)),IFERROR(MOD(TIMEVALUE(D144),1),""))))</f>
        <v/>
      </c>
      <c r="M144">
        <f>M138</f>
        <v/>
      </c>
      <c r="Q144">
        <f>IF(N(F148)&gt;0,1,0)</f>
        <v/>
      </c>
    </row>
    <row r="145">
      <c r="A145" s="26">
        <f>IF(13&lt;=NW,SAT1+90,"")</f>
        <v/>
      </c>
      <c r="B145" s="27">
        <f>IF(A145="","",CHOOSE(WEEKDAY(A145,1),"الأحد","الاثنين","الثلاثاء","الأربعاء","الخميس","الجمعة","السبت"))</f>
        <v/>
      </c>
      <c r="C145" s="22" t="n"/>
      <c r="D145" s="22" t="n"/>
      <c r="E145" s="23">
        <f>IF(OR(M145=0,K145="",L145=""),"",MOD(L145-K145,1))</f>
        <v/>
      </c>
      <c r="F145" s="24">
        <f>IF(OR(E145="",M145=0),"",IF(ROUND_MODE="للأعلى",CEILING(ROUND((E145*24*$N$138),3),0.25),ROUND((E145*24*$N$138)*4,0)/4))</f>
        <v/>
      </c>
      <c r="G145" s="22" t="n"/>
      <c r="H145" s="22" t="n"/>
      <c r="K145" s="25">
        <f>IF(OR(M145=0,C145=""),"",IF(ISNUMBER(C145),MOD(C145,1),IFERROR(INDEX('القوائم'!$B$1:$B$288,MATCH(TRIM(C145),'القوائم'!$A$1:$A$288,0)),IFERROR(MOD(TIMEVALUE(C145),1),""))))</f>
        <v/>
      </c>
      <c r="L145" s="25">
        <f>IF(OR(M145=0,D145=""),"",IF(ISNUMBER(D145),MOD(D145,1),IFERROR(INDEX('القوائم'!$B$1:$B$288,MATCH(TRIM(D145),'القوائم'!$A$1:$A$288,0)),IFERROR(MOD(TIMEVALUE(D145),1),""))))</f>
        <v/>
      </c>
      <c r="M145">
        <f>M138</f>
        <v/>
      </c>
      <c r="Q145">
        <f>IF(N(F148)&gt;0,1,0)</f>
        <v/>
      </c>
    </row>
    <row r="146">
      <c r="A146" s="28">
        <f>IF(M138=1,"مجموع أيام الأسبوع 13","")</f>
        <v/>
      </c>
      <c r="B146" s="28" t="n"/>
      <c r="C146" s="28" t="n"/>
      <c r="D146" s="28" t="n"/>
      <c r="E146" s="29">
        <f>IF(M138=1,SUM(E139:E145),"")</f>
        <v/>
      </c>
      <c r="F146" s="30">
        <f>IF(M138=1,SUM(F139:F145),"")</f>
        <v/>
      </c>
      <c r="G146" s="41">
        <f>IF(M138=1,SUMIFS(F139:F145,G139:G145,"نعم"),"")</f>
        <v/>
      </c>
      <c r="H146" s="28" t="n"/>
    </row>
    <row r="147" ht="32" customHeight="1">
      <c r="A147" s="28">
        <f>IF(M138=1,"ساعات تحميل الجبسمبورد بهالأسبوع (رقم: 2 أو 1.5) ←","")</f>
        <v/>
      </c>
      <c r="E147" s="31" t="n"/>
      <c r="F147" s="33">
        <f>IF(M138=1,N(F146)+IF(ROUND_MODE="للأعلى",CEILING(ROUND((N(E147)*($P$138-$N$138)),3),0.25),ROUND((N(E147)*($P$138-$N$138))*4,0)/4),"")</f>
        <v/>
      </c>
      <c r="G147" s="32">
        <f>IF(M138=1,"← المستحق النهائي للأسبوع (دينار) مع فرق الجبسمبورد","")</f>
        <v/>
      </c>
    </row>
    <row r="148" ht="26" customHeight="1">
      <c r="A148" s="28">
        <f>IF(M138=1,"إكرامية الأسبوع ←","")</f>
        <v/>
      </c>
      <c r="C148" s="35" t="n"/>
      <c r="D148" s="28">
        <f>IF(M138=1,"المدفوع يوم الجمعة (التسوية) ←","")</f>
        <v/>
      </c>
      <c r="F148" s="35" t="n"/>
      <c r="G148" s="36">
        <f>IF(M138=1,IF(N(F148)&gt;0,"✔ انقبض — الأسبوع مقفول","⏳ لسا ما انقبض"),"")</f>
        <v/>
      </c>
    </row>
    <row r="149" ht="26" customHeight="1">
      <c r="A149" s="40">
        <f>IF(14&lt;=NW,"الأسبوع 14 · السبت "&amp;TEXT(DAY(SAT1+91),"00")&amp;"/"&amp;TEXT(MONTH(SAT1+91),"00")&amp;" ← الجمعة "&amp;TEXT(DAY(SAT1+97),"00")&amp;"/"&amp;TEXT(MONTH(SAT1+97),"00")&amp;" (يوم القبض)"&amp;IF(14&lt;START_Z,"   — قبل أسبوع البداية (ما بينحسب)",""),"ما في أسبوع 14 هالسنة")</f>
        <v/>
      </c>
      <c r="L149" s="19">
        <f>IF(14&lt;=NW,SAT1+97,"")</f>
        <v/>
      </c>
      <c r="M149">
        <f>IF(AND(14&lt;=NW,14&gt;=START_Z),1,0)</f>
        <v/>
      </c>
      <c r="N149">
        <f>IFERROR(INDEX(RT_AZZ,MATCH(L149,RT_K,1)),INDEX(RT_AZZ,1))</f>
        <v/>
      </c>
      <c r="P149">
        <f>IFERROR(INDEX(RT_GYP,MATCH(L149,RT_K,1)),INDEX(RT_GYP,1))</f>
        <v/>
      </c>
    </row>
    <row r="150">
      <c r="A150" s="20">
        <f>IF(14&lt;=NW,SAT1+91,"")</f>
        <v/>
      </c>
      <c r="B150" s="21">
        <f>IF(A150="","",CHOOSE(WEEKDAY(A150,1),"الأحد","الاثنين","الثلاثاء","الأربعاء","الخميس","الجمعة","السبت"))</f>
        <v/>
      </c>
      <c r="C150" s="22" t="n"/>
      <c r="D150" s="22" t="n"/>
      <c r="E150" s="23">
        <f>IF(OR(M150=0,K150="",L150=""),"",MOD(L150-K150,1))</f>
        <v/>
      </c>
      <c r="F150" s="24">
        <f>IF(OR(E150="",M150=0),"",IF(ROUND_MODE="للأعلى",CEILING(ROUND((E150*24*$N$149),3),0.25),ROUND((E150*24*$N$149)*4,0)/4))</f>
        <v/>
      </c>
      <c r="G150" s="22" t="n"/>
      <c r="H150" s="22" t="n"/>
      <c r="K150" s="25">
        <f>IF(OR(M150=0,C150=""),"",IF(ISNUMBER(C150),MOD(C150,1),IFERROR(INDEX('القوائم'!$B$1:$B$288,MATCH(TRIM(C150),'القوائم'!$A$1:$A$288,0)),IFERROR(MOD(TIMEVALUE(C150),1),""))))</f>
        <v/>
      </c>
      <c r="L150" s="25">
        <f>IF(OR(M150=0,D150=""),"",IF(ISNUMBER(D150),MOD(D150,1),IFERROR(INDEX('القوائم'!$B$1:$B$288,MATCH(TRIM(D150),'القوائم'!$A$1:$A$288,0)),IFERROR(MOD(TIMEVALUE(D150),1),""))))</f>
        <v/>
      </c>
      <c r="M150">
        <f>M149</f>
        <v/>
      </c>
      <c r="Q150">
        <f>IF(N(F159)&gt;0,1,0)</f>
        <v/>
      </c>
    </row>
    <row r="151">
      <c r="A151" s="20">
        <f>IF(14&lt;=NW,SAT1+92,"")</f>
        <v/>
      </c>
      <c r="B151" s="21">
        <f>IF(A151="","",CHOOSE(WEEKDAY(A151,1),"الأحد","الاثنين","الثلاثاء","الأربعاء","الخميس","الجمعة","السبت"))</f>
        <v/>
      </c>
      <c r="C151" s="22" t="n"/>
      <c r="D151" s="22" t="n"/>
      <c r="E151" s="23">
        <f>IF(OR(M151=0,K151="",L151=""),"",MOD(L151-K151,1))</f>
        <v/>
      </c>
      <c r="F151" s="24">
        <f>IF(OR(E151="",M151=0),"",IF(ROUND_MODE="للأعلى",CEILING(ROUND((E151*24*$N$149),3),0.25),ROUND((E151*24*$N$149)*4,0)/4))</f>
        <v/>
      </c>
      <c r="G151" s="22" t="n"/>
      <c r="H151" s="22" t="n"/>
      <c r="K151" s="25">
        <f>IF(OR(M151=0,C151=""),"",IF(ISNUMBER(C151),MOD(C151,1),IFERROR(INDEX('القوائم'!$B$1:$B$288,MATCH(TRIM(C151),'القوائم'!$A$1:$A$288,0)),IFERROR(MOD(TIMEVALUE(C151),1),""))))</f>
        <v/>
      </c>
      <c r="L151" s="25">
        <f>IF(OR(M151=0,D151=""),"",IF(ISNUMBER(D151),MOD(D151,1),IFERROR(INDEX('القوائم'!$B$1:$B$288,MATCH(TRIM(D151),'القوائم'!$A$1:$A$288,0)),IFERROR(MOD(TIMEVALUE(D151),1),""))))</f>
        <v/>
      </c>
      <c r="M151">
        <f>M149</f>
        <v/>
      </c>
      <c r="Q151">
        <f>IF(N(F159)&gt;0,1,0)</f>
        <v/>
      </c>
    </row>
    <row r="152">
      <c r="A152" s="20">
        <f>IF(14&lt;=NW,SAT1+93,"")</f>
        <v/>
      </c>
      <c r="B152" s="21">
        <f>IF(A152="","",CHOOSE(WEEKDAY(A152,1),"الأحد","الاثنين","الثلاثاء","الأربعاء","الخميس","الجمعة","السبت"))</f>
        <v/>
      </c>
      <c r="C152" s="22" t="n"/>
      <c r="D152" s="22" t="n"/>
      <c r="E152" s="23">
        <f>IF(OR(M152=0,K152="",L152=""),"",MOD(L152-K152,1))</f>
        <v/>
      </c>
      <c r="F152" s="24">
        <f>IF(OR(E152="",M152=0),"",IF(ROUND_MODE="للأعلى",CEILING(ROUND((E152*24*$N$149),3),0.25),ROUND((E152*24*$N$149)*4,0)/4))</f>
        <v/>
      </c>
      <c r="G152" s="22" t="n"/>
      <c r="H152" s="22" t="n"/>
      <c r="K152" s="25">
        <f>IF(OR(M152=0,C152=""),"",IF(ISNUMBER(C152),MOD(C152,1),IFERROR(INDEX('القوائم'!$B$1:$B$288,MATCH(TRIM(C152),'القوائم'!$A$1:$A$288,0)),IFERROR(MOD(TIMEVALUE(C152),1),""))))</f>
        <v/>
      </c>
      <c r="L152" s="25">
        <f>IF(OR(M152=0,D152=""),"",IF(ISNUMBER(D152),MOD(D152,1),IFERROR(INDEX('القوائم'!$B$1:$B$288,MATCH(TRIM(D152),'القوائم'!$A$1:$A$288,0)),IFERROR(MOD(TIMEVALUE(D152),1),""))))</f>
        <v/>
      </c>
      <c r="M152">
        <f>M149</f>
        <v/>
      </c>
      <c r="Q152">
        <f>IF(N(F159)&gt;0,1,0)</f>
        <v/>
      </c>
    </row>
    <row r="153">
      <c r="A153" s="20">
        <f>IF(14&lt;=NW,SAT1+94,"")</f>
        <v/>
      </c>
      <c r="B153" s="21">
        <f>IF(A153="","",CHOOSE(WEEKDAY(A153,1),"الأحد","الاثنين","الثلاثاء","الأربعاء","الخميس","الجمعة","السبت"))</f>
        <v/>
      </c>
      <c r="C153" s="22" t="n"/>
      <c r="D153" s="22" t="n"/>
      <c r="E153" s="23">
        <f>IF(OR(M153=0,K153="",L153=""),"",MOD(L153-K153,1))</f>
        <v/>
      </c>
      <c r="F153" s="24">
        <f>IF(OR(E153="",M153=0),"",IF(ROUND_MODE="للأعلى",CEILING(ROUND((E153*24*$N$149),3),0.25),ROUND((E153*24*$N$149)*4,0)/4))</f>
        <v/>
      </c>
      <c r="G153" s="22" t="n"/>
      <c r="H153" s="22" t="n"/>
      <c r="K153" s="25">
        <f>IF(OR(M153=0,C153=""),"",IF(ISNUMBER(C153),MOD(C153,1),IFERROR(INDEX('القوائم'!$B$1:$B$288,MATCH(TRIM(C153),'القوائم'!$A$1:$A$288,0)),IFERROR(MOD(TIMEVALUE(C153),1),""))))</f>
        <v/>
      </c>
      <c r="L153" s="25">
        <f>IF(OR(M153=0,D153=""),"",IF(ISNUMBER(D153),MOD(D153,1),IFERROR(INDEX('القوائم'!$B$1:$B$288,MATCH(TRIM(D153),'القوائم'!$A$1:$A$288,0)),IFERROR(MOD(TIMEVALUE(D153),1),""))))</f>
        <v/>
      </c>
      <c r="M153">
        <f>M149</f>
        <v/>
      </c>
      <c r="Q153">
        <f>IF(N(F159)&gt;0,1,0)</f>
        <v/>
      </c>
    </row>
    <row r="154">
      <c r="A154" s="20">
        <f>IF(14&lt;=NW,SAT1+95,"")</f>
        <v/>
      </c>
      <c r="B154" s="21">
        <f>IF(A154="","",CHOOSE(WEEKDAY(A154,1),"الأحد","الاثنين","الثلاثاء","الأربعاء","الخميس","الجمعة","السبت"))</f>
        <v/>
      </c>
      <c r="C154" s="22" t="n"/>
      <c r="D154" s="22" t="n"/>
      <c r="E154" s="23">
        <f>IF(OR(M154=0,K154="",L154=""),"",MOD(L154-K154,1))</f>
        <v/>
      </c>
      <c r="F154" s="24">
        <f>IF(OR(E154="",M154=0),"",IF(ROUND_MODE="للأعلى",CEILING(ROUND((E154*24*$N$149),3),0.25),ROUND((E154*24*$N$149)*4,0)/4))</f>
        <v/>
      </c>
      <c r="G154" s="22" t="n"/>
      <c r="H154" s="22" t="n"/>
      <c r="K154" s="25">
        <f>IF(OR(M154=0,C154=""),"",IF(ISNUMBER(C154),MOD(C154,1),IFERROR(INDEX('القوائم'!$B$1:$B$288,MATCH(TRIM(C154),'القوائم'!$A$1:$A$288,0)),IFERROR(MOD(TIMEVALUE(C154),1),""))))</f>
        <v/>
      </c>
      <c r="L154" s="25">
        <f>IF(OR(M154=0,D154=""),"",IF(ISNUMBER(D154),MOD(D154,1),IFERROR(INDEX('القوائم'!$B$1:$B$288,MATCH(TRIM(D154),'القوائم'!$A$1:$A$288,0)),IFERROR(MOD(TIMEVALUE(D154),1),""))))</f>
        <v/>
      </c>
      <c r="M154">
        <f>M149</f>
        <v/>
      </c>
      <c r="Q154">
        <f>IF(N(F159)&gt;0,1,0)</f>
        <v/>
      </c>
    </row>
    <row r="155">
      <c r="A155" s="20">
        <f>IF(14&lt;=NW,SAT1+96,"")</f>
        <v/>
      </c>
      <c r="B155" s="21">
        <f>IF(A155="","",CHOOSE(WEEKDAY(A155,1),"الأحد","الاثنين","الثلاثاء","الأربعاء","الخميس","الجمعة","السبت"))</f>
        <v/>
      </c>
      <c r="C155" s="22" t="n"/>
      <c r="D155" s="22" t="n"/>
      <c r="E155" s="23">
        <f>IF(OR(M155=0,K155="",L155=""),"",MOD(L155-K155,1))</f>
        <v/>
      </c>
      <c r="F155" s="24">
        <f>IF(OR(E155="",M155=0),"",IF(ROUND_MODE="للأعلى",CEILING(ROUND((E155*24*$N$149),3),0.25),ROUND((E155*24*$N$149)*4,0)/4))</f>
        <v/>
      </c>
      <c r="G155" s="22" t="n"/>
      <c r="H155" s="22" t="n"/>
      <c r="K155" s="25">
        <f>IF(OR(M155=0,C155=""),"",IF(ISNUMBER(C155),MOD(C155,1),IFERROR(INDEX('القوائم'!$B$1:$B$288,MATCH(TRIM(C155),'القوائم'!$A$1:$A$288,0)),IFERROR(MOD(TIMEVALUE(C155),1),""))))</f>
        <v/>
      </c>
      <c r="L155" s="25">
        <f>IF(OR(M155=0,D155=""),"",IF(ISNUMBER(D155),MOD(D155,1),IFERROR(INDEX('القوائم'!$B$1:$B$288,MATCH(TRIM(D155),'القوائم'!$A$1:$A$288,0)),IFERROR(MOD(TIMEVALUE(D155),1),""))))</f>
        <v/>
      </c>
      <c r="M155">
        <f>M149</f>
        <v/>
      </c>
      <c r="Q155">
        <f>IF(N(F159)&gt;0,1,0)</f>
        <v/>
      </c>
    </row>
    <row r="156">
      <c r="A156" s="26">
        <f>IF(14&lt;=NW,SAT1+97,"")</f>
        <v/>
      </c>
      <c r="B156" s="27">
        <f>IF(A156="","",CHOOSE(WEEKDAY(A156,1),"الأحد","الاثنين","الثلاثاء","الأربعاء","الخميس","الجمعة","السبت"))</f>
        <v/>
      </c>
      <c r="C156" s="22" t="n"/>
      <c r="D156" s="22" t="n"/>
      <c r="E156" s="23">
        <f>IF(OR(M156=0,K156="",L156=""),"",MOD(L156-K156,1))</f>
        <v/>
      </c>
      <c r="F156" s="24">
        <f>IF(OR(E156="",M156=0),"",IF(ROUND_MODE="للأعلى",CEILING(ROUND((E156*24*$N$149),3),0.25),ROUND((E156*24*$N$149)*4,0)/4))</f>
        <v/>
      </c>
      <c r="G156" s="22" t="n"/>
      <c r="H156" s="22" t="n"/>
      <c r="K156" s="25">
        <f>IF(OR(M156=0,C156=""),"",IF(ISNUMBER(C156),MOD(C156,1),IFERROR(INDEX('القوائم'!$B$1:$B$288,MATCH(TRIM(C156),'القوائم'!$A$1:$A$288,0)),IFERROR(MOD(TIMEVALUE(C156),1),""))))</f>
        <v/>
      </c>
      <c r="L156" s="25">
        <f>IF(OR(M156=0,D156=""),"",IF(ISNUMBER(D156),MOD(D156,1),IFERROR(INDEX('القوائم'!$B$1:$B$288,MATCH(TRIM(D156),'القوائم'!$A$1:$A$288,0)),IFERROR(MOD(TIMEVALUE(D156),1),""))))</f>
        <v/>
      </c>
      <c r="M156">
        <f>M149</f>
        <v/>
      </c>
      <c r="Q156">
        <f>IF(N(F159)&gt;0,1,0)</f>
        <v/>
      </c>
    </row>
    <row r="157">
      <c r="A157" s="28">
        <f>IF(M149=1,"مجموع أيام الأسبوع 14","")</f>
        <v/>
      </c>
      <c r="B157" s="28" t="n"/>
      <c r="C157" s="28" t="n"/>
      <c r="D157" s="28" t="n"/>
      <c r="E157" s="29">
        <f>IF(M149=1,SUM(E150:E156),"")</f>
        <v/>
      </c>
      <c r="F157" s="30">
        <f>IF(M149=1,SUM(F150:F156),"")</f>
        <v/>
      </c>
      <c r="G157" s="41">
        <f>IF(M149=1,SUMIFS(F150:F156,G150:G156,"نعم"),"")</f>
        <v/>
      </c>
      <c r="H157" s="28" t="n"/>
    </row>
    <row r="158" ht="32" customHeight="1">
      <c r="A158" s="28">
        <f>IF(M149=1,"ساعات تحميل الجبسمبورد بهالأسبوع (رقم: 2 أو 1.5) ←","")</f>
        <v/>
      </c>
      <c r="E158" s="31" t="n"/>
      <c r="F158" s="33">
        <f>IF(M149=1,N(F157)+IF(ROUND_MODE="للأعلى",CEILING(ROUND((N(E158)*($P$149-$N$149)),3),0.25),ROUND((N(E158)*($P$149-$N$149))*4,0)/4),"")</f>
        <v/>
      </c>
      <c r="G158" s="32">
        <f>IF(M149=1,"← المستحق النهائي للأسبوع (دينار) مع فرق الجبسمبورد","")</f>
        <v/>
      </c>
    </row>
    <row r="159" ht="26" customHeight="1">
      <c r="A159" s="28">
        <f>IF(M149=1,"إكرامية الأسبوع ←","")</f>
        <v/>
      </c>
      <c r="C159" s="35" t="n"/>
      <c r="D159" s="28">
        <f>IF(M149=1,"المدفوع يوم الجمعة (التسوية) ←","")</f>
        <v/>
      </c>
      <c r="F159" s="35" t="n"/>
      <c r="G159" s="36">
        <f>IF(M149=1,IF(N(F159)&gt;0,"✔ انقبض — الأسبوع مقفول","⏳ لسا ما انقبض"),"")</f>
        <v/>
      </c>
    </row>
    <row r="160" ht="26" customHeight="1">
      <c r="A160" s="40">
        <f>IF(15&lt;=NW,"الأسبوع 15 · السبت "&amp;TEXT(DAY(SAT1+98),"00")&amp;"/"&amp;TEXT(MONTH(SAT1+98),"00")&amp;" ← الجمعة "&amp;TEXT(DAY(SAT1+104),"00")&amp;"/"&amp;TEXT(MONTH(SAT1+104),"00")&amp;" (يوم القبض)"&amp;IF(15&lt;START_Z,"   — قبل أسبوع البداية (ما بينحسب)",""),"ما في أسبوع 15 هالسنة")</f>
        <v/>
      </c>
      <c r="L160" s="19">
        <f>IF(15&lt;=NW,SAT1+104,"")</f>
        <v/>
      </c>
      <c r="M160">
        <f>IF(AND(15&lt;=NW,15&gt;=START_Z),1,0)</f>
        <v/>
      </c>
      <c r="N160">
        <f>IFERROR(INDEX(RT_AZZ,MATCH(L160,RT_K,1)),INDEX(RT_AZZ,1))</f>
        <v/>
      </c>
      <c r="P160">
        <f>IFERROR(INDEX(RT_GYP,MATCH(L160,RT_K,1)),INDEX(RT_GYP,1))</f>
        <v/>
      </c>
    </row>
    <row r="161">
      <c r="A161" s="20">
        <f>IF(15&lt;=NW,SAT1+98,"")</f>
        <v/>
      </c>
      <c r="B161" s="21">
        <f>IF(A161="","",CHOOSE(WEEKDAY(A161,1),"الأحد","الاثنين","الثلاثاء","الأربعاء","الخميس","الجمعة","السبت"))</f>
        <v/>
      </c>
      <c r="C161" s="22" t="n"/>
      <c r="D161" s="22" t="n"/>
      <c r="E161" s="23">
        <f>IF(OR(M161=0,K161="",L161=""),"",MOD(L161-K161,1))</f>
        <v/>
      </c>
      <c r="F161" s="24">
        <f>IF(OR(E161="",M161=0),"",IF(ROUND_MODE="للأعلى",CEILING(ROUND((E161*24*$N$160),3),0.25),ROUND((E161*24*$N$160)*4,0)/4))</f>
        <v/>
      </c>
      <c r="G161" s="22" t="n"/>
      <c r="H161" s="22" t="n"/>
      <c r="K161" s="25">
        <f>IF(OR(M161=0,C161=""),"",IF(ISNUMBER(C161),MOD(C161,1),IFERROR(INDEX('القوائم'!$B$1:$B$288,MATCH(TRIM(C161),'القوائم'!$A$1:$A$288,0)),IFERROR(MOD(TIMEVALUE(C161),1),""))))</f>
        <v/>
      </c>
      <c r="L161" s="25">
        <f>IF(OR(M161=0,D161=""),"",IF(ISNUMBER(D161),MOD(D161,1),IFERROR(INDEX('القوائم'!$B$1:$B$288,MATCH(TRIM(D161),'القوائم'!$A$1:$A$288,0)),IFERROR(MOD(TIMEVALUE(D161),1),""))))</f>
        <v/>
      </c>
      <c r="M161">
        <f>M160</f>
        <v/>
      </c>
      <c r="Q161">
        <f>IF(N(F170)&gt;0,1,0)</f>
        <v/>
      </c>
    </row>
    <row r="162">
      <c r="A162" s="20">
        <f>IF(15&lt;=NW,SAT1+99,"")</f>
        <v/>
      </c>
      <c r="B162" s="21">
        <f>IF(A162="","",CHOOSE(WEEKDAY(A162,1),"الأحد","الاثنين","الثلاثاء","الأربعاء","الخميس","الجمعة","السبت"))</f>
        <v/>
      </c>
      <c r="C162" s="22" t="n"/>
      <c r="D162" s="22" t="n"/>
      <c r="E162" s="23">
        <f>IF(OR(M162=0,K162="",L162=""),"",MOD(L162-K162,1))</f>
        <v/>
      </c>
      <c r="F162" s="24">
        <f>IF(OR(E162="",M162=0),"",IF(ROUND_MODE="للأعلى",CEILING(ROUND((E162*24*$N$160),3),0.25),ROUND((E162*24*$N$160)*4,0)/4))</f>
        <v/>
      </c>
      <c r="G162" s="22" t="n"/>
      <c r="H162" s="22" t="n"/>
      <c r="K162" s="25">
        <f>IF(OR(M162=0,C162=""),"",IF(ISNUMBER(C162),MOD(C162,1),IFERROR(INDEX('القوائم'!$B$1:$B$288,MATCH(TRIM(C162),'القوائم'!$A$1:$A$288,0)),IFERROR(MOD(TIMEVALUE(C162),1),""))))</f>
        <v/>
      </c>
      <c r="L162" s="25">
        <f>IF(OR(M162=0,D162=""),"",IF(ISNUMBER(D162),MOD(D162,1),IFERROR(INDEX('القوائم'!$B$1:$B$288,MATCH(TRIM(D162),'القوائم'!$A$1:$A$288,0)),IFERROR(MOD(TIMEVALUE(D162),1),""))))</f>
        <v/>
      </c>
      <c r="M162">
        <f>M160</f>
        <v/>
      </c>
      <c r="Q162">
        <f>IF(N(F170)&gt;0,1,0)</f>
        <v/>
      </c>
    </row>
    <row r="163">
      <c r="A163" s="20">
        <f>IF(15&lt;=NW,SAT1+100,"")</f>
        <v/>
      </c>
      <c r="B163" s="21">
        <f>IF(A163="","",CHOOSE(WEEKDAY(A163,1),"الأحد","الاثنين","الثلاثاء","الأربعاء","الخميس","الجمعة","السبت"))</f>
        <v/>
      </c>
      <c r="C163" s="22" t="n"/>
      <c r="D163" s="22" t="n"/>
      <c r="E163" s="23">
        <f>IF(OR(M163=0,K163="",L163=""),"",MOD(L163-K163,1))</f>
        <v/>
      </c>
      <c r="F163" s="24">
        <f>IF(OR(E163="",M163=0),"",IF(ROUND_MODE="للأعلى",CEILING(ROUND((E163*24*$N$160),3),0.25),ROUND((E163*24*$N$160)*4,0)/4))</f>
        <v/>
      </c>
      <c r="G163" s="22" t="n"/>
      <c r="H163" s="22" t="n"/>
      <c r="K163" s="25">
        <f>IF(OR(M163=0,C163=""),"",IF(ISNUMBER(C163),MOD(C163,1),IFERROR(INDEX('القوائم'!$B$1:$B$288,MATCH(TRIM(C163),'القوائم'!$A$1:$A$288,0)),IFERROR(MOD(TIMEVALUE(C163),1),""))))</f>
        <v/>
      </c>
      <c r="L163" s="25">
        <f>IF(OR(M163=0,D163=""),"",IF(ISNUMBER(D163),MOD(D163,1),IFERROR(INDEX('القوائم'!$B$1:$B$288,MATCH(TRIM(D163),'القوائم'!$A$1:$A$288,0)),IFERROR(MOD(TIMEVALUE(D163),1),""))))</f>
        <v/>
      </c>
      <c r="M163">
        <f>M160</f>
        <v/>
      </c>
      <c r="Q163">
        <f>IF(N(F170)&gt;0,1,0)</f>
        <v/>
      </c>
    </row>
    <row r="164">
      <c r="A164" s="20">
        <f>IF(15&lt;=NW,SAT1+101,"")</f>
        <v/>
      </c>
      <c r="B164" s="21">
        <f>IF(A164="","",CHOOSE(WEEKDAY(A164,1),"الأحد","الاثنين","الثلاثاء","الأربعاء","الخميس","الجمعة","السبت"))</f>
        <v/>
      </c>
      <c r="C164" s="22" t="n"/>
      <c r="D164" s="22" t="n"/>
      <c r="E164" s="23">
        <f>IF(OR(M164=0,K164="",L164=""),"",MOD(L164-K164,1))</f>
        <v/>
      </c>
      <c r="F164" s="24">
        <f>IF(OR(E164="",M164=0),"",IF(ROUND_MODE="للأعلى",CEILING(ROUND((E164*24*$N$160),3),0.25),ROUND((E164*24*$N$160)*4,0)/4))</f>
        <v/>
      </c>
      <c r="G164" s="22" t="n"/>
      <c r="H164" s="22" t="n"/>
      <c r="K164" s="25">
        <f>IF(OR(M164=0,C164=""),"",IF(ISNUMBER(C164),MOD(C164,1),IFERROR(INDEX('القوائم'!$B$1:$B$288,MATCH(TRIM(C164),'القوائم'!$A$1:$A$288,0)),IFERROR(MOD(TIMEVALUE(C164),1),""))))</f>
        <v/>
      </c>
      <c r="L164" s="25">
        <f>IF(OR(M164=0,D164=""),"",IF(ISNUMBER(D164),MOD(D164,1),IFERROR(INDEX('القوائم'!$B$1:$B$288,MATCH(TRIM(D164),'القوائم'!$A$1:$A$288,0)),IFERROR(MOD(TIMEVALUE(D164),1),""))))</f>
        <v/>
      </c>
      <c r="M164">
        <f>M160</f>
        <v/>
      </c>
      <c r="Q164">
        <f>IF(N(F170)&gt;0,1,0)</f>
        <v/>
      </c>
    </row>
    <row r="165">
      <c r="A165" s="20">
        <f>IF(15&lt;=NW,SAT1+102,"")</f>
        <v/>
      </c>
      <c r="B165" s="21">
        <f>IF(A165="","",CHOOSE(WEEKDAY(A165,1),"الأحد","الاثنين","الثلاثاء","الأربعاء","الخميس","الجمعة","السبت"))</f>
        <v/>
      </c>
      <c r="C165" s="22" t="n"/>
      <c r="D165" s="22" t="n"/>
      <c r="E165" s="23">
        <f>IF(OR(M165=0,K165="",L165=""),"",MOD(L165-K165,1))</f>
        <v/>
      </c>
      <c r="F165" s="24">
        <f>IF(OR(E165="",M165=0),"",IF(ROUND_MODE="للأعلى",CEILING(ROUND((E165*24*$N$160),3),0.25),ROUND((E165*24*$N$160)*4,0)/4))</f>
        <v/>
      </c>
      <c r="G165" s="22" t="n"/>
      <c r="H165" s="22" t="n"/>
      <c r="K165" s="25">
        <f>IF(OR(M165=0,C165=""),"",IF(ISNUMBER(C165),MOD(C165,1),IFERROR(INDEX('القوائم'!$B$1:$B$288,MATCH(TRIM(C165),'القوائم'!$A$1:$A$288,0)),IFERROR(MOD(TIMEVALUE(C165),1),""))))</f>
        <v/>
      </c>
      <c r="L165" s="25">
        <f>IF(OR(M165=0,D165=""),"",IF(ISNUMBER(D165),MOD(D165,1),IFERROR(INDEX('القوائم'!$B$1:$B$288,MATCH(TRIM(D165),'القوائم'!$A$1:$A$288,0)),IFERROR(MOD(TIMEVALUE(D165),1),""))))</f>
        <v/>
      </c>
      <c r="M165">
        <f>M160</f>
        <v/>
      </c>
      <c r="Q165">
        <f>IF(N(F170)&gt;0,1,0)</f>
        <v/>
      </c>
    </row>
    <row r="166">
      <c r="A166" s="20">
        <f>IF(15&lt;=NW,SAT1+103,"")</f>
        <v/>
      </c>
      <c r="B166" s="21">
        <f>IF(A166="","",CHOOSE(WEEKDAY(A166,1),"الأحد","الاثنين","الثلاثاء","الأربعاء","الخميس","الجمعة","السبت"))</f>
        <v/>
      </c>
      <c r="C166" s="22" t="n"/>
      <c r="D166" s="22" t="n"/>
      <c r="E166" s="23">
        <f>IF(OR(M166=0,K166="",L166=""),"",MOD(L166-K166,1))</f>
        <v/>
      </c>
      <c r="F166" s="24">
        <f>IF(OR(E166="",M166=0),"",IF(ROUND_MODE="للأعلى",CEILING(ROUND((E166*24*$N$160),3),0.25),ROUND((E166*24*$N$160)*4,0)/4))</f>
        <v/>
      </c>
      <c r="G166" s="22" t="n"/>
      <c r="H166" s="22" t="n"/>
      <c r="K166" s="25">
        <f>IF(OR(M166=0,C166=""),"",IF(ISNUMBER(C166),MOD(C166,1),IFERROR(INDEX('القوائم'!$B$1:$B$288,MATCH(TRIM(C166),'القوائم'!$A$1:$A$288,0)),IFERROR(MOD(TIMEVALUE(C166),1),""))))</f>
        <v/>
      </c>
      <c r="L166" s="25">
        <f>IF(OR(M166=0,D166=""),"",IF(ISNUMBER(D166),MOD(D166,1),IFERROR(INDEX('القوائم'!$B$1:$B$288,MATCH(TRIM(D166),'القوائم'!$A$1:$A$288,0)),IFERROR(MOD(TIMEVALUE(D166),1),""))))</f>
        <v/>
      </c>
      <c r="M166">
        <f>M160</f>
        <v/>
      </c>
      <c r="Q166">
        <f>IF(N(F170)&gt;0,1,0)</f>
        <v/>
      </c>
    </row>
    <row r="167">
      <c r="A167" s="26">
        <f>IF(15&lt;=NW,SAT1+104,"")</f>
        <v/>
      </c>
      <c r="B167" s="27">
        <f>IF(A167="","",CHOOSE(WEEKDAY(A167,1),"الأحد","الاثنين","الثلاثاء","الأربعاء","الخميس","الجمعة","السبت"))</f>
        <v/>
      </c>
      <c r="C167" s="22" t="n"/>
      <c r="D167" s="22" t="n"/>
      <c r="E167" s="23">
        <f>IF(OR(M167=0,K167="",L167=""),"",MOD(L167-K167,1))</f>
        <v/>
      </c>
      <c r="F167" s="24">
        <f>IF(OR(E167="",M167=0),"",IF(ROUND_MODE="للأعلى",CEILING(ROUND((E167*24*$N$160),3),0.25),ROUND((E167*24*$N$160)*4,0)/4))</f>
        <v/>
      </c>
      <c r="G167" s="22" t="n"/>
      <c r="H167" s="22" t="n"/>
      <c r="K167" s="25">
        <f>IF(OR(M167=0,C167=""),"",IF(ISNUMBER(C167),MOD(C167,1),IFERROR(INDEX('القوائم'!$B$1:$B$288,MATCH(TRIM(C167),'القوائم'!$A$1:$A$288,0)),IFERROR(MOD(TIMEVALUE(C167),1),""))))</f>
        <v/>
      </c>
      <c r="L167" s="25">
        <f>IF(OR(M167=0,D167=""),"",IF(ISNUMBER(D167),MOD(D167,1),IFERROR(INDEX('القوائم'!$B$1:$B$288,MATCH(TRIM(D167),'القوائم'!$A$1:$A$288,0)),IFERROR(MOD(TIMEVALUE(D167),1),""))))</f>
        <v/>
      </c>
      <c r="M167">
        <f>M160</f>
        <v/>
      </c>
      <c r="Q167">
        <f>IF(N(F170)&gt;0,1,0)</f>
        <v/>
      </c>
    </row>
    <row r="168">
      <c r="A168" s="28">
        <f>IF(M160=1,"مجموع أيام الأسبوع 15","")</f>
        <v/>
      </c>
      <c r="B168" s="28" t="n"/>
      <c r="C168" s="28" t="n"/>
      <c r="D168" s="28" t="n"/>
      <c r="E168" s="29">
        <f>IF(M160=1,SUM(E161:E167),"")</f>
        <v/>
      </c>
      <c r="F168" s="30">
        <f>IF(M160=1,SUM(F161:F167),"")</f>
        <v/>
      </c>
      <c r="G168" s="41">
        <f>IF(M160=1,SUMIFS(F161:F167,G161:G167,"نعم"),"")</f>
        <v/>
      </c>
      <c r="H168" s="28" t="n"/>
    </row>
    <row r="169" ht="32" customHeight="1">
      <c r="A169" s="28">
        <f>IF(M160=1,"ساعات تحميل الجبسمبورد بهالأسبوع (رقم: 2 أو 1.5) ←","")</f>
        <v/>
      </c>
      <c r="E169" s="31" t="n"/>
      <c r="F169" s="33">
        <f>IF(M160=1,N(F168)+IF(ROUND_MODE="للأعلى",CEILING(ROUND((N(E169)*($P$160-$N$160)),3),0.25),ROUND((N(E169)*($P$160-$N$160))*4,0)/4),"")</f>
        <v/>
      </c>
      <c r="G169" s="32">
        <f>IF(M160=1,"← المستحق النهائي للأسبوع (دينار) مع فرق الجبسمبورد","")</f>
        <v/>
      </c>
    </row>
    <row r="170" ht="26" customHeight="1">
      <c r="A170" s="28">
        <f>IF(M160=1,"إكرامية الأسبوع ←","")</f>
        <v/>
      </c>
      <c r="C170" s="35" t="n"/>
      <c r="D170" s="28">
        <f>IF(M160=1,"المدفوع يوم الجمعة (التسوية) ←","")</f>
        <v/>
      </c>
      <c r="F170" s="35" t="n"/>
      <c r="G170" s="36">
        <f>IF(M160=1,IF(N(F170)&gt;0,"✔ انقبض — الأسبوع مقفول","⏳ لسا ما انقبض"),"")</f>
        <v/>
      </c>
    </row>
    <row r="171" ht="26" customHeight="1">
      <c r="A171" s="40">
        <f>IF(16&lt;=NW,"الأسبوع 16 · السبت "&amp;TEXT(DAY(SAT1+105),"00")&amp;"/"&amp;TEXT(MONTH(SAT1+105),"00")&amp;" ← الجمعة "&amp;TEXT(DAY(SAT1+111),"00")&amp;"/"&amp;TEXT(MONTH(SAT1+111),"00")&amp;" (يوم القبض)"&amp;IF(16&lt;START_Z,"   — قبل أسبوع البداية (ما بينحسب)",""),"ما في أسبوع 16 هالسنة")</f>
        <v/>
      </c>
      <c r="L171" s="19">
        <f>IF(16&lt;=NW,SAT1+111,"")</f>
        <v/>
      </c>
      <c r="M171">
        <f>IF(AND(16&lt;=NW,16&gt;=START_Z),1,0)</f>
        <v/>
      </c>
      <c r="N171">
        <f>IFERROR(INDEX(RT_AZZ,MATCH(L171,RT_K,1)),INDEX(RT_AZZ,1))</f>
        <v/>
      </c>
      <c r="P171">
        <f>IFERROR(INDEX(RT_GYP,MATCH(L171,RT_K,1)),INDEX(RT_GYP,1))</f>
        <v/>
      </c>
    </row>
    <row r="172">
      <c r="A172" s="20">
        <f>IF(16&lt;=NW,SAT1+105,"")</f>
        <v/>
      </c>
      <c r="B172" s="21">
        <f>IF(A172="","",CHOOSE(WEEKDAY(A172,1),"الأحد","الاثنين","الثلاثاء","الأربعاء","الخميس","الجمعة","السبت"))</f>
        <v/>
      </c>
      <c r="C172" s="22" t="n"/>
      <c r="D172" s="22" t="n"/>
      <c r="E172" s="23">
        <f>IF(OR(M172=0,K172="",L172=""),"",MOD(L172-K172,1))</f>
        <v/>
      </c>
      <c r="F172" s="24">
        <f>IF(OR(E172="",M172=0),"",IF(ROUND_MODE="للأعلى",CEILING(ROUND((E172*24*$N$171),3),0.25),ROUND((E172*24*$N$171)*4,0)/4))</f>
        <v/>
      </c>
      <c r="G172" s="22" t="n"/>
      <c r="H172" s="22" t="n"/>
      <c r="K172" s="25">
        <f>IF(OR(M172=0,C172=""),"",IF(ISNUMBER(C172),MOD(C172,1),IFERROR(INDEX('القوائم'!$B$1:$B$288,MATCH(TRIM(C172),'القوائم'!$A$1:$A$288,0)),IFERROR(MOD(TIMEVALUE(C172),1),""))))</f>
        <v/>
      </c>
      <c r="L172" s="25">
        <f>IF(OR(M172=0,D172=""),"",IF(ISNUMBER(D172),MOD(D172,1),IFERROR(INDEX('القوائم'!$B$1:$B$288,MATCH(TRIM(D172),'القوائم'!$A$1:$A$288,0)),IFERROR(MOD(TIMEVALUE(D172),1),""))))</f>
        <v/>
      </c>
      <c r="M172">
        <f>M171</f>
        <v/>
      </c>
      <c r="Q172">
        <f>IF(N(F181)&gt;0,1,0)</f>
        <v/>
      </c>
    </row>
    <row r="173">
      <c r="A173" s="20">
        <f>IF(16&lt;=NW,SAT1+106,"")</f>
        <v/>
      </c>
      <c r="B173" s="21">
        <f>IF(A173="","",CHOOSE(WEEKDAY(A173,1),"الأحد","الاثنين","الثلاثاء","الأربعاء","الخميس","الجمعة","السبت"))</f>
        <v/>
      </c>
      <c r="C173" s="22" t="n"/>
      <c r="D173" s="22" t="n"/>
      <c r="E173" s="23">
        <f>IF(OR(M173=0,K173="",L173=""),"",MOD(L173-K173,1))</f>
        <v/>
      </c>
      <c r="F173" s="24">
        <f>IF(OR(E173="",M173=0),"",IF(ROUND_MODE="للأعلى",CEILING(ROUND((E173*24*$N$171),3),0.25),ROUND((E173*24*$N$171)*4,0)/4))</f>
        <v/>
      </c>
      <c r="G173" s="22" t="n"/>
      <c r="H173" s="22" t="n"/>
      <c r="K173" s="25">
        <f>IF(OR(M173=0,C173=""),"",IF(ISNUMBER(C173),MOD(C173,1),IFERROR(INDEX('القوائم'!$B$1:$B$288,MATCH(TRIM(C173),'القوائم'!$A$1:$A$288,0)),IFERROR(MOD(TIMEVALUE(C173),1),""))))</f>
        <v/>
      </c>
      <c r="L173" s="25">
        <f>IF(OR(M173=0,D173=""),"",IF(ISNUMBER(D173),MOD(D173,1),IFERROR(INDEX('القوائم'!$B$1:$B$288,MATCH(TRIM(D173),'القوائم'!$A$1:$A$288,0)),IFERROR(MOD(TIMEVALUE(D173),1),""))))</f>
        <v/>
      </c>
      <c r="M173">
        <f>M171</f>
        <v/>
      </c>
      <c r="Q173">
        <f>IF(N(F181)&gt;0,1,0)</f>
        <v/>
      </c>
    </row>
    <row r="174">
      <c r="A174" s="20">
        <f>IF(16&lt;=NW,SAT1+107,"")</f>
        <v/>
      </c>
      <c r="B174" s="21">
        <f>IF(A174="","",CHOOSE(WEEKDAY(A174,1),"الأحد","الاثنين","الثلاثاء","الأربعاء","الخميس","الجمعة","السبت"))</f>
        <v/>
      </c>
      <c r="C174" s="22" t="n"/>
      <c r="D174" s="22" t="n"/>
      <c r="E174" s="23">
        <f>IF(OR(M174=0,K174="",L174=""),"",MOD(L174-K174,1))</f>
        <v/>
      </c>
      <c r="F174" s="24">
        <f>IF(OR(E174="",M174=0),"",IF(ROUND_MODE="للأعلى",CEILING(ROUND((E174*24*$N$171),3),0.25),ROUND((E174*24*$N$171)*4,0)/4))</f>
        <v/>
      </c>
      <c r="G174" s="22" t="n"/>
      <c r="H174" s="22" t="n"/>
      <c r="K174" s="25">
        <f>IF(OR(M174=0,C174=""),"",IF(ISNUMBER(C174),MOD(C174,1),IFERROR(INDEX('القوائم'!$B$1:$B$288,MATCH(TRIM(C174),'القوائم'!$A$1:$A$288,0)),IFERROR(MOD(TIMEVALUE(C174),1),""))))</f>
        <v/>
      </c>
      <c r="L174" s="25">
        <f>IF(OR(M174=0,D174=""),"",IF(ISNUMBER(D174),MOD(D174,1),IFERROR(INDEX('القوائم'!$B$1:$B$288,MATCH(TRIM(D174),'القوائم'!$A$1:$A$288,0)),IFERROR(MOD(TIMEVALUE(D174),1),""))))</f>
        <v/>
      </c>
      <c r="M174">
        <f>M171</f>
        <v/>
      </c>
      <c r="Q174">
        <f>IF(N(F181)&gt;0,1,0)</f>
        <v/>
      </c>
    </row>
    <row r="175">
      <c r="A175" s="20">
        <f>IF(16&lt;=NW,SAT1+108,"")</f>
        <v/>
      </c>
      <c r="B175" s="21">
        <f>IF(A175="","",CHOOSE(WEEKDAY(A175,1),"الأحد","الاثنين","الثلاثاء","الأربعاء","الخميس","الجمعة","السبت"))</f>
        <v/>
      </c>
      <c r="C175" s="22" t="n"/>
      <c r="D175" s="22" t="n"/>
      <c r="E175" s="23">
        <f>IF(OR(M175=0,K175="",L175=""),"",MOD(L175-K175,1))</f>
        <v/>
      </c>
      <c r="F175" s="24">
        <f>IF(OR(E175="",M175=0),"",IF(ROUND_MODE="للأعلى",CEILING(ROUND((E175*24*$N$171),3),0.25),ROUND((E175*24*$N$171)*4,0)/4))</f>
        <v/>
      </c>
      <c r="G175" s="22" t="n"/>
      <c r="H175" s="22" t="n"/>
      <c r="K175" s="25">
        <f>IF(OR(M175=0,C175=""),"",IF(ISNUMBER(C175),MOD(C175,1),IFERROR(INDEX('القوائم'!$B$1:$B$288,MATCH(TRIM(C175),'القوائم'!$A$1:$A$288,0)),IFERROR(MOD(TIMEVALUE(C175),1),""))))</f>
        <v/>
      </c>
      <c r="L175" s="25">
        <f>IF(OR(M175=0,D175=""),"",IF(ISNUMBER(D175),MOD(D175,1),IFERROR(INDEX('القوائم'!$B$1:$B$288,MATCH(TRIM(D175),'القوائم'!$A$1:$A$288,0)),IFERROR(MOD(TIMEVALUE(D175),1),""))))</f>
        <v/>
      </c>
      <c r="M175">
        <f>M171</f>
        <v/>
      </c>
      <c r="Q175">
        <f>IF(N(F181)&gt;0,1,0)</f>
        <v/>
      </c>
    </row>
    <row r="176">
      <c r="A176" s="20">
        <f>IF(16&lt;=NW,SAT1+109,"")</f>
        <v/>
      </c>
      <c r="B176" s="21">
        <f>IF(A176="","",CHOOSE(WEEKDAY(A176,1),"الأحد","الاثنين","الثلاثاء","الأربعاء","الخميس","الجمعة","السبت"))</f>
        <v/>
      </c>
      <c r="C176" s="22" t="n"/>
      <c r="D176" s="22" t="n"/>
      <c r="E176" s="23">
        <f>IF(OR(M176=0,K176="",L176=""),"",MOD(L176-K176,1))</f>
        <v/>
      </c>
      <c r="F176" s="24">
        <f>IF(OR(E176="",M176=0),"",IF(ROUND_MODE="للأعلى",CEILING(ROUND((E176*24*$N$171),3),0.25),ROUND((E176*24*$N$171)*4,0)/4))</f>
        <v/>
      </c>
      <c r="G176" s="22" t="n"/>
      <c r="H176" s="22" t="n"/>
      <c r="K176" s="25">
        <f>IF(OR(M176=0,C176=""),"",IF(ISNUMBER(C176),MOD(C176,1),IFERROR(INDEX('القوائم'!$B$1:$B$288,MATCH(TRIM(C176),'القوائم'!$A$1:$A$288,0)),IFERROR(MOD(TIMEVALUE(C176),1),""))))</f>
        <v/>
      </c>
      <c r="L176" s="25">
        <f>IF(OR(M176=0,D176=""),"",IF(ISNUMBER(D176),MOD(D176,1),IFERROR(INDEX('القوائم'!$B$1:$B$288,MATCH(TRIM(D176),'القوائم'!$A$1:$A$288,0)),IFERROR(MOD(TIMEVALUE(D176),1),""))))</f>
        <v/>
      </c>
      <c r="M176">
        <f>M171</f>
        <v/>
      </c>
      <c r="Q176">
        <f>IF(N(F181)&gt;0,1,0)</f>
        <v/>
      </c>
    </row>
    <row r="177">
      <c r="A177" s="20">
        <f>IF(16&lt;=NW,SAT1+110,"")</f>
        <v/>
      </c>
      <c r="B177" s="21">
        <f>IF(A177="","",CHOOSE(WEEKDAY(A177,1),"الأحد","الاثنين","الثلاثاء","الأربعاء","الخميس","الجمعة","السبت"))</f>
        <v/>
      </c>
      <c r="C177" s="22" t="n"/>
      <c r="D177" s="22" t="n"/>
      <c r="E177" s="23">
        <f>IF(OR(M177=0,K177="",L177=""),"",MOD(L177-K177,1))</f>
        <v/>
      </c>
      <c r="F177" s="24">
        <f>IF(OR(E177="",M177=0),"",IF(ROUND_MODE="للأعلى",CEILING(ROUND((E177*24*$N$171),3),0.25),ROUND((E177*24*$N$171)*4,0)/4))</f>
        <v/>
      </c>
      <c r="G177" s="22" t="n"/>
      <c r="H177" s="22" t="n"/>
      <c r="K177" s="25">
        <f>IF(OR(M177=0,C177=""),"",IF(ISNUMBER(C177),MOD(C177,1),IFERROR(INDEX('القوائم'!$B$1:$B$288,MATCH(TRIM(C177),'القوائم'!$A$1:$A$288,0)),IFERROR(MOD(TIMEVALUE(C177),1),""))))</f>
        <v/>
      </c>
      <c r="L177" s="25">
        <f>IF(OR(M177=0,D177=""),"",IF(ISNUMBER(D177),MOD(D177,1),IFERROR(INDEX('القوائم'!$B$1:$B$288,MATCH(TRIM(D177),'القوائم'!$A$1:$A$288,0)),IFERROR(MOD(TIMEVALUE(D177),1),""))))</f>
        <v/>
      </c>
      <c r="M177">
        <f>M171</f>
        <v/>
      </c>
      <c r="Q177">
        <f>IF(N(F181)&gt;0,1,0)</f>
        <v/>
      </c>
    </row>
    <row r="178">
      <c r="A178" s="26">
        <f>IF(16&lt;=NW,SAT1+111,"")</f>
        <v/>
      </c>
      <c r="B178" s="27">
        <f>IF(A178="","",CHOOSE(WEEKDAY(A178,1),"الأحد","الاثنين","الثلاثاء","الأربعاء","الخميس","الجمعة","السبت"))</f>
        <v/>
      </c>
      <c r="C178" s="22" t="n"/>
      <c r="D178" s="22" t="n"/>
      <c r="E178" s="23">
        <f>IF(OR(M178=0,K178="",L178=""),"",MOD(L178-K178,1))</f>
        <v/>
      </c>
      <c r="F178" s="24">
        <f>IF(OR(E178="",M178=0),"",IF(ROUND_MODE="للأعلى",CEILING(ROUND((E178*24*$N$171),3),0.25),ROUND((E178*24*$N$171)*4,0)/4))</f>
        <v/>
      </c>
      <c r="G178" s="22" t="n"/>
      <c r="H178" s="22" t="n"/>
      <c r="K178" s="25">
        <f>IF(OR(M178=0,C178=""),"",IF(ISNUMBER(C178),MOD(C178,1),IFERROR(INDEX('القوائم'!$B$1:$B$288,MATCH(TRIM(C178),'القوائم'!$A$1:$A$288,0)),IFERROR(MOD(TIMEVALUE(C178),1),""))))</f>
        <v/>
      </c>
      <c r="L178" s="25">
        <f>IF(OR(M178=0,D178=""),"",IF(ISNUMBER(D178),MOD(D178,1),IFERROR(INDEX('القوائم'!$B$1:$B$288,MATCH(TRIM(D178),'القوائم'!$A$1:$A$288,0)),IFERROR(MOD(TIMEVALUE(D178),1),""))))</f>
        <v/>
      </c>
      <c r="M178">
        <f>M171</f>
        <v/>
      </c>
      <c r="Q178">
        <f>IF(N(F181)&gt;0,1,0)</f>
        <v/>
      </c>
    </row>
    <row r="179">
      <c r="A179" s="28">
        <f>IF(M171=1,"مجموع أيام الأسبوع 16","")</f>
        <v/>
      </c>
      <c r="B179" s="28" t="n"/>
      <c r="C179" s="28" t="n"/>
      <c r="D179" s="28" t="n"/>
      <c r="E179" s="29">
        <f>IF(M171=1,SUM(E172:E178),"")</f>
        <v/>
      </c>
      <c r="F179" s="30">
        <f>IF(M171=1,SUM(F172:F178),"")</f>
        <v/>
      </c>
      <c r="G179" s="41">
        <f>IF(M171=1,SUMIFS(F172:F178,G172:G178,"نعم"),"")</f>
        <v/>
      </c>
      <c r="H179" s="28" t="n"/>
    </row>
    <row r="180" ht="32" customHeight="1">
      <c r="A180" s="28">
        <f>IF(M171=1,"ساعات تحميل الجبسمبورد بهالأسبوع (رقم: 2 أو 1.5) ←","")</f>
        <v/>
      </c>
      <c r="E180" s="31" t="n"/>
      <c r="F180" s="33">
        <f>IF(M171=1,N(F179)+IF(ROUND_MODE="للأعلى",CEILING(ROUND((N(E180)*($P$171-$N$171)),3),0.25),ROUND((N(E180)*($P$171-$N$171))*4,0)/4),"")</f>
        <v/>
      </c>
      <c r="G180" s="32">
        <f>IF(M171=1,"← المستحق النهائي للأسبوع (دينار) مع فرق الجبسمبورد","")</f>
        <v/>
      </c>
    </row>
    <row r="181" ht="26" customHeight="1">
      <c r="A181" s="28">
        <f>IF(M171=1,"إكرامية الأسبوع ←","")</f>
        <v/>
      </c>
      <c r="C181" s="35" t="n"/>
      <c r="D181" s="28">
        <f>IF(M171=1,"المدفوع يوم الجمعة (التسوية) ←","")</f>
        <v/>
      </c>
      <c r="F181" s="35" t="n"/>
      <c r="G181" s="36">
        <f>IF(M171=1,IF(N(F181)&gt;0,"✔ انقبض — الأسبوع مقفول","⏳ لسا ما انقبض"),"")</f>
        <v/>
      </c>
    </row>
    <row r="182" ht="26" customHeight="1">
      <c r="A182" s="40">
        <f>IF(17&lt;=NW,"الأسبوع 17 · السبت "&amp;TEXT(DAY(SAT1+112),"00")&amp;"/"&amp;TEXT(MONTH(SAT1+112),"00")&amp;" ← الجمعة "&amp;TEXT(DAY(SAT1+118),"00")&amp;"/"&amp;TEXT(MONTH(SAT1+118),"00")&amp;" (يوم القبض)"&amp;IF(17&lt;START_Z,"   — قبل أسبوع البداية (ما بينحسب)",""),"ما في أسبوع 17 هالسنة")</f>
        <v/>
      </c>
      <c r="L182" s="19">
        <f>IF(17&lt;=NW,SAT1+118,"")</f>
        <v/>
      </c>
      <c r="M182">
        <f>IF(AND(17&lt;=NW,17&gt;=START_Z),1,0)</f>
        <v/>
      </c>
      <c r="N182">
        <f>IFERROR(INDEX(RT_AZZ,MATCH(L182,RT_K,1)),INDEX(RT_AZZ,1))</f>
        <v/>
      </c>
      <c r="P182">
        <f>IFERROR(INDEX(RT_GYP,MATCH(L182,RT_K,1)),INDEX(RT_GYP,1))</f>
        <v/>
      </c>
    </row>
    <row r="183">
      <c r="A183" s="20">
        <f>IF(17&lt;=NW,SAT1+112,"")</f>
        <v/>
      </c>
      <c r="B183" s="21">
        <f>IF(A183="","",CHOOSE(WEEKDAY(A183,1),"الأحد","الاثنين","الثلاثاء","الأربعاء","الخميس","الجمعة","السبت"))</f>
        <v/>
      </c>
      <c r="C183" s="22" t="n"/>
      <c r="D183" s="22" t="n"/>
      <c r="E183" s="23">
        <f>IF(OR(M183=0,K183="",L183=""),"",MOD(L183-K183,1))</f>
        <v/>
      </c>
      <c r="F183" s="24">
        <f>IF(OR(E183="",M183=0),"",IF(ROUND_MODE="للأعلى",CEILING(ROUND((E183*24*$N$182),3),0.25),ROUND((E183*24*$N$182)*4,0)/4))</f>
        <v/>
      </c>
      <c r="G183" s="22" t="n"/>
      <c r="H183" s="22" t="n"/>
      <c r="K183" s="25">
        <f>IF(OR(M183=0,C183=""),"",IF(ISNUMBER(C183),MOD(C183,1),IFERROR(INDEX('القوائم'!$B$1:$B$288,MATCH(TRIM(C183),'القوائم'!$A$1:$A$288,0)),IFERROR(MOD(TIMEVALUE(C183),1),""))))</f>
        <v/>
      </c>
      <c r="L183" s="25">
        <f>IF(OR(M183=0,D183=""),"",IF(ISNUMBER(D183),MOD(D183,1),IFERROR(INDEX('القوائم'!$B$1:$B$288,MATCH(TRIM(D183),'القوائم'!$A$1:$A$288,0)),IFERROR(MOD(TIMEVALUE(D183),1),""))))</f>
        <v/>
      </c>
      <c r="M183">
        <f>M182</f>
        <v/>
      </c>
      <c r="Q183">
        <f>IF(N(F192)&gt;0,1,0)</f>
        <v/>
      </c>
    </row>
    <row r="184">
      <c r="A184" s="20">
        <f>IF(17&lt;=NW,SAT1+113,"")</f>
        <v/>
      </c>
      <c r="B184" s="21">
        <f>IF(A184="","",CHOOSE(WEEKDAY(A184,1),"الأحد","الاثنين","الثلاثاء","الأربعاء","الخميس","الجمعة","السبت"))</f>
        <v/>
      </c>
      <c r="C184" s="22" t="n"/>
      <c r="D184" s="22" t="n"/>
      <c r="E184" s="23">
        <f>IF(OR(M184=0,K184="",L184=""),"",MOD(L184-K184,1))</f>
        <v/>
      </c>
      <c r="F184" s="24">
        <f>IF(OR(E184="",M184=0),"",IF(ROUND_MODE="للأعلى",CEILING(ROUND((E184*24*$N$182),3),0.25),ROUND((E184*24*$N$182)*4,0)/4))</f>
        <v/>
      </c>
      <c r="G184" s="22" t="n"/>
      <c r="H184" s="22" t="n"/>
      <c r="K184" s="25">
        <f>IF(OR(M184=0,C184=""),"",IF(ISNUMBER(C184),MOD(C184,1),IFERROR(INDEX('القوائم'!$B$1:$B$288,MATCH(TRIM(C184),'القوائم'!$A$1:$A$288,0)),IFERROR(MOD(TIMEVALUE(C184),1),""))))</f>
        <v/>
      </c>
      <c r="L184" s="25">
        <f>IF(OR(M184=0,D184=""),"",IF(ISNUMBER(D184),MOD(D184,1),IFERROR(INDEX('القوائم'!$B$1:$B$288,MATCH(TRIM(D184),'القوائم'!$A$1:$A$288,0)),IFERROR(MOD(TIMEVALUE(D184),1),""))))</f>
        <v/>
      </c>
      <c r="M184">
        <f>M182</f>
        <v/>
      </c>
      <c r="Q184">
        <f>IF(N(F192)&gt;0,1,0)</f>
        <v/>
      </c>
    </row>
    <row r="185">
      <c r="A185" s="20">
        <f>IF(17&lt;=NW,SAT1+114,"")</f>
        <v/>
      </c>
      <c r="B185" s="21">
        <f>IF(A185="","",CHOOSE(WEEKDAY(A185,1),"الأحد","الاثنين","الثلاثاء","الأربعاء","الخميس","الجمعة","السبت"))</f>
        <v/>
      </c>
      <c r="C185" s="22" t="n"/>
      <c r="D185" s="22" t="n"/>
      <c r="E185" s="23">
        <f>IF(OR(M185=0,K185="",L185=""),"",MOD(L185-K185,1))</f>
        <v/>
      </c>
      <c r="F185" s="24">
        <f>IF(OR(E185="",M185=0),"",IF(ROUND_MODE="للأعلى",CEILING(ROUND((E185*24*$N$182),3),0.25),ROUND((E185*24*$N$182)*4,0)/4))</f>
        <v/>
      </c>
      <c r="G185" s="22" t="n"/>
      <c r="H185" s="22" t="n"/>
      <c r="K185" s="25">
        <f>IF(OR(M185=0,C185=""),"",IF(ISNUMBER(C185),MOD(C185,1),IFERROR(INDEX('القوائم'!$B$1:$B$288,MATCH(TRIM(C185),'القوائم'!$A$1:$A$288,0)),IFERROR(MOD(TIMEVALUE(C185),1),""))))</f>
        <v/>
      </c>
      <c r="L185" s="25">
        <f>IF(OR(M185=0,D185=""),"",IF(ISNUMBER(D185),MOD(D185,1),IFERROR(INDEX('القوائم'!$B$1:$B$288,MATCH(TRIM(D185),'القوائم'!$A$1:$A$288,0)),IFERROR(MOD(TIMEVALUE(D185),1),""))))</f>
        <v/>
      </c>
      <c r="M185">
        <f>M182</f>
        <v/>
      </c>
      <c r="Q185">
        <f>IF(N(F192)&gt;0,1,0)</f>
        <v/>
      </c>
    </row>
    <row r="186">
      <c r="A186" s="20">
        <f>IF(17&lt;=NW,SAT1+115,"")</f>
        <v/>
      </c>
      <c r="B186" s="21">
        <f>IF(A186="","",CHOOSE(WEEKDAY(A186,1),"الأحد","الاثنين","الثلاثاء","الأربعاء","الخميس","الجمعة","السبت"))</f>
        <v/>
      </c>
      <c r="C186" s="22" t="n"/>
      <c r="D186" s="22" t="n"/>
      <c r="E186" s="23">
        <f>IF(OR(M186=0,K186="",L186=""),"",MOD(L186-K186,1))</f>
        <v/>
      </c>
      <c r="F186" s="24">
        <f>IF(OR(E186="",M186=0),"",IF(ROUND_MODE="للأعلى",CEILING(ROUND((E186*24*$N$182),3),0.25),ROUND((E186*24*$N$182)*4,0)/4))</f>
        <v/>
      </c>
      <c r="G186" s="22" t="n"/>
      <c r="H186" s="22" t="n"/>
      <c r="K186" s="25">
        <f>IF(OR(M186=0,C186=""),"",IF(ISNUMBER(C186),MOD(C186,1),IFERROR(INDEX('القوائم'!$B$1:$B$288,MATCH(TRIM(C186),'القوائم'!$A$1:$A$288,0)),IFERROR(MOD(TIMEVALUE(C186),1),""))))</f>
        <v/>
      </c>
      <c r="L186" s="25">
        <f>IF(OR(M186=0,D186=""),"",IF(ISNUMBER(D186),MOD(D186,1),IFERROR(INDEX('القوائم'!$B$1:$B$288,MATCH(TRIM(D186),'القوائم'!$A$1:$A$288,0)),IFERROR(MOD(TIMEVALUE(D186),1),""))))</f>
        <v/>
      </c>
      <c r="M186">
        <f>M182</f>
        <v/>
      </c>
      <c r="Q186">
        <f>IF(N(F192)&gt;0,1,0)</f>
        <v/>
      </c>
    </row>
    <row r="187">
      <c r="A187" s="20">
        <f>IF(17&lt;=NW,SAT1+116,"")</f>
        <v/>
      </c>
      <c r="B187" s="21">
        <f>IF(A187="","",CHOOSE(WEEKDAY(A187,1),"الأحد","الاثنين","الثلاثاء","الأربعاء","الخميس","الجمعة","السبت"))</f>
        <v/>
      </c>
      <c r="C187" s="22" t="n"/>
      <c r="D187" s="22" t="n"/>
      <c r="E187" s="23">
        <f>IF(OR(M187=0,K187="",L187=""),"",MOD(L187-K187,1))</f>
        <v/>
      </c>
      <c r="F187" s="24">
        <f>IF(OR(E187="",M187=0),"",IF(ROUND_MODE="للأعلى",CEILING(ROUND((E187*24*$N$182),3),0.25),ROUND((E187*24*$N$182)*4,0)/4))</f>
        <v/>
      </c>
      <c r="G187" s="22" t="n"/>
      <c r="H187" s="22" t="n"/>
      <c r="K187" s="25">
        <f>IF(OR(M187=0,C187=""),"",IF(ISNUMBER(C187),MOD(C187,1),IFERROR(INDEX('القوائم'!$B$1:$B$288,MATCH(TRIM(C187),'القوائم'!$A$1:$A$288,0)),IFERROR(MOD(TIMEVALUE(C187),1),""))))</f>
        <v/>
      </c>
      <c r="L187" s="25">
        <f>IF(OR(M187=0,D187=""),"",IF(ISNUMBER(D187),MOD(D187,1),IFERROR(INDEX('القوائم'!$B$1:$B$288,MATCH(TRIM(D187),'القوائم'!$A$1:$A$288,0)),IFERROR(MOD(TIMEVALUE(D187),1),""))))</f>
        <v/>
      </c>
      <c r="M187">
        <f>M182</f>
        <v/>
      </c>
      <c r="Q187">
        <f>IF(N(F192)&gt;0,1,0)</f>
        <v/>
      </c>
    </row>
    <row r="188">
      <c r="A188" s="20">
        <f>IF(17&lt;=NW,SAT1+117,"")</f>
        <v/>
      </c>
      <c r="B188" s="21">
        <f>IF(A188="","",CHOOSE(WEEKDAY(A188,1),"الأحد","الاثنين","الثلاثاء","الأربعاء","الخميس","الجمعة","السبت"))</f>
        <v/>
      </c>
      <c r="C188" s="22" t="n"/>
      <c r="D188" s="22" t="n"/>
      <c r="E188" s="23">
        <f>IF(OR(M188=0,K188="",L188=""),"",MOD(L188-K188,1))</f>
        <v/>
      </c>
      <c r="F188" s="24">
        <f>IF(OR(E188="",M188=0),"",IF(ROUND_MODE="للأعلى",CEILING(ROUND((E188*24*$N$182),3),0.25),ROUND((E188*24*$N$182)*4,0)/4))</f>
        <v/>
      </c>
      <c r="G188" s="22" t="n"/>
      <c r="H188" s="22" t="n"/>
      <c r="K188" s="25">
        <f>IF(OR(M188=0,C188=""),"",IF(ISNUMBER(C188),MOD(C188,1),IFERROR(INDEX('القوائم'!$B$1:$B$288,MATCH(TRIM(C188),'القوائم'!$A$1:$A$288,0)),IFERROR(MOD(TIMEVALUE(C188),1),""))))</f>
        <v/>
      </c>
      <c r="L188" s="25">
        <f>IF(OR(M188=0,D188=""),"",IF(ISNUMBER(D188),MOD(D188,1),IFERROR(INDEX('القوائم'!$B$1:$B$288,MATCH(TRIM(D188),'القوائم'!$A$1:$A$288,0)),IFERROR(MOD(TIMEVALUE(D188),1),""))))</f>
        <v/>
      </c>
      <c r="M188">
        <f>M182</f>
        <v/>
      </c>
      <c r="Q188">
        <f>IF(N(F192)&gt;0,1,0)</f>
        <v/>
      </c>
    </row>
    <row r="189">
      <c r="A189" s="26">
        <f>IF(17&lt;=NW,SAT1+118,"")</f>
        <v/>
      </c>
      <c r="B189" s="27">
        <f>IF(A189="","",CHOOSE(WEEKDAY(A189,1),"الأحد","الاثنين","الثلاثاء","الأربعاء","الخميس","الجمعة","السبت"))</f>
        <v/>
      </c>
      <c r="C189" s="22" t="n"/>
      <c r="D189" s="22" t="n"/>
      <c r="E189" s="23">
        <f>IF(OR(M189=0,K189="",L189=""),"",MOD(L189-K189,1))</f>
        <v/>
      </c>
      <c r="F189" s="24">
        <f>IF(OR(E189="",M189=0),"",IF(ROUND_MODE="للأعلى",CEILING(ROUND((E189*24*$N$182),3),0.25),ROUND((E189*24*$N$182)*4,0)/4))</f>
        <v/>
      </c>
      <c r="G189" s="22" t="n"/>
      <c r="H189" s="22" t="n"/>
      <c r="K189" s="25">
        <f>IF(OR(M189=0,C189=""),"",IF(ISNUMBER(C189),MOD(C189,1),IFERROR(INDEX('القوائم'!$B$1:$B$288,MATCH(TRIM(C189),'القوائم'!$A$1:$A$288,0)),IFERROR(MOD(TIMEVALUE(C189),1),""))))</f>
        <v/>
      </c>
      <c r="L189" s="25">
        <f>IF(OR(M189=0,D189=""),"",IF(ISNUMBER(D189),MOD(D189,1),IFERROR(INDEX('القوائم'!$B$1:$B$288,MATCH(TRIM(D189),'القوائم'!$A$1:$A$288,0)),IFERROR(MOD(TIMEVALUE(D189),1),""))))</f>
        <v/>
      </c>
      <c r="M189">
        <f>M182</f>
        <v/>
      </c>
      <c r="Q189">
        <f>IF(N(F192)&gt;0,1,0)</f>
        <v/>
      </c>
    </row>
    <row r="190">
      <c r="A190" s="28">
        <f>IF(M182=1,"مجموع أيام الأسبوع 17","")</f>
        <v/>
      </c>
      <c r="B190" s="28" t="n"/>
      <c r="C190" s="28" t="n"/>
      <c r="D190" s="28" t="n"/>
      <c r="E190" s="29">
        <f>IF(M182=1,SUM(E183:E189),"")</f>
        <v/>
      </c>
      <c r="F190" s="30">
        <f>IF(M182=1,SUM(F183:F189),"")</f>
        <v/>
      </c>
      <c r="G190" s="41">
        <f>IF(M182=1,SUMIFS(F183:F189,G183:G189,"نعم"),"")</f>
        <v/>
      </c>
      <c r="H190" s="28" t="n"/>
    </row>
    <row r="191" ht="32" customHeight="1">
      <c r="A191" s="28">
        <f>IF(M182=1,"ساعات تحميل الجبسمبورد بهالأسبوع (رقم: 2 أو 1.5) ←","")</f>
        <v/>
      </c>
      <c r="E191" s="31" t="n"/>
      <c r="F191" s="33">
        <f>IF(M182=1,N(F190)+IF(ROUND_MODE="للأعلى",CEILING(ROUND((N(E191)*($P$182-$N$182)),3),0.25),ROUND((N(E191)*($P$182-$N$182))*4,0)/4),"")</f>
        <v/>
      </c>
      <c r="G191" s="32">
        <f>IF(M182=1,"← المستحق النهائي للأسبوع (دينار) مع فرق الجبسمبورد","")</f>
        <v/>
      </c>
    </row>
    <row r="192" ht="26" customHeight="1">
      <c r="A192" s="28">
        <f>IF(M182=1,"إكرامية الأسبوع ←","")</f>
        <v/>
      </c>
      <c r="C192" s="35" t="n"/>
      <c r="D192" s="28">
        <f>IF(M182=1,"المدفوع يوم الجمعة (التسوية) ←","")</f>
        <v/>
      </c>
      <c r="F192" s="35" t="n"/>
      <c r="G192" s="36">
        <f>IF(M182=1,IF(N(F192)&gt;0,"✔ انقبض — الأسبوع مقفول","⏳ لسا ما انقبض"),"")</f>
        <v/>
      </c>
    </row>
    <row r="193" ht="26" customHeight="1">
      <c r="A193" s="40">
        <f>IF(18&lt;=NW,"الأسبوع 18 · السبت "&amp;TEXT(DAY(SAT1+119),"00")&amp;"/"&amp;TEXT(MONTH(SAT1+119),"00")&amp;" ← الجمعة "&amp;TEXT(DAY(SAT1+125),"00")&amp;"/"&amp;TEXT(MONTH(SAT1+125),"00")&amp;" (يوم القبض)"&amp;IF(18&lt;START_Z,"   — قبل أسبوع البداية (ما بينحسب)",""),"ما في أسبوع 18 هالسنة")</f>
        <v/>
      </c>
      <c r="L193" s="19">
        <f>IF(18&lt;=NW,SAT1+125,"")</f>
        <v/>
      </c>
      <c r="M193">
        <f>IF(AND(18&lt;=NW,18&gt;=START_Z),1,0)</f>
        <v/>
      </c>
      <c r="N193">
        <f>IFERROR(INDEX(RT_AZZ,MATCH(L193,RT_K,1)),INDEX(RT_AZZ,1))</f>
        <v/>
      </c>
      <c r="P193">
        <f>IFERROR(INDEX(RT_GYP,MATCH(L193,RT_K,1)),INDEX(RT_GYP,1))</f>
        <v/>
      </c>
    </row>
    <row r="194">
      <c r="A194" s="20">
        <f>IF(18&lt;=NW,SAT1+119,"")</f>
        <v/>
      </c>
      <c r="B194" s="21">
        <f>IF(A194="","",CHOOSE(WEEKDAY(A194,1),"الأحد","الاثنين","الثلاثاء","الأربعاء","الخميس","الجمعة","السبت"))</f>
        <v/>
      </c>
      <c r="C194" s="22" t="n"/>
      <c r="D194" s="22" t="n"/>
      <c r="E194" s="23">
        <f>IF(OR(M194=0,K194="",L194=""),"",MOD(L194-K194,1))</f>
        <v/>
      </c>
      <c r="F194" s="24">
        <f>IF(OR(E194="",M194=0),"",IF(ROUND_MODE="للأعلى",CEILING(ROUND((E194*24*$N$193),3),0.25),ROUND((E194*24*$N$193)*4,0)/4))</f>
        <v/>
      </c>
      <c r="G194" s="22" t="n"/>
      <c r="H194" s="22" t="n"/>
      <c r="K194" s="25">
        <f>IF(OR(M194=0,C194=""),"",IF(ISNUMBER(C194),MOD(C194,1),IFERROR(INDEX('القوائم'!$B$1:$B$288,MATCH(TRIM(C194),'القوائم'!$A$1:$A$288,0)),IFERROR(MOD(TIMEVALUE(C194),1),""))))</f>
        <v/>
      </c>
      <c r="L194" s="25">
        <f>IF(OR(M194=0,D194=""),"",IF(ISNUMBER(D194),MOD(D194,1),IFERROR(INDEX('القوائم'!$B$1:$B$288,MATCH(TRIM(D194),'القوائم'!$A$1:$A$288,0)),IFERROR(MOD(TIMEVALUE(D194),1),""))))</f>
        <v/>
      </c>
      <c r="M194">
        <f>M193</f>
        <v/>
      </c>
      <c r="Q194">
        <f>IF(N(F203)&gt;0,1,0)</f>
        <v/>
      </c>
    </row>
    <row r="195">
      <c r="A195" s="20">
        <f>IF(18&lt;=NW,SAT1+120,"")</f>
        <v/>
      </c>
      <c r="B195" s="21">
        <f>IF(A195="","",CHOOSE(WEEKDAY(A195,1),"الأحد","الاثنين","الثلاثاء","الأربعاء","الخميس","الجمعة","السبت"))</f>
        <v/>
      </c>
      <c r="C195" s="22" t="n"/>
      <c r="D195" s="22" t="n"/>
      <c r="E195" s="23">
        <f>IF(OR(M195=0,K195="",L195=""),"",MOD(L195-K195,1))</f>
        <v/>
      </c>
      <c r="F195" s="24">
        <f>IF(OR(E195="",M195=0),"",IF(ROUND_MODE="للأعلى",CEILING(ROUND((E195*24*$N$193),3),0.25),ROUND((E195*24*$N$193)*4,0)/4))</f>
        <v/>
      </c>
      <c r="G195" s="22" t="n"/>
      <c r="H195" s="22" t="n"/>
      <c r="K195" s="25">
        <f>IF(OR(M195=0,C195=""),"",IF(ISNUMBER(C195),MOD(C195,1),IFERROR(INDEX('القوائم'!$B$1:$B$288,MATCH(TRIM(C195),'القوائم'!$A$1:$A$288,0)),IFERROR(MOD(TIMEVALUE(C195),1),""))))</f>
        <v/>
      </c>
      <c r="L195" s="25">
        <f>IF(OR(M195=0,D195=""),"",IF(ISNUMBER(D195),MOD(D195,1),IFERROR(INDEX('القوائم'!$B$1:$B$288,MATCH(TRIM(D195),'القوائم'!$A$1:$A$288,0)),IFERROR(MOD(TIMEVALUE(D195),1),""))))</f>
        <v/>
      </c>
      <c r="M195">
        <f>M193</f>
        <v/>
      </c>
      <c r="Q195">
        <f>IF(N(F203)&gt;0,1,0)</f>
        <v/>
      </c>
    </row>
    <row r="196">
      <c r="A196" s="20">
        <f>IF(18&lt;=NW,SAT1+121,"")</f>
        <v/>
      </c>
      <c r="B196" s="21">
        <f>IF(A196="","",CHOOSE(WEEKDAY(A196,1),"الأحد","الاثنين","الثلاثاء","الأربعاء","الخميس","الجمعة","السبت"))</f>
        <v/>
      </c>
      <c r="C196" s="22" t="n"/>
      <c r="D196" s="22" t="n"/>
      <c r="E196" s="23">
        <f>IF(OR(M196=0,K196="",L196=""),"",MOD(L196-K196,1))</f>
        <v/>
      </c>
      <c r="F196" s="24">
        <f>IF(OR(E196="",M196=0),"",IF(ROUND_MODE="للأعلى",CEILING(ROUND((E196*24*$N$193),3),0.25),ROUND((E196*24*$N$193)*4,0)/4))</f>
        <v/>
      </c>
      <c r="G196" s="22" t="n"/>
      <c r="H196" s="22" t="n"/>
      <c r="K196" s="25">
        <f>IF(OR(M196=0,C196=""),"",IF(ISNUMBER(C196),MOD(C196,1),IFERROR(INDEX('القوائم'!$B$1:$B$288,MATCH(TRIM(C196),'القوائم'!$A$1:$A$288,0)),IFERROR(MOD(TIMEVALUE(C196),1),""))))</f>
        <v/>
      </c>
      <c r="L196" s="25">
        <f>IF(OR(M196=0,D196=""),"",IF(ISNUMBER(D196),MOD(D196,1),IFERROR(INDEX('القوائم'!$B$1:$B$288,MATCH(TRIM(D196),'القوائم'!$A$1:$A$288,0)),IFERROR(MOD(TIMEVALUE(D196),1),""))))</f>
        <v/>
      </c>
      <c r="M196">
        <f>M193</f>
        <v/>
      </c>
      <c r="Q196">
        <f>IF(N(F203)&gt;0,1,0)</f>
        <v/>
      </c>
    </row>
    <row r="197">
      <c r="A197" s="20">
        <f>IF(18&lt;=NW,SAT1+122,"")</f>
        <v/>
      </c>
      <c r="B197" s="21">
        <f>IF(A197="","",CHOOSE(WEEKDAY(A197,1),"الأحد","الاثنين","الثلاثاء","الأربعاء","الخميس","الجمعة","السبت"))</f>
        <v/>
      </c>
      <c r="C197" s="22" t="n"/>
      <c r="D197" s="22" t="n"/>
      <c r="E197" s="23">
        <f>IF(OR(M197=0,K197="",L197=""),"",MOD(L197-K197,1))</f>
        <v/>
      </c>
      <c r="F197" s="24">
        <f>IF(OR(E197="",M197=0),"",IF(ROUND_MODE="للأعلى",CEILING(ROUND((E197*24*$N$193),3),0.25),ROUND((E197*24*$N$193)*4,0)/4))</f>
        <v/>
      </c>
      <c r="G197" s="22" t="n"/>
      <c r="H197" s="22" t="n"/>
      <c r="K197" s="25">
        <f>IF(OR(M197=0,C197=""),"",IF(ISNUMBER(C197),MOD(C197,1),IFERROR(INDEX('القوائم'!$B$1:$B$288,MATCH(TRIM(C197),'القوائم'!$A$1:$A$288,0)),IFERROR(MOD(TIMEVALUE(C197),1),""))))</f>
        <v/>
      </c>
      <c r="L197" s="25">
        <f>IF(OR(M197=0,D197=""),"",IF(ISNUMBER(D197),MOD(D197,1),IFERROR(INDEX('القوائم'!$B$1:$B$288,MATCH(TRIM(D197),'القوائم'!$A$1:$A$288,0)),IFERROR(MOD(TIMEVALUE(D197),1),""))))</f>
        <v/>
      </c>
      <c r="M197">
        <f>M193</f>
        <v/>
      </c>
      <c r="Q197">
        <f>IF(N(F203)&gt;0,1,0)</f>
        <v/>
      </c>
    </row>
    <row r="198">
      <c r="A198" s="20">
        <f>IF(18&lt;=NW,SAT1+123,"")</f>
        <v/>
      </c>
      <c r="B198" s="21">
        <f>IF(A198="","",CHOOSE(WEEKDAY(A198,1),"الأحد","الاثنين","الثلاثاء","الأربعاء","الخميس","الجمعة","السبت"))</f>
        <v/>
      </c>
      <c r="C198" s="22" t="n"/>
      <c r="D198" s="22" t="n"/>
      <c r="E198" s="23">
        <f>IF(OR(M198=0,K198="",L198=""),"",MOD(L198-K198,1))</f>
        <v/>
      </c>
      <c r="F198" s="24">
        <f>IF(OR(E198="",M198=0),"",IF(ROUND_MODE="للأعلى",CEILING(ROUND((E198*24*$N$193),3),0.25),ROUND((E198*24*$N$193)*4,0)/4))</f>
        <v/>
      </c>
      <c r="G198" s="22" t="n"/>
      <c r="H198" s="22" t="n"/>
      <c r="K198" s="25">
        <f>IF(OR(M198=0,C198=""),"",IF(ISNUMBER(C198),MOD(C198,1),IFERROR(INDEX('القوائم'!$B$1:$B$288,MATCH(TRIM(C198),'القوائم'!$A$1:$A$288,0)),IFERROR(MOD(TIMEVALUE(C198),1),""))))</f>
        <v/>
      </c>
      <c r="L198" s="25">
        <f>IF(OR(M198=0,D198=""),"",IF(ISNUMBER(D198),MOD(D198,1),IFERROR(INDEX('القوائم'!$B$1:$B$288,MATCH(TRIM(D198),'القوائم'!$A$1:$A$288,0)),IFERROR(MOD(TIMEVALUE(D198),1),""))))</f>
        <v/>
      </c>
      <c r="M198">
        <f>M193</f>
        <v/>
      </c>
      <c r="Q198">
        <f>IF(N(F203)&gt;0,1,0)</f>
        <v/>
      </c>
    </row>
    <row r="199">
      <c r="A199" s="20">
        <f>IF(18&lt;=NW,SAT1+124,"")</f>
        <v/>
      </c>
      <c r="B199" s="21">
        <f>IF(A199="","",CHOOSE(WEEKDAY(A199,1),"الأحد","الاثنين","الثلاثاء","الأربعاء","الخميس","الجمعة","السبت"))</f>
        <v/>
      </c>
      <c r="C199" s="22" t="n"/>
      <c r="D199" s="22" t="n"/>
      <c r="E199" s="23">
        <f>IF(OR(M199=0,K199="",L199=""),"",MOD(L199-K199,1))</f>
        <v/>
      </c>
      <c r="F199" s="24">
        <f>IF(OR(E199="",M199=0),"",IF(ROUND_MODE="للأعلى",CEILING(ROUND((E199*24*$N$193),3),0.25),ROUND((E199*24*$N$193)*4,0)/4))</f>
        <v/>
      </c>
      <c r="G199" s="22" t="n"/>
      <c r="H199" s="22" t="n"/>
      <c r="K199" s="25">
        <f>IF(OR(M199=0,C199=""),"",IF(ISNUMBER(C199),MOD(C199,1),IFERROR(INDEX('القوائم'!$B$1:$B$288,MATCH(TRIM(C199),'القوائم'!$A$1:$A$288,0)),IFERROR(MOD(TIMEVALUE(C199),1),""))))</f>
        <v/>
      </c>
      <c r="L199" s="25">
        <f>IF(OR(M199=0,D199=""),"",IF(ISNUMBER(D199),MOD(D199,1),IFERROR(INDEX('القوائم'!$B$1:$B$288,MATCH(TRIM(D199),'القوائم'!$A$1:$A$288,0)),IFERROR(MOD(TIMEVALUE(D199),1),""))))</f>
        <v/>
      </c>
      <c r="M199">
        <f>M193</f>
        <v/>
      </c>
      <c r="Q199">
        <f>IF(N(F203)&gt;0,1,0)</f>
        <v/>
      </c>
    </row>
    <row r="200">
      <c r="A200" s="26">
        <f>IF(18&lt;=NW,SAT1+125,"")</f>
        <v/>
      </c>
      <c r="B200" s="27">
        <f>IF(A200="","",CHOOSE(WEEKDAY(A200,1),"الأحد","الاثنين","الثلاثاء","الأربعاء","الخميس","الجمعة","السبت"))</f>
        <v/>
      </c>
      <c r="C200" s="22" t="n"/>
      <c r="D200" s="22" t="n"/>
      <c r="E200" s="23">
        <f>IF(OR(M200=0,K200="",L200=""),"",MOD(L200-K200,1))</f>
        <v/>
      </c>
      <c r="F200" s="24">
        <f>IF(OR(E200="",M200=0),"",IF(ROUND_MODE="للأعلى",CEILING(ROUND((E200*24*$N$193),3),0.25),ROUND((E200*24*$N$193)*4,0)/4))</f>
        <v/>
      </c>
      <c r="G200" s="22" t="n"/>
      <c r="H200" s="22" t="n"/>
      <c r="K200" s="25">
        <f>IF(OR(M200=0,C200=""),"",IF(ISNUMBER(C200),MOD(C200,1),IFERROR(INDEX('القوائم'!$B$1:$B$288,MATCH(TRIM(C200),'القوائم'!$A$1:$A$288,0)),IFERROR(MOD(TIMEVALUE(C200),1),""))))</f>
        <v/>
      </c>
      <c r="L200" s="25">
        <f>IF(OR(M200=0,D200=""),"",IF(ISNUMBER(D200),MOD(D200,1),IFERROR(INDEX('القوائم'!$B$1:$B$288,MATCH(TRIM(D200),'القوائم'!$A$1:$A$288,0)),IFERROR(MOD(TIMEVALUE(D200),1),""))))</f>
        <v/>
      </c>
      <c r="M200">
        <f>M193</f>
        <v/>
      </c>
      <c r="Q200">
        <f>IF(N(F203)&gt;0,1,0)</f>
        <v/>
      </c>
    </row>
    <row r="201">
      <c r="A201" s="28">
        <f>IF(M193=1,"مجموع أيام الأسبوع 18","")</f>
        <v/>
      </c>
      <c r="B201" s="28" t="n"/>
      <c r="C201" s="28" t="n"/>
      <c r="D201" s="28" t="n"/>
      <c r="E201" s="29">
        <f>IF(M193=1,SUM(E194:E200),"")</f>
        <v/>
      </c>
      <c r="F201" s="30">
        <f>IF(M193=1,SUM(F194:F200),"")</f>
        <v/>
      </c>
      <c r="G201" s="41">
        <f>IF(M193=1,SUMIFS(F194:F200,G194:G200,"نعم"),"")</f>
        <v/>
      </c>
      <c r="H201" s="28" t="n"/>
    </row>
    <row r="202" ht="32" customHeight="1">
      <c r="A202" s="28">
        <f>IF(M193=1,"ساعات تحميل الجبسمبورد بهالأسبوع (رقم: 2 أو 1.5) ←","")</f>
        <v/>
      </c>
      <c r="E202" s="31" t="n"/>
      <c r="F202" s="33">
        <f>IF(M193=1,N(F201)+IF(ROUND_MODE="للأعلى",CEILING(ROUND((N(E202)*($P$193-$N$193)),3),0.25),ROUND((N(E202)*($P$193-$N$193))*4,0)/4),"")</f>
        <v/>
      </c>
      <c r="G202" s="32">
        <f>IF(M193=1,"← المستحق النهائي للأسبوع (دينار) مع فرق الجبسمبورد","")</f>
        <v/>
      </c>
    </row>
    <row r="203" ht="26" customHeight="1">
      <c r="A203" s="28">
        <f>IF(M193=1,"إكرامية الأسبوع ←","")</f>
        <v/>
      </c>
      <c r="C203" s="35" t="n"/>
      <c r="D203" s="28">
        <f>IF(M193=1,"المدفوع يوم الجمعة (التسوية) ←","")</f>
        <v/>
      </c>
      <c r="F203" s="35" t="n"/>
      <c r="G203" s="36">
        <f>IF(M193=1,IF(N(F203)&gt;0,"✔ انقبض — الأسبوع مقفول","⏳ لسا ما انقبض"),"")</f>
        <v/>
      </c>
    </row>
    <row r="204" ht="26" customHeight="1">
      <c r="A204" s="40">
        <f>IF(19&lt;=NW,"الأسبوع 19 · السبت "&amp;TEXT(DAY(SAT1+126),"00")&amp;"/"&amp;TEXT(MONTH(SAT1+126),"00")&amp;" ← الجمعة "&amp;TEXT(DAY(SAT1+132),"00")&amp;"/"&amp;TEXT(MONTH(SAT1+132),"00")&amp;" (يوم القبض)"&amp;IF(19&lt;START_Z,"   — قبل أسبوع البداية (ما بينحسب)",""),"ما في أسبوع 19 هالسنة")</f>
        <v/>
      </c>
      <c r="L204" s="19">
        <f>IF(19&lt;=NW,SAT1+132,"")</f>
        <v/>
      </c>
      <c r="M204">
        <f>IF(AND(19&lt;=NW,19&gt;=START_Z),1,0)</f>
        <v/>
      </c>
      <c r="N204">
        <f>IFERROR(INDEX(RT_AZZ,MATCH(L204,RT_K,1)),INDEX(RT_AZZ,1))</f>
        <v/>
      </c>
      <c r="P204">
        <f>IFERROR(INDEX(RT_GYP,MATCH(L204,RT_K,1)),INDEX(RT_GYP,1))</f>
        <v/>
      </c>
    </row>
    <row r="205">
      <c r="A205" s="20">
        <f>IF(19&lt;=NW,SAT1+126,"")</f>
        <v/>
      </c>
      <c r="B205" s="21">
        <f>IF(A205="","",CHOOSE(WEEKDAY(A205,1),"الأحد","الاثنين","الثلاثاء","الأربعاء","الخميس","الجمعة","السبت"))</f>
        <v/>
      </c>
      <c r="C205" s="22" t="n"/>
      <c r="D205" s="22" t="n"/>
      <c r="E205" s="23">
        <f>IF(OR(M205=0,K205="",L205=""),"",MOD(L205-K205,1))</f>
        <v/>
      </c>
      <c r="F205" s="24">
        <f>IF(OR(E205="",M205=0),"",IF(ROUND_MODE="للأعلى",CEILING(ROUND((E205*24*$N$204),3),0.25),ROUND((E205*24*$N$204)*4,0)/4))</f>
        <v/>
      </c>
      <c r="G205" s="22" t="n"/>
      <c r="H205" s="22" t="n"/>
      <c r="K205" s="25">
        <f>IF(OR(M205=0,C205=""),"",IF(ISNUMBER(C205),MOD(C205,1),IFERROR(INDEX('القوائم'!$B$1:$B$288,MATCH(TRIM(C205),'القوائم'!$A$1:$A$288,0)),IFERROR(MOD(TIMEVALUE(C205),1),""))))</f>
        <v/>
      </c>
      <c r="L205" s="25">
        <f>IF(OR(M205=0,D205=""),"",IF(ISNUMBER(D205),MOD(D205,1),IFERROR(INDEX('القوائم'!$B$1:$B$288,MATCH(TRIM(D205),'القوائم'!$A$1:$A$288,0)),IFERROR(MOD(TIMEVALUE(D205),1),""))))</f>
        <v/>
      </c>
      <c r="M205">
        <f>M204</f>
        <v/>
      </c>
      <c r="Q205">
        <f>IF(N(F214)&gt;0,1,0)</f>
        <v/>
      </c>
    </row>
    <row r="206">
      <c r="A206" s="20">
        <f>IF(19&lt;=NW,SAT1+127,"")</f>
        <v/>
      </c>
      <c r="B206" s="21">
        <f>IF(A206="","",CHOOSE(WEEKDAY(A206,1),"الأحد","الاثنين","الثلاثاء","الأربعاء","الخميس","الجمعة","السبت"))</f>
        <v/>
      </c>
      <c r="C206" s="22" t="n"/>
      <c r="D206" s="22" t="n"/>
      <c r="E206" s="23">
        <f>IF(OR(M206=0,K206="",L206=""),"",MOD(L206-K206,1))</f>
        <v/>
      </c>
      <c r="F206" s="24">
        <f>IF(OR(E206="",M206=0),"",IF(ROUND_MODE="للأعلى",CEILING(ROUND((E206*24*$N$204),3),0.25),ROUND((E206*24*$N$204)*4,0)/4))</f>
        <v/>
      </c>
      <c r="G206" s="22" t="n"/>
      <c r="H206" s="22" t="n"/>
      <c r="K206" s="25">
        <f>IF(OR(M206=0,C206=""),"",IF(ISNUMBER(C206),MOD(C206,1),IFERROR(INDEX('القوائم'!$B$1:$B$288,MATCH(TRIM(C206),'القوائم'!$A$1:$A$288,0)),IFERROR(MOD(TIMEVALUE(C206),1),""))))</f>
        <v/>
      </c>
      <c r="L206" s="25">
        <f>IF(OR(M206=0,D206=""),"",IF(ISNUMBER(D206),MOD(D206,1),IFERROR(INDEX('القوائم'!$B$1:$B$288,MATCH(TRIM(D206),'القوائم'!$A$1:$A$288,0)),IFERROR(MOD(TIMEVALUE(D206),1),""))))</f>
        <v/>
      </c>
      <c r="M206">
        <f>M204</f>
        <v/>
      </c>
      <c r="Q206">
        <f>IF(N(F214)&gt;0,1,0)</f>
        <v/>
      </c>
    </row>
    <row r="207">
      <c r="A207" s="20">
        <f>IF(19&lt;=NW,SAT1+128,"")</f>
        <v/>
      </c>
      <c r="B207" s="21">
        <f>IF(A207="","",CHOOSE(WEEKDAY(A207,1),"الأحد","الاثنين","الثلاثاء","الأربعاء","الخميس","الجمعة","السبت"))</f>
        <v/>
      </c>
      <c r="C207" s="22" t="n"/>
      <c r="D207" s="22" t="n"/>
      <c r="E207" s="23">
        <f>IF(OR(M207=0,K207="",L207=""),"",MOD(L207-K207,1))</f>
        <v/>
      </c>
      <c r="F207" s="24">
        <f>IF(OR(E207="",M207=0),"",IF(ROUND_MODE="للأعلى",CEILING(ROUND((E207*24*$N$204),3),0.25),ROUND((E207*24*$N$204)*4,0)/4))</f>
        <v/>
      </c>
      <c r="G207" s="22" t="n"/>
      <c r="H207" s="22" t="n"/>
      <c r="K207" s="25">
        <f>IF(OR(M207=0,C207=""),"",IF(ISNUMBER(C207),MOD(C207,1),IFERROR(INDEX('القوائم'!$B$1:$B$288,MATCH(TRIM(C207),'القوائم'!$A$1:$A$288,0)),IFERROR(MOD(TIMEVALUE(C207),1),""))))</f>
        <v/>
      </c>
      <c r="L207" s="25">
        <f>IF(OR(M207=0,D207=""),"",IF(ISNUMBER(D207),MOD(D207,1),IFERROR(INDEX('القوائم'!$B$1:$B$288,MATCH(TRIM(D207),'القوائم'!$A$1:$A$288,0)),IFERROR(MOD(TIMEVALUE(D207),1),""))))</f>
        <v/>
      </c>
      <c r="M207">
        <f>M204</f>
        <v/>
      </c>
      <c r="Q207">
        <f>IF(N(F214)&gt;0,1,0)</f>
        <v/>
      </c>
    </row>
    <row r="208">
      <c r="A208" s="20">
        <f>IF(19&lt;=NW,SAT1+129,"")</f>
        <v/>
      </c>
      <c r="B208" s="21">
        <f>IF(A208="","",CHOOSE(WEEKDAY(A208,1),"الأحد","الاثنين","الثلاثاء","الأربعاء","الخميس","الجمعة","السبت"))</f>
        <v/>
      </c>
      <c r="C208" s="22" t="n"/>
      <c r="D208" s="22" t="n"/>
      <c r="E208" s="23">
        <f>IF(OR(M208=0,K208="",L208=""),"",MOD(L208-K208,1))</f>
        <v/>
      </c>
      <c r="F208" s="24">
        <f>IF(OR(E208="",M208=0),"",IF(ROUND_MODE="للأعلى",CEILING(ROUND((E208*24*$N$204),3),0.25),ROUND((E208*24*$N$204)*4,0)/4))</f>
        <v/>
      </c>
      <c r="G208" s="22" t="n"/>
      <c r="H208" s="22" t="n"/>
      <c r="K208" s="25">
        <f>IF(OR(M208=0,C208=""),"",IF(ISNUMBER(C208),MOD(C208,1),IFERROR(INDEX('القوائم'!$B$1:$B$288,MATCH(TRIM(C208),'القوائم'!$A$1:$A$288,0)),IFERROR(MOD(TIMEVALUE(C208),1),""))))</f>
        <v/>
      </c>
      <c r="L208" s="25">
        <f>IF(OR(M208=0,D208=""),"",IF(ISNUMBER(D208),MOD(D208,1),IFERROR(INDEX('القوائم'!$B$1:$B$288,MATCH(TRIM(D208),'القوائم'!$A$1:$A$288,0)),IFERROR(MOD(TIMEVALUE(D208),1),""))))</f>
        <v/>
      </c>
      <c r="M208">
        <f>M204</f>
        <v/>
      </c>
      <c r="Q208">
        <f>IF(N(F214)&gt;0,1,0)</f>
        <v/>
      </c>
    </row>
    <row r="209">
      <c r="A209" s="20">
        <f>IF(19&lt;=NW,SAT1+130,"")</f>
        <v/>
      </c>
      <c r="B209" s="21">
        <f>IF(A209="","",CHOOSE(WEEKDAY(A209,1),"الأحد","الاثنين","الثلاثاء","الأربعاء","الخميس","الجمعة","السبت"))</f>
        <v/>
      </c>
      <c r="C209" s="22" t="n"/>
      <c r="D209" s="22" t="n"/>
      <c r="E209" s="23">
        <f>IF(OR(M209=0,K209="",L209=""),"",MOD(L209-K209,1))</f>
        <v/>
      </c>
      <c r="F209" s="24">
        <f>IF(OR(E209="",M209=0),"",IF(ROUND_MODE="للأعلى",CEILING(ROUND((E209*24*$N$204),3),0.25),ROUND((E209*24*$N$204)*4,0)/4))</f>
        <v/>
      </c>
      <c r="G209" s="22" t="n"/>
      <c r="H209" s="22" t="n"/>
      <c r="K209" s="25">
        <f>IF(OR(M209=0,C209=""),"",IF(ISNUMBER(C209),MOD(C209,1),IFERROR(INDEX('القوائم'!$B$1:$B$288,MATCH(TRIM(C209),'القوائم'!$A$1:$A$288,0)),IFERROR(MOD(TIMEVALUE(C209),1),""))))</f>
        <v/>
      </c>
      <c r="L209" s="25">
        <f>IF(OR(M209=0,D209=""),"",IF(ISNUMBER(D209),MOD(D209,1),IFERROR(INDEX('القوائم'!$B$1:$B$288,MATCH(TRIM(D209),'القوائم'!$A$1:$A$288,0)),IFERROR(MOD(TIMEVALUE(D209),1),""))))</f>
        <v/>
      </c>
      <c r="M209">
        <f>M204</f>
        <v/>
      </c>
      <c r="Q209">
        <f>IF(N(F214)&gt;0,1,0)</f>
        <v/>
      </c>
    </row>
    <row r="210">
      <c r="A210" s="20">
        <f>IF(19&lt;=NW,SAT1+131,"")</f>
        <v/>
      </c>
      <c r="B210" s="21">
        <f>IF(A210="","",CHOOSE(WEEKDAY(A210,1),"الأحد","الاثنين","الثلاثاء","الأربعاء","الخميس","الجمعة","السبت"))</f>
        <v/>
      </c>
      <c r="C210" s="22" t="n"/>
      <c r="D210" s="22" t="n"/>
      <c r="E210" s="23">
        <f>IF(OR(M210=0,K210="",L210=""),"",MOD(L210-K210,1))</f>
        <v/>
      </c>
      <c r="F210" s="24">
        <f>IF(OR(E210="",M210=0),"",IF(ROUND_MODE="للأعلى",CEILING(ROUND((E210*24*$N$204),3),0.25),ROUND((E210*24*$N$204)*4,0)/4))</f>
        <v/>
      </c>
      <c r="G210" s="22" t="n"/>
      <c r="H210" s="22" t="n"/>
      <c r="K210" s="25">
        <f>IF(OR(M210=0,C210=""),"",IF(ISNUMBER(C210),MOD(C210,1),IFERROR(INDEX('القوائم'!$B$1:$B$288,MATCH(TRIM(C210),'القوائم'!$A$1:$A$288,0)),IFERROR(MOD(TIMEVALUE(C210),1),""))))</f>
        <v/>
      </c>
      <c r="L210" s="25">
        <f>IF(OR(M210=0,D210=""),"",IF(ISNUMBER(D210),MOD(D210,1),IFERROR(INDEX('القوائم'!$B$1:$B$288,MATCH(TRIM(D210),'القوائم'!$A$1:$A$288,0)),IFERROR(MOD(TIMEVALUE(D210),1),""))))</f>
        <v/>
      </c>
      <c r="M210">
        <f>M204</f>
        <v/>
      </c>
      <c r="Q210">
        <f>IF(N(F214)&gt;0,1,0)</f>
        <v/>
      </c>
    </row>
    <row r="211">
      <c r="A211" s="26">
        <f>IF(19&lt;=NW,SAT1+132,"")</f>
        <v/>
      </c>
      <c r="B211" s="27">
        <f>IF(A211="","",CHOOSE(WEEKDAY(A211,1),"الأحد","الاثنين","الثلاثاء","الأربعاء","الخميس","الجمعة","السبت"))</f>
        <v/>
      </c>
      <c r="C211" s="22" t="n"/>
      <c r="D211" s="22" t="n"/>
      <c r="E211" s="23">
        <f>IF(OR(M211=0,K211="",L211=""),"",MOD(L211-K211,1))</f>
        <v/>
      </c>
      <c r="F211" s="24">
        <f>IF(OR(E211="",M211=0),"",IF(ROUND_MODE="للأعلى",CEILING(ROUND((E211*24*$N$204),3),0.25),ROUND((E211*24*$N$204)*4,0)/4))</f>
        <v/>
      </c>
      <c r="G211" s="22" t="n"/>
      <c r="H211" s="22" t="n"/>
      <c r="K211" s="25">
        <f>IF(OR(M211=0,C211=""),"",IF(ISNUMBER(C211),MOD(C211,1),IFERROR(INDEX('القوائم'!$B$1:$B$288,MATCH(TRIM(C211),'القوائم'!$A$1:$A$288,0)),IFERROR(MOD(TIMEVALUE(C211),1),""))))</f>
        <v/>
      </c>
      <c r="L211" s="25">
        <f>IF(OR(M211=0,D211=""),"",IF(ISNUMBER(D211),MOD(D211,1),IFERROR(INDEX('القوائم'!$B$1:$B$288,MATCH(TRIM(D211),'القوائم'!$A$1:$A$288,0)),IFERROR(MOD(TIMEVALUE(D211),1),""))))</f>
        <v/>
      </c>
      <c r="M211">
        <f>M204</f>
        <v/>
      </c>
      <c r="Q211">
        <f>IF(N(F214)&gt;0,1,0)</f>
        <v/>
      </c>
    </row>
    <row r="212">
      <c r="A212" s="28">
        <f>IF(M204=1,"مجموع أيام الأسبوع 19","")</f>
        <v/>
      </c>
      <c r="B212" s="28" t="n"/>
      <c r="C212" s="28" t="n"/>
      <c r="D212" s="28" t="n"/>
      <c r="E212" s="29">
        <f>IF(M204=1,SUM(E205:E211),"")</f>
        <v/>
      </c>
      <c r="F212" s="30">
        <f>IF(M204=1,SUM(F205:F211),"")</f>
        <v/>
      </c>
      <c r="G212" s="41">
        <f>IF(M204=1,SUMIFS(F205:F211,G205:G211,"نعم"),"")</f>
        <v/>
      </c>
      <c r="H212" s="28" t="n"/>
    </row>
    <row r="213" ht="32" customHeight="1">
      <c r="A213" s="28">
        <f>IF(M204=1,"ساعات تحميل الجبسمبورد بهالأسبوع (رقم: 2 أو 1.5) ←","")</f>
        <v/>
      </c>
      <c r="E213" s="31" t="n"/>
      <c r="F213" s="33">
        <f>IF(M204=1,N(F212)+IF(ROUND_MODE="للأعلى",CEILING(ROUND((N(E213)*($P$204-$N$204)),3),0.25),ROUND((N(E213)*($P$204-$N$204))*4,0)/4),"")</f>
        <v/>
      </c>
      <c r="G213" s="32">
        <f>IF(M204=1,"← المستحق النهائي للأسبوع (دينار) مع فرق الجبسمبورد","")</f>
        <v/>
      </c>
    </row>
    <row r="214" ht="26" customHeight="1">
      <c r="A214" s="28">
        <f>IF(M204=1,"إكرامية الأسبوع ←","")</f>
        <v/>
      </c>
      <c r="C214" s="35" t="n"/>
      <c r="D214" s="28">
        <f>IF(M204=1,"المدفوع يوم الجمعة (التسوية) ←","")</f>
        <v/>
      </c>
      <c r="F214" s="35" t="n"/>
      <c r="G214" s="36">
        <f>IF(M204=1,IF(N(F214)&gt;0,"✔ انقبض — الأسبوع مقفول","⏳ لسا ما انقبض"),"")</f>
        <v/>
      </c>
    </row>
    <row r="215" ht="26" customHeight="1">
      <c r="A215" s="40">
        <f>IF(20&lt;=NW,"الأسبوع 20 · السبت "&amp;TEXT(DAY(SAT1+133),"00")&amp;"/"&amp;TEXT(MONTH(SAT1+133),"00")&amp;" ← الجمعة "&amp;TEXT(DAY(SAT1+139),"00")&amp;"/"&amp;TEXT(MONTH(SAT1+139),"00")&amp;" (يوم القبض)"&amp;IF(20&lt;START_Z,"   — قبل أسبوع البداية (ما بينحسب)",""),"ما في أسبوع 20 هالسنة")</f>
        <v/>
      </c>
      <c r="L215" s="19">
        <f>IF(20&lt;=NW,SAT1+139,"")</f>
        <v/>
      </c>
      <c r="M215">
        <f>IF(AND(20&lt;=NW,20&gt;=START_Z),1,0)</f>
        <v/>
      </c>
      <c r="N215">
        <f>IFERROR(INDEX(RT_AZZ,MATCH(L215,RT_K,1)),INDEX(RT_AZZ,1))</f>
        <v/>
      </c>
      <c r="P215">
        <f>IFERROR(INDEX(RT_GYP,MATCH(L215,RT_K,1)),INDEX(RT_GYP,1))</f>
        <v/>
      </c>
    </row>
    <row r="216">
      <c r="A216" s="20">
        <f>IF(20&lt;=NW,SAT1+133,"")</f>
        <v/>
      </c>
      <c r="B216" s="21">
        <f>IF(A216="","",CHOOSE(WEEKDAY(A216,1),"الأحد","الاثنين","الثلاثاء","الأربعاء","الخميس","الجمعة","السبت"))</f>
        <v/>
      </c>
      <c r="C216" s="22" t="n"/>
      <c r="D216" s="22" t="n"/>
      <c r="E216" s="23">
        <f>IF(OR(M216=0,K216="",L216=""),"",MOD(L216-K216,1))</f>
        <v/>
      </c>
      <c r="F216" s="24">
        <f>IF(OR(E216="",M216=0),"",IF(ROUND_MODE="للأعلى",CEILING(ROUND((E216*24*$N$215),3),0.25),ROUND((E216*24*$N$215)*4,0)/4))</f>
        <v/>
      </c>
      <c r="G216" s="22" t="n"/>
      <c r="H216" s="22" t="n"/>
      <c r="K216" s="25">
        <f>IF(OR(M216=0,C216=""),"",IF(ISNUMBER(C216),MOD(C216,1),IFERROR(INDEX('القوائم'!$B$1:$B$288,MATCH(TRIM(C216),'القوائم'!$A$1:$A$288,0)),IFERROR(MOD(TIMEVALUE(C216),1),""))))</f>
        <v/>
      </c>
      <c r="L216" s="25">
        <f>IF(OR(M216=0,D216=""),"",IF(ISNUMBER(D216),MOD(D216,1),IFERROR(INDEX('القوائم'!$B$1:$B$288,MATCH(TRIM(D216),'القوائم'!$A$1:$A$288,0)),IFERROR(MOD(TIMEVALUE(D216),1),""))))</f>
        <v/>
      </c>
      <c r="M216">
        <f>M215</f>
        <v/>
      </c>
      <c r="Q216">
        <f>IF(N(F225)&gt;0,1,0)</f>
        <v/>
      </c>
    </row>
    <row r="217">
      <c r="A217" s="20">
        <f>IF(20&lt;=NW,SAT1+134,"")</f>
        <v/>
      </c>
      <c r="B217" s="21">
        <f>IF(A217="","",CHOOSE(WEEKDAY(A217,1),"الأحد","الاثنين","الثلاثاء","الأربعاء","الخميس","الجمعة","السبت"))</f>
        <v/>
      </c>
      <c r="C217" s="22" t="n"/>
      <c r="D217" s="22" t="n"/>
      <c r="E217" s="23">
        <f>IF(OR(M217=0,K217="",L217=""),"",MOD(L217-K217,1))</f>
        <v/>
      </c>
      <c r="F217" s="24">
        <f>IF(OR(E217="",M217=0),"",IF(ROUND_MODE="للأعلى",CEILING(ROUND((E217*24*$N$215),3),0.25),ROUND((E217*24*$N$215)*4,0)/4))</f>
        <v/>
      </c>
      <c r="G217" s="22" t="n"/>
      <c r="H217" s="22" t="n"/>
      <c r="K217" s="25">
        <f>IF(OR(M217=0,C217=""),"",IF(ISNUMBER(C217),MOD(C217,1),IFERROR(INDEX('القوائم'!$B$1:$B$288,MATCH(TRIM(C217),'القوائم'!$A$1:$A$288,0)),IFERROR(MOD(TIMEVALUE(C217),1),""))))</f>
        <v/>
      </c>
      <c r="L217" s="25">
        <f>IF(OR(M217=0,D217=""),"",IF(ISNUMBER(D217),MOD(D217,1),IFERROR(INDEX('القوائم'!$B$1:$B$288,MATCH(TRIM(D217),'القوائم'!$A$1:$A$288,0)),IFERROR(MOD(TIMEVALUE(D217),1),""))))</f>
        <v/>
      </c>
      <c r="M217">
        <f>M215</f>
        <v/>
      </c>
      <c r="Q217">
        <f>IF(N(F225)&gt;0,1,0)</f>
        <v/>
      </c>
    </row>
    <row r="218">
      <c r="A218" s="20">
        <f>IF(20&lt;=NW,SAT1+135,"")</f>
        <v/>
      </c>
      <c r="B218" s="21">
        <f>IF(A218="","",CHOOSE(WEEKDAY(A218,1),"الأحد","الاثنين","الثلاثاء","الأربعاء","الخميس","الجمعة","السبت"))</f>
        <v/>
      </c>
      <c r="C218" s="22" t="n"/>
      <c r="D218" s="22" t="n"/>
      <c r="E218" s="23">
        <f>IF(OR(M218=0,K218="",L218=""),"",MOD(L218-K218,1))</f>
        <v/>
      </c>
      <c r="F218" s="24">
        <f>IF(OR(E218="",M218=0),"",IF(ROUND_MODE="للأعلى",CEILING(ROUND((E218*24*$N$215),3),0.25),ROUND((E218*24*$N$215)*4,0)/4))</f>
        <v/>
      </c>
      <c r="G218" s="22" t="n"/>
      <c r="H218" s="22" t="n"/>
      <c r="K218" s="25">
        <f>IF(OR(M218=0,C218=""),"",IF(ISNUMBER(C218),MOD(C218,1),IFERROR(INDEX('القوائم'!$B$1:$B$288,MATCH(TRIM(C218),'القوائم'!$A$1:$A$288,0)),IFERROR(MOD(TIMEVALUE(C218),1),""))))</f>
        <v/>
      </c>
      <c r="L218" s="25">
        <f>IF(OR(M218=0,D218=""),"",IF(ISNUMBER(D218),MOD(D218,1),IFERROR(INDEX('القوائم'!$B$1:$B$288,MATCH(TRIM(D218),'القوائم'!$A$1:$A$288,0)),IFERROR(MOD(TIMEVALUE(D218),1),""))))</f>
        <v/>
      </c>
      <c r="M218">
        <f>M215</f>
        <v/>
      </c>
      <c r="Q218">
        <f>IF(N(F225)&gt;0,1,0)</f>
        <v/>
      </c>
    </row>
    <row r="219">
      <c r="A219" s="20">
        <f>IF(20&lt;=NW,SAT1+136,"")</f>
        <v/>
      </c>
      <c r="B219" s="21">
        <f>IF(A219="","",CHOOSE(WEEKDAY(A219,1),"الأحد","الاثنين","الثلاثاء","الأربعاء","الخميس","الجمعة","السبت"))</f>
        <v/>
      </c>
      <c r="C219" s="22" t="n"/>
      <c r="D219" s="22" t="n"/>
      <c r="E219" s="23">
        <f>IF(OR(M219=0,K219="",L219=""),"",MOD(L219-K219,1))</f>
        <v/>
      </c>
      <c r="F219" s="24">
        <f>IF(OR(E219="",M219=0),"",IF(ROUND_MODE="للأعلى",CEILING(ROUND((E219*24*$N$215),3),0.25),ROUND((E219*24*$N$215)*4,0)/4))</f>
        <v/>
      </c>
      <c r="G219" s="22" t="n"/>
      <c r="H219" s="22" t="n"/>
      <c r="K219" s="25">
        <f>IF(OR(M219=0,C219=""),"",IF(ISNUMBER(C219),MOD(C219,1),IFERROR(INDEX('القوائم'!$B$1:$B$288,MATCH(TRIM(C219),'القوائم'!$A$1:$A$288,0)),IFERROR(MOD(TIMEVALUE(C219),1),""))))</f>
        <v/>
      </c>
      <c r="L219" s="25">
        <f>IF(OR(M219=0,D219=""),"",IF(ISNUMBER(D219),MOD(D219,1),IFERROR(INDEX('القوائم'!$B$1:$B$288,MATCH(TRIM(D219),'القوائم'!$A$1:$A$288,0)),IFERROR(MOD(TIMEVALUE(D219),1),""))))</f>
        <v/>
      </c>
      <c r="M219">
        <f>M215</f>
        <v/>
      </c>
      <c r="Q219">
        <f>IF(N(F225)&gt;0,1,0)</f>
        <v/>
      </c>
    </row>
    <row r="220">
      <c r="A220" s="20">
        <f>IF(20&lt;=NW,SAT1+137,"")</f>
        <v/>
      </c>
      <c r="B220" s="21">
        <f>IF(A220="","",CHOOSE(WEEKDAY(A220,1),"الأحد","الاثنين","الثلاثاء","الأربعاء","الخميس","الجمعة","السبت"))</f>
        <v/>
      </c>
      <c r="C220" s="22" t="n"/>
      <c r="D220" s="22" t="n"/>
      <c r="E220" s="23">
        <f>IF(OR(M220=0,K220="",L220=""),"",MOD(L220-K220,1))</f>
        <v/>
      </c>
      <c r="F220" s="24">
        <f>IF(OR(E220="",M220=0),"",IF(ROUND_MODE="للأعلى",CEILING(ROUND((E220*24*$N$215),3),0.25),ROUND((E220*24*$N$215)*4,0)/4))</f>
        <v/>
      </c>
      <c r="G220" s="22" t="n"/>
      <c r="H220" s="22" t="n"/>
      <c r="K220" s="25">
        <f>IF(OR(M220=0,C220=""),"",IF(ISNUMBER(C220),MOD(C220,1),IFERROR(INDEX('القوائم'!$B$1:$B$288,MATCH(TRIM(C220),'القوائم'!$A$1:$A$288,0)),IFERROR(MOD(TIMEVALUE(C220),1),""))))</f>
        <v/>
      </c>
      <c r="L220" s="25">
        <f>IF(OR(M220=0,D220=""),"",IF(ISNUMBER(D220),MOD(D220,1),IFERROR(INDEX('القوائم'!$B$1:$B$288,MATCH(TRIM(D220),'القوائم'!$A$1:$A$288,0)),IFERROR(MOD(TIMEVALUE(D220),1),""))))</f>
        <v/>
      </c>
      <c r="M220">
        <f>M215</f>
        <v/>
      </c>
      <c r="Q220">
        <f>IF(N(F225)&gt;0,1,0)</f>
        <v/>
      </c>
    </row>
    <row r="221">
      <c r="A221" s="20">
        <f>IF(20&lt;=NW,SAT1+138,"")</f>
        <v/>
      </c>
      <c r="B221" s="21">
        <f>IF(A221="","",CHOOSE(WEEKDAY(A221,1),"الأحد","الاثنين","الثلاثاء","الأربعاء","الخميس","الجمعة","السبت"))</f>
        <v/>
      </c>
      <c r="C221" s="22" t="n"/>
      <c r="D221" s="22" t="n"/>
      <c r="E221" s="23">
        <f>IF(OR(M221=0,K221="",L221=""),"",MOD(L221-K221,1))</f>
        <v/>
      </c>
      <c r="F221" s="24">
        <f>IF(OR(E221="",M221=0),"",IF(ROUND_MODE="للأعلى",CEILING(ROUND((E221*24*$N$215),3),0.25),ROUND((E221*24*$N$215)*4,0)/4))</f>
        <v/>
      </c>
      <c r="G221" s="22" t="n"/>
      <c r="H221" s="22" t="n"/>
      <c r="K221" s="25">
        <f>IF(OR(M221=0,C221=""),"",IF(ISNUMBER(C221),MOD(C221,1),IFERROR(INDEX('القوائم'!$B$1:$B$288,MATCH(TRIM(C221),'القوائم'!$A$1:$A$288,0)),IFERROR(MOD(TIMEVALUE(C221),1),""))))</f>
        <v/>
      </c>
      <c r="L221" s="25">
        <f>IF(OR(M221=0,D221=""),"",IF(ISNUMBER(D221),MOD(D221,1),IFERROR(INDEX('القوائم'!$B$1:$B$288,MATCH(TRIM(D221),'القوائم'!$A$1:$A$288,0)),IFERROR(MOD(TIMEVALUE(D221),1),""))))</f>
        <v/>
      </c>
      <c r="M221">
        <f>M215</f>
        <v/>
      </c>
      <c r="Q221">
        <f>IF(N(F225)&gt;0,1,0)</f>
        <v/>
      </c>
    </row>
    <row r="222">
      <c r="A222" s="26">
        <f>IF(20&lt;=NW,SAT1+139,"")</f>
        <v/>
      </c>
      <c r="B222" s="27">
        <f>IF(A222="","",CHOOSE(WEEKDAY(A222,1),"الأحد","الاثنين","الثلاثاء","الأربعاء","الخميس","الجمعة","السبت"))</f>
        <v/>
      </c>
      <c r="C222" s="22" t="n"/>
      <c r="D222" s="22" t="n"/>
      <c r="E222" s="23">
        <f>IF(OR(M222=0,K222="",L222=""),"",MOD(L222-K222,1))</f>
        <v/>
      </c>
      <c r="F222" s="24">
        <f>IF(OR(E222="",M222=0),"",IF(ROUND_MODE="للأعلى",CEILING(ROUND((E222*24*$N$215),3),0.25),ROUND((E222*24*$N$215)*4,0)/4))</f>
        <v/>
      </c>
      <c r="G222" s="22" t="n"/>
      <c r="H222" s="22" t="n"/>
      <c r="K222" s="25">
        <f>IF(OR(M222=0,C222=""),"",IF(ISNUMBER(C222),MOD(C222,1),IFERROR(INDEX('القوائم'!$B$1:$B$288,MATCH(TRIM(C222),'القوائم'!$A$1:$A$288,0)),IFERROR(MOD(TIMEVALUE(C222),1),""))))</f>
        <v/>
      </c>
      <c r="L222" s="25">
        <f>IF(OR(M222=0,D222=""),"",IF(ISNUMBER(D222),MOD(D222,1),IFERROR(INDEX('القوائم'!$B$1:$B$288,MATCH(TRIM(D222),'القوائم'!$A$1:$A$288,0)),IFERROR(MOD(TIMEVALUE(D222),1),""))))</f>
        <v/>
      </c>
      <c r="M222">
        <f>M215</f>
        <v/>
      </c>
      <c r="Q222">
        <f>IF(N(F225)&gt;0,1,0)</f>
        <v/>
      </c>
    </row>
    <row r="223">
      <c r="A223" s="28">
        <f>IF(M215=1,"مجموع أيام الأسبوع 20","")</f>
        <v/>
      </c>
      <c r="B223" s="28" t="n"/>
      <c r="C223" s="28" t="n"/>
      <c r="D223" s="28" t="n"/>
      <c r="E223" s="29">
        <f>IF(M215=1,SUM(E216:E222),"")</f>
        <v/>
      </c>
      <c r="F223" s="30">
        <f>IF(M215=1,SUM(F216:F222),"")</f>
        <v/>
      </c>
      <c r="G223" s="41">
        <f>IF(M215=1,SUMIFS(F216:F222,G216:G222,"نعم"),"")</f>
        <v/>
      </c>
      <c r="H223" s="28" t="n"/>
    </row>
    <row r="224" ht="32" customHeight="1">
      <c r="A224" s="28">
        <f>IF(M215=1,"ساعات تحميل الجبسمبورد بهالأسبوع (رقم: 2 أو 1.5) ←","")</f>
        <v/>
      </c>
      <c r="E224" s="31" t="n"/>
      <c r="F224" s="33">
        <f>IF(M215=1,N(F223)+IF(ROUND_MODE="للأعلى",CEILING(ROUND((N(E224)*($P$215-$N$215)),3),0.25),ROUND((N(E224)*($P$215-$N$215))*4,0)/4),"")</f>
        <v/>
      </c>
      <c r="G224" s="32">
        <f>IF(M215=1,"← المستحق النهائي للأسبوع (دينار) مع فرق الجبسمبورد","")</f>
        <v/>
      </c>
    </row>
    <row r="225" ht="26" customHeight="1">
      <c r="A225" s="28">
        <f>IF(M215=1,"إكرامية الأسبوع ←","")</f>
        <v/>
      </c>
      <c r="C225" s="35" t="n"/>
      <c r="D225" s="28">
        <f>IF(M215=1,"المدفوع يوم الجمعة (التسوية) ←","")</f>
        <v/>
      </c>
      <c r="F225" s="35" t="n"/>
      <c r="G225" s="36">
        <f>IF(M215=1,IF(N(F225)&gt;0,"✔ انقبض — الأسبوع مقفول","⏳ لسا ما انقبض"),"")</f>
        <v/>
      </c>
    </row>
    <row r="226" ht="26" customHeight="1">
      <c r="A226" s="40">
        <f>IF(21&lt;=NW,"الأسبوع 21 · السبت "&amp;TEXT(DAY(SAT1+140),"00")&amp;"/"&amp;TEXT(MONTH(SAT1+140),"00")&amp;" ← الجمعة "&amp;TEXT(DAY(SAT1+146),"00")&amp;"/"&amp;TEXT(MONTH(SAT1+146),"00")&amp;" (يوم القبض)"&amp;IF(21&lt;START_Z,"   — قبل أسبوع البداية (ما بينحسب)",""),"ما في أسبوع 21 هالسنة")</f>
        <v/>
      </c>
      <c r="L226" s="19">
        <f>IF(21&lt;=NW,SAT1+146,"")</f>
        <v/>
      </c>
      <c r="M226">
        <f>IF(AND(21&lt;=NW,21&gt;=START_Z),1,0)</f>
        <v/>
      </c>
      <c r="N226">
        <f>IFERROR(INDEX(RT_AZZ,MATCH(L226,RT_K,1)),INDEX(RT_AZZ,1))</f>
        <v/>
      </c>
      <c r="P226">
        <f>IFERROR(INDEX(RT_GYP,MATCH(L226,RT_K,1)),INDEX(RT_GYP,1))</f>
        <v/>
      </c>
    </row>
    <row r="227">
      <c r="A227" s="20">
        <f>IF(21&lt;=NW,SAT1+140,"")</f>
        <v/>
      </c>
      <c r="B227" s="21">
        <f>IF(A227="","",CHOOSE(WEEKDAY(A227,1),"الأحد","الاثنين","الثلاثاء","الأربعاء","الخميس","الجمعة","السبت"))</f>
        <v/>
      </c>
      <c r="C227" s="22" t="n"/>
      <c r="D227" s="22" t="n"/>
      <c r="E227" s="23">
        <f>IF(OR(M227=0,K227="",L227=""),"",MOD(L227-K227,1))</f>
        <v/>
      </c>
      <c r="F227" s="24">
        <f>IF(OR(E227="",M227=0),"",IF(ROUND_MODE="للأعلى",CEILING(ROUND((E227*24*$N$226),3),0.25),ROUND((E227*24*$N$226)*4,0)/4))</f>
        <v/>
      </c>
      <c r="G227" s="22" t="n"/>
      <c r="H227" s="22" t="n"/>
      <c r="K227" s="25">
        <f>IF(OR(M227=0,C227=""),"",IF(ISNUMBER(C227),MOD(C227,1),IFERROR(INDEX('القوائم'!$B$1:$B$288,MATCH(TRIM(C227),'القوائم'!$A$1:$A$288,0)),IFERROR(MOD(TIMEVALUE(C227),1),""))))</f>
        <v/>
      </c>
      <c r="L227" s="25">
        <f>IF(OR(M227=0,D227=""),"",IF(ISNUMBER(D227),MOD(D227,1),IFERROR(INDEX('القوائم'!$B$1:$B$288,MATCH(TRIM(D227),'القوائم'!$A$1:$A$288,0)),IFERROR(MOD(TIMEVALUE(D227),1),""))))</f>
        <v/>
      </c>
      <c r="M227">
        <f>M226</f>
        <v/>
      </c>
      <c r="Q227">
        <f>IF(N(F236)&gt;0,1,0)</f>
        <v/>
      </c>
    </row>
    <row r="228">
      <c r="A228" s="20">
        <f>IF(21&lt;=NW,SAT1+141,"")</f>
        <v/>
      </c>
      <c r="B228" s="21">
        <f>IF(A228="","",CHOOSE(WEEKDAY(A228,1),"الأحد","الاثنين","الثلاثاء","الأربعاء","الخميس","الجمعة","السبت"))</f>
        <v/>
      </c>
      <c r="C228" s="22" t="n"/>
      <c r="D228" s="22" t="n"/>
      <c r="E228" s="23">
        <f>IF(OR(M228=0,K228="",L228=""),"",MOD(L228-K228,1))</f>
        <v/>
      </c>
      <c r="F228" s="24">
        <f>IF(OR(E228="",M228=0),"",IF(ROUND_MODE="للأعلى",CEILING(ROUND((E228*24*$N$226),3),0.25),ROUND((E228*24*$N$226)*4,0)/4))</f>
        <v/>
      </c>
      <c r="G228" s="22" t="n"/>
      <c r="H228" s="22" t="n"/>
      <c r="K228" s="25">
        <f>IF(OR(M228=0,C228=""),"",IF(ISNUMBER(C228),MOD(C228,1),IFERROR(INDEX('القوائم'!$B$1:$B$288,MATCH(TRIM(C228),'القوائم'!$A$1:$A$288,0)),IFERROR(MOD(TIMEVALUE(C228),1),""))))</f>
        <v/>
      </c>
      <c r="L228" s="25">
        <f>IF(OR(M228=0,D228=""),"",IF(ISNUMBER(D228),MOD(D228,1),IFERROR(INDEX('القوائم'!$B$1:$B$288,MATCH(TRIM(D228),'القوائم'!$A$1:$A$288,0)),IFERROR(MOD(TIMEVALUE(D228),1),""))))</f>
        <v/>
      </c>
      <c r="M228">
        <f>M226</f>
        <v/>
      </c>
      <c r="Q228">
        <f>IF(N(F236)&gt;0,1,0)</f>
        <v/>
      </c>
    </row>
    <row r="229">
      <c r="A229" s="20">
        <f>IF(21&lt;=NW,SAT1+142,"")</f>
        <v/>
      </c>
      <c r="B229" s="21">
        <f>IF(A229="","",CHOOSE(WEEKDAY(A229,1),"الأحد","الاثنين","الثلاثاء","الأربعاء","الخميس","الجمعة","السبت"))</f>
        <v/>
      </c>
      <c r="C229" s="22" t="n"/>
      <c r="D229" s="22" t="n"/>
      <c r="E229" s="23">
        <f>IF(OR(M229=0,K229="",L229=""),"",MOD(L229-K229,1))</f>
        <v/>
      </c>
      <c r="F229" s="24">
        <f>IF(OR(E229="",M229=0),"",IF(ROUND_MODE="للأعلى",CEILING(ROUND((E229*24*$N$226),3),0.25),ROUND((E229*24*$N$226)*4,0)/4))</f>
        <v/>
      </c>
      <c r="G229" s="22" t="n"/>
      <c r="H229" s="22" t="n"/>
      <c r="K229" s="25">
        <f>IF(OR(M229=0,C229=""),"",IF(ISNUMBER(C229),MOD(C229,1),IFERROR(INDEX('القوائم'!$B$1:$B$288,MATCH(TRIM(C229),'القوائم'!$A$1:$A$288,0)),IFERROR(MOD(TIMEVALUE(C229),1),""))))</f>
        <v/>
      </c>
      <c r="L229" s="25">
        <f>IF(OR(M229=0,D229=""),"",IF(ISNUMBER(D229),MOD(D229,1),IFERROR(INDEX('القوائم'!$B$1:$B$288,MATCH(TRIM(D229),'القوائم'!$A$1:$A$288,0)),IFERROR(MOD(TIMEVALUE(D229),1),""))))</f>
        <v/>
      </c>
      <c r="M229">
        <f>M226</f>
        <v/>
      </c>
      <c r="Q229">
        <f>IF(N(F236)&gt;0,1,0)</f>
        <v/>
      </c>
    </row>
    <row r="230">
      <c r="A230" s="20">
        <f>IF(21&lt;=NW,SAT1+143,"")</f>
        <v/>
      </c>
      <c r="B230" s="21">
        <f>IF(A230="","",CHOOSE(WEEKDAY(A230,1),"الأحد","الاثنين","الثلاثاء","الأربعاء","الخميس","الجمعة","السبت"))</f>
        <v/>
      </c>
      <c r="C230" s="22" t="n"/>
      <c r="D230" s="22" t="n"/>
      <c r="E230" s="23">
        <f>IF(OR(M230=0,K230="",L230=""),"",MOD(L230-K230,1))</f>
        <v/>
      </c>
      <c r="F230" s="24">
        <f>IF(OR(E230="",M230=0),"",IF(ROUND_MODE="للأعلى",CEILING(ROUND((E230*24*$N$226),3),0.25),ROUND((E230*24*$N$226)*4,0)/4))</f>
        <v/>
      </c>
      <c r="G230" s="22" t="n"/>
      <c r="H230" s="22" t="n"/>
      <c r="K230" s="25">
        <f>IF(OR(M230=0,C230=""),"",IF(ISNUMBER(C230),MOD(C230,1),IFERROR(INDEX('القوائم'!$B$1:$B$288,MATCH(TRIM(C230),'القوائم'!$A$1:$A$288,0)),IFERROR(MOD(TIMEVALUE(C230),1),""))))</f>
        <v/>
      </c>
      <c r="L230" s="25">
        <f>IF(OR(M230=0,D230=""),"",IF(ISNUMBER(D230),MOD(D230,1),IFERROR(INDEX('القوائم'!$B$1:$B$288,MATCH(TRIM(D230),'القوائم'!$A$1:$A$288,0)),IFERROR(MOD(TIMEVALUE(D230),1),""))))</f>
        <v/>
      </c>
      <c r="M230">
        <f>M226</f>
        <v/>
      </c>
      <c r="Q230">
        <f>IF(N(F236)&gt;0,1,0)</f>
        <v/>
      </c>
    </row>
    <row r="231">
      <c r="A231" s="20">
        <f>IF(21&lt;=NW,SAT1+144,"")</f>
        <v/>
      </c>
      <c r="B231" s="21">
        <f>IF(A231="","",CHOOSE(WEEKDAY(A231,1),"الأحد","الاثنين","الثلاثاء","الأربعاء","الخميس","الجمعة","السبت"))</f>
        <v/>
      </c>
      <c r="C231" s="22" t="n"/>
      <c r="D231" s="22" t="n"/>
      <c r="E231" s="23">
        <f>IF(OR(M231=0,K231="",L231=""),"",MOD(L231-K231,1))</f>
        <v/>
      </c>
      <c r="F231" s="24">
        <f>IF(OR(E231="",M231=0),"",IF(ROUND_MODE="للأعلى",CEILING(ROUND((E231*24*$N$226),3),0.25),ROUND((E231*24*$N$226)*4,0)/4))</f>
        <v/>
      </c>
      <c r="G231" s="22" t="n"/>
      <c r="H231" s="22" t="n"/>
      <c r="K231" s="25">
        <f>IF(OR(M231=0,C231=""),"",IF(ISNUMBER(C231),MOD(C231,1),IFERROR(INDEX('القوائم'!$B$1:$B$288,MATCH(TRIM(C231),'القوائم'!$A$1:$A$288,0)),IFERROR(MOD(TIMEVALUE(C231),1),""))))</f>
        <v/>
      </c>
      <c r="L231" s="25">
        <f>IF(OR(M231=0,D231=""),"",IF(ISNUMBER(D231),MOD(D231,1),IFERROR(INDEX('القوائم'!$B$1:$B$288,MATCH(TRIM(D231),'القوائم'!$A$1:$A$288,0)),IFERROR(MOD(TIMEVALUE(D231),1),""))))</f>
        <v/>
      </c>
      <c r="M231">
        <f>M226</f>
        <v/>
      </c>
      <c r="Q231">
        <f>IF(N(F236)&gt;0,1,0)</f>
        <v/>
      </c>
    </row>
    <row r="232">
      <c r="A232" s="20">
        <f>IF(21&lt;=NW,SAT1+145,"")</f>
        <v/>
      </c>
      <c r="B232" s="21">
        <f>IF(A232="","",CHOOSE(WEEKDAY(A232,1),"الأحد","الاثنين","الثلاثاء","الأربعاء","الخميس","الجمعة","السبت"))</f>
        <v/>
      </c>
      <c r="C232" s="22" t="n"/>
      <c r="D232" s="22" t="n"/>
      <c r="E232" s="23">
        <f>IF(OR(M232=0,K232="",L232=""),"",MOD(L232-K232,1))</f>
        <v/>
      </c>
      <c r="F232" s="24">
        <f>IF(OR(E232="",M232=0),"",IF(ROUND_MODE="للأعلى",CEILING(ROUND((E232*24*$N$226),3),0.25),ROUND((E232*24*$N$226)*4,0)/4))</f>
        <v/>
      </c>
      <c r="G232" s="22" t="n"/>
      <c r="H232" s="22" t="n"/>
      <c r="K232" s="25">
        <f>IF(OR(M232=0,C232=""),"",IF(ISNUMBER(C232),MOD(C232,1),IFERROR(INDEX('القوائم'!$B$1:$B$288,MATCH(TRIM(C232),'القوائم'!$A$1:$A$288,0)),IFERROR(MOD(TIMEVALUE(C232),1),""))))</f>
        <v/>
      </c>
      <c r="L232" s="25">
        <f>IF(OR(M232=0,D232=""),"",IF(ISNUMBER(D232),MOD(D232,1),IFERROR(INDEX('القوائم'!$B$1:$B$288,MATCH(TRIM(D232),'القوائم'!$A$1:$A$288,0)),IFERROR(MOD(TIMEVALUE(D232),1),""))))</f>
        <v/>
      </c>
      <c r="M232">
        <f>M226</f>
        <v/>
      </c>
      <c r="Q232">
        <f>IF(N(F236)&gt;0,1,0)</f>
        <v/>
      </c>
    </row>
    <row r="233">
      <c r="A233" s="26">
        <f>IF(21&lt;=NW,SAT1+146,"")</f>
        <v/>
      </c>
      <c r="B233" s="27">
        <f>IF(A233="","",CHOOSE(WEEKDAY(A233,1),"الأحد","الاثنين","الثلاثاء","الأربعاء","الخميس","الجمعة","السبت"))</f>
        <v/>
      </c>
      <c r="C233" s="22" t="n"/>
      <c r="D233" s="22" t="n"/>
      <c r="E233" s="23">
        <f>IF(OR(M233=0,K233="",L233=""),"",MOD(L233-K233,1))</f>
        <v/>
      </c>
      <c r="F233" s="24">
        <f>IF(OR(E233="",M233=0),"",IF(ROUND_MODE="للأعلى",CEILING(ROUND((E233*24*$N$226),3),0.25),ROUND((E233*24*$N$226)*4,0)/4))</f>
        <v/>
      </c>
      <c r="G233" s="22" t="n"/>
      <c r="H233" s="22" t="n"/>
      <c r="K233" s="25">
        <f>IF(OR(M233=0,C233=""),"",IF(ISNUMBER(C233),MOD(C233,1),IFERROR(INDEX('القوائم'!$B$1:$B$288,MATCH(TRIM(C233),'القوائم'!$A$1:$A$288,0)),IFERROR(MOD(TIMEVALUE(C233),1),""))))</f>
        <v/>
      </c>
      <c r="L233" s="25">
        <f>IF(OR(M233=0,D233=""),"",IF(ISNUMBER(D233),MOD(D233,1),IFERROR(INDEX('القوائم'!$B$1:$B$288,MATCH(TRIM(D233),'القوائم'!$A$1:$A$288,0)),IFERROR(MOD(TIMEVALUE(D233),1),""))))</f>
        <v/>
      </c>
      <c r="M233">
        <f>M226</f>
        <v/>
      </c>
      <c r="Q233">
        <f>IF(N(F236)&gt;0,1,0)</f>
        <v/>
      </c>
    </row>
    <row r="234">
      <c r="A234" s="28">
        <f>IF(M226=1,"مجموع أيام الأسبوع 21","")</f>
        <v/>
      </c>
      <c r="B234" s="28" t="n"/>
      <c r="C234" s="28" t="n"/>
      <c r="D234" s="28" t="n"/>
      <c r="E234" s="29">
        <f>IF(M226=1,SUM(E227:E233),"")</f>
        <v/>
      </c>
      <c r="F234" s="30">
        <f>IF(M226=1,SUM(F227:F233),"")</f>
        <v/>
      </c>
      <c r="G234" s="41">
        <f>IF(M226=1,SUMIFS(F227:F233,G227:G233,"نعم"),"")</f>
        <v/>
      </c>
      <c r="H234" s="28" t="n"/>
    </row>
    <row r="235" ht="32" customHeight="1">
      <c r="A235" s="28">
        <f>IF(M226=1,"ساعات تحميل الجبسمبورد بهالأسبوع (رقم: 2 أو 1.5) ←","")</f>
        <v/>
      </c>
      <c r="E235" s="31" t="n"/>
      <c r="F235" s="33">
        <f>IF(M226=1,N(F234)+IF(ROUND_MODE="للأعلى",CEILING(ROUND((N(E235)*($P$226-$N$226)),3),0.25),ROUND((N(E235)*($P$226-$N$226))*4,0)/4),"")</f>
        <v/>
      </c>
      <c r="G235" s="32">
        <f>IF(M226=1,"← المستحق النهائي للأسبوع (دينار) مع فرق الجبسمبورد","")</f>
        <v/>
      </c>
    </row>
    <row r="236" ht="26" customHeight="1">
      <c r="A236" s="28">
        <f>IF(M226=1,"إكرامية الأسبوع ←","")</f>
        <v/>
      </c>
      <c r="C236" s="35" t="n"/>
      <c r="D236" s="28">
        <f>IF(M226=1,"المدفوع يوم الجمعة (التسوية) ←","")</f>
        <v/>
      </c>
      <c r="F236" s="35" t="n"/>
      <c r="G236" s="36">
        <f>IF(M226=1,IF(N(F236)&gt;0,"✔ انقبض — الأسبوع مقفول","⏳ لسا ما انقبض"),"")</f>
        <v/>
      </c>
    </row>
    <row r="237" ht="26" customHeight="1">
      <c r="A237" s="40">
        <f>IF(22&lt;=NW,"الأسبوع 22 · السبت "&amp;TEXT(DAY(SAT1+147),"00")&amp;"/"&amp;TEXT(MONTH(SAT1+147),"00")&amp;" ← الجمعة "&amp;TEXT(DAY(SAT1+153),"00")&amp;"/"&amp;TEXT(MONTH(SAT1+153),"00")&amp;" (يوم القبض)"&amp;IF(22&lt;START_Z,"   — قبل أسبوع البداية (ما بينحسب)",""),"ما في أسبوع 22 هالسنة")</f>
        <v/>
      </c>
      <c r="L237" s="19">
        <f>IF(22&lt;=NW,SAT1+153,"")</f>
        <v/>
      </c>
      <c r="M237">
        <f>IF(AND(22&lt;=NW,22&gt;=START_Z),1,0)</f>
        <v/>
      </c>
      <c r="N237">
        <f>IFERROR(INDEX(RT_AZZ,MATCH(L237,RT_K,1)),INDEX(RT_AZZ,1))</f>
        <v/>
      </c>
      <c r="P237">
        <f>IFERROR(INDEX(RT_GYP,MATCH(L237,RT_K,1)),INDEX(RT_GYP,1))</f>
        <v/>
      </c>
    </row>
    <row r="238">
      <c r="A238" s="20">
        <f>IF(22&lt;=NW,SAT1+147,"")</f>
        <v/>
      </c>
      <c r="B238" s="21">
        <f>IF(A238="","",CHOOSE(WEEKDAY(A238,1),"الأحد","الاثنين","الثلاثاء","الأربعاء","الخميس","الجمعة","السبت"))</f>
        <v/>
      </c>
      <c r="C238" s="22" t="n"/>
      <c r="D238" s="22" t="n"/>
      <c r="E238" s="23">
        <f>IF(OR(M238=0,K238="",L238=""),"",MOD(L238-K238,1))</f>
        <v/>
      </c>
      <c r="F238" s="24">
        <f>IF(OR(E238="",M238=0),"",IF(ROUND_MODE="للأعلى",CEILING(ROUND((E238*24*$N$237),3),0.25),ROUND((E238*24*$N$237)*4,0)/4))</f>
        <v/>
      </c>
      <c r="G238" s="22" t="n"/>
      <c r="H238" s="22" t="n"/>
      <c r="K238" s="25">
        <f>IF(OR(M238=0,C238=""),"",IF(ISNUMBER(C238),MOD(C238,1),IFERROR(INDEX('القوائم'!$B$1:$B$288,MATCH(TRIM(C238),'القوائم'!$A$1:$A$288,0)),IFERROR(MOD(TIMEVALUE(C238),1),""))))</f>
        <v/>
      </c>
      <c r="L238" s="25">
        <f>IF(OR(M238=0,D238=""),"",IF(ISNUMBER(D238),MOD(D238,1),IFERROR(INDEX('القوائم'!$B$1:$B$288,MATCH(TRIM(D238),'القوائم'!$A$1:$A$288,0)),IFERROR(MOD(TIMEVALUE(D238),1),""))))</f>
        <v/>
      </c>
      <c r="M238">
        <f>M237</f>
        <v/>
      </c>
      <c r="Q238">
        <f>IF(N(F247)&gt;0,1,0)</f>
        <v/>
      </c>
    </row>
    <row r="239">
      <c r="A239" s="20">
        <f>IF(22&lt;=NW,SAT1+148,"")</f>
        <v/>
      </c>
      <c r="B239" s="21">
        <f>IF(A239="","",CHOOSE(WEEKDAY(A239,1),"الأحد","الاثنين","الثلاثاء","الأربعاء","الخميس","الجمعة","السبت"))</f>
        <v/>
      </c>
      <c r="C239" s="22" t="n"/>
      <c r="D239" s="22" t="n"/>
      <c r="E239" s="23">
        <f>IF(OR(M239=0,K239="",L239=""),"",MOD(L239-K239,1))</f>
        <v/>
      </c>
      <c r="F239" s="24">
        <f>IF(OR(E239="",M239=0),"",IF(ROUND_MODE="للأعلى",CEILING(ROUND((E239*24*$N$237),3),0.25),ROUND((E239*24*$N$237)*4,0)/4))</f>
        <v/>
      </c>
      <c r="G239" s="22" t="n"/>
      <c r="H239" s="22" t="n"/>
      <c r="K239" s="25">
        <f>IF(OR(M239=0,C239=""),"",IF(ISNUMBER(C239),MOD(C239,1),IFERROR(INDEX('القوائم'!$B$1:$B$288,MATCH(TRIM(C239),'القوائم'!$A$1:$A$288,0)),IFERROR(MOD(TIMEVALUE(C239),1),""))))</f>
        <v/>
      </c>
      <c r="L239" s="25">
        <f>IF(OR(M239=0,D239=""),"",IF(ISNUMBER(D239),MOD(D239,1),IFERROR(INDEX('القوائم'!$B$1:$B$288,MATCH(TRIM(D239),'القوائم'!$A$1:$A$288,0)),IFERROR(MOD(TIMEVALUE(D239),1),""))))</f>
        <v/>
      </c>
      <c r="M239">
        <f>M237</f>
        <v/>
      </c>
      <c r="Q239">
        <f>IF(N(F247)&gt;0,1,0)</f>
        <v/>
      </c>
    </row>
    <row r="240">
      <c r="A240" s="20">
        <f>IF(22&lt;=NW,SAT1+149,"")</f>
        <v/>
      </c>
      <c r="B240" s="21">
        <f>IF(A240="","",CHOOSE(WEEKDAY(A240,1),"الأحد","الاثنين","الثلاثاء","الأربعاء","الخميس","الجمعة","السبت"))</f>
        <v/>
      </c>
      <c r="C240" s="22" t="n"/>
      <c r="D240" s="22" t="n"/>
      <c r="E240" s="23">
        <f>IF(OR(M240=0,K240="",L240=""),"",MOD(L240-K240,1))</f>
        <v/>
      </c>
      <c r="F240" s="24">
        <f>IF(OR(E240="",M240=0),"",IF(ROUND_MODE="للأعلى",CEILING(ROUND((E240*24*$N$237),3),0.25),ROUND((E240*24*$N$237)*4,0)/4))</f>
        <v/>
      </c>
      <c r="G240" s="22" t="n"/>
      <c r="H240" s="22" t="n"/>
      <c r="K240" s="25">
        <f>IF(OR(M240=0,C240=""),"",IF(ISNUMBER(C240),MOD(C240,1),IFERROR(INDEX('القوائم'!$B$1:$B$288,MATCH(TRIM(C240),'القوائم'!$A$1:$A$288,0)),IFERROR(MOD(TIMEVALUE(C240),1),""))))</f>
        <v/>
      </c>
      <c r="L240" s="25">
        <f>IF(OR(M240=0,D240=""),"",IF(ISNUMBER(D240),MOD(D240,1),IFERROR(INDEX('القوائم'!$B$1:$B$288,MATCH(TRIM(D240),'القوائم'!$A$1:$A$288,0)),IFERROR(MOD(TIMEVALUE(D240),1),""))))</f>
        <v/>
      </c>
      <c r="M240">
        <f>M237</f>
        <v/>
      </c>
      <c r="Q240">
        <f>IF(N(F247)&gt;0,1,0)</f>
        <v/>
      </c>
    </row>
    <row r="241">
      <c r="A241" s="20">
        <f>IF(22&lt;=NW,SAT1+150,"")</f>
        <v/>
      </c>
      <c r="B241" s="21">
        <f>IF(A241="","",CHOOSE(WEEKDAY(A241,1),"الأحد","الاثنين","الثلاثاء","الأربعاء","الخميس","الجمعة","السبت"))</f>
        <v/>
      </c>
      <c r="C241" s="22" t="n"/>
      <c r="D241" s="22" t="n"/>
      <c r="E241" s="23">
        <f>IF(OR(M241=0,K241="",L241=""),"",MOD(L241-K241,1))</f>
        <v/>
      </c>
      <c r="F241" s="24">
        <f>IF(OR(E241="",M241=0),"",IF(ROUND_MODE="للأعلى",CEILING(ROUND((E241*24*$N$237),3),0.25),ROUND((E241*24*$N$237)*4,0)/4))</f>
        <v/>
      </c>
      <c r="G241" s="22" t="n"/>
      <c r="H241" s="22" t="n"/>
      <c r="K241" s="25">
        <f>IF(OR(M241=0,C241=""),"",IF(ISNUMBER(C241),MOD(C241,1),IFERROR(INDEX('القوائم'!$B$1:$B$288,MATCH(TRIM(C241),'القوائم'!$A$1:$A$288,0)),IFERROR(MOD(TIMEVALUE(C241),1),""))))</f>
        <v/>
      </c>
      <c r="L241" s="25">
        <f>IF(OR(M241=0,D241=""),"",IF(ISNUMBER(D241),MOD(D241,1),IFERROR(INDEX('القوائم'!$B$1:$B$288,MATCH(TRIM(D241),'القوائم'!$A$1:$A$288,0)),IFERROR(MOD(TIMEVALUE(D241),1),""))))</f>
        <v/>
      </c>
      <c r="M241">
        <f>M237</f>
        <v/>
      </c>
      <c r="Q241">
        <f>IF(N(F247)&gt;0,1,0)</f>
        <v/>
      </c>
    </row>
    <row r="242">
      <c r="A242" s="20">
        <f>IF(22&lt;=NW,SAT1+151,"")</f>
        <v/>
      </c>
      <c r="B242" s="21">
        <f>IF(A242="","",CHOOSE(WEEKDAY(A242,1),"الأحد","الاثنين","الثلاثاء","الأربعاء","الخميس","الجمعة","السبت"))</f>
        <v/>
      </c>
      <c r="C242" s="22" t="n"/>
      <c r="D242" s="22" t="n"/>
      <c r="E242" s="23">
        <f>IF(OR(M242=0,K242="",L242=""),"",MOD(L242-K242,1))</f>
        <v/>
      </c>
      <c r="F242" s="24">
        <f>IF(OR(E242="",M242=0),"",IF(ROUND_MODE="للأعلى",CEILING(ROUND((E242*24*$N$237),3),0.25),ROUND((E242*24*$N$237)*4,0)/4))</f>
        <v/>
      </c>
      <c r="G242" s="22" t="n"/>
      <c r="H242" s="22" t="n"/>
      <c r="K242" s="25">
        <f>IF(OR(M242=0,C242=""),"",IF(ISNUMBER(C242),MOD(C242,1),IFERROR(INDEX('القوائم'!$B$1:$B$288,MATCH(TRIM(C242),'القوائم'!$A$1:$A$288,0)),IFERROR(MOD(TIMEVALUE(C242),1),""))))</f>
        <v/>
      </c>
      <c r="L242" s="25">
        <f>IF(OR(M242=0,D242=""),"",IF(ISNUMBER(D242),MOD(D242,1),IFERROR(INDEX('القوائم'!$B$1:$B$288,MATCH(TRIM(D242),'القوائم'!$A$1:$A$288,0)),IFERROR(MOD(TIMEVALUE(D242),1),""))))</f>
        <v/>
      </c>
      <c r="M242">
        <f>M237</f>
        <v/>
      </c>
      <c r="Q242">
        <f>IF(N(F247)&gt;0,1,0)</f>
        <v/>
      </c>
    </row>
    <row r="243">
      <c r="A243" s="20">
        <f>IF(22&lt;=NW,SAT1+152,"")</f>
        <v/>
      </c>
      <c r="B243" s="21">
        <f>IF(A243="","",CHOOSE(WEEKDAY(A243,1),"الأحد","الاثنين","الثلاثاء","الأربعاء","الخميس","الجمعة","السبت"))</f>
        <v/>
      </c>
      <c r="C243" s="22" t="n"/>
      <c r="D243" s="22" t="n"/>
      <c r="E243" s="23">
        <f>IF(OR(M243=0,K243="",L243=""),"",MOD(L243-K243,1))</f>
        <v/>
      </c>
      <c r="F243" s="24">
        <f>IF(OR(E243="",M243=0),"",IF(ROUND_MODE="للأعلى",CEILING(ROUND((E243*24*$N$237),3),0.25),ROUND((E243*24*$N$237)*4,0)/4))</f>
        <v/>
      </c>
      <c r="G243" s="22" t="n"/>
      <c r="H243" s="22" t="n"/>
      <c r="K243" s="25">
        <f>IF(OR(M243=0,C243=""),"",IF(ISNUMBER(C243),MOD(C243,1),IFERROR(INDEX('القوائم'!$B$1:$B$288,MATCH(TRIM(C243),'القوائم'!$A$1:$A$288,0)),IFERROR(MOD(TIMEVALUE(C243),1),""))))</f>
        <v/>
      </c>
      <c r="L243" s="25">
        <f>IF(OR(M243=0,D243=""),"",IF(ISNUMBER(D243),MOD(D243,1),IFERROR(INDEX('القوائم'!$B$1:$B$288,MATCH(TRIM(D243),'القوائم'!$A$1:$A$288,0)),IFERROR(MOD(TIMEVALUE(D243),1),""))))</f>
        <v/>
      </c>
      <c r="M243">
        <f>M237</f>
        <v/>
      </c>
      <c r="Q243">
        <f>IF(N(F247)&gt;0,1,0)</f>
        <v/>
      </c>
    </row>
    <row r="244">
      <c r="A244" s="26">
        <f>IF(22&lt;=NW,SAT1+153,"")</f>
        <v/>
      </c>
      <c r="B244" s="27">
        <f>IF(A244="","",CHOOSE(WEEKDAY(A244,1),"الأحد","الاثنين","الثلاثاء","الأربعاء","الخميس","الجمعة","السبت"))</f>
        <v/>
      </c>
      <c r="C244" s="22" t="n"/>
      <c r="D244" s="22" t="n"/>
      <c r="E244" s="23">
        <f>IF(OR(M244=0,K244="",L244=""),"",MOD(L244-K244,1))</f>
        <v/>
      </c>
      <c r="F244" s="24">
        <f>IF(OR(E244="",M244=0),"",IF(ROUND_MODE="للأعلى",CEILING(ROUND((E244*24*$N$237),3),0.25),ROUND((E244*24*$N$237)*4,0)/4))</f>
        <v/>
      </c>
      <c r="G244" s="22" t="n"/>
      <c r="H244" s="22" t="n"/>
      <c r="K244" s="25">
        <f>IF(OR(M244=0,C244=""),"",IF(ISNUMBER(C244),MOD(C244,1),IFERROR(INDEX('القوائم'!$B$1:$B$288,MATCH(TRIM(C244),'القوائم'!$A$1:$A$288,0)),IFERROR(MOD(TIMEVALUE(C244),1),""))))</f>
        <v/>
      </c>
      <c r="L244" s="25">
        <f>IF(OR(M244=0,D244=""),"",IF(ISNUMBER(D244),MOD(D244,1),IFERROR(INDEX('القوائم'!$B$1:$B$288,MATCH(TRIM(D244),'القوائم'!$A$1:$A$288,0)),IFERROR(MOD(TIMEVALUE(D244),1),""))))</f>
        <v/>
      </c>
      <c r="M244">
        <f>M237</f>
        <v/>
      </c>
      <c r="Q244">
        <f>IF(N(F247)&gt;0,1,0)</f>
        <v/>
      </c>
    </row>
    <row r="245">
      <c r="A245" s="28">
        <f>IF(M237=1,"مجموع أيام الأسبوع 22","")</f>
        <v/>
      </c>
      <c r="B245" s="28" t="n"/>
      <c r="C245" s="28" t="n"/>
      <c r="D245" s="28" t="n"/>
      <c r="E245" s="29">
        <f>IF(M237=1,SUM(E238:E244),"")</f>
        <v/>
      </c>
      <c r="F245" s="30">
        <f>IF(M237=1,SUM(F238:F244),"")</f>
        <v/>
      </c>
      <c r="G245" s="41">
        <f>IF(M237=1,SUMIFS(F238:F244,G238:G244,"نعم"),"")</f>
        <v/>
      </c>
      <c r="H245" s="28" t="n"/>
    </row>
    <row r="246" ht="32" customHeight="1">
      <c r="A246" s="28">
        <f>IF(M237=1,"ساعات تحميل الجبسمبورد بهالأسبوع (رقم: 2 أو 1.5) ←","")</f>
        <v/>
      </c>
      <c r="E246" s="31" t="n"/>
      <c r="F246" s="33">
        <f>IF(M237=1,N(F245)+IF(ROUND_MODE="للأعلى",CEILING(ROUND((N(E246)*($P$237-$N$237)),3),0.25),ROUND((N(E246)*($P$237-$N$237))*4,0)/4),"")</f>
        <v/>
      </c>
      <c r="G246" s="32">
        <f>IF(M237=1,"← المستحق النهائي للأسبوع (دينار) مع فرق الجبسمبورد","")</f>
        <v/>
      </c>
    </row>
    <row r="247" ht="26" customHeight="1">
      <c r="A247" s="28">
        <f>IF(M237=1,"إكرامية الأسبوع ←","")</f>
        <v/>
      </c>
      <c r="C247" s="35" t="n"/>
      <c r="D247" s="28">
        <f>IF(M237=1,"المدفوع يوم الجمعة (التسوية) ←","")</f>
        <v/>
      </c>
      <c r="F247" s="35" t="n"/>
      <c r="G247" s="36">
        <f>IF(M237=1,IF(N(F247)&gt;0,"✔ انقبض — الأسبوع مقفول","⏳ لسا ما انقبض"),"")</f>
        <v/>
      </c>
    </row>
    <row r="248" ht="26" customHeight="1">
      <c r="A248" s="40">
        <f>IF(23&lt;=NW,"الأسبوع 23 · السبت "&amp;TEXT(DAY(SAT1+154),"00")&amp;"/"&amp;TEXT(MONTH(SAT1+154),"00")&amp;" ← الجمعة "&amp;TEXT(DAY(SAT1+160),"00")&amp;"/"&amp;TEXT(MONTH(SAT1+160),"00")&amp;" (يوم القبض)"&amp;IF(23&lt;START_Z,"   — قبل أسبوع البداية (ما بينحسب)",""),"ما في أسبوع 23 هالسنة")</f>
        <v/>
      </c>
      <c r="L248" s="19">
        <f>IF(23&lt;=NW,SAT1+160,"")</f>
        <v/>
      </c>
      <c r="M248">
        <f>IF(AND(23&lt;=NW,23&gt;=START_Z),1,0)</f>
        <v/>
      </c>
      <c r="N248">
        <f>IFERROR(INDEX(RT_AZZ,MATCH(L248,RT_K,1)),INDEX(RT_AZZ,1))</f>
        <v/>
      </c>
      <c r="P248">
        <f>IFERROR(INDEX(RT_GYP,MATCH(L248,RT_K,1)),INDEX(RT_GYP,1))</f>
        <v/>
      </c>
    </row>
    <row r="249">
      <c r="A249" s="20">
        <f>IF(23&lt;=NW,SAT1+154,"")</f>
        <v/>
      </c>
      <c r="B249" s="21">
        <f>IF(A249="","",CHOOSE(WEEKDAY(A249,1),"الأحد","الاثنين","الثلاثاء","الأربعاء","الخميس","الجمعة","السبت"))</f>
        <v/>
      </c>
      <c r="C249" s="22" t="n"/>
      <c r="D249" s="22" t="n"/>
      <c r="E249" s="23">
        <f>IF(OR(M249=0,K249="",L249=""),"",MOD(L249-K249,1))</f>
        <v/>
      </c>
      <c r="F249" s="24">
        <f>IF(OR(E249="",M249=0),"",IF(ROUND_MODE="للأعلى",CEILING(ROUND((E249*24*$N$248),3),0.25),ROUND((E249*24*$N$248)*4,0)/4))</f>
        <v/>
      </c>
      <c r="G249" s="22" t="n"/>
      <c r="H249" s="22" t="n"/>
      <c r="K249" s="25">
        <f>IF(OR(M249=0,C249=""),"",IF(ISNUMBER(C249),MOD(C249,1),IFERROR(INDEX('القوائم'!$B$1:$B$288,MATCH(TRIM(C249),'القوائم'!$A$1:$A$288,0)),IFERROR(MOD(TIMEVALUE(C249),1),""))))</f>
        <v/>
      </c>
      <c r="L249" s="25">
        <f>IF(OR(M249=0,D249=""),"",IF(ISNUMBER(D249),MOD(D249,1),IFERROR(INDEX('القوائم'!$B$1:$B$288,MATCH(TRIM(D249),'القوائم'!$A$1:$A$288,0)),IFERROR(MOD(TIMEVALUE(D249),1),""))))</f>
        <v/>
      </c>
      <c r="M249">
        <f>M248</f>
        <v/>
      </c>
      <c r="Q249">
        <f>IF(N(F258)&gt;0,1,0)</f>
        <v/>
      </c>
    </row>
    <row r="250">
      <c r="A250" s="20">
        <f>IF(23&lt;=NW,SAT1+155,"")</f>
        <v/>
      </c>
      <c r="B250" s="21">
        <f>IF(A250="","",CHOOSE(WEEKDAY(A250,1),"الأحد","الاثنين","الثلاثاء","الأربعاء","الخميس","الجمعة","السبت"))</f>
        <v/>
      </c>
      <c r="C250" s="22" t="n"/>
      <c r="D250" s="22" t="n"/>
      <c r="E250" s="23">
        <f>IF(OR(M250=0,K250="",L250=""),"",MOD(L250-K250,1))</f>
        <v/>
      </c>
      <c r="F250" s="24">
        <f>IF(OR(E250="",M250=0),"",IF(ROUND_MODE="للأعلى",CEILING(ROUND((E250*24*$N$248),3),0.25),ROUND((E250*24*$N$248)*4,0)/4))</f>
        <v/>
      </c>
      <c r="G250" s="22" t="n"/>
      <c r="H250" s="22" t="n"/>
      <c r="K250" s="25">
        <f>IF(OR(M250=0,C250=""),"",IF(ISNUMBER(C250),MOD(C250,1),IFERROR(INDEX('القوائم'!$B$1:$B$288,MATCH(TRIM(C250),'القوائم'!$A$1:$A$288,0)),IFERROR(MOD(TIMEVALUE(C250),1),""))))</f>
        <v/>
      </c>
      <c r="L250" s="25">
        <f>IF(OR(M250=0,D250=""),"",IF(ISNUMBER(D250),MOD(D250,1),IFERROR(INDEX('القوائم'!$B$1:$B$288,MATCH(TRIM(D250),'القوائم'!$A$1:$A$288,0)),IFERROR(MOD(TIMEVALUE(D250),1),""))))</f>
        <v/>
      </c>
      <c r="M250">
        <f>M248</f>
        <v/>
      </c>
      <c r="Q250">
        <f>IF(N(F258)&gt;0,1,0)</f>
        <v/>
      </c>
    </row>
    <row r="251">
      <c r="A251" s="20">
        <f>IF(23&lt;=NW,SAT1+156,"")</f>
        <v/>
      </c>
      <c r="B251" s="21">
        <f>IF(A251="","",CHOOSE(WEEKDAY(A251,1),"الأحد","الاثنين","الثلاثاء","الأربعاء","الخميس","الجمعة","السبت"))</f>
        <v/>
      </c>
      <c r="C251" s="22" t="n"/>
      <c r="D251" s="22" t="n"/>
      <c r="E251" s="23">
        <f>IF(OR(M251=0,K251="",L251=""),"",MOD(L251-K251,1))</f>
        <v/>
      </c>
      <c r="F251" s="24">
        <f>IF(OR(E251="",M251=0),"",IF(ROUND_MODE="للأعلى",CEILING(ROUND((E251*24*$N$248),3),0.25),ROUND((E251*24*$N$248)*4,0)/4))</f>
        <v/>
      </c>
      <c r="G251" s="22" t="n"/>
      <c r="H251" s="22" t="n"/>
      <c r="K251" s="25">
        <f>IF(OR(M251=0,C251=""),"",IF(ISNUMBER(C251),MOD(C251,1),IFERROR(INDEX('القوائم'!$B$1:$B$288,MATCH(TRIM(C251),'القوائم'!$A$1:$A$288,0)),IFERROR(MOD(TIMEVALUE(C251),1),""))))</f>
        <v/>
      </c>
      <c r="L251" s="25">
        <f>IF(OR(M251=0,D251=""),"",IF(ISNUMBER(D251),MOD(D251,1),IFERROR(INDEX('القوائم'!$B$1:$B$288,MATCH(TRIM(D251),'القوائم'!$A$1:$A$288,0)),IFERROR(MOD(TIMEVALUE(D251),1),""))))</f>
        <v/>
      </c>
      <c r="M251">
        <f>M248</f>
        <v/>
      </c>
      <c r="Q251">
        <f>IF(N(F258)&gt;0,1,0)</f>
        <v/>
      </c>
    </row>
    <row r="252">
      <c r="A252" s="20">
        <f>IF(23&lt;=NW,SAT1+157,"")</f>
        <v/>
      </c>
      <c r="B252" s="21">
        <f>IF(A252="","",CHOOSE(WEEKDAY(A252,1),"الأحد","الاثنين","الثلاثاء","الأربعاء","الخميس","الجمعة","السبت"))</f>
        <v/>
      </c>
      <c r="C252" s="22" t="n"/>
      <c r="D252" s="22" t="n"/>
      <c r="E252" s="23">
        <f>IF(OR(M252=0,K252="",L252=""),"",MOD(L252-K252,1))</f>
        <v/>
      </c>
      <c r="F252" s="24">
        <f>IF(OR(E252="",M252=0),"",IF(ROUND_MODE="للأعلى",CEILING(ROUND((E252*24*$N$248),3),0.25),ROUND((E252*24*$N$248)*4,0)/4))</f>
        <v/>
      </c>
      <c r="G252" s="22" t="n"/>
      <c r="H252" s="22" t="n"/>
      <c r="K252" s="25">
        <f>IF(OR(M252=0,C252=""),"",IF(ISNUMBER(C252),MOD(C252,1),IFERROR(INDEX('القوائم'!$B$1:$B$288,MATCH(TRIM(C252),'القوائم'!$A$1:$A$288,0)),IFERROR(MOD(TIMEVALUE(C252),1),""))))</f>
        <v/>
      </c>
      <c r="L252" s="25">
        <f>IF(OR(M252=0,D252=""),"",IF(ISNUMBER(D252),MOD(D252,1),IFERROR(INDEX('القوائم'!$B$1:$B$288,MATCH(TRIM(D252),'القوائم'!$A$1:$A$288,0)),IFERROR(MOD(TIMEVALUE(D252),1),""))))</f>
        <v/>
      </c>
      <c r="M252">
        <f>M248</f>
        <v/>
      </c>
      <c r="Q252">
        <f>IF(N(F258)&gt;0,1,0)</f>
        <v/>
      </c>
    </row>
    <row r="253">
      <c r="A253" s="20">
        <f>IF(23&lt;=NW,SAT1+158,"")</f>
        <v/>
      </c>
      <c r="B253" s="21">
        <f>IF(A253="","",CHOOSE(WEEKDAY(A253,1),"الأحد","الاثنين","الثلاثاء","الأربعاء","الخميس","الجمعة","السبت"))</f>
        <v/>
      </c>
      <c r="C253" s="22" t="n"/>
      <c r="D253" s="22" t="n"/>
      <c r="E253" s="23">
        <f>IF(OR(M253=0,K253="",L253=""),"",MOD(L253-K253,1))</f>
        <v/>
      </c>
      <c r="F253" s="24">
        <f>IF(OR(E253="",M253=0),"",IF(ROUND_MODE="للأعلى",CEILING(ROUND((E253*24*$N$248),3),0.25),ROUND((E253*24*$N$248)*4,0)/4))</f>
        <v/>
      </c>
      <c r="G253" s="22" t="n"/>
      <c r="H253" s="22" t="n"/>
      <c r="K253" s="25">
        <f>IF(OR(M253=0,C253=""),"",IF(ISNUMBER(C253),MOD(C253,1),IFERROR(INDEX('القوائم'!$B$1:$B$288,MATCH(TRIM(C253),'القوائم'!$A$1:$A$288,0)),IFERROR(MOD(TIMEVALUE(C253),1),""))))</f>
        <v/>
      </c>
      <c r="L253" s="25">
        <f>IF(OR(M253=0,D253=""),"",IF(ISNUMBER(D253),MOD(D253,1),IFERROR(INDEX('القوائم'!$B$1:$B$288,MATCH(TRIM(D253),'القوائم'!$A$1:$A$288,0)),IFERROR(MOD(TIMEVALUE(D253),1),""))))</f>
        <v/>
      </c>
      <c r="M253">
        <f>M248</f>
        <v/>
      </c>
      <c r="Q253">
        <f>IF(N(F258)&gt;0,1,0)</f>
        <v/>
      </c>
    </row>
    <row r="254">
      <c r="A254" s="20">
        <f>IF(23&lt;=NW,SAT1+159,"")</f>
        <v/>
      </c>
      <c r="B254" s="21">
        <f>IF(A254="","",CHOOSE(WEEKDAY(A254,1),"الأحد","الاثنين","الثلاثاء","الأربعاء","الخميس","الجمعة","السبت"))</f>
        <v/>
      </c>
      <c r="C254" s="22" t="n"/>
      <c r="D254" s="22" t="n"/>
      <c r="E254" s="23">
        <f>IF(OR(M254=0,K254="",L254=""),"",MOD(L254-K254,1))</f>
        <v/>
      </c>
      <c r="F254" s="24">
        <f>IF(OR(E254="",M254=0),"",IF(ROUND_MODE="للأعلى",CEILING(ROUND((E254*24*$N$248),3),0.25),ROUND((E254*24*$N$248)*4,0)/4))</f>
        <v/>
      </c>
      <c r="G254" s="22" t="n"/>
      <c r="H254" s="22" t="n"/>
      <c r="K254" s="25">
        <f>IF(OR(M254=0,C254=""),"",IF(ISNUMBER(C254),MOD(C254,1),IFERROR(INDEX('القوائم'!$B$1:$B$288,MATCH(TRIM(C254),'القوائم'!$A$1:$A$288,0)),IFERROR(MOD(TIMEVALUE(C254),1),""))))</f>
        <v/>
      </c>
      <c r="L254" s="25">
        <f>IF(OR(M254=0,D254=""),"",IF(ISNUMBER(D254),MOD(D254,1),IFERROR(INDEX('القوائم'!$B$1:$B$288,MATCH(TRIM(D254),'القوائم'!$A$1:$A$288,0)),IFERROR(MOD(TIMEVALUE(D254),1),""))))</f>
        <v/>
      </c>
      <c r="M254">
        <f>M248</f>
        <v/>
      </c>
      <c r="Q254">
        <f>IF(N(F258)&gt;0,1,0)</f>
        <v/>
      </c>
    </row>
    <row r="255">
      <c r="A255" s="26">
        <f>IF(23&lt;=NW,SAT1+160,"")</f>
        <v/>
      </c>
      <c r="B255" s="27">
        <f>IF(A255="","",CHOOSE(WEEKDAY(A255,1),"الأحد","الاثنين","الثلاثاء","الأربعاء","الخميس","الجمعة","السبت"))</f>
        <v/>
      </c>
      <c r="C255" s="22" t="n"/>
      <c r="D255" s="22" t="n"/>
      <c r="E255" s="23">
        <f>IF(OR(M255=0,K255="",L255=""),"",MOD(L255-K255,1))</f>
        <v/>
      </c>
      <c r="F255" s="24">
        <f>IF(OR(E255="",M255=0),"",IF(ROUND_MODE="للأعلى",CEILING(ROUND((E255*24*$N$248),3),0.25),ROUND((E255*24*$N$248)*4,0)/4))</f>
        <v/>
      </c>
      <c r="G255" s="22" t="n"/>
      <c r="H255" s="22" t="n"/>
      <c r="K255" s="25">
        <f>IF(OR(M255=0,C255=""),"",IF(ISNUMBER(C255),MOD(C255,1),IFERROR(INDEX('القوائم'!$B$1:$B$288,MATCH(TRIM(C255),'القوائم'!$A$1:$A$288,0)),IFERROR(MOD(TIMEVALUE(C255),1),""))))</f>
        <v/>
      </c>
      <c r="L255" s="25">
        <f>IF(OR(M255=0,D255=""),"",IF(ISNUMBER(D255),MOD(D255,1),IFERROR(INDEX('القوائم'!$B$1:$B$288,MATCH(TRIM(D255),'القوائم'!$A$1:$A$288,0)),IFERROR(MOD(TIMEVALUE(D255),1),""))))</f>
        <v/>
      </c>
      <c r="M255">
        <f>M248</f>
        <v/>
      </c>
      <c r="Q255">
        <f>IF(N(F258)&gt;0,1,0)</f>
        <v/>
      </c>
    </row>
    <row r="256">
      <c r="A256" s="28">
        <f>IF(M248=1,"مجموع أيام الأسبوع 23","")</f>
        <v/>
      </c>
      <c r="B256" s="28" t="n"/>
      <c r="C256" s="28" t="n"/>
      <c r="D256" s="28" t="n"/>
      <c r="E256" s="29">
        <f>IF(M248=1,SUM(E249:E255),"")</f>
        <v/>
      </c>
      <c r="F256" s="30">
        <f>IF(M248=1,SUM(F249:F255),"")</f>
        <v/>
      </c>
      <c r="G256" s="41">
        <f>IF(M248=1,SUMIFS(F249:F255,G249:G255,"نعم"),"")</f>
        <v/>
      </c>
      <c r="H256" s="28" t="n"/>
    </row>
    <row r="257" ht="32" customHeight="1">
      <c r="A257" s="28">
        <f>IF(M248=1,"ساعات تحميل الجبسمبورد بهالأسبوع (رقم: 2 أو 1.5) ←","")</f>
        <v/>
      </c>
      <c r="E257" s="31" t="n"/>
      <c r="F257" s="33">
        <f>IF(M248=1,N(F256)+IF(ROUND_MODE="للأعلى",CEILING(ROUND((N(E257)*($P$248-$N$248)),3),0.25),ROUND((N(E257)*($P$248-$N$248))*4,0)/4),"")</f>
        <v/>
      </c>
      <c r="G257" s="32">
        <f>IF(M248=1,"← المستحق النهائي للأسبوع (دينار) مع فرق الجبسمبورد","")</f>
        <v/>
      </c>
    </row>
    <row r="258" ht="26" customHeight="1">
      <c r="A258" s="28">
        <f>IF(M248=1,"إكرامية الأسبوع ←","")</f>
        <v/>
      </c>
      <c r="C258" s="35" t="n"/>
      <c r="D258" s="28">
        <f>IF(M248=1,"المدفوع يوم الجمعة (التسوية) ←","")</f>
        <v/>
      </c>
      <c r="F258" s="35" t="n"/>
      <c r="G258" s="36">
        <f>IF(M248=1,IF(N(F258)&gt;0,"✔ انقبض — الأسبوع مقفول","⏳ لسا ما انقبض"),"")</f>
        <v/>
      </c>
    </row>
    <row r="259" ht="26" customHeight="1">
      <c r="A259" s="40">
        <f>IF(24&lt;=NW,"الأسبوع 24 · السبت "&amp;TEXT(DAY(SAT1+161),"00")&amp;"/"&amp;TEXT(MONTH(SAT1+161),"00")&amp;" ← الجمعة "&amp;TEXT(DAY(SAT1+167),"00")&amp;"/"&amp;TEXT(MONTH(SAT1+167),"00")&amp;" (يوم القبض)"&amp;IF(24&lt;START_Z,"   — قبل أسبوع البداية (ما بينحسب)",""),"ما في أسبوع 24 هالسنة")</f>
        <v/>
      </c>
      <c r="L259" s="19">
        <f>IF(24&lt;=NW,SAT1+167,"")</f>
        <v/>
      </c>
      <c r="M259">
        <f>IF(AND(24&lt;=NW,24&gt;=START_Z),1,0)</f>
        <v/>
      </c>
      <c r="N259">
        <f>IFERROR(INDEX(RT_AZZ,MATCH(L259,RT_K,1)),INDEX(RT_AZZ,1))</f>
        <v/>
      </c>
      <c r="P259">
        <f>IFERROR(INDEX(RT_GYP,MATCH(L259,RT_K,1)),INDEX(RT_GYP,1))</f>
        <v/>
      </c>
    </row>
    <row r="260">
      <c r="A260" s="20">
        <f>IF(24&lt;=NW,SAT1+161,"")</f>
        <v/>
      </c>
      <c r="B260" s="21">
        <f>IF(A260="","",CHOOSE(WEEKDAY(A260,1),"الأحد","الاثنين","الثلاثاء","الأربعاء","الخميس","الجمعة","السبت"))</f>
        <v/>
      </c>
      <c r="C260" s="22" t="n"/>
      <c r="D260" s="22" t="n"/>
      <c r="E260" s="23">
        <f>IF(OR(M260=0,K260="",L260=""),"",MOD(L260-K260,1))</f>
        <v/>
      </c>
      <c r="F260" s="24">
        <f>IF(OR(E260="",M260=0),"",IF(ROUND_MODE="للأعلى",CEILING(ROUND((E260*24*$N$259),3),0.25),ROUND((E260*24*$N$259)*4,0)/4))</f>
        <v/>
      </c>
      <c r="G260" s="22" t="n"/>
      <c r="H260" s="22" t="n"/>
      <c r="K260" s="25">
        <f>IF(OR(M260=0,C260=""),"",IF(ISNUMBER(C260),MOD(C260,1),IFERROR(INDEX('القوائم'!$B$1:$B$288,MATCH(TRIM(C260),'القوائم'!$A$1:$A$288,0)),IFERROR(MOD(TIMEVALUE(C260),1),""))))</f>
        <v/>
      </c>
      <c r="L260" s="25">
        <f>IF(OR(M260=0,D260=""),"",IF(ISNUMBER(D260),MOD(D260,1),IFERROR(INDEX('القوائم'!$B$1:$B$288,MATCH(TRIM(D260),'القوائم'!$A$1:$A$288,0)),IFERROR(MOD(TIMEVALUE(D260),1),""))))</f>
        <v/>
      </c>
      <c r="M260">
        <f>M259</f>
        <v/>
      </c>
      <c r="Q260">
        <f>IF(N(F269)&gt;0,1,0)</f>
        <v/>
      </c>
    </row>
    <row r="261">
      <c r="A261" s="20">
        <f>IF(24&lt;=NW,SAT1+162,"")</f>
        <v/>
      </c>
      <c r="B261" s="21">
        <f>IF(A261="","",CHOOSE(WEEKDAY(A261,1),"الأحد","الاثنين","الثلاثاء","الأربعاء","الخميس","الجمعة","السبت"))</f>
        <v/>
      </c>
      <c r="C261" s="22" t="n"/>
      <c r="D261" s="22" t="n"/>
      <c r="E261" s="23">
        <f>IF(OR(M261=0,K261="",L261=""),"",MOD(L261-K261,1))</f>
        <v/>
      </c>
      <c r="F261" s="24">
        <f>IF(OR(E261="",M261=0),"",IF(ROUND_MODE="للأعلى",CEILING(ROUND((E261*24*$N$259),3),0.25),ROUND((E261*24*$N$259)*4,0)/4))</f>
        <v/>
      </c>
      <c r="G261" s="22" t="n"/>
      <c r="H261" s="22" t="n"/>
      <c r="K261" s="25">
        <f>IF(OR(M261=0,C261=""),"",IF(ISNUMBER(C261),MOD(C261,1),IFERROR(INDEX('القوائم'!$B$1:$B$288,MATCH(TRIM(C261),'القوائم'!$A$1:$A$288,0)),IFERROR(MOD(TIMEVALUE(C261),1),""))))</f>
        <v/>
      </c>
      <c r="L261" s="25">
        <f>IF(OR(M261=0,D261=""),"",IF(ISNUMBER(D261),MOD(D261,1),IFERROR(INDEX('القوائم'!$B$1:$B$288,MATCH(TRIM(D261),'القوائم'!$A$1:$A$288,0)),IFERROR(MOD(TIMEVALUE(D261),1),""))))</f>
        <v/>
      </c>
      <c r="M261">
        <f>M259</f>
        <v/>
      </c>
      <c r="Q261">
        <f>IF(N(F269)&gt;0,1,0)</f>
        <v/>
      </c>
    </row>
    <row r="262">
      <c r="A262" s="20">
        <f>IF(24&lt;=NW,SAT1+163,"")</f>
        <v/>
      </c>
      <c r="B262" s="21">
        <f>IF(A262="","",CHOOSE(WEEKDAY(A262,1),"الأحد","الاثنين","الثلاثاء","الأربعاء","الخميس","الجمعة","السبت"))</f>
        <v/>
      </c>
      <c r="C262" s="22" t="n"/>
      <c r="D262" s="22" t="n"/>
      <c r="E262" s="23">
        <f>IF(OR(M262=0,K262="",L262=""),"",MOD(L262-K262,1))</f>
        <v/>
      </c>
      <c r="F262" s="24">
        <f>IF(OR(E262="",M262=0),"",IF(ROUND_MODE="للأعلى",CEILING(ROUND((E262*24*$N$259),3),0.25),ROUND((E262*24*$N$259)*4,0)/4))</f>
        <v/>
      </c>
      <c r="G262" s="22" t="n"/>
      <c r="H262" s="22" t="n"/>
      <c r="K262" s="25">
        <f>IF(OR(M262=0,C262=""),"",IF(ISNUMBER(C262),MOD(C262,1),IFERROR(INDEX('القوائم'!$B$1:$B$288,MATCH(TRIM(C262),'القوائم'!$A$1:$A$288,0)),IFERROR(MOD(TIMEVALUE(C262),1),""))))</f>
        <v/>
      </c>
      <c r="L262" s="25">
        <f>IF(OR(M262=0,D262=""),"",IF(ISNUMBER(D262),MOD(D262,1),IFERROR(INDEX('القوائم'!$B$1:$B$288,MATCH(TRIM(D262),'القوائم'!$A$1:$A$288,0)),IFERROR(MOD(TIMEVALUE(D262),1),""))))</f>
        <v/>
      </c>
      <c r="M262">
        <f>M259</f>
        <v/>
      </c>
      <c r="Q262">
        <f>IF(N(F269)&gt;0,1,0)</f>
        <v/>
      </c>
    </row>
    <row r="263">
      <c r="A263" s="20">
        <f>IF(24&lt;=NW,SAT1+164,"")</f>
        <v/>
      </c>
      <c r="B263" s="21">
        <f>IF(A263="","",CHOOSE(WEEKDAY(A263,1),"الأحد","الاثنين","الثلاثاء","الأربعاء","الخميس","الجمعة","السبت"))</f>
        <v/>
      </c>
      <c r="C263" s="22" t="n"/>
      <c r="D263" s="22" t="n"/>
      <c r="E263" s="23">
        <f>IF(OR(M263=0,K263="",L263=""),"",MOD(L263-K263,1))</f>
        <v/>
      </c>
      <c r="F263" s="24">
        <f>IF(OR(E263="",M263=0),"",IF(ROUND_MODE="للأعلى",CEILING(ROUND((E263*24*$N$259),3),0.25),ROUND((E263*24*$N$259)*4,0)/4))</f>
        <v/>
      </c>
      <c r="G263" s="22" t="n"/>
      <c r="H263" s="22" t="n"/>
      <c r="K263" s="25">
        <f>IF(OR(M263=0,C263=""),"",IF(ISNUMBER(C263),MOD(C263,1),IFERROR(INDEX('القوائم'!$B$1:$B$288,MATCH(TRIM(C263),'القوائم'!$A$1:$A$288,0)),IFERROR(MOD(TIMEVALUE(C263),1),""))))</f>
        <v/>
      </c>
      <c r="L263" s="25">
        <f>IF(OR(M263=0,D263=""),"",IF(ISNUMBER(D263),MOD(D263,1),IFERROR(INDEX('القوائم'!$B$1:$B$288,MATCH(TRIM(D263),'القوائم'!$A$1:$A$288,0)),IFERROR(MOD(TIMEVALUE(D263),1),""))))</f>
        <v/>
      </c>
      <c r="M263">
        <f>M259</f>
        <v/>
      </c>
      <c r="Q263">
        <f>IF(N(F269)&gt;0,1,0)</f>
        <v/>
      </c>
    </row>
    <row r="264">
      <c r="A264" s="20">
        <f>IF(24&lt;=NW,SAT1+165,"")</f>
        <v/>
      </c>
      <c r="B264" s="21">
        <f>IF(A264="","",CHOOSE(WEEKDAY(A264,1),"الأحد","الاثنين","الثلاثاء","الأربعاء","الخميس","الجمعة","السبت"))</f>
        <v/>
      </c>
      <c r="C264" s="22" t="n"/>
      <c r="D264" s="22" t="n"/>
      <c r="E264" s="23">
        <f>IF(OR(M264=0,K264="",L264=""),"",MOD(L264-K264,1))</f>
        <v/>
      </c>
      <c r="F264" s="24">
        <f>IF(OR(E264="",M264=0),"",IF(ROUND_MODE="للأعلى",CEILING(ROUND((E264*24*$N$259),3),0.25),ROUND((E264*24*$N$259)*4,0)/4))</f>
        <v/>
      </c>
      <c r="G264" s="22" t="n"/>
      <c r="H264" s="22" t="n"/>
      <c r="K264" s="25">
        <f>IF(OR(M264=0,C264=""),"",IF(ISNUMBER(C264),MOD(C264,1),IFERROR(INDEX('القوائم'!$B$1:$B$288,MATCH(TRIM(C264),'القوائم'!$A$1:$A$288,0)),IFERROR(MOD(TIMEVALUE(C264),1),""))))</f>
        <v/>
      </c>
      <c r="L264" s="25">
        <f>IF(OR(M264=0,D264=""),"",IF(ISNUMBER(D264),MOD(D264,1),IFERROR(INDEX('القوائم'!$B$1:$B$288,MATCH(TRIM(D264),'القوائم'!$A$1:$A$288,0)),IFERROR(MOD(TIMEVALUE(D264),1),""))))</f>
        <v/>
      </c>
      <c r="M264">
        <f>M259</f>
        <v/>
      </c>
      <c r="Q264">
        <f>IF(N(F269)&gt;0,1,0)</f>
        <v/>
      </c>
    </row>
    <row r="265">
      <c r="A265" s="20">
        <f>IF(24&lt;=NW,SAT1+166,"")</f>
        <v/>
      </c>
      <c r="B265" s="21">
        <f>IF(A265="","",CHOOSE(WEEKDAY(A265,1),"الأحد","الاثنين","الثلاثاء","الأربعاء","الخميس","الجمعة","السبت"))</f>
        <v/>
      </c>
      <c r="C265" s="22" t="n"/>
      <c r="D265" s="22" t="n"/>
      <c r="E265" s="23">
        <f>IF(OR(M265=0,K265="",L265=""),"",MOD(L265-K265,1))</f>
        <v/>
      </c>
      <c r="F265" s="24">
        <f>IF(OR(E265="",M265=0),"",IF(ROUND_MODE="للأعلى",CEILING(ROUND((E265*24*$N$259),3),0.25),ROUND((E265*24*$N$259)*4,0)/4))</f>
        <v/>
      </c>
      <c r="G265" s="22" t="n"/>
      <c r="H265" s="22" t="n"/>
      <c r="K265" s="25">
        <f>IF(OR(M265=0,C265=""),"",IF(ISNUMBER(C265),MOD(C265,1),IFERROR(INDEX('القوائم'!$B$1:$B$288,MATCH(TRIM(C265),'القوائم'!$A$1:$A$288,0)),IFERROR(MOD(TIMEVALUE(C265),1),""))))</f>
        <v/>
      </c>
      <c r="L265" s="25">
        <f>IF(OR(M265=0,D265=""),"",IF(ISNUMBER(D265),MOD(D265,1),IFERROR(INDEX('القوائم'!$B$1:$B$288,MATCH(TRIM(D265),'القوائم'!$A$1:$A$288,0)),IFERROR(MOD(TIMEVALUE(D265),1),""))))</f>
        <v/>
      </c>
      <c r="M265">
        <f>M259</f>
        <v/>
      </c>
      <c r="Q265">
        <f>IF(N(F269)&gt;0,1,0)</f>
        <v/>
      </c>
    </row>
    <row r="266">
      <c r="A266" s="26">
        <f>IF(24&lt;=NW,SAT1+167,"")</f>
        <v/>
      </c>
      <c r="B266" s="27">
        <f>IF(A266="","",CHOOSE(WEEKDAY(A266,1),"الأحد","الاثنين","الثلاثاء","الأربعاء","الخميس","الجمعة","السبت"))</f>
        <v/>
      </c>
      <c r="C266" s="22" t="n"/>
      <c r="D266" s="22" t="n"/>
      <c r="E266" s="23">
        <f>IF(OR(M266=0,K266="",L266=""),"",MOD(L266-K266,1))</f>
        <v/>
      </c>
      <c r="F266" s="24">
        <f>IF(OR(E266="",M266=0),"",IF(ROUND_MODE="للأعلى",CEILING(ROUND((E266*24*$N$259),3),0.25),ROUND((E266*24*$N$259)*4,0)/4))</f>
        <v/>
      </c>
      <c r="G266" s="22" t="n"/>
      <c r="H266" s="22" t="n"/>
      <c r="K266" s="25">
        <f>IF(OR(M266=0,C266=""),"",IF(ISNUMBER(C266),MOD(C266,1),IFERROR(INDEX('القوائم'!$B$1:$B$288,MATCH(TRIM(C266),'القوائم'!$A$1:$A$288,0)),IFERROR(MOD(TIMEVALUE(C266),1),""))))</f>
        <v/>
      </c>
      <c r="L266" s="25">
        <f>IF(OR(M266=0,D266=""),"",IF(ISNUMBER(D266),MOD(D266,1),IFERROR(INDEX('القوائم'!$B$1:$B$288,MATCH(TRIM(D266),'القوائم'!$A$1:$A$288,0)),IFERROR(MOD(TIMEVALUE(D266),1),""))))</f>
        <v/>
      </c>
      <c r="M266">
        <f>M259</f>
        <v/>
      </c>
      <c r="Q266">
        <f>IF(N(F269)&gt;0,1,0)</f>
        <v/>
      </c>
    </row>
    <row r="267">
      <c r="A267" s="28">
        <f>IF(M259=1,"مجموع أيام الأسبوع 24","")</f>
        <v/>
      </c>
      <c r="B267" s="28" t="n"/>
      <c r="C267" s="28" t="n"/>
      <c r="D267" s="28" t="n"/>
      <c r="E267" s="29">
        <f>IF(M259=1,SUM(E260:E266),"")</f>
        <v/>
      </c>
      <c r="F267" s="30">
        <f>IF(M259=1,SUM(F260:F266),"")</f>
        <v/>
      </c>
      <c r="G267" s="41">
        <f>IF(M259=1,SUMIFS(F260:F266,G260:G266,"نعم"),"")</f>
        <v/>
      </c>
      <c r="H267" s="28" t="n"/>
    </row>
    <row r="268" ht="32" customHeight="1">
      <c r="A268" s="28">
        <f>IF(M259=1,"ساعات تحميل الجبسمبورد بهالأسبوع (رقم: 2 أو 1.5) ←","")</f>
        <v/>
      </c>
      <c r="E268" s="31" t="n"/>
      <c r="F268" s="33">
        <f>IF(M259=1,N(F267)+IF(ROUND_MODE="للأعلى",CEILING(ROUND((N(E268)*($P$259-$N$259)),3),0.25),ROUND((N(E268)*($P$259-$N$259))*4,0)/4),"")</f>
        <v/>
      </c>
      <c r="G268" s="32">
        <f>IF(M259=1,"← المستحق النهائي للأسبوع (دينار) مع فرق الجبسمبورد","")</f>
        <v/>
      </c>
    </row>
    <row r="269" ht="26" customHeight="1">
      <c r="A269" s="28">
        <f>IF(M259=1,"إكرامية الأسبوع ←","")</f>
        <v/>
      </c>
      <c r="C269" s="35" t="n"/>
      <c r="D269" s="28">
        <f>IF(M259=1,"المدفوع يوم الجمعة (التسوية) ←","")</f>
        <v/>
      </c>
      <c r="F269" s="35" t="n"/>
      <c r="G269" s="36">
        <f>IF(M259=1,IF(N(F269)&gt;0,"✔ انقبض — الأسبوع مقفول","⏳ لسا ما انقبض"),"")</f>
        <v/>
      </c>
    </row>
    <row r="270" ht="26" customHeight="1">
      <c r="A270" s="40">
        <f>IF(25&lt;=NW,"الأسبوع 25 · السبت "&amp;TEXT(DAY(SAT1+168),"00")&amp;"/"&amp;TEXT(MONTH(SAT1+168),"00")&amp;" ← الجمعة "&amp;TEXT(DAY(SAT1+174),"00")&amp;"/"&amp;TEXT(MONTH(SAT1+174),"00")&amp;" (يوم القبض)"&amp;IF(25&lt;START_Z,"   — قبل أسبوع البداية (ما بينحسب)",""),"ما في أسبوع 25 هالسنة")</f>
        <v/>
      </c>
      <c r="L270" s="19">
        <f>IF(25&lt;=NW,SAT1+174,"")</f>
        <v/>
      </c>
      <c r="M270">
        <f>IF(AND(25&lt;=NW,25&gt;=START_Z),1,0)</f>
        <v/>
      </c>
      <c r="N270">
        <f>IFERROR(INDEX(RT_AZZ,MATCH(L270,RT_K,1)),INDEX(RT_AZZ,1))</f>
        <v/>
      </c>
      <c r="P270">
        <f>IFERROR(INDEX(RT_GYP,MATCH(L270,RT_K,1)),INDEX(RT_GYP,1))</f>
        <v/>
      </c>
    </row>
    <row r="271">
      <c r="A271" s="20">
        <f>IF(25&lt;=NW,SAT1+168,"")</f>
        <v/>
      </c>
      <c r="B271" s="21">
        <f>IF(A271="","",CHOOSE(WEEKDAY(A271,1),"الأحد","الاثنين","الثلاثاء","الأربعاء","الخميس","الجمعة","السبت"))</f>
        <v/>
      </c>
      <c r="C271" s="22" t="n"/>
      <c r="D271" s="22" t="n"/>
      <c r="E271" s="23">
        <f>IF(OR(M271=0,K271="",L271=""),"",MOD(L271-K271,1))</f>
        <v/>
      </c>
      <c r="F271" s="24">
        <f>IF(OR(E271="",M271=0),"",IF(ROUND_MODE="للأعلى",CEILING(ROUND((E271*24*$N$270),3),0.25),ROUND((E271*24*$N$270)*4,0)/4))</f>
        <v/>
      </c>
      <c r="G271" s="22" t="n"/>
      <c r="H271" s="22" t="n"/>
      <c r="K271" s="25">
        <f>IF(OR(M271=0,C271=""),"",IF(ISNUMBER(C271),MOD(C271,1),IFERROR(INDEX('القوائم'!$B$1:$B$288,MATCH(TRIM(C271),'القوائم'!$A$1:$A$288,0)),IFERROR(MOD(TIMEVALUE(C271),1),""))))</f>
        <v/>
      </c>
      <c r="L271" s="25">
        <f>IF(OR(M271=0,D271=""),"",IF(ISNUMBER(D271),MOD(D271,1),IFERROR(INDEX('القوائم'!$B$1:$B$288,MATCH(TRIM(D271),'القوائم'!$A$1:$A$288,0)),IFERROR(MOD(TIMEVALUE(D271),1),""))))</f>
        <v/>
      </c>
      <c r="M271">
        <f>M270</f>
        <v/>
      </c>
      <c r="Q271">
        <f>IF(N(F280)&gt;0,1,0)</f>
        <v/>
      </c>
    </row>
    <row r="272">
      <c r="A272" s="20">
        <f>IF(25&lt;=NW,SAT1+169,"")</f>
        <v/>
      </c>
      <c r="B272" s="21">
        <f>IF(A272="","",CHOOSE(WEEKDAY(A272,1),"الأحد","الاثنين","الثلاثاء","الأربعاء","الخميس","الجمعة","السبت"))</f>
        <v/>
      </c>
      <c r="C272" s="22" t="n"/>
      <c r="D272" s="22" t="n"/>
      <c r="E272" s="23">
        <f>IF(OR(M272=0,K272="",L272=""),"",MOD(L272-K272,1))</f>
        <v/>
      </c>
      <c r="F272" s="24">
        <f>IF(OR(E272="",M272=0),"",IF(ROUND_MODE="للأعلى",CEILING(ROUND((E272*24*$N$270),3),0.25),ROUND((E272*24*$N$270)*4,0)/4))</f>
        <v/>
      </c>
      <c r="G272" s="22" t="n"/>
      <c r="H272" s="22" t="n"/>
      <c r="K272" s="25">
        <f>IF(OR(M272=0,C272=""),"",IF(ISNUMBER(C272),MOD(C272,1),IFERROR(INDEX('القوائم'!$B$1:$B$288,MATCH(TRIM(C272),'القوائم'!$A$1:$A$288,0)),IFERROR(MOD(TIMEVALUE(C272),1),""))))</f>
        <v/>
      </c>
      <c r="L272" s="25">
        <f>IF(OR(M272=0,D272=""),"",IF(ISNUMBER(D272),MOD(D272,1),IFERROR(INDEX('القوائم'!$B$1:$B$288,MATCH(TRIM(D272),'القوائم'!$A$1:$A$288,0)),IFERROR(MOD(TIMEVALUE(D272),1),""))))</f>
        <v/>
      </c>
      <c r="M272">
        <f>M270</f>
        <v/>
      </c>
      <c r="Q272">
        <f>IF(N(F280)&gt;0,1,0)</f>
        <v/>
      </c>
    </row>
    <row r="273">
      <c r="A273" s="20">
        <f>IF(25&lt;=NW,SAT1+170,"")</f>
        <v/>
      </c>
      <c r="B273" s="21">
        <f>IF(A273="","",CHOOSE(WEEKDAY(A273,1),"الأحد","الاثنين","الثلاثاء","الأربعاء","الخميس","الجمعة","السبت"))</f>
        <v/>
      </c>
      <c r="C273" s="22" t="n"/>
      <c r="D273" s="22" t="n"/>
      <c r="E273" s="23">
        <f>IF(OR(M273=0,K273="",L273=""),"",MOD(L273-K273,1))</f>
        <v/>
      </c>
      <c r="F273" s="24">
        <f>IF(OR(E273="",M273=0),"",IF(ROUND_MODE="للأعلى",CEILING(ROUND((E273*24*$N$270),3),0.25),ROUND((E273*24*$N$270)*4,0)/4))</f>
        <v/>
      </c>
      <c r="G273" s="22" t="n"/>
      <c r="H273" s="22" t="n"/>
      <c r="K273" s="25">
        <f>IF(OR(M273=0,C273=""),"",IF(ISNUMBER(C273),MOD(C273,1),IFERROR(INDEX('القوائم'!$B$1:$B$288,MATCH(TRIM(C273),'القوائم'!$A$1:$A$288,0)),IFERROR(MOD(TIMEVALUE(C273),1),""))))</f>
        <v/>
      </c>
      <c r="L273" s="25">
        <f>IF(OR(M273=0,D273=""),"",IF(ISNUMBER(D273),MOD(D273,1),IFERROR(INDEX('القوائم'!$B$1:$B$288,MATCH(TRIM(D273),'القوائم'!$A$1:$A$288,0)),IFERROR(MOD(TIMEVALUE(D273),1),""))))</f>
        <v/>
      </c>
      <c r="M273">
        <f>M270</f>
        <v/>
      </c>
      <c r="Q273">
        <f>IF(N(F280)&gt;0,1,0)</f>
        <v/>
      </c>
    </row>
    <row r="274">
      <c r="A274" s="20">
        <f>IF(25&lt;=NW,SAT1+171,"")</f>
        <v/>
      </c>
      <c r="B274" s="21">
        <f>IF(A274="","",CHOOSE(WEEKDAY(A274,1),"الأحد","الاثنين","الثلاثاء","الأربعاء","الخميس","الجمعة","السبت"))</f>
        <v/>
      </c>
      <c r="C274" s="22" t="n"/>
      <c r="D274" s="22" t="n"/>
      <c r="E274" s="23">
        <f>IF(OR(M274=0,K274="",L274=""),"",MOD(L274-K274,1))</f>
        <v/>
      </c>
      <c r="F274" s="24">
        <f>IF(OR(E274="",M274=0),"",IF(ROUND_MODE="للأعلى",CEILING(ROUND((E274*24*$N$270),3),0.25),ROUND((E274*24*$N$270)*4,0)/4))</f>
        <v/>
      </c>
      <c r="G274" s="22" t="n"/>
      <c r="H274" s="22" t="n"/>
      <c r="K274" s="25">
        <f>IF(OR(M274=0,C274=""),"",IF(ISNUMBER(C274),MOD(C274,1),IFERROR(INDEX('القوائم'!$B$1:$B$288,MATCH(TRIM(C274),'القوائم'!$A$1:$A$288,0)),IFERROR(MOD(TIMEVALUE(C274),1),""))))</f>
        <v/>
      </c>
      <c r="L274" s="25">
        <f>IF(OR(M274=0,D274=""),"",IF(ISNUMBER(D274),MOD(D274,1),IFERROR(INDEX('القوائم'!$B$1:$B$288,MATCH(TRIM(D274),'القوائم'!$A$1:$A$288,0)),IFERROR(MOD(TIMEVALUE(D274),1),""))))</f>
        <v/>
      </c>
      <c r="M274">
        <f>M270</f>
        <v/>
      </c>
      <c r="Q274">
        <f>IF(N(F280)&gt;0,1,0)</f>
        <v/>
      </c>
    </row>
    <row r="275">
      <c r="A275" s="20">
        <f>IF(25&lt;=NW,SAT1+172,"")</f>
        <v/>
      </c>
      <c r="B275" s="21">
        <f>IF(A275="","",CHOOSE(WEEKDAY(A275,1),"الأحد","الاثنين","الثلاثاء","الأربعاء","الخميس","الجمعة","السبت"))</f>
        <v/>
      </c>
      <c r="C275" s="22" t="n"/>
      <c r="D275" s="22" t="n"/>
      <c r="E275" s="23">
        <f>IF(OR(M275=0,K275="",L275=""),"",MOD(L275-K275,1))</f>
        <v/>
      </c>
      <c r="F275" s="24">
        <f>IF(OR(E275="",M275=0),"",IF(ROUND_MODE="للأعلى",CEILING(ROUND((E275*24*$N$270),3),0.25),ROUND((E275*24*$N$270)*4,0)/4))</f>
        <v/>
      </c>
      <c r="G275" s="22" t="n"/>
      <c r="H275" s="22" t="n"/>
      <c r="K275" s="25">
        <f>IF(OR(M275=0,C275=""),"",IF(ISNUMBER(C275),MOD(C275,1),IFERROR(INDEX('القوائم'!$B$1:$B$288,MATCH(TRIM(C275),'القوائم'!$A$1:$A$288,0)),IFERROR(MOD(TIMEVALUE(C275),1),""))))</f>
        <v/>
      </c>
      <c r="L275" s="25">
        <f>IF(OR(M275=0,D275=""),"",IF(ISNUMBER(D275),MOD(D275,1),IFERROR(INDEX('القوائم'!$B$1:$B$288,MATCH(TRIM(D275),'القوائم'!$A$1:$A$288,0)),IFERROR(MOD(TIMEVALUE(D275),1),""))))</f>
        <v/>
      </c>
      <c r="M275">
        <f>M270</f>
        <v/>
      </c>
      <c r="Q275">
        <f>IF(N(F280)&gt;0,1,0)</f>
        <v/>
      </c>
    </row>
    <row r="276">
      <c r="A276" s="20">
        <f>IF(25&lt;=NW,SAT1+173,"")</f>
        <v/>
      </c>
      <c r="B276" s="21">
        <f>IF(A276="","",CHOOSE(WEEKDAY(A276,1),"الأحد","الاثنين","الثلاثاء","الأربعاء","الخميس","الجمعة","السبت"))</f>
        <v/>
      </c>
      <c r="C276" s="22" t="n"/>
      <c r="D276" s="22" t="n"/>
      <c r="E276" s="23">
        <f>IF(OR(M276=0,K276="",L276=""),"",MOD(L276-K276,1))</f>
        <v/>
      </c>
      <c r="F276" s="24">
        <f>IF(OR(E276="",M276=0),"",IF(ROUND_MODE="للأعلى",CEILING(ROUND((E276*24*$N$270),3),0.25),ROUND((E276*24*$N$270)*4,0)/4))</f>
        <v/>
      </c>
      <c r="G276" s="22" t="n"/>
      <c r="H276" s="22" t="n"/>
      <c r="K276" s="25">
        <f>IF(OR(M276=0,C276=""),"",IF(ISNUMBER(C276),MOD(C276,1),IFERROR(INDEX('القوائم'!$B$1:$B$288,MATCH(TRIM(C276),'القوائم'!$A$1:$A$288,0)),IFERROR(MOD(TIMEVALUE(C276),1),""))))</f>
        <v/>
      </c>
      <c r="L276" s="25">
        <f>IF(OR(M276=0,D276=""),"",IF(ISNUMBER(D276),MOD(D276,1),IFERROR(INDEX('القوائم'!$B$1:$B$288,MATCH(TRIM(D276),'القوائم'!$A$1:$A$288,0)),IFERROR(MOD(TIMEVALUE(D276),1),""))))</f>
        <v/>
      </c>
      <c r="M276">
        <f>M270</f>
        <v/>
      </c>
      <c r="Q276">
        <f>IF(N(F280)&gt;0,1,0)</f>
        <v/>
      </c>
    </row>
    <row r="277">
      <c r="A277" s="26">
        <f>IF(25&lt;=NW,SAT1+174,"")</f>
        <v/>
      </c>
      <c r="B277" s="27">
        <f>IF(A277="","",CHOOSE(WEEKDAY(A277,1),"الأحد","الاثنين","الثلاثاء","الأربعاء","الخميس","الجمعة","السبت"))</f>
        <v/>
      </c>
      <c r="C277" s="22" t="n"/>
      <c r="D277" s="22" t="n"/>
      <c r="E277" s="23">
        <f>IF(OR(M277=0,K277="",L277=""),"",MOD(L277-K277,1))</f>
        <v/>
      </c>
      <c r="F277" s="24">
        <f>IF(OR(E277="",M277=0),"",IF(ROUND_MODE="للأعلى",CEILING(ROUND((E277*24*$N$270),3),0.25),ROUND((E277*24*$N$270)*4,0)/4))</f>
        <v/>
      </c>
      <c r="G277" s="22" t="n"/>
      <c r="H277" s="22" t="n"/>
      <c r="K277" s="25">
        <f>IF(OR(M277=0,C277=""),"",IF(ISNUMBER(C277),MOD(C277,1),IFERROR(INDEX('القوائم'!$B$1:$B$288,MATCH(TRIM(C277),'القوائم'!$A$1:$A$288,0)),IFERROR(MOD(TIMEVALUE(C277),1),""))))</f>
        <v/>
      </c>
      <c r="L277" s="25">
        <f>IF(OR(M277=0,D277=""),"",IF(ISNUMBER(D277),MOD(D277,1),IFERROR(INDEX('القوائم'!$B$1:$B$288,MATCH(TRIM(D277),'القوائم'!$A$1:$A$288,0)),IFERROR(MOD(TIMEVALUE(D277),1),""))))</f>
        <v/>
      </c>
      <c r="M277">
        <f>M270</f>
        <v/>
      </c>
      <c r="Q277">
        <f>IF(N(F280)&gt;0,1,0)</f>
        <v/>
      </c>
    </row>
    <row r="278">
      <c r="A278" s="28">
        <f>IF(M270=1,"مجموع أيام الأسبوع 25","")</f>
        <v/>
      </c>
      <c r="B278" s="28" t="n"/>
      <c r="C278" s="28" t="n"/>
      <c r="D278" s="28" t="n"/>
      <c r="E278" s="29">
        <f>IF(M270=1,SUM(E271:E277),"")</f>
        <v/>
      </c>
      <c r="F278" s="30">
        <f>IF(M270=1,SUM(F271:F277),"")</f>
        <v/>
      </c>
      <c r="G278" s="41">
        <f>IF(M270=1,SUMIFS(F271:F277,G271:G277,"نعم"),"")</f>
        <v/>
      </c>
      <c r="H278" s="28" t="n"/>
    </row>
    <row r="279" ht="32" customHeight="1">
      <c r="A279" s="28">
        <f>IF(M270=1,"ساعات تحميل الجبسمبورد بهالأسبوع (رقم: 2 أو 1.5) ←","")</f>
        <v/>
      </c>
      <c r="E279" s="31" t="n"/>
      <c r="F279" s="33">
        <f>IF(M270=1,N(F278)+IF(ROUND_MODE="للأعلى",CEILING(ROUND((N(E279)*($P$270-$N$270)),3),0.25),ROUND((N(E279)*($P$270-$N$270))*4,0)/4),"")</f>
        <v/>
      </c>
      <c r="G279" s="32">
        <f>IF(M270=1,"← المستحق النهائي للأسبوع (دينار) مع فرق الجبسمبورد","")</f>
        <v/>
      </c>
    </row>
    <row r="280" ht="26" customHeight="1">
      <c r="A280" s="28">
        <f>IF(M270=1,"إكرامية الأسبوع ←","")</f>
        <v/>
      </c>
      <c r="C280" s="35" t="n"/>
      <c r="D280" s="28">
        <f>IF(M270=1,"المدفوع يوم الجمعة (التسوية) ←","")</f>
        <v/>
      </c>
      <c r="F280" s="35" t="n"/>
      <c r="G280" s="36">
        <f>IF(M270=1,IF(N(F280)&gt;0,"✔ انقبض — الأسبوع مقفول","⏳ لسا ما انقبض"),"")</f>
        <v/>
      </c>
    </row>
    <row r="281" ht="26" customHeight="1">
      <c r="A281" s="40">
        <f>IF(26&lt;=NW,"الأسبوع 26 · السبت "&amp;TEXT(DAY(SAT1+175),"00")&amp;"/"&amp;TEXT(MONTH(SAT1+175),"00")&amp;" ← الجمعة "&amp;TEXT(DAY(SAT1+181),"00")&amp;"/"&amp;TEXT(MONTH(SAT1+181),"00")&amp;" (يوم القبض)"&amp;IF(26&lt;START_Z,"   — قبل أسبوع البداية (ما بينحسب)",""),"ما في أسبوع 26 هالسنة")</f>
        <v/>
      </c>
      <c r="L281" s="19">
        <f>IF(26&lt;=NW,SAT1+181,"")</f>
        <v/>
      </c>
      <c r="M281">
        <f>IF(AND(26&lt;=NW,26&gt;=START_Z),1,0)</f>
        <v/>
      </c>
      <c r="N281">
        <f>IFERROR(INDEX(RT_AZZ,MATCH(L281,RT_K,1)),INDEX(RT_AZZ,1))</f>
        <v/>
      </c>
      <c r="P281">
        <f>IFERROR(INDEX(RT_GYP,MATCH(L281,RT_K,1)),INDEX(RT_GYP,1))</f>
        <v/>
      </c>
    </row>
    <row r="282">
      <c r="A282" s="20">
        <f>IF(26&lt;=NW,SAT1+175,"")</f>
        <v/>
      </c>
      <c r="B282" s="21">
        <f>IF(A282="","",CHOOSE(WEEKDAY(A282,1),"الأحد","الاثنين","الثلاثاء","الأربعاء","الخميس","الجمعة","السبت"))</f>
        <v/>
      </c>
      <c r="C282" s="22" t="n"/>
      <c r="D282" s="22" t="n"/>
      <c r="E282" s="23">
        <f>IF(OR(M282=0,K282="",L282=""),"",MOD(L282-K282,1))</f>
        <v/>
      </c>
      <c r="F282" s="24">
        <f>IF(OR(E282="",M282=0),"",IF(ROUND_MODE="للأعلى",CEILING(ROUND((E282*24*$N$281),3),0.25),ROUND((E282*24*$N$281)*4,0)/4))</f>
        <v/>
      </c>
      <c r="G282" s="22" t="n"/>
      <c r="H282" s="22" t="n"/>
      <c r="K282" s="25">
        <f>IF(OR(M282=0,C282=""),"",IF(ISNUMBER(C282),MOD(C282,1),IFERROR(INDEX('القوائم'!$B$1:$B$288,MATCH(TRIM(C282),'القوائم'!$A$1:$A$288,0)),IFERROR(MOD(TIMEVALUE(C282),1),""))))</f>
        <v/>
      </c>
      <c r="L282" s="25">
        <f>IF(OR(M282=0,D282=""),"",IF(ISNUMBER(D282),MOD(D282,1),IFERROR(INDEX('القوائم'!$B$1:$B$288,MATCH(TRIM(D282),'القوائم'!$A$1:$A$288,0)),IFERROR(MOD(TIMEVALUE(D282),1),""))))</f>
        <v/>
      </c>
      <c r="M282">
        <f>M281</f>
        <v/>
      </c>
      <c r="Q282">
        <f>IF(N(F291)&gt;0,1,0)</f>
        <v/>
      </c>
    </row>
    <row r="283">
      <c r="A283" s="20">
        <f>IF(26&lt;=NW,SAT1+176,"")</f>
        <v/>
      </c>
      <c r="B283" s="21">
        <f>IF(A283="","",CHOOSE(WEEKDAY(A283,1),"الأحد","الاثنين","الثلاثاء","الأربعاء","الخميس","الجمعة","السبت"))</f>
        <v/>
      </c>
      <c r="C283" s="22" t="n"/>
      <c r="D283" s="22" t="n"/>
      <c r="E283" s="23">
        <f>IF(OR(M283=0,K283="",L283=""),"",MOD(L283-K283,1))</f>
        <v/>
      </c>
      <c r="F283" s="24">
        <f>IF(OR(E283="",M283=0),"",IF(ROUND_MODE="للأعلى",CEILING(ROUND((E283*24*$N$281),3),0.25),ROUND((E283*24*$N$281)*4,0)/4))</f>
        <v/>
      </c>
      <c r="G283" s="22" t="n"/>
      <c r="H283" s="22" t="n"/>
      <c r="K283" s="25">
        <f>IF(OR(M283=0,C283=""),"",IF(ISNUMBER(C283),MOD(C283,1),IFERROR(INDEX('القوائم'!$B$1:$B$288,MATCH(TRIM(C283),'القوائم'!$A$1:$A$288,0)),IFERROR(MOD(TIMEVALUE(C283),1),""))))</f>
        <v/>
      </c>
      <c r="L283" s="25">
        <f>IF(OR(M283=0,D283=""),"",IF(ISNUMBER(D283),MOD(D283,1),IFERROR(INDEX('القوائم'!$B$1:$B$288,MATCH(TRIM(D283),'القوائم'!$A$1:$A$288,0)),IFERROR(MOD(TIMEVALUE(D283),1),""))))</f>
        <v/>
      </c>
      <c r="M283">
        <f>M281</f>
        <v/>
      </c>
      <c r="Q283">
        <f>IF(N(F291)&gt;0,1,0)</f>
        <v/>
      </c>
    </row>
    <row r="284">
      <c r="A284" s="20">
        <f>IF(26&lt;=NW,SAT1+177,"")</f>
        <v/>
      </c>
      <c r="B284" s="21">
        <f>IF(A284="","",CHOOSE(WEEKDAY(A284,1),"الأحد","الاثنين","الثلاثاء","الأربعاء","الخميس","الجمعة","السبت"))</f>
        <v/>
      </c>
      <c r="C284" s="22" t="n"/>
      <c r="D284" s="22" t="n"/>
      <c r="E284" s="23">
        <f>IF(OR(M284=0,K284="",L284=""),"",MOD(L284-K284,1))</f>
        <v/>
      </c>
      <c r="F284" s="24">
        <f>IF(OR(E284="",M284=0),"",IF(ROUND_MODE="للأعلى",CEILING(ROUND((E284*24*$N$281),3),0.25),ROUND((E284*24*$N$281)*4,0)/4))</f>
        <v/>
      </c>
      <c r="G284" s="22" t="n"/>
      <c r="H284" s="22" t="n"/>
      <c r="K284" s="25">
        <f>IF(OR(M284=0,C284=""),"",IF(ISNUMBER(C284),MOD(C284,1),IFERROR(INDEX('القوائم'!$B$1:$B$288,MATCH(TRIM(C284),'القوائم'!$A$1:$A$288,0)),IFERROR(MOD(TIMEVALUE(C284),1),""))))</f>
        <v/>
      </c>
      <c r="L284" s="25">
        <f>IF(OR(M284=0,D284=""),"",IF(ISNUMBER(D284),MOD(D284,1),IFERROR(INDEX('القوائم'!$B$1:$B$288,MATCH(TRIM(D284),'القوائم'!$A$1:$A$288,0)),IFERROR(MOD(TIMEVALUE(D284),1),""))))</f>
        <v/>
      </c>
      <c r="M284">
        <f>M281</f>
        <v/>
      </c>
      <c r="Q284">
        <f>IF(N(F291)&gt;0,1,0)</f>
        <v/>
      </c>
    </row>
    <row r="285">
      <c r="A285" s="20">
        <f>IF(26&lt;=NW,SAT1+178,"")</f>
        <v/>
      </c>
      <c r="B285" s="21">
        <f>IF(A285="","",CHOOSE(WEEKDAY(A285,1),"الأحد","الاثنين","الثلاثاء","الأربعاء","الخميس","الجمعة","السبت"))</f>
        <v/>
      </c>
      <c r="C285" s="22" t="n"/>
      <c r="D285" s="22" t="n"/>
      <c r="E285" s="23">
        <f>IF(OR(M285=0,K285="",L285=""),"",MOD(L285-K285,1))</f>
        <v/>
      </c>
      <c r="F285" s="24">
        <f>IF(OR(E285="",M285=0),"",IF(ROUND_MODE="للأعلى",CEILING(ROUND((E285*24*$N$281),3),0.25),ROUND((E285*24*$N$281)*4,0)/4))</f>
        <v/>
      </c>
      <c r="G285" s="22" t="n"/>
      <c r="H285" s="22" t="n"/>
      <c r="K285" s="25">
        <f>IF(OR(M285=0,C285=""),"",IF(ISNUMBER(C285),MOD(C285,1),IFERROR(INDEX('القوائم'!$B$1:$B$288,MATCH(TRIM(C285),'القوائم'!$A$1:$A$288,0)),IFERROR(MOD(TIMEVALUE(C285),1),""))))</f>
        <v/>
      </c>
      <c r="L285" s="25">
        <f>IF(OR(M285=0,D285=""),"",IF(ISNUMBER(D285),MOD(D285,1),IFERROR(INDEX('القوائم'!$B$1:$B$288,MATCH(TRIM(D285),'القوائم'!$A$1:$A$288,0)),IFERROR(MOD(TIMEVALUE(D285),1),""))))</f>
        <v/>
      </c>
      <c r="M285">
        <f>M281</f>
        <v/>
      </c>
      <c r="Q285">
        <f>IF(N(F291)&gt;0,1,0)</f>
        <v/>
      </c>
    </row>
    <row r="286">
      <c r="A286" s="20">
        <f>IF(26&lt;=NW,SAT1+179,"")</f>
        <v/>
      </c>
      <c r="B286" s="21">
        <f>IF(A286="","",CHOOSE(WEEKDAY(A286,1),"الأحد","الاثنين","الثلاثاء","الأربعاء","الخميس","الجمعة","السبت"))</f>
        <v/>
      </c>
      <c r="C286" s="22" t="n"/>
      <c r="D286" s="22" t="n"/>
      <c r="E286" s="23">
        <f>IF(OR(M286=0,K286="",L286=""),"",MOD(L286-K286,1))</f>
        <v/>
      </c>
      <c r="F286" s="24">
        <f>IF(OR(E286="",M286=0),"",IF(ROUND_MODE="للأعلى",CEILING(ROUND((E286*24*$N$281),3),0.25),ROUND((E286*24*$N$281)*4,0)/4))</f>
        <v/>
      </c>
      <c r="G286" s="22" t="n"/>
      <c r="H286" s="22" t="n"/>
      <c r="K286" s="25">
        <f>IF(OR(M286=0,C286=""),"",IF(ISNUMBER(C286),MOD(C286,1),IFERROR(INDEX('القوائم'!$B$1:$B$288,MATCH(TRIM(C286),'القوائم'!$A$1:$A$288,0)),IFERROR(MOD(TIMEVALUE(C286),1),""))))</f>
        <v/>
      </c>
      <c r="L286" s="25">
        <f>IF(OR(M286=0,D286=""),"",IF(ISNUMBER(D286),MOD(D286,1),IFERROR(INDEX('القوائم'!$B$1:$B$288,MATCH(TRIM(D286),'القوائم'!$A$1:$A$288,0)),IFERROR(MOD(TIMEVALUE(D286),1),""))))</f>
        <v/>
      </c>
      <c r="M286">
        <f>M281</f>
        <v/>
      </c>
      <c r="Q286">
        <f>IF(N(F291)&gt;0,1,0)</f>
        <v/>
      </c>
    </row>
    <row r="287">
      <c r="A287" s="20">
        <f>IF(26&lt;=NW,SAT1+180,"")</f>
        <v/>
      </c>
      <c r="B287" s="21">
        <f>IF(A287="","",CHOOSE(WEEKDAY(A287,1),"الأحد","الاثنين","الثلاثاء","الأربعاء","الخميس","الجمعة","السبت"))</f>
        <v/>
      </c>
      <c r="C287" s="22" t="n"/>
      <c r="D287" s="22" t="n"/>
      <c r="E287" s="23">
        <f>IF(OR(M287=0,K287="",L287=""),"",MOD(L287-K287,1))</f>
        <v/>
      </c>
      <c r="F287" s="24">
        <f>IF(OR(E287="",M287=0),"",IF(ROUND_MODE="للأعلى",CEILING(ROUND((E287*24*$N$281),3),0.25),ROUND((E287*24*$N$281)*4,0)/4))</f>
        <v/>
      </c>
      <c r="G287" s="22" t="n"/>
      <c r="H287" s="22" t="n"/>
      <c r="K287" s="25">
        <f>IF(OR(M287=0,C287=""),"",IF(ISNUMBER(C287),MOD(C287,1),IFERROR(INDEX('القوائم'!$B$1:$B$288,MATCH(TRIM(C287),'القوائم'!$A$1:$A$288,0)),IFERROR(MOD(TIMEVALUE(C287),1),""))))</f>
        <v/>
      </c>
      <c r="L287" s="25">
        <f>IF(OR(M287=0,D287=""),"",IF(ISNUMBER(D287),MOD(D287,1),IFERROR(INDEX('القوائم'!$B$1:$B$288,MATCH(TRIM(D287),'القوائم'!$A$1:$A$288,0)),IFERROR(MOD(TIMEVALUE(D287),1),""))))</f>
        <v/>
      </c>
      <c r="M287">
        <f>M281</f>
        <v/>
      </c>
      <c r="Q287">
        <f>IF(N(F291)&gt;0,1,0)</f>
        <v/>
      </c>
    </row>
    <row r="288">
      <c r="A288" s="26">
        <f>IF(26&lt;=NW,SAT1+181,"")</f>
        <v/>
      </c>
      <c r="B288" s="27">
        <f>IF(A288="","",CHOOSE(WEEKDAY(A288,1),"الأحد","الاثنين","الثلاثاء","الأربعاء","الخميس","الجمعة","السبت"))</f>
        <v/>
      </c>
      <c r="C288" s="22" t="n"/>
      <c r="D288" s="22" t="n"/>
      <c r="E288" s="23">
        <f>IF(OR(M288=0,K288="",L288=""),"",MOD(L288-K288,1))</f>
        <v/>
      </c>
      <c r="F288" s="24">
        <f>IF(OR(E288="",M288=0),"",IF(ROUND_MODE="للأعلى",CEILING(ROUND((E288*24*$N$281),3),0.25),ROUND((E288*24*$N$281)*4,0)/4))</f>
        <v/>
      </c>
      <c r="G288" s="22" t="n"/>
      <c r="H288" s="22" t="n"/>
      <c r="K288" s="25">
        <f>IF(OR(M288=0,C288=""),"",IF(ISNUMBER(C288),MOD(C288,1),IFERROR(INDEX('القوائم'!$B$1:$B$288,MATCH(TRIM(C288),'القوائم'!$A$1:$A$288,0)),IFERROR(MOD(TIMEVALUE(C288),1),""))))</f>
        <v/>
      </c>
      <c r="L288" s="25">
        <f>IF(OR(M288=0,D288=""),"",IF(ISNUMBER(D288),MOD(D288,1),IFERROR(INDEX('القوائم'!$B$1:$B$288,MATCH(TRIM(D288),'القوائم'!$A$1:$A$288,0)),IFERROR(MOD(TIMEVALUE(D288),1),""))))</f>
        <v/>
      </c>
      <c r="M288">
        <f>M281</f>
        <v/>
      </c>
      <c r="Q288">
        <f>IF(N(F291)&gt;0,1,0)</f>
        <v/>
      </c>
    </row>
    <row r="289">
      <c r="A289" s="28">
        <f>IF(M281=1,"مجموع أيام الأسبوع 26","")</f>
        <v/>
      </c>
      <c r="B289" s="28" t="n"/>
      <c r="C289" s="28" t="n"/>
      <c r="D289" s="28" t="n"/>
      <c r="E289" s="29">
        <f>IF(M281=1,SUM(E282:E288),"")</f>
        <v/>
      </c>
      <c r="F289" s="30">
        <f>IF(M281=1,SUM(F282:F288),"")</f>
        <v/>
      </c>
      <c r="G289" s="41">
        <f>IF(M281=1,SUMIFS(F282:F288,G282:G288,"نعم"),"")</f>
        <v/>
      </c>
      <c r="H289" s="28" t="n"/>
    </row>
    <row r="290" ht="32" customHeight="1">
      <c r="A290" s="28">
        <f>IF(M281=1,"ساعات تحميل الجبسمبورد بهالأسبوع (رقم: 2 أو 1.5) ←","")</f>
        <v/>
      </c>
      <c r="E290" s="31" t="n"/>
      <c r="F290" s="33">
        <f>IF(M281=1,N(F289)+IF(ROUND_MODE="للأعلى",CEILING(ROUND((N(E290)*($P$281-$N$281)),3),0.25),ROUND((N(E290)*($P$281-$N$281))*4,0)/4),"")</f>
        <v/>
      </c>
      <c r="G290" s="32">
        <f>IF(M281=1,"← المستحق النهائي للأسبوع (دينار) مع فرق الجبسمبورد","")</f>
        <v/>
      </c>
    </row>
    <row r="291" ht="26" customHeight="1">
      <c r="A291" s="28">
        <f>IF(M281=1,"إكرامية الأسبوع ←","")</f>
        <v/>
      </c>
      <c r="C291" s="35" t="n"/>
      <c r="D291" s="28">
        <f>IF(M281=1,"المدفوع يوم الجمعة (التسوية) ←","")</f>
        <v/>
      </c>
      <c r="F291" s="35" t="n"/>
      <c r="G291" s="36">
        <f>IF(M281=1,IF(N(F291)&gt;0,"✔ انقبض — الأسبوع مقفول","⏳ لسا ما انقبض"),"")</f>
        <v/>
      </c>
    </row>
    <row r="292" ht="26" customHeight="1">
      <c r="A292" s="40">
        <f>IF(27&lt;=NW,"الأسبوع 27 · السبت "&amp;TEXT(DAY(SAT1+182),"00")&amp;"/"&amp;TEXT(MONTH(SAT1+182),"00")&amp;" ← الجمعة "&amp;TEXT(DAY(SAT1+188),"00")&amp;"/"&amp;TEXT(MONTH(SAT1+188),"00")&amp;" (يوم القبض)"&amp;IF(27&lt;START_Z,"   — قبل أسبوع البداية (ما بينحسب)",""),"ما في أسبوع 27 هالسنة")</f>
        <v/>
      </c>
      <c r="L292" s="19">
        <f>IF(27&lt;=NW,SAT1+188,"")</f>
        <v/>
      </c>
      <c r="M292">
        <f>IF(AND(27&lt;=NW,27&gt;=START_Z),1,0)</f>
        <v/>
      </c>
      <c r="N292">
        <f>IFERROR(INDEX(RT_AZZ,MATCH(L292,RT_K,1)),INDEX(RT_AZZ,1))</f>
        <v/>
      </c>
      <c r="P292">
        <f>IFERROR(INDEX(RT_GYP,MATCH(L292,RT_K,1)),INDEX(RT_GYP,1))</f>
        <v/>
      </c>
    </row>
    <row r="293">
      <c r="A293" s="20">
        <f>IF(27&lt;=NW,SAT1+182,"")</f>
        <v/>
      </c>
      <c r="B293" s="21">
        <f>IF(A293="","",CHOOSE(WEEKDAY(A293,1),"الأحد","الاثنين","الثلاثاء","الأربعاء","الخميس","الجمعة","السبت"))</f>
        <v/>
      </c>
      <c r="C293" s="22" t="n"/>
      <c r="D293" s="22" t="n"/>
      <c r="E293" s="23">
        <f>IF(OR(M293=0,K293="",L293=""),"",MOD(L293-K293,1))</f>
        <v/>
      </c>
      <c r="F293" s="24">
        <f>IF(OR(E293="",M293=0),"",IF(ROUND_MODE="للأعلى",CEILING(ROUND((E293*24*$N$292),3),0.25),ROUND((E293*24*$N$292)*4,0)/4))</f>
        <v/>
      </c>
      <c r="G293" s="22" t="n"/>
      <c r="H293" s="22" t="n"/>
      <c r="K293" s="25">
        <f>IF(OR(M293=0,C293=""),"",IF(ISNUMBER(C293),MOD(C293,1),IFERROR(INDEX('القوائم'!$B$1:$B$288,MATCH(TRIM(C293),'القوائم'!$A$1:$A$288,0)),IFERROR(MOD(TIMEVALUE(C293),1),""))))</f>
        <v/>
      </c>
      <c r="L293" s="25">
        <f>IF(OR(M293=0,D293=""),"",IF(ISNUMBER(D293),MOD(D293,1),IFERROR(INDEX('القوائم'!$B$1:$B$288,MATCH(TRIM(D293),'القوائم'!$A$1:$A$288,0)),IFERROR(MOD(TIMEVALUE(D293),1),""))))</f>
        <v/>
      </c>
      <c r="M293">
        <f>M292</f>
        <v/>
      </c>
      <c r="Q293">
        <f>IF(N(F302)&gt;0,1,0)</f>
        <v/>
      </c>
    </row>
    <row r="294">
      <c r="A294" s="20">
        <f>IF(27&lt;=NW,SAT1+183,"")</f>
        <v/>
      </c>
      <c r="B294" s="21">
        <f>IF(A294="","",CHOOSE(WEEKDAY(A294,1),"الأحد","الاثنين","الثلاثاء","الأربعاء","الخميس","الجمعة","السبت"))</f>
        <v/>
      </c>
      <c r="C294" s="22" t="n"/>
      <c r="D294" s="22" t="n"/>
      <c r="E294" s="23">
        <f>IF(OR(M294=0,K294="",L294=""),"",MOD(L294-K294,1))</f>
        <v/>
      </c>
      <c r="F294" s="24">
        <f>IF(OR(E294="",M294=0),"",IF(ROUND_MODE="للأعلى",CEILING(ROUND((E294*24*$N$292),3),0.25),ROUND((E294*24*$N$292)*4,0)/4))</f>
        <v/>
      </c>
      <c r="G294" s="22" t="n"/>
      <c r="H294" s="22" t="n"/>
      <c r="K294" s="25">
        <f>IF(OR(M294=0,C294=""),"",IF(ISNUMBER(C294),MOD(C294,1),IFERROR(INDEX('القوائم'!$B$1:$B$288,MATCH(TRIM(C294),'القوائم'!$A$1:$A$288,0)),IFERROR(MOD(TIMEVALUE(C294),1),""))))</f>
        <v/>
      </c>
      <c r="L294" s="25">
        <f>IF(OR(M294=0,D294=""),"",IF(ISNUMBER(D294),MOD(D294,1),IFERROR(INDEX('القوائم'!$B$1:$B$288,MATCH(TRIM(D294),'القوائم'!$A$1:$A$288,0)),IFERROR(MOD(TIMEVALUE(D294),1),""))))</f>
        <v/>
      </c>
      <c r="M294">
        <f>M292</f>
        <v/>
      </c>
      <c r="Q294">
        <f>IF(N(F302)&gt;0,1,0)</f>
        <v/>
      </c>
    </row>
    <row r="295">
      <c r="A295" s="20">
        <f>IF(27&lt;=NW,SAT1+184,"")</f>
        <v/>
      </c>
      <c r="B295" s="21">
        <f>IF(A295="","",CHOOSE(WEEKDAY(A295,1),"الأحد","الاثنين","الثلاثاء","الأربعاء","الخميس","الجمعة","السبت"))</f>
        <v/>
      </c>
      <c r="C295" s="22" t="n"/>
      <c r="D295" s="22" t="n"/>
      <c r="E295" s="23">
        <f>IF(OR(M295=0,K295="",L295=""),"",MOD(L295-K295,1))</f>
        <v/>
      </c>
      <c r="F295" s="24">
        <f>IF(OR(E295="",M295=0),"",IF(ROUND_MODE="للأعلى",CEILING(ROUND((E295*24*$N$292),3),0.25),ROUND((E295*24*$N$292)*4,0)/4))</f>
        <v/>
      </c>
      <c r="G295" s="22" t="n"/>
      <c r="H295" s="22" t="n"/>
      <c r="K295" s="25">
        <f>IF(OR(M295=0,C295=""),"",IF(ISNUMBER(C295),MOD(C295,1),IFERROR(INDEX('القوائم'!$B$1:$B$288,MATCH(TRIM(C295),'القوائم'!$A$1:$A$288,0)),IFERROR(MOD(TIMEVALUE(C295),1),""))))</f>
        <v/>
      </c>
      <c r="L295" s="25">
        <f>IF(OR(M295=0,D295=""),"",IF(ISNUMBER(D295),MOD(D295,1),IFERROR(INDEX('القوائم'!$B$1:$B$288,MATCH(TRIM(D295),'القوائم'!$A$1:$A$288,0)),IFERROR(MOD(TIMEVALUE(D295),1),""))))</f>
        <v/>
      </c>
      <c r="M295">
        <f>M292</f>
        <v/>
      </c>
      <c r="Q295">
        <f>IF(N(F302)&gt;0,1,0)</f>
        <v/>
      </c>
    </row>
    <row r="296">
      <c r="A296" s="20">
        <f>IF(27&lt;=NW,SAT1+185,"")</f>
        <v/>
      </c>
      <c r="B296" s="21">
        <f>IF(A296="","",CHOOSE(WEEKDAY(A296,1),"الأحد","الاثنين","الثلاثاء","الأربعاء","الخميس","الجمعة","السبت"))</f>
        <v/>
      </c>
      <c r="C296" s="22" t="n"/>
      <c r="D296" s="22" t="n"/>
      <c r="E296" s="23">
        <f>IF(OR(M296=0,K296="",L296=""),"",MOD(L296-K296,1))</f>
        <v/>
      </c>
      <c r="F296" s="24">
        <f>IF(OR(E296="",M296=0),"",IF(ROUND_MODE="للأعلى",CEILING(ROUND((E296*24*$N$292),3),0.25),ROUND((E296*24*$N$292)*4,0)/4))</f>
        <v/>
      </c>
      <c r="G296" s="22" t="n"/>
      <c r="H296" s="22" t="n"/>
      <c r="K296" s="25">
        <f>IF(OR(M296=0,C296=""),"",IF(ISNUMBER(C296),MOD(C296,1),IFERROR(INDEX('القوائم'!$B$1:$B$288,MATCH(TRIM(C296),'القوائم'!$A$1:$A$288,0)),IFERROR(MOD(TIMEVALUE(C296),1),""))))</f>
        <v/>
      </c>
      <c r="L296" s="25">
        <f>IF(OR(M296=0,D296=""),"",IF(ISNUMBER(D296),MOD(D296,1),IFERROR(INDEX('القوائم'!$B$1:$B$288,MATCH(TRIM(D296),'القوائم'!$A$1:$A$288,0)),IFERROR(MOD(TIMEVALUE(D296),1),""))))</f>
        <v/>
      </c>
      <c r="M296">
        <f>M292</f>
        <v/>
      </c>
      <c r="Q296">
        <f>IF(N(F302)&gt;0,1,0)</f>
        <v/>
      </c>
    </row>
    <row r="297">
      <c r="A297" s="20">
        <f>IF(27&lt;=NW,SAT1+186,"")</f>
        <v/>
      </c>
      <c r="B297" s="21">
        <f>IF(A297="","",CHOOSE(WEEKDAY(A297,1),"الأحد","الاثنين","الثلاثاء","الأربعاء","الخميس","الجمعة","السبت"))</f>
        <v/>
      </c>
      <c r="C297" s="22" t="n"/>
      <c r="D297" s="22" t="n"/>
      <c r="E297" s="23">
        <f>IF(OR(M297=0,K297="",L297=""),"",MOD(L297-K297,1))</f>
        <v/>
      </c>
      <c r="F297" s="24">
        <f>IF(OR(E297="",M297=0),"",IF(ROUND_MODE="للأعلى",CEILING(ROUND((E297*24*$N$292),3),0.25),ROUND((E297*24*$N$292)*4,0)/4))</f>
        <v/>
      </c>
      <c r="G297" s="22" t="n"/>
      <c r="H297" s="22" t="n"/>
      <c r="K297" s="25">
        <f>IF(OR(M297=0,C297=""),"",IF(ISNUMBER(C297),MOD(C297,1),IFERROR(INDEX('القوائم'!$B$1:$B$288,MATCH(TRIM(C297),'القوائم'!$A$1:$A$288,0)),IFERROR(MOD(TIMEVALUE(C297),1),""))))</f>
        <v/>
      </c>
      <c r="L297" s="25">
        <f>IF(OR(M297=0,D297=""),"",IF(ISNUMBER(D297),MOD(D297,1),IFERROR(INDEX('القوائم'!$B$1:$B$288,MATCH(TRIM(D297),'القوائم'!$A$1:$A$288,0)),IFERROR(MOD(TIMEVALUE(D297),1),""))))</f>
        <v/>
      </c>
      <c r="M297">
        <f>M292</f>
        <v/>
      </c>
      <c r="Q297">
        <f>IF(N(F302)&gt;0,1,0)</f>
        <v/>
      </c>
    </row>
    <row r="298">
      <c r="A298" s="20">
        <f>IF(27&lt;=NW,SAT1+187,"")</f>
        <v/>
      </c>
      <c r="B298" s="21">
        <f>IF(A298="","",CHOOSE(WEEKDAY(A298,1),"الأحد","الاثنين","الثلاثاء","الأربعاء","الخميس","الجمعة","السبت"))</f>
        <v/>
      </c>
      <c r="C298" s="22" t="n"/>
      <c r="D298" s="22" t="n"/>
      <c r="E298" s="23">
        <f>IF(OR(M298=0,K298="",L298=""),"",MOD(L298-K298,1))</f>
        <v/>
      </c>
      <c r="F298" s="24">
        <f>IF(OR(E298="",M298=0),"",IF(ROUND_MODE="للأعلى",CEILING(ROUND((E298*24*$N$292),3),0.25),ROUND((E298*24*$N$292)*4,0)/4))</f>
        <v/>
      </c>
      <c r="G298" s="22" t="n"/>
      <c r="H298" s="22" t="n"/>
      <c r="K298" s="25">
        <f>IF(OR(M298=0,C298=""),"",IF(ISNUMBER(C298),MOD(C298,1),IFERROR(INDEX('القوائم'!$B$1:$B$288,MATCH(TRIM(C298),'القوائم'!$A$1:$A$288,0)),IFERROR(MOD(TIMEVALUE(C298),1),""))))</f>
        <v/>
      </c>
      <c r="L298" s="25">
        <f>IF(OR(M298=0,D298=""),"",IF(ISNUMBER(D298),MOD(D298,1),IFERROR(INDEX('القوائم'!$B$1:$B$288,MATCH(TRIM(D298),'القوائم'!$A$1:$A$288,0)),IFERROR(MOD(TIMEVALUE(D298),1),""))))</f>
        <v/>
      </c>
      <c r="M298">
        <f>M292</f>
        <v/>
      </c>
      <c r="Q298">
        <f>IF(N(F302)&gt;0,1,0)</f>
        <v/>
      </c>
    </row>
    <row r="299">
      <c r="A299" s="26">
        <f>IF(27&lt;=NW,SAT1+188,"")</f>
        <v/>
      </c>
      <c r="B299" s="27">
        <f>IF(A299="","",CHOOSE(WEEKDAY(A299,1),"الأحد","الاثنين","الثلاثاء","الأربعاء","الخميس","الجمعة","السبت"))</f>
        <v/>
      </c>
      <c r="C299" s="22" t="n"/>
      <c r="D299" s="22" t="n"/>
      <c r="E299" s="23">
        <f>IF(OR(M299=0,K299="",L299=""),"",MOD(L299-K299,1))</f>
        <v/>
      </c>
      <c r="F299" s="24">
        <f>IF(OR(E299="",M299=0),"",IF(ROUND_MODE="للأعلى",CEILING(ROUND((E299*24*$N$292),3),0.25),ROUND((E299*24*$N$292)*4,0)/4))</f>
        <v/>
      </c>
      <c r="G299" s="22" t="n"/>
      <c r="H299" s="22" t="n"/>
      <c r="K299" s="25">
        <f>IF(OR(M299=0,C299=""),"",IF(ISNUMBER(C299),MOD(C299,1),IFERROR(INDEX('القوائم'!$B$1:$B$288,MATCH(TRIM(C299),'القوائم'!$A$1:$A$288,0)),IFERROR(MOD(TIMEVALUE(C299),1),""))))</f>
        <v/>
      </c>
      <c r="L299" s="25">
        <f>IF(OR(M299=0,D299=""),"",IF(ISNUMBER(D299),MOD(D299,1),IFERROR(INDEX('القوائم'!$B$1:$B$288,MATCH(TRIM(D299),'القوائم'!$A$1:$A$288,0)),IFERROR(MOD(TIMEVALUE(D299),1),""))))</f>
        <v/>
      </c>
      <c r="M299">
        <f>M292</f>
        <v/>
      </c>
      <c r="Q299">
        <f>IF(N(F302)&gt;0,1,0)</f>
        <v/>
      </c>
    </row>
    <row r="300">
      <c r="A300" s="28">
        <f>IF(M292=1,"مجموع أيام الأسبوع 27","")</f>
        <v/>
      </c>
      <c r="B300" s="28" t="n"/>
      <c r="C300" s="28" t="n"/>
      <c r="D300" s="28" t="n"/>
      <c r="E300" s="29">
        <f>IF(M292=1,SUM(E293:E299),"")</f>
        <v/>
      </c>
      <c r="F300" s="30">
        <f>IF(M292=1,SUM(F293:F299),"")</f>
        <v/>
      </c>
      <c r="G300" s="41">
        <f>IF(M292=1,SUMIFS(F293:F299,G293:G299,"نعم"),"")</f>
        <v/>
      </c>
      <c r="H300" s="28" t="n"/>
    </row>
    <row r="301" ht="32" customHeight="1">
      <c r="A301" s="28">
        <f>IF(M292=1,"ساعات تحميل الجبسمبورد بهالأسبوع (رقم: 2 أو 1.5) ←","")</f>
        <v/>
      </c>
      <c r="E301" s="31" t="n"/>
      <c r="F301" s="33">
        <f>IF(M292=1,N(F300)+IF(ROUND_MODE="للأعلى",CEILING(ROUND((N(E301)*($P$292-$N$292)),3),0.25),ROUND((N(E301)*($P$292-$N$292))*4,0)/4),"")</f>
        <v/>
      </c>
      <c r="G301" s="32">
        <f>IF(M292=1,"← المستحق النهائي للأسبوع (دينار) مع فرق الجبسمبورد","")</f>
        <v/>
      </c>
    </row>
    <row r="302" ht="26" customHeight="1">
      <c r="A302" s="28">
        <f>IF(M292=1,"إكرامية الأسبوع ←","")</f>
        <v/>
      </c>
      <c r="C302" s="35" t="n"/>
      <c r="D302" s="28">
        <f>IF(M292=1,"المدفوع يوم الجمعة (التسوية) ←","")</f>
        <v/>
      </c>
      <c r="F302" s="35" t="n"/>
      <c r="G302" s="36">
        <f>IF(M292=1,IF(N(F302)&gt;0,"✔ انقبض — الأسبوع مقفول","⏳ لسا ما انقبض"),"")</f>
        <v/>
      </c>
    </row>
    <row r="303" ht="26" customHeight="1">
      <c r="A303" s="40">
        <f>IF(28&lt;=NW,"الأسبوع 28 · السبت "&amp;TEXT(DAY(SAT1+189),"00")&amp;"/"&amp;TEXT(MONTH(SAT1+189),"00")&amp;" ← الجمعة "&amp;TEXT(DAY(SAT1+195),"00")&amp;"/"&amp;TEXT(MONTH(SAT1+195),"00")&amp;" (يوم القبض)"&amp;IF(28&lt;START_Z,"   — قبل أسبوع البداية (ما بينحسب)",""),"ما في أسبوع 28 هالسنة")</f>
        <v/>
      </c>
      <c r="L303" s="19">
        <f>IF(28&lt;=NW,SAT1+195,"")</f>
        <v/>
      </c>
      <c r="M303">
        <f>IF(AND(28&lt;=NW,28&gt;=START_Z),1,0)</f>
        <v/>
      </c>
      <c r="N303">
        <f>IFERROR(INDEX(RT_AZZ,MATCH(L303,RT_K,1)),INDEX(RT_AZZ,1))</f>
        <v/>
      </c>
      <c r="P303">
        <f>IFERROR(INDEX(RT_GYP,MATCH(L303,RT_K,1)),INDEX(RT_GYP,1))</f>
        <v/>
      </c>
    </row>
    <row r="304">
      <c r="A304" s="20">
        <f>IF(28&lt;=NW,SAT1+189,"")</f>
        <v/>
      </c>
      <c r="B304" s="21">
        <f>IF(A304="","",CHOOSE(WEEKDAY(A304,1),"الأحد","الاثنين","الثلاثاء","الأربعاء","الخميس","الجمعة","السبت"))</f>
        <v/>
      </c>
      <c r="C304" s="22" t="n"/>
      <c r="D304" s="22" t="n"/>
      <c r="E304" s="23">
        <f>IF(OR(M304=0,K304="",L304=""),"",MOD(L304-K304,1))</f>
        <v/>
      </c>
      <c r="F304" s="24">
        <f>IF(OR(E304="",M304=0),"",IF(ROUND_MODE="للأعلى",CEILING(ROUND((E304*24*$N$303),3),0.25),ROUND((E304*24*$N$303)*4,0)/4))</f>
        <v/>
      </c>
      <c r="G304" s="22" t="n"/>
      <c r="H304" s="22" t="n"/>
      <c r="K304" s="25">
        <f>IF(OR(M304=0,C304=""),"",IF(ISNUMBER(C304),MOD(C304,1),IFERROR(INDEX('القوائم'!$B$1:$B$288,MATCH(TRIM(C304),'القوائم'!$A$1:$A$288,0)),IFERROR(MOD(TIMEVALUE(C304),1),""))))</f>
        <v/>
      </c>
      <c r="L304" s="25">
        <f>IF(OR(M304=0,D304=""),"",IF(ISNUMBER(D304),MOD(D304,1),IFERROR(INDEX('القوائم'!$B$1:$B$288,MATCH(TRIM(D304),'القوائم'!$A$1:$A$288,0)),IFERROR(MOD(TIMEVALUE(D304),1),""))))</f>
        <v/>
      </c>
      <c r="M304">
        <f>M303</f>
        <v/>
      </c>
      <c r="Q304">
        <f>IF(N(F313)&gt;0,1,0)</f>
        <v/>
      </c>
    </row>
    <row r="305">
      <c r="A305" s="20">
        <f>IF(28&lt;=NW,SAT1+190,"")</f>
        <v/>
      </c>
      <c r="B305" s="21">
        <f>IF(A305="","",CHOOSE(WEEKDAY(A305,1),"الأحد","الاثنين","الثلاثاء","الأربعاء","الخميس","الجمعة","السبت"))</f>
        <v/>
      </c>
      <c r="C305" s="22" t="n"/>
      <c r="D305" s="22" t="n"/>
      <c r="E305" s="23">
        <f>IF(OR(M305=0,K305="",L305=""),"",MOD(L305-K305,1))</f>
        <v/>
      </c>
      <c r="F305" s="24">
        <f>IF(OR(E305="",M305=0),"",IF(ROUND_MODE="للأعلى",CEILING(ROUND((E305*24*$N$303),3),0.25),ROUND((E305*24*$N$303)*4,0)/4))</f>
        <v/>
      </c>
      <c r="G305" s="22" t="n"/>
      <c r="H305" s="22" t="n"/>
      <c r="K305" s="25">
        <f>IF(OR(M305=0,C305=""),"",IF(ISNUMBER(C305),MOD(C305,1),IFERROR(INDEX('القوائم'!$B$1:$B$288,MATCH(TRIM(C305),'القوائم'!$A$1:$A$288,0)),IFERROR(MOD(TIMEVALUE(C305),1),""))))</f>
        <v/>
      </c>
      <c r="L305" s="25">
        <f>IF(OR(M305=0,D305=""),"",IF(ISNUMBER(D305),MOD(D305,1),IFERROR(INDEX('القوائم'!$B$1:$B$288,MATCH(TRIM(D305),'القوائم'!$A$1:$A$288,0)),IFERROR(MOD(TIMEVALUE(D305),1),""))))</f>
        <v/>
      </c>
      <c r="M305">
        <f>M303</f>
        <v/>
      </c>
      <c r="Q305">
        <f>IF(N(F313)&gt;0,1,0)</f>
        <v/>
      </c>
    </row>
    <row r="306">
      <c r="A306" s="20">
        <f>IF(28&lt;=NW,SAT1+191,"")</f>
        <v/>
      </c>
      <c r="B306" s="21">
        <f>IF(A306="","",CHOOSE(WEEKDAY(A306,1),"الأحد","الاثنين","الثلاثاء","الأربعاء","الخميس","الجمعة","السبت"))</f>
        <v/>
      </c>
      <c r="C306" s="22" t="n"/>
      <c r="D306" s="22" t="n"/>
      <c r="E306" s="23">
        <f>IF(OR(M306=0,K306="",L306=""),"",MOD(L306-K306,1))</f>
        <v/>
      </c>
      <c r="F306" s="24">
        <f>IF(OR(E306="",M306=0),"",IF(ROUND_MODE="للأعلى",CEILING(ROUND((E306*24*$N$303),3),0.25),ROUND((E306*24*$N$303)*4,0)/4))</f>
        <v/>
      </c>
      <c r="G306" s="22" t="n"/>
      <c r="H306" s="22" t="n"/>
      <c r="K306" s="25">
        <f>IF(OR(M306=0,C306=""),"",IF(ISNUMBER(C306),MOD(C306,1),IFERROR(INDEX('القوائم'!$B$1:$B$288,MATCH(TRIM(C306),'القوائم'!$A$1:$A$288,0)),IFERROR(MOD(TIMEVALUE(C306),1),""))))</f>
        <v/>
      </c>
      <c r="L306" s="25">
        <f>IF(OR(M306=0,D306=""),"",IF(ISNUMBER(D306),MOD(D306,1),IFERROR(INDEX('القوائم'!$B$1:$B$288,MATCH(TRIM(D306),'القوائم'!$A$1:$A$288,0)),IFERROR(MOD(TIMEVALUE(D306),1),""))))</f>
        <v/>
      </c>
      <c r="M306">
        <f>M303</f>
        <v/>
      </c>
      <c r="Q306">
        <f>IF(N(F313)&gt;0,1,0)</f>
        <v/>
      </c>
    </row>
    <row r="307">
      <c r="A307" s="20">
        <f>IF(28&lt;=NW,SAT1+192,"")</f>
        <v/>
      </c>
      <c r="B307" s="21">
        <f>IF(A307="","",CHOOSE(WEEKDAY(A307,1),"الأحد","الاثنين","الثلاثاء","الأربعاء","الخميس","الجمعة","السبت"))</f>
        <v/>
      </c>
      <c r="C307" s="22" t="n"/>
      <c r="D307" s="22" t="n"/>
      <c r="E307" s="23">
        <f>IF(OR(M307=0,K307="",L307=""),"",MOD(L307-K307,1))</f>
        <v/>
      </c>
      <c r="F307" s="24">
        <f>IF(OR(E307="",M307=0),"",IF(ROUND_MODE="للأعلى",CEILING(ROUND((E307*24*$N$303),3),0.25),ROUND((E307*24*$N$303)*4,0)/4))</f>
        <v/>
      </c>
      <c r="G307" s="22" t="n"/>
      <c r="H307" s="22" t="n"/>
      <c r="K307" s="25">
        <f>IF(OR(M307=0,C307=""),"",IF(ISNUMBER(C307),MOD(C307,1),IFERROR(INDEX('القوائم'!$B$1:$B$288,MATCH(TRIM(C307),'القوائم'!$A$1:$A$288,0)),IFERROR(MOD(TIMEVALUE(C307),1),""))))</f>
        <v/>
      </c>
      <c r="L307" s="25">
        <f>IF(OR(M307=0,D307=""),"",IF(ISNUMBER(D307),MOD(D307,1),IFERROR(INDEX('القوائم'!$B$1:$B$288,MATCH(TRIM(D307),'القوائم'!$A$1:$A$288,0)),IFERROR(MOD(TIMEVALUE(D307),1),""))))</f>
        <v/>
      </c>
      <c r="M307">
        <f>M303</f>
        <v/>
      </c>
      <c r="Q307">
        <f>IF(N(F313)&gt;0,1,0)</f>
        <v/>
      </c>
    </row>
    <row r="308">
      <c r="A308" s="20">
        <f>IF(28&lt;=NW,SAT1+193,"")</f>
        <v/>
      </c>
      <c r="B308" s="21">
        <f>IF(A308="","",CHOOSE(WEEKDAY(A308,1),"الأحد","الاثنين","الثلاثاء","الأربعاء","الخميس","الجمعة","السبت"))</f>
        <v/>
      </c>
      <c r="C308" s="22" t="n"/>
      <c r="D308" s="22" t="n"/>
      <c r="E308" s="23">
        <f>IF(OR(M308=0,K308="",L308=""),"",MOD(L308-K308,1))</f>
        <v/>
      </c>
      <c r="F308" s="24">
        <f>IF(OR(E308="",M308=0),"",IF(ROUND_MODE="للأعلى",CEILING(ROUND((E308*24*$N$303),3),0.25),ROUND((E308*24*$N$303)*4,0)/4))</f>
        <v/>
      </c>
      <c r="G308" s="22" t="n"/>
      <c r="H308" s="22" t="n"/>
      <c r="K308" s="25">
        <f>IF(OR(M308=0,C308=""),"",IF(ISNUMBER(C308),MOD(C308,1),IFERROR(INDEX('القوائم'!$B$1:$B$288,MATCH(TRIM(C308),'القوائم'!$A$1:$A$288,0)),IFERROR(MOD(TIMEVALUE(C308),1),""))))</f>
        <v/>
      </c>
      <c r="L308" s="25">
        <f>IF(OR(M308=0,D308=""),"",IF(ISNUMBER(D308),MOD(D308,1),IFERROR(INDEX('القوائم'!$B$1:$B$288,MATCH(TRIM(D308),'القوائم'!$A$1:$A$288,0)),IFERROR(MOD(TIMEVALUE(D308),1),""))))</f>
        <v/>
      </c>
      <c r="M308">
        <f>M303</f>
        <v/>
      </c>
      <c r="Q308">
        <f>IF(N(F313)&gt;0,1,0)</f>
        <v/>
      </c>
    </row>
    <row r="309">
      <c r="A309" s="20">
        <f>IF(28&lt;=NW,SAT1+194,"")</f>
        <v/>
      </c>
      <c r="B309" s="21">
        <f>IF(A309="","",CHOOSE(WEEKDAY(A309,1),"الأحد","الاثنين","الثلاثاء","الأربعاء","الخميس","الجمعة","السبت"))</f>
        <v/>
      </c>
      <c r="C309" s="22" t="n"/>
      <c r="D309" s="22" t="n"/>
      <c r="E309" s="23">
        <f>IF(OR(M309=0,K309="",L309=""),"",MOD(L309-K309,1))</f>
        <v/>
      </c>
      <c r="F309" s="24">
        <f>IF(OR(E309="",M309=0),"",IF(ROUND_MODE="للأعلى",CEILING(ROUND((E309*24*$N$303),3),0.25),ROUND((E309*24*$N$303)*4,0)/4))</f>
        <v/>
      </c>
      <c r="G309" s="22" t="n"/>
      <c r="H309" s="22" t="n"/>
      <c r="K309" s="25">
        <f>IF(OR(M309=0,C309=""),"",IF(ISNUMBER(C309),MOD(C309,1),IFERROR(INDEX('القوائم'!$B$1:$B$288,MATCH(TRIM(C309),'القوائم'!$A$1:$A$288,0)),IFERROR(MOD(TIMEVALUE(C309),1),""))))</f>
        <v/>
      </c>
      <c r="L309" s="25">
        <f>IF(OR(M309=0,D309=""),"",IF(ISNUMBER(D309),MOD(D309,1),IFERROR(INDEX('القوائم'!$B$1:$B$288,MATCH(TRIM(D309),'القوائم'!$A$1:$A$288,0)),IFERROR(MOD(TIMEVALUE(D309),1),""))))</f>
        <v/>
      </c>
      <c r="M309">
        <f>M303</f>
        <v/>
      </c>
      <c r="Q309">
        <f>IF(N(F313)&gt;0,1,0)</f>
        <v/>
      </c>
    </row>
    <row r="310">
      <c r="A310" s="26">
        <f>IF(28&lt;=NW,SAT1+195,"")</f>
        <v/>
      </c>
      <c r="B310" s="27">
        <f>IF(A310="","",CHOOSE(WEEKDAY(A310,1),"الأحد","الاثنين","الثلاثاء","الأربعاء","الخميس","الجمعة","السبت"))</f>
        <v/>
      </c>
      <c r="C310" s="22" t="n"/>
      <c r="D310" s="22" t="n"/>
      <c r="E310" s="23">
        <f>IF(OR(M310=0,K310="",L310=""),"",MOD(L310-K310,1))</f>
        <v/>
      </c>
      <c r="F310" s="24">
        <f>IF(OR(E310="",M310=0),"",IF(ROUND_MODE="للأعلى",CEILING(ROUND((E310*24*$N$303),3),0.25),ROUND((E310*24*$N$303)*4,0)/4))</f>
        <v/>
      </c>
      <c r="G310" s="22" t="n"/>
      <c r="H310" s="22" t="n"/>
      <c r="K310" s="25">
        <f>IF(OR(M310=0,C310=""),"",IF(ISNUMBER(C310),MOD(C310,1),IFERROR(INDEX('القوائم'!$B$1:$B$288,MATCH(TRIM(C310),'القوائم'!$A$1:$A$288,0)),IFERROR(MOD(TIMEVALUE(C310),1),""))))</f>
        <v/>
      </c>
      <c r="L310" s="25">
        <f>IF(OR(M310=0,D310=""),"",IF(ISNUMBER(D310),MOD(D310,1),IFERROR(INDEX('القوائم'!$B$1:$B$288,MATCH(TRIM(D310),'القوائم'!$A$1:$A$288,0)),IFERROR(MOD(TIMEVALUE(D310),1),""))))</f>
        <v/>
      </c>
      <c r="M310">
        <f>M303</f>
        <v/>
      </c>
      <c r="Q310">
        <f>IF(N(F313)&gt;0,1,0)</f>
        <v/>
      </c>
    </row>
    <row r="311">
      <c r="A311" s="28">
        <f>IF(M303=1,"مجموع أيام الأسبوع 28","")</f>
        <v/>
      </c>
      <c r="B311" s="28" t="n"/>
      <c r="C311" s="28" t="n"/>
      <c r="D311" s="28" t="n"/>
      <c r="E311" s="29">
        <f>IF(M303=1,SUM(E304:E310),"")</f>
        <v/>
      </c>
      <c r="F311" s="30">
        <f>IF(M303=1,SUM(F304:F310),"")</f>
        <v/>
      </c>
      <c r="G311" s="41">
        <f>IF(M303=1,SUMIFS(F304:F310,G304:G310,"نعم"),"")</f>
        <v/>
      </c>
      <c r="H311" s="28" t="n"/>
    </row>
    <row r="312" ht="32" customHeight="1">
      <c r="A312" s="28">
        <f>IF(M303=1,"ساعات تحميل الجبسمبورد بهالأسبوع (رقم: 2 أو 1.5) ←","")</f>
        <v/>
      </c>
      <c r="E312" s="31" t="n"/>
      <c r="F312" s="33">
        <f>IF(M303=1,N(F311)+IF(ROUND_MODE="للأعلى",CEILING(ROUND((N(E312)*($P$303-$N$303)),3),0.25),ROUND((N(E312)*($P$303-$N$303))*4,0)/4),"")</f>
        <v/>
      </c>
      <c r="G312" s="32">
        <f>IF(M303=1,"← المستحق النهائي للأسبوع (دينار) مع فرق الجبسمبورد","")</f>
        <v/>
      </c>
    </row>
    <row r="313" ht="26" customHeight="1">
      <c r="A313" s="28">
        <f>IF(M303=1,"إكرامية الأسبوع ←","")</f>
        <v/>
      </c>
      <c r="C313" s="35" t="n"/>
      <c r="D313" s="28">
        <f>IF(M303=1,"المدفوع يوم الجمعة (التسوية) ←","")</f>
        <v/>
      </c>
      <c r="F313" s="35" t="n"/>
      <c r="G313" s="36">
        <f>IF(M303=1,IF(N(F313)&gt;0,"✔ انقبض — الأسبوع مقفول","⏳ لسا ما انقبض"),"")</f>
        <v/>
      </c>
    </row>
    <row r="314" ht="26" customHeight="1">
      <c r="A314" s="40">
        <f>IF(29&lt;=NW,"الأسبوع 29 · السبت "&amp;TEXT(DAY(SAT1+196),"00")&amp;"/"&amp;TEXT(MONTH(SAT1+196),"00")&amp;" ← الجمعة "&amp;TEXT(DAY(SAT1+202),"00")&amp;"/"&amp;TEXT(MONTH(SAT1+202),"00")&amp;" (يوم القبض)"&amp;IF(29&lt;START_Z,"   — قبل أسبوع البداية (ما بينحسب)",""),"ما في أسبوع 29 هالسنة")</f>
        <v/>
      </c>
      <c r="L314" s="19">
        <f>IF(29&lt;=NW,SAT1+202,"")</f>
        <v/>
      </c>
      <c r="M314">
        <f>IF(AND(29&lt;=NW,29&gt;=START_Z),1,0)</f>
        <v/>
      </c>
      <c r="N314">
        <f>IFERROR(INDEX(RT_AZZ,MATCH(L314,RT_K,1)),INDEX(RT_AZZ,1))</f>
        <v/>
      </c>
      <c r="P314">
        <f>IFERROR(INDEX(RT_GYP,MATCH(L314,RT_K,1)),INDEX(RT_GYP,1))</f>
        <v/>
      </c>
    </row>
    <row r="315">
      <c r="A315" s="20">
        <f>IF(29&lt;=NW,SAT1+196,"")</f>
        <v/>
      </c>
      <c r="B315" s="21">
        <f>IF(A315="","",CHOOSE(WEEKDAY(A315,1),"الأحد","الاثنين","الثلاثاء","الأربعاء","الخميس","الجمعة","السبت"))</f>
        <v/>
      </c>
      <c r="C315" s="22" t="n"/>
      <c r="D315" s="22" t="n"/>
      <c r="E315" s="23">
        <f>IF(OR(M315=0,K315="",L315=""),"",MOD(L315-K315,1))</f>
        <v/>
      </c>
      <c r="F315" s="24">
        <f>IF(OR(E315="",M315=0),"",IF(ROUND_MODE="للأعلى",CEILING(ROUND((E315*24*$N$314),3),0.25),ROUND((E315*24*$N$314)*4,0)/4))</f>
        <v/>
      </c>
      <c r="G315" s="22" t="n"/>
      <c r="H315" s="22" t="n"/>
      <c r="K315" s="25">
        <f>IF(OR(M315=0,C315=""),"",IF(ISNUMBER(C315),MOD(C315,1),IFERROR(INDEX('القوائم'!$B$1:$B$288,MATCH(TRIM(C315),'القوائم'!$A$1:$A$288,0)),IFERROR(MOD(TIMEVALUE(C315),1),""))))</f>
        <v/>
      </c>
      <c r="L315" s="25">
        <f>IF(OR(M315=0,D315=""),"",IF(ISNUMBER(D315),MOD(D315,1),IFERROR(INDEX('القوائم'!$B$1:$B$288,MATCH(TRIM(D315),'القوائم'!$A$1:$A$288,0)),IFERROR(MOD(TIMEVALUE(D315),1),""))))</f>
        <v/>
      </c>
      <c r="M315">
        <f>M314</f>
        <v/>
      </c>
      <c r="Q315">
        <f>IF(N(F324)&gt;0,1,0)</f>
        <v/>
      </c>
    </row>
    <row r="316">
      <c r="A316" s="20">
        <f>IF(29&lt;=NW,SAT1+197,"")</f>
        <v/>
      </c>
      <c r="B316" s="21">
        <f>IF(A316="","",CHOOSE(WEEKDAY(A316,1),"الأحد","الاثنين","الثلاثاء","الأربعاء","الخميس","الجمعة","السبت"))</f>
        <v/>
      </c>
      <c r="C316" s="22" t="n"/>
      <c r="D316" s="22" t="n"/>
      <c r="E316" s="23">
        <f>IF(OR(M316=0,K316="",L316=""),"",MOD(L316-K316,1))</f>
        <v/>
      </c>
      <c r="F316" s="24">
        <f>IF(OR(E316="",M316=0),"",IF(ROUND_MODE="للأعلى",CEILING(ROUND((E316*24*$N$314),3),0.25),ROUND((E316*24*$N$314)*4,0)/4))</f>
        <v/>
      </c>
      <c r="G316" s="22" t="n"/>
      <c r="H316" s="22" t="n"/>
      <c r="K316" s="25">
        <f>IF(OR(M316=0,C316=""),"",IF(ISNUMBER(C316),MOD(C316,1),IFERROR(INDEX('القوائم'!$B$1:$B$288,MATCH(TRIM(C316),'القوائم'!$A$1:$A$288,0)),IFERROR(MOD(TIMEVALUE(C316),1),""))))</f>
        <v/>
      </c>
      <c r="L316" s="25">
        <f>IF(OR(M316=0,D316=""),"",IF(ISNUMBER(D316),MOD(D316,1),IFERROR(INDEX('القوائم'!$B$1:$B$288,MATCH(TRIM(D316),'القوائم'!$A$1:$A$288,0)),IFERROR(MOD(TIMEVALUE(D316),1),""))))</f>
        <v/>
      </c>
      <c r="M316">
        <f>M314</f>
        <v/>
      </c>
      <c r="Q316">
        <f>IF(N(F324)&gt;0,1,0)</f>
        <v/>
      </c>
    </row>
    <row r="317">
      <c r="A317" s="20">
        <f>IF(29&lt;=NW,SAT1+198,"")</f>
        <v/>
      </c>
      <c r="B317" s="21">
        <f>IF(A317="","",CHOOSE(WEEKDAY(A317,1),"الأحد","الاثنين","الثلاثاء","الأربعاء","الخميس","الجمعة","السبت"))</f>
        <v/>
      </c>
      <c r="C317" s="22" t="n"/>
      <c r="D317" s="22" t="n"/>
      <c r="E317" s="23">
        <f>IF(OR(M317=0,K317="",L317=""),"",MOD(L317-K317,1))</f>
        <v/>
      </c>
      <c r="F317" s="24">
        <f>IF(OR(E317="",M317=0),"",IF(ROUND_MODE="للأعلى",CEILING(ROUND((E317*24*$N$314),3),0.25),ROUND((E317*24*$N$314)*4,0)/4))</f>
        <v/>
      </c>
      <c r="G317" s="22" t="n"/>
      <c r="H317" s="22" t="n"/>
      <c r="K317" s="25">
        <f>IF(OR(M317=0,C317=""),"",IF(ISNUMBER(C317),MOD(C317,1),IFERROR(INDEX('القوائم'!$B$1:$B$288,MATCH(TRIM(C317),'القوائم'!$A$1:$A$288,0)),IFERROR(MOD(TIMEVALUE(C317),1),""))))</f>
        <v/>
      </c>
      <c r="L317" s="25">
        <f>IF(OR(M317=0,D317=""),"",IF(ISNUMBER(D317),MOD(D317,1),IFERROR(INDEX('القوائم'!$B$1:$B$288,MATCH(TRIM(D317),'القوائم'!$A$1:$A$288,0)),IFERROR(MOD(TIMEVALUE(D317),1),""))))</f>
        <v/>
      </c>
      <c r="M317">
        <f>M314</f>
        <v/>
      </c>
      <c r="Q317">
        <f>IF(N(F324)&gt;0,1,0)</f>
        <v/>
      </c>
    </row>
    <row r="318">
      <c r="A318" s="20">
        <f>IF(29&lt;=NW,SAT1+199,"")</f>
        <v/>
      </c>
      <c r="B318" s="21">
        <f>IF(A318="","",CHOOSE(WEEKDAY(A318,1),"الأحد","الاثنين","الثلاثاء","الأربعاء","الخميس","الجمعة","السبت"))</f>
        <v/>
      </c>
      <c r="C318" s="22" t="n"/>
      <c r="D318" s="22" t="n"/>
      <c r="E318" s="23">
        <f>IF(OR(M318=0,K318="",L318=""),"",MOD(L318-K318,1))</f>
        <v/>
      </c>
      <c r="F318" s="24">
        <f>IF(OR(E318="",M318=0),"",IF(ROUND_MODE="للأعلى",CEILING(ROUND((E318*24*$N$314),3),0.25),ROUND((E318*24*$N$314)*4,0)/4))</f>
        <v/>
      </c>
      <c r="G318" s="22" t="n"/>
      <c r="H318" s="22" t="n"/>
      <c r="K318" s="25">
        <f>IF(OR(M318=0,C318=""),"",IF(ISNUMBER(C318),MOD(C318,1),IFERROR(INDEX('القوائم'!$B$1:$B$288,MATCH(TRIM(C318),'القوائم'!$A$1:$A$288,0)),IFERROR(MOD(TIMEVALUE(C318),1),""))))</f>
        <v/>
      </c>
      <c r="L318" s="25">
        <f>IF(OR(M318=0,D318=""),"",IF(ISNUMBER(D318),MOD(D318,1),IFERROR(INDEX('القوائم'!$B$1:$B$288,MATCH(TRIM(D318),'القوائم'!$A$1:$A$288,0)),IFERROR(MOD(TIMEVALUE(D318),1),""))))</f>
        <v/>
      </c>
      <c r="M318">
        <f>M314</f>
        <v/>
      </c>
      <c r="Q318">
        <f>IF(N(F324)&gt;0,1,0)</f>
        <v/>
      </c>
    </row>
    <row r="319">
      <c r="A319" s="20">
        <f>IF(29&lt;=NW,SAT1+200,"")</f>
        <v/>
      </c>
      <c r="B319" s="21">
        <f>IF(A319="","",CHOOSE(WEEKDAY(A319,1),"الأحد","الاثنين","الثلاثاء","الأربعاء","الخميس","الجمعة","السبت"))</f>
        <v/>
      </c>
      <c r="C319" s="22" t="n"/>
      <c r="D319" s="22" t="n"/>
      <c r="E319" s="23">
        <f>IF(OR(M319=0,K319="",L319=""),"",MOD(L319-K319,1))</f>
        <v/>
      </c>
      <c r="F319" s="24">
        <f>IF(OR(E319="",M319=0),"",IF(ROUND_MODE="للأعلى",CEILING(ROUND((E319*24*$N$314),3),0.25),ROUND((E319*24*$N$314)*4,0)/4))</f>
        <v/>
      </c>
      <c r="G319" s="22" t="n"/>
      <c r="H319" s="22" t="n"/>
      <c r="K319" s="25">
        <f>IF(OR(M319=0,C319=""),"",IF(ISNUMBER(C319),MOD(C319,1),IFERROR(INDEX('القوائم'!$B$1:$B$288,MATCH(TRIM(C319),'القوائم'!$A$1:$A$288,0)),IFERROR(MOD(TIMEVALUE(C319),1),""))))</f>
        <v/>
      </c>
      <c r="L319" s="25">
        <f>IF(OR(M319=0,D319=""),"",IF(ISNUMBER(D319),MOD(D319,1),IFERROR(INDEX('القوائم'!$B$1:$B$288,MATCH(TRIM(D319),'القوائم'!$A$1:$A$288,0)),IFERROR(MOD(TIMEVALUE(D319),1),""))))</f>
        <v/>
      </c>
      <c r="M319">
        <f>M314</f>
        <v/>
      </c>
      <c r="Q319">
        <f>IF(N(F324)&gt;0,1,0)</f>
        <v/>
      </c>
    </row>
    <row r="320">
      <c r="A320" s="20">
        <f>IF(29&lt;=NW,SAT1+201,"")</f>
        <v/>
      </c>
      <c r="B320" s="21">
        <f>IF(A320="","",CHOOSE(WEEKDAY(A320,1),"الأحد","الاثنين","الثلاثاء","الأربعاء","الخميس","الجمعة","السبت"))</f>
        <v/>
      </c>
      <c r="C320" s="22" t="n"/>
      <c r="D320" s="22" t="n"/>
      <c r="E320" s="23">
        <f>IF(OR(M320=0,K320="",L320=""),"",MOD(L320-K320,1))</f>
        <v/>
      </c>
      <c r="F320" s="24">
        <f>IF(OR(E320="",M320=0),"",IF(ROUND_MODE="للأعلى",CEILING(ROUND((E320*24*$N$314),3),0.25),ROUND((E320*24*$N$314)*4,0)/4))</f>
        <v/>
      </c>
      <c r="G320" s="22" t="n"/>
      <c r="H320" s="22" t="n"/>
      <c r="K320" s="25">
        <f>IF(OR(M320=0,C320=""),"",IF(ISNUMBER(C320),MOD(C320,1),IFERROR(INDEX('القوائم'!$B$1:$B$288,MATCH(TRIM(C320),'القوائم'!$A$1:$A$288,0)),IFERROR(MOD(TIMEVALUE(C320),1),""))))</f>
        <v/>
      </c>
      <c r="L320" s="25">
        <f>IF(OR(M320=0,D320=""),"",IF(ISNUMBER(D320),MOD(D320,1),IFERROR(INDEX('القوائم'!$B$1:$B$288,MATCH(TRIM(D320),'القوائم'!$A$1:$A$288,0)),IFERROR(MOD(TIMEVALUE(D320),1),""))))</f>
        <v/>
      </c>
      <c r="M320">
        <f>M314</f>
        <v/>
      </c>
      <c r="Q320">
        <f>IF(N(F324)&gt;0,1,0)</f>
        <v/>
      </c>
    </row>
    <row r="321">
      <c r="A321" s="26">
        <f>IF(29&lt;=NW,SAT1+202,"")</f>
        <v/>
      </c>
      <c r="B321" s="27">
        <f>IF(A321="","",CHOOSE(WEEKDAY(A321,1),"الأحد","الاثنين","الثلاثاء","الأربعاء","الخميس","الجمعة","السبت"))</f>
        <v/>
      </c>
      <c r="C321" s="22" t="n"/>
      <c r="D321" s="22" t="n"/>
      <c r="E321" s="23">
        <f>IF(OR(M321=0,K321="",L321=""),"",MOD(L321-K321,1))</f>
        <v/>
      </c>
      <c r="F321" s="24">
        <f>IF(OR(E321="",M321=0),"",IF(ROUND_MODE="للأعلى",CEILING(ROUND((E321*24*$N$314),3),0.25),ROUND((E321*24*$N$314)*4,0)/4))</f>
        <v/>
      </c>
      <c r="G321" s="22" t="n"/>
      <c r="H321" s="22" t="n"/>
      <c r="K321" s="25">
        <f>IF(OR(M321=0,C321=""),"",IF(ISNUMBER(C321),MOD(C321,1),IFERROR(INDEX('القوائم'!$B$1:$B$288,MATCH(TRIM(C321),'القوائم'!$A$1:$A$288,0)),IFERROR(MOD(TIMEVALUE(C321),1),""))))</f>
        <v/>
      </c>
      <c r="L321" s="25">
        <f>IF(OR(M321=0,D321=""),"",IF(ISNUMBER(D321),MOD(D321,1),IFERROR(INDEX('القوائم'!$B$1:$B$288,MATCH(TRIM(D321),'القوائم'!$A$1:$A$288,0)),IFERROR(MOD(TIMEVALUE(D321),1),""))))</f>
        <v/>
      </c>
      <c r="M321">
        <f>M314</f>
        <v/>
      </c>
      <c r="Q321">
        <f>IF(N(F324)&gt;0,1,0)</f>
        <v/>
      </c>
    </row>
    <row r="322">
      <c r="A322" s="28">
        <f>IF(M314=1,"مجموع أيام الأسبوع 29","")</f>
        <v/>
      </c>
      <c r="B322" s="28" t="n"/>
      <c r="C322" s="28" t="n"/>
      <c r="D322" s="28" t="n"/>
      <c r="E322" s="29">
        <f>IF(M314=1,SUM(E315:E321),"")</f>
        <v/>
      </c>
      <c r="F322" s="30">
        <f>IF(M314=1,SUM(F315:F321),"")</f>
        <v/>
      </c>
      <c r="G322" s="41">
        <f>IF(M314=1,SUMIFS(F315:F321,G315:G321,"نعم"),"")</f>
        <v/>
      </c>
      <c r="H322" s="28" t="n"/>
    </row>
    <row r="323" ht="32" customHeight="1">
      <c r="A323" s="28">
        <f>IF(M314=1,"ساعات تحميل الجبسمبورد بهالأسبوع (رقم: 2 أو 1.5) ←","")</f>
        <v/>
      </c>
      <c r="E323" s="31" t="n"/>
      <c r="F323" s="33">
        <f>IF(M314=1,N(F322)+IF(ROUND_MODE="للأعلى",CEILING(ROUND((N(E323)*($P$314-$N$314)),3),0.25),ROUND((N(E323)*($P$314-$N$314))*4,0)/4),"")</f>
        <v/>
      </c>
      <c r="G323" s="32">
        <f>IF(M314=1,"← المستحق النهائي للأسبوع (دينار) مع فرق الجبسمبورد","")</f>
        <v/>
      </c>
    </row>
    <row r="324" ht="26" customHeight="1">
      <c r="A324" s="28">
        <f>IF(M314=1,"إكرامية الأسبوع ←","")</f>
        <v/>
      </c>
      <c r="C324" s="35" t="n"/>
      <c r="D324" s="28">
        <f>IF(M314=1,"المدفوع يوم الجمعة (التسوية) ←","")</f>
        <v/>
      </c>
      <c r="F324" s="35" t="n"/>
      <c r="G324" s="36">
        <f>IF(M314=1,IF(N(F324)&gt;0,"✔ انقبض — الأسبوع مقفول","⏳ لسا ما انقبض"),"")</f>
        <v/>
      </c>
    </row>
    <row r="325" ht="26" customHeight="1">
      <c r="A325" s="40">
        <f>IF(30&lt;=NW,"الأسبوع 30 · السبت "&amp;TEXT(DAY(SAT1+203),"00")&amp;"/"&amp;TEXT(MONTH(SAT1+203),"00")&amp;" ← الجمعة "&amp;TEXT(DAY(SAT1+209),"00")&amp;"/"&amp;TEXT(MONTH(SAT1+209),"00")&amp;" (يوم القبض)"&amp;IF(30&lt;START_Z,"   — قبل أسبوع البداية (ما بينحسب)",""),"ما في أسبوع 30 هالسنة")</f>
        <v/>
      </c>
      <c r="L325" s="19">
        <f>IF(30&lt;=NW,SAT1+209,"")</f>
        <v/>
      </c>
      <c r="M325">
        <f>IF(AND(30&lt;=NW,30&gt;=START_Z),1,0)</f>
        <v/>
      </c>
      <c r="N325">
        <f>IFERROR(INDEX(RT_AZZ,MATCH(L325,RT_K,1)),INDEX(RT_AZZ,1))</f>
        <v/>
      </c>
      <c r="P325">
        <f>IFERROR(INDEX(RT_GYP,MATCH(L325,RT_K,1)),INDEX(RT_GYP,1))</f>
        <v/>
      </c>
    </row>
    <row r="326">
      <c r="A326" s="20">
        <f>IF(30&lt;=NW,SAT1+203,"")</f>
        <v/>
      </c>
      <c r="B326" s="21">
        <f>IF(A326="","",CHOOSE(WEEKDAY(A326,1),"الأحد","الاثنين","الثلاثاء","الأربعاء","الخميس","الجمعة","السبت"))</f>
        <v/>
      </c>
      <c r="C326" s="22" t="n"/>
      <c r="D326" s="22" t="n"/>
      <c r="E326" s="23">
        <f>IF(OR(M326=0,K326="",L326=""),"",MOD(L326-K326,1))</f>
        <v/>
      </c>
      <c r="F326" s="24">
        <f>IF(OR(E326="",M326=0),"",IF(ROUND_MODE="للأعلى",CEILING(ROUND((E326*24*$N$325),3),0.25),ROUND((E326*24*$N$325)*4,0)/4))</f>
        <v/>
      </c>
      <c r="G326" s="22" t="n"/>
      <c r="H326" s="22" t="n"/>
      <c r="K326" s="25">
        <f>IF(OR(M326=0,C326=""),"",IF(ISNUMBER(C326),MOD(C326,1),IFERROR(INDEX('القوائم'!$B$1:$B$288,MATCH(TRIM(C326),'القوائم'!$A$1:$A$288,0)),IFERROR(MOD(TIMEVALUE(C326),1),""))))</f>
        <v/>
      </c>
      <c r="L326" s="25">
        <f>IF(OR(M326=0,D326=""),"",IF(ISNUMBER(D326),MOD(D326,1),IFERROR(INDEX('القوائم'!$B$1:$B$288,MATCH(TRIM(D326),'القوائم'!$A$1:$A$288,0)),IFERROR(MOD(TIMEVALUE(D326),1),""))))</f>
        <v/>
      </c>
      <c r="M326">
        <f>M325</f>
        <v/>
      </c>
      <c r="Q326">
        <f>IF(N(F335)&gt;0,1,0)</f>
        <v/>
      </c>
    </row>
    <row r="327">
      <c r="A327" s="20">
        <f>IF(30&lt;=NW,SAT1+204,"")</f>
        <v/>
      </c>
      <c r="B327" s="21">
        <f>IF(A327="","",CHOOSE(WEEKDAY(A327,1),"الأحد","الاثنين","الثلاثاء","الأربعاء","الخميس","الجمعة","السبت"))</f>
        <v/>
      </c>
      <c r="C327" s="22" t="n"/>
      <c r="D327" s="22" t="n"/>
      <c r="E327" s="23">
        <f>IF(OR(M327=0,K327="",L327=""),"",MOD(L327-K327,1))</f>
        <v/>
      </c>
      <c r="F327" s="24">
        <f>IF(OR(E327="",M327=0),"",IF(ROUND_MODE="للأعلى",CEILING(ROUND((E327*24*$N$325),3),0.25),ROUND((E327*24*$N$325)*4,0)/4))</f>
        <v/>
      </c>
      <c r="G327" s="22" t="n"/>
      <c r="H327" s="22" t="n"/>
      <c r="K327" s="25">
        <f>IF(OR(M327=0,C327=""),"",IF(ISNUMBER(C327),MOD(C327,1),IFERROR(INDEX('القوائم'!$B$1:$B$288,MATCH(TRIM(C327),'القوائم'!$A$1:$A$288,0)),IFERROR(MOD(TIMEVALUE(C327),1),""))))</f>
        <v/>
      </c>
      <c r="L327" s="25">
        <f>IF(OR(M327=0,D327=""),"",IF(ISNUMBER(D327),MOD(D327,1),IFERROR(INDEX('القوائم'!$B$1:$B$288,MATCH(TRIM(D327),'القوائم'!$A$1:$A$288,0)),IFERROR(MOD(TIMEVALUE(D327),1),""))))</f>
        <v/>
      </c>
      <c r="M327">
        <f>M325</f>
        <v/>
      </c>
      <c r="Q327">
        <f>IF(N(F335)&gt;0,1,0)</f>
        <v/>
      </c>
    </row>
    <row r="328">
      <c r="A328" s="20">
        <f>IF(30&lt;=NW,SAT1+205,"")</f>
        <v/>
      </c>
      <c r="B328" s="21">
        <f>IF(A328="","",CHOOSE(WEEKDAY(A328,1),"الأحد","الاثنين","الثلاثاء","الأربعاء","الخميس","الجمعة","السبت"))</f>
        <v/>
      </c>
      <c r="C328" s="22" t="n"/>
      <c r="D328" s="22" t="n"/>
      <c r="E328" s="23">
        <f>IF(OR(M328=0,K328="",L328=""),"",MOD(L328-K328,1))</f>
        <v/>
      </c>
      <c r="F328" s="24">
        <f>IF(OR(E328="",M328=0),"",IF(ROUND_MODE="للأعلى",CEILING(ROUND((E328*24*$N$325),3),0.25),ROUND((E328*24*$N$325)*4,0)/4))</f>
        <v/>
      </c>
      <c r="G328" s="22" t="n"/>
      <c r="H328" s="22" t="n"/>
      <c r="K328" s="25">
        <f>IF(OR(M328=0,C328=""),"",IF(ISNUMBER(C328),MOD(C328,1),IFERROR(INDEX('القوائم'!$B$1:$B$288,MATCH(TRIM(C328),'القوائم'!$A$1:$A$288,0)),IFERROR(MOD(TIMEVALUE(C328),1),""))))</f>
        <v/>
      </c>
      <c r="L328" s="25">
        <f>IF(OR(M328=0,D328=""),"",IF(ISNUMBER(D328),MOD(D328,1),IFERROR(INDEX('القوائم'!$B$1:$B$288,MATCH(TRIM(D328),'القوائم'!$A$1:$A$288,0)),IFERROR(MOD(TIMEVALUE(D328),1),""))))</f>
        <v/>
      </c>
      <c r="M328">
        <f>M325</f>
        <v/>
      </c>
      <c r="Q328">
        <f>IF(N(F335)&gt;0,1,0)</f>
        <v/>
      </c>
    </row>
    <row r="329">
      <c r="A329" s="20">
        <f>IF(30&lt;=NW,SAT1+206,"")</f>
        <v/>
      </c>
      <c r="B329" s="21">
        <f>IF(A329="","",CHOOSE(WEEKDAY(A329,1),"الأحد","الاثنين","الثلاثاء","الأربعاء","الخميس","الجمعة","السبت"))</f>
        <v/>
      </c>
      <c r="C329" s="22" t="n"/>
      <c r="D329" s="22" t="n"/>
      <c r="E329" s="23">
        <f>IF(OR(M329=0,K329="",L329=""),"",MOD(L329-K329,1))</f>
        <v/>
      </c>
      <c r="F329" s="24">
        <f>IF(OR(E329="",M329=0),"",IF(ROUND_MODE="للأعلى",CEILING(ROUND((E329*24*$N$325),3),0.25),ROUND((E329*24*$N$325)*4,0)/4))</f>
        <v/>
      </c>
      <c r="G329" s="22" t="n"/>
      <c r="H329" s="22" t="n"/>
      <c r="K329" s="25">
        <f>IF(OR(M329=0,C329=""),"",IF(ISNUMBER(C329),MOD(C329,1),IFERROR(INDEX('القوائم'!$B$1:$B$288,MATCH(TRIM(C329),'القوائم'!$A$1:$A$288,0)),IFERROR(MOD(TIMEVALUE(C329),1),""))))</f>
        <v/>
      </c>
      <c r="L329" s="25">
        <f>IF(OR(M329=0,D329=""),"",IF(ISNUMBER(D329),MOD(D329,1),IFERROR(INDEX('القوائم'!$B$1:$B$288,MATCH(TRIM(D329),'القوائم'!$A$1:$A$288,0)),IFERROR(MOD(TIMEVALUE(D329),1),""))))</f>
        <v/>
      </c>
      <c r="M329">
        <f>M325</f>
        <v/>
      </c>
      <c r="Q329">
        <f>IF(N(F335)&gt;0,1,0)</f>
        <v/>
      </c>
    </row>
    <row r="330">
      <c r="A330" s="20">
        <f>IF(30&lt;=NW,SAT1+207,"")</f>
        <v/>
      </c>
      <c r="B330" s="21">
        <f>IF(A330="","",CHOOSE(WEEKDAY(A330,1),"الأحد","الاثنين","الثلاثاء","الأربعاء","الخميس","الجمعة","السبت"))</f>
        <v/>
      </c>
      <c r="C330" s="22" t="n"/>
      <c r="D330" s="22" t="n"/>
      <c r="E330" s="23">
        <f>IF(OR(M330=0,K330="",L330=""),"",MOD(L330-K330,1))</f>
        <v/>
      </c>
      <c r="F330" s="24">
        <f>IF(OR(E330="",M330=0),"",IF(ROUND_MODE="للأعلى",CEILING(ROUND((E330*24*$N$325),3),0.25),ROUND((E330*24*$N$325)*4,0)/4))</f>
        <v/>
      </c>
      <c r="G330" s="22" t="n"/>
      <c r="H330" s="22" t="n"/>
      <c r="K330" s="25">
        <f>IF(OR(M330=0,C330=""),"",IF(ISNUMBER(C330),MOD(C330,1),IFERROR(INDEX('القوائم'!$B$1:$B$288,MATCH(TRIM(C330),'القوائم'!$A$1:$A$288,0)),IFERROR(MOD(TIMEVALUE(C330),1),""))))</f>
        <v/>
      </c>
      <c r="L330" s="25">
        <f>IF(OR(M330=0,D330=""),"",IF(ISNUMBER(D330),MOD(D330,1),IFERROR(INDEX('القوائم'!$B$1:$B$288,MATCH(TRIM(D330),'القوائم'!$A$1:$A$288,0)),IFERROR(MOD(TIMEVALUE(D330),1),""))))</f>
        <v/>
      </c>
      <c r="M330">
        <f>M325</f>
        <v/>
      </c>
      <c r="Q330">
        <f>IF(N(F335)&gt;0,1,0)</f>
        <v/>
      </c>
    </row>
    <row r="331">
      <c r="A331" s="20">
        <f>IF(30&lt;=NW,SAT1+208,"")</f>
        <v/>
      </c>
      <c r="B331" s="21">
        <f>IF(A331="","",CHOOSE(WEEKDAY(A331,1),"الأحد","الاثنين","الثلاثاء","الأربعاء","الخميس","الجمعة","السبت"))</f>
        <v/>
      </c>
      <c r="C331" s="22" t="n"/>
      <c r="D331" s="22" t="n"/>
      <c r="E331" s="23">
        <f>IF(OR(M331=0,K331="",L331=""),"",MOD(L331-K331,1))</f>
        <v/>
      </c>
      <c r="F331" s="24">
        <f>IF(OR(E331="",M331=0),"",IF(ROUND_MODE="للأعلى",CEILING(ROUND((E331*24*$N$325),3),0.25),ROUND((E331*24*$N$325)*4,0)/4))</f>
        <v/>
      </c>
      <c r="G331" s="22" t="n"/>
      <c r="H331" s="22" t="n"/>
      <c r="K331" s="25">
        <f>IF(OR(M331=0,C331=""),"",IF(ISNUMBER(C331),MOD(C331,1),IFERROR(INDEX('القوائم'!$B$1:$B$288,MATCH(TRIM(C331),'القوائم'!$A$1:$A$288,0)),IFERROR(MOD(TIMEVALUE(C331),1),""))))</f>
        <v/>
      </c>
      <c r="L331" s="25">
        <f>IF(OR(M331=0,D331=""),"",IF(ISNUMBER(D331),MOD(D331,1),IFERROR(INDEX('القوائم'!$B$1:$B$288,MATCH(TRIM(D331),'القوائم'!$A$1:$A$288,0)),IFERROR(MOD(TIMEVALUE(D331),1),""))))</f>
        <v/>
      </c>
      <c r="M331">
        <f>M325</f>
        <v/>
      </c>
      <c r="Q331">
        <f>IF(N(F335)&gt;0,1,0)</f>
        <v/>
      </c>
    </row>
    <row r="332">
      <c r="A332" s="26">
        <f>IF(30&lt;=NW,SAT1+209,"")</f>
        <v/>
      </c>
      <c r="B332" s="27">
        <f>IF(A332="","",CHOOSE(WEEKDAY(A332,1),"الأحد","الاثنين","الثلاثاء","الأربعاء","الخميس","الجمعة","السبت"))</f>
        <v/>
      </c>
      <c r="C332" s="22" t="n"/>
      <c r="D332" s="22" t="n"/>
      <c r="E332" s="23">
        <f>IF(OR(M332=0,K332="",L332=""),"",MOD(L332-K332,1))</f>
        <v/>
      </c>
      <c r="F332" s="24">
        <f>IF(OR(E332="",M332=0),"",IF(ROUND_MODE="للأعلى",CEILING(ROUND((E332*24*$N$325),3),0.25),ROUND((E332*24*$N$325)*4,0)/4))</f>
        <v/>
      </c>
      <c r="G332" s="22" t="n"/>
      <c r="H332" s="22" t="n"/>
      <c r="K332" s="25">
        <f>IF(OR(M332=0,C332=""),"",IF(ISNUMBER(C332),MOD(C332,1),IFERROR(INDEX('القوائم'!$B$1:$B$288,MATCH(TRIM(C332),'القوائم'!$A$1:$A$288,0)),IFERROR(MOD(TIMEVALUE(C332),1),""))))</f>
        <v/>
      </c>
      <c r="L332" s="25">
        <f>IF(OR(M332=0,D332=""),"",IF(ISNUMBER(D332),MOD(D332,1),IFERROR(INDEX('القوائم'!$B$1:$B$288,MATCH(TRIM(D332),'القوائم'!$A$1:$A$288,0)),IFERROR(MOD(TIMEVALUE(D332),1),""))))</f>
        <v/>
      </c>
      <c r="M332">
        <f>M325</f>
        <v/>
      </c>
      <c r="Q332">
        <f>IF(N(F335)&gt;0,1,0)</f>
        <v/>
      </c>
    </row>
    <row r="333">
      <c r="A333" s="28">
        <f>IF(M325=1,"مجموع أيام الأسبوع 30","")</f>
        <v/>
      </c>
      <c r="B333" s="28" t="n"/>
      <c r="C333" s="28" t="n"/>
      <c r="D333" s="28" t="n"/>
      <c r="E333" s="29">
        <f>IF(M325=1,SUM(E326:E332),"")</f>
        <v/>
      </c>
      <c r="F333" s="30">
        <f>IF(M325=1,SUM(F326:F332),"")</f>
        <v/>
      </c>
      <c r="G333" s="41">
        <f>IF(M325=1,SUMIFS(F326:F332,G326:G332,"نعم"),"")</f>
        <v/>
      </c>
      <c r="H333" s="28" t="n"/>
    </row>
    <row r="334" ht="32" customHeight="1">
      <c r="A334" s="28">
        <f>IF(M325=1,"ساعات تحميل الجبسمبورد بهالأسبوع (رقم: 2 أو 1.5) ←","")</f>
        <v/>
      </c>
      <c r="E334" s="31" t="n"/>
      <c r="F334" s="33">
        <f>IF(M325=1,N(F333)+IF(ROUND_MODE="للأعلى",CEILING(ROUND((N(E334)*($P$325-$N$325)),3),0.25),ROUND((N(E334)*($P$325-$N$325))*4,0)/4),"")</f>
        <v/>
      </c>
      <c r="G334" s="32">
        <f>IF(M325=1,"← المستحق النهائي للأسبوع (دينار) مع فرق الجبسمبورد","")</f>
        <v/>
      </c>
    </row>
    <row r="335" ht="26" customHeight="1">
      <c r="A335" s="28">
        <f>IF(M325=1,"إكرامية الأسبوع ←","")</f>
        <v/>
      </c>
      <c r="C335" s="35" t="n"/>
      <c r="D335" s="28">
        <f>IF(M325=1,"المدفوع يوم الجمعة (التسوية) ←","")</f>
        <v/>
      </c>
      <c r="F335" s="35" t="n"/>
      <c r="G335" s="36">
        <f>IF(M325=1,IF(N(F335)&gt;0,"✔ انقبض — الأسبوع مقفول","⏳ لسا ما انقبض"),"")</f>
        <v/>
      </c>
    </row>
    <row r="336" ht="26" customHeight="1">
      <c r="A336" s="40">
        <f>IF(31&lt;=NW,"الأسبوع 31 · السبت "&amp;TEXT(DAY(SAT1+210),"00")&amp;"/"&amp;TEXT(MONTH(SAT1+210),"00")&amp;" ← الجمعة "&amp;TEXT(DAY(SAT1+216),"00")&amp;"/"&amp;TEXT(MONTH(SAT1+216),"00")&amp;" (يوم القبض)"&amp;IF(31&lt;START_Z,"   — قبل أسبوع البداية (ما بينحسب)",""),"ما في أسبوع 31 هالسنة")</f>
        <v/>
      </c>
      <c r="L336" s="19">
        <f>IF(31&lt;=NW,SAT1+216,"")</f>
        <v/>
      </c>
      <c r="M336">
        <f>IF(AND(31&lt;=NW,31&gt;=START_Z),1,0)</f>
        <v/>
      </c>
      <c r="N336">
        <f>IFERROR(INDEX(RT_AZZ,MATCH(L336,RT_K,1)),INDEX(RT_AZZ,1))</f>
        <v/>
      </c>
      <c r="P336">
        <f>IFERROR(INDEX(RT_GYP,MATCH(L336,RT_K,1)),INDEX(RT_GYP,1))</f>
        <v/>
      </c>
    </row>
    <row r="337">
      <c r="A337" s="20">
        <f>IF(31&lt;=NW,SAT1+210,"")</f>
        <v/>
      </c>
      <c r="B337" s="21">
        <f>IF(A337="","",CHOOSE(WEEKDAY(A337,1),"الأحد","الاثنين","الثلاثاء","الأربعاء","الخميس","الجمعة","السبت"))</f>
        <v/>
      </c>
      <c r="C337" s="22" t="n"/>
      <c r="D337" s="22" t="n"/>
      <c r="E337" s="23">
        <f>IF(OR(M337=0,K337="",L337=""),"",MOD(L337-K337,1))</f>
        <v/>
      </c>
      <c r="F337" s="24">
        <f>IF(OR(E337="",M337=0),"",IF(ROUND_MODE="للأعلى",CEILING(ROUND((E337*24*$N$336),3),0.25),ROUND((E337*24*$N$336)*4,0)/4))</f>
        <v/>
      </c>
      <c r="G337" s="22" t="n"/>
      <c r="H337" s="22" t="n"/>
      <c r="K337" s="25">
        <f>IF(OR(M337=0,C337=""),"",IF(ISNUMBER(C337),MOD(C337,1),IFERROR(INDEX('القوائم'!$B$1:$B$288,MATCH(TRIM(C337),'القوائم'!$A$1:$A$288,0)),IFERROR(MOD(TIMEVALUE(C337),1),""))))</f>
        <v/>
      </c>
      <c r="L337" s="25">
        <f>IF(OR(M337=0,D337=""),"",IF(ISNUMBER(D337),MOD(D337,1),IFERROR(INDEX('القوائم'!$B$1:$B$288,MATCH(TRIM(D337),'القوائم'!$A$1:$A$288,0)),IFERROR(MOD(TIMEVALUE(D337),1),""))))</f>
        <v/>
      </c>
      <c r="M337">
        <f>M336</f>
        <v/>
      </c>
      <c r="Q337">
        <f>IF(N(F346)&gt;0,1,0)</f>
        <v/>
      </c>
    </row>
    <row r="338">
      <c r="A338" s="20">
        <f>IF(31&lt;=NW,SAT1+211,"")</f>
        <v/>
      </c>
      <c r="B338" s="21">
        <f>IF(A338="","",CHOOSE(WEEKDAY(A338,1),"الأحد","الاثنين","الثلاثاء","الأربعاء","الخميس","الجمعة","السبت"))</f>
        <v/>
      </c>
      <c r="C338" s="22" t="n"/>
      <c r="D338" s="22" t="n"/>
      <c r="E338" s="23">
        <f>IF(OR(M338=0,K338="",L338=""),"",MOD(L338-K338,1))</f>
        <v/>
      </c>
      <c r="F338" s="24">
        <f>IF(OR(E338="",M338=0),"",IF(ROUND_MODE="للأعلى",CEILING(ROUND((E338*24*$N$336),3),0.25),ROUND((E338*24*$N$336)*4,0)/4))</f>
        <v/>
      </c>
      <c r="G338" s="22" t="n"/>
      <c r="H338" s="22" t="n"/>
      <c r="K338" s="25">
        <f>IF(OR(M338=0,C338=""),"",IF(ISNUMBER(C338),MOD(C338,1),IFERROR(INDEX('القوائم'!$B$1:$B$288,MATCH(TRIM(C338),'القوائم'!$A$1:$A$288,0)),IFERROR(MOD(TIMEVALUE(C338),1),""))))</f>
        <v/>
      </c>
      <c r="L338" s="25">
        <f>IF(OR(M338=0,D338=""),"",IF(ISNUMBER(D338),MOD(D338,1),IFERROR(INDEX('القوائم'!$B$1:$B$288,MATCH(TRIM(D338),'القوائم'!$A$1:$A$288,0)),IFERROR(MOD(TIMEVALUE(D338),1),""))))</f>
        <v/>
      </c>
      <c r="M338">
        <f>M336</f>
        <v/>
      </c>
      <c r="Q338">
        <f>IF(N(F346)&gt;0,1,0)</f>
        <v/>
      </c>
    </row>
    <row r="339">
      <c r="A339" s="20">
        <f>IF(31&lt;=NW,SAT1+212,"")</f>
        <v/>
      </c>
      <c r="B339" s="21">
        <f>IF(A339="","",CHOOSE(WEEKDAY(A339,1),"الأحد","الاثنين","الثلاثاء","الأربعاء","الخميس","الجمعة","السبت"))</f>
        <v/>
      </c>
      <c r="C339" s="22" t="n"/>
      <c r="D339" s="22" t="n"/>
      <c r="E339" s="23">
        <f>IF(OR(M339=0,K339="",L339=""),"",MOD(L339-K339,1))</f>
        <v/>
      </c>
      <c r="F339" s="24">
        <f>IF(OR(E339="",M339=0),"",IF(ROUND_MODE="للأعلى",CEILING(ROUND((E339*24*$N$336),3),0.25),ROUND((E339*24*$N$336)*4,0)/4))</f>
        <v/>
      </c>
      <c r="G339" s="22" t="n"/>
      <c r="H339" s="22" t="n"/>
      <c r="K339" s="25">
        <f>IF(OR(M339=0,C339=""),"",IF(ISNUMBER(C339),MOD(C339,1),IFERROR(INDEX('القوائم'!$B$1:$B$288,MATCH(TRIM(C339),'القوائم'!$A$1:$A$288,0)),IFERROR(MOD(TIMEVALUE(C339),1),""))))</f>
        <v/>
      </c>
      <c r="L339" s="25">
        <f>IF(OR(M339=0,D339=""),"",IF(ISNUMBER(D339),MOD(D339,1),IFERROR(INDEX('القوائم'!$B$1:$B$288,MATCH(TRIM(D339),'القوائم'!$A$1:$A$288,0)),IFERROR(MOD(TIMEVALUE(D339),1),""))))</f>
        <v/>
      </c>
      <c r="M339">
        <f>M336</f>
        <v/>
      </c>
      <c r="Q339">
        <f>IF(N(F346)&gt;0,1,0)</f>
        <v/>
      </c>
    </row>
    <row r="340">
      <c r="A340" s="20">
        <f>IF(31&lt;=NW,SAT1+213,"")</f>
        <v/>
      </c>
      <c r="B340" s="21">
        <f>IF(A340="","",CHOOSE(WEEKDAY(A340,1),"الأحد","الاثنين","الثلاثاء","الأربعاء","الخميس","الجمعة","السبت"))</f>
        <v/>
      </c>
      <c r="C340" s="22" t="n"/>
      <c r="D340" s="22" t="n"/>
      <c r="E340" s="23">
        <f>IF(OR(M340=0,K340="",L340=""),"",MOD(L340-K340,1))</f>
        <v/>
      </c>
      <c r="F340" s="24">
        <f>IF(OR(E340="",M340=0),"",IF(ROUND_MODE="للأعلى",CEILING(ROUND((E340*24*$N$336),3),0.25),ROUND((E340*24*$N$336)*4,0)/4))</f>
        <v/>
      </c>
      <c r="G340" s="22" t="n"/>
      <c r="H340" s="22" t="n"/>
      <c r="K340" s="25">
        <f>IF(OR(M340=0,C340=""),"",IF(ISNUMBER(C340),MOD(C340,1),IFERROR(INDEX('القوائم'!$B$1:$B$288,MATCH(TRIM(C340),'القوائم'!$A$1:$A$288,0)),IFERROR(MOD(TIMEVALUE(C340),1),""))))</f>
        <v/>
      </c>
      <c r="L340" s="25">
        <f>IF(OR(M340=0,D340=""),"",IF(ISNUMBER(D340),MOD(D340,1),IFERROR(INDEX('القوائم'!$B$1:$B$288,MATCH(TRIM(D340),'القوائم'!$A$1:$A$288,0)),IFERROR(MOD(TIMEVALUE(D340),1),""))))</f>
        <v/>
      </c>
      <c r="M340">
        <f>M336</f>
        <v/>
      </c>
      <c r="Q340">
        <f>IF(N(F346)&gt;0,1,0)</f>
        <v/>
      </c>
    </row>
    <row r="341">
      <c r="A341" s="20">
        <f>IF(31&lt;=NW,SAT1+214,"")</f>
        <v/>
      </c>
      <c r="B341" s="21">
        <f>IF(A341="","",CHOOSE(WEEKDAY(A341,1),"الأحد","الاثنين","الثلاثاء","الأربعاء","الخميس","الجمعة","السبت"))</f>
        <v/>
      </c>
      <c r="C341" s="22" t="n"/>
      <c r="D341" s="22" t="n"/>
      <c r="E341" s="23">
        <f>IF(OR(M341=0,K341="",L341=""),"",MOD(L341-K341,1))</f>
        <v/>
      </c>
      <c r="F341" s="24">
        <f>IF(OR(E341="",M341=0),"",IF(ROUND_MODE="للأعلى",CEILING(ROUND((E341*24*$N$336),3),0.25),ROUND((E341*24*$N$336)*4,0)/4))</f>
        <v/>
      </c>
      <c r="G341" s="22" t="n"/>
      <c r="H341" s="22" t="n"/>
      <c r="K341" s="25">
        <f>IF(OR(M341=0,C341=""),"",IF(ISNUMBER(C341),MOD(C341,1),IFERROR(INDEX('القوائم'!$B$1:$B$288,MATCH(TRIM(C341),'القوائم'!$A$1:$A$288,0)),IFERROR(MOD(TIMEVALUE(C341),1),""))))</f>
        <v/>
      </c>
      <c r="L341" s="25">
        <f>IF(OR(M341=0,D341=""),"",IF(ISNUMBER(D341),MOD(D341,1),IFERROR(INDEX('القوائم'!$B$1:$B$288,MATCH(TRIM(D341),'القوائم'!$A$1:$A$288,0)),IFERROR(MOD(TIMEVALUE(D341),1),""))))</f>
        <v/>
      </c>
      <c r="M341">
        <f>M336</f>
        <v/>
      </c>
      <c r="Q341">
        <f>IF(N(F346)&gt;0,1,0)</f>
        <v/>
      </c>
    </row>
    <row r="342">
      <c r="A342" s="20">
        <f>IF(31&lt;=NW,SAT1+215,"")</f>
        <v/>
      </c>
      <c r="B342" s="21">
        <f>IF(A342="","",CHOOSE(WEEKDAY(A342,1),"الأحد","الاثنين","الثلاثاء","الأربعاء","الخميس","الجمعة","السبت"))</f>
        <v/>
      </c>
      <c r="C342" s="22" t="n"/>
      <c r="D342" s="22" t="n"/>
      <c r="E342" s="23">
        <f>IF(OR(M342=0,K342="",L342=""),"",MOD(L342-K342,1))</f>
        <v/>
      </c>
      <c r="F342" s="24">
        <f>IF(OR(E342="",M342=0),"",IF(ROUND_MODE="للأعلى",CEILING(ROUND((E342*24*$N$336),3),0.25),ROUND((E342*24*$N$336)*4,0)/4))</f>
        <v/>
      </c>
      <c r="G342" s="22" t="n"/>
      <c r="H342" s="22" t="n"/>
      <c r="K342" s="25">
        <f>IF(OR(M342=0,C342=""),"",IF(ISNUMBER(C342),MOD(C342,1),IFERROR(INDEX('القوائم'!$B$1:$B$288,MATCH(TRIM(C342),'القوائم'!$A$1:$A$288,0)),IFERROR(MOD(TIMEVALUE(C342),1),""))))</f>
        <v/>
      </c>
      <c r="L342" s="25">
        <f>IF(OR(M342=0,D342=""),"",IF(ISNUMBER(D342),MOD(D342,1),IFERROR(INDEX('القوائم'!$B$1:$B$288,MATCH(TRIM(D342),'القوائم'!$A$1:$A$288,0)),IFERROR(MOD(TIMEVALUE(D342),1),""))))</f>
        <v/>
      </c>
      <c r="M342">
        <f>M336</f>
        <v/>
      </c>
      <c r="Q342">
        <f>IF(N(F346)&gt;0,1,0)</f>
        <v/>
      </c>
    </row>
    <row r="343">
      <c r="A343" s="26">
        <f>IF(31&lt;=NW,SAT1+216,"")</f>
        <v/>
      </c>
      <c r="B343" s="27">
        <f>IF(A343="","",CHOOSE(WEEKDAY(A343,1),"الأحد","الاثنين","الثلاثاء","الأربعاء","الخميس","الجمعة","السبت"))</f>
        <v/>
      </c>
      <c r="C343" s="22" t="n"/>
      <c r="D343" s="22" t="n"/>
      <c r="E343" s="23">
        <f>IF(OR(M343=0,K343="",L343=""),"",MOD(L343-K343,1))</f>
        <v/>
      </c>
      <c r="F343" s="24">
        <f>IF(OR(E343="",M343=0),"",IF(ROUND_MODE="للأعلى",CEILING(ROUND((E343*24*$N$336),3),0.25),ROUND((E343*24*$N$336)*4,0)/4))</f>
        <v/>
      </c>
      <c r="G343" s="22" t="n"/>
      <c r="H343" s="22" t="n"/>
      <c r="K343" s="25">
        <f>IF(OR(M343=0,C343=""),"",IF(ISNUMBER(C343),MOD(C343,1),IFERROR(INDEX('القوائم'!$B$1:$B$288,MATCH(TRIM(C343),'القوائم'!$A$1:$A$288,0)),IFERROR(MOD(TIMEVALUE(C343),1),""))))</f>
        <v/>
      </c>
      <c r="L343" s="25">
        <f>IF(OR(M343=0,D343=""),"",IF(ISNUMBER(D343),MOD(D343,1),IFERROR(INDEX('القوائم'!$B$1:$B$288,MATCH(TRIM(D343),'القوائم'!$A$1:$A$288,0)),IFERROR(MOD(TIMEVALUE(D343),1),""))))</f>
        <v/>
      </c>
      <c r="M343">
        <f>M336</f>
        <v/>
      </c>
      <c r="Q343">
        <f>IF(N(F346)&gt;0,1,0)</f>
        <v/>
      </c>
    </row>
    <row r="344">
      <c r="A344" s="28">
        <f>IF(M336=1,"مجموع أيام الأسبوع 31","")</f>
        <v/>
      </c>
      <c r="B344" s="28" t="n"/>
      <c r="C344" s="28" t="n"/>
      <c r="D344" s="28" t="n"/>
      <c r="E344" s="29">
        <f>IF(M336=1,SUM(E337:E343),"")</f>
        <v/>
      </c>
      <c r="F344" s="30">
        <f>IF(M336=1,SUM(F337:F343),"")</f>
        <v/>
      </c>
      <c r="G344" s="41">
        <f>IF(M336=1,SUMIFS(F337:F343,G337:G343,"نعم"),"")</f>
        <v/>
      </c>
      <c r="H344" s="28" t="n"/>
    </row>
    <row r="345" ht="32" customHeight="1">
      <c r="A345" s="28">
        <f>IF(M336=1,"ساعات تحميل الجبسمبورد بهالأسبوع (رقم: 2 أو 1.5) ←","")</f>
        <v/>
      </c>
      <c r="E345" s="31" t="n"/>
      <c r="F345" s="33">
        <f>IF(M336=1,N(F344)+IF(ROUND_MODE="للأعلى",CEILING(ROUND((N(E345)*($P$336-$N$336)),3),0.25),ROUND((N(E345)*($P$336-$N$336))*4,0)/4),"")</f>
        <v/>
      </c>
      <c r="G345" s="32">
        <f>IF(M336=1,"← المستحق النهائي للأسبوع (دينار) مع فرق الجبسمبورد","")</f>
        <v/>
      </c>
    </row>
    <row r="346" ht="26" customHeight="1">
      <c r="A346" s="28">
        <f>IF(M336=1,"إكرامية الأسبوع ←","")</f>
        <v/>
      </c>
      <c r="C346" s="35" t="n"/>
      <c r="D346" s="28">
        <f>IF(M336=1,"المدفوع يوم الجمعة (التسوية) ←","")</f>
        <v/>
      </c>
      <c r="F346" s="35" t="n"/>
      <c r="G346" s="36">
        <f>IF(M336=1,IF(N(F346)&gt;0,"✔ انقبض — الأسبوع مقفول","⏳ لسا ما انقبض"),"")</f>
        <v/>
      </c>
    </row>
    <row r="347" ht="26" customHeight="1">
      <c r="A347" s="40">
        <f>IF(32&lt;=NW,"الأسبوع 32 · السبت "&amp;TEXT(DAY(SAT1+217),"00")&amp;"/"&amp;TEXT(MONTH(SAT1+217),"00")&amp;" ← الجمعة "&amp;TEXT(DAY(SAT1+223),"00")&amp;"/"&amp;TEXT(MONTH(SAT1+223),"00")&amp;" (يوم القبض)"&amp;IF(32&lt;START_Z,"   — قبل أسبوع البداية (ما بينحسب)",""),"ما في أسبوع 32 هالسنة")</f>
        <v/>
      </c>
      <c r="L347" s="19">
        <f>IF(32&lt;=NW,SAT1+223,"")</f>
        <v/>
      </c>
      <c r="M347">
        <f>IF(AND(32&lt;=NW,32&gt;=START_Z),1,0)</f>
        <v/>
      </c>
      <c r="N347">
        <f>IFERROR(INDEX(RT_AZZ,MATCH(L347,RT_K,1)),INDEX(RT_AZZ,1))</f>
        <v/>
      </c>
      <c r="P347">
        <f>IFERROR(INDEX(RT_GYP,MATCH(L347,RT_K,1)),INDEX(RT_GYP,1))</f>
        <v/>
      </c>
    </row>
    <row r="348">
      <c r="A348" s="20">
        <f>IF(32&lt;=NW,SAT1+217,"")</f>
        <v/>
      </c>
      <c r="B348" s="21">
        <f>IF(A348="","",CHOOSE(WEEKDAY(A348,1),"الأحد","الاثنين","الثلاثاء","الأربعاء","الخميس","الجمعة","السبت"))</f>
        <v/>
      </c>
      <c r="C348" s="22" t="n"/>
      <c r="D348" s="22" t="n"/>
      <c r="E348" s="23">
        <f>IF(OR(M348=0,K348="",L348=""),"",MOD(L348-K348,1))</f>
        <v/>
      </c>
      <c r="F348" s="24">
        <f>IF(OR(E348="",M348=0),"",IF(ROUND_MODE="للأعلى",CEILING(ROUND((E348*24*$N$347),3),0.25),ROUND((E348*24*$N$347)*4,0)/4))</f>
        <v/>
      </c>
      <c r="G348" s="22" t="n"/>
      <c r="H348" s="22" t="n"/>
      <c r="K348" s="25">
        <f>IF(OR(M348=0,C348=""),"",IF(ISNUMBER(C348),MOD(C348,1),IFERROR(INDEX('القوائم'!$B$1:$B$288,MATCH(TRIM(C348),'القوائم'!$A$1:$A$288,0)),IFERROR(MOD(TIMEVALUE(C348),1),""))))</f>
        <v/>
      </c>
      <c r="L348" s="25">
        <f>IF(OR(M348=0,D348=""),"",IF(ISNUMBER(D348),MOD(D348,1),IFERROR(INDEX('القوائم'!$B$1:$B$288,MATCH(TRIM(D348),'القوائم'!$A$1:$A$288,0)),IFERROR(MOD(TIMEVALUE(D348),1),""))))</f>
        <v/>
      </c>
      <c r="M348">
        <f>M347</f>
        <v/>
      </c>
      <c r="Q348">
        <f>IF(N(F357)&gt;0,1,0)</f>
        <v/>
      </c>
    </row>
    <row r="349">
      <c r="A349" s="20">
        <f>IF(32&lt;=NW,SAT1+218,"")</f>
        <v/>
      </c>
      <c r="B349" s="21">
        <f>IF(A349="","",CHOOSE(WEEKDAY(A349,1),"الأحد","الاثنين","الثلاثاء","الأربعاء","الخميس","الجمعة","السبت"))</f>
        <v/>
      </c>
      <c r="C349" s="22" t="n"/>
      <c r="D349" s="22" t="n"/>
      <c r="E349" s="23">
        <f>IF(OR(M349=0,K349="",L349=""),"",MOD(L349-K349,1))</f>
        <v/>
      </c>
      <c r="F349" s="24">
        <f>IF(OR(E349="",M349=0),"",IF(ROUND_MODE="للأعلى",CEILING(ROUND((E349*24*$N$347),3),0.25),ROUND((E349*24*$N$347)*4,0)/4))</f>
        <v/>
      </c>
      <c r="G349" s="22" t="n"/>
      <c r="H349" s="22" t="n"/>
      <c r="K349" s="25">
        <f>IF(OR(M349=0,C349=""),"",IF(ISNUMBER(C349),MOD(C349,1),IFERROR(INDEX('القوائم'!$B$1:$B$288,MATCH(TRIM(C349),'القوائم'!$A$1:$A$288,0)),IFERROR(MOD(TIMEVALUE(C349),1),""))))</f>
        <v/>
      </c>
      <c r="L349" s="25">
        <f>IF(OR(M349=0,D349=""),"",IF(ISNUMBER(D349),MOD(D349,1),IFERROR(INDEX('القوائم'!$B$1:$B$288,MATCH(TRIM(D349),'القوائم'!$A$1:$A$288,0)),IFERROR(MOD(TIMEVALUE(D349),1),""))))</f>
        <v/>
      </c>
      <c r="M349">
        <f>M347</f>
        <v/>
      </c>
      <c r="Q349">
        <f>IF(N(F357)&gt;0,1,0)</f>
        <v/>
      </c>
    </row>
    <row r="350">
      <c r="A350" s="20">
        <f>IF(32&lt;=NW,SAT1+219,"")</f>
        <v/>
      </c>
      <c r="B350" s="21">
        <f>IF(A350="","",CHOOSE(WEEKDAY(A350,1),"الأحد","الاثنين","الثلاثاء","الأربعاء","الخميس","الجمعة","السبت"))</f>
        <v/>
      </c>
      <c r="C350" s="22" t="n"/>
      <c r="D350" s="22" t="n"/>
      <c r="E350" s="23">
        <f>IF(OR(M350=0,K350="",L350=""),"",MOD(L350-K350,1))</f>
        <v/>
      </c>
      <c r="F350" s="24">
        <f>IF(OR(E350="",M350=0),"",IF(ROUND_MODE="للأعلى",CEILING(ROUND((E350*24*$N$347),3),0.25),ROUND((E350*24*$N$347)*4,0)/4))</f>
        <v/>
      </c>
      <c r="G350" s="22" t="n"/>
      <c r="H350" s="22" t="n"/>
      <c r="K350" s="25">
        <f>IF(OR(M350=0,C350=""),"",IF(ISNUMBER(C350),MOD(C350,1),IFERROR(INDEX('القوائم'!$B$1:$B$288,MATCH(TRIM(C350),'القوائم'!$A$1:$A$288,0)),IFERROR(MOD(TIMEVALUE(C350),1),""))))</f>
        <v/>
      </c>
      <c r="L350" s="25">
        <f>IF(OR(M350=0,D350=""),"",IF(ISNUMBER(D350),MOD(D350,1),IFERROR(INDEX('القوائم'!$B$1:$B$288,MATCH(TRIM(D350),'القوائم'!$A$1:$A$288,0)),IFERROR(MOD(TIMEVALUE(D350),1),""))))</f>
        <v/>
      </c>
      <c r="M350">
        <f>M347</f>
        <v/>
      </c>
      <c r="Q350">
        <f>IF(N(F357)&gt;0,1,0)</f>
        <v/>
      </c>
    </row>
    <row r="351">
      <c r="A351" s="20">
        <f>IF(32&lt;=NW,SAT1+220,"")</f>
        <v/>
      </c>
      <c r="B351" s="21">
        <f>IF(A351="","",CHOOSE(WEEKDAY(A351,1),"الأحد","الاثنين","الثلاثاء","الأربعاء","الخميس","الجمعة","السبت"))</f>
        <v/>
      </c>
      <c r="C351" s="22" t="n"/>
      <c r="D351" s="22" t="n"/>
      <c r="E351" s="23">
        <f>IF(OR(M351=0,K351="",L351=""),"",MOD(L351-K351,1))</f>
        <v/>
      </c>
      <c r="F351" s="24">
        <f>IF(OR(E351="",M351=0),"",IF(ROUND_MODE="للأعلى",CEILING(ROUND((E351*24*$N$347),3),0.25),ROUND((E351*24*$N$347)*4,0)/4))</f>
        <v/>
      </c>
      <c r="G351" s="22" t="n"/>
      <c r="H351" s="22" t="n"/>
      <c r="K351" s="25">
        <f>IF(OR(M351=0,C351=""),"",IF(ISNUMBER(C351),MOD(C351,1),IFERROR(INDEX('القوائم'!$B$1:$B$288,MATCH(TRIM(C351),'القوائم'!$A$1:$A$288,0)),IFERROR(MOD(TIMEVALUE(C351),1),""))))</f>
        <v/>
      </c>
      <c r="L351" s="25">
        <f>IF(OR(M351=0,D351=""),"",IF(ISNUMBER(D351),MOD(D351,1),IFERROR(INDEX('القوائم'!$B$1:$B$288,MATCH(TRIM(D351),'القوائم'!$A$1:$A$288,0)),IFERROR(MOD(TIMEVALUE(D351),1),""))))</f>
        <v/>
      </c>
      <c r="M351">
        <f>M347</f>
        <v/>
      </c>
      <c r="Q351">
        <f>IF(N(F357)&gt;0,1,0)</f>
        <v/>
      </c>
    </row>
    <row r="352">
      <c r="A352" s="20">
        <f>IF(32&lt;=NW,SAT1+221,"")</f>
        <v/>
      </c>
      <c r="B352" s="21">
        <f>IF(A352="","",CHOOSE(WEEKDAY(A352,1),"الأحد","الاثنين","الثلاثاء","الأربعاء","الخميس","الجمعة","السبت"))</f>
        <v/>
      </c>
      <c r="C352" s="22" t="n"/>
      <c r="D352" s="22" t="n"/>
      <c r="E352" s="23">
        <f>IF(OR(M352=0,K352="",L352=""),"",MOD(L352-K352,1))</f>
        <v/>
      </c>
      <c r="F352" s="24">
        <f>IF(OR(E352="",M352=0),"",IF(ROUND_MODE="للأعلى",CEILING(ROUND((E352*24*$N$347),3),0.25),ROUND((E352*24*$N$347)*4,0)/4))</f>
        <v/>
      </c>
      <c r="G352" s="22" t="n"/>
      <c r="H352" s="22" t="n"/>
      <c r="K352" s="25">
        <f>IF(OR(M352=0,C352=""),"",IF(ISNUMBER(C352),MOD(C352,1),IFERROR(INDEX('القوائم'!$B$1:$B$288,MATCH(TRIM(C352),'القوائم'!$A$1:$A$288,0)),IFERROR(MOD(TIMEVALUE(C352),1),""))))</f>
        <v/>
      </c>
      <c r="L352" s="25">
        <f>IF(OR(M352=0,D352=""),"",IF(ISNUMBER(D352),MOD(D352,1),IFERROR(INDEX('القوائم'!$B$1:$B$288,MATCH(TRIM(D352),'القوائم'!$A$1:$A$288,0)),IFERROR(MOD(TIMEVALUE(D352),1),""))))</f>
        <v/>
      </c>
      <c r="M352">
        <f>M347</f>
        <v/>
      </c>
      <c r="Q352">
        <f>IF(N(F357)&gt;0,1,0)</f>
        <v/>
      </c>
    </row>
    <row r="353">
      <c r="A353" s="20">
        <f>IF(32&lt;=NW,SAT1+222,"")</f>
        <v/>
      </c>
      <c r="B353" s="21">
        <f>IF(A353="","",CHOOSE(WEEKDAY(A353,1),"الأحد","الاثنين","الثلاثاء","الأربعاء","الخميس","الجمعة","السبت"))</f>
        <v/>
      </c>
      <c r="C353" s="22" t="n"/>
      <c r="D353" s="22" t="n"/>
      <c r="E353" s="23">
        <f>IF(OR(M353=0,K353="",L353=""),"",MOD(L353-K353,1))</f>
        <v/>
      </c>
      <c r="F353" s="24">
        <f>IF(OR(E353="",M353=0),"",IF(ROUND_MODE="للأعلى",CEILING(ROUND((E353*24*$N$347),3),0.25),ROUND((E353*24*$N$347)*4,0)/4))</f>
        <v/>
      </c>
      <c r="G353" s="22" t="n"/>
      <c r="H353" s="22" t="n"/>
      <c r="K353" s="25">
        <f>IF(OR(M353=0,C353=""),"",IF(ISNUMBER(C353),MOD(C353,1),IFERROR(INDEX('القوائم'!$B$1:$B$288,MATCH(TRIM(C353),'القوائم'!$A$1:$A$288,0)),IFERROR(MOD(TIMEVALUE(C353),1),""))))</f>
        <v/>
      </c>
      <c r="L353" s="25">
        <f>IF(OR(M353=0,D353=""),"",IF(ISNUMBER(D353),MOD(D353,1),IFERROR(INDEX('القوائم'!$B$1:$B$288,MATCH(TRIM(D353),'القوائم'!$A$1:$A$288,0)),IFERROR(MOD(TIMEVALUE(D353),1),""))))</f>
        <v/>
      </c>
      <c r="M353">
        <f>M347</f>
        <v/>
      </c>
      <c r="Q353">
        <f>IF(N(F357)&gt;0,1,0)</f>
        <v/>
      </c>
    </row>
    <row r="354">
      <c r="A354" s="26">
        <f>IF(32&lt;=NW,SAT1+223,"")</f>
        <v/>
      </c>
      <c r="B354" s="27">
        <f>IF(A354="","",CHOOSE(WEEKDAY(A354,1),"الأحد","الاثنين","الثلاثاء","الأربعاء","الخميس","الجمعة","السبت"))</f>
        <v/>
      </c>
      <c r="C354" s="22" t="n"/>
      <c r="D354" s="22" t="n"/>
      <c r="E354" s="23">
        <f>IF(OR(M354=0,K354="",L354=""),"",MOD(L354-K354,1))</f>
        <v/>
      </c>
      <c r="F354" s="24">
        <f>IF(OR(E354="",M354=0),"",IF(ROUND_MODE="للأعلى",CEILING(ROUND((E354*24*$N$347),3),0.25),ROUND((E354*24*$N$347)*4,0)/4))</f>
        <v/>
      </c>
      <c r="G354" s="22" t="n"/>
      <c r="H354" s="22" t="n"/>
      <c r="K354" s="25">
        <f>IF(OR(M354=0,C354=""),"",IF(ISNUMBER(C354),MOD(C354,1),IFERROR(INDEX('القوائم'!$B$1:$B$288,MATCH(TRIM(C354),'القوائم'!$A$1:$A$288,0)),IFERROR(MOD(TIMEVALUE(C354),1),""))))</f>
        <v/>
      </c>
      <c r="L354" s="25">
        <f>IF(OR(M354=0,D354=""),"",IF(ISNUMBER(D354),MOD(D354,1),IFERROR(INDEX('القوائم'!$B$1:$B$288,MATCH(TRIM(D354),'القوائم'!$A$1:$A$288,0)),IFERROR(MOD(TIMEVALUE(D354),1),""))))</f>
        <v/>
      </c>
      <c r="M354">
        <f>M347</f>
        <v/>
      </c>
      <c r="Q354">
        <f>IF(N(F357)&gt;0,1,0)</f>
        <v/>
      </c>
    </row>
    <row r="355">
      <c r="A355" s="28">
        <f>IF(M347=1,"مجموع أيام الأسبوع 32","")</f>
        <v/>
      </c>
      <c r="B355" s="28" t="n"/>
      <c r="C355" s="28" t="n"/>
      <c r="D355" s="28" t="n"/>
      <c r="E355" s="29">
        <f>IF(M347=1,SUM(E348:E354),"")</f>
        <v/>
      </c>
      <c r="F355" s="30">
        <f>IF(M347=1,SUM(F348:F354),"")</f>
        <v/>
      </c>
      <c r="G355" s="41">
        <f>IF(M347=1,SUMIFS(F348:F354,G348:G354,"نعم"),"")</f>
        <v/>
      </c>
      <c r="H355" s="28" t="n"/>
    </row>
    <row r="356" ht="32" customHeight="1">
      <c r="A356" s="28">
        <f>IF(M347=1,"ساعات تحميل الجبسمبورد بهالأسبوع (رقم: 2 أو 1.5) ←","")</f>
        <v/>
      </c>
      <c r="E356" s="31" t="n"/>
      <c r="F356" s="33">
        <f>IF(M347=1,N(F355)+IF(ROUND_MODE="للأعلى",CEILING(ROUND((N(E356)*($P$347-$N$347)),3),0.25),ROUND((N(E356)*($P$347-$N$347))*4,0)/4),"")</f>
        <v/>
      </c>
      <c r="G356" s="32">
        <f>IF(M347=1,"← المستحق النهائي للأسبوع (دينار) مع فرق الجبسمبورد","")</f>
        <v/>
      </c>
    </row>
    <row r="357" ht="26" customHeight="1">
      <c r="A357" s="28">
        <f>IF(M347=1,"إكرامية الأسبوع ←","")</f>
        <v/>
      </c>
      <c r="C357" s="35" t="n"/>
      <c r="D357" s="28">
        <f>IF(M347=1,"المدفوع يوم الجمعة (التسوية) ←","")</f>
        <v/>
      </c>
      <c r="F357" s="35" t="n"/>
      <c r="G357" s="36">
        <f>IF(M347=1,IF(N(F357)&gt;0,"✔ انقبض — الأسبوع مقفول","⏳ لسا ما انقبض"),"")</f>
        <v/>
      </c>
    </row>
    <row r="358" ht="26" customHeight="1">
      <c r="A358" s="40">
        <f>IF(33&lt;=NW,"الأسبوع 33 · السبت "&amp;TEXT(DAY(SAT1+224),"00")&amp;"/"&amp;TEXT(MONTH(SAT1+224),"00")&amp;" ← الجمعة "&amp;TEXT(DAY(SAT1+230),"00")&amp;"/"&amp;TEXT(MONTH(SAT1+230),"00")&amp;" (يوم القبض)"&amp;IF(33&lt;START_Z,"   — قبل أسبوع البداية (ما بينحسب)",""),"ما في أسبوع 33 هالسنة")</f>
        <v/>
      </c>
      <c r="L358" s="19">
        <f>IF(33&lt;=NW,SAT1+230,"")</f>
        <v/>
      </c>
      <c r="M358">
        <f>IF(AND(33&lt;=NW,33&gt;=START_Z),1,0)</f>
        <v/>
      </c>
      <c r="N358">
        <f>IFERROR(INDEX(RT_AZZ,MATCH(L358,RT_K,1)),INDEX(RT_AZZ,1))</f>
        <v/>
      </c>
      <c r="P358">
        <f>IFERROR(INDEX(RT_GYP,MATCH(L358,RT_K,1)),INDEX(RT_GYP,1))</f>
        <v/>
      </c>
    </row>
    <row r="359">
      <c r="A359" s="20">
        <f>IF(33&lt;=NW,SAT1+224,"")</f>
        <v/>
      </c>
      <c r="B359" s="21">
        <f>IF(A359="","",CHOOSE(WEEKDAY(A359,1),"الأحد","الاثنين","الثلاثاء","الأربعاء","الخميس","الجمعة","السبت"))</f>
        <v/>
      </c>
      <c r="C359" s="22" t="n"/>
      <c r="D359" s="22" t="n"/>
      <c r="E359" s="23">
        <f>IF(OR(M359=0,K359="",L359=""),"",MOD(L359-K359,1))</f>
        <v/>
      </c>
      <c r="F359" s="24">
        <f>IF(OR(E359="",M359=0),"",IF(ROUND_MODE="للأعلى",CEILING(ROUND((E359*24*$N$358),3),0.25),ROUND((E359*24*$N$358)*4,0)/4))</f>
        <v/>
      </c>
      <c r="G359" s="22" t="n"/>
      <c r="H359" s="22" t="n"/>
      <c r="K359" s="25">
        <f>IF(OR(M359=0,C359=""),"",IF(ISNUMBER(C359),MOD(C359,1),IFERROR(INDEX('القوائم'!$B$1:$B$288,MATCH(TRIM(C359),'القوائم'!$A$1:$A$288,0)),IFERROR(MOD(TIMEVALUE(C359),1),""))))</f>
        <v/>
      </c>
      <c r="L359" s="25">
        <f>IF(OR(M359=0,D359=""),"",IF(ISNUMBER(D359),MOD(D359,1),IFERROR(INDEX('القوائم'!$B$1:$B$288,MATCH(TRIM(D359),'القوائم'!$A$1:$A$288,0)),IFERROR(MOD(TIMEVALUE(D359),1),""))))</f>
        <v/>
      </c>
      <c r="M359">
        <f>M358</f>
        <v/>
      </c>
      <c r="Q359">
        <f>IF(N(F368)&gt;0,1,0)</f>
        <v/>
      </c>
    </row>
    <row r="360">
      <c r="A360" s="20">
        <f>IF(33&lt;=NW,SAT1+225,"")</f>
        <v/>
      </c>
      <c r="B360" s="21">
        <f>IF(A360="","",CHOOSE(WEEKDAY(A360,1),"الأحد","الاثنين","الثلاثاء","الأربعاء","الخميس","الجمعة","السبت"))</f>
        <v/>
      </c>
      <c r="C360" s="22" t="n"/>
      <c r="D360" s="22" t="n"/>
      <c r="E360" s="23">
        <f>IF(OR(M360=0,K360="",L360=""),"",MOD(L360-K360,1))</f>
        <v/>
      </c>
      <c r="F360" s="24">
        <f>IF(OR(E360="",M360=0),"",IF(ROUND_MODE="للأعلى",CEILING(ROUND((E360*24*$N$358),3),0.25),ROUND((E360*24*$N$358)*4,0)/4))</f>
        <v/>
      </c>
      <c r="G360" s="22" t="n"/>
      <c r="H360" s="22" t="n"/>
      <c r="K360" s="25">
        <f>IF(OR(M360=0,C360=""),"",IF(ISNUMBER(C360),MOD(C360,1),IFERROR(INDEX('القوائم'!$B$1:$B$288,MATCH(TRIM(C360),'القوائم'!$A$1:$A$288,0)),IFERROR(MOD(TIMEVALUE(C360),1),""))))</f>
        <v/>
      </c>
      <c r="L360" s="25">
        <f>IF(OR(M360=0,D360=""),"",IF(ISNUMBER(D360),MOD(D360,1),IFERROR(INDEX('القوائم'!$B$1:$B$288,MATCH(TRIM(D360),'القوائم'!$A$1:$A$288,0)),IFERROR(MOD(TIMEVALUE(D360),1),""))))</f>
        <v/>
      </c>
      <c r="M360">
        <f>M358</f>
        <v/>
      </c>
      <c r="Q360">
        <f>IF(N(F368)&gt;0,1,0)</f>
        <v/>
      </c>
    </row>
    <row r="361">
      <c r="A361" s="20">
        <f>IF(33&lt;=NW,SAT1+226,"")</f>
        <v/>
      </c>
      <c r="B361" s="21">
        <f>IF(A361="","",CHOOSE(WEEKDAY(A361,1),"الأحد","الاثنين","الثلاثاء","الأربعاء","الخميس","الجمعة","السبت"))</f>
        <v/>
      </c>
      <c r="C361" s="22" t="n"/>
      <c r="D361" s="22" t="n"/>
      <c r="E361" s="23">
        <f>IF(OR(M361=0,K361="",L361=""),"",MOD(L361-K361,1))</f>
        <v/>
      </c>
      <c r="F361" s="24">
        <f>IF(OR(E361="",M361=0),"",IF(ROUND_MODE="للأعلى",CEILING(ROUND((E361*24*$N$358),3),0.25),ROUND((E361*24*$N$358)*4,0)/4))</f>
        <v/>
      </c>
      <c r="G361" s="22" t="n"/>
      <c r="H361" s="22" t="n"/>
      <c r="K361" s="25">
        <f>IF(OR(M361=0,C361=""),"",IF(ISNUMBER(C361),MOD(C361,1),IFERROR(INDEX('القوائم'!$B$1:$B$288,MATCH(TRIM(C361),'القوائم'!$A$1:$A$288,0)),IFERROR(MOD(TIMEVALUE(C361),1),""))))</f>
        <v/>
      </c>
      <c r="L361" s="25">
        <f>IF(OR(M361=0,D361=""),"",IF(ISNUMBER(D361),MOD(D361,1),IFERROR(INDEX('القوائم'!$B$1:$B$288,MATCH(TRIM(D361),'القوائم'!$A$1:$A$288,0)),IFERROR(MOD(TIMEVALUE(D361),1),""))))</f>
        <v/>
      </c>
      <c r="M361">
        <f>M358</f>
        <v/>
      </c>
      <c r="Q361">
        <f>IF(N(F368)&gt;0,1,0)</f>
        <v/>
      </c>
    </row>
    <row r="362">
      <c r="A362" s="20">
        <f>IF(33&lt;=NW,SAT1+227,"")</f>
        <v/>
      </c>
      <c r="B362" s="21">
        <f>IF(A362="","",CHOOSE(WEEKDAY(A362,1),"الأحد","الاثنين","الثلاثاء","الأربعاء","الخميس","الجمعة","السبت"))</f>
        <v/>
      </c>
      <c r="C362" s="22" t="n"/>
      <c r="D362" s="22" t="n"/>
      <c r="E362" s="23">
        <f>IF(OR(M362=0,K362="",L362=""),"",MOD(L362-K362,1))</f>
        <v/>
      </c>
      <c r="F362" s="24">
        <f>IF(OR(E362="",M362=0),"",IF(ROUND_MODE="للأعلى",CEILING(ROUND((E362*24*$N$358),3),0.25),ROUND((E362*24*$N$358)*4,0)/4))</f>
        <v/>
      </c>
      <c r="G362" s="22" t="n"/>
      <c r="H362" s="22" t="n"/>
      <c r="K362" s="25">
        <f>IF(OR(M362=0,C362=""),"",IF(ISNUMBER(C362),MOD(C362,1),IFERROR(INDEX('القوائم'!$B$1:$B$288,MATCH(TRIM(C362),'القوائم'!$A$1:$A$288,0)),IFERROR(MOD(TIMEVALUE(C362),1),""))))</f>
        <v/>
      </c>
      <c r="L362" s="25">
        <f>IF(OR(M362=0,D362=""),"",IF(ISNUMBER(D362),MOD(D362,1),IFERROR(INDEX('القوائم'!$B$1:$B$288,MATCH(TRIM(D362),'القوائم'!$A$1:$A$288,0)),IFERROR(MOD(TIMEVALUE(D362),1),""))))</f>
        <v/>
      </c>
      <c r="M362">
        <f>M358</f>
        <v/>
      </c>
      <c r="Q362">
        <f>IF(N(F368)&gt;0,1,0)</f>
        <v/>
      </c>
    </row>
    <row r="363">
      <c r="A363" s="20">
        <f>IF(33&lt;=NW,SAT1+228,"")</f>
        <v/>
      </c>
      <c r="B363" s="21">
        <f>IF(A363="","",CHOOSE(WEEKDAY(A363,1),"الأحد","الاثنين","الثلاثاء","الأربعاء","الخميس","الجمعة","السبت"))</f>
        <v/>
      </c>
      <c r="C363" s="22" t="n"/>
      <c r="D363" s="22" t="n"/>
      <c r="E363" s="23">
        <f>IF(OR(M363=0,K363="",L363=""),"",MOD(L363-K363,1))</f>
        <v/>
      </c>
      <c r="F363" s="24">
        <f>IF(OR(E363="",M363=0),"",IF(ROUND_MODE="للأعلى",CEILING(ROUND((E363*24*$N$358),3),0.25),ROUND((E363*24*$N$358)*4,0)/4))</f>
        <v/>
      </c>
      <c r="G363" s="22" t="n"/>
      <c r="H363" s="22" t="n"/>
      <c r="K363" s="25">
        <f>IF(OR(M363=0,C363=""),"",IF(ISNUMBER(C363),MOD(C363,1),IFERROR(INDEX('القوائم'!$B$1:$B$288,MATCH(TRIM(C363),'القوائم'!$A$1:$A$288,0)),IFERROR(MOD(TIMEVALUE(C363),1),""))))</f>
        <v/>
      </c>
      <c r="L363" s="25">
        <f>IF(OR(M363=0,D363=""),"",IF(ISNUMBER(D363),MOD(D363,1),IFERROR(INDEX('القوائم'!$B$1:$B$288,MATCH(TRIM(D363),'القوائم'!$A$1:$A$288,0)),IFERROR(MOD(TIMEVALUE(D363),1),""))))</f>
        <v/>
      </c>
      <c r="M363">
        <f>M358</f>
        <v/>
      </c>
      <c r="Q363">
        <f>IF(N(F368)&gt;0,1,0)</f>
        <v/>
      </c>
    </row>
    <row r="364">
      <c r="A364" s="20">
        <f>IF(33&lt;=NW,SAT1+229,"")</f>
        <v/>
      </c>
      <c r="B364" s="21">
        <f>IF(A364="","",CHOOSE(WEEKDAY(A364,1),"الأحد","الاثنين","الثلاثاء","الأربعاء","الخميس","الجمعة","السبت"))</f>
        <v/>
      </c>
      <c r="C364" s="22" t="n"/>
      <c r="D364" s="22" t="n"/>
      <c r="E364" s="23">
        <f>IF(OR(M364=0,K364="",L364=""),"",MOD(L364-K364,1))</f>
        <v/>
      </c>
      <c r="F364" s="24">
        <f>IF(OR(E364="",M364=0),"",IF(ROUND_MODE="للأعلى",CEILING(ROUND((E364*24*$N$358),3),0.25),ROUND((E364*24*$N$358)*4,0)/4))</f>
        <v/>
      </c>
      <c r="G364" s="22" t="n"/>
      <c r="H364" s="22" t="n"/>
      <c r="K364" s="25">
        <f>IF(OR(M364=0,C364=""),"",IF(ISNUMBER(C364),MOD(C364,1),IFERROR(INDEX('القوائم'!$B$1:$B$288,MATCH(TRIM(C364),'القوائم'!$A$1:$A$288,0)),IFERROR(MOD(TIMEVALUE(C364),1),""))))</f>
        <v/>
      </c>
      <c r="L364" s="25">
        <f>IF(OR(M364=0,D364=""),"",IF(ISNUMBER(D364),MOD(D364,1),IFERROR(INDEX('القوائم'!$B$1:$B$288,MATCH(TRIM(D364),'القوائم'!$A$1:$A$288,0)),IFERROR(MOD(TIMEVALUE(D364),1),""))))</f>
        <v/>
      </c>
      <c r="M364">
        <f>M358</f>
        <v/>
      </c>
      <c r="Q364">
        <f>IF(N(F368)&gt;0,1,0)</f>
        <v/>
      </c>
    </row>
    <row r="365">
      <c r="A365" s="26">
        <f>IF(33&lt;=NW,SAT1+230,"")</f>
        <v/>
      </c>
      <c r="B365" s="27">
        <f>IF(A365="","",CHOOSE(WEEKDAY(A365,1),"الأحد","الاثنين","الثلاثاء","الأربعاء","الخميس","الجمعة","السبت"))</f>
        <v/>
      </c>
      <c r="C365" s="22" t="n"/>
      <c r="D365" s="22" t="n"/>
      <c r="E365" s="23">
        <f>IF(OR(M365=0,K365="",L365=""),"",MOD(L365-K365,1))</f>
        <v/>
      </c>
      <c r="F365" s="24">
        <f>IF(OR(E365="",M365=0),"",IF(ROUND_MODE="للأعلى",CEILING(ROUND((E365*24*$N$358),3),0.25),ROUND((E365*24*$N$358)*4,0)/4))</f>
        <v/>
      </c>
      <c r="G365" s="22" t="n"/>
      <c r="H365" s="22" t="n"/>
      <c r="K365" s="25">
        <f>IF(OR(M365=0,C365=""),"",IF(ISNUMBER(C365),MOD(C365,1),IFERROR(INDEX('القوائم'!$B$1:$B$288,MATCH(TRIM(C365),'القوائم'!$A$1:$A$288,0)),IFERROR(MOD(TIMEVALUE(C365),1),""))))</f>
        <v/>
      </c>
      <c r="L365" s="25">
        <f>IF(OR(M365=0,D365=""),"",IF(ISNUMBER(D365),MOD(D365,1),IFERROR(INDEX('القوائم'!$B$1:$B$288,MATCH(TRIM(D365),'القوائم'!$A$1:$A$288,0)),IFERROR(MOD(TIMEVALUE(D365),1),""))))</f>
        <v/>
      </c>
      <c r="M365">
        <f>M358</f>
        <v/>
      </c>
      <c r="Q365">
        <f>IF(N(F368)&gt;0,1,0)</f>
        <v/>
      </c>
    </row>
    <row r="366">
      <c r="A366" s="28">
        <f>IF(M358=1,"مجموع أيام الأسبوع 33","")</f>
        <v/>
      </c>
      <c r="B366" s="28" t="n"/>
      <c r="C366" s="28" t="n"/>
      <c r="D366" s="28" t="n"/>
      <c r="E366" s="29">
        <f>IF(M358=1,SUM(E359:E365),"")</f>
        <v/>
      </c>
      <c r="F366" s="30">
        <f>IF(M358=1,SUM(F359:F365),"")</f>
        <v/>
      </c>
      <c r="G366" s="41">
        <f>IF(M358=1,SUMIFS(F359:F365,G359:G365,"نعم"),"")</f>
        <v/>
      </c>
      <c r="H366" s="28" t="n"/>
    </row>
    <row r="367" ht="32" customHeight="1">
      <c r="A367" s="28">
        <f>IF(M358=1,"ساعات تحميل الجبسمبورد بهالأسبوع (رقم: 2 أو 1.5) ←","")</f>
        <v/>
      </c>
      <c r="E367" s="31" t="n"/>
      <c r="F367" s="33">
        <f>IF(M358=1,N(F366)+IF(ROUND_MODE="للأعلى",CEILING(ROUND((N(E367)*($P$358-$N$358)),3),0.25),ROUND((N(E367)*($P$358-$N$358))*4,0)/4),"")</f>
        <v/>
      </c>
      <c r="G367" s="32">
        <f>IF(M358=1,"← المستحق النهائي للأسبوع (دينار) مع فرق الجبسمبورد","")</f>
        <v/>
      </c>
    </row>
    <row r="368" ht="26" customHeight="1">
      <c r="A368" s="28">
        <f>IF(M358=1,"إكرامية الأسبوع ←","")</f>
        <v/>
      </c>
      <c r="C368" s="35" t="n"/>
      <c r="D368" s="28">
        <f>IF(M358=1,"المدفوع يوم الجمعة (التسوية) ←","")</f>
        <v/>
      </c>
      <c r="F368" s="35" t="n"/>
      <c r="G368" s="36">
        <f>IF(M358=1,IF(N(F368)&gt;0,"✔ انقبض — الأسبوع مقفول","⏳ لسا ما انقبض"),"")</f>
        <v/>
      </c>
    </row>
    <row r="369" ht="26" customHeight="1">
      <c r="A369" s="40">
        <f>IF(34&lt;=NW,"الأسبوع 34 · السبت "&amp;TEXT(DAY(SAT1+231),"00")&amp;"/"&amp;TEXT(MONTH(SAT1+231),"00")&amp;" ← الجمعة "&amp;TEXT(DAY(SAT1+237),"00")&amp;"/"&amp;TEXT(MONTH(SAT1+237),"00")&amp;" (يوم القبض)"&amp;IF(34&lt;START_Z,"   — قبل أسبوع البداية (ما بينحسب)",""),"ما في أسبوع 34 هالسنة")</f>
        <v/>
      </c>
      <c r="L369" s="19">
        <f>IF(34&lt;=NW,SAT1+237,"")</f>
        <v/>
      </c>
      <c r="M369">
        <f>IF(AND(34&lt;=NW,34&gt;=START_Z),1,0)</f>
        <v/>
      </c>
      <c r="N369">
        <f>IFERROR(INDEX(RT_AZZ,MATCH(L369,RT_K,1)),INDEX(RT_AZZ,1))</f>
        <v/>
      </c>
      <c r="P369">
        <f>IFERROR(INDEX(RT_GYP,MATCH(L369,RT_K,1)),INDEX(RT_GYP,1))</f>
        <v/>
      </c>
    </row>
    <row r="370">
      <c r="A370" s="20">
        <f>IF(34&lt;=NW,SAT1+231,"")</f>
        <v/>
      </c>
      <c r="B370" s="21">
        <f>IF(A370="","",CHOOSE(WEEKDAY(A370,1),"الأحد","الاثنين","الثلاثاء","الأربعاء","الخميس","الجمعة","السبت"))</f>
        <v/>
      </c>
      <c r="C370" s="22" t="n"/>
      <c r="D370" s="22" t="n"/>
      <c r="E370" s="23">
        <f>IF(OR(M370=0,K370="",L370=""),"",MOD(L370-K370,1))</f>
        <v/>
      </c>
      <c r="F370" s="24">
        <f>IF(OR(E370="",M370=0),"",IF(ROUND_MODE="للأعلى",CEILING(ROUND((E370*24*$N$369),3),0.25),ROUND((E370*24*$N$369)*4,0)/4))</f>
        <v/>
      </c>
      <c r="G370" s="22" t="n"/>
      <c r="H370" s="22" t="n"/>
      <c r="K370" s="25">
        <f>IF(OR(M370=0,C370=""),"",IF(ISNUMBER(C370),MOD(C370,1),IFERROR(INDEX('القوائم'!$B$1:$B$288,MATCH(TRIM(C370),'القوائم'!$A$1:$A$288,0)),IFERROR(MOD(TIMEVALUE(C370),1),""))))</f>
        <v/>
      </c>
      <c r="L370" s="25">
        <f>IF(OR(M370=0,D370=""),"",IF(ISNUMBER(D370),MOD(D370,1),IFERROR(INDEX('القوائم'!$B$1:$B$288,MATCH(TRIM(D370),'القوائم'!$A$1:$A$288,0)),IFERROR(MOD(TIMEVALUE(D370),1),""))))</f>
        <v/>
      </c>
      <c r="M370">
        <f>M369</f>
        <v/>
      </c>
      <c r="Q370">
        <f>IF(N(F379)&gt;0,1,0)</f>
        <v/>
      </c>
    </row>
    <row r="371">
      <c r="A371" s="20">
        <f>IF(34&lt;=NW,SAT1+232,"")</f>
        <v/>
      </c>
      <c r="B371" s="21">
        <f>IF(A371="","",CHOOSE(WEEKDAY(A371,1),"الأحد","الاثنين","الثلاثاء","الأربعاء","الخميس","الجمعة","السبت"))</f>
        <v/>
      </c>
      <c r="C371" s="22" t="n"/>
      <c r="D371" s="22" t="n"/>
      <c r="E371" s="23">
        <f>IF(OR(M371=0,K371="",L371=""),"",MOD(L371-K371,1))</f>
        <v/>
      </c>
      <c r="F371" s="24">
        <f>IF(OR(E371="",M371=0),"",IF(ROUND_MODE="للأعلى",CEILING(ROUND((E371*24*$N$369),3),0.25),ROUND((E371*24*$N$369)*4,0)/4))</f>
        <v/>
      </c>
      <c r="G371" s="22" t="n"/>
      <c r="H371" s="22" t="n"/>
      <c r="K371" s="25">
        <f>IF(OR(M371=0,C371=""),"",IF(ISNUMBER(C371),MOD(C371,1),IFERROR(INDEX('القوائم'!$B$1:$B$288,MATCH(TRIM(C371),'القوائم'!$A$1:$A$288,0)),IFERROR(MOD(TIMEVALUE(C371),1),""))))</f>
        <v/>
      </c>
      <c r="L371" s="25">
        <f>IF(OR(M371=0,D371=""),"",IF(ISNUMBER(D371),MOD(D371,1),IFERROR(INDEX('القوائم'!$B$1:$B$288,MATCH(TRIM(D371),'القوائم'!$A$1:$A$288,0)),IFERROR(MOD(TIMEVALUE(D371),1),""))))</f>
        <v/>
      </c>
      <c r="M371">
        <f>M369</f>
        <v/>
      </c>
      <c r="Q371">
        <f>IF(N(F379)&gt;0,1,0)</f>
        <v/>
      </c>
    </row>
    <row r="372">
      <c r="A372" s="20">
        <f>IF(34&lt;=NW,SAT1+233,"")</f>
        <v/>
      </c>
      <c r="B372" s="21">
        <f>IF(A372="","",CHOOSE(WEEKDAY(A372,1),"الأحد","الاثنين","الثلاثاء","الأربعاء","الخميس","الجمعة","السبت"))</f>
        <v/>
      </c>
      <c r="C372" s="22" t="n"/>
      <c r="D372" s="22" t="n"/>
      <c r="E372" s="23">
        <f>IF(OR(M372=0,K372="",L372=""),"",MOD(L372-K372,1))</f>
        <v/>
      </c>
      <c r="F372" s="24">
        <f>IF(OR(E372="",M372=0),"",IF(ROUND_MODE="للأعلى",CEILING(ROUND((E372*24*$N$369),3),0.25),ROUND((E372*24*$N$369)*4,0)/4))</f>
        <v/>
      </c>
      <c r="G372" s="22" t="n"/>
      <c r="H372" s="22" t="n"/>
      <c r="K372" s="25">
        <f>IF(OR(M372=0,C372=""),"",IF(ISNUMBER(C372),MOD(C372,1),IFERROR(INDEX('القوائم'!$B$1:$B$288,MATCH(TRIM(C372),'القوائم'!$A$1:$A$288,0)),IFERROR(MOD(TIMEVALUE(C372),1),""))))</f>
        <v/>
      </c>
      <c r="L372" s="25">
        <f>IF(OR(M372=0,D372=""),"",IF(ISNUMBER(D372),MOD(D372,1),IFERROR(INDEX('القوائم'!$B$1:$B$288,MATCH(TRIM(D372),'القوائم'!$A$1:$A$288,0)),IFERROR(MOD(TIMEVALUE(D372),1),""))))</f>
        <v/>
      </c>
      <c r="M372">
        <f>M369</f>
        <v/>
      </c>
      <c r="Q372">
        <f>IF(N(F379)&gt;0,1,0)</f>
        <v/>
      </c>
    </row>
    <row r="373">
      <c r="A373" s="20">
        <f>IF(34&lt;=NW,SAT1+234,"")</f>
        <v/>
      </c>
      <c r="B373" s="21">
        <f>IF(A373="","",CHOOSE(WEEKDAY(A373,1),"الأحد","الاثنين","الثلاثاء","الأربعاء","الخميس","الجمعة","السبت"))</f>
        <v/>
      </c>
      <c r="C373" s="22" t="n"/>
      <c r="D373" s="22" t="n"/>
      <c r="E373" s="23">
        <f>IF(OR(M373=0,K373="",L373=""),"",MOD(L373-K373,1))</f>
        <v/>
      </c>
      <c r="F373" s="24">
        <f>IF(OR(E373="",M373=0),"",IF(ROUND_MODE="للأعلى",CEILING(ROUND((E373*24*$N$369),3),0.25),ROUND((E373*24*$N$369)*4,0)/4))</f>
        <v/>
      </c>
      <c r="G373" s="22" t="n"/>
      <c r="H373" s="22" t="n"/>
      <c r="K373" s="25">
        <f>IF(OR(M373=0,C373=""),"",IF(ISNUMBER(C373),MOD(C373,1),IFERROR(INDEX('القوائم'!$B$1:$B$288,MATCH(TRIM(C373),'القوائم'!$A$1:$A$288,0)),IFERROR(MOD(TIMEVALUE(C373),1),""))))</f>
        <v/>
      </c>
      <c r="L373" s="25">
        <f>IF(OR(M373=0,D373=""),"",IF(ISNUMBER(D373),MOD(D373,1),IFERROR(INDEX('القوائم'!$B$1:$B$288,MATCH(TRIM(D373),'القوائم'!$A$1:$A$288,0)),IFERROR(MOD(TIMEVALUE(D373),1),""))))</f>
        <v/>
      </c>
      <c r="M373">
        <f>M369</f>
        <v/>
      </c>
      <c r="Q373">
        <f>IF(N(F379)&gt;0,1,0)</f>
        <v/>
      </c>
    </row>
    <row r="374">
      <c r="A374" s="20">
        <f>IF(34&lt;=NW,SAT1+235,"")</f>
        <v/>
      </c>
      <c r="B374" s="21">
        <f>IF(A374="","",CHOOSE(WEEKDAY(A374,1),"الأحد","الاثنين","الثلاثاء","الأربعاء","الخميس","الجمعة","السبت"))</f>
        <v/>
      </c>
      <c r="C374" s="22" t="n"/>
      <c r="D374" s="22" t="n"/>
      <c r="E374" s="23">
        <f>IF(OR(M374=0,K374="",L374=""),"",MOD(L374-K374,1))</f>
        <v/>
      </c>
      <c r="F374" s="24">
        <f>IF(OR(E374="",M374=0),"",IF(ROUND_MODE="للأعلى",CEILING(ROUND((E374*24*$N$369),3),0.25),ROUND((E374*24*$N$369)*4,0)/4))</f>
        <v/>
      </c>
      <c r="G374" s="22" t="n"/>
      <c r="H374" s="22" t="n"/>
      <c r="K374" s="25">
        <f>IF(OR(M374=0,C374=""),"",IF(ISNUMBER(C374),MOD(C374,1),IFERROR(INDEX('القوائم'!$B$1:$B$288,MATCH(TRIM(C374),'القوائم'!$A$1:$A$288,0)),IFERROR(MOD(TIMEVALUE(C374),1),""))))</f>
        <v/>
      </c>
      <c r="L374" s="25">
        <f>IF(OR(M374=0,D374=""),"",IF(ISNUMBER(D374),MOD(D374,1),IFERROR(INDEX('القوائم'!$B$1:$B$288,MATCH(TRIM(D374),'القوائم'!$A$1:$A$288,0)),IFERROR(MOD(TIMEVALUE(D374),1),""))))</f>
        <v/>
      </c>
      <c r="M374">
        <f>M369</f>
        <v/>
      </c>
      <c r="Q374">
        <f>IF(N(F379)&gt;0,1,0)</f>
        <v/>
      </c>
    </row>
    <row r="375">
      <c r="A375" s="20">
        <f>IF(34&lt;=NW,SAT1+236,"")</f>
        <v/>
      </c>
      <c r="B375" s="21">
        <f>IF(A375="","",CHOOSE(WEEKDAY(A375,1),"الأحد","الاثنين","الثلاثاء","الأربعاء","الخميس","الجمعة","السبت"))</f>
        <v/>
      </c>
      <c r="C375" s="22" t="n"/>
      <c r="D375" s="22" t="n"/>
      <c r="E375" s="23">
        <f>IF(OR(M375=0,K375="",L375=""),"",MOD(L375-K375,1))</f>
        <v/>
      </c>
      <c r="F375" s="24">
        <f>IF(OR(E375="",M375=0),"",IF(ROUND_MODE="للأعلى",CEILING(ROUND((E375*24*$N$369),3),0.25),ROUND((E375*24*$N$369)*4,0)/4))</f>
        <v/>
      </c>
      <c r="G375" s="22" t="n"/>
      <c r="H375" s="22" t="n"/>
      <c r="K375" s="25">
        <f>IF(OR(M375=0,C375=""),"",IF(ISNUMBER(C375),MOD(C375,1),IFERROR(INDEX('القوائم'!$B$1:$B$288,MATCH(TRIM(C375),'القوائم'!$A$1:$A$288,0)),IFERROR(MOD(TIMEVALUE(C375),1),""))))</f>
        <v/>
      </c>
      <c r="L375" s="25">
        <f>IF(OR(M375=0,D375=""),"",IF(ISNUMBER(D375),MOD(D375,1),IFERROR(INDEX('القوائم'!$B$1:$B$288,MATCH(TRIM(D375),'القوائم'!$A$1:$A$288,0)),IFERROR(MOD(TIMEVALUE(D375),1),""))))</f>
        <v/>
      </c>
      <c r="M375">
        <f>M369</f>
        <v/>
      </c>
      <c r="Q375">
        <f>IF(N(F379)&gt;0,1,0)</f>
        <v/>
      </c>
    </row>
    <row r="376">
      <c r="A376" s="26">
        <f>IF(34&lt;=NW,SAT1+237,"")</f>
        <v/>
      </c>
      <c r="B376" s="27">
        <f>IF(A376="","",CHOOSE(WEEKDAY(A376,1),"الأحد","الاثنين","الثلاثاء","الأربعاء","الخميس","الجمعة","السبت"))</f>
        <v/>
      </c>
      <c r="C376" s="22" t="n"/>
      <c r="D376" s="22" t="n"/>
      <c r="E376" s="23">
        <f>IF(OR(M376=0,K376="",L376=""),"",MOD(L376-K376,1))</f>
        <v/>
      </c>
      <c r="F376" s="24">
        <f>IF(OR(E376="",M376=0),"",IF(ROUND_MODE="للأعلى",CEILING(ROUND((E376*24*$N$369),3),0.25),ROUND((E376*24*$N$369)*4,0)/4))</f>
        <v/>
      </c>
      <c r="G376" s="22" t="n"/>
      <c r="H376" s="22" t="n"/>
      <c r="K376" s="25">
        <f>IF(OR(M376=0,C376=""),"",IF(ISNUMBER(C376),MOD(C376,1),IFERROR(INDEX('القوائم'!$B$1:$B$288,MATCH(TRIM(C376),'القوائم'!$A$1:$A$288,0)),IFERROR(MOD(TIMEVALUE(C376),1),""))))</f>
        <v/>
      </c>
      <c r="L376" s="25">
        <f>IF(OR(M376=0,D376=""),"",IF(ISNUMBER(D376),MOD(D376,1),IFERROR(INDEX('القوائم'!$B$1:$B$288,MATCH(TRIM(D376),'القوائم'!$A$1:$A$288,0)),IFERROR(MOD(TIMEVALUE(D376),1),""))))</f>
        <v/>
      </c>
      <c r="M376">
        <f>M369</f>
        <v/>
      </c>
      <c r="Q376">
        <f>IF(N(F379)&gt;0,1,0)</f>
        <v/>
      </c>
    </row>
    <row r="377">
      <c r="A377" s="28">
        <f>IF(M369=1,"مجموع أيام الأسبوع 34","")</f>
        <v/>
      </c>
      <c r="B377" s="28" t="n"/>
      <c r="C377" s="28" t="n"/>
      <c r="D377" s="28" t="n"/>
      <c r="E377" s="29">
        <f>IF(M369=1,SUM(E370:E376),"")</f>
        <v/>
      </c>
      <c r="F377" s="30">
        <f>IF(M369=1,SUM(F370:F376),"")</f>
        <v/>
      </c>
      <c r="G377" s="41">
        <f>IF(M369=1,SUMIFS(F370:F376,G370:G376,"نعم"),"")</f>
        <v/>
      </c>
      <c r="H377" s="28" t="n"/>
    </row>
    <row r="378" ht="32" customHeight="1">
      <c r="A378" s="28">
        <f>IF(M369=1,"ساعات تحميل الجبسمبورد بهالأسبوع (رقم: 2 أو 1.5) ←","")</f>
        <v/>
      </c>
      <c r="E378" s="31" t="n"/>
      <c r="F378" s="33">
        <f>IF(M369=1,N(F377)+IF(ROUND_MODE="للأعلى",CEILING(ROUND((N(E378)*($P$369-$N$369)),3),0.25),ROUND((N(E378)*($P$369-$N$369))*4,0)/4),"")</f>
        <v/>
      </c>
      <c r="G378" s="32">
        <f>IF(M369=1,"← المستحق النهائي للأسبوع (دينار) مع فرق الجبسمبورد","")</f>
        <v/>
      </c>
    </row>
    <row r="379" ht="26" customHeight="1">
      <c r="A379" s="28">
        <f>IF(M369=1,"إكرامية الأسبوع ←","")</f>
        <v/>
      </c>
      <c r="C379" s="35" t="n"/>
      <c r="D379" s="28">
        <f>IF(M369=1,"المدفوع يوم الجمعة (التسوية) ←","")</f>
        <v/>
      </c>
      <c r="F379" s="35" t="n"/>
      <c r="G379" s="36">
        <f>IF(M369=1,IF(N(F379)&gt;0,"✔ انقبض — الأسبوع مقفول","⏳ لسا ما انقبض"),"")</f>
        <v/>
      </c>
    </row>
    <row r="380" ht="26" customHeight="1">
      <c r="A380" s="40">
        <f>IF(35&lt;=NW,"الأسبوع 35 · السبت "&amp;TEXT(DAY(SAT1+238),"00")&amp;"/"&amp;TEXT(MONTH(SAT1+238),"00")&amp;" ← الجمعة "&amp;TEXT(DAY(SAT1+244),"00")&amp;"/"&amp;TEXT(MONTH(SAT1+244),"00")&amp;" (يوم القبض)"&amp;IF(35&lt;START_Z,"   — قبل أسبوع البداية (ما بينحسب)",""),"ما في أسبوع 35 هالسنة")</f>
        <v/>
      </c>
      <c r="L380" s="19">
        <f>IF(35&lt;=NW,SAT1+244,"")</f>
        <v/>
      </c>
      <c r="M380">
        <f>IF(AND(35&lt;=NW,35&gt;=START_Z),1,0)</f>
        <v/>
      </c>
      <c r="N380">
        <f>IFERROR(INDEX(RT_AZZ,MATCH(L380,RT_K,1)),INDEX(RT_AZZ,1))</f>
        <v/>
      </c>
      <c r="P380">
        <f>IFERROR(INDEX(RT_GYP,MATCH(L380,RT_K,1)),INDEX(RT_GYP,1))</f>
        <v/>
      </c>
    </row>
    <row r="381">
      <c r="A381" s="20">
        <f>IF(35&lt;=NW,SAT1+238,"")</f>
        <v/>
      </c>
      <c r="B381" s="21">
        <f>IF(A381="","",CHOOSE(WEEKDAY(A381,1),"الأحد","الاثنين","الثلاثاء","الأربعاء","الخميس","الجمعة","السبت"))</f>
        <v/>
      </c>
      <c r="C381" s="22" t="n"/>
      <c r="D381" s="22" t="n"/>
      <c r="E381" s="23">
        <f>IF(OR(M381=0,K381="",L381=""),"",MOD(L381-K381,1))</f>
        <v/>
      </c>
      <c r="F381" s="24">
        <f>IF(OR(E381="",M381=0),"",IF(ROUND_MODE="للأعلى",CEILING(ROUND((E381*24*$N$380),3),0.25),ROUND((E381*24*$N$380)*4,0)/4))</f>
        <v/>
      </c>
      <c r="G381" s="22" t="n"/>
      <c r="H381" s="22" t="n"/>
      <c r="K381" s="25">
        <f>IF(OR(M381=0,C381=""),"",IF(ISNUMBER(C381),MOD(C381,1),IFERROR(INDEX('القوائم'!$B$1:$B$288,MATCH(TRIM(C381),'القوائم'!$A$1:$A$288,0)),IFERROR(MOD(TIMEVALUE(C381),1),""))))</f>
        <v/>
      </c>
      <c r="L381" s="25">
        <f>IF(OR(M381=0,D381=""),"",IF(ISNUMBER(D381),MOD(D381,1),IFERROR(INDEX('القوائم'!$B$1:$B$288,MATCH(TRIM(D381),'القوائم'!$A$1:$A$288,0)),IFERROR(MOD(TIMEVALUE(D381),1),""))))</f>
        <v/>
      </c>
      <c r="M381">
        <f>M380</f>
        <v/>
      </c>
      <c r="Q381">
        <f>IF(N(F390)&gt;0,1,0)</f>
        <v/>
      </c>
    </row>
    <row r="382">
      <c r="A382" s="20">
        <f>IF(35&lt;=NW,SAT1+239,"")</f>
        <v/>
      </c>
      <c r="B382" s="21">
        <f>IF(A382="","",CHOOSE(WEEKDAY(A382,1),"الأحد","الاثنين","الثلاثاء","الأربعاء","الخميس","الجمعة","السبت"))</f>
        <v/>
      </c>
      <c r="C382" s="22" t="n"/>
      <c r="D382" s="22" t="n"/>
      <c r="E382" s="23">
        <f>IF(OR(M382=0,K382="",L382=""),"",MOD(L382-K382,1))</f>
        <v/>
      </c>
      <c r="F382" s="24">
        <f>IF(OR(E382="",M382=0),"",IF(ROUND_MODE="للأعلى",CEILING(ROUND((E382*24*$N$380),3),0.25),ROUND((E382*24*$N$380)*4,0)/4))</f>
        <v/>
      </c>
      <c r="G382" s="22" t="n"/>
      <c r="H382" s="22" t="n"/>
      <c r="K382" s="25">
        <f>IF(OR(M382=0,C382=""),"",IF(ISNUMBER(C382),MOD(C382,1),IFERROR(INDEX('القوائم'!$B$1:$B$288,MATCH(TRIM(C382),'القوائم'!$A$1:$A$288,0)),IFERROR(MOD(TIMEVALUE(C382),1),""))))</f>
        <v/>
      </c>
      <c r="L382" s="25">
        <f>IF(OR(M382=0,D382=""),"",IF(ISNUMBER(D382),MOD(D382,1),IFERROR(INDEX('القوائم'!$B$1:$B$288,MATCH(TRIM(D382),'القوائم'!$A$1:$A$288,0)),IFERROR(MOD(TIMEVALUE(D382),1),""))))</f>
        <v/>
      </c>
      <c r="M382">
        <f>M380</f>
        <v/>
      </c>
      <c r="Q382">
        <f>IF(N(F390)&gt;0,1,0)</f>
        <v/>
      </c>
    </row>
    <row r="383">
      <c r="A383" s="20">
        <f>IF(35&lt;=NW,SAT1+240,"")</f>
        <v/>
      </c>
      <c r="B383" s="21">
        <f>IF(A383="","",CHOOSE(WEEKDAY(A383,1),"الأحد","الاثنين","الثلاثاء","الأربعاء","الخميس","الجمعة","السبت"))</f>
        <v/>
      </c>
      <c r="C383" s="22" t="n"/>
      <c r="D383" s="22" t="n"/>
      <c r="E383" s="23">
        <f>IF(OR(M383=0,K383="",L383=""),"",MOD(L383-K383,1))</f>
        <v/>
      </c>
      <c r="F383" s="24">
        <f>IF(OR(E383="",M383=0),"",IF(ROUND_MODE="للأعلى",CEILING(ROUND((E383*24*$N$380),3),0.25),ROUND((E383*24*$N$380)*4,0)/4))</f>
        <v/>
      </c>
      <c r="G383" s="22" t="n"/>
      <c r="H383" s="22" t="n"/>
      <c r="K383" s="25">
        <f>IF(OR(M383=0,C383=""),"",IF(ISNUMBER(C383),MOD(C383,1),IFERROR(INDEX('القوائم'!$B$1:$B$288,MATCH(TRIM(C383),'القوائم'!$A$1:$A$288,0)),IFERROR(MOD(TIMEVALUE(C383),1),""))))</f>
        <v/>
      </c>
      <c r="L383" s="25">
        <f>IF(OR(M383=0,D383=""),"",IF(ISNUMBER(D383),MOD(D383,1),IFERROR(INDEX('القوائم'!$B$1:$B$288,MATCH(TRIM(D383),'القوائم'!$A$1:$A$288,0)),IFERROR(MOD(TIMEVALUE(D383),1),""))))</f>
        <v/>
      </c>
      <c r="M383">
        <f>M380</f>
        <v/>
      </c>
      <c r="Q383">
        <f>IF(N(F390)&gt;0,1,0)</f>
        <v/>
      </c>
    </row>
    <row r="384">
      <c r="A384" s="20">
        <f>IF(35&lt;=NW,SAT1+241,"")</f>
        <v/>
      </c>
      <c r="B384" s="21">
        <f>IF(A384="","",CHOOSE(WEEKDAY(A384,1),"الأحد","الاثنين","الثلاثاء","الأربعاء","الخميس","الجمعة","السبت"))</f>
        <v/>
      </c>
      <c r="C384" s="22" t="n"/>
      <c r="D384" s="22" t="n"/>
      <c r="E384" s="23">
        <f>IF(OR(M384=0,K384="",L384=""),"",MOD(L384-K384,1))</f>
        <v/>
      </c>
      <c r="F384" s="24">
        <f>IF(OR(E384="",M384=0),"",IF(ROUND_MODE="للأعلى",CEILING(ROUND((E384*24*$N$380),3),0.25),ROUND((E384*24*$N$380)*4,0)/4))</f>
        <v/>
      </c>
      <c r="G384" s="22" t="n"/>
      <c r="H384" s="22" t="n"/>
      <c r="K384" s="25">
        <f>IF(OR(M384=0,C384=""),"",IF(ISNUMBER(C384),MOD(C384,1),IFERROR(INDEX('القوائم'!$B$1:$B$288,MATCH(TRIM(C384),'القوائم'!$A$1:$A$288,0)),IFERROR(MOD(TIMEVALUE(C384),1),""))))</f>
        <v/>
      </c>
      <c r="L384" s="25">
        <f>IF(OR(M384=0,D384=""),"",IF(ISNUMBER(D384),MOD(D384,1),IFERROR(INDEX('القوائم'!$B$1:$B$288,MATCH(TRIM(D384),'القوائم'!$A$1:$A$288,0)),IFERROR(MOD(TIMEVALUE(D384),1),""))))</f>
        <v/>
      </c>
      <c r="M384">
        <f>M380</f>
        <v/>
      </c>
      <c r="Q384">
        <f>IF(N(F390)&gt;0,1,0)</f>
        <v/>
      </c>
    </row>
    <row r="385">
      <c r="A385" s="20">
        <f>IF(35&lt;=NW,SAT1+242,"")</f>
        <v/>
      </c>
      <c r="B385" s="21">
        <f>IF(A385="","",CHOOSE(WEEKDAY(A385,1),"الأحد","الاثنين","الثلاثاء","الأربعاء","الخميس","الجمعة","السبت"))</f>
        <v/>
      </c>
      <c r="C385" s="22" t="n"/>
      <c r="D385" s="22" t="n"/>
      <c r="E385" s="23">
        <f>IF(OR(M385=0,K385="",L385=""),"",MOD(L385-K385,1))</f>
        <v/>
      </c>
      <c r="F385" s="24">
        <f>IF(OR(E385="",M385=0),"",IF(ROUND_MODE="للأعلى",CEILING(ROUND((E385*24*$N$380),3),0.25),ROUND((E385*24*$N$380)*4,0)/4))</f>
        <v/>
      </c>
      <c r="G385" s="22" t="n"/>
      <c r="H385" s="22" t="n"/>
      <c r="K385" s="25">
        <f>IF(OR(M385=0,C385=""),"",IF(ISNUMBER(C385),MOD(C385,1),IFERROR(INDEX('القوائم'!$B$1:$B$288,MATCH(TRIM(C385),'القوائم'!$A$1:$A$288,0)),IFERROR(MOD(TIMEVALUE(C385),1),""))))</f>
        <v/>
      </c>
      <c r="L385" s="25">
        <f>IF(OR(M385=0,D385=""),"",IF(ISNUMBER(D385),MOD(D385,1),IFERROR(INDEX('القوائم'!$B$1:$B$288,MATCH(TRIM(D385),'القوائم'!$A$1:$A$288,0)),IFERROR(MOD(TIMEVALUE(D385),1),""))))</f>
        <v/>
      </c>
      <c r="M385">
        <f>M380</f>
        <v/>
      </c>
      <c r="Q385">
        <f>IF(N(F390)&gt;0,1,0)</f>
        <v/>
      </c>
    </row>
    <row r="386">
      <c r="A386" s="20">
        <f>IF(35&lt;=NW,SAT1+243,"")</f>
        <v/>
      </c>
      <c r="B386" s="21">
        <f>IF(A386="","",CHOOSE(WEEKDAY(A386,1),"الأحد","الاثنين","الثلاثاء","الأربعاء","الخميس","الجمعة","السبت"))</f>
        <v/>
      </c>
      <c r="C386" s="22" t="n"/>
      <c r="D386" s="22" t="n"/>
      <c r="E386" s="23">
        <f>IF(OR(M386=0,K386="",L386=""),"",MOD(L386-K386,1))</f>
        <v/>
      </c>
      <c r="F386" s="24">
        <f>IF(OR(E386="",M386=0),"",IF(ROUND_MODE="للأعلى",CEILING(ROUND((E386*24*$N$380),3),0.25),ROUND((E386*24*$N$380)*4,0)/4))</f>
        <v/>
      </c>
      <c r="G386" s="22" t="n"/>
      <c r="H386" s="22" t="n"/>
      <c r="K386" s="25">
        <f>IF(OR(M386=0,C386=""),"",IF(ISNUMBER(C386),MOD(C386,1),IFERROR(INDEX('القوائم'!$B$1:$B$288,MATCH(TRIM(C386),'القوائم'!$A$1:$A$288,0)),IFERROR(MOD(TIMEVALUE(C386),1),""))))</f>
        <v/>
      </c>
      <c r="L386" s="25">
        <f>IF(OR(M386=0,D386=""),"",IF(ISNUMBER(D386),MOD(D386,1),IFERROR(INDEX('القوائم'!$B$1:$B$288,MATCH(TRIM(D386),'القوائم'!$A$1:$A$288,0)),IFERROR(MOD(TIMEVALUE(D386),1),""))))</f>
        <v/>
      </c>
      <c r="M386">
        <f>M380</f>
        <v/>
      </c>
      <c r="Q386">
        <f>IF(N(F390)&gt;0,1,0)</f>
        <v/>
      </c>
    </row>
    <row r="387">
      <c r="A387" s="26">
        <f>IF(35&lt;=NW,SAT1+244,"")</f>
        <v/>
      </c>
      <c r="B387" s="27">
        <f>IF(A387="","",CHOOSE(WEEKDAY(A387,1),"الأحد","الاثنين","الثلاثاء","الأربعاء","الخميس","الجمعة","السبت"))</f>
        <v/>
      </c>
      <c r="C387" s="22" t="n"/>
      <c r="D387" s="22" t="n"/>
      <c r="E387" s="23">
        <f>IF(OR(M387=0,K387="",L387=""),"",MOD(L387-K387,1))</f>
        <v/>
      </c>
      <c r="F387" s="24">
        <f>IF(OR(E387="",M387=0),"",IF(ROUND_MODE="للأعلى",CEILING(ROUND((E387*24*$N$380),3),0.25),ROUND((E387*24*$N$380)*4,0)/4))</f>
        <v/>
      </c>
      <c r="G387" s="22" t="n"/>
      <c r="H387" s="22" t="n"/>
      <c r="K387" s="25">
        <f>IF(OR(M387=0,C387=""),"",IF(ISNUMBER(C387),MOD(C387,1),IFERROR(INDEX('القوائم'!$B$1:$B$288,MATCH(TRIM(C387),'القوائم'!$A$1:$A$288,0)),IFERROR(MOD(TIMEVALUE(C387),1),""))))</f>
        <v/>
      </c>
      <c r="L387" s="25">
        <f>IF(OR(M387=0,D387=""),"",IF(ISNUMBER(D387),MOD(D387,1),IFERROR(INDEX('القوائم'!$B$1:$B$288,MATCH(TRIM(D387),'القوائم'!$A$1:$A$288,0)),IFERROR(MOD(TIMEVALUE(D387),1),""))))</f>
        <v/>
      </c>
      <c r="M387">
        <f>M380</f>
        <v/>
      </c>
      <c r="Q387">
        <f>IF(N(F390)&gt;0,1,0)</f>
        <v/>
      </c>
    </row>
    <row r="388">
      <c r="A388" s="28">
        <f>IF(M380=1,"مجموع أيام الأسبوع 35","")</f>
        <v/>
      </c>
      <c r="B388" s="28" t="n"/>
      <c r="C388" s="28" t="n"/>
      <c r="D388" s="28" t="n"/>
      <c r="E388" s="29">
        <f>IF(M380=1,SUM(E381:E387),"")</f>
        <v/>
      </c>
      <c r="F388" s="30">
        <f>IF(M380=1,SUM(F381:F387),"")</f>
        <v/>
      </c>
      <c r="G388" s="41">
        <f>IF(M380=1,SUMIFS(F381:F387,G381:G387,"نعم"),"")</f>
        <v/>
      </c>
      <c r="H388" s="28" t="n"/>
    </row>
    <row r="389" ht="32" customHeight="1">
      <c r="A389" s="28">
        <f>IF(M380=1,"ساعات تحميل الجبسمبورد بهالأسبوع (رقم: 2 أو 1.5) ←","")</f>
        <v/>
      </c>
      <c r="E389" s="31" t="n"/>
      <c r="F389" s="33">
        <f>IF(M380=1,N(F388)+IF(ROUND_MODE="للأعلى",CEILING(ROUND((N(E389)*($P$380-$N$380)),3),0.25),ROUND((N(E389)*($P$380-$N$380))*4,0)/4),"")</f>
        <v/>
      </c>
      <c r="G389" s="32">
        <f>IF(M380=1,"← المستحق النهائي للأسبوع (دينار) مع فرق الجبسمبورد","")</f>
        <v/>
      </c>
    </row>
    <row r="390" ht="26" customHeight="1">
      <c r="A390" s="28">
        <f>IF(M380=1,"إكرامية الأسبوع ←","")</f>
        <v/>
      </c>
      <c r="C390" s="35" t="n"/>
      <c r="D390" s="28">
        <f>IF(M380=1,"المدفوع يوم الجمعة (التسوية) ←","")</f>
        <v/>
      </c>
      <c r="F390" s="35" t="n"/>
      <c r="G390" s="36">
        <f>IF(M380=1,IF(N(F390)&gt;0,"✔ انقبض — الأسبوع مقفول","⏳ لسا ما انقبض"),"")</f>
        <v/>
      </c>
    </row>
    <row r="391" ht="26" customHeight="1">
      <c r="A391" s="40">
        <f>IF(36&lt;=NW,"الأسبوع 36 · السبت "&amp;TEXT(DAY(SAT1+245),"00")&amp;"/"&amp;TEXT(MONTH(SAT1+245),"00")&amp;" ← الجمعة "&amp;TEXT(DAY(SAT1+251),"00")&amp;"/"&amp;TEXT(MONTH(SAT1+251),"00")&amp;" (يوم القبض)"&amp;IF(36&lt;START_Z,"   — قبل أسبوع البداية (ما بينحسب)",""),"ما في أسبوع 36 هالسنة")</f>
        <v/>
      </c>
      <c r="L391" s="19">
        <f>IF(36&lt;=NW,SAT1+251,"")</f>
        <v/>
      </c>
      <c r="M391">
        <f>IF(AND(36&lt;=NW,36&gt;=START_Z),1,0)</f>
        <v/>
      </c>
      <c r="N391">
        <f>IFERROR(INDEX(RT_AZZ,MATCH(L391,RT_K,1)),INDEX(RT_AZZ,1))</f>
        <v/>
      </c>
      <c r="P391">
        <f>IFERROR(INDEX(RT_GYP,MATCH(L391,RT_K,1)),INDEX(RT_GYP,1))</f>
        <v/>
      </c>
    </row>
    <row r="392">
      <c r="A392" s="20">
        <f>IF(36&lt;=NW,SAT1+245,"")</f>
        <v/>
      </c>
      <c r="B392" s="21">
        <f>IF(A392="","",CHOOSE(WEEKDAY(A392,1),"الأحد","الاثنين","الثلاثاء","الأربعاء","الخميس","الجمعة","السبت"))</f>
        <v/>
      </c>
      <c r="C392" s="22" t="n"/>
      <c r="D392" s="22" t="n"/>
      <c r="E392" s="23">
        <f>IF(OR(M392=0,K392="",L392=""),"",MOD(L392-K392,1))</f>
        <v/>
      </c>
      <c r="F392" s="24">
        <f>IF(OR(E392="",M392=0),"",IF(ROUND_MODE="للأعلى",CEILING(ROUND((E392*24*$N$391),3),0.25),ROUND((E392*24*$N$391)*4,0)/4))</f>
        <v/>
      </c>
      <c r="G392" s="22" t="n"/>
      <c r="H392" s="22" t="n"/>
      <c r="K392" s="25">
        <f>IF(OR(M392=0,C392=""),"",IF(ISNUMBER(C392),MOD(C392,1),IFERROR(INDEX('القوائم'!$B$1:$B$288,MATCH(TRIM(C392),'القوائم'!$A$1:$A$288,0)),IFERROR(MOD(TIMEVALUE(C392),1),""))))</f>
        <v/>
      </c>
      <c r="L392" s="25">
        <f>IF(OR(M392=0,D392=""),"",IF(ISNUMBER(D392),MOD(D392,1),IFERROR(INDEX('القوائم'!$B$1:$B$288,MATCH(TRIM(D392),'القوائم'!$A$1:$A$288,0)),IFERROR(MOD(TIMEVALUE(D392),1),""))))</f>
        <v/>
      </c>
      <c r="M392">
        <f>M391</f>
        <v/>
      </c>
      <c r="Q392">
        <f>IF(N(F401)&gt;0,1,0)</f>
        <v/>
      </c>
    </row>
    <row r="393">
      <c r="A393" s="20">
        <f>IF(36&lt;=NW,SAT1+246,"")</f>
        <v/>
      </c>
      <c r="B393" s="21">
        <f>IF(A393="","",CHOOSE(WEEKDAY(A393,1),"الأحد","الاثنين","الثلاثاء","الأربعاء","الخميس","الجمعة","السبت"))</f>
        <v/>
      </c>
      <c r="C393" s="22" t="n"/>
      <c r="D393" s="22" t="n"/>
      <c r="E393" s="23">
        <f>IF(OR(M393=0,K393="",L393=""),"",MOD(L393-K393,1))</f>
        <v/>
      </c>
      <c r="F393" s="24">
        <f>IF(OR(E393="",M393=0),"",IF(ROUND_MODE="للأعلى",CEILING(ROUND((E393*24*$N$391),3),0.25),ROUND((E393*24*$N$391)*4,0)/4))</f>
        <v/>
      </c>
      <c r="G393" s="22" t="n"/>
      <c r="H393" s="22" t="n"/>
      <c r="K393" s="25">
        <f>IF(OR(M393=0,C393=""),"",IF(ISNUMBER(C393),MOD(C393,1),IFERROR(INDEX('القوائم'!$B$1:$B$288,MATCH(TRIM(C393),'القوائم'!$A$1:$A$288,0)),IFERROR(MOD(TIMEVALUE(C393),1),""))))</f>
        <v/>
      </c>
      <c r="L393" s="25">
        <f>IF(OR(M393=0,D393=""),"",IF(ISNUMBER(D393),MOD(D393,1),IFERROR(INDEX('القوائم'!$B$1:$B$288,MATCH(TRIM(D393),'القوائم'!$A$1:$A$288,0)),IFERROR(MOD(TIMEVALUE(D393),1),""))))</f>
        <v/>
      </c>
      <c r="M393">
        <f>M391</f>
        <v/>
      </c>
      <c r="Q393">
        <f>IF(N(F401)&gt;0,1,0)</f>
        <v/>
      </c>
    </row>
    <row r="394">
      <c r="A394" s="20">
        <f>IF(36&lt;=NW,SAT1+247,"")</f>
        <v/>
      </c>
      <c r="B394" s="21">
        <f>IF(A394="","",CHOOSE(WEEKDAY(A394,1),"الأحد","الاثنين","الثلاثاء","الأربعاء","الخميس","الجمعة","السبت"))</f>
        <v/>
      </c>
      <c r="C394" s="22" t="n"/>
      <c r="D394" s="22" t="n"/>
      <c r="E394" s="23">
        <f>IF(OR(M394=0,K394="",L394=""),"",MOD(L394-K394,1))</f>
        <v/>
      </c>
      <c r="F394" s="24">
        <f>IF(OR(E394="",M394=0),"",IF(ROUND_MODE="للأعلى",CEILING(ROUND((E394*24*$N$391),3),0.25),ROUND((E394*24*$N$391)*4,0)/4))</f>
        <v/>
      </c>
      <c r="G394" s="22" t="n"/>
      <c r="H394" s="22" t="n"/>
      <c r="K394" s="25">
        <f>IF(OR(M394=0,C394=""),"",IF(ISNUMBER(C394),MOD(C394,1),IFERROR(INDEX('القوائم'!$B$1:$B$288,MATCH(TRIM(C394),'القوائم'!$A$1:$A$288,0)),IFERROR(MOD(TIMEVALUE(C394),1),""))))</f>
        <v/>
      </c>
      <c r="L394" s="25">
        <f>IF(OR(M394=0,D394=""),"",IF(ISNUMBER(D394),MOD(D394,1),IFERROR(INDEX('القوائم'!$B$1:$B$288,MATCH(TRIM(D394),'القوائم'!$A$1:$A$288,0)),IFERROR(MOD(TIMEVALUE(D394),1),""))))</f>
        <v/>
      </c>
      <c r="M394">
        <f>M391</f>
        <v/>
      </c>
      <c r="Q394">
        <f>IF(N(F401)&gt;0,1,0)</f>
        <v/>
      </c>
    </row>
    <row r="395">
      <c r="A395" s="20">
        <f>IF(36&lt;=NW,SAT1+248,"")</f>
        <v/>
      </c>
      <c r="B395" s="21">
        <f>IF(A395="","",CHOOSE(WEEKDAY(A395,1),"الأحد","الاثنين","الثلاثاء","الأربعاء","الخميس","الجمعة","السبت"))</f>
        <v/>
      </c>
      <c r="C395" s="22" t="n"/>
      <c r="D395" s="22" t="n"/>
      <c r="E395" s="23">
        <f>IF(OR(M395=0,K395="",L395=""),"",MOD(L395-K395,1))</f>
        <v/>
      </c>
      <c r="F395" s="24">
        <f>IF(OR(E395="",M395=0),"",IF(ROUND_MODE="للأعلى",CEILING(ROUND((E395*24*$N$391),3),0.25),ROUND((E395*24*$N$391)*4,0)/4))</f>
        <v/>
      </c>
      <c r="G395" s="22" t="n"/>
      <c r="H395" s="22" t="n"/>
      <c r="K395" s="25">
        <f>IF(OR(M395=0,C395=""),"",IF(ISNUMBER(C395),MOD(C395,1),IFERROR(INDEX('القوائم'!$B$1:$B$288,MATCH(TRIM(C395),'القوائم'!$A$1:$A$288,0)),IFERROR(MOD(TIMEVALUE(C395),1),""))))</f>
        <v/>
      </c>
      <c r="L395" s="25">
        <f>IF(OR(M395=0,D395=""),"",IF(ISNUMBER(D395),MOD(D395,1),IFERROR(INDEX('القوائم'!$B$1:$B$288,MATCH(TRIM(D395),'القوائم'!$A$1:$A$288,0)),IFERROR(MOD(TIMEVALUE(D395),1),""))))</f>
        <v/>
      </c>
      <c r="M395">
        <f>M391</f>
        <v/>
      </c>
      <c r="Q395">
        <f>IF(N(F401)&gt;0,1,0)</f>
        <v/>
      </c>
    </row>
    <row r="396">
      <c r="A396" s="20">
        <f>IF(36&lt;=NW,SAT1+249,"")</f>
        <v/>
      </c>
      <c r="B396" s="21">
        <f>IF(A396="","",CHOOSE(WEEKDAY(A396,1),"الأحد","الاثنين","الثلاثاء","الأربعاء","الخميس","الجمعة","السبت"))</f>
        <v/>
      </c>
      <c r="C396" s="22" t="n"/>
      <c r="D396" s="22" t="n"/>
      <c r="E396" s="23">
        <f>IF(OR(M396=0,K396="",L396=""),"",MOD(L396-K396,1))</f>
        <v/>
      </c>
      <c r="F396" s="24">
        <f>IF(OR(E396="",M396=0),"",IF(ROUND_MODE="للأعلى",CEILING(ROUND((E396*24*$N$391),3),0.25),ROUND((E396*24*$N$391)*4,0)/4))</f>
        <v/>
      </c>
      <c r="G396" s="22" t="n"/>
      <c r="H396" s="22" t="n"/>
      <c r="K396" s="25">
        <f>IF(OR(M396=0,C396=""),"",IF(ISNUMBER(C396),MOD(C396,1),IFERROR(INDEX('القوائم'!$B$1:$B$288,MATCH(TRIM(C396),'القوائم'!$A$1:$A$288,0)),IFERROR(MOD(TIMEVALUE(C396),1),""))))</f>
        <v/>
      </c>
      <c r="L396" s="25">
        <f>IF(OR(M396=0,D396=""),"",IF(ISNUMBER(D396),MOD(D396,1),IFERROR(INDEX('القوائم'!$B$1:$B$288,MATCH(TRIM(D396),'القوائم'!$A$1:$A$288,0)),IFERROR(MOD(TIMEVALUE(D396),1),""))))</f>
        <v/>
      </c>
      <c r="M396">
        <f>M391</f>
        <v/>
      </c>
      <c r="Q396">
        <f>IF(N(F401)&gt;0,1,0)</f>
        <v/>
      </c>
    </row>
    <row r="397">
      <c r="A397" s="20">
        <f>IF(36&lt;=NW,SAT1+250,"")</f>
        <v/>
      </c>
      <c r="B397" s="21">
        <f>IF(A397="","",CHOOSE(WEEKDAY(A397,1),"الأحد","الاثنين","الثلاثاء","الأربعاء","الخميس","الجمعة","السبت"))</f>
        <v/>
      </c>
      <c r="C397" s="22" t="n"/>
      <c r="D397" s="22" t="n"/>
      <c r="E397" s="23">
        <f>IF(OR(M397=0,K397="",L397=""),"",MOD(L397-K397,1))</f>
        <v/>
      </c>
      <c r="F397" s="24">
        <f>IF(OR(E397="",M397=0),"",IF(ROUND_MODE="للأعلى",CEILING(ROUND((E397*24*$N$391),3),0.25),ROUND((E397*24*$N$391)*4,0)/4))</f>
        <v/>
      </c>
      <c r="G397" s="22" t="n"/>
      <c r="H397" s="22" t="n"/>
      <c r="K397" s="25">
        <f>IF(OR(M397=0,C397=""),"",IF(ISNUMBER(C397),MOD(C397,1),IFERROR(INDEX('القوائم'!$B$1:$B$288,MATCH(TRIM(C397),'القوائم'!$A$1:$A$288,0)),IFERROR(MOD(TIMEVALUE(C397),1),""))))</f>
        <v/>
      </c>
      <c r="L397" s="25">
        <f>IF(OR(M397=0,D397=""),"",IF(ISNUMBER(D397),MOD(D397,1),IFERROR(INDEX('القوائم'!$B$1:$B$288,MATCH(TRIM(D397),'القوائم'!$A$1:$A$288,0)),IFERROR(MOD(TIMEVALUE(D397),1),""))))</f>
        <v/>
      </c>
      <c r="M397">
        <f>M391</f>
        <v/>
      </c>
      <c r="Q397">
        <f>IF(N(F401)&gt;0,1,0)</f>
        <v/>
      </c>
    </row>
    <row r="398">
      <c r="A398" s="26">
        <f>IF(36&lt;=NW,SAT1+251,"")</f>
        <v/>
      </c>
      <c r="B398" s="27">
        <f>IF(A398="","",CHOOSE(WEEKDAY(A398,1),"الأحد","الاثنين","الثلاثاء","الأربعاء","الخميس","الجمعة","السبت"))</f>
        <v/>
      </c>
      <c r="C398" s="22" t="n"/>
      <c r="D398" s="22" t="n"/>
      <c r="E398" s="23">
        <f>IF(OR(M398=0,K398="",L398=""),"",MOD(L398-K398,1))</f>
        <v/>
      </c>
      <c r="F398" s="24">
        <f>IF(OR(E398="",M398=0),"",IF(ROUND_MODE="للأعلى",CEILING(ROUND((E398*24*$N$391),3),0.25),ROUND((E398*24*$N$391)*4,0)/4))</f>
        <v/>
      </c>
      <c r="G398" s="22" t="n"/>
      <c r="H398" s="22" t="n"/>
      <c r="K398" s="25">
        <f>IF(OR(M398=0,C398=""),"",IF(ISNUMBER(C398),MOD(C398,1),IFERROR(INDEX('القوائم'!$B$1:$B$288,MATCH(TRIM(C398),'القوائم'!$A$1:$A$288,0)),IFERROR(MOD(TIMEVALUE(C398),1),""))))</f>
        <v/>
      </c>
      <c r="L398" s="25">
        <f>IF(OR(M398=0,D398=""),"",IF(ISNUMBER(D398),MOD(D398,1),IFERROR(INDEX('القوائم'!$B$1:$B$288,MATCH(TRIM(D398),'القوائم'!$A$1:$A$288,0)),IFERROR(MOD(TIMEVALUE(D398),1),""))))</f>
        <v/>
      </c>
      <c r="M398">
        <f>M391</f>
        <v/>
      </c>
      <c r="Q398">
        <f>IF(N(F401)&gt;0,1,0)</f>
        <v/>
      </c>
    </row>
    <row r="399">
      <c r="A399" s="28">
        <f>IF(M391=1,"مجموع أيام الأسبوع 36","")</f>
        <v/>
      </c>
      <c r="B399" s="28" t="n"/>
      <c r="C399" s="28" t="n"/>
      <c r="D399" s="28" t="n"/>
      <c r="E399" s="29">
        <f>IF(M391=1,SUM(E392:E398),"")</f>
        <v/>
      </c>
      <c r="F399" s="30">
        <f>IF(M391=1,SUM(F392:F398),"")</f>
        <v/>
      </c>
      <c r="G399" s="41">
        <f>IF(M391=1,SUMIFS(F392:F398,G392:G398,"نعم"),"")</f>
        <v/>
      </c>
      <c r="H399" s="28" t="n"/>
    </row>
    <row r="400" ht="32" customHeight="1">
      <c r="A400" s="28">
        <f>IF(M391=1,"ساعات تحميل الجبسمبورد بهالأسبوع (رقم: 2 أو 1.5) ←","")</f>
        <v/>
      </c>
      <c r="E400" s="31" t="n"/>
      <c r="F400" s="33">
        <f>IF(M391=1,N(F399)+IF(ROUND_MODE="للأعلى",CEILING(ROUND((N(E400)*($P$391-$N$391)),3),0.25),ROUND((N(E400)*($P$391-$N$391))*4,0)/4),"")</f>
        <v/>
      </c>
      <c r="G400" s="32">
        <f>IF(M391=1,"← المستحق النهائي للأسبوع (دينار) مع فرق الجبسمبورد","")</f>
        <v/>
      </c>
    </row>
    <row r="401" ht="26" customHeight="1">
      <c r="A401" s="28">
        <f>IF(M391=1,"إكرامية الأسبوع ←","")</f>
        <v/>
      </c>
      <c r="C401" s="35" t="n"/>
      <c r="D401" s="28">
        <f>IF(M391=1,"المدفوع يوم الجمعة (التسوية) ←","")</f>
        <v/>
      </c>
      <c r="F401" s="35" t="n"/>
      <c r="G401" s="36">
        <f>IF(M391=1,IF(N(F401)&gt;0,"✔ انقبض — الأسبوع مقفول","⏳ لسا ما انقبض"),"")</f>
        <v/>
      </c>
    </row>
    <row r="402" ht="26" customHeight="1">
      <c r="A402" s="40">
        <f>IF(37&lt;=NW,"الأسبوع 37 · السبت "&amp;TEXT(DAY(SAT1+252),"00")&amp;"/"&amp;TEXT(MONTH(SAT1+252),"00")&amp;" ← الجمعة "&amp;TEXT(DAY(SAT1+258),"00")&amp;"/"&amp;TEXT(MONTH(SAT1+258),"00")&amp;" (يوم القبض)"&amp;IF(37&lt;START_Z,"   — قبل أسبوع البداية (ما بينحسب)",""),"ما في أسبوع 37 هالسنة")</f>
        <v/>
      </c>
      <c r="L402" s="19">
        <f>IF(37&lt;=NW,SAT1+258,"")</f>
        <v/>
      </c>
      <c r="M402">
        <f>IF(AND(37&lt;=NW,37&gt;=START_Z),1,0)</f>
        <v/>
      </c>
      <c r="N402">
        <f>IFERROR(INDEX(RT_AZZ,MATCH(L402,RT_K,1)),INDEX(RT_AZZ,1))</f>
        <v/>
      </c>
      <c r="P402">
        <f>IFERROR(INDEX(RT_GYP,MATCH(L402,RT_K,1)),INDEX(RT_GYP,1))</f>
        <v/>
      </c>
    </row>
    <row r="403">
      <c r="A403" s="20">
        <f>IF(37&lt;=NW,SAT1+252,"")</f>
        <v/>
      </c>
      <c r="B403" s="21">
        <f>IF(A403="","",CHOOSE(WEEKDAY(A403,1),"الأحد","الاثنين","الثلاثاء","الأربعاء","الخميس","الجمعة","السبت"))</f>
        <v/>
      </c>
      <c r="C403" s="22" t="n"/>
      <c r="D403" s="22" t="n"/>
      <c r="E403" s="23">
        <f>IF(OR(M403=0,K403="",L403=""),"",MOD(L403-K403,1))</f>
        <v/>
      </c>
      <c r="F403" s="24">
        <f>IF(OR(E403="",M403=0),"",IF(ROUND_MODE="للأعلى",CEILING(ROUND((E403*24*$N$402),3),0.25),ROUND((E403*24*$N$402)*4,0)/4))</f>
        <v/>
      </c>
      <c r="G403" s="22" t="n"/>
      <c r="H403" s="22" t="n"/>
      <c r="K403" s="25">
        <f>IF(OR(M403=0,C403=""),"",IF(ISNUMBER(C403),MOD(C403,1),IFERROR(INDEX('القوائم'!$B$1:$B$288,MATCH(TRIM(C403),'القوائم'!$A$1:$A$288,0)),IFERROR(MOD(TIMEVALUE(C403),1),""))))</f>
        <v/>
      </c>
      <c r="L403" s="25">
        <f>IF(OR(M403=0,D403=""),"",IF(ISNUMBER(D403),MOD(D403,1),IFERROR(INDEX('القوائم'!$B$1:$B$288,MATCH(TRIM(D403),'القوائم'!$A$1:$A$288,0)),IFERROR(MOD(TIMEVALUE(D403),1),""))))</f>
        <v/>
      </c>
      <c r="M403">
        <f>M402</f>
        <v/>
      </c>
      <c r="Q403">
        <f>IF(N(F412)&gt;0,1,0)</f>
        <v/>
      </c>
    </row>
    <row r="404">
      <c r="A404" s="20">
        <f>IF(37&lt;=NW,SAT1+253,"")</f>
        <v/>
      </c>
      <c r="B404" s="21">
        <f>IF(A404="","",CHOOSE(WEEKDAY(A404,1),"الأحد","الاثنين","الثلاثاء","الأربعاء","الخميس","الجمعة","السبت"))</f>
        <v/>
      </c>
      <c r="C404" s="22" t="n"/>
      <c r="D404" s="22" t="n"/>
      <c r="E404" s="23">
        <f>IF(OR(M404=0,K404="",L404=""),"",MOD(L404-K404,1))</f>
        <v/>
      </c>
      <c r="F404" s="24">
        <f>IF(OR(E404="",M404=0),"",IF(ROUND_MODE="للأعلى",CEILING(ROUND((E404*24*$N$402),3),0.25),ROUND((E404*24*$N$402)*4,0)/4))</f>
        <v/>
      </c>
      <c r="G404" s="22" t="n"/>
      <c r="H404" s="22" t="n"/>
      <c r="K404" s="25">
        <f>IF(OR(M404=0,C404=""),"",IF(ISNUMBER(C404),MOD(C404,1),IFERROR(INDEX('القوائم'!$B$1:$B$288,MATCH(TRIM(C404),'القوائم'!$A$1:$A$288,0)),IFERROR(MOD(TIMEVALUE(C404),1),""))))</f>
        <v/>
      </c>
      <c r="L404" s="25">
        <f>IF(OR(M404=0,D404=""),"",IF(ISNUMBER(D404),MOD(D404,1),IFERROR(INDEX('القوائم'!$B$1:$B$288,MATCH(TRIM(D404),'القوائم'!$A$1:$A$288,0)),IFERROR(MOD(TIMEVALUE(D404),1),""))))</f>
        <v/>
      </c>
      <c r="M404">
        <f>M402</f>
        <v/>
      </c>
      <c r="Q404">
        <f>IF(N(F412)&gt;0,1,0)</f>
        <v/>
      </c>
    </row>
    <row r="405">
      <c r="A405" s="20">
        <f>IF(37&lt;=NW,SAT1+254,"")</f>
        <v/>
      </c>
      <c r="B405" s="21">
        <f>IF(A405="","",CHOOSE(WEEKDAY(A405,1),"الأحد","الاثنين","الثلاثاء","الأربعاء","الخميس","الجمعة","السبت"))</f>
        <v/>
      </c>
      <c r="C405" s="22" t="n"/>
      <c r="D405" s="22" t="n"/>
      <c r="E405" s="23">
        <f>IF(OR(M405=0,K405="",L405=""),"",MOD(L405-K405,1))</f>
        <v/>
      </c>
      <c r="F405" s="24">
        <f>IF(OR(E405="",M405=0),"",IF(ROUND_MODE="للأعلى",CEILING(ROUND((E405*24*$N$402),3),0.25),ROUND((E405*24*$N$402)*4,0)/4))</f>
        <v/>
      </c>
      <c r="G405" s="22" t="n"/>
      <c r="H405" s="22" t="n"/>
      <c r="K405" s="25">
        <f>IF(OR(M405=0,C405=""),"",IF(ISNUMBER(C405),MOD(C405,1),IFERROR(INDEX('القوائم'!$B$1:$B$288,MATCH(TRIM(C405),'القوائم'!$A$1:$A$288,0)),IFERROR(MOD(TIMEVALUE(C405),1),""))))</f>
        <v/>
      </c>
      <c r="L405" s="25">
        <f>IF(OR(M405=0,D405=""),"",IF(ISNUMBER(D405),MOD(D405,1),IFERROR(INDEX('القوائم'!$B$1:$B$288,MATCH(TRIM(D405),'القوائم'!$A$1:$A$288,0)),IFERROR(MOD(TIMEVALUE(D405),1),""))))</f>
        <v/>
      </c>
      <c r="M405">
        <f>M402</f>
        <v/>
      </c>
      <c r="Q405">
        <f>IF(N(F412)&gt;0,1,0)</f>
        <v/>
      </c>
    </row>
    <row r="406">
      <c r="A406" s="20">
        <f>IF(37&lt;=NW,SAT1+255,"")</f>
        <v/>
      </c>
      <c r="B406" s="21">
        <f>IF(A406="","",CHOOSE(WEEKDAY(A406,1),"الأحد","الاثنين","الثلاثاء","الأربعاء","الخميس","الجمعة","السبت"))</f>
        <v/>
      </c>
      <c r="C406" s="22" t="n"/>
      <c r="D406" s="22" t="n"/>
      <c r="E406" s="23">
        <f>IF(OR(M406=0,K406="",L406=""),"",MOD(L406-K406,1))</f>
        <v/>
      </c>
      <c r="F406" s="24">
        <f>IF(OR(E406="",M406=0),"",IF(ROUND_MODE="للأعلى",CEILING(ROUND((E406*24*$N$402),3),0.25),ROUND((E406*24*$N$402)*4,0)/4))</f>
        <v/>
      </c>
      <c r="G406" s="22" t="n"/>
      <c r="H406" s="22" t="n"/>
      <c r="K406" s="25">
        <f>IF(OR(M406=0,C406=""),"",IF(ISNUMBER(C406),MOD(C406,1),IFERROR(INDEX('القوائم'!$B$1:$B$288,MATCH(TRIM(C406),'القوائم'!$A$1:$A$288,0)),IFERROR(MOD(TIMEVALUE(C406),1),""))))</f>
        <v/>
      </c>
      <c r="L406" s="25">
        <f>IF(OR(M406=0,D406=""),"",IF(ISNUMBER(D406),MOD(D406,1),IFERROR(INDEX('القوائم'!$B$1:$B$288,MATCH(TRIM(D406),'القوائم'!$A$1:$A$288,0)),IFERROR(MOD(TIMEVALUE(D406),1),""))))</f>
        <v/>
      </c>
      <c r="M406">
        <f>M402</f>
        <v/>
      </c>
      <c r="Q406">
        <f>IF(N(F412)&gt;0,1,0)</f>
        <v/>
      </c>
    </row>
    <row r="407">
      <c r="A407" s="20">
        <f>IF(37&lt;=NW,SAT1+256,"")</f>
        <v/>
      </c>
      <c r="B407" s="21">
        <f>IF(A407="","",CHOOSE(WEEKDAY(A407,1),"الأحد","الاثنين","الثلاثاء","الأربعاء","الخميس","الجمعة","السبت"))</f>
        <v/>
      </c>
      <c r="C407" s="22" t="n"/>
      <c r="D407" s="22" t="n"/>
      <c r="E407" s="23">
        <f>IF(OR(M407=0,K407="",L407=""),"",MOD(L407-K407,1))</f>
        <v/>
      </c>
      <c r="F407" s="24">
        <f>IF(OR(E407="",M407=0),"",IF(ROUND_MODE="للأعلى",CEILING(ROUND((E407*24*$N$402),3),0.25),ROUND((E407*24*$N$402)*4,0)/4))</f>
        <v/>
      </c>
      <c r="G407" s="22" t="n"/>
      <c r="H407" s="22" t="n"/>
      <c r="K407" s="25">
        <f>IF(OR(M407=0,C407=""),"",IF(ISNUMBER(C407),MOD(C407,1),IFERROR(INDEX('القوائم'!$B$1:$B$288,MATCH(TRIM(C407),'القوائم'!$A$1:$A$288,0)),IFERROR(MOD(TIMEVALUE(C407),1),""))))</f>
        <v/>
      </c>
      <c r="L407" s="25">
        <f>IF(OR(M407=0,D407=""),"",IF(ISNUMBER(D407),MOD(D407,1),IFERROR(INDEX('القوائم'!$B$1:$B$288,MATCH(TRIM(D407),'القوائم'!$A$1:$A$288,0)),IFERROR(MOD(TIMEVALUE(D407),1),""))))</f>
        <v/>
      </c>
      <c r="M407">
        <f>M402</f>
        <v/>
      </c>
      <c r="Q407">
        <f>IF(N(F412)&gt;0,1,0)</f>
        <v/>
      </c>
    </row>
    <row r="408">
      <c r="A408" s="20">
        <f>IF(37&lt;=NW,SAT1+257,"")</f>
        <v/>
      </c>
      <c r="B408" s="21">
        <f>IF(A408="","",CHOOSE(WEEKDAY(A408,1),"الأحد","الاثنين","الثلاثاء","الأربعاء","الخميس","الجمعة","السبت"))</f>
        <v/>
      </c>
      <c r="C408" s="22" t="n"/>
      <c r="D408" s="22" t="n"/>
      <c r="E408" s="23">
        <f>IF(OR(M408=0,K408="",L408=""),"",MOD(L408-K408,1))</f>
        <v/>
      </c>
      <c r="F408" s="24">
        <f>IF(OR(E408="",M408=0),"",IF(ROUND_MODE="للأعلى",CEILING(ROUND((E408*24*$N$402),3),0.25),ROUND((E408*24*$N$402)*4,0)/4))</f>
        <v/>
      </c>
      <c r="G408" s="22" t="n"/>
      <c r="H408" s="22" t="n"/>
      <c r="K408" s="25">
        <f>IF(OR(M408=0,C408=""),"",IF(ISNUMBER(C408),MOD(C408,1),IFERROR(INDEX('القوائم'!$B$1:$B$288,MATCH(TRIM(C408),'القوائم'!$A$1:$A$288,0)),IFERROR(MOD(TIMEVALUE(C408),1),""))))</f>
        <v/>
      </c>
      <c r="L408" s="25">
        <f>IF(OR(M408=0,D408=""),"",IF(ISNUMBER(D408),MOD(D408,1),IFERROR(INDEX('القوائم'!$B$1:$B$288,MATCH(TRIM(D408),'القوائم'!$A$1:$A$288,0)),IFERROR(MOD(TIMEVALUE(D408),1),""))))</f>
        <v/>
      </c>
      <c r="M408">
        <f>M402</f>
        <v/>
      </c>
      <c r="Q408">
        <f>IF(N(F412)&gt;0,1,0)</f>
        <v/>
      </c>
    </row>
    <row r="409">
      <c r="A409" s="26">
        <f>IF(37&lt;=NW,SAT1+258,"")</f>
        <v/>
      </c>
      <c r="B409" s="27">
        <f>IF(A409="","",CHOOSE(WEEKDAY(A409,1),"الأحد","الاثنين","الثلاثاء","الأربعاء","الخميس","الجمعة","السبت"))</f>
        <v/>
      </c>
      <c r="C409" s="22" t="n"/>
      <c r="D409" s="22" t="n"/>
      <c r="E409" s="23">
        <f>IF(OR(M409=0,K409="",L409=""),"",MOD(L409-K409,1))</f>
        <v/>
      </c>
      <c r="F409" s="24">
        <f>IF(OR(E409="",M409=0),"",IF(ROUND_MODE="للأعلى",CEILING(ROUND((E409*24*$N$402),3),0.25),ROUND((E409*24*$N$402)*4,0)/4))</f>
        <v/>
      </c>
      <c r="G409" s="22" t="n"/>
      <c r="H409" s="22" t="n"/>
      <c r="K409" s="25">
        <f>IF(OR(M409=0,C409=""),"",IF(ISNUMBER(C409),MOD(C409,1),IFERROR(INDEX('القوائم'!$B$1:$B$288,MATCH(TRIM(C409),'القوائم'!$A$1:$A$288,0)),IFERROR(MOD(TIMEVALUE(C409),1),""))))</f>
        <v/>
      </c>
      <c r="L409" s="25">
        <f>IF(OR(M409=0,D409=""),"",IF(ISNUMBER(D409),MOD(D409,1),IFERROR(INDEX('القوائم'!$B$1:$B$288,MATCH(TRIM(D409),'القوائم'!$A$1:$A$288,0)),IFERROR(MOD(TIMEVALUE(D409),1),""))))</f>
        <v/>
      </c>
      <c r="M409">
        <f>M402</f>
        <v/>
      </c>
      <c r="Q409">
        <f>IF(N(F412)&gt;0,1,0)</f>
        <v/>
      </c>
    </row>
    <row r="410">
      <c r="A410" s="28">
        <f>IF(M402=1,"مجموع أيام الأسبوع 37","")</f>
        <v/>
      </c>
      <c r="B410" s="28" t="n"/>
      <c r="C410" s="28" t="n"/>
      <c r="D410" s="28" t="n"/>
      <c r="E410" s="29">
        <f>IF(M402=1,SUM(E403:E409),"")</f>
        <v/>
      </c>
      <c r="F410" s="30">
        <f>IF(M402=1,SUM(F403:F409),"")</f>
        <v/>
      </c>
      <c r="G410" s="41">
        <f>IF(M402=1,SUMIFS(F403:F409,G403:G409,"نعم"),"")</f>
        <v/>
      </c>
      <c r="H410" s="28" t="n"/>
    </row>
    <row r="411" ht="32" customHeight="1">
      <c r="A411" s="28">
        <f>IF(M402=1,"ساعات تحميل الجبسمبورد بهالأسبوع (رقم: 2 أو 1.5) ←","")</f>
        <v/>
      </c>
      <c r="E411" s="31" t="n"/>
      <c r="F411" s="33">
        <f>IF(M402=1,N(F410)+IF(ROUND_MODE="للأعلى",CEILING(ROUND((N(E411)*($P$402-$N$402)),3),0.25),ROUND((N(E411)*($P$402-$N$402))*4,0)/4),"")</f>
        <v/>
      </c>
      <c r="G411" s="32">
        <f>IF(M402=1,"← المستحق النهائي للأسبوع (دينار) مع فرق الجبسمبورد","")</f>
        <v/>
      </c>
    </row>
    <row r="412" ht="26" customHeight="1">
      <c r="A412" s="28">
        <f>IF(M402=1,"إكرامية الأسبوع ←","")</f>
        <v/>
      </c>
      <c r="C412" s="35" t="n"/>
      <c r="D412" s="28">
        <f>IF(M402=1,"المدفوع يوم الجمعة (التسوية) ←","")</f>
        <v/>
      </c>
      <c r="F412" s="35" t="n"/>
      <c r="G412" s="36">
        <f>IF(M402=1,IF(N(F412)&gt;0,"✔ انقبض — الأسبوع مقفول","⏳ لسا ما انقبض"),"")</f>
        <v/>
      </c>
    </row>
    <row r="413" ht="26" customHeight="1">
      <c r="A413" s="40">
        <f>IF(38&lt;=NW,"الأسبوع 38 · السبت "&amp;TEXT(DAY(SAT1+259),"00")&amp;"/"&amp;TEXT(MONTH(SAT1+259),"00")&amp;" ← الجمعة "&amp;TEXT(DAY(SAT1+265),"00")&amp;"/"&amp;TEXT(MONTH(SAT1+265),"00")&amp;" (يوم القبض)"&amp;IF(38&lt;START_Z,"   — قبل أسبوع البداية (ما بينحسب)",""),"ما في أسبوع 38 هالسنة")</f>
        <v/>
      </c>
      <c r="L413" s="19">
        <f>IF(38&lt;=NW,SAT1+265,"")</f>
        <v/>
      </c>
      <c r="M413">
        <f>IF(AND(38&lt;=NW,38&gt;=START_Z),1,0)</f>
        <v/>
      </c>
      <c r="N413">
        <f>IFERROR(INDEX(RT_AZZ,MATCH(L413,RT_K,1)),INDEX(RT_AZZ,1))</f>
        <v/>
      </c>
      <c r="P413">
        <f>IFERROR(INDEX(RT_GYP,MATCH(L413,RT_K,1)),INDEX(RT_GYP,1))</f>
        <v/>
      </c>
    </row>
    <row r="414">
      <c r="A414" s="20">
        <f>IF(38&lt;=NW,SAT1+259,"")</f>
        <v/>
      </c>
      <c r="B414" s="21">
        <f>IF(A414="","",CHOOSE(WEEKDAY(A414,1),"الأحد","الاثنين","الثلاثاء","الأربعاء","الخميس","الجمعة","السبت"))</f>
        <v/>
      </c>
      <c r="C414" s="22" t="n"/>
      <c r="D414" s="22" t="n"/>
      <c r="E414" s="23">
        <f>IF(OR(M414=0,K414="",L414=""),"",MOD(L414-K414,1))</f>
        <v/>
      </c>
      <c r="F414" s="24">
        <f>IF(OR(E414="",M414=0),"",IF(ROUND_MODE="للأعلى",CEILING(ROUND((E414*24*$N$413),3),0.25),ROUND((E414*24*$N$413)*4,0)/4))</f>
        <v/>
      </c>
      <c r="G414" s="22" t="n"/>
      <c r="H414" s="22" t="n"/>
      <c r="K414" s="25">
        <f>IF(OR(M414=0,C414=""),"",IF(ISNUMBER(C414),MOD(C414,1),IFERROR(INDEX('القوائم'!$B$1:$B$288,MATCH(TRIM(C414),'القوائم'!$A$1:$A$288,0)),IFERROR(MOD(TIMEVALUE(C414),1),""))))</f>
        <v/>
      </c>
      <c r="L414" s="25">
        <f>IF(OR(M414=0,D414=""),"",IF(ISNUMBER(D414),MOD(D414,1),IFERROR(INDEX('القوائم'!$B$1:$B$288,MATCH(TRIM(D414),'القوائم'!$A$1:$A$288,0)),IFERROR(MOD(TIMEVALUE(D414),1),""))))</f>
        <v/>
      </c>
      <c r="M414">
        <f>M413</f>
        <v/>
      </c>
      <c r="Q414">
        <f>IF(N(F423)&gt;0,1,0)</f>
        <v/>
      </c>
    </row>
    <row r="415">
      <c r="A415" s="20">
        <f>IF(38&lt;=NW,SAT1+260,"")</f>
        <v/>
      </c>
      <c r="B415" s="21">
        <f>IF(A415="","",CHOOSE(WEEKDAY(A415,1),"الأحد","الاثنين","الثلاثاء","الأربعاء","الخميس","الجمعة","السبت"))</f>
        <v/>
      </c>
      <c r="C415" s="22" t="n"/>
      <c r="D415" s="22" t="n"/>
      <c r="E415" s="23">
        <f>IF(OR(M415=0,K415="",L415=""),"",MOD(L415-K415,1))</f>
        <v/>
      </c>
      <c r="F415" s="24">
        <f>IF(OR(E415="",M415=0),"",IF(ROUND_MODE="للأعلى",CEILING(ROUND((E415*24*$N$413),3),0.25),ROUND((E415*24*$N$413)*4,0)/4))</f>
        <v/>
      </c>
      <c r="G415" s="22" t="n"/>
      <c r="H415" s="22" t="n"/>
      <c r="K415" s="25">
        <f>IF(OR(M415=0,C415=""),"",IF(ISNUMBER(C415),MOD(C415,1),IFERROR(INDEX('القوائم'!$B$1:$B$288,MATCH(TRIM(C415),'القوائم'!$A$1:$A$288,0)),IFERROR(MOD(TIMEVALUE(C415),1),""))))</f>
        <v/>
      </c>
      <c r="L415" s="25">
        <f>IF(OR(M415=0,D415=""),"",IF(ISNUMBER(D415),MOD(D415,1),IFERROR(INDEX('القوائم'!$B$1:$B$288,MATCH(TRIM(D415),'القوائم'!$A$1:$A$288,0)),IFERROR(MOD(TIMEVALUE(D415),1),""))))</f>
        <v/>
      </c>
      <c r="M415">
        <f>M413</f>
        <v/>
      </c>
      <c r="Q415">
        <f>IF(N(F423)&gt;0,1,0)</f>
        <v/>
      </c>
    </row>
    <row r="416">
      <c r="A416" s="20">
        <f>IF(38&lt;=NW,SAT1+261,"")</f>
        <v/>
      </c>
      <c r="B416" s="21">
        <f>IF(A416="","",CHOOSE(WEEKDAY(A416,1),"الأحد","الاثنين","الثلاثاء","الأربعاء","الخميس","الجمعة","السبت"))</f>
        <v/>
      </c>
      <c r="C416" s="22" t="n"/>
      <c r="D416" s="22" t="n"/>
      <c r="E416" s="23">
        <f>IF(OR(M416=0,K416="",L416=""),"",MOD(L416-K416,1))</f>
        <v/>
      </c>
      <c r="F416" s="24">
        <f>IF(OR(E416="",M416=0),"",IF(ROUND_MODE="للأعلى",CEILING(ROUND((E416*24*$N$413),3),0.25),ROUND((E416*24*$N$413)*4,0)/4))</f>
        <v/>
      </c>
      <c r="G416" s="22" t="n"/>
      <c r="H416" s="22" t="n"/>
      <c r="K416" s="25">
        <f>IF(OR(M416=0,C416=""),"",IF(ISNUMBER(C416),MOD(C416,1),IFERROR(INDEX('القوائم'!$B$1:$B$288,MATCH(TRIM(C416),'القوائم'!$A$1:$A$288,0)),IFERROR(MOD(TIMEVALUE(C416),1),""))))</f>
        <v/>
      </c>
      <c r="L416" s="25">
        <f>IF(OR(M416=0,D416=""),"",IF(ISNUMBER(D416),MOD(D416,1),IFERROR(INDEX('القوائم'!$B$1:$B$288,MATCH(TRIM(D416),'القوائم'!$A$1:$A$288,0)),IFERROR(MOD(TIMEVALUE(D416),1),""))))</f>
        <v/>
      </c>
      <c r="M416">
        <f>M413</f>
        <v/>
      </c>
      <c r="Q416">
        <f>IF(N(F423)&gt;0,1,0)</f>
        <v/>
      </c>
    </row>
    <row r="417">
      <c r="A417" s="20">
        <f>IF(38&lt;=NW,SAT1+262,"")</f>
        <v/>
      </c>
      <c r="B417" s="21">
        <f>IF(A417="","",CHOOSE(WEEKDAY(A417,1),"الأحد","الاثنين","الثلاثاء","الأربعاء","الخميس","الجمعة","السبت"))</f>
        <v/>
      </c>
      <c r="C417" s="22" t="n"/>
      <c r="D417" s="22" t="n"/>
      <c r="E417" s="23">
        <f>IF(OR(M417=0,K417="",L417=""),"",MOD(L417-K417,1))</f>
        <v/>
      </c>
      <c r="F417" s="24">
        <f>IF(OR(E417="",M417=0),"",IF(ROUND_MODE="للأعلى",CEILING(ROUND((E417*24*$N$413),3),0.25),ROUND((E417*24*$N$413)*4,0)/4))</f>
        <v/>
      </c>
      <c r="G417" s="22" t="n"/>
      <c r="H417" s="22" t="n"/>
      <c r="K417" s="25">
        <f>IF(OR(M417=0,C417=""),"",IF(ISNUMBER(C417),MOD(C417,1),IFERROR(INDEX('القوائم'!$B$1:$B$288,MATCH(TRIM(C417),'القوائم'!$A$1:$A$288,0)),IFERROR(MOD(TIMEVALUE(C417),1),""))))</f>
        <v/>
      </c>
      <c r="L417" s="25">
        <f>IF(OR(M417=0,D417=""),"",IF(ISNUMBER(D417),MOD(D417,1),IFERROR(INDEX('القوائم'!$B$1:$B$288,MATCH(TRIM(D417),'القوائم'!$A$1:$A$288,0)),IFERROR(MOD(TIMEVALUE(D417),1),""))))</f>
        <v/>
      </c>
      <c r="M417">
        <f>M413</f>
        <v/>
      </c>
      <c r="Q417">
        <f>IF(N(F423)&gt;0,1,0)</f>
        <v/>
      </c>
    </row>
    <row r="418">
      <c r="A418" s="20">
        <f>IF(38&lt;=NW,SAT1+263,"")</f>
        <v/>
      </c>
      <c r="B418" s="21">
        <f>IF(A418="","",CHOOSE(WEEKDAY(A418,1),"الأحد","الاثنين","الثلاثاء","الأربعاء","الخميس","الجمعة","السبت"))</f>
        <v/>
      </c>
      <c r="C418" s="22" t="n"/>
      <c r="D418" s="22" t="n"/>
      <c r="E418" s="23">
        <f>IF(OR(M418=0,K418="",L418=""),"",MOD(L418-K418,1))</f>
        <v/>
      </c>
      <c r="F418" s="24">
        <f>IF(OR(E418="",M418=0),"",IF(ROUND_MODE="للأعلى",CEILING(ROUND((E418*24*$N$413),3),0.25),ROUND((E418*24*$N$413)*4,0)/4))</f>
        <v/>
      </c>
      <c r="G418" s="22" t="n"/>
      <c r="H418" s="22" t="n"/>
      <c r="K418" s="25">
        <f>IF(OR(M418=0,C418=""),"",IF(ISNUMBER(C418),MOD(C418,1),IFERROR(INDEX('القوائم'!$B$1:$B$288,MATCH(TRIM(C418),'القوائم'!$A$1:$A$288,0)),IFERROR(MOD(TIMEVALUE(C418),1),""))))</f>
        <v/>
      </c>
      <c r="L418" s="25">
        <f>IF(OR(M418=0,D418=""),"",IF(ISNUMBER(D418),MOD(D418,1),IFERROR(INDEX('القوائم'!$B$1:$B$288,MATCH(TRIM(D418),'القوائم'!$A$1:$A$288,0)),IFERROR(MOD(TIMEVALUE(D418),1),""))))</f>
        <v/>
      </c>
      <c r="M418">
        <f>M413</f>
        <v/>
      </c>
      <c r="Q418">
        <f>IF(N(F423)&gt;0,1,0)</f>
        <v/>
      </c>
    </row>
    <row r="419">
      <c r="A419" s="20">
        <f>IF(38&lt;=NW,SAT1+264,"")</f>
        <v/>
      </c>
      <c r="B419" s="21">
        <f>IF(A419="","",CHOOSE(WEEKDAY(A419,1),"الأحد","الاثنين","الثلاثاء","الأربعاء","الخميس","الجمعة","السبت"))</f>
        <v/>
      </c>
      <c r="C419" s="22" t="n"/>
      <c r="D419" s="22" t="n"/>
      <c r="E419" s="23">
        <f>IF(OR(M419=0,K419="",L419=""),"",MOD(L419-K419,1))</f>
        <v/>
      </c>
      <c r="F419" s="24">
        <f>IF(OR(E419="",M419=0),"",IF(ROUND_MODE="للأعلى",CEILING(ROUND((E419*24*$N$413),3),0.25),ROUND((E419*24*$N$413)*4,0)/4))</f>
        <v/>
      </c>
      <c r="G419" s="22" t="n"/>
      <c r="H419" s="22" t="n"/>
      <c r="K419" s="25">
        <f>IF(OR(M419=0,C419=""),"",IF(ISNUMBER(C419),MOD(C419,1),IFERROR(INDEX('القوائم'!$B$1:$B$288,MATCH(TRIM(C419),'القوائم'!$A$1:$A$288,0)),IFERROR(MOD(TIMEVALUE(C419),1),""))))</f>
        <v/>
      </c>
      <c r="L419" s="25">
        <f>IF(OR(M419=0,D419=""),"",IF(ISNUMBER(D419),MOD(D419,1),IFERROR(INDEX('القوائم'!$B$1:$B$288,MATCH(TRIM(D419),'القوائم'!$A$1:$A$288,0)),IFERROR(MOD(TIMEVALUE(D419),1),""))))</f>
        <v/>
      </c>
      <c r="M419">
        <f>M413</f>
        <v/>
      </c>
      <c r="Q419">
        <f>IF(N(F423)&gt;0,1,0)</f>
        <v/>
      </c>
    </row>
    <row r="420">
      <c r="A420" s="26">
        <f>IF(38&lt;=NW,SAT1+265,"")</f>
        <v/>
      </c>
      <c r="B420" s="27">
        <f>IF(A420="","",CHOOSE(WEEKDAY(A420,1),"الأحد","الاثنين","الثلاثاء","الأربعاء","الخميس","الجمعة","السبت"))</f>
        <v/>
      </c>
      <c r="C420" s="22" t="n"/>
      <c r="D420" s="22" t="n"/>
      <c r="E420" s="23">
        <f>IF(OR(M420=0,K420="",L420=""),"",MOD(L420-K420,1))</f>
        <v/>
      </c>
      <c r="F420" s="24">
        <f>IF(OR(E420="",M420=0),"",IF(ROUND_MODE="للأعلى",CEILING(ROUND((E420*24*$N$413),3),0.25),ROUND((E420*24*$N$413)*4,0)/4))</f>
        <v/>
      </c>
      <c r="G420" s="22" t="n"/>
      <c r="H420" s="22" t="n"/>
      <c r="K420" s="25">
        <f>IF(OR(M420=0,C420=""),"",IF(ISNUMBER(C420),MOD(C420,1),IFERROR(INDEX('القوائم'!$B$1:$B$288,MATCH(TRIM(C420),'القوائم'!$A$1:$A$288,0)),IFERROR(MOD(TIMEVALUE(C420),1),""))))</f>
        <v/>
      </c>
      <c r="L420" s="25">
        <f>IF(OR(M420=0,D420=""),"",IF(ISNUMBER(D420),MOD(D420,1),IFERROR(INDEX('القوائم'!$B$1:$B$288,MATCH(TRIM(D420),'القوائم'!$A$1:$A$288,0)),IFERROR(MOD(TIMEVALUE(D420),1),""))))</f>
        <v/>
      </c>
      <c r="M420">
        <f>M413</f>
        <v/>
      </c>
      <c r="Q420">
        <f>IF(N(F423)&gt;0,1,0)</f>
        <v/>
      </c>
    </row>
    <row r="421">
      <c r="A421" s="28">
        <f>IF(M413=1,"مجموع أيام الأسبوع 38","")</f>
        <v/>
      </c>
      <c r="B421" s="28" t="n"/>
      <c r="C421" s="28" t="n"/>
      <c r="D421" s="28" t="n"/>
      <c r="E421" s="29">
        <f>IF(M413=1,SUM(E414:E420),"")</f>
        <v/>
      </c>
      <c r="F421" s="30">
        <f>IF(M413=1,SUM(F414:F420),"")</f>
        <v/>
      </c>
      <c r="G421" s="41">
        <f>IF(M413=1,SUMIFS(F414:F420,G414:G420,"نعم"),"")</f>
        <v/>
      </c>
      <c r="H421" s="28" t="n"/>
    </row>
    <row r="422" ht="32" customHeight="1">
      <c r="A422" s="28">
        <f>IF(M413=1,"ساعات تحميل الجبسمبورد بهالأسبوع (رقم: 2 أو 1.5) ←","")</f>
        <v/>
      </c>
      <c r="E422" s="31" t="n"/>
      <c r="F422" s="33">
        <f>IF(M413=1,N(F421)+IF(ROUND_MODE="للأعلى",CEILING(ROUND((N(E422)*($P$413-$N$413)),3),0.25),ROUND((N(E422)*($P$413-$N$413))*4,0)/4),"")</f>
        <v/>
      </c>
      <c r="G422" s="32">
        <f>IF(M413=1,"← المستحق النهائي للأسبوع (دينار) مع فرق الجبسمبورد","")</f>
        <v/>
      </c>
    </row>
    <row r="423" ht="26" customHeight="1">
      <c r="A423" s="28">
        <f>IF(M413=1,"إكرامية الأسبوع ←","")</f>
        <v/>
      </c>
      <c r="C423" s="35" t="n"/>
      <c r="D423" s="28">
        <f>IF(M413=1,"المدفوع يوم الجمعة (التسوية) ←","")</f>
        <v/>
      </c>
      <c r="F423" s="35" t="n"/>
      <c r="G423" s="36">
        <f>IF(M413=1,IF(N(F423)&gt;0,"✔ انقبض — الأسبوع مقفول","⏳ لسا ما انقبض"),"")</f>
        <v/>
      </c>
    </row>
    <row r="424" ht="26" customHeight="1">
      <c r="A424" s="40">
        <f>IF(39&lt;=NW,"الأسبوع 39 · السبت "&amp;TEXT(DAY(SAT1+266),"00")&amp;"/"&amp;TEXT(MONTH(SAT1+266),"00")&amp;" ← الجمعة "&amp;TEXT(DAY(SAT1+272),"00")&amp;"/"&amp;TEXT(MONTH(SAT1+272),"00")&amp;" (يوم القبض)"&amp;IF(39&lt;START_Z,"   — قبل أسبوع البداية (ما بينحسب)",""),"ما في أسبوع 39 هالسنة")</f>
        <v/>
      </c>
      <c r="L424" s="19">
        <f>IF(39&lt;=NW,SAT1+272,"")</f>
        <v/>
      </c>
      <c r="M424">
        <f>IF(AND(39&lt;=NW,39&gt;=START_Z),1,0)</f>
        <v/>
      </c>
      <c r="N424">
        <f>IFERROR(INDEX(RT_AZZ,MATCH(L424,RT_K,1)),INDEX(RT_AZZ,1))</f>
        <v/>
      </c>
      <c r="P424">
        <f>IFERROR(INDEX(RT_GYP,MATCH(L424,RT_K,1)),INDEX(RT_GYP,1))</f>
        <v/>
      </c>
    </row>
    <row r="425">
      <c r="A425" s="20">
        <f>IF(39&lt;=NW,SAT1+266,"")</f>
        <v/>
      </c>
      <c r="B425" s="21">
        <f>IF(A425="","",CHOOSE(WEEKDAY(A425,1),"الأحد","الاثنين","الثلاثاء","الأربعاء","الخميس","الجمعة","السبت"))</f>
        <v/>
      </c>
      <c r="C425" s="22" t="n"/>
      <c r="D425" s="22" t="n"/>
      <c r="E425" s="23">
        <f>IF(OR(M425=0,K425="",L425=""),"",MOD(L425-K425,1))</f>
        <v/>
      </c>
      <c r="F425" s="24">
        <f>IF(OR(E425="",M425=0),"",IF(ROUND_MODE="للأعلى",CEILING(ROUND((E425*24*$N$424),3),0.25),ROUND((E425*24*$N$424)*4,0)/4))</f>
        <v/>
      </c>
      <c r="G425" s="22" t="n"/>
      <c r="H425" s="22" t="n"/>
      <c r="K425" s="25">
        <f>IF(OR(M425=0,C425=""),"",IF(ISNUMBER(C425),MOD(C425,1),IFERROR(INDEX('القوائم'!$B$1:$B$288,MATCH(TRIM(C425),'القوائم'!$A$1:$A$288,0)),IFERROR(MOD(TIMEVALUE(C425),1),""))))</f>
        <v/>
      </c>
      <c r="L425" s="25">
        <f>IF(OR(M425=0,D425=""),"",IF(ISNUMBER(D425),MOD(D425,1),IFERROR(INDEX('القوائم'!$B$1:$B$288,MATCH(TRIM(D425),'القوائم'!$A$1:$A$288,0)),IFERROR(MOD(TIMEVALUE(D425),1),""))))</f>
        <v/>
      </c>
      <c r="M425">
        <f>M424</f>
        <v/>
      </c>
      <c r="Q425">
        <f>IF(N(F434)&gt;0,1,0)</f>
        <v/>
      </c>
    </row>
    <row r="426">
      <c r="A426" s="20">
        <f>IF(39&lt;=NW,SAT1+267,"")</f>
        <v/>
      </c>
      <c r="B426" s="21">
        <f>IF(A426="","",CHOOSE(WEEKDAY(A426,1),"الأحد","الاثنين","الثلاثاء","الأربعاء","الخميس","الجمعة","السبت"))</f>
        <v/>
      </c>
      <c r="C426" s="22" t="n"/>
      <c r="D426" s="22" t="n"/>
      <c r="E426" s="23">
        <f>IF(OR(M426=0,K426="",L426=""),"",MOD(L426-K426,1))</f>
        <v/>
      </c>
      <c r="F426" s="24">
        <f>IF(OR(E426="",M426=0),"",IF(ROUND_MODE="للأعلى",CEILING(ROUND((E426*24*$N$424),3),0.25),ROUND((E426*24*$N$424)*4,0)/4))</f>
        <v/>
      </c>
      <c r="G426" s="22" t="n"/>
      <c r="H426" s="22" t="n"/>
      <c r="K426" s="25">
        <f>IF(OR(M426=0,C426=""),"",IF(ISNUMBER(C426),MOD(C426,1),IFERROR(INDEX('القوائم'!$B$1:$B$288,MATCH(TRIM(C426),'القوائم'!$A$1:$A$288,0)),IFERROR(MOD(TIMEVALUE(C426),1),""))))</f>
        <v/>
      </c>
      <c r="L426" s="25">
        <f>IF(OR(M426=0,D426=""),"",IF(ISNUMBER(D426),MOD(D426,1),IFERROR(INDEX('القوائم'!$B$1:$B$288,MATCH(TRIM(D426),'القوائم'!$A$1:$A$288,0)),IFERROR(MOD(TIMEVALUE(D426),1),""))))</f>
        <v/>
      </c>
      <c r="M426">
        <f>M424</f>
        <v/>
      </c>
      <c r="Q426">
        <f>IF(N(F434)&gt;0,1,0)</f>
        <v/>
      </c>
    </row>
    <row r="427">
      <c r="A427" s="20">
        <f>IF(39&lt;=NW,SAT1+268,"")</f>
        <v/>
      </c>
      <c r="B427" s="21">
        <f>IF(A427="","",CHOOSE(WEEKDAY(A427,1),"الأحد","الاثنين","الثلاثاء","الأربعاء","الخميس","الجمعة","السبت"))</f>
        <v/>
      </c>
      <c r="C427" s="22" t="n"/>
      <c r="D427" s="22" t="n"/>
      <c r="E427" s="23">
        <f>IF(OR(M427=0,K427="",L427=""),"",MOD(L427-K427,1))</f>
        <v/>
      </c>
      <c r="F427" s="24">
        <f>IF(OR(E427="",M427=0),"",IF(ROUND_MODE="للأعلى",CEILING(ROUND((E427*24*$N$424),3),0.25),ROUND((E427*24*$N$424)*4,0)/4))</f>
        <v/>
      </c>
      <c r="G427" s="22" t="n"/>
      <c r="H427" s="22" t="n"/>
      <c r="K427" s="25">
        <f>IF(OR(M427=0,C427=""),"",IF(ISNUMBER(C427),MOD(C427,1),IFERROR(INDEX('القوائم'!$B$1:$B$288,MATCH(TRIM(C427),'القوائم'!$A$1:$A$288,0)),IFERROR(MOD(TIMEVALUE(C427),1),""))))</f>
        <v/>
      </c>
      <c r="L427" s="25">
        <f>IF(OR(M427=0,D427=""),"",IF(ISNUMBER(D427),MOD(D427,1),IFERROR(INDEX('القوائم'!$B$1:$B$288,MATCH(TRIM(D427),'القوائم'!$A$1:$A$288,0)),IFERROR(MOD(TIMEVALUE(D427),1),""))))</f>
        <v/>
      </c>
      <c r="M427">
        <f>M424</f>
        <v/>
      </c>
      <c r="Q427">
        <f>IF(N(F434)&gt;0,1,0)</f>
        <v/>
      </c>
    </row>
    <row r="428">
      <c r="A428" s="20">
        <f>IF(39&lt;=NW,SAT1+269,"")</f>
        <v/>
      </c>
      <c r="B428" s="21">
        <f>IF(A428="","",CHOOSE(WEEKDAY(A428,1),"الأحد","الاثنين","الثلاثاء","الأربعاء","الخميس","الجمعة","السبت"))</f>
        <v/>
      </c>
      <c r="C428" s="22" t="n"/>
      <c r="D428" s="22" t="n"/>
      <c r="E428" s="23">
        <f>IF(OR(M428=0,K428="",L428=""),"",MOD(L428-K428,1))</f>
        <v/>
      </c>
      <c r="F428" s="24">
        <f>IF(OR(E428="",M428=0),"",IF(ROUND_MODE="للأعلى",CEILING(ROUND((E428*24*$N$424),3),0.25),ROUND((E428*24*$N$424)*4,0)/4))</f>
        <v/>
      </c>
      <c r="G428" s="22" t="n"/>
      <c r="H428" s="22" t="n"/>
      <c r="K428" s="25">
        <f>IF(OR(M428=0,C428=""),"",IF(ISNUMBER(C428),MOD(C428,1),IFERROR(INDEX('القوائم'!$B$1:$B$288,MATCH(TRIM(C428),'القوائم'!$A$1:$A$288,0)),IFERROR(MOD(TIMEVALUE(C428),1),""))))</f>
        <v/>
      </c>
      <c r="L428" s="25">
        <f>IF(OR(M428=0,D428=""),"",IF(ISNUMBER(D428),MOD(D428,1),IFERROR(INDEX('القوائم'!$B$1:$B$288,MATCH(TRIM(D428),'القوائم'!$A$1:$A$288,0)),IFERROR(MOD(TIMEVALUE(D428),1),""))))</f>
        <v/>
      </c>
      <c r="M428">
        <f>M424</f>
        <v/>
      </c>
      <c r="Q428">
        <f>IF(N(F434)&gt;0,1,0)</f>
        <v/>
      </c>
    </row>
    <row r="429">
      <c r="A429" s="20">
        <f>IF(39&lt;=NW,SAT1+270,"")</f>
        <v/>
      </c>
      <c r="B429" s="21">
        <f>IF(A429="","",CHOOSE(WEEKDAY(A429,1),"الأحد","الاثنين","الثلاثاء","الأربعاء","الخميس","الجمعة","السبت"))</f>
        <v/>
      </c>
      <c r="C429" s="22" t="n"/>
      <c r="D429" s="22" t="n"/>
      <c r="E429" s="23">
        <f>IF(OR(M429=0,K429="",L429=""),"",MOD(L429-K429,1))</f>
        <v/>
      </c>
      <c r="F429" s="24">
        <f>IF(OR(E429="",M429=0),"",IF(ROUND_MODE="للأعلى",CEILING(ROUND((E429*24*$N$424),3),0.25),ROUND((E429*24*$N$424)*4,0)/4))</f>
        <v/>
      </c>
      <c r="G429" s="22" t="n"/>
      <c r="H429" s="22" t="n"/>
      <c r="K429" s="25">
        <f>IF(OR(M429=0,C429=""),"",IF(ISNUMBER(C429),MOD(C429,1),IFERROR(INDEX('القوائم'!$B$1:$B$288,MATCH(TRIM(C429),'القوائم'!$A$1:$A$288,0)),IFERROR(MOD(TIMEVALUE(C429),1),""))))</f>
        <v/>
      </c>
      <c r="L429" s="25">
        <f>IF(OR(M429=0,D429=""),"",IF(ISNUMBER(D429),MOD(D429,1),IFERROR(INDEX('القوائم'!$B$1:$B$288,MATCH(TRIM(D429),'القوائم'!$A$1:$A$288,0)),IFERROR(MOD(TIMEVALUE(D429),1),""))))</f>
        <v/>
      </c>
      <c r="M429">
        <f>M424</f>
        <v/>
      </c>
      <c r="Q429">
        <f>IF(N(F434)&gt;0,1,0)</f>
        <v/>
      </c>
    </row>
    <row r="430">
      <c r="A430" s="20">
        <f>IF(39&lt;=NW,SAT1+271,"")</f>
        <v/>
      </c>
      <c r="B430" s="21">
        <f>IF(A430="","",CHOOSE(WEEKDAY(A430,1),"الأحد","الاثنين","الثلاثاء","الأربعاء","الخميس","الجمعة","السبت"))</f>
        <v/>
      </c>
      <c r="C430" s="22" t="n"/>
      <c r="D430" s="22" t="n"/>
      <c r="E430" s="23">
        <f>IF(OR(M430=0,K430="",L430=""),"",MOD(L430-K430,1))</f>
        <v/>
      </c>
      <c r="F430" s="24">
        <f>IF(OR(E430="",M430=0),"",IF(ROUND_MODE="للأعلى",CEILING(ROUND((E430*24*$N$424),3),0.25),ROUND((E430*24*$N$424)*4,0)/4))</f>
        <v/>
      </c>
      <c r="G430" s="22" t="n"/>
      <c r="H430" s="22" t="n"/>
      <c r="K430" s="25">
        <f>IF(OR(M430=0,C430=""),"",IF(ISNUMBER(C430),MOD(C430,1),IFERROR(INDEX('القوائم'!$B$1:$B$288,MATCH(TRIM(C430),'القوائم'!$A$1:$A$288,0)),IFERROR(MOD(TIMEVALUE(C430),1),""))))</f>
        <v/>
      </c>
      <c r="L430" s="25">
        <f>IF(OR(M430=0,D430=""),"",IF(ISNUMBER(D430),MOD(D430,1),IFERROR(INDEX('القوائم'!$B$1:$B$288,MATCH(TRIM(D430),'القوائم'!$A$1:$A$288,0)),IFERROR(MOD(TIMEVALUE(D430),1),""))))</f>
        <v/>
      </c>
      <c r="M430">
        <f>M424</f>
        <v/>
      </c>
      <c r="Q430">
        <f>IF(N(F434)&gt;0,1,0)</f>
        <v/>
      </c>
    </row>
    <row r="431">
      <c r="A431" s="26">
        <f>IF(39&lt;=NW,SAT1+272,"")</f>
        <v/>
      </c>
      <c r="B431" s="27">
        <f>IF(A431="","",CHOOSE(WEEKDAY(A431,1),"الأحد","الاثنين","الثلاثاء","الأربعاء","الخميس","الجمعة","السبت"))</f>
        <v/>
      </c>
      <c r="C431" s="22" t="n"/>
      <c r="D431" s="22" t="n"/>
      <c r="E431" s="23">
        <f>IF(OR(M431=0,K431="",L431=""),"",MOD(L431-K431,1))</f>
        <v/>
      </c>
      <c r="F431" s="24">
        <f>IF(OR(E431="",M431=0),"",IF(ROUND_MODE="للأعلى",CEILING(ROUND((E431*24*$N$424),3),0.25),ROUND((E431*24*$N$424)*4,0)/4))</f>
        <v/>
      </c>
      <c r="G431" s="22" t="n"/>
      <c r="H431" s="22" t="n"/>
      <c r="K431" s="25">
        <f>IF(OR(M431=0,C431=""),"",IF(ISNUMBER(C431),MOD(C431,1),IFERROR(INDEX('القوائم'!$B$1:$B$288,MATCH(TRIM(C431),'القوائم'!$A$1:$A$288,0)),IFERROR(MOD(TIMEVALUE(C431),1),""))))</f>
        <v/>
      </c>
      <c r="L431" s="25">
        <f>IF(OR(M431=0,D431=""),"",IF(ISNUMBER(D431),MOD(D431,1),IFERROR(INDEX('القوائم'!$B$1:$B$288,MATCH(TRIM(D431),'القوائم'!$A$1:$A$288,0)),IFERROR(MOD(TIMEVALUE(D431),1),""))))</f>
        <v/>
      </c>
      <c r="M431">
        <f>M424</f>
        <v/>
      </c>
      <c r="Q431">
        <f>IF(N(F434)&gt;0,1,0)</f>
        <v/>
      </c>
    </row>
    <row r="432">
      <c r="A432" s="28">
        <f>IF(M424=1,"مجموع أيام الأسبوع 39","")</f>
        <v/>
      </c>
      <c r="B432" s="28" t="n"/>
      <c r="C432" s="28" t="n"/>
      <c r="D432" s="28" t="n"/>
      <c r="E432" s="29">
        <f>IF(M424=1,SUM(E425:E431),"")</f>
        <v/>
      </c>
      <c r="F432" s="30">
        <f>IF(M424=1,SUM(F425:F431),"")</f>
        <v/>
      </c>
      <c r="G432" s="41">
        <f>IF(M424=1,SUMIFS(F425:F431,G425:G431,"نعم"),"")</f>
        <v/>
      </c>
      <c r="H432" s="28" t="n"/>
    </row>
    <row r="433" ht="32" customHeight="1">
      <c r="A433" s="28">
        <f>IF(M424=1,"ساعات تحميل الجبسمبورد بهالأسبوع (رقم: 2 أو 1.5) ←","")</f>
        <v/>
      </c>
      <c r="E433" s="31" t="n"/>
      <c r="F433" s="33">
        <f>IF(M424=1,N(F432)+IF(ROUND_MODE="للأعلى",CEILING(ROUND((N(E433)*($P$424-$N$424)),3),0.25),ROUND((N(E433)*($P$424-$N$424))*4,0)/4),"")</f>
        <v/>
      </c>
      <c r="G433" s="32">
        <f>IF(M424=1,"← المستحق النهائي للأسبوع (دينار) مع فرق الجبسمبورد","")</f>
        <v/>
      </c>
    </row>
    <row r="434" ht="26" customHeight="1">
      <c r="A434" s="28">
        <f>IF(M424=1,"إكرامية الأسبوع ←","")</f>
        <v/>
      </c>
      <c r="C434" s="35" t="n"/>
      <c r="D434" s="28">
        <f>IF(M424=1,"المدفوع يوم الجمعة (التسوية) ←","")</f>
        <v/>
      </c>
      <c r="F434" s="35" t="n"/>
      <c r="G434" s="36">
        <f>IF(M424=1,IF(N(F434)&gt;0,"✔ انقبض — الأسبوع مقفول","⏳ لسا ما انقبض"),"")</f>
        <v/>
      </c>
    </row>
    <row r="435" ht="26" customHeight="1">
      <c r="A435" s="40">
        <f>IF(40&lt;=NW,"الأسبوع 40 · السبت "&amp;TEXT(DAY(SAT1+273),"00")&amp;"/"&amp;TEXT(MONTH(SAT1+273),"00")&amp;" ← الجمعة "&amp;TEXT(DAY(SAT1+279),"00")&amp;"/"&amp;TEXT(MONTH(SAT1+279),"00")&amp;" (يوم القبض)"&amp;IF(40&lt;START_Z,"   — قبل أسبوع البداية (ما بينحسب)",""),"ما في أسبوع 40 هالسنة")</f>
        <v/>
      </c>
      <c r="L435" s="19">
        <f>IF(40&lt;=NW,SAT1+279,"")</f>
        <v/>
      </c>
      <c r="M435">
        <f>IF(AND(40&lt;=NW,40&gt;=START_Z),1,0)</f>
        <v/>
      </c>
      <c r="N435">
        <f>IFERROR(INDEX(RT_AZZ,MATCH(L435,RT_K,1)),INDEX(RT_AZZ,1))</f>
        <v/>
      </c>
      <c r="P435">
        <f>IFERROR(INDEX(RT_GYP,MATCH(L435,RT_K,1)),INDEX(RT_GYP,1))</f>
        <v/>
      </c>
    </row>
    <row r="436">
      <c r="A436" s="20">
        <f>IF(40&lt;=NW,SAT1+273,"")</f>
        <v/>
      </c>
      <c r="B436" s="21">
        <f>IF(A436="","",CHOOSE(WEEKDAY(A436,1),"الأحد","الاثنين","الثلاثاء","الأربعاء","الخميس","الجمعة","السبت"))</f>
        <v/>
      </c>
      <c r="C436" s="22" t="n"/>
      <c r="D436" s="22" t="n"/>
      <c r="E436" s="23">
        <f>IF(OR(M436=0,K436="",L436=""),"",MOD(L436-K436,1))</f>
        <v/>
      </c>
      <c r="F436" s="24">
        <f>IF(OR(E436="",M436=0),"",IF(ROUND_MODE="للأعلى",CEILING(ROUND((E436*24*$N$435),3),0.25),ROUND((E436*24*$N$435)*4,0)/4))</f>
        <v/>
      </c>
      <c r="G436" s="22" t="n"/>
      <c r="H436" s="22" t="n"/>
      <c r="K436" s="25">
        <f>IF(OR(M436=0,C436=""),"",IF(ISNUMBER(C436),MOD(C436,1),IFERROR(INDEX('القوائم'!$B$1:$B$288,MATCH(TRIM(C436),'القوائم'!$A$1:$A$288,0)),IFERROR(MOD(TIMEVALUE(C436),1),""))))</f>
        <v/>
      </c>
      <c r="L436" s="25">
        <f>IF(OR(M436=0,D436=""),"",IF(ISNUMBER(D436),MOD(D436,1),IFERROR(INDEX('القوائم'!$B$1:$B$288,MATCH(TRIM(D436),'القوائم'!$A$1:$A$288,0)),IFERROR(MOD(TIMEVALUE(D436),1),""))))</f>
        <v/>
      </c>
      <c r="M436">
        <f>M435</f>
        <v/>
      </c>
      <c r="Q436">
        <f>IF(N(F445)&gt;0,1,0)</f>
        <v/>
      </c>
    </row>
    <row r="437">
      <c r="A437" s="20">
        <f>IF(40&lt;=NW,SAT1+274,"")</f>
        <v/>
      </c>
      <c r="B437" s="21">
        <f>IF(A437="","",CHOOSE(WEEKDAY(A437,1),"الأحد","الاثنين","الثلاثاء","الأربعاء","الخميس","الجمعة","السبت"))</f>
        <v/>
      </c>
      <c r="C437" s="22" t="n"/>
      <c r="D437" s="22" t="n"/>
      <c r="E437" s="23">
        <f>IF(OR(M437=0,K437="",L437=""),"",MOD(L437-K437,1))</f>
        <v/>
      </c>
      <c r="F437" s="24">
        <f>IF(OR(E437="",M437=0),"",IF(ROUND_MODE="للأعلى",CEILING(ROUND((E437*24*$N$435),3),0.25),ROUND((E437*24*$N$435)*4,0)/4))</f>
        <v/>
      </c>
      <c r="G437" s="22" t="n"/>
      <c r="H437" s="22" t="n"/>
      <c r="K437" s="25">
        <f>IF(OR(M437=0,C437=""),"",IF(ISNUMBER(C437),MOD(C437,1),IFERROR(INDEX('القوائم'!$B$1:$B$288,MATCH(TRIM(C437),'القوائم'!$A$1:$A$288,0)),IFERROR(MOD(TIMEVALUE(C437),1),""))))</f>
        <v/>
      </c>
      <c r="L437" s="25">
        <f>IF(OR(M437=0,D437=""),"",IF(ISNUMBER(D437),MOD(D437,1),IFERROR(INDEX('القوائم'!$B$1:$B$288,MATCH(TRIM(D437),'القوائم'!$A$1:$A$288,0)),IFERROR(MOD(TIMEVALUE(D437),1),""))))</f>
        <v/>
      </c>
      <c r="M437">
        <f>M435</f>
        <v/>
      </c>
      <c r="Q437">
        <f>IF(N(F445)&gt;0,1,0)</f>
        <v/>
      </c>
    </row>
    <row r="438">
      <c r="A438" s="20">
        <f>IF(40&lt;=NW,SAT1+275,"")</f>
        <v/>
      </c>
      <c r="B438" s="21">
        <f>IF(A438="","",CHOOSE(WEEKDAY(A438,1),"الأحد","الاثنين","الثلاثاء","الأربعاء","الخميس","الجمعة","السبت"))</f>
        <v/>
      </c>
      <c r="C438" s="22" t="n"/>
      <c r="D438" s="22" t="n"/>
      <c r="E438" s="23">
        <f>IF(OR(M438=0,K438="",L438=""),"",MOD(L438-K438,1))</f>
        <v/>
      </c>
      <c r="F438" s="24">
        <f>IF(OR(E438="",M438=0),"",IF(ROUND_MODE="للأعلى",CEILING(ROUND((E438*24*$N$435),3),0.25),ROUND((E438*24*$N$435)*4,0)/4))</f>
        <v/>
      </c>
      <c r="G438" s="22" t="n"/>
      <c r="H438" s="22" t="n"/>
      <c r="K438" s="25">
        <f>IF(OR(M438=0,C438=""),"",IF(ISNUMBER(C438),MOD(C438,1),IFERROR(INDEX('القوائم'!$B$1:$B$288,MATCH(TRIM(C438),'القوائم'!$A$1:$A$288,0)),IFERROR(MOD(TIMEVALUE(C438),1),""))))</f>
        <v/>
      </c>
      <c r="L438" s="25">
        <f>IF(OR(M438=0,D438=""),"",IF(ISNUMBER(D438),MOD(D438,1),IFERROR(INDEX('القوائم'!$B$1:$B$288,MATCH(TRIM(D438),'القوائم'!$A$1:$A$288,0)),IFERROR(MOD(TIMEVALUE(D438),1),""))))</f>
        <v/>
      </c>
      <c r="M438">
        <f>M435</f>
        <v/>
      </c>
      <c r="Q438">
        <f>IF(N(F445)&gt;0,1,0)</f>
        <v/>
      </c>
    </row>
    <row r="439">
      <c r="A439" s="20">
        <f>IF(40&lt;=NW,SAT1+276,"")</f>
        <v/>
      </c>
      <c r="B439" s="21">
        <f>IF(A439="","",CHOOSE(WEEKDAY(A439,1),"الأحد","الاثنين","الثلاثاء","الأربعاء","الخميس","الجمعة","السبت"))</f>
        <v/>
      </c>
      <c r="C439" s="22" t="n"/>
      <c r="D439" s="22" t="n"/>
      <c r="E439" s="23">
        <f>IF(OR(M439=0,K439="",L439=""),"",MOD(L439-K439,1))</f>
        <v/>
      </c>
      <c r="F439" s="24">
        <f>IF(OR(E439="",M439=0),"",IF(ROUND_MODE="للأعلى",CEILING(ROUND((E439*24*$N$435),3),0.25),ROUND((E439*24*$N$435)*4,0)/4))</f>
        <v/>
      </c>
      <c r="G439" s="22" t="n"/>
      <c r="H439" s="22" t="n"/>
      <c r="K439" s="25">
        <f>IF(OR(M439=0,C439=""),"",IF(ISNUMBER(C439),MOD(C439,1),IFERROR(INDEX('القوائم'!$B$1:$B$288,MATCH(TRIM(C439),'القوائم'!$A$1:$A$288,0)),IFERROR(MOD(TIMEVALUE(C439),1),""))))</f>
        <v/>
      </c>
      <c r="L439" s="25">
        <f>IF(OR(M439=0,D439=""),"",IF(ISNUMBER(D439),MOD(D439,1),IFERROR(INDEX('القوائم'!$B$1:$B$288,MATCH(TRIM(D439),'القوائم'!$A$1:$A$288,0)),IFERROR(MOD(TIMEVALUE(D439),1),""))))</f>
        <v/>
      </c>
      <c r="M439">
        <f>M435</f>
        <v/>
      </c>
      <c r="Q439">
        <f>IF(N(F445)&gt;0,1,0)</f>
        <v/>
      </c>
    </row>
    <row r="440">
      <c r="A440" s="20">
        <f>IF(40&lt;=NW,SAT1+277,"")</f>
        <v/>
      </c>
      <c r="B440" s="21">
        <f>IF(A440="","",CHOOSE(WEEKDAY(A440,1),"الأحد","الاثنين","الثلاثاء","الأربعاء","الخميس","الجمعة","السبت"))</f>
        <v/>
      </c>
      <c r="C440" s="22" t="n"/>
      <c r="D440" s="22" t="n"/>
      <c r="E440" s="23">
        <f>IF(OR(M440=0,K440="",L440=""),"",MOD(L440-K440,1))</f>
        <v/>
      </c>
      <c r="F440" s="24">
        <f>IF(OR(E440="",M440=0),"",IF(ROUND_MODE="للأعلى",CEILING(ROUND((E440*24*$N$435),3),0.25),ROUND((E440*24*$N$435)*4,0)/4))</f>
        <v/>
      </c>
      <c r="G440" s="22" t="n"/>
      <c r="H440" s="22" t="n"/>
      <c r="K440" s="25">
        <f>IF(OR(M440=0,C440=""),"",IF(ISNUMBER(C440),MOD(C440,1),IFERROR(INDEX('القوائم'!$B$1:$B$288,MATCH(TRIM(C440),'القوائم'!$A$1:$A$288,0)),IFERROR(MOD(TIMEVALUE(C440),1),""))))</f>
        <v/>
      </c>
      <c r="L440" s="25">
        <f>IF(OR(M440=0,D440=""),"",IF(ISNUMBER(D440),MOD(D440,1),IFERROR(INDEX('القوائم'!$B$1:$B$288,MATCH(TRIM(D440),'القوائم'!$A$1:$A$288,0)),IFERROR(MOD(TIMEVALUE(D440),1),""))))</f>
        <v/>
      </c>
      <c r="M440">
        <f>M435</f>
        <v/>
      </c>
      <c r="Q440">
        <f>IF(N(F445)&gt;0,1,0)</f>
        <v/>
      </c>
    </row>
    <row r="441">
      <c r="A441" s="20">
        <f>IF(40&lt;=NW,SAT1+278,"")</f>
        <v/>
      </c>
      <c r="B441" s="21">
        <f>IF(A441="","",CHOOSE(WEEKDAY(A441,1),"الأحد","الاثنين","الثلاثاء","الأربعاء","الخميس","الجمعة","السبت"))</f>
        <v/>
      </c>
      <c r="C441" s="22" t="n"/>
      <c r="D441" s="22" t="n"/>
      <c r="E441" s="23">
        <f>IF(OR(M441=0,K441="",L441=""),"",MOD(L441-K441,1))</f>
        <v/>
      </c>
      <c r="F441" s="24">
        <f>IF(OR(E441="",M441=0),"",IF(ROUND_MODE="للأعلى",CEILING(ROUND((E441*24*$N$435),3),0.25),ROUND((E441*24*$N$435)*4,0)/4))</f>
        <v/>
      </c>
      <c r="G441" s="22" t="n"/>
      <c r="H441" s="22" t="n"/>
      <c r="K441" s="25">
        <f>IF(OR(M441=0,C441=""),"",IF(ISNUMBER(C441),MOD(C441,1),IFERROR(INDEX('القوائم'!$B$1:$B$288,MATCH(TRIM(C441),'القوائم'!$A$1:$A$288,0)),IFERROR(MOD(TIMEVALUE(C441),1),""))))</f>
        <v/>
      </c>
      <c r="L441" s="25">
        <f>IF(OR(M441=0,D441=""),"",IF(ISNUMBER(D441),MOD(D441,1),IFERROR(INDEX('القوائم'!$B$1:$B$288,MATCH(TRIM(D441),'القوائم'!$A$1:$A$288,0)),IFERROR(MOD(TIMEVALUE(D441),1),""))))</f>
        <v/>
      </c>
      <c r="M441">
        <f>M435</f>
        <v/>
      </c>
      <c r="Q441">
        <f>IF(N(F445)&gt;0,1,0)</f>
        <v/>
      </c>
    </row>
    <row r="442">
      <c r="A442" s="26">
        <f>IF(40&lt;=NW,SAT1+279,"")</f>
        <v/>
      </c>
      <c r="B442" s="27">
        <f>IF(A442="","",CHOOSE(WEEKDAY(A442,1),"الأحد","الاثنين","الثلاثاء","الأربعاء","الخميس","الجمعة","السبت"))</f>
        <v/>
      </c>
      <c r="C442" s="22" t="n"/>
      <c r="D442" s="22" t="n"/>
      <c r="E442" s="23">
        <f>IF(OR(M442=0,K442="",L442=""),"",MOD(L442-K442,1))</f>
        <v/>
      </c>
      <c r="F442" s="24">
        <f>IF(OR(E442="",M442=0),"",IF(ROUND_MODE="للأعلى",CEILING(ROUND((E442*24*$N$435),3),0.25),ROUND((E442*24*$N$435)*4,0)/4))</f>
        <v/>
      </c>
      <c r="G442" s="22" t="n"/>
      <c r="H442" s="22" t="n"/>
      <c r="K442" s="25">
        <f>IF(OR(M442=0,C442=""),"",IF(ISNUMBER(C442),MOD(C442,1),IFERROR(INDEX('القوائم'!$B$1:$B$288,MATCH(TRIM(C442),'القوائم'!$A$1:$A$288,0)),IFERROR(MOD(TIMEVALUE(C442),1),""))))</f>
        <v/>
      </c>
      <c r="L442" s="25">
        <f>IF(OR(M442=0,D442=""),"",IF(ISNUMBER(D442),MOD(D442,1),IFERROR(INDEX('القوائم'!$B$1:$B$288,MATCH(TRIM(D442),'القوائم'!$A$1:$A$288,0)),IFERROR(MOD(TIMEVALUE(D442),1),""))))</f>
        <v/>
      </c>
      <c r="M442">
        <f>M435</f>
        <v/>
      </c>
      <c r="Q442">
        <f>IF(N(F445)&gt;0,1,0)</f>
        <v/>
      </c>
    </row>
    <row r="443">
      <c r="A443" s="28">
        <f>IF(M435=1,"مجموع أيام الأسبوع 40","")</f>
        <v/>
      </c>
      <c r="B443" s="28" t="n"/>
      <c r="C443" s="28" t="n"/>
      <c r="D443" s="28" t="n"/>
      <c r="E443" s="29">
        <f>IF(M435=1,SUM(E436:E442),"")</f>
        <v/>
      </c>
      <c r="F443" s="30">
        <f>IF(M435=1,SUM(F436:F442),"")</f>
        <v/>
      </c>
      <c r="G443" s="41">
        <f>IF(M435=1,SUMIFS(F436:F442,G436:G442,"نعم"),"")</f>
        <v/>
      </c>
      <c r="H443" s="28" t="n"/>
    </row>
    <row r="444" ht="32" customHeight="1">
      <c r="A444" s="28">
        <f>IF(M435=1,"ساعات تحميل الجبسمبورد بهالأسبوع (رقم: 2 أو 1.5) ←","")</f>
        <v/>
      </c>
      <c r="E444" s="31" t="n"/>
      <c r="F444" s="33">
        <f>IF(M435=1,N(F443)+IF(ROUND_MODE="للأعلى",CEILING(ROUND((N(E444)*($P$435-$N$435)),3),0.25),ROUND((N(E444)*($P$435-$N$435))*4,0)/4),"")</f>
        <v/>
      </c>
      <c r="G444" s="32">
        <f>IF(M435=1,"← المستحق النهائي للأسبوع (دينار) مع فرق الجبسمبورد","")</f>
        <v/>
      </c>
    </row>
    <row r="445" ht="26" customHeight="1">
      <c r="A445" s="28">
        <f>IF(M435=1,"إكرامية الأسبوع ←","")</f>
        <v/>
      </c>
      <c r="C445" s="35" t="n"/>
      <c r="D445" s="28">
        <f>IF(M435=1,"المدفوع يوم الجمعة (التسوية) ←","")</f>
        <v/>
      </c>
      <c r="F445" s="35" t="n"/>
      <c r="G445" s="36">
        <f>IF(M435=1,IF(N(F445)&gt;0,"✔ انقبض — الأسبوع مقفول","⏳ لسا ما انقبض"),"")</f>
        <v/>
      </c>
    </row>
    <row r="446" ht="26" customHeight="1">
      <c r="A446" s="40">
        <f>IF(41&lt;=NW,"الأسبوع 41 · السبت "&amp;TEXT(DAY(SAT1+280),"00")&amp;"/"&amp;TEXT(MONTH(SAT1+280),"00")&amp;" ← الجمعة "&amp;TEXT(DAY(SAT1+286),"00")&amp;"/"&amp;TEXT(MONTH(SAT1+286),"00")&amp;" (يوم القبض)"&amp;IF(41&lt;START_Z,"   — قبل أسبوع البداية (ما بينحسب)",""),"ما في أسبوع 41 هالسنة")</f>
        <v/>
      </c>
      <c r="L446" s="19">
        <f>IF(41&lt;=NW,SAT1+286,"")</f>
        <v/>
      </c>
      <c r="M446">
        <f>IF(AND(41&lt;=NW,41&gt;=START_Z),1,0)</f>
        <v/>
      </c>
      <c r="N446">
        <f>IFERROR(INDEX(RT_AZZ,MATCH(L446,RT_K,1)),INDEX(RT_AZZ,1))</f>
        <v/>
      </c>
      <c r="P446">
        <f>IFERROR(INDEX(RT_GYP,MATCH(L446,RT_K,1)),INDEX(RT_GYP,1))</f>
        <v/>
      </c>
    </row>
    <row r="447">
      <c r="A447" s="20">
        <f>IF(41&lt;=NW,SAT1+280,"")</f>
        <v/>
      </c>
      <c r="B447" s="21">
        <f>IF(A447="","",CHOOSE(WEEKDAY(A447,1),"الأحد","الاثنين","الثلاثاء","الأربعاء","الخميس","الجمعة","السبت"))</f>
        <v/>
      </c>
      <c r="C447" s="22" t="n"/>
      <c r="D447" s="22" t="n"/>
      <c r="E447" s="23">
        <f>IF(OR(M447=0,K447="",L447=""),"",MOD(L447-K447,1))</f>
        <v/>
      </c>
      <c r="F447" s="24">
        <f>IF(OR(E447="",M447=0),"",IF(ROUND_MODE="للأعلى",CEILING(ROUND((E447*24*$N$446),3),0.25),ROUND((E447*24*$N$446)*4,0)/4))</f>
        <v/>
      </c>
      <c r="G447" s="22" t="n"/>
      <c r="H447" s="22" t="n"/>
      <c r="K447" s="25">
        <f>IF(OR(M447=0,C447=""),"",IF(ISNUMBER(C447),MOD(C447,1),IFERROR(INDEX('القوائم'!$B$1:$B$288,MATCH(TRIM(C447),'القوائم'!$A$1:$A$288,0)),IFERROR(MOD(TIMEVALUE(C447),1),""))))</f>
        <v/>
      </c>
      <c r="L447" s="25">
        <f>IF(OR(M447=0,D447=""),"",IF(ISNUMBER(D447),MOD(D447,1),IFERROR(INDEX('القوائم'!$B$1:$B$288,MATCH(TRIM(D447),'القوائم'!$A$1:$A$288,0)),IFERROR(MOD(TIMEVALUE(D447),1),""))))</f>
        <v/>
      </c>
      <c r="M447">
        <f>M446</f>
        <v/>
      </c>
      <c r="Q447">
        <f>IF(N(F456)&gt;0,1,0)</f>
        <v/>
      </c>
    </row>
    <row r="448">
      <c r="A448" s="20">
        <f>IF(41&lt;=NW,SAT1+281,"")</f>
        <v/>
      </c>
      <c r="B448" s="21">
        <f>IF(A448="","",CHOOSE(WEEKDAY(A448,1),"الأحد","الاثنين","الثلاثاء","الأربعاء","الخميس","الجمعة","السبت"))</f>
        <v/>
      </c>
      <c r="C448" s="22" t="n"/>
      <c r="D448" s="22" t="n"/>
      <c r="E448" s="23">
        <f>IF(OR(M448=0,K448="",L448=""),"",MOD(L448-K448,1))</f>
        <v/>
      </c>
      <c r="F448" s="24">
        <f>IF(OR(E448="",M448=0),"",IF(ROUND_MODE="للأعلى",CEILING(ROUND((E448*24*$N$446),3),0.25),ROUND((E448*24*$N$446)*4,0)/4))</f>
        <v/>
      </c>
      <c r="G448" s="22" t="n"/>
      <c r="H448" s="22" t="n"/>
      <c r="K448" s="25">
        <f>IF(OR(M448=0,C448=""),"",IF(ISNUMBER(C448),MOD(C448,1),IFERROR(INDEX('القوائم'!$B$1:$B$288,MATCH(TRIM(C448),'القوائم'!$A$1:$A$288,0)),IFERROR(MOD(TIMEVALUE(C448),1),""))))</f>
        <v/>
      </c>
      <c r="L448" s="25">
        <f>IF(OR(M448=0,D448=""),"",IF(ISNUMBER(D448),MOD(D448,1),IFERROR(INDEX('القوائم'!$B$1:$B$288,MATCH(TRIM(D448),'القوائم'!$A$1:$A$288,0)),IFERROR(MOD(TIMEVALUE(D448),1),""))))</f>
        <v/>
      </c>
      <c r="M448">
        <f>M446</f>
        <v/>
      </c>
      <c r="Q448">
        <f>IF(N(F456)&gt;0,1,0)</f>
        <v/>
      </c>
    </row>
    <row r="449">
      <c r="A449" s="20">
        <f>IF(41&lt;=NW,SAT1+282,"")</f>
        <v/>
      </c>
      <c r="B449" s="21">
        <f>IF(A449="","",CHOOSE(WEEKDAY(A449,1),"الأحد","الاثنين","الثلاثاء","الأربعاء","الخميس","الجمعة","السبت"))</f>
        <v/>
      </c>
      <c r="C449" s="22" t="n"/>
      <c r="D449" s="22" t="n"/>
      <c r="E449" s="23">
        <f>IF(OR(M449=0,K449="",L449=""),"",MOD(L449-K449,1))</f>
        <v/>
      </c>
      <c r="F449" s="24">
        <f>IF(OR(E449="",M449=0),"",IF(ROUND_MODE="للأعلى",CEILING(ROUND((E449*24*$N$446),3),0.25),ROUND((E449*24*$N$446)*4,0)/4))</f>
        <v/>
      </c>
      <c r="G449" s="22" t="n"/>
      <c r="H449" s="22" t="n"/>
      <c r="K449" s="25">
        <f>IF(OR(M449=0,C449=""),"",IF(ISNUMBER(C449),MOD(C449,1),IFERROR(INDEX('القوائم'!$B$1:$B$288,MATCH(TRIM(C449),'القوائم'!$A$1:$A$288,0)),IFERROR(MOD(TIMEVALUE(C449),1),""))))</f>
        <v/>
      </c>
      <c r="L449" s="25">
        <f>IF(OR(M449=0,D449=""),"",IF(ISNUMBER(D449),MOD(D449,1),IFERROR(INDEX('القوائم'!$B$1:$B$288,MATCH(TRIM(D449),'القوائم'!$A$1:$A$288,0)),IFERROR(MOD(TIMEVALUE(D449),1),""))))</f>
        <v/>
      </c>
      <c r="M449">
        <f>M446</f>
        <v/>
      </c>
      <c r="Q449">
        <f>IF(N(F456)&gt;0,1,0)</f>
        <v/>
      </c>
    </row>
    <row r="450">
      <c r="A450" s="20">
        <f>IF(41&lt;=NW,SAT1+283,"")</f>
        <v/>
      </c>
      <c r="B450" s="21">
        <f>IF(A450="","",CHOOSE(WEEKDAY(A450,1),"الأحد","الاثنين","الثلاثاء","الأربعاء","الخميس","الجمعة","السبت"))</f>
        <v/>
      </c>
      <c r="C450" s="22" t="n"/>
      <c r="D450" s="22" t="n"/>
      <c r="E450" s="23">
        <f>IF(OR(M450=0,K450="",L450=""),"",MOD(L450-K450,1))</f>
        <v/>
      </c>
      <c r="F450" s="24">
        <f>IF(OR(E450="",M450=0),"",IF(ROUND_MODE="للأعلى",CEILING(ROUND((E450*24*$N$446),3),0.25),ROUND((E450*24*$N$446)*4,0)/4))</f>
        <v/>
      </c>
      <c r="G450" s="22" t="n"/>
      <c r="H450" s="22" t="n"/>
      <c r="K450" s="25">
        <f>IF(OR(M450=0,C450=""),"",IF(ISNUMBER(C450),MOD(C450,1),IFERROR(INDEX('القوائم'!$B$1:$B$288,MATCH(TRIM(C450),'القوائم'!$A$1:$A$288,0)),IFERROR(MOD(TIMEVALUE(C450),1),""))))</f>
        <v/>
      </c>
      <c r="L450" s="25">
        <f>IF(OR(M450=0,D450=""),"",IF(ISNUMBER(D450),MOD(D450,1),IFERROR(INDEX('القوائم'!$B$1:$B$288,MATCH(TRIM(D450),'القوائم'!$A$1:$A$288,0)),IFERROR(MOD(TIMEVALUE(D450),1),""))))</f>
        <v/>
      </c>
      <c r="M450">
        <f>M446</f>
        <v/>
      </c>
      <c r="Q450">
        <f>IF(N(F456)&gt;0,1,0)</f>
        <v/>
      </c>
    </row>
    <row r="451">
      <c r="A451" s="20">
        <f>IF(41&lt;=NW,SAT1+284,"")</f>
        <v/>
      </c>
      <c r="B451" s="21">
        <f>IF(A451="","",CHOOSE(WEEKDAY(A451,1),"الأحد","الاثنين","الثلاثاء","الأربعاء","الخميس","الجمعة","السبت"))</f>
        <v/>
      </c>
      <c r="C451" s="22" t="n"/>
      <c r="D451" s="22" t="n"/>
      <c r="E451" s="23">
        <f>IF(OR(M451=0,K451="",L451=""),"",MOD(L451-K451,1))</f>
        <v/>
      </c>
      <c r="F451" s="24">
        <f>IF(OR(E451="",M451=0),"",IF(ROUND_MODE="للأعلى",CEILING(ROUND((E451*24*$N$446),3),0.25),ROUND((E451*24*$N$446)*4,0)/4))</f>
        <v/>
      </c>
      <c r="G451" s="22" t="n"/>
      <c r="H451" s="22" t="n"/>
      <c r="K451" s="25">
        <f>IF(OR(M451=0,C451=""),"",IF(ISNUMBER(C451),MOD(C451,1),IFERROR(INDEX('القوائم'!$B$1:$B$288,MATCH(TRIM(C451),'القوائم'!$A$1:$A$288,0)),IFERROR(MOD(TIMEVALUE(C451),1),""))))</f>
        <v/>
      </c>
      <c r="L451" s="25">
        <f>IF(OR(M451=0,D451=""),"",IF(ISNUMBER(D451),MOD(D451,1),IFERROR(INDEX('القوائم'!$B$1:$B$288,MATCH(TRIM(D451),'القوائم'!$A$1:$A$288,0)),IFERROR(MOD(TIMEVALUE(D451),1),""))))</f>
        <v/>
      </c>
      <c r="M451">
        <f>M446</f>
        <v/>
      </c>
      <c r="Q451">
        <f>IF(N(F456)&gt;0,1,0)</f>
        <v/>
      </c>
    </row>
    <row r="452">
      <c r="A452" s="20">
        <f>IF(41&lt;=NW,SAT1+285,"")</f>
        <v/>
      </c>
      <c r="B452" s="21">
        <f>IF(A452="","",CHOOSE(WEEKDAY(A452,1),"الأحد","الاثنين","الثلاثاء","الأربعاء","الخميس","الجمعة","السبت"))</f>
        <v/>
      </c>
      <c r="C452" s="22" t="n"/>
      <c r="D452" s="22" t="n"/>
      <c r="E452" s="23">
        <f>IF(OR(M452=0,K452="",L452=""),"",MOD(L452-K452,1))</f>
        <v/>
      </c>
      <c r="F452" s="24">
        <f>IF(OR(E452="",M452=0),"",IF(ROUND_MODE="للأعلى",CEILING(ROUND((E452*24*$N$446),3),0.25),ROUND((E452*24*$N$446)*4,0)/4))</f>
        <v/>
      </c>
      <c r="G452" s="22" t="n"/>
      <c r="H452" s="22" t="n"/>
      <c r="K452" s="25">
        <f>IF(OR(M452=0,C452=""),"",IF(ISNUMBER(C452),MOD(C452,1),IFERROR(INDEX('القوائم'!$B$1:$B$288,MATCH(TRIM(C452),'القوائم'!$A$1:$A$288,0)),IFERROR(MOD(TIMEVALUE(C452),1),""))))</f>
        <v/>
      </c>
      <c r="L452" s="25">
        <f>IF(OR(M452=0,D452=""),"",IF(ISNUMBER(D452),MOD(D452,1),IFERROR(INDEX('القوائم'!$B$1:$B$288,MATCH(TRIM(D452),'القوائم'!$A$1:$A$288,0)),IFERROR(MOD(TIMEVALUE(D452),1),""))))</f>
        <v/>
      </c>
      <c r="M452">
        <f>M446</f>
        <v/>
      </c>
      <c r="Q452">
        <f>IF(N(F456)&gt;0,1,0)</f>
        <v/>
      </c>
    </row>
    <row r="453">
      <c r="A453" s="26">
        <f>IF(41&lt;=NW,SAT1+286,"")</f>
        <v/>
      </c>
      <c r="B453" s="27">
        <f>IF(A453="","",CHOOSE(WEEKDAY(A453,1),"الأحد","الاثنين","الثلاثاء","الأربعاء","الخميس","الجمعة","السبت"))</f>
        <v/>
      </c>
      <c r="C453" s="22" t="n"/>
      <c r="D453" s="22" t="n"/>
      <c r="E453" s="23">
        <f>IF(OR(M453=0,K453="",L453=""),"",MOD(L453-K453,1))</f>
        <v/>
      </c>
      <c r="F453" s="24">
        <f>IF(OR(E453="",M453=0),"",IF(ROUND_MODE="للأعلى",CEILING(ROUND((E453*24*$N$446),3),0.25),ROUND((E453*24*$N$446)*4,0)/4))</f>
        <v/>
      </c>
      <c r="G453" s="22" t="n"/>
      <c r="H453" s="22" t="n"/>
      <c r="K453" s="25">
        <f>IF(OR(M453=0,C453=""),"",IF(ISNUMBER(C453),MOD(C453,1),IFERROR(INDEX('القوائم'!$B$1:$B$288,MATCH(TRIM(C453),'القوائم'!$A$1:$A$288,0)),IFERROR(MOD(TIMEVALUE(C453),1),""))))</f>
        <v/>
      </c>
      <c r="L453" s="25">
        <f>IF(OR(M453=0,D453=""),"",IF(ISNUMBER(D453),MOD(D453,1),IFERROR(INDEX('القوائم'!$B$1:$B$288,MATCH(TRIM(D453),'القوائم'!$A$1:$A$288,0)),IFERROR(MOD(TIMEVALUE(D453),1),""))))</f>
        <v/>
      </c>
      <c r="M453">
        <f>M446</f>
        <v/>
      </c>
      <c r="Q453">
        <f>IF(N(F456)&gt;0,1,0)</f>
        <v/>
      </c>
    </row>
    <row r="454">
      <c r="A454" s="28">
        <f>IF(M446=1,"مجموع أيام الأسبوع 41","")</f>
        <v/>
      </c>
      <c r="B454" s="28" t="n"/>
      <c r="C454" s="28" t="n"/>
      <c r="D454" s="28" t="n"/>
      <c r="E454" s="29">
        <f>IF(M446=1,SUM(E447:E453),"")</f>
        <v/>
      </c>
      <c r="F454" s="30">
        <f>IF(M446=1,SUM(F447:F453),"")</f>
        <v/>
      </c>
      <c r="G454" s="41">
        <f>IF(M446=1,SUMIFS(F447:F453,G447:G453,"نعم"),"")</f>
        <v/>
      </c>
      <c r="H454" s="28" t="n"/>
    </row>
    <row r="455" ht="32" customHeight="1">
      <c r="A455" s="28">
        <f>IF(M446=1,"ساعات تحميل الجبسمبورد بهالأسبوع (رقم: 2 أو 1.5) ←","")</f>
        <v/>
      </c>
      <c r="E455" s="31" t="n"/>
      <c r="F455" s="33">
        <f>IF(M446=1,N(F454)+IF(ROUND_MODE="للأعلى",CEILING(ROUND((N(E455)*($P$446-$N$446)),3),0.25),ROUND((N(E455)*($P$446-$N$446))*4,0)/4),"")</f>
        <v/>
      </c>
      <c r="G455" s="32">
        <f>IF(M446=1,"← المستحق النهائي للأسبوع (دينار) مع فرق الجبسمبورد","")</f>
        <v/>
      </c>
    </row>
    <row r="456" ht="26" customHeight="1">
      <c r="A456" s="28">
        <f>IF(M446=1,"إكرامية الأسبوع ←","")</f>
        <v/>
      </c>
      <c r="C456" s="35" t="n"/>
      <c r="D456" s="28">
        <f>IF(M446=1,"المدفوع يوم الجمعة (التسوية) ←","")</f>
        <v/>
      </c>
      <c r="F456" s="35" t="n"/>
      <c r="G456" s="36">
        <f>IF(M446=1,IF(N(F456)&gt;0,"✔ انقبض — الأسبوع مقفول","⏳ لسا ما انقبض"),"")</f>
        <v/>
      </c>
    </row>
    <row r="457" ht="26" customHeight="1">
      <c r="A457" s="40">
        <f>IF(42&lt;=NW,"الأسبوع 42 · السبت "&amp;TEXT(DAY(SAT1+287),"00")&amp;"/"&amp;TEXT(MONTH(SAT1+287),"00")&amp;" ← الجمعة "&amp;TEXT(DAY(SAT1+293),"00")&amp;"/"&amp;TEXT(MONTH(SAT1+293),"00")&amp;" (يوم القبض)"&amp;IF(42&lt;START_Z,"   — قبل أسبوع البداية (ما بينحسب)",""),"ما في أسبوع 42 هالسنة")</f>
        <v/>
      </c>
      <c r="L457" s="19">
        <f>IF(42&lt;=NW,SAT1+293,"")</f>
        <v/>
      </c>
      <c r="M457">
        <f>IF(AND(42&lt;=NW,42&gt;=START_Z),1,0)</f>
        <v/>
      </c>
      <c r="N457">
        <f>IFERROR(INDEX(RT_AZZ,MATCH(L457,RT_K,1)),INDEX(RT_AZZ,1))</f>
        <v/>
      </c>
      <c r="P457">
        <f>IFERROR(INDEX(RT_GYP,MATCH(L457,RT_K,1)),INDEX(RT_GYP,1))</f>
        <v/>
      </c>
    </row>
    <row r="458">
      <c r="A458" s="20">
        <f>IF(42&lt;=NW,SAT1+287,"")</f>
        <v/>
      </c>
      <c r="B458" s="21">
        <f>IF(A458="","",CHOOSE(WEEKDAY(A458,1),"الأحد","الاثنين","الثلاثاء","الأربعاء","الخميس","الجمعة","السبت"))</f>
        <v/>
      </c>
      <c r="C458" s="22" t="n"/>
      <c r="D458" s="22" t="n"/>
      <c r="E458" s="23">
        <f>IF(OR(M458=0,K458="",L458=""),"",MOD(L458-K458,1))</f>
        <v/>
      </c>
      <c r="F458" s="24">
        <f>IF(OR(E458="",M458=0),"",IF(ROUND_MODE="للأعلى",CEILING(ROUND((E458*24*$N$457),3),0.25),ROUND((E458*24*$N$457)*4,0)/4))</f>
        <v/>
      </c>
      <c r="G458" s="22" t="n"/>
      <c r="H458" s="22" t="n"/>
      <c r="K458" s="25">
        <f>IF(OR(M458=0,C458=""),"",IF(ISNUMBER(C458),MOD(C458,1),IFERROR(INDEX('القوائم'!$B$1:$B$288,MATCH(TRIM(C458),'القوائم'!$A$1:$A$288,0)),IFERROR(MOD(TIMEVALUE(C458),1),""))))</f>
        <v/>
      </c>
      <c r="L458" s="25">
        <f>IF(OR(M458=0,D458=""),"",IF(ISNUMBER(D458),MOD(D458,1),IFERROR(INDEX('القوائم'!$B$1:$B$288,MATCH(TRIM(D458),'القوائم'!$A$1:$A$288,0)),IFERROR(MOD(TIMEVALUE(D458),1),""))))</f>
        <v/>
      </c>
      <c r="M458">
        <f>M457</f>
        <v/>
      </c>
      <c r="Q458">
        <f>IF(N(F467)&gt;0,1,0)</f>
        <v/>
      </c>
    </row>
    <row r="459">
      <c r="A459" s="20">
        <f>IF(42&lt;=NW,SAT1+288,"")</f>
        <v/>
      </c>
      <c r="B459" s="21">
        <f>IF(A459="","",CHOOSE(WEEKDAY(A459,1),"الأحد","الاثنين","الثلاثاء","الأربعاء","الخميس","الجمعة","السبت"))</f>
        <v/>
      </c>
      <c r="C459" s="22" t="n"/>
      <c r="D459" s="22" t="n"/>
      <c r="E459" s="23">
        <f>IF(OR(M459=0,K459="",L459=""),"",MOD(L459-K459,1))</f>
        <v/>
      </c>
      <c r="F459" s="24">
        <f>IF(OR(E459="",M459=0),"",IF(ROUND_MODE="للأعلى",CEILING(ROUND((E459*24*$N$457),3),0.25),ROUND((E459*24*$N$457)*4,0)/4))</f>
        <v/>
      </c>
      <c r="G459" s="22" t="n"/>
      <c r="H459" s="22" t="n"/>
      <c r="K459" s="25">
        <f>IF(OR(M459=0,C459=""),"",IF(ISNUMBER(C459),MOD(C459,1),IFERROR(INDEX('القوائم'!$B$1:$B$288,MATCH(TRIM(C459),'القوائم'!$A$1:$A$288,0)),IFERROR(MOD(TIMEVALUE(C459),1),""))))</f>
        <v/>
      </c>
      <c r="L459" s="25">
        <f>IF(OR(M459=0,D459=""),"",IF(ISNUMBER(D459),MOD(D459,1),IFERROR(INDEX('القوائم'!$B$1:$B$288,MATCH(TRIM(D459),'القوائم'!$A$1:$A$288,0)),IFERROR(MOD(TIMEVALUE(D459),1),""))))</f>
        <v/>
      </c>
      <c r="M459">
        <f>M457</f>
        <v/>
      </c>
      <c r="Q459">
        <f>IF(N(F467)&gt;0,1,0)</f>
        <v/>
      </c>
    </row>
    <row r="460">
      <c r="A460" s="20">
        <f>IF(42&lt;=NW,SAT1+289,"")</f>
        <v/>
      </c>
      <c r="B460" s="21">
        <f>IF(A460="","",CHOOSE(WEEKDAY(A460,1),"الأحد","الاثنين","الثلاثاء","الأربعاء","الخميس","الجمعة","السبت"))</f>
        <v/>
      </c>
      <c r="C460" s="22" t="n"/>
      <c r="D460" s="22" t="n"/>
      <c r="E460" s="23">
        <f>IF(OR(M460=0,K460="",L460=""),"",MOD(L460-K460,1))</f>
        <v/>
      </c>
      <c r="F460" s="24">
        <f>IF(OR(E460="",M460=0),"",IF(ROUND_MODE="للأعلى",CEILING(ROUND((E460*24*$N$457),3),0.25),ROUND((E460*24*$N$457)*4,0)/4))</f>
        <v/>
      </c>
      <c r="G460" s="22" t="n"/>
      <c r="H460" s="22" t="n"/>
      <c r="K460" s="25">
        <f>IF(OR(M460=0,C460=""),"",IF(ISNUMBER(C460),MOD(C460,1),IFERROR(INDEX('القوائم'!$B$1:$B$288,MATCH(TRIM(C460),'القوائم'!$A$1:$A$288,0)),IFERROR(MOD(TIMEVALUE(C460),1),""))))</f>
        <v/>
      </c>
      <c r="L460" s="25">
        <f>IF(OR(M460=0,D460=""),"",IF(ISNUMBER(D460),MOD(D460,1),IFERROR(INDEX('القوائم'!$B$1:$B$288,MATCH(TRIM(D460),'القوائم'!$A$1:$A$288,0)),IFERROR(MOD(TIMEVALUE(D460),1),""))))</f>
        <v/>
      </c>
      <c r="M460">
        <f>M457</f>
        <v/>
      </c>
      <c r="Q460">
        <f>IF(N(F467)&gt;0,1,0)</f>
        <v/>
      </c>
    </row>
    <row r="461">
      <c r="A461" s="20">
        <f>IF(42&lt;=NW,SAT1+290,"")</f>
        <v/>
      </c>
      <c r="B461" s="21">
        <f>IF(A461="","",CHOOSE(WEEKDAY(A461,1),"الأحد","الاثنين","الثلاثاء","الأربعاء","الخميس","الجمعة","السبت"))</f>
        <v/>
      </c>
      <c r="C461" s="22" t="n"/>
      <c r="D461" s="22" t="n"/>
      <c r="E461" s="23">
        <f>IF(OR(M461=0,K461="",L461=""),"",MOD(L461-K461,1))</f>
        <v/>
      </c>
      <c r="F461" s="24">
        <f>IF(OR(E461="",M461=0),"",IF(ROUND_MODE="للأعلى",CEILING(ROUND((E461*24*$N$457),3),0.25),ROUND((E461*24*$N$457)*4,0)/4))</f>
        <v/>
      </c>
      <c r="G461" s="22" t="n"/>
      <c r="H461" s="22" t="n"/>
      <c r="K461" s="25">
        <f>IF(OR(M461=0,C461=""),"",IF(ISNUMBER(C461),MOD(C461,1),IFERROR(INDEX('القوائم'!$B$1:$B$288,MATCH(TRIM(C461),'القوائم'!$A$1:$A$288,0)),IFERROR(MOD(TIMEVALUE(C461),1),""))))</f>
        <v/>
      </c>
      <c r="L461" s="25">
        <f>IF(OR(M461=0,D461=""),"",IF(ISNUMBER(D461),MOD(D461,1),IFERROR(INDEX('القوائم'!$B$1:$B$288,MATCH(TRIM(D461),'القوائم'!$A$1:$A$288,0)),IFERROR(MOD(TIMEVALUE(D461),1),""))))</f>
        <v/>
      </c>
      <c r="M461">
        <f>M457</f>
        <v/>
      </c>
      <c r="Q461">
        <f>IF(N(F467)&gt;0,1,0)</f>
        <v/>
      </c>
    </row>
    <row r="462">
      <c r="A462" s="20">
        <f>IF(42&lt;=NW,SAT1+291,"")</f>
        <v/>
      </c>
      <c r="B462" s="21">
        <f>IF(A462="","",CHOOSE(WEEKDAY(A462,1),"الأحد","الاثنين","الثلاثاء","الأربعاء","الخميس","الجمعة","السبت"))</f>
        <v/>
      </c>
      <c r="C462" s="22" t="n"/>
      <c r="D462" s="22" t="n"/>
      <c r="E462" s="23">
        <f>IF(OR(M462=0,K462="",L462=""),"",MOD(L462-K462,1))</f>
        <v/>
      </c>
      <c r="F462" s="24">
        <f>IF(OR(E462="",M462=0),"",IF(ROUND_MODE="للأعلى",CEILING(ROUND((E462*24*$N$457),3),0.25),ROUND((E462*24*$N$457)*4,0)/4))</f>
        <v/>
      </c>
      <c r="G462" s="22" t="n"/>
      <c r="H462" s="22" t="n"/>
      <c r="K462" s="25">
        <f>IF(OR(M462=0,C462=""),"",IF(ISNUMBER(C462),MOD(C462,1),IFERROR(INDEX('القوائم'!$B$1:$B$288,MATCH(TRIM(C462),'القوائم'!$A$1:$A$288,0)),IFERROR(MOD(TIMEVALUE(C462),1),""))))</f>
        <v/>
      </c>
      <c r="L462" s="25">
        <f>IF(OR(M462=0,D462=""),"",IF(ISNUMBER(D462),MOD(D462,1),IFERROR(INDEX('القوائم'!$B$1:$B$288,MATCH(TRIM(D462),'القوائم'!$A$1:$A$288,0)),IFERROR(MOD(TIMEVALUE(D462),1),""))))</f>
        <v/>
      </c>
      <c r="M462">
        <f>M457</f>
        <v/>
      </c>
      <c r="Q462">
        <f>IF(N(F467)&gt;0,1,0)</f>
        <v/>
      </c>
    </row>
    <row r="463">
      <c r="A463" s="20">
        <f>IF(42&lt;=NW,SAT1+292,"")</f>
        <v/>
      </c>
      <c r="B463" s="21">
        <f>IF(A463="","",CHOOSE(WEEKDAY(A463,1),"الأحد","الاثنين","الثلاثاء","الأربعاء","الخميس","الجمعة","السبت"))</f>
        <v/>
      </c>
      <c r="C463" s="22" t="n"/>
      <c r="D463" s="22" t="n"/>
      <c r="E463" s="23">
        <f>IF(OR(M463=0,K463="",L463=""),"",MOD(L463-K463,1))</f>
        <v/>
      </c>
      <c r="F463" s="24">
        <f>IF(OR(E463="",M463=0),"",IF(ROUND_MODE="للأعلى",CEILING(ROUND((E463*24*$N$457),3),0.25),ROUND((E463*24*$N$457)*4,0)/4))</f>
        <v/>
      </c>
      <c r="G463" s="22" t="n"/>
      <c r="H463" s="22" t="n"/>
      <c r="K463" s="25">
        <f>IF(OR(M463=0,C463=""),"",IF(ISNUMBER(C463),MOD(C463,1),IFERROR(INDEX('القوائم'!$B$1:$B$288,MATCH(TRIM(C463),'القوائم'!$A$1:$A$288,0)),IFERROR(MOD(TIMEVALUE(C463),1),""))))</f>
        <v/>
      </c>
      <c r="L463" s="25">
        <f>IF(OR(M463=0,D463=""),"",IF(ISNUMBER(D463),MOD(D463,1),IFERROR(INDEX('القوائم'!$B$1:$B$288,MATCH(TRIM(D463),'القوائم'!$A$1:$A$288,0)),IFERROR(MOD(TIMEVALUE(D463),1),""))))</f>
        <v/>
      </c>
      <c r="M463">
        <f>M457</f>
        <v/>
      </c>
      <c r="Q463">
        <f>IF(N(F467)&gt;0,1,0)</f>
        <v/>
      </c>
    </row>
    <row r="464">
      <c r="A464" s="26">
        <f>IF(42&lt;=NW,SAT1+293,"")</f>
        <v/>
      </c>
      <c r="B464" s="27">
        <f>IF(A464="","",CHOOSE(WEEKDAY(A464,1),"الأحد","الاثنين","الثلاثاء","الأربعاء","الخميس","الجمعة","السبت"))</f>
        <v/>
      </c>
      <c r="C464" s="22" t="n"/>
      <c r="D464" s="22" t="n"/>
      <c r="E464" s="23">
        <f>IF(OR(M464=0,K464="",L464=""),"",MOD(L464-K464,1))</f>
        <v/>
      </c>
      <c r="F464" s="24">
        <f>IF(OR(E464="",M464=0),"",IF(ROUND_MODE="للأعلى",CEILING(ROUND((E464*24*$N$457),3),0.25),ROUND((E464*24*$N$457)*4,0)/4))</f>
        <v/>
      </c>
      <c r="G464" s="22" t="n"/>
      <c r="H464" s="22" t="n"/>
      <c r="K464" s="25">
        <f>IF(OR(M464=0,C464=""),"",IF(ISNUMBER(C464),MOD(C464,1),IFERROR(INDEX('القوائم'!$B$1:$B$288,MATCH(TRIM(C464),'القوائم'!$A$1:$A$288,0)),IFERROR(MOD(TIMEVALUE(C464),1),""))))</f>
        <v/>
      </c>
      <c r="L464" s="25">
        <f>IF(OR(M464=0,D464=""),"",IF(ISNUMBER(D464),MOD(D464,1),IFERROR(INDEX('القوائم'!$B$1:$B$288,MATCH(TRIM(D464),'القوائم'!$A$1:$A$288,0)),IFERROR(MOD(TIMEVALUE(D464),1),""))))</f>
        <v/>
      </c>
      <c r="M464">
        <f>M457</f>
        <v/>
      </c>
      <c r="Q464">
        <f>IF(N(F467)&gt;0,1,0)</f>
        <v/>
      </c>
    </row>
    <row r="465">
      <c r="A465" s="28">
        <f>IF(M457=1,"مجموع أيام الأسبوع 42","")</f>
        <v/>
      </c>
      <c r="B465" s="28" t="n"/>
      <c r="C465" s="28" t="n"/>
      <c r="D465" s="28" t="n"/>
      <c r="E465" s="29">
        <f>IF(M457=1,SUM(E458:E464),"")</f>
        <v/>
      </c>
      <c r="F465" s="30">
        <f>IF(M457=1,SUM(F458:F464),"")</f>
        <v/>
      </c>
      <c r="G465" s="41">
        <f>IF(M457=1,SUMIFS(F458:F464,G458:G464,"نعم"),"")</f>
        <v/>
      </c>
      <c r="H465" s="28" t="n"/>
    </row>
    <row r="466" ht="32" customHeight="1">
      <c r="A466" s="28">
        <f>IF(M457=1,"ساعات تحميل الجبسمبورد بهالأسبوع (رقم: 2 أو 1.5) ←","")</f>
        <v/>
      </c>
      <c r="E466" s="31" t="n"/>
      <c r="F466" s="33">
        <f>IF(M457=1,N(F465)+IF(ROUND_MODE="للأعلى",CEILING(ROUND((N(E466)*($P$457-$N$457)),3),0.25),ROUND((N(E466)*($P$457-$N$457))*4,0)/4),"")</f>
        <v/>
      </c>
      <c r="G466" s="32">
        <f>IF(M457=1,"← المستحق النهائي للأسبوع (دينار) مع فرق الجبسمبورد","")</f>
        <v/>
      </c>
    </row>
    <row r="467" ht="26" customHeight="1">
      <c r="A467" s="28">
        <f>IF(M457=1,"إكرامية الأسبوع ←","")</f>
        <v/>
      </c>
      <c r="C467" s="35" t="n"/>
      <c r="D467" s="28">
        <f>IF(M457=1,"المدفوع يوم الجمعة (التسوية) ←","")</f>
        <v/>
      </c>
      <c r="F467" s="35" t="n"/>
      <c r="G467" s="36">
        <f>IF(M457=1,IF(N(F467)&gt;0,"✔ انقبض — الأسبوع مقفول","⏳ لسا ما انقبض"),"")</f>
        <v/>
      </c>
    </row>
    <row r="468" ht="26" customHeight="1">
      <c r="A468" s="40">
        <f>IF(43&lt;=NW,"الأسبوع 43 · السبت "&amp;TEXT(DAY(SAT1+294),"00")&amp;"/"&amp;TEXT(MONTH(SAT1+294),"00")&amp;" ← الجمعة "&amp;TEXT(DAY(SAT1+300),"00")&amp;"/"&amp;TEXT(MONTH(SAT1+300),"00")&amp;" (يوم القبض)"&amp;IF(43&lt;START_Z,"   — قبل أسبوع البداية (ما بينحسب)",""),"ما في أسبوع 43 هالسنة")</f>
        <v/>
      </c>
      <c r="L468" s="19">
        <f>IF(43&lt;=NW,SAT1+300,"")</f>
        <v/>
      </c>
      <c r="M468">
        <f>IF(AND(43&lt;=NW,43&gt;=START_Z),1,0)</f>
        <v/>
      </c>
      <c r="N468">
        <f>IFERROR(INDEX(RT_AZZ,MATCH(L468,RT_K,1)),INDEX(RT_AZZ,1))</f>
        <v/>
      </c>
      <c r="P468">
        <f>IFERROR(INDEX(RT_GYP,MATCH(L468,RT_K,1)),INDEX(RT_GYP,1))</f>
        <v/>
      </c>
    </row>
    <row r="469">
      <c r="A469" s="20">
        <f>IF(43&lt;=NW,SAT1+294,"")</f>
        <v/>
      </c>
      <c r="B469" s="21">
        <f>IF(A469="","",CHOOSE(WEEKDAY(A469,1),"الأحد","الاثنين","الثلاثاء","الأربعاء","الخميس","الجمعة","السبت"))</f>
        <v/>
      </c>
      <c r="C469" s="22" t="n"/>
      <c r="D469" s="22" t="n"/>
      <c r="E469" s="23">
        <f>IF(OR(M469=0,K469="",L469=""),"",MOD(L469-K469,1))</f>
        <v/>
      </c>
      <c r="F469" s="24">
        <f>IF(OR(E469="",M469=0),"",IF(ROUND_MODE="للأعلى",CEILING(ROUND((E469*24*$N$468),3),0.25),ROUND((E469*24*$N$468)*4,0)/4))</f>
        <v/>
      </c>
      <c r="G469" s="22" t="n"/>
      <c r="H469" s="22" t="n"/>
      <c r="K469" s="25">
        <f>IF(OR(M469=0,C469=""),"",IF(ISNUMBER(C469),MOD(C469,1),IFERROR(INDEX('القوائم'!$B$1:$B$288,MATCH(TRIM(C469),'القوائم'!$A$1:$A$288,0)),IFERROR(MOD(TIMEVALUE(C469),1),""))))</f>
        <v/>
      </c>
      <c r="L469" s="25">
        <f>IF(OR(M469=0,D469=""),"",IF(ISNUMBER(D469),MOD(D469,1),IFERROR(INDEX('القوائم'!$B$1:$B$288,MATCH(TRIM(D469),'القوائم'!$A$1:$A$288,0)),IFERROR(MOD(TIMEVALUE(D469),1),""))))</f>
        <v/>
      </c>
      <c r="M469">
        <f>M468</f>
        <v/>
      </c>
      <c r="Q469">
        <f>IF(N(F478)&gt;0,1,0)</f>
        <v/>
      </c>
    </row>
    <row r="470">
      <c r="A470" s="20">
        <f>IF(43&lt;=NW,SAT1+295,"")</f>
        <v/>
      </c>
      <c r="B470" s="21">
        <f>IF(A470="","",CHOOSE(WEEKDAY(A470,1),"الأحد","الاثنين","الثلاثاء","الأربعاء","الخميس","الجمعة","السبت"))</f>
        <v/>
      </c>
      <c r="C470" s="22" t="n"/>
      <c r="D470" s="22" t="n"/>
      <c r="E470" s="23">
        <f>IF(OR(M470=0,K470="",L470=""),"",MOD(L470-K470,1))</f>
        <v/>
      </c>
      <c r="F470" s="24">
        <f>IF(OR(E470="",M470=0),"",IF(ROUND_MODE="للأعلى",CEILING(ROUND((E470*24*$N$468),3),0.25),ROUND((E470*24*$N$468)*4,0)/4))</f>
        <v/>
      </c>
      <c r="G470" s="22" t="n"/>
      <c r="H470" s="22" t="n"/>
      <c r="K470" s="25">
        <f>IF(OR(M470=0,C470=""),"",IF(ISNUMBER(C470),MOD(C470,1),IFERROR(INDEX('القوائم'!$B$1:$B$288,MATCH(TRIM(C470),'القوائم'!$A$1:$A$288,0)),IFERROR(MOD(TIMEVALUE(C470),1),""))))</f>
        <v/>
      </c>
      <c r="L470" s="25">
        <f>IF(OR(M470=0,D470=""),"",IF(ISNUMBER(D470),MOD(D470,1),IFERROR(INDEX('القوائم'!$B$1:$B$288,MATCH(TRIM(D470),'القوائم'!$A$1:$A$288,0)),IFERROR(MOD(TIMEVALUE(D470),1),""))))</f>
        <v/>
      </c>
      <c r="M470">
        <f>M468</f>
        <v/>
      </c>
      <c r="Q470">
        <f>IF(N(F478)&gt;0,1,0)</f>
        <v/>
      </c>
    </row>
    <row r="471">
      <c r="A471" s="20">
        <f>IF(43&lt;=NW,SAT1+296,"")</f>
        <v/>
      </c>
      <c r="B471" s="21">
        <f>IF(A471="","",CHOOSE(WEEKDAY(A471,1),"الأحد","الاثنين","الثلاثاء","الأربعاء","الخميس","الجمعة","السبت"))</f>
        <v/>
      </c>
      <c r="C471" s="22" t="n"/>
      <c r="D471" s="22" t="n"/>
      <c r="E471" s="23">
        <f>IF(OR(M471=0,K471="",L471=""),"",MOD(L471-K471,1))</f>
        <v/>
      </c>
      <c r="F471" s="24">
        <f>IF(OR(E471="",M471=0),"",IF(ROUND_MODE="للأعلى",CEILING(ROUND((E471*24*$N$468),3),0.25),ROUND((E471*24*$N$468)*4,0)/4))</f>
        <v/>
      </c>
      <c r="G471" s="22" t="n"/>
      <c r="H471" s="22" t="n"/>
      <c r="K471" s="25">
        <f>IF(OR(M471=0,C471=""),"",IF(ISNUMBER(C471),MOD(C471,1),IFERROR(INDEX('القوائم'!$B$1:$B$288,MATCH(TRIM(C471),'القوائم'!$A$1:$A$288,0)),IFERROR(MOD(TIMEVALUE(C471),1),""))))</f>
        <v/>
      </c>
      <c r="L471" s="25">
        <f>IF(OR(M471=0,D471=""),"",IF(ISNUMBER(D471),MOD(D471,1),IFERROR(INDEX('القوائم'!$B$1:$B$288,MATCH(TRIM(D471),'القوائم'!$A$1:$A$288,0)),IFERROR(MOD(TIMEVALUE(D471),1),""))))</f>
        <v/>
      </c>
      <c r="M471">
        <f>M468</f>
        <v/>
      </c>
      <c r="Q471">
        <f>IF(N(F478)&gt;0,1,0)</f>
        <v/>
      </c>
    </row>
    <row r="472">
      <c r="A472" s="20">
        <f>IF(43&lt;=NW,SAT1+297,"")</f>
        <v/>
      </c>
      <c r="B472" s="21">
        <f>IF(A472="","",CHOOSE(WEEKDAY(A472,1),"الأحد","الاثنين","الثلاثاء","الأربعاء","الخميس","الجمعة","السبت"))</f>
        <v/>
      </c>
      <c r="C472" s="22" t="n"/>
      <c r="D472" s="22" t="n"/>
      <c r="E472" s="23">
        <f>IF(OR(M472=0,K472="",L472=""),"",MOD(L472-K472,1))</f>
        <v/>
      </c>
      <c r="F472" s="24">
        <f>IF(OR(E472="",M472=0),"",IF(ROUND_MODE="للأعلى",CEILING(ROUND((E472*24*$N$468),3),0.25),ROUND((E472*24*$N$468)*4,0)/4))</f>
        <v/>
      </c>
      <c r="G472" s="22" t="n"/>
      <c r="H472" s="22" t="n"/>
      <c r="K472" s="25">
        <f>IF(OR(M472=0,C472=""),"",IF(ISNUMBER(C472),MOD(C472,1),IFERROR(INDEX('القوائم'!$B$1:$B$288,MATCH(TRIM(C472),'القوائم'!$A$1:$A$288,0)),IFERROR(MOD(TIMEVALUE(C472),1),""))))</f>
        <v/>
      </c>
      <c r="L472" s="25">
        <f>IF(OR(M472=0,D472=""),"",IF(ISNUMBER(D472),MOD(D472,1),IFERROR(INDEX('القوائم'!$B$1:$B$288,MATCH(TRIM(D472),'القوائم'!$A$1:$A$288,0)),IFERROR(MOD(TIMEVALUE(D472),1),""))))</f>
        <v/>
      </c>
      <c r="M472">
        <f>M468</f>
        <v/>
      </c>
      <c r="Q472">
        <f>IF(N(F478)&gt;0,1,0)</f>
        <v/>
      </c>
    </row>
    <row r="473">
      <c r="A473" s="20">
        <f>IF(43&lt;=NW,SAT1+298,"")</f>
        <v/>
      </c>
      <c r="B473" s="21">
        <f>IF(A473="","",CHOOSE(WEEKDAY(A473,1),"الأحد","الاثنين","الثلاثاء","الأربعاء","الخميس","الجمعة","السبت"))</f>
        <v/>
      </c>
      <c r="C473" s="22" t="n"/>
      <c r="D473" s="22" t="n"/>
      <c r="E473" s="23">
        <f>IF(OR(M473=0,K473="",L473=""),"",MOD(L473-K473,1))</f>
        <v/>
      </c>
      <c r="F473" s="24">
        <f>IF(OR(E473="",M473=0),"",IF(ROUND_MODE="للأعلى",CEILING(ROUND((E473*24*$N$468),3),0.25),ROUND((E473*24*$N$468)*4,0)/4))</f>
        <v/>
      </c>
      <c r="G473" s="22" t="n"/>
      <c r="H473" s="22" t="n"/>
      <c r="K473" s="25">
        <f>IF(OR(M473=0,C473=""),"",IF(ISNUMBER(C473),MOD(C473,1),IFERROR(INDEX('القوائم'!$B$1:$B$288,MATCH(TRIM(C473),'القوائم'!$A$1:$A$288,0)),IFERROR(MOD(TIMEVALUE(C473),1),""))))</f>
        <v/>
      </c>
      <c r="L473" s="25">
        <f>IF(OR(M473=0,D473=""),"",IF(ISNUMBER(D473),MOD(D473,1),IFERROR(INDEX('القوائم'!$B$1:$B$288,MATCH(TRIM(D473),'القوائم'!$A$1:$A$288,0)),IFERROR(MOD(TIMEVALUE(D473),1),""))))</f>
        <v/>
      </c>
      <c r="M473">
        <f>M468</f>
        <v/>
      </c>
      <c r="Q473">
        <f>IF(N(F478)&gt;0,1,0)</f>
        <v/>
      </c>
    </row>
    <row r="474">
      <c r="A474" s="20">
        <f>IF(43&lt;=NW,SAT1+299,"")</f>
        <v/>
      </c>
      <c r="B474" s="21">
        <f>IF(A474="","",CHOOSE(WEEKDAY(A474,1),"الأحد","الاثنين","الثلاثاء","الأربعاء","الخميس","الجمعة","السبت"))</f>
        <v/>
      </c>
      <c r="C474" s="22" t="n"/>
      <c r="D474" s="22" t="n"/>
      <c r="E474" s="23">
        <f>IF(OR(M474=0,K474="",L474=""),"",MOD(L474-K474,1))</f>
        <v/>
      </c>
      <c r="F474" s="24">
        <f>IF(OR(E474="",M474=0),"",IF(ROUND_MODE="للأعلى",CEILING(ROUND((E474*24*$N$468),3),0.25),ROUND((E474*24*$N$468)*4,0)/4))</f>
        <v/>
      </c>
      <c r="G474" s="22" t="n"/>
      <c r="H474" s="22" t="n"/>
      <c r="K474" s="25">
        <f>IF(OR(M474=0,C474=""),"",IF(ISNUMBER(C474),MOD(C474,1),IFERROR(INDEX('القوائم'!$B$1:$B$288,MATCH(TRIM(C474),'القوائم'!$A$1:$A$288,0)),IFERROR(MOD(TIMEVALUE(C474),1),""))))</f>
        <v/>
      </c>
      <c r="L474" s="25">
        <f>IF(OR(M474=0,D474=""),"",IF(ISNUMBER(D474),MOD(D474,1),IFERROR(INDEX('القوائم'!$B$1:$B$288,MATCH(TRIM(D474),'القوائم'!$A$1:$A$288,0)),IFERROR(MOD(TIMEVALUE(D474),1),""))))</f>
        <v/>
      </c>
      <c r="M474">
        <f>M468</f>
        <v/>
      </c>
      <c r="Q474">
        <f>IF(N(F478)&gt;0,1,0)</f>
        <v/>
      </c>
    </row>
    <row r="475">
      <c r="A475" s="26">
        <f>IF(43&lt;=NW,SAT1+300,"")</f>
        <v/>
      </c>
      <c r="B475" s="27">
        <f>IF(A475="","",CHOOSE(WEEKDAY(A475,1),"الأحد","الاثنين","الثلاثاء","الأربعاء","الخميس","الجمعة","السبت"))</f>
        <v/>
      </c>
      <c r="C475" s="22" t="n"/>
      <c r="D475" s="22" t="n"/>
      <c r="E475" s="23">
        <f>IF(OR(M475=0,K475="",L475=""),"",MOD(L475-K475,1))</f>
        <v/>
      </c>
      <c r="F475" s="24">
        <f>IF(OR(E475="",M475=0),"",IF(ROUND_MODE="للأعلى",CEILING(ROUND((E475*24*$N$468),3),0.25),ROUND((E475*24*$N$468)*4,0)/4))</f>
        <v/>
      </c>
      <c r="G475" s="22" t="n"/>
      <c r="H475" s="22" t="n"/>
      <c r="K475" s="25">
        <f>IF(OR(M475=0,C475=""),"",IF(ISNUMBER(C475),MOD(C475,1),IFERROR(INDEX('القوائم'!$B$1:$B$288,MATCH(TRIM(C475),'القوائم'!$A$1:$A$288,0)),IFERROR(MOD(TIMEVALUE(C475),1),""))))</f>
        <v/>
      </c>
      <c r="L475" s="25">
        <f>IF(OR(M475=0,D475=""),"",IF(ISNUMBER(D475),MOD(D475,1),IFERROR(INDEX('القوائم'!$B$1:$B$288,MATCH(TRIM(D475),'القوائم'!$A$1:$A$288,0)),IFERROR(MOD(TIMEVALUE(D475),1),""))))</f>
        <v/>
      </c>
      <c r="M475">
        <f>M468</f>
        <v/>
      </c>
      <c r="Q475">
        <f>IF(N(F478)&gt;0,1,0)</f>
        <v/>
      </c>
    </row>
    <row r="476">
      <c r="A476" s="28">
        <f>IF(M468=1,"مجموع أيام الأسبوع 43","")</f>
        <v/>
      </c>
      <c r="B476" s="28" t="n"/>
      <c r="C476" s="28" t="n"/>
      <c r="D476" s="28" t="n"/>
      <c r="E476" s="29">
        <f>IF(M468=1,SUM(E469:E475),"")</f>
        <v/>
      </c>
      <c r="F476" s="30">
        <f>IF(M468=1,SUM(F469:F475),"")</f>
        <v/>
      </c>
      <c r="G476" s="41">
        <f>IF(M468=1,SUMIFS(F469:F475,G469:G475,"نعم"),"")</f>
        <v/>
      </c>
      <c r="H476" s="28" t="n"/>
    </row>
    <row r="477" ht="32" customHeight="1">
      <c r="A477" s="28">
        <f>IF(M468=1,"ساعات تحميل الجبسمبورد بهالأسبوع (رقم: 2 أو 1.5) ←","")</f>
        <v/>
      </c>
      <c r="E477" s="31" t="n"/>
      <c r="F477" s="33">
        <f>IF(M468=1,N(F476)+IF(ROUND_MODE="للأعلى",CEILING(ROUND((N(E477)*($P$468-$N$468)),3),0.25),ROUND((N(E477)*($P$468-$N$468))*4,0)/4),"")</f>
        <v/>
      </c>
      <c r="G477" s="32">
        <f>IF(M468=1,"← المستحق النهائي للأسبوع (دينار) مع فرق الجبسمبورد","")</f>
        <v/>
      </c>
    </row>
    <row r="478" ht="26" customHeight="1">
      <c r="A478" s="28">
        <f>IF(M468=1,"إكرامية الأسبوع ←","")</f>
        <v/>
      </c>
      <c r="C478" s="35" t="n"/>
      <c r="D478" s="28">
        <f>IF(M468=1,"المدفوع يوم الجمعة (التسوية) ←","")</f>
        <v/>
      </c>
      <c r="F478" s="35" t="n"/>
      <c r="G478" s="36">
        <f>IF(M468=1,IF(N(F478)&gt;0,"✔ انقبض — الأسبوع مقفول","⏳ لسا ما انقبض"),"")</f>
        <v/>
      </c>
    </row>
    <row r="479" ht="26" customHeight="1">
      <c r="A479" s="40">
        <f>IF(44&lt;=NW,"الأسبوع 44 · السبت "&amp;TEXT(DAY(SAT1+301),"00")&amp;"/"&amp;TEXT(MONTH(SAT1+301),"00")&amp;" ← الجمعة "&amp;TEXT(DAY(SAT1+307),"00")&amp;"/"&amp;TEXT(MONTH(SAT1+307),"00")&amp;" (يوم القبض)"&amp;IF(44&lt;START_Z,"   — قبل أسبوع البداية (ما بينحسب)",""),"ما في أسبوع 44 هالسنة")</f>
        <v/>
      </c>
      <c r="L479" s="19">
        <f>IF(44&lt;=NW,SAT1+307,"")</f>
        <v/>
      </c>
      <c r="M479">
        <f>IF(AND(44&lt;=NW,44&gt;=START_Z),1,0)</f>
        <v/>
      </c>
      <c r="N479">
        <f>IFERROR(INDEX(RT_AZZ,MATCH(L479,RT_K,1)),INDEX(RT_AZZ,1))</f>
        <v/>
      </c>
      <c r="P479">
        <f>IFERROR(INDEX(RT_GYP,MATCH(L479,RT_K,1)),INDEX(RT_GYP,1))</f>
        <v/>
      </c>
    </row>
    <row r="480">
      <c r="A480" s="20">
        <f>IF(44&lt;=NW,SAT1+301,"")</f>
        <v/>
      </c>
      <c r="B480" s="21">
        <f>IF(A480="","",CHOOSE(WEEKDAY(A480,1),"الأحد","الاثنين","الثلاثاء","الأربعاء","الخميس","الجمعة","السبت"))</f>
        <v/>
      </c>
      <c r="C480" s="22" t="n"/>
      <c r="D480" s="22" t="n"/>
      <c r="E480" s="23">
        <f>IF(OR(M480=0,K480="",L480=""),"",MOD(L480-K480,1))</f>
        <v/>
      </c>
      <c r="F480" s="24">
        <f>IF(OR(E480="",M480=0),"",IF(ROUND_MODE="للأعلى",CEILING(ROUND((E480*24*$N$479),3),0.25),ROUND((E480*24*$N$479)*4,0)/4))</f>
        <v/>
      </c>
      <c r="G480" s="22" t="n"/>
      <c r="H480" s="22" t="n"/>
      <c r="K480" s="25">
        <f>IF(OR(M480=0,C480=""),"",IF(ISNUMBER(C480),MOD(C480,1),IFERROR(INDEX('القوائم'!$B$1:$B$288,MATCH(TRIM(C480),'القوائم'!$A$1:$A$288,0)),IFERROR(MOD(TIMEVALUE(C480),1),""))))</f>
        <v/>
      </c>
      <c r="L480" s="25">
        <f>IF(OR(M480=0,D480=""),"",IF(ISNUMBER(D480),MOD(D480,1),IFERROR(INDEX('القوائم'!$B$1:$B$288,MATCH(TRIM(D480),'القوائم'!$A$1:$A$288,0)),IFERROR(MOD(TIMEVALUE(D480),1),""))))</f>
        <v/>
      </c>
      <c r="M480">
        <f>M479</f>
        <v/>
      </c>
      <c r="Q480">
        <f>IF(N(F489)&gt;0,1,0)</f>
        <v/>
      </c>
    </row>
    <row r="481">
      <c r="A481" s="20">
        <f>IF(44&lt;=NW,SAT1+302,"")</f>
        <v/>
      </c>
      <c r="B481" s="21">
        <f>IF(A481="","",CHOOSE(WEEKDAY(A481,1),"الأحد","الاثنين","الثلاثاء","الأربعاء","الخميس","الجمعة","السبت"))</f>
        <v/>
      </c>
      <c r="C481" s="22" t="n"/>
      <c r="D481" s="22" t="n"/>
      <c r="E481" s="23">
        <f>IF(OR(M481=0,K481="",L481=""),"",MOD(L481-K481,1))</f>
        <v/>
      </c>
      <c r="F481" s="24">
        <f>IF(OR(E481="",M481=0),"",IF(ROUND_MODE="للأعلى",CEILING(ROUND((E481*24*$N$479),3),0.25),ROUND((E481*24*$N$479)*4,0)/4))</f>
        <v/>
      </c>
      <c r="G481" s="22" t="n"/>
      <c r="H481" s="22" t="n"/>
      <c r="K481" s="25">
        <f>IF(OR(M481=0,C481=""),"",IF(ISNUMBER(C481),MOD(C481,1),IFERROR(INDEX('القوائم'!$B$1:$B$288,MATCH(TRIM(C481),'القوائم'!$A$1:$A$288,0)),IFERROR(MOD(TIMEVALUE(C481),1),""))))</f>
        <v/>
      </c>
      <c r="L481" s="25">
        <f>IF(OR(M481=0,D481=""),"",IF(ISNUMBER(D481),MOD(D481,1),IFERROR(INDEX('القوائم'!$B$1:$B$288,MATCH(TRIM(D481),'القوائم'!$A$1:$A$288,0)),IFERROR(MOD(TIMEVALUE(D481),1),""))))</f>
        <v/>
      </c>
      <c r="M481">
        <f>M479</f>
        <v/>
      </c>
      <c r="Q481">
        <f>IF(N(F489)&gt;0,1,0)</f>
        <v/>
      </c>
    </row>
    <row r="482">
      <c r="A482" s="20">
        <f>IF(44&lt;=NW,SAT1+303,"")</f>
        <v/>
      </c>
      <c r="B482" s="21">
        <f>IF(A482="","",CHOOSE(WEEKDAY(A482,1),"الأحد","الاثنين","الثلاثاء","الأربعاء","الخميس","الجمعة","السبت"))</f>
        <v/>
      </c>
      <c r="C482" s="22" t="n"/>
      <c r="D482" s="22" t="n"/>
      <c r="E482" s="23">
        <f>IF(OR(M482=0,K482="",L482=""),"",MOD(L482-K482,1))</f>
        <v/>
      </c>
      <c r="F482" s="24">
        <f>IF(OR(E482="",M482=0),"",IF(ROUND_MODE="للأعلى",CEILING(ROUND((E482*24*$N$479),3),0.25),ROUND((E482*24*$N$479)*4,0)/4))</f>
        <v/>
      </c>
      <c r="G482" s="22" t="n"/>
      <c r="H482" s="22" t="n"/>
      <c r="K482" s="25">
        <f>IF(OR(M482=0,C482=""),"",IF(ISNUMBER(C482),MOD(C482,1),IFERROR(INDEX('القوائم'!$B$1:$B$288,MATCH(TRIM(C482),'القوائم'!$A$1:$A$288,0)),IFERROR(MOD(TIMEVALUE(C482),1),""))))</f>
        <v/>
      </c>
      <c r="L482" s="25">
        <f>IF(OR(M482=0,D482=""),"",IF(ISNUMBER(D482),MOD(D482,1),IFERROR(INDEX('القوائم'!$B$1:$B$288,MATCH(TRIM(D482),'القوائم'!$A$1:$A$288,0)),IFERROR(MOD(TIMEVALUE(D482),1),""))))</f>
        <v/>
      </c>
      <c r="M482">
        <f>M479</f>
        <v/>
      </c>
      <c r="Q482">
        <f>IF(N(F489)&gt;0,1,0)</f>
        <v/>
      </c>
    </row>
    <row r="483">
      <c r="A483" s="20">
        <f>IF(44&lt;=NW,SAT1+304,"")</f>
        <v/>
      </c>
      <c r="B483" s="21">
        <f>IF(A483="","",CHOOSE(WEEKDAY(A483,1),"الأحد","الاثنين","الثلاثاء","الأربعاء","الخميس","الجمعة","السبت"))</f>
        <v/>
      </c>
      <c r="C483" s="22" t="n"/>
      <c r="D483" s="22" t="n"/>
      <c r="E483" s="23">
        <f>IF(OR(M483=0,K483="",L483=""),"",MOD(L483-K483,1))</f>
        <v/>
      </c>
      <c r="F483" s="24">
        <f>IF(OR(E483="",M483=0),"",IF(ROUND_MODE="للأعلى",CEILING(ROUND((E483*24*$N$479),3),0.25),ROUND((E483*24*$N$479)*4,0)/4))</f>
        <v/>
      </c>
      <c r="G483" s="22" t="n"/>
      <c r="H483" s="22" t="n"/>
      <c r="K483" s="25">
        <f>IF(OR(M483=0,C483=""),"",IF(ISNUMBER(C483),MOD(C483,1),IFERROR(INDEX('القوائم'!$B$1:$B$288,MATCH(TRIM(C483),'القوائم'!$A$1:$A$288,0)),IFERROR(MOD(TIMEVALUE(C483),1),""))))</f>
        <v/>
      </c>
      <c r="L483" s="25">
        <f>IF(OR(M483=0,D483=""),"",IF(ISNUMBER(D483),MOD(D483,1),IFERROR(INDEX('القوائم'!$B$1:$B$288,MATCH(TRIM(D483),'القوائم'!$A$1:$A$288,0)),IFERROR(MOD(TIMEVALUE(D483),1),""))))</f>
        <v/>
      </c>
      <c r="M483">
        <f>M479</f>
        <v/>
      </c>
      <c r="Q483">
        <f>IF(N(F489)&gt;0,1,0)</f>
        <v/>
      </c>
    </row>
    <row r="484">
      <c r="A484" s="20">
        <f>IF(44&lt;=NW,SAT1+305,"")</f>
        <v/>
      </c>
      <c r="B484" s="21">
        <f>IF(A484="","",CHOOSE(WEEKDAY(A484,1),"الأحد","الاثنين","الثلاثاء","الأربعاء","الخميس","الجمعة","السبت"))</f>
        <v/>
      </c>
      <c r="C484" s="22" t="n"/>
      <c r="D484" s="22" t="n"/>
      <c r="E484" s="23">
        <f>IF(OR(M484=0,K484="",L484=""),"",MOD(L484-K484,1))</f>
        <v/>
      </c>
      <c r="F484" s="24">
        <f>IF(OR(E484="",M484=0),"",IF(ROUND_MODE="للأعلى",CEILING(ROUND((E484*24*$N$479),3),0.25),ROUND((E484*24*$N$479)*4,0)/4))</f>
        <v/>
      </c>
      <c r="G484" s="22" t="n"/>
      <c r="H484" s="22" t="n"/>
      <c r="K484" s="25">
        <f>IF(OR(M484=0,C484=""),"",IF(ISNUMBER(C484),MOD(C484,1),IFERROR(INDEX('القوائم'!$B$1:$B$288,MATCH(TRIM(C484),'القوائم'!$A$1:$A$288,0)),IFERROR(MOD(TIMEVALUE(C484),1),""))))</f>
        <v/>
      </c>
      <c r="L484" s="25">
        <f>IF(OR(M484=0,D484=""),"",IF(ISNUMBER(D484),MOD(D484,1),IFERROR(INDEX('القوائم'!$B$1:$B$288,MATCH(TRIM(D484),'القوائم'!$A$1:$A$288,0)),IFERROR(MOD(TIMEVALUE(D484),1),""))))</f>
        <v/>
      </c>
      <c r="M484">
        <f>M479</f>
        <v/>
      </c>
      <c r="Q484">
        <f>IF(N(F489)&gt;0,1,0)</f>
        <v/>
      </c>
    </row>
    <row r="485">
      <c r="A485" s="20">
        <f>IF(44&lt;=NW,SAT1+306,"")</f>
        <v/>
      </c>
      <c r="B485" s="21">
        <f>IF(A485="","",CHOOSE(WEEKDAY(A485,1),"الأحد","الاثنين","الثلاثاء","الأربعاء","الخميس","الجمعة","السبت"))</f>
        <v/>
      </c>
      <c r="C485" s="22" t="n"/>
      <c r="D485" s="22" t="n"/>
      <c r="E485" s="23">
        <f>IF(OR(M485=0,K485="",L485=""),"",MOD(L485-K485,1))</f>
        <v/>
      </c>
      <c r="F485" s="24">
        <f>IF(OR(E485="",M485=0),"",IF(ROUND_MODE="للأعلى",CEILING(ROUND((E485*24*$N$479),3),0.25),ROUND((E485*24*$N$479)*4,0)/4))</f>
        <v/>
      </c>
      <c r="G485" s="22" t="n"/>
      <c r="H485" s="22" t="n"/>
      <c r="K485" s="25">
        <f>IF(OR(M485=0,C485=""),"",IF(ISNUMBER(C485),MOD(C485,1),IFERROR(INDEX('القوائم'!$B$1:$B$288,MATCH(TRIM(C485),'القوائم'!$A$1:$A$288,0)),IFERROR(MOD(TIMEVALUE(C485),1),""))))</f>
        <v/>
      </c>
      <c r="L485" s="25">
        <f>IF(OR(M485=0,D485=""),"",IF(ISNUMBER(D485),MOD(D485,1),IFERROR(INDEX('القوائم'!$B$1:$B$288,MATCH(TRIM(D485),'القوائم'!$A$1:$A$288,0)),IFERROR(MOD(TIMEVALUE(D485),1),""))))</f>
        <v/>
      </c>
      <c r="M485">
        <f>M479</f>
        <v/>
      </c>
      <c r="Q485">
        <f>IF(N(F489)&gt;0,1,0)</f>
        <v/>
      </c>
    </row>
    <row r="486">
      <c r="A486" s="26">
        <f>IF(44&lt;=NW,SAT1+307,"")</f>
        <v/>
      </c>
      <c r="B486" s="27">
        <f>IF(A486="","",CHOOSE(WEEKDAY(A486,1),"الأحد","الاثنين","الثلاثاء","الأربعاء","الخميس","الجمعة","السبت"))</f>
        <v/>
      </c>
      <c r="C486" s="22" t="n"/>
      <c r="D486" s="22" t="n"/>
      <c r="E486" s="23">
        <f>IF(OR(M486=0,K486="",L486=""),"",MOD(L486-K486,1))</f>
        <v/>
      </c>
      <c r="F486" s="24">
        <f>IF(OR(E486="",M486=0),"",IF(ROUND_MODE="للأعلى",CEILING(ROUND((E486*24*$N$479),3),0.25),ROUND((E486*24*$N$479)*4,0)/4))</f>
        <v/>
      </c>
      <c r="G486" s="22" t="n"/>
      <c r="H486" s="22" t="n"/>
      <c r="K486" s="25">
        <f>IF(OR(M486=0,C486=""),"",IF(ISNUMBER(C486),MOD(C486,1),IFERROR(INDEX('القوائم'!$B$1:$B$288,MATCH(TRIM(C486),'القوائم'!$A$1:$A$288,0)),IFERROR(MOD(TIMEVALUE(C486),1),""))))</f>
        <v/>
      </c>
      <c r="L486" s="25">
        <f>IF(OR(M486=0,D486=""),"",IF(ISNUMBER(D486),MOD(D486,1),IFERROR(INDEX('القوائم'!$B$1:$B$288,MATCH(TRIM(D486),'القوائم'!$A$1:$A$288,0)),IFERROR(MOD(TIMEVALUE(D486),1),""))))</f>
        <v/>
      </c>
      <c r="M486">
        <f>M479</f>
        <v/>
      </c>
      <c r="Q486">
        <f>IF(N(F489)&gt;0,1,0)</f>
        <v/>
      </c>
    </row>
    <row r="487">
      <c r="A487" s="28">
        <f>IF(M479=1,"مجموع أيام الأسبوع 44","")</f>
        <v/>
      </c>
      <c r="B487" s="28" t="n"/>
      <c r="C487" s="28" t="n"/>
      <c r="D487" s="28" t="n"/>
      <c r="E487" s="29">
        <f>IF(M479=1,SUM(E480:E486),"")</f>
        <v/>
      </c>
      <c r="F487" s="30">
        <f>IF(M479=1,SUM(F480:F486),"")</f>
        <v/>
      </c>
      <c r="G487" s="41">
        <f>IF(M479=1,SUMIFS(F480:F486,G480:G486,"نعم"),"")</f>
        <v/>
      </c>
      <c r="H487" s="28" t="n"/>
    </row>
    <row r="488" ht="32" customHeight="1">
      <c r="A488" s="28">
        <f>IF(M479=1,"ساعات تحميل الجبسمبورد بهالأسبوع (رقم: 2 أو 1.5) ←","")</f>
        <v/>
      </c>
      <c r="E488" s="31" t="n"/>
      <c r="F488" s="33">
        <f>IF(M479=1,N(F487)+IF(ROUND_MODE="للأعلى",CEILING(ROUND((N(E488)*($P$479-$N$479)),3),0.25),ROUND((N(E488)*($P$479-$N$479))*4,0)/4),"")</f>
        <v/>
      </c>
      <c r="G488" s="32">
        <f>IF(M479=1,"← المستحق النهائي للأسبوع (دينار) مع فرق الجبسمبورد","")</f>
        <v/>
      </c>
    </row>
    <row r="489" ht="26" customHeight="1">
      <c r="A489" s="28">
        <f>IF(M479=1,"إكرامية الأسبوع ←","")</f>
        <v/>
      </c>
      <c r="C489" s="35" t="n"/>
      <c r="D489" s="28">
        <f>IF(M479=1,"المدفوع يوم الجمعة (التسوية) ←","")</f>
        <v/>
      </c>
      <c r="F489" s="35" t="n"/>
      <c r="G489" s="36">
        <f>IF(M479=1,IF(N(F489)&gt;0,"✔ انقبض — الأسبوع مقفول","⏳ لسا ما انقبض"),"")</f>
        <v/>
      </c>
    </row>
    <row r="490" ht="26" customHeight="1">
      <c r="A490" s="40">
        <f>IF(45&lt;=NW,"الأسبوع 45 · السبت "&amp;TEXT(DAY(SAT1+308),"00")&amp;"/"&amp;TEXT(MONTH(SAT1+308),"00")&amp;" ← الجمعة "&amp;TEXT(DAY(SAT1+314),"00")&amp;"/"&amp;TEXT(MONTH(SAT1+314),"00")&amp;" (يوم القبض)"&amp;IF(45&lt;START_Z,"   — قبل أسبوع البداية (ما بينحسب)",""),"ما في أسبوع 45 هالسنة")</f>
        <v/>
      </c>
      <c r="L490" s="19">
        <f>IF(45&lt;=NW,SAT1+314,"")</f>
        <v/>
      </c>
      <c r="M490">
        <f>IF(AND(45&lt;=NW,45&gt;=START_Z),1,0)</f>
        <v/>
      </c>
      <c r="N490">
        <f>IFERROR(INDEX(RT_AZZ,MATCH(L490,RT_K,1)),INDEX(RT_AZZ,1))</f>
        <v/>
      </c>
      <c r="P490">
        <f>IFERROR(INDEX(RT_GYP,MATCH(L490,RT_K,1)),INDEX(RT_GYP,1))</f>
        <v/>
      </c>
    </row>
    <row r="491">
      <c r="A491" s="20">
        <f>IF(45&lt;=NW,SAT1+308,"")</f>
        <v/>
      </c>
      <c r="B491" s="21">
        <f>IF(A491="","",CHOOSE(WEEKDAY(A491,1),"الأحد","الاثنين","الثلاثاء","الأربعاء","الخميس","الجمعة","السبت"))</f>
        <v/>
      </c>
      <c r="C491" s="22" t="n"/>
      <c r="D491" s="22" t="n"/>
      <c r="E491" s="23">
        <f>IF(OR(M491=0,K491="",L491=""),"",MOD(L491-K491,1))</f>
        <v/>
      </c>
      <c r="F491" s="24">
        <f>IF(OR(E491="",M491=0),"",IF(ROUND_MODE="للأعلى",CEILING(ROUND((E491*24*$N$490),3),0.25),ROUND((E491*24*$N$490)*4,0)/4))</f>
        <v/>
      </c>
      <c r="G491" s="22" t="n"/>
      <c r="H491" s="22" t="n"/>
      <c r="K491" s="25">
        <f>IF(OR(M491=0,C491=""),"",IF(ISNUMBER(C491),MOD(C491,1),IFERROR(INDEX('القوائم'!$B$1:$B$288,MATCH(TRIM(C491),'القوائم'!$A$1:$A$288,0)),IFERROR(MOD(TIMEVALUE(C491),1),""))))</f>
        <v/>
      </c>
      <c r="L491" s="25">
        <f>IF(OR(M491=0,D491=""),"",IF(ISNUMBER(D491),MOD(D491,1),IFERROR(INDEX('القوائم'!$B$1:$B$288,MATCH(TRIM(D491),'القوائم'!$A$1:$A$288,0)),IFERROR(MOD(TIMEVALUE(D491),1),""))))</f>
        <v/>
      </c>
      <c r="M491">
        <f>M490</f>
        <v/>
      </c>
      <c r="Q491">
        <f>IF(N(F500)&gt;0,1,0)</f>
        <v/>
      </c>
    </row>
    <row r="492">
      <c r="A492" s="20">
        <f>IF(45&lt;=NW,SAT1+309,"")</f>
        <v/>
      </c>
      <c r="B492" s="21">
        <f>IF(A492="","",CHOOSE(WEEKDAY(A492,1),"الأحد","الاثنين","الثلاثاء","الأربعاء","الخميس","الجمعة","السبت"))</f>
        <v/>
      </c>
      <c r="C492" s="22" t="n"/>
      <c r="D492" s="22" t="n"/>
      <c r="E492" s="23">
        <f>IF(OR(M492=0,K492="",L492=""),"",MOD(L492-K492,1))</f>
        <v/>
      </c>
      <c r="F492" s="24">
        <f>IF(OR(E492="",M492=0),"",IF(ROUND_MODE="للأعلى",CEILING(ROUND((E492*24*$N$490),3),0.25),ROUND((E492*24*$N$490)*4,0)/4))</f>
        <v/>
      </c>
      <c r="G492" s="22" t="n"/>
      <c r="H492" s="22" t="n"/>
      <c r="K492" s="25">
        <f>IF(OR(M492=0,C492=""),"",IF(ISNUMBER(C492),MOD(C492,1),IFERROR(INDEX('القوائم'!$B$1:$B$288,MATCH(TRIM(C492),'القوائم'!$A$1:$A$288,0)),IFERROR(MOD(TIMEVALUE(C492),1),""))))</f>
        <v/>
      </c>
      <c r="L492" s="25">
        <f>IF(OR(M492=0,D492=""),"",IF(ISNUMBER(D492),MOD(D492,1),IFERROR(INDEX('القوائم'!$B$1:$B$288,MATCH(TRIM(D492),'القوائم'!$A$1:$A$288,0)),IFERROR(MOD(TIMEVALUE(D492),1),""))))</f>
        <v/>
      </c>
      <c r="M492">
        <f>M490</f>
        <v/>
      </c>
      <c r="Q492">
        <f>IF(N(F500)&gt;0,1,0)</f>
        <v/>
      </c>
    </row>
    <row r="493">
      <c r="A493" s="20">
        <f>IF(45&lt;=NW,SAT1+310,"")</f>
        <v/>
      </c>
      <c r="B493" s="21">
        <f>IF(A493="","",CHOOSE(WEEKDAY(A493,1),"الأحد","الاثنين","الثلاثاء","الأربعاء","الخميس","الجمعة","السبت"))</f>
        <v/>
      </c>
      <c r="C493" s="22" t="n"/>
      <c r="D493" s="22" t="n"/>
      <c r="E493" s="23">
        <f>IF(OR(M493=0,K493="",L493=""),"",MOD(L493-K493,1))</f>
        <v/>
      </c>
      <c r="F493" s="24">
        <f>IF(OR(E493="",M493=0),"",IF(ROUND_MODE="للأعلى",CEILING(ROUND((E493*24*$N$490),3),0.25),ROUND((E493*24*$N$490)*4,0)/4))</f>
        <v/>
      </c>
      <c r="G493" s="22" t="n"/>
      <c r="H493" s="22" t="n"/>
      <c r="K493" s="25">
        <f>IF(OR(M493=0,C493=""),"",IF(ISNUMBER(C493),MOD(C493,1),IFERROR(INDEX('القوائم'!$B$1:$B$288,MATCH(TRIM(C493),'القوائم'!$A$1:$A$288,0)),IFERROR(MOD(TIMEVALUE(C493),1),""))))</f>
        <v/>
      </c>
      <c r="L493" s="25">
        <f>IF(OR(M493=0,D493=""),"",IF(ISNUMBER(D493),MOD(D493,1),IFERROR(INDEX('القوائم'!$B$1:$B$288,MATCH(TRIM(D493),'القوائم'!$A$1:$A$288,0)),IFERROR(MOD(TIMEVALUE(D493),1),""))))</f>
        <v/>
      </c>
      <c r="M493">
        <f>M490</f>
        <v/>
      </c>
      <c r="Q493">
        <f>IF(N(F500)&gt;0,1,0)</f>
        <v/>
      </c>
    </row>
    <row r="494">
      <c r="A494" s="20">
        <f>IF(45&lt;=NW,SAT1+311,"")</f>
        <v/>
      </c>
      <c r="B494" s="21">
        <f>IF(A494="","",CHOOSE(WEEKDAY(A494,1),"الأحد","الاثنين","الثلاثاء","الأربعاء","الخميس","الجمعة","السبت"))</f>
        <v/>
      </c>
      <c r="C494" s="22" t="n"/>
      <c r="D494" s="22" t="n"/>
      <c r="E494" s="23">
        <f>IF(OR(M494=0,K494="",L494=""),"",MOD(L494-K494,1))</f>
        <v/>
      </c>
      <c r="F494" s="24">
        <f>IF(OR(E494="",M494=0),"",IF(ROUND_MODE="للأعلى",CEILING(ROUND((E494*24*$N$490),3),0.25),ROUND((E494*24*$N$490)*4,0)/4))</f>
        <v/>
      </c>
      <c r="G494" s="22" t="n"/>
      <c r="H494" s="22" t="n"/>
      <c r="K494" s="25">
        <f>IF(OR(M494=0,C494=""),"",IF(ISNUMBER(C494),MOD(C494,1),IFERROR(INDEX('القوائم'!$B$1:$B$288,MATCH(TRIM(C494),'القوائم'!$A$1:$A$288,0)),IFERROR(MOD(TIMEVALUE(C494),1),""))))</f>
        <v/>
      </c>
      <c r="L494" s="25">
        <f>IF(OR(M494=0,D494=""),"",IF(ISNUMBER(D494),MOD(D494,1),IFERROR(INDEX('القوائم'!$B$1:$B$288,MATCH(TRIM(D494),'القوائم'!$A$1:$A$288,0)),IFERROR(MOD(TIMEVALUE(D494),1),""))))</f>
        <v/>
      </c>
      <c r="M494">
        <f>M490</f>
        <v/>
      </c>
      <c r="Q494">
        <f>IF(N(F500)&gt;0,1,0)</f>
        <v/>
      </c>
    </row>
    <row r="495">
      <c r="A495" s="20">
        <f>IF(45&lt;=NW,SAT1+312,"")</f>
        <v/>
      </c>
      <c r="B495" s="21">
        <f>IF(A495="","",CHOOSE(WEEKDAY(A495,1),"الأحد","الاثنين","الثلاثاء","الأربعاء","الخميس","الجمعة","السبت"))</f>
        <v/>
      </c>
      <c r="C495" s="22" t="n"/>
      <c r="D495" s="22" t="n"/>
      <c r="E495" s="23">
        <f>IF(OR(M495=0,K495="",L495=""),"",MOD(L495-K495,1))</f>
        <v/>
      </c>
      <c r="F495" s="24">
        <f>IF(OR(E495="",M495=0),"",IF(ROUND_MODE="للأعلى",CEILING(ROUND((E495*24*$N$490),3),0.25),ROUND((E495*24*$N$490)*4,0)/4))</f>
        <v/>
      </c>
      <c r="G495" s="22" t="n"/>
      <c r="H495" s="22" t="n"/>
      <c r="K495" s="25">
        <f>IF(OR(M495=0,C495=""),"",IF(ISNUMBER(C495),MOD(C495,1),IFERROR(INDEX('القوائم'!$B$1:$B$288,MATCH(TRIM(C495),'القوائم'!$A$1:$A$288,0)),IFERROR(MOD(TIMEVALUE(C495),1),""))))</f>
        <v/>
      </c>
      <c r="L495" s="25">
        <f>IF(OR(M495=0,D495=""),"",IF(ISNUMBER(D495),MOD(D495,1),IFERROR(INDEX('القوائم'!$B$1:$B$288,MATCH(TRIM(D495),'القوائم'!$A$1:$A$288,0)),IFERROR(MOD(TIMEVALUE(D495),1),""))))</f>
        <v/>
      </c>
      <c r="M495">
        <f>M490</f>
        <v/>
      </c>
      <c r="Q495">
        <f>IF(N(F500)&gt;0,1,0)</f>
        <v/>
      </c>
    </row>
    <row r="496">
      <c r="A496" s="20">
        <f>IF(45&lt;=NW,SAT1+313,"")</f>
        <v/>
      </c>
      <c r="B496" s="21">
        <f>IF(A496="","",CHOOSE(WEEKDAY(A496,1),"الأحد","الاثنين","الثلاثاء","الأربعاء","الخميس","الجمعة","السبت"))</f>
        <v/>
      </c>
      <c r="C496" s="22" t="n"/>
      <c r="D496" s="22" t="n"/>
      <c r="E496" s="23">
        <f>IF(OR(M496=0,K496="",L496=""),"",MOD(L496-K496,1))</f>
        <v/>
      </c>
      <c r="F496" s="24">
        <f>IF(OR(E496="",M496=0),"",IF(ROUND_MODE="للأعلى",CEILING(ROUND((E496*24*$N$490),3),0.25),ROUND((E496*24*$N$490)*4,0)/4))</f>
        <v/>
      </c>
      <c r="G496" s="22" t="n"/>
      <c r="H496" s="22" t="n"/>
      <c r="K496" s="25">
        <f>IF(OR(M496=0,C496=""),"",IF(ISNUMBER(C496),MOD(C496,1),IFERROR(INDEX('القوائم'!$B$1:$B$288,MATCH(TRIM(C496),'القوائم'!$A$1:$A$288,0)),IFERROR(MOD(TIMEVALUE(C496),1),""))))</f>
        <v/>
      </c>
      <c r="L496" s="25">
        <f>IF(OR(M496=0,D496=""),"",IF(ISNUMBER(D496),MOD(D496,1),IFERROR(INDEX('القوائم'!$B$1:$B$288,MATCH(TRIM(D496),'القوائم'!$A$1:$A$288,0)),IFERROR(MOD(TIMEVALUE(D496),1),""))))</f>
        <v/>
      </c>
      <c r="M496">
        <f>M490</f>
        <v/>
      </c>
      <c r="Q496">
        <f>IF(N(F500)&gt;0,1,0)</f>
        <v/>
      </c>
    </row>
    <row r="497">
      <c r="A497" s="26">
        <f>IF(45&lt;=NW,SAT1+314,"")</f>
        <v/>
      </c>
      <c r="B497" s="27">
        <f>IF(A497="","",CHOOSE(WEEKDAY(A497,1),"الأحد","الاثنين","الثلاثاء","الأربعاء","الخميس","الجمعة","السبت"))</f>
        <v/>
      </c>
      <c r="C497" s="22" t="n"/>
      <c r="D497" s="22" t="n"/>
      <c r="E497" s="23">
        <f>IF(OR(M497=0,K497="",L497=""),"",MOD(L497-K497,1))</f>
        <v/>
      </c>
      <c r="F497" s="24">
        <f>IF(OR(E497="",M497=0),"",IF(ROUND_MODE="للأعلى",CEILING(ROUND((E497*24*$N$490),3),0.25),ROUND((E497*24*$N$490)*4,0)/4))</f>
        <v/>
      </c>
      <c r="G497" s="22" t="n"/>
      <c r="H497" s="22" t="n"/>
      <c r="K497" s="25">
        <f>IF(OR(M497=0,C497=""),"",IF(ISNUMBER(C497),MOD(C497,1),IFERROR(INDEX('القوائم'!$B$1:$B$288,MATCH(TRIM(C497),'القوائم'!$A$1:$A$288,0)),IFERROR(MOD(TIMEVALUE(C497),1),""))))</f>
        <v/>
      </c>
      <c r="L497" s="25">
        <f>IF(OR(M497=0,D497=""),"",IF(ISNUMBER(D497),MOD(D497,1),IFERROR(INDEX('القوائم'!$B$1:$B$288,MATCH(TRIM(D497),'القوائم'!$A$1:$A$288,0)),IFERROR(MOD(TIMEVALUE(D497),1),""))))</f>
        <v/>
      </c>
      <c r="M497">
        <f>M490</f>
        <v/>
      </c>
      <c r="Q497">
        <f>IF(N(F500)&gt;0,1,0)</f>
        <v/>
      </c>
    </row>
    <row r="498">
      <c r="A498" s="28">
        <f>IF(M490=1,"مجموع أيام الأسبوع 45","")</f>
        <v/>
      </c>
      <c r="B498" s="28" t="n"/>
      <c r="C498" s="28" t="n"/>
      <c r="D498" s="28" t="n"/>
      <c r="E498" s="29">
        <f>IF(M490=1,SUM(E491:E497),"")</f>
        <v/>
      </c>
      <c r="F498" s="30">
        <f>IF(M490=1,SUM(F491:F497),"")</f>
        <v/>
      </c>
      <c r="G498" s="41">
        <f>IF(M490=1,SUMIFS(F491:F497,G491:G497,"نعم"),"")</f>
        <v/>
      </c>
      <c r="H498" s="28" t="n"/>
    </row>
    <row r="499" ht="32" customHeight="1">
      <c r="A499" s="28">
        <f>IF(M490=1,"ساعات تحميل الجبسمبورد بهالأسبوع (رقم: 2 أو 1.5) ←","")</f>
        <v/>
      </c>
      <c r="E499" s="31" t="n"/>
      <c r="F499" s="33">
        <f>IF(M490=1,N(F498)+IF(ROUND_MODE="للأعلى",CEILING(ROUND((N(E499)*($P$490-$N$490)),3),0.25),ROUND((N(E499)*($P$490-$N$490))*4,0)/4),"")</f>
        <v/>
      </c>
      <c r="G499" s="32">
        <f>IF(M490=1,"← المستحق النهائي للأسبوع (دينار) مع فرق الجبسمبورد","")</f>
        <v/>
      </c>
    </row>
    <row r="500" ht="26" customHeight="1">
      <c r="A500" s="28">
        <f>IF(M490=1,"إكرامية الأسبوع ←","")</f>
        <v/>
      </c>
      <c r="C500" s="35" t="n"/>
      <c r="D500" s="28">
        <f>IF(M490=1,"المدفوع يوم الجمعة (التسوية) ←","")</f>
        <v/>
      </c>
      <c r="F500" s="35" t="n"/>
      <c r="G500" s="36">
        <f>IF(M490=1,IF(N(F500)&gt;0,"✔ انقبض — الأسبوع مقفول","⏳ لسا ما انقبض"),"")</f>
        <v/>
      </c>
    </row>
    <row r="501" ht="26" customHeight="1">
      <c r="A501" s="40">
        <f>IF(46&lt;=NW,"الأسبوع 46 · السبت "&amp;TEXT(DAY(SAT1+315),"00")&amp;"/"&amp;TEXT(MONTH(SAT1+315),"00")&amp;" ← الجمعة "&amp;TEXT(DAY(SAT1+321),"00")&amp;"/"&amp;TEXT(MONTH(SAT1+321),"00")&amp;" (يوم القبض)"&amp;IF(46&lt;START_Z,"   — قبل أسبوع البداية (ما بينحسب)",""),"ما في أسبوع 46 هالسنة")</f>
        <v/>
      </c>
      <c r="L501" s="19">
        <f>IF(46&lt;=NW,SAT1+321,"")</f>
        <v/>
      </c>
      <c r="M501">
        <f>IF(AND(46&lt;=NW,46&gt;=START_Z),1,0)</f>
        <v/>
      </c>
      <c r="N501">
        <f>IFERROR(INDEX(RT_AZZ,MATCH(L501,RT_K,1)),INDEX(RT_AZZ,1))</f>
        <v/>
      </c>
      <c r="P501">
        <f>IFERROR(INDEX(RT_GYP,MATCH(L501,RT_K,1)),INDEX(RT_GYP,1))</f>
        <v/>
      </c>
    </row>
    <row r="502">
      <c r="A502" s="20">
        <f>IF(46&lt;=NW,SAT1+315,"")</f>
        <v/>
      </c>
      <c r="B502" s="21">
        <f>IF(A502="","",CHOOSE(WEEKDAY(A502,1),"الأحد","الاثنين","الثلاثاء","الأربعاء","الخميس","الجمعة","السبت"))</f>
        <v/>
      </c>
      <c r="C502" s="22" t="n"/>
      <c r="D502" s="22" t="n"/>
      <c r="E502" s="23">
        <f>IF(OR(M502=0,K502="",L502=""),"",MOD(L502-K502,1))</f>
        <v/>
      </c>
      <c r="F502" s="24">
        <f>IF(OR(E502="",M502=0),"",IF(ROUND_MODE="للأعلى",CEILING(ROUND((E502*24*$N$501),3),0.25),ROUND((E502*24*$N$501)*4,0)/4))</f>
        <v/>
      </c>
      <c r="G502" s="22" t="n"/>
      <c r="H502" s="22" t="n"/>
      <c r="K502" s="25">
        <f>IF(OR(M502=0,C502=""),"",IF(ISNUMBER(C502),MOD(C502,1),IFERROR(INDEX('القوائم'!$B$1:$B$288,MATCH(TRIM(C502),'القوائم'!$A$1:$A$288,0)),IFERROR(MOD(TIMEVALUE(C502),1),""))))</f>
        <v/>
      </c>
      <c r="L502" s="25">
        <f>IF(OR(M502=0,D502=""),"",IF(ISNUMBER(D502),MOD(D502,1),IFERROR(INDEX('القوائم'!$B$1:$B$288,MATCH(TRIM(D502),'القوائم'!$A$1:$A$288,0)),IFERROR(MOD(TIMEVALUE(D502),1),""))))</f>
        <v/>
      </c>
      <c r="M502">
        <f>M501</f>
        <v/>
      </c>
      <c r="Q502">
        <f>IF(N(F511)&gt;0,1,0)</f>
        <v/>
      </c>
    </row>
    <row r="503">
      <c r="A503" s="20">
        <f>IF(46&lt;=NW,SAT1+316,"")</f>
        <v/>
      </c>
      <c r="B503" s="21">
        <f>IF(A503="","",CHOOSE(WEEKDAY(A503,1),"الأحد","الاثنين","الثلاثاء","الأربعاء","الخميس","الجمعة","السبت"))</f>
        <v/>
      </c>
      <c r="C503" s="22" t="n"/>
      <c r="D503" s="22" t="n"/>
      <c r="E503" s="23">
        <f>IF(OR(M503=0,K503="",L503=""),"",MOD(L503-K503,1))</f>
        <v/>
      </c>
      <c r="F503" s="24">
        <f>IF(OR(E503="",M503=0),"",IF(ROUND_MODE="للأعلى",CEILING(ROUND((E503*24*$N$501),3),0.25),ROUND((E503*24*$N$501)*4,0)/4))</f>
        <v/>
      </c>
      <c r="G503" s="22" t="n"/>
      <c r="H503" s="22" t="n"/>
      <c r="K503" s="25">
        <f>IF(OR(M503=0,C503=""),"",IF(ISNUMBER(C503),MOD(C503,1),IFERROR(INDEX('القوائم'!$B$1:$B$288,MATCH(TRIM(C503),'القوائم'!$A$1:$A$288,0)),IFERROR(MOD(TIMEVALUE(C503),1),""))))</f>
        <v/>
      </c>
      <c r="L503" s="25">
        <f>IF(OR(M503=0,D503=""),"",IF(ISNUMBER(D503),MOD(D503,1),IFERROR(INDEX('القوائم'!$B$1:$B$288,MATCH(TRIM(D503),'القوائم'!$A$1:$A$288,0)),IFERROR(MOD(TIMEVALUE(D503),1),""))))</f>
        <v/>
      </c>
      <c r="M503">
        <f>M501</f>
        <v/>
      </c>
      <c r="Q503">
        <f>IF(N(F511)&gt;0,1,0)</f>
        <v/>
      </c>
    </row>
    <row r="504">
      <c r="A504" s="20">
        <f>IF(46&lt;=NW,SAT1+317,"")</f>
        <v/>
      </c>
      <c r="B504" s="21">
        <f>IF(A504="","",CHOOSE(WEEKDAY(A504,1),"الأحد","الاثنين","الثلاثاء","الأربعاء","الخميس","الجمعة","السبت"))</f>
        <v/>
      </c>
      <c r="C504" s="22" t="n"/>
      <c r="D504" s="22" t="n"/>
      <c r="E504" s="23">
        <f>IF(OR(M504=0,K504="",L504=""),"",MOD(L504-K504,1))</f>
        <v/>
      </c>
      <c r="F504" s="24">
        <f>IF(OR(E504="",M504=0),"",IF(ROUND_MODE="للأعلى",CEILING(ROUND((E504*24*$N$501),3),0.25),ROUND((E504*24*$N$501)*4,0)/4))</f>
        <v/>
      </c>
      <c r="G504" s="22" t="n"/>
      <c r="H504" s="22" t="n"/>
      <c r="K504" s="25">
        <f>IF(OR(M504=0,C504=""),"",IF(ISNUMBER(C504),MOD(C504,1),IFERROR(INDEX('القوائم'!$B$1:$B$288,MATCH(TRIM(C504),'القوائم'!$A$1:$A$288,0)),IFERROR(MOD(TIMEVALUE(C504),1),""))))</f>
        <v/>
      </c>
      <c r="L504" s="25">
        <f>IF(OR(M504=0,D504=""),"",IF(ISNUMBER(D504),MOD(D504,1),IFERROR(INDEX('القوائم'!$B$1:$B$288,MATCH(TRIM(D504),'القوائم'!$A$1:$A$288,0)),IFERROR(MOD(TIMEVALUE(D504),1),""))))</f>
        <v/>
      </c>
      <c r="M504">
        <f>M501</f>
        <v/>
      </c>
      <c r="Q504">
        <f>IF(N(F511)&gt;0,1,0)</f>
        <v/>
      </c>
    </row>
    <row r="505">
      <c r="A505" s="20">
        <f>IF(46&lt;=NW,SAT1+318,"")</f>
        <v/>
      </c>
      <c r="B505" s="21">
        <f>IF(A505="","",CHOOSE(WEEKDAY(A505,1),"الأحد","الاثنين","الثلاثاء","الأربعاء","الخميس","الجمعة","السبت"))</f>
        <v/>
      </c>
      <c r="C505" s="22" t="n"/>
      <c r="D505" s="22" t="n"/>
      <c r="E505" s="23">
        <f>IF(OR(M505=0,K505="",L505=""),"",MOD(L505-K505,1))</f>
        <v/>
      </c>
      <c r="F505" s="24">
        <f>IF(OR(E505="",M505=0),"",IF(ROUND_MODE="للأعلى",CEILING(ROUND((E505*24*$N$501),3),0.25),ROUND((E505*24*$N$501)*4,0)/4))</f>
        <v/>
      </c>
      <c r="G505" s="22" t="n"/>
      <c r="H505" s="22" t="n"/>
      <c r="K505" s="25">
        <f>IF(OR(M505=0,C505=""),"",IF(ISNUMBER(C505),MOD(C505,1),IFERROR(INDEX('القوائم'!$B$1:$B$288,MATCH(TRIM(C505),'القوائم'!$A$1:$A$288,0)),IFERROR(MOD(TIMEVALUE(C505),1),""))))</f>
        <v/>
      </c>
      <c r="L505" s="25">
        <f>IF(OR(M505=0,D505=""),"",IF(ISNUMBER(D505),MOD(D505,1),IFERROR(INDEX('القوائم'!$B$1:$B$288,MATCH(TRIM(D505),'القوائم'!$A$1:$A$288,0)),IFERROR(MOD(TIMEVALUE(D505),1),""))))</f>
        <v/>
      </c>
      <c r="M505">
        <f>M501</f>
        <v/>
      </c>
      <c r="Q505">
        <f>IF(N(F511)&gt;0,1,0)</f>
        <v/>
      </c>
    </row>
    <row r="506">
      <c r="A506" s="20">
        <f>IF(46&lt;=NW,SAT1+319,"")</f>
        <v/>
      </c>
      <c r="B506" s="21">
        <f>IF(A506="","",CHOOSE(WEEKDAY(A506,1),"الأحد","الاثنين","الثلاثاء","الأربعاء","الخميس","الجمعة","السبت"))</f>
        <v/>
      </c>
      <c r="C506" s="22" t="n"/>
      <c r="D506" s="22" t="n"/>
      <c r="E506" s="23">
        <f>IF(OR(M506=0,K506="",L506=""),"",MOD(L506-K506,1))</f>
        <v/>
      </c>
      <c r="F506" s="24">
        <f>IF(OR(E506="",M506=0),"",IF(ROUND_MODE="للأعلى",CEILING(ROUND((E506*24*$N$501),3),0.25),ROUND((E506*24*$N$501)*4,0)/4))</f>
        <v/>
      </c>
      <c r="G506" s="22" t="n"/>
      <c r="H506" s="22" t="n"/>
      <c r="K506" s="25">
        <f>IF(OR(M506=0,C506=""),"",IF(ISNUMBER(C506),MOD(C506,1),IFERROR(INDEX('القوائم'!$B$1:$B$288,MATCH(TRIM(C506),'القوائم'!$A$1:$A$288,0)),IFERROR(MOD(TIMEVALUE(C506),1),""))))</f>
        <v/>
      </c>
      <c r="L506" s="25">
        <f>IF(OR(M506=0,D506=""),"",IF(ISNUMBER(D506),MOD(D506,1),IFERROR(INDEX('القوائم'!$B$1:$B$288,MATCH(TRIM(D506),'القوائم'!$A$1:$A$288,0)),IFERROR(MOD(TIMEVALUE(D506),1),""))))</f>
        <v/>
      </c>
      <c r="M506">
        <f>M501</f>
        <v/>
      </c>
      <c r="Q506">
        <f>IF(N(F511)&gt;0,1,0)</f>
        <v/>
      </c>
    </row>
    <row r="507">
      <c r="A507" s="20">
        <f>IF(46&lt;=NW,SAT1+320,"")</f>
        <v/>
      </c>
      <c r="B507" s="21">
        <f>IF(A507="","",CHOOSE(WEEKDAY(A507,1),"الأحد","الاثنين","الثلاثاء","الأربعاء","الخميس","الجمعة","السبت"))</f>
        <v/>
      </c>
      <c r="C507" s="22" t="n"/>
      <c r="D507" s="22" t="n"/>
      <c r="E507" s="23">
        <f>IF(OR(M507=0,K507="",L507=""),"",MOD(L507-K507,1))</f>
        <v/>
      </c>
      <c r="F507" s="24">
        <f>IF(OR(E507="",M507=0),"",IF(ROUND_MODE="للأعلى",CEILING(ROUND((E507*24*$N$501),3),0.25),ROUND((E507*24*$N$501)*4,0)/4))</f>
        <v/>
      </c>
      <c r="G507" s="22" t="n"/>
      <c r="H507" s="22" t="n"/>
      <c r="K507" s="25">
        <f>IF(OR(M507=0,C507=""),"",IF(ISNUMBER(C507),MOD(C507,1),IFERROR(INDEX('القوائم'!$B$1:$B$288,MATCH(TRIM(C507),'القوائم'!$A$1:$A$288,0)),IFERROR(MOD(TIMEVALUE(C507),1),""))))</f>
        <v/>
      </c>
      <c r="L507" s="25">
        <f>IF(OR(M507=0,D507=""),"",IF(ISNUMBER(D507),MOD(D507,1),IFERROR(INDEX('القوائم'!$B$1:$B$288,MATCH(TRIM(D507),'القوائم'!$A$1:$A$288,0)),IFERROR(MOD(TIMEVALUE(D507),1),""))))</f>
        <v/>
      </c>
      <c r="M507">
        <f>M501</f>
        <v/>
      </c>
      <c r="Q507">
        <f>IF(N(F511)&gt;0,1,0)</f>
        <v/>
      </c>
    </row>
    <row r="508">
      <c r="A508" s="26">
        <f>IF(46&lt;=NW,SAT1+321,"")</f>
        <v/>
      </c>
      <c r="B508" s="27">
        <f>IF(A508="","",CHOOSE(WEEKDAY(A508,1),"الأحد","الاثنين","الثلاثاء","الأربعاء","الخميس","الجمعة","السبت"))</f>
        <v/>
      </c>
      <c r="C508" s="22" t="n"/>
      <c r="D508" s="22" t="n"/>
      <c r="E508" s="23">
        <f>IF(OR(M508=0,K508="",L508=""),"",MOD(L508-K508,1))</f>
        <v/>
      </c>
      <c r="F508" s="24">
        <f>IF(OR(E508="",M508=0),"",IF(ROUND_MODE="للأعلى",CEILING(ROUND((E508*24*$N$501),3),0.25),ROUND((E508*24*$N$501)*4,0)/4))</f>
        <v/>
      </c>
      <c r="G508" s="22" t="n"/>
      <c r="H508" s="22" t="n"/>
      <c r="K508" s="25">
        <f>IF(OR(M508=0,C508=""),"",IF(ISNUMBER(C508),MOD(C508,1),IFERROR(INDEX('القوائم'!$B$1:$B$288,MATCH(TRIM(C508),'القوائم'!$A$1:$A$288,0)),IFERROR(MOD(TIMEVALUE(C508),1),""))))</f>
        <v/>
      </c>
      <c r="L508" s="25">
        <f>IF(OR(M508=0,D508=""),"",IF(ISNUMBER(D508),MOD(D508,1),IFERROR(INDEX('القوائم'!$B$1:$B$288,MATCH(TRIM(D508),'القوائم'!$A$1:$A$288,0)),IFERROR(MOD(TIMEVALUE(D508),1),""))))</f>
        <v/>
      </c>
      <c r="M508">
        <f>M501</f>
        <v/>
      </c>
      <c r="Q508">
        <f>IF(N(F511)&gt;0,1,0)</f>
        <v/>
      </c>
    </row>
    <row r="509">
      <c r="A509" s="28">
        <f>IF(M501=1,"مجموع أيام الأسبوع 46","")</f>
        <v/>
      </c>
      <c r="B509" s="28" t="n"/>
      <c r="C509" s="28" t="n"/>
      <c r="D509" s="28" t="n"/>
      <c r="E509" s="29">
        <f>IF(M501=1,SUM(E502:E508),"")</f>
        <v/>
      </c>
      <c r="F509" s="30">
        <f>IF(M501=1,SUM(F502:F508),"")</f>
        <v/>
      </c>
      <c r="G509" s="41">
        <f>IF(M501=1,SUMIFS(F502:F508,G502:G508,"نعم"),"")</f>
        <v/>
      </c>
      <c r="H509" s="28" t="n"/>
    </row>
    <row r="510" ht="32" customHeight="1">
      <c r="A510" s="28">
        <f>IF(M501=1,"ساعات تحميل الجبسمبورد بهالأسبوع (رقم: 2 أو 1.5) ←","")</f>
        <v/>
      </c>
      <c r="E510" s="31" t="n"/>
      <c r="F510" s="33">
        <f>IF(M501=1,N(F509)+IF(ROUND_MODE="للأعلى",CEILING(ROUND((N(E510)*($P$501-$N$501)),3),0.25),ROUND((N(E510)*($P$501-$N$501))*4,0)/4),"")</f>
        <v/>
      </c>
      <c r="G510" s="32">
        <f>IF(M501=1,"← المستحق النهائي للأسبوع (دينار) مع فرق الجبسمبورد","")</f>
        <v/>
      </c>
    </row>
    <row r="511" ht="26" customHeight="1">
      <c r="A511" s="28">
        <f>IF(M501=1,"إكرامية الأسبوع ←","")</f>
        <v/>
      </c>
      <c r="C511" s="35" t="n"/>
      <c r="D511" s="28">
        <f>IF(M501=1,"المدفوع يوم الجمعة (التسوية) ←","")</f>
        <v/>
      </c>
      <c r="F511" s="35" t="n"/>
      <c r="G511" s="36">
        <f>IF(M501=1,IF(N(F511)&gt;0,"✔ انقبض — الأسبوع مقفول","⏳ لسا ما انقبض"),"")</f>
        <v/>
      </c>
    </row>
    <row r="512" ht="26" customHeight="1">
      <c r="A512" s="40">
        <f>IF(47&lt;=NW,"الأسبوع 47 · السبت "&amp;TEXT(DAY(SAT1+322),"00")&amp;"/"&amp;TEXT(MONTH(SAT1+322),"00")&amp;" ← الجمعة "&amp;TEXT(DAY(SAT1+328),"00")&amp;"/"&amp;TEXT(MONTH(SAT1+328),"00")&amp;" (يوم القبض)"&amp;IF(47&lt;START_Z,"   — قبل أسبوع البداية (ما بينحسب)",""),"ما في أسبوع 47 هالسنة")</f>
        <v/>
      </c>
      <c r="L512" s="19">
        <f>IF(47&lt;=NW,SAT1+328,"")</f>
        <v/>
      </c>
      <c r="M512">
        <f>IF(AND(47&lt;=NW,47&gt;=START_Z),1,0)</f>
        <v/>
      </c>
      <c r="N512">
        <f>IFERROR(INDEX(RT_AZZ,MATCH(L512,RT_K,1)),INDEX(RT_AZZ,1))</f>
        <v/>
      </c>
      <c r="P512">
        <f>IFERROR(INDEX(RT_GYP,MATCH(L512,RT_K,1)),INDEX(RT_GYP,1))</f>
        <v/>
      </c>
    </row>
    <row r="513">
      <c r="A513" s="20">
        <f>IF(47&lt;=NW,SAT1+322,"")</f>
        <v/>
      </c>
      <c r="B513" s="21">
        <f>IF(A513="","",CHOOSE(WEEKDAY(A513,1),"الأحد","الاثنين","الثلاثاء","الأربعاء","الخميس","الجمعة","السبت"))</f>
        <v/>
      </c>
      <c r="C513" s="22" t="n"/>
      <c r="D513" s="22" t="n"/>
      <c r="E513" s="23">
        <f>IF(OR(M513=0,K513="",L513=""),"",MOD(L513-K513,1))</f>
        <v/>
      </c>
      <c r="F513" s="24">
        <f>IF(OR(E513="",M513=0),"",IF(ROUND_MODE="للأعلى",CEILING(ROUND((E513*24*$N$512),3),0.25),ROUND((E513*24*$N$512)*4,0)/4))</f>
        <v/>
      </c>
      <c r="G513" s="22" t="n"/>
      <c r="H513" s="22" t="n"/>
      <c r="K513" s="25">
        <f>IF(OR(M513=0,C513=""),"",IF(ISNUMBER(C513),MOD(C513,1),IFERROR(INDEX('القوائم'!$B$1:$B$288,MATCH(TRIM(C513),'القوائم'!$A$1:$A$288,0)),IFERROR(MOD(TIMEVALUE(C513),1),""))))</f>
        <v/>
      </c>
      <c r="L513" s="25">
        <f>IF(OR(M513=0,D513=""),"",IF(ISNUMBER(D513),MOD(D513,1),IFERROR(INDEX('القوائم'!$B$1:$B$288,MATCH(TRIM(D513),'القوائم'!$A$1:$A$288,0)),IFERROR(MOD(TIMEVALUE(D513),1),""))))</f>
        <v/>
      </c>
      <c r="M513">
        <f>M512</f>
        <v/>
      </c>
      <c r="Q513">
        <f>IF(N(F522)&gt;0,1,0)</f>
        <v/>
      </c>
    </row>
    <row r="514">
      <c r="A514" s="20">
        <f>IF(47&lt;=NW,SAT1+323,"")</f>
        <v/>
      </c>
      <c r="B514" s="21">
        <f>IF(A514="","",CHOOSE(WEEKDAY(A514,1),"الأحد","الاثنين","الثلاثاء","الأربعاء","الخميس","الجمعة","السبت"))</f>
        <v/>
      </c>
      <c r="C514" s="22" t="n"/>
      <c r="D514" s="22" t="n"/>
      <c r="E514" s="23">
        <f>IF(OR(M514=0,K514="",L514=""),"",MOD(L514-K514,1))</f>
        <v/>
      </c>
      <c r="F514" s="24">
        <f>IF(OR(E514="",M514=0),"",IF(ROUND_MODE="للأعلى",CEILING(ROUND((E514*24*$N$512),3),0.25),ROUND((E514*24*$N$512)*4,0)/4))</f>
        <v/>
      </c>
      <c r="G514" s="22" t="n"/>
      <c r="H514" s="22" t="n"/>
      <c r="K514" s="25">
        <f>IF(OR(M514=0,C514=""),"",IF(ISNUMBER(C514),MOD(C514,1),IFERROR(INDEX('القوائم'!$B$1:$B$288,MATCH(TRIM(C514),'القوائم'!$A$1:$A$288,0)),IFERROR(MOD(TIMEVALUE(C514),1),""))))</f>
        <v/>
      </c>
      <c r="L514" s="25">
        <f>IF(OR(M514=0,D514=""),"",IF(ISNUMBER(D514),MOD(D514,1),IFERROR(INDEX('القوائم'!$B$1:$B$288,MATCH(TRIM(D514),'القوائم'!$A$1:$A$288,0)),IFERROR(MOD(TIMEVALUE(D514),1),""))))</f>
        <v/>
      </c>
      <c r="M514">
        <f>M512</f>
        <v/>
      </c>
      <c r="Q514">
        <f>IF(N(F522)&gt;0,1,0)</f>
        <v/>
      </c>
    </row>
    <row r="515">
      <c r="A515" s="20">
        <f>IF(47&lt;=NW,SAT1+324,"")</f>
        <v/>
      </c>
      <c r="B515" s="21">
        <f>IF(A515="","",CHOOSE(WEEKDAY(A515,1),"الأحد","الاثنين","الثلاثاء","الأربعاء","الخميس","الجمعة","السبت"))</f>
        <v/>
      </c>
      <c r="C515" s="22" t="n"/>
      <c r="D515" s="22" t="n"/>
      <c r="E515" s="23">
        <f>IF(OR(M515=0,K515="",L515=""),"",MOD(L515-K515,1))</f>
        <v/>
      </c>
      <c r="F515" s="24">
        <f>IF(OR(E515="",M515=0),"",IF(ROUND_MODE="للأعلى",CEILING(ROUND((E515*24*$N$512),3),0.25),ROUND((E515*24*$N$512)*4,0)/4))</f>
        <v/>
      </c>
      <c r="G515" s="22" t="n"/>
      <c r="H515" s="22" t="n"/>
      <c r="K515" s="25">
        <f>IF(OR(M515=0,C515=""),"",IF(ISNUMBER(C515),MOD(C515,1),IFERROR(INDEX('القوائم'!$B$1:$B$288,MATCH(TRIM(C515),'القوائم'!$A$1:$A$288,0)),IFERROR(MOD(TIMEVALUE(C515),1),""))))</f>
        <v/>
      </c>
      <c r="L515" s="25">
        <f>IF(OR(M515=0,D515=""),"",IF(ISNUMBER(D515),MOD(D515,1),IFERROR(INDEX('القوائم'!$B$1:$B$288,MATCH(TRIM(D515),'القوائم'!$A$1:$A$288,0)),IFERROR(MOD(TIMEVALUE(D515),1),""))))</f>
        <v/>
      </c>
      <c r="M515">
        <f>M512</f>
        <v/>
      </c>
      <c r="Q515">
        <f>IF(N(F522)&gt;0,1,0)</f>
        <v/>
      </c>
    </row>
    <row r="516">
      <c r="A516" s="20">
        <f>IF(47&lt;=NW,SAT1+325,"")</f>
        <v/>
      </c>
      <c r="B516" s="21">
        <f>IF(A516="","",CHOOSE(WEEKDAY(A516,1),"الأحد","الاثنين","الثلاثاء","الأربعاء","الخميس","الجمعة","السبت"))</f>
        <v/>
      </c>
      <c r="C516" s="22" t="n"/>
      <c r="D516" s="22" t="n"/>
      <c r="E516" s="23">
        <f>IF(OR(M516=0,K516="",L516=""),"",MOD(L516-K516,1))</f>
        <v/>
      </c>
      <c r="F516" s="24">
        <f>IF(OR(E516="",M516=0),"",IF(ROUND_MODE="للأعلى",CEILING(ROUND((E516*24*$N$512),3),0.25),ROUND((E516*24*$N$512)*4,0)/4))</f>
        <v/>
      </c>
      <c r="G516" s="22" t="n"/>
      <c r="H516" s="22" t="n"/>
      <c r="K516" s="25">
        <f>IF(OR(M516=0,C516=""),"",IF(ISNUMBER(C516),MOD(C516,1),IFERROR(INDEX('القوائم'!$B$1:$B$288,MATCH(TRIM(C516),'القوائم'!$A$1:$A$288,0)),IFERROR(MOD(TIMEVALUE(C516),1),""))))</f>
        <v/>
      </c>
      <c r="L516" s="25">
        <f>IF(OR(M516=0,D516=""),"",IF(ISNUMBER(D516),MOD(D516,1),IFERROR(INDEX('القوائم'!$B$1:$B$288,MATCH(TRIM(D516),'القوائم'!$A$1:$A$288,0)),IFERROR(MOD(TIMEVALUE(D516),1),""))))</f>
        <v/>
      </c>
      <c r="M516">
        <f>M512</f>
        <v/>
      </c>
      <c r="Q516">
        <f>IF(N(F522)&gt;0,1,0)</f>
        <v/>
      </c>
    </row>
    <row r="517">
      <c r="A517" s="20">
        <f>IF(47&lt;=NW,SAT1+326,"")</f>
        <v/>
      </c>
      <c r="B517" s="21">
        <f>IF(A517="","",CHOOSE(WEEKDAY(A517,1),"الأحد","الاثنين","الثلاثاء","الأربعاء","الخميس","الجمعة","السبت"))</f>
        <v/>
      </c>
      <c r="C517" s="22" t="n"/>
      <c r="D517" s="22" t="n"/>
      <c r="E517" s="23">
        <f>IF(OR(M517=0,K517="",L517=""),"",MOD(L517-K517,1))</f>
        <v/>
      </c>
      <c r="F517" s="24">
        <f>IF(OR(E517="",M517=0),"",IF(ROUND_MODE="للأعلى",CEILING(ROUND((E517*24*$N$512),3),0.25),ROUND((E517*24*$N$512)*4,0)/4))</f>
        <v/>
      </c>
      <c r="G517" s="22" t="n"/>
      <c r="H517" s="22" t="n"/>
      <c r="K517" s="25">
        <f>IF(OR(M517=0,C517=""),"",IF(ISNUMBER(C517),MOD(C517,1),IFERROR(INDEX('القوائم'!$B$1:$B$288,MATCH(TRIM(C517),'القوائم'!$A$1:$A$288,0)),IFERROR(MOD(TIMEVALUE(C517),1),""))))</f>
        <v/>
      </c>
      <c r="L517" s="25">
        <f>IF(OR(M517=0,D517=""),"",IF(ISNUMBER(D517),MOD(D517,1),IFERROR(INDEX('القوائم'!$B$1:$B$288,MATCH(TRIM(D517),'القوائم'!$A$1:$A$288,0)),IFERROR(MOD(TIMEVALUE(D517),1),""))))</f>
        <v/>
      </c>
      <c r="M517">
        <f>M512</f>
        <v/>
      </c>
      <c r="Q517">
        <f>IF(N(F522)&gt;0,1,0)</f>
        <v/>
      </c>
    </row>
    <row r="518">
      <c r="A518" s="20">
        <f>IF(47&lt;=NW,SAT1+327,"")</f>
        <v/>
      </c>
      <c r="B518" s="21">
        <f>IF(A518="","",CHOOSE(WEEKDAY(A518,1),"الأحد","الاثنين","الثلاثاء","الأربعاء","الخميس","الجمعة","السبت"))</f>
        <v/>
      </c>
      <c r="C518" s="22" t="n"/>
      <c r="D518" s="22" t="n"/>
      <c r="E518" s="23">
        <f>IF(OR(M518=0,K518="",L518=""),"",MOD(L518-K518,1))</f>
        <v/>
      </c>
      <c r="F518" s="24">
        <f>IF(OR(E518="",M518=0),"",IF(ROUND_MODE="للأعلى",CEILING(ROUND((E518*24*$N$512),3),0.25),ROUND((E518*24*$N$512)*4,0)/4))</f>
        <v/>
      </c>
      <c r="G518" s="22" t="n"/>
      <c r="H518" s="22" t="n"/>
      <c r="K518" s="25">
        <f>IF(OR(M518=0,C518=""),"",IF(ISNUMBER(C518),MOD(C518,1),IFERROR(INDEX('القوائم'!$B$1:$B$288,MATCH(TRIM(C518),'القوائم'!$A$1:$A$288,0)),IFERROR(MOD(TIMEVALUE(C518),1),""))))</f>
        <v/>
      </c>
      <c r="L518" s="25">
        <f>IF(OR(M518=0,D518=""),"",IF(ISNUMBER(D518),MOD(D518,1),IFERROR(INDEX('القوائم'!$B$1:$B$288,MATCH(TRIM(D518),'القوائم'!$A$1:$A$288,0)),IFERROR(MOD(TIMEVALUE(D518),1),""))))</f>
        <v/>
      </c>
      <c r="M518">
        <f>M512</f>
        <v/>
      </c>
      <c r="Q518">
        <f>IF(N(F522)&gt;0,1,0)</f>
        <v/>
      </c>
    </row>
    <row r="519">
      <c r="A519" s="26">
        <f>IF(47&lt;=NW,SAT1+328,"")</f>
        <v/>
      </c>
      <c r="B519" s="27">
        <f>IF(A519="","",CHOOSE(WEEKDAY(A519,1),"الأحد","الاثنين","الثلاثاء","الأربعاء","الخميس","الجمعة","السبت"))</f>
        <v/>
      </c>
      <c r="C519" s="22" t="n"/>
      <c r="D519" s="22" t="n"/>
      <c r="E519" s="23">
        <f>IF(OR(M519=0,K519="",L519=""),"",MOD(L519-K519,1))</f>
        <v/>
      </c>
      <c r="F519" s="24">
        <f>IF(OR(E519="",M519=0),"",IF(ROUND_MODE="للأعلى",CEILING(ROUND((E519*24*$N$512),3),0.25),ROUND((E519*24*$N$512)*4,0)/4))</f>
        <v/>
      </c>
      <c r="G519" s="22" t="n"/>
      <c r="H519" s="22" t="n"/>
      <c r="K519" s="25">
        <f>IF(OR(M519=0,C519=""),"",IF(ISNUMBER(C519),MOD(C519,1),IFERROR(INDEX('القوائم'!$B$1:$B$288,MATCH(TRIM(C519),'القوائم'!$A$1:$A$288,0)),IFERROR(MOD(TIMEVALUE(C519),1),""))))</f>
        <v/>
      </c>
      <c r="L519" s="25">
        <f>IF(OR(M519=0,D519=""),"",IF(ISNUMBER(D519),MOD(D519,1),IFERROR(INDEX('القوائم'!$B$1:$B$288,MATCH(TRIM(D519),'القوائم'!$A$1:$A$288,0)),IFERROR(MOD(TIMEVALUE(D519),1),""))))</f>
        <v/>
      </c>
      <c r="M519">
        <f>M512</f>
        <v/>
      </c>
      <c r="Q519">
        <f>IF(N(F522)&gt;0,1,0)</f>
        <v/>
      </c>
    </row>
    <row r="520">
      <c r="A520" s="28">
        <f>IF(M512=1,"مجموع أيام الأسبوع 47","")</f>
        <v/>
      </c>
      <c r="B520" s="28" t="n"/>
      <c r="C520" s="28" t="n"/>
      <c r="D520" s="28" t="n"/>
      <c r="E520" s="29">
        <f>IF(M512=1,SUM(E513:E519),"")</f>
        <v/>
      </c>
      <c r="F520" s="30">
        <f>IF(M512=1,SUM(F513:F519),"")</f>
        <v/>
      </c>
      <c r="G520" s="41">
        <f>IF(M512=1,SUMIFS(F513:F519,G513:G519,"نعم"),"")</f>
        <v/>
      </c>
      <c r="H520" s="28" t="n"/>
    </row>
    <row r="521" ht="32" customHeight="1">
      <c r="A521" s="28">
        <f>IF(M512=1,"ساعات تحميل الجبسمبورد بهالأسبوع (رقم: 2 أو 1.5) ←","")</f>
        <v/>
      </c>
      <c r="E521" s="31" t="n"/>
      <c r="F521" s="33">
        <f>IF(M512=1,N(F520)+IF(ROUND_MODE="للأعلى",CEILING(ROUND((N(E521)*($P$512-$N$512)),3),0.25),ROUND((N(E521)*($P$512-$N$512))*4,0)/4),"")</f>
        <v/>
      </c>
      <c r="G521" s="32">
        <f>IF(M512=1,"← المستحق النهائي للأسبوع (دينار) مع فرق الجبسمبورد","")</f>
        <v/>
      </c>
    </row>
    <row r="522" ht="26" customHeight="1">
      <c r="A522" s="28">
        <f>IF(M512=1,"إكرامية الأسبوع ←","")</f>
        <v/>
      </c>
      <c r="C522" s="35" t="n"/>
      <c r="D522" s="28">
        <f>IF(M512=1,"المدفوع يوم الجمعة (التسوية) ←","")</f>
        <v/>
      </c>
      <c r="F522" s="35" t="n"/>
      <c r="G522" s="36">
        <f>IF(M512=1,IF(N(F522)&gt;0,"✔ انقبض — الأسبوع مقفول","⏳ لسا ما انقبض"),"")</f>
        <v/>
      </c>
    </row>
    <row r="523" ht="26" customHeight="1">
      <c r="A523" s="40">
        <f>IF(48&lt;=NW,"الأسبوع 48 · السبت "&amp;TEXT(DAY(SAT1+329),"00")&amp;"/"&amp;TEXT(MONTH(SAT1+329),"00")&amp;" ← الجمعة "&amp;TEXT(DAY(SAT1+335),"00")&amp;"/"&amp;TEXT(MONTH(SAT1+335),"00")&amp;" (يوم القبض)"&amp;IF(48&lt;START_Z,"   — قبل أسبوع البداية (ما بينحسب)",""),"ما في أسبوع 48 هالسنة")</f>
        <v/>
      </c>
      <c r="L523" s="19">
        <f>IF(48&lt;=NW,SAT1+335,"")</f>
        <v/>
      </c>
      <c r="M523">
        <f>IF(AND(48&lt;=NW,48&gt;=START_Z),1,0)</f>
        <v/>
      </c>
      <c r="N523">
        <f>IFERROR(INDEX(RT_AZZ,MATCH(L523,RT_K,1)),INDEX(RT_AZZ,1))</f>
        <v/>
      </c>
      <c r="P523">
        <f>IFERROR(INDEX(RT_GYP,MATCH(L523,RT_K,1)),INDEX(RT_GYP,1))</f>
        <v/>
      </c>
    </row>
    <row r="524">
      <c r="A524" s="20">
        <f>IF(48&lt;=NW,SAT1+329,"")</f>
        <v/>
      </c>
      <c r="B524" s="21">
        <f>IF(A524="","",CHOOSE(WEEKDAY(A524,1),"الأحد","الاثنين","الثلاثاء","الأربعاء","الخميس","الجمعة","السبت"))</f>
        <v/>
      </c>
      <c r="C524" s="22" t="n"/>
      <c r="D524" s="22" t="n"/>
      <c r="E524" s="23">
        <f>IF(OR(M524=0,K524="",L524=""),"",MOD(L524-K524,1))</f>
        <v/>
      </c>
      <c r="F524" s="24">
        <f>IF(OR(E524="",M524=0),"",IF(ROUND_MODE="للأعلى",CEILING(ROUND((E524*24*$N$523),3),0.25),ROUND((E524*24*$N$523)*4,0)/4))</f>
        <v/>
      </c>
      <c r="G524" s="22" t="n"/>
      <c r="H524" s="22" t="n"/>
      <c r="K524" s="25">
        <f>IF(OR(M524=0,C524=""),"",IF(ISNUMBER(C524),MOD(C524,1),IFERROR(INDEX('القوائم'!$B$1:$B$288,MATCH(TRIM(C524),'القوائم'!$A$1:$A$288,0)),IFERROR(MOD(TIMEVALUE(C524),1),""))))</f>
        <v/>
      </c>
      <c r="L524" s="25">
        <f>IF(OR(M524=0,D524=""),"",IF(ISNUMBER(D524),MOD(D524,1),IFERROR(INDEX('القوائم'!$B$1:$B$288,MATCH(TRIM(D524),'القوائم'!$A$1:$A$288,0)),IFERROR(MOD(TIMEVALUE(D524),1),""))))</f>
        <v/>
      </c>
      <c r="M524">
        <f>M523</f>
        <v/>
      </c>
      <c r="Q524">
        <f>IF(N(F533)&gt;0,1,0)</f>
        <v/>
      </c>
    </row>
    <row r="525">
      <c r="A525" s="20">
        <f>IF(48&lt;=NW,SAT1+330,"")</f>
        <v/>
      </c>
      <c r="B525" s="21">
        <f>IF(A525="","",CHOOSE(WEEKDAY(A525,1),"الأحد","الاثنين","الثلاثاء","الأربعاء","الخميس","الجمعة","السبت"))</f>
        <v/>
      </c>
      <c r="C525" s="22" t="n"/>
      <c r="D525" s="22" t="n"/>
      <c r="E525" s="23">
        <f>IF(OR(M525=0,K525="",L525=""),"",MOD(L525-K525,1))</f>
        <v/>
      </c>
      <c r="F525" s="24">
        <f>IF(OR(E525="",M525=0),"",IF(ROUND_MODE="للأعلى",CEILING(ROUND((E525*24*$N$523),3),0.25),ROUND((E525*24*$N$523)*4,0)/4))</f>
        <v/>
      </c>
      <c r="G525" s="22" t="n"/>
      <c r="H525" s="22" t="n"/>
      <c r="K525" s="25">
        <f>IF(OR(M525=0,C525=""),"",IF(ISNUMBER(C525),MOD(C525,1),IFERROR(INDEX('القوائم'!$B$1:$B$288,MATCH(TRIM(C525),'القوائم'!$A$1:$A$288,0)),IFERROR(MOD(TIMEVALUE(C525),1),""))))</f>
        <v/>
      </c>
      <c r="L525" s="25">
        <f>IF(OR(M525=0,D525=""),"",IF(ISNUMBER(D525),MOD(D525,1),IFERROR(INDEX('القوائم'!$B$1:$B$288,MATCH(TRIM(D525),'القوائم'!$A$1:$A$288,0)),IFERROR(MOD(TIMEVALUE(D525),1),""))))</f>
        <v/>
      </c>
      <c r="M525">
        <f>M523</f>
        <v/>
      </c>
      <c r="Q525">
        <f>IF(N(F533)&gt;0,1,0)</f>
        <v/>
      </c>
    </row>
    <row r="526">
      <c r="A526" s="20">
        <f>IF(48&lt;=NW,SAT1+331,"")</f>
        <v/>
      </c>
      <c r="B526" s="21">
        <f>IF(A526="","",CHOOSE(WEEKDAY(A526,1),"الأحد","الاثنين","الثلاثاء","الأربعاء","الخميس","الجمعة","السبت"))</f>
        <v/>
      </c>
      <c r="C526" s="22" t="n"/>
      <c r="D526" s="22" t="n"/>
      <c r="E526" s="23">
        <f>IF(OR(M526=0,K526="",L526=""),"",MOD(L526-K526,1))</f>
        <v/>
      </c>
      <c r="F526" s="24">
        <f>IF(OR(E526="",M526=0),"",IF(ROUND_MODE="للأعلى",CEILING(ROUND((E526*24*$N$523),3),0.25),ROUND((E526*24*$N$523)*4,0)/4))</f>
        <v/>
      </c>
      <c r="G526" s="22" t="n"/>
      <c r="H526" s="22" t="n"/>
      <c r="K526" s="25">
        <f>IF(OR(M526=0,C526=""),"",IF(ISNUMBER(C526),MOD(C526,1),IFERROR(INDEX('القوائم'!$B$1:$B$288,MATCH(TRIM(C526),'القوائم'!$A$1:$A$288,0)),IFERROR(MOD(TIMEVALUE(C526),1),""))))</f>
        <v/>
      </c>
      <c r="L526" s="25">
        <f>IF(OR(M526=0,D526=""),"",IF(ISNUMBER(D526),MOD(D526,1),IFERROR(INDEX('القوائم'!$B$1:$B$288,MATCH(TRIM(D526),'القوائم'!$A$1:$A$288,0)),IFERROR(MOD(TIMEVALUE(D526),1),""))))</f>
        <v/>
      </c>
      <c r="M526">
        <f>M523</f>
        <v/>
      </c>
      <c r="Q526">
        <f>IF(N(F533)&gt;0,1,0)</f>
        <v/>
      </c>
    </row>
    <row r="527">
      <c r="A527" s="20">
        <f>IF(48&lt;=NW,SAT1+332,"")</f>
        <v/>
      </c>
      <c r="B527" s="21">
        <f>IF(A527="","",CHOOSE(WEEKDAY(A527,1),"الأحد","الاثنين","الثلاثاء","الأربعاء","الخميس","الجمعة","السبت"))</f>
        <v/>
      </c>
      <c r="C527" s="22" t="n"/>
      <c r="D527" s="22" t="n"/>
      <c r="E527" s="23">
        <f>IF(OR(M527=0,K527="",L527=""),"",MOD(L527-K527,1))</f>
        <v/>
      </c>
      <c r="F527" s="24">
        <f>IF(OR(E527="",M527=0),"",IF(ROUND_MODE="للأعلى",CEILING(ROUND((E527*24*$N$523),3),0.25),ROUND((E527*24*$N$523)*4,0)/4))</f>
        <v/>
      </c>
      <c r="G527" s="22" t="n"/>
      <c r="H527" s="22" t="n"/>
      <c r="K527" s="25">
        <f>IF(OR(M527=0,C527=""),"",IF(ISNUMBER(C527),MOD(C527,1),IFERROR(INDEX('القوائم'!$B$1:$B$288,MATCH(TRIM(C527),'القوائم'!$A$1:$A$288,0)),IFERROR(MOD(TIMEVALUE(C527),1),""))))</f>
        <v/>
      </c>
      <c r="L527" s="25">
        <f>IF(OR(M527=0,D527=""),"",IF(ISNUMBER(D527),MOD(D527,1),IFERROR(INDEX('القوائم'!$B$1:$B$288,MATCH(TRIM(D527),'القوائم'!$A$1:$A$288,0)),IFERROR(MOD(TIMEVALUE(D527),1),""))))</f>
        <v/>
      </c>
      <c r="M527">
        <f>M523</f>
        <v/>
      </c>
      <c r="Q527">
        <f>IF(N(F533)&gt;0,1,0)</f>
        <v/>
      </c>
    </row>
    <row r="528">
      <c r="A528" s="20">
        <f>IF(48&lt;=NW,SAT1+333,"")</f>
        <v/>
      </c>
      <c r="B528" s="21">
        <f>IF(A528="","",CHOOSE(WEEKDAY(A528,1),"الأحد","الاثنين","الثلاثاء","الأربعاء","الخميس","الجمعة","السبت"))</f>
        <v/>
      </c>
      <c r="C528" s="22" t="n"/>
      <c r="D528" s="22" t="n"/>
      <c r="E528" s="23">
        <f>IF(OR(M528=0,K528="",L528=""),"",MOD(L528-K528,1))</f>
        <v/>
      </c>
      <c r="F528" s="24">
        <f>IF(OR(E528="",M528=0),"",IF(ROUND_MODE="للأعلى",CEILING(ROUND((E528*24*$N$523),3),0.25),ROUND((E528*24*$N$523)*4,0)/4))</f>
        <v/>
      </c>
      <c r="G528" s="22" t="n"/>
      <c r="H528" s="22" t="n"/>
      <c r="K528" s="25">
        <f>IF(OR(M528=0,C528=""),"",IF(ISNUMBER(C528),MOD(C528,1),IFERROR(INDEX('القوائم'!$B$1:$B$288,MATCH(TRIM(C528),'القوائم'!$A$1:$A$288,0)),IFERROR(MOD(TIMEVALUE(C528),1),""))))</f>
        <v/>
      </c>
      <c r="L528" s="25">
        <f>IF(OR(M528=0,D528=""),"",IF(ISNUMBER(D528),MOD(D528,1),IFERROR(INDEX('القوائم'!$B$1:$B$288,MATCH(TRIM(D528),'القوائم'!$A$1:$A$288,0)),IFERROR(MOD(TIMEVALUE(D528),1),""))))</f>
        <v/>
      </c>
      <c r="M528">
        <f>M523</f>
        <v/>
      </c>
      <c r="Q528">
        <f>IF(N(F533)&gt;0,1,0)</f>
        <v/>
      </c>
    </row>
    <row r="529">
      <c r="A529" s="20">
        <f>IF(48&lt;=NW,SAT1+334,"")</f>
        <v/>
      </c>
      <c r="B529" s="21">
        <f>IF(A529="","",CHOOSE(WEEKDAY(A529,1),"الأحد","الاثنين","الثلاثاء","الأربعاء","الخميس","الجمعة","السبت"))</f>
        <v/>
      </c>
      <c r="C529" s="22" t="n"/>
      <c r="D529" s="22" t="n"/>
      <c r="E529" s="23">
        <f>IF(OR(M529=0,K529="",L529=""),"",MOD(L529-K529,1))</f>
        <v/>
      </c>
      <c r="F529" s="24">
        <f>IF(OR(E529="",M529=0),"",IF(ROUND_MODE="للأعلى",CEILING(ROUND((E529*24*$N$523),3),0.25),ROUND((E529*24*$N$523)*4,0)/4))</f>
        <v/>
      </c>
      <c r="G529" s="22" t="n"/>
      <c r="H529" s="22" t="n"/>
      <c r="K529" s="25">
        <f>IF(OR(M529=0,C529=""),"",IF(ISNUMBER(C529),MOD(C529,1),IFERROR(INDEX('القوائم'!$B$1:$B$288,MATCH(TRIM(C529),'القوائم'!$A$1:$A$288,0)),IFERROR(MOD(TIMEVALUE(C529),1),""))))</f>
        <v/>
      </c>
      <c r="L529" s="25">
        <f>IF(OR(M529=0,D529=""),"",IF(ISNUMBER(D529),MOD(D529,1),IFERROR(INDEX('القوائم'!$B$1:$B$288,MATCH(TRIM(D529),'القوائم'!$A$1:$A$288,0)),IFERROR(MOD(TIMEVALUE(D529),1),""))))</f>
        <v/>
      </c>
      <c r="M529">
        <f>M523</f>
        <v/>
      </c>
      <c r="Q529">
        <f>IF(N(F533)&gt;0,1,0)</f>
        <v/>
      </c>
    </row>
    <row r="530">
      <c r="A530" s="26">
        <f>IF(48&lt;=NW,SAT1+335,"")</f>
        <v/>
      </c>
      <c r="B530" s="27">
        <f>IF(A530="","",CHOOSE(WEEKDAY(A530,1),"الأحد","الاثنين","الثلاثاء","الأربعاء","الخميس","الجمعة","السبت"))</f>
        <v/>
      </c>
      <c r="C530" s="22" t="n"/>
      <c r="D530" s="22" t="n"/>
      <c r="E530" s="23">
        <f>IF(OR(M530=0,K530="",L530=""),"",MOD(L530-K530,1))</f>
        <v/>
      </c>
      <c r="F530" s="24">
        <f>IF(OR(E530="",M530=0),"",IF(ROUND_MODE="للأعلى",CEILING(ROUND((E530*24*$N$523),3),0.25),ROUND((E530*24*$N$523)*4,0)/4))</f>
        <v/>
      </c>
      <c r="G530" s="22" t="n"/>
      <c r="H530" s="22" t="n"/>
      <c r="K530" s="25">
        <f>IF(OR(M530=0,C530=""),"",IF(ISNUMBER(C530),MOD(C530,1),IFERROR(INDEX('القوائم'!$B$1:$B$288,MATCH(TRIM(C530),'القوائم'!$A$1:$A$288,0)),IFERROR(MOD(TIMEVALUE(C530),1),""))))</f>
        <v/>
      </c>
      <c r="L530" s="25">
        <f>IF(OR(M530=0,D530=""),"",IF(ISNUMBER(D530),MOD(D530,1),IFERROR(INDEX('القوائم'!$B$1:$B$288,MATCH(TRIM(D530),'القوائم'!$A$1:$A$288,0)),IFERROR(MOD(TIMEVALUE(D530),1),""))))</f>
        <v/>
      </c>
      <c r="M530">
        <f>M523</f>
        <v/>
      </c>
      <c r="Q530">
        <f>IF(N(F533)&gt;0,1,0)</f>
        <v/>
      </c>
    </row>
    <row r="531">
      <c r="A531" s="28">
        <f>IF(M523=1,"مجموع أيام الأسبوع 48","")</f>
        <v/>
      </c>
      <c r="B531" s="28" t="n"/>
      <c r="C531" s="28" t="n"/>
      <c r="D531" s="28" t="n"/>
      <c r="E531" s="29">
        <f>IF(M523=1,SUM(E524:E530),"")</f>
        <v/>
      </c>
      <c r="F531" s="30">
        <f>IF(M523=1,SUM(F524:F530),"")</f>
        <v/>
      </c>
      <c r="G531" s="41">
        <f>IF(M523=1,SUMIFS(F524:F530,G524:G530,"نعم"),"")</f>
        <v/>
      </c>
      <c r="H531" s="28" t="n"/>
    </row>
    <row r="532" ht="32" customHeight="1">
      <c r="A532" s="28">
        <f>IF(M523=1,"ساعات تحميل الجبسمبورد بهالأسبوع (رقم: 2 أو 1.5) ←","")</f>
        <v/>
      </c>
      <c r="E532" s="31" t="n"/>
      <c r="F532" s="33">
        <f>IF(M523=1,N(F531)+IF(ROUND_MODE="للأعلى",CEILING(ROUND((N(E532)*($P$523-$N$523)),3),0.25),ROUND((N(E532)*($P$523-$N$523))*4,0)/4),"")</f>
        <v/>
      </c>
      <c r="G532" s="32">
        <f>IF(M523=1,"← المستحق النهائي للأسبوع (دينار) مع فرق الجبسمبورد","")</f>
        <v/>
      </c>
    </row>
    <row r="533" ht="26" customHeight="1">
      <c r="A533" s="28">
        <f>IF(M523=1,"إكرامية الأسبوع ←","")</f>
        <v/>
      </c>
      <c r="C533" s="35" t="n"/>
      <c r="D533" s="28">
        <f>IF(M523=1,"المدفوع يوم الجمعة (التسوية) ←","")</f>
        <v/>
      </c>
      <c r="F533" s="35" t="n"/>
      <c r="G533" s="36">
        <f>IF(M523=1,IF(N(F533)&gt;0,"✔ انقبض — الأسبوع مقفول","⏳ لسا ما انقبض"),"")</f>
        <v/>
      </c>
    </row>
    <row r="534" ht="26" customHeight="1">
      <c r="A534" s="40">
        <f>IF(49&lt;=NW,"الأسبوع 49 · السبت "&amp;TEXT(DAY(SAT1+336),"00")&amp;"/"&amp;TEXT(MONTH(SAT1+336),"00")&amp;" ← الجمعة "&amp;TEXT(DAY(SAT1+342),"00")&amp;"/"&amp;TEXT(MONTH(SAT1+342),"00")&amp;" (يوم القبض)"&amp;IF(49&lt;START_Z,"   — قبل أسبوع البداية (ما بينحسب)",""),"ما في أسبوع 49 هالسنة")</f>
        <v/>
      </c>
      <c r="L534" s="19">
        <f>IF(49&lt;=NW,SAT1+342,"")</f>
        <v/>
      </c>
      <c r="M534">
        <f>IF(AND(49&lt;=NW,49&gt;=START_Z),1,0)</f>
        <v/>
      </c>
      <c r="N534">
        <f>IFERROR(INDEX(RT_AZZ,MATCH(L534,RT_K,1)),INDEX(RT_AZZ,1))</f>
        <v/>
      </c>
      <c r="P534">
        <f>IFERROR(INDEX(RT_GYP,MATCH(L534,RT_K,1)),INDEX(RT_GYP,1))</f>
        <v/>
      </c>
    </row>
    <row r="535">
      <c r="A535" s="20">
        <f>IF(49&lt;=NW,SAT1+336,"")</f>
        <v/>
      </c>
      <c r="B535" s="21">
        <f>IF(A535="","",CHOOSE(WEEKDAY(A535,1),"الأحد","الاثنين","الثلاثاء","الأربعاء","الخميس","الجمعة","السبت"))</f>
        <v/>
      </c>
      <c r="C535" s="22" t="n"/>
      <c r="D535" s="22" t="n"/>
      <c r="E535" s="23">
        <f>IF(OR(M535=0,K535="",L535=""),"",MOD(L535-K535,1))</f>
        <v/>
      </c>
      <c r="F535" s="24">
        <f>IF(OR(E535="",M535=0),"",IF(ROUND_MODE="للأعلى",CEILING(ROUND((E535*24*$N$534),3),0.25),ROUND((E535*24*$N$534)*4,0)/4))</f>
        <v/>
      </c>
      <c r="G535" s="22" t="n"/>
      <c r="H535" s="22" t="n"/>
      <c r="K535" s="25">
        <f>IF(OR(M535=0,C535=""),"",IF(ISNUMBER(C535),MOD(C535,1),IFERROR(INDEX('القوائم'!$B$1:$B$288,MATCH(TRIM(C535),'القوائم'!$A$1:$A$288,0)),IFERROR(MOD(TIMEVALUE(C535),1),""))))</f>
        <v/>
      </c>
      <c r="L535" s="25">
        <f>IF(OR(M535=0,D535=""),"",IF(ISNUMBER(D535),MOD(D535,1),IFERROR(INDEX('القوائم'!$B$1:$B$288,MATCH(TRIM(D535),'القوائم'!$A$1:$A$288,0)),IFERROR(MOD(TIMEVALUE(D535),1),""))))</f>
        <v/>
      </c>
      <c r="M535">
        <f>M534</f>
        <v/>
      </c>
      <c r="Q535">
        <f>IF(N(F544)&gt;0,1,0)</f>
        <v/>
      </c>
    </row>
    <row r="536">
      <c r="A536" s="20">
        <f>IF(49&lt;=NW,SAT1+337,"")</f>
        <v/>
      </c>
      <c r="B536" s="21">
        <f>IF(A536="","",CHOOSE(WEEKDAY(A536,1),"الأحد","الاثنين","الثلاثاء","الأربعاء","الخميس","الجمعة","السبت"))</f>
        <v/>
      </c>
      <c r="C536" s="22" t="n"/>
      <c r="D536" s="22" t="n"/>
      <c r="E536" s="23">
        <f>IF(OR(M536=0,K536="",L536=""),"",MOD(L536-K536,1))</f>
        <v/>
      </c>
      <c r="F536" s="24">
        <f>IF(OR(E536="",M536=0),"",IF(ROUND_MODE="للأعلى",CEILING(ROUND((E536*24*$N$534),3),0.25),ROUND((E536*24*$N$534)*4,0)/4))</f>
        <v/>
      </c>
      <c r="G536" s="22" t="n"/>
      <c r="H536" s="22" t="n"/>
      <c r="K536" s="25">
        <f>IF(OR(M536=0,C536=""),"",IF(ISNUMBER(C536),MOD(C536,1),IFERROR(INDEX('القوائم'!$B$1:$B$288,MATCH(TRIM(C536),'القوائم'!$A$1:$A$288,0)),IFERROR(MOD(TIMEVALUE(C536),1),""))))</f>
        <v/>
      </c>
      <c r="L536" s="25">
        <f>IF(OR(M536=0,D536=""),"",IF(ISNUMBER(D536),MOD(D536,1),IFERROR(INDEX('القوائم'!$B$1:$B$288,MATCH(TRIM(D536),'القوائم'!$A$1:$A$288,0)),IFERROR(MOD(TIMEVALUE(D536),1),""))))</f>
        <v/>
      </c>
      <c r="M536">
        <f>M534</f>
        <v/>
      </c>
      <c r="Q536">
        <f>IF(N(F544)&gt;0,1,0)</f>
        <v/>
      </c>
    </row>
    <row r="537">
      <c r="A537" s="20">
        <f>IF(49&lt;=NW,SAT1+338,"")</f>
        <v/>
      </c>
      <c r="B537" s="21">
        <f>IF(A537="","",CHOOSE(WEEKDAY(A537,1),"الأحد","الاثنين","الثلاثاء","الأربعاء","الخميس","الجمعة","السبت"))</f>
        <v/>
      </c>
      <c r="C537" s="22" t="n"/>
      <c r="D537" s="22" t="n"/>
      <c r="E537" s="23">
        <f>IF(OR(M537=0,K537="",L537=""),"",MOD(L537-K537,1))</f>
        <v/>
      </c>
      <c r="F537" s="24">
        <f>IF(OR(E537="",M537=0),"",IF(ROUND_MODE="للأعلى",CEILING(ROUND((E537*24*$N$534),3),0.25),ROUND((E537*24*$N$534)*4,0)/4))</f>
        <v/>
      </c>
      <c r="G537" s="22" t="n"/>
      <c r="H537" s="22" t="n"/>
      <c r="K537" s="25">
        <f>IF(OR(M537=0,C537=""),"",IF(ISNUMBER(C537),MOD(C537,1),IFERROR(INDEX('القوائم'!$B$1:$B$288,MATCH(TRIM(C537),'القوائم'!$A$1:$A$288,0)),IFERROR(MOD(TIMEVALUE(C537),1),""))))</f>
        <v/>
      </c>
      <c r="L537" s="25">
        <f>IF(OR(M537=0,D537=""),"",IF(ISNUMBER(D537),MOD(D537,1),IFERROR(INDEX('القوائم'!$B$1:$B$288,MATCH(TRIM(D537),'القوائم'!$A$1:$A$288,0)),IFERROR(MOD(TIMEVALUE(D537),1),""))))</f>
        <v/>
      </c>
      <c r="M537">
        <f>M534</f>
        <v/>
      </c>
      <c r="Q537">
        <f>IF(N(F544)&gt;0,1,0)</f>
        <v/>
      </c>
    </row>
    <row r="538">
      <c r="A538" s="20">
        <f>IF(49&lt;=NW,SAT1+339,"")</f>
        <v/>
      </c>
      <c r="B538" s="21">
        <f>IF(A538="","",CHOOSE(WEEKDAY(A538,1),"الأحد","الاثنين","الثلاثاء","الأربعاء","الخميس","الجمعة","السبت"))</f>
        <v/>
      </c>
      <c r="C538" s="22" t="n"/>
      <c r="D538" s="22" t="n"/>
      <c r="E538" s="23">
        <f>IF(OR(M538=0,K538="",L538=""),"",MOD(L538-K538,1))</f>
        <v/>
      </c>
      <c r="F538" s="24">
        <f>IF(OR(E538="",M538=0),"",IF(ROUND_MODE="للأعلى",CEILING(ROUND((E538*24*$N$534),3),0.25),ROUND((E538*24*$N$534)*4,0)/4))</f>
        <v/>
      </c>
      <c r="G538" s="22" t="n"/>
      <c r="H538" s="22" t="n"/>
      <c r="K538" s="25">
        <f>IF(OR(M538=0,C538=""),"",IF(ISNUMBER(C538),MOD(C538,1),IFERROR(INDEX('القوائم'!$B$1:$B$288,MATCH(TRIM(C538),'القوائم'!$A$1:$A$288,0)),IFERROR(MOD(TIMEVALUE(C538),1),""))))</f>
        <v/>
      </c>
      <c r="L538" s="25">
        <f>IF(OR(M538=0,D538=""),"",IF(ISNUMBER(D538),MOD(D538,1),IFERROR(INDEX('القوائم'!$B$1:$B$288,MATCH(TRIM(D538),'القوائم'!$A$1:$A$288,0)),IFERROR(MOD(TIMEVALUE(D538),1),""))))</f>
        <v/>
      </c>
      <c r="M538">
        <f>M534</f>
        <v/>
      </c>
      <c r="Q538">
        <f>IF(N(F544)&gt;0,1,0)</f>
        <v/>
      </c>
    </row>
    <row r="539">
      <c r="A539" s="20">
        <f>IF(49&lt;=NW,SAT1+340,"")</f>
        <v/>
      </c>
      <c r="B539" s="21">
        <f>IF(A539="","",CHOOSE(WEEKDAY(A539,1),"الأحد","الاثنين","الثلاثاء","الأربعاء","الخميس","الجمعة","السبت"))</f>
        <v/>
      </c>
      <c r="C539" s="22" t="n"/>
      <c r="D539" s="22" t="n"/>
      <c r="E539" s="23">
        <f>IF(OR(M539=0,K539="",L539=""),"",MOD(L539-K539,1))</f>
        <v/>
      </c>
      <c r="F539" s="24">
        <f>IF(OR(E539="",M539=0),"",IF(ROUND_MODE="للأعلى",CEILING(ROUND((E539*24*$N$534),3),0.25),ROUND((E539*24*$N$534)*4,0)/4))</f>
        <v/>
      </c>
      <c r="G539" s="22" t="n"/>
      <c r="H539" s="22" t="n"/>
      <c r="K539" s="25">
        <f>IF(OR(M539=0,C539=""),"",IF(ISNUMBER(C539),MOD(C539,1),IFERROR(INDEX('القوائم'!$B$1:$B$288,MATCH(TRIM(C539),'القوائم'!$A$1:$A$288,0)),IFERROR(MOD(TIMEVALUE(C539),1),""))))</f>
        <v/>
      </c>
      <c r="L539" s="25">
        <f>IF(OR(M539=0,D539=""),"",IF(ISNUMBER(D539),MOD(D539,1),IFERROR(INDEX('القوائم'!$B$1:$B$288,MATCH(TRIM(D539),'القوائم'!$A$1:$A$288,0)),IFERROR(MOD(TIMEVALUE(D539),1),""))))</f>
        <v/>
      </c>
      <c r="M539">
        <f>M534</f>
        <v/>
      </c>
      <c r="Q539">
        <f>IF(N(F544)&gt;0,1,0)</f>
        <v/>
      </c>
    </row>
    <row r="540">
      <c r="A540" s="20">
        <f>IF(49&lt;=NW,SAT1+341,"")</f>
        <v/>
      </c>
      <c r="B540" s="21">
        <f>IF(A540="","",CHOOSE(WEEKDAY(A540,1),"الأحد","الاثنين","الثلاثاء","الأربعاء","الخميس","الجمعة","السبت"))</f>
        <v/>
      </c>
      <c r="C540" s="22" t="n"/>
      <c r="D540" s="22" t="n"/>
      <c r="E540" s="23">
        <f>IF(OR(M540=0,K540="",L540=""),"",MOD(L540-K540,1))</f>
        <v/>
      </c>
      <c r="F540" s="24">
        <f>IF(OR(E540="",M540=0),"",IF(ROUND_MODE="للأعلى",CEILING(ROUND((E540*24*$N$534),3),0.25),ROUND((E540*24*$N$534)*4,0)/4))</f>
        <v/>
      </c>
      <c r="G540" s="22" t="n"/>
      <c r="H540" s="22" t="n"/>
      <c r="K540" s="25">
        <f>IF(OR(M540=0,C540=""),"",IF(ISNUMBER(C540),MOD(C540,1),IFERROR(INDEX('القوائم'!$B$1:$B$288,MATCH(TRIM(C540),'القوائم'!$A$1:$A$288,0)),IFERROR(MOD(TIMEVALUE(C540),1),""))))</f>
        <v/>
      </c>
      <c r="L540" s="25">
        <f>IF(OR(M540=0,D540=""),"",IF(ISNUMBER(D540),MOD(D540,1),IFERROR(INDEX('القوائم'!$B$1:$B$288,MATCH(TRIM(D540),'القوائم'!$A$1:$A$288,0)),IFERROR(MOD(TIMEVALUE(D540),1),""))))</f>
        <v/>
      </c>
      <c r="M540">
        <f>M534</f>
        <v/>
      </c>
      <c r="Q540">
        <f>IF(N(F544)&gt;0,1,0)</f>
        <v/>
      </c>
    </row>
    <row r="541">
      <c r="A541" s="26">
        <f>IF(49&lt;=NW,SAT1+342,"")</f>
        <v/>
      </c>
      <c r="B541" s="27">
        <f>IF(A541="","",CHOOSE(WEEKDAY(A541,1),"الأحد","الاثنين","الثلاثاء","الأربعاء","الخميس","الجمعة","السبت"))</f>
        <v/>
      </c>
      <c r="C541" s="22" t="n"/>
      <c r="D541" s="22" t="n"/>
      <c r="E541" s="23">
        <f>IF(OR(M541=0,K541="",L541=""),"",MOD(L541-K541,1))</f>
        <v/>
      </c>
      <c r="F541" s="24">
        <f>IF(OR(E541="",M541=0),"",IF(ROUND_MODE="للأعلى",CEILING(ROUND((E541*24*$N$534),3),0.25),ROUND((E541*24*$N$534)*4,0)/4))</f>
        <v/>
      </c>
      <c r="G541" s="22" t="n"/>
      <c r="H541" s="22" t="n"/>
      <c r="K541" s="25">
        <f>IF(OR(M541=0,C541=""),"",IF(ISNUMBER(C541),MOD(C541,1),IFERROR(INDEX('القوائم'!$B$1:$B$288,MATCH(TRIM(C541),'القوائم'!$A$1:$A$288,0)),IFERROR(MOD(TIMEVALUE(C541),1),""))))</f>
        <v/>
      </c>
      <c r="L541" s="25">
        <f>IF(OR(M541=0,D541=""),"",IF(ISNUMBER(D541),MOD(D541,1),IFERROR(INDEX('القوائم'!$B$1:$B$288,MATCH(TRIM(D541),'القوائم'!$A$1:$A$288,0)),IFERROR(MOD(TIMEVALUE(D541),1),""))))</f>
        <v/>
      </c>
      <c r="M541">
        <f>M534</f>
        <v/>
      </c>
      <c r="Q541">
        <f>IF(N(F544)&gt;0,1,0)</f>
        <v/>
      </c>
    </row>
    <row r="542">
      <c r="A542" s="28">
        <f>IF(M534=1,"مجموع أيام الأسبوع 49","")</f>
        <v/>
      </c>
      <c r="B542" s="28" t="n"/>
      <c r="C542" s="28" t="n"/>
      <c r="D542" s="28" t="n"/>
      <c r="E542" s="29">
        <f>IF(M534=1,SUM(E535:E541),"")</f>
        <v/>
      </c>
      <c r="F542" s="30">
        <f>IF(M534=1,SUM(F535:F541),"")</f>
        <v/>
      </c>
      <c r="G542" s="41">
        <f>IF(M534=1,SUMIFS(F535:F541,G535:G541,"نعم"),"")</f>
        <v/>
      </c>
      <c r="H542" s="28" t="n"/>
    </row>
    <row r="543" ht="32" customHeight="1">
      <c r="A543" s="28">
        <f>IF(M534=1,"ساعات تحميل الجبسمبورد بهالأسبوع (رقم: 2 أو 1.5) ←","")</f>
        <v/>
      </c>
      <c r="E543" s="31" t="n"/>
      <c r="F543" s="33">
        <f>IF(M534=1,N(F542)+IF(ROUND_MODE="للأعلى",CEILING(ROUND((N(E543)*($P$534-$N$534)),3),0.25),ROUND((N(E543)*($P$534-$N$534))*4,0)/4),"")</f>
        <v/>
      </c>
      <c r="G543" s="32">
        <f>IF(M534=1,"← المستحق النهائي للأسبوع (دينار) مع فرق الجبسمبورد","")</f>
        <v/>
      </c>
    </row>
    <row r="544" ht="26" customHeight="1">
      <c r="A544" s="28">
        <f>IF(M534=1,"إكرامية الأسبوع ←","")</f>
        <v/>
      </c>
      <c r="C544" s="35" t="n"/>
      <c r="D544" s="28">
        <f>IF(M534=1,"المدفوع يوم الجمعة (التسوية) ←","")</f>
        <v/>
      </c>
      <c r="F544" s="35" t="n"/>
      <c r="G544" s="36">
        <f>IF(M534=1,IF(N(F544)&gt;0,"✔ انقبض — الأسبوع مقفول","⏳ لسا ما انقبض"),"")</f>
        <v/>
      </c>
    </row>
    <row r="545" ht="26" customHeight="1">
      <c r="A545" s="40">
        <f>IF(50&lt;=NW,"الأسبوع 50 · السبت "&amp;TEXT(DAY(SAT1+343),"00")&amp;"/"&amp;TEXT(MONTH(SAT1+343),"00")&amp;" ← الجمعة "&amp;TEXT(DAY(SAT1+349),"00")&amp;"/"&amp;TEXT(MONTH(SAT1+349),"00")&amp;" (يوم القبض)"&amp;IF(50&lt;START_Z,"   — قبل أسبوع البداية (ما بينحسب)",""),"ما في أسبوع 50 هالسنة")</f>
        <v/>
      </c>
      <c r="L545" s="19">
        <f>IF(50&lt;=NW,SAT1+349,"")</f>
        <v/>
      </c>
      <c r="M545">
        <f>IF(AND(50&lt;=NW,50&gt;=START_Z),1,0)</f>
        <v/>
      </c>
      <c r="N545">
        <f>IFERROR(INDEX(RT_AZZ,MATCH(L545,RT_K,1)),INDEX(RT_AZZ,1))</f>
        <v/>
      </c>
      <c r="P545">
        <f>IFERROR(INDEX(RT_GYP,MATCH(L545,RT_K,1)),INDEX(RT_GYP,1))</f>
        <v/>
      </c>
    </row>
    <row r="546">
      <c r="A546" s="20">
        <f>IF(50&lt;=NW,SAT1+343,"")</f>
        <v/>
      </c>
      <c r="B546" s="21">
        <f>IF(A546="","",CHOOSE(WEEKDAY(A546,1),"الأحد","الاثنين","الثلاثاء","الأربعاء","الخميس","الجمعة","السبت"))</f>
        <v/>
      </c>
      <c r="C546" s="22" t="n"/>
      <c r="D546" s="22" t="n"/>
      <c r="E546" s="23">
        <f>IF(OR(M546=0,K546="",L546=""),"",MOD(L546-K546,1))</f>
        <v/>
      </c>
      <c r="F546" s="24">
        <f>IF(OR(E546="",M546=0),"",IF(ROUND_MODE="للأعلى",CEILING(ROUND((E546*24*$N$545),3),0.25),ROUND((E546*24*$N$545)*4,0)/4))</f>
        <v/>
      </c>
      <c r="G546" s="22" t="n"/>
      <c r="H546" s="22" t="n"/>
      <c r="K546" s="25">
        <f>IF(OR(M546=0,C546=""),"",IF(ISNUMBER(C546),MOD(C546,1),IFERROR(INDEX('القوائم'!$B$1:$B$288,MATCH(TRIM(C546),'القوائم'!$A$1:$A$288,0)),IFERROR(MOD(TIMEVALUE(C546),1),""))))</f>
        <v/>
      </c>
      <c r="L546" s="25">
        <f>IF(OR(M546=0,D546=""),"",IF(ISNUMBER(D546),MOD(D546,1),IFERROR(INDEX('القوائم'!$B$1:$B$288,MATCH(TRIM(D546),'القوائم'!$A$1:$A$288,0)),IFERROR(MOD(TIMEVALUE(D546),1),""))))</f>
        <v/>
      </c>
      <c r="M546">
        <f>M545</f>
        <v/>
      </c>
      <c r="Q546">
        <f>IF(N(F555)&gt;0,1,0)</f>
        <v/>
      </c>
    </row>
    <row r="547">
      <c r="A547" s="20">
        <f>IF(50&lt;=NW,SAT1+344,"")</f>
        <v/>
      </c>
      <c r="B547" s="21">
        <f>IF(A547="","",CHOOSE(WEEKDAY(A547,1),"الأحد","الاثنين","الثلاثاء","الأربعاء","الخميس","الجمعة","السبت"))</f>
        <v/>
      </c>
      <c r="C547" s="22" t="n"/>
      <c r="D547" s="22" t="n"/>
      <c r="E547" s="23">
        <f>IF(OR(M547=0,K547="",L547=""),"",MOD(L547-K547,1))</f>
        <v/>
      </c>
      <c r="F547" s="24">
        <f>IF(OR(E547="",M547=0),"",IF(ROUND_MODE="للأعلى",CEILING(ROUND((E547*24*$N$545),3),0.25),ROUND((E547*24*$N$545)*4,0)/4))</f>
        <v/>
      </c>
      <c r="G547" s="22" t="n"/>
      <c r="H547" s="22" t="n"/>
      <c r="K547" s="25">
        <f>IF(OR(M547=0,C547=""),"",IF(ISNUMBER(C547),MOD(C547,1),IFERROR(INDEX('القوائم'!$B$1:$B$288,MATCH(TRIM(C547),'القوائم'!$A$1:$A$288,0)),IFERROR(MOD(TIMEVALUE(C547),1),""))))</f>
        <v/>
      </c>
      <c r="L547" s="25">
        <f>IF(OR(M547=0,D547=""),"",IF(ISNUMBER(D547),MOD(D547,1),IFERROR(INDEX('القوائم'!$B$1:$B$288,MATCH(TRIM(D547),'القوائم'!$A$1:$A$288,0)),IFERROR(MOD(TIMEVALUE(D547),1),""))))</f>
        <v/>
      </c>
      <c r="M547">
        <f>M545</f>
        <v/>
      </c>
      <c r="Q547">
        <f>IF(N(F555)&gt;0,1,0)</f>
        <v/>
      </c>
    </row>
    <row r="548">
      <c r="A548" s="20">
        <f>IF(50&lt;=NW,SAT1+345,"")</f>
        <v/>
      </c>
      <c r="B548" s="21">
        <f>IF(A548="","",CHOOSE(WEEKDAY(A548,1),"الأحد","الاثنين","الثلاثاء","الأربعاء","الخميس","الجمعة","السبت"))</f>
        <v/>
      </c>
      <c r="C548" s="22" t="n"/>
      <c r="D548" s="22" t="n"/>
      <c r="E548" s="23">
        <f>IF(OR(M548=0,K548="",L548=""),"",MOD(L548-K548,1))</f>
        <v/>
      </c>
      <c r="F548" s="24">
        <f>IF(OR(E548="",M548=0),"",IF(ROUND_MODE="للأعلى",CEILING(ROUND((E548*24*$N$545),3),0.25),ROUND((E548*24*$N$545)*4,0)/4))</f>
        <v/>
      </c>
      <c r="G548" s="22" t="n"/>
      <c r="H548" s="22" t="n"/>
      <c r="K548" s="25">
        <f>IF(OR(M548=0,C548=""),"",IF(ISNUMBER(C548),MOD(C548,1),IFERROR(INDEX('القوائم'!$B$1:$B$288,MATCH(TRIM(C548),'القوائم'!$A$1:$A$288,0)),IFERROR(MOD(TIMEVALUE(C548),1),""))))</f>
        <v/>
      </c>
      <c r="L548" s="25">
        <f>IF(OR(M548=0,D548=""),"",IF(ISNUMBER(D548),MOD(D548,1),IFERROR(INDEX('القوائم'!$B$1:$B$288,MATCH(TRIM(D548),'القوائم'!$A$1:$A$288,0)),IFERROR(MOD(TIMEVALUE(D548),1),""))))</f>
        <v/>
      </c>
      <c r="M548">
        <f>M545</f>
        <v/>
      </c>
      <c r="Q548">
        <f>IF(N(F555)&gt;0,1,0)</f>
        <v/>
      </c>
    </row>
    <row r="549">
      <c r="A549" s="20">
        <f>IF(50&lt;=NW,SAT1+346,"")</f>
        <v/>
      </c>
      <c r="B549" s="21">
        <f>IF(A549="","",CHOOSE(WEEKDAY(A549,1),"الأحد","الاثنين","الثلاثاء","الأربعاء","الخميس","الجمعة","السبت"))</f>
        <v/>
      </c>
      <c r="C549" s="22" t="n"/>
      <c r="D549" s="22" t="n"/>
      <c r="E549" s="23">
        <f>IF(OR(M549=0,K549="",L549=""),"",MOD(L549-K549,1))</f>
        <v/>
      </c>
      <c r="F549" s="24">
        <f>IF(OR(E549="",M549=0),"",IF(ROUND_MODE="للأعلى",CEILING(ROUND((E549*24*$N$545),3),0.25),ROUND((E549*24*$N$545)*4,0)/4))</f>
        <v/>
      </c>
      <c r="G549" s="22" t="n"/>
      <c r="H549" s="22" t="n"/>
      <c r="K549" s="25">
        <f>IF(OR(M549=0,C549=""),"",IF(ISNUMBER(C549),MOD(C549,1),IFERROR(INDEX('القوائم'!$B$1:$B$288,MATCH(TRIM(C549),'القوائم'!$A$1:$A$288,0)),IFERROR(MOD(TIMEVALUE(C549),1),""))))</f>
        <v/>
      </c>
      <c r="L549" s="25">
        <f>IF(OR(M549=0,D549=""),"",IF(ISNUMBER(D549),MOD(D549,1),IFERROR(INDEX('القوائم'!$B$1:$B$288,MATCH(TRIM(D549),'القوائم'!$A$1:$A$288,0)),IFERROR(MOD(TIMEVALUE(D549),1),""))))</f>
        <v/>
      </c>
      <c r="M549">
        <f>M545</f>
        <v/>
      </c>
      <c r="Q549">
        <f>IF(N(F555)&gt;0,1,0)</f>
        <v/>
      </c>
    </row>
    <row r="550">
      <c r="A550" s="20">
        <f>IF(50&lt;=NW,SAT1+347,"")</f>
        <v/>
      </c>
      <c r="B550" s="21">
        <f>IF(A550="","",CHOOSE(WEEKDAY(A550,1),"الأحد","الاثنين","الثلاثاء","الأربعاء","الخميس","الجمعة","السبت"))</f>
        <v/>
      </c>
      <c r="C550" s="22" t="n"/>
      <c r="D550" s="22" t="n"/>
      <c r="E550" s="23">
        <f>IF(OR(M550=0,K550="",L550=""),"",MOD(L550-K550,1))</f>
        <v/>
      </c>
      <c r="F550" s="24">
        <f>IF(OR(E550="",M550=0),"",IF(ROUND_MODE="للأعلى",CEILING(ROUND((E550*24*$N$545),3),0.25),ROUND((E550*24*$N$545)*4,0)/4))</f>
        <v/>
      </c>
      <c r="G550" s="22" t="n"/>
      <c r="H550" s="22" t="n"/>
      <c r="K550" s="25">
        <f>IF(OR(M550=0,C550=""),"",IF(ISNUMBER(C550),MOD(C550,1),IFERROR(INDEX('القوائم'!$B$1:$B$288,MATCH(TRIM(C550),'القوائم'!$A$1:$A$288,0)),IFERROR(MOD(TIMEVALUE(C550),1),""))))</f>
        <v/>
      </c>
      <c r="L550" s="25">
        <f>IF(OR(M550=0,D550=""),"",IF(ISNUMBER(D550),MOD(D550,1),IFERROR(INDEX('القوائم'!$B$1:$B$288,MATCH(TRIM(D550),'القوائم'!$A$1:$A$288,0)),IFERROR(MOD(TIMEVALUE(D550),1),""))))</f>
        <v/>
      </c>
      <c r="M550">
        <f>M545</f>
        <v/>
      </c>
      <c r="Q550">
        <f>IF(N(F555)&gt;0,1,0)</f>
        <v/>
      </c>
    </row>
    <row r="551">
      <c r="A551" s="20">
        <f>IF(50&lt;=NW,SAT1+348,"")</f>
        <v/>
      </c>
      <c r="B551" s="21">
        <f>IF(A551="","",CHOOSE(WEEKDAY(A551,1),"الأحد","الاثنين","الثلاثاء","الأربعاء","الخميس","الجمعة","السبت"))</f>
        <v/>
      </c>
      <c r="C551" s="22" t="n"/>
      <c r="D551" s="22" t="n"/>
      <c r="E551" s="23">
        <f>IF(OR(M551=0,K551="",L551=""),"",MOD(L551-K551,1))</f>
        <v/>
      </c>
      <c r="F551" s="24">
        <f>IF(OR(E551="",M551=0),"",IF(ROUND_MODE="للأعلى",CEILING(ROUND((E551*24*$N$545),3),0.25),ROUND((E551*24*$N$545)*4,0)/4))</f>
        <v/>
      </c>
      <c r="G551" s="22" t="n"/>
      <c r="H551" s="22" t="n"/>
      <c r="K551" s="25">
        <f>IF(OR(M551=0,C551=""),"",IF(ISNUMBER(C551),MOD(C551,1),IFERROR(INDEX('القوائم'!$B$1:$B$288,MATCH(TRIM(C551),'القوائم'!$A$1:$A$288,0)),IFERROR(MOD(TIMEVALUE(C551),1),""))))</f>
        <v/>
      </c>
      <c r="L551" s="25">
        <f>IF(OR(M551=0,D551=""),"",IF(ISNUMBER(D551),MOD(D551,1),IFERROR(INDEX('القوائم'!$B$1:$B$288,MATCH(TRIM(D551),'القوائم'!$A$1:$A$288,0)),IFERROR(MOD(TIMEVALUE(D551),1),""))))</f>
        <v/>
      </c>
      <c r="M551">
        <f>M545</f>
        <v/>
      </c>
      <c r="Q551">
        <f>IF(N(F555)&gt;0,1,0)</f>
        <v/>
      </c>
    </row>
    <row r="552">
      <c r="A552" s="26">
        <f>IF(50&lt;=NW,SAT1+349,"")</f>
        <v/>
      </c>
      <c r="B552" s="27">
        <f>IF(A552="","",CHOOSE(WEEKDAY(A552,1),"الأحد","الاثنين","الثلاثاء","الأربعاء","الخميس","الجمعة","السبت"))</f>
        <v/>
      </c>
      <c r="C552" s="22" t="n"/>
      <c r="D552" s="22" t="n"/>
      <c r="E552" s="23">
        <f>IF(OR(M552=0,K552="",L552=""),"",MOD(L552-K552,1))</f>
        <v/>
      </c>
      <c r="F552" s="24">
        <f>IF(OR(E552="",M552=0),"",IF(ROUND_MODE="للأعلى",CEILING(ROUND((E552*24*$N$545),3),0.25),ROUND((E552*24*$N$545)*4,0)/4))</f>
        <v/>
      </c>
      <c r="G552" s="22" t="n"/>
      <c r="H552" s="22" t="n"/>
      <c r="K552" s="25">
        <f>IF(OR(M552=0,C552=""),"",IF(ISNUMBER(C552),MOD(C552,1),IFERROR(INDEX('القوائم'!$B$1:$B$288,MATCH(TRIM(C552),'القوائم'!$A$1:$A$288,0)),IFERROR(MOD(TIMEVALUE(C552),1),""))))</f>
        <v/>
      </c>
      <c r="L552" s="25">
        <f>IF(OR(M552=0,D552=""),"",IF(ISNUMBER(D552),MOD(D552,1),IFERROR(INDEX('القوائم'!$B$1:$B$288,MATCH(TRIM(D552),'القوائم'!$A$1:$A$288,0)),IFERROR(MOD(TIMEVALUE(D552),1),""))))</f>
        <v/>
      </c>
      <c r="M552">
        <f>M545</f>
        <v/>
      </c>
      <c r="Q552">
        <f>IF(N(F555)&gt;0,1,0)</f>
        <v/>
      </c>
    </row>
    <row r="553">
      <c r="A553" s="28">
        <f>IF(M545=1,"مجموع أيام الأسبوع 50","")</f>
        <v/>
      </c>
      <c r="B553" s="28" t="n"/>
      <c r="C553" s="28" t="n"/>
      <c r="D553" s="28" t="n"/>
      <c r="E553" s="29">
        <f>IF(M545=1,SUM(E546:E552),"")</f>
        <v/>
      </c>
      <c r="F553" s="30">
        <f>IF(M545=1,SUM(F546:F552),"")</f>
        <v/>
      </c>
      <c r="G553" s="41">
        <f>IF(M545=1,SUMIFS(F546:F552,G546:G552,"نعم"),"")</f>
        <v/>
      </c>
      <c r="H553" s="28" t="n"/>
    </row>
    <row r="554" ht="32" customHeight="1">
      <c r="A554" s="28">
        <f>IF(M545=1,"ساعات تحميل الجبسمبورد بهالأسبوع (رقم: 2 أو 1.5) ←","")</f>
        <v/>
      </c>
      <c r="E554" s="31" t="n"/>
      <c r="F554" s="33">
        <f>IF(M545=1,N(F553)+IF(ROUND_MODE="للأعلى",CEILING(ROUND((N(E554)*($P$545-$N$545)),3),0.25),ROUND((N(E554)*($P$545-$N$545))*4,0)/4),"")</f>
        <v/>
      </c>
      <c r="G554" s="32">
        <f>IF(M545=1,"← المستحق النهائي للأسبوع (دينار) مع فرق الجبسمبورد","")</f>
        <v/>
      </c>
    </row>
    <row r="555" ht="26" customHeight="1">
      <c r="A555" s="28">
        <f>IF(M545=1,"إكرامية الأسبوع ←","")</f>
        <v/>
      </c>
      <c r="C555" s="35" t="n"/>
      <c r="D555" s="28">
        <f>IF(M545=1,"المدفوع يوم الجمعة (التسوية) ←","")</f>
        <v/>
      </c>
      <c r="F555" s="35" t="n"/>
      <c r="G555" s="36">
        <f>IF(M545=1,IF(N(F555)&gt;0,"✔ انقبض — الأسبوع مقفول","⏳ لسا ما انقبض"),"")</f>
        <v/>
      </c>
    </row>
    <row r="556" ht="26" customHeight="1">
      <c r="A556" s="40">
        <f>IF(51&lt;=NW,"الأسبوع 51 · السبت "&amp;TEXT(DAY(SAT1+350),"00")&amp;"/"&amp;TEXT(MONTH(SAT1+350),"00")&amp;" ← الجمعة "&amp;TEXT(DAY(SAT1+356),"00")&amp;"/"&amp;TEXT(MONTH(SAT1+356),"00")&amp;" (يوم القبض)"&amp;IF(51&lt;START_Z,"   — قبل أسبوع البداية (ما بينحسب)",""),"ما في أسبوع 51 هالسنة")</f>
        <v/>
      </c>
      <c r="L556" s="19">
        <f>IF(51&lt;=NW,SAT1+356,"")</f>
        <v/>
      </c>
      <c r="M556">
        <f>IF(AND(51&lt;=NW,51&gt;=START_Z),1,0)</f>
        <v/>
      </c>
      <c r="N556">
        <f>IFERROR(INDEX(RT_AZZ,MATCH(L556,RT_K,1)),INDEX(RT_AZZ,1))</f>
        <v/>
      </c>
      <c r="P556">
        <f>IFERROR(INDEX(RT_GYP,MATCH(L556,RT_K,1)),INDEX(RT_GYP,1))</f>
        <v/>
      </c>
    </row>
    <row r="557">
      <c r="A557" s="20">
        <f>IF(51&lt;=NW,SAT1+350,"")</f>
        <v/>
      </c>
      <c r="B557" s="21">
        <f>IF(A557="","",CHOOSE(WEEKDAY(A557,1),"الأحد","الاثنين","الثلاثاء","الأربعاء","الخميس","الجمعة","السبت"))</f>
        <v/>
      </c>
      <c r="C557" s="22" t="n"/>
      <c r="D557" s="22" t="n"/>
      <c r="E557" s="23">
        <f>IF(OR(M557=0,K557="",L557=""),"",MOD(L557-K557,1))</f>
        <v/>
      </c>
      <c r="F557" s="24">
        <f>IF(OR(E557="",M557=0),"",IF(ROUND_MODE="للأعلى",CEILING(ROUND((E557*24*$N$556),3),0.25),ROUND((E557*24*$N$556)*4,0)/4))</f>
        <v/>
      </c>
      <c r="G557" s="22" t="n"/>
      <c r="H557" s="22" t="n"/>
      <c r="K557" s="25">
        <f>IF(OR(M557=0,C557=""),"",IF(ISNUMBER(C557),MOD(C557,1),IFERROR(INDEX('القوائم'!$B$1:$B$288,MATCH(TRIM(C557),'القوائم'!$A$1:$A$288,0)),IFERROR(MOD(TIMEVALUE(C557),1),""))))</f>
        <v/>
      </c>
      <c r="L557" s="25">
        <f>IF(OR(M557=0,D557=""),"",IF(ISNUMBER(D557),MOD(D557,1),IFERROR(INDEX('القوائم'!$B$1:$B$288,MATCH(TRIM(D557),'القوائم'!$A$1:$A$288,0)),IFERROR(MOD(TIMEVALUE(D557),1),""))))</f>
        <v/>
      </c>
      <c r="M557">
        <f>M556</f>
        <v/>
      </c>
      <c r="Q557">
        <f>IF(N(F566)&gt;0,1,0)</f>
        <v/>
      </c>
    </row>
    <row r="558">
      <c r="A558" s="20">
        <f>IF(51&lt;=NW,SAT1+351,"")</f>
        <v/>
      </c>
      <c r="B558" s="21">
        <f>IF(A558="","",CHOOSE(WEEKDAY(A558,1),"الأحد","الاثنين","الثلاثاء","الأربعاء","الخميس","الجمعة","السبت"))</f>
        <v/>
      </c>
      <c r="C558" s="22" t="n"/>
      <c r="D558" s="22" t="n"/>
      <c r="E558" s="23">
        <f>IF(OR(M558=0,K558="",L558=""),"",MOD(L558-K558,1))</f>
        <v/>
      </c>
      <c r="F558" s="24">
        <f>IF(OR(E558="",M558=0),"",IF(ROUND_MODE="للأعلى",CEILING(ROUND((E558*24*$N$556),3),0.25),ROUND((E558*24*$N$556)*4,0)/4))</f>
        <v/>
      </c>
      <c r="G558" s="22" t="n"/>
      <c r="H558" s="22" t="n"/>
      <c r="K558" s="25">
        <f>IF(OR(M558=0,C558=""),"",IF(ISNUMBER(C558),MOD(C558,1),IFERROR(INDEX('القوائم'!$B$1:$B$288,MATCH(TRIM(C558),'القوائم'!$A$1:$A$288,0)),IFERROR(MOD(TIMEVALUE(C558),1),""))))</f>
        <v/>
      </c>
      <c r="L558" s="25">
        <f>IF(OR(M558=0,D558=""),"",IF(ISNUMBER(D558),MOD(D558,1),IFERROR(INDEX('القوائم'!$B$1:$B$288,MATCH(TRIM(D558),'القوائم'!$A$1:$A$288,0)),IFERROR(MOD(TIMEVALUE(D558),1),""))))</f>
        <v/>
      </c>
      <c r="M558">
        <f>M556</f>
        <v/>
      </c>
      <c r="Q558">
        <f>IF(N(F566)&gt;0,1,0)</f>
        <v/>
      </c>
    </row>
    <row r="559">
      <c r="A559" s="20">
        <f>IF(51&lt;=NW,SAT1+352,"")</f>
        <v/>
      </c>
      <c r="B559" s="21">
        <f>IF(A559="","",CHOOSE(WEEKDAY(A559,1),"الأحد","الاثنين","الثلاثاء","الأربعاء","الخميس","الجمعة","السبت"))</f>
        <v/>
      </c>
      <c r="C559" s="22" t="n"/>
      <c r="D559" s="22" t="n"/>
      <c r="E559" s="23">
        <f>IF(OR(M559=0,K559="",L559=""),"",MOD(L559-K559,1))</f>
        <v/>
      </c>
      <c r="F559" s="24">
        <f>IF(OR(E559="",M559=0),"",IF(ROUND_MODE="للأعلى",CEILING(ROUND((E559*24*$N$556),3),0.25),ROUND((E559*24*$N$556)*4,0)/4))</f>
        <v/>
      </c>
      <c r="G559" s="22" t="n"/>
      <c r="H559" s="22" t="n"/>
      <c r="K559" s="25">
        <f>IF(OR(M559=0,C559=""),"",IF(ISNUMBER(C559),MOD(C559,1),IFERROR(INDEX('القوائم'!$B$1:$B$288,MATCH(TRIM(C559),'القوائم'!$A$1:$A$288,0)),IFERROR(MOD(TIMEVALUE(C559),1),""))))</f>
        <v/>
      </c>
      <c r="L559" s="25">
        <f>IF(OR(M559=0,D559=""),"",IF(ISNUMBER(D559),MOD(D559,1),IFERROR(INDEX('القوائم'!$B$1:$B$288,MATCH(TRIM(D559),'القوائم'!$A$1:$A$288,0)),IFERROR(MOD(TIMEVALUE(D559),1),""))))</f>
        <v/>
      </c>
      <c r="M559">
        <f>M556</f>
        <v/>
      </c>
      <c r="Q559">
        <f>IF(N(F566)&gt;0,1,0)</f>
        <v/>
      </c>
    </row>
    <row r="560">
      <c r="A560" s="20">
        <f>IF(51&lt;=NW,SAT1+353,"")</f>
        <v/>
      </c>
      <c r="B560" s="21">
        <f>IF(A560="","",CHOOSE(WEEKDAY(A560,1),"الأحد","الاثنين","الثلاثاء","الأربعاء","الخميس","الجمعة","السبت"))</f>
        <v/>
      </c>
      <c r="C560" s="22" t="n"/>
      <c r="D560" s="22" t="n"/>
      <c r="E560" s="23">
        <f>IF(OR(M560=0,K560="",L560=""),"",MOD(L560-K560,1))</f>
        <v/>
      </c>
      <c r="F560" s="24">
        <f>IF(OR(E560="",M560=0),"",IF(ROUND_MODE="للأعلى",CEILING(ROUND((E560*24*$N$556),3),0.25),ROUND((E560*24*$N$556)*4,0)/4))</f>
        <v/>
      </c>
      <c r="G560" s="22" t="n"/>
      <c r="H560" s="22" t="n"/>
      <c r="K560" s="25">
        <f>IF(OR(M560=0,C560=""),"",IF(ISNUMBER(C560),MOD(C560,1),IFERROR(INDEX('القوائم'!$B$1:$B$288,MATCH(TRIM(C560),'القوائم'!$A$1:$A$288,0)),IFERROR(MOD(TIMEVALUE(C560),1),""))))</f>
        <v/>
      </c>
      <c r="L560" s="25">
        <f>IF(OR(M560=0,D560=""),"",IF(ISNUMBER(D560),MOD(D560,1),IFERROR(INDEX('القوائم'!$B$1:$B$288,MATCH(TRIM(D560),'القوائم'!$A$1:$A$288,0)),IFERROR(MOD(TIMEVALUE(D560),1),""))))</f>
        <v/>
      </c>
      <c r="M560">
        <f>M556</f>
        <v/>
      </c>
      <c r="Q560">
        <f>IF(N(F566)&gt;0,1,0)</f>
        <v/>
      </c>
    </row>
    <row r="561">
      <c r="A561" s="20">
        <f>IF(51&lt;=NW,SAT1+354,"")</f>
        <v/>
      </c>
      <c r="B561" s="21">
        <f>IF(A561="","",CHOOSE(WEEKDAY(A561,1),"الأحد","الاثنين","الثلاثاء","الأربعاء","الخميس","الجمعة","السبت"))</f>
        <v/>
      </c>
      <c r="C561" s="22" t="n"/>
      <c r="D561" s="22" t="n"/>
      <c r="E561" s="23">
        <f>IF(OR(M561=0,K561="",L561=""),"",MOD(L561-K561,1))</f>
        <v/>
      </c>
      <c r="F561" s="24">
        <f>IF(OR(E561="",M561=0),"",IF(ROUND_MODE="للأعلى",CEILING(ROUND((E561*24*$N$556),3),0.25),ROUND((E561*24*$N$556)*4,0)/4))</f>
        <v/>
      </c>
      <c r="G561" s="22" t="n"/>
      <c r="H561" s="22" t="n"/>
      <c r="K561" s="25">
        <f>IF(OR(M561=0,C561=""),"",IF(ISNUMBER(C561),MOD(C561,1),IFERROR(INDEX('القوائم'!$B$1:$B$288,MATCH(TRIM(C561),'القوائم'!$A$1:$A$288,0)),IFERROR(MOD(TIMEVALUE(C561),1),""))))</f>
        <v/>
      </c>
      <c r="L561" s="25">
        <f>IF(OR(M561=0,D561=""),"",IF(ISNUMBER(D561),MOD(D561,1),IFERROR(INDEX('القوائم'!$B$1:$B$288,MATCH(TRIM(D561),'القوائم'!$A$1:$A$288,0)),IFERROR(MOD(TIMEVALUE(D561),1),""))))</f>
        <v/>
      </c>
      <c r="M561">
        <f>M556</f>
        <v/>
      </c>
      <c r="Q561">
        <f>IF(N(F566)&gt;0,1,0)</f>
        <v/>
      </c>
    </row>
    <row r="562">
      <c r="A562" s="20">
        <f>IF(51&lt;=NW,SAT1+355,"")</f>
        <v/>
      </c>
      <c r="B562" s="21">
        <f>IF(A562="","",CHOOSE(WEEKDAY(A562,1),"الأحد","الاثنين","الثلاثاء","الأربعاء","الخميس","الجمعة","السبت"))</f>
        <v/>
      </c>
      <c r="C562" s="22" t="n"/>
      <c r="D562" s="22" t="n"/>
      <c r="E562" s="23">
        <f>IF(OR(M562=0,K562="",L562=""),"",MOD(L562-K562,1))</f>
        <v/>
      </c>
      <c r="F562" s="24">
        <f>IF(OR(E562="",M562=0),"",IF(ROUND_MODE="للأعلى",CEILING(ROUND((E562*24*$N$556),3),0.25),ROUND((E562*24*$N$556)*4,0)/4))</f>
        <v/>
      </c>
      <c r="G562" s="22" t="n"/>
      <c r="H562" s="22" t="n"/>
      <c r="K562" s="25">
        <f>IF(OR(M562=0,C562=""),"",IF(ISNUMBER(C562),MOD(C562,1),IFERROR(INDEX('القوائم'!$B$1:$B$288,MATCH(TRIM(C562),'القوائم'!$A$1:$A$288,0)),IFERROR(MOD(TIMEVALUE(C562),1),""))))</f>
        <v/>
      </c>
      <c r="L562" s="25">
        <f>IF(OR(M562=0,D562=""),"",IF(ISNUMBER(D562),MOD(D562,1),IFERROR(INDEX('القوائم'!$B$1:$B$288,MATCH(TRIM(D562),'القوائم'!$A$1:$A$288,0)),IFERROR(MOD(TIMEVALUE(D562),1),""))))</f>
        <v/>
      </c>
      <c r="M562">
        <f>M556</f>
        <v/>
      </c>
      <c r="Q562">
        <f>IF(N(F566)&gt;0,1,0)</f>
        <v/>
      </c>
    </row>
    <row r="563">
      <c r="A563" s="26">
        <f>IF(51&lt;=NW,SAT1+356,"")</f>
        <v/>
      </c>
      <c r="B563" s="27">
        <f>IF(A563="","",CHOOSE(WEEKDAY(A563,1),"الأحد","الاثنين","الثلاثاء","الأربعاء","الخميس","الجمعة","السبت"))</f>
        <v/>
      </c>
      <c r="C563" s="22" t="n"/>
      <c r="D563" s="22" t="n"/>
      <c r="E563" s="23">
        <f>IF(OR(M563=0,K563="",L563=""),"",MOD(L563-K563,1))</f>
        <v/>
      </c>
      <c r="F563" s="24">
        <f>IF(OR(E563="",M563=0),"",IF(ROUND_MODE="للأعلى",CEILING(ROUND((E563*24*$N$556),3),0.25),ROUND((E563*24*$N$556)*4,0)/4))</f>
        <v/>
      </c>
      <c r="G563" s="22" t="n"/>
      <c r="H563" s="22" t="n"/>
      <c r="K563" s="25">
        <f>IF(OR(M563=0,C563=""),"",IF(ISNUMBER(C563),MOD(C563,1),IFERROR(INDEX('القوائم'!$B$1:$B$288,MATCH(TRIM(C563),'القوائم'!$A$1:$A$288,0)),IFERROR(MOD(TIMEVALUE(C563),1),""))))</f>
        <v/>
      </c>
      <c r="L563" s="25">
        <f>IF(OR(M563=0,D563=""),"",IF(ISNUMBER(D563),MOD(D563,1),IFERROR(INDEX('القوائم'!$B$1:$B$288,MATCH(TRIM(D563),'القوائم'!$A$1:$A$288,0)),IFERROR(MOD(TIMEVALUE(D563),1),""))))</f>
        <v/>
      </c>
      <c r="M563">
        <f>M556</f>
        <v/>
      </c>
      <c r="Q563">
        <f>IF(N(F566)&gt;0,1,0)</f>
        <v/>
      </c>
    </row>
    <row r="564">
      <c r="A564" s="28">
        <f>IF(M556=1,"مجموع أيام الأسبوع 51","")</f>
        <v/>
      </c>
      <c r="B564" s="28" t="n"/>
      <c r="C564" s="28" t="n"/>
      <c r="D564" s="28" t="n"/>
      <c r="E564" s="29">
        <f>IF(M556=1,SUM(E557:E563),"")</f>
        <v/>
      </c>
      <c r="F564" s="30">
        <f>IF(M556=1,SUM(F557:F563),"")</f>
        <v/>
      </c>
      <c r="G564" s="41">
        <f>IF(M556=1,SUMIFS(F557:F563,G557:G563,"نعم"),"")</f>
        <v/>
      </c>
      <c r="H564" s="28" t="n"/>
    </row>
    <row r="565" ht="32" customHeight="1">
      <c r="A565" s="28">
        <f>IF(M556=1,"ساعات تحميل الجبسمبورد بهالأسبوع (رقم: 2 أو 1.5) ←","")</f>
        <v/>
      </c>
      <c r="E565" s="31" t="n"/>
      <c r="F565" s="33">
        <f>IF(M556=1,N(F564)+IF(ROUND_MODE="للأعلى",CEILING(ROUND((N(E565)*($P$556-$N$556)),3),0.25),ROUND((N(E565)*($P$556-$N$556))*4,0)/4),"")</f>
        <v/>
      </c>
      <c r="G565" s="32">
        <f>IF(M556=1,"← المستحق النهائي للأسبوع (دينار) مع فرق الجبسمبورد","")</f>
        <v/>
      </c>
    </row>
    <row r="566" ht="26" customHeight="1">
      <c r="A566" s="28">
        <f>IF(M556=1,"إكرامية الأسبوع ←","")</f>
        <v/>
      </c>
      <c r="C566" s="35" t="n"/>
      <c r="D566" s="28">
        <f>IF(M556=1,"المدفوع يوم الجمعة (التسوية) ←","")</f>
        <v/>
      </c>
      <c r="F566" s="35" t="n"/>
      <c r="G566" s="36">
        <f>IF(M556=1,IF(N(F566)&gt;0,"✔ انقبض — الأسبوع مقفول","⏳ لسا ما انقبض"),"")</f>
        <v/>
      </c>
    </row>
    <row r="567" ht="26" customHeight="1">
      <c r="A567" s="40">
        <f>IF(52&lt;=NW,"الأسبوع 52 · السبت "&amp;TEXT(DAY(SAT1+357),"00")&amp;"/"&amp;TEXT(MONTH(SAT1+357),"00")&amp;" ← الجمعة "&amp;TEXT(DAY(SAT1+363),"00")&amp;"/"&amp;TEXT(MONTH(SAT1+363),"00")&amp;" (يوم القبض)"&amp;IF(52&lt;START_Z,"   — قبل أسبوع البداية (ما بينحسب)",""),"ما في أسبوع 52 هالسنة")</f>
        <v/>
      </c>
      <c r="L567" s="19">
        <f>IF(52&lt;=NW,SAT1+363,"")</f>
        <v/>
      </c>
      <c r="M567">
        <f>IF(AND(52&lt;=NW,52&gt;=START_Z),1,0)</f>
        <v/>
      </c>
      <c r="N567">
        <f>IFERROR(INDEX(RT_AZZ,MATCH(L567,RT_K,1)),INDEX(RT_AZZ,1))</f>
        <v/>
      </c>
      <c r="P567">
        <f>IFERROR(INDEX(RT_GYP,MATCH(L567,RT_K,1)),INDEX(RT_GYP,1))</f>
        <v/>
      </c>
    </row>
    <row r="568">
      <c r="A568" s="20">
        <f>IF(52&lt;=NW,SAT1+357,"")</f>
        <v/>
      </c>
      <c r="B568" s="21">
        <f>IF(A568="","",CHOOSE(WEEKDAY(A568,1),"الأحد","الاثنين","الثلاثاء","الأربعاء","الخميس","الجمعة","السبت"))</f>
        <v/>
      </c>
      <c r="C568" s="22" t="n"/>
      <c r="D568" s="22" t="n"/>
      <c r="E568" s="23">
        <f>IF(OR(M568=0,K568="",L568=""),"",MOD(L568-K568,1))</f>
        <v/>
      </c>
      <c r="F568" s="24">
        <f>IF(OR(E568="",M568=0),"",IF(ROUND_MODE="للأعلى",CEILING(ROUND((E568*24*$N$567),3),0.25),ROUND((E568*24*$N$567)*4,0)/4))</f>
        <v/>
      </c>
      <c r="G568" s="22" t="n"/>
      <c r="H568" s="22" t="n"/>
      <c r="K568" s="25">
        <f>IF(OR(M568=0,C568=""),"",IF(ISNUMBER(C568),MOD(C568,1),IFERROR(INDEX('القوائم'!$B$1:$B$288,MATCH(TRIM(C568),'القوائم'!$A$1:$A$288,0)),IFERROR(MOD(TIMEVALUE(C568),1),""))))</f>
        <v/>
      </c>
      <c r="L568" s="25">
        <f>IF(OR(M568=0,D568=""),"",IF(ISNUMBER(D568),MOD(D568,1),IFERROR(INDEX('القوائم'!$B$1:$B$288,MATCH(TRIM(D568),'القوائم'!$A$1:$A$288,0)),IFERROR(MOD(TIMEVALUE(D568),1),""))))</f>
        <v/>
      </c>
      <c r="M568">
        <f>M567</f>
        <v/>
      </c>
      <c r="Q568">
        <f>IF(N(F577)&gt;0,1,0)</f>
        <v/>
      </c>
    </row>
    <row r="569">
      <c r="A569" s="20">
        <f>IF(52&lt;=NW,SAT1+358,"")</f>
        <v/>
      </c>
      <c r="B569" s="21">
        <f>IF(A569="","",CHOOSE(WEEKDAY(A569,1),"الأحد","الاثنين","الثلاثاء","الأربعاء","الخميس","الجمعة","السبت"))</f>
        <v/>
      </c>
      <c r="C569" s="22" t="n"/>
      <c r="D569" s="22" t="n"/>
      <c r="E569" s="23">
        <f>IF(OR(M569=0,K569="",L569=""),"",MOD(L569-K569,1))</f>
        <v/>
      </c>
      <c r="F569" s="24">
        <f>IF(OR(E569="",M569=0),"",IF(ROUND_MODE="للأعلى",CEILING(ROUND((E569*24*$N$567),3),0.25),ROUND((E569*24*$N$567)*4,0)/4))</f>
        <v/>
      </c>
      <c r="G569" s="22" t="n"/>
      <c r="H569" s="22" t="n"/>
      <c r="K569" s="25">
        <f>IF(OR(M569=0,C569=""),"",IF(ISNUMBER(C569),MOD(C569,1),IFERROR(INDEX('القوائم'!$B$1:$B$288,MATCH(TRIM(C569),'القوائم'!$A$1:$A$288,0)),IFERROR(MOD(TIMEVALUE(C569),1),""))))</f>
        <v/>
      </c>
      <c r="L569" s="25">
        <f>IF(OR(M569=0,D569=""),"",IF(ISNUMBER(D569),MOD(D569,1),IFERROR(INDEX('القوائم'!$B$1:$B$288,MATCH(TRIM(D569),'القوائم'!$A$1:$A$288,0)),IFERROR(MOD(TIMEVALUE(D569),1),""))))</f>
        <v/>
      </c>
      <c r="M569">
        <f>M567</f>
        <v/>
      </c>
      <c r="Q569">
        <f>IF(N(F577)&gt;0,1,0)</f>
        <v/>
      </c>
    </row>
    <row r="570">
      <c r="A570" s="20">
        <f>IF(52&lt;=NW,SAT1+359,"")</f>
        <v/>
      </c>
      <c r="B570" s="21">
        <f>IF(A570="","",CHOOSE(WEEKDAY(A570,1),"الأحد","الاثنين","الثلاثاء","الأربعاء","الخميس","الجمعة","السبت"))</f>
        <v/>
      </c>
      <c r="C570" s="22" t="n"/>
      <c r="D570" s="22" t="n"/>
      <c r="E570" s="23">
        <f>IF(OR(M570=0,K570="",L570=""),"",MOD(L570-K570,1))</f>
        <v/>
      </c>
      <c r="F570" s="24">
        <f>IF(OR(E570="",M570=0),"",IF(ROUND_MODE="للأعلى",CEILING(ROUND((E570*24*$N$567),3),0.25),ROUND((E570*24*$N$567)*4,0)/4))</f>
        <v/>
      </c>
      <c r="G570" s="22" t="n"/>
      <c r="H570" s="22" t="n"/>
      <c r="K570" s="25">
        <f>IF(OR(M570=0,C570=""),"",IF(ISNUMBER(C570),MOD(C570,1),IFERROR(INDEX('القوائم'!$B$1:$B$288,MATCH(TRIM(C570),'القوائم'!$A$1:$A$288,0)),IFERROR(MOD(TIMEVALUE(C570),1),""))))</f>
        <v/>
      </c>
      <c r="L570" s="25">
        <f>IF(OR(M570=0,D570=""),"",IF(ISNUMBER(D570),MOD(D570,1),IFERROR(INDEX('القوائم'!$B$1:$B$288,MATCH(TRIM(D570),'القوائم'!$A$1:$A$288,0)),IFERROR(MOD(TIMEVALUE(D570),1),""))))</f>
        <v/>
      </c>
      <c r="M570">
        <f>M567</f>
        <v/>
      </c>
      <c r="Q570">
        <f>IF(N(F577)&gt;0,1,0)</f>
        <v/>
      </c>
    </row>
    <row r="571">
      <c r="A571" s="20">
        <f>IF(52&lt;=NW,SAT1+360,"")</f>
        <v/>
      </c>
      <c r="B571" s="21">
        <f>IF(A571="","",CHOOSE(WEEKDAY(A571,1),"الأحد","الاثنين","الثلاثاء","الأربعاء","الخميس","الجمعة","السبت"))</f>
        <v/>
      </c>
      <c r="C571" s="22" t="n"/>
      <c r="D571" s="22" t="n"/>
      <c r="E571" s="23">
        <f>IF(OR(M571=0,K571="",L571=""),"",MOD(L571-K571,1))</f>
        <v/>
      </c>
      <c r="F571" s="24">
        <f>IF(OR(E571="",M571=0),"",IF(ROUND_MODE="للأعلى",CEILING(ROUND((E571*24*$N$567),3),0.25),ROUND((E571*24*$N$567)*4,0)/4))</f>
        <v/>
      </c>
      <c r="G571" s="22" t="n"/>
      <c r="H571" s="22" t="n"/>
      <c r="K571" s="25">
        <f>IF(OR(M571=0,C571=""),"",IF(ISNUMBER(C571),MOD(C571,1),IFERROR(INDEX('القوائم'!$B$1:$B$288,MATCH(TRIM(C571),'القوائم'!$A$1:$A$288,0)),IFERROR(MOD(TIMEVALUE(C571),1),""))))</f>
        <v/>
      </c>
      <c r="L571" s="25">
        <f>IF(OR(M571=0,D571=""),"",IF(ISNUMBER(D571),MOD(D571,1),IFERROR(INDEX('القوائم'!$B$1:$B$288,MATCH(TRIM(D571),'القوائم'!$A$1:$A$288,0)),IFERROR(MOD(TIMEVALUE(D571),1),""))))</f>
        <v/>
      </c>
      <c r="M571">
        <f>M567</f>
        <v/>
      </c>
      <c r="Q571">
        <f>IF(N(F577)&gt;0,1,0)</f>
        <v/>
      </c>
    </row>
    <row r="572">
      <c r="A572" s="20">
        <f>IF(52&lt;=NW,SAT1+361,"")</f>
        <v/>
      </c>
      <c r="B572" s="21">
        <f>IF(A572="","",CHOOSE(WEEKDAY(A572,1),"الأحد","الاثنين","الثلاثاء","الأربعاء","الخميس","الجمعة","السبت"))</f>
        <v/>
      </c>
      <c r="C572" s="22" t="n"/>
      <c r="D572" s="22" t="n"/>
      <c r="E572" s="23">
        <f>IF(OR(M572=0,K572="",L572=""),"",MOD(L572-K572,1))</f>
        <v/>
      </c>
      <c r="F572" s="24">
        <f>IF(OR(E572="",M572=0),"",IF(ROUND_MODE="للأعلى",CEILING(ROUND((E572*24*$N$567),3),0.25),ROUND((E572*24*$N$567)*4,0)/4))</f>
        <v/>
      </c>
      <c r="G572" s="22" t="n"/>
      <c r="H572" s="22" t="n"/>
      <c r="K572" s="25">
        <f>IF(OR(M572=0,C572=""),"",IF(ISNUMBER(C572),MOD(C572,1),IFERROR(INDEX('القوائم'!$B$1:$B$288,MATCH(TRIM(C572),'القوائم'!$A$1:$A$288,0)),IFERROR(MOD(TIMEVALUE(C572),1),""))))</f>
        <v/>
      </c>
      <c r="L572" s="25">
        <f>IF(OR(M572=0,D572=""),"",IF(ISNUMBER(D572),MOD(D572,1),IFERROR(INDEX('القوائم'!$B$1:$B$288,MATCH(TRIM(D572),'القوائم'!$A$1:$A$288,0)),IFERROR(MOD(TIMEVALUE(D572),1),""))))</f>
        <v/>
      </c>
      <c r="M572">
        <f>M567</f>
        <v/>
      </c>
      <c r="Q572">
        <f>IF(N(F577)&gt;0,1,0)</f>
        <v/>
      </c>
    </row>
    <row r="573">
      <c r="A573" s="20">
        <f>IF(52&lt;=NW,SAT1+362,"")</f>
        <v/>
      </c>
      <c r="B573" s="21">
        <f>IF(A573="","",CHOOSE(WEEKDAY(A573,1),"الأحد","الاثنين","الثلاثاء","الأربعاء","الخميس","الجمعة","السبت"))</f>
        <v/>
      </c>
      <c r="C573" s="22" t="n"/>
      <c r="D573" s="22" t="n"/>
      <c r="E573" s="23">
        <f>IF(OR(M573=0,K573="",L573=""),"",MOD(L573-K573,1))</f>
        <v/>
      </c>
      <c r="F573" s="24">
        <f>IF(OR(E573="",M573=0),"",IF(ROUND_MODE="للأعلى",CEILING(ROUND((E573*24*$N$567),3),0.25),ROUND((E573*24*$N$567)*4,0)/4))</f>
        <v/>
      </c>
      <c r="G573" s="22" t="n"/>
      <c r="H573" s="22" t="n"/>
      <c r="K573" s="25">
        <f>IF(OR(M573=0,C573=""),"",IF(ISNUMBER(C573),MOD(C573,1),IFERROR(INDEX('القوائم'!$B$1:$B$288,MATCH(TRIM(C573),'القوائم'!$A$1:$A$288,0)),IFERROR(MOD(TIMEVALUE(C573),1),""))))</f>
        <v/>
      </c>
      <c r="L573" s="25">
        <f>IF(OR(M573=0,D573=""),"",IF(ISNUMBER(D573),MOD(D573,1),IFERROR(INDEX('القوائم'!$B$1:$B$288,MATCH(TRIM(D573),'القوائم'!$A$1:$A$288,0)),IFERROR(MOD(TIMEVALUE(D573),1),""))))</f>
        <v/>
      </c>
      <c r="M573">
        <f>M567</f>
        <v/>
      </c>
      <c r="Q573">
        <f>IF(N(F577)&gt;0,1,0)</f>
        <v/>
      </c>
    </row>
    <row r="574">
      <c r="A574" s="26">
        <f>IF(52&lt;=NW,SAT1+363,"")</f>
        <v/>
      </c>
      <c r="B574" s="27">
        <f>IF(A574="","",CHOOSE(WEEKDAY(A574,1),"الأحد","الاثنين","الثلاثاء","الأربعاء","الخميس","الجمعة","السبت"))</f>
        <v/>
      </c>
      <c r="C574" s="22" t="n"/>
      <c r="D574" s="22" t="n"/>
      <c r="E574" s="23">
        <f>IF(OR(M574=0,K574="",L574=""),"",MOD(L574-K574,1))</f>
        <v/>
      </c>
      <c r="F574" s="24">
        <f>IF(OR(E574="",M574=0),"",IF(ROUND_MODE="للأعلى",CEILING(ROUND((E574*24*$N$567),3),0.25),ROUND((E574*24*$N$567)*4,0)/4))</f>
        <v/>
      </c>
      <c r="G574" s="22" t="n"/>
      <c r="H574" s="22" t="n"/>
      <c r="K574" s="25">
        <f>IF(OR(M574=0,C574=""),"",IF(ISNUMBER(C574),MOD(C574,1),IFERROR(INDEX('القوائم'!$B$1:$B$288,MATCH(TRIM(C574),'القوائم'!$A$1:$A$288,0)),IFERROR(MOD(TIMEVALUE(C574),1),""))))</f>
        <v/>
      </c>
      <c r="L574" s="25">
        <f>IF(OR(M574=0,D574=""),"",IF(ISNUMBER(D574),MOD(D574,1),IFERROR(INDEX('القوائم'!$B$1:$B$288,MATCH(TRIM(D574),'القوائم'!$A$1:$A$288,0)),IFERROR(MOD(TIMEVALUE(D574),1),""))))</f>
        <v/>
      </c>
      <c r="M574">
        <f>M567</f>
        <v/>
      </c>
      <c r="Q574">
        <f>IF(N(F577)&gt;0,1,0)</f>
        <v/>
      </c>
    </row>
    <row r="575">
      <c r="A575" s="28">
        <f>IF(M567=1,"مجموع أيام الأسبوع 52","")</f>
        <v/>
      </c>
      <c r="B575" s="28" t="n"/>
      <c r="C575" s="28" t="n"/>
      <c r="D575" s="28" t="n"/>
      <c r="E575" s="29">
        <f>IF(M567=1,SUM(E568:E574),"")</f>
        <v/>
      </c>
      <c r="F575" s="30">
        <f>IF(M567=1,SUM(F568:F574),"")</f>
        <v/>
      </c>
      <c r="G575" s="41">
        <f>IF(M567=1,SUMIFS(F568:F574,G568:G574,"نعم"),"")</f>
        <v/>
      </c>
      <c r="H575" s="28" t="n"/>
    </row>
    <row r="576" ht="32" customHeight="1">
      <c r="A576" s="28">
        <f>IF(M567=1,"ساعات تحميل الجبسمبورد بهالأسبوع (رقم: 2 أو 1.5) ←","")</f>
        <v/>
      </c>
      <c r="E576" s="31" t="n"/>
      <c r="F576" s="33">
        <f>IF(M567=1,N(F575)+IF(ROUND_MODE="للأعلى",CEILING(ROUND((N(E576)*($P$567-$N$567)),3),0.25),ROUND((N(E576)*($P$567-$N$567))*4,0)/4),"")</f>
        <v/>
      </c>
      <c r="G576" s="32">
        <f>IF(M567=1,"← المستحق النهائي للأسبوع (دينار) مع فرق الجبسمبورد","")</f>
        <v/>
      </c>
    </row>
    <row r="577" ht="26" customHeight="1">
      <c r="A577" s="28">
        <f>IF(M567=1,"إكرامية الأسبوع ←","")</f>
        <v/>
      </c>
      <c r="C577" s="35" t="n"/>
      <c r="D577" s="28">
        <f>IF(M567=1,"المدفوع يوم الجمعة (التسوية) ←","")</f>
        <v/>
      </c>
      <c r="F577" s="35" t="n"/>
      <c r="G577" s="36">
        <f>IF(M567=1,IF(N(F577)&gt;0,"✔ انقبض — الأسبوع مقفول","⏳ لسا ما انقبض"),"")</f>
        <v/>
      </c>
    </row>
    <row r="578" ht="26" customHeight="1">
      <c r="A578" s="40">
        <f>IF(53&lt;=NW,"الأسبوع 53 · السبت "&amp;TEXT(DAY(SAT1+364),"00")&amp;"/"&amp;TEXT(MONTH(SAT1+364),"00")&amp;" ← الجمعة "&amp;TEXT(DAY(SAT1+370),"00")&amp;"/"&amp;TEXT(MONTH(SAT1+370),"00")&amp;" (يوم القبض)"&amp;IF(53&lt;START_Z,"   — قبل أسبوع البداية (ما بينحسب)",""),"ما في أسبوع 53 هالسنة")</f>
        <v/>
      </c>
      <c r="L578" s="19">
        <f>IF(53&lt;=NW,SAT1+370,"")</f>
        <v/>
      </c>
      <c r="M578">
        <f>IF(AND(53&lt;=NW,53&gt;=START_Z),1,0)</f>
        <v/>
      </c>
      <c r="N578">
        <f>IFERROR(INDEX(RT_AZZ,MATCH(L578,RT_K,1)),INDEX(RT_AZZ,1))</f>
        <v/>
      </c>
      <c r="P578">
        <f>IFERROR(INDEX(RT_GYP,MATCH(L578,RT_K,1)),INDEX(RT_GYP,1))</f>
        <v/>
      </c>
    </row>
    <row r="579">
      <c r="A579" s="20">
        <f>IF(53&lt;=NW,SAT1+364,"")</f>
        <v/>
      </c>
      <c r="B579" s="21">
        <f>IF(A579="","",CHOOSE(WEEKDAY(A579,1),"الأحد","الاثنين","الثلاثاء","الأربعاء","الخميس","الجمعة","السبت"))</f>
        <v/>
      </c>
      <c r="C579" s="22" t="n"/>
      <c r="D579" s="22" t="n"/>
      <c r="E579" s="23">
        <f>IF(OR(M579=0,K579="",L579=""),"",MOD(L579-K579,1))</f>
        <v/>
      </c>
      <c r="F579" s="24">
        <f>IF(OR(E579="",M579=0),"",IF(ROUND_MODE="للأعلى",CEILING(ROUND((E579*24*$N$578),3),0.25),ROUND((E579*24*$N$578)*4,0)/4))</f>
        <v/>
      </c>
      <c r="G579" s="22" t="n"/>
      <c r="H579" s="22" t="n"/>
      <c r="K579" s="25">
        <f>IF(OR(M579=0,C579=""),"",IF(ISNUMBER(C579),MOD(C579,1),IFERROR(INDEX('القوائم'!$B$1:$B$288,MATCH(TRIM(C579),'القوائم'!$A$1:$A$288,0)),IFERROR(MOD(TIMEVALUE(C579),1),""))))</f>
        <v/>
      </c>
      <c r="L579" s="25">
        <f>IF(OR(M579=0,D579=""),"",IF(ISNUMBER(D579),MOD(D579,1),IFERROR(INDEX('القوائم'!$B$1:$B$288,MATCH(TRIM(D579),'القوائم'!$A$1:$A$288,0)),IFERROR(MOD(TIMEVALUE(D579),1),""))))</f>
        <v/>
      </c>
      <c r="M579">
        <f>M578</f>
        <v/>
      </c>
      <c r="Q579">
        <f>IF(N(F588)&gt;0,1,0)</f>
        <v/>
      </c>
    </row>
    <row r="580">
      <c r="A580" s="20">
        <f>IF(53&lt;=NW,SAT1+365,"")</f>
        <v/>
      </c>
      <c r="B580" s="21">
        <f>IF(A580="","",CHOOSE(WEEKDAY(A580,1),"الأحد","الاثنين","الثلاثاء","الأربعاء","الخميس","الجمعة","السبت"))</f>
        <v/>
      </c>
      <c r="C580" s="22" t="n"/>
      <c r="D580" s="22" t="n"/>
      <c r="E580" s="23">
        <f>IF(OR(M580=0,K580="",L580=""),"",MOD(L580-K580,1))</f>
        <v/>
      </c>
      <c r="F580" s="24">
        <f>IF(OR(E580="",M580=0),"",IF(ROUND_MODE="للأعلى",CEILING(ROUND((E580*24*$N$578),3),0.25),ROUND((E580*24*$N$578)*4,0)/4))</f>
        <v/>
      </c>
      <c r="G580" s="22" t="n"/>
      <c r="H580" s="22" t="n"/>
      <c r="K580" s="25">
        <f>IF(OR(M580=0,C580=""),"",IF(ISNUMBER(C580),MOD(C580,1),IFERROR(INDEX('القوائم'!$B$1:$B$288,MATCH(TRIM(C580),'القوائم'!$A$1:$A$288,0)),IFERROR(MOD(TIMEVALUE(C580),1),""))))</f>
        <v/>
      </c>
      <c r="L580" s="25">
        <f>IF(OR(M580=0,D580=""),"",IF(ISNUMBER(D580),MOD(D580,1),IFERROR(INDEX('القوائم'!$B$1:$B$288,MATCH(TRIM(D580),'القوائم'!$A$1:$A$288,0)),IFERROR(MOD(TIMEVALUE(D580),1),""))))</f>
        <v/>
      </c>
      <c r="M580">
        <f>M578</f>
        <v/>
      </c>
      <c r="Q580">
        <f>IF(N(F588)&gt;0,1,0)</f>
        <v/>
      </c>
    </row>
    <row r="581">
      <c r="A581" s="20">
        <f>IF(53&lt;=NW,SAT1+366,"")</f>
        <v/>
      </c>
      <c r="B581" s="21">
        <f>IF(A581="","",CHOOSE(WEEKDAY(A581,1),"الأحد","الاثنين","الثلاثاء","الأربعاء","الخميس","الجمعة","السبت"))</f>
        <v/>
      </c>
      <c r="C581" s="22" t="n"/>
      <c r="D581" s="22" t="n"/>
      <c r="E581" s="23">
        <f>IF(OR(M581=0,K581="",L581=""),"",MOD(L581-K581,1))</f>
        <v/>
      </c>
      <c r="F581" s="24">
        <f>IF(OR(E581="",M581=0),"",IF(ROUND_MODE="للأعلى",CEILING(ROUND((E581*24*$N$578),3),0.25),ROUND((E581*24*$N$578)*4,0)/4))</f>
        <v/>
      </c>
      <c r="G581" s="22" t="n"/>
      <c r="H581" s="22" t="n"/>
      <c r="K581" s="25">
        <f>IF(OR(M581=0,C581=""),"",IF(ISNUMBER(C581),MOD(C581,1),IFERROR(INDEX('القوائم'!$B$1:$B$288,MATCH(TRIM(C581),'القوائم'!$A$1:$A$288,0)),IFERROR(MOD(TIMEVALUE(C581),1),""))))</f>
        <v/>
      </c>
      <c r="L581" s="25">
        <f>IF(OR(M581=0,D581=""),"",IF(ISNUMBER(D581),MOD(D581,1),IFERROR(INDEX('القوائم'!$B$1:$B$288,MATCH(TRIM(D581),'القوائم'!$A$1:$A$288,0)),IFERROR(MOD(TIMEVALUE(D581),1),""))))</f>
        <v/>
      </c>
      <c r="M581">
        <f>M578</f>
        <v/>
      </c>
      <c r="Q581">
        <f>IF(N(F588)&gt;0,1,0)</f>
        <v/>
      </c>
    </row>
    <row r="582">
      <c r="A582" s="20">
        <f>IF(53&lt;=NW,SAT1+367,"")</f>
        <v/>
      </c>
      <c r="B582" s="21">
        <f>IF(A582="","",CHOOSE(WEEKDAY(A582,1),"الأحد","الاثنين","الثلاثاء","الأربعاء","الخميس","الجمعة","السبت"))</f>
        <v/>
      </c>
      <c r="C582" s="22" t="n"/>
      <c r="D582" s="22" t="n"/>
      <c r="E582" s="23">
        <f>IF(OR(M582=0,K582="",L582=""),"",MOD(L582-K582,1))</f>
        <v/>
      </c>
      <c r="F582" s="24">
        <f>IF(OR(E582="",M582=0),"",IF(ROUND_MODE="للأعلى",CEILING(ROUND((E582*24*$N$578),3),0.25),ROUND((E582*24*$N$578)*4,0)/4))</f>
        <v/>
      </c>
      <c r="G582" s="22" t="n"/>
      <c r="H582" s="22" t="n"/>
      <c r="K582" s="25">
        <f>IF(OR(M582=0,C582=""),"",IF(ISNUMBER(C582),MOD(C582,1),IFERROR(INDEX('القوائم'!$B$1:$B$288,MATCH(TRIM(C582),'القوائم'!$A$1:$A$288,0)),IFERROR(MOD(TIMEVALUE(C582),1),""))))</f>
        <v/>
      </c>
      <c r="L582" s="25">
        <f>IF(OR(M582=0,D582=""),"",IF(ISNUMBER(D582),MOD(D582,1),IFERROR(INDEX('القوائم'!$B$1:$B$288,MATCH(TRIM(D582),'القوائم'!$A$1:$A$288,0)),IFERROR(MOD(TIMEVALUE(D582),1),""))))</f>
        <v/>
      </c>
      <c r="M582">
        <f>M578</f>
        <v/>
      </c>
      <c r="Q582">
        <f>IF(N(F588)&gt;0,1,0)</f>
        <v/>
      </c>
    </row>
    <row r="583">
      <c r="A583" s="20">
        <f>IF(53&lt;=NW,SAT1+368,"")</f>
        <v/>
      </c>
      <c r="B583" s="21">
        <f>IF(A583="","",CHOOSE(WEEKDAY(A583,1),"الأحد","الاثنين","الثلاثاء","الأربعاء","الخميس","الجمعة","السبت"))</f>
        <v/>
      </c>
      <c r="C583" s="22" t="n"/>
      <c r="D583" s="22" t="n"/>
      <c r="E583" s="23">
        <f>IF(OR(M583=0,K583="",L583=""),"",MOD(L583-K583,1))</f>
        <v/>
      </c>
      <c r="F583" s="24">
        <f>IF(OR(E583="",M583=0),"",IF(ROUND_MODE="للأعلى",CEILING(ROUND((E583*24*$N$578),3),0.25),ROUND((E583*24*$N$578)*4,0)/4))</f>
        <v/>
      </c>
      <c r="G583" s="22" t="n"/>
      <c r="H583" s="22" t="n"/>
      <c r="K583" s="25">
        <f>IF(OR(M583=0,C583=""),"",IF(ISNUMBER(C583),MOD(C583,1),IFERROR(INDEX('القوائم'!$B$1:$B$288,MATCH(TRIM(C583),'القوائم'!$A$1:$A$288,0)),IFERROR(MOD(TIMEVALUE(C583),1),""))))</f>
        <v/>
      </c>
      <c r="L583" s="25">
        <f>IF(OR(M583=0,D583=""),"",IF(ISNUMBER(D583),MOD(D583,1),IFERROR(INDEX('القوائم'!$B$1:$B$288,MATCH(TRIM(D583),'القوائم'!$A$1:$A$288,0)),IFERROR(MOD(TIMEVALUE(D583),1),""))))</f>
        <v/>
      </c>
      <c r="M583">
        <f>M578</f>
        <v/>
      </c>
      <c r="Q583">
        <f>IF(N(F588)&gt;0,1,0)</f>
        <v/>
      </c>
    </row>
    <row r="584">
      <c r="A584" s="20">
        <f>IF(53&lt;=NW,SAT1+369,"")</f>
        <v/>
      </c>
      <c r="B584" s="21">
        <f>IF(A584="","",CHOOSE(WEEKDAY(A584,1),"الأحد","الاثنين","الثلاثاء","الأربعاء","الخميس","الجمعة","السبت"))</f>
        <v/>
      </c>
      <c r="C584" s="22" t="n"/>
      <c r="D584" s="22" t="n"/>
      <c r="E584" s="23">
        <f>IF(OR(M584=0,K584="",L584=""),"",MOD(L584-K584,1))</f>
        <v/>
      </c>
      <c r="F584" s="24">
        <f>IF(OR(E584="",M584=0),"",IF(ROUND_MODE="للأعلى",CEILING(ROUND((E584*24*$N$578),3),0.25),ROUND((E584*24*$N$578)*4,0)/4))</f>
        <v/>
      </c>
      <c r="G584" s="22" t="n"/>
      <c r="H584" s="22" t="n"/>
      <c r="K584" s="25">
        <f>IF(OR(M584=0,C584=""),"",IF(ISNUMBER(C584),MOD(C584,1),IFERROR(INDEX('القوائم'!$B$1:$B$288,MATCH(TRIM(C584),'القوائم'!$A$1:$A$288,0)),IFERROR(MOD(TIMEVALUE(C584),1),""))))</f>
        <v/>
      </c>
      <c r="L584" s="25">
        <f>IF(OR(M584=0,D584=""),"",IF(ISNUMBER(D584),MOD(D584,1),IFERROR(INDEX('القوائم'!$B$1:$B$288,MATCH(TRIM(D584),'القوائم'!$A$1:$A$288,0)),IFERROR(MOD(TIMEVALUE(D584),1),""))))</f>
        <v/>
      </c>
      <c r="M584">
        <f>M578</f>
        <v/>
      </c>
      <c r="Q584">
        <f>IF(N(F588)&gt;0,1,0)</f>
        <v/>
      </c>
    </row>
    <row r="585">
      <c r="A585" s="26">
        <f>IF(53&lt;=NW,SAT1+370,"")</f>
        <v/>
      </c>
      <c r="B585" s="27">
        <f>IF(A585="","",CHOOSE(WEEKDAY(A585,1),"الأحد","الاثنين","الثلاثاء","الأربعاء","الخميس","الجمعة","السبت"))</f>
        <v/>
      </c>
      <c r="C585" s="22" t="n"/>
      <c r="D585" s="22" t="n"/>
      <c r="E585" s="23">
        <f>IF(OR(M585=0,K585="",L585=""),"",MOD(L585-K585,1))</f>
        <v/>
      </c>
      <c r="F585" s="24">
        <f>IF(OR(E585="",M585=0),"",IF(ROUND_MODE="للأعلى",CEILING(ROUND((E585*24*$N$578),3),0.25),ROUND((E585*24*$N$578)*4,0)/4))</f>
        <v/>
      </c>
      <c r="G585" s="22" t="n"/>
      <c r="H585" s="22" t="n"/>
      <c r="K585" s="25">
        <f>IF(OR(M585=0,C585=""),"",IF(ISNUMBER(C585),MOD(C585,1),IFERROR(INDEX('القوائم'!$B$1:$B$288,MATCH(TRIM(C585),'القوائم'!$A$1:$A$288,0)),IFERROR(MOD(TIMEVALUE(C585),1),""))))</f>
        <v/>
      </c>
      <c r="L585" s="25">
        <f>IF(OR(M585=0,D585=""),"",IF(ISNUMBER(D585),MOD(D585,1),IFERROR(INDEX('القوائم'!$B$1:$B$288,MATCH(TRIM(D585),'القوائم'!$A$1:$A$288,0)),IFERROR(MOD(TIMEVALUE(D585),1),""))))</f>
        <v/>
      </c>
      <c r="M585">
        <f>M578</f>
        <v/>
      </c>
      <c r="Q585">
        <f>IF(N(F588)&gt;0,1,0)</f>
        <v/>
      </c>
    </row>
    <row r="586">
      <c r="A586" s="28">
        <f>IF(M578=1,"مجموع أيام الأسبوع 53","")</f>
        <v/>
      </c>
      <c r="B586" s="28" t="n"/>
      <c r="C586" s="28" t="n"/>
      <c r="D586" s="28" t="n"/>
      <c r="E586" s="29">
        <f>IF(M578=1,SUM(E579:E585),"")</f>
        <v/>
      </c>
      <c r="F586" s="30">
        <f>IF(M578=1,SUM(F579:F585),"")</f>
        <v/>
      </c>
      <c r="G586" s="41">
        <f>IF(M578=1,SUMIFS(F579:F585,G579:G585,"نعم"),"")</f>
        <v/>
      </c>
      <c r="H586" s="28" t="n"/>
    </row>
    <row r="587" ht="32" customHeight="1">
      <c r="A587" s="28">
        <f>IF(M578=1,"ساعات تحميل الجبسمبورد بهالأسبوع (رقم: 2 أو 1.5) ←","")</f>
        <v/>
      </c>
      <c r="E587" s="31" t="n"/>
      <c r="F587" s="33">
        <f>IF(M578=1,N(F586)+IF(ROUND_MODE="للأعلى",CEILING(ROUND((N(E587)*($P$578-$N$578)),3),0.25),ROUND((N(E587)*($P$578-$N$578))*4,0)/4),"")</f>
        <v/>
      </c>
      <c r="G587" s="32">
        <f>IF(M578=1,"← المستحق النهائي للأسبوع (دينار) مع فرق الجبسمبورد","")</f>
        <v/>
      </c>
    </row>
    <row r="588" ht="26" customHeight="1">
      <c r="A588" s="28">
        <f>IF(M578=1,"إكرامية الأسبوع ←","")</f>
        <v/>
      </c>
      <c r="C588" s="35" t="n"/>
      <c r="D588" s="28">
        <f>IF(M578=1,"المدفوع يوم الجمعة (التسوية) ←","")</f>
        <v/>
      </c>
      <c r="F588" s="35" t="n"/>
      <c r="G588" s="36">
        <f>IF(M578=1,IF(N(F588)&gt;0,"✔ انقبض — الأسبوع مقفول","⏳ لسا ما انقبض"),"")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74">
    <mergeCell ref="A412:B412"/>
    <mergeCell ref="D60:E60"/>
    <mergeCell ref="A83:H83"/>
    <mergeCell ref="D423:E423"/>
    <mergeCell ref="A555:B555"/>
    <mergeCell ref="G71:H71"/>
    <mergeCell ref="A202:D202"/>
    <mergeCell ref="A478:B478"/>
    <mergeCell ref="A58:D58"/>
    <mergeCell ref="A565:D565"/>
    <mergeCell ref="A421:D421"/>
    <mergeCell ref="G137:H137"/>
    <mergeCell ref="A564:D564"/>
    <mergeCell ref="G422:H422"/>
    <mergeCell ref="G148:H148"/>
    <mergeCell ref="G335:H335"/>
    <mergeCell ref="A124:D124"/>
    <mergeCell ref="G489:H489"/>
    <mergeCell ref="A269:B269"/>
    <mergeCell ref="A422:D422"/>
    <mergeCell ref="G114:H114"/>
    <mergeCell ref="D357:E357"/>
    <mergeCell ref="A489:B489"/>
    <mergeCell ref="D71:E71"/>
    <mergeCell ref="G213:H213"/>
    <mergeCell ref="A553:D553"/>
    <mergeCell ref="G522:H522"/>
    <mergeCell ref="G59:H59"/>
    <mergeCell ref="A411:D411"/>
    <mergeCell ref="A358:H358"/>
    <mergeCell ref="A190:D190"/>
    <mergeCell ref="D258:E258"/>
    <mergeCell ref="G48:H48"/>
    <mergeCell ref="G346:H346"/>
    <mergeCell ref="G588:H588"/>
    <mergeCell ref="G125:H125"/>
    <mergeCell ref="A48:D48"/>
    <mergeCell ref="A477:D477"/>
    <mergeCell ref="D126:E126"/>
    <mergeCell ref="A192:B192"/>
    <mergeCell ref="A149:H149"/>
    <mergeCell ref="G412:H412"/>
    <mergeCell ref="A578:H578"/>
    <mergeCell ref="A181:B181"/>
    <mergeCell ref="A268:D268"/>
    <mergeCell ref="A424:H424"/>
    <mergeCell ref="A366:D366"/>
    <mergeCell ref="A215:H215"/>
    <mergeCell ref="G16:H16"/>
    <mergeCell ref="A443:D443"/>
    <mergeCell ref="G203:H203"/>
    <mergeCell ref="G301:H301"/>
    <mergeCell ref="A490:H490"/>
    <mergeCell ref="D302:E302"/>
    <mergeCell ref="A368:B368"/>
    <mergeCell ref="A49:B49"/>
    <mergeCell ref="D379:E379"/>
    <mergeCell ref="G532:H532"/>
    <mergeCell ref="A92:D92"/>
    <mergeCell ref="A501:H501"/>
    <mergeCell ref="A279:D279"/>
    <mergeCell ref="A521:D521"/>
    <mergeCell ref="G367:H367"/>
    <mergeCell ref="A300:D300"/>
    <mergeCell ref="D214:E214"/>
    <mergeCell ref="A69:D69"/>
    <mergeCell ref="A367:D367"/>
    <mergeCell ref="A256:D256"/>
    <mergeCell ref="A498:D498"/>
    <mergeCell ref="G356:H356"/>
    <mergeCell ref="A345:D345"/>
    <mergeCell ref="D313:E313"/>
    <mergeCell ref="G368:H368"/>
    <mergeCell ref="G433:H433"/>
    <mergeCell ref="D236:E236"/>
    <mergeCell ref="A356:D356"/>
    <mergeCell ref="A258:B258"/>
    <mergeCell ref="A500:B500"/>
    <mergeCell ref="D588:E588"/>
    <mergeCell ref="A234:D234"/>
    <mergeCell ref="A60:B60"/>
    <mergeCell ref="A147:D147"/>
    <mergeCell ref="A94:H94"/>
    <mergeCell ref="A432:D432"/>
    <mergeCell ref="A281:H281"/>
    <mergeCell ref="A523:H523"/>
    <mergeCell ref="G82:H82"/>
    <mergeCell ref="A509:D509"/>
    <mergeCell ref="A193:H193"/>
    <mergeCell ref="A434:B434"/>
    <mergeCell ref="D16:E16"/>
    <mergeCell ref="A146:D146"/>
    <mergeCell ref="A105:H105"/>
    <mergeCell ref="D445:E445"/>
    <mergeCell ref="G235:H235"/>
    <mergeCell ref="A468:H468"/>
    <mergeCell ref="G477:H477"/>
    <mergeCell ref="A380:H380"/>
    <mergeCell ref="A158:D158"/>
    <mergeCell ref="D82:E82"/>
    <mergeCell ref="A171:H171"/>
    <mergeCell ref="A587:D587"/>
    <mergeCell ref="A301:D301"/>
    <mergeCell ref="D511:E511"/>
    <mergeCell ref="G159:H159"/>
    <mergeCell ref="A446:H446"/>
    <mergeCell ref="A224:D224"/>
    <mergeCell ref="A291:B291"/>
    <mergeCell ref="G136:H136"/>
    <mergeCell ref="G434:H434"/>
    <mergeCell ref="A6:H6"/>
    <mergeCell ref="A236:B236"/>
    <mergeCell ref="A3:H3"/>
    <mergeCell ref="A160:H160"/>
    <mergeCell ref="A212:D212"/>
    <mergeCell ref="A303:H303"/>
    <mergeCell ref="A575:D575"/>
    <mergeCell ref="G389:H389"/>
    <mergeCell ref="G554:H554"/>
    <mergeCell ref="D148:E148"/>
    <mergeCell ref="A278:D278"/>
    <mergeCell ref="D324:E324"/>
    <mergeCell ref="G247:H247"/>
    <mergeCell ref="D115:E115"/>
    <mergeCell ref="G257:H257"/>
    <mergeCell ref="A466:D466"/>
    <mergeCell ref="A237:H237"/>
    <mergeCell ref="D390:E390"/>
    <mergeCell ref="G38:H38"/>
    <mergeCell ref="A169:D169"/>
    <mergeCell ref="A512:H512"/>
    <mergeCell ref="A532:D532"/>
    <mergeCell ref="A71:B71"/>
    <mergeCell ref="A313:B313"/>
    <mergeCell ref="G104:H104"/>
    <mergeCell ref="G269:H269"/>
    <mergeCell ref="D401:E401"/>
    <mergeCell ref="G511:H511"/>
    <mergeCell ref="A444:D444"/>
    <mergeCell ref="G302:H302"/>
    <mergeCell ref="A115:B115"/>
    <mergeCell ref="D38:E38"/>
    <mergeCell ref="A179:D179"/>
    <mergeCell ref="A543:D543"/>
    <mergeCell ref="A544:B544"/>
    <mergeCell ref="A322:D322"/>
    <mergeCell ref="A91:D91"/>
    <mergeCell ref="A389:D389"/>
    <mergeCell ref="A182:H182"/>
    <mergeCell ref="A180:D180"/>
    <mergeCell ref="G455:H455"/>
    <mergeCell ref="G224:H224"/>
    <mergeCell ref="D27:E27"/>
    <mergeCell ref="A157:D157"/>
    <mergeCell ref="A455:D455"/>
    <mergeCell ref="D456:E456"/>
    <mergeCell ref="A522:B522"/>
    <mergeCell ref="G323:H323"/>
    <mergeCell ref="A556:H556"/>
    <mergeCell ref="G499:H499"/>
    <mergeCell ref="D93:E93"/>
    <mergeCell ref="A116:H116"/>
    <mergeCell ref="A246:D246"/>
    <mergeCell ref="A588:B588"/>
    <mergeCell ref="A545:H545"/>
    <mergeCell ref="A17:H17"/>
    <mergeCell ref="A259:H259"/>
    <mergeCell ref="A37:D37"/>
    <mergeCell ref="A531:D531"/>
    <mergeCell ref="G510:H510"/>
    <mergeCell ref="A235:D235"/>
    <mergeCell ref="A14:D14"/>
    <mergeCell ref="A312:D312"/>
    <mergeCell ref="G214:H214"/>
    <mergeCell ref="D280:E280"/>
    <mergeCell ref="D467:E467"/>
    <mergeCell ref="G577:H577"/>
    <mergeCell ref="G576:H576"/>
    <mergeCell ref="A16:B16"/>
    <mergeCell ref="D104:E104"/>
    <mergeCell ref="A423:B423"/>
    <mergeCell ref="A201:D201"/>
    <mergeCell ref="D533:E533"/>
    <mergeCell ref="A248:H248"/>
    <mergeCell ref="A488:D488"/>
    <mergeCell ref="A25:D25"/>
    <mergeCell ref="D137:E137"/>
    <mergeCell ref="G225:H225"/>
    <mergeCell ref="D335:E335"/>
    <mergeCell ref="A465:D465"/>
    <mergeCell ref="A357:B357"/>
    <mergeCell ref="G202:H202"/>
    <mergeCell ref="G444:H444"/>
    <mergeCell ref="G565:H565"/>
    <mergeCell ref="G291:H291"/>
    <mergeCell ref="D555:E555"/>
    <mergeCell ref="A138:H138"/>
    <mergeCell ref="A554:D554"/>
    <mergeCell ref="A325:H325"/>
    <mergeCell ref="G268:H268"/>
    <mergeCell ref="A114:D114"/>
    <mergeCell ref="A335:B335"/>
    <mergeCell ref="A15:D15"/>
    <mergeCell ref="A257:D257"/>
    <mergeCell ref="D346:E346"/>
    <mergeCell ref="A369:H369"/>
    <mergeCell ref="A476:D476"/>
    <mergeCell ref="G357:H357"/>
    <mergeCell ref="A126:B126"/>
    <mergeCell ref="A324:B324"/>
    <mergeCell ref="D412:E412"/>
    <mergeCell ref="A267:D267"/>
    <mergeCell ref="G423:H423"/>
    <mergeCell ref="A347:H347"/>
    <mergeCell ref="A534:H534"/>
    <mergeCell ref="A135:D135"/>
    <mergeCell ref="A377:D377"/>
    <mergeCell ref="A433:D433"/>
    <mergeCell ref="D203:E203"/>
    <mergeCell ref="A333:D333"/>
    <mergeCell ref="G533:H533"/>
    <mergeCell ref="G70:H70"/>
    <mergeCell ref="G312:H312"/>
    <mergeCell ref="A245:D245"/>
    <mergeCell ref="A567:H567"/>
    <mergeCell ref="A137:B137"/>
    <mergeCell ref="A379:B379"/>
    <mergeCell ref="A59:D59"/>
    <mergeCell ref="D269:E269"/>
    <mergeCell ref="A566:B566"/>
    <mergeCell ref="D489:E489"/>
    <mergeCell ref="D181:E181"/>
    <mergeCell ref="A204:H204"/>
    <mergeCell ref="A203:B203"/>
    <mergeCell ref="G192:H192"/>
    <mergeCell ref="A388:D388"/>
    <mergeCell ref="G246:H246"/>
    <mergeCell ref="A136:D136"/>
    <mergeCell ref="A72:H72"/>
    <mergeCell ref="A28:H28"/>
    <mergeCell ref="A586:D586"/>
    <mergeCell ref="A435:H435"/>
    <mergeCell ref="G60:H60"/>
    <mergeCell ref="G236:H236"/>
    <mergeCell ref="G521:H521"/>
    <mergeCell ref="A61:H61"/>
    <mergeCell ref="G126:H126"/>
    <mergeCell ref="A510:D510"/>
    <mergeCell ref="G587:H587"/>
    <mergeCell ref="A36:D36"/>
    <mergeCell ref="A334:D334"/>
    <mergeCell ref="A576:D576"/>
    <mergeCell ref="G15:H15"/>
    <mergeCell ref="G313:H313"/>
    <mergeCell ref="G378:H378"/>
    <mergeCell ref="A80:D80"/>
    <mergeCell ref="A38:B38"/>
    <mergeCell ref="A378:D378"/>
    <mergeCell ref="A280:B280"/>
    <mergeCell ref="A445:B445"/>
    <mergeCell ref="D368:E368"/>
    <mergeCell ref="A270:H270"/>
    <mergeCell ref="A148:B148"/>
    <mergeCell ref="A82:B82"/>
    <mergeCell ref="A511:B511"/>
    <mergeCell ref="D159:E159"/>
    <mergeCell ref="A1:H1"/>
    <mergeCell ref="A454:D454"/>
    <mergeCell ref="G170:H170"/>
    <mergeCell ref="D434:E434"/>
    <mergeCell ref="D225:E225"/>
    <mergeCell ref="A520:D520"/>
    <mergeCell ref="G92:H92"/>
    <mergeCell ref="D500:E500"/>
    <mergeCell ref="G290:H290"/>
    <mergeCell ref="A159:B159"/>
    <mergeCell ref="A213:D213"/>
    <mergeCell ref="A391:H391"/>
    <mergeCell ref="G478:H478"/>
    <mergeCell ref="G81:H81"/>
    <mergeCell ref="G379:H379"/>
    <mergeCell ref="A81:D81"/>
    <mergeCell ref="A323:D323"/>
    <mergeCell ref="G181:H181"/>
    <mergeCell ref="A346:B346"/>
    <mergeCell ref="A457:H457"/>
    <mergeCell ref="G544:H544"/>
    <mergeCell ref="A289:D289"/>
    <mergeCell ref="G147:H147"/>
    <mergeCell ref="G445:H445"/>
    <mergeCell ref="G543:H543"/>
    <mergeCell ref="A27:B27"/>
    <mergeCell ref="G456:H456"/>
    <mergeCell ref="A214:B214"/>
    <mergeCell ref="A50:H50"/>
    <mergeCell ref="A390:B390"/>
    <mergeCell ref="A456:B456"/>
    <mergeCell ref="A70:D70"/>
    <mergeCell ref="A577:B577"/>
    <mergeCell ref="A399:D399"/>
    <mergeCell ref="A355:D355"/>
    <mergeCell ref="G555:H555"/>
    <mergeCell ref="G334:H334"/>
    <mergeCell ref="A223:D223"/>
    <mergeCell ref="A401:B401"/>
    <mergeCell ref="G158:H158"/>
    <mergeCell ref="A311:D311"/>
    <mergeCell ref="A226:H226"/>
    <mergeCell ref="G169:H169"/>
    <mergeCell ref="D544:E544"/>
    <mergeCell ref="A225:B225"/>
    <mergeCell ref="A125:D125"/>
    <mergeCell ref="A467:B467"/>
    <mergeCell ref="G191:H191"/>
    <mergeCell ref="A292:H292"/>
    <mergeCell ref="G258:H258"/>
    <mergeCell ref="A191:D191"/>
    <mergeCell ref="G49:H49"/>
    <mergeCell ref="A302:B302"/>
    <mergeCell ref="A2:H2"/>
    <mergeCell ref="G26:H26"/>
    <mergeCell ref="G324:H324"/>
    <mergeCell ref="A26:D26"/>
    <mergeCell ref="A93:B93"/>
    <mergeCell ref="A127:H127"/>
    <mergeCell ref="A314:H314"/>
    <mergeCell ref="G115:H115"/>
    <mergeCell ref="D247:E247"/>
    <mergeCell ref="A542:D542"/>
    <mergeCell ref="G400:H400"/>
    <mergeCell ref="A102:D102"/>
    <mergeCell ref="A344:D344"/>
    <mergeCell ref="A400:D400"/>
    <mergeCell ref="D170:E170"/>
    <mergeCell ref="D577:E577"/>
    <mergeCell ref="G500:H500"/>
    <mergeCell ref="D49:E49"/>
    <mergeCell ref="G103:H103"/>
    <mergeCell ref="G37:H37"/>
    <mergeCell ref="D478:E478"/>
    <mergeCell ref="G401:H401"/>
    <mergeCell ref="G466:H466"/>
    <mergeCell ref="A103:D103"/>
    <mergeCell ref="A104:B104"/>
    <mergeCell ref="A168:D168"/>
    <mergeCell ref="A533:B533"/>
    <mergeCell ref="A247:B247"/>
    <mergeCell ref="A336:H336"/>
    <mergeCell ref="A170:B170"/>
    <mergeCell ref="G566:H566"/>
    <mergeCell ref="A113:D113"/>
    <mergeCell ref="A499:D499"/>
    <mergeCell ref="A290:D290"/>
    <mergeCell ref="A39:H39"/>
    <mergeCell ref="A402:H402"/>
    <mergeCell ref="G27:H27"/>
    <mergeCell ref="G390:H390"/>
    <mergeCell ref="D522:E522"/>
    <mergeCell ref="G488:H488"/>
    <mergeCell ref="D291:E291"/>
    <mergeCell ref="G93:H93"/>
    <mergeCell ref="A413:H413"/>
    <mergeCell ref="D566:E566"/>
    <mergeCell ref="G279:H279"/>
    <mergeCell ref="G180:H180"/>
    <mergeCell ref="A410:D410"/>
    <mergeCell ref="A479:H479"/>
    <mergeCell ref="D192:E192"/>
    <mergeCell ref="G280:H280"/>
    <mergeCell ref="A487:D487"/>
    <mergeCell ref="G411:H411"/>
    <mergeCell ref="G345:H345"/>
    <mergeCell ref="G467:H467"/>
    <mergeCell ref="A47:D47"/>
  </mergeCells>
  <conditionalFormatting sqref="A6:H588">
    <cfRule type="expression" priority="1" dxfId="1">
      <formula>$M6=0</formula>
    </cfRule>
    <cfRule type="expression" priority="2" dxfId="2">
      <formula>AND($M6=1,$Q6=1)</formula>
    </cfRule>
  </conditionalFormatting>
  <conditionalFormatting sqref="A6:A588">
    <cfRule type="expression" priority="3" dxfId="3">
      <formula>AND(ISNUMBER($A6),$A6&gt;=SAT1+7*(CURWK-1),$A6&lt;=SAT1+7*(CURWK-1)+6)</formula>
    </cfRule>
  </conditionalFormatting>
  <conditionalFormatting sqref="F15">
    <cfRule type="expression" priority="4" dxfId="4">
      <formula>F15&lt;&gt;""</formula>
    </cfRule>
  </conditionalFormatting>
  <conditionalFormatting sqref="F26">
    <cfRule type="expression" priority="5" dxfId="4">
      <formula>F26&lt;&gt;""</formula>
    </cfRule>
  </conditionalFormatting>
  <conditionalFormatting sqref="F37">
    <cfRule type="expression" priority="6" dxfId="4">
      <formula>F37&lt;&gt;""</formula>
    </cfRule>
  </conditionalFormatting>
  <conditionalFormatting sqref="F48">
    <cfRule type="expression" priority="7" dxfId="4">
      <formula>F48&lt;&gt;""</formula>
    </cfRule>
  </conditionalFormatting>
  <conditionalFormatting sqref="F59">
    <cfRule type="expression" priority="8" dxfId="4">
      <formula>F59&lt;&gt;""</formula>
    </cfRule>
  </conditionalFormatting>
  <conditionalFormatting sqref="F70">
    <cfRule type="expression" priority="9" dxfId="4">
      <formula>F70&lt;&gt;""</formula>
    </cfRule>
  </conditionalFormatting>
  <conditionalFormatting sqref="F81">
    <cfRule type="expression" priority="10" dxfId="4">
      <formula>F81&lt;&gt;""</formula>
    </cfRule>
  </conditionalFormatting>
  <conditionalFormatting sqref="F92">
    <cfRule type="expression" priority="11" dxfId="4">
      <formula>F92&lt;&gt;""</formula>
    </cfRule>
  </conditionalFormatting>
  <conditionalFormatting sqref="F103">
    <cfRule type="expression" priority="12" dxfId="4">
      <formula>F103&lt;&gt;""</formula>
    </cfRule>
  </conditionalFormatting>
  <conditionalFormatting sqref="F114">
    <cfRule type="expression" priority="13" dxfId="4">
      <formula>F114&lt;&gt;""</formula>
    </cfRule>
  </conditionalFormatting>
  <conditionalFormatting sqref="F125">
    <cfRule type="expression" priority="14" dxfId="4">
      <formula>F125&lt;&gt;""</formula>
    </cfRule>
  </conditionalFormatting>
  <conditionalFormatting sqref="F136">
    <cfRule type="expression" priority="15" dxfId="4">
      <formula>F136&lt;&gt;""</formula>
    </cfRule>
  </conditionalFormatting>
  <conditionalFormatting sqref="F147">
    <cfRule type="expression" priority="16" dxfId="4">
      <formula>F147&lt;&gt;""</formula>
    </cfRule>
  </conditionalFormatting>
  <conditionalFormatting sqref="F158">
    <cfRule type="expression" priority="17" dxfId="4">
      <formula>F158&lt;&gt;""</formula>
    </cfRule>
  </conditionalFormatting>
  <conditionalFormatting sqref="F169">
    <cfRule type="expression" priority="18" dxfId="4">
      <formula>F169&lt;&gt;""</formula>
    </cfRule>
  </conditionalFormatting>
  <conditionalFormatting sqref="F180">
    <cfRule type="expression" priority="19" dxfId="4">
      <formula>F180&lt;&gt;""</formula>
    </cfRule>
  </conditionalFormatting>
  <conditionalFormatting sqref="F191">
    <cfRule type="expression" priority="20" dxfId="4">
      <formula>F191&lt;&gt;""</formula>
    </cfRule>
  </conditionalFormatting>
  <conditionalFormatting sqref="F202">
    <cfRule type="expression" priority="21" dxfId="4">
      <formula>F202&lt;&gt;""</formula>
    </cfRule>
  </conditionalFormatting>
  <conditionalFormatting sqref="F213">
    <cfRule type="expression" priority="22" dxfId="4">
      <formula>F213&lt;&gt;""</formula>
    </cfRule>
  </conditionalFormatting>
  <conditionalFormatting sqref="F224">
    <cfRule type="expression" priority="23" dxfId="4">
      <formula>F224&lt;&gt;""</formula>
    </cfRule>
  </conditionalFormatting>
  <conditionalFormatting sqref="F235">
    <cfRule type="expression" priority="24" dxfId="4">
      <formula>F235&lt;&gt;""</formula>
    </cfRule>
  </conditionalFormatting>
  <conditionalFormatting sqref="F246">
    <cfRule type="expression" priority="25" dxfId="4">
      <formula>F246&lt;&gt;""</formula>
    </cfRule>
  </conditionalFormatting>
  <conditionalFormatting sqref="F257">
    <cfRule type="expression" priority="26" dxfId="4">
      <formula>F257&lt;&gt;""</formula>
    </cfRule>
  </conditionalFormatting>
  <conditionalFormatting sqref="F268">
    <cfRule type="expression" priority="27" dxfId="4">
      <formula>F268&lt;&gt;""</formula>
    </cfRule>
  </conditionalFormatting>
  <conditionalFormatting sqref="F279">
    <cfRule type="expression" priority="28" dxfId="4">
      <formula>F279&lt;&gt;""</formula>
    </cfRule>
  </conditionalFormatting>
  <conditionalFormatting sqref="F290">
    <cfRule type="expression" priority="29" dxfId="4">
      <formula>F290&lt;&gt;""</formula>
    </cfRule>
  </conditionalFormatting>
  <conditionalFormatting sqref="F301">
    <cfRule type="expression" priority="30" dxfId="4">
      <formula>F301&lt;&gt;""</formula>
    </cfRule>
  </conditionalFormatting>
  <conditionalFormatting sqref="F312">
    <cfRule type="expression" priority="31" dxfId="4">
      <formula>F312&lt;&gt;""</formula>
    </cfRule>
  </conditionalFormatting>
  <conditionalFormatting sqref="F323">
    <cfRule type="expression" priority="32" dxfId="4">
      <formula>F323&lt;&gt;""</formula>
    </cfRule>
  </conditionalFormatting>
  <conditionalFormatting sqref="F334">
    <cfRule type="expression" priority="33" dxfId="4">
      <formula>F334&lt;&gt;""</formula>
    </cfRule>
  </conditionalFormatting>
  <conditionalFormatting sqref="F345">
    <cfRule type="expression" priority="34" dxfId="4">
      <formula>F345&lt;&gt;""</formula>
    </cfRule>
  </conditionalFormatting>
  <conditionalFormatting sqref="F356">
    <cfRule type="expression" priority="35" dxfId="4">
      <formula>F356&lt;&gt;""</formula>
    </cfRule>
  </conditionalFormatting>
  <conditionalFormatting sqref="F367">
    <cfRule type="expression" priority="36" dxfId="4">
      <formula>F367&lt;&gt;""</formula>
    </cfRule>
  </conditionalFormatting>
  <conditionalFormatting sqref="F378">
    <cfRule type="expression" priority="37" dxfId="4">
      <formula>F378&lt;&gt;""</formula>
    </cfRule>
  </conditionalFormatting>
  <conditionalFormatting sqref="F389">
    <cfRule type="expression" priority="38" dxfId="4">
      <formula>F389&lt;&gt;""</formula>
    </cfRule>
  </conditionalFormatting>
  <conditionalFormatting sqref="F400">
    <cfRule type="expression" priority="39" dxfId="4">
      <formula>F400&lt;&gt;""</formula>
    </cfRule>
  </conditionalFormatting>
  <conditionalFormatting sqref="F411">
    <cfRule type="expression" priority="40" dxfId="4">
      <formula>F411&lt;&gt;""</formula>
    </cfRule>
  </conditionalFormatting>
  <conditionalFormatting sqref="F422">
    <cfRule type="expression" priority="41" dxfId="4">
      <formula>F422&lt;&gt;""</formula>
    </cfRule>
  </conditionalFormatting>
  <conditionalFormatting sqref="F433">
    <cfRule type="expression" priority="42" dxfId="4">
      <formula>F433&lt;&gt;""</formula>
    </cfRule>
  </conditionalFormatting>
  <conditionalFormatting sqref="F444">
    <cfRule type="expression" priority="43" dxfId="4">
      <formula>F444&lt;&gt;""</formula>
    </cfRule>
  </conditionalFormatting>
  <conditionalFormatting sqref="F455">
    <cfRule type="expression" priority="44" dxfId="4">
      <formula>F455&lt;&gt;""</formula>
    </cfRule>
  </conditionalFormatting>
  <conditionalFormatting sqref="F466">
    <cfRule type="expression" priority="45" dxfId="4">
      <formula>F466&lt;&gt;""</formula>
    </cfRule>
  </conditionalFormatting>
  <conditionalFormatting sqref="F477">
    <cfRule type="expression" priority="46" dxfId="4">
      <formula>F477&lt;&gt;""</formula>
    </cfRule>
  </conditionalFormatting>
  <conditionalFormatting sqref="F488">
    <cfRule type="expression" priority="47" dxfId="4">
      <formula>F488&lt;&gt;""</formula>
    </cfRule>
  </conditionalFormatting>
  <conditionalFormatting sqref="F499">
    <cfRule type="expression" priority="48" dxfId="4">
      <formula>F499&lt;&gt;""</formula>
    </cfRule>
  </conditionalFormatting>
  <conditionalFormatting sqref="F510">
    <cfRule type="expression" priority="49" dxfId="4">
      <formula>F510&lt;&gt;""</formula>
    </cfRule>
  </conditionalFormatting>
  <conditionalFormatting sqref="F521">
    <cfRule type="expression" priority="50" dxfId="4">
      <formula>F521&lt;&gt;""</formula>
    </cfRule>
  </conditionalFormatting>
  <conditionalFormatting sqref="F532">
    <cfRule type="expression" priority="51" dxfId="4">
      <formula>F532&lt;&gt;""</formula>
    </cfRule>
  </conditionalFormatting>
  <conditionalFormatting sqref="F543">
    <cfRule type="expression" priority="52" dxfId="4">
      <formula>F543&lt;&gt;""</formula>
    </cfRule>
  </conditionalFormatting>
  <conditionalFormatting sqref="F554">
    <cfRule type="expression" priority="53" dxfId="4">
      <formula>F554&lt;&gt;""</formula>
    </cfRule>
  </conditionalFormatting>
  <conditionalFormatting sqref="F565">
    <cfRule type="expression" priority="54" dxfId="4">
      <formula>F565&lt;&gt;""</formula>
    </cfRule>
  </conditionalFormatting>
  <conditionalFormatting sqref="F576">
    <cfRule type="expression" priority="55" dxfId="4">
      <formula>F576&lt;&gt;""</formula>
    </cfRule>
  </conditionalFormatting>
  <conditionalFormatting sqref="F587">
    <cfRule type="expression" priority="56" dxfId="4">
      <formula>F587&lt;&gt;""</formula>
    </cfRule>
  </conditionalFormatting>
  <dataValidations count="2">
    <dataValidation sqref="C6:D588" showDropDown="0" showInputMessage="0" showErrorMessage="0" allowBlank="1" type="list">
      <formula1>='القوائم'!$A$1:$A$288</formula1>
    </dataValidation>
    <dataValidation sqref="G6:G588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1"/>
  <sheetViews>
    <sheetView showGridLines="0" rightToLeft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6" customWidth="1" min="3" max="3"/>
    <col width="36" customWidth="1" min="4" max="4"/>
    <col width="22" customWidth="1" min="5" max="5"/>
    <col hidden="1"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 ht="32" customHeight="1">
      <c r="A1" s="42" t="inlineStr">
        <is>
          <t>السلف الأسبوعية — بتنخصم كاملة من راتب نفس الأسبوع</t>
        </is>
      </c>
    </row>
    <row r="2" ht="22" customHeight="1">
      <c r="A2" s="43">
        <f>"سنة "&amp;YR&amp;"   (السنة بتنختار من ورقة التسوية)"</f>
        <v/>
      </c>
    </row>
    <row r="3" ht="32" customHeight="1">
      <c r="A3" s="44" t="inlineStr">
        <is>
          <t>الموظف</t>
        </is>
      </c>
      <c r="B3" s="44" t="inlineStr">
        <is>
          <t>سلف هالسنة (دينار)</t>
        </is>
      </c>
      <c r="C3" s="44" t="inlineStr">
        <is>
          <t>سلف الأسبوع المختار (دينار)</t>
        </is>
      </c>
      <c r="D3" s="44" t="inlineStr"/>
      <c r="E3" s="44" t="inlineStr"/>
    </row>
    <row r="4">
      <c r="A4" s="3" t="inlineStr">
        <is>
          <t>عمر المصري</t>
        </is>
      </c>
      <c r="B4" s="45">
        <f>SUMIFS(ADV_AMT,ADV_E,A4)</f>
        <v/>
      </c>
      <c r="C4" s="45">
        <f>SUMIFS(ADV_AMT,ADV_E,A4,ADV_W,WK)</f>
        <v/>
      </c>
    </row>
    <row r="5">
      <c r="A5" s="3" t="inlineStr">
        <is>
          <t>عبدالعزيز</t>
        </is>
      </c>
      <c r="B5" s="45">
        <f>SUMIFS(ADV_AMT,ADV_E,A5)</f>
        <v/>
      </c>
      <c r="C5" s="45">
        <f>SUMIFS(ADV_AMT,ADV_E,A5,ADV_W,WK)</f>
        <v/>
      </c>
    </row>
    <row r="7" ht="30" customHeight="1">
      <c r="A7" s="46" t="inlineStr">
        <is>
          <t>• كاش بياخذه وسط الأسبوع ← بينخصم كامل من صافي نفس الأسبوع (الأسبوع اللي فيه تاريخ السلفة). · لو السلفة أكثر من 60% من اللي اشتغله لحد يومها بتتلوّن برتقالي (تنبيه). · القروض والبضاعة بورقة «القروض والديون».</t>
        </is>
      </c>
    </row>
    <row r="9" ht="30" customHeight="1">
      <c r="A9" s="47" t="inlineStr">
        <is>
          <t>التاريخ</t>
        </is>
      </c>
      <c r="B9" s="47" t="inlineStr">
        <is>
          <t>الموظف</t>
        </is>
      </c>
      <c r="C9" s="47" t="inlineStr">
        <is>
          <t>المبلغ (دينار)</t>
        </is>
      </c>
      <c r="D9" s="47" t="inlineStr">
        <is>
          <t>البيان</t>
        </is>
      </c>
      <c r="E9" s="47" t="inlineStr">
        <is>
          <t>التنبيه</t>
        </is>
      </c>
    </row>
    <row r="10">
      <c r="A10" s="48" t="n"/>
      <c r="B10" s="22" t="n"/>
      <c r="C10" s="49" t="n"/>
      <c r="D10" s="50" t="n"/>
      <c r="E10" s="51">
        <f>IF(G10="","",IF(OR(H10&lt;1,H10&gt;NW),"⛔ التاريخ برّا السنة",IF(AND(N(C10)&gt;0,N(J10)&gt;0,C10&gt;ADV_CAP*J10),"⚠️ أكثر من "&amp;TEXT(ADV_CAP,"0%")&amp;" من شغله ("&amp;TEXT(J10,"0.000")&amp;")","")))</f>
        <v/>
      </c>
      <c r="G10" s="19">
        <f>IF(A10="","",IF(ISNUMBER(A10),IF(A10&lt;=31,"",IF(A10&lt;=3112,IF(DATE(YR,MOD(A10,100),INT(A10/100))&gt;SAT1+7*NW-1,DATE(YR-1,MOD(A10,100),INT(A10/100)),DATE(YR,MOD(A10,100),INT(A10/100))),A10)),IFERROR(DATEVALUE(A10),"")))</f>
        <v/>
      </c>
      <c r="H10">
        <f>IF(G10="","",INT((G10-SAT1)/7)+1)</f>
        <v/>
      </c>
      <c r="I10">
        <f>IF(H10="","",IF(OR(H10&lt;1,H10&gt;NW),"",INDEX(WMON,H10)))</f>
        <v/>
      </c>
      <c r="J10">
        <f>IF(OR(G10="",H10="",B10=""),"",IF(B10="عمر المصري",SUMIFS('ساعات عمر'!$H$6:$H$588,'ساعات عمر'!$A$6:$A$588,"&gt;="&amp;(SAT1+7*(H10-1)),'ساعات عمر'!$A$6:$A$588,"&lt;="&amp;G10),SUMIFS('ساعات عبدالعزيز'!$F$6:$F$588,'ساعات عبدالعزيز'!$A$6:$A$588,"&gt;="&amp;(SAT1+7*(H10-1)),'ساعات عبدالعزيز'!$A$6:$A$588,"&lt;="&amp;G10)))</f>
        <v/>
      </c>
    </row>
    <row r="11">
      <c r="A11" s="48" t="n"/>
      <c r="B11" s="22" t="n"/>
      <c r="C11" s="49" t="n"/>
      <c r="D11" s="50" t="n"/>
      <c r="E11" s="51">
        <f>IF(G11="","",IF(OR(H11&lt;1,H11&gt;NW),"⛔ التاريخ برّا السنة",IF(AND(N(C11)&gt;0,N(J11)&gt;0,C11&gt;ADV_CAP*J11),"⚠️ أكثر من "&amp;TEXT(ADV_CAP,"0%")&amp;" من شغله ("&amp;TEXT(J11,"0.000")&amp;")","")))</f>
        <v/>
      </c>
      <c r="G11">
        <f>IF(A11="","",IF(ISNUMBER(A11),IF(A11&lt;=31,"",IF(A11&lt;=3112,IF(DATE(YR,MOD(A11,100),INT(A11/100))&gt;SAT1+7*NW-1,DATE(YR-1,MOD(A11,100),INT(A11/100)),DATE(YR,MOD(A11,100),INT(A11/100))),A11)),IFERROR(DATEVALUE(A11),"")))</f>
        <v/>
      </c>
      <c r="H11">
        <f>IF(G11="","",INT((G11-SAT1)/7)+1)</f>
        <v/>
      </c>
      <c r="I11">
        <f>IF(H11="","",IF(OR(H11&lt;1,H11&gt;NW),"",INDEX(WMON,H11)))</f>
        <v/>
      </c>
      <c r="J11">
        <f>IF(OR(G11="",H11="",B11=""),"",IF(B11="عمر المصري",SUMIFS('ساعات عمر'!$H$6:$H$588,'ساعات عمر'!$A$6:$A$588,"&gt;="&amp;(SAT1+7*(H11-1)),'ساعات عمر'!$A$6:$A$588,"&lt;="&amp;G11),SUMIFS('ساعات عبدالعزيز'!$F$6:$F$588,'ساعات عبدالعزيز'!$A$6:$A$588,"&gt;="&amp;(SAT1+7*(H11-1)),'ساعات عبدالعزيز'!$A$6:$A$588,"&lt;="&amp;G11)))</f>
        <v/>
      </c>
    </row>
    <row r="12">
      <c r="A12" s="48" t="n"/>
      <c r="B12" s="22" t="n"/>
      <c r="C12" s="49" t="n"/>
      <c r="D12" s="50" t="n"/>
      <c r="E12" s="51">
        <f>IF(G12="","",IF(OR(H12&lt;1,H12&gt;NW),"⛔ التاريخ برّا السنة",IF(AND(N(C12)&gt;0,N(J12)&gt;0,C12&gt;ADV_CAP*J12),"⚠️ أكثر من "&amp;TEXT(ADV_CAP,"0%")&amp;" من شغله ("&amp;TEXT(J12,"0.000")&amp;")","")))</f>
        <v/>
      </c>
      <c r="G12">
        <f>IF(A12="","",IF(ISNUMBER(A12),IF(A12&lt;=31,"",IF(A12&lt;=3112,IF(DATE(YR,MOD(A12,100),INT(A12/100))&gt;SAT1+7*NW-1,DATE(YR-1,MOD(A12,100),INT(A12/100)),DATE(YR,MOD(A12,100),INT(A12/100))),A12)),IFERROR(DATEVALUE(A12),"")))</f>
        <v/>
      </c>
      <c r="H12">
        <f>IF(G12="","",INT((G12-SAT1)/7)+1)</f>
        <v/>
      </c>
      <c r="I12">
        <f>IF(H12="","",IF(OR(H12&lt;1,H12&gt;NW),"",INDEX(WMON,H12)))</f>
        <v/>
      </c>
      <c r="J12">
        <f>IF(OR(G12="",H12="",B12=""),"",IF(B12="عمر المصري",SUMIFS('ساعات عمر'!$H$6:$H$588,'ساعات عمر'!$A$6:$A$588,"&gt;="&amp;(SAT1+7*(H12-1)),'ساعات عمر'!$A$6:$A$588,"&lt;="&amp;G12),SUMIFS('ساعات عبدالعزيز'!$F$6:$F$588,'ساعات عبدالعزيز'!$A$6:$A$588,"&gt;="&amp;(SAT1+7*(H12-1)),'ساعات عبدالعزيز'!$A$6:$A$588,"&lt;="&amp;G12)))</f>
        <v/>
      </c>
    </row>
    <row r="13">
      <c r="A13" s="48" t="n"/>
      <c r="B13" s="22" t="n"/>
      <c r="C13" s="49" t="n"/>
      <c r="D13" s="50" t="n"/>
      <c r="E13" s="51">
        <f>IF(G13="","",IF(OR(H13&lt;1,H13&gt;NW),"⛔ التاريخ برّا السنة",IF(AND(N(C13)&gt;0,N(J13)&gt;0,C13&gt;ADV_CAP*J13),"⚠️ أكثر من "&amp;TEXT(ADV_CAP,"0%")&amp;" من شغله ("&amp;TEXT(J13,"0.000")&amp;")","")))</f>
        <v/>
      </c>
      <c r="G13">
        <f>IF(A13="","",IF(ISNUMBER(A13),IF(A13&lt;=31,"",IF(A13&lt;=3112,IF(DATE(YR,MOD(A13,100),INT(A13/100))&gt;SAT1+7*NW-1,DATE(YR-1,MOD(A13,100),INT(A13/100)),DATE(YR,MOD(A13,100),INT(A13/100))),A13)),IFERROR(DATEVALUE(A13),"")))</f>
        <v/>
      </c>
      <c r="H13">
        <f>IF(G13="","",INT((G13-SAT1)/7)+1)</f>
        <v/>
      </c>
      <c r="I13">
        <f>IF(H13="","",IF(OR(H13&lt;1,H13&gt;NW),"",INDEX(WMON,H13)))</f>
        <v/>
      </c>
      <c r="J13">
        <f>IF(OR(G13="",H13="",B13=""),"",IF(B13="عمر المصري",SUMIFS('ساعات عمر'!$H$6:$H$588,'ساعات عمر'!$A$6:$A$588,"&gt;="&amp;(SAT1+7*(H13-1)),'ساعات عمر'!$A$6:$A$588,"&lt;="&amp;G13),SUMIFS('ساعات عبدالعزيز'!$F$6:$F$588,'ساعات عبدالعزيز'!$A$6:$A$588,"&gt;="&amp;(SAT1+7*(H13-1)),'ساعات عبدالعزيز'!$A$6:$A$588,"&lt;="&amp;G13)))</f>
        <v/>
      </c>
    </row>
    <row r="14">
      <c r="A14" s="48" t="n"/>
      <c r="B14" s="22" t="n"/>
      <c r="C14" s="49" t="n"/>
      <c r="D14" s="50" t="n"/>
      <c r="E14" s="51">
        <f>IF(G14="","",IF(OR(H14&lt;1,H14&gt;NW),"⛔ التاريخ برّا السنة",IF(AND(N(C14)&gt;0,N(J14)&gt;0,C14&gt;ADV_CAP*J14),"⚠️ أكثر من "&amp;TEXT(ADV_CAP,"0%")&amp;" من شغله ("&amp;TEXT(J14,"0.000")&amp;")","")))</f>
        <v/>
      </c>
      <c r="G14">
        <f>IF(A14="","",IF(ISNUMBER(A14),IF(A14&lt;=31,"",IF(A14&lt;=3112,IF(DATE(YR,MOD(A14,100),INT(A14/100))&gt;SAT1+7*NW-1,DATE(YR-1,MOD(A14,100),INT(A14/100)),DATE(YR,MOD(A14,100),INT(A14/100))),A14)),IFERROR(DATEVALUE(A14),"")))</f>
        <v/>
      </c>
      <c r="H14">
        <f>IF(G14="","",INT((G14-SAT1)/7)+1)</f>
        <v/>
      </c>
      <c r="I14">
        <f>IF(H14="","",IF(OR(H14&lt;1,H14&gt;NW),"",INDEX(WMON,H14)))</f>
        <v/>
      </c>
      <c r="J14">
        <f>IF(OR(G14="",H14="",B14=""),"",IF(B14="عمر المصري",SUMIFS('ساعات عمر'!$H$6:$H$588,'ساعات عمر'!$A$6:$A$588,"&gt;="&amp;(SAT1+7*(H14-1)),'ساعات عمر'!$A$6:$A$588,"&lt;="&amp;G14),SUMIFS('ساعات عبدالعزيز'!$F$6:$F$588,'ساعات عبدالعزيز'!$A$6:$A$588,"&gt;="&amp;(SAT1+7*(H14-1)),'ساعات عبدالعزيز'!$A$6:$A$588,"&lt;="&amp;G14)))</f>
        <v/>
      </c>
    </row>
    <row r="15">
      <c r="A15" s="48" t="n"/>
      <c r="B15" s="22" t="n"/>
      <c r="C15" s="49" t="n"/>
      <c r="D15" s="50" t="n"/>
      <c r="E15" s="51">
        <f>IF(G15="","",IF(OR(H15&lt;1,H15&gt;NW),"⛔ التاريخ برّا السنة",IF(AND(N(C15)&gt;0,N(J15)&gt;0,C15&gt;ADV_CAP*J15),"⚠️ أكثر من "&amp;TEXT(ADV_CAP,"0%")&amp;" من شغله ("&amp;TEXT(J15,"0.000")&amp;")","")))</f>
        <v/>
      </c>
      <c r="G15">
        <f>IF(A15="","",IF(ISNUMBER(A15),IF(A15&lt;=31,"",IF(A15&lt;=3112,IF(DATE(YR,MOD(A15,100),INT(A15/100))&gt;SAT1+7*NW-1,DATE(YR-1,MOD(A15,100),INT(A15/100)),DATE(YR,MOD(A15,100),INT(A15/100))),A15)),IFERROR(DATEVALUE(A15),"")))</f>
        <v/>
      </c>
      <c r="H15">
        <f>IF(G15="","",INT((G15-SAT1)/7)+1)</f>
        <v/>
      </c>
      <c r="I15">
        <f>IF(H15="","",IF(OR(H15&lt;1,H15&gt;NW),"",INDEX(WMON,H15)))</f>
        <v/>
      </c>
      <c r="J15">
        <f>IF(OR(G15="",H15="",B15=""),"",IF(B15="عمر المصري",SUMIFS('ساعات عمر'!$H$6:$H$588,'ساعات عمر'!$A$6:$A$588,"&gt;="&amp;(SAT1+7*(H15-1)),'ساعات عمر'!$A$6:$A$588,"&lt;="&amp;G15),SUMIFS('ساعات عبدالعزيز'!$F$6:$F$588,'ساعات عبدالعزيز'!$A$6:$A$588,"&gt;="&amp;(SAT1+7*(H15-1)),'ساعات عبدالعزيز'!$A$6:$A$588,"&lt;="&amp;G15)))</f>
        <v/>
      </c>
    </row>
    <row r="16">
      <c r="A16" s="48" t="n"/>
      <c r="B16" s="22" t="n"/>
      <c r="C16" s="49" t="n"/>
      <c r="D16" s="50" t="n"/>
      <c r="E16" s="51">
        <f>IF(G16="","",IF(OR(H16&lt;1,H16&gt;NW),"⛔ التاريخ برّا السنة",IF(AND(N(C16)&gt;0,N(J16)&gt;0,C16&gt;ADV_CAP*J16),"⚠️ أكثر من "&amp;TEXT(ADV_CAP,"0%")&amp;" من شغله ("&amp;TEXT(J16,"0.000")&amp;")","")))</f>
        <v/>
      </c>
      <c r="G16">
        <f>IF(A16="","",IF(ISNUMBER(A16),IF(A16&lt;=31,"",IF(A16&lt;=3112,IF(DATE(YR,MOD(A16,100),INT(A16/100))&gt;SAT1+7*NW-1,DATE(YR-1,MOD(A16,100),INT(A16/100)),DATE(YR,MOD(A16,100),INT(A16/100))),A16)),IFERROR(DATEVALUE(A16),"")))</f>
        <v/>
      </c>
      <c r="H16">
        <f>IF(G16="","",INT((G16-SAT1)/7)+1)</f>
        <v/>
      </c>
      <c r="I16">
        <f>IF(H16="","",IF(OR(H16&lt;1,H16&gt;NW),"",INDEX(WMON,H16)))</f>
        <v/>
      </c>
      <c r="J16">
        <f>IF(OR(G16="",H16="",B16=""),"",IF(B16="عمر المصري",SUMIFS('ساعات عمر'!$H$6:$H$588,'ساعات عمر'!$A$6:$A$588,"&gt;="&amp;(SAT1+7*(H16-1)),'ساعات عمر'!$A$6:$A$588,"&lt;="&amp;G16),SUMIFS('ساعات عبدالعزيز'!$F$6:$F$588,'ساعات عبدالعزيز'!$A$6:$A$588,"&gt;="&amp;(SAT1+7*(H16-1)),'ساعات عبدالعزيز'!$A$6:$A$588,"&lt;="&amp;G16)))</f>
        <v/>
      </c>
    </row>
    <row r="17">
      <c r="A17" s="48" t="n"/>
      <c r="B17" s="22" t="n"/>
      <c r="C17" s="49" t="n"/>
      <c r="D17" s="50" t="n"/>
      <c r="E17" s="51">
        <f>IF(G17="","",IF(OR(H17&lt;1,H17&gt;NW),"⛔ التاريخ برّا السنة",IF(AND(N(C17)&gt;0,N(J17)&gt;0,C17&gt;ADV_CAP*J17),"⚠️ أكثر من "&amp;TEXT(ADV_CAP,"0%")&amp;" من شغله ("&amp;TEXT(J17,"0.000")&amp;")","")))</f>
        <v/>
      </c>
      <c r="G17">
        <f>IF(A17="","",IF(ISNUMBER(A17),IF(A17&lt;=31,"",IF(A17&lt;=3112,IF(DATE(YR,MOD(A17,100),INT(A17/100))&gt;SAT1+7*NW-1,DATE(YR-1,MOD(A17,100),INT(A17/100)),DATE(YR,MOD(A17,100),INT(A17/100))),A17)),IFERROR(DATEVALUE(A17),"")))</f>
        <v/>
      </c>
      <c r="H17">
        <f>IF(G17="","",INT((G17-SAT1)/7)+1)</f>
        <v/>
      </c>
      <c r="I17">
        <f>IF(H17="","",IF(OR(H17&lt;1,H17&gt;NW),"",INDEX(WMON,H17)))</f>
        <v/>
      </c>
      <c r="J17">
        <f>IF(OR(G17="",H17="",B17=""),"",IF(B17="عمر المصري",SUMIFS('ساعات عمر'!$H$6:$H$588,'ساعات عمر'!$A$6:$A$588,"&gt;="&amp;(SAT1+7*(H17-1)),'ساعات عمر'!$A$6:$A$588,"&lt;="&amp;G17),SUMIFS('ساعات عبدالعزيز'!$F$6:$F$588,'ساعات عبدالعزيز'!$A$6:$A$588,"&gt;="&amp;(SAT1+7*(H17-1)),'ساعات عبدالعزيز'!$A$6:$A$588,"&lt;="&amp;G17)))</f>
        <v/>
      </c>
    </row>
    <row r="18">
      <c r="A18" s="48" t="n"/>
      <c r="B18" s="22" t="n"/>
      <c r="C18" s="49" t="n"/>
      <c r="D18" s="50" t="n"/>
      <c r="E18" s="51">
        <f>IF(G18="","",IF(OR(H18&lt;1,H18&gt;NW),"⛔ التاريخ برّا السنة",IF(AND(N(C18)&gt;0,N(J18)&gt;0,C18&gt;ADV_CAP*J18),"⚠️ أكثر من "&amp;TEXT(ADV_CAP,"0%")&amp;" من شغله ("&amp;TEXT(J18,"0.000")&amp;")","")))</f>
        <v/>
      </c>
      <c r="G18">
        <f>IF(A18="","",IF(ISNUMBER(A18),IF(A18&lt;=31,"",IF(A18&lt;=3112,IF(DATE(YR,MOD(A18,100),INT(A18/100))&gt;SAT1+7*NW-1,DATE(YR-1,MOD(A18,100),INT(A18/100)),DATE(YR,MOD(A18,100),INT(A18/100))),A18)),IFERROR(DATEVALUE(A18),"")))</f>
        <v/>
      </c>
      <c r="H18">
        <f>IF(G18="","",INT((G18-SAT1)/7)+1)</f>
        <v/>
      </c>
      <c r="I18">
        <f>IF(H18="","",IF(OR(H18&lt;1,H18&gt;NW),"",INDEX(WMON,H18)))</f>
        <v/>
      </c>
      <c r="J18">
        <f>IF(OR(G18="",H18="",B18=""),"",IF(B18="عمر المصري",SUMIFS('ساعات عمر'!$H$6:$H$588,'ساعات عمر'!$A$6:$A$588,"&gt;="&amp;(SAT1+7*(H18-1)),'ساعات عمر'!$A$6:$A$588,"&lt;="&amp;G18),SUMIFS('ساعات عبدالعزيز'!$F$6:$F$588,'ساعات عبدالعزيز'!$A$6:$A$588,"&gt;="&amp;(SAT1+7*(H18-1)),'ساعات عبدالعزيز'!$A$6:$A$588,"&lt;="&amp;G18)))</f>
        <v/>
      </c>
    </row>
    <row r="19">
      <c r="A19" s="48" t="n"/>
      <c r="B19" s="22" t="n"/>
      <c r="C19" s="49" t="n"/>
      <c r="D19" s="50" t="n"/>
      <c r="E19" s="51">
        <f>IF(G19="","",IF(OR(H19&lt;1,H19&gt;NW),"⛔ التاريخ برّا السنة",IF(AND(N(C19)&gt;0,N(J19)&gt;0,C19&gt;ADV_CAP*J19),"⚠️ أكثر من "&amp;TEXT(ADV_CAP,"0%")&amp;" من شغله ("&amp;TEXT(J19,"0.000")&amp;")","")))</f>
        <v/>
      </c>
      <c r="G19">
        <f>IF(A19="","",IF(ISNUMBER(A19),IF(A19&lt;=31,"",IF(A19&lt;=3112,IF(DATE(YR,MOD(A19,100),INT(A19/100))&gt;SAT1+7*NW-1,DATE(YR-1,MOD(A19,100),INT(A19/100)),DATE(YR,MOD(A19,100),INT(A19/100))),A19)),IFERROR(DATEVALUE(A19),"")))</f>
        <v/>
      </c>
      <c r="H19">
        <f>IF(G19="","",INT((G19-SAT1)/7)+1)</f>
        <v/>
      </c>
      <c r="I19">
        <f>IF(H19="","",IF(OR(H19&lt;1,H19&gt;NW),"",INDEX(WMON,H19)))</f>
        <v/>
      </c>
      <c r="J19">
        <f>IF(OR(G19="",H19="",B19=""),"",IF(B19="عمر المصري",SUMIFS('ساعات عمر'!$H$6:$H$588,'ساعات عمر'!$A$6:$A$588,"&gt;="&amp;(SAT1+7*(H19-1)),'ساعات عمر'!$A$6:$A$588,"&lt;="&amp;G19),SUMIFS('ساعات عبدالعزيز'!$F$6:$F$588,'ساعات عبدالعزيز'!$A$6:$A$588,"&gt;="&amp;(SAT1+7*(H19-1)),'ساعات عبدالعزيز'!$A$6:$A$588,"&lt;="&amp;G19)))</f>
        <v/>
      </c>
    </row>
    <row r="20">
      <c r="A20" s="48" t="n"/>
      <c r="B20" s="22" t="n"/>
      <c r="C20" s="49" t="n"/>
      <c r="D20" s="50" t="n"/>
      <c r="E20" s="51">
        <f>IF(G20="","",IF(OR(H20&lt;1,H20&gt;NW),"⛔ التاريخ برّا السنة",IF(AND(N(C20)&gt;0,N(J20)&gt;0,C20&gt;ADV_CAP*J20),"⚠️ أكثر من "&amp;TEXT(ADV_CAP,"0%")&amp;" من شغله ("&amp;TEXT(J20,"0.000")&amp;")","")))</f>
        <v/>
      </c>
      <c r="G20">
        <f>IF(A20="","",IF(ISNUMBER(A20),IF(A20&lt;=31,"",IF(A20&lt;=3112,IF(DATE(YR,MOD(A20,100),INT(A20/100))&gt;SAT1+7*NW-1,DATE(YR-1,MOD(A20,100),INT(A20/100)),DATE(YR,MOD(A20,100),INT(A20/100))),A20)),IFERROR(DATEVALUE(A20),"")))</f>
        <v/>
      </c>
      <c r="H20">
        <f>IF(G20="","",INT((G20-SAT1)/7)+1)</f>
        <v/>
      </c>
      <c r="I20">
        <f>IF(H20="","",IF(OR(H20&lt;1,H20&gt;NW),"",INDEX(WMON,H20)))</f>
        <v/>
      </c>
      <c r="J20">
        <f>IF(OR(G20="",H20="",B20=""),"",IF(B20="عمر المصري",SUMIFS('ساعات عمر'!$H$6:$H$588,'ساعات عمر'!$A$6:$A$588,"&gt;="&amp;(SAT1+7*(H20-1)),'ساعات عمر'!$A$6:$A$588,"&lt;="&amp;G20),SUMIFS('ساعات عبدالعزيز'!$F$6:$F$588,'ساعات عبدالعزيز'!$A$6:$A$588,"&gt;="&amp;(SAT1+7*(H20-1)),'ساعات عبدالعزيز'!$A$6:$A$588,"&lt;="&amp;G20)))</f>
        <v/>
      </c>
    </row>
    <row r="21">
      <c r="A21" s="48" t="n"/>
      <c r="B21" s="22" t="n"/>
      <c r="C21" s="49" t="n"/>
      <c r="D21" s="50" t="n"/>
      <c r="E21" s="51">
        <f>IF(G21="","",IF(OR(H21&lt;1,H21&gt;NW),"⛔ التاريخ برّا السنة",IF(AND(N(C21)&gt;0,N(J21)&gt;0,C21&gt;ADV_CAP*J21),"⚠️ أكثر من "&amp;TEXT(ADV_CAP,"0%")&amp;" من شغله ("&amp;TEXT(J21,"0.000")&amp;")","")))</f>
        <v/>
      </c>
      <c r="G21">
        <f>IF(A21="","",IF(ISNUMBER(A21),IF(A21&lt;=31,"",IF(A21&lt;=3112,IF(DATE(YR,MOD(A21,100),INT(A21/100))&gt;SAT1+7*NW-1,DATE(YR-1,MOD(A21,100),INT(A21/100)),DATE(YR,MOD(A21,100),INT(A21/100))),A21)),IFERROR(DATEVALUE(A21),"")))</f>
        <v/>
      </c>
      <c r="H21">
        <f>IF(G21="","",INT((G21-SAT1)/7)+1)</f>
        <v/>
      </c>
      <c r="I21">
        <f>IF(H21="","",IF(OR(H21&lt;1,H21&gt;NW),"",INDEX(WMON,H21)))</f>
        <v/>
      </c>
      <c r="J21">
        <f>IF(OR(G21="",H21="",B21=""),"",IF(B21="عمر المصري",SUMIFS('ساعات عمر'!$H$6:$H$588,'ساعات عمر'!$A$6:$A$588,"&gt;="&amp;(SAT1+7*(H21-1)),'ساعات عمر'!$A$6:$A$588,"&lt;="&amp;G21),SUMIFS('ساعات عبدالعزيز'!$F$6:$F$588,'ساعات عبدالعزيز'!$A$6:$A$588,"&gt;="&amp;(SAT1+7*(H21-1)),'ساعات عبدالعزيز'!$A$6:$A$588,"&lt;="&amp;G21)))</f>
        <v/>
      </c>
    </row>
    <row r="22">
      <c r="A22" s="48" t="n"/>
      <c r="B22" s="22" t="n"/>
      <c r="C22" s="49" t="n"/>
      <c r="D22" s="50" t="n"/>
      <c r="E22" s="51">
        <f>IF(G22="","",IF(OR(H22&lt;1,H22&gt;NW),"⛔ التاريخ برّا السنة",IF(AND(N(C22)&gt;0,N(J22)&gt;0,C22&gt;ADV_CAP*J22),"⚠️ أكثر من "&amp;TEXT(ADV_CAP,"0%")&amp;" من شغله ("&amp;TEXT(J22,"0.000")&amp;")","")))</f>
        <v/>
      </c>
      <c r="G22">
        <f>IF(A22="","",IF(ISNUMBER(A22),IF(A22&lt;=31,"",IF(A22&lt;=3112,IF(DATE(YR,MOD(A22,100),INT(A22/100))&gt;SAT1+7*NW-1,DATE(YR-1,MOD(A22,100),INT(A22/100)),DATE(YR,MOD(A22,100),INT(A22/100))),A22)),IFERROR(DATEVALUE(A22),"")))</f>
        <v/>
      </c>
      <c r="H22">
        <f>IF(G22="","",INT((G22-SAT1)/7)+1)</f>
        <v/>
      </c>
      <c r="I22">
        <f>IF(H22="","",IF(OR(H22&lt;1,H22&gt;NW),"",INDEX(WMON,H22)))</f>
        <v/>
      </c>
      <c r="J22">
        <f>IF(OR(G22="",H22="",B22=""),"",IF(B22="عمر المصري",SUMIFS('ساعات عمر'!$H$6:$H$588,'ساعات عمر'!$A$6:$A$588,"&gt;="&amp;(SAT1+7*(H22-1)),'ساعات عمر'!$A$6:$A$588,"&lt;="&amp;G22),SUMIFS('ساعات عبدالعزيز'!$F$6:$F$588,'ساعات عبدالعزيز'!$A$6:$A$588,"&gt;="&amp;(SAT1+7*(H22-1)),'ساعات عبدالعزيز'!$A$6:$A$588,"&lt;="&amp;G22)))</f>
        <v/>
      </c>
    </row>
    <row r="23">
      <c r="A23" s="48" t="n"/>
      <c r="B23" s="22" t="n"/>
      <c r="C23" s="49" t="n"/>
      <c r="D23" s="50" t="n"/>
      <c r="E23" s="51">
        <f>IF(G23="","",IF(OR(H23&lt;1,H23&gt;NW),"⛔ التاريخ برّا السنة",IF(AND(N(C23)&gt;0,N(J23)&gt;0,C23&gt;ADV_CAP*J23),"⚠️ أكثر من "&amp;TEXT(ADV_CAP,"0%")&amp;" من شغله ("&amp;TEXT(J23,"0.000")&amp;")","")))</f>
        <v/>
      </c>
      <c r="G23">
        <f>IF(A23="","",IF(ISNUMBER(A23),IF(A23&lt;=31,"",IF(A23&lt;=3112,IF(DATE(YR,MOD(A23,100),INT(A23/100))&gt;SAT1+7*NW-1,DATE(YR-1,MOD(A23,100),INT(A23/100)),DATE(YR,MOD(A23,100),INT(A23/100))),A23)),IFERROR(DATEVALUE(A23),"")))</f>
        <v/>
      </c>
      <c r="H23">
        <f>IF(G23="","",INT((G23-SAT1)/7)+1)</f>
        <v/>
      </c>
      <c r="I23">
        <f>IF(H23="","",IF(OR(H23&lt;1,H23&gt;NW),"",INDEX(WMON,H23)))</f>
        <v/>
      </c>
      <c r="J23">
        <f>IF(OR(G23="",H23="",B23=""),"",IF(B23="عمر المصري",SUMIFS('ساعات عمر'!$H$6:$H$588,'ساعات عمر'!$A$6:$A$588,"&gt;="&amp;(SAT1+7*(H23-1)),'ساعات عمر'!$A$6:$A$588,"&lt;="&amp;G23),SUMIFS('ساعات عبدالعزيز'!$F$6:$F$588,'ساعات عبدالعزيز'!$A$6:$A$588,"&gt;="&amp;(SAT1+7*(H23-1)),'ساعات عبدالعزيز'!$A$6:$A$588,"&lt;="&amp;G23)))</f>
        <v/>
      </c>
    </row>
    <row r="24">
      <c r="A24" s="48" t="n"/>
      <c r="B24" s="22" t="n"/>
      <c r="C24" s="49" t="n"/>
      <c r="D24" s="50" t="n"/>
      <c r="E24" s="51">
        <f>IF(G24="","",IF(OR(H24&lt;1,H24&gt;NW),"⛔ التاريخ برّا السنة",IF(AND(N(C24)&gt;0,N(J24)&gt;0,C24&gt;ADV_CAP*J24),"⚠️ أكثر من "&amp;TEXT(ADV_CAP,"0%")&amp;" من شغله ("&amp;TEXT(J24,"0.000")&amp;")","")))</f>
        <v/>
      </c>
      <c r="G24">
        <f>IF(A24="","",IF(ISNUMBER(A24),IF(A24&lt;=31,"",IF(A24&lt;=3112,IF(DATE(YR,MOD(A24,100),INT(A24/100))&gt;SAT1+7*NW-1,DATE(YR-1,MOD(A24,100),INT(A24/100)),DATE(YR,MOD(A24,100),INT(A24/100))),A24)),IFERROR(DATEVALUE(A24),"")))</f>
        <v/>
      </c>
      <c r="H24">
        <f>IF(G24="","",INT((G24-SAT1)/7)+1)</f>
        <v/>
      </c>
      <c r="I24">
        <f>IF(H24="","",IF(OR(H24&lt;1,H24&gt;NW),"",INDEX(WMON,H24)))</f>
        <v/>
      </c>
      <c r="J24">
        <f>IF(OR(G24="",H24="",B24=""),"",IF(B24="عمر المصري",SUMIFS('ساعات عمر'!$H$6:$H$588,'ساعات عمر'!$A$6:$A$588,"&gt;="&amp;(SAT1+7*(H24-1)),'ساعات عمر'!$A$6:$A$588,"&lt;="&amp;G24),SUMIFS('ساعات عبدالعزيز'!$F$6:$F$588,'ساعات عبدالعزيز'!$A$6:$A$588,"&gt;="&amp;(SAT1+7*(H24-1)),'ساعات عبدالعزيز'!$A$6:$A$588,"&lt;="&amp;G24)))</f>
        <v/>
      </c>
    </row>
    <row r="25">
      <c r="A25" s="48" t="n"/>
      <c r="B25" s="22" t="n"/>
      <c r="C25" s="49" t="n"/>
      <c r="D25" s="50" t="n"/>
      <c r="E25" s="51">
        <f>IF(G25="","",IF(OR(H25&lt;1,H25&gt;NW),"⛔ التاريخ برّا السنة",IF(AND(N(C25)&gt;0,N(J25)&gt;0,C25&gt;ADV_CAP*J25),"⚠️ أكثر من "&amp;TEXT(ADV_CAP,"0%")&amp;" من شغله ("&amp;TEXT(J25,"0.000")&amp;")","")))</f>
        <v/>
      </c>
      <c r="G25">
        <f>IF(A25="","",IF(ISNUMBER(A25),IF(A25&lt;=31,"",IF(A25&lt;=3112,IF(DATE(YR,MOD(A25,100),INT(A25/100))&gt;SAT1+7*NW-1,DATE(YR-1,MOD(A25,100),INT(A25/100)),DATE(YR,MOD(A25,100),INT(A25/100))),A25)),IFERROR(DATEVALUE(A25),"")))</f>
        <v/>
      </c>
      <c r="H25">
        <f>IF(G25="","",INT((G25-SAT1)/7)+1)</f>
        <v/>
      </c>
      <c r="I25">
        <f>IF(H25="","",IF(OR(H25&lt;1,H25&gt;NW),"",INDEX(WMON,H25)))</f>
        <v/>
      </c>
      <c r="J25">
        <f>IF(OR(G25="",H25="",B25=""),"",IF(B25="عمر المصري",SUMIFS('ساعات عمر'!$H$6:$H$588,'ساعات عمر'!$A$6:$A$588,"&gt;="&amp;(SAT1+7*(H25-1)),'ساعات عمر'!$A$6:$A$588,"&lt;="&amp;G25),SUMIFS('ساعات عبدالعزيز'!$F$6:$F$588,'ساعات عبدالعزيز'!$A$6:$A$588,"&gt;="&amp;(SAT1+7*(H25-1)),'ساعات عبدالعزيز'!$A$6:$A$588,"&lt;="&amp;G25)))</f>
        <v/>
      </c>
    </row>
    <row r="26">
      <c r="A26" s="48" t="n"/>
      <c r="B26" s="22" t="n"/>
      <c r="C26" s="49" t="n"/>
      <c r="D26" s="50" t="n"/>
      <c r="E26" s="51">
        <f>IF(G26="","",IF(OR(H26&lt;1,H26&gt;NW),"⛔ التاريخ برّا السنة",IF(AND(N(C26)&gt;0,N(J26)&gt;0,C26&gt;ADV_CAP*J26),"⚠️ أكثر من "&amp;TEXT(ADV_CAP,"0%")&amp;" من شغله ("&amp;TEXT(J26,"0.000")&amp;")","")))</f>
        <v/>
      </c>
      <c r="G26">
        <f>IF(A26="","",IF(ISNUMBER(A26),IF(A26&lt;=31,"",IF(A26&lt;=3112,IF(DATE(YR,MOD(A26,100),INT(A26/100))&gt;SAT1+7*NW-1,DATE(YR-1,MOD(A26,100),INT(A26/100)),DATE(YR,MOD(A26,100),INT(A26/100))),A26)),IFERROR(DATEVALUE(A26),"")))</f>
        <v/>
      </c>
      <c r="H26">
        <f>IF(G26="","",INT((G26-SAT1)/7)+1)</f>
        <v/>
      </c>
      <c r="I26">
        <f>IF(H26="","",IF(OR(H26&lt;1,H26&gt;NW),"",INDEX(WMON,H26)))</f>
        <v/>
      </c>
      <c r="J26">
        <f>IF(OR(G26="",H26="",B26=""),"",IF(B26="عمر المصري",SUMIFS('ساعات عمر'!$H$6:$H$588,'ساعات عمر'!$A$6:$A$588,"&gt;="&amp;(SAT1+7*(H26-1)),'ساعات عمر'!$A$6:$A$588,"&lt;="&amp;G26),SUMIFS('ساعات عبدالعزيز'!$F$6:$F$588,'ساعات عبدالعزيز'!$A$6:$A$588,"&gt;="&amp;(SAT1+7*(H26-1)),'ساعات عبدالعزيز'!$A$6:$A$588,"&lt;="&amp;G26)))</f>
        <v/>
      </c>
    </row>
    <row r="27">
      <c r="A27" s="48" t="n"/>
      <c r="B27" s="22" t="n"/>
      <c r="C27" s="49" t="n"/>
      <c r="D27" s="50" t="n"/>
      <c r="E27" s="51">
        <f>IF(G27="","",IF(OR(H27&lt;1,H27&gt;NW),"⛔ التاريخ برّا السنة",IF(AND(N(C27)&gt;0,N(J27)&gt;0,C27&gt;ADV_CAP*J27),"⚠️ أكثر من "&amp;TEXT(ADV_CAP,"0%")&amp;" من شغله ("&amp;TEXT(J27,"0.000")&amp;")","")))</f>
        <v/>
      </c>
      <c r="G27">
        <f>IF(A27="","",IF(ISNUMBER(A27),IF(A27&lt;=31,"",IF(A27&lt;=3112,IF(DATE(YR,MOD(A27,100),INT(A27/100))&gt;SAT1+7*NW-1,DATE(YR-1,MOD(A27,100),INT(A27/100)),DATE(YR,MOD(A27,100),INT(A27/100))),A27)),IFERROR(DATEVALUE(A27),"")))</f>
        <v/>
      </c>
      <c r="H27">
        <f>IF(G27="","",INT((G27-SAT1)/7)+1)</f>
        <v/>
      </c>
      <c r="I27">
        <f>IF(H27="","",IF(OR(H27&lt;1,H27&gt;NW),"",INDEX(WMON,H27)))</f>
        <v/>
      </c>
      <c r="J27">
        <f>IF(OR(G27="",H27="",B27=""),"",IF(B27="عمر المصري",SUMIFS('ساعات عمر'!$H$6:$H$588,'ساعات عمر'!$A$6:$A$588,"&gt;="&amp;(SAT1+7*(H27-1)),'ساعات عمر'!$A$6:$A$588,"&lt;="&amp;G27),SUMIFS('ساعات عبدالعزيز'!$F$6:$F$588,'ساعات عبدالعزيز'!$A$6:$A$588,"&gt;="&amp;(SAT1+7*(H27-1)),'ساعات عبدالعزيز'!$A$6:$A$588,"&lt;="&amp;G27)))</f>
        <v/>
      </c>
    </row>
    <row r="28">
      <c r="A28" s="48" t="n"/>
      <c r="B28" s="22" t="n"/>
      <c r="C28" s="49" t="n"/>
      <c r="D28" s="50" t="n"/>
      <c r="E28" s="51">
        <f>IF(G28="","",IF(OR(H28&lt;1,H28&gt;NW),"⛔ التاريخ برّا السنة",IF(AND(N(C28)&gt;0,N(J28)&gt;0,C28&gt;ADV_CAP*J28),"⚠️ أكثر من "&amp;TEXT(ADV_CAP,"0%")&amp;" من شغله ("&amp;TEXT(J28,"0.000")&amp;")","")))</f>
        <v/>
      </c>
      <c r="G28">
        <f>IF(A28="","",IF(ISNUMBER(A28),IF(A28&lt;=31,"",IF(A28&lt;=3112,IF(DATE(YR,MOD(A28,100),INT(A28/100))&gt;SAT1+7*NW-1,DATE(YR-1,MOD(A28,100),INT(A28/100)),DATE(YR,MOD(A28,100),INT(A28/100))),A28)),IFERROR(DATEVALUE(A28),"")))</f>
        <v/>
      </c>
      <c r="H28">
        <f>IF(G28="","",INT((G28-SAT1)/7)+1)</f>
        <v/>
      </c>
      <c r="I28">
        <f>IF(H28="","",IF(OR(H28&lt;1,H28&gt;NW),"",INDEX(WMON,H28)))</f>
        <v/>
      </c>
      <c r="J28">
        <f>IF(OR(G28="",H28="",B28=""),"",IF(B28="عمر المصري",SUMIFS('ساعات عمر'!$H$6:$H$588,'ساعات عمر'!$A$6:$A$588,"&gt;="&amp;(SAT1+7*(H28-1)),'ساعات عمر'!$A$6:$A$588,"&lt;="&amp;G28),SUMIFS('ساعات عبدالعزيز'!$F$6:$F$588,'ساعات عبدالعزيز'!$A$6:$A$588,"&gt;="&amp;(SAT1+7*(H28-1)),'ساعات عبدالعزيز'!$A$6:$A$588,"&lt;="&amp;G28)))</f>
        <v/>
      </c>
    </row>
    <row r="29">
      <c r="A29" s="48" t="n"/>
      <c r="B29" s="22" t="n"/>
      <c r="C29" s="49" t="n"/>
      <c r="D29" s="50" t="n"/>
      <c r="E29" s="51">
        <f>IF(G29="","",IF(OR(H29&lt;1,H29&gt;NW),"⛔ التاريخ برّا السنة",IF(AND(N(C29)&gt;0,N(J29)&gt;0,C29&gt;ADV_CAP*J29),"⚠️ أكثر من "&amp;TEXT(ADV_CAP,"0%")&amp;" من شغله ("&amp;TEXT(J29,"0.000")&amp;")","")))</f>
        <v/>
      </c>
      <c r="G29">
        <f>IF(A29="","",IF(ISNUMBER(A29),IF(A29&lt;=31,"",IF(A29&lt;=3112,IF(DATE(YR,MOD(A29,100),INT(A29/100))&gt;SAT1+7*NW-1,DATE(YR-1,MOD(A29,100),INT(A29/100)),DATE(YR,MOD(A29,100),INT(A29/100))),A29)),IFERROR(DATEVALUE(A29),"")))</f>
        <v/>
      </c>
      <c r="H29">
        <f>IF(G29="","",INT((G29-SAT1)/7)+1)</f>
        <v/>
      </c>
      <c r="I29">
        <f>IF(H29="","",IF(OR(H29&lt;1,H29&gt;NW),"",INDEX(WMON,H29)))</f>
        <v/>
      </c>
      <c r="J29">
        <f>IF(OR(G29="",H29="",B29=""),"",IF(B29="عمر المصري",SUMIFS('ساعات عمر'!$H$6:$H$588,'ساعات عمر'!$A$6:$A$588,"&gt;="&amp;(SAT1+7*(H29-1)),'ساعات عمر'!$A$6:$A$588,"&lt;="&amp;G29),SUMIFS('ساعات عبدالعزيز'!$F$6:$F$588,'ساعات عبدالعزيز'!$A$6:$A$588,"&gt;="&amp;(SAT1+7*(H29-1)),'ساعات عبدالعزيز'!$A$6:$A$588,"&lt;="&amp;G29)))</f>
        <v/>
      </c>
    </row>
    <row r="30">
      <c r="A30" s="48" t="n"/>
      <c r="B30" s="22" t="n"/>
      <c r="C30" s="49" t="n"/>
      <c r="D30" s="50" t="n"/>
      <c r="E30" s="51">
        <f>IF(G30="","",IF(OR(H30&lt;1,H30&gt;NW),"⛔ التاريخ برّا السنة",IF(AND(N(C30)&gt;0,N(J30)&gt;0,C30&gt;ADV_CAP*J30),"⚠️ أكثر من "&amp;TEXT(ADV_CAP,"0%")&amp;" من شغله ("&amp;TEXT(J30,"0.000")&amp;")","")))</f>
        <v/>
      </c>
      <c r="G30">
        <f>IF(A30="","",IF(ISNUMBER(A30),IF(A30&lt;=31,"",IF(A30&lt;=3112,IF(DATE(YR,MOD(A30,100),INT(A30/100))&gt;SAT1+7*NW-1,DATE(YR-1,MOD(A30,100),INT(A30/100)),DATE(YR,MOD(A30,100),INT(A30/100))),A30)),IFERROR(DATEVALUE(A30),"")))</f>
        <v/>
      </c>
      <c r="H30">
        <f>IF(G30="","",INT((G30-SAT1)/7)+1)</f>
        <v/>
      </c>
      <c r="I30">
        <f>IF(H30="","",IF(OR(H30&lt;1,H30&gt;NW),"",INDEX(WMON,H30)))</f>
        <v/>
      </c>
      <c r="J30">
        <f>IF(OR(G30="",H30="",B30=""),"",IF(B30="عمر المصري",SUMIFS('ساعات عمر'!$H$6:$H$588,'ساعات عمر'!$A$6:$A$588,"&gt;="&amp;(SAT1+7*(H30-1)),'ساعات عمر'!$A$6:$A$588,"&lt;="&amp;G30),SUMIFS('ساعات عبدالعزيز'!$F$6:$F$588,'ساعات عبدالعزيز'!$A$6:$A$588,"&gt;="&amp;(SAT1+7*(H30-1)),'ساعات عبدالعزيز'!$A$6:$A$588,"&lt;="&amp;G30)))</f>
        <v/>
      </c>
    </row>
    <row r="31">
      <c r="A31" s="48" t="n"/>
      <c r="B31" s="22" t="n"/>
      <c r="C31" s="49" t="n"/>
      <c r="D31" s="50" t="n"/>
      <c r="E31" s="51">
        <f>IF(G31="","",IF(OR(H31&lt;1,H31&gt;NW),"⛔ التاريخ برّا السنة",IF(AND(N(C31)&gt;0,N(J31)&gt;0,C31&gt;ADV_CAP*J31),"⚠️ أكثر من "&amp;TEXT(ADV_CAP,"0%")&amp;" من شغله ("&amp;TEXT(J31,"0.000")&amp;")","")))</f>
        <v/>
      </c>
      <c r="G31">
        <f>IF(A31="","",IF(ISNUMBER(A31),IF(A31&lt;=31,"",IF(A31&lt;=3112,IF(DATE(YR,MOD(A31,100),INT(A31/100))&gt;SAT1+7*NW-1,DATE(YR-1,MOD(A31,100),INT(A31/100)),DATE(YR,MOD(A31,100),INT(A31/100))),A31)),IFERROR(DATEVALUE(A31),"")))</f>
        <v/>
      </c>
      <c r="H31">
        <f>IF(G31="","",INT((G31-SAT1)/7)+1)</f>
        <v/>
      </c>
      <c r="I31">
        <f>IF(H31="","",IF(OR(H31&lt;1,H31&gt;NW),"",INDEX(WMON,H31)))</f>
        <v/>
      </c>
      <c r="J31">
        <f>IF(OR(G31="",H31="",B31=""),"",IF(B31="عمر المصري",SUMIFS('ساعات عمر'!$H$6:$H$588,'ساعات عمر'!$A$6:$A$588,"&gt;="&amp;(SAT1+7*(H31-1)),'ساعات عمر'!$A$6:$A$588,"&lt;="&amp;G31),SUMIFS('ساعات عبدالعزيز'!$F$6:$F$588,'ساعات عبدالعزيز'!$A$6:$A$588,"&gt;="&amp;(SAT1+7*(H31-1)),'ساعات عبدالعزيز'!$A$6:$A$588,"&lt;="&amp;G31)))</f>
        <v/>
      </c>
    </row>
    <row r="32">
      <c r="A32" s="48" t="n"/>
      <c r="B32" s="22" t="n"/>
      <c r="C32" s="49" t="n"/>
      <c r="D32" s="50" t="n"/>
      <c r="E32" s="51">
        <f>IF(G32="","",IF(OR(H32&lt;1,H32&gt;NW),"⛔ التاريخ برّا السنة",IF(AND(N(C32)&gt;0,N(J32)&gt;0,C32&gt;ADV_CAP*J32),"⚠️ أكثر من "&amp;TEXT(ADV_CAP,"0%")&amp;" من شغله ("&amp;TEXT(J32,"0.000")&amp;")","")))</f>
        <v/>
      </c>
      <c r="G32">
        <f>IF(A32="","",IF(ISNUMBER(A32),IF(A32&lt;=31,"",IF(A32&lt;=3112,IF(DATE(YR,MOD(A32,100),INT(A32/100))&gt;SAT1+7*NW-1,DATE(YR-1,MOD(A32,100),INT(A32/100)),DATE(YR,MOD(A32,100),INT(A32/100))),A32)),IFERROR(DATEVALUE(A32),"")))</f>
        <v/>
      </c>
      <c r="H32">
        <f>IF(G32="","",INT((G32-SAT1)/7)+1)</f>
        <v/>
      </c>
      <c r="I32">
        <f>IF(H32="","",IF(OR(H32&lt;1,H32&gt;NW),"",INDEX(WMON,H32)))</f>
        <v/>
      </c>
      <c r="J32">
        <f>IF(OR(G32="",H32="",B32=""),"",IF(B32="عمر المصري",SUMIFS('ساعات عمر'!$H$6:$H$588,'ساعات عمر'!$A$6:$A$588,"&gt;="&amp;(SAT1+7*(H32-1)),'ساعات عمر'!$A$6:$A$588,"&lt;="&amp;G32),SUMIFS('ساعات عبدالعزيز'!$F$6:$F$588,'ساعات عبدالعزيز'!$A$6:$A$588,"&gt;="&amp;(SAT1+7*(H32-1)),'ساعات عبدالعزيز'!$A$6:$A$588,"&lt;="&amp;G32)))</f>
        <v/>
      </c>
    </row>
    <row r="33">
      <c r="A33" s="48" t="n"/>
      <c r="B33" s="22" t="n"/>
      <c r="C33" s="49" t="n"/>
      <c r="D33" s="50" t="n"/>
      <c r="E33" s="51">
        <f>IF(G33="","",IF(OR(H33&lt;1,H33&gt;NW),"⛔ التاريخ برّا السنة",IF(AND(N(C33)&gt;0,N(J33)&gt;0,C33&gt;ADV_CAP*J33),"⚠️ أكثر من "&amp;TEXT(ADV_CAP,"0%")&amp;" من شغله ("&amp;TEXT(J33,"0.000")&amp;")","")))</f>
        <v/>
      </c>
      <c r="G33">
        <f>IF(A33="","",IF(ISNUMBER(A33),IF(A33&lt;=31,"",IF(A33&lt;=3112,IF(DATE(YR,MOD(A33,100),INT(A33/100))&gt;SAT1+7*NW-1,DATE(YR-1,MOD(A33,100),INT(A33/100)),DATE(YR,MOD(A33,100),INT(A33/100))),A33)),IFERROR(DATEVALUE(A33),"")))</f>
        <v/>
      </c>
      <c r="H33">
        <f>IF(G33="","",INT((G33-SAT1)/7)+1)</f>
        <v/>
      </c>
      <c r="I33">
        <f>IF(H33="","",IF(OR(H33&lt;1,H33&gt;NW),"",INDEX(WMON,H33)))</f>
        <v/>
      </c>
      <c r="J33">
        <f>IF(OR(G33="",H33="",B33=""),"",IF(B33="عمر المصري",SUMIFS('ساعات عمر'!$H$6:$H$588,'ساعات عمر'!$A$6:$A$588,"&gt;="&amp;(SAT1+7*(H33-1)),'ساعات عمر'!$A$6:$A$588,"&lt;="&amp;G33),SUMIFS('ساعات عبدالعزيز'!$F$6:$F$588,'ساعات عبدالعزيز'!$A$6:$A$588,"&gt;="&amp;(SAT1+7*(H33-1)),'ساعات عبدالعزيز'!$A$6:$A$588,"&lt;="&amp;G33)))</f>
        <v/>
      </c>
    </row>
    <row r="34">
      <c r="A34" s="48" t="n"/>
      <c r="B34" s="22" t="n"/>
      <c r="C34" s="49" t="n"/>
      <c r="D34" s="50" t="n"/>
      <c r="E34" s="51">
        <f>IF(G34="","",IF(OR(H34&lt;1,H34&gt;NW),"⛔ التاريخ برّا السنة",IF(AND(N(C34)&gt;0,N(J34)&gt;0,C34&gt;ADV_CAP*J34),"⚠️ أكثر من "&amp;TEXT(ADV_CAP,"0%")&amp;" من شغله ("&amp;TEXT(J34,"0.000")&amp;")","")))</f>
        <v/>
      </c>
      <c r="G34">
        <f>IF(A34="","",IF(ISNUMBER(A34),IF(A34&lt;=31,"",IF(A34&lt;=3112,IF(DATE(YR,MOD(A34,100),INT(A34/100))&gt;SAT1+7*NW-1,DATE(YR-1,MOD(A34,100),INT(A34/100)),DATE(YR,MOD(A34,100),INT(A34/100))),A34)),IFERROR(DATEVALUE(A34),"")))</f>
        <v/>
      </c>
      <c r="H34">
        <f>IF(G34="","",INT((G34-SAT1)/7)+1)</f>
        <v/>
      </c>
      <c r="I34">
        <f>IF(H34="","",IF(OR(H34&lt;1,H34&gt;NW),"",INDEX(WMON,H34)))</f>
        <v/>
      </c>
      <c r="J34">
        <f>IF(OR(G34="",H34="",B34=""),"",IF(B34="عمر المصري",SUMIFS('ساعات عمر'!$H$6:$H$588,'ساعات عمر'!$A$6:$A$588,"&gt;="&amp;(SAT1+7*(H34-1)),'ساعات عمر'!$A$6:$A$588,"&lt;="&amp;G34),SUMIFS('ساعات عبدالعزيز'!$F$6:$F$588,'ساعات عبدالعزيز'!$A$6:$A$588,"&gt;="&amp;(SAT1+7*(H34-1)),'ساعات عبدالعزيز'!$A$6:$A$588,"&lt;="&amp;G34)))</f>
        <v/>
      </c>
    </row>
    <row r="35">
      <c r="A35" s="48" t="n"/>
      <c r="B35" s="22" t="n"/>
      <c r="C35" s="49" t="n"/>
      <c r="D35" s="50" t="n"/>
      <c r="E35" s="51">
        <f>IF(G35="","",IF(OR(H35&lt;1,H35&gt;NW),"⛔ التاريخ برّا السنة",IF(AND(N(C35)&gt;0,N(J35)&gt;0,C35&gt;ADV_CAP*J35),"⚠️ أكثر من "&amp;TEXT(ADV_CAP,"0%")&amp;" من شغله ("&amp;TEXT(J35,"0.000")&amp;")","")))</f>
        <v/>
      </c>
      <c r="G35">
        <f>IF(A35="","",IF(ISNUMBER(A35),IF(A35&lt;=31,"",IF(A35&lt;=3112,IF(DATE(YR,MOD(A35,100),INT(A35/100))&gt;SAT1+7*NW-1,DATE(YR-1,MOD(A35,100),INT(A35/100)),DATE(YR,MOD(A35,100),INT(A35/100))),A35)),IFERROR(DATEVALUE(A35),"")))</f>
        <v/>
      </c>
      <c r="H35">
        <f>IF(G35="","",INT((G35-SAT1)/7)+1)</f>
        <v/>
      </c>
      <c r="I35">
        <f>IF(H35="","",IF(OR(H35&lt;1,H35&gt;NW),"",INDEX(WMON,H35)))</f>
        <v/>
      </c>
      <c r="J35">
        <f>IF(OR(G35="",H35="",B35=""),"",IF(B35="عمر المصري",SUMIFS('ساعات عمر'!$H$6:$H$588,'ساعات عمر'!$A$6:$A$588,"&gt;="&amp;(SAT1+7*(H35-1)),'ساعات عمر'!$A$6:$A$588,"&lt;="&amp;G35),SUMIFS('ساعات عبدالعزيز'!$F$6:$F$588,'ساعات عبدالعزيز'!$A$6:$A$588,"&gt;="&amp;(SAT1+7*(H35-1)),'ساعات عبدالعزيز'!$A$6:$A$588,"&lt;="&amp;G35)))</f>
        <v/>
      </c>
    </row>
    <row r="36">
      <c r="A36" s="48" t="n"/>
      <c r="B36" s="22" t="n"/>
      <c r="C36" s="49" t="n"/>
      <c r="D36" s="50" t="n"/>
      <c r="E36" s="51">
        <f>IF(G36="","",IF(OR(H36&lt;1,H36&gt;NW),"⛔ التاريخ برّا السنة",IF(AND(N(C36)&gt;0,N(J36)&gt;0,C36&gt;ADV_CAP*J36),"⚠️ أكثر من "&amp;TEXT(ADV_CAP,"0%")&amp;" من شغله ("&amp;TEXT(J36,"0.000")&amp;")","")))</f>
        <v/>
      </c>
      <c r="G36">
        <f>IF(A36="","",IF(ISNUMBER(A36),IF(A36&lt;=31,"",IF(A36&lt;=3112,IF(DATE(YR,MOD(A36,100),INT(A36/100))&gt;SAT1+7*NW-1,DATE(YR-1,MOD(A36,100),INT(A36/100)),DATE(YR,MOD(A36,100),INT(A36/100))),A36)),IFERROR(DATEVALUE(A36),"")))</f>
        <v/>
      </c>
      <c r="H36">
        <f>IF(G36="","",INT((G36-SAT1)/7)+1)</f>
        <v/>
      </c>
      <c r="I36">
        <f>IF(H36="","",IF(OR(H36&lt;1,H36&gt;NW),"",INDEX(WMON,H36)))</f>
        <v/>
      </c>
      <c r="J36">
        <f>IF(OR(G36="",H36="",B36=""),"",IF(B36="عمر المصري",SUMIFS('ساعات عمر'!$H$6:$H$588,'ساعات عمر'!$A$6:$A$588,"&gt;="&amp;(SAT1+7*(H36-1)),'ساعات عمر'!$A$6:$A$588,"&lt;="&amp;G36),SUMIFS('ساعات عبدالعزيز'!$F$6:$F$588,'ساعات عبدالعزيز'!$A$6:$A$588,"&gt;="&amp;(SAT1+7*(H36-1)),'ساعات عبدالعزيز'!$A$6:$A$588,"&lt;="&amp;G36)))</f>
        <v/>
      </c>
    </row>
    <row r="37">
      <c r="A37" s="48" t="n"/>
      <c r="B37" s="22" t="n"/>
      <c r="C37" s="49" t="n"/>
      <c r="D37" s="50" t="n"/>
      <c r="E37" s="51">
        <f>IF(G37="","",IF(OR(H37&lt;1,H37&gt;NW),"⛔ التاريخ برّا السنة",IF(AND(N(C37)&gt;0,N(J37)&gt;0,C37&gt;ADV_CAP*J37),"⚠️ أكثر من "&amp;TEXT(ADV_CAP,"0%")&amp;" من شغله ("&amp;TEXT(J37,"0.000")&amp;")","")))</f>
        <v/>
      </c>
      <c r="G37">
        <f>IF(A37="","",IF(ISNUMBER(A37),IF(A37&lt;=31,"",IF(A37&lt;=3112,IF(DATE(YR,MOD(A37,100),INT(A37/100))&gt;SAT1+7*NW-1,DATE(YR-1,MOD(A37,100),INT(A37/100)),DATE(YR,MOD(A37,100),INT(A37/100))),A37)),IFERROR(DATEVALUE(A37),"")))</f>
        <v/>
      </c>
      <c r="H37">
        <f>IF(G37="","",INT((G37-SAT1)/7)+1)</f>
        <v/>
      </c>
      <c r="I37">
        <f>IF(H37="","",IF(OR(H37&lt;1,H37&gt;NW),"",INDEX(WMON,H37)))</f>
        <v/>
      </c>
      <c r="J37">
        <f>IF(OR(G37="",H37="",B37=""),"",IF(B37="عمر المصري",SUMIFS('ساعات عمر'!$H$6:$H$588,'ساعات عمر'!$A$6:$A$588,"&gt;="&amp;(SAT1+7*(H37-1)),'ساعات عمر'!$A$6:$A$588,"&lt;="&amp;G37),SUMIFS('ساعات عبدالعزيز'!$F$6:$F$588,'ساعات عبدالعزيز'!$A$6:$A$588,"&gt;="&amp;(SAT1+7*(H37-1)),'ساعات عبدالعزيز'!$A$6:$A$588,"&lt;="&amp;G37)))</f>
        <v/>
      </c>
    </row>
    <row r="38">
      <c r="A38" s="48" t="n"/>
      <c r="B38" s="22" t="n"/>
      <c r="C38" s="49" t="n"/>
      <c r="D38" s="50" t="n"/>
      <c r="E38" s="51">
        <f>IF(G38="","",IF(OR(H38&lt;1,H38&gt;NW),"⛔ التاريخ برّا السنة",IF(AND(N(C38)&gt;0,N(J38)&gt;0,C38&gt;ADV_CAP*J38),"⚠️ أكثر من "&amp;TEXT(ADV_CAP,"0%")&amp;" من شغله ("&amp;TEXT(J38,"0.000")&amp;")","")))</f>
        <v/>
      </c>
      <c r="G38">
        <f>IF(A38="","",IF(ISNUMBER(A38),IF(A38&lt;=31,"",IF(A38&lt;=3112,IF(DATE(YR,MOD(A38,100),INT(A38/100))&gt;SAT1+7*NW-1,DATE(YR-1,MOD(A38,100),INT(A38/100)),DATE(YR,MOD(A38,100),INT(A38/100))),A38)),IFERROR(DATEVALUE(A38),"")))</f>
        <v/>
      </c>
      <c r="H38">
        <f>IF(G38="","",INT((G38-SAT1)/7)+1)</f>
        <v/>
      </c>
      <c r="I38">
        <f>IF(H38="","",IF(OR(H38&lt;1,H38&gt;NW),"",INDEX(WMON,H38)))</f>
        <v/>
      </c>
      <c r="J38">
        <f>IF(OR(G38="",H38="",B38=""),"",IF(B38="عمر المصري",SUMIFS('ساعات عمر'!$H$6:$H$588,'ساعات عمر'!$A$6:$A$588,"&gt;="&amp;(SAT1+7*(H38-1)),'ساعات عمر'!$A$6:$A$588,"&lt;="&amp;G38),SUMIFS('ساعات عبدالعزيز'!$F$6:$F$588,'ساعات عبدالعزيز'!$A$6:$A$588,"&gt;="&amp;(SAT1+7*(H38-1)),'ساعات عبدالعزيز'!$A$6:$A$588,"&lt;="&amp;G38)))</f>
        <v/>
      </c>
    </row>
    <row r="39">
      <c r="A39" s="48" t="n"/>
      <c r="B39" s="22" t="n"/>
      <c r="C39" s="49" t="n"/>
      <c r="D39" s="50" t="n"/>
      <c r="E39" s="51">
        <f>IF(G39="","",IF(OR(H39&lt;1,H39&gt;NW),"⛔ التاريخ برّا السنة",IF(AND(N(C39)&gt;0,N(J39)&gt;0,C39&gt;ADV_CAP*J39),"⚠️ أكثر من "&amp;TEXT(ADV_CAP,"0%")&amp;" من شغله ("&amp;TEXT(J39,"0.000")&amp;")","")))</f>
        <v/>
      </c>
      <c r="G39">
        <f>IF(A39="","",IF(ISNUMBER(A39),IF(A39&lt;=31,"",IF(A39&lt;=3112,IF(DATE(YR,MOD(A39,100),INT(A39/100))&gt;SAT1+7*NW-1,DATE(YR-1,MOD(A39,100),INT(A39/100)),DATE(YR,MOD(A39,100),INT(A39/100))),A39)),IFERROR(DATEVALUE(A39),"")))</f>
        <v/>
      </c>
      <c r="H39">
        <f>IF(G39="","",INT((G39-SAT1)/7)+1)</f>
        <v/>
      </c>
      <c r="I39">
        <f>IF(H39="","",IF(OR(H39&lt;1,H39&gt;NW),"",INDEX(WMON,H39)))</f>
        <v/>
      </c>
      <c r="J39">
        <f>IF(OR(G39="",H39="",B39=""),"",IF(B39="عمر المصري",SUMIFS('ساعات عمر'!$H$6:$H$588,'ساعات عمر'!$A$6:$A$588,"&gt;="&amp;(SAT1+7*(H39-1)),'ساعات عمر'!$A$6:$A$588,"&lt;="&amp;G39),SUMIFS('ساعات عبدالعزيز'!$F$6:$F$588,'ساعات عبدالعزيز'!$A$6:$A$588,"&gt;="&amp;(SAT1+7*(H39-1)),'ساعات عبدالعزيز'!$A$6:$A$588,"&lt;="&amp;G39)))</f>
        <v/>
      </c>
    </row>
    <row r="40">
      <c r="A40" s="48" t="n"/>
      <c r="B40" s="22" t="n"/>
      <c r="C40" s="49" t="n"/>
      <c r="D40" s="50" t="n"/>
      <c r="E40" s="51">
        <f>IF(G40="","",IF(OR(H40&lt;1,H40&gt;NW),"⛔ التاريخ برّا السنة",IF(AND(N(C40)&gt;0,N(J40)&gt;0,C40&gt;ADV_CAP*J40),"⚠️ أكثر من "&amp;TEXT(ADV_CAP,"0%")&amp;" من شغله ("&amp;TEXT(J40,"0.000")&amp;")","")))</f>
        <v/>
      </c>
      <c r="G40">
        <f>IF(A40="","",IF(ISNUMBER(A40),IF(A40&lt;=31,"",IF(A40&lt;=3112,IF(DATE(YR,MOD(A40,100),INT(A40/100))&gt;SAT1+7*NW-1,DATE(YR-1,MOD(A40,100),INT(A40/100)),DATE(YR,MOD(A40,100),INT(A40/100))),A40)),IFERROR(DATEVALUE(A40),"")))</f>
        <v/>
      </c>
      <c r="H40">
        <f>IF(G40="","",INT((G40-SAT1)/7)+1)</f>
        <v/>
      </c>
      <c r="I40">
        <f>IF(H40="","",IF(OR(H40&lt;1,H40&gt;NW),"",INDEX(WMON,H40)))</f>
        <v/>
      </c>
      <c r="J40">
        <f>IF(OR(G40="",H40="",B40=""),"",IF(B40="عمر المصري",SUMIFS('ساعات عمر'!$H$6:$H$588,'ساعات عمر'!$A$6:$A$588,"&gt;="&amp;(SAT1+7*(H40-1)),'ساعات عمر'!$A$6:$A$588,"&lt;="&amp;G40),SUMIFS('ساعات عبدالعزيز'!$F$6:$F$588,'ساعات عبدالعزيز'!$A$6:$A$588,"&gt;="&amp;(SAT1+7*(H40-1)),'ساعات عبدالعزيز'!$A$6:$A$588,"&lt;="&amp;G40)))</f>
        <v/>
      </c>
    </row>
    <row r="41">
      <c r="A41" s="48" t="n"/>
      <c r="B41" s="22" t="n"/>
      <c r="C41" s="49" t="n"/>
      <c r="D41" s="50" t="n"/>
      <c r="E41" s="51">
        <f>IF(G41="","",IF(OR(H41&lt;1,H41&gt;NW),"⛔ التاريخ برّا السنة",IF(AND(N(C41)&gt;0,N(J41)&gt;0,C41&gt;ADV_CAP*J41),"⚠️ أكثر من "&amp;TEXT(ADV_CAP,"0%")&amp;" من شغله ("&amp;TEXT(J41,"0.000")&amp;")","")))</f>
        <v/>
      </c>
      <c r="G41">
        <f>IF(A41="","",IF(ISNUMBER(A41),IF(A41&lt;=31,"",IF(A41&lt;=3112,IF(DATE(YR,MOD(A41,100),INT(A41/100))&gt;SAT1+7*NW-1,DATE(YR-1,MOD(A41,100),INT(A41/100)),DATE(YR,MOD(A41,100),INT(A41/100))),A41)),IFERROR(DATEVALUE(A41),"")))</f>
        <v/>
      </c>
      <c r="H41">
        <f>IF(G41="","",INT((G41-SAT1)/7)+1)</f>
        <v/>
      </c>
      <c r="I41">
        <f>IF(H41="","",IF(OR(H41&lt;1,H41&gt;NW),"",INDEX(WMON,H41)))</f>
        <v/>
      </c>
      <c r="J41">
        <f>IF(OR(G41="",H41="",B41=""),"",IF(B41="عمر المصري",SUMIFS('ساعات عمر'!$H$6:$H$588,'ساعات عمر'!$A$6:$A$588,"&gt;="&amp;(SAT1+7*(H41-1)),'ساعات عمر'!$A$6:$A$588,"&lt;="&amp;G41),SUMIFS('ساعات عبدالعزيز'!$F$6:$F$588,'ساعات عبدالعزيز'!$A$6:$A$588,"&gt;="&amp;(SAT1+7*(H41-1)),'ساعات عبدالعزيز'!$A$6:$A$588,"&lt;="&amp;G41)))</f>
        <v/>
      </c>
    </row>
    <row r="42">
      <c r="A42" s="48" t="n"/>
      <c r="B42" s="22" t="n"/>
      <c r="C42" s="49" t="n"/>
      <c r="D42" s="50" t="n"/>
      <c r="E42" s="51">
        <f>IF(G42="","",IF(OR(H42&lt;1,H42&gt;NW),"⛔ التاريخ برّا السنة",IF(AND(N(C42)&gt;0,N(J42)&gt;0,C42&gt;ADV_CAP*J42),"⚠️ أكثر من "&amp;TEXT(ADV_CAP,"0%")&amp;" من شغله ("&amp;TEXT(J42,"0.000")&amp;")","")))</f>
        <v/>
      </c>
      <c r="G42">
        <f>IF(A42="","",IF(ISNUMBER(A42),IF(A42&lt;=31,"",IF(A42&lt;=3112,IF(DATE(YR,MOD(A42,100),INT(A42/100))&gt;SAT1+7*NW-1,DATE(YR-1,MOD(A42,100),INT(A42/100)),DATE(YR,MOD(A42,100),INT(A42/100))),A42)),IFERROR(DATEVALUE(A42),"")))</f>
        <v/>
      </c>
      <c r="H42">
        <f>IF(G42="","",INT((G42-SAT1)/7)+1)</f>
        <v/>
      </c>
      <c r="I42">
        <f>IF(H42="","",IF(OR(H42&lt;1,H42&gt;NW),"",INDEX(WMON,H42)))</f>
        <v/>
      </c>
      <c r="J42">
        <f>IF(OR(G42="",H42="",B42=""),"",IF(B42="عمر المصري",SUMIFS('ساعات عمر'!$H$6:$H$588,'ساعات عمر'!$A$6:$A$588,"&gt;="&amp;(SAT1+7*(H42-1)),'ساعات عمر'!$A$6:$A$588,"&lt;="&amp;G42),SUMIFS('ساعات عبدالعزيز'!$F$6:$F$588,'ساعات عبدالعزيز'!$A$6:$A$588,"&gt;="&amp;(SAT1+7*(H42-1)),'ساعات عبدالعزيز'!$A$6:$A$588,"&lt;="&amp;G42)))</f>
        <v/>
      </c>
    </row>
    <row r="43">
      <c r="A43" s="48" t="n"/>
      <c r="B43" s="22" t="n"/>
      <c r="C43" s="49" t="n"/>
      <c r="D43" s="50" t="n"/>
      <c r="E43" s="51">
        <f>IF(G43="","",IF(OR(H43&lt;1,H43&gt;NW),"⛔ التاريخ برّا السنة",IF(AND(N(C43)&gt;0,N(J43)&gt;0,C43&gt;ADV_CAP*J43),"⚠️ أكثر من "&amp;TEXT(ADV_CAP,"0%")&amp;" من شغله ("&amp;TEXT(J43,"0.000")&amp;")","")))</f>
        <v/>
      </c>
      <c r="G43">
        <f>IF(A43="","",IF(ISNUMBER(A43),IF(A43&lt;=31,"",IF(A43&lt;=3112,IF(DATE(YR,MOD(A43,100),INT(A43/100))&gt;SAT1+7*NW-1,DATE(YR-1,MOD(A43,100),INT(A43/100)),DATE(YR,MOD(A43,100),INT(A43/100))),A43)),IFERROR(DATEVALUE(A43),"")))</f>
        <v/>
      </c>
      <c r="H43">
        <f>IF(G43="","",INT((G43-SAT1)/7)+1)</f>
        <v/>
      </c>
      <c r="I43">
        <f>IF(H43="","",IF(OR(H43&lt;1,H43&gt;NW),"",INDEX(WMON,H43)))</f>
        <v/>
      </c>
      <c r="J43">
        <f>IF(OR(G43="",H43="",B43=""),"",IF(B43="عمر المصري",SUMIFS('ساعات عمر'!$H$6:$H$588,'ساعات عمر'!$A$6:$A$588,"&gt;="&amp;(SAT1+7*(H43-1)),'ساعات عمر'!$A$6:$A$588,"&lt;="&amp;G43),SUMIFS('ساعات عبدالعزيز'!$F$6:$F$588,'ساعات عبدالعزيز'!$A$6:$A$588,"&gt;="&amp;(SAT1+7*(H43-1)),'ساعات عبدالعزيز'!$A$6:$A$588,"&lt;="&amp;G43)))</f>
        <v/>
      </c>
    </row>
    <row r="44">
      <c r="A44" s="48" t="n"/>
      <c r="B44" s="22" t="n"/>
      <c r="C44" s="49" t="n"/>
      <c r="D44" s="50" t="n"/>
      <c r="E44" s="51">
        <f>IF(G44="","",IF(OR(H44&lt;1,H44&gt;NW),"⛔ التاريخ برّا السنة",IF(AND(N(C44)&gt;0,N(J44)&gt;0,C44&gt;ADV_CAP*J44),"⚠️ أكثر من "&amp;TEXT(ADV_CAP,"0%")&amp;" من شغله ("&amp;TEXT(J44,"0.000")&amp;")","")))</f>
        <v/>
      </c>
      <c r="G44">
        <f>IF(A44="","",IF(ISNUMBER(A44),IF(A44&lt;=31,"",IF(A44&lt;=3112,IF(DATE(YR,MOD(A44,100),INT(A44/100))&gt;SAT1+7*NW-1,DATE(YR-1,MOD(A44,100),INT(A44/100)),DATE(YR,MOD(A44,100),INT(A44/100))),A44)),IFERROR(DATEVALUE(A44),"")))</f>
        <v/>
      </c>
      <c r="H44">
        <f>IF(G44="","",INT((G44-SAT1)/7)+1)</f>
        <v/>
      </c>
      <c r="I44">
        <f>IF(H44="","",IF(OR(H44&lt;1,H44&gt;NW),"",INDEX(WMON,H44)))</f>
        <v/>
      </c>
      <c r="J44">
        <f>IF(OR(G44="",H44="",B44=""),"",IF(B44="عمر المصري",SUMIFS('ساعات عمر'!$H$6:$H$588,'ساعات عمر'!$A$6:$A$588,"&gt;="&amp;(SAT1+7*(H44-1)),'ساعات عمر'!$A$6:$A$588,"&lt;="&amp;G44),SUMIFS('ساعات عبدالعزيز'!$F$6:$F$588,'ساعات عبدالعزيز'!$A$6:$A$588,"&gt;="&amp;(SAT1+7*(H44-1)),'ساعات عبدالعزيز'!$A$6:$A$588,"&lt;="&amp;G44)))</f>
        <v/>
      </c>
    </row>
    <row r="45">
      <c r="A45" s="48" t="n"/>
      <c r="B45" s="22" t="n"/>
      <c r="C45" s="49" t="n"/>
      <c r="D45" s="50" t="n"/>
      <c r="E45" s="51">
        <f>IF(G45="","",IF(OR(H45&lt;1,H45&gt;NW),"⛔ التاريخ برّا السنة",IF(AND(N(C45)&gt;0,N(J45)&gt;0,C45&gt;ADV_CAP*J45),"⚠️ أكثر من "&amp;TEXT(ADV_CAP,"0%")&amp;" من شغله ("&amp;TEXT(J45,"0.000")&amp;")","")))</f>
        <v/>
      </c>
      <c r="G45">
        <f>IF(A45="","",IF(ISNUMBER(A45),IF(A45&lt;=31,"",IF(A45&lt;=3112,IF(DATE(YR,MOD(A45,100),INT(A45/100))&gt;SAT1+7*NW-1,DATE(YR-1,MOD(A45,100),INT(A45/100)),DATE(YR,MOD(A45,100),INT(A45/100))),A45)),IFERROR(DATEVALUE(A45),"")))</f>
        <v/>
      </c>
      <c r="H45">
        <f>IF(G45="","",INT((G45-SAT1)/7)+1)</f>
        <v/>
      </c>
      <c r="I45">
        <f>IF(H45="","",IF(OR(H45&lt;1,H45&gt;NW),"",INDEX(WMON,H45)))</f>
        <v/>
      </c>
      <c r="J45">
        <f>IF(OR(G45="",H45="",B45=""),"",IF(B45="عمر المصري",SUMIFS('ساعات عمر'!$H$6:$H$588,'ساعات عمر'!$A$6:$A$588,"&gt;="&amp;(SAT1+7*(H45-1)),'ساعات عمر'!$A$6:$A$588,"&lt;="&amp;G45),SUMIFS('ساعات عبدالعزيز'!$F$6:$F$588,'ساعات عبدالعزيز'!$A$6:$A$588,"&gt;="&amp;(SAT1+7*(H45-1)),'ساعات عبدالعزيز'!$A$6:$A$588,"&lt;="&amp;G45)))</f>
        <v/>
      </c>
    </row>
    <row r="46">
      <c r="A46" s="48" t="n"/>
      <c r="B46" s="22" t="n"/>
      <c r="C46" s="49" t="n"/>
      <c r="D46" s="50" t="n"/>
      <c r="E46" s="51">
        <f>IF(G46="","",IF(OR(H46&lt;1,H46&gt;NW),"⛔ التاريخ برّا السنة",IF(AND(N(C46)&gt;0,N(J46)&gt;0,C46&gt;ADV_CAP*J46),"⚠️ أكثر من "&amp;TEXT(ADV_CAP,"0%")&amp;" من شغله ("&amp;TEXT(J46,"0.000")&amp;")","")))</f>
        <v/>
      </c>
      <c r="G46">
        <f>IF(A46="","",IF(ISNUMBER(A46),IF(A46&lt;=31,"",IF(A46&lt;=3112,IF(DATE(YR,MOD(A46,100),INT(A46/100))&gt;SAT1+7*NW-1,DATE(YR-1,MOD(A46,100),INT(A46/100)),DATE(YR,MOD(A46,100),INT(A46/100))),A46)),IFERROR(DATEVALUE(A46),"")))</f>
        <v/>
      </c>
      <c r="H46">
        <f>IF(G46="","",INT((G46-SAT1)/7)+1)</f>
        <v/>
      </c>
      <c r="I46">
        <f>IF(H46="","",IF(OR(H46&lt;1,H46&gt;NW),"",INDEX(WMON,H46)))</f>
        <v/>
      </c>
      <c r="J46">
        <f>IF(OR(G46="",H46="",B46=""),"",IF(B46="عمر المصري",SUMIFS('ساعات عمر'!$H$6:$H$588,'ساعات عمر'!$A$6:$A$588,"&gt;="&amp;(SAT1+7*(H46-1)),'ساعات عمر'!$A$6:$A$588,"&lt;="&amp;G46),SUMIFS('ساعات عبدالعزيز'!$F$6:$F$588,'ساعات عبدالعزيز'!$A$6:$A$588,"&gt;="&amp;(SAT1+7*(H46-1)),'ساعات عبدالعزيز'!$A$6:$A$588,"&lt;="&amp;G46)))</f>
        <v/>
      </c>
    </row>
    <row r="47">
      <c r="A47" s="48" t="n"/>
      <c r="B47" s="22" t="n"/>
      <c r="C47" s="49" t="n"/>
      <c r="D47" s="50" t="n"/>
      <c r="E47" s="51">
        <f>IF(G47="","",IF(OR(H47&lt;1,H47&gt;NW),"⛔ التاريخ برّا السنة",IF(AND(N(C47)&gt;0,N(J47)&gt;0,C47&gt;ADV_CAP*J47),"⚠️ أكثر من "&amp;TEXT(ADV_CAP,"0%")&amp;" من شغله ("&amp;TEXT(J47,"0.000")&amp;")","")))</f>
        <v/>
      </c>
      <c r="G47">
        <f>IF(A47="","",IF(ISNUMBER(A47),IF(A47&lt;=31,"",IF(A47&lt;=3112,IF(DATE(YR,MOD(A47,100),INT(A47/100))&gt;SAT1+7*NW-1,DATE(YR-1,MOD(A47,100),INT(A47/100)),DATE(YR,MOD(A47,100),INT(A47/100))),A47)),IFERROR(DATEVALUE(A47),"")))</f>
        <v/>
      </c>
      <c r="H47">
        <f>IF(G47="","",INT((G47-SAT1)/7)+1)</f>
        <v/>
      </c>
      <c r="I47">
        <f>IF(H47="","",IF(OR(H47&lt;1,H47&gt;NW),"",INDEX(WMON,H47)))</f>
        <v/>
      </c>
      <c r="J47">
        <f>IF(OR(G47="",H47="",B47=""),"",IF(B47="عمر المصري",SUMIFS('ساعات عمر'!$H$6:$H$588,'ساعات عمر'!$A$6:$A$588,"&gt;="&amp;(SAT1+7*(H47-1)),'ساعات عمر'!$A$6:$A$588,"&lt;="&amp;G47),SUMIFS('ساعات عبدالعزيز'!$F$6:$F$588,'ساعات عبدالعزيز'!$A$6:$A$588,"&gt;="&amp;(SAT1+7*(H47-1)),'ساعات عبدالعزيز'!$A$6:$A$588,"&lt;="&amp;G47)))</f>
        <v/>
      </c>
    </row>
    <row r="48">
      <c r="A48" s="48" t="n"/>
      <c r="B48" s="22" t="n"/>
      <c r="C48" s="49" t="n"/>
      <c r="D48" s="50" t="n"/>
      <c r="E48" s="51">
        <f>IF(G48="","",IF(OR(H48&lt;1,H48&gt;NW),"⛔ التاريخ برّا السنة",IF(AND(N(C48)&gt;0,N(J48)&gt;0,C48&gt;ADV_CAP*J48),"⚠️ أكثر من "&amp;TEXT(ADV_CAP,"0%")&amp;" من شغله ("&amp;TEXT(J48,"0.000")&amp;")","")))</f>
        <v/>
      </c>
      <c r="G48">
        <f>IF(A48="","",IF(ISNUMBER(A48),IF(A48&lt;=31,"",IF(A48&lt;=3112,IF(DATE(YR,MOD(A48,100),INT(A48/100))&gt;SAT1+7*NW-1,DATE(YR-1,MOD(A48,100),INT(A48/100)),DATE(YR,MOD(A48,100),INT(A48/100))),A48)),IFERROR(DATEVALUE(A48),"")))</f>
        <v/>
      </c>
      <c r="H48">
        <f>IF(G48="","",INT((G48-SAT1)/7)+1)</f>
        <v/>
      </c>
      <c r="I48">
        <f>IF(H48="","",IF(OR(H48&lt;1,H48&gt;NW),"",INDEX(WMON,H48)))</f>
        <v/>
      </c>
      <c r="J48">
        <f>IF(OR(G48="",H48="",B48=""),"",IF(B48="عمر المصري",SUMIFS('ساعات عمر'!$H$6:$H$588,'ساعات عمر'!$A$6:$A$588,"&gt;="&amp;(SAT1+7*(H48-1)),'ساعات عمر'!$A$6:$A$588,"&lt;="&amp;G48),SUMIFS('ساعات عبدالعزيز'!$F$6:$F$588,'ساعات عبدالعزيز'!$A$6:$A$588,"&gt;="&amp;(SAT1+7*(H48-1)),'ساعات عبدالعزيز'!$A$6:$A$588,"&lt;="&amp;G48)))</f>
        <v/>
      </c>
    </row>
    <row r="49">
      <c r="A49" s="48" t="n"/>
      <c r="B49" s="22" t="n"/>
      <c r="C49" s="49" t="n"/>
      <c r="D49" s="50" t="n"/>
      <c r="E49" s="51">
        <f>IF(G49="","",IF(OR(H49&lt;1,H49&gt;NW),"⛔ التاريخ برّا السنة",IF(AND(N(C49)&gt;0,N(J49)&gt;0,C49&gt;ADV_CAP*J49),"⚠️ أكثر من "&amp;TEXT(ADV_CAP,"0%")&amp;" من شغله ("&amp;TEXT(J49,"0.000")&amp;")","")))</f>
        <v/>
      </c>
      <c r="G49">
        <f>IF(A49="","",IF(ISNUMBER(A49),IF(A49&lt;=31,"",IF(A49&lt;=3112,IF(DATE(YR,MOD(A49,100),INT(A49/100))&gt;SAT1+7*NW-1,DATE(YR-1,MOD(A49,100),INT(A49/100)),DATE(YR,MOD(A49,100),INT(A49/100))),A49)),IFERROR(DATEVALUE(A49),"")))</f>
        <v/>
      </c>
      <c r="H49">
        <f>IF(G49="","",INT((G49-SAT1)/7)+1)</f>
        <v/>
      </c>
      <c r="I49">
        <f>IF(H49="","",IF(OR(H49&lt;1,H49&gt;NW),"",INDEX(WMON,H49)))</f>
        <v/>
      </c>
      <c r="J49">
        <f>IF(OR(G49="",H49="",B49=""),"",IF(B49="عمر المصري",SUMIFS('ساعات عمر'!$H$6:$H$588,'ساعات عمر'!$A$6:$A$588,"&gt;="&amp;(SAT1+7*(H49-1)),'ساعات عمر'!$A$6:$A$588,"&lt;="&amp;G49),SUMIFS('ساعات عبدالعزيز'!$F$6:$F$588,'ساعات عبدالعزيز'!$A$6:$A$588,"&gt;="&amp;(SAT1+7*(H49-1)),'ساعات عبدالعزيز'!$A$6:$A$588,"&lt;="&amp;G49)))</f>
        <v/>
      </c>
    </row>
    <row r="50">
      <c r="A50" s="48" t="n"/>
      <c r="B50" s="22" t="n"/>
      <c r="C50" s="49" t="n"/>
      <c r="D50" s="50" t="n"/>
      <c r="E50" s="51">
        <f>IF(G50="","",IF(OR(H50&lt;1,H50&gt;NW),"⛔ التاريخ برّا السنة",IF(AND(N(C50)&gt;0,N(J50)&gt;0,C50&gt;ADV_CAP*J50),"⚠️ أكثر من "&amp;TEXT(ADV_CAP,"0%")&amp;" من شغله ("&amp;TEXT(J50,"0.000")&amp;")","")))</f>
        <v/>
      </c>
      <c r="G50">
        <f>IF(A50="","",IF(ISNUMBER(A50),IF(A50&lt;=31,"",IF(A50&lt;=3112,IF(DATE(YR,MOD(A50,100),INT(A50/100))&gt;SAT1+7*NW-1,DATE(YR-1,MOD(A50,100),INT(A50/100)),DATE(YR,MOD(A50,100),INT(A50/100))),A50)),IFERROR(DATEVALUE(A50),"")))</f>
        <v/>
      </c>
      <c r="H50">
        <f>IF(G50="","",INT((G50-SAT1)/7)+1)</f>
        <v/>
      </c>
      <c r="I50">
        <f>IF(H50="","",IF(OR(H50&lt;1,H50&gt;NW),"",INDEX(WMON,H50)))</f>
        <v/>
      </c>
      <c r="J50">
        <f>IF(OR(G50="",H50="",B50=""),"",IF(B50="عمر المصري",SUMIFS('ساعات عمر'!$H$6:$H$588,'ساعات عمر'!$A$6:$A$588,"&gt;="&amp;(SAT1+7*(H50-1)),'ساعات عمر'!$A$6:$A$588,"&lt;="&amp;G50),SUMIFS('ساعات عبدالعزيز'!$F$6:$F$588,'ساعات عبدالعزيز'!$A$6:$A$588,"&gt;="&amp;(SAT1+7*(H50-1)),'ساعات عبدالعزيز'!$A$6:$A$588,"&lt;="&amp;G50)))</f>
        <v/>
      </c>
    </row>
    <row r="51">
      <c r="A51" s="48" t="n"/>
      <c r="B51" s="22" t="n"/>
      <c r="C51" s="49" t="n"/>
      <c r="D51" s="50" t="n"/>
      <c r="E51" s="51">
        <f>IF(G51="","",IF(OR(H51&lt;1,H51&gt;NW),"⛔ التاريخ برّا السنة",IF(AND(N(C51)&gt;0,N(J51)&gt;0,C51&gt;ADV_CAP*J51),"⚠️ أكثر من "&amp;TEXT(ADV_CAP,"0%")&amp;" من شغله ("&amp;TEXT(J51,"0.000")&amp;")","")))</f>
        <v/>
      </c>
      <c r="G51">
        <f>IF(A51="","",IF(ISNUMBER(A51),IF(A51&lt;=31,"",IF(A51&lt;=3112,IF(DATE(YR,MOD(A51,100),INT(A51/100))&gt;SAT1+7*NW-1,DATE(YR-1,MOD(A51,100),INT(A51/100)),DATE(YR,MOD(A51,100),INT(A51/100))),A51)),IFERROR(DATEVALUE(A51),"")))</f>
        <v/>
      </c>
      <c r="H51">
        <f>IF(G51="","",INT((G51-SAT1)/7)+1)</f>
        <v/>
      </c>
      <c r="I51">
        <f>IF(H51="","",IF(OR(H51&lt;1,H51&gt;NW),"",INDEX(WMON,H51)))</f>
        <v/>
      </c>
      <c r="J51">
        <f>IF(OR(G51="",H51="",B51=""),"",IF(B51="عمر المصري",SUMIFS('ساعات عمر'!$H$6:$H$588,'ساعات عمر'!$A$6:$A$588,"&gt;="&amp;(SAT1+7*(H51-1)),'ساعات عمر'!$A$6:$A$588,"&lt;="&amp;G51),SUMIFS('ساعات عبدالعزيز'!$F$6:$F$588,'ساعات عبدالعزيز'!$A$6:$A$588,"&gt;="&amp;(SAT1+7*(H51-1)),'ساعات عبدالعزيز'!$A$6:$A$588,"&lt;="&amp;G51)))</f>
        <v/>
      </c>
    </row>
    <row r="52">
      <c r="A52" s="48" t="n"/>
      <c r="B52" s="22" t="n"/>
      <c r="C52" s="49" t="n"/>
      <c r="D52" s="50" t="n"/>
      <c r="E52" s="51">
        <f>IF(G52="","",IF(OR(H52&lt;1,H52&gt;NW),"⛔ التاريخ برّا السنة",IF(AND(N(C52)&gt;0,N(J52)&gt;0,C52&gt;ADV_CAP*J52),"⚠️ أكثر من "&amp;TEXT(ADV_CAP,"0%")&amp;" من شغله ("&amp;TEXT(J52,"0.000")&amp;")","")))</f>
        <v/>
      </c>
      <c r="G52">
        <f>IF(A52="","",IF(ISNUMBER(A52),IF(A52&lt;=31,"",IF(A52&lt;=3112,IF(DATE(YR,MOD(A52,100),INT(A52/100))&gt;SAT1+7*NW-1,DATE(YR-1,MOD(A52,100),INT(A52/100)),DATE(YR,MOD(A52,100),INT(A52/100))),A52)),IFERROR(DATEVALUE(A52),"")))</f>
        <v/>
      </c>
      <c r="H52">
        <f>IF(G52="","",INT((G52-SAT1)/7)+1)</f>
        <v/>
      </c>
      <c r="I52">
        <f>IF(H52="","",IF(OR(H52&lt;1,H52&gt;NW),"",INDEX(WMON,H52)))</f>
        <v/>
      </c>
      <c r="J52">
        <f>IF(OR(G52="",H52="",B52=""),"",IF(B52="عمر المصري",SUMIFS('ساعات عمر'!$H$6:$H$588,'ساعات عمر'!$A$6:$A$588,"&gt;="&amp;(SAT1+7*(H52-1)),'ساعات عمر'!$A$6:$A$588,"&lt;="&amp;G52),SUMIFS('ساعات عبدالعزيز'!$F$6:$F$588,'ساعات عبدالعزيز'!$A$6:$A$588,"&gt;="&amp;(SAT1+7*(H52-1)),'ساعات عبدالعزيز'!$A$6:$A$588,"&lt;="&amp;G52)))</f>
        <v/>
      </c>
    </row>
    <row r="53">
      <c r="A53" s="48" t="n"/>
      <c r="B53" s="22" t="n"/>
      <c r="C53" s="49" t="n"/>
      <c r="D53" s="50" t="n"/>
      <c r="E53" s="51">
        <f>IF(G53="","",IF(OR(H53&lt;1,H53&gt;NW),"⛔ التاريخ برّا السنة",IF(AND(N(C53)&gt;0,N(J53)&gt;0,C53&gt;ADV_CAP*J53),"⚠️ أكثر من "&amp;TEXT(ADV_CAP,"0%")&amp;" من شغله ("&amp;TEXT(J53,"0.000")&amp;")","")))</f>
        <v/>
      </c>
      <c r="G53">
        <f>IF(A53="","",IF(ISNUMBER(A53),IF(A53&lt;=31,"",IF(A53&lt;=3112,IF(DATE(YR,MOD(A53,100),INT(A53/100))&gt;SAT1+7*NW-1,DATE(YR-1,MOD(A53,100),INT(A53/100)),DATE(YR,MOD(A53,100),INT(A53/100))),A53)),IFERROR(DATEVALUE(A53),"")))</f>
        <v/>
      </c>
      <c r="H53">
        <f>IF(G53="","",INT((G53-SAT1)/7)+1)</f>
        <v/>
      </c>
      <c r="I53">
        <f>IF(H53="","",IF(OR(H53&lt;1,H53&gt;NW),"",INDEX(WMON,H53)))</f>
        <v/>
      </c>
      <c r="J53">
        <f>IF(OR(G53="",H53="",B53=""),"",IF(B53="عمر المصري",SUMIFS('ساعات عمر'!$H$6:$H$588,'ساعات عمر'!$A$6:$A$588,"&gt;="&amp;(SAT1+7*(H53-1)),'ساعات عمر'!$A$6:$A$588,"&lt;="&amp;G53),SUMIFS('ساعات عبدالعزيز'!$F$6:$F$588,'ساعات عبدالعزيز'!$A$6:$A$588,"&gt;="&amp;(SAT1+7*(H53-1)),'ساعات عبدالعزيز'!$A$6:$A$588,"&lt;="&amp;G53)))</f>
        <v/>
      </c>
    </row>
    <row r="54">
      <c r="A54" s="48" t="n"/>
      <c r="B54" s="22" t="n"/>
      <c r="C54" s="49" t="n"/>
      <c r="D54" s="50" t="n"/>
      <c r="E54" s="51">
        <f>IF(G54="","",IF(OR(H54&lt;1,H54&gt;NW),"⛔ التاريخ برّا السنة",IF(AND(N(C54)&gt;0,N(J54)&gt;0,C54&gt;ADV_CAP*J54),"⚠️ أكثر من "&amp;TEXT(ADV_CAP,"0%")&amp;" من شغله ("&amp;TEXT(J54,"0.000")&amp;")","")))</f>
        <v/>
      </c>
      <c r="G54">
        <f>IF(A54="","",IF(ISNUMBER(A54),IF(A54&lt;=31,"",IF(A54&lt;=3112,IF(DATE(YR,MOD(A54,100),INT(A54/100))&gt;SAT1+7*NW-1,DATE(YR-1,MOD(A54,100),INT(A54/100)),DATE(YR,MOD(A54,100),INT(A54/100))),A54)),IFERROR(DATEVALUE(A54),"")))</f>
        <v/>
      </c>
      <c r="H54">
        <f>IF(G54="","",INT((G54-SAT1)/7)+1)</f>
        <v/>
      </c>
      <c r="I54">
        <f>IF(H54="","",IF(OR(H54&lt;1,H54&gt;NW),"",INDEX(WMON,H54)))</f>
        <v/>
      </c>
      <c r="J54">
        <f>IF(OR(G54="",H54="",B54=""),"",IF(B54="عمر المصري",SUMIFS('ساعات عمر'!$H$6:$H$588,'ساعات عمر'!$A$6:$A$588,"&gt;="&amp;(SAT1+7*(H54-1)),'ساعات عمر'!$A$6:$A$588,"&lt;="&amp;G54),SUMIFS('ساعات عبدالعزيز'!$F$6:$F$588,'ساعات عبدالعزيز'!$A$6:$A$588,"&gt;="&amp;(SAT1+7*(H54-1)),'ساعات عبدالعزيز'!$A$6:$A$588,"&lt;="&amp;G54)))</f>
        <v/>
      </c>
    </row>
    <row r="55">
      <c r="A55" s="48" t="n"/>
      <c r="B55" s="22" t="n"/>
      <c r="C55" s="49" t="n"/>
      <c r="D55" s="50" t="n"/>
      <c r="E55" s="51">
        <f>IF(G55="","",IF(OR(H55&lt;1,H55&gt;NW),"⛔ التاريخ برّا السنة",IF(AND(N(C55)&gt;0,N(J55)&gt;0,C55&gt;ADV_CAP*J55),"⚠️ أكثر من "&amp;TEXT(ADV_CAP,"0%")&amp;" من شغله ("&amp;TEXT(J55,"0.000")&amp;")","")))</f>
        <v/>
      </c>
      <c r="G55">
        <f>IF(A55="","",IF(ISNUMBER(A55),IF(A55&lt;=31,"",IF(A55&lt;=3112,IF(DATE(YR,MOD(A55,100),INT(A55/100))&gt;SAT1+7*NW-1,DATE(YR-1,MOD(A55,100),INT(A55/100)),DATE(YR,MOD(A55,100),INT(A55/100))),A55)),IFERROR(DATEVALUE(A55),"")))</f>
        <v/>
      </c>
      <c r="H55">
        <f>IF(G55="","",INT((G55-SAT1)/7)+1)</f>
        <v/>
      </c>
      <c r="I55">
        <f>IF(H55="","",IF(OR(H55&lt;1,H55&gt;NW),"",INDEX(WMON,H55)))</f>
        <v/>
      </c>
      <c r="J55">
        <f>IF(OR(G55="",H55="",B55=""),"",IF(B55="عمر المصري",SUMIFS('ساعات عمر'!$H$6:$H$588,'ساعات عمر'!$A$6:$A$588,"&gt;="&amp;(SAT1+7*(H55-1)),'ساعات عمر'!$A$6:$A$588,"&lt;="&amp;G55),SUMIFS('ساعات عبدالعزيز'!$F$6:$F$588,'ساعات عبدالعزيز'!$A$6:$A$588,"&gt;="&amp;(SAT1+7*(H55-1)),'ساعات عبدالعزيز'!$A$6:$A$588,"&lt;="&amp;G55)))</f>
        <v/>
      </c>
    </row>
    <row r="56">
      <c r="A56" s="48" t="n"/>
      <c r="B56" s="22" t="n"/>
      <c r="C56" s="49" t="n"/>
      <c r="D56" s="50" t="n"/>
      <c r="E56" s="51">
        <f>IF(G56="","",IF(OR(H56&lt;1,H56&gt;NW),"⛔ التاريخ برّا السنة",IF(AND(N(C56)&gt;0,N(J56)&gt;0,C56&gt;ADV_CAP*J56),"⚠️ أكثر من "&amp;TEXT(ADV_CAP,"0%")&amp;" من شغله ("&amp;TEXT(J56,"0.000")&amp;")","")))</f>
        <v/>
      </c>
      <c r="G56">
        <f>IF(A56="","",IF(ISNUMBER(A56),IF(A56&lt;=31,"",IF(A56&lt;=3112,IF(DATE(YR,MOD(A56,100),INT(A56/100))&gt;SAT1+7*NW-1,DATE(YR-1,MOD(A56,100),INT(A56/100)),DATE(YR,MOD(A56,100),INT(A56/100))),A56)),IFERROR(DATEVALUE(A56),"")))</f>
        <v/>
      </c>
      <c r="H56">
        <f>IF(G56="","",INT((G56-SAT1)/7)+1)</f>
        <v/>
      </c>
      <c r="I56">
        <f>IF(H56="","",IF(OR(H56&lt;1,H56&gt;NW),"",INDEX(WMON,H56)))</f>
        <v/>
      </c>
      <c r="J56">
        <f>IF(OR(G56="",H56="",B56=""),"",IF(B56="عمر المصري",SUMIFS('ساعات عمر'!$H$6:$H$588,'ساعات عمر'!$A$6:$A$588,"&gt;="&amp;(SAT1+7*(H56-1)),'ساعات عمر'!$A$6:$A$588,"&lt;="&amp;G56),SUMIFS('ساعات عبدالعزيز'!$F$6:$F$588,'ساعات عبدالعزيز'!$A$6:$A$588,"&gt;="&amp;(SAT1+7*(H56-1)),'ساعات عبدالعزيز'!$A$6:$A$588,"&lt;="&amp;G56)))</f>
        <v/>
      </c>
    </row>
    <row r="57">
      <c r="A57" s="48" t="n"/>
      <c r="B57" s="22" t="n"/>
      <c r="C57" s="49" t="n"/>
      <c r="D57" s="50" t="n"/>
      <c r="E57" s="51">
        <f>IF(G57="","",IF(OR(H57&lt;1,H57&gt;NW),"⛔ التاريخ برّا السنة",IF(AND(N(C57)&gt;0,N(J57)&gt;0,C57&gt;ADV_CAP*J57),"⚠️ أكثر من "&amp;TEXT(ADV_CAP,"0%")&amp;" من شغله ("&amp;TEXT(J57,"0.000")&amp;")","")))</f>
        <v/>
      </c>
      <c r="G57">
        <f>IF(A57="","",IF(ISNUMBER(A57),IF(A57&lt;=31,"",IF(A57&lt;=3112,IF(DATE(YR,MOD(A57,100),INT(A57/100))&gt;SAT1+7*NW-1,DATE(YR-1,MOD(A57,100),INT(A57/100)),DATE(YR,MOD(A57,100),INT(A57/100))),A57)),IFERROR(DATEVALUE(A57),"")))</f>
        <v/>
      </c>
      <c r="H57">
        <f>IF(G57="","",INT((G57-SAT1)/7)+1)</f>
        <v/>
      </c>
      <c r="I57">
        <f>IF(H57="","",IF(OR(H57&lt;1,H57&gt;NW),"",INDEX(WMON,H57)))</f>
        <v/>
      </c>
      <c r="J57">
        <f>IF(OR(G57="",H57="",B57=""),"",IF(B57="عمر المصري",SUMIFS('ساعات عمر'!$H$6:$H$588,'ساعات عمر'!$A$6:$A$588,"&gt;="&amp;(SAT1+7*(H57-1)),'ساعات عمر'!$A$6:$A$588,"&lt;="&amp;G57),SUMIFS('ساعات عبدالعزيز'!$F$6:$F$588,'ساعات عبدالعزيز'!$A$6:$A$588,"&gt;="&amp;(SAT1+7*(H57-1)),'ساعات عبدالعزيز'!$A$6:$A$588,"&lt;="&amp;G57)))</f>
        <v/>
      </c>
    </row>
    <row r="58">
      <c r="A58" s="48" t="n"/>
      <c r="B58" s="22" t="n"/>
      <c r="C58" s="49" t="n"/>
      <c r="D58" s="50" t="n"/>
      <c r="E58" s="51">
        <f>IF(G58="","",IF(OR(H58&lt;1,H58&gt;NW),"⛔ التاريخ برّا السنة",IF(AND(N(C58)&gt;0,N(J58)&gt;0,C58&gt;ADV_CAP*J58),"⚠️ أكثر من "&amp;TEXT(ADV_CAP,"0%")&amp;" من شغله ("&amp;TEXT(J58,"0.000")&amp;")","")))</f>
        <v/>
      </c>
      <c r="G58">
        <f>IF(A58="","",IF(ISNUMBER(A58),IF(A58&lt;=31,"",IF(A58&lt;=3112,IF(DATE(YR,MOD(A58,100),INT(A58/100))&gt;SAT1+7*NW-1,DATE(YR-1,MOD(A58,100),INT(A58/100)),DATE(YR,MOD(A58,100),INT(A58/100))),A58)),IFERROR(DATEVALUE(A58),"")))</f>
        <v/>
      </c>
      <c r="H58">
        <f>IF(G58="","",INT((G58-SAT1)/7)+1)</f>
        <v/>
      </c>
      <c r="I58">
        <f>IF(H58="","",IF(OR(H58&lt;1,H58&gt;NW),"",INDEX(WMON,H58)))</f>
        <v/>
      </c>
      <c r="J58">
        <f>IF(OR(G58="",H58="",B58=""),"",IF(B58="عمر المصري",SUMIFS('ساعات عمر'!$H$6:$H$588,'ساعات عمر'!$A$6:$A$588,"&gt;="&amp;(SAT1+7*(H58-1)),'ساعات عمر'!$A$6:$A$588,"&lt;="&amp;G58),SUMIFS('ساعات عبدالعزيز'!$F$6:$F$588,'ساعات عبدالعزيز'!$A$6:$A$588,"&gt;="&amp;(SAT1+7*(H58-1)),'ساعات عبدالعزيز'!$A$6:$A$588,"&lt;="&amp;G58)))</f>
        <v/>
      </c>
    </row>
    <row r="59">
      <c r="A59" s="48" t="n"/>
      <c r="B59" s="22" t="n"/>
      <c r="C59" s="49" t="n"/>
      <c r="D59" s="50" t="n"/>
      <c r="E59" s="51">
        <f>IF(G59="","",IF(OR(H59&lt;1,H59&gt;NW),"⛔ التاريخ برّا السنة",IF(AND(N(C59)&gt;0,N(J59)&gt;0,C59&gt;ADV_CAP*J59),"⚠️ أكثر من "&amp;TEXT(ADV_CAP,"0%")&amp;" من شغله ("&amp;TEXT(J59,"0.000")&amp;")","")))</f>
        <v/>
      </c>
      <c r="G59">
        <f>IF(A59="","",IF(ISNUMBER(A59),IF(A59&lt;=31,"",IF(A59&lt;=3112,IF(DATE(YR,MOD(A59,100),INT(A59/100))&gt;SAT1+7*NW-1,DATE(YR-1,MOD(A59,100),INT(A59/100)),DATE(YR,MOD(A59,100),INT(A59/100))),A59)),IFERROR(DATEVALUE(A59),"")))</f>
        <v/>
      </c>
      <c r="H59">
        <f>IF(G59="","",INT((G59-SAT1)/7)+1)</f>
        <v/>
      </c>
      <c r="I59">
        <f>IF(H59="","",IF(OR(H59&lt;1,H59&gt;NW),"",INDEX(WMON,H59)))</f>
        <v/>
      </c>
      <c r="J59">
        <f>IF(OR(G59="",H59="",B59=""),"",IF(B59="عمر المصري",SUMIFS('ساعات عمر'!$H$6:$H$588,'ساعات عمر'!$A$6:$A$588,"&gt;="&amp;(SAT1+7*(H59-1)),'ساعات عمر'!$A$6:$A$588,"&lt;="&amp;G59),SUMIFS('ساعات عبدالعزيز'!$F$6:$F$588,'ساعات عبدالعزيز'!$A$6:$A$588,"&gt;="&amp;(SAT1+7*(H59-1)),'ساعات عبدالعزيز'!$A$6:$A$588,"&lt;="&amp;G59)))</f>
        <v/>
      </c>
    </row>
    <row r="60">
      <c r="A60" s="48" t="n"/>
      <c r="B60" s="22" t="n"/>
      <c r="C60" s="49" t="n"/>
      <c r="D60" s="50" t="n"/>
      <c r="E60" s="51">
        <f>IF(G60="","",IF(OR(H60&lt;1,H60&gt;NW),"⛔ التاريخ برّا السنة",IF(AND(N(C60)&gt;0,N(J60)&gt;0,C60&gt;ADV_CAP*J60),"⚠️ أكثر من "&amp;TEXT(ADV_CAP,"0%")&amp;" من شغله ("&amp;TEXT(J60,"0.000")&amp;")","")))</f>
        <v/>
      </c>
      <c r="G60">
        <f>IF(A60="","",IF(ISNUMBER(A60),IF(A60&lt;=31,"",IF(A60&lt;=3112,IF(DATE(YR,MOD(A60,100),INT(A60/100))&gt;SAT1+7*NW-1,DATE(YR-1,MOD(A60,100),INT(A60/100)),DATE(YR,MOD(A60,100),INT(A60/100))),A60)),IFERROR(DATEVALUE(A60),"")))</f>
        <v/>
      </c>
      <c r="H60">
        <f>IF(G60="","",INT((G60-SAT1)/7)+1)</f>
        <v/>
      </c>
      <c r="I60">
        <f>IF(H60="","",IF(OR(H60&lt;1,H60&gt;NW),"",INDEX(WMON,H60)))</f>
        <v/>
      </c>
      <c r="J60">
        <f>IF(OR(G60="",H60="",B60=""),"",IF(B60="عمر المصري",SUMIFS('ساعات عمر'!$H$6:$H$588,'ساعات عمر'!$A$6:$A$588,"&gt;="&amp;(SAT1+7*(H60-1)),'ساعات عمر'!$A$6:$A$588,"&lt;="&amp;G60),SUMIFS('ساعات عبدالعزيز'!$F$6:$F$588,'ساعات عبدالعزيز'!$A$6:$A$588,"&gt;="&amp;(SAT1+7*(H60-1)),'ساعات عبدالعزيز'!$A$6:$A$588,"&lt;="&amp;G60)))</f>
        <v/>
      </c>
    </row>
    <row r="61">
      <c r="A61" s="48" t="n"/>
      <c r="B61" s="22" t="n"/>
      <c r="C61" s="49" t="n"/>
      <c r="D61" s="50" t="n"/>
      <c r="E61" s="51">
        <f>IF(G61="","",IF(OR(H61&lt;1,H61&gt;NW),"⛔ التاريخ برّا السنة",IF(AND(N(C61)&gt;0,N(J61)&gt;0,C61&gt;ADV_CAP*J61),"⚠️ أكثر من "&amp;TEXT(ADV_CAP,"0%")&amp;" من شغله ("&amp;TEXT(J61,"0.000")&amp;")","")))</f>
        <v/>
      </c>
      <c r="G61">
        <f>IF(A61="","",IF(ISNUMBER(A61),IF(A61&lt;=31,"",IF(A61&lt;=3112,IF(DATE(YR,MOD(A61,100),INT(A61/100))&gt;SAT1+7*NW-1,DATE(YR-1,MOD(A61,100),INT(A61/100)),DATE(YR,MOD(A61,100),INT(A61/100))),A61)),IFERROR(DATEVALUE(A61),"")))</f>
        <v/>
      </c>
      <c r="H61">
        <f>IF(G61="","",INT((G61-SAT1)/7)+1)</f>
        <v/>
      </c>
      <c r="I61">
        <f>IF(H61="","",IF(OR(H61&lt;1,H61&gt;NW),"",INDEX(WMON,H61)))</f>
        <v/>
      </c>
      <c r="J61">
        <f>IF(OR(G61="",H61="",B61=""),"",IF(B61="عمر المصري",SUMIFS('ساعات عمر'!$H$6:$H$588,'ساعات عمر'!$A$6:$A$588,"&gt;="&amp;(SAT1+7*(H61-1)),'ساعات عمر'!$A$6:$A$588,"&lt;="&amp;G61),SUMIFS('ساعات عبدالعزيز'!$F$6:$F$588,'ساعات عبدالعزيز'!$A$6:$A$588,"&gt;="&amp;(SAT1+7*(H61-1)),'ساعات عبدالعزيز'!$A$6:$A$588,"&lt;="&amp;G61)))</f>
        <v/>
      </c>
    </row>
    <row r="62">
      <c r="A62" s="48" t="n"/>
      <c r="B62" s="22" t="n"/>
      <c r="C62" s="49" t="n"/>
      <c r="D62" s="50" t="n"/>
      <c r="E62" s="51">
        <f>IF(G62="","",IF(OR(H62&lt;1,H62&gt;NW),"⛔ التاريخ برّا السنة",IF(AND(N(C62)&gt;0,N(J62)&gt;0,C62&gt;ADV_CAP*J62),"⚠️ أكثر من "&amp;TEXT(ADV_CAP,"0%")&amp;" من شغله ("&amp;TEXT(J62,"0.000")&amp;")","")))</f>
        <v/>
      </c>
      <c r="G62">
        <f>IF(A62="","",IF(ISNUMBER(A62),IF(A62&lt;=31,"",IF(A62&lt;=3112,IF(DATE(YR,MOD(A62,100),INT(A62/100))&gt;SAT1+7*NW-1,DATE(YR-1,MOD(A62,100),INT(A62/100)),DATE(YR,MOD(A62,100),INT(A62/100))),A62)),IFERROR(DATEVALUE(A62),"")))</f>
        <v/>
      </c>
      <c r="H62">
        <f>IF(G62="","",INT((G62-SAT1)/7)+1)</f>
        <v/>
      </c>
      <c r="I62">
        <f>IF(H62="","",IF(OR(H62&lt;1,H62&gt;NW),"",INDEX(WMON,H62)))</f>
        <v/>
      </c>
      <c r="J62">
        <f>IF(OR(G62="",H62="",B62=""),"",IF(B62="عمر المصري",SUMIFS('ساعات عمر'!$H$6:$H$588,'ساعات عمر'!$A$6:$A$588,"&gt;="&amp;(SAT1+7*(H62-1)),'ساعات عمر'!$A$6:$A$588,"&lt;="&amp;G62),SUMIFS('ساعات عبدالعزيز'!$F$6:$F$588,'ساعات عبدالعزيز'!$A$6:$A$588,"&gt;="&amp;(SAT1+7*(H62-1)),'ساعات عبدالعزيز'!$A$6:$A$588,"&lt;="&amp;G62)))</f>
        <v/>
      </c>
    </row>
    <row r="63">
      <c r="A63" s="48" t="n"/>
      <c r="B63" s="22" t="n"/>
      <c r="C63" s="49" t="n"/>
      <c r="D63" s="50" t="n"/>
      <c r="E63" s="51">
        <f>IF(G63="","",IF(OR(H63&lt;1,H63&gt;NW),"⛔ التاريخ برّا السنة",IF(AND(N(C63)&gt;0,N(J63)&gt;0,C63&gt;ADV_CAP*J63),"⚠️ أكثر من "&amp;TEXT(ADV_CAP,"0%")&amp;" من شغله ("&amp;TEXT(J63,"0.000")&amp;")","")))</f>
        <v/>
      </c>
      <c r="G63">
        <f>IF(A63="","",IF(ISNUMBER(A63),IF(A63&lt;=31,"",IF(A63&lt;=3112,IF(DATE(YR,MOD(A63,100),INT(A63/100))&gt;SAT1+7*NW-1,DATE(YR-1,MOD(A63,100),INT(A63/100)),DATE(YR,MOD(A63,100),INT(A63/100))),A63)),IFERROR(DATEVALUE(A63),"")))</f>
        <v/>
      </c>
      <c r="H63">
        <f>IF(G63="","",INT((G63-SAT1)/7)+1)</f>
        <v/>
      </c>
      <c r="I63">
        <f>IF(H63="","",IF(OR(H63&lt;1,H63&gt;NW),"",INDEX(WMON,H63)))</f>
        <v/>
      </c>
      <c r="J63">
        <f>IF(OR(G63="",H63="",B63=""),"",IF(B63="عمر المصري",SUMIFS('ساعات عمر'!$H$6:$H$588,'ساعات عمر'!$A$6:$A$588,"&gt;="&amp;(SAT1+7*(H63-1)),'ساعات عمر'!$A$6:$A$588,"&lt;="&amp;G63),SUMIFS('ساعات عبدالعزيز'!$F$6:$F$588,'ساعات عبدالعزيز'!$A$6:$A$588,"&gt;="&amp;(SAT1+7*(H63-1)),'ساعات عبدالعزيز'!$A$6:$A$588,"&lt;="&amp;G63)))</f>
        <v/>
      </c>
    </row>
    <row r="64">
      <c r="A64" s="48" t="n"/>
      <c r="B64" s="22" t="n"/>
      <c r="C64" s="49" t="n"/>
      <c r="D64" s="50" t="n"/>
      <c r="E64" s="51">
        <f>IF(G64="","",IF(OR(H64&lt;1,H64&gt;NW),"⛔ التاريخ برّا السنة",IF(AND(N(C64)&gt;0,N(J64)&gt;0,C64&gt;ADV_CAP*J64),"⚠️ أكثر من "&amp;TEXT(ADV_CAP,"0%")&amp;" من شغله ("&amp;TEXT(J64,"0.000")&amp;")","")))</f>
        <v/>
      </c>
      <c r="G64">
        <f>IF(A64="","",IF(ISNUMBER(A64),IF(A64&lt;=31,"",IF(A64&lt;=3112,IF(DATE(YR,MOD(A64,100),INT(A64/100))&gt;SAT1+7*NW-1,DATE(YR-1,MOD(A64,100),INT(A64/100)),DATE(YR,MOD(A64,100),INT(A64/100))),A64)),IFERROR(DATEVALUE(A64),"")))</f>
        <v/>
      </c>
      <c r="H64">
        <f>IF(G64="","",INT((G64-SAT1)/7)+1)</f>
        <v/>
      </c>
      <c r="I64">
        <f>IF(H64="","",IF(OR(H64&lt;1,H64&gt;NW),"",INDEX(WMON,H64)))</f>
        <v/>
      </c>
      <c r="J64">
        <f>IF(OR(G64="",H64="",B64=""),"",IF(B64="عمر المصري",SUMIFS('ساعات عمر'!$H$6:$H$588,'ساعات عمر'!$A$6:$A$588,"&gt;="&amp;(SAT1+7*(H64-1)),'ساعات عمر'!$A$6:$A$588,"&lt;="&amp;G64),SUMIFS('ساعات عبدالعزيز'!$F$6:$F$588,'ساعات عبدالعزيز'!$A$6:$A$588,"&gt;="&amp;(SAT1+7*(H64-1)),'ساعات عبدالعزيز'!$A$6:$A$588,"&lt;="&amp;G64)))</f>
        <v/>
      </c>
    </row>
    <row r="65">
      <c r="A65" s="48" t="n"/>
      <c r="B65" s="22" t="n"/>
      <c r="C65" s="49" t="n"/>
      <c r="D65" s="50" t="n"/>
      <c r="E65" s="51">
        <f>IF(G65="","",IF(OR(H65&lt;1,H65&gt;NW),"⛔ التاريخ برّا السنة",IF(AND(N(C65)&gt;0,N(J65)&gt;0,C65&gt;ADV_CAP*J65),"⚠️ أكثر من "&amp;TEXT(ADV_CAP,"0%")&amp;" من شغله ("&amp;TEXT(J65,"0.000")&amp;")","")))</f>
        <v/>
      </c>
      <c r="G65">
        <f>IF(A65="","",IF(ISNUMBER(A65),IF(A65&lt;=31,"",IF(A65&lt;=3112,IF(DATE(YR,MOD(A65,100),INT(A65/100))&gt;SAT1+7*NW-1,DATE(YR-1,MOD(A65,100),INT(A65/100)),DATE(YR,MOD(A65,100),INT(A65/100))),A65)),IFERROR(DATEVALUE(A65),"")))</f>
        <v/>
      </c>
      <c r="H65">
        <f>IF(G65="","",INT((G65-SAT1)/7)+1)</f>
        <v/>
      </c>
      <c r="I65">
        <f>IF(H65="","",IF(OR(H65&lt;1,H65&gt;NW),"",INDEX(WMON,H65)))</f>
        <v/>
      </c>
      <c r="J65">
        <f>IF(OR(G65="",H65="",B65=""),"",IF(B65="عمر المصري",SUMIFS('ساعات عمر'!$H$6:$H$588,'ساعات عمر'!$A$6:$A$588,"&gt;="&amp;(SAT1+7*(H65-1)),'ساعات عمر'!$A$6:$A$588,"&lt;="&amp;G65),SUMIFS('ساعات عبدالعزيز'!$F$6:$F$588,'ساعات عبدالعزيز'!$A$6:$A$588,"&gt;="&amp;(SAT1+7*(H65-1)),'ساعات عبدالعزيز'!$A$6:$A$588,"&lt;="&amp;G65)))</f>
        <v/>
      </c>
    </row>
    <row r="66">
      <c r="A66" s="48" t="n"/>
      <c r="B66" s="22" t="n"/>
      <c r="C66" s="49" t="n"/>
      <c r="D66" s="50" t="n"/>
      <c r="E66" s="51">
        <f>IF(G66="","",IF(OR(H66&lt;1,H66&gt;NW),"⛔ التاريخ برّا السنة",IF(AND(N(C66)&gt;0,N(J66)&gt;0,C66&gt;ADV_CAP*J66),"⚠️ أكثر من "&amp;TEXT(ADV_CAP,"0%")&amp;" من شغله ("&amp;TEXT(J66,"0.000")&amp;")","")))</f>
        <v/>
      </c>
      <c r="G66">
        <f>IF(A66="","",IF(ISNUMBER(A66),IF(A66&lt;=31,"",IF(A66&lt;=3112,IF(DATE(YR,MOD(A66,100),INT(A66/100))&gt;SAT1+7*NW-1,DATE(YR-1,MOD(A66,100),INT(A66/100)),DATE(YR,MOD(A66,100),INT(A66/100))),A66)),IFERROR(DATEVALUE(A66),"")))</f>
        <v/>
      </c>
      <c r="H66">
        <f>IF(G66="","",INT((G66-SAT1)/7)+1)</f>
        <v/>
      </c>
      <c r="I66">
        <f>IF(H66="","",IF(OR(H66&lt;1,H66&gt;NW),"",INDEX(WMON,H66)))</f>
        <v/>
      </c>
      <c r="J66">
        <f>IF(OR(G66="",H66="",B66=""),"",IF(B66="عمر المصري",SUMIFS('ساعات عمر'!$H$6:$H$588,'ساعات عمر'!$A$6:$A$588,"&gt;="&amp;(SAT1+7*(H66-1)),'ساعات عمر'!$A$6:$A$588,"&lt;="&amp;G66),SUMIFS('ساعات عبدالعزيز'!$F$6:$F$588,'ساعات عبدالعزيز'!$A$6:$A$588,"&gt;="&amp;(SAT1+7*(H66-1)),'ساعات عبدالعزيز'!$A$6:$A$588,"&lt;="&amp;G66)))</f>
        <v/>
      </c>
    </row>
    <row r="67">
      <c r="A67" s="48" t="n"/>
      <c r="B67" s="22" t="n"/>
      <c r="C67" s="49" t="n"/>
      <c r="D67" s="50" t="n"/>
      <c r="E67" s="51">
        <f>IF(G67="","",IF(OR(H67&lt;1,H67&gt;NW),"⛔ التاريخ برّا السنة",IF(AND(N(C67)&gt;0,N(J67)&gt;0,C67&gt;ADV_CAP*J67),"⚠️ أكثر من "&amp;TEXT(ADV_CAP,"0%")&amp;" من شغله ("&amp;TEXT(J67,"0.000")&amp;")","")))</f>
        <v/>
      </c>
      <c r="G67">
        <f>IF(A67="","",IF(ISNUMBER(A67),IF(A67&lt;=31,"",IF(A67&lt;=3112,IF(DATE(YR,MOD(A67,100),INT(A67/100))&gt;SAT1+7*NW-1,DATE(YR-1,MOD(A67,100),INT(A67/100)),DATE(YR,MOD(A67,100),INT(A67/100))),A67)),IFERROR(DATEVALUE(A67),"")))</f>
        <v/>
      </c>
      <c r="H67">
        <f>IF(G67="","",INT((G67-SAT1)/7)+1)</f>
        <v/>
      </c>
      <c r="I67">
        <f>IF(H67="","",IF(OR(H67&lt;1,H67&gt;NW),"",INDEX(WMON,H67)))</f>
        <v/>
      </c>
      <c r="J67">
        <f>IF(OR(G67="",H67="",B67=""),"",IF(B67="عمر المصري",SUMIFS('ساعات عمر'!$H$6:$H$588,'ساعات عمر'!$A$6:$A$588,"&gt;="&amp;(SAT1+7*(H67-1)),'ساعات عمر'!$A$6:$A$588,"&lt;="&amp;G67),SUMIFS('ساعات عبدالعزيز'!$F$6:$F$588,'ساعات عبدالعزيز'!$A$6:$A$588,"&gt;="&amp;(SAT1+7*(H67-1)),'ساعات عبدالعزيز'!$A$6:$A$588,"&lt;="&amp;G67)))</f>
        <v/>
      </c>
    </row>
    <row r="68">
      <c r="A68" s="48" t="n"/>
      <c r="B68" s="22" t="n"/>
      <c r="C68" s="49" t="n"/>
      <c r="D68" s="50" t="n"/>
      <c r="E68" s="51">
        <f>IF(G68="","",IF(OR(H68&lt;1,H68&gt;NW),"⛔ التاريخ برّا السنة",IF(AND(N(C68)&gt;0,N(J68)&gt;0,C68&gt;ADV_CAP*J68),"⚠️ أكثر من "&amp;TEXT(ADV_CAP,"0%")&amp;" من شغله ("&amp;TEXT(J68,"0.000")&amp;")","")))</f>
        <v/>
      </c>
      <c r="G68">
        <f>IF(A68="","",IF(ISNUMBER(A68),IF(A68&lt;=31,"",IF(A68&lt;=3112,IF(DATE(YR,MOD(A68,100),INT(A68/100))&gt;SAT1+7*NW-1,DATE(YR-1,MOD(A68,100),INT(A68/100)),DATE(YR,MOD(A68,100),INT(A68/100))),A68)),IFERROR(DATEVALUE(A68),"")))</f>
        <v/>
      </c>
      <c r="H68">
        <f>IF(G68="","",INT((G68-SAT1)/7)+1)</f>
        <v/>
      </c>
      <c r="I68">
        <f>IF(H68="","",IF(OR(H68&lt;1,H68&gt;NW),"",INDEX(WMON,H68)))</f>
        <v/>
      </c>
      <c r="J68">
        <f>IF(OR(G68="",H68="",B68=""),"",IF(B68="عمر المصري",SUMIFS('ساعات عمر'!$H$6:$H$588,'ساعات عمر'!$A$6:$A$588,"&gt;="&amp;(SAT1+7*(H68-1)),'ساعات عمر'!$A$6:$A$588,"&lt;="&amp;G68),SUMIFS('ساعات عبدالعزيز'!$F$6:$F$588,'ساعات عبدالعزيز'!$A$6:$A$588,"&gt;="&amp;(SAT1+7*(H68-1)),'ساعات عبدالعزيز'!$A$6:$A$588,"&lt;="&amp;G68)))</f>
        <v/>
      </c>
    </row>
    <row r="69">
      <c r="A69" s="48" t="n"/>
      <c r="B69" s="22" t="n"/>
      <c r="C69" s="49" t="n"/>
      <c r="D69" s="50" t="n"/>
      <c r="E69" s="51">
        <f>IF(G69="","",IF(OR(H69&lt;1,H69&gt;NW),"⛔ التاريخ برّا السنة",IF(AND(N(C69)&gt;0,N(J69)&gt;0,C69&gt;ADV_CAP*J69),"⚠️ أكثر من "&amp;TEXT(ADV_CAP,"0%")&amp;" من شغله ("&amp;TEXT(J69,"0.000")&amp;")","")))</f>
        <v/>
      </c>
      <c r="G69">
        <f>IF(A69="","",IF(ISNUMBER(A69),IF(A69&lt;=31,"",IF(A69&lt;=3112,IF(DATE(YR,MOD(A69,100),INT(A69/100))&gt;SAT1+7*NW-1,DATE(YR-1,MOD(A69,100),INT(A69/100)),DATE(YR,MOD(A69,100),INT(A69/100))),A69)),IFERROR(DATEVALUE(A69),"")))</f>
        <v/>
      </c>
      <c r="H69">
        <f>IF(G69="","",INT((G69-SAT1)/7)+1)</f>
        <v/>
      </c>
      <c r="I69">
        <f>IF(H69="","",IF(OR(H69&lt;1,H69&gt;NW),"",INDEX(WMON,H69)))</f>
        <v/>
      </c>
      <c r="J69">
        <f>IF(OR(G69="",H69="",B69=""),"",IF(B69="عمر المصري",SUMIFS('ساعات عمر'!$H$6:$H$588,'ساعات عمر'!$A$6:$A$588,"&gt;="&amp;(SAT1+7*(H69-1)),'ساعات عمر'!$A$6:$A$588,"&lt;="&amp;G69),SUMIFS('ساعات عبدالعزيز'!$F$6:$F$588,'ساعات عبدالعزيز'!$A$6:$A$588,"&gt;="&amp;(SAT1+7*(H69-1)),'ساعات عبدالعزيز'!$A$6:$A$588,"&lt;="&amp;G69)))</f>
        <v/>
      </c>
    </row>
    <row r="70">
      <c r="A70" s="48" t="n"/>
      <c r="B70" s="22" t="n"/>
      <c r="C70" s="49" t="n"/>
      <c r="D70" s="50" t="n"/>
      <c r="E70" s="51">
        <f>IF(G70="","",IF(OR(H70&lt;1,H70&gt;NW),"⛔ التاريخ برّا السنة",IF(AND(N(C70)&gt;0,N(J70)&gt;0,C70&gt;ADV_CAP*J70),"⚠️ أكثر من "&amp;TEXT(ADV_CAP,"0%")&amp;" من شغله ("&amp;TEXT(J70,"0.000")&amp;")","")))</f>
        <v/>
      </c>
      <c r="G70">
        <f>IF(A70="","",IF(ISNUMBER(A70),IF(A70&lt;=31,"",IF(A70&lt;=3112,IF(DATE(YR,MOD(A70,100),INT(A70/100))&gt;SAT1+7*NW-1,DATE(YR-1,MOD(A70,100),INT(A70/100)),DATE(YR,MOD(A70,100),INT(A70/100))),A70)),IFERROR(DATEVALUE(A70),"")))</f>
        <v/>
      </c>
      <c r="H70">
        <f>IF(G70="","",INT((G70-SAT1)/7)+1)</f>
        <v/>
      </c>
      <c r="I70">
        <f>IF(H70="","",IF(OR(H70&lt;1,H70&gt;NW),"",INDEX(WMON,H70)))</f>
        <v/>
      </c>
      <c r="J70">
        <f>IF(OR(G70="",H70="",B70=""),"",IF(B70="عمر المصري",SUMIFS('ساعات عمر'!$H$6:$H$588,'ساعات عمر'!$A$6:$A$588,"&gt;="&amp;(SAT1+7*(H70-1)),'ساعات عمر'!$A$6:$A$588,"&lt;="&amp;G70),SUMIFS('ساعات عبدالعزيز'!$F$6:$F$588,'ساعات عبدالعزيز'!$A$6:$A$588,"&gt;="&amp;(SAT1+7*(H70-1)),'ساعات عبدالعزيز'!$A$6:$A$588,"&lt;="&amp;G70)))</f>
        <v/>
      </c>
    </row>
    <row r="71">
      <c r="A71" s="48" t="n"/>
      <c r="B71" s="22" t="n"/>
      <c r="C71" s="49" t="n"/>
      <c r="D71" s="50" t="n"/>
      <c r="E71" s="51">
        <f>IF(G71="","",IF(OR(H71&lt;1,H71&gt;NW),"⛔ التاريخ برّا السنة",IF(AND(N(C71)&gt;0,N(J71)&gt;0,C71&gt;ADV_CAP*J71),"⚠️ أكثر من "&amp;TEXT(ADV_CAP,"0%")&amp;" من شغله ("&amp;TEXT(J71,"0.000")&amp;")","")))</f>
        <v/>
      </c>
      <c r="G71">
        <f>IF(A71="","",IF(ISNUMBER(A71),IF(A71&lt;=31,"",IF(A71&lt;=3112,IF(DATE(YR,MOD(A71,100),INT(A71/100))&gt;SAT1+7*NW-1,DATE(YR-1,MOD(A71,100),INT(A71/100)),DATE(YR,MOD(A71,100),INT(A71/100))),A71)),IFERROR(DATEVALUE(A71),"")))</f>
        <v/>
      </c>
      <c r="H71">
        <f>IF(G71="","",INT((G71-SAT1)/7)+1)</f>
        <v/>
      </c>
      <c r="I71">
        <f>IF(H71="","",IF(OR(H71&lt;1,H71&gt;NW),"",INDEX(WMON,H71)))</f>
        <v/>
      </c>
      <c r="J71">
        <f>IF(OR(G71="",H71="",B71=""),"",IF(B71="عمر المصري",SUMIFS('ساعات عمر'!$H$6:$H$588,'ساعات عمر'!$A$6:$A$588,"&gt;="&amp;(SAT1+7*(H71-1)),'ساعات عمر'!$A$6:$A$588,"&lt;="&amp;G71),SUMIFS('ساعات عبدالعزيز'!$F$6:$F$588,'ساعات عبدالعزيز'!$A$6:$A$588,"&gt;="&amp;(SAT1+7*(H71-1)),'ساعات عبدالعزيز'!$A$6:$A$588,"&lt;="&amp;G71)))</f>
        <v/>
      </c>
    </row>
    <row r="72">
      <c r="A72" s="48" t="n"/>
      <c r="B72" s="22" t="n"/>
      <c r="C72" s="49" t="n"/>
      <c r="D72" s="50" t="n"/>
      <c r="E72" s="51">
        <f>IF(G72="","",IF(OR(H72&lt;1,H72&gt;NW),"⛔ التاريخ برّا السنة",IF(AND(N(C72)&gt;0,N(J72)&gt;0,C72&gt;ADV_CAP*J72),"⚠️ أكثر من "&amp;TEXT(ADV_CAP,"0%")&amp;" من شغله ("&amp;TEXT(J72,"0.000")&amp;")","")))</f>
        <v/>
      </c>
      <c r="G72">
        <f>IF(A72="","",IF(ISNUMBER(A72),IF(A72&lt;=31,"",IF(A72&lt;=3112,IF(DATE(YR,MOD(A72,100),INT(A72/100))&gt;SAT1+7*NW-1,DATE(YR-1,MOD(A72,100),INT(A72/100)),DATE(YR,MOD(A72,100),INT(A72/100))),A72)),IFERROR(DATEVALUE(A72),"")))</f>
        <v/>
      </c>
      <c r="H72">
        <f>IF(G72="","",INT((G72-SAT1)/7)+1)</f>
        <v/>
      </c>
      <c r="I72">
        <f>IF(H72="","",IF(OR(H72&lt;1,H72&gt;NW),"",INDEX(WMON,H72)))</f>
        <v/>
      </c>
      <c r="J72">
        <f>IF(OR(G72="",H72="",B72=""),"",IF(B72="عمر المصري",SUMIFS('ساعات عمر'!$H$6:$H$588,'ساعات عمر'!$A$6:$A$588,"&gt;="&amp;(SAT1+7*(H72-1)),'ساعات عمر'!$A$6:$A$588,"&lt;="&amp;G72),SUMIFS('ساعات عبدالعزيز'!$F$6:$F$588,'ساعات عبدالعزيز'!$A$6:$A$588,"&gt;="&amp;(SAT1+7*(H72-1)),'ساعات عبدالعزيز'!$A$6:$A$588,"&lt;="&amp;G72)))</f>
        <v/>
      </c>
    </row>
    <row r="73">
      <c r="A73" s="48" t="n"/>
      <c r="B73" s="22" t="n"/>
      <c r="C73" s="49" t="n"/>
      <c r="D73" s="50" t="n"/>
      <c r="E73" s="51">
        <f>IF(G73="","",IF(OR(H73&lt;1,H73&gt;NW),"⛔ التاريخ برّا السنة",IF(AND(N(C73)&gt;0,N(J73)&gt;0,C73&gt;ADV_CAP*J73),"⚠️ أكثر من "&amp;TEXT(ADV_CAP,"0%")&amp;" من شغله ("&amp;TEXT(J73,"0.000")&amp;")","")))</f>
        <v/>
      </c>
      <c r="G73">
        <f>IF(A73="","",IF(ISNUMBER(A73),IF(A73&lt;=31,"",IF(A73&lt;=3112,IF(DATE(YR,MOD(A73,100),INT(A73/100))&gt;SAT1+7*NW-1,DATE(YR-1,MOD(A73,100),INT(A73/100)),DATE(YR,MOD(A73,100),INT(A73/100))),A73)),IFERROR(DATEVALUE(A73),"")))</f>
        <v/>
      </c>
      <c r="H73">
        <f>IF(G73="","",INT((G73-SAT1)/7)+1)</f>
        <v/>
      </c>
      <c r="I73">
        <f>IF(H73="","",IF(OR(H73&lt;1,H73&gt;NW),"",INDEX(WMON,H73)))</f>
        <v/>
      </c>
      <c r="J73">
        <f>IF(OR(G73="",H73="",B73=""),"",IF(B73="عمر المصري",SUMIFS('ساعات عمر'!$H$6:$H$588,'ساعات عمر'!$A$6:$A$588,"&gt;="&amp;(SAT1+7*(H73-1)),'ساعات عمر'!$A$6:$A$588,"&lt;="&amp;G73),SUMIFS('ساعات عبدالعزيز'!$F$6:$F$588,'ساعات عبدالعزيز'!$A$6:$A$588,"&gt;="&amp;(SAT1+7*(H73-1)),'ساعات عبدالعزيز'!$A$6:$A$588,"&lt;="&amp;G73)))</f>
        <v/>
      </c>
    </row>
    <row r="74">
      <c r="A74" s="48" t="n"/>
      <c r="B74" s="22" t="n"/>
      <c r="C74" s="49" t="n"/>
      <c r="D74" s="50" t="n"/>
      <c r="E74" s="51">
        <f>IF(G74="","",IF(OR(H74&lt;1,H74&gt;NW),"⛔ التاريخ برّا السنة",IF(AND(N(C74)&gt;0,N(J74)&gt;0,C74&gt;ADV_CAP*J74),"⚠️ أكثر من "&amp;TEXT(ADV_CAP,"0%")&amp;" من شغله ("&amp;TEXT(J74,"0.000")&amp;")","")))</f>
        <v/>
      </c>
      <c r="G74">
        <f>IF(A74="","",IF(ISNUMBER(A74),IF(A74&lt;=31,"",IF(A74&lt;=3112,IF(DATE(YR,MOD(A74,100),INT(A74/100))&gt;SAT1+7*NW-1,DATE(YR-1,MOD(A74,100),INT(A74/100)),DATE(YR,MOD(A74,100),INT(A74/100))),A74)),IFERROR(DATEVALUE(A74),"")))</f>
        <v/>
      </c>
      <c r="H74">
        <f>IF(G74="","",INT((G74-SAT1)/7)+1)</f>
        <v/>
      </c>
      <c r="I74">
        <f>IF(H74="","",IF(OR(H74&lt;1,H74&gt;NW),"",INDEX(WMON,H74)))</f>
        <v/>
      </c>
      <c r="J74">
        <f>IF(OR(G74="",H74="",B74=""),"",IF(B74="عمر المصري",SUMIFS('ساعات عمر'!$H$6:$H$588,'ساعات عمر'!$A$6:$A$588,"&gt;="&amp;(SAT1+7*(H74-1)),'ساعات عمر'!$A$6:$A$588,"&lt;="&amp;G74),SUMIFS('ساعات عبدالعزيز'!$F$6:$F$588,'ساعات عبدالعزيز'!$A$6:$A$588,"&gt;="&amp;(SAT1+7*(H74-1)),'ساعات عبدالعزيز'!$A$6:$A$588,"&lt;="&amp;G74)))</f>
        <v/>
      </c>
    </row>
    <row r="75">
      <c r="A75" s="48" t="n"/>
      <c r="B75" s="22" t="n"/>
      <c r="C75" s="49" t="n"/>
      <c r="D75" s="50" t="n"/>
      <c r="E75" s="51">
        <f>IF(G75="","",IF(OR(H75&lt;1,H75&gt;NW),"⛔ التاريخ برّا السنة",IF(AND(N(C75)&gt;0,N(J75)&gt;0,C75&gt;ADV_CAP*J75),"⚠️ أكثر من "&amp;TEXT(ADV_CAP,"0%")&amp;" من شغله ("&amp;TEXT(J75,"0.000")&amp;")","")))</f>
        <v/>
      </c>
      <c r="G75">
        <f>IF(A75="","",IF(ISNUMBER(A75),IF(A75&lt;=31,"",IF(A75&lt;=3112,IF(DATE(YR,MOD(A75,100),INT(A75/100))&gt;SAT1+7*NW-1,DATE(YR-1,MOD(A75,100),INT(A75/100)),DATE(YR,MOD(A75,100),INT(A75/100))),A75)),IFERROR(DATEVALUE(A75),"")))</f>
        <v/>
      </c>
      <c r="H75">
        <f>IF(G75="","",INT((G75-SAT1)/7)+1)</f>
        <v/>
      </c>
      <c r="I75">
        <f>IF(H75="","",IF(OR(H75&lt;1,H75&gt;NW),"",INDEX(WMON,H75)))</f>
        <v/>
      </c>
      <c r="J75">
        <f>IF(OR(G75="",H75="",B75=""),"",IF(B75="عمر المصري",SUMIFS('ساعات عمر'!$H$6:$H$588,'ساعات عمر'!$A$6:$A$588,"&gt;="&amp;(SAT1+7*(H75-1)),'ساعات عمر'!$A$6:$A$588,"&lt;="&amp;G75),SUMIFS('ساعات عبدالعزيز'!$F$6:$F$588,'ساعات عبدالعزيز'!$A$6:$A$588,"&gt;="&amp;(SAT1+7*(H75-1)),'ساعات عبدالعزيز'!$A$6:$A$588,"&lt;="&amp;G75)))</f>
        <v/>
      </c>
    </row>
    <row r="76">
      <c r="A76" s="48" t="n"/>
      <c r="B76" s="22" t="n"/>
      <c r="C76" s="49" t="n"/>
      <c r="D76" s="50" t="n"/>
      <c r="E76" s="51">
        <f>IF(G76="","",IF(OR(H76&lt;1,H76&gt;NW),"⛔ التاريخ برّا السنة",IF(AND(N(C76)&gt;0,N(J76)&gt;0,C76&gt;ADV_CAP*J76),"⚠️ أكثر من "&amp;TEXT(ADV_CAP,"0%")&amp;" من شغله ("&amp;TEXT(J76,"0.000")&amp;")","")))</f>
        <v/>
      </c>
      <c r="G76">
        <f>IF(A76="","",IF(ISNUMBER(A76),IF(A76&lt;=31,"",IF(A76&lt;=3112,IF(DATE(YR,MOD(A76,100),INT(A76/100))&gt;SAT1+7*NW-1,DATE(YR-1,MOD(A76,100),INT(A76/100)),DATE(YR,MOD(A76,100),INT(A76/100))),A76)),IFERROR(DATEVALUE(A76),"")))</f>
        <v/>
      </c>
      <c r="H76">
        <f>IF(G76="","",INT((G76-SAT1)/7)+1)</f>
        <v/>
      </c>
      <c r="I76">
        <f>IF(H76="","",IF(OR(H76&lt;1,H76&gt;NW),"",INDEX(WMON,H76)))</f>
        <v/>
      </c>
      <c r="J76">
        <f>IF(OR(G76="",H76="",B76=""),"",IF(B76="عمر المصري",SUMIFS('ساعات عمر'!$H$6:$H$588,'ساعات عمر'!$A$6:$A$588,"&gt;="&amp;(SAT1+7*(H76-1)),'ساعات عمر'!$A$6:$A$588,"&lt;="&amp;G76),SUMIFS('ساعات عبدالعزيز'!$F$6:$F$588,'ساعات عبدالعزيز'!$A$6:$A$588,"&gt;="&amp;(SAT1+7*(H76-1)),'ساعات عبدالعزيز'!$A$6:$A$588,"&lt;="&amp;G76)))</f>
        <v/>
      </c>
    </row>
    <row r="77">
      <c r="A77" s="48" t="n"/>
      <c r="B77" s="22" t="n"/>
      <c r="C77" s="49" t="n"/>
      <c r="D77" s="50" t="n"/>
      <c r="E77" s="51">
        <f>IF(G77="","",IF(OR(H77&lt;1,H77&gt;NW),"⛔ التاريخ برّا السنة",IF(AND(N(C77)&gt;0,N(J77)&gt;0,C77&gt;ADV_CAP*J77),"⚠️ أكثر من "&amp;TEXT(ADV_CAP,"0%")&amp;" من شغله ("&amp;TEXT(J77,"0.000")&amp;")","")))</f>
        <v/>
      </c>
      <c r="G77">
        <f>IF(A77="","",IF(ISNUMBER(A77),IF(A77&lt;=31,"",IF(A77&lt;=3112,IF(DATE(YR,MOD(A77,100),INT(A77/100))&gt;SAT1+7*NW-1,DATE(YR-1,MOD(A77,100),INT(A77/100)),DATE(YR,MOD(A77,100),INT(A77/100))),A77)),IFERROR(DATEVALUE(A77),"")))</f>
        <v/>
      </c>
      <c r="H77">
        <f>IF(G77="","",INT((G77-SAT1)/7)+1)</f>
        <v/>
      </c>
      <c r="I77">
        <f>IF(H77="","",IF(OR(H77&lt;1,H77&gt;NW),"",INDEX(WMON,H77)))</f>
        <v/>
      </c>
      <c r="J77">
        <f>IF(OR(G77="",H77="",B77=""),"",IF(B77="عمر المصري",SUMIFS('ساعات عمر'!$H$6:$H$588,'ساعات عمر'!$A$6:$A$588,"&gt;="&amp;(SAT1+7*(H77-1)),'ساعات عمر'!$A$6:$A$588,"&lt;="&amp;G77),SUMIFS('ساعات عبدالعزيز'!$F$6:$F$588,'ساعات عبدالعزيز'!$A$6:$A$588,"&gt;="&amp;(SAT1+7*(H77-1)),'ساعات عبدالعزيز'!$A$6:$A$588,"&lt;="&amp;G77)))</f>
        <v/>
      </c>
    </row>
    <row r="78">
      <c r="A78" s="48" t="n"/>
      <c r="B78" s="22" t="n"/>
      <c r="C78" s="49" t="n"/>
      <c r="D78" s="50" t="n"/>
      <c r="E78" s="51">
        <f>IF(G78="","",IF(OR(H78&lt;1,H78&gt;NW),"⛔ التاريخ برّا السنة",IF(AND(N(C78)&gt;0,N(J78)&gt;0,C78&gt;ADV_CAP*J78),"⚠️ أكثر من "&amp;TEXT(ADV_CAP,"0%")&amp;" من شغله ("&amp;TEXT(J78,"0.000")&amp;")","")))</f>
        <v/>
      </c>
      <c r="G78">
        <f>IF(A78="","",IF(ISNUMBER(A78),IF(A78&lt;=31,"",IF(A78&lt;=3112,IF(DATE(YR,MOD(A78,100),INT(A78/100))&gt;SAT1+7*NW-1,DATE(YR-1,MOD(A78,100),INT(A78/100)),DATE(YR,MOD(A78,100),INT(A78/100))),A78)),IFERROR(DATEVALUE(A78),"")))</f>
        <v/>
      </c>
      <c r="H78">
        <f>IF(G78="","",INT((G78-SAT1)/7)+1)</f>
        <v/>
      </c>
      <c r="I78">
        <f>IF(H78="","",IF(OR(H78&lt;1,H78&gt;NW),"",INDEX(WMON,H78)))</f>
        <v/>
      </c>
      <c r="J78">
        <f>IF(OR(G78="",H78="",B78=""),"",IF(B78="عمر المصري",SUMIFS('ساعات عمر'!$H$6:$H$588,'ساعات عمر'!$A$6:$A$588,"&gt;="&amp;(SAT1+7*(H78-1)),'ساعات عمر'!$A$6:$A$588,"&lt;="&amp;G78),SUMIFS('ساعات عبدالعزيز'!$F$6:$F$588,'ساعات عبدالعزيز'!$A$6:$A$588,"&gt;="&amp;(SAT1+7*(H78-1)),'ساعات عبدالعزيز'!$A$6:$A$588,"&lt;="&amp;G78)))</f>
        <v/>
      </c>
    </row>
    <row r="79">
      <c r="A79" s="48" t="n"/>
      <c r="B79" s="22" t="n"/>
      <c r="C79" s="49" t="n"/>
      <c r="D79" s="50" t="n"/>
      <c r="E79" s="51">
        <f>IF(G79="","",IF(OR(H79&lt;1,H79&gt;NW),"⛔ التاريخ برّا السنة",IF(AND(N(C79)&gt;0,N(J79)&gt;0,C79&gt;ADV_CAP*J79),"⚠️ أكثر من "&amp;TEXT(ADV_CAP,"0%")&amp;" من شغله ("&amp;TEXT(J79,"0.000")&amp;")","")))</f>
        <v/>
      </c>
      <c r="G79">
        <f>IF(A79="","",IF(ISNUMBER(A79),IF(A79&lt;=31,"",IF(A79&lt;=3112,IF(DATE(YR,MOD(A79,100),INT(A79/100))&gt;SAT1+7*NW-1,DATE(YR-1,MOD(A79,100),INT(A79/100)),DATE(YR,MOD(A79,100),INT(A79/100))),A79)),IFERROR(DATEVALUE(A79),"")))</f>
        <v/>
      </c>
      <c r="H79">
        <f>IF(G79="","",INT((G79-SAT1)/7)+1)</f>
        <v/>
      </c>
      <c r="I79">
        <f>IF(H79="","",IF(OR(H79&lt;1,H79&gt;NW),"",INDEX(WMON,H79)))</f>
        <v/>
      </c>
      <c r="J79">
        <f>IF(OR(G79="",H79="",B79=""),"",IF(B79="عمر المصري",SUMIFS('ساعات عمر'!$H$6:$H$588,'ساعات عمر'!$A$6:$A$588,"&gt;="&amp;(SAT1+7*(H79-1)),'ساعات عمر'!$A$6:$A$588,"&lt;="&amp;G79),SUMIFS('ساعات عبدالعزيز'!$F$6:$F$588,'ساعات عبدالعزيز'!$A$6:$A$588,"&gt;="&amp;(SAT1+7*(H79-1)),'ساعات عبدالعزيز'!$A$6:$A$588,"&lt;="&amp;G79)))</f>
        <v/>
      </c>
    </row>
    <row r="80">
      <c r="A80" s="48" t="n"/>
      <c r="B80" s="22" t="n"/>
      <c r="C80" s="49" t="n"/>
      <c r="D80" s="50" t="n"/>
      <c r="E80" s="51">
        <f>IF(G80="","",IF(OR(H80&lt;1,H80&gt;NW),"⛔ التاريخ برّا السنة",IF(AND(N(C80)&gt;0,N(J80)&gt;0,C80&gt;ADV_CAP*J80),"⚠️ أكثر من "&amp;TEXT(ADV_CAP,"0%")&amp;" من شغله ("&amp;TEXT(J80,"0.000")&amp;")","")))</f>
        <v/>
      </c>
      <c r="G80">
        <f>IF(A80="","",IF(ISNUMBER(A80),IF(A80&lt;=31,"",IF(A80&lt;=3112,IF(DATE(YR,MOD(A80,100),INT(A80/100))&gt;SAT1+7*NW-1,DATE(YR-1,MOD(A80,100),INT(A80/100)),DATE(YR,MOD(A80,100),INT(A80/100))),A80)),IFERROR(DATEVALUE(A80),"")))</f>
        <v/>
      </c>
      <c r="H80">
        <f>IF(G80="","",INT((G80-SAT1)/7)+1)</f>
        <v/>
      </c>
      <c r="I80">
        <f>IF(H80="","",IF(OR(H80&lt;1,H80&gt;NW),"",INDEX(WMON,H80)))</f>
        <v/>
      </c>
      <c r="J80">
        <f>IF(OR(G80="",H80="",B80=""),"",IF(B80="عمر المصري",SUMIFS('ساعات عمر'!$H$6:$H$588,'ساعات عمر'!$A$6:$A$588,"&gt;="&amp;(SAT1+7*(H80-1)),'ساعات عمر'!$A$6:$A$588,"&lt;="&amp;G80),SUMIFS('ساعات عبدالعزيز'!$F$6:$F$588,'ساعات عبدالعزيز'!$A$6:$A$588,"&gt;="&amp;(SAT1+7*(H80-1)),'ساعات عبدالعزيز'!$A$6:$A$588,"&lt;="&amp;G80)))</f>
        <v/>
      </c>
    </row>
    <row r="81">
      <c r="A81" s="48" t="n"/>
      <c r="B81" s="22" t="n"/>
      <c r="C81" s="49" t="n"/>
      <c r="D81" s="50" t="n"/>
      <c r="E81" s="51">
        <f>IF(G81="","",IF(OR(H81&lt;1,H81&gt;NW),"⛔ التاريخ برّا السنة",IF(AND(N(C81)&gt;0,N(J81)&gt;0,C81&gt;ADV_CAP*J81),"⚠️ أكثر من "&amp;TEXT(ADV_CAP,"0%")&amp;" من شغله ("&amp;TEXT(J81,"0.000")&amp;")","")))</f>
        <v/>
      </c>
      <c r="G81">
        <f>IF(A81="","",IF(ISNUMBER(A81),IF(A81&lt;=31,"",IF(A81&lt;=3112,IF(DATE(YR,MOD(A81,100),INT(A81/100))&gt;SAT1+7*NW-1,DATE(YR-1,MOD(A81,100),INT(A81/100)),DATE(YR,MOD(A81,100),INT(A81/100))),A81)),IFERROR(DATEVALUE(A81),"")))</f>
        <v/>
      </c>
      <c r="H81">
        <f>IF(G81="","",INT((G81-SAT1)/7)+1)</f>
        <v/>
      </c>
      <c r="I81">
        <f>IF(H81="","",IF(OR(H81&lt;1,H81&gt;NW),"",INDEX(WMON,H81)))</f>
        <v/>
      </c>
      <c r="J81">
        <f>IF(OR(G81="",H81="",B81=""),"",IF(B81="عمر المصري",SUMIFS('ساعات عمر'!$H$6:$H$588,'ساعات عمر'!$A$6:$A$588,"&gt;="&amp;(SAT1+7*(H81-1)),'ساعات عمر'!$A$6:$A$588,"&lt;="&amp;G81),SUMIFS('ساعات عبدالعزيز'!$F$6:$F$588,'ساعات عبدالعزيز'!$A$6:$A$588,"&gt;="&amp;(SAT1+7*(H81-1)),'ساعات عبدالعزيز'!$A$6:$A$588,"&lt;="&amp;G81)))</f>
        <v/>
      </c>
    </row>
    <row r="82">
      <c r="A82" s="48" t="n"/>
      <c r="B82" s="22" t="n"/>
      <c r="C82" s="49" t="n"/>
      <c r="D82" s="50" t="n"/>
      <c r="E82" s="51">
        <f>IF(G82="","",IF(OR(H82&lt;1,H82&gt;NW),"⛔ التاريخ برّا السنة",IF(AND(N(C82)&gt;0,N(J82)&gt;0,C82&gt;ADV_CAP*J82),"⚠️ أكثر من "&amp;TEXT(ADV_CAP,"0%")&amp;" من شغله ("&amp;TEXT(J82,"0.000")&amp;")","")))</f>
        <v/>
      </c>
      <c r="G82">
        <f>IF(A82="","",IF(ISNUMBER(A82),IF(A82&lt;=31,"",IF(A82&lt;=3112,IF(DATE(YR,MOD(A82,100),INT(A82/100))&gt;SAT1+7*NW-1,DATE(YR-1,MOD(A82,100),INT(A82/100)),DATE(YR,MOD(A82,100),INT(A82/100))),A82)),IFERROR(DATEVALUE(A82),"")))</f>
        <v/>
      </c>
      <c r="H82">
        <f>IF(G82="","",INT((G82-SAT1)/7)+1)</f>
        <v/>
      </c>
      <c r="I82">
        <f>IF(H82="","",IF(OR(H82&lt;1,H82&gt;NW),"",INDEX(WMON,H82)))</f>
        <v/>
      </c>
      <c r="J82">
        <f>IF(OR(G82="",H82="",B82=""),"",IF(B82="عمر المصري",SUMIFS('ساعات عمر'!$H$6:$H$588,'ساعات عمر'!$A$6:$A$588,"&gt;="&amp;(SAT1+7*(H82-1)),'ساعات عمر'!$A$6:$A$588,"&lt;="&amp;G82),SUMIFS('ساعات عبدالعزيز'!$F$6:$F$588,'ساعات عبدالعزيز'!$A$6:$A$588,"&gt;="&amp;(SAT1+7*(H82-1)),'ساعات عبدالعزيز'!$A$6:$A$588,"&lt;="&amp;G82)))</f>
        <v/>
      </c>
    </row>
    <row r="83">
      <c r="A83" s="48" t="n"/>
      <c r="B83" s="22" t="n"/>
      <c r="C83" s="49" t="n"/>
      <c r="D83" s="50" t="n"/>
      <c r="E83" s="51">
        <f>IF(G83="","",IF(OR(H83&lt;1,H83&gt;NW),"⛔ التاريخ برّا السنة",IF(AND(N(C83)&gt;0,N(J83)&gt;0,C83&gt;ADV_CAP*J83),"⚠️ أكثر من "&amp;TEXT(ADV_CAP,"0%")&amp;" من شغله ("&amp;TEXT(J83,"0.000")&amp;")","")))</f>
        <v/>
      </c>
      <c r="G83">
        <f>IF(A83="","",IF(ISNUMBER(A83),IF(A83&lt;=31,"",IF(A83&lt;=3112,IF(DATE(YR,MOD(A83,100),INT(A83/100))&gt;SAT1+7*NW-1,DATE(YR-1,MOD(A83,100),INT(A83/100)),DATE(YR,MOD(A83,100),INT(A83/100))),A83)),IFERROR(DATEVALUE(A83),"")))</f>
        <v/>
      </c>
      <c r="H83">
        <f>IF(G83="","",INT((G83-SAT1)/7)+1)</f>
        <v/>
      </c>
      <c r="I83">
        <f>IF(H83="","",IF(OR(H83&lt;1,H83&gt;NW),"",INDEX(WMON,H83)))</f>
        <v/>
      </c>
      <c r="J83">
        <f>IF(OR(G83="",H83="",B83=""),"",IF(B83="عمر المصري",SUMIFS('ساعات عمر'!$H$6:$H$588,'ساعات عمر'!$A$6:$A$588,"&gt;="&amp;(SAT1+7*(H83-1)),'ساعات عمر'!$A$6:$A$588,"&lt;="&amp;G83),SUMIFS('ساعات عبدالعزيز'!$F$6:$F$588,'ساعات عبدالعزيز'!$A$6:$A$588,"&gt;="&amp;(SAT1+7*(H83-1)),'ساعات عبدالعزيز'!$A$6:$A$588,"&lt;="&amp;G83)))</f>
        <v/>
      </c>
    </row>
    <row r="84">
      <c r="A84" s="48" t="n"/>
      <c r="B84" s="22" t="n"/>
      <c r="C84" s="49" t="n"/>
      <c r="D84" s="50" t="n"/>
      <c r="E84" s="51">
        <f>IF(G84="","",IF(OR(H84&lt;1,H84&gt;NW),"⛔ التاريخ برّا السنة",IF(AND(N(C84)&gt;0,N(J84)&gt;0,C84&gt;ADV_CAP*J84),"⚠️ أكثر من "&amp;TEXT(ADV_CAP,"0%")&amp;" من شغله ("&amp;TEXT(J84,"0.000")&amp;")","")))</f>
        <v/>
      </c>
      <c r="G84">
        <f>IF(A84="","",IF(ISNUMBER(A84),IF(A84&lt;=31,"",IF(A84&lt;=3112,IF(DATE(YR,MOD(A84,100),INT(A84/100))&gt;SAT1+7*NW-1,DATE(YR-1,MOD(A84,100),INT(A84/100)),DATE(YR,MOD(A84,100),INT(A84/100))),A84)),IFERROR(DATEVALUE(A84),"")))</f>
        <v/>
      </c>
      <c r="H84">
        <f>IF(G84="","",INT((G84-SAT1)/7)+1)</f>
        <v/>
      </c>
      <c r="I84">
        <f>IF(H84="","",IF(OR(H84&lt;1,H84&gt;NW),"",INDEX(WMON,H84)))</f>
        <v/>
      </c>
      <c r="J84">
        <f>IF(OR(G84="",H84="",B84=""),"",IF(B84="عمر المصري",SUMIFS('ساعات عمر'!$H$6:$H$588,'ساعات عمر'!$A$6:$A$588,"&gt;="&amp;(SAT1+7*(H84-1)),'ساعات عمر'!$A$6:$A$588,"&lt;="&amp;G84),SUMIFS('ساعات عبدالعزيز'!$F$6:$F$588,'ساعات عبدالعزيز'!$A$6:$A$588,"&gt;="&amp;(SAT1+7*(H84-1)),'ساعات عبدالعزيز'!$A$6:$A$588,"&lt;="&amp;G84)))</f>
        <v/>
      </c>
    </row>
    <row r="85">
      <c r="A85" s="48" t="n"/>
      <c r="B85" s="22" t="n"/>
      <c r="C85" s="49" t="n"/>
      <c r="D85" s="50" t="n"/>
      <c r="E85" s="51">
        <f>IF(G85="","",IF(OR(H85&lt;1,H85&gt;NW),"⛔ التاريخ برّا السنة",IF(AND(N(C85)&gt;0,N(J85)&gt;0,C85&gt;ADV_CAP*J85),"⚠️ أكثر من "&amp;TEXT(ADV_CAP,"0%")&amp;" من شغله ("&amp;TEXT(J85,"0.000")&amp;")","")))</f>
        <v/>
      </c>
      <c r="G85">
        <f>IF(A85="","",IF(ISNUMBER(A85),IF(A85&lt;=31,"",IF(A85&lt;=3112,IF(DATE(YR,MOD(A85,100),INT(A85/100))&gt;SAT1+7*NW-1,DATE(YR-1,MOD(A85,100),INT(A85/100)),DATE(YR,MOD(A85,100),INT(A85/100))),A85)),IFERROR(DATEVALUE(A85),"")))</f>
        <v/>
      </c>
      <c r="H85">
        <f>IF(G85="","",INT((G85-SAT1)/7)+1)</f>
        <v/>
      </c>
      <c r="I85">
        <f>IF(H85="","",IF(OR(H85&lt;1,H85&gt;NW),"",INDEX(WMON,H85)))</f>
        <v/>
      </c>
      <c r="J85">
        <f>IF(OR(G85="",H85="",B85=""),"",IF(B85="عمر المصري",SUMIFS('ساعات عمر'!$H$6:$H$588,'ساعات عمر'!$A$6:$A$588,"&gt;="&amp;(SAT1+7*(H85-1)),'ساعات عمر'!$A$6:$A$588,"&lt;="&amp;G85),SUMIFS('ساعات عبدالعزيز'!$F$6:$F$588,'ساعات عبدالعزيز'!$A$6:$A$588,"&gt;="&amp;(SAT1+7*(H85-1)),'ساعات عبدالعزيز'!$A$6:$A$588,"&lt;="&amp;G85)))</f>
        <v/>
      </c>
    </row>
    <row r="86">
      <c r="A86" s="48" t="n"/>
      <c r="B86" s="22" t="n"/>
      <c r="C86" s="49" t="n"/>
      <c r="D86" s="50" t="n"/>
      <c r="E86" s="51">
        <f>IF(G86="","",IF(OR(H86&lt;1,H86&gt;NW),"⛔ التاريخ برّا السنة",IF(AND(N(C86)&gt;0,N(J86)&gt;0,C86&gt;ADV_CAP*J86),"⚠️ أكثر من "&amp;TEXT(ADV_CAP,"0%")&amp;" من شغله ("&amp;TEXT(J86,"0.000")&amp;")","")))</f>
        <v/>
      </c>
      <c r="G86">
        <f>IF(A86="","",IF(ISNUMBER(A86),IF(A86&lt;=31,"",IF(A86&lt;=3112,IF(DATE(YR,MOD(A86,100),INT(A86/100))&gt;SAT1+7*NW-1,DATE(YR-1,MOD(A86,100),INT(A86/100)),DATE(YR,MOD(A86,100),INT(A86/100))),A86)),IFERROR(DATEVALUE(A86),"")))</f>
        <v/>
      </c>
      <c r="H86">
        <f>IF(G86="","",INT((G86-SAT1)/7)+1)</f>
        <v/>
      </c>
      <c r="I86">
        <f>IF(H86="","",IF(OR(H86&lt;1,H86&gt;NW),"",INDEX(WMON,H86)))</f>
        <v/>
      </c>
      <c r="J86">
        <f>IF(OR(G86="",H86="",B86=""),"",IF(B86="عمر المصري",SUMIFS('ساعات عمر'!$H$6:$H$588,'ساعات عمر'!$A$6:$A$588,"&gt;="&amp;(SAT1+7*(H86-1)),'ساعات عمر'!$A$6:$A$588,"&lt;="&amp;G86),SUMIFS('ساعات عبدالعزيز'!$F$6:$F$588,'ساعات عبدالعزيز'!$A$6:$A$588,"&gt;="&amp;(SAT1+7*(H86-1)),'ساعات عبدالعزيز'!$A$6:$A$588,"&lt;="&amp;G86)))</f>
        <v/>
      </c>
    </row>
    <row r="87">
      <c r="A87" s="48" t="n"/>
      <c r="B87" s="22" t="n"/>
      <c r="C87" s="49" t="n"/>
      <c r="D87" s="50" t="n"/>
      <c r="E87" s="51">
        <f>IF(G87="","",IF(OR(H87&lt;1,H87&gt;NW),"⛔ التاريخ برّا السنة",IF(AND(N(C87)&gt;0,N(J87)&gt;0,C87&gt;ADV_CAP*J87),"⚠️ أكثر من "&amp;TEXT(ADV_CAP,"0%")&amp;" من شغله ("&amp;TEXT(J87,"0.000")&amp;")","")))</f>
        <v/>
      </c>
      <c r="G87">
        <f>IF(A87="","",IF(ISNUMBER(A87),IF(A87&lt;=31,"",IF(A87&lt;=3112,IF(DATE(YR,MOD(A87,100),INT(A87/100))&gt;SAT1+7*NW-1,DATE(YR-1,MOD(A87,100),INT(A87/100)),DATE(YR,MOD(A87,100),INT(A87/100))),A87)),IFERROR(DATEVALUE(A87),"")))</f>
        <v/>
      </c>
      <c r="H87">
        <f>IF(G87="","",INT((G87-SAT1)/7)+1)</f>
        <v/>
      </c>
      <c r="I87">
        <f>IF(H87="","",IF(OR(H87&lt;1,H87&gt;NW),"",INDEX(WMON,H87)))</f>
        <v/>
      </c>
      <c r="J87">
        <f>IF(OR(G87="",H87="",B87=""),"",IF(B87="عمر المصري",SUMIFS('ساعات عمر'!$H$6:$H$588,'ساعات عمر'!$A$6:$A$588,"&gt;="&amp;(SAT1+7*(H87-1)),'ساعات عمر'!$A$6:$A$588,"&lt;="&amp;G87),SUMIFS('ساعات عبدالعزيز'!$F$6:$F$588,'ساعات عبدالعزيز'!$A$6:$A$588,"&gt;="&amp;(SAT1+7*(H87-1)),'ساعات عبدالعزيز'!$A$6:$A$588,"&lt;="&amp;G87)))</f>
        <v/>
      </c>
    </row>
    <row r="88">
      <c r="A88" s="48" t="n"/>
      <c r="B88" s="22" t="n"/>
      <c r="C88" s="49" t="n"/>
      <c r="D88" s="50" t="n"/>
      <c r="E88" s="51">
        <f>IF(G88="","",IF(OR(H88&lt;1,H88&gt;NW),"⛔ التاريخ برّا السنة",IF(AND(N(C88)&gt;0,N(J88)&gt;0,C88&gt;ADV_CAP*J88),"⚠️ أكثر من "&amp;TEXT(ADV_CAP,"0%")&amp;" من شغله ("&amp;TEXT(J88,"0.000")&amp;")","")))</f>
        <v/>
      </c>
      <c r="G88">
        <f>IF(A88="","",IF(ISNUMBER(A88),IF(A88&lt;=31,"",IF(A88&lt;=3112,IF(DATE(YR,MOD(A88,100),INT(A88/100))&gt;SAT1+7*NW-1,DATE(YR-1,MOD(A88,100),INT(A88/100)),DATE(YR,MOD(A88,100),INT(A88/100))),A88)),IFERROR(DATEVALUE(A88),"")))</f>
        <v/>
      </c>
      <c r="H88">
        <f>IF(G88="","",INT((G88-SAT1)/7)+1)</f>
        <v/>
      </c>
      <c r="I88">
        <f>IF(H88="","",IF(OR(H88&lt;1,H88&gt;NW),"",INDEX(WMON,H88)))</f>
        <v/>
      </c>
      <c r="J88">
        <f>IF(OR(G88="",H88="",B88=""),"",IF(B88="عمر المصري",SUMIFS('ساعات عمر'!$H$6:$H$588,'ساعات عمر'!$A$6:$A$588,"&gt;="&amp;(SAT1+7*(H88-1)),'ساعات عمر'!$A$6:$A$588,"&lt;="&amp;G88),SUMIFS('ساعات عبدالعزيز'!$F$6:$F$588,'ساعات عبدالعزيز'!$A$6:$A$588,"&gt;="&amp;(SAT1+7*(H88-1)),'ساعات عبدالعزيز'!$A$6:$A$588,"&lt;="&amp;G88)))</f>
        <v/>
      </c>
    </row>
    <row r="89">
      <c r="A89" s="48" t="n"/>
      <c r="B89" s="22" t="n"/>
      <c r="C89" s="49" t="n"/>
      <c r="D89" s="50" t="n"/>
      <c r="E89" s="51">
        <f>IF(G89="","",IF(OR(H89&lt;1,H89&gt;NW),"⛔ التاريخ برّا السنة",IF(AND(N(C89)&gt;0,N(J89)&gt;0,C89&gt;ADV_CAP*J89),"⚠️ أكثر من "&amp;TEXT(ADV_CAP,"0%")&amp;" من شغله ("&amp;TEXT(J89,"0.000")&amp;")","")))</f>
        <v/>
      </c>
      <c r="G89">
        <f>IF(A89="","",IF(ISNUMBER(A89),IF(A89&lt;=31,"",IF(A89&lt;=3112,IF(DATE(YR,MOD(A89,100),INT(A89/100))&gt;SAT1+7*NW-1,DATE(YR-1,MOD(A89,100),INT(A89/100)),DATE(YR,MOD(A89,100),INT(A89/100))),A89)),IFERROR(DATEVALUE(A89),"")))</f>
        <v/>
      </c>
      <c r="H89">
        <f>IF(G89="","",INT((G89-SAT1)/7)+1)</f>
        <v/>
      </c>
      <c r="I89">
        <f>IF(H89="","",IF(OR(H89&lt;1,H89&gt;NW),"",INDEX(WMON,H89)))</f>
        <v/>
      </c>
      <c r="J89">
        <f>IF(OR(G89="",H89="",B89=""),"",IF(B89="عمر المصري",SUMIFS('ساعات عمر'!$H$6:$H$588,'ساعات عمر'!$A$6:$A$588,"&gt;="&amp;(SAT1+7*(H89-1)),'ساعات عمر'!$A$6:$A$588,"&lt;="&amp;G89),SUMIFS('ساعات عبدالعزيز'!$F$6:$F$588,'ساعات عبدالعزيز'!$A$6:$A$588,"&gt;="&amp;(SAT1+7*(H89-1)),'ساعات عبدالعزيز'!$A$6:$A$588,"&lt;="&amp;G89)))</f>
        <v/>
      </c>
    </row>
    <row r="90">
      <c r="A90" s="48" t="n"/>
      <c r="B90" s="22" t="n"/>
      <c r="C90" s="49" t="n"/>
      <c r="D90" s="50" t="n"/>
      <c r="E90" s="51">
        <f>IF(G90="","",IF(OR(H90&lt;1,H90&gt;NW),"⛔ التاريخ برّا السنة",IF(AND(N(C90)&gt;0,N(J90)&gt;0,C90&gt;ADV_CAP*J90),"⚠️ أكثر من "&amp;TEXT(ADV_CAP,"0%")&amp;" من شغله ("&amp;TEXT(J90,"0.000")&amp;")","")))</f>
        <v/>
      </c>
      <c r="G90">
        <f>IF(A90="","",IF(ISNUMBER(A90),IF(A90&lt;=31,"",IF(A90&lt;=3112,IF(DATE(YR,MOD(A90,100),INT(A90/100))&gt;SAT1+7*NW-1,DATE(YR-1,MOD(A90,100),INT(A90/100)),DATE(YR,MOD(A90,100),INT(A90/100))),A90)),IFERROR(DATEVALUE(A90),"")))</f>
        <v/>
      </c>
      <c r="H90">
        <f>IF(G90="","",INT((G90-SAT1)/7)+1)</f>
        <v/>
      </c>
      <c r="I90">
        <f>IF(H90="","",IF(OR(H90&lt;1,H90&gt;NW),"",INDEX(WMON,H90)))</f>
        <v/>
      </c>
      <c r="J90">
        <f>IF(OR(G90="",H90="",B90=""),"",IF(B90="عمر المصري",SUMIFS('ساعات عمر'!$H$6:$H$588,'ساعات عمر'!$A$6:$A$588,"&gt;="&amp;(SAT1+7*(H90-1)),'ساعات عمر'!$A$6:$A$588,"&lt;="&amp;G90),SUMIFS('ساعات عبدالعزيز'!$F$6:$F$588,'ساعات عبدالعزيز'!$A$6:$A$588,"&gt;="&amp;(SAT1+7*(H90-1)),'ساعات عبدالعزيز'!$A$6:$A$588,"&lt;="&amp;G90)))</f>
        <v/>
      </c>
    </row>
    <row r="91">
      <c r="A91" s="48" t="n"/>
      <c r="B91" s="22" t="n"/>
      <c r="C91" s="49" t="n"/>
      <c r="D91" s="50" t="n"/>
      <c r="E91" s="51">
        <f>IF(G91="","",IF(OR(H91&lt;1,H91&gt;NW),"⛔ التاريخ برّا السنة",IF(AND(N(C91)&gt;0,N(J91)&gt;0,C91&gt;ADV_CAP*J91),"⚠️ أكثر من "&amp;TEXT(ADV_CAP,"0%")&amp;" من شغله ("&amp;TEXT(J91,"0.000")&amp;")","")))</f>
        <v/>
      </c>
      <c r="G91">
        <f>IF(A91="","",IF(ISNUMBER(A91),IF(A91&lt;=31,"",IF(A91&lt;=3112,IF(DATE(YR,MOD(A91,100),INT(A91/100))&gt;SAT1+7*NW-1,DATE(YR-1,MOD(A91,100),INT(A91/100)),DATE(YR,MOD(A91,100),INT(A91/100))),A91)),IFERROR(DATEVALUE(A91),"")))</f>
        <v/>
      </c>
      <c r="H91">
        <f>IF(G91="","",INT((G91-SAT1)/7)+1)</f>
        <v/>
      </c>
      <c r="I91">
        <f>IF(H91="","",IF(OR(H91&lt;1,H91&gt;NW),"",INDEX(WMON,H91)))</f>
        <v/>
      </c>
      <c r="J91">
        <f>IF(OR(G91="",H91="",B91=""),"",IF(B91="عمر المصري",SUMIFS('ساعات عمر'!$H$6:$H$588,'ساعات عمر'!$A$6:$A$588,"&gt;="&amp;(SAT1+7*(H91-1)),'ساعات عمر'!$A$6:$A$588,"&lt;="&amp;G91),SUMIFS('ساعات عبدالعزيز'!$F$6:$F$588,'ساعات عبدالعزيز'!$A$6:$A$588,"&gt;="&amp;(SAT1+7*(H91-1)),'ساعات عبدالعزيز'!$A$6:$A$588,"&lt;="&amp;G91)))</f>
        <v/>
      </c>
    </row>
    <row r="92">
      <c r="A92" s="48" t="n"/>
      <c r="B92" s="22" t="n"/>
      <c r="C92" s="49" t="n"/>
      <c r="D92" s="50" t="n"/>
      <c r="E92" s="51">
        <f>IF(G92="","",IF(OR(H92&lt;1,H92&gt;NW),"⛔ التاريخ برّا السنة",IF(AND(N(C92)&gt;0,N(J92)&gt;0,C92&gt;ADV_CAP*J92),"⚠️ أكثر من "&amp;TEXT(ADV_CAP,"0%")&amp;" من شغله ("&amp;TEXT(J92,"0.000")&amp;")","")))</f>
        <v/>
      </c>
      <c r="G92">
        <f>IF(A92="","",IF(ISNUMBER(A92),IF(A92&lt;=31,"",IF(A92&lt;=3112,IF(DATE(YR,MOD(A92,100),INT(A92/100))&gt;SAT1+7*NW-1,DATE(YR-1,MOD(A92,100),INT(A92/100)),DATE(YR,MOD(A92,100),INT(A92/100))),A92)),IFERROR(DATEVALUE(A92),"")))</f>
        <v/>
      </c>
      <c r="H92">
        <f>IF(G92="","",INT((G92-SAT1)/7)+1)</f>
        <v/>
      </c>
      <c r="I92">
        <f>IF(H92="","",IF(OR(H92&lt;1,H92&gt;NW),"",INDEX(WMON,H92)))</f>
        <v/>
      </c>
      <c r="J92">
        <f>IF(OR(G92="",H92="",B92=""),"",IF(B92="عمر المصري",SUMIFS('ساعات عمر'!$H$6:$H$588,'ساعات عمر'!$A$6:$A$588,"&gt;="&amp;(SAT1+7*(H92-1)),'ساعات عمر'!$A$6:$A$588,"&lt;="&amp;G92),SUMIFS('ساعات عبدالعزيز'!$F$6:$F$588,'ساعات عبدالعزيز'!$A$6:$A$588,"&gt;="&amp;(SAT1+7*(H92-1)),'ساعات عبدالعزيز'!$A$6:$A$588,"&lt;="&amp;G92)))</f>
        <v/>
      </c>
    </row>
    <row r="93">
      <c r="A93" s="48" t="n"/>
      <c r="B93" s="22" t="n"/>
      <c r="C93" s="49" t="n"/>
      <c r="D93" s="50" t="n"/>
      <c r="E93" s="51">
        <f>IF(G93="","",IF(OR(H93&lt;1,H93&gt;NW),"⛔ التاريخ برّا السنة",IF(AND(N(C93)&gt;0,N(J93)&gt;0,C93&gt;ADV_CAP*J93),"⚠️ أكثر من "&amp;TEXT(ADV_CAP,"0%")&amp;" من شغله ("&amp;TEXT(J93,"0.000")&amp;")","")))</f>
        <v/>
      </c>
      <c r="G93">
        <f>IF(A93="","",IF(ISNUMBER(A93),IF(A93&lt;=31,"",IF(A93&lt;=3112,IF(DATE(YR,MOD(A93,100),INT(A93/100))&gt;SAT1+7*NW-1,DATE(YR-1,MOD(A93,100),INT(A93/100)),DATE(YR,MOD(A93,100),INT(A93/100))),A93)),IFERROR(DATEVALUE(A93),"")))</f>
        <v/>
      </c>
      <c r="H93">
        <f>IF(G93="","",INT((G93-SAT1)/7)+1)</f>
        <v/>
      </c>
      <c r="I93">
        <f>IF(H93="","",IF(OR(H93&lt;1,H93&gt;NW),"",INDEX(WMON,H93)))</f>
        <v/>
      </c>
      <c r="J93">
        <f>IF(OR(G93="",H93="",B93=""),"",IF(B93="عمر المصري",SUMIFS('ساعات عمر'!$H$6:$H$588,'ساعات عمر'!$A$6:$A$588,"&gt;="&amp;(SAT1+7*(H93-1)),'ساعات عمر'!$A$6:$A$588,"&lt;="&amp;G93),SUMIFS('ساعات عبدالعزيز'!$F$6:$F$588,'ساعات عبدالعزيز'!$A$6:$A$588,"&gt;="&amp;(SAT1+7*(H93-1)),'ساعات عبدالعزيز'!$A$6:$A$588,"&lt;="&amp;G93)))</f>
        <v/>
      </c>
    </row>
    <row r="94">
      <c r="A94" s="48" t="n"/>
      <c r="B94" s="22" t="n"/>
      <c r="C94" s="49" t="n"/>
      <c r="D94" s="50" t="n"/>
      <c r="E94" s="51">
        <f>IF(G94="","",IF(OR(H94&lt;1,H94&gt;NW),"⛔ التاريخ برّا السنة",IF(AND(N(C94)&gt;0,N(J94)&gt;0,C94&gt;ADV_CAP*J94),"⚠️ أكثر من "&amp;TEXT(ADV_CAP,"0%")&amp;" من شغله ("&amp;TEXT(J94,"0.000")&amp;")","")))</f>
        <v/>
      </c>
      <c r="G94">
        <f>IF(A94="","",IF(ISNUMBER(A94),IF(A94&lt;=31,"",IF(A94&lt;=3112,IF(DATE(YR,MOD(A94,100),INT(A94/100))&gt;SAT1+7*NW-1,DATE(YR-1,MOD(A94,100),INT(A94/100)),DATE(YR,MOD(A94,100),INT(A94/100))),A94)),IFERROR(DATEVALUE(A94),"")))</f>
        <v/>
      </c>
      <c r="H94">
        <f>IF(G94="","",INT((G94-SAT1)/7)+1)</f>
        <v/>
      </c>
      <c r="I94">
        <f>IF(H94="","",IF(OR(H94&lt;1,H94&gt;NW),"",INDEX(WMON,H94)))</f>
        <v/>
      </c>
      <c r="J94">
        <f>IF(OR(G94="",H94="",B94=""),"",IF(B94="عمر المصري",SUMIFS('ساعات عمر'!$H$6:$H$588,'ساعات عمر'!$A$6:$A$588,"&gt;="&amp;(SAT1+7*(H94-1)),'ساعات عمر'!$A$6:$A$588,"&lt;="&amp;G94),SUMIFS('ساعات عبدالعزيز'!$F$6:$F$588,'ساعات عبدالعزيز'!$A$6:$A$588,"&gt;="&amp;(SAT1+7*(H94-1)),'ساعات عبدالعزيز'!$A$6:$A$588,"&lt;="&amp;G94)))</f>
        <v/>
      </c>
    </row>
    <row r="95">
      <c r="A95" s="48" t="n"/>
      <c r="B95" s="22" t="n"/>
      <c r="C95" s="49" t="n"/>
      <c r="D95" s="50" t="n"/>
      <c r="E95" s="51">
        <f>IF(G95="","",IF(OR(H95&lt;1,H95&gt;NW),"⛔ التاريخ برّا السنة",IF(AND(N(C95)&gt;0,N(J95)&gt;0,C95&gt;ADV_CAP*J95),"⚠️ أكثر من "&amp;TEXT(ADV_CAP,"0%")&amp;" من شغله ("&amp;TEXT(J95,"0.000")&amp;")","")))</f>
        <v/>
      </c>
      <c r="G95">
        <f>IF(A95="","",IF(ISNUMBER(A95),IF(A95&lt;=31,"",IF(A95&lt;=3112,IF(DATE(YR,MOD(A95,100),INT(A95/100))&gt;SAT1+7*NW-1,DATE(YR-1,MOD(A95,100),INT(A95/100)),DATE(YR,MOD(A95,100),INT(A95/100))),A95)),IFERROR(DATEVALUE(A95),"")))</f>
        <v/>
      </c>
      <c r="H95">
        <f>IF(G95="","",INT((G95-SAT1)/7)+1)</f>
        <v/>
      </c>
      <c r="I95">
        <f>IF(H95="","",IF(OR(H95&lt;1,H95&gt;NW),"",INDEX(WMON,H95)))</f>
        <v/>
      </c>
      <c r="J95">
        <f>IF(OR(G95="",H95="",B95=""),"",IF(B95="عمر المصري",SUMIFS('ساعات عمر'!$H$6:$H$588,'ساعات عمر'!$A$6:$A$588,"&gt;="&amp;(SAT1+7*(H95-1)),'ساعات عمر'!$A$6:$A$588,"&lt;="&amp;G95),SUMIFS('ساعات عبدالعزيز'!$F$6:$F$588,'ساعات عبدالعزيز'!$A$6:$A$588,"&gt;="&amp;(SAT1+7*(H95-1)),'ساعات عبدالعزيز'!$A$6:$A$588,"&lt;="&amp;G95)))</f>
        <v/>
      </c>
    </row>
    <row r="96">
      <c r="A96" s="48" t="n"/>
      <c r="B96" s="22" t="n"/>
      <c r="C96" s="49" t="n"/>
      <c r="D96" s="50" t="n"/>
      <c r="E96" s="51">
        <f>IF(G96="","",IF(OR(H96&lt;1,H96&gt;NW),"⛔ التاريخ برّا السنة",IF(AND(N(C96)&gt;0,N(J96)&gt;0,C96&gt;ADV_CAP*J96),"⚠️ أكثر من "&amp;TEXT(ADV_CAP,"0%")&amp;" من شغله ("&amp;TEXT(J96,"0.000")&amp;")","")))</f>
        <v/>
      </c>
      <c r="G96">
        <f>IF(A96="","",IF(ISNUMBER(A96),IF(A96&lt;=31,"",IF(A96&lt;=3112,IF(DATE(YR,MOD(A96,100),INT(A96/100))&gt;SAT1+7*NW-1,DATE(YR-1,MOD(A96,100),INT(A96/100)),DATE(YR,MOD(A96,100),INT(A96/100))),A96)),IFERROR(DATEVALUE(A96),"")))</f>
        <v/>
      </c>
      <c r="H96">
        <f>IF(G96="","",INT((G96-SAT1)/7)+1)</f>
        <v/>
      </c>
      <c r="I96">
        <f>IF(H96="","",IF(OR(H96&lt;1,H96&gt;NW),"",INDEX(WMON,H96)))</f>
        <v/>
      </c>
      <c r="J96">
        <f>IF(OR(G96="",H96="",B96=""),"",IF(B96="عمر المصري",SUMIFS('ساعات عمر'!$H$6:$H$588,'ساعات عمر'!$A$6:$A$588,"&gt;="&amp;(SAT1+7*(H96-1)),'ساعات عمر'!$A$6:$A$588,"&lt;="&amp;G96),SUMIFS('ساعات عبدالعزيز'!$F$6:$F$588,'ساعات عبدالعزيز'!$A$6:$A$588,"&gt;="&amp;(SAT1+7*(H96-1)),'ساعات عبدالعزيز'!$A$6:$A$588,"&lt;="&amp;G96)))</f>
        <v/>
      </c>
    </row>
    <row r="97">
      <c r="A97" s="48" t="n"/>
      <c r="B97" s="22" t="n"/>
      <c r="C97" s="49" t="n"/>
      <c r="D97" s="50" t="n"/>
      <c r="E97" s="51">
        <f>IF(G97="","",IF(OR(H97&lt;1,H97&gt;NW),"⛔ التاريخ برّا السنة",IF(AND(N(C97)&gt;0,N(J97)&gt;0,C97&gt;ADV_CAP*J97),"⚠️ أكثر من "&amp;TEXT(ADV_CAP,"0%")&amp;" من شغله ("&amp;TEXT(J97,"0.000")&amp;")","")))</f>
        <v/>
      </c>
      <c r="G97">
        <f>IF(A97="","",IF(ISNUMBER(A97),IF(A97&lt;=31,"",IF(A97&lt;=3112,IF(DATE(YR,MOD(A97,100),INT(A97/100))&gt;SAT1+7*NW-1,DATE(YR-1,MOD(A97,100),INT(A97/100)),DATE(YR,MOD(A97,100),INT(A97/100))),A97)),IFERROR(DATEVALUE(A97),"")))</f>
        <v/>
      </c>
      <c r="H97">
        <f>IF(G97="","",INT((G97-SAT1)/7)+1)</f>
        <v/>
      </c>
      <c r="I97">
        <f>IF(H97="","",IF(OR(H97&lt;1,H97&gt;NW),"",INDEX(WMON,H97)))</f>
        <v/>
      </c>
      <c r="J97">
        <f>IF(OR(G97="",H97="",B97=""),"",IF(B97="عمر المصري",SUMIFS('ساعات عمر'!$H$6:$H$588,'ساعات عمر'!$A$6:$A$588,"&gt;="&amp;(SAT1+7*(H97-1)),'ساعات عمر'!$A$6:$A$588,"&lt;="&amp;G97),SUMIFS('ساعات عبدالعزيز'!$F$6:$F$588,'ساعات عبدالعزيز'!$A$6:$A$588,"&gt;="&amp;(SAT1+7*(H97-1)),'ساعات عبدالعزيز'!$A$6:$A$588,"&lt;="&amp;G97)))</f>
        <v/>
      </c>
    </row>
    <row r="98">
      <c r="A98" s="48" t="n"/>
      <c r="B98" s="22" t="n"/>
      <c r="C98" s="49" t="n"/>
      <c r="D98" s="50" t="n"/>
      <c r="E98" s="51">
        <f>IF(G98="","",IF(OR(H98&lt;1,H98&gt;NW),"⛔ التاريخ برّا السنة",IF(AND(N(C98)&gt;0,N(J98)&gt;0,C98&gt;ADV_CAP*J98),"⚠️ أكثر من "&amp;TEXT(ADV_CAP,"0%")&amp;" من شغله ("&amp;TEXT(J98,"0.000")&amp;")","")))</f>
        <v/>
      </c>
      <c r="G98">
        <f>IF(A98="","",IF(ISNUMBER(A98),IF(A98&lt;=31,"",IF(A98&lt;=3112,IF(DATE(YR,MOD(A98,100),INT(A98/100))&gt;SAT1+7*NW-1,DATE(YR-1,MOD(A98,100),INT(A98/100)),DATE(YR,MOD(A98,100),INT(A98/100))),A98)),IFERROR(DATEVALUE(A98),"")))</f>
        <v/>
      </c>
      <c r="H98">
        <f>IF(G98="","",INT((G98-SAT1)/7)+1)</f>
        <v/>
      </c>
      <c r="I98">
        <f>IF(H98="","",IF(OR(H98&lt;1,H98&gt;NW),"",INDEX(WMON,H98)))</f>
        <v/>
      </c>
      <c r="J98">
        <f>IF(OR(G98="",H98="",B98=""),"",IF(B98="عمر المصري",SUMIFS('ساعات عمر'!$H$6:$H$588,'ساعات عمر'!$A$6:$A$588,"&gt;="&amp;(SAT1+7*(H98-1)),'ساعات عمر'!$A$6:$A$588,"&lt;="&amp;G98),SUMIFS('ساعات عبدالعزيز'!$F$6:$F$588,'ساعات عبدالعزيز'!$A$6:$A$588,"&gt;="&amp;(SAT1+7*(H98-1)),'ساعات عبدالعزيز'!$A$6:$A$588,"&lt;="&amp;G98)))</f>
        <v/>
      </c>
    </row>
    <row r="99">
      <c r="A99" s="48" t="n"/>
      <c r="B99" s="22" t="n"/>
      <c r="C99" s="49" t="n"/>
      <c r="D99" s="50" t="n"/>
      <c r="E99" s="51">
        <f>IF(G99="","",IF(OR(H99&lt;1,H99&gt;NW),"⛔ التاريخ برّا السنة",IF(AND(N(C99)&gt;0,N(J99)&gt;0,C99&gt;ADV_CAP*J99),"⚠️ أكثر من "&amp;TEXT(ADV_CAP,"0%")&amp;" من شغله ("&amp;TEXT(J99,"0.000")&amp;")","")))</f>
        <v/>
      </c>
      <c r="G99">
        <f>IF(A99="","",IF(ISNUMBER(A99),IF(A99&lt;=31,"",IF(A99&lt;=3112,IF(DATE(YR,MOD(A99,100),INT(A99/100))&gt;SAT1+7*NW-1,DATE(YR-1,MOD(A99,100),INT(A99/100)),DATE(YR,MOD(A99,100),INT(A99/100))),A99)),IFERROR(DATEVALUE(A99),"")))</f>
        <v/>
      </c>
      <c r="H99">
        <f>IF(G99="","",INT((G99-SAT1)/7)+1)</f>
        <v/>
      </c>
      <c r="I99">
        <f>IF(H99="","",IF(OR(H99&lt;1,H99&gt;NW),"",INDEX(WMON,H99)))</f>
        <v/>
      </c>
      <c r="J99">
        <f>IF(OR(G99="",H99="",B99=""),"",IF(B99="عمر المصري",SUMIFS('ساعات عمر'!$H$6:$H$588,'ساعات عمر'!$A$6:$A$588,"&gt;="&amp;(SAT1+7*(H99-1)),'ساعات عمر'!$A$6:$A$588,"&lt;="&amp;G99),SUMIFS('ساعات عبدالعزيز'!$F$6:$F$588,'ساعات عبدالعزيز'!$A$6:$A$588,"&gt;="&amp;(SAT1+7*(H99-1)),'ساعات عبدالعزيز'!$A$6:$A$588,"&lt;="&amp;G99)))</f>
        <v/>
      </c>
    </row>
    <row r="100">
      <c r="A100" s="48" t="n"/>
      <c r="B100" s="22" t="n"/>
      <c r="C100" s="49" t="n"/>
      <c r="D100" s="50" t="n"/>
      <c r="E100" s="51">
        <f>IF(G100="","",IF(OR(H100&lt;1,H100&gt;NW),"⛔ التاريخ برّا السنة",IF(AND(N(C100)&gt;0,N(J100)&gt;0,C100&gt;ADV_CAP*J100),"⚠️ أكثر من "&amp;TEXT(ADV_CAP,"0%")&amp;" من شغله ("&amp;TEXT(J100,"0.000")&amp;")","")))</f>
        <v/>
      </c>
      <c r="G100">
        <f>IF(A100="","",IF(ISNUMBER(A100),IF(A100&lt;=31,"",IF(A100&lt;=3112,IF(DATE(YR,MOD(A100,100),INT(A100/100))&gt;SAT1+7*NW-1,DATE(YR-1,MOD(A100,100),INT(A100/100)),DATE(YR,MOD(A100,100),INT(A100/100))),A100)),IFERROR(DATEVALUE(A100),"")))</f>
        <v/>
      </c>
      <c r="H100">
        <f>IF(G100="","",INT((G100-SAT1)/7)+1)</f>
        <v/>
      </c>
      <c r="I100">
        <f>IF(H100="","",IF(OR(H100&lt;1,H100&gt;NW),"",INDEX(WMON,H100)))</f>
        <v/>
      </c>
      <c r="J100">
        <f>IF(OR(G100="",H100="",B100=""),"",IF(B100="عمر المصري",SUMIFS('ساعات عمر'!$H$6:$H$588,'ساعات عمر'!$A$6:$A$588,"&gt;="&amp;(SAT1+7*(H100-1)),'ساعات عمر'!$A$6:$A$588,"&lt;="&amp;G100),SUMIFS('ساعات عبدالعزيز'!$F$6:$F$588,'ساعات عبدالعزيز'!$A$6:$A$588,"&gt;="&amp;(SAT1+7*(H100-1)),'ساعات عبدالعزيز'!$A$6:$A$588,"&lt;="&amp;G100)))</f>
        <v/>
      </c>
    </row>
    <row r="101">
      <c r="A101" s="48" t="n"/>
      <c r="B101" s="22" t="n"/>
      <c r="C101" s="49" t="n"/>
      <c r="D101" s="50" t="n"/>
      <c r="E101" s="51">
        <f>IF(G101="","",IF(OR(H101&lt;1,H101&gt;NW),"⛔ التاريخ برّا السنة",IF(AND(N(C101)&gt;0,N(J101)&gt;0,C101&gt;ADV_CAP*J101),"⚠️ أكثر من "&amp;TEXT(ADV_CAP,"0%")&amp;" من شغله ("&amp;TEXT(J101,"0.000")&amp;")","")))</f>
        <v/>
      </c>
      <c r="G101">
        <f>IF(A101="","",IF(ISNUMBER(A101),IF(A101&lt;=31,"",IF(A101&lt;=3112,IF(DATE(YR,MOD(A101,100),INT(A101/100))&gt;SAT1+7*NW-1,DATE(YR-1,MOD(A101,100),INT(A101/100)),DATE(YR,MOD(A101,100),INT(A101/100))),A101)),IFERROR(DATEVALUE(A101),"")))</f>
        <v/>
      </c>
      <c r="H101">
        <f>IF(G101="","",INT((G101-SAT1)/7)+1)</f>
        <v/>
      </c>
      <c r="I101">
        <f>IF(H101="","",IF(OR(H101&lt;1,H101&gt;NW),"",INDEX(WMON,H101)))</f>
        <v/>
      </c>
      <c r="J101">
        <f>IF(OR(G101="",H101="",B101=""),"",IF(B101="عمر المصري",SUMIFS('ساعات عمر'!$H$6:$H$588,'ساعات عمر'!$A$6:$A$588,"&gt;="&amp;(SAT1+7*(H101-1)),'ساعات عمر'!$A$6:$A$588,"&lt;="&amp;G101),SUMIFS('ساعات عبدالعزيز'!$F$6:$F$588,'ساعات عبدالعزيز'!$A$6:$A$588,"&gt;="&amp;(SAT1+7*(H101-1)),'ساعات عبدالعزيز'!$A$6:$A$588,"&lt;="&amp;G101)))</f>
        <v/>
      </c>
    </row>
    <row r="102">
      <c r="A102" s="48" t="n"/>
      <c r="B102" s="22" t="n"/>
      <c r="C102" s="49" t="n"/>
      <c r="D102" s="50" t="n"/>
      <c r="E102" s="51">
        <f>IF(G102="","",IF(OR(H102&lt;1,H102&gt;NW),"⛔ التاريخ برّا السنة",IF(AND(N(C102)&gt;0,N(J102)&gt;0,C102&gt;ADV_CAP*J102),"⚠️ أكثر من "&amp;TEXT(ADV_CAP,"0%")&amp;" من شغله ("&amp;TEXT(J102,"0.000")&amp;")","")))</f>
        <v/>
      </c>
      <c r="G102">
        <f>IF(A102="","",IF(ISNUMBER(A102),IF(A102&lt;=31,"",IF(A102&lt;=3112,IF(DATE(YR,MOD(A102,100),INT(A102/100))&gt;SAT1+7*NW-1,DATE(YR-1,MOD(A102,100),INT(A102/100)),DATE(YR,MOD(A102,100),INT(A102/100))),A102)),IFERROR(DATEVALUE(A102),"")))</f>
        <v/>
      </c>
      <c r="H102">
        <f>IF(G102="","",INT((G102-SAT1)/7)+1)</f>
        <v/>
      </c>
      <c r="I102">
        <f>IF(H102="","",IF(OR(H102&lt;1,H102&gt;NW),"",INDEX(WMON,H102)))</f>
        <v/>
      </c>
      <c r="J102">
        <f>IF(OR(G102="",H102="",B102=""),"",IF(B102="عمر المصري",SUMIFS('ساعات عمر'!$H$6:$H$588,'ساعات عمر'!$A$6:$A$588,"&gt;="&amp;(SAT1+7*(H102-1)),'ساعات عمر'!$A$6:$A$588,"&lt;="&amp;G102),SUMIFS('ساعات عبدالعزيز'!$F$6:$F$588,'ساعات عبدالعزيز'!$A$6:$A$588,"&gt;="&amp;(SAT1+7*(H102-1)),'ساعات عبدالعزيز'!$A$6:$A$588,"&lt;="&amp;G102)))</f>
        <v/>
      </c>
    </row>
    <row r="103">
      <c r="A103" s="48" t="n"/>
      <c r="B103" s="22" t="n"/>
      <c r="C103" s="49" t="n"/>
      <c r="D103" s="50" t="n"/>
      <c r="E103" s="51">
        <f>IF(G103="","",IF(OR(H103&lt;1,H103&gt;NW),"⛔ التاريخ برّا السنة",IF(AND(N(C103)&gt;0,N(J103)&gt;0,C103&gt;ADV_CAP*J103),"⚠️ أكثر من "&amp;TEXT(ADV_CAP,"0%")&amp;" من شغله ("&amp;TEXT(J103,"0.000")&amp;")","")))</f>
        <v/>
      </c>
      <c r="G103">
        <f>IF(A103="","",IF(ISNUMBER(A103),IF(A103&lt;=31,"",IF(A103&lt;=3112,IF(DATE(YR,MOD(A103,100),INT(A103/100))&gt;SAT1+7*NW-1,DATE(YR-1,MOD(A103,100),INT(A103/100)),DATE(YR,MOD(A103,100),INT(A103/100))),A103)),IFERROR(DATEVALUE(A103),"")))</f>
        <v/>
      </c>
      <c r="H103">
        <f>IF(G103="","",INT((G103-SAT1)/7)+1)</f>
        <v/>
      </c>
      <c r="I103">
        <f>IF(H103="","",IF(OR(H103&lt;1,H103&gt;NW),"",INDEX(WMON,H103)))</f>
        <v/>
      </c>
      <c r="J103">
        <f>IF(OR(G103="",H103="",B103=""),"",IF(B103="عمر المصري",SUMIFS('ساعات عمر'!$H$6:$H$588,'ساعات عمر'!$A$6:$A$588,"&gt;="&amp;(SAT1+7*(H103-1)),'ساعات عمر'!$A$6:$A$588,"&lt;="&amp;G103),SUMIFS('ساعات عبدالعزيز'!$F$6:$F$588,'ساعات عبدالعزيز'!$A$6:$A$588,"&gt;="&amp;(SAT1+7*(H103-1)),'ساعات عبدالعزيز'!$A$6:$A$588,"&lt;="&amp;G103)))</f>
        <v/>
      </c>
    </row>
    <row r="104">
      <c r="A104" s="48" t="n"/>
      <c r="B104" s="22" t="n"/>
      <c r="C104" s="49" t="n"/>
      <c r="D104" s="50" t="n"/>
      <c r="E104" s="51">
        <f>IF(G104="","",IF(OR(H104&lt;1,H104&gt;NW),"⛔ التاريخ برّا السنة",IF(AND(N(C104)&gt;0,N(J104)&gt;0,C104&gt;ADV_CAP*J104),"⚠️ أكثر من "&amp;TEXT(ADV_CAP,"0%")&amp;" من شغله ("&amp;TEXT(J104,"0.000")&amp;")","")))</f>
        <v/>
      </c>
      <c r="G104">
        <f>IF(A104="","",IF(ISNUMBER(A104),IF(A104&lt;=31,"",IF(A104&lt;=3112,IF(DATE(YR,MOD(A104,100),INT(A104/100))&gt;SAT1+7*NW-1,DATE(YR-1,MOD(A104,100),INT(A104/100)),DATE(YR,MOD(A104,100),INT(A104/100))),A104)),IFERROR(DATEVALUE(A104),"")))</f>
        <v/>
      </c>
      <c r="H104">
        <f>IF(G104="","",INT((G104-SAT1)/7)+1)</f>
        <v/>
      </c>
      <c r="I104">
        <f>IF(H104="","",IF(OR(H104&lt;1,H104&gt;NW),"",INDEX(WMON,H104)))</f>
        <v/>
      </c>
      <c r="J104">
        <f>IF(OR(G104="",H104="",B104=""),"",IF(B104="عمر المصري",SUMIFS('ساعات عمر'!$H$6:$H$588,'ساعات عمر'!$A$6:$A$588,"&gt;="&amp;(SAT1+7*(H104-1)),'ساعات عمر'!$A$6:$A$588,"&lt;="&amp;G104),SUMIFS('ساعات عبدالعزيز'!$F$6:$F$588,'ساعات عبدالعزيز'!$A$6:$A$588,"&gt;="&amp;(SAT1+7*(H104-1)),'ساعات عبدالعزيز'!$A$6:$A$588,"&lt;="&amp;G104)))</f>
        <v/>
      </c>
    </row>
    <row r="105">
      <c r="A105" s="48" t="n"/>
      <c r="B105" s="22" t="n"/>
      <c r="C105" s="49" t="n"/>
      <c r="D105" s="50" t="n"/>
      <c r="E105" s="51">
        <f>IF(G105="","",IF(OR(H105&lt;1,H105&gt;NW),"⛔ التاريخ برّا السنة",IF(AND(N(C105)&gt;0,N(J105)&gt;0,C105&gt;ADV_CAP*J105),"⚠️ أكثر من "&amp;TEXT(ADV_CAP,"0%")&amp;" من شغله ("&amp;TEXT(J105,"0.000")&amp;")","")))</f>
        <v/>
      </c>
      <c r="G105">
        <f>IF(A105="","",IF(ISNUMBER(A105),IF(A105&lt;=31,"",IF(A105&lt;=3112,IF(DATE(YR,MOD(A105,100),INT(A105/100))&gt;SAT1+7*NW-1,DATE(YR-1,MOD(A105,100),INT(A105/100)),DATE(YR,MOD(A105,100),INT(A105/100))),A105)),IFERROR(DATEVALUE(A105),"")))</f>
        <v/>
      </c>
      <c r="H105">
        <f>IF(G105="","",INT((G105-SAT1)/7)+1)</f>
        <v/>
      </c>
      <c r="I105">
        <f>IF(H105="","",IF(OR(H105&lt;1,H105&gt;NW),"",INDEX(WMON,H105)))</f>
        <v/>
      </c>
      <c r="J105">
        <f>IF(OR(G105="",H105="",B105=""),"",IF(B105="عمر المصري",SUMIFS('ساعات عمر'!$H$6:$H$588,'ساعات عمر'!$A$6:$A$588,"&gt;="&amp;(SAT1+7*(H105-1)),'ساعات عمر'!$A$6:$A$588,"&lt;="&amp;G105),SUMIFS('ساعات عبدالعزيز'!$F$6:$F$588,'ساعات عبدالعزيز'!$A$6:$A$588,"&gt;="&amp;(SAT1+7*(H105-1)),'ساعات عبدالعزيز'!$A$6:$A$588,"&lt;="&amp;G105)))</f>
        <v/>
      </c>
    </row>
    <row r="106">
      <c r="A106" s="48" t="n"/>
      <c r="B106" s="22" t="n"/>
      <c r="C106" s="49" t="n"/>
      <c r="D106" s="50" t="n"/>
      <c r="E106" s="51">
        <f>IF(G106="","",IF(OR(H106&lt;1,H106&gt;NW),"⛔ التاريخ برّا السنة",IF(AND(N(C106)&gt;0,N(J106)&gt;0,C106&gt;ADV_CAP*J106),"⚠️ أكثر من "&amp;TEXT(ADV_CAP,"0%")&amp;" من شغله ("&amp;TEXT(J106,"0.000")&amp;")","")))</f>
        <v/>
      </c>
      <c r="G106">
        <f>IF(A106="","",IF(ISNUMBER(A106),IF(A106&lt;=31,"",IF(A106&lt;=3112,IF(DATE(YR,MOD(A106,100),INT(A106/100))&gt;SAT1+7*NW-1,DATE(YR-1,MOD(A106,100),INT(A106/100)),DATE(YR,MOD(A106,100),INT(A106/100))),A106)),IFERROR(DATEVALUE(A106),"")))</f>
        <v/>
      </c>
      <c r="H106">
        <f>IF(G106="","",INT((G106-SAT1)/7)+1)</f>
        <v/>
      </c>
      <c r="I106">
        <f>IF(H106="","",IF(OR(H106&lt;1,H106&gt;NW),"",INDEX(WMON,H106)))</f>
        <v/>
      </c>
      <c r="J106">
        <f>IF(OR(G106="",H106="",B106=""),"",IF(B106="عمر المصري",SUMIFS('ساعات عمر'!$H$6:$H$588,'ساعات عمر'!$A$6:$A$588,"&gt;="&amp;(SAT1+7*(H106-1)),'ساعات عمر'!$A$6:$A$588,"&lt;="&amp;G106),SUMIFS('ساعات عبدالعزيز'!$F$6:$F$588,'ساعات عبدالعزيز'!$A$6:$A$588,"&gt;="&amp;(SAT1+7*(H106-1)),'ساعات عبدالعزيز'!$A$6:$A$588,"&lt;="&amp;G106)))</f>
        <v/>
      </c>
    </row>
    <row r="107">
      <c r="A107" s="48" t="n"/>
      <c r="B107" s="22" t="n"/>
      <c r="C107" s="49" t="n"/>
      <c r="D107" s="50" t="n"/>
      <c r="E107" s="51">
        <f>IF(G107="","",IF(OR(H107&lt;1,H107&gt;NW),"⛔ التاريخ برّا السنة",IF(AND(N(C107)&gt;0,N(J107)&gt;0,C107&gt;ADV_CAP*J107),"⚠️ أكثر من "&amp;TEXT(ADV_CAP,"0%")&amp;" من شغله ("&amp;TEXT(J107,"0.000")&amp;")","")))</f>
        <v/>
      </c>
      <c r="G107">
        <f>IF(A107="","",IF(ISNUMBER(A107),IF(A107&lt;=31,"",IF(A107&lt;=3112,IF(DATE(YR,MOD(A107,100),INT(A107/100))&gt;SAT1+7*NW-1,DATE(YR-1,MOD(A107,100),INT(A107/100)),DATE(YR,MOD(A107,100),INT(A107/100))),A107)),IFERROR(DATEVALUE(A107),"")))</f>
        <v/>
      </c>
      <c r="H107">
        <f>IF(G107="","",INT((G107-SAT1)/7)+1)</f>
        <v/>
      </c>
      <c r="I107">
        <f>IF(H107="","",IF(OR(H107&lt;1,H107&gt;NW),"",INDEX(WMON,H107)))</f>
        <v/>
      </c>
      <c r="J107">
        <f>IF(OR(G107="",H107="",B107=""),"",IF(B107="عمر المصري",SUMIFS('ساعات عمر'!$H$6:$H$588,'ساعات عمر'!$A$6:$A$588,"&gt;="&amp;(SAT1+7*(H107-1)),'ساعات عمر'!$A$6:$A$588,"&lt;="&amp;G107),SUMIFS('ساعات عبدالعزيز'!$F$6:$F$588,'ساعات عبدالعزيز'!$A$6:$A$588,"&gt;="&amp;(SAT1+7*(H107-1)),'ساعات عبدالعزيز'!$A$6:$A$588,"&lt;="&amp;G107)))</f>
        <v/>
      </c>
    </row>
    <row r="108">
      <c r="A108" s="48" t="n"/>
      <c r="B108" s="22" t="n"/>
      <c r="C108" s="49" t="n"/>
      <c r="D108" s="50" t="n"/>
      <c r="E108" s="51">
        <f>IF(G108="","",IF(OR(H108&lt;1,H108&gt;NW),"⛔ التاريخ برّا السنة",IF(AND(N(C108)&gt;0,N(J108)&gt;0,C108&gt;ADV_CAP*J108),"⚠️ أكثر من "&amp;TEXT(ADV_CAP,"0%")&amp;" من شغله ("&amp;TEXT(J108,"0.000")&amp;")","")))</f>
        <v/>
      </c>
      <c r="G108">
        <f>IF(A108="","",IF(ISNUMBER(A108),IF(A108&lt;=31,"",IF(A108&lt;=3112,IF(DATE(YR,MOD(A108,100),INT(A108/100))&gt;SAT1+7*NW-1,DATE(YR-1,MOD(A108,100),INT(A108/100)),DATE(YR,MOD(A108,100),INT(A108/100))),A108)),IFERROR(DATEVALUE(A108),"")))</f>
        <v/>
      </c>
      <c r="H108">
        <f>IF(G108="","",INT((G108-SAT1)/7)+1)</f>
        <v/>
      </c>
      <c r="I108">
        <f>IF(H108="","",IF(OR(H108&lt;1,H108&gt;NW),"",INDEX(WMON,H108)))</f>
        <v/>
      </c>
      <c r="J108">
        <f>IF(OR(G108="",H108="",B108=""),"",IF(B108="عمر المصري",SUMIFS('ساعات عمر'!$H$6:$H$588,'ساعات عمر'!$A$6:$A$588,"&gt;="&amp;(SAT1+7*(H108-1)),'ساعات عمر'!$A$6:$A$588,"&lt;="&amp;G108),SUMIFS('ساعات عبدالعزيز'!$F$6:$F$588,'ساعات عبدالعزيز'!$A$6:$A$588,"&gt;="&amp;(SAT1+7*(H108-1)),'ساعات عبدالعزيز'!$A$6:$A$588,"&lt;="&amp;G108)))</f>
        <v/>
      </c>
    </row>
    <row r="109">
      <c r="A109" s="48" t="n"/>
      <c r="B109" s="22" t="n"/>
      <c r="C109" s="49" t="n"/>
      <c r="D109" s="50" t="n"/>
      <c r="E109" s="51">
        <f>IF(G109="","",IF(OR(H109&lt;1,H109&gt;NW),"⛔ التاريخ برّا السنة",IF(AND(N(C109)&gt;0,N(J109)&gt;0,C109&gt;ADV_CAP*J109),"⚠️ أكثر من "&amp;TEXT(ADV_CAP,"0%")&amp;" من شغله ("&amp;TEXT(J109,"0.000")&amp;")","")))</f>
        <v/>
      </c>
      <c r="G109">
        <f>IF(A109="","",IF(ISNUMBER(A109),IF(A109&lt;=31,"",IF(A109&lt;=3112,IF(DATE(YR,MOD(A109,100),INT(A109/100))&gt;SAT1+7*NW-1,DATE(YR-1,MOD(A109,100),INT(A109/100)),DATE(YR,MOD(A109,100),INT(A109/100))),A109)),IFERROR(DATEVALUE(A109),"")))</f>
        <v/>
      </c>
      <c r="H109">
        <f>IF(G109="","",INT((G109-SAT1)/7)+1)</f>
        <v/>
      </c>
      <c r="I109">
        <f>IF(H109="","",IF(OR(H109&lt;1,H109&gt;NW),"",INDEX(WMON,H109)))</f>
        <v/>
      </c>
      <c r="J109">
        <f>IF(OR(G109="",H109="",B109=""),"",IF(B109="عمر المصري",SUMIFS('ساعات عمر'!$H$6:$H$588,'ساعات عمر'!$A$6:$A$588,"&gt;="&amp;(SAT1+7*(H109-1)),'ساعات عمر'!$A$6:$A$588,"&lt;="&amp;G109),SUMIFS('ساعات عبدالعزيز'!$F$6:$F$588,'ساعات عبدالعزيز'!$A$6:$A$588,"&gt;="&amp;(SAT1+7*(H109-1)),'ساعات عبدالعزيز'!$A$6:$A$588,"&lt;="&amp;G109)))</f>
        <v/>
      </c>
    </row>
    <row r="110">
      <c r="A110" s="48" t="n"/>
      <c r="B110" s="22" t="n"/>
      <c r="C110" s="49" t="n"/>
      <c r="D110" s="50" t="n"/>
      <c r="E110" s="51">
        <f>IF(G110="","",IF(OR(H110&lt;1,H110&gt;NW),"⛔ التاريخ برّا السنة",IF(AND(N(C110)&gt;0,N(J110)&gt;0,C110&gt;ADV_CAP*J110),"⚠️ أكثر من "&amp;TEXT(ADV_CAP,"0%")&amp;" من شغله ("&amp;TEXT(J110,"0.000")&amp;")","")))</f>
        <v/>
      </c>
      <c r="G110">
        <f>IF(A110="","",IF(ISNUMBER(A110),IF(A110&lt;=31,"",IF(A110&lt;=3112,IF(DATE(YR,MOD(A110,100),INT(A110/100))&gt;SAT1+7*NW-1,DATE(YR-1,MOD(A110,100),INT(A110/100)),DATE(YR,MOD(A110,100),INT(A110/100))),A110)),IFERROR(DATEVALUE(A110),"")))</f>
        <v/>
      </c>
      <c r="H110">
        <f>IF(G110="","",INT((G110-SAT1)/7)+1)</f>
        <v/>
      </c>
      <c r="I110">
        <f>IF(H110="","",IF(OR(H110&lt;1,H110&gt;NW),"",INDEX(WMON,H110)))</f>
        <v/>
      </c>
      <c r="J110">
        <f>IF(OR(G110="",H110="",B110=""),"",IF(B110="عمر المصري",SUMIFS('ساعات عمر'!$H$6:$H$588,'ساعات عمر'!$A$6:$A$588,"&gt;="&amp;(SAT1+7*(H110-1)),'ساعات عمر'!$A$6:$A$588,"&lt;="&amp;G110),SUMIFS('ساعات عبدالعزيز'!$F$6:$F$588,'ساعات عبدالعزيز'!$A$6:$A$588,"&gt;="&amp;(SAT1+7*(H110-1)),'ساعات عبدالعزيز'!$A$6:$A$588,"&lt;="&amp;G110)))</f>
        <v/>
      </c>
    </row>
    <row r="111">
      <c r="A111" s="48" t="n"/>
      <c r="B111" s="22" t="n"/>
      <c r="C111" s="49" t="n"/>
      <c r="D111" s="50" t="n"/>
      <c r="E111" s="51">
        <f>IF(G111="","",IF(OR(H111&lt;1,H111&gt;NW),"⛔ التاريخ برّا السنة",IF(AND(N(C111)&gt;0,N(J111)&gt;0,C111&gt;ADV_CAP*J111),"⚠️ أكثر من "&amp;TEXT(ADV_CAP,"0%")&amp;" من شغله ("&amp;TEXT(J111,"0.000")&amp;")","")))</f>
        <v/>
      </c>
      <c r="G111">
        <f>IF(A111="","",IF(ISNUMBER(A111),IF(A111&lt;=31,"",IF(A111&lt;=3112,IF(DATE(YR,MOD(A111,100),INT(A111/100))&gt;SAT1+7*NW-1,DATE(YR-1,MOD(A111,100),INT(A111/100)),DATE(YR,MOD(A111,100),INT(A111/100))),A111)),IFERROR(DATEVALUE(A111),"")))</f>
        <v/>
      </c>
      <c r="H111">
        <f>IF(G111="","",INT((G111-SAT1)/7)+1)</f>
        <v/>
      </c>
      <c r="I111">
        <f>IF(H111="","",IF(OR(H111&lt;1,H111&gt;NW),"",INDEX(WMON,H111)))</f>
        <v/>
      </c>
      <c r="J111">
        <f>IF(OR(G111="",H111="",B111=""),"",IF(B111="عمر المصري",SUMIFS('ساعات عمر'!$H$6:$H$588,'ساعات عمر'!$A$6:$A$588,"&gt;="&amp;(SAT1+7*(H111-1)),'ساعات عمر'!$A$6:$A$588,"&lt;="&amp;G111),SUMIFS('ساعات عبدالعزيز'!$F$6:$F$588,'ساعات عبدالعزيز'!$A$6:$A$588,"&gt;="&amp;(SAT1+7*(H111-1)),'ساعات عبدالعزيز'!$A$6:$A$588,"&lt;="&amp;G111)))</f>
        <v/>
      </c>
    </row>
    <row r="112">
      <c r="A112" s="48" t="n"/>
      <c r="B112" s="22" t="n"/>
      <c r="C112" s="49" t="n"/>
      <c r="D112" s="50" t="n"/>
      <c r="E112" s="51">
        <f>IF(G112="","",IF(OR(H112&lt;1,H112&gt;NW),"⛔ التاريخ برّا السنة",IF(AND(N(C112)&gt;0,N(J112)&gt;0,C112&gt;ADV_CAP*J112),"⚠️ أكثر من "&amp;TEXT(ADV_CAP,"0%")&amp;" من شغله ("&amp;TEXT(J112,"0.000")&amp;")","")))</f>
        <v/>
      </c>
      <c r="G112">
        <f>IF(A112="","",IF(ISNUMBER(A112),IF(A112&lt;=31,"",IF(A112&lt;=3112,IF(DATE(YR,MOD(A112,100),INT(A112/100))&gt;SAT1+7*NW-1,DATE(YR-1,MOD(A112,100),INT(A112/100)),DATE(YR,MOD(A112,100),INT(A112/100))),A112)),IFERROR(DATEVALUE(A112),"")))</f>
        <v/>
      </c>
      <c r="H112">
        <f>IF(G112="","",INT((G112-SAT1)/7)+1)</f>
        <v/>
      </c>
      <c r="I112">
        <f>IF(H112="","",IF(OR(H112&lt;1,H112&gt;NW),"",INDEX(WMON,H112)))</f>
        <v/>
      </c>
      <c r="J112">
        <f>IF(OR(G112="",H112="",B112=""),"",IF(B112="عمر المصري",SUMIFS('ساعات عمر'!$H$6:$H$588,'ساعات عمر'!$A$6:$A$588,"&gt;="&amp;(SAT1+7*(H112-1)),'ساعات عمر'!$A$6:$A$588,"&lt;="&amp;G112),SUMIFS('ساعات عبدالعزيز'!$F$6:$F$588,'ساعات عبدالعزيز'!$A$6:$A$588,"&gt;="&amp;(SAT1+7*(H112-1)),'ساعات عبدالعزيز'!$A$6:$A$588,"&lt;="&amp;G112)))</f>
        <v/>
      </c>
    </row>
    <row r="113">
      <c r="A113" s="48" t="n"/>
      <c r="B113" s="22" t="n"/>
      <c r="C113" s="49" t="n"/>
      <c r="D113" s="50" t="n"/>
      <c r="E113" s="51">
        <f>IF(G113="","",IF(OR(H113&lt;1,H113&gt;NW),"⛔ التاريخ برّا السنة",IF(AND(N(C113)&gt;0,N(J113)&gt;0,C113&gt;ADV_CAP*J113),"⚠️ أكثر من "&amp;TEXT(ADV_CAP,"0%")&amp;" من شغله ("&amp;TEXT(J113,"0.000")&amp;")","")))</f>
        <v/>
      </c>
      <c r="G113">
        <f>IF(A113="","",IF(ISNUMBER(A113),IF(A113&lt;=31,"",IF(A113&lt;=3112,IF(DATE(YR,MOD(A113,100),INT(A113/100))&gt;SAT1+7*NW-1,DATE(YR-1,MOD(A113,100),INT(A113/100)),DATE(YR,MOD(A113,100),INT(A113/100))),A113)),IFERROR(DATEVALUE(A113),"")))</f>
        <v/>
      </c>
      <c r="H113">
        <f>IF(G113="","",INT((G113-SAT1)/7)+1)</f>
        <v/>
      </c>
      <c r="I113">
        <f>IF(H113="","",IF(OR(H113&lt;1,H113&gt;NW),"",INDEX(WMON,H113)))</f>
        <v/>
      </c>
      <c r="J113">
        <f>IF(OR(G113="",H113="",B113=""),"",IF(B113="عمر المصري",SUMIFS('ساعات عمر'!$H$6:$H$588,'ساعات عمر'!$A$6:$A$588,"&gt;="&amp;(SAT1+7*(H113-1)),'ساعات عمر'!$A$6:$A$588,"&lt;="&amp;G113),SUMIFS('ساعات عبدالعزيز'!$F$6:$F$588,'ساعات عبدالعزيز'!$A$6:$A$588,"&gt;="&amp;(SAT1+7*(H113-1)),'ساعات عبدالعزيز'!$A$6:$A$588,"&lt;="&amp;G113)))</f>
        <v/>
      </c>
    </row>
    <row r="114">
      <c r="A114" s="48" t="n"/>
      <c r="B114" s="22" t="n"/>
      <c r="C114" s="49" t="n"/>
      <c r="D114" s="50" t="n"/>
      <c r="E114" s="51">
        <f>IF(G114="","",IF(OR(H114&lt;1,H114&gt;NW),"⛔ التاريخ برّا السنة",IF(AND(N(C114)&gt;0,N(J114)&gt;0,C114&gt;ADV_CAP*J114),"⚠️ أكثر من "&amp;TEXT(ADV_CAP,"0%")&amp;" من شغله ("&amp;TEXT(J114,"0.000")&amp;")","")))</f>
        <v/>
      </c>
      <c r="G114">
        <f>IF(A114="","",IF(ISNUMBER(A114),IF(A114&lt;=31,"",IF(A114&lt;=3112,IF(DATE(YR,MOD(A114,100),INT(A114/100))&gt;SAT1+7*NW-1,DATE(YR-1,MOD(A114,100),INT(A114/100)),DATE(YR,MOD(A114,100),INT(A114/100))),A114)),IFERROR(DATEVALUE(A114),"")))</f>
        <v/>
      </c>
      <c r="H114">
        <f>IF(G114="","",INT((G114-SAT1)/7)+1)</f>
        <v/>
      </c>
      <c r="I114">
        <f>IF(H114="","",IF(OR(H114&lt;1,H114&gt;NW),"",INDEX(WMON,H114)))</f>
        <v/>
      </c>
      <c r="J114">
        <f>IF(OR(G114="",H114="",B114=""),"",IF(B114="عمر المصري",SUMIFS('ساعات عمر'!$H$6:$H$588,'ساعات عمر'!$A$6:$A$588,"&gt;="&amp;(SAT1+7*(H114-1)),'ساعات عمر'!$A$6:$A$588,"&lt;="&amp;G114),SUMIFS('ساعات عبدالعزيز'!$F$6:$F$588,'ساعات عبدالعزيز'!$A$6:$A$588,"&gt;="&amp;(SAT1+7*(H114-1)),'ساعات عبدالعزيز'!$A$6:$A$588,"&lt;="&amp;G114)))</f>
        <v/>
      </c>
    </row>
    <row r="115">
      <c r="A115" s="48" t="n"/>
      <c r="B115" s="22" t="n"/>
      <c r="C115" s="49" t="n"/>
      <c r="D115" s="50" t="n"/>
      <c r="E115" s="51">
        <f>IF(G115="","",IF(OR(H115&lt;1,H115&gt;NW),"⛔ التاريخ برّا السنة",IF(AND(N(C115)&gt;0,N(J115)&gt;0,C115&gt;ADV_CAP*J115),"⚠️ أكثر من "&amp;TEXT(ADV_CAP,"0%")&amp;" من شغله ("&amp;TEXT(J115,"0.000")&amp;")","")))</f>
        <v/>
      </c>
      <c r="G115">
        <f>IF(A115="","",IF(ISNUMBER(A115),IF(A115&lt;=31,"",IF(A115&lt;=3112,IF(DATE(YR,MOD(A115,100),INT(A115/100))&gt;SAT1+7*NW-1,DATE(YR-1,MOD(A115,100),INT(A115/100)),DATE(YR,MOD(A115,100),INT(A115/100))),A115)),IFERROR(DATEVALUE(A115),"")))</f>
        <v/>
      </c>
      <c r="H115">
        <f>IF(G115="","",INT((G115-SAT1)/7)+1)</f>
        <v/>
      </c>
      <c r="I115">
        <f>IF(H115="","",IF(OR(H115&lt;1,H115&gt;NW),"",INDEX(WMON,H115)))</f>
        <v/>
      </c>
      <c r="J115">
        <f>IF(OR(G115="",H115="",B115=""),"",IF(B115="عمر المصري",SUMIFS('ساعات عمر'!$H$6:$H$588,'ساعات عمر'!$A$6:$A$588,"&gt;="&amp;(SAT1+7*(H115-1)),'ساعات عمر'!$A$6:$A$588,"&lt;="&amp;G115),SUMIFS('ساعات عبدالعزيز'!$F$6:$F$588,'ساعات عبدالعزيز'!$A$6:$A$588,"&gt;="&amp;(SAT1+7*(H115-1)),'ساعات عبدالعزيز'!$A$6:$A$588,"&lt;="&amp;G115)))</f>
        <v/>
      </c>
    </row>
    <row r="116">
      <c r="A116" s="48" t="n"/>
      <c r="B116" s="22" t="n"/>
      <c r="C116" s="49" t="n"/>
      <c r="D116" s="50" t="n"/>
      <c r="E116" s="51">
        <f>IF(G116="","",IF(OR(H116&lt;1,H116&gt;NW),"⛔ التاريخ برّا السنة",IF(AND(N(C116)&gt;0,N(J116)&gt;0,C116&gt;ADV_CAP*J116),"⚠️ أكثر من "&amp;TEXT(ADV_CAP,"0%")&amp;" من شغله ("&amp;TEXT(J116,"0.000")&amp;")","")))</f>
        <v/>
      </c>
      <c r="G116">
        <f>IF(A116="","",IF(ISNUMBER(A116),IF(A116&lt;=31,"",IF(A116&lt;=3112,IF(DATE(YR,MOD(A116,100),INT(A116/100))&gt;SAT1+7*NW-1,DATE(YR-1,MOD(A116,100),INT(A116/100)),DATE(YR,MOD(A116,100),INT(A116/100))),A116)),IFERROR(DATEVALUE(A116),"")))</f>
        <v/>
      </c>
      <c r="H116">
        <f>IF(G116="","",INT((G116-SAT1)/7)+1)</f>
        <v/>
      </c>
      <c r="I116">
        <f>IF(H116="","",IF(OR(H116&lt;1,H116&gt;NW),"",INDEX(WMON,H116)))</f>
        <v/>
      </c>
      <c r="J116">
        <f>IF(OR(G116="",H116="",B116=""),"",IF(B116="عمر المصري",SUMIFS('ساعات عمر'!$H$6:$H$588,'ساعات عمر'!$A$6:$A$588,"&gt;="&amp;(SAT1+7*(H116-1)),'ساعات عمر'!$A$6:$A$588,"&lt;="&amp;G116),SUMIFS('ساعات عبدالعزيز'!$F$6:$F$588,'ساعات عبدالعزيز'!$A$6:$A$588,"&gt;="&amp;(SAT1+7*(H116-1)),'ساعات عبدالعزيز'!$A$6:$A$588,"&lt;="&amp;G116)))</f>
        <v/>
      </c>
    </row>
    <row r="117">
      <c r="A117" s="48" t="n"/>
      <c r="B117" s="22" t="n"/>
      <c r="C117" s="49" t="n"/>
      <c r="D117" s="50" t="n"/>
      <c r="E117" s="51">
        <f>IF(G117="","",IF(OR(H117&lt;1,H117&gt;NW),"⛔ التاريخ برّا السنة",IF(AND(N(C117)&gt;0,N(J117)&gt;0,C117&gt;ADV_CAP*J117),"⚠️ أكثر من "&amp;TEXT(ADV_CAP,"0%")&amp;" من شغله ("&amp;TEXT(J117,"0.000")&amp;")","")))</f>
        <v/>
      </c>
      <c r="G117">
        <f>IF(A117="","",IF(ISNUMBER(A117),IF(A117&lt;=31,"",IF(A117&lt;=3112,IF(DATE(YR,MOD(A117,100),INT(A117/100))&gt;SAT1+7*NW-1,DATE(YR-1,MOD(A117,100),INT(A117/100)),DATE(YR,MOD(A117,100),INT(A117/100))),A117)),IFERROR(DATEVALUE(A117),"")))</f>
        <v/>
      </c>
      <c r="H117">
        <f>IF(G117="","",INT((G117-SAT1)/7)+1)</f>
        <v/>
      </c>
      <c r="I117">
        <f>IF(H117="","",IF(OR(H117&lt;1,H117&gt;NW),"",INDEX(WMON,H117)))</f>
        <v/>
      </c>
      <c r="J117">
        <f>IF(OR(G117="",H117="",B117=""),"",IF(B117="عمر المصري",SUMIFS('ساعات عمر'!$H$6:$H$588,'ساعات عمر'!$A$6:$A$588,"&gt;="&amp;(SAT1+7*(H117-1)),'ساعات عمر'!$A$6:$A$588,"&lt;="&amp;G117),SUMIFS('ساعات عبدالعزيز'!$F$6:$F$588,'ساعات عبدالعزيز'!$A$6:$A$588,"&gt;="&amp;(SAT1+7*(H117-1)),'ساعات عبدالعزيز'!$A$6:$A$588,"&lt;="&amp;G117)))</f>
        <v/>
      </c>
    </row>
    <row r="118">
      <c r="A118" s="48" t="n"/>
      <c r="B118" s="22" t="n"/>
      <c r="C118" s="49" t="n"/>
      <c r="D118" s="50" t="n"/>
      <c r="E118" s="51">
        <f>IF(G118="","",IF(OR(H118&lt;1,H118&gt;NW),"⛔ التاريخ برّا السنة",IF(AND(N(C118)&gt;0,N(J118)&gt;0,C118&gt;ADV_CAP*J118),"⚠️ أكثر من "&amp;TEXT(ADV_CAP,"0%")&amp;" من شغله ("&amp;TEXT(J118,"0.000")&amp;")","")))</f>
        <v/>
      </c>
      <c r="G118">
        <f>IF(A118="","",IF(ISNUMBER(A118),IF(A118&lt;=31,"",IF(A118&lt;=3112,IF(DATE(YR,MOD(A118,100),INT(A118/100))&gt;SAT1+7*NW-1,DATE(YR-1,MOD(A118,100),INT(A118/100)),DATE(YR,MOD(A118,100),INT(A118/100))),A118)),IFERROR(DATEVALUE(A118),"")))</f>
        <v/>
      </c>
      <c r="H118">
        <f>IF(G118="","",INT((G118-SAT1)/7)+1)</f>
        <v/>
      </c>
      <c r="I118">
        <f>IF(H118="","",IF(OR(H118&lt;1,H118&gt;NW),"",INDEX(WMON,H118)))</f>
        <v/>
      </c>
      <c r="J118">
        <f>IF(OR(G118="",H118="",B118=""),"",IF(B118="عمر المصري",SUMIFS('ساعات عمر'!$H$6:$H$588,'ساعات عمر'!$A$6:$A$588,"&gt;="&amp;(SAT1+7*(H118-1)),'ساعات عمر'!$A$6:$A$588,"&lt;="&amp;G118),SUMIFS('ساعات عبدالعزيز'!$F$6:$F$588,'ساعات عبدالعزيز'!$A$6:$A$588,"&gt;="&amp;(SAT1+7*(H118-1)),'ساعات عبدالعزيز'!$A$6:$A$588,"&lt;="&amp;G118)))</f>
        <v/>
      </c>
    </row>
    <row r="119">
      <c r="A119" s="48" t="n"/>
      <c r="B119" s="22" t="n"/>
      <c r="C119" s="49" t="n"/>
      <c r="D119" s="50" t="n"/>
      <c r="E119" s="51">
        <f>IF(G119="","",IF(OR(H119&lt;1,H119&gt;NW),"⛔ التاريخ برّا السنة",IF(AND(N(C119)&gt;0,N(J119)&gt;0,C119&gt;ADV_CAP*J119),"⚠️ أكثر من "&amp;TEXT(ADV_CAP,"0%")&amp;" من شغله ("&amp;TEXT(J119,"0.000")&amp;")","")))</f>
        <v/>
      </c>
      <c r="G119">
        <f>IF(A119="","",IF(ISNUMBER(A119),IF(A119&lt;=31,"",IF(A119&lt;=3112,IF(DATE(YR,MOD(A119,100),INT(A119/100))&gt;SAT1+7*NW-1,DATE(YR-1,MOD(A119,100),INT(A119/100)),DATE(YR,MOD(A119,100),INT(A119/100))),A119)),IFERROR(DATEVALUE(A119),"")))</f>
        <v/>
      </c>
      <c r="H119">
        <f>IF(G119="","",INT((G119-SAT1)/7)+1)</f>
        <v/>
      </c>
      <c r="I119">
        <f>IF(H119="","",IF(OR(H119&lt;1,H119&gt;NW),"",INDEX(WMON,H119)))</f>
        <v/>
      </c>
      <c r="J119">
        <f>IF(OR(G119="",H119="",B119=""),"",IF(B119="عمر المصري",SUMIFS('ساعات عمر'!$H$6:$H$588,'ساعات عمر'!$A$6:$A$588,"&gt;="&amp;(SAT1+7*(H119-1)),'ساعات عمر'!$A$6:$A$588,"&lt;="&amp;G119),SUMIFS('ساعات عبدالعزيز'!$F$6:$F$588,'ساعات عبدالعزيز'!$A$6:$A$588,"&gt;="&amp;(SAT1+7*(H119-1)),'ساعات عبدالعزيز'!$A$6:$A$588,"&lt;="&amp;G119)))</f>
        <v/>
      </c>
    </row>
    <row r="120">
      <c r="A120" s="48" t="n"/>
      <c r="B120" s="22" t="n"/>
      <c r="C120" s="49" t="n"/>
      <c r="D120" s="50" t="n"/>
      <c r="E120" s="51">
        <f>IF(G120="","",IF(OR(H120&lt;1,H120&gt;NW),"⛔ التاريخ برّا السنة",IF(AND(N(C120)&gt;0,N(J120)&gt;0,C120&gt;ADV_CAP*J120),"⚠️ أكثر من "&amp;TEXT(ADV_CAP,"0%")&amp;" من شغله ("&amp;TEXT(J120,"0.000")&amp;")","")))</f>
        <v/>
      </c>
      <c r="G120">
        <f>IF(A120="","",IF(ISNUMBER(A120),IF(A120&lt;=31,"",IF(A120&lt;=3112,IF(DATE(YR,MOD(A120,100),INT(A120/100))&gt;SAT1+7*NW-1,DATE(YR-1,MOD(A120,100),INT(A120/100)),DATE(YR,MOD(A120,100),INT(A120/100))),A120)),IFERROR(DATEVALUE(A120),"")))</f>
        <v/>
      </c>
      <c r="H120">
        <f>IF(G120="","",INT((G120-SAT1)/7)+1)</f>
        <v/>
      </c>
      <c r="I120">
        <f>IF(H120="","",IF(OR(H120&lt;1,H120&gt;NW),"",INDEX(WMON,H120)))</f>
        <v/>
      </c>
      <c r="J120">
        <f>IF(OR(G120="",H120="",B120=""),"",IF(B120="عمر المصري",SUMIFS('ساعات عمر'!$H$6:$H$588,'ساعات عمر'!$A$6:$A$588,"&gt;="&amp;(SAT1+7*(H120-1)),'ساعات عمر'!$A$6:$A$588,"&lt;="&amp;G120),SUMIFS('ساعات عبدالعزيز'!$F$6:$F$588,'ساعات عبدالعزيز'!$A$6:$A$588,"&gt;="&amp;(SAT1+7*(H120-1)),'ساعات عبدالعزيز'!$A$6:$A$588,"&lt;="&amp;G120)))</f>
        <v/>
      </c>
    </row>
    <row r="121">
      <c r="A121" s="48" t="n"/>
      <c r="B121" s="22" t="n"/>
      <c r="C121" s="49" t="n"/>
      <c r="D121" s="50" t="n"/>
      <c r="E121" s="51">
        <f>IF(G121="","",IF(OR(H121&lt;1,H121&gt;NW),"⛔ التاريخ برّا السنة",IF(AND(N(C121)&gt;0,N(J121)&gt;0,C121&gt;ADV_CAP*J121),"⚠️ أكثر من "&amp;TEXT(ADV_CAP,"0%")&amp;" من شغله ("&amp;TEXT(J121,"0.000")&amp;")","")))</f>
        <v/>
      </c>
      <c r="G121">
        <f>IF(A121="","",IF(ISNUMBER(A121),IF(A121&lt;=31,"",IF(A121&lt;=3112,IF(DATE(YR,MOD(A121,100),INT(A121/100))&gt;SAT1+7*NW-1,DATE(YR-1,MOD(A121,100),INT(A121/100)),DATE(YR,MOD(A121,100),INT(A121/100))),A121)),IFERROR(DATEVALUE(A121),"")))</f>
        <v/>
      </c>
      <c r="H121">
        <f>IF(G121="","",INT((G121-SAT1)/7)+1)</f>
        <v/>
      </c>
      <c r="I121">
        <f>IF(H121="","",IF(OR(H121&lt;1,H121&gt;NW),"",INDEX(WMON,H121)))</f>
        <v/>
      </c>
      <c r="J121">
        <f>IF(OR(G121="",H121="",B121=""),"",IF(B121="عمر المصري",SUMIFS('ساعات عمر'!$H$6:$H$588,'ساعات عمر'!$A$6:$A$588,"&gt;="&amp;(SAT1+7*(H121-1)),'ساعات عمر'!$A$6:$A$588,"&lt;="&amp;G121),SUMIFS('ساعات عبدالعزيز'!$F$6:$F$588,'ساعات عبدالعزيز'!$A$6:$A$588,"&gt;="&amp;(SAT1+7*(H121-1)),'ساعات عبدالعزيز'!$A$6:$A$588,"&lt;="&amp;G121)))</f>
        <v/>
      </c>
    </row>
    <row r="122">
      <c r="A122" s="48" t="n"/>
      <c r="B122" s="22" t="n"/>
      <c r="C122" s="49" t="n"/>
      <c r="D122" s="50" t="n"/>
      <c r="E122" s="51">
        <f>IF(G122="","",IF(OR(H122&lt;1,H122&gt;NW),"⛔ التاريخ برّا السنة",IF(AND(N(C122)&gt;0,N(J122)&gt;0,C122&gt;ADV_CAP*J122),"⚠️ أكثر من "&amp;TEXT(ADV_CAP,"0%")&amp;" من شغله ("&amp;TEXT(J122,"0.000")&amp;")","")))</f>
        <v/>
      </c>
      <c r="G122">
        <f>IF(A122="","",IF(ISNUMBER(A122),IF(A122&lt;=31,"",IF(A122&lt;=3112,IF(DATE(YR,MOD(A122,100),INT(A122/100))&gt;SAT1+7*NW-1,DATE(YR-1,MOD(A122,100),INT(A122/100)),DATE(YR,MOD(A122,100),INT(A122/100))),A122)),IFERROR(DATEVALUE(A122),"")))</f>
        <v/>
      </c>
      <c r="H122">
        <f>IF(G122="","",INT((G122-SAT1)/7)+1)</f>
        <v/>
      </c>
      <c r="I122">
        <f>IF(H122="","",IF(OR(H122&lt;1,H122&gt;NW),"",INDEX(WMON,H122)))</f>
        <v/>
      </c>
      <c r="J122">
        <f>IF(OR(G122="",H122="",B122=""),"",IF(B122="عمر المصري",SUMIFS('ساعات عمر'!$H$6:$H$588,'ساعات عمر'!$A$6:$A$588,"&gt;="&amp;(SAT1+7*(H122-1)),'ساعات عمر'!$A$6:$A$588,"&lt;="&amp;G122),SUMIFS('ساعات عبدالعزيز'!$F$6:$F$588,'ساعات عبدالعزيز'!$A$6:$A$588,"&gt;="&amp;(SAT1+7*(H122-1)),'ساعات عبدالعزيز'!$A$6:$A$588,"&lt;="&amp;G122)))</f>
        <v/>
      </c>
    </row>
    <row r="123">
      <c r="A123" s="48" t="n"/>
      <c r="B123" s="22" t="n"/>
      <c r="C123" s="49" t="n"/>
      <c r="D123" s="50" t="n"/>
      <c r="E123" s="51">
        <f>IF(G123="","",IF(OR(H123&lt;1,H123&gt;NW),"⛔ التاريخ برّا السنة",IF(AND(N(C123)&gt;0,N(J123)&gt;0,C123&gt;ADV_CAP*J123),"⚠️ أكثر من "&amp;TEXT(ADV_CAP,"0%")&amp;" من شغله ("&amp;TEXT(J123,"0.000")&amp;")","")))</f>
        <v/>
      </c>
      <c r="G123">
        <f>IF(A123="","",IF(ISNUMBER(A123),IF(A123&lt;=31,"",IF(A123&lt;=3112,IF(DATE(YR,MOD(A123,100),INT(A123/100))&gt;SAT1+7*NW-1,DATE(YR-1,MOD(A123,100),INT(A123/100)),DATE(YR,MOD(A123,100),INT(A123/100))),A123)),IFERROR(DATEVALUE(A123),"")))</f>
        <v/>
      </c>
      <c r="H123">
        <f>IF(G123="","",INT((G123-SAT1)/7)+1)</f>
        <v/>
      </c>
      <c r="I123">
        <f>IF(H123="","",IF(OR(H123&lt;1,H123&gt;NW),"",INDEX(WMON,H123)))</f>
        <v/>
      </c>
      <c r="J123">
        <f>IF(OR(G123="",H123="",B123=""),"",IF(B123="عمر المصري",SUMIFS('ساعات عمر'!$H$6:$H$588,'ساعات عمر'!$A$6:$A$588,"&gt;="&amp;(SAT1+7*(H123-1)),'ساعات عمر'!$A$6:$A$588,"&lt;="&amp;G123),SUMIFS('ساعات عبدالعزيز'!$F$6:$F$588,'ساعات عبدالعزيز'!$A$6:$A$588,"&gt;="&amp;(SAT1+7*(H123-1)),'ساعات عبدالعزيز'!$A$6:$A$588,"&lt;="&amp;G123)))</f>
        <v/>
      </c>
    </row>
    <row r="124">
      <c r="A124" s="48" t="n"/>
      <c r="B124" s="22" t="n"/>
      <c r="C124" s="49" t="n"/>
      <c r="D124" s="50" t="n"/>
      <c r="E124" s="51">
        <f>IF(G124="","",IF(OR(H124&lt;1,H124&gt;NW),"⛔ التاريخ برّا السنة",IF(AND(N(C124)&gt;0,N(J124)&gt;0,C124&gt;ADV_CAP*J124),"⚠️ أكثر من "&amp;TEXT(ADV_CAP,"0%")&amp;" من شغله ("&amp;TEXT(J124,"0.000")&amp;")","")))</f>
        <v/>
      </c>
      <c r="G124">
        <f>IF(A124="","",IF(ISNUMBER(A124),IF(A124&lt;=31,"",IF(A124&lt;=3112,IF(DATE(YR,MOD(A124,100),INT(A124/100))&gt;SAT1+7*NW-1,DATE(YR-1,MOD(A124,100),INT(A124/100)),DATE(YR,MOD(A124,100),INT(A124/100))),A124)),IFERROR(DATEVALUE(A124),"")))</f>
        <v/>
      </c>
      <c r="H124">
        <f>IF(G124="","",INT((G124-SAT1)/7)+1)</f>
        <v/>
      </c>
      <c r="I124">
        <f>IF(H124="","",IF(OR(H124&lt;1,H124&gt;NW),"",INDEX(WMON,H124)))</f>
        <v/>
      </c>
      <c r="J124">
        <f>IF(OR(G124="",H124="",B124=""),"",IF(B124="عمر المصري",SUMIFS('ساعات عمر'!$H$6:$H$588,'ساعات عمر'!$A$6:$A$588,"&gt;="&amp;(SAT1+7*(H124-1)),'ساعات عمر'!$A$6:$A$588,"&lt;="&amp;G124),SUMIFS('ساعات عبدالعزيز'!$F$6:$F$588,'ساعات عبدالعزيز'!$A$6:$A$588,"&gt;="&amp;(SAT1+7*(H124-1)),'ساعات عبدالعزيز'!$A$6:$A$588,"&lt;="&amp;G124)))</f>
        <v/>
      </c>
    </row>
    <row r="125">
      <c r="A125" s="48" t="n"/>
      <c r="B125" s="22" t="n"/>
      <c r="C125" s="49" t="n"/>
      <c r="D125" s="50" t="n"/>
      <c r="E125" s="51">
        <f>IF(G125="","",IF(OR(H125&lt;1,H125&gt;NW),"⛔ التاريخ برّا السنة",IF(AND(N(C125)&gt;0,N(J125)&gt;0,C125&gt;ADV_CAP*J125),"⚠️ أكثر من "&amp;TEXT(ADV_CAP,"0%")&amp;" من شغله ("&amp;TEXT(J125,"0.000")&amp;")","")))</f>
        <v/>
      </c>
      <c r="G125">
        <f>IF(A125="","",IF(ISNUMBER(A125),IF(A125&lt;=31,"",IF(A125&lt;=3112,IF(DATE(YR,MOD(A125,100),INT(A125/100))&gt;SAT1+7*NW-1,DATE(YR-1,MOD(A125,100),INT(A125/100)),DATE(YR,MOD(A125,100),INT(A125/100))),A125)),IFERROR(DATEVALUE(A125),"")))</f>
        <v/>
      </c>
      <c r="H125">
        <f>IF(G125="","",INT((G125-SAT1)/7)+1)</f>
        <v/>
      </c>
      <c r="I125">
        <f>IF(H125="","",IF(OR(H125&lt;1,H125&gt;NW),"",INDEX(WMON,H125)))</f>
        <v/>
      </c>
      <c r="J125">
        <f>IF(OR(G125="",H125="",B125=""),"",IF(B125="عمر المصري",SUMIFS('ساعات عمر'!$H$6:$H$588,'ساعات عمر'!$A$6:$A$588,"&gt;="&amp;(SAT1+7*(H125-1)),'ساعات عمر'!$A$6:$A$588,"&lt;="&amp;G125),SUMIFS('ساعات عبدالعزيز'!$F$6:$F$588,'ساعات عبدالعزيز'!$A$6:$A$588,"&gt;="&amp;(SAT1+7*(H125-1)),'ساعات عبدالعزيز'!$A$6:$A$588,"&lt;="&amp;G125)))</f>
        <v/>
      </c>
    </row>
    <row r="126">
      <c r="A126" s="48" t="n"/>
      <c r="B126" s="22" t="n"/>
      <c r="C126" s="49" t="n"/>
      <c r="D126" s="50" t="n"/>
      <c r="E126" s="51">
        <f>IF(G126="","",IF(OR(H126&lt;1,H126&gt;NW),"⛔ التاريخ برّا السنة",IF(AND(N(C126)&gt;0,N(J126)&gt;0,C126&gt;ADV_CAP*J126),"⚠️ أكثر من "&amp;TEXT(ADV_CAP,"0%")&amp;" من شغله ("&amp;TEXT(J126,"0.000")&amp;")","")))</f>
        <v/>
      </c>
      <c r="G126">
        <f>IF(A126="","",IF(ISNUMBER(A126),IF(A126&lt;=31,"",IF(A126&lt;=3112,IF(DATE(YR,MOD(A126,100),INT(A126/100))&gt;SAT1+7*NW-1,DATE(YR-1,MOD(A126,100),INT(A126/100)),DATE(YR,MOD(A126,100),INT(A126/100))),A126)),IFERROR(DATEVALUE(A126),"")))</f>
        <v/>
      </c>
      <c r="H126">
        <f>IF(G126="","",INT((G126-SAT1)/7)+1)</f>
        <v/>
      </c>
      <c r="I126">
        <f>IF(H126="","",IF(OR(H126&lt;1,H126&gt;NW),"",INDEX(WMON,H126)))</f>
        <v/>
      </c>
      <c r="J126">
        <f>IF(OR(G126="",H126="",B126=""),"",IF(B126="عمر المصري",SUMIFS('ساعات عمر'!$H$6:$H$588,'ساعات عمر'!$A$6:$A$588,"&gt;="&amp;(SAT1+7*(H126-1)),'ساعات عمر'!$A$6:$A$588,"&lt;="&amp;G126),SUMIFS('ساعات عبدالعزيز'!$F$6:$F$588,'ساعات عبدالعزيز'!$A$6:$A$588,"&gt;="&amp;(SAT1+7*(H126-1)),'ساعات عبدالعزيز'!$A$6:$A$588,"&lt;="&amp;G126)))</f>
        <v/>
      </c>
    </row>
    <row r="127">
      <c r="A127" s="48" t="n"/>
      <c r="B127" s="22" t="n"/>
      <c r="C127" s="49" t="n"/>
      <c r="D127" s="50" t="n"/>
      <c r="E127" s="51">
        <f>IF(G127="","",IF(OR(H127&lt;1,H127&gt;NW),"⛔ التاريخ برّا السنة",IF(AND(N(C127)&gt;0,N(J127)&gt;0,C127&gt;ADV_CAP*J127),"⚠️ أكثر من "&amp;TEXT(ADV_CAP,"0%")&amp;" من شغله ("&amp;TEXT(J127,"0.000")&amp;")","")))</f>
        <v/>
      </c>
      <c r="G127">
        <f>IF(A127="","",IF(ISNUMBER(A127),IF(A127&lt;=31,"",IF(A127&lt;=3112,IF(DATE(YR,MOD(A127,100),INT(A127/100))&gt;SAT1+7*NW-1,DATE(YR-1,MOD(A127,100),INT(A127/100)),DATE(YR,MOD(A127,100),INT(A127/100))),A127)),IFERROR(DATEVALUE(A127),"")))</f>
        <v/>
      </c>
      <c r="H127">
        <f>IF(G127="","",INT((G127-SAT1)/7)+1)</f>
        <v/>
      </c>
      <c r="I127">
        <f>IF(H127="","",IF(OR(H127&lt;1,H127&gt;NW),"",INDEX(WMON,H127)))</f>
        <v/>
      </c>
      <c r="J127">
        <f>IF(OR(G127="",H127="",B127=""),"",IF(B127="عمر المصري",SUMIFS('ساعات عمر'!$H$6:$H$588,'ساعات عمر'!$A$6:$A$588,"&gt;="&amp;(SAT1+7*(H127-1)),'ساعات عمر'!$A$6:$A$588,"&lt;="&amp;G127),SUMIFS('ساعات عبدالعزيز'!$F$6:$F$588,'ساعات عبدالعزيز'!$A$6:$A$588,"&gt;="&amp;(SAT1+7*(H127-1)),'ساعات عبدالعزيز'!$A$6:$A$588,"&lt;="&amp;G127)))</f>
        <v/>
      </c>
    </row>
    <row r="128">
      <c r="A128" s="48" t="n"/>
      <c r="B128" s="22" t="n"/>
      <c r="C128" s="49" t="n"/>
      <c r="D128" s="50" t="n"/>
      <c r="E128" s="51">
        <f>IF(G128="","",IF(OR(H128&lt;1,H128&gt;NW),"⛔ التاريخ برّا السنة",IF(AND(N(C128)&gt;0,N(J128)&gt;0,C128&gt;ADV_CAP*J128),"⚠️ أكثر من "&amp;TEXT(ADV_CAP,"0%")&amp;" من شغله ("&amp;TEXT(J128,"0.000")&amp;")","")))</f>
        <v/>
      </c>
      <c r="G128">
        <f>IF(A128="","",IF(ISNUMBER(A128),IF(A128&lt;=31,"",IF(A128&lt;=3112,IF(DATE(YR,MOD(A128,100),INT(A128/100))&gt;SAT1+7*NW-1,DATE(YR-1,MOD(A128,100),INT(A128/100)),DATE(YR,MOD(A128,100),INT(A128/100))),A128)),IFERROR(DATEVALUE(A128),"")))</f>
        <v/>
      </c>
      <c r="H128">
        <f>IF(G128="","",INT((G128-SAT1)/7)+1)</f>
        <v/>
      </c>
      <c r="I128">
        <f>IF(H128="","",IF(OR(H128&lt;1,H128&gt;NW),"",INDEX(WMON,H128)))</f>
        <v/>
      </c>
      <c r="J128">
        <f>IF(OR(G128="",H128="",B128=""),"",IF(B128="عمر المصري",SUMIFS('ساعات عمر'!$H$6:$H$588,'ساعات عمر'!$A$6:$A$588,"&gt;="&amp;(SAT1+7*(H128-1)),'ساعات عمر'!$A$6:$A$588,"&lt;="&amp;G128),SUMIFS('ساعات عبدالعزيز'!$F$6:$F$588,'ساعات عبدالعزيز'!$A$6:$A$588,"&gt;="&amp;(SAT1+7*(H128-1)),'ساعات عبدالعزيز'!$A$6:$A$588,"&lt;="&amp;G128)))</f>
        <v/>
      </c>
    </row>
    <row r="129">
      <c r="A129" s="48" t="n"/>
      <c r="B129" s="22" t="n"/>
      <c r="C129" s="49" t="n"/>
      <c r="D129" s="50" t="n"/>
      <c r="E129" s="51">
        <f>IF(G129="","",IF(OR(H129&lt;1,H129&gt;NW),"⛔ التاريخ برّا السنة",IF(AND(N(C129)&gt;0,N(J129)&gt;0,C129&gt;ADV_CAP*J129),"⚠️ أكثر من "&amp;TEXT(ADV_CAP,"0%")&amp;" من شغله ("&amp;TEXT(J129,"0.000")&amp;")","")))</f>
        <v/>
      </c>
      <c r="G129">
        <f>IF(A129="","",IF(ISNUMBER(A129),IF(A129&lt;=31,"",IF(A129&lt;=3112,IF(DATE(YR,MOD(A129,100),INT(A129/100))&gt;SAT1+7*NW-1,DATE(YR-1,MOD(A129,100),INT(A129/100)),DATE(YR,MOD(A129,100),INT(A129/100))),A129)),IFERROR(DATEVALUE(A129),"")))</f>
        <v/>
      </c>
      <c r="H129">
        <f>IF(G129="","",INT((G129-SAT1)/7)+1)</f>
        <v/>
      </c>
      <c r="I129">
        <f>IF(H129="","",IF(OR(H129&lt;1,H129&gt;NW),"",INDEX(WMON,H129)))</f>
        <v/>
      </c>
      <c r="J129">
        <f>IF(OR(G129="",H129="",B129=""),"",IF(B129="عمر المصري",SUMIFS('ساعات عمر'!$H$6:$H$588,'ساعات عمر'!$A$6:$A$588,"&gt;="&amp;(SAT1+7*(H129-1)),'ساعات عمر'!$A$6:$A$588,"&lt;="&amp;G129),SUMIFS('ساعات عبدالعزيز'!$F$6:$F$588,'ساعات عبدالعزيز'!$A$6:$A$588,"&gt;="&amp;(SAT1+7*(H129-1)),'ساعات عبدالعزيز'!$A$6:$A$588,"&lt;="&amp;G129)))</f>
        <v/>
      </c>
    </row>
    <row r="130">
      <c r="A130" s="48" t="n"/>
      <c r="B130" s="22" t="n"/>
      <c r="C130" s="49" t="n"/>
      <c r="D130" s="50" t="n"/>
      <c r="E130" s="51">
        <f>IF(G130="","",IF(OR(H130&lt;1,H130&gt;NW),"⛔ التاريخ برّا السنة",IF(AND(N(C130)&gt;0,N(J130)&gt;0,C130&gt;ADV_CAP*J130),"⚠️ أكثر من "&amp;TEXT(ADV_CAP,"0%")&amp;" من شغله ("&amp;TEXT(J130,"0.000")&amp;")","")))</f>
        <v/>
      </c>
      <c r="G130">
        <f>IF(A130="","",IF(ISNUMBER(A130),IF(A130&lt;=31,"",IF(A130&lt;=3112,IF(DATE(YR,MOD(A130,100),INT(A130/100))&gt;SAT1+7*NW-1,DATE(YR-1,MOD(A130,100),INT(A130/100)),DATE(YR,MOD(A130,100),INT(A130/100))),A130)),IFERROR(DATEVALUE(A130),"")))</f>
        <v/>
      </c>
      <c r="H130">
        <f>IF(G130="","",INT((G130-SAT1)/7)+1)</f>
        <v/>
      </c>
      <c r="I130">
        <f>IF(H130="","",IF(OR(H130&lt;1,H130&gt;NW),"",INDEX(WMON,H130)))</f>
        <v/>
      </c>
      <c r="J130">
        <f>IF(OR(G130="",H130="",B130=""),"",IF(B130="عمر المصري",SUMIFS('ساعات عمر'!$H$6:$H$588,'ساعات عمر'!$A$6:$A$588,"&gt;="&amp;(SAT1+7*(H130-1)),'ساعات عمر'!$A$6:$A$588,"&lt;="&amp;G130),SUMIFS('ساعات عبدالعزيز'!$F$6:$F$588,'ساعات عبدالعزيز'!$A$6:$A$588,"&gt;="&amp;(SAT1+7*(H130-1)),'ساعات عبدالعزيز'!$A$6:$A$588,"&lt;="&amp;G130)))</f>
        <v/>
      </c>
    </row>
    <row r="131">
      <c r="A131" s="48" t="n"/>
      <c r="B131" s="22" t="n"/>
      <c r="C131" s="49" t="n"/>
      <c r="D131" s="50" t="n"/>
      <c r="E131" s="51">
        <f>IF(G131="","",IF(OR(H131&lt;1,H131&gt;NW),"⛔ التاريخ برّا السنة",IF(AND(N(C131)&gt;0,N(J131)&gt;0,C131&gt;ADV_CAP*J131),"⚠️ أكثر من "&amp;TEXT(ADV_CAP,"0%")&amp;" من شغله ("&amp;TEXT(J131,"0.000")&amp;")","")))</f>
        <v/>
      </c>
      <c r="G131">
        <f>IF(A131="","",IF(ISNUMBER(A131),IF(A131&lt;=31,"",IF(A131&lt;=3112,IF(DATE(YR,MOD(A131,100),INT(A131/100))&gt;SAT1+7*NW-1,DATE(YR-1,MOD(A131,100),INT(A131/100)),DATE(YR,MOD(A131,100),INT(A131/100))),A131)),IFERROR(DATEVALUE(A131),"")))</f>
        <v/>
      </c>
      <c r="H131">
        <f>IF(G131="","",INT((G131-SAT1)/7)+1)</f>
        <v/>
      </c>
      <c r="I131">
        <f>IF(H131="","",IF(OR(H131&lt;1,H131&gt;NW),"",INDEX(WMON,H131)))</f>
        <v/>
      </c>
      <c r="J131">
        <f>IF(OR(G131="",H131="",B131=""),"",IF(B131="عمر المصري",SUMIFS('ساعات عمر'!$H$6:$H$588,'ساعات عمر'!$A$6:$A$588,"&gt;="&amp;(SAT1+7*(H131-1)),'ساعات عمر'!$A$6:$A$588,"&lt;="&amp;G131),SUMIFS('ساعات عبدالعزيز'!$F$6:$F$588,'ساعات عبدالعزيز'!$A$6:$A$588,"&gt;="&amp;(SAT1+7*(H131-1)),'ساعات عبدالعزيز'!$A$6:$A$588,"&lt;="&amp;G131)))</f>
        <v/>
      </c>
    </row>
    <row r="132">
      <c r="A132" s="48" t="n"/>
      <c r="B132" s="22" t="n"/>
      <c r="C132" s="49" t="n"/>
      <c r="D132" s="50" t="n"/>
      <c r="E132" s="51">
        <f>IF(G132="","",IF(OR(H132&lt;1,H132&gt;NW),"⛔ التاريخ برّا السنة",IF(AND(N(C132)&gt;0,N(J132)&gt;0,C132&gt;ADV_CAP*J132),"⚠️ أكثر من "&amp;TEXT(ADV_CAP,"0%")&amp;" من شغله ("&amp;TEXT(J132,"0.000")&amp;")","")))</f>
        <v/>
      </c>
      <c r="G132">
        <f>IF(A132="","",IF(ISNUMBER(A132),IF(A132&lt;=31,"",IF(A132&lt;=3112,IF(DATE(YR,MOD(A132,100),INT(A132/100))&gt;SAT1+7*NW-1,DATE(YR-1,MOD(A132,100),INT(A132/100)),DATE(YR,MOD(A132,100),INT(A132/100))),A132)),IFERROR(DATEVALUE(A132),"")))</f>
        <v/>
      </c>
      <c r="H132">
        <f>IF(G132="","",INT((G132-SAT1)/7)+1)</f>
        <v/>
      </c>
      <c r="I132">
        <f>IF(H132="","",IF(OR(H132&lt;1,H132&gt;NW),"",INDEX(WMON,H132)))</f>
        <v/>
      </c>
      <c r="J132">
        <f>IF(OR(G132="",H132="",B132=""),"",IF(B132="عمر المصري",SUMIFS('ساعات عمر'!$H$6:$H$588,'ساعات عمر'!$A$6:$A$588,"&gt;="&amp;(SAT1+7*(H132-1)),'ساعات عمر'!$A$6:$A$588,"&lt;="&amp;G132),SUMIFS('ساعات عبدالعزيز'!$F$6:$F$588,'ساعات عبدالعزيز'!$A$6:$A$588,"&gt;="&amp;(SAT1+7*(H132-1)),'ساعات عبدالعزيز'!$A$6:$A$588,"&lt;="&amp;G132)))</f>
        <v/>
      </c>
    </row>
    <row r="133">
      <c r="A133" s="48" t="n"/>
      <c r="B133" s="22" t="n"/>
      <c r="C133" s="49" t="n"/>
      <c r="D133" s="50" t="n"/>
      <c r="E133" s="51">
        <f>IF(G133="","",IF(OR(H133&lt;1,H133&gt;NW),"⛔ التاريخ برّا السنة",IF(AND(N(C133)&gt;0,N(J133)&gt;0,C133&gt;ADV_CAP*J133),"⚠️ أكثر من "&amp;TEXT(ADV_CAP,"0%")&amp;" من شغله ("&amp;TEXT(J133,"0.000")&amp;")","")))</f>
        <v/>
      </c>
      <c r="G133">
        <f>IF(A133="","",IF(ISNUMBER(A133),IF(A133&lt;=31,"",IF(A133&lt;=3112,IF(DATE(YR,MOD(A133,100),INT(A133/100))&gt;SAT1+7*NW-1,DATE(YR-1,MOD(A133,100),INT(A133/100)),DATE(YR,MOD(A133,100),INT(A133/100))),A133)),IFERROR(DATEVALUE(A133),"")))</f>
        <v/>
      </c>
      <c r="H133">
        <f>IF(G133="","",INT((G133-SAT1)/7)+1)</f>
        <v/>
      </c>
      <c r="I133">
        <f>IF(H133="","",IF(OR(H133&lt;1,H133&gt;NW),"",INDEX(WMON,H133)))</f>
        <v/>
      </c>
      <c r="J133">
        <f>IF(OR(G133="",H133="",B133=""),"",IF(B133="عمر المصري",SUMIFS('ساعات عمر'!$H$6:$H$588,'ساعات عمر'!$A$6:$A$588,"&gt;="&amp;(SAT1+7*(H133-1)),'ساعات عمر'!$A$6:$A$588,"&lt;="&amp;G133),SUMIFS('ساعات عبدالعزيز'!$F$6:$F$588,'ساعات عبدالعزيز'!$A$6:$A$588,"&gt;="&amp;(SAT1+7*(H133-1)),'ساعات عبدالعزيز'!$A$6:$A$588,"&lt;="&amp;G133)))</f>
        <v/>
      </c>
    </row>
    <row r="134">
      <c r="A134" s="48" t="n"/>
      <c r="B134" s="22" t="n"/>
      <c r="C134" s="49" t="n"/>
      <c r="D134" s="50" t="n"/>
      <c r="E134" s="51">
        <f>IF(G134="","",IF(OR(H134&lt;1,H134&gt;NW),"⛔ التاريخ برّا السنة",IF(AND(N(C134)&gt;0,N(J134)&gt;0,C134&gt;ADV_CAP*J134),"⚠️ أكثر من "&amp;TEXT(ADV_CAP,"0%")&amp;" من شغله ("&amp;TEXT(J134,"0.000")&amp;")","")))</f>
        <v/>
      </c>
      <c r="G134">
        <f>IF(A134="","",IF(ISNUMBER(A134),IF(A134&lt;=31,"",IF(A134&lt;=3112,IF(DATE(YR,MOD(A134,100),INT(A134/100))&gt;SAT1+7*NW-1,DATE(YR-1,MOD(A134,100),INT(A134/100)),DATE(YR,MOD(A134,100),INT(A134/100))),A134)),IFERROR(DATEVALUE(A134),"")))</f>
        <v/>
      </c>
      <c r="H134">
        <f>IF(G134="","",INT((G134-SAT1)/7)+1)</f>
        <v/>
      </c>
      <c r="I134">
        <f>IF(H134="","",IF(OR(H134&lt;1,H134&gt;NW),"",INDEX(WMON,H134)))</f>
        <v/>
      </c>
      <c r="J134">
        <f>IF(OR(G134="",H134="",B134=""),"",IF(B134="عمر المصري",SUMIFS('ساعات عمر'!$H$6:$H$588,'ساعات عمر'!$A$6:$A$588,"&gt;="&amp;(SAT1+7*(H134-1)),'ساعات عمر'!$A$6:$A$588,"&lt;="&amp;G134),SUMIFS('ساعات عبدالعزيز'!$F$6:$F$588,'ساعات عبدالعزيز'!$A$6:$A$588,"&gt;="&amp;(SAT1+7*(H134-1)),'ساعات عبدالعزيز'!$A$6:$A$588,"&lt;="&amp;G134)))</f>
        <v/>
      </c>
    </row>
    <row r="135">
      <c r="A135" s="48" t="n"/>
      <c r="B135" s="22" t="n"/>
      <c r="C135" s="49" t="n"/>
      <c r="D135" s="50" t="n"/>
      <c r="E135" s="51">
        <f>IF(G135="","",IF(OR(H135&lt;1,H135&gt;NW),"⛔ التاريخ برّا السنة",IF(AND(N(C135)&gt;0,N(J135)&gt;0,C135&gt;ADV_CAP*J135),"⚠️ أكثر من "&amp;TEXT(ADV_CAP,"0%")&amp;" من شغله ("&amp;TEXT(J135,"0.000")&amp;")","")))</f>
        <v/>
      </c>
      <c r="G135">
        <f>IF(A135="","",IF(ISNUMBER(A135),IF(A135&lt;=31,"",IF(A135&lt;=3112,IF(DATE(YR,MOD(A135,100),INT(A135/100))&gt;SAT1+7*NW-1,DATE(YR-1,MOD(A135,100),INT(A135/100)),DATE(YR,MOD(A135,100),INT(A135/100))),A135)),IFERROR(DATEVALUE(A135),"")))</f>
        <v/>
      </c>
      <c r="H135">
        <f>IF(G135="","",INT((G135-SAT1)/7)+1)</f>
        <v/>
      </c>
      <c r="I135">
        <f>IF(H135="","",IF(OR(H135&lt;1,H135&gt;NW),"",INDEX(WMON,H135)))</f>
        <v/>
      </c>
      <c r="J135">
        <f>IF(OR(G135="",H135="",B135=""),"",IF(B135="عمر المصري",SUMIFS('ساعات عمر'!$H$6:$H$588,'ساعات عمر'!$A$6:$A$588,"&gt;="&amp;(SAT1+7*(H135-1)),'ساعات عمر'!$A$6:$A$588,"&lt;="&amp;G135),SUMIFS('ساعات عبدالعزيز'!$F$6:$F$588,'ساعات عبدالعزيز'!$A$6:$A$588,"&gt;="&amp;(SAT1+7*(H135-1)),'ساعات عبدالعزيز'!$A$6:$A$588,"&lt;="&amp;G135)))</f>
        <v/>
      </c>
    </row>
    <row r="136">
      <c r="A136" s="48" t="n"/>
      <c r="B136" s="22" t="n"/>
      <c r="C136" s="49" t="n"/>
      <c r="D136" s="50" t="n"/>
      <c r="E136" s="51">
        <f>IF(G136="","",IF(OR(H136&lt;1,H136&gt;NW),"⛔ التاريخ برّا السنة",IF(AND(N(C136)&gt;0,N(J136)&gt;0,C136&gt;ADV_CAP*J136),"⚠️ أكثر من "&amp;TEXT(ADV_CAP,"0%")&amp;" من شغله ("&amp;TEXT(J136,"0.000")&amp;")","")))</f>
        <v/>
      </c>
      <c r="G136">
        <f>IF(A136="","",IF(ISNUMBER(A136),IF(A136&lt;=31,"",IF(A136&lt;=3112,IF(DATE(YR,MOD(A136,100),INT(A136/100))&gt;SAT1+7*NW-1,DATE(YR-1,MOD(A136,100),INT(A136/100)),DATE(YR,MOD(A136,100),INT(A136/100))),A136)),IFERROR(DATEVALUE(A136),"")))</f>
        <v/>
      </c>
      <c r="H136">
        <f>IF(G136="","",INT((G136-SAT1)/7)+1)</f>
        <v/>
      </c>
      <c r="I136">
        <f>IF(H136="","",IF(OR(H136&lt;1,H136&gt;NW),"",INDEX(WMON,H136)))</f>
        <v/>
      </c>
      <c r="J136">
        <f>IF(OR(G136="",H136="",B136=""),"",IF(B136="عمر المصري",SUMIFS('ساعات عمر'!$H$6:$H$588,'ساعات عمر'!$A$6:$A$588,"&gt;="&amp;(SAT1+7*(H136-1)),'ساعات عمر'!$A$6:$A$588,"&lt;="&amp;G136),SUMIFS('ساعات عبدالعزيز'!$F$6:$F$588,'ساعات عبدالعزيز'!$A$6:$A$588,"&gt;="&amp;(SAT1+7*(H136-1)),'ساعات عبدالعزيز'!$A$6:$A$588,"&lt;="&amp;G136)))</f>
        <v/>
      </c>
    </row>
    <row r="137">
      <c r="A137" s="48" t="n"/>
      <c r="B137" s="22" t="n"/>
      <c r="C137" s="49" t="n"/>
      <c r="D137" s="50" t="n"/>
      <c r="E137" s="51">
        <f>IF(G137="","",IF(OR(H137&lt;1,H137&gt;NW),"⛔ التاريخ برّا السنة",IF(AND(N(C137)&gt;0,N(J137)&gt;0,C137&gt;ADV_CAP*J137),"⚠️ أكثر من "&amp;TEXT(ADV_CAP,"0%")&amp;" من شغله ("&amp;TEXT(J137,"0.000")&amp;")","")))</f>
        <v/>
      </c>
      <c r="G137">
        <f>IF(A137="","",IF(ISNUMBER(A137),IF(A137&lt;=31,"",IF(A137&lt;=3112,IF(DATE(YR,MOD(A137,100),INT(A137/100))&gt;SAT1+7*NW-1,DATE(YR-1,MOD(A137,100),INT(A137/100)),DATE(YR,MOD(A137,100),INT(A137/100))),A137)),IFERROR(DATEVALUE(A137),"")))</f>
        <v/>
      </c>
      <c r="H137">
        <f>IF(G137="","",INT((G137-SAT1)/7)+1)</f>
        <v/>
      </c>
      <c r="I137">
        <f>IF(H137="","",IF(OR(H137&lt;1,H137&gt;NW),"",INDEX(WMON,H137)))</f>
        <v/>
      </c>
      <c r="J137">
        <f>IF(OR(G137="",H137="",B137=""),"",IF(B137="عمر المصري",SUMIFS('ساعات عمر'!$H$6:$H$588,'ساعات عمر'!$A$6:$A$588,"&gt;="&amp;(SAT1+7*(H137-1)),'ساعات عمر'!$A$6:$A$588,"&lt;="&amp;G137),SUMIFS('ساعات عبدالعزيز'!$F$6:$F$588,'ساعات عبدالعزيز'!$A$6:$A$588,"&gt;="&amp;(SAT1+7*(H137-1)),'ساعات عبدالعزيز'!$A$6:$A$588,"&lt;="&amp;G137)))</f>
        <v/>
      </c>
    </row>
    <row r="138">
      <c r="A138" s="48" t="n"/>
      <c r="B138" s="22" t="n"/>
      <c r="C138" s="49" t="n"/>
      <c r="D138" s="50" t="n"/>
      <c r="E138" s="51">
        <f>IF(G138="","",IF(OR(H138&lt;1,H138&gt;NW),"⛔ التاريخ برّا السنة",IF(AND(N(C138)&gt;0,N(J138)&gt;0,C138&gt;ADV_CAP*J138),"⚠️ أكثر من "&amp;TEXT(ADV_CAP,"0%")&amp;" من شغله ("&amp;TEXT(J138,"0.000")&amp;")","")))</f>
        <v/>
      </c>
      <c r="G138">
        <f>IF(A138="","",IF(ISNUMBER(A138),IF(A138&lt;=31,"",IF(A138&lt;=3112,IF(DATE(YR,MOD(A138,100),INT(A138/100))&gt;SAT1+7*NW-1,DATE(YR-1,MOD(A138,100),INT(A138/100)),DATE(YR,MOD(A138,100),INT(A138/100))),A138)),IFERROR(DATEVALUE(A138),"")))</f>
        <v/>
      </c>
      <c r="H138">
        <f>IF(G138="","",INT((G138-SAT1)/7)+1)</f>
        <v/>
      </c>
      <c r="I138">
        <f>IF(H138="","",IF(OR(H138&lt;1,H138&gt;NW),"",INDEX(WMON,H138)))</f>
        <v/>
      </c>
      <c r="J138">
        <f>IF(OR(G138="",H138="",B138=""),"",IF(B138="عمر المصري",SUMIFS('ساعات عمر'!$H$6:$H$588,'ساعات عمر'!$A$6:$A$588,"&gt;="&amp;(SAT1+7*(H138-1)),'ساعات عمر'!$A$6:$A$588,"&lt;="&amp;G138),SUMIFS('ساعات عبدالعزيز'!$F$6:$F$588,'ساعات عبدالعزيز'!$A$6:$A$588,"&gt;="&amp;(SAT1+7*(H138-1)),'ساعات عبدالعزيز'!$A$6:$A$588,"&lt;="&amp;G138)))</f>
        <v/>
      </c>
    </row>
    <row r="139">
      <c r="A139" s="48" t="n"/>
      <c r="B139" s="22" t="n"/>
      <c r="C139" s="49" t="n"/>
      <c r="D139" s="50" t="n"/>
      <c r="E139" s="51">
        <f>IF(G139="","",IF(OR(H139&lt;1,H139&gt;NW),"⛔ التاريخ برّا السنة",IF(AND(N(C139)&gt;0,N(J139)&gt;0,C139&gt;ADV_CAP*J139),"⚠️ أكثر من "&amp;TEXT(ADV_CAP,"0%")&amp;" من شغله ("&amp;TEXT(J139,"0.000")&amp;")","")))</f>
        <v/>
      </c>
      <c r="G139">
        <f>IF(A139="","",IF(ISNUMBER(A139),IF(A139&lt;=31,"",IF(A139&lt;=3112,IF(DATE(YR,MOD(A139,100),INT(A139/100))&gt;SAT1+7*NW-1,DATE(YR-1,MOD(A139,100),INT(A139/100)),DATE(YR,MOD(A139,100),INT(A139/100))),A139)),IFERROR(DATEVALUE(A139),"")))</f>
        <v/>
      </c>
      <c r="H139">
        <f>IF(G139="","",INT((G139-SAT1)/7)+1)</f>
        <v/>
      </c>
      <c r="I139">
        <f>IF(H139="","",IF(OR(H139&lt;1,H139&gt;NW),"",INDEX(WMON,H139)))</f>
        <v/>
      </c>
      <c r="J139">
        <f>IF(OR(G139="",H139="",B139=""),"",IF(B139="عمر المصري",SUMIFS('ساعات عمر'!$H$6:$H$588,'ساعات عمر'!$A$6:$A$588,"&gt;="&amp;(SAT1+7*(H139-1)),'ساعات عمر'!$A$6:$A$588,"&lt;="&amp;G139),SUMIFS('ساعات عبدالعزيز'!$F$6:$F$588,'ساعات عبدالعزيز'!$A$6:$A$588,"&gt;="&amp;(SAT1+7*(H139-1)),'ساعات عبدالعزيز'!$A$6:$A$588,"&lt;="&amp;G139)))</f>
        <v/>
      </c>
    </row>
    <row r="140">
      <c r="A140" s="48" t="n"/>
      <c r="B140" s="22" t="n"/>
      <c r="C140" s="49" t="n"/>
      <c r="D140" s="50" t="n"/>
      <c r="E140" s="51">
        <f>IF(G140="","",IF(OR(H140&lt;1,H140&gt;NW),"⛔ التاريخ برّا السنة",IF(AND(N(C140)&gt;0,N(J140)&gt;0,C140&gt;ADV_CAP*J140),"⚠️ أكثر من "&amp;TEXT(ADV_CAP,"0%")&amp;" من شغله ("&amp;TEXT(J140,"0.000")&amp;")","")))</f>
        <v/>
      </c>
      <c r="G140">
        <f>IF(A140="","",IF(ISNUMBER(A140),IF(A140&lt;=31,"",IF(A140&lt;=3112,IF(DATE(YR,MOD(A140,100),INT(A140/100))&gt;SAT1+7*NW-1,DATE(YR-1,MOD(A140,100),INT(A140/100)),DATE(YR,MOD(A140,100),INT(A140/100))),A140)),IFERROR(DATEVALUE(A140),"")))</f>
        <v/>
      </c>
      <c r="H140">
        <f>IF(G140="","",INT((G140-SAT1)/7)+1)</f>
        <v/>
      </c>
      <c r="I140">
        <f>IF(H140="","",IF(OR(H140&lt;1,H140&gt;NW),"",INDEX(WMON,H140)))</f>
        <v/>
      </c>
      <c r="J140">
        <f>IF(OR(G140="",H140="",B140=""),"",IF(B140="عمر المصري",SUMIFS('ساعات عمر'!$H$6:$H$588,'ساعات عمر'!$A$6:$A$588,"&gt;="&amp;(SAT1+7*(H140-1)),'ساعات عمر'!$A$6:$A$588,"&lt;="&amp;G140),SUMIFS('ساعات عبدالعزيز'!$F$6:$F$588,'ساعات عبدالعزيز'!$A$6:$A$588,"&gt;="&amp;(SAT1+7*(H140-1)),'ساعات عبدالعزيز'!$A$6:$A$588,"&lt;="&amp;G140)))</f>
        <v/>
      </c>
    </row>
    <row r="141">
      <c r="A141" s="48" t="n"/>
      <c r="B141" s="22" t="n"/>
      <c r="C141" s="49" t="n"/>
      <c r="D141" s="50" t="n"/>
      <c r="E141" s="51">
        <f>IF(G141="","",IF(OR(H141&lt;1,H141&gt;NW),"⛔ التاريخ برّا السنة",IF(AND(N(C141)&gt;0,N(J141)&gt;0,C141&gt;ADV_CAP*J141),"⚠️ أكثر من "&amp;TEXT(ADV_CAP,"0%")&amp;" من شغله ("&amp;TEXT(J141,"0.000")&amp;")","")))</f>
        <v/>
      </c>
      <c r="G141">
        <f>IF(A141="","",IF(ISNUMBER(A141),IF(A141&lt;=31,"",IF(A141&lt;=3112,IF(DATE(YR,MOD(A141,100),INT(A141/100))&gt;SAT1+7*NW-1,DATE(YR-1,MOD(A141,100),INT(A141/100)),DATE(YR,MOD(A141,100),INT(A141/100))),A141)),IFERROR(DATEVALUE(A141),"")))</f>
        <v/>
      </c>
      <c r="H141">
        <f>IF(G141="","",INT((G141-SAT1)/7)+1)</f>
        <v/>
      </c>
      <c r="I141">
        <f>IF(H141="","",IF(OR(H141&lt;1,H141&gt;NW),"",INDEX(WMON,H141)))</f>
        <v/>
      </c>
      <c r="J141">
        <f>IF(OR(G141="",H141="",B141=""),"",IF(B141="عمر المصري",SUMIFS('ساعات عمر'!$H$6:$H$588,'ساعات عمر'!$A$6:$A$588,"&gt;="&amp;(SAT1+7*(H141-1)),'ساعات عمر'!$A$6:$A$588,"&lt;="&amp;G141),SUMIFS('ساعات عبدالعزيز'!$F$6:$F$588,'ساعات عبدالعزيز'!$A$6:$A$588,"&gt;="&amp;(SAT1+7*(H141-1)),'ساعات عبدالعزيز'!$A$6:$A$588,"&lt;="&amp;G141)))</f>
        <v/>
      </c>
    </row>
    <row r="142">
      <c r="A142" s="48" t="n"/>
      <c r="B142" s="22" t="n"/>
      <c r="C142" s="49" t="n"/>
      <c r="D142" s="50" t="n"/>
      <c r="E142" s="51">
        <f>IF(G142="","",IF(OR(H142&lt;1,H142&gt;NW),"⛔ التاريخ برّا السنة",IF(AND(N(C142)&gt;0,N(J142)&gt;0,C142&gt;ADV_CAP*J142),"⚠️ أكثر من "&amp;TEXT(ADV_CAP,"0%")&amp;" من شغله ("&amp;TEXT(J142,"0.000")&amp;")","")))</f>
        <v/>
      </c>
      <c r="G142">
        <f>IF(A142="","",IF(ISNUMBER(A142),IF(A142&lt;=31,"",IF(A142&lt;=3112,IF(DATE(YR,MOD(A142,100),INT(A142/100))&gt;SAT1+7*NW-1,DATE(YR-1,MOD(A142,100),INT(A142/100)),DATE(YR,MOD(A142,100),INT(A142/100))),A142)),IFERROR(DATEVALUE(A142),"")))</f>
        <v/>
      </c>
      <c r="H142">
        <f>IF(G142="","",INT((G142-SAT1)/7)+1)</f>
        <v/>
      </c>
      <c r="I142">
        <f>IF(H142="","",IF(OR(H142&lt;1,H142&gt;NW),"",INDEX(WMON,H142)))</f>
        <v/>
      </c>
      <c r="J142">
        <f>IF(OR(G142="",H142="",B142=""),"",IF(B142="عمر المصري",SUMIFS('ساعات عمر'!$H$6:$H$588,'ساعات عمر'!$A$6:$A$588,"&gt;="&amp;(SAT1+7*(H142-1)),'ساعات عمر'!$A$6:$A$588,"&lt;="&amp;G142),SUMIFS('ساعات عبدالعزيز'!$F$6:$F$588,'ساعات عبدالعزيز'!$A$6:$A$588,"&gt;="&amp;(SAT1+7*(H142-1)),'ساعات عبدالعزيز'!$A$6:$A$588,"&lt;="&amp;G142)))</f>
        <v/>
      </c>
    </row>
    <row r="143">
      <c r="A143" s="48" t="n"/>
      <c r="B143" s="22" t="n"/>
      <c r="C143" s="49" t="n"/>
      <c r="D143" s="50" t="n"/>
      <c r="E143" s="51">
        <f>IF(G143="","",IF(OR(H143&lt;1,H143&gt;NW),"⛔ التاريخ برّا السنة",IF(AND(N(C143)&gt;0,N(J143)&gt;0,C143&gt;ADV_CAP*J143),"⚠️ أكثر من "&amp;TEXT(ADV_CAP,"0%")&amp;" من شغله ("&amp;TEXT(J143,"0.000")&amp;")","")))</f>
        <v/>
      </c>
      <c r="G143">
        <f>IF(A143="","",IF(ISNUMBER(A143),IF(A143&lt;=31,"",IF(A143&lt;=3112,IF(DATE(YR,MOD(A143,100),INT(A143/100))&gt;SAT1+7*NW-1,DATE(YR-1,MOD(A143,100),INT(A143/100)),DATE(YR,MOD(A143,100),INT(A143/100))),A143)),IFERROR(DATEVALUE(A143),"")))</f>
        <v/>
      </c>
      <c r="H143">
        <f>IF(G143="","",INT((G143-SAT1)/7)+1)</f>
        <v/>
      </c>
      <c r="I143">
        <f>IF(H143="","",IF(OR(H143&lt;1,H143&gt;NW),"",INDEX(WMON,H143)))</f>
        <v/>
      </c>
      <c r="J143">
        <f>IF(OR(G143="",H143="",B143=""),"",IF(B143="عمر المصري",SUMIFS('ساعات عمر'!$H$6:$H$588,'ساعات عمر'!$A$6:$A$588,"&gt;="&amp;(SAT1+7*(H143-1)),'ساعات عمر'!$A$6:$A$588,"&lt;="&amp;G143),SUMIFS('ساعات عبدالعزيز'!$F$6:$F$588,'ساعات عبدالعزيز'!$A$6:$A$588,"&gt;="&amp;(SAT1+7*(H143-1)),'ساعات عبدالعزيز'!$A$6:$A$588,"&lt;="&amp;G143)))</f>
        <v/>
      </c>
    </row>
    <row r="144">
      <c r="A144" s="48" t="n"/>
      <c r="B144" s="22" t="n"/>
      <c r="C144" s="49" t="n"/>
      <c r="D144" s="50" t="n"/>
      <c r="E144" s="51">
        <f>IF(G144="","",IF(OR(H144&lt;1,H144&gt;NW),"⛔ التاريخ برّا السنة",IF(AND(N(C144)&gt;0,N(J144)&gt;0,C144&gt;ADV_CAP*J144),"⚠️ أكثر من "&amp;TEXT(ADV_CAP,"0%")&amp;" من شغله ("&amp;TEXT(J144,"0.000")&amp;")","")))</f>
        <v/>
      </c>
      <c r="G144">
        <f>IF(A144="","",IF(ISNUMBER(A144),IF(A144&lt;=31,"",IF(A144&lt;=3112,IF(DATE(YR,MOD(A144,100),INT(A144/100))&gt;SAT1+7*NW-1,DATE(YR-1,MOD(A144,100),INT(A144/100)),DATE(YR,MOD(A144,100),INT(A144/100))),A144)),IFERROR(DATEVALUE(A144),"")))</f>
        <v/>
      </c>
      <c r="H144">
        <f>IF(G144="","",INT((G144-SAT1)/7)+1)</f>
        <v/>
      </c>
      <c r="I144">
        <f>IF(H144="","",IF(OR(H144&lt;1,H144&gt;NW),"",INDEX(WMON,H144)))</f>
        <v/>
      </c>
      <c r="J144">
        <f>IF(OR(G144="",H144="",B144=""),"",IF(B144="عمر المصري",SUMIFS('ساعات عمر'!$H$6:$H$588,'ساعات عمر'!$A$6:$A$588,"&gt;="&amp;(SAT1+7*(H144-1)),'ساعات عمر'!$A$6:$A$588,"&lt;="&amp;G144),SUMIFS('ساعات عبدالعزيز'!$F$6:$F$588,'ساعات عبدالعزيز'!$A$6:$A$588,"&gt;="&amp;(SAT1+7*(H144-1)),'ساعات عبدالعزيز'!$A$6:$A$588,"&lt;="&amp;G144)))</f>
        <v/>
      </c>
    </row>
    <row r="145">
      <c r="A145" s="48" t="n"/>
      <c r="B145" s="22" t="n"/>
      <c r="C145" s="49" t="n"/>
      <c r="D145" s="50" t="n"/>
      <c r="E145" s="51">
        <f>IF(G145="","",IF(OR(H145&lt;1,H145&gt;NW),"⛔ التاريخ برّا السنة",IF(AND(N(C145)&gt;0,N(J145)&gt;0,C145&gt;ADV_CAP*J145),"⚠️ أكثر من "&amp;TEXT(ADV_CAP,"0%")&amp;" من شغله ("&amp;TEXT(J145,"0.000")&amp;")","")))</f>
        <v/>
      </c>
      <c r="G145">
        <f>IF(A145="","",IF(ISNUMBER(A145),IF(A145&lt;=31,"",IF(A145&lt;=3112,IF(DATE(YR,MOD(A145,100),INT(A145/100))&gt;SAT1+7*NW-1,DATE(YR-1,MOD(A145,100),INT(A145/100)),DATE(YR,MOD(A145,100),INT(A145/100))),A145)),IFERROR(DATEVALUE(A145),"")))</f>
        <v/>
      </c>
      <c r="H145">
        <f>IF(G145="","",INT((G145-SAT1)/7)+1)</f>
        <v/>
      </c>
      <c r="I145">
        <f>IF(H145="","",IF(OR(H145&lt;1,H145&gt;NW),"",INDEX(WMON,H145)))</f>
        <v/>
      </c>
      <c r="J145">
        <f>IF(OR(G145="",H145="",B145=""),"",IF(B145="عمر المصري",SUMIFS('ساعات عمر'!$H$6:$H$588,'ساعات عمر'!$A$6:$A$588,"&gt;="&amp;(SAT1+7*(H145-1)),'ساعات عمر'!$A$6:$A$588,"&lt;="&amp;G145),SUMIFS('ساعات عبدالعزيز'!$F$6:$F$588,'ساعات عبدالعزيز'!$A$6:$A$588,"&gt;="&amp;(SAT1+7*(H145-1)),'ساعات عبدالعزيز'!$A$6:$A$588,"&lt;="&amp;G145)))</f>
        <v/>
      </c>
    </row>
    <row r="146">
      <c r="A146" s="48" t="n"/>
      <c r="B146" s="22" t="n"/>
      <c r="C146" s="49" t="n"/>
      <c r="D146" s="50" t="n"/>
      <c r="E146" s="51">
        <f>IF(G146="","",IF(OR(H146&lt;1,H146&gt;NW),"⛔ التاريخ برّا السنة",IF(AND(N(C146)&gt;0,N(J146)&gt;0,C146&gt;ADV_CAP*J146),"⚠️ أكثر من "&amp;TEXT(ADV_CAP,"0%")&amp;" من شغله ("&amp;TEXT(J146,"0.000")&amp;")","")))</f>
        <v/>
      </c>
      <c r="G146">
        <f>IF(A146="","",IF(ISNUMBER(A146),IF(A146&lt;=31,"",IF(A146&lt;=3112,IF(DATE(YR,MOD(A146,100),INT(A146/100))&gt;SAT1+7*NW-1,DATE(YR-1,MOD(A146,100),INT(A146/100)),DATE(YR,MOD(A146,100),INT(A146/100))),A146)),IFERROR(DATEVALUE(A146),"")))</f>
        <v/>
      </c>
      <c r="H146">
        <f>IF(G146="","",INT((G146-SAT1)/7)+1)</f>
        <v/>
      </c>
      <c r="I146">
        <f>IF(H146="","",IF(OR(H146&lt;1,H146&gt;NW),"",INDEX(WMON,H146)))</f>
        <v/>
      </c>
      <c r="J146">
        <f>IF(OR(G146="",H146="",B146=""),"",IF(B146="عمر المصري",SUMIFS('ساعات عمر'!$H$6:$H$588,'ساعات عمر'!$A$6:$A$588,"&gt;="&amp;(SAT1+7*(H146-1)),'ساعات عمر'!$A$6:$A$588,"&lt;="&amp;G146),SUMIFS('ساعات عبدالعزيز'!$F$6:$F$588,'ساعات عبدالعزيز'!$A$6:$A$588,"&gt;="&amp;(SAT1+7*(H146-1)),'ساعات عبدالعزيز'!$A$6:$A$588,"&lt;="&amp;G146)))</f>
        <v/>
      </c>
    </row>
    <row r="147">
      <c r="A147" s="48" t="n"/>
      <c r="B147" s="22" t="n"/>
      <c r="C147" s="49" t="n"/>
      <c r="D147" s="50" t="n"/>
      <c r="E147" s="51">
        <f>IF(G147="","",IF(OR(H147&lt;1,H147&gt;NW),"⛔ التاريخ برّا السنة",IF(AND(N(C147)&gt;0,N(J147)&gt;0,C147&gt;ADV_CAP*J147),"⚠️ أكثر من "&amp;TEXT(ADV_CAP,"0%")&amp;" من شغله ("&amp;TEXT(J147,"0.000")&amp;")","")))</f>
        <v/>
      </c>
      <c r="G147">
        <f>IF(A147="","",IF(ISNUMBER(A147),IF(A147&lt;=31,"",IF(A147&lt;=3112,IF(DATE(YR,MOD(A147,100),INT(A147/100))&gt;SAT1+7*NW-1,DATE(YR-1,MOD(A147,100),INT(A147/100)),DATE(YR,MOD(A147,100),INT(A147/100))),A147)),IFERROR(DATEVALUE(A147),"")))</f>
        <v/>
      </c>
      <c r="H147">
        <f>IF(G147="","",INT((G147-SAT1)/7)+1)</f>
        <v/>
      </c>
      <c r="I147">
        <f>IF(H147="","",IF(OR(H147&lt;1,H147&gt;NW),"",INDEX(WMON,H147)))</f>
        <v/>
      </c>
      <c r="J147">
        <f>IF(OR(G147="",H147="",B147=""),"",IF(B147="عمر المصري",SUMIFS('ساعات عمر'!$H$6:$H$588,'ساعات عمر'!$A$6:$A$588,"&gt;="&amp;(SAT1+7*(H147-1)),'ساعات عمر'!$A$6:$A$588,"&lt;="&amp;G147),SUMIFS('ساعات عبدالعزيز'!$F$6:$F$588,'ساعات عبدالعزيز'!$A$6:$A$588,"&gt;="&amp;(SAT1+7*(H147-1)),'ساعات عبدالعزيز'!$A$6:$A$588,"&lt;="&amp;G147)))</f>
        <v/>
      </c>
    </row>
    <row r="148">
      <c r="A148" s="48" t="n"/>
      <c r="B148" s="22" t="n"/>
      <c r="C148" s="49" t="n"/>
      <c r="D148" s="50" t="n"/>
      <c r="E148" s="51">
        <f>IF(G148="","",IF(OR(H148&lt;1,H148&gt;NW),"⛔ التاريخ برّا السنة",IF(AND(N(C148)&gt;0,N(J148)&gt;0,C148&gt;ADV_CAP*J148),"⚠️ أكثر من "&amp;TEXT(ADV_CAP,"0%")&amp;" من شغله ("&amp;TEXT(J148,"0.000")&amp;")","")))</f>
        <v/>
      </c>
      <c r="G148">
        <f>IF(A148="","",IF(ISNUMBER(A148),IF(A148&lt;=31,"",IF(A148&lt;=3112,IF(DATE(YR,MOD(A148,100),INT(A148/100))&gt;SAT1+7*NW-1,DATE(YR-1,MOD(A148,100),INT(A148/100)),DATE(YR,MOD(A148,100),INT(A148/100))),A148)),IFERROR(DATEVALUE(A148),"")))</f>
        <v/>
      </c>
      <c r="H148">
        <f>IF(G148="","",INT((G148-SAT1)/7)+1)</f>
        <v/>
      </c>
      <c r="I148">
        <f>IF(H148="","",IF(OR(H148&lt;1,H148&gt;NW),"",INDEX(WMON,H148)))</f>
        <v/>
      </c>
      <c r="J148">
        <f>IF(OR(G148="",H148="",B148=""),"",IF(B148="عمر المصري",SUMIFS('ساعات عمر'!$H$6:$H$588,'ساعات عمر'!$A$6:$A$588,"&gt;="&amp;(SAT1+7*(H148-1)),'ساعات عمر'!$A$6:$A$588,"&lt;="&amp;G148),SUMIFS('ساعات عبدالعزيز'!$F$6:$F$588,'ساعات عبدالعزيز'!$A$6:$A$588,"&gt;="&amp;(SAT1+7*(H148-1)),'ساعات عبدالعزيز'!$A$6:$A$588,"&lt;="&amp;G148)))</f>
        <v/>
      </c>
    </row>
    <row r="149">
      <c r="A149" s="48" t="n"/>
      <c r="B149" s="22" t="n"/>
      <c r="C149" s="49" t="n"/>
      <c r="D149" s="50" t="n"/>
      <c r="E149" s="51">
        <f>IF(G149="","",IF(OR(H149&lt;1,H149&gt;NW),"⛔ التاريخ برّا السنة",IF(AND(N(C149)&gt;0,N(J149)&gt;0,C149&gt;ADV_CAP*J149),"⚠️ أكثر من "&amp;TEXT(ADV_CAP,"0%")&amp;" من شغله ("&amp;TEXT(J149,"0.000")&amp;")","")))</f>
        <v/>
      </c>
      <c r="G149">
        <f>IF(A149="","",IF(ISNUMBER(A149),IF(A149&lt;=31,"",IF(A149&lt;=3112,IF(DATE(YR,MOD(A149,100),INT(A149/100))&gt;SAT1+7*NW-1,DATE(YR-1,MOD(A149,100),INT(A149/100)),DATE(YR,MOD(A149,100),INT(A149/100))),A149)),IFERROR(DATEVALUE(A149),"")))</f>
        <v/>
      </c>
      <c r="H149">
        <f>IF(G149="","",INT((G149-SAT1)/7)+1)</f>
        <v/>
      </c>
      <c r="I149">
        <f>IF(H149="","",IF(OR(H149&lt;1,H149&gt;NW),"",INDEX(WMON,H149)))</f>
        <v/>
      </c>
      <c r="J149">
        <f>IF(OR(G149="",H149="",B149=""),"",IF(B149="عمر المصري",SUMIFS('ساعات عمر'!$H$6:$H$588,'ساعات عمر'!$A$6:$A$588,"&gt;="&amp;(SAT1+7*(H149-1)),'ساعات عمر'!$A$6:$A$588,"&lt;="&amp;G149),SUMIFS('ساعات عبدالعزيز'!$F$6:$F$588,'ساعات عبدالعزيز'!$A$6:$A$588,"&gt;="&amp;(SAT1+7*(H149-1)),'ساعات عبدالعزيز'!$A$6:$A$588,"&lt;="&amp;G149)))</f>
        <v/>
      </c>
    </row>
    <row r="150">
      <c r="A150" s="48" t="n"/>
      <c r="B150" s="22" t="n"/>
      <c r="C150" s="49" t="n"/>
      <c r="D150" s="50" t="n"/>
      <c r="E150" s="51">
        <f>IF(G150="","",IF(OR(H150&lt;1,H150&gt;NW),"⛔ التاريخ برّا السنة",IF(AND(N(C150)&gt;0,N(J150)&gt;0,C150&gt;ADV_CAP*J150),"⚠️ أكثر من "&amp;TEXT(ADV_CAP,"0%")&amp;" من شغله ("&amp;TEXT(J150,"0.000")&amp;")","")))</f>
        <v/>
      </c>
      <c r="G150">
        <f>IF(A150="","",IF(ISNUMBER(A150),IF(A150&lt;=31,"",IF(A150&lt;=3112,IF(DATE(YR,MOD(A150,100),INT(A150/100))&gt;SAT1+7*NW-1,DATE(YR-1,MOD(A150,100),INT(A150/100)),DATE(YR,MOD(A150,100),INT(A150/100))),A150)),IFERROR(DATEVALUE(A150),"")))</f>
        <v/>
      </c>
      <c r="H150">
        <f>IF(G150="","",INT((G150-SAT1)/7)+1)</f>
        <v/>
      </c>
      <c r="I150">
        <f>IF(H150="","",IF(OR(H150&lt;1,H150&gt;NW),"",INDEX(WMON,H150)))</f>
        <v/>
      </c>
      <c r="J150">
        <f>IF(OR(G150="",H150="",B150=""),"",IF(B150="عمر المصري",SUMIFS('ساعات عمر'!$H$6:$H$588,'ساعات عمر'!$A$6:$A$588,"&gt;="&amp;(SAT1+7*(H150-1)),'ساعات عمر'!$A$6:$A$588,"&lt;="&amp;G150),SUMIFS('ساعات عبدالعزيز'!$F$6:$F$588,'ساعات عبدالعزيز'!$A$6:$A$588,"&gt;="&amp;(SAT1+7*(H150-1)),'ساعات عبدالعزيز'!$A$6:$A$588,"&lt;="&amp;G150)))</f>
        <v/>
      </c>
    </row>
    <row r="151">
      <c r="A151" s="48" t="n"/>
      <c r="B151" s="22" t="n"/>
      <c r="C151" s="49" t="n"/>
      <c r="D151" s="50" t="n"/>
      <c r="E151" s="51">
        <f>IF(G151="","",IF(OR(H151&lt;1,H151&gt;NW),"⛔ التاريخ برّا السنة",IF(AND(N(C151)&gt;0,N(J151)&gt;0,C151&gt;ADV_CAP*J151),"⚠️ أكثر من "&amp;TEXT(ADV_CAP,"0%")&amp;" من شغله ("&amp;TEXT(J151,"0.000")&amp;")","")))</f>
        <v/>
      </c>
      <c r="G151">
        <f>IF(A151="","",IF(ISNUMBER(A151),IF(A151&lt;=31,"",IF(A151&lt;=3112,IF(DATE(YR,MOD(A151,100),INT(A151/100))&gt;SAT1+7*NW-1,DATE(YR-1,MOD(A151,100),INT(A151/100)),DATE(YR,MOD(A151,100),INT(A151/100))),A151)),IFERROR(DATEVALUE(A151),"")))</f>
        <v/>
      </c>
      <c r="H151">
        <f>IF(G151="","",INT((G151-SAT1)/7)+1)</f>
        <v/>
      </c>
      <c r="I151">
        <f>IF(H151="","",IF(OR(H151&lt;1,H151&gt;NW),"",INDEX(WMON,H151)))</f>
        <v/>
      </c>
      <c r="J151">
        <f>IF(OR(G151="",H151="",B151=""),"",IF(B151="عمر المصري",SUMIFS('ساعات عمر'!$H$6:$H$588,'ساعات عمر'!$A$6:$A$588,"&gt;="&amp;(SAT1+7*(H151-1)),'ساعات عمر'!$A$6:$A$588,"&lt;="&amp;G151),SUMIFS('ساعات عبدالعزيز'!$F$6:$F$588,'ساعات عبدالعزيز'!$A$6:$A$588,"&gt;="&amp;(SAT1+7*(H151-1)),'ساعات عبدالعزيز'!$A$6:$A$588,"&lt;="&amp;G151)))</f>
        <v/>
      </c>
    </row>
    <row r="152">
      <c r="A152" s="48" t="n"/>
      <c r="B152" s="22" t="n"/>
      <c r="C152" s="49" t="n"/>
      <c r="D152" s="50" t="n"/>
      <c r="E152" s="51">
        <f>IF(G152="","",IF(OR(H152&lt;1,H152&gt;NW),"⛔ التاريخ برّا السنة",IF(AND(N(C152)&gt;0,N(J152)&gt;0,C152&gt;ADV_CAP*J152),"⚠️ أكثر من "&amp;TEXT(ADV_CAP,"0%")&amp;" من شغله ("&amp;TEXT(J152,"0.000")&amp;")","")))</f>
        <v/>
      </c>
      <c r="G152">
        <f>IF(A152="","",IF(ISNUMBER(A152),IF(A152&lt;=31,"",IF(A152&lt;=3112,IF(DATE(YR,MOD(A152,100),INT(A152/100))&gt;SAT1+7*NW-1,DATE(YR-1,MOD(A152,100),INT(A152/100)),DATE(YR,MOD(A152,100),INT(A152/100))),A152)),IFERROR(DATEVALUE(A152),"")))</f>
        <v/>
      </c>
      <c r="H152">
        <f>IF(G152="","",INT((G152-SAT1)/7)+1)</f>
        <v/>
      </c>
      <c r="I152">
        <f>IF(H152="","",IF(OR(H152&lt;1,H152&gt;NW),"",INDEX(WMON,H152)))</f>
        <v/>
      </c>
      <c r="J152">
        <f>IF(OR(G152="",H152="",B152=""),"",IF(B152="عمر المصري",SUMIFS('ساعات عمر'!$H$6:$H$588,'ساعات عمر'!$A$6:$A$588,"&gt;="&amp;(SAT1+7*(H152-1)),'ساعات عمر'!$A$6:$A$588,"&lt;="&amp;G152),SUMIFS('ساعات عبدالعزيز'!$F$6:$F$588,'ساعات عبدالعزيز'!$A$6:$A$588,"&gt;="&amp;(SAT1+7*(H152-1)),'ساعات عبدالعزيز'!$A$6:$A$588,"&lt;="&amp;G152)))</f>
        <v/>
      </c>
    </row>
    <row r="153">
      <c r="A153" s="48" t="n"/>
      <c r="B153" s="22" t="n"/>
      <c r="C153" s="49" t="n"/>
      <c r="D153" s="50" t="n"/>
      <c r="E153" s="51">
        <f>IF(G153="","",IF(OR(H153&lt;1,H153&gt;NW),"⛔ التاريخ برّا السنة",IF(AND(N(C153)&gt;0,N(J153)&gt;0,C153&gt;ADV_CAP*J153),"⚠️ أكثر من "&amp;TEXT(ADV_CAP,"0%")&amp;" من شغله ("&amp;TEXT(J153,"0.000")&amp;")","")))</f>
        <v/>
      </c>
      <c r="G153">
        <f>IF(A153="","",IF(ISNUMBER(A153),IF(A153&lt;=31,"",IF(A153&lt;=3112,IF(DATE(YR,MOD(A153,100),INT(A153/100))&gt;SAT1+7*NW-1,DATE(YR-1,MOD(A153,100),INT(A153/100)),DATE(YR,MOD(A153,100),INT(A153/100))),A153)),IFERROR(DATEVALUE(A153),"")))</f>
        <v/>
      </c>
      <c r="H153">
        <f>IF(G153="","",INT((G153-SAT1)/7)+1)</f>
        <v/>
      </c>
      <c r="I153">
        <f>IF(H153="","",IF(OR(H153&lt;1,H153&gt;NW),"",INDEX(WMON,H153)))</f>
        <v/>
      </c>
      <c r="J153">
        <f>IF(OR(G153="",H153="",B153=""),"",IF(B153="عمر المصري",SUMIFS('ساعات عمر'!$H$6:$H$588,'ساعات عمر'!$A$6:$A$588,"&gt;="&amp;(SAT1+7*(H153-1)),'ساعات عمر'!$A$6:$A$588,"&lt;="&amp;G153),SUMIFS('ساعات عبدالعزيز'!$F$6:$F$588,'ساعات عبدالعزيز'!$A$6:$A$588,"&gt;="&amp;(SAT1+7*(H153-1)),'ساعات عبدالعزيز'!$A$6:$A$588,"&lt;="&amp;G153)))</f>
        <v/>
      </c>
    </row>
    <row r="154">
      <c r="A154" s="48" t="n"/>
      <c r="B154" s="22" t="n"/>
      <c r="C154" s="49" t="n"/>
      <c r="D154" s="50" t="n"/>
      <c r="E154" s="51">
        <f>IF(G154="","",IF(OR(H154&lt;1,H154&gt;NW),"⛔ التاريخ برّا السنة",IF(AND(N(C154)&gt;0,N(J154)&gt;0,C154&gt;ADV_CAP*J154),"⚠️ أكثر من "&amp;TEXT(ADV_CAP,"0%")&amp;" من شغله ("&amp;TEXT(J154,"0.000")&amp;")","")))</f>
        <v/>
      </c>
      <c r="G154">
        <f>IF(A154="","",IF(ISNUMBER(A154),IF(A154&lt;=31,"",IF(A154&lt;=3112,IF(DATE(YR,MOD(A154,100),INT(A154/100))&gt;SAT1+7*NW-1,DATE(YR-1,MOD(A154,100),INT(A154/100)),DATE(YR,MOD(A154,100),INT(A154/100))),A154)),IFERROR(DATEVALUE(A154),"")))</f>
        <v/>
      </c>
      <c r="H154">
        <f>IF(G154="","",INT((G154-SAT1)/7)+1)</f>
        <v/>
      </c>
      <c r="I154">
        <f>IF(H154="","",IF(OR(H154&lt;1,H154&gt;NW),"",INDEX(WMON,H154)))</f>
        <v/>
      </c>
      <c r="J154">
        <f>IF(OR(G154="",H154="",B154=""),"",IF(B154="عمر المصري",SUMIFS('ساعات عمر'!$H$6:$H$588,'ساعات عمر'!$A$6:$A$588,"&gt;="&amp;(SAT1+7*(H154-1)),'ساعات عمر'!$A$6:$A$588,"&lt;="&amp;G154),SUMIFS('ساعات عبدالعزيز'!$F$6:$F$588,'ساعات عبدالعزيز'!$A$6:$A$588,"&gt;="&amp;(SAT1+7*(H154-1)),'ساعات عبدالعزيز'!$A$6:$A$588,"&lt;="&amp;G154)))</f>
        <v/>
      </c>
    </row>
    <row r="155">
      <c r="A155" s="48" t="n"/>
      <c r="B155" s="22" t="n"/>
      <c r="C155" s="49" t="n"/>
      <c r="D155" s="50" t="n"/>
      <c r="E155" s="51">
        <f>IF(G155="","",IF(OR(H155&lt;1,H155&gt;NW),"⛔ التاريخ برّا السنة",IF(AND(N(C155)&gt;0,N(J155)&gt;0,C155&gt;ADV_CAP*J155),"⚠️ أكثر من "&amp;TEXT(ADV_CAP,"0%")&amp;" من شغله ("&amp;TEXT(J155,"0.000")&amp;")","")))</f>
        <v/>
      </c>
      <c r="G155">
        <f>IF(A155="","",IF(ISNUMBER(A155),IF(A155&lt;=31,"",IF(A155&lt;=3112,IF(DATE(YR,MOD(A155,100),INT(A155/100))&gt;SAT1+7*NW-1,DATE(YR-1,MOD(A155,100),INT(A155/100)),DATE(YR,MOD(A155,100),INT(A155/100))),A155)),IFERROR(DATEVALUE(A155),"")))</f>
        <v/>
      </c>
      <c r="H155">
        <f>IF(G155="","",INT((G155-SAT1)/7)+1)</f>
        <v/>
      </c>
      <c r="I155">
        <f>IF(H155="","",IF(OR(H155&lt;1,H155&gt;NW),"",INDEX(WMON,H155)))</f>
        <v/>
      </c>
      <c r="J155">
        <f>IF(OR(G155="",H155="",B155=""),"",IF(B155="عمر المصري",SUMIFS('ساعات عمر'!$H$6:$H$588,'ساعات عمر'!$A$6:$A$588,"&gt;="&amp;(SAT1+7*(H155-1)),'ساعات عمر'!$A$6:$A$588,"&lt;="&amp;G155),SUMIFS('ساعات عبدالعزيز'!$F$6:$F$588,'ساعات عبدالعزيز'!$A$6:$A$588,"&gt;="&amp;(SAT1+7*(H155-1)),'ساعات عبدالعزيز'!$A$6:$A$588,"&lt;="&amp;G155)))</f>
        <v/>
      </c>
    </row>
    <row r="156">
      <c r="A156" s="48" t="n"/>
      <c r="B156" s="22" t="n"/>
      <c r="C156" s="49" t="n"/>
      <c r="D156" s="50" t="n"/>
      <c r="E156" s="51">
        <f>IF(G156="","",IF(OR(H156&lt;1,H156&gt;NW),"⛔ التاريخ برّا السنة",IF(AND(N(C156)&gt;0,N(J156)&gt;0,C156&gt;ADV_CAP*J156),"⚠️ أكثر من "&amp;TEXT(ADV_CAP,"0%")&amp;" من شغله ("&amp;TEXT(J156,"0.000")&amp;")","")))</f>
        <v/>
      </c>
      <c r="G156">
        <f>IF(A156="","",IF(ISNUMBER(A156),IF(A156&lt;=31,"",IF(A156&lt;=3112,IF(DATE(YR,MOD(A156,100),INT(A156/100))&gt;SAT1+7*NW-1,DATE(YR-1,MOD(A156,100),INT(A156/100)),DATE(YR,MOD(A156,100),INT(A156/100))),A156)),IFERROR(DATEVALUE(A156),"")))</f>
        <v/>
      </c>
      <c r="H156">
        <f>IF(G156="","",INT((G156-SAT1)/7)+1)</f>
        <v/>
      </c>
      <c r="I156">
        <f>IF(H156="","",IF(OR(H156&lt;1,H156&gt;NW),"",INDEX(WMON,H156)))</f>
        <v/>
      </c>
      <c r="J156">
        <f>IF(OR(G156="",H156="",B156=""),"",IF(B156="عمر المصري",SUMIFS('ساعات عمر'!$H$6:$H$588,'ساعات عمر'!$A$6:$A$588,"&gt;="&amp;(SAT1+7*(H156-1)),'ساعات عمر'!$A$6:$A$588,"&lt;="&amp;G156),SUMIFS('ساعات عبدالعزيز'!$F$6:$F$588,'ساعات عبدالعزيز'!$A$6:$A$588,"&gt;="&amp;(SAT1+7*(H156-1)),'ساعات عبدالعزيز'!$A$6:$A$588,"&lt;="&amp;G156)))</f>
        <v/>
      </c>
    </row>
    <row r="157">
      <c r="A157" s="48" t="n"/>
      <c r="B157" s="22" t="n"/>
      <c r="C157" s="49" t="n"/>
      <c r="D157" s="50" t="n"/>
      <c r="E157" s="51">
        <f>IF(G157="","",IF(OR(H157&lt;1,H157&gt;NW),"⛔ التاريخ برّا السنة",IF(AND(N(C157)&gt;0,N(J157)&gt;0,C157&gt;ADV_CAP*J157),"⚠️ أكثر من "&amp;TEXT(ADV_CAP,"0%")&amp;" من شغله ("&amp;TEXT(J157,"0.000")&amp;")","")))</f>
        <v/>
      </c>
      <c r="G157">
        <f>IF(A157="","",IF(ISNUMBER(A157),IF(A157&lt;=31,"",IF(A157&lt;=3112,IF(DATE(YR,MOD(A157,100),INT(A157/100))&gt;SAT1+7*NW-1,DATE(YR-1,MOD(A157,100),INT(A157/100)),DATE(YR,MOD(A157,100),INT(A157/100))),A157)),IFERROR(DATEVALUE(A157),"")))</f>
        <v/>
      </c>
      <c r="H157">
        <f>IF(G157="","",INT((G157-SAT1)/7)+1)</f>
        <v/>
      </c>
      <c r="I157">
        <f>IF(H157="","",IF(OR(H157&lt;1,H157&gt;NW),"",INDEX(WMON,H157)))</f>
        <v/>
      </c>
      <c r="J157">
        <f>IF(OR(G157="",H157="",B157=""),"",IF(B157="عمر المصري",SUMIFS('ساعات عمر'!$H$6:$H$588,'ساعات عمر'!$A$6:$A$588,"&gt;="&amp;(SAT1+7*(H157-1)),'ساعات عمر'!$A$6:$A$588,"&lt;="&amp;G157),SUMIFS('ساعات عبدالعزيز'!$F$6:$F$588,'ساعات عبدالعزيز'!$A$6:$A$588,"&gt;="&amp;(SAT1+7*(H157-1)),'ساعات عبدالعزيز'!$A$6:$A$588,"&lt;="&amp;G157)))</f>
        <v/>
      </c>
    </row>
    <row r="158">
      <c r="A158" s="48" t="n"/>
      <c r="B158" s="22" t="n"/>
      <c r="C158" s="49" t="n"/>
      <c r="D158" s="50" t="n"/>
      <c r="E158" s="51">
        <f>IF(G158="","",IF(OR(H158&lt;1,H158&gt;NW),"⛔ التاريخ برّا السنة",IF(AND(N(C158)&gt;0,N(J158)&gt;0,C158&gt;ADV_CAP*J158),"⚠️ أكثر من "&amp;TEXT(ADV_CAP,"0%")&amp;" من شغله ("&amp;TEXT(J158,"0.000")&amp;")","")))</f>
        <v/>
      </c>
      <c r="G158">
        <f>IF(A158="","",IF(ISNUMBER(A158),IF(A158&lt;=31,"",IF(A158&lt;=3112,IF(DATE(YR,MOD(A158,100),INT(A158/100))&gt;SAT1+7*NW-1,DATE(YR-1,MOD(A158,100),INT(A158/100)),DATE(YR,MOD(A158,100),INT(A158/100))),A158)),IFERROR(DATEVALUE(A158),"")))</f>
        <v/>
      </c>
      <c r="H158">
        <f>IF(G158="","",INT((G158-SAT1)/7)+1)</f>
        <v/>
      </c>
      <c r="I158">
        <f>IF(H158="","",IF(OR(H158&lt;1,H158&gt;NW),"",INDEX(WMON,H158)))</f>
        <v/>
      </c>
      <c r="J158">
        <f>IF(OR(G158="",H158="",B158=""),"",IF(B158="عمر المصري",SUMIFS('ساعات عمر'!$H$6:$H$588,'ساعات عمر'!$A$6:$A$588,"&gt;="&amp;(SAT1+7*(H158-1)),'ساعات عمر'!$A$6:$A$588,"&lt;="&amp;G158),SUMIFS('ساعات عبدالعزيز'!$F$6:$F$588,'ساعات عبدالعزيز'!$A$6:$A$588,"&gt;="&amp;(SAT1+7*(H158-1)),'ساعات عبدالعزيز'!$A$6:$A$588,"&lt;="&amp;G158)))</f>
        <v/>
      </c>
    </row>
    <row r="159">
      <c r="A159" s="48" t="n"/>
      <c r="B159" s="22" t="n"/>
      <c r="C159" s="49" t="n"/>
      <c r="D159" s="50" t="n"/>
      <c r="E159" s="51">
        <f>IF(G159="","",IF(OR(H159&lt;1,H159&gt;NW),"⛔ التاريخ برّا السنة",IF(AND(N(C159)&gt;0,N(J159)&gt;0,C159&gt;ADV_CAP*J159),"⚠️ أكثر من "&amp;TEXT(ADV_CAP,"0%")&amp;" من شغله ("&amp;TEXT(J159,"0.000")&amp;")","")))</f>
        <v/>
      </c>
      <c r="G159">
        <f>IF(A159="","",IF(ISNUMBER(A159),IF(A159&lt;=31,"",IF(A159&lt;=3112,IF(DATE(YR,MOD(A159,100),INT(A159/100))&gt;SAT1+7*NW-1,DATE(YR-1,MOD(A159,100),INT(A159/100)),DATE(YR,MOD(A159,100),INT(A159/100))),A159)),IFERROR(DATEVALUE(A159),"")))</f>
        <v/>
      </c>
      <c r="H159">
        <f>IF(G159="","",INT((G159-SAT1)/7)+1)</f>
        <v/>
      </c>
      <c r="I159">
        <f>IF(H159="","",IF(OR(H159&lt;1,H159&gt;NW),"",INDEX(WMON,H159)))</f>
        <v/>
      </c>
      <c r="J159">
        <f>IF(OR(G159="",H159="",B159=""),"",IF(B159="عمر المصري",SUMIFS('ساعات عمر'!$H$6:$H$588,'ساعات عمر'!$A$6:$A$588,"&gt;="&amp;(SAT1+7*(H159-1)),'ساعات عمر'!$A$6:$A$588,"&lt;="&amp;G159),SUMIFS('ساعات عبدالعزيز'!$F$6:$F$588,'ساعات عبدالعزيز'!$A$6:$A$588,"&gt;="&amp;(SAT1+7*(H159-1)),'ساعات عبدالعزيز'!$A$6:$A$588,"&lt;="&amp;G159)))</f>
        <v/>
      </c>
    </row>
    <row r="160">
      <c r="A160" s="48" t="n"/>
      <c r="B160" s="22" t="n"/>
      <c r="C160" s="49" t="n"/>
      <c r="D160" s="50" t="n"/>
      <c r="E160" s="51">
        <f>IF(G160="","",IF(OR(H160&lt;1,H160&gt;NW),"⛔ التاريخ برّا السنة",IF(AND(N(C160)&gt;0,N(J160)&gt;0,C160&gt;ADV_CAP*J160),"⚠️ أكثر من "&amp;TEXT(ADV_CAP,"0%")&amp;" من شغله ("&amp;TEXT(J160,"0.000")&amp;")","")))</f>
        <v/>
      </c>
      <c r="G160">
        <f>IF(A160="","",IF(ISNUMBER(A160),IF(A160&lt;=31,"",IF(A160&lt;=3112,IF(DATE(YR,MOD(A160,100),INT(A160/100))&gt;SAT1+7*NW-1,DATE(YR-1,MOD(A160,100),INT(A160/100)),DATE(YR,MOD(A160,100),INT(A160/100))),A160)),IFERROR(DATEVALUE(A160),"")))</f>
        <v/>
      </c>
      <c r="H160">
        <f>IF(G160="","",INT((G160-SAT1)/7)+1)</f>
        <v/>
      </c>
      <c r="I160">
        <f>IF(H160="","",IF(OR(H160&lt;1,H160&gt;NW),"",INDEX(WMON,H160)))</f>
        <v/>
      </c>
      <c r="J160">
        <f>IF(OR(G160="",H160="",B160=""),"",IF(B160="عمر المصري",SUMIFS('ساعات عمر'!$H$6:$H$588,'ساعات عمر'!$A$6:$A$588,"&gt;="&amp;(SAT1+7*(H160-1)),'ساعات عمر'!$A$6:$A$588,"&lt;="&amp;G160),SUMIFS('ساعات عبدالعزيز'!$F$6:$F$588,'ساعات عبدالعزيز'!$A$6:$A$588,"&gt;="&amp;(SAT1+7*(H160-1)),'ساعات عبدالعزيز'!$A$6:$A$588,"&lt;="&amp;G160)))</f>
        <v/>
      </c>
    </row>
    <row r="161">
      <c r="A161" s="48" t="n"/>
      <c r="B161" s="22" t="n"/>
      <c r="C161" s="49" t="n"/>
      <c r="D161" s="50" t="n"/>
      <c r="E161" s="51">
        <f>IF(G161="","",IF(OR(H161&lt;1,H161&gt;NW),"⛔ التاريخ برّا السنة",IF(AND(N(C161)&gt;0,N(J161)&gt;0,C161&gt;ADV_CAP*J161),"⚠️ أكثر من "&amp;TEXT(ADV_CAP,"0%")&amp;" من شغله ("&amp;TEXT(J161,"0.000")&amp;")","")))</f>
        <v/>
      </c>
      <c r="G161">
        <f>IF(A161="","",IF(ISNUMBER(A161),IF(A161&lt;=31,"",IF(A161&lt;=3112,IF(DATE(YR,MOD(A161,100),INT(A161/100))&gt;SAT1+7*NW-1,DATE(YR-1,MOD(A161,100),INT(A161/100)),DATE(YR,MOD(A161,100),INT(A161/100))),A161)),IFERROR(DATEVALUE(A161),"")))</f>
        <v/>
      </c>
      <c r="H161">
        <f>IF(G161="","",INT((G161-SAT1)/7)+1)</f>
        <v/>
      </c>
      <c r="I161">
        <f>IF(H161="","",IF(OR(H161&lt;1,H161&gt;NW),"",INDEX(WMON,H161)))</f>
        <v/>
      </c>
      <c r="J161">
        <f>IF(OR(G161="",H161="",B161=""),"",IF(B161="عمر المصري",SUMIFS('ساعات عمر'!$H$6:$H$588,'ساعات عمر'!$A$6:$A$588,"&gt;="&amp;(SAT1+7*(H161-1)),'ساعات عمر'!$A$6:$A$588,"&lt;="&amp;G161),SUMIFS('ساعات عبدالعزيز'!$F$6:$F$588,'ساعات عبدالعزيز'!$A$6:$A$588,"&gt;="&amp;(SAT1+7*(H161-1)),'ساعات عبدالعزيز'!$A$6:$A$588,"&lt;="&amp;G161)))</f>
        <v/>
      </c>
    </row>
    <row r="162">
      <c r="A162" s="48" t="n"/>
      <c r="B162" s="22" t="n"/>
      <c r="C162" s="49" t="n"/>
      <c r="D162" s="50" t="n"/>
      <c r="E162" s="51">
        <f>IF(G162="","",IF(OR(H162&lt;1,H162&gt;NW),"⛔ التاريخ برّا السنة",IF(AND(N(C162)&gt;0,N(J162)&gt;0,C162&gt;ADV_CAP*J162),"⚠️ أكثر من "&amp;TEXT(ADV_CAP,"0%")&amp;" من شغله ("&amp;TEXT(J162,"0.000")&amp;")","")))</f>
        <v/>
      </c>
      <c r="G162">
        <f>IF(A162="","",IF(ISNUMBER(A162),IF(A162&lt;=31,"",IF(A162&lt;=3112,IF(DATE(YR,MOD(A162,100),INT(A162/100))&gt;SAT1+7*NW-1,DATE(YR-1,MOD(A162,100),INT(A162/100)),DATE(YR,MOD(A162,100),INT(A162/100))),A162)),IFERROR(DATEVALUE(A162),"")))</f>
        <v/>
      </c>
      <c r="H162">
        <f>IF(G162="","",INT((G162-SAT1)/7)+1)</f>
        <v/>
      </c>
      <c r="I162">
        <f>IF(H162="","",IF(OR(H162&lt;1,H162&gt;NW),"",INDEX(WMON,H162)))</f>
        <v/>
      </c>
      <c r="J162">
        <f>IF(OR(G162="",H162="",B162=""),"",IF(B162="عمر المصري",SUMIFS('ساعات عمر'!$H$6:$H$588,'ساعات عمر'!$A$6:$A$588,"&gt;="&amp;(SAT1+7*(H162-1)),'ساعات عمر'!$A$6:$A$588,"&lt;="&amp;G162),SUMIFS('ساعات عبدالعزيز'!$F$6:$F$588,'ساعات عبدالعزيز'!$A$6:$A$588,"&gt;="&amp;(SAT1+7*(H162-1)),'ساعات عبدالعزيز'!$A$6:$A$588,"&lt;="&amp;G162)))</f>
        <v/>
      </c>
    </row>
    <row r="163">
      <c r="A163" s="48" t="n"/>
      <c r="B163" s="22" t="n"/>
      <c r="C163" s="49" t="n"/>
      <c r="D163" s="50" t="n"/>
      <c r="E163" s="51">
        <f>IF(G163="","",IF(OR(H163&lt;1,H163&gt;NW),"⛔ التاريخ برّا السنة",IF(AND(N(C163)&gt;0,N(J163)&gt;0,C163&gt;ADV_CAP*J163),"⚠️ أكثر من "&amp;TEXT(ADV_CAP,"0%")&amp;" من شغله ("&amp;TEXT(J163,"0.000")&amp;")","")))</f>
        <v/>
      </c>
      <c r="G163">
        <f>IF(A163="","",IF(ISNUMBER(A163),IF(A163&lt;=31,"",IF(A163&lt;=3112,IF(DATE(YR,MOD(A163,100),INT(A163/100))&gt;SAT1+7*NW-1,DATE(YR-1,MOD(A163,100),INT(A163/100)),DATE(YR,MOD(A163,100),INT(A163/100))),A163)),IFERROR(DATEVALUE(A163),"")))</f>
        <v/>
      </c>
      <c r="H163">
        <f>IF(G163="","",INT((G163-SAT1)/7)+1)</f>
        <v/>
      </c>
      <c r="I163">
        <f>IF(H163="","",IF(OR(H163&lt;1,H163&gt;NW),"",INDEX(WMON,H163)))</f>
        <v/>
      </c>
      <c r="J163">
        <f>IF(OR(G163="",H163="",B163=""),"",IF(B163="عمر المصري",SUMIFS('ساعات عمر'!$H$6:$H$588,'ساعات عمر'!$A$6:$A$588,"&gt;="&amp;(SAT1+7*(H163-1)),'ساعات عمر'!$A$6:$A$588,"&lt;="&amp;G163),SUMIFS('ساعات عبدالعزيز'!$F$6:$F$588,'ساعات عبدالعزيز'!$A$6:$A$588,"&gt;="&amp;(SAT1+7*(H163-1)),'ساعات عبدالعزيز'!$A$6:$A$588,"&lt;="&amp;G163)))</f>
        <v/>
      </c>
    </row>
    <row r="164">
      <c r="A164" s="48" t="n"/>
      <c r="B164" s="22" t="n"/>
      <c r="C164" s="49" t="n"/>
      <c r="D164" s="50" t="n"/>
      <c r="E164" s="51">
        <f>IF(G164="","",IF(OR(H164&lt;1,H164&gt;NW),"⛔ التاريخ برّا السنة",IF(AND(N(C164)&gt;0,N(J164)&gt;0,C164&gt;ADV_CAP*J164),"⚠️ أكثر من "&amp;TEXT(ADV_CAP,"0%")&amp;" من شغله ("&amp;TEXT(J164,"0.000")&amp;")","")))</f>
        <v/>
      </c>
      <c r="G164">
        <f>IF(A164="","",IF(ISNUMBER(A164),IF(A164&lt;=31,"",IF(A164&lt;=3112,IF(DATE(YR,MOD(A164,100),INT(A164/100))&gt;SAT1+7*NW-1,DATE(YR-1,MOD(A164,100),INT(A164/100)),DATE(YR,MOD(A164,100),INT(A164/100))),A164)),IFERROR(DATEVALUE(A164),"")))</f>
        <v/>
      </c>
      <c r="H164">
        <f>IF(G164="","",INT((G164-SAT1)/7)+1)</f>
        <v/>
      </c>
      <c r="I164">
        <f>IF(H164="","",IF(OR(H164&lt;1,H164&gt;NW),"",INDEX(WMON,H164)))</f>
        <v/>
      </c>
      <c r="J164">
        <f>IF(OR(G164="",H164="",B164=""),"",IF(B164="عمر المصري",SUMIFS('ساعات عمر'!$H$6:$H$588,'ساعات عمر'!$A$6:$A$588,"&gt;="&amp;(SAT1+7*(H164-1)),'ساعات عمر'!$A$6:$A$588,"&lt;="&amp;G164),SUMIFS('ساعات عبدالعزيز'!$F$6:$F$588,'ساعات عبدالعزيز'!$A$6:$A$588,"&gt;="&amp;(SAT1+7*(H164-1)),'ساعات عبدالعزيز'!$A$6:$A$588,"&lt;="&amp;G164)))</f>
        <v/>
      </c>
    </row>
    <row r="165">
      <c r="A165" s="48" t="n"/>
      <c r="B165" s="22" t="n"/>
      <c r="C165" s="49" t="n"/>
      <c r="D165" s="50" t="n"/>
      <c r="E165" s="51">
        <f>IF(G165="","",IF(OR(H165&lt;1,H165&gt;NW),"⛔ التاريخ برّا السنة",IF(AND(N(C165)&gt;0,N(J165)&gt;0,C165&gt;ADV_CAP*J165),"⚠️ أكثر من "&amp;TEXT(ADV_CAP,"0%")&amp;" من شغله ("&amp;TEXT(J165,"0.000")&amp;")","")))</f>
        <v/>
      </c>
      <c r="G165">
        <f>IF(A165="","",IF(ISNUMBER(A165),IF(A165&lt;=31,"",IF(A165&lt;=3112,IF(DATE(YR,MOD(A165,100),INT(A165/100))&gt;SAT1+7*NW-1,DATE(YR-1,MOD(A165,100),INT(A165/100)),DATE(YR,MOD(A165,100),INT(A165/100))),A165)),IFERROR(DATEVALUE(A165),"")))</f>
        <v/>
      </c>
      <c r="H165">
        <f>IF(G165="","",INT((G165-SAT1)/7)+1)</f>
        <v/>
      </c>
      <c r="I165">
        <f>IF(H165="","",IF(OR(H165&lt;1,H165&gt;NW),"",INDEX(WMON,H165)))</f>
        <v/>
      </c>
      <c r="J165">
        <f>IF(OR(G165="",H165="",B165=""),"",IF(B165="عمر المصري",SUMIFS('ساعات عمر'!$H$6:$H$588,'ساعات عمر'!$A$6:$A$588,"&gt;="&amp;(SAT1+7*(H165-1)),'ساعات عمر'!$A$6:$A$588,"&lt;="&amp;G165),SUMIFS('ساعات عبدالعزيز'!$F$6:$F$588,'ساعات عبدالعزيز'!$A$6:$A$588,"&gt;="&amp;(SAT1+7*(H165-1)),'ساعات عبدالعزيز'!$A$6:$A$588,"&lt;="&amp;G165)))</f>
        <v/>
      </c>
    </row>
    <row r="166">
      <c r="A166" s="48" t="n"/>
      <c r="B166" s="22" t="n"/>
      <c r="C166" s="49" t="n"/>
      <c r="D166" s="50" t="n"/>
      <c r="E166" s="51">
        <f>IF(G166="","",IF(OR(H166&lt;1,H166&gt;NW),"⛔ التاريخ برّا السنة",IF(AND(N(C166)&gt;0,N(J166)&gt;0,C166&gt;ADV_CAP*J166),"⚠️ أكثر من "&amp;TEXT(ADV_CAP,"0%")&amp;" من شغله ("&amp;TEXT(J166,"0.000")&amp;")","")))</f>
        <v/>
      </c>
      <c r="G166">
        <f>IF(A166="","",IF(ISNUMBER(A166),IF(A166&lt;=31,"",IF(A166&lt;=3112,IF(DATE(YR,MOD(A166,100),INT(A166/100))&gt;SAT1+7*NW-1,DATE(YR-1,MOD(A166,100),INT(A166/100)),DATE(YR,MOD(A166,100),INT(A166/100))),A166)),IFERROR(DATEVALUE(A166),"")))</f>
        <v/>
      </c>
      <c r="H166">
        <f>IF(G166="","",INT((G166-SAT1)/7)+1)</f>
        <v/>
      </c>
      <c r="I166">
        <f>IF(H166="","",IF(OR(H166&lt;1,H166&gt;NW),"",INDEX(WMON,H166)))</f>
        <v/>
      </c>
      <c r="J166">
        <f>IF(OR(G166="",H166="",B166=""),"",IF(B166="عمر المصري",SUMIFS('ساعات عمر'!$H$6:$H$588,'ساعات عمر'!$A$6:$A$588,"&gt;="&amp;(SAT1+7*(H166-1)),'ساعات عمر'!$A$6:$A$588,"&lt;="&amp;G166),SUMIFS('ساعات عبدالعزيز'!$F$6:$F$588,'ساعات عبدالعزيز'!$A$6:$A$588,"&gt;="&amp;(SAT1+7*(H166-1)),'ساعات عبدالعزيز'!$A$6:$A$588,"&lt;="&amp;G166)))</f>
        <v/>
      </c>
    </row>
    <row r="167">
      <c r="A167" s="48" t="n"/>
      <c r="B167" s="22" t="n"/>
      <c r="C167" s="49" t="n"/>
      <c r="D167" s="50" t="n"/>
      <c r="E167" s="51">
        <f>IF(G167="","",IF(OR(H167&lt;1,H167&gt;NW),"⛔ التاريخ برّا السنة",IF(AND(N(C167)&gt;0,N(J167)&gt;0,C167&gt;ADV_CAP*J167),"⚠️ أكثر من "&amp;TEXT(ADV_CAP,"0%")&amp;" من شغله ("&amp;TEXT(J167,"0.000")&amp;")","")))</f>
        <v/>
      </c>
      <c r="G167">
        <f>IF(A167="","",IF(ISNUMBER(A167),IF(A167&lt;=31,"",IF(A167&lt;=3112,IF(DATE(YR,MOD(A167,100),INT(A167/100))&gt;SAT1+7*NW-1,DATE(YR-1,MOD(A167,100),INT(A167/100)),DATE(YR,MOD(A167,100),INT(A167/100))),A167)),IFERROR(DATEVALUE(A167),"")))</f>
        <v/>
      </c>
      <c r="H167">
        <f>IF(G167="","",INT((G167-SAT1)/7)+1)</f>
        <v/>
      </c>
      <c r="I167">
        <f>IF(H167="","",IF(OR(H167&lt;1,H167&gt;NW),"",INDEX(WMON,H167)))</f>
        <v/>
      </c>
      <c r="J167">
        <f>IF(OR(G167="",H167="",B167=""),"",IF(B167="عمر المصري",SUMIFS('ساعات عمر'!$H$6:$H$588,'ساعات عمر'!$A$6:$A$588,"&gt;="&amp;(SAT1+7*(H167-1)),'ساعات عمر'!$A$6:$A$588,"&lt;="&amp;G167),SUMIFS('ساعات عبدالعزيز'!$F$6:$F$588,'ساعات عبدالعزيز'!$A$6:$A$588,"&gt;="&amp;(SAT1+7*(H167-1)),'ساعات عبدالعزيز'!$A$6:$A$588,"&lt;="&amp;G167)))</f>
        <v/>
      </c>
    </row>
    <row r="168">
      <c r="A168" s="48" t="n"/>
      <c r="B168" s="22" t="n"/>
      <c r="C168" s="49" t="n"/>
      <c r="D168" s="50" t="n"/>
      <c r="E168" s="51">
        <f>IF(G168="","",IF(OR(H168&lt;1,H168&gt;NW),"⛔ التاريخ برّا السنة",IF(AND(N(C168)&gt;0,N(J168)&gt;0,C168&gt;ADV_CAP*J168),"⚠️ أكثر من "&amp;TEXT(ADV_CAP,"0%")&amp;" من شغله ("&amp;TEXT(J168,"0.000")&amp;")","")))</f>
        <v/>
      </c>
      <c r="G168">
        <f>IF(A168="","",IF(ISNUMBER(A168),IF(A168&lt;=31,"",IF(A168&lt;=3112,IF(DATE(YR,MOD(A168,100),INT(A168/100))&gt;SAT1+7*NW-1,DATE(YR-1,MOD(A168,100),INT(A168/100)),DATE(YR,MOD(A168,100),INT(A168/100))),A168)),IFERROR(DATEVALUE(A168),"")))</f>
        <v/>
      </c>
      <c r="H168">
        <f>IF(G168="","",INT((G168-SAT1)/7)+1)</f>
        <v/>
      </c>
      <c r="I168">
        <f>IF(H168="","",IF(OR(H168&lt;1,H168&gt;NW),"",INDEX(WMON,H168)))</f>
        <v/>
      </c>
      <c r="J168">
        <f>IF(OR(G168="",H168="",B168=""),"",IF(B168="عمر المصري",SUMIFS('ساعات عمر'!$H$6:$H$588,'ساعات عمر'!$A$6:$A$588,"&gt;="&amp;(SAT1+7*(H168-1)),'ساعات عمر'!$A$6:$A$588,"&lt;="&amp;G168),SUMIFS('ساعات عبدالعزيز'!$F$6:$F$588,'ساعات عبدالعزيز'!$A$6:$A$588,"&gt;="&amp;(SAT1+7*(H168-1)),'ساعات عبدالعزيز'!$A$6:$A$588,"&lt;="&amp;G168)))</f>
        <v/>
      </c>
    </row>
    <row r="169">
      <c r="A169" s="48" t="n"/>
      <c r="B169" s="22" t="n"/>
      <c r="C169" s="49" t="n"/>
      <c r="D169" s="50" t="n"/>
      <c r="E169" s="51">
        <f>IF(G169="","",IF(OR(H169&lt;1,H169&gt;NW),"⛔ التاريخ برّا السنة",IF(AND(N(C169)&gt;0,N(J169)&gt;0,C169&gt;ADV_CAP*J169),"⚠️ أكثر من "&amp;TEXT(ADV_CAP,"0%")&amp;" من شغله ("&amp;TEXT(J169,"0.000")&amp;")","")))</f>
        <v/>
      </c>
      <c r="G169">
        <f>IF(A169="","",IF(ISNUMBER(A169),IF(A169&lt;=31,"",IF(A169&lt;=3112,IF(DATE(YR,MOD(A169,100),INT(A169/100))&gt;SAT1+7*NW-1,DATE(YR-1,MOD(A169,100),INT(A169/100)),DATE(YR,MOD(A169,100),INT(A169/100))),A169)),IFERROR(DATEVALUE(A169),"")))</f>
        <v/>
      </c>
      <c r="H169">
        <f>IF(G169="","",INT((G169-SAT1)/7)+1)</f>
        <v/>
      </c>
      <c r="I169">
        <f>IF(H169="","",IF(OR(H169&lt;1,H169&gt;NW),"",INDEX(WMON,H169)))</f>
        <v/>
      </c>
      <c r="J169">
        <f>IF(OR(G169="",H169="",B169=""),"",IF(B169="عمر المصري",SUMIFS('ساعات عمر'!$H$6:$H$588,'ساعات عمر'!$A$6:$A$588,"&gt;="&amp;(SAT1+7*(H169-1)),'ساعات عمر'!$A$6:$A$588,"&lt;="&amp;G169),SUMIFS('ساعات عبدالعزيز'!$F$6:$F$588,'ساعات عبدالعزيز'!$A$6:$A$588,"&gt;="&amp;(SAT1+7*(H169-1)),'ساعات عبدالعزيز'!$A$6:$A$588,"&lt;="&amp;G169)))</f>
        <v/>
      </c>
    </row>
    <row r="170">
      <c r="A170" s="48" t="n"/>
      <c r="B170" s="22" t="n"/>
      <c r="C170" s="49" t="n"/>
      <c r="D170" s="50" t="n"/>
      <c r="E170" s="51">
        <f>IF(G170="","",IF(OR(H170&lt;1,H170&gt;NW),"⛔ التاريخ برّا السنة",IF(AND(N(C170)&gt;0,N(J170)&gt;0,C170&gt;ADV_CAP*J170),"⚠️ أكثر من "&amp;TEXT(ADV_CAP,"0%")&amp;" من شغله ("&amp;TEXT(J170,"0.000")&amp;")","")))</f>
        <v/>
      </c>
      <c r="G170">
        <f>IF(A170="","",IF(ISNUMBER(A170),IF(A170&lt;=31,"",IF(A170&lt;=3112,IF(DATE(YR,MOD(A170,100),INT(A170/100))&gt;SAT1+7*NW-1,DATE(YR-1,MOD(A170,100),INT(A170/100)),DATE(YR,MOD(A170,100),INT(A170/100))),A170)),IFERROR(DATEVALUE(A170),"")))</f>
        <v/>
      </c>
      <c r="H170">
        <f>IF(G170="","",INT((G170-SAT1)/7)+1)</f>
        <v/>
      </c>
      <c r="I170">
        <f>IF(H170="","",IF(OR(H170&lt;1,H170&gt;NW),"",INDEX(WMON,H170)))</f>
        <v/>
      </c>
      <c r="J170">
        <f>IF(OR(G170="",H170="",B170=""),"",IF(B170="عمر المصري",SUMIFS('ساعات عمر'!$H$6:$H$588,'ساعات عمر'!$A$6:$A$588,"&gt;="&amp;(SAT1+7*(H170-1)),'ساعات عمر'!$A$6:$A$588,"&lt;="&amp;G170),SUMIFS('ساعات عبدالعزيز'!$F$6:$F$588,'ساعات عبدالعزيز'!$A$6:$A$588,"&gt;="&amp;(SAT1+7*(H170-1)),'ساعات عبدالعزيز'!$A$6:$A$588,"&lt;="&amp;G170)))</f>
        <v/>
      </c>
    </row>
    <row r="171">
      <c r="A171" s="48" t="n"/>
      <c r="B171" s="22" t="n"/>
      <c r="C171" s="49" t="n"/>
      <c r="D171" s="50" t="n"/>
      <c r="E171" s="51">
        <f>IF(G171="","",IF(OR(H171&lt;1,H171&gt;NW),"⛔ التاريخ برّا السنة",IF(AND(N(C171)&gt;0,N(J171)&gt;0,C171&gt;ADV_CAP*J171),"⚠️ أكثر من "&amp;TEXT(ADV_CAP,"0%")&amp;" من شغله ("&amp;TEXT(J171,"0.000")&amp;")","")))</f>
        <v/>
      </c>
      <c r="G171">
        <f>IF(A171="","",IF(ISNUMBER(A171),IF(A171&lt;=31,"",IF(A171&lt;=3112,IF(DATE(YR,MOD(A171,100),INT(A171/100))&gt;SAT1+7*NW-1,DATE(YR-1,MOD(A171,100),INT(A171/100)),DATE(YR,MOD(A171,100),INT(A171/100))),A171)),IFERROR(DATEVALUE(A171),"")))</f>
        <v/>
      </c>
      <c r="H171">
        <f>IF(G171="","",INT((G171-SAT1)/7)+1)</f>
        <v/>
      </c>
      <c r="I171">
        <f>IF(H171="","",IF(OR(H171&lt;1,H171&gt;NW),"",INDEX(WMON,H171)))</f>
        <v/>
      </c>
      <c r="J171">
        <f>IF(OR(G171="",H171="",B171=""),"",IF(B171="عمر المصري",SUMIFS('ساعات عمر'!$H$6:$H$588,'ساعات عمر'!$A$6:$A$588,"&gt;="&amp;(SAT1+7*(H171-1)),'ساعات عمر'!$A$6:$A$588,"&lt;="&amp;G171),SUMIFS('ساعات عبدالعزيز'!$F$6:$F$588,'ساعات عبدالعزيز'!$A$6:$A$588,"&gt;="&amp;(SAT1+7*(H171-1)),'ساعات عبدالعزيز'!$A$6:$A$588,"&lt;="&amp;G171)))</f>
        <v/>
      </c>
    </row>
    <row r="172">
      <c r="A172" s="48" t="n"/>
      <c r="B172" s="22" t="n"/>
      <c r="C172" s="49" t="n"/>
      <c r="D172" s="50" t="n"/>
      <c r="E172" s="51">
        <f>IF(G172="","",IF(OR(H172&lt;1,H172&gt;NW),"⛔ التاريخ برّا السنة",IF(AND(N(C172)&gt;0,N(J172)&gt;0,C172&gt;ADV_CAP*J172),"⚠️ أكثر من "&amp;TEXT(ADV_CAP,"0%")&amp;" من شغله ("&amp;TEXT(J172,"0.000")&amp;")","")))</f>
        <v/>
      </c>
      <c r="G172">
        <f>IF(A172="","",IF(ISNUMBER(A172),IF(A172&lt;=31,"",IF(A172&lt;=3112,IF(DATE(YR,MOD(A172,100),INT(A172/100))&gt;SAT1+7*NW-1,DATE(YR-1,MOD(A172,100),INT(A172/100)),DATE(YR,MOD(A172,100),INT(A172/100))),A172)),IFERROR(DATEVALUE(A172),"")))</f>
        <v/>
      </c>
      <c r="H172">
        <f>IF(G172="","",INT((G172-SAT1)/7)+1)</f>
        <v/>
      </c>
      <c r="I172">
        <f>IF(H172="","",IF(OR(H172&lt;1,H172&gt;NW),"",INDEX(WMON,H172)))</f>
        <v/>
      </c>
      <c r="J172">
        <f>IF(OR(G172="",H172="",B172=""),"",IF(B172="عمر المصري",SUMIFS('ساعات عمر'!$H$6:$H$588,'ساعات عمر'!$A$6:$A$588,"&gt;="&amp;(SAT1+7*(H172-1)),'ساعات عمر'!$A$6:$A$588,"&lt;="&amp;G172),SUMIFS('ساعات عبدالعزيز'!$F$6:$F$588,'ساعات عبدالعزيز'!$A$6:$A$588,"&gt;="&amp;(SAT1+7*(H172-1)),'ساعات عبدالعزيز'!$A$6:$A$588,"&lt;="&amp;G172)))</f>
        <v/>
      </c>
    </row>
    <row r="173">
      <c r="A173" s="48" t="n"/>
      <c r="B173" s="22" t="n"/>
      <c r="C173" s="49" t="n"/>
      <c r="D173" s="50" t="n"/>
      <c r="E173" s="51">
        <f>IF(G173="","",IF(OR(H173&lt;1,H173&gt;NW),"⛔ التاريخ برّا السنة",IF(AND(N(C173)&gt;0,N(J173)&gt;0,C173&gt;ADV_CAP*J173),"⚠️ أكثر من "&amp;TEXT(ADV_CAP,"0%")&amp;" من شغله ("&amp;TEXT(J173,"0.000")&amp;")","")))</f>
        <v/>
      </c>
      <c r="G173">
        <f>IF(A173="","",IF(ISNUMBER(A173),IF(A173&lt;=31,"",IF(A173&lt;=3112,IF(DATE(YR,MOD(A173,100),INT(A173/100))&gt;SAT1+7*NW-1,DATE(YR-1,MOD(A173,100),INT(A173/100)),DATE(YR,MOD(A173,100),INT(A173/100))),A173)),IFERROR(DATEVALUE(A173),"")))</f>
        <v/>
      </c>
      <c r="H173">
        <f>IF(G173="","",INT((G173-SAT1)/7)+1)</f>
        <v/>
      </c>
      <c r="I173">
        <f>IF(H173="","",IF(OR(H173&lt;1,H173&gt;NW),"",INDEX(WMON,H173)))</f>
        <v/>
      </c>
      <c r="J173">
        <f>IF(OR(G173="",H173="",B173=""),"",IF(B173="عمر المصري",SUMIFS('ساعات عمر'!$H$6:$H$588,'ساعات عمر'!$A$6:$A$588,"&gt;="&amp;(SAT1+7*(H173-1)),'ساعات عمر'!$A$6:$A$588,"&lt;="&amp;G173),SUMIFS('ساعات عبدالعزيز'!$F$6:$F$588,'ساعات عبدالعزيز'!$A$6:$A$588,"&gt;="&amp;(SAT1+7*(H173-1)),'ساعات عبدالعزيز'!$A$6:$A$588,"&lt;="&amp;G173)))</f>
        <v/>
      </c>
    </row>
    <row r="174">
      <c r="A174" s="48" t="n"/>
      <c r="B174" s="22" t="n"/>
      <c r="C174" s="49" t="n"/>
      <c r="D174" s="50" t="n"/>
      <c r="E174" s="51">
        <f>IF(G174="","",IF(OR(H174&lt;1,H174&gt;NW),"⛔ التاريخ برّا السنة",IF(AND(N(C174)&gt;0,N(J174)&gt;0,C174&gt;ADV_CAP*J174),"⚠️ أكثر من "&amp;TEXT(ADV_CAP,"0%")&amp;" من شغله ("&amp;TEXT(J174,"0.000")&amp;")","")))</f>
        <v/>
      </c>
      <c r="G174">
        <f>IF(A174="","",IF(ISNUMBER(A174),IF(A174&lt;=31,"",IF(A174&lt;=3112,IF(DATE(YR,MOD(A174,100),INT(A174/100))&gt;SAT1+7*NW-1,DATE(YR-1,MOD(A174,100),INT(A174/100)),DATE(YR,MOD(A174,100),INT(A174/100))),A174)),IFERROR(DATEVALUE(A174),"")))</f>
        <v/>
      </c>
      <c r="H174">
        <f>IF(G174="","",INT((G174-SAT1)/7)+1)</f>
        <v/>
      </c>
      <c r="I174">
        <f>IF(H174="","",IF(OR(H174&lt;1,H174&gt;NW),"",INDEX(WMON,H174)))</f>
        <v/>
      </c>
      <c r="J174">
        <f>IF(OR(G174="",H174="",B174=""),"",IF(B174="عمر المصري",SUMIFS('ساعات عمر'!$H$6:$H$588,'ساعات عمر'!$A$6:$A$588,"&gt;="&amp;(SAT1+7*(H174-1)),'ساعات عمر'!$A$6:$A$588,"&lt;="&amp;G174),SUMIFS('ساعات عبدالعزيز'!$F$6:$F$588,'ساعات عبدالعزيز'!$A$6:$A$588,"&gt;="&amp;(SAT1+7*(H174-1)),'ساعات عبدالعزيز'!$A$6:$A$588,"&lt;="&amp;G174)))</f>
        <v/>
      </c>
    </row>
    <row r="175">
      <c r="A175" s="48" t="n"/>
      <c r="B175" s="22" t="n"/>
      <c r="C175" s="49" t="n"/>
      <c r="D175" s="50" t="n"/>
      <c r="E175" s="51">
        <f>IF(G175="","",IF(OR(H175&lt;1,H175&gt;NW),"⛔ التاريخ برّا السنة",IF(AND(N(C175)&gt;0,N(J175)&gt;0,C175&gt;ADV_CAP*J175),"⚠️ أكثر من "&amp;TEXT(ADV_CAP,"0%")&amp;" من شغله ("&amp;TEXT(J175,"0.000")&amp;")","")))</f>
        <v/>
      </c>
      <c r="G175">
        <f>IF(A175="","",IF(ISNUMBER(A175),IF(A175&lt;=31,"",IF(A175&lt;=3112,IF(DATE(YR,MOD(A175,100),INT(A175/100))&gt;SAT1+7*NW-1,DATE(YR-1,MOD(A175,100),INT(A175/100)),DATE(YR,MOD(A175,100),INT(A175/100))),A175)),IFERROR(DATEVALUE(A175),"")))</f>
        <v/>
      </c>
      <c r="H175">
        <f>IF(G175="","",INT((G175-SAT1)/7)+1)</f>
        <v/>
      </c>
      <c r="I175">
        <f>IF(H175="","",IF(OR(H175&lt;1,H175&gt;NW),"",INDEX(WMON,H175)))</f>
        <v/>
      </c>
      <c r="J175">
        <f>IF(OR(G175="",H175="",B175=""),"",IF(B175="عمر المصري",SUMIFS('ساعات عمر'!$H$6:$H$588,'ساعات عمر'!$A$6:$A$588,"&gt;="&amp;(SAT1+7*(H175-1)),'ساعات عمر'!$A$6:$A$588,"&lt;="&amp;G175),SUMIFS('ساعات عبدالعزيز'!$F$6:$F$588,'ساعات عبدالعزيز'!$A$6:$A$588,"&gt;="&amp;(SAT1+7*(H175-1)),'ساعات عبدالعزيز'!$A$6:$A$588,"&lt;="&amp;G175)))</f>
        <v/>
      </c>
    </row>
    <row r="176">
      <c r="A176" s="48" t="n"/>
      <c r="B176" s="22" t="n"/>
      <c r="C176" s="49" t="n"/>
      <c r="D176" s="50" t="n"/>
      <c r="E176" s="51">
        <f>IF(G176="","",IF(OR(H176&lt;1,H176&gt;NW),"⛔ التاريخ برّا السنة",IF(AND(N(C176)&gt;0,N(J176)&gt;0,C176&gt;ADV_CAP*J176),"⚠️ أكثر من "&amp;TEXT(ADV_CAP,"0%")&amp;" من شغله ("&amp;TEXT(J176,"0.000")&amp;")","")))</f>
        <v/>
      </c>
      <c r="G176">
        <f>IF(A176="","",IF(ISNUMBER(A176),IF(A176&lt;=31,"",IF(A176&lt;=3112,IF(DATE(YR,MOD(A176,100),INT(A176/100))&gt;SAT1+7*NW-1,DATE(YR-1,MOD(A176,100),INT(A176/100)),DATE(YR,MOD(A176,100),INT(A176/100))),A176)),IFERROR(DATEVALUE(A176),"")))</f>
        <v/>
      </c>
      <c r="H176">
        <f>IF(G176="","",INT((G176-SAT1)/7)+1)</f>
        <v/>
      </c>
      <c r="I176">
        <f>IF(H176="","",IF(OR(H176&lt;1,H176&gt;NW),"",INDEX(WMON,H176)))</f>
        <v/>
      </c>
      <c r="J176">
        <f>IF(OR(G176="",H176="",B176=""),"",IF(B176="عمر المصري",SUMIFS('ساعات عمر'!$H$6:$H$588,'ساعات عمر'!$A$6:$A$588,"&gt;="&amp;(SAT1+7*(H176-1)),'ساعات عمر'!$A$6:$A$588,"&lt;="&amp;G176),SUMIFS('ساعات عبدالعزيز'!$F$6:$F$588,'ساعات عبدالعزيز'!$A$6:$A$588,"&gt;="&amp;(SAT1+7*(H176-1)),'ساعات عبدالعزيز'!$A$6:$A$588,"&lt;="&amp;G176)))</f>
        <v/>
      </c>
    </row>
    <row r="177">
      <c r="A177" s="48" t="n"/>
      <c r="B177" s="22" t="n"/>
      <c r="C177" s="49" t="n"/>
      <c r="D177" s="50" t="n"/>
      <c r="E177" s="51">
        <f>IF(G177="","",IF(OR(H177&lt;1,H177&gt;NW),"⛔ التاريخ برّا السنة",IF(AND(N(C177)&gt;0,N(J177)&gt;0,C177&gt;ADV_CAP*J177),"⚠️ أكثر من "&amp;TEXT(ADV_CAP,"0%")&amp;" من شغله ("&amp;TEXT(J177,"0.000")&amp;")","")))</f>
        <v/>
      </c>
      <c r="G177">
        <f>IF(A177="","",IF(ISNUMBER(A177),IF(A177&lt;=31,"",IF(A177&lt;=3112,IF(DATE(YR,MOD(A177,100),INT(A177/100))&gt;SAT1+7*NW-1,DATE(YR-1,MOD(A177,100),INT(A177/100)),DATE(YR,MOD(A177,100),INT(A177/100))),A177)),IFERROR(DATEVALUE(A177),"")))</f>
        <v/>
      </c>
      <c r="H177">
        <f>IF(G177="","",INT((G177-SAT1)/7)+1)</f>
        <v/>
      </c>
      <c r="I177">
        <f>IF(H177="","",IF(OR(H177&lt;1,H177&gt;NW),"",INDEX(WMON,H177)))</f>
        <v/>
      </c>
      <c r="J177">
        <f>IF(OR(G177="",H177="",B177=""),"",IF(B177="عمر المصري",SUMIFS('ساعات عمر'!$H$6:$H$588,'ساعات عمر'!$A$6:$A$588,"&gt;="&amp;(SAT1+7*(H177-1)),'ساعات عمر'!$A$6:$A$588,"&lt;="&amp;G177),SUMIFS('ساعات عبدالعزيز'!$F$6:$F$588,'ساعات عبدالعزيز'!$A$6:$A$588,"&gt;="&amp;(SAT1+7*(H177-1)),'ساعات عبدالعزيز'!$A$6:$A$588,"&lt;="&amp;G177)))</f>
        <v/>
      </c>
    </row>
    <row r="178">
      <c r="A178" s="48" t="n"/>
      <c r="B178" s="22" t="n"/>
      <c r="C178" s="49" t="n"/>
      <c r="D178" s="50" t="n"/>
      <c r="E178" s="51">
        <f>IF(G178="","",IF(OR(H178&lt;1,H178&gt;NW),"⛔ التاريخ برّا السنة",IF(AND(N(C178)&gt;0,N(J178)&gt;0,C178&gt;ADV_CAP*J178),"⚠️ أكثر من "&amp;TEXT(ADV_CAP,"0%")&amp;" من شغله ("&amp;TEXT(J178,"0.000")&amp;")","")))</f>
        <v/>
      </c>
      <c r="G178">
        <f>IF(A178="","",IF(ISNUMBER(A178),IF(A178&lt;=31,"",IF(A178&lt;=3112,IF(DATE(YR,MOD(A178,100),INT(A178/100))&gt;SAT1+7*NW-1,DATE(YR-1,MOD(A178,100),INT(A178/100)),DATE(YR,MOD(A178,100),INT(A178/100))),A178)),IFERROR(DATEVALUE(A178),"")))</f>
        <v/>
      </c>
      <c r="H178">
        <f>IF(G178="","",INT((G178-SAT1)/7)+1)</f>
        <v/>
      </c>
      <c r="I178">
        <f>IF(H178="","",IF(OR(H178&lt;1,H178&gt;NW),"",INDEX(WMON,H178)))</f>
        <v/>
      </c>
      <c r="J178">
        <f>IF(OR(G178="",H178="",B178=""),"",IF(B178="عمر المصري",SUMIFS('ساعات عمر'!$H$6:$H$588,'ساعات عمر'!$A$6:$A$588,"&gt;="&amp;(SAT1+7*(H178-1)),'ساعات عمر'!$A$6:$A$588,"&lt;="&amp;G178),SUMIFS('ساعات عبدالعزيز'!$F$6:$F$588,'ساعات عبدالعزيز'!$A$6:$A$588,"&gt;="&amp;(SAT1+7*(H178-1)),'ساعات عبدالعزيز'!$A$6:$A$588,"&lt;="&amp;G178)))</f>
        <v/>
      </c>
    </row>
    <row r="179">
      <c r="A179" s="48" t="n"/>
      <c r="B179" s="22" t="n"/>
      <c r="C179" s="49" t="n"/>
      <c r="D179" s="50" t="n"/>
      <c r="E179" s="51">
        <f>IF(G179="","",IF(OR(H179&lt;1,H179&gt;NW),"⛔ التاريخ برّا السنة",IF(AND(N(C179)&gt;0,N(J179)&gt;0,C179&gt;ADV_CAP*J179),"⚠️ أكثر من "&amp;TEXT(ADV_CAP,"0%")&amp;" من شغله ("&amp;TEXT(J179,"0.000")&amp;")","")))</f>
        <v/>
      </c>
      <c r="G179">
        <f>IF(A179="","",IF(ISNUMBER(A179),IF(A179&lt;=31,"",IF(A179&lt;=3112,IF(DATE(YR,MOD(A179,100),INT(A179/100))&gt;SAT1+7*NW-1,DATE(YR-1,MOD(A179,100),INT(A179/100)),DATE(YR,MOD(A179,100),INT(A179/100))),A179)),IFERROR(DATEVALUE(A179),"")))</f>
        <v/>
      </c>
      <c r="H179">
        <f>IF(G179="","",INT((G179-SAT1)/7)+1)</f>
        <v/>
      </c>
      <c r="I179">
        <f>IF(H179="","",IF(OR(H179&lt;1,H179&gt;NW),"",INDEX(WMON,H179)))</f>
        <v/>
      </c>
      <c r="J179">
        <f>IF(OR(G179="",H179="",B179=""),"",IF(B179="عمر المصري",SUMIFS('ساعات عمر'!$H$6:$H$588,'ساعات عمر'!$A$6:$A$588,"&gt;="&amp;(SAT1+7*(H179-1)),'ساعات عمر'!$A$6:$A$588,"&lt;="&amp;G179),SUMIFS('ساعات عبدالعزيز'!$F$6:$F$588,'ساعات عبدالعزيز'!$A$6:$A$588,"&gt;="&amp;(SAT1+7*(H179-1)),'ساعات عبدالعزيز'!$A$6:$A$588,"&lt;="&amp;G179)))</f>
        <v/>
      </c>
    </row>
    <row r="180">
      <c r="A180" s="48" t="n"/>
      <c r="B180" s="22" t="n"/>
      <c r="C180" s="49" t="n"/>
      <c r="D180" s="50" t="n"/>
      <c r="E180" s="51">
        <f>IF(G180="","",IF(OR(H180&lt;1,H180&gt;NW),"⛔ التاريخ برّا السنة",IF(AND(N(C180)&gt;0,N(J180)&gt;0,C180&gt;ADV_CAP*J180),"⚠️ أكثر من "&amp;TEXT(ADV_CAP,"0%")&amp;" من شغله ("&amp;TEXT(J180,"0.000")&amp;")","")))</f>
        <v/>
      </c>
      <c r="G180">
        <f>IF(A180="","",IF(ISNUMBER(A180),IF(A180&lt;=31,"",IF(A180&lt;=3112,IF(DATE(YR,MOD(A180,100),INT(A180/100))&gt;SAT1+7*NW-1,DATE(YR-1,MOD(A180,100),INT(A180/100)),DATE(YR,MOD(A180,100),INT(A180/100))),A180)),IFERROR(DATEVALUE(A180),"")))</f>
        <v/>
      </c>
      <c r="H180">
        <f>IF(G180="","",INT((G180-SAT1)/7)+1)</f>
        <v/>
      </c>
      <c r="I180">
        <f>IF(H180="","",IF(OR(H180&lt;1,H180&gt;NW),"",INDEX(WMON,H180)))</f>
        <v/>
      </c>
      <c r="J180">
        <f>IF(OR(G180="",H180="",B180=""),"",IF(B180="عمر المصري",SUMIFS('ساعات عمر'!$H$6:$H$588,'ساعات عمر'!$A$6:$A$588,"&gt;="&amp;(SAT1+7*(H180-1)),'ساعات عمر'!$A$6:$A$588,"&lt;="&amp;G180),SUMIFS('ساعات عبدالعزيز'!$F$6:$F$588,'ساعات عبدالعزيز'!$A$6:$A$588,"&gt;="&amp;(SAT1+7*(H180-1)),'ساعات عبدالعزيز'!$A$6:$A$588,"&lt;="&amp;G180)))</f>
        <v/>
      </c>
    </row>
    <row r="181">
      <c r="A181" s="48" t="n"/>
      <c r="B181" s="22" t="n"/>
      <c r="C181" s="49" t="n"/>
      <c r="D181" s="50" t="n"/>
      <c r="E181" s="51">
        <f>IF(G181="","",IF(OR(H181&lt;1,H181&gt;NW),"⛔ التاريخ برّا السنة",IF(AND(N(C181)&gt;0,N(J181)&gt;0,C181&gt;ADV_CAP*J181),"⚠️ أكثر من "&amp;TEXT(ADV_CAP,"0%")&amp;" من شغله ("&amp;TEXT(J181,"0.000")&amp;")","")))</f>
        <v/>
      </c>
      <c r="G181">
        <f>IF(A181="","",IF(ISNUMBER(A181),IF(A181&lt;=31,"",IF(A181&lt;=3112,IF(DATE(YR,MOD(A181,100),INT(A181/100))&gt;SAT1+7*NW-1,DATE(YR-1,MOD(A181,100),INT(A181/100)),DATE(YR,MOD(A181,100),INT(A181/100))),A181)),IFERROR(DATEVALUE(A181),"")))</f>
        <v/>
      </c>
      <c r="H181">
        <f>IF(G181="","",INT((G181-SAT1)/7)+1)</f>
        <v/>
      </c>
      <c r="I181">
        <f>IF(H181="","",IF(OR(H181&lt;1,H181&gt;NW),"",INDEX(WMON,H181)))</f>
        <v/>
      </c>
      <c r="J181">
        <f>IF(OR(G181="",H181="",B181=""),"",IF(B181="عمر المصري",SUMIFS('ساعات عمر'!$H$6:$H$588,'ساعات عمر'!$A$6:$A$588,"&gt;="&amp;(SAT1+7*(H181-1)),'ساعات عمر'!$A$6:$A$588,"&lt;="&amp;G181),SUMIFS('ساعات عبدالعزيز'!$F$6:$F$588,'ساعات عبدالعزيز'!$A$6:$A$588,"&gt;="&amp;(SAT1+7*(H181-1)),'ساعات عبدالعزيز'!$A$6:$A$588,"&lt;="&amp;G181)))</f>
        <v/>
      </c>
    </row>
    <row r="182">
      <c r="A182" s="48" t="n"/>
      <c r="B182" s="22" t="n"/>
      <c r="C182" s="49" t="n"/>
      <c r="D182" s="50" t="n"/>
      <c r="E182" s="51">
        <f>IF(G182="","",IF(OR(H182&lt;1,H182&gt;NW),"⛔ التاريخ برّا السنة",IF(AND(N(C182)&gt;0,N(J182)&gt;0,C182&gt;ADV_CAP*J182),"⚠️ أكثر من "&amp;TEXT(ADV_CAP,"0%")&amp;" من شغله ("&amp;TEXT(J182,"0.000")&amp;")","")))</f>
        <v/>
      </c>
      <c r="G182">
        <f>IF(A182="","",IF(ISNUMBER(A182),IF(A182&lt;=31,"",IF(A182&lt;=3112,IF(DATE(YR,MOD(A182,100),INT(A182/100))&gt;SAT1+7*NW-1,DATE(YR-1,MOD(A182,100),INT(A182/100)),DATE(YR,MOD(A182,100),INT(A182/100))),A182)),IFERROR(DATEVALUE(A182),"")))</f>
        <v/>
      </c>
      <c r="H182">
        <f>IF(G182="","",INT((G182-SAT1)/7)+1)</f>
        <v/>
      </c>
      <c r="I182">
        <f>IF(H182="","",IF(OR(H182&lt;1,H182&gt;NW),"",INDEX(WMON,H182)))</f>
        <v/>
      </c>
      <c r="J182">
        <f>IF(OR(G182="",H182="",B182=""),"",IF(B182="عمر المصري",SUMIFS('ساعات عمر'!$H$6:$H$588,'ساعات عمر'!$A$6:$A$588,"&gt;="&amp;(SAT1+7*(H182-1)),'ساعات عمر'!$A$6:$A$588,"&lt;="&amp;G182),SUMIFS('ساعات عبدالعزيز'!$F$6:$F$588,'ساعات عبدالعزيز'!$A$6:$A$588,"&gt;="&amp;(SAT1+7*(H182-1)),'ساعات عبدالعزيز'!$A$6:$A$588,"&lt;="&amp;G182)))</f>
        <v/>
      </c>
    </row>
    <row r="183">
      <c r="A183" s="48" t="n"/>
      <c r="B183" s="22" t="n"/>
      <c r="C183" s="49" t="n"/>
      <c r="D183" s="50" t="n"/>
      <c r="E183" s="51">
        <f>IF(G183="","",IF(OR(H183&lt;1,H183&gt;NW),"⛔ التاريخ برّا السنة",IF(AND(N(C183)&gt;0,N(J183)&gt;0,C183&gt;ADV_CAP*J183),"⚠️ أكثر من "&amp;TEXT(ADV_CAP,"0%")&amp;" من شغله ("&amp;TEXT(J183,"0.000")&amp;")","")))</f>
        <v/>
      </c>
      <c r="G183">
        <f>IF(A183="","",IF(ISNUMBER(A183),IF(A183&lt;=31,"",IF(A183&lt;=3112,IF(DATE(YR,MOD(A183,100),INT(A183/100))&gt;SAT1+7*NW-1,DATE(YR-1,MOD(A183,100),INT(A183/100)),DATE(YR,MOD(A183,100),INT(A183/100))),A183)),IFERROR(DATEVALUE(A183),"")))</f>
        <v/>
      </c>
      <c r="H183">
        <f>IF(G183="","",INT((G183-SAT1)/7)+1)</f>
        <v/>
      </c>
      <c r="I183">
        <f>IF(H183="","",IF(OR(H183&lt;1,H183&gt;NW),"",INDEX(WMON,H183)))</f>
        <v/>
      </c>
      <c r="J183">
        <f>IF(OR(G183="",H183="",B183=""),"",IF(B183="عمر المصري",SUMIFS('ساعات عمر'!$H$6:$H$588,'ساعات عمر'!$A$6:$A$588,"&gt;="&amp;(SAT1+7*(H183-1)),'ساعات عمر'!$A$6:$A$588,"&lt;="&amp;G183),SUMIFS('ساعات عبدالعزيز'!$F$6:$F$588,'ساعات عبدالعزيز'!$A$6:$A$588,"&gt;="&amp;(SAT1+7*(H183-1)),'ساعات عبدالعزيز'!$A$6:$A$588,"&lt;="&amp;G183)))</f>
        <v/>
      </c>
    </row>
    <row r="184">
      <c r="A184" s="48" t="n"/>
      <c r="B184" s="22" t="n"/>
      <c r="C184" s="49" t="n"/>
      <c r="D184" s="50" t="n"/>
      <c r="E184" s="51">
        <f>IF(G184="","",IF(OR(H184&lt;1,H184&gt;NW),"⛔ التاريخ برّا السنة",IF(AND(N(C184)&gt;0,N(J184)&gt;0,C184&gt;ADV_CAP*J184),"⚠️ أكثر من "&amp;TEXT(ADV_CAP,"0%")&amp;" من شغله ("&amp;TEXT(J184,"0.000")&amp;")","")))</f>
        <v/>
      </c>
      <c r="G184">
        <f>IF(A184="","",IF(ISNUMBER(A184),IF(A184&lt;=31,"",IF(A184&lt;=3112,IF(DATE(YR,MOD(A184,100),INT(A184/100))&gt;SAT1+7*NW-1,DATE(YR-1,MOD(A184,100),INT(A184/100)),DATE(YR,MOD(A184,100),INT(A184/100))),A184)),IFERROR(DATEVALUE(A184),"")))</f>
        <v/>
      </c>
      <c r="H184">
        <f>IF(G184="","",INT((G184-SAT1)/7)+1)</f>
        <v/>
      </c>
      <c r="I184">
        <f>IF(H184="","",IF(OR(H184&lt;1,H184&gt;NW),"",INDEX(WMON,H184)))</f>
        <v/>
      </c>
      <c r="J184">
        <f>IF(OR(G184="",H184="",B184=""),"",IF(B184="عمر المصري",SUMIFS('ساعات عمر'!$H$6:$H$588,'ساعات عمر'!$A$6:$A$588,"&gt;="&amp;(SAT1+7*(H184-1)),'ساعات عمر'!$A$6:$A$588,"&lt;="&amp;G184),SUMIFS('ساعات عبدالعزيز'!$F$6:$F$588,'ساعات عبدالعزيز'!$A$6:$A$588,"&gt;="&amp;(SAT1+7*(H184-1)),'ساعات عبدالعزيز'!$A$6:$A$588,"&lt;="&amp;G184)))</f>
        <v/>
      </c>
    </row>
    <row r="185">
      <c r="A185" s="48" t="n"/>
      <c r="B185" s="22" t="n"/>
      <c r="C185" s="49" t="n"/>
      <c r="D185" s="50" t="n"/>
      <c r="E185" s="51">
        <f>IF(G185="","",IF(OR(H185&lt;1,H185&gt;NW),"⛔ التاريخ برّا السنة",IF(AND(N(C185)&gt;0,N(J185)&gt;0,C185&gt;ADV_CAP*J185),"⚠️ أكثر من "&amp;TEXT(ADV_CAP,"0%")&amp;" من شغله ("&amp;TEXT(J185,"0.000")&amp;")","")))</f>
        <v/>
      </c>
      <c r="G185">
        <f>IF(A185="","",IF(ISNUMBER(A185),IF(A185&lt;=31,"",IF(A185&lt;=3112,IF(DATE(YR,MOD(A185,100),INT(A185/100))&gt;SAT1+7*NW-1,DATE(YR-1,MOD(A185,100),INT(A185/100)),DATE(YR,MOD(A185,100),INT(A185/100))),A185)),IFERROR(DATEVALUE(A185),"")))</f>
        <v/>
      </c>
      <c r="H185">
        <f>IF(G185="","",INT((G185-SAT1)/7)+1)</f>
        <v/>
      </c>
      <c r="I185">
        <f>IF(H185="","",IF(OR(H185&lt;1,H185&gt;NW),"",INDEX(WMON,H185)))</f>
        <v/>
      </c>
      <c r="J185">
        <f>IF(OR(G185="",H185="",B185=""),"",IF(B185="عمر المصري",SUMIFS('ساعات عمر'!$H$6:$H$588,'ساعات عمر'!$A$6:$A$588,"&gt;="&amp;(SAT1+7*(H185-1)),'ساعات عمر'!$A$6:$A$588,"&lt;="&amp;G185),SUMIFS('ساعات عبدالعزيز'!$F$6:$F$588,'ساعات عبدالعزيز'!$A$6:$A$588,"&gt;="&amp;(SAT1+7*(H185-1)),'ساعات عبدالعزيز'!$A$6:$A$588,"&lt;="&amp;G185)))</f>
        <v/>
      </c>
    </row>
    <row r="186">
      <c r="A186" s="48" t="n"/>
      <c r="B186" s="22" t="n"/>
      <c r="C186" s="49" t="n"/>
      <c r="D186" s="50" t="n"/>
      <c r="E186" s="51">
        <f>IF(G186="","",IF(OR(H186&lt;1,H186&gt;NW),"⛔ التاريخ برّا السنة",IF(AND(N(C186)&gt;0,N(J186)&gt;0,C186&gt;ADV_CAP*J186),"⚠️ أكثر من "&amp;TEXT(ADV_CAP,"0%")&amp;" من شغله ("&amp;TEXT(J186,"0.000")&amp;")","")))</f>
        <v/>
      </c>
      <c r="G186">
        <f>IF(A186="","",IF(ISNUMBER(A186),IF(A186&lt;=31,"",IF(A186&lt;=3112,IF(DATE(YR,MOD(A186,100),INT(A186/100))&gt;SAT1+7*NW-1,DATE(YR-1,MOD(A186,100),INT(A186/100)),DATE(YR,MOD(A186,100),INT(A186/100))),A186)),IFERROR(DATEVALUE(A186),"")))</f>
        <v/>
      </c>
      <c r="H186">
        <f>IF(G186="","",INT((G186-SAT1)/7)+1)</f>
        <v/>
      </c>
      <c r="I186">
        <f>IF(H186="","",IF(OR(H186&lt;1,H186&gt;NW),"",INDEX(WMON,H186)))</f>
        <v/>
      </c>
      <c r="J186">
        <f>IF(OR(G186="",H186="",B186=""),"",IF(B186="عمر المصري",SUMIFS('ساعات عمر'!$H$6:$H$588,'ساعات عمر'!$A$6:$A$588,"&gt;="&amp;(SAT1+7*(H186-1)),'ساعات عمر'!$A$6:$A$588,"&lt;="&amp;G186),SUMIFS('ساعات عبدالعزيز'!$F$6:$F$588,'ساعات عبدالعزيز'!$A$6:$A$588,"&gt;="&amp;(SAT1+7*(H186-1)),'ساعات عبدالعزيز'!$A$6:$A$588,"&lt;="&amp;G186)))</f>
        <v/>
      </c>
    </row>
    <row r="187">
      <c r="A187" s="48" t="n"/>
      <c r="B187" s="22" t="n"/>
      <c r="C187" s="49" t="n"/>
      <c r="D187" s="50" t="n"/>
      <c r="E187" s="51">
        <f>IF(G187="","",IF(OR(H187&lt;1,H187&gt;NW),"⛔ التاريخ برّا السنة",IF(AND(N(C187)&gt;0,N(J187)&gt;0,C187&gt;ADV_CAP*J187),"⚠️ أكثر من "&amp;TEXT(ADV_CAP,"0%")&amp;" من شغله ("&amp;TEXT(J187,"0.000")&amp;")","")))</f>
        <v/>
      </c>
      <c r="G187">
        <f>IF(A187="","",IF(ISNUMBER(A187),IF(A187&lt;=31,"",IF(A187&lt;=3112,IF(DATE(YR,MOD(A187,100),INT(A187/100))&gt;SAT1+7*NW-1,DATE(YR-1,MOD(A187,100),INT(A187/100)),DATE(YR,MOD(A187,100),INT(A187/100))),A187)),IFERROR(DATEVALUE(A187),"")))</f>
        <v/>
      </c>
      <c r="H187">
        <f>IF(G187="","",INT((G187-SAT1)/7)+1)</f>
        <v/>
      </c>
      <c r="I187">
        <f>IF(H187="","",IF(OR(H187&lt;1,H187&gt;NW),"",INDEX(WMON,H187)))</f>
        <v/>
      </c>
      <c r="J187">
        <f>IF(OR(G187="",H187="",B187=""),"",IF(B187="عمر المصري",SUMIFS('ساعات عمر'!$H$6:$H$588,'ساعات عمر'!$A$6:$A$588,"&gt;="&amp;(SAT1+7*(H187-1)),'ساعات عمر'!$A$6:$A$588,"&lt;="&amp;G187),SUMIFS('ساعات عبدالعزيز'!$F$6:$F$588,'ساعات عبدالعزيز'!$A$6:$A$588,"&gt;="&amp;(SAT1+7*(H187-1)),'ساعات عبدالعزيز'!$A$6:$A$588,"&lt;="&amp;G187)))</f>
        <v/>
      </c>
    </row>
    <row r="188">
      <c r="A188" s="48" t="n"/>
      <c r="B188" s="22" t="n"/>
      <c r="C188" s="49" t="n"/>
      <c r="D188" s="50" t="n"/>
      <c r="E188" s="51">
        <f>IF(G188="","",IF(OR(H188&lt;1,H188&gt;NW),"⛔ التاريخ برّا السنة",IF(AND(N(C188)&gt;0,N(J188)&gt;0,C188&gt;ADV_CAP*J188),"⚠️ أكثر من "&amp;TEXT(ADV_CAP,"0%")&amp;" من شغله ("&amp;TEXT(J188,"0.000")&amp;")","")))</f>
        <v/>
      </c>
      <c r="G188">
        <f>IF(A188="","",IF(ISNUMBER(A188),IF(A188&lt;=31,"",IF(A188&lt;=3112,IF(DATE(YR,MOD(A188,100),INT(A188/100))&gt;SAT1+7*NW-1,DATE(YR-1,MOD(A188,100),INT(A188/100)),DATE(YR,MOD(A188,100),INT(A188/100))),A188)),IFERROR(DATEVALUE(A188),"")))</f>
        <v/>
      </c>
      <c r="H188">
        <f>IF(G188="","",INT((G188-SAT1)/7)+1)</f>
        <v/>
      </c>
      <c r="I188">
        <f>IF(H188="","",IF(OR(H188&lt;1,H188&gt;NW),"",INDEX(WMON,H188)))</f>
        <v/>
      </c>
      <c r="J188">
        <f>IF(OR(G188="",H188="",B188=""),"",IF(B188="عمر المصري",SUMIFS('ساعات عمر'!$H$6:$H$588,'ساعات عمر'!$A$6:$A$588,"&gt;="&amp;(SAT1+7*(H188-1)),'ساعات عمر'!$A$6:$A$588,"&lt;="&amp;G188),SUMIFS('ساعات عبدالعزيز'!$F$6:$F$588,'ساعات عبدالعزيز'!$A$6:$A$588,"&gt;="&amp;(SAT1+7*(H188-1)),'ساعات عبدالعزيز'!$A$6:$A$588,"&lt;="&amp;G188)))</f>
        <v/>
      </c>
    </row>
    <row r="189">
      <c r="A189" s="48" t="n"/>
      <c r="B189" s="22" t="n"/>
      <c r="C189" s="49" t="n"/>
      <c r="D189" s="50" t="n"/>
      <c r="E189" s="51">
        <f>IF(G189="","",IF(OR(H189&lt;1,H189&gt;NW),"⛔ التاريخ برّا السنة",IF(AND(N(C189)&gt;0,N(J189)&gt;0,C189&gt;ADV_CAP*J189),"⚠️ أكثر من "&amp;TEXT(ADV_CAP,"0%")&amp;" من شغله ("&amp;TEXT(J189,"0.000")&amp;")","")))</f>
        <v/>
      </c>
      <c r="G189">
        <f>IF(A189="","",IF(ISNUMBER(A189),IF(A189&lt;=31,"",IF(A189&lt;=3112,IF(DATE(YR,MOD(A189,100),INT(A189/100))&gt;SAT1+7*NW-1,DATE(YR-1,MOD(A189,100),INT(A189/100)),DATE(YR,MOD(A189,100),INT(A189/100))),A189)),IFERROR(DATEVALUE(A189),"")))</f>
        <v/>
      </c>
      <c r="H189">
        <f>IF(G189="","",INT((G189-SAT1)/7)+1)</f>
        <v/>
      </c>
      <c r="I189">
        <f>IF(H189="","",IF(OR(H189&lt;1,H189&gt;NW),"",INDEX(WMON,H189)))</f>
        <v/>
      </c>
      <c r="J189">
        <f>IF(OR(G189="",H189="",B189=""),"",IF(B189="عمر المصري",SUMIFS('ساعات عمر'!$H$6:$H$588,'ساعات عمر'!$A$6:$A$588,"&gt;="&amp;(SAT1+7*(H189-1)),'ساعات عمر'!$A$6:$A$588,"&lt;="&amp;G189),SUMIFS('ساعات عبدالعزيز'!$F$6:$F$588,'ساعات عبدالعزيز'!$A$6:$A$588,"&gt;="&amp;(SAT1+7*(H189-1)),'ساعات عبدالعزيز'!$A$6:$A$588,"&lt;="&amp;G189)))</f>
        <v/>
      </c>
    </row>
    <row r="190">
      <c r="A190" s="48" t="n"/>
      <c r="B190" s="22" t="n"/>
      <c r="C190" s="49" t="n"/>
      <c r="D190" s="50" t="n"/>
      <c r="E190" s="51">
        <f>IF(G190="","",IF(OR(H190&lt;1,H190&gt;NW),"⛔ التاريخ برّا السنة",IF(AND(N(C190)&gt;0,N(J190)&gt;0,C190&gt;ADV_CAP*J190),"⚠️ أكثر من "&amp;TEXT(ADV_CAP,"0%")&amp;" من شغله ("&amp;TEXT(J190,"0.000")&amp;")","")))</f>
        <v/>
      </c>
      <c r="G190">
        <f>IF(A190="","",IF(ISNUMBER(A190),IF(A190&lt;=31,"",IF(A190&lt;=3112,IF(DATE(YR,MOD(A190,100),INT(A190/100))&gt;SAT1+7*NW-1,DATE(YR-1,MOD(A190,100),INT(A190/100)),DATE(YR,MOD(A190,100),INT(A190/100))),A190)),IFERROR(DATEVALUE(A190),"")))</f>
        <v/>
      </c>
      <c r="H190">
        <f>IF(G190="","",INT((G190-SAT1)/7)+1)</f>
        <v/>
      </c>
      <c r="I190">
        <f>IF(H190="","",IF(OR(H190&lt;1,H190&gt;NW),"",INDEX(WMON,H190)))</f>
        <v/>
      </c>
      <c r="J190">
        <f>IF(OR(G190="",H190="",B190=""),"",IF(B190="عمر المصري",SUMIFS('ساعات عمر'!$H$6:$H$588,'ساعات عمر'!$A$6:$A$588,"&gt;="&amp;(SAT1+7*(H190-1)),'ساعات عمر'!$A$6:$A$588,"&lt;="&amp;G190),SUMIFS('ساعات عبدالعزيز'!$F$6:$F$588,'ساعات عبدالعزيز'!$A$6:$A$588,"&gt;="&amp;(SAT1+7*(H190-1)),'ساعات عبدالعزيز'!$A$6:$A$588,"&lt;="&amp;G190)))</f>
        <v/>
      </c>
    </row>
    <row r="191">
      <c r="A191" s="48" t="n"/>
      <c r="B191" s="22" t="n"/>
      <c r="C191" s="49" t="n"/>
      <c r="D191" s="50" t="n"/>
      <c r="E191" s="51">
        <f>IF(G191="","",IF(OR(H191&lt;1,H191&gt;NW),"⛔ التاريخ برّا السنة",IF(AND(N(C191)&gt;0,N(J191)&gt;0,C191&gt;ADV_CAP*J191),"⚠️ أكثر من "&amp;TEXT(ADV_CAP,"0%")&amp;" من شغله ("&amp;TEXT(J191,"0.000")&amp;")","")))</f>
        <v/>
      </c>
      <c r="G191">
        <f>IF(A191="","",IF(ISNUMBER(A191),IF(A191&lt;=31,"",IF(A191&lt;=3112,IF(DATE(YR,MOD(A191,100),INT(A191/100))&gt;SAT1+7*NW-1,DATE(YR-1,MOD(A191,100),INT(A191/100)),DATE(YR,MOD(A191,100),INT(A191/100))),A191)),IFERROR(DATEVALUE(A191),"")))</f>
        <v/>
      </c>
      <c r="H191">
        <f>IF(G191="","",INT((G191-SAT1)/7)+1)</f>
        <v/>
      </c>
      <c r="I191">
        <f>IF(H191="","",IF(OR(H191&lt;1,H191&gt;NW),"",INDEX(WMON,H191)))</f>
        <v/>
      </c>
      <c r="J191">
        <f>IF(OR(G191="",H191="",B191=""),"",IF(B191="عمر المصري",SUMIFS('ساعات عمر'!$H$6:$H$588,'ساعات عمر'!$A$6:$A$588,"&gt;="&amp;(SAT1+7*(H191-1)),'ساعات عمر'!$A$6:$A$588,"&lt;="&amp;G191),SUMIFS('ساعات عبدالعزيز'!$F$6:$F$588,'ساعات عبدالعزيز'!$A$6:$A$588,"&gt;="&amp;(SAT1+7*(H191-1)),'ساعات عبدالعزيز'!$A$6:$A$588,"&lt;="&amp;G191)))</f>
        <v/>
      </c>
    </row>
    <row r="192">
      <c r="A192" s="48" t="n"/>
      <c r="B192" s="22" t="n"/>
      <c r="C192" s="49" t="n"/>
      <c r="D192" s="50" t="n"/>
      <c r="E192" s="51">
        <f>IF(G192="","",IF(OR(H192&lt;1,H192&gt;NW),"⛔ التاريخ برّا السنة",IF(AND(N(C192)&gt;0,N(J192)&gt;0,C192&gt;ADV_CAP*J192),"⚠️ أكثر من "&amp;TEXT(ADV_CAP,"0%")&amp;" من شغله ("&amp;TEXT(J192,"0.000")&amp;")","")))</f>
        <v/>
      </c>
      <c r="G192">
        <f>IF(A192="","",IF(ISNUMBER(A192),IF(A192&lt;=31,"",IF(A192&lt;=3112,IF(DATE(YR,MOD(A192,100),INT(A192/100))&gt;SAT1+7*NW-1,DATE(YR-1,MOD(A192,100),INT(A192/100)),DATE(YR,MOD(A192,100),INT(A192/100))),A192)),IFERROR(DATEVALUE(A192),"")))</f>
        <v/>
      </c>
      <c r="H192">
        <f>IF(G192="","",INT((G192-SAT1)/7)+1)</f>
        <v/>
      </c>
      <c r="I192">
        <f>IF(H192="","",IF(OR(H192&lt;1,H192&gt;NW),"",INDEX(WMON,H192)))</f>
        <v/>
      </c>
      <c r="J192">
        <f>IF(OR(G192="",H192="",B192=""),"",IF(B192="عمر المصري",SUMIFS('ساعات عمر'!$H$6:$H$588,'ساعات عمر'!$A$6:$A$588,"&gt;="&amp;(SAT1+7*(H192-1)),'ساعات عمر'!$A$6:$A$588,"&lt;="&amp;G192),SUMIFS('ساعات عبدالعزيز'!$F$6:$F$588,'ساعات عبدالعزيز'!$A$6:$A$588,"&gt;="&amp;(SAT1+7*(H192-1)),'ساعات عبدالعزيز'!$A$6:$A$588,"&lt;="&amp;G192)))</f>
        <v/>
      </c>
    </row>
    <row r="193">
      <c r="A193" s="48" t="n"/>
      <c r="B193" s="22" t="n"/>
      <c r="C193" s="49" t="n"/>
      <c r="D193" s="50" t="n"/>
      <c r="E193" s="51">
        <f>IF(G193="","",IF(OR(H193&lt;1,H193&gt;NW),"⛔ التاريخ برّا السنة",IF(AND(N(C193)&gt;0,N(J193)&gt;0,C193&gt;ADV_CAP*J193),"⚠️ أكثر من "&amp;TEXT(ADV_CAP,"0%")&amp;" من شغله ("&amp;TEXT(J193,"0.000")&amp;")","")))</f>
        <v/>
      </c>
      <c r="G193">
        <f>IF(A193="","",IF(ISNUMBER(A193),IF(A193&lt;=31,"",IF(A193&lt;=3112,IF(DATE(YR,MOD(A193,100),INT(A193/100))&gt;SAT1+7*NW-1,DATE(YR-1,MOD(A193,100),INT(A193/100)),DATE(YR,MOD(A193,100),INT(A193/100))),A193)),IFERROR(DATEVALUE(A193),"")))</f>
        <v/>
      </c>
      <c r="H193">
        <f>IF(G193="","",INT((G193-SAT1)/7)+1)</f>
        <v/>
      </c>
      <c r="I193">
        <f>IF(H193="","",IF(OR(H193&lt;1,H193&gt;NW),"",INDEX(WMON,H193)))</f>
        <v/>
      </c>
      <c r="J193">
        <f>IF(OR(G193="",H193="",B193=""),"",IF(B193="عمر المصري",SUMIFS('ساعات عمر'!$H$6:$H$588,'ساعات عمر'!$A$6:$A$588,"&gt;="&amp;(SAT1+7*(H193-1)),'ساعات عمر'!$A$6:$A$588,"&lt;="&amp;G193),SUMIFS('ساعات عبدالعزيز'!$F$6:$F$588,'ساعات عبدالعزيز'!$A$6:$A$588,"&gt;="&amp;(SAT1+7*(H193-1)),'ساعات عبدالعزيز'!$A$6:$A$588,"&lt;="&amp;G193)))</f>
        <v/>
      </c>
    </row>
    <row r="194">
      <c r="A194" s="48" t="n"/>
      <c r="B194" s="22" t="n"/>
      <c r="C194" s="49" t="n"/>
      <c r="D194" s="50" t="n"/>
      <c r="E194" s="51">
        <f>IF(G194="","",IF(OR(H194&lt;1,H194&gt;NW),"⛔ التاريخ برّا السنة",IF(AND(N(C194)&gt;0,N(J194)&gt;0,C194&gt;ADV_CAP*J194),"⚠️ أكثر من "&amp;TEXT(ADV_CAP,"0%")&amp;" من شغله ("&amp;TEXT(J194,"0.000")&amp;")","")))</f>
        <v/>
      </c>
      <c r="G194">
        <f>IF(A194="","",IF(ISNUMBER(A194),IF(A194&lt;=31,"",IF(A194&lt;=3112,IF(DATE(YR,MOD(A194,100),INT(A194/100))&gt;SAT1+7*NW-1,DATE(YR-1,MOD(A194,100),INT(A194/100)),DATE(YR,MOD(A194,100),INT(A194/100))),A194)),IFERROR(DATEVALUE(A194),"")))</f>
        <v/>
      </c>
      <c r="H194">
        <f>IF(G194="","",INT((G194-SAT1)/7)+1)</f>
        <v/>
      </c>
      <c r="I194">
        <f>IF(H194="","",IF(OR(H194&lt;1,H194&gt;NW),"",INDEX(WMON,H194)))</f>
        <v/>
      </c>
      <c r="J194">
        <f>IF(OR(G194="",H194="",B194=""),"",IF(B194="عمر المصري",SUMIFS('ساعات عمر'!$H$6:$H$588,'ساعات عمر'!$A$6:$A$588,"&gt;="&amp;(SAT1+7*(H194-1)),'ساعات عمر'!$A$6:$A$588,"&lt;="&amp;G194),SUMIFS('ساعات عبدالعزيز'!$F$6:$F$588,'ساعات عبدالعزيز'!$A$6:$A$588,"&gt;="&amp;(SAT1+7*(H194-1)),'ساعات عبدالعزيز'!$A$6:$A$588,"&lt;="&amp;G194)))</f>
        <v/>
      </c>
    </row>
    <row r="195">
      <c r="A195" s="48" t="n"/>
      <c r="B195" s="22" t="n"/>
      <c r="C195" s="49" t="n"/>
      <c r="D195" s="50" t="n"/>
      <c r="E195" s="51">
        <f>IF(G195="","",IF(OR(H195&lt;1,H195&gt;NW),"⛔ التاريخ برّا السنة",IF(AND(N(C195)&gt;0,N(J195)&gt;0,C195&gt;ADV_CAP*J195),"⚠️ أكثر من "&amp;TEXT(ADV_CAP,"0%")&amp;" من شغله ("&amp;TEXT(J195,"0.000")&amp;")","")))</f>
        <v/>
      </c>
      <c r="G195">
        <f>IF(A195="","",IF(ISNUMBER(A195),IF(A195&lt;=31,"",IF(A195&lt;=3112,IF(DATE(YR,MOD(A195,100),INT(A195/100))&gt;SAT1+7*NW-1,DATE(YR-1,MOD(A195,100),INT(A195/100)),DATE(YR,MOD(A195,100),INT(A195/100))),A195)),IFERROR(DATEVALUE(A195),"")))</f>
        <v/>
      </c>
      <c r="H195">
        <f>IF(G195="","",INT((G195-SAT1)/7)+1)</f>
        <v/>
      </c>
      <c r="I195">
        <f>IF(H195="","",IF(OR(H195&lt;1,H195&gt;NW),"",INDEX(WMON,H195)))</f>
        <v/>
      </c>
      <c r="J195">
        <f>IF(OR(G195="",H195="",B195=""),"",IF(B195="عمر المصري",SUMIFS('ساعات عمر'!$H$6:$H$588,'ساعات عمر'!$A$6:$A$588,"&gt;="&amp;(SAT1+7*(H195-1)),'ساعات عمر'!$A$6:$A$588,"&lt;="&amp;G195),SUMIFS('ساعات عبدالعزيز'!$F$6:$F$588,'ساعات عبدالعزيز'!$A$6:$A$588,"&gt;="&amp;(SAT1+7*(H195-1)),'ساعات عبدالعزيز'!$A$6:$A$588,"&lt;="&amp;G195)))</f>
        <v/>
      </c>
    </row>
    <row r="196">
      <c r="A196" s="48" t="n"/>
      <c r="B196" s="22" t="n"/>
      <c r="C196" s="49" t="n"/>
      <c r="D196" s="50" t="n"/>
      <c r="E196" s="51">
        <f>IF(G196="","",IF(OR(H196&lt;1,H196&gt;NW),"⛔ التاريخ برّا السنة",IF(AND(N(C196)&gt;0,N(J196)&gt;0,C196&gt;ADV_CAP*J196),"⚠️ أكثر من "&amp;TEXT(ADV_CAP,"0%")&amp;" من شغله ("&amp;TEXT(J196,"0.000")&amp;")","")))</f>
        <v/>
      </c>
      <c r="G196">
        <f>IF(A196="","",IF(ISNUMBER(A196),IF(A196&lt;=31,"",IF(A196&lt;=3112,IF(DATE(YR,MOD(A196,100),INT(A196/100))&gt;SAT1+7*NW-1,DATE(YR-1,MOD(A196,100),INT(A196/100)),DATE(YR,MOD(A196,100),INT(A196/100))),A196)),IFERROR(DATEVALUE(A196),"")))</f>
        <v/>
      </c>
      <c r="H196">
        <f>IF(G196="","",INT((G196-SAT1)/7)+1)</f>
        <v/>
      </c>
      <c r="I196">
        <f>IF(H196="","",IF(OR(H196&lt;1,H196&gt;NW),"",INDEX(WMON,H196)))</f>
        <v/>
      </c>
      <c r="J196">
        <f>IF(OR(G196="",H196="",B196=""),"",IF(B196="عمر المصري",SUMIFS('ساعات عمر'!$H$6:$H$588,'ساعات عمر'!$A$6:$A$588,"&gt;="&amp;(SAT1+7*(H196-1)),'ساعات عمر'!$A$6:$A$588,"&lt;="&amp;G196),SUMIFS('ساعات عبدالعزيز'!$F$6:$F$588,'ساعات عبدالعزيز'!$A$6:$A$588,"&gt;="&amp;(SAT1+7*(H196-1)),'ساعات عبدالعزيز'!$A$6:$A$588,"&lt;="&amp;G196)))</f>
        <v/>
      </c>
    </row>
    <row r="197">
      <c r="A197" s="48" t="n"/>
      <c r="B197" s="22" t="n"/>
      <c r="C197" s="49" t="n"/>
      <c r="D197" s="50" t="n"/>
      <c r="E197" s="51">
        <f>IF(G197="","",IF(OR(H197&lt;1,H197&gt;NW),"⛔ التاريخ برّا السنة",IF(AND(N(C197)&gt;0,N(J197)&gt;0,C197&gt;ADV_CAP*J197),"⚠️ أكثر من "&amp;TEXT(ADV_CAP,"0%")&amp;" من شغله ("&amp;TEXT(J197,"0.000")&amp;")","")))</f>
        <v/>
      </c>
      <c r="G197">
        <f>IF(A197="","",IF(ISNUMBER(A197),IF(A197&lt;=31,"",IF(A197&lt;=3112,IF(DATE(YR,MOD(A197,100),INT(A197/100))&gt;SAT1+7*NW-1,DATE(YR-1,MOD(A197,100),INT(A197/100)),DATE(YR,MOD(A197,100),INT(A197/100))),A197)),IFERROR(DATEVALUE(A197),"")))</f>
        <v/>
      </c>
      <c r="H197">
        <f>IF(G197="","",INT((G197-SAT1)/7)+1)</f>
        <v/>
      </c>
      <c r="I197">
        <f>IF(H197="","",IF(OR(H197&lt;1,H197&gt;NW),"",INDEX(WMON,H197)))</f>
        <v/>
      </c>
      <c r="J197">
        <f>IF(OR(G197="",H197="",B197=""),"",IF(B197="عمر المصري",SUMIFS('ساعات عمر'!$H$6:$H$588,'ساعات عمر'!$A$6:$A$588,"&gt;="&amp;(SAT1+7*(H197-1)),'ساعات عمر'!$A$6:$A$588,"&lt;="&amp;G197),SUMIFS('ساعات عبدالعزيز'!$F$6:$F$588,'ساعات عبدالعزيز'!$A$6:$A$588,"&gt;="&amp;(SAT1+7*(H197-1)),'ساعات عبدالعزيز'!$A$6:$A$588,"&lt;="&amp;G197)))</f>
        <v/>
      </c>
    </row>
    <row r="198">
      <c r="A198" s="48" t="n"/>
      <c r="B198" s="22" t="n"/>
      <c r="C198" s="49" t="n"/>
      <c r="D198" s="50" t="n"/>
      <c r="E198" s="51">
        <f>IF(G198="","",IF(OR(H198&lt;1,H198&gt;NW),"⛔ التاريخ برّا السنة",IF(AND(N(C198)&gt;0,N(J198)&gt;0,C198&gt;ADV_CAP*J198),"⚠️ أكثر من "&amp;TEXT(ADV_CAP,"0%")&amp;" من شغله ("&amp;TEXT(J198,"0.000")&amp;")","")))</f>
        <v/>
      </c>
      <c r="G198">
        <f>IF(A198="","",IF(ISNUMBER(A198),IF(A198&lt;=31,"",IF(A198&lt;=3112,IF(DATE(YR,MOD(A198,100),INT(A198/100))&gt;SAT1+7*NW-1,DATE(YR-1,MOD(A198,100),INT(A198/100)),DATE(YR,MOD(A198,100),INT(A198/100))),A198)),IFERROR(DATEVALUE(A198),"")))</f>
        <v/>
      </c>
      <c r="H198">
        <f>IF(G198="","",INT((G198-SAT1)/7)+1)</f>
        <v/>
      </c>
      <c r="I198">
        <f>IF(H198="","",IF(OR(H198&lt;1,H198&gt;NW),"",INDEX(WMON,H198)))</f>
        <v/>
      </c>
      <c r="J198">
        <f>IF(OR(G198="",H198="",B198=""),"",IF(B198="عمر المصري",SUMIFS('ساعات عمر'!$H$6:$H$588,'ساعات عمر'!$A$6:$A$588,"&gt;="&amp;(SAT1+7*(H198-1)),'ساعات عمر'!$A$6:$A$588,"&lt;="&amp;G198),SUMIFS('ساعات عبدالعزيز'!$F$6:$F$588,'ساعات عبدالعزيز'!$A$6:$A$588,"&gt;="&amp;(SAT1+7*(H198-1)),'ساعات عبدالعزيز'!$A$6:$A$588,"&lt;="&amp;G198)))</f>
        <v/>
      </c>
    </row>
    <row r="199">
      <c r="A199" s="48" t="n"/>
      <c r="B199" s="22" t="n"/>
      <c r="C199" s="49" t="n"/>
      <c r="D199" s="50" t="n"/>
      <c r="E199" s="51">
        <f>IF(G199="","",IF(OR(H199&lt;1,H199&gt;NW),"⛔ التاريخ برّا السنة",IF(AND(N(C199)&gt;0,N(J199)&gt;0,C199&gt;ADV_CAP*J199),"⚠️ أكثر من "&amp;TEXT(ADV_CAP,"0%")&amp;" من شغله ("&amp;TEXT(J199,"0.000")&amp;")","")))</f>
        <v/>
      </c>
      <c r="G199">
        <f>IF(A199="","",IF(ISNUMBER(A199),IF(A199&lt;=31,"",IF(A199&lt;=3112,IF(DATE(YR,MOD(A199,100),INT(A199/100))&gt;SAT1+7*NW-1,DATE(YR-1,MOD(A199,100),INT(A199/100)),DATE(YR,MOD(A199,100),INT(A199/100))),A199)),IFERROR(DATEVALUE(A199),"")))</f>
        <v/>
      </c>
      <c r="H199">
        <f>IF(G199="","",INT((G199-SAT1)/7)+1)</f>
        <v/>
      </c>
      <c r="I199">
        <f>IF(H199="","",IF(OR(H199&lt;1,H199&gt;NW),"",INDEX(WMON,H199)))</f>
        <v/>
      </c>
      <c r="J199">
        <f>IF(OR(G199="",H199="",B199=""),"",IF(B199="عمر المصري",SUMIFS('ساعات عمر'!$H$6:$H$588,'ساعات عمر'!$A$6:$A$588,"&gt;="&amp;(SAT1+7*(H199-1)),'ساعات عمر'!$A$6:$A$588,"&lt;="&amp;G199),SUMIFS('ساعات عبدالعزيز'!$F$6:$F$588,'ساعات عبدالعزيز'!$A$6:$A$588,"&gt;="&amp;(SAT1+7*(H199-1)),'ساعات عبدالعزيز'!$A$6:$A$588,"&lt;="&amp;G199)))</f>
        <v/>
      </c>
    </row>
    <row r="200">
      <c r="A200" s="48" t="n"/>
      <c r="B200" s="22" t="n"/>
      <c r="C200" s="49" t="n"/>
      <c r="D200" s="50" t="n"/>
      <c r="E200" s="51">
        <f>IF(G200="","",IF(OR(H200&lt;1,H200&gt;NW),"⛔ التاريخ برّا السنة",IF(AND(N(C200)&gt;0,N(J200)&gt;0,C200&gt;ADV_CAP*J200),"⚠️ أكثر من "&amp;TEXT(ADV_CAP,"0%")&amp;" من شغله ("&amp;TEXT(J200,"0.000")&amp;")","")))</f>
        <v/>
      </c>
      <c r="G200">
        <f>IF(A200="","",IF(ISNUMBER(A200),IF(A200&lt;=31,"",IF(A200&lt;=3112,IF(DATE(YR,MOD(A200,100),INT(A200/100))&gt;SAT1+7*NW-1,DATE(YR-1,MOD(A200,100),INT(A200/100)),DATE(YR,MOD(A200,100),INT(A200/100))),A200)),IFERROR(DATEVALUE(A200),"")))</f>
        <v/>
      </c>
      <c r="H200">
        <f>IF(G200="","",INT((G200-SAT1)/7)+1)</f>
        <v/>
      </c>
      <c r="I200">
        <f>IF(H200="","",IF(OR(H200&lt;1,H200&gt;NW),"",INDEX(WMON,H200)))</f>
        <v/>
      </c>
      <c r="J200">
        <f>IF(OR(G200="",H200="",B200=""),"",IF(B200="عمر المصري",SUMIFS('ساعات عمر'!$H$6:$H$588,'ساعات عمر'!$A$6:$A$588,"&gt;="&amp;(SAT1+7*(H200-1)),'ساعات عمر'!$A$6:$A$588,"&lt;="&amp;G200),SUMIFS('ساعات عبدالعزيز'!$F$6:$F$588,'ساعات عبدالعزيز'!$A$6:$A$588,"&gt;="&amp;(SAT1+7*(H200-1)),'ساعات عبدالعزيز'!$A$6:$A$588,"&lt;="&amp;G200)))</f>
        <v/>
      </c>
    </row>
    <row r="201">
      <c r="A201" s="48" t="n"/>
      <c r="B201" s="22" t="n"/>
      <c r="C201" s="49" t="n"/>
      <c r="D201" s="50" t="n"/>
      <c r="E201" s="51">
        <f>IF(G201="","",IF(OR(H201&lt;1,H201&gt;NW),"⛔ التاريخ برّا السنة",IF(AND(N(C201)&gt;0,N(J201)&gt;0,C201&gt;ADV_CAP*J201),"⚠️ أكثر من "&amp;TEXT(ADV_CAP,"0%")&amp;" من شغله ("&amp;TEXT(J201,"0.000")&amp;")","")))</f>
        <v/>
      </c>
      <c r="G201">
        <f>IF(A201="","",IF(ISNUMBER(A201),IF(A201&lt;=31,"",IF(A201&lt;=3112,IF(DATE(YR,MOD(A201,100),INT(A201/100))&gt;SAT1+7*NW-1,DATE(YR-1,MOD(A201,100),INT(A201/100)),DATE(YR,MOD(A201,100),INT(A201/100))),A201)),IFERROR(DATEVALUE(A201),"")))</f>
        <v/>
      </c>
      <c r="H201">
        <f>IF(G201="","",INT((G201-SAT1)/7)+1)</f>
        <v/>
      </c>
      <c r="I201">
        <f>IF(H201="","",IF(OR(H201&lt;1,H201&gt;NW),"",INDEX(WMON,H201)))</f>
        <v/>
      </c>
      <c r="J201">
        <f>IF(OR(G201="",H201="",B201=""),"",IF(B201="عمر المصري",SUMIFS('ساعات عمر'!$H$6:$H$588,'ساعات عمر'!$A$6:$A$588,"&gt;="&amp;(SAT1+7*(H201-1)),'ساعات عمر'!$A$6:$A$588,"&lt;="&amp;G201),SUMIFS('ساعات عبدالعزيز'!$F$6:$F$588,'ساعات عبدالعزيز'!$A$6:$A$588,"&gt;="&amp;(SAT1+7*(H201-1)),'ساعات عبدالعزيز'!$A$6:$A$588,"&lt;="&amp;G201)))</f>
        <v/>
      </c>
    </row>
    <row r="202">
      <c r="A202" s="48" t="n"/>
      <c r="B202" s="22" t="n"/>
      <c r="C202" s="49" t="n"/>
      <c r="D202" s="50" t="n"/>
      <c r="E202" s="51">
        <f>IF(G202="","",IF(OR(H202&lt;1,H202&gt;NW),"⛔ التاريخ برّا السنة",IF(AND(N(C202)&gt;0,N(J202)&gt;0,C202&gt;ADV_CAP*J202),"⚠️ أكثر من "&amp;TEXT(ADV_CAP,"0%")&amp;" من شغله ("&amp;TEXT(J202,"0.000")&amp;")","")))</f>
        <v/>
      </c>
      <c r="G202">
        <f>IF(A202="","",IF(ISNUMBER(A202),IF(A202&lt;=31,"",IF(A202&lt;=3112,IF(DATE(YR,MOD(A202,100),INT(A202/100))&gt;SAT1+7*NW-1,DATE(YR-1,MOD(A202,100),INT(A202/100)),DATE(YR,MOD(A202,100),INT(A202/100))),A202)),IFERROR(DATEVALUE(A202),"")))</f>
        <v/>
      </c>
      <c r="H202">
        <f>IF(G202="","",INT((G202-SAT1)/7)+1)</f>
        <v/>
      </c>
      <c r="I202">
        <f>IF(H202="","",IF(OR(H202&lt;1,H202&gt;NW),"",INDEX(WMON,H202)))</f>
        <v/>
      </c>
      <c r="J202">
        <f>IF(OR(G202="",H202="",B202=""),"",IF(B202="عمر المصري",SUMIFS('ساعات عمر'!$H$6:$H$588,'ساعات عمر'!$A$6:$A$588,"&gt;="&amp;(SAT1+7*(H202-1)),'ساعات عمر'!$A$6:$A$588,"&lt;="&amp;G202),SUMIFS('ساعات عبدالعزيز'!$F$6:$F$588,'ساعات عبدالعزيز'!$A$6:$A$588,"&gt;="&amp;(SAT1+7*(H202-1)),'ساعات عبدالعزيز'!$A$6:$A$588,"&lt;="&amp;G202)))</f>
        <v/>
      </c>
    </row>
    <row r="203">
      <c r="A203" s="48" t="n"/>
      <c r="B203" s="22" t="n"/>
      <c r="C203" s="49" t="n"/>
      <c r="D203" s="50" t="n"/>
      <c r="E203" s="51">
        <f>IF(G203="","",IF(OR(H203&lt;1,H203&gt;NW),"⛔ التاريخ برّا السنة",IF(AND(N(C203)&gt;0,N(J203)&gt;0,C203&gt;ADV_CAP*J203),"⚠️ أكثر من "&amp;TEXT(ADV_CAP,"0%")&amp;" من شغله ("&amp;TEXT(J203,"0.000")&amp;")","")))</f>
        <v/>
      </c>
      <c r="G203">
        <f>IF(A203="","",IF(ISNUMBER(A203),IF(A203&lt;=31,"",IF(A203&lt;=3112,IF(DATE(YR,MOD(A203,100),INT(A203/100))&gt;SAT1+7*NW-1,DATE(YR-1,MOD(A203,100),INT(A203/100)),DATE(YR,MOD(A203,100),INT(A203/100))),A203)),IFERROR(DATEVALUE(A203),"")))</f>
        <v/>
      </c>
      <c r="H203">
        <f>IF(G203="","",INT((G203-SAT1)/7)+1)</f>
        <v/>
      </c>
      <c r="I203">
        <f>IF(H203="","",IF(OR(H203&lt;1,H203&gt;NW),"",INDEX(WMON,H203)))</f>
        <v/>
      </c>
      <c r="J203">
        <f>IF(OR(G203="",H203="",B203=""),"",IF(B203="عمر المصري",SUMIFS('ساعات عمر'!$H$6:$H$588,'ساعات عمر'!$A$6:$A$588,"&gt;="&amp;(SAT1+7*(H203-1)),'ساعات عمر'!$A$6:$A$588,"&lt;="&amp;G203),SUMIFS('ساعات عبدالعزيز'!$F$6:$F$588,'ساعات عبدالعزيز'!$A$6:$A$588,"&gt;="&amp;(SAT1+7*(H203-1)),'ساعات عبدالعزيز'!$A$6:$A$588,"&lt;="&amp;G203)))</f>
        <v/>
      </c>
    </row>
    <row r="204">
      <c r="A204" s="48" t="n"/>
      <c r="B204" s="22" t="n"/>
      <c r="C204" s="49" t="n"/>
      <c r="D204" s="50" t="n"/>
      <c r="E204" s="51">
        <f>IF(G204="","",IF(OR(H204&lt;1,H204&gt;NW),"⛔ التاريخ برّا السنة",IF(AND(N(C204)&gt;0,N(J204)&gt;0,C204&gt;ADV_CAP*J204),"⚠️ أكثر من "&amp;TEXT(ADV_CAP,"0%")&amp;" من شغله ("&amp;TEXT(J204,"0.000")&amp;")","")))</f>
        <v/>
      </c>
      <c r="G204">
        <f>IF(A204="","",IF(ISNUMBER(A204),IF(A204&lt;=31,"",IF(A204&lt;=3112,IF(DATE(YR,MOD(A204,100),INT(A204/100))&gt;SAT1+7*NW-1,DATE(YR-1,MOD(A204,100),INT(A204/100)),DATE(YR,MOD(A204,100),INT(A204/100))),A204)),IFERROR(DATEVALUE(A204),"")))</f>
        <v/>
      </c>
      <c r="H204">
        <f>IF(G204="","",INT((G204-SAT1)/7)+1)</f>
        <v/>
      </c>
      <c r="I204">
        <f>IF(H204="","",IF(OR(H204&lt;1,H204&gt;NW),"",INDEX(WMON,H204)))</f>
        <v/>
      </c>
      <c r="J204">
        <f>IF(OR(G204="",H204="",B204=""),"",IF(B204="عمر المصري",SUMIFS('ساعات عمر'!$H$6:$H$588,'ساعات عمر'!$A$6:$A$588,"&gt;="&amp;(SAT1+7*(H204-1)),'ساعات عمر'!$A$6:$A$588,"&lt;="&amp;G204),SUMIFS('ساعات عبدالعزيز'!$F$6:$F$588,'ساعات عبدالعزيز'!$A$6:$A$588,"&gt;="&amp;(SAT1+7*(H204-1)),'ساعات عبدالعزيز'!$A$6:$A$588,"&lt;="&amp;G204)))</f>
        <v/>
      </c>
    </row>
    <row r="205">
      <c r="A205" s="48" t="n"/>
      <c r="B205" s="22" t="n"/>
      <c r="C205" s="49" t="n"/>
      <c r="D205" s="50" t="n"/>
      <c r="E205" s="51">
        <f>IF(G205="","",IF(OR(H205&lt;1,H205&gt;NW),"⛔ التاريخ برّا السنة",IF(AND(N(C205)&gt;0,N(J205)&gt;0,C205&gt;ADV_CAP*J205),"⚠️ أكثر من "&amp;TEXT(ADV_CAP,"0%")&amp;" من شغله ("&amp;TEXT(J205,"0.000")&amp;")","")))</f>
        <v/>
      </c>
      <c r="G205">
        <f>IF(A205="","",IF(ISNUMBER(A205),IF(A205&lt;=31,"",IF(A205&lt;=3112,IF(DATE(YR,MOD(A205,100),INT(A205/100))&gt;SAT1+7*NW-1,DATE(YR-1,MOD(A205,100),INT(A205/100)),DATE(YR,MOD(A205,100),INT(A205/100))),A205)),IFERROR(DATEVALUE(A205),"")))</f>
        <v/>
      </c>
      <c r="H205">
        <f>IF(G205="","",INT((G205-SAT1)/7)+1)</f>
        <v/>
      </c>
      <c r="I205">
        <f>IF(H205="","",IF(OR(H205&lt;1,H205&gt;NW),"",INDEX(WMON,H205)))</f>
        <v/>
      </c>
      <c r="J205">
        <f>IF(OR(G205="",H205="",B205=""),"",IF(B205="عمر المصري",SUMIFS('ساعات عمر'!$H$6:$H$588,'ساعات عمر'!$A$6:$A$588,"&gt;="&amp;(SAT1+7*(H205-1)),'ساعات عمر'!$A$6:$A$588,"&lt;="&amp;G205),SUMIFS('ساعات عبدالعزيز'!$F$6:$F$588,'ساعات عبدالعزيز'!$A$6:$A$588,"&gt;="&amp;(SAT1+7*(H205-1)),'ساعات عبدالعزيز'!$A$6:$A$588,"&lt;="&amp;G205)))</f>
        <v/>
      </c>
    </row>
    <row r="206">
      <c r="A206" s="48" t="n"/>
      <c r="B206" s="22" t="n"/>
      <c r="C206" s="49" t="n"/>
      <c r="D206" s="50" t="n"/>
      <c r="E206" s="51">
        <f>IF(G206="","",IF(OR(H206&lt;1,H206&gt;NW),"⛔ التاريخ برّا السنة",IF(AND(N(C206)&gt;0,N(J206)&gt;0,C206&gt;ADV_CAP*J206),"⚠️ أكثر من "&amp;TEXT(ADV_CAP,"0%")&amp;" من شغله ("&amp;TEXT(J206,"0.000")&amp;")","")))</f>
        <v/>
      </c>
      <c r="G206">
        <f>IF(A206="","",IF(ISNUMBER(A206),IF(A206&lt;=31,"",IF(A206&lt;=3112,IF(DATE(YR,MOD(A206,100),INT(A206/100))&gt;SAT1+7*NW-1,DATE(YR-1,MOD(A206,100),INT(A206/100)),DATE(YR,MOD(A206,100),INT(A206/100))),A206)),IFERROR(DATEVALUE(A206),"")))</f>
        <v/>
      </c>
      <c r="H206">
        <f>IF(G206="","",INT((G206-SAT1)/7)+1)</f>
        <v/>
      </c>
      <c r="I206">
        <f>IF(H206="","",IF(OR(H206&lt;1,H206&gt;NW),"",INDEX(WMON,H206)))</f>
        <v/>
      </c>
      <c r="J206">
        <f>IF(OR(G206="",H206="",B206=""),"",IF(B206="عمر المصري",SUMIFS('ساعات عمر'!$H$6:$H$588,'ساعات عمر'!$A$6:$A$588,"&gt;="&amp;(SAT1+7*(H206-1)),'ساعات عمر'!$A$6:$A$588,"&lt;="&amp;G206),SUMIFS('ساعات عبدالعزيز'!$F$6:$F$588,'ساعات عبدالعزيز'!$A$6:$A$588,"&gt;="&amp;(SAT1+7*(H206-1)),'ساعات عبدالعزيز'!$A$6:$A$588,"&lt;="&amp;G206)))</f>
        <v/>
      </c>
    </row>
    <row r="207">
      <c r="A207" s="48" t="n"/>
      <c r="B207" s="22" t="n"/>
      <c r="C207" s="49" t="n"/>
      <c r="D207" s="50" t="n"/>
      <c r="E207" s="51">
        <f>IF(G207="","",IF(OR(H207&lt;1,H207&gt;NW),"⛔ التاريخ برّا السنة",IF(AND(N(C207)&gt;0,N(J207)&gt;0,C207&gt;ADV_CAP*J207),"⚠️ أكثر من "&amp;TEXT(ADV_CAP,"0%")&amp;" من شغله ("&amp;TEXT(J207,"0.000")&amp;")","")))</f>
        <v/>
      </c>
      <c r="G207">
        <f>IF(A207="","",IF(ISNUMBER(A207),IF(A207&lt;=31,"",IF(A207&lt;=3112,IF(DATE(YR,MOD(A207,100),INT(A207/100))&gt;SAT1+7*NW-1,DATE(YR-1,MOD(A207,100),INT(A207/100)),DATE(YR,MOD(A207,100),INT(A207/100))),A207)),IFERROR(DATEVALUE(A207),"")))</f>
        <v/>
      </c>
      <c r="H207">
        <f>IF(G207="","",INT((G207-SAT1)/7)+1)</f>
        <v/>
      </c>
      <c r="I207">
        <f>IF(H207="","",IF(OR(H207&lt;1,H207&gt;NW),"",INDEX(WMON,H207)))</f>
        <v/>
      </c>
      <c r="J207">
        <f>IF(OR(G207="",H207="",B207=""),"",IF(B207="عمر المصري",SUMIFS('ساعات عمر'!$H$6:$H$588,'ساعات عمر'!$A$6:$A$588,"&gt;="&amp;(SAT1+7*(H207-1)),'ساعات عمر'!$A$6:$A$588,"&lt;="&amp;G207),SUMIFS('ساعات عبدالعزيز'!$F$6:$F$588,'ساعات عبدالعزيز'!$A$6:$A$588,"&gt;="&amp;(SAT1+7*(H207-1)),'ساعات عبدالعزيز'!$A$6:$A$588,"&lt;="&amp;G207)))</f>
        <v/>
      </c>
    </row>
    <row r="208">
      <c r="A208" s="48" t="n"/>
      <c r="B208" s="22" t="n"/>
      <c r="C208" s="49" t="n"/>
      <c r="D208" s="50" t="n"/>
      <c r="E208" s="51">
        <f>IF(G208="","",IF(OR(H208&lt;1,H208&gt;NW),"⛔ التاريخ برّا السنة",IF(AND(N(C208)&gt;0,N(J208)&gt;0,C208&gt;ADV_CAP*J208),"⚠️ أكثر من "&amp;TEXT(ADV_CAP,"0%")&amp;" من شغله ("&amp;TEXT(J208,"0.000")&amp;")","")))</f>
        <v/>
      </c>
      <c r="G208">
        <f>IF(A208="","",IF(ISNUMBER(A208),IF(A208&lt;=31,"",IF(A208&lt;=3112,IF(DATE(YR,MOD(A208,100),INT(A208/100))&gt;SAT1+7*NW-1,DATE(YR-1,MOD(A208,100),INT(A208/100)),DATE(YR,MOD(A208,100),INT(A208/100))),A208)),IFERROR(DATEVALUE(A208),"")))</f>
        <v/>
      </c>
      <c r="H208">
        <f>IF(G208="","",INT((G208-SAT1)/7)+1)</f>
        <v/>
      </c>
      <c r="I208">
        <f>IF(H208="","",IF(OR(H208&lt;1,H208&gt;NW),"",INDEX(WMON,H208)))</f>
        <v/>
      </c>
      <c r="J208">
        <f>IF(OR(G208="",H208="",B208=""),"",IF(B208="عمر المصري",SUMIFS('ساعات عمر'!$H$6:$H$588,'ساعات عمر'!$A$6:$A$588,"&gt;="&amp;(SAT1+7*(H208-1)),'ساعات عمر'!$A$6:$A$588,"&lt;="&amp;G208),SUMIFS('ساعات عبدالعزيز'!$F$6:$F$588,'ساعات عبدالعزيز'!$A$6:$A$588,"&gt;="&amp;(SAT1+7*(H208-1)),'ساعات عبدالعزيز'!$A$6:$A$588,"&lt;="&amp;G208)))</f>
        <v/>
      </c>
    </row>
    <row r="209">
      <c r="A209" s="48" t="n"/>
      <c r="B209" s="22" t="n"/>
      <c r="C209" s="49" t="n"/>
      <c r="D209" s="50" t="n"/>
      <c r="E209" s="51">
        <f>IF(G209="","",IF(OR(H209&lt;1,H209&gt;NW),"⛔ التاريخ برّا السنة",IF(AND(N(C209)&gt;0,N(J209)&gt;0,C209&gt;ADV_CAP*J209),"⚠️ أكثر من "&amp;TEXT(ADV_CAP,"0%")&amp;" من شغله ("&amp;TEXT(J209,"0.000")&amp;")","")))</f>
        <v/>
      </c>
      <c r="G209">
        <f>IF(A209="","",IF(ISNUMBER(A209),IF(A209&lt;=31,"",IF(A209&lt;=3112,IF(DATE(YR,MOD(A209,100),INT(A209/100))&gt;SAT1+7*NW-1,DATE(YR-1,MOD(A209,100),INT(A209/100)),DATE(YR,MOD(A209,100),INT(A209/100))),A209)),IFERROR(DATEVALUE(A209),"")))</f>
        <v/>
      </c>
      <c r="H209">
        <f>IF(G209="","",INT((G209-SAT1)/7)+1)</f>
        <v/>
      </c>
      <c r="I209">
        <f>IF(H209="","",IF(OR(H209&lt;1,H209&gt;NW),"",INDEX(WMON,H209)))</f>
        <v/>
      </c>
      <c r="J209">
        <f>IF(OR(G209="",H209="",B209=""),"",IF(B209="عمر المصري",SUMIFS('ساعات عمر'!$H$6:$H$588,'ساعات عمر'!$A$6:$A$588,"&gt;="&amp;(SAT1+7*(H209-1)),'ساعات عمر'!$A$6:$A$588,"&lt;="&amp;G209),SUMIFS('ساعات عبدالعزيز'!$F$6:$F$588,'ساعات عبدالعزيز'!$A$6:$A$588,"&gt;="&amp;(SAT1+7*(H209-1)),'ساعات عبدالعزيز'!$A$6:$A$588,"&lt;="&amp;G209)))</f>
        <v/>
      </c>
    </row>
    <row r="210">
      <c r="A210" s="48" t="n"/>
      <c r="B210" s="22" t="n"/>
      <c r="C210" s="49" t="n"/>
      <c r="D210" s="50" t="n"/>
      <c r="E210" s="51">
        <f>IF(G210="","",IF(OR(H210&lt;1,H210&gt;NW),"⛔ التاريخ برّا السنة",IF(AND(N(C210)&gt;0,N(J210)&gt;0,C210&gt;ADV_CAP*J210),"⚠️ أكثر من "&amp;TEXT(ADV_CAP,"0%")&amp;" من شغله ("&amp;TEXT(J210,"0.000")&amp;")","")))</f>
        <v/>
      </c>
      <c r="G210">
        <f>IF(A210="","",IF(ISNUMBER(A210),IF(A210&lt;=31,"",IF(A210&lt;=3112,IF(DATE(YR,MOD(A210,100),INT(A210/100))&gt;SAT1+7*NW-1,DATE(YR-1,MOD(A210,100),INT(A210/100)),DATE(YR,MOD(A210,100),INT(A210/100))),A210)),IFERROR(DATEVALUE(A210),"")))</f>
        <v/>
      </c>
      <c r="H210">
        <f>IF(G210="","",INT((G210-SAT1)/7)+1)</f>
        <v/>
      </c>
      <c r="I210">
        <f>IF(H210="","",IF(OR(H210&lt;1,H210&gt;NW),"",INDEX(WMON,H210)))</f>
        <v/>
      </c>
      <c r="J210">
        <f>IF(OR(G210="",H210="",B210=""),"",IF(B210="عمر المصري",SUMIFS('ساعات عمر'!$H$6:$H$588,'ساعات عمر'!$A$6:$A$588,"&gt;="&amp;(SAT1+7*(H210-1)),'ساعات عمر'!$A$6:$A$588,"&lt;="&amp;G210),SUMIFS('ساعات عبدالعزيز'!$F$6:$F$588,'ساعات عبدالعزيز'!$A$6:$A$588,"&gt;="&amp;(SAT1+7*(H210-1)),'ساعات عبدالعزيز'!$A$6:$A$588,"&lt;="&amp;G210)))</f>
        <v/>
      </c>
    </row>
    <row r="211">
      <c r="A211" s="48" t="n"/>
      <c r="B211" s="22" t="n"/>
      <c r="C211" s="49" t="n"/>
      <c r="D211" s="50" t="n"/>
      <c r="E211" s="51">
        <f>IF(G211="","",IF(OR(H211&lt;1,H211&gt;NW),"⛔ التاريخ برّا السنة",IF(AND(N(C211)&gt;0,N(J211)&gt;0,C211&gt;ADV_CAP*J211),"⚠️ أكثر من "&amp;TEXT(ADV_CAP,"0%")&amp;" من شغله ("&amp;TEXT(J211,"0.000")&amp;")","")))</f>
        <v/>
      </c>
      <c r="G211">
        <f>IF(A211="","",IF(ISNUMBER(A211),IF(A211&lt;=31,"",IF(A211&lt;=3112,IF(DATE(YR,MOD(A211,100),INT(A211/100))&gt;SAT1+7*NW-1,DATE(YR-1,MOD(A211,100),INT(A211/100)),DATE(YR,MOD(A211,100),INT(A211/100))),A211)),IFERROR(DATEVALUE(A211),"")))</f>
        <v/>
      </c>
      <c r="H211">
        <f>IF(G211="","",INT((G211-SAT1)/7)+1)</f>
        <v/>
      </c>
      <c r="I211">
        <f>IF(H211="","",IF(OR(H211&lt;1,H211&gt;NW),"",INDEX(WMON,H211)))</f>
        <v/>
      </c>
      <c r="J211">
        <f>IF(OR(G211="",H211="",B211=""),"",IF(B211="عمر المصري",SUMIFS('ساعات عمر'!$H$6:$H$588,'ساعات عمر'!$A$6:$A$588,"&gt;="&amp;(SAT1+7*(H211-1)),'ساعات عمر'!$A$6:$A$588,"&lt;="&amp;G211),SUMIFS('ساعات عبدالعزيز'!$F$6:$F$588,'ساعات عبدالعزيز'!$A$6:$A$588,"&gt;="&amp;(SAT1+7*(H211-1)),'ساعات عبدالعزيز'!$A$6:$A$588,"&lt;="&amp;G211)))</f>
        <v/>
      </c>
    </row>
    <row r="212">
      <c r="A212" s="48" t="n"/>
      <c r="B212" s="22" t="n"/>
      <c r="C212" s="49" t="n"/>
      <c r="D212" s="50" t="n"/>
      <c r="E212" s="51">
        <f>IF(G212="","",IF(OR(H212&lt;1,H212&gt;NW),"⛔ التاريخ برّا السنة",IF(AND(N(C212)&gt;0,N(J212)&gt;0,C212&gt;ADV_CAP*J212),"⚠️ أكثر من "&amp;TEXT(ADV_CAP,"0%")&amp;" من شغله ("&amp;TEXT(J212,"0.000")&amp;")","")))</f>
        <v/>
      </c>
      <c r="G212">
        <f>IF(A212="","",IF(ISNUMBER(A212),IF(A212&lt;=31,"",IF(A212&lt;=3112,IF(DATE(YR,MOD(A212,100),INT(A212/100))&gt;SAT1+7*NW-1,DATE(YR-1,MOD(A212,100),INT(A212/100)),DATE(YR,MOD(A212,100),INT(A212/100))),A212)),IFERROR(DATEVALUE(A212),"")))</f>
        <v/>
      </c>
      <c r="H212">
        <f>IF(G212="","",INT((G212-SAT1)/7)+1)</f>
        <v/>
      </c>
      <c r="I212">
        <f>IF(H212="","",IF(OR(H212&lt;1,H212&gt;NW),"",INDEX(WMON,H212)))</f>
        <v/>
      </c>
      <c r="J212">
        <f>IF(OR(G212="",H212="",B212=""),"",IF(B212="عمر المصري",SUMIFS('ساعات عمر'!$H$6:$H$588,'ساعات عمر'!$A$6:$A$588,"&gt;="&amp;(SAT1+7*(H212-1)),'ساعات عمر'!$A$6:$A$588,"&lt;="&amp;G212),SUMIFS('ساعات عبدالعزيز'!$F$6:$F$588,'ساعات عبدالعزيز'!$A$6:$A$588,"&gt;="&amp;(SAT1+7*(H212-1)),'ساعات عبدالعزيز'!$A$6:$A$588,"&lt;="&amp;G212)))</f>
        <v/>
      </c>
    </row>
    <row r="213">
      <c r="A213" s="48" t="n"/>
      <c r="B213" s="22" t="n"/>
      <c r="C213" s="49" t="n"/>
      <c r="D213" s="50" t="n"/>
      <c r="E213" s="51">
        <f>IF(G213="","",IF(OR(H213&lt;1,H213&gt;NW),"⛔ التاريخ برّا السنة",IF(AND(N(C213)&gt;0,N(J213)&gt;0,C213&gt;ADV_CAP*J213),"⚠️ أكثر من "&amp;TEXT(ADV_CAP,"0%")&amp;" من شغله ("&amp;TEXT(J213,"0.000")&amp;")","")))</f>
        <v/>
      </c>
      <c r="G213">
        <f>IF(A213="","",IF(ISNUMBER(A213),IF(A213&lt;=31,"",IF(A213&lt;=3112,IF(DATE(YR,MOD(A213,100),INT(A213/100))&gt;SAT1+7*NW-1,DATE(YR-1,MOD(A213,100),INT(A213/100)),DATE(YR,MOD(A213,100),INT(A213/100))),A213)),IFERROR(DATEVALUE(A213),"")))</f>
        <v/>
      </c>
      <c r="H213">
        <f>IF(G213="","",INT((G213-SAT1)/7)+1)</f>
        <v/>
      </c>
      <c r="I213">
        <f>IF(H213="","",IF(OR(H213&lt;1,H213&gt;NW),"",INDEX(WMON,H213)))</f>
        <v/>
      </c>
      <c r="J213">
        <f>IF(OR(G213="",H213="",B213=""),"",IF(B213="عمر المصري",SUMIFS('ساعات عمر'!$H$6:$H$588,'ساعات عمر'!$A$6:$A$588,"&gt;="&amp;(SAT1+7*(H213-1)),'ساعات عمر'!$A$6:$A$588,"&lt;="&amp;G213),SUMIFS('ساعات عبدالعزيز'!$F$6:$F$588,'ساعات عبدالعزيز'!$A$6:$A$588,"&gt;="&amp;(SAT1+7*(H213-1)),'ساعات عبدالعزيز'!$A$6:$A$588,"&lt;="&amp;G213)))</f>
        <v/>
      </c>
    </row>
    <row r="214">
      <c r="A214" s="48" t="n"/>
      <c r="B214" s="22" t="n"/>
      <c r="C214" s="49" t="n"/>
      <c r="D214" s="50" t="n"/>
      <c r="E214" s="51">
        <f>IF(G214="","",IF(OR(H214&lt;1,H214&gt;NW),"⛔ التاريخ برّا السنة",IF(AND(N(C214)&gt;0,N(J214)&gt;0,C214&gt;ADV_CAP*J214),"⚠️ أكثر من "&amp;TEXT(ADV_CAP,"0%")&amp;" من شغله ("&amp;TEXT(J214,"0.000")&amp;")","")))</f>
        <v/>
      </c>
      <c r="G214">
        <f>IF(A214="","",IF(ISNUMBER(A214),IF(A214&lt;=31,"",IF(A214&lt;=3112,IF(DATE(YR,MOD(A214,100),INT(A214/100))&gt;SAT1+7*NW-1,DATE(YR-1,MOD(A214,100),INT(A214/100)),DATE(YR,MOD(A214,100),INT(A214/100))),A214)),IFERROR(DATEVALUE(A214),"")))</f>
        <v/>
      </c>
      <c r="H214">
        <f>IF(G214="","",INT((G214-SAT1)/7)+1)</f>
        <v/>
      </c>
      <c r="I214">
        <f>IF(H214="","",IF(OR(H214&lt;1,H214&gt;NW),"",INDEX(WMON,H214)))</f>
        <v/>
      </c>
      <c r="J214">
        <f>IF(OR(G214="",H214="",B214=""),"",IF(B214="عمر المصري",SUMIFS('ساعات عمر'!$H$6:$H$588,'ساعات عمر'!$A$6:$A$588,"&gt;="&amp;(SAT1+7*(H214-1)),'ساعات عمر'!$A$6:$A$588,"&lt;="&amp;G214),SUMIFS('ساعات عبدالعزيز'!$F$6:$F$588,'ساعات عبدالعزيز'!$A$6:$A$588,"&gt;="&amp;(SAT1+7*(H214-1)),'ساعات عبدالعزيز'!$A$6:$A$588,"&lt;="&amp;G214)))</f>
        <v/>
      </c>
    </row>
    <row r="215">
      <c r="A215" s="48" t="n"/>
      <c r="B215" s="22" t="n"/>
      <c r="C215" s="49" t="n"/>
      <c r="D215" s="50" t="n"/>
      <c r="E215" s="51">
        <f>IF(G215="","",IF(OR(H215&lt;1,H215&gt;NW),"⛔ التاريخ برّا السنة",IF(AND(N(C215)&gt;0,N(J215)&gt;0,C215&gt;ADV_CAP*J215),"⚠️ أكثر من "&amp;TEXT(ADV_CAP,"0%")&amp;" من شغله ("&amp;TEXT(J215,"0.000")&amp;")","")))</f>
        <v/>
      </c>
      <c r="G215">
        <f>IF(A215="","",IF(ISNUMBER(A215),IF(A215&lt;=31,"",IF(A215&lt;=3112,IF(DATE(YR,MOD(A215,100),INT(A215/100))&gt;SAT1+7*NW-1,DATE(YR-1,MOD(A215,100),INT(A215/100)),DATE(YR,MOD(A215,100),INT(A215/100))),A215)),IFERROR(DATEVALUE(A215),"")))</f>
        <v/>
      </c>
      <c r="H215">
        <f>IF(G215="","",INT((G215-SAT1)/7)+1)</f>
        <v/>
      </c>
      <c r="I215">
        <f>IF(H215="","",IF(OR(H215&lt;1,H215&gt;NW),"",INDEX(WMON,H215)))</f>
        <v/>
      </c>
      <c r="J215">
        <f>IF(OR(G215="",H215="",B215=""),"",IF(B215="عمر المصري",SUMIFS('ساعات عمر'!$H$6:$H$588,'ساعات عمر'!$A$6:$A$588,"&gt;="&amp;(SAT1+7*(H215-1)),'ساعات عمر'!$A$6:$A$588,"&lt;="&amp;G215),SUMIFS('ساعات عبدالعزيز'!$F$6:$F$588,'ساعات عبدالعزيز'!$A$6:$A$588,"&gt;="&amp;(SAT1+7*(H215-1)),'ساعات عبدالعزيز'!$A$6:$A$588,"&lt;="&amp;G215)))</f>
        <v/>
      </c>
    </row>
    <row r="216">
      <c r="A216" s="48" t="n"/>
      <c r="B216" s="22" t="n"/>
      <c r="C216" s="49" t="n"/>
      <c r="D216" s="50" t="n"/>
      <c r="E216" s="51">
        <f>IF(G216="","",IF(OR(H216&lt;1,H216&gt;NW),"⛔ التاريخ برّا السنة",IF(AND(N(C216)&gt;0,N(J216)&gt;0,C216&gt;ADV_CAP*J216),"⚠️ أكثر من "&amp;TEXT(ADV_CAP,"0%")&amp;" من شغله ("&amp;TEXT(J216,"0.000")&amp;")","")))</f>
        <v/>
      </c>
      <c r="G216">
        <f>IF(A216="","",IF(ISNUMBER(A216),IF(A216&lt;=31,"",IF(A216&lt;=3112,IF(DATE(YR,MOD(A216,100),INT(A216/100))&gt;SAT1+7*NW-1,DATE(YR-1,MOD(A216,100),INT(A216/100)),DATE(YR,MOD(A216,100),INT(A216/100))),A216)),IFERROR(DATEVALUE(A216),"")))</f>
        <v/>
      </c>
      <c r="H216">
        <f>IF(G216="","",INT((G216-SAT1)/7)+1)</f>
        <v/>
      </c>
      <c r="I216">
        <f>IF(H216="","",IF(OR(H216&lt;1,H216&gt;NW),"",INDEX(WMON,H216)))</f>
        <v/>
      </c>
      <c r="J216">
        <f>IF(OR(G216="",H216="",B216=""),"",IF(B216="عمر المصري",SUMIFS('ساعات عمر'!$H$6:$H$588,'ساعات عمر'!$A$6:$A$588,"&gt;="&amp;(SAT1+7*(H216-1)),'ساعات عمر'!$A$6:$A$588,"&lt;="&amp;G216),SUMIFS('ساعات عبدالعزيز'!$F$6:$F$588,'ساعات عبدالعزيز'!$A$6:$A$588,"&gt;="&amp;(SAT1+7*(H216-1)),'ساعات عبدالعزيز'!$A$6:$A$588,"&lt;="&amp;G216)))</f>
        <v/>
      </c>
    </row>
    <row r="217">
      <c r="A217" s="48" t="n"/>
      <c r="B217" s="22" t="n"/>
      <c r="C217" s="49" t="n"/>
      <c r="D217" s="50" t="n"/>
      <c r="E217" s="51">
        <f>IF(G217="","",IF(OR(H217&lt;1,H217&gt;NW),"⛔ التاريخ برّا السنة",IF(AND(N(C217)&gt;0,N(J217)&gt;0,C217&gt;ADV_CAP*J217),"⚠️ أكثر من "&amp;TEXT(ADV_CAP,"0%")&amp;" من شغله ("&amp;TEXT(J217,"0.000")&amp;")","")))</f>
        <v/>
      </c>
      <c r="G217">
        <f>IF(A217="","",IF(ISNUMBER(A217),IF(A217&lt;=31,"",IF(A217&lt;=3112,IF(DATE(YR,MOD(A217,100),INT(A217/100))&gt;SAT1+7*NW-1,DATE(YR-1,MOD(A217,100),INT(A217/100)),DATE(YR,MOD(A217,100),INT(A217/100))),A217)),IFERROR(DATEVALUE(A217),"")))</f>
        <v/>
      </c>
      <c r="H217">
        <f>IF(G217="","",INT((G217-SAT1)/7)+1)</f>
        <v/>
      </c>
      <c r="I217">
        <f>IF(H217="","",IF(OR(H217&lt;1,H217&gt;NW),"",INDEX(WMON,H217)))</f>
        <v/>
      </c>
      <c r="J217">
        <f>IF(OR(G217="",H217="",B217=""),"",IF(B217="عمر المصري",SUMIFS('ساعات عمر'!$H$6:$H$588,'ساعات عمر'!$A$6:$A$588,"&gt;="&amp;(SAT1+7*(H217-1)),'ساعات عمر'!$A$6:$A$588,"&lt;="&amp;G217),SUMIFS('ساعات عبدالعزيز'!$F$6:$F$588,'ساعات عبدالعزيز'!$A$6:$A$588,"&gt;="&amp;(SAT1+7*(H217-1)),'ساعات عبدالعزيز'!$A$6:$A$588,"&lt;="&amp;G217)))</f>
        <v/>
      </c>
    </row>
    <row r="218">
      <c r="A218" s="48" t="n"/>
      <c r="B218" s="22" t="n"/>
      <c r="C218" s="49" t="n"/>
      <c r="D218" s="50" t="n"/>
      <c r="E218" s="51">
        <f>IF(G218="","",IF(OR(H218&lt;1,H218&gt;NW),"⛔ التاريخ برّا السنة",IF(AND(N(C218)&gt;0,N(J218)&gt;0,C218&gt;ADV_CAP*J218),"⚠️ أكثر من "&amp;TEXT(ADV_CAP,"0%")&amp;" من شغله ("&amp;TEXT(J218,"0.000")&amp;")","")))</f>
        <v/>
      </c>
      <c r="G218">
        <f>IF(A218="","",IF(ISNUMBER(A218),IF(A218&lt;=31,"",IF(A218&lt;=3112,IF(DATE(YR,MOD(A218,100),INT(A218/100))&gt;SAT1+7*NW-1,DATE(YR-1,MOD(A218,100),INT(A218/100)),DATE(YR,MOD(A218,100),INT(A218/100))),A218)),IFERROR(DATEVALUE(A218),"")))</f>
        <v/>
      </c>
      <c r="H218">
        <f>IF(G218="","",INT((G218-SAT1)/7)+1)</f>
        <v/>
      </c>
      <c r="I218">
        <f>IF(H218="","",IF(OR(H218&lt;1,H218&gt;NW),"",INDEX(WMON,H218)))</f>
        <v/>
      </c>
      <c r="J218">
        <f>IF(OR(G218="",H218="",B218=""),"",IF(B218="عمر المصري",SUMIFS('ساعات عمر'!$H$6:$H$588,'ساعات عمر'!$A$6:$A$588,"&gt;="&amp;(SAT1+7*(H218-1)),'ساعات عمر'!$A$6:$A$588,"&lt;="&amp;G218),SUMIFS('ساعات عبدالعزيز'!$F$6:$F$588,'ساعات عبدالعزيز'!$A$6:$A$588,"&gt;="&amp;(SAT1+7*(H218-1)),'ساعات عبدالعزيز'!$A$6:$A$588,"&lt;="&amp;G218)))</f>
        <v/>
      </c>
    </row>
    <row r="219">
      <c r="A219" s="48" t="n"/>
      <c r="B219" s="22" t="n"/>
      <c r="C219" s="49" t="n"/>
      <c r="D219" s="50" t="n"/>
      <c r="E219" s="51">
        <f>IF(G219="","",IF(OR(H219&lt;1,H219&gt;NW),"⛔ التاريخ برّا السنة",IF(AND(N(C219)&gt;0,N(J219)&gt;0,C219&gt;ADV_CAP*J219),"⚠️ أكثر من "&amp;TEXT(ADV_CAP,"0%")&amp;" من شغله ("&amp;TEXT(J219,"0.000")&amp;")","")))</f>
        <v/>
      </c>
      <c r="G219">
        <f>IF(A219="","",IF(ISNUMBER(A219),IF(A219&lt;=31,"",IF(A219&lt;=3112,IF(DATE(YR,MOD(A219,100),INT(A219/100))&gt;SAT1+7*NW-1,DATE(YR-1,MOD(A219,100),INT(A219/100)),DATE(YR,MOD(A219,100),INT(A219/100))),A219)),IFERROR(DATEVALUE(A219),"")))</f>
        <v/>
      </c>
      <c r="H219">
        <f>IF(G219="","",INT((G219-SAT1)/7)+1)</f>
        <v/>
      </c>
      <c r="I219">
        <f>IF(H219="","",IF(OR(H219&lt;1,H219&gt;NW),"",INDEX(WMON,H219)))</f>
        <v/>
      </c>
      <c r="J219">
        <f>IF(OR(G219="",H219="",B219=""),"",IF(B219="عمر المصري",SUMIFS('ساعات عمر'!$H$6:$H$588,'ساعات عمر'!$A$6:$A$588,"&gt;="&amp;(SAT1+7*(H219-1)),'ساعات عمر'!$A$6:$A$588,"&lt;="&amp;G219),SUMIFS('ساعات عبدالعزيز'!$F$6:$F$588,'ساعات عبدالعزيز'!$A$6:$A$588,"&gt;="&amp;(SAT1+7*(H219-1)),'ساعات عبدالعزيز'!$A$6:$A$588,"&lt;="&amp;G219)))</f>
        <v/>
      </c>
    </row>
    <row r="220">
      <c r="A220" s="48" t="n"/>
      <c r="B220" s="22" t="n"/>
      <c r="C220" s="49" t="n"/>
      <c r="D220" s="50" t="n"/>
      <c r="E220" s="51">
        <f>IF(G220="","",IF(OR(H220&lt;1,H220&gt;NW),"⛔ التاريخ برّا السنة",IF(AND(N(C220)&gt;0,N(J220)&gt;0,C220&gt;ADV_CAP*J220),"⚠️ أكثر من "&amp;TEXT(ADV_CAP,"0%")&amp;" من شغله ("&amp;TEXT(J220,"0.000")&amp;")","")))</f>
        <v/>
      </c>
      <c r="G220">
        <f>IF(A220="","",IF(ISNUMBER(A220),IF(A220&lt;=31,"",IF(A220&lt;=3112,IF(DATE(YR,MOD(A220,100),INT(A220/100))&gt;SAT1+7*NW-1,DATE(YR-1,MOD(A220,100),INT(A220/100)),DATE(YR,MOD(A220,100),INT(A220/100))),A220)),IFERROR(DATEVALUE(A220),"")))</f>
        <v/>
      </c>
      <c r="H220">
        <f>IF(G220="","",INT((G220-SAT1)/7)+1)</f>
        <v/>
      </c>
      <c r="I220">
        <f>IF(H220="","",IF(OR(H220&lt;1,H220&gt;NW),"",INDEX(WMON,H220)))</f>
        <v/>
      </c>
      <c r="J220">
        <f>IF(OR(G220="",H220="",B220=""),"",IF(B220="عمر المصري",SUMIFS('ساعات عمر'!$H$6:$H$588,'ساعات عمر'!$A$6:$A$588,"&gt;="&amp;(SAT1+7*(H220-1)),'ساعات عمر'!$A$6:$A$588,"&lt;="&amp;G220),SUMIFS('ساعات عبدالعزيز'!$F$6:$F$588,'ساعات عبدالعزيز'!$A$6:$A$588,"&gt;="&amp;(SAT1+7*(H220-1)),'ساعات عبدالعزيز'!$A$6:$A$588,"&lt;="&amp;G220)))</f>
        <v/>
      </c>
    </row>
    <row r="221">
      <c r="A221" s="48" t="n"/>
      <c r="B221" s="22" t="n"/>
      <c r="C221" s="49" t="n"/>
      <c r="D221" s="50" t="n"/>
      <c r="E221" s="51">
        <f>IF(G221="","",IF(OR(H221&lt;1,H221&gt;NW),"⛔ التاريخ برّا السنة",IF(AND(N(C221)&gt;0,N(J221)&gt;0,C221&gt;ADV_CAP*J221),"⚠️ أكثر من "&amp;TEXT(ADV_CAP,"0%")&amp;" من شغله ("&amp;TEXT(J221,"0.000")&amp;")","")))</f>
        <v/>
      </c>
      <c r="G221">
        <f>IF(A221="","",IF(ISNUMBER(A221),IF(A221&lt;=31,"",IF(A221&lt;=3112,IF(DATE(YR,MOD(A221,100),INT(A221/100))&gt;SAT1+7*NW-1,DATE(YR-1,MOD(A221,100),INT(A221/100)),DATE(YR,MOD(A221,100),INT(A221/100))),A221)),IFERROR(DATEVALUE(A221),"")))</f>
        <v/>
      </c>
      <c r="H221">
        <f>IF(G221="","",INT((G221-SAT1)/7)+1)</f>
        <v/>
      </c>
      <c r="I221">
        <f>IF(H221="","",IF(OR(H221&lt;1,H221&gt;NW),"",INDEX(WMON,H221)))</f>
        <v/>
      </c>
      <c r="J221">
        <f>IF(OR(G221="",H221="",B221=""),"",IF(B221="عمر المصري",SUMIFS('ساعات عمر'!$H$6:$H$588,'ساعات عمر'!$A$6:$A$588,"&gt;="&amp;(SAT1+7*(H221-1)),'ساعات عمر'!$A$6:$A$588,"&lt;="&amp;G221),SUMIFS('ساعات عبدالعزيز'!$F$6:$F$588,'ساعات عبدالعزيز'!$A$6:$A$588,"&gt;="&amp;(SAT1+7*(H221-1)),'ساعات عبدالعزيز'!$A$6:$A$588,"&lt;="&amp;G221)))</f>
        <v/>
      </c>
    </row>
    <row r="222">
      <c r="A222" s="48" t="n"/>
      <c r="B222" s="22" t="n"/>
      <c r="C222" s="49" t="n"/>
      <c r="D222" s="50" t="n"/>
      <c r="E222" s="51">
        <f>IF(G222="","",IF(OR(H222&lt;1,H222&gt;NW),"⛔ التاريخ برّا السنة",IF(AND(N(C222)&gt;0,N(J222)&gt;0,C222&gt;ADV_CAP*J222),"⚠️ أكثر من "&amp;TEXT(ADV_CAP,"0%")&amp;" من شغله ("&amp;TEXT(J222,"0.000")&amp;")","")))</f>
        <v/>
      </c>
      <c r="G222">
        <f>IF(A222="","",IF(ISNUMBER(A222),IF(A222&lt;=31,"",IF(A222&lt;=3112,IF(DATE(YR,MOD(A222,100),INT(A222/100))&gt;SAT1+7*NW-1,DATE(YR-1,MOD(A222,100),INT(A222/100)),DATE(YR,MOD(A222,100),INT(A222/100))),A222)),IFERROR(DATEVALUE(A222),"")))</f>
        <v/>
      </c>
      <c r="H222">
        <f>IF(G222="","",INT((G222-SAT1)/7)+1)</f>
        <v/>
      </c>
      <c r="I222">
        <f>IF(H222="","",IF(OR(H222&lt;1,H222&gt;NW),"",INDEX(WMON,H222)))</f>
        <v/>
      </c>
      <c r="J222">
        <f>IF(OR(G222="",H222="",B222=""),"",IF(B222="عمر المصري",SUMIFS('ساعات عمر'!$H$6:$H$588,'ساعات عمر'!$A$6:$A$588,"&gt;="&amp;(SAT1+7*(H222-1)),'ساعات عمر'!$A$6:$A$588,"&lt;="&amp;G222),SUMIFS('ساعات عبدالعزيز'!$F$6:$F$588,'ساعات عبدالعزيز'!$A$6:$A$588,"&gt;="&amp;(SAT1+7*(H222-1)),'ساعات عبدالعزيز'!$A$6:$A$588,"&lt;="&amp;G222)))</f>
        <v/>
      </c>
    </row>
    <row r="223">
      <c r="A223" s="48" t="n"/>
      <c r="B223" s="22" t="n"/>
      <c r="C223" s="49" t="n"/>
      <c r="D223" s="50" t="n"/>
      <c r="E223" s="51">
        <f>IF(G223="","",IF(OR(H223&lt;1,H223&gt;NW),"⛔ التاريخ برّا السنة",IF(AND(N(C223)&gt;0,N(J223)&gt;0,C223&gt;ADV_CAP*J223),"⚠️ أكثر من "&amp;TEXT(ADV_CAP,"0%")&amp;" من شغله ("&amp;TEXT(J223,"0.000")&amp;")","")))</f>
        <v/>
      </c>
      <c r="G223">
        <f>IF(A223="","",IF(ISNUMBER(A223),IF(A223&lt;=31,"",IF(A223&lt;=3112,IF(DATE(YR,MOD(A223,100),INT(A223/100))&gt;SAT1+7*NW-1,DATE(YR-1,MOD(A223,100),INT(A223/100)),DATE(YR,MOD(A223,100),INT(A223/100))),A223)),IFERROR(DATEVALUE(A223),"")))</f>
        <v/>
      </c>
      <c r="H223">
        <f>IF(G223="","",INT((G223-SAT1)/7)+1)</f>
        <v/>
      </c>
      <c r="I223">
        <f>IF(H223="","",IF(OR(H223&lt;1,H223&gt;NW),"",INDEX(WMON,H223)))</f>
        <v/>
      </c>
      <c r="J223">
        <f>IF(OR(G223="",H223="",B223=""),"",IF(B223="عمر المصري",SUMIFS('ساعات عمر'!$H$6:$H$588,'ساعات عمر'!$A$6:$A$588,"&gt;="&amp;(SAT1+7*(H223-1)),'ساعات عمر'!$A$6:$A$588,"&lt;="&amp;G223),SUMIFS('ساعات عبدالعزيز'!$F$6:$F$588,'ساعات عبدالعزيز'!$A$6:$A$588,"&gt;="&amp;(SAT1+7*(H223-1)),'ساعات عبدالعزيز'!$A$6:$A$588,"&lt;="&amp;G223)))</f>
        <v/>
      </c>
    </row>
    <row r="224">
      <c r="A224" s="48" t="n"/>
      <c r="B224" s="22" t="n"/>
      <c r="C224" s="49" t="n"/>
      <c r="D224" s="50" t="n"/>
      <c r="E224" s="51">
        <f>IF(G224="","",IF(OR(H224&lt;1,H224&gt;NW),"⛔ التاريخ برّا السنة",IF(AND(N(C224)&gt;0,N(J224)&gt;0,C224&gt;ADV_CAP*J224),"⚠️ أكثر من "&amp;TEXT(ADV_CAP,"0%")&amp;" من شغله ("&amp;TEXT(J224,"0.000")&amp;")","")))</f>
        <v/>
      </c>
      <c r="G224">
        <f>IF(A224="","",IF(ISNUMBER(A224),IF(A224&lt;=31,"",IF(A224&lt;=3112,IF(DATE(YR,MOD(A224,100),INT(A224/100))&gt;SAT1+7*NW-1,DATE(YR-1,MOD(A224,100),INT(A224/100)),DATE(YR,MOD(A224,100),INT(A224/100))),A224)),IFERROR(DATEVALUE(A224),"")))</f>
        <v/>
      </c>
      <c r="H224">
        <f>IF(G224="","",INT((G224-SAT1)/7)+1)</f>
        <v/>
      </c>
      <c r="I224">
        <f>IF(H224="","",IF(OR(H224&lt;1,H224&gt;NW),"",INDEX(WMON,H224)))</f>
        <v/>
      </c>
      <c r="J224">
        <f>IF(OR(G224="",H224="",B224=""),"",IF(B224="عمر المصري",SUMIFS('ساعات عمر'!$H$6:$H$588,'ساعات عمر'!$A$6:$A$588,"&gt;="&amp;(SAT1+7*(H224-1)),'ساعات عمر'!$A$6:$A$588,"&lt;="&amp;G224),SUMIFS('ساعات عبدالعزيز'!$F$6:$F$588,'ساعات عبدالعزيز'!$A$6:$A$588,"&gt;="&amp;(SAT1+7*(H224-1)),'ساعات عبدالعزيز'!$A$6:$A$588,"&lt;="&amp;G224)))</f>
        <v/>
      </c>
    </row>
    <row r="225">
      <c r="A225" s="48" t="n"/>
      <c r="B225" s="22" t="n"/>
      <c r="C225" s="49" t="n"/>
      <c r="D225" s="50" t="n"/>
      <c r="E225" s="51">
        <f>IF(G225="","",IF(OR(H225&lt;1,H225&gt;NW),"⛔ التاريخ برّا السنة",IF(AND(N(C225)&gt;0,N(J225)&gt;0,C225&gt;ADV_CAP*J225),"⚠️ أكثر من "&amp;TEXT(ADV_CAP,"0%")&amp;" من شغله ("&amp;TEXT(J225,"0.000")&amp;")","")))</f>
        <v/>
      </c>
      <c r="G225">
        <f>IF(A225="","",IF(ISNUMBER(A225),IF(A225&lt;=31,"",IF(A225&lt;=3112,IF(DATE(YR,MOD(A225,100),INT(A225/100))&gt;SAT1+7*NW-1,DATE(YR-1,MOD(A225,100),INT(A225/100)),DATE(YR,MOD(A225,100),INT(A225/100))),A225)),IFERROR(DATEVALUE(A225),"")))</f>
        <v/>
      </c>
      <c r="H225">
        <f>IF(G225="","",INT((G225-SAT1)/7)+1)</f>
        <v/>
      </c>
      <c r="I225">
        <f>IF(H225="","",IF(OR(H225&lt;1,H225&gt;NW),"",INDEX(WMON,H225)))</f>
        <v/>
      </c>
      <c r="J225">
        <f>IF(OR(G225="",H225="",B225=""),"",IF(B225="عمر المصري",SUMIFS('ساعات عمر'!$H$6:$H$588,'ساعات عمر'!$A$6:$A$588,"&gt;="&amp;(SAT1+7*(H225-1)),'ساعات عمر'!$A$6:$A$588,"&lt;="&amp;G225),SUMIFS('ساعات عبدالعزيز'!$F$6:$F$588,'ساعات عبدالعزيز'!$A$6:$A$588,"&gt;="&amp;(SAT1+7*(H225-1)),'ساعات عبدالعزيز'!$A$6:$A$588,"&lt;="&amp;G225)))</f>
        <v/>
      </c>
    </row>
    <row r="226">
      <c r="A226" s="48" t="n"/>
      <c r="B226" s="22" t="n"/>
      <c r="C226" s="49" t="n"/>
      <c r="D226" s="50" t="n"/>
      <c r="E226" s="51">
        <f>IF(G226="","",IF(OR(H226&lt;1,H226&gt;NW),"⛔ التاريخ برّا السنة",IF(AND(N(C226)&gt;0,N(J226)&gt;0,C226&gt;ADV_CAP*J226),"⚠️ أكثر من "&amp;TEXT(ADV_CAP,"0%")&amp;" من شغله ("&amp;TEXT(J226,"0.000")&amp;")","")))</f>
        <v/>
      </c>
      <c r="G226">
        <f>IF(A226="","",IF(ISNUMBER(A226),IF(A226&lt;=31,"",IF(A226&lt;=3112,IF(DATE(YR,MOD(A226,100),INT(A226/100))&gt;SAT1+7*NW-1,DATE(YR-1,MOD(A226,100),INT(A226/100)),DATE(YR,MOD(A226,100),INT(A226/100))),A226)),IFERROR(DATEVALUE(A226),"")))</f>
        <v/>
      </c>
      <c r="H226">
        <f>IF(G226="","",INT((G226-SAT1)/7)+1)</f>
        <v/>
      </c>
      <c r="I226">
        <f>IF(H226="","",IF(OR(H226&lt;1,H226&gt;NW),"",INDEX(WMON,H226)))</f>
        <v/>
      </c>
      <c r="J226">
        <f>IF(OR(G226="",H226="",B226=""),"",IF(B226="عمر المصري",SUMIFS('ساعات عمر'!$H$6:$H$588,'ساعات عمر'!$A$6:$A$588,"&gt;="&amp;(SAT1+7*(H226-1)),'ساعات عمر'!$A$6:$A$588,"&lt;="&amp;G226),SUMIFS('ساعات عبدالعزيز'!$F$6:$F$588,'ساعات عبدالعزيز'!$A$6:$A$588,"&gt;="&amp;(SAT1+7*(H226-1)),'ساعات عبدالعزيز'!$A$6:$A$588,"&lt;="&amp;G226)))</f>
        <v/>
      </c>
    </row>
    <row r="227">
      <c r="A227" s="48" t="n"/>
      <c r="B227" s="22" t="n"/>
      <c r="C227" s="49" t="n"/>
      <c r="D227" s="50" t="n"/>
      <c r="E227" s="51">
        <f>IF(G227="","",IF(OR(H227&lt;1,H227&gt;NW),"⛔ التاريخ برّا السنة",IF(AND(N(C227)&gt;0,N(J227)&gt;0,C227&gt;ADV_CAP*J227),"⚠️ أكثر من "&amp;TEXT(ADV_CAP,"0%")&amp;" من شغله ("&amp;TEXT(J227,"0.000")&amp;")","")))</f>
        <v/>
      </c>
      <c r="G227">
        <f>IF(A227="","",IF(ISNUMBER(A227),IF(A227&lt;=31,"",IF(A227&lt;=3112,IF(DATE(YR,MOD(A227,100),INT(A227/100))&gt;SAT1+7*NW-1,DATE(YR-1,MOD(A227,100),INT(A227/100)),DATE(YR,MOD(A227,100),INT(A227/100))),A227)),IFERROR(DATEVALUE(A227),"")))</f>
        <v/>
      </c>
      <c r="H227">
        <f>IF(G227="","",INT((G227-SAT1)/7)+1)</f>
        <v/>
      </c>
      <c r="I227">
        <f>IF(H227="","",IF(OR(H227&lt;1,H227&gt;NW),"",INDEX(WMON,H227)))</f>
        <v/>
      </c>
      <c r="J227">
        <f>IF(OR(G227="",H227="",B227=""),"",IF(B227="عمر المصري",SUMIFS('ساعات عمر'!$H$6:$H$588,'ساعات عمر'!$A$6:$A$588,"&gt;="&amp;(SAT1+7*(H227-1)),'ساعات عمر'!$A$6:$A$588,"&lt;="&amp;G227),SUMIFS('ساعات عبدالعزيز'!$F$6:$F$588,'ساعات عبدالعزيز'!$A$6:$A$588,"&gt;="&amp;(SAT1+7*(H227-1)),'ساعات عبدالعزيز'!$A$6:$A$588,"&lt;="&amp;G227)))</f>
        <v/>
      </c>
    </row>
    <row r="228">
      <c r="A228" s="48" t="n"/>
      <c r="B228" s="22" t="n"/>
      <c r="C228" s="49" t="n"/>
      <c r="D228" s="50" t="n"/>
      <c r="E228" s="51">
        <f>IF(G228="","",IF(OR(H228&lt;1,H228&gt;NW),"⛔ التاريخ برّا السنة",IF(AND(N(C228)&gt;0,N(J228)&gt;0,C228&gt;ADV_CAP*J228),"⚠️ أكثر من "&amp;TEXT(ADV_CAP,"0%")&amp;" من شغله ("&amp;TEXT(J228,"0.000")&amp;")","")))</f>
        <v/>
      </c>
      <c r="G228">
        <f>IF(A228="","",IF(ISNUMBER(A228),IF(A228&lt;=31,"",IF(A228&lt;=3112,IF(DATE(YR,MOD(A228,100),INT(A228/100))&gt;SAT1+7*NW-1,DATE(YR-1,MOD(A228,100),INT(A228/100)),DATE(YR,MOD(A228,100),INT(A228/100))),A228)),IFERROR(DATEVALUE(A228),"")))</f>
        <v/>
      </c>
      <c r="H228">
        <f>IF(G228="","",INT((G228-SAT1)/7)+1)</f>
        <v/>
      </c>
      <c r="I228">
        <f>IF(H228="","",IF(OR(H228&lt;1,H228&gt;NW),"",INDEX(WMON,H228)))</f>
        <v/>
      </c>
      <c r="J228">
        <f>IF(OR(G228="",H228="",B228=""),"",IF(B228="عمر المصري",SUMIFS('ساعات عمر'!$H$6:$H$588,'ساعات عمر'!$A$6:$A$588,"&gt;="&amp;(SAT1+7*(H228-1)),'ساعات عمر'!$A$6:$A$588,"&lt;="&amp;G228),SUMIFS('ساعات عبدالعزيز'!$F$6:$F$588,'ساعات عبدالعزيز'!$A$6:$A$588,"&gt;="&amp;(SAT1+7*(H228-1)),'ساعات عبدالعزيز'!$A$6:$A$588,"&lt;="&amp;G228)))</f>
        <v/>
      </c>
    </row>
    <row r="229">
      <c r="A229" s="48" t="n"/>
      <c r="B229" s="22" t="n"/>
      <c r="C229" s="49" t="n"/>
      <c r="D229" s="50" t="n"/>
      <c r="E229" s="51">
        <f>IF(G229="","",IF(OR(H229&lt;1,H229&gt;NW),"⛔ التاريخ برّا السنة",IF(AND(N(C229)&gt;0,N(J229)&gt;0,C229&gt;ADV_CAP*J229),"⚠️ أكثر من "&amp;TEXT(ADV_CAP,"0%")&amp;" من شغله ("&amp;TEXT(J229,"0.000")&amp;")","")))</f>
        <v/>
      </c>
      <c r="G229">
        <f>IF(A229="","",IF(ISNUMBER(A229),IF(A229&lt;=31,"",IF(A229&lt;=3112,IF(DATE(YR,MOD(A229,100),INT(A229/100))&gt;SAT1+7*NW-1,DATE(YR-1,MOD(A229,100),INT(A229/100)),DATE(YR,MOD(A229,100),INT(A229/100))),A229)),IFERROR(DATEVALUE(A229),"")))</f>
        <v/>
      </c>
      <c r="H229">
        <f>IF(G229="","",INT((G229-SAT1)/7)+1)</f>
        <v/>
      </c>
      <c r="I229">
        <f>IF(H229="","",IF(OR(H229&lt;1,H229&gt;NW),"",INDEX(WMON,H229)))</f>
        <v/>
      </c>
      <c r="J229">
        <f>IF(OR(G229="",H229="",B229=""),"",IF(B229="عمر المصري",SUMIFS('ساعات عمر'!$H$6:$H$588,'ساعات عمر'!$A$6:$A$588,"&gt;="&amp;(SAT1+7*(H229-1)),'ساعات عمر'!$A$6:$A$588,"&lt;="&amp;G229),SUMIFS('ساعات عبدالعزيز'!$F$6:$F$588,'ساعات عبدالعزيز'!$A$6:$A$588,"&gt;="&amp;(SAT1+7*(H229-1)),'ساعات عبدالعزيز'!$A$6:$A$588,"&lt;="&amp;G229)))</f>
        <v/>
      </c>
    </row>
    <row r="230">
      <c r="A230" s="48" t="n"/>
      <c r="B230" s="22" t="n"/>
      <c r="C230" s="49" t="n"/>
      <c r="D230" s="50" t="n"/>
      <c r="E230" s="51">
        <f>IF(G230="","",IF(OR(H230&lt;1,H230&gt;NW),"⛔ التاريخ برّا السنة",IF(AND(N(C230)&gt;0,N(J230)&gt;0,C230&gt;ADV_CAP*J230),"⚠️ أكثر من "&amp;TEXT(ADV_CAP,"0%")&amp;" من شغله ("&amp;TEXT(J230,"0.000")&amp;")","")))</f>
        <v/>
      </c>
      <c r="G230">
        <f>IF(A230="","",IF(ISNUMBER(A230),IF(A230&lt;=31,"",IF(A230&lt;=3112,IF(DATE(YR,MOD(A230,100),INT(A230/100))&gt;SAT1+7*NW-1,DATE(YR-1,MOD(A230,100),INT(A230/100)),DATE(YR,MOD(A230,100),INT(A230/100))),A230)),IFERROR(DATEVALUE(A230),"")))</f>
        <v/>
      </c>
      <c r="H230">
        <f>IF(G230="","",INT((G230-SAT1)/7)+1)</f>
        <v/>
      </c>
      <c r="I230">
        <f>IF(H230="","",IF(OR(H230&lt;1,H230&gt;NW),"",INDEX(WMON,H230)))</f>
        <v/>
      </c>
      <c r="J230">
        <f>IF(OR(G230="",H230="",B230=""),"",IF(B230="عمر المصري",SUMIFS('ساعات عمر'!$H$6:$H$588,'ساعات عمر'!$A$6:$A$588,"&gt;="&amp;(SAT1+7*(H230-1)),'ساعات عمر'!$A$6:$A$588,"&lt;="&amp;G230),SUMIFS('ساعات عبدالعزيز'!$F$6:$F$588,'ساعات عبدالعزيز'!$A$6:$A$588,"&gt;="&amp;(SAT1+7*(H230-1)),'ساعات عبدالعزيز'!$A$6:$A$588,"&lt;="&amp;G230)))</f>
        <v/>
      </c>
    </row>
    <row r="231">
      <c r="A231" s="48" t="n"/>
      <c r="B231" s="22" t="n"/>
      <c r="C231" s="49" t="n"/>
      <c r="D231" s="50" t="n"/>
      <c r="E231" s="51">
        <f>IF(G231="","",IF(OR(H231&lt;1,H231&gt;NW),"⛔ التاريخ برّا السنة",IF(AND(N(C231)&gt;0,N(J231)&gt;0,C231&gt;ADV_CAP*J231),"⚠️ أكثر من "&amp;TEXT(ADV_CAP,"0%")&amp;" من شغله ("&amp;TEXT(J231,"0.000")&amp;")","")))</f>
        <v/>
      </c>
      <c r="G231">
        <f>IF(A231="","",IF(ISNUMBER(A231),IF(A231&lt;=31,"",IF(A231&lt;=3112,IF(DATE(YR,MOD(A231,100),INT(A231/100))&gt;SAT1+7*NW-1,DATE(YR-1,MOD(A231,100),INT(A231/100)),DATE(YR,MOD(A231,100),INT(A231/100))),A231)),IFERROR(DATEVALUE(A231),"")))</f>
        <v/>
      </c>
      <c r="H231">
        <f>IF(G231="","",INT((G231-SAT1)/7)+1)</f>
        <v/>
      </c>
      <c r="I231">
        <f>IF(H231="","",IF(OR(H231&lt;1,H231&gt;NW),"",INDEX(WMON,H231)))</f>
        <v/>
      </c>
      <c r="J231">
        <f>IF(OR(G231="",H231="",B231=""),"",IF(B231="عمر المصري",SUMIFS('ساعات عمر'!$H$6:$H$588,'ساعات عمر'!$A$6:$A$588,"&gt;="&amp;(SAT1+7*(H231-1)),'ساعات عمر'!$A$6:$A$588,"&lt;="&amp;G231),SUMIFS('ساعات عبدالعزيز'!$F$6:$F$588,'ساعات عبدالعزيز'!$A$6:$A$588,"&gt;="&amp;(SAT1+7*(H231-1)),'ساعات عبدالعزيز'!$A$6:$A$588,"&lt;="&amp;G231)))</f>
        <v/>
      </c>
    </row>
    <row r="232">
      <c r="A232" s="48" t="n"/>
      <c r="B232" s="22" t="n"/>
      <c r="C232" s="49" t="n"/>
      <c r="D232" s="50" t="n"/>
      <c r="E232" s="51">
        <f>IF(G232="","",IF(OR(H232&lt;1,H232&gt;NW),"⛔ التاريخ برّا السنة",IF(AND(N(C232)&gt;0,N(J232)&gt;0,C232&gt;ADV_CAP*J232),"⚠️ أكثر من "&amp;TEXT(ADV_CAP,"0%")&amp;" من شغله ("&amp;TEXT(J232,"0.000")&amp;")","")))</f>
        <v/>
      </c>
      <c r="G232">
        <f>IF(A232="","",IF(ISNUMBER(A232),IF(A232&lt;=31,"",IF(A232&lt;=3112,IF(DATE(YR,MOD(A232,100),INT(A232/100))&gt;SAT1+7*NW-1,DATE(YR-1,MOD(A232,100),INT(A232/100)),DATE(YR,MOD(A232,100),INT(A232/100))),A232)),IFERROR(DATEVALUE(A232),"")))</f>
        <v/>
      </c>
      <c r="H232">
        <f>IF(G232="","",INT((G232-SAT1)/7)+1)</f>
        <v/>
      </c>
      <c r="I232">
        <f>IF(H232="","",IF(OR(H232&lt;1,H232&gt;NW),"",INDEX(WMON,H232)))</f>
        <v/>
      </c>
      <c r="J232">
        <f>IF(OR(G232="",H232="",B232=""),"",IF(B232="عمر المصري",SUMIFS('ساعات عمر'!$H$6:$H$588,'ساعات عمر'!$A$6:$A$588,"&gt;="&amp;(SAT1+7*(H232-1)),'ساعات عمر'!$A$6:$A$588,"&lt;="&amp;G232),SUMIFS('ساعات عبدالعزيز'!$F$6:$F$588,'ساعات عبدالعزيز'!$A$6:$A$588,"&gt;="&amp;(SAT1+7*(H232-1)),'ساعات عبدالعزيز'!$A$6:$A$588,"&lt;="&amp;G232)))</f>
        <v/>
      </c>
    </row>
    <row r="233">
      <c r="A233" s="48" t="n"/>
      <c r="B233" s="22" t="n"/>
      <c r="C233" s="49" t="n"/>
      <c r="D233" s="50" t="n"/>
      <c r="E233" s="51">
        <f>IF(G233="","",IF(OR(H233&lt;1,H233&gt;NW),"⛔ التاريخ برّا السنة",IF(AND(N(C233)&gt;0,N(J233)&gt;0,C233&gt;ADV_CAP*J233),"⚠️ أكثر من "&amp;TEXT(ADV_CAP,"0%")&amp;" من شغله ("&amp;TEXT(J233,"0.000")&amp;")","")))</f>
        <v/>
      </c>
      <c r="G233">
        <f>IF(A233="","",IF(ISNUMBER(A233),IF(A233&lt;=31,"",IF(A233&lt;=3112,IF(DATE(YR,MOD(A233,100),INT(A233/100))&gt;SAT1+7*NW-1,DATE(YR-1,MOD(A233,100),INT(A233/100)),DATE(YR,MOD(A233,100),INT(A233/100))),A233)),IFERROR(DATEVALUE(A233),"")))</f>
        <v/>
      </c>
      <c r="H233">
        <f>IF(G233="","",INT((G233-SAT1)/7)+1)</f>
        <v/>
      </c>
      <c r="I233">
        <f>IF(H233="","",IF(OR(H233&lt;1,H233&gt;NW),"",INDEX(WMON,H233)))</f>
        <v/>
      </c>
      <c r="J233">
        <f>IF(OR(G233="",H233="",B233=""),"",IF(B233="عمر المصري",SUMIFS('ساعات عمر'!$H$6:$H$588,'ساعات عمر'!$A$6:$A$588,"&gt;="&amp;(SAT1+7*(H233-1)),'ساعات عمر'!$A$6:$A$588,"&lt;="&amp;G233),SUMIFS('ساعات عبدالعزيز'!$F$6:$F$588,'ساعات عبدالعزيز'!$A$6:$A$588,"&gt;="&amp;(SAT1+7*(H233-1)),'ساعات عبدالعزيز'!$A$6:$A$588,"&lt;="&amp;G233)))</f>
        <v/>
      </c>
    </row>
    <row r="234">
      <c r="A234" s="48" t="n"/>
      <c r="B234" s="22" t="n"/>
      <c r="C234" s="49" t="n"/>
      <c r="D234" s="50" t="n"/>
      <c r="E234" s="51">
        <f>IF(G234="","",IF(OR(H234&lt;1,H234&gt;NW),"⛔ التاريخ برّا السنة",IF(AND(N(C234)&gt;0,N(J234)&gt;0,C234&gt;ADV_CAP*J234),"⚠️ أكثر من "&amp;TEXT(ADV_CAP,"0%")&amp;" من شغله ("&amp;TEXT(J234,"0.000")&amp;")","")))</f>
        <v/>
      </c>
      <c r="G234">
        <f>IF(A234="","",IF(ISNUMBER(A234),IF(A234&lt;=31,"",IF(A234&lt;=3112,IF(DATE(YR,MOD(A234,100),INT(A234/100))&gt;SAT1+7*NW-1,DATE(YR-1,MOD(A234,100),INT(A234/100)),DATE(YR,MOD(A234,100),INT(A234/100))),A234)),IFERROR(DATEVALUE(A234),"")))</f>
        <v/>
      </c>
      <c r="H234">
        <f>IF(G234="","",INT((G234-SAT1)/7)+1)</f>
        <v/>
      </c>
      <c r="I234">
        <f>IF(H234="","",IF(OR(H234&lt;1,H234&gt;NW),"",INDEX(WMON,H234)))</f>
        <v/>
      </c>
      <c r="J234">
        <f>IF(OR(G234="",H234="",B234=""),"",IF(B234="عمر المصري",SUMIFS('ساعات عمر'!$H$6:$H$588,'ساعات عمر'!$A$6:$A$588,"&gt;="&amp;(SAT1+7*(H234-1)),'ساعات عمر'!$A$6:$A$588,"&lt;="&amp;G234),SUMIFS('ساعات عبدالعزيز'!$F$6:$F$588,'ساعات عبدالعزيز'!$A$6:$A$588,"&gt;="&amp;(SAT1+7*(H234-1)),'ساعات عبدالعزيز'!$A$6:$A$588,"&lt;="&amp;G234)))</f>
        <v/>
      </c>
    </row>
    <row r="235">
      <c r="A235" s="48" t="n"/>
      <c r="B235" s="22" t="n"/>
      <c r="C235" s="49" t="n"/>
      <c r="D235" s="50" t="n"/>
      <c r="E235" s="51">
        <f>IF(G235="","",IF(OR(H235&lt;1,H235&gt;NW),"⛔ التاريخ برّا السنة",IF(AND(N(C235)&gt;0,N(J235)&gt;0,C235&gt;ADV_CAP*J235),"⚠️ أكثر من "&amp;TEXT(ADV_CAP,"0%")&amp;" من شغله ("&amp;TEXT(J235,"0.000")&amp;")","")))</f>
        <v/>
      </c>
      <c r="G235">
        <f>IF(A235="","",IF(ISNUMBER(A235),IF(A235&lt;=31,"",IF(A235&lt;=3112,IF(DATE(YR,MOD(A235,100),INT(A235/100))&gt;SAT1+7*NW-1,DATE(YR-1,MOD(A235,100),INT(A235/100)),DATE(YR,MOD(A235,100),INT(A235/100))),A235)),IFERROR(DATEVALUE(A235),"")))</f>
        <v/>
      </c>
      <c r="H235">
        <f>IF(G235="","",INT((G235-SAT1)/7)+1)</f>
        <v/>
      </c>
      <c r="I235">
        <f>IF(H235="","",IF(OR(H235&lt;1,H235&gt;NW),"",INDEX(WMON,H235)))</f>
        <v/>
      </c>
      <c r="J235">
        <f>IF(OR(G235="",H235="",B235=""),"",IF(B235="عمر المصري",SUMIFS('ساعات عمر'!$H$6:$H$588,'ساعات عمر'!$A$6:$A$588,"&gt;="&amp;(SAT1+7*(H235-1)),'ساعات عمر'!$A$6:$A$588,"&lt;="&amp;G235),SUMIFS('ساعات عبدالعزيز'!$F$6:$F$588,'ساعات عبدالعزيز'!$A$6:$A$588,"&gt;="&amp;(SAT1+7*(H235-1)),'ساعات عبدالعزيز'!$A$6:$A$588,"&lt;="&amp;G235)))</f>
        <v/>
      </c>
    </row>
    <row r="236">
      <c r="A236" s="48" t="n"/>
      <c r="B236" s="22" t="n"/>
      <c r="C236" s="49" t="n"/>
      <c r="D236" s="50" t="n"/>
      <c r="E236" s="51">
        <f>IF(G236="","",IF(OR(H236&lt;1,H236&gt;NW),"⛔ التاريخ برّا السنة",IF(AND(N(C236)&gt;0,N(J236)&gt;0,C236&gt;ADV_CAP*J236),"⚠️ أكثر من "&amp;TEXT(ADV_CAP,"0%")&amp;" من شغله ("&amp;TEXT(J236,"0.000")&amp;")","")))</f>
        <v/>
      </c>
      <c r="G236">
        <f>IF(A236="","",IF(ISNUMBER(A236),IF(A236&lt;=31,"",IF(A236&lt;=3112,IF(DATE(YR,MOD(A236,100),INT(A236/100))&gt;SAT1+7*NW-1,DATE(YR-1,MOD(A236,100),INT(A236/100)),DATE(YR,MOD(A236,100),INT(A236/100))),A236)),IFERROR(DATEVALUE(A236),"")))</f>
        <v/>
      </c>
      <c r="H236">
        <f>IF(G236="","",INT((G236-SAT1)/7)+1)</f>
        <v/>
      </c>
      <c r="I236">
        <f>IF(H236="","",IF(OR(H236&lt;1,H236&gt;NW),"",INDEX(WMON,H236)))</f>
        <v/>
      </c>
      <c r="J236">
        <f>IF(OR(G236="",H236="",B236=""),"",IF(B236="عمر المصري",SUMIFS('ساعات عمر'!$H$6:$H$588,'ساعات عمر'!$A$6:$A$588,"&gt;="&amp;(SAT1+7*(H236-1)),'ساعات عمر'!$A$6:$A$588,"&lt;="&amp;G236),SUMIFS('ساعات عبدالعزيز'!$F$6:$F$588,'ساعات عبدالعزيز'!$A$6:$A$588,"&gt;="&amp;(SAT1+7*(H236-1)),'ساعات عبدالعزيز'!$A$6:$A$588,"&lt;="&amp;G236)))</f>
        <v/>
      </c>
    </row>
    <row r="237">
      <c r="A237" s="48" t="n"/>
      <c r="B237" s="22" t="n"/>
      <c r="C237" s="49" t="n"/>
      <c r="D237" s="50" t="n"/>
      <c r="E237" s="51">
        <f>IF(G237="","",IF(OR(H237&lt;1,H237&gt;NW),"⛔ التاريخ برّا السنة",IF(AND(N(C237)&gt;0,N(J237)&gt;0,C237&gt;ADV_CAP*J237),"⚠️ أكثر من "&amp;TEXT(ADV_CAP,"0%")&amp;" من شغله ("&amp;TEXT(J237,"0.000")&amp;")","")))</f>
        <v/>
      </c>
      <c r="G237">
        <f>IF(A237="","",IF(ISNUMBER(A237),IF(A237&lt;=31,"",IF(A237&lt;=3112,IF(DATE(YR,MOD(A237,100),INT(A237/100))&gt;SAT1+7*NW-1,DATE(YR-1,MOD(A237,100),INT(A237/100)),DATE(YR,MOD(A237,100),INT(A237/100))),A237)),IFERROR(DATEVALUE(A237),"")))</f>
        <v/>
      </c>
      <c r="H237">
        <f>IF(G237="","",INT((G237-SAT1)/7)+1)</f>
        <v/>
      </c>
      <c r="I237">
        <f>IF(H237="","",IF(OR(H237&lt;1,H237&gt;NW),"",INDEX(WMON,H237)))</f>
        <v/>
      </c>
      <c r="J237">
        <f>IF(OR(G237="",H237="",B237=""),"",IF(B237="عمر المصري",SUMIFS('ساعات عمر'!$H$6:$H$588,'ساعات عمر'!$A$6:$A$588,"&gt;="&amp;(SAT1+7*(H237-1)),'ساعات عمر'!$A$6:$A$588,"&lt;="&amp;G237),SUMIFS('ساعات عبدالعزيز'!$F$6:$F$588,'ساعات عبدالعزيز'!$A$6:$A$588,"&gt;="&amp;(SAT1+7*(H237-1)),'ساعات عبدالعزيز'!$A$6:$A$588,"&lt;="&amp;G237)))</f>
        <v/>
      </c>
    </row>
    <row r="238">
      <c r="A238" s="48" t="n"/>
      <c r="B238" s="22" t="n"/>
      <c r="C238" s="49" t="n"/>
      <c r="D238" s="50" t="n"/>
      <c r="E238" s="51">
        <f>IF(G238="","",IF(OR(H238&lt;1,H238&gt;NW),"⛔ التاريخ برّا السنة",IF(AND(N(C238)&gt;0,N(J238)&gt;0,C238&gt;ADV_CAP*J238),"⚠️ أكثر من "&amp;TEXT(ADV_CAP,"0%")&amp;" من شغله ("&amp;TEXT(J238,"0.000")&amp;")","")))</f>
        <v/>
      </c>
      <c r="G238">
        <f>IF(A238="","",IF(ISNUMBER(A238),IF(A238&lt;=31,"",IF(A238&lt;=3112,IF(DATE(YR,MOD(A238,100),INT(A238/100))&gt;SAT1+7*NW-1,DATE(YR-1,MOD(A238,100),INT(A238/100)),DATE(YR,MOD(A238,100),INT(A238/100))),A238)),IFERROR(DATEVALUE(A238),"")))</f>
        <v/>
      </c>
      <c r="H238">
        <f>IF(G238="","",INT((G238-SAT1)/7)+1)</f>
        <v/>
      </c>
      <c r="I238">
        <f>IF(H238="","",IF(OR(H238&lt;1,H238&gt;NW),"",INDEX(WMON,H238)))</f>
        <v/>
      </c>
      <c r="J238">
        <f>IF(OR(G238="",H238="",B238=""),"",IF(B238="عمر المصري",SUMIFS('ساعات عمر'!$H$6:$H$588,'ساعات عمر'!$A$6:$A$588,"&gt;="&amp;(SAT1+7*(H238-1)),'ساعات عمر'!$A$6:$A$588,"&lt;="&amp;G238),SUMIFS('ساعات عبدالعزيز'!$F$6:$F$588,'ساعات عبدالعزيز'!$A$6:$A$588,"&gt;="&amp;(SAT1+7*(H238-1)),'ساعات عبدالعزيز'!$A$6:$A$588,"&lt;="&amp;G238)))</f>
        <v/>
      </c>
    </row>
    <row r="239">
      <c r="A239" s="48" t="n"/>
      <c r="B239" s="22" t="n"/>
      <c r="C239" s="49" t="n"/>
      <c r="D239" s="50" t="n"/>
      <c r="E239" s="51">
        <f>IF(G239="","",IF(OR(H239&lt;1,H239&gt;NW),"⛔ التاريخ برّا السنة",IF(AND(N(C239)&gt;0,N(J239)&gt;0,C239&gt;ADV_CAP*J239),"⚠️ أكثر من "&amp;TEXT(ADV_CAP,"0%")&amp;" من شغله ("&amp;TEXT(J239,"0.000")&amp;")","")))</f>
        <v/>
      </c>
      <c r="G239">
        <f>IF(A239="","",IF(ISNUMBER(A239),IF(A239&lt;=31,"",IF(A239&lt;=3112,IF(DATE(YR,MOD(A239,100),INT(A239/100))&gt;SAT1+7*NW-1,DATE(YR-1,MOD(A239,100),INT(A239/100)),DATE(YR,MOD(A239,100),INT(A239/100))),A239)),IFERROR(DATEVALUE(A239),"")))</f>
        <v/>
      </c>
      <c r="H239">
        <f>IF(G239="","",INT((G239-SAT1)/7)+1)</f>
        <v/>
      </c>
      <c r="I239">
        <f>IF(H239="","",IF(OR(H239&lt;1,H239&gt;NW),"",INDEX(WMON,H239)))</f>
        <v/>
      </c>
      <c r="J239">
        <f>IF(OR(G239="",H239="",B239=""),"",IF(B239="عمر المصري",SUMIFS('ساعات عمر'!$H$6:$H$588,'ساعات عمر'!$A$6:$A$588,"&gt;="&amp;(SAT1+7*(H239-1)),'ساعات عمر'!$A$6:$A$588,"&lt;="&amp;G239),SUMIFS('ساعات عبدالعزيز'!$F$6:$F$588,'ساعات عبدالعزيز'!$A$6:$A$588,"&gt;="&amp;(SAT1+7*(H239-1)),'ساعات عبدالعزيز'!$A$6:$A$588,"&lt;="&amp;G239)))</f>
        <v/>
      </c>
    </row>
    <row r="240">
      <c r="A240" s="48" t="n"/>
      <c r="B240" s="22" t="n"/>
      <c r="C240" s="49" t="n"/>
      <c r="D240" s="50" t="n"/>
      <c r="E240" s="51">
        <f>IF(G240="","",IF(OR(H240&lt;1,H240&gt;NW),"⛔ التاريخ برّا السنة",IF(AND(N(C240)&gt;0,N(J240)&gt;0,C240&gt;ADV_CAP*J240),"⚠️ أكثر من "&amp;TEXT(ADV_CAP,"0%")&amp;" من شغله ("&amp;TEXT(J240,"0.000")&amp;")","")))</f>
        <v/>
      </c>
      <c r="G240">
        <f>IF(A240="","",IF(ISNUMBER(A240),IF(A240&lt;=31,"",IF(A240&lt;=3112,IF(DATE(YR,MOD(A240,100),INT(A240/100))&gt;SAT1+7*NW-1,DATE(YR-1,MOD(A240,100),INT(A240/100)),DATE(YR,MOD(A240,100),INT(A240/100))),A240)),IFERROR(DATEVALUE(A240),"")))</f>
        <v/>
      </c>
      <c r="H240">
        <f>IF(G240="","",INT((G240-SAT1)/7)+1)</f>
        <v/>
      </c>
      <c r="I240">
        <f>IF(H240="","",IF(OR(H240&lt;1,H240&gt;NW),"",INDEX(WMON,H240)))</f>
        <v/>
      </c>
      <c r="J240">
        <f>IF(OR(G240="",H240="",B240=""),"",IF(B240="عمر المصري",SUMIFS('ساعات عمر'!$H$6:$H$588,'ساعات عمر'!$A$6:$A$588,"&gt;="&amp;(SAT1+7*(H240-1)),'ساعات عمر'!$A$6:$A$588,"&lt;="&amp;G240),SUMIFS('ساعات عبدالعزيز'!$F$6:$F$588,'ساعات عبدالعزيز'!$A$6:$A$588,"&gt;="&amp;(SAT1+7*(H240-1)),'ساعات عبدالعزيز'!$A$6:$A$588,"&lt;="&amp;G240)))</f>
        <v/>
      </c>
    </row>
    <row r="241">
      <c r="A241" s="48" t="n"/>
      <c r="B241" s="22" t="n"/>
      <c r="C241" s="49" t="n"/>
      <c r="D241" s="50" t="n"/>
      <c r="E241" s="51">
        <f>IF(G241="","",IF(OR(H241&lt;1,H241&gt;NW),"⛔ التاريخ برّا السنة",IF(AND(N(C241)&gt;0,N(J241)&gt;0,C241&gt;ADV_CAP*J241),"⚠️ أكثر من "&amp;TEXT(ADV_CAP,"0%")&amp;" من شغله ("&amp;TEXT(J241,"0.000")&amp;")","")))</f>
        <v/>
      </c>
      <c r="G241">
        <f>IF(A241="","",IF(ISNUMBER(A241),IF(A241&lt;=31,"",IF(A241&lt;=3112,IF(DATE(YR,MOD(A241,100),INT(A241/100))&gt;SAT1+7*NW-1,DATE(YR-1,MOD(A241,100),INT(A241/100)),DATE(YR,MOD(A241,100),INT(A241/100))),A241)),IFERROR(DATEVALUE(A241),"")))</f>
        <v/>
      </c>
      <c r="H241">
        <f>IF(G241="","",INT((G241-SAT1)/7)+1)</f>
        <v/>
      </c>
      <c r="I241">
        <f>IF(H241="","",IF(OR(H241&lt;1,H241&gt;NW),"",INDEX(WMON,H241)))</f>
        <v/>
      </c>
      <c r="J241">
        <f>IF(OR(G241="",H241="",B241=""),"",IF(B241="عمر المصري",SUMIFS('ساعات عمر'!$H$6:$H$588,'ساعات عمر'!$A$6:$A$588,"&gt;="&amp;(SAT1+7*(H241-1)),'ساعات عمر'!$A$6:$A$588,"&lt;="&amp;G241),SUMIFS('ساعات عبدالعزيز'!$F$6:$F$588,'ساعات عبدالعزيز'!$A$6:$A$588,"&gt;="&amp;(SAT1+7*(H241-1)),'ساعات عبدالعزيز'!$A$6:$A$588,"&lt;="&amp;G241)))</f>
        <v/>
      </c>
    </row>
    <row r="242">
      <c r="A242" s="48" t="n"/>
      <c r="B242" s="22" t="n"/>
      <c r="C242" s="49" t="n"/>
      <c r="D242" s="50" t="n"/>
      <c r="E242" s="51">
        <f>IF(G242="","",IF(OR(H242&lt;1,H242&gt;NW),"⛔ التاريخ برّا السنة",IF(AND(N(C242)&gt;0,N(J242)&gt;0,C242&gt;ADV_CAP*J242),"⚠️ أكثر من "&amp;TEXT(ADV_CAP,"0%")&amp;" من شغله ("&amp;TEXT(J242,"0.000")&amp;")","")))</f>
        <v/>
      </c>
      <c r="G242">
        <f>IF(A242="","",IF(ISNUMBER(A242),IF(A242&lt;=31,"",IF(A242&lt;=3112,IF(DATE(YR,MOD(A242,100),INT(A242/100))&gt;SAT1+7*NW-1,DATE(YR-1,MOD(A242,100),INT(A242/100)),DATE(YR,MOD(A242,100),INT(A242/100))),A242)),IFERROR(DATEVALUE(A242),"")))</f>
        <v/>
      </c>
      <c r="H242">
        <f>IF(G242="","",INT((G242-SAT1)/7)+1)</f>
        <v/>
      </c>
      <c r="I242">
        <f>IF(H242="","",IF(OR(H242&lt;1,H242&gt;NW),"",INDEX(WMON,H242)))</f>
        <v/>
      </c>
      <c r="J242">
        <f>IF(OR(G242="",H242="",B242=""),"",IF(B242="عمر المصري",SUMIFS('ساعات عمر'!$H$6:$H$588,'ساعات عمر'!$A$6:$A$588,"&gt;="&amp;(SAT1+7*(H242-1)),'ساعات عمر'!$A$6:$A$588,"&lt;="&amp;G242),SUMIFS('ساعات عبدالعزيز'!$F$6:$F$588,'ساعات عبدالعزيز'!$A$6:$A$588,"&gt;="&amp;(SAT1+7*(H242-1)),'ساعات عبدالعزيز'!$A$6:$A$588,"&lt;="&amp;G242)))</f>
        <v/>
      </c>
    </row>
    <row r="243">
      <c r="A243" s="48" t="n"/>
      <c r="B243" s="22" t="n"/>
      <c r="C243" s="49" t="n"/>
      <c r="D243" s="50" t="n"/>
      <c r="E243" s="51">
        <f>IF(G243="","",IF(OR(H243&lt;1,H243&gt;NW),"⛔ التاريخ برّا السنة",IF(AND(N(C243)&gt;0,N(J243)&gt;0,C243&gt;ADV_CAP*J243),"⚠️ أكثر من "&amp;TEXT(ADV_CAP,"0%")&amp;" من شغله ("&amp;TEXT(J243,"0.000")&amp;")","")))</f>
        <v/>
      </c>
      <c r="G243">
        <f>IF(A243="","",IF(ISNUMBER(A243),IF(A243&lt;=31,"",IF(A243&lt;=3112,IF(DATE(YR,MOD(A243,100),INT(A243/100))&gt;SAT1+7*NW-1,DATE(YR-1,MOD(A243,100),INT(A243/100)),DATE(YR,MOD(A243,100),INT(A243/100))),A243)),IFERROR(DATEVALUE(A243),"")))</f>
        <v/>
      </c>
      <c r="H243">
        <f>IF(G243="","",INT((G243-SAT1)/7)+1)</f>
        <v/>
      </c>
      <c r="I243">
        <f>IF(H243="","",IF(OR(H243&lt;1,H243&gt;NW),"",INDEX(WMON,H243)))</f>
        <v/>
      </c>
      <c r="J243">
        <f>IF(OR(G243="",H243="",B243=""),"",IF(B243="عمر المصري",SUMIFS('ساعات عمر'!$H$6:$H$588,'ساعات عمر'!$A$6:$A$588,"&gt;="&amp;(SAT1+7*(H243-1)),'ساعات عمر'!$A$6:$A$588,"&lt;="&amp;G243),SUMIFS('ساعات عبدالعزيز'!$F$6:$F$588,'ساعات عبدالعزيز'!$A$6:$A$588,"&gt;="&amp;(SAT1+7*(H243-1)),'ساعات عبدالعزيز'!$A$6:$A$588,"&lt;="&amp;G243)))</f>
        <v/>
      </c>
    </row>
    <row r="244">
      <c r="A244" s="48" t="n"/>
      <c r="B244" s="22" t="n"/>
      <c r="C244" s="49" t="n"/>
      <c r="D244" s="50" t="n"/>
      <c r="E244" s="51">
        <f>IF(G244="","",IF(OR(H244&lt;1,H244&gt;NW),"⛔ التاريخ برّا السنة",IF(AND(N(C244)&gt;0,N(J244)&gt;0,C244&gt;ADV_CAP*J244),"⚠️ أكثر من "&amp;TEXT(ADV_CAP,"0%")&amp;" من شغله ("&amp;TEXT(J244,"0.000")&amp;")","")))</f>
        <v/>
      </c>
      <c r="G244">
        <f>IF(A244="","",IF(ISNUMBER(A244),IF(A244&lt;=31,"",IF(A244&lt;=3112,IF(DATE(YR,MOD(A244,100),INT(A244/100))&gt;SAT1+7*NW-1,DATE(YR-1,MOD(A244,100),INT(A244/100)),DATE(YR,MOD(A244,100),INT(A244/100))),A244)),IFERROR(DATEVALUE(A244),"")))</f>
        <v/>
      </c>
      <c r="H244">
        <f>IF(G244="","",INT((G244-SAT1)/7)+1)</f>
        <v/>
      </c>
      <c r="I244">
        <f>IF(H244="","",IF(OR(H244&lt;1,H244&gt;NW),"",INDEX(WMON,H244)))</f>
        <v/>
      </c>
      <c r="J244">
        <f>IF(OR(G244="",H244="",B244=""),"",IF(B244="عمر المصري",SUMIFS('ساعات عمر'!$H$6:$H$588,'ساعات عمر'!$A$6:$A$588,"&gt;="&amp;(SAT1+7*(H244-1)),'ساعات عمر'!$A$6:$A$588,"&lt;="&amp;G244),SUMIFS('ساعات عبدالعزيز'!$F$6:$F$588,'ساعات عبدالعزيز'!$A$6:$A$588,"&gt;="&amp;(SAT1+7*(H244-1)),'ساعات عبدالعزيز'!$A$6:$A$588,"&lt;="&amp;G244)))</f>
        <v/>
      </c>
    </row>
    <row r="245">
      <c r="A245" s="48" t="n"/>
      <c r="B245" s="22" t="n"/>
      <c r="C245" s="49" t="n"/>
      <c r="D245" s="50" t="n"/>
      <c r="E245" s="51">
        <f>IF(G245="","",IF(OR(H245&lt;1,H245&gt;NW),"⛔ التاريخ برّا السنة",IF(AND(N(C245)&gt;0,N(J245)&gt;0,C245&gt;ADV_CAP*J245),"⚠️ أكثر من "&amp;TEXT(ADV_CAP,"0%")&amp;" من شغله ("&amp;TEXT(J245,"0.000")&amp;")","")))</f>
        <v/>
      </c>
      <c r="G245">
        <f>IF(A245="","",IF(ISNUMBER(A245),IF(A245&lt;=31,"",IF(A245&lt;=3112,IF(DATE(YR,MOD(A245,100),INT(A245/100))&gt;SAT1+7*NW-1,DATE(YR-1,MOD(A245,100),INT(A245/100)),DATE(YR,MOD(A245,100),INT(A245/100))),A245)),IFERROR(DATEVALUE(A245),"")))</f>
        <v/>
      </c>
      <c r="H245">
        <f>IF(G245="","",INT((G245-SAT1)/7)+1)</f>
        <v/>
      </c>
      <c r="I245">
        <f>IF(H245="","",IF(OR(H245&lt;1,H245&gt;NW),"",INDEX(WMON,H245)))</f>
        <v/>
      </c>
      <c r="J245">
        <f>IF(OR(G245="",H245="",B245=""),"",IF(B245="عمر المصري",SUMIFS('ساعات عمر'!$H$6:$H$588,'ساعات عمر'!$A$6:$A$588,"&gt;="&amp;(SAT1+7*(H245-1)),'ساعات عمر'!$A$6:$A$588,"&lt;="&amp;G245),SUMIFS('ساعات عبدالعزيز'!$F$6:$F$588,'ساعات عبدالعزيز'!$A$6:$A$588,"&gt;="&amp;(SAT1+7*(H245-1)),'ساعات عبدالعزيز'!$A$6:$A$588,"&lt;="&amp;G245)))</f>
        <v/>
      </c>
    </row>
    <row r="246">
      <c r="A246" s="48" t="n"/>
      <c r="B246" s="22" t="n"/>
      <c r="C246" s="49" t="n"/>
      <c r="D246" s="50" t="n"/>
      <c r="E246" s="51">
        <f>IF(G246="","",IF(OR(H246&lt;1,H246&gt;NW),"⛔ التاريخ برّا السنة",IF(AND(N(C246)&gt;0,N(J246)&gt;0,C246&gt;ADV_CAP*J246),"⚠️ أكثر من "&amp;TEXT(ADV_CAP,"0%")&amp;" من شغله ("&amp;TEXT(J246,"0.000")&amp;")","")))</f>
        <v/>
      </c>
      <c r="G246">
        <f>IF(A246="","",IF(ISNUMBER(A246),IF(A246&lt;=31,"",IF(A246&lt;=3112,IF(DATE(YR,MOD(A246,100),INT(A246/100))&gt;SAT1+7*NW-1,DATE(YR-1,MOD(A246,100),INT(A246/100)),DATE(YR,MOD(A246,100),INT(A246/100))),A246)),IFERROR(DATEVALUE(A246),"")))</f>
        <v/>
      </c>
      <c r="H246">
        <f>IF(G246="","",INT((G246-SAT1)/7)+1)</f>
        <v/>
      </c>
      <c r="I246">
        <f>IF(H246="","",IF(OR(H246&lt;1,H246&gt;NW),"",INDEX(WMON,H246)))</f>
        <v/>
      </c>
      <c r="J246">
        <f>IF(OR(G246="",H246="",B246=""),"",IF(B246="عمر المصري",SUMIFS('ساعات عمر'!$H$6:$H$588,'ساعات عمر'!$A$6:$A$588,"&gt;="&amp;(SAT1+7*(H246-1)),'ساعات عمر'!$A$6:$A$588,"&lt;="&amp;G246),SUMIFS('ساعات عبدالعزيز'!$F$6:$F$588,'ساعات عبدالعزيز'!$A$6:$A$588,"&gt;="&amp;(SAT1+7*(H246-1)),'ساعات عبدالعزيز'!$A$6:$A$588,"&lt;="&amp;G246)))</f>
        <v/>
      </c>
    </row>
    <row r="247">
      <c r="A247" s="48" t="n"/>
      <c r="B247" s="22" t="n"/>
      <c r="C247" s="49" t="n"/>
      <c r="D247" s="50" t="n"/>
      <c r="E247" s="51">
        <f>IF(G247="","",IF(OR(H247&lt;1,H247&gt;NW),"⛔ التاريخ برّا السنة",IF(AND(N(C247)&gt;0,N(J247)&gt;0,C247&gt;ADV_CAP*J247),"⚠️ أكثر من "&amp;TEXT(ADV_CAP,"0%")&amp;" من شغله ("&amp;TEXT(J247,"0.000")&amp;")","")))</f>
        <v/>
      </c>
      <c r="G247">
        <f>IF(A247="","",IF(ISNUMBER(A247),IF(A247&lt;=31,"",IF(A247&lt;=3112,IF(DATE(YR,MOD(A247,100),INT(A247/100))&gt;SAT1+7*NW-1,DATE(YR-1,MOD(A247,100),INT(A247/100)),DATE(YR,MOD(A247,100),INT(A247/100))),A247)),IFERROR(DATEVALUE(A247),"")))</f>
        <v/>
      </c>
      <c r="H247">
        <f>IF(G247="","",INT((G247-SAT1)/7)+1)</f>
        <v/>
      </c>
      <c r="I247">
        <f>IF(H247="","",IF(OR(H247&lt;1,H247&gt;NW),"",INDEX(WMON,H247)))</f>
        <v/>
      </c>
      <c r="J247">
        <f>IF(OR(G247="",H247="",B247=""),"",IF(B247="عمر المصري",SUMIFS('ساعات عمر'!$H$6:$H$588,'ساعات عمر'!$A$6:$A$588,"&gt;="&amp;(SAT1+7*(H247-1)),'ساعات عمر'!$A$6:$A$588,"&lt;="&amp;G247),SUMIFS('ساعات عبدالعزيز'!$F$6:$F$588,'ساعات عبدالعزيز'!$A$6:$A$588,"&gt;="&amp;(SAT1+7*(H247-1)),'ساعات عبدالعزيز'!$A$6:$A$588,"&lt;="&amp;G247)))</f>
        <v/>
      </c>
    </row>
    <row r="248">
      <c r="A248" s="48" t="n"/>
      <c r="B248" s="22" t="n"/>
      <c r="C248" s="49" t="n"/>
      <c r="D248" s="50" t="n"/>
      <c r="E248" s="51">
        <f>IF(G248="","",IF(OR(H248&lt;1,H248&gt;NW),"⛔ التاريخ برّا السنة",IF(AND(N(C248)&gt;0,N(J248)&gt;0,C248&gt;ADV_CAP*J248),"⚠️ أكثر من "&amp;TEXT(ADV_CAP,"0%")&amp;" من شغله ("&amp;TEXT(J248,"0.000")&amp;")","")))</f>
        <v/>
      </c>
      <c r="G248">
        <f>IF(A248="","",IF(ISNUMBER(A248),IF(A248&lt;=31,"",IF(A248&lt;=3112,IF(DATE(YR,MOD(A248,100),INT(A248/100))&gt;SAT1+7*NW-1,DATE(YR-1,MOD(A248,100),INT(A248/100)),DATE(YR,MOD(A248,100),INT(A248/100))),A248)),IFERROR(DATEVALUE(A248),"")))</f>
        <v/>
      </c>
      <c r="H248">
        <f>IF(G248="","",INT((G248-SAT1)/7)+1)</f>
        <v/>
      </c>
      <c r="I248">
        <f>IF(H248="","",IF(OR(H248&lt;1,H248&gt;NW),"",INDEX(WMON,H248)))</f>
        <v/>
      </c>
      <c r="J248">
        <f>IF(OR(G248="",H248="",B248=""),"",IF(B248="عمر المصري",SUMIFS('ساعات عمر'!$H$6:$H$588,'ساعات عمر'!$A$6:$A$588,"&gt;="&amp;(SAT1+7*(H248-1)),'ساعات عمر'!$A$6:$A$588,"&lt;="&amp;G248),SUMIFS('ساعات عبدالعزيز'!$F$6:$F$588,'ساعات عبدالعزيز'!$A$6:$A$588,"&gt;="&amp;(SAT1+7*(H248-1)),'ساعات عبدالعزيز'!$A$6:$A$588,"&lt;="&amp;G248)))</f>
        <v/>
      </c>
    </row>
    <row r="249">
      <c r="A249" s="48" t="n"/>
      <c r="B249" s="22" t="n"/>
      <c r="C249" s="49" t="n"/>
      <c r="D249" s="50" t="n"/>
      <c r="E249" s="51">
        <f>IF(G249="","",IF(OR(H249&lt;1,H249&gt;NW),"⛔ التاريخ برّا السنة",IF(AND(N(C249)&gt;0,N(J249)&gt;0,C249&gt;ADV_CAP*J249),"⚠️ أكثر من "&amp;TEXT(ADV_CAP,"0%")&amp;" من شغله ("&amp;TEXT(J249,"0.000")&amp;")","")))</f>
        <v/>
      </c>
      <c r="G249">
        <f>IF(A249="","",IF(ISNUMBER(A249),IF(A249&lt;=31,"",IF(A249&lt;=3112,IF(DATE(YR,MOD(A249,100),INT(A249/100))&gt;SAT1+7*NW-1,DATE(YR-1,MOD(A249,100),INT(A249/100)),DATE(YR,MOD(A249,100),INT(A249/100))),A249)),IFERROR(DATEVALUE(A249),"")))</f>
        <v/>
      </c>
      <c r="H249">
        <f>IF(G249="","",INT((G249-SAT1)/7)+1)</f>
        <v/>
      </c>
      <c r="I249">
        <f>IF(H249="","",IF(OR(H249&lt;1,H249&gt;NW),"",INDEX(WMON,H249)))</f>
        <v/>
      </c>
      <c r="J249">
        <f>IF(OR(G249="",H249="",B249=""),"",IF(B249="عمر المصري",SUMIFS('ساعات عمر'!$H$6:$H$588,'ساعات عمر'!$A$6:$A$588,"&gt;="&amp;(SAT1+7*(H249-1)),'ساعات عمر'!$A$6:$A$588,"&lt;="&amp;G249),SUMIFS('ساعات عبدالعزيز'!$F$6:$F$588,'ساعات عبدالعزيز'!$A$6:$A$588,"&gt;="&amp;(SAT1+7*(H249-1)),'ساعات عبدالعزيز'!$A$6:$A$588,"&lt;="&amp;G249)))</f>
        <v/>
      </c>
    </row>
    <row r="250">
      <c r="A250" s="48" t="n"/>
      <c r="B250" s="22" t="n"/>
      <c r="C250" s="49" t="n"/>
      <c r="D250" s="50" t="n"/>
      <c r="E250" s="51">
        <f>IF(G250="","",IF(OR(H250&lt;1,H250&gt;NW),"⛔ التاريخ برّا السنة",IF(AND(N(C250)&gt;0,N(J250)&gt;0,C250&gt;ADV_CAP*J250),"⚠️ أكثر من "&amp;TEXT(ADV_CAP,"0%")&amp;" من شغله ("&amp;TEXT(J250,"0.000")&amp;")","")))</f>
        <v/>
      </c>
      <c r="G250">
        <f>IF(A250="","",IF(ISNUMBER(A250),IF(A250&lt;=31,"",IF(A250&lt;=3112,IF(DATE(YR,MOD(A250,100),INT(A250/100))&gt;SAT1+7*NW-1,DATE(YR-1,MOD(A250,100),INT(A250/100)),DATE(YR,MOD(A250,100),INT(A250/100))),A250)),IFERROR(DATEVALUE(A250),"")))</f>
        <v/>
      </c>
      <c r="H250">
        <f>IF(G250="","",INT((G250-SAT1)/7)+1)</f>
        <v/>
      </c>
      <c r="I250">
        <f>IF(H250="","",IF(OR(H250&lt;1,H250&gt;NW),"",INDEX(WMON,H250)))</f>
        <v/>
      </c>
      <c r="J250">
        <f>IF(OR(G250="",H250="",B250=""),"",IF(B250="عمر المصري",SUMIFS('ساعات عمر'!$H$6:$H$588,'ساعات عمر'!$A$6:$A$588,"&gt;="&amp;(SAT1+7*(H250-1)),'ساعات عمر'!$A$6:$A$588,"&lt;="&amp;G250),SUMIFS('ساعات عبدالعزيز'!$F$6:$F$588,'ساعات عبدالعزيز'!$A$6:$A$588,"&gt;="&amp;(SAT1+7*(H250-1)),'ساعات عبدالعزيز'!$A$6:$A$588,"&lt;="&amp;G250)))</f>
        <v/>
      </c>
    </row>
    <row r="251">
      <c r="A251" s="48" t="n"/>
      <c r="B251" s="22" t="n"/>
      <c r="C251" s="49" t="n"/>
      <c r="D251" s="50" t="n"/>
      <c r="E251" s="51">
        <f>IF(G251="","",IF(OR(H251&lt;1,H251&gt;NW),"⛔ التاريخ برّا السنة",IF(AND(N(C251)&gt;0,N(J251)&gt;0,C251&gt;ADV_CAP*J251),"⚠️ أكثر من "&amp;TEXT(ADV_CAP,"0%")&amp;" من شغله ("&amp;TEXT(J251,"0.000")&amp;")","")))</f>
        <v/>
      </c>
      <c r="G251">
        <f>IF(A251="","",IF(ISNUMBER(A251),IF(A251&lt;=31,"",IF(A251&lt;=3112,IF(DATE(YR,MOD(A251,100),INT(A251/100))&gt;SAT1+7*NW-1,DATE(YR-1,MOD(A251,100),INT(A251/100)),DATE(YR,MOD(A251,100),INT(A251/100))),A251)),IFERROR(DATEVALUE(A251),"")))</f>
        <v/>
      </c>
      <c r="H251">
        <f>IF(G251="","",INT((G251-SAT1)/7)+1)</f>
        <v/>
      </c>
      <c r="I251">
        <f>IF(H251="","",IF(OR(H251&lt;1,H251&gt;NW),"",INDEX(WMON,H251)))</f>
        <v/>
      </c>
      <c r="J251">
        <f>IF(OR(G251="",H251="",B251=""),"",IF(B251="عمر المصري",SUMIFS('ساعات عمر'!$H$6:$H$588,'ساعات عمر'!$A$6:$A$588,"&gt;="&amp;(SAT1+7*(H251-1)),'ساعات عمر'!$A$6:$A$588,"&lt;="&amp;G251),SUMIFS('ساعات عبدالعزيز'!$F$6:$F$588,'ساعات عبدالعزيز'!$A$6:$A$588,"&gt;="&amp;(SAT1+7*(H251-1)),'ساعات عبدالعزيز'!$A$6:$A$588,"&lt;="&amp;G251)))</f>
        <v/>
      </c>
    </row>
    <row r="252">
      <c r="A252" s="48" t="n"/>
      <c r="B252" s="22" t="n"/>
      <c r="C252" s="49" t="n"/>
      <c r="D252" s="50" t="n"/>
      <c r="E252" s="51">
        <f>IF(G252="","",IF(OR(H252&lt;1,H252&gt;NW),"⛔ التاريخ برّا السنة",IF(AND(N(C252)&gt;0,N(J252)&gt;0,C252&gt;ADV_CAP*J252),"⚠️ أكثر من "&amp;TEXT(ADV_CAP,"0%")&amp;" من شغله ("&amp;TEXT(J252,"0.000")&amp;")","")))</f>
        <v/>
      </c>
      <c r="G252">
        <f>IF(A252="","",IF(ISNUMBER(A252),IF(A252&lt;=31,"",IF(A252&lt;=3112,IF(DATE(YR,MOD(A252,100),INT(A252/100))&gt;SAT1+7*NW-1,DATE(YR-1,MOD(A252,100),INT(A252/100)),DATE(YR,MOD(A252,100),INT(A252/100))),A252)),IFERROR(DATEVALUE(A252),"")))</f>
        <v/>
      </c>
      <c r="H252">
        <f>IF(G252="","",INT((G252-SAT1)/7)+1)</f>
        <v/>
      </c>
      <c r="I252">
        <f>IF(H252="","",IF(OR(H252&lt;1,H252&gt;NW),"",INDEX(WMON,H252)))</f>
        <v/>
      </c>
      <c r="J252">
        <f>IF(OR(G252="",H252="",B252=""),"",IF(B252="عمر المصري",SUMIFS('ساعات عمر'!$H$6:$H$588,'ساعات عمر'!$A$6:$A$588,"&gt;="&amp;(SAT1+7*(H252-1)),'ساعات عمر'!$A$6:$A$588,"&lt;="&amp;G252),SUMIFS('ساعات عبدالعزيز'!$F$6:$F$588,'ساعات عبدالعزيز'!$A$6:$A$588,"&gt;="&amp;(SAT1+7*(H252-1)),'ساعات عبدالعزيز'!$A$6:$A$588,"&lt;="&amp;G252)))</f>
        <v/>
      </c>
    </row>
    <row r="253">
      <c r="A253" s="48" t="n"/>
      <c r="B253" s="22" t="n"/>
      <c r="C253" s="49" t="n"/>
      <c r="D253" s="50" t="n"/>
      <c r="E253" s="51">
        <f>IF(G253="","",IF(OR(H253&lt;1,H253&gt;NW),"⛔ التاريخ برّا السنة",IF(AND(N(C253)&gt;0,N(J253)&gt;0,C253&gt;ADV_CAP*J253),"⚠️ أكثر من "&amp;TEXT(ADV_CAP,"0%")&amp;" من شغله ("&amp;TEXT(J253,"0.000")&amp;")","")))</f>
        <v/>
      </c>
      <c r="G253">
        <f>IF(A253="","",IF(ISNUMBER(A253),IF(A253&lt;=31,"",IF(A253&lt;=3112,IF(DATE(YR,MOD(A253,100),INT(A253/100))&gt;SAT1+7*NW-1,DATE(YR-1,MOD(A253,100),INT(A253/100)),DATE(YR,MOD(A253,100),INT(A253/100))),A253)),IFERROR(DATEVALUE(A253),"")))</f>
        <v/>
      </c>
      <c r="H253">
        <f>IF(G253="","",INT((G253-SAT1)/7)+1)</f>
        <v/>
      </c>
      <c r="I253">
        <f>IF(H253="","",IF(OR(H253&lt;1,H253&gt;NW),"",INDEX(WMON,H253)))</f>
        <v/>
      </c>
      <c r="J253">
        <f>IF(OR(G253="",H253="",B253=""),"",IF(B253="عمر المصري",SUMIFS('ساعات عمر'!$H$6:$H$588,'ساعات عمر'!$A$6:$A$588,"&gt;="&amp;(SAT1+7*(H253-1)),'ساعات عمر'!$A$6:$A$588,"&lt;="&amp;G253),SUMIFS('ساعات عبدالعزيز'!$F$6:$F$588,'ساعات عبدالعزيز'!$A$6:$A$588,"&gt;="&amp;(SAT1+7*(H253-1)),'ساعات عبدالعزيز'!$A$6:$A$588,"&lt;="&amp;G253)))</f>
        <v/>
      </c>
    </row>
    <row r="254">
      <c r="A254" s="48" t="n"/>
      <c r="B254" s="22" t="n"/>
      <c r="C254" s="49" t="n"/>
      <c r="D254" s="50" t="n"/>
      <c r="E254" s="51">
        <f>IF(G254="","",IF(OR(H254&lt;1,H254&gt;NW),"⛔ التاريخ برّا السنة",IF(AND(N(C254)&gt;0,N(J254)&gt;0,C254&gt;ADV_CAP*J254),"⚠️ أكثر من "&amp;TEXT(ADV_CAP,"0%")&amp;" من شغله ("&amp;TEXT(J254,"0.000")&amp;")","")))</f>
        <v/>
      </c>
      <c r="G254">
        <f>IF(A254="","",IF(ISNUMBER(A254),IF(A254&lt;=31,"",IF(A254&lt;=3112,IF(DATE(YR,MOD(A254,100),INT(A254/100))&gt;SAT1+7*NW-1,DATE(YR-1,MOD(A254,100),INT(A254/100)),DATE(YR,MOD(A254,100),INT(A254/100))),A254)),IFERROR(DATEVALUE(A254),"")))</f>
        <v/>
      </c>
      <c r="H254">
        <f>IF(G254="","",INT((G254-SAT1)/7)+1)</f>
        <v/>
      </c>
      <c r="I254">
        <f>IF(H254="","",IF(OR(H254&lt;1,H254&gt;NW),"",INDEX(WMON,H254)))</f>
        <v/>
      </c>
      <c r="J254">
        <f>IF(OR(G254="",H254="",B254=""),"",IF(B254="عمر المصري",SUMIFS('ساعات عمر'!$H$6:$H$588,'ساعات عمر'!$A$6:$A$588,"&gt;="&amp;(SAT1+7*(H254-1)),'ساعات عمر'!$A$6:$A$588,"&lt;="&amp;G254),SUMIFS('ساعات عبدالعزيز'!$F$6:$F$588,'ساعات عبدالعزيز'!$A$6:$A$588,"&gt;="&amp;(SAT1+7*(H254-1)),'ساعات عبدالعزيز'!$A$6:$A$588,"&lt;="&amp;G254)))</f>
        <v/>
      </c>
    </row>
    <row r="255">
      <c r="A255" s="48" t="n"/>
      <c r="B255" s="22" t="n"/>
      <c r="C255" s="49" t="n"/>
      <c r="D255" s="50" t="n"/>
      <c r="E255" s="51">
        <f>IF(G255="","",IF(OR(H255&lt;1,H255&gt;NW),"⛔ التاريخ برّا السنة",IF(AND(N(C255)&gt;0,N(J255)&gt;0,C255&gt;ADV_CAP*J255),"⚠️ أكثر من "&amp;TEXT(ADV_CAP,"0%")&amp;" من شغله ("&amp;TEXT(J255,"0.000")&amp;")","")))</f>
        <v/>
      </c>
      <c r="G255">
        <f>IF(A255="","",IF(ISNUMBER(A255),IF(A255&lt;=31,"",IF(A255&lt;=3112,IF(DATE(YR,MOD(A255,100),INT(A255/100))&gt;SAT1+7*NW-1,DATE(YR-1,MOD(A255,100),INT(A255/100)),DATE(YR,MOD(A255,100),INT(A255/100))),A255)),IFERROR(DATEVALUE(A255),"")))</f>
        <v/>
      </c>
      <c r="H255">
        <f>IF(G255="","",INT((G255-SAT1)/7)+1)</f>
        <v/>
      </c>
      <c r="I255">
        <f>IF(H255="","",IF(OR(H255&lt;1,H255&gt;NW),"",INDEX(WMON,H255)))</f>
        <v/>
      </c>
      <c r="J255">
        <f>IF(OR(G255="",H255="",B255=""),"",IF(B255="عمر المصري",SUMIFS('ساعات عمر'!$H$6:$H$588,'ساعات عمر'!$A$6:$A$588,"&gt;="&amp;(SAT1+7*(H255-1)),'ساعات عمر'!$A$6:$A$588,"&lt;="&amp;G255),SUMIFS('ساعات عبدالعزيز'!$F$6:$F$588,'ساعات عبدالعزيز'!$A$6:$A$588,"&gt;="&amp;(SAT1+7*(H255-1)),'ساعات عبدالعزيز'!$A$6:$A$588,"&lt;="&amp;G255)))</f>
        <v/>
      </c>
    </row>
    <row r="256">
      <c r="A256" s="48" t="n"/>
      <c r="B256" s="22" t="n"/>
      <c r="C256" s="49" t="n"/>
      <c r="D256" s="50" t="n"/>
      <c r="E256" s="51">
        <f>IF(G256="","",IF(OR(H256&lt;1,H256&gt;NW),"⛔ التاريخ برّا السنة",IF(AND(N(C256)&gt;0,N(J256)&gt;0,C256&gt;ADV_CAP*J256),"⚠️ أكثر من "&amp;TEXT(ADV_CAP,"0%")&amp;" من شغله ("&amp;TEXT(J256,"0.000")&amp;")","")))</f>
        <v/>
      </c>
      <c r="G256">
        <f>IF(A256="","",IF(ISNUMBER(A256),IF(A256&lt;=31,"",IF(A256&lt;=3112,IF(DATE(YR,MOD(A256,100),INT(A256/100))&gt;SAT1+7*NW-1,DATE(YR-1,MOD(A256,100),INT(A256/100)),DATE(YR,MOD(A256,100),INT(A256/100))),A256)),IFERROR(DATEVALUE(A256),"")))</f>
        <v/>
      </c>
      <c r="H256">
        <f>IF(G256="","",INT((G256-SAT1)/7)+1)</f>
        <v/>
      </c>
      <c r="I256">
        <f>IF(H256="","",IF(OR(H256&lt;1,H256&gt;NW),"",INDEX(WMON,H256)))</f>
        <v/>
      </c>
      <c r="J256">
        <f>IF(OR(G256="",H256="",B256=""),"",IF(B256="عمر المصري",SUMIFS('ساعات عمر'!$H$6:$H$588,'ساعات عمر'!$A$6:$A$588,"&gt;="&amp;(SAT1+7*(H256-1)),'ساعات عمر'!$A$6:$A$588,"&lt;="&amp;G256),SUMIFS('ساعات عبدالعزيز'!$F$6:$F$588,'ساعات عبدالعزيز'!$A$6:$A$588,"&gt;="&amp;(SAT1+7*(H256-1)),'ساعات عبدالعزيز'!$A$6:$A$588,"&lt;="&amp;G256)))</f>
        <v/>
      </c>
    </row>
    <row r="257">
      <c r="A257" s="48" t="n"/>
      <c r="B257" s="22" t="n"/>
      <c r="C257" s="49" t="n"/>
      <c r="D257" s="50" t="n"/>
      <c r="E257" s="51">
        <f>IF(G257="","",IF(OR(H257&lt;1,H257&gt;NW),"⛔ التاريخ برّا السنة",IF(AND(N(C257)&gt;0,N(J257)&gt;0,C257&gt;ADV_CAP*J257),"⚠️ أكثر من "&amp;TEXT(ADV_CAP,"0%")&amp;" من شغله ("&amp;TEXT(J257,"0.000")&amp;")","")))</f>
        <v/>
      </c>
      <c r="G257">
        <f>IF(A257="","",IF(ISNUMBER(A257),IF(A257&lt;=31,"",IF(A257&lt;=3112,IF(DATE(YR,MOD(A257,100),INT(A257/100))&gt;SAT1+7*NW-1,DATE(YR-1,MOD(A257,100),INT(A257/100)),DATE(YR,MOD(A257,100),INT(A257/100))),A257)),IFERROR(DATEVALUE(A257),"")))</f>
        <v/>
      </c>
      <c r="H257">
        <f>IF(G257="","",INT((G257-SAT1)/7)+1)</f>
        <v/>
      </c>
      <c r="I257">
        <f>IF(H257="","",IF(OR(H257&lt;1,H257&gt;NW),"",INDEX(WMON,H257)))</f>
        <v/>
      </c>
      <c r="J257">
        <f>IF(OR(G257="",H257="",B257=""),"",IF(B257="عمر المصري",SUMIFS('ساعات عمر'!$H$6:$H$588,'ساعات عمر'!$A$6:$A$588,"&gt;="&amp;(SAT1+7*(H257-1)),'ساعات عمر'!$A$6:$A$588,"&lt;="&amp;G257),SUMIFS('ساعات عبدالعزيز'!$F$6:$F$588,'ساعات عبدالعزيز'!$A$6:$A$588,"&gt;="&amp;(SAT1+7*(H257-1)),'ساعات عبدالعزيز'!$A$6:$A$588,"&lt;="&amp;G257)))</f>
        <v/>
      </c>
    </row>
    <row r="258">
      <c r="A258" s="48" t="n"/>
      <c r="B258" s="22" t="n"/>
      <c r="C258" s="49" t="n"/>
      <c r="D258" s="50" t="n"/>
      <c r="E258" s="51">
        <f>IF(G258="","",IF(OR(H258&lt;1,H258&gt;NW),"⛔ التاريخ برّا السنة",IF(AND(N(C258)&gt;0,N(J258)&gt;0,C258&gt;ADV_CAP*J258),"⚠️ أكثر من "&amp;TEXT(ADV_CAP,"0%")&amp;" من شغله ("&amp;TEXT(J258,"0.000")&amp;")","")))</f>
        <v/>
      </c>
      <c r="G258">
        <f>IF(A258="","",IF(ISNUMBER(A258),IF(A258&lt;=31,"",IF(A258&lt;=3112,IF(DATE(YR,MOD(A258,100),INT(A258/100))&gt;SAT1+7*NW-1,DATE(YR-1,MOD(A258,100),INT(A258/100)),DATE(YR,MOD(A258,100),INT(A258/100))),A258)),IFERROR(DATEVALUE(A258),"")))</f>
        <v/>
      </c>
      <c r="H258">
        <f>IF(G258="","",INT((G258-SAT1)/7)+1)</f>
        <v/>
      </c>
      <c r="I258">
        <f>IF(H258="","",IF(OR(H258&lt;1,H258&gt;NW),"",INDEX(WMON,H258)))</f>
        <v/>
      </c>
      <c r="J258">
        <f>IF(OR(G258="",H258="",B258=""),"",IF(B258="عمر المصري",SUMIFS('ساعات عمر'!$H$6:$H$588,'ساعات عمر'!$A$6:$A$588,"&gt;="&amp;(SAT1+7*(H258-1)),'ساعات عمر'!$A$6:$A$588,"&lt;="&amp;G258),SUMIFS('ساعات عبدالعزيز'!$F$6:$F$588,'ساعات عبدالعزيز'!$A$6:$A$588,"&gt;="&amp;(SAT1+7*(H258-1)),'ساعات عبدالعزيز'!$A$6:$A$588,"&lt;="&amp;G258)))</f>
        <v/>
      </c>
    </row>
    <row r="259">
      <c r="A259" s="48" t="n"/>
      <c r="B259" s="22" t="n"/>
      <c r="C259" s="49" t="n"/>
      <c r="D259" s="50" t="n"/>
      <c r="E259" s="51">
        <f>IF(G259="","",IF(OR(H259&lt;1,H259&gt;NW),"⛔ التاريخ برّا السنة",IF(AND(N(C259)&gt;0,N(J259)&gt;0,C259&gt;ADV_CAP*J259),"⚠️ أكثر من "&amp;TEXT(ADV_CAP,"0%")&amp;" من شغله ("&amp;TEXT(J259,"0.000")&amp;")","")))</f>
        <v/>
      </c>
      <c r="G259">
        <f>IF(A259="","",IF(ISNUMBER(A259),IF(A259&lt;=31,"",IF(A259&lt;=3112,IF(DATE(YR,MOD(A259,100),INT(A259/100))&gt;SAT1+7*NW-1,DATE(YR-1,MOD(A259,100),INT(A259/100)),DATE(YR,MOD(A259,100),INT(A259/100))),A259)),IFERROR(DATEVALUE(A259),"")))</f>
        <v/>
      </c>
      <c r="H259">
        <f>IF(G259="","",INT((G259-SAT1)/7)+1)</f>
        <v/>
      </c>
      <c r="I259">
        <f>IF(H259="","",IF(OR(H259&lt;1,H259&gt;NW),"",INDEX(WMON,H259)))</f>
        <v/>
      </c>
      <c r="J259">
        <f>IF(OR(G259="",H259="",B259=""),"",IF(B259="عمر المصري",SUMIFS('ساعات عمر'!$H$6:$H$588,'ساعات عمر'!$A$6:$A$588,"&gt;="&amp;(SAT1+7*(H259-1)),'ساعات عمر'!$A$6:$A$588,"&lt;="&amp;G259),SUMIFS('ساعات عبدالعزيز'!$F$6:$F$588,'ساعات عبدالعزيز'!$A$6:$A$588,"&gt;="&amp;(SAT1+7*(H259-1)),'ساعات عبدالعزيز'!$A$6:$A$588,"&lt;="&amp;G259)))</f>
        <v/>
      </c>
    </row>
    <row r="260">
      <c r="A260" s="48" t="n"/>
      <c r="B260" s="22" t="n"/>
      <c r="C260" s="49" t="n"/>
      <c r="D260" s="50" t="n"/>
      <c r="E260" s="51">
        <f>IF(G260="","",IF(OR(H260&lt;1,H260&gt;NW),"⛔ التاريخ برّا السنة",IF(AND(N(C260)&gt;0,N(J260)&gt;0,C260&gt;ADV_CAP*J260),"⚠️ أكثر من "&amp;TEXT(ADV_CAP,"0%")&amp;" من شغله ("&amp;TEXT(J260,"0.000")&amp;")","")))</f>
        <v/>
      </c>
      <c r="G260">
        <f>IF(A260="","",IF(ISNUMBER(A260),IF(A260&lt;=31,"",IF(A260&lt;=3112,IF(DATE(YR,MOD(A260,100),INT(A260/100))&gt;SAT1+7*NW-1,DATE(YR-1,MOD(A260,100),INT(A260/100)),DATE(YR,MOD(A260,100),INT(A260/100))),A260)),IFERROR(DATEVALUE(A260),"")))</f>
        <v/>
      </c>
      <c r="H260">
        <f>IF(G260="","",INT((G260-SAT1)/7)+1)</f>
        <v/>
      </c>
      <c r="I260">
        <f>IF(H260="","",IF(OR(H260&lt;1,H260&gt;NW),"",INDEX(WMON,H260)))</f>
        <v/>
      </c>
      <c r="J260">
        <f>IF(OR(G260="",H260="",B260=""),"",IF(B260="عمر المصري",SUMIFS('ساعات عمر'!$H$6:$H$588,'ساعات عمر'!$A$6:$A$588,"&gt;="&amp;(SAT1+7*(H260-1)),'ساعات عمر'!$A$6:$A$588,"&lt;="&amp;G260),SUMIFS('ساعات عبدالعزيز'!$F$6:$F$588,'ساعات عبدالعزيز'!$A$6:$A$588,"&gt;="&amp;(SAT1+7*(H260-1)),'ساعات عبدالعزيز'!$A$6:$A$588,"&lt;="&amp;G260)))</f>
        <v/>
      </c>
    </row>
    <row r="261">
      <c r="A261" s="48" t="n"/>
      <c r="B261" s="22" t="n"/>
      <c r="C261" s="49" t="n"/>
      <c r="D261" s="50" t="n"/>
      <c r="E261" s="51">
        <f>IF(G261="","",IF(OR(H261&lt;1,H261&gt;NW),"⛔ التاريخ برّا السنة",IF(AND(N(C261)&gt;0,N(J261)&gt;0,C261&gt;ADV_CAP*J261),"⚠️ أكثر من "&amp;TEXT(ADV_CAP,"0%")&amp;" من شغله ("&amp;TEXT(J261,"0.000")&amp;")","")))</f>
        <v/>
      </c>
      <c r="G261">
        <f>IF(A261="","",IF(ISNUMBER(A261),IF(A261&lt;=31,"",IF(A261&lt;=3112,IF(DATE(YR,MOD(A261,100),INT(A261/100))&gt;SAT1+7*NW-1,DATE(YR-1,MOD(A261,100),INT(A261/100)),DATE(YR,MOD(A261,100),INT(A261/100))),A261)),IFERROR(DATEVALUE(A261),"")))</f>
        <v/>
      </c>
      <c r="H261">
        <f>IF(G261="","",INT((G261-SAT1)/7)+1)</f>
        <v/>
      </c>
      <c r="I261">
        <f>IF(H261="","",IF(OR(H261&lt;1,H261&gt;NW),"",INDEX(WMON,H261)))</f>
        <v/>
      </c>
      <c r="J261">
        <f>IF(OR(G261="",H261="",B261=""),"",IF(B261="عمر المصري",SUMIFS('ساعات عمر'!$H$6:$H$588,'ساعات عمر'!$A$6:$A$588,"&gt;="&amp;(SAT1+7*(H261-1)),'ساعات عمر'!$A$6:$A$588,"&lt;="&amp;G261),SUMIFS('ساعات عبدالعزيز'!$F$6:$F$588,'ساعات عبدالعزيز'!$A$6:$A$588,"&gt;="&amp;(SAT1+7*(H261-1)),'ساعات عبدالعزيز'!$A$6:$A$588,"&lt;="&amp;G261)))</f>
        <v/>
      </c>
    </row>
    <row r="262">
      <c r="A262" s="48" t="n"/>
      <c r="B262" s="22" t="n"/>
      <c r="C262" s="49" t="n"/>
      <c r="D262" s="50" t="n"/>
      <c r="E262" s="51">
        <f>IF(G262="","",IF(OR(H262&lt;1,H262&gt;NW),"⛔ التاريخ برّا السنة",IF(AND(N(C262)&gt;0,N(J262)&gt;0,C262&gt;ADV_CAP*J262),"⚠️ أكثر من "&amp;TEXT(ADV_CAP,"0%")&amp;" من شغله ("&amp;TEXT(J262,"0.000")&amp;")","")))</f>
        <v/>
      </c>
      <c r="G262">
        <f>IF(A262="","",IF(ISNUMBER(A262),IF(A262&lt;=31,"",IF(A262&lt;=3112,IF(DATE(YR,MOD(A262,100),INT(A262/100))&gt;SAT1+7*NW-1,DATE(YR-1,MOD(A262,100),INT(A262/100)),DATE(YR,MOD(A262,100),INT(A262/100))),A262)),IFERROR(DATEVALUE(A262),"")))</f>
        <v/>
      </c>
      <c r="H262">
        <f>IF(G262="","",INT((G262-SAT1)/7)+1)</f>
        <v/>
      </c>
      <c r="I262">
        <f>IF(H262="","",IF(OR(H262&lt;1,H262&gt;NW),"",INDEX(WMON,H262)))</f>
        <v/>
      </c>
      <c r="J262">
        <f>IF(OR(G262="",H262="",B262=""),"",IF(B262="عمر المصري",SUMIFS('ساعات عمر'!$H$6:$H$588,'ساعات عمر'!$A$6:$A$588,"&gt;="&amp;(SAT1+7*(H262-1)),'ساعات عمر'!$A$6:$A$588,"&lt;="&amp;G262),SUMIFS('ساعات عبدالعزيز'!$F$6:$F$588,'ساعات عبدالعزيز'!$A$6:$A$588,"&gt;="&amp;(SAT1+7*(H262-1)),'ساعات عبدالعزيز'!$A$6:$A$588,"&lt;="&amp;G262)))</f>
        <v/>
      </c>
    </row>
    <row r="263">
      <c r="A263" s="48" t="n"/>
      <c r="B263" s="22" t="n"/>
      <c r="C263" s="49" t="n"/>
      <c r="D263" s="50" t="n"/>
      <c r="E263" s="51">
        <f>IF(G263="","",IF(OR(H263&lt;1,H263&gt;NW),"⛔ التاريخ برّا السنة",IF(AND(N(C263)&gt;0,N(J263)&gt;0,C263&gt;ADV_CAP*J263),"⚠️ أكثر من "&amp;TEXT(ADV_CAP,"0%")&amp;" من شغله ("&amp;TEXT(J263,"0.000")&amp;")","")))</f>
        <v/>
      </c>
      <c r="G263">
        <f>IF(A263="","",IF(ISNUMBER(A263),IF(A263&lt;=31,"",IF(A263&lt;=3112,IF(DATE(YR,MOD(A263,100),INT(A263/100))&gt;SAT1+7*NW-1,DATE(YR-1,MOD(A263,100),INT(A263/100)),DATE(YR,MOD(A263,100),INT(A263/100))),A263)),IFERROR(DATEVALUE(A263),"")))</f>
        <v/>
      </c>
      <c r="H263">
        <f>IF(G263="","",INT((G263-SAT1)/7)+1)</f>
        <v/>
      </c>
      <c r="I263">
        <f>IF(H263="","",IF(OR(H263&lt;1,H263&gt;NW),"",INDEX(WMON,H263)))</f>
        <v/>
      </c>
      <c r="J263">
        <f>IF(OR(G263="",H263="",B263=""),"",IF(B263="عمر المصري",SUMIFS('ساعات عمر'!$H$6:$H$588,'ساعات عمر'!$A$6:$A$588,"&gt;="&amp;(SAT1+7*(H263-1)),'ساعات عمر'!$A$6:$A$588,"&lt;="&amp;G263),SUMIFS('ساعات عبدالعزيز'!$F$6:$F$588,'ساعات عبدالعزيز'!$A$6:$A$588,"&gt;="&amp;(SAT1+7*(H263-1)),'ساعات عبدالعزيز'!$A$6:$A$588,"&lt;="&amp;G263)))</f>
        <v/>
      </c>
    </row>
    <row r="264">
      <c r="A264" s="48" t="n"/>
      <c r="B264" s="22" t="n"/>
      <c r="C264" s="49" t="n"/>
      <c r="D264" s="50" t="n"/>
      <c r="E264" s="51">
        <f>IF(G264="","",IF(OR(H264&lt;1,H264&gt;NW),"⛔ التاريخ برّا السنة",IF(AND(N(C264)&gt;0,N(J264)&gt;0,C264&gt;ADV_CAP*J264),"⚠️ أكثر من "&amp;TEXT(ADV_CAP,"0%")&amp;" من شغله ("&amp;TEXT(J264,"0.000")&amp;")","")))</f>
        <v/>
      </c>
      <c r="G264">
        <f>IF(A264="","",IF(ISNUMBER(A264),IF(A264&lt;=31,"",IF(A264&lt;=3112,IF(DATE(YR,MOD(A264,100),INT(A264/100))&gt;SAT1+7*NW-1,DATE(YR-1,MOD(A264,100),INT(A264/100)),DATE(YR,MOD(A264,100),INT(A264/100))),A264)),IFERROR(DATEVALUE(A264),"")))</f>
        <v/>
      </c>
      <c r="H264">
        <f>IF(G264="","",INT((G264-SAT1)/7)+1)</f>
        <v/>
      </c>
      <c r="I264">
        <f>IF(H264="","",IF(OR(H264&lt;1,H264&gt;NW),"",INDEX(WMON,H264)))</f>
        <v/>
      </c>
      <c r="J264">
        <f>IF(OR(G264="",H264="",B264=""),"",IF(B264="عمر المصري",SUMIFS('ساعات عمر'!$H$6:$H$588,'ساعات عمر'!$A$6:$A$588,"&gt;="&amp;(SAT1+7*(H264-1)),'ساعات عمر'!$A$6:$A$588,"&lt;="&amp;G264),SUMIFS('ساعات عبدالعزيز'!$F$6:$F$588,'ساعات عبدالعزيز'!$A$6:$A$588,"&gt;="&amp;(SAT1+7*(H264-1)),'ساعات عبدالعزيز'!$A$6:$A$588,"&lt;="&amp;G264)))</f>
        <v/>
      </c>
    </row>
    <row r="265">
      <c r="A265" s="48" t="n"/>
      <c r="B265" s="22" t="n"/>
      <c r="C265" s="49" t="n"/>
      <c r="D265" s="50" t="n"/>
      <c r="E265" s="51">
        <f>IF(G265="","",IF(OR(H265&lt;1,H265&gt;NW),"⛔ التاريخ برّا السنة",IF(AND(N(C265)&gt;0,N(J265)&gt;0,C265&gt;ADV_CAP*J265),"⚠️ أكثر من "&amp;TEXT(ADV_CAP,"0%")&amp;" من شغله ("&amp;TEXT(J265,"0.000")&amp;")","")))</f>
        <v/>
      </c>
      <c r="G265">
        <f>IF(A265="","",IF(ISNUMBER(A265),IF(A265&lt;=31,"",IF(A265&lt;=3112,IF(DATE(YR,MOD(A265,100),INT(A265/100))&gt;SAT1+7*NW-1,DATE(YR-1,MOD(A265,100),INT(A265/100)),DATE(YR,MOD(A265,100),INT(A265/100))),A265)),IFERROR(DATEVALUE(A265),"")))</f>
        <v/>
      </c>
      <c r="H265">
        <f>IF(G265="","",INT((G265-SAT1)/7)+1)</f>
        <v/>
      </c>
      <c r="I265">
        <f>IF(H265="","",IF(OR(H265&lt;1,H265&gt;NW),"",INDEX(WMON,H265)))</f>
        <v/>
      </c>
      <c r="J265">
        <f>IF(OR(G265="",H265="",B265=""),"",IF(B265="عمر المصري",SUMIFS('ساعات عمر'!$H$6:$H$588,'ساعات عمر'!$A$6:$A$588,"&gt;="&amp;(SAT1+7*(H265-1)),'ساعات عمر'!$A$6:$A$588,"&lt;="&amp;G265),SUMIFS('ساعات عبدالعزيز'!$F$6:$F$588,'ساعات عبدالعزيز'!$A$6:$A$588,"&gt;="&amp;(SAT1+7*(H265-1)),'ساعات عبدالعزيز'!$A$6:$A$588,"&lt;="&amp;G265)))</f>
        <v/>
      </c>
    </row>
    <row r="266">
      <c r="A266" s="48" t="n"/>
      <c r="B266" s="22" t="n"/>
      <c r="C266" s="49" t="n"/>
      <c r="D266" s="50" t="n"/>
      <c r="E266" s="51">
        <f>IF(G266="","",IF(OR(H266&lt;1,H266&gt;NW),"⛔ التاريخ برّا السنة",IF(AND(N(C266)&gt;0,N(J266)&gt;0,C266&gt;ADV_CAP*J266),"⚠️ أكثر من "&amp;TEXT(ADV_CAP,"0%")&amp;" من شغله ("&amp;TEXT(J266,"0.000")&amp;")","")))</f>
        <v/>
      </c>
      <c r="G266">
        <f>IF(A266="","",IF(ISNUMBER(A266),IF(A266&lt;=31,"",IF(A266&lt;=3112,IF(DATE(YR,MOD(A266,100),INT(A266/100))&gt;SAT1+7*NW-1,DATE(YR-1,MOD(A266,100),INT(A266/100)),DATE(YR,MOD(A266,100),INT(A266/100))),A266)),IFERROR(DATEVALUE(A266),"")))</f>
        <v/>
      </c>
      <c r="H266">
        <f>IF(G266="","",INT((G266-SAT1)/7)+1)</f>
        <v/>
      </c>
      <c r="I266">
        <f>IF(H266="","",IF(OR(H266&lt;1,H266&gt;NW),"",INDEX(WMON,H266)))</f>
        <v/>
      </c>
      <c r="J266">
        <f>IF(OR(G266="",H266="",B266=""),"",IF(B266="عمر المصري",SUMIFS('ساعات عمر'!$H$6:$H$588,'ساعات عمر'!$A$6:$A$588,"&gt;="&amp;(SAT1+7*(H266-1)),'ساعات عمر'!$A$6:$A$588,"&lt;="&amp;G266),SUMIFS('ساعات عبدالعزيز'!$F$6:$F$588,'ساعات عبدالعزيز'!$A$6:$A$588,"&gt;="&amp;(SAT1+7*(H266-1)),'ساعات عبدالعزيز'!$A$6:$A$588,"&lt;="&amp;G266)))</f>
        <v/>
      </c>
    </row>
    <row r="267">
      <c r="A267" s="48" t="n"/>
      <c r="B267" s="22" t="n"/>
      <c r="C267" s="49" t="n"/>
      <c r="D267" s="50" t="n"/>
      <c r="E267" s="51">
        <f>IF(G267="","",IF(OR(H267&lt;1,H267&gt;NW),"⛔ التاريخ برّا السنة",IF(AND(N(C267)&gt;0,N(J267)&gt;0,C267&gt;ADV_CAP*J267),"⚠️ أكثر من "&amp;TEXT(ADV_CAP,"0%")&amp;" من شغله ("&amp;TEXT(J267,"0.000")&amp;")","")))</f>
        <v/>
      </c>
      <c r="G267">
        <f>IF(A267="","",IF(ISNUMBER(A267),IF(A267&lt;=31,"",IF(A267&lt;=3112,IF(DATE(YR,MOD(A267,100),INT(A267/100))&gt;SAT1+7*NW-1,DATE(YR-1,MOD(A267,100),INT(A267/100)),DATE(YR,MOD(A267,100),INT(A267/100))),A267)),IFERROR(DATEVALUE(A267),"")))</f>
        <v/>
      </c>
      <c r="H267">
        <f>IF(G267="","",INT((G267-SAT1)/7)+1)</f>
        <v/>
      </c>
      <c r="I267">
        <f>IF(H267="","",IF(OR(H267&lt;1,H267&gt;NW),"",INDEX(WMON,H267)))</f>
        <v/>
      </c>
      <c r="J267">
        <f>IF(OR(G267="",H267="",B267=""),"",IF(B267="عمر المصري",SUMIFS('ساعات عمر'!$H$6:$H$588,'ساعات عمر'!$A$6:$A$588,"&gt;="&amp;(SAT1+7*(H267-1)),'ساعات عمر'!$A$6:$A$588,"&lt;="&amp;G267),SUMIFS('ساعات عبدالعزيز'!$F$6:$F$588,'ساعات عبدالعزيز'!$A$6:$A$588,"&gt;="&amp;(SAT1+7*(H267-1)),'ساعات عبدالعزيز'!$A$6:$A$588,"&lt;="&amp;G267)))</f>
        <v/>
      </c>
    </row>
    <row r="268">
      <c r="A268" s="48" t="n"/>
      <c r="B268" s="22" t="n"/>
      <c r="C268" s="49" t="n"/>
      <c r="D268" s="50" t="n"/>
      <c r="E268" s="51">
        <f>IF(G268="","",IF(OR(H268&lt;1,H268&gt;NW),"⛔ التاريخ برّا السنة",IF(AND(N(C268)&gt;0,N(J268)&gt;0,C268&gt;ADV_CAP*J268),"⚠️ أكثر من "&amp;TEXT(ADV_CAP,"0%")&amp;" من شغله ("&amp;TEXT(J268,"0.000")&amp;")","")))</f>
        <v/>
      </c>
      <c r="G268">
        <f>IF(A268="","",IF(ISNUMBER(A268),IF(A268&lt;=31,"",IF(A268&lt;=3112,IF(DATE(YR,MOD(A268,100),INT(A268/100))&gt;SAT1+7*NW-1,DATE(YR-1,MOD(A268,100),INT(A268/100)),DATE(YR,MOD(A268,100),INT(A268/100))),A268)),IFERROR(DATEVALUE(A268),"")))</f>
        <v/>
      </c>
      <c r="H268">
        <f>IF(G268="","",INT((G268-SAT1)/7)+1)</f>
        <v/>
      </c>
      <c r="I268">
        <f>IF(H268="","",IF(OR(H268&lt;1,H268&gt;NW),"",INDEX(WMON,H268)))</f>
        <v/>
      </c>
      <c r="J268">
        <f>IF(OR(G268="",H268="",B268=""),"",IF(B268="عمر المصري",SUMIFS('ساعات عمر'!$H$6:$H$588,'ساعات عمر'!$A$6:$A$588,"&gt;="&amp;(SAT1+7*(H268-1)),'ساعات عمر'!$A$6:$A$588,"&lt;="&amp;G268),SUMIFS('ساعات عبدالعزيز'!$F$6:$F$588,'ساعات عبدالعزيز'!$A$6:$A$588,"&gt;="&amp;(SAT1+7*(H268-1)),'ساعات عبدالعزيز'!$A$6:$A$588,"&lt;="&amp;G268)))</f>
        <v/>
      </c>
    </row>
    <row r="269">
      <c r="A269" s="48" t="n"/>
      <c r="B269" s="22" t="n"/>
      <c r="C269" s="49" t="n"/>
      <c r="D269" s="50" t="n"/>
      <c r="E269" s="51">
        <f>IF(G269="","",IF(OR(H269&lt;1,H269&gt;NW),"⛔ التاريخ برّا السنة",IF(AND(N(C269)&gt;0,N(J269)&gt;0,C269&gt;ADV_CAP*J269),"⚠️ أكثر من "&amp;TEXT(ADV_CAP,"0%")&amp;" من شغله ("&amp;TEXT(J269,"0.000")&amp;")","")))</f>
        <v/>
      </c>
      <c r="G269">
        <f>IF(A269="","",IF(ISNUMBER(A269),IF(A269&lt;=31,"",IF(A269&lt;=3112,IF(DATE(YR,MOD(A269,100),INT(A269/100))&gt;SAT1+7*NW-1,DATE(YR-1,MOD(A269,100),INT(A269/100)),DATE(YR,MOD(A269,100),INT(A269/100))),A269)),IFERROR(DATEVALUE(A269),"")))</f>
        <v/>
      </c>
      <c r="H269">
        <f>IF(G269="","",INT((G269-SAT1)/7)+1)</f>
        <v/>
      </c>
      <c r="I269">
        <f>IF(H269="","",IF(OR(H269&lt;1,H269&gt;NW),"",INDEX(WMON,H269)))</f>
        <v/>
      </c>
      <c r="J269">
        <f>IF(OR(G269="",H269="",B269=""),"",IF(B269="عمر المصري",SUMIFS('ساعات عمر'!$H$6:$H$588,'ساعات عمر'!$A$6:$A$588,"&gt;="&amp;(SAT1+7*(H269-1)),'ساعات عمر'!$A$6:$A$588,"&lt;="&amp;G269),SUMIFS('ساعات عبدالعزيز'!$F$6:$F$588,'ساعات عبدالعزيز'!$A$6:$A$588,"&gt;="&amp;(SAT1+7*(H269-1)),'ساعات عبدالعزيز'!$A$6:$A$588,"&lt;="&amp;G269)))</f>
        <v/>
      </c>
    </row>
    <row r="270">
      <c r="A270" s="48" t="n"/>
      <c r="B270" s="22" t="n"/>
      <c r="C270" s="49" t="n"/>
      <c r="D270" s="50" t="n"/>
      <c r="E270" s="51">
        <f>IF(G270="","",IF(OR(H270&lt;1,H270&gt;NW),"⛔ التاريخ برّا السنة",IF(AND(N(C270)&gt;0,N(J270)&gt;0,C270&gt;ADV_CAP*J270),"⚠️ أكثر من "&amp;TEXT(ADV_CAP,"0%")&amp;" من شغله ("&amp;TEXT(J270,"0.000")&amp;")","")))</f>
        <v/>
      </c>
      <c r="G270">
        <f>IF(A270="","",IF(ISNUMBER(A270),IF(A270&lt;=31,"",IF(A270&lt;=3112,IF(DATE(YR,MOD(A270,100),INT(A270/100))&gt;SAT1+7*NW-1,DATE(YR-1,MOD(A270,100),INT(A270/100)),DATE(YR,MOD(A270,100),INT(A270/100))),A270)),IFERROR(DATEVALUE(A270),"")))</f>
        <v/>
      </c>
      <c r="H270">
        <f>IF(G270="","",INT((G270-SAT1)/7)+1)</f>
        <v/>
      </c>
      <c r="I270">
        <f>IF(H270="","",IF(OR(H270&lt;1,H270&gt;NW),"",INDEX(WMON,H270)))</f>
        <v/>
      </c>
      <c r="J270">
        <f>IF(OR(G270="",H270="",B270=""),"",IF(B270="عمر المصري",SUMIFS('ساعات عمر'!$H$6:$H$588,'ساعات عمر'!$A$6:$A$588,"&gt;="&amp;(SAT1+7*(H270-1)),'ساعات عمر'!$A$6:$A$588,"&lt;="&amp;G270),SUMIFS('ساعات عبدالعزيز'!$F$6:$F$588,'ساعات عبدالعزيز'!$A$6:$A$588,"&gt;="&amp;(SAT1+7*(H270-1)),'ساعات عبدالعزيز'!$A$6:$A$588,"&lt;="&amp;G270)))</f>
        <v/>
      </c>
    </row>
    <row r="271">
      <c r="A271" s="48" t="n"/>
      <c r="B271" s="22" t="n"/>
      <c r="C271" s="49" t="n"/>
      <c r="D271" s="50" t="n"/>
      <c r="E271" s="51">
        <f>IF(G271="","",IF(OR(H271&lt;1,H271&gt;NW),"⛔ التاريخ برّا السنة",IF(AND(N(C271)&gt;0,N(J271)&gt;0,C271&gt;ADV_CAP*J271),"⚠️ أكثر من "&amp;TEXT(ADV_CAP,"0%")&amp;" من شغله ("&amp;TEXT(J271,"0.000")&amp;")","")))</f>
        <v/>
      </c>
      <c r="G271">
        <f>IF(A271="","",IF(ISNUMBER(A271),IF(A271&lt;=31,"",IF(A271&lt;=3112,IF(DATE(YR,MOD(A271,100),INT(A271/100))&gt;SAT1+7*NW-1,DATE(YR-1,MOD(A271,100),INT(A271/100)),DATE(YR,MOD(A271,100),INT(A271/100))),A271)),IFERROR(DATEVALUE(A271),"")))</f>
        <v/>
      </c>
      <c r="H271">
        <f>IF(G271="","",INT((G271-SAT1)/7)+1)</f>
        <v/>
      </c>
      <c r="I271">
        <f>IF(H271="","",IF(OR(H271&lt;1,H271&gt;NW),"",INDEX(WMON,H271)))</f>
        <v/>
      </c>
      <c r="J271">
        <f>IF(OR(G271="",H271="",B271=""),"",IF(B271="عمر المصري",SUMIFS('ساعات عمر'!$H$6:$H$588,'ساعات عمر'!$A$6:$A$588,"&gt;="&amp;(SAT1+7*(H271-1)),'ساعات عمر'!$A$6:$A$588,"&lt;="&amp;G271),SUMIFS('ساعات عبدالعزيز'!$F$6:$F$588,'ساعات عبدالعزيز'!$A$6:$A$588,"&gt;="&amp;(SAT1+7*(H271-1)),'ساعات عبدالعزيز'!$A$6:$A$588,"&lt;="&amp;G271)))</f>
        <v/>
      </c>
    </row>
    <row r="272">
      <c r="A272" s="48" t="n"/>
      <c r="B272" s="22" t="n"/>
      <c r="C272" s="49" t="n"/>
      <c r="D272" s="50" t="n"/>
      <c r="E272" s="51">
        <f>IF(G272="","",IF(OR(H272&lt;1,H272&gt;NW),"⛔ التاريخ برّا السنة",IF(AND(N(C272)&gt;0,N(J272)&gt;0,C272&gt;ADV_CAP*J272),"⚠️ أكثر من "&amp;TEXT(ADV_CAP,"0%")&amp;" من شغله ("&amp;TEXT(J272,"0.000")&amp;")","")))</f>
        <v/>
      </c>
      <c r="G272">
        <f>IF(A272="","",IF(ISNUMBER(A272),IF(A272&lt;=31,"",IF(A272&lt;=3112,IF(DATE(YR,MOD(A272,100),INT(A272/100))&gt;SAT1+7*NW-1,DATE(YR-1,MOD(A272,100),INT(A272/100)),DATE(YR,MOD(A272,100),INT(A272/100))),A272)),IFERROR(DATEVALUE(A272),"")))</f>
        <v/>
      </c>
      <c r="H272">
        <f>IF(G272="","",INT((G272-SAT1)/7)+1)</f>
        <v/>
      </c>
      <c r="I272">
        <f>IF(H272="","",IF(OR(H272&lt;1,H272&gt;NW),"",INDEX(WMON,H272)))</f>
        <v/>
      </c>
      <c r="J272">
        <f>IF(OR(G272="",H272="",B272=""),"",IF(B272="عمر المصري",SUMIFS('ساعات عمر'!$H$6:$H$588,'ساعات عمر'!$A$6:$A$588,"&gt;="&amp;(SAT1+7*(H272-1)),'ساعات عمر'!$A$6:$A$588,"&lt;="&amp;G272),SUMIFS('ساعات عبدالعزيز'!$F$6:$F$588,'ساعات عبدالعزيز'!$A$6:$A$588,"&gt;="&amp;(SAT1+7*(H272-1)),'ساعات عبدالعزيز'!$A$6:$A$588,"&lt;="&amp;G272)))</f>
        <v/>
      </c>
    </row>
    <row r="273">
      <c r="A273" s="48" t="n"/>
      <c r="B273" s="22" t="n"/>
      <c r="C273" s="49" t="n"/>
      <c r="D273" s="50" t="n"/>
      <c r="E273" s="51">
        <f>IF(G273="","",IF(OR(H273&lt;1,H273&gt;NW),"⛔ التاريخ برّا السنة",IF(AND(N(C273)&gt;0,N(J273)&gt;0,C273&gt;ADV_CAP*J273),"⚠️ أكثر من "&amp;TEXT(ADV_CAP,"0%")&amp;" من شغله ("&amp;TEXT(J273,"0.000")&amp;")","")))</f>
        <v/>
      </c>
      <c r="G273">
        <f>IF(A273="","",IF(ISNUMBER(A273),IF(A273&lt;=31,"",IF(A273&lt;=3112,IF(DATE(YR,MOD(A273,100),INT(A273/100))&gt;SAT1+7*NW-1,DATE(YR-1,MOD(A273,100),INT(A273/100)),DATE(YR,MOD(A273,100),INT(A273/100))),A273)),IFERROR(DATEVALUE(A273),"")))</f>
        <v/>
      </c>
      <c r="H273">
        <f>IF(G273="","",INT((G273-SAT1)/7)+1)</f>
        <v/>
      </c>
      <c r="I273">
        <f>IF(H273="","",IF(OR(H273&lt;1,H273&gt;NW),"",INDEX(WMON,H273)))</f>
        <v/>
      </c>
      <c r="J273">
        <f>IF(OR(G273="",H273="",B273=""),"",IF(B273="عمر المصري",SUMIFS('ساعات عمر'!$H$6:$H$588,'ساعات عمر'!$A$6:$A$588,"&gt;="&amp;(SAT1+7*(H273-1)),'ساعات عمر'!$A$6:$A$588,"&lt;="&amp;G273),SUMIFS('ساعات عبدالعزيز'!$F$6:$F$588,'ساعات عبدالعزيز'!$A$6:$A$588,"&gt;="&amp;(SAT1+7*(H273-1)),'ساعات عبدالعزيز'!$A$6:$A$588,"&lt;="&amp;G273)))</f>
        <v/>
      </c>
    </row>
    <row r="274">
      <c r="A274" s="48" t="n"/>
      <c r="B274" s="22" t="n"/>
      <c r="C274" s="49" t="n"/>
      <c r="D274" s="50" t="n"/>
      <c r="E274" s="51">
        <f>IF(G274="","",IF(OR(H274&lt;1,H274&gt;NW),"⛔ التاريخ برّا السنة",IF(AND(N(C274)&gt;0,N(J274)&gt;0,C274&gt;ADV_CAP*J274),"⚠️ أكثر من "&amp;TEXT(ADV_CAP,"0%")&amp;" من شغله ("&amp;TEXT(J274,"0.000")&amp;")","")))</f>
        <v/>
      </c>
      <c r="G274">
        <f>IF(A274="","",IF(ISNUMBER(A274),IF(A274&lt;=31,"",IF(A274&lt;=3112,IF(DATE(YR,MOD(A274,100),INT(A274/100))&gt;SAT1+7*NW-1,DATE(YR-1,MOD(A274,100),INT(A274/100)),DATE(YR,MOD(A274,100),INT(A274/100))),A274)),IFERROR(DATEVALUE(A274),"")))</f>
        <v/>
      </c>
      <c r="H274">
        <f>IF(G274="","",INT((G274-SAT1)/7)+1)</f>
        <v/>
      </c>
      <c r="I274">
        <f>IF(H274="","",IF(OR(H274&lt;1,H274&gt;NW),"",INDEX(WMON,H274)))</f>
        <v/>
      </c>
      <c r="J274">
        <f>IF(OR(G274="",H274="",B274=""),"",IF(B274="عمر المصري",SUMIFS('ساعات عمر'!$H$6:$H$588,'ساعات عمر'!$A$6:$A$588,"&gt;="&amp;(SAT1+7*(H274-1)),'ساعات عمر'!$A$6:$A$588,"&lt;="&amp;G274),SUMIFS('ساعات عبدالعزيز'!$F$6:$F$588,'ساعات عبدالعزيز'!$A$6:$A$588,"&gt;="&amp;(SAT1+7*(H274-1)),'ساعات عبدالعزيز'!$A$6:$A$588,"&lt;="&amp;G274)))</f>
        <v/>
      </c>
    </row>
    <row r="275">
      <c r="A275" s="48" t="n"/>
      <c r="B275" s="22" t="n"/>
      <c r="C275" s="49" t="n"/>
      <c r="D275" s="50" t="n"/>
      <c r="E275" s="51">
        <f>IF(G275="","",IF(OR(H275&lt;1,H275&gt;NW),"⛔ التاريخ برّا السنة",IF(AND(N(C275)&gt;0,N(J275)&gt;0,C275&gt;ADV_CAP*J275),"⚠️ أكثر من "&amp;TEXT(ADV_CAP,"0%")&amp;" من شغله ("&amp;TEXT(J275,"0.000")&amp;")","")))</f>
        <v/>
      </c>
      <c r="G275">
        <f>IF(A275="","",IF(ISNUMBER(A275),IF(A275&lt;=31,"",IF(A275&lt;=3112,IF(DATE(YR,MOD(A275,100),INT(A275/100))&gt;SAT1+7*NW-1,DATE(YR-1,MOD(A275,100),INT(A275/100)),DATE(YR,MOD(A275,100),INT(A275/100))),A275)),IFERROR(DATEVALUE(A275),"")))</f>
        <v/>
      </c>
      <c r="H275">
        <f>IF(G275="","",INT((G275-SAT1)/7)+1)</f>
        <v/>
      </c>
      <c r="I275">
        <f>IF(H275="","",IF(OR(H275&lt;1,H275&gt;NW),"",INDEX(WMON,H275)))</f>
        <v/>
      </c>
      <c r="J275">
        <f>IF(OR(G275="",H275="",B275=""),"",IF(B275="عمر المصري",SUMIFS('ساعات عمر'!$H$6:$H$588,'ساعات عمر'!$A$6:$A$588,"&gt;="&amp;(SAT1+7*(H275-1)),'ساعات عمر'!$A$6:$A$588,"&lt;="&amp;G275),SUMIFS('ساعات عبدالعزيز'!$F$6:$F$588,'ساعات عبدالعزيز'!$A$6:$A$588,"&gt;="&amp;(SAT1+7*(H275-1)),'ساعات عبدالعزيز'!$A$6:$A$588,"&lt;="&amp;G275)))</f>
        <v/>
      </c>
    </row>
    <row r="276">
      <c r="A276" s="48" t="n"/>
      <c r="B276" s="22" t="n"/>
      <c r="C276" s="49" t="n"/>
      <c r="D276" s="50" t="n"/>
      <c r="E276" s="51">
        <f>IF(G276="","",IF(OR(H276&lt;1,H276&gt;NW),"⛔ التاريخ برّا السنة",IF(AND(N(C276)&gt;0,N(J276)&gt;0,C276&gt;ADV_CAP*J276),"⚠️ أكثر من "&amp;TEXT(ADV_CAP,"0%")&amp;" من شغله ("&amp;TEXT(J276,"0.000")&amp;")","")))</f>
        <v/>
      </c>
      <c r="G276">
        <f>IF(A276="","",IF(ISNUMBER(A276),IF(A276&lt;=31,"",IF(A276&lt;=3112,IF(DATE(YR,MOD(A276,100),INT(A276/100))&gt;SAT1+7*NW-1,DATE(YR-1,MOD(A276,100),INT(A276/100)),DATE(YR,MOD(A276,100),INT(A276/100))),A276)),IFERROR(DATEVALUE(A276),"")))</f>
        <v/>
      </c>
      <c r="H276">
        <f>IF(G276="","",INT((G276-SAT1)/7)+1)</f>
        <v/>
      </c>
      <c r="I276">
        <f>IF(H276="","",IF(OR(H276&lt;1,H276&gt;NW),"",INDEX(WMON,H276)))</f>
        <v/>
      </c>
      <c r="J276">
        <f>IF(OR(G276="",H276="",B276=""),"",IF(B276="عمر المصري",SUMIFS('ساعات عمر'!$H$6:$H$588,'ساعات عمر'!$A$6:$A$588,"&gt;="&amp;(SAT1+7*(H276-1)),'ساعات عمر'!$A$6:$A$588,"&lt;="&amp;G276),SUMIFS('ساعات عبدالعزيز'!$F$6:$F$588,'ساعات عبدالعزيز'!$A$6:$A$588,"&gt;="&amp;(SAT1+7*(H276-1)),'ساعات عبدالعزيز'!$A$6:$A$588,"&lt;="&amp;G276)))</f>
        <v/>
      </c>
    </row>
    <row r="277">
      <c r="A277" s="48" t="n"/>
      <c r="B277" s="22" t="n"/>
      <c r="C277" s="49" t="n"/>
      <c r="D277" s="50" t="n"/>
      <c r="E277" s="51">
        <f>IF(G277="","",IF(OR(H277&lt;1,H277&gt;NW),"⛔ التاريخ برّا السنة",IF(AND(N(C277)&gt;0,N(J277)&gt;0,C277&gt;ADV_CAP*J277),"⚠️ أكثر من "&amp;TEXT(ADV_CAP,"0%")&amp;" من شغله ("&amp;TEXT(J277,"0.000")&amp;")","")))</f>
        <v/>
      </c>
      <c r="G277">
        <f>IF(A277="","",IF(ISNUMBER(A277),IF(A277&lt;=31,"",IF(A277&lt;=3112,IF(DATE(YR,MOD(A277,100),INT(A277/100))&gt;SAT1+7*NW-1,DATE(YR-1,MOD(A277,100),INT(A277/100)),DATE(YR,MOD(A277,100),INT(A277/100))),A277)),IFERROR(DATEVALUE(A277),"")))</f>
        <v/>
      </c>
      <c r="H277">
        <f>IF(G277="","",INT((G277-SAT1)/7)+1)</f>
        <v/>
      </c>
      <c r="I277">
        <f>IF(H277="","",IF(OR(H277&lt;1,H277&gt;NW),"",INDEX(WMON,H277)))</f>
        <v/>
      </c>
      <c r="J277">
        <f>IF(OR(G277="",H277="",B277=""),"",IF(B277="عمر المصري",SUMIFS('ساعات عمر'!$H$6:$H$588,'ساعات عمر'!$A$6:$A$588,"&gt;="&amp;(SAT1+7*(H277-1)),'ساعات عمر'!$A$6:$A$588,"&lt;="&amp;G277),SUMIFS('ساعات عبدالعزيز'!$F$6:$F$588,'ساعات عبدالعزيز'!$A$6:$A$588,"&gt;="&amp;(SAT1+7*(H277-1)),'ساعات عبدالعزيز'!$A$6:$A$588,"&lt;="&amp;G277)))</f>
        <v/>
      </c>
    </row>
    <row r="278">
      <c r="A278" s="48" t="n"/>
      <c r="B278" s="22" t="n"/>
      <c r="C278" s="49" t="n"/>
      <c r="D278" s="50" t="n"/>
      <c r="E278" s="51">
        <f>IF(G278="","",IF(OR(H278&lt;1,H278&gt;NW),"⛔ التاريخ برّا السنة",IF(AND(N(C278)&gt;0,N(J278)&gt;0,C278&gt;ADV_CAP*J278),"⚠️ أكثر من "&amp;TEXT(ADV_CAP,"0%")&amp;" من شغله ("&amp;TEXT(J278,"0.000")&amp;")","")))</f>
        <v/>
      </c>
      <c r="G278">
        <f>IF(A278="","",IF(ISNUMBER(A278),IF(A278&lt;=31,"",IF(A278&lt;=3112,IF(DATE(YR,MOD(A278,100),INT(A278/100))&gt;SAT1+7*NW-1,DATE(YR-1,MOD(A278,100),INT(A278/100)),DATE(YR,MOD(A278,100),INT(A278/100))),A278)),IFERROR(DATEVALUE(A278),"")))</f>
        <v/>
      </c>
      <c r="H278">
        <f>IF(G278="","",INT((G278-SAT1)/7)+1)</f>
        <v/>
      </c>
      <c r="I278">
        <f>IF(H278="","",IF(OR(H278&lt;1,H278&gt;NW),"",INDEX(WMON,H278)))</f>
        <v/>
      </c>
      <c r="J278">
        <f>IF(OR(G278="",H278="",B278=""),"",IF(B278="عمر المصري",SUMIFS('ساعات عمر'!$H$6:$H$588,'ساعات عمر'!$A$6:$A$588,"&gt;="&amp;(SAT1+7*(H278-1)),'ساعات عمر'!$A$6:$A$588,"&lt;="&amp;G278),SUMIFS('ساعات عبدالعزيز'!$F$6:$F$588,'ساعات عبدالعزيز'!$A$6:$A$588,"&gt;="&amp;(SAT1+7*(H278-1)),'ساعات عبدالعزيز'!$A$6:$A$588,"&lt;="&amp;G278)))</f>
        <v/>
      </c>
    </row>
    <row r="279">
      <c r="A279" s="48" t="n"/>
      <c r="B279" s="22" t="n"/>
      <c r="C279" s="49" t="n"/>
      <c r="D279" s="50" t="n"/>
      <c r="E279" s="51">
        <f>IF(G279="","",IF(OR(H279&lt;1,H279&gt;NW),"⛔ التاريخ برّا السنة",IF(AND(N(C279)&gt;0,N(J279)&gt;0,C279&gt;ADV_CAP*J279),"⚠️ أكثر من "&amp;TEXT(ADV_CAP,"0%")&amp;" من شغله ("&amp;TEXT(J279,"0.000")&amp;")","")))</f>
        <v/>
      </c>
      <c r="G279">
        <f>IF(A279="","",IF(ISNUMBER(A279),IF(A279&lt;=31,"",IF(A279&lt;=3112,IF(DATE(YR,MOD(A279,100),INT(A279/100))&gt;SAT1+7*NW-1,DATE(YR-1,MOD(A279,100),INT(A279/100)),DATE(YR,MOD(A279,100),INT(A279/100))),A279)),IFERROR(DATEVALUE(A279),"")))</f>
        <v/>
      </c>
      <c r="H279">
        <f>IF(G279="","",INT((G279-SAT1)/7)+1)</f>
        <v/>
      </c>
      <c r="I279">
        <f>IF(H279="","",IF(OR(H279&lt;1,H279&gt;NW),"",INDEX(WMON,H279)))</f>
        <v/>
      </c>
      <c r="J279">
        <f>IF(OR(G279="",H279="",B279=""),"",IF(B279="عمر المصري",SUMIFS('ساعات عمر'!$H$6:$H$588,'ساعات عمر'!$A$6:$A$588,"&gt;="&amp;(SAT1+7*(H279-1)),'ساعات عمر'!$A$6:$A$588,"&lt;="&amp;G279),SUMIFS('ساعات عبدالعزيز'!$F$6:$F$588,'ساعات عبدالعزيز'!$A$6:$A$588,"&gt;="&amp;(SAT1+7*(H279-1)),'ساعات عبدالعزيز'!$A$6:$A$588,"&lt;="&amp;G279)))</f>
        <v/>
      </c>
    </row>
    <row r="280">
      <c r="A280" s="48" t="n"/>
      <c r="B280" s="22" t="n"/>
      <c r="C280" s="49" t="n"/>
      <c r="D280" s="50" t="n"/>
      <c r="E280" s="51">
        <f>IF(G280="","",IF(OR(H280&lt;1,H280&gt;NW),"⛔ التاريخ برّا السنة",IF(AND(N(C280)&gt;0,N(J280)&gt;0,C280&gt;ADV_CAP*J280),"⚠️ أكثر من "&amp;TEXT(ADV_CAP,"0%")&amp;" من شغله ("&amp;TEXT(J280,"0.000")&amp;")","")))</f>
        <v/>
      </c>
      <c r="G280">
        <f>IF(A280="","",IF(ISNUMBER(A280),IF(A280&lt;=31,"",IF(A280&lt;=3112,IF(DATE(YR,MOD(A280,100),INT(A280/100))&gt;SAT1+7*NW-1,DATE(YR-1,MOD(A280,100),INT(A280/100)),DATE(YR,MOD(A280,100),INT(A280/100))),A280)),IFERROR(DATEVALUE(A280),"")))</f>
        <v/>
      </c>
      <c r="H280">
        <f>IF(G280="","",INT((G280-SAT1)/7)+1)</f>
        <v/>
      </c>
      <c r="I280">
        <f>IF(H280="","",IF(OR(H280&lt;1,H280&gt;NW),"",INDEX(WMON,H280)))</f>
        <v/>
      </c>
      <c r="J280">
        <f>IF(OR(G280="",H280="",B280=""),"",IF(B280="عمر المصري",SUMIFS('ساعات عمر'!$H$6:$H$588,'ساعات عمر'!$A$6:$A$588,"&gt;="&amp;(SAT1+7*(H280-1)),'ساعات عمر'!$A$6:$A$588,"&lt;="&amp;G280),SUMIFS('ساعات عبدالعزيز'!$F$6:$F$588,'ساعات عبدالعزيز'!$A$6:$A$588,"&gt;="&amp;(SAT1+7*(H280-1)),'ساعات عبدالعزيز'!$A$6:$A$588,"&lt;="&amp;G280)))</f>
        <v/>
      </c>
    </row>
    <row r="281">
      <c r="A281" s="48" t="n"/>
      <c r="B281" s="22" t="n"/>
      <c r="C281" s="49" t="n"/>
      <c r="D281" s="50" t="n"/>
      <c r="E281" s="51">
        <f>IF(G281="","",IF(OR(H281&lt;1,H281&gt;NW),"⛔ التاريخ برّا السنة",IF(AND(N(C281)&gt;0,N(J281)&gt;0,C281&gt;ADV_CAP*J281),"⚠️ أكثر من "&amp;TEXT(ADV_CAP,"0%")&amp;" من شغله ("&amp;TEXT(J281,"0.000")&amp;")","")))</f>
        <v/>
      </c>
      <c r="G281">
        <f>IF(A281="","",IF(ISNUMBER(A281),IF(A281&lt;=31,"",IF(A281&lt;=3112,IF(DATE(YR,MOD(A281,100),INT(A281/100))&gt;SAT1+7*NW-1,DATE(YR-1,MOD(A281,100),INT(A281/100)),DATE(YR,MOD(A281,100),INT(A281/100))),A281)),IFERROR(DATEVALUE(A281),"")))</f>
        <v/>
      </c>
      <c r="H281">
        <f>IF(G281="","",INT((G281-SAT1)/7)+1)</f>
        <v/>
      </c>
      <c r="I281">
        <f>IF(H281="","",IF(OR(H281&lt;1,H281&gt;NW),"",INDEX(WMON,H281)))</f>
        <v/>
      </c>
      <c r="J281">
        <f>IF(OR(G281="",H281="",B281=""),"",IF(B281="عمر المصري",SUMIFS('ساعات عمر'!$H$6:$H$588,'ساعات عمر'!$A$6:$A$588,"&gt;="&amp;(SAT1+7*(H281-1)),'ساعات عمر'!$A$6:$A$588,"&lt;="&amp;G281),SUMIFS('ساعات عبدالعزيز'!$F$6:$F$588,'ساعات عبدالعزيز'!$A$6:$A$588,"&gt;="&amp;(SAT1+7*(H281-1)),'ساعات عبدالعزيز'!$A$6:$A$588,"&lt;="&amp;G281)))</f>
        <v/>
      </c>
    </row>
    <row r="282">
      <c r="A282" s="48" t="n"/>
      <c r="B282" s="22" t="n"/>
      <c r="C282" s="49" t="n"/>
      <c r="D282" s="50" t="n"/>
      <c r="E282" s="51">
        <f>IF(G282="","",IF(OR(H282&lt;1,H282&gt;NW),"⛔ التاريخ برّا السنة",IF(AND(N(C282)&gt;0,N(J282)&gt;0,C282&gt;ADV_CAP*J282),"⚠️ أكثر من "&amp;TEXT(ADV_CAP,"0%")&amp;" من شغله ("&amp;TEXT(J282,"0.000")&amp;")","")))</f>
        <v/>
      </c>
      <c r="G282">
        <f>IF(A282="","",IF(ISNUMBER(A282),IF(A282&lt;=31,"",IF(A282&lt;=3112,IF(DATE(YR,MOD(A282,100),INT(A282/100))&gt;SAT1+7*NW-1,DATE(YR-1,MOD(A282,100),INT(A282/100)),DATE(YR,MOD(A282,100),INT(A282/100))),A282)),IFERROR(DATEVALUE(A282),"")))</f>
        <v/>
      </c>
      <c r="H282">
        <f>IF(G282="","",INT((G282-SAT1)/7)+1)</f>
        <v/>
      </c>
      <c r="I282">
        <f>IF(H282="","",IF(OR(H282&lt;1,H282&gt;NW),"",INDEX(WMON,H282)))</f>
        <v/>
      </c>
      <c r="J282">
        <f>IF(OR(G282="",H282="",B282=""),"",IF(B282="عمر المصري",SUMIFS('ساعات عمر'!$H$6:$H$588,'ساعات عمر'!$A$6:$A$588,"&gt;="&amp;(SAT1+7*(H282-1)),'ساعات عمر'!$A$6:$A$588,"&lt;="&amp;G282),SUMIFS('ساعات عبدالعزيز'!$F$6:$F$588,'ساعات عبدالعزيز'!$A$6:$A$588,"&gt;="&amp;(SAT1+7*(H282-1)),'ساعات عبدالعزيز'!$A$6:$A$588,"&lt;="&amp;G282)))</f>
        <v/>
      </c>
    </row>
    <row r="283">
      <c r="A283" s="48" t="n"/>
      <c r="B283" s="22" t="n"/>
      <c r="C283" s="49" t="n"/>
      <c r="D283" s="50" t="n"/>
      <c r="E283" s="51">
        <f>IF(G283="","",IF(OR(H283&lt;1,H283&gt;NW),"⛔ التاريخ برّا السنة",IF(AND(N(C283)&gt;0,N(J283)&gt;0,C283&gt;ADV_CAP*J283),"⚠️ أكثر من "&amp;TEXT(ADV_CAP,"0%")&amp;" من شغله ("&amp;TEXT(J283,"0.000")&amp;")","")))</f>
        <v/>
      </c>
      <c r="G283">
        <f>IF(A283="","",IF(ISNUMBER(A283),IF(A283&lt;=31,"",IF(A283&lt;=3112,IF(DATE(YR,MOD(A283,100),INT(A283/100))&gt;SAT1+7*NW-1,DATE(YR-1,MOD(A283,100),INT(A283/100)),DATE(YR,MOD(A283,100),INT(A283/100))),A283)),IFERROR(DATEVALUE(A283),"")))</f>
        <v/>
      </c>
      <c r="H283">
        <f>IF(G283="","",INT((G283-SAT1)/7)+1)</f>
        <v/>
      </c>
      <c r="I283">
        <f>IF(H283="","",IF(OR(H283&lt;1,H283&gt;NW),"",INDEX(WMON,H283)))</f>
        <v/>
      </c>
      <c r="J283">
        <f>IF(OR(G283="",H283="",B283=""),"",IF(B283="عمر المصري",SUMIFS('ساعات عمر'!$H$6:$H$588,'ساعات عمر'!$A$6:$A$588,"&gt;="&amp;(SAT1+7*(H283-1)),'ساعات عمر'!$A$6:$A$588,"&lt;="&amp;G283),SUMIFS('ساعات عبدالعزيز'!$F$6:$F$588,'ساعات عبدالعزيز'!$A$6:$A$588,"&gt;="&amp;(SAT1+7*(H283-1)),'ساعات عبدالعزيز'!$A$6:$A$588,"&lt;="&amp;G283)))</f>
        <v/>
      </c>
    </row>
    <row r="284">
      <c r="A284" s="48" t="n"/>
      <c r="B284" s="22" t="n"/>
      <c r="C284" s="49" t="n"/>
      <c r="D284" s="50" t="n"/>
      <c r="E284" s="51">
        <f>IF(G284="","",IF(OR(H284&lt;1,H284&gt;NW),"⛔ التاريخ برّا السنة",IF(AND(N(C284)&gt;0,N(J284)&gt;0,C284&gt;ADV_CAP*J284),"⚠️ أكثر من "&amp;TEXT(ADV_CAP,"0%")&amp;" من شغله ("&amp;TEXT(J284,"0.000")&amp;")","")))</f>
        <v/>
      </c>
      <c r="G284">
        <f>IF(A284="","",IF(ISNUMBER(A284),IF(A284&lt;=31,"",IF(A284&lt;=3112,IF(DATE(YR,MOD(A284,100),INT(A284/100))&gt;SAT1+7*NW-1,DATE(YR-1,MOD(A284,100),INT(A284/100)),DATE(YR,MOD(A284,100),INT(A284/100))),A284)),IFERROR(DATEVALUE(A284),"")))</f>
        <v/>
      </c>
      <c r="H284">
        <f>IF(G284="","",INT((G284-SAT1)/7)+1)</f>
        <v/>
      </c>
      <c r="I284">
        <f>IF(H284="","",IF(OR(H284&lt;1,H284&gt;NW),"",INDEX(WMON,H284)))</f>
        <v/>
      </c>
      <c r="J284">
        <f>IF(OR(G284="",H284="",B284=""),"",IF(B284="عمر المصري",SUMIFS('ساعات عمر'!$H$6:$H$588,'ساعات عمر'!$A$6:$A$588,"&gt;="&amp;(SAT1+7*(H284-1)),'ساعات عمر'!$A$6:$A$588,"&lt;="&amp;G284),SUMIFS('ساعات عبدالعزيز'!$F$6:$F$588,'ساعات عبدالعزيز'!$A$6:$A$588,"&gt;="&amp;(SAT1+7*(H284-1)),'ساعات عبدالعزيز'!$A$6:$A$588,"&lt;="&amp;G284)))</f>
        <v/>
      </c>
    </row>
    <row r="285">
      <c r="A285" s="48" t="n"/>
      <c r="B285" s="22" t="n"/>
      <c r="C285" s="49" t="n"/>
      <c r="D285" s="50" t="n"/>
      <c r="E285" s="51">
        <f>IF(G285="","",IF(OR(H285&lt;1,H285&gt;NW),"⛔ التاريخ برّا السنة",IF(AND(N(C285)&gt;0,N(J285)&gt;0,C285&gt;ADV_CAP*J285),"⚠️ أكثر من "&amp;TEXT(ADV_CAP,"0%")&amp;" من شغله ("&amp;TEXT(J285,"0.000")&amp;")","")))</f>
        <v/>
      </c>
      <c r="G285">
        <f>IF(A285="","",IF(ISNUMBER(A285),IF(A285&lt;=31,"",IF(A285&lt;=3112,IF(DATE(YR,MOD(A285,100),INT(A285/100))&gt;SAT1+7*NW-1,DATE(YR-1,MOD(A285,100),INT(A285/100)),DATE(YR,MOD(A285,100),INT(A285/100))),A285)),IFERROR(DATEVALUE(A285),"")))</f>
        <v/>
      </c>
      <c r="H285">
        <f>IF(G285="","",INT((G285-SAT1)/7)+1)</f>
        <v/>
      </c>
      <c r="I285">
        <f>IF(H285="","",IF(OR(H285&lt;1,H285&gt;NW),"",INDEX(WMON,H285)))</f>
        <v/>
      </c>
      <c r="J285">
        <f>IF(OR(G285="",H285="",B285=""),"",IF(B285="عمر المصري",SUMIFS('ساعات عمر'!$H$6:$H$588,'ساعات عمر'!$A$6:$A$588,"&gt;="&amp;(SAT1+7*(H285-1)),'ساعات عمر'!$A$6:$A$588,"&lt;="&amp;G285),SUMIFS('ساعات عبدالعزيز'!$F$6:$F$588,'ساعات عبدالعزيز'!$A$6:$A$588,"&gt;="&amp;(SAT1+7*(H285-1)),'ساعات عبدالعزيز'!$A$6:$A$588,"&lt;="&amp;G285)))</f>
        <v/>
      </c>
    </row>
    <row r="286">
      <c r="A286" s="48" t="n"/>
      <c r="B286" s="22" t="n"/>
      <c r="C286" s="49" t="n"/>
      <c r="D286" s="50" t="n"/>
      <c r="E286" s="51">
        <f>IF(G286="","",IF(OR(H286&lt;1,H286&gt;NW),"⛔ التاريخ برّا السنة",IF(AND(N(C286)&gt;0,N(J286)&gt;0,C286&gt;ADV_CAP*J286),"⚠️ أكثر من "&amp;TEXT(ADV_CAP,"0%")&amp;" من شغله ("&amp;TEXT(J286,"0.000")&amp;")","")))</f>
        <v/>
      </c>
      <c r="G286">
        <f>IF(A286="","",IF(ISNUMBER(A286),IF(A286&lt;=31,"",IF(A286&lt;=3112,IF(DATE(YR,MOD(A286,100),INT(A286/100))&gt;SAT1+7*NW-1,DATE(YR-1,MOD(A286,100),INT(A286/100)),DATE(YR,MOD(A286,100),INT(A286/100))),A286)),IFERROR(DATEVALUE(A286),"")))</f>
        <v/>
      </c>
      <c r="H286">
        <f>IF(G286="","",INT((G286-SAT1)/7)+1)</f>
        <v/>
      </c>
      <c r="I286">
        <f>IF(H286="","",IF(OR(H286&lt;1,H286&gt;NW),"",INDEX(WMON,H286)))</f>
        <v/>
      </c>
      <c r="J286">
        <f>IF(OR(G286="",H286="",B286=""),"",IF(B286="عمر المصري",SUMIFS('ساعات عمر'!$H$6:$H$588,'ساعات عمر'!$A$6:$A$588,"&gt;="&amp;(SAT1+7*(H286-1)),'ساعات عمر'!$A$6:$A$588,"&lt;="&amp;G286),SUMIFS('ساعات عبدالعزيز'!$F$6:$F$588,'ساعات عبدالعزيز'!$A$6:$A$588,"&gt;="&amp;(SAT1+7*(H286-1)),'ساعات عبدالعزيز'!$A$6:$A$588,"&lt;="&amp;G286)))</f>
        <v/>
      </c>
    </row>
    <row r="287">
      <c r="A287" s="48" t="n"/>
      <c r="B287" s="22" t="n"/>
      <c r="C287" s="49" t="n"/>
      <c r="D287" s="50" t="n"/>
      <c r="E287" s="51">
        <f>IF(G287="","",IF(OR(H287&lt;1,H287&gt;NW),"⛔ التاريخ برّا السنة",IF(AND(N(C287)&gt;0,N(J287)&gt;0,C287&gt;ADV_CAP*J287),"⚠️ أكثر من "&amp;TEXT(ADV_CAP,"0%")&amp;" من شغله ("&amp;TEXT(J287,"0.000")&amp;")","")))</f>
        <v/>
      </c>
      <c r="G287">
        <f>IF(A287="","",IF(ISNUMBER(A287),IF(A287&lt;=31,"",IF(A287&lt;=3112,IF(DATE(YR,MOD(A287,100),INT(A287/100))&gt;SAT1+7*NW-1,DATE(YR-1,MOD(A287,100),INT(A287/100)),DATE(YR,MOD(A287,100),INT(A287/100))),A287)),IFERROR(DATEVALUE(A287),"")))</f>
        <v/>
      </c>
      <c r="H287">
        <f>IF(G287="","",INT((G287-SAT1)/7)+1)</f>
        <v/>
      </c>
      <c r="I287">
        <f>IF(H287="","",IF(OR(H287&lt;1,H287&gt;NW),"",INDEX(WMON,H287)))</f>
        <v/>
      </c>
      <c r="J287">
        <f>IF(OR(G287="",H287="",B287=""),"",IF(B287="عمر المصري",SUMIFS('ساعات عمر'!$H$6:$H$588,'ساعات عمر'!$A$6:$A$588,"&gt;="&amp;(SAT1+7*(H287-1)),'ساعات عمر'!$A$6:$A$588,"&lt;="&amp;G287),SUMIFS('ساعات عبدالعزيز'!$F$6:$F$588,'ساعات عبدالعزيز'!$A$6:$A$588,"&gt;="&amp;(SAT1+7*(H287-1)),'ساعات عبدالعزيز'!$A$6:$A$588,"&lt;="&amp;G287)))</f>
        <v/>
      </c>
    </row>
    <row r="288">
      <c r="A288" s="48" t="n"/>
      <c r="B288" s="22" t="n"/>
      <c r="C288" s="49" t="n"/>
      <c r="D288" s="50" t="n"/>
      <c r="E288" s="51">
        <f>IF(G288="","",IF(OR(H288&lt;1,H288&gt;NW),"⛔ التاريخ برّا السنة",IF(AND(N(C288)&gt;0,N(J288)&gt;0,C288&gt;ADV_CAP*J288),"⚠️ أكثر من "&amp;TEXT(ADV_CAP,"0%")&amp;" من شغله ("&amp;TEXT(J288,"0.000")&amp;")","")))</f>
        <v/>
      </c>
      <c r="G288">
        <f>IF(A288="","",IF(ISNUMBER(A288),IF(A288&lt;=31,"",IF(A288&lt;=3112,IF(DATE(YR,MOD(A288,100),INT(A288/100))&gt;SAT1+7*NW-1,DATE(YR-1,MOD(A288,100),INT(A288/100)),DATE(YR,MOD(A288,100),INT(A288/100))),A288)),IFERROR(DATEVALUE(A288),"")))</f>
        <v/>
      </c>
      <c r="H288">
        <f>IF(G288="","",INT((G288-SAT1)/7)+1)</f>
        <v/>
      </c>
      <c r="I288">
        <f>IF(H288="","",IF(OR(H288&lt;1,H288&gt;NW),"",INDEX(WMON,H288)))</f>
        <v/>
      </c>
      <c r="J288">
        <f>IF(OR(G288="",H288="",B288=""),"",IF(B288="عمر المصري",SUMIFS('ساعات عمر'!$H$6:$H$588,'ساعات عمر'!$A$6:$A$588,"&gt;="&amp;(SAT1+7*(H288-1)),'ساعات عمر'!$A$6:$A$588,"&lt;="&amp;G288),SUMIFS('ساعات عبدالعزيز'!$F$6:$F$588,'ساعات عبدالعزيز'!$A$6:$A$588,"&gt;="&amp;(SAT1+7*(H288-1)),'ساعات عبدالعزيز'!$A$6:$A$588,"&lt;="&amp;G288)))</f>
        <v/>
      </c>
    </row>
    <row r="289">
      <c r="A289" s="48" t="n"/>
      <c r="B289" s="22" t="n"/>
      <c r="C289" s="49" t="n"/>
      <c r="D289" s="50" t="n"/>
      <c r="E289" s="51">
        <f>IF(G289="","",IF(OR(H289&lt;1,H289&gt;NW),"⛔ التاريخ برّا السنة",IF(AND(N(C289)&gt;0,N(J289)&gt;0,C289&gt;ADV_CAP*J289),"⚠️ أكثر من "&amp;TEXT(ADV_CAP,"0%")&amp;" من شغله ("&amp;TEXT(J289,"0.000")&amp;")","")))</f>
        <v/>
      </c>
      <c r="G289">
        <f>IF(A289="","",IF(ISNUMBER(A289),IF(A289&lt;=31,"",IF(A289&lt;=3112,IF(DATE(YR,MOD(A289,100),INT(A289/100))&gt;SAT1+7*NW-1,DATE(YR-1,MOD(A289,100),INT(A289/100)),DATE(YR,MOD(A289,100),INT(A289/100))),A289)),IFERROR(DATEVALUE(A289),"")))</f>
        <v/>
      </c>
      <c r="H289">
        <f>IF(G289="","",INT((G289-SAT1)/7)+1)</f>
        <v/>
      </c>
      <c r="I289">
        <f>IF(H289="","",IF(OR(H289&lt;1,H289&gt;NW),"",INDEX(WMON,H289)))</f>
        <v/>
      </c>
      <c r="J289">
        <f>IF(OR(G289="",H289="",B289=""),"",IF(B289="عمر المصري",SUMIFS('ساعات عمر'!$H$6:$H$588,'ساعات عمر'!$A$6:$A$588,"&gt;="&amp;(SAT1+7*(H289-1)),'ساعات عمر'!$A$6:$A$588,"&lt;="&amp;G289),SUMIFS('ساعات عبدالعزيز'!$F$6:$F$588,'ساعات عبدالعزيز'!$A$6:$A$588,"&gt;="&amp;(SAT1+7*(H289-1)),'ساعات عبدالعزيز'!$A$6:$A$588,"&lt;="&amp;G289)))</f>
        <v/>
      </c>
    </row>
    <row r="290">
      <c r="A290" s="48" t="n"/>
      <c r="B290" s="22" t="n"/>
      <c r="C290" s="49" t="n"/>
      <c r="D290" s="50" t="n"/>
      <c r="E290" s="51">
        <f>IF(G290="","",IF(OR(H290&lt;1,H290&gt;NW),"⛔ التاريخ برّا السنة",IF(AND(N(C290)&gt;0,N(J290)&gt;0,C290&gt;ADV_CAP*J290),"⚠️ أكثر من "&amp;TEXT(ADV_CAP,"0%")&amp;" من شغله ("&amp;TEXT(J290,"0.000")&amp;")","")))</f>
        <v/>
      </c>
      <c r="G290">
        <f>IF(A290="","",IF(ISNUMBER(A290),IF(A290&lt;=31,"",IF(A290&lt;=3112,IF(DATE(YR,MOD(A290,100),INT(A290/100))&gt;SAT1+7*NW-1,DATE(YR-1,MOD(A290,100),INT(A290/100)),DATE(YR,MOD(A290,100),INT(A290/100))),A290)),IFERROR(DATEVALUE(A290),"")))</f>
        <v/>
      </c>
      <c r="H290">
        <f>IF(G290="","",INT((G290-SAT1)/7)+1)</f>
        <v/>
      </c>
      <c r="I290">
        <f>IF(H290="","",IF(OR(H290&lt;1,H290&gt;NW),"",INDEX(WMON,H290)))</f>
        <v/>
      </c>
      <c r="J290">
        <f>IF(OR(G290="",H290="",B290=""),"",IF(B290="عمر المصري",SUMIFS('ساعات عمر'!$H$6:$H$588,'ساعات عمر'!$A$6:$A$588,"&gt;="&amp;(SAT1+7*(H290-1)),'ساعات عمر'!$A$6:$A$588,"&lt;="&amp;G290),SUMIFS('ساعات عبدالعزيز'!$F$6:$F$588,'ساعات عبدالعزيز'!$A$6:$A$588,"&gt;="&amp;(SAT1+7*(H290-1)),'ساعات عبدالعزيز'!$A$6:$A$588,"&lt;="&amp;G290)))</f>
        <v/>
      </c>
    </row>
    <row r="291">
      <c r="A291" s="48" t="n"/>
      <c r="B291" s="22" t="n"/>
      <c r="C291" s="49" t="n"/>
      <c r="D291" s="50" t="n"/>
      <c r="E291" s="51">
        <f>IF(G291="","",IF(OR(H291&lt;1,H291&gt;NW),"⛔ التاريخ برّا السنة",IF(AND(N(C291)&gt;0,N(J291)&gt;0,C291&gt;ADV_CAP*J291),"⚠️ أكثر من "&amp;TEXT(ADV_CAP,"0%")&amp;" من شغله ("&amp;TEXT(J291,"0.000")&amp;")","")))</f>
        <v/>
      </c>
      <c r="G291">
        <f>IF(A291="","",IF(ISNUMBER(A291),IF(A291&lt;=31,"",IF(A291&lt;=3112,IF(DATE(YR,MOD(A291,100),INT(A291/100))&gt;SAT1+7*NW-1,DATE(YR-1,MOD(A291,100),INT(A291/100)),DATE(YR,MOD(A291,100),INT(A291/100))),A291)),IFERROR(DATEVALUE(A291),"")))</f>
        <v/>
      </c>
      <c r="H291">
        <f>IF(G291="","",INT((G291-SAT1)/7)+1)</f>
        <v/>
      </c>
      <c r="I291">
        <f>IF(H291="","",IF(OR(H291&lt;1,H291&gt;NW),"",INDEX(WMON,H291)))</f>
        <v/>
      </c>
      <c r="J291">
        <f>IF(OR(G291="",H291="",B291=""),"",IF(B291="عمر المصري",SUMIFS('ساعات عمر'!$H$6:$H$588,'ساعات عمر'!$A$6:$A$588,"&gt;="&amp;(SAT1+7*(H291-1)),'ساعات عمر'!$A$6:$A$588,"&lt;="&amp;G291),SUMIFS('ساعات عبدالعزيز'!$F$6:$F$588,'ساعات عبدالعزيز'!$A$6:$A$588,"&gt;="&amp;(SAT1+7*(H291-1)),'ساعات عبدالعزيز'!$A$6:$A$588,"&lt;="&amp;G291)))</f>
        <v/>
      </c>
    </row>
    <row r="292">
      <c r="A292" s="48" t="n"/>
      <c r="B292" s="22" t="n"/>
      <c r="C292" s="49" t="n"/>
      <c r="D292" s="50" t="n"/>
      <c r="E292" s="51">
        <f>IF(G292="","",IF(OR(H292&lt;1,H292&gt;NW),"⛔ التاريخ برّا السنة",IF(AND(N(C292)&gt;0,N(J292)&gt;0,C292&gt;ADV_CAP*J292),"⚠️ أكثر من "&amp;TEXT(ADV_CAP,"0%")&amp;" من شغله ("&amp;TEXT(J292,"0.000")&amp;")","")))</f>
        <v/>
      </c>
      <c r="G292">
        <f>IF(A292="","",IF(ISNUMBER(A292),IF(A292&lt;=31,"",IF(A292&lt;=3112,IF(DATE(YR,MOD(A292,100),INT(A292/100))&gt;SAT1+7*NW-1,DATE(YR-1,MOD(A292,100),INT(A292/100)),DATE(YR,MOD(A292,100),INT(A292/100))),A292)),IFERROR(DATEVALUE(A292),"")))</f>
        <v/>
      </c>
      <c r="H292">
        <f>IF(G292="","",INT((G292-SAT1)/7)+1)</f>
        <v/>
      </c>
      <c r="I292">
        <f>IF(H292="","",IF(OR(H292&lt;1,H292&gt;NW),"",INDEX(WMON,H292)))</f>
        <v/>
      </c>
      <c r="J292">
        <f>IF(OR(G292="",H292="",B292=""),"",IF(B292="عمر المصري",SUMIFS('ساعات عمر'!$H$6:$H$588,'ساعات عمر'!$A$6:$A$588,"&gt;="&amp;(SAT1+7*(H292-1)),'ساعات عمر'!$A$6:$A$588,"&lt;="&amp;G292),SUMIFS('ساعات عبدالعزيز'!$F$6:$F$588,'ساعات عبدالعزيز'!$A$6:$A$588,"&gt;="&amp;(SAT1+7*(H292-1)),'ساعات عبدالعزيز'!$A$6:$A$588,"&lt;="&amp;G292)))</f>
        <v/>
      </c>
    </row>
    <row r="293">
      <c r="A293" s="48" t="n"/>
      <c r="B293" s="22" t="n"/>
      <c r="C293" s="49" t="n"/>
      <c r="D293" s="50" t="n"/>
      <c r="E293" s="51">
        <f>IF(G293="","",IF(OR(H293&lt;1,H293&gt;NW),"⛔ التاريخ برّا السنة",IF(AND(N(C293)&gt;0,N(J293)&gt;0,C293&gt;ADV_CAP*J293),"⚠️ أكثر من "&amp;TEXT(ADV_CAP,"0%")&amp;" من شغله ("&amp;TEXT(J293,"0.000")&amp;")","")))</f>
        <v/>
      </c>
      <c r="G293">
        <f>IF(A293="","",IF(ISNUMBER(A293),IF(A293&lt;=31,"",IF(A293&lt;=3112,IF(DATE(YR,MOD(A293,100),INT(A293/100))&gt;SAT1+7*NW-1,DATE(YR-1,MOD(A293,100),INT(A293/100)),DATE(YR,MOD(A293,100),INT(A293/100))),A293)),IFERROR(DATEVALUE(A293),"")))</f>
        <v/>
      </c>
      <c r="H293">
        <f>IF(G293="","",INT((G293-SAT1)/7)+1)</f>
        <v/>
      </c>
      <c r="I293">
        <f>IF(H293="","",IF(OR(H293&lt;1,H293&gt;NW),"",INDEX(WMON,H293)))</f>
        <v/>
      </c>
      <c r="J293">
        <f>IF(OR(G293="",H293="",B293=""),"",IF(B293="عمر المصري",SUMIFS('ساعات عمر'!$H$6:$H$588,'ساعات عمر'!$A$6:$A$588,"&gt;="&amp;(SAT1+7*(H293-1)),'ساعات عمر'!$A$6:$A$588,"&lt;="&amp;G293),SUMIFS('ساعات عبدالعزيز'!$F$6:$F$588,'ساعات عبدالعزيز'!$A$6:$A$588,"&gt;="&amp;(SAT1+7*(H293-1)),'ساعات عبدالعزيز'!$A$6:$A$588,"&lt;="&amp;G293)))</f>
        <v/>
      </c>
    </row>
    <row r="294">
      <c r="A294" s="48" t="n"/>
      <c r="B294" s="22" t="n"/>
      <c r="C294" s="49" t="n"/>
      <c r="D294" s="50" t="n"/>
      <c r="E294" s="51">
        <f>IF(G294="","",IF(OR(H294&lt;1,H294&gt;NW),"⛔ التاريخ برّا السنة",IF(AND(N(C294)&gt;0,N(J294)&gt;0,C294&gt;ADV_CAP*J294),"⚠️ أكثر من "&amp;TEXT(ADV_CAP,"0%")&amp;" من شغله ("&amp;TEXT(J294,"0.000")&amp;")","")))</f>
        <v/>
      </c>
      <c r="G294">
        <f>IF(A294="","",IF(ISNUMBER(A294),IF(A294&lt;=31,"",IF(A294&lt;=3112,IF(DATE(YR,MOD(A294,100),INT(A294/100))&gt;SAT1+7*NW-1,DATE(YR-1,MOD(A294,100),INT(A294/100)),DATE(YR,MOD(A294,100),INT(A294/100))),A294)),IFERROR(DATEVALUE(A294),"")))</f>
        <v/>
      </c>
      <c r="H294">
        <f>IF(G294="","",INT((G294-SAT1)/7)+1)</f>
        <v/>
      </c>
      <c r="I294">
        <f>IF(H294="","",IF(OR(H294&lt;1,H294&gt;NW),"",INDEX(WMON,H294)))</f>
        <v/>
      </c>
      <c r="J294">
        <f>IF(OR(G294="",H294="",B294=""),"",IF(B294="عمر المصري",SUMIFS('ساعات عمر'!$H$6:$H$588,'ساعات عمر'!$A$6:$A$588,"&gt;="&amp;(SAT1+7*(H294-1)),'ساعات عمر'!$A$6:$A$588,"&lt;="&amp;G294),SUMIFS('ساعات عبدالعزيز'!$F$6:$F$588,'ساعات عبدالعزيز'!$A$6:$A$588,"&gt;="&amp;(SAT1+7*(H294-1)),'ساعات عبدالعزيز'!$A$6:$A$588,"&lt;="&amp;G294)))</f>
        <v/>
      </c>
    </row>
    <row r="295">
      <c r="A295" s="48" t="n"/>
      <c r="B295" s="22" t="n"/>
      <c r="C295" s="49" t="n"/>
      <c r="D295" s="50" t="n"/>
      <c r="E295" s="51">
        <f>IF(G295="","",IF(OR(H295&lt;1,H295&gt;NW),"⛔ التاريخ برّا السنة",IF(AND(N(C295)&gt;0,N(J295)&gt;0,C295&gt;ADV_CAP*J295),"⚠️ أكثر من "&amp;TEXT(ADV_CAP,"0%")&amp;" من شغله ("&amp;TEXT(J295,"0.000")&amp;")","")))</f>
        <v/>
      </c>
      <c r="G295">
        <f>IF(A295="","",IF(ISNUMBER(A295),IF(A295&lt;=31,"",IF(A295&lt;=3112,IF(DATE(YR,MOD(A295,100),INT(A295/100))&gt;SAT1+7*NW-1,DATE(YR-1,MOD(A295,100),INT(A295/100)),DATE(YR,MOD(A295,100),INT(A295/100))),A295)),IFERROR(DATEVALUE(A295),"")))</f>
        <v/>
      </c>
      <c r="H295">
        <f>IF(G295="","",INT((G295-SAT1)/7)+1)</f>
        <v/>
      </c>
      <c r="I295">
        <f>IF(H295="","",IF(OR(H295&lt;1,H295&gt;NW),"",INDEX(WMON,H295)))</f>
        <v/>
      </c>
      <c r="J295">
        <f>IF(OR(G295="",H295="",B295=""),"",IF(B295="عمر المصري",SUMIFS('ساعات عمر'!$H$6:$H$588,'ساعات عمر'!$A$6:$A$588,"&gt;="&amp;(SAT1+7*(H295-1)),'ساعات عمر'!$A$6:$A$588,"&lt;="&amp;G295),SUMIFS('ساعات عبدالعزيز'!$F$6:$F$588,'ساعات عبدالعزيز'!$A$6:$A$588,"&gt;="&amp;(SAT1+7*(H295-1)),'ساعات عبدالعزيز'!$A$6:$A$588,"&lt;="&amp;G295)))</f>
        <v/>
      </c>
    </row>
    <row r="296">
      <c r="A296" s="48" t="n"/>
      <c r="B296" s="22" t="n"/>
      <c r="C296" s="49" t="n"/>
      <c r="D296" s="50" t="n"/>
      <c r="E296" s="51">
        <f>IF(G296="","",IF(OR(H296&lt;1,H296&gt;NW),"⛔ التاريخ برّا السنة",IF(AND(N(C296)&gt;0,N(J296)&gt;0,C296&gt;ADV_CAP*J296),"⚠️ أكثر من "&amp;TEXT(ADV_CAP,"0%")&amp;" من شغله ("&amp;TEXT(J296,"0.000")&amp;")","")))</f>
        <v/>
      </c>
      <c r="G296">
        <f>IF(A296="","",IF(ISNUMBER(A296),IF(A296&lt;=31,"",IF(A296&lt;=3112,IF(DATE(YR,MOD(A296,100),INT(A296/100))&gt;SAT1+7*NW-1,DATE(YR-1,MOD(A296,100),INT(A296/100)),DATE(YR,MOD(A296,100),INT(A296/100))),A296)),IFERROR(DATEVALUE(A296),"")))</f>
        <v/>
      </c>
      <c r="H296">
        <f>IF(G296="","",INT((G296-SAT1)/7)+1)</f>
        <v/>
      </c>
      <c r="I296">
        <f>IF(H296="","",IF(OR(H296&lt;1,H296&gt;NW),"",INDEX(WMON,H296)))</f>
        <v/>
      </c>
      <c r="J296">
        <f>IF(OR(G296="",H296="",B296=""),"",IF(B296="عمر المصري",SUMIFS('ساعات عمر'!$H$6:$H$588,'ساعات عمر'!$A$6:$A$588,"&gt;="&amp;(SAT1+7*(H296-1)),'ساعات عمر'!$A$6:$A$588,"&lt;="&amp;G296),SUMIFS('ساعات عبدالعزيز'!$F$6:$F$588,'ساعات عبدالعزيز'!$A$6:$A$588,"&gt;="&amp;(SAT1+7*(H296-1)),'ساعات عبدالعزيز'!$A$6:$A$588,"&lt;="&amp;G296)))</f>
        <v/>
      </c>
    </row>
    <row r="297">
      <c r="A297" s="48" t="n"/>
      <c r="B297" s="22" t="n"/>
      <c r="C297" s="49" t="n"/>
      <c r="D297" s="50" t="n"/>
      <c r="E297" s="51">
        <f>IF(G297="","",IF(OR(H297&lt;1,H297&gt;NW),"⛔ التاريخ برّا السنة",IF(AND(N(C297)&gt;0,N(J297)&gt;0,C297&gt;ADV_CAP*J297),"⚠️ أكثر من "&amp;TEXT(ADV_CAP,"0%")&amp;" من شغله ("&amp;TEXT(J297,"0.000")&amp;")","")))</f>
        <v/>
      </c>
      <c r="G297">
        <f>IF(A297="","",IF(ISNUMBER(A297),IF(A297&lt;=31,"",IF(A297&lt;=3112,IF(DATE(YR,MOD(A297,100),INT(A297/100))&gt;SAT1+7*NW-1,DATE(YR-1,MOD(A297,100),INT(A297/100)),DATE(YR,MOD(A297,100),INT(A297/100))),A297)),IFERROR(DATEVALUE(A297),"")))</f>
        <v/>
      </c>
      <c r="H297">
        <f>IF(G297="","",INT((G297-SAT1)/7)+1)</f>
        <v/>
      </c>
      <c r="I297">
        <f>IF(H297="","",IF(OR(H297&lt;1,H297&gt;NW),"",INDEX(WMON,H297)))</f>
        <v/>
      </c>
      <c r="J297">
        <f>IF(OR(G297="",H297="",B297=""),"",IF(B297="عمر المصري",SUMIFS('ساعات عمر'!$H$6:$H$588,'ساعات عمر'!$A$6:$A$588,"&gt;="&amp;(SAT1+7*(H297-1)),'ساعات عمر'!$A$6:$A$588,"&lt;="&amp;G297),SUMIFS('ساعات عبدالعزيز'!$F$6:$F$588,'ساعات عبدالعزيز'!$A$6:$A$588,"&gt;="&amp;(SAT1+7*(H297-1)),'ساعات عبدالعزيز'!$A$6:$A$588,"&lt;="&amp;G297)))</f>
        <v/>
      </c>
    </row>
    <row r="298">
      <c r="A298" s="48" t="n"/>
      <c r="B298" s="22" t="n"/>
      <c r="C298" s="49" t="n"/>
      <c r="D298" s="50" t="n"/>
      <c r="E298" s="51">
        <f>IF(G298="","",IF(OR(H298&lt;1,H298&gt;NW),"⛔ التاريخ برّا السنة",IF(AND(N(C298)&gt;0,N(J298)&gt;0,C298&gt;ADV_CAP*J298),"⚠️ أكثر من "&amp;TEXT(ADV_CAP,"0%")&amp;" من شغله ("&amp;TEXT(J298,"0.000")&amp;")","")))</f>
        <v/>
      </c>
      <c r="G298">
        <f>IF(A298="","",IF(ISNUMBER(A298),IF(A298&lt;=31,"",IF(A298&lt;=3112,IF(DATE(YR,MOD(A298,100),INT(A298/100))&gt;SAT1+7*NW-1,DATE(YR-1,MOD(A298,100),INT(A298/100)),DATE(YR,MOD(A298,100),INT(A298/100))),A298)),IFERROR(DATEVALUE(A298),"")))</f>
        <v/>
      </c>
      <c r="H298">
        <f>IF(G298="","",INT((G298-SAT1)/7)+1)</f>
        <v/>
      </c>
      <c r="I298">
        <f>IF(H298="","",IF(OR(H298&lt;1,H298&gt;NW),"",INDEX(WMON,H298)))</f>
        <v/>
      </c>
      <c r="J298">
        <f>IF(OR(G298="",H298="",B298=""),"",IF(B298="عمر المصري",SUMIFS('ساعات عمر'!$H$6:$H$588,'ساعات عمر'!$A$6:$A$588,"&gt;="&amp;(SAT1+7*(H298-1)),'ساعات عمر'!$A$6:$A$588,"&lt;="&amp;G298),SUMIFS('ساعات عبدالعزيز'!$F$6:$F$588,'ساعات عبدالعزيز'!$A$6:$A$588,"&gt;="&amp;(SAT1+7*(H298-1)),'ساعات عبدالعزيز'!$A$6:$A$588,"&lt;="&amp;G298)))</f>
        <v/>
      </c>
    </row>
    <row r="299">
      <c r="A299" s="48" t="n"/>
      <c r="B299" s="22" t="n"/>
      <c r="C299" s="49" t="n"/>
      <c r="D299" s="50" t="n"/>
      <c r="E299" s="51">
        <f>IF(G299="","",IF(OR(H299&lt;1,H299&gt;NW),"⛔ التاريخ برّا السنة",IF(AND(N(C299)&gt;0,N(J299)&gt;0,C299&gt;ADV_CAP*J299),"⚠️ أكثر من "&amp;TEXT(ADV_CAP,"0%")&amp;" من شغله ("&amp;TEXT(J299,"0.000")&amp;")","")))</f>
        <v/>
      </c>
      <c r="G299">
        <f>IF(A299="","",IF(ISNUMBER(A299),IF(A299&lt;=31,"",IF(A299&lt;=3112,IF(DATE(YR,MOD(A299,100),INT(A299/100))&gt;SAT1+7*NW-1,DATE(YR-1,MOD(A299,100),INT(A299/100)),DATE(YR,MOD(A299,100),INT(A299/100))),A299)),IFERROR(DATEVALUE(A299),"")))</f>
        <v/>
      </c>
      <c r="H299">
        <f>IF(G299="","",INT((G299-SAT1)/7)+1)</f>
        <v/>
      </c>
      <c r="I299">
        <f>IF(H299="","",IF(OR(H299&lt;1,H299&gt;NW),"",INDEX(WMON,H299)))</f>
        <v/>
      </c>
      <c r="J299">
        <f>IF(OR(G299="",H299="",B299=""),"",IF(B299="عمر المصري",SUMIFS('ساعات عمر'!$H$6:$H$588,'ساعات عمر'!$A$6:$A$588,"&gt;="&amp;(SAT1+7*(H299-1)),'ساعات عمر'!$A$6:$A$588,"&lt;="&amp;G299),SUMIFS('ساعات عبدالعزيز'!$F$6:$F$588,'ساعات عبدالعزيز'!$A$6:$A$588,"&gt;="&amp;(SAT1+7*(H299-1)),'ساعات عبدالعزيز'!$A$6:$A$588,"&lt;="&amp;G299)))</f>
        <v/>
      </c>
    </row>
    <row r="300">
      <c r="A300" s="48" t="n"/>
      <c r="B300" s="22" t="n"/>
      <c r="C300" s="49" t="n"/>
      <c r="D300" s="50" t="n"/>
      <c r="E300" s="51">
        <f>IF(G300="","",IF(OR(H300&lt;1,H300&gt;NW),"⛔ التاريخ برّا السنة",IF(AND(N(C300)&gt;0,N(J300)&gt;0,C300&gt;ADV_CAP*J300),"⚠️ أكثر من "&amp;TEXT(ADV_CAP,"0%")&amp;" من شغله ("&amp;TEXT(J300,"0.000")&amp;")","")))</f>
        <v/>
      </c>
      <c r="G300">
        <f>IF(A300="","",IF(ISNUMBER(A300),IF(A300&lt;=31,"",IF(A300&lt;=3112,IF(DATE(YR,MOD(A300,100),INT(A300/100))&gt;SAT1+7*NW-1,DATE(YR-1,MOD(A300,100),INT(A300/100)),DATE(YR,MOD(A300,100),INT(A300/100))),A300)),IFERROR(DATEVALUE(A300),"")))</f>
        <v/>
      </c>
      <c r="H300">
        <f>IF(G300="","",INT((G300-SAT1)/7)+1)</f>
        <v/>
      </c>
      <c r="I300">
        <f>IF(H300="","",IF(OR(H300&lt;1,H300&gt;NW),"",INDEX(WMON,H300)))</f>
        <v/>
      </c>
      <c r="J300">
        <f>IF(OR(G300="",H300="",B300=""),"",IF(B300="عمر المصري",SUMIFS('ساعات عمر'!$H$6:$H$588,'ساعات عمر'!$A$6:$A$588,"&gt;="&amp;(SAT1+7*(H300-1)),'ساعات عمر'!$A$6:$A$588,"&lt;="&amp;G300),SUMIFS('ساعات عبدالعزيز'!$F$6:$F$588,'ساعات عبدالعزيز'!$A$6:$A$588,"&gt;="&amp;(SAT1+7*(H300-1)),'ساعات عبدالعزيز'!$A$6:$A$588,"&lt;="&amp;G300)))</f>
        <v/>
      </c>
    </row>
    <row r="301">
      <c r="A301" s="48" t="n"/>
      <c r="B301" s="22" t="n"/>
      <c r="C301" s="49" t="n"/>
      <c r="D301" s="50" t="n"/>
      <c r="E301" s="51">
        <f>IF(G301="","",IF(OR(H301&lt;1,H301&gt;NW),"⛔ التاريخ برّا السنة",IF(AND(N(C301)&gt;0,N(J301)&gt;0,C301&gt;ADV_CAP*J301),"⚠️ أكثر من "&amp;TEXT(ADV_CAP,"0%")&amp;" من شغله ("&amp;TEXT(J301,"0.000")&amp;")","")))</f>
        <v/>
      </c>
      <c r="G301">
        <f>IF(A301="","",IF(ISNUMBER(A301),IF(A301&lt;=31,"",IF(A301&lt;=3112,IF(DATE(YR,MOD(A301,100),INT(A301/100))&gt;SAT1+7*NW-1,DATE(YR-1,MOD(A301,100),INT(A301/100)),DATE(YR,MOD(A301,100),INT(A301/100))),A301)),IFERROR(DATEVALUE(A301),"")))</f>
        <v/>
      </c>
      <c r="H301">
        <f>IF(G301="","",INT((G301-SAT1)/7)+1)</f>
        <v/>
      </c>
      <c r="I301">
        <f>IF(H301="","",IF(OR(H301&lt;1,H301&gt;NW),"",INDEX(WMON,H301)))</f>
        <v/>
      </c>
      <c r="J301">
        <f>IF(OR(G301="",H301="",B301=""),"",IF(B301="عمر المصري",SUMIFS('ساعات عمر'!$H$6:$H$588,'ساعات عمر'!$A$6:$A$588,"&gt;="&amp;(SAT1+7*(H301-1)),'ساعات عمر'!$A$6:$A$588,"&lt;="&amp;G301),SUMIFS('ساعات عبدالعزيز'!$F$6:$F$588,'ساعات عبدالعزيز'!$A$6:$A$588,"&gt;="&amp;(SAT1+7*(H301-1)),'ساعات عبدالعزيز'!$A$6:$A$588,"&lt;="&amp;G301)))</f>
        <v/>
      </c>
    </row>
    <row r="302">
      <c r="A302" s="48" t="n"/>
      <c r="B302" s="22" t="n"/>
      <c r="C302" s="49" t="n"/>
      <c r="D302" s="50" t="n"/>
      <c r="E302" s="51">
        <f>IF(G302="","",IF(OR(H302&lt;1,H302&gt;NW),"⛔ التاريخ برّا السنة",IF(AND(N(C302)&gt;0,N(J302)&gt;0,C302&gt;ADV_CAP*J302),"⚠️ أكثر من "&amp;TEXT(ADV_CAP,"0%")&amp;" من شغله ("&amp;TEXT(J302,"0.000")&amp;")","")))</f>
        <v/>
      </c>
      <c r="G302">
        <f>IF(A302="","",IF(ISNUMBER(A302),IF(A302&lt;=31,"",IF(A302&lt;=3112,IF(DATE(YR,MOD(A302,100),INT(A302/100))&gt;SAT1+7*NW-1,DATE(YR-1,MOD(A302,100),INT(A302/100)),DATE(YR,MOD(A302,100),INT(A302/100))),A302)),IFERROR(DATEVALUE(A302),"")))</f>
        <v/>
      </c>
      <c r="H302">
        <f>IF(G302="","",INT((G302-SAT1)/7)+1)</f>
        <v/>
      </c>
      <c r="I302">
        <f>IF(H302="","",IF(OR(H302&lt;1,H302&gt;NW),"",INDEX(WMON,H302)))</f>
        <v/>
      </c>
      <c r="J302">
        <f>IF(OR(G302="",H302="",B302=""),"",IF(B302="عمر المصري",SUMIFS('ساعات عمر'!$H$6:$H$588,'ساعات عمر'!$A$6:$A$588,"&gt;="&amp;(SAT1+7*(H302-1)),'ساعات عمر'!$A$6:$A$588,"&lt;="&amp;G302),SUMIFS('ساعات عبدالعزيز'!$F$6:$F$588,'ساعات عبدالعزيز'!$A$6:$A$588,"&gt;="&amp;(SAT1+7*(H302-1)),'ساعات عبدالعزيز'!$A$6:$A$588,"&lt;="&amp;G302)))</f>
        <v/>
      </c>
    </row>
    <row r="303">
      <c r="A303" s="48" t="n"/>
      <c r="B303" s="22" t="n"/>
      <c r="C303" s="49" t="n"/>
      <c r="D303" s="50" t="n"/>
      <c r="E303" s="51">
        <f>IF(G303="","",IF(OR(H303&lt;1,H303&gt;NW),"⛔ التاريخ برّا السنة",IF(AND(N(C303)&gt;0,N(J303)&gt;0,C303&gt;ADV_CAP*J303),"⚠️ أكثر من "&amp;TEXT(ADV_CAP,"0%")&amp;" من شغله ("&amp;TEXT(J303,"0.000")&amp;")","")))</f>
        <v/>
      </c>
      <c r="G303">
        <f>IF(A303="","",IF(ISNUMBER(A303),IF(A303&lt;=31,"",IF(A303&lt;=3112,IF(DATE(YR,MOD(A303,100),INT(A303/100))&gt;SAT1+7*NW-1,DATE(YR-1,MOD(A303,100),INT(A303/100)),DATE(YR,MOD(A303,100),INT(A303/100))),A303)),IFERROR(DATEVALUE(A303),"")))</f>
        <v/>
      </c>
      <c r="H303">
        <f>IF(G303="","",INT((G303-SAT1)/7)+1)</f>
        <v/>
      </c>
      <c r="I303">
        <f>IF(H303="","",IF(OR(H303&lt;1,H303&gt;NW),"",INDEX(WMON,H303)))</f>
        <v/>
      </c>
      <c r="J303">
        <f>IF(OR(G303="",H303="",B303=""),"",IF(B303="عمر المصري",SUMIFS('ساعات عمر'!$H$6:$H$588,'ساعات عمر'!$A$6:$A$588,"&gt;="&amp;(SAT1+7*(H303-1)),'ساعات عمر'!$A$6:$A$588,"&lt;="&amp;G303),SUMIFS('ساعات عبدالعزيز'!$F$6:$F$588,'ساعات عبدالعزيز'!$A$6:$A$588,"&gt;="&amp;(SAT1+7*(H303-1)),'ساعات عبدالعزيز'!$A$6:$A$588,"&lt;="&amp;G303)))</f>
        <v/>
      </c>
    </row>
    <row r="304">
      <c r="A304" s="48" t="n"/>
      <c r="B304" s="22" t="n"/>
      <c r="C304" s="49" t="n"/>
      <c r="D304" s="50" t="n"/>
      <c r="E304" s="51">
        <f>IF(G304="","",IF(OR(H304&lt;1,H304&gt;NW),"⛔ التاريخ برّا السنة",IF(AND(N(C304)&gt;0,N(J304)&gt;0,C304&gt;ADV_CAP*J304),"⚠️ أكثر من "&amp;TEXT(ADV_CAP,"0%")&amp;" من شغله ("&amp;TEXT(J304,"0.000")&amp;")","")))</f>
        <v/>
      </c>
      <c r="G304">
        <f>IF(A304="","",IF(ISNUMBER(A304),IF(A304&lt;=31,"",IF(A304&lt;=3112,IF(DATE(YR,MOD(A304,100),INT(A304/100))&gt;SAT1+7*NW-1,DATE(YR-1,MOD(A304,100),INT(A304/100)),DATE(YR,MOD(A304,100),INT(A304/100))),A304)),IFERROR(DATEVALUE(A304),"")))</f>
        <v/>
      </c>
      <c r="H304">
        <f>IF(G304="","",INT((G304-SAT1)/7)+1)</f>
        <v/>
      </c>
      <c r="I304">
        <f>IF(H304="","",IF(OR(H304&lt;1,H304&gt;NW),"",INDEX(WMON,H304)))</f>
        <v/>
      </c>
      <c r="J304">
        <f>IF(OR(G304="",H304="",B304=""),"",IF(B304="عمر المصري",SUMIFS('ساعات عمر'!$H$6:$H$588,'ساعات عمر'!$A$6:$A$588,"&gt;="&amp;(SAT1+7*(H304-1)),'ساعات عمر'!$A$6:$A$588,"&lt;="&amp;G304),SUMIFS('ساعات عبدالعزيز'!$F$6:$F$588,'ساعات عبدالعزيز'!$A$6:$A$588,"&gt;="&amp;(SAT1+7*(H304-1)),'ساعات عبدالعزيز'!$A$6:$A$588,"&lt;="&amp;G304)))</f>
        <v/>
      </c>
    </row>
    <row r="305">
      <c r="A305" s="48" t="n"/>
      <c r="B305" s="22" t="n"/>
      <c r="C305" s="49" t="n"/>
      <c r="D305" s="50" t="n"/>
      <c r="E305" s="51">
        <f>IF(G305="","",IF(OR(H305&lt;1,H305&gt;NW),"⛔ التاريخ برّا السنة",IF(AND(N(C305)&gt;0,N(J305)&gt;0,C305&gt;ADV_CAP*J305),"⚠️ أكثر من "&amp;TEXT(ADV_CAP,"0%")&amp;" من شغله ("&amp;TEXT(J305,"0.000")&amp;")","")))</f>
        <v/>
      </c>
      <c r="G305">
        <f>IF(A305="","",IF(ISNUMBER(A305),IF(A305&lt;=31,"",IF(A305&lt;=3112,IF(DATE(YR,MOD(A305,100),INT(A305/100))&gt;SAT1+7*NW-1,DATE(YR-1,MOD(A305,100),INT(A305/100)),DATE(YR,MOD(A305,100),INT(A305/100))),A305)),IFERROR(DATEVALUE(A305),"")))</f>
        <v/>
      </c>
      <c r="H305">
        <f>IF(G305="","",INT((G305-SAT1)/7)+1)</f>
        <v/>
      </c>
      <c r="I305">
        <f>IF(H305="","",IF(OR(H305&lt;1,H305&gt;NW),"",INDEX(WMON,H305)))</f>
        <v/>
      </c>
      <c r="J305">
        <f>IF(OR(G305="",H305="",B305=""),"",IF(B305="عمر المصري",SUMIFS('ساعات عمر'!$H$6:$H$588,'ساعات عمر'!$A$6:$A$588,"&gt;="&amp;(SAT1+7*(H305-1)),'ساعات عمر'!$A$6:$A$588,"&lt;="&amp;G305),SUMIFS('ساعات عبدالعزيز'!$F$6:$F$588,'ساعات عبدالعزيز'!$A$6:$A$588,"&gt;="&amp;(SAT1+7*(H305-1)),'ساعات عبدالعزيز'!$A$6:$A$588,"&lt;="&amp;G305)))</f>
        <v/>
      </c>
    </row>
    <row r="306">
      <c r="A306" s="48" t="n"/>
      <c r="B306" s="22" t="n"/>
      <c r="C306" s="49" t="n"/>
      <c r="D306" s="50" t="n"/>
      <c r="E306" s="51">
        <f>IF(G306="","",IF(OR(H306&lt;1,H306&gt;NW),"⛔ التاريخ برّا السنة",IF(AND(N(C306)&gt;0,N(J306)&gt;0,C306&gt;ADV_CAP*J306),"⚠️ أكثر من "&amp;TEXT(ADV_CAP,"0%")&amp;" من شغله ("&amp;TEXT(J306,"0.000")&amp;")","")))</f>
        <v/>
      </c>
      <c r="G306">
        <f>IF(A306="","",IF(ISNUMBER(A306),IF(A306&lt;=31,"",IF(A306&lt;=3112,IF(DATE(YR,MOD(A306,100),INT(A306/100))&gt;SAT1+7*NW-1,DATE(YR-1,MOD(A306,100),INT(A306/100)),DATE(YR,MOD(A306,100),INT(A306/100))),A306)),IFERROR(DATEVALUE(A306),"")))</f>
        <v/>
      </c>
      <c r="H306">
        <f>IF(G306="","",INT((G306-SAT1)/7)+1)</f>
        <v/>
      </c>
      <c r="I306">
        <f>IF(H306="","",IF(OR(H306&lt;1,H306&gt;NW),"",INDEX(WMON,H306)))</f>
        <v/>
      </c>
      <c r="J306">
        <f>IF(OR(G306="",H306="",B306=""),"",IF(B306="عمر المصري",SUMIFS('ساعات عمر'!$H$6:$H$588,'ساعات عمر'!$A$6:$A$588,"&gt;="&amp;(SAT1+7*(H306-1)),'ساعات عمر'!$A$6:$A$588,"&lt;="&amp;G306),SUMIFS('ساعات عبدالعزيز'!$F$6:$F$588,'ساعات عبدالعزيز'!$A$6:$A$588,"&gt;="&amp;(SAT1+7*(H306-1)),'ساعات عبدالعزيز'!$A$6:$A$588,"&lt;="&amp;G306)))</f>
        <v/>
      </c>
    </row>
    <row r="307">
      <c r="A307" s="48" t="n"/>
      <c r="B307" s="22" t="n"/>
      <c r="C307" s="49" t="n"/>
      <c r="D307" s="50" t="n"/>
      <c r="E307" s="51">
        <f>IF(G307="","",IF(OR(H307&lt;1,H307&gt;NW),"⛔ التاريخ برّا السنة",IF(AND(N(C307)&gt;0,N(J307)&gt;0,C307&gt;ADV_CAP*J307),"⚠️ أكثر من "&amp;TEXT(ADV_CAP,"0%")&amp;" من شغله ("&amp;TEXT(J307,"0.000")&amp;")","")))</f>
        <v/>
      </c>
      <c r="G307">
        <f>IF(A307="","",IF(ISNUMBER(A307),IF(A307&lt;=31,"",IF(A307&lt;=3112,IF(DATE(YR,MOD(A307,100),INT(A307/100))&gt;SAT1+7*NW-1,DATE(YR-1,MOD(A307,100),INT(A307/100)),DATE(YR,MOD(A307,100),INT(A307/100))),A307)),IFERROR(DATEVALUE(A307),"")))</f>
        <v/>
      </c>
      <c r="H307">
        <f>IF(G307="","",INT((G307-SAT1)/7)+1)</f>
        <v/>
      </c>
      <c r="I307">
        <f>IF(H307="","",IF(OR(H307&lt;1,H307&gt;NW),"",INDEX(WMON,H307)))</f>
        <v/>
      </c>
      <c r="J307">
        <f>IF(OR(G307="",H307="",B307=""),"",IF(B307="عمر المصري",SUMIFS('ساعات عمر'!$H$6:$H$588,'ساعات عمر'!$A$6:$A$588,"&gt;="&amp;(SAT1+7*(H307-1)),'ساعات عمر'!$A$6:$A$588,"&lt;="&amp;G307),SUMIFS('ساعات عبدالعزيز'!$F$6:$F$588,'ساعات عبدالعزيز'!$A$6:$A$588,"&gt;="&amp;(SAT1+7*(H307-1)),'ساعات عبدالعزيز'!$A$6:$A$588,"&lt;="&amp;G307)))</f>
        <v/>
      </c>
    </row>
    <row r="308">
      <c r="A308" s="48" t="n"/>
      <c r="B308" s="22" t="n"/>
      <c r="C308" s="49" t="n"/>
      <c r="D308" s="50" t="n"/>
      <c r="E308" s="51">
        <f>IF(G308="","",IF(OR(H308&lt;1,H308&gt;NW),"⛔ التاريخ برّا السنة",IF(AND(N(C308)&gt;0,N(J308)&gt;0,C308&gt;ADV_CAP*J308),"⚠️ أكثر من "&amp;TEXT(ADV_CAP,"0%")&amp;" من شغله ("&amp;TEXT(J308,"0.000")&amp;")","")))</f>
        <v/>
      </c>
      <c r="G308">
        <f>IF(A308="","",IF(ISNUMBER(A308),IF(A308&lt;=31,"",IF(A308&lt;=3112,IF(DATE(YR,MOD(A308,100),INT(A308/100))&gt;SAT1+7*NW-1,DATE(YR-1,MOD(A308,100),INT(A308/100)),DATE(YR,MOD(A308,100),INT(A308/100))),A308)),IFERROR(DATEVALUE(A308),"")))</f>
        <v/>
      </c>
      <c r="H308">
        <f>IF(G308="","",INT((G308-SAT1)/7)+1)</f>
        <v/>
      </c>
      <c r="I308">
        <f>IF(H308="","",IF(OR(H308&lt;1,H308&gt;NW),"",INDEX(WMON,H308)))</f>
        <v/>
      </c>
      <c r="J308">
        <f>IF(OR(G308="",H308="",B308=""),"",IF(B308="عمر المصري",SUMIFS('ساعات عمر'!$H$6:$H$588,'ساعات عمر'!$A$6:$A$588,"&gt;="&amp;(SAT1+7*(H308-1)),'ساعات عمر'!$A$6:$A$588,"&lt;="&amp;G308),SUMIFS('ساعات عبدالعزيز'!$F$6:$F$588,'ساعات عبدالعزيز'!$A$6:$A$588,"&gt;="&amp;(SAT1+7*(H308-1)),'ساعات عبدالعزيز'!$A$6:$A$588,"&lt;="&amp;G308)))</f>
        <v/>
      </c>
    </row>
    <row r="309">
      <c r="A309" s="48" t="n"/>
      <c r="B309" s="22" t="n"/>
      <c r="C309" s="49" t="n"/>
      <c r="D309" s="50" t="n"/>
      <c r="E309" s="51">
        <f>IF(G309="","",IF(OR(H309&lt;1,H309&gt;NW),"⛔ التاريخ برّا السنة",IF(AND(N(C309)&gt;0,N(J309)&gt;0,C309&gt;ADV_CAP*J309),"⚠️ أكثر من "&amp;TEXT(ADV_CAP,"0%")&amp;" من شغله ("&amp;TEXT(J309,"0.000")&amp;")","")))</f>
        <v/>
      </c>
      <c r="G309">
        <f>IF(A309="","",IF(ISNUMBER(A309),IF(A309&lt;=31,"",IF(A309&lt;=3112,IF(DATE(YR,MOD(A309,100),INT(A309/100))&gt;SAT1+7*NW-1,DATE(YR-1,MOD(A309,100),INT(A309/100)),DATE(YR,MOD(A309,100),INT(A309/100))),A309)),IFERROR(DATEVALUE(A309),"")))</f>
        <v/>
      </c>
      <c r="H309">
        <f>IF(G309="","",INT((G309-SAT1)/7)+1)</f>
        <v/>
      </c>
      <c r="I309">
        <f>IF(H309="","",IF(OR(H309&lt;1,H309&gt;NW),"",INDEX(WMON,H309)))</f>
        <v/>
      </c>
      <c r="J309">
        <f>IF(OR(G309="",H309="",B309=""),"",IF(B309="عمر المصري",SUMIFS('ساعات عمر'!$H$6:$H$588,'ساعات عمر'!$A$6:$A$588,"&gt;="&amp;(SAT1+7*(H309-1)),'ساعات عمر'!$A$6:$A$588,"&lt;="&amp;G309),SUMIFS('ساعات عبدالعزيز'!$F$6:$F$588,'ساعات عبدالعزيز'!$A$6:$A$588,"&gt;="&amp;(SAT1+7*(H309-1)),'ساعات عبدالعزيز'!$A$6:$A$588,"&lt;="&amp;G309)))</f>
        <v/>
      </c>
    </row>
    <row r="310">
      <c r="A310" s="48" t="n"/>
      <c r="B310" s="22" t="n"/>
      <c r="C310" s="49" t="n"/>
      <c r="D310" s="50" t="n"/>
      <c r="E310" s="51">
        <f>IF(G310="","",IF(OR(H310&lt;1,H310&gt;NW),"⛔ التاريخ برّا السنة",IF(AND(N(C310)&gt;0,N(J310)&gt;0,C310&gt;ADV_CAP*J310),"⚠️ أكثر من "&amp;TEXT(ADV_CAP,"0%")&amp;" من شغله ("&amp;TEXT(J310,"0.000")&amp;")","")))</f>
        <v/>
      </c>
      <c r="G310">
        <f>IF(A310="","",IF(ISNUMBER(A310),IF(A310&lt;=31,"",IF(A310&lt;=3112,IF(DATE(YR,MOD(A310,100),INT(A310/100))&gt;SAT1+7*NW-1,DATE(YR-1,MOD(A310,100),INT(A310/100)),DATE(YR,MOD(A310,100),INT(A310/100))),A310)),IFERROR(DATEVALUE(A310),"")))</f>
        <v/>
      </c>
      <c r="H310">
        <f>IF(G310="","",INT((G310-SAT1)/7)+1)</f>
        <v/>
      </c>
      <c r="I310">
        <f>IF(H310="","",IF(OR(H310&lt;1,H310&gt;NW),"",INDEX(WMON,H310)))</f>
        <v/>
      </c>
      <c r="J310">
        <f>IF(OR(G310="",H310="",B310=""),"",IF(B310="عمر المصري",SUMIFS('ساعات عمر'!$H$6:$H$588,'ساعات عمر'!$A$6:$A$588,"&gt;="&amp;(SAT1+7*(H310-1)),'ساعات عمر'!$A$6:$A$588,"&lt;="&amp;G310),SUMIFS('ساعات عبدالعزيز'!$F$6:$F$588,'ساعات عبدالعزيز'!$A$6:$A$588,"&gt;="&amp;(SAT1+7*(H310-1)),'ساعات عبدالعزيز'!$A$6:$A$588,"&lt;="&amp;G310)))</f>
        <v/>
      </c>
    </row>
    <row r="311">
      <c r="A311" s="48" t="n"/>
      <c r="B311" s="22" t="n"/>
      <c r="C311" s="49" t="n"/>
      <c r="D311" s="50" t="n"/>
      <c r="E311" s="51">
        <f>IF(G311="","",IF(OR(H311&lt;1,H311&gt;NW),"⛔ التاريخ برّا السنة",IF(AND(N(C311)&gt;0,N(J311)&gt;0,C311&gt;ADV_CAP*J311),"⚠️ أكثر من "&amp;TEXT(ADV_CAP,"0%")&amp;" من شغله ("&amp;TEXT(J311,"0.000")&amp;")","")))</f>
        <v/>
      </c>
      <c r="G311">
        <f>IF(A311="","",IF(ISNUMBER(A311),IF(A311&lt;=31,"",IF(A311&lt;=3112,IF(DATE(YR,MOD(A311,100),INT(A311/100))&gt;SAT1+7*NW-1,DATE(YR-1,MOD(A311,100),INT(A311/100)),DATE(YR,MOD(A311,100),INT(A311/100))),A311)),IFERROR(DATEVALUE(A311),"")))</f>
        <v/>
      </c>
      <c r="H311">
        <f>IF(G311="","",INT((G311-SAT1)/7)+1)</f>
        <v/>
      </c>
      <c r="I311">
        <f>IF(H311="","",IF(OR(H311&lt;1,H311&gt;NW),"",INDEX(WMON,H311)))</f>
        <v/>
      </c>
      <c r="J311">
        <f>IF(OR(G311="",H311="",B311=""),"",IF(B311="عمر المصري",SUMIFS('ساعات عمر'!$H$6:$H$588,'ساعات عمر'!$A$6:$A$588,"&gt;="&amp;(SAT1+7*(H311-1)),'ساعات عمر'!$A$6:$A$588,"&lt;="&amp;G311),SUMIFS('ساعات عبدالعزيز'!$F$6:$F$588,'ساعات عبدالعزيز'!$A$6:$A$588,"&gt;="&amp;(SAT1+7*(H311-1)),'ساعات عبدالعزيز'!$A$6:$A$588,"&lt;="&amp;G311)))</f>
        <v/>
      </c>
    </row>
    <row r="312">
      <c r="A312" s="48" t="n"/>
      <c r="B312" s="22" t="n"/>
      <c r="C312" s="49" t="n"/>
      <c r="D312" s="50" t="n"/>
      <c r="E312" s="51">
        <f>IF(G312="","",IF(OR(H312&lt;1,H312&gt;NW),"⛔ التاريخ برّا السنة",IF(AND(N(C312)&gt;0,N(J312)&gt;0,C312&gt;ADV_CAP*J312),"⚠️ أكثر من "&amp;TEXT(ADV_CAP,"0%")&amp;" من شغله ("&amp;TEXT(J312,"0.000")&amp;")","")))</f>
        <v/>
      </c>
      <c r="G312">
        <f>IF(A312="","",IF(ISNUMBER(A312),IF(A312&lt;=31,"",IF(A312&lt;=3112,IF(DATE(YR,MOD(A312,100),INT(A312/100))&gt;SAT1+7*NW-1,DATE(YR-1,MOD(A312,100),INT(A312/100)),DATE(YR,MOD(A312,100),INT(A312/100))),A312)),IFERROR(DATEVALUE(A312),"")))</f>
        <v/>
      </c>
      <c r="H312">
        <f>IF(G312="","",INT((G312-SAT1)/7)+1)</f>
        <v/>
      </c>
      <c r="I312">
        <f>IF(H312="","",IF(OR(H312&lt;1,H312&gt;NW),"",INDEX(WMON,H312)))</f>
        <v/>
      </c>
      <c r="J312">
        <f>IF(OR(G312="",H312="",B312=""),"",IF(B312="عمر المصري",SUMIFS('ساعات عمر'!$H$6:$H$588,'ساعات عمر'!$A$6:$A$588,"&gt;="&amp;(SAT1+7*(H312-1)),'ساعات عمر'!$A$6:$A$588,"&lt;="&amp;G312),SUMIFS('ساعات عبدالعزيز'!$F$6:$F$588,'ساعات عبدالعزيز'!$A$6:$A$588,"&gt;="&amp;(SAT1+7*(H312-1)),'ساعات عبدالعزيز'!$A$6:$A$588,"&lt;="&amp;G312)))</f>
        <v/>
      </c>
    </row>
    <row r="313">
      <c r="A313" s="48" t="n"/>
      <c r="B313" s="22" t="n"/>
      <c r="C313" s="49" t="n"/>
      <c r="D313" s="50" t="n"/>
      <c r="E313" s="51">
        <f>IF(G313="","",IF(OR(H313&lt;1,H313&gt;NW),"⛔ التاريخ برّا السنة",IF(AND(N(C313)&gt;0,N(J313)&gt;0,C313&gt;ADV_CAP*J313),"⚠️ أكثر من "&amp;TEXT(ADV_CAP,"0%")&amp;" من شغله ("&amp;TEXT(J313,"0.000")&amp;")","")))</f>
        <v/>
      </c>
      <c r="G313">
        <f>IF(A313="","",IF(ISNUMBER(A313),IF(A313&lt;=31,"",IF(A313&lt;=3112,IF(DATE(YR,MOD(A313,100),INT(A313/100))&gt;SAT1+7*NW-1,DATE(YR-1,MOD(A313,100),INT(A313/100)),DATE(YR,MOD(A313,100),INT(A313/100))),A313)),IFERROR(DATEVALUE(A313),"")))</f>
        <v/>
      </c>
      <c r="H313">
        <f>IF(G313="","",INT((G313-SAT1)/7)+1)</f>
        <v/>
      </c>
      <c r="I313">
        <f>IF(H313="","",IF(OR(H313&lt;1,H313&gt;NW),"",INDEX(WMON,H313)))</f>
        <v/>
      </c>
      <c r="J313">
        <f>IF(OR(G313="",H313="",B313=""),"",IF(B313="عمر المصري",SUMIFS('ساعات عمر'!$H$6:$H$588,'ساعات عمر'!$A$6:$A$588,"&gt;="&amp;(SAT1+7*(H313-1)),'ساعات عمر'!$A$6:$A$588,"&lt;="&amp;G313),SUMIFS('ساعات عبدالعزيز'!$F$6:$F$588,'ساعات عبدالعزيز'!$A$6:$A$588,"&gt;="&amp;(SAT1+7*(H313-1)),'ساعات عبدالعزيز'!$A$6:$A$588,"&lt;="&amp;G313)))</f>
        <v/>
      </c>
    </row>
    <row r="314">
      <c r="A314" s="48" t="n"/>
      <c r="B314" s="22" t="n"/>
      <c r="C314" s="49" t="n"/>
      <c r="D314" s="50" t="n"/>
      <c r="E314" s="51">
        <f>IF(G314="","",IF(OR(H314&lt;1,H314&gt;NW),"⛔ التاريخ برّا السنة",IF(AND(N(C314)&gt;0,N(J314)&gt;0,C314&gt;ADV_CAP*J314),"⚠️ أكثر من "&amp;TEXT(ADV_CAP,"0%")&amp;" من شغله ("&amp;TEXT(J314,"0.000")&amp;")","")))</f>
        <v/>
      </c>
      <c r="G314">
        <f>IF(A314="","",IF(ISNUMBER(A314),IF(A314&lt;=31,"",IF(A314&lt;=3112,IF(DATE(YR,MOD(A314,100),INT(A314/100))&gt;SAT1+7*NW-1,DATE(YR-1,MOD(A314,100),INT(A314/100)),DATE(YR,MOD(A314,100),INT(A314/100))),A314)),IFERROR(DATEVALUE(A314),"")))</f>
        <v/>
      </c>
      <c r="H314">
        <f>IF(G314="","",INT((G314-SAT1)/7)+1)</f>
        <v/>
      </c>
      <c r="I314">
        <f>IF(H314="","",IF(OR(H314&lt;1,H314&gt;NW),"",INDEX(WMON,H314)))</f>
        <v/>
      </c>
      <c r="J314">
        <f>IF(OR(G314="",H314="",B314=""),"",IF(B314="عمر المصري",SUMIFS('ساعات عمر'!$H$6:$H$588,'ساعات عمر'!$A$6:$A$588,"&gt;="&amp;(SAT1+7*(H314-1)),'ساعات عمر'!$A$6:$A$588,"&lt;="&amp;G314),SUMIFS('ساعات عبدالعزيز'!$F$6:$F$588,'ساعات عبدالعزيز'!$A$6:$A$588,"&gt;="&amp;(SAT1+7*(H314-1)),'ساعات عبدالعزيز'!$A$6:$A$588,"&lt;="&amp;G314)))</f>
        <v/>
      </c>
    </row>
    <row r="315">
      <c r="A315" s="48" t="n"/>
      <c r="B315" s="22" t="n"/>
      <c r="C315" s="49" t="n"/>
      <c r="D315" s="50" t="n"/>
      <c r="E315" s="51">
        <f>IF(G315="","",IF(OR(H315&lt;1,H315&gt;NW),"⛔ التاريخ برّا السنة",IF(AND(N(C315)&gt;0,N(J315)&gt;0,C315&gt;ADV_CAP*J315),"⚠️ أكثر من "&amp;TEXT(ADV_CAP,"0%")&amp;" من شغله ("&amp;TEXT(J315,"0.000")&amp;")","")))</f>
        <v/>
      </c>
      <c r="G315">
        <f>IF(A315="","",IF(ISNUMBER(A315),IF(A315&lt;=31,"",IF(A315&lt;=3112,IF(DATE(YR,MOD(A315,100),INT(A315/100))&gt;SAT1+7*NW-1,DATE(YR-1,MOD(A315,100),INT(A315/100)),DATE(YR,MOD(A315,100),INT(A315/100))),A315)),IFERROR(DATEVALUE(A315),"")))</f>
        <v/>
      </c>
      <c r="H315">
        <f>IF(G315="","",INT((G315-SAT1)/7)+1)</f>
        <v/>
      </c>
      <c r="I315">
        <f>IF(H315="","",IF(OR(H315&lt;1,H315&gt;NW),"",INDEX(WMON,H315)))</f>
        <v/>
      </c>
      <c r="J315">
        <f>IF(OR(G315="",H315="",B315=""),"",IF(B315="عمر المصري",SUMIFS('ساعات عمر'!$H$6:$H$588,'ساعات عمر'!$A$6:$A$588,"&gt;="&amp;(SAT1+7*(H315-1)),'ساعات عمر'!$A$6:$A$588,"&lt;="&amp;G315),SUMIFS('ساعات عبدالعزيز'!$F$6:$F$588,'ساعات عبدالعزيز'!$A$6:$A$588,"&gt;="&amp;(SAT1+7*(H315-1)),'ساعات عبدالعزيز'!$A$6:$A$588,"&lt;="&amp;G315)))</f>
        <v/>
      </c>
    </row>
    <row r="316">
      <c r="A316" s="48" t="n"/>
      <c r="B316" s="22" t="n"/>
      <c r="C316" s="49" t="n"/>
      <c r="D316" s="50" t="n"/>
      <c r="E316" s="51">
        <f>IF(G316="","",IF(OR(H316&lt;1,H316&gt;NW),"⛔ التاريخ برّا السنة",IF(AND(N(C316)&gt;0,N(J316)&gt;0,C316&gt;ADV_CAP*J316),"⚠️ أكثر من "&amp;TEXT(ADV_CAP,"0%")&amp;" من شغله ("&amp;TEXT(J316,"0.000")&amp;")","")))</f>
        <v/>
      </c>
      <c r="G316">
        <f>IF(A316="","",IF(ISNUMBER(A316),IF(A316&lt;=31,"",IF(A316&lt;=3112,IF(DATE(YR,MOD(A316,100),INT(A316/100))&gt;SAT1+7*NW-1,DATE(YR-1,MOD(A316,100),INT(A316/100)),DATE(YR,MOD(A316,100),INT(A316/100))),A316)),IFERROR(DATEVALUE(A316),"")))</f>
        <v/>
      </c>
      <c r="H316">
        <f>IF(G316="","",INT((G316-SAT1)/7)+1)</f>
        <v/>
      </c>
      <c r="I316">
        <f>IF(H316="","",IF(OR(H316&lt;1,H316&gt;NW),"",INDEX(WMON,H316)))</f>
        <v/>
      </c>
      <c r="J316">
        <f>IF(OR(G316="",H316="",B316=""),"",IF(B316="عمر المصري",SUMIFS('ساعات عمر'!$H$6:$H$588,'ساعات عمر'!$A$6:$A$588,"&gt;="&amp;(SAT1+7*(H316-1)),'ساعات عمر'!$A$6:$A$588,"&lt;="&amp;G316),SUMIFS('ساعات عبدالعزيز'!$F$6:$F$588,'ساعات عبدالعزيز'!$A$6:$A$588,"&gt;="&amp;(SAT1+7*(H316-1)),'ساعات عبدالعزيز'!$A$6:$A$588,"&lt;="&amp;G316)))</f>
        <v/>
      </c>
    </row>
    <row r="317">
      <c r="A317" s="48" t="n"/>
      <c r="B317" s="22" t="n"/>
      <c r="C317" s="49" t="n"/>
      <c r="D317" s="50" t="n"/>
      <c r="E317" s="51">
        <f>IF(G317="","",IF(OR(H317&lt;1,H317&gt;NW),"⛔ التاريخ برّا السنة",IF(AND(N(C317)&gt;0,N(J317)&gt;0,C317&gt;ADV_CAP*J317),"⚠️ أكثر من "&amp;TEXT(ADV_CAP,"0%")&amp;" من شغله ("&amp;TEXT(J317,"0.000")&amp;")","")))</f>
        <v/>
      </c>
      <c r="G317">
        <f>IF(A317="","",IF(ISNUMBER(A317),IF(A317&lt;=31,"",IF(A317&lt;=3112,IF(DATE(YR,MOD(A317,100),INT(A317/100))&gt;SAT1+7*NW-1,DATE(YR-1,MOD(A317,100),INT(A317/100)),DATE(YR,MOD(A317,100),INT(A317/100))),A317)),IFERROR(DATEVALUE(A317),"")))</f>
        <v/>
      </c>
      <c r="H317">
        <f>IF(G317="","",INT((G317-SAT1)/7)+1)</f>
        <v/>
      </c>
      <c r="I317">
        <f>IF(H317="","",IF(OR(H317&lt;1,H317&gt;NW),"",INDEX(WMON,H317)))</f>
        <v/>
      </c>
      <c r="J317">
        <f>IF(OR(G317="",H317="",B317=""),"",IF(B317="عمر المصري",SUMIFS('ساعات عمر'!$H$6:$H$588,'ساعات عمر'!$A$6:$A$588,"&gt;="&amp;(SAT1+7*(H317-1)),'ساعات عمر'!$A$6:$A$588,"&lt;="&amp;G317),SUMIFS('ساعات عبدالعزيز'!$F$6:$F$588,'ساعات عبدالعزيز'!$A$6:$A$588,"&gt;="&amp;(SAT1+7*(H317-1)),'ساعات عبدالعزيز'!$A$6:$A$588,"&lt;="&amp;G317)))</f>
        <v/>
      </c>
    </row>
    <row r="318">
      <c r="A318" s="48" t="n"/>
      <c r="B318" s="22" t="n"/>
      <c r="C318" s="49" t="n"/>
      <c r="D318" s="50" t="n"/>
      <c r="E318" s="51">
        <f>IF(G318="","",IF(OR(H318&lt;1,H318&gt;NW),"⛔ التاريخ برّا السنة",IF(AND(N(C318)&gt;0,N(J318)&gt;0,C318&gt;ADV_CAP*J318),"⚠️ أكثر من "&amp;TEXT(ADV_CAP,"0%")&amp;" من شغله ("&amp;TEXT(J318,"0.000")&amp;")","")))</f>
        <v/>
      </c>
      <c r="G318">
        <f>IF(A318="","",IF(ISNUMBER(A318),IF(A318&lt;=31,"",IF(A318&lt;=3112,IF(DATE(YR,MOD(A318,100),INT(A318/100))&gt;SAT1+7*NW-1,DATE(YR-1,MOD(A318,100),INT(A318/100)),DATE(YR,MOD(A318,100),INT(A318/100))),A318)),IFERROR(DATEVALUE(A318),"")))</f>
        <v/>
      </c>
      <c r="H318">
        <f>IF(G318="","",INT((G318-SAT1)/7)+1)</f>
        <v/>
      </c>
      <c r="I318">
        <f>IF(H318="","",IF(OR(H318&lt;1,H318&gt;NW),"",INDEX(WMON,H318)))</f>
        <v/>
      </c>
      <c r="J318">
        <f>IF(OR(G318="",H318="",B318=""),"",IF(B318="عمر المصري",SUMIFS('ساعات عمر'!$H$6:$H$588,'ساعات عمر'!$A$6:$A$588,"&gt;="&amp;(SAT1+7*(H318-1)),'ساعات عمر'!$A$6:$A$588,"&lt;="&amp;G318),SUMIFS('ساعات عبدالعزيز'!$F$6:$F$588,'ساعات عبدالعزيز'!$A$6:$A$588,"&gt;="&amp;(SAT1+7*(H318-1)),'ساعات عبدالعزيز'!$A$6:$A$588,"&lt;="&amp;G318)))</f>
        <v/>
      </c>
    </row>
    <row r="319">
      <c r="A319" s="48" t="n"/>
      <c r="B319" s="22" t="n"/>
      <c r="C319" s="49" t="n"/>
      <c r="D319" s="50" t="n"/>
      <c r="E319" s="51">
        <f>IF(G319="","",IF(OR(H319&lt;1,H319&gt;NW),"⛔ التاريخ برّا السنة",IF(AND(N(C319)&gt;0,N(J319)&gt;0,C319&gt;ADV_CAP*J319),"⚠️ أكثر من "&amp;TEXT(ADV_CAP,"0%")&amp;" من شغله ("&amp;TEXT(J319,"0.000")&amp;")","")))</f>
        <v/>
      </c>
      <c r="G319">
        <f>IF(A319="","",IF(ISNUMBER(A319),IF(A319&lt;=31,"",IF(A319&lt;=3112,IF(DATE(YR,MOD(A319,100),INT(A319/100))&gt;SAT1+7*NW-1,DATE(YR-1,MOD(A319,100),INT(A319/100)),DATE(YR,MOD(A319,100),INT(A319/100))),A319)),IFERROR(DATEVALUE(A319),"")))</f>
        <v/>
      </c>
      <c r="H319">
        <f>IF(G319="","",INT((G319-SAT1)/7)+1)</f>
        <v/>
      </c>
      <c r="I319">
        <f>IF(H319="","",IF(OR(H319&lt;1,H319&gt;NW),"",INDEX(WMON,H319)))</f>
        <v/>
      </c>
      <c r="J319">
        <f>IF(OR(G319="",H319="",B319=""),"",IF(B319="عمر المصري",SUMIFS('ساعات عمر'!$H$6:$H$588,'ساعات عمر'!$A$6:$A$588,"&gt;="&amp;(SAT1+7*(H319-1)),'ساعات عمر'!$A$6:$A$588,"&lt;="&amp;G319),SUMIFS('ساعات عبدالعزيز'!$F$6:$F$588,'ساعات عبدالعزيز'!$A$6:$A$588,"&gt;="&amp;(SAT1+7*(H319-1)),'ساعات عبدالعزيز'!$A$6:$A$588,"&lt;="&amp;G319)))</f>
        <v/>
      </c>
    </row>
    <row r="320">
      <c r="A320" s="48" t="n"/>
      <c r="B320" s="22" t="n"/>
      <c r="C320" s="49" t="n"/>
      <c r="D320" s="50" t="n"/>
      <c r="E320" s="51">
        <f>IF(G320="","",IF(OR(H320&lt;1,H320&gt;NW),"⛔ التاريخ برّا السنة",IF(AND(N(C320)&gt;0,N(J320)&gt;0,C320&gt;ADV_CAP*J320),"⚠️ أكثر من "&amp;TEXT(ADV_CAP,"0%")&amp;" من شغله ("&amp;TEXT(J320,"0.000")&amp;")","")))</f>
        <v/>
      </c>
      <c r="G320">
        <f>IF(A320="","",IF(ISNUMBER(A320),IF(A320&lt;=31,"",IF(A320&lt;=3112,IF(DATE(YR,MOD(A320,100),INT(A320/100))&gt;SAT1+7*NW-1,DATE(YR-1,MOD(A320,100),INT(A320/100)),DATE(YR,MOD(A320,100),INT(A320/100))),A320)),IFERROR(DATEVALUE(A320),"")))</f>
        <v/>
      </c>
      <c r="H320">
        <f>IF(G320="","",INT((G320-SAT1)/7)+1)</f>
        <v/>
      </c>
      <c r="I320">
        <f>IF(H320="","",IF(OR(H320&lt;1,H320&gt;NW),"",INDEX(WMON,H320)))</f>
        <v/>
      </c>
      <c r="J320">
        <f>IF(OR(G320="",H320="",B320=""),"",IF(B320="عمر المصري",SUMIFS('ساعات عمر'!$H$6:$H$588,'ساعات عمر'!$A$6:$A$588,"&gt;="&amp;(SAT1+7*(H320-1)),'ساعات عمر'!$A$6:$A$588,"&lt;="&amp;G320),SUMIFS('ساعات عبدالعزيز'!$F$6:$F$588,'ساعات عبدالعزيز'!$A$6:$A$588,"&gt;="&amp;(SAT1+7*(H320-1)),'ساعات عبدالعزيز'!$A$6:$A$588,"&lt;="&amp;G320)))</f>
        <v/>
      </c>
    </row>
    <row r="321">
      <c r="A321" s="48" t="n"/>
      <c r="B321" s="22" t="n"/>
      <c r="C321" s="49" t="n"/>
      <c r="D321" s="50" t="n"/>
      <c r="E321" s="51">
        <f>IF(G321="","",IF(OR(H321&lt;1,H321&gt;NW),"⛔ التاريخ برّا السنة",IF(AND(N(C321)&gt;0,N(J321)&gt;0,C321&gt;ADV_CAP*J321),"⚠️ أكثر من "&amp;TEXT(ADV_CAP,"0%")&amp;" من شغله ("&amp;TEXT(J321,"0.000")&amp;")","")))</f>
        <v/>
      </c>
      <c r="G321">
        <f>IF(A321="","",IF(ISNUMBER(A321),IF(A321&lt;=31,"",IF(A321&lt;=3112,IF(DATE(YR,MOD(A321,100),INT(A321/100))&gt;SAT1+7*NW-1,DATE(YR-1,MOD(A321,100),INT(A321/100)),DATE(YR,MOD(A321,100),INT(A321/100))),A321)),IFERROR(DATEVALUE(A321),"")))</f>
        <v/>
      </c>
      <c r="H321">
        <f>IF(G321="","",INT((G321-SAT1)/7)+1)</f>
        <v/>
      </c>
      <c r="I321">
        <f>IF(H321="","",IF(OR(H321&lt;1,H321&gt;NW),"",INDEX(WMON,H321)))</f>
        <v/>
      </c>
      <c r="J321">
        <f>IF(OR(G321="",H321="",B321=""),"",IF(B321="عمر المصري",SUMIFS('ساعات عمر'!$H$6:$H$588,'ساعات عمر'!$A$6:$A$588,"&gt;="&amp;(SAT1+7*(H321-1)),'ساعات عمر'!$A$6:$A$588,"&lt;="&amp;G321),SUMIFS('ساعات عبدالعزيز'!$F$6:$F$588,'ساعات عبدالعزيز'!$A$6:$A$588,"&gt;="&amp;(SAT1+7*(H321-1)),'ساعات عبدالعزيز'!$A$6:$A$588,"&lt;="&amp;G321)))</f>
        <v/>
      </c>
    </row>
    <row r="322">
      <c r="A322" s="48" t="n"/>
      <c r="B322" s="22" t="n"/>
      <c r="C322" s="49" t="n"/>
      <c r="D322" s="50" t="n"/>
      <c r="E322" s="51">
        <f>IF(G322="","",IF(OR(H322&lt;1,H322&gt;NW),"⛔ التاريخ برّا السنة",IF(AND(N(C322)&gt;0,N(J322)&gt;0,C322&gt;ADV_CAP*J322),"⚠️ أكثر من "&amp;TEXT(ADV_CAP,"0%")&amp;" من شغله ("&amp;TEXT(J322,"0.000")&amp;")","")))</f>
        <v/>
      </c>
      <c r="G322">
        <f>IF(A322="","",IF(ISNUMBER(A322),IF(A322&lt;=31,"",IF(A322&lt;=3112,IF(DATE(YR,MOD(A322,100),INT(A322/100))&gt;SAT1+7*NW-1,DATE(YR-1,MOD(A322,100),INT(A322/100)),DATE(YR,MOD(A322,100),INT(A322/100))),A322)),IFERROR(DATEVALUE(A322),"")))</f>
        <v/>
      </c>
      <c r="H322">
        <f>IF(G322="","",INT((G322-SAT1)/7)+1)</f>
        <v/>
      </c>
      <c r="I322">
        <f>IF(H322="","",IF(OR(H322&lt;1,H322&gt;NW),"",INDEX(WMON,H322)))</f>
        <v/>
      </c>
      <c r="J322">
        <f>IF(OR(G322="",H322="",B322=""),"",IF(B322="عمر المصري",SUMIFS('ساعات عمر'!$H$6:$H$588,'ساعات عمر'!$A$6:$A$588,"&gt;="&amp;(SAT1+7*(H322-1)),'ساعات عمر'!$A$6:$A$588,"&lt;="&amp;G322),SUMIFS('ساعات عبدالعزيز'!$F$6:$F$588,'ساعات عبدالعزيز'!$A$6:$A$588,"&gt;="&amp;(SAT1+7*(H322-1)),'ساعات عبدالعزيز'!$A$6:$A$588,"&lt;="&amp;G322)))</f>
        <v/>
      </c>
    </row>
    <row r="323">
      <c r="A323" s="48" t="n"/>
      <c r="B323" s="22" t="n"/>
      <c r="C323" s="49" t="n"/>
      <c r="D323" s="50" t="n"/>
      <c r="E323" s="51">
        <f>IF(G323="","",IF(OR(H323&lt;1,H323&gt;NW),"⛔ التاريخ برّا السنة",IF(AND(N(C323)&gt;0,N(J323)&gt;0,C323&gt;ADV_CAP*J323),"⚠️ أكثر من "&amp;TEXT(ADV_CAP,"0%")&amp;" من شغله ("&amp;TEXT(J323,"0.000")&amp;")","")))</f>
        <v/>
      </c>
      <c r="G323">
        <f>IF(A323="","",IF(ISNUMBER(A323),IF(A323&lt;=31,"",IF(A323&lt;=3112,IF(DATE(YR,MOD(A323,100),INT(A323/100))&gt;SAT1+7*NW-1,DATE(YR-1,MOD(A323,100),INT(A323/100)),DATE(YR,MOD(A323,100),INT(A323/100))),A323)),IFERROR(DATEVALUE(A323),"")))</f>
        <v/>
      </c>
      <c r="H323">
        <f>IF(G323="","",INT((G323-SAT1)/7)+1)</f>
        <v/>
      </c>
      <c r="I323">
        <f>IF(H323="","",IF(OR(H323&lt;1,H323&gt;NW),"",INDEX(WMON,H323)))</f>
        <v/>
      </c>
      <c r="J323">
        <f>IF(OR(G323="",H323="",B323=""),"",IF(B323="عمر المصري",SUMIFS('ساعات عمر'!$H$6:$H$588,'ساعات عمر'!$A$6:$A$588,"&gt;="&amp;(SAT1+7*(H323-1)),'ساعات عمر'!$A$6:$A$588,"&lt;="&amp;G323),SUMIFS('ساعات عبدالعزيز'!$F$6:$F$588,'ساعات عبدالعزيز'!$A$6:$A$588,"&gt;="&amp;(SAT1+7*(H323-1)),'ساعات عبدالعزيز'!$A$6:$A$588,"&lt;="&amp;G323)))</f>
        <v/>
      </c>
    </row>
    <row r="324">
      <c r="A324" s="48" t="n"/>
      <c r="B324" s="22" t="n"/>
      <c r="C324" s="49" t="n"/>
      <c r="D324" s="50" t="n"/>
      <c r="E324" s="51">
        <f>IF(G324="","",IF(OR(H324&lt;1,H324&gt;NW),"⛔ التاريخ برّا السنة",IF(AND(N(C324)&gt;0,N(J324)&gt;0,C324&gt;ADV_CAP*J324),"⚠️ أكثر من "&amp;TEXT(ADV_CAP,"0%")&amp;" من شغله ("&amp;TEXT(J324,"0.000")&amp;")","")))</f>
        <v/>
      </c>
      <c r="G324">
        <f>IF(A324="","",IF(ISNUMBER(A324),IF(A324&lt;=31,"",IF(A324&lt;=3112,IF(DATE(YR,MOD(A324,100),INT(A324/100))&gt;SAT1+7*NW-1,DATE(YR-1,MOD(A324,100),INT(A324/100)),DATE(YR,MOD(A324,100),INT(A324/100))),A324)),IFERROR(DATEVALUE(A324),"")))</f>
        <v/>
      </c>
      <c r="H324">
        <f>IF(G324="","",INT((G324-SAT1)/7)+1)</f>
        <v/>
      </c>
      <c r="I324">
        <f>IF(H324="","",IF(OR(H324&lt;1,H324&gt;NW),"",INDEX(WMON,H324)))</f>
        <v/>
      </c>
      <c r="J324">
        <f>IF(OR(G324="",H324="",B324=""),"",IF(B324="عمر المصري",SUMIFS('ساعات عمر'!$H$6:$H$588,'ساعات عمر'!$A$6:$A$588,"&gt;="&amp;(SAT1+7*(H324-1)),'ساعات عمر'!$A$6:$A$588,"&lt;="&amp;G324),SUMIFS('ساعات عبدالعزيز'!$F$6:$F$588,'ساعات عبدالعزيز'!$A$6:$A$588,"&gt;="&amp;(SAT1+7*(H324-1)),'ساعات عبدالعزيز'!$A$6:$A$588,"&lt;="&amp;G324)))</f>
        <v/>
      </c>
    </row>
    <row r="325">
      <c r="A325" s="48" t="n"/>
      <c r="B325" s="22" t="n"/>
      <c r="C325" s="49" t="n"/>
      <c r="D325" s="50" t="n"/>
      <c r="E325" s="51">
        <f>IF(G325="","",IF(OR(H325&lt;1,H325&gt;NW),"⛔ التاريخ برّا السنة",IF(AND(N(C325)&gt;0,N(J325)&gt;0,C325&gt;ADV_CAP*J325),"⚠️ أكثر من "&amp;TEXT(ADV_CAP,"0%")&amp;" من شغله ("&amp;TEXT(J325,"0.000")&amp;")","")))</f>
        <v/>
      </c>
      <c r="G325">
        <f>IF(A325="","",IF(ISNUMBER(A325),IF(A325&lt;=31,"",IF(A325&lt;=3112,IF(DATE(YR,MOD(A325,100),INT(A325/100))&gt;SAT1+7*NW-1,DATE(YR-1,MOD(A325,100),INT(A325/100)),DATE(YR,MOD(A325,100),INT(A325/100))),A325)),IFERROR(DATEVALUE(A325),"")))</f>
        <v/>
      </c>
      <c r="H325">
        <f>IF(G325="","",INT((G325-SAT1)/7)+1)</f>
        <v/>
      </c>
      <c r="I325">
        <f>IF(H325="","",IF(OR(H325&lt;1,H325&gt;NW),"",INDEX(WMON,H325)))</f>
        <v/>
      </c>
      <c r="J325">
        <f>IF(OR(G325="",H325="",B325=""),"",IF(B325="عمر المصري",SUMIFS('ساعات عمر'!$H$6:$H$588,'ساعات عمر'!$A$6:$A$588,"&gt;="&amp;(SAT1+7*(H325-1)),'ساعات عمر'!$A$6:$A$588,"&lt;="&amp;G325),SUMIFS('ساعات عبدالعزيز'!$F$6:$F$588,'ساعات عبدالعزيز'!$A$6:$A$588,"&gt;="&amp;(SAT1+7*(H325-1)),'ساعات عبدالعزيز'!$A$6:$A$588,"&lt;="&amp;G325)))</f>
        <v/>
      </c>
    </row>
    <row r="326">
      <c r="A326" s="48" t="n"/>
      <c r="B326" s="22" t="n"/>
      <c r="C326" s="49" t="n"/>
      <c r="D326" s="50" t="n"/>
      <c r="E326" s="51">
        <f>IF(G326="","",IF(OR(H326&lt;1,H326&gt;NW),"⛔ التاريخ برّا السنة",IF(AND(N(C326)&gt;0,N(J326)&gt;0,C326&gt;ADV_CAP*J326),"⚠️ أكثر من "&amp;TEXT(ADV_CAP,"0%")&amp;" من شغله ("&amp;TEXT(J326,"0.000")&amp;")","")))</f>
        <v/>
      </c>
      <c r="G326">
        <f>IF(A326="","",IF(ISNUMBER(A326),IF(A326&lt;=31,"",IF(A326&lt;=3112,IF(DATE(YR,MOD(A326,100),INT(A326/100))&gt;SAT1+7*NW-1,DATE(YR-1,MOD(A326,100),INT(A326/100)),DATE(YR,MOD(A326,100),INT(A326/100))),A326)),IFERROR(DATEVALUE(A326),"")))</f>
        <v/>
      </c>
      <c r="H326">
        <f>IF(G326="","",INT((G326-SAT1)/7)+1)</f>
        <v/>
      </c>
      <c r="I326">
        <f>IF(H326="","",IF(OR(H326&lt;1,H326&gt;NW),"",INDEX(WMON,H326)))</f>
        <v/>
      </c>
      <c r="J326">
        <f>IF(OR(G326="",H326="",B326=""),"",IF(B326="عمر المصري",SUMIFS('ساعات عمر'!$H$6:$H$588,'ساعات عمر'!$A$6:$A$588,"&gt;="&amp;(SAT1+7*(H326-1)),'ساعات عمر'!$A$6:$A$588,"&lt;="&amp;G326),SUMIFS('ساعات عبدالعزيز'!$F$6:$F$588,'ساعات عبدالعزيز'!$A$6:$A$588,"&gt;="&amp;(SAT1+7*(H326-1)),'ساعات عبدالعزيز'!$A$6:$A$588,"&lt;="&amp;G326)))</f>
        <v/>
      </c>
    </row>
    <row r="327">
      <c r="A327" s="48" t="n"/>
      <c r="B327" s="22" t="n"/>
      <c r="C327" s="49" t="n"/>
      <c r="D327" s="50" t="n"/>
      <c r="E327" s="51">
        <f>IF(G327="","",IF(OR(H327&lt;1,H327&gt;NW),"⛔ التاريخ برّا السنة",IF(AND(N(C327)&gt;0,N(J327)&gt;0,C327&gt;ADV_CAP*J327),"⚠️ أكثر من "&amp;TEXT(ADV_CAP,"0%")&amp;" من شغله ("&amp;TEXT(J327,"0.000")&amp;")","")))</f>
        <v/>
      </c>
      <c r="G327">
        <f>IF(A327="","",IF(ISNUMBER(A327),IF(A327&lt;=31,"",IF(A327&lt;=3112,IF(DATE(YR,MOD(A327,100),INT(A327/100))&gt;SAT1+7*NW-1,DATE(YR-1,MOD(A327,100),INT(A327/100)),DATE(YR,MOD(A327,100),INT(A327/100))),A327)),IFERROR(DATEVALUE(A327),"")))</f>
        <v/>
      </c>
      <c r="H327">
        <f>IF(G327="","",INT((G327-SAT1)/7)+1)</f>
        <v/>
      </c>
      <c r="I327">
        <f>IF(H327="","",IF(OR(H327&lt;1,H327&gt;NW),"",INDEX(WMON,H327)))</f>
        <v/>
      </c>
      <c r="J327">
        <f>IF(OR(G327="",H327="",B327=""),"",IF(B327="عمر المصري",SUMIFS('ساعات عمر'!$H$6:$H$588,'ساعات عمر'!$A$6:$A$588,"&gt;="&amp;(SAT1+7*(H327-1)),'ساعات عمر'!$A$6:$A$588,"&lt;="&amp;G327),SUMIFS('ساعات عبدالعزيز'!$F$6:$F$588,'ساعات عبدالعزيز'!$A$6:$A$588,"&gt;="&amp;(SAT1+7*(H327-1)),'ساعات عبدالعزيز'!$A$6:$A$588,"&lt;="&amp;G327)))</f>
        <v/>
      </c>
    </row>
    <row r="328">
      <c r="A328" s="48" t="n"/>
      <c r="B328" s="22" t="n"/>
      <c r="C328" s="49" t="n"/>
      <c r="D328" s="50" t="n"/>
      <c r="E328" s="51">
        <f>IF(G328="","",IF(OR(H328&lt;1,H328&gt;NW),"⛔ التاريخ برّا السنة",IF(AND(N(C328)&gt;0,N(J328)&gt;0,C328&gt;ADV_CAP*J328),"⚠️ أكثر من "&amp;TEXT(ADV_CAP,"0%")&amp;" من شغله ("&amp;TEXT(J328,"0.000")&amp;")","")))</f>
        <v/>
      </c>
      <c r="G328">
        <f>IF(A328="","",IF(ISNUMBER(A328),IF(A328&lt;=31,"",IF(A328&lt;=3112,IF(DATE(YR,MOD(A328,100),INT(A328/100))&gt;SAT1+7*NW-1,DATE(YR-1,MOD(A328,100),INT(A328/100)),DATE(YR,MOD(A328,100),INT(A328/100))),A328)),IFERROR(DATEVALUE(A328),"")))</f>
        <v/>
      </c>
      <c r="H328">
        <f>IF(G328="","",INT((G328-SAT1)/7)+1)</f>
        <v/>
      </c>
      <c r="I328">
        <f>IF(H328="","",IF(OR(H328&lt;1,H328&gt;NW),"",INDEX(WMON,H328)))</f>
        <v/>
      </c>
      <c r="J328">
        <f>IF(OR(G328="",H328="",B328=""),"",IF(B328="عمر المصري",SUMIFS('ساعات عمر'!$H$6:$H$588,'ساعات عمر'!$A$6:$A$588,"&gt;="&amp;(SAT1+7*(H328-1)),'ساعات عمر'!$A$6:$A$588,"&lt;="&amp;G328),SUMIFS('ساعات عبدالعزيز'!$F$6:$F$588,'ساعات عبدالعزيز'!$A$6:$A$588,"&gt;="&amp;(SAT1+7*(H328-1)),'ساعات عبدالعزيز'!$A$6:$A$588,"&lt;="&amp;G328)))</f>
        <v/>
      </c>
    </row>
    <row r="329">
      <c r="A329" s="48" t="n"/>
      <c r="B329" s="22" t="n"/>
      <c r="C329" s="49" t="n"/>
      <c r="D329" s="50" t="n"/>
      <c r="E329" s="51">
        <f>IF(G329="","",IF(OR(H329&lt;1,H329&gt;NW),"⛔ التاريخ برّا السنة",IF(AND(N(C329)&gt;0,N(J329)&gt;0,C329&gt;ADV_CAP*J329),"⚠️ أكثر من "&amp;TEXT(ADV_CAP,"0%")&amp;" من شغله ("&amp;TEXT(J329,"0.000")&amp;")","")))</f>
        <v/>
      </c>
      <c r="G329">
        <f>IF(A329="","",IF(ISNUMBER(A329),IF(A329&lt;=31,"",IF(A329&lt;=3112,IF(DATE(YR,MOD(A329,100),INT(A329/100))&gt;SAT1+7*NW-1,DATE(YR-1,MOD(A329,100),INT(A329/100)),DATE(YR,MOD(A329,100),INT(A329/100))),A329)),IFERROR(DATEVALUE(A329),"")))</f>
        <v/>
      </c>
      <c r="H329">
        <f>IF(G329="","",INT((G329-SAT1)/7)+1)</f>
        <v/>
      </c>
      <c r="I329">
        <f>IF(H329="","",IF(OR(H329&lt;1,H329&gt;NW),"",INDEX(WMON,H329)))</f>
        <v/>
      </c>
      <c r="J329">
        <f>IF(OR(G329="",H329="",B329=""),"",IF(B329="عمر المصري",SUMIFS('ساعات عمر'!$H$6:$H$588,'ساعات عمر'!$A$6:$A$588,"&gt;="&amp;(SAT1+7*(H329-1)),'ساعات عمر'!$A$6:$A$588,"&lt;="&amp;G329),SUMIFS('ساعات عبدالعزيز'!$F$6:$F$588,'ساعات عبدالعزيز'!$A$6:$A$588,"&gt;="&amp;(SAT1+7*(H329-1)),'ساعات عبدالعزيز'!$A$6:$A$588,"&lt;="&amp;G329)))</f>
        <v/>
      </c>
    </row>
    <row r="330">
      <c r="A330" s="48" t="n"/>
      <c r="B330" s="22" t="n"/>
      <c r="C330" s="49" t="n"/>
      <c r="D330" s="50" t="n"/>
      <c r="E330" s="51">
        <f>IF(G330="","",IF(OR(H330&lt;1,H330&gt;NW),"⛔ التاريخ برّا السنة",IF(AND(N(C330)&gt;0,N(J330)&gt;0,C330&gt;ADV_CAP*J330),"⚠️ أكثر من "&amp;TEXT(ADV_CAP,"0%")&amp;" من شغله ("&amp;TEXT(J330,"0.000")&amp;")","")))</f>
        <v/>
      </c>
      <c r="G330">
        <f>IF(A330="","",IF(ISNUMBER(A330),IF(A330&lt;=31,"",IF(A330&lt;=3112,IF(DATE(YR,MOD(A330,100),INT(A330/100))&gt;SAT1+7*NW-1,DATE(YR-1,MOD(A330,100),INT(A330/100)),DATE(YR,MOD(A330,100),INT(A330/100))),A330)),IFERROR(DATEVALUE(A330),"")))</f>
        <v/>
      </c>
      <c r="H330">
        <f>IF(G330="","",INT((G330-SAT1)/7)+1)</f>
        <v/>
      </c>
      <c r="I330">
        <f>IF(H330="","",IF(OR(H330&lt;1,H330&gt;NW),"",INDEX(WMON,H330)))</f>
        <v/>
      </c>
      <c r="J330">
        <f>IF(OR(G330="",H330="",B330=""),"",IF(B330="عمر المصري",SUMIFS('ساعات عمر'!$H$6:$H$588,'ساعات عمر'!$A$6:$A$588,"&gt;="&amp;(SAT1+7*(H330-1)),'ساعات عمر'!$A$6:$A$588,"&lt;="&amp;G330),SUMIFS('ساعات عبدالعزيز'!$F$6:$F$588,'ساعات عبدالعزيز'!$A$6:$A$588,"&gt;="&amp;(SAT1+7*(H330-1)),'ساعات عبدالعزيز'!$A$6:$A$588,"&lt;="&amp;G330)))</f>
        <v/>
      </c>
    </row>
    <row r="331">
      <c r="A331" s="48" t="n"/>
      <c r="B331" s="22" t="n"/>
      <c r="C331" s="49" t="n"/>
      <c r="D331" s="50" t="n"/>
      <c r="E331" s="51">
        <f>IF(G331="","",IF(OR(H331&lt;1,H331&gt;NW),"⛔ التاريخ برّا السنة",IF(AND(N(C331)&gt;0,N(J331)&gt;0,C331&gt;ADV_CAP*J331),"⚠️ أكثر من "&amp;TEXT(ADV_CAP,"0%")&amp;" من شغله ("&amp;TEXT(J331,"0.000")&amp;")","")))</f>
        <v/>
      </c>
      <c r="G331">
        <f>IF(A331="","",IF(ISNUMBER(A331),IF(A331&lt;=31,"",IF(A331&lt;=3112,IF(DATE(YR,MOD(A331,100),INT(A331/100))&gt;SAT1+7*NW-1,DATE(YR-1,MOD(A331,100),INT(A331/100)),DATE(YR,MOD(A331,100),INT(A331/100))),A331)),IFERROR(DATEVALUE(A331),"")))</f>
        <v/>
      </c>
      <c r="H331">
        <f>IF(G331="","",INT((G331-SAT1)/7)+1)</f>
        <v/>
      </c>
      <c r="I331">
        <f>IF(H331="","",IF(OR(H331&lt;1,H331&gt;NW),"",INDEX(WMON,H331)))</f>
        <v/>
      </c>
      <c r="J331">
        <f>IF(OR(G331="",H331="",B331=""),"",IF(B331="عمر المصري",SUMIFS('ساعات عمر'!$H$6:$H$588,'ساعات عمر'!$A$6:$A$588,"&gt;="&amp;(SAT1+7*(H331-1)),'ساعات عمر'!$A$6:$A$588,"&lt;="&amp;G331),SUMIFS('ساعات عبدالعزيز'!$F$6:$F$588,'ساعات عبدالعزيز'!$A$6:$A$588,"&gt;="&amp;(SAT1+7*(H331-1)),'ساعات عبدالعزيز'!$A$6:$A$588,"&lt;="&amp;G331)))</f>
        <v/>
      </c>
    </row>
    <row r="332">
      <c r="A332" s="48" t="n"/>
      <c r="B332" s="22" t="n"/>
      <c r="C332" s="49" t="n"/>
      <c r="D332" s="50" t="n"/>
      <c r="E332" s="51">
        <f>IF(G332="","",IF(OR(H332&lt;1,H332&gt;NW),"⛔ التاريخ برّا السنة",IF(AND(N(C332)&gt;0,N(J332)&gt;0,C332&gt;ADV_CAP*J332),"⚠️ أكثر من "&amp;TEXT(ADV_CAP,"0%")&amp;" من شغله ("&amp;TEXT(J332,"0.000")&amp;")","")))</f>
        <v/>
      </c>
      <c r="G332">
        <f>IF(A332="","",IF(ISNUMBER(A332),IF(A332&lt;=31,"",IF(A332&lt;=3112,IF(DATE(YR,MOD(A332,100),INT(A332/100))&gt;SAT1+7*NW-1,DATE(YR-1,MOD(A332,100),INT(A332/100)),DATE(YR,MOD(A332,100),INT(A332/100))),A332)),IFERROR(DATEVALUE(A332),"")))</f>
        <v/>
      </c>
      <c r="H332">
        <f>IF(G332="","",INT((G332-SAT1)/7)+1)</f>
        <v/>
      </c>
      <c r="I332">
        <f>IF(H332="","",IF(OR(H332&lt;1,H332&gt;NW),"",INDEX(WMON,H332)))</f>
        <v/>
      </c>
      <c r="J332">
        <f>IF(OR(G332="",H332="",B332=""),"",IF(B332="عمر المصري",SUMIFS('ساعات عمر'!$H$6:$H$588,'ساعات عمر'!$A$6:$A$588,"&gt;="&amp;(SAT1+7*(H332-1)),'ساعات عمر'!$A$6:$A$588,"&lt;="&amp;G332),SUMIFS('ساعات عبدالعزيز'!$F$6:$F$588,'ساعات عبدالعزيز'!$A$6:$A$588,"&gt;="&amp;(SAT1+7*(H332-1)),'ساعات عبدالعزيز'!$A$6:$A$588,"&lt;="&amp;G332)))</f>
        <v/>
      </c>
    </row>
    <row r="333">
      <c r="A333" s="48" t="n"/>
      <c r="B333" s="22" t="n"/>
      <c r="C333" s="49" t="n"/>
      <c r="D333" s="50" t="n"/>
      <c r="E333" s="51">
        <f>IF(G333="","",IF(OR(H333&lt;1,H333&gt;NW),"⛔ التاريخ برّا السنة",IF(AND(N(C333)&gt;0,N(J333)&gt;0,C333&gt;ADV_CAP*J333),"⚠️ أكثر من "&amp;TEXT(ADV_CAP,"0%")&amp;" من شغله ("&amp;TEXT(J333,"0.000")&amp;")","")))</f>
        <v/>
      </c>
      <c r="G333">
        <f>IF(A333="","",IF(ISNUMBER(A333),IF(A333&lt;=31,"",IF(A333&lt;=3112,IF(DATE(YR,MOD(A333,100),INT(A333/100))&gt;SAT1+7*NW-1,DATE(YR-1,MOD(A333,100),INT(A333/100)),DATE(YR,MOD(A333,100),INT(A333/100))),A333)),IFERROR(DATEVALUE(A333),"")))</f>
        <v/>
      </c>
      <c r="H333">
        <f>IF(G333="","",INT((G333-SAT1)/7)+1)</f>
        <v/>
      </c>
      <c r="I333">
        <f>IF(H333="","",IF(OR(H333&lt;1,H333&gt;NW),"",INDEX(WMON,H333)))</f>
        <v/>
      </c>
      <c r="J333">
        <f>IF(OR(G333="",H333="",B333=""),"",IF(B333="عمر المصري",SUMIFS('ساعات عمر'!$H$6:$H$588,'ساعات عمر'!$A$6:$A$588,"&gt;="&amp;(SAT1+7*(H333-1)),'ساعات عمر'!$A$6:$A$588,"&lt;="&amp;G333),SUMIFS('ساعات عبدالعزيز'!$F$6:$F$588,'ساعات عبدالعزيز'!$A$6:$A$588,"&gt;="&amp;(SAT1+7*(H333-1)),'ساعات عبدالعزيز'!$A$6:$A$588,"&lt;="&amp;G333)))</f>
        <v/>
      </c>
    </row>
    <row r="334">
      <c r="A334" s="48" t="n"/>
      <c r="B334" s="22" t="n"/>
      <c r="C334" s="49" t="n"/>
      <c r="D334" s="50" t="n"/>
      <c r="E334" s="51">
        <f>IF(G334="","",IF(OR(H334&lt;1,H334&gt;NW),"⛔ التاريخ برّا السنة",IF(AND(N(C334)&gt;0,N(J334)&gt;0,C334&gt;ADV_CAP*J334),"⚠️ أكثر من "&amp;TEXT(ADV_CAP,"0%")&amp;" من شغله ("&amp;TEXT(J334,"0.000")&amp;")","")))</f>
        <v/>
      </c>
      <c r="G334">
        <f>IF(A334="","",IF(ISNUMBER(A334),IF(A334&lt;=31,"",IF(A334&lt;=3112,IF(DATE(YR,MOD(A334,100),INT(A334/100))&gt;SAT1+7*NW-1,DATE(YR-1,MOD(A334,100),INT(A334/100)),DATE(YR,MOD(A334,100),INT(A334/100))),A334)),IFERROR(DATEVALUE(A334),"")))</f>
        <v/>
      </c>
      <c r="H334">
        <f>IF(G334="","",INT((G334-SAT1)/7)+1)</f>
        <v/>
      </c>
      <c r="I334">
        <f>IF(H334="","",IF(OR(H334&lt;1,H334&gt;NW),"",INDEX(WMON,H334)))</f>
        <v/>
      </c>
      <c r="J334">
        <f>IF(OR(G334="",H334="",B334=""),"",IF(B334="عمر المصري",SUMIFS('ساعات عمر'!$H$6:$H$588,'ساعات عمر'!$A$6:$A$588,"&gt;="&amp;(SAT1+7*(H334-1)),'ساعات عمر'!$A$6:$A$588,"&lt;="&amp;G334),SUMIFS('ساعات عبدالعزيز'!$F$6:$F$588,'ساعات عبدالعزيز'!$A$6:$A$588,"&gt;="&amp;(SAT1+7*(H334-1)),'ساعات عبدالعزيز'!$A$6:$A$588,"&lt;="&amp;G334)))</f>
        <v/>
      </c>
    </row>
    <row r="335">
      <c r="A335" s="48" t="n"/>
      <c r="B335" s="22" t="n"/>
      <c r="C335" s="49" t="n"/>
      <c r="D335" s="50" t="n"/>
      <c r="E335" s="51">
        <f>IF(G335="","",IF(OR(H335&lt;1,H335&gt;NW),"⛔ التاريخ برّا السنة",IF(AND(N(C335)&gt;0,N(J335)&gt;0,C335&gt;ADV_CAP*J335),"⚠️ أكثر من "&amp;TEXT(ADV_CAP,"0%")&amp;" من شغله ("&amp;TEXT(J335,"0.000")&amp;")","")))</f>
        <v/>
      </c>
      <c r="G335">
        <f>IF(A335="","",IF(ISNUMBER(A335),IF(A335&lt;=31,"",IF(A335&lt;=3112,IF(DATE(YR,MOD(A335,100),INT(A335/100))&gt;SAT1+7*NW-1,DATE(YR-1,MOD(A335,100),INT(A335/100)),DATE(YR,MOD(A335,100),INT(A335/100))),A335)),IFERROR(DATEVALUE(A335),"")))</f>
        <v/>
      </c>
      <c r="H335">
        <f>IF(G335="","",INT((G335-SAT1)/7)+1)</f>
        <v/>
      </c>
      <c r="I335">
        <f>IF(H335="","",IF(OR(H335&lt;1,H335&gt;NW),"",INDEX(WMON,H335)))</f>
        <v/>
      </c>
      <c r="J335">
        <f>IF(OR(G335="",H335="",B335=""),"",IF(B335="عمر المصري",SUMIFS('ساعات عمر'!$H$6:$H$588,'ساعات عمر'!$A$6:$A$588,"&gt;="&amp;(SAT1+7*(H335-1)),'ساعات عمر'!$A$6:$A$588,"&lt;="&amp;G335),SUMIFS('ساعات عبدالعزيز'!$F$6:$F$588,'ساعات عبدالعزيز'!$A$6:$A$588,"&gt;="&amp;(SAT1+7*(H335-1)),'ساعات عبدالعزيز'!$A$6:$A$588,"&lt;="&amp;G335)))</f>
        <v/>
      </c>
    </row>
    <row r="336">
      <c r="A336" s="48" t="n"/>
      <c r="B336" s="22" t="n"/>
      <c r="C336" s="49" t="n"/>
      <c r="D336" s="50" t="n"/>
      <c r="E336" s="51">
        <f>IF(G336="","",IF(OR(H336&lt;1,H336&gt;NW),"⛔ التاريخ برّا السنة",IF(AND(N(C336)&gt;0,N(J336)&gt;0,C336&gt;ADV_CAP*J336),"⚠️ أكثر من "&amp;TEXT(ADV_CAP,"0%")&amp;" من شغله ("&amp;TEXT(J336,"0.000")&amp;")","")))</f>
        <v/>
      </c>
      <c r="G336">
        <f>IF(A336="","",IF(ISNUMBER(A336),IF(A336&lt;=31,"",IF(A336&lt;=3112,IF(DATE(YR,MOD(A336,100),INT(A336/100))&gt;SAT1+7*NW-1,DATE(YR-1,MOD(A336,100),INT(A336/100)),DATE(YR,MOD(A336,100),INT(A336/100))),A336)),IFERROR(DATEVALUE(A336),"")))</f>
        <v/>
      </c>
      <c r="H336">
        <f>IF(G336="","",INT((G336-SAT1)/7)+1)</f>
        <v/>
      </c>
      <c r="I336">
        <f>IF(H336="","",IF(OR(H336&lt;1,H336&gt;NW),"",INDEX(WMON,H336)))</f>
        <v/>
      </c>
      <c r="J336">
        <f>IF(OR(G336="",H336="",B336=""),"",IF(B336="عمر المصري",SUMIFS('ساعات عمر'!$H$6:$H$588,'ساعات عمر'!$A$6:$A$588,"&gt;="&amp;(SAT1+7*(H336-1)),'ساعات عمر'!$A$6:$A$588,"&lt;="&amp;G336),SUMIFS('ساعات عبدالعزيز'!$F$6:$F$588,'ساعات عبدالعزيز'!$A$6:$A$588,"&gt;="&amp;(SAT1+7*(H336-1)),'ساعات عبدالعزيز'!$A$6:$A$588,"&lt;="&amp;G336)))</f>
        <v/>
      </c>
    </row>
    <row r="337">
      <c r="A337" s="48" t="n"/>
      <c r="B337" s="22" t="n"/>
      <c r="C337" s="49" t="n"/>
      <c r="D337" s="50" t="n"/>
      <c r="E337" s="51">
        <f>IF(G337="","",IF(OR(H337&lt;1,H337&gt;NW),"⛔ التاريخ برّا السنة",IF(AND(N(C337)&gt;0,N(J337)&gt;0,C337&gt;ADV_CAP*J337),"⚠️ أكثر من "&amp;TEXT(ADV_CAP,"0%")&amp;" من شغله ("&amp;TEXT(J337,"0.000")&amp;")","")))</f>
        <v/>
      </c>
      <c r="G337">
        <f>IF(A337="","",IF(ISNUMBER(A337),IF(A337&lt;=31,"",IF(A337&lt;=3112,IF(DATE(YR,MOD(A337,100),INT(A337/100))&gt;SAT1+7*NW-1,DATE(YR-1,MOD(A337,100),INT(A337/100)),DATE(YR,MOD(A337,100),INT(A337/100))),A337)),IFERROR(DATEVALUE(A337),"")))</f>
        <v/>
      </c>
      <c r="H337">
        <f>IF(G337="","",INT((G337-SAT1)/7)+1)</f>
        <v/>
      </c>
      <c r="I337">
        <f>IF(H337="","",IF(OR(H337&lt;1,H337&gt;NW),"",INDEX(WMON,H337)))</f>
        <v/>
      </c>
      <c r="J337">
        <f>IF(OR(G337="",H337="",B337=""),"",IF(B337="عمر المصري",SUMIFS('ساعات عمر'!$H$6:$H$588,'ساعات عمر'!$A$6:$A$588,"&gt;="&amp;(SAT1+7*(H337-1)),'ساعات عمر'!$A$6:$A$588,"&lt;="&amp;G337),SUMIFS('ساعات عبدالعزيز'!$F$6:$F$588,'ساعات عبدالعزيز'!$A$6:$A$588,"&gt;="&amp;(SAT1+7*(H337-1)),'ساعات عبدالعزيز'!$A$6:$A$588,"&lt;="&amp;G337)))</f>
        <v/>
      </c>
    </row>
    <row r="338">
      <c r="A338" s="48" t="n"/>
      <c r="B338" s="22" t="n"/>
      <c r="C338" s="49" t="n"/>
      <c r="D338" s="50" t="n"/>
      <c r="E338" s="51">
        <f>IF(G338="","",IF(OR(H338&lt;1,H338&gt;NW),"⛔ التاريخ برّا السنة",IF(AND(N(C338)&gt;0,N(J338)&gt;0,C338&gt;ADV_CAP*J338),"⚠️ أكثر من "&amp;TEXT(ADV_CAP,"0%")&amp;" من شغله ("&amp;TEXT(J338,"0.000")&amp;")","")))</f>
        <v/>
      </c>
      <c r="G338">
        <f>IF(A338="","",IF(ISNUMBER(A338),IF(A338&lt;=31,"",IF(A338&lt;=3112,IF(DATE(YR,MOD(A338,100),INT(A338/100))&gt;SAT1+7*NW-1,DATE(YR-1,MOD(A338,100),INT(A338/100)),DATE(YR,MOD(A338,100),INT(A338/100))),A338)),IFERROR(DATEVALUE(A338),"")))</f>
        <v/>
      </c>
      <c r="H338">
        <f>IF(G338="","",INT((G338-SAT1)/7)+1)</f>
        <v/>
      </c>
      <c r="I338">
        <f>IF(H338="","",IF(OR(H338&lt;1,H338&gt;NW),"",INDEX(WMON,H338)))</f>
        <v/>
      </c>
      <c r="J338">
        <f>IF(OR(G338="",H338="",B338=""),"",IF(B338="عمر المصري",SUMIFS('ساعات عمر'!$H$6:$H$588,'ساعات عمر'!$A$6:$A$588,"&gt;="&amp;(SAT1+7*(H338-1)),'ساعات عمر'!$A$6:$A$588,"&lt;="&amp;G338),SUMIFS('ساعات عبدالعزيز'!$F$6:$F$588,'ساعات عبدالعزيز'!$A$6:$A$588,"&gt;="&amp;(SAT1+7*(H338-1)),'ساعات عبدالعزيز'!$A$6:$A$588,"&lt;="&amp;G338)))</f>
        <v/>
      </c>
    </row>
    <row r="339">
      <c r="A339" s="48" t="n"/>
      <c r="B339" s="22" t="n"/>
      <c r="C339" s="49" t="n"/>
      <c r="D339" s="50" t="n"/>
      <c r="E339" s="51">
        <f>IF(G339="","",IF(OR(H339&lt;1,H339&gt;NW),"⛔ التاريخ برّا السنة",IF(AND(N(C339)&gt;0,N(J339)&gt;0,C339&gt;ADV_CAP*J339),"⚠️ أكثر من "&amp;TEXT(ADV_CAP,"0%")&amp;" من شغله ("&amp;TEXT(J339,"0.000")&amp;")","")))</f>
        <v/>
      </c>
      <c r="G339">
        <f>IF(A339="","",IF(ISNUMBER(A339),IF(A339&lt;=31,"",IF(A339&lt;=3112,IF(DATE(YR,MOD(A339,100),INT(A339/100))&gt;SAT1+7*NW-1,DATE(YR-1,MOD(A339,100),INT(A339/100)),DATE(YR,MOD(A339,100),INT(A339/100))),A339)),IFERROR(DATEVALUE(A339),"")))</f>
        <v/>
      </c>
      <c r="H339">
        <f>IF(G339="","",INT((G339-SAT1)/7)+1)</f>
        <v/>
      </c>
      <c r="I339">
        <f>IF(H339="","",IF(OR(H339&lt;1,H339&gt;NW),"",INDEX(WMON,H339)))</f>
        <v/>
      </c>
      <c r="J339">
        <f>IF(OR(G339="",H339="",B339=""),"",IF(B339="عمر المصري",SUMIFS('ساعات عمر'!$H$6:$H$588,'ساعات عمر'!$A$6:$A$588,"&gt;="&amp;(SAT1+7*(H339-1)),'ساعات عمر'!$A$6:$A$588,"&lt;="&amp;G339),SUMIFS('ساعات عبدالعزيز'!$F$6:$F$588,'ساعات عبدالعزيز'!$A$6:$A$588,"&gt;="&amp;(SAT1+7*(H339-1)),'ساعات عبدالعزيز'!$A$6:$A$588,"&lt;="&amp;G339)))</f>
        <v/>
      </c>
    </row>
    <row r="340">
      <c r="A340" s="48" t="n"/>
      <c r="B340" s="22" t="n"/>
      <c r="C340" s="49" t="n"/>
      <c r="D340" s="50" t="n"/>
      <c r="E340" s="51">
        <f>IF(G340="","",IF(OR(H340&lt;1,H340&gt;NW),"⛔ التاريخ برّا السنة",IF(AND(N(C340)&gt;0,N(J340)&gt;0,C340&gt;ADV_CAP*J340),"⚠️ أكثر من "&amp;TEXT(ADV_CAP,"0%")&amp;" من شغله ("&amp;TEXT(J340,"0.000")&amp;")","")))</f>
        <v/>
      </c>
      <c r="G340">
        <f>IF(A340="","",IF(ISNUMBER(A340),IF(A340&lt;=31,"",IF(A340&lt;=3112,IF(DATE(YR,MOD(A340,100),INT(A340/100))&gt;SAT1+7*NW-1,DATE(YR-1,MOD(A340,100),INT(A340/100)),DATE(YR,MOD(A340,100),INT(A340/100))),A340)),IFERROR(DATEVALUE(A340),"")))</f>
        <v/>
      </c>
      <c r="H340">
        <f>IF(G340="","",INT((G340-SAT1)/7)+1)</f>
        <v/>
      </c>
      <c r="I340">
        <f>IF(H340="","",IF(OR(H340&lt;1,H340&gt;NW),"",INDEX(WMON,H340)))</f>
        <v/>
      </c>
      <c r="J340">
        <f>IF(OR(G340="",H340="",B340=""),"",IF(B340="عمر المصري",SUMIFS('ساعات عمر'!$H$6:$H$588,'ساعات عمر'!$A$6:$A$588,"&gt;="&amp;(SAT1+7*(H340-1)),'ساعات عمر'!$A$6:$A$588,"&lt;="&amp;G340),SUMIFS('ساعات عبدالعزيز'!$F$6:$F$588,'ساعات عبدالعزيز'!$A$6:$A$588,"&gt;="&amp;(SAT1+7*(H340-1)),'ساعات عبدالعزيز'!$A$6:$A$588,"&lt;="&amp;G340)))</f>
        <v/>
      </c>
    </row>
    <row r="341">
      <c r="A341" s="48" t="n"/>
      <c r="B341" s="22" t="n"/>
      <c r="C341" s="49" t="n"/>
      <c r="D341" s="50" t="n"/>
      <c r="E341" s="51">
        <f>IF(G341="","",IF(OR(H341&lt;1,H341&gt;NW),"⛔ التاريخ برّا السنة",IF(AND(N(C341)&gt;0,N(J341)&gt;0,C341&gt;ADV_CAP*J341),"⚠️ أكثر من "&amp;TEXT(ADV_CAP,"0%")&amp;" من شغله ("&amp;TEXT(J341,"0.000")&amp;")","")))</f>
        <v/>
      </c>
      <c r="G341">
        <f>IF(A341="","",IF(ISNUMBER(A341),IF(A341&lt;=31,"",IF(A341&lt;=3112,IF(DATE(YR,MOD(A341,100),INT(A341/100))&gt;SAT1+7*NW-1,DATE(YR-1,MOD(A341,100),INT(A341/100)),DATE(YR,MOD(A341,100),INT(A341/100))),A341)),IFERROR(DATEVALUE(A341),"")))</f>
        <v/>
      </c>
      <c r="H341">
        <f>IF(G341="","",INT((G341-SAT1)/7)+1)</f>
        <v/>
      </c>
      <c r="I341">
        <f>IF(H341="","",IF(OR(H341&lt;1,H341&gt;NW),"",INDEX(WMON,H341)))</f>
        <v/>
      </c>
      <c r="J341">
        <f>IF(OR(G341="",H341="",B341=""),"",IF(B341="عمر المصري",SUMIFS('ساعات عمر'!$H$6:$H$588,'ساعات عمر'!$A$6:$A$588,"&gt;="&amp;(SAT1+7*(H341-1)),'ساعات عمر'!$A$6:$A$588,"&lt;="&amp;G341),SUMIFS('ساعات عبدالعزيز'!$F$6:$F$588,'ساعات عبدالعزيز'!$A$6:$A$588,"&gt;="&amp;(SAT1+7*(H341-1)),'ساعات عبدالعزيز'!$A$6:$A$588,"&lt;="&amp;G341)))</f>
        <v/>
      </c>
    </row>
    <row r="342">
      <c r="A342" s="48" t="n"/>
      <c r="B342" s="22" t="n"/>
      <c r="C342" s="49" t="n"/>
      <c r="D342" s="50" t="n"/>
      <c r="E342" s="51">
        <f>IF(G342="","",IF(OR(H342&lt;1,H342&gt;NW),"⛔ التاريخ برّا السنة",IF(AND(N(C342)&gt;0,N(J342)&gt;0,C342&gt;ADV_CAP*J342),"⚠️ أكثر من "&amp;TEXT(ADV_CAP,"0%")&amp;" من شغله ("&amp;TEXT(J342,"0.000")&amp;")","")))</f>
        <v/>
      </c>
      <c r="G342">
        <f>IF(A342="","",IF(ISNUMBER(A342),IF(A342&lt;=31,"",IF(A342&lt;=3112,IF(DATE(YR,MOD(A342,100),INT(A342/100))&gt;SAT1+7*NW-1,DATE(YR-1,MOD(A342,100),INT(A342/100)),DATE(YR,MOD(A342,100),INT(A342/100))),A342)),IFERROR(DATEVALUE(A342),"")))</f>
        <v/>
      </c>
      <c r="H342">
        <f>IF(G342="","",INT((G342-SAT1)/7)+1)</f>
        <v/>
      </c>
      <c r="I342">
        <f>IF(H342="","",IF(OR(H342&lt;1,H342&gt;NW),"",INDEX(WMON,H342)))</f>
        <v/>
      </c>
      <c r="J342">
        <f>IF(OR(G342="",H342="",B342=""),"",IF(B342="عمر المصري",SUMIFS('ساعات عمر'!$H$6:$H$588,'ساعات عمر'!$A$6:$A$588,"&gt;="&amp;(SAT1+7*(H342-1)),'ساعات عمر'!$A$6:$A$588,"&lt;="&amp;G342),SUMIFS('ساعات عبدالعزيز'!$F$6:$F$588,'ساعات عبدالعزيز'!$A$6:$A$588,"&gt;="&amp;(SAT1+7*(H342-1)),'ساعات عبدالعزيز'!$A$6:$A$588,"&lt;="&amp;G342)))</f>
        <v/>
      </c>
    </row>
    <row r="343">
      <c r="A343" s="48" t="n"/>
      <c r="B343" s="22" t="n"/>
      <c r="C343" s="49" t="n"/>
      <c r="D343" s="50" t="n"/>
      <c r="E343" s="51">
        <f>IF(G343="","",IF(OR(H343&lt;1,H343&gt;NW),"⛔ التاريخ برّا السنة",IF(AND(N(C343)&gt;0,N(J343)&gt;0,C343&gt;ADV_CAP*J343),"⚠️ أكثر من "&amp;TEXT(ADV_CAP,"0%")&amp;" من شغله ("&amp;TEXT(J343,"0.000")&amp;")","")))</f>
        <v/>
      </c>
      <c r="G343">
        <f>IF(A343="","",IF(ISNUMBER(A343),IF(A343&lt;=31,"",IF(A343&lt;=3112,IF(DATE(YR,MOD(A343,100),INT(A343/100))&gt;SAT1+7*NW-1,DATE(YR-1,MOD(A343,100),INT(A343/100)),DATE(YR,MOD(A343,100),INT(A343/100))),A343)),IFERROR(DATEVALUE(A343),"")))</f>
        <v/>
      </c>
      <c r="H343">
        <f>IF(G343="","",INT((G343-SAT1)/7)+1)</f>
        <v/>
      </c>
      <c r="I343">
        <f>IF(H343="","",IF(OR(H343&lt;1,H343&gt;NW),"",INDEX(WMON,H343)))</f>
        <v/>
      </c>
      <c r="J343">
        <f>IF(OR(G343="",H343="",B343=""),"",IF(B343="عمر المصري",SUMIFS('ساعات عمر'!$H$6:$H$588,'ساعات عمر'!$A$6:$A$588,"&gt;="&amp;(SAT1+7*(H343-1)),'ساعات عمر'!$A$6:$A$588,"&lt;="&amp;G343),SUMIFS('ساعات عبدالعزيز'!$F$6:$F$588,'ساعات عبدالعزيز'!$A$6:$A$588,"&gt;="&amp;(SAT1+7*(H343-1)),'ساعات عبدالعزيز'!$A$6:$A$588,"&lt;="&amp;G343)))</f>
        <v/>
      </c>
    </row>
    <row r="344">
      <c r="A344" s="48" t="n"/>
      <c r="B344" s="22" t="n"/>
      <c r="C344" s="49" t="n"/>
      <c r="D344" s="50" t="n"/>
      <c r="E344" s="51">
        <f>IF(G344="","",IF(OR(H344&lt;1,H344&gt;NW),"⛔ التاريخ برّا السنة",IF(AND(N(C344)&gt;0,N(J344)&gt;0,C344&gt;ADV_CAP*J344),"⚠️ أكثر من "&amp;TEXT(ADV_CAP,"0%")&amp;" من شغله ("&amp;TEXT(J344,"0.000")&amp;")","")))</f>
        <v/>
      </c>
      <c r="G344">
        <f>IF(A344="","",IF(ISNUMBER(A344),IF(A344&lt;=31,"",IF(A344&lt;=3112,IF(DATE(YR,MOD(A344,100),INT(A344/100))&gt;SAT1+7*NW-1,DATE(YR-1,MOD(A344,100),INT(A344/100)),DATE(YR,MOD(A344,100),INT(A344/100))),A344)),IFERROR(DATEVALUE(A344),"")))</f>
        <v/>
      </c>
      <c r="H344">
        <f>IF(G344="","",INT((G344-SAT1)/7)+1)</f>
        <v/>
      </c>
      <c r="I344">
        <f>IF(H344="","",IF(OR(H344&lt;1,H344&gt;NW),"",INDEX(WMON,H344)))</f>
        <v/>
      </c>
      <c r="J344">
        <f>IF(OR(G344="",H344="",B344=""),"",IF(B344="عمر المصري",SUMIFS('ساعات عمر'!$H$6:$H$588,'ساعات عمر'!$A$6:$A$588,"&gt;="&amp;(SAT1+7*(H344-1)),'ساعات عمر'!$A$6:$A$588,"&lt;="&amp;G344),SUMIFS('ساعات عبدالعزيز'!$F$6:$F$588,'ساعات عبدالعزيز'!$A$6:$A$588,"&gt;="&amp;(SAT1+7*(H344-1)),'ساعات عبدالعزيز'!$A$6:$A$588,"&lt;="&amp;G344)))</f>
        <v/>
      </c>
    </row>
    <row r="345">
      <c r="A345" s="48" t="n"/>
      <c r="B345" s="22" t="n"/>
      <c r="C345" s="49" t="n"/>
      <c r="D345" s="50" t="n"/>
      <c r="E345" s="51">
        <f>IF(G345="","",IF(OR(H345&lt;1,H345&gt;NW),"⛔ التاريخ برّا السنة",IF(AND(N(C345)&gt;0,N(J345)&gt;0,C345&gt;ADV_CAP*J345),"⚠️ أكثر من "&amp;TEXT(ADV_CAP,"0%")&amp;" من شغله ("&amp;TEXT(J345,"0.000")&amp;")","")))</f>
        <v/>
      </c>
      <c r="G345">
        <f>IF(A345="","",IF(ISNUMBER(A345),IF(A345&lt;=31,"",IF(A345&lt;=3112,IF(DATE(YR,MOD(A345,100),INT(A345/100))&gt;SAT1+7*NW-1,DATE(YR-1,MOD(A345,100),INT(A345/100)),DATE(YR,MOD(A345,100),INT(A345/100))),A345)),IFERROR(DATEVALUE(A345),"")))</f>
        <v/>
      </c>
      <c r="H345">
        <f>IF(G345="","",INT((G345-SAT1)/7)+1)</f>
        <v/>
      </c>
      <c r="I345">
        <f>IF(H345="","",IF(OR(H345&lt;1,H345&gt;NW),"",INDEX(WMON,H345)))</f>
        <v/>
      </c>
      <c r="J345">
        <f>IF(OR(G345="",H345="",B345=""),"",IF(B345="عمر المصري",SUMIFS('ساعات عمر'!$H$6:$H$588,'ساعات عمر'!$A$6:$A$588,"&gt;="&amp;(SAT1+7*(H345-1)),'ساعات عمر'!$A$6:$A$588,"&lt;="&amp;G345),SUMIFS('ساعات عبدالعزيز'!$F$6:$F$588,'ساعات عبدالعزيز'!$A$6:$A$588,"&gt;="&amp;(SAT1+7*(H345-1)),'ساعات عبدالعزيز'!$A$6:$A$588,"&lt;="&amp;G345)))</f>
        <v/>
      </c>
    </row>
    <row r="346">
      <c r="A346" s="48" t="n"/>
      <c r="B346" s="22" t="n"/>
      <c r="C346" s="49" t="n"/>
      <c r="D346" s="50" t="n"/>
      <c r="E346" s="51">
        <f>IF(G346="","",IF(OR(H346&lt;1,H346&gt;NW),"⛔ التاريخ برّا السنة",IF(AND(N(C346)&gt;0,N(J346)&gt;0,C346&gt;ADV_CAP*J346),"⚠️ أكثر من "&amp;TEXT(ADV_CAP,"0%")&amp;" من شغله ("&amp;TEXT(J346,"0.000")&amp;")","")))</f>
        <v/>
      </c>
      <c r="G346">
        <f>IF(A346="","",IF(ISNUMBER(A346),IF(A346&lt;=31,"",IF(A346&lt;=3112,IF(DATE(YR,MOD(A346,100),INT(A346/100))&gt;SAT1+7*NW-1,DATE(YR-1,MOD(A346,100),INT(A346/100)),DATE(YR,MOD(A346,100),INT(A346/100))),A346)),IFERROR(DATEVALUE(A346),"")))</f>
        <v/>
      </c>
      <c r="H346">
        <f>IF(G346="","",INT((G346-SAT1)/7)+1)</f>
        <v/>
      </c>
      <c r="I346">
        <f>IF(H346="","",IF(OR(H346&lt;1,H346&gt;NW),"",INDEX(WMON,H346)))</f>
        <v/>
      </c>
      <c r="J346">
        <f>IF(OR(G346="",H346="",B346=""),"",IF(B346="عمر المصري",SUMIFS('ساعات عمر'!$H$6:$H$588,'ساعات عمر'!$A$6:$A$588,"&gt;="&amp;(SAT1+7*(H346-1)),'ساعات عمر'!$A$6:$A$588,"&lt;="&amp;G346),SUMIFS('ساعات عبدالعزيز'!$F$6:$F$588,'ساعات عبدالعزيز'!$A$6:$A$588,"&gt;="&amp;(SAT1+7*(H346-1)),'ساعات عبدالعزيز'!$A$6:$A$588,"&lt;="&amp;G346)))</f>
        <v/>
      </c>
    </row>
    <row r="347">
      <c r="A347" s="48" t="n"/>
      <c r="B347" s="22" t="n"/>
      <c r="C347" s="49" t="n"/>
      <c r="D347" s="50" t="n"/>
      <c r="E347" s="51">
        <f>IF(G347="","",IF(OR(H347&lt;1,H347&gt;NW),"⛔ التاريخ برّا السنة",IF(AND(N(C347)&gt;0,N(J347)&gt;0,C347&gt;ADV_CAP*J347),"⚠️ أكثر من "&amp;TEXT(ADV_CAP,"0%")&amp;" من شغله ("&amp;TEXT(J347,"0.000")&amp;")","")))</f>
        <v/>
      </c>
      <c r="G347">
        <f>IF(A347="","",IF(ISNUMBER(A347),IF(A347&lt;=31,"",IF(A347&lt;=3112,IF(DATE(YR,MOD(A347,100),INT(A347/100))&gt;SAT1+7*NW-1,DATE(YR-1,MOD(A347,100),INT(A347/100)),DATE(YR,MOD(A347,100),INT(A347/100))),A347)),IFERROR(DATEVALUE(A347),"")))</f>
        <v/>
      </c>
      <c r="H347">
        <f>IF(G347="","",INT((G347-SAT1)/7)+1)</f>
        <v/>
      </c>
      <c r="I347">
        <f>IF(H347="","",IF(OR(H347&lt;1,H347&gt;NW),"",INDEX(WMON,H347)))</f>
        <v/>
      </c>
      <c r="J347">
        <f>IF(OR(G347="",H347="",B347=""),"",IF(B347="عمر المصري",SUMIFS('ساعات عمر'!$H$6:$H$588,'ساعات عمر'!$A$6:$A$588,"&gt;="&amp;(SAT1+7*(H347-1)),'ساعات عمر'!$A$6:$A$588,"&lt;="&amp;G347),SUMIFS('ساعات عبدالعزيز'!$F$6:$F$588,'ساعات عبدالعزيز'!$A$6:$A$588,"&gt;="&amp;(SAT1+7*(H347-1)),'ساعات عبدالعزيز'!$A$6:$A$588,"&lt;="&amp;G347)))</f>
        <v/>
      </c>
    </row>
    <row r="348">
      <c r="A348" s="48" t="n"/>
      <c r="B348" s="22" t="n"/>
      <c r="C348" s="49" t="n"/>
      <c r="D348" s="50" t="n"/>
      <c r="E348" s="51">
        <f>IF(G348="","",IF(OR(H348&lt;1,H348&gt;NW),"⛔ التاريخ برّا السنة",IF(AND(N(C348)&gt;0,N(J348)&gt;0,C348&gt;ADV_CAP*J348),"⚠️ أكثر من "&amp;TEXT(ADV_CAP,"0%")&amp;" من شغله ("&amp;TEXT(J348,"0.000")&amp;")","")))</f>
        <v/>
      </c>
      <c r="G348">
        <f>IF(A348="","",IF(ISNUMBER(A348),IF(A348&lt;=31,"",IF(A348&lt;=3112,IF(DATE(YR,MOD(A348,100),INT(A348/100))&gt;SAT1+7*NW-1,DATE(YR-1,MOD(A348,100),INT(A348/100)),DATE(YR,MOD(A348,100),INT(A348/100))),A348)),IFERROR(DATEVALUE(A348),"")))</f>
        <v/>
      </c>
      <c r="H348">
        <f>IF(G348="","",INT((G348-SAT1)/7)+1)</f>
        <v/>
      </c>
      <c r="I348">
        <f>IF(H348="","",IF(OR(H348&lt;1,H348&gt;NW),"",INDEX(WMON,H348)))</f>
        <v/>
      </c>
      <c r="J348">
        <f>IF(OR(G348="",H348="",B348=""),"",IF(B348="عمر المصري",SUMIFS('ساعات عمر'!$H$6:$H$588,'ساعات عمر'!$A$6:$A$588,"&gt;="&amp;(SAT1+7*(H348-1)),'ساعات عمر'!$A$6:$A$588,"&lt;="&amp;G348),SUMIFS('ساعات عبدالعزيز'!$F$6:$F$588,'ساعات عبدالعزيز'!$A$6:$A$588,"&gt;="&amp;(SAT1+7*(H348-1)),'ساعات عبدالعزيز'!$A$6:$A$588,"&lt;="&amp;G348)))</f>
        <v/>
      </c>
    </row>
    <row r="349">
      <c r="A349" s="48" t="n"/>
      <c r="B349" s="22" t="n"/>
      <c r="C349" s="49" t="n"/>
      <c r="D349" s="50" t="n"/>
      <c r="E349" s="51">
        <f>IF(G349="","",IF(OR(H349&lt;1,H349&gt;NW),"⛔ التاريخ برّا السنة",IF(AND(N(C349)&gt;0,N(J349)&gt;0,C349&gt;ADV_CAP*J349),"⚠️ أكثر من "&amp;TEXT(ADV_CAP,"0%")&amp;" من شغله ("&amp;TEXT(J349,"0.000")&amp;")","")))</f>
        <v/>
      </c>
      <c r="G349">
        <f>IF(A349="","",IF(ISNUMBER(A349),IF(A349&lt;=31,"",IF(A349&lt;=3112,IF(DATE(YR,MOD(A349,100),INT(A349/100))&gt;SAT1+7*NW-1,DATE(YR-1,MOD(A349,100),INT(A349/100)),DATE(YR,MOD(A349,100),INT(A349/100))),A349)),IFERROR(DATEVALUE(A349),"")))</f>
        <v/>
      </c>
      <c r="H349">
        <f>IF(G349="","",INT((G349-SAT1)/7)+1)</f>
        <v/>
      </c>
      <c r="I349">
        <f>IF(H349="","",IF(OR(H349&lt;1,H349&gt;NW),"",INDEX(WMON,H349)))</f>
        <v/>
      </c>
      <c r="J349">
        <f>IF(OR(G349="",H349="",B349=""),"",IF(B349="عمر المصري",SUMIFS('ساعات عمر'!$H$6:$H$588,'ساعات عمر'!$A$6:$A$588,"&gt;="&amp;(SAT1+7*(H349-1)),'ساعات عمر'!$A$6:$A$588,"&lt;="&amp;G349),SUMIFS('ساعات عبدالعزيز'!$F$6:$F$588,'ساعات عبدالعزيز'!$A$6:$A$588,"&gt;="&amp;(SAT1+7*(H349-1)),'ساعات عبدالعزيز'!$A$6:$A$588,"&lt;="&amp;G349)))</f>
        <v/>
      </c>
    </row>
    <row r="350">
      <c r="A350" s="48" t="n"/>
      <c r="B350" s="22" t="n"/>
      <c r="C350" s="49" t="n"/>
      <c r="D350" s="50" t="n"/>
      <c r="E350" s="51">
        <f>IF(G350="","",IF(OR(H350&lt;1,H350&gt;NW),"⛔ التاريخ برّا السنة",IF(AND(N(C350)&gt;0,N(J350)&gt;0,C350&gt;ADV_CAP*J350),"⚠️ أكثر من "&amp;TEXT(ADV_CAP,"0%")&amp;" من شغله ("&amp;TEXT(J350,"0.000")&amp;")","")))</f>
        <v/>
      </c>
      <c r="G350">
        <f>IF(A350="","",IF(ISNUMBER(A350),IF(A350&lt;=31,"",IF(A350&lt;=3112,IF(DATE(YR,MOD(A350,100),INT(A350/100))&gt;SAT1+7*NW-1,DATE(YR-1,MOD(A350,100),INT(A350/100)),DATE(YR,MOD(A350,100),INT(A350/100))),A350)),IFERROR(DATEVALUE(A350),"")))</f>
        <v/>
      </c>
      <c r="H350">
        <f>IF(G350="","",INT((G350-SAT1)/7)+1)</f>
        <v/>
      </c>
      <c r="I350">
        <f>IF(H350="","",IF(OR(H350&lt;1,H350&gt;NW),"",INDEX(WMON,H350)))</f>
        <v/>
      </c>
      <c r="J350">
        <f>IF(OR(G350="",H350="",B350=""),"",IF(B350="عمر المصري",SUMIFS('ساعات عمر'!$H$6:$H$588,'ساعات عمر'!$A$6:$A$588,"&gt;="&amp;(SAT1+7*(H350-1)),'ساعات عمر'!$A$6:$A$588,"&lt;="&amp;G350),SUMIFS('ساعات عبدالعزيز'!$F$6:$F$588,'ساعات عبدالعزيز'!$A$6:$A$588,"&gt;="&amp;(SAT1+7*(H350-1)),'ساعات عبدالعزيز'!$A$6:$A$588,"&lt;="&amp;G350)))</f>
        <v/>
      </c>
    </row>
    <row r="351">
      <c r="A351" s="48" t="n"/>
      <c r="B351" s="22" t="n"/>
      <c r="C351" s="49" t="n"/>
      <c r="D351" s="50" t="n"/>
      <c r="E351" s="51">
        <f>IF(G351="","",IF(OR(H351&lt;1,H351&gt;NW),"⛔ التاريخ برّا السنة",IF(AND(N(C351)&gt;0,N(J351)&gt;0,C351&gt;ADV_CAP*J351),"⚠️ أكثر من "&amp;TEXT(ADV_CAP,"0%")&amp;" من شغله ("&amp;TEXT(J351,"0.000")&amp;")","")))</f>
        <v/>
      </c>
      <c r="G351">
        <f>IF(A351="","",IF(ISNUMBER(A351),IF(A351&lt;=31,"",IF(A351&lt;=3112,IF(DATE(YR,MOD(A351,100),INT(A351/100))&gt;SAT1+7*NW-1,DATE(YR-1,MOD(A351,100),INT(A351/100)),DATE(YR,MOD(A351,100),INT(A351/100))),A351)),IFERROR(DATEVALUE(A351),"")))</f>
        <v/>
      </c>
      <c r="H351">
        <f>IF(G351="","",INT((G351-SAT1)/7)+1)</f>
        <v/>
      </c>
      <c r="I351">
        <f>IF(H351="","",IF(OR(H351&lt;1,H351&gt;NW),"",INDEX(WMON,H351)))</f>
        <v/>
      </c>
      <c r="J351">
        <f>IF(OR(G351="",H351="",B351=""),"",IF(B351="عمر المصري",SUMIFS('ساعات عمر'!$H$6:$H$588,'ساعات عمر'!$A$6:$A$588,"&gt;="&amp;(SAT1+7*(H351-1)),'ساعات عمر'!$A$6:$A$588,"&lt;="&amp;G351),SUMIFS('ساعات عبدالعزيز'!$F$6:$F$588,'ساعات عبدالعزيز'!$A$6:$A$588,"&gt;="&amp;(SAT1+7*(H351-1)),'ساعات عبدالعزيز'!$A$6:$A$588,"&lt;="&amp;G351)))</f>
        <v/>
      </c>
    </row>
    <row r="352">
      <c r="A352" s="48" t="n"/>
      <c r="B352" s="22" t="n"/>
      <c r="C352" s="49" t="n"/>
      <c r="D352" s="50" t="n"/>
      <c r="E352" s="51">
        <f>IF(G352="","",IF(OR(H352&lt;1,H352&gt;NW),"⛔ التاريخ برّا السنة",IF(AND(N(C352)&gt;0,N(J352)&gt;0,C352&gt;ADV_CAP*J352),"⚠️ أكثر من "&amp;TEXT(ADV_CAP,"0%")&amp;" من شغله ("&amp;TEXT(J352,"0.000")&amp;")","")))</f>
        <v/>
      </c>
      <c r="G352">
        <f>IF(A352="","",IF(ISNUMBER(A352),IF(A352&lt;=31,"",IF(A352&lt;=3112,IF(DATE(YR,MOD(A352,100),INT(A352/100))&gt;SAT1+7*NW-1,DATE(YR-1,MOD(A352,100),INT(A352/100)),DATE(YR,MOD(A352,100),INT(A352/100))),A352)),IFERROR(DATEVALUE(A352),"")))</f>
        <v/>
      </c>
      <c r="H352">
        <f>IF(G352="","",INT((G352-SAT1)/7)+1)</f>
        <v/>
      </c>
      <c r="I352">
        <f>IF(H352="","",IF(OR(H352&lt;1,H352&gt;NW),"",INDEX(WMON,H352)))</f>
        <v/>
      </c>
      <c r="J352">
        <f>IF(OR(G352="",H352="",B352=""),"",IF(B352="عمر المصري",SUMIFS('ساعات عمر'!$H$6:$H$588,'ساعات عمر'!$A$6:$A$588,"&gt;="&amp;(SAT1+7*(H352-1)),'ساعات عمر'!$A$6:$A$588,"&lt;="&amp;G352),SUMIFS('ساعات عبدالعزيز'!$F$6:$F$588,'ساعات عبدالعزيز'!$A$6:$A$588,"&gt;="&amp;(SAT1+7*(H352-1)),'ساعات عبدالعزيز'!$A$6:$A$588,"&lt;="&amp;G352)))</f>
        <v/>
      </c>
    </row>
    <row r="353">
      <c r="A353" s="48" t="n"/>
      <c r="B353" s="22" t="n"/>
      <c r="C353" s="49" t="n"/>
      <c r="D353" s="50" t="n"/>
      <c r="E353" s="51">
        <f>IF(G353="","",IF(OR(H353&lt;1,H353&gt;NW),"⛔ التاريخ برّا السنة",IF(AND(N(C353)&gt;0,N(J353)&gt;0,C353&gt;ADV_CAP*J353),"⚠️ أكثر من "&amp;TEXT(ADV_CAP,"0%")&amp;" من شغله ("&amp;TEXT(J353,"0.000")&amp;")","")))</f>
        <v/>
      </c>
      <c r="G353">
        <f>IF(A353="","",IF(ISNUMBER(A353),IF(A353&lt;=31,"",IF(A353&lt;=3112,IF(DATE(YR,MOD(A353,100),INT(A353/100))&gt;SAT1+7*NW-1,DATE(YR-1,MOD(A353,100),INT(A353/100)),DATE(YR,MOD(A353,100),INT(A353/100))),A353)),IFERROR(DATEVALUE(A353),"")))</f>
        <v/>
      </c>
      <c r="H353">
        <f>IF(G353="","",INT((G353-SAT1)/7)+1)</f>
        <v/>
      </c>
      <c r="I353">
        <f>IF(H353="","",IF(OR(H353&lt;1,H353&gt;NW),"",INDEX(WMON,H353)))</f>
        <v/>
      </c>
      <c r="J353">
        <f>IF(OR(G353="",H353="",B353=""),"",IF(B353="عمر المصري",SUMIFS('ساعات عمر'!$H$6:$H$588,'ساعات عمر'!$A$6:$A$588,"&gt;="&amp;(SAT1+7*(H353-1)),'ساعات عمر'!$A$6:$A$588,"&lt;="&amp;G353),SUMIFS('ساعات عبدالعزيز'!$F$6:$F$588,'ساعات عبدالعزيز'!$A$6:$A$588,"&gt;="&amp;(SAT1+7*(H353-1)),'ساعات عبدالعزيز'!$A$6:$A$588,"&lt;="&amp;G353)))</f>
        <v/>
      </c>
    </row>
    <row r="354">
      <c r="A354" s="48" t="n"/>
      <c r="B354" s="22" t="n"/>
      <c r="C354" s="49" t="n"/>
      <c r="D354" s="50" t="n"/>
      <c r="E354" s="51">
        <f>IF(G354="","",IF(OR(H354&lt;1,H354&gt;NW),"⛔ التاريخ برّا السنة",IF(AND(N(C354)&gt;0,N(J354)&gt;0,C354&gt;ADV_CAP*J354),"⚠️ أكثر من "&amp;TEXT(ADV_CAP,"0%")&amp;" من شغله ("&amp;TEXT(J354,"0.000")&amp;")","")))</f>
        <v/>
      </c>
      <c r="G354">
        <f>IF(A354="","",IF(ISNUMBER(A354),IF(A354&lt;=31,"",IF(A354&lt;=3112,IF(DATE(YR,MOD(A354,100),INT(A354/100))&gt;SAT1+7*NW-1,DATE(YR-1,MOD(A354,100),INT(A354/100)),DATE(YR,MOD(A354,100),INT(A354/100))),A354)),IFERROR(DATEVALUE(A354),"")))</f>
        <v/>
      </c>
      <c r="H354">
        <f>IF(G354="","",INT((G354-SAT1)/7)+1)</f>
        <v/>
      </c>
      <c r="I354">
        <f>IF(H354="","",IF(OR(H354&lt;1,H354&gt;NW),"",INDEX(WMON,H354)))</f>
        <v/>
      </c>
      <c r="J354">
        <f>IF(OR(G354="",H354="",B354=""),"",IF(B354="عمر المصري",SUMIFS('ساعات عمر'!$H$6:$H$588,'ساعات عمر'!$A$6:$A$588,"&gt;="&amp;(SAT1+7*(H354-1)),'ساعات عمر'!$A$6:$A$588,"&lt;="&amp;G354),SUMIFS('ساعات عبدالعزيز'!$F$6:$F$588,'ساعات عبدالعزيز'!$A$6:$A$588,"&gt;="&amp;(SAT1+7*(H354-1)),'ساعات عبدالعزيز'!$A$6:$A$588,"&lt;="&amp;G354)))</f>
        <v/>
      </c>
    </row>
    <row r="355">
      <c r="A355" s="48" t="n"/>
      <c r="B355" s="22" t="n"/>
      <c r="C355" s="49" t="n"/>
      <c r="D355" s="50" t="n"/>
      <c r="E355" s="51">
        <f>IF(G355="","",IF(OR(H355&lt;1,H355&gt;NW),"⛔ التاريخ برّا السنة",IF(AND(N(C355)&gt;0,N(J355)&gt;0,C355&gt;ADV_CAP*J355),"⚠️ أكثر من "&amp;TEXT(ADV_CAP,"0%")&amp;" من شغله ("&amp;TEXT(J355,"0.000")&amp;")","")))</f>
        <v/>
      </c>
      <c r="G355">
        <f>IF(A355="","",IF(ISNUMBER(A355),IF(A355&lt;=31,"",IF(A355&lt;=3112,IF(DATE(YR,MOD(A355,100),INT(A355/100))&gt;SAT1+7*NW-1,DATE(YR-1,MOD(A355,100),INT(A355/100)),DATE(YR,MOD(A355,100),INT(A355/100))),A355)),IFERROR(DATEVALUE(A355),"")))</f>
        <v/>
      </c>
      <c r="H355">
        <f>IF(G355="","",INT((G355-SAT1)/7)+1)</f>
        <v/>
      </c>
      <c r="I355">
        <f>IF(H355="","",IF(OR(H355&lt;1,H355&gt;NW),"",INDEX(WMON,H355)))</f>
        <v/>
      </c>
      <c r="J355">
        <f>IF(OR(G355="",H355="",B355=""),"",IF(B355="عمر المصري",SUMIFS('ساعات عمر'!$H$6:$H$588,'ساعات عمر'!$A$6:$A$588,"&gt;="&amp;(SAT1+7*(H355-1)),'ساعات عمر'!$A$6:$A$588,"&lt;="&amp;G355),SUMIFS('ساعات عبدالعزيز'!$F$6:$F$588,'ساعات عبدالعزيز'!$A$6:$A$588,"&gt;="&amp;(SAT1+7*(H355-1)),'ساعات عبدالعزيز'!$A$6:$A$588,"&lt;="&amp;G355)))</f>
        <v/>
      </c>
    </row>
    <row r="356">
      <c r="A356" s="48" t="n"/>
      <c r="B356" s="22" t="n"/>
      <c r="C356" s="49" t="n"/>
      <c r="D356" s="50" t="n"/>
      <c r="E356" s="51">
        <f>IF(G356="","",IF(OR(H356&lt;1,H356&gt;NW),"⛔ التاريخ برّا السنة",IF(AND(N(C356)&gt;0,N(J356)&gt;0,C356&gt;ADV_CAP*J356),"⚠️ أكثر من "&amp;TEXT(ADV_CAP,"0%")&amp;" من شغله ("&amp;TEXT(J356,"0.000")&amp;")","")))</f>
        <v/>
      </c>
      <c r="G356">
        <f>IF(A356="","",IF(ISNUMBER(A356),IF(A356&lt;=31,"",IF(A356&lt;=3112,IF(DATE(YR,MOD(A356,100),INT(A356/100))&gt;SAT1+7*NW-1,DATE(YR-1,MOD(A356,100),INT(A356/100)),DATE(YR,MOD(A356,100),INT(A356/100))),A356)),IFERROR(DATEVALUE(A356),"")))</f>
        <v/>
      </c>
      <c r="H356">
        <f>IF(G356="","",INT((G356-SAT1)/7)+1)</f>
        <v/>
      </c>
      <c r="I356">
        <f>IF(H356="","",IF(OR(H356&lt;1,H356&gt;NW),"",INDEX(WMON,H356)))</f>
        <v/>
      </c>
      <c r="J356">
        <f>IF(OR(G356="",H356="",B356=""),"",IF(B356="عمر المصري",SUMIFS('ساعات عمر'!$H$6:$H$588,'ساعات عمر'!$A$6:$A$588,"&gt;="&amp;(SAT1+7*(H356-1)),'ساعات عمر'!$A$6:$A$588,"&lt;="&amp;G356),SUMIFS('ساعات عبدالعزيز'!$F$6:$F$588,'ساعات عبدالعزيز'!$A$6:$A$588,"&gt;="&amp;(SAT1+7*(H356-1)),'ساعات عبدالعزيز'!$A$6:$A$588,"&lt;="&amp;G356)))</f>
        <v/>
      </c>
    </row>
    <row r="357">
      <c r="A357" s="48" t="n"/>
      <c r="B357" s="22" t="n"/>
      <c r="C357" s="49" t="n"/>
      <c r="D357" s="50" t="n"/>
      <c r="E357" s="51">
        <f>IF(G357="","",IF(OR(H357&lt;1,H357&gt;NW),"⛔ التاريخ برّا السنة",IF(AND(N(C357)&gt;0,N(J357)&gt;0,C357&gt;ADV_CAP*J357),"⚠️ أكثر من "&amp;TEXT(ADV_CAP,"0%")&amp;" من شغله ("&amp;TEXT(J357,"0.000")&amp;")","")))</f>
        <v/>
      </c>
      <c r="G357">
        <f>IF(A357="","",IF(ISNUMBER(A357),IF(A357&lt;=31,"",IF(A357&lt;=3112,IF(DATE(YR,MOD(A357,100),INT(A357/100))&gt;SAT1+7*NW-1,DATE(YR-1,MOD(A357,100),INT(A357/100)),DATE(YR,MOD(A357,100),INT(A357/100))),A357)),IFERROR(DATEVALUE(A357),"")))</f>
        <v/>
      </c>
      <c r="H357">
        <f>IF(G357="","",INT((G357-SAT1)/7)+1)</f>
        <v/>
      </c>
      <c r="I357">
        <f>IF(H357="","",IF(OR(H357&lt;1,H357&gt;NW),"",INDEX(WMON,H357)))</f>
        <v/>
      </c>
      <c r="J357">
        <f>IF(OR(G357="",H357="",B357=""),"",IF(B357="عمر المصري",SUMIFS('ساعات عمر'!$H$6:$H$588,'ساعات عمر'!$A$6:$A$588,"&gt;="&amp;(SAT1+7*(H357-1)),'ساعات عمر'!$A$6:$A$588,"&lt;="&amp;G357),SUMIFS('ساعات عبدالعزيز'!$F$6:$F$588,'ساعات عبدالعزيز'!$A$6:$A$588,"&gt;="&amp;(SAT1+7*(H357-1)),'ساعات عبدالعزيز'!$A$6:$A$588,"&lt;="&amp;G357)))</f>
        <v/>
      </c>
    </row>
    <row r="358">
      <c r="A358" s="48" t="n"/>
      <c r="B358" s="22" t="n"/>
      <c r="C358" s="49" t="n"/>
      <c r="D358" s="50" t="n"/>
      <c r="E358" s="51">
        <f>IF(G358="","",IF(OR(H358&lt;1,H358&gt;NW),"⛔ التاريخ برّا السنة",IF(AND(N(C358)&gt;0,N(J358)&gt;0,C358&gt;ADV_CAP*J358),"⚠️ أكثر من "&amp;TEXT(ADV_CAP,"0%")&amp;" من شغله ("&amp;TEXT(J358,"0.000")&amp;")","")))</f>
        <v/>
      </c>
      <c r="G358">
        <f>IF(A358="","",IF(ISNUMBER(A358),IF(A358&lt;=31,"",IF(A358&lt;=3112,IF(DATE(YR,MOD(A358,100),INT(A358/100))&gt;SAT1+7*NW-1,DATE(YR-1,MOD(A358,100),INT(A358/100)),DATE(YR,MOD(A358,100),INT(A358/100))),A358)),IFERROR(DATEVALUE(A358),"")))</f>
        <v/>
      </c>
      <c r="H358">
        <f>IF(G358="","",INT((G358-SAT1)/7)+1)</f>
        <v/>
      </c>
      <c r="I358">
        <f>IF(H358="","",IF(OR(H358&lt;1,H358&gt;NW),"",INDEX(WMON,H358)))</f>
        <v/>
      </c>
      <c r="J358">
        <f>IF(OR(G358="",H358="",B358=""),"",IF(B358="عمر المصري",SUMIFS('ساعات عمر'!$H$6:$H$588,'ساعات عمر'!$A$6:$A$588,"&gt;="&amp;(SAT1+7*(H358-1)),'ساعات عمر'!$A$6:$A$588,"&lt;="&amp;G358),SUMIFS('ساعات عبدالعزيز'!$F$6:$F$588,'ساعات عبدالعزيز'!$A$6:$A$588,"&gt;="&amp;(SAT1+7*(H358-1)),'ساعات عبدالعزيز'!$A$6:$A$588,"&lt;="&amp;G358)))</f>
        <v/>
      </c>
    </row>
    <row r="359">
      <c r="A359" s="48" t="n"/>
      <c r="B359" s="22" t="n"/>
      <c r="C359" s="49" t="n"/>
      <c r="D359" s="50" t="n"/>
      <c r="E359" s="51">
        <f>IF(G359="","",IF(OR(H359&lt;1,H359&gt;NW),"⛔ التاريخ برّا السنة",IF(AND(N(C359)&gt;0,N(J359)&gt;0,C359&gt;ADV_CAP*J359),"⚠️ أكثر من "&amp;TEXT(ADV_CAP,"0%")&amp;" من شغله ("&amp;TEXT(J359,"0.000")&amp;")","")))</f>
        <v/>
      </c>
      <c r="G359">
        <f>IF(A359="","",IF(ISNUMBER(A359),IF(A359&lt;=31,"",IF(A359&lt;=3112,IF(DATE(YR,MOD(A359,100),INT(A359/100))&gt;SAT1+7*NW-1,DATE(YR-1,MOD(A359,100),INT(A359/100)),DATE(YR,MOD(A359,100),INT(A359/100))),A359)),IFERROR(DATEVALUE(A359),"")))</f>
        <v/>
      </c>
      <c r="H359">
        <f>IF(G359="","",INT((G359-SAT1)/7)+1)</f>
        <v/>
      </c>
      <c r="I359">
        <f>IF(H359="","",IF(OR(H359&lt;1,H359&gt;NW),"",INDEX(WMON,H359)))</f>
        <v/>
      </c>
      <c r="J359">
        <f>IF(OR(G359="",H359="",B359=""),"",IF(B359="عمر المصري",SUMIFS('ساعات عمر'!$H$6:$H$588,'ساعات عمر'!$A$6:$A$588,"&gt;="&amp;(SAT1+7*(H359-1)),'ساعات عمر'!$A$6:$A$588,"&lt;="&amp;G359),SUMIFS('ساعات عبدالعزيز'!$F$6:$F$588,'ساعات عبدالعزيز'!$A$6:$A$588,"&gt;="&amp;(SAT1+7*(H359-1)),'ساعات عبدالعزيز'!$A$6:$A$588,"&lt;="&amp;G359)))</f>
        <v/>
      </c>
    </row>
    <row r="360">
      <c r="A360" s="48" t="n"/>
      <c r="B360" s="22" t="n"/>
      <c r="C360" s="49" t="n"/>
      <c r="D360" s="50" t="n"/>
      <c r="E360" s="51">
        <f>IF(G360="","",IF(OR(H360&lt;1,H360&gt;NW),"⛔ التاريخ برّا السنة",IF(AND(N(C360)&gt;0,N(J360)&gt;0,C360&gt;ADV_CAP*J360),"⚠️ أكثر من "&amp;TEXT(ADV_CAP,"0%")&amp;" من شغله ("&amp;TEXT(J360,"0.000")&amp;")","")))</f>
        <v/>
      </c>
      <c r="G360">
        <f>IF(A360="","",IF(ISNUMBER(A360),IF(A360&lt;=31,"",IF(A360&lt;=3112,IF(DATE(YR,MOD(A360,100),INT(A360/100))&gt;SAT1+7*NW-1,DATE(YR-1,MOD(A360,100),INT(A360/100)),DATE(YR,MOD(A360,100),INT(A360/100))),A360)),IFERROR(DATEVALUE(A360),"")))</f>
        <v/>
      </c>
      <c r="H360">
        <f>IF(G360="","",INT((G360-SAT1)/7)+1)</f>
        <v/>
      </c>
      <c r="I360">
        <f>IF(H360="","",IF(OR(H360&lt;1,H360&gt;NW),"",INDEX(WMON,H360)))</f>
        <v/>
      </c>
      <c r="J360">
        <f>IF(OR(G360="",H360="",B360=""),"",IF(B360="عمر المصري",SUMIFS('ساعات عمر'!$H$6:$H$588,'ساعات عمر'!$A$6:$A$588,"&gt;="&amp;(SAT1+7*(H360-1)),'ساعات عمر'!$A$6:$A$588,"&lt;="&amp;G360),SUMIFS('ساعات عبدالعزيز'!$F$6:$F$588,'ساعات عبدالعزيز'!$A$6:$A$588,"&gt;="&amp;(SAT1+7*(H360-1)),'ساعات عبدالعزيز'!$A$6:$A$588,"&lt;="&amp;G360)))</f>
        <v/>
      </c>
    </row>
    <row r="361">
      <c r="A361" s="48" t="n"/>
      <c r="B361" s="22" t="n"/>
      <c r="C361" s="49" t="n"/>
      <c r="D361" s="50" t="n"/>
      <c r="E361" s="51">
        <f>IF(G361="","",IF(OR(H361&lt;1,H361&gt;NW),"⛔ التاريخ برّا السنة",IF(AND(N(C361)&gt;0,N(J361)&gt;0,C361&gt;ADV_CAP*J361),"⚠️ أكثر من "&amp;TEXT(ADV_CAP,"0%")&amp;" من شغله ("&amp;TEXT(J361,"0.000")&amp;")","")))</f>
        <v/>
      </c>
      <c r="G361">
        <f>IF(A361="","",IF(ISNUMBER(A361),IF(A361&lt;=31,"",IF(A361&lt;=3112,IF(DATE(YR,MOD(A361,100),INT(A361/100))&gt;SAT1+7*NW-1,DATE(YR-1,MOD(A361,100),INT(A361/100)),DATE(YR,MOD(A361,100),INT(A361/100))),A361)),IFERROR(DATEVALUE(A361),"")))</f>
        <v/>
      </c>
      <c r="H361">
        <f>IF(G361="","",INT((G361-SAT1)/7)+1)</f>
        <v/>
      </c>
      <c r="I361">
        <f>IF(H361="","",IF(OR(H361&lt;1,H361&gt;NW),"",INDEX(WMON,H361)))</f>
        <v/>
      </c>
      <c r="J361">
        <f>IF(OR(G361="",H361="",B361=""),"",IF(B361="عمر المصري",SUMIFS('ساعات عمر'!$H$6:$H$588,'ساعات عمر'!$A$6:$A$588,"&gt;="&amp;(SAT1+7*(H361-1)),'ساعات عمر'!$A$6:$A$588,"&lt;="&amp;G361),SUMIFS('ساعات عبدالعزيز'!$F$6:$F$588,'ساعات عبدالعزيز'!$A$6:$A$588,"&gt;="&amp;(SAT1+7*(H361-1)),'ساعات عبدالعزيز'!$A$6:$A$588,"&lt;="&amp;G361)))</f>
        <v/>
      </c>
    </row>
    <row r="362">
      <c r="A362" s="48" t="n"/>
      <c r="B362" s="22" t="n"/>
      <c r="C362" s="49" t="n"/>
      <c r="D362" s="50" t="n"/>
      <c r="E362" s="51">
        <f>IF(G362="","",IF(OR(H362&lt;1,H362&gt;NW),"⛔ التاريخ برّا السنة",IF(AND(N(C362)&gt;0,N(J362)&gt;0,C362&gt;ADV_CAP*J362),"⚠️ أكثر من "&amp;TEXT(ADV_CAP,"0%")&amp;" من شغله ("&amp;TEXT(J362,"0.000")&amp;")","")))</f>
        <v/>
      </c>
      <c r="G362">
        <f>IF(A362="","",IF(ISNUMBER(A362),IF(A362&lt;=31,"",IF(A362&lt;=3112,IF(DATE(YR,MOD(A362,100),INT(A362/100))&gt;SAT1+7*NW-1,DATE(YR-1,MOD(A362,100),INT(A362/100)),DATE(YR,MOD(A362,100),INT(A362/100))),A362)),IFERROR(DATEVALUE(A362),"")))</f>
        <v/>
      </c>
      <c r="H362">
        <f>IF(G362="","",INT((G362-SAT1)/7)+1)</f>
        <v/>
      </c>
      <c r="I362">
        <f>IF(H362="","",IF(OR(H362&lt;1,H362&gt;NW),"",INDEX(WMON,H362)))</f>
        <v/>
      </c>
      <c r="J362">
        <f>IF(OR(G362="",H362="",B362=""),"",IF(B362="عمر المصري",SUMIFS('ساعات عمر'!$H$6:$H$588,'ساعات عمر'!$A$6:$A$588,"&gt;="&amp;(SAT1+7*(H362-1)),'ساعات عمر'!$A$6:$A$588,"&lt;="&amp;G362),SUMIFS('ساعات عبدالعزيز'!$F$6:$F$588,'ساعات عبدالعزيز'!$A$6:$A$588,"&gt;="&amp;(SAT1+7*(H362-1)),'ساعات عبدالعزيز'!$A$6:$A$588,"&lt;="&amp;G362)))</f>
        <v/>
      </c>
    </row>
    <row r="363">
      <c r="A363" s="48" t="n"/>
      <c r="B363" s="22" t="n"/>
      <c r="C363" s="49" t="n"/>
      <c r="D363" s="50" t="n"/>
      <c r="E363" s="51">
        <f>IF(G363="","",IF(OR(H363&lt;1,H363&gt;NW),"⛔ التاريخ برّا السنة",IF(AND(N(C363)&gt;0,N(J363)&gt;0,C363&gt;ADV_CAP*J363),"⚠️ أكثر من "&amp;TEXT(ADV_CAP,"0%")&amp;" من شغله ("&amp;TEXT(J363,"0.000")&amp;")","")))</f>
        <v/>
      </c>
      <c r="G363">
        <f>IF(A363="","",IF(ISNUMBER(A363),IF(A363&lt;=31,"",IF(A363&lt;=3112,IF(DATE(YR,MOD(A363,100),INT(A363/100))&gt;SAT1+7*NW-1,DATE(YR-1,MOD(A363,100),INT(A363/100)),DATE(YR,MOD(A363,100),INT(A363/100))),A363)),IFERROR(DATEVALUE(A363),"")))</f>
        <v/>
      </c>
      <c r="H363">
        <f>IF(G363="","",INT((G363-SAT1)/7)+1)</f>
        <v/>
      </c>
      <c r="I363">
        <f>IF(H363="","",IF(OR(H363&lt;1,H363&gt;NW),"",INDEX(WMON,H363)))</f>
        <v/>
      </c>
      <c r="J363">
        <f>IF(OR(G363="",H363="",B363=""),"",IF(B363="عمر المصري",SUMIFS('ساعات عمر'!$H$6:$H$588,'ساعات عمر'!$A$6:$A$588,"&gt;="&amp;(SAT1+7*(H363-1)),'ساعات عمر'!$A$6:$A$588,"&lt;="&amp;G363),SUMIFS('ساعات عبدالعزيز'!$F$6:$F$588,'ساعات عبدالعزيز'!$A$6:$A$588,"&gt;="&amp;(SAT1+7*(H363-1)),'ساعات عبدالعزيز'!$A$6:$A$588,"&lt;="&amp;G363)))</f>
        <v/>
      </c>
    </row>
    <row r="364">
      <c r="A364" s="48" t="n"/>
      <c r="B364" s="22" t="n"/>
      <c r="C364" s="49" t="n"/>
      <c r="D364" s="50" t="n"/>
      <c r="E364" s="51">
        <f>IF(G364="","",IF(OR(H364&lt;1,H364&gt;NW),"⛔ التاريخ برّا السنة",IF(AND(N(C364)&gt;0,N(J364)&gt;0,C364&gt;ADV_CAP*J364),"⚠️ أكثر من "&amp;TEXT(ADV_CAP,"0%")&amp;" من شغله ("&amp;TEXT(J364,"0.000")&amp;")","")))</f>
        <v/>
      </c>
      <c r="G364">
        <f>IF(A364="","",IF(ISNUMBER(A364),IF(A364&lt;=31,"",IF(A364&lt;=3112,IF(DATE(YR,MOD(A364,100),INT(A364/100))&gt;SAT1+7*NW-1,DATE(YR-1,MOD(A364,100),INT(A364/100)),DATE(YR,MOD(A364,100),INT(A364/100))),A364)),IFERROR(DATEVALUE(A364),"")))</f>
        <v/>
      </c>
      <c r="H364">
        <f>IF(G364="","",INT((G364-SAT1)/7)+1)</f>
        <v/>
      </c>
      <c r="I364">
        <f>IF(H364="","",IF(OR(H364&lt;1,H364&gt;NW),"",INDEX(WMON,H364)))</f>
        <v/>
      </c>
      <c r="J364">
        <f>IF(OR(G364="",H364="",B364=""),"",IF(B364="عمر المصري",SUMIFS('ساعات عمر'!$H$6:$H$588,'ساعات عمر'!$A$6:$A$588,"&gt;="&amp;(SAT1+7*(H364-1)),'ساعات عمر'!$A$6:$A$588,"&lt;="&amp;G364),SUMIFS('ساعات عبدالعزيز'!$F$6:$F$588,'ساعات عبدالعزيز'!$A$6:$A$588,"&gt;="&amp;(SAT1+7*(H364-1)),'ساعات عبدالعزيز'!$A$6:$A$588,"&lt;="&amp;G364)))</f>
        <v/>
      </c>
    </row>
    <row r="365">
      <c r="A365" s="48" t="n"/>
      <c r="B365" s="22" t="n"/>
      <c r="C365" s="49" t="n"/>
      <c r="D365" s="50" t="n"/>
      <c r="E365" s="51">
        <f>IF(G365="","",IF(OR(H365&lt;1,H365&gt;NW),"⛔ التاريخ برّا السنة",IF(AND(N(C365)&gt;0,N(J365)&gt;0,C365&gt;ADV_CAP*J365),"⚠️ أكثر من "&amp;TEXT(ADV_CAP,"0%")&amp;" من شغله ("&amp;TEXT(J365,"0.000")&amp;")","")))</f>
        <v/>
      </c>
      <c r="G365">
        <f>IF(A365="","",IF(ISNUMBER(A365),IF(A365&lt;=31,"",IF(A365&lt;=3112,IF(DATE(YR,MOD(A365,100),INT(A365/100))&gt;SAT1+7*NW-1,DATE(YR-1,MOD(A365,100),INT(A365/100)),DATE(YR,MOD(A365,100),INT(A365/100))),A365)),IFERROR(DATEVALUE(A365),"")))</f>
        <v/>
      </c>
      <c r="H365">
        <f>IF(G365="","",INT((G365-SAT1)/7)+1)</f>
        <v/>
      </c>
      <c r="I365">
        <f>IF(H365="","",IF(OR(H365&lt;1,H365&gt;NW),"",INDEX(WMON,H365)))</f>
        <v/>
      </c>
      <c r="J365">
        <f>IF(OR(G365="",H365="",B365=""),"",IF(B365="عمر المصري",SUMIFS('ساعات عمر'!$H$6:$H$588,'ساعات عمر'!$A$6:$A$588,"&gt;="&amp;(SAT1+7*(H365-1)),'ساعات عمر'!$A$6:$A$588,"&lt;="&amp;G365),SUMIFS('ساعات عبدالعزيز'!$F$6:$F$588,'ساعات عبدالعزيز'!$A$6:$A$588,"&gt;="&amp;(SAT1+7*(H365-1)),'ساعات عبدالعزيز'!$A$6:$A$588,"&lt;="&amp;G365)))</f>
        <v/>
      </c>
    </row>
    <row r="366">
      <c r="A366" s="48" t="n"/>
      <c r="B366" s="22" t="n"/>
      <c r="C366" s="49" t="n"/>
      <c r="D366" s="50" t="n"/>
      <c r="E366" s="51">
        <f>IF(G366="","",IF(OR(H366&lt;1,H366&gt;NW),"⛔ التاريخ برّا السنة",IF(AND(N(C366)&gt;0,N(J366)&gt;0,C366&gt;ADV_CAP*J366),"⚠️ أكثر من "&amp;TEXT(ADV_CAP,"0%")&amp;" من شغله ("&amp;TEXT(J366,"0.000")&amp;")","")))</f>
        <v/>
      </c>
      <c r="G366">
        <f>IF(A366="","",IF(ISNUMBER(A366),IF(A366&lt;=31,"",IF(A366&lt;=3112,IF(DATE(YR,MOD(A366,100),INT(A366/100))&gt;SAT1+7*NW-1,DATE(YR-1,MOD(A366,100),INT(A366/100)),DATE(YR,MOD(A366,100),INT(A366/100))),A366)),IFERROR(DATEVALUE(A366),"")))</f>
        <v/>
      </c>
      <c r="H366">
        <f>IF(G366="","",INT((G366-SAT1)/7)+1)</f>
        <v/>
      </c>
      <c r="I366">
        <f>IF(H366="","",IF(OR(H366&lt;1,H366&gt;NW),"",INDEX(WMON,H366)))</f>
        <v/>
      </c>
      <c r="J366">
        <f>IF(OR(G366="",H366="",B366=""),"",IF(B366="عمر المصري",SUMIFS('ساعات عمر'!$H$6:$H$588,'ساعات عمر'!$A$6:$A$588,"&gt;="&amp;(SAT1+7*(H366-1)),'ساعات عمر'!$A$6:$A$588,"&lt;="&amp;G366),SUMIFS('ساعات عبدالعزيز'!$F$6:$F$588,'ساعات عبدالعزيز'!$A$6:$A$588,"&gt;="&amp;(SAT1+7*(H366-1)),'ساعات عبدالعزيز'!$A$6:$A$588,"&lt;="&amp;G366)))</f>
        <v/>
      </c>
    </row>
    <row r="367">
      <c r="A367" s="48" t="n"/>
      <c r="B367" s="22" t="n"/>
      <c r="C367" s="49" t="n"/>
      <c r="D367" s="50" t="n"/>
      <c r="E367" s="51">
        <f>IF(G367="","",IF(OR(H367&lt;1,H367&gt;NW),"⛔ التاريخ برّا السنة",IF(AND(N(C367)&gt;0,N(J367)&gt;0,C367&gt;ADV_CAP*J367),"⚠️ أكثر من "&amp;TEXT(ADV_CAP,"0%")&amp;" من شغله ("&amp;TEXT(J367,"0.000")&amp;")","")))</f>
        <v/>
      </c>
      <c r="G367">
        <f>IF(A367="","",IF(ISNUMBER(A367),IF(A367&lt;=31,"",IF(A367&lt;=3112,IF(DATE(YR,MOD(A367,100),INT(A367/100))&gt;SAT1+7*NW-1,DATE(YR-1,MOD(A367,100),INT(A367/100)),DATE(YR,MOD(A367,100),INT(A367/100))),A367)),IFERROR(DATEVALUE(A367),"")))</f>
        <v/>
      </c>
      <c r="H367">
        <f>IF(G367="","",INT((G367-SAT1)/7)+1)</f>
        <v/>
      </c>
      <c r="I367">
        <f>IF(H367="","",IF(OR(H367&lt;1,H367&gt;NW),"",INDEX(WMON,H367)))</f>
        <v/>
      </c>
      <c r="J367">
        <f>IF(OR(G367="",H367="",B367=""),"",IF(B367="عمر المصري",SUMIFS('ساعات عمر'!$H$6:$H$588,'ساعات عمر'!$A$6:$A$588,"&gt;="&amp;(SAT1+7*(H367-1)),'ساعات عمر'!$A$6:$A$588,"&lt;="&amp;G367),SUMIFS('ساعات عبدالعزيز'!$F$6:$F$588,'ساعات عبدالعزيز'!$A$6:$A$588,"&gt;="&amp;(SAT1+7*(H367-1)),'ساعات عبدالعزيز'!$A$6:$A$588,"&lt;="&amp;G367)))</f>
        <v/>
      </c>
    </row>
    <row r="368">
      <c r="A368" s="48" t="n"/>
      <c r="B368" s="22" t="n"/>
      <c r="C368" s="49" t="n"/>
      <c r="D368" s="50" t="n"/>
      <c r="E368" s="51">
        <f>IF(G368="","",IF(OR(H368&lt;1,H368&gt;NW),"⛔ التاريخ برّا السنة",IF(AND(N(C368)&gt;0,N(J368)&gt;0,C368&gt;ADV_CAP*J368),"⚠️ أكثر من "&amp;TEXT(ADV_CAP,"0%")&amp;" من شغله ("&amp;TEXT(J368,"0.000")&amp;")","")))</f>
        <v/>
      </c>
      <c r="G368">
        <f>IF(A368="","",IF(ISNUMBER(A368),IF(A368&lt;=31,"",IF(A368&lt;=3112,IF(DATE(YR,MOD(A368,100),INT(A368/100))&gt;SAT1+7*NW-1,DATE(YR-1,MOD(A368,100),INT(A368/100)),DATE(YR,MOD(A368,100),INT(A368/100))),A368)),IFERROR(DATEVALUE(A368),"")))</f>
        <v/>
      </c>
      <c r="H368">
        <f>IF(G368="","",INT((G368-SAT1)/7)+1)</f>
        <v/>
      </c>
      <c r="I368">
        <f>IF(H368="","",IF(OR(H368&lt;1,H368&gt;NW),"",INDEX(WMON,H368)))</f>
        <v/>
      </c>
      <c r="J368">
        <f>IF(OR(G368="",H368="",B368=""),"",IF(B368="عمر المصري",SUMIFS('ساعات عمر'!$H$6:$H$588,'ساعات عمر'!$A$6:$A$588,"&gt;="&amp;(SAT1+7*(H368-1)),'ساعات عمر'!$A$6:$A$588,"&lt;="&amp;G368),SUMIFS('ساعات عبدالعزيز'!$F$6:$F$588,'ساعات عبدالعزيز'!$A$6:$A$588,"&gt;="&amp;(SAT1+7*(H368-1)),'ساعات عبدالعزيز'!$A$6:$A$588,"&lt;="&amp;G368)))</f>
        <v/>
      </c>
    </row>
    <row r="369">
      <c r="A369" s="48" t="n"/>
      <c r="B369" s="22" t="n"/>
      <c r="C369" s="49" t="n"/>
      <c r="D369" s="50" t="n"/>
      <c r="E369" s="51">
        <f>IF(G369="","",IF(OR(H369&lt;1,H369&gt;NW),"⛔ التاريخ برّا السنة",IF(AND(N(C369)&gt;0,N(J369)&gt;0,C369&gt;ADV_CAP*J369),"⚠️ أكثر من "&amp;TEXT(ADV_CAP,"0%")&amp;" من شغله ("&amp;TEXT(J369,"0.000")&amp;")","")))</f>
        <v/>
      </c>
      <c r="G369">
        <f>IF(A369="","",IF(ISNUMBER(A369),IF(A369&lt;=31,"",IF(A369&lt;=3112,IF(DATE(YR,MOD(A369,100),INT(A369/100))&gt;SAT1+7*NW-1,DATE(YR-1,MOD(A369,100),INT(A369/100)),DATE(YR,MOD(A369,100),INT(A369/100))),A369)),IFERROR(DATEVALUE(A369),"")))</f>
        <v/>
      </c>
      <c r="H369">
        <f>IF(G369="","",INT((G369-SAT1)/7)+1)</f>
        <v/>
      </c>
      <c r="I369">
        <f>IF(H369="","",IF(OR(H369&lt;1,H369&gt;NW),"",INDEX(WMON,H369)))</f>
        <v/>
      </c>
      <c r="J369">
        <f>IF(OR(G369="",H369="",B369=""),"",IF(B369="عمر المصري",SUMIFS('ساعات عمر'!$H$6:$H$588,'ساعات عمر'!$A$6:$A$588,"&gt;="&amp;(SAT1+7*(H369-1)),'ساعات عمر'!$A$6:$A$588,"&lt;="&amp;G369),SUMIFS('ساعات عبدالعزيز'!$F$6:$F$588,'ساعات عبدالعزيز'!$A$6:$A$588,"&gt;="&amp;(SAT1+7*(H369-1)),'ساعات عبدالعزيز'!$A$6:$A$588,"&lt;="&amp;G369)))</f>
        <v/>
      </c>
    </row>
    <row r="370">
      <c r="A370" s="48" t="n"/>
      <c r="B370" s="22" t="n"/>
      <c r="C370" s="49" t="n"/>
      <c r="D370" s="50" t="n"/>
      <c r="E370" s="51">
        <f>IF(G370="","",IF(OR(H370&lt;1,H370&gt;NW),"⛔ التاريخ برّا السنة",IF(AND(N(C370)&gt;0,N(J370)&gt;0,C370&gt;ADV_CAP*J370),"⚠️ أكثر من "&amp;TEXT(ADV_CAP,"0%")&amp;" من شغله ("&amp;TEXT(J370,"0.000")&amp;")","")))</f>
        <v/>
      </c>
      <c r="G370">
        <f>IF(A370="","",IF(ISNUMBER(A370),IF(A370&lt;=31,"",IF(A370&lt;=3112,IF(DATE(YR,MOD(A370,100),INT(A370/100))&gt;SAT1+7*NW-1,DATE(YR-1,MOD(A370,100),INT(A370/100)),DATE(YR,MOD(A370,100),INT(A370/100))),A370)),IFERROR(DATEVALUE(A370),"")))</f>
        <v/>
      </c>
      <c r="H370">
        <f>IF(G370="","",INT((G370-SAT1)/7)+1)</f>
        <v/>
      </c>
      <c r="I370">
        <f>IF(H370="","",IF(OR(H370&lt;1,H370&gt;NW),"",INDEX(WMON,H370)))</f>
        <v/>
      </c>
      <c r="J370">
        <f>IF(OR(G370="",H370="",B370=""),"",IF(B370="عمر المصري",SUMIFS('ساعات عمر'!$H$6:$H$588,'ساعات عمر'!$A$6:$A$588,"&gt;="&amp;(SAT1+7*(H370-1)),'ساعات عمر'!$A$6:$A$588,"&lt;="&amp;G370),SUMIFS('ساعات عبدالعزيز'!$F$6:$F$588,'ساعات عبدالعزيز'!$A$6:$A$588,"&gt;="&amp;(SAT1+7*(H370-1)),'ساعات عبدالعزيز'!$A$6:$A$588,"&lt;="&amp;G370)))</f>
        <v/>
      </c>
    </row>
    <row r="371">
      <c r="A371" s="48" t="n"/>
      <c r="B371" s="22" t="n"/>
      <c r="C371" s="49" t="n"/>
      <c r="D371" s="50" t="n"/>
      <c r="E371" s="51">
        <f>IF(G371="","",IF(OR(H371&lt;1,H371&gt;NW),"⛔ التاريخ برّا السنة",IF(AND(N(C371)&gt;0,N(J371)&gt;0,C371&gt;ADV_CAP*J371),"⚠️ أكثر من "&amp;TEXT(ADV_CAP,"0%")&amp;" من شغله ("&amp;TEXT(J371,"0.000")&amp;")","")))</f>
        <v/>
      </c>
      <c r="G371">
        <f>IF(A371="","",IF(ISNUMBER(A371),IF(A371&lt;=31,"",IF(A371&lt;=3112,IF(DATE(YR,MOD(A371,100),INT(A371/100))&gt;SAT1+7*NW-1,DATE(YR-1,MOD(A371,100),INT(A371/100)),DATE(YR,MOD(A371,100),INT(A371/100))),A371)),IFERROR(DATEVALUE(A371),"")))</f>
        <v/>
      </c>
      <c r="H371">
        <f>IF(G371="","",INT((G371-SAT1)/7)+1)</f>
        <v/>
      </c>
      <c r="I371">
        <f>IF(H371="","",IF(OR(H371&lt;1,H371&gt;NW),"",INDEX(WMON,H371)))</f>
        <v/>
      </c>
      <c r="J371">
        <f>IF(OR(G371="",H371="",B371=""),"",IF(B371="عمر المصري",SUMIFS('ساعات عمر'!$H$6:$H$588,'ساعات عمر'!$A$6:$A$588,"&gt;="&amp;(SAT1+7*(H371-1)),'ساعات عمر'!$A$6:$A$588,"&lt;="&amp;G371),SUMIFS('ساعات عبدالعزيز'!$F$6:$F$588,'ساعات عبدالعزيز'!$A$6:$A$588,"&gt;="&amp;(SAT1+7*(H371-1)),'ساعات عبدالعزيز'!$A$6:$A$588,"&lt;="&amp;G371)))</f>
        <v/>
      </c>
    </row>
    <row r="372">
      <c r="A372" s="48" t="n"/>
      <c r="B372" s="22" t="n"/>
      <c r="C372" s="49" t="n"/>
      <c r="D372" s="50" t="n"/>
      <c r="E372" s="51">
        <f>IF(G372="","",IF(OR(H372&lt;1,H372&gt;NW),"⛔ التاريخ برّا السنة",IF(AND(N(C372)&gt;0,N(J372)&gt;0,C372&gt;ADV_CAP*J372),"⚠️ أكثر من "&amp;TEXT(ADV_CAP,"0%")&amp;" من شغله ("&amp;TEXT(J372,"0.000")&amp;")","")))</f>
        <v/>
      </c>
      <c r="G372">
        <f>IF(A372="","",IF(ISNUMBER(A372),IF(A372&lt;=31,"",IF(A372&lt;=3112,IF(DATE(YR,MOD(A372,100),INT(A372/100))&gt;SAT1+7*NW-1,DATE(YR-1,MOD(A372,100),INT(A372/100)),DATE(YR,MOD(A372,100),INT(A372/100))),A372)),IFERROR(DATEVALUE(A372),"")))</f>
        <v/>
      </c>
      <c r="H372">
        <f>IF(G372="","",INT((G372-SAT1)/7)+1)</f>
        <v/>
      </c>
      <c r="I372">
        <f>IF(H372="","",IF(OR(H372&lt;1,H372&gt;NW),"",INDEX(WMON,H372)))</f>
        <v/>
      </c>
      <c r="J372">
        <f>IF(OR(G372="",H372="",B372=""),"",IF(B372="عمر المصري",SUMIFS('ساعات عمر'!$H$6:$H$588,'ساعات عمر'!$A$6:$A$588,"&gt;="&amp;(SAT1+7*(H372-1)),'ساعات عمر'!$A$6:$A$588,"&lt;="&amp;G372),SUMIFS('ساعات عبدالعزيز'!$F$6:$F$588,'ساعات عبدالعزيز'!$A$6:$A$588,"&gt;="&amp;(SAT1+7*(H372-1)),'ساعات عبدالعزيز'!$A$6:$A$588,"&lt;="&amp;G372)))</f>
        <v/>
      </c>
    </row>
    <row r="373">
      <c r="A373" s="48" t="n"/>
      <c r="B373" s="22" t="n"/>
      <c r="C373" s="49" t="n"/>
      <c r="D373" s="50" t="n"/>
      <c r="E373" s="51">
        <f>IF(G373="","",IF(OR(H373&lt;1,H373&gt;NW),"⛔ التاريخ برّا السنة",IF(AND(N(C373)&gt;0,N(J373)&gt;0,C373&gt;ADV_CAP*J373),"⚠️ أكثر من "&amp;TEXT(ADV_CAP,"0%")&amp;" من شغله ("&amp;TEXT(J373,"0.000")&amp;")","")))</f>
        <v/>
      </c>
      <c r="G373">
        <f>IF(A373="","",IF(ISNUMBER(A373),IF(A373&lt;=31,"",IF(A373&lt;=3112,IF(DATE(YR,MOD(A373,100),INT(A373/100))&gt;SAT1+7*NW-1,DATE(YR-1,MOD(A373,100),INT(A373/100)),DATE(YR,MOD(A373,100),INT(A373/100))),A373)),IFERROR(DATEVALUE(A373),"")))</f>
        <v/>
      </c>
      <c r="H373">
        <f>IF(G373="","",INT((G373-SAT1)/7)+1)</f>
        <v/>
      </c>
      <c r="I373">
        <f>IF(H373="","",IF(OR(H373&lt;1,H373&gt;NW),"",INDEX(WMON,H373)))</f>
        <v/>
      </c>
      <c r="J373">
        <f>IF(OR(G373="",H373="",B373=""),"",IF(B373="عمر المصري",SUMIFS('ساعات عمر'!$H$6:$H$588,'ساعات عمر'!$A$6:$A$588,"&gt;="&amp;(SAT1+7*(H373-1)),'ساعات عمر'!$A$6:$A$588,"&lt;="&amp;G373),SUMIFS('ساعات عبدالعزيز'!$F$6:$F$588,'ساعات عبدالعزيز'!$A$6:$A$588,"&gt;="&amp;(SAT1+7*(H373-1)),'ساعات عبدالعزيز'!$A$6:$A$588,"&lt;="&amp;G373)))</f>
        <v/>
      </c>
    </row>
    <row r="374">
      <c r="A374" s="48" t="n"/>
      <c r="B374" s="22" t="n"/>
      <c r="C374" s="49" t="n"/>
      <c r="D374" s="50" t="n"/>
      <c r="E374" s="51">
        <f>IF(G374="","",IF(OR(H374&lt;1,H374&gt;NW),"⛔ التاريخ برّا السنة",IF(AND(N(C374)&gt;0,N(J374)&gt;0,C374&gt;ADV_CAP*J374),"⚠️ أكثر من "&amp;TEXT(ADV_CAP,"0%")&amp;" من شغله ("&amp;TEXT(J374,"0.000")&amp;")","")))</f>
        <v/>
      </c>
      <c r="G374">
        <f>IF(A374="","",IF(ISNUMBER(A374),IF(A374&lt;=31,"",IF(A374&lt;=3112,IF(DATE(YR,MOD(A374,100),INT(A374/100))&gt;SAT1+7*NW-1,DATE(YR-1,MOD(A374,100),INT(A374/100)),DATE(YR,MOD(A374,100),INT(A374/100))),A374)),IFERROR(DATEVALUE(A374),"")))</f>
        <v/>
      </c>
      <c r="H374">
        <f>IF(G374="","",INT((G374-SAT1)/7)+1)</f>
        <v/>
      </c>
      <c r="I374">
        <f>IF(H374="","",IF(OR(H374&lt;1,H374&gt;NW),"",INDEX(WMON,H374)))</f>
        <v/>
      </c>
      <c r="J374">
        <f>IF(OR(G374="",H374="",B374=""),"",IF(B374="عمر المصري",SUMIFS('ساعات عمر'!$H$6:$H$588,'ساعات عمر'!$A$6:$A$588,"&gt;="&amp;(SAT1+7*(H374-1)),'ساعات عمر'!$A$6:$A$588,"&lt;="&amp;G374),SUMIFS('ساعات عبدالعزيز'!$F$6:$F$588,'ساعات عبدالعزيز'!$A$6:$A$588,"&gt;="&amp;(SAT1+7*(H374-1)),'ساعات عبدالعزيز'!$A$6:$A$588,"&lt;="&amp;G374)))</f>
        <v/>
      </c>
    </row>
    <row r="375">
      <c r="A375" s="48" t="n"/>
      <c r="B375" s="22" t="n"/>
      <c r="C375" s="49" t="n"/>
      <c r="D375" s="50" t="n"/>
      <c r="E375" s="51">
        <f>IF(G375="","",IF(OR(H375&lt;1,H375&gt;NW),"⛔ التاريخ برّا السنة",IF(AND(N(C375)&gt;0,N(J375)&gt;0,C375&gt;ADV_CAP*J375),"⚠️ أكثر من "&amp;TEXT(ADV_CAP,"0%")&amp;" من شغله ("&amp;TEXT(J375,"0.000")&amp;")","")))</f>
        <v/>
      </c>
      <c r="G375">
        <f>IF(A375="","",IF(ISNUMBER(A375),IF(A375&lt;=31,"",IF(A375&lt;=3112,IF(DATE(YR,MOD(A375,100),INT(A375/100))&gt;SAT1+7*NW-1,DATE(YR-1,MOD(A375,100),INT(A375/100)),DATE(YR,MOD(A375,100),INT(A375/100))),A375)),IFERROR(DATEVALUE(A375),"")))</f>
        <v/>
      </c>
      <c r="H375">
        <f>IF(G375="","",INT((G375-SAT1)/7)+1)</f>
        <v/>
      </c>
      <c r="I375">
        <f>IF(H375="","",IF(OR(H375&lt;1,H375&gt;NW),"",INDEX(WMON,H375)))</f>
        <v/>
      </c>
      <c r="J375">
        <f>IF(OR(G375="",H375="",B375=""),"",IF(B375="عمر المصري",SUMIFS('ساعات عمر'!$H$6:$H$588,'ساعات عمر'!$A$6:$A$588,"&gt;="&amp;(SAT1+7*(H375-1)),'ساعات عمر'!$A$6:$A$588,"&lt;="&amp;G375),SUMIFS('ساعات عبدالعزيز'!$F$6:$F$588,'ساعات عبدالعزيز'!$A$6:$A$588,"&gt;="&amp;(SAT1+7*(H375-1)),'ساعات عبدالعزيز'!$A$6:$A$588,"&lt;="&amp;G375)))</f>
        <v/>
      </c>
    </row>
    <row r="376">
      <c r="A376" s="48" t="n"/>
      <c r="B376" s="22" t="n"/>
      <c r="C376" s="49" t="n"/>
      <c r="D376" s="50" t="n"/>
      <c r="E376" s="51">
        <f>IF(G376="","",IF(OR(H376&lt;1,H376&gt;NW),"⛔ التاريخ برّا السنة",IF(AND(N(C376)&gt;0,N(J376)&gt;0,C376&gt;ADV_CAP*J376),"⚠️ أكثر من "&amp;TEXT(ADV_CAP,"0%")&amp;" من شغله ("&amp;TEXT(J376,"0.000")&amp;")","")))</f>
        <v/>
      </c>
      <c r="G376">
        <f>IF(A376="","",IF(ISNUMBER(A376),IF(A376&lt;=31,"",IF(A376&lt;=3112,IF(DATE(YR,MOD(A376,100),INT(A376/100))&gt;SAT1+7*NW-1,DATE(YR-1,MOD(A376,100),INT(A376/100)),DATE(YR,MOD(A376,100),INT(A376/100))),A376)),IFERROR(DATEVALUE(A376),"")))</f>
        <v/>
      </c>
      <c r="H376">
        <f>IF(G376="","",INT((G376-SAT1)/7)+1)</f>
        <v/>
      </c>
      <c r="I376">
        <f>IF(H376="","",IF(OR(H376&lt;1,H376&gt;NW),"",INDEX(WMON,H376)))</f>
        <v/>
      </c>
      <c r="J376">
        <f>IF(OR(G376="",H376="",B376=""),"",IF(B376="عمر المصري",SUMIFS('ساعات عمر'!$H$6:$H$588,'ساعات عمر'!$A$6:$A$588,"&gt;="&amp;(SAT1+7*(H376-1)),'ساعات عمر'!$A$6:$A$588,"&lt;="&amp;G376),SUMIFS('ساعات عبدالعزيز'!$F$6:$F$588,'ساعات عبدالعزيز'!$A$6:$A$588,"&gt;="&amp;(SAT1+7*(H376-1)),'ساعات عبدالعزيز'!$A$6:$A$588,"&lt;="&amp;G376)))</f>
        <v/>
      </c>
    </row>
    <row r="377">
      <c r="A377" s="48" t="n"/>
      <c r="B377" s="22" t="n"/>
      <c r="C377" s="49" t="n"/>
      <c r="D377" s="50" t="n"/>
      <c r="E377" s="51">
        <f>IF(G377="","",IF(OR(H377&lt;1,H377&gt;NW),"⛔ التاريخ برّا السنة",IF(AND(N(C377)&gt;0,N(J377)&gt;0,C377&gt;ADV_CAP*J377),"⚠️ أكثر من "&amp;TEXT(ADV_CAP,"0%")&amp;" من شغله ("&amp;TEXT(J377,"0.000")&amp;")","")))</f>
        <v/>
      </c>
      <c r="G377">
        <f>IF(A377="","",IF(ISNUMBER(A377),IF(A377&lt;=31,"",IF(A377&lt;=3112,IF(DATE(YR,MOD(A377,100),INT(A377/100))&gt;SAT1+7*NW-1,DATE(YR-1,MOD(A377,100),INT(A377/100)),DATE(YR,MOD(A377,100),INT(A377/100))),A377)),IFERROR(DATEVALUE(A377),"")))</f>
        <v/>
      </c>
      <c r="H377">
        <f>IF(G377="","",INT((G377-SAT1)/7)+1)</f>
        <v/>
      </c>
      <c r="I377">
        <f>IF(H377="","",IF(OR(H377&lt;1,H377&gt;NW),"",INDEX(WMON,H377)))</f>
        <v/>
      </c>
      <c r="J377">
        <f>IF(OR(G377="",H377="",B377=""),"",IF(B377="عمر المصري",SUMIFS('ساعات عمر'!$H$6:$H$588,'ساعات عمر'!$A$6:$A$588,"&gt;="&amp;(SAT1+7*(H377-1)),'ساعات عمر'!$A$6:$A$588,"&lt;="&amp;G377),SUMIFS('ساعات عبدالعزيز'!$F$6:$F$588,'ساعات عبدالعزيز'!$A$6:$A$588,"&gt;="&amp;(SAT1+7*(H377-1)),'ساعات عبدالعزيز'!$A$6:$A$588,"&lt;="&amp;G377)))</f>
        <v/>
      </c>
    </row>
    <row r="378">
      <c r="A378" s="48" t="n"/>
      <c r="B378" s="22" t="n"/>
      <c r="C378" s="49" t="n"/>
      <c r="D378" s="50" t="n"/>
      <c r="E378" s="51">
        <f>IF(G378="","",IF(OR(H378&lt;1,H378&gt;NW),"⛔ التاريخ برّا السنة",IF(AND(N(C378)&gt;0,N(J378)&gt;0,C378&gt;ADV_CAP*J378),"⚠️ أكثر من "&amp;TEXT(ADV_CAP,"0%")&amp;" من شغله ("&amp;TEXT(J378,"0.000")&amp;")","")))</f>
        <v/>
      </c>
      <c r="G378">
        <f>IF(A378="","",IF(ISNUMBER(A378),IF(A378&lt;=31,"",IF(A378&lt;=3112,IF(DATE(YR,MOD(A378,100),INT(A378/100))&gt;SAT1+7*NW-1,DATE(YR-1,MOD(A378,100),INT(A378/100)),DATE(YR,MOD(A378,100),INT(A378/100))),A378)),IFERROR(DATEVALUE(A378),"")))</f>
        <v/>
      </c>
      <c r="H378">
        <f>IF(G378="","",INT((G378-SAT1)/7)+1)</f>
        <v/>
      </c>
      <c r="I378">
        <f>IF(H378="","",IF(OR(H378&lt;1,H378&gt;NW),"",INDEX(WMON,H378)))</f>
        <v/>
      </c>
      <c r="J378">
        <f>IF(OR(G378="",H378="",B378=""),"",IF(B378="عمر المصري",SUMIFS('ساعات عمر'!$H$6:$H$588,'ساعات عمر'!$A$6:$A$588,"&gt;="&amp;(SAT1+7*(H378-1)),'ساعات عمر'!$A$6:$A$588,"&lt;="&amp;G378),SUMIFS('ساعات عبدالعزيز'!$F$6:$F$588,'ساعات عبدالعزيز'!$A$6:$A$588,"&gt;="&amp;(SAT1+7*(H378-1)),'ساعات عبدالعزيز'!$A$6:$A$588,"&lt;="&amp;G378)))</f>
        <v/>
      </c>
    </row>
    <row r="379">
      <c r="A379" s="48" t="n"/>
      <c r="B379" s="22" t="n"/>
      <c r="C379" s="49" t="n"/>
      <c r="D379" s="50" t="n"/>
      <c r="E379" s="51">
        <f>IF(G379="","",IF(OR(H379&lt;1,H379&gt;NW),"⛔ التاريخ برّا السنة",IF(AND(N(C379)&gt;0,N(J379)&gt;0,C379&gt;ADV_CAP*J379),"⚠️ أكثر من "&amp;TEXT(ADV_CAP,"0%")&amp;" من شغله ("&amp;TEXT(J379,"0.000")&amp;")","")))</f>
        <v/>
      </c>
      <c r="G379">
        <f>IF(A379="","",IF(ISNUMBER(A379),IF(A379&lt;=31,"",IF(A379&lt;=3112,IF(DATE(YR,MOD(A379,100),INT(A379/100))&gt;SAT1+7*NW-1,DATE(YR-1,MOD(A379,100),INT(A379/100)),DATE(YR,MOD(A379,100),INT(A379/100))),A379)),IFERROR(DATEVALUE(A379),"")))</f>
        <v/>
      </c>
      <c r="H379">
        <f>IF(G379="","",INT((G379-SAT1)/7)+1)</f>
        <v/>
      </c>
      <c r="I379">
        <f>IF(H379="","",IF(OR(H379&lt;1,H379&gt;NW),"",INDEX(WMON,H379)))</f>
        <v/>
      </c>
      <c r="J379">
        <f>IF(OR(G379="",H379="",B379=""),"",IF(B379="عمر المصري",SUMIFS('ساعات عمر'!$H$6:$H$588,'ساعات عمر'!$A$6:$A$588,"&gt;="&amp;(SAT1+7*(H379-1)),'ساعات عمر'!$A$6:$A$588,"&lt;="&amp;G379),SUMIFS('ساعات عبدالعزيز'!$F$6:$F$588,'ساعات عبدالعزيز'!$A$6:$A$588,"&gt;="&amp;(SAT1+7*(H379-1)),'ساعات عبدالعزيز'!$A$6:$A$588,"&lt;="&amp;G379)))</f>
        <v/>
      </c>
    </row>
    <row r="380">
      <c r="A380" s="48" t="n"/>
      <c r="B380" s="22" t="n"/>
      <c r="C380" s="49" t="n"/>
      <c r="D380" s="50" t="n"/>
      <c r="E380" s="51">
        <f>IF(G380="","",IF(OR(H380&lt;1,H380&gt;NW),"⛔ التاريخ برّا السنة",IF(AND(N(C380)&gt;0,N(J380)&gt;0,C380&gt;ADV_CAP*J380),"⚠️ أكثر من "&amp;TEXT(ADV_CAP,"0%")&amp;" من شغله ("&amp;TEXT(J380,"0.000")&amp;")","")))</f>
        <v/>
      </c>
      <c r="G380">
        <f>IF(A380="","",IF(ISNUMBER(A380),IF(A380&lt;=31,"",IF(A380&lt;=3112,IF(DATE(YR,MOD(A380,100),INT(A380/100))&gt;SAT1+7*NW-1,DATE(YR-1,MOD(A380,100),INT(A380/100)),DATE(YR,MOD(A380,100),INT(A380/100))),A380)),IFERROR(DATEVALUE(A380),"")))</f>
        <v/>
      </c>
      <c r="H380">
        <f>IF(G380="","",INT((G380-SAT1)/7)+1)</f>
        <v/>
      </c>
      <c r="I380">
        <f>IF(H380="","",IF(OR(H380&lt;1,H380&gt;NW),"",INDEX(WMON,H380)))</f>
        <v/>
      </c>
      <c r="J380">
        <f>IF(OR(G380="",H380="",B380=""),"",IF(B380="عمر المصري",SUMIFS('ساعات عمر'!$H$6:$H$588,'ساعات عمر'!$A$6:$A$588,"&gt;="&amp;(SAT1+7*(H380-1)),'ساعات عمر'!$A$6:$A$588,"&lt;="&amp;G380),SUMIFS('ساعات عبدالعزيز'!$F$6:$F$588,'ساعات عبدالعزيز'!$A$6:$A$588,"&gt;="&amp;(SAT1+7*(H380-1)),'ساعات عبدالعزيز'!$A$6:$A$588,"&lt;="&amp;G380)))</f>
        <v/>
      </c>
    </row>
    <row r="381">
      <c r="A381" s="48" t="n"/>
      <c r="B381" s="22" t="n"/>
      <c r="C381" s="49" t="n"/>
      <c r="D381" s="50" t="n"/>
      <c r="E381" s="51">
        <f>IF(G381="","",IF(OR(H381&lt;1,H381&gt;NW),"⛔ التاريخ برّا السنة",IF(AND(N(C381)&gt;0,N(J381)&gt;0,C381&gt;ADV_CAP*J381),"⚠️ أكثر من "&amp;TEXT(ADV_CAP,"0%")&amp;" من شغله ("&amp;TEXT(J381,"0.000")&amp;")","")))</f>
        <v/>
      </c>
      <c r="G381">
        <f>IF(A381="","",IF(ISNUMBER(A381),IF(A381&lt;=31,"",IF(A381&lt;=3112,IF(DATE(YR,MOD(A381,100),INT(A381/100))&gt;SAT1+7*NW-1,DATE(YR-1,MOD(A381,100),INT(A381/100)),DATE(YR,MOD(A381,100),INT(A381/100))),A381)),IFERROR(DATEVALUE(A381),"")))</f>
        <v/>
      </c>
      <c r="H381">
        <f>IF(G381="","",INT((G381-SAT1)/7)+1)</f>
        <v/>
      </c>
      <c r="I381">
        <f>IF(H381="","",IF(OR(H381&lt;1,H381&gt;NW),"",INDEX(WMON,H381)))</f>
        <v/>
      </c>
      <c r="J381">
        <f>IF(OR(G381="",H381="",B381=""),"",IF(B381="عمر المصري",SUMIFS('ساعات عمر'!$H$6:$H$588,'ساعات عمر'!$A$6:$A$588,"&gt;="&amp;(SAT1+7*(H381-1)),'ساعات عمر'!$A$6:$A$588,"&lt;="&amp;G381),SUMIFS('ساعات عبدالعزيز'!$F$6:$F$588,'ساعات عبدالعزيز'!$A$6:$A$588,"&gt;="&amp;(SAT1+7*(H381-1)),'ساعات عبدالعزيز'!$A$6:$A$588,"&lt;="&amp;G381)))</f>
        <v/>
      </c>
    </row>
    <row r="382">
      <c r="A382" s="48" t="n"/>
      <c r="B382" s="22" t="n"/>
      <c r="C382" s="49" t="n"/>
      <c r="D382" s="50" t="n"/>
      <c r="E382" s="51">
        <f>IF(G382="","",IF(OR(H382&lt;1,H382&gt;NW),"⛔ التاريخ برّا السنة",IF(AND(N(C382)&gt;0,N(J382)&gt;0,C382&gt;ADV_CAP*J382),"⚠️ أكثر من "&amp;TEXT(ADV_CAP,"0%")&amp;" من شغله ("&amp;TEXT(J382,"0.000")&amp;")","")))</f>
        <v/>
      </c>
      <c r="G382">
        <f>IF(A382="","",IF(ISNUMBER(A382),IF(A382&lt;=31,"",IF(A382&lt;=3112,IF(DATE(YR,MOD(A382,100),INT(A382/100))&gt;SAT1+7*NW-1,DATE(YR-1,MOD(A382,100),INT(A382/100)),DATE(YR,MOD(A382,100),INT(A382/100))),A382)),IFERROR(DATEVALUE(A382),"")))</f>
        <v/>
      </c>
      <c r="H382">
        <f>IF(G382="","",INT((G382-SAT1)/7)+1)</f>
        <v/>
      </c>
      <c r="I382">
        <f>IF(H382="","",IF(OR(H382&lt;1,H382&gt;NW),"",INDEX(WMON,H382)))</f>
        <v/>
      </c>
      <c r="J382">
        <f>IF(OR(G382="",H382="",B382=""),"",IF(B382="عمر المصري",SUMIFS('ساعات عمر'!$H$6:$H$588,'ساعات عمر'!$A$6:$A$588,"&gt;="&amp;(SAT1+7*(H382-1)),'ساعات عمر'!$A$6:$A$588,"&lt;="&amp;G382),SUMIFS('ساعات عبدالعزيز'!$F$6:$F$588,'ساعات عبدالعزيز'!$A$6:$A$588,"&gt;="&amp;(SAT1+7*(H382-1)),'ساعات عبدالعزيز'!$A$6:$A$588,"&lt;="&amp;G382)))</f>
        <v/>
      </c>
    </row>
    <row r="383">
      <c r="A383" s="48" t="n"/>
      <c r="B383" s="22" t="n"/>
      <c r="C383" s="49" t="n"/>
      <c r="D383" s="50" t="n"/>
      <c r="E383" s="51">
        <f>IF(G383="","",IF(OR(H383&lt;1,H383&gt;NW),"⛔ التاريخ برّا السنة",IF(AND(N(C383)&gt;0,N(J383)&gt;0,C383&gt;ADV_CAP*J383),"⚠️ أكثر من "&amp;TEXT(ADV_CAP,"0%")&amp;" من شغله ("&amp;TEXT(J383,"0.000")&amp;")","")))</f>
        <v/>
      </c>
      <c r="G383">
        <f>IF(A383="","",IF(ISNUMBER(A383),IF(A383&lt;=31,"",IF(A383&lt;=3112,IF(DATE(YR,MOD(A383,100),INT(A383/100))&gt;SAT1+7*NW-1,DATE(YR-1,MOD(A383,100),INT(A383/100)),DATE(YR,MOD(A383,100),INT(A383/100))),A383)),IFERROR(DATEVALUE(A383),"")))</f>
        <v/>
      </c>
      <c r="H383">
        <f>IF(G383="","",INT((G383-SAT1)/7)+1)</f>
        <v/>
      </c>
      <c r="I383">
        <f>IF(H383="","",IF(OR(H383&lt;1,H383&gt;NW),"",INDEX(WMON,H383)))</f>
        <v/>
      </c>
      <c r="J383">
        <f>IF(OR(G383="",H383="",B383=""),"",IF(B383="عمر المصري",SUMIFS('ساعات عمر'!$H$6:$H$588,'ساعات عمر'!$A$6:$A$588,"&gt;="&amp;(SAT1+7*(H383-1)),'ساعات عمر'!$A$6:$A$588,"&lt;="&amp;G383),SUMIFS('ساعات عبدالعزيز'!$F$6:$F$588,'ساعات عبدالعزيز'!$A$6:$A$588,"&gt;="&amp;(SAT1+7*(H383-1)),'ساعات عبدالعزيز'!$A$6:$A$588,"&lt;="&amp;G383)))</f>
        <v/>
      </c>
    </row>
    <row r="384">
      <c r="A384" s="48" t="n"/>
      <c r="B384" s="22" t="n"/>
      <c r="C384" s="49" t="n"/>
      <c r="D384" s="50" t="n"/>
      <c r="E384" s="51">
        <f>IF(G384="","",IF(OR(H384&lt;1,H384&gt;NW),"⛔ التاريخ برّا السنة",IF(AND(N(C384)&gt;0,N(J384)&gt;0,C384&gt;ADV_CAP*J384),"⚠️ أكثر من "&amp;TEXT(ADV_CAP,"0%")&amp;" من شغله ("&amp;TEXT(J384,"0.000")&amp;")","")))</f>
        <v/>
      </c>
      <c r="G384">
        <f>IF(A384="","",IF(ISNUMBER(A384),IF(A384&lt;=31,"",IF(A384&lt;=3112,IF(DATE(YR,MOD(A384,100),INT(A384/100))&gt;SAT1+7*NW-1,DATE(YR-1,MOD(A384,100),INT(A384/100)),DATE(YR,MOD(A384,100),INT(A384/100))),A384)),IFERROR(DATEVALUE(A384),"")))</f>
        <v/>
      </c>
      <c r="H384">
        <f>IF(G384="","",INT((G384-SAT1)/7)+1)</f>
        <v/>
      </c>
      <c r="I384">
        <f>IF(H384="","",IF(OR(H384&lt;1,H384&gt;NW),"",INDEX(WMON,H384)))</f>
        <v/>
      </c>
      <c r="J384">
        <f>IF(OR(G384="",H384="",B384=""),"",IF(B384="عمر المصري",SUMIFS('ساعات عمر'!$H$6:$H$588,'ساعات عمر'!$A$6:$A$588,"&gt;="&amp;(SAT1+7*(H384-1)),'ساعات عمر'!$A$6:$A$588,"&lt;="&amp;G384),SUMIFS('ساعات عبدالعزيز'!$F$6:$F$588,'ساعات عبدالعزيز'!$A$6:$A$588,"&gt;="&amp;(SAT1+7*(H384-1)),'ساعات عبدالعزيز'!$A$6:$A$588,"&lt;="&amp;G384)))</f>
        <v/>
      </c>
    </row>
    <row r="385">
      <c r="A385" s="48" t="n"/>
      <c r="B385" s="22" t="n"/>
      <c r="C385" s="49" t="n"/>
      <c r="D385" s="50" t="n"/>
      <c r="E385" s="51">
        <f>IF(G385="","",IF(OR(H385&lt;1,H385&gt;NW),"⛔ التاريخ برّا السنة",IF(AND(N(C385)&gt;0,N(J385)&gt;0,C385&gt;ADV_CAP*J385),"⚠️ أكثر من "&amp;TEXT(ADV_CAP,"0%")&amp;" من شغله ("&amp;TEXT(J385,"0.000")&amp;")","")))</f>
        <v/>
      </c>
      <c r="G385">
        <f>IF(A385="","",IF(ISNUMBER(A385),IF(A385&lt;=31,"",IF(A385&lt;=3112,IF(DATE(YR,MOD(A385,100),INT(A385/100))&gt;SAT1+7*NW-1,DATE(YR-1,MOD(A385,100),INT(A385/100)),DATE(YR,MOD(A385,100),INT(A385/100))),A385)),IFERROR(DATEVALUE(A385),"")))</f>
        <v/>
      </c>
      <c r="H385">
        <f>IF(G385="","",INT((G385-SAT1)/7)+1)</f>
        <v/>
      </c>
      <c r="I385">
        <f>IF(H385="","",IF(OR(H385&lt;1,H385&gt;NW),"",INDEX(WMON,H385)))</f>
        <v/>
      </c>
      <c r="J385">
        <f>IF(OR(G385="",H385="",B385=""),"",IF(B385="عمر المصري",SUMIFS('ساعات عمر'!$H$6:$H$588,'ساعات عمر'!$A$6:$A$588,"&gt;="&amp;(SAT1+7*(H385-1)),'ساعات عمر'!$A$6:$A$588,"&lt;="&amp;G385),SUMIFS('ساعات عبدالعزيز'!$F$6:$F$588,'ساعات عبدالعزيز'!$A$6:$A$588,"&gt;="&amp;(SAT1+7*(H385-1)),'ساعات عبدالعزيز'!$A$6:$A$588,"&lt;="&amp;G385)))</f>
        <v/>
      </c>
    </row>
    <row r="386">
      <c r="A386" s="48" t="n"/>
      <c r="B386" s="22" t="n"/>
      <c r="C386" s="49" t="n"/>
      <c r="D386" s="50" t="n"/>
      <c r="E386" s="51">
        <f>IF(G386="","",IF(OR(H386&lt;1,H386&gt;NW),"⛔ التاريخ برّا السنة",IF(AND(N(C386)&gt;0,N(J386)&gt;0,C386&gt;ADV_CAP*J386),"⚠️ أكثر من "&amp;TEXT(ADV_CAP,"0%")&amp;" من شغله ("&amp;TEXT(J386,"0.000")&amp;")","")))</f>
        <v/>
      </c>
      <c r="G386">
        <f>IF(A386="","",IF(ISNUMBER(A386),IF(A386&lt;=31,"",IF(A386&lt;=3112,IF(DATE(YR,MOD(A386,100),INT(A386/100))&gt;SAT1+7*NW-1,DATE(YR-1,MOD(A386,100),INT(A386/100)),DATE(YR,MOD(A386,100),INT(A386/100))),A386)),IFERROR(DATEVALUE(A386),"")))</f>
        <v/>
      </c>
      <c r="H386">
        <f>IF(G386="","",INT((G386-SAT1)/7)+1)</f>
        <v/>
      </c>
      <c r="I386">
        <f>IF(H386="","",IF(OR(H386&lt;1,H386&gt;NW),"",INDEX(WMON,H386)))</f>
        <v/>
      </c>
      <c r="J386">
        <f>IF(OR(G386="",H386="",B386=""),"",IF(B386="عمر المصري",SUMIFS('ساعات عمر'!$H$6:$H$588,'ساعات عمر'!$A$6:$A$588,"&gt;="&amp;(SAT1+7*(H386-1)),'ساعات عمر'!$A$6:$A$588,"&lt;="&amp;G386),SUMIFS('ساعات عبدالعزيز'!$F$6:$F$588,'ساعات عبدالعزيز'!$A$6:$A$588,"&gt;="&amp;(SAT1+7*(H386-1)),'ساعات عبدالعزيز'!$A$6:$A$588,"&lt;="&amp;G386)))</f>
        <v/>
      </c>
    </row>
    <row r="387">
      <c r="A387" s="48" t="n"/>
      <c r="B387" s="22" t="n"/>
      <c r="C387" s="49" t="n"/>
      <c r="D387" s="50" t="n"/>
      <c r="E387" s="51">
        <f>IF(G387="","",IF(OR(H387&lt;1,H387&gt;NW),"⛔ التاريخ برّا السنة",IF(AND(N(C387)&gt;0,N(J387)&gt;0,C387&gt;ADV_CAP*J387),"⚠️ أكثر من "&amp;TEXT(ADV_CAP,"0%")&amp;" من شغله ("&amp;TEXT(J387,"0.000")&amp;")","")))</f>
        <v/>
      </c>
      <c r="G387">
        <f>IF(A387="","",IF(ISNUMBER(A387),IF(A387&lt;=31,"",IF(A387&lt;=3112,IF(DATE(YR,MOD(A387,100),INT(A387/100))&gt;SAT1+7*NW-1,DATE(YR-1,MOD(A387,100),INT(A387/100)),DATE(YR,MOD(A387,100),INT(A387/100))),A387)),IFERROR(DATEVALUE(A387),"")))</f>
        <v/>
      </c>
      <c r="H387">
        <f>IF(G387="","",INT((G387-SAT1)/7)+1)</f>
        <v/>
      </c>
      <c r="I387">
        <f>IF(H387="","",IF(OR(H387&lt;1,H387&gt;NW),"",INDEX(WMON,H387)))</f>
        <v/>
      </c>
      <c r="J387">
        <f>IF(OR(G387="",H387="",B387=""),"",IF(B387="عمر المصري",SUMIFS('ساعات عمر'!$H$6:$H$588,'ساعات عمر'!$A$6:$A$588,"&gt;="&amp;(SAT1+7*(H387-1)),'ساعات عمر'!$A$6:$A$588,"&lt;="&amp;G387),SUMIFS('ساعات عبدالعزيز'!$F$6:$F$588,'ساعات عبدالعزيز'!$A$6:$A$588,"&gt;="&amp;(SAT1+7*(H387-1)),'ساعات عبدالعزيز'!$A$6:$A$588,"&lt;="&amp;G387)))</f>
        <v/>
      </c>
    </row>
    <row r="388">
      <c r="A388" s="48" t="n"/>
      <c r="B388" s="22" t="n"/>
      <c r="C388" s="49" t="n"/>
      <c r="D388" s="50" t="n"/>
      <c r="E388" s="51">
        <f>IF(G388="","",IF(OR(H388&lt;1,H388&gt;NW),"⛔ التاريخ برّا السنة",IF(AND(N(C388)&gt;0,N(J388)&gt;0,C388&gt;ADV_CAP*J388),"⚠️ أكثر من "&amp;TEXT(ADV_CAP,"0%")&amp;" من شغله ("&amp;TEXT(J388,"0.000")&amp;")","")))</f>
        <v/>
      </c>
      <c r="G388">
        <f>IF(A388="","",IF(ISNUMBER(A388),IF(A388&lt;=31,"",IF(A388&lt;=3112,IF(DATE(YR,MOD(A388,100),INT(A388/100))&gt;SAT1+7*NW-1,DATE(YR-1,MOD(A388,100),INT(A388/100)),DATE(YR,MOD(A388,100),INT(A388/100))),A388)),IFERROR(DATEVALUE(A388),"")))</f>
        <v/>
      </c>
      <c r="H388">
        <f>IF(G388="","",INT((G388-SAT1)/7)+1)</f>
        <v/>
      </c>
      <c r="I388">
        <f>IF(H388="","",IF(OR(H388&lt;1,H388&gt;NW),"",INDEX(WMON,H388)))</f>
        <v/>
      </c>
      <c r="J388">
        <f>IF(OR(G388="",H388="",B388=""),"",IF(B388="عمر المصري",SUMIFS('ساعات عمر'!$H$6:$H$588,'ساعات عمر'!$A$6:$A$588,"&gt;="&amp;(SAT1+7*(H388-1)),'ساعات عمر'!$A$6:$A$588,"&lt;="&amp;G388),SUMIFS('ساعات عبدالعزيز'!$F$6:$F$588,'ساعات عبدالعزيز'!$A$6:$A$588,"&gt;="&amp;(SAT1+7*(H388-1)),'ساعات عبدالعزيز'!$A$6:$A$588,"&lt;="&amp;G388)))</f>
        <v/>
      </c>
    </row>
    <row r="389">
      <c r="A389" s="48" t="n"/>
      <c r="B389" s="22" t="n"/>
      <c r="C389" s="49" t="n"/>
      <c r="D389" s="50" t="n"/>
      <c r="E389" s="51">
        <f>IF(G389="","",IF(OR(H389&lt;1,H389&gt;NW),"⛔ التاريخ برّا السنة",IF(AND(N(C389)&gt;0,N(J389)&gt;0,C389&gt;ADV_CAP*J389),"⚠️ أكثر من "&amp;TEXT(ADV_CAP,"0%")&amp;" من شغله ("&amp;TEXT(J389,"0.000")&amp;")","")))</f>
        <v/>
      </c>
      <c r="G389">
        <f>IF(A389="","",IF(ISNUMBER(A389),IF(A389&lt;=31,"",IF(A389&lt;=3112,IF(DATE(YR,MOD(A389,100),INT(A389/100))&gt;SAT1+7*NW-1,DATE(YR-1,MOD(A389,100),INT(A389/100)),DATE(YR,MOD(A389,100),INT(A389/100))),A389)),IFERROR(DATEVALUE(A389),"")))</f>
        <v/>
      </c>
      <c r="H389">
        <f>IF(G389="","",INT((G389-SAT1)/7)+1)</f>
        <v/>
      </c>
      <c r="I389">
        <f>IF(H389="","",IF(OR(H389&lt;1,H389&gt;NW),"",INDEX(WMON,H389)))</f>
        <v/>
      </c>
      <c r="J389">
        <f>IF(OR(G389="",H389="",B389=""),"",IF(B389="عمر المصري",SUMIFS('ساعات عمر'!$H$6:$H$588,'ساعات عمر'!$A$6:$A$588,"&gt;="&amp;(SAT1+7*(H389-1)),'ساعات عمر'!$A$6:$A$588,"&lt;="&amp;G389),SUMIFS('ساعات عبدالعزيز'!$F$6:$F$588,'ساعات عبدالعزيز'!$A$6:$A$588,"&gt;="&amp;(SAT1+7*(H389-1)),'ساعات عبدالعزيز'!$A$6:$A$588,"&lt;="&amp;G389)))</f>
        <v/>
      </c>
    </row>
    <row r="390">
      <c r="A390" s="48" t="n"/>
      <c r="B390" s="22" t="n"/>
      <c r="C390" s="49" t="n"/>
      <c r="D390" s="50" t="n"/>
      <c r="E390" s="51">
        <f>IF(G390="","",IF(OR(H390&lt;1,H390&gt;NW),"⛔ التاريخ برّا السنة",IF(AND(N(C390)&gt;0,N(J390)&gt;0,C390&gt;ADV_CAP*J390),"⚠️ أكثر من "&amp;TEXT(ADV_CAP,"0%")&amp;" من شغله ("&amp;TEXT(J390,"0.000")&amp;")","")))</f>
        <v/>
      </c>
      <c r="G390">
        <f>IF(A390="","",IF(ISNUMBER(A390),IF(A390&lt;=31,"",IF(A390&lt;=3112,IF(DATE(YR,MOD(A390,100),INT(A390/100))&gt;SAT1+7*NW-1,DATE(YR-1,MOD(A390,100),INT(A390/100)),DATE(YR,MOD(A390,100),INT(A390/100))),A390)),IFERROR(DATEVALUE(A390),"")))</f>
        <v/>
      </c>
      <c r="H390">
        <f>IF(G390="","",INT((G390-SAT1)/7)+1)</f>
        <v/>
      </c>
      <c r="I390">
        <f>IF(H390="","",IF(OR(H390&lt;1,H390&gt;NW),"",INDEX(WMON,H390)))</f>
        <v/>
      </c>
      <c r="J390">
        <f>IF(OR(G390="",H390="",B390=""),"",IF(B390="عمر المصري",SUMIFS('ساعات عمر'!$H$6:$H$588,'ساعات عمر'!$A$6:$A$588,"&gt;="&amp;(SAT1+7*(H390-1)),'ساعات عمر'!$A$6:$A$588,"&lt;="&amp;G390),SUMIFS('ساعات عبدالعزيز'!$F$6:$F$588,'ساعات عبدالعزيز'!$A$6:$A$588,"&gt;="&amp;(SAT1+7*(H390-1)),'ساعات عبدالعزيز'!$A$6:$A$588,"&lt;="&amp;G390)))</f>
        <v/>
      </c>
    </row>
    <row r="391">
      <c r="A391" s="48" t="n"/>
      <c r="B391" s="22" t="n"/>
      <c r="C391" s="49" t="n"/>
      <c r="D391" s="50" t="n"/>
      <c r="E391" s="51">
        <f>IF(G391="","",IF(OR(H391&lt;1,H391&gt;NW),"⛔ التاريخ برّا السنة",IF(AND(N(C391)&gt;0,N(J391)&gt;0,C391&gt;ADV_CAP*J391),"⚠️ أكثر من "&amp;TEXT(ADV_CAP,"0%")&amp;" من شغله ("&amp;TEXT(J391,"0.000")&amp;")","")))</f>
        <v/>
      </c>
      <c r="G391">
        <f>IF(A391="","",IF(ISNUMBER(A391),IF(A391&lt;=31,"",IF(A391&lt;=3112,IF(DATE(YR,MOD(A391,100),INT(A391/100))&gt;SAT1+7*NW-1,DATE(YR-1,MOD(A391,100),INT(A391/100)),DATE(YR,MOD(A391,100),INT(A391/100))),A391)),IFERROR(DATEVALUE(A391),"")))</f>
        <v/>
      </c>
      <c r="H391">
        <f>IF(G391="","",INT((G391-SAT1)/7)+1)</f>
        <v/>
      </c>
      <c r="I391">
        <f>IF(H391="","",IF(OR(H391&lt;1,H391&gt;NW),"",INDEX(WMON,H391)))</f>
        <v/>
      </c>
      <c r="J391">
        <f>IF(OR(G391="",H391="",B391=""),"",IF(B391="عمر المصري",SUMIFS('ساعات عمر'!$H$6:$H$588,'ساعات عمر'!$A$6:$A$588,"&gt;="&amp;(SAT1+7*(H391-1)),'ساعات عمر'!$A$6:$A$588,"&lt;="&amp;G391),SUMIFS('ساعات عبدالعزيز'!$F$6:$F$588,'ساعات عبدالعزيز'!$A$6:$A$588,"&gt;="&amp;(SAT1+7*(H391-1)),'ساعات عبدالعزيز'!$A$6:$A$588,"&lt;="&amp;G391)))</f>
        <v/>
      </c>
    </row>
    <row r="392">
      <c r="A392" s="48" t="n"/>
      <c r="B392" s="22" t="n"/>
      <c r="C392" s="49" t="n"/>
      <c r="D392" s="50" t="n"/>
      <c r="E392" s="51">
        <f>IF(G392="","",IF(OR(H392&lt;1,H392&gt;NW),"⛔ التاريخ برّا السنة",IF(AND(N(C392)&gt;0,N(J392)&gt;0,C392&gt;ADV_CAP*J392),"⚠️ أكثر من "&amp;TEXT(ADV_CAP,"0%")&amp;" من شغله ("&amp;TEXT(J392,"0.000")&amp;")","")))</f>
        <v/>
      </c>
      <c r="G392">
        <f>IF(A392="","",IF(ISNUMBER(A392),IF(A392&lt;=31,"",IF(A392&lt;=3112,IF(DATE(YR,MOD(A392,100),INT(A392/100))&gt;SAT1+7*NW-1,DATE(YR-1,MOD(A392,100),INT(A392/100)),DATE(YR,MOD(A392,100),INT(A392/100))),A392)),IFERROR(DATEVALUE(A392),"")))</f>
        <v/>
      </c>
      <c r="H392">
        <f>IF(G392="","",INT((G392-SAT1)/7)+1)</f>
        <v/>
      </c>
      <c r="I392">
        <f>IF(H392="","",IF(OR(H392&lt;1,H392&gt;NW),"",INDEX(WMON,H392)))</f>
        <v/>
      </c>
      <c r="J392">
        <f>IF(OR(G392="",H392="",B392=""),"",IF(B392="عمر المصري",SUMIFS('ساعات عمر'!$H$6:$H$588,'ساعات عمر'!$A$6:$A$588,"&gt;="&amp;(SAT1+7*(H392-1)),'ساعات عمر'!$A$6:$A$588,"&lt;="&amp;G392),SUMIFS('ساعات عبدالعزيز'!$F$6:$F$588,'ساعات عبدالعزيز'!$A$6:$A$588,"&gt;="&amp;(SAT1+7*(H392-1)),'ساعات عبدالعزيز'!$A$6:$A$588,"&lt;="&amp;G392)))</f>
        <v/>
      </c>
    </row>
    <row r="393">
      <c r="A393" s="48" t="n"/>
      <c r="B393" s="22" t="n"/>
      <c r="C393" s="49" t="n"/>
      <c r="D393" s="50" t="n"/>
      <c r="E393" s="51">
        <f>IF(G393="","",IF(OR(H393&lt;1,H393&gt;NW),"⛔ التاريخ برّا السنة",IF(AND(N(C393)&gt;0,N(J393)&gt;0,C393&gt;ADV_CAP*J393),"⚠️ أكثر من "&amp;TEXT(ADV_CAP,"0%")&amp;" من شغله ("&amp;TEXT(J393,"0.000")&amp;")","")))</f>
        <v/>
      </c>
      <c r="G393">
        <f>IF(A393="","",IF(ISNUMBER(A393),IF(A393&lt;=31,"",IF(A393&lt;=3112,IF(DATE(YR,MOD(A393,100),INT(A393/100))&gt;SAT1+7*NW-1,DATE(YR-1,MOD(A393,100),INT(A393/100)),DATE(YR,MOD(A393,100),INT(A393/100))),A393)),IFERROR(DATEVALUE(A393),"")))</f>
        <v/>
      </c>
      <c r="H393">
        <f>IF(G393="","",INT((G393-SAT1)/7)+1)</f>
        <v/>
      </c>
      <c r="I393">
        <f>IF(H393="","",IF(OR(H393&lt;1,H393&gt;NW),"",INDEX(WMON,H393)))</f>
        <v/>
      </c>
      <c r="J393">
        <f>IF(OR(G393="",H393="",B393=""),"",IF(B393="عمر المصري",SUMIFS('ساعات عمر'!$H$6:$H$588,'ساعات عمر'!$A$6:$A$588,"&gt;="&amp;(SAT1+7*(H393-1)),'ساعات عمر'!$A$6:$A$588,"&lt;="&amp;G393),SUMIFS('ساعات عبدالعزيز'!$F$6:$F$588,'ساعات عبدالعزيز'!$A$6:$A$588,"&gt;="&amp;(SAT1+7*(H393-1)),'ساعات عبدالعزيز'!$A$6:$A$588,"&lt;="&amp;G393)))</f>
        <v/>
      </c>
    </row>
    <row r="394">
      <c r="A394" s="48" t="n"/>
      <c r="B394" s="22" t="n"/>
      <c r="C394" s="49" t="n"/>
      <c r="D394" s="50" t="n"/>
      <c r="E394" s="51">
        <f>IF(G394="","",IF(OR(H394&lt;1,H394&gt;NW),"⛔ التاريخ برّا السنة",IF(AND(N(C394)&gt;0,N(J394)&gt;0,C394&gt;ADV_CAP*J394),"⚠️ أكثر من "&amp;TEXT(ADV_CAP,"0%")&amp;" من شغله ("&amp;TEXT(J394,"0.000")&amp;")","")))</f>
        <v/>
      </c>
      <c r="G394">
        <f>IF(A394="","",IF(ISNUMBER(A394),IF(A394&lt;=31,"",IF(A394&lt;=3112,IF(DATE(YR,MOD(A394,100),INT(A394/100))&gt;SAT1+7*NW-1,DATE(YR-1,MOD(A394,100),INT(A394/100)),DATE(YR,MOD(A394,100),INT(A394/100))),A394)),IFERROR(DATEVALUE(A394),"")))</f>
        <v/>
      </c>
      <c r="H394">
        <f>IF(G394="","",INT((G394-SAT1)/7)+1)</f>
        <v/>
      </c>
      <c r="I394">
        <f>IF(H394="","",IF(OR(H394&lt;1,H394&gt;NW),"",INDEX(WMON,H394)))</f>
        <v/>
      </c>
      <c r="J394">
        <f>IF(OR(G394="",H394="",B394=""),"",IF(B394="عمر المصري",SUMIFS('ساعات عمر'!$H$6:$H$588,'ساعات عمر'!$A$6:$A$588,"&gt;="&amp;(SAT1+7*(H394-1)),'ساعات عمر'!$A$6:$A$588,"&lt;="&amp;G394),SUMIFS('ساعات عبدالعزيز'!$F$6:$F$588,'ساعات عبدالعزيز'!$A$6:$A$588,"&gt;="&amp;(SAT1+7*(H394-1)),'ساعات عبدالعزيز'!$A$6:$A$588,"&lt;="&amp;G394)))</f>
        <v/>
      </c>
    </row>
    <row r="395">
      <c r="A395" s="48" t="n"/>
      <c r="B395" s="22" t="n"/>
      <c r="C395" s="49" t="n"/>
      <c r="D395" s="50" t="n"/>
      <c r="E395" s="51">
        <f>IF(G395="","",IF(OR(H395&lt;1,H395&gt;NW),"⛔ التاريخ برّا السنة",IF(AND(N(C395)&gt;0,N(J395)&gt;0,C395&gt;ADV_CAP*J395),"⚠️ أكثر من "&amp;TEXT(ADV_CAP,"0%")&amp;" من شغله ("&amp;TEXT(J395,"0.000")&amp;")","")))</f>
        <v/>
      </c>
      <c r="G395">
        <f>IF(A395="","",IF(ISNUMBER(A395),IF(A395&lt;=31,"",IF(A395&lt;=3112,IF(DATE(YR,MOD(A395,100),INT(A395/100))&gt;SAT1+7*NW-1,DATE(YR-1,MOD(A395,100),INT(A395/100)),DATE(YR,MOD(A395,100),INT(A395/100))),A395)),IFERROR(DATEVALUE(A395),"")))</f>
        <v/>
      </c>
      <c r="H395">
        <f>IF(G395="","",INT((G395-SAT1)/7)+1)</f>
        <v/>
      </c>
      <c r="I395">
        <f>IF(H395="","",IF(OR(H395&lt;1,H395&gt;NW),"",INDEX(WMON,H395)))</f>
        <v/>
      </c>
      <c r="J395">
        <f>IF(OR(G395="",H395="",B395=""),"",IF(B395="عمر المصري",SUMIFS('ساعات عمر'!$H$6:$H$588,'ساعات عمر'!$A$6:$A$588,"&gt;="&amp;(SAT1+7*(H395-1)),'ساعات عمر'!$A$6:$A$588,"&lt;="&amp;G395),SUMIFS('ساعات عبدالعزيز'!$F$6:$F$588,'ساعات عبدالعزيز'!$A$6:$A$588,"&gt;="&amp;(SAT1+7*(H395-1)),'ساعات عبدالعزيز'!$A$6:$A$588,"&lt;="&amp;G395)))</f>
        <v/>
      </c>
    </row>
    <row r="396">
      <c r="A396" s="48" t="n"/>
      <c r="B396" s="22" t="n"/>
      <c r="C396" s="49" t="n"/>
      <c r="D396" s="50" t="n"/>
      <c r="E396" s="51">
        <f>IF(G396="","",IF(OR(H396&lt;1,H396&gt;NW),"⛔ التاريخ برّا السنة",IF(AND(N(C396)&gt;0,N(J396)&gt;0,C396&gt;ADV_CAP*J396),"⚠️ أكثر من "&amp;TEXT(ADV_CAP,"0%")&amp;" من شغله ("&amp;TEXT(J396,"0.000")&amp;")","")))</f>
        <v/>
      </c>
      <c r="G396">
        <f>IF(A396="","",IF(ISNUMBER(A396),IF(A396&lt;=31,"",IF(A396&lt;=3112,IF(DATE(YR,MOD(A396,100),INT(A396/100))&gt;SAT1+7*NW-1,DATE(YR-1,MOD(A396,100),INT(A396/100)),DATE(YR,MOD(A396,100),INT(A396/100))),A396)),IFERROR(DATEVALUE(A396),"")))</f>
        <v/>
      </c>
      <c r="H396">
        <f>IF(G396="","",INT((G396-SAT1)/7)+1)</f>
        <v/>
      </c>
      <c r="I396">
        <f>IF(H396="","",IF(OR(H396&lt;1,H396&gt;NW),"",INDEX(WMON,H396)))</f>
        <v/>
      </c>
      <c r="J396">
        <f>IF(OR(G396="",H396="",B396=""),"",IF(B396="عمر المصري",SUMIFS('ساعات عمر'!$H$6:$H$588,'ساعات عمر'!$A$6:$A$588,"&gt;="&amp;(SAT1+7*(H396-1)),'ساعات عمر'!$A$6:$A$588,"&lt;="&amp;G396),SUMIFS('ساعات عبدالعزيز'!$F$6:$F$588,'ساعات عبدالعزيز'!$A$6:$A$588,"&gt;="&amp;(SAT1+7*(H396-1)),'ساعات عبدالعزيز'!$A$6:$A$588,"&lt;="&amp;G396)))</f>
        <v/>
      </c>
    </row>
    <row r="397">
      <c r="A397" s="48" t="n"/>
      <c r="B397" s="22" t="n"/>
      <c r="C397" s="49" t="n"/>
      <c r="D397" s="50" t="n"/>
      <c r="E397" s="51">
        <f>IF(G397="","",IF(OR(H397&lt;1,H397&gt;NW),"⛔ التاريخ برّا السنة",IF(AND(N(C397)&gt;0,N(J397)&gt;0,C397&gt;ADV_CAP*J397),"⚠️ أكثر من "&amp;TEXT(ADV_CAP,"0%")&amp;" من شغله ("&amp;TEXT(J397,"0.000")&amp;")","")))</f>
        <v/>
      </c>
      <c r="G397">
        <f>IF(A397="","",IF(ISNUMBER(A397),IF(A397&lt;=31,"",IF(A397&lt;=3112,IF(DATE(YR,MOD(A397,100),INT(A397/100))&gt;SAT1+7*NW-1,DATE(YR-1,MOD(A397,100),INT(A397/100)),DATE(YR,MOD(A397,100),INT(A397/100))),A397)),IFERROR(DATEVALUE(A397),"")))</f>
        <v/>
      </c>
      <c r="H397">
        <f>IF(G397="","",INT((G397-SAT1)/7)+1)</f>
        <v/>
      </c>
      <c r="I397">
        <f>IF(H397="","",IF(OR(H397&lt;1,H397&gt;NW),"",INDEX(WMON,H397)))</f>
        <v/>
      </c>
      <c r="J397">
        <f>IF(OR(G397="",H397="",B397=""),"",IF(B397="عمر المصري",SUMIFS('ساعات عمر'!$H$6:$H$588,'ساعات عمر'!$A$6:$A$588,"&gt;="&amp;(SAT1+7*(H397-1)),'ساعات عمر'!$A$6:$A$588,"&lt;="&amp;G397),SUMIFS('ساعات عبدالعزيز'!$F$6:$F$588,'ساعات عبدالعزيز'!$A$6:$A$588,"&gt;="&amp;(SAT1+7*(H397-1)),'ساعات عبدالعزيز'!$A$6:$A$588,"&lt;="&amp;G397)))</f>
        <v/>
      </c>
    </row>
    <row r="398">
      <c r="A398" s="48" t="n"/>
      <c r="B398" s="22" t="n"/>
      <c r="C398" s="49" t="n"/>
      <c r="D398" s="50" t="n"/>
      <c r="E398" s="51">
        <f>IF(G398="","",IF(OR(H398&lt;1,H398&gt;NW),"⛔ التاريخ برّا السنة",IF(AND(N(C398)&gt;0,N(J398)&gt;0,C398&gt;ADV_CAP*J398),"⚠️ أكثر من "&amp;TEXT(ADV_CAP,"0%")&amp;" من شغله ("&amp;TEXT(J398,"0.000")&amp;")","")))</f>
        <v/>
      </c>
      <c r="G398">
        <f>IF(A398="","",IF(ISNUMBER(A398),IF(A398&lt;=31,"",IF(A398&lt;=3112,IF(DATE(YR,MOD(A398,100),INT(A398/100))&gt;SAT1+7*NW-1,DATE(YR-1,MOD(A398,100),INT(A398/100)),DATE(YR,MOD(A398,100),INT(A398/100))),A398)),IFERROR(DATEVALUE(A398),"")))</f>
        <v/>
      </c>
      <c r="H398">
        <f>IF(G398="","",INT((G398-SAT1)/7)+1)</f>
        <v/>
      </c>
      <c r="I398">
        <f>IF(H398="","",IF(OR(H398&lt;1,H398&gt;NW),"",INDEX(WMON,H398)))</f>
        <v/>
      </c>
      <c r="J398">
        <f>IF(OR(G398="",H398="",B398=""),"",IF(B398="عمر المصري",SUMIFS('ساعات عمر'!$H$6:$H$588,'ساعات عمر'!$A$6:$A$588,"&gt;="&amp;(SAT1+7*(H398-1)),'ساعات عمر'!$A$6:$A$588,"&lt;="&amp;G398),SUMIFS('ساعات عبدالعزيز'!$F$6:$F$588,'ساعات عبدالعزيز'!$A$6:$A$588,"&gt;="&amp;(SAT1+7*(H398-1)),'ساعات عبدالعزيز'!$A$6:$A$588,"&lt;="&amp;G398)))</f>
        <v/>
      </c>
    </row>
    <row r="399">
      <c r="A399" s="48" t="n"/>
      <c r="B399" s="22" t="n"/>
      <c r="C399" s="49" t="n"/>
      <c r="D399" s="50" t="n"/>
      <c r="E399" s="51">
        <f>IF(G399="","",IF(OR(H399&lt;1,H399&gt;NW),"⛔ التاريخ برّا السنة",IF(AND(N(C399)&gt;0,N(J399)&gt;0,C399&gt;ADV_CAP*J399),"⚠️ أكثر من "&amp;TEXT(ADV_CAP,"0%")&amp;" من شغله ("&amp;TEXT(J399,"0.000")&amp;")","")))</f>
        <v/>
      </c>
      <c r="G399">
        <f>IF(A399="","",IF(ISNUMBER(A399),IF(A399&lt;=31,"",IF(A399&lt;=3112,IF(DATE(YR,MOD(A399,100),INT(A399/100))&gt;SAT1+7*NW-1,DATE(YR-1,MOD(A399,100),INT(A399/100)),DATE(YR,MOD(A399,100),INT(A399/100))),A399)),IFERROR(DATEVALUE(A399),"")))</f>
        <v/>
      </c>
      <c r="H399">
        <f>IF(G399="","",INT((G399-SAT1)/7)+1)</f>
        <v/>
      </c>
      <c r="I399">
        <f>IF(H399="","",IF(OR(H399&lt;1,H399&gt;NW),"",INDEX(WMON,H399)))</f>
        <v/>
      </c>
      <c r="J399">
        <f>IF(OR(G399="",H399="",B399=""),"",IF(B399="عمر المصري",SUMIFS('ساعات عمر'!$H$6:$H$588,'ساعات عمر'!$A$6:$A$588,"&gt;="&amp;(SAT1+7*(H399-1)),'ساعات عمر'!$A$6:$A$588,"&lt;="&amp;G399),SUMIFS('ساعات عبدالعزيز'!$F$6:$F$588,'ساعات عبدالعزيز'!$A$6:$A$588,"&gt;="&amp;(SAT1+7*(H399-1)),'ساعات عبدالعزيز'!$A$6:$A$588,"&lt;="&amp;G399)))</f>
        <v/>
      </c>
    </row>
    <row r="400">
      <c r="A400" s="48" t="n"/>
      <c r="B400" s="22" t="n"/>
      <c r="C400" s="49" t="n"/>
      <c r="D400" s="50" t="n"/>
      <c r="E400" s="51">
        <f>IF(G400="","",IF(OR(H400&lt;1,H400&gt;NW),"⛔ التاريخ برّا السنة",IF(AND(N(C400)&gt;0,N(J400)&gt;0,C400&gt;ADV_CAP*J400),"⚠️ أكثر من "&amp;TEXT(ADV_CAP,"0%")&amp;" من شغله ("&amp;TEXT(J400,"0.000")&amp;")","")))</f>
        <v/>
      </c>
      <c r="G400">
        <f>IF(A400="","",IF(ISNUMBER(A400),IF(A400&lt;=31,"",IF(A400&lt;=3112,IF(DATE(YR,MOD(A400,100),INT(A400/100))&gt;SAT1+7*NW-1,DATE(YR-1,MOD(A400,100),INT(A400/100)),DATE(YR,MOD(A400,100),INT(A400/100))),A400)),IFERROR(DATEVALUE(A400),"")))</f>
        <v/>
      </c>
      <c r="H400">
        <f>IF(G400="","",INT((G400-SAT1)/7)+1)</f>
        <v/>
      </c>
      <c r="I400">
        <f>IF(H400="","",IF(OR(H400&lt;1,H400&gt;NW),"",INDEX(WMON,H400)))</f>
        <v/>
      </c>
      <c r="J400">
        <f>IF(OR(G400="",H400="",B400=""),"",IF(B400="عمر المصري",SUMIFS('ساعات عمر'!$H$6:$H$588,'ساعات عمر'!$A$6:$A$588,"&gt;="&amp;(SAT1+7*(H400-1)),'ساعات عمر'!$A$6:$A$588,"&lt;="&amp;G400),SUMIFS('ساعات عبدالعزيز'!$F$6:$F$588,'ساعات عبدالعزيز'!$A$6:$A$588,"&gt;="&amp;(SAT1+7*(H400-1)),'ساعات عبدالعزيز'!$A$6:$A$588,"&lt;="&amp;G400)))</f>
        <v/>
      </c>
    </row>
    <row r="401">
      <c r="A401" s="48" t="n"/>
      <c r="B401" s="22" t="n"/>
      <c r="C401" s="49" t="n"/>
      <c r="D401" s="50" t="n"/>
      <c r="E401" s="51">
        <f>IF(G401="","",IF(OR(H401&lt;1,H401&gt;NW),"⛔ التاريخ برّا السنة",IF(AND(N(C401)&gt;0,N(J401)&gt;0,C401&gt;ADV_CAP*J401),"⚠️ أكثر من "&amp;TEXT(ADV_CAP,"0%")&amp;" من شغله ("&amp;TEXT(J401,"0.000")&amp;")","")))</f>
        <v/>
      </c>
      <c r="G401">
        <f>IF(A401="","",IF(ISNUMBER(A401),IF(A401&lt;=31,"",IF(A401&lt;=3112,IF(DATE(YR,MOD(A401,100),INT(A401/100))&gt;SAT1+7*NW-1,DATE(YR-1,MOD(A401,100),INT(A401/100)),DATE(YR,MOD(A401,100),INT(A401/100))),A401)),IFERROR(DATEVALUE(A401),"")))</f>
        <v/>
      </c>
      <c r="H401">
        <f>IF(G401="","",INT((G401-SAT1)/7)+1)</f>
        <v/>
      </c>
      <c r="I401">
        <f>IF(H401="","",IF(OR(H401&lt;1,H401&gt;NW),"",INDEX(WMON,H401)))</f>
        <v/>
      </c>
      <c r="J401">
        <f>IF(OR(G401="",H401="",B401=""),"",IF(B401="عمر المصري",SUMIFS('ساعات عمر'!$H$6:$H$588,'ساعات عمر'!$A$6:$A$588,"&gt;="&amp;(SAT1+7*(H401-1)),'ساعات عمر'!$A$6:$A$588,"&lt;="&amp;G401),SUMIFS('ساعات عبدالعزيز'!$F$6:$F$588,'ساعات عبدالعزيز'!$A$6:$A$588,"&gt;="&amp;(SAT1+7*(H401-1)),'ساعات عبدالعزيز'!$A$6:$A$588,"&lt;="&amp;G401)))</f>
        <v/>
      </c>
    </row>
    <row r="402">
      <c r="A402" s="48" t="n"/>
      <c r="B402" s="22" t="n"/>
      <c r="C402" s="49" t="n"/>
      <c r="D402" s="50" t="n"/>
      <c r="E402" s="51">
        <f>IF(G402="","",IF(OR(H402&lt;1,H402&gt;NW),"⛔ التاريخ برّا السنة",IF(AND(N(C402)&gt;0,N(J402)&gt;0,C402&gt;ADV_CAP*J402),"⚠️ أكثر من "&amp;TEXT(ADV_CAP,"0%")&amp;" من شغله ("&amp;TEXT(J402,"0.000")&amp;")","")))</f>
        <v/>
      </c>
      <c r="G402">
        <f>IF(A402="","",IF(ISNUMBER(A402),IF(A402&lt;=31,"",IF(A402&lt;=3112,IF(DATE(YR,MOD(A402,100),INT(A402/100))&gt;SAT1+7*NW-1,DATE(YR-1,MOD(A402,100),INT(A402/100)),DATE(YR,MOD(A402,100),INT(A402/100))),A402)),IFERROR(DATEVALUE(A402),"")))</f>
        <v/>
      </c>
      <c r="H402">
        <f>IF(G402="","",INT((G402-SAT1)/7)+1)</f>
        <v/>
      </c>
      <c r="I402">
        <f>IF(H402="","",IF(OR(H402&lt;1,H402&gt;NW),"",INDEX(WMON,H402)))</f>
        <v/>
      </c>
      <c r="J402">
        <f>IF(OR(G402="",H402="",B402=""),"",IF(B402="عمر المصري",SUMIFS('ساعات عمر'!$H$6:$H$588,'ساعات عمر'!$A$6:$A$588,"&gt;="&amp;(SAT1+7*(H402-1)),'ساعات عمر'!$A$6:$A$588,"&lt;="&amp;G402),SUMIFS('ساعات عبدالعزيز'!$F$6:$F$588,'ساعات عبدالعزيز'!$A$6:$A$588,"&gt;="&amp;(SAT1+7*(H402-1)),'ساعات عبدالعزيز'!$A$6:$A$588,"&lt;="&amp;G402)))</f>
        <v/>
      </c>
    </row>
    <row r="403">
      <c r="A403" s="48" t="n"/>
      <c r="B403" s="22" t="n"/>
      <c r="C403" s="49" t="n"/>
      <c r="D403" s="50" t="n"/>
      <c r="E403" s="51">
        <f>IF(G403="","",IF(OR(H403&lt;1,H403&gt;NW),"⛔ التاريخ برّا السنة",IF(AND(N(C403)&gt;0,N(J403)&gt;0,C403&gt;ADV_CAP*J403),"⚠️ أكثر من "&amp;TEXT(ADV_CAP,"0%")&amp;" من شغله ("&amp;TEXT(J403,"0.000")&amp;")","")))</f>
        <v/>
      </c>
      <c r="G403">
        <f>IF(A403="","",IF(ISNUMBER(A403),IF(A403&lt;=31,"",IF(A403&lt;=3112,IF(DATE(YR,MOD(A403,100),INT(A403/100))&gt;SAT1+7*NW-1,DATE(YR-1,MOD(A403,100),INT(A403/100)),DATE(YR,MOD(A403,100),INT(A403/100))),A403)),IFERROR(DATEVALUE(A403),"")))</f>
        <v/>
      </c>
      <c r="H403">
        <f>IF(G403="","",INT((G403-SAT1)/7)+1)</f>
        <v/>
      </c>
      <c r="I403">
        <f>IF(H403="","",IF(OR(H403&lt;1,H403&gt;NW),"",INDEX(WMON,H403)))</f>
        <v/>
      </c>
      <c r="J403">
        <f>IF(OR(G403="",H403="",B403=""),"",IF(B403="عمر المصري",SUMIFS('ساعات عمر'!$H$6:$H$588,'ساعات عمر'!$A$6:$A$588,"&gt;="&amp;(SAT1+7*(H403-1)),'ساعات عمر'!$A$6:$A$588,"&lt;="&amp;G403),SUMIFS('ساعات عبدالعزيز'!$F$6:$F$588,'ساعات عبدالعزيز'!$A$6:$A$588,"&gt;="&amp;(SAT1+7*(H403-1)),'ساعات عبدالعزيز'!$A$6:$A$588,"&lt;="&amp;G403)))</f>
        <v/>
      </c>
    </row>
    <row r="404">
      <c r="A404" s="48" t="n"/>
      <c r="B404" s="22" t="n"/>
      <c r="C404" s="49" t="n"/>
      <c r="D404" s="50" t="n"/>
      <c r="E404" s="51">
        <f>IF(G404="","",IF(OR(H404&lt;1,H404&gt;NW),"⛔ التاريخ برّا السنة",IF(AND(N(C404)&gt;0,N(J404)&gt;0,C404&gt;ADV_CAP*J404),"⚠️ أكثر من "&amp;TEXT(ADV_CAP,"0%")&amp;" من شغله ("&amp;TEXT(J404,"0.000")&amp;")","")))</f>
        <v/>
      </c>
      <c r="G404">
        <f>IF(A404="","",IF(ISNUMBER(A404),IF(A404&lt;=31,"",IF(A404&lt;=3112,IF(DATE(YR,MOD(A404,100),INT(A404/100))&gt;SAT1+7*NW-1,DATE(YR-1,MOD(A404,100),INT(A404/100)),DATE(YR,MOD(A404,100),INT(A404/100))),A404)),IFERROR(DATEVALUE(A404),"")))</f>
        <v/>
      </c>
      <c r="H404">
        <f>IF(G404="","",INT((G404-SAT1)/7)+1)</f>
        <v/>
      </c>
      <c r="I404">
        <f>IF(H404="","",IF(OR(H404&lt;1,H404&gt;NW),"",INDEX(WMON,H404)))</f>
        <v/>
      </c>
      <c r="J404">
        <f>IF(OR(G404="",H404="",B404=""),"",IF(B404="عمر المصري",SUMIFS('ساعات عمر'!$H$6:$H$588,'ساعات عمر'!$A$6:$A$588,"&gt;="&amp;(SAT1+7*(H404-1)),'ساعات عمر'!$A$6:$A$588,"&lt;="&amp;G404),SUMIFS('ساعات عبدالعزيز'!$F$6:$F$588,'ساعات عبدالعزيز'!$A$6:$A$588,"&gt;="&amp;(SAT1+7*(H404-1)),'ساعات عبدالعزيز'!$A$6:$A$588,"&lt;="&amp;G404)))</f>
        <v/>
      </c>
    </row>
    <row r="405">
      <c r="A405" s="48" t="n"/>
      <c r="B405" s="22" t="n"/>
      <c r="C405" s="49" t="n"/>
      <c r="D405" s="50" t="n"/>
      <c r="E405" s="51">
        <f>IF(G405="","",IF(OR(H405&lt;1,H405&gt;NW),"⛔ التاريخ برّا السنة",IF(AND(N(C405)&gt;0,N(J405)&gt;0,C405&gt;ADV_CAP*J405),"⚠️ أكثر من "&amp;TEXT(ADV_CAP,"0%")&amp;" من شغله ("&amp;TEXT(J405,"0.000")&amp;")","")))</f>
        <v/>
      </c>
      <c r="G405">
        <f>IF(A405="","",IF(ISNUMBER(A405),IF(A405&lt;=31,"",IF(A405&lt;=3112,IF(DATE(YR,MOD(A405,100),INT(A405/100))&gt;SAT1+7*NW-1,DATE(YR-1,MOD(A405,100),INT(A405/100)),DATE(YR,MOD(A405,100),INT(A405/100))),A405)),IFERROR(DATEVALUE(A405),"")))</f>
        <v/>
      </c>
      <c r="H405">
        <f>IF(G405="","",INT((G405-SAT1)/7)+1)</f>
        <v/>
      </c>
      <c r="I405">
        <f>IF(H405="","",IF(OR(H405&lt;1,H405&gt;NW),"",INDEX(WMON,H405)))</f>
        <v/>
      </c>
      <c r="J405">
        <f>IF(OR(G405="",H405="",B405=""),"",IF(B405="عمر المصري",SUMIFS('ساعات عمر'!$H$6:$H$588,'ساعات عمر'!$A$6:$A$588,"&gt;="&amp;(SAT1+7*(H405-1)),'ساعات عمر'!$A$6:$A$588,"&lt;="&amp;G405),SUMIFS('ساعات عبدالعزيز'!$F$6:$F$588,'ساعات عبدالعزيز'!$A$6:$A$588,"&gt;="&amp;(SAT1+7*(H405-1)),'ساعات عبدالعزيز'!$A$6:$A$588,"&lt;="&amp;G405)))</f>
        <v/>
      </c>
    </row>
    <row r="406">
      <c r="A406" s="48" t="n"/>
      <c r="B406" s="22" t="n"/>
      <c r="C406" s="49" t="n"/>
      <c r="D406" s="50" t="n"/>
      <c r="E406" s="51">
        <f>IF(G406="","",IF(OR(H406&lt;1,H406&gt;NW),"⛔ التاريخ برّا السنة",IF(AND(N(C406)&gt;0,N(J406)&gt;0,C406&gt;ADV_CAP*J406),"⚠️ أكثر من "&amp;TEXT(ADV_CAP,"0%")&amp;" من شغله ("&amp;TEXT(J406,"0.000")&amp;")","")))</f>
        <v/>
      </c>
      <c r="G406">
        <f>IF(A406="","",IF(ISNUMBER(A406),IF(A406&lt;=31,"",IF(A406&lt;=3112,IF(DATE(YR,MOD(A406,100),INT(A406/100))&gt;SAT1+7*NW-1,DATE(YR-1,MOD(A406,100),INT(A406/100)),DATE(YR,MOD(A406,100),INT(A406/100))),A406)),IFERROR(DATEVALUE(A406),"")))</f>
        <v/>
      </c>
      <c r="H406">
        <f>IF(G406="","",INT((G406-SAT1)/7)+1)</f>
        <v/>
      </c>
      <c r="I406">
        <f>IF(H406="","",IF(OR(H406&lt;1,H406&gt;NW),"",INDEX(WMON,H406)))</f>
        <v/>
      </c>
      <c r="J406">
        <f>IF(OR(G406="",H406="",B406=""),"",IF(B406="عمر المصري",SUMIFS('ساعات عمر'!$H$6:$H$588,'ساعات عمر'!$A$6:$A$588,"&gt;="&amp;(SAT1+7*(H406-1)),'ساعات عمر'!$A$6:$A$588,"&lt;="&amp;G406),SUMIFS('ساعات عبدالعزيز'!$F$6:$F$588,'ساعات عبدالعزيز'!$A$6:$A$588,"&gt;="&amp;(SAT1+7*(H406-1)),'ساعات عبدالعزيز'!$A$6:$A$588,"&lt;="&amp;G406)))</f>
        <v/>
      </c>
    </row>
    <row r="407">
      <c r="A407" s="48" t="n"/>
      <c r="B407" s="22" t="n"/>
      <c r="C407" s="49" t="n"/>
      <c r="D407" s="50" t="n"/>
      <c r="E407" s="51">
        <f>IF(G407="","",IF(OR(H407&lt;1,H407&gt;NW),"⛔ التاريخ برّا السنة",IF(AND(N(C407)&gt;0,N(J407)&gt;0,C407&gt;ADV_CAP*J407),"⚠️ أكثر من "&amp;TEXT(ADV_CAP,"0%")&amp;" من شغله ("&amp;TEXT(J407,"0.000")&amp;")","")))</f>
        <v/>
      </c>
      <c r="G407">
        <f>IF(A407="","",IF(ISNUMBER(A407),IF(A407&lt;=31,"",IF(A407&lt;=3112,IF(DATE(YR,MOD(A407,100),INT(A407/100))&gt;SAT1+7*NW-1,DATE(YR-1,MOD(A407,100),INT(A407/100)),DATE(YR,MOD(A407,100),INT(A407/100))),A407)),IFERROR(DATEVALUE(A407),"")))</f>
        <v/>
      </c>
      <c r="H407">
        <f>IF(G407="","",INT((G407-SAT1)/7)+1)</f>
        <v/>
      </c>
      <c r="I407">
        <f>IF(H407="","",IF(OR(H407&lt;1,H407&gt;NW),"",INDEX(WMON,H407)))</f>
        <v/>
      </c>
      <c r="J407">
        <f>IF(OR(G407="",H407="",B407=""),"",IF(B407="عمر المصري",SUMIFS('ساعات عمر'!$H$6:$H$588,'ساعات عمر'!$A$6:$A$588,"&gt;="&amp;(SAT1+7*(H407-1)),'ساعات عمر'!$A$6:$A$588,"&lt;="&amp;G407),SUMIFS('ساعات عبدالعزيز'!$F$6:$F$588,'ساعات عبدالعزيز'!$A$6:$A$588,"&gt;="&amp;(SAT1+7*(H407-1)),'ساعات عبدالعزيز'!$A$6:$A$588,"&lt;="&amp;G407)))</f>
        <v/>
      </c>
    </row>
    <row r="408">
      <c r="A408" s="48" t="n"/>
      <c r="B408" s="22" t="n"/>
      <c r="C408" s="49" t="n"/>
      <c r="D408" s="50" t="n"/>
      <c r="E408" s="51">
        <f>IF(G408="","",IF(OR(H408&lt;1,H408&gt;NW),"⛔ التاريخ برّا السنة",IF(AND(N(C408)&gt;0,N(J408)&gt;0,C408&gt;ADV_CAP*J408),"⚠️ أكثر من "&amp;TEXT(ADV_CAP,"0%")&amp;" من شغله ("&amp;TEXT(J408,"0.000")&amp;")","")))</f>
        <v/>
      </c>
      <c r="G408">
        <f>IF(A408="","",IF(ISNUMBER(A408),IF(A408&lt;=31,"",IF(A408&lt;=3112,IF(DATE(YR,MOD(A408,100),INT(A408/100))&gt;SAT1+7*NW-1,DATE(YR-1,MOD(A408,100),INT(A408/100)),DATE(YR,MOD(A408,100),INT(A408/100))),A408)),IFERROR(DATEVALUE(A408),"")))</f>
        <v/>
      </c>
      <c r="H408">
        <f>IF(G408="","",INT((G408-SAT1)/7)+1)</f>
        <v/>
      </c>
      <c r="I408">
        <f>IF(H408="","",IF(OR(H408&lt;1,H408&gt;NW),"",INDEX(WMON,H408)))</f>
        <v/>
      </c>
      <c r="J408">
        <f>IF(OR(G408="",H408="",B408=""),"",IF(B408="عمر المصري",SUMIFS('ساعات عمر'!$H$6:$H$588,'ساعات عمر'!$A$6:$A$588,"&gt;="&amp;(SAT1+7*(H408-1)),'ساعات عمر'!$A$6:$A$588,"&lt;="&amp;G408),SUMIFS('ساعات عبدالعزيز'!$F$6:$F$588,'ساعات عبدالعزيز'!$A$6:$A$588,"&gt;="&amp;(SAT1+7*(H408-1)),'ساعات عبدالعزيز'!$A$6:$A$588,"&lt;="&amp;G408)))</f>
        <v/>
      </c>
    </row>
    <row r="409">
      <c r="A409" s="48" t="n"/>
      <c r="B409" s="22" t="n"/>
      <c r="C409" s="49" t="n"/>
      <c r="D409" s="50" t="n"/>
      <c r="E409" s="51">
        <f>IF(G409="","",IF(OR(H409&lt;1,H409&gt;NW),"⛔ التاريخ برّا السنة",IF(AND(N(C409)&gt;0,N(J409)&gt;0,C409&gt;ADV_CAP*J409),"⚠️ أكثر من "&amp;TEXT(ADV_CAP,"0%")&amp;" من شغله ("&amp;TEXT(J409,"0.000")&amp;")","")))</f>
        <v/>
      </c>
      <c r="G409">
        <f>IF(A409="","",IF(ISNUMBER(A409),IF(A409&lt;=31,"",IF(A409&lt;=3112,IF(DATE(YR,MOD(A409,100),INT(A409/100))&gt;SAT1+7*NW-1,DATE(YR-1,MOD(A409,100),INT(A409/100)),DATE(YR,MOD(A409,100),INT(A409/100))),A409)),IFERROR(DATEVALUE(A409),"")))</f>
        <v/>
      </c>
      <c r="H409">
        <f>IF(G409="","",INT((G409-SAT1)/7)+1)</f>
        <v/>
      </c>
      <c r="I409">
        <f>IF(H409="","",IF(OR(H409&lt;1,H409&gt;NW),"",INDEX(WMON,H409)))</f>
        <v/>
      </c>
      <c r="J409">
        <f>IF(OR(G409="",H409="",B409=""),"",IF(B409="عمر المصري",SUMIFS('ساعات عمر'!$H$6:$H$588,'ساعات عمر'!$A$6:$A$588,"&gt;="&amp;(SAT1+7*(H409-1)),'ساعات عمر'!$A$6:$A$588,"&lt;="&amp;G409),SUMIFS('ساعات عبدالعزيز'!$F$6:$F$588,'ساعات عبدالعزيز'!$A$6:$A$588,"&gt;="&amp;(SAT1+7*(H409-1)),'ساعات عبدالعزيز'!$A$6:$A$588,"&lt;="&amp;G409)))</f>
        <v/>
      </c>
    </row>
    <row r="411">
      <c r="A411" s="52">
        <f>"ضل "&amp;COUNTBLANK(A10:A409)&amp;" سطر فاضي بالسجل"</f>
        <v/>
      </c>
      <c r="B411" s="17" t="inlineStr">
        <is>
          <t>مثال: 0510 · عمر المصري · 20.000 · «كاش من الصندوق»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2:E2"/>
    <mergeCell ref="A1:E1"/>
    <mergeCell ref="A7:E7"/>
    <mergeCell ref="B411:E411"/>
  </mergeCells>
  <conditionalFormatting sqref="A10:E409">
    <cfRule type="expression" priority="1" dxfId="5">
      <formula>AND($A10&lt;&gt;"",$G10="")</formula>
    </cfRule>
    <cfRule type="expression" priority="2" dxfId="0">
      <formula>LEFT($E10,1)="⚠"</formula>
    </cfRule>
  </conditionalFormatting>
  <dataValidations count="2">
    <dataValidation sqref="B10:B409" showDropDown="0" showInputMessage="0" showErrorMessage="0" allowBlank="1" type="list">
      <formula1>"عمر المصري,عبدالعزيز"</formula1>
    </dataValidation>
    <dataValidation sqref="A10:A409" showDropDown="0" showInputMessage="1" showErrorMessage="0" allowBlank="1" promptTitle="التاريخ" prompt="اختار من آخر 14 يوم، أو اكتب يوم وشهر (0510 = 05/10)، أو التاريخ كامل" type="list">
      <formula1>='القوائم'!$N$1:$N$14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2"/>
  <sheetViews>
    <sheetView showGridLines="0" rightToLeft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5" customWidth="1" min="5" max="5"/>
    <col width="16" customWidth="1" min="6" max="6"/>
    <col width="40" customWidth="1" min="7" max="7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32" customHeight="1">
      <c r="A1" s="42" t="inlineStr">
        <is>
          <t>القروض والديون — بتنخصم أقساط كل أسبوع</t>
        </is>
      </c>
    </row>
    <row r="2" ht="22" customHeight="1">
      <c r="A2" s="43">
        <f>"سنة "&amp;YR&amp;"   (السنة بتنختار من ورقة التسوية)"</f>
        <v/>
      </c>
    </row>
    <row r="3" ht="34" customHeight="1">
      <c r="A3" s="44" t="inlineStr">
        <is>
          <t>الموظف</t>
        </is>
      </c>
      <c r="B3" s="44" t="inlineStr">
        <is>
          <t>القروض والديون (مع الماضي)</t>
        </is>
      </c>
      <c r="C3" s="44" t="inlineStr">
        <is>
          <t>انخصم أقساط لحد الأسبوع المختار</t>
        </is>
      </c>
      <c r="D3" s="44" t="inlineStr">
        <is>
          <t>دفع كاش من جيبته</t>
        </is>
      </c>
      <c r="E3" s="44" t="inlineStr">
        <is>
          <t>الدين المتبقي</t>
        </is>
      </c>
      <c r="F3" s="44" t="inlineStr">
        <is>
          <t>القسط الأسبوعي الحالي</t>
        </is>
      </c>
      <c r="G3" s="44" t="inlineStr">
        <is>
          <t>قديش ضل</t>
        </is>
      </c>
    </row>
    <row r="4" ht="24" customHeight="1">
      <c r="A4" s="53" t="inlineStr">
        <is>
          <t>عمر المصري</t>
        </is>
      </c>
      <c r="B4" s="54">
        <f>'بداية السنة'!$D$6+SUMIFS(LG_DEBT,LG_E,A4,LG_W,"&lt;="&amp;WK)</f>
        <v/>
      </c>
      <c r="C4" s="54">
        <f>SUMIFS(LO_F,LO_A,"&lt;="&amp;WK)</f>
        <v/>
      </c>
      <c r="D4" s="54">
        <f>SUMIFS(LG_REP,LG_E,A4,LG_W,"&lt;="&amp;WK)</f>
        <v/>
      </c>
      <c r="E4" s="55">
        <f>MAX(0,B4-C4-D4)</f>
        <v/>
      </c>
      <c r="F4" s="54">
        <f>IF(E4&gt;0,IF(SUMPRODUCT(MAX((LG_E="عمر المصري")*(LG_INST&lt;&gt;"")*(LG_D&lt;=INDEX(WFRI,WK))*LG_IDX))=0,'بداية السنة'!$E$6,INDEX(LG_INST,SUMPRODUCT(MAX((LG_E="عمر المصري")*(LG_INST&lt;&gt;"")*(LG_D&lt;=INDEX(WFRI,WK))*LG_IDX)))),0)</f>
        <v/>
      </c>
      <c r="G4" s="53">
        <f>IF(E4&lt;0.0005,"✔ ما عليه شي",IF(F4&gt;0,ROUNDUP(E4/F4,0)&amp;" أسبوع تقريباً","⚠️ حدّد القسط"))</f>
        <v/>
      </c>
    </row>
    <row r="5" ht="24" customHeight="1">
      <c r="A5" s="53" t="inlineStr">
        <is>
          <t>عبدالعزيز</t>
        </is>
      </c>
      <c r="B5" s="54">
        <f>'بداية السنة'!$D$7+SUMIFS(LG_DEBT,LG_E,A5,LG_W,"&lt;="&amp;WK)</f>
        <v/>
      </c>
      <c r="C5" s="54">
        <f>SUMIFS(LZ_F,LZ_A,"&lt;="&amp;WK)</f>
        <v/>
      </c>
      <c r="D5" s="54">
        <f>SUMIFS(LG_REP,LG_E,A5,LG_W,"&lt;="&amp;WK)</f>
        <v/>
      </c>
      <c r="E5" s="55">
        <f>MAX(0,B5-C5-D5)</f>
        <v/>
      </c>
      <c r="F5" s="54">
        <f>IF(E5&gt;0,IF(SUMPRODUCT(MAX((LG_E="عبدالعزيز")*(LG_INST&lt;&gt;"")*(LG_D&lt;=INDEX(WFRI,WK))*LG_IDX))=0,'بداية السنة'!$E$7,INDEX(LG_INST,SUMPRODUCT(MAX((LG_E="عبدالعزيز")*(LG_INST&lt;&gt;"")*(LG_D&lt;=INDEX(WFRI,WK))*LG_IDX)))),0)</f>
        <v/>
      </c>
      <c r="G5" s="53">
        <f>IF(E5&lt;0.0005,"✔ ما عليه شي",IF(F5&gt;0,ROUNDUP(E5/F5,0)&amp;" أسبوع تقريباً","⚠️ حدّد القسط"))</f>
        <v/>
      </c>
    </row>
    <row r="7" ht="26" customHeight="1">
      <c r="A7" s="46" t="inlineStr">
        <is>
          <t>• كل سطر: «النوع»: بضاعة (أخذ من المحل) · قرض كاش (مصاري) · دين قديم. والمبلغ والقسط الأسبوعي ← القسط بينخصم كل أسبوع لحاله لحد ما يخلص.</t>
        </is>
      </c>
    </row>
    <row r="8" ht="26" customHeight="1">
      <c r="A8" s="46" t="inlineStr">
        <is>
          <t>• البضاعة: اكتب بالبيان الصنف والكمية (مثل: درم ديلوكس ابيض ×1) — بتنزل فاتورة بيع على أودو باسم الموظف. · تغيير القسط: سطر جديد فيه القسط بس. · «دفع كاش من جيبته» بينقص الدين فوراً.</t>
        </is>
      </c>
    </row>
    <row r="10" ht="34" customHeight="1">
      <c r="A10" s="47" t="inlineStr">
        <is>
          <t>التاريخ</t>
        </is>
      </c>
      <c r="B10" s="47" t="inlineStr">
        <is>
          <t>الموظف</t>
        </is>
      </c>
      <c r="C10" s="47" t="inlineStr">
        <is>
          <t>النوع</t>
        </is>
      </c>
      <c r="D10" s="47" t="inlineStr">
        <is>
          <t>المبلغ (دينار)</t>
        </is>
      </c>
      <c r="E10" s="47" t="inlineStr">
        <is>
          <t>القسط الأسبوعي (دينار)</t>
        </is>
      </c>
      <c r="F10" s="47" t="inlineStr">
        <is>
          <t>دفع كاش من جيبته (دينار)</t>
        </is>
      </c>
      <c r="G10" s="47" t="inlineStr">
        <is>
          <t>البيان — للبضاعة: الصنف والكمية</t>
        </is>
      </c>
    </row>
    <row r="11">
      <c r="A11" s="48" t="n"/>
      <c r="B11" s="22" t="n"/>
      <c r="C11" s="22" t="n"/>
      <c r="D11" s="49" t="n"/>
      <c r="E11" s="49" t="n"/>
      <c r="F11" s="49" t="n"/>
      <c r="G11" s="50" t="n"/>
      <c r="J11" t="n">
        <v>1</v>
      </c>
      <c r="K11">
        <f>IF(A11="","",IF(ISNUMBER(A11),IF(A11&lt;=31,"",IF(A11&lt;=3112,IF(DATE(YR,MOD(A11,100),INT(A11/100))&gt;SAT1+7*NW-1,DATE(YR-1,MOD(A11,100),INT(A11/100)),DATE(YR,MOD(A11,100),INT(A11/100))),A11)),IFERROR(DATEVALUE(A11),"")))</f>
        <v/>
      </c>
      <c r="L11">
        <f>IF(K11="","",INT((K11-SAT1)/7)+1)</f>
        <v/>
      </c>
      <c r="M11">
        <f>IF(L11="","",IF(OR(L11&lt;1,L11&gt;NW),"",INDEX(WMON,L11)))</f>
        <v/>
      </c>
    </row>
    <row r="12">
      <c r="A12" s="48" t="n"/>
      <c r="B12" s="22" t="n"/>
      <c r="C12" s="22" t="n"/>
      <c r="D12" s="49" t="n"/>
      <c r="E12" s="49" t="n"/>
      <c r="F12" s="49" t="n"/>
      <c r="G12" s="50" t="n"/>
      <c r="J12" t="n">
        <v>2</v>
      </c>
      <c r="K12">
        <f>IF(A12="","",IF(ISNUMBER(A12),IF(A12&lt;=31,"",IF(A12&lt;=3112,IF(DATE(YR,MOD(A12,100),INT(A12/100))&gt;SAT1+7*NW-1,DATE(YR-1,MOD(A12,100),INT(A12/100)),DATE(YR,MOD(A12,100),INT(A12/100))),A12)),IFERROR(DATEVALUE(A12),"")))</f>
        <v/>
      </c>
      <c r="L12">
        <f>IF(K12="","",INT((K12-SAT1)/7)+1)</f>
        <v/>
      </c>
      <c r="M12">
        <f>IF(L12="","",IF(OR(L12&lt;1,L12&gt;NW),"",INDEX(WMON,L12)))</f>
        <v/>
      </c>
    </row>
    <row r="13">
      <c r="A13" s="48" t="n"/>
      <c r="B13" s="22" t="n"/>
      <c r="C13" s="22" t="n"/>
      <c r="D13" s="49" t="n"/>
      <c r="E13" s="49" t="n"/>
      <c r="F13" s="49" t="n"/>
      <c r="G13" s="50" t="n"/>
      <c r="J13" t="n">
        <v>3</v>
      </c>
      <c r="K13">
        <f>IF(A13="","",IF(ISNUMBER(A13),IF(A13&lt;=31,"",IF(A13&lt;=3112,IF(DATE(YR,MOD(A13,100),INT(A13/100))&gt;SAT1+7*NW-1,DATE(YR-1,MOD(A13,100),INT(A13/100)),DATE(YR,MOD(A13,100),INT(A13/100))),A13)),IFERROR(DATEVALUE(A13),"")))</f>
        <v/>
      </c>
      <c r="L13">
        <f>IF(K13="","",INT((K13-SAT1)/7)+1)</f>
        <v/>
      </c>
      <c r="M13">
        <f>IF(L13="","",IF(OR(L13&lt;1,L13&gt;NW),"",INDEX(WMON,L13)))</f>
        <v/>
      </c>
    </row>
    <row r="14">
      <c r="A14" s="48" t="n"/>
      <c r="B14" s="22" t="n"/>
      <c r="C14" s="22" t="n"/>
      <c r="D14" s="49" t="n"/>
      <c r="E14" s="49" t="n"/>
      <c r="F14" s="49" t="n"/>
      <c r="G14" s="50" t="n"/>
      <c r="J14" t="n">
        <v>4</v>
      </c>
      <c r="K14">
        <f>IF(A14="","",IF(ISNUMBER(A14),IF(A14&lt;=31,"",IF(A14&lt;=3112,IF(DATE(YR,MOD(A14,100),INT(A14/100))&gt;SAT1+7*NW-1,DATE(YR-1,MOD(A14,100),INT(A14/100)),DATE(YR,MOD(A14,100),INT(A14/100))),A14)),IFERROR(DATEVALUE(A14),"")))</f>
        <v/>
      </c>
      <c r="L14">
        <f>IF(K14="","",INT((K14-SAT1)/7)+1)</f>
        <v/>
      </c>
      <c r="M14">
        <f>IF(L14="","",IF(OR(L14&lt;1,L14&gt;NW),"",INDEX(WMON,L14)))</f>
        <v/>
      </c>
    </row>
    <row r="15">
      <c r="A15" s="48" t="n"/>
      <c r="B15" s="22" t="n"/>
      <c r="C15" s="22" t="n"/>
      <c r="D15" s="49" t="n"/>
      <c r="E15" s="49" t="n"/>
      <c r="F15" s="49" t="n"/>
      <c r="G15" s="50" t="n"/>
      <c r="J15" t="n">
        <v>5</v>
      </c>
      <c r="K15">
        <f>IF(A15="","",IF(ISNUMBER(A15),IF(A15&lt;=31,"",IF(A15&lt;=3112,IF(DATE(YR,MOD(A15,100),INT(A15/100))&gt;SAT1+7*NW-1,DATE(YR-1,MOD(A15,100),INT(A15/100)),DATE(YR,MOD(A15,100),INT(A15/100))),A15)),IFERROR(DATEVALUE(A15),"")))</f>
        <v/>
      </c>
      <c r="L15">
        <f>IF(K15="","",INT((K15-SAT1)/7)+1)</f>
        <v/>
      </c>
      <c r="M15">
        <f>IF(L15="","",IF(OR(L15&lt;1,L15&gt;NW),"",INDEX(WMON,L15)))</f>
        <v/>
      </c>
    </row>
    <row r="16">
      <c r="A16" s="48" t="n"/>
      <c r="B16" s="22" t="n"/>
      <c r="C16" s="22" t="n"/>
      <c r="D16" s="49" t="n"/>
      <c r="E16" s="49" t="n"/>
      <c r="F16" s="49" t="n"/>
      <c r="G16" s="50" t="n"/>
      <c r="J16" t="n">
        <v>6</v>
      </c>
      <c r="K16">
        <f>IF(A16="","",IF(ISNUMBER(A16),IF(A16&lt;=31,"",IF(A16&lt;=3112,IF(DATE(YR,MOD(A16,100),INT(A16/100))&gt;SAT1+7*NW-1,DATE(YR-1,MOD(A16,100),INT(A16/100)),DATE(YR,MOD(A16,100),INT(A16/100))),A16)),IFERROR(DATEVALUE(A16),"")))</f>
        <v/>
      </c>
      <c r="L16">
        <f>IF(K16="","",INT((K16-SAT1)/7)+1)</f>
        <v/>
      </c>
      <c r="M16">
        <f>IF(L16="","",IF(OR(L16&lt;1,L16&gt;NW),"",INDEX(WMON,L16)))</f>
        <v/>
      </c>
    </row>
    <row r="17">
      <c r="A17" s="48" t="n"/>
      <c r="B17" s="22" t="n"/>
      <c r="C17" s="22" t="n"/>
      <c r="D17" s="49" t="n"/>
      <c r="E17" s="49" t="n"/>
      <c r="F17" s="49" t="n"/>
      <c r="G17" s="50" t="n"/>
      <c r="J17" t="n">
        <v>7</v>
      </c>
      <c r="K17">
        <f>IF(A17="","",IF(ISNUMBER(A17),IF(A17&lt;=31,"",IF(A17&lt;=3112,IF(DATE(YR,MOD(A17,100),INT(A17/100))&gt;SAT1+7*NW-1,DATE(YR-1,MOD(A17,100),INT(A17/100)),DATE(YR,MOD(A17,100),INT(A17/100))),A17)),IFERROR(DATEVALUE(A17),"")))</f>
        <v/>
      </c>
      <c r="L17">
        <f>IF(K17="","",INT((K17-SAT1)/7)+1)</f>
        <v/>
      </c>
      <c r="M17">
        <f>IF(L17="","",IF(OR(L17&lt;1,L17&gt;NW),"",INDEX(WMON,L17)))</f>
        <v/>
      </c>
    </row>
    <row r="18">
      <c r="A18" s="48" t="n"/>
      <c r="B18" s="22" t="n"/>
      <c r="C18" s="22" t="n"/>
      <c r="D18" s="49" t="n"/>
      <c r="E18" s="49" t="n"/>
      <c r="F18" s="49" t="n"/>
      <c r="G18" s="50" t="n"/>
      <c r="J18" t="n">
        <v>8</v>
      </c>
      <c r="K18">
        <f>IF(A18="","",IF(ISNUMBER(A18),IF(A18&lt;=31,"",IF(A18&lt;=3112,IF(DATE(YR,MOD(A18,100),INT(A18/100))&gt;SAT1+7*NW-1,DATE(YR-1,MOD(A18,100),INT(A18/100)),DATE(YR,MOD(A18,100),INT(A18/100))),A18)),IFERROR(DATEVALUE(A18),"")))</f>
        <v/>
      </c>
      <c r="L18">
        <f>IF(K18="","",INT((K18-SAT1)/7)+1)</f>
        <v/>
      </c>
      <c r="M18">
        <f>IF(L18="","",IF(OR(L18&lt;1,L18&gt;NW),"",INDEX(WMON,L18)))</f>
        <v/>
      </c>
    </row>
    <row r="19">
      <c r="A19" s="48" t="n"/>
      <c r="B19" s="22" t="n"/>
      <c r="C19" s="22" t="n"/>
      <c r="D19" s="49" t="n"/>
      <c r="E19" s="49" t="n"/>
      <c r="F19" s="49" t="n"/>
      <c r="G19" s="50" t="n"/>
      <c r="J19" t="n">
        <v>9</v>
      </c>
      <c r="K19">
        <f>IF(A19="","",IF(ISNUMBER(A19),IF(A19&lt;=31,"",IF(A19&lt;=3112,IF(DATE(YR,MOD(A19,100),INT(A19/100))&gt;SAT1+7*NW-1,DATE(YR-1,MOD(A19,100),INT(A19/100)),DATE(YR,MOD(A19,100),INT(A19/100))),A19)),IFERROR(DATEVALUE(A19),"")))</f>
        <v/>
      </c>
      <c r="L19">
        <f>IF(K19="","",INT((K19-SAT1)/7)+1)</f>
        <v/>
      </c>
      <c r="M19">
        <f>IF(L19="","",IF(OR(L19&lt;1,L19&gt;NW),"",INDEX(WMON,L19)))</f>
        <v/>
      </c>
    </row>
    <row r="20">
      <c r="A20" s="48" t="n"/>
      <c r="B20" s="22" t="n"/>
      <c r="C20" s="22" t="n"/>
      <c r="D20" s="49" t="n"/>
      <c r="E20" s="49" t="n"/>
      <c r="F20" s="49" t="n"/>
      <c r="G20" s="50" t="n"/>
      <c r="J20" t="n">
        <v>10</v>
      </c>
      <c r="K20">
        <f>IF(A20="","",IF(ISNUMBER(A20),IF(A20&lt;=31,"",IF(A20&lt;=3112,IF(DATE(YR,MOD(A20,100),INT(A20/100))&gt;SAT1+7*NW-1,DATE(YR-1,MOD(A20,100),INT(A20/100)),DATE(YR,MOD(A20,100),INT(A20/100))),A20)),IFERROR(DATEVALUE(A20),"")))</f>
        <v/>
      </c>
      <c r="L20">
        <f>IF(K20="","",INT((K20-SAT1)/7)+1)</f>
        <v/>
      </c>
      <c r="M20">
        <f>IF(L20="","",IF(OR(L20&lt;1,L20&gt;NW),"",INDEX(WMON,L20)))</f>
        <v/>
      </c>
    </row>
    <row r="21">
      <c r="A21" s="48" t="n"/>
      <c r="B21" s="22" t="n"/>
      <c r="C21" s="22" t="n"/>
      <c r="D21" s="49" t="n"/>
      <c r="E21" s="49" t="n"/>
      <c r="F21" s="49" t="n"/>
      <c r="G21" s="50" t="n"/>
      <c r="J21" t="n">
        <v>11</v>
      </c>
      <c r="K21">
        <f>IF(A21="","",IF(ISNUMBER(A21),IF(A21&lt;=31,"",IF(A21&lt;=3112,IF(DATE(YR,MOD(A21,100),INT(A21/100))&gt;SAT1+7*NW-1,DATE(YR-1,MOD(A21,100),INT(A21/100)),DATE(YR,MOD(A21,100),INT(A21/100))),A21)),IFERROR(DATEVALUE(A21),"")))</f>
        <v/>
      </c>
      <c r="L21">
        <f>IF(K21="","",INT((K21-SAT1)/7)+1)</f>
        <v/>
      </c>
      <c r="M21">
        <f>IF(L21="","",IF(OR(L21&lt;1,L21&gt;NW),"",INDEX(WMON,L21)))</f>
        <v/>
      </c>
    </row>
    <row r="22">
      <c r="A22" s="48" t="n"/>
      <c r="B22" s="22" t="n"/>
      <c r="C22" s="22" t="n"/>
      <c r="D22" s="49" t="n"/>
      <c r="E22" s="49" t="n"/>
      <c r="F22" s="49" t="n"/>
      <c r="G22" s="50" t="n"/>
      <c r="J22" t="n">
        <v>12</v>
      </c>
      <c r="K22">
        <f>IF(A22="","",IF(ISNUMBER(A22),IF(A22&lt;=31,"",IF(A22&lt;=3112,IF(DATE(YR,MOD(A22,100),INT(A22/100))&gt;SAT1+7*NW-1,DATE(YR-1,MOD(A22,100),INT(A22/100)),DATE(YR,MOD(A22,100),INT(A22/100))),A22)),IFERROR(DATEVALUE(A22),"")))</f>
        <v/>
      </c>
      <c r="L22">
        <f>IF(K22="","",INT((K22-SAT1)/7)+1)</f>
        <v/>
      </c>
      <c r="M22">
        <f>IF(L22="","",IF(OR(L22&lt;1,L22&gt;NW),"",INDEX(WMON,L22)))</f>
        <v/>
      </c>
    </row>
    <row r="23">
      <c r="A23" s="48" t="n"/>
      <c r="B23" s="22" t="n"/>
      <c r="C23" s="22" t="n"/>
      <c r="D23" s="49" t="n"/>
      <c r="E23" s="49" t="n"/>
      <c r="F23" s="49" t="n"/>
      <c r="G23" s="50" t="n"/>
      <c r="J23" t="n">
        <v>13</v>
      </c>
      <c r="K23">
        <f>IF(A23="","",IF(ISNUMBER(A23),IF(A23&lt;=31,"",IF(A23&lt;=3112,IF(DATE(YR,MOD(A23,100),INT(A23/100))&gt;SAT1+7*NW-1,DATE(YR-1,MOD(A23,100),INT(A23/100)),DATE(YR,MOD(A23,100),INT(A23/100))),A23)),IFERROR(DATEVALUE(A23),"")))</f>
        <v/>
      </c>
      <c r="L23">
        <f>IF(K23="","",INT((K23-SAT1)/7)+1)</f>
        <v/>
      </c>
      <c r="M23">
        <f>IF(L23="","",IF(OR(L23&lt;1,L23&gt;NW),"",INDEX(WMON,L23)))</f>
        <v/>
      </c>
    </row>
    <row r="24">
      <c r="A24" s="48" t="n"/>
      <c r="B24" s="22" t="n"/>
      <c r="C24" s="22" t="n"/>
      <c r="D24" s="49" t="n"/>
      <c r="E24" s="49" t="n"/>
      <c r="F24" s="49" t="n"/>
      <c r="G24" s="50" t="n"/>
      <c r="J24" t="n">
        <v>14</v>
      </c>
      <c r="K24">
        <f>IF(A24="","",IF(ISNUMBER(A24),IF(A24&lt;=31,"",IF(A24&lt;=3112,IF(DATE(YR,MOD(A24,100),INT(A24/100))&gt;SAT1+7*NW-1,DATE(YR-1,MOD(A24,100),INT(A24/100)),DATE(YR,MOD(A24,100),INT(A24/100))),A24)),IFERROR(DATEVALUE(A24),"")))</f>
        <v/>
      </c>
      <c r="L24">
        <f>IF(K24="","",INT((K24-SAT1)/7)+1)</f>
        <v/>
      </c>
      <c r="M24">
        <f>IF(L24="","",IF(OR(L24&lt;1,L24&gt;NW),"",INDEX(WMON,L24)))</f>
        <v/>
      </c>
    </row>
    <row r="25">
      <c r="A25" s="48" t="n"/>
      <c r="B25" s="22" t="n"/>
      <c r="C25" s="22" t="n"/>
      <c r="D25" s="49" t="n"/>
      <c r="E25" s="49" t="n"/>
      <c r="F25" s="49" t="n"/>
      <c r="G25" s="50" t="n"/>
      <c r="J25" t="n">
        <v>15</v>
      </c>
      <c r="K25">
        <f>IF(A25="","",IF(ISNUMBER(A25),IF(A25&lt;=31,"",IF(A25&lt;=3112,IF(DATE(YR,MOD(A25,100),INT(A25/100))&gt;SAT1+7*NW-1,DATE(YR-1,MOD(A25,100),INT(A25/100)),DATE(YR,MOD(A25,100),INT(A25/100))),A25)),IFERROR(DATEVALUE(A25),"")))</f>
        <v/>
      </c>
      <c r="L25">
        <f>IF(K25="","",INT((K25-SAT1)/7)+1)</f>
        <v/>
      </c>
      <c r="M25">
        <f>IF(L25="","",IF(OR(L25&lt;1,L25&gt;NW),"",INDEX(WMON,L25)))</f>
        <v/>
      </c>
    </row>
    <row r="26">
      <c r="A26" s="48" t="n"/>
      <c r="B26" s="22" t="n"/>
      <c r="C26" s="22" t="n"/>
      <c r="D26" s="49" t="n"/>
      <c r="E26" s="49" t="n"/>
      <c r="F26" s="49" t="n"/>
      <c r="G26" s="50" t="n"/>
      <c r="J26" t="n">
        <v>16</v>
      </c>
      <c r="K26">
        <f>IF(A26="","",IF(ISNUMBER(A26),IF(A26&lt;=31,"",IF(A26&lt;=3112,IF(DATE(YR,MOD(A26,100),INT(A26/100))&gt;SAT1+7*NW-1,DATE(YR-1,MOD(A26,100),INT(A26/100)),DATE(YR,MOD(A26,100),INT(A26/100))),A26)),IFERROR(DATEVALUE(A26),"")))</f>
        <v/>
      </c>
      <c r="L26">
        <f>IF(K26="","",INT((K26-SAT1)/7)+1)</f>
        <v/>
      </c>
      <c r="M26">
        <f>IF(L26="","",IF(OR(L26&lt;1,L26&gt;NW),"",INDEX(WMON,L26)))</f>
        <v/>
      </c>
    </row>
    <row r="27">
      <c r="A27" s="48" t="n"/>
      <c r="B27" s="22" t="n"/>
      <c r="C27" s="22" t="n"/>
      <c r="D27" s="49" t="n"/>
      <c r="E27" s="49" t="n"/>
      <c r="F27" s="49" t="n"/>
      <c r="G27" s="50" t="n"/>
      <c r="J27" t="n">
        <v>17</v>
      </c>
      <c r="K27">
        <f>IF(A27="","",IF(ISNUMBER(A27),IF(A27&lt;=31,"",IF(A27&lt;=3112,IF(DATE(YR,MOD(A27,100),INT(A27/100))&gt;SAT1+7*NW-1,DATE(YR-1,MOD(A27,100),INT(A27/100)),DATE(YR,MOD(A27,100),INT(A27/100))),A27)),IFERROR(DATEVALUE(A27),"")))</f>
        <v/>
      </c>
      <c r="L27">
        <f>IF(K27="","",INT((K27-SAT1)/7)+1)</f>
        <v/>
      </c>
      <c r="M27">
        <f>IF(L27="","",IF(OR(L27&lt;1,L27&gt;NW),"",INDEX(WMON,L27)))</f>
        <v/>
      </c>
    </row>
    <row r="28">
      <c r="A28" s="48" t="n"/>
      <c r="B28" s="22" t="n"/>
      <c r="C28" s="22" t="n"/>
      <c r="D28" s="49" t="n"/>
      <c r="E28" s="49" t="n"/>
      <c r="F28" s="49" t="n"/>
      <c r="G28" s="50" t="n"/>
      <c r="J28" t="n">
        <v>18</v>
      </c>
      <c r="K28">
        <f>IF(A28="","",IF(ISNUMBER(A28),IF(A28&lt;=31,"",IF(A28&lt;=3112,IF(DATE(YR,MOD(A28,100),INT(A28/100))&gt;SAT1+7*NW-1,DATE(YR-1,MOD(A28,100),INT(A28/100)),DATE(YR,MOD(A28,100),INT(A28/100))),A28)),IFERROR(DATEVALUE(A28),"")))</f>
        <v/>
      </c>
      <c r="L28">
        <f>IF(K28="","",INT((K28-SAT1)/7)+1)</f>
        <v/>
      </c>
      <c r="M28">
        <f>IF(L28="","",IF(OR(L28&lt;1,L28&gt;NW),"",INDEX(WMON,L28)))</f>
        <v/>
      </c>
    </row>
    <row r="29">
      <c r="A29" s="48" t="n"/>
      <c r="B29" s="22" t="n"/>
      <c r="C29" s="22" t="n"/>
      <c r="D29" s="49" t="n"/>
      <c r="E29" s="49" t="n"/>
      <c r="F29" s="49" t="n"/>
      <c r="G29" s="50" t="n"/>
      <c r="J29" t="n">
        <v>19</v>
      </c>
      <c r="K29">
        <f>IF(A29="","",IF(ISNUMBER(A29),IF(A29&lt;=31,"",IF(A29&lt;=3112,IF(DATE(YR,MOD(A29,100),INT(A29/100))&gt;SAT1+7*NW-1,DATE(YR-1,MOD(A29,100),INT(A29/100)),DATE(YR,MOD(A29,100),INT(A29/100))),A29)),IFERROR(DATEVALUE(A29),"")))</f>
        <v/>
      </c>
      <c r="L29">
        <f>IF(K29="","",INT((K29-SAT1)/7)+1)</f>
        <v/>
      </c>
      <c r="M29">
        <f>IF(L29="","",IF(OR(L29&lt;1,L29&gt;NW),"",INDEX(WMON,L29)))</f>
        <v/>
      </c>
    </row>
    <row r="30">
      <c r="A30" s="48" t="n"/>
      <c r="B30" s="22" t="n"/>
      <c r="C30" s="22" t="n"/>
      <c r="D30" s="49" t="n"/>
      <c r="E30" s="49" t="n"/>
      <c r="F30" s="49" t="n"/>
      <c r="G30" s="50" t="n"/>
      <c r="J30" t="n">
        <v>20</v>
      </c>
      <c r="K30">
        <f>IF(A30="","",IF(ISNUMBER(A30),IF(A30&lt;=31,"",IF(A30&lt;=3112,IF(DATE(YR,MOD(A30,100),INT(A30/100))&gt;SAT1+7*NW-1,DATE(YR-1,MOD(A30,100),INT(A30/100)),DATE(YR,MOD(A30,100),INT(A30/100))),A30)),IFERROR(DATEVALUE(A30),"")))</f>
        <v/>
      </c>
      <c r="L30">
        <f>IF(K30="","",INT((K30-SAT1)/7)+1)</f>
        <v/>
      </c>
      <c r="M30">
        <f>IF(L30="","",IF(OR(L30&lt;1,L30&gt;NW),"",INDEX(WMON,L30)))</f>
        <v/>
      </c>
    </row>
    <row r="31">
      <c r="A31" s="48" t="n"/>
      <c r="B31" s="22" t="n"/>
      <c r="C31" s="22" t="n"/>
      <c r="D31" s="49" t="n"/>
      <c r="E31" s="49" t="n"/>
      <c r="F31" s="49" t="n"/>
      <c r="G31" s="50" t="n"/>
      <c r="J31" t="n">
        <v>21</v>
      </c>
      <c r="K31">
        <f>IF(A31="","",IF(ISNUMBER(A31),IF(A31&lt;=31,"",IF(A31&lt;=3112,IF(DATE(YR,MOD(A31,100),INT(A31/100))&gt;SAT1+7*NW-1,DATE(YR-1,MOD(A31,100),INT(A31/100)),DATE(YR,MOD(A31,100),INT(A31/100))),A31)),IFERROR(DATEVALUE(A31),"")))</f>
        <v/>
      </c>
      <c r="L31">
        <f>IF(K31="","",INT((K31-SAT1)/7)+1)</f>
        <v/>
      </c>
      <c r="M31">
        <f>IF(L31="","",IF(OR(L31&lt;1,L31&gt;NW),"",INDEX(WMON,L31)))</f>
        <v/>
      </c>
    </row>
    <row r="32">
      <c r="A32" s="48" t="n"/>
      <c r="B32" s="22" t="n"/>
      <c r="C32" s="22" t="n"/>
      <c r="D32" s="49" t="n"/>
      <c r="E32" s="49" t="n"/>
      <c r="F32" s="49" t="n"/>
      <c r="G32" s="50" t="n"/>
      <c r="J32" t="n">
        <v>22</v>
      </c>
      <c r="K32">
        <f>IF(A32="","",IF(ISNUMBER(A32),IF(A32&lt;=31,"",IF(A32&lt;=3112,IF(DATE(YR,MOD(A32,100),INT(A32/100))&gt;SAT1+7*NW-1,DATE(YR-1,MOD(A32,100),INT(A32/100)),DATE(YR,MOD(A32,100),INT(A32/100))),A32)),IFERROR(DATEVALUE(A32),"")))</f>
        <v/>
      </c>
      <c r="L32">
        <f>IF(K32="","",INT((K32-SAT1)/7)+1)</f>
        <v/>
      </c>
      <c r="M32">
        <f>IF(L32="","",IF(OR(L32&lt;1,L32&gt;NW),"",INDEX(WMON,L32)))</f>
        <v/>
      </c>
    </row>
    <row r="33">
      <c r="A33" s="48" t="n"/>
      <c r="B33" s="22" t="n"/>
      <c r="C33" s="22" t="n"/>
      <c r="D33" s="49" t="n"/>
      <c r="E33" s="49" t="n"/>
      <c r="F33" s="49" t="n"/>
      <c r="G33" s="50" t="n"/>
      <c r="J33" t="n">
        <v>23</v>
      </c>
      <c r="K33">
        <f>IF(A33="","",IF(ISNUMBER(A33),IF(A33&lt;=31,"",IF(A33&lt;=3112,IF(DATE(YR,MOD(A33,100),INT(A33/100))&gt;SAT1+7*NW-1,DATE(YR-1,MOD(A33,100),INT(A33/100)),DATE(YR,MOD(A33,100),INT(A33/100))),A33)),IFERROR(DATEVALUE(A33),"")))</f>
        <v/>
      </c>
      <c r="L33">
        <f>IF(K33="","",INT((K33-SAT1)/7)+1)</f>
        <v/>
      </c>
      <c r="M33">
        <f>IF(L33="","",IF(OR(L33&lt;1,L33&gt;NW),"",INDEX(WMON,L33)))</f>
        <v/>
      </c>
    </row>
    <row r="34">
      <c r="A34" s="48" t="n"/>
      <c r="B34" s="22" t="n"/>
      <c r="C34" s="22" t="n"/>
      <c r="D34" s="49" t="n"/>
      <c r="E34" s="49" t="n"/>
      <c r="F34" s="49" t="n"/>
      <c r="G34" s="50" t="n"/>
      <c r="J34" t="n">
        <v>24</v>
      </c>
      <c r="K34">
        <f>IF(A34="","",IF(ISNUMBER(A34),IF(A34&lt;=31,"",IF(A34&lt;=3112,IF(DATE(YR,MOD(A34,100),INT(A34/100))&gt;SAT1+7*NW-1,DATE(YR-1,MOD(A34,100),INT(A34/100)),DATE(YR,MOD(A34,100),INT(A34/100))),A34)),IFERROR(DATEVALUE(A34),"")))</f>
        <v/>
      </c>
      <c r="L34">
        <f>IF(K34="","",INT((K34-SAT1)/7)+1)</f>
        <v/>
      </c>
      <c r="M34">
        <f>IF(L34="","",IF(OR(L34&lt;1,L34&gt;NW),"",INDEX(WMON,L34)))</f>
        <v/>
      </c>
    </row>
    <row r="35">
      <c r="A35" s="48" t="n"/>
      <c r="B35" s="22" t="n"/>
      <c r="C35" s="22" t="n"/>
      <c r="D35" s="49" t="n"/>
      <c r="E35" s="49" t="n"/>
      <c r="F35" s="49" t="n"/>
      <c r="G35" s="50" t="n"/>
      <c r="J35" t="n">
        <v>25</v>
      </c>
      <c r="K35">
        <f>IF(A35="","",IF(ISNUMBER(A35),IF(A35&lt;=31,"",IF(A35&lt;=3112,IF(DATE(YR,MOD(A35,100),INT(A35/100))&gt;SAT1+7*NW-1,DATE(YR-1,MOD(A35,100),INT(A35/100)),DATE(YR,MOD(A35,100),INT(A35/100))),A35)),IFERROR(DATEVALUE(A35),"")))</f>
        <v/>
      </c>
      <c r="L35">
        <f>IF(K35="","",INT((K35-SAT1)/7)+1)</f>
        <v/>
      </c>
      <c r="M35">
        <f>IF(L35="","",IF(OR(L35&lt;1,L35&gt;NW),"",INDEX(WMON,L35)))</f>
        <v/>
      </c>
    </row>
    <row r="36">
      <c r="A36" s="48" t="n"/>
      <c r="B36" s="22" t="n"/>
      <c r="C36" s="22" t="n"/>
      <c r="D36" s="49" t="n"/>
      <c r="E36" s="49" t="n"/>
      <c r="F36" s="49" t="n"/>
      <c r="G36" s="50" t="n"/>
      <c r="J36" t="n">
        <v>26</v>
      </c>
      <c r="K36">
        <f>IF(A36="","",IF(ISNUMBER(A36),IF(A36&lt;=31,"",IF(A36&lt;=3112,IF(DATE(YR,MOD(A36,100),INT(A36/100))&gt;SAT1+7*NW-1,DATE(YR-1,MOD(A36,100),INT(A36/100)),DATE(YR,MOD(A36,100),INT(A36/100))),A36)),IFERROR(DATEVALUE(A36),"")))</f>
        <v/>
      </c>
      <c r="L36">
        <f>IF(K36="","",INT((K36-SAT1)/7)+1)</f>
        <v/>
      </c>
      <c r="M36">
        <f>IF(L36="","",IF(OR(L36&lt;1,L36&gt;NW),"",INDEX(WMON,L36)))</f>
        <v/>
      </c>
    </row>
    <row r="37">
      <c r="A37" s="48" t="n"/>
      <c r="B37" s="22" t="n"/>
      <c r="C37" s="22" t="n"/>
      <c r="D37" s="49" t="n"/>
      <c r="E37" s="49" t="n"/>
      <c r="F37" s="49" t="n"/>
      <c r="G37" s="50" t="n"/>
      <c r="J37" t="n">
        <v>27</v>
      </c>
      <c r="K37">
        <f>IF(A37="","",IF(ISNUMBER(A37),IF(A37&lt;=31,"",IF(A37&lt;=3112,IF(DATE(YR,MOD(A37,100),INT(A37/100))&gt;SAT1+7*NW-1,DATE(YR-1,MOD(A37,100),INT(A37/100)),DATE(YR,MOD(A37,100),INT(A37/100))),A37)),IFERROR(DATEVALUE(A37),"")))</f>
        <v/>
      </c>
      <c r="L37">
        <f>IF(K37="","",INT((K37-SAT1)/7)+1)</f>
        <v/>
      </c>
      <c r="M37">
        <f>IF(L37="","",IF(OR(L37&lt;1,L37&gt;NW),"",INDEX(WMON,L37)))</f>
        <v/>
      </c>
    </row>
    <row r="38">
      <c r="A38" s="48" t="n"/>
      <c r="B38" s="22" t="n"/>
      <c r="C38" s="22" t="n"/>
      <c r="D38" s="49" t="n"/>
      <c r="E38" s="49" t="n"/>
      <c r="F38" s="49" t="n"/>
      <c r="G38" s="50" t="n"/>
      <c r="J38" t="n">
        <v>28</v>
      </c>
      <c r="K38">
        <f>IF(A38="","",IF(ISNUMBER(A38),IF(A38&lt;=31,"",IF(A38&lt;=3112,IF(DATE(YR,MOD(A38,100),INT(A38/100))&gt;SAT1+7*NW-1,DATE(YR-1,MOD(A38,100),INT(A38/100)),DATE(YR,MOD(A38,100),INT(A38/100))),A38)),IFERROR(DATEVALUE(A38),"")))</f>
        <v/>
      </c>
      <c r="L38">
        <f>IF(K38="","",INT((K38-SAT1)/7)+1)</f>
        <v/>
      </c>
      <c r="M38">
        <f>IF(L38="","",IF(OR(L38&lt;1,L38&gt;NW),"",INDEX(WMON,L38)))</f>
        <v/>
      </c>
    </row>
    <row r="39">
      <c r="A39" s="48" t="n"/>
      <c r="B39" s="22" t="n"/>
      <c r="C39" s="22" t="n"/>
      <c r="D39" s="49" t="n"/>
      <c r="E39" s="49" t="n"/>
      <c r="F39" s="49" t="n"/>
      <c r="G39" s="50" t="n"/>
      <c r="J39" t="n">
        <v>29</v>
      </c>
      <c r="K39">
        <f>IF(A39="","",IF(ISNUMBER(A39),IF(A39&lt;=31,"",IF(A39&lt;=3112,IF(DATE(YR,MOD(A39,100),INT(A39/100))&gt;SAT1+7*NW-1,DATE(YR-1,MOD(A39,100),INT(A39/100)),DATE(YR,MOD(A39,100),INT(A39/100))),A39)),IFERROR(DATEVALUE(A39),"")))</f>
        <v/>
      </c>
      <c r="L39">
        <f>IF(K39="","",INT((K39-SAT1)/7)+1)</f>
        <v/>
      </c>
      <c r="M39">
        <f>IF(L39="","",IF(OR(L39&lt;1,L39&gt;NW),"",INDEX(WMON,L39)))</f>
        <v/>
      </c>
    </row>
    <row r="40">
      <c r="A40" s="48" t="n"/>
      <c r="B40" s="22" t="n"/>
      <c r="C40" s="22" t="n"/>
      <c r="D40" s="49" t="n"/>
      <c r="E40" s="49" t="n"/>
      <c r="F40" s="49" t="n"/>
      <c r="G40" s="50" t="n"/>
      <c r="J40" t="n">
        <v>30</v>
      </c>
      <c r="K40">
        <f>IF(A40="","",IF(ISNUMBER(A40),IF(A40&lt;=31,"",IF(A40&lt;=3112,IF(DATE(YR,MOD(A40,100),INT(A40/100))&gt;SAT1+7*NW-1,DATE(YR-1,MOD(A40,100),INT(A40/100)),DATE(YR,MOD(A40,100),INT(A40/100))),A40)),IFERROR(DATEVALUE(A40),"")))</f>
        <v/>
      </c>
      <c r="L40">
        <f>IF(K40="","",INT((K40-SAT1)/7)+1)</f>
        <v/>
      </c>
      <c r="M40">
        <f>IF(L40="","",IF(OR(L40&lt;1,L40&gt;NW),"",INDEX(WMON,L40)))</f>
        <v/>
      </c>
    </row>
    <row r="41">
      <c r="A41" s="48" t="n"/>
      <c r="B41" s="22" t="n"/>
      <c r="C41" s="22" t="n"/>
      <c r="D41" s="49" t="n"/>
      <c r="E41" s="49" t="n"/>
      <c r="F41" s="49" t="n"/>
      <c r="G41" s="50" t="n"/>
      <c r="J41" t="n">
        <v>31</v>
      </c>
      <c r="K41">
        <f>IF(A41="","",IF(ISNUMBER(A41),IF(A41&lt;=31,"",IF(A41&lt;=3112,IF(DATE(YR,MOD(A41,100),INT(A41/100))&gt;SAT1+7*NW-1,DATE(YR-1,MOD(A41,100),INT(A41/100)),DATE(YR,MOD(A41,100),INT(A41/100))),A41)),IFERROR(DATEVALUE(A41),"")))</f>
        <v/>
      </c>
      <c r="L41">
        <f>IF(K41="","",INT((K41-SAT1)/7)+1)</f>
        <v/>
      </c>
      <c r="M41">
        <f>IF(L41="","",IF(OR(L41&lt;1,L41&gt;NW),"",INDEX(WMON,L41)))</f>
        <v/>
      </c>
    </row>
    <row r="42">
      <c r="A42" s="48" t="n"/>
      <c r="B42" s="22" t="n"/>
      <c r="C42" s="22" t="n"/>
      <c r="D42" s="49" t="n"/>
      <c r="E42" s="49" t="n"/>
      <c r="F42" s="49" t="n"/>
      <c r="G42" s="50" t="n"/>
      <c r="J42" t="n">
        <v>32</v>
      </c>
      <c r="K42">
        <f>IF(A42="","",IF(ISNUMBER(A42),IF(A42&lt;=31,"",IF(A42&lt;=3112,IF(DATE(YR,MOD(A42,100),INT(A42/100))&gt;SAT1+7*NW-1,DATE(YR-1,MOD(A42,100),INT(A42/100)),DATE(YR,MOD(A42,100),INT(A42/100))),A42)),IFERROR(DATEVALUE(A42),"")))</f>
        <v/>
      </c>
      <c r="L42">
        <f>IF(K42="","",INT((K42-SAT1)/7)+1)</f>
        <v/>
      </c>
      <c r="M42">
        <f>IF(L42="","",IF(OR(L42&lt;1,L42&gt;NW),"",INDEX(WMON,L42)))</f>
        <v/>
      </c>
    </row>
    <row r="43">
      <c r="A43" s="48" t="n"/>
      <c r="B43" s="22" t="n"/>
      <c r="C43" s="22" t="n"/>
      <c r="D43" s="49" t="n"/>
      <c r="E43" s="49" t="n"/>
      <c r="F43" s="49" t="n"/>
      <c r="G43" s="50" t="n"/>
      <c r="J43" t="n">
        <v>33</v>
      </c>
      <c r="K43">
        <f>IF(A43="","",IF(ISNUMBER(A43),IF(A43&lt;=31,"",IF(A43&lt;=3112,IF(DATE(YR,MOD(A43,100),INT(A43/100))&gt;SAT1+7*NW-1,DATE(YR-1,MOD(A43,100),INT(A43/100)),DATE(YR,MOD(A43,100),INT(A43/100))),A43)),IFERROR(DATEVALUE(A43),"")))</f>
        <v/>
      </c>
      <c r="L43">
        <f>IF(K43="","",INT((K43-SAT1)/7)+1)</f>
        <v/>
      </c>
      <c r="M43">
        <f>IF(L43="","",IF(OR(L43&lt;1,L43&gt;NW),"",INDEX(WMON,L43)))</f>
        <v/>
      </c>
    </row>
    <row r="44">
      <c r="A44" s="48" t="n"/>
      <c r="B44" s="22" t="n"/>
      <c r="C44" s="22" t="n"/>
      <c r="D44" s="49" t="n"/>
      <c r="E44" s="49" t="n"/>
      <c r="F44" s="49" t="n"/>
      <c r="G44" s="50" t="n"/>
      <c r="J44" t="n">
        <v>34</v>
      </c>
      <c r="K44">
        <f>IF(A44="","",IF(ISNUMBER(A44),IF(A44&lt;=31,"",IF(A44&lt;=3112,IF(DATE(YR,MOD(A44,100),INT(A44/100))&gt;SAT1+7*NW-1,DATE(YR-1,MOD(A44,100),INT(A44/100)),DATE(YR,MOD(A44,100),INT(A44/100))),A44)),IFERROR(DATEVALUE(A44),"")))</f>
        <v/>
      </c>
      <c r="L44">
        <f>IF(K44="","",INT((K44-SAT1)/7)+1)</f>
        <v/>
      </c>
      <c r="M44">
        <f>IF(L44="","",IF(OR(L44&lt;1,L44&gt;NW),"",INDEX(WMON,L44)))</f>
        <v/>
      </c>
    </row>
    <row r="45">
      <c r="A45" s="48" t="n"/>
      <c r="B45" s="22" t="n"/>
      <c r="C45" s="22" t="n"/>
      <c r="D45" s="49" t="n"/>
      <c r="E45" s="49" t="n"/>
      <c r="F45" s="49" t="n"/>
      <c r="G45" s="50" t="n"/>
      <c r="J45" t="n">
        <v>35</v>
      </c>
      <c r="K45">
        <f>IF(A45="","",IF(ISNUMBER(A45),IF(A45&lt;=31,"",IF(A45&lt;=3112,IF(DATE(YR,MOD(A45,100),INT(A45/100))&gt;SAT1+7*NW-1,DATE(YR-1,MOD(A45,100),INT(A45/100)),DATE(YR,MOD(A45,100),INT(A45/100))),A45)),IFERROR(DATEVALUE(A45),"")))</f>
        <v/>
      </c>
      <c r="L45">
        <f>IF(K45="","",INT((K45-SAT1)/7)+1)</f>
        <v/>
      </c>
      <c r="M45">
        <f>IF(L45="","",IF(OR(L45&lt;1,L45&gt;NW),"",INDEX(WMON,L45)))</f>
        <v/>
      </c>
    </row>
    <row r="46">
      <c r="A46" s="48" t="n"/>
      <c r="B46" s="22" t="n"/>
      <c r="C46" s="22" t="n"/>
      <c r="D46" s="49" t="n"/>
      <c r="E46" s="49" t="n"/>
      <c r="F46" s="49" t="n"/>
      <c r="G46" s="50" t="n"/>
      <c r="J46" t="n">
        <v>36</v>
      </c>
      <c r="K46">
        <f>IF(A46="","",IF(ISNUMBER(A46),IF(A46&lt;=31,"",IF(A46&lt;=3112,IF(DATE(YR,MOD(A46,100),INT(A46/100))&gt;SAT1+7*NW-1,DATE(YR-1,MOD(A46,100),INT(A46/100)),DATE(YR,MOD(A46,100),INT(A46/100))),A46)),IFERROR(DATEVALUE(A46),"")))</f>
        <v/>
      </c>
      <c r="L46">
        <f>IF(K46="","",INT((K46-SAT1)/7)+1)</f>
        <v/>
      </c>
      <c r="M46">
        <f>IF(L46="","",IF(OR(L46&lt;1,L46&gt;NW),"",INDEX(WMON,L46)))</f>
        <v/>
      </c>
    </row>
    <row r="47">
      <c r="A47" s="48" t="n"/>
      <c r="B47" s="22" t="n"/>
      <c r="C47" s="22" t="n"/>
      <c r="D47" s="49" t="n"/>
      <c r="E47" s="49" t="n"/>
      <c r="F47" s="49" t="n"/>
      <c r="G47" s="50" t="n"/>
      <c r="J47" t="n">
        <v>37</v>
      </c>
      <c r="K47">
        <f>IF(A47="","",IF(ISNUMBER(A47),IF(A47&lt;=31,"",IF(A47&lt;=3112,IF(DATE(YR,MOD(A47,100),INT(A47/100))&gt;SAT1+7*NW-1,DATE(YR-1,MOD(A47,100),INT(A47/100)),DATE(YR,MOD(A47,100),INT(A47/100))),A47)),IFERROR(DATEVALUE(A47),"")))</f>
        <v/>
      </c>
      <c r="L47">
        <f>IF(K47="","",INT((K47-SAT1)/7)+1)</f>
        <v/>
      </c>
      <c r="M47">
        <f>IF(L47="","",IF(OR(L47&lt;1,L47&gt;NW),"",INDEX(WMON,L47)))</f>
        <v/>
      </c>
    </row>
    <row r="48">
      <c r="A48" s="48" t="n"/>
      <c r="B48" s="22" t="n"/>
      <c r="C48" s="22" t="n"/>
      <c r="D48" s="49" t="n"/>
      <c r="E48" s="49" t="n"/>
      <c r="F48" s="49" t="n"/>
      <c r="G48" s="50" t="n"/>
      <c r="J48" t="n">
        <v>38</v>
      </c>
      <c r="K48">
        <f>IF(A48="","",IF(ISNUMBER(A48),IF(A48&lt;=31,"",IF(A48&lt;=3112,IF(DATE(YR,MOD(A48,100),INT(A48/100))&gt;SAT1+7*NW-1,DATE(YR-1,MOD(A48,100),INT(A48/100)),DATE(YR,MOD(A48,100),INT(A48/100))),A48)),IFERROR(DATEVALUE(A48),"")))</f>
        <v/>
      </c>
      <c r="L48">
        <f>IF(K48="","",INT((K48-SAT1)/7)+1)</f>
        <v/>
      </c>
      <c r="M48">
        <f>IF(L48="","",IF(OR(L48&lt;1,L48&gt;NW),"",INDEX(WMON,L48)))</f>
        <v/>
      </c>
    </row>
    <row r="49">
      <c r="A49" s="48" t="n"/>
      <c r="B49" s="22" t="n"/>
      <c r="C49" s="22" t="n"/>
      <c r="D49" s="49" t="n"/>
      <c r="E49" s="49" t="n"/>
      <c r="F49" s="49" t="n"/>
      <c r="G49" s="50" t="n"/>
      <c r="J49" t="n">
        <v>39</v>
      </c>
      <c r="K49">
        <f>IF(A49="","",IF(ISNUMBER(A49),IF(A49&lt;=31,"",IF(A49&lt;=3112,IF(DATE(YR,MOD(A49,100),INT(A49/100))&gt;SAT1+7*NW-1,DATE(YR-1,MOD(A49,100),INT(A49/100)),DATE(YR,MOD(A49,100),INT(A49/100))),A49)),IFERROR(DATEVALUE(A49),"")))</f>
        <v/>
      </c>
      <c r="L49">
        <f>IF(K49="","",INT((K49-SAT1)/7)+1)</f>
        <v/>
      </c>
      <c r="M49">
        <f>IF(L49="","",IF(OR(L49&lt;1,L49&gt;NW),"",INDEX(WMON,L49)))</f>
        <v/>
      </c>
    </row>
    <row r="50">
      <c r="A50" s="48" t="n"/>
      <c r="B50" s="22" t="n"/>
      <c r="C50" s="22" t="n"/>
      <c r="D50" s="49" t="n"/>
      <c r="E50" s="49" t="n"/>
      <c r="F50" s="49" t="n"/>
      <c r="G50" s="50" t="n"/>
      <c r="J50" t="n">
        <v>40</v>
      </c>
      <c r="K50">
        <f>IF(A50="","",IF(ISNUMBER(A50),IF(A50&lt;=31,"",IF(A50&lt;=3112,IF(DATE(YR,MOD(A50,100),INT(A50/100))&gt;SAT1+7*NW-1,DATE(YR-1,MOD(A50,100),INT(A50/100)),DATE(YR,MOD(A50,100),INT(A50/100))),A50)),IFERROR(DATEVALUE(A50),"")))</f>
        <v/>
      </c>
      <c r="L50">
        <f>IF(K50="","",INT((K50-SAT1)/7)+1)</f>
        <v/>
      </c>
      <c r="M50">
        <f>IF(L50="","",IF(OR(L50&lt;1,L50&gt;NW),"",INDEX(WMON,L50)))</f>
        <v/>
      </c>
    </row>
    <row r="51">
      <c r="A51" s="48" t="n"/>
      <c r="B51" s="22" t="n"/>
      <c r="C51" s="22" t="n"/>
      <c r="D51" s="49" t="n"/>
      <c r="E51" s="49" t="n"/>
      <c r="F51" s="49" t="n"/>
      <c r="G51" s="50" t="n"/>
      <c r="J51" t="n">
        <v>41</v>
      </c>
      <c r="K51">
        <f>IF(A51="","",IF(ISNUMBER(A51),IF(A51&lt;=31,"",IF(A51&lt;=3112,IF(DATE(YR,MOD(A51,100),INT(A51/100))&gt;SAT1+7*NW-1,DATE(YR-1,MOD(A51,100),INT(A51/100)),DATE(YR,MOD(A51,100),INT(A51/100))),A51)),IFERROR(DATEVALUE(A51),"")))</f>
        <v/>
      </c>
      <c r="L51">
        <f>IF(K51="","",INT((K51-SAT1)/7)+1)</f>
        <v/>
      </c>
      <c r="M51">
        <f>IF(L51="","",IF(OR(L51&lt;1,L51&gt;NW),"",INDEX(WMON,L51)))</f>
        <v/>
      </c>
    </row>
    <row r="52">
      <c r="A52" s="48" t="n"/>
      <c r="B52" s="22" t="n"/>
      <c r="C52" s="22" t="n"/>
      <c r="D52" s="49" t="n"/>
      <c r="E52" s="49" t="n"/>
      <c r="F52" s="49" t="n"/>
      <c r="G52" s="50" t="n"/>
      <c r="J52" t="n">
        <v>42</v>
      </c>
      <c r="K52">
        <f>IF(A52="","",IF(ISNUMBER(A52),IF(A52&lt;=31,"",IF(A52&lt;=3112,IF(DATE(YR,MOD(A52,100),INT(A52/100))&gt;SAT1+7*NW-1,DATE(YR-1,MOD(A52,100),INT(A52/100)),DATE(YR,MOD(A52,100),INT(A52/100))),A52)),IFERROR(DATEVALUE(A52),"")))</f>
        <v/>
      </c>
      <c r="L52">
        <f>IF(K52="","",INT((K52-SAT1)/7)+1)</f>
        <v/>
      </c>
      <c r="M52">
        <f>IF(L52="","",IF(OR(L52&lt;1,L52&gt;NW),"",INDEX(WMON,L52)))</f>
        <v/>
      </c>
    </row>
    <row r="53">
      <c r="A53" s="48" t="n"/>
      <c r="B53" s="22" t="n"/>
      <c r="C53" s="22" t="n"/>
      <c r="D53" s="49" t="n"/>
      <c r="E53" s="49" t="n"/>
      <c r="F53" s="49" t="n"/>
      <c r="G53" s="50" t="n"/>
      <c r="J53" t="n">
        <v>43</v>
      </c>
      <c r="K53">
        <f>IF(A53="","",IF(ISNUMBER(A53),IF(A53&lt;=31,"",IF(A53&lt;=3112,IF(DATE(YR,MOD(A53,100),INT(A53/100))&gt;SAT1+7*NW-1,DATE(YR-1,MOD(A53,100),INT(A53/100)),DATE(YR,MOD(A53,100),INT(A53/100))),A53)),IFERROR(DATEVALUE(A53),"")))</f>
        <v/>
      </c>
      <c r="L53">
        <f>IF(K53="","",INT((K53-SAT1)/7)+1)</f>
        <v/>
      </c>
      <c r="M53">
        <f>IF(L53="","",IF(OR(L53&lt;1,L53&gt;NW),"",INDEX(WMON,L53)))</f>
        <v/>
      </c>
    </row>
    <row r="54">
      <c r="A54" s="48" t="n"/>
      <c r="B54" s="22" t="n"/>
      <c r="C54" s="22" t="n"/>
      <c r="D54" s="49" t="n"/>
      <c r="E54" s="49" t="n"/>
      <c r="F54" s="49" t="n"/>
      <c r="G54" s="50" t="n"/>
      <c r="J54" t="n">
        <v>44</v>
      </c>
      <c r="K54">
        <f>IF(A54="","",IF(ISNUMBER(A54),IF(A54&lt;=31,"",IF(A54&lt;=3112,IF(DATE(YR,MOD(A54,100),INT(A54/100))&gt;SAT1+7*NW-1,DATE(YR-1,MOD(A54,100),INT(A54/100)),DATE(YR,MOD(A54,100),INT(A54/100))),A54)),IFERROR(DATEVALUE(A54),"")))</f>
        <v/>
      </c>
      <c r="L54">
        <f>IF(K54="","",INT((K54-SAT1)/7)+1)</f>
        <v/>
      </c>
      <c r="M54">
        <f>IF(L54="","",IF(OR(L54&lt;1,L54&gt;NW),"",INDEX(WMON,L54)))</f>
        <v/>
      </c>
    </row>
    <row r="55">
      <c r="A55" s="48" t="n"/>
      <c r="B55" s="22" t="n"/>
      <c r="C55" s="22" t="n"/>
      <c r="D55" s="49" t="n"/>
      <c r="E55" s="49" t="n"/>
      <c r="F55" s="49" t="n"/>
      <c r="G55" s="50" t="n"/>
      <c r="J55" t="n">
        <v>45</v>
      </c>
      <c r="K55">
        <f>IF(A55="","",IF(ISNUMBER(A55),IF(A55&lt;=31,"",IF(A55&lt;=3112,IF(DATE(YR,MOD(A55,100),INT(A55/100))&gt;SAT1+7*NW-1,DATE(YR-1,MOD(A55,100),INT(A55/100)),DATE(YR,MOD(A55,100),INT(A55/100))),A55)),IFERROR(DATEVALUE(A55),"")))</f>
        <v/>
      </c>
      <c r="L55">
        <f>IF(K55="","",INT((K55-SAT1)/7)+1)</f>
        <v/>
      </c>
      <c r="M55">
        <f>IF(L55="","",IF(OR(L55&lt;1,L55&gt;NW),"",INDEX(WMON,L55)))</f>
        <v/>
      </c>
    </row>
    <row r="56">
      <c r="A56" s="48" t="n"/>
      <c r="B56" s="22" t="n"/>
      <c r="C56" s="22" t="n"/>
      <c r="D56" s="49" t="n"/>
      <c r="E56" s="49" t="n"/>
      <c r="F56" s="49" t="n"/>
      <c r="G56" s="50" t="n"/>
      <c r="J56" t="n">
        <v>46</v>
      </c>
      <c r="K56">
        <f>IF(A56="","",IF(ISNUMBER(A56),IF(A56&lt;=31,"",IF(A56&lt;=3112,IF(DATE(YR,MOD(A56,100),INT(A56/100))&gt;SAT1+7*NW-1,DATE(YR-1,MOD(A56,100),INT(A56/100)),DATE(YR,MOD(A56,100),INT(A56/100))),A56)),IFERROR(DATEVALUE(A56),"")))</f>
        <v/>
      </c>
      <c r="L56">
        <f>IF(K56="","",INT((K56-SAT1)/7)+1)</f>
        <v/>
      </c>
      <c r="M56">
        <f>IF(L56="","",IF(OR(L56&lt;1,L56&gt;NW),"",INDEX(WMON,L56)))</f>
        <v/>
      </c>
    </row>
    <row r="57">
      <c r="A57" s="48" t="n"/>
      <c r="B57" s="22" t="n"/>
      <c r="C57" s="22" t="n"/>
      <c r="D57" s="49" t="n"/>
      <c r="E57" s="49" t="n"/>
      <c r="F57" s="49" t="n"/>
      <c r="G57" s="50" t="n"/>
      <c r="J57" t="n">
        <v>47</v>
      </c>
      <c r="K57">
        <f>IF(A57="","",IF(ISNUMBER(A57),IF(A57&lt;=31,"",IF(A57&lt;=3112,IF(DATE(YR,MOD(A57,100),INT(A57/100))&gt;SAT1+7*NW-1,DATE(YR-1,MOD(A57,100),INT(A57/100)),DATE(YR,MOD(A57,100),INT(A57/100))),A57)),IFERROR(DATEVALUE(A57),"")))</f>
        <v/>
      </c>
      <c r="L57">
        <f>IF(K57="","",INT((K57-SAT1)/7)+1)</f>
        <v/>
      </c>
      <c r="M57">
        <f>IF(L57="","",IF(OR(L57&lt;1,L57&gt;NW),"",INDEX(WMON,L57)))</f>
        <v/>
      </c>
    </row>
    <row r="58">
      <c r="A58" s="48" t="n"/>
      <c r="B58" s="22" t="n"/>
      <c r="C58" s="22" t="n"/>
      <c r="D58" s="49" t="n"/>
      <c r="E58" s="49" t="n"/>
      <c r="F58" s="49" t="n"/>
      <c r="G58" s="50" t="n"/>
      <c r="J58" t="n">
        <v>48</v>
      </c>
      <c r="K58">
        <f>IF(A58="","",IF(ISNUMBER(A58),IF(A58&lt;=31,"",IF(A58&lt;=3112,IF(DATE(YR,MOD(A58,100),INT(A58/100))&gt;SAT1+7*NW-1,DATE(YR-1,MOD(A58,100),INT(A58/100)),DATE(YR,MOD(A58,100),INT(A58/100))),A58)),IFERROR(DATEVALUE(A58),"")))</f>
        <v/>
      </c>
      <c r="L58">
        <f>IF(K58="","",INT((K58-SAT1)/7)+1)</f>
        <v/>
      </c>
      <c r="M58">
        <f>IF(L58="","",IF(OR(L58&lt;1,L58&gt;NW),"",INDEX(WMON,L58)))</f>
        <v/>
      </c>
    </row>
    <row r="59">
      <c r="A59" s="48" t="n"/>
      <c r="B59" s="22" t="n"/>
      <c r="C59" s="22" t="n"/>
      <c r="D59" s="49" t="n"/>
      <c r="E59" s="49" t="n"/>
      <c r="F59" s="49" t="n"/>
      <c r="G59" s="50" t="n"/>
      <c r="J59" t="n">
        <v>49</v>
      </c>
      <c r="K59">
        <f>IF(A59="","",IF(ISNUMBER(A59),IF(A59&lt;=31,"",IF(A59&lt;=3112,IF(DATE(YR,MOD(A59,100),INT(A59/100))&gt;SAT1+7*NW-1,DATE(YR-1,MOD(A59,100),INT(A59/100)),DATE(YR,MOD(A59,100),INT(A59/100))),A59)),IFERROR(DATEVALUE(A59),"")))</f>
        <v/>
      </c>
      <c r="L59">
        <f>IF(K59="","",INT((K59-SAT1)/7)+1)</f>
        <v/>
      </c>
      <c r="M59">
        <f>IF(L59="","",IF(OR(L59&lt;1,L59&gt;NW),"",INDEX(WMON,L59)))</f>
        <v/>
      </c>
    </row>
    <row r="60">
      <c r="A60" s="48" t="n"/>
      <c r="B60" s="22" t="n"/>
      <c r="C60" s="22" t="n"/>
      <c r="D60" s="49" t="n"/>
      <c r="E60" s="49" t="n"/>
      <c r="F60" s="49" t="n"/>
      <c r="G60" s="50" t="n"/>
      <c r="J60" t="n">
        <v>50</v>
      </c>
      <c r="K60">
        <f>IF(A60="","",IF(ISNUMBER(A60),IF(A60&lt;=31,"",IF(A60&lt;=3112,IF(DATE(YR,MOD(A60,100),INT(A60/100))&gt;SAT1+7*NW-1,DATE(YR-1,MOD(A60,100),INT(A60/100)),DATE(YR,MOD(A60,100),INT(A60/100))),A60)),IFERROR(DATEVALUE(A60),"")))</f>
        <v/>
      </c>
      <c r="L60">
        <f>IF(K60="","",INT((K60-SAT1)/7)+1)</f>
        <v/>
      </c>
      <c r="M60">
        <f>IF(L60="","",IF(OR(L60&lt;1,L60&gt;NW),"",INDEX(WMON,L60)))</f>
        <v/>
      </c>
    </row>
    <row r="61">
      <c r="A61" s="48" t="n"/>
      <c r="B61" s="22" t="n"/>
      <c r="C61" s="22" t="n"/>
      <c r="D61" s="49" t="n"/>
      <c r="E61" s="49" t="n"/>
      <c r="F61" s="49" t="n"/>
      <c r="G61" s="50" t="n"/>
      <c r="J61" t="n">
        <v>51</v>
      </c>
      <c r="K61">
        <f>IF(A61="","",IF(ISNUMBER(A61),IF(A61&lt;=31,"",IF(A61&lt;=3112,IF(DATE(YR,MOD(A61,100),INT(A61/100))&gt;SAT1+7*NW-1,DATE(YR-1,MOD(A61,100),INT(A61/100)),DATE(YR,MOD(A61,100),INT(A61/100))),A61)),IFERROR(DATEVALUE(A61),"")))</f>
        <v/>
      </c>
      <c r="L61">
        <f>IF(K61="","",INT((K61-SAT1)/7)+1)</f>
        <v/>
      </c>
      <c r="M61">
        <f>IF(L61="","",IF(OR(L61&lt;1,L61&gt;NW),"",INDEX(WMON,L61)))</f>
        <v/>
      </c>
    </row>
    <row r="62">
      <c r="A62" s="48" t="n"/>
      <c r="B62" s="22" t="n"/>
      <c r="C62" s="22" t="n"/>
      <c r="D62" s="49" t="n"/>
      <c r="E62" s="49" t="n"/>
      <c r="F62" s="49" t="n"/>
      <c r="G62" s="50" t="n"/>
      <c r="J62" t="n">
        <v>52</v>
      </c>
      <c r="K62">
        <f>IF(A62="","",IF(ISNUMBER(A62),IF(A62&lt;=31,"",IF(A62&lt;=3112,IF(DATE(YR,MOD(A62,100),INT(A62/100))&gt;SAT1+7*NW-1,DATE(YR-1,MOD(A62,100),INT(A62/100)),DATE(YR,MOD(A62,100),INT(A62/100))),A62)),IFERROR(DATEVALUE(A62),"")))</f>
        <v/>
      </c>
      <c r="L62">
        <f>IF(K62="","",INT((K62-SAT1)/7)+1)</f>
        <v/>
      </c>
      <c r="M62">
        <f>IF(L62="","",IF(OR(L62&lt;1,L62&gt;NW),"",INDEX(WMON,L62)))</f>
        <v/>
      </c>
    </row>
    <row r="63">
      <c r="A63" s="48" t="n"/>
      <c r="B63" s="22" t="n"/>
      <c r="C63" s="22" t="n"/>
      <c r="D63" s="49" t="n"/>
      <c r="E63" s="49" t="n"/>
      <c r="F63" s="49" t="n"/>
      <c r="G63" s="50" t="n"/>
      <c r="J63" t="n">
        <v>53</v>
      </c>
      <c r="K63">
        <f>IF(A63="","",IF(ISNUMBER(A63),IF(A63&lt;=31,"",IF(A63&lt;=3112,IF(DATE(YR,MOD(A63,100),INT(A63/100))&gt;SAT1+7*NW-1,DATE(YR-1,MOD(A63,100),INT(A63/100)),DATE(YR,MOD(A63,100),INT(A63/100))),A63)),IFERROR(DATEVALUE(A63),"")))</f>
        <v/>
      </c>
      <c r="L63">
        <f>IF(K63="","",INT((K63-SAT1)/7)+1)</f>
        <v/>
      </c>
      <c r="M63">
        <f>IF(L63="","",IF(OR(L63&lt;1,L63&gt;NW),"",INDEX(WMON,L63)))</f>
        <v/>
      </c>
    </row>
    <row r="64">
      <c r="A64" s="48" t="n"/>
      <c r="B64" s="22" t="n"/>
      <c r="C64" s="22" t="n"/>
      <c r="D64" s="49" t="n"/>
      <c r="E64" s="49" t="n"/>
      <c r="F64" s="49" t="n"/>
      <c r="G64" s="50" t="n"/>
      <c r="J64" t="n">
        <v>54</v>
      </c>
      <c r="K64">
        <f>IF(A64="","",IF(ISNUMBER(A64),IF(A64&lt;=31,"",IF(A64&lt;=3112,IF(DATE(YR,MOD(A64,100),INT(A64/100))&gt;SAT1+7*NW-1,DATE(YR-1,MOD(A64,100),INT(A64/100)),DATE(YR,MOD(A64,100),INT(A64/100))),A64)),IFERROR(DATEVALUE(A64),"")))</f>
        <v/>
      </c>
      <c r="L64">
        <f>IF(K64="","",INT((K64-SAT1)/7)+1)</f>
        <v/>
      </c>
      <c r="M64">
        <f>IF(L64="","",IF(OR(L64&lt;1,L64&gt;NW),"",INDEX(WMON,L64)))</f>
        <v/>
      </c>
    </row>
    <row r="65">
      <c r="A65" s="48" t="n"/>
      <c r="B65" s="22" t="n"/>
      <c r="C65" s="22" t="n"/>
      <c r="D65" s="49" t="n"/>
      <c r="E65" s="49" t="n"/>
      <c r="F65" s="49" t="n"/>
      <c r="G65" s="50" t="n"/>
      <c r="J65" t="n">
        <v>55</v>
      </c>
      <c r="K65">
        <f>IF(A65="","",IF(ISNUMBER(A65),IF(A65&lt;=31,"",IF(A65&lt;=3112,IF(DATE(YR,MOD(A65,100),INT(A65/100))&gt;SAT1+7*NW-1,DATE(YR-1,MOD(A65,100),INT(A65/100)),DATE(YR,MOD(A65,100),INT(A65/100))),A65)),IFERROR(DATEVALUE(A65),"")))</f>
        <v/>
      </c>
      <c r="L65">
        <f>IF(K65="","",INT((K65-SAT1)/7)+1)</f>
        <v/>
      </c>
      <c r="M65">
        <f>IF(L65="","",IF(OR(L65&lt;1,L65&gt;NW),"",INDEX(WMON,L65)))</f>
        <v/>
      </c>
    </row>
    <row r="66">
      <c r="A66" s="48" t="n"/>
      <c r="B66" s="22" t="n"/>
      <c r="C66" s="22" t="n"/>
      <c r="D66" s="49" t="n"/>
      <c r="E66" s="49" t="n"/>
      <c r="F66" s="49" t="n"/>
      <c r="G66" s="50" t="n"/>
      <c r="J66" t="n">
        <v>56</v>
      </c>
      <c r="K66">
        <f>IF(A66="","",IF(ISNUMBER(A66),IF(A66&lt;=31,"",IF(A66&lt;=3112,IF(DATE(YR,MOD(A66,100),INT(A66/100))&gt;SAT1+7*NW-1,DATE(YR-1,MOD(A66,100),INT(A66/100)),DATE(YR,MOD(A66,100),INT(A66/100))),A66)),IFERROR(DATEVALUE(A66),"")))</f>
        <v/>
      </c>
      <c r="L66">
        <f>IF(K66="","",INT((K66-SAT1)/7)+1)</f>
        <v/>
      </c>
      <c r="M66">
        <f>IF(L66="","",IF(OR(L66&lt;1,L66&gt;NW),"",INDEX(WMON,L66)))</f>
        <v/>
      </c>
    </row>
    <row r="67">
      <c r="A67" s="48" t="n"/>
      <c r="B67" s="22" t="n"/>
      <c r="C67" s="22" t="n"/>
      <c r="D67" s="49" t="n"/>
      <c r="E67" s="49" t="n"/>
      <c r="F67" s="49" t="n"/>
      <c r="G67" s="50" t="n"/>
      <c r="J67" t="n">
        <v>57</v>
      </c>
      <c r="K67">
        <f>IF(A67="","",IF(ISNUMBER(A67),IF(A67&lt;=31,"",IF(A67&lt;=3112,IF(DATE(YR,MOD(A67,100),INT(A67/100))&gt;SAT1+7*NW-1,DATE(YR-1,MOD(A67,100),INT(A67/100)),DATE(YR,MOD(A67,100),INT(A67/100))),A67)),IFERROR(DATEVALUE(A67),"")))</f>
        <v/>
      </c>
      <c r="L67">
        <f>IF(K67="","",INT((K67-SAT1)/7)+1)</f>
        <v/>
      </c>
      <c r="M67">
        <f>IF(L67="","",IF(OR(L67&lt;1,L67&gt;NW),"",INDEX(WMON,L67)))</f>
        <v/>
      </c>
    </row>
    <row r="68">
      <c r="A68" s="48" t="n"/>
      <c r="B68" s="22" t="n"/>
      <c r="C68" s="22" t="n"/>
      <c r="D68" s="49" t="n"/>
      <c r="E68" s="49" t="n"/>
      <c r="F68" s="49" t="n"/>
      <c r="G68" s="50" t="n"/>
      <c r="J68" t="n">
        <v>58</v>
      </c>
      <c r="K68">
        <f>IF(A68="","",IF(ISNUMBER(A68),IF(A68&lt;=31,"",IF(A68&lt;=3112,IF(DATE(YR,MOD(A68,100),INT(A68/100))&gt;SAT1+7*NW-1,DATE(YR-1,MOD(A68,100),INT(A68/100)),DATE(YR,MOD(A68,100),INT(A68/100))),A68)),IFERROR(DATEVALUE(A68),"")))</f>
        <v/>
      </c>
      <c r="L68">
        <f>IF(K68="","",INT((K68-SAT1)/7)+1)</f>
        <v/>
      </c>
      <c r="M68">
        <f>IF(L68="","",IF(OR(L68&lt;1,L68&gt;NW),"",INDEX(WMON,L68)))</f>
        <v/>
      </c>
    </row>
    <row r="69">
      <c r="A69" s="48" t="n"/>
      <c r="B69" s="22" t="n"/>
      <c r="C69" s="22" t="n"/>
      <c r="D69" s="49" t="n"/>
      <c r="E69" s="49" t="n"/>
      <c r="F69" s="49" t="n"/>
      <c r="G69" s="50" t="n"/>
      <c r="J69" t="n">
        <v>59</v>
      </c>
      <c r="K69">
        <f>IF(A69="","",IF(ISNUMBER(A69),IF(A69&lt;=31,"",IF(A69&lt;=3112,IF(DATE(YR,MOD(A69,100),INT(A69/100))&gt;SAT1+7*NW-1,DATE(YR-1,MOD(A69,100),INT(A69/100)),DATE(YR,MOD(A69,100),INT(A69/100))),A69)),IFERROR(DATEVALUE(A69),"")))</f>
        <v/>
      </c>
      <c r="L69">
        <f>IF(K69="","",INT((K69-SAT1)/7)+1)</f>
        <v/>
      </c>
      <c r="M69">
        <f>IF(L69="","",IF(OR(L69&lt;1,L69&gt;NW),"",INDEX(WMON,L69)))</f>
        <v/>
      </c>
    </row>
    <row r="70">
      <c r="A70" s="48" t="n"/>
      <c r="B70" s="22" t="n"/>
      <c r="C70" s="22" t="n"/>
      <c r="D70" s="49" t="n"/>
      <c r="E70" s="49" t="n"/>
      <c r="F70" s="49" t="n"/>
      <c r="G70" s="50" t="n"/>
      <c r="J70" t="n">
        <v>60</v>
      </c>
      <c r="K70">
        <f>IF(A70="","",IF(ISNUMBER(A70),IF(A70&lt;=31,"",IF(A70&lt;=3112,IF(DATE(YR,MOD(A70,100),INT(A70/100))&gt;SAT1+7*NW-1,DATE(YR-1,MOD(A70,100),INT(A70/100)),DATE(YR,MOD(A70,100),INT(A70/100))),A70)),IFERROR(DATEVALUE(A70),"")))</f>
        <v/>
      </c>
      <c r="L70">
        <f>IF(K70="","",INT((K70-SAT1)/7)+1)</f>
        <v/>
      </c>
      <c r="M70">
        <f>IF(L70="","",IF(OR(L70&lt;1,L70&gt;NW),"",INDEX(WMON,L70)))</f>
        <v/>
      </c>
    </row>
    <row r="71">
      <c r="A71" s="48" t="n"/>
      <c r="B71" s="22" t="n"/>
      <c r="C71" s="22" t="n"/>
      <c r="D71" s="49" t="n"/>
      <c r="E71" s="49" t="n"/>
      <c r="F71" s="49" t="n"/>
      <c r="G71" s="50" t="n"/>
      <c r="J71" t="n">
        <v>61</v>
      </c>
      <c r="K71">
        <f>IF(A71="","",IF(ISNUMBER(A71),IF(A71&lt;=31,"",IF(A71&lt;=3112,IF(DATE(YR,MOD(A71,100),INT(A71/100))&gt;SAT1+7*NW-1,DATE(YR-1,MOD(A71,100),INT(A71/100)),DATE(YR,MOD(A71,100),INT(A71/100))),A71)),IFERROR(DATEVALUE(A71),"")))</f>
        <v/>
      </c>
      <c r="L71">
        <f>IF(K71="","",INT((K71-SAT1)/7)+1)</f>
        <v/>
      </c>
      <c r="M71">
        <f>IF(L71="","",IF(OR(L71&lt;1,L71&gt;NW),"",INDEX(WMON,L71)))</f>
        <v/>
      </c>
    </row>
    <row r="72">
      <c r="A72" s="48" t="n"/>
      <c r="B72" s="22" t="n"/>
      <c r="C72" s="22" t="n"/>
      <c r="D72" s="49" t="n"/>
      <c r="E72" s="49" t="n"/>
      <c r="F72" s="49" t="n"/>
      <c r="G72" s="50" t="n"/>
      <c r="J72" t="n">
        <v>62</v>
      </c>
      <c r="K72">
        <f>IF(A72="","",IF(ISNUMBER(A72),IF(A72&lt;=31,"",IF(A72&lt;=3112,IF(DATE(YR,MOD(A72,100),INT(A72/100))&gt;SAT1+7*NW-1,DATE(YR-1,MOD(A72,100),INT(A72/100)),DATE(YR,MOD(A72,100),INT(A72/100))),A72)),IFERROR(DATEVALUE(A72),"")))</f>
        <v/>
      </c>
      <c r="L72">
        <f>IF(K72="","",INT((K72-SAT1)/7)+1)</f>
        <v/>
      </c>
      <c r="M72">
        <f>IF(L72="","",IF(OR(L72&lt;1,L72&gt;NW),"",INDEX(WMON,L72)))</f>
        <v/>
      </c>
    </row>
    <row r="73">
      <c r="A73" s="48" t="n"/>
      <c r="B73" s="22" t="n"/>
      <c r="C73" s="22" t="n"/>
      <c r="D73" s="49" t="n"/>
      <c r="E73" s="49" t="n"/>
      <c r="F73" s="49" t="n"/>
      <c r="G73" s="50" t="n"/>
      <c r="J73" t="n">
        <v>63</v>
      </c>
      <c r="K73">
        <f>IF(A73="","",IF(ISNUMBER(A73),IF(A73&lt;=31,"",IF(A73&lt;=3112,IF(DATE(YR,MOD(A73,100),INT(A73/100))&gt;SAT1+7*NW-1,DATE(YR-1,MOD(A73,100),INT(A73/100)),DATE(YR,MOD(A73,100),INT(A73/100))),A73)),IFERROR(DATEVALUE(A73),"")))</f>
        <v/>
      </c>
      <c r="L73">
        <f>IF(K73="","",INT((K73-SAT1)/7)+1)</f>
        <v/>
      </c>
      <c r="M73">
        <f>IF(L73="","",IF(OR(L73&lt;1,L73&gt;NW),"",INDEX(WMON,L73)))</f>
        <v/>
      </c>
    </row>
    <row r="74">
      <c r="A74" s="48" t="n"/>
      <c r="B74" s="22" t="n"/>
      <c r="C74" s="22" t="n"/>
      <c r="D74" s="49" t="n"/>
      <c r="E74" s="49" t="n"/>
      <c r="F74" s="49" t="n"/>
      <c r="G74" s="50" t="n"/>
      <c r="J74" t="n">
        <v>64</v>
      </c>
      <c r="K74">
        <f>IF(A74="","",IF(ISNUMBER(A74),IF(A74&lt;=31,"",IF(A74&lt;=3112,IF(DATE(YR,MOD(A74,100),INT(A74/100))&gt;SAT1+7*NW-1,DATE(YR-1,MOD(A74,100),INT(A74/100)),DATE(YR,MOD(A74,100),INT(A74/100))),A74)),IFERROR(DATEVALUE(A74),"")))</f>
        <v/>
      </c>
      <c r="L74">
        <f>IF(K74="","",INT((K74-SAT1)/7)+1)</f>
        <v/>
      </c>
      <c r="M74">
        <f>IF(L74="","",IF(OR(L74&lt;1,L74&gt;NW),"",INDEX(WMON,L74)))</f>
        <v/>
      </c>
    </row>
    <row r="75">
      <c r="A75" s="48" t="n"/>
      <c r="B75" s="22" t="n"/>
      <c r="C75" s="22" t="n"/>
      <c r="D75" s="49" t="n"/>
      <c r="E75" s="49" t="n"/>
      <c r="F75" s="49" t="n"/>
      <c r="G75" s="50" t="n"/>
      <c r="J75" t="n">
        <v>65</v>
      </c>
      <c r="K75">
        <f>IF(A75="","",IF(ISNUMBER(A75),IF(A75&lt;=31,"",IF(A75&lt;=3112,IF(DATE(YR,MOD(A75,100),INT(A75/100))&gt;SAT1+7*NW-1,DATE(YR-1,MOD(A75,100),INT(A75/100)),DATE(YR,MOD(A75,100),INT(A75/100))),A75)),IFERROR(DATEVALUE(A75),"")))</f>
        <v/>
      </c>
      <c r="L75">
        <f>IF(K75="","",INT((K75-SAT1)/7)+1)</f>
        <v/>
      </c>
      <c r="M75">
        <f>IF(L75="","",IF(OR(L75&lt;1,L75&gt;NW),"",INDEX(WMON,L75)))</f>
        <v/>
      </c>
    </row>
    <row r="76">
      <c r="A76" s="48" t="n"/>
      <c r="B76" s="22" t="n"/>
      <c r="C76" s="22" t="n"/>
      <c r="D76" s="49" t="n"/>
      <c r="E76" s="49" t="n"/>
      <c r="F76" s="49" t="n"/>
      <c r="G76" s="50" t="n"/>
      <c r="J76" t="n">
        <v>66</v>
      </c>
      <c r="K76">
        <f>IF(A76="","",IF(ISNUMBER(A76),IF(A76&lt;=31,"",IF(A76&lt;=3112,IF(DATE(YR,MOD(A76,100),INT(A76/100))&gt;SAT1+7*NW-1,DATE(YR-1,MOD(A76,100),INT(A76/100)),DATE(YR,MOD(A76,100),INT(A76/100))),A76)),IFERROR(DATEVALUE(A76),"")))</f>
        <v/>
      </c>
      <c r="L76">
        <f>IF(K76="","",INT((K76-SAT1)/7)+1)</f>
        <v/>
      </c>
      <c r="M76">
        <f>IF(L76="","",IF(OR(L76&lt;1,L76&gt;NW),"",INDEX(WMON,L76)))</f>
        <v/>
      </c>
    </row>
    <row r="77">
      <c r="A77" s="48" t="n"/>
      <c r="B77" s="22" t="n"/>
      <c r="C77" s="22" t="n"/>
      <c r="D77" s="49" t="n"/>
      <c r="E77" s="49" t="n"/>
      <c r="F77" s="49" t="n"/>
      <c r="G77" s="50" t="n"/>
      <c r="J77" t="n">
        <v>67</v>
      </c>
      <c r="K77">
        <f>IF(A77="","",IF(ISNUMBER(A77),IF(A77&lt;=31,"",IF(A77&lt;=3112,IF(DATE(YR,MOD(A77,100),INT(A77/100))&gt;SAT1+7*NW-1,DATE(YR-1,MOD(A77,100),INT(A77/100)),DATE(YR,MOD(A77,100),INT(A77/100))),A77)),IFERROR(DATEVALUE(A77),"")))</f>
        <v/>
      </c>
      <c r="L77">
        <f>IF(K77="","",INT((K77-SAT1)/7)+1)</f>
        <v/>
      </c>
      <c r="M77">
        <f>IF(L77="","",IF(OR(L77&lt;1,L77&gt;NW),"",INDEX(WMON,L77)))</f>
        <v/>
      </c>
    </row>
    <row r="78">
      <c r="A78" s="48" t="n"/>
      <c r="B78" s="22" t="n"/>
      <c r="C78" s="22" t="n"/>
      <c r="D78" s="49" t="n"/>
      <c r="E78" s="49" t="n"/>
      <c r="F78" s="49" t="n"/>
      <c r="G78" s="50" t="n"/>
      <c r="J78" t="n">
        <v>68</v>
      </c>
      <c r="K78">
        <f>IF(A78="","",IF(ISNUMBER(A78),IF(A78&lt;=31,"",IF(A78&lt;=3112,IF(DATE(YR,MOD(A78,100),INT(A78/100))&gt;SAT1+7*NW-1,DATE(YR-1,MOD(A78,100),INT(A78/100)),DATE(YR,MOD(A78,100),INT(A78/100))),A78)),IFERROR(DATEVALUE(A78),"")))</f>
        <v/>
      </c>
      <c r="L78">
        <f>IF(K78="","",INT((K78-SAT1)/7)+1)</f>
        <v/>
      </c>
      <c r="M78">
        <f>IF(L78="","",IF(OR(L78&lt;1,L78&gt;NW),"",INDEX(WMON,L78)))</f>
        <v/>
      </c>
    </row>
    <row r="79">
      <c r="A79" s="48" t="n"/>
      <c r="B79" s="22" t="n"/>
      <c r="C79" s="22" t="n"/>
      <c r="D79" s="49" t="n"/>
      <c r="E79" s="49" t="n"/>
      <c r="F79" s="49" t="n"/>
      <c r="G79" s="50" t="n"/>
      <c r="J79" t="n">
        <v>69</v>
      </c>
      <c r="K79">
        <f>IF(A79="","",IF(ISNUMBER(A79),IF(A79&lt;=31,"",IF(A79&lt;=3112,IF(DATE(YR,MOD(A79,100),INT(A79/100))&gt;SAT1+7*NW-1,DATE(YR-1,MOD(A79,100),INT(A79/100)),DATE(YR,MOD(A79,100),INT(A79/100))),A79)),IFERROR(DATEVALUE(A79),"")))</f>
        <v/>
      </c>
      <c r="L79">
        <f>IF(K79="","",INT((K79-SAT1)/7)+1)</f>
        <v/>
      </c>
      <c r="M79">
        <f>IF(L79="","",IF(OR(L79&lt;1,L79&gt;NW),"",INDEX(WMON,L79)))</f>
        <v/>
      </c>
    </row>
    <row r="80">
      <c r="A80" s="48" t="n"/>
      <c r="B80" s="22" t="n"/>
      <c r="C80" s="22" t="n"/>
      <c r="D80" s="49" t="n"/>
      <c r="E80" s="49" t="n"/>
      <c r="F80" s="49" t="n"/>
      <c r="G80" s="50" t="n"/>
      <c r="J80" t="n">
        <v>70</v>
      </c>
      <c r="K80">
        <f>IF(A80="","",IF(ISNUMBER(A80),IF(A80&lt;=31,"",IF(A80&lt;=3112,IF(DATE(YR,MOD(A80,100),INT(A80/100))&gt;SAT1+7*NW-1,DATE(YR-1,MOD(A80,100),INT(A80/100)),DATE(YR,MOD(A80,100),INT(A80/100))),A80)),IFERROR(DATEVALUE(A80),"")))</f>
        <v/>
      </c>
      <c r="L80">
        <f>IF(K80="","",INT((K80-SAT1)/7)+1)</f>
        <v/>
      </c>
      <c r="M80">
        <f>IF(L80="","",IF(OR(L80&lt;1,L80&gt;NW),"",INDEX(WMON,L80)))</f>
        <v/>
      </c>
    </row>
    <row r="81">
      <c r="A81" s="48" t="n"/>
      <c r="B81" s="22" t="n"/>
      <c r="C81" s="22" t="n"/>
      <c r="D81" s="49" t="n"/>
      <c r="E81" s="49" t="n"/>
      <c r="F81" s="49" t="n"/>
      <c r="G81" s="50" t="n"/>
      <c r="J81" t="n">
        <v>71</v>
      </c>
      <c r="K81">
        <f>IF(A81="","",IF(ISNUMBER(A81),IF(A81&lt;=31,"",IF(A81&lt;=3112,IF(DATE(YR,MOD(A81,100),INT(A81/100))&gt;SAT1+7*NW-1,DATE(YR-1,MOD(A81,100),INT(A81/100)),DATE(YR,MOD(A81,100),INT(A81/100))),A81)),IFERROR(DATEVALUE(A81),"")))</f>
        <v/>
      </c>
      <c r="L81">
        <f>IF(K81="","",INT((K81-SAT1)/7)+1)</f>
        <v/>
      </c>
      <c r="M81">
        <f>IF(L81="","",IF(OR(L81&lt;1,L81&gt;NW),"",INDEX(WMON,L81)))</f>
        <v/>
      </c>
    </row>
    <row r="82">
      <c r="A82" s="48" t="n"/>
      <c r="B82" s="22" t="n"/>
      <c r="C82" s="22" t="n"/>
      <c r="D82" s="49" t="n"/>
      <c r="E82" s="49" t="n"/>
      <c r="F82" s="49" t="n"/>
      <c r="G82" s="50" t="n"/>
      <c r="J82" t="n">
        <v>72</v>
      </c>
      <c r="K82">
        <f>IF(A82="","",IF(ISNUMBER(A82),IF(A82&lt;=31,"",IF(A82&lt;=3112,IF(DATE(YR,MOD(A82,100),INT(A82/100))&gt;SAT1+7*NW-1,DATE(YR-1,MOD(A82,100),INT(A82/100)),DATE(YR,MOD(A82,100),INT(A82/100))),A82)),IFERROR(DATEVALUE(A82),"")))</f>
        <v/>
      </c>
      <c r="L82">
        <f>IF(K82="","",INT((K82-SAT1)/7)+1)</f>
        <v/>
      </c>
      <c r="M82">
        <f>IF(L82="","",IF(OR(L82&lt;1,L82&gt;NW),"",INDEX(WMON,L82)))</f>
        <v/>
      </c>
    </row>
    <row r="83">
      <c r="A83" s="48" t="n"/>
      <c r="B83" s="22" t="n"/>
      <c r="C83" s="22" t="n"/>
      <c r="D83" s="49" t="n"/>
      <c r="E83" s="49" t="n"/>
      <c r="F83" s="49" t="n"/>
      <c r="G83" s="50" t="n"/>
      <c r="J83" t="n">
        <v>73</v>
      </c>
      <c r="K83">
        <f>IF(A83="","",IF(ISNUMBER(A83),IF(A83&lt;=31,"",IF(A83&lt;=3112,IF(DATE(YR,MOD(A83,100),INT(A83/100))&gt;SAT1+7*NW-1,DATE(YR-1,MOD(A83,100),INT(A83/100)),DATE(YR,MOD(A83,100),INT(A83/100))),A83)),IFERROR(DATEVALUE(A83),"")))</f>
        <v/>
      </c>
      <c r="L83">
        <f>IF(K83="","",INT((K83-SAT1)/7)+1)</f>
        <v/>
      </c>
      <c r="M83">
        <f>IF(L83="","",IF(OR(L83&lt;1,L83&gt;NW),"",INDEX(WMON,L83)))</f>
        <v/>
      </c>
    </row>
    <row r="84">
      <c r="A84" s="48" t="n"/>
      <c r="B84" s="22" t="n"/>
      <c r="C84" s="22" t="n"/>
      <c r="D84" s="49" t="n"/>
      <c r="E84" s="49" t="n"/>
      <c r="F84" s="49" t="n"/>
      <c r="G84" s="50" t="n"/>
      <c r="J84" t="n">
        <v>74</v>
      </c>
      <c r="K84">
        <f>IF(A84="","",IF(ISNUMBER(A84),IF(A84&lt;=31,"",IF(A84&lt;=3112,IF(DATE(YR,MOD(A84,100),INT(A84/100))&gt;SAT1+7*NW-1,DATE(YR-1,MOD(A84,100),INT(A84/100)),DATE(YR,MOD(A84,100),INT(A84/100))),A84)),IFERROR(DATEVALUE(A84),"")))</f>
        <v/>
      </c>
      <c r="L84">
        <f>IF(K84="","",INT((K84-SAT1)/7)+1)</f>
        <v/>
      </c>
      <c r="M84">
        <f>IF(L84="","",IF(OR(L84&lt;1,L84&gt;NW),"",INDEX(WMON,L84)))</f>
        <v/>
      </c>
    </row>
    <row r="85">
      <c r="A85" s="48" t="n"/>
      <c r="B85" s="22" t="n"/>
      <c r="C85" s="22" t="n"/>
      <c r="D85" s="49" t="n"/>
      <c r="E85" s="49" t="n"/>
      <c r="F85" s="49" t="n"/>
      <c r="G85" s="50" t="n"/>
      <c r="J85" t="n">
        <v>75</v>
      </c>
      <c r="K85">
        <f>IF(A85="","",IF(ISNUMBER(A85),IF(A85&lt;=31,"",IF(A85&lt;=3112,IF(DATE(YR,MOD(A85,100),INT(A85/100))&gt;SAT1+7*NW-1,DATE(YR-1,MOD(A85,100),INT(A85/100)),DATE(YR,MOD(A85,100),INT(A85/100))),A85)),IFERROR(DATEVALUE(A85),"")))</f>
        <v/>
      </c>
      <c r="L85">
        <f>IF(K85="","",INT((K85-SAT1)/7)+1)</f>
        <v/>
      </c>
      <c r="M85">
        <f>IF(L85="","",IF(OR(L85&lt;1,L85&gt;NW),"",INDEX(WMON,L85)))</f>
        <v/>
      </c>
    </row>
    <row r="86">
      <c r="A86" s="48" t="n"/>
      <c r="B86" s="22" t="n"/>
      <c r="C86" s="22" t="n"/>
      <c r="D86" s="49" t="n"/>
      <c r="E86" s="49" t="n"/>
      <c r="F86" s="49" t="n"/>
      <c r="G86" s="50" t="n"/>
      <c r="J86" t="n">
        <v>76</v>
      </c>
      <c r="K86">
        <f>IF(A86="","",IF(ISNUMBER(A86),IF(A86&lt;=31,"",IF(A86&lt;=3112,IF(DATE(YR,MOD(A86,100),INT(A86/100))&gt;SAT1+7*NW-1,DATE(YR-1,MOD(A86,100),INT(A86/100)),DATE(YR,MOD(A86,100),INT(A86/100))),A86)),IFERROR(DATEVALUE(A86),"")))</f>
        <v/>
      </c>
      <c r="L86">
        <f>IF(K86="","",INT((K86-SAT1)/7)+1)</f>
        <v/>
      </c>
      <c r="M86">
        <f>IF(L86="","",IF(OR(L86&lt;1,L86&gt;NW),"",INDEX(WMON,L86)))</f>
        <v/>
      </c>
    </row>
    <row r="87">
      <c r="A87" s="48" t="n"/>
      <c r="B87" s="22" t="n"/>
      <c r="C87" s="22" t="n"/>
      <c r="D87" s="49" t="n"/>
      <c r="E87" s="49" t="n"/>
      <c r="F87" s="49" t="n"/>
      <c r="G87" s="50" t="n"/>
      <c r="J87" t="n">
        <v>77</v>
      </c>
      <c r="K87">
        <f>IF(A87="","",IF(ISNUMBER(A87),IF(A87&lt;=31,"",IF(A87&lt;=3112,IF(DATE(YR,MOD(A87,100),INT(A87/100))&gt;SAT1+7*NW-1,DATE(YR-1,MOD(A87,100),INT(A87/100)),DATE(YR,MOD(A87,100),INT(A87/100))),A87)),IFERROR(DATEVALUE(A87),"")))</f>
        <v/>
      </c>
      <c r="L87">
        <f>IF(K87="","",INT((K87-SAT1)/7)+1)</f>
        <v/>
      </c>
      <c r="M87">
        <f>IF(L87="","",IF(OR(L87&lt;1,L87&gt;NW),"",INDEX(WMON,L87)))</f>
        <v/>
      </c>
    </row>
    <row r="88">
      <c r="A88" s="48" t="n"/>
      <c r="B88" s="22" t="n"/>
      <c r="C88" s="22" t="n"/>
      <c r="D88" s="49" t="n"/>
      <c r="E88" s="49" t="n"/>
      <c r="F88" s="49" t="n"/>
      <c r="G88" s="50" t="n"/>
      <c r="J88" t="n">
        <v>78</v>
      </c>
      <c r="K88">
        <f>IF(A88="","",IF(ISNUMBER(A88),IF(A88&lt;=31,"",IF(A88&lt;=3112,IF(DATE(YR,MOD(A88,100),INT(A88/100))&gt;SAT1+7*NW-1,DATE(YR-1,MOD(A88,100),INT(A88/100)),DATE(YR,MOD(A88,100),INT(A88/100))),A88)),IFERROR(DATEVALUE(A88),"")))</f>
        <v/>
      </c>
      <c r="L88">
        <f>IF(K88="","",INT((K88-SAT1)/7)+1)</f>
        <v/>
      </c>
      <c r="M88">
        <f>IF(L88="","",IF(OR(L88&lt;1,L88&gt;NW),"",INDEX(WMON,L88)))</f>
        <v/>
      </c>
    </row>
    <row r="89">
      <c r="A89" s="48" t="n"/>
      <c r="B89" s="22" t="n"/>
      <c r="C89" s="22" t="n"/>
      <c r="D89" s="49" t="n"/>
      <c r="E89" s="49" t="n"/>
      <c r="F89" s="49" t="n"/>
      <c r="G89" s="50" t="n"/>
      <c r="J89" t="n">
        <v>79</v>
      </c>
      <c r="K89">
        <f>IF(A89="","",IF(ISNUMBER(A89),IF(A89&lt;=31,"",IF(A89&lt;=3112,IF(DATE(YR,MOD(A89,100),INT(A89/100))&gt;SAT1+7*NW-1,DATE(YR-1,MOD(A89,100),INT(A89/100)),DATE(YR,MOD(A89,100),INT(A89/100))),A89)),IFERROR(DATEVALUE(A89),"")))</f>
        <v/>
      </c>
      <c r="L89">
        <f>IF(K89="","",INT((K89-SAT1)/7)+1)</f>
        <v/>
      </c>
      <c r="M89">
        <f>IF(L89="","",IF(OR(L89&lt;1,L89&gt;NW),"",INDEX(WMON,L89)))</f>
        <v/>
      </c>
    </row>
    <row r="90">
      <c r="A90" s="48" t="n"/>
      <c r="B90" s="22" t="n"/>
      <c r="C90" s="22" t="n"/>
      <c r="D90" s="49" t="n"/>
      <c r="E90" s="49" t="n"/>
      <c r="F90" s="49" t="n"/>
      <c r="G90" s="50" t="n"/>
      <c r="J90" t="n">
        <v>80</v>
      </c>
      <c r="K90">
        <f>IF(A90="","",IF(ISNUMBER(A90),IF(A90&lt;=31,"",IF(A90&lt;=3112,IF(DATE(YR,MOD(A90,100),INT(A90/100))&gt;SAT1+7*NW-1,DATE(YR-1,MOD(A90,100),INT(A90/100)),DATE(YR,MOD(A90,100),INT(A90/100))),A90)),IFERROR(DATEVALUE(A90),"")))</f>
        <v/>
      </c>
      <c r="L90">
        <f>IF(K90="","",INT((K90-SAT1)/7)+1)</f>
        <v/>
      </c>
      <c r="M90">
        <f>IF(L90="","",IF(OR(L90&lt;1,L90&gt;NW),"",INDEX(WMON,L90)))</f>
        <v/>
      </c>
    </row>
    <row r="91">
      <c r="A91" s="48" t="n"/>
      <c r="B91" s="22" t="n"/>
      <c r="C91" s="22" t="n"/>
      <c r="D91" s="49" t="n"/>
      <c r="E91" s="49" t="n"/>
      <c r="F91" s="49" t="n"/>
      <c r="G91" s="50" t="n"/>
      <c r="J91" t="n">
        <v>81</v>
      </c>
      <c r="K91">
        <f>IF(A91="","",IF(ISNUMBER(A91),IF(A91&lt;=31,"",IF(A91&lt;=3112,IF(DATE(YR,MOD(A91,100),INT(A91/100))&gt;SAT1+7*NW-1,DATE(YR-1,MOD(A91,100),INT(A91/100)),DATE(YR,MOD(A91,100),INT(A91/100))),A91)),IFERROR(DATEVALUE(A91),"")))</f>
        <v/>
      </c>
      <c r="L91">
        <f>IF(K91="","",INT((K91-SAT1)/7)+1)</f>
        <v/>
      </c>
      <c r="M91">
        <f>IF(L91="","",IF(OR(L91&lt;1,L91&gt;NW),"",INDEX(WMON,L91)))</f>
        <v/>
      </c>
    </row>
    <row r="92">
      <c r="A92" s="48" t="n"/>
      <c r="B92" s="22" t="n"/>
      <c r="C92" s="22" t="n"/>
      <c r="D92" s="49" t="n"/>
      <c r="E92" s="49" t="n"/>
      <c r="F92" s="49" t="n"/>
      <c r="G92" s="50" t="n"/>
      <c r="J92" t="n">
        <v>82</v>
      </c>
      <c r="K92">
        <f>IF(A92="","",IF(ISNUMBER(A92),IF(A92&lt;=31,"",IF(A92&lt;=3112,IF(DATE(YR,MOD(A92,100),INT(A92/100))&gt;SAT1+7*NW-1,DATE(YR-1,MOD(A92,100),INT(A92/100)),DATE(YR,MOD(A92,100),INT(A92/100))),A92)),IFERROR(DATEVALUE(A92),"")))</f>
        <v/>
      </c>
      <c r="L92">
        <f>IF(K92="","",INT((K92-SAT1)/7)+1)</f>
        <v/>
      </c>
      <c r="M92">
        <f>IF(L92="","",IF(OR(L92&lt;1,L92&gt;NW),"",INDEX(WMON,L92)))</f>
        <v/>
      </c>
    </row>
    <row r="93">
      <c r="A93" s="48" t="n"/>
      <c r="B93" s="22" t="n"/>
      <c r="C93" s="22" t="n"/>
      <c r="D93" s="49" t="n"/>
      <c r="E93" s="49" t="n"/>
      <c r="F93" s="49" t="n"/>
      <c r="G93" s="50" t="n"/>
      <c r="J93" t="n">
        <v>83</v>
      </c>
      <c r="K93">
        <f>IF(A93="","",IF(ISNUMBER(A93),IF(A93&lt;=31,"",IF(A93&lt;=3112,IF(DATE(YR,MOD(A93,100),INT(A93/100))&gt;SAT1+7*NW-1,DATE(YR-1,MOD(A93,100),INT(A93/100)),DATE(YR,MOD(A93,100),INT(A93/100))),A93)),IFERROR(DATEVALUE(A93),"")))</f>
        <v/>
      </c>
      <c r="L93">
        <f>IF(K93="","",INT((K93-SAT1)/7)+1)</f>
        <v/>
      </c>
      <c r="M93">
        <f>IF(L93="","",IF(OR(L93&lt;1,L93&gt;NW),"",INDEX(WMON,L93)))</f>
        <v/>
      </c>
    </row>
    <row r="94">
      <c r="A94" s="48" t="n"/>
      <c r="B94" s="22" t="n"/>
      <c r="C94" s="22" t="n"/>
      <c r="D94" s="49" t="n"/>
      <c r="E94" s="49" t="n"/>
      <c r="F94" s="49" t="n"/>
      <c r="G94" s="50" t="n"/>
      <c r="J94" t="n">
        <v>84</v>
      </c>
      <c r="K94">
        <f>IF(A94="","",IF(ISNUMBER(A94),IF(A94&lt;=31,"",IF(A94&lt;=3112,IF(DATE(YR,MOD(A94,100),INT(A94/100))&gt;SAT1+7*NW-1,DATE(YR-1,MOD(A94,100),INT(A94/100)),DATE(YR,MOD(A94,100),INT(A94/100))),A94)),IFERROR(DATEVALUE(A94),"")))</f>
        <v/>
      </c>
      <c r="L94">
        <f>IF(K94="","",INT((K94-SAT1)/7)+1)</f>
        <v/>
      </c>
      <c r="M94">
        <f>IF(L94="","",IF(OR(L94&lt;1,L94&gt;NW),"",INDEX(WMON,L94)))</f>
        <v/>
      </c>
    </row>
    <row r="95">
      <c r="A95" s="48" t="n"/>
      <c r="B95" s="22" t="n"/>
      <c r="C95" s="22" t="n"/>
      <c r="D95" s="49" t="n"/>
      <c r="E95" s="49" t="n"/>
      <c r="F95" s="49" t="n"/>
      <c r="G95" s="50" t="n"/>
      <c r="J95" t="n">
        <v>85</v>
      </c>
      <c r="K95">
        <f>IF(A95="","",IF(ISNUMBER(A95),IF(A95&lt;=31,"",IF(A95&lt;=3112,IF(DATE(YR,MOD(A95,100),INT(A95/100))&gt;SAT1+7*NW-1,DATE(YR-1,MOD(A95,100),INT(A95/100)),DATE(YR,MOD(A95,100),INT(A95/100))),A95)),IFERROR(DATEVALUE(A95),"")))</f>
        <v/>
      </c>
      <c r="L95">
        <f>IF(K95="","",INT((K95-SAT1)/7)+1)</f>
        <v/>
      </c>
      <c r="M95">
        <f>IF(L95="","",IF(OR(L95&lt;1,L95&gt;NW),"",INDEX(WMON,L95)))</f>
        <v/>
      </c>
    </row>
    <row r="96">
      <c r="A96" s="48" t="n"/>
      <c r="B96" s="22" t="n"/>
      <c r="C96" s="22" t="n"/>
      <c r="D96" s="49" t="n"/>
      <c r="E96" s="49" t="n"/>
      <c r="F96" s="49" t="n"/>
      <c r="G96" s="50" t="n"/>
      <c r="J96" t="n">
        <v>86</v>
      </c>
      <c r="K96">
        <f>IF(A96="","",IF(ISNUMBER(A96),IF(A96&lt;=31,"",IF(A96&lt;=3112,IF(DATE(YR,MOD(A96,100),INT(A96/100))&gt;SAT1+7*NW-1,DATE(YR-1,MOD(A96,100),INT(A96/100)),DATE(YR,MOD(A96,100),INT(A96/100))),A96)),IFERROR(DATEVALUE(A96),"")))</f>
        <v/>
      </c>
      <c r="L96">
        <f>IF(K96="","",INT((K96-SAT1)/7)+1)</f>
        <v/>
      </c>
      <c r="M96">
        <f>IF(L96="","",IF(OR(L96&lt;1,L96&gt;NW),"",INDEX(WMON,L96)))</f>
        <v/>
      </c>
    </row>
    <row r="97">
      <c r="A97" s="48" t="n"/>
      <c r="B97" s="22" t="n"/>
      <c r="C97" s="22" t="n"/>
      <c r="D97" s="49" t="n"/>
      <c r="E97" s="49" t="n"/>
      <c r="F97" s="49" t="n"/>
      <c r="G97" s="50" t="n"/>
      <c r="J97" t="n">
        <v>87</v>
      </c>
      <c r="K97">
        <f>IF(A97="","",IF(ISNUMBER(A97),IF(A97&lt;=31,"",IF(A97&lt;=3112,IF(DATE(YR,MOD(A97,100),INT(A97/100))&gt;SAT1+7*NW-1,DATE(YR-1,MOD(A97,100),INT(A97/100)),DATE(YR,MOD(A97,100),INT(A97/100))),A97)),IFERROR(DATEVALUE(A97),"")))</f>
        <v/>
      </c>
      <c r="L97">
        <f>IF(K97="","",INT((K97-SAT1)/7)+1)</f>
        <v/>
      </c>
      <c r="M97">
        <f>IF(L97="","",IF(OR(L97&lt;1,L97&gt;NW),"",INDEX(WMON,L97)))</f>
        <v/>
      </c>
    </row>
    <row r="98">
      <c r="A98" s="48" t="n"/>
      <c r="B98" s="22" t="n"/>
      <c r="C98" s="22" t="n"/>
      <c r="D98" s="49" t="n"/>
      <c r="E98" s="49" t="n"/>
      <c r="F98" s="49" t="n"/>
      <c r="G98" s="50" t="n"/>
      <c r="J98" t="n">
        <v>88</v>
      </c>
      <c r="K98">
        <f>IF(A98="","",IF(ISNUMBER(A98),IF(A98&lt;=31,"",IF(A98&lt;=3112,IF(DATE(YR,MOD(A98,100),INT(A98/100))&gt;SAT1+7*NW-1,DATE(YR-1,MOD(A98,100),INT(A98/100)),DATE(YR,MOD(A98,100),INT(A98/100))),A98)),IFERROR(DATEVALUE(A98),"")))</f>
        <v/>
      </c>
      <c r="L98">
        <f>IF(K98="","",INT((K98-SAT1)/7)+1)</f>
        <v/>
      </c>
      <c r="M98">
        <f>IF(L98="","",IF(OR(L98&lt;1,L98&gt;NW),"",INDEX(WMON,L98)))</f>
        <v/>
      </c>
    </row>
    <row r="99">
      <c r="A99" s="48" t="n"/>
      <c r="B99" s="22" t="n"/>
      <c r="C99" s="22" t="n"/>
      <c r="D99" s="49" t="n"/>
      <c r="E99" s="49" t="n"/>
      <c r="F99" s="49" t="n"/>
      <c r="G99" s="50" t="n"/>
      <c r="J99" t="n">
        <v>89</v>
      </c>
      <c r="K99">
        <f>IF(A99="","",IF(ISNUMBER(A99),IF(A99&lt;=31,"",IF(A99&lt;=3112,IF(DATE(YR,MOD(A99,100),INT(A99/100))&gt;SAT1+7*NW-1,DATE(YR-1,MOD(A99,100),INT(A99/100)),DATE(YR,MOD(A99,100),INT(A99/100))),A99)),IFERROR(DATEVALUE(A99),"")))</f>
        <v/>
      </c>
      <c r="L99">
        <f>IF(K99="","",INT((K99-SAT1)/7)+1)</f>
        <v/>
      </c>
      <c r="M99">
        <f>IF(L99="","",IF(OR(L99&lt;1,L99&gt;NW),"",INDEX(WMON,L99)))</f>
        <v/>
      </c>
    </row>
    <row r="100">
      <c r="A100" s="48" t="n"/>
      <c r="B100" s="22" t="n"/>
      <c r="C100" s="22" t="n"/>
      <c r="D100" s="49" t="n"/>
      <c r="E100" s="49" t="n"/>
      <c r="F100" s="49" t="n"/>
      <c r="G100" s="50" t="n"/>
      <c r="J100" t="n">
        <v>90</v>
      </c>
      <c r="K100">
        <f>IF(A100="","",IF(ISNUMBER(A100),IF(A100&lt;=31,"",IF(A100&lt;=3112,IF(DATE(YR,MOD(A100,100),INT(A100/100))&gt;SAT1+7*NW-1,DATE(YR-1,MOD(A100,100),INT(A100/100)),DATE(YR,MOD(A100,100),INT(A100/100))),A100)),IFERROR(DATEVALUE(A100),"")))</f>
        <v/>
      </c>
      <c r="L100">
        <f>IF(K100="","",INT((K100-SAT1)/7)+1)</f>
        <v/>
      </c>
      <c r="M100">
        <f>IF(L100="","",IF(OR(L100&lt;1,L100&gt;NW),"",INDEX(WMON,L100)))</f>
        <v/>
      </c>
    </row>
    <row r="101">
      <c r="A101" s="48" t="n"/>
      <c r="B101" s="22" t="n"/>
      <c r="C101" s="22" t="n"/>
      <c r="D101" s="49" t="n"/>
      <c r="E101" s="49" t="n"/>
      <c r="F101" s="49" t="n"/>
      <c r="G101" s="50" t="n"/>
      <c r="J101" t="n">
        <v>91</v>
      </c>
      <c r="K101">
        <f>IF(A101="","",IF(ISNUMBER(A101),IF(A101&lt;=31,"",IF(A101&lt;=3112,IF(DATE(YR,MOD(A101,100),INT(A101/100))&gt;SAT1+7*NW-1,DATE(YR-1,MOD(A101,100),INT(A101/100)),DATE(YR,MOD(A101,100),INT(A101/100))),A101)),IFERROR(DATEVALUE(A101),"")))</f>
        <v/>
      </c>
      <c r="L101">
        <f>IF(K101="","",INT((K101-SAT1)/7)+1)</f>
        <v/>
      </c>
      <c r="M101">
        <f>IF(L101="","",IF(OR(L101&lt;1,L101&gt;NW),"",INDEX(WMON,L101)))</f>
        <v/>
      </c>
    </row>
    <row r="102">
      <c r="A102" s="48" t="n"/>
      <c r="B102" s="22" t="n"/>
      <c r="C102" s="22" t="n"/>
      <c r="D102" s="49" t="n"/>
      <c r="E102" s="49" t="n"/>
      <c r="F102" s="49" t="n"/>
      <c r="G102" s="50" t="n"/>
      <c r="J102" t="n">
        <v>92</v>
      </c>
      <c r="K102">
        <f>IF(A102="","",IF(ISNUMBER(A102),IF(A102&lt;=31,"",IF(A102&lt;=3112,IF(DATE(YR,MOD(A102,100),INT(A102/100))&gt;SAT1+7*NW-1,DATE(YR-1,MOD(A102,100),INT(A102/100)),DATE(YR,MOD(A102,100),INT(A102/100))),A102)),IFERROR(DATEVALUE(A102),"")))</f>
        <v/>
      </c>
      <c r="L102">
        <f>IF(K102="","",INT((K102-SAT1)/7)+1)</f>
        <v/>
      </c>
      <c r="M102">
        <f>IF(L102="","",IF(OR(L102&lt;1,L102&gt;NW),"",INDEX(WMON,L102)))</f>
        <v/>
      </c>
    </row>
    <row r="103">
      <c r="A103" s="48" t="n"/>
      <c r="B103" s="22" t="n"/>
      <c r="C103" s="22" t="n"/>
      <c r="D103" s="49" t="n"/>
      <c r="E103" s="49" t="n"/>
      <c r="F103" s="49" t="n"/>
      <c r="G103" s="50" t="n"/>
      <c r="J103" t="n">
        <v>93</v>
      </c>
      <c r="K103">
        <f>IF(A103="","",IF(ISNUMBER(A103),IF(A103&lt;=31,"",IF(A103&lt;=3112,IF(DATE(YR,MOD(A103,100),INT(A103/100))&gt;SAT1+7*NW-1,DATE(YR-1,MOD(A103,100),INT(A103/100)),DATE(YR,MOD(A103,100),INT(A103/100))),A103)),IFERROR(DATEVALUE(A103),"")))</f>
        <v/>
      </c>
      <c r="L103">
        <f>IF(K103="","",INT((K103-SAT1)/7)+1)</f>
        <v/>
      </c>
      <c r="M103">
        <f>IF(L103="","",IF(OR(L103&lt;1,L103&gt;NW),"",INDEX(WMON,L103)))</f>
        <v/>
      </c>
    </row>
    <row r="104">
      <c r="A104" s="48" t="n"/>
      <c r="B104" s="22" t="n"/>
      <c r="C104" s="22" t="n"/>
      <c r="D104" s="49" t="n"/>
      <c r="E104" s="49" t="n"/>
      <c r="F104" s="49" t="n"/>
      <c r="G104" s="50" t="n"/>
      <c r="J104" t="n">
        <v>94</v>
      </c>
      <c r="K104">
        <f>IF(A104="","",IF(ISNUMBER(A104),IF(A104&lt;=31,"",IF(A104&lt;=3112,IF(DATE(YR,MOD(A104,100),INT(A104/100))&gt;SAT1+7*NW-1,DATE(YR-1,MOD(A104,100),INT(A104/100)),DATE(YR,MOD(A104,100),INT(A104/100))),A104)),IFERROR(DATEVALUE(A104),"")))</f>
        <v/>
      </c>
      <c r="L104">
        <f>IF(K104="","",INT((K104-SAT1)/7)+1)</f>
        <v/>
      </c>
      <c r="M104">
        <f>IF(L104="","",IF(OR(L104&lt;1,L104&gt;NW),"",INDEX(WMON,L104)))</f>
        <v/>
      </c>
    </row>
    <row r="105">
      <c r="A105" s="48" t="n"/>
      <c r="B105" s="22" t="n"/>
      <c r="C105" s="22" t="n"/>
      <c r="D105" s="49" t="n"/>
      <c r="E105" s="49" t="n"/>
      <c r="F105" s="49" t="n"/>
      <c r="G105" s="50" t="n"/>
      <c r="J105" t="n">
        <v>95</v>
      </c>
      <c r="K105">
        <f>IF(A105="","",IF(ISNUMBER(A105),IF(A105&lt;=31,"",IF(A105&lt;=3112,IF(DATE(YR,MOD(A105,100),INT(A105/100))&gt;SAT1+7*NW-1,DATE(YR-1,MOD(A105,100),INT(A105/100)),DATE(YR,MOD(A105,100),INT(A105/100))),A105)),IFERROR(DATEVALUE(A105),"")))</f>
        <v/>
      </c>
      <c r="L105">
        <f>IF(K105="","",INT((K105-SAT1)/7)+1)</f>
        <v/>
      </c>
      <c r="M105">
        <f>IF(L105="","",IF(OR(L105&lt;1,L105&gt;NW),"",INDEX(WMON,L105)))</f>
        <v/>
      </c>
    </row>
    <row r="106">
      <c r="A106" s="48" t="n"/>
      <c r="B106" s="22" t="n"/>
      <c r="C106" s="22" t="n"/>
      <c r="D106" s="49" t="n"/>
      <c r="E106" s="49" t="n"/>
      <c r="F106" s="49" t="n"/>
      <c r="G106" s="50" t="n"/>
      <c r="J106" t="n">
        <v>96</v>
      </c>
      <c r="K106">
        <f>IF(A106="","",IF(ISNUMBER(A106),IF(A106&lt;=31,"",IF(A106&lt;=3112,IF(DATE(YR,MOD(A106,100),INT(A106/100))&gt;SAT1+7*NW-1,DATE(YR-1,MOD(A106,100),INT(A106/100)),DATE(YR,MOD(A106,100),INT(A106/100))),A106)),IFERROR(DATEVALUE(A106),"")))</f>
        <v/>
      </c>
      <c r="L106">
        <f>IF(K106="","",INT((K106-SAT1)/7)+1)</f>
        <v/>
      </c>
      <c r="M106">
        <f>IF(L106="","",IF(OR(L106&lt;1,L106&gt;NW),"",INDEX(WMON,L106)))</f>
        <v/>
      </c>
    </row>
    <row r="107">
      <c r="A107" s="48" t="n"/>
      <c r="B107" s="22" t="n"/>
      <c r="C107" s="22" t="n"/>
      <c r="D107" s="49" t="n"/>
      <c r="E107" s="49" t="n"/>
      <c r="F107" s="49" t="n"/>
      <c r="G107" s="50" t="n"/>
      <c r="J107" t="n">
        <v>97</v>
      </c>
      <c r="K107">
        <f>IF(A107="","",IF(ISNUMBER(A107),IF(A107&lt;=31,"",IF(A107&lt;=3112,IF(DATE(YR,MOD(A107,100),INT(A107/100))&gt;SAT1+7*NW-1,DATE(YR-1,MOD(A107,100),INT(A107/100)),DATE(YR,MOD(A107,100),INT(A107/100))),A107)),IFERROR(DATEVALUE(A107),"")))</f>
        <v/>
      </c>
      <c r="L107">
        <f>IF(K107="","",INT((K107-SAT1)/7)+1)</f>
        <v/>
      </c>
      <c r="M107">
        <f>IF(L107="","",IF(OR(L107&lt;1,L107&gt;NW),"",INDEX(WMON,L107)))</f>
        <v/>
      </c>
    </row>
    <row r="108">
      <c r="A108" s="48" t="n"/>
      <c r="B108" s="22" t="n"/>
      <c r="C108" s="22" t="n"/>
      <c r="D108" s="49" t="n"/>
      <c r="E108" s="49" t="n"/>
      <c r="F108" s="49" t="n"/>
      <c r="G108" s="50" t="n"/>
      <c r="J108" t="n">
        <v>98</v>
      </c>
      <c r="K108">
        <f>IF(A108="","",IF(ISNUMBER(A108),IF(A108&lt;=31,"",IF(A108&lt;=3112,IF(DATE(YR,MOD(A108,100),INT(A108/100))&gt;SAT1+7*NW-1,DATE(YR-1,MOD(A108,100),INT(A108/100)),DATE(YR,MOD(A108,100),INT(A108/100))),A108)),IFERROR(DATEVALUE(A108),"")))</f>
        <v/>
      </c>
      <c r="L108">
        <f>IF(K108="","",INT((K108-SAT1)/7)+1)</f>
        <v/>
      </c>
      <c r="M108">
        <f>IF(L108="","",IF(OR(L108&lt;1,L108&gt;NW),"",INDEX(WMON,L108)))</f>
        <v/>
      </c>
    </row>
    <row r="109">
      <c r="A109" s="48" t="n"/>
      <c r="B109" s="22" t="n"/>
      <c r="C109" s="22" t="n"/>
      <c r="D109" s="49" t="n"/>
      <c r="E109" s="49" t="n"/>
      <c r="F109" s="49" t="n"/>
      <c r="G109" s="50" t="n"/>
      <c r="J109" t="n">
        <v>99</v>
      </c>
      <c r="K109">
        <f>IF(A109="","",IF(ISNUMBER(A109),IF(A109&lt;=31,"",IF(A109&lt;=3112,IF(DATE(YR,MOD(A109,100),INT(A109/100))&gt;SAT1+7*NW-1,DATE(YR-1,MOD(A109,100),INT(A109/100)),DATE(YR,MOD(A109,100),INT(A109/100))),A109)),IFERROR(DATEVALUE(A109),"")))</f>
        <v/>
      </c>
      <c r="L109">
        <f>IF(K109="","",INT((K109-SAT1)/7)+1)</f>
        <v/>
      </c>
      <c r="M109">
        <f>IF(L109="","",IF(OR(L109&lt;1,L109&gt;NW),"",INDEX(WMON,L109)))</f>
        <v/>
      </c>
    </row>
    <row r="110">
      <c r="A110" s="48" t="n"/>
      <c r="B110" s="22" t="n"/>
      <c r="C110" s="22" t="n"/>
      <c r="D110" s="49" t="n"/>
      <c r="E110" s="49" t="n"/>
      <c r="F110" s="49" t="n"/>
      <c r="G110" s="50" t="n"/>
      <c r="J110" t="n">
        <v>100</v>
      </c>
      <c r="K110">
        <f>IF(A110="","",IF(ISNUMBER(A110),IF(A110&lt;=31,"",IF(A110&lt;=3112,IF(DATE(YR,MOD(A110,100),INT(A110/100))&gt;SAT1+7*NW-1,DATE(YR-1,MOD(A110,100),INT(A110/100)),DATE(YR,MOD(A110,100),INT(A110/100))),A110)),IFERROR(DATEVALUE(A110),"")))</f>
        <v/>
      </c>
      <c r="L110">
        <f>IF(K110="","",INT((K110-SAT1)/7)+1)</f>
        <v/>
      </c>
      <c r="M110">
        <f>IF(L110="","",IF(OR(L110&lt;1,L110&gt;NW),"",INDEX(WMON,L110)))</f>
        <v/>
      </c>
    </row>
    <row r="111">
      <c r="A111" s="48" t="n"/>
      <c r="B111" s="22" t="n"/>
      <c r="C111" s="22" t="n"/>
      <c r="D111" s="49" t="n"/>
      <c r="E111" s="49" t="n"/>
      <c r="F111" s="49" t="n"/>
      <c r="G111" s="50" t="n"/>
      <c r="J111" t="n">
        <v>101</v>
      </c>
      <c r="K111">
        <f>IF(A111="","",IF(ISNUMBER(A111),IF(A111&lt;=31,"",IF(A111&lt;=3112,IF(DATE(YR,MOD(A111,100),INT(A111/100))&gt;SAT1+7*NW-1,DATE(YR-1,MOD(A111,100),INT(A111/100)),DATE(YR,MOD(A111,100),INT(A111/100))),A111)),IFERROR(DATEVALUE(A111),"")))</f>
        <v/>
      </c>
      <c r="L111">
        <f>IF(K111="","",INT((K111-SAT1)/7)+1)</f>
        <v/>
      </c>
      <c r="M111">
        <f>IF(L111="","",IF(OR(L111&lt;1,L111&gt;NW),"",INDEX(WMON,L111)))</f>
        <v/>
      </c>
    </row>
    <row r="112">
      <c r="A112" s="48" t="n"/>
      <c r="B112" s="22" t="n"/>
      <c r="C112" s="22" t="n"/>
      <c r="D112" s="49" t="n"/>
      <c r="E112" s="49" t="n"/>
      <c r="F112" s="49" t="n"/>
      <c r="G112" s="50" t="n"/>
      <c r="J112" t="n">
        <v>102</v>
      </c>
      <c r="K112">
        <f>IF(A112="","",IF(ISNUMBER(A112),IF(A112&lt;=31,"",IF(A112&lt;=3112,IF(DATE(YR,MOD(A112,100),INT(A112/100))&gt;SAT1+7*NW-1,DATE(YR-1,MOD(A112,100),INT(A112/100)),DATE(YR,MOD(A112,100),INT(A112/100))),A112)),IFERROR(DATEVALUE(A112),"")))</f>
        <v/>
      </c>
      <c r="L112">
        <f>IF(K112="","",INT((K112-SAT1)/7)+1)</f>
        <v/>
      </c>
      <c r="M112">
        <f>IF(L112="","",IF(OR(L112&lt;1,L112&gt;NW),"",INDEX(WMON,L112)))</f>
        <v/>
      </c>
    </row>
    <row r="113">
      <c r="A113" s="48" t="n"/>
      <c r="B113" s="22" t="n"/>
      <c r="C113" s="22" t="n"/>
      <c r="D113" s="49" t="n"/>
      <c r="E113" s="49" t="n"/>
      <c r="F113" s="49" t="n"/>
      <c r="G113" s="50" t="n"/>
      <c r="J113" t="n">
        <v>103</v>
      </c>
      <c r="K113">
        <f>IF(A113="","",IF(ISNUMBER(A113),IF(A113&lt;=31,"",IF(A113&lt;=3112,IF(DATE(YR,MOD(A113,100),INT(A113/100))&gt;SAT1+7*NW-1,DATE(YR-1,MOD(A113,100),INT(A113/100)),DATE(YR,MOD(A113,100),INT(A113/100))),A113)),IFERROR(DATEVALUE(A113),"")))</f>
        <v/>
      </c>
      <c r="L113">
        <f>IF(K113="","",INT((K113-SAT1)/7)+1)</f>
        <v/>
      </c>
      <c r="M113">
        <f>IF(L113="","",IF(OR(L113&lt;1,L113&gt;NW),"",INDEX(WMON,L113)))</f>
        <v/>
      </c>
    </row>
    <row r="114">
      <c r="A114" s="48" t="n"/>
      <c r="B114" s="22" t="n"/>
      <c r="C114" s="22" t="n"/>
      <c r="D114" s="49" t="n"/>
      <c r="E114" s="49" t="n"/>
      <c r="F114" s="49" t="n"/>
      <c r="G114" s="50" t="n"/>
      <c r="J114" t="n">
        <v>104</v>
      </c>
      <c r="K114">
        <f>IF(A114="","",IF(ISNUMBER(A114),IF(A114&lt;=31,"",IF(A114&lt;=3112,IF(DATE(YR,MOD(A114,100),INT(A114/100))&gt;SAT1+7*NW-1,DATE(YR-1,MOD(A114,100),INT(A114/100)),DATE(YR,MOD(A114,100),INT(A114/100))),A114)),IFERROR(DATEVALUE(A114),"")))</f>
        <v/>
      </c>
      <c r="L114">
        <f>IF(K114="","",INT((K114-SAT1)/7)+1)</f>
        <v/>
      </c>
      <c r="M114">
        <f>IF(L114="","",IF(OR(L114&lt;1,L114&gt;NW),"",INDEX(WMON,L114)))</f>
        <v/>
      </c>
    </row>
    <row r="115">
      <c r="A115" s="48" t="n"/>
      <c r="B115" s="22" t="n"/>
      <c r="C115" s="22" t="n"/>
      <c r="D115" s="49" t="n"/>
      <c r="E115" s="49" t="n"/>
      <c r="F115" s="49" t="n"/>
      <c r="G115" s="50" t="n"/>
      <c r="J115" t="n">
        <v>105</v>
      </c>
      <c r="K115">
        <f>IF(A115="","",IF(ISNUMBER(A115),IF(A115&lt;=31,"",IF(A115&lt;=3112,IF(DATE(YR,MOD(A115,100),INT(A115/100))&gt;SAT1+7*NW-1,DATE(YR-1,MOD(A115,100),INT(A115/100)),DATE(YR,MOD(A115,100),INT(A115/100))),A115)),IFERROR(DATEVALUE(A115),"")))</f>
        <v/>
      </c>
      <c r="L115">
        <f>IF(K115="","",INT((K115-SAT1)/7)+1)</f>
        <v/>
      </c>
      <c r="M115">
        <f>IF(L115="","",IF(OR(L115&lt;1,L115&gt;NW),"",INDEX(WMON,L115)))</f>
        <v/>
      </c>
    </row>
    <row r="116">
      <c r="A116" s="48" t="n"/>
      <c r="B116" s="22" t="n"/>
      <c r="C116" s="22" t="n"/>
      <c r="D116" s="49" t="n"/>
      <c r="E116" s="49" t="n"/>
      <c r="F116" s="49" t="n"/>
      <c r="G116" s="50" t="n"/>
      <c r="J116" t="n">
        <v>106</v>
      </c>
      <c r="K116">
        <f>IF(A116="","",IF(ISNUMBER(A116),IF(A116&lt;=31,"",IF(A116&lt;=3112,IF(DATE(YR,MOD(A116,100),INT(A116/100))&gt;SAT1+7*NW-1,DATE(YR-1,MOD(A116,100),INT(A116/100)),DATE(YR,MOD(A116,100),INT(A116/100))),A116)),IFERROR(DATEVALUE(A116),"")))</f>
        <v/>
      </c>
      <c r="L116">
        <f>IF(K116="","",INT((K116-SAT1)/7)+1)</f>
        <v/>
      </c>
      <c r="M116">
        <f>IF(L116="","",IF(OR(L116&lt;1,L116&gt;NW),"",INDEX(WMON,L116)))</f>
        <v/>
      </c>
    </row>
    <row r="117">
      <c r="A117" s="48" t="n"/>
      <c r="B117" s="22" t="n"/>
      <c r="C117" s="22" t="n"/>
      <c r="D117" s="49" t="n"/>
      <c r="E117" s="49" t="n"/>
      <c r="F117" s="49" t="n"/>
      <c r="G117" s="50" t="n"/>
      <c r="J117" t="n">
        <v>107</v>
      </c>
      <c r="K117">
        <f>IF(A117="","",IF(ISNUMBER(A117),IF(A117&lt;=31,"",IF(A117&lt;=3112,IF(DATE(YR,MOD(A117,100),INT(A117/100))&gt;SAT1+7*NW-1,DATE(YR-1,MOD(A117,100),INT(A117/100)),DATE(YR,MOD(A117,100),INT(A117/100))),A117)),IFERROR(DATEVALUE(A117),"")))</f>
        <v/>
      </c>
      <c r="L117">
        <f>IF(K117="","",INT((K117-SAT1)/7)+1)</f>
        <v/>
      </c>
      <c r="M117">
        <f>IF(L117="","",IF(OR(L117&lt;1,L117&gt;NW),"",INDEX(WMON,L117)))</f>
        <v/>
      </c>
    </row>
    <row r="118">
      <c r="A118" s="48" t="n"/>
      <c r="B118" s="22" t="n"/>
      <c r="C118" s="22" t="n"/>
      <c r="D118" s="49" t="n"/>
      <c r="E118" s="49" t="n"/>
      <c r="F118" s="49" t="n"/>
      <c r="G118" s="50" t="n"/>
      <c r="J118" t="n">
        <v>108</v>
      </c>
      <c r="K118">
        <f>IF(A118="","",IF(ISNUMBER(A118),IF(A118&lt;=31,"",IF(A118&lt;=3112,IF(DATE(YR,MOD(A118,100),INT(A118/100))&gt;SAT1+7*NW-1,DATE(YR-1,MOD(A118,100),INT(A118/100)),DATE(YR,MOD(A118,100),INT(A118/100))),A118)),IFERROR(DATEVALUE(A118),"")))</f>
        <v/>
      </c>
      <c r="L118">
        <f>IF(K118="","",INT((K118-SAT1)/7)+1)</f>
        <v/>
      </c>
      <c r="M118">
        <f>IF(L118="","",IF(OR(L118&lt;1,L118&gt;NW),"",INDEX(WMON,L118)))</f>
        <v/>
      </c>
    </row>
    <row r="119">
      <c r="A119" s="48" t="n"/>
      <c r="B119" s="22" t="n"/>
      <c r="C119" s="22" t="n"/>
      <c r="D119" s="49" t="n"/>
      <c r="E119" s="49" t="n"/>
      <c r="F119" s="49" t="n"/>
      <c r="G119" s="50" t="n"/>
      <c r="J119" t="n">
        <v>109</v>
      </c>
      <c r="K119">
        <f>IF(A119="","",IF(ISNUMBER(A119),IF(A119&lt;=31,"",IF(A119&lt;=3112,IF(DATE(YR,MOD(A119,100),INT(A119/100))&gt;SAT1+7*NW-1,DATE(YR-1,MOD(A119,100),INT(A119/100)),DATE(YR,MOD(A119,100),INT(A119/100))),A119)),IFERROR(DATEVALUE(A119),"")))</f>
        <v/>
      </c>
      <c r="L119">
        <f>IF(K119="","",INT((K119-SAT1)/7)+1)</f>
        <v/>
      </c>
      <c r="M119">
        <f>IF(L119="","",IF(OR(L119&lt;1,L119&gt;NW),"",INDEX(WMON,L119)))</f>
        <v/>
      </c>
    </row>
    <row r="120">
      <c r="A120" s="48" t="n"/>
      <c r="B120" s="22" t="n"/>
      <c r="C120" s="22" t="n"/>
      <c r="D120" s="49" t="n"/>
      <c r="E120" s="49" t="n"/>
      <c r="F120" s="49" t="n"/>
      <c r="G120" s="50" t="n"/>
      <c r="J120" t="n">
        <v>110</v>
      </c>
      <c r="K120">
        <f>IF(A120="","",IF(ISNUMBER(A120),IF(A120&lt;=31,"",IF(A120&lt;=3112,IF(DATE(YR,MOD(A120,100),INT(A120/100))&gt;SAT1+7*NW-1,DATE(YR-1,MOD(A120,100),INT(A120/100)),DATE(YR,MOD(A120,100),INT(A120/100))),A120)),IFERROR(DATEVALUE(A120),"")))</f>
        <v/>
      </c>
      <c r="L120">
        <f>IF(K120="","",INT((K120-SAT1)/7)+1)</f>
        <v/>
      </c>
      <c r="M120">
        <f>IF(L120="","",IF(OR(L120&lt;1,L120&gt;NW),"",INDEX(WMON,L120)))</f>
        <v/>
      </c>
    </row>
    <row r="121">
      <c r="A121" s="48" t="n"/>
      <c r="B121" s="22" t="n"/>
      <c r="C121" s="22" t="n"/>
      <c r="D121" s="49" t="n"/>
      <c r="E121" s="49" t="n"/>
      <c r="F121" s="49" t="n"/>
      <c r="G121" s="50" t="n"/>
      <c r="J121" t="n">
        <v>111</v>
      </c>
      <c r="K121">
        <f>IF(A121="","",IF(ISNUMBER(A121),IF(A121&lt;=31,"",IF(A121&lt;=3112,IF(DATE(YR,MOD(A121,100),INT(A121/100))&gt;SAT1+7*NW-1,DATE(YR-1,MOD(A121,100),INT(A121/100)),DATE(YR,MOD(A121,100),INT(A121/100))),A121)),IFERROR(DATEVALUE(A121),"")))</f>
        <v/>
      </c>
      <c r="L121">
        <f>IF(K121="","",INT((K121-SAT1)/7)+1)</f>
        <v/>
      </c>
      <c r="M121">
        <f>IF(L121="","",IF(OR(L121&lt;1,L121&gt;NW),"",INDEX(WMON,L121)))</f>
        <v/>
      </c>
    </row>
    <row r="122">
      <c r="A122" s="48" t="n"/>
      <c r="B122" s="22" t="n"/>
      <c r="C122" s="22" t="n"/>
      <c r="D122" s="49" t="n"/>
      <c r="E122" s="49" t="n"/>
      <c r="F122" s="49" t="n"/>
      <c r="G122" s="50" t="n"/>
      <c r="J122" t="n">
        <v>112</v>
      </c>
      <c r="K122">
        <f>IF(A122="","",IF(ISNUMBER(A122),IF(A122&lt;=31,"",IF(A122&lt;=3112,IF(DATE(YR,MOD(A122,100),INT(A122/100))&gt;SAT1+7*NW-1,DATE(YR-1,MOD(A122,100),INT(A122/100)),DATE(YR,MOD(A122,100),INT(A122/100))),A122)),IFERROR(DATEVALUE(A122),"")))</f>
        <v/>
      </c>
      <c r="L122">
        <f>IF(K122="","",INT((K122-SAT1)/7)+1)</f>
        <v/>
      </c>
      <c r="M122">
        <f>IF(L122="","",IF(OR(L122&lt;1,L122&gt;NW),"",INDEX(WMON,L122)))</f>
        <v/>
      </c>
    </row>
    <row r="123">
      <c r="A123" s="48" t="n"/>
      <c r="B123" s="22" t="n"/>
      <c r="C123" s="22" t="n"/>
      <c r="D123" s="49" t="n"/>
      <c r="E123" s="49" t="n"/>
      <c r="F123" s="49" t="n"/>
      <c r="G123" s="50" t="n"/>
      <c r="J123" t="n">
        <v>113</v>
      </c>
      <c r="K123">
        <f>IF(A123="","",IF(ISNUMBER(A123),IF(A123&lt;=31,"",IF(A123&lt;=3112,IF(DATE(YR,MOD(A123,100),INT(A123/100))&gt;SAT1+7*NW-1,DATE(YR-1,MOD(A123,100),INT(A123/100)),DATE(YR,MOD(A123,100),INT(A123/100))),A123)),IFERROR(DATEVALUE(A123),"")))</f>
        <v/>
      </c>
      <c r="L123">
        <f>IF(K123="","",INT((K123-SAT1)/7)+1)</f>
        <v/>
      </c>
      <c r="M123">
        <f>IF(L123="","",IF(OR(L123&lt;1,L123&gt;NW),"",INDEX(WMON,L123)))</f>
        <v/>
      </c>
    </row>
    <row r="124">
      <c r="A124" s="48" t="n"/>
      <c r="B124" s="22" t="n"/>
      <c r="C124" s="22" t="n"/>
      <c r="D124" s="49" t="n"/>
      <c r="E124" s="49" t="n"/>
      <c r="F124" s="49" t="n"/>
      <c r="G124" s="50" t="n"/>
      <c r="J124" t="n">
        <v>114</v>
      </c>
      <c r="K124">
        <f>IF(A124="","",IF(ISNUMBER(A124),IF(A124&lt;=31,"",IF(A124&lt;=3112,IF(DATE(YR,MOD(A124,100),INT(A124/100))&gt;SAT1+7*NW-1,DATE(YR-1,MOD(A124,100),INT(A124/100)),DATE(YR,MOD(A124,100),INT(A124/100))),A124)),IFERROR(DATEVALUE(A124),"")))</f>
        <v/>
      </c>
      <c r="L124">
        <f>IF(K124="","",INT((K124-SAT1)/7)+1)</f>
        <v/>
      </c>
      <c r="M124">
        <f>IF(L124="","",IF(OR(L124&lt;1,L124&gt;NW),"",INDEX(WMON,L124)))</f>
        <v/>
      </c>
    </row>
    <row r="125">
      <c r="A125" s="48" t="n"/>
      <c r="B125" s="22" t="n"/>
      <c r="C125" s="22" t="n"/>
      <c r="D125" s="49" t="n"/>
      <c r="E125" s="49" t="n"/>
      <c r="F125" s="49" t="n"/>
      <c r="G125" s="50" t="n"/>
      <c r="J125" t="n">
        <v>115</v>
      </c>
      <c r="K125">
        <f>IF(A125="","",IF(ISNUMBER(A125),IF(A125&lt;=31,"",IF(A125&lt;=3112,IF(DATE(YR,MOD(A125,100),INT(A125/100))&gt;SAT1+7*NW-1,DATE(YR-1,MOD(A125,100),INT(A125/100)),DATE(YR,MOD(A125,100),INT(A125/100))),A125)),IFERROR(DATEVALUE(A125),"")))</f>
        <v/>
      </c>
      <c r="L125">
        <f>IF(K125="","",INT((K125-SAT1)/7)+1)</f>
        <v/>
      </c>
      <c r="M125">
        <f>IF(L125="","",IF(OR(L125&lt;1,L125&gt;NW),"",INDEX(WMON,L125)))</f>
        <v/>
      </c>
    </row>
    <row r="126">
      <c r="A126" s="48" t="n"/>
      <c r="B126" s="22" t="n"/>
      <c r="C126" s="22" t="n"/>
      <c r="D126" s="49" t="n"/>
      <c r="E126" s="49" t="n"/>
      <c r="F126" s="49" t="n"/>
      <c r="G126" s="50" t="n"/>
      <c r="J126" t="n">
        <v>116</v>
      </c>
      <c r="K126">
        <f>IF(A126="","",IF(ISNUMBER(A126),IF(A126&lt;=31,"",IF(A126&lt;=3112,IF(DATE(YR,MOD(A126,100),INT(A126/100))&gt;SAT1+7*NW-1,DATE(YR-1,MOD(A126,100),INT(A126/100)),DATE(YR,MOD(A126,100),INT(A126/100))),A126)),IFERROR(DATEVALUE(A126),"")))</f>
        <v/>
      </c>
      <c r="L126">
        <f>IF(K126="","",INT((K126-SAT1)/7)+1)</f>
        <v/>
      </c>
      <c r="M126">
        <f>IF(L126="","",IF(OR(L126&lt;1,L126&gt;NW),"",INDEX(WMON,L126)))</f>
        <v/>
      </c>
    </row>
    <row r="127">
      <c r="A127" s="48" t="n"/>
      <c r="B127" s="22" t="n"/>
      <c r="C127" s="22" t="n"/>
      <c r="D127" s="49" t="n"/>
      <c r="E127" s="49" t="n"/>
      <c r="F127" s="49" t="n"/>
      <c r="G127" s="50" t="n"/>
      <c r="J127" t="n">
        <v>117</v>
      </c>
      <c r="K127">
        <f>IF(A127="","",IF(ISNUMBER(A127),IF(A127&lt;=31,"",IF(A127&lt;=3112,IF(DATE(YR,MOD(A127,100),INT(A127/100))&gt;SAT1+7*NW-1,DATE(YR-1,MOD(A127,100),INT(A127/100)),DATE(YR,MOD(A127,100),INT(A127/100))),A127)),IFERROR(DATEVALUE(A127),"")))</f>
        <v/>
      </c>
      <c r="L127">
        <f>IF(K127="","",INT((K127-SAT1)/7)+1)</f>
        <v/>
      </c>
      <c r="M127">
        <f>IF(L127="","",IF(OR(L127&lt;1,L127&gt;NW),"",INDEX(WMON,L127)))</f>
        <v/>
      </c>
    </row>
    <row r="128">
      <c r="A128" s="48" t="n"/>
      <c r="B128" s="22" t="n"/>
      <c r="C128" s="22" t="n"/>
      <c r="D128" s="49" t="n"/>
      <c r="E128" s="49" t="n"/>
      <c r="F128" s="49" t="n"/>
      <c r="G128" s="50" t="n"/>
      <c r="J128" t="n">
        <v>118</v>
      </c>
      <c r="K128">
        <f>IF(A128="","",IF(ISNUMBER(A128),IF(A128&lt;=31,"",IF(A128&lt;=3112,IF(DATE(YR,MOD(A128,100),INT(A128/100))&gt;SAT1+7*NW-1,DATE(YR-1,MOD(A128,100),INT(A128/100)),DATE(YR,MOD(A128,100),INT(A128/100))),A128)),IFERROR(DATEVALUE(A128),"")))</f>
        <v/>
      </c>
      <c r="L128">
        <f>IF(K128="","",INT((K128-SAT1)/7)+1)</f>
        <v/>
      </c>
      <c r="M128">
        <f>IF(L128="","",IF(OR(L128&lt;1,L128&gt;NW),"",INDEX(WMON,L128)))</f>
        <v/>
      </c>
    </row>
    <row r="129">
      <c r="A129" s="48" t="n"/>
      <c r="B129" s="22" t="n"/>
      <c r="C129" s="22" t="n"/>
      <c r="D129" s="49" t="n"/>
      <c r="E129" s="49" t="n"/>
      <c r="F129" s="49" t="n"/>
      <c r="G129" s="50" t="n"/>
      <c r="J129" t="n">
        <v>119</v>
      </c>
      <c r="K129">
        <f>IF(A129="","",IF(ISNUMBER(A129),IF(A129&lt;=31,"",IF(A129&lt;=3112,IF(DATE(YR,MOD(A129,100),INT(A129/100))&gt;SAT1+7*NW-1,DATE(YR-1,MOD(A129,100),INT(A129/100)),DATE(YR,MOD(A129,100),INT(A129/100))),A129)),IFERROR(DATEVALUE(A129),"")))</f>
        <v/>
      </c>
      <c r="L129">
        <f>IF(K129="","",INT((K129-SAT1)/7)+1)</f>
        <v/>
      </c>
      <c r="M129">
        <f>IF(L129="","",IF(OR(L129&lt;1,L129&gt;NW),"",INDEX(WMON,L129)))</f>
        <v/>
      </c>
    </row>
    <row r="130">
      <c r="A130" s="48" t="n"/>
      <c r="B130" s="22" t="n"/>
      <c r="C130" s="22" t="n"/>
      <c r="D130" s="49" t="n"/>
      <c r="E130" s="49" t="n"/>
      <c r="F130" s="49" t="n"/>
      <c r="G130" s="50" t="n"/>
      <c r="J130" t="n">
        <v>120</v>
      </c>
      <c r="K130">
        <f>IF(A130="","",IF(ISNUMBER(A130),IF(A130&lt;=31,"",IF(A130&lt;=3112,IF(DATE(YR,MOD(A130,100),INT(A130/100))&gt;SAT1+7*NW-1,DATE(YR-1,MOD(A130,100),INT(A130/100)),DATE(YR,MOD(A130,100),INT(A130/100))),A130)),IFERROR(DATEVALUE(A130),"")))</f>
        <v/>
      </c>
      <c r="L130">
        <f>IF(K130="","",INT((K130-SAT1)/7)+1)</f>
        <v/>
      </c>
      <c r="M130">
        <f>IF(L130="","",IF(OR(L130&lt;1,L130&gt;NW),"",INDEX(WMON,L130)))</f>
        <v/>
      </c>
    </row>
    <row r="131">
      <c r="A131" s="48" t="n"/>
      <c r="B131" s="22" t="n"/>
      <c r="C131" s="22" t="n"/>
      <c r="D131" s="49" t="n"/>
      <c r="E131" s="49" t="n"/>
      <c r="F131" s="49" t="n"/>
      <c r="G131" s="50" t="n"/>
      <c r="J131" t="n">
        <v>121</v>
      </c>
      <c r="K131">
        <f>IF(A131="","",IF(ISNUMBER(A131),IF(A131&lt;=31,"",IF(A131&lt;=3112,IF(DATE(YR,MOD(A131,100),INT(A131/100))&gt;SAT1+7*NW-1,DATE(YR-1,MOD(A131,100),INT(A131/100)),DATE(YR,MOD(A131,100),INT(A131/100))),A131)),IFERROR(DATEVALUE(A131),"")))</f>
        <v/>
      </c>
      <c r="L131">
        <f>IF(K131="","",INT((K131-SAT1)/7)+1)</f>
        <v/>
      </c>
      <c r="M131">
        <f>IF(L131="","",IF(OR(L131&lt;1,L131&gt;NW),"",INDEX(WMON,L131)))</f>
        <v/>
      </c>
    </row>
    <row r="132">
      <c r="A132" s="48" t="n"/>
      <c r="B132" s="22" t="n"/>
      <c r="C132" s="22" t="n"/>
      <c r="D132" s="49" t="n"/>
      <c r="E132" s="49" t="n"/>
      <c r="F132" s="49" t="n"/>
      <c r="G132" s="50" t="n"/>
      <c r="J132" t="n">
        <v>122</v>
      </c>
      <c r="K132">
        <f>IF(A132="","",IF(ISNUMBER(A132),IF(A132&lt;=31,"",IF(A132&lt;=3112,IF(DATE(YR,MOD(A132,100),INT(A132/100))&gt;SAT1+7*NW-1,DATE(YR-1,MOD(A132,100),INT(A132/100)),DATE(YR,MOD(A132,100),INT(A132/100))),A132)),IFERROR(DATEVALUE(A132),"")))</f>
        <v/>
      </c>
      <c r="L132">
        <f>IF(K132="","",INT((K132-SAT1)/7)+1)</f>
        <v/>
      </c>
      <c r="M132">
        <f>IF(L132="","",IF(OR(L132&lt;1,L132&gt;NW),"",INDEX(WMON,L132)))</f>
        <v/>
      </c>
    </row>
    <row r="133">
      <c r="A133" s="48" t="n"/>
      <c r="B133" s="22" t="n"/>
      <c r="C133" s="22" t="n"/>
      <c r="D133" s="49" t="n"/>
      <c r="E133" s="49" t="n"/>
      <c r="F133" s="49" t="n"/>
      <c r="G133" s="50" t="n"/>
      <c r="J133" t="n">
        <v>123</v>
      </c>
      <c r="K133">
        <f>IF(A133="","",IF(ISNUMBER(A133),IF(A133&lt;=31,"",IF(A133&lt;=3112,IF(DATE(YR,MOD(A133,100),INT(A133/100))&gt;SAT1+7*NW-1,DATE(YR-1,MOD(A133,100),INT(A133/100)),DATE(YR,MOD(A133,100),INT(A133/100))),A133)),IFERROR(DATEVALUE(A133),"")))</f>
        <v/>
      </c>
      <c r="L133">
        <f>IF(K133="","",INT((K133-SAT1)/7)+1)</f>
        <v/>
      </c>
      <c r="M133">
        <f>IF(L133="","",IF(OR(L133&lt;1,L133&gt;NW),"",INDEX(WMON,L133)))</f>
        <v/>
      </c>
    </row>
    <row r="134">
      <c r="A134" s="48" t="n"/>
      <c r="B134" s="22" t="n"/>
      <c r="C134" s="22" t="n"/>
      <c r="D134" s="49" t="n"/>
      <c r="E134" s="49" t="n"/>
      <c r="F134" s="49" t="n"/>
      <c r="G134" s="50" t="n"/>
      <c r="J134" t="n">
        <v>124</v>
      </c>
      <c r="K134">
        <f>IF(A134="","",IF(ISNUMBER(A134),IF(A134&lt;=31,"",IF(A134&lt;=3112,IF(DATE(YR,MOD(A134,100),INT(A134/100))&gt;SAT1+7*NW-1,DATE(YR-1,MOD(A134,100),INT(A134/100)),DATE(YR,MOD(A134,100),INT(A134/100))),A134)),IFERROR(DATEVALUE(A134),"")))</f>
        <v/>
      </c>
      <c r="L134">
        <f>IF(K134="","",INT((K134-SAT1)/7)+1)</f>
        <v/>
      </c>
      <c r="M134">
        <f>IF(L134="","",IF(OR(L134&lt;1,L134&gt;NW),"",INDEX(WMON,L134)))</f>
        <v/>
      </c>
    </row>
    <row r="135">
      <c r="A135" s="48" t="n"/>
      <c r="B135" s="22" t="n"/>
      <c r="C135" s="22" t="n"/>
      <c r="D135" s="49" t="n"/>
      <c r="E135" s="49" t="n"/>
      <c r="F135" s="49" t="n"/>
      <c r="G135" s="50" t="n"/>
      <c r="J135" t="n">
        <v>125</v>
      </c>
      <c r="K135">
        <f>IF(A135="","",IF(ISNUMBER(A135),IF(A135&lt;=31,"",IF(A135&lt;=3112,IF(DATE(YR,MOD(A135,100),INT(A135/100))&gt;SAT1+7*NW-1,DATE(YR-1,MOD(A135,100),INT(A135/100)),DATE(YR,MOD(A135,100),INT(A135/100))),A135)),IFERROR(DATEVALUE(A135),"")))</f>
        <v/>
      </c>
      <c r="L135">
        <f>IF(K135="","",INT((K135-SAT1)/7)+1)</f>
        <v/>
      </c>
      <c r="M135">
        <f>IF(L135="","",IF(OR(L135&lt;1,L135&gt;NW),"",INDEX(WMON,L135)))</f>
        <v/>
      </c>
    </row>
    <row r="136">
      <c r="A136" s="48" t="n"/>
      <c r="B136" s="22" t="n"/>
      <c r="C136" s="22" t="n"/>
      <c r="D136" s="49" t="n"/>
      <c r="E136" s="49" t="n"/>
      <c r="F136" s="49" t="n"/>
      <c r="G136" s="50" t="n"/>
      <c r="J136" t="n">
        <v>126</v>
      </c>
      <c r="K136">
        <f>IF(A136="","",IF(ISNUMBER(A136),IF(A136&lt;=31,"",IF(A136&lt;=3112,IF(DATE(YR,MOD(A136,100),INT(A136/100))&gt;SAT1+7*NW-1,DATE(YR-1,MOD(A136,100),INT(A136/100)),DATE(YR,MOD(A136,100),INT(A136/100))),A136)),IFERROR(DATEVALUE(A136),"")))</f>
        <v/>
      </c>
      <c r="L136">
        <f>IF(K136="","",INT((K136-SAT1)/7)+1)</f>
        <v/>
      </c>
      <c r="M136">
        <f>IF(L136="","",IF(OR(L136&lt;1,L136&gt;NW),"",INDEX(WMON,L136)))</f>
        <v/>
      </c>
    </row>
    <row r="137">
      <c r="A137" s="48" t="n"/>
      <c r="B137" s="22" t="n"/>
      <c r="C137" s="22" t="n"/>
      <c r="D137" s="49" t="n"/>
      <c r="E137" s="49" t="n"/>
      <c r="F137" s="49" t="n"/>
      <c r="G137" s="50" t="n"/>
      <c r="J137" t="n">
        <v>127</v>
      </c>
      <c r="K137">
        <f>IF(A137="","",IF(ISNUMBER(A137),IF(A137&lt;=31,"",IF(A137&lt;=3112,IF(DATE(YR,MOD(A137,100),INT(A137/100))&gt;SAT1+7*NW-1,DATE(YR-1,MOD(A137,100),INT(A137/100)),DATE(YR,MOD(A137,100),INT(A137/100))),A137)),IFERROR(DATEVALUE(A137),"")))</f>
        <v/>
      </c>
      <c r="L137">
        <f>IF(K137="","",INT((K137-SAT1)/7)+1)</f>
        <v/>
      </c>
      <c r="M137">
        <f>IF(L137="","",IF(OR(L137&lt;1,L137&gt;NW),"",INDEX(WMON,L137)))</f>
        <v/>
      </c>
    </row>
    <row r="138">
      <c r="A138" s="48" t="n"/>
      <c r="B138" s="22" t="n"/>
      <c r="C138" s="22" t="n"/>
      <c r="D138" s="49" t="n"/>
      <c r="E138" s="49" t="n"/>
      <c r="F138" s="49" t="n"/>
      <c r="G138" s="50" t="n"/>
      <c r="J138" t="n">
        <v>128</v>
      </c>
      <c r="K138">
        <f>IF(A138="","",IF(ISNUMBER(A138),IF(A138&lt;=31,"",IF(A138&lt;=3112,IF(DATE(YR,MOD(A138,100),INT(A138/100))&gt;SAT1+7*NW-1,DATE(YR-1,MOD(A138,100),INT(A138/100)),DATE(YR,MOD(A138,100),INT(A138/100))),A138)),IFERROR(DATEVALUE(A138),"")))</f>
        <v/>
      </c>
      <c r="L138">
        <f>IF(K138="","",INT((K138-SAT1)/7)+1)</f>
        <v/>
      </c>
      <c r="M138">
        <f>IF(L138="","",IF(OR(L138&lt;1,L138&gt;NW),"",INDEX(WMON,L138)))</f>
        <v/>
      </c>
    </row>
    <row r="139">
      <c r="A139" s="48" t="n"/>
      <c r="B139" s="22" t="n"/>
      <c r="C139" s="22" t="n"/>
      <c r="D139" s="49" t="n"/>
      <c r="E139" s="49" t="n"/>
      <c r="F139" s="49" t="n"/>
      <c r="G139" s="50" t="n"/>
      <c r="J139" t="n">
        <v>129</v>
      </c>
      <c r="K139">
        <f>IF(A139="","",IF(ISNUMBER(A139),IF(A139&lt;=31,"",IF(A139&lt;=3112,IF(DATE(YR,MOD(A139,100),INT(A139/100))&gt;SAT1+7*NW-1,DATE(YR-1,MOD(A139,100),INT(A139/100)),DATE(YR,MOD(A139,100),INT(A139/100))),A139)),IFERROR(DATEVALUE(A139),"")))</f>
        <v/>
      </c>
      <c r="L139">
        <f>IF(K139="","",INT((K139-SAT1)/7)+1)</f>
        <v/>
      </c>
      <c r="M139">
        <f>IF(L139="","",IF(OR(L139&lt;1,L139&gt;NW),"",INDEX(WMON,L139)))</f>
        <v/>
      </c>
    </row>
    <row r="140">
      <c r="A140" s="48" t="n"/>
      <c r="B140" s="22" t="n"/>
      <c r="C140" s="22" t="n"/>
      <c r="D140" s="49" t="n"/>
      <c r="E140" s="49" t="n"/>
      <c r="F140" s="49" t="n"/>
      <c r="G140" s="50" t="n"/>
      <c r="J140" t="n">
        <v>130</v>
      </c>
      <c r="K140">
        <f>IF(A140="","",IF(ISNUMBER(A140),IF(A140&lt;=31,"",IF(A140&lt;=3112,IF(DATE(YR,MOD(A140,100),INT(A140/100))&gt;SAT1+7*NW-1,DATE(YR-1,MOD(A140,100),INT(A140/100)),DATE(YR,MOD(A140,100),INT(A140/100))),A140)),IFERROR(DATEVALUE(A140),"")))</f>
        <v/>
      </c>
      <c r="L140">
        <f>IF(K140="","",INT((K140-SAT1)/7)+1)</f>
        <v/>
      </c>
      <c r="M140">
        <f>IF(L140="","",IF(OR(L140&lt;1,L140&gt;NW),"",INDEX(WMON,L140)))</f>
        <v/>
      </c>
    </row>
    <row r="141">
      <c r="A141" s="48" t="n"/>
      <c r="B141" s="22" t="n"/>
      <c r="C141" s="22" t="n"/>
      <c r="D141" s="49" t="n"/>
      <c r="E141" s="49" t="n"/>
      <c r="F141" s="49" t="n"/>
      <c r="G141" s="50" t="n"/>
      <c r="J141" t="n">
        <v>131</v>
      </c>
      <c r="K141">
        <f>IF(A141="","",IF(ISNUMBER(A141),IF(A141&lt;=31,"",IF(A141&lt;=3112,IF(DATE(YR,MOD(A141,100),INT(A141/100))&gt;SAT1+7*NW-1,DATE(YR-1,MOD(A141,100),INT(A141/100)),DATE(YR,MOD(A141,100),INT(A141/100))),A141)),IFERROR(DATEVALUE(A141),"")))</f>
        <v/>
      </c>
      <c r="L141">
        <f>IF(K141="","",INT((K141-SAT1)/7)+1)</f>
        <v/>
      </c>
      <c r="M141">
        <f>IF(L141="","",IF(OR(L141&lt;1,L141&gt;NW),"",INDEX(WMON,L141)))</f>
        <v/>
      </c>
    </row>
    <row r="142">
      <c r="A142" s="48" t="n"/>
      <c r="B142" s="22" t="n"/>
      <c r="C142" s="22" t="n"/>
      <c r="D142" s="49" t="n"/>
      <c r="E142" s="49" t="n"/>
      <c r="F142" s="49" t="n"/>
      <c r="G142" s="50" t="n"/>
      <c r="J142" t="n">
        <v>132</v>
      </c>
      <c r="K142">
        <f>IF(A142="","",IF(ISNUMBER(A142),IF(A142&lt;=31,"",IF(A142&lt;=3112,IF(DATE(YR,MOD(A142,100),INT(A142/100))&gt;SAT1+7*NW-1,DATE(YR-1,MOD(A142,100),INT(A142/100)),DATE(YR,MOD(A142,100),INT(A142/100))),A142)),IFERROR(DATEVALUE(A142),"")))</f>
        <v/>
      </c>
      <c r="L142">
        <f>IF(K142="","",INT((K142-SAT1)/7)+1)</f>
        <v/>
      </c>
      <c r="M142">
        <f>IF(L142="","",IF(OR(L142&lt;1,L142&gt;NW),"",INDEX(WMON,L142)))</f>
        <v/>
      </c>
    </row>
    <row r="143">
      <c r="A143" s="48" t="n"/>
      <c r="B143" s="22" t="n"/>
      <c r="C143" s="22" t="n"/>
      <c r="D143" s="49" t="n"/>
      <c r="E143" s="49" t="n"/>
      <c r="F143" s="49" t="n"/>
      <c r="G143" s="50" t="n"/>
      <c r="J143" t="n">
        <v>133</v>
      </c>
      <c r="K143">
        <f>IF(A143="","",IF(ISNUMBER(A143),IF(A143&lt;=31,"",IF(A143&lt;=3112,IF(DATE(YR,MOD(A143,100),INT(A143/100))&gt;SAT1+7*NW-1,DATE(YR-1,MOD(A143,100),INT(A143/100)),DATE(YR,MOD(A143,100),INT(A143/100))),A143)),IFERROR(DATEVALUE(A143),"")))</f>
        <v/>
      </c>
      <c r="L143">
        <f>IF(K143="","",INT((K143-SAT1)/7)+1)</f>
        <v/>
      </c>
      <c r="M143">
        <f>IF(L143="","",IF(OR(L143&lt;1,L143&gt;NW),"",INDEX(WMON,L143)))</f>
        <v/>
      </c>
    </row>
    <row r="144">
      <c r="A144" s="48" t="n"/>
      <c r="B144" s="22" t="n"/>
      <c r="C144" s="22" t="n"/>
      <c r="D144" s="49" t="n"/>
      <c r="E144" s="49" t="n"/>
      <c r="F144" s="49" t="n"/>
      <c r="G144" s="50" t="n"/>
      <c r="J144" t="n">
        <v>134</v>
      </c>
      <c r="K144">
        <f>IF(A144="","",IF(ISNUMBER(A144),IF(A144&lt;=31,"",IF(A144&lt;=3112,IF(DATE(YR,MOD(A144,100),INT(A144/100))&gt;SAT1+7*NW-1,DATE(YR-1,MOD(A144,100),INT(A144/100)),DATE(YR,MOD(A144,100),INT(A144/100))),A144)),IFERROR(DATEVALUE(A144),"")))</f>
        <v/>
      </c>
      <c r="L144">
        <f>IF(K144="","",INT((K144-SAT1)/7)+1)</f>
        <v/>
      </c>
      <c r="M144">
        <f>IF(L144="","",IF(OR(L144&lt;1,L144&gt;NW),"",INDEX(WMON,L144)))</f>
        <v/>
      </c>
    </row>
    <row r="145">
      <c r="A145" s="48" t="n"/>
      <c r="B145" s="22" t="n"/>
      <c r="C145" s="22" t="n"/>
      <c r="D145" s="49" t="n"/>
      <c r="E145" s="49" t="n"/>
      <c r="F145" s="49" t="n"/>
      <c r="G145" s="50" t="n"/>
      <c r="J145" t="n">
        <v>135</v>
      </c>
      <c r="K145">
        <f>IF(A145="","",IF(ISNUMBER(A145),IF(A145&lt;=31,"",IF(A145&lt;=3112,IF(DATE(YR,MOD(A145,100),INT(A145/100))&gt;SAT1+7*NW-1,DATE(YR-1,MOD(A145,100),INT(A145/100)),DATE(YR,MOD(A145,100),INT(A145/100))),A145)),IFERROR(DATEVALUE(A145),"")))</f>
        <v/>
      </c>
      <c r="L145">
        <f>IF(K145="","",INT((K145-SAT1)/7)+1)</f>
        <v/>
      </c>
      <c r="M145">
        <f>IF(L145="","",IF(OR(L145&lt;1,L145&gt;NW),"",INDEX(WMON,L145)))</f>
        <v/>
      </c>
    </row>
    <row r="146">
      <c r="A146" s="48" t="n"/>
      <c r="B146" s="22" t="n"/>
      <c r="C146" s="22" t="n"/>
      <c r="D146" s="49" t="n"/>
      <c r="E146" s="49" t="n"/>
      <c r="F146" s="49" t="n"/>
      <c r="G146" s="50" t="n"/>
      <c r="J146" t="n">
        <v>136</v>
      </c>
      <c r="K146">
        <f>IF(A146="","",IF(ISNUMBER(A146),IF(A146&lt;=31,"",IF(A146&lt;=3112,IF(DATE(YR,MOD(A146,100),INT(A146/100))&gt;SAT1+7*NW-1,DATE(YR-1,MOD(A146,100),INT(A146/100)),DATE(YR,MOD(A146,100),INT(A146/100))),A146)),IFERROR(DATEVALUE(A146),"")))</f>
        <v/>
      </c>
      <c r="L146">
        <f>IF(K146="","",INT((K146-SAT1)/7)+1)</f>
        <v/>
      </c>
      <c r="M146">
        <f>IF(L146="","",IF(OR(L146&lt;1,L146&gt;NW),"",INDEX(WMON,L146)))</f>
        <v/>
      </c>
    </row>
    <row r="147">
      <c r="A147" s="48" t="n"/>
      <c r="B147" s="22" t="n"/>
      <c r="C147" s="22" t="n"/>
      <c r="D147" s="49" t="n"/>
      <c r="E147" s="49" t="n"/>
      <c r="F147" s="49" t="n"/>
      <c r="G147" s="50" t="n"/>
      <c r="J147" t="n">
        <v>137</v>
      </c>
      <c r="K147">
        <f>IF(A147="","",IF(ISNUMBER(A147),IF(A147&lt;=31,"",IF(A147&lt;=3112,IF(DATE(YR,MOD(A147,100),INT(A147/100))&gt;SAT1+7*NW-1,DATE(YR-1,MOD(A147,100),INT(A147/100)),DATE(YR,MOD(A147,100),INT(A147/100))),A147)),IFERROR(DATEVALUE(A147),"")))</f>
        <v/>
      </c>
      <c r="L147">
        <f>IF(K147="","",INT((K147-SAT1)/7)+1)</f>
        <v/>
      </c>
      <c r="M147">
        <f>IF(L147="","",IF(OR(L147&lt;1,L147&gt;NW),"",INDEX(WMON,L147)))</f>
        <v/>
      </c>
    </row>
    <row r="148">
      <c r="A148" s="48" t="n"/>
      <c r="B148" s="22" t="n"/>
      <c r="C148" s="22" t="n"/>
      <c r="D148" s="49" t="n"/>
      <c r="E148" s="49" t="n"/>
      <c r="F148" s="49" t="n"/>
      <c r="G148" s="50" t="n"/>
      <c r="J148" t="n">
        <v>138</v>
      </c>
      <c r="K148">
        <f>IF(A148="","",IF(ISNUMBER(A148),IF(A148&lt;=31,"",IF(A148&lt;=3112,IF(DATE(YR,MOD(A148,100),INT(A148/100))&gt;SAT1+7*NW-1,DATE(YR-1,MOD(A148,100),INT(A148/100)),DATE(YR,MOD(A148,100),INT(A148/100))),A148)),IFERROR(DATEVALUE(A148),"")))</f>
        <v/>
      </c>
      <c r="L148">
        <f>IF(K148="","",INT((K148-SAT1)/7)+1)</f>
        <v/>
      </c>
      <c r="M148">
        <f>IF(L148="","",IF(OR(L148&lt;1,L148&gt;NW),"",INDEX(WMON,L148)))</f>
        <v/>
      </c>
    </row>
    <row r="149">
      <c r="A149" s="48" t="n"/>
      <c r="B149" s="22" t="n"/>
      <c r="C149" s="22" t="n"/>
      <c r="D149" s="49" t="n"/>
      <c r="E149" s="49" t="n"/>
      <c r="F149" s="49" t="n"/>
      <c r="G149" s="50" t="n"/>
      <c r="J149" t="n">
        <v>139</v>
      </c>
      <c r="K149">
        <f>IF(A149="","",IF(ISNUMBER(A149),IF(A149&lt;=31,"",IF(A149&lt;=3112,IF(DATE(YR,MOD(A149,100),INT(A149/100))&gt;SAT1+7*NW-1,DATE(YR-1,MOD(A149,100),INT(A149/100)),DATE(YR,MOD(A149,100),INT(A149/100))),A149)),IFERROR(DATEVALUE(A149),"")))</f>
        <v/>
      </c>
      <c r="L149">
        <f>IF(K149="","",INT((K149-SAT1)/7)+1)</f>
        <v/>
      </c>
      <c r="M149">
        <f>IF(L149="","",IF(OR(L149&lt;1,L149&gt;NW),"",INDEX(WMON,L149)))</f>
        <v/>
      </c>
    </row>
    <row r="150">
      <c r="A150" s="48" t="n"/>
      <c r="B150" s="22" t="n"/>
      <c r="C150" s="22" t="n"/>
      <c r="D150" s="49" t="n"/>
      <c r="E150" s="49" t="n"/>
      <c r="F150" s="49" t="n"/>
      <c r="G150" s="50" t="n"/>
      <c r="J150" t="n">
        <v>140</v>
      </c>
      <c r="K150">
        <f>IF(A150="","",IF(ISNUMBER(A150),IF(A150&lt;=31,"",IF(A150&lt;=3112,IF(DATE(YR,MOD(A150,100),INT(A150/100))&gt;SAT1+7*NW-1,DATE(YR-1,MOD(A150,100),INT(A150/100)),DATE(YR,MOD(A150,100),INT(A150/100))),A150)),IFERROR(DATEVALUE(A150),"")))</f>
        <v/>
      </c>
      <c r="L150">
        <f>IF(K150="","",INT((K150-SAT1)/7)+1)</f>
        <v/>
      </c>
      <c r="M150">
        <f>IF(L150="","",IF(OR(L150&lt;1,L150&gt;NW),"",INDEX(WMON,L150)))</f>
        <v/>
      </c>
    </row>
    <row r="151">
      <c r="A151" s="48" t="n"/>
      <c r="B151" s="22" t="n"/>
      <c r="C151" s="22" t="n"/>
      <c r="D151" s="49" t="n"/>
      <c r="E151" s="49" t="n"/>
      <c r="F151" s="49" t="n"/>
      <c r="G151" s="50" t="n"/>
      <c r="J151" t="n">
        <v>141</v>
      </c>
      <c r="K151">
        <f>IF(A151="","",IF(ISNUMBER(A151),IF(A151&lt;=31,"",IF(A151&lt;=3112,IF(DATE(YR,MOD(A151,100),INT(A151/100))&gt;SAT1+7*NW-1,DATE(YR-1,MOD(A151,100),INT(A151/100)),DATE(YR,MOD(A151,100),INT(A151/100))),A151)),IFERROR(DATEVALUE(A151),"")))</f>
        <v/>
      </c>
      <c r="L151">
        <f>IF(K151="","",INT((K151-SAT1)/7)+1)</f>
        <v/>
      </c>
      <c r="M151">
        <f>IF(L151="","",IF(OR(L151&lt;1,L151&gt;NW),"",INDEX(WMON,L151)))</f>
        <v/>
      </c>
    </row>
    <row r="152">
      <c r="A152" s="48" t="n"/>
      <c r="B152" s="22" t="n"/>
      <c r="C152" s="22" t="n"/>
      <c r="D152" s="49" t="n"/>
      <c r="E152" s="49" t="n"/>
      <c r="F152" s="49" t="n"/>
      <c r="G152" s="50" t="n"/>
      <c r="J152" t="n">
        <v>142</v>
      </c>
      <c r="K152">
        <f>IF(A152="","",IF(ISNUMBER(A152),IF(A152&lt;=31,"",IF(A152&lt;=3112,IF(DATE(YR,MOD(A152,100),INT(A152/100))&gt;SAT1+7*NW-1,DATE(YR-1,MOD(A152,100),INT(A152/100)),DATE(YR,MOD(A152,100),INT(A152/100))),A152)),IFERROR(DATEVALUE(A152),"")))</f>
        <v/>
      </c>
      <c r="L152">
        <f>IF(K152="","",INT((K152-SAT1)/7)+1)</f>
        <v/>
      </c>
      <c r="M152">
        <f>IF(L152="","",IF(OR(L152&lt;1,L152&gt;NW),"",INDEX(WMON,L152)))</f>
        <v/>
      </c>
    </row>
    <row r="153">
      <c r="A153" s="48" t="n"/>
      <c r="B153" s="22" t="n"/>
      <c r="C153" s="22" t="n"/>
      <c r="D153" s="49" t="n"/>
      <c r="E153" s="49" t="n"/>
      <c r="F153" s="49" t="n"/>
      <c r="G153" s="50" t="n"/>
      <c r="J153" t="n">
        <v>143</v>
      </c>
      <c r="K153">
        <f>IF(A153="","",IF(ISNUMBER(A153),IF(A153&lt;=31,"",IF(A153&lt;=3112,IF(DATE(YR,MOD(A153,100),INT(A153/100))&gt;SAT1+7*NW-1,DATE(YR-1,MOD(A153,100),INT(A153/100)),DATE(YR,MOD(A153,100),INT(A153/100))),A153)),IFERROR(DATEVALUE(A153),"")))</f>
        <v/>
      </c>
      <c r="L153">
        <f>IF(K153="","",INT((K153-SAT1)/7)+1)</f>
        <v/>
      </c>
      <c r="M153">
        <f>IF(L153="","",IF(OR(L153&lt;1,L153&gt;NW),"",INDEX(WMON,L153)))</f>
        <v/>
      </c>
    </row>
    <row r="154">
      <c r="A154" s="48" t="n"/>
      <c r="B154" s="22" t="n"/>
      <c r="C154" s="22" t="n"/>
      <c r="D154" s="49" t="n"/>
      <c r="E154" s="49" t="n"/>
      <c r="F154" s="49" t="n"/>
      <c r="G154" s="50" t="n"/>
      <c r="J154" t="n">
        <v>144</v>
      </c>
      <c r="K154">
        <f>IF(A154="","",IF(ISNUMBER(A154),IF(A154&lt;=31,"",IF(A154&lt;=3112,IF(DATE(YR,MOD(A154,100),INT(A154/100))&gt;SAT1+7*NW-1,DATE(YR-1,MOD(A154,100),INT(A154/100)),DATE(YR,MOD(A154,100),INT(A154/100))),A154)),IFERROR(DATEVALUE(A154),"")))</f>
        <v/>
      </c>
      <c r="L154">
        <f>IF(K154="","",INT((K154-SAT1)/7)+1)</f>
        <v/>
      </c>
      <c r="M154">
        <f>IF(L154="","",IF(OR(L154&lt;1,L154&gt;NW),"",INDEX(WMON,L154)))</f>
        <v/>
      </c>
    </row>
    <row r="155">
      <c r="A155" s="48" t="n"/>
      <c r="B155" s="22" t="n"/>
      <c r="C155" s="22" t="n"/>
      <c r="D155" s="49" t="n"/>
      <c r="E155" s="49" t="n"/>
      <c r="F155" s="49" t="n"/>
      <c r="G155" s="50" t="n"/>
      <c r="J155" t="n">
        <v>145</v>
      </c>
      <c r="K155">
        <f>IF(A155="","",IF(ISNUMBER(A155),IF(A155&lt;=31,"",IF(A155&lt;=3112,IF(DATE(YR,MOD(A155,100),INT(A155/100))&gt;SAT1+7*NW-1,DATE(YR-1,MOD(A155,100),INT(A155/100)),DATE(YR,MOD(A155,100),INT(A155/100))),A155)),IFERROR(DATEVALUE(A155),"")))</f>
        <v/>
      </c>
      <c r="L155">
        <f>IF(K155="","",INT((K155-SAT1)/7)+1)</f>
        <v/>
      </c>
      <c r="M155">
        <f>IF(L155="","",IF(OR(L155&lt;1,L155&gt;NW),"",INDEX(WMON,L155)))</f>
        <v/>
      </c>
    </row>
    <row r="156">
      <c r="A156" s="48" t="n"/>
      <c r="B156" s="22" t="n"/>
      <c r="C156" s="22" t="n"/>
      <c r="D156" s="49" t="n"/>
      <c r="E156" s="49" t="n"/>
      <c r="F156" s="49" t="n"/>
      <c r="G156" s="50" t="n"/>
      <c r="J156" t="n">
        <v>146</v>
      </c>
      <c r="K156">
        <f>IF(A156="","",IF(ISNUMBER(A156),IF(A156&lt;=31,"",IF(A156&lt;=3112,IF(DATE(YR,MOD(A156,100),INT(A156/100))&gt;SAT1+7*NW-1,DATE(YR-1,MOD(A156,100),INT(A156/100)),DATE(YR,MOD(A156,100),INT(A156/100))),A156)),IFERROR(DATEVALUE(A156),"")))</f>
        <v/>
      </c>
      <c r="L156">
        <f>IF(K156="","",INT((K156-SAT1)/7)+1)</f>
        <v/>
      </c>
      <c r="M156">
        <f>IF(L156="","",IF(OR(L156&lt;1,L156&gt;NW),"",INDEX(WMON,L156)))</f>
        <v/>
      </c>
    </row>
    <row r="157">
      <c r="A157" s="48" t="n"/>
      <c r="B157" s="22" t="n"/>
      <c r="C157" s="22" t="n"/>
      <c r="D157" s="49" t="n"/>
      <c r="E157" s="49" t="n"/>
      <c r="F157" s="49" t="n"/>
      <c r="G157" s="50" t="n"/>
      <c r="J157" t="n">
        <v>147</v>
      </c>
      <c r="K157">
        <f>IF(A157="","",IF(ISNUMBER(A157),IF(A157&lt;=31,"",IF(A157&lt;=3112,IF(DATE(YR,MOD(A157,100),INT(A157/100))&gt;SAT1+7*NW-1,DATE(YR-1,MOD(A157,100),INT(A157/100)),DATE(YR,MOD(A157,100),INT(A157/100))),A157)),IFERROR(DATEVALUE(A157),"")))</f>
        <v/>
      </c>
      <c r="L157">
        <f>IF(K157="","",INT((K157-SAT1)/7)+1)</f>
        <v/>
      </c>
      <c r="M157">
        <f>IF(L157="","",IF(OR(L157&lt;1,L157&gt;NW),"",INDEX(WMON,L157)))</f>
        <v/>
      </c>
    </row>
    <row r="158">
      <c r="A158" s="48" t="n"/>
      <c r="B158" s="22" t="n"/>
      <c r="C158" s="22" t="n"/>
      <c r="D158" s="49" t="n"/>
      <c r="E158" s="49" t="n"/>
      <c r="F158" s="49" t="n"/>
      <c r="G158" s="50" t="n"/>
      <c r="J158" t="n">
        <v>148</v>
      </c>
      <c r="K158">
        <f>IF(A158="","",IF(ISNUMBER(A158),IF(A158&lt;=31,"",IF(A158&lt;=3112,IF(DATE(YR,MOD(A158,100),INT(A158/100))&gt;SAT1+7*NW-1,DATE(YR-1,MOD(A158,100),INT(A158/100)),DATE(YR,MOD(A158,100),INT(A158/100))),A158)),IFERROR(DATEVALUE(A158),"")))</f>
        <v/>
      </c>
      <c r="L158">
        <f>IF(K158="","",INT((K158-SAT1)/7)+1)</f>
        <v/>
      </c>
      <c r="M158">
        <f>IF(L158="","",IF(OR(L158&lt;1,L158&gt;NW),"",INDEX(WMON,L158)))</f>
        <v/>
      </c>
    </row>
    <row r="159">
      <c r="A159" s="48" t="n"/>
      <c r="B159" s="22" t="n"/>
      <c r="C159" s="22" t="n"/>
      <c r="D159" s="49" t="n"/>
      <c r="E159" s="49" t="n"/>
      <c r="F159" s="49" t="n"/>
      <c r="G159" s="50" t="n"/>
      <c r="J159" t="n">
        <v>149</v>
      </c>
      <c r="K159">
        <f>IF(A159="","",IF(ISNUMBER(A159),IF(A159&lt;=31,"",IF(A159&lt;=3112,IF(DATE(YR,MOD(A159,100),INT(A159/100))&gt;SAT1+7*NW-1,DATE(YR-1,MOD(A159,100),INT(A159/100)),DATE(YR,MOD(A159,100),INT(A159/100))),A159)),IFERROR(DATEVALUE(A159),"")))</f>
        <v/>
      </c>
      <c r="L159">
        <f>IF(K159="","",INT((K159-SAT1)/7)+1)</f>
        <v/>
      </c>
      <c r="M159">
        <f>IF(L159="","",IF(OR(L159&lt;1,L159&gt;NW),"",INDEX(WMON,L159)))</f>
        <v/>
      </c>
    </row>
    <row r="160">
      <c r="A160" s="48" t="n"/>
      <c r="B160" s="22" t="n"/>
      <c r="C160" s="22" t="n"/>
      <c r="D160" s="49" t="n"/>
      <c r="E160" s="49" t="n"/>
      <c r="F160" s="49" t="n"/>
      <c r="G160" s="50" t="n"/>
      <c r="J160" t="n">
        <v>150</v>
      </c>
      <c r="K160">
        <f>IF(A160="","",IF(ISNUMBER(A160),IF(A160&lt;=31,"",IF(A160&lt;=3112,IF(DATE(YR,MOD(A160,100),INT(A160/100))&gt;SAT1+7*NW-1,DATE(YR-1,MOD(A160,100),INT(A160/100)),DATE(YR,MOD(A160,100),INT(A160/100))),A160)),IFERROR(DATEVALUE(A160),"")))</f>
        <v/>
      </c>
      <c r="L160">
        <f>IF(K160="","",INT((K160-SAT1)/7)+1)</f>
        <v/>
      </c>
      <c r="M160">
        <f>IF(L160="","",IF(OR(L160&lt;1,L160&gt;NW),"",INDEX(WMON,L160)))</f>
        <v/>
      </c>
    </row>
    <row r="161">
      <c r="A161" s="48" t="n"/>
      <c r="B161" s="22" t="n"/>
      <c r="C161" s="22" t="n"/>
      <c r="D161" s="49" t="n"/>
      <c r="E161" s="49" t="n"/>
      <c r="F161" s="49" t="n"/>
      <c r="G161" s="50" t="n"/>
      <c r="J161" t="n">
        <v>151</v>
      </c>
      <c r="K161">
        <f>IF(A161="","",IF(ISNUMBER(A161),IF(A161&lt;=31,"",IF(A161&lt;=3112,IF(DATE(YR,MOD(A161,100),INT(A161/100))&gt;SAT1+7*NW-1,DATE(YR-1,MOD(A161,100),INT(A161/100)),DATE(YR,MOD(A161,100),INT(A161/100))),A161)),IFERROR(DATEVALUE(A161),"")))</f>
        <v/>
      </c>
      <c r="L161">
        <f>IF(K161="","",INT((K161-SAT1)/7)+1)</f>
        <v/>
      </c>
      <c r="M161">
        <f>IF(L161="","",IF(OR(L161&lt;1,L161&gt;NW),"",INDEX(WMON,L161)))</f>
        <v/>
      </c>
    </row>
    <row r="162">
      <c r="A162" s="48" t="n"/>
      <c r="B162" s="22" t="n"/>
      <c r="C162" s="22" t="n"/>
      <c r="D162" s="49" t="n"/>
      <c r="E162" s="49" t="n"/>
      <c r="F162" s="49" t="n"/>
      <c r="G162" s="50" t="n"/>
      <c r="J162" t="n">
        <v>152</v>
      </c>
      <c r="K162">
        <f>IF(A162="","",IF(ISNUMBER(A162),IF(A162&lt;=31,"",IF(A162&lt;=3112,IF(DATE(YR,MOD(A162,100),INT(A162/100))&gt;SAT1+7*NW-1,DATE(YR-1,MOD(A162,100),INT(A162/100)),DATE(YR,MOD(A162,100),INT(A162/100))),A162)),IFERROR(DATEVALUE(A162),"")))</f>
        <v/>
      </c>
      <c r="L162">
        <f>IF(K162="","",INT((K162-SAT1)/7)+1)</f>
        <v/>
      </c>
      <c r="M162">
        <f>IF(L162="","",IF(OR(L162&lt;1,L162&gt;NW),"",INDEX(WMON,L162)))</f>
        <v/>
      </c>
    </row>
    <row r="163">
      <c r="A163" s="48" t="n"/>
      <c r="B163" s="22" t="n"/>
      <c r="C163" s="22" t="n"/>
      <c r="D163" s="49" t="n"/>
      <c r="E163" s="49" t="n"/>
      <c r="F163" s="49" t="n"/>
      <c r="G163" s="50" t="n"/>
      <c r="J163" t="n">
        <v>153</v>
      </c>
      <c r="K163">
        <f>IF(A163="","",IF(ISNUMBER(A163),IF(A163&lt;=31,"",IF(A163&lt;=3112,IF(DATE(YR,MOD(A163,100),INT(A163/100))&gt;SAT1+7*NW-1,DATE(YR-1,MOD(A163,100),INT(A163/100)),DATE(YR,MOD(A163,100),INT(A163/100))),A163)),IFERROR(DATEVALUE(A163),"")))</f>
        <v/>
      </c>
      <c r="L163">
        <f>IF(K163="","",INT((K163-SAT1)/7)+1)</f>
        <v/>
      </c>
      <c r="M163">
        <f>IF(L163="","",IF(OR(L163&lt;1,L163&gt;NW),"",INDEX(WMON,L163)))</f>
        <v/>
      </c>
    </row>
    <row r="164">
      <c r="A164" s="48" t="n"/>
      <c r="B164" s="22" t="n"/>
      <c r="C164" s="22" t="n"/>
      <c r="D164" s="49" t="n"/>
      <c r="E164" s="49" t="n"/>
      <c r="F164" s="49" t="n"/>
      <c r="G164" s="50" t="n"/>
      <c r="J164" t="n">
        <v>154</v>
      </c>
      <c r="K164">
        <f>IF(A164="","",IF(ISNUMBER(A164),IF(A164&lt;=31,"",IF(A164&lt;=3112,IF(DATE(YR,MOD(A164,100),INT(A164/100))&gt;SAT1+7*NW-1,DATE(YR-1,MOD(A164,100),INT(A164/100)),DATE(YR,MOD(A164,100),INT(A164/100))),A164)),IFERROR(DATEVALUE(A164),"")))</f>
        <v/>
      </c>
      <c r="L164">
        <f>IF(K164="","",INT((K164-SAT1)/7)+1)</f>
        <v/>
      </c>
      <c r="M164">
        <f>IF(L164="","",IF(OR(L164&lt;1,L164&gt;NW),"",INDEX(WMON,L164)))</f>
        <v/>
      </c>
    </row>
    <row r="165">
      <c r="A165" s="48" t="n"/>
      <c r="B165" s="22" t="n"/>
      <c r="C165" s="22" t="n"/>
      <c r="D165" s="49" t="n"/>
      <c r="E165" s="49" t="n"/>
      <c r="F165" s="49" t="n"/>
      <c r="G165" s="50" t="n"/>
      <c r="J165" t="n">
        <v>155</v>
      </c>
      <c r="K165">
        <f>IF(A165="","",IF(ISNUMBER(A165),IF(A165&lt;=31,"",IF(A165&lt;=3112,IF(DATE(YR,MOD(A165,100),INT(A165/100))&gt;SAT1+7*NW-1,DATE(YR-1,MOD(A165,100),INT(A165/100)),DATE(YR,MOD(A165,100),INT(A165/100))),A165)),IFERROR(DATEVALUE(A165),"")))</f>
        <v/>
      </c>
      <c r="L165">
        <f>IF(K165="","",INT((K165-SAT1)/7)+1)</f>
        <v/>
      </c>
      <c r="M165">
        <f>IF(L165="","",IF(OR(L165&lt;1,L165&gt;NW),"",INDEX(WMON,L165)))</f>
        <v/>
      </c>
    </row>
    <row r="166">
      <c r="A166" s="48" t="n"/>
      <c r="B166" s="22" t="n"/>
      <c r="C166" s="22" t="n"/>
      <c r="D166" s="49" t="n"/>
      <c r="E166" s="49" t="n"/>
      <c r="F166" s="49" t="n"/>
      <c r="G166" s="50" t="n"/>
      <c r="J166" t="n">
        <v>156</v>
      </c>
      <c r="K166">
        <f>IF(A166="","",IF(ISNUMBER(A166),IF(A166&lt;=31,"",IF(A166&lt;=3112,IF(DATE(YR,MOD(A166,100),INT(A166/100))&gt;SAT1+7*NW-1,DATE(YR-1,MOD(A166,100),INT(A166/100)),DATE(YR,MOD(A166,100),INT(A166/100))),A166)),IFERROR(DATEVALUE(A166),"")))</f>
        <v/>
      </c>
      <c r="L166">
        <f>IF(K166="","",INT((K166-SAT1)/7)+1)</f>
        <v/>
      </c>
      <c r="M166">
        <f>IF(L166="","",IF(OR(L166&lt;1,L166&gt;NW),"",INDEX(WMON,L166)))</f>
        <v/>
      </c>
    </row>
    <row r="167">
      <c r="A167" s="48" t="n"/>
      <c r="B167" s="22" t="n"/>
      <c r="C167" s="22" t="n"/>
      <c r="D167" s="49" t="n"/>
      <c r="E167" s="49" t="n"/>
      <c r="F167" s="49" t="n"/>
      <c r="G167" s="50" t="n"/>
      <c r="J167" t="n">
        <v>157</v>
      </c>
      <c r="K167">
        <f>IF(A167="","",IF(ISNUMBER(A167),IF(A167&lt;=31,"",IF(A167&lt;=3112,IF(DATE(YR,MOD(A167,100),INT(A167/100))&gt;SAT1+7*NW-1,DATE(YR-1,MOD(A167,100),INT(A167/100)),DATE(YR,MOD(A167,100),INT(A167/100))),A167)),IFERROR(DATEVALUE(A167),"")))</f>
        <v/>
      </c>
      <c r="L167">
        <f>IF(K167="","",INT((K167-SAT1)/7)+1)</f>
        <v/>
      </c>
      <c r="M167">
        <f>IF(L167="","",IF(OR(L167&lt;1,L167&gt;NW),"",INDEX(WMON,L167)))</f>
        <v/>
      </c>
    </row>
    <row r="168">
      <c r="A168" s="48" t="n"/>
      <c r="B168" s="22" t="n"/>
      <c r="C168" s="22" t="n"/>
      <c r="D168" s="49" t="n"/>
      <c r="E168" s="49" t="n"/>
      <c r="F168" s="49" t="n"/>
      <c r="G168" s="50" t="n"/>
      <c r="J168" t="n">
        <v>158</v>
      </c>
      <c r="K168">
        <f>IF(A168="","",IF(ISNUMBER(A168),IF(A168&lt;=31,"",IF(A168&lt;=3112,IF(DATE(YR,MOD(A168,100),INT(A168/100))&gt;SAT1+7*NW-1,DATE(YR-1,MOD(A168,100),INT(A168/100)),DATE(YR,MOD(A168,100),INT(A168/100))),A168)),IFERROR(DATEVALUE(A168),"")))</f>
        <v/>
      </c>
      <c r="L168">
        <f>IF(K168="","",INT((K168-SAT1)/7)+1)</f>
        <v/>
      </c>
      <c r="M168">
        <f>IF(L168="","",IF(OR(L168&lt;1,L168&gt;NW),"",INDEX(WMON,L168)))</f>
        <v/>
      </c>
    </row>
    <row r="169">
      <c r="A169" s="48" t="n"/>
      <c r="B169" s="22" t="n"/>
      <c r="C169" s="22" t="n"/>
      <c r="D169" s="49" t="n"/>
      <c r="E169" s="49" t="n"/>
      <c r="F169" s="49" t="n"/>
      <c r="G169" s="50" t="n"/>
      <c r="J169" t="n">
        <v>159</v>
      </c>
      <c r="K169">
        <f>IF(A169="","",IF(ISNUMBER(A169),IF(A169&lt;=31,"",IF(A169&lt;=3112,IF(DATE(YR,MOD(A169,100),INT(A169/100))&gt;SAT1+7*NW-1,DATE(YR-1,MOD(A169,100),INT(A169/100)),DATE(YR,MOD(A169,100),INT(A169/100))),A169)),IFERROR(DATEVALUE(A169),"")))</f>
        <v/>
      </c>
      <c r="L169">
        <f>IF(K169="","",INT((K169-SAT1)/7)+1)</f>
        <v/>
      </c>
      <c r="M169">
        <f>IF(L169="","",IF(OR(L169&lt;1,L169&gt;NW),"",INDEX(WMON,L169)))</f>
        <v/>
      </c>
    </row>
    <row r="170">
      <c r="A170" s="48" t="n"/>
      <c r="B170" s="22" t="n"/>
      <c r="C170" s="22" t="n"/>
      <c r="D170" s="49" t="n"/>
      <c r="E170" s="49" t="n"/>
      <c r="F170" s="49" t="n"/>
      <c r="G170" s="50" t="n"/>
      <c r="J170" t="n">
        <v>160</v>
      </c>
      <c r="K170">
        <f>IF(A170="","",IF(ISNUMBER(A170),IF(A170&lt;=31,"",IF(A170&lt;=3112,IF(DATE(YR,MOD(A170,100),INT(A170/100))&gt;SAT1+7*NW-1,DATE(YR-1,MOD(A170,100),INT(A170/100)),DATE(YR,MOD(A170,100),INT(A170/100))),A170)),IFERROR(DATEVALUE(A170),"")))</f>
        <v/>
      </c>
      <c r="L170">
        <f>IF(K170="","",INT((K170-SAT1)/7)+1)</f>
        <v/>
      </c>
      <c r="M170">
        <f>IF(L170="","",IF(OR(L170&lt;1,L170&gt;NW),"",INDEX(WMON,L170)))</f>
        <v/>
      </c>
    </row>
    <row r="171">
      <c r="A171" s="48" t="n"/>
      <c r="B171" s="22" t="n"/>
      <c r="C171" s="22" t="n"/>
      <c r="D171" s="49" t="n"/>
      <c r="E171" s="49" t="n"/>
      <c r="F171" s="49" t="n"/>
      <c r="G171" s="50" t="n"/>
      <c r="J171" t="n">
        <v>161</v>
      </c>
      <c r="K171">
        <f>IF(A171="","",IF(ISNUMBER(A171),IF(A171&lt;=31,"",IF(A171&lt;=3112,IF(DATE(YR,MOD(A171,100),INT(A171/100))&gt;SAT1+7*NW-1,DATE(YR-1,MOD(A171,100),INT(A171/100)),DATE(YR,MOD(A171,100),INT(A171/100))),A171)),IFERROR(DATEVALUE(A171),"")))</f>
        <v/>
      </c>
      <c r="L171">
        <f>IF(K171="","",INT((K171-SAT1)/7)+1)</f>
        <v/>
      </c>
      <c r="M171">
        <f>IF(L171="","",IF(OR(L171&lt;1,L171&gt;NW),"",INDEX(WMON,L171)))</f>
        <v/>
      </c>
    </row>
    <row r="172">
      <c r="A172" s="48" t="n"/>
      <c r="B172" s="22" t="n"/>
      <c r="C172" s="22" t="n"/>
      <c r="D172" s="49" t="n"/>
      <c r="E172" s="49" t="n"/>
      <c r="F172" s="49" t="n"/>
      <c r="G172" s="50" t="n"/>
      <c r="J172" t="n">
        <v>162</v>
      </c>
      <c r="K172">
        <f>IF(A172="","",IF(ISNUMBER(A172),IF(A172&lt;=31,"",IF(A172&lt;=3112,IF(DATE(YR,MOD(A172,100),INT(A172/100))&gt;SAT1+7*NW-1,DATE(YR-1,MOD(A172,100),INT(A172/100)),DATE(YR,MOD(A172,100),INT(A172/100))),A172)),IFERROR(DATEVALUE(A172),"")))</f>
        <v/>
      </c>
      <c r="L172">
        <f>IF(K172="","",INT((K172-SAT1)/7)+1)</f>
        <v/>
      </c>
      <c r="M172">
        <f>IF(L172="","",IF(OR(L172&lt;1,L172&gt;NW),"",INDEX(WMON,L172)))</f>
        <v/>
      </c>
    </row>
    <row r="173">
      <c r="A173" s="48" t="n"/>
      <c r="B173" s="22" t="n"/>
      <c r="C173" s="22" t="n"/>
      <c r="D173" s="49" t="n"/>
      <c r="E173" s="49" t="n"/>
      <c r="F173" s="49" t="n"/>
      <c r="G173" s="50" t="n"/>
      <c r="J173" t="n">
        <v>163</v>
      </c>
      <c r="K173">
        <f>IF(A173="","",IF(ISNUMBER(A173),IF(A173&lt;=31,"",IF(A173&lt;=3112,IF(DATE(YR,MOD(A173,100),INT(A173/100))&gt;SAT1+7*NW-1,DATE(YR-1,MOD(A173,100),INT(A173/100)),DATE(YR,MOD(A173,100),INT(A173/100))),A173)),IFERROR(DATEVALUE(A173),"")))</f>
        <v/>
      </c>
      <c r="L173">
        <f>IF(K173="","",INT((K173-SAT1)/7)+1)</f>
        <v/>
      </c>
      <c r="M173">
        <f>IF(L173="","",IF(OR(L173&lt;1,L173&gt;NW),"",INDEX(WMON,L173)))</f>
        <v/>
      </c>
    </row>
    <row r="174">
      <c r="A174" s="48" t="n"/>
      <c r="B174" s="22" t="n"/>
      <c r="C174" s="22" t="n"/>
      <c r="D174" s="49" t="n"/>
      <c r="E174" s="49" t="n"/>
      <c r="F174" s="49" t="n"/>
      <c r="G174" s="50" t="n"/>
      <c r="J174" t="n">
        <v>164</v>
      </c>
      <c r="K174">
        <f>IF(A174="","",IF(ISNUMBER(A174),IF(A174&lt;=31,"",IF(A174&lt;=3112,IF(DATE(YR,MOD(A174,100),INT(A174/100))&gt;SAT1+7*NW-1,DATE(YR-1,MOD(A174,100),INT(A174/100)),DATE(YR,MOD(A174,100),INT(A174/100))),A174)),IFERROR(DATEVALUE(A174),"")))</f>
        <v/>
      </c>
      <c r="L174">
        <f>IF(K174="","",INT((K174-SAT1)/7)+1)</f>
        <v/>
      </c>
      <c r="M174">
        <f>IF(L174="","",IF(OR(L174&lt;1,L174&gt;NW),"",INDEX(WMON,L174)))</f>
        <v/>
      </c>
    </row>
    <row r="175">
      <c r="A175" s="48" t="n"/>
      <c r="B175" s="22" t="n"/>
      <c r="C175" s="22" t="n"/>
      <c r="D175" s="49" t="n"/>
      <c r="E175" s="49" t="n"/>
      <c r="F175" s="49" t="n"/>
      <c r="G175" s="50" t="n"/>
      <c r="J175" t="n">
        <v>165</v>
      </c>
      <c r="K175">
        <f>IF(A175="","",IF(ISNUMBER(A175),IF(A175&lt;=31,"",IF(A175&lt;=3112,IF(DATE(YR,MOD(A175,100),INT(A175/100))&gt;SAT1+7*NW-1,DATE(YR-1,MOD(A175,100),INT(A175/100)),DATE(YR,MOD(A175,100),INT(A175/100))),A175)),IFERROR(DATEVALUE(A175),"")))</f>
        <v/>
      </c>
      <c r="L175">
        <f>IF(K175="","",INT((K175-SAT1)/7)+1)</f>
        <v/>
      </c>
      <c r="M175">
        <f>IF(L175="","",IF(OR(L175&lt;1,L175&gt;NW),"",INDEX(WMON,L175)))</f>
        <v/>
      </c>
    </row>
    <row r="176">
      <c r="A176" s="48" t="n"/>
      <c r="B176" s="22" t="n"/>
      <c r="C176" s="22" t="n"/>
      <c r="D176" s="49" t="n"/>
      <c r="E176" s="49" t="n"/>
      <c r="F176" s="49" t="n"/>
      <c r="G176" s="50" t="n"/>
      <c r="J176" t="n">
        <v>166</v>
      </c>
      <c r="K176">
        <f>IF(A176="","",IF(ISNUMBER(A176),IF(A176&lt;=31,"",IF(A176&lt;=3112,IF(DATE(YR,MOD(A176,100),INT(A176/100))&gt;SAT1+7*NW-1,DATE(YR-1,MOD(A176,100),INT(A176/100)),DATE(YR,MOD(A176,100),INT(A176/100))),A176)),IFERROR(DATEVALUE(A176),"")))</f>
        <v/>
      </c>
      <c r="L176">
        <f>IF(K176="","",INT((K176-SAT1)/7)+1)</f>
        <v/>
      </c>
      <c r="M176">
        <f>IF(L176="","",IF(OR(L176&lt;1,L176&gt;NW),"",INDEX(WMON,L176)))</f>
        <v/>
      </c>
    </row>
    <row r="177">
      <c r="A177" s="48" t="n"/>
      <c r="B177" s="22" t="n"/>
      <c r="C177" s="22" t="n"/>
      <c r="D177" s="49" t="n"/>
      <c r="E177" s="49" t="n"/>
      <c r="F177" s="49" t="n"/>
      <c r="G177" s="50" t="n"/>
      <c r="J177" t="n">
        <v>167</v>
      </c>
      <c r="K177">
        <f>IF(A177="","",IF(ISNUMBER(A177),IF(A177&lt;=31,"",IF(A177&lt;=3112,IF(DATE(YR,MOD(A177,100),INT(A177/100))&gt;SAT1+7*NW-1,DATE(YR-1,MOD(A177,100),INT(A177/100)),DATE(YR,MOD(A177,100),INT(A177/100))),A177)),IFERROR(DATEVALUE(A177),"")))</f>
        <v/>
      </c>
      <c r="L177">
        <f>IF(K177="","",INT((K177-SAT1)/7)+1)</f>
        <v/>
      </c>
      <c r="M177">
        <f>IF(L177="","",IF(OR(L177&lt;1,L177&gt;NW),"",INDEX(WMON,L177)))</f>
        <v/>
      </c>
    </row>
    <row r="178">
      <c r="A178" s="48" t="n"/>
      <c r="B178" s="22" t="n"/>
      <c r="C178" s="22" t="n"/>
      <c r="D178" s="49" t="n"/>
      <c r="E178" s="49" t="n"/>
      <c r="F178" s="49" t="n"/>
      <c r="G178" s="50" t="n"/>
      <c r="J178" t="n">
        <v>168</v>
      </c>
      <c r="K178">
        <f>IF(A178="","",IF(ISNUMBER(A178),IF(A178&lt;=31,"",IF(A178&lt;=3112,IF(DATE(YR,MOD(A178,100),INT(A178/100))&gt;SAT1+7*NW-1,DATE(YR-1,MOD(A178,100),INT(A178/100)),DATE(YR,MOD(A178,100),INT(A178/100))),A178)),IFERROR(DATEVALUE(A178),"")))</f>
        <v/>
      </c>
      <c r="L178">
        <f>IF(K178="","",INT((K178-SAT1)/7)+1)</f>
        <v/>
      </c>
      <c r="M178">
        <f>IF(L178="","",IF(OR(L178&lt;1,L178&gt;NW),"",INDEX(WMON,L178)))</f>
        <v/>
      </c>
    </row>
    <row r="179">
      <c r="A179" s="48" t="n"/>
      <c r="B179" s="22" t="n"/>
      <c r="C179" s="22" t="n"/>
      <c r="D179" s="49" t="n"/>
      <c r="E179" s="49" t="n"/>
      <c r="F179" s="49" t="n"/>
      <c r="G179" s="50" t="n"/>
      <c r="J179" t="n">
        <v>169</v>
      </c>
      <c r="K179">
        <f>IF(A179="","",IF(ISNUMBER(A179),IF(A179&lt;=31,"",IF(A179&lt;=3112,IF(DATE(YR,MOD(A179,100),INT(A179/100))&gt;SAT1+7*NW-1,DATE(YR-1,MOD(A179,100),INT(A179/100)),DATE(YR,MOD(A179,100),INT(A179/100))),A179)),IFERROR(DATEVALUE(A179),"")))</f>
        <v/>
      </c>
      <c r="L179">
        <f>IF(K179="","",INT((K179-SAT1)/7)+1)</f>
        <v/>
      </c>
      <c r="M179">
        <f>IF(L179="","",IF(OR(L179&lt;1,L179&gt;NW),"",INDEX(WMON,L179)))</f>
        <v/>
      </c>
    </row>
    <row r="180">
      <c r="A180" s="48" t="n"/>
      <c r="B180" s="22" t="n"/>
      <c r="C180" s="22" t="n"/>
      <c r="D180" s="49" t="n"/>
      <c r="E180" s="49" t="n"/>
      <c r="F180" s="49" t="n"/>
      <c r="G180" s="50" t="n"/>
      <c r="J180" t="n">
        <v>170</v>
      </c>
      <c r="K180">
        <f>IF(A180="","",IF(ISNUMBER(A180),IF(A180&lt;=31,"",IF(A180&lt;=3112,IF(DATE(YR,MOD(A180,100),INT(A180/100))&gt;SAT1+7*NW-1,DATE(YR-1,MOD(A180,100),INT(A180/100)),DATE(YR,MOD(A180,100),INT(A180/100))),A180)),IFERROR(DATEVALUE(A180),"")))</f>
        <v/>
      </c>
      <c r="L180">
        <f>IF(K180="","",INT((K180-SAT1)/7)+1)</f>
        <v/>
      </c>
      <c r="M180">
        <f>IF(L180="","",IF(OR(L180&lt;1,L180&gt;NW),"",INDEX(WMON,L180)))</f>
        <v/>
      </c>
    </row>
    <row r="181">
      <c r="A181" s="48" t="n"/>
      <c r="B181" s="22" t="n"/>
      <c r="C181" s="22" t="n"/>
      <c r="D181" s="49" t="n"/>
      <c r="E181" s="49" t="n"/>
      <c r="F181" s="49" t="n"/>
      <c r="G181" s="50" t="n"/>
      <c r="J181" t="n">
        <v>171</v>
      </c>
      <c r="K181">
        <f>IF(A181="","",IF(ISNUMBER(A181),IF(A181&lt;=31,"",IF(A181&lt;=3112,IF(DATE(YR,MOD(A181,100),INT(A181/100))&gt;SAT1+7*NW-1,DATE(YR-1,MOD(A181,100),INT(A181/100)),DATE(YR,MOD(A181,100),INT(A181/100))),A181)),IFERROR(DATEVALUE(A181),"")))</f>
        <v/>
      </c>
      <c r="L181">
        <f>IF(K181="","",INT((K181-SAT1)/7)+1)</f>
        <v/>
      </c>
      <c r="M181">
        <f>IF(L181="","",IF(OR(L181&lt;1,L181&gt;NW),"",INDEX(WMON,L181)))</f>
        <v/>
      </c>
    </row>
    <row r="182">
      <c r="A182" s="48" t="n"/>
      <c r="B182" s="22" t="n"/>
      <c r="C182" s="22" t="n"/>
      <c r="D182" s="49" t="n"/>
      <c r="E182" s="49" t="n"/>
      <c r="F182" s="49" t="n"/>
      <c r="G182" s="50" t="n"/>
      <c r="J182" t="n">
        <v>172</v>
      </c>
      <c r="K182">
        <f>IF(A182="","",IF(ISNUMBER(A182),IF(A182&lt;=31,"",IF(A182&lt;=3112,IF(DATE(YR,MOD(A182,100),INT(A182/100))&gt;SAT1+7*NW-1,DATE(YR-1,MOD(A182,100),INT(A182/100)),DATE(YR,MOD(A182,100),INT(A182/100))),A182)),IFERROR(DATEVALUE(A182),"")))</f>
        <v/>
      </c>
      <c r="L182">
        <f>IF(K182="","",INT((K182-SAT1)/7)+1)</f>
        <v/>
      </c>
      <c r="M182">
        <f>IF(L182="","",IF(OR(L182&lt;1,L182&gt;NW),"",INDEX(WMON,L182)))</f>
        <v/>
      </c>
    </row>
    <row r="183">
      <c r="A183" s="48" t="n"/>
      <c r="B183" s="22" t="n"/>
      <c r="C183" s="22" t="n"/>
      <c r="D183" s="49" t="n"/>
      <c r="E183" s="49" t="n"/>
      <c r="F183" s="49" t="n"/>
      <c r="G183" s="50" t="n"/>
      <c r="J183" t="n">
        <v>173</v>
      </c>
      <c r="K183">
        <f>IF(A183="","",IF(ISNUMBER(A183),IF(A183&lt;=31,"",IF(A183&lt;=3112,IF(DATE(YR,MOD(A183,100),INT(A183/100))&gt;SAT1+7*NW-1,DATE(YR-1,MOD(A183,100),INT(A183/100)),DATE(YR,MOD(A183,100),INT(A183/100))),A183)),IFERROR(DATEVALUE(A183),"")))</f>
        <v/>
      </c>
      <c r="L183">
        <f>IF(K183="","",INT((K183-SAT1)/7)+1)</f>
        <v/>
      </c>
      <c r="M183">
        <f>IF(L183="","",IF(OR(L183&lt;1,L183&gt;NW),"",INDEX(WMON,L183)))</f>
        <v/>
      </c>
    </row>
    <row r="184">
      <c r="A184" s="48" t="n"/>
      <c r="B184" s="22" t="n"/>
      <c r="C184" s="22" t="n"/>
      <c r="D184" s="49" t="n"/>
      <c r="E184" s="49" t="n"/>
      <c r="F184" s="49" t="n"/>
      <c r="G184" s="50" t="n"/>
      <c r="J184" t="n">
        <v>174</v>
      </c>
      <c r="K184">
        <f>IF(A184="","",IF(ISNUMBER(A184),IF(A184&lt;=31,"",IF(A184&lt;=3112,IF(DATE(YR,MOD(A184,100),INT(A184/100))&gt;SAT1+7*NW-1,DATE(YR-1,MOD(A184,100),INT(A184/100)),DATE(YR,MOD(A184,100),INT(A184/100))),A184)),IFERROR(DATEVALUE(A184),"")))</f>
        <v/>
      </c>
      <c r="L184">
        <f>IF(K184="","",INT((K184-SAT1)/7)+1)</f>
        <v/>
      </c>
      <c r="M184">
        <f>IF(L184="","",IF(OR(L184&lt;1,L184&gt;NW),"",INDEX(WMON,L184)))</f>
        <v/>
      </c>
    </row>
    <row r="185">
      <c r="A185" s="48" t="n"/>
      <c r="B185" s="22" t="n"/>
      <c r="C185" s="22" t="n"/>
      <c r="D185" s="49" t="n"/>
      <c r="E185" s="49" t="n"/>
      <c r="F185" s="49" t="n"/>
      <c r="G185" s="50" t="n"/>
      <c r="J185" t="n">
        <v>175</v>
      </c>
      <c r="K185">
        <f>IF(A185="","",IF(ISNUMBER(A185),IF(A185&lt;=31,"",IF(A185&lt;=3112,IF(DATE(YR,MOD(A185,100),INT(A185/100))&gt;SAT1+7*NW-1,DATE(YR-1,MOD(A185,100),INT(A185/100)),DATE(YR,MOD(A185,100),INT(A185/100))),A185)),IFERROR(DATEVALUE(A185),"")))</f>
        <v/>
      </c>
      <c r="L185">
        <f>IF(K185="","",INT((K185-SAT1)/7)+1)</f>
        <v/>
      </c>
      <c r="M185">
        <f>IF(L185="","",IF(OR(L185&lt;1,L185&gt;NW),"",INDEX(WMON,L185)))</f>
        <v/>
      </c>
    </row>
    <row r="186">
      <c r="A186" s="48" t="n"/>
      <c r="B186" s="22" t="n"/>
      <c r="C186" s="22" t="n"/>
      <c r="D186" s="49" t="n"/>
      <c r="E186" s="49" t="n"/>
      <c r="F186" s="49" t="n"/>
      <c r="G186" s="50" t="n"/>
      <c r="J186" t="n">
        <v>176</v>
      </c>
      <c r="K186">
        <f>IF(A186="","",IF(ISNUMBER(A186),IF(A186&lt;=31,"",IF(A186&lt;=3112,IF(DATE(YR,MOD(A186,100),INT(A186/100))&gt;SAT1+7*NW-1,DATE(YR-1,MOD(A186,100),INT(A186/100)),DATE(YR,MOD(A186,100),INT(A186/100))),A186)),IFERROR(DATEVALUE(A186),"")))</f>
        <v/>
      </c>
      <c r="L186">
        <f>IF(K186="","",INT((K186-SAT1)/7)+1)</f>
        <v/>
      </c>
      <c r="M186">
        <f>IF(L186="","",IF(OR(L186&lt;1,L186&gt;NW),"",INDEX(WMON,L186)))</f>
        <v/>
      </c>
    </row>
    <row r="187">
      <c r="A187" s="48" t="n"/>
      <c r="B187" s="22" t="n"/>
      <c r="C187" s="22" t="n"/>
      <c r="D187" s="49" t="n"/>
      <c r="E187" s="49" t="n"/>
      <c r="F187" s="49" t="n"/>
      <c r="G187" s="50" t="n"/>
      <c r="J187" t="n">
        <v>177</v>
      </c>
      <c r="K187">
        <f>IF(A187="","",IF(ISNUMBER(A187),IF(A187&lt;=31,"",IF(A187&lt;=3112,IF(DATE(YR,MOD(A187,100),INT(A187/100))&gt;SAT1+7*NW-1,DATE(YR-1,MOD(A187,100),INT(A187/100)),DATE(YR,MOD(A187,100),INT(A187/100))),A187)),IFERROR(DATEVALUE(A187),"")))</f>
        <v/>
      </c>
      <c r="L187">
        <f>IF(K187="","",INT((K187-SAT1)/7)+1)</f>
        <v/>
      </c>
      <c r="M187">
        <f>IF(L187="","",IF(OR(L187&lt;1,L187&gt;NW),"",INDEX(WMON,L187)))</f>
        <v/>
      </c>
    </row>
    <row r="188">
      <c r="A188" s="48" t="n"/>
      <c r="B188" s="22" t="n"/>
      <c r="C188" s="22" t="n"/>
      <c r="D188" s="49" t="n"/>
      <c r="E188" s="49" t="n"/>
      <c r="F188" s="49" t="n"/>
      <c r="G188" s="50" t="n"/>
      <c r="J188" t="n">
        <v>178</v>
      </c>
      <c r="K188">
        <f>IF(A188="","",IF(ISNUMBER(A188),IF(A188&lt;=31,"",IF(A188&lt;=3112,IF(DATE(YR,MOD(A188,100),INT(A188/100))&gt;SAT1+7*NW-1,DATE(YR-1,MOD(A188,100),INT(A188/100)),DATE(YR,MOD(A188,100),INT(A188/100))),A188)),IFERROR(DATEVALUE(A188),"")))</f>
        <v/>
      </c>
      <c r="L188">
        <f>IF(K188="","",INT((K188-SAT1)/7)+1)</f>
        <v/>
      </c>
      <c r="M188">
        <f>IF(L188="","",IF(OR(L188&lt;1,L188&gt;NW),"",INDEX(WMON,L188)))</f>
        <v/>
      </c>
    </row>
    <row r="189">
      <c r="A189" s="48" t="n"/>
      <c r="B189" s="22" t="n"/>
      <c r="C189" s="22" t="n"/>
      <c r="D189" s="49" t="n"/>
      <c r="E189" s="49" t="n"/>
      <c r="F189" s="49" t="n"/>
      <c r="G189" s="50" t="n"/>
      <c r="J189" t="n">
        <v>179</v>
      </c>
      <c r="K189">
        <f>IF(A189="","",IF(ISNUMBER(A189),IF(A189&lt;=31,"",IF(A189&lt;=3112,IF(DATE(YR,MOD(A189,100),INT(A189/100))&gt;SAT1+7*NW-1,DATE(YR-1,MOD(A189,100),INT(A189/100)),DATE(YR,MOD(A189,100),INT(A189/100))),A189)),IFERROR(DATEVALUE(A189),"")))</f>
        <v/>
      </c>
      <c r="L189">
        <f>IF(K189="","",INT((K189-SAT1)/7)+1)</f>
        <v/>
      </c>
      <c r="M189">
        <f>IF(L189="","",IF(OR(L189&lt;1,L189&gt;NW),"",INDEX(WMON,L189)))</f>
        <v/>
      </c>
    </row>
    <row r="190">
      <c r="A190" s="48" t="n"/>
      <c r="B190" s="22" t="n"/>
      <c r="C190" s="22" t="n"/>
      <c r="D190" s="49" t="n"/>
      <c r="E190" s="49" t="n"/>
      <c r="F190" s="49" t="n"/>
      <c r="G190" s="50" t="n"/>
      <c r="J190" t="n">
        <v>180</v>
      </c>
      <c r="K190">
        <f>IF(A190="","",IF(ISNUMBER(A190),IF(A190&lt;=31,"",IF(A190&lt;=3112,IF(DATE(YR,MOD(A190,100),INT(A190/100))&gt;SAT1+7*NW-1,DATE(YR-1,MOD(A190,100),INT(A190/100)),DATE(YR,MOD(A190,100),INT(A190/100))),A190)),IFERROR(DATEVALUE(A190),"")))</f>
        <v/>
      </c>
      <c r="L190">
        <f>IF(K190="","",INT((K190-SAT1)/7)+1)</f>
        <v/>
      </c>
      <c r="M190">
        <f>IF(L190="","",IF(OR(L190&lt;1,L190&gt;NW),"",INDEX(WMON,L190)))</f>
        <v/>
      </c>
    </row>
    <row r="191">
      <c r="A191" s="48" t="n"/>
      <c r="B191" s="22" t="n"/>
      <c r="C191" s="22" t="n"/>
      <c r="D191" s="49" t="n"/>
      <c r="E191" s="49" t="n"/>
      <c r="F191" s="49" t="n"/>
      <c r="G191" s="50" t="n"/>
      <c r="J191" t="n">
        <v>181</v>
      </c>
      <c r="K191">
        <f>IF(A191="","",IF(ISNUMBER(A191),IF(A191&lt;=31,"",IF(A191&lt;=3112,IF(DATE(YR,MOD(A191,100),INT(A191/100))&gt;SAT1+7*NW-1,DATE(YR-1,MOD(A191,100),INT(A191/100)),DATE(YR,MOD(A191,100),INT(A191/100))),A191)),IFERROR(DATEVALUE(A191),"")))</f>
        <v/>
      </c>
      <c r="L191">
        <f>IF(K191="","",INT((K191-SAT1)/7)+1)</f>
        <v/>
      </c>
      <c r="M191">
        <f>IF(L191="","",IF(OR(L191&lt;1,L191&gt;NW),"",INDEX(WMON,L191)))</f>
        <v/>
      </c>
    </row>
    <row r="192">
      <c r="A192" s="48" t="n"/>
      <c r="B192" s="22" t="n"/>
      <c r="C192" s="22" t="n"/>
      <c r="D192" s="49" t="n"/>
      <c r="E192" s="49" t="n"/>
      <c r="F192" s="49" t="n"/>
      <c r="G192" s="50" t="n"/>
      <c r="J192" t="n">
        <v>182</v>
      </c>
      <c r="K192">
        <f>IF(A192="","",IF(ISNUMBER(A192),IF(A192&lt;=31,"",IF(A192&lt;=3112,IF(DATE(YR,MOD(A192,100),INT(A192/100))&gt;SAT1+7*NW-1,DATE(YR-1,MOD(A192,100),INT(A192/100)),DATE(YR,MOD(A192,100),INT(A192/100))),A192)),IFERROR(DATEVALUE(A192),"")))</f>
        <v/>
      </c>
      <c r="L192">
        <f>IF(K192="","",INT((K192-SAT1)/7)+1)</f>
        <v/>
      </c>
      <c r="M192">
        <f>IF(L192="","",IF(OR(L192&lt;1,L192&gt;NW),"",INDEX(WMON,L192)))</f>
        <v/>
      </c>
    </row>
    <row r="193">
      <c r="A193" s="48" t="n"/>
      <c r="B193" s="22" t="n"/>
      <c r="C193" s="22" t="n"/>
      <c r="D193" s="49" t="n"/>
      <c r="E193" s="49" t="n"/>
      <c r="F193" s="49" t="n"/>
      <c r="G193" s="50" t="n"/>
      <c r="J193" t="n">
        <v>183</v>
      </c>
      <c r="K193">
        <f>IF(A193="","",IF(ISNUMBER(A193),IF(A193&lt;=31,"",IF(A193&lt;=3112,IF(DATE(YR,MOD(A193,100),INT(A193/100))&gt;SAT1+7*NW-1,DATE(YR-1,MOD(A193,100),INT(A193/100)),DATE(YR,MOD(A193,100),INT(A193/100))),A193)),IFERROR(DATEVALUE(A193),"")))</f>
        <v/>
      </c>
      <c r="L193">
        <f>IF(K193="","",INT((K193-SAT1)/7)+1)</f>
        <v/>
      </c>
      <c r="M193">
        <f>IF(L193="","",IF(OR(L193&lt;1,L193&gt;NW),"",INDEX(WMON,L193)))</f>
        <v/>
      </c>
    </row>
    <row r="194">
      <c r="A194" s="48" t="n"/>
      <c r="B194" s="22" t="n"/>
      <c r="C194" s="22" t="n"/>
      <c r="D194" s="49" t="n"/>
      <c r="E194" s="49" t="n"/>
      <c r="F194" s="49" t="n"/>
      <c r="G194" s="50" t="n"/>
      <c r="J194" t="n">
        <v>184</v>
      </c>
      <c r="K194">
        <f>IF(A194="","",IF(ISNUMBER(A194),IF(A194&lt;=31,"",IF(A194&lt;=3112,IF(DATE(YR,MOD(A194,100),INT(A194/100))&gt;SAT1+7*NW-1,DATE(YR-1,MOD(A194,100),INT(A194/100)),DATE(YR,MOD(A194,100),INT(A194/100))),A194)),IFERROR(DATEVALUE(A194),"")))</f>
        <v/>
      </c>
      <c r="L194">
        <f>IF(K194="","",INT((K194-SAT1)/7)+1)</f>
        <v/>
      </c>
      <c r="M194">
        <f>IF(L194="","",IF(OR(L194&lt;1,L194&gt;NW),"",INDEX(WMON,L194)))</f>
        <v/>
      </c>
    </row>
    <row r="195">
      <c r="A195" s="48" t="n"/>
      <c r="B195" s="22" t="n"/>
      <c r="C195" s="22" t="n"/>
      <c r="D195" s="49" t="n"/>
      <c r="E195" s="49" t="n"/>
      <c r="F195" s="49" t="n"/>
      <c r="G195" s="50" t="n"/>
      <c r="J195" t="n">
        <v>185</v>
      </c>
      <c r="K195">
        <f>IF(A195="","",IF(ISNUMBER(A195),IF(A195&lt;=31,"",IF(A195&lt;=3112,IF(DATE(YR,MOD(A195,100),INT(A195/100))&gt;SAT1+7*NW-1,DATE(YR-1,MOD(A195,100),INT(A195/100)),DATE(YR,MOD(A195,100),INT(A195/100))),A195)),IFERROR(DATEVALUE(A195),"")))</f>
        <v/>
      </c>
      <c r="L195">
        <f>IF(K195="","",INT((K195-SAT1)/7)+1)</f>
        <v/>
      </c>
      <c r="M195">
        <f>IF(L195="","",IF(OR(L195&lt;1,L195&gt;NW),"",INDEX(WMON,L195)))</f>
        <v/>
      </c>
    </row>
    <row r="196">
      <c r="A196" s="48" t="n"/>
      <c r="B196" s="22" t="n"/>
      <c r="C196" s="22" t="n"/>
      <c r="D196" s="49" t="n"/>
      <c r="E196" s="49" t="n"/>
      <c r="F196" s="49" t="n"/>
      <c r="G196" s="50" t="n"/>
      <c r="J196" t="n">
        <v>186</v>
      </c>
      <c r="K196">
        <f>IF(A196="","",IF(ISNUMBER(A196),IF(A196&lt;=31,"",IF(A196&lt;=3112,IF(DATE(YR,MOD(A196,100),INT(A196/100))&gt;SAT1+7*NW-1,DATE(YR-1,MOD(A196,100),INT(A196/100)),DATE(YR,MOD(A196,100),INT(A196/100))),A196)),IFERROR(DATEVALUE(A196),"")))</f>
        <v/>
      </c>
      <c r="L196">
        <f>IF(K196="","",INT((K196-SAT1)/7)+1)</f>
        <v/>
      </c>
      <c r="M196">
        <f>IF(L196="","",IF(OR(L196&lt;1,L196&gt;NW),"",INDEX(WMON,L196)))</f>
        <v/>
      </c>
    </row>
    <row r="197">
      <c r="A197" s="48" t="n"/>
      <c r="B197" s="22" t="n"/>
      <c r="C197" s="22" t="n"/>
      <c r="D197" s="49" t="n"/>
      <c r="E197" s="49" t="n"/>
      <c r="F197" s="49" t="n"/>
      <c r="G197" s="50" t="n"/>
      <c r="J197" t="n">
        <v>187</v>
      </c>
      <c r="K197">
        <f>IF(A197="","",IF(ISNUMBER(A197),IF(A197&lt;=31,"",IF(A197&lt;=3112,IF(DATE(YR,MOD(A197,100),INT(A197/100))&gt;SAT1+7*NW-1,DATE(YR-1,MOD(A197,100),INT(A197/100)),DATE(YR,MOD(A197,100),INT(A197/100))),A197)),IFERROR(DATEVALUE(A197),"")))</f>
        <v/>
      </c>
      <c r="L197">
        <f>IF(K197="","",INT((K197-SAT1)/7)+1)</f>
        <v/>
      </c>
      <c r="M197">
        <f>IF(L197="","",IF(OR(L197&lt;1,L197&gt;NW),"",INDEX(WMON,L197)))</f>
        <v/>
      </c>
    </row>
    <row r="198">
      <c r="A198" s="48" t="n"/>
      <c r="B198" s="22" t="n"/>
      <c r="C198" s="22" t="n"/>
      <c r="D198" s="49" t="n"/>
      <c r="E198" s="49" t="n"/>
      <c r="F198" s="49" t="n"/>
      <c r="G198" s="50" t="n"/>
      <c r="J198" t="n">
        <v>188</v>
      </c>
      <c r="K198">
        <f>IF(A198="","",IF(ISNUMBER(A198),IF(A198&lt;=31,"",IF(A198&lt;=3112,IF(DATE(YR,MOD(A198,100),INT(A198/100))&gt;SAT1+7*NW-1,DATE(YR-1,MOD(A198,100),INT(A198/100)),DATE(YR,MOD(A198,100),INT(A198/100))),A198)),IFERROR(DATEVALUE(A198),"")))</f>
        <v/>
      </c>
      <c r="L198">
        <f>IF(K198="","",INT((K198-SAT1)/7)+1)</f>
        <v/>
      </c>
      <c r="M198">
        <f>IF(L198="","",IF(OR(L198&lt;1,L198&gt;NW),"",INDEX(WMON,L198)))</f>
        <v/>
      </c>
    </row>
    <row r="199">
      <c r="A199" s="48" t="n"/>
      <c r="B199" s="22" t="n"/>
      <c r="C199" s="22" t="n"/>
      <c r="D199" s="49" t="n"/>
      <c r="E199" s="49" t="n"/>
      <c r="F199" s="49" t="n"/>
      <c r="G199" s="50" t="n"/>
      <c r="J199" t="n">
        <v>189</v>
      </c>
      <c r="K199">
        <f>IF(A199="","",IF(ISNUMBER(A199),IF(A199&lt;=31,"",IF(A199&lt;=3112,IF(DATE(YR,MOD(A199,100),INT(A199/100))&gt;SAT1+7*NW-1,DATE(YR-1,MOD(A199,100),INT(A199/100)),DATE(YR,MOD(A199,100),INT(A199/100))),A199)),IFERROR(DATEVALUE(A199),"")))</f>
        <v/>
      </c>
      <c r="L199">
        <f>IF(K199="","",INT((K199-SAT1)/7)+1)</f>
        <v/>
      </c>
      <c r="M199">
        <f>IF(L199="","",IF(OR(L199&lt;1,L199&gt;NW),"",INDEX(WMON,L199)))</f>
        <v/>
      </c>
    </row>
    <row r="200">
      <c r="A200" s="48" t="n"/>
      <c r="B200" s="22" t="n"/>
      <c r="C200" s="22" t="n"/>
      <c r="D200" s="49" t="n"/>
      <c r="E200" s="49" t="n"/>
      <c r="F200" s="49" t="n"/>
      <c r="G200" s="50" t="n"/>
      <c r="J200" t="n">
        <v>190</v>
      </c>
      <c r="K200">
        <f>IF(A200="","",IF(ISNUMBER(A200),IF(A200&lt;=31,"",IF(A200&lt;=3112,IF(DATE(YR,MOD(A200,100),INT(A200/100))&gt;SAT1+7*NW-1,DATE(YR-1,MOD(A200,100),INT(A200/100)),DATE(YR,MOD(A200,100),INT(A200/100))),A200)),IFERROR(DATEVALUE(A200),"")))</f>
        <v/>
      </c>
      <c r="L200">
        <f>IF(K200="","",INT((K200-SAT1)/7)+1)</f>
        <v/>
      </c>
      <c r="M200">
        <f>IF(L200="","",IF(OR(L200&lt;1,L200&gt;NW),"",INDEX(WMON,L200)))</f>
        <v/>
      </c>
    </row>
    <row r="201">
      <c r="A201" s="48" t="n"/>
      <c r="B201" s="22" t="n"/>
      <c r="C201" s="22" t="n"/>
      <c r="D201" s="49" t="n"/>
      <c r="E201" s="49" t="n"/>
      <c r="F201" s="49" t="n"/>
      <c r="G201" s="50" t="n"/>
      <c r="J201" t="n">
        <v>191</v>
      </c>
      <c r="K201">
        <f>IF(A201="","",IF(ISNUMBER(A201),IF(A201&lt;=31,"",IF(A201&lt;=3112,IF(DATE(YR,MOD(A201,100),INT(A201/100))&gt;SAT1+7*NW-1,DATE(YR-1,MOD(A201,100),INT(A201/100)),DATE(YR,MOD(A201,100),INT(A201/100))),A201)),IFERROR(DATEVALUE(A201),"")))</f>
        <v/>
      </c>
      <c r="L201">
        <f>IF(K201="","",INT((K201-SAT1)/7)+1)</f>
        <v/>
      </c>
      <c r="M201">
        <f>IF(L201="","",IF(OR(L201&lt;1,L201&gt;NW),"",INDEX(WMON,L201)))</f>
        <v/>
      </c>
    </row>
    <row r="202">
      <c r="A202" s="48" t="n"/>
      <c r="B202" s="22" t="n"/>
      <c r="C202" s="22" t="n"/>
      <c r="D202" s="49" t="n"/>
      <c r="E202" s="49" t="n"/>
      <c r="F202" s="49" t="n"/>
      <c r="G202" s="50" t="n"/>
      <c r="J202" t="n">
        <v>192</v>
      </c>
      <c r="K202">
        <f>IF(A202="","",IF(ISNUMBER(A202),IF(A202&lt;=31,"",IF(A202&lt;=3112,IF(DATE(YR,MOD(A202,100),INT(A202/100))&gt;SAT1+7*NW-1,DATE(YR-1,MOD(A202,100),INT(A202/100)),DATE(YR,MOD(A202,100),INT(A202/100))),A202)),IFERROR(DATEVALUE(A202),"")))</f>
        <v/>
      </c>
      <c r="L202">
        <f>IF(K202="","",INT((K202-SAT1)/7)+1)</f>
        <v/>
      </c>
      <c r="M202">
        <f>IF(L202="","",IF(OR(L202&lt;1,L202&gt;NW),"",INDEX(WMON,L202)))</f>
        <v/>
      </c>
    </row>
    <row r="203">
      <c r="A203" s="48" t="n"/>
      <c r="B203" s="22" t="n"/>
      <c r="C203" s="22" t="n"/>
      <c r="D203" s="49" t="n"/>
      <c r="E203" s="49" t="n"/>
      <c r="F203" s="49" t="n"/>
      <c r="G203" s="50" t="n"/>
      <c r="J203" t="n">
        <v>193</v>
      </c>
      <c r="K203">
        <f>IF(A203="","",IF(ISNUMBER(A203),IF(A203&lt;=31,"",IF(A203&lt;=3112,IF(DATE(YR,MOD(A203,100),INT(A203/100))&gt;SAT1+7*NW-1,DATE(YR-1,MOD(A203,100),INT(A203/100)),DATE(YR,MOD(A203,100),INT(A203/100))),A203)),IFERROR(DATEVALUE(A203),"")))</f>
        <v/>
      </c>
      <c r="L203">
        <f>IF(K203="","",INT((K203-SAT1)/7)+1)</f>
        <v/>
      </c>
      <c r="M203">
        <f>IF(L203="","",IF(OR(L203&lt;1,L203&gt;NW),"",INDEX(WMON,L203)))</f>
        <v/>
      </c>
    </row>
    <row r="204">
      <c r="A204" s="48" t="n"/>
      <c r="B204" s="22" t="n"/>
      <c r="C204" s="22" t="n"/>
      <c r="D204" s="49" t="n"/>
      <c r="E204" s="49" t="n"/>
      <c r="F204" s="49" t="n"/>
      <c r="G204" s="50" t="n"/>
      <c r="J204" t="n">
        <v>194</v>
      </c>
      <c r="K204">
        <f>IF(A204="","",IF(ISNUMBER(A204),IF(A204&lt;=31,"",IF(A204&lt;=3112,IF(DATE(YR,MOD(A204,100),INT(A204/100))&gt;SAT1+7*NW-1,DATE(YR-1,MOD(A204,100),INT(A204/100)),DATE(YR,MOD(A204,100),INT(A204/100))),A204)),IFERROR(DATEVALUE(A204),"")))</f>
        <v/>
      </c>
      <c r="L204">
        <f>IF(K204="","",INT((K204-SAT1)/7)+1)</f>
        <v/>
      </c>
      <c r="M204">
        <f>IF(L204="","",IF(OR(L204&lt;1,L204&gt;NW),"",INDEX(WMON,L204)))</f>
        <v/>
      </c>
    </row>
    <row r="205">
      <c r="A205" s="48" t="n"/>
      <c r="B205" s="22" t="n"/>
      <c r="C205" s="22" t="n"/>
      <c r="D205" s="49" t="n"/>
      <c r="E205" s="49" t="n"/>
      <c r="F205" s="49" t="n"/>
      <c r="G205" s="50" t="n"/>
      <c r="J205" t="n">
        <v>195</v>
      </c>
      <c r="K205">
        <f>IF(A205="","",IF(ISNUMBER(A205),IF(A205&lt;=31,"",IF(A205&lt;=3112,IF(DATE(YR,MOD(A205,100),INT(A205/100))&gt;SAT1+7*NW-1,DATE(YR-1,MOD(A205,100),INT(A205/100)),DATE(YR,MOD(A205,100),INT(A205/100))),A205)),IFERROR(DATEVALUE(A205),"")))</f>
        <v/>
      </c>
      <c r="L205">
        <f>IF(K205="","",INT((K205-SAT1)/7)+1)</f>
        <v/>
      </c>
      <c r="M205">
        <f>IF(L205="","",IF(OR(L205&lt;1,L205&gt;NW),"",INDEX(WMON,L205)))</f>
        <v/>
      </c>
    </row>
    <row r="206">
      <c r="A206" s="48" t="n"/>
      <c r="B206" s="22" t="n"/>
      <c r="C206" s="22" t="n"/>
      <c r="D206" s="49" t="n"/>
      <c r="E206" s="49" t="n"/>
      <c r="F206" s="49" t="n"/>
      <c r="G206" s="50" t="n"/>
      <c r="J206" t="n">
        <v>196</v>
      </c>
      <c r="K206">
        <f>IF(A206="","",IF(ISNUMBER(A206),IF(A206&lt;=31,"",IF(A206&lt;=3112,IF(DATE(YR,MOD(A206,100),INT(A206/100))&gt;SAT1+7*NW-1,DATE(YR-1,MOD(A206,100),INT(A206/100)),DATE(YR,MOD(A206,100),INT(A206/100))),A206)),IFERROR(DATEVALUE(A206),"")))</f>
        <v/>
      </c>
      <c r="L206">
        <f>IF(K206="","",INT((K206-SAT1)/7)+1)</f>
        <v/>
      </c>
      <c r="M206">
        <f>IF(L206="","",IF(OR(L206&lt;1,L206&gt;NW),"",INDEX(WMON,L206)))</f>
        <v/>
      </c>
    </row>
    <row r="207">
      <c r="A207" s="48" t="n"/>
      <c r="B207" s="22" t="n"/>
      <c r="C207" s="22" t="n"/>
      <c r="D207" s="49" t="n"/>
      <c r="E207" s="49" t="n"/>
      <c r="F207" s="49" t="n"/>
      <c r="G207" s="50" t="n"/>
      <c r="J207" t="n">
        <v>197</v>
      </c>
      <c r="K207">
        <f>IF(A207="","",IF(ISNUMBER(A207),IF(A207&lt;=31,"",IF(A207&lt;=3112,IF(DATE(YR,MOD(A207,100),INT(A207/100))&gt;SAT1+7*NW-1,DATE(YR-1,MOD(A207,100),INT(A207/100)),DATE(YR,MOD(A207,100),INT(A207/100))),A207)),IFERROR(DATEVALUE(A207),"")))</f>
        <v/>
      </c>
      <c r="L207">
        <f>IF(K207="","",INT((K207-SAT1)/7)+1)</f>
        <v/>
      </c>
      <c r="M207">
        <f>IF(L207="","",IF(OR(L207&lt;1,L207&gt;NW),"",INDEX(WMON,L207)))</f>
        <v/>
      </c>
    </row>
    <row r="208">
      <c r="A208" s="48" t="n"/>
      <c r="B208" s="22" t="n"/>
      <c r="C208" s="22" t="n"/>
      <c r="D208" s="49" t="n"/>
      <c r="E208" s="49" t="n"/>
      <c r="F208" s="49" t="n"/>
      <c r="G208" s="50" t="n"/>
      <c r="J208" t="n">
        <v>198</v>
      </c>
      <c r="K208">
        <f>IF(A208="","",IF(ISNUMBER(A208),IF(A208&lt;=31,"",IF(A208&lt;=3112,IF(DATE(YR,MOD(A208,100),INT(A208/100))&gt;SAT1+7*NW-1,DATE(YR-1,MOD(A208,100),INT(A208/100)),DATE(YR,MOD(A208,100),INT(A208/100))),A208)),IFERROR(DATEVALUE(A208),"")))</f>
        <v/>
      </c>
      <c r="L208">
        <f>IF(K208="","",INT((K208-SAT1)/7)+1)</f>
        <v/>
      </c>
      <c r="M208">
        <f>IF(L208="","",IF(OR(L208&lt;1,L208&gt;NW),"",INDEX(WMON,L208)))</f>
        <v/>
      </c>
    </row>
    <row r="209">
      <c r="A209" s="48" t="n"/>
      <c r="B209" s="22" t="n"/>
      <c r="C209" s="22" t="n"/>
      <c r="D209" s="49" t="n"/>
      <c r="E209" s="49" t="n"/>
      <c r="F209" s="49" t="n"/>
      <c r="G209" s="50" t="n"/>
      <c r="J209" t="n">
        <v>199</v>
      </c>
      <c r="K209">
        <f>IF(A209="","",IF(ISNUMBER(A209),IF(A209&lt;=31,"",IF(A209&lt;=3112,IF(DATE(YR,MOD(A209,100),INT(A209/100))&gt;SAT1+7*NW-1,DATE(YR-1,MOD(A209,100),INT(A209/100)),DATE(YR,MOD(A209,100),INT(A209/100))),A209)),IFERROR(DATEVALUE(A209),"")))</f>
        <v/>
      </c>
      <c r="L209">
        <f>IF(K209="","",INT((K209-SAT1)/7)+1)</f>
        <v/>
      </c>
      <c r="M209">
        <f>IF(L209="","",IF(OR(L209&lt;1,L209&gt;NW),"",INDEX(WMON,L209)))</f>
        <v/>
      </c>
    </row>
    <row r="210">
      <c r="A210" s="48" t="n"/>
      <c r="B210" s="22" t="n"/>
      <c r="C210" s="22" t="n"/>
      <c r="D210" s="49" t="n"/>
      <c r="E210" s="49" t="n"/>
      <c r="F210" s="49" t="n"/>
      <c r="G210" s="50" t="n"/>
      <c r="J210" t="n">
        <v>200</v>
      </c>
      <c r="K210">
        <f>IF(A210="","",IF(ISNUMBER(A210),IF(A210&lt;=31,"",IF(A210&lt;=3112,IF(DATE(YR,MOD(A210,100),INT(A210/100))&gt;SAT1+7*NW-1,DATE(YR-1,MOD(A210,100),INT(A210/100)),DATE(YR,MOD(A210,100),INT(A210/100))),A210)),IFERROR(DATEVALUE(A210),"")))</f>
        <v/>
      </c>
      <c r="L210">
        <f>IF(K210="","",INT((K210-SAT1)/7)+1)</f>
        <v/>
      </c>
      <c r="M210">
        <f>IF(L210="","",IF(OR(L210&lt;1,L210&gt;NW),"",INDEX(WMON,L210)))</f>
        <v/>
      </c>
    </row>
    <row r="212">
      <c r="A212" s="52">
        <f>"ضل "&amp;COUNTBLANK(A11:A210)&amp;" سطر فاضي"</f>
        <v/>
      </c>
      <c r="B212" s="17" t="inlineStr">
        <is>
          <t>أمثلة: 0710 · عمر المصري · بضاعة · 45.000 · القسط 15.000 · «درم ديلوكس ابيض ×2»   |   0910 · عمر المصري · قرض كاش · 497.000 · القسط 30.000   |   2010 · عمر المصري · دفع كاش من جيبته 50.000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:G1"/>
    <mergeCell ref="A8:G8"/>
    <mergeCell ref="B212:G212"/>
    <mergeCell ref="A2:G2"/>
    <mergeCell ref="A7:G7"/>
  </mergeCells>
  <conditionalFormatting sqref="C11:C210">
    <cfRule type="expression" priority="1" dxfId="0">
      <formula>AND($D11&lt;&gt;"",$C11="")</formula>
    </cfRule>
  </conditionalFormatting>
  <conditionalFormatting sqref="G11:G210">
    <cfRule type="expression" priority="2" dxfId="0">
      <formula>AND($C11="بضاعة",$G11="")</formula>
    </cfRule>
  </conditionalFormatting>
  <conditionalFormatting sqref="A11:G210">
    <cfRule type="expression" priority="3" dxfId="5">
      <formula>AND($A11&lt;&gt;"",$K11="")</formula>
    </cfRule>
  </conditionalFormatting>
  <dataValidations count="3">
    <dataValidation sqref="B11:B210" showDropDown="0" showInputMessage="0" showErrorMessage="0" allowBlank="1" type="list">
      <formula1>"عمر المصري,عبدالعزيز"</formula1>
    </dataValidation>
    <dataValidation sqref="A11:A210" showDropDown="0" showInputMessage="1" showErrorMessage="0" allowBlank="1" promptTitle="التاريخ" prompt="اختار من آخر 14 يوم، أو اكتب يوم وشهر (0510 = 05/10)، أو التاريخ كامل" type="list">
      <formula1>='القوائم'!$N$1:$N$14</formula1>
    </dataValidation>
    <dataValidation sqref="C11:C210" showDropDown="0" showInputMessage="1" showErrorMessage="0" allowBlank="1" promptTitle="" prompt="بضاعة · قرض كاش · دين قديم" type="list">
      <formula1>"بضاعة,قرض كاش,دين قديم"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0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40" customWidth="1" min="3" max="3"/>
    <col width="16" customWidth="1" min="4" max="4"/>
    <col width="32" customWidth="1" min="5" max="5"/>
    <col hidden="1"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 ht="32" customHeight="1">
      <c r="A1" s="56" t="inlineStr">
        <is>
          <t>عمال المهام — بيندفعلهم مباشرة</t>
        </is>
      </c>
    </row>
    <row r="2" ht="22" customHeight="1">
      <c r="A2" s="57">
        <f>"سنة "&amp;YR&amp;"   (السنة بتنختار من ورقة التسوية)"</f>
        <v/>
      </c>
    </row>
    <row r="3">
      <c r="A3" s="17" t="inlineStr">
        <is>
          <t>كل مهمة سطر: التاريخ، العامل، شو عمل، وقديش أخذ. بلا أسعار ثابتة. بتنحسب على شهر جمعة أسبوعها.</t>
        </is>
      </c>
    </row>
    <row r="5" ht="30" customHeight="1">
      <c r="A5" s="58" t="inlineStr">
        <is>
          <t>التاريخ</t>
        </is>
      </c>
      <c r="B5" s="58" t="inlineStr">
        <is>
          <t>اسم العامل</t>
        </is>
      </c>
      <c r="C5" s="58" t="inlineStr">
        <is>
          <t>المهمة</t>
        </is>
      </c>
      <c r="D5" s="58" t="inlineStr">
        <is>
          <t>المبلغ المدفوع (دينار)</t>
        </is>
      </c>
      <c r="E5" s="58" t="inlineStr">
        <is>
          <t>ملاحظات</t>
        </is>
      </c>
    </row>
    <row r="6">
      <c r="A6" s="48" t="n"/>
      <c r="B6" s="22" t="n"/>
      <c r="C6" s="50" t="n"/>
      <c r="D6" s="49" t="n"/>
      <c r="E6" s="50" t="n"/>
      <c r="G6">
        <f>IF(AND(B6&lt;&gt;"",COUNTIF(B$6:B6,B6)=1),MAX(G$5:G5)+1,"")</f>
        <v/>
      </c>
      <c r="H6">
        <f>IF(A6="","",IF(ISNUMBER(A6),IF(A6&lt;=31,"",IF(A6&lt;=3112,IF(DATE(YR,MOD(A6,100),INT(A6/100))&gt;SAT1+7*NW-1,DATE(YR-1,MOD(A6,100),INT(A6/100)),DATE(YR,MOD(A6,100),INT(A6/100))),A6)),IFERROR(DATEVALUE(A6),"")))</f>
        <v/>
      </c>
      <c r="I6">
        <f>IF(H6="","",INT((H6-SAT1)/7)+1)</f>
        <v/>
      </c>
      <c r="J6">
        <f>IF(I6="","",IF(OR(I6&lt;1,I6&gt;NW),"",INDEX(WMON,I6)))</f>
        <v/>
      </c>
    </row>
    <row r="7">
      <c r="A7" s="48" t="n"/>
      <c r="B7" s="22" t="n"/>
      <c r="C7" s="50" t="n"/>
      <c r="D7" s="49" t="n"/>
      <c r="E7" s="50" t="n"/>
      <c r="G7">
        <f>IF(AND(B7&lt;&gt;"",COUNTIF(B$6:B7,B7)=1),MAX(G$5:G6)+1,"")</f>
        <v/>
      </c>
      <c r="H7">
        <f>IF(A7="","",IF(ISNUMBER(A7),IF(A7&lt;=31,"",IF(A7&lt;=3112,IF(DATE(YR,MOD(A7,100),INT(A7/100))&gt;SAT1+7*NW-1,DATE(YR-1,MOD(A7,100),INT(A7/100)),DATE(YR,MOD(A7,100),INT(A7/100))),A7)),IFERROR(DATEVALUE(A7),"")))</f>
        <v/>
      </c>
      <c r="I7">
        <f>IF(H7="","",INT((H7-SAT1)/7)+1)</f>
        <v/>
      </c>
      <c r="J7">
        <f>IF(I7="","",IF(OR(I7&lt;1,I7&gt;NW),"",INDEX(WMON,I7)))</f>
        <v/>
      </c>
    </row>
    <row r="8">
      <c r="A8" s="48" t="n"/>
      <c r="B8" s="22" t="n"/>
      <c r="C8" s="50" t="n"/>
      <c r="D8" s="49" t="n"/>
      <c r="E8" s="50" t="n"/>
      <c r="G8">
        <f>IF(AND(B8&lt;&gt;"",COUNTIF(B$6:B8,B8)=1),MAX(G$5:G7)+1,"")</f>
        <v/>
      </c>
      <c r="H8">
        <f>IF(A8="","",IF(ISNUMBER(A8),IF(A8&lt;=31,"",IF(A8&lt;=3112,IF(DATE(YR,MOD(A8,100),INT(A8/100))&gt;SAT1+7*NW-1,DATE(YR-1,MOD(A8,100),INT(A8/100)),DATE(YR,MOD(A8,100),INT(A8/100))),A8)),IFERROR(DATEVALUE(A8),"")))</f>
        <v/>
      </c>
      <c r="I8">
        <f>IF(H8="","",INT((H8-SAT1)/7)+1)</f>
        <v/>
      </c>
      <c r="J8">
        <f>IF(I8="","",IF(OR(I8&lt;1,I8&gt;NW),"",INDEX(WMON,I8)))</f>
        <v/>
      </c>
    </row>
    <row r="9">
      <c r="A9" s="48" t="n"/>
      <c r="B9" s="22" t="n"/>
      <c r="C9" s="50" t="n"/>
      <c r="D9" s="49" t="n"/>
      <c r="E9" s="50" t="n"/>
      <c r="G9">
        <f>IF(AND(B9&lt;&gt;"",COUNTIF(B$6:B9,B9)=1),MAX(G$5:G8)+1,"")</f>
        <v/>
      </c>
      <c r="H9">
        <f>IF(A9="","",IF(ISNUMBER(A9),IF(A9&lt;=31,"",IF(A9&lt;=3112,IF(DATE(YR,MOD(A9,100),INT(A9/100))&gt;SAT1+7*NW-1,DATE(YR-1,MOD(A9,100),INT(A9/100)),DATE(YR,MOD(A9,100),INT(A9/100))),A9)),IFERROR(DATEVALUE(A9),"")))</f>
        <v/>
      </c>
      <c r="I9">
        <f>IF(H9="","",INT((H9-SAT1)/7)+1)</f>
        <v/>
      </c>
      <c r="J9">
        <f>IF(I9="","",IF(OR(I9&lt;1,I9&gt;NW),"",INDEX(WMON,I9)))</f>
        <v/>
      </c>
    </row>
    <row r="10">
      <c r="A10" s="48" t="n"/>
      <c r="B10" s="22" t="n"/>
      <c r="C10" s="50" t="n"/>
      <c r="D10" s="49" t="n"/>
      <c r="E10" s="50" t="n"/>
      <c r="G10">
        <f>IF(AND(B10&lt;&gt;"",COUNTIF(B$6:B10,B10)=1),MAX(G$5:G9)+1,"")</f>
        <v/>
      </c>
      <c r="H10">
        <f>IF(A10="","",IF(ISNUMBER(A10),IF(A10&lt;=31,"",IF(A10&lt;=3112,IF(DATE(YR,MOD(A10,100),INT(A10/100))&gt;SAT1+7*NW-1,DATE(YR-1,MOD(A10,100),INT(A10/100)),DATE(YR,MOD(A10,100),INT(A10/100))),A10)),IFERROR(DATEVALUE(A10),"")))</f>
        <v/>
      </c>
      <c r="I10">
        <f>IF(H10="","",INT((H10-SAT1)/7)+1)</f>
        <v/>
      </c>
      <c r="J10">
        <f>IF(I10="","",IF(OR(I10&lt;1,I10&gt;NW),"",INDEX(WMON,I10)))</f>
        <v/>
      </c>
    </row>
    <row r="11">
      <c r="A11" s="48" t="n"/>
      <c r="B11" s="22" t="n"/>
      <c r="C11" s="50" t="n"/>
      <c r="D11" s="49" t="n"/>
      <c r="E11" s="50" t="n"/>
      <c r="G11">
        <f>IF(AND(B11&lt;&gt;"",COUNTIF(B$6:B11,B11)=1),MAX(G$5:G10)+1,"")</f>
        <v/>
      </c>
      <c r="H11">
        <f>IF(A11="","",IF(ISNUMBER(A11),IF(A11&lt;=31,"",IF(A11&lt;=3112,IF(DATE(YR,MOD(A11,100),INT(A11/100))&gt;SAT1+7*NW-1,DATE(YR-1,MOD(A11,100),INT(A11/100)),DATE(YR,MOD(A11,100),INT(A11/100))),A11)),IFERROR(DATEVALUE(A11),"")))</f>
        <v/>
      </c>
      <c r="I11">
        <f>IF(H11="","",INT((H11-SAT1)/7)+1)</f>
        <v/>
      </c>
      <c r="J11">
        <f>IF(I11="","",IF(OR(I11&lt;1,I11&gt;NW),"",INDEX(WMON,I11)))</f>
        <v/>
      </c>
    </row>
    <row r="12">
      <c r="A12" s="48" t="n"/>
      <c r="B12" s="22" t="n"/>
      <c r="C12" s="50" t="n"/>
      <c r="D12" s="49" t="n"/>
      <c r="E12" s="50" t="n"/>
      <c r="G12">
        <f>IF(AND(B12&lt;&gt;"",COUNTIF(B$6:B12,B12)=1),MAX(G$5:G11)+1,"")</f>
        <v/>
      </c>
      <c r="H12">
        <f>IF(A12="","",IF(ISNUMBER(A12),IF(A12&lt;=31,"",IF(A12&lt;=3112,IF(DATE(YR,MOD(A12,100),INT(A12/100))&gt;SAT1+7*NW-1,DATE(YR-1,MOD(A12,100),INT(A12/100)),DATE(YR,MOD(A12,100),INT(A12/100))),A12)),IFERROR(DATEVALUE(A12),"")))</f>
        <v/>
      </c>
      <c r="I12">
        <f>IF(H12="","",INT((H12-SAT1)/7)+1)</f>
        <v/>
      </c>
      <c r="J12">
        <f>IF(I12="","",IF(OR(I12&lt;1,I12&gt;NW),"",INDEX(WMON,I12)))</f>
        <v/>
      </c>
    </row>
    <row r="13">
      <c r="A13" s="48" t="n"/>
      <c r="B13" s="22" t="n"/>
      <c r="C13" s="50" t="n"/>
      <c r="D13" s="49" t="n"/>
      <c r="E13" s="50" t="n"/>
      <c r="G13">
        <f>IF(AND(B13&lt;&gt;"",COUNTIF(B$6:B13,B13)=1),MAX(G$5:G12)+1,"")</f>
        <v/>
      </c>
      <c r="H13">
        <f>IF(A13="","",IF(ISNUMBER(A13),IF(A13&lt;=31,"",IF(A13&lt;=3112,IF(DATE(YR,MOD(A13,100),INT(A13/100))&gt;SAT1+7*NW-1,DATE(YR-1,MOD(A13,100),INT(A13/100)),DATE(YR,MOD(A13,100),INT(A13/100))),A13)),IFERROR(DATEVALUE(A13),"")))</f>
        <v/>
      </c>
      <c r="I13">
        <f>IF(H13="","",INT((H13-SAT1)/7)+1)</f>
        <v/>
      </c>
      <c r="J13">
        <f>IF(I13="","",IF(OR(I13&lt;1,I13&gt;NW),"",INDEX(WMON,I13)))</f>
        <v/>
      </c>
    </row>
    <row r="14">
      <c r="A14" s="48" t="n"/>
      <c r="B14" s="22" t="n"/>
      <c r="C14" s="50" t="n"/>
      <c r="D14" s="49" t="n"/>
      <c r="E14" s="50" t="n"/>
      <c r="G14">
        <f>IF(AND(B14&lt;&gt;"",COUNTIF(B$6:B14,B14)=1),MAX(G$5:G13)+1,"")</f>
        <v/>
      </c>
      <c r="H14">
        <f>IF(A14="","",IF(ISNUMBER(A14),IF(A14&lt;=31,"",IF(A14&lt;=3112,IF(DATE(YR,MOD(A14,100),INT(A14/100))&gt;SAT1+7*NW-1,DATE(YR-1,MOD(A14,100),INT(A14/100)),DATE(YR,MOD(A14,100),INT(A14/100))),A14)),IFERROR(DATEVALUE(A14),"")))</f>
        <v/>
      </c>
      <c r="I14">
        <f>IF(H14="","",INT((H14-SAT1)/7)+1)</f>
        <v/>
      </c>
      <c r="J14">
        <f>IF(I14="","",IF(OR(I14&lt;1,I14&gt;NW),"",INDEX(WMON,I14)))</f>
        <v/>
      </c>
    </row>
    <row r="15">
      <c r="A15" s="48" t="n"/>
      <c r="B15" s="22" t="n"/>
      <c r="C15" s="50" t="n"/>
      <c r="D15" s="49" t="n"/>
      <c r="E15" s="50" t="n"/>
      <c r="G15">
        <f>IF(AND(B15&lt;&gt;"",COUNTIF(B$6:B15,B15)=1),MAX(G$5:G14)+1,"")</f>
        <v/>
      </c>
      <c r="H15">
        <f>IF(A15="","",IF(ISNUMBER(A15),IF(A15&lt;=31,"",IF(A15&lt;=3112,IF(DATE(YR,MOD(A15,100),INT(A15/100))&gt;SAT1+7*NW-1,DATE(YR-1,MOD(A15,100),INT(A15/100)),DATE(YR,MOD(A15,100),INT(A15/100))),A15)),IFERROR(DATEVALUE(A15),"")))</f>
        <v/>
      </c>
      <c r="I15">
        <f>IF(H15="","",INT((H15-SAT1)/7)+1)</f>
        <v/>
      </c>
      <c r="J15">
        <f>IF(I15="","",IF(OR(I15&lt;1,I15&gt;NW),"",INDEX(WMON,I15)))</f>
        <v/>
      </c>
    </row>
    <row r="16">
      <c r="A16" s="48" t="n"/>
      <c r="B16" s="22" t="n"/>
      <c r="C16" s="50" t="n"/>
      <c r="D16" s="49" t="n"/>
      <c r="E16" s="50" t="n"/>
      <c r="G16">
        <f>IF(AND(B16&lt;&gt;"",COUNTIF(B$6:B16,B16)=1),MAX(G$5:G15)+1,"")</f>
        <v/>
      </c>
      <c r="H16">
        <f>IF(A16="","",IF(ISNUMBER(A16),IF(A16&lt;=31,"",IF(A16&lt;=3112,IF(DATE(YR,MOD(A16,100),INT(A16/100))&gt;SAT1+7*NW-1,DATE(YR-1,MOD(A16,100),INT(A16/100)),DATE(YR,MOD(A16,100),INT(A16/100))),A16)),IFERROR(DATEVALUE(A16),"")))</f>
        <v/>
      </c>
      <c r="I16">
        <f>IF(H16="","",INT((H16-SAT1)/7)+1)</f>
        <v/>
      </c>
      <c r="J16">
        <f>IF(I16="","",IF(OR(I16&lt;1,I16&gt;NW),"",INDEX(WMON,I16)))</f>
        <v/>
      </c>
    </row>
    <row r="17">
      <c r="A17" s="48" t="n"/>
      <c r="B17" s="22" t="n"/>
      <c r="C17" s="50" t="n"/>
      <c r="D17" s="49" t="n"/>
      <c r="E17" s="50" t="n"/>
      <c r="G17">
        <f>IF(AND(B17&lt;&gt;"",COUNTIF(B$6:B17,B17)=1),MAX(G$5:G16)+1,"")</f>
        <v/>
      </c>
      <c r="H17">
        <f>IF(A17="","",IF(ISNUMBER(A17),IF(A17&lt;=31,"",IF(A17&lt;=3112,IF(DATE(YR,MOD(A17,100),INT(A17/100))&gt;SAT1+7*NW-1,DATE(YR-1,MOD(A17,100),INT(A17/100)),DATE(YR,MOD(A17,100),INT(A17/100))),A17)),IFERROR(DATEVALUE(A17),"")))</f>
        <v/>
      </c>
      <c r="I17">
        <f>IF(H17="","",INT((H17-SAT1)/7)+1)</f>
        <v/>
      </c>
      <c r="J17">
        <f>IF(I17="","",IF(OR(I17&lt;1,I17&gt;NW),"",INDEX(WMON,I17)))</f>
        <v/>
      </c>
    </row>
    <row r="18">
      <c r="A18" s="48" t="n"/>
      <c r="B18" s="22" t="n"/>
      <c r="C18" s="50" t="n"/>
      <c r="D18" s="49" t="n"/>
      <c r="E18" s="50" t="n"/>
      <c r="G18">
        <f>IF(AND(B18&lt;&gt;"",COUNTIF(B$6:B18,B18)=1),MAX(G$5:G17)+1,"")</f>
        <v/>
      </c>
      <c r="H18">
        <f>IF(A18="","",IF(ISNUMBER(A18),IF(A18&lt;=31,"",IF(A18&lt;=3112,IF(DATE(YR,MOD(A18,100),INT(A18/100))&gt;SAT1+7*NW-1,DATE(YR-1,MOD(A18,100),INT(A18/100)),DATE(YR,MOD(A18,100),INT(A18/100))),A18)),IFERROR(DATEVALUE(A18),"")))</f>
        <v/>
      </c>
      <c r="I18">
        <f>IF(H18="","",INT((H18-SAT1)/7)+1)</f>
        <v/>
      </c>
      <c r="J18">
        <f>IF(I18="","",IF(OR(I18&lt;1,I18&gt;NW),"",INDEX(WMON,I18)))</f>
        <v/>
      </c>
    </row>
    <row r="19">
      <c r="A19" s="48" t="n"/>
      <c r="B19" s="22" t="n"/>
      <c r="C19" s="50" t="n"/>
      <c r="D19" s="49" t="n"/>
      <c r="E19" s="50" t="n"/>
      <c r="G19">
        <f>IF(AND(B19&lt;&gt;"",COUNTIF(B$6:B19,B19)=1),MAX(G$5:G18)+1,"")</f>
        <v/>
      </c>
      <c r="H19">
        <f>IF(A19="","",IF(ISNUMBER(A19),IF(A19&lt;=31,"",IF(A19&lt;=3112,IF(DATE(YR,MOD(A19,100),INT(A19/100))&gt;SAT1+7*NW-1,DATE(YR-1,MOD(A19,100),INT(A19/100)),DATE(YR,MOD(A19,100),INT(A19/100))),A19)),IFERROR(DATEVALUE(A19),"")))</f>
        <v/>
      </c>
      <c r="I19">
        <f>IF(H19="","",INT((H19-SAT1)/7)+1)</f>
        <v/>
      </c>
      <c r="J19">
        <f>IF(I19="","",IF(OR(I19&lt;1,I19&gt;NW),"",INDEX(WMON,I19)))</f>
        <v/>
      </c>
    </row>
    <row r="20">
      <c r="A20" s="48" t="n"/>
      <c r="B20" s="22" t="n"/>
      <c r="C20" s="50" t="n"/>
      <c r="D20" s="49" t="n"/>
      <c r="E20" s="50" t="n"/>
      <c r="G20">
        <f>IF(AND(B20&lt;&gt;"",COUNTIF(B$6:B20,B20)=1),MAX(G$5:G19)+1,"")</f>
        <v/>
      </c>
      <c r="H20">
        <f>IF(A20="","",IF(ISNUMBER(A20),IF(A20&lt;=31,"",IF(A20&lt;=3112,IF(DATE(YR,MOD(A20,100),INT(A20/100))&gt;SAT1+7*NW-1,DATE(YR-1,MOD(A20,100),INT(A20/100)),DATE(YR,MOD(A20,100),INT(A20/100))),A20)),IFERROR(DATEVALUE(A20),"")))</f>
        <v/>
      </c>
      <c r="I20">
        <f>IF(H20="","",INT((H20-SAT1)/7)+1)</f>
        <v/>
      </c>
      <c r="J20">
        <f>IF(I20="","",IF(OR(I20&lt;1,I20&gt;NW),"",INDEX(WMON,I20)))</f>
        <v/>
      </c>
    </row>
    <row r="21">
      <c r="A21" s="48" t="n"/>
      <c r="B21" s="22" t="n"/>
      <c r="C21" s="50" t="n"/>
      <c r="D21" s="49" t="n"/>
      <c r="E21" s="50" t="n"/>
      <c r="G21">
        <f>IF(AND(B21&lt;&gt;"",COUNTIF(B$6:B21,B21)=1),MAX(G$5:G20)+1,"")</f>
        <v/>
      </c>
      <c r="H21">
        <f>IF(A21="","",IF(ISNUMBER(A21),IF(A21&lt;=31,"",IF(A21&lt;=3112,IF(DATE(YR,MOD(A21,100),INT(A21/100))&gt;SAT1+7*NW-1,DATE(YR-1,MOD(A21,100),INT(A21/100)),DATE(YR,MOD(A21,100),INT(A21/100))),A21)),IFERROR(DATEVALUE(A21),"")))</f>
        <v/>
      </c>
      <c r="I21">
        <f>IF(H21="","",INT((H21-SAT1)/7)+1)</f>
        <v/>
      </c>
      <c r="J21">
        <f>IF(I21="","",IF(OR(I21&lt;1,I21&gt;NW),"",INDEX(WMON,I21)))</f>
        <v/>
      </c>
    </row>
    <row r="22">
      <c r="A22" s="48" t="n"/>
      <c r="B22" s="22" t="n"/>
      <c r="C22" s="50" t="n"/>
      <c r="D22" s="49" t="n"/>
      <c r="E22" s="50" t="n"/>
      <c r="G22">
        <f>IF(AND(B22&lt;&gt;"",COUNTIF(B$6:B22,B22)=1),MAX(G$5:G21)+1,"")</f>
        <v/>
      </c>
      <c r="H22">
        <f>IF(A22="","",IF(ISNUMBER(A22),IF(A22&lt;=31,"",IF(A22&lt;=3112,IF(DATE(YR,MOD(A22,100),INT(A22/100))&gt;SAT1+7*NW-1,DATE(YR-1,MOD(A22,100),INT(A22/100)),DATE(YR,MOD(A22,100),INT(A22/100))),A22)),IFERROR(DATEVALUE(A22),"")))</f>
        <v/>
      </c>
      <c r="I22">
        <f>IF(H22="","",INT((H22-SAT1)/7)+1)</f>
        <v/>
      </c>
      <c r="J22">
        <f>IF(I22="","",IF(OR(I22&lt;1,I22&gt;NW),"",INDEX(WMON,I22)))</f>
        <v/>
      </c>
    </row>
    <row r="23">
      <c r="A23" s="48" t="n"/>
      <c r="B23" s="22" t="n"/>
      <c r="C23" s="50" t="n"/>
      <c r="D23" s="49" t="n"/>
      <c r="E23" s="50" t="n"/>
      <c r="G23">
        <f>IF(AND(B23&lt;&gt;"",COUNTIF(B$6:B23,B23)=1),MAX(G$5:G22)+1,"")</f>
        <v/>
      </c>
      <c r="H23">
        <f>IF(A23="","",IF(ISNUMBER(A23),IF(A23&lt;=31,"",IF(A23&lt;=3112,IF(DATE(YR,MOD(A23,100),INT(A23/100))&gt;SAT1+7*NW-1,DATE(YR-1,MOD(A23,100),INT(A23/100)),DATE(YR,MOD(A23,100),INT(A23/100))),A23)),IFERROR(DATEVALUE(A23),"")))</f>
        <v/>
      </c>
      <c r="I23">
        <f>IF(H23="","",INT((H23-SAT1)/7)+1)</f>
        <v/>
      </c>
      <c r="J23">
        <f>IF(I23="","",IF(OR(I23&lt;1,I23&gt;NW),"",INDEX(WMON,I23)))</f>
        <v/>
      </c>
    </row>
    <row r="24">
      <c r="A24" s="48" t="n"/>
      <c r="B24" s="22" t="n"/>
      <c r="C24" s="50" t="n"/>
      <c r="D24" s="49" t="n"/>
      <c r="E24" s="50" t="n"/>
      <c r="G24">
        <f>IF(AND(B24&lt;&gt;"",COUNTIF(B$6:B24,B24)=1),MAX(G$5:G23)+1,"")</f>
        <v/>
      </c>
      <c r="H24">
        <f>IF(A24="","",IF(ISNUMBER(A24),IF(A24&lt;=31,"",IF(A24&lt;=3112,IF(DATE(YR,MOD(A24,100),INT(A24/100))&gt;SAT1+7*NW-1,DATE(YR-1,MOD(A24,100),INT(A24/100)),DATE(YR,MOD(A24,100),INT(A24/100))),A24)),IFERROR(DATEVALUE(A24),"")))</f>
        <v/>
      </c>
      <c r="I24">
        <f>IF(H24="","",INT((H24-SAT1)/7)+1)</f>
        <v/>
      </c>
      <c r="J24">
        <f>IF(I24="","",IF(OR(I24&lt;1,I24&gt;NW),"",INDEX(WMON,I24)))</f>
        <v/>
      </c>
    </row>
    <row r="25">
      <c r="A25" s="48" t="n"/>
      <c r="B25" s="22" t="n"/>
      <c r="C25" s="50" t="n"/>
      <c r="D25" s="49" t="n"/>
      <c r="E25" s="50" t="n"/>
      <c r="G25">
        <f>IF(AND(B25&lt;&gt;"",COUNTIF(B$6:B25,B25)=1),MAX(G$5:G24)+1,"")</f>
        <v/>
      </c>
      <c r="H25">
        <f>IF(A25="","",IF(ISNUMBER(A25),IF(A25&lt;=31,"",IF(A25&lt;=3112,IF(DATE(YR,MOD(A25,100),INT(A25/100))&gt;SAT1+7*NW-1,DATE(YR-1,MOD(A25,100),INT(A25/100)),DATE(YR,MOD(A25,100),INT(A25/100))),A25)),IFERROR(DATEVALUE(A25),"")))</f>
        <v/>
      </c>
      <c r="I25">
        <f>IF(H25="","",INT((H25-SAT1)/7)+1)</f>
        <v/>
      </c>
      <c r="J25">
        <f>IF(I25="","",IF(OR(I25&lt;1,I25&gt;NW),"",INDEX(WMON,I25)))</f>
        <v/>
      </c>
    </row>
    <row r="26">
      <c r="A26" s="48" t="n"/>
      <c r="B26" s="22" t="n"/>
      <c r="C26" s="50" t="n"/>
      <c r="D26" s="49" t="n"/>
      <c r="E26" s="50" t="n"/>
      <c r="G26">
        <f>IF(AND(B26&lt;&gt;"",COUNTIF(B$6:B26,B26)=1),MAX(G$5:G25)+1,"")</f>
        <v/>
      </c>
      <c r="H26">
        <f>IF(A26="","",IF(ISNUMBER(A26),IF(A26&lt;=31,"",IF(A26&lt;=3112,IF(DATE(YR,MOD(A26,100),INT(A26/100))&gt;SAT1+7*NW-1,DATE(YR-1,MOD(A26,100),INT(A26/100)),DATE(YR,MOD(A26,100),INT(A26/100))),A26)),IFERROR(DATEVALUE(A26),"")))</f>
        <v/>
      </c>
      <c r="I26">
        <f>IF(H26="","",INT((H26-SAT1)/7)+1)</f>
        <v/>
      </c>
      <c r="J26">
        <f>IF(I26="","",IF(OR(I26&lt;1,I26&gt;NW),"",INDEX(WMON,I26)))</f>
        <v/>
      </c>
    </row>
    <row r="27">
      <c r="A27" s="48" t="n"/>
      <c r="B27" s="22" t="n"/>
      <c r="C27" s="50" t="n"/>
      <c r="D27" s="49" t="n"/>
      <c r="E27" s="50" t="n"/>
      <c r="G27">
        <f>IF(AND(B27&lt;&gt;"",COUNTIF(B$6:B27,B27)=1),MAX(G$5:G26)+1,"")</f>
        <v/>
      </c>
      <c r="H27">
        <f>IF(A27="","",IF(ISNUMBER(A27),IF(A27&lt;=31,"",IF(A27&lt;=3112,IF(DATE(YR,MOD(A27,100),INT(A27/100))&gt;SAT1+7*NW-1,DATE(YR-1,MOD(A27,100),INT(A27/100)),DATE(YR,MOD(A27,100),INT(A27/100))),A27)),IFERROR(DATEVALUE(A27),"")))</f>
        <v/>
      </c>
      <c r="I27">
        <f>IF(H27="","",INT((H27-SAT1)/7)+1)</f>
        <v/>
      </c>
      <c r="J27">
        <f>IF(I27="","",IF(OR(I27&lt;1,I27&gt;NW),"",INDEX(WMON,I27)))</f>
        <v/>
      </c>
    </row>
    <row r="28">
      <c r="A28" s="48" t="n"/>
      <c r="B28" s="22" t="n"/>
      <c r="C28" s="50" t="n"/>
      <c r="D28" s="49" t="n"/>
      <c r="E28" s="50" t="n"/>
      <c r="G28">
        <f>IF(AND(B28&lt;&gt;"",COUNTIF(B$6:B28,B28)=1),MAX(G$5:G27)+1,"")</f>
        <v/>
      </c>
      <c r="H28">
        <f>IF(A28="","",IF(ISNUMBER(A28),IF(A28&lt;=31,"",IF(A28&lt;=3112,IF(DATE(YR,MOD(A28,100),INT(A28/100))&gt;SAT1+7*NW-1,DATE(YR-1,MOD(A28,100),INT(A28/100)),DATE(YR,MOD(A28,100),INT(A28/100))),A28)),IFERROR(DATEVALUE(A28),"")))</f>
        <v/>
      </c>
      <c r="I28">
        <f>IF(H28="","",INT((H28-SAT1)/7)+1)</f>
        <v/>
      </c>
      <c r="J28">
        <f>IF(I28="","",IF(OR(I28&lt;1,I28&gt;NW),"",INDEX(WMON,I28)))</f>
        <v/>
      </c>
    </row>
    <row r="29">
      <c r="A29" s="48" t="n"/>
      <c r="B29" s="22" t="n"/>
      <c r="C29" s="50" t="n"/>
      <c r="D29" s="49" t="n"/>
      <c r="E29" s="50" t="n"/>
      <c r="G29">
        <f>IF(AND(B29&lt;&gt;"",COUNTIF(B$6:B29,B29)=1),MAX(G$5:G28)+1,"")</f>
        <v/>
      </c>
      <c r="H29">
        <f>IF(A29="","",IF(ISNUMBER(A29),IF(A29&lt;=31,"",IF(A29&lt;=3112,IF(DATE(YR,MOD(A29,100),INT(A29/100))&gt;SAT1+7*NW-1,DATE(YR-1,MOD(A29,100),INT(A29/100)),DATE(YR,MOD(A29,100),INT(A29/100))),A29)),IFERROR(DATEVALUE(A29),"")))</f>
        <v/>
      </c>
      <c r="I29">
        <f>IF(H29="","",INT((H29-SAT1)/7)+1)</f>
        <v/>
      </c>
      <c r="J29">
        <f>IF(I29="","",IF(OR(I29&lt;1,I29&gt;NW),"",INDEX(WMON,I29)))</f>
        <v/>
      </c>
    </row>
    <row r="30">
      <c r="A30" s="48" t="n"/>
      <c r="B30" s="22" t="n"/>
      <c r="C30" s="50" t="n"/>
      <c r="D30" s="49" t="n"/>
      <c r="E30" s="50" t="n"/>
      <c r="G30">
        <f>IF(AND(B30&lt;&gt;"",COUNTIF(B$6:B30,B30)=1),MAX(G$5:G29)+1,"")</f>
        <v/>
      </c>
      <c r="H30">
        <f>IF(A30="","",IF(ISNUMBER(A30),IF(A30&lt;=31,"",IF(A30&lt;=3112,IF(DATE(YR,MOD(A30,100),INT(A30/100))&gt;SAT1+7*NW-1,DATE(YR-1,MOD(A30,100),INT(A30/100)),DATE(YR,MOD(A30,100),INT(A30/100))),A30)),IFERROR(DATEVALUE(A30),"")))</f>
        <v/>
      </c>
      <c r="I30">
        <f>IF(H30="","",INT((H30-SAT1)/7)+1)</f>
        <v/>
      </c>
      <c r="J30">
        <f>IF(I30="","",IF(OR(I30&lt;1,I30&gt;NW),"",INDEX(WMON,I30)))</f>
        <v/>
      </c>
    </row>
    <row r="31">
      <c r="A31" s="48" t="n"/>
      <c r="B31" s="22" t="n"/>
      <c r="C31" s="50" t="n"/>
      <c r="D31" s="49" t="n"/>
      <c r="E31" s="50" t="n"/>
      <c r="G31">
        <f>IF(AND(B31&lt;&gt;"",COUNTIF(B$6:B31,B31)=1),MAX(G$5:G30)+1,"")</f>
        <v/>
      </c>
      <c r="H31">
        <f>IF(A31="","",IF(ISNUMBER(A31),IF(A31&lt;=31,"",IF(A31&lt;=3112,IF(DATE(YR,MOD(A31,100),INT(A31/100))&gt;SAT1+7*NW-1,DATE(YR-1,MOD(A31,100),INT(A31/100)),DATE(YR,MOD(A31,100),INT(A31/100))),A31)),IFERROR(DATEVALUE(A31),"")))</f>
        <v/>
      </c>
      <c r="I31">
        <f>IF(H31="","",INT((H31-SAT1)/7)+1)</f>
        <v/>
      </c>
      <c r="J31">
        <f>IF(I31="","",IF(OR(I31&lt;1,I31&gt;NW),"",INDEX(WMON,I31)))</f>
        <v/>
      </c>
    </row>
    <row r="32">
      <c r="A32" s="48" t="n"/>
      <c r="B32" s="22" t="n"/>
      <c r="C32" s="50" t="n"/>
      <c r="D32" s="49" t="n"/>
      <c r="E32" s="50" t="n"/>
      <c r="G32">
        <f>IF(AND(B32&lt;&gt;"",COUNTIF(B$6:B32,B32)=1),MAX(G$5:G31)+1,"")</f>
        <v/>
      </c>
      <c r="H32">
        <f>IF(A32="","",IF(ISNUMBER(A32),IF(A32&lt;=31,"",IF(A32&lt;=3112,IF(DATE(YR,MOD(A32,100),INT(A32/100))&gt;SAT1+7*NW-1,DATE(YR-1,MOD(A32,100),INT(A32/100)),DATE(YR,MOD(A32,100),INT(A32/100))),A32)),IFERROR(DATEVALUE(A32),"")))</f>
        <v/>
      </c>
      <c r="I32">
        <f>IF(H32="","",INT((H32-SAT1)/7)+1)</f>
        <v/>
      </c>
      <c r="J32">
        <f>IF(I32="","",IF(OR(I32&lt;1,I32&gt;NW),"",INDEX(WMON,I32)))</f>
        <v/>
      </c>
    </row>
    <row r="33">
      <c r="A33" s="48" t="n"/>
      <c r="B33" s="22" t="n"/>
      <c r="C33" s="50" t="n"/>
      <c r="D33" s="49" t="n"/>
      <c r="E33" s="50" t="n"/>
      <c r="G33">
        <f>IF(AND(B33&lt;&gt;"",COUNTIF(B$6:B33,B33)=1),MAX(G$5:G32)+1,"")</f>
        <v/>
      </c>
      <c r="H33">
        <f>IF(A33="","",IF(ISNUMBER(A33),IF(A33&lt;=31,"",IF(A33&lt;=3112,IF(DATE(YR,MOD(A33,100),INT(A33/100))&gt;SAT1+7*NW-1,DATE(YR-1,MOD(A33,100),INT(A33/100)),DATE(YR,MOD(A33,100),INT(A33/100))),A33)),IFERROR(DATEVALUE(A33),"")))</f>
        <v/>
      </c>
      <c r="I33">
        <f>IF(H33="","",INT((H33-SAT1)/7)+1)</f>
        <v/>
      </c>
      <c r="J33">
        <f>IF(I33="","",IF(OR(I33&lt;1,I33&gt;NW),"",INDEX(WMON,I33)))</f>
        <v/>
      </c>
    </row>
    <row r="34">
      <c r="A34" s="48" t="n"/>
      <c r="B34" s="22" t="n"/>
      <c r="C34" s="50" t="n"/>
      <c r="D34" s="49" t="n"/>
      <c r="E34" s="50" t="n"/>
      <c r="G34">
        <f>IF(AND(B34&lt;&gt;"",COUNTIF(B$6:B34,B34)=1),MAX(G$5:G33)+1,"")</f>
        <v/>
      </c>
      <c r="H34">
        <f>IF(A34="","",IF(ISNUMBER(A34),IF(A34&lt;=31,"",IF(A34&lt;=3112,IF(DATE(YR,MOD(A34,100),INT(A34/100))&gt;SAT1+7*NW-1,DATE(YR-1,MOD(A34,100),INT(A34/100)),DATE(YR,MOD(A34,100),INT(A34/100))),A34)),IFERROR(DATEVALUE(A34),"")))</f>
        <v/>
      </c>
      <c r="I34">
        <f>IF(H34="","",INT((H34-SAT1)/7)+1)</f>
        <v/>
      </c>
      <c r="J34">
        <f>IF(I34="","",IF(OR(I34&lt;1,I34&gt;NW),"",INDEX(WMON,I34)))</f>
        <v/>
      </c>
    </row>
    <row r="35">
      <c r="A35" s="48" t="n"/>
      <c r="B35" s="22" t="n"/>
      <c r="C35" s="50" t="n"/>
      <c r="D35" s="49" t="n"/>
      <c r="E35" s="50" t="n"/>
      <c r="G35">
        <f>IF(AND(B35&lt;&gt;"",COUNTIF(B$6:B35,B35)=1),MAX(G$5:G34)+1,"")</f>
        <v/>
      </c>
      <c r="H35">
        <f>IF(A35="","",IF(ISNUMBER(A35),IF(A35&lt;=31,"",IF(A35&lt;=3112,IF(DATE(YR,MOD(A35,100),INT(A35/100))&gt;SAT1+7*NW-1,DATE(YR-1,MOD(A35,100),INT(A35/100)),DATE(YR,MOD(A35,100),INT(A35/100))),A35)),IFERROR(DATEVALUE(A35),"")))</f>
        <v/>
      </c>
      <c r="I35">
        <f>IF(H35="","",INT((H35-SAT1)/7)+1)</f>
        <v/>
      </c>
      <c r="J35">
        <f>IF(I35="","",IF(OR(I35&lt;1,I35&gt;NW),"",INDEX(WMON,I35)))</f>
        <v/>
      </c>
    </row>
    <row r="36">
      <c r="A36" s="48" t="n"/>
      <c r="B36" s="22" t="n"/>
      <c r="C36" s="50" t="n"/>
      <c r="D36" s="49" t="n"/>
      <c r="E36" s="50" t="n"/>
      <c r="G36">
        <f>IF(AND(B36&lt;&gt;"",COUNTIF(B$6:B36,B36)=1),MAX(G$5:G35)+1,"")</f>
        <v/>
      </c>
      <c r="H36">
        <f>IF(A36="","",IF(ISNUMBER(A36),IF(A36&lt;=31,"",IF(A36&lt;=3112,IF(DATE(YR,MOD(A36,100),INT(A36/100))&gt;SAT1+7*NW-1,DATE(YR-1,MOD(A36,100),INT(A36/100)),DATE(YR,MOD(A36,100),INT(A36/100))),A36)),IFERROR(DATEVALUE(A36),"")))</f>
        <v/>
      </c>
      <c r="I36">
        <f>IF(H36="","",INT((H36-SAT1)/7)+1)</f>
        <v/>
      </c>
      <c r="J36">
        <f>IF(I36="","",IF(OR(I36&lt;1,I36&gt;NW),"",INDEX(WMON,I36)))</f>
        <v/>
      </c>
    </row>
    <row r="37">
      <c r="A37" s="48" t="n"/>
      <c r="B37" s="22" t="n"/>
      <c r="C37" s="50" t="n"/>
      <c r="D37" s="49" t="n"/>
      <c r="E37" s="50" t="n"/>
      <c r="G37">
        <f>IF(AND(B37&lt;&gt;"",COUNTIF(B$6:B37,B37)=1),MAX(G$5:G36)+1,"")</f>
        <v/>
      </c>
      <c r="H37">
        <f>IF(A37="","",IF(ISNUMBER(A37),IF(A37&lt;=31,"",IF(A37&lt;=3112,IF(DATE(YR,MOD(A37,100),INT(A37/100))&gt;SAT1+7*NW-1,DATE(YR-1,MOD(A37,100),INT(A37/100)),DATE(YR,MOD(A37,100),INT(A37/100))),A37)),IFERROR(DATEVALUE(A37),"")))</f>
        <v/>
      </c>
      <c r="I37">
        <f>IF(H37="","",INT((H37-SAT1)/7)+1)</f>
        <v/>
      </c>
      <c r="J37">
        <f>IF(I37="","",IF(OR(I37&lt;1,I37&gt;NW),"",INDEX(WMON,I37)))</f>
        <v/>
      </c>
    </row>
    <row r="38">
      <c r="A38" s="48" t="n"/>
      <c r="B38" s="22" t="n"/>
      <c r="C38" s="50" t="n"/>
      <c r="D38" s="49" t="n"/>
      <c r="E38" s="50" t="n"/>
      <c r="G38">
        <f>IF(AND(B38&lt;&gt;"",COUNTIF(B$6:B38,B38)=1),MAX(G$5:G37)+1,"")</f>
        <v/>
      </c>
      <c r="H38">
        <f>IF(A38="","",IF(ISNUMBER(A38),IF(A38&lt;=31,"",IF(A38&lt;=3112,IF(DATE(YR,MOD(A38,100),INT(A38/100))&gt;SAT1+7*NW-1,DATE(YR-1,MOD(A38,100),INT(A38/100)),DATE(YR,MOD(A38,100),INT(A38/100))),A38)),IFERROR(DATEVALUE(A38),"")))</f>
        <v/>
      </c>
      <c r="I38">
        <f>IF(H38="","",INT((H38-SAT1)/7)+1)</f>
        <v/>
      </c>
      <c r="J38">
        <f>IF(I38="","",IF(OR(I38&lt;1,I38&gt;NW),"",INDEX(WMON,I38)))</f>
        <v/>
      </c>
    </row>
    <row r="39">
      <c r="A39" s="48" t="n"/>
      <c r="B39" s="22" t="n"/>
      <c r="C39" s="50" t="n"/>
      <c r="D39" s="49" t="n"/>
      <c r="E39" s="50" t="n"/>
      <c r="G39">
        <f>IF(AND(B39&lt;&gt;"",COUNTIF(B$6:B39,B39)=1),MAX(G$5:G38)+1,"")</f>
        <v/>
      </c>
      <c r="H39">
        <f>IF(A39="","",IF(ISNUMBER(A39),IF(A39&lt;=31,"",IF(A39&lt;=3112,IF(DATE(YR,MOD(A39,100),INT(A39/100))&gt;SAT1+7*NW-1,DATE(YR-1,MOD(A39,100),INT(A39/100)),DATE(YR,MOD(A39,100),INT(A39/100))),A39)),IFERROR(DATEVALUE(A39),"")))</f>
        <v/>
      </c>
      <c r="I39">
        <f>IF(H39="","",INT((H39-SAT1)/7)+1)</f>
        <v/>
      </c>
      <c r="J39">
        <f>IF(I39="","",IF(OR(I39&lt;1,I39&gt;NW),"",INDEX(WMON,I39)))</f>
        <v/>
      </c>
    </row>
    <row r="40">
      <c r="A40" s="48" t="n"/>
      <c r="B40" s="22" t="n"/>
      <c r="C40" s="50" t="n"/>
      <c r="D40" s="49" t="n"/>
      <c r="E40" s="50" t="n"/>
      <c r="G40">
        <f>IF(AND(B40&lt;&gt;"",COUNTIF(B$6:B40,B40)=1),MAX(G$5:G39)+1,"")</f>
        <v/>
      </c>
      <c r="H40">
        <f>IF(A40="","",IF(ISNUMBER(A40),IF(A40&lt;=31,"",IF(A40&lt;=3112,IF(DATE(YR,MOD(A40,100),INT(A40/100))&gt;SAT1+7*NW-1,DATE(YR-1,MOD(A40,100),INT(A40/100)),DATE(YR,MOD(A40,100),INT(A40/100))),A40)),IFERROR(DATEVALUE(A40),"")))</f>
        <v/>
      </c>
      <c r="I40">
        <f>IF(H40="","",INT((H40-SAT1)/7)+1)</f>
        <v/>
      </c>
      <c r="J40">
        <f>IF(I40="","",IF(OR(I40&lt;1,I40&gt;NW),"",INDEX(WMON,I40)))</f>
        <v/>
      </c>
    </row>
    <row r="41">
      <c r="A41" s="48" t="n"/>
      <c r="B41" s="22" t="n"/>
      <c r="C41" s="50" t="n"/>
      <c r="D41" s="49" t="n"/>
      <c r="E41" s="50" t="n"/>
      <c r="G41">
        <f>IF(AND(B41&lt;&gt;"",COUNTIF(B$6:B41,B41)=1),MAX(G$5:G40)+1,"")</f>
        <v/>
      </c>
      <c r="H41">
        <f>IF(A41="","",IF(ISNUMBER(A41),IF(A41&lt;=31,"",IF(A41&lt;=3112,IF(DATE(YR,MOD(A41,100),INT(A41/100))&gt;SAT1+7*NW-1,DATE(YR-1,MOD(A41,100),INT(A41/100)),DATE(YR,MOD(A41,100),INT(A41/100))),A41)),IFERROR(DATEVALUE(A41),"")))</f>
        <v/>
      </c>
      <c r="I41">
        <f>IF(H41="","",INT((H41-SAT1)/7)+1)</f>
        <v/>
      </c>
      <c r="J41">
        <f>IF(I41="","",IF(OR(I41&lt;1,I41&gt;NW),"",INDEX(WMON,I41)))</f>
        <v/>
      </c>
    </row>
    <row r="42">
      <c r="A42" s="48" t="n"/>
      <c r="B42" s="22" t="n"/>
      <c r="C42" s="50" t="n"/>
      <c r="D42" s="49" t="n"/>
      <c r="E42" s="50" t="n"/>
      <c r="G42">
        <f>IF(AND(B42&lt;&gt;"",COUNTIF(B$6:B42,B42)=1),MAX(G$5:G41)+1,"")</f>
        <v/>
      </c>
      <c r="H42">
        <f>IF(A42="","",IF(ISNUMBER(A42),IF(A42&lt;=31,"",IF(A42&lt;=3112,IF(DATE(YR,MOD(A42,100),INT(A42/100))&gt;SAT1+7*NW-1,DATE(YR-1,MOD(A42,100),INT(A42/100)),DATE(YR,MOD(A42,100),INT(A42/100))),A42)),IFERROR(DATEVALUE(A42),"")))</f>
        <v/>
      </c>
      <c r="I42">
        <f>IF(H42="","",INT((H42-SAT1)/7)+1)</f>
        <v/>
      </c>
      <c r="J42">
        <f>IF(I42="","",IF(OR(I42&lt;1,I42&gt;NW),"",INDEX(WMON,I42)))</f>
        <v/>
      </c>
    </row>
    <row r="43">
      <c r="A43" s="48" t="n"/>
      <c r="B43" s="22" t="n"/>
      <c r="C43" s="50" t="n"/>
      <c r="D43" s="49" t="n"/>
      <c r="E43" s="50" t="n"/>
      <c r="G43">
        <f>IF(AND(B43&lt;&gt;"",COUNTIF(B$6:B43,B43)=1),MAX(G$5:G42)+1,"")</f>
        <v/>
      </c>
      <c r="H43">
        <f>IF(A43="","",IF(ISNUMBER(A43),IF(A43&lt;=31,"",IF(A43&lt;=3112,IF(DATE(YR,MOD(A43,100),INT(A43/100))&gt;SAT1+7*NW-1,DATE(YR-1,MOD(A43,100),INT(A43/100)),DATE(YR,MOD(A43,100),INT(A43/100))),A43)),IFERROR(DATEVALUE(A43),"")))</f>
        <v/>
      </c>
      <c r="I43">
        <f>IF(H43="","",INT((H43-SAT1)/7)+1)</f>
        <v/>
      </c>
      <c r="J43">
        <f>IF(I43="","",IF(OR(I43&lt;1,I43&gt;NW),"",INDEX(WMON,I43)))</f>
        <v/>
      </c>
    </row>
    <row r="44">
      <c r="A44" s="48" t="n"/>
      <c r="B44" s="22" t="n"/>
      <c r="C44" s="50" t="n"/>
      <c r="D44" s="49" t="n"/>
      <c r="E44" s="50" t="n"/>
      <c r="G44">
        <f>IF(AND(B44&lt;&gt;"",COUNTIF(B$6:B44,B44)=1),MAX(G$5:G43)+1,"")</f>
        <v/>
      </c>
      <c r="H44">
        <f>IF(A44="","",IF(ISNUMBER(A44),IF(A44&lt;=31,"",IF(A44&lt;=3112,IF(DATE(YR,MOD(A44,100),INT(A44/100))&gt;SAT1+7*NW-1,DATE(YR-1,MOD(A44,100),INT(A44/100)),DATE(YR,MOD(A44,100),INT(A44/100))),A44)),IFERROR(DATEVALUE(A44),"")))</f>
        <v/>
      </c>
      <c r="I44">
        <f>IF(H44="","",INT((H44-SAT1)/7)+1)</f>
        <v/>
      </c>
      <c r="J44">
        <f>IF(I44="","",IF(OR(I44&lt;1,I44&gt;NW),"",INDEX(WMON,I44)))</f>
        <v/>
      </c>
    </row>
    <row r="45">
      <c r="A45" s="48" t="n"/>
      <c r="B45" s="22" t="n"/>
      <c r="C45" s="50" t="n"/>
      <c r="D45" s="49" t="n"/>
      <c r="E45" s="50" t="n"/>
      <c r="G45">
        <f>IF(AND(B45&lt;&gt;"",COUNTIF(B$6:B45,B45)=1),MAX(G$5:G44)+1,"")</f>
        <v/>
      </c>
      <c r="H45">
        <f>IF(A45="","",IF(ISNUMBER(A45),IF(A45&lt;=31,"",IF(A45&lt;=3112,IF(DATE(YR,MOD(A45,100),INT(A45/100))&gt;SAT1+7*NW-1,DATE(YR-1,MOD(A45,100),INT(A45/100)),DATE(YR,MOD(A45,100),INT(A45/100))),A45)),IFERROR(DATEVALUE(A45),"")))</f>
        <v/>
      </c>
      <c r="I45">
        <f>IF(H45="","",INT((H45-SAT1)/7)+1)</f>
        <v/>
      </c>
      <c r="J45">
        <f>IF(I45="","",IF(OR(I45&lt;1,I45&gt;NW),"",INDEX(WMON,I45)))</f>
        <v/>
      </c>
    </row>
    <row r="46">
      <c r="A46" s="48" t="n"/>
      <c r="B46" s="22" t="n"/>
      <c r="C46" s="50" t="n"/>
      <c r="D46" s="49" t="n"/>
      <c r="E46" s="50" t="n"/>
      <c r="G46">
        <f>IF(AND(B46&lt;&gt;"",COUNTIF(B$6:B46,B46)=1),MAX(G$5:G45)+1,"")</f>
        <v/>
      </c>
      <c r="H46">
        <f>IF(A46="","",IF(ISNUMBER(A46),IF(A46&lt;=31,"",IF(A46&lt;=3112,IF(DATE(YR,MOD(A46,100),INT(A46/100))&gt;SAT1+7*NW-1,DATE(YR-1,MOD(A46,100),INT(A46/100)),DATE(YR,MOD(A46,100),INT(A46/100))),A46)),IFERROR(DATEVALUE(A46),"")))</f>
        <v/>
      </c>
      <c r="I46">
        <f>IF(H46="","",INT((H46-SAT1)/7)+1)</f>
        <v/>
      </c>
      <c r="J46">
        <f>IF(I46="","",IF(OR(I46&lt;1,I46&gt;NW),"",INDEX(WMON,I46)))</f>
        <v/>
      </c>
    </row>
    <row r="47">
      <c r="A47" s="48" t="n"/>
      <c r="B47" s="22" t="n"/>
      <c r="C47" s="50" t="n"/>
      <c r="D47" s="49" t="n"/>
      <c r="E47" s="50" t="n"/>
      <c r="G47">
        <f>IF(AND(B47&lt;&gt;"",COUNTIF(B$6:B47,B47)=1),MAX(G$5:G46)+1,"")</f>
        <v/>
      </c>
      <c r="H47">
        <f>IF(A47="","",IF(ISNUMBER(A47),IF(A47&lt;=31,"",IF(A47&lt;=3112,IF(DATE(YR,MOD(A47,100),INT(A47/100))&gt;SAT1+7*NW-1,DATE(YR-1,MOD(A47,100),INT(A47/100)),DATE(YR,MOD(A47,100),INT(A47/100))),A47)),IFERROR(DATEVALUE(A47),"")))</f>
        <v/>
      </c>
      <c r="I47">
        <f>IF(H47="","",INT((H47-SAT1)/7)+1)</f>
        <v/>
      </c>
      <c r="J47">
        <f>IF(I47="","",IF(OR(I47&lt;1,I47&gt;NW),"",INDEX(WMON,I47)))</f>
        <v/>
      </c>
    </row>
    <row r="48">
      <c r="A48" s="48" t="n"/>
      <c r="B48" s="22" t="n"/>
      <c r="C48" s="50" t="n"/>
      <c r="D48" s="49" t="n"/>
      <c r="E48" s="50" t="n"/>
      <c r="G48">
        <f>IF(AND(B48&lt;&gt;"",COUNTIF(B$6:B48,B48)=1),MAX(G$5:G47)+1,"")</f>
        <v/>
      </c>
      <c r="H48">
        <f>IF(A48="","",IF(ISNUMBER(A48),IF(A48&lt;=31,"",IF(A48&lt;=3112,IF(DATE(YR,MOD(A48,100),INT(A48/100))&gt;SAT1+7*NW-1,DATE(YR-1,MOD(A48,100),INT(A48/100)),DATE(YR,MOD(A48,100),INT(A48/100))),A48)),IFERROR(DATEVALUE(A48),"")))</f>
        <v/>
      </c>
      <c r="I48">
        <f>IF(H48="","",INT((H48-SAT1)/7)+1)</f>
        <v/>
      </c>
      <c r="J48">
        <f>IF(I48="","",IF(OR(I48&lt;1,I48&gt;NW),"",INDEX(WMON,I48)))</f>
        <v/>
      </c>
    </row>
    <row r="49">
      <c r="A49" s="48" t="n"/>
      <c r="B49" s="22" t="n"/>
      <c r="C49" s="50" t="n"/>
      <c r="D49" s="49" t="n"/>
      <c r="E49" s="50" t="n"/>
      <c r="G49">
        <f>IF(AND(B49&lt;&gt;"",COUNTIF(B$6:B49,B49)=1),MAX(G$5:G48)+1,"")</f>
        <v/>
      </c>
      <c r="H49">
        <f>IF(A49="","",IF(ISNUMBER(A49),IF(A49&lt;=31,"",IF(A49&lt;=3112,IF(DATE(YR,MOD(A49,100),INT(A49/100))&gt;SAT1+7*NW-1,DATE(YR-1,MOD(A49,100),INT(A49/100)),DATE(YR,MOD(A49,100),INT(A49/100))),A49)),IFERROR(DATEVALUE(A49),"")))</f>
        <v/>
      </c>
      <c r="I49">
        <f>IF(H49="","",INT((H49-SAT1)/7)+1)</f>
        <v/>
      </c>
      <c r="J49">
        <f>IF(I49="","",IF(OR(I49&lt;1,I49&gt;NW),"",INDEX(WMON,I49)))</f>
        <v/>
      </c>
    </row>
    <row r="50">
      <c r="A50" s="48" t="n"/>
      <c r="B50" s="22" t="n"/>
      <c r="C50" s="50" t="n"/>
      <c r="D50" s="49" t="n"/>
      <c r="E50" s="50" t="n"/>
      <c r="G50">
        <f>IF(AND(B50&lt;&gt;"",COUNTIF(B$6:B50,B50)=1),MAX(G$5:G49)+1,"")</f>
        <v/>
      </c>
      <c r="H50">
        <f>IF(A50="","",IF(ISNUMBER(A50),IF(A50&lt;=31,"",IF(A50&lt;=3112,IF(DATE(YR,MOD(A50,100),INT(A50/100))&gt;SAT1+7*NW-1,DATE(YR-1,MOD(A50,100),INT(A50/100)),DATE(YR,MOD(A50,100),INT(A50/100))),A50)),IFERROR(DATEVALUE(A50),"")))</f>
        <v/>
      </c>
      <c r="I50">
        <f>IF(H50="","",INT((H50-SAT1)/7)+1)</f>
        <v/>
      </c>
      <c r="J50">
        <f>IF(I50="","",IF(OR(I50&lt;1,I50&gt;NW),"",INDEX(WMON,I50)))</f>
        <v/>
      </c>
    </row>
    <row r="51">
      <c r="A51" s="48" t="n"/>
      <c r="B51" s="22" t="n"/>
      <c r="C51" s="50" t="n"/>
      <c r="D51" s="49" t="n"/>
      <c r="E51" s="50" t="n"/>
      <c r="G51">
        <f>IF(AND(B51&lt;&gt;"",COUNTIF(B$6:B51,B51)=1),MAX(G$5:G50)+1,"")</f>
        <v/>
      </c>
      <c r="H51">
        <f>IF(A51="","",IF(ISNUMBER(A51),IF(A51&lt;=31,"",IF(A51&lt;=3112,IF(DATE(YR,MOD(A51,100),INT(A51/100))&gt;SAT1+7*NW-1,DATE(YR-1,MOD(A51,100),INT(A51/100)),DATE(YR,MOD(A51,100),INT(A51/100))),A51)),IFERROR(DATEVALUE(A51),"")))</f>
        <v/>
      </c>
      <c r="I51">
        <f>IF(H51="","",INT((H51-SAT1)/7)+1)</f>
        <v/>
      </c>
      <c r="J51">
        <f>IF(I51="","",IF(OR(I51&lt;1,I51&gt;NW),"",INDEX(WMON,I51)))</f>
        <v/>
      </c>
    </row>
    <row r="52">
      <c r="A52" s="48" t="n"/>
      <c r="B52" s="22" t="n"/>
      <c r="C52" s="50" t="n"/>
      <c r="D52" s="49" t="n"/>
      <c r="E52" s="50" t="n"/>
      <c r="G52">
        <f>IF(AND(B52&lt;&gt;"",COUNTIF(B$6:B52,B52)=1),MAX(G$5:G51)+1,"")</f>
        <v/>
      </c>
      <c r="H52">
        <f>IF(A52="","",IF(ISNUMBER(A52),IF(A52&lt;=31,"",IF(A52&lt;=3112,IF(DATE(YR,MOD(A52,100),INT(A52/100))&gt;SAT1+7*NW-1,DATE(YR-1,MOD(A52,100),INT(A52/100)),DATE(YR,MOD(A52,100),INT(A52/100))),A52)),IFERROR(DATEVALUE(A52),"")))</f>
        <v/>
      </c>
      <c r="I52">
        <f>IF(H52="","",INT((H52-SAT1)/7)+1)</f>
        <v/>
      </c>
      <c r="J52">
        <f>IF(I52="","",IF(OR(I52&lt;1,I52&gt;NW),"",INDEX(WMON,I52)))</f>
        <v/>
      </c>
    </row>
    <row r="53">
      <c r="A53" s="48" t="n"/>
      <c r="B53" s="22" t="n"/>
      <c r="C53" s="50" t="n"/>
      <c r="D53" s="49" t="n"/>
      <c r="E53" s="50" t="n"/>
      <c r="G53">
        <f>IF(AND(B53&lt;&gt;"",COUNTIF(B$6:B53,B53)=1),MAX(G$5:G52)+1,"")</f>
        <v/>
      </c>
      <c r="H53">
        <f>IF(A53="","",IF(ISNUMBER(A53),IF(A53&lt;=31,"",IF(A53&lt;=3112,IF(DATE(YR,MOD(A53,100),INT(A53/100))&gt;SAT1+7*NW-1,DATE(YR-1,MOD(A53,100),INT(A53/100)),DATE(YR,MOD(A53,100),INT(A53/100))),A53)),IFERROR(DATEVALUE(A53),"")))</f>
        <v/>
      </c>
      <c r="I53">
        <f>IF(H53="","",INT((H53-SAT1)/7)+1)</f>
        <v/>
      </c>
      <c r="J53">
        <f>IF(I53="","",IF(OR(I53&lt;1,I53&gt;NW),"",INDEX(WMON,I53)))</f>
        <v/>
      </c>
    </row>
    <row r="54">
      <c r="A54" s="48" t="n"/>
      <c r="B54" s="22" t="n"/>
      <c r="C54" s="50" t="n"/>
      <c r="D54" s="49" t="n"/>
      <c r="E54" s="50" t="n"/>
      <c r="G54">
        <f>IF(AND(B54&lt;&gt;"",COUNTIF(B$6:B54,B54)=1),MAX(G$5:G53)+1,"")</f>
        <v/>
      </c>
      <c r="H54">
        <f>IF(A54="","",IF(ISNUMBER(A54),IF(A54&lt;=31,"",IF(A54&lt;=3112,IF(DATE(YR,MOD(A54,100),INT(A54/100))&gt;SAT1+7*NW-1,DATE(YR-1,MOD(A54,100),INT(A54/100)),DATE(YR,MOD(A54,100),INT(A54/100))),A54)),IFERROR(DATEVALUE(A54),"")))</f>
        <v/>
      </c>
      <c r="I54">
        <f>IF(H54="","",INT((H54-SAT1)/7)+1)</f>
        <v/>
      </c>
      <c r="J54">
        <f>IF(I54="","",IF(OR(I54&lt;1,I54&gt;NW),"",INDEX(WMON,I54)))</f>
        <v/>
      </c>
    </row>
    <row r="55">
      <c r="A55" s="48" t="n"/>
      <c r="B55" s="22" t="n"/>
      <c r="C55" s="50" t="n"/>
      <c r="D55" s="49" t="n"/>
      <c r="E55" s="50" t="n"/>
      <c r="G55">
        <f>IF(AND(B55&lt;&gt;"",COUNTIF(B$6:B55,B55)=1),MAX(G$5:G54)+1,"")</f>
        <v/>
      </c>
      <c r="H55">
        <f>IF(A55="","",IF(ISNUMBER(A55),IF(A55&lt;=31,"",IF(A55&lt;=3112,IF(DATE(YR,MOD(A55,100),INT(A55/100))&gt;SAT1+7*NW-1,DATE(YR-1,MOD(A55,100),INT(A55/100)),DATE(YR,MOD(A55,100),INT(A55/100))),A55)),IFERROR(DATEVALUE(A55),"")))</f>
        <v/>
      </c>
      <c r="I55">
        <f>IF(H55="","",INT((H55-SAT1)/7)+1)</f>
        <v/>
      </c>
      <c r="J55">
        <f>IF(I55="","",IF(OR(I55&lt;1,I55&gt;NW),"",INDEX(WMON,I55)))</f>
        <v/>
      </c>
    </row>
    <row r="56">
      <c r="A56" s="48" t="n"/>
      <c r="B56" s="22" t="n"/>
      <c r="C56" s="50" t="n"/>
      <c r="D56" s="49" t="n"/>
      <c r="E56" s="50" t="n"/>
      <c r="G56">
        <f>IF(AND(B56&lt;&gt;"",COUNTIF(B$6:B56,B56)=1),MAX(G$5:G55)+1,"")</f>
        <v/>
      </c>
      <c r="H56">
        <f>IF(A56="","",IF(ISNUMBER(A56),IF(A56&lt;=31,"",IF(A56&lt;=3112,IF(DATE(YR,MOD(A56,100),INT(A56/100))&gt;SAT1+7*NW-1,DATE(YR-1,MOD(A56,100),INT(A56/100)),DATE(YR,MOD(A56,100),INT(A56/100))),A56)),IFERROR(DATEVALUE(A56),"")))</f>
        <v/>
      </c>
      <c r="I56">
        <f>IF(H56="","",INT((H56-SAT1)/7)+1)</f>
        <v/>
      </c>
      <c r="J56">
        <f>IF(I56="","",IF(OR(I56&lt;1,I56&gt;NW),"",INDEX(WMON,I56)))</f>
        <v/>
      </c>
    </row>
    <row r="57">
      <c r="A57" s="48" t="n"/>
      <c r="B57" s="22" t="n"/>
      <c r="C57" s="50" t="n"/>
      <c r="D57" s="49" t="n"/>
      <c r="E57" s="50" t="n"/>
      <c r="G57">
        <f>IF(AND(B57&lt;&gt;"",COUNTIF(B$6:B57,B57)=1),MAX(G$5:G56)+1,"")</f>
        <v/>
      </c>
      <c r="H57">
        <f>IF(A57="","",IF(ISNUMBER(A57),IF(A57&lt;=31,"",IF(A57&lt;=3112,IF(DATE(YR,MOD(A57,100),INT(A57/100))&gt;SAT1+7*NW-1,DATE(YR-1,MOD(A57,100),INT(A57/100)),DATE(YR,MOD(A57,100),INT(A57/100))),A57)),IFERROR(DATEVALUE(A57),"")))</f>
        <v/>
      </c>
      <c r="I57">
        <f>IF(H57="","",INT((H57-SAT1)/7)+1)</f>
        <v/>
      </c>
      <c r="J57">
        <f>IF(I57="","",IF(OR(I57&lt;1,I57&gt;NW),"",INDEX(WMON,I57)))</f>
        <v/>
      </c>
    </row>
    <row r="58">
      <c r="A58" s="48" t="n"/>
      <c r="B58" s="22" t="n"/>
      <c r="C58" s="50" t="n"/>
      <c r="D58" s="49" t="n"/>
      <c r="E58" s="50" t="n"/>
      <c r="G58">
        <f>IF(AND(B58&lt;&gt;"",COUNTIF(B$6:B58,B58)=1),MAX(G$5:G57)+1,"")</f>
        <v/>
      </c>
      <c r="H58">
        <f>IF(A58="","",IF(ISNUMBER(A58),IF(A58&lt;=31,"",IF(A58&lt;=3112,IF(DATE(YR,MOD(A58,100),INT(A58/100))&gt;SAT1+7*NW-1,DATE(YR-1,MOD(A58,100),INT(A58/100)),DATE(YR,MOD(A58,100),INT(A58/100))),A58)),IFERROR(DATEVALUE(A58),"")))</f>
        <v/>
      </c>
      <c r="I58">
        <f>IF(H58="","",INT((H58-SAT1)/7)+1)</f>
        <v/>
      </c>
      <c r="J58">
        <f>IF(I58="","",IF(OR(I58&lt;1,I58&gt;NW),"",INDEX(WMON,I58)))</f>
        <v/>
      </c>
    </row>
    <row r="59">
      <c r="A59" s="48" t="n"/>
      <c r="B59" s="22" t="n"/>
      <c r="C59" s="50" t="n"/>
      <c r="D59" s="49" t="n"/>
      <c r="E59" s="50" t="n"/>
      <c r="G59">
        <f>IF(AND(B59&lt;&gt;"",COUNTIF(B$6:B59,B59)=1),MAX(G$5:G58)+1,"")</f>
        <v/>
      </c>
      <c r="H59">
        <f>IF(A59="","",IF(ISNUMBER(A59),IF(A59&lt;=31,"",IF(A59&lt;=3112,IF(DATE(YR,MOD(A59,100),INT(A59/100))&gt;SAT1+7*NW-1,DATE(YR-1,MOD(A59,100),INT(A59/100)),DATE(YR,MOD(A59,100),INT(A59/100))),A59)),IFERROR(DATEVALUE(A59),"")))</f>
        <v/>
      </c>
      <c r="I59">
        <f>IF(H59="","",INT((H59-SAT1)/7)+1)</f>
        <v/>
      </c>
      <c r="J59">
        <f>IF(I59="","",IF(OR(I59&lt;1,I59&gt;NW),"",INDEX(WMON,I59)))</f>
        <v/>
      </c>
    </row>
    <row r="60">
      <c r="A60" s="48" t="n"/>
      <c r="B60" s="22" t="n"/>
      <c r="C60" s="50" t="n"/>
      <c r="D60" s="49" t="n"/>
      <c r="E60" s="50" t="n"/>
      <c r="G60">
        <f>IF(AND(B60&lt;&gt;"",COUNTIF(B$6:B60,B60)=1),MAX(G$5:G59)+1,"")</f>
        <v/>
      </c>
      <c r="H60">
        <f>IF(A60="","",IF(ISNUMBER(A60),IF(A60&lt;=31,"",IF(A60&lt;=3112,IF(DATE(YR,MOD(A60,100),INT(A60/100))&gt;SAT1+7*NW-1,DATE(YR-1,MOD(A60,100),INT(A60/100)),DATE(YR,MOD(A60,100),INT(A60/100))),A60)),IFERROR(DATEVALUE(A60),"")))</f>
        <v/>
      </c>
      <c r="I60">
        <f>IF(H60="","",INT((H60-SAT1)/7)+1)</f>
        <v/>
      </c>
      <c r="J60">
        <f>IF(I60="","",IF(OR(I60&lt;1,I60&gt;NW),"",INDEX(WMON,I60)))</f>
        <v/>
      </c>
    </row>
    <row r="61">
      <c r="A61" s="48" t="n"/>
      <c r="B61" s="22" t="n"/>
      <c r="C61" s="50" t="n"/>
      <c r="D61" s="49" t="n"/>
      <c r="E61" s="50" t="n"/>
      <c r="G61">
        <f>IF(AND(B61&lt;&gt;"",COUNTIF(B$6:B61,B61)=1),MAX(G$5:G60)+1,"")</f>
        <v/>
      </c>
      <c r="H61">
        <f>IF(A61="","",IF(ISNUMBER(A61),IF(A61&lt;=31,"",IF(A61&lt;=3112,IF(DATE(YR,MOD(A61,100),INT(A61/100))&gt;SAT1+7*NW-1,DATE(YR-1,MOD(A61,100),INT(A61/100)),DATE(YR,MOD(A61,100),INT(A61/100))),A61)),IFERROR(DATEVALUE(A61),"")))</f>
        <v/>
      </c>
      <c r="I61">
        <f>IF(H61="","",INT((H61-SAT1)/7)+1)</f>
        <v/>
      </c>
      <c r="J61">
        <f>IF(I61="","",IF(OR(I61&lt;1,I61&gt;NW),"",INDEX(WMON,I61)))</f>
        <v/>
      </c>
    </row>
    <row r="62">
      <c r="A62" s="48" t="n"/>
      <c r="B62" s="22" t="n"/>
      <c r="C62" s="50" t="n"/>
      <c r="D62" s="49" t="n"/>
      <c r="E62" s="50" t="n"/>
      <c r="G62">
        <f>IF(AND(B62&lt;&gt;"",COUNTIF(B$6:B62,B62)=1),MAX(G$5:G61)+1,"")</f>
        <v/>
      </c>
      <c r="H62">
        <f>IF(A62="","",IF(ISNUMBER(A62),IF(A62&lt;=31,"",IF(A62&lt;=3112,IF(DATE(YR,MOD(A62,100),INT(A62/100))&gt;SAT1+7*NW-1,DATE(YR-1,MOD(A62,100),INT(A62/100)),DATE(YR,MOD(A62,100),INT(A62/100))),A62)),IFERROR(DATEVALUE(A62),"")))</f>
        <v/>
      </c>
      <c r="I62">
        <f>IF(H62="","",INT((H62-SAT1)/7)+1)</f>
        <v/>
      </c>
      <c r="J62">
        <f>IF(I62="","",IF(OR(I62&lt;1,I62&gt;NW),"",INDEX(WMON,I62)))</f>
        <v/>
      </c>
    </row>
    <row r="63">
      <c r="A63" s="48" t="n"/>
      <c r="B63" s="22" t="n"/>
      <c r="C63" s="50" t="n"/>
      <c r="D63" s="49" t="n"/>
      <c r="E63" s="50" t="n"/>
      <c r="G63">
        <f>IF(AND(B63&lt;&gt;"",COUNTIF(B$6:B63,B63)=1),MAX(G$5:G62)+1,"")</f>
        <v/>
      </c>
      <c r="H63">
        <f>IF(A63="","",IF(ISNUMBER(A63),IF(A63&lt;=31,"",IF(A63&lt;=3112,IF(DATE(YR,MOD(A63,100),INT(A63/100))&gt;SAT1+7*NW-1,DATE(YR-1,MOD(A63,100),INT(A63/100)),DATE(YR,MOD(A63,100),INT(A63/100))),A63)),IFERROR(DATEVALUE(A63),"")))</f>
        <v/>
      </c>
      <c r="I63">
        <f>IF(H63="","",INT((H63-SAT1)/7)+1)</f>
        <v/>
      </c>
      <c r="J63">
        <f>IF(I63="","",IF(OR(I63&lt;1,I63&gt;NW),"",INDEX(WMON,I63)))</f>
        <v/>
      </c>
    </row>
    <row r="64">
      <c r="A64" s="48" t="n"/>
      <c r="B64" s="22" t="n"/>
      <c r="C64" s="50" t="n"/>
      <c r="D64" s="49" t="n"/>
      <c r="E64" s="50" t="n"/>
      <c r="G64">
        <f>IF(AND(B64&lt;&gt;"",COUNTIF(B$6:B64,B64)=1),MAX(G$5:G63)+1,"")</f>
        <v/>
      </c>
      <c r="H64">
        <f>IF(A64="","",IF(ISNUMBER(A64),IF(A64&lt;=31,"",IF(A64&lt;=3112,IF(DATE(YR,MOD(A64,100),INT(A64/100))&gt;SAT1+7*NW-1,DATE(YR-1,MOD(A64,100),INT(A64/100)),DATE(YR,MOD(A64,100),INT(A64/100))),A64)),IFERROR(DATEVALUE(A64),"")))</f>
        <v/>
      </c>
      <c r="I64">
        <f>IF(H64="","",INT((H64-SAT1)/7)+1)</f>
        <v/>
      </c>
      <c r="J64">
        <f>IF(I64="","",IF(OR(I64&lt;1,I64&gt;NW),"",INDEX(WMON,I64)))</f>
        <v/>
      </c>
    </row>
    <row r="65">
      <c r="A65" s="48" t="n"/>
      <c r="B65" s="22" t="n"/>
      <c r="C65" s="50" t="n"/>
      <c r="D65" s="49" t="n"/>
      <c r="E65" s="50" t="n"/>
      <c r="G65">
        <f>IF(AND(B65&lt;&gt;"",COUNTIF(B$6:B65,B65)=1),MAX(G$5:G64)+1,"")</f>
        <v/>
      </c>
      <c r="H65">
        <f>IF(A65="","",IF(ISNUMBER(A65),IF(A65&lt;=31,"",IF(A65&lt;=3112,IF(DATE(YR,MOD(A65,100),INT(A65/100))&gt;SAT1+7*NW-1,DATE(YR-1,MOD(A65,100),INT(A65/100)),DATE(YR,MOD(A65,100),INT(A65/100))),A65)),IFERROR(DATEVALUE(A65),"")))</f>
        <v/>
      </c>
      <c r="I65">
        <f>IF(H65="","",INT((H65-SAT1)/7)+1)</f>
        <v/>
      </c>
      <c r="J65">
        <f>IF(I65="","",IF(OR(I65&lt;1,I65&gt;NW),"",INDEX(WMON,I65)))</f>
        <v/>
      </c>
    </row>
    <row r="66">
      <c r="A66" s="48" t="n"/>
      <c r="B66" s="22" t="n"/>
      <c r="C66" s="50" t="n"/>
      <c r="D66" s="49" t="n"/>
      <c r="E66" s="50" t="n"/>
      <c r="G66">
        <f>IF(AND(B66&lt;&gt;"",COUNTIF(B$6:B66,B66)=1),MAX(G$5:G65)+1,"")</f>
        <v/>
      </c>
      <c r="H66">
        <f>IF(A66="","",IF(ISNUMBER(A66),IF(A66&lt;=31,"",IF(A66&lt;=3112,IF(DATE(YR,MOD(A66,100),INT(A66/100))&gt;SAT1+7*NW-1,DATE(YR-1,MOD(A66,100),INT(A66/100)),DATE(YR,MOD(A66,100),INT(A66/100))),A66)),IFERROR(DATEVALUE(A66),"")))</f>
        <v/>
      </c>
      <c r="I66">
        <f>IF(H66="","",INT((H66-SAT1)/7)+1)</f>
        <v/>
      </c>
      <c r="J66">
        <f>IF(I66="","",IF(OR(I66&lt;1,I66&gt;NW),"",INDEX(WMON,I66)))</f>
        <v/>
      </c>
    </row>
    <row r="67">
      <c r="A67" s="48" t="n"/>
      <c r="B67" s="22" t="n"/>
      <c r="C67" s="50" t="n"/>
      <c r="D67" s="49" t="n"/>
      <c r="E67" s="50" t="n"/>
      <c r="G67">
        <f>IF(AND(B67&lt;&gt;"",COUNTIF(B$6:B67,B67)=1),MAX(G$5:G66)+1,"")</f>
        <v/>
      </c>
      <c r="H67">
        <f>IF(A67="","",IF(ISNUMBER(A67),IF(A67&lt;=31,"",IF(A67&lt;=3112,IF(DATE(YR,MOD(A67,100),INT(A67/100))&gt;SAT1+7*NW-1,DATE(YR-1,MOD(A67,100),INT(A67/100)),DATE(YR,MOD(A67,100),INT(A67/100))),A67)),IFERROR(DATEVALUE(A67),"")))</f>
        <v/>
      </c>
      <c r="I67">
        <f>IF(H67="","",INT((H67-SAT1)/7)+1)</f>
        <v/>
      </c>
      <c r="J67">
        <f>IF(I67="","",IF(OR(I67&lt;1,I67&gt;NW),"",INDEX(WMON,I67)))</f>
        <v/>
      </c>
    </row>
    <row r="68">
      <c r="A68" s="48" t="n"/>
      <c r="B68" s="22" t="n"/>
      <c r="C68" s="50" t="n"/>
      <c r="D68" s="49" t="n"/>
      <c r="E68" s="50" t="n"/>
      <c r="G68">
        <f>IF(AND(B68&lt;&gt;"",COUNTIF(B$6:B68,B68)=1),MAX(G$5:G67)+1,"")</f>
        <v/>
      </c>
      <c r="H68">
        <f>IF(A68="","",IF(ISNUMBER(A68),IF(A68&lt;=31,"",IF(A68&lt;=3112,IF(DATE(YR,MOD(A68,100),INT(A68/100))&gt;SAT1+7*NW-1,DATE(YR-1,MOD(A68,100),INT(A68/100)),DATE(YR,MOD(A68,100),INT(A68/100))),A68)),IFERROR(DATEVALUE(A68),"")))</f>
        <v/>
      </c>
      <c r="I68">
        <f>IF(H68="","",INT((H68-SAT1)/7)+1)</f>
        <v/>
      </c>
      <c r="J68">
        <f>IF(I68="","",IF(OR(I68&lt;1,I68&gt;NW),"",INDEX(WMON,I68)))</f>
        <v/>
      </c>
    </row>
    <row r="69">
      <c r="A69" s="48" t="n"/>
      <c r="B69" s="22" t="n"/>
      <c r="C69" s="50" t="n"/>
      <c r="D69" s="49" t="n"/>
      <c r="E69" s="50" t="n"/>
      <c r="G69">
        <f>IF(AND(B69&lt;&gt;"",COUNTIF(B$6:B69,B69)=1),MAX(G$5:G68)+1,"")</f>
        <v/>
      </c>
      <c r="H69">
        <f>IF(A69="","",IF(ISNUMBER(A69),IF(A69&lt;=31,"",IF(A69&lt;=3112,IF(DATE(YR,MOD(A69,100),INT(A69/100))&gt;SAT1+7*NW-1,DATE(YR-1,MOD(A69,100),INT(A69/100)),DATE(YR,MOD(A69,100),INT(A69/100))),A69)),IFERROR(DATEVALUE(A69),"")))</f>
        <v/>
      </c>
      <c r="I69">
        <f>IF(H69="","",INT((H69-SAT1)/7)+1)</f>
        <v/>
      </c>
      <c r="J69">
        <f>IF(I69="","",IF(OR(I69&lt;1,I69&gt;NW),"",INDEX(WMON,I69)))</f>
        <v/>
      </c>
    </row>
    <row r="70">
      <c r="A70" s="48" t="n"/>
      <c r="B70" s="22" t="n"/>
      <c r="C70" s="50" t="n"/>
      <c r="D70" s="49" t="n"/>
      <c r="E70" s="50" t="n"/>
      <c r="G70">
        <f>IF(AND(B70&lt;&gt;"",COUNTIF(B$6:B70,B70)=1),MAX(G$5:G69)+1,"")</f>
        <v/>
      </c>
      <c r="H70">
        <f>IF(A70="","",IF(ISNUMBER(A70),IF(A70&lt;=31,"",IF(A70&lt;=3112,IF(DATE(YR,MOD(A70,100),INT(A70/100))&gt;SAT1+7*NW-1,DATE(YR-1,MOD(A70,100),INT(A70/100)),DATE(YR,MOD(A70,100),INT(A70/100))),A70)),IFERROR(DATEVALUE(A70),"")))</f>
        <v/>
      </c>
      <c r="I70">
        <f>IF(H70="","",INT((H70-SAT1)/7)+1)</f>
        <v/>
      </c>
      <c r="J70">
        <f>IF(I70="","",IF(OR(I70&lt;1,I70&gt;NW),"",INDEX(WMON,I70)))</f>
        <v/>
      </c>
    </row>
    <row r="71">
      <c r="A71" s="48" t="n"/>
      <c r="B71" s="22" t="n"/>
      <c r="C71" s="50" t="n"/>
      <c r="D71" s="49" t="n"/>
      <c r="E71" s="50" t="n"/>
      <c r="G71">
        <f>IF(AND(B71&lt;&gt;"",COUNTIF(B$6:B71,B71)=1),MAX(G$5:G70)+1,"")</f>
        <v/>
      </c>
      <c r="H71">
        <f>IF(A71="","",IF(ISNUMBER(A71),IF(A71&lt;=31,"",IF(A71&lt;=3112,IF(DATE(YR,MOD(A71,100),INT(A71/100))&gt;SAT1+7*NW-1,DATE(YR-1,MOD(A71,100),INT(A71/100)),DATE(YR,MOD(A71,100),INT(A71/100))),A71)),IFERROR(DATEVALUE(A71),"")))</f>
        <v/>
      </c>
      <c r="I71">
        <f>IF(H71="","",INT((H71-SAT1)/7)+1)</f>
        <v/>
      </c>
      <c r="J71">
        <f>IF(I71="","",IF(OR(I71&lt;1,I71&gt;NW),"",INDEX(WMON,I71)))</f>
        <v/>
      </c>
    </row>
    <row r="72">
      <c r="A72" s="48" t="n"/>
      <c r="B72" s="22" t="n"/>
      <c r="C72" s="50" t="n"/>
      <c r="D72" s="49" t="n"/>
      <c r="E72" s="50" t="n"/>
      <c r="G72">
        <f>IF(AND(B72&lt;&gt;"",COUNTIF(B$6:B72,B72)=1),MAX(G$5:G71)+1,"")</f>
        <v/>
      </c>
      <c r="H72">
        <f>IF(A72="","",IF(ISNUMBER(A72),IF(A72&lt;=31,"",IF(A72&lt;=3112,IF(DATE(YR,MOD(A72,100),INT(A72/100))&gt;SAT1+7*NW-1,DATE(YR-1,MOD(A72,100),INT(A72/100)),DATE(YR,MOD(A72,100),INT(A72/100))),A72)),IFERROR(DATEVALUE(A72),"")))</f>
        <v/>
      </c>
      <c r="I72">
        <f>IF(H72="","",INT((H72-SAT1)/7)+1)</f>
        <v/>
      </c>
      <c r="J72">
        <f>IF(I72="","",IF(OR(I72&lt;1,I72&gt;NW),"",INDEX(WMON,I72)))</f>
        <v/>
      </c>
    </row>
    <row r="73">
      <c r="A73" s="48" t="n"/>
      <c r="B73" s="22" t="n"/>
      <c r="C73" s="50" t="n"/>
      <c r="D73" s="49" t="n"/>
      <c r="E73" s="50" t="n"/>
      <c r="G73">
        <f>IF(AND(B73&lt;&gt;"",COUNTIF(B$6:B73,B73)=1),MAX(G$5:G72)+1,"")</f>
        <v/>
      </c>
      <c r="H73">
        <f>IF(A73="","",IF(ISNUMBER(A73),IF(A73&lt;=31,"",IF(A73&lt;=3112,IF(DATE(YR,MOD(A73,100),INT(A73/100))&gt;SAT1+7*NW-1,DATE(YR-1,MOD(A73,100),INT(A73/100)),DATE(YR,MOD(A73,100),INT(A73/100))),A73)),IFERROR(DATEVALUE(A73),"")))</f>
        <v/>
      </c>
      <c r="I73">
        <f>IF(H73="","",INT((H73-SAT1)/7)+1)</f>
        <v/>
      </c>
      <c r="J73">
        <f>IF(I73="","",IF(OR(I73&lt;1,I73&gt;NW),"",INDEX(WMON,I73)))</f>
        <v/>
      </c>
    </row>
    <row r="74">
      <c r="A74" s="48" t="n"/>
      <c r="B74" s="22" t="n"/>
      <c r="C74" s="50" t="n"/>
      <c r="D74" s="49" t="n"/>
      <c r="E74" s="50" t="n"/>
      <c r="G74">
        <f>IF(AND(B74&lt;&gt;"",COUNTIF(B$6:B74,B74)=1),MAX(G$5:G73)+1,"")</f>
        <v/>
      </c>
      <c r="H74">
        <f>IF(A74="","",IF(ISNUMBER(A74),IF(A74&lt;=31,"",IF(A74&lt;=3112,IF(DATE(YR,MOD(A74,100),INT(A74/100))&gt;SAT1+7*NW-1,DATE(YR-1,MOD(A74,100),INT(A74/100)),DATE(YR,MOD(A74,100),INT(A74/100))),A74)),IFERROR(DATEVALUE(A74),"")))</f>
        <v/>
      </c>
      <c r="I74">
        <f>IF(H74="","",INT((H74-SAT1)/7)+1)</f>
        <v/>
      </c>
      <c r="J74">
        <f>IF(I74="","",IF(OR(I74&lt;1,I74&gt;NW),"",INDEX(WMON,I74)))</f>
        <v/>
      </c>
    </row>
    <row r="75">
      <c r="A75" s="48" t="n"/>
      <c r="B75" s="22" t="n"/>
      <c r="C75" s="50" t="n"/>
      <c r="D75" s="49" t="n"/>
      <c r="E75" s="50" t="n"/>
      <c r="G75">
        <f>IF(AND(B75&lt;&gt;"",COUNTIF(B$6:B75,B75)=1),MAX(G$5:G74)+1,"")</f>
        <v/>
      </c>
      <c r="H75">
        <f>IF(A75="","",IF(ISNUMBER(A75),IF(A75&lt;=31,"",IF(A75&lt;=3112,IF(DATE(YR,MOD(A75,100),INT(A75/100))&gt;SAT1+7*NW-1,DATE(YR-1,MOD(A75,100),INT(A75/100)),DATE(YR,MOD(A75,100),INT(A75/100))),A75)),IFERROR(DATEVALUE(A75),"")))</f>
        <v/>
      </c>
      <c r="I75">
        <f>IF(H75="","",INT((H75-SAT1)/7)+1)</f>
        <v/>
      </c>
      <c r="J75">
        <f>IF(I75="","",IF(OR(I75&lt;1,I75&gt;NW),"",INDEX(WMON,I75)))</f>
        <v/>
      </c>
    </row>
    <row r="76">
      <c r="A76" s="48" t="n"/>
      <c r="B76" s="22" t="n"/>
      <c r="C76" s="50" t="n"/>
      <c r="D76" s="49" t="n"/>
      <c r="E76" s="50" t="n"/>
      <c r="G76">
        <f>IF(AND(B76&lt;&gt;"",COUNTIF(B$6:B76,B76)=1),MAX(G$5:G75)+1,"")</f>
        <v/>
      </c>
      <c r="H76">
        <f>IF(A76="","",IF(ISNUMBER(A76),IF(A76&lt;=31,"",IF(A76&lt;=3112,IF(DATE(YR,MOD(A76,100),INT(A76/100))&gt;SAT1+7*NW-1,DATE(YR-1,MOD(A76,100),INT(A76/100)),DATE(YR,MOD(A76,100),INT(A76/100))),A76)),IFERROR(DATEVALUE(A76),"")))</f>
        <v/>
      </c>
      <c r="I76">
        <f>IF(H76="","",INT((H76-SAT1)/7)+1)</f>
        <v/>
      </c>
      <c r="J76">
        <f>IF(I76="","",IF(OR(I76&lt;1,I76&gt;NW),"",INDEX(WMON,I76)))</f>
        <v/>
      </c>
    </row>
    <row r="77">
      <c r="A77" s="48" t="n"/>
      <c r="B77" s="22" t="n"/>
      <c r="C77" s="50" t="n"/>
      <c r="D77" s="49" t="n"/>
      <c r="E77" s="50" t="n"/>
      <c r="G77">
        <f>IF(AND(B77&lt;&gt;"",COUNTIF(B$6:B77,B77)=1),MAX(G$5:G76)+1,"")</f>
        <v/>
      </c>
      <c r="H77">
        <f>IF(A77="","",IF(ISNUMBER(A77),IF(A77&lt;=31,"",IF(A77&lt;=3112,IF(DATE(YR,MOD(A77,100),INT(A77/100))&gt;SAT1+7*NW-1,DATE(YR-1,MOD(A77,100),INT(A77/100)),DATE(YR,MOD(A77,100),INT(A77/100))),A77)),IFERROR(DATEVALUE(A77),"")))</f>
        <v/>
      </c>
      <c r="I77">
        <f>IF(H77="","",INT((H77-SAT1)/7)+1)</f>
        <v/>
      </c>
      <c r="J77">
        <f>IF(I77="","",IF(OR(I77&lt;1,I77&gt;NW),"",INDEX(WMON,I77)))</f>
        <v/>
      </c>
    </row>
    <row r="78">
      <c r="A78" s="48" t="n"/>
      <c r="B78" s="22" t="n"/>
      <c r="C78" s="50" t="n"/>
      <c r="D78" s="49" t="n"/>
      <c r="E78" s="50" t="n"/>
      <c r="G78">
        <f>IF(AND(B78&lt;&gt;"",COUNTIF(B$6:B78,B78)=1),MAX(G$5:G77)+1,"")</f>
        <v/>
      </c>
      <c r="H78">
        <f>IF(A78="","",IF(ISNUMBER(A78),IF(A78&lt;=31,"",IF(A78&lt;=3112,IF(DATE(YR,MOD(A78,100),INT(A78/100))&gt;SAT1+7*NW-1,DATE(YR-1,MOD(A78,100),INT(A78/100)),DATE(YR,MOD(A78,100),INT(A78/100))),A78)),IFERROR(DATEVALUE(A78),"")))</f>
        <v/>
      </c>
      <c r="I78">
        <f>IF(H78="","",INT((H78-SAT1)/7)+1)</f>
        <v/>
      </c>
      <c r="J78">
        <f>IF(I78="","",IF(OR(I78&lt;1,I78&gt;NW),"",INDEX(WMON,I78)))</f>
        <v/>
      </c>
    </row>
    <row r="79">
      <c r="A79" s="48" t="n"/>
      <c r="B79" s="22" t="n"/>
      <c r="C79" s="50" t="n"/>
      <c r="D79" s="49" t="n"/>
      <c r="E79" s="50" t="n"/>
      <c r="G79">
        <f>IF(AND(B79&lt;&gt;"",COUNTIF(B$6:B79,B79)=1),MAX(G$5:G78)+1,"")</f>
        <v/>
      </c>
      <c r="H79">
        <f>IF(A79="","",IF(ISNUMBER(A79),IF(A79&lt;=31,"",IF(A79&lt;=3112,IF(DATE(YR,MOD(A79,100),INT(A79/100))&gt;SAT1+7*NW-1,DATE(YR-1,MOD(A79,100),INT(A79/100)),DATE(YR,MOD(A79,100),INT(A79/100))),A79)),IFERROR(DATEVALUE(A79),"")))</f>
        <v/>
      </c>
      <c r="I79">
        <f>IF(H79="","",INT((H79-SAT1)/7)+1)</f>
        <v/>
      </c>
      <c r="J79">
        <f>IF(I79="","",IF(OR(I79&lt;1,I79&gt;NW),"",INDEX(WMON,I79)))</f>
        <v/>
      </c>
    </row>
    <row r="80">
      <c r="A80" s="48" t="n"/>
      <c r="B80" s="22" t="n"/>
      <c r="C80" s="50" t="n"/>
      <c r="D80" s="49" t="n"/>
      <c r="E80" s="50" t="n"/>
      <c r="G80">
        <f>IF(AND(B80&lt;&gt;"",COUNTIF(B$6:B80,B80)=1),MAX(G$5:G79)+1,"")</f>
        <v/>
      </c>
      <c r="H80">
        <f>IF(A80="","",IF(ISNUMBER(A80),IF(A80&lt;=31,"",IF(A80&lt;=3112,IF(DATE(YR,MOD(A80,100),INT(A80/100))&gt;SAT1+7*NW-1,DATE(YR-1,MOD(A80,100),INT(A80/100)),DATE(YR,MOD(A80,100),INT(A80/100))),A80)),IFERROR(DATEVALUE(A80),"")))</f>
        <v/>
      </c>
      <c r="I80">
        <f>IF(H80="","",INT((H80-SAT1)/7)+1)</f>
        <v/>
      </c>
      <c r="J80">
        <f>IF(I80="","",IF(OR(I80&lt;1,I80&gt;NW),"",INDEX(WMON,I80)))</f>
        <v/>
      </c>
    </row>
    <row r="81">
      <c r="A81" s="48" t="n"/>
      <c r="B81" s="22" t="n"/>
      <c r="C81" s="50" t="n"/>
      <c r="D81" s="49" t="n"/>
      <c r="E81" s="50" t="n"/>
      <c r="G81">
        <f>IF(AND(B81&lt;&gt;"",COUNTIF(B$6:B81,B81)=1),MAX(G$5:G80)+1,"")</f>
        <v/>
      </c>
      <c r="H81">
        <f>IF(A81="","",IF(ISNUMBER(A81),IF(A81&lt;=31,"",IF(A81&lt;=3112,IF(DATE(YR,MOD(A81,100),INT(A81/100))&gt;SAT1+7*NW-1,DATE(YR-1,MOD(A81,100),INT(A81/100)),DATE(YR,MOD(A81,100),INT(A81/100))),A81)),IFERROR(DATEVALUE(A81),"")))</f>
        <v/>
      </c>
      <c r="I81">
        <f>IF(H81="","",INT((H81-SAT1)/7)+1)</f>
        <v/>
      </c>
      <c r="J81">
        <f>IF(I81="","",IF(OR(I81&lt;1,I81&gt;NW),"",INDEX(WMON,I81)))</f>
        <v/>
      </c>
    </row>
    <row r="82">
      <c r="A82" s="48" t="n"/>
      <c r="B82" s="22" t="n"/>
      <c r="C82" s="50" t="n"/>
      <c r="D82" s="49" t="n"/>
      <c r="E82" s="50" t="n"/>
      <c r="G82">
        <f>IF(AND(B82&lt;&gt;"",COUNTIF(B$6:B82,B82)=1),MAX(G$5:G81)+1,"")</f>
        <v/>
      </c>
      <c r="H82">
        <f>IF(A82="","",IF(ISNUMBER(A82),IF(A82&lt;=31,"",IF(A82&lt;=3112,IF(DATE(YR,MOD(A82,100),INT(A82/100))&gt;SAT1+7*NW-1,DATE(YR-1,MOD(A82,100),INT(A82/100)),DATE(YR,MOD(A82,100),INT(A82/100))),A82)),IFERROR(DATEVALUE(A82),"")))</f>
        <v/>
      </c>
      <c r="I82">
        <f>IF(H82="","",INT((H82-SAT1)/7)+1)</f>
        <v/>
      </c>
      <c r="J82">
        <f>IF(I82="","",IF(OR(I82&lt;1,I82&gt;NW),"",INDEX(WMON,I82)))</f>
        <v/>
      </c>
    </row>
    <row r="83">
      <c r="A83" s="48" t="n"/>
      <c r="B83" s="22" t="n"/>
      <c r="C83" s="50" t="n"/>
      <c r="D83" s="49" t="n"/>
      <c r="E83" s="50" t="n"/>
      <c r="G83">
        <f>IF(AND(B83&lt;&gt;"",COUNTIF(B$6:B83,B83)=1),MAX(G$5:G82)+1,"")</f>
        <v/>
      </c>
      <c r="H83">
        <f>IF(A83="","",IF(ISNUMBER(A83),IF(A83&lt;=31,"",IF(A83&lt;=3112,IF(DATE(YR,MOD(A83,100),INT(A83/100))&gt;SAT1+7*NW-1,DATE(YR-1,MOD(A83,100),INT(A83/100)),DATE(YR,MOD(A83,100),INT(A83/100))),A83)),IFERROR(DATEVALUE(A83),"")))</f>
        <v/>
      </c>
      <c r="I83">
        <f>IF(H83="","",INT((H83-SAT1)/7)+1)</f>
        <v/>
      </c>
      <c r="J83">
        <f>IF(I83="","",IF(OR(I83&lt;1,I83&gt;NW),"",INDEX(WMON,I83)))</f>
        <v/>
      </c>
    </row>
    <row r="84">
      <c r="A84" s="48" t="n"/>
      <c r="B84" s="22" t="n"/>
      <c r="C84" s="50" t="n"/>
      <c r="D84" s="49" t="n"/>
      <c r="E84" s="50" t="n"/>
      <c r="G84">
        <f>IF(AND(B84&lt;&gt;"",COUNTIF(B$6:B84,B84)=1),MAX(G$5:G83)+1,"")</f>
        <v/>
      </c>
      <c r="H84">
        <f>IF(A84="","",IF(ISNUMBER(A84),IF(A84&lt;=31,"",IF(A84&lt;=3112,IF(DATE(YR,MOD(A84,100),INT(A84/100))&gt;SAT1+7*NW-1,DATE(YR-1,MOD(A84,100),INT(A84/100)),DATE(YR,MOD(A84,100),INT(A84/100))),A84)),IFERROR(DATEVALUE(A84),"")))</f>
        <v/>
      </c>
      <c r="I84">
        <f>IF(H84="","",INT((H84-SAT1)/7)+1)</f>
        <v/>
      </c>
      <c r="J84">
        <f>IF(I84="","",IF(OR(I84&lt;1,I84&gt;NW),"",INDEX(WMON,I84)))</f>
        <v/>
      </c>
    </row>
    <row r="85">
      <c r="A85" s="48" t="n"/>
      <c r="B85" s="22" t="n"/>
      <c r="C85" s="50" t="n"/>
      <c r="D85" s="49" t="n"/>
      <c r="E85" s="50" t="n"/>
      <c r="G85">
        <f>IF(AND(B85&lt;&gt;"",COUNTIF(B$6:B85,B85)=1),MAX(G$5:G84)+1,"")</f>
        <v/>
      </c>
      <c r="H85">
        <f>IF(A85="","",IF(ISNUMBER(A85),IF(A85&lt;=31,"",IF(A85&lt;=3112,IF(DATE(YR,MOD(A85,100),INT(A85/100))&gt;SAT1+7*NW-1,DATE(YR-1,MOD(A85,100),INT(A85/100)),DATE(YR,MOD(A85,100),INT(A85/100))),A85)),IFERROR(DATEVALUE(A85),"")))</f>
        <v/>
      </c>
      <c r="I85">
        <f>IF(H85="","",INT((H85-SAT1)/7)+1)</f>
        <v/>
      </c>
      <c r="J85">
        <f>IF(I85="","",IF(OR(I85&lt;1,I85&gt;NW),"",INDEX(WMON,I85)))</f>
        <v/>
      </c>
    </row>
    <row r="86">
      <c r="A86" s="48" t="n"/>
      <c r="B86" s="22" t="n"/>
      <c r="C86" s="50" t="n"/>
      <c r="D86" s="49" t="n"/>
      <c r="E86" s="50" t="n"/>
      <c r="G86">
        <f>IF(AND(B86&lt;&gt;"",COUNTIF(B$6:B86,B86)=1),MAX(G$5:G85)+1,"")</f>
        <v/>
      </c>
      <c r="H86">
        <f>IF(A86="","",IF(ISNUMBER(A86),IF(A86&lt;=31,"",IF(A86&lt;=3112,IF(DATE(YR,MOD(A86,100),INT(A86/100))&gt;SAT1+7*NW-1,DATE(YR-1,MOD(A86,100),INT(A86/100)),DATE(YR,MOD(A86,100),INT(A86/100))),A86)),IFERROR(DATEVALUE(A86),"")))</f>
        <v/>
      </c>
      <c r="I86">
        <f>IF(H86="","",INT((H86-SAT1)/7)+1)</f>
        <v/>
      </c>
      <c r="J86">
        <f>IF(I86="","",IF(OR(I86&lt;1,I86&gt;NW),"",INDEX(WMON,I86)))</f>
        <v/>
      </c>
    </row>
    <row r="87">
      <c r="A87" s="48" t="n"/>
      <c r="B87" s="22" t="n"/>
      <c r="C87" s="50" t="n"/>
      <c r="D87" s="49" t="n"/>
      <c r="E87" s="50" t="n"/>
      <c r="G87">
        <f>IF(AND(B87&lt;&gt;"",COUNTIF(B$6:B87,B87)=1),MAX(G$5:G86)+1,"")</f>
        <v/>
      </c>
      <c r="H87">
        <f>IF(A87="","",IF(ISNUMBER(A87),IF(A87&lt;=31,"",IF(A87&lt;=3112,IF(DATE(YR,MOD(A87,100),INT(A87/100))&gt;SAT1+7*NW-1,DATE(YR-1,MOD(A87,100),INT(A87/100)),DATE(YR,MOD(A87,100),INT(A87/100))),A87)),IFERROR(DATEVALUE(A87),"")))</f>
        <v/>
      </c>
      <c r="I87">
        <f>IF(H87="","",INT((H87-SAT1)/7)+1)</f>
        <v/>
      </c>
      <c r="J87">
        <f>IF(I87="","",IF(OR(I87&lt;1,I87&gt;NW),"",INDEX(WMON,I87)))</f>
        <v/>
      </c>
    </row>
    <row r="88">
      <c r="A88" s="48" t="n"/>
      <c r="B88" s="22" t="n"/>
      <c r="C88" s="50" t="n"/>
      <c r="D88" s="49" t="n"/>
      <c r="E88" s="50" t="n"/>
      <c r="G88">
        <f>IF(AND(B88&lt;&gt;"",COUNTIF(B$6:B88,B88)=1),MAX(G$5:G87)+1,"")</f>
        <v/>
      </c>
      <c r="H88">
        <f>IF(A88="","",IF(ISNUMBER(A88),IF(A88&lt;=31,"",IF(A88&lt;=3112,IF(DATE(YR,MOD(A88,100),INT(A88/100))&gt;SAT1+7*NW-1,DATE(YR-1,MOD(A88,100),INT(A88/100)),DATE(YR,MOD(A88,100),INT(A88/100))),A88)),IFERROR(DATEVALUE(A88),"")))</f>
        <v/>
      </c>
      <c r="I88">
        <f>IF(H88="","",INT((H88-SAT1)/7)+1)</f>
        <v/>
      </c>
      <c r="J88">
        <f>IF(I88="","",IF(OR(I88&lt;1,I88&gt;NW),"",INDEX(WMON,I88)))</f>
        <v/>
      </c>
    </row>
    <row r="89">
      <c r="A89" s="48" t="n"/>
      <c r="B89" s="22" t="n"/>
      <c r="C89" s="50" t="n"/>
      <c r="D89" s="49" t="n"/>
      <c r="E89" s="50" t="n"/>
      <c r="G89">
        <f>IF(AND(B89&lt;&gt;"",COUNTIF(B$6:B89,B89)=1),MAX(G$5:G88)+1,"")</f>
        <v/>
      </c>
      <c r="H89">
        <f>IF(A89="","",IF(ISNUMBER(A89),IF(A89&lt;=31,"",IF(A89&lt;=3112,IF(DATE(YR,MOD(A89,100),INT(A89/100))&gt;SAT1+7*NW-1,DATE(YR-1,MOD(A89,100),INT(A89/100)),DATE(YR,MOD(A89,100),INT(A89/100))),A89)),IFERROR(DATEVALUE(A89),"")))</f>
        <v/>
      </c>
      <c r="I89">
        <f>IF(H89="","",INT((H89-SAT1)/7)+1)</f>
        <v/>
      </c>
      <c r="J89">
        <f>IF(I89="","",IF(OR(I89&lt;1,I89&gt;NW),"",INDEX(WMON,I89)))</f>
        <v/>
      </c>
    </row>
    <row r="90">
      <c r="A90" s="48" t="n"/>
      <c r="B90" s="22" t="n"/>
      <c r="C90" s="50" t="n"/>
      <c r="D90" s="49" t="n"/>
      <c r="E90" s="50" t="n"/>
      <c r="G90">
        <f>IF(AND(B90&lt;&gt;"",COUNTIF(B$6:B90,B90)=1),MAX(G$5:G89)+1,"")</f>
        <v/>
      </c>
      <c r="H90">
        <f>IF(A90="","",IF(ISNUMBER(A90),IF(A90&lt;=31,"",IF(A90&lt;=3112,IF(DATE(YR,MOD(A90,100),INT(A90/100))&gt;SAT1+7*NW-1,DATE(YR-1,MOD(A90,100),INT(A90/100)),DATE(YR,MOD(A90,100),INT(A90/100))),A90)),IFERROR(DATEVALUE(A90),"")))</f>
        <v/>
      </c>
      <c r="I90">
        <f>IF(H90="","",INT((H90-SAT1)/7)+1)</f>
        <v/>
      </c>
      <c r="J90">
        <f>IF(I90="","",IF(OR(I90&lt;1,I90&gt;NW),"",INDEX(WMON,I90)))</f>
        <v/>
      </c>
    </row>
    <row r="91">
      <c r="A91" s="48" t="n"/>
      <c r="B91" s="22" t="n"/>
      <c r="C91" s="50" t="n"/>
      <c r="D91" s="49" t="n"/>
      <c r="E91" s="50" t="n"/>
      <c r="G91">
        <f>IF(AND(B91&lt;&gt;"",COUNTIF(B$6:B91,B91)=1),MAX(G$5:G90)+1,"")</f>
        <v/>
      </c>
      <c r="H91">
        <f>IF(A91="","",IF(ISNUMBER(A91),IF(A91&lt;=31,"",IF(A91&lt;=3112,IF(DATE(YR,MOD(A91,100),INT(A91/100))&gt;SAT1+7*NW-1,DATE(YR-1,MOD(A91,100),INT(A91/100)),DATE(YR,MOD(A91,100),INT(A91/100))),A91)),IFERROR(DATEVALUE(A91),"")))</f>
        <v/>
      </c>
      <c r="I91">
        <f>IF(H91="","",INT((H91-SAT1)/7)+1)</f>
        <v/>
      </c>
      <c r="J91">
        <f>IF(I91="","",IF(OR(I91&lt;1,I91&gt;NW),"",INDEX(WMON,I91)))</f>
        <v/>
      </c>
    </row>
    <row r="92">
      <c r="A92" s="48" t="n"/>
      <c r="B92" s="22" t="n"/>
      <c r="C92" s="50" t="n"/>
      <c r="D92" s="49" t="n"/>
      <c r="E92" s="50" t="n"/>
      <c r="G92">
        <f>IF(AND(B92&lt;&gt;"",COUNTIF(B$6:B92,B92)=1),MAX(G$5:G91)+1,"")</f>
        <v/>
      </c>
      <c r="H92">
        <f>IF(A92="","",IF(ISNUMBER(A92),IF(A92&lt;=31,"",IF(A92&lt;=3112,IF(DATE(YR,MOD(A92,100),INT(A92/100))&gt;SAT1+7*NW-1,DATE(YR-1,MOD(A92,100),INT(A92/100)),DATE(YR,MOD(A92,100),INT(A92/100))),A92)),IFERROR(DATEVALUE(A92),"")))</f>
        <v/>
      </c>
      <c r="I92">
        <f>IF(H92="","",INT((H92-SAT1)/7)+1)</f>
        <v/>
      </c>
      <c r="J92">
        <f>IF(I92="","",IF(OR(I92&lt;1,I92&gt;NW),"",INDEX(WMON,I92)))</f>
        <v/>
      </c>
    </row>
    <row r="93">
      <c r="A93" s="48" t="n"/>
      <c r="B93" s="22" t="n"/>
      <c r="C93" s="50" t="n"/>
      <c r="D93" s="49" t="n"/>
      <c r="E93" s="50" t="n"/>
      <c r="G93">
        <f>IF(AND(B93&lt;&gt;"",COUNTIF(B$6:B93,B93)=1),MAX(G$5:G92)+1,"")</f>
        <v/>
      </c>
      <c r="H93">
        <f>IF(A93="","",IF(ISNUMBER(A93),IF(A93&lt;=31,"",IF(A93&lt;=3112,IF(DATE(YR,MOD(A93,100),INT(A93/100))&gt;SAT1+7*NW-1,DATE(YR-1,MOD(A93,100),INT(A93/100)),DATE(YR,MOD(A93,100),INT(A93/100))),A93)),IFERROR(DATEVALUE(A93),"")))</f>
        <v/>
      </c>
      <c r="I93">
        <f>IF(H93="","",INT((H93-SAT1)/7)+1)</f>
        <v/>
      </c>
      <c r="J93">
        <f>IF(I93="","",IF(OR(I93&lt;1,I93&gt;NW),"",INDEX(WMON,I93)))</f>
        <v/>
      </c>
    </row>
    <row r="94">
      <c r="A94" s="48" t="n"/>
      <c r="B94" s="22" t="n"/>
      <c r="C94" s="50" t="n"/>
      <c r="D94" s="49" t="n"/>
      <c r="E94" s="50" t="n"/>
      <c r="G94">
        <f>IF(AND(B94&lt;&gt;"",COUNTIF(B$6:B94,B94)=1),MAX(G$5:G93)+1,"")</f>
        <v/>
      </c>
      <c r="H94">
        <f>IF(A94="","",IF(ISNUMBER(A94),IF(A94&lt;=31,"",IF(A94&lt;=3112,IF(DATE(YR,MOD(A94,100),INT(A94/100))&gt;SAT1+7*NW-1,DATE(YR-1,MOD(A94,100),INT(A94/100)),DATE(YR,MOD(A94,100),INT(A94/100))),A94)),IFERROR(DATEVALUE(A94),"")))</f>
        <v/>
      </c>
      <c r="I94">
        <f>IF(H94="","",INT((H94-SAT1)/7)+1)</f>
        <v/>
      </c>
      <c r="J94">
        <f>IF(I94="","",IF(OR(I94&lt;1,I94&gt;NW),"",INDEX(WMON,I94)))</f>
        <v/>
      </c>
    </row>
    <row r="95">
      <c r="A95" s="48" t="n"/>
      <c r="B95" s="22" t="n"/>
      <c r="C95" s="50" t="n"/>
      <c r="D95" s="49" t="n"/>
      <c r="E95" s="50" t="n"/>
      <c r="G95">
        <f>IF(AND(B95&lt;&gt;"",COUNTIF(B$6:B95,B95)=1),MAX(G$5:G94)+1,"")</f>
        <v/>
      </c>
      <c r="H95">
        <f>IF(A95="","",IF(ISNUMBER(A95),IF(A95&lt;=31,"",IF(A95&lt;=3112,IF(DATE(YR,MOD(A95,100),INT(A95/100))&gt;SAT1+7*NW-1,DATE(YR-1,MOD(A95,100),INT(A95/100)),DATE(YR,MOD(A95,100),INT(A95/100))),A95)),IFERROR(DATEVALUE(A95),"")))</f>
        <v/>
      </c>
      <c r="I95">
        <f>IF(H95="","",INT((H95-SAT1)/7)+1)</f>
        <v/>
      </c>
      <c r="J95">
        <f>IF(I95="","",IF(OR(I95&lt;1,I95&gt;NW),"",INDEX(WMON,I95)))</f>
        <v/>
      </c>
    </row>
    <row r="96">
      <c r="A96" s="48" t="n"/>
      <c r="B96" s="22" t="n"/>
      <c r="C96" s="50" t="n"/>
      <c r="D96" s="49" t="n"/>
      <c r="E96" s="50" t="n"/>
      <c r="G96">
        <f>IF(AND(B96&lt;&gt;"",COUNTIF(B$6:B96,B96)=1),MAX(G$5:G95)+1,"")</f>
        <v/>
      </c>
      <c r="H96">
        <f>IF(A96="","",IF(ISNUMBER(A96),IF(A96&lt;=31,"",IF(A96&lt;=3112,IF(DATE(YR,MOD(A96,100),INT(A96/100))&gt;SAT1+7*NW-1,DATE(YR-1,MOD(A96,100),INT(A96/100)),DATE(YR,MOD(A96,100),INT(A96/100))),A96)),IFERROR(DATEVALUE(A96),"")))</f>
        <v/>
      </c>
      <c r="I96">
        <f>IF(H96="","",INT((H96-SAT1)/7)+1)</f>
        <v/>
      </c>
      <c r="J96">
        <f>IF(I96="","",IF(OR(I96&lt;1,I96&gt;NW),"",INDEX(WMON,I96)))</f>
        <v/>
      </c>
    </row>
    <row r="97">
      <c r="A97" s="48" t="n"/>
      <c r="B97" s="22" t="n"/>
      <c r="C97" s="50" t="n"/>
      <c r="D97" s="49" t="n"/>
      <c r="E97" s="50" t="n"/>
      <c r="G97">
        <f>IF(AND(B97&lt;&gt;"",COUNTIF(B$6:B97,B97)=1),MAX(G$5:G96)+1,"")</f>
        <v/>
      </c>
      <c r="H97">
        <f>IF(A97="","",IF(ISNUMBER(A97),IF(A97&lt;=31,"",IF(A97&lt;=3112,IF(DATE(YR,MOD(A97,100),INT(A97/100))&gt;SAT1+7*NW-1,DATE(YR-1,MOD(A97,100),INT(A97/100)),DATE(YR,MOD(A97,100),INT(A97/100))),A97)),IFERROR(DATEVALUE(A97),"")))</f>
        <v/>
      </c>
      <c r="I97">
        <f>IF(H97="","",INT((H97-SAT1)/7)+1)</f>
        <v/>
      </c>
      <c r="J97">
        <f>IF(I97="","",IF(OR(I97&lt;1,I97&gt;NW),"",INDEX(WMON,I97)))</f>
        <v/>
      </c>
    </row>
    <row r="98">
      <c r="A98" s="48" t="n"/>
      <c r="B98" s="22" t="n"/>
      <c r="C98" s="50" t="n"/>
      <c r="D98" s="49" t="n"/>
      <c r="E98" s="50" t="n"/>
      <c r="G98">
        <f>IF(AND(B98&lt;&gt;"",COUNTIF(B$6:B98,B98)=1),MAX(G$5:G97)+1,"")</f>
        <v/>
      </c>
      <c r="H98">
        <f>IF(A98="","",IF(ISNUMBER(A98),IF(A98&lt;=31,"",IF(A98&lt;=3112,IF(DATE(YR,MOD(A98,100),INT(A98/100))&gt;SAT1+7*NW-1,DATE(YR-1,MOD(A98,100),INT(A98/100)),DATE(YR,MOD(A98,100),INT(A98/100))),A98)),IFERROR(DATEVALUE(A98),"")))</f>
        <v/>
      </c>
      <c r="I98">
        <f>IF(H98="","",INT((H98-SAT1)/7)+1)</f>
        <v/>
      </c>
      <c r="J98">
        <f>IF(I98="","",IF(OR(I98&lt;1,I98&gt;NW),"",INDEX(WMON,I98)))</f>
        <v/>
      </c>
    </row>
    <row r="99">
      <c r="A99" s="48" t="n"/>
      <c r="B99" s="22" t="n"/>
      <c r="C99" s="50" t="n"/>
      <c r="D99" s="49" t="n"/>
      <c r="E99" s="50" t="n"/>
      <c r="G99">
        <f>IF(AND(B99&lt;&gt;"",COUNTIF(B$6:B99,B99)=1),MAX(G$5:G98)+1,"")</f>
        <v/>
      </c>
      <c r="H99">
        <f>IF(A99="","",IF(ISNUMBER(A99),IF(A99&lt;=31,"",IF(A99&lt;=3112,IF(DATE(YR,MOD(A99,100),INT(A99/100))&gt;SAT1+7*NW-1,DATE(YR-1,MOD(A99,100),INT(A99/100)),DATE(YR,MOD(A99,100),INT(A99/100))),A99)),IFERROR(DATEVALUE(A99),"")))</f>
        <v/>
      </c>
      <c r="I99">
        <f>IF(H99="","",INT((H99-SAT1)/7)+1)</f>
        <v/>
      </c>
      <c r="J99">
        <f>IF(I99="","",IF(OR(I99&lt;1,I99&gt;NW),"",INDEX(WMON,I99)))</f>
        <v/>
      </c>
    </row>
    <row r="100">
      <c r="A100" s="48" t="n"/>
      <c r="B100" s="22" t="n"/>
      <c r="C100" s="50" t="n"/>
      <c r="D100" s="49" t="n"/>
      <c r="E100" s="50" t="n"/>
      <c r="G100">
        <f>IF(AND(B100&lt;&gt;"",COUNTIF(B$6:B100,B100)=1),MAX(G$5:G99)+1,"")</f>
        <v/>
      </c>
      <c r="H100">
        <f>IF(A100="","",IF(ISNUMBER(A100),IF(A100&lt;=31,"",IF(A100&lt;=3112,IF(DATE(YR,MOD(A100,100),INT(A100/100))&gt;SAT1+7*NW-1,DATE(YR-1,MOD(A100,100),INT(A100/100)),DATE(YR,MOD(A100,100),INT(A100/100))),A100)),IFERROR(DATEVALUE(A100),"")))</f>
        <v/>
      </c>
      <c r="I100">
        <f>IF(H100="","",INT((H100-SAT1)/7)+1)</f>
        <v/>
      </c>
      <c r="J100">
        <f>IF(I100="","",IF(OR(I100&lt;1,I100&gt;NW),"",INDEX(WMON,I100)))</f>
        <v/>
      </c>
    </row>
    <row r="101">
      <c r="A101" s="48" t="n"/>
      <c r="B101" s="22" t="n"/>
      <c r="C101" s="50" t="n"/>
      <c r="D101" s="49" t="n"/>
      <c r="E101" s="50" t="n"/>
      <c r="G101">
        <f>IF(AND(B101&lt;&gt;"",COUNTIF(B$6:B101,B101)=1),MAX(G$5:G100)+1,"")</f>
        <v/>
      </c>
      <c r="H101">
        <f>IF(A101="","",IF(ISNUMBER(A101),IF(A101&lt;=31,"",IF(A101&lt;=3112,IF(DATE(YR,MOD(A101,100),INT(A101/100))&gt;SAT1+7*NW-1,DATE(YR-1,MOD(A101,100),INT(A101/100)),DATE(YR,MOD(A101,100),INT(A101/100))),A101)),IFERROR(DATEVALUE(A101),"")))</f>
        <v/>
      </c>
      <c r="I101">
        <f>IF(H101="","",INT((H101-SAT1)/7)+1)</f>
        <v/>
      </c>
      <c r="J101">
        <f>IF(I101="","",IF(OR(I101&lt;1,I101&gt;NW),"",INDEX(WMON,I101)))</f>
        <v/>
      </c>
    </row>
    <row r="102">
      <c r="A102" s="48" t="n"/>
      <c r="B102" s="22" t="n"/>
      <c r="C102" s="50" t="n"/>
      <c r="D102" s="49" t="n"/>
      <c r="E102" s="50" t="n"/>
      <c r="G102">
        <f>IF(AND(B102&lt;&gt;"",COUNTIF(B$6:B102,B102)=1),MAX(G$5:G101)+1,"")</f>
        <v/>
      </c>
      <c r="H102">
        <f>IF(A102="","",IF(ISNUMBER(A102),IF(A102&lt;=31,"",IF(A102&lt;=3112,IF(DATE(YR,MOD(A102,100),INT(A102/100))&gt;SAT1+7*NW-1,DATE(YR-1,MOD(A102,100),INT(A102/100)),DATE(YR,MOD(A102,100),INT(A102/100))),A102)),IFERROR(DATEVALUE(A102),"")))</f>
        <v/>
      </c>
      <c r="I102">
        <f>IF(H102="","",INT((H102-SAT1)/7)+1)</f>
        <v/>
      </c>
      <c r="J102">
        <f>IF(I102="","",IF(OR(I102&lt;1,I102&gt;NW),"",INDEX(WMON,I102)))</f>
        <v/>
      </c>
    </row>
    <row r="103">
      <c r="A103" s="48" t="n"/>
      <c r="B103" s="22" t="n"/>
      <c r="C103" s="50" t="n"/>
      <c r="D103" s="49" t="n"/>
      <c r="E103" s="50" t="n"/>
      <c r="G103">
        <f>IF(AND(B103&lt;&gt;"",COUNTIF(B$6:B103,B103)=1),MAX(G$5:G102)+1,"")</f>
        <v/>
      </c>
      <c r="H103">
        <f>IF(A103="","",IF(ISNUMBER(A103),IF(A103&lt;=31,"",IF(A103&lt;=3112,IF(DATE(YR,MOD(A103,100),INT(A103/100))&gt;SAT1+7*NW-1,DATE(YR-1,MOD(A103,100),INT(A103/100)),DATE(YR,MOD(A103,100),INT(A103/100))),A103)),IFERROR(DATEVALUE(A103),"")))</f>
        <v/>
      </c>
      <c r="I103">
        <f>IF(H103="","",INT((H103-SAT1)/7)+1)</f>
        <v/>
      </c>
      <c r="J103">
        <f>IF(I103="","",IF(OR(I103&lt;1,I103&gt;NW),"",INDEX(WMON,I103)))</f>
        <v/>
      </c>
    </row>
    <row r="104">
      <c r="A104" s="48" t="n"/>
      <c r="B104" s="22" t="n"/>
      <c r="C104" s="50" t="n"/>
      <c r="D104" s="49" t="n"/>
      <c r="E104" s="50" t="n"/>
      <c r="G104">
        <f>IF(AND(B104&lt;&gt;"",COUNTIF(B$6:B104,B104)=1),MAX(G$5:G103)+1,"")</f>
        <v/>
      </c>
      <c r="H104">
        <f>IF(A104="","",IF(ISNUMBER(A104),IF(A104&lt;=31,"",IF(A104&lt;=3112,IF(DATE(YR,MOD(A104,100),INT(A104/100))&gt;SAT1+7*NW-1,DATE(YR-1,MOD(A104,100),INT(A104/100)),DATE(YR,MOD(A104,100),INT(A104/100))),A104)),IFERROR(DATEVALUE(A104),"")))</f>
        <v/>
      </c>
      <c r="I104">
        <f>IF(H104="","",INT((H104-SAT1)/7)+1)</f>
        <v/>
      </c>
      <c r="J104">
        <f>IF(I104="","",IF(OR(I104&lt;1,I104&gt;NW),"",INDEX(WMON,I104)))</f>
        <v/>
      </c>
    </row>
    <row r="105">
      <c r="A105" s="48" t="n"/>
      <c r="B105" s="22" t="n"/>
      <c r="C105" s="50" t="n"/>
      <c r="D105" s="49" t="n"/>
      <c r="E105" s="50" t="n"/>
      <c r="G105">
        <f>IF(AND(B105&lt;&gt;"",COUNTIF(B$6:B105,B105)=1),MAX(G$5:G104)+1,"")</f>
        <v/>
      </c>
      <c r="H105">
        <f>IF(A105="","",IF(ISNUMBER(A105),IF(A105&lt;=31,"",IF(A105&lt;=3112,IF(DATE(YR,MOD(A105,100),INT(A105/100))&gt;SAT1+7*NW-1,DATE(YR-1,MOD(A105,100),INT(A105/100)),DATE(YR,MOD(A105,100),INT(A105/100))),A105)),IFERROR(DATEVALUE(A105),"")))</f>
        <v/>
      </c>
      <c r="I105">
        <f>IF(H105="","",INT((H105-SAT1)/7)+1)</f>
        <v/>
      </c>
      <c r="J105">
        <f>IF(I105="","",IF(OR(I105&lt;1,I105&gt;NW),"",INDEX(WMON,I105)))</f>
        <v/>
      </c>
    </row>
    <row r="106">
      <c r="A106" s="48" t="n"/>
      <c r="B106" s="22" t="n"/>
      <c r="C106" s="50" t="n"/>
      <c r="D106" s="49" t="n"/>
      <c r="E106" s="50" t="n"/>
      <c r="G106">
        <f>IF(AND(B106&lt;&gt;"",COUNTIF(B$6:B106,B106)=1),MAX(G$5:G105)+1,"")</f>
        <v/>
      </c>
      <c r="H106">
        <f>IF(A106="","",IF(ISNUMBER(A106),IF(A106&lt;=31,"",IF(A106&lt;=3112,IF(DATE(YR,MOD(A106,100),INT(A106/100))&gt;SAT1+7*NW-1,DATE(YR-1,MOD(A106,100),INT(A106/100)),DATE(YR,MOD(A106,100),INT(A106/100))),A106)),IFERROR(DATEVALUE(A106),"")))</f>
        <v/>
      </c>
      <c r="I106">
        <f>IF(H106="","",INT((H106-SAT1)/7)+1)</f>
        <v/>
      </c>
      <c r="J106">
        <f>IF(I106="","",IF(OR(I106&lt;1,I106&gt;NW),"",INDEX(WMON,I106)))</f>
        <v/>
      </c>
    </row>
    <row r="107">
      <c r="A107" s="48" t="n"/>
      <c r="B107" s="22" t="n"/>
      <c r="C107" s="50" t="n"/>
      <c r="D107" s="49" t="n"/>
      <c r="E107" s="50" t="n"/>
      <c r="G107">
        <f>IF(AND(B107&lt;&gt;"",COUNTIF(B$6:B107,B107)=1),MAX(G$5:G106)+1,"")</f>
        <v/>
      </c>
      <c r="H107">
        <f>IF(A107="","",IF(ISNUMBER(A107),IF(A107&lt;=31,"",IF(A107&lt;=3112,IF(DATE(YR,MOD(A107,100),INT(A107/100))&gt;SAT1+7*NW-1,DATE(YR-1,MOD(A107,100),INT(A107/100)),DATE(YR,MOD(A107,100),INT(A107/100))),A107)),IFERROR(DATEVALUE(A107),"")))</f>
        <v/>
      </c>
      <c r="I107">
        <f>IF(H107="","",INT((H107-SAT1)/7)+1)</f>
        <v/>
      </c>
      <c r="J107">
        <f>IF(I107="","",IF(OR(I107&lt;1,I107&gt;NW),"",INDEX(WMON,I107)))</f>
        <v/>
      </c>
    </row>
    <row r="108">
      <c r="A108" s="48" t="n"/>
      <c r="B108" s="22" t="n"/>
      <c r="C108" s="50" t="n"/>
      <c r="D108" s="49" t="n"/>
      <c r="E108" s="50" t="n"/>
      <c r="G108">
        <f>IF(AND(B108&lt;&gt;"",COUNTIF(B$6:B108,B108)=1),MAX(G$5:G107)+1,"")</f>
        <v/>
      </c>
      <c r="H108">
        <f>IF(A108="","",IF(ISNUMBER(A108),IF(A108&lt;=31,"",IF(A108&lt;=3112,IF(DATE(YR,MOD(A108,100),INT(A108/100))&gt;SAT1+7*NW-1,DATE(YR-1,MOD(A108,100),INT(A108/100)),DATE(YR,MOD(A108,100),INT(A108/100))),A108)),IFERROR(DATEVALUE(A108),"")))</f>
        <v/>
      </c>
      <c r="I108">
        <f>IF(H108="","",INT((H108-SAT1)/7)+1)</f>
        <v/>
      </c>
      <c r="J108">
        <f>IF(I108="","",IF(OR(I108&lt;1,I108&gt;NW),"",INDEX(WMON,I108)))</f>
        <v/>
      </c>
    </row>
    <row r="109">
      <c r="A109" s="48" t="n"/>
      <c r="B109" s="22" t="n"/>
      <c r="C109" s="50" t="n"/>
      <c r="D109" s="49" t="n"/>
      <c r="E109" s="50" t="n"/>
      <c r="G109">
        <f>IF(AND(B109&lt;&gt;"",COUNTIF(B$6:B109,B109)=1),MAX(G$5:G108)+1,"")</f>
        <v/>
      </c>
      <c r="H109">
        <f>IF(A109="","",IF(ISNUMBER(A109),IF(A109&lt;=31,"",IF(A109&lt;=3112,IF(DATE(YR,MOD(A109,100),INT(A109/100))&gt;SAT1+7*NW-1,DATE(YR-1,MOD(A109,100),INT(A109/100)),DATE(YR,MOD(A109,100),INT(A109/100))),A109)),IFERROR(DATEVALUE(A109),"")))</f>
        <v/>
      </c>
      <c r="I109">
        <f>IF(H109="","",INT((H109-SAT1)/7)+1)</f>
        <v/>
      </c>
      <c r="J109">
        <f>IF(I109="","",IF(OR(I109&lt;1,I109&gt;NW),"",INDEX(WMON,I109)))</f>
        <v/>
      </c>
    </row>
    <row r="110">
      <c r="A110" s="48" t="n"/>
      <c r="B110" s="22" t="n"/>
      <c r="C110" s="50" t="n"/>
      <c r="D110" s="49" t="n"/>
      <c r="E110" s="50" t="n"/>
      <c r="G110">
        <f>IF(AND(B110&lt;&gt;"",COUNTIF(B$6:B110,B110)=1),MAX(G$5:G109)+1,"")</f>
        <v/>
      </c>
      <c r="H110">
        <f>IF(A110="","",IF(ISNUMBER(A110),IF(A110&lt;=31,"",IF(A110&lt;=3112,IF(DATE(YR,MOD(A110,100),INT(A110/100))&gt;SAT1+7*NW-1,DATE(YR-1,MOD(A110,100),INT(A110/100)),DATE(YR,MOD(A110,100),INT(A110/100))),A110)),IFERROR(DATEVALUE(A110),"")))</f>
        <v/>
      </c>
      <c r="I110">
        <f>IF(H110="","",INT((H110-SAT1)/7)+1)</f>
        <v/>
      </c>
      <c r="J110">
        <f>IF(I110="","",IF(OR(I110&lt;1,I110&gt;NW),"",INDEX(WMON,I110)))</f>
        <v/>
      </c>
    </row>
    <row r="111">
      <c r="A111" s="48" t="n"/>
      <c r="B111" s="22" t="n"/>
      <c r="C111" s="50" t="n"/>
      <c r="D111" s="49" t="n"/>
      <c r="E111" s="50" t="n"/>
      <c r="G111">
        <f>IF(AND(B111&lt;&gt;"",COUNTIF(B$6:B111,B111)=1),MAX(G$5:G110)+1,"")</f>
        <v/>
      </c>
      <c r="H111">
        <f>IF(A111="","",IF(ISNUMBER(A111),IF(A111&lt;=31,"",IF(A111&lt;=3112,IF(DATE(YR,MOD(A111,100),INT(A111/100))&gt;SAT1+7*NW-1,DATE(YR-1,MOD(A111,100),INT(A111/100)),DATE(YR,MOD(A111,100),INT(A111/100))),A111)),IFERROR(DATEVALUE(A111),"")))</f>
        <v/>
      </c>
      <c r="I111">
        <f>IF(H111="","",INT((H111-SAT1)/7)+1)</f>
        <v/>
      </c>
      <c r="J111">
        <f>IF(I111="","",IF(OR(I111&lt;1,I111&gt;NW),"",INDEX(WMON,I111)))</f>
        <v/>
      </c>
    </row>
    <row r="112">
      <c r="A112" s="48" t="n"/>
      <c r="B112" s="22" t="n"/>
      <c r="C112" s="50" t="n"/>
      <c r="D112" s="49" t="n"/>
      <c r="E112" s="50" t="n"/>
      <c r="G112">
        <f>IF(AND(B112&lt;&gt;"",COUNTIF(B$6:B112,B112)=1),MAX(G$5:G111)+1,"")</f>
        <v/>
      </c>
      <c r="H112">
        <f>IF(A112="","",IF(ISNUMBER(A112),IF(A112&lt;=31,"",IF(A112&lt;=3112,IF(DATE(YR,MOD(A112,100),INT(A112/100))&gt;SAT1+7*NW-1,DATE(YR-1,MOD(A112,100),INT(A112/100)),DATE(YR,MOD(A112,100),INT(A112/100))),A112)),IFERROR(DATEVALUE(A112),"")))</f>
        <v/>
      </c>
      <c r="I112">
        <f>IF(H112="","",INT((H112-SAT1)/7)+1)</f>
        <v/>
      </c>
      <c r="J112">
        <f>IF(I112="","",IF(OR(I112&lt;1,I112&gt;NW),"",INDEX(WMON,I112)))</f>
        <v/>
      </c>
    </row>
    <row r="113">
      <c r="A113" s="48" t="n"/>
      <c r="B113" s="22" t="n"/>
      <c r="C113" s="50" t="n"/>
      <c r="D113" s="49" t="n"/>
      <c r="E113" s="50" t="n"/>
      <c r="G113">
        <f>IF(AND(B113&lt;&gt;"",COUNTIF(B$6:B113,B113)=1),MAX(G$5:G112)+1,"")</f>
        <v/>
      </c>
      <c r="H113">
        <f>IF(A113="","",IF(ISNUMBER(A113),IF(A113&lt;=31,"",IF(A113&lt;=3112,IF(DATE(YR,MOD(A113,100),INT(A113/100))&gt;SAT1+7*NW-1,DATE(YR-1,MOD(A113,100),INT(A113/100)),DATE(YR,MOD(A113,100),INT(A113/100))),A113)),IFERROR(DATEVALUE(A113),"")))</f>
        <v/>
      </c>
      <c r="I113">
        <f>IF(H113="","",INT((H113-SAT1)/7)+1)</f>
        <v/>
      </c>
      <c r="J113">
        <f>IF(I113="","",IF(OR(I113&lt;1,I113&gt;NW),"",INDEX(WMON,I113)))</f>
        <v/>
      </c>
    </row>
    <row r="114">
      <c r="A114" s="48" t="n"/>
      <c r="B114" s="22" t="n"/>
      <c r="C114" s="50" t="n"/>
      <c r="D114" s="49" t="n"/>
      <c r="E114" s="50" t="n"/>
      <c r="G114">
        <f>IF(AND(B114&lt;&gt;"",COUNTIF(B$6:B114,B114)=1),MAX(G$5:G113)+1,"")</f>
        <v/>
      </c>
      <c r="H114">
        <f>IF(A114="","",IF(ISNUMBER(A114),IF(A114&lt;=31,"",IF(A114&lt;=3112,IF(DATE(YR,MOD(A114,100),INT(A114/100))&gt;SAT1+7*NW-1,DATE(YR-1,MOD(A114,100),INT(A114/100)),DATE(YR,MOD(A114,100),INT(A114/100))),A114)),IFERROR(DATEVALUE(A114),"")))</f>
        <v/>
      </c>
      <c r="I114">
        <f>IF(H114="","",INT((H114-SAT1)/7)+1)</f>
        <v/>
      </c>
      <c r="J114">
        <f>IF(I114="","",IF(OR(I114&lt;1,I114&gt;NW),"",INDEX(WMON,I114)))</f>
        <v/>
      </c>
    </row>
    <row r="115">
      <c r="A115" s="48" t="n"/>
      <c r="B115" s="22" t="n"/>
      <c r="C115" s="50" t="n"/>
      <c r="D115" s="49" t="n"/>
      <c r="E115" s="50" t="n"/>
      <c r="G115">
        <f>IF(AND(B115&lt;&gt;"",COUNTIF(B$6:B115,B115)=1),MAX(G$5:G114)+1,"")</f>
        <v/>
      </c>
      <c r="H115">
        <f>IF(A115="","",IF(ISNUMBER(A115),IF(A115&lt;=31,"",IF(A115&lt;=3112,IF(DATE(YR,MOD(A115,100),INT(A115/100))&gt;SAT1+7*NW-1,DATE(YR-1,MOD(A115,100),INT(A115/100)),DATE(YR,MOD(A115,100),INT(A115/100))),A115)),IFERROR(DATEVALUE(A115),"")))</f>
        <v/>
      </c>
      <c r="I115">
        <f>IF(H115="","",INT((H115-SAT1)/7)+1)</f>
        <v/>
      </c>
      <c r="J115">
        <f>IF(I115="","",IF(OR(I115&lt;1,I115&gt;NW),"",INDEX(WMON,I115)))</f>
        <v/>
      </c>
    </row>
    <row r="116">
      <c r="A116" s="48" t="n"/>
      <c r="B116" s="22" t="n"/>
      <c r="C116" s="50" t="n"/>
      <c r="D116" s="49" t="n"/>
      <c r="E116" s="50" t="n"/>
      <c r="G116">
        <f>IF(AND(B116&lt;&gt;"",COUNTIF(B$6:B116,B116)=1),MAX(G$5:G115)+1,"")</f>
        <v/>
      </c>
      <c r="H116">
        <f>IF(A116="","",IF(ISNUMBER(A116),IF(A116&lt;=31,"",IF(A116&lt;=3112,IF(DATE(YR,MOD(A116,100),INT(A116/100))&gt;SAT1+7*NW-1,DATE(YR-1,MOD(A116,100),INT(A116/100)),DATE(YR,MOD(A116,100),INT(A116/100))),A116)),IFERROR(DATEVALUE(A116),"")))</f>
        <v/>
      </c>
      <c r="I116">
        <f>IF(H116="","",INT((H116-SAT1)/7)+1)</f>
        <v/>
      </c>
      <c r="J116">
        <f>IF(I116="","",IF(OR(I116&lt;1,I116&gt;NW),"",INDEX(WMON,I116)))</f>
        <v/>
      </c>
    </row>
    <row r="117">
      <c r="A117" s="48" t="n"/>
      <c r="B117" s="22" t="n"/>
      <c r="C117" s="50" t="n"/>
      <c r="D117" s="49" t="n"/>
      <c r="E117" s="50" t="n"/>
      <c r="G117">
        <f>IF(AND(B117&lt;&gt;"",COUNTIF(B$6:B117,B117)=1),MAX(G$5:G116)+1,"")</f>
        <v/>
      </c>
      <c r="H117">
        <f>IF(A117="","",IF(ISNUMBER(A117),IF(A117&lt;=31,"",IF(A117&lt;=3112,IF(DATE(YR,MOD(A117,100),INT(A117/100))&gt;SAT1+7*NW-1,DATE(YR-1,MOD(A117,100),INT(A117/100)),DATE(YR,MOD(A117,100),INT(A117/100))),A117)),IFERROR(DATEVALUE(A117),"")))</f>
        <v/>
      </c>
      <c r="I117">
        <f>IF(H117="","",INT((H117-SAT1)/7)+1)</f>
        <v/>
      </c>
      <c r="J117">
        <f>IF(I117="","",IF(OR(I117&lt;1,I117&gt;NW),"",INDEX(WMON,I117)))</f>
        <v/>
      </c>
    </row>
    <row r="118">
      <c r="A118" s="48" t="n"/>
      <c r="B118" s="22" t="n"/>
      <c r="C118" s="50" t="n"/>
      <c r="D118" s="49" t="n"/>
      <c r="E118" s="50" t="n"/>
      <c r="G118">
        <f>IF(AND(B118&lt;&gt;"",COUNTIF(B$6:B118,B118)=1),MAX(G$5:G117)+1,"")</f>
        <v/>
      </c>
      <c r="H118">
        <f>IF(A118="","",IF(ISNUMBER(A118),IF(A118&lt;=31,"",IF(A118&lt;=3112,IF(DATE(YR,MOD(A118,100),INT(A118/100))&gt;SAT1+7*NW-1,DATE(YR-1,MOD(A118,100),INT(A118/100)),DATE(YR,MOD(A118,100),INT(A118/100))),A118)),IFERROR(DATEVALUE(A118),"")))</f>
        <v/>
      </c>
      <c r="I118">
        <f>IF(H118="","",INT((H118-SAT1)/7)+1)</f>
        <v/>
      </c>
      <c r="J118">
        <f>IF(I118="","",IF(OR(I118&lt;1,I118&gt;NW),"",INDEX(WMON,I118)))</f>
        <v/>
      </c>
    </row>
    <row r="119">
      <c r="A119" s="48" t="n"/>
      <c r="B119" s="22" t="n"/>
      <c r="C119" s="50" t="n"/>
      <c r="D119" s="49" t="n"/>
      <c r="E119" s="50" t="n"/>
      <c r="G119">
        <f>IF(AND(B119&lt;&gt;"",COUNTIF(B$6:B119,B119)=1),MAX(G$5:G118)+1,"")</f>
        <v/>
      </c>
      <c r="H119">
        <f>IF(A119="","",IF(ISNUMBER(A119),IF(A119&lt;=31,"",IF(A119&lt;=3112,IF(DATE(YR,MOD(A119,100),INT(A119/100))&gt;SAT1+7*NW-1,DATE(YR-1,MOD(A119,100),INT(A119/100)),DATE(YR,MOD(A119,100),INT(A119/100))),A119)),IFERROR(DATEVALUE(A119),"")))</f>
        <v/>
      </c>
      <c r="I119">
        <f>IF(H119="","",INT((H119-SAT1)/7)+1)</f>
        <v/>
      </c>
      <c r="J119">
        <f>IF(I119="","",IF(OR(I119&lt;1,I119&gt;NW),"",INDEX(WMON,I119)))</f>
        <v/>
      </c>
    </row>
    <row r="120">
      <c r="A120" s="48" t="n"/>
      <c r="B120" s="22" t="n"/>
      <c r="C120" s="50" t="n"/>
      <c r="D120" s="49" t="n"/>
      <c r="E120" s="50" t="n"/>
      <c r="G120">
        <f>IF(AND(B120&lt;&gt;"",COUNTIF(B$6:B120,B120)=1),MAX(G$5:G119)+1,"")</f>
        <v/>
      </c>
      <c r="H120">
        <f>IF(A120="","",IF(ISNUMBER(A120),IF(A120&lt;=31,"",IF(A120&lt;=3112,IF(DATE(YR,MOD(A120,100),INT(A120/100))&gt;SAT1+7*NW-1,DATE(YR-1,MOD(A120,100),INT(A120/100)),DATE(YR,MOD(A120,100),INT(A120/100))),A120)),IFERROR(DATEVALUE(A120),"")))</f>
        <v/>
      </c>
      <c r="I120">
        <f>IF(H120="","",INT((H120-SAT1)/7)+1)</f>
        <v/>
      </c>
      <c r="J120">
        <f>IF(I120="","",IF(OR(I120&lt;1,I120&gt;NW),"",INDEX(WMON,I120)))</f>
        <v/>
      </c>
    </row>
    <row r="121">
      <c r="A121" s="48" t="n"/>
      <c r="B121" s="22" t="n"/>
      <c r="C121" s="50" t="n"/>
      <c r="D121" s="49" t="n"/>
      <c r="E121" s="50" t="n"/>
      <c r="G121">
        <f>IF(AND(B121&lt;&gt;"",COUNTIF(B$6:B121,B121)=1),MAX(G$5:G120)+1,"")</f>
        <v/>
      </c>
      <c r="H121">
        <f>IF(A121="","",IF(ISNUMBER(A121),IF(A121&lt;=31,"",IF(A121&lt;=3112,IF(DATE(YR,MOD(A121,100),INT(A121/100))&gt;SAT1+7*NW-1,DATE(YR-1,MOD(A121,100),INT(A121/100)),DATE(YR,MOD(A121,100),INT(A121/100))),A121)),IFERROR(DATEVALUE(A121),"")))</f>
        <v/>
      </c>
      <c r="I121">
        <f>IF(H121="","",INT((H121-SAT1)/7)+1)</f>
        <v/>
      </c>
      <c r="J121">
        <f>IF(I121="","",IF(OR(I121&lt;1,I121&gt;NW),"",INDEX(WMON,I121)))</f>
        <v/>
      </c>
    </row>
    <row r="122">
      <c r="A122" s="48" t="n"/>
      <c r="B122" s="22" t="n"/>
      <c r="C122" s="50" t="n"/>
      <c r="D122" s="49" t="n"/>
      <c r="E122" s="50" t="n"/>
      <c r="G122">
        <f>IF(AND(B122&lt;&gt;"",COUNTIF(B$6:B122,B122)=1),MAX(G$5:G121)+1,"")</f>
        <v/>
      </c>
      <c r="H122">
        <f>IF(A122="","",IF(ISNUMBER(A122),IF(A122&lt;=31,"",IF(A122&lt;=3112,IF(DATE(YR,MOD(A122,100),INT(A122/100))&gt;SAT1+7*NW-1,DATE(YR-1,MOD(A122,100),INT(A122/100)),DATE(YR,MOD(A122,100),INT(A122/100))),A122)),IFERROR(DATEVALUE(A122),"")))</f>
        <v/>
      </c>
      <c r="I122">
        <f>IF(H122="","",INT((H122-SAT1)/7)+1)</f>
        <v/>
      </c>
      <c r="J122">
        <f>IF(I122="","",IF(OR(I122&lt;1,I122&gt;NW),"",INDEX(WMON,I122)))</f>
        <v/>
      </c>
    </row>
    <row r="123">
      <c r="A123" s="48" t="n"/>
      <c r="B123" s="22" t="n"/>
      <c r="C123" s="50" t="n"/>
      <c r="D123" s="49" t="n"/>
      <c r="E123" s="50" t="n"/>
      <c r="G123">
        <f>IF(AND(B123&lt;&gt;"",COUNTIF(B$6:B123,B123)=1),MAX(G$5:G122)+1,"")</f>
        <v/>
      </c>
      <c r="H123">
        <f>IF(A123="","",IF(ISNUMBER(A123),IF(A123&lt;=31,"",IF(A123&lt;=3112,IF(DATE(YR,MOD(A123,100),INT(A123/100))&gt;SAT1+7*NW-1,DATE(YR-1,MOD(A123,100),INT(A123/100)),DATE(YR,MOD(A123,100),INT(A123/100))),A123)),IFERROR(DATEVALUE(A123),"")))</f>
        <v/>
      </c>
      <c r="I123">
        <f>IF(H123="","",INT((H123-SAT1)/7)+1)</f>
        <v/>
      </c>
      <c r="J123">
        <f>IF(I123="","",IF(OR(I123&lt;1,I123&gt;NW),"",INDEX(WMON,I123)))</f>
        <v/>
      </c>
    </row>
    <row r="124">
      <c r="A124" s="48" t="n"/>
      <c r="B124" s="22" t="n"/>
      <c r="C124" s="50" t="n"/>
      <c r="D124" s="49" t="n"/>
      <c r="E124" s="50" t="n"/>
      <c r="G124">
        <f>IF(AND(B124&lt;&gt;"",COUNTIF(B$6:B124,B124)=1),MAX(G$5:G123)+1,"")</f>
        <v/>
      </c>
      <c r="H124">
        <f>IF(A124="","",IF(ISNUMBER(A124),IF(A124&lt;=31,"",IF(A124&lt;=3112,IF(DATE(YR,MOD(A124,100),INT(A124/100))&gt;SAT1+7*NW-1,DATE(YR-1,MOD(A124,100),INT(A124/100)),DATE(YR,MOD(A124,100),INT(A124/100))),A124)),IFERROR(DATEVALUE(A124),"")))</f>
        <v/>
      </c>
      <c r="I124">
        <f>IF(H124="","",INT((H124-SAT1)/7)+1)</f>
        <v/>
      </c>
      <c r="J124">
        <f>IF(I124="","",IF(OR(I124&lt;1,I124&gt;NW),"",INDEX(WMON,I124)))</f>
        <v/>
      </c>
    </row>
    <row r="125">
      <c r="A125" s="48" t="n"/>
      <c r="B125" s="22" t="n"/>
      <c r="C125" s="50" t="n"/>
      <c r="D125" s="49" t="n"/>
      <c r="E125" s="50" t="n"/>
      <c r="G125">
        <f>IF(AND(B125&lt;&gt;"",COUNTIF(B$6:B125,B125)=1),MAX(G$5:G124)+1,"")</f>
        <v/>
      </c>
      <c r="H125">
        <f>IF(A125="","",IF(ISNUMBER(A125),IF(A125&lt;=31,"",IF(A125&lt;=3112,IF(DATE(YR,MOD(A125,100),INT(A125/100))&gt;SAT1+7*NW-1,DATE(YR-1,MOD(A125,100),INT(A125/100)),DATE(YR,MOD(A125,100),INT(A125/100))),A125)),IFERROR(DATEVALUE(A125),"")))</f>
        <v/>
      </c>
      <c r="I125">
        <f>IF(H125="","",INT((H125-SAT1)/7)+1)</f>
        <v/>
      </c>
      <c r="J125">
        <f>IF(I125="","",IF(OR(I125&lt;1,I125&gt;NW),"",INDEX(WMON,I125)))</f>
        <v/>
      </c>
    </row>
    <row r="126">
      <c r="A126" s="48" t="n"/>
      <c r="B126" s="22" t="n"/>
      <c r="C126" s="50" t="n"/>
      <c r="D126" s="49" t="n"/>
      <c r="E126" s="50" t="n"/>
      <c r="G126">
        <f>IF(AND(B126&lt;&gt;"",COUNTIF(B$6:B126,B126)=1),MAX(G$5:G125)+1,"")</f>
        <v/>
      </c>
      <c r="H126">
        <f>IF(A126="","",IF(ISNUMBER(A126),IF(A126&lt;=31,"",IF(A126&lt;=3112,IF(DATE(YR,MOD(A126,100),INT(A126/100))&gt;SAT1+7*NW-1,DATE(YR-1,MOD(A126,100),INT(A126/100)),DATE(YR,MOD(A126,100),INT(A126/100))),A126)),IFERROR(DATEVALUE(A126),"")))</f>
        <v/>
      </c>
      <c r="I126">
        <f>IF(H126="","",INT((H126-SAT1)/7)+1)</f>
        <v/>
      </c>
      <c r="J126">
        <f>IF(I126="","",IF(OR(I126&lt;1,I126&gt;NW),"",INDEX(WMON,I126)))</f>
        <v/>
      </c>
    </row>
    <row r="127">
      <c r="A127" s="48" t="n"/>
      <c r="B127" s="22" t="n"/>
      <c r="C127" s="50" t="n"/>
      <c r="D127" s="49" t="n"/>
      <c r="E127" s="50" t="n"/>
      <c r="G127">
        <f>IF(AND(B127&lt;&gt;"",COUNTIF(B$6:B127,B127)=1),MAX(G$5:G126)+1,"")</f>
        <v/>
      </c>
      <c r="H127">
        <f>IF(A127="","",IF(ISNUMBER(A127),IF(A127&lt;=31,"",IF(A127&lt;=3112,IF(DATE(YR,MOD(A127,100),INT(A127/100))&gt;SAT1+7*NW-1,DATE(YR-1,MOD(A127,100),INT(A127/100)),DATE(YR,MOD(A127,100),INT(A127/100))),A127)),IFERROR(DATEVALUE(A127),"")))</f>
        <v/>
      </c>
      <c r="I127">
        <f>IF(H127="","",INT((H127-SAT1)/7)+1)</f>
        <v/>
      </c>
      <c r="J127">
        <f>IF(I127="","",IF(OR(I127&lt;1,I127&gt;NW),"",INDEX(WMON,I127)))</f>
        <v/>
      </c>
    </row>
    <row r="128">
      <c r="A128" s="48" t="n"/>
      <c r="B128" s="22" t="n"/>
      <c r="C128" s="50" t="n"/>
      <c r="D128" s="49" t="n"/>
      <c r="E128" s="50" t="n"/>
      <c r="G128">
        <f>IF(AND(B128&lt;&gt;"",COUNTIF(B$6:B128,B128)=1),MAX(G$5:G127)+1,"")</f>
        <v/>
      </c>
      <c r="H128">
        <f>IF(A128="","",IF(ISNUMBER(A128),IF(A128&lt;=31,"",IF(A128&lt;=3112,IF(DATE(YR,MOD(A128,100),INT(A128/100))&gt;SAT1+7*NW-1,DATE(YR-1,MOD(A128,100),INT(A128/100)),DATE(YR,MOD(A128,100),INT(A128/100))),A128)),IFERROR(DATEVALUE(A128),"")))</f>
        <v/>
      </c>
      <c r="I128">
        <f>IF(H128="","",INT((H128-SAT1)/7)+1)</f>
        <v/>
      </c>
      <c r="J128">
        <f>IF(I128="","",IF(OR(I128&lt;1,I128&gt;NW),"",INDEX(WMON,I128)))</f>
        <v/>
      </c>
    </row>
    <row r="129">
      <c r="A129" s="48" t="n"/>
      <c r="B129" s="22" t="n"/>
      <c r="C129" s="50" t="n"/>
      <c r="D129" s="49" t="n"/>
      <c r="E129" s="50" t="n"/>
      <c r="G129">
        <f>IF(AND(B129&lt;&gt;"",COUNTIF(B$6:B129,B129)=1),MAX(G$5:G128)+1,"")</f>
        <v/>
      </c>
      <c r="H129">
        <f>IF(A129="","",IF(ISNUMBER(A129),IF(A129&lt;=31,"",IF(A129&lt;=3112,IF(DATE(YR,MOD(A129,100),INT(A129/100))&gt;SAT1+7*NW-1,DATE(YR-1,MOD(A129,100),INT(A129/100)),DATE(YR,MOD(A129,100),INT(A129/100))),A129)),IFERROR(DATEVALUE(A129),"")))</f>
        <v/>
      </c>
      <c r="I129">
        <f>IF(H129="","",INT((H129-SAT1)/7)+1)</f>
        <v/>
      </c>
      <c r="J129">
        <f>IF(I129="","",IF(OR(I129&lt;1,I129&gt;NW),"",INDEX(WMON,I129)))</f>
        <v/>
      </c>
    </row>
    <row r="130">
      <c r="A130" s="48" t="n"/>
      <c r="B130" s="22" t="n"/>
      <c r="C130" s="50" t="n"/>
      <c r="D130" s="49" t="n"/>
      <c r="E130" s="50" t="n"/>
      <c r="G130">
        <f>IF(AND(B130&lt;&gt;"",COUNTIF(B$6:B130,B130)=1),MAX(G$5:G129)+1,"")</f>
        <v/>
      </c>
      <c r="H130">
        <f>IF(A130="","",IF(ISNUMBER(A130),IF(A130&lt;=31,"",IF(A130&lt;=3112,IF(DATE(YR,MOD(A130,100),INT(A130/100))&gt;SAT1+7*NW-1,DATE(YR-1,MOD(A130,100),INT(A130/100)),DATE(YR,MOD(A130,100),INT(A130/100))),A130)),IFERROR(DATEVALUE(A130),"")))</f>
        <v/>
      </c>
      <c r="I130">
        <f>IF(H130="","",INT((H130-SAT1)/7)+1)</f>
        <v/>
      </c>
      <c r="J130">
        <f>IF(I130="","",IF(OR(I130&lt;1,I130&gt;NW),"",INDEX(WMON,I130)))</f>
        <v/>
      </c>
    </row>
    <row r="131">
      <c r="A131" s="48" t="n"/>
      <c r="B131" s="22" t="n"/>
      <c r="C131" s="50" t="n"/>
      <c r="D131" s="49" t="n"/>
      <c r="E131" s="50" t="n"/>
      <c r="G131">
        <f>IF(AND(B131&lt;&gt;"",COUNTIF(B$6:B131,B131)=1),MAX(G$5:G130)+1,"")</f>
        <v/>
      </c>
      <c r="H131">
        <f>IF(A131="","",IF(ISNUMBER(A131),IF(A131&lt;=31,"",IF(A131&lt;=3112,IF(DATE(YR,MOD(A131,100),INT(A131/100))&gt;SAT1+7*NW-1,DATE(YR-1,MOD(A131,100),INT(A131/100)),DATE(YR,MOD(A131,100),INT(A131/100))),A131)),IFERROR(DATEVALUE(A131),"")))</f>
        <v/>
      </c>
      <c r="I131">
        <f>IF(H131="","",INT((H131-SAT1)/7)+1)</f>
        <v/>
      </c>
      <c r="J131">
        <f>IF(I131="","",IF(OR(I131&lt;1,I131&gt;NW),"",INDEX(WMON,I131)))</f>
        <v/>
      </c>
    </row>
    <row r="132">
      <c r="A132" s="48" t="n"/>
      <c r="B132" s="22" t="n"/>
      <c r="C132" s="50" t="n"/>
      <c r="D132" s="49" t="n"/>
      <c r="E132" s="50" t="n"/>
      <c r="G132">
        <f>IF(AND(B132&lt;&gt;"",COUNTIF(B$6:B132,B132)=1),MAX(G$5:G131)+1,"")</f>
        <v/>
      </c>
      <c r="H132">
        <f>IF(A132="","",IF(ISNUMBER(A132),IF(A132&lt;=31,"",IF(A132&lt;=3112,IF(DATE(YR,MOD(A132,100),INT(A132/100))&gt;SAT1+7*NW-1,DATE(YR-1,MOD(A132,100),INT(A132/100)),DATE(YR,MOD(A132,100),INT(A132/100))),A132)),IFERROR(DATEVALUE(A132),"")))</f>
        <v/>
      </c>
      <c r="I132">
        <f>IF(H132="","",INT((H132-SAT1)/7)+1)</f>
        <v/>
      </c>
      <c r="J132">
        <f>IF(I132="","",IF(OR(I132&lt;1,I132&gt;NW),"",INDEX(WMON,I132)))</f>
        <v/>
      </c>
    </row>
    <row r="133">
      <c r="A133" s="48" t="n"/>
      <c r="B133" s="22" t="n"/>
      <c r="C133" s="50" t="n"/>
      <c r="D133" s="49" t="n"/>
      <c r="E133" s="50" t="n"/>
      <c r="G133">
        <f>IF(AND(B133&lt;&gt;"",COUNTIF(B$6:B133,B133)=1),MAX(G$5:G132)+1,"")</f>
        <v/>
      </c>
      <c r="H133">
        <f>IF(A133="","",IF(ISNUMBER(A133),IF(A133&lt;=31,"",IF(A133&lt;=3112,IF(DATE(YR,MOD(A133,100),INT(A133/100))&gt;SAT1+7*NW-1,DATE(YR-1,MOD(A133,100),INT(A133/100)),DATE(YR,MOD(A133,100),INT(A133/100))),A133)),IFERROR(DATEVALUE(A133),"")))</f>
        <v/>
      </c>
      <c r="I133">
        <f>IF(H133="","",INT((H133-SAT1)/7)+1)</f>
        <v/>
      </c>
      <c r="J133">
        <f>IF(I133="","",IF(OR(I133&lt;1,I133&gt;NW),"",INDEX(WMON,I133)))</f>
        <v/>
      </c>
    </row>
    <row r="134">
      <c r="A134" s="48" t="n"/>
      <c r="B134" s="22" t="n"/>
      <c r="C134" s="50" t="n"/>
      <c r="D134" s="49" t="n"/>
      <c r="E134" s="50" t="n"/>
      <c r="G134">
        <f>IF(AND(B134&lt;&gt;"",COUNTIF(B$6:B134,B134)=1),MAX(G$5:G133)+1,"")</f>
        <v/>
      </c>
      <c r="H134">
        <f>IF(A134="","",IF(ISNUMBER(A134),IF(A134&lt;=31,"",IF(A134&lt;=3112,IF(DATE(YR,MOD(A134,100),INT(A134/100))&gt;SAT1+7*NW-1,DATE(YR-1,MOD(A134,100),INT(A134/100)),DATE(YR,MOD(A134,100),INT(A134/100))),A134)),IFERROR(DATEVALUE(A134),"")))</f>
        <v/>
      </c>
      <c r="I134">
        <f>IF(H134="","",INT((H134-SAT1)/7)+1)</f>
        <v/>
      </c>
      <c r="J134">
        <f>IF(I134="","",IF(OR(I134&lt;1,I134&gt;NW),"",INDEX(WMON,I134)))</f>
        <v/>
      </c>
    </row>
    <row r="135">
      <c r="A135" s="48" t="n"/>
      <c r="B135" s="22" t="n"/>
      <c r="C135" s="50" t="n"/>
      <c r="D135" s="49" t="n"/>
      <c r="E135" s="50" t="n"/>
      <c r="G135">
        <f>IF(AND(B135&lt;&gt;"",COUNTIF(B$6:B135,B135)=1),MAX(G$5:G134)+1,"")</f>
        <v/>
      </c>
      <c r="H135">
        <f>IF(A135="","",IF(ISNUMBER(A135),IF(A135&lt;=31,"",IF(A135&lt;=3112,IF(DATE(YR,MOD(A135,100),INT(A135/100))&gt;SAT1+7*NW-1,DATE(YR-1,MOD(A135,100),INT(A135/100)),DATE(YR,MOD(A135,100),INT(A135/100))),A135)),IFERROR(DATEVALUE(A135),"")))</f>
        <v/>
      </c>
      <c r="I135">
        <f>IF(H135="","",INT((H135-SAT1)/7)+1)</f>
        <v/>
      </c>
      <c r="J135">
        <f>IF(I135="","",IF(OR(I135&lt;1,I135&gt;NW),"",INDEX(WMON,I135)))</f>
        <v/>
      </c>
    </row>
    <row r="136">
      <c r="A136" s="48" t="n"/>
      <c r="B136" s="22" t="n"/>
      <c r="C136" s="50" t="n"/>
      <c r="D136" s="49" t="n"/>
      <c r="E136" s="50" t="n"/>
      <c r="G136">
        <f>IF(AND(B136&lt;&gt;"",COUNTIF(B$6:B136,B136)=1),MAX(G$5:G135)+1,"")</f>
        <v/>
      </c>
      <c r="H136">
        <f>IF(A136="","",IF(ISNUMBER(A136),IF(A136&lt;=31,"",IF(A136&lt;=3112,IF(DATE(YR,MOD(A136,100),INT(A136/100))&gt;SAT1+7*NW-1,DATE(YR-1,MOD(A136,100),INT(A136/100)),DATE(YR,MOD(A136,100),INT(A136/100))),A136)),IFERROR(DATEVALUE(A136),"")))</f>
        <v/>
      </c>
      <c r="I136">
        <f>IF(H136="","",INT((H136-SAT1)/7)+1)</f>
        <v/>
      </c>
      <c r="J136">
        <f>IF(I136="","",IF(OR(I136&lt;1,I136&gt;NW),"",INDEX(WMON,I136)))</f>
        <v/>
      </c>
    </row>
    <row r="137">
      <c r="A137" s="48" t="n"/>
      <c r="B137" s="22" t="n"/>
      <c r="C137" s="50" t="n"/>
      <c r="D137" s="49" t="n"/>
      <c r="E137" s="50" t="n"/>
      <c r="G137">
        <f>IF(AND(B137&lt;&gt;"",COUNTIF(B$6:B137,B137)=1),MAX(G$5:G136)+1,"")</f>
        <v/>
      </c>
      <c r="H137">
        <f>IF(A137="","",IF(ISNUMBER(A137),IF(A137&lt;=31,"",IF(A137&lt;=3112,IF(DATE(YR,MOD(A137,100),INT(A137/100))&gt;SAT1+7*NW-1,DATE(YR-1,MOD(A137,100),INT(A137/100)),DATE(YR,MOD(A137,100),INT(A137/100))),A137)),IFERROR(DATEVALUE(A137),"")))</f>
        <v/>
      </c>
      <c r="I137">
        <f>IF(H137="","",INT((H137-SAT1)/7)+1)</f>
        <v/>
      </c>
      <c r="J137">
        <f>IF(I137="","",IF(OR(I137&lt;1,I137&gt;NW),"",INDEX(WMON,I137)))</f>
        <v/>
      </c>
    </row>
    <row r="138">
      <c r="A138" s="48" t="n"/>
      <c r="B138" s="22" t="n"/>
      <c r="C138" s="50" t="n"/>
      <c r="D138" s="49" t="n"/>
      <c r="E138" s="50" t="n"/>
      <c r="G138">
        <f>IF(AND(B138&lt;&gt;"",COUNTIF(B$6:B138,B138)=1),MAX(G$5:G137)+1,"")</f>
        <v/>
      </c>
      <c r="H138">
        <f>IF(A138="","",IF(ISNUMBER(A138),IF(A138&lt;=31,"",IF(A138&lt;=3112,IF(DATE(YR,MOD(A138,100),INT(A138/100))&gt;SAT1+7*NW-1,DATE(YR-1,MOD(A138,100),INT(A138/100)),DATE(YR,MOD(A138,100),INT(A138/100))),A138)),IFERROR(DATEVALUE(A138),"")))</f>
        <v/>
      </c>
      <c r="I138">
        <f>IF(H138="","",INT((H138-SAT1)/7)+1)</f>
        <v/>
      </c>
      <c r="J138">
        <f>IF(I138="","",IF(OR(I138&lt;1,I138&gt;NW),"",INDEX(WMON,I138)))</f>
        <v/>
      </c>
    </row>
    <row r="139">
      <c r="A139" s="48" t="n"/>
      <c r="B139" s="22" t="n"/>
      <c r="C139" s="50" t="n"/>
      <c r="D139" s="49" t="n"/>
      <c r="E139" s="50" t="n"/>
      <c r="G139">
        <f>IF(AND(B139&lt;&gt;"",COUNTIF(B$6:B139,B139)=1),MAX(G$5:G138)+1,"")</f>
        <v/>
      </c>
      <c r="H139">
        <f>IF(A139="","",IF(ISNUMBER(A139),IF(A139&lt;=31,"",IF(A139&lt;=3112,IF(DATE(YR,MOD(A139,100),INT(A139/100))&gt;SAT1+7*NW-1,DATE(YR-1,MOD(A139,100),INT(A139/100)),DATE(YR,MOD(A139,100),INT(A139/100))),A139)),IFERROR(DATEVALUE(A139),"")))</f>
        <v/>
      </c>
      <c r="I139">
        <f>IF(H139="","",INT((H139-SAT1)/7)+1)</f>
        <v/>
      </c>
      <c r="J139">
        <f>IF(I139="","",IF(OR(I139&lt;1,I139&gt;NW),"",INDEX(WMON,I139)))</f>
        <v/>
      </c>
    </row>
    <row r="140">
      <c r="A140" s="48" t="n"/>
      <c r="B140" s="22" t="n"/>
      <c r="C140" s="50" t="n"/>
      <c r="D140" s="49" t="n"/>
      <c r="E140" s="50" t="n"/>
      <c r="G140">
        <f>IF(AND(B140&lt;&gt;"",COUNTIF(B$6:B140,B140)=1),MAX(G$5:G139)+1,"")</f>
        <v/>
      </c>
      <c r="H140">
        <f>IF(A140="","",IF(ISNUMBER(A140),IF(A140&lt;=31,"",IF(A140&lt;=3112,IF(DATE(YR,MOD(A140,100),INT(A140/100))&gt;SAT1+7*NW-1,DATE(YR-1,MOD(A140,100),INT(A140/100)),DATE(YR,MOD(A140,100),INT(A140/100))),A140)),IFERROR(DATEVALUE(A140),"")))</f>
        <v/>
      </c>
      <c r="I140">
        <f>IF(H140="","",INT((H140-SAT1)/7)+1)</f>
        <v/>
      </c>
      <c r="J140">
        <f>IF(I140="","",IF(OR(I140&lt;1,I140&gt;NW),"",INDEX(WMON,I140)))</f>
        <v/>
      </c>
    </row>
    <row r="141">
      <c r="A141" s="48" t="n"/>
      <c r="B141" s="22" t="n"/>
      <c r="C141" s="50" t="n"/>
      <c r="D141" s="49" t="n"/>
      <c r="E141" s="50" t="n"/>
      <c r="G141">
        <f>IF(AND(B141&lt;&gt;"",COUNTIF(B$6:B141,B141)=1),MAX(G$5:G140)+1,"")</f>
        <v/>
      </c>
      <c r="H141">
        <f>IF(A141="","",IF(ISNUMBER(A141),IF(A141&lt;=31,"",IF(A141&lt;=3112,IF(DATE(YR,MOD(A141,100),INT(A141/100))&gt;SAT1+7*NW-1,DATE(YR-1,MOD(A141,100),INT(A141/100)),DATE(YR,MOD(A141,100),INT(A141/100))),A141)),IFERROR(DATEVALUE(A141),"")))</f>
        <v/>
      </c>
      <c r="I141">
        <f>IF(H141="","",INT((H141-SAT1)/7)+1)</f>
        <v/>
      </c>
      <c r="J141">
        <f>IF(I141="","",IF(OR(I141&lt;1,I141&gt;NW),"",INDEX(WMON,I141)))</f>
        <v/>
      </c>
    </row>
    <row r="142">
      <c r="A142" s="48" t="n"/>
      <c r="B142" s="22" t="n"/>
      <c r="C142" s="50" t="n"/>
      <c r="D142" s="49" t="n"/>
      <c r="E142" s="50" t="n"/>
      <c r="G142">
        <f>IF(AND(B142&lt;&gt;"",COUNTIF(B$6:B142,B142)=1),MAX(G$5:G141)+1,"")</f>
        <v/>
      </c>
      <c r="H142">
        <f>IF(A142="","",IF(ISNUMBER(A142),IF(A142&lt;=31,"",IF(A142&lt;=3112,IF(DATE(YR,MOD(A142,100),INT(A142/100))&gt;SAT1+7*NW-1,DATE(YR-1,MOD(A142,100),INT(A142/100)),DATE(YR,MOD(A142,100),INT(A142/100))),A142)),IFERROR(DATEVALUE(A142),"")))</f>
        <v/>
      </c>
      <c r="I142">
        <f>IF(H142="","",INT((H142-SAT1)/7)+1)</f>
        <v/>
      </c>
      <c r="J142">
        <f>IF(I142="","",IF(OR(I142&lt;1,I142&gt;NW),"",INDEX(WMON,I142)))</f>
        <v/>
      </c>
    </row>
    <row r="143">
      <c r="A143" s="48" t="n"/>
      <c r="B143" s="22" t="n"/>
      <c r="C143" s="50" t="n"/>
      <c r="D143" s="49" t="n"/>
      <c r="E143" s="50" t="n"/>
      <c r="G143">
        <f>IF(AND(B143&lt;&gt;"",COUNTIF(B$6:B143,B143)=1),MAX(G$5:G142)+1,"")</f>
        <v/>
      </c>
      <c r="H143">
        <f>IF(A143="","",IF(ISNUMBER(A143),IF(A143&lt;=31,"",IF(A143&lt;=3112,IF(DATE(YR,MOD(A143,100),INT(A143/100))&gt;SAT1+7*NW-1,DATE(YR-1,MOD(A143,100),INT(A143/100)),DATE(YR,MOD(A143,100),INT(A143/100))),A143)),IFERROR(DATEVALUE(A143),"")))</f>
        <v/>
      </c>
      <c r="I143">
        <f>IF(H143="","",INT((H143-SAT1)/7)+1)</f>
        <v/>
      </c>
      <c r="J143">
        <f>IF(I143="","",IF(OR(I143&lt;1,I143&gt;NW),"",INDEX(WMON,I143)))</f>
        <v/>
      </c>
    </row>
    <row r="144">
      <c r="A144" s="48" t="n"/>
      <c r="B144" s="22" t="n"/>
      <c r="C144" s="50" t="n"/>
      <c r="D144" s="49" t="n"/>
      <c r="E144" s="50" t="n"/>
      <c r="G144">
        <f>IF(AND(B144&lt;&gt;"",COUNTIF(B$6:B144,B144)=1),MAX(G$5:G143)+1,"")</f>
        <v/>
      </c>
      <c r="H144">
        <f>IF(A144="","",IF(ISNUMBER(A144),IF(A144&lt;=31,"",IF(A144&lt;=3112,IF(DATE(YR,MOD(A144,100),INT(A144/100))&gt;SAT1+7*NW-1,DATE(YR-1,MOD(A144,100),INT(A144/100)),DATE(YR,MOD(A144,100),INT(A144/100))),A144)),IFERROR(DATEVALUE(A144),"")))</f>
        <v/>
      </c>
      <c r="I144">
        <f>IF(H144="","",INT((H144-SAT1)/7)+1)</f>
        <v/>
      </c>
      <c r="J144">
        <f>IF(I144="","",IF(OR(I144&lt;1,I144&gt;NW),"",INDEX(WMON,I144)))</f>
        <v/>
      </c>
    </row>
    <row r="145">
      <c r="A145" s="48" t="n"/>
      <c r="B145" s="22" t="n"/>
      <c r="C145" s="50" t="n"/>
      <c r="D145" s="49" t="n"/>
      <c r="E145" s="50" t="n"/>
      <c r="G145">
        <f>IF(AND(B145&lt;&gt;"",COUNTIF(B$6:B145,B145)=1),MAX(G$5:G144)+1,"")</f>
        <v/>
      </c>
      <c r="H145">
        <f>IF(A145="","",IF(ISNUMBER(A145),IF(A145&lt;=31,"",IF(A145&lt;=3112,IF(DATE(YR,MOD(A145,100),INT(A145/100))&gt;SAT1+7*NW-1,DATE(YR-1,MOD(A145,100),INT(A145/100)),DATE(YR,MOD(A145,100),INT(A145/100))),A145)),IFERROR(DATEVALUE(A145),"")))</f>
        <v/>
      </c>
      <c r="I145">
        <f>IF(H145="","",INT((H145-SAT1)/7)+1)</f>
        <v/>
      </c>
      <c r="J145">
        <f>IF(I145="","",IF(OR(I145&lt;1,I145&gt;NW),"",INDEX(WMON,I145)))</f>
        <v/>
      </c>
    </row>
    <row r="146">
      <c r="A146" s="48" t="n"/>
      <c r="B146" s="22" t="n"/>
      <c r="C146" s="50" t="n"/>
      <c r="D146" s="49" t="n"/>
      <c r="E146" s="50" t="n"/>
      <c r="G146">
        <f>IF(AND(B146&lt;&gt;"",COUNTIF(B$6:B146,B146)=1),MAX(G$5:G145)+1,"")</f>
        <v/>
      </c>
      <c r="H146">
        <f>IF(A146="","",IF(ISNUMBER(A146),IF(A146&lt;=31,"",IF(A146&lt;=3112,IF(DATE(YR,MOD(A146,100),INT(A146/100))&gt;SAT1+7*NW-1,DATE(YR-1,MOD(A146,100),INT(A146/100)),DATE(YR,MOD(A146,100),INT(A146/100))),A146)),IFERROR(DATEVALUE(A146),"")))</f>
        <v/>
      </c>
      <c r="I146">
        <f>IF(H146="","",INT((H146-SAT1)/7)+1)</f>
        <v/>
      </c>
      <c r="J146">
        <f>IF(I146="","",IF(OR(I146&lt;1,I146&gt;NW),"",INDEX(WMON,I146)))</f>
        <v/>
      </c>
    </row>
    <row r="147">
      <c r="A147" s="48" t="n"/>
      <c r="B147" s="22" t="n"/>
      <c r="C147" s="50" t="n"/>
      <c r="D147" s="49" t="n"/>
      <c r="E147" s="50" t="n"/>
      <c r="G147">
        <f>IF(AND(B147&lt;&gt;"",COUNTIF(B$6:B147,B147)=1),MAX(G$5:G146)+1,"")</f>
        <v/>
      </c>
      <c r="H147">
        <f>IF(A147="","",IF(ISNUMBER(A147),IF(A147&lt;=31,"",IF(A147&lt;=3112,IF(DATE(YR,MOD(A147,100),INT(A147/100))&gt;SAT1+7*NW-1,DATE(YR-1,MOD(A147,100),INT(A147/100)),DATE(YR,MOD(A147,100),INT(A147/100))),A147)),IFERROR(DATEVALUE(A147),"")))</f>
        <v/>
      </c>
      <c r="I147">
        <f>IF(H147="","",INT((H147-SAT1)/7)+1)</f>
        <v/>
      </c>
      <c r="J147">
        <f>IF(I147="","",IF(OR(I147&lt;1,I147&gt;NW),"",INDEX(WMON,I147)))</f>
        <v/>
      </c>
    </row>
    <row r="148">
      <c r="A148" s="48" t="n"/>
      <c r="B148" s="22" t="n"/>
      <c r="C148" s="50" t="n"/>
      <c r="D148" s="49" t="n"/>
      <c r="E148" s="50" t="n"/>
      <c r="G148">
        <f>IF(AND(B148&lt;&gt;"",COUNTIF(B$6:B148,B148)=1),MAX(G$5:G147)+1,"")</f>
        <v/>
      </c>
      <c r="H148">
        <f>IF(A148="","",IF(ISNUMBER(A148),IF(A148&lt;=31,"",IF(A148&lt;=3112,IF(DATE(YR,MOD(A148,100),INT(A148/100))&gt;SAT1+7*NW-1,DATE(YR-1,MOD(A148,100),INT(A148/100)),DATE(YR,MOD(A148,100),INT(A148/100))),A148)),IFERROR(DATEVALUE(A148),"")))</f>
        <v/>
      </c>
      <c r="I148">
        <f>IF(H148="","",INT((H148-SAT1)/7)+1)</f>
        <v/>
      </c>
      <c r="J148">
        <f>IF(I148="","",IF(OR(I148&lt;1,I148&gt;NW),"",INDEX(WMON,I148)))</f>
        <v/>
      </c>
    </row>
    <row r="149">
      <c r="A149" s="48" t="n"/>
      <c r="B149" s="22" t="n"/>
      <c r="C149" s="50" t="n"/>
      <c r="D149" s="49" t="n"/>
      <c r="E149" s="50" t="n"/>
      <c r="G149">
        <f>IF(AND(B149&lt;&gt;"",COUNTIF(B$6:B149,B149)=1),MAX(G$5:G148)+1,"")</f>
        <v/>
      </c>
      <c r="H149">
        <f>IF(A149="","",IF(ISNUMBER(A149),IF(A149&lt;=31,"",IF(A149&lt;=3112,IF(DATE(YR,MOD(A149,100),INT(A149/100))&gt;SAT1+7*NW-1,DATE(YR-1,MOD(A149,100),INT(A149/100)),DATE(YR,MOD(A149,100),INT(A149/100))),A149)),IFERROR(DATEVALUE(A149),"")))</f>
        <v/>
      </c>
      <c r="I149">
        <f>IF(H149="","",INT((H149-SAT1)/7)+1)</f>
        <v/>
      </c>
      <c r="J149">
        <f>IF(I149="","",IF(OR(I149&lt;1,I149&gt;NW),"",INDEX(WMON,I149)))</f>
        <v/>
      </c>
    </row>
    <row r="150">
      <c r="A150" s="48" t="n"/>
      <c r="B150" s="22" t="n"/>
      <c r="C150" s="50" t="n"/>
      <c r="D150" s="49" t="n"/>
      <c r="E150" s="50" t="n"/>
      <c r="G150">
        <f>IF(AND(B150&lt;&gt;"",COUNTIF(B$6:B150,B150)=1),MAX(G$5:G149)+1,"")</f>
        <v/>
      </c>
      <c r="H150">
        <f>IF(A150="","",IF(ISNUMBER(A150),IF(A150&lt;=31,"",IF(A150&lt;=3112,IF(DATE(YR,MOD(A150,100),INT(A150/100))&gt;SAT1+7*NW-1,DATE(YR-1,MOD(A150,100),INT(A150/100)),DATE(YR,MOD(A150,100),INT(A150/100))),A150)),IFERROR(DATEVALUE(A150),"")))</f>
        <v/>
      </c>
      <c r="I150">
        <f>IF(H150="","",INT((H150-SAT1)/7)+1)</f>
        <v/>
      </c>
      <c r="J150">
        <f>IF(I150="","",IF(OR(I150&lt;1,I150&gt;NW),"",INDEX(WMON,I150)))</f>
        <v/>
      </c>
    </row>
    <row r="151">
      <c r="A151" s="48" t="n"/>
      <c r="B151" s="22" t="n"/>
      <c r="C151" s="50" t="n"/>
      <c r="D151" s="49" t="n"/>
      <c r="E151" s="50" t="n"/>
      <c r="G151">
        <f>IF(AND(B151&lt;&gt;"",COUNTIF(B$6:B151,B151)=1),MAX(G$5:G150)+1,"")</f>
        <v/>
      </c>
      <c r="H151">
        <f>IF(A151="","",IF(ISNUMBER(A151),IF(A151&lt;=31,"",IF(A151&lt;=3112,IF(DATE(YR,MOD(A151,100),INT(A151/100))&gt;SAT1+7*NW-1,DATE(YR-1,MOD(A151,100),INT(A151/100)),DATE(YR,MOD(A151,100),INT(A151/100))),A151)),IFERROR(DATEVALUE(A151),"")))</f>
        <v/>
      </c>
      <c r="I151">
        <f>IF(H151="","",INT((H151-SAT1)/7)+1)</f>
        <v/>
      </c>
      <c r="J151">
        <f>IF(I151="","",IF(OR(I151&lt;1,I151&gt;NW),"",INDEX(WMON,I151)))</f>
        <v/>
      </c>
    </row>
    <row r="152">
      <c r="A152" s="48" t="n"/>
      <c r="B152" s="22" t="n"/>
      <c r="C152" s="50" t="n"/>
      <c r="D152" s="49" t="n"/>
      <c r="E152" s="50" t="n"/>
      <c r="G152">
        <f>IF(AND(B152&lt;&gt;"",COUNTIF(B$6:B152,B152)=1),MAX(G$5:G151)+1,"")</f>
        <v/>
      </c>
      <c r="H152">
        <f>IF(A152="","",IF(ISNUMBER(A152),IF(A152&lt;=31,"",IF(A152&lt;=3112,IF(DATE(YR,MOD(A152,100),INT(A152/100))&gt;SAT1+7*NW-1,DATE(YR-1,MOD(A152,100),INT(A152/100)),DATE(YR,MOD(A152,100),INT(A152/100))),A152)),IFERROR(DATEVALUE(A152),"")))</f>
        <v/>
      </c>
      <c r="I152">
        <f>IF(H152="","",INT((H152-SAT1)/7)+1)</f>
        <v/>
      </c>
      <c r="J152">
        <f>IF(I152="","",IF(OR(I152&lt;1,I152&gt;NW),"",INDEX(WMON,I152)))</f>
        <v/>
      </c>
    </row>
    <row r="153">
      <c r="A153" s="48" t="n"/>
      <c r="B153" s="22" t="n"/>
      <c r="C153" s="50" t="n"/>
      <c r="D153" s="49" t="n"/>
      <c r="E153" s="50" t="n"/>
      <c r="G153">
        <f>IF(AND(B153&lt;&gt;"",COUNTIF(B$6:B153,B153)=1),MAX(G$5:G152)+1,"")</f>
        <v/>
      </c>
      <c r="H153">
        <f>IF(A153="","",IF(ISNUMBER(A153),IF(A153&lt;=31,"",IF(A153&lt;=3112,IF(DATE(YR,MOD(A153,100),INT(A153/100))&gt;SAT1+7*NW-1,DATE(YR-1,MOD(A153,100),INT(A153/100)),DATE(YR,MOD(A153,100),INT(A153/100))),A153)),IFERROR(DATEVALUE(A153),"")))</f>
        <v/>
      </c>
      <c r="I153">
        <f>IF(H153="","",INT((H153-SAT1)/7)+1)</f>
        <v/>
      </c>
      <c r="J153">
        <f>IF(I153="","",IF(OR(I153&lt;1,I153&gt;NW),"",INDEX(WMON,I153)))</f>
        <v/>
      </c>
    </row>
    <row r="154">
      <c r="A154" s="48" t="n"/>
      <c r="B154" s="22" t="n"/>
      <c r="C154" s="50" t="n"/>
      <c r="D154" s="49" t="n"/>
      <c r="E154" s="50" t="n"/>
      <c r="G154">
        <f>IF(AND(B154&lt;&gt;"",COUNTIF(B$6:B154,B154)=1),MAX(G$5:G153)+1,"")</f>
        <v/>
      </c>
      <c r="H154">
        <f>IF(A154="","",IF(ISNUMBER(A154),IF(A154&lt;=31,"",IF(A154&lt;=3112,IF(DATE(YR,MOD(A154,100),INT(A154/100))&gt;SAT1+7*NW-1,DATE(YR-1,MOD(A154,100),INT(A154/100)),DATE(YR,MOD(A154,100),INT(A154/100))),A154)),IFERROR(DATEVALUE(A154),"")))</f>
        <v/>
      </c>
      <c r="I154">
        <f>IF(H154="","",INT((H154-SAT1)/7)+1)</f>
        <v/>
      </c>
      <c r="J154">
        <f>IF(I154="","",IF(OR(I154&lt;1,I154&gt;NW),"",INDEX(WMON,I154)))</f>
        <v/>
      </c>
    </row>
    <row r="155">
      <c r="A155" s="48" t="n"/>
      <c r="B155" s="22" t="n"/>
      <c r="C155" s="50" t="n"/>
      <c r="D155" s="49" t="n"/>
      <c r="E155" s="50" t="n"/>
      <c r="G155">
        <f>IF(AND(B155&lt;&gt;"",COUNTIF(B$6:B155,B155)=1),MAX(G$5:G154)+1,"")</f>
        <v/>
      </c>
      <c r="H155">
        <f>IF(A155="","",IF(ISNUMBER(A155),IF(A155&lt;=31,"",IF(A155&lt;=3112,IF(DATE(YR,MOD(A155,100),INT(A155/100))&gt;SAT1+7*NW-1,DATE(YR-1,MOD(A155,100),INT(A155/100)),DATE(YR,MOD(A155,100),INT(A155/100))),A155)),IFERROR(DATEVALUE(A155),"")))</f>
        <v/>
      </c>
      <c r="I155">
        <f>IF(H155="","",INT((H155-SAT1)/7)+1)</f>
        <v/>
      </c>
      <c r="J155">
        <f>IF(I155="","",IF(OR(I155&lt;1,I155&gt;NW),"",INDEX(WMON,I155)))</f>
        <v/>
      </c>
    </row>
    <row r="156">
      <c r="A156" s="48" t="n"/>
      <c r="B156" s="22" t="n"/>
      <c r="C156" s="50" t="n"/>
      <c r="D156" s="49" t="n"/>
      <c r="E156" s="50" t="n"/>
      <c r="G156">
        <f>IF(AND(B156&lt;&gt;"",COUNTIF(B$6:B156,B156)=1),MAX(G$5:G155)+1,"")</f>
        <v/>
      </c>
      <c r="H156">
        <f>IF(A156="","",IF(ISNUMBER(A156),IF(A156&lt;=31,"",IF(A156&lt;=3112,IF(DATE(YR,MOD(A156,100),INT(A156/100))&gt;SAT1+7*NW-1,DATE(YR-1,MOD(A156,100),INT(A156/100)),DATE(YR,MOD(A156,100),INT(A156/100))),A156)),IFERROR(DATEVALUE(A156),"")))</f>
        <v/>
      </c>
      <c r="I156">
        <f>IF(H156="","",INT((H156-SAT1)/7)+1)</f>
        <v/>
      </c>
      <c r="J156">
        <f>IF(I156="","",IF(OR(I156&lt;1,I156&gt;NW),"",INDEX(WMON,I156)))</f>
        <v/>
      </c>
    </row>
    <row r="157">
      <c r="A157" s="48" t="n"/>
      <c r="B157" s="22" t="n"/>
      <c r="C157" s="50" t="n"/>
      <c r="D157" s="49" t="n"/>
      <c r="E157" s="50" t="n"/>
      <c r="G157">
        <f>IF(AND(B157&lt;&gt;"",COUNTIF(B$6:B157,B157)=1),MAX(G$5:G156)+1,"")</f>
        <v/>
      </c>
      <c r="H157">
        <f>IF(A157="","",IF(ISNUMBER(A157),IF(A157&lt;=31,"",IF(A157&lt;=3112,IF(DATE(YR,MOD(A157,100),INT(A157/100))&gt;SAT1+7*NW-1,DATE(YR-1,MOD(A157,100),INT(A157/100)),DATE(YR,MOD(A157,100),INT(A157/100))),A157)),IFERROR(DATEVALUE(A157),"")))</f>
        <v/>
      </c>
      <c r="I157">
        <f>IF(H157="","",INT((H157-SAT1)/7)+1)</f>
        <v/>
      </c>
      <c r="J157">
        <f>IF(I157="","",IF(OR(I157&lt;1,I157&gt;NW),"",INDEX(WMON,I157)))</f>
        <v/>
      </c>
    </row>
    <row r="158">
      <c r="A158" s="48" t="n"/>
      <c r="B158" s="22" t="n"/>
      <c r="C158" s="50" t="n"/>
      <c r="D158" s="49" t="n"/>
      <c r="E158" s="50" t="n"/>
      <c r="G158">
        <f>IF(AND(B158&lt;&gt;"",COUNTIF(B$6:B158,B158)=1),MAX(G$5:G157)+1,"")</f>
        <v/>
      </c>
      <c r="H158">
        <f>IF(A158="","",IF(ISNUMBER(A158),IF(A158&lt;=31,"",IF(A158&lt;=3112,IF(DATE(YR,MOD(A158,100),INT(A158/100))&gt;SAT1+7*NW-1,DATE(YR-1,MOD(A158,100),INT(A158/100)),DATE(YR,MOD(A158,100),INT(A158/100))),A158)),IFERROR(DATEVALUE(A158),"")))</f>
        <v/>
      </c>
      <c r="I158">
        <f>IF(H158="","",INT((H158-SAT1)/7)+1)</f>
        <v/>
      </c>
      <c r="J158">
        <f>IF(I158="","",IF(OR(I158&lt;1,I158&gt;NW),"",INDEX(WMON,I158)))</f>
        <v/>
      </c>
    </row>
    <row r="159">
      <c r="A159" s="48" t="n"/>
      <c r="B159" s="22" t="n"/>
      <c r="C159" s="50" t="n"/>
      <c r="D159" s="49" t="n"/>
      <c r="E159" s="50" t="n"/>
      <c r="G159">
        <f>IF(AND(B159&lt;&gt;"",COUNTIF(B$6:B159,B159)=1),MAX(G$5:G158)+1,"")</f>
        <v/>
      </c>
      <c r="H159">
        <f>IF(A159="","",IF(ISNUMBER(A159),IF(A159&lt;=31,"",IF(A159&lt;=3112,IF(DATE(YR,MOD(A159,100),INT(A159/100))&gt;SAT1+7*NW-1,DATE(YR-1,MOD(A159,100),INT(A159/100)),DATE(YR,MOD(A159,100),INT(A159/100))),A159)),IFERROR(DATEVALUE(A159),"")))</f>
        <v/>
      </c>
      <c r="I159">
        <f>IF(H159="","",INT((H159-SAT1)/7)+1)</f>
        <v/>
      </c>
      <c r="J159">
        <f>IF(I159="","",IF(OR(I159&lt;1,I159&gt;NW),"",INDEX(WMON,I159)))</f>
        <v/>
      </c>
    </row>
    <row r="160">
      <c r="A160" s="48" t="n"/>
      <c r="B160" s="22" t="n"/>
      <c r="C160" s="50" t="n"/>
      <c r="D160" s="49" t="n"/>
      <c r="E160" s="50" t="n"/>
      <c r="G160">
        <f>IF(AND(B160&lt;&gt;"",COUNTIF(B$6:B160,B160)=1),MAX(G$5:G159)+1,"")</f>
        <v/>
      </c>
      <c r="H160">
        <f>IF(A160="","",IF(ISNUMBER(A160),IF(A160&lt;=31,"",IF(A160&lt;=3112,IF(DATE(YR,MOD(A160,100),INT(A160/100))&gt;SAT1+7*NW-1,DATE(YR-1,MOD(A160,100),INT(A160/100)),DATE(YR,MOD(A160,100),INT(A160/100))),A160)),IFERROR(DATEVALUE(A160),"")))</f>
        <v/>
      </c>
      <c r="I160">
        <f>IF(H160="","",INT((H160-SAT1)/7)+1)</f>
        <v/>
      </c>
      <c r="J160">
        <f>IF(I160="","",IF(OR(I160&lt;1,I160&gt;NW),"",INDEX(WMON,I160)))</f>
        <v/>
      </c>
    </row>
    <row r="161">
      <c r="A161" s="48" t="n"/>
      <c r="B161" s="22" t="n"/>
      <c r="C161" s="50" t="n"/>
      <c r="D161" s="49" t="n"/>
      <c r="E161" s="50" t="n"/>
      <c r="G161">
        <f>IF(AND(B161&lt;&gt;"",COUNTIF(B$6:B161,B161)=1),MAX(G$5:G160)+1,"")</f>
        <v/>
      </c>
      <c r="H161">
        <f>IF(A161="","",IF(ISNUMBER(A161),IF(A161&lt;=31,"",IF(A161&lt;=3112,IF(DATE(YR,MOD(A161,100),INT(A161/100))&gt;SAT1+7*NW-1,DATE(YR-1,MOD(A161,100),INT(A161/100)),DATE(YR,MOD(A161,100),INT(A161/100))),A161)),IFERROR(DATEVALUE(A161),"")))</f>
        <v/>
      </c>
      <c r="I161">
        <f>IF(H161="","",INT((H161-SAT1)/7)+1)</f>
        <v/>
      </c>
      <c r="J161">
        <f>IF(I161="","",IF(OR(I161&lt;1,I161&gt;NW),"",INDEX(WMON,I161)))</f>
        <v/>
      </c>
    </row>
    <row r="162">
      <c r="A162" s="48" t="n"/>
      <c r="B162" s="22" t="n"/>
      <c r="C162" s="50" t="n"/>
      <c r="D162" s="49" t="n"/>
      <c r="E162" s="50" t="n"/>
      <c r="G162">
        <f>IF(AND(B162&lt;&gt;"",COUNTIF(B$6:B162,B162)=1),MAX(G$5:G161)+1,"")</f>
        <v/>
      </c>
      <c r="H162">
        <f>IF(A162="","",IF(ISNUMBER(A162),IF(A162&lt;=31,"",IF(A162&lt;=3112,IF(DATE(YR,MOD(A162,100),INT(A162/100))&gt;SAT1+7*NW-1,DATE(YR-1,MOD(A162,100),INT(A162/100)),DATE(YR,MOD(A162,100),INT(A162/100))),A162)),IFERROR(DATEVALUE(A162),"")))</f>
        <v/>
      </c>
      <c r="I162">
        <f>IF(H162="","",INT((H162-SAT1)/7)+1)</f>
        <v/>
      </c>
      <c r="J162">
        <f>IF(I162="","",IF(OR(I162&lt;1,I162&gt;NW),"",INDEX(WMON,I162)))</f>
        <v/>
      </c>
    </row>
    <row r="163">
      <c r="A163" s="48" t="n"/>
      <c r="B163" s="22" t="n"/>
      <c r="C163" s="50" t="n"/>
      <c r="D163" s="49" t="n"/>
      <c r="E163" s="50" t="n"/>
      <c r="G163">
        <f>IF(AND(B163&lt;&gt;"",COUNTIF(B$6:B163,B163)=1),MAX(G$5:G162)+1,"")</f>
        <v/>
      </c>
      <c r="H163">
        <f>IF(A163="","",IF(ISNUMBER(A163),IF(A163&lt;=31,"",IF(A163&lt;=3112,IF(DATE(YR,MOD(A163,100),INT(A163/100))&gt;SAT1+7*NW-1,DATE(YR-1,MOD(A163,100),INT(A163/100)),DATE(YR,MOD(A163,100),INT(A163/100))),A163)),IFERROR(DATEVALUE(A163),"")))</f>
        <v/>
      </c>
      <c r="I163">
        <f>IF(H163="","",INT((H163-SAT1)/7)+1)</f>
        <v/>
      </c>
      <c r="J163">
        <f>IF(I163="","",IF(OR(I163&lt;1,I163&gt;NW),"",INDEX(WMON,I163)))</f>
        <v/>
      </c>
    </row>
    <row r="164">
      <c r="A164" s="48" t="n"/>
      <c r="B164" s="22" t="n"/>
      <c r="C164" s="50" t="n"/>
      <c r="D164" s="49" t="n"/>
      <c r="E164" s="50" t="n"/>
      <c r="G164">
        <f>IF(AND(B164&lt;&gt;"",COUNTIF(B$6:B164,B164)=1),MAX(G$5:G163)+1,"")</f>
        <v/>
      </c>
      <c r="H164">
        <f>IF(A164="","",IF(ISNUMBER(A164),IF(A164&lt;=31,"",IF(A164&lt;=3112,IF(DATE(YR,MOD(A164,100),INT(A164/100))&gt;SAT1+7*NW-1,DATE(YR-1,MOD(A164,100),INT(A164/100)),DATE(YR,MOD(A164,100),INT(A164/100))),A164)),IFERROR(DATEVALUE(A164),"")))</f>
        <v/>
      </c>
      <c r="I164">
        <f>IF(H164="","",INT((H164-SAT1)/7)+1)</f>
        <v/>
      </c>
      <c r="J164">
        <f>IF(I164="","",IF(OR(I164&lt;1,I164&gt;NW),"",INDEX(WMON,I164)))</f>
        <v/>
      </c>
    </row>
    <row r="165">
      <c r="A165" s="48" t="n"/>
      <c r="B165" s="22" t="n"/>
      <c r="C165" s="50" t="n"/>
      <c r="D165" s="49" t="n"/>
      <c r="E165" s="50" t="n"/>
      <c r="G165">
        <f>IF(AND(B165&lt;&gt;"",COUNTIF(B$6:B165,B165)=1),MAX(G$5:G164)+1,"")</f>
        <v/>
      </c>
      <c r="H165">
        <f>IF(A165="","",IF(ISNUMBER(A165),IF(A165&lt;=31,"",IF(A165&lt;=3112,IF(DATE(YR,MOD(A165,100),INT(A165/100))&gt;SAT1+7*NW-1,DATE(YR-1,MOD(A165,100),INT(A165/100)),DATE(YR,MOD(A165,100),INT(A165/100))),A165)),IFERROR(DATEVALUE(A165),"")))</f>
        <v/>
      </c>
      <c r="I165">
        <f>IF(H165="","",INT((H165-SAT1)/7)+1)</f>
        <v/>
      </c>
      <c r="J165">
        <f>IF(I165="","",IF(OR(I165&lt;1,I165&gt;NW),"",INDEX(WMON,I165)))</f>
        <v/>
      </c>
    </row>
    <row r="166">
      <c r="A166" s="48" t="n"/>
      <c r="B166" s="22" t="n"/>
      <c r="C166" s="50" t="n"/>
      <c r="D166" s="49" t="n"/>
      <c r="E166" s="50" t="n"/>
      <c r="G166">
        <f>IF(AND(B166&lt;&gt;"",COUNTIF(B$6:B166,B166)=1),MAX(G$5:G165)+1,"")</f>
        <v/>
      </c>
      <c r="H166">
        <f>IF(A166="","",IF(ISNUMBER(A166),IF(A166&lt;=31,"",IF(A166&lt;=3112,IF(DATE(YR,MOD(A166,100),INT(A166/100))&gt;SAT1+7*NW-1,DATE(YR-1,MOD(A166,100),INT(A166/100)),DATE(YR,MOD(A166,100),INT(A166/100))),A166)),IFERROR(DATEVALUE(A166),"")))</f>
        <v/>
      </c>
      <c r="I166">
        <f>IF(H166="","",INT((H166-SAT1)/7)+1)</f>
        <v/>
      </c>
      <c r="J166">
        <f>IF(I166="","",IF(OR(I166&lt;1,I166&gt;NW),"",INDEX(WMON,I166)))</f>
        <v/>
      </c>
    </row>
    <row r="167">
      <c r="A167" s="48" t="n"/>
      <c r="B167" s="22" t="n"/>
      <c r="C167" s="50" t="n"/>
      <c r="D167" s="49" t="n"/>
      <c r="E167" s="50" t="n"/>
      <c r="G167">
        <f>IF(AND(B167&lt;&gt;"",COUNTIF(B$6:B167,B167)=1),MAX(G$5:G166)+1,"")</f>
        <v/>
      </c>
      <c r="H167">
        <f>IF(A167="","",IF(ISNUMBER(A167),IF(A167&lt;=31,"",IF(A167&lt;=3112,IF(DATE(YR,MOD(A167,100),INT(A167/100))&gt;SAT1+7*NW-1,DATE(YR-1,MOD(A167,100),INT(A167/100)),DATE(YR,MOD(A167,100),INT(A167/100))),A167)),IFERROR(DATEVALUE(A167),"")))</f>
        <v/>
      </c>
      <c r="I167">
        <f>IF(H167="","",INT((H167-SAT1)/7)+1)</f>
        <v/>
      </c>
      <c r="J167">
        <f>IF(I167="","",IF(OR(I167&lt;1,I167&gt;NW),"",INDEX(WMON,I167)))</f>
        <v/>
      </c>
    </row>
    <row r="168">
      <c r="A168" s="48" t="n"/>
      <c r="B168" s="22" t="n"/>
      <c r="C168" s="50" t="n"/>
      <c r="D168" s="49" t="n"/>
      <c r="E168" s="50" t="n"/>
      <c r="G168">
        <f>IF(AND(B168&lt;&gt;"",COUNTIF(B$6:B168,B168)=1),MAX(G$5:G167)+1,"")</f>
        <v/>
      </c>
      <c r="H168">
        <f>IF(A168="","",IF(ISNUMBER(A168),IF(A168&lt;=31,"",IF(A168&lt;=3112,IF(DATE(YR,MOD(A168,100),INT(A168/100))&gt;SAT1+7*NW-1,DATE(YR-1,MOD(A168,100),INT(A168/100)),DATE(YR,MOD(A168,100),INT(A168/100))),A168)),IFERROR(DATEVALUE(A168),"")))</f>
        <v/>
      </c>
      <c r="I168">
        <f>IF(H168="","",INT((H168-SAT1)/7)+1)</f>
        <v/>
      </c>
      <c r="J168">
        <f>IF(I168="","",IF(OR(I168&lt;1,I168&gt;NW),"",INDEX(WMON,I168)))</f>
        <v/>
      </c>
    </row>
    <row r="169">
      <c r="A169" s="48" t="n"/>
      <c r="B169" s="22" t="n"/>
      <c r="C169" s="50" t="n"/>
      <c r="D169" s="49" t="n"/>
      <c r="E169" s="50" t="n"/>
      <c r="G169">
        <f>IF(AND(B169&lt;&gt;"",COUNTIF(B$6:B169,B169)=1),MAX(G$5:G168)+1,"")</f>
        <v/>
      </c>
      <c r="H169">
        <f>IF(A169="","",IF(ISNUMBER(A169),IF(A169&lt;=31,"",IF(A169&lt;=3112,IF(DATE(YR,MOD(A169,100),INT(A169/100))&gt;SAT1+7*NW-1,DATE(YR-1,MOD(A169,100),INT(A169/100)),DATE(YR,MOD(A169,100),INT(A169/100))),A169)),IFERROR(DATEVALUE(A169),"")))</f>
        <v/>
      </c>
      <c r="I169">
        <f>IF(H169="","",INT((H169-SAT1)/7)+1)</f>
        <v/>
      </c>
      <c r="J169">
        <f>IF(I169="","",IF(OR(I169&lt;1,I169&gt;NW),"",INDEX(WMON,I169)))</f>
        <v/>
      </c>
    </row>
    <row r="170">
      <c r="A170" s="48" t="n"/>
      <c r="B170" s="22" t="n"/>
      <c r="C170" s="50" t="n"/>
      <c r="D170" s="49" t="n"/>
      <c r="E170" s="50" t="n"/>
      <c r="G170">
        <f>IF(AND(B170&lt;&gt;"",COUNTIF(B$6:B170,B170)=1),MAX(G$5:G169)+1,"")</f>
        <v/>
      </c>
      <c r="H170">
        <f>IF(A170="","",IF(ISNUMBER(A170),IF(A170&lt;=31,"",IF(A170&lt;=3112,IF(DATE(YR,MOD(A170,100),INT(A170/100))&gt;SAT1+7*NW-1,DATE(YR-1,MOD(A170,100),INT(A170/100)),DATE(YR,MOD(A170,100),INT(A170/100))),A170)),IFERROR(DATEVALUE(A170),"")))</f>
        <v/>
      </c>
      <c r="I170">
        <f>IF(H170="","",INT((H170-SAT1)/7)+1)</f>
        <v/>
      </c>
      <c r="J170">
        <f>IF(I170="","",IF(OR(I170&lt;1,I170&gt;NW),"",INDEX(WMON,I170)))</f>
        <v/>
      </c>
    </row>
    <row r="171">
      <c r="A171" s="48" t="n"/>
      <c r="B171" s="22" t="n"/>
      <c r="C171" s="50" t="n"/>
      <c r="D171" s="49" t="n"/>
      <c r="E171" s="50" t="n"/>
      <c r="G171">
        <f>IF(AND(B171&lt;&gt;"",COUNTIF(B$6:B171,B171)=1),MAX(G$5:G170)+1,"")</f>
        <v/>
      </c>
      <c r="H171">
        <f>IF(A171="","",IF(ISNUMBER(A171),IF(A171&lt;=31,"",IF(A171&lt;=3112,IF(DATE(YR,MOD(A171,100),INT(A171/100))&gt;SAT1+7*NW-1,DATE(YR-1,MOD(A171,100),INT(A171/100)),DATE(YR,MOD(A171,100),INT(A171/100))),A171)),IFERROR(DATEVALUE(A171),"")))</f>
        <v/>
      </c>
      <c r="I171">
        <f>IF(H171="","",INT((H171-SAT1)/7)+1)</f>
        <v/>
      </c>
      <c r="J171">
        <f>IF(I171="","",IF(OR(I171&lt;1,I171&gt;NW),"",INDEX(WMON,I171)))</f>
        <v/>
      </c>
    </row>
    <row r="172">
      <c r="A172" s="48" t="n"/>
      <c r="B172" s="22" t="n"/>
      <c r="C172" s="50" t="n"/>
      <c r="D172" s="49" t="n"/>
      <c r="E172" s="50" t="n"/>
      <c r="G172">
        <f>IF(AND(B172&lt;&gt;"",COUNTIF(B$6:B172,B172)=1),MAX(G$5:G171)+1,"")</f>
        <v/>
      </c>
      <c r="H172">
        <f>IF(A172="","",IF(ISNUMBER(A172),IF(A172&lt;=31,"",IF(A172&lt;=3112,IF(DATE(YR,MOD(A172,100),INT(A172/100))&gt;SAT1+7*NW-1,DATE(YR-1,MOD(A172,100),INT(A172/100)),DATE(YR,MOD(A172,100),INT(A172/100))),A172)),IFERROR(DATEVALUE(A172),"")))</f>
        <v/>
      </c>
      <c r="I172">
        <f>IF(H172="","",INT((H172-SAT1)/7)+1)</f>
        <v/>
      </c>
      <c r="J172">
        <f>IF(I172="","",IF(OR(I172&lt;1,I172&gt;NW),"",INDEX(WMON,I172)))</f>
        <v/>
      </c>
    </row>
    <row r="173">
      <c r="A173" s="48" t="n"/>
      <c r="B173" s="22" t="n"/>
      <c r="C173" s="50" t="n"/>
      <c r="D173" s="49" t="n"/>
      <c r="E173" s="50" t="n"/>
      <c r="G173">
        <f>IF(AND(B173&lt;&gt;"",COUNTIF(B$6:B173,B173)=1),MAX(G$5:G172)+1,"")</f>
        <v/>
      </c>
      <c r="H173">
        <f>IF(A173="","",IF(ISNUMBER(A173),IF(A173&lt;=31,"",IF(A173&lt;=3112,IF(DATE(YR,MOD(A173,100),INT(A173/100))&gt;SAT1+7*NW-1,DATE(YR-1,MOD(A173,100),INT(A173/100)),DATE(YR,MOD(A173,100),INT(A173/100))),A173)),IFERROR(DATEVALUE(A173),"")))</f>
        <v/>
      </c>
      <c r="I173">
        <f>IF(H173="","",INT((H173-SAT1)/7)+1)</f>
        <v/>
      </c>
      <c r="J173">
        <f>IF(I173="","",IF(OR(I173&lt;1,I173&gt;NW),"",INDEX(WMON,I173)))</f>
        <v/>
      </c>
    </row>
    <row r="174">
      <c r="A174" s="48" t="n"/>
      <c r="B174" s="22" t="n"/>
      <c r="C174" s="50" t="n"/>
      <c r="D174" s="49" t="n"/>
      <c r="E174" s="50" t="n"/>
      <c r="G174">
        <f>IF(AND(B174&lt;&gt;"",COUNTIF(B$6:B174,B174)=1),MAX(G$5:G173)+1,"")</f>
        <v/>
      </c>
      <c r="H174">
        <f>IF(A174="","",IF(ISNUMBER(A174),IF(A174&lt;=31,"",IF(A174&lt;=3112,IF(DATE(YR,MOD(A174,100),INT(A174/100))&gt;SAT1+7*NW-1,DATE(YR-1,MOD(A174,100),INT(A174/100)),DATE(YR,MOD(A174,100),INT(A174/100))),A174)),IFERROR(DATEVALUE(A174),"")))</f>
        <v/>
      </c>
      <c r="I174">
        <f>IF(H174="","",INT((H174-SAT1)/7)+1)</f>
        <v/>
      </c>
      <c r="J174">
        <f>IF(I174="","",IF(OR(I174&lt;1,I174&gt;NW),"",INDEX(WMON,I174)))</f>
        <v/>
      </c>
    </row>
    <row r="175">
      <c r="A175" s="48" t="n"/>
      <c r="B175" s="22" t="n"/>
      <c r="C175" s="50" t="n"/>
      <c r="D175" s="49" t="n"/>
      <c r="E175" s="50" t="n"/>
      <c r="G175">
        <f>IF(AND(B175&lt;&gt;"",COUNTIF(B$6:B175,B175)=1),MAX(G$5:G174)+1,"")</f>
        <v/>
      </c>
      <c r="H175">
        <f>IF(A175="","",IF(ISNUMBER(A175),IF(A175&lt;=31,"",IF(A175&lt;=3112,IF(DATE(YR,MOD(A175,100),INT(A175/100))&gt;SAT1+7*NW-1,DATE(YR-1,MOD(A175,100),INT(A175/100)),DATE(YR,MOD(A175,100),INT(A175/100))),A175)),IFERROR(DATEVALUE(A175),"")))</f>
        <v/>
      </c>
      <c r="I175">
        <f>IF(H175="","",INT((H175-SAT1)/7)+1)</f>
        <v/>
      </c>
      <c r="J175">
        <f>IF(I175="","",IF(OR(I175&lt;1,I175&gt;NW),"",INDEX(WMON,I175)))</f>
        <v/>
      </c>
    </row>
    <row r="176">
      <c r="A176" s="48" t="n"/>
      <c r="B176" s="22" t="n"/>
      <c r="C176" s="50" t="n"/>
      <c r="D176" s="49" t="n"/>
      <c r="E176" s="50" t="n"/>
      <c r="G176">
        <f>IF(AND(B176&lt;&gt;"",COUNTIF(B$6:B176,B176)=1),MAX(G$5:G175)+1,"")</f>
        <v/>
      </c>
      <c r="H176">
        <f>IF(A176="","",IF(ISNUMBER(A176),IF(A176&lt;=31,"",IF(A176&lt;=3112,IF(DATE(YR,MOD(A176,100),INT(A176/100))&gt;SAT1+7*NW-1,DATE(YR-1,MOD(A176,100),INT(A176/100)),DATE(YR,MOD(A176,100),INT(A176/100))),A176)),IFERROR(DATEVALUE(A176),"")))</f>
        <v/>
      </c>
      <c r="I176">
        <f>IF(H176="","",INT((H176-SAT1)/7)+1)</f>
        <v/>
      </c>
      <c r="J176">
        <f>IF(I176="","",IF(OR(I176&lt;1,I176&gt;NW),"",INDEX(WMON,I176)))</f>
        <v/>
      </c>
    </row>
    <row r="177">
      <c r="A177" s="48" t="n"/>
      <c r="B177" s="22" t="n"/>
      <c r="C177" s="50" t="n"/>
      <c r="D177" s="49" t="n"/>
      <c r="E177" s="50" t="n"/>
      <c r="G177">
        <f>IF(AND(B177&lt;&gt;"",COUNTIF(B$6:B177,B177)=1),MAX(G$5:G176)+1,"")</f>
        <v/>
      </c>
      <c r="H177">
        <f>IF(A177="","",IF(ISNUMBER(A177),IF(A177&lt;=31,"",IF(A177&lt;=3112,IF(DATE(YR,MOD(A177,100),INT(A177/100))&gt;SAT1+7*NW-1,DATE(YR-1,MOD(A177,100),INT(A177/100)),DATE(YR,MOD(A177,100),INT(A177/100))),A177)),IFERROR(DATEVALUE(A177),"")))</f>
        <v/>
      </c>
      <c r="I177">
        <f>IF(H177="","",INT((H177-SAT1)/7)+1)</f>
        <v/>
      </c>
      <c r="J177">
        <f>IF(I177="","",IF(OR(I177&lt;1,I177&gt;NW),"",INDEX(WMON,I177)))</f>
        <v/>
      </c>
    </row>
    <row r="178">
      <c r="A178" s="48" t="n"/>
      <c r="B178" s="22" t="n"/>
      <c r="C178" s="50" t="n"/>
      <c r="D178" s="49" t="n"/>
      <c r="E178" s="50" t="n"/>
      <c r="G178">
        <f>IF(AND(B178&lt;&gt;"",COUNTIF(B$6:B178,B178)=1),MAX(G$5:G177)+1,"")</f>
        <v/>
      </c>
      <c r="H178">
        <f>IF(A178="","",IF(ISNUMBER(A178),IF(A178&lt;=31,"",IF(A178&lt;=3112,IF(DATE(YR,MOD(A178,100),INT(A178/100))&gt;SAT1+7*NW-1,DATE(YR-1,MOD(A178,100),INT(A178/100)),DATE(YR,MOD(A178,100),INT(A178/100))),A178)),IFERROR(DATEVALUE(A178),"")))</f>
        <v/>
      </c>
      <c r="I178">
        <f>IF(H178="","",INT((H178-SAT1)/7)+1)</f>
        <v/>
      </c>
      <c r="J178">
        <f>IF(I178="","",IF(OR(I178&lt;1,I178&gt;NW),"",INDEX(WMON,I178)))</f>
        <v/>
      </c>
    </row>
    <row r="179">
      <c r="A179" s="48" t="n"/>
      <c r="B179" s="22" t="n"/>
      <c r="C179" s="50" t="n"/>
      <c r="D179" s="49" t="n"/>
      <c r="E179" s="50" t="n"/>
      <c r="G179">
        <f>IF(AND(B179&lt;&gt;"",COUNTIF(B$6:B179,B179)=1),MAX(G$5:G178)+1,"")</f>
        <v/>
      </c>
      <c r="H179">
        <f>IF(A179="","",IF(ISNUMBER(A179),IF(A179&lt;=31,"",IF(A179&lt;=3112,IF(DATE(YR,MOD(A179,100),INT(A179/100))&gt;SAT1+7*NW-1,DATE(YR-1,MOD(A179,100),INT(A179/100)),DATE(YR,MOD(A179,100),INT(A179/100))),A179)),IFERROR(DATEVALUE(A179),"")))</f>
        <v/>
      </c>
      <c r="I179">
        <f>IF(H179="","",INT((H179-SAT1)/7)+1)</f>
        <v/>
      </c>
      <c r="J179">
        <f>IF(I179="","",IF(OR(I179&lt;1,I179&gt;NW),"",INDEX(WMON,I179)))</f>
        <v/>
      </c>
    </row>
    <row r="180">
      <c r="A180" s="48" t="n"/>
      <c r="B180" s="22" t="n"/>
      <c r="C180" s="50" t="n"/>
      <c r="D180" s="49" t="n"/>
      <c r="E180" s="50" t="n"/>
      <c r="G180">
        <f>IF(AND(B180&lt;&gt;"",COUNTIF(B$6:B180,B180)=1),MAX(G$5:G179)+1,"")</f>
        <v/>
      </c>
      <c r="H180">
        <f>IF(A180="","",IF(ISNUMBER(A180),IF(A180&lt;=31,"",IF(A180&lt;=3112,IF(DATE(YR,MOD(A180,100),INT(A180/100))&gt;SAT1+7*NW-1,DATE(YR-1,MOD(A180,100),INT(A180/100)),DATE(YR,MOD(A180,100),INT(A180/100))),A180)),IFERROR(DATEVALUE(A180),"")))</f>
        <v/>
      </c>
      <c r="I180">
        <f>IF(H180="","",INT((H180-SAT1)/7)+1)</f>
        <v/>
      </c>
      <c r="J180">
        <f>IF(I180="","",IF(OR(I180&lt;1,I180&gt;NW),"",INDEX(WMON,I180)))</f>
        <v/>
      </c>
    </row>
    <row r="181">
      <c r="A181" s="48" t="n"/>
      <c r="B181" s="22" t="n"/>
      <c r="C181" s="50" t="n"/>
      <c r="D181" s="49" t="n"/>
      <c r="E181" s="50" t="n"/>
      <c r="G181">
        <f>IF(AND(B181&lt;&gt;"",COUNTIF(B$6:B181,B181)=1),MAX(G$5:G180)+1,"")</f>
        <v/>
      </c>
      <c r="H181">
        <f>IF(A181="","",IF(ISNUMBER(A181),IF(A181&lt;=31,"",IF(A181&lt;=3112,IF(DATE(YR,MOD(A181,100),INT(A181/100))&gt;SAT1+7*NW-1,DATE(YR-1,MOD(A181,100),INT(A181/100)),DATE(YR,MOD(A181,100),INT(A181/100))),A181)),IFERROR(DATEVALUE(A181),"")))</f>
        <v/>
      </c>
      <c r="I181">
        <f>IF(H181="","",INT((H181-SAT1)/7)+1)</f>
        <v/>
      </c>
      <c r="J181">
        <f>IF(I181="","",IF(OR(I181&lt;1,I181&gt;NW),"",INDEX(WMON,I181)))</f>
        <v/>
      </c>
    </row>
    <row r="182">
      <c r="A182" s="48" t="n"/>
      <c r="B182" s="22" t="n"/>
      <c r="C182" s="50" t="n"/>
      <c r="D182" s="49" t="n"/>
      <c r="E182" s="50" t="n"/>
      <c r="G182">
        <f>IF(AND(B182&lt;&gt;"",COUNTIF(B$6:B182,B182)=1),MAX(G$5:G181)+1,"")</f>
        <v/>
      </c>
      <c r="H182">
        <f>IF(A182="","",IF(ISNUMBER(A182),IF(A182&lt;=31,"",IF(A182&lt;=3112,IF(DATE(YR,MOD(A182,100),INT(A182/100))&gt;SAT1+7*NW-1,DATE(YR-1,MOD(A182,100),INT(A182/100)),DATE(YR,MOD(A182,100),INT(A182/100))),A182)),IFERROR(DATEVALUE(A182),"")))</f>
        <v/>
      </c>
      <c r="I182">
        <f>IF(H182="","",INT((H182-SAT1)/7)+1)</f>
        <v/>
      </c>
      <c r="J182">
        <f>IF(I182="","",IF(OR(I182&lt;1,I182&gt;NW),"",INDEX(WMON,I182)))</f>
        <v/>
      </c>
    </row>
    <row r="183">
      <c r="A183" s="48" t="n"/>
      <c r="B183" s="22" t="n"/>
      <c r="C183" s="50" t="n"/>
      <c r="D183" s="49" t="n"/>
      <c r="E183" s="50" t="n"/>
      <c r="G183">
        <f>IF(AND(B183&lt;&gt;"",COUNTIF(B$6:B183,B183)=1),MAX(G$5:G182)+1,"")</f>
        <v/>
      </c>
      <c r="H183">
        <f>IF(A183="","",IF(ISNUMBER(A183),IF(A183&lt;=31,"",IF(A183&lt;=3112,IF(DATE(YR,MOD(A183,100),INT(A183/100))&gt;SAT1+7*NW-1,DATE(YR-1,MOD(A183,100),INT(A183/100)),DATE(YR,MOD(A183,100),INT(A183/100))),A183)),IFERROR(DATEVALUE(A183),"")))</f>
        <v/>
      </c>
      <c r="I183">
        <f>IF(H183="","",INT((H183-SAT1)/7)+1)</f>
        <v/>
      </c>
      <c r="J183">
        <f>IF(I183="","",IF(OR(I183&lt;1,I183&gt;NW),"",INDEX(WMON,I183)))</f>
        <v/>
      </c>
    </row>
    <row r="184">
      <c r="A184" s="48" t="n"/>
      <c r="B184" s="22" t="n"/>
      <c r="C184" s="50" t="n"/>
      <c r="D184" s="49" t="n"/>
      <c r="E184" s="50" t="n"/>
      <c r="G184">
        <f>IF(AND(B184&lt;&gt;"",COUNTIF(B$6:B184,B184)=1),MAX(G$5:G183)+1,"")</f>
        <v/>
      </c>
      <c r="H184">
        <f>IF(A184="","",IF(ISNUMBER(A184),IF(A184&lt;=31,"",IF(A184&lt;=3112,IF(DATE(YR,MOD(A184,100),INT(A184/100))&gt;SAT1+7*NW-1,DATE(YR-1,MOD(A184,100),INT(A184/100)),DATE(YR,MOD(A184,100),INT(A184/100))),A184)),IFERROR(DATEVALUE(A184),"")))</f>
        <v/>
      </c>
      <c r="I184">
        <f>IF(H184="","",INT((H184-SAT1)/7)+1)</f>
        <v/>
      </c>
      <c r="J184">
        <f>IF(I184="","",IF(OR(I184&lt;1,I184&gt;NW),"",INDEX(WMON,I184)))</f>
        <v/>
      </c>
    </row>
    <row r="185">
      <c r="A185" s="48" t="n"/>
      <c r="B185" s="22" t="n"/>
      <c r="C185" s="50" t="n"/>
      <c r="D185" s="49" t="n"/>
      <c r="E185" s="50" t="n"/>
      <c r="G185">
        <f>IF(AND(B185&lt;&gt;"",COUNTIF(B$6:B185,B185)=1),MAX(G$5:G184)+1,"")</f>
        <v/>
      </c>
      <c r="H185">
        <f>IF(A185="","",IF(ISNUMBER(A185),IF(A185&lt;=31,"",IF(A185&lt;=3112,IF(DATE(YR,MOD(A185,100),INT(A185/100))&gt;SAT1+7*NW-1,DATE(YR-1,MOD(A185,100),INT(A185/100)),DATE(YR,MOD(A185,100),INT(A185/100))),A185)),IFERROR(DATEVALUE(A185),"")))</f>
        <v/>
      </c>
      <c r="I185">
        <f>IF(H185="","",INT((H185-SAT1)/7)+1)</f>
        <v/>
      </c>
      <c r="J185">
        <f>IF(I185="","",IF(OR(I185&lt;1,I185&gt;NW),"",INDEX(WMON,I185)))</f>
        <v/>
      </c>
    </row>
    <row r="186">
      <c r="A186" s="48" t="n"/>
      <c r="B186" s="22" t="n"/>
      <c r="C186" s="50" t="n"/>
      <c r="D186" s="49" t="n"/>
      <c r="E186" s="50" t="n"/>
      <c r="G186">
        <f>IF(AND(B186&lt;&gt;"",COUNTIF(B$6:B186,B186)=1),MAX(G$5:G185)+1,"")</f>
        <v/>
      </c>
      <c r="H186">
        <f>IF(A186="","",IF(ISNUMBER(A186),IF(A186&lt;=31,"",IF(A186&lt;=3112,IF(DATE(YR,MOD(A186,100),INT(A186/100))&gt;SAT1+7*NW-1,DATE(YR-1,MOD(A186,100),INT(A186/100)),DATE(YR,MOD(A186,100),INT(A186/100))),A186)),IFERROR(DATEVALUE(A186),"")))</f>
        <v/>
      </c>
      <c r="I186">
        <f>IF(H186="","",INT((H186-SAT1)/7)+1)</f>
        <v/>
      </c>
      <c r="J186">
        <f>IF(I186="","",IF(OR(I186&lt;1,I186&gt;NW),"",INDEX(WMON,I186)))</f>
        <v/>
      </c>
    </row>
    <row r="187">
      <c r="A187" s="48" t="n"/>
      <c r="B187" s="22" t="n"/>
      <c r="C187" s="50" t="n"/>
      <c r="D187" s="49" t="n"/>
      <c r="E187" s="50" t="n"/>
      <c r="G187">
        <f>IF(AND(B187&lt;&gt;"",COUNTIF(B$6:B187,B187)=1),MAX(G$5:G186)+1,"")</f>
        <v/>
      </c>
      <c r="H187">
        <f>IF(A187="","",IF(ISNUMBER(A187),IF(A187&lt;=31,"",IF(A187&lt;=3112,IF(DATE(YR,MOD(A187,100),INT(A187/100))&gt;SAT1+7*NW-1,DATE(YR-1,MOD(A187,100),INT(A187/100)),DATE(YR,MOD(A187,100),INT(A187/100))),A187)),IFERROR(DATEVALUE(A187),"")))</f>
        <v/>
      </c>
      <c r="I187">
        <f>IF(H187="","",INT((H187-SAT1)/7)+1)</f>
        <v/>
      </c>
      <c r="J187">
        <f>IF(I187="","",IF(OR(I187&lt;1,I187&gt;NW),"",INDEX(WMON,I187)))</f>
        <v/>
      </c>
    </row>
    <row r="188">
      <c r="A188" s="48" t="n"/>
      <c r="B188" s="22" t="n"/>
      <c r="C188" s="50" t="n"/>
      <c r="D188" s="49" t="n"/>
      <c r="E188" s="50" t="n"/>
      <c r="G188">
        <f>IF(AND(B188&lt;&gt;"",COUNTIF(B$6:B188,B188)=1),MAX(G$5:G187)+1,"")</f>
        <v/>
      </c>
      <c r="H188">
        <f>IF(A188="","",IF(ISNUMBER(A188),IF(A188&lt;=31,"",IF(A188&lt;=3112,IF(DATE(YR,MOD(A188,100),INT(A188/100))&gt;SAT1+7*NW-1,DATE(YR-1,MOD(A188,100),INT(A188/100)),DATE(YR,MOD(A188,100),INT(A188/100))),A188)),IFERROR(DATEVALUE(A188),"")))</f>
        <v/>
      </c>
      <c r="I188">
        <f>IF(H188="","",INT((H188-SAT1)/7)+1)</f>
        <v/>
      </c>
      <c r="J188">
        <f>IF(I188="","",IF(OR(I188&lt;1,I188&gt;NW),"",INDEX(WMON,I188)))</f>
        <v/>
      </c>
    </row>
    <row r="189">
      <c r="A189" s="48" t="n"/>
      <c r="B189" s="22" t="n"/>
      <c r="C189" s="50" t="n"/>
      <c r="D189" s="49" t="n"/>
      <c r="E189" s="50" t="n"/>
      <c r="G189">
        <f>IF(AND(B189&lt;&gt;"",COUNTIF(B$6:B189,B189)=1),MAX(G$5:G188)+1,"")</f>
        <v/>
      </c>
      <c r="H189">
        <f>IF(A189="","",IF(ISNUMBER(A189),IF(A189&lt;=31,"",IF(A189&lt;=3112,IF(DATE(YR,MOD(A189,100),INT(A189/100))&gt;SAT1+7*NW-1,DATE(YR-1,MOD(A189,100),INT(A189/100)),DATE(YR,MOD(A189,100),INT(A189/100))),A189)),IFERROR(DATEVALUE(A189),"")))</f>
        <v/>
      </c>
      <c r="I189">
        <f>IF(H189="","",INT((H189-SAT1)/7)+1)</f>
        <v/>
      </c>
      <c r="J189">
        <f>IF(I189="","",IF(OR(I189&lt;1,I189&gt;NW),"",INDEX(WMON,I189)))</f>
        <v/>
      </c>
    </row>
    <row r="190">
      <c r="A190" s="48" t="n"/>
      <c r="B190" s="22" t="n"/>
      <c r="C190" s="50" t="n"/>
      <c r="D190" s="49" t="n"/>
      <c r="E190" s="50" t="n"/>
      <c r="G190">
        <f>IF(AND(B190&lt;&gt;"",COUNTIF(B$6:B190,B190)=1),MAX(G$5:G189)+1,"")</f>
        <v/>
      </c>
      <c r="H190">
        <f>IF(A190="","",IF(ISNUMBER(A190),IF(A190&lt;=31,"",IF(A190&lt;=3112,IF(DATE(YR,MOD(A190,100),INT(A190/100))&gt;SAT1+7*NW-1,DATE(YR-1,MOD(A190,100),INT(A190/100)),DATE(YR,MOD(A190,100),INT(A190/100))),A190)),IFERROR(DATEVALUE(A190),"")))</f>
        <v/>
      </c>
      <c r="I190">
        <f>IF(H190="","",INT((H190-SAT1)/7)+1)</f>
        <v/>
      </c>
      <c r="J190">
        <f>IF(I190="","",IF(OR(I190&lt;1,I190&gt;NW),"",INDEX(WMON,I190)))</f>
        <v/>
      </c>
    </row>
    <row r="191">
      <c r="A191" s="48" t="n"/>
      <c r="B191" s="22" t="n"/>
      <c r="C191" s="50" t="n"/>
      <c r="D191" s="49" t="n"/>
      <c r="E191" s="50" t="n"/>
      <c r="G191">
        <f>IF(AND(B191&lt;&gt;"",COUNTIF(B$6:B191,B191)=1),MAX(G$5:G190)+1,"")</f>
        <v/>
      </c>
      <c r="H191">
        <f>IF(A191="","",IF(ISNUMBER(A191),IF(A191&lt;=31,"",IF(A191&lt;=3112,IF(DATE(YR,MOD(A191,100),INT(A191/100))&gt;SAT1+7*NW-1,DATE(YR-1,MOD(A191,100),INT(A191/100)),DATE(YR,MOD(A191,100),INT(A191/100))),A191)),IFERROR(DATEVALUE(A191),"")))</f>
        <v/>
      </c>
      <c r="I191">
        <f>IF(H191="","",INT((H191-SAT1)/7)+1)</f>
        <v/>
      </c>
      <c r="J191">
        <f>IF(I191="","",IF(OR(I191&lt;1,I191&gt;NW),"",INDEX(WMON,I191)))</f>
        <v/>
      </c>
    </row>
    <row r="192">
      <c r="A192" s="48" t="n"/>
      <c r="B192" s="22" t="n"/>
      <c r="C192" s="50" t="n"/>
      <c r="D192" s="49" t="n"/>
      <c r="E192" s="50" t="n"/>
      <c r="G192">
        <f>IF(AND(B192&lt;&gt;"",COUNTIF(B$6:B192,B192)=1),MAX(G$5:G191)+1,"")</f>
        <v/>
      </c>
      <c r="H192">
        <f>IF(A192="","",IF(ISNUMBER(A192),IF(A192&lt;=31,"",IF(A192&lt;=3112,IF(DATE(YR,MOD(A192,100),INT(A192/100))&gt;SAT1+7*NW-1,DATE(YR-1,MOD(A192,100),INT(A192/100)),DATE(YR,MOD(A192,100),INT(A192/100))),A192)),IFERROR(DATEVALUE(A192),"")))</f>
        <v/>
      </c>
      <c r="I192">
        <f>IF(H192="","",INT((H192-SAT1)/7)+1)</f>
        <v/>
      </c>
      <c r="J192">
        <f>IF(I192="","",IF(OR(I192&lt;1,I192&gt;NW),"",INDEX(WMON,I192)))</f>
        <v/>
      </c>
    </row>
    <row r="193">
      <c r="A193" s="48" t="n"/>
      <c r="B193" s="22" t="n"/>
      <c r="C193" s="50" t="n"/>
      <c r="D193" s="49" t="n"/>
      <c r="E193" s="50" t="n"/>
      <c r="G193">
        <f>IF(AND(B193&lt;&gt;"",COUNTIF(B$6:B193,B193)=1),MAX(G$5:G192)+1,"")</f>
        <v/>
      </c>
      <c r="H193">
        <f>IF(A193="","",IF(ISNUMBER(A193),IF(A193&lt;=31,"",IF(A193&lt;=3112,IF(DATE(YR,MOD(A193,100),INT(A193/100))&gt;SAT1+7*NW-1,DATE(YR-1,MOD(A193,100),INT(A193/100)),DATE(YR,MOD(A193,100),INT(A193/100))),A193)),IFERROR(DATEVALUE(A193),"")))</f>
        <v/>
      </c>
      <c r="I193">
        <f>IF(H193="","",INT((H193-SAT1)/7)+1)</f>
        <v/>
      </c>
      <c r="J193">
        <f>IF(I193="","",IF(OR(I193&lt;1,I193&gt;NW),"",INDEX(WMON,I193)))</f>
        <v/>
      </c>
    </row>
    <row r="194">
      <c r="A194" s="48" t="n"/>
      <c r="B194" s="22" t="n"/>
      <c r="C194" s="50" t="n"/>
      <c r="D194" s="49" t="n"/>
      <c r="E194" s="50" t="n"/>
      <c r="G194">
        <f>IF(AND(B194&lt;&gt;"",COUNTIF(B$6:B194,B194)=1),MAX(G$5:G193)+1,"")</f>
        <v/>
      </c>
      <c r="H194">
        <f>IF(A194="","",IF(ISNUMBER(A194),IF(A194&lt;=31,"",IF(A194&lt;=3112,IF(DATE(YR,MOD(A194,100),INT(A194/100))&gt;SAT1+7*NW-1,DATE(YR-1,MOD(A194,100),INT(A194/100)),DATE(YR,MOD(A194,100),INT(A194/100))),A194)),IFERROR(DATEVALUE(A194),"")))</f>
        <v/>
      </c>
      <c r="I194">
        <f>IF(H194="","",INT((H194-SAT1)/7)+1)</f>
        <v/>
      </c>
      <c r="J194">
        <f>IF(I194="","",IF(OR(I194&lt;1,I194&gt;NW),"",INDEX(WMON,I194)))</f>
        <v/>
      </c>
    </row>
    <row r="195">
      <c r="A195" s="48" t="n"/>
      <c r="B195" s="22" t="n"/>
      <c r="C195" s="50" t="n"/>
      <c r="D195" s="49" t="n"/>
      <c r="E195" s="50" t="n"/>
      <c r="G195">
        <f>IF(AND(B195&lt;&gt;"",COUNTIF(B$6:B195,B195)=1),MAX(G$5:G194)+1,"")</f>
        <v/>
      </c>
      <c r="H195">
        <f>IF(A195="","",IF(ISNUMBER(A195),IF(A195&lt;=31,"",IF(A195&lt;=3112,IF(DATE(YR,MOD(A195,100),INT(A195/100))&gt;SAT1+7*NW-1,DATE(YR-1,MOD(A195,100),INT(A195/100)),DATE(YR,MOD(A195,100),INT(A195/100))),A195)),IFERROR(DATEVALUE(A195),"")))</f>
        <v/>
      </c>
      <c r="I195">
        <f>IF(H195="","",INT((H195-SAT1)/7)+1)</f>
        <v/>
      </c>
      <c r="J195">
        <f>IF(I195="","",IF(OR(I195&lt;1,I195&gt;NW),"",INDEX(WMON,I195)))</f>
        <v/>
      </c>
    </row>
    <row r="196">
      <c r="A196" s="48" t="n"/>
      <c r="B196" s="22" t="n"/>
      <c r="C196" s="50" t="n"/>
      <c r="D196" s="49" t="n"/>
      <c r="E196" s="50" t="n"/>
      <c r="G196">
        <f>IF(AND(B196&lt;&gt;"",COUNTIF(B$6:B196,B196)=1),MAX(G$5:G195)+1,"")</f>
        <v/>
      </c>
      <c r="H196">
        <f>IF(A196="","",IF(ISNUMBER(A196),IF(A196&lt;=31,"",IF(A196&lt;=3112,IF(DATE(YR,MOD(A196,100),INT(A196/100))&gt;SAT1+7*NW-1,DATE(YR-1,MOD(A196,100),INT(A196/100)),DATE(YR,MOD(A196,100),INT(A196/100))),A196)),IFERROR(DATEVALUE(A196),"")))</f>
        <v/>
      </c>
      <c r="I196">
        <f>IF(H196="","",INT((H196-SAT1)/7)+1)</f>
        <v/>
      </c>
      <c r="J196">
        <f>IF(I196="","",IF(OR(I196&lt;1,I196&gt;NW),"",INDEX(WMON,I196)))</f>
        <v/>
      </c>
    </row>
    <row r="197">
      <c r="A197" s="48" t="n"/>
      <c r="B197" s="22" t="n"/>
      <c r="C197" s="50" t="n"/>
      <c r="D197" s="49" t="n"/>
      <c r="E197" s="50" t="n"/>
      <c r="G197">
        <f>IF(AND(B197&lt;&gt;"",COUNTIF(B$6:B197,B197)=1),MAX(G$5:G196)+1,"")</f>
        <v/>
      </c>
      <c r="H197">
        <f>IF(A197="","",IF(ISNUMBER(A197),IF(A197&lt;=31,"",IF(A197&lt;=3112,IF(DATE(YR,MOD(A197,100),INT(A197/100))&gt;SAT1+7*NW-1,DATE(YR-1,MOD(A197,100),INT(A197/100)),DATE(YR,MOD(A197,100),INT(A197/100))),A197)),IFERROR(DATEVALUE(A197),"")))</f>
        <v/>
      </c>
      <c r="I197">
        <f>IF(H197="","",INT((H197-SAT1)/7)+1)</f>
        <v/>
      </c>
      <c r="J197">
        <f>IF(I197="","",IF(OR(I197&lt;1,I197&gt;NW),"",INDEX(WMON,I197)))</f>
        <v/>
      </c>
    </row>
    <row r="198">
      <c r="A198" s="48" t="n"/>
      <c r="B198" s="22" t="n"/>
      <c r="C198" s="50" t="n"/>
      <c r="D198" s="49" t="n"/>
      <c r="E198" s="50" t="n"/>
      <c r="G198">
        <f>IF(AND(B198&lt;&gt;"",COUNTIF(B$6:B198,B198)=1),MAX(G$5:G197)+1,"")</f>
        <v/>
      </c>
      <c r="H198">
        <f>IF(A198="","",IF(ISNUMBER(A198),IF(A198&lt;=31,"",IF(A198&lt;=3112,IF(DATE(YR,MOD(A198,100),INT(A198/100))&gt;SAT1+7*NW-1,DATE(YR-1,MOD(A198,100),INT(A198/100)),DATE(YR,MOD(A198,100),INT(A198/100))),A198)),IFERROR(DATEVALUE(A198),"")))</f>
        <v/>
      </c>
      <c r="I198">
        <f>IF(H198="","",INT((H198-SAT1)/7)+1)</f>
        <v/>
      </c>
      <c r="J198">
        <f>IF(I198="","",IF(OR(I198&lt;1,I198&gt;NW),"",INDEX(WMON,I198)))</f>
        <v/>
      </c>
    </row>
    <row r="199">
      <c r="A199" s="48" t="n"/>
      <c r="B199" s="22" t="n"/>
      <c r="C199" s="50" t="n"/>
      <c r="D199" s="49" t="n"/>
      <c r="E199" s="50" t="n"/>
      <c r="G199">
        <f>IF(AND(B199&lt;&gt;"",COUNTIF(B$6:B199,B199)=1),MAX(G$5:G198)+1,"")</f>
        <v/>
      </c>
      <c r="H199">
        <f>IF(A199="","",IF(ISNUMBER(A199),IF(A199&lt;=31,"",IF(A199&lt;=3112,IF(DATE(YR,MOD(A199,100),INT(A199/100))&gt;SAT1+7*NW-1,DATE(YR-1,MOD(A199,100),INT(A199/100)),DATE(YR,MOD(A199,100),INT(A199/100))),A199)),IFERROR(DATEVALUE(A199),"")))</f>
        <v/>
      </c>
      <c r="I199">
        <f>IF(H199="","",INT((H199-SAT1)/7)+1)</f>
        <v/>
      </c>
      <c r="J199">
        <f>IF(I199="","",IF(OR(I199&lt;1,I199&gt;NW),"",INDEX(WMON,I199)))</f>
        <v/>
      </c>
    </row>
    <row r="200">
      <c r="A200" s="48" t="n"/>
      <c r="B200" s="22" t="n"/>
      <c r="C200" s="50" t="n"/>
      <c r="D200" s="49" t="n"/>
      <c r="E200" s="50" t="n"/>
      <c r="G200">
        <f>IF(AND(B200&lt;&gt;"",COUNTIF(B$6:B200,B200)=1),MAX(G$5:G199)+1,"")</f>
        <v/>
      </c>
      <c r="H200">
        <f>IF(A200="","",IF(ISNUMBER(A200),IF(A200&lt;=31,"",IF(A200&lt;=3112,IF(DATE(YR,MOD(A200,100),INT(A200/100))&gt;SAT1+7*NW-1,DATE(YR-1,MOD(A200,100),INT(A200/100)),DATE(YR,MOD(A200,100),INT(A200/100))),A200)),IFERROR(DATEVALUE(A200),"")))</f>
        <v/>
      </c>
      <c r="I200">
        <f>IF(H200="","",INT((H200-SAT1)/7)+1)</f>
        <v/>
      </c>
      <c r="J200">
        <f>IF(I200="","",IF(OR(I200&lt;1,I200&gt;NW),"",INDEX(WMON,I200)))</f>
        <v/>
      </c>
    </row>
    <row r="201">
      <c r="A201" s="48" t="n"/>
      <c r="B201" s="22" t="n"/>
      <c r="C201" s="50" t="n"/>
      <c r="D201" s="49" t="n"/>
      <c r="E201" s="50" t="n"/>
      <c r="G201">
        <f>IF(AND(B201&lt;&gt;"",COUNTIF(B$6:B201,B201)=1),MAX(G$5:G200)+1,"")</f>
        <v/>
      </c>
      <c r="H201">
        <f>IF(A201="","",IF(ISNUMBER(A201),IF(A201&lt;=31,"",IF(A201&lt;=3112,IF(DATE(YR,MOD(A201,100),INT(A201/100))&gt;SAT1+7*NW-1,DATE(YR-1,MOD(A201,100),INT(A201/100)),DATE(YR,MOD(A201,100),INT(A201/100))),A201)),IFERROR(DATEVALUE(A201),"")))</f>
        <v/>
      </c>
      <c r="I201">
        <f>IF(H201="","",INT((H201-SAT1)/7)+1)</f>
        <v/>
      </c>
      <c r="J201">
        <f>IF(I201="","",IF(OR(I201&lt;1,I201&gt;NW),"",INDEX(WMON,I201)))</f>
        <v/>
      </c>
    </row>
    <row r="202">
      <c r="A202" s="48" t="n"/>
      <c r="B202" s="22" t="n"/>
      <c r="C202" s="50" t="n"/>
      <c r="D202" s="49" t="n"/>
      <c r="E202" s="50" t="n"/>
      <c r="G202">
        <f>IF(AND(B202&lt;&gt;"",COUNTIF(B$6:B202,B202)=1),MAX(G$5:G201)+1,"")</f>
        <v/>
      </c>
      <c r="H202">
        <f>IF(A202="","",IF(ISNUMBER(A202),IF(A202&lt;=31,"",IF(A202&lt;=3112,IF(DATE(YR,MOD(A202,100),INT(A202/100))&gt;SAT1+7*NW-1,DATE(YR-1,MOD(A202,100),INT(A202/100)),DATE(YR,MOD(A202,100),INT(A202/100))),A202)),IFERROR(DATEVALUE(A202),"")))</f>
        <v/>
      </c>
      <c r="I202">
        <f>IF(H202="","",INT((H202-SAT1)/7)+1)</f>
        <v/>
      </c>
      <c r="J202">
        <f>IF(I202="","",IF(OR(I202&lt;1,I202&gt;NW),"",INDEX(WMON,I202)))</f>
        <v/>
      </c>
    </row>
    <row r="203">
      <c r="A203" s="48" t="n"/>
      <c r="B203" s="22" t="n"/>
      <c r="C203" s="50" t="n"/>
      <c r="D203" s="49" t="n"/>
      <c r="E203" s="50" t="n"/>
      <c r="G203">
        <f>IF(AND(B203&lt;&gt;"",COUNTIF(B$6:B203,B203)=1),MAX(G$5:G202)+1,"")</f>
        <v/>
      </c>
      <c r="H203">
        <f>IF(A203="","",IF(ISNUMBER(A203),IF(A203&lt;=31,"",IF(A203&lt;=3112,IF(DATE(YR,MOD(A203,100),INT(A203/100))&gt;SAT1+7*NW-1,DATE(YR-1,MOD(A203,100),INT(A203/100)),DATE(YR,MOD(A203,100),INT(A203/100))),A203)),IFERROR(DATEVALUE(A203),"")))</f>
        <v/>
      </c>
      <c r="I203">
        <f>IF(H203="","",INT((H203-SAT1)/7)+1)</f>
        <v/>
      </c>
      <c r="J203">
        <f>IF(I203="","",IF(OR(I203&lt;1,I203&gt;NW),"",INDEX(WMON,I203)))</f>
        <v/>
      </c>
    </row>
    <row r="204">
      <c r="A204" s="48" t="n"/>
      <c r="B204" s="22" t="n"/>
      <c r="C204" s="50" t="n"/>
      <c r="D204" s="49" t="n"/>
      <c r="E204" s="50" t="n"/>
      <c r="G204">
        <f>IF(AND(B204&lt;&gt;"",COUNTIF(B$6:B204,B204)=1),MAX(G$5:G203)+1,"")</f>
        <v/>
      </c>
      <c r="H204">
        <f>IF(A204="","",IF(ISNUMBER(A204),IF(A204&lt;=31,"",IF(A204&lt;=3112,IF(DATE(YR,MOD(A204,100),INT(A204/100))&gt;SAT1+7*NW-1,DATE(YR-1,MOD(A204,100),INT(A204/100)),DATE(YR,MOD(A204,100),INT(A204/100))),A204)),IFERROR(DATEVALUE(A204),"")))</f>
        <v/>
      </c>
      <c r="I204">
        <f>IF(H204="","",INT((H204-SAT1)/7)+1)</f>
        <v/>
      </c>
      <c r="J204">
        <f>IF(I204="","",IF(OR(I204&lt;1,I204&gt;NW),"",INDEX(WMON,I204)))</f>
        <v/>
      </c>
    </row>
    <row r="205">
      <c r="A205" s="48" t="n"/>
      <c r="B205" s="22" t="n"/>
      <c r="C205" s="50" t="n"/>
      <c r="D205" s="49" t="n"/>
      <c r="E205" s="50" t="n"/>
      <c r="G205">
        <f>IF(AND(B205&lt;&gt;"",COUNTIF(B$6:B205,B205)=1),MAX(G$5:G204)+1,"")</f>
        <v/>
      </c>
      <c r="H205">
        <f>IF(A205="","",IF(ISNUMBER(A205),IF(A205&lt;=31,"",IF(A205&lt;=3112,IF(DATE(YR,MOD(A205,100),INT(A205/100))&gt;SAT1+7*NW-1,DATE(YR-1,MOD(A205,100),INT(A205/100)),DATE(YR,MOD(A205,100),INT(A205/100))),A205)),IFERROR(DATEVALUE(A205),"")))</f>
        <v/>
      </c>
      <c r="I205">
        <f>IF(H205="","",INT((H205-SAT1)/7)+1)</f>
        <v/>
      </c>
      <c r="J205">
        <f>IF(I205="","",IF(OR(I205&lt;1,I205&gt;NW),"",INDEX(WMON,I205)))</f>
        <v/>
      </c>
    </row>
    <row r="206">
      <c r="A206" s="48" t="n"/>
      <c r="B206" s="22" t="n"/>
      <c r="C206" s="50" t="n"/>
      <c r="D206" s="49" t="n"/>
      <c r="E206" s="50" t="n"/>
      <c r="G206">
        <f>IF(AND(B206&lt;&gt;"",COUNTIF(B$6:B206,B206)=1),MAX(G$5:G205)+1,"")</f>
        <v/>
      </c>
      <c r="H206">
        <f>IF(A206="","",IF(ISNUMBER(A206),IF(A206&lt;=31,"",IF(A206&lt;=3112,IF(DATE(YR,MOD(A206,100),INT(A206/100))&gt;SAT1+7*NW-1,DATE(YR-1,MOD(A206,100),INT(A206/100)),DATE(YR,MOD(A206,100),INT(A206/100))),A206)),IFERROR(DATEVALUE(A206),"")))</f>
        <v/>
      </c>
      <c r="I206">
        <f>IF(H206="","",INT((H206-SAT1)/7)+1)</f>
        <v/>
      </c>
      <c r="J206">
        <f>IF(I206="","",IF(OR(I206&lt;1,I206&gt;NW),"",INDEX(WMON,I206)))</f>
        <v/>
      </c>
    </row>
    <row r="207">
      <c r="A207" s="48" t="n"/>
      <c r="B207" s="22" t="n"/>
      <c r="C207" s="50" t="n"/>
      <c r="D207" s="49" t="n"/>
      <c r="E207" s="50" t="n"/>
      <c r="G207">
        <f>IF(AND(B207&lt;&gt;"",COUNTIF(B$6:B207,B207)=1),MAX(G$5:G206)+1,"")</f>
        <v/>
      </c>
      <c r="H207">
        <f>IF(A207="","",IF(ISNUMBER(A207),IF(A207&lt;=31,"",IF(A207&lt;=3112,IF(DATE(YR,MOD(A207,100),INT(A207/100))&gt;SAT1+7*NW-1,DATE(YR-1,MOD(A207,100),INT(A207/100)),DATE(YR,MOD(A207,100),INT(A207/100))),A207)),IFERROR(DATEVALUE(A207),"")))</f>
        <v/>
      </c>
      <c r="I207">
        <f>IF(H207="","",INT((H207-SAT1)/7)+1)</f>
        <v/>
      </c>
      <c r="J207">
        <f>IF(I207="","",IF(OR(I207&lt;1,I207&gt;NW),"",INDEX(WMON,I207)))</f>
        <v/>
      </c>
    </row>
    <row r="208">
      <c r="A208" s="48" t="n"/>
      <c r="B208" s="22" t="n"/>
      <c r="C208" s="50" t="n"/>
      <c r="D208" s="49" t="n"/>
      <c r="E208" s="50" t="n"/>
      <c r="G208">
        <f>IF(AND(B208&lt;&gt;"",COUNTIF(B$6:B208,B208)=1),MAX(G$5:G207)+1,"")</f>
        <v/>
      </c>
      <c r="H208">
        <f>IF(A208="","",IF(ISNUMBER(A208),IF(A208&lt;=31,"",IF(A208&lt;=3112,IF(DATE(YR,MOD(A208,100),INT(A208/100))&gt;SAT1+7*NW-1,DATE(YR-1,MOD(A208,100),INT(A208/100)),DATE(YR,MOD(A208,100),INT(A208/100))),A208)),IFERROR(DATEVALUE(A208),"")))</f>
        <v/>
      </c>
      <c r="I208">
        <f>IF(H208="","",INT((H208-SAT1)/7)+1)</f>
        <v/>
      </c>
      <c r="J208">
        <f>IF(I208="","",IF(OR(I208&lt;1,I208&gt;NW),"",INDEX(WMON,I208)))</f>
        <v/>
      </c>
    </row>
    <row r="209">
      <c r="A209" s="48" t="n"/>
      <c r="B209" s="22" t="n"/>
      <c r="C209" s="50" t="n"/>
      <c r="D209" s="49" t="n"/>
      <c r="E209" s="50" t="n"/>
      <c r="G209">
        <f>IF(AND(B209&lt;&gt;"",COUNTIF(B$6:B209,B209)=1),MAX(G$5:G208)+1,"")</f>
        <v/>
      </c>
      <c r="H209">
        <f>IF(A209="","",IF(ISNUMBER(A209),IF(A209&lt;=31,"",IF(A209&lt;=3112,IF(DATE(YR,MOD(A209,100),INT(A209/100))&gt;SAT1+7*NW-1,DATE(YR-1,MOD(A209,100),INT(A209/100)),DATE(YR,MOD(A209,100),INT(A209/100))),A209)),IFERROR(DATEVALUE(A209),"")))</f>
        <v/>
      </c>
      <c r="I209">
        <f>IF(H209="","",INT((H209-SAT1)/7)+1)</f>
        <v/>
      </c>
      <c r="J209">
        <f>IF(I209="","",IF(OR(I209&lt;1,I209&gt;NW),"",INDEX(WMON,I209)))</f>
        <v/>
      </c>
    </row>
    <row r="210">
      <c r="A210" s="48" t="n"/>
      <c r="B210" s="22" t="n"/>
      <c r="C210" s="50" t="n"/>
      <c r="D210" s="49" t="n"/>
      <c r="E210" s="50" t="n"/>
      <c r="G210">
        <f>IF(AND(B210&lt;&gt;"",COUNTIF(B$6:B210,B210)=1),MAX(G$5:G209)+1,"")</f>
        <v/>
      </c>
      <c r="H210">
        <f>IF(A210="","",IF(ISNUMBER(A210),IF(A210&lt;=31,"",IF(A210&lt;=3112,IF(DATE(YR,MOD(A210,100),INT(A210/100))&gt;SAT1+7*NW-1,DATE(YR-1,MOD(A210,100),INT(A210/100)),DATE(YR,MOD(A210,100),INT(A210/100))),A210)),IFERROR(DATEVALUE(A210),"")))</f>
        <v/>
      </c>
      <c r="I210">
        <f>IF(H210="","",INT((H210-SAT1)/7)+1)</f>
        <v/>
      </c>
      <c r="J210">
        <f>IF(I210="","",IF(OR(I210&lt;1,I210&gt;NW),"",INDEX(WMON,I210)))</f>
        <v/>
      </c>
    </row>
    <row r="211">
      <c r="A211" s="48" t="n"/>
      <c r="B211" s="22" t="n"/>
      <c r="C211" s="50" t="n"/>
      <c r="D211" s="49" t="n"/>
      <c r="E211" s="50" t="n"/>
      <c r="G211">
        <f>IF(AND(B211&lt;&gt;"",COUNTIF(B$6:B211,B211)=1),MAX(G$5:G210)+1,"")</f>
        <v/>
      </c>
      <c r="H211">
        <f>IF(A211="","",IF(ISNUMBER(A211),IF(A211&lt;=31,"",IF(A211&lt;=3112,IF(DATE(YR,MOD(A211,100),INT(A211/100))&gt;SAT1+7*NW-1,DATE(YR-1,MOD(A211,100),INT(A211/100)),DATE(YR,MOD(A211,100),INT(A211/100))),A211)),IFERROR(DATEVALUE(A211),"")))</f>
        <v/>
      </c>
      <c r="I211">
        <f>IF(H211="","",INT((H211-SAT1)/7)+1)</f>
        <v/>
      </c>
      <c r="J211">
        <f>IF(I211="","",IF(OR(I211&lt;1,I211&gt;NW),"",INDEX(WMON,I211)))</f>
        <v/>
      </c>
    </row>
    <row r="212">
      <c r="A212" s="48" t="n"/>
      <c r="B212" s="22" t="n"/>
      <c r="C212" s="50" t="n"/>
      <c r="D212" s="49" t="n"/>
      <c r="E212" s="50" t="n"/>
      <c r="G212">
        <f>IF(AND(B212&lt;&gt;"",COUNTIF(B$6:B212,B212)=1),MAX(G$5:G211)+1,"")</f>
        <v/>
      </c>
      <c r="H212">
        <f>IF(A212="","",IF(ISNUMBER(A212),IF(A212&lt;=31,"",IF(A212&lt;=3112,IF(DATE(YR,MOD(A212,100),INT(A212/100))&gt;SAT1+7*NW-1,DATE(YR-1,MOD(A212,100),INT(A212/100)),DATE(YR,MOD(A212,100),INT(A212/100))),A212)),IFERROR(DATEVALUE(A212),"")))</f>
        <v/>
      </c>
      <c r="I212">
        <f>IF(H212="","",INT((H212-SAT1)/7)+1)</f>
        <v/>
      </c>
      <c r="J212">
        <f>IF(I212="","",IF(OR(I212&lt;1,I212&gt;NW),"",INDEX(WMON,I212)))</f>
        <v/>
      </c>
    </row>
    <row r="213">
      <c r="A213" s="48" t="n"/>
      <c r="B213" s="22" t="n"/>
      <c r="C213" s="50" t="n"/>
      <c r="D213" s="49" t="n"/>
      <c r="E213" s="50" t="n"/>
      <c r="G213">
        <f>IF(AND(B213&lt;&gt;"",COUNTIF(B$6:B213,B213)=1),MAX(G$5:G212)+1,"")</f>
        <v/>
      </c>
      <c r="H213">
        <f>IF(A213="","",IF(ISNUMBER(A213),IF(A213&lt;=31,"",IF(A213&lt;=3112,IF(DATE(YR,MOD(A213,100),INT(A213/100))&gt;SAT1+7*NW-1,DATE(YR-1,MOD(A213,100),INT(A213/100)),DATE(YR,MOD(A213,100),INT(A213/100))),A213)),IFERROR(DATEVALUE(A213),"")))</f>
        <v/>
      </c>
      <c r="I213">
        <f>IF(H213="","",INT((H213-SAT1)/7)+1)</f>
        <v/>
      </c>
      <c r="J213">
        <f>IF(I213="","",IF(OR(I213&lt;1,I213&gt;NW),"",INDEX(WMON,I213)))</f>
        <v/>
      </c>
    </row>
    <row r="214">
      <c r="A214" s="48" t="n"/>
      <c r="B214" s="22" t="n"/>
      <c r="C214" s="50" t="n"/>
      <c r="D214" s="49" t="n"/>
      <c r="E214" s="50" t="n"/>
      <c r="G214">
        <f>IF(AND(B214&lt;&gt;"",COUNTIF(B$6:B214,B214)=1),MAX(G$5:G213)+1,"")</f>
        <v/>
      </c>
      <c r="H214">
        <f>IF(A214="","",IF(ISNUMBER(A214),IF(A214&lt;=31,"",IF(A214&lt;=3112,IF(DATE(YR,MOD(A214,100),INT(A214/100))&gt;SAT1+7*NW-1,DATE(YR-1,MOD(A214,100),INT(A214/100)),DATE(YR,MOD(A214,100),INT(A214/100))),A214)),IFERROR(DATEVALUE(A214),"")))</f>
        <v/>
      </c>
      <c r="I214">
        <f>IF(H214="","",INT((H214-SAT1)/7)+1)</f>
        <v/>
      </c>
      <c r="J214">
        <f>IF(I214="","",IF(OR(I214&lt;1,I214&gt;NW),"",INDEX(WMON,I214)))</f>
        <v/>
      </c>
    </row>
    <row r="215">
      <c r="A215" s="48" t="n"/>
      <c r="B215" s="22" t="n"/>
      <c r="C215" s="50" t="n"/>
      <c r="D215" s="49" t="n"/>
      <c r="E215" s="50" t="n"/>
      <c r="G215">
        <f>IF(AND(B215&lt;&gt;"",COUNTIF(B$6:B215,B215)=1),MAX(G$5:G214)+1,"")</f>
        <v/>
      </c>
      <c r="H215">
        <f>IF(A215="","",IF(ISNUMBER(A215),IF(A215&lt;=31,"",IF(A215&lt;=3112,IF(DATE(YR,MOD(A215,100),INT(A215/100))&gt;SAT1+7*NW-1,DATE(YR-1,MOD(A215,100),INT(A215/100)),DATE(YR,MOD(A215,100),INT(A215/100))),A215)),IFERROR(DATEVALUE(A215),"")))</f>
        <v/>
      </c>
      <c r="I215">
        <f>IF(H215="","",INT((H215-SAT1)/7)+1)</f>
        <v/>
      </c>
      <c r="J215">
        <f>IF(I215="","",IF(OR(I215&lt;1,I215&gt;NW),"",INDEX(WMON,I215)))</f>
        <v/>
      </c>
    </row>
    <row r="216">
      <c r="A216" s="48" t="n"/>
      <c r="B216" s="22" t="n"/>
      <c r="C216" s="50" t="n"/>
      <c r="D216" s="49" t="n"/>
      <c r="E216" s="50" t="n"/>
      <c r="G216">
        <f>IF(AND(B216&lt;&gt;"",COUNTIF(B$6:B216,B216)=1),MAX(G$5:G215)+1,"")</f>
        <v/>
      </c>
      <c r="H216">
        <f>IF(A216="","",IF(ISNUMBER(A216),IF(A216&lt;=31,"",IF(A216&lt;=3112,IF(DATE(YR,MOD(A216,100),INT(A216/100))&gt;SAT1+7*NW-1,DATE(YR-1,MOD(A216,100),INT(A216/100)),DATE(YR,MOD(A216,100),INT(A216/100))),A216)),IFERROR(DATEVALUE(A216),"")))</f>
        <v/>
      </c>
      <c r="I216">
        <f>IF(H216="","",INT((H216-SAT1)/7)+1)</f>
        <v/>
      </c>
      <c r="J216">
        <f>IF(I216="","",IF(OR(I216&lt;1,I216&gt;NW),"",INDEX(WMON,I216)))</f>
        <v/>
      </c>
    </row>
    <row r="217">
      <c r="A217" s="48" t="n"/>
      <c r="B217" s="22" t="n"/>
      <c r="C217" s="50" t="n"/>
      <c r="D217" s="49" t="n"/>
      <c r="E217" s="50" t="n"/>
      <c r="G217">
        <f>IF(AND(B217&lt;&gt;"",COUNTIF(B$6:B217,B217)=1),MAX(G$5:G216)+1,"")</f>
        <v/>
      </c>
      <c r="H217">
        <f>IF(A217="","",IF(ISNUMBER(A217),IF(A217&lt;=31,"",IF(A217&lt;=3112,IF(DATE(YR,MOD(A217,100),INT(A217/100))&gt;SAT1+7*NW-1,DATE(YR-1,MOD(A217,100),INT(A217/100)),DATE(YR,MOD(A217,100),INT(A217/100))),A217)),IFERROR(DATEVALUE(A217),"")))</f>
        <v/>
      </c>
      <c r="I217">
        <f>IF(H217="","",INT((H217-SAT1)/7)+1)</f>
        <v/>
      </c>
      <c r="J217">
        <f>IF(I217="","",IF(OR(I217&lt;1,I217&gt;NW),"",INDEX(WMON,I217)))</f>
        <v/>
      </c>
    </row>
    <row r="218">
      <c r="A218" s="48" t="n"/>
      <c r="B218" s="22" t="n"/>
      <c r="C218" s="50" t="n"/>
      <c r="D218" s="49" t="n"/>
      <c r="E218" s="50" t="n"/>
      <c r="G218">
        <f>IF(AND(B218&lt;&gt;"",COUNTIF(B$6:B218,B218)=1),MAX(G$5:G217)+1,"")</f>
        <v/>
      </c>
      <c r="H218">
        <f>IF(A218="","",IF(ISNUMBER(A218),IF(A218&lt;=31,"",IF(A218&lt;=3112,IF(DATE(YR,MOD(A218,100),INT(A218/100))&gt;SAT1+7*NW-1,DATE(YR-1,MOD(A218,100),INT(A218/100)),DATE(YR,MOD(A218,100),INT(A218/100))),A218)),IFERROR(DATEVALUE(A218),"")))</f>
        <v/>
      </c>
      <c r="I218">
        <f>IF(H218="","",INT((H218-SAT1)/7)+1)</f>
        <v/>
      </c>
      <c r="J218">
        <f>IF(I218="","",IF(OR(I218&lt;1,I218&gt;NW),"",INDEX(WMON,I218)))</f>
        <v/>
      </c>
    </row>
    <row r="219">
      <c r="A219" s="48" t="n"/>
      <c r="B219" s="22" t="n"/>
      <c r="C219" s="50" t="n"/>
      <c r="D219" s="49" t="n"/>
      <c r="E219" s="50" t="n"/>
      <c r="G219">
        <f>IF(AND(B219&lt;&gt;"",COUNTIF(B$6:B219,B219)=1),MAX(G$5:G218)+1,"")</f>
        <v/>
      </c>
      <c r="H219">
        <f>IF(A219="","",IF(ISNUMBER(A219),IF(A219&lt;=31,"",IF(A219&lt;=3112,IF(DATE(YR,MOD(A219,100),INT(A219/100))&gt;SAT1+7*NW-1,DATE(YR-1,MOD(A219,100),INT(A219/100)),DATE(YR,MOD(A219,100),INT(A219/100))),A219)),IFERROR(DATEVALUE(A219),"")))</f>
        <v/>
      </c>
      <c r="I219">
        <f>IF(H219="","",INT((H219-SAT1)/7)+1)</f>
        <v/>
      </c>
      <c r="J219">
        <f>IF(I219="","",IF(OR(I219&lt;1,I219&gt;NW),"",INDEX(WMON,I219)))</f>
        <v/>
      </c>
    </row>
    <row r="220">
      <c r="A220" s="48" t="n"/>
      <c r="B220" s="22" t="n"/>
      <c r="C220" s="50" t="n"/>
      <c r="D220" s="49" t="n"/>
      <c r="E220" s="50" t="n"/>
      <c r="G220">
        <f>IF(AND(B220&lt;&gt;"",COUNTIF(B$6:B220,B220)=1),MAX(G$5:G219)+1,"")</f>
        <v/>
      </c>
      <c r="H220">
        <f>IF(A220="","",IF(ISNUMBER(A220),IF(A220&lt;=31,"",IF(A220&lt;=3112,IF(DATE(YR,MOD(A220,100),INT(A220/100))&gt;SAT1+7*NW-1,DATE(YR-1,MOD(A220,100),INT(A220/100)),DATE(YR,MOD(A220,100),INT(A220/100))),A220)),IFERROR(DATEVALUE(A220),"")))</f>
        <v/>
      </c>
      <c r="I220">
        <f>IF(H220="","",INT((H220-SAT1)/7)+1)</f>
        <v/>
      </c>
      <c r="J220">
        <f>IF(I220="","",IF(OR(I220&lt;1,I220&gt;NW),"",INDEX(WMON,I220)))</f>
        <v/>
      </c>
    </row>
    <row r="221">
      <c r="A221" s="48" t="n"/>
      <c r="B221" s="22" t="n"/>
      <c r="C221" s="50" t="n"/>
      <c r="D221" s="49" t="n"/>
      <c r="E221" s="50" t="n"/>
      <c r="G221">
        <f>IF(AND(B221&lt;&gt;"",COUNTIF(B$6:B221,B221)=1),MAX(G$5:G220)+1,"")</f>
        <v/>
      </c>
      <c r="H221">
        <f>IF(A221="","",IF(ISNUMBER(A221),IF(A221&lt;=31,"",IF(A221&lt;=3112,IF(DATE(YR,MOD(A221,100),INT(A221/100))&gt;SAT1+7*NW-1,DATE(YR-1,MOD(A221,100),INT(A221/100)),DATE(YR,MOD(A221,100),INT(A221/100))),A221)),IFERROR(DATEVALUE(A221),"")))</f>
        <v/>
      </c>
      <c r="I221">
        <f>IF(H221="","",INT((H221-SAT1)/7)+1)</f>
        <v/>
      </c>
      <c r="J221">
        <f>IF(I221="","",IF(OR(I221&lt;1,I221&gt;NW),"",INDEX(WMON,I221)))</f>
        <v/>
      </c>
    </row>
    <row r="222">
      <c r="A222" s="48" t="n"/>
      <c r="B222" s="22" t="n"/>
      <c r="C222" s="50" t="n"/>
      <c r="D222" s="49" t="n"/>
      <c r="E222" s="50" t="n"/>
      <c r="G222">
        <f>IF(AND(B222&lt;&gt;"",COUNTIF(B$6:B222,B222)=1),MAX(G$5:G221)+1,"")</f>
        <v/>
      </c>
      <c r="H222">
        <f>IF(A222="","",IF(ISNUMBER(A222),IF(A222&lt;=31,"",IF(A222&lt;=3112,IF(DATE(YR,MOD(A222,100),INT(A222/100))&gt;SAT1+7*NW-1,DATE(YR-1,MOD(A222,100),INT(A222/100)),DATE(YR,MOD(A222,100),INT(A222/100))),A222)),IFERROR(DATEVALUE(A222),"")))</f>
        <v/>
      </c>
      <c r="I222">
        <f>IF(H222="","",INT((H222-SAT1)/7)+1)</f>
        <v/>
      </c>
      <c r="J222">
        <f>IF(I222="","",IF(OR(I222&lt;1,I222&gt;NW),"",INDEX(WMON,I222)))</f>
        <v/>
      </c>
    </row>
    <row r="223">
      <c r="A223" s="48" t="n"/>
      <c r="B223" s="22" t="n"/>
      <c r="C223" s="50" t="n"/>
      <c r="D223" s="49" t="n"/>
      <c r="E223" s="50" t="n"/>
      <c r="G223">
        <f>IF(AND(B223&lt;&gt;"",COUNTIF(B$6:B223,B223)=1),MAX(G$5:G222)+1,"")</f>
        <v/>
      </c>
      <c r="H223">
        <f>IF(A223="","",IF(ISNUMBER(A223),IF(A223&lt;=31,"",IF(A223&lt;=3112,IF(DATE(YR,MOD(A223,100),INT(A223/100))&gt;SAT1+7*NW-1,DATE(YR-1,MOD(A223,100),INT(A223/100)),DATE(YR,MOD(A223,100),INT(A223/100))),A223)),IFERROR(DATEVALUE(A223),"")))</f>
        <v/>
      </c>
      <c r="I223">
        <f>IF(H223="","",INT((H223-SAT1)/7)+1)</f>
        <v/>
      </c>
      <c r="J223">
        <f>IF(I223="","",IF(OR(I223&lt;1,I223&gt;NW),"",INDEX(WMON,I223)))</f>
        <v/>
      </c>
    </row>
    <row r="224">
      <c r="A224" s="48" t="n"/>
      <c r="B224" s="22" t="n"/>
      <c r="C224" s="50" t="n"/>
      <c r="D224" s="49" t="n"/>
      <c r="E224" s="50" t="n"/>
      <c r="G224">
        <f>IF(AND(B224&lt;&gt;"",COUNTIF(B$6:B224,B224)=1),MAX(G$5:G223)+1,"")</f>
        <v/>
      </c>
      <c r="H224">
        <f>IF(A224="","",IF(ISNUMBER(A224),IF(A224&lt;=31,"",IF(A224&lt;=3112,IF(DATE(YR,MOD(A224,100),INT(A224/100))&gt;SAT1+7*NW-1,DATE(YR-1,MOD(A224,100),INT(A224/100)),DATE(YR,MOD(A224,100),INT(A224/100))),A224)),IFERROR(DATEVALUE(A224),"")))</f>
        <v/>
      </c>
      <c r="I224">
        <f>IF(H224="","",INT((H224-SAT1)/7)+1)</f>
        <v/>
      </c>
      <c r="J224">
        <f>IF(I224="","",IF(OR(I224&lt;1,I224&gt;NW),"",INDEX(WMON,I224)))</f>
        <v/>
      </c>
    </row>
    <row r="225">
      <c r="A225" s="48" t="n"/>
      <c r="B225" s="22" t="n"/>
      <c r="C225" s="50" t="n"/>
      <c r="D225" s="49" t="n"/>
      <c r="E225" s="50" t="n"/>
      <c r="G225">
        <f>IF(AND(B225&lt;&gt;"",COUNTIF(B$6:B225,B225)=1),MAX(G$5:G224)+1,"")</f>
        <v/>
      </c>
      <c r="H225">
        <f>IF(A225="","",IF(ISNUMBER(A225),IF(A225&lt;=31,"",IF(A225&lt;=3112,IF(DATE(YR,MOD(A225,100),INT(A225/100))&gt;SAT1+7*NW-1,DATE(YR-1,MOD(A225,100),INT(A225/100)),DATE(YR,MOD(A225,100),INT(A225/100))),A225)),IFERROR(DATEVALUE(A225),"")))</f>
        <v/>
      </c>
      <c r="I225">
        <f>IF(H225="","",INT((H225-SAT1)/7)+1)</f>
        <v/>
      </c>
      <c r="J225">
        <f>IF(I225="","",IF(OR(I225&lt;1,I225&gt;NW),"",INDEX(WMON,I225)))</f>
        <v/>
      </c>
    </row>
    <row r="226">
      <c r="A226" s="48" t="n"/>
      <c r="B226" s="22" t="n"/>
      <c r="C226" s="50" t="n"/>
      <c r="D226" s="49" t="n"/>
      <c r="E226" s="50" t="n"/>
      <c r="G226">
        <f>IF(AND(B226&lt;&gt;"",COUNTIF(B$6:B226,B226)=1),MAX(G$5:G225)+1,"")</f>
        <v/>
      </c>
      <c r="H226">
        <f>IF(A226="","",IF(ISNUMBER(A226),IF(A226&lt;=31,"",IF(A226&lt;=3112,IF(DATE(YR,MOD(A226,100),INT(A226/100))&gt;SAT1+7*NW-1,DATE(YR-1,MOD(A226,100),INT(A226/100)),DATE(YR,MOD(A226,100),INT(A226/100))),A226)),IFERROR(DATEVALUE(A226),"")))</f>
        <v/>
      </c>
      <c r="I226">
        <f>IF(H226="","",INT((H226-SAT1)/7)+1)</f>
        <v/>
      </c>
      <c r="J226">
        <f>IF(I226="","",IF(OR(I226&lt;1,I226&gt;NW),"",INDEX(WMON,I226)))</f>
        <v/>
      </c>
    </row>
    <row r="227">
      <c r="A227" s="48" t="n"/>
      <c r="B227" s="22" t="n"/>
      <c r="C227" s="50" t="n"/>
      <c r="D227" s="49" t="n"/>
      <c r="E227" s="50" t="n"/>
      <c r="G227">
        <f>IF(AND(B227&lt;&gt;"",COUNTIF(B$6:B227,B227)=1),MAX(G$5:G226)+1,"")</f>
        <v/>
      </c>
      <c r="H227">
        <f>IF(A227="","",IF(ISNUMBER(A227),IF(A227&lt;=31,"",IF(A227&lt;=3112,IF(DATE(YR,MOD(A227,100),INT(A227/100))&gt;SAT1+7*NW-1,DATE(YR-1,MOD(A227,100),INT(A227/100)),DATE(YR,MOD(A227,100),INT(A227/100))),A227)),IFERROR(DATEVALUE(A227),"")))</f>
        <v/>
      </c>
      <c r="I227">
        <f>IF(H227="","",INT((H227-SAT1)/7)+1)</f>
        <v/>
      </c>
      <c r="J227">
        <f>IF(I227="","",IF(OR(I227&lt;1,I227&gt;NW),"",INDEX(WMON,I227)))</f>
        <v/>
      </c>
    </row>
    <row r="228">
      <c r="A228" s="48" t="n"/>
      <c r="B228" s="22" t="n"/>
      <c r="C228" s="50" t="n"/>
      <c r="D228" s="49" t="n"/>
      <c r="E228" s="50" t="n"/>
      <c r="G228">
        <f>IF(AND(B228&lt;&gt;"",COUNTIF(B$6:B228,B228)=1),MAX(G$5:G227)+1,"")</f>
        <v/>
      </c>
      <c r="H228">
        <f>IF(A228="","",IF(ISNUMBER(A228),IF(A228&lt;=31,"",IF(A228&lt;=3112,IF(DATE(YR,MOD(A228,100),INT(A228/100))&gt;SAT1+7*NW-1,DATE(YR-1,MOD(A228,100),INT(A228/100)),DATE(YR,MOD(A228,100),INT(A228/100))),A228)),IFERROR(DATEVALUE(A228),"")))</f>
        <v/>
      </c>
      <c r="I228">
        <f>IF(H228="","",INT((H228-SAT1)/7)+1)</f>
        <v/>
      </c>
      <c r="J228">
        <f>IF(I228="","",IF(OR(I228&lt;1,I228&gt;NW),"",INDEX(WMON,I228)))</f>
        <v/>
      </c>
    </row>
    <row r="229">
      <c r="A229" s="48" t="n"/>
      <c r="B229" s="22" t="n"/>
      <c r="C229" s="50" t="n"/>
      <c r="D229" s="49" t="n"/>
      <c r="E229" s="50" t="n"/>
      <c r="G229">
        <f>IF(AND(B229&lt;&gt;"",COUNTIF(B$6:B229,B229)=1),MAX(G$5:G228)+1,"")</f>
        <v/>
      </c>
      <c r="H229">
        <f>IF(A229="","",IF(ISNUMBER(A229),IF(A229&lt;=31,"",IF(A229&lt;=3112,IF(DATE(YR,MOD(A229,100),INT(A229/100))&gt;SAT1+7*NW-1,DATE(YR-1,MOD(A229,100),INT(A229/100)),DATE(YR,MOD(A229,100),INT(A229/100))),A229)),IFERROR(DATEVALUE(A229),"")))</f>
        <v/>
      </c>
      <c r="I229">
        <f>IF(H229="","",INT((H229-SAT1)/7)+1)</f>
        <v/>
      </c>
      <c r="J229">
        <f>IF(I229="","",IF(OR(I229&lt;1,I229&gt;NW),"",INDEX(WMON,I229)))</f>
        <v/>
      </c>
    </row>
    <row r="230">
      <c r="A230" s="48" t="n"/>
      <c r="B230" s="22" t="n"/>
      <c r="C230" s="50" t="n"/>
      <c r="D230" s="49" t="n"/>
      <c r="E230" s="50" t="n"/>
      <c r="G230">
        <f>IF(AND(B230&lt;&gt;"",COUNTIF(B$6:B230,B230)=1),MAX(G$5:G229)+1,"")</f>
        <v/>
      </c>
      <c r="H230">
        <f>IF(A230="","",IF(ISNUMBER(A230),IF(A230&lt;=31,"",IF(A230&lt;=3112,IF(DATE(YR,MOD(A230,100),INT(A230/100))&gt;SAT1+7*NW-1,DATE(YR-1,MOD(A230,100),INT(A230/100)),DATE(YR,MOD(A230,100),INT(A230/100))),A230)),IFERROR(DATEVALUE(A230),"")))</f>
        <v/>
      </c>
      <c r="I230">
        <f>IF(H230="","",INT((H230-SAT1)/7)+1)</f>
        <v/>
      </c>
      <c r="J230">
        <f>IF(I230="","",IF(OR(I230&lt;1,I230&gt;NW),"",INDEX(WMON,I230)))</f>
        <v/>
      </c>
    </row>
    <row r="231">
      <c r="A231" s="48" t="n"/>
      <c r="B231" s="22" t="n"/>
      <c r="C231" s="50" t="n"/>
      <c r="D231" s="49" t="n"/>
      <c r="E231" s="50" t="n"/>
      <c r="G231">
        <f>IF(AND(B231&lt;&gt;"",COUNTIF(B$6:B231,B231)=1),MAX(G$5:G230)+1,"")</f>
        <v/>
      </c>
      <c r="H231">
        <f>IF(A231="","",IF(ISNUMBER(A231),IF(A231&lt;=31,"",IF(A231&lt;=3112,IF(DATE(YR,MOD(A231,100),INT(A231/100))&gt;SAT1+7*NW-1,DATE(YR-1,MOD(A231,100),INT(A231/100)),DATE(YR,MOD(A231,100),INT(A231/100))),A231)),IFERROR(DATEVALUE(A231),"")))</f>
        <v/>
      </c>
      <c r="I231">
        <f>IF(H231="","",INT((H231-SAT1)/7)+1)</f>
        <v/>
      </c>
      <c r="J231">
        <f>IF(I231="","",IF(OR(I231&lt;1,I231&gt;NW),"",INDEX(WMON,I231)))</f>
        <v/>
      </c>
    </row>
    <row r="232">
      <c r="A232" s="48" t="n"/>
      <c r="B232" s="22" t="n"/>
      <c r="C232" s="50" t="n"/>
      <c r="D232" s="49" t="n"/>
      <c r="E232" s="50" t="n"/>
      <c r="G232">
        <f>IF(AND(B232&lt;&gt;"",COUNTIF(B$6:B232,B232)=1),MAX(G$5:G231)+1,"")</f>
        <v/>
      </c>
      <c r="H232">
        <f>IF(A232="","",IF(ISNUMBER(A232),IF(A232&lt;=31,"",IF(A232&lt;=3112,IF(DATE(YR,MOD(A232,100),INT(A232/100))&gt;SAT1+7*NW-1,DATE(YR-1,MOD(A232,100),INT(A232/100)),DATE(YR,MOD(A232,100),INT(A232/100))),A232)),IFERROR(DATEVALUE(A232),"")))</f>
        <v/>
      </c>
      <c r="I232">
        <f>IF(H232="","",INT((H232-SAT1)/7)+1)</f>
        <v/>
      </c>
      <c r="J232">
        <f>IF(I232="","",IF(OR(I232&lt;1,I232&gt;NW),"",INDEX(WMON,I232)))</f>
        <v/>
      </c>
    </row>
    <row r="233">
      <c r="A233" s="48" t="n"/>
      <c r="B233" s="22" t="n"/>
      <c r="C233" s="50" t="n"/>
      <c r="D233" s="49" t="n"/>
      <c r="E233" s="50" t="n"/>
      <c r="G233">
        <f>IF(AND(B233&lt;&gt;"",COUNTIF(B$6:B233,B233)=1),MAX(G$5:G232)+1,"")</f>
        <v/>
      </c>
      <c r="H233">
        <f>IF(A233="","",IF(ISNUMBER(A233),IF(A233&lt;=31,"",IF(A233&lt;=3112,IF(DATE(YR,MOD(A233,100),INT(A233/100))&gt;SAT1+7*NW-1,DATE(YR-1,MOD(A233,100),INT(A233/100)),DATE(YR,MOD(A233,100),INT(A233/100))),A233)),IFERROR(DATEVALUE(A233),"")))</f>
        <v/>
      </c>
      <c r="I233">
        <f>IF(H233="","",INT((H233-SAT1)/7)+1)</f>
        <v/>
      </c>
      <c r="J233">
        <f>IF(I233="","",IF(OR(I233&lt;1,I233&gt;NW),"",INDEX(WMON,I233)))</f>
        <v/>
      </c>
    </row>
    <row r="234">
      <c r="A234" s="48" t="n"/>
      <c r="B234" s="22" t="n"/>
      <c r="C234" s="50" t="n"/>
      <c r="D234" s="49" t="n"/>
      <c r="E234" s="50" t="n"/>
      <c r="G234">
        <f>IF(AND(B234&lt;&gt;"",COUNTIF(B$6:B234,B234)=1),MAX(G$5:G233)+1,"")</f>
        <v/>
      </c>
      <c r="H234">
        <f>IF(A234="","",IF(ISNUMBER(A234),IF(A234&lt;=31,"",IF(A234&lt;=3112,IF(DATE(YR,MOD(A234,100),INT(A234/100))&gt;SAT1+7*NW-1,DATE(YR-1,MOD(A234,100),INT(A234/100)),DATE(YR,MOD(A234,100),INT(A234/100))),A234)),IFERROR(DATEVALUE(A234),"")))</f>
        <v/>
      </c>
      <c r="I234">
        <f>IF(H234="","",INT((H234-SAT1)/7)+1)</f>
        <v/>
      </c>
      <c r="J234">
        <f>IF(I234="","",IF(OR(I234&lt;1,I234&gt;NW),"",INDEX(WMON,I234)))</f>
        <v/>
      </c>
    </row>
    <row r="235">
      <c r="A235" s="48" t="n"/>
      <c r="B235" s="22" t="n"/>
      <c r="C235" s="50" t="n"/>
      <c r="D235" s="49" t="n"/>
      <c r="E235" s="50" t="n"/>
      <c r="G235">
        <f>IF(AND(B235&lt;&gt;"",COUNTIF(B$6:B235,B235)=1),MAX(G$5:G234)+1,"")</f>
        <v/>
      </c>
      <c r="H235">
        <f>IF(A235="","",IF(ISNUMBER(A235),IF(A235&lt;=31,"",IF(A235&lt;=3112,IF(DATE(YR,MOD(A235,100),INT(A235/100))&gt;SAT1+7*NW-1,DATE(YR-1,MOD(A235,100),INT(A235/100)),DATE(YR,MOD(A235,100),INT(A235/100))),A235)),IFERROR(DATEVALUE(A235),"")))</f>
        <v/>
      </c>
      <c r="I235">
        <f>IF(H235="","",INT((H235-SAT1)/7)+1)</f>
        <v/>
      </c>
      <c r="J235">
        <f>IF(I235="","",IF(OR(I235&lt;1,I235&gt;NW),"",INDEX(WMON,I235)))</f>
        <v/>
      </c>
    </row>
    <row r="236">
      <c r="A236" s="48" t="n"/>
      <c r="B236" s="22" t="n"/>
      <c r="C236" s="50" t="n"/>
      <c r="D236" s="49" t="n"/>
      <c r="E236" s="50" t="n"/>
      <c r="G236">
        <f>IF(AND(B236&lt;&gt;"",COUNTIF(B$6:B236,B236)=1),MAX(G$5:G235)+1,"")</f>
        <v/>
      </c>
      <c r="H236">
        <f>IF(A236="","",IF(ISNUMBER(A236),IF(A236&lt;=31,"",IF(A236&lt;=3112,IF(DATE(YR,MOD(A236,100),INT(A236/100))&gt;SAT1+7*NW-1,DATE(YR-1,MOD(A236,100),INT(A236/100)),DATE(YR,MOD(A236,100),INT(A236/100))),A236)),IFERROR(DATEVALUE(A236),"")))</f>
        <v/>
      </c>
      <c r="I236">
        <f>IF(H236="","",INT((H236-SAT1)/7)+1)</f>
        <v/>
      </c>
      <c r="J236">
        <f>IF(I236="","",IF(OR(I236&lt;1,I236&gt;NW),"",INDEX(WMON,I236)))</f>
        <v/>
      </c>
    </row>
    <row r="237">
      <c r="A237" s="48" t="n"/>
      <c r="B237" s="22" t="n"/>
      <c r="C237" s="50" t="n"/>
      <c r="D237" s="49" t="n"/>
      <c r="E237" s="50" t="n"/>
      <c r="G237">
        <f>IF(AND(B237&lt;&gt;"",COUNTIF(B$6:B237,B237)=1),MAX(G$5:G236)+1,"")</f>
        <v/>
      </c>
      <c r="H237">
        <f>IF(A237="","",IF(ISNUMBER(A237),IF(A237&lt;=31,"",IF(A237&lt;=3112,IF(DATE(YR,MOD(A237,100),INT(A237/100))&gt;SAT1+7*NW-1,DATE(YR-1,MOD(A237,100),INT(A237/100)),DATE(YR,MOD(A237,100),INT(A237/100))),A237)),IFERROR(DATEVALUE(A237),"")))</f>
        <v/>
      </c>
      <c r="I237">
        <f>IF(H237="","",INT((H237-SAT1)/7)+1)</f>
        <v/>
      </c>
      <c r="J237">
        <f>IF(I237="","",IF(OR(I237&lt;1,I237&gt;NW),"",INDEX(WMON,I237)))</f>
        <v/>
      </c>
    </row>
    <row r="238">
      <c r="A238" s="48" t="n"/>
      <c r="B238" s="22" t="n"/>
      <c r="C238" s="50" t="n"/>
      <c r="D238" s="49" t="n"/>
      <c r="E238" s="50" t="n"/>
      <c r="G238">
        <f>IF(AND(B238&lt;&gt;"",COUNTIF(B$6:B238,B238)=1),MAX(G$5:G237)+1,"")</f>
        <v/>
      </c>
      <c r="H238">
        <f>IF(A238="","",IF(ISNUMBER(A238),IF(A238&lt;=31,"",IF(A238&lt;=3112,IF(DATE(YR,MOD(A238,100),INT(A238/100))&gt;SAT1+7*NW-1,DATE(YR-1,MOD(A238,100),INT(A238/100)),DATE(YR,MOD(A238,100),INT(A238/100))),A238)),IFERROR(DATEVALUE(A238),"")))</f>
        <v/>
      </c>
      <c r="I238">
        <f>IF(H238="","",INT((H238-SAT1)/7)+1)</f>
        <v/>
      </c>
      <c r="J238">
        <f>IF(I238="","",IF(OR(I238&lt;1,I238&gt;NW),"",INDEX(WMON,I238)))</f>
        <v/>
      </c>
    </row>
    <row r="239">
      <c r="A239" s="48" t="n"/>
      <c r="B239" s="22" t="n"/>
      <c r="C239" s="50" t="n"/>
      <c r="D239" s="49" t="n"/>
      <c r="E239" s="50" t="n"/>
      <c r="G239">
        <f>IF(AND(B239&lt;&gt;"",COUNTIF(B$6:B239,B239)=1),MAX(G$5:G238)+1,"")</f>
        <v/>
      </c>
      <c r="H239">
        <f>IF(A239="","",IF(ISNUMBER(A239),IF(A239&lt;=31,"",IF(A239&lt;=3112,IF(DATE(YR,MOD(A239,100),INT(A239/100))&gt;SAT1+7*NW-1,DATE(YR-1,MOD(A239,100),INT(A239/100)),DATE(YR,MOD(A239,100),INT(A239/100))),A239)),IFERROR(DATEVALUE(A239),"")))</f>
        <v/>
      </c>
      <c r="I239">
        <f>IF(H239="","",INT((H239-SAT1)/7)+1)</f>
        <v/>
      </c>
      <c r="J239">
        <f>IF(I239="","",IF(OR(I239&lt;1,I239&gt;NW),"",INDEX(WMON,I239)))</f>
        <v/>
      </c>
    </row>
    <row r="240">
      <c r="A240" s="48" t="n"/>
      <c r="B240" s="22" t="n"/>
      <c r="C240" s="50" t="n"/>
      <c r="D240" s="49" t="n"/>
      <c r="E240" s="50" t="n"/>
      <c r="G240">
        <f>IF(AND(B240&lt;&gt;"",COUNTIF(B$6:B240,B240)=1),MAX(G$5:G239)+1,"")</f>
        <v/>
      </c>
      <c r="H240">
        <f>IF(A240="","",IF(ISNUMBER(A240),IF(A240&lt;=31,"",IF(A240&lt;=3112,IF(DATE(YR,MOD(A240,100),INT(A240/100))&gt;SAT1+7*NW-1,DATE(YR-1,MOD(A240,100),INT(A240/100)),DATE(YR,MOD(A240,100),INT(A240/100))),A240)),IFERROR(DATEVALUE(A240),"")))</f>
        <v/>
      </c>
      <c r="I240">
        <f>IF(H240="","",INT((H240-SAT1)/7)+1)</f>
        <v/>
      </c>
      <c r="J240">
        <f>IF(I240="","",IF(OR(I240&lt;1,I240&gt;NW),"",INDEX(WMON,I240)))</f>
        <v/>
      </c>
    </row>
    <row r="241">
      <c r="A241" s="48" t="n"/>
      <c r="B241" s="22" t="n"/>
      <c r="C241" s="50" t="n"/>
      <c r="D241" s="49" t="n"/>
      <c r="E241" s="50" t="n"/>
      <c r="G241">
        <f>IF(AND(B241&lt;&gt;"",COUNTIF(B$6:B241,B241)=1),MAX(G$5:G240)+1,"")</f>
        <v/>
      </c>
      <c r="H241">
        <f>IF(A241="","",IF(ISNUMBER(A241),IF(A241&lt;=31,"",IF(A241&lt;=3112,IF(DATE(YR,MOD(A241,100),INT(A241/100))&gt;SAT1+7*NW-1,DATE(YR-1,MOD(A241,100),INT(A241/100)),DATE(YR,MOD(A241,100),INT(A241/100))),A241)),IFERROR(DATEVALUE(A241),"")))</f>
        <v/>
      </c>
      <c r="I241">
        <f>IF(H241="","",INT((H241-SAT1)/7)+1)</f>
        <v/>
      </c>
      <c r="J241">
        <f>IF(I241="","",IF(OR(I241&lt;1,I241&gt;NW),"",INDEX(WMON,I241)))</f>
        <v/>
      </c>
    </row>
    <row r="242">
      <c r="A242" s="48" t="n"/>
      <c r="B242" s="22" t="n"/>
      <c r="C242" s="50" t="n"/>
      <c r="D242" s="49" t="n"/>
      <c r="E242" s="50" t="n"/>
      <c r="G242">
        <f>IF(AND(B242&lt;&gt;"",COUNTIF(B$6:B242,B242)=1),MAX(G$5:G241)+1,"")</f>
        <v/>
      </c>
      <c r="H242">
        <f>IF(A242="","",IF(ISNUMBER(A242),IF(A242&lt;=31,"",IF(A242&lt;=3112,IF(DATE(YR,MOD(A242,100),INT(A242/100))&gt;SAT1+7*NW-1,DATE(YR-1,MOD(A242,100),INT(A242/100)),DATE(YR,MOD(A242,100),INT(A242/100))),A242)),IFERROR(DATEVALUE(A242),"")))</f>
        <v/>
      </c>
      <c r="I242">
        <f>IF(H242="","",INT((H242-SAT1)/7)+1)</f>
        <v/>
      </c>
      <c r="J242">
        <f>IF(I242="","",IF(OR(I242&lt;1,I242&gt;NW),"",INDEX(WMON,I242)))</f>
        <v/>
      </c>
    </row>
    <row r="243">
      <c r="A243" s="48" t="n"/>
      <c r="B243" s="22" t="n"/>
      <c r="C243" s="50" t="n"/>
      <c r="D243" s="49" t="n"/>
      <c r="E243" s="50" t="n"/>
      <c r="G243">
        <f>IF(AND(B243&lt;&gt;"",COUNTIF(B$6:B243,B243)=1),MAX(G$5:G242)+1,"")</f>
        <v/>
      </c>
      <c r="H243">
        <f>IF(A243="","",IF(ISNUMBER(A243),IF(A243&lt;=31,"",IF(A243&lt;=3112,IF(DATE(YR,MOD(A243,100),INT(A243/100))&gt;SAT1+7*NW-1,DATE(YR-1,MOD(A243,100),INT(A243/100)),DATE(YR,MOD(A243,100),INT(A243/100))),A243)),IFERROR(DATEVALUE(A243),"")))</f>
        <v/>
      </c>
      <c r="I243">
        <f>IF(H243="","",INT((H243-SAT1)/7)+1)</f>
        <v/>
      </c>
      <c r="J243">
        <f>IF(I243="","",IF(OR(I243&lt;1,I243&gt;NW),"",INDEX(WMON,I243)))</f>
        <v/>
      </c>
    </row>
    <row r="244">
      <c r="A244" s="48" t="n"/>
      <c r="B244" s="22" t="n"/>
      <c r="C244" s="50" t="n"/>
      <c r="D244" s="49" t="n"/>
      <c r="E244" s="50" t="n"/>
      <c r="G244">
        <f>IF(AND(B244&lt;&gt;"",COUNTIF(B$6:B244,B244)=1),MAX(G$5:G243)+1,"")</f>
        <v/>
      </c>
      <c r="H244">
        <f>IF(A244="","",IF(ISNUMBER(A244),IF(A244&lt;=31,"",IF(A244&lt;=3112,IF(DATE(YR,MOD(A244,100),INT(A244/100))&gt;SAT1+7*NW-1,DATE(YR-1,MOD(A244,100),INT(A244/100)),DATE(YR,MOD(A244,100),INT(A244/100))),A244)),IFERROR(DATEVALUE(A244),"")))</f>
        <v/>
      </c>
      <c r="I244">
        <f>IF(H244="","",INT((H244-SAT1)/7)+1)</f>
        <v/>
      </c>
      <c r="J244">
        <f>IF(I244="","",IF(OR(I244&lt;1,I244&gt;NW),"",INDEX(WMON,I244)))</f>
        <v/>
      </c>
    </row>
    <row r="245">
      <c r="A245" s="48" t="n"/>
      <c r="B245" s="22" t="n"/>
      <c r="C245" s="50" t="n"/>
      <c r="D245" s="49" t="n"/>
      <c r="E245" s="50" t="n"/>
      <c r="G245">
        <f>IF(AND(B245&lt;&gt;"",COUNTIF(B$6:B245,B245)=1),MAX(G$5:G244)+1,"")</f>
        <v/>
      </c>
      <c r="H245">
        <f>IF(A245="","",IF(ISNUMBER(A245),IF(A245&lt;=31,"",IF(A245&lt;=3112,IF(DATE(YR,MOD(A245,100),INT(A245/100))&gt;SAT1+7*NW-1,DATE(YR-1,MOD(A245,100),INT(A245/100)),DATE(YR,MOD(A245,100),INT(A245/100))),A245)),IFERROR(DATEVALUE(A245),"")))</f>
        <v/>
      </c>
      <c r="I245">
        <f>IF(H245="","",INT((H245-SAT1)/7)+1)</f>
        <v/>
      </c>
      <c r="J245">
        <f>IF(I245="","",IF(OR(I245&lt;1,I245&gt;NW),"",INDEX(WMON,I245)))</f>
        <v/>
      </c>
    </row>
    <row r="246">
      <c r="A246" s="48" t="n"/>
      <c r="B246" s="22" t="n"/>
      <c r="C246" s="50" t="n"/>
      <c r="D246" s="49" t="n"/>
      <c r="E246" s="50" t="n"/>
      <c r="G246">
        <f>IF(AND(B246&lt;&gt;"",COUNTIF(B$6:B246,B246)=1),MAX(G$5:G245)+1,"")</f>
        <v/>
      </c>
      <c r="H246">
        <f>IF(A246="","",IF(ISNUMBER(A246),IF(A246&lt;=31,"",IF(A246&lt;=3112,IF(DATE(YR,MOD(A246,100),INT(A246/100))&gt;SAT1+7*NW-1,DATE(YR-1,MOD(A246,100),INT(A246/100)),DATE(YR,MOD(A246,100),INT(A246/100))),A246)),IFERROR(DATEVALUE(A246),"")))</f>
        <v/>
      </c>
      <c r="I246">
        <f>IF(H246="","",INT((H246-SAT1)/7)+1)</f>
        <v/>
      </c>
      <c r="J246">
        <f>IF(I246="","",IF(OR(I246&lt;1,I246&gt;NW),"",INDEX(WMON,I246)))</f>
        <v/>
      </c>
    </row>
    <row r="247">
      <c r="A247" s="48" t="n"/>
      <c r="B247" s="22" t="n"/>
      <c r="C247" s="50" t="n"/>
      <c r="D247" s="49" t="n"/>
      <c r="E247" s="50" t="n"/>
      <c r="G247">
        <f>IF(AND(B247&lt;&gt;"",COUNTIF(B$6:B247,B247)=1),MAX(G$5:G246)+1,"")</f>
        <v/>
      </c>
      <c r="H247">
        <f>IF(A247="","",IF(ISNUMBER(A247),IF(A247&lt;=31,"",IF(A247&lt;=3112,IF(DATE(YR,MOD(A247,100),INT(A247/100))&gt;SAT1+7*NW-1,DATE(YR-1,MOD(A247,100),INT(A247/100)),DATE(YR,MOD(A247,100),INT(A247/100))),A247)),IFERROR(DATEVALUE(A247),"")))</f>
        <v/>
      </c>
      <c r="I247">
        <f>IF(H247="","",INT((H247-SAT1)/7)+1)</f>
        <v/>
      </c>
      <c r="J247">
        <f>IF(I247="","",IF(OR(I247&lt;1,I247&gt;NW),"",INDEX(WMON,I247)))</f>
        <v/>
      </c>
    </row>
    <row r="248">
      <c r="A248" s="48" t="n"/>
      <c r="B248" s="22" t="n"/>
      <c r="C248" s="50" t="n"/>
      <c r="D248" s="49" t="n"/>
      <c r="E248" s="50" t="n"/>
      <c r="G248">
        <f>IF(AND(B248&lt;&gt;"",COUNTIF(B$6:B248,B248)=1),MAX(G$5:G247)+1,"")</f>
        <v/>
      </c>
      <c r="H248">
        <f>IF(A248="","",IF(ISNUMBER(A248),IF(A248&lt;=31,"",IF(A248&lt;=3112,IF(DATE(YR,MOD(A248,100),INT(A248/100))&gt;SAT1+7*NW-1,DATE(YR-1,MOD(A248,100),INT(A248/100)),DATE(YR,MOD(A248,100),INT(A248/100))),A248)),IFERROR(DATEVALUE(A248),"")))</f>
        <v/>
      </c>
      <c r="I248">
        <f>IF(H248="","",INT((H248-SAT1)/7)+1)</f>
        <v/>
      </c>
      <c r="J248">
        <f>IF(I248="","",IF(OR(I248&lt;1,I248&gt;NW),"",INDEX(WMON,I248)))</f>
        <v/>
      </c>
    </row>
    <row r="249">
      <c r="A249" s="48" t="n"/>
      <c r="B249" s="22" t="n"/>
      <c r="C249" s="50" t="n"/>
      <c r="D249" s="49" t="n"/>
      <c r="E249" s="50" t="n"/>
      <c r="G249">
        <f>IF(AND(B249&lt;&gt;"",COUNTIF(B$6:B249,B249)=1),MAX(G$5:G248)+1,"")</f>
        <v/>
      </c>
      <c r="H249">
        <f>IF(A249="","",IF(ISNUMBER(A249),IF(A249&lt;=31,"",IF(A249&lt;=3112,IF(DATE(YR,MOD(A249,100),INT(A249/100))&gt;SAT1+7*NW-1,DATE(YR-1,MOD(A249,100),INT(A249/100)),DATE(YR,MOD(A249,100),INT(A249/100))),A249)),IFERROR(DATEVALUE(A249),"")))</f>
        <v/>
      </c>
      <c r="I249">
        <f>IF(H249="","",INT((H249-SAT1)/7)+1)</f>
        <v/>
      </c>
      <c r="J249">
        <f>IF(I249="","",IF(OR(I249&lt;1,I249&gt;NW),"",INDEX(WMON,I249)))</f>
        <v/>
      </c>
    </row>
    <row r="250">
      <c r="A250" s="48" t="n"/>
      <c r="B250" s="22" t="n"/>
      <c r="C250" s="50" t="n"/>
      <c r="D250" s="49" t="n"/>
      <c r="E250" s="50" t="n"/>
      <c r="G250">
        <f>IF(AND(B250&lt;&gt;"",COUNTIF(B$6:B250,B250)=1),MAX(G$5:G249)+1,"")</f>
        <v/>
      </c>
      <c r="H250">
        <f>IF(A250="","",IF(ISNUMBER(A250),IF(A250&lt;=31,"",IF(A250&lt;=3112,IF(DATE(YR,MOD(A250,100),INT(A250/100))&gt;SAT1+7*NW-1,DATE(YR-1,MOD(A250,100),INT(A250/100)),DATE(YR,MOD(A250,100),INT(A250/100))),A250)),IFERROR(DATEVALUE(A250),"")))</f>
        <v/>
      </c>
      <c r="I250">
        <f>IF(H250="","",INT((H250-SAT1)/7)+1)</f>
        <v/>
      </c>
      <c r="J250">
        <f>IF(I250="","",IF(OR(I250&lt;1,I250&gt;NW),"",INDEX(WMON,I250)))</f>
        <v/>
      </c>
    </row>
    <row r="251">
      <c r="A251" s="48" t="n"/>
      <c r="B251" s="22" t="n"/>
      <c r="C251" s="50" t="n"/>
      <c r="D251" s="49" t="n"/>
      <c r="E251" s="50" t="n"/>
      <c r="G251">
        <f>IF(AND(B251&lt;&gt;"",COUNTIF(B$6:B251,B251)=1),MAX(G$5:G250)+1,"")</f>
        <v/>
      </c>
      <c r="H251">
        <f>IF(A251="","",IF(ISNUMBER(A251),IF(A251&lt;=31,"",IF(A251&lt;=3112,IF(DATE(YR,MOD(A251,100),INT(A251/100))&gt;SAT1+7*NW-1,DATE(YR-1,MOD(A251,100),INT(A251/100)),DATE(YR,MOD(A251,100),INT(A251/100))),A251)),IFERROR(DATEVALUE(A251),"")))</f>
        <v/>
      </c>
      <c r="I251">
        <f>IF(H251="","",INT((H251-SAT1)/7)+1)</f>
        <v/>
      </c>
      <c r="J251">
        <f>IF(I251="","",IF(OR(I251&lt;1,I251&gt;NW),"",INDEX(WMON,I251)))</f>
        <v/>
      </c>
    </row>
    <row r="252">
      <c r="A252" s="48" t="n"/>
      <c r="B252" s="22" t="n"/>
      <c r="C252" s="50" t="n"/>
      <c r="D252" s="49" t="n"/>
      <c r="E252" s="50" t="n"/>
      <c r="G252">
        <f>IF(AND(B252&lt;&gt;"",COUNTIF(B$6:B252,B252)=1),MAX(G$5:G251)+1,"")</f>
        <v/>
      </c>
      <c r="H252">
        <f>IF(A252="","",IF(ISNUMBER(A252),IF(A252&lt;=31,"",IF(A252&lt;=3112,IF(DATE(YR,MOD(A252,100),INT(A252/100))&gt;SAT1+7*NW-1,DATE(YR-1,MOD(A252,100),INT(A252/100)),DATE(YR,MOD(A252,100),INT(A252/100))),A252)),IFERROR(DATEVALUE(A252),"")))</f>
        <v/>
      </c>
      <c r="I252">
        <f>IF(H252="","",INT((H252-SAT1)/7)+1)</f>
        <v/>
      </c>
      <c r="J252">
        <f>IF(I252="","",IF(OR(I252&lt;1,I252&gt;NW),"",INDEX(WMON,I252)))</f>
        <v/>
      </c>
    </row>
    <row r="253">
      <c r="A253" s="48" t="n"/>
      <c r="B253" s="22" t="n"/>
      <c r="C253" s="50" t="n"/>
      <c r="D253" s="49" t="n"/>
      <c r="E253" s="50" t="n"/>
      <c r="G253">
        <f>IF(AND(B253&lt;&gt;"",COUNTIF(B$6:B253,B253)=1),MAX(G$5:G252)+1,"")</f>
        <v/>
      </c>
      <c r="H253">
        <f>IF(A253="","",IF(ISNUMBER(A253),IF(A253&lt;=31,"",IF(A253&lt;=3112,IF(DATE(YR,MOD(A253,100),INT(A253/100))&gt;SAT1+7*NW-1,DATE(YR-1,MOD(A253,100),INT(A253/100)),DATE(YR,MOD(A253,100),INT(A253/100))),A253)),IFERROR(DATEVALUE(A253),"")))</f>
        <v/>
      </c>
      <c r="I253">
        <f>IF(H253="","",INT((H253-SAT1)/7)+1)</f>
        <v/>
      </c>
      <c r="J253">
        <f>IF(I253="","",IF(OR(I253&lt;1,I253&gt;NW),"",INDEX(WMON,I253)))</f>
        <v/>
      </c>
    </row>
    <row r="254">
      <c r="A254" s="48" t="n"/>
      <c r="B254" s="22" t="n"/>
      <c r="C254" s="50" t="n"/>
      <c r="D254" s="49" t="n"/>
      <c r="E254" s="50" t="n"/>
      <c r="G254">
        <f>IF(AND(B254&lt;&gt;"",COUNTIF(B$6:B254,B254)=1),MAX(G$5:G253)+1,"")</f>
        <v/>
      </c>
      <c r="H254">
        <f>IF(A254="","",IF(ISNUMBER(A254),IF(A254&lt;=31,"",IF(A254&lt;=3112,IF(DATE(YR,MOD(A254,100),INT(A254/100))&gt;SAT1+7*NW-1,DATE(YR-1,MOD(A254,100),INT(A254/100)),DATE(YR,MOD(A254,100),INT(A254/100))),A254)),IFERROR(DATEVALUE(A254),"")))</f>
        <v/>
      </c>
      <c r="I254">
        <f>IF(H254="","",INT((H254-SAT1)/7)+1)</f>
        <v/>
      </c>
      <c r="J254">
        <f>IF(I254="","",IF(OR(I254&lt;1,I254&gt;NW),"",INDEX(WMON,I254)))</f>
        <v/>
      </c>
    </row>
    <row r="255">
      <c r="A255" s="48" t="n"/>
      <c r="B255" s="22" t="n"/>
      <c r="C255" s="50" t="n"/>
      <c r="D255" s="49" t="n"/>
      <c r="E255" s="50" t="n"/>
      <c r="G255">
        <f>IF(AND(B255&lt;&gt;"",COUNTIF(B$6:B255,B255)=1),MAX(G$5:G254)+1,"")</f>
        <v/>
      </c>
      <c r="H255">
        <f>IF(A255="","",IF(ISNUMBER(A255),IF(A255&lt;=31,"",IF(A255&lt;=3112,IF(DATE(YR,MOD(A255,100),INT(A255/100))&gt;SAT1+7*NW-1,DATE(YR-1,MOD(A255,100),INT(A255/100)),DATE(YR,MOD(A255,100),INT(A255/100))),A255)),IFERROR(DATEVALUE(A255),"")))</f>
        <v/>
      </c>
      <c r="I255">
        <f>IF(H255="","",INT((H255-SAT1)/7)+1)</f>
        <v/>
      </c>
      <c r="J255">
        <f>IF(I255="","",IF(OR(I255&lt;1,I255&gt;NW),"",INDEX(WMON,I255)))</f>
        <v/>
      </c>
    </row>
    <row r="256">
      <c r="A256" s="48" t="n"/>
      <c r="B256" s="22" t="n"/>
      <c r="C256" s="50" t="n"/>
      <c r="D256" s="49" t="n"/>
      <c r="E256" s="50" t="n"/>
      <c r="G256">
        <f>IF(AND(B256&lt;&gt;"",COUNTIF(B$6:B256,B256)=1),MAX(G$5:G255)+1,"")</f>
        <v/>
      </c>
      <c r="H256">
        <f>IF(A256="","",IF(ISNUMBER(A256),IF(A256&lt;=31,"",IF(A256&lt;=3112,IF(DATE(YR,MOD(A256,100),INT(A256/100))&gt;SAT1+7*NW-1,DATE(YR-1,MOD(A256,100),INT(A256/100)),DATE(YR,MOD(A256,100),INT(A256/100))),A256)),IFERROR(DATEVALUE(A256),"")))</f>
        <v/>
      </c>
      <c r="I256">
        <f>IF(H256="","",INT((H256-SAT1)/7)+1)</f>
        <v/>
      </c>
      <c r="J256">
        <f>IF(I256="","",IF(OR(I256&lt;1,I256&gt;NW),"",INDEX(WMON,I256)))</f>
        <v/>
      </c>
    </row>
    <row r="257">
      <c r="A257" s="48" t="n"/>
      <c r="B257" s="22" t="n"/>
      <c r="C257" s="50" t="n"/>
      <c r="D257" s="49" t="n"/>
      <c r="E257" s="50" t="n"/>
      <c r="G257">
        <f>IF(AND(B257&lt;&gt;"",COUNTIF(B$6:B257,B257)=1),MAX(G$5:G256)+1,"")</f>
        <v/>
      </c>
      <c r="H257">
        <f>IF(A257="","",IF(ISNUMBER(A257),IF(A257&lt;=31,"",IF(A257&lt;=3112,IF(DATE(YR,MOD(A257,100),INT(A257/100))&gt;SAT1+7*NW-1,DATE(YR-1,MOD(A257,100),INT(A257/100)),DATE(YR,MOD(A257,100),INT(A257/100))),A257)),IFERROR(DATEVALUE(A257),"")))</f>
        <v/>
      </c>
      <c r="I257">
        <f>IF(H257="","",INT((H257-SAT1)/7)+1)</f>
        <v/>
      </c>
      <c r="J257">
        <f>IF(I257="","",IF(OR(I257&lt;1,I257&gt;NW),"",INDEX(WMON,I257)))</f>
        <v/>
      </c>
    </row>
    <row r="258">
      <c r="A258" s="48" t="n"/>
      <c r="B258" s="22" t="n"/>
      <c r="C258" s="50" t="n"/>
      <c r="D258" s="49" t="n"/>
      <c r="E258" s="50" t="n"/>
      <c r="G258">
        <f>IF(AND(B258&lt;&gt;"",COUNTIF(B$6:B258,B258)=1),MAX(G$5:G257)+1,"")</f>
        <v/>
      </c>
      <c r="H258">
        <f>IF(A258="","",IF(ISNUMBER(A258),IF(A258&lt;=31,"",IF(A258&lt;=3112,IF(DATE(YR,MOD(A258,100),INT(A258/100))&gt;SAT1+7*NW-1,DATE(YR-1,MOD(A258,100),INT(A258/100)),DATE(YR,MOD(A258,100),INT(A258/100))),A258)),IFERROR(DATEVALUE(A258),"")))</f>
        <v/>
      </c>
      <c r="I258">
        <f>IF(H258="","",INT((H258-SAT1)/7)+1)</f>
        <v/>
      </c>
      <c r="J258">
        <f>IF(I258="","",IF(OR(I258&lt;1,I258&gt;NW),"",INDEX(WMON,I258)))</f>
        <v/>
      </c>
    </row>
    <row r="259">
      <c r="A259" s="48" t="n"/>
      <c r="B259" s="22" t="n"/>
      <c r="C259" s="50" t="n"/>
      <c r="D259" s="49" t="n"/>
      <c r="E259" s="50" t="n"/>
      <c r="G259">
        <f>IF(AND(B259&lt;&gt;"",COUNTIF(B$6:B259,B259)=1),MAX(G$5:G258)+1,"")</f>
        <v/>
      </c>
      <c r="H259">
        <f>IF(A259="","",IF(ISNUMBER(A259),IF(A259&lt;=31,"",IF(A259&lt;=3112,IF(DATE(YR,MOD(A259,100),INT(A259/100))&gt;SAT1+7*NW-1,DATE(YR-1,MOD(A259,100),INT(A259/100)),DATE(YR,MOD(A259,100),INT(A259/100))),A259)),IFERROR(DATEVALUE(A259),"")))</f>
        <v/>
      </c>
      <c r="I259">
        <f>IF(H259="","",INT((H259-SAT1)/7)+1)</f>
        <v/>
      </c>
      <c r="J259">
        <f>IF(I259="","",IF(OR(I259&lt;1,I259&gt;NW),"",INDEX(WMON,I259)))</f>
        <v/>
      </c>
    </row>
    <row r="260">
      <c r="A260" s="48" t="n"/>
      <c r="B260" s="22" t="n"/>
      <c r="C260" s="50" t="n"/>
      <c r="D260" s="49" t="n"/>
      <c r="E260" s="50" t="n"/>
      <c r="G260">
        <f>IF(AND(B260&lt;&gt;"",COUNTIF(B$6:B260,B260)=1),MAX(G$5:G259)+1,"")</f>
        <v/>
      </c>
      <c r="H260">
        <f>IF(A260="","",IF(ISNUMBER(A260),IF(A260&lt;=31,"",IF(A260&lt;=3112,IF(DATE(YR,MOD(A260,100),INT(A260/100))&gt;SAT1+7*NW-1,DATE(YR-1,MOD(A260,100),INT(A260/100)),DATE(YR,MOD(A260,100),INT(A260/100))),A260)),IFERROR(DATEVALUE(A260),"")))</f>
        <v/>
      </c>
      <c r="I260">
        <f>IF(H260="","",INT((H260-SAT1)/7)+1)</f>
        <v/>
      </c>
      <c r="J260">
        <f>IF(I260="","",IF(OR(I260&lt;1,I260&gt;NW),"",INDEX(WMON,I260)))</f>
        <v/>
      </c>
    </row>
    <row r="261">
      <c r="A261" s="48" t="n"/>
      <c r="B261" s="22" t="n"/>
      <c r="C261" s="50" t="n"/>
      <c r="D261" s="49" t="n"/>
      <c r="E261" s="50" t="n"/>
      <c r="G261">
        <f>IF(AND(B261&lt;&gt;"",COUNTIF(B$6:B261,B261)=1),MAX(G$5:G260)+1,"")</f>
        <v/>
      </c>
      <c r="H261">
        <f>IF(A261="","",IF(ISNUMBER(A261),IF(A261&lt;=31,"",IF(A261&lt;=3112,IF(DATE(YR,MOD(A261,100),INT(A261/100))&gt;SAT1+7*NW-1,DATE(YR-1,MOD(A261,100),INT(A261/100)),DATE(YR,MOD(A261,100),INT(A261/100))),A261)),IFERROR(DATEVALUE(A261),"")))</f>
        <v/>
      </c>
      <c r="I261">
        <f>IF(H261="","",INT((H261-SAT1)/7)+1)</f>
        <v/>
      </c>
      <c r="J261">
        <f>IF(I261="","",IF(OR(I261&lt;1,I261&gt;NW),"",INDEX(WMON,I261)))</f>
        <v/>
      </c>
    </row>
    <row r="262">
      <c r="A262" s="48" t="n"/>
      <c r="B262" s="22" t="n"/>
      <c r="C262" s="50" t="n"/>
      <c r="D262" s="49" t="n"/>
      <c r="E262" s="50" t="n"/>
      <c r="G262">
        <f>IF(AND(B262&lt;&gt;"",COUNTIF(B$6:B262,B262)=1),MAX(G$5:G261)+1,"")</f>
        <v/>
      </c>
      <c r="H262">
        <f>IF(A262="","",IF(ISNUMBER(A262),IF(A262&lt;=31,"",IF(A262&lt;=3112,IF(DATE(YR,MOD(A262,100),INT(A262/100))&gt;SAT1+7*NW-1,DATE(YR-1,MOD(A262,100),INT(A262/100)),DATE(YR,MOD(A262,100),INT(A262/100))),A262)),IFERROR(DATEVALUE(A262),"")))</f>
        <v/>
      </c>
      <c r="I262">
        <f>IF(H262="","",INT((H262-SAT1)/7)+1)</f>
        <v/>
      </c>
      <c r="J262">
        <f>IF(I262="","",IF(OR(I262&lt;1,I262&gt;NW),"",INDEX(WMON,I262)))</f>
        <v/>
      </c>
    </row>
    <row r="263">
      <c r="A263" s="48" t="n"/>
      <c r="B263" s="22" t="n"/>
      <c r="C263" s="50" t="n"/>
      <c r="D263" s="49" t="n"/>
      <c r="E263" s="50" t="n"/>
      <c r="G263">
        <f>IF(AND(B263&lt;&gt;"",COUNTIF(B$6:B263,B263)=1),MAX(G$5:G262)+1,"")</f>
        <v/>
      </c>
      <c r="H263">
        <f>IF(A263="","",IF(ISNUMBER(A263),IF(A263&lt;=31,"",IF(A263&lt;=3112,IF(DATE(YR,MOD(A263,100),INT(A263/100))&gt;SAT1+7*NW-1,DATE(YR-1,MOD(A263,100),INT(A263/100)),DATE(YR,MOD(A263,100),INT(A263/100))),A263)),IFERROR(DATEVALUE(A263),"")))</f>
        <v/>
      </c>
      <c r="I263">
        <f>IF(H263="","",INT((H263-SAT1)/7)+1)</f>
        <v/>
      </c>
      <c r="J263">
        <f>IF(I263="","",IF(OR(I263&lt;1,I263&gt;NW),"",INDEX(WMON,I263)))</f>
        <v/>
      </c>
    </row>
    <row r="264">
      <c r="A264" s="48" t="n"/>
      <c r="B264" s="22" t="n"/>
      <c r="C264" s="50" t="n"/>
      <c r="D264" s="49" t="n"/>
      <c r="E264" s="50" t="n"/>
      <c r="G264">
        <f>IF(AND(B264&lt;&gt;"",COUNTIF(B$6:B264,B264)=1),MAX(G$5:G263)+1,"")</f>
        <v/>
      </c>
      <c r="H264">
        <f>IF(A264="","",IF(ISNUMBER(A264),IF(A264&lt;=31,"",IF(A264&lt;=3112,IF(DATE(YR,MOD(A264,100),INT(A264/100))&gt;SAT1+7*NW-1,DATE(YR-1,MOD(A264,100),INT(A264/100)),DATE(YR,MOD(A264,100),INT(A264/100))),A264)),IFERROR(DATEVALUE(A264),"")))</f>
        <v/>
      </c>
      <c r="I264">
        <f>IF(H264="","",INT((H264-SAT1)/7)+1)</f>
        <v/>
      </c>
      <c r="J264">
        <f>IF(I264="","",IF(OR(I264&lt;1,I264&gt;NW),"",INDEX(WMON,I264)))</f>
        <v/>
      </c>
    </row>
    <row r="265">
      <c r="A265" s="48" t="n"/>
      <c r="B265" s="22" t="n"/>
      <c r="C265" s="50" t="n"/>
      <c r="D265" s="49" t="n"/>
      <c r="E265" s="50" t="n"/>
      <c r="G265">
        <f>IF(AND(B265&lt;&gt;"",COUNTIF(B$6:B265,B265)=1),MAX(G$5:G264)+1,"")</f>
        <v/>
      </c>
      <c r="H265">
        <f>IF(A265="","",IF(ISNUMBER(A265),IF(A265&lt;=31,"",IF(A265&lt;=3112,IF(DATE(YR,MOD(A265,100),INT(A265/100))&gt;SAT1+7*NW-1,DATE(YR-1,MOD(A265,100),INT(A265/100)),DATE(YR,MOD(A265,100),INT(A265/100))),A265)),IFERROR(DATEVALUE(A265),"")))</f>
        <v/>
      </c>
      <c r="I265">
        <f>IF(H265="","",INT((H265-SAT1)/7)+1)</f>
        <v/>
      </c>
      <c r="J265">
        <f>IF(I265="","",IF(OR(I265&lt;1,I265&gt;NW),"",INDEX(WMON,I265)))</f>
        <v/>
      </c>
    </row>
    <row r="266">
      <c r="A266" s="48" t="n"/>
      <c r="B266" s="22" t="n"/>
      <c r="C266" s="50" t="n"/>
      <c r="D266" s="49" t="n"/>
      <c r="E266" s="50" t="n"/>
      <c r="G266">
        <f>IF(AND(B266&lt;&gt;"",COUNTIF(B$6:B266,B266)=1),MAX(G$5:G265)+1,"")</f>
        <v/>
      </c>
      <c r="H266">
        <f>IF(A266="","",IF(ISNUMBER(A266),IF(A266&lt;=31,"",IF(A266&lt;=3112,IF(DATE(YR,MOD(A266,100),INT(A266/100))&gt;SAT1+7*NW-1,DATE(YR-1,MOD(A266,100),INT(A266/100)),DATE(YR,MOD(A266,100),INT(A266/100))),A266)),IFERROR(DATEVALUE(A266),"")))</f>
        <v/>
      </c>
      <c r="I266">
        <f>IF(H266="","",INT((H266-SAT1)/7)+1)</f>
        <v/>
      </c>
      <c r="J266">
        <f>IF(I266="","",IF(OR(I266&lt;1,I266&gt;NW),"",INDEX(WMON,I266)))</f>
        <v/>
      </c>
    </row>
    <row r="267">
      <c r="A267" s="48" t="n"/>
      <c r="B267" s="22" t="n"/>
      <c r="C267" s="50" t="n"/>
      <c r="D267" s="49" t="n"/>
      <c r="E267" s="50" t="n"/>
      <c r="G267">
        <f>IF(AND(B267&lt;&gt;"",COUNTIF(B$6:B267,B267)=1),MAX(G$5:G266)+1,"")</f>
        <v/>
      </c>
      <c r="H267">
        <f>IF(A267="","",IF(ISNUMBER(A267),IF(A267&lt;=31,"",IF(A267&lt;=3112,IF(DATE(YR,MOD(A267,100),INT(A267/100))&gt;SAT1+7*NW-1,DATE(YR-1,MOD(A267,100),INT(A267/100)),DATE(YR,MOD(A267,100),INT(A267/100))),A267)),IFERROR(DATEVALUE(A267),"")))</f>
        <v/>
      </c>
      <c r="I267">
        <f>IF(H267="","",INT((H267-SAT1)/7)+1)</f>
        <v/>
      </c>
      <c r="J267">
        <f>IF(I267="","",IF(OR(I267&lt;1,I267&gt;NW),"",INDEX(WMON,I267)))</f>
        <v/>
      </c>
    </row>
    <row r="268">
      <c r="A268" s="48" t="n"/>
      <c r="B268" s="22" t="n"/>
      <c r="C268" s="50" t="n"/>
      <c r="D268" s="49" t="n"/>
      <c r="E268" s="50" t="n"/>
      <c r="G268">
        <f>IF(AND(B268&lt;&gt;"",COUNTIF(B$6:B268,B268)=1),MAX(G$5:G267)+1,"")</f>
        <v/>
      </c>
      <c r="H268">
        <f>IF(A268="","",IF(ISNUMBER(A268),IF(A268&lt;=31,"",IF(A268&lt;=3112,IF(DATE(YR,MOD(A268,100),INT(A268/100))&gt;SAT1+7*NW-1,DATE(YR-1,MOD(A268,100),INT(A268/100)),DATE(YR,MOD(A268,100),INT(A268/100))),A268)),IFERROR(DATEVALUE(A268),"")))</f>
        <v/>
      </c>
      <c r="I268">
        <f>IF(H268="","",INT((H268-SAT1)/7)+1)</f>
        <v/>
      </c>
      <c r="J268">
        <f>IF(I268="","",IF(OR(I268&lt;1,I268&gt;NW),"",INDEX(WMON,I268)))</f>
        <v/>
      </c>
    </row>
    <row r="269">
      <c r="A269" s="48" t="n"/>
      <c r="B269" s="22" t="n"/>
      <c r="C269" s="50" t="n"/>
      <c r="D269" s="49" t="n"/>
      <c r="E269" s="50" t="n"/>
      <c r="G269">
        <f>IF(AND(B269&lt;&gt;"",COUNTIF(B$6:B269,B269)=1),MAX(G$5:G268)+1,"")</f>
        <v/>
      </c>
      <c r="H269">
        <f>IF(A269="","",IF(ISNUMBER(A269),IF(A269&lt;=31,"",IF(A269&lt;=3112,IF(DATE(YR,MOD(A269,100),INT(A269/100))&gt;SAT1+7*NW-1,DATE(YR-1,MOD(A269,100),INT(A269/100)),DATE(YR,MOD(A269,100),INT(A269/100))),A269)),IFERROR(DATEVALUE(A269),"")))</f>
        <v/>
      </c>
      <c r="I269">
        <f>IF(H269="","",INT((H269-SAT1)/7)+1)</f>
        <v/>
      </c>
      <c r="J269">
        <f>IF(I269="","",IF(OR(I269&lt;1,I269&gt;NW),"",INDEX(WMON,I269)))</f>
        <v/>
      </c>
    </row>
    <row r="270">
      <c r="A270" s="48" t="n"/>
      <c r="B270" s="22" t="n"/>
      <c r="C270" s="50" t="n"/>
      <c r="D270" s="49" t="n"/>
      <c r="E270" s="50" t="n"/>
      <c r="G270">
        <f>IF(AND(B270&lt;&gt;"",COUNTIF(B$6:B270,B270)=1),MAX(G$5:G269)+1,"")</f>
        <v/>
      </c>
      <c r="H270">
        <f>IF(A270="","",IF(ISNUMBER(A270),IF(A270&lt;=31,"",IF(A270&lt;=3112,IF(DATE(YR,MOD(A270,100),INT(A270/100))&gt;SAT1+7*NW-1,DATE(YR-1,MOD(A270,100),INT(A270/100)),DATE(YR,MOD(A270,100),INT(A270/100))),A270)),IFERROR(DATEVALUE(A270),"")))</f>
        <v/>
      </c>
      <c r="I270">
        <f>IF(H270="","",INT((H270-SAT1)/7)+1)</f>
        <v/>
      </c>
      <c r="J270">
        <f>IF(I270="","",IF(OR(I270&lt;1,I270&gt;NW),"",INDEX(WMON,I270)))</f>
        <v/>
      </c>
    </row>
    <row r="271">
      <c r="A271" s="48" t="n"/>
      <c r="B271" s="22" t="n"/>
      <c r="C271" s="50" t="n"/>
      <c r="D271" s="49" t="n"/>
      <c r="E271" s="50" t="n"/>
      <c r="G271">
        <f>IF(AND(B271&lt;&gt;"",COUNTIF(B$6:B271,B271)=1),MAX(G$5:G270)+1,"")</f>
        <v/>
      </c>
      <c r="H271">
        <f>IF(A271="","",IF(ISNUMBER(A271),IF(A271&lt;=31,"",IF(A271&lt;=3112,IF(DATE(YR,MOD(A271,100),INT(A271/100))&gt;SAT1+7*NW-1,DATE(YR-1,MOD(A271,100),INT(A271/100)),DATE(YR,MOD(A271,100),INT(A271/100))),A271)),IFERROR(DATEVALUE(A271),"")))</f>
        <v/>
      </c>
      <c r="I271">
        <f>IF(H271="","",INT((H271-SAT1)/7)+1)</f>
        <v/>
      </c>
      <c r="J271">
        <f>IF(I271="","",IF(OR(I271&lt;1,I271&gt;NW),"",INDEX(WMON,I271)))</f>
        <v/>
      </c>
    </row>
    <row r="272">
      <c r="A272" s="48" t="n"/>
      <c r="B272" s="22" t="n"/>
      <c r="C272" s="50" t="n"/>
      <c r="D272" s="49" t="n"/>
      <c r="E272" s="50" t="n"/>
      <c r="G272">
        <f>IF(AND(B272&lt;&gt;"",COUNTIF(B$6:B272,B272)=1),MAX(G$5:G271)+1,"")</f>
        <v/>
      </c>
      <c r="H272">
        <f>IF(A272="","",IF(ISNUMBER(A272),IF(A272&lt;=31,"",IF(A272&lt;=3112,IF(DATE(YR,MOD(A272,100),INT(A272/100))&gt;SAT1+7*NW-1,DATE(YR-1,MOD(A272,100),INT(A272/100)),DATE(YR,MOD(A272,100),INT(A272/100))),A272)),IFERROR(DATEVALUE(A272),"")))</f>
        <v/>
      </c>
      <c r="I272">
        <f>IF(H272="","",INT((H272-SAT1)/7)+1)</f>
        <v/>
      </c>
      <c r="J272">
        <f>IF(I272="","",IF(OR(I272&lt;1,I272&gt;NW),"",INDEX(WMON,I272)))</f>
        <v/>
      </c>
    </row>
    <row r="273">
      <c r="A273" s="48" t="n"/>
      <c r="B273" s="22" t="n"/>
      <c r="C273" s="50" t="n"/>
      <c r="D273" s="49" t="n"/>
      <c r="E273" s="50" t="n"/>
      <c r="G273">
        <f>IF(AND(B273&lt;&gt;"",COUNTIF(B$6:B273,B273)=1),MAX(G$5:G272)+1,"")</f>
        <v/>
      </c>
      <c r="H273">
        <f>IF(A273="","",IF(ISNUMBER(A273),IF(A273&lt;=31,"",IF(A273&lt;=3112,IF(DATE(YR,MOD(A273,100),INT(A273/100))&gt;SAT1+7*NW-1,DATE(YR-1,MOD(A273,100),INT(A273/100)),DATE(YR,MOD(A273,100),INT(A273/100))),A273)),IFERROR(DATEVALUE(A273),"")))</f>
        <v/>
      </c>
      <c r="I273">
        <f>IF(H273="","",INT((H273-SAT1)/7)+1)</f>
        <v/>
      </c>
      <c r="J273">
        <f>IF(I273="","",IF(OR(I273&lt;1,I273&gt;NW),"",INDEX(WMON,I273)))</f>
        <v/>
      </c>
    </row>
    <row r="274">
      <c r="A274" s="48" t="n"/>
      <c r="B274" s="22" t="n"/>
      <c r="C274" s="50" t="n"/>
      <c r="D274" s="49" t="n"/>
      <c r="E274" s="50" t="n"/>
      <c r="G274">
        <f>IF(AND(B274&lt;&gt;"",COUNTIF(B$6:B274,B274)=1),MAX(G$5:G273)+1,"")</f>
        <v/>
      </c>
      <c r="H274">
        <f>IF(A274="","",IF(ISNUMBER(A274),IF(A274&lt;=31,"",IF(A274&lt;=3112,IF(DATE(YR,MOD(A274,100),INT(A274/100))&gt;SAT1+7*NW-1,DATE(YR-1,MOD(A274,100),INT(A274/100)),DATE(YR,MOD(A274,100),INT(A274/100))),A274)),IFERROR(DATEVALUE(A274),"")))</f>
        <v/>
      </c>
      <c r="I274">
        <f>IF(H274="","",INT((H274-SAT1)/7)+1)</f>
        <v/>
      </c>
      <c r="J274">
        <f>IF(I274="","",IF(OR(I274&lt;1,I274&gt;NW),"",INDEX(WMON,I274)))</f>
        <v/>
      </c>
    </row>
    <row r="275">
      <c r="A275" s="48" t="n"/>
      <c r="B275" s="22" t="n"/>
      <c r="C275" s="50" t="n"/>
      <c r="D275" s="49" t="n"/>
      <c r="E275" s="50" t="n"/>
      <c r="G275">
        <f>IF(AND(B275&lt;&gt;"",COUNTIF(B$6:B275,B275)=1),MAX(G$5:G274)+1,"")</f>
        <v/>
      </c>
      <c r="H275">
        <f>IF(A275="","",IF(ISNUMBER(A275),IF(A275&lt;=31,"",IF(A275&lt;=3112,IF(DATE(YR,MOD(A275,100),INT(A275/100))&gt;SAT1+7*NW-1,DATE(YR-1,MOD(A275,100),INT(A275/100)),DATE(YR,MOD(A275,100),INT(A275/100))),A275)),IFERROR(DATEVALUE(A275),"")))</f>
        <v/>
      </c>
      <c r="I275">
        <f>IF(H275="","",INT((H275-SAT1)/7)+1)</f>
        <v/>
      </c>
      <c r="J275">
        <f>IF(I275="","",IF(OR(I275&lt;1,I275&gt;NW),"",INDEX(WMON,I275)))</f>
        <v/>
      </c>
    </row>
    <row r="276">
      <c r="A276" s="48" t="n"/>
      <c r="B276" s="22" t="n"/>
      <c r="C276" s="50" t="n"/>
      <c r="D276" s="49" t="n"/>
      <c r="E276" s="50" t="n"/>
      <c r="G276">
        <f>IF(AND(B276&lt;&gt;"",COUNTIF(B$6:B276,B276)=1),MAX(G$5:G275)+1,"")</f>
        <v/>
      </c>
      <c r="H276">
        <f>IF(A276="","",IF(ISNUMBER(A276),IF(A276&lt;=31,"",IF(A276&lt;=3112,IF(DATE(YR,MOD(A276,100),INT(A276/100))&gt;SAT1+7*NW-1,DATE(YR-1,MOD(A276,100),INT(A276/100)),DATE(YR,MOD(A276,100),INT(A276/100))),A276)),IFERROR(DATEVALUE(A276),"")))</f>
        <v/>
      </c>
      <c r="I276">
        <f>IF(H276="","",INT((H276-SAT1)/7)+1)</f>
        <v/>
      </c>
      <c r="J276">
        <f>IF(I276="","",IF(OR(I276&lt;1,I276&gt;NW),"",INDEX(WMON,I276)))</f>
        <v/>
      </c>
    </row>
    <row r="277">
      <c r="A277" s="48" t="n"/>
      <c r="B277" s="22" t="n"/>
      <c r="C277" s="50" t="n"/>
      <c r="D277" s="49" t="n"/>
      <c r="E277" s="50" t="n"/>
      <c r="G277">
        <f>IF(AND(B277&lt;&gt;"",COUNTIF(B$6:B277,B277)=1),MAX(G$5:G276)+1,"")</f>
        <v/>
      </c>
      <c r="H277">
        <f>IF(A277="","",IF(ISNUMBER(A277),IF(A277&lt;=31,"",IF(A277&lt;=3112,IF(DATE(YR,MOD(A277,100),INT(A277/100))&gt;SAT1+7*NW-1,DATE(YR-1,MOD(A277,100),INT(A277/100)),DATE(YR,MOD(A277,100),INT(A277/100))),A277)),IFERROR(DATEVALUE(A277),"")))</f>
        <v/>
      </c>
      <c r="I277">
        <f>IF(H277="","",INT((H277-SAT1)/7)+1)</f>
        <v/>
      </c>
      <c r="J277">
        <f>IF(I277="","",IF(OR(I277&lt;1,I277&gt;NW),"",INDEX(WMON,I277)))</f>
        <v/>
      </c>
    </row>
    <row r="278">
      <c r="A278" s="48" t="n"/>
      <c r="B278" s="22" t="n"/>
      <c r="C278" s="50" t="n"/>
      <c r="D278" s="49" t="n"/>
      <c r="E278" s="50" t="n"/>
      <c r="G278">
        <f>IF(AND(B278&lt;&gt;"",COUNTIF(B$6:B278,B278)=1),MAX(G$5:G277)+1,"")</f>
        <v/>
      </c>
      <c r="H278">
        <f>IF(A278="","",IF(ISNUMBER(A278),IF(A278&lt;=31,"",IF(A278&lt;=3112,IF(DATE(YR,MOD(A278,100),INT(A278/100))&gt;SAT1+7*NW-1,DATE(YR-1,MOD(A278,100),INT(A278/100)),DATE(YR,MOD(A278,100),INT(A278/100))),A278)),IFERROR(DATEVALUE(A278),"")))</f>
        <v/>
      </c>
      <c r="I278">
        <f>IF(H278="","",INT((H278-SAT1)/7)+1)</f>
        <v/>
      </c>
      <c r="J278">
        <f>IF(I278="","",IF(OR(I278&lt;1,I278&gt;NW),"",INDEX(WMON,I278)))</f>
        <v/>
      </c>
    </row>
    <row r="279">
      <c r="A279" s="48" t="n"/>
      <c r="B279" s="22" t="n"/>
      <c r="C279" s="50" t="n"/>
      <c r="D279" s="49" t="n"/>
      <c r="E279" s="50" t="n"/>
      <c r="G279">
        <f>IF(AND(B279&lt;&gt;"",COUNTIF(B$6:B279,B279)=1),MAX(G$5:G278)+1,"")</f>
        <v/>
      </c>
      <c r="H279">
        <f>IF(A279="","",IF(ISNUMBER(A279),IF(A279&lt;=31,"",IF(A279&lt;=3112,IF(DATE(YR,MOD(A279,100),INT(A279/100))&gt;SAT1+7*NW-1,DATE(YR-1,MOD(A279,100),INT(A279/100)),DATE(YR,MOD(A279,100),INT(A279/100))),A279)),IFERROR(DATEVALUE(A279),"")))</f>
        <v/>
      </c>
      <c r="I279">
        <f>IF(H279="","",INT((H279-SAT1)/7)+1)</f>
        <v/>
      </c>
      <c r="J279">
        <f>IF(I279="","",IF(OR(I279&lt;1,I279&gt;NW),"",INDEX(WMON,I279)))</f>
        <v/>
      </c>
    </row>
    <row r="280">
      <c r="A280" s="48" t="n"/>
      <c r="B280" s="22" t="n"/>
      <c r="C280" s="50" t="n"/>
      <c r="D280" s="49" t="n"/>
      <c r="E280" s="50" t="n"/>
      <c r="G280">
        <f>IF(AND(B280&lt;&gt;"",COUNTIF(B$6:B280,B280)=1),MAX(G$5:G279)+1,"")</f>
        <v/>
      </c>
      <c r="H280">
        <f>IF(A280="","",IF(ISNUMBER(A280),IF(A280&lt;=31,"",IF(A280&lt;=3112,IF(DATE(YR,MOD(A280,100),INT(A280/100))&gt;SAT1+7*NW-1,DATE(YR-1,MOD(A280,100),INT(A280/100)),DATE(YR,MOD(A280,100),INT(A280/100))),A280)),IFERROR(DATEVALUE(A280),"")))</f>
        <v/>
      </c>
      <c r="I280">
        <f>IF(H280="","",INT((H280-SAT1)/7)+1)</f>
        <v/>
      </c>
      <c r="J280">
        <f>IF(I280="","",IF(OR(I280&lt;1,I280&gt;NW),"",INDEX(WMON,I280)))</f>
        <v/>
      </c>
    </row>
    <row r="281">
      <c r="A281" s="48" t="n"/>
      <c r="B281" s="22" t="n"/>
      <c r="C281" s="50" t="n"/>
      <c r="D281" s="49" t="n"/>
      <c r="E281" s="50" t="n"/>
      <c r="G281">
        <f>IF(AND(B281&lt;&gt;"",COUNTIF(B$6:B281,B281)=1),MAX(G$5:G280)+1,"")</f>
        <v/>
      </c>
      <c r="H281">
        <f>IF(A281="","",IF(ISNUMBER(A281),IF(A281&lt;=31,"",IF(A281&lt;=3112,IF(DATE(YR,MOD(A281,100),INT(A281/100))&gt;SAT1+7*NW-1,DATE(YR-1,MOD(A281,100),INT(A281/100)),DATE(YR,MOD(A281,100),INT(A281/100))),A281)),IFERROR(DATEVALUE(A281),"")))</f>
        <v/>
      </c>
      <c r="I281">
        <f>IF(H281="","",INT((H281-SAT1)/7)+1)</f>
        <v/>
      </c>
      <c r="J281">
        <f>IF(I281="","",IF(OR(I281&lt;1,I281&gt;NW),"",INDEX(WMON,I281)))</f>
        <v/>
      </c>
    </row>
    <row r="282">
      <c r="A282" s="48" t="n"/>
      <c r="B282" s="22" t="n"/>
      <c r="C282" s="50" t="n"/>
      <c r="D282" s="49" t="n"/>
      <c r="E282" s="50" t="n"/>
      <c r="G282">
        <f>IF(AND(B282&lt;&gt;"",COUNTIF(B$6:B282,B282)=1),MAX(G$5:G281)+1,"")</f>
        <v/>
      </c>
      <c r="H282">
        <f>IF(A282="","",IF(ISNUMBER(A282),IF(A282&lt;=31,"",IF(A282&lt;=3112,IF(DATE(YR,MOD(A282,100),INT(A282/100))&gt;SAT1+7*NW-1,DATE(YR-1,MOD(A282,100),INT(A282/100)),DATE(YR,MOD(A282,100),INT(A282/100))),A282)),IFERROR(DATEVALUE(A282),"")))</f>
        <v/>
      </c>
      <c r="I282">
        <f>IF(H282="","",INT((H282-SAT1)/7)+1)</f>
        <v/>
      </c>
      <c r="J282">
        <f>IF(I282="","",IF(OR(I282&lt;1,I282&gt;NW),"",INDEX(WMON,I282)))</f>
        <v/>
      </c>
    </row>
    <row r="283">
      <c r="A283" s="48" t="n"/>
      <c r="B283" s="22" t="n"/>
      <c r="C283" s="50" t="n"/>
      <c r="D283" s="49" t="n"/>
      <c r="E283" s="50" t="n"/>
      <c r="G283">
        <f>IF(AND(B283&lt;&gt;"",COUNTIF(B$6:B283,B283)=1),MAX(G$5:G282)+1,"")</f>
        <v/>
      </c>
      <c r="H283">
        <f>IF(A283="","",IF(ISNUMBER(A283),IF(A283&lt;=31,"",IF(A283&lt;=3112,IF(DATE(YR,MOD(A283,100),INT(A283/100))&gt;SAT1+7*NW-1,DATE(YR-1,MOD(A283,100),INT(A283/100)),DATE(YR,MOD(A283,100),INT(A283/100))),A283)),IFERROR(DATEVALUE(A283),"")))</f>
        <v/>
      </c>
      <c r="I283">
        <f>IF(H283="","",INT((H283-SAT1)/7)+1)</f>
        <v/>
      </c>
      <c r="J283">
        <f>IF(I283="","",IF(OR(I283&lt;1,I283&gt;NW),"",INDEX(WMON,I283)))</f>
        <v/>
      </c>
    </row>
    <row r="284">
      <c r="A284" s="48" t="n"/>
      <c r="B284" s="22" t="n"/>
      <c r="C284" s="50" t="n"/>
      <c r="D284" s="49" t="n"/>
      <c r="E284" s="50" t="n"/>
      <c r="G284">
        <f>IF(AND(B284&lt;&gt;"",COUNTIF(B$6:B284,B284)=1),MAX(G$5:G283)+1,"")</f>
        <v/>
      </c>
      <c r="H284">
        <f>IF(A284="","",IF(ISNUMBER(A284),IF(A284&lt;=31,"",IF(A284&lt;=3112,IF(DATE(YR,MOD(A284,100),INT(A284/100))&gt;SAT1+7*NW-1,DATE(YR-1,MOD(A284,100),INT(A284/100)),DATE(YR,MOD(A284,100),INT(A284/100))),A284)),IFERROR(DATEVALUE(A284),"")))</f>
        <v/>
      </c>
      <c r="I284">
        <f>IF(H284="","",INT((H284-SAT1)/7)+1)</f>
        <v/>
      </c>
      <c r="J284">
        <f>IF(I284="","",IF(OR(I284&lt;1,I284&gt;NW),"",INDEX(WMON,I284)))</f>
        <v/>
      </c>
    </row>
    <row r="285">
      <c r="A285" s="48" t="n"/>
      <c r="B285" s="22" t="n"/>
      <c r="C285" s="50" t="n"/>
      <c r="D285" s="49" t="n"/>
      <c r="E285" s="50" t="n"/>
      <c r="G285">
        <f>IF(AND(B285&lt;&gt;"",COUNTIF(B$6:B285,B285)=1),MAX(G$5:G284)+1,"")</f>
        <v/>
      </c>
      <c r="H285">
        <f>IF(A285="","",IF(ISNUMBER(A285),IF(A285&lt;=31,"",IF(A285&lt;=3112,IF(DATE(YR,MOD(A285,100),INT(A285/100))&gt;SAT1+7*NW-1,DATE(YR-1,MOD(A285,100),INT(A285/100)),DATE(YR,MOD(A285,100),INT(A285/100))),A285)),IFERROR(DATEVALUE(A285),"")))</f>
        <v/>
      </c>
      <c r="I285">
        <f>IF(H285="","",INT((H285-SAT1)/7)+1)</f>
        <v/>
      </c>
      <c r="J285">
        <f>IF(I285="","",IF(OR(I285&lt;1,I285&gt;NW),"",INDEX(WMON,I285)))</f>
        <v/>
      </c>
    </row>
    <row r="286">
      <c r="A286" s="48" t="n"/>
      <c r="B286" s="22" t="n"/>
      <c r="C286" s="50" t="n"/>
      <c r="D286" s="49" t="n"/>
      <c r="E286" s="50" t="n"/>
      <c r="G286">
        <f>IF(AND(B286&lt;&gt;"",COUNTIF(B$6:B286,B286)=1),MAX(G$5:G285)+1,"")</f>
        <v/>
      </c>
      <c r="H286">
        <f>IF(A286="","",IF(ISNUMBER(A286),IF(A286&lt;=31,"",IF(A286&lt;=3112,IF(DATE(YR,MOD(A286,100),INT(A286/100))&gt;SAT1+7*NW-1,DATE(YR-1,MOD(A286,100),INT(A286/100)),DATE(YR,MOD(A286,100),INT(A286/100))),A286)),IFERROR(DATEVALUE(A286),"")))</f>
        <v/>
      </c>
      <c r="I286">
        <f>IF(H286="","",INT((H286-SAT1)/7)+1)</f>
        <v/>
      </c>
      <c r="J286">
        <f>IF(I286="","",IF(OR(I286&lt;1,I286&gt;NW),"",INDEX(WMON,I286)))</f>
        <v/>
      </c>
    </row>
    <row r="287">
      <c r="A287" s="48" t="n"/>
      <c r="B287" s="22" t="n"/>
      <c r="C287" s="50" t="n"/>
      <c r="D287" s="49" t="n"/>
      <c r="E287" s="50" t="n"/>
      <c r="G287">
        <f>IF(AND(B287&lt;&gt;"",COUNTIF(B$6:B287,B287)=1),MAX(G$5:G286)+1,"")</f>
        <v/>
      </c>
      <c r="H287">
        <f>IF(A287="","",IF(ISNUMBER(A287),IF(A287&lt;=31,"",IF(A287&lt;=3112,IF(DATE(YR,MOD(A287,100),INT(A287/100))&gt;SAT1+7*NW-1,DATE(YR-1,MOD(A287,100),INT(A287/100)),DATE(YR,MOD(A287,100),INT(A287/100))),A287)),IFERROR(DATEVALUE(A287),"")))</f>
        <v/>
      </c>
      <c r="I287">
        <f>IF(H287="","",INT((H287-SAT1)/7)+1)</f>
        <v/>
      </c>
      <c r="J287">
        <f>IF(I287="","",IF(OR(I287&lt;1,I287&gt;NW),"",INDEX(WMON,I287)))</f>
        <v/>
      </c>
    </row>
    <row r="288">
      <c r="A288" s="48" t="n"/>
      <c r="B288" s="22" t="n"/>
      <c r="C288" s="50" t="n"/>
      <c r="D288" s="49" t="n"/>
      <c r="E288" s="50" t="n"/>
      <c r="G288">
        <f>IF(AND(B288&lt;&gt;"",COUNTIF(B$6:B288,B288)=1),MAX(G$5:G287)+1,"")</f>
        <v/>
      </c>
      <c r="H288">
        <f>IF(A288="","",IF(ISNUMBER(A288),IF(A288&lt;=31,"",IF(A288&lt;=3112,IF(DATE(YR,MOD(A288,100),INT(A288/100))&gt;SAT1+7*NW-1,DATE(YR-1,MOD(A288,100),INT(A288/100)),DATE(YR,MOD(A288,100),INT(A288/100))),A288)),IFERROR(DATEVALUE(A288),"")))</f>
        <v/>
      </c>
      <c r="I288">
        <f>IF(H288="","",INT((H288-SAT1)/7)+1)</f>
        <v/>
      </c>
      <c r="J288">
        <f>IF(I288="","",IF(OR(I288&lt;1,I288&gt;NW),"",INDEX(WMON,I288)))</f>
        <v/>
      </c>
    </row>
    <row r="289">
      <c r="A289" s="48" t="n"/>
      <c r="B289" s="22" t="n"/>
      <c r="C289" s="50" t="n"/>
      <c r="D289" s="49" t="n"/>
      <c r="E289" s="50" t="n"/>
      <c r="G289">
        <f>IF(AND(B289&lt;&gt;"",COUNTIF(B$6:B289,B289)=1),MAX(G$5:G288)+1,"")</f>
        <v/>
      </c>
      <c r="H289">
        <f>IF(A289="","",IF(ISNUMBER(A289),IF(A289&lt;=31,"",IF(A289&lt;=3112,IF(DATE(YR,MOD(A289,100),INT(A289/100))&gt;SAT1+7*NW-1,DATE(YR-1,MOD(A289,100),INT(A289/100)),DATE(YR,MOD(A289,100),INT(A289/100))),A289)),IFERROR(DATEVALUE(A289),"")))</f>
        <v/>
      </c>
      <c r="I289">
        <f>IF(H289="","",INT((H289-SAT1)/7)+1)</f>
        <v/>
      </c>
      <c r="J289">
        <f>IF(I289="","",IF(OR(I289&lt;1,I289&gt;NW),"",INDEX(WMON,I289)))</f>
        <v/>
      </c>
    </row>
    <row r="290">
      <c r="A290" s="48" t="n"/>
      <c r="B290" s="22" t="n"/>
      <c r="C290" s="50" t="n"/>
      <c r="D290" s="49" t="n"/>
      <c r="E290" s="50" t="n"/>
      <c r="G290">
        <f>IF(AND(B290&lt;&gt;"",COUNTIF(B$6:B290,B290)=1),MAX(G$5:G289)+1,"")</f>
        <v/>
      </c>
      <c r="H290">
        <f>IF(A290="","",IF(ISNUMBER(A290),IF(A290&lt;=31,"",IF(A290&lt;=3112,IF(DATE(YR,MOD(A290,100),INT(A290/100))&gt;SAT1+7*NW-1,DATE(YR-1,MOD(A290,100),INT(A290/100)),DATE(YR,MOD(A290,100),INT(A290/100))),A290)),IFERROR(DATEVALUE(A290),"")))</f>
        <v/>
      </c>
      <c r="I290">
        <f>IF(H290="","",INT((H290-SAT1)/7)+1)</f>
        <v/>
      </c>
      <c r="J290">
        <f>IF(I290="","",IF(OR(I290&lt;1,I290&gt;NW),"",INDEX(WMON,I290)))</f>
        <v/>
      </c>
    </row>
    <row r="291">
      <c r="A291" s="48" t="n"/>
      <c r="B291" s="22" t="n"/>
      <c r="C291" s="50" t="n"/>
      <c r="D291" s="49" t="n"/>
      <c r="E291" s="50" t="n"/>
      <c r="G291">
        <f>IF(AND(B291&lt;&gt;"",COUNTIF(B$6:B291,B291)=1),MAX(G$5:G290)+1,"")</f>
        <v/>
      </c>
      <c r="H291">
        <f>IF(A291="","",IF(ISNUMBER(A291),IF(A291&lt;=31,"",IF(A291&lt;=3112,IF(DATE(YR,MOD(A291,100),INT(A291/100))&gt;SAT1+7*NW-1,DATE(YR-1,MOD(A291,100),INT(A291/100)),DATE(YR,MOD(A291,100),INT(A291/100))),A291)),IFERROR(DATEVALUE(A291),"")))</f>
        <v/>
      </c>
      <c r="I291">
        <f>IF(H291="","",INT((H291-SAT1)/7)+1)</f>
        <v/>
      </c>
      <c r="J291">
        <f>IF(I291="","",IF(OR(I291&lt;1,I291&gt;NW),"",INDEX(WMON,I291)))</f>
        <v/>
      </c>
    </row>
    <row r="292">
      <c r="A292" s="48" t="n"/>
      <c r="B292" s="22" t="n"/>
      <c r="C292" s="50" t="n"/>
      <c r="D292" s="49" t="n"/>
      <c r="E292" s="50" t="n"/>
      <c r="G292">
        <f>IF(AND(B292&lt;&gt;"",COUNTIF(B$6:B292,B292)=1),MAX(G$5:G291)+1,"")</f>
        <v/>
      </c>
      <c r="H292">
        <f>IF(A292="","",IF(ISNUMBER(A292),IF(A292&lt;=31,"",IF(A292&lt;=3112,IF(DATE(YR,MOD(A292,100),INT(A292/100))&gt;SAT1+7*NW-1,DATE(YR-1,MOD(A292,100),INT(A292/100)),DATE(YR,MOD(A292,100),INT(A292/100))),A292)),IFERROR(DATEVALUE(A292),"")))</f>
        <v/>
      </c>
      <c r="I292">
        <f>IF(H292="","",INT((H292-SAT1)/7)+1)</f>
        <v/>
      </c>
      <c r="J292">
        <f>IF(I292="","",IF(OR(I292&lt;1,I292&gt;NW),"",INDEX(WMON,I292)))</f>
        <v/>
      </c>
    </row>
    <row r="293">
      <c r="A293" s="48" t="n"/>
      <c r="B293" s="22" t="n"/>
      <c r="C293" s="50" t="n"/>
      <c r="D293" s="49" t="n"/>
      <c r="E293" s="50" t="n"/>
      <c r="G293">
        <f>IF(AND(B293&lt;&gt;"",COUNTIF(B$6:B293,B293)=1),MAX(G$5:G292)+1,"")</f>
        <v/>
      </c>
      <c r="H293">
        <f>IF(A293="","",IF(ISNUMBER(A293),IF(A293&lt;=31,"",IF(A293&lt;=3112,IF(DATE(YR,MOD(A293,100),INT(A293/100))&gt;SAT1+7*NW-1,DATE(YR-1,MOD(A293,100),INT(A293/100)),DATE(YR,MOD(A293,100),INT(A293/100))),A293)),IFERROR(DATEVALUE(A293),"")))</f>
        <v/>
      </c>
      <c r="I293">
        <f>IF(H293="","",INT((H293-SAT1)/7)+1)</f>
        <v/>
      </c>
      <c r="J293">
        <f>IF(I293="","",IF(OR(I293&lt;1,I293&gt;NW),"",INDEX(WMON,I293)))</f>
        <v/>
      </c>
    </row>
    <row r="294">
      <c r="A294" s="48" t="n"/>
      <c r="B294" s="22" t="n"/>
      <c r="C294" s="50" t="n"/>
      <c r="D294" s="49" t="n"/>
      <c r="E294" s="50" t="n"/>
      <c r="G294">
        <f>IF(AND(B294&lt;&gt;"",COUNTIF(B$6:B294,B294)=1),MAX(G$5:G293)+1,"")</f>
        <v/>
      </c>
      <c r="H294">
        <f>IF(A294="","",IF(ISNUMBER(A294),IF(A294&lt;=31,"",IF(A294&lt;=3112,IF(DATE(YR,MOD(A294,100),INT(A294/100))&gt;SAT1+7*NW-1,DATE(YR-1,MOD(A294,100),INT(A294/100)),DATE(YR,MOD(A294,100),INT(A294/100))),A294)),IFERROR(DATEVALUE(A294),"")))</f>
        <v/>
      </c>
      <c r="I294">
        <f>IF(H294="","",INT((H294-SAT1)/7)+1)</f>
        <v/>
      </c>
      <c r="J294">
        <f>IF(I294="","",IF(OR(I294&lt;1,I294&gt;NW),"",INDEX(WMON,I294)))</f>
        <v/>
      </c>
    </row>
    <row r="295">
      <c r="A295" s="48" t="n"/>
      <c r="B295" s="22" t="n"/>
      <c r="C295" s="50" t="n"/>
      <c r="D295" s="49" t="n"/>
      <c r="E295" s="50" t="n"/>
      <c r="G295">
        <f>IF(AND(B295&lt;&gt;"",COUNTIF(B$6:B295,B295)=1),MAX(G$5:G294)+1,"")</f>
        <v/>
      </c>
      <c r="H295">
        <f>IF(A295="","",IF(ISNUMBER(A295),IF(A295&lt;=31,"",IF(A295&lt;=3112,IF(DATE(YR,MOD(A295,100),INT(A295/100))&gt;SAT1+7*NW-1,DATE(YR-1,MOD(A295,100),INT(A295/100)),DATE(YR,MOD(A295,100),INT(A295/100))),A295)),IFERROR(DATEVALUE(A295),"")))</f>
        <v/>
      </c>
      <c r="I295">
        <f>IF(H295="","",INT((H295-SAT1)/7)+1)</f>
        <v/>
      </c>
      <c r="J295">
        <f>IF(I295="","",IF(OR(I295&lt;1,I295&gt;NW),"",INDEX(WMON,I295)))</f>
        <v/>
      </c>
    </row>
    <row r="296">
      <c r="A296" s="48" t="n"/>
      <c r="B296" s="22" t="n"/>
      <c r="C296" s="50" t="n"/>
      <c r="D296" s="49" t="n"/>
      <c r="E296" s="50" t="n"/>
      <c r="G296">
        <f>IF(AND(B296&lt;&gt;"",COUNTIF(B$6:B296,B296)=1),MAX(G$5:G295)+1,"")</f>
        <v/>
      </c>
      <c r="H296">
        <f>IF(A296="","",IF(ISNUMBER(A296),IF(A296&lt;=31,"",IF(A296&lt;=3112,IF(DATE(YR,MOD(A296,100),INT(A296/100))&gt;SAT1+7*NW-1,DATE(YR-1,MOD(A296,100),INT(A296/100)),DATE(YR,MOD(A296,100),INT(A296/100))),A296)),IFERROR(DATEVALUE(A296),"")))</f>
        <v/>
      </c>
      <c r="I296">
        <f>IF(H296="","",INT((H296-SAT1)/7)+1)</f>
        <v/>
      </c>
      <c r="J296">
        <f>IF(I296="","",IF(OR(I296&lt;1,I296&gt;NW),"",INDEX(WMON,I296)))</f>
        <v/>
      </c>
    </row>
    <row r="297">
      <c r="A297" s="48" t="n"/>
      <c r="B297" s="22" t="n"/>
      <c r="C297" s="50" t="n"/>
      <c r="D297" s="49" t="n"/>
      <c r="E297" s="50" t="n"/>
      <c r="G297">
        <f>IF(AND(B297&lt;&gt;"",COUNTIF(B$6:B297,B297)=1),MAX(G$5:G296)+1,"")</f>
        <v/>
      </c>
      <c r="H297">
        <f>IF(A297="","",IF(ISNUMBER(A297),IF(A297&lt;=31,"",IF(A297&lt;=3112,IF(DATE(YR,MOD(A297,100),INT(A297/100))&gt;SAT1+7*NW-1,DATE(YR-1,MOD(A297,100),INT(A297/100)),DATE(YR,MOD(A297,100),INT(A297/100))),A297)),IFERROR(DATEVALUE(A297),"")))</f>
        <v/>
      </c>
      <c r="I297">
        <f>IF(H297="","",INT((H297-SAT1)/7)+1)</f>
        <v/>
      </c>
      <c r="J297">
        <f>IF(I297="","",IF(OR(I297&lt;1,I297&gt;NW),"",INDEX(WMON,I297)))</f>
        <v/>
      </c>
    </row>
    <row r="298">
      <c r="A298" s="48" t="n"/>
      <c r="B298" s="22" t="n"/>
      <c r="C298" s="50" t="n"/>
      <c r="D298" s="49" t="n"/>
      <c r="E298" s="50" t="n"/>
      <c r="G298">
        <f>IF(AND(B298&lt;&gt;"",COUNTIF(B$6:B298,B298)=1),MAX(G$5:G297)+1,"")</f>
        <v/>
      </c>
      <c r="H298">
        <f>IF(A298="","",IF(ISNUMBER(A298),IF(A298&lt;=31,"",IF(A298&lt;=3112,IF(DATE(YR,MOD(A298,100),INT(A298/100))&gt;SAT1+7*NW-1,DATE(YR-1,MOD(A298,100),INT(A298/100)),DATE(YR,MOD(A298,100),INT(A298/100))),A298)),IFERROR(DATEVALUE(A298),"")))</f>
        <v/>
      </c>
      <c r="I298">
        <f>IF(H298="","",INT((H298-SAT1)/7)+1)</f>
        <v/>
      </c>
      <c r="J298">
        <f>IF(I298="","",IF(OR(I298&lt;1,I298&gt;NW),"",INDEX(WMON,I298)))</f>
        <v/>
      </c>
    </row>
    <row r="299">
      <c r="A299" s="48" t="n"/>
      <c r="B299" s="22" t="n"/>
      <c r="C299" s="50" t="n"/>
      <c r="D299" s="49" t="n"/>
      <c r="E299" s="50" t="n"/>
      <c r="G299">
        <f>IF(AND(B299&lt;&gt;"",COUNTIF(B$6:B299,B299)=1),MAX(G$5:G298)+1,"")</f>
        <v/>
      </c>
      <c r="H299">
        <f>IF(A299="","",IF(ISNUMBER(A299),IF(A299&lt;=31,"",IF(A299&lt;=3112,IF(DATE(YR,MOD(A299,100),INT(A299/100))&gt;SAT1+7*NW-1,DATE(YR-1,MOD(A299,100),INT(A299/100)),DATE(YR,MOD(A299,100),INT(A299/100))),A299)),IFERROR(DATEVALUE(A299),"")))</f>
        <v/>
      </c>
      <c r="I299">
        <f>IF(H299="","",INT((H299-SAT1)/7)+1)</f>
        <v/>
      </c>
      <c r="J299">
        <f>IF(I299="","",IF(OR(I299&lt;1,I299&gt;NW),"",INDEX(WMON,I299)))</f>
        <v/>
      </c>
    </row>
    <row r="300">
      <c r="A300" s="48" t="n"/>
      <c r="B300" s="22" t="n"/>
      <c r="C300" s="50" t="n"/>
      <c r="D300" s="49" t="n"/>
      <c r="E300" s="50" t="n"/>
      <c r="G300">
        <f>IF(AND(B300&lt;&gt;"",COUNTIF(B$6:B300,B300)=1),MAX(G$5:G299)+1,"")</f>
        <v/>
      </c>
      <c r="H300">
        <f>IF(A300="","",IF(ISNUMBER(A300),IF(A300&lt;=31,"",IF(A300&lt;=3112,IF(DATE(YR,MOD(A300,100),INT(A300/100))&gt;SAT1+7*NW-1,DATE(YR-1,MOD(A300,100),INT(A300/100)),DATE(YR,MOD(A300,100),INT(A300/100))),A300)),IFERROR(DATEVALUE(A300),"")))</f>
        <v/>
      </c>
      <c r="I300">
        <f>IF(H300="","",INT((H300-SAT1)/7)+1)</f>
        <v/>
      </c>
      <c r="J300">
        <f>IF(I300="","",IF(OR(I300&lt;1,I300&gt;NW),"",INDEX(WMON,I300)))</f>
        <v/>
      </c>
    </row>
    <row r="301">
      <c r="A301" s="48" t="n"/>
      <c r="B301" s="22" t="n"/>
      <c r="C301" s="50" t="n"/>
      <c r="D301" s="49" t="n"/>
      <c r="E301" s="50" t="n"/>
      <c r="G301">
        <f>IF(AND(B301&lt;&gt;"",COUNTIF(B$6:B301,B301)=1),MAX(G$5:G300)+1,"")</f>
        <v/>
      </c>
      <c r="H301">
        <f>IF(A301="","",IF(ISNUMBER(A301),IF(A301&lt;=31,"",IF(A301&lt;=3112,IF(DATE(YR,MOD(A301,100),INT(A301/100))&gt;SAT1+7*NW-1,DATE(YR-1,MOD(A301,100),INT(A301/100)),DATE(YR,MOD(A301,100),INT(A301/100))),A301)),IFERROR(DATEVALUE(A301),"")))</f>
        <v/>
      </c>
      <c r="I301">
        <f>IF(H301="","",INT((H301-SAT1)/7)+1)</f>
        <v/>
      </c>
      <c r="J301">
        <f>IF(I301="","",IF(OR(I301&lt;1,I301&gt;NW),"",INDEX(WMON,I301)))</f>
        <v/>
      </c>
    </row>
    <row r="302">
      <c r="A302" s="48" t="n"/>
      <c r="B302" s="22" t="n"/>
      <c r="C302" s="50" t="n"/>
      <c r="D302" s="49" t="n"/>
      <c r="E302" s="50" t="n"/>
      <c r="G302">
        <f>IF(AND(B302&lt;&gt;"",COUNTIF(B$6:B302,B302)=1),MAX(G$5:G301)+1,"")</f>
        <v/>
      </c>
      <c r="H302">
        <f>IF(A302="","",IF(ISNUMBER(A302),IF(A302&lt;=31,"",IF(A302&lt;=3112,IF(DATE(YR,MOD(A302,100),INT(A302/100))&gt;SAT1+7*NW-1,DATE(YR-1,MOD(A302,100),INT(A302/100)),DATE(YR,MOD(A302,100),INT(A302/100))),A302)),IFERROR(DATEVALUE(A302),"")))</f>
        <v/>
      </c>
      <c r="I302">
        <f>IF(H302="","",INT((H302-SAT1)/7)+1)</f>
        <v/>
      </c>
      <c r="J302">
        <f>IF(I302="","",IF(OR(I302&lt;1,I302&gt;NW),"",INDEX(WMON,I302)))</f>
        <v/>
      </c>
    </row>
    <row r="303">
      <c r="A303" s="48" t="n"/>
      <c r="B303" s="22" t="n"/>
      <c r="C303" s="50" t="n"/>
      <c r="D303" s="49" t="n"/>
      <c r="E303" s="50" t="n"/>
      <c r="G303">
        <f>IF(AND(B303&lt;&gt;"",COUNTIF(B$6:B303,B303)=1),MAX(G$5:G302)+1,"")</f>
        <v/>
      </c>
      <c r="H303">
        <f>IF(A303="","",IF(ISNUMBER(A303),IF(A303&lt;=31,"",IF(A303&lt;=3112,IF(DATE(YR,MOD(A303,100),INT(A303/100))&gt;SAT1+7*NW-1,DATE(YR-1,MOD(A303,100),INT(A303/100)),DATE(YR,MOD(A303,100),INT(A303/100))),A303)),IFERROR(DATEVALUE(A303),"")))</f>
        <v/>
      </c>
      <c r="I303">
        <f>IF(H303="","",INT((H303-SAT1)/7)+1)</f>
        <v/>
      </c>
      <c r="J303">
        <f>IF(I303="","",IF(OR(I303&lt;1,I303&gt;NW),"",INDEX(WMON,I303)))</f>
        <v/>
      </c>
    </row>
    <row r="304">
      <c r="A304" s="48" t="n"/>
      <c r="B304" s="22" t="n"/>
      <c r="C304" s="50" t="n"/>
      <c r="D304" s="49" t="n"/>
      <c r="E304" s="50" t="n"/>
      <c r="G304">
        <f>IF(AND(B304&lt;&gt;"",COUNTIF(B$6:B304,B304)=1),MAX(G$5:G303)+1,"")</f>
        <v/>
      </c>
      <c r="H304">
        <f>IF(A304="","",IF(ISNUMBER(A304),IF(A304&lt;=31,"",IF(A304&lt;=3112,IF(DATE(YR,MOD(A304,100),INT(A304/100))&gt;SAT1+7*NW-1,DATE(YR-1,MOD(A304,100),INT(A304/100)),DATE(YR,MOD(A304,100),INT(A304/100))),A304)),IFERROR(DATEVALUE(A304),"")))</f>
        <v/>
      </c>
      <c r="I304">
        <f>IF(H304="","",INT((H304-SAT1)/7)+1)</f>
        <v/>
      </c>
      <c r="J304">
        <f>IF(I304="","",IF(OR(I304&lt;1,I304&gt;NW),"",INDEX(WMON,I304)))</f>
        <v/>
      </c>
    </row>
    <row r="305">
      <c r="A305" s="48" t="n"/>
      <c r="B305" s="22" t="n"/>
      <c r="C305" s="50" t="n"/>
      <c r="D305" s="49" t="n"/>
      <c r="E305" s="50" t="n"/>
      <c r="G305">
        <f>IF(AND(B305&lt;&gt;"",COUNTIF(B$6:B305,B305)=1),MAX(G$5:G304)+1,"")</f>
        <v/>
      </c>
      <c r="H305">
        <f>IF(A305="","",IF(ISNUMBER(A305),IF(A305&lt;=31,"",IF(A305&lt;=3112,IF(DATE(YR,MOD(A305,100),INT(A305/100))&gt;SAT1+7*NW-1,DATE(YR-1,MOD(A305,100),INT(A305/100)),DATE(YR,MOD(A305,100),INT(A305/100))),A305)),IFERROR(DATEVALUE(A305),"")))</f>
        <v/>
      </c>
      <c r="I305">
        <f>IF(H305="","",INT((H305-SAT1)/7)+1)</f>
        <v/>
      </c>
      <c r="J305">
        <f>IF(I305="","",IF(OR(I305&lt;1,I305&gt;NW),"",INDEX(WMON,I305)))</f>
        <v/>
      </c>
    </row>
    <row r="306">
      <c r="A306" s="48" t="n"/>
      <c r="B306" s="22" t="n"/>
      <c r="C306" s="50" t="n"/>
      <c r="D306" s="49" t="n"/>
      <c r="E306" s="50" t="n"/>
      <c r="G306">
        <f>IF(AND(B306&lt;&gt;"",COUNTIF(B$6:B306,B306)=1),MAX(G$5:G305)+1,"")</f>
        <v/>
      </c>
      <c r="H306">
        <f>IF(A306="","",IF(ISNUMBER(A306),IF(A306&lt;=31,"",IF(A306&lt;=3112,IF(DATE(YR,MOD(A306,100),INT(A306/100))&gt;SAT1+7*NW-1,DATE(YR-1,MOD(A306,100),INT(A306/100)),DATE(YR,MOD(A306,100),INT(A306/100))),A306)),IFERROR(DATEVALUE(A306),"")))</f>
        <v/>
      </c>
      <c r="I306">
        <f>IF(H306="","",INT((H306-SAT1)/7)+1)</f>
        <v/>
      </c>
      <c r="J306">
        <f>IF(I306="","",IF(OR(I306&lt;1,I306&gt;NW),"",INDEX(WMON,I306)))</f>
        <v/>
      </c>
    </row>
    <row r="307">
      <c r="A307" s="48" t="n"/>
      <c r="B307" s="22" t="n"/>
      <c r="C307" s="50" t="n"/>
      <c r="D307" s="49" t="n"/>
      <c r="E307" s="50" t="n"/>
      <c r="G307">
        <f>IF(AND(B307&lt;&gt;"",COUNTIF(B$6:B307,B307)=1),MAX(G$5:G306)+1,"")</f>
        <v/>
      </c>
      <c r="H307">
        <f>IF(A307="","",IF(ISNUMBER(A307),IF(A307&lt;=31,"",IF(A307&lt;=3112,IF(DATE(YR,MOD(A307,100),INT(A307/100))&gt;SAT1+7*NW-1,DATE(YR-1,MOD(A307,100),INT(A307/100)),DATE(YR,MOD(A307,100),INT(A307/100))),A307)),IFERROR(DATEVALUE(A307),"")))</f>
        <v/>
      </c>
      <c r="I307">
        <f>IF(H307="","",INT((H307-SAT1)/7)+1)</f>
        <v/>
      </c>
      <c r="J307">
        <f>IF(I307="","",IF(OR(I307&lt;1,I307&gt;NW),"",INDEX(WMON,I307)))</f>
        <v/>
      </c>
    </row>
    <row r="308">
      <c r="A308" s="48" t="n"/>
      <c r="B308" s="22" t="n"/>
      <c r="C308" s="50" t="n"/>
      <c r="D308" s="49" t="n"/>
      <c r="E308" s="50" t="n"/>
      <c r="G308">
        <f>IF(AND(B308&lt;&gt;"",COUNTIF(B$6:B308,B308)=1),MAX(G$5:G307)+1,"")</f>
        <v/>
      </c>
      <c r="H308">
        <f>IF(A308="","",IF(ISNUMBER(A308),IF(A308&lt;=31,"",IF(A308&lt;=3112,IF(DATE(YR,MOD(A308,100),INT(A308/100))&gt;SAT1+7*NW-1,DATE(YR-1,MOD(A308,100),INT(A308/100)),DATE(YR,MOD(A308,100),INT(A308/100))),A308)),IFERROR(DATEVALUE(A308),"")))</f>
        <v/>
      </c>
      <c r="I308">
        <f>IF(H308="","",INT((H308-SAT1)/7)+1)</f>
        <v/>
      </c>
      <c r="J308">
        <f>IF(I308="","",IF(OR(I308&lt;1,I308&gt;NW),"",INDEX(WMON,I308)))</f>
        <v/>
      </c>
    </row>
    <row r="309">
      <c r="A309" s="48" t="n"/>
      <c r="B309" s="22" t="n"/>
      <c r="C309" s="50" t="n"/>
      <c r="D309" s="49" t="n"/>
      <c r="E309" s="50" t="n"/>
      <c r="G309">
        <f>IF(AND(B309&lt;&gt;"",COUNTIF(B$6:B309,B309)=1),MAX(G$5:G308)+1,"")</f>
        <v/>
      </c>
      <c r="H309">
        <f>IF(A309="","",IF(ISNUMBER(A309),IF(A309&lt;=31,"",IF(A309&lt;=3112,IF(DATE(YR,MOD(A309,100),INT(A309/100))&gt;SAT1+7*NW-1,DATE(YR-1,MOD(A309,100),INT(A309/100)),DATE(YR,MOD(A309,100),INT(A309/100))),A309)),IFERROR(DATEVALUE(A309),"")))</f>
        <v/>
      </c>
      <c r="I309">
        <f>IF(H309="","",INT((H309-SAT1)/7)+1)</f>
        <v/>
      </c>
      <c r="J309">
        <f>IF(I309="","",IF(OR(I309&lt;1,I309&gt;NW),"",INDEX(WMON,I309)))</f>
        <v/>
      </c>
    </row>
    <row r="310">
      <c r="A310" s="48" t="n"/>
      <c r="B310" s="22" t="n"/>
      <c r="C310" s="50" t="n"/>
      <c r="D310" s="49" t="n"/>
      <c r="E310" s="50" t="n"/>
      <c r="G310">
        <f>IF(AND(B310&lt;&gt;"",COUNTIF(B$6:B310,B310)=1),MAX(G$5:G309)+1,"")</f>
        <v/>
      </c>
      <c r="H310">
        <f>IF(A310="","",IF(ISNUMBER(A310),IF(A310&lt;=31,"",IF(A310&lt;=3112,IF(DATE(YR,MOD(A310,100),INT(A310/100))&gt;SAT1+7*NW-1,DATE(YR-1,MOD(A310,100),INT(A310/100)),DATE(YR,MOD(A310,100),INT(A310/100))),A310)),IFERROR(DATEVALUE(A310),"")))</f>
        <v/>
      </c>
      <c r="I310">
        <f>IF(H310="","",INT((H310-SAT1)/7)+1)</f>
        <v/>
      </c>
      <c r="J310">
        <f>IF(I310="","",IF(OR(I310&lt;1,I310&gt;NW),"",INDEX(WMON,I310)))</f>
        <v/>
      </c>
    </row>
    <row r="311">
      <c r="A311" s="48" t="n"/>
      <c r="B311" s="22" t="n"/>
      <c r="C311" s="50" t="n"/>
      <c r="D311" s="49" t="n"/>
      <c r="E311" s="50" t="n"/>
      <c r="G311">
        <f>IF(AND(B311&lt;&gt;"",COUNTIF(B$6:B311,B311)=1),MAX(G$5:G310)+1,"")</f>
        <v/>
      </c>
      <c r="H311">
        <f>IF(A311="","",IF(ISNUMBER(A311),IF(A311&lt;=31,"",IF(A311&lt;=3112,IF(DATE(YR,MOD(A311,100),INT(A311/100))&gt;SAT1+7*NW-1,DATE(YR-1,MOD(A311,100),INT(A311/100)),DATE(YR,MOD(A311,100),INT(A311/100))),A311)),IFERROR(DATEVALUE(A311),"")))</f>
        <v/>
      </c>
      <c r="I311">
        <f>IF(H311="","",INT((H311-SAT1)/7)+1)</f>
        <v/>
      </c>
      <c r="J311">
        <f>IF(I311="","",IF(OR(I311&lt;1,I311&gt;NW),"",INDEX(WMON,I311)))</f>
        <v/>
      </c>
    </row>
    <row r="312">
      <c r="A312" s="48" t="n"/>
      <c r="B312" s="22" t="n"/>
      <c r="C312" s="50" t="n"/>
      <c r="D312" s="49" t="n"/>
      <c r="E312" s="50" t="n"/>
      <c r="G312">
        <f>IF(AND(B312&lt;&gt;"",COUNTIF(B$6:B312,B312)=1),MAX(G$5:G311)+1,"")</f>
        <v/>
      </c>
      <c r="H312">
        <f>IF(A312="","",IF(ISNUMBER(A312),IF(A312&lt;=31,"",IF(A312&lt;=3112,IF(DATE(YR,MOD(A312,100),INT(A312/100))&gt;SAT1+7*NW-1,DATE(YR-1,MOD(A312,100),INT(A312/100)),DATE(YR,MOD(A312,100),INT(A312/100))),A312)),IFERROR(DATEVALUE(A312),"")))</f>
        <v/>
      </c>
      <c r="I312">
        <f>IF(H312="","",INT((H312-SAT1)/7)+1)</f>
        <v/>
      </c>
      <c r="J312">
        <f>IF(I312="","",IF(OR(I312&lt;1,I312&gt;NW),"",INDEX(WMON,I312)))</f>
        <v/>
      </c>
    </row>
    <row r="313">
      <c r="A313" s="48" t="n"/>
      <c r="B313" s="22" t="n"/>
      <c r="C313" s="50" t="n"/>
      <c r="D313" s="49" t="n"/>
      <c r="E313" s="50" t="n"/>
      <c r="G313">
        <f>IF(AND(B313&lt;&gt;"",COUNTIF(B$6:B313,B313)=1),MAX(G$5:G312)+1,"")</f>
        <v/>
      </c>
      <c r="H313">
        <f>IF(A313="","",IF(ISNUMBER(A313),IF(A313&lt;=31,"",IF(A313&lt;=3112,IF(DATE(YR,MOD(A313,100),INT(A313/100))&gt;SAT1+7*NW-1,DATE(YR-1,MOD(A313,100),INT(A313/100)),DATE(YR,MOD(A313,100),INT(A313/100))),A313)),IFERROR(DATEVALUE(A313),"")))</f>
        <v/>
      </c>
      <c r="I313">
        <f>IF(H313="","",INT((H313-SAT1)/7)+1)</f>
        <v/>
      </c>
      <c r="J313">
        <f>IF(I313="","",IF(OR(I313&lt;1,I313&gt;NW),"",INDEX(WMON,I313)))</f>
        <v/>
      </c>
    </row>
    <row r="314">
      <c r="A314" s="48" t="n"/>
      <c r="B314" s="22" t="n"/>
      <c r="C314" s="50" t="n"/>
      <c r="D314" s="49" t="n"/>
      <c r="E314" s="50" t="n"/>
      <c r="G314">
        <f>IF(AND(B314&lt;&gt;"",COUNTIF(B$6:B314,B314)=1),MAX(G$5:G313)+1,"")</f>
        <v/>
      </c>
      <c r="H314">
        <f>IF(A314="","",IF(ISNUMBER(A314),IF(A314&lt;=31,"",IF(A314&lt;=3112,IF(DATE(YR,MOD(A314,100),INT(A314/100))&gt;SAT1+7*NW-1,DATE(YR-1,MOD(A314,100),INT(A314/100)),DATE(YR,MOD(A314,100),INT(A314/100))),A314)),IFERROR(DATEVALUE(A314),"")))</f>
        <v/>
      </c>
      <c r="I314">
        <f>IF(H314="","",INT((H314-SAT1)/7)+1)</f>
        <v/>
      </c>
      <c r="J314">
        <f>IF(I314="","",IF(OR(I314&lt;1,I314&gt;NW),"",INDEX(WMON,I314)))</f>
        <v/>
      </c>
    </row>
    <row r="315">
      <c r="A315" s="48" t="n"/>
      <c r="B315" s="22" t="n"/>
      <c r="C315" s="50" t="n"/>
      <c r="D315" s="49" t="n"/>
      <c r="E315" s="50" t="n"/>
      <c r="G315">
        <f>IF(AND(B315&lt;&gt;"",COUNTIF(B$6:B315,B315)=1),MAX(G$5:G314)+1,"")</f>
        <v/>
      </c>
      <c r="H315">
        <f>IF(A315="","",IF(ISNUMBER(A315),IF(A315&lt;=31,"",IF(A315&lt;=3112,IF(DATE(YR,MOD(A315,100),INT(A315/100))&gt;SAT1+7*NW-1,DATE(YR-1,MOD(A315,100),INT(A315/100)),DATE(YR,MOD(A315,100),INT(A315/100))),A315)),IFERROR(DATEVALUE(A315),"")))</f>
        <v/>
      </c>
      <c r="I315">
        <f>IF(H315="","",INT((H315-SAT1)/7)+1)</f>
        <v/>
      </c>
      <c r="J315">
        <f>IF(I315="","",IF(OR(I315&lt;1,I315&gt;NW),"",INDEX(WMON,I315)))</f>
        <v/>
      </c>
    </row>
    <row r="316">
      <c r="A316" s="48" t="n"/>
      <c r="B316" s="22" t="n"/>
      <c r="C316" s="50" t="n"/>
      <c r="D316" s="49" t="n"/>
      <c r="E316" s="50" t="n"/>
      <c r="G316">
        <f>IF(AND(B316&lt;&gt;"",COUNTIF(B$6:B316,B316)=1),MAX(G$5:G315)+1,"")</f>
        <v/>
      </c>
      <c r="H316">
        <f>IF(A316="","",IF(ISNUMBER(A316),IF(A316&lt;=31,"",IF(A316&lt;=3112,IF(DATE(YR,MOD(A316,100),INT(A316/100))&gt;SAT1+7*NW-1,DATE(YR-1,MOD(A316,100),INT(A316/100)),DATE(YR,MOD(A316,100),INT(A316/100))),A316)),IFERROR(DATEVALUE(A316),"")))</f>
        <v/>
      </c>
      <c r="I316">
        <f>IF(H316="","",INT((H316-SAT1)/7)+1)</f>
        <v/>
      </c>
      <c r="J316">
        <f>IF(I316="","",IF(OR(I316&lt;1,I316&gt;NW),"",INDEX(WMON,I316)))</f>
        <v/>
      </c>
    </row>
    <row r="317">
      <c r="A317" s="48" t="n"/>
      <c r="B317" s="22" t="n"/>
      <c r="C317" s="50" t="n"/>
      <c r="D317" s="49" t="n"/>
      <c r="E317" s="50" t="n"/>
      <c r="G317">
        <f>IF(AND(B317&lt;&gt;"",COUNTIF(B$6:B317,B317)=1),MAX(G$5:G316)+1,"")</f>
        <v/>
      </c>
      <c r="H317">
        <f>IF(A317="","",IF(ISNUMBER(A317),IF(A317&lt;=31,"",IF(A317&lt;=3112,IF(DATE(YR,MOD(A317,100),INT(A317/100))&gt;SAT1+7*NW-1,DATE(YR-1,MOD(A317,100),INT(A317/100)),DATE(YR,MOD(A317,100),INT(A317/100))),A317)),IFERROR(DATEVALUE(A317),"")))</f>
        <v/>
      </c>
      <c r="I317">
        <f>IF(H317="","",INT((H317-SAT1)/7)+1)</f>
        <v/>
      </c>
      <c r="J317">
        <f>IF(I317="","",IF(OR(I317&lt;1,I317&gt;NW),"",INDEX(WMON,I317)))</f>
        <v/>
      </c>
    </row>
    <row r="318">
      <c r="A318" s="48" t="n"/>
      <c r="B318" s="22" t="n"/>
      <c r="C318" s="50" t="n"/>
      <c r="D318" s="49" t="n"/>
      <c r="E318" s="50" t="n"/>
      <c r="G318">
        <f>IF(AND(B318&lt;&gt;"",COUNTIF(B$6:B318,B318)=1),MAX(G$5:G317)+1,"")</f>
        <v/>
      </c>
      <c r="H318">
        <f>IF(A318="","",IF(ISNUMBER(A318),IF(A318&lt;=31,"",IF(A318&lt;=3112,IF(DATE(YR,MOD(A318,100),INT(A318/100))&gt;SAT1+7*NW-1,DATE(YR-1,MOD(A318,100),INT(A318/100)),DATE(YR,MOD(A318,100),INT(A318/100))),A318)),IFERROR(DATEVALUE(A318),"")))</f>
        <v/>
      </c>
      <c r="I318">
        <f>IF(H318="","",INT((H318-SAT1)/7)+1)</f>
        <v/>
      </c>
      <c r="J318">
        <f>IF(I318="","",IF(OR(I318&lt;1,I318&gt;NW),"",INDEX(WMON,I318)))</f>
        <v/>
      </c>
    </row>
    <row r="319">
      <c r="A319" s="48" t="n"/>
      <c r="B319" s="22" t="n"/>
      <c r="C319" s="50" t="n"/>
      <c r="D319" s="49" t="n"/>
      <c r="E319" s="50" t="n"/>
      <c r="G319">
        <f>IF(AND(B319&lt;&gt;"",COUNTIF(B$6:B319,B319)=1),MAX(G$5:G318)+1,"")</f>
        <v/>
      </c>
      <c r="H319">
        <f>IF(A319="","",IF(ISNUMBER(A319),IF(A319&lt;=31,"",IF(A319&lt;=3112,IF(DATE(YR,MOD(A319,100),INT(A319/100))&gt;SAT1+7*NW-1,DATE(YR-1,MOD(A319,100),INT(A319/100)),DATE(YR,MOD(A319,100),INT(A319/100))),A319)),IFERROR(DATEVALUE(A319),"")))</f>
        <v/>
      </c>
      <c r="I319">
        <f>IF(H319="","",INT((H319-SAT1)/7)+1)</f>
        <v/>
      </c>
      <c r="J319">
        <f>IF(I319="","",IF(OR(I319&lt;1,I319&gt;NW),"",INDEX(WMON,I319)))</f>
        <v/>
      </c>
    </row>
    <row r="320">
      <c r="A320" s="48" t="n"/>
      <c r="B320" s="22" t="n"/>
      <c r="C320" s="50" t="n"/>
      <c r="D320" s="49" t="n"/>
      <c r="E320" s="50" t="n"/>
      <c r="G320">
        <f>IF(AND(B320&lt;&gt;"",COUNTIF(B$6:B320,B320)=1),MAX(G$5:G319)+1,"")</f>
        <v/>
      </c>
      <c r="H320">
        <f>IF(A320="","",IF(ISNUMBER(A320),IF(A320&lt;=31,"",IF(A320&lt;=3112,IF(DATE(YR,MOD(A320,100),INT(A320/100))&gt;SAT1+7*NW-1,DATE(YR-1,MOD(A320,100),INT(A320/100)),DATE(YR,MOD(A320,100),INT(A320/100))),A320)),IFERROR(DATEVALUE(A320),"")))</f>
        <v/>
      </c>
      <c r="I320">
        <f>IF(H320="","",INT((H320-SAT1)/7)+1)</f>
        <v/>
      </c>
      <c r="J320">
        <f>IF(I320="","",IF(OR(I320&lt;1,I320&gt;NW),"",INDEX(WMON,I320)))</f>
        <v/>
      </c>
    </row>
    <row r="321">
      <c r="A321" s="48" t="n"/>
      <c r="B321" s="22" t="n"/>
      <c r="C321" s="50" t="n"/>
      <c r="D321" s="49" t="n"/>
      <c r="E321" s="50" t="n"/>
      <c r="G321">
        <f>IF(AND(B321&lt;&gt;"",COUNTIF(B$6:B321,B321)=1),MAX(G$5:G320)+1,"")</f>
        <v/>
      </c>
      <c r="H321">
        <f>IF(A321="","",IF(ISNUMBER(A321),IF(A321&lt;=31,"",IF(A321&lt;=3112,IF(DATE(YR,MOD(A321,100),INT(A321/100))&gt;SAT1+7*NW-1,DATE(YR-1,MOD(A321,100),INT(A321/100)),DATE(YR,MOD(A321,100),INT(A321/100))),A321)),IFERROR(DATEVALUE(A321),"")))</f>
        <v/>
      </c>
      <c r="I321">
        <f>IF(H321="","",INT((H321-SAT1)/7)+1)</f>
        <v/>
      </c>
      <c r="J321">
        <f>IF(I321="","",IF(OR(I321&lt;1,I321&gt;NW),"",INDEX(WMON,I321)))</f>
        <v/>
      </c>
    </row>
    <row r="322">
      <c r="A322" s="48" t="n"/>
      <c r="B322" s="22" t="n"/>
      <c r="C322" s="50" t="n"/>
      <c r="D322" s="49" t="n"/>
      <c r="E322" s="50" t="n"/>
      <c r="G322">
        <f>IF(AND(B322&lt;&gt;"",COUNTIF(B$6:B322,B322)=1),MAX(G$5:G321)+1,"")</f>
        <v/>
      </c>
      <c r="H322">
        <f>IF(A322="","",IF(ISNUMBER(A322),IF(A322&lt;=31,"",IF(A322&lt;=3112,IF(DATE(YR,MOD(A322,100),INT(A322/100))&gt;SAT1+7*NW-1,DATE(YR-1,MOD(A322,100),INT(A322/100)),DATE(YR,MOD(A322,100),INT(A322/100))),A322)),IFERROR(DATEVALUE(A322),"")))</f>
        <v/>
      </c>
      <c r="I322">
        <f>IF(H322="","",INT((H322-SAT1)/7)+1)</f>
        <v/>
      </c>
      <c r="J322">
        <f>IF(I322="","",IF(OR(I322&lt;1,I322&gt;NW),"",INDEX(WMON,I322)))</f>
        <v/>
      </c>
    </row>
    <row r="323">
      <c r="A323" s="48" t="n"/>
      <c r="B323" s="22" t="n"/>
      <c r="C323" s="50" t="n"/>
      <c r="D323" s="49" t="n"/>
      <c r="E323" s="50" t="n"/>
      <c r="G323">
        <f>IF(AND(B323&lt;&gt;"",COUNTIF(B$6:B323,B323)=1),MAX(G$5:G322)+1,"")</f>
        <v/>
      </c>
      <c r="H323">
        <f>IF(A323="","",IF(ISNUMBER(A323),IF(A323&lt;=31,"",IF(A323&lt;=3112,IF(DATE(YR,MOD(A323,100),INT(A323/100))&gt;SAT1+7*NW-1,DATE(YR-1,MOD(A323,100),INT(A323/100)),DATE(YR,MOD(A323,100),INT(A323/100))),A323)),IFERROR(DATEVALUE(A323),"")))</f>
        <v/>
      </c>
      <c r="I323">
        <f>IF(H323="","",INT((H323-SAT1)/7)+1)</f>
        <v/>
      </c>
      <c r="J323">
        <f>IF(I323="","",IF(OR(I323&lt;1,I323&gt;NW),"",INDEX(WMON,I323)))</f>
        <v/>
      </c>
    </row>
    <row r="324">
      <c r="A324" s="48" t="n"/>
      <c r="B324" s="22" t="n"/>
      <c r="C324" s="50" t="n"/>
      <c r="D324" s="49" t="n"/>
      <c r="E324" s="50" t="n"/>
      <c r="G324">
        <f>IF(AND(B324&lt;&gt;"",COUNTIF(B$6:B324,B324)=1),MAX(G$5:G323)+1,"")</f>
        <v/>
      </c>
      <c r="H324">
        <f>IF(A324="","",IF(ISNUMBER(A324),IF(A324&lt;=31,"",IF(A324&lt;=3112,IF(DATE(YR,MOD(A324,100),INT(A324/100))&gt;SAT1+7*NW-1,DATE(YR-1,MOD(A324,100),INT(A324/100)),DATE(YR,MOD(A324,100),INT(A324/100))),A324)),IFERROR(DATEVALUE(A324),"")))</f>
        <v/>
      </c>
      <c r="I324">
        <f>IF(H324="","",INT((H324-SAT1)/7)+1)</f>
        <v/>
      </c>
      <c r="J324">
        <f>IF(I324="","",IF(OR(I324&lt;1,I324&gt;NW),"",INDEX(WMON,I324)))</f>
        <v/>
      </c>
    </row>
    <row r="325">
      <c r="A325" s="48" t="n"/>
      <c r="B325" s="22" t="n"/>
      <c r="C325" s="50" t="n"/>
      <c r="D325" s="49" t="n"/>
      <c r="E325" s="50" t="n"/>
      <c r="G325">
        <f>IF(AND(B325&lt;&gt;"",COUNTIF(B$6:B325,B325)=1),MAX(G$5:G324)+1,"")</f>
        <v/>
      </c>
      <c r="H325">
        <f>IF(A325="","",IF(ISNUMBER(A325),IF(A325&lt;=31,"",IF(A325&lt;=3112,IF(DATE(YR,MOD(A325,100),INT(A325/100))&gt;SAT1+7*NW-1,DATE(YR-1,MOD(A325,100),INT(A325/100)),DATE(YR,MOD(A325,100),INT(A325/100))),A325)),IFERROR(DATEVALUE(A325),"")))</f>
        <v/>
      </c>
      <c r="I325">
        <f>IF(H325="","",INT((H325-SAT1)/7)+1)</f>
        <v/>
      </c>
      <c r="J325">
        <f>IF(I325="","",IF(OR(I325&lt;1,I325&gt;NW),"",INDEX(WMON,I325)))</f>
        <v/>
      </c>
    </row>
    <row r="326">
      <c r="A326" s="48" t="n"/>
      <c r="B326" s="22" t="n"/>
      <c r="C326" s="50" t="n"/>
      <c r="D326" s="49" t="n"/>
      <c r="E326" s="50" t="n"/>
      <c r="G326">
        <f>IF(AND(B326&lt;&gt;"",COUNTIF(B$6:B326,B326)=1),MAX(G$5:G325)+1,"")</f>
        <v/>
      </c>
      <c r="H326">
        <f>IF(A326="","",IF(ISNUMBER(A326),IF(A326&lt;=31,"",IF(A326&lt;=3112,IF(DATE(YR,MOD(A326,100),INT(A326/100))&gt;SAT1+7*NW-1,DATE(YR-1,MOD(A326,100),INT(A326/100)),DATE(YR,MOD(A326,100),INT(A326/100))),A326)),IFERROR(DATEVALUE(A326),"")))</f>
        <v/>
      </c>
      <c r="I326">
        <f>IF(H326="","",INT((H326-SAT1)/7)+1)</f>
        <v/>
      </c>
      <c r="J326">
        <f>IF(I326="","",IF(OR(I326&lt;1,I326&gt;NW),"",INDEX(WMON,I326)))</f>
        <v/>
      </c>
    </row>
    <row r="327">
      <c r="A327" s="48" t="n"/>
      <c r="B327" s="22" t="n"/>
      <c r="C327" s="50" t="n"/>
      <c r="D327" s="49" t="n"/>
      <c r="E327" s="50" t="n"/>
      <c r="G327">
        <f>IF(AND(B327&lt;&gt;"",COUNTIF(B$6:B327,B327)=1),MAX(G$5:G326)+1,"")</f>
        <v/>
      </c>
      <c r="H327">
        <f>IF(A327="","",IF(ISNUMBER(A327),IF(A327&lt;=31,"",IF(A327&lt;=3112,IF(DATE(YR,MOD(A327,100),INT(A327/100))&gt;SAT1+7*NW-1,DATE(YR-1,MOD(A327,100),INT(A327/100)),DATE(YR,MOD(A327,100),INT(A327/100))),A327)),IFERROR(DATEVALUE(A327),"")))</f>
        <v/>
      </c>
      <c r="I327">
        <f>IF(H327="","",INT((H327-SAT1)/7)+1)</f>
        <v/>
      </c>
      <c r="J327">
        <f>IF(I327="","",IF(OR(I327&lt;1,I327&gt;NW),"",INDEX(WMON,I327)))</f>
        <v/>
      </c>
    </row>
    <row r="328">
      <c r="A328" s="48" t="n"/>
      <c r="B328" s="22" t="n"/>
      <c r="C328" s="50" t="n"/>
      <c r="D328" s="49" t="n"/>
      <c r="E328" s="50" t="n"/>
      <c r="G328">
        <f>IF(AND(B328&lt;&gt;"",COUNTIF(B$6:B328,B328)=1),MAX(G$5:G327)+1,"")</f>
        <v/>
      </c>
      <c r="H328">
        <f>IF(A328="","",IF(ISNUMBER(A328),IF(A328&lt;=31,"",IF(A328&lt;=3112,IF(DATE(YR,MOD(A328,100),INT(A328/100))&gt;SAT1+7*NW-1,DATE(YR-1,MOD(A328,100),INT(A328/100)),DATE(YR,MOD(A328,100),INT(A328/100))),A328)),IFERROR(DATEVALUE(A328),"")))</f>
        <v/>
      </c>
      <c r="I328">
        <f>IF(H328="","",INT((H328-SAT1)/7)+1)</f>
        <v/>
      </c>
      <c r="J328">
        <f>IF(I328="","",IF(OR(I328&lt;1,I328&gt;NW),"",INDEX(WMON,I328)))</f>
        <v/>
      </c>
    </row>
    <row r="329">
      <c r="A329" s="48" t="n"/>
      <c r="B329" s="22" t="n"/>
      <c r="C329" s="50" t="n"/>
      <c r="D329" s="49" t="n"/>
      <c r="E329" s="50" t="n"/>
      <c r="G329">
        <f>IF(AND(B329&lt;&gt;"",COUNTIF(B$6:B329,B329)=1),MAX(G$5:G328)+1,"")</f>
        <v/>
      </c>
      <c r="H329">
        <f>IF(A329="","",IF(ISNUMBER(A329),IF(A329&lt;=31,"",IF(A329&lt;=3112,IF(DATE(YR,MOD(A329,100),INT(A329/100))&gt;SAT1+7*NW-1,DATE(YR-1,MOD(A329,100),INT(A329/100)),DATE(YR,MOD(A329,100),INT(A329/100))),A329)),IFERROR(DATEVALUE(A329),"")))</f>
        <v/>
      </c>
      <c r="I329">
        <f>IF(H329="","",INT((H329-SAT1)/7)+1)</f>
        <v/>
      </c>
      <c r="J329">
        <f>IF(I329="","",IF(OR(I329&lt;1,I329&gt;NW),"",INDEX(WMON,I329)))</f>
        <v/>
      </c>
    </row>
    <row r="330">
      <c r="A330" s="48" t="n"/>
      <c r="B330" s="22" t="n"/>
      <c r="C330" s="50" t="n"/>
      <c r="D330" s="49" t="n"/>
      <c r="E330" s="50" t="n"/>
      <c r="G330">
        <f>IF(AND(B330&lt;&gt;"",COUNTIF(B$6:B330,B330)=1),MAX(G$5:G329)+1,"")</f>
        <v/>
      </c>
      <c r="H330">
        <f>IF(A330="","",IF(ISNUMBER(A330),IF(A330&lt;=31,"",IF(A330&lt;=3112,IF(DATE(YR,MOD(A330,100),INT(A330/100))&gt;SAT1+7*NW-1,DATE(YR-1,MOD(A330,100),INT(A330/100)),DATE(YR,MOD(A330,100),INT(A330/100))),A330)),IFERROR(DATEVALUE(A330),"")))</f>
        <v/>
      </c>
      <c r="I330">
        <f>IF(H330="","",INT((H330-SAT1)/7)+1)</f>
        <v/>
      </c>
      <c r="J330">
        <f>IF(I330="","",IF(OR(I330&lt;1,I330&gt;NW),"",INDEX(WMON,I330)))</f>
        <v/>
      </c>
    </row>
    <row r="331">
      <c r="A331" s="48" t="n"/>
      <c r="B331" s="22" t="n"/>
      <c r="C331" s="50" t="n"/>
      <c r="D331" s="49" t="n"/>
      <c r="E331" s="50" t="n"/>
      <c r="G331">
        <f>IF(AND(B331&lt;&gt;"",COUNTIF(B$6:B331,B331)=1),MAX(G$5:G330)+1,"")</f>
        <v/>
      </c>
      <c r="H331">
        <f>IF(A331="","",IF(ISNUMBER(A331),IF(A331&lt;=31,"",IF(A331&lt;=3112,IF(DATE(YR,MOD(A331,100),INT(A331/100))&gt;SAT1+7*NW-1,DATE(YR-1,MOD(A331,100),INT(A331/100)),DATE(YR,MOD(A331,100),INT(A331/100))),A331)),IFERROR(DATEVALUE(A331),"")))</f>
        <v/>
      </c>
      <c r="I331">
        <f>IF(H331="","",INT((H331-SAT1)/7)+1)</f>
        <v/>
      </c>
      <c r="J331">
        <f>IF(I331="","",IF(OR(I331&lt;1,I331&gt;NW),"",INDEX(WMON,I331)))</f>
        <v/>
      </c>
    </row>
    <row r="332">
      <c r="A332" s="48" t="n"/>
      <c r="B332" s="22" t="n"/>
      <c r="C332" s="50" t="n"/>
      <c r="D332" s="49" t="n"/>
      <c r="E332" s="50" t="n"/>
      <c r="G332">
        <f>IF(AND(B332&lt;&gt;"",COUNTIF(B$6:B332,B332)=1),MAX(G$5:G331)+1,"")</f>
        <v/>
      </c>
      <c r="H332">
        <f>IF(A332="","",IF(ISNUMBER(A332),IF(A332&lt;=31,"",IF(A332&lt;=3112,IF(DATE(YR,MOD(A332,100),INT(A332/100))&gt;SAT1+7*NW-1,DATE(YR-1,MOD(A332,100),INT(A332/100)),DATE(YR,MOD(A332,100),INT(A332/100))),A332)),IFERROR(DATEVALUE(A332),"")))</f>
        <v/>
      </c>
      <c r="I332">
        <f>IF(H332="","",INT((H332-SAT1)/7)+1)</f>
        <v/>
      </c>
      <c r="J332">
        <f>IF(I332="","",IF(OR(I332&lt;1,I332&gt;NW),"",INDEX(WMON,I332)))</f>
        <v/>
      </c>
    </row>
    <row r="333">
      <c r="A333" s="48" t="n"/>
      <c r="B333" s="22" t="n"/>
      <c r="C333" s="50" t="n"/>
      <c r="D333" s="49" t="n"/>
      <c r="E333" s="50" t="n"/>
      <c r="G333">
        <f>IF(AND(B333&lt;&gt;"",COUNTIF(B$6:B333,B333)=1),MAX(G$5:G332)+1,"")</f>
        <v/>
      </c>
      <c r="H333">
        <f>IF(A333="","",IF(ISNUMBER(A333),IF(A333&lt;=31,"",IF(A333&lt;=3112,IF(DATE(YR,MOD(A333,100),INT(A333/100))&gt;SAT1+7*NW-1,DATE(YR-1,MOD(A333,100),INT(A333/100)),DATE(YR,MOD(A333,100),INT(A333/100))),A333)),IFERROR(DATEVALUE(A333),"")))</f>
        <v/>
      </c>
      <c r="I333">
        <f>IF(H333="","",INT((H333-SAT1)/7)+1)</f>
        <v/>
      </c>
      <c r="J333">
        <f>IF(I333="","",IF(OR(I333&lt;1,I333&gt;NW),"",INDEX(WMON,I333)))</f>
        <v/>
      </c>
    </row>
    <row r="334">
      <c r="A334" s="48" t="n"/>
      <c r="B334" s="22" t="n"/>
      <c r="C334" s="50" t="n"/>
      <c r="D334" s="49" t="n"/>
      <c r="E334" s="50" t="n"/>
      <c r="G334">
        <f>IF(AND(B334&lt;&gt;"",COUNTIF(B$6:B334,B334)=1),MAX(G$5:G333)+1,"")</f>
        <v/>
      </c>
      <c r="H334">
        <f>IF(A334="","",IF(ISNUMBER(A334),IF(A334&lt;=31,"",IF(A334&lt;=3112,IF(DATE(YR,MOD(A334,100),INT(A334/100))&gt;SAT1+7*NW-1,DATE(YR-1,MOD(A334,100),INT(A334/100)),DATE(YR,MOD(A334,100),INT(A334/100))),A334)),IFERROR(DATEVALUE(A334),"")))</f>
        <v/>
      </c>
      <c r="I334">
        <f>IF(H334="","",INT((H334-SAT1)/7)+1)</f>
        <v/>
      </c>
      <c r="J334">
        <f>IF(I334="","",IF(OR(I334&lt;1,I334&gt;NW),"",INDEX(WMON,I334)))</f>
        <v/>
      </c>
    </row>
    <row r="335">
      <c r="A335" s="48" t="n"/>
      <c r="B335" s="22" t="n"/>
      <c r="C335" s="50" t="n"/>
      <c r="D335" s="49" t="n"/>
      <c r="E335" s="50" t="n"/>
      <c r="G335">
        <f>IF(AND(B335&lt;&gt;"",COUNTIF(B$6:B335,B335)=1),MAX(G$5:G334)+1,"")</f>
        <v/>
      </c>
      <c r="H335">
        <f>IF(A335="","",IF(ISNUMBER(A335),IF(A335&lt;=31,"",IF(A335&lt;=3112,IF(DATE(YR,MOD(A335,100),INT(A335/100))&gt;SAT1+7*NW-1,DATE(YR-1,MOD(A335,100),INT(A335/100)),DATE(YR,MOD(A335,100),INT(A335/100))),A335)),IFERROR(DATEVALUE(A335),"")))</f>
        <v/>
      </c>
      <c r="I335">
        <f>IF(H335="","",INT((H335-SAT1)/7)+1)</f>
        <v/>
      </c>
      <c r="J335">
        <f>IF(I335="","",IF(OR(I335&lt;1,I335&gt;NW),"",INDEX(WMON,I335)))</f>
        <v/>
      </c>
    </row>
    <row r="336">
      <c r="A336" s="48" t="n"/>
      <c r="B336" s="22" t="n"/>
      <c r="C336" s="50" t="n"/>
      <c r="D336" s="49" t="n"/>
      <c r="E336" s="50" t="n"/>
      <c r="G336">
        <f>IF(AND(B336&lt;&gt;"",COUNTIF(B$6:B336,B336)=1),MAX(G$5:G335)+1,"")</f>
        <v/>
      </c>
      <c r="H336">
        <f>IF(A336="","",IF(ISNUMBER(A336),IF(A336&lt;=31,"",IF(A336&lt;=3112,IF(DATE(YR,MOD(A336,100),INT(A336/100))&gt;SAT1+7*NW-1,DATE(YR-1,MOD(A336,100),INT(A336/100)),DATE(YR,MOD(A336,100),INT(A336/100))),A336)),IFERROR(DATEVALUE(A336),"")))</f>
        <v/>
      </c>
      <c r="I336">
        <f>IF(H336="","",INT((H336-SAT1)/7)+1)</f>
        <v/>
      </c>
      <c r="J336">
        <f>IF(I336="","",IF(OR(I336&lt;1,I336&gt;NW),"",INDEX(WMON,I336)))</f>
        <v/>
      </c>
    </row>
    <row r="337">
      <c r="A337" s="48" t="n"/>
      <c r="B337" s="22" t="n"/>
      <c r="C337" s="50" t="n"/>
      <c r="D337" s="49" t="n"/>
      <c r="E337" s="50" t="n"/>
      <c r="G337">
        <f>IF(AND(B337&lt;&gt;"",COUNTIF(B$6:B337,B337)=1),MAX(G$5:G336)+1,"")</f>
        <v/>
      </c>
      <c r="H337">
        <f>IF(A337="","",IF(ISNUMBER(A337),IF(A337&lt;=31,"",IF(A337&lt;=3112,IF(DATE(YR,MOD(A337,100),INT(A337/100))&gt;SAT1+7*NW-1,DATE(YR-1,MOD(A337,100),INT(A337/100)),DATE(YR,MOD(A337,100),INT(A337/100))),A337)),IFERROR(DATEVALUE(A337),"")))</f>
        <v/>
      </c>
      <c r="I337">
        <f>IF(H337="","",INT((H337-SAT1)/7)+1)</f>
        <v/>
      </c>
      <c r="J337">
        <f>IF(I337="","",IF(OR(I337&lt;1,I337&gt;NW),"",INDEX(WMON,I337)))</f>
        <v/>
      </c>
    </row>
    <row r="338">
      <c r="A338" s="48" t="n"/>
      <c r="B338" s="22" t="n"/>
      <c r="C338" s="50" t="n"/>
      <c r="D338" s="49" t="n"/>
      <c r="E338" s="50" t="n"/>
      <c r="G338">
        <f>IF(AND(B338&lt;&gt;"",COUNTIF(B$6:B338,B338)=1),MAX(G$5:G337)+1,"")</f>
        <v/>
      </c>
      <c r="H338">
        <f>IF(A338="","",IF(ISNUMBER(A338),IF(A338&lt;=31,"",IF(A338&lt;=3112,IF(DATE(YR,MOD(A338,100),INT(A338/100))&gt;SAT1+7*NW-1,DATE(YR-1,MOD(A338,100),INT(A338/100)),DATE(YR,MOD(A338,100),INT(A338/100))),A338)),IFERROR(DATEVALUE(A338),"")))</f>
        <v/>
      </c>
      <c r="I338">
        <f>IF(H338="","",INT((H338-SAT1)/7)+1)</f>
        <v/>
      </c>
      <c r="J338">
        <f>IF(I338="","",IF(OR(I338&lt;1,I338&gt;NW),"",INDEX(WMON,I338)))</f>
        <v/>
      </c>
    </row>
    <row r="339">
      <c r="A339" s="48" t="n"/>
      <c r="B339" s="22" t="n"/>
      <c r="C339" s="50" t="n"/>
      <c r="D339" s="49" t="n"/>
      <c r="E339" s="50" t="n"/>
      <c r="G339">
        <f>IF(AND(B339&lt;&gt;"",COUNTIF(B$6:B339,B339)=1),MAX(G$5:G338)+1,"")</f>
        <v/>
      </c>
      <c r="H339">
        <f>IF(A339="","",IF(ISNUMBER(A339),IF(A339&lt;=31,"",IF(A339&lt;=3112,IF(DATE(YR,MOD(A339,100),INT(A339/100))&gt;SAT1+7*NW-1,DATE(YR-1,MOD(A339,100),INT(A339/100)),DATE(YR,MOD(A339,100),INT(A339/100))),A339)),IFERROR(DATEVALUE(A339),"")))</f>
        <v/>
      </c>
      <c r="I339">
        <f>IF(H339="","",INT((H339-SAT1)/7)+1)</f>
        <v/>
      </c>
      <c r="J339">
        <f>IF(I339="","",IF(OR(I339&lt;1,I339&gt;NW),"",INDEX(WMON,I339)))</f>
        <v/>
      </c>
    </row>
    <row r="340">
      <c r="A340" s="48" t="n"/>
      <c r="B340" s="22" t="n"/>
      <c r="C340" s="50" t="n"/>
      <c r="D340" s="49" t="n"/>
      <c r="E340" s="50" t="n"/>
      <c r="G340">
        <f>IF(AND(B340&lt;&gt;"",COUNTIF(B$6:B340,B340)=1),MAX(G$5:G339)+1,"")</f>
        <v/>
      </c>
      <c r="H340">
        <f>IF(A340="","",IF(ISNUMBER(A340),IF(A340&lt;=31,"",IF(A340&lt;=3112,IF(DATE(YR,MOD(A340,100),INT(A340/100))&gt;SAT1+7*NW-1,DATE(YR-1,MOD(A340,100),INT(A340/100)),DATE(YR,MOD(A340,100),INT(A340/100))),A340)),IFERROR(DATEVALUE(A340),"")))</f>
        <v/>
      </c>
      <c r="I340">
        <f>IF(H340="","",INT((H340-SAT1)/7)+1)</f>
        <v/>
      </c>
      <c r="J340">
        <f>IF(I340="","",IF(OR(I340&lt;1,I340&gt;NW),"",INDEX(WMON,I340)))</f>
        <v/>
      </c>
    </row>
    <row r="341">
      <c r="A341" s="48" t="n"/>
      <c r="B341" s="22" t="n"/>
      <c r="C341" s="50" t="n"/>
      <c r="D341" s="49" t="n"/>
      <c r="E341" s="50" t="n"/>
      <c r="G341">
        <f>IF(AND(B341&lt;&gt;"",COUNTIF(B$6:B341,B341)=1),MAX(G$5:G340)+1,"")</f>
        <v/>
      </c>
      <c r="H341">
        <f>IF(A341="","",IF(ISNUMBER(A341),IF(A341&lt;=31,"",IF(A341&lt;=3112,IF(DATE(YR,MOD(A341,100),INT(A341/100))&gt;SAT1+7*NW-1,DATE(YR-1,MOD(A341,100),INT(A341/100)),DATE(YR,MOD(A341,100),INT(A341/100))),A341)),IFERROR(DATEVALUE(A341),"")))</f>
        <v/>
      </c>
      <c r="I341">
        <f>IF(H341="","",INT((H341-SAT1)/7)+1)</f>
        <v/>
      </c>
      <c r="J341">
        <f>IF(I341="","",IF(OR(I341&lt;1,I341&gt;NW),"",INDEX(WMON,I341)))</f>
        <v/>
      </c>
    </row>
    <row r="342">
      <c r="A342" s="48" t="n"/>
      <c r="B342" s="22" t="n"/>
      <c r="C342" s="50" t="n"/>
      <c r="D342" s="49" t="n"/>
      <c r="E342" s="50" t="n"/>
      <c r="G342">
        <f>IF(AND(B342&lt;&gt;"",COUNTIF(B$6:B342,B342)=1),MAX(G$5:G341)+1,"")</f>
        <v/>
      </c>
      <c r="H342">
        <f>IF(A342="","",IF(ISNUMBER(A342),IF(A342&lt;=31,"",IF(A342&lt;=3112,IF(DATE(YR,MOD(A342,100),INT(A342/100))&gt;SAT1+7*NW-1,DATE(YR-1,MOD(A342,100),INT(A342/100)),DATE(YR,MOD(A342,100),INT(A342/100))),A342)),IFERROR(DATEVALUE(A342),"")))</f>
        <v/>
      </c>
      <c r="I342">
        <f>IF(H342="","",INT((H342-SAT1)/7)+1)</f>
        <v/>
      </c>
      <c r="J342">
        <f>IF(I342="","",IF(OR(I342&lt;1,I342&gt;NW),"",INDEX(WMON,I342)))</f>
        <v/>
      </c>
    </row>
    <row r="343">
      <c r="A343" s="48" t="n"/>
      <c r="B343" s="22" t="n"/>
      <c r="C343" s="50" t="n"/>
      <c r="D343" s="49" t="n"/>
      <c r="E343" s="50" t="n"/>
      <c r="G343">
        <f>IF(AND(B343&lt;&gt;"",COUNTIF(B$6:B343,B343)=1),MAX(G$5:G342)+1,"")</f>
        <v/>
      </c>
      <c r="H343">
        <f>IF(A343="","",IF(ISNUMBER(A343),IF(A343&lt;=31,"",IF(A343&lt;=3112,IF(DATE(YR,MOD(A343,100),INT(A343/100))&gt;SAT1+7*NW-1,DATE(YR-1,MOD(A343,100),INT(A343/100)),DATE(YR,MOD(A343,100),INT(A343/100))),A343)),IFERROR(DATEVALUE(A343),"")))</f>
        <v/>
      </c>
      <c r="I343">
        <f>IF(H343="","",INT((H343-SAT1)/7)+1)</f>
        <v/>
      </c>
      <c r="J343">
        <f>IF(I343="","",IF(OR(I343&lt;1,I343&gt;NW),"",INDEX(WMON,I343)))</f>
        <v/>
      </c>
    </row>
    <row r="344">
      <c r="A344" s="48" t="n"/>
      <c r="B344" s="22" t="n"/>
      <c r="C344" s="50" t="n"/>
      <c r="D344" s="49" t="n"/>
      <c r="E344" s="50" t="n"/>
      <c r="G344">
        <f>IF(AND(B344&lt;&gt;"",COUNTIF(B$6:B344,B344)=1),MAX(G$5:G343)+1,"")</f>
        <v/>
      </c>
      <c r="H344">
        <f>IF(A344="","",IF(ISNUMBER(A344),IF(A344&lt;=31,"",IF(A344&lt;=3112,IF(DATE(YR,MOD(A344,100),INT(A344/100))&gt;SAT1+7*NW-1,DATE(YR-1,MOD(A344,100),INT(A344/100)),DATE(YR,MOD(A344,100),INT(A344/100))),A344)),IFERROR(DATEVALUE(A344),"")))</f>
        <v/>
      </c>
      <c r="I344">
        <f>IF(H344="","",INT((H344-SAT1)/7)+1)</f>
        <v/>
      </c>
      <c r="J344">
        <f>IF(I344="","",IF(OR(I344&lt;1,I344&gt;NW),"",INDEX(WMON,I344)))</f>
        <v/>
      </c>
    </row>
    <row r="345">
      <c r="A345" s="48" t="n"/>
      <c r="B345" s="22" t="n"/>
      <c r="C345" s="50" t="n"/>
      <c r="D345" s="49" t="n"/>
      <c r="E345" s="50" t="n"/>
      <c r="G345">
        <f>IF(AND(B345&lt;&gt;"",COUNTIF(B$6:B345,B345)=1),MAX(G$5:G344)+1,"")</f>
        <v/>
      </c>
      <c r="H345">
        <f>IF(A345="","",IF(ISNUMBER(A345),IF(A345&lt;=31,"",IF(A345&lt;=3112,IF(DATE(YR,MOD(A345,100),INT(A345/100))&gt;SAT1+7*NW-1,DATE(YR-1,MOD(A345,100),INT(A345/100)),DATE(YR,MOD(A345,100),INT(A345/100))),A345)),IFERROR(DATEVALUE(A345),"")))</f>
        <v/>
      </c>
      <c r="I345">
        <f>IF(H345="","",INT((H345-SAT1)/7)+1)</f>
        <v/>
      </c>
      <c r="J345">
        <f>IF(I345="","",IF(OR(I345&lt;1,I345&gt;NW),"",INDEX(WMON,I345)))</f>
        <v/>
      </c>
    </row>
    <row r="346">
      <c r="A346" s="48" t="n"/>
      <c r="B346" s="22" t="n"/>
      <c r="C346" s="50" t="n"/>
      <c r="D346" s="49" t="n"/>
      <c r="E346" s="50" t="n"/>
      <c r="G346">
        <f>IF(AND(B346&lt;&gt;"",COUNTIF(B$6:B346,B346)=1),MAX(G$5:G345)+1,"")</f>
        <v/>
      </c>
      <c r="H346">
        <f>IF(A346="","",IF(ISNUMBER(A346),IF(A346&lt;=31,"",IF(A346&lt;=3112,IF(DATE(YR,MOD(A346,100),INT(A346/100))&gt;SAT1+7*NW-1,DATE(YR-1,MOD(A346,100),INT(A346/100)),DATE(YR,MOD(A346,100),INT(A346/100))),A346)),IFERROR(DATEVALUE(A346),"")))</f>
        <v/>
      </c>
      <c r="I346">
        <f>IF(H346="","",INT((H346-SAT1)/7)+1)</f>
        <v/>
      </c>
      <c r="J346">
        <f>IF(I346="","",IF(OR(I346&lt;1,I346&gt;NW),"",INDEX(WMON,I346)))</f>
        <v/>
      </c>
    </row>
    <row r="347">
      <c r="A347" s="48" t="n"/>
      <c r="B347" s="22" t="n"/>
      <c r="C347" s="50" t="n"/>
      <c r="D347" s="49" t="n"/>
      <c r="E347" s="50" t="n"/>
      <c r="G347">
        <f>IF(AND(B347&lt;&gt;"",COUNTIF(B$6:B347,B347)=1),MAX(G$5:G346)+1,"")</f>
        <v/>
      </c>
      <c r="H347">
        <f>IF(A347="","",IF(ISNUMBER(A347),IF(A347&lt;=31,"",IF(A347&lt;=3112,IF(DATE(YR,MOD(A347,100),INT(A347/100))&gt;SAT1+7*NW-1,DATE(YR-1,MOD(A347,100),INT(A347/100)),DATE(YR,MOD(A347,100),INT(A347/100))),A347)),IFERROR(DATEVALUE(A347),"")))</f>
        <v/>
      </c>
      <c r="I347">
        <f>IF(H347="","",INT((H347-SAT1)/7)+1)</f>
        <v/>
      </c>
      <c r="J347">
        <f>IF(I347="","",IF(OR(I347&lt;1,I347&gt;NW),"",INDEX(WMON,I347)))</f>
        <v/>
      </c>
    </row>
    <row r="348">
      <c r="A348" s="48" t="n"/>
      <c r="B348" s="22" t="n"/>
      <c r="C348" s="50" t="n"/>
      <c r="D348" s="49" t="n"/>
      <c r="E348" s="50" t="n"/>
      <c r="G348">
        <f>IF(AND(B348&lt;&gt;"",COUNTIF(B$6:B348,B348)=1),MAX(G$5:G347)+1,"")</f>
        <v/>
      </c>
      <c r="H348">
        <f>IF(A348="","",IF(ISNUMBER(A348),IF(A348&lt;=31,"",IF(A348&lt;=3112,IF(DATE(YR,MOD(A348,100),INT(A348/100))&gt;SAT1+7*NW-1,DATE(YR-1,MOD(A348,100),INT(A348/100)),DATE(YR,MOD(A348,100),INT(A348/100))),A348)),IFERROR(DATEVALUE(A348),"")))</f>
        <v/>
      </c>
      <c r="I348">
        <f>IF(H348="","",INT((H348-SAT1)/7)+1)</f>
        <v/>
      </c>
      <c r="J348">
        <f>IF(I348="","",IF(OR(I348&lt;1,I348&gt;NW),"",INDEX(WMON,I348)))</f>
        <v/>
      </c>
    </row>
    <row r="349">
      <c r="A349" s="48" t="n"/>
      <c r="B349" s="22" t="n"/>
      <c r="C349" s="50" t="n"/>
      <c r="D349" s="49" t="n"/>
      <c r="E349" s="50" t="n"/>
      <c r="G349">
        <f>IF(AND(B349&lt;&gt;"",COUNTIF(B$6:B349,B349)=1),MAX(G$5:G348)+1,"")</f>
        <v/>
      </c>
      <c r="H349">
        <f>IF(A349="","",IF(ISNUMBER(A349),IF(A349&lt;=31,"",IF(A349&lt;=3112,IF(DATE(YR,MOD(A349,100),INT(A349/100))&gt;SAT1+7*NW-1,DATE(YR-1,MOD(A349,100),INT(A349/100)),DATE(YR,MOD(A349,100),INT(A349/100))),A349)),IFERROR(DATEVALUE(A349),"")))</f>
        <v/>
      </c>
      <c r="I349">
        <f>IF(H349="","",INT((H349-SAT1)/7)+1)</f>
        <v/>
      </c>
      <c r="J349">
        <f>IF(I349="","",IF(OR(I349&lt;1,I349&gt;NW),"",INDEX(WMON,I349)))</f>
        <v/>
      </c>
    </row>
    <row r="350">
      <c r="A350" s="48" t="n"/>
      <c r="B350" s="22" t="n"/>
      <c r="C350" s="50" t="n"/>
      <c r="D350" s="49" t="n"/>
      <c r="E350" s="50" t="n"/>
      <c r="G350">
        <f>IF(AND(B350&lt;&gt;"",COUNTIF(B$6:B350,B350)=1),MAX(G$5:G349)+1,"")</f>
        <v/>
      </c>
      <c r="H350">
        <f>IF(A350="","",IF(ISNUMBER(A350),IF(A350&lt;=31,"",IF(A350&lt;=3112,IF(DATE(YR,MOD(A350,100),INT(A350/100))&gt;SAT1+7*NW-1,DATE(YR-1,MOD(A350,100),INT(A350/100)),DATE(YR,MOD(A350,100),INT(A350/100))),A350)),IFERROR(DATEVALUE(A350),"")))</f>
        <v/>
      </c>
      <c r="I350">
        <f>IF(H350="","",INT((H350-SAT1)/7)+1)</f>
        <v/>
      </c>
      <c r="J350">
        <f>IF(I350="","",IF(OR(I350&lt;1,I350&gt;NW),"",INDEX(WMON,I350)))</f>
        <v/>
      </c>
    </row>
    <row r="351">
      <c r="A351" s="48" t="n"/>
      <c r="B351" s="22" t="n"/>
      <c r="C351" s="50" t="n"/>
      <c r="D351" s="49" t="n"/>
      <c r="E351" s="50" t="n"/>
      <c r="G351">
        <f>IF(AND(B351&lt;&gt;"",COUNTIF(B$6:B351,B351)=1),MAX(G$5:G350)+1,"")</f>
        <v/>
      </c>
      <c r="H351">
        <f>IF(A351="","",IF(ISNUMBER(A351),IF(A351&lt;=31,"",IF(A351&lt;=3112,IF(DATE(YR,MOD(A351,100),INT(A351/100))&gt;SAT1+7*NW-1,DATE(YR-1,MOD(A351,100),INT(A351/100)),DATE(YR,MOD(A351,100),INT(A351/100))),A351)),IFERROR(DATEVALUE(A351),"")))</f>
        <v/>
      </c>
      <c r="I351">
        <f>IF(H351="","",INT((H351-SAT1)/7)+1)</f>
        <v/>
      </c>
      <c r="J351">
        <f>IF(I351="","",IF(OR(I351&lt;1,I351&gt;NW),"",INDEX(WMON,I351)))</f>
        <v/>
      </c>
    </row>
    <row r="352">
      <c r="A352" s="48" t="n"/>
      <c r="B352" s="22" t="n"/>
      <c r="C352" s="50" t="n"/>
      <c r="D352" s="49" t="n"/>
      <c r="E352" s="50" t="n"/>
      <c r="G352">
        <f>IF(AND(B352&lt;&gt;"",COUNTIF(B$6:B352,B352)=1),MAX(G$5:G351)+1,"")</f>
        <v/>
      </c>
      <c r="H352">
        <f>IF(A352="","",IF(ISNUMBER(A352),IF(A352&lt;=31,"",IF(A352&lt;=3112,IF(DATE(YR,MOD(A352,100),INT(A352/100))&gt;SAT1+7*NW-1,DATE(YR-1,MOD(A352,100),INT(A352/100)),DATE(YR,MOD(A352,100),INT(A352/100))),A352)),IFERROR(DATEVALUE(A352),"")))</f>
        <v/>
      </c>
      <c r="I352">
        <f>IF(H352="","",INT((H352-SAT1)/7)+1)</f>
        <v/>
      </c>
      <c r="J352">
        <f>IF(I352="","",IF(OR(I352&lt;1,I352&gt;NW),"",INDEX(WMON,I352)))</f>
        <v/>
      </c>
    </row>
    <row r="353">
      <c r="A353" s="48" t="n"/>
      <c r="B353" s="22" t="n"/>
      <c r="C353" s="50" t="n"/>
      <c r="D353" s="49" t="n"/>
      <c r="E353" s="50" t="n"/>
      <c r="G353">
        <f>IF(AND(B353&lt;&gt;"",COUNTIF(B$6:B353,B353)=1),MAX(G$5:G352)+1,"")</f>
        <v/>
      </c>
      <c r="H353">
        <f>IF(A353="","",IF(ISNUMBER(A353),IF(A353&lt;=31,"",IF(A353&lt;=3112,IF(DATE(YR,MOD(A353,100),INT(A353/100))&gt;SAT1+7*NW-1,DATE(YR-1,MOD(A353,100),INT(A353/100)),DATE(YR,MOD(A353,100),INT(A353/100))),A353)),IFERROR(DATEVALUE(A353),"")))</f>
        <v/>
      </c>
      <c r="I353">
        <f>IF(H353="","",INT((H353-SAT1)/7)+1)</f>
        <v/>
      </c>
      <c r="J353">
        <f>IF(I353="","",IF(OR(I353&lt;1,I353&gt;NW),"",INDEX(WMON,I353)))</f>
        <v/>
      </c>
    </row>
    <row r="354">
      <c r="A354" s="48" t="n"/>
      <c r="B354" s="22" t="n"/>
      <c r="C354" s="50" t="n"/>
      <c r="D354" s="49" t="n"/>
      <c r="E354" s="50" t="n"/>
      <c r="G354">
        <f>IF(AND(B354&lt;&gt;"",COUNTIF(B$6:B354,B354)=1),MAX(G$5:G353)+1,"")</f>
        <v/>
      </c>
      <c r="H354">
        <f>IF(A354="","",IF(ISNUMBER(A354),IF(A354&lt;=31,"",IF(A354&lt;=3112,IF(DATE(YR,MOD(A354,100),INT(A354/100))&gt;SAT1+7*NW-1,DATE(YR-1,MOD(A354,100),INT(A354/100)),DATE(YR,MOD(A354,100),INT(A354/100))),A354)),IFERROR(DATEVALUE(A354),"")))</f>
        <v/>
      </c>
      <c r="I354">
        <f>IF(H354="","",INT((H354-SAT1)/7)+1)</f>
        <v/>
      </c>
      <c r="J354">
        <f>IF(I354="","",IF(OR(I354&lt;1,I354&gt;NW),"",INDEX(WMON,I354)))</f>
        <v/>
      </c>
    </row>
    <row r="355">
      <c r="A355" s="48" t="n"/>
      <c r="B355" s="22" t="n"/>
      <c r="C355" s="50" t="n"/>
      <c r="D355" s="49" t="n"/>
      <c r="E355" s="50" t="n"/>
      <c r="G355">
        <f>IF(AND(B355&lt;&gt;"",COUNTIF(B$6:B355,B355)=1),MAX(G$5:G354)+1,"")</f>
        <v/>
      </c>
      <c r="H355">
        <f>IF(A355="","",IF(ISNUMBER(A355),IF(A355&lt;=31,"",IF(A355&lt;=3112,IF(DATE(YR,MOD(A355,100),INT(A355/100))&gt;SAT1+7*NW-1,DATE(YR-1,MOD(A355,100),INT(A355/100)),DATE(YR,MOD(A355,100),INT(A355/100))),A355)),IFERROR(DATEVALUE(A355),"")))</f>
        <v/>
      </c>
      <c r="I355">
        <f>IF(H355="","",INT((H355-SAT1)/7)+1)</f>
        <v/>
      </c>
      <c r="J355">
        <f>IF(I355="","",IF(OR(I355&lt;1,I355&gt;NW),"",INDEX(WMON,I355)))</f>
        <v/>
      </c>
    </row>
    <row r="356">
      <c r="A356" s="48" t="n"/>
      <c r="B356" s="22" t="n"/>
      <c r="C356" s="50" t="n"/>
      <c r="D356" s="49" t="n"/>
      <c r="E356" s="50" t="n"/>
      <c r="G356">
        <f>IF(AND(B356&lt;&gt;"",COUNTIF(B$6:B356,B356)=1),MAX(G$5:G355)+1,"")</f>
        <v/>
      </c>
      <c r="H356">
        <f>IF(A356="","",IF(ISNUMBER(A356),IF(A356&lt;=31,"",IF(A356&lt;=3112,IF(DATE(YR,MOD(A356,100),INT(A356/100))&gt;SAT1+7*NW-1,DATE(YR-1,MOD(A356,100),INT(A356/100)),DATE(YR,MOD(A356,100),INT(A356/100))),A356)),IFERROR(DATEVALUE(A356),"")))</f>
        <v/>
      </c>
      <c r="I356">
        <f>IF(H356="","",INT((H356-SAT1)/7)+1)</f>
        <v/>
      </c>
      <c r="J356">
        <f>IF(I356="","",IF(OR(I356&lt;1,I356&gt;NW),"",INDEX(WMON,I356)))</f>
        <v/>
      </c>
    </row>
    <row r="357">
      <c r="A357" s="48" t="n"/>
      <c r="B357" s="22" t="n"/>
      <c r="C357" s="50" t="n"/>
      <c r="D357" s="49" t="n"/>
      <c r="E357" s="50" t="n"/>
      <c r="G357">
        <f>IF(AND(B357&lt;&gt;"",COUNTIF(B$6:B357,B357)=1),MAX(G$5:G356)+1,"")</f>
        <v/>
      </c>
      <c r="H357">
        <f>IF(A357="","",IF(ISNUMBER(A357),IF(A357&lt;=31,"",IF(A357&lt;=3112,IF(DATE(YR,MOD(A357,100),INT(A357/100))&gt;SAT1+7*NW-1,DATE(YR-1,MOD(A357,100),INT(A357/100)),DATE(YR,MOD(A357,100),INT(A357/100))),A357)),IFERROR(DATEVALUE(A357),"")))</f>
        <v/>
      </c>
      <c r="I357">
        <f>IF(H357="","",INT((H357-SAT1)/7)+1)</f>
        <v/>
      </c>
      <c r="J357">
        <f>IF(I357="","",IF(OR(I357&lt;1,I357&gt;NW),"",INDEX(WMON,I357)))</f>
        <v/>
      </c>
    </row>
    <row r="358">
      <c r="A358" s="48" t="n"/>
      <c r="B358" s="22" t="n"/>
      <c r="C358" s="50" t="n"/>
      <c r="D358" s="49" t="n"/>
      <c r="E358" s="50" t="n"/>
      <c r="G358">
        <f>IF(AND(B358&lt;&gt;"",COUNTIF(B$6:B358,B358)=1),MAX(G$5:G357)+1,"")</f>
        <v/>
      </c>
      <c r="H358">
        <f>IF(A358="","",IF(ISNUMBER(A358),IF(A358&lt;=31,"",IF(A358&lt;=3112,IF(DATE(YR,MOD(A358,100),INT(A358/100))&gt;SAT1+7*NW-1,DATE(YR-1,MOD(A358,100),INT(A358/100)),DATE(YR,MOD(A358,100),INT(A358/100))),A358)),IFERROR(DATEVALUE(A358),"")))</f>
        <v/>
      </c>
      <c r="I358">
        <f>IF(H358="","",INT((H358-SAT1)/7)+1)</f>
        <v/>
      </c>
      <c r="J358">
        <f>IF(I358="","",IF(OR(I358&lt;1,I358&gt;NW),"",INDEX(WMON,I358)))</f>
        <v/>
      </c>
    </row>
    <row r="359">
      <c r="A359" s="48" t="n"/>
      <c r="B359" s="22" t="n"/>
      <c r="C359" s="50" t="n"/>
      <c r="D359" s="49" t="n"/>
      <c r="E359" s="50" t="n"/>
      <c r="G359">
        <f>IF(AND(B359&lt;&gt;"",COUNTIF(B$6:B359,B359)=1),MAX(G$5:G358)+1,"")</f>
        <v/>
      </c>
      <c r="H359">
        <f>IF(A359="","",IF(ISNUMBER(A359),IF(A359&lt;=31,"",IF(A359&lt;=3112,IF(DATE(YR,MOD(A359,100),INT(A359/100))&gt;SAT1+7*NW-1,DATE(YR-1,MOD(A359,100),INT(A359/100)),DATE(YR,MOD(A359,100),INT(A359/100))),A359)),IFERROR(DATEVALUE(A359),"")))</f>
        <v/>
      </c>
      <c r="I359">
        <f>IF(H359="","",INT((H359-SAT1)/7)+1)</f>
        <v/>
      </c>
      <c r="J359">
        <f>IF(I359="","",IF(OR(I359&lt;1,I359&gt;NW),"",INDEX(WMON,I359)))</f>
        <v/>
      </c>
    </row>
    <row r="360">
      <c r="A360" s="48" t="n"/>
      <c r="B360" s="22" t="n"/>
      <c r="C360" s="50" t="n"/>
      <c r="D360" s="49" t="n"/>
      <c r="E360" s="50" t="n"/>
      <c r="G360">
        <f>IF(AND(B360&lt;&gt;"",COUNTIF(B$6:B360,B360)=1),MAX(G$5:G359)+1,"")</f>
        <v/>
      </c>
      <c r="H360">
        <f>IF(A360="","",IF(ISNUMBER(A360),IF(A360&lt;=31,"",IF(A360&lt;=3112,IF(DATE(YR,MOD(A360,100),INT(A360/100))&gt;SAT1+7*NW-1,DATE(YR-1,MOD(A360,100),INT(A360/100)),DATE(YR,MOD(A360,100),INT(A360/100))),A360)),IFERROR(DATEVALUE(A360),"")))</f>
        <v/>
      </c>
      <c r="I360">
        <f>IF(H360="","",INT((H360-SAT1)/7)+1)</f>
        <v/>
      </c>
      <c r="J360">
        <f>IF(I360="","",IF(OR(I360&lt;1,I360&gt;NW),"",INDEX(WMON,I360)))</f>
        <v/>
      </c>
    </row>
    <row r="361">
      <c r="A361" s="48" t="n"/>
      <c r="B361" s="22" t="n"/>
      <c r="C361" s="50" t="n"/>
      <c r="D361" s="49" t="n"/>
      <c r="E361" s="50" t="n"/>
      <c r="G361">
        <f>IF(AND(B361&lt;&gt;"",COUNTIF(B$6:B361,B361)=1),MAX(G$5:G360)+1,"")</f>
        <v/>
      </c>
      <c r="H361">
        <f>IF(A361="","",IF(ISNUMBER(A361),IF(A361&lt;=31,"",IF(A361&lt;=3112,IF(DATE(YR,MOD(A361,100),INT(A361/100))&gt;SAT1+7*NW-1,DATE(YR-1,MOD(A361,100),INT(A361/100)),DATE(YR,MOD(A361,100),INT(A361/100))),A361)),IFERROR(DATEVALUE(A361),"")))</f>
        <v/>
      </c>
      <c r="I361">
        <f>IF(H361="","",INT((H361-SAT1)/7)+1)</f>
        <v/>
      </c>
      <c r="J361">
        <f>IF(I361="","",IF(OR(I361&lt;1,I361&gt;NW),"",INDEX(WMON,I361)))</f>
        <v/>
      </c>
    </row>
    <row r="362">
      <c r="A362" s="48" t="n"/>
      <c r="B362" s="22" t="n"/>
      <c r="C362" s="50" t="n"/>
      <c r="D362" s="49" t="n"/>
      <c r="E362" s="50" t="n"/>
      <c r="G362">
        <f>IF(AND(B362&lt;&gt;"",COUNTIF(B$6:B362,B362)=1),MAX(G$5:G361)+1,"")</f>
        <v/>
      </c>
      <c r="H362">
        <f>IF(A362="","",IF(ISNUMBER(A362),IF(A362&lt;=31,"",IF(A362&lt;=3112,IF(DATE(YR,MOD(A362,100),INT(A362/100))&gt;SAT1+7*NW-1,DATE(YR-1,MOD(A362,100),INT(A362/100)),DATE(YR,MOD(A362,100),INT(A362/100))),A362)),IFERROR(DATEVALUE(A362),"")))</f>
        <v/>
      </c>
      <c r="I362">
        <f>IF(H362="","",INT((H362-SAT1)/7)+1)</f>
        <v/>
      </c>
      <c r="J362">
        <f>IF(I362="","",IF(OR(I362&lt;1,I362&gt;NW),"",INDEX(WMON,I362)))</f>
        <v/>
      </c>
    </row>
    <row r="363">
      <c r="A363" s="48" t="n"/>
      <c r="B363" s="22" t="n"/>
      <c r="C363" s="50" t="n"/>
      <c r="D363" s="49" t="n"/>
      <c r="E363" s="50" t="n"/>
      <c r="G363">
        <f>IF(AND(B363&lt;&gt;"",COUNTIF(B$6:B363,B363)=1),MAX(G$5:G362)+1,"")</f>
        <v/>
      </c>
      <c r="H363">
        <f>IF(A363="","",IF(ISNUMBER(A363),IF(A363&lt;=31,"",IF(A363&lt;=3112,IF(DATE(YR,MOD(A363,100),INT(A363/100))&gt;SAT1+7*NW-1,DATE(YR-1,MOD(A363,100),INT(A363/100)),DATE(YR,MOD(A363,100),INT(A363/100))),A363)),IFERROR(DATEVALUE(A363),"")))</f>
        <v/>
      </c>
      <c r="I363">
        <f>IF(H363="","",INT((H363-SAT1)/7)+1)</f>
        <v/>
      </c>
      <c r="J363">
        <f>IF(I363="","",IF(OR(I363&lt;1,I363&gt;NW),"",INDEX(WMON,I363)))</f>
        <v/>
      </c>
    </row>
    <row r="364">
      <c r="A364" s="48" t="n"/>
      <c r="B364" s="22" t="n"/>
      <c r="C364" s="50" t="n"/>
      <c r="D364" s="49" t="n"/>
      <c r="E364" s="50" t="n"/>
      <c r="G364">
        <f>IF(AND(B364&lt;&gt;"",COUNTIF(B$6:B364,B364)=1),MAX(G$5:G363)+1,"")</f>
        <v/>
      </c>
      <c r="H364">
        <f>IF(A364="","",IF(ISNUMBER(A364),IF(A364&lt;=31,"",IF(A364&lt;=3112,IF(DATE(YR,MOD(A364,100),INT(A364/100))&gt;SAT1+7*NW-1,DATE(YR-1,MOD(A364,100),INT(A364/100)),DATE(YR,MOD(A364,100),INT(A364/100))),A364)),IFERROR(DATEVALUE(A364),"")))</f>
        <v/>
      </c>
      <c r="I364">
        <f>IF(H364="","",INT((H364-SAT1)/7)+1)</f>
        <v/>
      </c>
      <c r="J364">
        <f>IF(I364="","",IF(OR(I364&lt;1,I364&gt;NW),"",INDEX(WMON,I364)))</f>
        <v/>
      </c>
    </row>
    <row r="365">
      <c r="A365" s="48" t="n"/>
      <c r="B365" s="22" t="n"/>
      <c r="C365" s="50" t="n"/>
      <c r="D365" s="49" t="n"/>
      <c r="E365" s="50" t="n"/>
      <c r="G365">
        <f>IF(AND(B365&lt;&gt;"",COUNTIF(B$6:B365,B365)=1),MAX(G$5:G364)+1,"")</f>
        <v/>
      </c>
      <c r="H365">
        <f>IF(A365="","",IF(ISNUMBER(A365),IF(A365&lt;=31,"",IF(A365&lt;=3112,IF(DATE(YR,MOD(A365,100),INT(A365/100))&gt;SAT1+7*NW-1,DATE(YR-1,MOD(A365,100),INT(A365/100)),DATE(YR,MOD(A365,100),INT(A365/100))),A365)),IFERROR(DATEVALUE(A365),"")))</f>
        <v/>
      </c>
      <c r="I365">
        <f>IF(H365="","",INT((H365-SAT1)/7)+1)</f>
        <v/>
      </c>
      <c r="J365">
        <f>IF(I365="","",IF(OR(I365&lt;1,I365&gt;NW),"",INDEX(WMON,I365)))</f>
        <v/>
      </c>
    </row>
    <row r="366">
      <c r="A366" s="48" t="n"/>
      <c r="B366" s="22" t="n"/>
      <c r="C366" s="50" t="n"/>
      <c r="D366" s="49" t="n"/>
      <c r="E366" s="50" t="n"/>
      <c r="G366">
        <f>IF(AND(B366&lt;&gt;"",COUNTIF(B$6:B366,B366)=1),MAX(G$5:G365)+1,"")</f>
        <v/>
      </c>
      <c r="H366">
        <f>IF(A366="","",IF(ISNUMBER(A366),IF(A366&lt;=31,"",IF(A366&lt;=3112,IF(DATE(YR,MOD(A366,100),INT(A366/100))&gt;SAT1+7*NW-1,DATE(YR-1,MOD(A366,100),INT(A366/100)),DATE(YR,MOD(A366,100),INT(A366/100))),A366)),IFERROR(DATEVALUE(A366),"")))</f>
        <v/>
      </c>
      <c r="I366">
        <f>IF(H366="","",INT((H366-SAT1)/7)+1)</f>
        <v/>
      </c>
      <c r="J366">
        <f>IF(I366="","",IF(OR(I366&lt;1,I366&gt;NW),"",INDEX(WMON,I366)))</f>
        <v/>
      </c>
    </row>
    <row r="367">
      <c r="A367" s="48" t="n"/>
      <c r="B367" s="22" t="n"/>
      <c r="C367" s="50" t="n"/>
      <c r="D367" s="49" t="n"/>
      <c r="E367" s="50" t="n"/>
      <c r="G367">
        <f>IF(AND(B367&lt;&gt;"",COUNTIF(B$6:B367,B367)=1),MAX(G$5:G366)+1,"")</f>
        <v/>
      </c>
      <c r="H367">
        <f>IF(A367="","",IF(ISNUMBER(A367),IF(A367&lt;=31,"",IF(A367&lt;=3112,IF(DATE(YR,MOD(A367,100),INT(A367/100))&gt;SAT1+7*NW-1,DATE(YR-1,MOD(A367,100),INT(A367/100)),DATE(YR,MOD(A367,100),INT(A367/100))),A367)),IFERROR(DATEVALUE(A367),"")))</f>
        <v/>
      </c>
      <c r="I367">
        <f>IF(H367="","",INT((H367-SAT1)/7)+1)</f>
        <v/>
      </c>
      <c r="J367">
        <f>IF(I367="","",IF(OR(I367&lt;1,I367&gt;NW),"",INDEX(WMON,I367)))</f>
        <v/>
      </c>
    </row>
    <row r="368">
      <c r="A368" s="48" t="n"/>
      <c r="B368" s="22" t="n"/>
      <c r="C368" s="50" t="n"/>
      <c r="D368" s="49" t="n"/>
      <c r="E368" s="50" t="n"/>
      <c r="G368">
        <f>IF(AND(B368&lt;&gt;"",COUNTIF(B$6:B368,B368)=1),MAX(G$5:G367)+1,"")</f>
        <v/>
      </c>
      <c r="H368">
        <f>IF(A368="","",IF(ISNUMBER(A368),IF(A368&lt;=31,"",IF(A368&lt;=3112,IF(DATE(YR,MOD(A368,100),INT(A368/100))&gt;SAT1+7*NW-1,DATE(YR-1,MOD(A368,100),INT(A368/100)),DATE(YR,MOD(A368,100),INT(A368/100))),A368)),IFERROR(DATEVALUE(A368),"")))</f>
        <v/>
      </c>
      <c r="I368">
        <f>IF(H368="","",INT((H368-SAT1)/7)+1)</f>
        <v/>
      </c>
      <c r="J368">
        <f>IF(I368="","",IF(OR(I368&lt;1,I368&gt;NW),"",INDEX(WMON,I368)))</f>
        <v/>
      </c>
    </row>
    <row r="369">
      <c r="A369" s="48" t="n"/>
      <c r="B369" s="22" t="n"/>
      <c r="C369" s="50" t="n"/>
      <c r="D369" s="49" t="n"/>
      <c r="E369" s="50" t="n"/>
      <c r="G369">
        <f>IF(AND(B369&lt;&gt;"",COUNTIF(B$6:B369,B369)=1),MAX(G$5:G368)+1,"")</f>
        <v/>
      </c>
      <c r="H369">
        <f>IF(A369="","",IF(ISNUMBER(A369),IF(A369&lt;=31,"",IF(A369&lt;=3112,IF(DATE(YR,MOD(A369,100),INT(A369/100))&gt;SAT1+7*NW-1,DATE(YR-1,MOD(A369,100),INT(A369/100)),DATE(YR,MOD(A369,100),INT(A369/100))),A369)),IFERROR(DATEVALUE(A369),"")))</f>
        <v/>
      </c>
      <c r="I369">
        <f>IF(H369="","",INT((H369-SAT1)/7)+1)</f>
        <v/>
      </c>
      <c r="J369">
        <f>IF(I369="","",IF(OR(I369&lt;1,I369&gt;NW),"",INDEX(WMON,I369)))</f>
        <v/>
      </c>
    </row>
    <row r="370">
      <c r="A370" s="48" t="n"/>
      <c r="B370" s="22" t="n"/>
      <c r="C370" s="50" t="n"/>
      <c r="D370" s="49" t="n"/>
      <c r="E370" s="50" t="n"/>
      <c r="G370">
        <f>IF(AND(B370&lt;&gt;"",COUNTIF(B$6:B370,B370)=1),MAX(G$5:G369)+1,"")</f>
        <v/>
      </c>
      <c r="H370">
        <f>IF(A370="","",IF(ISNUMBER(A370),IF(A370&lt;=31,"",IF(A370&lt;=3112,IF(DATE(YR,MOD(A370,100),INT(A370/100))&gt;SAT1+7*NW-1,DATE(YR-1,MOD(A370,100),INT(A370/100)),DATE(YR,MOD(A370,100),INT(A370/100))),A370)),IFERROR(DATEVALUE(A370),"")))</f>
        <v/>
      </c>
      <c r="I370">
        <f>IF(H370="","",INT((H370-SAT1)/7)+1)</f>
        <v/>
      </c>
      <c r="J370">
        <f>IF(I370="","",IF(OR(I370&lt;1,I370&gt;NW),"",INDEX(WMON,I370)))</f>
        <v/>
      </c>
    </row>
    <row r="371">
      <c r="A371" s="48" t="n"/>
      <c r="B371" s="22" t="n"/>
      <c r="C371" s="50" t="n"/>
      <c r="D371" s="49" t="n"/>
      <c r="E371" s="50" t="n"/>
      <c r="G371">
        <f>IF(AND(B371&lt;&gt;"",COUNTIF(B$6:B371,B371)=1),MAX(G$5:G370)+1,"")</f>
        <v/>
      </c>
      <c r="H371">
        <f>IF(A371="","",IF(ISNUMBER(A371),IF(A371&lt;=31,"",IF(A371&lt;=3112,IF(DATE(YR,MOD(A371,100),INT(A371/100))&gt;SAT1+7*NW-1,DATE(YR-1,MOD(A371,100),INT(A371/100)),DATE(YR,MOD(A371,100),INT(A371/100))),A371)),IFERROR(DATEVALUE(A371),"")))</f>
        <v/>
      </c>
      <c r="I371">
        <f>IF(H371="","",INT((H371-SAT1)/7)+1)</f>
        <v/>
      </c>
      <c r="J371">
        <f>IF(I371="","",IF(OR(I371&lt;1,I371&gt;NW),"",INDEX(WMON,I371)))</f>
        <v/>
      </c>
    </row>
    <row r="372">
      <c r="A372" s="48" t="n"/>
      <c r="B372" s="22" t="n"/>
      <c r="C372" s="50" t="n"/>
      <c r="D372" s="49" t="n"/>
      <c r="E372" s="50" t="n"/>
      <c r="G372">
        <f>IF(AND(B372&lt;&gt;"",COUNTIF(B$6:B372,B372)=1),MAX(G$5:G371)+1,"")</f>
        <v/>
      </c>
      <c r="H372">
        <f>IF(A372="","",IF(ISNUMBER(A372),IF(A372&lt;=31,"",IF(A372&lt;=3112,IF(DATE(YR,MOD(A372,100),INT(A372/100))&gt;SAT1+7*NW-1,DATE(YR-1,MOD(A372,100),INT(A372/100)),DATE(YR,MOD(A372,100),INT(A372/100))),A372)),IFERROR(DATEVALUE(A372),"")))</f>
        <v/>
      </c>
      <c r="I372">
        <f>IF(H372="","",INT((H372-SAT1)/7)+1)</f>
        <v/>
      </c>
      <c r="J372">
        <f>IF(I372="","",IF(OR(I372&lt;1,I372&gt;NW),"",INDEX(WMON,I372)))</f>
        <v/>
      </c>
    </row>
    <row r="373">
      <c r="A373" s="48" t="n"/>
      <c r="B373" s="22" t="n"/>
      <c r="C373" s="50" t="n"/>
      <c r="D373" s="49" t="n"/>
      <c r="E373" s="50" t="n"/>
      <c r="G373">
        <f>IF(AND(B373&lt;&gt;"",COUNTIF(B$6:B373,B373)=1),MAX(G$5:G372)+1,"")</f>
        <v/>
      </c>
      <c r="H373">
        <f>IF(A373="","",IF(ISNUMBER(A373),IF(A373&lt;=31,"",IF(A373&lt;=3112,IF(DATE(YR,MOD(A373,100),INT(A373/100))&gt;SAT1+7*NW-1,DATE(YR-1,MOD(A373,100),INT(A373/100)),DATE(YR,MOD(A373,100),INT(A373/100))),A373)),IFERROR(DATEVALUE(A373),"")))</f>
        <v/>
      </c>
      <c r="I373">
        <f>IF(H373="","",INT((H373-SAT1)/7)+1)</f>
        <v/>
      </c>
      <c r="J373">
        <f>IF(I373="","",IF(OR(I373&lt;1,I373&gt;NW),"",INDEX(WMON,I373)))</f>
        <v/>
      </c>
    </row>
    <row r="374">
      <c r="A374" s="48" t="n"/>
      <c r="B374" s="22" t="n"/>
      <c r="C374" s="50" t="n"/>
      <c r="D374" s="49" t="n"/>
      <c r="E374" s="50" t="n"/>
      <c r="G374">
        <f>IF(AND(B374&lt;&gt;"",COUNTIF(B$6:B374,B374)=1),MAX(G$5:G373)+1,"")</f>
        <v/>
      </c>
      <c r="H374">
        <f>IF(A374="","",IF(ISNUMBER(A374),IF(A374&lt;=31,"",IF(A374&lt;=3112,IF(DATE(YR,MOD(A374,100),INT(A374/100))&gt;SAT1+7*NW-1,DATE(YR-1,MOD(A374,100),INT(A374/100)),DATE(YR,MOD(A374,100),INT(A374/100))),A374)),IFERROR(DATEVALUE(A374),"")))</f>
        <v/>
      </c>
      <c r="I374">
        <f>IF(H374="","",INT((H374-SAT1)/7)+1)</f>
        <v/>
      </c>
      <c r="J374">
        <f>IF(I374="","",IF(OR(I374&lt;1,I374&gt;NW),"",INDEX(WMON,I374)))</f>
        <v/>
      </c>
    </row>
    <row r="375">
      <c r="A375" s="48" t="n"/>
      <c r="B375" s="22" t="n"/>
      <c r="C375" s="50" t="n"/>
      <c r="D375" s="49" t="n"/>
      <c r="E375" s="50" t="n"/>
      <c r="G375">
        <f>IF(AND(B375&lt;&gt;"",COUNTIF(B$6:B375,B375)=1),MAX(G$5:G374)+1,"")</f>
        <v/>
      </c>
      <c r="H375">
        <f>IF(A375="","",IF(ISNUMBER(A375),IF(A375&lt;=31,"",IF(A375&lt;=3112,IF(DATE(YR,MOD(A375,100),INT(A375/100))&gt;SAT1+7*NW-1,DATE(YR-1,MOD(A375,100),INT(A375/100)),DATE(YR,MOD(A375,100),INT(A375/100))),A375)),IFERROR(DATEVALUE(A375),"")))</f>
        <v/>
      </c>
      <c r="I375">
        <f>IF(H375="","",INT((H375-SAT1)/7)+1)</f>
        <v/>
      </c>
      <c r="J375">
        <f>IF(I375="","",IF(OR(I375&lt;1,I375&gt;NW),"",INDEX(WMON,I375)))</f>
        <v/>
      </c>
    </row>
    <row r="376">
      <c r="A376" s="48" t="n"/>
      <c r="B376" s="22" t="n"/>
      <c r="C376" s="50" t="n"/>
      <c r="D376" s="49" t="n"/>
      <c r="E376" s="50" t="n"/>
      <c r="G376">
        <f>IF(AND(B376&lt;&gt;"",COUNTIF(B$6:B376,B376)=1),MAX(G$5:G375)+1,"")</f>
        <v/>
      </c>
      <c r="H376">
        <f>IF(A376="","",IF(ISNUMBER(A376),IF(A376&lt;=31,"",IF(A376&lt;=3112,IF(DATE(YR,MOD(A376,100),INT(A376/100))&gt;SAT1+7*NW-1,DATE(YR-1,MOD(A376,100),INT(A376/100)),DATE(YR,MOD(A376,100),INT(A376/100))),A376)),IFERROR(DATEVALUE(A376),"")))</f>
        <v/>
      </c>
      <c r="I376">
        <f>IF(H376="","",INT((H376-SAT1)/7)+1)</f>
        <v/>
      </c>
      <c r="J376">
        <f>IF(I376="","",IF(OR(I376&lt;1,I376&gt;NW),"",INDEX(WMON,I376)))</f>
        <v/>
      </c>
    </row>
    <row r="377">
      <c r="A377" s="48" t="n"/>
      <c r="B377" s="22" t="n"/>
      <c r="C377" s="50" t="n"/>
      <c r="D377" s="49" t="n"/>
      <c r="E377" s="50" t="n"/>
      <c r="G377">
        <f>IF(AND(B377&lt;&gt;"",COUNTIF(B$6:B377,B377)=1),MAX(G$5:G376)+1,"")</f>
        <v/>
      </c>
      <c r="H377">
        <f>IF(A377="","",IF(ISNUMBER(A377),IF(A377&lt;=31,"",IF(A377&lt;=3112,IF(DATE(YR,MOD(A377,100),INT(A377/100))&gt;SAT1+7*NW-1,DATE(YR-1,MOD(A377,100),INT(A377/100)),DATE(YR,MOD(A377,100),INT(A377/100))),A377)),IFERROR(DATEVALUE(A377),"")))</f>
        <v/>
      </c>
      <c r="I377">
        <f>IF(H377="","",INT((H377-SAT1)/7)+1)</f>
        <v/>
      </c>
      <c r="J377">
        <f>IF(I377="","",IF(OR(I377&lt;1,I377&gt;NW),"",INDEX(WMON,I377)))</f>
        <v/>
      </c>
    </row>
    <row r="378">
      <c r="A378" s="48" t="n"/>
      <c r="B378" s="22" t="n"/>
      <c r="C378" s="50" t="n"/>
      <c r="D378" s="49" t="n"/>
      <c r="E378" s="50" t="n"/>
      <c r="G378">
        <f>IF(AND(B378&lt;&gt;"",COUNTIF(B$6:B378,B378)=1),MAX(G$5:G377)+1,"")</f>
        <v/>
      </c>
      <c r="H378">
        <f>IF(A378="","",IF(ISNUMBER(A378),IF(A378&lt;=31,"",IF(A378&lt;=3112,IF(DATE(YR,MOD(A378,100),INT(A378/100))&gt;SAT1+7*NW-1,DATE(YR-1,MOD(A378,100),INT(A378/100)),DATE(YR,MOD(A378,100),INT(A378/100))),A378)),IFERROR(DATEVALUE(A378),"")))</f>
        <v/>
      </c>
      <c r="I378">
        <f>IF(H378="","",INT((H378-SAT1)/7)+1)</f>
        <v/>
      </c>
      <c r="J378">
        <f>IF(I378="","",IF(OR(I378&lt;1,I378&gt;NW),"",INDEX(WMON,I378)))</f>
        <v/>
      </c>
    </row>
    <row r="379">
      <c r="A379" s="48" t="n"/>
      <c r="B379" s="22" t="n"/>
      <c r="C379" s="50" t="n"/>
      <c r="D379" s="49" t="n"/>
      <c r="E379" s="50" t="n"/>
      <c r="G379">
        <f>IF(AND(B379&lt;&gt;"",COUNTIF(B$6:B379,B379)=1),MAX(G$5:G378)+1,"")</f>
        <v/>
      </c>
      <c r="H379">
        <f>IF(A379="","",IF(ISNUMBER(A379),IF(A379&lt;=31,"",IF(A379&lt;=3112,IF(DATE(YR,MOD(A379,100),INT(A379/100))&gt;SAT1+7*NW-1,DATE(YR-1,MOD(A379,100),INT(A379/100)),DATE(YR,MOD(A379,100),INT(A379/100))),A379)),IFERROR(DATEVALUE(A379),"")))</f>
        <v/>
      </c>
      <c r="I379">
        <f>IF(H379="","",INT((H379-SAT1)/7)+1)</f>
        <v/>
      </c>
      <c r="J379">
        <f>IF(I379="","",IF(OR(I379&lt;1,I379&gt;NW),"",INDEX(WMON,I379)))</f>
        <v/>
      </c>
    </row>
    <row r="380">
      <c r="A380" s="48" t="n"/>
      <c r="B380" s="22" t="n"/>
      <c r="C380" s="50" t="n"/>
      <c r="D380" s="49" t="n"/>
      <c r="E380" s="50" t="n"/>
      <c r="G380">
        <f>IF(AND(B380&lt;&gt;"",COUNTIF(B$6:B380,B380)=1),MAX(G$5:G379)+1,"")</f>
        <v/>
      </c>
      <c r="H380">
        <f>IF(A380="","",IF(ISNUMBER(A380),IF(A380&lt;=31,"",IF(A380&lt;=3112,IF(DATE(YR,MOD(A380,100),INT(A380/100))&gt;SAT1+7*NW-1,DATE(YR-1,MOD(A380,100),INT(A380/100)),DATE(YR,MOD(A380,100),INT(A380/100))),A380)),IFERROR(DATEVALUE(A380),"")))</f>
        <v/>
      </c>
      <c r="I380">
        <f>IF(H380="","",INT((H380-SAT1)/7)+1)</f>
        <v/>
      </c>
      <c r="J380">
        <f>IF(I380="","",IF(OR(I380&lt;1,I380&gt;NW),"",INDEX(WMON,I380)))</f>
        <v/>
      </c>
    </row>
    <row r="381">
      <c r="A381" s="48" t="n"/>
      <c r="B381" s="22" t="n"/>
      <c r="C381" s="50" t="n"/>
      <c r="D381" s="49" t="n"/>
      <c r="E381" s="50" t="n"/>
      <c r="G381">
        <f>IF(AND(B381&lt;&gt;"",COUNTIF(B$6:B381,B381)=1),MAX(G$5:G380)+1,"")</f>
        <v/>
      </c>
      <c r="H381">
        <f>IF(A381="","",IF(ISNUMBER(A381),IF(A381&lt;=31,"",IF(A381&lt;=3112,IF(DATE(YR,MOD(A381,100),INT(A381/100))&gt;SAT1+7*NW-1,DATE(YR-1,MOD(A381,100),INT(A381/100)),DATE(YR,MOD(A381,100),INT(A381/100))),A381)),IFERROR(DATEVALUE(A381),"")))</f>
        <v/>
      </c>
      <c r="I381">
        <f>IF(H381="","",INT((H381-SAT1)/7)+1)</f>
        <v/>
      </c>
      <c r="J381">
        <f>IF(I381="","",IF(OR(I381&lt;1,I381&gt;NW),"",INDEX(WMON,I381)))</f>
        <v/>
      </c>
    </row>
    <row r="382">
      <c r="A382" s="48" t="n"/>
      <c r="B382" s="22" t="n"/>
      <c r="C382" s="50" t="n"/>
      <c r="D382" s="49" t="n"/>
      <c r="E382" s="50" t="n"/>
      <c r="G382">
        <f>IF(AND(B382&lt;&gt;"",COUNTIF(B$6:B382,B382)=1),MAX(G$5:G381)+1,"")</f>
        <v/>
      </c>
      <c r="H382">
        <f>IF(A382="","",IF(ISNUMBER(A382),IF(A382&lt;=31,"",IF(A382&lt;=3112,IF(DATE(YR,MOD(A382,100),INT(A382/100))&gt;SAT1+7*NW-1,DATE(YR-1,MOD(A382,100),INT(A382/100)),DATE(YR,MOD(A382,100),INT(A382/100))),A382)),IFERROR(DATEVALUE(A382),"")))</f>
        <v/>
      </c>
      <c r="I382">
        <f>IF(H382="","",INT((H382-SAT1)/7)+1)</f>
        <v/>
      </c>
      <c r="J382">
        <f>IF(I382="","",IF(OR(I382&lt;1,I382&gt;NW),"",INDEX(WMON,I382)))</f>
        <v/>
      </c>
    </row>
    <row r="383">
      <c r="A383" s="48" t="n"/>
      <c r="B383" s="22" t="n"/>
      <c r="C383" s="50" t="n"/>
      <c r="D383" s="49" t="n"/>
      <c r="E383" s="50" t="n"/>
      <c r="G383">
        <f>IF(AND(B383&lt;&gt;"",COUNTIF(B$6:B383,B383)=1),MAX(G$5:G382)+1,"")</f>
        <v/>
      </c>
      <c r="H383">
        <f>IF(A383="","",IF(ISNUMBER(A383),IF(A383&lt;=31,"",IF(A383&lt;=3112,IF(DATE(YR,MOD(A383,100),INT(A383/100))&gt;SAT1+7*NW-1,DATE(YR-1,MOD(A383,100),INT(A383/100)),DATE(YR,MOD(A383,100),INT(A383/100))),A383)),IFERROR(DATEVALUE(A383),"")))</f>
        <v/>
      </c>
      <c r="I383">
        <f>IF(H383="","",INT((H383-SAT1)/7)+1)</f>
        <v/>
      </c>
      <c r="J383">
        <f>IF(I383="","",IF(OR(I383&lt;1,I383&gt;NW),"",INDEX(WMON,I383)))</f>
        <v/>
      </c>
    </row>
    <row r="384">
      <c r="A384" s="48" t="n"/>
      <c r="B384" s="22" t="n"/>
      <c r="C384" s="50" t="n"/>
      <c r="D384" s="49" t="n"/>
      <c r="E384" s="50" t="n"/>
      <c r="G384">
        <f>IF(AND(B384&lt;&gt;"",COUNTIF(B$6:B384,B384)=1),MAX(G$5:G383)+1,"")</f>
        <v/>
      </c>
      <c r="H384">
        <f>IF(A384="","",IF(ISNUMBER(A384),IF(A384&lt;=31,"",IF(A384&lt;=3112,IF(DATE(YR,MOD(A384,100),INT(A384/100))&gt;SAT1+7*NW-1,DATE(YR-1,MOD(A384,100),INT(A384/100)),DATE(YR,MOD(A384,100),INT(A384/100))),A384)),IFERROR(DATEVALUE(A384),"")))</f>
        <v/>
      </c>
      <c r="I384">
        <f>IF(H384="","",INT((H384-SAT1)/7)+1)</f>
        <v/>
      </c>
      <c r="J384">
        <f>IF(I384="","",IF(OR(I384&lt;1,I384&gt;NW),"",INDEX(WMON,I384)))</f>
        <v/>
      </c>
    </row>
    <row r="385">
      <c r="A385" s="48" t="n"/>
      <c r="B385" s="22" t="n"/>
      <c r="C385" s="50" t="n"/>
      <c r="D385" s="49" t="n"/>
      <c r="E385" s="50" t="n"/>
      <c r="G385">
        <f>IF(AND(B385&lt;&gt;"",COUNTIF(B$6:B385,B385)=1),MAX(G$5:G384)+1,"")</f>
        <v/>
      </c>
      <c r="H385">
        <f>IF(A385="","",IF(ISNUMBER(A385),IF(A385&lt;=31,"",IF(A385&lt;=3112,IF(DATE(YR,MOD(A385,100),INT(A385/100))&gt;SAT1+7*NW-1,DATE(YR-1,MOD(A385,100),INT(A385/100)),DATE(YR,MOD(A385,100),INT(A385/100))),A385)),IFERROR(DATEVALUE(A385),"")))</f>
        <v/>
      </c>
      <c r="I385">
        <f>IF(H385="","",INT((H385-SAT1)/7)+1)</f>
        <v/>
      </c>
      <c r="J385">
        <f>IF(I385="","",IF(OR(I385&lt;1,I385&gt;NW),"",INDEX(WMON,I385)))</f>
        <v/>
      </c>
    </row>
    <row r="386">
      <c r="A386" s="48" t="n"/>
      <c r="B386" s="22" t="n"/>
      <c r="C386" s="50" t="n"/>
      <c r="D386" s="49" t="n"/>
      <c r="E386" s="50" t="n"/>
      <c r="G386">
        <f>IF(AND(B386&lt;&gt;"",COUNTIF(B$6:B386,B386)=1),MAX(G$5:G385)+1,"")</f>
        <v/>
      </c>
      <c r="H386">
        <f>IF(A386="","",IF(ISNUMBER(A386),IF(A386&lt;=31,"",IF(A386&lt;=3112,IF(DATE(YR,MOD(A386,100),INT(A386/100))&gt;SAT1+7*NW-1,DATE(YR-1,MOD(A386,100),INT(A386/100)),DATE(YR,MOD(A386,100),INT(A386/100))),A386)),IFERROR(DATEVALUE(A386),"")))</f>
        <v/>
      </c>
      <c r="I386">
        <f>IF(H386="","",INT((H386-SAT1)/7)+1)</f>
        <v/>
      </c>
      <c r="J386">
        <f>IF(I386="","",IF(OR(I386&lt;1,I386&gt;NW),"",INDEX(WMON,I386)))</f>
        <v/>
      </c>
    </row>
    <row r="387">
      <c r="A387" s="48" t="n"/>
      <c r="B387" s="22" t="n"/>
      <c r="C387" s="50" t="n"/>
      <c r="D387" s="49" t="n"/>
      <c r="E387" s="50" t="n"/>
      <c r="G387">
        <f>IF(AND(B387&lt;&gt;"",COUNTIF(B$6:B387,B387)=1),MAX(G$5:G386)+1,"")</f>
        <v/>
      </c>
      <c r="H387">
        <f>IF(A387="","",IF(ISNUMBER(A387),IF(A387&lt;=31,"",IF(A387&lt;=3112,IF(DATE(YR,MOD(A387,100),INT(A387/100))&gt;SAT1+7*NW-1,DATE(YR-1,MOD(A387,100),INT(A387/100)),DATE(YR,MOD(A387,100),INT(A387/100))),A387)),IFERROR(DATEVALUE(A387),"")))</f>
        <v/>
      </c>
      <c r="I387">
        <f>IF(H387="","",INT((H387-SAT1)/7)+1)</f>
        <v/>
      </c>
      <c r="J387">
        <f>IF(I387="","",IF(OR(I387&lt;1,I387&gt;NW),"",INDEX(WMON,I387)))</f>
        <v/>
      </c>
    </row>
    <row r="388">
      <c r="A388" s="48" t="n"/>
      <c r="B388" s="22" t="n"/>
      <c r="C388" s="50" t="n"/>
      <c r="D388" s="49" t="n"/>
      <c r="E388" s="50" t="n"/>
      <c r="G388">
        <f>IF(AND(B388&lt;&gt;"",COUNTIF(B$6:B388,B388)=1),MAX(G$5:G387)+1,"")</f>
        <v/>
      </c>
      <c r="H388">
        <f>IF(A388="","",IF(ISNUMBER(A388),IF(A388&lt;=31,"",IF(A388&lt;=3112,IF(DATE(YR,MOD(A388,100),INT(A388/100))&gt;SAT1+7*NW-1,DATE(YR-1,MOD(A388,100),INT(A388/100)),DATE(YR,MOD(A388,100),INT(A388/100))),A388)),IFERROR(DATEVALUE(A388),"")))</f>
        <v/>
      </c>
      <c r="I388">
        <f>IF(H388="","",INT((H388-SAT1)/7)+1)</f>
        <v/>
      </c>
      <c r="J388">
        <f>IF(I388="","",IF(OR(I388&lt;1,I388&gt;NW),"",INDEX(WMON,I388)))</f>
        <v/>
      </c>
    </row>
    <row r="389">
      <c r="A389" s="48" t="n"/>
      <c r="B389" s="22" t="n"/>
      <c r="C389" s="50" t="n"/>
      <c r="D389" s="49" t="n"/>
      <c r="E389" s="50" t="n"/>
      <c r="G389">
        <f>IF(AND(B389&lt;&gt;"",COUNTIF(B$6:B389,B389)=1),MAX(G$5:G388)+1,"")</f>
        <v/>
      </c>
      <c r="H389">
        <f>IF(A389="","",IF(ISNUMBER(A389),IF(A389&lt;=31,"",IF(A389&lt;=3112,IF(DATE(YR,MOD(A389,100),INT(A389/100))&gt;SAT1+7*NW-1,DATE(YR-1,MOD(A389,100),INT(A389/100)),DATE(YR,MOD(A389,100),INT(A389/100))),A389)),IFERROR(DATEVALUE(A389),"")))</f>
        <v/>
      </c>
      <c r="I389">
        <f>IF(H389="","",INT((H389-SAT1)/7)+1)</f>
        <v/>
      </c>
      <c r="J389">
        <f>IF(I389="","",IF(OR(I389&lt;1,I389&gt;NW),"",INDEX(WMON,I389)))</f>
        <v/>
      </c>
    </row>
    <row r="390">
      <c r="A390" s="48" t="n"/>
      <c r="B390" s="22" t="n"/>
      <c r="C390" s="50" t="n"/>
      <c r="D390" s="49" t="n"/>
      <c r="E390" s="50" t="n"/>
      <c r="G390">
        <f>IF(AND(B390&lt;&gt;"",COUNTIF(B$6:B390,B390)=1),MAX(G$5:G389)+1,"")</f>
        <v/>
      </c>
      <c r="H390">
        <f>IF(A390="","",IF(ISNUMBER(A390),IF(A390&lt;=31,"",IF(A390&lt;=3112,IF(DATE(YR,MOD(A390,100),INT(A390/100))&gt;SAT1+7*NW-1,DATE(YR-1,MOD(A390,100),INT(A390/100)),DATE(YR,MOD(A390,100),INT(A390/100))),A390)),IFERROR(DATEVALUE(A390),"")))</f>
        <v/>
      </c>
      <c r="I390">
        <f>IF(H390="","",INT((H390-SAT1)/7)+1)</f>
        <v/>
      </c>
      <c r="J390">
        <f>IF(I390="","",IF(OR(I390&lt;1,I390&gt;NW),"",INDEX(WMON,I390)))</f>
        <v/>
      </c>
    </row>
    <row r="391">
      <c r="A391" s="48" t="n"/>
      <c r="B391" s="22" t="n"/>
      <c r="C391" s="50" t="n"/>
      <c r="D391" s="49" t="n"/>
      <c r="E391" s="50" t="n"/>
      <c r="G391">
        <f>IF(AND(B391&lt;&gt;"",COUNTIF(B$6:B391,B391)=1),MAX(G$5:G390)+1,"")</f>
        <v/>
      </c>
      <c r="H391">
        <f>IF(A391="","",IF(ISNUMBER(A391),IF(A391&lt;=31,"",IF(A391&lt;=3112,IF(DATE(YR,MOD(A391,100),INT(A391/100))&gt;SAT1+7*NW-1,DATE(YR-1,MOD(A391,100),INT(A391/100)),DATE(YR,MOD(A391,100),INT(A391/100))),A391)),IFERROR(DATEVALUE(A391),"")))</f>
        <v/>
      </c>
      <c r="I391">
        <f>IF(H391="","",INT((H391-SAT1)/7)+1)</f>
        <v/>
      </c>
      <c r="J391">
        <f>IF(I391="","",IF(OR(I391&lt;1,I391&gt;NW),"",INDEX(WMON,I391)))</f>
        <v/>
      </c>
    </row>
    <row r="392">
      <c r="A392" s="48" t="n"/>
      <c r="B392" s="22" t="n"/>
      <c r="C392" s="50" t="n"/>
      <c r="D392" s="49" t="n"/>
      <c r="E392" s="50" t="n"/>
      <c r="G392">
        <f>IF(AND(B392&lt;&gt;"",COUNTIF(B$6:B392,B392)=1),MAX(G$5:G391)+1,"")</f>
        <v/>
      </c>
      <c r="H392">
        <f>IF(A392="","",IF(ISNUMBER(A392),IF(A392&lt;=31,"",IF(A392&lt;=3112,IF(DATE(YR,MOD(A392,100),INT(A392/100))&gt;SAT1+7*NW-1,DATE(YR-1,MOD(A392,100),INT(A392/100)),DATE(YR,MOD(A392,100),INT(A392/100))),A392)),IFERROR(DATEVALUE(A392),"")))</f>
        <v/>
      </c>
      <c r="I392">
        <f>IF(H392="","",INT((H392-SAT1)/7)+1)</f>
        <v/>
      </c>
      <c r="J392">
        <f>IF(I392="","",IF(OR(I392&lt;1,I392&gt;NW),"",INDEX(WMON,I392)))</f>
        <v/>
      </c>
    </row>
    <row r="393">
      <c r="A393" s="48" t="n"/>
      <c r="B393" s="22" t="n"/>
      <c r="C393" s="50" t="n"/>
      <c r="D393" s="49" t="n"/>
      <c r="E393" s="50" t="n"/>
      <c r="G393">
        <f>IF(AND(B393&lt;&gt;"",COUNTIF(B$6:B393,B393)=1),MAX(G$5:G392)+1,"")</f>
        <v/>
      </c>
      <c r="H393">
        <f>IF(A393="","",IF(ISNUMBER(A393),IF(A393&lt;=31,"",IF(A393&lt;=3112,IF(DATE(YR,MOD(A393,100),INT(A393/100))&gt;SAT1+7*NW-1,DATE(YR-1,MOD(A393,100),INT(A393/100)),DATE(YR,MOD(A393,100),INT(A393/100))),A393)),IFERROR(DATEVALUE(A393),"")))</f>
        <v/>
      </c>
      <c r="I393">
        <f>IF(H393="","",INT((H393-SAT1)/7)+1)</f>
        <v/>
      </c>
      <c r="J393">
        <f>IF(I393="","",IF(OR(I393&lt;1,I393&gt;NW),"",INDEX(WMON,I393)))</f>
        <v/>
      </c>
    </row>
    <row r="394">
      <c r="A394" s="48" t="n"/>
      <c r="B394" s="22" t="n"/>
      <c r="C394" s="50" t="n"/>
      <c r="D394" s="49" t="n"/>
      <c r="E394" s="50" t="n"/>
      <c r="G394">
        <f>IF(AND(B394&lt;&gt;"",COUNTIF(B$6:B394,B394)=1),MAX(G$5:G393)+1,"")</f>
        <v/>
      </c>
      <c r="H394">
        <f>IF(A394="","",IF(ISNUMBER(A394),IF(A394&lt;=31,"",IF(A394&lt;=3112,IF(DATE(YR,MOD(A394,100),INT(A394/100))&gt;SAT1+7*NW-1,DATE(YR-1,MOD(A394,100),INT(A394/100)),DATE(YR,MOD(A394,100),INT(A394/100))),A394)),IFERROR(DATEVALUE(A394),"")))</f>
        <v/>
      </c>
      <c r="I394">
        <f>IF(H394="","",INT((H394-SAT1)/7)+1)</f>
        <v/>
      </c>
      <c r="J394">
        <f>IF(I394="","",IF(OR(I394&lt;1,I394&gt;NW),"",INDEX(WMON,I394)))</f>
        <v/>
      </c>
    </row>
    <row r="395">
      <c r="A395" s="48" t="n"/>
      <c r="B395" s="22" t="n"/>
      <c r="C395" s="50" t="n"/>
      <c r="D395" s="49" t="n"/>
      <c r="E395" s="50" t="n"/>
      <c r="G395">
        <f>IF(AND(B395&lt;&gt;"",COUNTIF(B$6:B395,B395)=1),MAX(G$5:G394)+1,"")</f>
        <v/>
      </c>
      <c r="H395">
        <f>IF(A395="","",IF(ISNUMBER(A395),IF(A395&lt;=31,"",IF(A395&lt;=3112,IF(DATE(YR,MOD(A395,100),INT(A395/100))&gt;SAT1+7*NW-1,DATE(YR-1,MOD(A395,100),INT(A395/100)),DATE(YR,MOD(A395,100),INT(A395/100))),A395)),IFERROR(DATEVALUE(A395),"")))</f>
        <v/>
      </c>
      <c r="I395">
        <f>IF(H395="","",INT((H395-SAT1)/7)+1)</f>
        <v/>
      </c>
      <c r="J395">
        <f>IF(I395="","",IF(OR(I395&lt;1,I395&gt;NW),"",INDEX(WMON,I395)))</f>
        <v/>
      </c>
    </row>
    <row r="396">
      <c r="A396" s="48" t="n"/>
      <c r="B396" s="22" t="n"/>
      <c r="C396" s="50" t="n"/>
      <c r="D396" s="49" t="n"/>
      <c r="E396" s="50" t="n"/>
      <c r="G396">
        <f>IF(AND(B396&lt;&gt;"",COUNTIF(B$6:B396,B396)=1),MAX(G$5:G395)+1,"")</f>
        <v/>
      </c>
      <c r="H396">
        <f>IF(A396="","",IF(ISNUMBER(A396),IF(A396&lt;=31,"",IF(A396&lt;=3112,IF(DATE(YR,MOD(A396,100),INT(A396/100))&gt;SAT1+7*NW-1,DATE(YR-1,MOD(A396,100),INT(A396/100)),DATE(YR,MOD(A396,100),INT(A396/100))),A396)),IFERROR(DATEVALUE(A396),"")))</f>
        <v/>
      </c>
      <c r="I396">
        <f>IF(H396="","",INT((H396-SAT1)/7)+1)</f>
        <v/>
      </c>
      <c r="J396">
        <f>IF(I396="","",IF(OR(I396&lt;1,I396&gt;NW),"",INDEX(WMON,I396)))</f>
        <v/>
      </c>
    </row>
    <row r="397">
      <c r="A397" s="48" t="n"/>
      <c r="B397" s="22" t="n"/>
      <c r="C397" s="50" t="n"/>
      <c r="D397" s="49" t="n"/>
      <c r="E397" s="50" t="n"/>
      <c r="G397">
        <f>IF(AND(B397&lt;&gt;"",COUNTIF(B$6:B397,B397)=1),MAX(G$5:G396)+1,"")</f>
        <v/>
      </c>
      <c r="H397">
        <f>IF(A397="","",IF(ISNUMBER(A397),IF(A397&lt;=31,"",IF(A397&lt;=3112,IF(DATE(YR,MOD(A397,100),INT(A397/100))&gt;SAT1+7*NW-1,DATE(YR-1,MOD(A397,100),INT(A397/100)),DATE(YR,MOD(A397,100),INT(A397/100))),A397)),IFERROR(DATEVALUE(A397),"")))</f>
        <v/>
      </c>
      <c r="I397">
        <f>IF(H397="","",INT((H397-SAT1)/7)+1)</f>
        <v/>
      </c>
      <c r="J397">
        <f>IF(I397="","",IF(OR(I397&lt;1,I397&gt;NW),"",INDEX(WMON,I397)))</f>
        <v/>
      </c>
    </row>
    <row r="398">
      <c r="A398" s="48" t="n"/>
      <c r="B398" s="22" t="n"/>
      <c r="C398" s="50" t="n"/>
      <c r="D398" s="49" t="n"/>
      <c r="E398" s="50" t="n"/>
      <c r="G398">
        <f>IF(AND(B398&lt;&gt;"",COUNTIF(B$6:B398,B398)=1),MAX(G$5:G397)+1,"")</f>
        <v/>
      </c>
      <c r="H398">
        <f>IF(A398="","",IF(ISNUMBER(A398),IF(A398&lt;=31,"",IF(A398&lt;=3112,IF(DATE(YR,MOD(A398,100),INT(A398/100))&gt;SAT1+7*NW-1,DATE(YR-1,MOD(A398,100),INT(A398/100)),DATE(YR,MOD(A398,100),INT(A398/100))),A398)),IFERROR(DATEVALUE(A398),"")))</f>
        <v/>
      </c>
      <c r="I398">
        <f>IF(H398="","",INT((H398-SAT1)/7)+1)</f>
        <v/>
      </c>
      <c r="J398">
        <f>IF(I398="","",IF(OR(I398&lt;1,I398&gt;NW),"",INDEX(WMON,I398)))</f>
        <v/>
      </c>
    </row>
    <row r="399">
      <c r="A399" s="48" t="n"/>
      <c r="B399" s="22" t="n"/>
      <c r="C399" s="50" t="n"/>
      <c r="D399" s="49" t="n"/>
      <c r="E399" s="50" t="n"/>
      <c r="G399">
        <f>IF(AND(B399&lt;&gt;"",COUNTIF(B$6:B399,B399)=1),MAX(G$5:G398)+1,"")</f>
        <v/>
      </c>
      <c r="H399">
        <f>IF(A399="","",IF(ISNUMBER(A399),IF(A399&lt;=31,"",IF(A399&lt;=3112,IF(DATE(YR,MOD(A399,100),INT(A399/100))&gt;SAT1+7*NW-1,DATE(YR-1,MOD(A399,100),INT(A399/100)),DATE(YR,MOD(A399,100),INT(A399/100))),A399)),IFERROR(DATEVALUE(A399),"")))</f>
        <v/>
      </c>
      <c r="I399">
        <f>IF(H399="","",INT((H399-SAT1)/7)+1)</f>
        <v/>
      </c>
      <c r="J399">
        <f>IF(I399="","",IF(OR(I399&lt;1,I399&gt;NW),"",INDEX(WMON,I399)))</f>
        <v/>
      </c>
    </row>
    <row r="400">
      <c r="A400" s="48" t="n"/>
      <c r="B400" s="22" t="n"/>
      <c r="C400" s="50" t="n"/>
      <c r="D400" s="49" t="n"/>
      <c r="E400" s="50" t="n"/>
      <c r="G400">
        <f>IF(AND(B400&lt;&gt;"",COUNTIF(B$6:B400,B400)=1),MAX(G$5:G399)+1,"")</f>
        <v/>
      </c>
      <c r="H400">
        <f>IF(A400="","",IF(ISNUMBER(A400),IF(A400&lt;=31,"",IF(A400&lt;=3112,IF(DATE(YR,MOD(A400,100),INT(A400/100))&gt;SAT1+7*NW-1,DATE(YR-1,MOD(A400,100),INT(A400/100)),DATE(YR,MOD(A400,100),INT(A400/100))),A400)),IFERROR(DATEVALUE(A400),"")))</f>
        <v/>
      </c>
      <c r="I400">
        <f>IF(H400="","",INT((H400-SAT1)/7)+1)</f>
        <v/>
      </c>
      <c r="J400">
        <f>IF(I400="","",IF(OR(I400&lt;1,I400&gt;NW),"",INDEX(WMON,I400)))</f>
        <v/>
      </c>
    </row>
    <row r="401">
      <c r="A401" s="48" t="n"/>
      <c r="B401" s="22" t="n"/>
      <c r="C401" s="50" t="n"/>
      <c r="D401" s="49" t="n"/>
      <c r="E401" s="50" t="n"/>
      <c r="G401">
        <f>IF(AND(B401&lt;&gt;"",COUNTIF(B$6:B401,B401)=1),MAX(G$5:G400)+1,"")</f>
        <v/>
      </c>
      <c r="H401">
        <f>IF(A401="","",IF(ISNUMBER(A401),IF(A401&lt;=31,"",IF(A401&lt;=3112,IF(DATE(YR,MOD(A401,100),INT(A401/100))&gt;SAT1+7*NW-1,DATE(YR-1,MOD(A401,100),INT(A401/100)),DATE(YR,MOD(A401,100),INT(A401/100))),A401)),IFERROR(DATEVALUE(A401),"")))</f>
        <v/>
      </c>
      <c r="I401">
        <f>IF(H401="","",INT((H401-SAT1)/7)+1)</f>
        <v/>
      </c>
      <c r="J401">
        <f>IF(I401="","",IF(OR(I401&lt;1,I401&gt;NW),"",INDEX(WMON,I401)))</f>
        <v/>
      </c>
    </row>
    <row r="402">
      <c r="A402" s="48" t="n"/>
      <c r="B402" s="22" t="n"/>
      <c r="C402" s="50" t="n"/>
      <c r="D402" s="49" t="n"/>
      <c r="E402" s="50" t="n"/>
      <c r="G402">
        <f>IF(AND(B402&lt;&gt;"",COUNTIF(B$6:B402,B402)=1),MAX(G$5:G401)+1,"")</f>
        <v/>
      </c>
      <c r="H402">
        <f>IF(A402="","",IF(ISNUMBER(A402),IF(A402&lt;=31,"",IF(A402&lt;=3112,IF(DATE(YR,MOD(A402,100),INT(A402/100))&gt;SAT1+7*NW-1,DATE(YR-1,MOD(A402,100),INT(A402/100)),DATE(YR,MOD(A402,100),INT(A402/100))),A402)),IFERROR(DATEVALUE(A402),"")))</f>
        <v/>
      </c>
      <c r="I402">
        <f>IF(H402="","",INT((H402-SAT1)/7)+1)</f>
        <v/>
      </c>
      <c r="J402">
        <f>IF(I402="","",IF(OR(I402&lt;1,I402&gt;NW),"",INDEX(WMON,I402)))</f>
        <v/>
      </c>
    </row>
    <row r="403">
      <c r="A403" s="48" t="n"/>
      <c r="B403" s="22" t="n"/>
      <c r="C403" s="50" t="n"/>
      <c r="D403" s="49" t="n"/>
      <c r="E403" s="50" t="n"/>
      <c r="G403">
        <f>IF(AND(B403&lt;&gt;"",COUNTIF(B$6:B403,B403)=1),MAX(G$5:G402)+1,"")</f>
        <v/>
      </c>
      <c r="H403">
        <f>IF(A403="","",IF(ISNUMBER(A403),IF(A403&lt;=31,"",IF(A403&lt;=3112,IF(DATE(YR,MOD(A403,100),INT(A403/100))&gt;SAT1+7*NW-1,DATE(YR-1,MOD(A403,100),INT(A403/100)),DATE(YR,MOD(A403,100),INT(A403/100))),A403)),IFERROR(DATEVALUE(A403),"")))</f>
        <v/>
      </c>
      <c r="I403">
        <f>IF(H403="","",INT((H403-SAT1)/7)+1)</f>
        <v/>
      </c>
      <c r="J403">
        <f>IF(I403="","",IF(OR(I403&lt;1,I403&gt;NW),"",INDEX(WMON,I403)))</f>
        <v/>
      </c>
    </row>
    <row r="404">
      <c r="A404" s="48" t="n"/>
      <c r="B404" s="22" t="n"/>
      <c r="C404" s="50" t="n"/>
      <c r="D404" s="49" t="n"/>
      <c r="E404" s="50" t="n"/>
      <c r="G404">
        <f>IF(AND(B404&lt;&gt;"",COUNTIF(B$6:B404,B404)=1),MAX(G$5:G403)+1,"")</f>
        <v/>
      </c>
      <c r="H404">
        <f>IF(A404="","",IF(ISNUMBER(A404),IF(A404&lt;=31,"",IF(A404&lt;=3112,IF(DATE(YR,MOD(A404,100),INT(A404/100))&gt;SAT1+7*NW-1,DATE(YR-1,MOD(A404,100),INT(A404/100)),DATE(YR,MOD(A404,100),INT(A404/100))),A404)),IFERROR(DATEVALUE(A404),"")))</f>
        <v/>
      </c>
      <c r="I404">
        <f>IF(H404="","",INT((H404-SAT1)/7)+1)</f>
        <v/>
      </c>
      <c r="J404">
        <f>IF(I404="","",IF(OR(I404&lt;1,I404&gt;NW),"",INDEX(WMON,I404)))</f>
        <v/>
      </c>
    </row>
    <row r="405">
      <c r="A405" s="48" t="n"/>
      <c r="B405" s="22" t="n"/>
      <c r="C405" s="50" t="n"/>
      <c r="D405" s="49" t="n"/>
      <c r="E405" s="50" t="n"/>
      <c r="G405">
        <f>IF(AND(B405&lt;&gt;"",COUNTIF(B$6:B405,B405)=1),MAX(G$5:G404)+1,"")</f>
        <v/>
      </c>
      <c r="H405">
        <f>IF(A405="","",IF(ISNUMBER(A405),IF(A405&lt;=31,"",IF(A405&lt;=3112,IF(DATE(YR,MOD(A405,100),INT(A405/100))&gt;SAT1+7*NW-1,DATE(YR-1,MOD(A405,100),INT(A405/100)),DATE(YR,MOD(A405,100),INT(A405/100))),A405)),IFERROR(DATEVALUE(A405),"")))</f>
        <v/>
      </c>
      <c r="I405">
        <f>IF(H405="","",INT((H405-SAT1)/7)+1)</f>
        <v/>
      </c>
      <c r="J405">
        <f>IF(I405="","",IF(OR(I405&lt;1,I405&gt;NW),"",INDEX(WMON,I405)))</f>
        <v/>
      </c>
    </row>
    <row r="406">
      <c r="A406" s="48" t="n"/>
      <c r="B406" s="22" t="n"/>
      <c r="C406" s="50" t="n"/>
      <c r="D406" s="49" t="n"/>
      <c r="E406" s="50" t="n"/>
      <c r="G406">
        <f>IF(AND(B406&lt;&gt;"",COUNTIF(B$6:B406,B406)=1),MAX(G$5:G405)+1,"")</f>
        <v/>
      </c>
      <c r="H406">
        <f>IF(A406="","",IF(ISNUMBER(A406),IF(A406&lt;=31,"",IF(A406&lt;=3112,IF(DATE(YR,MOD(A406,100),INT(A406/100))&gt;SAT1+7*NW-1,DATE(YR-1,MOD(A406,100),INT(A406/100)),DATE(YR,MOD(A406,100),INT(A406/100))),A406)),IFERROR(DATEVALUE(A406),"")))</f>
        <v/>
      </c>
      <c r="I406">
        <f>IF(H406="","",INT((H406-SAT1)/7)+1)</f>
        <v/>
      </c>
      <c r="J406">
        <f>IF(I406="","",IF(OR(I406&lt;1,I406&gt;NW),"",INDEX(WMON,I406)))</f>
        <v/>
      </c>
    </row>
    <row r="407">
      <c r="A407" s="48" t="n"/>
      <c r="B407" s="22" t="n"/>
      <c r="C407" s="50" t="n"/>
      <c r="D407" s="49" t="n"/>
      <c r="E407" s="50" t="n"/>
      <c r="G407">
        <f>IF(AND(B407&lt;&gt;"",COUNTIF(B$6:B407,B407)=1),MAX(G$5:G406)+1,"")</f>
        <v/>
      </c>
      <c r="H407">
        <f>IF(A407="","",IF(ISNUMBER(A407),IF(A407&lt;=31,"",IF(A407&lt;=3112,IF(DATE(YR,MOD(A407,100),INT(A407/100))&gt;SAT1+7*NW-1,DATE(YR-1,MOD(A407,100),INT(A407/100)),DATE(YR,MOD(A407,100),INT(A407/100))),A407)),IFERROR(DATEVALUE(A407),"")))</f>
        <v/>
      </c>
      <c r="I407">
        <f>IF(H407="","",INT((H407-SAT1)/7)+1)</f>
        <v/>
      </c>
      <c r="J407">
        <f>IF(I407="","",IF(OR(I407&lt;1,I407&gt;NW),"",INDEX(WMON,I407)))</f>
        <v/>
      </c>
    </row>
    <row r="408">
      <c r="A408" s="48" t="n"/>
      <c r="B408" s="22" t="n"/>
      <c r="C408" s="50" t="n"/>
      <c r="D408" s="49" t="n"/>
      <c r="E408" s="50" t="n"/>
      <c r="G408">
        <f>IF(AND(B408&lt;&gt;"",COUNTIF(B$6:B408,B408)=1),MAX(G$5:G407)+1,"")</f>
        <v/>
      </c>
      <c r="H408">
        <f>IF(A408="","",IF(ISNUMBER(A408),IF(A408&lt;=31,"",IF(A408&lt;=3112,IF(DATE(YR,MOD(A408,100),INT(A408/100))&gt;SAT1+7*NW-1,DATE(YR-1,MOD(A408,100),INT(A408/100)),DATE(YR,MOD(A408,100),INT(A408/100))),A408)),IFERROR(DATEVALUE(A408),"")))</f>
        <v/>
      </c>
      <c r="I408">
        <f>IF(H408="","",INT((H408-SAT1)/7)+1)</f>
        <v/>
      </c>
      <c r="J408">
        <f>IF(I408="","",IF(OR(I408&lt;1,I408&gt;NW),"",INDEX(WMON,I408)))</f>
        <v/>
      </c>
    </row>
    <row r="409">
      <c r="A409" s="48" t="n"/>
      <c r="B409" s="22" t="n"/>
      <c r="C409" s="50" t="n"/>
      <c r="D409" s="49" t="n"/>
      <c r="E409" s="50" t="n"/>
      <c r="G409">
        <f>IF(AND(B409&lt;&gt;"",COUNTIF(B$6:B409,B409)=1),MAX(G$5:G408)+1,"")</f>
        <v/>
      </c>
      <c r="H409">
        <f>IF(A409="","",IF(ISNUMBER(A409),IF(A409&lt;=31,"",IF(A409&lt;=3112,IF(DATE(YR,MOD(A409,100),INT(A409/100))&gt;SAT1+7*NW-1,DATE(YR-1,MOD(A409,100),INT(A409/100)),DATE(YR,MOD(A409,100),INT(A409/100))),A409)),IFERROR(DATEVALUE(A409),"")))</f>
        <v/>
      </c>
      <c r="I409">
        <f>IF(H409="","",INT((H409-SAT1)/7)+1)</f>
        <v/>
      </c>
      <c r="J409">
        <f>IF(I409="","",IF(OR(I409&lt;1,I409&gt;NW),"",INDEX(WMON,I409)))</f>
        <v/>
      </c>
    </row>
    <row r="410">
      <c r="A410" s="48" t="n"/>
      <c r="B410" s="22" t="n"/>
      <c r="C410" s="50" t="n"/>
      <c r="D410" s="49" t="n"/>
      <c r="E410" s="50" t="n"/>
      <c r="G410">
        <f>IF(AND(B410&lt;&gt;"",COUNTIF(B$6:B410,B410)=1),MAX(G$5:G409)+1,"")</f>
        <v/>
      </c>
      <c r="H410">
        <f>IF(A410="","",IF(ISNUMBER(A410),IF(A410&lt;=31,"",IF(A410&lt;=3112,IF(DATE(YR,MOD(A410,100),INT(A410/100))&gt;SAT1+7*NW-1,DATE(YR-1,MOD(A410,100),INT(A410/100)),DATE(YR,MOD(A410,100),INT(A410/100))),A410)),IFERROR(DATEVALUE(A410),"")))</f>
        <v/>
      </c>
      <c r="I410">
        <f>IF(H410="","",INT((H410-SAT1)/7)+1)</f>
        <v/>
      </c>
      <c r="J410">
        <f>IF(I410="","",IF(OR(I410&lt;1,I410&gt;NW),"",INDEX(WMON,I410)))</f>
        <v/>
      </c>
    </row>
    <row r="411">
      <c r="A411" s="48" t="n"/>
      <c r="B411" s="22" t="n"/>
      <c r="C411" s="50" t="n"/>
      <c r="D411" s="49" t="n"/>
      <c r="E411" s="50" t="n"/>
      <c r="G411">
        <f>IF(AND(B411&lt;&gt;"",COUNTIF(B$6:B411,B411)=1),MAX(G$5:G410)+1,"")</f>
        <v/>
      </c>
      <c r="H411">
        <f>IF(A411="","",IF(ISNUMBER(A411),IF(A411&lt;=31,"",IF(A411&lt;=3112,IF(DATE(YR,MOD(A411,100),INT(A411/100))&gt;SAT1+7*NW-1,DATE(YR-1,MOD(A411,100),INT(A411/100)),DATE(YR,MOD(A411,100),INT(A411/100))),A411)),IFERROR(DATEVALUE(A411),"")))</f>
        <v/>
      </c>
      <c r="I411">
        <f>IF(H411="","",INT((H411-SAT1)/7)+1)</f>
        <v/>
      </c>
      <c r="J411">
        <f>IF(I411="","",IF(OR(I411&lt;1,I411&gt;NW),"",INDEX(WMON,I411)))</f>
        <v/>
      </c>
    </row>
    <row r="412">
      <c r="A412" s="48" t="n"/>
      <c r="B412" s="22" t="n"/>
      <c r="C412" s="50" t="n"/>
      <c r="D412" s="49" t="n"/>
      <c r="E412" s="50" t="n"/>
      <c r="G412">
        <f>IF(AND(B412&lt;&gt;"",COUNTIF(B$6:B412,B412)=1),MAX(G$5:G411)+1,"")</f>
        <v/>
      </c>
      <c r="H412">
        <f>IF(A412="","",IF(ISNUMBER(A412),IF(A412&lt;=31,"",IF(A412&lt;=3112,IF(DATE(YR,MOD(A412,100),INT(A412/100))&gt;SAT1+7*NW-1,DATE(YR-1,MOD(A412,100),INT(A412/100)),DATE(YR,MOD(A412,100),INT(A412/100))),A412)),IFERROR(DATEVALUE(A412),"")))</f>
        <v/>
      </c>
      <c r="I412">
        <f>IF(H412="","",INT((H412-SAT1)/7)+1)</f>
        <v/>
      </c>
      <c r="J412">
        <f>IF(I412="","",IF(OR(I412&lt;1,I412&gt;NW),"",INDEX(WMON,I412)))</f>
        <v/>
      </c>
    </row>
    <row r="413">
      <c r="A413" s="48" t="n"/>
      <c r="B413" s="22" t="n"/>
      <c r="C413" s="50" t="n"/>
      <c r="D413" s="49" t="n"/>
      <c r="E413" s="50" t="n"/>
      <c r="G413">
        <f>IF(AND(B413&lt;&gt;"",COUNTIF(B$6:B413,B413)=1),MAX(G$5:G412)+1,"")</f>
        <v/>
      </c>
      <c r="H413">
        <f>IF(A413="","",IF(ISNUMBER(A413),IF(A413&lt;=31,"",IF(A413&lt;=3112,IF(DATE(YR,MOD(A413,100),INT(A413/100))&gt;SAT1+7*NW-1,DATE(YR-1,MOD(A413,100),INT(A413/100)),DATE(YR,MOD(A413,100),INT(A413/100))),A413)),IFERROR(DATEVALUE(A413),"")))</f>
        <v/>
      </c>
      <c r="I413">
        <f>IF(H413="","",INT((H413-SAT1)/7)+1)</f>
        <v/>
      </c>
      <c r="J413">
        <f>IF(I413="","",IF(OR(I413&lt;1,I413&gt;NW),"",INDEX(WMON,I413)))</f>
        <v/>
      </c>
    </row>
    <row r="414">
      <c r="A414" s="48" t="n"/>
      <c r="B414" s="22" t="n"/>
      <c r="C414" s="50" t="n"/>
      <c r="D414" s="49" t="n"/>
      <c r="E414" s="50" t="n"/>
      <c r="G414">
        <f>IF(AND(B414&lt;&gt;"",COUNTIF(B$6:B414,B414)=1),MAX(G$5:G413)+1,"")</f>
        <v/>
      </c>
      <c r="H414">
        <f>IF(A414="","",IF(ISNUMBER(A414),IF(A414&lt;=31,"",IF(A414&lt;=3112,IF(DATE(YR,MOD(A414,100),INT(A414/100))&gt;SAT1+7*NW-1,DATE(YR-1,MOD(A414,100),INT(A414/100)),DATE(YR,MOD(A414,100),INT(A414/100))),A414)),IFERROR(DATEVALUE(A414),"")))</f>
        <v/>
      </c>
      <c r="I414">
        <f>IF(H414="","",INT((H414-SAT1)/7)+1)</f>
        <v/>
      </c>
      <c r="J414">
        <f>IF(I414="","",IF(OR(I414&lt;1,I414&gt;NW),"",INDEX(WMON,I414)))</f>
        <v/>
      </c>
    </row>
    <row r="415">
      <c r="A415" s="48" t="n"/>
      <c r="B415" s="22" t="n"/>
      <c r="C415" s="50" t="n"/>
      <c r="D415" s="49" t="n"/>
      <c r="E415" s="50" t="n"/>
      <c r="G415">
        <f>IF(AND(B415&lt;&gt;"",COUNTIF(B$6:B415,B415)=1),MAX(G$5:G414)+1,"")</f>
        <v/>
      </c>
      <c r="H415">
        <f>IF(A415="","",IF(ISNUMBER(A415),IF(A415&lt;=31,"",IF(A415&lt;=3112,IF(DATE(YR,MOD(A415,100),INT(A415/100))&gt;SAT1+7*NW-1,DATE(YR-1,MOD(A415,100),INT(A415/100)),DATE(YR,MOD(A415,100),INT(A415/100))),A415)),IFERROR(DATEVALUE(A415),"")))</f>
        <v/>
      </c>
      <c r="I415">
        <f>IF(H415="","",INT((H415-SAT1)/7)+1)</f>
        <v/>
      </c>
      <c r="J415">
        <f>IF(I415="","",IF(OR(I415&lt;1,I415&gt;NW),"",INDEX(WMON,I415)))</f>
        <v/>
      </c>
    </row>
    <row r="416">
      <c r="A416" s="48" t="n"/>
      <c r="B416" s="22" t="n"/>
      <c r="C416" s="50" t="n"/>
      <c r="D416" s="49" t="n"/>
      <c r="E416" s="50" t="n"/>
      <c r="G416">
        <f>IF(AND(B416&lt;&gt;"",COUNTIF(B$6:B416,B416)=1),MAX(G$5:G415)+1,"")</f>
        <v/>
      </c>
      <c r="H416">
        <f>IF(A416="","",IF(ISNUMBER(A416),IF(A416&lt;=31,"",IF(A416&lt;=3112,IF(DATE(YR,MOD(A416,100),INT(A416/100))&gt;SAT1+7*NW-1,DATE(YR-1,MOD(A416,100),INT(A416/100)),DATE(YR,MOD(A416,100),INT(A416/100))),A416)),IFERROR(DATEVALUE(A416),"")))</f>
        <v/>
      </c>
      <c r="I416">
        <f>IF(H416="","",INT((H416-SAT1)/7)+1)</f>
        <v/>
      </c>
      <c r="J416">
        <f>IF(I416="","",IF(OR(I416&lt;1,I416&gt;NW),"",INDEX(WMON,I416)))</f>
        <v/>
      </c>
    </row>
    <row r="417">
      <c r="A417" s="48" t="n"/>
      <c r="B417" s="22" t="n"/>
      <c r="C417" s="50" t="n"/>
      <c r="D417" s="49" t="n"/>
      <c r="E417" s="50" t="n"/>
      <c r="G417">
        <f>IF(AND(B417&lt;&gt;"",COUNTIF(B$6:B417,B417)=1),MAX(G$5:G416)+1,"")</f>
        <v/>
      </c>
      <c r="H417">
        <f>IF(A417="","",IF(ISNUMBER(A417),IF(A417&lt;=31,"",IF(A417&lt;=3112,IF(DATE(YR,MOD(A417,100),INT(A417/100))&gt;SAT1+7*NW-1,DATE(YR-1,MOD(A417,100),INT(A417/100)),DATE(YR,MOD(A417,100),INT(A417/100))),A417)),IFERROR(DATEVALUE(A417),"")))</f>
        <v/>
      </c>
      <c r="I417">
        <f>IF(H417="","",INT((H417-SAT1)/7)+1)</f>
        <v/>
      </c>
      <c r="J417">
        <f>IF(I417="","",IF(OR(I417&lt;1,I417&gt;NW),"",INDEX(WMON,I417)))</f>
        <v/>
      </c>
    </row>
    <row r="418">
      <c r="A418" s="48" t="n"/>
      <c r="B418" s="22" t="n"/>
      <c r="C418" s="50" t="n"/>
      <c r="D418" s="49" t="n"/>
      <c r="E418" s="50" t="n"/>
      <c r="G418">
        <f>IF(AND(B418&lt;&gt;"",COUNTIF(B$6:B418,B418)=1),MAX(G$5:G417)+1,"")</f>
        <v/>
      </c>
      <c r="H418">
        <f>IF(A418="","",IF(ISNUMBER(A418),IF(A418&lt;=31,"",IF(A418&lt;=3112,IF(DATE(YR,MOD(A418,100),INT(A418/100))&gt;SAT1+7*NW-1,DATE(YR-1,MOD(A418,100),INT(A418/100)),DATE(YR,MOD(A418,100),INT(A418/100))),A418)),IFERROR(DATEVALUE(A418),"")))</f>
        <v/>
      </c>
      <c r="I418">
        <f>IF(H418="","",INT((H418-SAT1)/7)+1)</f>
        <v/>
      </c>
      <c r="J418">
        <f>IF(I418="","",IF(OR(I418&lt;1,I418&gt;NW),"",INDEX(WMON,I418)))</f>
        <v/>
      </c>
    </row>
    <row r="419">
      <c r="A419" s="48" t="n"/>
      <c r="B419" s="22" t="n"/>
      <c r="C419" s="50" t="n"/>
      <c r="D419" s="49" t="n"/>
      <c r="E419" s="50" t="n"/>
      <c r="G419">
        <f>IF(AND(B419&lt;&gt;"",COUNTIF(B$6:B419,B419)=1),MAX(G$5:G418)+1,"")</f>
        <v/>
      </c>
      <c r="H419">
        <f>IF(A419="","",IF(ISNUMBER(A419),IF(A419&lt;=31,"",IF(A419&lt;=3112,IF(DATE(YR,MOD(A419,100),INT(A419/100))&gt;SAT1+7*NW-1,DATE(YR-1,MOD(A419,100),INT(A419/100)),DATE(YR,MOD(A419,100),INT(A419/100))),A419)),IFERROR(DATEVALUE(A419),"")))</f>
        <v/>
      </c>
      <c r="I419">
        <f>IF(H419="","",INT((H419-SAT1)/7)+1)</f>
        <v/>
      </c>
      <c r="J419">
        <f>IF(I419="","",IF(OR(I419&lt;1,I419&gt;NW),"",INDEX(WMON,I419)))</f>
        <v/>
      </c>
    </row>
    <row r="420">
      <c r="A420" s="48" t="n"/>
      <c r="B420" s="22" t="n"/>
      <c r="C420" s="50" t="n"/>
      <c r="D420" s="49" t="n"/>
      <c r="E420" s="50" t="n"/>
      <c r="G420">
        <f>IF(AND(B420&lt;&gt;"",COUNTIF(B$6:B420,B420)=1),MAX(G$5:G419)+1,"")</f>
        <v/>
      </c>
      <c r="H420">
        <f>IF(A420="","",IF(ISNUMBER(A420),IF(A420&lt;=31,"",IF(A420&lt;=3112,IF(DATE(YR,MOD(A420,100),INT(A420/100))&gt;SAT1+7*NW-1,DATE(YR-1,MOD(A420,100),INT(A420/100)),DATE(YR,MOD(A420,100),INT(A420/100))),A420)),IFERROR(DATEVALUE(A420),"")))</f>
        <v/>
      </c>
      <c r="I420">
        <f>IF(H420="","",INT((H420-SAT1)/7)+1)</f>
        <v/>
      </c>
      <c r="J420">
        <f>IF(I420="","",IF(OR(I420&lt;1,I420&gt;NW),"",INDEX(WMON,I420)))</f>
        <v/>
      </c>
    </row>
    <row r="421">
      <c r="A421" s="48" t="n"/>
      <c r="B421" s="22" t="n"/>
      <c r="C421" s="50" t="n"/>
      <c r="D421" s="49" t="n"/>
      <c r="E421" s="50" t="n"/>
      <c r="G421">
        <f>IF(AND(B421&lt;&gt;"",COUNTIF(B$6:B421,B421)=1),MAX(G$5:G420)+1,"")</f>
        <v/>
      </c>
      <c r="H421">
        <f>IF(A421="","",IF(ISNUMBER(A421),IF(A421&lt;=31,"",IF(A421&lt;=3112,IF(DATE(YR,MOD(A421,100),INT(A421/100))&gt;SAT1+7*NW-1,DATE(YR-1,MOD(A421,100),INT(A421/100)),DATE(YR,MOD(A421,100),INT(A421/100))),A421)),IFERROR(DATEVALUE(A421),"")))</f>
        <v/>
      </c>
      <c r="I421">
        <f>IF(H421="","",INT((H421-SAT1)/7)+1)</f>
        <v/>
      </c>
      <c r="J421">
        <f>IF(I421="","",IF(OR(I421&lt;1,I421&gt;NW),"",INDEX(WMON,I421)))</f>
        <v/>
      </c>
    </row>
    <row r="422">
      <c r="A422" s="48" t="n"/>
      <c r="B422" s="22" t="n"/>
      <c r="C422" s="50" t="n"/>
      <c r="D422" s="49" t="n"/>
      <c r="E422" s="50" t="n"/>
      <c r="G422">
        <f>IF(AND(B422&lt;&gt;"",COUNTIF(B$6:B422,B422)=1),MAX(G$5:G421)+1,"")</f>
        <v/>
      </c>
      <c r="H422">
        <f>IF(A422="","",IF(ISNUMBER(A422),IF(A422&lt;=31,"",IF(A422&lt;=3112,IF(DATE(YR,MOD(A422,100),INT(A422/100))&gt;SAT1+7*NW-1,DATE(YR-1,MOD(A422,100),INT(A422/100)),DATE(YR,MOD(A422,100),INT(A422/100))),A422)),IFERROR(DATEVALUE(A422),"")))</f>
        <v/>
      </c>
      <c r="I422">
        <f>IF(H422="","",INT((H422-SAT1)/7)+1)</f>
        <v/>
      </c>
      <c r="J422">
        <f>IF(I422="","",IF(OR(I422&lt;1,I422&gt;NW),"",INDEX(WMON,I422)))</f>
        <v/>
      </c>
    </row>
    <row r="423">
      <c r="A423" s="48" t="n"/>
      <c r="B423" s="22" t="n"/>
      <c r="C423" s="50" t="n"/>
      <c r="D423" s="49" t="n"/>
      <c r="E423" s="50" t="n"/>
      <c r="G423">
        <f>IF(AND(B423&lt;&gt;"",COUNTIF(B$6:B423,B423)=1),MAX(G$5:G422)+1,"")</f>
        <v/>
      </c>
      <c r="H423">
        <f>IF(A423="","",IF(ISNUMBER(A423),IF(A423&lt;=31,"",IF(A423&lt;=3112,IF(DATE(YR,MOD(A423,100),INT(A423/100))&gt;SAT1+7*NW-1,DATE(YR-1,MOD(A423,100),INT(A423/100)),DATE(YR,MOD(A423,100),INT(A423/100))),A423)),IFERROR(DATEVALUE(A423),"")))</f>
        <v/>
      </c>
      <c r="I423">
        <f>IF(H423="","",INT((H423-SAT1)/7)+1)</f>
        <v/>
      </c>
      <c r="J423">
        <f>IF(I423="","",IF(OR(I423&lt;1,I423&gt;NW),"",INDEX(WMON,I423)))</f>
        <v/>
      </c>
    </row>
    <row r="424">
      <c r="A424" s="48" t="n"/>
      <c r="B424" s="22" t="n"/>
      <c r="C424" s="50" t="n"/>
      <c r="D424" s="49" t="n"/>
      <c r="E424" s="50" t="n"/>
      <c r="G424">
        <f>IF(AND(B424&lt;&gt;"",COUNTIF(B$6:B424,B424)=1),MAX(G$5:G423)+1,"")</f>
        <v/>
      </c>
      <c r="H424">
        <f>IF(A424="","",IF(ISNUMBER(A424),IF(A424&lt;=31,"",IF(A424&lt;=3112,IF(DATE(YR,MOD(A424,100),INT(A424/100))&gt;SAT1+7*NW-1,DATE(YR-1,MOD(A424,100),INT(A424/100)),DATE(YR,MOD(A424,100),INT(A424/100))),A424)),IFERROR(DATEVALUE(A424),"")))</f>
        <v/>
      </c>
      <c r="I424">
        <f>IF(H424="","",INT((H424-SAT1)/7)+1)</f>
        <v/>
      </c>
      <c r="J424">
        <f>IF(I424="","",IF(OR(I424&lt;1,I424&gt;NW),"",INDEX(WMON,I424)))</f>
        <v/>
      </c>
    </row>
    <row r="425">
      <c r="A425" s="48" t="n"/>
      <c r="B425" s="22" t="n"/>
      <c r="C425" s="50" t="n"/>
      <c r="D425" s="49" t="n"/>
      <c r="E425" s="50" t="n"/>
      <c r="G425">
        <f>IF(AND(B425&lt;&gt;"",COUNTIF(B$6:B425,B425)=1),MAX(G$5:G424)+1,"")</f>
        <v/>
      </c>
      <c r="H425">
        <f>IF(A425="","",IF(ISNUMBER(A425),IF(A425&lt;=31,"",IF(A425&lt;=3112,IF(DATE(YR,MOD(A425,100),INT(A425/100))&gt;SAT1+7*NW-1,DATE(YR-1,MOD(A425,100),INT(A425/100)),DATE(YR,MOD(A425,100),INT(A425/100))),A425)),IFERROR(DATEVALUE(A425),"")))</f>
        <v/>
      </c>
      <c r="I425">
        <f>IF(H425="","",INT((H425-SAT1)/7)+1)</f>
        <v/>
      </c>
      <c r="J425">
        <f>IF(I425="","",IF(OR(I425&lt;1,I425&gt;NW),"",INDEX(WMON,I425)))</f>
        <v/>
      </c>
    </row>
    <row r="426">
      <c r="A426" s="48" t="n"/>
      <c r="B426" s="22" t="n"/>
      <c r="C426" s="50" t="n"/>
      <c r="D426" s="49" t="n"/>
      <c r="E426" s="50" t="n"/>
      <c r="G426">
        <f>IF(AND(B426&lt;&gt;"",COUNTIF(B$6:B426,B426)=1),MAX(G$5:G425)+1,"")</f>
        <v/>
      </c>
      <c r="H426">
        <f>IF(A426="","",IF(ISNUMBER(A426),IF(A426&lt;=31,"",IF(A426&lt;=3112,IF(DATE(YR,MOD(A426,100),INT(A426/100))&gt;SAT1+7*NW-1,DATE(YR-1,MOD(A426,100),INT(A426/100)),DATE(YR,MOD(A426,100),INT(A426/100))),A426)),IFERROR(DATEVALUE(A426),"")))</f>
        <v/>
      </c>
      <c r="I426">
        <f>IF(H426="","",INT((H426-SAT1)/7)+1)</f>
        <v/>
      </c>
      <c r="J426">
        <f>IF(I426="","",IF(OR(I426&lt;1,I426&gt;NW),"",INDEX(WMON,I426)))</f>
        <v/>
      </c>
    </row>
    <row r="427">
      <c r="A427" s="48" t="n"/>
      <c r="B427" s="22" t="n"/>
      <c r="C427" s="50" t="n"/>
      <c r="D427" s="49" t="n"/>
      <c r="E427" s="50" t="n"/>
      <c r="G427">
        <f>IF(AND(B427&lt;&gt;"",COUNTIF(B$6:B427,B427)=1),MAX(G$5:G426)+1,"")</f>
        <v/>
      </c>
      <c r="H427">
        <f>IF(A427="","",IF(ISNUMBER(A427),IF(A427&lt;=31,"",IF(A427&lt;=3112,IF(DATE(YR,MOD(A427,100),INT(A427/100))&gt;SAT1+7*NW-1,DATE(YR-1,MOD(A427,100),INT(A427/100)),DATE(YR,MOD(A427,100),INT(A427/100))),A427)),IFERROR(DATEVALUE(A427),"")))</f>
        <v/>
      </c>
      <c r="I427">
        <f>IF(H427="","",INT((H427-SAT1)/7)+1)</f>
        <v/>
      </c>
      <c r="J427">
        <f>IF(I427="","",IF(OR(I427&lt;1,I427&gt;NW),"",INDEX(WMON,I427)))</f>
        <v/>
      </c>
    </row>
    <row r="428">
      <c r="A428" s="48" t="n"/>
      <c r="B428" s="22" t="n"/>
      <c r="C428" s="50" t="n"/>
      <c r="D428" s="49" t="n"/>
      <c r="E428" s="50" t="n"/>
      <c r="G428">
        <f>IF(AND(B428&lt;&gt;"",COUNTIF(B$6:B428,B428)=1),MAX(G$5:G427)+1,"")</f>
        <v/>
      </c>
      <c r="H428">
        <f>IF(A428="","",IF(ISNUMBER(A428),IF(A428&lt;=31,"",IF(A428&lt;=3112,IF(DATE(YR,MOD(A428,100),INT(A428/100))&gt;SAT1+7*NW-1,DATE(YR-1,MOD(A428,100),INT(A428/100)),DATE(YR,MOD(A428,100),INT(A428/100))),A428)),IFERROR(DATEVALUE(A428),"")))</f>
        <v/>
      </c>
      <c r="I428">
        <f>IF(H428="","",INT((H428-SAT1)/7)+1)</f>
        <v/>
      </c>
      <c r="J428">
        <f>IF(I428="","",IF(OR(I428&lt;1,I428&gt;NW),"",INDEX(WMON,I428)))</f>
        <v/>
      </c>
    </row>
    <row r="429">
      <c r="A429" s="48" t="n"/>
      <c r="B429" s="22" t="n"/>
      <c r="C429" s="50" t="n"/>
      <c r="D429" s="49" t="n"/>
      <c r="E429" s="50" t="n"/>
      <c r="G429">
        <f>IF(AND(B429&lt;&gt;"",COUNTIF(B$6:B429,B429)=1),MAX(G$5:G428)+1,"")</f>
        <v/>
      </c>
      <c r="H429">
        <f>IF(A429="","",IF(ISNUMBER(A429),IF(A429&lt;=31,"",IF(A429&lt;=3112,IF(DATE(YR,MOD(A429,100),INT(A429/100))&gt;SAT1+7*NW-1,DATE(YR-1,MOD(A429,100),INT(A429/100)),DATE(YR,MOD(A429,100),INT(A429/100))),A429)),IFERROR(DATEVALUE(A429),"")))</f>
        <v/>
      </c>
      <c r="I429">
        <f>IF(H429="","",INT((H429-SAT1)/7)+1)</f>
        <v/>
      </c>
      <c r="J429">
        <f>IF(I429="","",IF(OR(I429&lt;1,I429&gt;NW),"",INDEX(WMON,I429)))</f>
        <v/>
      </c>
    </row>
    <row r="430">
      <c r="A430" s="48" t="n"/>
      <c r="B430" s="22" t="n"/>
      <c r="C430" s="50" t="n"/>
      <c r="D430" s="49" t="n"/>
      <c r="E430" s="50" t="n"/>
      <c r="G430">
        <f>IF(AND(B430&lt;&gt;"",COUNTIF(B$6:B430,B430)=1),MAX(G$5:G429)+1,"")</f>
        <v/>
      </c>
      <c r="H430">
        <f>IF(A430="","",IF(ISNUMBER(A430),IF(A430&lt;=31,"",IF(A430&lt;=3112,IF(DATE(YR,MOD(A430,100),INT(A430/100))&gt;SAT1+7*NW-1,DATE(YR-1,MOD(A430,100),INT(A430/100)),DATE(YR,MOD(A430,100),INT(A430/100))),A430)),IFERROR(DATEVALUE(A430),"")))</f>
        <v/>
      </c>
      <c r="I430">
        <f>IF(H430="","",INT((H430-SAT1)/7)+1)</f>
        <v/>
      </c>
      <c r="J430">
        <f>IF(I430="","",IF(OR(I430&lt;1,I430&gt;NW),"",INDEX(WMON,I430)))</f>
        <v/>
      </c>
    </row>
    <row r="431">
      <c r="A431" s="48" t="n"/>
      <c r="B431" s="22" t="n"/>
      <c r="C431" s="50" t="n"/>
      <c r="D431" s="49" t="n"/>
      <c r="E431" s="50" t="n"/>
      <c r="G431">
        <f>IF(AND(B431&lt;&gt;"",COUNTIF(B$6:B431,B431)=1),MAX(G$5:G430)+1,"")</f>
        <v/>
      </c>
      <c r="H431">
        <f>IF(A431="","",IF(ISNUMBER(A431),IF(A431&lt;=31,"",IF(A431&lt;=3112,IF(DATE(YR,MOD(A431,100),INT(A431/100))&gt;SAT1+7*NW-1,DATE(YR-1,MOD(A431,100),INT(A431/100)),DATE(YR,MOD(A431,100),INT(A431/100))),A431)),IFERROR(DATEVALUE(A431),"")))</f>
        <v/>
      </c>
      <c r="I431">
        <f>IF(H431="","",INT((H431-SAT1)/7)+1)</f>
        <v/>
      </c>
      <c r="J431">
        <f>IF(I431="","",IF(OR(I431&lt;1,I431&gt;NW),"",INDEX(WMON,I431)))</f>
        <v/>
      </c>
    </row>
    <row r="432">
      <c r="A432" s="48" t="n"/>
      <c r="B432" s="22" t="n"/>
      <c r="C432" s="50" t="n"/>
      <c r="D432" s="49" t="n"/>
      <c r="E432" s="50" t="n"/>
      <c r="G432">
        <f>IF(AND(B432&lt;&gt;"",COUNTIF(B$6:B432,B432)=1),MAX(G$5:G431)+1,"")</f>
        <v/>
      </c>
      <c r="H432">
        <f>IF(A432="","",IF(ISNUMBER(A432),IF(A432&lt;=31,"",IF(A432&lt;=3112,IF(DATE(YR,MOD(A432,100),INT(A432/100))&gt;SAT1+7*NW-1,DATE(YR-1,MOD(A432,100),INT(A432/100)),DATE(YR,MOD(A432,100),INT(A432/100))),A432)),IFERROR(DATEVALUE(A432),"")))</f>
        <v/>
      </c>
      <c r="I432">
        <f>IF(H432="","",INT((H432-SAT1)/7)+1)</f>
        <v/>
      </c>
      <c r="J432">
        <f>IF(I432="","",IF(OR(I432&lt;1,I432&gt;NW),"",INDEX(WMON,I432)))</f>
        <v/>
      </c>
    </row>
    <row r="433">
      <c r="A433" s="48" t="n"/>
      <c r="B433" s="22" t="n"/>
      <c r="C433" s="50" t="n"/>
      <c r="D433" s="49" t="n"/>
      <c r="E433" s="50" t="n"/>
      <c r="G433">
        <f>IF(AND(B433&lt;&gt;"",COUNTIF(B$6:B433,B433)=1),MAX(G$5:G432)+1,"")</f>
        <v/>
      </c>
      <c r="H433">
        <f>IF(A433="","",IF(ISNUMBER(A433),IF(A433&lt;=31,"",IF(A433&lt;=3112,IF(DATE(YR,MOD(A433,100),INT(A433/100))&gt;SAT1+7*NW-1,DATE(YR-1,MOD(A433,100),INT(A433/100)),DATE(YR,MOD(A433,100),INT(A433/100))),A433)),IFERROR(DATEVALUE(A433),"")))</f>
        <v/>
      </c>
      <c r="I433">
        <f>IF(H433="","",INT((H433-SAT1)/7)+1)</f>
        <v/>
      </c>
      <c r="J433">
        <f>IF(I433="","",IF(OR(I433&lt;1,I433&gt;NW),"",INDEX(WMON,I433)))</f>
        <v/>
      </c>
    </row>
    <row r="434">
      <c r="A434" s="48" t="n"/>
      <c r="B434" s="22" t="n"/>
      <c r="C434" s="50" t="n"/>
      <c r="D434" s="49" t="n"/>
      <c r="E434" s="50" t="n"/>
      <c r="G434">
        <f>IF(AND(B434&lt;&gt;"",COUNTIF(B$6:B434,B434)=1),MAX(G$5:G433)+1,"")</f>
        <v/>
      </c>
      <c r="H434">
        <f>IF(A434="","",IF(ISNUMBER(A434),IF(A434&lt;=31,"",IF(A434&lt;=3112,IF(DATE(YR,MOD(A434,100),INT(A434/100))&gt;SAT1+7*NW-1,DATE(YR-1,MOD(A434,100),INT(A434/100)),DATE(YR,MOD(A434,100),INT(A434/100))),A434)),IFERROR(DATEVALUE(A434),"")))</f>
        <v/>
      </c>
      <c r="I434">
        <f>IF(H434="","",INT((H434-SAT1)/7)+1)</f>
        <v/>
      </c>
      <c r="J434">
        <f>IF(I434="","",IF(OR(I434&lt;1,I434&gt;NW),"",INDEX(WMON,I434)))</f>
        <v/>
      </c>
    </row>
    <row r="435">
      <c r="A435" s="48" t="n"/>
      <c r="B435" s="22" t="n"/>
      <c r="C435" s="50" t="n"/>
      <c r="D435" s="49" t="n"/>
      <c r="E435" s="50" t="n"/>
      <c r="G435">
        <f>IF(AND(B435&lt;&gt;"",COUNTIF(B$6:B435,B435)=1),MAX(G$5:G434)+1,"")</f>
        <v/>
      </c>
      <c r="H435">
        <f>IF(A435="","",IF(ISNUMBER(A435),IF(A435&lt;=31,"",IF(A435&lt;=3112,IF(DATE(YR,MOD(A435,100),INT(A435/100))&gt;SAT1+7*NW-1,DATE(YR-1,MOD(A435,100),INT(A435/100)),DATE(YR,MOD(A435,100),INT(A435/100))),A435)),IFERROR(DATEVALUE(A435),"")))</f>
        <v/>
      </c>
      <c r="I435">
        <f>IF(H435="","",INT((H435-SAT1)/7)+1)</f>
        <v/>
      </c>
      <c r="J435">
        <f>IF(I435="","",IF(OR(I435&lt;1,I435&gt;NW),"",INDEX(WMON,I435)))</f>
        <v/>
      </c>
    </row>
    <row r="436">
      <c r="A436" s="48" t="n"/>
      <c r="B436" s="22" t="n"/>
      <c r="C436" s="50" t="n"/>
      <c r="D436" s="49" t="n"/>
      <c r="E436" s="50" t="n"/>
      <c r="G436">
        <f>IF(AND(B436&lt;&gt;"",COUNTIF(B$6:B436,B436)=1),MAX(G$5:G435)+1,"")</f>
        <v/>
      </c>
      <c r="H436">
        <f>IF(A436="","",IF(ISNUMBER(A436),IF(A436&lt;=31,"",IF(A436&lt;=3112,IF(DATE(YR,MOD(A436,100),INT(A436/100))&gt;SAT1+7*NW-1,DATE(YR-1,MOD(A436,100),INT(A436/100)),DATE(YR,MOD(A436,100),INT(A436/100))),A436)),IFERROR(DATEVALUE(A436),"")))</f>
        <v/>
      </c>
      <c r="I436">
        <f>IF(H436="","",INT((H436-SAT1)/7)+1)</f>
        <v/>
      </c>
      <c r="J436">
        <f>IF(I436="","",IF(OR(I436&lt;1,I436&gt;NW),"",INDEX(WMON,I436)))</f>
        <v/>
      </c>
    </row>
    <row r="437">
      <c r="A437" s="48" t="n"/>
      <c r="B437" s="22" t="n"/>
      <c r="C437" s="50" t="n"/>
      <c r="D437" s="49" t="n"/>
      <c r="E437" s="50" t="n"/>
      <c r="G437">
        <f>IF(AND(B437&lt;&gt;"",COUNTIF(B$6:B437,B437)=1),MAX(G$5:G436)+1,"")</f>
        <v/>
      </c>
      <c r="H437">
        <f>IF(A437="","",IF(ISNUMBER(A437),IF(A437&lt;=31,"",IF(A437&lt;=3112,IF(DATE(YR,MOD(A437,100),INT(A437/100))&gt;SAT1+7*NW-1,DATE(YR-1,MOD(A437,100),INT(A437/100)),DATE(YR,MOD(A437,100),INT(A437/100))),A437)),IFERROR(DATEVALUE(A437),"")))</f>
        <v/>
      </c>
      <c r="I437">
        <f>IF(H437="","",INT((H437-SAT1)/7)+1)</f>
        <v/>
      </c>
      <c r="J437">
        <f>IF(I437="","",IF(OR(I437&lt;1,I437&gt;NW),"",INDEX(WMON,I437)))</f>
        <v/>
      </c>
    </row>
    <row r="438">
      <c r="A438" s="48" t="n"/>
      <c r="B438" s="22" t="n"/>
      <c r="C438" s="50" t="n"/>
      <c r="D438" s="49" t="n"/>
      <c r="E438" s="50" t="n"/>
      <c r="G438">
        <f>IF(AND(B438&lt;&gt;"",COUNTIF(B$6:B438,B438)=1),MAX(G$5:G437)+1,"")</f>
        <v/>
      </c>
      <c r="H438">
        <f>IF(A438="","",IF(ISNUMBER(A438),IF(A438&lt;=31,"",IF(A438&lt;=3112,IF(DATE(YR,MOD(A438,100),INT(A438/100))&gt;SAT1+7*NW-1,DATE(YR-1,MOD(A438,100),INT(A438/100)),DATE(YR,MOD(A438,100),INT(A438/100))),A438)),IFERROR(DATEVALUE(A438),"")))</f>
        <v/>
      </c>
      <c r="I438">
        <f>IF(H438="","",INT((H438-SAT1)/7)+1)</f>
        <v/>
      </c>
      <c r="J438">
        <f>IF(I438="","",IF(OR(I438&lt;1,I438&gt;NW),"",INDEX(WMON,I438)))</f>
        <v/>
      </c>
    </row>
    <row r="439">
      <c r="A439" s="48" t="n"/>
      <c r="B439" s="22" t="n"/>
      <c r="C439" s="50" t="n"/>
      <c r="D439" s="49" t="n"/>
      <c r="E439" s="50" t="n"/>
      <c r="G439">
        <f>IF(AND(B439&lt;&gt;"",COUNTIF(B$6:B439,B439)=1),MAX(G$5:G438)+1,"")</f>
        <v/>
      </c>
      <c r="H439">
        <f>IF(A439="","",IF(ISNUMBER(A439),IF(A439&lt;=31,"",IF(A439&lt;=3112,IF(DATE(YR,MOD(A439,100),INT(A439/100))&gt;SAT1+7*NW-1,DATE(YR-1,MOD(A439,100),INT(A439/100)),DATE(YR,MOD(A439,100),INT(A439/100))),A439)),IFERROR(DATEVALUE(A439),"")))</f>
        <v/>
      </c>
      <c r="I439">
        <f>IF(H439="","",INT((H439-SAT1)/7)+1)</f>
        <v/>
      </c>
      <c r="J439">
        <f>IF(I439="","",IF(OR(I439&lt;1,I439&gt;NW),"",INDEX(WMON,I439)))</f>
        <v/>
      </c>
    </row>
    <row r="440">
      <c r="A440" s="48" t="n"/>
      <c r="B440" s="22" t="n"/>
      <c r="C440" s="50" t="n"/>
      <c r="D440" s="49" t="n"/>
      <c r="E440" s="50" t="n"/>
      <c r="G440">
        <f>IF(AND(B440&lt;&gt;"",COUNTIF(B$6:B440,B440)=1),MAX(G$5:G439)+1,"")</f>
        <v/>
      </c>
      <c r="H440">
        <f>IF(A440="","",IF(ISNUMBER(A440),IF(A440&lt;=31,"",IF(A440&lt;=3112,IF(DATE(YR,MOD(A440,100),INT(A440/100))&gt;SAT1+7*NW-1,DATE(YR-1,MOD(A440,100),INT(A440/100)),DATE(YR,MOD(A440,100),INT(A440/100))),A440)),IFERROR(DATEVALUE(A440),"")))</f>
        <v/>
      </c>
      <c r="I440">
        <f>IF(H440="","",INT((H440-SAT1)/7)+1)</f>
        <v/>
      </c>
      <c r="J440">
        <f>IF(I440="","",IF(OR(I440&lt;1,I440&gt;NW),"",INDEX(WMON,I440)))</f>
        <v/>
      </c>
    </row>
    <row r="441">
      <c r="A441" s="48" t="n"/>
      <c r="B441" s="22" t="n"/>
      <c r="C441" s="50" t="n"/>
      <c r="D441" s="49" t="n"/>
      <c r="E441" s="50" t="n"/>
      <c r="G441">
        <f>IF(AND(B441&lt;&gt;"",COUNTIF(B$6:B441,B441)=1),MAX(G$5:G440)+1,"")</f>
        <v/>
      </c>
      <c r="H441">
        <f>IF(A441="","",IF(ISNUMBER(A441),IF(A441&lt;=31,"",IF(A441&lt;=3112,IF(DATE(YR,MOD(A441,100),INT(A441/100))&gt;SAT1+7*NW-1,DATE(YR-1,MOD(A441,100),INT(A441/100)),DATE(YR,MOD(A441,100),INT(A441/100))),A441)),IFERROR(DATEVALUE(A441),"")))</f>
        <v/>
      </c>
      <c r="I441">
        <f>IF(H441="","",INT((H441-SAT1)/7)+1)</f>
        <v/>
      </c>
      <c r="J441">
        <f>IF(I441="","",IF(OR(I441&lt;1,I441&gt;NW),"",INDEX(WMON,I441)))</f>
        <v/>
      </c>
    </row>
    <row r="442">
      <c r="A442" s="48" t="n"/>
      <c r="B442" s="22" t="n"/>
      <c r="C442" s="50" t="n"/>
      <c r="D442" s="49" t="n"/>
      <c r="E442" s="50" t="n"/>
      <c r="G442">
        <f>IF(AND(B442&lt;&gt;"",COUNTIF(B$6:B442,B442)=1),MAX(G$5:G441)+1,"")</f>
        <v/>
      </c>
      <c r="H442">
        <f>IF(A442="","",IF(ISNUMBER(A442),IF(A442&lt;=31,"",IF(A442&lt;=3112,IF(DATE(YR,MOD(A442,100),INT(A442/100))&gt;SAT1+7*NW-1,DATE(YR-1,MOD(A442,100),INT(A442/100)),DATE(YR,MOD(A442,100),INT(A442/100))),A442)),IFERROR(DATEVALUE(A442),"")))</f>
        <v/>
      </c>
      <c r="I442">
        <f>IF(H442="","",INT((H442-SAT1)/7)+1)</f>
        <v/>
      </c>
      <c r="J442">
        <f>IF(I442="","",IF(OR(I442&lt;1,I442&gt;NW),"",INDEX(WMON,I442)))</f>
        <v/>
      </c>
    </row>
    <row r="443">
      <c r="A443" s="48" t="n"/>
      <c r="B443" s="22" t="n"/>
      <c r="C443" s="50" t="n"/>
      <c r="D443" s="49" t="n"/>
      <c r="E443" s="50" t="n"/>
      <c r="G443">
        <f>IF(AND(B443&lt;&gt;"",COUNTIF(B$6:B443,B443)=1),MAX(G$5:G442)+1,"")</f>
        <v/>
      </c>
      <c r="H443">
        <f>IF(A443="","",IF(ISNUMBER(A443),IF(A443&lt;=31,"",IF(A443&lt;=3112,IF(DATE(YR,MOD(A443,100),INT(A443/100))&gt;SAT1+7*NW-1,DATE(YR-1,MOD(A443,100),INT(A443/100)),DATE(YR,MOD(A443,100),INT(A443/100))),A443)),IFERROR(DATEVALUE(A443),"")))</f>
        <v/>
      </c>
      <c r="I443">
        <f>IF(H443="","",INT((H443-SAT1)/7)+1)</f>
        <v/>
      </c>
      <c r="J443">
        <f>IF(I443="","",IF(OR(I443&lt;1,I443&gt;NW),"",INDEX(WMON,I443)))</f>
        <v/>
      </c>
    </row>
    <row r="444">
      <c r="A444" s="48" t="n"/>
      <c r="B444" s="22" t="n"/>
      <c r="C444" s="50" t="n"/>
      <c r="D444" s="49" t="n"/>
      <c r="E444" s="50" t="n"/>
      <c r="G444">
        <f>IF(AND(B444&lt;&gt;"",COUNTIF(B$6:B444,B444)=1),MAX(G$5:G443)+1,"")</f>
        <v/>
      </c>
      <c r="H444">
        <f>IF(A444="","",IF(ISNUMBER(A444),IF(A444&lt;=31,"",IF(A444&lt;=3112,IF(DATE(YR,MOD(A444,100),INT(A444/100))&gt;SAT1+7*NW-1,DATE(YR-1,MOD(A444,100),INT(A444/100)),DATE(YR,MOD(A444,100),INT(A444/100))),A444)),IFERROR(DATEVALUE(A444),"")))</f>
        <v/>
      </c>
      <c r="I444">
        <f>IF(H444="","",INT((H444-SAT1)/7)+1)</f>
        <v/>
      </c>
      <c r="J444">
        <f>IF(I444="","",IF(OR(I444&lt;1,I444&gt;NW),"",INDEX(WMON,I444)))</f>
        <v/>
      </c>
    </row>
    <row r="445">
      <c r="A445" s="48" t="n"/>
      <c r="B445" s="22" t="n"/>
      <c r="C445" s="50" t="n"/>
      <c r="D445" s="49" t="n"/>
      <c r="E445" s="50" t="n"/>
      <c r="G445">
        <f>IF(AND(B445&lt;&gt;"",COUNTIF(B$6:B445,B445)=1),MAX(G$5:G444)+1,"")</f>
        <v/>
      </c>
      <c r="H445">
        <f>IF(A445="","",IF(ISNUMBER(A445),IF(A445&lt;=31,"",IF(A445&lt;=3112,IF(DATE(YR,MOD(A445,100),INT(A445/100))&gt;SAT1+7*NW-1,DATE(YR-1,MOD(A445,100),INT(A445/100)),DATE(YR,MOD(A445,100),INT(A445/100))),A445)),IFERROR(DATEVALUE(A445),"")))</f>
        <v/>
      </c>
      <c r="I445">
        <f>IF(H445="","",INT((H445-SAT1)/7)+1)</f>
        <v/>
      </c>
      <c r="J445">
        <f>IF(I445="","",IF(OR(I445&lt;1,I445&gt;NW),"",INDEX(WMON,I445)))</f>
        <v/>
      </c>
    </row>
    <row r="446">
      <c r="A446" s="48" t="n"/>
      <c r="B446" s="22" t="n"/>
      <c r="C446" s="50" t="n"/>
      <c r="D446" s="49" t="n"/>
      <c r="E446" s="50" t="n"/>
      <c r="G446">
        <f>IF(AND(B446&lt;&gt;"",COUNTIF(B$6:B446,B446)=1),MAX(G$5:G445)+1,"")</f>
        <v/>
      </c>
      <c r="H446">
        <f>IF(A446="","",IF(ISNUMBER(A446),IF(A446&lt;=31,"",IF(A446&lt;=3112,IF(DATE(YR,MOD(A446,100),INT(A446/100))&gt;SAT1+7*NW-1,DATE(YR-1,MOD(A446,100),INT(A446/100)),DATE(YR,MOD(A446,100),INT(A446/100))),A446)),IFERROR(DATEVALUE(A446),"")))</f>
        <v/>
      </c>
      <c r="I446">
        <f>IF(H446="","",INT((H446-SAT1)/7)+1)</f>
        <v/>
      </c>
      <c r="J446">
        <f>IF(I446="","",IF(OR(I446&lt;1,I446&gt;NW),"",INDEX(WMON,I446)))</f>
        <v/>
      </c>
    </row>
    <row r="447">
      <c r="A447" s="48" t="n"/>
      <c r="B447" s="22" t="n"/>
      <c r="C447" s="50" t="n"/>
      <c r="D447" s="49" t="n"/>
      <c r="E447" s="50" t="n"/>
      <c r="G447">
        <f>IF(AND(B447&lt;&gt;"",COUNTIF(B$6:B447,B447)=1),MAX(G$5:G446)+1,"")</f>
        <v/>
      </c>
      <c r="H447">
        <f>IF(A447="","",IF(ISNUMBER(A447),IF(A447&lt;=31,"",IF(A447&lt;=3112,IF(DATE(YR,MOD(A447,100),INT(A447/100))&gt;SAT1+7*NW-1,DATE(YR-1,MOD(A447,100),INT(A447/100)),DATE(YR,MOD(A447,100),INT(A447/100))),A447)),IFERROR(DATEVALUE(A447),"")))</f>
        <v/>
      </c>
      <c r="I447">
        <f>IF(H447="","",INT((H447-SAT1)/7)+1)</f>
        <v/>
      </c>
      <c r="J447">
        <f>IF(I447="","",IF(OR(I447&lt;1,I447&gt;NW),"",INDEX(WMON,I447)))</f>
        <v/>
      </c>
    </row>
    <row r="448">
      <c r="A448" s="48" t="n"/>
      <c r="B448" s="22" t="n"/>
      <c r="C448" s="50" t="n"/>
      <c r="D448" s="49" t="n"/>
      <c r="E448" s="50" t="n"/>
      <c r="G448">
        <f>IF(AND(B448&lt;&gt;"",COUNTIF(B$6:B448,B448)=1),MAX(G$5:G447)+1,"")</f>
        <v/>
      </c>
      <c r="H448">
        <f>IF(A448="","",IF(ISNUMBER(A448),IF(A448&lt;=31,"",IF(A448&lt;=3112,IF(DATE(YR,MOD(A448,100),INT(A448/100))&gt;SAT1+7*NW-1,DATE(YR-1,MOD(A448,100),INT(A448/100)),DATE(YR,MOD(A448,100),INT(A448/100))),A448)),IFERROR(DATEVALUE(A448),"")))</f>
        <v/>
      </c>
      <c r="I448">
        <f>IF(H448="","",INT((H448-SAT1)/7)+1)</f>
        <v/>
      </c>
      <c r="J448">
        <f>IF(I448="","",IF(OR(I448&lt;1,I448&gt;NW),"",INDEX(WMON,I448)))</f>
        <v/>
      </c>
    </row>
    <row r="449">
      <c r="A449" s="48" t="n"/>
      <c r="B449" s="22" t="n"/>
      <c r="C449" s="50" t="n"/>
      <c r="D449" s="49" t="n"/>
      <c r="E449" s="50" t="n"/>
      <c r="G449">
        <f>IF(AND(B449&lt;&gt;"",COUNTIF(B$6:B449,B449)=1),MAX(G$5:G448)+1,"")</f>
        <v/>
      </c>
      <c r="H449">
        <f>IF(A449="","",IF(ISNUMBER(A449),IF(A449&lt;=31,"",IF(A449&lt;=3112,IF(DATE(YR,MOD(A449,100),INT(A449/100))&gt;SAT1+7*NW-1,DATE(YR-1,MOD(A449,100),INT(A449/100)),DATE(YR,MOD(A449,100),INT(A449/100))),A449)),IFERROR(DATEVALUE(A449),"")))</f>
        <v/>
      </c>
      <c r="I449">
        <f>IF(H449="","",INT((H449-SAT1)/7)+1)</f>
        <v/>
      </c>
      <c r="J449">
        <f>IF(I449="","",IF(OR(I449&lt;1,I449&gt;NW),"",INDEX(WMON,I449)))</f>
        <v/>
      </c>
    </row>
    <row r="450">
      <c r="A450" s="48" t="n"/>
      <c r="B450" s="22" t="n"/>
      <c r="C450" s="50" t="n"/>
      <c r="D450" s="49" t="n"/>
      <c r="E450" s="50" t="n"/>
      <c r="G450">
        <f>IF(AND(B450&lt;&gt;"",COUNTIF(B$6:B450,B450)=1),MAX(G$5:G449)+1,"")</f>
        <v/>
      </c>
      <c r="H450">
        <f>IF(A450="","",IF(ISNUMBER(A450),IF(A450&lt;=31,"",IF(A450&lt;=3112,IF(DATE(YR,MOD(A450,100),INT(A450/100))&gt;SAT1+7*NW-1,DATE(YR-1,MOD(A450,100),INT(A450/100)),DATE(YR,MOD(A450,100),INT(A450/100))),A450)),IFERROR(DATEVALUE(A450),"")))</f>
        <v/>
      </c>
      <c r="I450">
        <f>IF(H450="","",INT((H450-SAT1)/7)+1)</f>
        <v/>
      </c>
      <c r="J450">
        <f>IF(I450="","",IF(OR(I450&lt;1,I450&gt;NW),"",INDEX(WMON,I450)))</f>
        <v/>
      </c>
    </row>
    <row r="451">
      <c r="A451" s="48" t="n"/>
      <c r="B451" s="22" t="n"/>
      <c r="C451" s="50" t="n"/>
      <c r="D451" s="49" t="n"/>
      <c r="E451" s="50" t="n"/>
      <c r="G451">
        <f>IF(AND(B451&lt;&gt;"",COUNTIF(B$6:B451,B451)=1),MAX(G$5:G450)+1,"")</f>
        <v/>
      </c>
      <c r="H451">
        <f>IF(A451="","",IF(ISNUMBER(A451),IF(A451&lt;=31,"",IF(A451&lt;=3112,IF(DATE(YR,MOD(A451,100),INT(A451/100))&gt;SAT1+7*NW-1,DATE(YR-1,MOD(A451,100),INT(A451/100)),DATE(YR,MOD(A451,100),INT(A451/100))),A451)),IFERROR(DATEVALUE(A451),"")))</f>
        <v/>
      </c>
      <c r="I451">
        <f>IF(H451="","",INT((H451-SAT1)/7)+1)</f>
        <v/>
      </c>
      <c r="J451">
        <f>IF(I451="","",IF(OR(I451&lt;1,I451&gt;NW),"",INDEX(WMON,I451)))</f>
        <v/>
      </c>
    </row>
    <row r="452">
      <c r="A452" s="48" t="n"/>
      <c r="B452" s="22" t="n"/>
      <c r="C452" s="50" t="n"/>
      <c r="D452" s="49" t="n"/>
      <c r="E452" s="50" t="n"/>
      <c r="G452">
        <f>IF(AND(B452&lt;&gt;"",COUNTIF(B$6:B452,B452)=1),MAX(G$5:G451)+1,"")</f>
        <v/>
      </c>
      <c r="H452">
        <f>IF(A452="","",IF(ISNUMBER(A452),IF(A452&lt;=31,"",IF(A452&lt;=3112,IF(DATE(YR,MOD(A452,100),INT(A452/100))&gt;SAT1+7*NW-1,DATE(YR-1,MOD(A452,100),INT(A452/100)),DATE(YR,MOD(A452,100),INT(A452/100))),A452)),IFERROR(DATEVALUE(A452),"")))</f>
        <v/>
      </c>
      <c r="I452">
        <f>IF(H452="","",INT((H452-SAT1)/7)+1)</f>
        <v/>
      </c>
      <c r="J452">
        <f>IF(I452="","",IF(OR(I452&lt;1,I452&gt;NW),"",INDEX(WMON,I452)))</f>
        <v/>
      </c>
    </row>
    <row r="453">
      <c r="A453" s="48" t="n"/>
      <c r="B453" s="22" t="n"/>
      <c r="C453" s="50" t="n"/>
      <c r="D453" s="49" t="n"/>
      <c r="E453" s="50" t="n"/>
      <c r="G453">
        <f>IF(AND(B453&lt;&gt;"",COUNTIF(B$6:B453,B453)=1),MAX(G$5:G452)+1,"")</f>
        <v/>
      </c>
      <c r="H453">
        <f>IF(A453="","",IF(ISNUMBER(A453),IF(A453&lt;=31,"",IF(A453&lt;=3112,IF(DATE(YR,MOD(A453,100),INT(A453/100))&gt;SAT1+7*NW-1,DATE(YR-1,MOD(A453,100),INT(A453/100)),DATE(YR,MOD(A453,100),INT(A453/100))),A453)),IFERROR(DATEVALUE(A453),"")))</f>
        <v/>
      </c>
      <c r="I453">
        <f>IF(H453="","",INT((H453-SAT1)/7)+1)</f>
        <v/>
      </c>
      <c r="J453">
        <f>IF(I453="","",IF(OR(I453&lt;1,I453&gt;NW),"",INDEX(WMON,I453)))</f>
        <v/>
      </c>
    </row>
    <row r="454">
      <c r="A454" s="48" t="n"/>
      <c r="B454" s="22" t="n"/>
      <c r="C454" s="50" t="n"/>
      <c r="D454" s="49" t="n"/>
      <c r="E454" s="50" t="n"/>
      <c r="G454">
        <f>IF(AND(B454&lt;&gt;"",COUNTIF(B$6:B454,B454)=1),MAX(G$5:G453)+1,"")</f>
        <v/>
      </c>
      <c r="H454">
        <f>IF(A454="","",IF(ISNUMBER(A454),IF(A454&lt;=31,"",IF(A454&lt;=3112,IF(DATE(YR,MOD(A454,100),INT(A454/100))&gt;SAT1+7*NW-1,DATE(YR-1,MOD(A454,100),INT(A454/100)),DATE(YR,MOD(A454,100),INT(A454/100))),A454)),IFERROR(DATEVALUE(A454),"")))</f>
        <v/>
      </c>
      <c r="I454">
        <f>IF(H454="","",INT((H454-SAT1)/7)+1)</f>
        <v/>
      </c>
      <c r="J454">
        <f>IF(I454="","",IF(OR(I454&lt;1,I454&gt;NW),"",INDEX(WMON,I454)))</f>
        <v/>
      </c>
    </row>
    <row r="455">
      <c r="A455" s="48" t="n"/>
      <c r="B455" s="22" t="n"/>
      <c r="C455" s="50" t="n"/>
      <c r="D455" s="49" t="n"/>
      <c r="E455" s="50" t="n"/>
      <c r="G455">
        <f>IF(AND(B455&lt;&gt;"",COUNTIF(B$6:B455,B455)=1),MAX(G$5:G454)+1,"")</f>
        <v/>
      </c>
      <c r="H455">
        <f>IF(A455="","",IF(ISNUMBER(A455),IF(A455&lt;=31,"",IF(A455&lt;=3112,IF(DATE(YR,MOD(A455,100),INT(A455/100))&gt;SAT1+7*NW-1,DATE(YR-1,MOD(A455,100),INT(A455/100)),DATE(YR,MOD(A455,100),INT(A455/100))),A455)),IFERROR(DATEVALUE(A455),"")))</f>
        <v/>
      </c>
      <c r="I455">
        <f>IF(H455="","",INT((H455-SAT1)/7)+1)</f>
        <v/>
      </c>
      <c r="J455">
        <f>IF(I455="","",IF(OR(I455&lt;1,I455&gt;NW),"",INDEX(WMON,I455)))</f>
        <v/>
      </c>
    </row>
    <row r="456">
      <c r="A456" s="48" t="n"/>
      <c r="B456" s="22" t="n"/>
      <c r="C456" s="50" t="n"/>
      <c r="D456" s="49" t="n"/>
      <c r="E456" s="50" t="n"/>
      <c r="G456">
        <f>IF(AND(B456&lt;&gt;"",COUNTIF(B$6:B456,B456)=1),MAX(G$5:G455)+1,"")</f>
        <v/>
      </c>
      <c r="H456">
        <f>IF(A456="","",IF(ISNUMBER(A456),IF(A456&lt;=31,"",IF(A456&lt;=3112,IF(DATE(YR,MOD(A456,100),INT(A456/100))&gt;SAT1+7*NW-1,DATE(YR-1,MOD(A456,100),INT(A456/100)),DATE(YR,MOD(A456,100),INT(A456/100))),A456)),IFERROR(DATEVALUE(A456),"")))</f>
        <v/>
      </c>
      <c r="I456">
        <f>IF(H456="","",INT((H456-SAT1)/7)+1)</f>
        <v/>
      </c>
      <c r="J456">
        <f>IF(I456="","",IF(OR(I456&lt;1,I456&gt;NW),"",INDEX(WMON,I456)))</f>
        <v/>
      </c>
    </row>
    <row r="457">
      <c r="A457" s="48" t="n"/>
      <c r="B457" s="22" t="n"/>
      <c r="C457" s="50" t="n"/>
      <c r="D457" s="49" t="n"/>
      <c r="E457" s="50" t="n"/>
      <c r="G457">
        <f>IF(AND(B457&lt;&gt;"",COUNTIF(B$6:B457,B457)=1),MAX(G$5:G456)+1,"")</f>
        <v/>
      </c>
      <c r="H457">
        <f>IF(A457="","",IF(ISNUMBER(A457),IF(A457&lt;=31,"",IF(A457&lt;=3112,IF(DATE(YR,MOD(A457,100),INT(A457/100))&gt;SAT1+7*NW-1,DATE(YR-1,MOD(A457,100),INT(A457/100)),DATE(YR,MOD(A457,100),INT(A457/100))),A457)),IFERROR(DATEVALUE(A457),"")))</f>
        <v/>
      </c>
      <c r="I457">
        <f>IF(H457="","",INT((H457-SAT1)/7)+1)</f>
        <v/>
      </c>
      <c r="J457">
        <f>IF(I457="","",IF(OR(I457&lt;1,I457&gt;NW),"",INDEX(WMON,I457)))</f>
        <v/>
      </c>
    </row>
    <row r="458">
      <c r="A458" s="48" t="n"/>
      <c r="B458" s="22" t="n"/>
      <c r="C458" s="50" t="n"/>
      <c r="D458" s="49" t="n"/>
      <c r="E458" s="50" t="n"/>
      <c r="G458">
        <f>IF(AND(B458&lt;&gt;"",COUNTIF(B$6:B458,B458)=1),MAX(G$5:G457)+1,"")</f>
        <v/>
      </c>
      <c r="H458">
        <f>IF(A458="","",IF(ISNUMBER(A458),IF(A458&lt;=31,"",IF(A458&lt;=3112,IF(DATE(YR,MOD(A458,100),INT(A458/100))&gt;SAT1+7*NW-1,DATE(YR-1,MOD(A458,100),INT(A458/100)),DATE(YR,MOD(A458,100),INT(A458/100))),A458)),IFERROR(DATEVALUE(A458),"")))</f>
        <v/>
      </c>
      <c r="I458">
        <f>IF(H458="","",INT((H458-SAT1)/7)+1)</f>
        <v/>
      </c>
      <c r="J458">
        <f>IF(I458="","",IF(OR(I458&lt;1,I458&gt;NW),"",INDEX(WMON,I458)))</f>
        <v/>
      </c>
    </row>
    <row r="459">
      <c r="A459" s="48" t="n"/>
      <c r="B459" s="22" t="n"/>
      <c r="C459" s="50" t="n"/>
      <c r="D459" s="49" t="n"/>
      <c r="E459" s="50" t="n"/>
      <c r="G459">
        <f>IF(AND(B459&lt;&gt;"",COUNTIF(B$6:B459,B459)=1),MAX(G$5:G458)+1,"")</f>
        <v/>
      </c>
      <c r="H459">
        <f>IF(A459="","",IF(ISNUMBER(A459),IF(A459&lt;=31,"",IF(A459&lt;=3112,IF(DATE(YR,MOD(A459,100),INT(A459/100))&gt;SAT1+7*NW-1,DATE(YR-1,MOD(A459,100),INT(A459/100)),DATE(YR,MOD(A459,100),INT(A459/100))),A459)),IFERROR(DATEVALUE(A459),"")))</f>
        <v/>
      </c>
      <c r="I459">
        <f>IF(H459="","",INT((H459-SAT1)/7)+1)</f>
        <v/>
      </c>
      <c r="J459">
        <f>IF(I459="","",IF(OR(I459&lt;1,I459&gt;NW),"",INDEX(WMON,I459)))</f>
        <v/>
      </c>
    </row>
    <row r="460">
      <c r="A460" s="48" t="n"/>
      <c r="B460" s="22" t="n"/>
      <c r="C460" s="50" t="n"/>
      <c r="D460" s="49" t="n"/>
      <c r="E460" s="50" t="n"/>
      <c r="G460">
        <f>IF(AND(B460&lt;&gt;"",COUNTIF(B$6:B460,B460)=1),MAX(G$5:G459)+1,"")</f>
        <v/>
      </c>
      <c r="H460">
        <f>IF(A460="","",IF(ISNUMBER(A460),IF(A460&lt;=31,"",IF(A460&lt;=3112,IF(DATE(YR,MOD(A460,100),INT(A460/100))&gt;SAT1+7*NW-1,DATE(YR-1,MOD(A460,100),INT(A460/100)),DATE(YR,MOD(A460,100),INT(A460/100))),A460)),IFERROR(DATEVALUE(A460),"")))</f>
        <v/>
      </c>
      <c r="I460">
        <f>IF(H460="","",INT((H460-SAT1)/7)+1)</f>
        <v/>
      </c>
      <c r="J460">
        <f>IF(I460="","",IF(OR(I460&lt;1,I460&gt;NW),"",INDEX(WMON,I460)))</f>
        <v/>
      </c>
    </row>
    <row r="461">
      <c r="A461" s="48" t="n"/>
      <c r="B461" s="22" t="n"/>
      <c r="C461" s="50" t="n"/>
      <c r="D461" s="49" t="n"/>
      <c r="E461" s="50" t="n"/>
      <c r="G461">
        <f>IF(AND(B461&lt;&gt;"",COUNTIF(B$6:B461,B461)=1),MAX(G$5:G460)+1,"")</f>
        <v/>
      </c>
      <c r="H461">
        <f>IF(A461="","",IF(ISNUMBER(A461),IF(A461&lt;=31,"",IF(A461&lt;=3112,IF(DATE(YR,MOD(A461,100),INT(A461/100))&gt;SAT1+7*NW-1,DATE(YR-1,MOD(A461,100),INT(A461/100)),DATE(YR,MOD(A461,100),INT(A461/100))),A461)),IFERROR(DATEVALUE(A461),"")))</f>
        <v/>
      </c>
      <c r="I461">
        <f>IF(H461="","",INT((H461-SAT1)/7)+1)</f>
        <v/>
      </c>
      <c r="J461">
        <f>IF(I461="","",IF(OR(I461&lt;1,I461&gt;NW),"",INDEX(WMON,I461)))</f>
        <v/>
      </c>
    </row>
    <row r="462">
      <c r="A462" s="48" t="n"/>
      <c r="B462" s="22" t="n"/>
      <c r="C462" s="50" t="n"/>
      <c r="D462" s="49" t="n"/>
      <c r="E462" s="50" t="n"/>
      <c r="G462">
        <f>IF(AND(B462&lt;&gt;"",COUNTIF(B$6:B462,B462)=1),MAX(G$5:G461)+1,"")</f>
        <v/>
      </c>
      <c r="H462">
        <f>IF(A462="","",IF(ISNUMBER(A462),IF(A462&lt;=31,"",IF(A462&lt;=3112,IF(DATE(YR,MOD(A462,100),INT(A462/100))&gt;SAT1+7*NW-1,DATE(YR-1,MOD(A462,100),INT(A462/100)),DATE(YR,MOD(A462,100),INT(A462/100))),A462)),IFERROR(DATEVALUE(A462),"")))</f>
        <v/>
      </c>
      <c r="I462">
        <f>IF(H462="","",INT((H462-SAT1)/7)+1)</f>
        <v/>
      </c>
      <c r="J462">
        <f>IF(I462="","",IF(OR(I462&lt;1,I462&gt;NW),"",INDEX(WMON,I462)))</f>
        <v/>
      </c>
    </row>
    <row r="463">
      <c r="A463" s="48" t="n"/>
      <c r="B463" s="22" t="n"/>
      <c r="C463" s="50" t="n"/>
      <c r="D463" s="49" t="n"/>
      <c r="E463" s="50" t="n"/>
      <c r="G463">
        <f>IF(AND(B463&lt;&gt;"",COUNTIF(B$6:B463,B463)=1),MAX(G$5:G462)+1,"")</f>
        <v/>
      </c>
      <c r="H463">
        <f>IF(A463="","",IF(ISNUMBER(A463),IF(A463&lt;=31,"",IF(A463&lt;=3112,IF(DATE(YR,MOD(A463,100),INT(A463/100))&gt;SAT1+7*NW-1,DATE(YR-1,MOD(A463,100),INT(A463/100)),DATE(YR,MOD(A463,100),INT(A463/100))),A463)),IFERROR(DATEVALUE(A463),"")))</f>
        <v/>
      </c>
      <c r="I463">
        <f>IF(H463="","",INT((H463-SAT1)/7)+1)</f>
        <v/>
      </c>
      <c r="J463">
        <f>IF(I463="","",IF(OR(I463&lt;1,I463&gt;NW),"",INDEX(WMON,I463)))</f>
        <v/>
      </c>
    </row>
    <row r="464">
      <c r="A464" s="48" t="n"/>
      <c r="B464" s="22" t="n"/>
      <c r="C464" s="50" t="n"/>
      <c r="D464" s="49" t="n"/>
      <c r="E464" s="50" t="n"/>
      <c r="G464">
        <f>IF(AND(B464&lt;&gt;"",COUNTIF(B$6:B464,B464)=1),MAX(G$5:G463)+1,"")</f>
        <v/>
      </c>
      <c r="H464">
        <f>IF(A464="","",IF(ISNUMBER(A464),IF(A464&lt;=31,"",IF(A464&lt;=3112,IF(DATE(YR,MOD(A464,100),INT(A464/100))&gt;SAT1+7*NW-1,DATE(YR-1,MOD(A464,100),INT(A464/100)),DATE(YR,MOD(A464,100),INT(A464/100))),A464)),IFERROR(DATEVALUE(A464),"")))</f>
        <v/>
      </c>
      <c r="I464">
        <f>IF(H464="","",INT((H464-SAT1)/7)+1)</f>
        <v/>
      </c>
      <c r="J464">
        <f>IF(I464="","",IF(OR(I464&lt;1,I464&gt;NW),"",INDEX(WMON,I464)))</f>
        <v/>
      </c>
    </row>
    <row r="465">
      <c r="A465" s="48" t="n"/>
      <c r="B465" s="22" t="n"/>
      <c r="C465" s="50" t="n"/>
      <c r="D465" s="49" t="n"/>
      <c r="E465" s="50" t="n"/>
      <c r="G465">
        <f>IF(AND(B465&lt;&gt;"",COUNTIF(B$6:B465,B465)=1),MAX(G$5:G464)+1,"")</f>
        <v/>
      </c>
      <c r="H465">
        <f>IF(A465="","",IF(ISNUMBER(A465),IF(A465&lt;=31,"",IF(A465&lt;=3112,IF(DATE(YR,MOD(A465,100),INT(A465/100))&gt;SAT1+7*NW-1,DATE(YR-1,MOD(A465,100),INT(A465/100)),DATE(YR,MOD(A465,100),INT(A465/100))),A465)),IFERROR(DATEVALUE(A465),"")))</f>
        <v/>
      </c>
      <c r="I465">
        <f>IF(H465="","",INT((H465-SAT1)/7)+1)</f>
        <v/>
      </c>
      <c r="J465">
        <f>IF(I465="","",IF(OR(I465&lt;1,I465&gt;NW),"",INDEX(WMON,I465)))</f>
        <v/>
      </c>
    </row>
    <row r="466">
      <c r="A466" s="48" t="n"/>
      <c r="B466" s="22" t="n"/>
      <c r="C466" s="50" t="n"/>
      <c r="D466" s="49" t="n"/>
      <c r="E466" s="50" t="n"/>
      <c r="G466">
        <f>IF(AND(B466&lt;&gt;"",COUNTIF(B$6:B466,B466)=1),MAX(G$5:G465)+1,"")</f>
        <v/>
      </c>
      <c r="H466">
        <f>IF(A466="","",IF(ISNUMBER(A466),IF(A466&lt;=31,"",IF(A466&lt;=3112,IF(DATE(YR,MOD(A466,100),INT(A466/100))&gt;SAT1+7*NW-1,DATE(YR-1,MOD(A466,100),INT(A466/100)),DATE(YR,MOD(A466,100),INT(A466/100))),A466)),IFERROR(DATEVALUE(A466),"")))</f>
        <v/>
      </c>
      <c r="I466">
        <f>IF(H466="","",INT((H466-SAT1)/7)+1)</f>
        <v/>
      </c>
      <c r="J466">
        <f>IF(I466="","",IF(OR(I466&lt;1,I466&gt;NW),"",INDEX(WMON,I466)))</f>
        <v/>
      </c>
    </row>
    <row r="467">
      <c r="A467" s="48" t="n"/>
      <c r="B467" s="22" t="n"/>
      <c r="C467" s="50" t="n"/>
      <c r="D467" s="49" t="n"/>
      <c r="E467" s="50" t="n"/>
      <c r="G467">
        <f>IF(AND(B467&lt;&gt;"",COUNTIF(B$6:B467,B467)=1),MAX(G$5:G466)+1,"")</f>
        <v/>
      </c>
      <c r="H467">
        <f>IF(A467="","",IF(ISNUMBER(A467),IF(A467&lt;=31,"",IF(A467&lt;=3112,IF(DATE(YR,MOD(A467,100),INT(A467/100))&gt;SAT1+7*NW-1,DATE(YR-1,MOD(A467,100),INT(A467/100)),DATE(YR,MOD(A467,100),INT(A467/100))),A467)),IFERROR(DATEVALUE(A467),"")))</f>
        <v/>
      </c>
      <c r="I467">
        <f>IF(H467="","",INT((H467-SAT1)/7)+1)</f>
        <v/>
      </c>
      <c r="J467">
        <f>IF(I467="","",IF(OR(I467&lt;1,I467&gt;NW),"",INDEX(WMON,I467)))</f>
        <v/>
      </c>
    </row>
    <row r="468">
      <c r="A468" s="48" t="n"/>
      <c r="B468" s="22" t="n"/>
      <c r="C468" s="50" t="n"/>
      <c r="D468" s="49" t="n"/>
      <c r="E468" s="50" t="n"/>
      <c r="G468">
        <f>IF(AND(B468&lt;&gt;"",COUNTIF(B$6:B468,B468)=1),MAX(G$5:G467)+1,"")</f>
        <v/>
      </c>
      <c r="H468">
        <f>IF(A468="","",IF(ISNUMBER(A468),IF(A468&lt;=31,"",IF(A468&lt;=3112,IF(DATE(YR,MOD(A468,100),INT(A468/100))&gt;SAT1+7*NW-1,DATE(YR-1,MOD(A468,100),INT(A468/100)),DATE(YR,MOD(A468,100),INT(A468/100))),A468)),IFERROR(DATEVALUE(A468),"")))</f>
        <v/>
      </c>
      <c r="I468">
        <f>IF(H468="","",INT((H468-SAT1)/7)+1)</f>
        <v/>
      </c>
      <c r="J468">
        <f>IF(I468="","",IF(OR(I468&lt;1,I468&gt;NW),"",INDEX(WMON,I468)))</f>
        <v/>
      </c>
    </row>
    <row r="469">
      <c r="A469" s="48" t="n"/>
      <c r="B469" s="22" t="n"/>
      <c r="C469" s="50" t="n"/>
      <c r="D469" s="49" t="n"/>
      <c r="E469" s="50" t="n"/>
      <c r="G469">
        <f>IF(AND(B469&lt;&gt;"",COUNTIF(B$6:B469,B469)=1),MAX(G$5:G468)+1,"")</f>
        <v/>
      </c>
      <c r="H469">
        <f>IF(A469="","",IF(ISNUMBER(A469),IF(A469&lt;=31,"",IF(A469&lt;=3112,IF(DATE(YR,MOD(A469,100),INT(A469/100))&gt;SAT1+7*NW-1,DATE(YR-1,MOD(A469,100),INT(A469/100)),DATE(YR,MOD(A469,100),INT(A469/100))),A469)),IFERROR(DATEVALUE(A469),"")))</f>
        <v/>
      </c>
      <c r="I469">
        <f>IF(H469="","",INT((H469-SAT1)/7)+1)</f>
        <v/>
      </c>
      <c r="J469">
        <f>IF(I469="","",IF(OR(I469&lt;1,I469&gt;NW),"",INDEX(WMON,I469)))</f>
        <v/>
      </c>
    </row>
    <row r="470">
      <c r="A470" s="48" t="n"/>
      <c r="B470" s="22" t="n"/>
      <c r="C470" s="50" t="n"/>
      <c r="D470" s="49" t="n"/>
      <c r="E470" s="50" t="n"/>
      <c r="G470">
        <f>IF(AND(B470&lt;&gt;"",COUNTIF(B$6:B470,B470)=1),MAX(G$5:G469)+1,"")</f>
        <v/>
      </c>
      <c r="H470">
        <f>IF(A470="","",IF(ISNUMBER(A470),IF(A470&lt;=31,"",IF(A470&lt;=3112,IF(DATE(YR,MOD(A470,100),INT(A470/100))&gt;SAT1+7*NW-1,DATE(YR-1,MOD(A470,100),INT(A470/100)),DATE(YR,MOD(A470,100),INT(A470/100))),A470)),IFERROR(DATEVALUE(A470),"")))</f>
        <v/>
      </c>
      <c r="I470">
        <f>IF(H470="","",INT((H470-SAT1)/7)+1)</f>
        <v/>
      </c>
      <c r="J470">
        <f>IF(I470="","",IF(OR(I470&lt;1,I470&gt;NW),"",INDEX(WMON,I470)))</f>
        <v/>
      </c>
    </row>
    <row r="471">
      <c r="A471" s="48" t="n"/>
      <c r="B471" s="22" t="n"/>
      <c r="C471" s="50" t="n"/>
      <c r="D471" s="49" t="n"/>
      <c r="E471" s="50" t="n"/>
      <c r="G471">
        <f>IF(AND(B471&lt;&gt;"",COUNTIF(B$6:B471,B471)=1),MAX(G$5:G470)+1,"")</f>
        <v/>
      </c>
      <c r="H471">
        <f>IF(A471="","",IF(ISNUMBER(A471),IF(A471&lt;=31,"",IF(A471&lt;=3112,IF(DATE(YR,MOD(A471,100),INT(A471/100))&gt;SAT1+7*NW-1,DATE(YR-1,MOD(A471,100),INT(A471/100)),DATE(YR,MOD(A471,100),INT(A471/100))),A471)),IFERROR(DATEVALUE(A471),"")))</f>
        <v/>
      </c>
      <c r="I471">
        <f>IF(H471="","",INT((H471-SAT1)/7)+1)</f>
        <v/>
      </c>
      <c r="J471">
        <f>IF(I471="","",IF(OR(I471&lt;1,I471&gt;NW),"",INDEX(WMON,I471)))</f>
        <v/>
      </c>
    </row>
    <row r="472">
      <c r="A472" s="48" t="n"/>
      <c r="B472" s="22" t="n"/>
      <c r="C472" s="50" t="n"/>
      <c r="D472" s="49" t="n"/>
      <c r="E472" s="50" t="n"/>
      <c r="G472">
        <f>IF(AND(B472&lt;&gt;"",COUNTIF(B$6:B472,B472)=1),MAX(G$5:G471)+1,"")</f>
        <v/>
      </c>
      <c r="H472">
        <f>IF(A472="","",IF(ISNUMBER(A472),IF(A472&lt;=31,"",IF(A472&lt;=3112,IF(DATE(YR,MOD(A472,100),INT(A472/100))&gt;SAT1+7*NW-1,DATE(YR-1,MOD(A472,100),INT(A472/100)),DATE(YR,MOD(A472,100),INT(A472/100))),A472)),IFERROR(DATEVALUE(A472),"")))</f>
        <v/>
      </c>
      <c r="I472">
        <f>IF(H472="","",INT((H472-SAT1)/7)+1)</f>
        <v/>
      </c>
      <c r="J472">
        <f>IF(I472="","",IF(OR(I472&lt;1,I472&gt;NW),"",INDEX(WMON,I472)))</f>
        <v/>
      </c>
    </row>
    <row r="473">
      <c r="A473" s="48" t="n"/>
      <c r="B473" s="22" t="n"/>
      <c r="C473" s="50" t="n"/>
      <c r="D473" s="49" t="n"/>
      <c r="E473" s="50" t="n"/>
      <c r="G473">
        <f>IF(AND(B473&lt;&gt;"",COUNTIF(B$6:B473,B473)=1),MAX(G$5:G472)+1,"")</f>
        <v/>
      </c>
      <c r="H473">
        <f>IF(A473="","",IF(ISNUMBER(A473),IF(A473&lt;=31,"",IF(A473&lt;=3112,IF(DATE(YR,MOD(A473,100),INT(A473/100))&gt;SAT1+7*NW-1,DATE(YR-1,MOD(A473,100),INT(A473/100)),DATE(YR,MOD(A473,100),INT(A473/100))),A473)),IFERROR(DATEVALUE(A473),"")))</f>
        <v/>
      </c>
      <c r="I473">
        <f>IF(H473="","",INT((H473-SAT1)/7)+1)</f>
        <v/>
      </c>
      <c r="J473">
        <f>IF(I473="","",IF(OR(I473&lt;1,I473&gt;NW),"",INDEX(WMON,I473)))</f>
        <v/>
      </c>
    </row>
    <row r="474">
      <c r="A474" s="48" t="n"/>
      <c r="B474" s="22" t="n"/>
      <c r="C474" s="50" t="n"/>
      <c r="D474" s="49" t="n"/>
      <c r="E474" s="50" t="n"/>
      <c r="G474">
        <f>IF(AND(B474&lt;&gt;"",COUNTIF(B$6:B474,B474)=1),MAX(G$5:G473)+1,"")</f>
        <v/>
      </c>
      <c r="H474">
        <f>IF(A474="","",IF(ISNUMBER(A474),IF(A474&lt;=31,"",IF(A474&lt;=3112,IF(DATE(YR,MOD(A474,100),INT(A474/100))&gt;SAT1+7*NW-1,DATE(YR-1,MOD(A474,100),INT(A474/100)),DATE(YR,MOD(A474,100),INT(A474/100))),A474)),IFERROR(DATEVALUE(A474),"")))</f>
        <v/>
      </c>
      <c r="I474">
        <f>IF(H474="","",INT((H474-SAT1)/7)+1)</f>
        <v/>
      </c>
      <c r="J474">
        <f>IF(I474="","",IF(OR(I474&lt;1,I474&gt;NW),"",INDEX(WMON,I474)))</f>
        <v/>
      </c>
    </row>
    <row r="475">
      <c r="A475" s="48" t="n"/>
      <c r="B475" s="22" t="n"/>
      <c r="C475" s="50" t="n"/>
      <c r="D475" s="49" t="n"/>
      <c r="E475" s="50" t="n"/>
      <c r="G475">
        <f>IF(AND(B475&lt;&gt;"",COUNTIF(B$6:B475,B475)=1),MAX(G$5:G474)+1,"")</f>
        <v/>
      </c>
      <c r="H475">
        <f>IF(A475="","",IF(ISNUMBER(A475),IF(A475&lt;=31,"",IF(A475&lt;=3112,IF(DATE(YR,MOD(A475,100),INT(A475/100))&gt;SAT1+7*NW-1,DATE(YR-1,MOD(A475,100),INT(A475/100)),DATE(YR,MOD(A475,100),INT(A475/100))),A475)),IFERROR(DATEVALUE(A475),"")))</f>
        <v/>
      </c>
      <c r="I475">
        <f>IF(H475="","",INT((H475-SAT1)/7)+1)</f>
        <v/>
      </c>
      <c r="J475">
        <f>IF(I475="","",IF(OR(I475&lt;1,I475&gt;NW),"",INDEX(WMON,I475)))</f>
        <v/>
      </c>
    </row>
    <row r="476">
      <c r="A476" s="48" t="n"/>
      <c r="B476" s="22" t="n"/>
      <c r="C476" s="50" t="n"/>
      <c r="D476" s="49" t="n"/>
      <c r="E476" s="50" t="n"/>
      <c r="G476">
        <f>IF(AND(B476&lt;&gt;"",COUNTIF(B$6:B476,B476)=1),MAX(G$5:G475)+1,"")</f>
        <v/>
      </c>
      <c r="H476">
        <f>IF(A476="","",IF(ISNUMBER(A476),IF(A476&lt;=31,"",IF(A476&lt;=3112,IF(DATE(YR,MOD(A476,100),INT(A476/100))&gt;SAT1+7*NW-1,DATE(YR-1,MOD(A476,100),INT(A476/100)),DATE(YR,MOD(A476,100),INT(A476/100))),A476)),IFERROR(DATEVALUE(A476),"")))</f>
        <v/>
      </c>
      <c r="I476">
        <f>IF(H476="","",INT((H476-SAT1)/7)+1)</f>
        <v/>
      </c>
      <c r="J476">
        <f>IF(I476="","",IF(OR(I476&lt;1,I476&gt;NW),"",INDEX(WMON,I476)))</f>
        <v/>
      </c>
    </row>
    <row r="477">
      <c r="A477" s="48" t="n"/>
      <c r="B477" s="22" t="n"/>
      <c r="C477" s="50" t="n"/>
      <c r="D477" s="49" t="n"/>
      <c r="E477" s="50" t="n"/>
      <c r="G477">
        <f>IF(AND(B477&lt;&gt;"",COUNTIF(B$6:B477,B477)=1),MAX(G$5:G476)+1,"")</f>
        <v/>
      </c>
      <c r="H477">
        <f>IF(A477="","",IF(ISNUMBER(A477),IF(A477&lt;=31,"",IF(A477&lt;=3112,IF(DATE(YR,MOD(A477,100),INT(A477/100))&gt;SAT1+7*NW-1,DATE(YR-1,MOD(A477,100),INT(A477/100)),DATE(YR,MOD(A477,100),INT(A477/100))),A477)),IFERROR(DATEVALUE(A477),"")))</f>
        <v/>
      </c>
      <c r="I477">
        <f>IF(H477="","",INT((H477-SAT1)/7)+1)</f>
        <v/>
      </c>
      <c r="J477">
        <f>IF(I477="","",IF(OR(I477&lt;1,I477&gt;NW),"",INDEX(WMON,I477)))</f>
        <v/>
      </c>
    </row>
    <row r="478">
      <c r="A478" s="48" t="n"/>
      <c r="B478" s="22" t="n"/>
      <c r="C478" s="50" t="n"/>
      <c r="D478" s="49" t="n"/>
      <c r="E478" s="50" t="n"/>
      <c r="G478">
        <f>IF(AND(B478&lt;&gt;"",COUNTIF(B$6:B478,B478)=1),MAX(G$5:G477)+1,"")</f>
        <v/>
      </c>
      <c r="H478">
        <f>IF(A478="","",IF(ISNUMBER(A478),IF(A478&lt;=31,"",IF(A478&lt;=3112,IF(DATE(YR,MOD(A478,100),INT(A478/100))&gt;SAT1+7*NW-1,DATE(YR-1,MOD(A478,100),INT(A478/100)),DATE(YR,MOD(A478,100),INT(A478/100))),A478)),IFERROR(DATEVALUE(A478),"")))</f>
        <v/>
      </c>
      <c r="I478">
        <f>IF(H478="","",INT((H478-SAT1)/7)+1)</f>
        <v/>
      </c>
      <c r="J478">
        <f>IF(I478="","",IF(OR(I478&lt;1,I478&gt;NW),"",INDEX(WMON,I478)))</f>
        <v/>
      </c>
    </row>
    <row r="479">
      <c r="A479" s="48" t="n"/>
      <c r="B479" s="22" t="n"/>
      <c r="C479" s="50" t="n"/>
      <c r="D479" s="49" t="n"/>
      <c r="E479" s="50" t="n"/>
      <c r="G479">
        <f>IF(AND(B479&lt;&gt;"",COUNTIF(B$6:B479,B479)=1),MAX(G$5:G478)+1,"")</f>
        <v/>
      </c>
      <c r="H479">
        <f>IF(A479="","",IF(ISNUMBER(A479),IF(A479&lt;=31,"",IF(A479&lt;=3112,IF(DATE(YR,MOD(A479,100),INT(A479/100))&gt;SAT1+7*NW-1,DATE(YR-1,MOD(A479,100),INT(A479/100)),DATE(YR,MOD(A479,100),INT(A479/100))),A479)),IFERROR(DATEVALUE(A479),"")))</f>
        <v/>
      </c>
      <c r="I479">
        <f>IF(H479="","",INT((H479-SAT1)/7)+1)</f>
        <v/>
      </c>
      <c r="J479">
        <f>IF(I479="","",IF(OR(I479&lt;1,I479&gt;NW),"",INDEX(WMON,I479)))</f>
        <v/>
      </c>
    </row>
    <row r="480">
      <c r="A480" s="48" t="n"/>
      <c r="B480" s="22" t="n"/>
      <c r="C480" s="50" t="n"/>
      <c r="D480" s="49" t="n"/>
      <c r="E480" s="50" t="n"/>
      <c r="G480">
        <f>IF(AND(B480&lt;&gt;"",COUNTIF(B$6:B480,B480)=1),MAX(G$5:G479)+1,"")</f>
        <v/>
      </c>
      <c r="H480">
        <f>IF(A480="","",IF(ISNUMBER(A480),IF(A480&lt;=31,"",IF(A480&lt;=3112,IF(DATE(YR,MOD(A480,100),INT(A480/100))&gt;SAT1+7*NW-1,DATE(YR-1,MOD(A480,100),INT(A480/100)),DATE(YR,MOD(A480,100),INT(A480/100))),A480)),IFERROR(DATEVALUE(A480),"")))</f>
        <v/>
      </c>
      <c r="I480">
        <f>IF(H480="","",INT((H480-SAT1)/7)+1)</f>
        <v/>
      </c>
      <c r="J480">
        <f>IF(I480="","",IF(OR(I480&lt;1,I480&gt;NW),"",INDEX(WMON,I480)))</f>
        <v/>
      </c>
    </row>
    <row r="481">
      <c r="A481" s="48" t="n"/>
      <c r="B481" s="22" t="n"/>
      <c r="C481" s="50" t="n"/>
      <c r="D481" s="49" t="n"/>
      <c r="E481" s="50" t="n"/>
      <c r="G481">
        <f>IF(AND(B481&lt;&gt;"",COUNTIF(B$6:B481,B481)=1),MAX(G$5:G480)+1,"")</f>
        <v/>
      </c>
      <c r="H481">
        <f>IF(A481="","",IF(ISNUMBER(A481),IF(A481&lt;=31,"",IF(A481&lt;=3112,IF(DATE(YR,MOD(A481,100),INT(A481/100))&gt;SAT1+7*NW-1,DATE(YR-1,MOD(A481,100),INT(A481/100)),DATE(YR,MOD(A481,100),INT(A481/100))),A481)),IFERROR(DATEVALUE(A481),"")))</f>
        <v/>
      </c>
      <c r="I481">
        <f>IF(H481="","",INT((H481-SAT1)/7)+1)</f>
        <v/>
      </c>
      <c r="J481">
        <f>IF(I481="","",IF(OR(I481&lt;1,I481&gt;NW),"",INDEX(WMON,I481)))</f>
        <v/>
      </c>
    </row>
    <row r="482">
      <c r="A482" s="48" t="n"/>
      <c r="B482" s="22" t="n"/>
      <c r="C482" s="50" t="n"/>
      <c r="D482" s="49" t="n"/>
      <c r="E482" s="50" t="n"/>
      <c r="G482">
        <f>IF(AND(B482&lt;&gt;"",COUNTIF(B$6:B482,B482)=1),MAX(G$5:G481)+1,"")</f>
        <v/>
      </c>
      <c r="H482">
        <f>IF(A482="","",IF(ISNUMBER(A482),IF(A482&lt;=31,"",IF(A482&lt;=3112,IF(DATE(YR,MOD(A482,100),INT(A482/100))&gt;SAT1+7*NW-1,DATE(YR-1,MOD(A482,100),INT(A482/100)),DATE(YR,MOD(A482,100),INT(A482/100))),A482)),IFERROR(DATEVALUE(A482),"")))</f>
        <v/>
      </c>
      <c r="I482">
        <f>IF(H482="","",INT((H482-SAT1)/7)+1)</f>
        <v/>
      </c>
      <c r="J482">
        <f>IF(I482="","",IF(OR(I482&lt;1,I482&gt;NW),"",INDEX(WMON,I482)))</f>
        <v/>
      </c>
    </row>
    <row r="483">
      <c r="A483" s="48" t="n"/>
      <c r="B483" s="22" t="n"/>
      <c r="C483" s="50" t="n"/>
      <c r="D483" s="49" t="n"/>
      <c r="E483" s="50" t="n"/>
      <c r="G483">
        <f>IF(AND(B483&lt;&gt;"",COUNTIF(B$6:B483,B483)=1),MAX(G$5:G482)+1,"")</f>
        <v/>
      </c>
      <c r="H483">
        <f>IF(A483="","",IF(ISNUMBER(A483),IF(A483&lt;=31,"",IF(A483&lt;=3112,IF(DATE(YR,MOD(A483,100),INT(A483/100))&gt;SAT1+7*NW-1,DATE(YR-1,MOD(A483,100),INT(A483/100)),DATE(YR,MOD(A483,100),INT(A483/100))),A483)),IFERROR(DATEVALUE(A483),"")))</f>
        <v/>
      </c>
      <c r="I483">
        <f>IF(H483="","",INT((H483-SAT1)/7)+1)</f>
        <v/>
      </c>
      <c r="J483">
        <f>IF(I483="","",IF(OR(I483&lt;1,I483&gt;NW),"",INDEX(WMON,I483)))</f>
        <v/>
      </c>
    </row>
    <row r="484">
      <c r="A484" s="48" t="n"/>
      <c r="B484" s="22" t="n"/>
      <c r="C484" s="50" t="n"/>
      <c r="D484" s="49" t="n"/>
      <c r="E484" s="50" t="n"/>
      <c r="G484">
        <f>IF(AND(B484&lt;&gt;"",COUNTIF(B$6:B484,B484)=1),MAX(G$5:G483)+1,"")</f>
        <v/>
      </c>
      <c r="H484">
        <f>IF(A484="","",IF(ISNUMBER(A484),IF(A484&lt;=31,"",IF(A484&lt;=3112,IF(DATE(YR,MOD(A484,100),INT(A484/100))&gt;SAT1+7*NW-1,DATE(YR-1,MOD(A484,100),INT(A484/100)),DATE(YR,MOD(A484,100),INT(A484/100))),A484)),IFERROR(DATEVALUE(A484),"")))</f>
        <v/>
      </c>
      <c r="I484">
        <f>IF(H484="","",INT((H484-SAT1)/7)+1)</f>
        <v/>
      </c>
      <c r="J484">
        <f>IF(I484="","",IF(OR(I484&lt;1,I484&gt;NW),"",INDEX(WMON,I484)))</f>
        <v/>
      </c>
    </row>
    <row r="485">
      <c r="A485" s="48" t="n"/>
      <c r="B485" s="22" t="n"/>
      <c r="C485" s="50" t="n"/>
      <c r="D485" s="49" t="n"/>
      <c r="E485" s="50" t="n"/>
      <c r="G485">
        <f>IF(AND(B485&lt;&gt;"",COUNTIF(B$6:B485,B485)=1),MAX(G$5:G484)+1,"")</f>
        <v/>
      </c>
      <c r="H485">
        <f>IF(A485="","",IF(ISNUMBER(A485),IF(A485&lt;=31,"",IF(A485&lt;=3112,IF(DATE(YR,MOD(A485,100),INT(A485/100))&gt;SAT1+7*NW-1,DATE(YR-1,MOD(A485,100),INT(A485/100)),DATE(YR,MOD(A485,100),INT(A485/100))),A485)),IFERROR(DATEVALUE(A485),"")))</f>
        <v/>
      </c>
      <c r="I485">
        <f>IF(H485="","",INT((H485-SAT1)/7)+1)</f>
        <v/>
      </c>
      <c r="J485">
        <f>IF(I485="","",IF(OR(I485&lt;1,I485&gt;NW),"",INDEX(WMON,I485)))</f>
        <v/>
      </c>
    </row>
    <row r="486">
      <c r="A486" s="48" t="n"/>
      <c r="B486" s="22" t="n"/>
      <c r="C486" s="50" t="n"/>
      <c r="D486" s="49" t="n"/>
      <c r="E486" s="50" t="n"/>
      <c r="G486">
        <f>IF(AND(B486&lt;&gt;"",COUNTIF(B$6:B486,B486)=1),MAX(G$5:G485)+1,"")</f>
        <v/>
      </c>
      <c r="H486">
        <f>IF(A486="","",IF(ISNUMBER(A486),IF(A486&lt;=31,"",IF(A486&lt;=3112,IF(DATE(YR,MOD(A486,100),INT(A486/100))&gt;SAT1+7*NW-1,DATE(YR-1,MOD(A486,100),INT(A486/100)),DATE(YR,MOD(A486,100),INT(A486/100))),A486)),IFERROR(DATEVALUE(A486),"")))</f>
        <v/>
      </c>
      <c r="I486">
        <f>IF(H486="","",INT((H486-SAT1)/7)+1)</f>
        <v/>
      </c>
      <c r="J486">
        <f>IF(I486="","",IF(OR(I486&lt;1,I486&gt;NW),"",INDEX(WMON,I486)))</f>
        <v/>
      </c>
    </row>
    <row r="487">
      <c r="A487" s="48" t="n"/>
      <c r="B487" s="22" t="n"/>
      <c r="C487" s="50" t="n"/>
      <c r="D487" s="49" t="n"/>
      <c r="E487" s="50" t="n"/>
      <c r="G487">
        <f>IF(AND(B487&lt;&gt;"",COUNTIF(B$6:B487,B487)=1),MAX(G$5:G486)+1,"")</f>
        <v/>
      </c>
      <c r="H487">
        <f>IF(A487="","",IF(ISNUMBER(A487),IF(A487&lt;=31,"",IF(A487&lt;=3112,IF(DATE(YR,MOD(A487,100),INT(A487/100))&gt;SAT1+7*NW-1,DATE(YR-1,MOD(A487,100),INT(A487/100)),DATE(YR,MOD(A487,100),INT(A487/100))),A487)),IFERROR(DATEVALUE(A487),"")))</f>
        <v/>
      </c>
      <c r="I487">
        <f>IF(H487="","",INT((H487-SAT1)/7)+1)</f>
        <v/>
      </c>
      <c r="J487">
        <f>IF(I487="","",IF(OR(I487&lt;1,I487&gt;NW),"",INDEX(WMON,I487)))</f>
        <v/>
      </c>
    </row>
    <row r="488">
      <c r="A488" s="48" t="n"/>
      <c r="B488" s="22" t="n"/>
      <c r="C488" s="50" t="n"/>
      <c r="D488" s="49" t="n"/>
      <c r="E488" s="50" t="n"/>
      <c r="G488">
        <f>IF(AND(B488&lt;&gt;"",COUNTIF(B$6:B488,B488)=1),MAX(G$5:G487)+1,"")</f>
        <v/>
      </c>
      <c r="H488">
        <f>IF(A488="","",IF(ISNUMBER(A488),IF(A488&lt;=31,"",IF(A488&lt;=3112,IF(DATE(YR,MOD(A488,100),INT(A488/100))&gt;SAT1+7*NW-1,DATE(YR-1,MOD(A488,100),INT(A488/100)),DATE(YR,MOD(A488,100),INT(A488/100))),A488)),IFERROR(DATEVALUE(A488),"")))</f>
        <v/>
      </c>
      <c r="I488">
        <f>IF(H488="","",INT((H488-SAT1)/7)+1)</f>
        <v/>
      </c>
      <c r="J488">
        <f>IF(I488="","",IF(OR(I488&lt;1,I488&gt;NW),"",INDEX(WMON,I488)))</f>
        <v/>
      </c>
    </row>
    <row r="489">
      <c r="A489" s="48" t="n"/>
      <c r="B489" s="22" t="n"/>
      <c r="C489" s="50" t="n"/>
      <c r="D489" s="49" t="n"/>
      <c r="E489" s="50" t="n"/>
      <c r="G489">
        <f>IF(AND(B489&lt;&gt;"",COUNTIF(B$6:B489,B489)=1),MAX(G$5:G488)+1,"")</f>
        <v/>
      </c>
      <c r="H489">
        <f>IF(A489="","",IF(ISNUMBER(A489),IF(A489&lt;=31,"",IF(A489&lt;=3112,IF(DATE(YR,MOD(A489,100),INT(A489/100))&gt;SAT1+7*NW-1,DATE(YR-1,MOD(A489,100),INT(A489/100)),DATE(YR,MOD(A489,100),INT(A489/100))),A489)),IFERROR(DATEVALUE(A489),"")))</f>
        <v/>
      </c>
      <c r="I489">
        <f>IF(H489="","",INT((H489-SAT1)/7)+1)</f>
        <v/>
      </c>
      <c r="J489">
        <f>IF(I489="","",IF(OR(I489&lt;1,I489&gt;NW),"",INDEX(WMON,I489)))</f>
        <v/>
      </c>
    </row>
    <row r="490">
      <c r="A490" s="48" t="n"/>
      <c r="B490" s="22" t="n"/>
      <c r="C490" s="50" t="n"/>
      <c r="D490" s="49" t="n"/>
      <c r="E490" s="50" t="n"/>
      <c r="G490">
        <f>IF(AND(B490&lt;&gt;"",COUNTIF(B$6:B490,B490)=1),MAX(G$5:G489)+1,"")</f>
        <v/>
      </c>
      <c r="H490">
        <f>IF(A490="","",IF(ISNUMBER(A490),IF(A490&lt;=31,"",IF(A490&lt;=3112,IF(DATE(YR,MOD(A490,100),INT(A490/100))&gt;SAT1+7*NW-1,DATE(YR-1,MOD(A490,100),INT(A490/100)),DATE(YR,MOD(A490,100),INT(A490/100))),A490)),IFERROR(DATEVALUE(A490),"")))</f>
        <v/>
      </c>
      <c r="I490">
        <f>IF(H490="","",INT((H490-SAT1)/7)+1)</f>
        <v/>
      </c>
      <c r="J490">
        <f>IF(I490="","",IF(OR(I490&lt;1,I490&gt;NW),"",INDEX(WMON,I490)))</f>
        <v/>
      </c>
    </row>
    <row r="491">
      <c r="A491" s="48" t="n"/>
      <c r="B491" s="22" t="n"/>
      <c r="C491" s="50" t="n"/>
      <c r="D491" s="49" t="n"/>
      <c r="E491" s="50" t="n"/>
      <c r="G491">
        <f>IF(AND(B491&lt;&gt;"",COUNTIF(B$6:B491,B491)=1),MAX(G$5:G490)+1,"")</f>
        <v/>
      </c>
      <c r="H491">
        <f>IF(A491="","",IF(ISNUMBER(A491),IF(A491&lt;=31,"",IF(A491&lt;=3112,IF(DATE(YR,MOD(A491,100),INT(A491/100))&gt;SAT1+7*NW-1,DATE(YR-1,MOD(A491,100),INT(A491/100)),DATE(YR,MOD(A491,100),INT(A491/100))),A491)),IFERROR(DATEVALUE(A491),"")))</f>
        <v/>
      </c>
      <c r="I491">
        <f>IF(H491="","",INT((H491-SAT1)/7)+1)</f>
        <v/>
      </c>
      <c r="J491">
        <f>IF(I491="","",IF(OR(I491&lt;1,I491&gt;NW),"",INDEX(WMON,I491)))</f>
        <v/>
      </c>
    </row>
    <row r="492">
      <c r="A492" s="48" t="n"/>
      <c r="B492" s="22" t="n"/>
      <c r="C492" s="50" t="n"/>
      <c r="D492" s="49" t="n"/>
      <c r="E492" s="50" t="n"/>
      <c r="G492">
        <f>IF(AND(B492&lt;&gt;"",COUNTIF(B$6:B492,B492)=1),MAX(G$5:G491)+1,"")</f>
        <v/>
      </c>
      <c r="H492">
        <f>IF(A492="","",IF(ISNUMBER(A492),IF(A492&lt;=31,"",IF(A492&lt;=3112,IF(DATE(YR,MOD(A492,100),INT(A492/100))&gt;SAT1+7*NW-1,DATE(YR-1,MOD(A492,100),INT(A492/100)),DATE(YR,MOD(A492,100),INT(A492/100))),A492)),IFERROR(DATEVALUE(A492),"")))</f>
        <v/>
      </c>
      <c r="I492">
        <f>IF(H492="","",INT((H492-SAT1)/7)+1)</f>
        <v/>
      </c>
      <c r="J492">
        <f>IF(I492="","",IF(OR(I492&lt;1,I492&gt;NW),"",INDEX(WMON,I492)))</f>
        <v/>
      </c>
    </row>
    <row r="493">
      <c r="A493" s="48" t="n"/>
      <c r="B493" s="22" t="n"/>
      <c r="C493" s="50" t="n"/>
      <c r="D493" s="49" t="n"/>
      <c r="E493" s="50" t="n"/>
      <c r="G493">
        <f>IF(AND(B493&lt;&gt;"",COUNTIF(B$6:B493,B493)=1),MAX(G$5:G492)+1,"")</f>
        <v/>
      </c>
      <c r="H493">
        <f>IF(A493="","",IF(ISNUMBER(A493),IF(A493&lt;=31,"",IF(A493&lt;=3112,IF(DATE(YR,MOD(A493,100),INT(A493/100))&gt;SAT1+7*NW-1,DATE(YR-1,MOD(A493,100),INT(A493/100)),DATE(YR,MOD(A493,100),INT(A493/100))),A493)),IFERROR(DATEVALUE(A493),"")))</f>
        <v/>
      </c>
      <c r="I493">
        <f>IF(H493="","",INT((H493-SAT1)/7)+1)</f>
        <v/>
      </c>
      <c r="J493">
        <f>IF(I493="","",IF(OR(I493&lt;1,I493&gt;NW),"",INDEX(WMON,I493)))</f>
        <v/>
      </c>
    </row>
    <row r="494">
      <c r="A494" s="48" t="n"/>
      <c r="B494" s="22" t="n"/>
      <c r="C494" s="50" t="n"/>
      <c r="D494" s="49" t="n"/>
      <c r="E494" s="50" t="n"/>
      <c r="G494">
        <f>IF(AND(B494&lt;&gt;"",COUNTIF(B$6:B494,B494)=1),MAX(G$5:G493)+1,"")</f>
        <v/>
      </c>
      <c r="H494">
        <f>IF(A494="","",IF(ISNUMBER(A494),IF(A494&lt;=31,"",IF(A494&lt;=3112,IF(DATE(YR,MOD(A494,100),INT(A494/100))&gt;SAT1+7*NW-1,DATE(YR-1,MOD(A494,100),INT(A494/100)),DATE(YR,MOD(A494,100),INT(A494/100))),A494)),IFERROR(DATEVALUE(A494),"")))</f>
        <v/>
      </c>
      <c r="I494">
        <f>IF(H494="","",INT((H494-SAT1)/7)+1)</f>
        <v/>
      </c>
      <c r="J494">
        <f>IF(I494="","",IF(OR(I494&lt;1,I494&gt;NW),"",INDEX(WMON,I494)))</f>
        <v/>
      </c>
    </row>
    <row r="495">
      <c r="A495" s="48" t="n"/>
      <c r="B495" s="22" t="n"/>
      <c r="C495" s="50" t="n"/>
      <c r="D495" s="49" t="n"/>
      <c r="E495" s="50" t="n"/>
      <c r="G495">
        <f>IF(AND(B495&lt;&gt;"",COUNTIF(B$6:B495,B495)=1),MAX(G$5:G494)+1,"")</f>
        <v/>
      </c>
      <c r="H495">
        <f>IF(A495="","",IF(ISNUMBER(A495),IF(A495&lt;=31,"",IF(A495&lt;=3112,IF(DATE(YR,MOD(A495,100),INT(A495/100))&gt;SAT1+7*NW-1,DATE(YR-1,MOD(A495,100),INT(A495/100)),DATE(YR,MOD(A495,100),INT(A495/100))),A495)),IFERROR(DATEVALUE(A495),"")))</f>
        <v/>
      </c>
      <c r="I495">
        <f>IF(H495="","",INT((H495-SAT1)/7)+1)</f>
        <v/>
      </c>
      <c r="J495">
        <f>IF(I495="","",IF(OR(I495&lt;1,I495&gt;NW),"",INDEX(WMON,I495)))</f>
        <v/>
      </c>
    </row>
    <row r="496">
      <c r="A496" s="48" t="n"/>
      <c r="B496" s="22" t="n"/>
      <c r="C496" s="50" t="n"/>
      <c r="D496" s="49" t="n"/>
      <c r="E496" s="50" t="n"/>
      <c r="G496">
        <f>IF(AND(B496&lt;&gt;"",COUNTIF(B$6:B496,B496)=1),MAX(G$5:G495)+1,"")</f>
        <v/>
      </c>
      <c r="H496">
        <f>IF(A496="","",IF(ISNUMBER(A496),IF(A496&lt;=31,"",IF(A496&lt;=3112,IF(DATE(YR,MOD(A496,100),INT(A496/100))&gt;SAT1+7*NW-1,DATE(YR-1,MOD(A496,100),INT(A496/100)),DATE(YR,MOD(A496,100),INT(A496/100))),A496)),IFERROR(DATEVALUE(A496),"")))</f>
        <v/>
      </c>
      <c r="I496">
        <f>IF(H496="","",INT((H496-SAT1)/7)+1)</f>
        <v/>
      </c>
      <c r="J496">
        <f>IF(I496="","",IF(OR(I496&lt;1,I496&gt;NW),"",INDEX(WMON,I496)))</f>
        <v/>
      </c>
    </row>
    <row r="497">
      <c r="A497" s="48" t="n"/>
      <c r="B497" s="22" t="n"/>
      <c r="C497" s="50" t="n"/>
      <c r="D497" s="49" t="n"/>
      <c r="E497" s="50" t="n"/>
      <c r="G497">
        <f>IF(AND(B497&lt;&gt;"",COUNTIF(B$6:B497,B497)=1),MAX(G$5:G496)+1,"")</f>
        <v/>
      </c>
      <c r="H497">
        <f>IF(A497="","",IF(ISNUMBER(A497),IF(A497&lt;=31,"",IF(A497&lt;=3112,IF(DATE(YR,MOD(A497,100),INT(A497/100))&gt;SAT1+7*NW-1,DATE(YR-1,MOD(A497,100),INT(A497/100)),DATE(YR,MOD(A497,100),INT(A497/100))),A497)),IFERROR(DATEVALUE(A497),"")))</f>
        <v/>
      </c>
      <c r="I497">
        <f>IF(H497="","",INT((H497-SAT1)/7)+1)</f>
        <v/>
      </c>
      <c r="J497">
        <f>IF(I497="","",IF(OR(I497&lt;1,I497&gt;NW),"",INDEX(WMON,I497)))</f>
        <v/>
      </c>
    </row>
    <row r="498">
      <c r="A498" s="48" t="n"/>
      <c r="B498" s="22" t="n"/>
      <c r="C498" s="50" t="n"/>
      <c r="D498" s="49" t="n"/>
      <c r="E498" s="50" t="n"/>
      <c r="G498">
        <f>IF(AND(B498&lt;&gt;"",COUNTIF(B$6:B498,B498)=1),MAX(G$5:G497)+1,"")</f>
        <v/>
      </c>
      <c r="H498">
        <f>IF(A498="","",IF(ISNUMBER(A498),IF(A498&lt;=31,"",IF(A498&lt;=3112,IF(DATE(YR,MOD(A498,100),INT(A498/100))&gt;SAT1+7*NW-1,DATE(YR-1,MOD(A498,100),INT(A498/100)),DATE(YR,MOD(A498,100),INT(A498/100))),A498)),IFERROR(DATEVALUE(A498),"")))</f>
        <v/>
      </c>
      <c r="I498">
        <f>IF(H498="","",INT((H498-SAT1)/7)+1)</f>
        <v/>
      </c>
      <c r="J498">
        <f>IF(I498="","",IF(OR(I498&lt;1,I498&gt;NW),"",INDEX(WMON,I498)))</f>
        <v/>
      </c>
    </row>
    <row r="499">
      <c r="A499" s="48" t="n"/>
      <c r="B499" s="22" t="n"/>
      <c r="C499" s="50" t="n"/>
      <c r="D499" s="49" t="n"/>
      <c r="E499" s="50" t="n"/>
      <c r="G499">
        <f>IF(AND(B499&lt;&gt;"",COUNTIF(B$6:B499,B499)=1),MAX(G$5:G498)+1,"")</f>
        <v/>
      </c>
      <c r="H499">
        <f>IF(A499="","",IF(ISNUMBER(A499),IF(A499&lt;=31,"",IF(A499&lt;=3112,IF(DATE(YR,MOD(A499,100),INT(A499/100))&gt;SAT1+7*NW-1,DATE(YR-1,MOD(A499,100),INT(A499/100)),DATE(YR,MOD(A499,100),INT(A499/100))),A499)),IFERROR(DATEVALUE(A499),"")))</f>
        <v/>
      </c>
      <c r="I499">
        <f>IF(H499="","",INT((H499-SAT1)/7)+1)</f>
        <v/>
      </c>
      <c r="J499">
        <f>IF(I499="","",IF(OR(I499&lt;1,I499&gt;NW),"",INDEX(WMON,I499)))</f>
        <v/>
      </c>
    </row>
    <row r="500">
      <c r="A500" s="48" t="n"/>
      <c r="B500" s="22" t="n"/>
      <c r="C500" s="50" t="n"/>
      <c r="D500" s="49" t="n"/>
      <c r="E500" s="50" t="n"/>
      <c r="G500">
        <f>IF(AND(B500&lt;&gt;"",COUNTIF(B$6:B500,B500)=1),MAX(G$5:G499)+1,"")</f>
        <v/>
      </c>
      <c r="H500">
        <f>IF(A500="","",IF(ISNUMBER(A500),IF(A500&lt;=31,"",IF(A500&lt;=3112,IF(DATE(YR,MOD(A500,100),INT(A500/100))&gt;SAT1+7*NW-1,DATE(YR-1,MOD(A500,100),INT(A500/100)),DATE(YR,MOD(A500,100),INT(A500/100))),A500)),IFERROR(DATEVALUE(A500),"")))</f>
        <v/>
      </c>
      <c r="I500">
        <f>IF(H500="","",INT((H500-SAT1)/7)+1)</f>
        <v/>
      </c>
      <c r="J500">
        <f>IF(I500="","",IF(OR(I500&lt;1,I500&gt;NW),"",INDEX(WMON,I500)))</f>
        <v/>
      </c>
    </row>
    <row r="501">
      <c r="A501" s="48" t="n"/>
      <c r="B501" s="22" t="n"/>
      <c r="C501" s="50" t="n"/>
      <c r="D501" s="49" t="n"/>
      <c r="E501" s="50" t="n"/>
      <c r="G501">
        <f>IF(AND(B501&lt;&gt;"",COUNTIF(B$6:B501,B501)=1),MAX(G$5:G500)+1,"")</f>
        <v/>
      </c>
      <c r="H501">
        <f>IF(A501="","",IF(ISNUMBER(A501),IF(A501&lt;=31,"",IF(A501&lt;=3112,IF(DATE(YR,MOD(A501,100),INT(A501/100))&gt;SAT1+7*NW-1,DATE(YR-1,MOD(A501,100),INT(A501/100)),DATE(YR,MOD(A501,100),INT(A501/100))),A501)),IFERROR(DATEVALUE(A501),"")))</f>
        <v/>
      </c>
      <c r="I501">
        <f>IF(H501="","",INT((H501-SAT1)/7)+1)</f>
        <v/>
      </c>
      <c r="J501">
        <f>IF(I501="","",IF(OR(I501&lt;1,I501&gt;NW),"",INDEX(WMON,I501)))</f>
        <v/>
      </c>
    </row>
    <row r="502">
      <c r="A502" s="48" t="n"/>
      <c r="B502" s="22" t="n"/>
      <c r="C502" s="50" t="n"/>
      <c r="D502" s="49" t="n"/>
      <c r="E502" s="50" t="n"/>
      <c r="G502">
        <f>IF(AND(B502&lt;&gt;"",COUNTIF(B$6:B502,B502)=1),MAX(G$5:G501)+1,"")</f>
        <v/>
      </c>
      <c r="H502">
        <f>IF(A502="","",IF(ISNUMBER(A502),IF(A502&lt;=31,"",IF(A502&lt;=3112,IF(DATE(YR,MOD(A502,100),INT(A502/100))&gt;SAT1+7*NW-1,DATE(YR-1,MOD(A502,100),INT(A502/100)),DATE(YR,MOD(A502,100),INT(A502/100))),A502)),IFERROR(DATEVALUE(A502),"")))</f>
        <v/>
      </c>
      <c r="I502">
        <f>IF(H502="","",INT((H502-SAT1)/7)+1)</f>
        <v/>
      </c>
      <c r="J502">
        <f>IF(I502="","",IF(OR(I502&lt;1,I502&gt;NW),"",INDEX(WMON,I502)))</f>
        <v/>
      </c>
    </row>
    <row r="503">
      <c r="A503" s="48" t="n"/>
      <c r="B503" s="22" t="n"/>
      <c r="C503" s="50" t="n"/>
      <c r="D503" s="49" t="n"/>
      <c r="E503" s="50" t="n"/>
      <c r="G503">
        <f>IF(AND(B503&lt;&gt;"",COUNTIF(B$6:B503,B503)=1),MAX(G$5:G502)+1,"")</f>
        <v/>
      </c>
      <c r="H503">
        <f>IF(A503="","",IF(ISNUMBER(A503),IF(A503&lt;=31,"",IF(A503&lt;=3112,IF(DATE(YR,MOD(A503,100),INT(A503/100))&gt;SAT1+7*NW-1,DATE(YR-1,MOD(A503,100),INT(A503/100)),DATE(YR,MOD(A503,100),INT(A503/100))),A503)),IFERROR(DATEVALUE(A503),"")))</f>
        <v/>
      </c>
      <c r="I503">
        <f>IF(H503="","",INT((H503-SAT1)/7)+1)</f>
        <v/>
      </c>
      <c r="J503">
        <f>IF(I503="","",IF(OR(I503&lt;1,I503&gt;NW),"",INDEX(WMON,I503)))</f>
        <v/>
      </c>
    </row>
    <row r="504">
      <c r="A504" s="48" t="n"/>
      <c r="B504" s="22" t="n"/>
      <c r="C504" s="50" t="n"/>
      <c r="D504" s="49" t="n"/>
      <c r="E504" s="50" t="n"/>
      <c r="G504">
        <f>IF(AND(B504&lt;&gt;"",COUNTIF(B$6:B504,B504)=1),MAX(G$5:G503)+1,"")</f>
        <v/>
      </c>
      <c r="H504">
        <f>IF(A504="","",IF(ISNUMBER(A504),IF(A504&lt;=31,"",IF(A504&lt;=3112,IF(DATE(YR,MOD(A504,100),INT(A504/100))&gt;SAT1+7*NW-1,DATE(YR-1,MOD(A504,100),INT(A504/100)),DATE(YR,MOD(A504,100),INT(A504/100))),A504)),IFERROR(DATEVALUE(A504),"")))</f>
        <v/>
      </c>
      <c r="I504">
        <f>IF(H504="","",INT((H504-SAT1)/7)+1)</f>
        <v/>
      </c>
      <c r="J504">
        <f>IF(I504="","",IF(OR(I504&lt;1,I504&gt;NW),"",INDEX(WMON,I504)))</f>
        <v/>
      </c>
    </row>
    <row r="505">
      <c r="A505" s="48" t="n"/>
      <c r="B505" s="22" t="n"/>
      <c r="C505" s="50" t="n"/>
      <c r="D505" s="49" t="n"/>
      <c r="E505" s="50" t="n"/>
      <c r="G505">
        <f>IF(AND(B505&lt;&gt;"",COUNTIF(B$6:B505,B505)=1),MAX(G$5:G504)+1,"")</f>
        <v/>
      </c>
      <c r="H505">
        <f>IF(A505="","",IF(ISNUMBER(A505),IF(A505&lt;=31,"",IF(A505&lt;=3112,IF(DATE(YR,MOD(A505,100),INT(A505/100))&gt;SAT1+7*NW-1,DATE(YR-1,MOD(A505,100),INT(A505/100)),DATE(YR,MOD(A505,100),INT(A505/100))),A505)),IFERROR(DATEVALUE(A505),"")))</f>
        <v/>
      </c>
      <c r="I505">
        <f>IF(H505="","",INT((H505-SAT1)/7)+1)</f>
        <v/>
      </c>
      <c r="J505">
        <f>IF(I505="","",IF(OR(I505&lt;1,I505&gt;NW),"",INDEX(WMON,I505)))</f>
        <v/>
      </c>
    </row>
    <row r="506">
      <c r="A506" s="48" t="n"/>
      <c r="B506" s="22" t="n"/>
      <c r="C506" s="50" t="n"/>
      <c r="D506" s="49" t="n"/>
      <c r="E506" s="50" t="n"/>
      <c r="G506">
        <f>IF(AND(B506&lt;&gt;"",COUNTIF(B$6:B506,B506)=1),MAX(G$5:G505)+1,"")</f>
        <v/>
      </c>
      <c r="H506">
        <f>IF(A506="","",IF(ISNUMBER(A506),IF(A506&lt;=31,"",IF(A506&lt;=3112,IF(DATE(YR,MOD(A506,100),INT(A506/100))&gt;SAT1+7*NW-1,DATE(YR-1,MOD(A506,100),INT(A506/100)),DATE(YR,MOD(A506,100),INT(A506/100))),A506)),IFERROR(DATEVALUE(A506),"")))</f>
        <v/>
      </c>
      <c r="I506">
        <f>IF(H506="","",INT((H506-SAT1)/7)+1)</f>
        <v/>
      </c>
      <c r="J506">
        <f>IF(I506="","",IF(OR(I506&lt;1,I506&gt;NW),"",INDEX(WMON,I506)))</f>
        <v/>
      </c>
    </row>
    <row r="507">
      <c r="A507" s="48" t="n"/>
      <c r="B507" s="22" t="n"/>
      <c r="C507" s="50" t="n"/>
      <c r="D507" s="49" t="n"/>
      <c r="E507" s="50" t="n"/>
      <c r="G507">
        <f>IF(AND(B507&lt;&gt;"",COUNTIF(B$6:B507,B507)=1),MAX(G$5:G506)+1,"")</f>
        <v/>
      </c>
      <c r="H507">
        <f>IF(A507="","",IF(ISNUMBER(A507),IF(A507&lt;=31,"",IF(A507&lt;=3112,IF(DATE(YR,MOD(A507,100),INT(A507/100))&gt;SAT1+7*NW-1,DATE(YR-1,MOD(A507,100),INT(A507/100)),DATE(YR,MOD(A507,100),INT(A507/100))),A507)),IFERROR(DATEVALUE(A507),"")))</f>
        <v/>
      </c>
      <c r="I507">
        <f>IF(H507="","",INT((H507-SAT1)/7)+1)</f>
        <v/>
      </c>
      <c r="J507">
        <f>IF(I507="","",IF(OR(I507&lt;1,I507&gt;NW),"",INDEX(WMON,I507)))</f>
        <v/>
      </c>
    </row>
    <row r="508">
      <c r="A508" s="48" t="n"/>
      <c r="B508" s="22" t="n"/>
      <c r="C508" s="50" t="n"/>
      <c r="D508" s="49" t="n"/>
      <c r="E508" s="50" t="n"/>
      <c r="G508">
        <f>IF(AND(B508&lt;&gt;"",COUNTIF(B$6:B508,B508)=1),MAX(G$5:G507)+1,"")</f>
        <v/>
      </c>
      <c r="H508">
        <f>IF(A508="","",IF(ISNUMBER(A508),IF(A508&lt;=31,"",IF(A508&lt;=3112,IF(DATE(YR,MOD(A508,100),INT(A508/100))&gt;SAT1+7*NW-1,DATE(YR-1,MOD(A508,100),INT(A508/100)),DATE(YR,MOD(A508,100),INT(A508/100))),A508)),IFERROR(DATEVALUE(A508),"")))</f>
        <v/>
      </c>
      <c r="I508">
        <f>IF(H508="","",INT((H508-SAT1)/7)+1)</f>
        <v/>
      </c>
      <c r="J508">
        <f>IF(I508="","",IF(OR(I508&lt;1,I508&gt;NW),"",INDEX(WMON,I508)))</f>
        <v/>
      </c>
    </row>
    <row r="509">
      <c r="A509" s="48" t="n"/>
      <c r="B509" s="22" t="n"/>
      <c r="C509" s="50" t="n"/>
      <c r="D509" s="49" t="n"/>
      <c r="E509" s="50" t="n"/>
      <c r="G509">
        <f>IF(AND(B509&lt;&gt;"",COUNTIF(B$6:B509,B509)=1),MAX(G$5:G508)+1,"")</f>
        <v/>
      </c>
      <c r="H509">
        <f>IF(A509="","",IF(ISNUMBER(A509),IF(A509&lt;=31,"",IF(A509&lt;=3112,IF(DATE(YR,MOD(A509,100),INT(A509/100))&gt;SAT1+7*NW-1,DATE(YR-1,MOD(A509,100),INT(A509/100)),DATE(YR,MOD(A509,100),INT(A509/100))),A509)),IFERROR(DATEVALUE(A509),"")))</f>
        <v/>
      </c>
      <c r="I509">
        <f>IF(H509="","",INT((H509-SAT1)/7)+1)</f>
        <v/>
      </c>
      <c r="J509">
        <f>IF(I509="","",IF(OR(I509&lt;1,I509&gt;NW),"",INDEX(WMON,I509)))</f>
        <v/>
      </c>
    </row>
    <row r="510">
      <c r="A510" s="48" t="n"/>
      <c r="B510" s="22" t="n"/>
      <c r="C510" s="50" t="n"/>
      <c r="D510" s="49" t="n"/>
      <c r="E510" s="50" t="n"/>
      <c r="G510">
        <f>IF(AND(B510&lt;&gt;"",COUNTIF(B$6:B510,B510)=1),MAX(G$5:G509)+1,"")</f>
        <v/>
      </c>
      <c r="H510">
        <f>IF(A510="","",IF(ISNUMBER(A510),IF(A510&lt;=31,"",IF(A510&lt;=3112,IF(DATE(YR,MOD(A510,100),INT(A510/100))&gt;SAT1+7*NW-1,DATE(YR-1,MOD(A510,100),INT(A510/100)),DATE(YR,MOD(A510,100),INT(A510/100))),A510)),IFERROR(DATEVALUE(A510),"")))</f>
        <v/>
      </c>
      <c r="I510">
        <f>IF(H510="","",INT((H510-SAT1)/7)+1)</f>
        <v/>
      </c>
      <c r="J510">
        <f>IF(I510="","",IF(OR(I510&lt;1,I510&gt;NW),"",INDEX(WMON,I510)))</f>
        <v/>
      </c>
    </row>
    <row r="511">
      <c r="A511" s="48" t="n"/>
      <c r="B511" s="22" t="n"/>
      <c r="C511" s="50" t="n"/>
      <c r="D511" s="49" t="n"/>
      <c r="E511" s="50" t="n"/>
      <c r="G511">
        <f>IF(AND(B511&lt;&gt;"",COUNTIF(B$6:B511,B511)=1),MAX(G$5:G510)+1,"")</f>
        <v/>
      </c>
      <c r="H511">
        <f>IF(A511="","",IF(ISNUMBER(A511),IF(A511&lt;=31,"",IF(A511&lt;=3112,IF(DATE(YR,MOD(A511,100),INT(A511/100))&gt;SAT1+7*NW-1,DATE(YR-1,MOD(A511,100),INT(A511/100)),DATE(YR,MOD(A511,100),INT(A511/100))),A511)),IFERROR(DATEVALUE(A511),"")))</f>
        <v/>
      </c>
      <c r="I511">
        <f>IF(H511="","",INT((H511-SAT1)/7)+1)</f>
        <v/>
      </c>
      <c r="J511">
        <f>IF(I511="","",IF(OR(I511&lt;1,I511&gt;NW),"",INDEX(WMON,I511)))</f>
        <v/>
      </c>
    </row>
    <row r="512">
      <c r="A512" s="48" t="n"/>
      <c r="B512" s="22" t="n"/>
      <c r="C512" s="50" t="n"/>
      <c r="D512" s="49" t="n"/>
      <c r="E512" s="50" t="n"/>
      <c r="G512">
        <f>IF(AND(B512&lt;&gt;"",COUNTIF(B$6:B512,B512)=1),MAX(G$5:G511)+1,"")</f>
        <v/>
      </c>
      <c r="H512">
        <f>IF(A512="","",IF(ISNUMBER(A512),IF(A512&lt;=31,"",IF(A512&lt;=3112,IF(DATE(YR,MOD(A512,100),INT(A512/100))&gt;SAT1+7*NW-1,DATE(YR-1,MOD(A512,100),INT(A512/100)),DATE(YR,MOD(A512,100),INT(A512/100))),A512)),IFERROR(DATEVALUE(A512),"")))</f>
        <v/>
      </c>
      <c r="I512">
        <f>IF(H512="","",INT((H512-SAT1)/7)+1)</f>
        <v/>
      </c>
      <c r="J512">
        <f>IF(I512="","",IF(OR(I512&lt;1,I512&gt;NW),"",INDEX(WMON,I512)))</f>
        <v/>
      </c>
    </row>
    <row r="513">
      <c r="A513" s="48" t="n"/>
      <c r="B513" s="22" t="n"/>
      <c r="C513" s="50" t="n"/>
      <c r="D513" s="49" t="n"/>
      <c r="E513" s="50" t="n"/>
      <c r="G513">
        <f>IF(AND(B513&lt;&gt;"",COUNTIF(B$6:B513,B513)=1),MAX(G$5:G512)+1,"")</f>
        <v/>
      </c>
      <c r="H513">
        <f>IF(A513="","",IF(ISNUMBER(A513),IF(A513&lt;=31,"",IF(A513&lt;=3112,IF(DATE(YR,MOD(A513,100),INT(A513/100))&gt;SAT1+7*NW-1,DATE(YR-1,MOD(A513,100),INT(A513/100)),DATE(YR,MOD(A513,100),INT(A513/100))),A513)),IFERROR(DATEVALUE(A513),"")))</f>
        <v/>
      </c>
      <c r="I513">
        <f>IF(H513="","",INT((H513-SAT1)/7)+1)</f>
        <v/>
      </c>
      <c r="J513">
        <f>IF(I513="","",IF(OR(I513&lt;1,I513&gt;NW),"",INDEX(WMON,I513)))</f>
        <v/>
      </c>
    </row>
    <row r="514">
      <c r="A514" s="48" t="n"/>
      <c r="B514" s="22" t="n"/>
      <c r="C514" s="50" t="n"/>
      <c r="D514" s="49" t="n"/>
      <c r="E514" s="50" t="n"/>
      <c r="G514">
        <f>IF(AND(B514&lt;&gt;"",COUNTIF(B$6:B514,B514)=1),MAX(G$5:G513)+1,"")</f>
        <v/>
      </c>
      <c r="H514">
        <f>IF(A514="","",IF(ISNUMBER(A514),IF(A514&lt;=31,"",IF(A514&lt;=3112,IF(DATE(YR,MOD(A514,100),INT(A514/100))&gt;SAT1+7*NW-1,DATE(YR-1,MOD(A514,100),INT(A514/100)),DATE(YR,MOD(A514,100),INT(A514/100))),A514)),IFERROR(DATEVALUE(A514),"")))</f>
        <v/>
      </c>
      <c r="I514">
        <f>IF(H514="","",INT((H514-SAT1)/7)+1)</f>
        <v/>
      </c>
      <c r="J514">
        <f>IF(I514="","",IF(OR(I514&lt;1,I514&gt;NW),"",INDEX(WMON,I514)))</f>
        <v/>
      </c>
    </row>
    <row r="515">
      <c r="A515" s="48" t="n"/>
      <c r="B515" s="22" t="n"/>
      <c r="C515" s="50" t="n"/>
      <c r="D515" s="49" t="n"/>
      <c r="E515" s="50" t="n"/>
      <c r="G515">
        <f>IF(AND(B515&lt;&gt;"",COUNTIF(B$6:B515,B515)=1),MAX(G$5:G514)+1,"")</f>
        <v/>
      </c>
      <c r="H515">
        <f>IF(A515="","",IF(ISNUMBER(A515),IF(A515&lt;=31,"",IF(A515&lt;=3112,IF(DATE(YR,MOD(A515,100),INT(A515/100))&gt;SAT1+7*NW-1,DATE(YR-1,MOD(A515,100),INT(A515/100)),DATE(YR,MOD(A515,100),INT(A515/100))),A515)),IFERROR(DATEVALUE(A515),"")))</f>
        <v/>
      </c>
      <c r="I515">
        <f>IF(H515="","",INT((H515-SAT1)/7)+1)</f>
        <v/>
      </c>
      <c r="J515">
        <f>IF(I515="","",IF(OR(I515&lt;1,I515&gt;NW),"",INDEX(WMON,I515)))</f>
        <v/>
      </c>
    </row>
    <row r="516">
      <c r="A516" s="48" t="n"/>
      <c r="B516" s="22" t="n"/>
      <c r="C516" s="50" t="n"/>
      <c r="D516" s="49" t="n"/>
      <c r="E516" s="50" t="n"/>
      <c r="G516">
        <f>IF(AND(B516&lt;&gt;"",COUNTIF(B$6:B516,B516)=1),MAX(G$5:G515)+1,"")</f>
        <v/>
      </c>
      <c r="H516">
        <f>IF(A516="","",IF(ISNUMBER(A516),IF(A516&lt;=31,"",IF(A516&lt;=3112,IF(DATE(YR,MOD(A516,100),INT(A516/100))&gt;SAT1+7*NW-1,DATE(YR-1,MOD(A516,100),INT(A516/100)),DATE(YR,MOD(A516,100),INT(A516/100))),A516)),IFERROR(DATEVALUE(A516),"")))</f>
        <v/>
      </c>
      <c r="I516">
        <f>IF(H516="","",INT((H516-SAT1)/7)+1)</f>
        <v/>
      </c>
      <c r="J516">
        <f>IF(I516="","",IF(OR(I516&lt;1,I516&gt;NW),"",INDEX(WMON,I516)))</f>
        <v/>
      </c>
    </row>
    <row r="517">
      <c r="A517" s="48" t="n"/>
      <c r="B517" s="22" t="n"/>
      <c r="C517" s="50" t="n"/>
      <c r="D517" s="49" t="n"/>
      <c r="E517" s="50" t="n"/>
      <c r="G517">
        <f>IF(AND(B517&lt;&gt;"",COUNTIF(B$6:B517,B517)=1),MAX(G$5:G516)+1,"")</f>
        <v/>
      </c>
      <c r="H517">
        <f>IF(A517="","",IF(ISNUMBER(A517),IF(A517&lt;=31,"",IF(A517&lt;=3112,IF(DATE(YR,MOD(A517,100),INT(A517/100))&gt;SAT1+7*NW-1,DATE(YR-1,MOD(A517,100),INT(A517/100)),DATE(YR,MOD(A517,100),INT(A517/100))),A517)),IFERROR(DATEVALUE(A517),"")))</f>
        <v/>
      </c>
      <c r="I517">
        <f>IF(H517="","",INT((H517-SAT1)/7)+1)</f>
        <v/>
      </c>
      <c r="J517">
        <f>IF(I517="","",IF(OR(I517&lt;1,I517&gt;NW),"",INDEX(WMON,I517)))</f>
        <v/>
      </c>
    </row>
    <row r="518">
      <c r="A518" s="48" t="n"/>
      <c r="B518" s="22" t="n"/>
      <c r="C518" s="50" t="n"/>
      <c r="D518" s="49" t="n"/>
      <c r="E518" s="50" t="n"/>
      <c r="G518">
        <f>IF(AND(B518&lt;&gt;"",COUNTIF(B$6:B518,B518)=1),MAX(G$5:G517)+1,"")</f>
        <v/>
      </c>
      <c r="H518">
        <f>IF(A518="","",IF(ISNUMBER(A518),IF(A518&lt;=31,"",IF(A518&lt;=3112,IF(DATE(YR,MOD(A518,100),INT(A518/100))&gt;SAT1+7*NW-1,DATE(YR-1,MOD(A518,100),INT(A518/100)),DATE(YR,MOD(A518,100),INT(A518/100))),A518)),IFERROR(DATEVALUE(A518),"")))</f>
        <v/>
      </c>
      <c r="I518">
        <f>IF(H518="","",INT((H518-SAT1)/7)+1)</f>
        <v/>
      </c>
      <c r="J518">
        <f>IF(I518="","",IF(OR(I518&lt;1,I518&gt;NW),"",INDEX(WMON,I518)))</f>
        <v/>
      </c>
    </row>
    <row r="519">
      <c r="A519" s="48" t="n"/>
      <c r="B519" s="22" t="n"/>
      <c r="C519" s="50" t="n"/>
      <c r="D519" s="49" t="n"/>
      <c r="E519" s="50" t="n"/>
      <c r="G519">
        <f>IF(AND(B519&lt;&gt;"",COUNTIF(B$6:B519,B519)=1),MAX(G$5:G518)+1,"")</f>
        <v/>
      </c>
      <c r="H519">
        <f>IF(A519="","",IF(ISNUMBER(A519),IF(A519&lt;=31,"",IF(A519&lt;=3112,IF(DATE(YR,MOD(A519,100),INT(A519/100))&gt;SAT1+7*NW-1,DATE(YR-1,MOD(A519,100),INT(A519/100)),DATE(YR,MOD(A519,100),INT(A519/100))),A519)),IFERROR(DATEVALUE(A519),"")))</f>
        <v/>
      </c>
      <c r="I519">
        <f>IF(H519="","",INT((H519-SAT1)/7)+1)</f>
        <v/>
      </c>
      <c r="J519">
        <f>IF(I519="","",IF(OR(I519&lt;1,I519&gt;NW),"",INDEX(WMON,I519)))</f>
        <v/>
      </c>
    </row>
    <row r="520">
      <c r="A520" s="48" t="n"/>
      <c r="B520" s="22" t="n"/>
      <c r="C520" s="50" t="n"/>
      <c r="D520" s="49" t="n"/>
      <c r="E520" s="50" t="n"/>
      <c r="G520">
        <f>IF(AND(B520&lt;&gt;"",COUNTIF(B$6:B520,B520)=1),MAX(G$5:G519)+1,"")</f>
        <v/>
      </c>
      <c r="H520">
        <f>IF(A520="","",IF(ISNUMBER(A520),IF(A520&lt;=31,"",IF(A520&lt;=3112,IF(DATE(YR,MOD(A520,100),INT(A520/100))&gt;SAT1+7*NW-1,DATE(YR-1,MOD(A520,100),INT(A520/100)),DATE(YR,MOD(A520,100),INT(A520/100))),A520)),IFERROR(DATEVALUE(A520),"")))</f>
        <v/>
      </c>
      <c r="I520">
        <f>IF(H520="","",INT((H520-SAT1)/7)+1)</f>
        <v/>
      </c>
      <c r="J520">
        <f>IF(I520="","",IF(OR(I520&lt;1,I520&gt;NW),"",INDEX(WMON,I520)))</f>
        <v/>
      </c>
    </row>
    <row r="521">
      <c r="A521" s="48" t="n"/>
      <c r="B521" s="22" t="n"/>
      <c r="C521" s="50" t="n"/>
      <c r="D521" s="49" t="n"/>
      <c r="E521" s="50" t="n"/>
      <c r="G521">
        <f>IF(AND(B521&lt;&gt;"",COUNTIF(B$6:B521,B521)=1),MAX(G$5:G520)+1,"")</f>
        <v/>
      </c>
      <c r="H521">
        <f>IF(A521="","",IF(ISNUMBER(A521),IF(A521&lt;=31,"",IF(A521&lt;=3112,IF(DATE(YR,MOD(A521,100),INT(A521/100))&gt;SAT1+7*NW-1,DATE(YR-1,MOD(A521,100),INT(A521/100)),DATE(YR,MOD(A521,100),INT(A521/100))),A521)),IFERROR(DATEVALUE(A521),"")))</f>
        <v/>
      </c>
      <c r="I521">
        <f>IF(H521="","",INT((H521-SAT1)/7)+1)</f>
        <v/>
      </c>
      <c r="J521">
        <f>IF(I521="","",IF(OR(I521&lt;1,I521&gt;NW),"",INDEX(WMON,I521)))</f>
        <v/>
      </c>
    </row>
    <row r="522">
      <c r="A522" s="48" t="n"/>
      <c r="B522" s="22" t="n"/>
      <c r="C522" s="50" t="n"/>
      <c r="D522" s="49" t="n"/>
      <c r="E522" s="50" t="n"/>
      <c r="G522">
        <f>IF(AND(B522&lt;&gt;"",COUNTIF(B$6:B522,B522)=1),MAX(G$5:G521)+1,"")</f>
        <v/>
      </c>
      <c r="H522">
        <f>IF(A522="","",IF(ISNUMBER(A522),IF(A522&lt;=31,"",IF(A522&lt;=3112,IF(DATE(YR,MOD(A522,100),INT(A522/100))&gt;SAT1+7*NW-1,DATE(YR-1,MOD(A522,100),INT(A522/100)),DATE(YR,MOD(A522,100),INT(A522/100))),A522)),IFERROR(DATEVALUE(A522),"")))</f>
        <v/>
      </c>
      <c r="I522">
        <f>IF(H522="","",INT((H522-SAT1)/7)+1)</f>
        <v/>
      </c>
      <c r="J522">
        <f>IF(I522="","",IF(OR(I522&lt;1,I522&gt;NW),"",INDEX(WMON,I522)))</f>
        <v/>
      </c>
    </row>
    <row r="523">
      <c r="A523" s="48" t="n"/>
      <c r="B523" s="22" t="n"/>
      <c r="C523" s="50" t="n"/>
      <c r="D523" s="49" t="n"/>
      <c r="E523" s="50" t="n"/>
      <c r="G523">
        <f>IF(AND(B523&lt;&gt;"",COUNTIF(B$6:B523,B523)=1),MAX(G$5:G522)+1,"")</f>
        <v/>
      </c>
      <c r="H523">
        <f>IF(A523="","",IF(ISNUMBER(A523),IF(A523&lt;=31,"",IF(A523&lt;=3112,IF(DATE(YR,MOD(A523,100),INT(A523/100))&gt;SAT1+7*NW-1,DATE(YR-1,MOD(A523,100),INT(A523/100)),DATE(YR,MOD(A523,100),INT(A523/100))),A523)),IFERROR(DATEVALUE(A523),"")))</f>
        <v/>
      </c>
      <c r="I523">
        <f>IF(H523="","",INT((H523-SAT1)/7)+1)</f>
        <v/>
      </c>
      <c r="J523">
        <f>IF(I523="","",IF(OR(I523&lt;1,I523&gt;NW),"",INDEX(WMON,I523)))</f>
        <v/>
      </c>
    </row>
    <row r="524">
      <c r="A524" s="48" t="n"/>
      <c r="B524" s="22" t="n"/>
      <c r="C524" s="50" t="n"/>
      <c r="D524" s="49" t="n"/>
      <c r="E524" s="50" t="n"/>
      <c r="G524">
        <f>IF(AND(B524&lt;&gt;"",COUNTIF(B$6:B524,B524)=1),MAX(G$5:G523)+1,"")</f>
        <v/>
      </c>
      <c r="H524">
        <f>IF(A524="","",IF(ISNUMBER(A524),IF(A524&lt;=31,"",IF(A524&lt;=3112,IF(DATE(YR,MOD(A524,100),INT(A524/100))&gt;SAT1+7*NW-1,DATE(YR-1,MOD(A524,100),INT(A524/100)),DATE(YR,MOD(A524,100),INT(A524/100))),A524)),IFERROR(DATEVALUE(A524),"")))</f>
        <v/>
      </c>
      <c r="I524">
        <f>IF(H524="","",INT((H524-SAT1)/7)+1)</f>
        <v/>
      </c>
      <c r="J524">
        <f>IF(I524="","",IF(OR(I524&lt;1,I524&gt;NW),"",INDEX(WMON,I524)))</f>
        <v/>
      </c>
    </row>
    <row r="525">
      <c r="A525" s="48" t="n"/>
      <c r="B525" s="22" t="n"/>
      <c r="C525" s="50" t="n"/>
      <c r="D525" s="49" t="n"/>
      <c r="E525" s="50" t="n"/>
      <c r="G525">
        <f>IF(AND(B525&lt;&gt;"",COUNTIF(B$6:B525,B525)=1),MAX(G$5:G524)+1,"")</f>
        <v/>
      </c>
      <c r="H525">
        <f>IF(A525="","",IF(ISNUMBER(A525),IF(A525&lt;=31,"",IF(A525&lt;=3112,IF(DATE(YR,MOD(A525,100),INT(A525/100))&gt;SAT1+7*NW-1,DATE(YR-1,MOD(A525,100),INT(A525/100)),DATE(YR,MOD(A525,100),INT(A525/100))),A525)),IFERROR(DATEVALUE(A525),"")))</f>
        <v/>
      </c>
      <c r="I525">
        <f>IF(H525="","",INT((H525-SAT1)/7)+1)</f>
        <v/>
      </c>
      <c r="J525">
        <f>IF(I525="","",IF(OR(I525&lt;1,I525&gt;NW),"",INDEX(WMON,I525)))</f>
        <v/>
      </c>
    </row>
    <row r="526">
      <c r="A526" s="48" t="n"/>
      <c r="B526" s="22" t="n"/>
      <c r="C526" s="50" t="n"/>
      <c r="D526" s="49" t="n"/>
      <c r="E526" s="50" t="n"/>
      <c r="G526">
        <f>IF(AND(B526&lt;&gt;"",COUNTIF(B$6:B526,B526)=1),MAX(G$5:G525)+1,"")</f>
        <v/>
      </c>
      <c r="H526">
        <f>IF(A526="","",IF(ISNUMBER(A526),IF(A526&lt;=31,"",IF(A526&lt;=3112,IF(DATE(YR,MOD(A526,100),INT(A526/100))&gt;SAT1+7*NW-1,DATE(YR-1,MOD(A526,100),INT(A526/100)),DATE(YR,MOD(A526,100),INT(A526/100))),A526)),IFERROR(DATEVALUE(A526),"")))</f>
        <v/>
      </c>
      <c r="I526">
        <f>IF(H526="","",INT((H526-SAT1)/7)+1)</f>
        <v/>
      </c>
      <c r="J526">
        <f>IF(I526="","",IF(OR(I526&lt;1,I526&gt;NW),"",INDEX(WMON,I526)))</f>
        <v/>
      </c>
    </row>
    <row r="527">
      <c r="A527" s="48" t="n"/>
      <c r="B527" s="22" t="n"/>
      <c r="C527" s="50" t="n"/>
      <c r="D527" s="49" t="n"/>
      <c r="E527" s="50" t="n"/>
      <c r="G527">
        <f>IF(AND(B527&lt;&gt;"",COUNTIF(B$6:B527,B527)=1),MAX(G$5:G526)+1,"")</f>
        <v/>
      </c>
      <c r="H527">
        <f>IF(A527="","",IF(ISNUMBER(A527),IF(A527&lt;=31,"",IF(A527&lt;=3112,IF(DATE(YR,MOD(A527,100),INT(A527/100))&gt;SAT1+7*NW-1,DATE(YR-1,MOD(A527,100),INT(A527/100)),DATE(YR,MOD(A527,100),INT(A527/100))),A527)),IFERROR(DATEVALUE(A527),"")))</f>
        <v/>
      </c>
      <c r="I527">
        <f>IF(H527="","",INT((H527-SAT1)/7)+1)</f>
        <v/>
      </c>
      <c r="J527">
        <f>IF(I527="","",IF(OR(I527&lt;1,I527&gt;NW),"",INDEX(WMON,I527)))</f>
        <v/>
      </c>
    </row>
    <row r="528">
      <c r="A528" s="48" t="n"/>
      <c r="B528" s="22" t="n"/>
      <c r="C528" s="50" t="n"/>
      <c r="D528" s="49" t="n"/>
      <c r="E528" s="50" t="n"/>
      <c r="G528">
        <f>IF(AND(B528&lt;&gt;"",COUNTIF(B$6:B528,B528)=1),MAX(G$5:G527)+1,"")</f>
        <v/>
      </c>
      <c r="H528">
        <f>IF(A528="","",IF(ISNUMBER(A528),IF(A528&lt;=31,"",IF(A528&lt;=3112,IF(DATE(YR,MOD(A528,100),INT(A528/100))&gt;SAT1+7*NW-1,DATE(YR-1,MOD(A528,100),INT(A528/100)),DATE(YR,MOD(A528,100),INT(A528/100))),A528)),IFERROR(DATEVALUE(A528),"")))</f>
        <v/>
      </c>
      <c r="I528">
        <f>IF(H528="","",INT((H528-SAT1)/7)+1)</f>
        <v/>
      </c>
      <c r="J528">
        <f>IF(I528="","",IF(OR(I528&lt;1,I528&gt;NW),"",INDEX(WMON,I528)))</f>
        <v/>
      </c>
    </row>
    <row r="529">
      <c r="A529" s="48" t="n"/>
      <c r="B529" s="22" t="n"/>
      <c r="C529" s="50" t="n"/>
      <c r="D529" s="49" t="n"/>
      <c r="E529" s="50" t="n"/>
      <c r="G529">
        <f>IF(AND(B529&lt;&gt;"",COUNTIF(B$6:B529,B529)=1),MAX(G$5:G528)+1,"")</f>
        <v/>
      </c>
      <c r="H529">
        <f>IF(A529="","",IF(ISNUMBER(A529),IF(A529&lt;=31,"",IF(A529&lt;=3112,IF(DATE(YR,MOD(A529,100),INT(A529/100))&gt;SAT1+7*NW-1,DATE(YR-1,MOD(A529,100),INT(A529/100)),DATE(YR,MOD(A529,100),INT(A529/100))),A529)),IFERROR(DATEVALUE(A529),"")))</f>
        <v/>
      </c>
      <c r="I529">
        <f>IF(H529="","",INT((H529-SAT1)/7)+1)</f>
        <v/>
      </c>
      <c r="J529">
        <f>IF(I529="","",IF(OR(I529&lt;1,I529&gt;NW),"",INDEX(WMON,I529)))</f>
        <v/>
      </c>
    </row>
    <row r="530">
      <c r="A530" s="48" t="n"/>
      <c r="B530" s="22" t="n"/>
      <c r="C530" s="50" t="n"/>
      <c r="D530" s="49" t="n"/>
      <c r="E530" s="50" t="n"/>
      <c r="G530">
        <f>IF(AND(B530&lt;&gt;"",COUNTIF(B$6:B530,B530)=1),MAX(G$5:G529)+1,"")</f>
        <v/>
      </c>
      <c r="H530">
        <f>IF(A530="","",IF(ISNUMBER(A530),IF(A530&lt;=31,"",IF(A530&lt;=3112,IF(DATE(YR,MOD(A530,100),INT(A530/100))&gt;SAT1+7*NW-1,DATE(YR-1,MOD(A530,100),INT(A530/100)),DATE(YR,MOD(A530,100),INT(A530/100))),A530)),IFERROR(DATEVALUE(A530),"")))</f>
        <v/>
      </c>
      <c r="I530">
        <f>IF(H530="","",INT((H530-SAT1)/7)+1)</f>
        <v/>
      </c>
      <c r="J530">
        <f>IF(I530="","",IF(OR(I530&lt;1,I530&gt;NW),"",INDEX(WMON,I530)))</f>
        <v/>
      </c>
    </row>
    <row r="531">
      <c r="A531" s="48" t="n"/>
      <c r="B531" s="22" t="n"/>
      <c r="C531" s="50" t="n"/>
      <c r="D531" s="49" t="n"/>
      <c r="E531" s="50" t="n"/>
      <c r="G531">
        <f>IF(AND(B531&lt;&gt;"",COUNTIF(B$6:B531,B531)=1),MAX(G$5:G530)+1,"")</f>
        <v/>
      </c>
      <c r="H531">
        <f>IF(A531="","",IF(ISNUMBER(A531),IF(A531&lt;=31,"",IF(A531&lt;=3112,IF(DATE(YR,MOD(A531,100),INT(A531/100))&gt;SAT1+7*NW-1,DATE(YR-1,MOD(A531,100),INT(A531/100)),DATE(YR,MOD(A531,100),INT(A531/100))),A531)),IFERROR(DATEVALUE(A531),"")))</f>
        <v/>
      </c>
      <c r="I531">
        <f>IF(H531="","",INT((H531-SAT1)/7)+1)</f>
        <v/>
      </c>
      <c r="J531">
        <f>IF(I531="","",IF(OR(I531&lt;1,I531&gt;NW),"",INDEX(WMON,I531)))</f>
        <v/>
      </c>
    </row>
    <row r="532">
      <c r="A532" s="48" t="n"/>
      <c r="B532" s="22" t="n"/>
      <c r="C532" s="50" t="n"/>
      <c r="D532" s="49" t="n"/>
      <c r="E532" s="50" t="n"/>
      <c r="G532">
        <f>IF(AND(B532&lt;&gt;"",COUNTIF(B$6:B532,B532)=1),MAX(G$5:G531)+1,"")</f>
        <v/>
      </c>
      <c r="H532">
        <f>IF(A532="","",IF(ISNUMBER(A532),IF(A532&lt;=31,"",IF(A532&lt;=3112,IF(DATE(YR,MOD(A532,100),INT(A532/100))&gt;SAT1+7*NW-1,DATE(YR-1,MOD(A532,100),INT(A532/100)),DATE(YR,MOD(A532,100),INT(A532/100))),A532)),IFERROR(DATEVALUE(A532),"")))</f>
        <v/>
      </c>
      <c r="I532">
        <f>IF(H532="","",INT((H532-SAT1)/7)+1)</f>
        <v/>
      </c>
      <c r="J532">
        <f>IF(I532="","",IF(OR(I532&lt;1,I532&gt;NW),"",INDEX(WMON,I532)))</f>
        <v/>
      </c>
    </row>
    <row r="533">
      <c r="A533" s="48" t="n"/>
      <c r="B533" s="22" t="n"/>
      <c r="C533" s="50" t="n"/>
      <c r="D533" s="49" t="n"/>
      <c r="E533" s="50" t="n"/>
      <c r="G533">
        <f>IF(AND(B533&lt;&gt;"",COUNTIF(B$6:B533,B533)=1),MAX(G$5:G532)+1,"")</f>
        <v/>
      </c>
      <c r="H533">
        <f>IF(A533="","",IF(ISNUMBER(A533),IF(A533&lt;=31,"",IF(A533&lt;=3112,IF(DATE(YR,MOD(A533,100),INT(A533/100))&gt;SAT1+7*NW-1,DATE(YR-1,MOD(A533,100),INT(A533/100)),DATE(YR,MOD(A533,100),INT(A533/100))),A533)),IFERROR(DATEVALUE(A533),"")))</f>
        <v/>
      </c>
      <c r="I533">
        <f>IF(H533="","",INT((H533-SAT1)/7)+1)</f>
        <v/>
      </c>
      <c r="J533">
        <f>IF(I533="","",IF(OR(I533&lt;1,I533&gt;NW),"",INDEX(WMON,I533)))</f>
        <v/>
      </c>
    </row>
    <row r="534">
      <c r="A534" s="48" t="n"/>
      <c r="B534" s="22" t="n"/>
      <c r="C534" s="50" t="n"/>
      <c r="D534" s="49" t="n"/>
      <c r="E534" s="50" t="n"/>
      <c r="G534">
        <f>IF(AND(B534&lt;&gt;"",COUNTIF(B$6:B534,B534)=1),MAX(G$5:G533)+1,"")</f>
        <v/>
      </c>
      <c r="H534">
        <f>IF(A534="","",IF(ISNUMBER(A534),IF(A534&lt;=31,"",IF(A534&lt;=3112,IF(DATE(YR,MOD(A534,100),INT(A534/100))&gt;SAT1+7*NW-1,DATE(YR-1,MOD(A534,100),INT(A534/100)),DATE(YR,MOD(A534,100),INT(A534/100))),A534)),IFERROR(DATEVALUE(A534),"")))</f>
        <v/>
      </c>
      <c r="I534">
        <f>IF(H534="","",INT((H534-SAT1)/7)+1)</f>
        <v/>
      </c>
      <c r="J534">
        <f>IF(I534="","",IF(OR(I534&lt;1,I534&gt;NW),"",INDEX(WMON,I534)))</f>
        <v/>
      </c>
    </row>
    <row r="535">
      <c r="A535" s="48" t="n"/>
      <c r="B535" s="22" t="n"/>
      <c r="C535" s="50" t="n"/>
      <c r="D535" s="49" t="n"/>
      <c r="E535" s="50" t="n"/>
      <c r="G535">
        <f>IF(AND(B535&lt;&gt;"",COUNTIF(B$6:B535,B535)=1),MAX(G$5:G534)+1,"")</f>
        <v/>
      </c>
      <c r="H535">
        <f>IF(A535="","",IF(ISNUMBER(A535),IF(A535&lt;=31,"",IF(A535&lt;=3112,IF(DATE(YR,MOD(A535,100),INT(A535/100))&gt;SAT1+7*NW-1,DATE(YR-1,MOD(A535,100),INT(A535/100)),DATE(YR,MOD(A535,100),INT(A535/100))),A535)),IFERROR(DATEVALUE(A535),"")))</f>
        <v/>
      </c>
      <c r="I535">
        <f>IF(H535="","",INT((H535-SAT1)/7)+1)</f>
        <v/>
      </c>
      <c r="J535">
        <f>IF(I535="","",IF(OR(I535&lt;1,I535&gt;NW),"",INDEX(WMON,I535)))</f>
        <v/>
      </c>
    </row>
    <row r="536">
      <c r="A536" s="48" t="n"/>
      <c r="B536" s="22" t="n"/>
      <c r="C536" s="50" t="n"/>
      <c r="D536" s="49" t="n"/>
      <c r="E536" s="50" t="n"/>
      <c r="G536">
        <f>IF(AND(B536&lt;&gt;"",COUNTIF(B$6:B536,B536)=1),MAX(G$5:G535)+1,"")</f>
        <v/>
      </c>
      <c r="H536">
        <f>IF(A536="","",IF(ISNUMBER(A536),IF(A536&lt;=31,"",IF(A536&lt;=3112,IF(DATE(YR,MOD(A536,100),INT(A536/100))&gt;SAT1+7*NW-1,DATE(YR-1,MOD(A536,100),INT(A536/100)),DATE(YR,MOD(A536,100),INT(A536/100))),A536)),IFERROR(DATEVALUE(A536),"")))</f>
        <v/>
      </c>
      <c r="I536">
        <f>IF(H536="","",INT((H536-SAT1)/7)+1)</f>
        <v/>
      </c>
      <c r="J536">
        <f>IF(I536="","",IF(OR(I536&lt;1,I536&gt;NW),"",INDEX(WMON,I536)))</f>
        <v/>
      </c>
    </row>
    <row r="537">
      <c r="A537" s="48" t="n"/>
      <c r="B537" s="22" t="n"/>
      <c r="C537" s="50" t="n"/>
      <c r="D537" s="49" t="n"/>
      <c r="E537" s="50" t="n"/>
      <c r="G537">
        <f>IF(AND(B537&lt;&gt;"",COUNTIF(B$6:B537,B537)=1),MAX(G$5:G536)+1,"")</f>
        <v/>
      </c>
      <c r="H537">
        <f>IF(A537="","",IF(ISNUMBER(A537),IF(A537&lt;=31,"",IF(A537&lt;=3112,IF(DATE(YR,MOD(A537,100),INT(A537/100))&gt;SAT1+7*NW-1,DATE(YR-1,MOD(A537,100),INT(A537/100)),DATE(YR,MOD(A537,100),INT(A537/100))),A537)),IFERROR(DATEVALUE(A537),"")))</f>
        <v/>
      </c>
      <c r="I537">
        <f>IF(H537="","",INT((H537-SAT1)/7)+1)</f>
        <v/>
      </c>
      <c r="J537">
        <f>IF(I537="","",IF(OR(I537&lt;1,I537&gt;NW),"",INDEX(WMON,I537)))</f>
        <v/>
      </c>
    </row>
    <row r="538">
      <c r="A538" s="48" t="n"/>
      <c r="B538" s="22" t="n"/>
      <c r="C538" s="50" t="n"/>
      <c r="D538" s="49" t="n"/>
      <c r="E538" s="50" t="n"/>
      <c r="G538">
        <f>IF(AND(B538&lt;&gt;"",COUNTIF(B$6:B538,B538)=1),MAX(G$5:G537)+1,"")</f>
        <v/>
      </c>
      <c r="H538">
        <f>IF(A538="","",IF(ISNUMBER(A538),IF(A538&lt;=31,"",IF(A538&lt;=3112,IF(DATE(YR,MOD(A538,100),INT(A538/100))&gt;SAT1+7*NW-1,DATE(YR-1,MOD(A538,100),INT(A538/100)),DATE(YR,MOD(A538,100),INT(A538/100))),A538)),IFERROR(DATEVALUE(A538),"")))</f>
        <v/>
      </c>
      <c r="I538">
        <f>IF(H538="","",INT((H538-SAT1)/7)+1)</f>
        <v/>
      </c>
      <c r="J538">
        <f>IF(I538="","",IF(OR(I538&lt;1,I538&gt;NW),"",INDEX(WMON,I538)))</f>
        <v/>
      </c>
    </row>
    <row r="539">
      <c r="A539" s="48" t="n"/>
      <c r="B539" s="22" t="n"/>
      <c r="C539" s="50" t="n"/>
      <c r="D539" s="49" t="n"/>
      <c r="E539" s="50" t="n"/>
      <c r="G539">
        <f>IF(AND(B539&lt;&gt;"",COUNTIF(B$6:B539,B539)=1),MAX(G$5:G538)+1,"")</f>
        <v/>
      </c>
      <c r="H539">
        <f>IF(A539="","",IF(ISNUMBER(A539),IF(A539&lt;=31,"",IF(A539&lt;=3112,IF(DATE(YR,MOD(A539,100),INT(A539/100))&gt;SAT1+7*NW-1,DATE(YR-1,MOD(A539,100),INT(A539/100)),DATE(YR,MOD(A539,100),INT(A539/100))),A539)),IFERROR(DATEVALUE(A539),"")))</f>
        <v/>
      </c>
      <c r="I539">
        <f>IF(H539="","",INT((H539-SAT1)/7)+1)</f>
        <v/>
      </c>
      <c r="J539">
        <f>IF(I539="","",IF(OR(I539&lt;1,I539&gt;NW),"",INDEX(WMON,I539)))</f>
        <v/>
      </c>
    </row>
    <row r="540">
      <c r="A540" s="48" t="n"/>
      <c r="B540" s="22" t="n"/>
      <c r="C540" s="50" t="n"/>
      <c r="D540" s="49" t="n"/>
      <c r="E540" s="50" t="n"/>
      <c r="G540">
        <f>IF(AND(B540&lt;&gt;"",COUNTIF(B$6:B540,B540)=1),MAX(G$5:G539)+1,"")</f>
        <v/>
      </c>
      <c r="H540">
        <f>IF(A540="","",IF(ISNUMBER(A540),IF(A540&lt;=31,"",IF(A540&lt;=3112,IF(DATE(YR,MOD(A540,100),INT(A540/100))&gt;SAT1+7*NW-1,DATE(YR-1,MOD(A540,100),INT(A540/100)),DATE(YR,MOD(A540,100),INT(A540/100))),A540)),IFERROR(DATEVALUE(A540),"")))</f>
        <v/>
      </c>
      <c r="I540">
        <f>IF(H540="","",INT((H540-SAT1)/7)+1)</f>
        <v/>
      </c>
      <c r="J540">
        <f>IF(I540="","",IF(OR(I540&lt;1,I540&gt;NW),"",INDEX(WMON,I540)))</f>
        <v/>
      </c>
    </row>
    <row r="541">
      <c r="A541" s="48" t="n"/>
      <c r="B541" s="22" t="n"/>
      <c r="C541" s="50" t="n"/>
      <c r="D541" s="49" t="n"/>
      <c r="E541" s="50" t="n"/>
      <c r="G541">
        <f>IF(AND(B541&lt;&gt;"",COUNTIF(B$6:B541,B541)=1),MAX(G$5:G540)+1,"")</f>
        <v/>
      </c>
      <c r="H541">
        <f>IF(A541="","",IF(ISNUMBER(A541),IF(A541&lt;=31,"",IF(A541&lt;=3112,IF(DATE(YR,MOD(A541,100),INT(A541/100))&gt;SAT1+7*NW-1,DATE(YR-1,MOD(A541,100),INT(A541/100)),DATE(YR,MOD(A541,100),INT(A541/100))),A541)),IFERROR(DATEVALUE(A541),"")))</f>
        <v/>
      </c>
      <c r="I541">
        <f>IF(H541="","",INT((H541-SAT1)/7)+1)</f>
        <v/>
      </c>
      <c r="J541">
        <f>IF(I541="","",IF(OR(I541&lt;1,I541&gt;NW),"",INDEX(WMON,I541)))</f>
        <v/>
      </c>
    </row>
    <row r="542">
      <c r="A542" s="48" t="n"/>
      <c r="B542" s="22" t="n"/>
      <c r="C542" s="50" t="n"/>
      <c r="D542" s="49" t="n"/>
      <c r="E542" s="50" t="n"/>
      <c r="G542">
        <f>IF(AND(B542&lt;&gt;"",COUNTIF(B$6:B542,B542)=1),MAX(G$5:G541)+1,"")</f>
        <v/>
      </c>
      <c r="H542">
        <f>IF(A542="","",IF(ISNUMBER(A542),IF(A542&lt;=31,"",IF(A542&lt;=3112,IF(DATE(YR,MOD(A542,100),INT(A542/100))&gt;SAT1+7*NW-1,DATE(YR-1,MOD(A542,100),INT(A542/100)),DATE(YR,MOD(A542,100),INT(A542/100))),A542)),IFERROR(DATEVALUE(A542),"")))</f>
        <v/>
      </c>
      <c r="I542">
        <f>IF(H542="","",INT((H542-SAT1)/7)+1)</f>
        <v/>
      </c>
      <c r="J542">
        <f>IF(I542="","",IF(OR(I542&lt;1,I542&gt;NW),"",INDEX(WMON,I542)))</f>
        <v/>
      </c>
    </row>
    <row r="543">
      <c r="A543" s="48" t="n"/>
      <c r="B543" s="22" t="n"/>
      <c r="C543" s="50" t="n"/>
      <c r="D543" s="49" t="n"/>
      <c r="E543" s="50" t="n"/>
      <c r="G543">
        <f>IF(AND(B543&lt;&gt;"",COUNTIF(B$6:B543,B543)=1),MAX(G$5:G542)+1,"")</f>
        <v/>
      </c>
      <c r="H543">
        <f>IF(A543="","",IF(ISNUMBER(A543),IF(A543&lt;=31,"",IF(A543&lt;=3112,IF(DATE(YR,MOD(A543,100),INT(A543/100))&gt;SAT1+7*NW-1,DATE(YR-1,MOD(A543,100),INT(A543/100)),DATE(YR,MOD(A543,100),INT(A543/100))),A543)),IFERROR(DATEVALUE(A543),"")))</f>
        <v/>
      </c>
      <c r="I543">
        <f>IF(H543="","",INT((H543-SAT1)/7)+1)</f>
        <v/>
      </c>
      <c r="J543">
        <f>IF(I543="","",IF(OR(I543&lt;1,I543&gt;NW),"",INDEX(WMON,I543)))</f>
        <v/>
      </c>
    </row>
    <row r="544">
      <c r="A544" s="48" t="n"/>
      <c r="B544" s="22" t="n"/>
      <c r="C544" s="50" t="n"/>
      <c r="D544" s="49" t="n"/>
      <c r="E544" s="50" t="n"/>
      <c r="G544">
        <f>IF(AND(B544&lt;&gt;"",COUNTIF(B$6:B544,B544)=1),MAX(G$5:G543)+1,"")</f>
        <v/>
      </c>
      <c r="H544">
        <f>IF(A544="","",IF(ISNUMBER(A544),IF(A544&lt;=31,"",IF(A544&lt;=3112,IF(DATE(YR,MOD(A544,100),INT(A544/100))&gt;SAT1+7*NW-1,DATE(YR-1,MOD(A544,100),INT(A544/100)),DATE(YR,MOD(A544,100),INT(A544/100))),A544)),IFERROR(DATEVALUE(A544),"")))</f>
        <v/>
      </c>
      <c r="I544">
        <f>IF(H544="","",INT((H544-SAT1)/7)+1)</f>
        <v/>
      </c>
      <c r="J544">
        <f>IF(I544="","",IF(OR(I544&lt;1,I544&gt;NW),"",INDEX(WMON,I544)))</f>
        <v/>
      </c>
    </row>
    <row r="545">
      <c r="A545" s="48" t="n"/>
      <c r="B545" s="22" t="n"/>
      <c r="C545" s="50" t="n"/>
      <c r="D545" s="49" t="n"/>
      <c r="E545" s="50" t="n"/>
      <c r="G545">
        <f>IF(AND(B545&lt;&gt;"",COUNTIF(B$6:B545,B545)=1),MAX(G$5:G544)+1,"")</f>
        <v/>
      </c>
      <c r="H545">
        <f>IF(A545="","",IF(ISNUMBER(A545),IF(A545&lt;=31,"",IF(A545&lt;=3112,IF(DATE(YR,MOD(A545,100),INT(A545/100))&gt;SAT1+7*NW-1,DATE(YR-1,MOD(A545,100),INT(A545/100)),DATE(YR,MOD(A545,100),INT(A545/100))),A545)),IFERROR(DATEVALUE(A545),"")))</f>
        <v/>
      </c>
      <c r="I545">
        <f>IF(H545="","",INT((H545-SAT1)/7)+1)</f>
        <v/>
      </c>
      <c r="J545">
        <f>IF(I545="","",IF(OR(I545&lt;1,I545&gt;NW),"",INDEX(WMON,I545)))</f>
        <v/>
      </c>
    </row>
    <row r="546">
      <c r="A546" s="48" t="n"/>
      <c r="B546" s="22" t="n"/>
      <c r="C546" s="50" t="n"/>
      <c r="D546" s="49" t="n"/>
      <c r="E546" s="50" t="n"/>
      <c r="G546">
        <f>IF(AND(B546&lt;&gt;"",COUNTIF(B$6:B546,B546)=1),MAX(G$5:G545)+1,"")</f>
        <v/>
      </c>
      <c r="H546">
        <f>IF(A546="","",IF(ISNUMBER(A546),IF(A546&lt;=31,"",IF(A546&lt;=3112,IF(DATE(YR,MOD(A546,100),INT(A546/100))&gt;SAT1+7*NW-1,DATE(YR-1,MOD(A546,100),INT(A546/100)),DATE(YR,MOD(A546,100),INT(A546/100))),A546)),IFERROR(DATEVALUE(A546),"")))</f>
        <v/>
      </c>
      <c r="I546">
        <f>IF(H546="","",INT((H546-SAT1)/7)+1)</f>
        <v/>
      </c>
      <c r="J546">
        <f>IF(I546="","",IF(OR(I546&lt;1,I546&gt;NW),"",INDEX(WMON,I546)))</f>
        <v/>
      </c>
    </row>
    <row r="547">
      <c r="A547" s="48" t="n"/>
      <c r="B547" s="22" t="n"/>
      <c r="C547" s="50" t="n"/>
      <c r="D547" s="49" t="n"/>
      <c r="E547" s="50" t="n"/>
      <c r="G547">
        <f>IF(AND(B547&lt;&gt;"",COUNTIF(B$6:B547,B547)=1),MAX(G$5:G546)+1,"")</f>
        <v/>
      </c>
      <c r="H547">
        <f>IF(A547="","",IF(ISNUMBER(A547),IF(A547&lt;=31,"",IF(A547&lt;=3112,IF(DATE(YR,MOD(A547,100),INT(A547/100))&gt;SAT1+7*NW-1,DATE(YR-1,MOD(A547,100),INT(A547/100)),DATE(YR,MOD(A547,100),INT(A547/100))),A547)),IFERROR(DATEVALUE(A547),"")))</f>
        <v/>
      </c>
      <c r="I547">
        <f>IF(H547="","",INT((H547-SAT1)/7)+1)</f>
        <v/>
      </c>
      <c r="J547">
        <f>IF(I547="","",IF(OR(I547&lt;1,I547&gt;NW),"",INDEX(WMON,I547)))</f>
        <v/>
      </c>
    </row>
    <row r="548">
      <c r="A548" s="48" t="n"/>
      <c r="B548" s="22" t="n"/>
      <c r="C548" s="50" t="n"/>
      <c r="D548" s="49" t="n"/>
      <c r="E548" s="50" t="n"/>
      <c r="G548">
        <f>IF(AND(B548&lt;&gt;"",COUNTIF(B$6:B548,B548)=1),MAX(G$5:G547)+1,"")</f>
        <v/>
      </c>
      <c r="H548">
        <f>IF(A548="","",IF(ISNUMBER(A548),IF(A548&lt;=31,"",IF(A548&lt;=3112,IF(DATE(YR,MOD(A548,100),INT(A548/100))&gt;SAT1+7*NW-1,DATE(YR-1,MOD(A548,100),INT(A548/100)),DATE(YR,MOD(A548,100),INT(A548/100))),A548)),IFERROR(DATEVALUE(A548),"")))</f>
        <v/>
      </c>
      <c r="I548">
        <f>IF(H548="","",INT((H548-SAT1)/7)+1)</f>
        <v/>
      </c>
      <c r="J548">
        <f>IF(I548="","",IF(OR(I548&lt;1,I548&gt;NW),"",INDEX(WMON,I548)))</f>
        <v/>
      </c>
    </row>
    <row r="549">
      <c r="A549" s="48" t="n"/>
      <c r="B549" s="22" t="n"/>
      <c r="C549" s="50" t="n"/>
      <c r="D549" s="49" t="n"/>
      <c r="E549" s="50" t="n"/>
      <c r="G549">
        <f>IF(AND(B549&lt;&gt;"",COUNTIF(B$6:B549,B549)=1),MAX(G$5:G548)+1,"")</f>
        <v/>
      </c>
      <c r="H549">
        <f>IF(A549="","",IF(ISNUMBER(A549),IF(A549&lt;=31,"",IF(A549&lt;=3112,IF(DATE(YR,MOD(A549,100),INT(A549/100))&gt;SAT1+7*NW-1,DATE(YR-1,MOD(A549,100),INT(A549/100)),DATE(YR,MOD(A549,100),INT(A549/100))),A549)),IFERROR(DATEVALUE(A549),"")))</f>
        <v/>
      </c>
      <c r="I549">
        <f>IF(H549="","",INT((H549-SAT1)/7)+1)</f>
        <v/>
      </c>
      <c r="J549">
        <f>IF(I549="","",IF(OR(I549&lt;1,I549&gt;NW),"",INDEX(WMON,I549)))</f>
        <v/>
      </c>
    </row>
    <row r="550">
      <c r="A550" s="48" t="n"/>
      <c r="B550" s="22" t="n"/>
      <c r="C550" s="50" t="n"/>
      <c r="D550" s="49" t="n"/>
      <c r="E550" s="50" t="n"/>
      <c r="G550">
        <f>IF(AND(B550&lt;&gt;"",COUNTIF(B$6:B550,B550)=1),MAX(G$5:G549)+1,"")</f>
        <v/>
      </c>
      <c r="H550">
        <f>IF(A550="","",IF(ISNUMBER(A550),IF(A550&lt;=31,"",IF(A550&lt;=3112,IF(DATE(YR,MOD(A550,100),INT(A550/100))&gt;SAT1+7*NW-1,DATE(YR-1,MOD(A550,100),INT(A550/100)),DATE(YR,MOD(A550,100),INT(A550/100))),A550)),IFERROR(DATEVALUE(A550),"")))</f>
        <v/>
      </c>
      <c r="I550">
        <f>IF(H550="","",INT((H550-SAT1)/7)+1)</f>
        <v/>
      </c>
      <c r="J550">
        <f>IF(I550="","",IF(OR(I550&lt;1,I550&gt;NW),"",INDEX(WMON,I550)))</f>
        <v/>
      </c>
    </row>
    <row r="551">
      <c r="A551" s="48" t="n"/>
      <c r="B551" s="22" t="n"/>
      <c r="C551" s="50" t="n"/>
      <c r="D551" s="49" t="n"/>
      <c r="E551" s="50" t="n"/>
      <c r="G551">
        <f>IF(AND(B551&lt;&gt;"",COUNTIF(B$6:B551,B551)=1),MAX(G$5:G550)+1,"")</f>
        <v/>
      </c>
      <c r="H551">
        <f>IF(A551="","",IF(ISNUMBER(A551),IF(A551&lt;=31,"",IF(A551&lt;=3112,IF(DATE(YR,MOD(A551,100),INT(A551/100))&gt;SAT1+7*NW-1,DATE(YR-1,MOD(A551,100),INT(A551/100)),DATE(YR,MOD(A551,100),INT(A551/100))),A551)),IFERROR(DATEVALUE(A551),"")))</f>
        <v/>
      </c>
      <c r="I551">
        <f>IF(H551="","",INT((H551-SAT1)/7)+1)</f>
        <v/>
      </c>
      <c r="J551">
        <f>IF(I551="","",IF(OR(I551&lt;1,I551&gt;NW),"",INDEX(WMON,I551)))</f>
        <v/>
      </c>
    </row>
    <row r="552">
      <c r="A552" s="48" t="n"/>
      <c r="B552" s="22" t="n"/>
      <c r="C552" s="50" t="n"/>
      <c r="D552" s="49" t="n"/>
      <c r="E552" s="50" t="n"/>
      <c r="G552">
        <f>IF(AND(B552&lt;&gt;"",COUNTIF(B$6:B552,B552)=1),MAX(G$5:G551)+1,"")</f>
        <v/>
      </c>
      <c r="H552">
        <f>IF(A552="","",IF(ISNUMBER(A552),IF(A552&lt;=31,"",IF(A552&lt;=3112,IF(DATE(YR,MOD(A552,100),INT(A552/100))&gt;SAT1+7*NW-1,DATE(YR-1,MOD(A552,100),INT(A552/100)),DATE(YR,MOD(A552,100),INT(A552/100))),A552)),IFERROR(DATEVALUE(A552),"")))</f>
        <v/>
      </c>
      <c r="I552">
        <f>IF(H552="","",INT((H552-SAT1)/7)+1)</f>
        <v/>
      </c>
      <c r="J552">
        <f>IF(I552="","",IF(OR(I552&lt;1,I552&gt;NW),"",INDEX(WMON,I552)))</f>
        <v/>
      </c>
    </row>
    <row r="553">
      <c r="A553" s="48" t="n"/>
      <c r="B553" s="22" t="n"/>
      <c r="C553" s="50" t="n"/>
      <c r="D553" s="49" t="n"/>
      <c r="E553" s="50" t="n"/>
      <c r="G553">
        <f>IF(AND(B553&lt;&gt;"",COUNTIF(B$6:B553,B553)=1),MAX(G$5:G552)+1,"")</f>
        <v/>
      </c>
      <c r="H553">
        <f>IF(A553="","",IF(ISNUMBER(A553),IF(A553&lt;=31,"",IF(A553&lt;=3112,IF(DATE(YR,MOD(A553,100),INT(A553/100))&gt;SAT1+7*NW-1,DATE(YR-1,MOD(A553,100),INT(A553/100)),DATE(YR,MOD(A553,100),INT(A553/100))),A553)),IFERROR(DATEVALUE(A553),"")))</f>
        <v/>
      </c>
      <c r="I553">
        <f>IF(H553="","",INT((H553-SAT1)/7)+1)</f>
        <v/>
      </c>
      <c r="J553">
        <f>IF(I553="","",IF(OR(I553&lt;1,I553&gt;NW),"",INDEX(WMON,I553)))</f>
        <v/>
      </c>
    </row>
    <row r="554">
      <c r="A554" s="48" t="n"/>
      <c r="B554" s="22" t="n"/>
      <c r="C554" s="50" t="n"/>
      <c r="D554" s="49" t="n"/>
      <c r="E554" s="50" t="n"/>
      <c r="G554">
        <f>IF(AND(B554&lt;&gt;"",COUNTIF(B$6:B554,B554)=1),MAX(G$5:G553)+1,"")</f>
        <v/>
      </c>
      <c r="H554">
        <f>IF(A554="","",IF(ISNUMBER(A554),IF(A554&lt;=31,"",IF(A554&lt;=3112,IF(DATE(YR,MOD(A554,100),INT(A554/100))&gt;SAT1+7*NW-1,DATE(YR-1,MOD(A554,100),INT(A554/100)),DATE(YR,MOD(A554,100),INT(A554/100))),A554)),IFERROR(DATEVALUE(A554),"")))</f>
        <v/>
      </c>
      <c r="I554">
        <f>IF(H554="","",INT((H554-SAT1)/7)+1)</f>
        <v/>
      </c>
      <c r="J554">
        <f>IF(I554="","",IF(OR(I554&lt;1,I554&gt;NW),"",INDEX(WMON,I554)))</f>
        <v/>
      </c>
    </row>
    <row r="555">
      <c r="A555" s="48" t="n"/>
      <c r="B555" s="22" t="n"/>
      <c r="C555" s="50" t="n"/>
      <c r="D555" s="49" t="n"/>
      <c r="E555" s="50" t="n"/>
      <c r="G555">
        <f>IF(AND(B555&lt;&gt;"",COUNTIF(B$6:B555,B555)=1),MAX(G$5:G554)+1,"")</f>
        <v/>
      </c>
      <c r="H555">
        <f>IF(A555="","",IF(ISNUMBER(A555),IF(A555&lt;=31,"",IF(A555&lt;=3112,IF(DATE(YR,MOD(A555,100),INT(A555/100))&gt;SAT1+7*NW-1,DATE(YR-1,MOD(A555,100),INT(A555/100)),DATE(YR,MOD(A555,100),INT(A555/100))),A555)),IFERROR(DATEVALUE(A555),"")))</f>
        <v/>
      </c>
      <c r="I555">
        <f>IF(H555="","",INT((H555-SAT1)/7)+1)</f>
        <v/>
      </c>
      <c r="J555">
        <f>IF(I555="","",IF(OR(I555&lt;1,I555&gt;NW),"",INDEX(WMON,I555)))</f>
        <v/>
      </c>
    </row>
    <row r="556">
      <c r="A556" s="48" t="n"/>
      <c r="B556" s="22" t="n"/>
      <c r="C556" s="50" t="n"/>
      <c r="D556" s="49" t="n"/>
      <c r="E556" s="50" t="n"/>
      <c r="G556">
        <f>IF(AND(B556&lt;&gt;"",COUNTIF(B$6:B556,B556)=1),MAX(G$5:G555)+1,"")</f>
        <v/>
      </c>
      <c r="H556">
        <f>IF(A556="","",IF(ISNUMBER(A556),IF(A556&lt;=31,"",IF(A556&lt;=3112,IF(DATE(YR,MOD(A556,100),INT(A556/100))&gt;SAT1+7*NW-1,DATE(YR-1,MOD(A556,100),INT(A556/100)),DATE(YR,MOD(A556,100),INT(A556/100))),A556)),IFERROR(DATEVALUE(A556),"")))</f>
        <v/>
      </c>
      <c r="I556">
        <f>IF(H556="","",INT((H556-SAT1)/7)+1)</f>
        <v/>
      </c>
      <c r="J556">
        <f>IF(I556="","",IF(OR(I556&lt;1,I556&gt;NW),"",INDEX(WMON,I556)))</f>
        <v/>
      </c>
    </row>
    <row r="557">
      <c r="A557" s="48" t="n"/>
      <c r="B557" s="22" t="n"/>
      <c r="C557" s="50" t="n"/>
      <c r="D557" s="49" t="n"/>
      <c r="E557" s="50" t="n"/>
      <c r="G557">
        <f>IF(AND(B557&lt;&gt;"",COUNTIF(B$6:B557,B557)=1),MAX(G$5:G556)+1,"")</f>
        <v/>
      </c>
      <c r="H557">
        <f>IF(A557="","",IF(ISNUMBER(A557),IF(A557&lt;=31,"",IF(A557&lt;=3112,IF(DATE(YR,MOD(A557,100),INT(A557/100))&gt;SAT1+7*NW-1,DATE(YR-1,MOD(A557,100),INT(A557/100)),DATE(YR,MOD(A557,100),INT(A557/100))),A557)),IFERROR(DATEVALUE(A557),"")))</f>
        <v/>
      </c>
      <c r="I557">
        <f>IF(H557="","",INT((H557-SAT1)/7)+1)</f>
        <v/>
      </c>
      <c r="J557">
        <f>IF(I557="","",IF(OR(I557&lt;1,I557&gt;NW),"",INDEX(WMON,I557)))</f>
        <v/>
      </c>
    </row>
    <row r="558">
      <c r="A558" s="48" t="n"/>
      <c r="B558" s="22" t="n"/>
      <c r="C558" s="50" t="n"/>
      <c r="D558" s="49" t="n"/>
      <c r="E558" s="50" t="n"/>
      <c r="G558">
        <f>IF(AND(B558&lt;&gt;"",COUNTIF(B$6:B558,B558)=1),MAX(G$5:G557)+1,"")</f>
        <v/>
      </c>
      <c r="H558">
        <f>IF(A558="","",IF(ISNUMBER(A558),IF(A558&lt;=31,"",IF(A558&lt;=3112,IF(DATE(YR,MOD(A558,100),INT(A558/100))&gt;SAT1+7*NW-1,DATE(YR-1,MOD(A558,100),INT(A558/100)),DATE(YR,MOD(A558,100),INT(A558/100))),A558)),IFERROR(DATEVALUE(A558),"")))</f>
        <v/>
      </c>
      <c r="I558">
        <f>IF(H558="","",INT((H558-SAT1)/7)+1)</f>
        <v/>
      </c>
      <c r="J558">
        <f>IF(I558="","",IF(OR(I558&lt;1,I558&gt;NW),"",INDEX(WMON,I558)))</f>
        <v/>
      </c>
    </row>
    <row r="559">
      <c r="A559" s="48" t="n"/>
      <c r="B559" s="22" t="n"/>
      <c r="C559" s="50" t="n"/>
      <c r="D559" s="49" t="n"/>
      <c r="E559" s="50" t="n"/>
      <c r="G559">
        <f>IF(AND(B559&lt;&gt;"",COUNTIF(B$6:B559,B559)=1),MAX(G$5:G558)+1,"")</f>
        <v/>
      </c>
      <c r="H559">
        <f>IF(A559="","",IF(ISNUMBER(A559),IF(A559&lt;=31,"",IF(A559&lt;=3112,IF(DATE(YR,MOD(A559,100),INT(A559/100))&gt;SAT1+7*NW-1,DATE(YR-1,MOD(A559,100),INT(A559/100)),DATE(YR,MOD(A559,100),INT(A559/100))),A559)),IFERROR(DATEVALUE(A559),"")))</f>
        <v/>
      </c>
      <c r="I559">
        <f>IF(H559="","",INT((H559-SAT1)/7)+1)</f>
        <v/>
      </c>
      <c r="J559">
        <f>IF(I559="","",IF(OR(I559&lt;1,I559&gt;NW),"",INDEX(WMON,I559)))</f>
        <v/>
      </c>
    </row>
    <row r="560">
      <c r="A560" s="48" t="n"/>
      <c r="B560" s="22" t="n"/>
      <c r="C560" s="50" t="n"/>
      <c r="D560" s="49" t="n"/>
      <c r="E560" s="50" t="n"/>
      <c r="G560">
        <f>IF(AND(B560&lt;&gt;"",COUNTIF(B$6:B560,B560)=1),MAX(G$5:G559)+1,"")</f>
        <v/>
      </c>
      <c r="H560">
        <f>IF(A560="","",IF(ISNUMBER(A560),IF(A560&lt;=31,"",IF(A560&lt;=3112,IF(DATE(YR,MOD(A560,100),INT(A560/100))&gt;SAT1+7*NW-1,DATE(YR-1,MOD(A560,100),INT(A560/100)),DATE(YR,MOD(A560,100),INT(A560/100))),A560)),IFERROR(DATEVALUE(A560),"")))</f>
        <v/>
      </c>
      <c r="I560">
        <f>IF(H560="","",INT((H560-SAT1)/7)+1)</f>
        <v/>
      </c>
      <c r="J560">
        <f>IF(I560="","",IF(OR(I560&lt;1,I560&gt;NW),"",INDEX(WMON,I560)))</f>
        <v/>
      </c>
    </row>
    <row r="561">
      <c r="A561" s="48" t="n"/>
      <c r="B561" s="22" t="n"/>
      <c r="C561" s="50" t="n"/>
      <c r="D561" s="49" t="n"/>
      <c r="E561" s="50" t="n"/>
      <c r="G561">
        <f>IF(AND(B561&lt;&gt;"",COUNTIF(B$6:B561,B561)=1),MAX(G$5:G560)+1,"")</f>
        <v/>
      </c>
      <c r="H561">
        <f>IF(A561="","",IF(ISNUMBER(A561),IF(A561&lt;=31,"",IF(A561&lt;=3112,IF(DATE(YR,MOD(A561,100),INT(A561/100))&gt;SAT1+7*NW-1,DATE(YR-1,MOD(A561,100),INT(A561/100)),DATE(YR,MOD(A561,100),INT(A561/100))),A561)),IFERROR(DATEVALUE(A561),"")))</f>
        <v/>
      </c>
      <c r="I561">
        <f>IF(H561="","",INT((H561-SAT1)/7)+1)</f>
        <v/>
      </c>
      <c r="J561">
        <f>IF(I561="","",IF(OR(I561&lt;1,I561&gt;NW),"",INDEX(WMON,I561)))</f>
        <v/>
      </c>
    </row>
    <row r="562">
      <c r="A562" s="48" t="n"/>
      <c r="B562" s="22" t="n"/>
      <c r="C562" s="50" t="n"/>
      <c r="D562" s="49" t="n"/>
      <c r="E562" s="50" t="n"/>
      <c r="G562">
        <f>IF(AND(B562&lt;&gt;"",COUNTIF(B$6:B562,B562)=1),MAX(G$5:G561)+1,"")</f>
        <v/>
      </c>
      <c r="H562">
        <f>IF(A562="","",IF(ISNUMBER(A562),IF(A562&lt;=31,"",IF(A562&lt;=3112,IF(DATE(YR,MOD(A562,100),INT(A562/100))&gt;SAT1+7*NW-1,DATE(YR-1,MOD(A562,100),INT(A562/100)),DATE(YR,MOD(A562,100),INT(A562/100))),A562)),IFERROR(DATEVALUE(A562),"")))</f>
        <v/>
      </c>
      <c r="I562">
        <f>IF(H562="","",INT((H562-SAT1)/7)+1)</f>
        <v/>
      </c>
      <c r="J562">
        <f>IF(I562="","",IF(OR(I562&lt;1,I562&gt;NW),"",INDEX(WMON,I562)))</f>
        <v/>
      </c>
    </row>
    <row r="563">
      <c r="A563" s="48" t="n"/>
      <c r="B563" s="22" t="n"/>
      <c r="C563" s="50" t="n"/>
      <c r="D563" s="49" t="n"/>
      <c r="E563" s="50" t="n"/>
      <c r="G563">
        <f>IF(AND(B563&lt;&gt;"",COUNTIF(B$6:B563,B563)=1),MAX(G$5:G562)+1,"")</f>
        <v/>
      </c>
      <c r="H563">
        <f>IF(A563="","",IF(ISNUMBER(A563),IF(A563&lt;=31,"",IF(A563&lt;=3112,IF(DATE(YR,MOD(A563,100),INT(A563/100))&gt;SAT1+7*NW-1,DATE(YR-1,MOD(A563,100),INT(A563/100)),DATE(YR,MOD(A563,100),INT(A563/100))),A563)),IFERROR(DATEVALUE(A563),"")))</f>
        <v/>
      </c>
      <c r="I563">
        <f>IF(H563="","",INT((H563-SAT1)/7)+1)</f>
        <v/>
      </c>
      <c r="J563">
        <f>IF(I563="","",IF(OR(I563&lt;1,I563&gt;NW),"",INDEX(WMON,I563)))</f>
        <v/>
      </c>
    </row>
    <row r="564">
      <c r="A564" s="48" t="n"/>
      <c r="B564" s="22" t="n"/>
      <c r="C564" s="50" t="n"/>
      <c r="D564" s="49" t="n"/>
      <c r="E564" s="50" t="n"/>
      <c r="G564">
        <f>IF(AND(B564&lt;&gt;"",COUNTIF(B$6:B564,B564)=1),MAX(G$5:G563)+1,"")</f>
        <v/>
      </c>
      <c r="H564">
        <f>IF(A564="","",IF(ISNUMBER(A564),IF(A564&lt;=31,"",IF(A564&lt;=3112,IF(DATE(YR,MOD(A564,100),INT(A564/100))&gt;SAT1+7*NW-1,DATE(YR-1,MOD(A564,100),INT(A564/100)),DATE(YR,MOD(A564,100),INT(A564/100))),A564)),IFERROR(DATEVALUE(A564),"")))</f>
        <v/>
      </c>
      <c r="I564">
        <f>IF(H564="","",INT((H564-SAT1)/7)+1)</f>
        <v/>
      </c>
      <c r="J564">
        <f>IF(I564="","",IF(OR(I564&lt;1,I564&gt;NW),"",INDEX(WMON,I564)))</f>
        <v/>
      </c>
    </row>
    <row r="565">
      <c r="A565" s="48" t="n"/>
      <c r="B565" s="22" t="n"/>
      <c r="C565" s="50" t="n"/>
      <c r="D565" s="49" t="n"/>
      <c r="E565" s="50" t="n"/>
      <c r="G565">
        <f>IF(AND(B565&lt;&gt;"",COUNTIF(B$6:B565,B565)=1),MAX(G$5:G564)+1,"")</f>
        <v/>
      </c>
      <c r="H565">
        <f>IF(A565="","",IF(ISNUMBER(A565),IF(A565&lt;=31,"",IF(A565&lt;=3112,IF(DATE(YR,MOD(A565,100),INT(A565/100))&gt;SAT1+7*NW-1,DATE(YR-1,MOD(A565,100),INT(A565/100)),DATE(YR,MOD(A565,100),INT(A565/100))),A565)),IFERROR(DATEVALUE(A565),"")))</f>
        <v/>
      </c>
      <c r="I565">
        <f>IF(H565="","",INT((H565-SAT1)/7)+1)</f>
        <v/>
      </c>
      <c r="J565">
        <f>IF(I565="","",IF(OR(I565&lt;1,I565&gt;NW),"",INDEX(WMON,I565)))</f>
        <v/>
      </c>
    </row>
    <row r="566">
      <c r="A566" s="48" t="n"/>
      <c r="B566" s="22" t="n"/>
      <c r="C566" s="50" t="n"/>
      <c r="D566" s="49" t="n"/>
      <c r="E566" s="50" t="n"/>
      <c r="G566">
        <f>IF(AND(B566&lt;&gt;"",COUNTIF(B$6:B566,B566)=1),MAX(G$5:G565)+1,"")</f>
        <v/>
      </c>
      <c r="H566">
        <f>IF(A566="","",IF(ISNUMBER(A566),IF(A566&lt;=31,"",IF(A566&lt;=3112,IF(DATE(YR,MOD(A566,100),INT(A566/100))&gt;SAT1+7*NW-1,DATE(YR-1,MOD(A566,100),INT(A566/100)),DATE(YR,MOD(A566,100),INT(A566/100))),A566)),IFERROR(DATEVALUE(A566),"")))</f>
        <v/>
      </c>
      <c r="I566">
        <f>IF(H566="","",INT((H566-SAT1)/7)+1)</f>
        <v/>
      </c>
      <c r="J566">
        <f>IF(I566="","",IF(OR(I566&lt;1,I566&gt;NW),"",INDEX(WMON,I566)))</f>
        <v/>
      </c>
    </row>
    <row r="567">
      <c r="A567" s="48" t="n"/>
      <c r="B567" s="22" t="n"/>
      <c r="C567" s="50" t="n"/>
      <c r="D567" s="49" t="n"/>
      <c r="E567" s="50" t="n"/>
      <c r="G567">
        <f>IF(AND(B567&lt;&gt;"",COUNTIF(B$6:B567,B567)=1),MAX(G$5:G566)+1,"")</f>
        <v/>
      </c>
      <c r="H567">
        <f>IF(A567="","",IF(ISNUMBER(A567),IF(A567&lt;=31,"",IF(A567&lt;=3112,IF(DATE(YR,MOD(A567,100),INT(A567/100))&gt;SAT1+7*NW-1,DATE(YR-1,MOD(A567,100),INT(A567/100)),DATE(YR,MOD(A567,100),INT(A567/100))),A567)),IFERROR(DATEVALUE(A567),"")))</f>
        <v/>
      </c>
      <c r="I567">
        <f>IF(H567="","",INT((H567-SAT1)/7)+1)</f>
        <v/>
      </c>
      <c r="J567">
        <f>IF(I567="","",IF(OR(I567&lt;1,I567&gt;NW),"",INDEX(WMON,I567)))</f>
        <v/>
      </c>
    </row>
    <row r="568">
      <c r="A568" s="48" t="n"/>
      <c r="B568" s="22" t="n"/>
      <c r="C568" s="50" t="n"/>
      <c r="D568" s="49" t="n"/>
      <c r="E568" s="50" t="n"/>
      <c r="G568">
        <f>IF(AND(B568&lt;&gt;"",COUNTIF(B$6:B568,B568)=1),MAX(G$5:G567)+1,"")</f>
        <v/>
      </c>
      <c r="H568">
        <f>IF(A568="","",IF(ISNUMBER(A568),IF(A568&lt;=31,"",IF(A568&lt;=3112,IF(DATE(YR,MOD(A568,100),INT(A568/100))&gt;SAT1+7*NW-1,DATE(YR-1,MOD(A568,100),INT(A568/100)),DATE(YR,MOD(A568,100),INT(A568/100))),A568)),IFERROR(DATEVALUE(A568),"")))</f>
        <v/>
      </c>
      <c r="I568">
        <f>IF(H568="","",INT((H568-SAT1)/7)+1)</f>
        <v/>
      </c>
      <c r="J568">
        <f>IF(I568="","",IF(OR(I568&lt;1,I568&gt;NW),"",INDEX(WMON,I568)))</f>
        <v/>
      </c>
    </row>
    <row r="569">
      <c r="A569" s="48" t="n"/>
      <c r="B569" s="22" t="n"/>
      <c r="C569" s="50" t="n"/>
      <c r="D569" s="49" t="n"/>
      <c r="E569" s="50" t="n"/>
      <c r="G569">
        <f>IF(AND(B569&lt;&gt;"",COUNTIF(B$6:B569,B569)=1),MAX(G$5:G568)+1,"")</f>
        <v/>
      </c>
      <c r="H569">
        <f>IF(A569="","",IF(ISNUMBER(A569),IF(A569&lt;=31,"",IF(A569&lt;=3112,IF(DATE(YR,MOD(A569,100),INT(A569/100))&gt;SAT1+7*NW-1,DATE(YR-1,MOD(A569,100),INT(A569/100)),DATE(YR,MOD(A569,100),INT(A569/100))),A569)),IFERROR(DATEVALUE(A569),"")))</f>
        <v/>
      </c>
      <c r="I569">
        <f>IF(H569="","",INT((H569-SAT1)/7)+1)</f>
        <v/>
      </c>
      <c r="J569">
        <f>IF(I569="","",IF(OR(I569&lt;1,I569&gt;NW),"",INDEX(WMON,I569)))</f>
        <v/>
      </c>
    </row>
    <row r="570">
      <c r="A570" s="48" t="n"/>
      <c r="B570" s="22" t="n"/>
      <c r="C570" s="50" t="n"/>
      <c r="D570" s="49" t="n"/>
      <c r="E570" s="50" t="n"/>
      <c r="G570">
        <f>IF(AND(B570&lt;&gt;"",COUNTIF(B$6:B570,B570)=1),MAX(G$5:G569)+1,"")</f>
        <v/>
      </c>
      <c r="H570">
        <f>IF(A570="","",IF(ISNUMBER(A570),IF(A570&lt;=31,"",IF(A570&lt;=3112,IF(DATE(YR,MOD(A570,100),INT(A570/100))&gt;SAT1+7*NW-1,DATE(YR-1,MOD(A570,100),INT(A570/100)),DATE(YR,MOD(A570,100),INT(A570/100))),A570)),IFERROR(DATEVALUE(A570),"")))</f>
        <v/>
      </c>
      <c r="I570">
        <f>IF(H570="","",INT((H570-SAT1)/7)+1)</f>
        <v/>
      </c>
      <c r="J570">
        <f>IF(I570="","",IF(OR(I570&lt;1,I570&gt;NW),"",INDEX(WMON,I570)))</f>
        <v/>
      </c>
    </row>
    <row r="571">
      <c r="A571" s="48" t="n"/>
      <c r="B571" s="22" t="n"/>
      <c r="C571" s="50" t="n"/>
      <c r="D571" s="49" t="n"/>
      <c r="E571" s="50" t="n"/>
      <c r="G571">
        <f>IF(AND(B571&lt;&gt;"",COUNTIF(B$6:B571,B571)=1),MAX(G$5:G570)+1,"")</f>
        <v/>
      </c>
      <c r="H571">
        <f>IF(A571="","",IF(ISNUMBER(A571),IF(A571&lt;=31,"",IF(A571&lt;=3112,IF(DATE(YR,MOD(A571,100),INT(A571/100))&gt;SAT1+7*NW-1,DATE(YR-1,MOD(A571,100),INT(A571/100)),DATE(YR,MOD(A571,100),INT(A571/100))),A571)),IFERROR(DATEVALUE(A571),"")))</f>
        <v/>
      </c>
      <c r="I571">
        <f>IF(H571="","",INT((H571-SAT1)/7)+1)</f>
        <v/>
      </c>
      <c r="J571">
        <f>IF(I571="","",IF(OR(I571&lt;1,I571&gt;NW),"",INDEX(WMON,I571)))</f>
        <v/>
      </c>
    </row>
    <row r="572">
      <c r="A572" s="48" t="n"/>
      <c r="B572" s="22" t="n"/>
      <c r="C572" s="50" t="n"/>
      <c r="D572" s="49" t="n"/>
      <c r="E572" s="50" t="n"/>
      <c r="G572">
        <f>IF(AND(B572&lt;&gt;"",COUNTIF(B$6:B572,B572)=1),MAX(G$5:G571)+1,"")</f>
        <v/>
      </c>
      <c r="H572">
        <f>IF(A572="","",IF(ISNUMBER(A572),IF(A572&lt;=31,"",IF(A572&lt;=3112,IF(DATE(YR,MOD(A572,100),INT(A572/100))&gt;SAT1+7*NW-1,DATE(YR-1,MOD(A572,100),INT(A572/100)),DATE(YR,MOD(A572,100),INT(A572/100))),A572)),IFERROR(DATEVALUE(A572),"")))</f>
        <v/>
      </c>
      <c r="I572">
        <f>IF(H572="","",INT((H572-SAT1)/7)+1)</f>
        <v/>
      </c>
      <c r="J572">
        <f>IF(I572="","",IF(OR(I572&lt;1,I572&gt;NW),"",INDEX(WMON,I572)))</f>
        <v/>
      </c>
    </row>
    <row r="573">
      <c r="A573" s="48" t="n"/>
      <c r="B573" s="22" t="n"/>
      <c r="C573" s="50" t="n"/>
      <c r="D573" s="49" t="n"/>
      <c r="E573" s="50" t="n"/>
      <c r="G573">
        <f>IF(AND(B573&lt;&gt;"",COUNTIF(B$6:B573,B573)=1),MAX(G$5:G572)+1,"")</f>
        <v/>
      </c>
      <c r="H573">
        <f>IF(A573="","",IF(ISNUMBER(A573),IF(A573&lt;=31,"",IF(A573&lt;=3112,IF(DATE(YR,MOD(A573,100),INT(A573/100))&gt;SAT1+7*NW-1,DATE(YR-1,MOD(A573,100),INT(A573/100)),DATE(YR,MOD(A573,100),INT(A573/100))),A573)),IFERROR(DATEVALUE(A573),"")))</f>
        <v/>
      </c>
      <c r="I573">
        <f>IF(H573="","",INT((H573-SAT1)/7)+1)</f>
        <v/>
      </c>
      <c r="J573">
        <f>IF(I573="","",IF(OR(I573&lt;1,I573&gt;NW),"",INDEX(WMON,I573)))</f>
        <v/>
      </c>
    </row>
    <row r="574">
      <c r="A574" s="48" t="n"/>
      <c r="B574" s="22" t="n"/>
      <c r="C574" s="50" t="n"/>
      <c r="D574" s="49" t="n"/>
      <c r="E574" s="50" t="n"/>
      <c r="G574">
        <f>IF(AND(B574&lt;&gt;"",COUNTIF(B$6:B574,B574)=1),MAX(G$5:G573)+1,"")</f>
        <v/>
      </c>
      <c r="H574">
        <f>IF(A574="","",IF(ISNUMBER(A574),IF(A574&lt;=31,"",IF(A574&lt;=3112,IF(DATE(YR,MOD(A574,100),INT(A574/100))&gt;SAT1+7*NW-1,DATE(YR-1,MOD(A574,100),INT(A574/100)),DATE(YR,MOD(A574,100),INT(A574/100))),A574)),IFERROR(DATEVALUE(A574),"")))</f>
        <v/>
      </c>
      <c r="I574">
        <f>IF(H574="","",INT((H574-SAT1)/7)+1)</f>
        <v/>
      </c>
      <c r="J574">
        <f>IF(I574="","",IF(OR(I574&lt;1,I574&gt;NW),"",INDEX(WMON,I574)))</f>
        <v/>
      </c>
    </row>
    <row r="575">
      <c r="A575" s="48" t="n"/>
      <c r="B575" s="22" t="n"/>
      <c r="C575" s="50" t="n"/>
      <c r="D575" s="49" t="n"/>
      <c r="E575" s="50" t="n"/>
      <c r="G575">
        <f>IF(AND(B575&lt;&gt;"",COUNTIF(B$6:B575,B575)=1),MAX(G$5:G574)+1,"")</f>
        <v/>
      </c>
      <c r="H575">
        <f>IF(A575="","",IF(ISNUMBER(A575),IF(A575&lt;=31,"",IF(A575&lt;=3112,IF(DATE(YR,MOD(A575,100),INT(A575/100))&gt;SAT1+7*NW-1,DATE(YR-1,MOD(A575,100),INT(A575/100)),DATE(YR,MOD(A575,100),INT(A575/100))),A575)),IFERROR(DATEVALUE(A575),"")))</f>
        <v/>
      </c>
      <c r="I575">
        <f>IF(H575="","",INT((H575-SAT1)/7)+1)</f>
        <v/>
      </c>
      <c r="J575">
        <f>IF(I575="","",IF(OR(I575&lt;1,I575&gt;NW),"",INDEX(WMON,I575)))</f>
        <v/>
      </c>
    </row>
    <row r="576">
      <c r="A576" s="48" t="n"/>
      <c r="B576" s="22" t="n"/>
      <c r="C576" s="50" t="n"/>
      <c r="D576" s="49" t="n"/>
      <c r="E576" s="50" t="n"/>
      <c r="G576">
        <f>IF(AND(B576&lt;&gt;"",COUNTIF(B$6:B576,B576)=1),MAX(G$5:G575)+1,"")</f>
        <v/>
      </c>
      <c r="H576">
        <f>IF(A576="","",IF(ISNUMBER(A576),IF(A576&lt;=31,"",IF(A576&lt;=3112,IF(DATE(YR,MOD(A576,100),INT(A576/100))&gt;SAT1+7*NW-1,DATE(YR-1,MOD(A576,100),INT(A576/100)),DATE(YR,MOD(A576,100),INT(A576/100))),A576)),IFERROR(DATEVALUE(A576),"")))</f>
        <v/>
      </c>
      <c r="I576">
        <f>IF(H576="","",INT((H576-SAT1)/7)+1)</f>
        <v/>
      </c>
      <c r="J576">
        <f>IF(I576="","",IF(OR(I576&lt;1,I576&gt;NW),"",INDEX(WMON,I576)))</f>
        <v/>
      </c>
    </row>
    <row r="577">
      <c r="A577" s="48" t="n"/>
      <c r="B577" s="22" t="n"/>
      <c r="C577" s="50" t="n"/>
      <c r="D577" s="49" t="n"/>
      <c r="E577" s="50" t="n"/>
      <c r="G577">
        <f>IF(AND(B577&lt;&gt;"",COUNTIF(B$6:B577,B577)=1),MAX(G$5:G576)+1,"")</f>
        <v/>
      </c>
      <c r="H577">
        <f>IF(A577="","",IF(ISNUMBER(A577),IF(A577&lt;=31,"",IF(A577&lt;=3112,IF(DATE(YR,MOD(A577,100),INT(A577/100))&gt;SAT1+7*NW-1,DATE(YR-1,MOD(A577,100),INT(A577/100)),DATE(YR,MOD(A577,100),INT(A577/100))),A577)),IFERROR(DATEVALUE(A577),"")))</f>
        <v/>
      </c>
      <c r="I577">
        <f>IF(H577="","",INT((H577-SAT1)/7)+1)</f>
        <v/>
      </c>
      <c r="J577">
        <f>IF(I577="","",IF(OR(I577&lt;1,I577&gt;NW),"",INDEX(WMON,I577)))</f>
        <v/>
      </c>
    </row>
    <row r="578">
      <c r="A578" s="48" t="n"/>
      <c r="B578" s="22" t="n"/>
      <c r="C578" s="50" t="n"/>
      <c r="D578" s="49" t="n"/>
      <c r="E578" s="50" t="n"/>
      <c r="G578">
        <f>IF(AND(B578&lt;&gt;"",COUNTIF(B$6:B578,B578)=1),MAX(G$5:G577)+1,"")</f>
        <v/>
      </c>
      <c r="H578">
        <f>IF(A578="","",IF(ISNUMBER(A578),IF(A578&lt;=31,"",IF(A578&lt;=3112,IF(DATE(YR,MOD(A578,100),INT(A578/100))&gt;SAT1+7*NW-1,DATE(YR-1,MOD(A578,100),INT(A578/100)),DATE(YR,MOD(A578,100),INT(A578/100))),A578)),IFERROR(DATEVALUE(A578),"")))</f>
        <v/>
      </c>
      <c r="I578">
        <f>IF(H578="","",INT((H578-SAT1)/7)+1)</f>
        <v/>
      </c>
      <c r="J578">
        <f>IF(I578="","",IF(OR(I578&lt;1,I578&gt;NW),"",INDEX(WMON,I578)))</f>
        <v/>
      </c>
    </row>
    <row r="579">
      <c r="A579" s="48" t="n"/>
      <c r="B579" s="22" t="n"/>
      <c r="C579" s="50" t="n"/>
      <c r="D579" s="49" t="n"/>
      <c r="E579" s="50" t="n"/>
      <c r="G579">
        <f>IF(AND(B579&lt;&gt;"",COUNTIF(B$6:B579,B579)=1),MAX(G$5:G578)+1,"")</f>
        <v/>
      </c>
      <c r="H579">
        <f>IF(A579="","",IF(ISNUMBER(A579),IF(A579&lt;=31,"",IF(A579&lt;=3112,IF(DATE(YR,MOD(A579,100),INT(A579/100))&gt;SAT1+7*NW-1,DATE(YR-1,MOD(A579,100),INT(A579/100)),DATE(YR,MOD(A579,100),INT(A579/100))),A579)),IFERROR(DATEVALUE(A579),"")))</f>
        <v/>
      </c>
      <c r="I579">
        <f>IF(H579="","",INT((H579-SAT1)/7)+1)</f>
        <v/>
      </c>
      <c r="J579">
        <f>IF(I579="","",IF(OR(I579&lt;1,I579&gt;NW),"",INDEX(WMON,I579)))</f>
        <v/>
      </c>
    </row>
    <row r="580">
      <c r="A580" s="48" t="n"/>
      <c r="B580" s="22" t="n"/>
      <c r="C580" s="50" t="n"/>
      <c r="D580" s="49" t="n"/>
      <c r="E580" s="50" t="n"/>
      <c r="G580">
        <f>IF(AND(B580&lt;&gt;"",COUNTIF(B$6:B580,B580)=1),MAX(G$5:G579)+1,"")</f>
        <v/>
      </c>
      <c r="H580">
        <f>IF(A580="","",IF(ISNUMBER(A580),IF(A580&lt;=31,"",IF(A580&lt;=3112,IF(DATE(YR,MOD(A580,100),INT(A580/100))&gt;SAT1+7*NW-1,DATE(YR-1,MOD(A580,100),INT(A580/100)),DATE(YR,MOD(A580,100),INT(A580/100))),A580)),IFERROR(DATEVALUE(A580),"")))</f>
        <v/>
      </c>
      <c r="I580">
        <f>IF(H580="","",INT((H580-SAT1)/7)+1)</f>
        <v/>
      </c>
      <c r="J580">
        <f>IF(I580="","",IF(OR(I580&lt;1,I580&gt;NW),"",INDEX(WMON,I580)))</f>
        <v/>
      </c>
    </row>
    <row r="581">
      <c r="A581" s="48" t="n"/>
      <c r="B581" s="22" t="n"/>
      <c r="C581" s="50" t="n"/>
      <c r="D581" s="49" t="n"/>
      <c r="E581" s="50" t="n"/>
      <c r="G581">
        <f>IF(AND(B581&lt;&gt;"",COUNTIF(B$6:B581,B581)=1),MAX(G$5:G580)+1,"")</f>
        <v/>
      </c>
      <c r="H581">
        <f>IF(A581="","",IF(ISNUMBER(A581),IF(A581&lt;=31,"",IF(A581&lt;=3112,IF(DATE(YR,MOD(A581,100),INT(A581/100))&gt;SAT1+7*NW-1,DATE(YR-1,MOD(A581,100),INT(A581/100)),DATE(YR,MOD(A581,100),INT(A581/100))),A581)),IFERROR(DATEVALUE(A581),"")))</f>
        <v/>
      </c>
      <c r="I581">
        <f>IF(H581="","",INT((H581-SAT1)/7)+1)</f>
        <v/>
      </c>
      <c r="J581">
        <f>IF(I581="","",IF(OR(I581&lt;1,I581&gt;NW),"",INDEX(WMON,I581)))</f>
        <v/>
      </c>
    </row>
    <row r="582">
      <c r="A582" s="48" t="n"/>
      <c r="B582" s="22" t="n"/>
      <c r="C582" s="50" t="n"/>
      <c r="D582" s="49" t="n"/>
      <c r="E582" s="50" t="n"/>
      <c r="G582">
        <f>IF(AND(B582&lt;&gt;"",COUNTIF(B$6:B582,B582)=1),MAX(G$5:G581)+1,"")</f>
        <v/>
      </c>
      <c r="H582">
        <f>IF(A582="","",IF(ISNUMBER(A582),IF(A582&lt;=31,"",IF(A582&lt;=3112,IF(DATE(YR,MOD(A582,100),INT(A582/100))&gt;SAT1+7*NW-1,DATE(YR-1,MOD(A582,100),INT(A582/100)),DATE(YR,MOD(A582,100),INT(A582/100))),A582)),IFERROR(DATEVALUE(A582),"")))</f>
        <v/>
      </c>
      <c r="I582">
        <f>IF(H582="","",INT((H582-SAT1)/7)+1)</f>
        <v/>
      </c>
      <c r="J582">
        <f>IF(I582="","",IF(OR(I582&lt;1,I582&gt;NW),"",INDEX(WMON,I582)))</f>
        <v/>
      </c>
    </row>
    <row r="583">
      <c r="A583" s="48" t="n"/>
      <c r="B583" s="22" t="n"/>
      <c r="C583" s="50" t="n"/>
      <c r="D583" s="49" t="n"/>
      <c r="E583" s="50" t="n"/>
      <c r="G583">
        <f>IF(AND(B583&lt;&gt;"",COUNTIF(B$6:B583,B583)=1),MAX(G$5:G582)+1,"")</f>
        <v/>
      </c>
      <c r="H583">
        <f>IF(A583="","",IF(ISNUMBER(A583),IF(A583&lt;=31,"",IF(A583&lt;=3112,IF(DATE(YR,MOD(A583,100),INT(A583/100))&gt;SAT1+7*NW-1,DATE(YR-1,MOD(A583,100),INT(A583/100)),DATE(YR,MOD(A583,100),INT(A583/100))),A583)),IFERROR(DATEVALUE(A583),"")))</f>
        <v/>
      </c>
      <c r="I583">
        <f>IF(H583="","",INT((H583-SAT1)/7)+1)</f>
        <v/>
      </c>
      <c r="J583">
        <f>IF(I583="","",IF(OR(I583&lt;1,I583&gt;NW),"",INDEX(WMON,I583)))</f>
        <v/>
      </c>
    </row>
    <row r="584">
      <c r="A584" s="48" t="n"/>
      <c r="B584" s="22" t="n"/>
      <c r="C584" s="50" t="n"/>
      <c r="D584" s="49" t="n"/>
      <c r="E584" s="50" t="n"/>
      <c r="G584">
        <f>IF(AND(B584&lt;&gt;"",COUNTIF(B$6:B584,B584)=1),MAX(G$5:G583)+1,"")</f>
        <v/>
      </c>
      <c r="H584">
        <f>IF(A584="","",IF(ISNUMBER(A584),IF(A584&lt;=31,"",IF(A584&lt;=3112,IF(DATE(YR,MOD(A584,100),INT(A584/100))&gt;SAT1+7*NW-1,DATE(YR-1,MOD(A584,100),INT(A584/100)),DATE(YR,MOD(A584,100),INT(A584/100))),A584)),IFERROR(DATEVALUE(A584),"")))</f>
        <v/>
      </c>
      <c r="I584">
        <f>IF(H584="","",INT((H584-SAT1)/7)+1)</f>
        <v/>
      </c>
      <c r="J584">
        <f>IF(I584="","",IF(OR(I584&lt;1,I584&gt;NW),"",INDEX(WMON,I584)))</f>
        <v/>
      </c>
    </row>
    <row r="585">
      <c r="A585" s="48" t="n"/>
      <c r="B585" s="22" t="n"/>
      <c r="C585" s="50" t="n"/>
      <c r="D585" s="49" t="n"/>
      <c r="E585" s="50" t="n"/>
      <c r="G585">
        <f>IF(AND(B585&lt;&gt;"",COUNTIF(B$6:B585,B585)=1),MAX(G$5:G584)+1,"")</f>
        <v/>
      </c>
      <c r="H585">
        <f>IF(A585="","",IF(ISNUMBER(A585),IF(A585&lt;=31,"",IF(A585&lt;=3112,IF(DATE(YR,MOD(A585,100),INT(A585/100))&gt;SAT1+7*NW-1,DATE(YR-1,MOD(A585,100),INT(A585/100)),DATE(YR,MOD(A585,100),INT(A585/100))),A585)),IFERROR(DATEVALUE(A585),"")))</f>
        <v/>
      </c>
      <c r="I585">
        <f>IF(H585="","",INT((H585-SAT1)/7)+1)</f>
        <v/>
      </c>
      <c r="J585">
        <f>IF(I585="","",IF(OR(I585&lt;1,I585&gt;NW),"",INDEX(WMON,I585)))</f>
        <v/>
      </c>
    </row>
    <row r="586">
      <c r="A586" s="48" t="n"/>
      <c r="B586" s="22" t="n"/>
      <c r="C586" s="50" t="n"/>
      <c r="D586" s="49" t="n"/>
      <c r="E586" s="50" t="n"/>
      <c r="G586">
        <f>IF(AND(B586&lt;&gt;"",COUNTIF(B$6:B586,B586)=1),MAX(G$5:G585)+1,"")</f>
        <v/>
      </c>
      <c r="H586">
        <f>IF(A586="","",IF(ISNUMBER(A586),IF(A586&lt;=31,"",IF(A586&lt;=3112,IF(DATE(YR,MOD(A586,100),INT(A586/100))&gt;SAT1+7*NW-1,DATE(YR-1,MOD(A586,100),INT(A586/100)),DATE(YR,MOD(A586,100),INT(A586/100))),A586)),IFERROR(DATEVALUE(A586),"")))</f>
        <v/>
      </c>
      <c r="I586">
        <f>IF(H586="","",INT((H586-SAT1)/7)+1)</f>
        <v/>
      </c>
      <c r="J586">
        <f>IF(I586="","",IF(OR(I586&lt;1,I586&gt;NW),"",INDEX(WMON,I586)))</f>
        <v/>
      </c>
    </row>
    <row r="587">
      <c r="A587" s="48" t="n"/>
      <c r="B587" s="22" t="n"/>
      <c r="C587" s="50" t="n"/>
      <c r="D587" s="49" t="n"/>
      <c r="E587" s="50" t="n"/>
      <c r="G587">
        <f>IF(AND(B587&lt;&gt;"",COUNTIF(B$6:B587,B587)=1),MAX(G$5:G586)+1,"")</f>
        <v/>
      </c>
      <c r="H587">
        <f>IF(A587="","",IF(ISNUMBER(A587),IF(A587&lt;=31,"",IF(A587&lt;=3112,IF(DATE(YR,MOD(A587,100),INT(A587/100))&gt;SAT1+7*NW-1,DATE(YR-1,MOD(A587,100),INT(A587/100)),DATE(YR,MOD(A587,100),INT(A587/100))),A587)),IFERROR(DATEVALUE(A587),"")))</f>
        <v/>
      </c>
      <c r="I587">
        <f>IF(H587="","",INT((H587-SAT1)/7)+1)</f>
        <v/>
      </c>
      <c r="J587">
        <f>IF(I587="","",IF(OR(I587&lt;1,I587&gt;NW),"",INDEX(WMON,I587)))</f>
        <v/>
      </c>
    </row>
    <row r="588">
      <c r="A588" s="48" t="n"/>
      <c r="B588" s="22" t="n"/>
      <c r="C588" s="50" t="n"/>
      <c r="D588" s="49" t="n"/>
      <c r="E588" s="50" t="n"/>
      <c r="G588">
        <f>IF(AND(B588&lt;&gt;"",COUNTIF(B$6:B588,B588)=1),MAX(G$5:G587)+1,"")</f>
        <v/>
      </c>
      <c r="H588">
        <f>IF(A588="","",IF(ISNUMBER(A588),IF(A588&lt;=31,"",IF(A588&lt;=3112,IF(DATE(YR,MOD(A588,100),INT(A588/100))&gt;SAT1+7*NW-1,DATE(YR-1,MOD(A588,100),INT(A588/100)),DATE(YR,MOD(A588,100),INT(A588/100))),A588)),IFERROR(DATEVALUE(A588),"")))</f>
        <v/>
      </c>
      <c r="I588">
        <f>IF(H588="","",INT((H588-SAT1)/7)+1)</f>
        <v/>
      </c>
      <c r="J588">
        <f>IF(I588="","",IF(OR(I588&lt;1,I588&gt;NW),"",INDEX(WMON,I588)))</f>
        <v/>
      </c>
    </row>
    <row r="589">
      <c r="A589" s="48" t="n"/>
      <c r="B589" s="22" t="n"/>
      <c r="C589" s="50" t="n"/>
      <c r="D589" s="49" t="n"/>
      <c r="E589" s="50" t="n"/>
      <c r="G589">
        <f>IF(AND(B589&lt;&gt;"",COUNTIF(B$6:B589,B589)=1),MAX(G$5:G588)+1,"")</f>
        <v/>
      </c>
      <c r="H589">
        <f>IF(A589="","",IF(ISNUMBER(A589),IF(A589&lt;=31,"",IF(A589&lt;=3112,IF(DATE(YR,MOD(A589,100),INT(A589/100))&gt;SAT1+7*NW-1,DATE(YR-1,MOD(A589,100),INT(A589/100)),DATE(YR,MOD(A589,100),INT(A589/100))),A589)),IFERROR(DATEVALUE(A589),"")))</f>
        <v/>
      </c>
      <c r="I589">
        <f>IF(H589="","",INT((H589-SAT1)/7)+1)</f>
        <v/>
      </c>
      <c r="J589">
        <f>IF(I589="","",IF(OR(I589&lt;1,I589&gt;NW),"",INDEX(WMON,I589)))</f>
        <v/>
      </c>
    </row>
    <row r="590">
      <c r="A590" s="48" t="n"/>
      <c r="B590" s="22" t="n"/>
      <c r="C590" s="50" t="n"/>
      <c r="D590" s="49" t="n"/>
      <c r="E590" s="50" t="n"/>
      <c r="G590">
        <f>IF(AND(B590&lt;&gt;"",COUNTIF(B$6:B590,B590)=1),MAX(G$5:G589)+1,"")</f>
        <v/>
      </c>
      <c r="H590">
        <f>IF(A590="","",IF(ISNUMBER(A590),IF(A590&lt;=31,"",IF(A590&lt;=3112,IF(DATE(YR,MOD(A590,100),INT(A590/100))&gt;SAT1+7*NW-1,DATE(YR-1,MOD(A590,100),INT(A590/100)),DATE(YR,MOD(A590,100),INT(A590/100))),A590)),IFERROR(DATEVALUE(A590),"")))</f>
        <v/>
      </c>
      <c r="I590">
        <f>IF(H590="","",INT((H590-SAT1)/7)+1)</f>
        <v/>
      </c>
      <c r="J590">
        <f>IF(I590="","",IF(OR(I590&lt;1,I590&gt;NW),"",INDEX(WMON,I590)))</f>
        <v/>
      </c>
    </row>
    <row r="591">
      <c r="A591" s="48" t="n"/>
      <c r="B591" s="22" t="n"/>
      <c r="C591" s="50" t="n"/>
      <c r="D591" s="49" t="n"/>
      <c r="E591" s="50" t="n"/>
      <c r="G591">
        <f>IF(AND(B591&lt;&gt;"",COUNTIF(B$6:B591,B591)=1),MAX(G$5:G590)+1,"")</f>
        <v/>
      </c>
      <c r="H591">
        <f>IF(A591="","",IF(ISNUMBER(A591),IF(A591&lt;=31,"",IF(A591&lt;=3112,IF(DATE(YR,MOD(A591,100),INT(A591/100))&gt;SAT1+7*NW-1,DATE(YR-1,MOD(A591,100),INT(A591/100)),DATE(YR,MOD(A591,100),INT(A591/100))),A591)),IFERROR(DATEVALUE(A591),"")))</f>
        <v/>
      </c>
      <c r="I591">
        <f>IF(H591="","",INT((H591-SAT1)/7)+1)</f>
        <v/>
      </c>
      <c r="J591">
        <f>IF(I591="","",IF(OR(I591&lt;1,I591&gt;NW),"",INDEX(WMON,I591)))</f>
        <v/>
      </c>
    </row>
    <row r="592">
      <c r="A592" s="48" t="n"/>
      <c r="B592" s="22" t="n"/>
      <c r="C592" s="50" t="n"/>
      <c r="D592" s="49" t="n"/>
      <c r="E592" s="50" t="n"/>
      <c r="G592">
        <f>IF(AND(B592&lt;&gt;"",COUNTIF(B$6:B592,B592)=1),MAX(G$5:G591)+1,"")</f>
        <v/>
      </c>
      <c r="H592">
        <f>IF(A592="","",IF(ISNUMBER(A592),IF(A592&lt;=31,"",IF(A592&lt;=3112,IF(DATE(YR,MOD(A592,100),INT(A592/100))&gt;SAT1+7*NW-1,DATE(YR-1,MOD(A592,100),INT(A592/100)),DATE(YR,MOD(A592,100),INT(A592/100))),A592)),IFERROR(DATEVALUE(A592),"")))</f>
        <v/>
      </c>
      <c r="I592">
        <f>IF(H592="","",INT((H592-SAT1)/7)+1)</f>
        <v/>
      </c>
      <c r="J592">
        <f>IF(I592="","",IF(OR(I592&lt;1,I592&gt;NW),"",INDEX(WMON,I592)))</f>
        <v/>
      </c>
    </row>
    <row r="593">
      <c r="A593" s="48" t="n"/>
      <c r="B593" s="22" t="n"/>
      <c r="C593" s="50" t="n"/>
      <c r="D593" s="49" t="n"/>
      <c r="E593" s="50" t="n"/>
      <c r="G593">
        <f>IF(AND(B593&lt;&gt;"",COUNTIF(B$6:B593,B593)=1),MAX(G$5:G592)+1,"")</f>
        <v/>
      </c>
      <c r="H593">
        <f>IF(A593="","",IF(ISNUMBER(A593),IF(A593&lt;=31,"",IF(A593&lt;=3112,IF(DATE(YR,MOD(A593,100),INT(A593/100))&gt;SAT1+7*NW-1,DATE(YR-1,MOD(A593,100),INT(A593/100)),DATE(YR,MOD(A593,100),INT(A593/100))),A593)),IFERROR(DATEVALUE(A593),"")))</f>
        <v/>
      </c>
      <c r="I593">
        <f>IF(H593="","",INT((H593-SAT1)/7)+1)</f>
        <v/>
      </c>
      <c r="J593">
        <f>IF(I593="","",IF(OR(I593&lt;1,I593&gt;NW),"",INDEX(WMON,I593)))</f>
        <v/>
      </c>
    </row>
    <row r="594">
      <c r="A594" s="48" t="n"/>
      <c r="B594" s="22" t="n"/>
      <c r="C594" s="50" t="n"/>
      <c r="D594" s="49" t="n"/>
      <c r="E594" s="50" t="n"/>
      <c r="G594">
        <f>IF(AND(B594&lt;&gt;"",COUNTIF(B$6:B594,B594)=1),MAX(G$5:G593)+1,"")</f>
        <v/>
      </c>
      <c r="H594">
        <f>IF(A594="","",IF(ISNUMBER(A594),IF(A594&lt;=31,"",IF(A594&lt;=3112,IF(DATE(YR,MOD(A594,100),INT(A594/100))&gt;SAT1+7*NW-1,DATE(YR-1,MOD(A594,100),INT(A594/100)),DATE(YR,MOD(A594,100),INT(A594/100))),A594)),IFERROR(DATEVALUE(A594),"")))</f>
        <v/>
      </c>
      <c r="I594">
        <f>IF(H594="","",INT((H594-SAT1)/7)+1)</f>
        <v/>
      </c>
      <c r="J594">
        <f>IF(I594="","",IF(OR(I594&lt;1,I594&gt;NW),"",INDEX(WMON,I594)))</f>
        <v/>
      </c>
    </row>
    <row r="595">
      <c r="A595" s="48" t="n"/>
      <c r="B595" s="22" t="n"/>
      <c r="C595" s="50" t="n"/>
      <c r="D595" s="49" t="n"/>
      <c r="E595" s="50" t="n"/>
      <c r="G595">
        <f>IF(AND(B595&lt;&gt;"",COUNTIF(B$6:B595,B595)=1),MAX(G$5:G594)+1,"")</f>
        <v/>
      </c>
      <c r="H595">
        <f>IF(A595="","",IF(ISNUMBER(A595),IF(A595&lt;=31,"",IF(A595&lt;=3112,IF(DATE(YR,MOD(A595,100),INT(A595/100))&gt;SAT1+7*NW-1,DATE(YR-1,MOD(A595,100),INT(A595/100)),DATE(YR,MOD(A595,100),INT(A595/100))),A595)),IFERROR(DATEVALUE(A595),"")))</f>
        <v/>
      </c>
      <c r="I595">
        <f>IF(H595="","",INT((H595-SAT1)/7)+1)</f>
        <v/>
      </c>
      <c r="J595">
        <f>IF(I595="","",IF(OR(I595&lt;1,I595&gt;NW),"",INDEX(WMON,I595)))</f>
        <v/>
      </c>
    </row>
    <row r="596">
      <c r="A596" s="48" t="n"/>
      <c r="B596" s="22" t="n"/>
      <c r="C596" s="50" t="n"/>
      <c r="D596" s="49" t="n"/>
      <c r="E596" s="50" t="n"/>
      <c r="G596">
        <f>IF(AND(B596&lt;&gt;"",COUNTIF(B$6:B596,B596)=1),MAX(G$5:G595)+1,"")</f>
        <v/>
      </c>
      <c r="H596">
        <f>IF(A596="","",IF(ISNUMBER(A596),IF(A596&lt;=31,"",IF(A596&lt;=3112,IF(DATE(YR,MOD(A596,100),INT(A596/100))&gt;SAT1+7*NW-1,DATE(YR-1,MOD(A596,100),INT(A596/100)),DATE(YR,MOD(A596,100),INT(A596/100))),A596)),IFERROR(DATEVALUE(A596),"")))</f>
        <v/>
      </c>
      <c r="I596">
        <f>IF(H596="","",INT((H596-SAT1)/7)+1)</f>
        <v/>
      </c>
      <c r="J596">
        <f>IF(I596="","",IF(OR(I596&lt;1,I596&gt;NW),"",INDEX(WMON,I596)))</f>
        <v/>
      </c>
    </row>
    <row r="597">
      <c r="A597" s="48" t="n"/>
      <c r="B597" s="22" t="n"/>
      <c r="C597" s="50" t="n"/>
      <c r="D597" s="49" t="n"/>
      <c r="E597" s="50" t="n"/>
      <c r="G597">
        <f>IF(AND(B597&lt;&gt;"",COUNTIF(B$6:B597,B597)=1),MAX(G$5:G596)+1,"")</f>
        <v/>
      </c>
      <c r="H597">
        <f>IF(A597="","",IF(ISNUMBER(A597),IF(A597&lt;=31,"",IF(A597&lt;=3112,IF(DATE(YR,MOD(A597,100),INT(A597/100))&gt;SAT1+7*NW-1,DATE(YR-1,MOD(A597,100),INT(A597/100)),DATE(YR,MOD(A597,100),INT(A597/100))),A597)),IFERROR(DATEVALUE(A597),"")))</f>
        <v/>
      </c>
      <c r="I597">
        <f>IF(H597="","",INT((H597-SAT1)/7)+1)</f>
        <v/>
      </c>
      <c r="J597">
        <f>IF(I597="","",IF(OR(I597&lt;1,I597&gt;NW),"",INDEX(WMON,I597)))</f>
        <v/>
      </c>
    </row>
    <row r="598">
      <c r="A598" s="48" t="n"/>
      <c r="B598" s="22" t="n"/>
      <c r="C598" s="50" t="n"/>
      <c r="D598" s="49" t="n"/>
      <c r="E598" s="50" t="n"/>
      <c r="G598">
        <f>IF(AND(B598&lt;&gt;"",COUNTIF(B$6:B598,B598)=1),MAX(G$5:G597)+1,"")</f>
        <v/>
      </c>
      <c r="H598">
        <f>IF(A598="","",IF(ISNUMBER(A598),IF(A598&lt;=31,"",IF(A598&lt;=3112,IF(DATE(YR,MOD(A598,100),INT(A598/100))&gt;SAT1+7*NW-1,DATE(YR-1,MOD(A598,100),INT(A598/100)),DATE(YR,MOD(A598,100),INT(A598/100))),A598)),IFERROR(DATEVALUE(A598),"")))</f>
        <v/>
      </c>
      <c r="I598">
        <f>IF(H598="","",INT((H598-SAT1)/7)+1)</f>
        <v/>
      </c>
      <c r="J598">
        <f>IF(I598="","",IF(OR(I598&lt;1,I598&gt;NW),"",INDEX(WMON,I598)))</f>
        <v/>
      </c>
    </row>
    <row r="599">
      <c r="A599" s="48" t="n"/>
      <c r="B599" s="22" t="n"/>
      <c r="C599" s="50" t="n"/>
      <c r="D599" s="49" t="n"/>
      <c r="E599" s="50" t="n"/>
      <c r="G599">
        <f>IF(AND(B599&lt;&gt;"",COUNTIF(B$6:B599,B599)=1),MAX(G$5:G598)+1,"")</f>
        <v/>
      </c>
      <c r="H599">
        <f>IF(A599="","",IF(ISNUMBER(A599),IF(A599&lt;=31,"",IF(A599&lt;=3112,IF(DATE(YR,MOD(A599,100),INT(A599/100))&gt;SAT1+7*NW-1,DATE(YR-1,MOD(A599,100),INT(A599/100)),DATE(YR,MOD(A599,100),INT(A599/100))),A599)),IFERROR(DATEVALUE(A599),"")))</f>
        <v/>
      </c>
      <c r="I599">
        <f>IF(H599="","",INT((H599-SAT1)/7)+1)</f>
        <v/>
      </c>
      <c r="J599">
        <f>IF(I599="","",IF(OR(I599&lt;1,I599&gt;NW),"",INDEX(WMON,I599)))</f>
        <v/>
      </c>
    </row>
    <row r="600">
      <c r="A600" s="48" t="n"/>
      <c r="B600" s="22" t="n"/>
      <c r="C600" s="50" t="n"/>
      <c r="D600" s="49" t="n"/>
      <c r="E600" s="50" t="n"/>
      <c r="G600">
        <f>IF(AND(B600&lt;&gt;"",COUNTIF(B$6:B600,B600)=1),MAX(G$5:G599)+1,"")</f>
        <v/>
      </c>
      <c r="H600">
        <f>IF(A600="","",IF(ISNUMBER(A600),IF(A600&lt;=31,"",IF(A600&lt;=3112,IF(DATE(YR,MOD(A600,100),INT(A600/100))&gt;SAT1+7*NW-1,DATE(YR-1,MOD(A600,100),INT(A600/100)),DATE(YR,MOD(A600,100),INT(A600/100))),A600)),IFERROR(DATEVALUE(A600),"")))</f>
        <v/>
      </c>
      <c r="I600">
        <f>IF(H600="","",INT((H600-SAT1)/7)+1)</f>
        <v/>
      </c>
      <c r="J600">
        <f>IF(I600="","",IF(OR(I600&lt;1,I600&gt;NW),"",INDEX(WMON,I600)))</f>
        <v/>
      </c>
    </row>
    <row r="601">
      <c r="A601" s="48" t="n"/>
      <c r="B601" s="22" t="n"/>
      <c r="C601" s="50" t="n"/>
      <c r="D601" s="49" t="n"/>
      <c r="E601" s="50" t="n"/>
      <c r="G601">
        <f>IF(AND(B601&lt;&gt;"",COUNTIF(B$6:B601,B601)=1),MAX(G$5:G600)+1,"")</f>
        <v/>
      </c>
      <c r="H601">
        <f>IF(A601="","",IF(ISNUMBER(A601),IF(A601&lt;=31,"",IF(A601&lt;=3112,IF(DATE(YR,MOD(A601,100),INT(A601/100))&gt;SAT1+7*NW-1,DATE(YR-1,MOD(A601,100),INT(A601/100)),DATE(YR,MOD(A601,100),INT(A601/100))),A601)),IFERROR(DATEVALUE(A601),"")))</f>
        <v/>
      </c>
      <c r="I601">
        <f>IF(H601="","",INT((H601-SAT1)/7)+1)</f>
        <v/>
      </c>
      <c r="J601">
        <f>IF(I601="","",IF(OR(I601&lt;1,I601&gt;NW),"",INDEX(WMON,I601)))</f>
        <v/>
      </c>
    </row>
    <row r="602">
      <c r="A602" s="48" t="n"/>
      <c r="B602" s="22" t="n"/>
      <c r="C602" s="50" t="n"/>
      <c r="D602" s="49" t="n"/>
      <c r="E602" s="50" t="n"/>
      <c r="G602">
        <f>IF(AND(B602&lt;&gt;"",COUNTIF(B$6:B602,B602)=1),MAX(G$5:G601)+1,"")</f>
        <v/>
      </c>
      <c r="H602">
        <f>IF(A602="","",IF(ISNUMBER(A602),IF(A602&lt;=31,"",IF(A602&lt;=3112,IF(DATE(YR,MOD(A602,100),INT(A602/100))&gt;SAT1+7*NW-1,DATE(YR-1,MOD(A602,100),INT(A602/100)),DATE(YR,MOD(A602,100),INT(A602/100))),A602)),IFERROR(DATEVALUE(A602),"")))</f>
        <v/>
      </c>
      <c r="I602">
        <f>IF(H602="","",INT((H602-SAT1)/7)+1)</f>
        <v/>
      </c>
      <c r="J602">
        <f>IF(I602="","",IF(OR(I602&lt;1,I602&gt;NW),"",INDEX(WMON,I602)))</f>
        <v/>
      </c>
    </row>
    <row r="603">
      <c r="A603" s="48" t="n"/>
      <c r="B603" s="22" t="n"/>
      <c r="C603" s="50" t="n"/>
      <c r="D603" s="49" t="n"/>
      <c r="E603" s="50" t="n"/>
      <c r="G603">
        <f>IF(AND(B603&lt;&gt;"",COUNTIF(B$6:B603,B603)=1),MAX(G$5:G602)+1,"")</f>
        <v/>
      </c>
      <c r="H603">
        <f>IF(A603="","",IF(ISNUMBER(A603),IF(A603&lt;=31,"",IF(A603&lt;=3112,IF(DATE(YR,MOD(A603,100),INT(A603/100))&gt;SAT1+7*NW-1,DATE(YR-1,MOD(A603,100),INT(A603/100)),DATE(YR,MOD(A603,100),INT(A603/100))),A603)),IFERROR(DATEVALUE(A603),"")))</f>
        <v/>
      </c>
      <c r="I603">
        <f>IF(H603="","",INT((H603-SAT1)/7)+1)</f>
        <v/>
      </c>
      <c r="J603">
        <f>IF(I603="","",IF(OR(I603&lt;1,I603&gt;NW),"",INDEX(WMON,I603)))</f>
        <v/>
      </c>
    </row>
    <row r="604">
      <c r="A604" s="48" t="n"/>
      <c r="B604" s="22" t="n"/>
      <c r="C604" s="50" t="n"/>
      <c r="D604" s="49" t="n"/>
      <c r="E604" s="50" t="n"/>
      <c r="G604">
        <f>IF(AND(B604&lt;&gt;"",COUNTIF(B$6:B604,B604)=1),MAX(G$5:G603)+1,"")</f>
        <v/>
      </c>
      <c r="H604">
        <f>IF(A604="","",IF(ISNUMBER(A604),IF(A604&lt;=31,"",IF(A604&lt;=3112,IF(DATE(YR,MOD(A604,100),INT(A604/100))&gt;SAT1+7*NW-1,DATE(YR-1,MOD(A604,100),INT(A604/100)),DATE(YR,MOD(A604,100),INT(A604/100))),A604)),IFERROR(DATEVALUE(A604),"")))</f>
        <v/>
      </c>
      <c r="I604">
        <f>IF(H604="","",INT((H604-SAT1)/7)+1)</f>
        <v/>
      </c>
      <c r="J604">
        <f>IF(I604="","",IF(OR(I604&lt;1,I604&gt;NW),"",INDEX(WMON,I604)))</f>
        <v/>
      </c>
    </row>
    <row r="605">
      <c r="A605" s="48" t="n"/>
      <c r="B605" s="22" t="n"/>
      <c r="C605" s="50" t="n"/>
      <c r="D605" s="49" t="n"/>
      <c r="E605" s="50" t="n"/>
      <c r="G605">
        <f>IF(AND(B605&lt;&gt;"",COUNTIF(B$6:B605,B605)=1),MAX(G$5:G604)+1,"")</f>
        <v/>
      </c>
      <c r="H605">
        <f>IF(A605="","",IF(ISNUMBER(A605),IF(A605&lt;=31,"",IF(A605&lt;=3112,IF(DATE(YR,MOD(A605,100),INT(A605/100))&gt;SAT1+7*NW-1,DATE(YR-1,MOD(A605,100),INT(A605/100)),DATE(YR,MOD(A605,100),INT(A605/100))),A605)),IFERROR(DATEVALUE(A605),"")))</f>
        <v/>
      </c>
      <c r="I605">
        <f>IF(H605="","",INT((H605-SAT1)/7)+1)</f>
        <v/>
      </c>
      <c r="J605">
        <f>IF(I605="","",IF(OR(I605&lt;1,I605&gt;NW),"",INDEX(WMON,I605)))</f>
        <v/>
      </c>
    </row>
    <row r="606">
      <c r="C606" s="28" t="inlineStr">
        <is>
          <t>مجموع السنة</t>
        </is>
      </c>
      <c r="D606" s="59">
        <f>SUM(D6:D605)</f>
        <v/>
      </c>
    </row>
    <row r="608">
      <c r="A608" s="52">
        <f>"ضل "&amp;COUNTBLANK(A6:A605)&amp;" سطر فاضي"</f>
        <v/>
      </c>
      <c r="B608" s="17" t="inlineStr">
        <is>
          <t>مثال: 0710 · محمد · تنزيل طبلية جبسمبورد · 10.000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2:E2"/>
    <mergeCell ref="B608:E608"/>
    <mergeCell ref="A1:E1"/>
    <mergeCell ref="A3:E3"/>
  </mergeCells>
  <conditionalFormatting sqref="A6:E605">
    <cfRule type="expression" priority="1" dxfId="5">
      <formula>AND($A6&lt;&gt;"",$H6="")</formula>
    </cfRule>
  </conditionalFormatting>
  <dataValidations count="1">
    <dataValidation sqref="A6:A605" showDropDown="0" showInputMessage="1" showErrorMessage="0" allowBlank="1" promptTitle="التاريخ" prompt="اختار من آخر 14 يوم، أو اكتب يوم وشهر (0510 = 05/10)، أو التاريخ كامل" type="list">
      <formula1>='القوائم'!$N$1:$N$14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3" customWidth="1" min="10" max="10"/>
    <col width="12" customWidth="1" min="11" max="11"/>
    <col width="8" customWidth="1" min="12" max="12"/>
  </cols>
  <sheetData>
    <row r="1" ht="32" customHeight="1">
      <c r="A1" s="1" t="inlineStr">
        <is>
          <t>دفتر الأسابيع — كل أسبوع بالسنة لكل موظف (محسوب، ما في كتابة هون)</t>
        </is>
      </c>
    </row>
    <row r="2" ht="22" customHeight="1">
      <c r="A2" s="16">
        <f>"سنة "&amp;YR&amp;"   (السنة بتنختار من ورقة التسوية)"</f>
        <v/>
      </c>
    </row>
    <row r="3" ht="28" customHeight="1">
      <c r="A3" s="15" t="inlineStr">
        <is>
          <t>«الصافي للدفع» = الباقي من الأسبوع الماضي + المستحق + الإكرامية − السلف − القسط (− اللي قبضه يومياً لعبدالعزيز). «الباقي له» = الصافي − المدفوع، وبينتقل لحاله للأسبوع الجاي.</t>
        </is>
      </c>
    </row>
    <row r="5">
      <c r="A5" s="60" t="inlineStr">
        <is>
          <t>عمر المصري</t>
        </is>
      </c>
    </row>
    <row r="6" ht="30" customHeight="1">
      <c r="A6" s="61" t="inlineStr">
        <is>
          <t>الأسبوع</t>
        </is>
      </c>
      <c r="B6" s="61" t="inlineStr">
        <is>
          <t>الجمعة</t>
        </is>
      </c>
      <c r="C6" s="61" t="inlineStr">
        <is>
          <t>المستحق</t>
        </is>
      </c>
      <c r="D6" s="61" t="inlineStr">
        <is>
          <t>إكرامية</t>
        </is>
      </c>
      <c r="E6" s="61" t="inlineStr">
        <is>
          <t>سلف</t>
        </is>
      </c>
      <c r="F6" s="61" t="inlineStr">
        <is>
          <t>قسط الدين</t>
        </is>
      </c>
      <c r="G6" s="61" t="inlineStr">
        <is>
          <t>الصافي للدفع</t>
        </is>
      </c>
      <c r="H6" s="61" t="inlineStr">
        <is>
          <t>المدفوع</t>
        </is>
      </c>
      <c r="I6" s="61" t="inlineStr">
        <is>
          <t>الباقي له</t>
        </is>
      </c>
      <c r="J6" s="61" t="inlineStr">
        <is>
          <t>الدين المتبقي</t>
        </is>
      </c>
      <c r="K6" s="61" t="inlineStr"/>
      <c r="L6" s="61" t="inlineStr">
        <is>
          <t>شهر</t>
        </is>
      </c>
    </row>
    <row r="7">
      <c r="A7" s="62">
        <f>IF(1&lt;=NW,1,"")</f>
        <v/>
      </c>
      <c r="B7" s="20">
        <f>IF(1&lt;=NW,SAT1+6,"")</f>
        <v/>
      </c>
      <c r="C7" s="63">
        <f>IF('ساعات عمر'!$M$6=1,N('ساعات عمر'!H15),"")</f>
        <v/>
      </c>
      <c r="D7" s="63">
        <f>IF('ساعات عمر'!$M$6=1,N('ساعات عمر'!D16),"")</f>
        <v/>
      </c>
      <c r="E7" s="63">
        <f>IF('ساعات عمر'!$M$6=1,SUMIFS(ADV_AMT,ADV_E,"عمر المصري",ADV_W,1),"")</f>
        <v/>
      </c>
      <c r="F7" s="63">
        <f>IF('ساعات عمر'!$M$6=1,IF(N(C7)=0,0,MAX(0,FLOOR(MIN(IF(SUMPRODUCT(MAX((LG_E="عمر المصري")*(LG_INST&lt;&gt;"")*(LG_D&lt;=B7)*LG_IDX))=0,'بداية السنة'!$E$6,INDEX(LG_INST,SUMPRODUCT(MAX((LG_E="عمر المصري")*(LG_INST&lt;&gt;"")*(LG_D&lt;=B7)*LG_IDX)))),'بداية السنة'!$D$6+SUMIFS(LG_DEBT,LG_E,"عمر المصري",LG_D,"&lt;="&amp;B7)-SUMIFS(LG_REP,LG_E,"عمر المصري",LG_D,"&lt;="&amp;B7)-0,INST_CAP*(N(C7)+N(D7)),N(C7)+N(D7)-N(E7)-N(K7)-NET_FLOOR*N(C7)),0.25))),"")</f>
        <v/>
      </c>
      <c r="G7" s="64">
        <f>IF('ساعات عمر'!$M$6=1,IF(1=START_O,'بداية السنة'!$C$6,0)+N(C7)+N(D7)-N(E7)-N(F7)-N(K7),"")</f>
        <v/>
      </c>
      <c r="H7" s="63">
        <f>IF('ساعات عمر'!$M$6=1,N('ساعات عمر'!G16),"")</f>
        <v/>
      </c>
      <c r="I7" s="63">
        <f>IF('ساعات عمر'!$M$6=1,G7-H7,"")</f>
        <v/>
      </c>
      <c r="J7" s="65">
        <f>IF('ساعات عمر'!$M$6=1,MAX(0,'بداية السنة'!$D$6+SUMIFS(LG_DEBT,LG_E,"عمر المصري",LG_D,"&lt;="&amp;B7)-SUMIFS(LG_REP,LG_E,"عمر المصري",LG_D,"&lt;="&amp;B7)-SUM(F7:F7)),"")</f>
        <v/>
      </c>
      <c r="K7" s="66">
        <f>0</f>
        <v/>
      </c>
      <c r="L7" s="62">
        <f>IF(B7="","",MONTH(B7))</f>
        <v/>
      </c>
    </row>
    <row r="8">
      <c r="A8" s="62">
        <f>IF(2&lt;=NW,2,"")</f>
        <v/>
      </c>
      <c r="B8" s="20">
        <f>IF(2&lt;=NW,SAT1+13,"")</f>
        <v/>
      </c>
      <c r="C8" s="63">
        <f>IF('ساعات عمر'!$M$17=1,N('ساعات عمر'!H26),"")</f>
        <v/>
      </c>
      <c r="D8" s="63">
        <f>IF('ساعات عمر'!$M$17=1,N('ساعات عمر'!D27),"")</f>
        <v/>
      </c>
      <c r="E8" s="63">
        <f>IF('ساعات عمر'!$M$17=1,SUMIFS(ADV_AMT,ADV_E,"عمر المصري",ADV_W,2),"")</f>
        <v/>
      </c>
      <c r="F8" s="63">
        <f>IF('ساعات عمر'!$M$17=1,IF(N(C8)=0,0,MAX(0,FLOOR(MIN(IF(SUMPRODUCT(MAX((LG_E="عمر المصري")*(LG_INST&lt;&gt;"")*(LG_D&lt;=B8)*LG_IDX))=0,'بداية السنة'!$E$6,INDEX(LG_INST,SUMPRODUCT(MAX((LG_E="عمر المصري")*(LG_INST&lt;&gt;"")*(LG_D&lt;=B8)*LG_IDX)))),'بداية السنة'!$D$6+SUMIFS(LG_DEBT,LG_E,"عمر المصري",LG_D,"&lt;="&amp;B8)-SUMIFS(LG_REP,LG_E,"عمر المصري",LG_D,"&lt;="&amp;B8)-SUM(F7:F7),INST_CAP*(N(C8)+N(D8)),N(C8)+N(D8)-N(E8)-N(K8)-NET_FLOOR*N(C8)),0.25))),"")</f>
        <v/>
      </c>
      <c r="G8" s="64">
        <f>IF('ساعات عمر'!$M$17=1,IF(2=START_O,'بداية السنة'!$C$6,N(I7))+N(C8)+N(D8)-N(E8)-N(F8)-N(K8),"")</f>
        <v/>
      </c>
      <c r="H8" s="63">
        <f>IF('ساعات عمر'!$M$17=1,N('ساعات عمر'!G27),"")</f>
        <v/>
      </c>
      <c r="I8" s="63">
        <f>IF('ساعات عمر'!$M$17=1,G8-H8,"")</f>
        <v/>
      </c>
      <c r="J8" s="65">
        <f>IF('ساعات عمر'!$M$17=1,MAX(0,'بداية السنة'!$D$6+SUMIFS(LG_DEBT,LG_E,"عمر المصري",LG_D,"&lt;="&amp;B8)-SUMIFS(LG_REP,LG_E,"عمر المصري",LG_D,"&lt;="&amp;B8)-SUM(F7:F8)),"")</f>
        <v/>
      </c>
      <c r="K8" s="66">
        <f>0</f>
        <v/>
      </c>
      <c r="L8" s="62">
        <f>IF(B8="","",MONTH(B8))</f>
        <v/>
      </c>
    </row>
    <row r="9">
      <c r="A9" s="62">
        <f>IF(3&lt;=NW,3,"")</f>
        <v/>
      </c>
      <c r="B9" s="20">
        <f>IF(3&lt;=NW,SAT1+20,"")</f>
        <v/>
      </c>
      <c r="C9" s="63">
        <f>IF('ساعات عمر'!$M$28=1,N('ساعات عمر'!H37),"")</f>
        <v/>
      </c>
      <c r="D9" s="63">
        <f>IF('ساعات عمر'!$M$28=1,N('ساعات عمر'!D38),"")</f>
        <v/>
      </c>
      <c r="E9" s="63">
        <f>IF('ساعات عمر'!$M$28=1,SUMIFS(ADV_AMT,ADV_E,"عمر المصري",ADV_W,3),"")</f>
        <v/>
      </c>
      <c r="F9" s="63">
        <f>IF('ساعات عمر'!$M$28=1,IF(N(C9)=0,0,MAX(0,FLOOR(MIN(IF(SUMPRODUCT(MAX((LG_E="عمر المصري")*(LG_INST&lt;&gt;"")*(LG_D&lt;=B9)*LG_IDX))=0,'بداية السنة'!$E$6,INDEX(LG_INST,SUMPRODUCT(MAX((LG_E="عمر المصري")*(LG_INST&lt;&gt;"")*(LG_D&lt;=B9)*LG_IDX)))),'بداية السنة'!$D$6+SUMIFS(LG_DEBT,LG_E,"عمر المصري",LG_D,"&lt;="&amp;B9)-SUMIFS(LG_REP,LG_E,"عمر المصري",LG_D,"&lt;="&amp;B9)-SUM(F7:F8),INST_CAP*(N(C9)+N(D9)),N(C9)+N(D9)-N(E9)-N(K9)-NET_FLOOR*N(C9)),0.25))),"")</f>
        <v/>
      </c>
      <c r="G9" s="64">
        <f>IF('ساعات عمر'!$M$28=1,IF(3=START_O,'بداية السنة'!$C$6,N(I8))+N(C9)+N(D9)-N(E9)-N(F9)-N(K9),"")</f>
        <v/>
      </c>
      <c r="H9" s="63">
        <f>IF('ساعات عمر'!$M$28=1,N('ساعات عمر'!G38),"")</f>
        <v/>
      </c>
      <c r="I9" s="63">
        <f>IF('ساعات عمر'!$M$28=1,G9-H9,"")</f>
        <v/>
      </c>
      <c r="J9" s="65">
        <f>IF('ساعات عمر'!$M$28=1,MAX(0,'بداية السنة'!$D$6+SUMIFS(LG_DEBT,LG_E,"عمر المصري",LG_D,"&lt;="&amp;B9)-SUMIFS(LG_REP,LG_E,"عمر المصري",LG_D,"&lt;="&amp;B9)-SUM(F7:F9)),"")</f>
        <v/>
      </c>
      <c r="K9" s="66">
        <f>0</f>
        <v/>
      </c>
      <c r="L9" s="62">
        <f>IF(B9="","",MONTH(B9))</f>
        <v/>
      </c>
    </row>
    <row r="10">
      <c r="A10" s="62">
        <f>IF(4&lt;=NW,4,"")</f>
        <v/>
      </c>
      <c r="B10" s="20">
        <f>IF(4&lt;=NW,SAT1+27,"")</f>
        <v/>
      </c>
      <c r="C10" s="63">
        <f>IF('ساعات عمر'!$M$39=1,N('ساعات عمر'!H48),"")</f>
        <v/>
      </c>
      <c r="D10" s="63">
        <f>IF('ساعات عمر'!$M$39=1,N('ساعات عمر'!D49),"")</f>
        <v/>
      </c>
      <c r="E10" s="63">
        <f>IF('ساعات عمر'!$M$39=1,SUMIFS(ADV_AMT,ADV_E,"عمر المصري",ADV_W,4),"")</f>
        <v/>
      </c>
      <c r="F10" s="63">
        <f>IF('ساعات عمر'!$M$39=1,IF(N(C10)=0,0,MAX(0,FLOOR(MIN(IF(SUMPRODUCT(MAX((LG_E="عمر المصري")*(LG_INST&lt;&gt;"")*(LG_D&lt;=B10)*LG_IDX))=0,'بداية السنة'!$E$6,INDEX(LG_INST,SUMPRODUCT(MAX((LG_E="عمر المصري")*(LG_INST&lt;&gt;"")*(LG_D&lt;=B10)*LG_IDX)))),'بداية السنة'!$D$6+SUMIFS(LG_DEBT,LG_E,"عمر المصري",LG_D,"&lt;="&amp;B10)-SUMIFS(LG_REP,LG_E,"عمر المصري",LG_D,"&lt;="&amp;B10)-SUM(F7:F9),INST_CAP*(N(C10)+N(D10)),N(C10)+N(D10)-N(E10)-N(K10)-NET_FLOOR*N(C10)),0.25))),"")</f>
        <v/>
      </c>
      <c r="G10" s="64">
        <f>IF('ساعات عمر'!$M$39=1,IF(4=START_O,'بداية السنة'!$C$6,N(I9))+N(C10)+N(D10)-N(E10)-N(F10)-N(K10),"")</f>
        <v/>
      </c>
      <c r="H10" s="63">
        <f>IF('ساعات عمر'!$M$39=1,N('ساعات عمر'!G49),"")</f>
        <v/>
      </c>
      <c r="I10" s="63">
        <f>IF('ساعات عمر'!$M$39=1,G10-H10,"")</f>
        <v/>
      </c>
      <c r="J10" s="65">
        <f>IF('ساعات عمر'!$M$39=1,MAX(0,'بداية السنة'!$D$6+SUMIFS(LG_DEBT,LG_E,"عمر المصري",LG_D,"&lt;="&amp;B10)-SUMIFS(LG_REP,LG_E,"عمر المصري",LG_D,"&lt;="&amp;B10)-SUM(F7:F10)),"")</f>
        <v/>
      </c>
      <c r="K10" s="66">
        <f>0</f>
        <v/>
      </c>
      <c r="L10" s="62">
        <f>IF(B10="","",MONTH(B10))</f>
        <v/>
      </c>
    </row>
    <row r="11">
      <c r="A11" s="62">
        <f>IF(5&lt;=NW,5,"")</f>
        <v/>
      </c>
      <c r="B11" s="20">
        <f>IF(5&lt;=NW,SAT1+34,"")</f>
        <v/>
      </c>
      <c r="C11" s="63">
        <f>IF('ساعات عمر'!$M$50=1,N('ساعات عمر'!H59),"")</f>
        <v/>
      </c>
      <c r="D11" s="63">
        <f>IF('ساعات عمر'!$M$50=1,N('ساعات عمر'!D60),"")</f>
        <v/>
      </c>
      <c r="E11" s="63">
        <f>IF('ساعات عمر'!$M$50=1,SUMIFS(ADV_AMT,ADV_E,"عمر المصري",ADV_W,5),"")</f>
        <v/>
      </c>
      <c r="F11" s="63">
        <f>IF('ساعات عمر'!$M$50=1,IF(N(C11)=0,0,MAX(0,FLOOR(MIN(IF(SUMPRODUCT(MAX((LG_E="عمر المصري")*(LG_INST&lt;&gt;"")*(LG_D&lt;=B11)*LG_IDX))=0,'بداية السنة'!$E$6,INDEX(LG_INST,SUMPRODUCT(MAX((LG_E="عمر المصري")*(LG_INST&lt;&gt;"")*(LG_D&lt;=B11)*LG_IDX)))),'بداية السنة'!$D$6+SUMIFS(LG_DEBT,LG_E,"عمر المصري",LG_D,"&lt;="&amp;B11)-SUMIFS(LG_REP,LG_E,"عمر المصري",LG_D,"&lt;="&amp;B11)-SUM(F7:F10),INST_CAP*(N(C11)+N(D11)),N(C11)+N(D11)-N(E11)-N(K11)-NET_FLOOR*N(C11)),0.25))),"")</f>
        <v/>
      </c>
      <c r="G11" s="64">
        <f>IF('ساعات عمر'!$M$50=1,IF(5=START_O,'بداية السنة'!$C$6,N(I10))+N(C11)+N(D11)-N(E11)-N(F11)-N(K11),"")</f>
        <v/>
      </c>
      <c r="H11" s="63">
        <f>IF('ساعات عمر'!$M$50=1,N('ساعات عمر'!G60),"")</f>
        <v/>
      </c>
      <c r="I11" s="63">
        <f>IF('ساعات عمر'!$M$50=1,G11-H11,"")</f>
        <v/>
      </c>
      <c r="J11" s="65">
        <f>IF('ساعات عمر'!$M$50=1,MAX(0,'بداية السنة'!$D$6+SUMIFS(LG_DEBT,LG_E,"عمر المصري",LG_D,"&lt;="&amp;B11)-SUMIFS(LG_REP,LG_E,"عمر المصري",LG_D,"&lt;="&amp;B11)-SUM(F7:F11)),"")</f>
        <v/>
      </c>
      <c r="K11" s="66">
        <f>0</f>
        <v/>
      </c>
      <c r="L11" s="62">
        <f>IF(B11="","",MONTH(B11))</f>
        <v/>
      </c>
    </row>
    <row r="12">
      <c r="A12" s="62">
        <f>IF(6&lt;=NW,6,"")</f>
        <v/>
      </c>
      <c r="B12" s="20">
        <f>IF(6&lt;=NW,SAT1+41,"")</f>
        <v/>
      </c>
      <c r="C12" s="63">
        <f>IF('ساعات عمر'!$M$61=1,N('ساعات عمر'!H70),"")</f>
        <v/>
      </c>
      <c r="D12" s="63">
        <f>IF('ساعات عمر'!$M$61=1,N('ساعات عمر'!D71),"")</f>
        <v/>
      </c>
      <c r="E12" s="63">
        <f>IF('ساعات عمر'!$M$61=1,SUMIFS(ADV_AMT,ADV_E,"عمر المصري",ADV_W,6),"")</f>
        <v/>
      </c>
      <c r="F12" s="63">
        <f>IF('ساعات عمر'!$M$61=1,IF(N(C12)=0,0,MAX(0,FLOOR(MIN(IF(SUMPRODUCT(MAX((LG_E="عمر المصري")*(LG_INST&lt;&gt;"")*(LG_D&lt;=B12)*LG_IDX))=0,'بداية السنة'!$E$6,INDEX(LG_INST,SUMPRODUCT(MAX((LG_E="عمر المصري")*(LG_INST&lt;&gt;"")*(LG_D&lt;=B12)*LG_IDX)))),'بداية السنة'!$D$6+SUMIFS(LG_DEBT,LG_E,"عمر المصري",LG_D,"&lt;="&amp;B12)-SUMIFS(LG_REP,LG_E,"عمر المصري",LG_D,"&lt;="&amp;B12)-SUM(F7:F11),INST_CAP*(N(C12)+N(D12)),N(C12)+N(D12)-N(E12)-N(K12)-NET_FLOOR*N(C12)),0.25))),"")</f>
        <v/>
      </c>
      <c r="G12" s="64">
        <f>IF('ساعات عمر'!$M$61=1,IF(6=START_O,'بداية السنة'!$C$6,N(I11))+N(C12)+N(D12)-N(E12)-N(F12)-N(K12),"")</f>
        <v/>
      </c>
      <c r="H12" s="63">
        <f>IF('ساعات عمر'!$M$61=1,N('ساعات عمر'!G71),"")</f>
        <v/>
      </c>
      <c r="I12" s="63">
        <f>IF('ساعات عمر'!$M$61=1,G12-H12,"")</f>
        <v/>
      </c>
      <c r="J12" s="65">
        <f>IF('ساعات عمر'!$M$61=1,MAX(0,'بداية السنة'!$D$6+SUMIFS(LG_DEBT,LG_E,"عمر المصري",LG_D,"&lt;="&amp;B12)-SUMIFS(LG_REP,LG_E,"عمر المصري",LG_D,"&lt;="&amp;B12)-SUM(F7:F12)),"")</f>
        <v/>
      </c>
      <c r="K12" s="66">
        <f>0</f>
        <v/>
      </c>
      <c r="L12" s="62">
        <f>IF(B12="","",MONTH(B12))</f>
        <v/>
      </c>
    </row>
    <row r="13">
      <c r="A13" s="62">
        <f>IF(7&lt;=NW,7,"")</f>
        <v/>
      </c>
      <c r="B13" s="20">
        <f>IF(7&lt;=NW,SAT1+48,"")</f>
        <v/>
      </c>
      <c r="C13" s="63">
        <f>IF('ساعات عمر'!$M$72=1,N('ساعات عمر'!H81),"")</f>
        <v/>
      </c>
      <c r="D13" s="63">
        <f>IF('ساعات عمر'!$M$72=1,N('ساعات عمر'!D82),"")</f>
        <v/>
      </c>
      <c r="E13" s="63">
        <f>IF('ساعات عمر'!$M$72=1,SUMIFS(ADV_AMT,ADV_E,"عمر المصري",ADV_W,7),"")</f>
        <v/>
      </c>
      <c r="F13" s="63">
        <f>IF('ساعات عمر'!$M$72=1,IF(N(C13)=0,0,MAX(0,FLOOR(MIN(IF(SUMPRODUCT(MAX((LG_E="عمر المصري")*(LG_INST&lt;&gt;"")*(LG_D&lt;=B13)*LG_IDX))=0,'بداية السنة'!$E$6,INDEX(LG_INST,SUMPRODUCT(MAX((LG_E="عمر المصري")*(LG_INST&lt;&gt;"")*(LG_D&lt;=B13)*LG_IDX)))),'بداية السنة'!$D$6+SUMIFS(LG_DEBT,LG_E,"عمر المصري",LG_D,"&lt;="&amp;B13)-SUMIFS(LG_REP,LG_E,"عمر المصري",LG_D,"&lt;="&amp;B13)-SUM(F7:F12),INST_CAP*(N(C13)+N(D13)),N(C13)+N(D13)-N(E13)-N(K13)-NET_FLOOR*N(C13)),0.25))),"")</f>
        <v/>
      </c>
      <c r="G13" s="64">
        <f>IF('ساعات عمر'!$M$72=1,IF(7=START_O,'بداية السنة'!$C$6,N(I12))+N(C13)+N(D13)-N(E13)-N(F13)-N(K13),"")</f>
        <v/>
      </c>
      <c r="H13" s="63">
        <f>IF('ساعات عمر'!$M$72=1,N('ساعات عمر'!G82),"")</f>
        <v/>
      </c>
      <c r="I13" s="63">
        <f>IF('ساعات عمر'!$M$72=1,G13-H13,"")</f>
        <v/>
      </c>
      <c r="J13" s="65">
        <f>IF('ساعات عمر'!$M$72=1,MAX(0,'بداية السنة'!$D$6+SUMIFS(LG_DEBT,LG_E,"عمر المصري",LG_D,"&lt;="&amp;B13)-SUMIFS(LG_REP,LG_E,"عمر المصري",LG_D,"&lt;="&amp;B13)-SUM(F7:F13)),"")</f>
        <v/>
      </c>
      <c r="K13" s="66">
        <f>0</f>
        <v/>
      </c>
      <c r="L13" s="62">
        <f>IF(B13="","",MONTH(B13))</f>
        <v/>
      </c>
    </row>
    <row r="14">
      <c r="A14" s="62">
        <f>IF(8&lt;=NW,8,"")</f>
        <v/>
      </c>
      <c r="B14" s="20">
        <f>IF(8&lt;=NW,SAT1+55,"")</f>
        <v/>
      </c>
      <c r="C14" s="63">
        <f>IF('ساعات عمر'!$M$83=1,N('ساعات عمر'!H92),"")</f>
        <v/>
      </c>
      <c r="D14" s="63">
        <f>IF('ساعات عمر'!$M$83=1,N('ساعات عمر'!D93),"")</f>
        <v/>
      </c>
      <c r="E14" s="63">
        <f>IF('ساعات عمر'!$M$83=1,SUMIFS(ADV_AMT,ADV_E,"عمر المصري",ADV_W,8),"")</f>
        <v/>
      </c>
      <c r="F14" s="63">
        <f>IF('ساعات عمر'!$M$83=1,IF(N(C14)=0,0,MAX(0,FLOOR(MIN(IF(SUMPRODUCT(MAX((LG_E="عمر المصري")*(LG_INST&lt;&gt;"")*(LG_D&lt;=B14)*LG_IDX))=0,'بداية السنة'!$E$6,INDEX(LG_INST,SUMPRODUCT(MAX((LG_E="عمر المصري")*(LG_INST&lt;&gt;"")*(LG_D&lt;=B14)*LG_IDX)))),'بداية السنة'!$D$6+SUMIFS(LG_DEBT,LG_E,"عمر المصري",LG_D,"&lt;="&amp;B14)-SUMIFS(LG_REP,LG_E,"عمر المصري",LG_D,"&lt;="&amp;B14)-SUM(F7:F13),INST_CAP*(N(C14)+N(D14)),N(C14)+N(D14)-N(E14)-N(K14)-NET_FLOOR*N(C14)),0.25))),"")</f>
        <v/>
      </c>
      <c r="G14" s="64">
        <f>IF('ساعات عمر'!$M$83=1,IF(8=START_O,'بداية السنة'!$C$6,N(I13))+N(C14)+N(D14)-N(E14)-N(F14)-N(K14),"")</f>
        <v/>
      </c>
      <c r="H14" s="63">
        <f>IF('ساعات عمر'!$M$83=1,N('ساعات عمر'!G93),"")</f>
        <v/>
      </c>
      <c r="I14" s="63">
        <f>IF('ساعات عمر'!$M$83=1,G14-H14,"")</f>
        <v/>
      </c>
      <c r="J14" s="65">
        <f>IF('ساعات عمر'!$M$83=1,MAX(0,'بداية السنة'!$D$6+SUMIFS(LG_DEBT,LG_E,"عمر المصري",LG_D,"&lt;="&amp;B14)-SUMIFS(LG_REP,LG_E,"عمر المصري",LG_D,"&lt;="&amp;B14)-SUM(F7:F14)),"")</f>
        <v/>
      </c>
      <c r="K14" s="66">
        <f>0</f>
        <v/>
      </c>
      <c r="L14" s="62">
        <f>IF(B14="","",MONTH(B14))</f>
        <v/>
      </c>
    </row>
    <row r="15">
      <c r="A15" s="62">
        <f>IF(9&lt;=NW,9,"")</f>
        <v/>
      </c>
      <c r="B15" s="20">
        <f>IF(9&lt;=NW,SAT1+62,"")</f>
        <v/>
      </c>
      <c r="C15" s="63">
        <f>IF('ساعات عمر'!$M$94=1,N('ساعات عمر'!H103),"")</f>
        <v/>
      </c>
      <c r="D15" s="63">
        <f>IF('ساعات عمر'!$M$94=1,N('ساعات عمر'!D104),"")</f>
        <v/>
      </c>
      <c r="E15" s="63">
        <f>IF('ساعات عمر'!$M$94=1,SUMIFS(ADV_AMT,ADV_E,"عمر المصري",ADV_W,9),"")</f>
        <v/>
      </c>
      <c r="F15" s="63">
        <f>IF('ساعات عمر'!$M$94=1,IF(N(C15)=0,0,MAX(0,FLOOR(MIN(IF(SUMPRODUCT(MAX((LG_E="عمر المصري")*(LG_INST&lt;&gt;"")*(LG_D&lt;=B15)*LG_IDX))=0,'بداية السنة'!$E$6,INDEX(LG_INST,SUMPRODUCT(MAX((LG_E="عمر المصري")*(LG_INST&lt;&gt;"")*(LG_D&lt;=B15)*LG_IDX)))),'بداية السنة'!$D$6+SUMIFS(LG_DEBT,LG_E,"عمر المصري",LG_D,"&lt;="&amp;B15)-SUMIFS(LG_REP,LG_E,"عمر المصري",LG_D,"&lt;="&amp;B15)-SUM(F7:F14),INST_CAP*(N(C15)+N(D15)),N(C15)+N(D15)-N(E15)-N(K15)-NET_FLOOR*N(C15)),0.25))),"")</f>
        <v/>
      </c>
      <c r="G15" s="64">
        <f>IF('ساعات عمر'!$M$94=1,IF(9=START_O,'بداية السنة'!$C$6,N(I14))+N(C15)+N(D15)-N(E15)-N(F15)-N(K15),"")</f>
        <v/>
      </c>
      <c r="H15" s="63">
        <f>IF('ساعات عمر'!$M$94=1,N('ساعات عمر'!G104),"")</f>
        <v/>
      </c>
      <c r="I15" s="63">
        <f>IF('ساعات عمر'!$M$94=1,G15-H15,"")</f>
        <v/>
      </c>
      <c r="J15" s="65">
        <f>IF('ساعات عمر'!$M$94=1,MAX(0,'بداية السنة'!$D$6+SUMIFS(LG_DEBT,LG_E,"عمر المصري",LG_D,"&lt;="&amp;B15)-SUMIFS(LG_REP,LG_E,"عمر المصري",LG_D,"&lt;="&amp;B15)-SUM(F7:F15)),"")</f>
        <v/>
      </c>
      <c r="K15" s="66">
        <f>0</f>
        <v/>
      </c>
      <c r="L15" s="62">
        <f>IF(B15="","",MONTH(B15))</f>
        <v/>
      </c>
    </row>
    <row r="16">
      <c r="A16" s="62">
        <f>IF(10&lt;=NW,10,"")</f>
        <v/>
      </c>
      <c r="B16" s="20">
        <f>IF(10&lt;=NW,SAT1+69,"")</f>
        <v/>
      </c>
      <c r="C16" s="63">
        <f>IF('ساعات عمر'!$M$105=1,N('ساعات عمر'!H114),"")</f>
        <v/>
      </c>
      <c r="D16" s="63">
        <f>IF('ساعات عمر'!$M$105=1,N('ساعات عمر'!D115),"")</f>
        <v/>
      </c>
      <c r="E16" s="63">
        <f>IF('ساعات عمر'!$M$105=1,SUMIFS(ADV_AMT,ADV_E,"عمر المصري",ADV_W,10),"")</f>
        <v/>
      </c>
      <c r="F16" s="63">
        <f>IF('ساعات عمر'!$M$105=1,IF(N(C16)=0,0,MAX(0,FLOOR(MIN(IF(SUMPRODUCT(MAX((LG_E="عمر المصري")*(LG_INST&lt;&gt;"")*(LG_D&lt;=B16)*LG_IDX))=0,'بداية السنة'!$E$6,INDEX(LG_INST,SUMPRODUCT(MAX((LG_E="عمر المصري")*(LG_INST&lt;&gt;"")*(LG_D&lt;=B16)*LG_IDX)))),'بداية السنة'!$D$6+SUMIFS(LG_DEBT,LG_E,"عمر المصري",LG_D,"&lt;="&amp;B16)-SUMIFS(LG_REP,LG_E,"عمر المصري",LG_D,"&lt;="&amp;B16)-SUM(F7:F15),INST_CAP*(N(C16)+N(D16)),N(C16)+N(D16)-N(E16)-N(K16)-NET_FLOOR*N(C16)),0.25))),"")</f>
        <v/>
      </c>
      <c r="G16" s="64">
        <f>IF('ساعات عمر'!$M$105=1,IF(10=START_O,'بداية السنة'!$C$6,N(I15))+N(C16)+N(D16)-N(E16)-N(F16)-N(K16),"")</f>
        <v/>
      </c>
      <c r="H16" s="63">
        <f>IF('ساعات عمر'!$M$105=1,N('ساعات عمر'!G115),"")</f>
        <v/>
      </c>
      <c r="I16" s="63">
        <f>IF('ساعات عمر'!$M$105=1,G16-H16,"")</f>
        <v/>
      </c>
      <c r="J16" s="65">
        <f>IF('ساعات عمر'!$M$105=1,MAX(0,'بداية السنة'!$D$6+SUMIFS(LG_DEBT,LG_E,"عمر المصري",LG_D,"&lt;="&amp;B16)-SUMIFS(LG_REP,LG_E,"عمر المصري",LG_D,"&lt;="&amp;B16)-SUM(F7:F16)),"")</f>
        <v/>
      </c>
      <c r="K16" s="66">
        <f>0</f>
        <v/>
      </c>
      <c r="L16" s="62">
        <f>IF(B16="","",MONTH(B16))</f>
        <v/>
      </c>
    </row>
    <row r="17">
      <c r="A17" s="62">
        <f>IF(11&lt;=NW,11,"")</f>
        <v/>
      </c>
      <c r="B17" s="20">
        <f>IF(11&lt;=NW,SAT1+76,"")</f>
        <v/>
      </c>
      <c r="C17" s="63">
        <f>IF('ساعات عمر'!$M$116=1,N('ساعات عمر'!H125),"")</f>
        <v/>
      </c>
      <c r="D17" s="63">
        <f>IF('ساعات عمر'!$M$116=1,N('ساعات عمر'!D126),"")</f>
        <v/>
      </c>
      <c r="E17" s="63">
        <f>IF('ساعات عمر'!$M$116=1,SUMIFS(ADV_AMT,ADV_E,"عمر المصري",ADV_W,11),"")</f>
        <v/>
      </c>
      <c r="F17" s="63">
        <f>IF('ساعات عمر'!$M$116=1,IF(N(C17)=0,0,MAX(0,FLOOR(MIN(IF(SUMPRODUCT(MAX((LG_E="عمر المصري")*(LG_INST&lt;&gt;"")*(LG_D&lt;=B17)*LG_IDX))=0,'بداية السنة'!$E$6,INDEX(LG_INST,SUMPRODUCT(MAX((LG_E="عمر المصري")*(LG_INST&lt;&gt;"")*(LG_D&lt;=B17)*LG_IDX)))),'بداية السنة'!$D$6+SUMIFS(LG_DEBT,LG_E,"عمر المصري",LG_D,"&lt;="&amp;B17)-SUMIFS(LG_REP,LG_E,"عمر المصري",LG_D,"&lt;="&amp;B17)-SUM(F7:F16),INST_CAP*(N(C17)+N(D17)),N(C17)+N(D17)-N(E17)-N(K17)-NET_FLOOR*N(C17)),0.25))),"")</f>
        <v/>
      </c>
      <c r="G17" s="64">
        <f>IF('ساعات عمر'!$M$116=1,IF(11=START_O,'بداية السنة'!$C$6,N(I16))+N(C17)+N(D17)-N(E17)-N(F17)-N(K17),"")</f>
        <v/>
      </c>
      <c r="H17" s="63">
        <f>IF('ساعات عمر'!$M$116=1,N('ساعات عمر'!G126),"")</f>
        <v/>
      </c>
      <c r="I17" s="63">
        <f>IF('ساعات عمر'!$M$116=1,G17-H17,"")</f>
        <v/>
      </c>
      <c r="J17" s="65">
        <f>IF('ساعات عمر'!$M$116=1,MAX(0,'بداية السنة'!$D$6+SUMIFS(LG_DEBT,LG_E,"عمر المصري",LG_D,"&lt;="&amp;B17)-SUMIFS(LG_REP,LG_E,"عمر المصري",LG_D,"&lt;="&amp;B17)-SUM(F7:F17)),"")</f>
        <v/>
      </c>
      <c r="K17" s="66">
        <f>0</f>
        <v/>
      </c>
      <c r="L17" s="62">
        <f>IF(B17="","",MONTH(B17))</f>
        <v/>
      </c>
    </row>
    <row r="18">
      <c r="A18" s="62">
        <f>IF(12&lt;=NW,12,"")</f>
        <v/>
      </c>
      <c r="B18" s="20">
        <f>IF(12&lt;=NW,SAT1+83,"")</f>
        <v/>
      </c>
      <c r="C18" s="63">
        <f>IF('ساعات عمر'!$M$127=1,N('ساعات عمر'!H136),"")</f>
        <v/>
      </c>
      <c r="D18" s="63">
        <f>IF('ساعات عمر'!$M$127=1,N('ساعات عمر'!D137),"")</f>
        <v/>
      </c>
      <c r="E18" s="63">
        <f>IF('ساعات عمر'!$M$127=1,SUMIFS(ADV_AMT,ADV_E,"عمر المصري",ADV_W,12),"")</f>
        <v/>
      </c>
      <c r="F18" s="63">
        <f>IF('ساعات عمر'!$M$127=1,IF(N(C18)=0,0,MAX(0,FLOOR(MIN(IF(SUMPRODUCT(MAX((LG_E="عمر المصري")*(LG_INST&lt;&gt;"")*(LG_D&lt;=B18)*LG_IDX))=0,'بداية السنة'!$E$6,INDEX(LG_INST,SUMPRODUCT(MAX((LG_E="عمر المصري")*(LG_INST&lt;&gt;"")*(LG_D&lt;=B18)*LG_IDX)))),'بداية السنة'!$D$6+SUMIFS(LG_DEBT,LG_E,"عمر المصري",LG_D,"&lt;="&amp;B18)-SUMIFS(LG_REP,LG_E,"عمر المصري",LG_D,"&lt;="&amp;B18)-SUM(F7:F17),INST_CAP*(N(C18)+N(D18)),N(C18)+N(D18)-N(E18)-N(K18)-NET_FLOOR*N(C18)),0.25))),"")</f>
        <v/>
      </c>
      <c r="G18" s="64">
        <f>IF('ساعات عمر'!$M$127=1,IF(12=START_O,'بداية السنة'!$C$6,N(I17))+N(C18)+N(D18)-N(E18)-N(F18)-N(K18),"")</f>
        <v/>
      </c>
      <c r="H18" s="63">
        <f>IF('ساعات عمر'!$M$127=1,N('ساعات عمر'!G137),"")</f>
        <v/>
      </c>
      <c r="I18" s="63">
        <f>IF('ساعات عمر'!$M$127=1,G18-H18,"")</f>
        <v/>
      </c>
      <c r="J18" s="65">
        <f>IF('ساعات عمر'!$M$127=1,MAX(0,'بداية السنة'!$D$6+SUMIFS(LG_DEBT,LG_E,"عمر المصري",LG_D,"&lt;="&amp;B18)-SUMIFS(LG_REP,LG_E,"عمر المصري",LG_D,"&lt;="&amp;B18)-SUM(F7:F18)),"")</f>
        <v/>
      </c>
      <c r="K18" s="66">
        <f>0</f>
        <v/>
      </c>
      <c r="L18" s="62">
        <f>IF(B18="","",MONTH(B18))</f>
        <v/>
      </c>
    </row>
    <row r="19">
      <c r="A19" s="62">
        <f>IF(13&lt;=NW,13,"")</f>
        <v/>
      </c>
      <c r="B19" s="20">
        <f>IF(13&lt;=NW,SAT1+90,"")</f>
        <v/>
      </c>
      <c r="C19" s="63">
        <f>IF('ساعات عمر'!$M$138=1,N('ساعات عمر'!H147),"")</f>
        <v/>
      </c>
      <c r="D19" s="63">
        <f>IF('ساعات عمر'!$M$138=1,N('ساعات عمر'!D148),"")</f>
        <v/>
      </c>
      <c r="E19" s="63">
        <f>IF('ساعات عمر'!$M$138=1,SUMIFS(ADV_AMT,ADV_E,"عمر المصري",ADV_W,13),"")</f>
        <v/>
      </c>
      <c r="F19" s="63">
        <f>IF('ساعات عمر'!$M$138=1,IF(N(C19)=0,0,MAX(0,FLOOR(MIN(IF(SUMPRODUCT(MAX((LG_E="عمر المصري")*(LG_INST&lt;&gt;"")*(LG_D&lt;=B19)*LG_IDX))=0,'بداية السنة'!$E$6,INDEX(LG_INST,SUMPRODUCT(MAX((LG_E="عمر المصري")*(LG_INST&lt;&gt;"")*(LG_D&lt;=B19)*LG_IDX)))),'بداية السنة'!$D$6+SUMIFS(LG_DEBT,LG_E,"عمر المصري",LG_D,"&lt;="&amp;B19)-SUMIFS(LG_REP,LG_E,"عمر المصري",LG_D,"&lt;="&amp;B19)-SUM(F7:F18),INST_CAP*(N(C19)+N(D19)),N(C19)+N(D19)-N(E19)-N(K19)-NET_FLOOR*N(C19)),0.25))),"")</f>
        <v/>
      </c>
      <c r="G19" s="64">
        <f>IF('ساعات عمر'!$M$138=1,IF(13=START_O,'بداية السنة'!$C$6,N(I18))+N(C19)+N(D19)-N(E19)-N(F19)-N(K19),"")</f>
        <v/>
      </c>
      <c r="H19" s="63">
        <f>IF('ساعات عمر'!$M$138=1,N('ساعات عمر'!G148),"")</f>
        <v/>
      </c>
      <c r="I19" s="63">
        <f>IF('ساعات عمر'!$M$138=1,G19-H19,"")</f>
        <v/>
      </c>
      <c r="J19" s="65">
        <f>IF('ساعات عمر'!$M$138=1,MAX(0,'بداية السنة'!$D$6+SUMIFS(LG_DEBT,LG_E,"عمر المصري",LG_D,"&lt;="&amp;B19)-SUMIFS(LG_REP,LG_E,"عمر المصري",LG_D,"&lt;="&amp;B19)-SUM(F7:F19)),"")</f>
        <v/>
      </c>
      <c r="K19" s="66">
        <f>0</f>
        <v/>
      </c>
      <c r="L19" s="62">
        <f>IF(B19="","",MONTH(B19))</f>
        <v/>
      </c>
    </row>
    <row r="20">
      <c r="A20" s="62">
        <f>IF(14&lt;=NW,14,"")</f>
        <v/>
      </c>
      <c r="B20" s="20">
        <f>IF(14&lt;=NW,SAT1+97,"")</f>
        <v/>
      </c>
      <c r="C20" s="63">
        <f>IF('ساعات عمر'!$M$149=1,N('ساعات عمر'!H158),"")</f>
        <v/>
      </c>
      <c r="D20" s="63">
        <f>IF('ساعات عمر'!$M$149=1,N('ساعات عمر'!D159),"")</f>
        <v/>
      </c>
      <c r="E20" s="63">
        <f>IF('ساعات عمر'!$M$149=1,SUMIFS(ADV_AMT,ADV_E,"عمر المصري",ADV_W,14),"")</f>
        <v/>
      </c>
      <c r="F20" s="63">
        <f>IF('ساعات عمر'!$M$149=1,IF(N(C20)=0,0,MAX(0,FLOOR(MIN(IF(SUMPRODUCT(MAX((LG_E="عمر المصري")*(LG_INST&lt;&gt;"")*(LG_D&lt;=B20)*LG_IDX))=0,'بداية السنة'!$E$6,INDEX(LG_INST,SUMPRODUCT(MAX((LG_E="عمر المصري")*(LG_INST&lt;&gt;"")*(LG_D&lt;=B20)*LG_IDX)))),'بداية السنة'!$D$6+SUMIFS(LG_DEBT,LG_E,"عمر المصري",LG_D,"&lt;="&amp;B20)-SUMIFS(LG_REP,LG_E,"عمر المصري",LG_D,"&lt;="&amp;B20)-SUM(F7:F19),INST_CAP*(N(C20)+N(D20)),N(C20)+N(D20)-N(E20)-N(K20)-NET_FLOOR*N(C20)),0.25))),"")</f>
        <v/>
      </c>
      <c r="G20" s="64">
        <f>IF('ساعات عمر'!$M$149=1,IF(14=START_O,'بداية السنة'!$C$6,N(I19))+N(C20)+N(D20)-N(E20)-N(F20)-N(K20),"")</f>
        <v/>
      </c>
      <c r="H20" s="63">
        <f>IF('ساعات عمر'!$M$149=1,N('ساعات عمر'!G159),"")</f>
        <v/>
      </c>
      <c r="I20" s="63">
        <f>IF('ساعات عمر'!$M$149=1,G20-H20,"")</f>
        <v/>
      </c>
      <c r="J20" s="65">
        <f>IF('ساعات عمر'!$M$149=1,MAX(0,'بداية السنة'!$D$6+SUMIFS(LG_DEBT,LG_E,"عمر المصري",LG_D,"&lt;="&amp;B20)-SUMIFS(LG_REP,LG_E,"عمر المصري",LG_D,"&lt;="&amp;B20)-SUM(F7:F20)),"")</f>
        <v/>
      </c>
      <c r="K20" s="66">
        <f>0</f>
        <v/>
      </c>
      <c r="L20" s="62">
        <f>IF(B20="","",MONTH(B20))</f>
        <v/>
      </c>
    </row>
    <row r="21">
      <c r="A21" s="62">
        <f>IF(15&lt;=NW,15,"")</f>
        <v/>
      </c>
      <c r="B21" s="20">
        <f>IF(15&lt;=NW,SAT1+104,"")</f>
        <v/>
      </c>
      <c r="C21" s="63">
        <f>IF('ساعات عمر'!$M$160=1,N('ساعات عمر'!H169),"")</f>
        <v/>
      </c>
      <c r="D21" s="63">
        <f>IF('ساعات عمر'!$M$160=1,N('ساعات عمر'!D170),"")</f>
        <v/>
      </c>
      <c r="E21" s="63">
        <f>IF('ساعات عمر'!$M$160=1,SUMIFS(ADV_AMT,ADV_E,"عمر المصري",ADV_W,15),"")</f>
        <v/>
      </c>
      <c r="F21" s="63">
        <f>IF('ساعات عمر'!$M$160=1,IF(N(C21)=0,0,MAX(0,FLOOR(MIN(IF(SUMPRODUCT(MAX((LG_E="عمر المصري")*(LG_INST&lt;&gt;"")*(LG_D&lt;=B21)*LG_IDX))=0,'بداية السنة'!$E$6,INDEX(LG_INST,SUMPRODUCT(MAX((LG_E="عمر المصري")*(LG_INST&lt;&gt;"")*(LG_D&lt;=B21)*LG_IDX)))),'بداية السنة'!$D$6+SUMIFS(LG_DEBT,LG_E,"عمر المصري",LG_D,"&lt;="&amp;B21)-SUMIFS(LG_REP,LG_E,"عمر المصري",LG_D,"&lt;="&amp;B21)-SUM(F7:F20),INST_CAP*(N(C21)+N(D21)),N(C21)+N(D21)-N(E21)-N(K21)-NET_FLOOR*N(C21)),0.25))),"")</f>
        <v/>
      </c>
      <c r="G21" s="64">
        <f>IF('ساعات عمر'!$M$160=1,IF(15=START_O,'بداية السنة'!$C$6,N(I20))+N(C21)+N(D21)-N(E21)-N(F21)-N(K21),"")</f>
        <v/>
      </c>
      <c r="H21" s="63">
        <f>IF('ساعات عمر'!$M$160=1,N('ساعات عمر'!G170),"")</f>
        <v/>
      </c>
      <c r="I21" s="63">
        <f>IF('ساعات عمر'!$M$160=1,G21-H21,"")</f>
        <v/>
      </c>
      <c r="J21" s="65">
        <f>IF('ساعات عمر'!$M$160=1,MAX(0,'بداية السنة'!$D$6+SUMIFS(LG_DEBT,LG_E,"عمر المصري",LG_D,"&lt;="&amp;B21)-SUMIFS(LG_REP,LG_E,"عمر المصري",LG_D,"&lt;="&amp;B21)-SUM(F7:F21)),"")</f>
        <v/>
      </c>
      <c r="K21" s="66">
        <f>0</f>
        <v/>
      </c>
      <c r="L21" s="62">
        <f>IF(B21="","",MONTH(B21))</f>
        <v/>
      </c>
    </row>
    <row r="22">
      <c r="A22" s="62">
        <f>IF(16&lt;=NW,16,"")</f>
        <v/>
      </c>
      <c r="B22" s="20">
        <f>IF(16&lt;=NW,SAT1+111,"")</f>
        <v/>
      </c>
      <c r="C22" s="63">
        <f>IF('ساعات عمر'!$M$171=1,N('ساعات عمر'!H180),"")</f>
        <v/>
      </c>
      <c r="D22" s="63">
        <f>IF('ساعات عمر'!$M$171=1,N('ساعات عمر'!D181),"")</f>
        <v/>
      </c>
      <c r="E22" s="63">
        <f>IF('ساعات عمر'!$M$171=1,SUMIFS(ADV_AMT,ADV_E,"عمر المصري",ADV_W,16),"")</f>
        <v/>
      </c>
      <c r="F22" s="63">
        <f>IF('ساعات عمر'!$M$171=1,IF(N(C22)=0,0,MAX(0,FLOOR(MIN(IF(SUMPRODUCT(MAX((LG_E="عمر المصري")*(LG_INST&lt;&gt;"")*(LG_D&lt;=B22)*LG_IDX))=0,'بداية السنة'!$E$6,INDEX(LG_INST,SUMPRODUCT(MAX((LG_E="عمر المصري")*(LG_INST&lt;&gt;"")*(LG_D&lt;=B22)*LG_IDX)))),'بداية السنة'!$D$6+SUMIFS(LG_DEBT,LG_E,"عمر المصري",LG_D,"&lt;="&amp;B22)-SUMIFS(LG_REP,LG_E,"عمر المصري",LG_D,"&lt;="&amp;B22)-SUM(F7:F21),INST_CAP*(N(C22)+N(D22)),N(C22)+N(D22)-N(E22)-N(K22)-NET_FLOOR*N(C22)),0.25))),"")</f>
        <v/>
      </c>
      <c r="G22" s="64">
        <f>IF('ساعات عمر'!$M$171=1,IF(16=START_O,'بداية السنة'!$C$6,N(I21))+N(C22)+N(D22)-N(E22)-N(F22)-N(K22),"")</f>
        <v/>
      </c>
      <c r="H22" s="63">
        <f>IF('ساعات عمر'!$M$171=1,N('ساعات عمر'!G181),"")</f>
        <v/>
      </c>
      <c r="I22" s="63">
        <f>IF('ساعات عمر'!$M$171=1,G22-H22,"")</f>
        <v/>
      </c>
      <c r="J22" s="65">
        <f>IF('ساعات عمر'!$M$171=1,MAX(0,'بداية السنة'!$D$6+SUMIFS(LG_DEBT,LG_E,"عمر المصري",LG_D,"&lt;="&amp;B22)-SUMIFS(LG_REP,LG_E,"عمر المصري",LG_D,"&lt;="&amp;B22)-SUM(F7:F22)),"")</f>
        <v/>
      </c>
      <c r="K22" s="66">
        <f>0</f>
        <v/>
      </c>
      <c r="L22" s="62">
        <f>IF(B22="","",MONTH(B22))</f>
        <v/>
      </c>
    </row>
    <row r="23">
      <c r="A23" s="62">
        <f>IF(17&lt;=NW,17,"")</f>
        <v/>
      </c>
      <c r="B23" s="20">
        <f>IF(17&lt;=NW,SAT1+118,"")</f>
        <v/>
      </c>
      <c r="C23" s="63">
        <f>IF('ساعات عمر'!$M$182=1,N('ساعات عمر'!H191),"")</f>
        <v/>
      </c>
      <c r="D23" s="63">
        <f>IF('ساعات عمر'!$M$182=1,N('ساعات عمر'!D192),"")</f>
        <v/>
      </c>
      <c r="E23" s="63">
        <f>IF('ساعات عمر'!$M$182=1,SUMIFS(ADV_AMT,ADV_E,"عمر المصري",ADV_W,17),"")</f>
        <v/>
      </c>
      <c r="F23" s="63">
        <f>IF('ساعات عمر'!$M$182=1,IF(N(C23)=0,0,MAX(0,FLOOR(MIN(IF(SUMPRODUCT(MAX((LG_E="عمر المصري")*(LG_INST&lt;&gt;"")*(LG_D&lt;=B23)*LG_IDX))=0,'بداية السنة'!$E$6,INDEX(LG_INST,SUMPRODUCT(MAX((LG_E="عمر المصري")*(LG_INST&lt;&gt;"")*(LG_D&lt;=B23)*LG_IDX)))),'بداية السنة'!$D$6+SUMIFS(LG_DEBT,LG_E,"عمر المصري",LG_D,"&lt;="&amp;B23)-SUMIFS(LG_REP,LG_E,"عمر المصري",LG_D,"&lt;="&amp;B23)-SUM(F7:F22),INST_CAP*(N(C23)+N(D23)),N(C23)+N(D23)-N(E23)-N(K23)-NET_FLOOR*N(C23)),0.25))),"")</f>
        <v/>
      </c>
      <c r="G23" s="64">
        <f>IF('ساعات عمر'!$M$182=1,IF(17=START_O,'بداية السنة'!$C$6,N(I22))+N(C23)+N(D23)-N(E23)-N(F23)-N(K23),"")</f>
        <v/>
      </c>
      <c r="H23" s="63">
        <f>IF('ساعات عمر'!$M$182=1,N('ساعات عمر'!G192),"")</f>
        <v/>
      </c>
      <c r="I23" s="63">
        <f>IF('ساعات عمر'!$M$182=1,G23-H23,"")</f>
        <v/>
      </c>
      <c r="J23" s="65">
        <f>IF('ساعات عمر'!$M$182=1,MAX(0,'بداية السنة'!$D$6+SUMIFS(LG_DEBT,LG_E,"عمر المصري",LG_D,"&lt;="&amp;B23)-SUMIFS(LG_REP,LG_E,"عمر المصري",LG_D,"&lt;="&amp;B23)-SUM(F7:F23)),"")</f>
        <v/>
      </c>
      <c r="K23" s="66">
        <f>0</f>
        <v/>
      </c>
      <c r="L23" s="62">
        <f>IF(B23="","",MONTH(B23))</f>
        <v/>
      </c>
    </row>
    <row r="24">
      <c r="A24" s="62">
        <f>IF(18&lt;=NW,18,"")</f>
        <v/>
      </c>
      <c r="B24" s="20">
        <f>IF(18&lt;=NW,SAT1+125,"")</f>
        <v/>
      </c>
      <c r="C24" s="63">
        <f>IF('ساعات عمر'!$M$193=1,N('ساعات عمر'!H202),"")</f>
        <v/>
      </c>
      <c r="D24" s="63">
        <f>IF('ساعات عمر'!$M$193=1,N('ساعات عمر'!D203),"")</f>
        <v/>
      </c>
      <c r="E24" s="63">
        <f>IF('ساعات عمر'!$M$193=1,SUMIFS(ADV_AMT,ADV_E,"عمر المصري",ADV_W,18),"")</f>
        <v/>
      </c>
      <c r="F24" s="63">
        <f>IF('ساعات عمر'!$M$193=1,IF(N(C24)=0,0,MAX(0,FLOOR(MIN(IF(SUMPRODUCT(MAX((LG_E="عمر المصري")*(LG_INST&lt;&gt;"")*(LG_D&lt;=B24)*LG_IDX))=0,'بداية السنة'!$E$6,INDEX(LG_INST,SUMPRODUCT(MAX((LG_E="عمر المصري")*(LG_INST&lt;&gt;"")*(LG_D&lt;=B24)*LG_IDX)))),'بداية السنة'!$D$6+SUMIFS(LG_DEBT,LG_E,"عمر المصري",LG_D,"&lt;="&amp;B24)-SUMIFS(LG_REP,LG_E,"عمر المصري",LG_D,"&lt;="&amp;B24)-SUM(F7:F23),INST_CAP*(N(C24)+N(D24)),N(C24)+N(D24)-N(E24)-N(K24)-NET_FLOOR*N(C24)),0.25))),"")</f>
        <v/>
      </c>
      <c r="G24" s="64">
        <f>IF('ساعات عمر'!$M$193=1,IF(18=START_O,'بداية السنة'!$C$6,N(I23))+N(C24)+N(D24)-N(E24)-N(F24)-N(K24),"")</f>
        <v/>
      </c>
      <c r="H24" s="63">
        <f>IF('ساعات عمر'!$M$193=1,N('ساعات عمر'!G203),"")</f>
        <v/>
      </c>
      <c r="I24" s="63">
        <f>IF('ساعات عمر'!$M$193=1,G24-H24,"")</f>
        <v/>
      </c>
      <c r="J24" s="65">
        <f>IF('ساعات عمر'!$M$193=1,MAX(0,'بداية السنة'!$D$6+SUMIFS(LG_DEBT,LG_E,"عمر المصري",LG_D,"&lt;="&amp;B24)-SUMIFS(LG_REP,LG_E,"عمر المصري",LG_D,"&lt;="&amp;B24)-SUM(F7:F24)),"")</f>
        <v/>
      </c>
      <c r="K24" s="66">
        <f>0</f>
        <v/>
      </c>
      <c r="L24" s="62">
        <f>IF(B24="","",MONTH(B24))</f>
        <v/>
      </c>
    </row>
    <row r="25">
      <c r="A25" s="62">
        <f>IF(19&lt;=NW,19,"")</f>
        <v/>
      </c>
      <c r="B25" s="20">
        <f>IF(19&lt;=NW,SAT1+132,"")</f>
        <v/>
      </c>
      <c r="C25" s="63">
        <f>IF('ساعات عمر'!$M$204=1,N('ساعات عمر'!H213),"")</f>
        <v/>
      </c>
      <c r="D25" s="63">
        <f>IF('ساعات عمر'!$M$204=1,N('ساعات عمر'!D214),"")</f>
        <v/>
      </c>
      <c r="E25" s="63">
        <f>IF('ساعات عمر'!$M$204=1,SUMIFS(ADV_AMT,ADV_E,"عمر المصري",ADV_W,19),"")</f>
        <v/>
      </c>
      <c r="F25" s="63">
        <f>IF('ساعات عمر'!$M$204=1,IF(N(C25)=0,0,MAX(0,FLOOR(MIN(IF(SUMPRODUCT(MAX((LG_E="عمر المصري")*(LG_INST&lt;&gt;"")*(LG_D&lt;=B25)*LG_IDX))=0,'بداية السنة'!$E$6,INDEX(LG_INST,SUMPRODUCT(MAX((LG_E="عمر المصري")*(LG_INST&lt;&gt;"")*(LG_D&lt;=B25)*LG_IDX)))),'بداية السنة'!$D$6+SUMIFS(LG_DEBT,LG_E,"عمر المصري",LG_D,"&lt;="&amp;B25)-SUMIFS(LG_REP,LG_E,"عمر المصري",LG_D,"&lt;="&amp;B25)-SUM(F7:F24),INST_CAP*(N(C25)+N(D25)),N(C25)+N(D25)-N(E25)-N(K25)-NET_FLOOR*N(C25)),0.25))),"")</f>
        <v/>
      </c>
      <c r="G25" s="64">
        <f>IF('ساعات عمر'!$M$204=1,IF(19=START_O,'بداية السنة'!$C$6,N(I24))+N(C25)+N(D25)-N(E25)-N(F25)-N(K25),"")</f>
        <v/>
      </c>
      <c r="H25" s="63">
        <f>IF('ساعات عمر'!$M$204=1,N('ساعات عمر'!G214),"")</f>
        <v/>
      </c>
      <c r="I25" s="63">
        <f>IF('ساعات عمر'!$M$204=1,G25-H25,"")</f>
        <v/>
      </c>
      <c r="J25" s="65">
        <f>IF('ساعات عمر'!$M$204=1,MAX(0,'بداية السنة'!$D$6+SUMIFS(LG_DEBT,LG_E,"عمر المصري",LG_D,"&lt;="&amp;B25)-SUMIFS(LG_REP,LG_E,"عمر المصري",LG_D,"&lt;="&amp;B25)-SUM(F7:F25)),"")</f>
        <v/>
      </c>
      <c r="K25" s="66">
        <f>0</f>
        <v/>
      </c>
      <c r="L25" s="62">
        <f>IF(B25="","",MONTH(B25))</f>
        <v/>
      </c>
    </row>
    <row r="26">
      <c r="A26" s="62">
        <f>IF(20&lt;=NW,20,"")</f>
        <v/>
      </c>
      <c r="B26" s="20">
        <f>IF(20&lt;=NW,SAT1+139,"")</f>
        <v/>
      </c>
      <c r="C26" s="63">
        <f>IF('ساعات عمر'!$M$215=1,N('ساعات عمر'!H224),"")</f>
        <v/>
      </c>
      <c r="D26" s="63">
        <f>IF('ساعات عمر'!$M$215=1,N('ساعات عمر'!D225),"")</f>
        <v/>
      </c>
      <c r="E26" s="63">
        <f>IF('ساعات عمر'!$M$215=1,SUMIFS(ADV_AMT,ADV_E,"عمر المصري",ADV_W,20),"")</f>
        <v/>
      </c>
      <c r="F26" s="63">
        <f>IF('ساعات عمر'!$M$215=1,IF(N(C26)=0,0,MAX(0,FLOOR(MIN(IF(SUMPRODUCT(MAX((LG_E="عمر المصري")*(LG_INST&lt;&gt;"")*(LG_D&lt;=B26)*LG_IDX))=0,'بداية السنة'!$E$6,INDEX(LG_INST,SUMPRODUCT(MAX((LG_E="عمر المصري")*(LG_INST&lt;&gt;"")*(LG_D&lt;=B26)*LG_IDX)))),'بداية السنة'!$D$6+SUMIFS(LG_DEBT,LG_E,"عمر المصري",LG_D,"&lt;="&amp;B26)-SUMIFS(LG_REP,LG_E,"عمر المصري",LG_D,"&lt;="&amp;B26)-SUM(F7:F25),INST_CAP*(N(C26)+N(D26)),N(C26)+N(D26)-N(E26)-N(K26)-NET_FLOOR*N(C26)),0.25))),"")</f>
        <v/>
      </c>
      <c r="G26" s="64">
        <f>IF('ساعات عمر'!$M$215=1,IF(20=START_O,'بداية السنة'!$C$6,N(I25))+N(C26)+N(D26)-N(E26)-N(F26)-N(K26),"")</f>
        <v/>
      </c>
      <c r="H26" s="63">
        <f>IF('ساعات عمر'!$M$215=1,N('ساعات عمر'!G225),"")</f>
        <v/>
      </c>
      <c r="I26" s="63">
        <f>IF('ساعات عمر'!$M$215=1,G26-H26,"")</f>
        <v/>
      </c>
      <c r="J26" s="65">
        <f>IF('ساعات عمر'!$M$215=1,MAX(0,'بداية السنة'!$D$6+SUMIFS(LG_DEBT,LG_E,"عمر المصري",LG_D,"&lt;="&amp;B26)-SUMIFS(LG_REP,LG_E,"عمر المصري",LG_D,"&lt;="&amp;B26)-SUM(F7:F26)),"")</f>
        <v/>
      </c>
      <c r="K26" s="66">
        <f>0</f>
        <v/>
      </c>
      <c r="L26" s="62">
        <f>IF(B26="","",MONTH(B26))</f>
        <v/>
      </c>
    </row>
    <row r="27">
      <c r="A27" s="62">
        <f>IF(21&lt;=NW,21,"")</f>
        <v/>
      </c>
      <c r="B27" s="20">
        <f>IF(21&lt;=NW,SAT1+146,"")</f>
        <v/>
      </c>
      <c r="C27" s="63">
        <f>IF('ساعات عمر'!$M$226=1,N('ساعات عمر'!H235),"")</f>
        <v/>
      </c>
      <c r="D27" s="63">
        <f>IF('ساعات عمر'!$M$226=1,N('ساعات عمر'!D236),"")</f>
        <v/>
      </c>
      <c r="E27" s="63">
        <f>IF('ساعات عمر'!$M$226=1,SUMIFS(ADV_AMT,ADV_E,"عمر المصري",ADV_W,21),"")</f>
        <v/>
      </c>
      <c r="F27" s="63">
        <f>IF('ساعات عمر'!$M$226=1,IF(N(C27)=0,0,MAX(0,FLOOR(MIN(IF(SUMPRODUCT(MAX((LG_E="عمر المصري")*(LG_INST&lt;&gt;"")*(LG_D&lt;=B27)*LG_IDX))=0,'بداية السنة'!$E$6,INDEX(LG_INST,SUMPRODUCT(MAX((LG_E="عمر المصري")*(LG_INST&lt;&gt;"")*(LG_D&lt;=B27)*LG_IDX)))),'بداية السنة'!$D$6+SUMIFS(LG_DEBT,LG_E,"عمر المصري",LG_D,"&lt;="&amp;B27)-SUMIFS(LG_REP,LG_E,"عمر المصري",LG_D,"&lt;="&amp;B27)-SUM(F7:F26),INST_CAP*(N(C27)+N(D27)),N(C27)+N(D27)-N(E27)-N(K27)-NET_FLOOR*N(C27)),0.25))),"")</f>
        <v/>
      </c>
      <c r="G27" s="64">
        <f>IF('ساعات عمر'!$M$226=1,IF(21=START_O,'بداية السنة'!$C$6,N(I26))+N(C27)+N(D27)-N(E27)-N(F27)-N(K27),"")</f>
        <v/>
      </c>
      <c r="H27" s="63">
        <f>IF('ساعات عمر'!$M$226=1,N('ساعات عمر'!G236),"")</f>
        <v/>
      </c>
      <c r="I27" s="63">
        <f>IF('ساعات عمر'!$M$226=1,G27-H27,"")</f>
        <v/>
      </c>
      <c r="J27" s="65">
        <f>IF('ساعات عمر'!$M$226=1,MAX(0,'بداية السنة'!$D$6+SUMIFS(LG_DEBT,LG_E,"عمر المصري",LG_D,"&lt;="&amp;B27)-SUMIFS(LG_REP,LG_E,"عمر المصري",LG_D,"&lt;="&amp;B27)-SUM(F7:F27)),"")</f>
        <v/>
      </c>
      <c r="K27" s="66">
        <f>0</f>
        <v/>
      </c>
      <c r="L27" s="62">
        <f>IF(B27="","",MONTH(B27))</f>
        <v/>
      </c>
    </row>
    <row r="28">
      <c r="A28" s="62">
        <f>IF(22&lt;=NW,22,"")</f>
        <v/>
      </c>
      <c r="B28" s="20">
        <f>IF(22&lt;=NW,SAT1+153,"")</f>
        <v/>
      </c>
      <c r="C28" s="63">
        <f>IF('ساعات عمر'!$M$237=1,N('ساعات عمر'!H246),"")</f>
        <v/>
      </c>
      <c r="D28" s="63">
        <f>IF('ساعات عمر'!$M$237=1,N('ساعات عمر'!D247),"")</f>
        <v/>
      </c>
      <c r="E28" s="63">
        <f>IF('ساعات عمر'!$M$237=1,SUMIFS(ADV_AMT,ADV_E,"عمر المصري",ADV_W,22),"")</f>
        <v/>
      </c>
      <c r="F28" s="63">
        <f>IF('ساعات عمر'!$M$237=1,IF(N(C28)=0,0,MAX(0,FLOOR(MIN(IF(SUMPRODUCT(MAX((LG_E="عمر المصري")*(LG_INST&lt;&gt;"")*(LG_D&lt;=B28)*LG_IDX))=0,'بداية السنة'!$E$6,INDEX(LG_INST,SUMPRODUCT(MAX((LG_E="عمر المصري")*(LG_INST&lt;&gt;"")*(LG_D&lt;=B28)*LG_IDX)))),'بداية السنة'!$D$6+SUMIFS(LG_DEBT,LG_E,"عمر المصري",LG_D,"&lt;="&amp;B28)-SUMIFS(LG_REP,LG_E,"عمر المصري",LG_D,"&lt;="&amp;B28)-SUM(F7:F27),INST_CAP*(N(C28)+N(D28)),N(C28)+N(D28)-N(E28)-N(K28)-NET_FLOOR*N(C28)),0.25))),"")</f>
        <v/>
      </c>
      <c r="G28" s="64">
        <f>IF('ساعات عمر'!$M$237=1,IF(22=START_O,'بداية السنة'!$C$6,N(I27))+N(C28)+N(D28)-N(E28)-N(F28)-N(K28),"")</f>
        <v/>
      </c>
      <c r="H28" s="63">
        <f>IF('ساعات عمر'!$M$237=1,N('ساعات عمر'!G247),"")</f>
        <v/>
      </c>
      <c r="I28" s="63">
        <f>IF('ساعات عمر'!$M$237=1,G28-H28,"")</f>
        <v/>
      </c>
      <c r="J28" s="65">
        <f>IF('ساعات عمر'!$M$237=1,MAX(0,'بداية السنة'!$D$6+SUMIFS(LG_DEBT,LG_E,"عمر المصري",LG_D,"&lt;="&amp;B28)-SUMIFS(LG_REP,LG_E,"عمر المصري",LG_D,"&lt;="&amp;B28)-SUM(F7:F28)),"")</f>
        <v/>
      </c>
      <c r="K28" s="66">
        <f>0</f>
        <v/>
      </c>
      <c r="L28" s="62">
        <f>IF(B28="","",MONTH(B28))</f>
        <v/>
      </c>
    </row>
    <row r="29">
      <c r="A29" s="62">
        <f>IF(23&lt;=NW,23,"")</f>
        <v/>
      </c>
      <c r="B29" s="20">
        <f>IF(23&lt;=NW,SAT1+160,"")</f>
        <v/>
      </c>
      <c r="C29" s="63">
        <f>IF('ساعات عمر'!$M$248=1,N('ساعات عمر'!H257),"")</f>
        <v/>
      </c>
      <c r="D29" s="63">
        <f>IF('ساعات عمر'!$M$248=1,N('ساعات عمر'!D258),"")</f>
        <v/>
      </c>
      <c r="E29" s="63">
        <f>IF('ساعات عمر'!$M$248=1,SUMIFS(ADV_AMT,ADV_E,"عمر المصري",ADV_W,23),"")</f>
        <v/>
      </c>
      <c r="F29" s="63">
        <f>IF('ساعات عمر'!$M$248=1,IF(N(C29)=0,0,MAX(0,FLOOR(MIN(IF(SUMPRODUCT(MAX((LG_E="عمر المصري")*(LG_INST&lt;&gt;"")*(LG_D&lt;=B29)*LG_IDX))=0,'بداية السنة'!$E$6,INDEX(LG_INST,SUMPRODUCT(MAX((LG_E="عمر المصري")*(LG_INST&lt;&gt;"")*(LG_D&lt;=B29)*LG_IDX)))),'بداية السنة'!$D$6+SUMIFS(LG_DEBT,LG_E,"عمر المصري",LG_D,"&lt;="&amp;B29)-SUMIFS(LG_REP,LG_E,"عمر المصري",LG_D,"&lt;="&amp;B29)-SUM(F7:F28),INST_CAP*(N(C29)+N(D29)),N(C29)+N(D29)-N(E29)-N(K29)-NET_FLOOR*N(C29)),0.25))),"")</f>
        <v/>
      </c>
      <c r="G29" s="64">
        <f>IF('ساعات عمر'!$M$248=1,IF(23=START_O,'بداية السنة'!$C$6,N(I28))+N(C29)+N(D29)-N(E29)-N(F29)-N(K29),"")</f>
        <v/>
      </c>
      <c r="H29" s="63">
        <f>IF('ساعات عمر'!$M$248=1,N('ساعات عمر'!G258),"")</f>
        <v/>
      </c>
      <c r="I29" s="63">
        <f>IF('ساعات عمر'!$M$248=1,G29-H29,"")</f>
        <v/>
      </c>
      <c r="J29" s="65">
        <f>IF('ساعات عمر'!$M$248=1,MAX(0,'بداية السنة'!$D$6+SUMIFS(LG_DEBT,LG_E,"عمر المصري",LG_D,"&lt;="&amp;B29)-SUMIFS(LG_REP,LG_E,"عمر المصري",LG_D,"&lt;="&amp;B29)-SUM(F7:F29)),"")</f>
        <v/>
      </c>
      <c r="K29" s="66">
        <f>0</f>
        <v/>
      </c>
      <c r="L29" s="62">
        <f>IF(B29="","",MONTH(B29))</f>
        <v/>
      </c>
    </row>
    <row r="30">
      <c r="A30" s="62">
        <f>IF(24&lt;=NW,24,"")</f>
        <v/>
      </c>
      <c r="B30" s="20">
        <f>IF(24&lt;=NW,SAT1+167,"")</f>
        <v/>
      </c>
      <c r="C30" s="63">
        <f>IF('ساعات عمر'!$M$259=1,N('ساعات عمر'!H268),"")</f>
        <v/>
      </c>
      <c r="D30" s="63">
        <f>IF('ساعات عمر'!$M$259=1,N('ساعات عمر'!D269),"")</f>
        <v/>
      </c>
      <c r="E30" s="63">
        <f>IF('ساعات عمر'!$M$259=1,SUMIFS(ADV_AMT,ADV_E,"عمر المصري",ADV_W,24),"")</f>
        <v/>
      </c>
      <c r="F30" s="63">
        <f>IF('ساعات عمر'!$M$259=1,IF(N(C30)=0,0,MAX(0,FLOOR(MIN(IF(SUMPRODUCT(MAX((LG_E="عمر المصري")*(LG_INST&lt;&gt;"")*(LG_D&lt;=B30)*LG_IDX))=0,'بداية السنة'!$E$6,INDEX(LG_INST,SUMPRODUCT(MAX((LG_E="عمر المصري")*(LG_INST&lt;&gt;"")*(LG_D&lt;=B30)*LG_IDX)))),'بداية السنة'!$D$6+SUMIFS(LG_DEBT,LG_E,"عمر المصري",LG_D,"&lt;="&amp;B30)-SUMIFS(LG_REP,LG_E,"عمر المصري",LG_D,"&lt;="&amp;B30)-SUM(F7:F29),INST_CAP*(N(C30)+N(D30)),N(C30)+N(D30)-N(E30)-N(K30)-NET_FLOOR*N(C30)),0.25))),"")</f>
        <v/>
      </c>
      <c r="G30" s="64">
        <f>IF('ساعات عمر'!$M$259=1,IF(24=START_O,'بداية السنة'!$C$6,N(I29))+N(C30)+N(D30)-N(E30)-N(F30)-N(K30),"")</f>
        <v/>
      </c>
      <c r="H30" s="63">
        <f>IF('ساعات عمر'!$M$259=1,N('ساعات عمر'!G269),"")</f>
        <v/>
      </c>
      <c r="I30" s="63">
        <f>IF('ساعات عمر'!$M$259=1,G30-H30,"")</f>
        <v/>
      </c>
      <c r="J30" s="65">
        <f>IF('ساعات عمر'!$M$259=1,MAX(0,'بداية السنة'!$D$6+SUMIFS(LG_DEBT,LG_E,"عمر المصري",LG_D,"&lt;="&amp;B30)-SUMIFS(LG_REP,LG_E,"عمر المصري",LG_D,"&lt;="&amp;B30)-SUM(F7:F30)),"")</f>
        <v/>
      </c>
      <c r="K30" s="66">
        <f>0</f>
        <v/>
      </c>
      <c r="L30" s="62">
        <f>IF(B30="","",MONTH(B30))</f>
        <v/>
      </c>
    </row>
    <row r="31">
      <c r="A31" s="62">
        <f>IF(25&lt;=NW,25,"")</f>
        <v/>
      </c>
      <c r="B31" s="20">
        <f>IF(25&lt;=NW,SAT1+174,"")</f>
        <v/>
      </c>
      <c r="C31" s="63">
        <f>IF('ساعات عمر'!$M$270=1,N('ساعات عمر'!H279),"")</f>
        <v/>
      </c>
      <c r="D31" s="63">
        <f>IF('ساعات عمر'!$M$270=1,N('ساعات عمر'!D280),"")</f>
        <v/>
      </c>
      <c r="E31" s="63">
        <f>IF('ساعات عمر'!$M$270=1,SUMIFS(ADV_AMT,ADV_E,"عمر المصري",ADV_W,25),"")</f>
        <v/>
      </c>
      <c r="F31" s="63">
        <f>IF('ساعات عمر'!$M$270=1,IF(N(C31)=0,0,MAX(0,FLOOR(MIN(IF(SUMPRODUCT(MAX((LG_E="عمر المصري")*(LG_INST&lt;&gt;"")*(LG_D&lt;=B31)*LG_IDX))=0,'بداية السنة'!$E$6,INDEX(LG_INST,SUMPRODUCT(MAX((LG_E="عمر المصري")*(LG_INST&lt;&gt;"")*(LG_D&lt;=B31)*LG_IDX)))),'بداية السنة'!$D$6+SUMIFS(LG_DEBT,LG_E,"عمر المصري",LG_D,"&lt;="&amp;B31)-SUMIFS(LG_REP,LG_E,"عمر المصري",LG_D,"&lt;="&amp;B31)-SUM(F7:F30),INST_CAP*(N(C31)+N(D31)),N(C31)+N(D31)-N(E31)-N(K31)-NET_FLOOR*N(C31)),0.25))),"")</f>
        <v/>
      </c>
      <c r="G31" s="64">
        <f>IF('ساعات عمر'!$M$270=1,IF(25=START_O,'بداية السنة'!$C$6,N(I30))+N(C31)+N(D31)-N(E31)-N(F31)-N(K31),"")</f>
        <v/>
      </c>
      <c r="H31" s="63">
        <f>IF('ساعات عمر'!$M$270=1,N('ساعات عمر'!G280),"")</f>
        <v/>
      </c>
      <c r="I31" s="63">
        <f>IF('ساعات عمر'!$M$270=1,G31-H31,"")</f>
        <v/>
      </c>
      <c r="J31" s="65">
        <f>IF('ساعات عمر'!$M$270=1,MAX(0,'بداية السنة'!$D$6+SUMIFS(LG_DEBT,LG_E,"عمر المصري",LG_D,"&lt;="&amp;B31)-SUMIFS(LG_REP,LG_E,"عمر المصري",LG_D,"&lt;="&amp;B31)-SUM(F7:F31)),"")</f>
        <v/>
      </c>
      <c r="K31" s="66">
        <f>0</f>
        <v/>
      </c>
      <c r="L31" s="62">
        <f>IF(B31="","",MONTH(B31))</f>
        <v/>
      </c>
    </row>
    <row r="32">
      <c r="A32" s="62">
        <f>IF(26&lt;=NW,26,"")</f>
        <v/>
      </c>
      <c r="B32" s="20">
        <f>IF(26&lt;=NW,SAT1+181,"")</f>
        <v/>
      </c>
      <c r="C32" s="63">
        <f>IF('ساعات عمر'!$M$281=1,N('ساعات عمر'!H290),"")</f>
        <v/>
      </c>
      <c r="D32" s="63">
        <f>IF('ساعات عمر'!$M$281=1,N('ساعات عمر'!D291),"")</f>
        <v/>
      </c>
      <c r="E32" s="63">
        <f>IF('ساعات عمر'!$M$281=1,SUMIFS(ADV_AMT,ADV_E,"عمر المصري",ADV_W,26),"")</f>
        <v/>
      </c>
      <c r="F32" s="63">
        <f>IF('ساعات عمر'!$M$281=1,IF(N(C32)=0,0,MAX(0,FLOOR(MIN(IF(SUMPRODUCT(MAX((LG_E="عمر المصري")*(LG_INST&lt;&gt;"")*(LG_D&lt;=B32)*LG_IDX))=0,'بداية السنة'!$E$6,INDEX(LG_INST,SUMPRODUCT(MAX((LG_E="عمر المصري")*(LG_INST&lt;&gt;"")*(LG_D&lt;=B32)*LG_IDX)))),'بداية السنة'!$D$6+SUMIFS(LG_DEBT,LG_E,"عمر المصري",LG_D,"&lt;="&amp;B32)-SUMIFS(LG_REP,LG_E,"عمر المصري",LG_D,"&lt;="&amp;B32)-SUM(F7:F31),INST_CAP*(N(C32)+N(D32)),N(C32)+N(D32)-N(E32)-N(K32)-NET_FLOOR*N(C32)),0.25))),"")</f>
        <v/>
      </c>
      <c r="G32" s="64">
        <f>IF('ساعات عمر'!$M$281=1,IF(26=START_O,'بداية السنة'!$C$6,N(I31))+N(C32)+N(D32)-N(E32)-N(F32)-N(K32),"")</f>
        <v/>
      </c>
      <c r="H32" s="63">
        <f>IF('ساعات عمر'!$M$281=1,N('ساعات عمر'!G291),"")</f>
        <v/>
      </c>
      <c r="I32" s="63">
        <f>IF('ساعات عمر'!$M$281=1,G32-H32,"")</f>
        <v/>
      </c>
      <c r="J32" s="65">
        <f>IF('ساعات عمر'!$M$281=1,MAX(0,'بداية السنة'!$D$6+SUMIFS(LG_DEBT,LG_E,"عمر المصري",LG_D,"&lt;="&amp;B32)-SUMIFS(LG_REP,LG_E,"عمر المصري",LG_D,"&lt;="&amp;B32)-SUM(F7:F32)),"")</f>
        <v/>
      </c>
      <c r="K32" s="66">
        <f>0</f>
        <v/>
      </c>
      <c r="L32" s="62">
        <f>IF(B32="","",MONTH(B32))</f>
        <v/>
      </c>
    </row>
    <row r="33">
      <c r="A33" s="62">
        <f>IF(27&lt;=NW,27,"")</f>
        <v/>
      </c>
      <c r="B33" s="20">
        <f>IF(27&lt;=NW,SAT1+188,"")</f>
        <v/>
      </c>
      <c r="C33" s="63">
        <f>IF('ساعات عمر'!$M$292=1,N('ساعات عمر'!H301),"")</f>
        <v/>
      </c>
      <c r="D33" s="63">
        <f>IF('ساعات عمر'!$M$292=1,N('ساعات عمر'!D302),"")</f>
        <v/>
      </c>
      <c r="E33" s="63">
        <f>IF('ساعات عمر'!$M$292=1,SUMIFS(ADV_AMT,ADV_E,"عمر المصري",ADV_W,27),"")</f>
        <v/>
      </c>
      <c r="F33" s="63">
        <f>IF('ساعات عمر'!$M$292=1,IF(N(C33)=0,0,MAX(0,FLOOR(MIN(IF(SUMPRODUCT(MAX((LG_E="عمر المصري")*(LG_INST&lt;&gt;"")*(LG_D&lt;=B33)*LG_IDX))=0,'بداية السنة'!$E$6,INDEX(LG_INST,SUMPRODUCT(MAX((LG_E="عمر المصري")*(LG_INST&lt;&gt;"")*(LG_D&lt;=B33)*LG_IDX)))),'بداية السنة'!$D$6+SUMIFS(LG_DEBT,LG_E,"عمر المصري",LG_D,"&lt;="&amp;B33)-SUMIFS(LG_REP,LG_E,"عمر المصري",LG_D,"&lt;="&amp;B33)-SUM(F7:F32),INST_CAP*(N(C33)+N(D33)),N(C33)+N(D33)-N(E33)-N(K33)-NET_FLOOR*N(C33)),0.25))),"")</f>
        <v/>
      </c>
      <c r="G33" s="64">
        <f>IF('ساعات عمر'!$M$292=1,IF(27=START_O,'بداية السنة'!$C$6,N(I32))+N(C33)+N(D33)-N(E33)-N(F33)-N(K33),"")</f>
        <v/>
      </c>
      <c r="H33" s="63">
        <f>IF('ساعات عمر'!$M$292=1,N('ساعات عمر'!G302),"")</f>
        <v/>
      </c>
      <c r="I33" s="63">
        <f>IF('ساعات عمر'!$M$292=1,G33-H33,"")</f>
        <v/>
      </c>
      <c r="J33" s="65">
        <f>IF('ساعات عمر'!$M$292=1,MAX(0,'بداية السنة'!$D$6+SUMIFS(LG_DEBT,LG_E,"عمر المصري",LG_D,"&lt;="&amp;B33)-SUMIFS(LG_REP,LG_E,"عمر المصري",LG_D,"&lt;="&amp;B33)-SUM(F7:F33)),"")</f>
        <v/>
      </c>
      <c r="K33" s="66">
        <f>0</f>
        <v/>
      </c>
      <c r="L33" s="62">
        <f>IF(B33="","",MONTH(B33))</f>
        <v/>
      </c>
    </row>
    <row r="34">
      <c r="A34" s="62">
        <f>IF(28&lt;=NW,28,"")</f>
        <v/>
      </c>
      <c r="B34" s="20">
        <f>IF(28&lt;=NW,SAT1+195,"")</f>
        <v/>
      </c>
      <c r="C34" s="63">
        <f>IF('ساعات عمر'!$M$303=1,N('ساعات عمر'!H312),"")</f>
        <v/>
      </c>
      <c r="D34" s="63">
        <f>IF('ساعات عمر'!$M$303=1,N('ساعات عمر'!D313),"")</f>
        <v/>
      </c>
      <c r="E34" s="63">
        <f>IF('ساعات عمر'!$M$303=1,SUMIFS(ADV_AMT,ADV_E,"عمر المصري",ADV_W,28),"")</f>
        <v/>
      </c>
      <c r="F34" s="63">
        <f>IF('ساعات عمر'!$M$303=1,IF(N(C34)=0,0,MAX(0,FLOOR(MIN(IF(SUMPRODUCT(MAX((LG_E="عمر المصري")*(LG_INST&lt;&gt;"")*(LG_D&lt;=B34)*LG_IDX))=0,'بداية السنة'!$E$6,INDEX(LG_INST,SUMPRODUCT(MAX((LG_E="عمر المصري")*(LG_INST&lt;&gt;"")*(LG_D&lt;=B34)*LG_IDX)))),'بداية السنة'!$D$6+SUMIFS(LG_DEBT,LG_E,"عمر المصري",LG_D,"&lt;="&amp;B34)-SUMIFS(LG_REP,LG_E,"عمر المصري",LG_D,"&lt;="&amp;B34)-SUM(F7:F33),INST_CAP*(N(C34)+N(D34)),N(C34)+N(D34)-N(E34)-N(K34)-NET_FLOOR*N(C34)),0.25))),"")</f>
        <v/>
      </c>
      <c r="G34" s="64">
        <f>IF('ساعات عمر'!$M$303=1,IF(28=START_O,'بداية السنة'!$C$6,N(I33))+N(C34)+N(D34)-N(E34)-N(F34)-N(K34),"")</f>
        <v/>
      </c>
      <c r="H34" s="63">
        <f>IF('ساعات عمر'!$M$303=1,N('ساعات عمر'!G313),"")</f>
        <v/>
      </c>
      <c r="I34" s="63">
        <f>IF('ساعات عمر'!$M$303=1,G34-H34,"")</f>
        <v/>
      </c>
      <c r="J34" s="65">
        <f>IF('ساعات عمر'!$M$303=1,MAX(0,'بداية السنة'!$D$6+SUMIFS(LG_DEBT,LG_E,"عمر المصري",LG_D,"&lt;="&amp;B34)-SUMIFS(LG_REP,LG_E,"عمر المصري",LG_D,"&lt;="&amp;B34)-SUM(F7:F34)),"")</f>
        <v/>
      </c>
      <c r="K34" s="66">
        <f>0</f>
        <v/>
      </c>
      <c r="L34" s="62">
        <f>IF(B34="","",MONTH(B34))</f>
        <v/>
      </c>
    </row>
    <row r="35">
      <c r="A35" s="62">
        <f>IF(29&lt;=NW,29,"")</f>
        <v/>
      </c>
      <c r="B35" s="20">
        <f>IF(29&lt;=NW,SAT1+202,"")</f>
        <v/>
      </c>
      <c r="C35" s="63">
        <f>IF('ساعات عمر'!$M$314=1,N('ساعات عمر'!H323),"")</f>
        <v/>
      </c>
      <c r="D35" s="63">
        <f>IF('ساعات عمر'!$M$314=1,N('ساعات عمر'!D324),"")</f>
        <v/>
      </c>
      <c r="E35" s="63">
        <f>IF('ساعات عمر'!$M$314=1,SUMIFS(ADV_AMT,ADV_E,"عمر المصري",ADV_W,29),"")</f>
        <v/>
      </c>
      <c r="F35" s="63">
        <f>IF('ساعات عمر'!$M$314=1,IF(N(C35)=0,0,MAX(0,FLOOR(MIN(IF(SUMPRODUCT(MAX((LG_E="عمر المصري")*(LG_INST&lt;&gt;"")*(LG_D&lt;=B35)*LG_IDX))=0,'بداية السنة'!$E$6,INDEX(LG_INST,SUMPRODUCT(MAX((LG_E="عمر المصري")*(LG_INST&lt;&gt;"")*(LG_D&lt;=B35)*LG_IDX)))),'بداية السنة'!$D$6+SUMIFS(LG_DEBT,LG_E,"عمر المصري",LG_D,"&lt;="&amp;B35)-SUMIFS(LG_REP,LG_E,"عمر المصري",LG_D,"&lt;="&amp;B35)-SUM(F7:F34),INST_CAP*(N(C35)+N(D35)),N(C35)+N(D35)-N(E35)-N(K35)-NET_FLOOR*N(C35)),0.25))),"")</f>
        <v/>
      </c>
      <c r="G35" s="64">
        <f>IF('ساعات عمر'!$M$314=1,IF(29=START_O,'بداية السنة'!$C$6,N(I34))+N(C35)+N(D35)-N(E35)-N(F35)-N(K35),"")</f>
        <v/>
      </c>
      <c r="H35" s="63">
        <f>IF('ساعات عمر'!$M$314=1,N('ساعات عمر'!G324),"")</f>
        <v/>
      </c>
      <c r="I35" s="63">
        <f>IF('ساعات عمر'!$M$314=1,G35-H35,"")</f>
        <v/>
      </c>
      <c r="J35" s="65">
        <f>IF('ساعات عمر'!$M$314=1,MAX(0,'بداية السنة'!$D$6+SUMIFS(LG_DEBT,LG_E,"عمر المصري",LG_D,"&lt;="&amp;B35)-SUMIFS(LG_REP,LG_E,"عمر المصري",LG_D,"&lt;="&amp;B35)-SUM(F7:F35)),"")</f>
        <v/>
      </c>
      <c r="K35" s="66">
        <f>0</f>
        <v/>
      </c>
      <c r="L35" s="62">
        <f>IF(B35="","",MONTH(B35))</f>
        <v/>
      </c>
    </row>
    <row r="36">
      <c r="A36" s="62">
        <f>IF(30&lt;=NW,30,"")</f>
        <v/>
      </c>
      <c r="B36" s="20">
        <f>IF(30&lt;=NW,SAT1+209,"")</f>
        <v/>
      </c>
      <c r="C36" s="63">
        <f>IF('ساعات عمر'!$M$325=1,N('ساعات عمر'!H334),"")</f>
        <v/>
      </c>
      <c r="D36" s="63">
        <f>IF('ساعات عمر'!$M$325=1,N('ساعات عمر'!D335),"")</f>
        <v/>
      </c>
      <c r="E36" s="63">
        <f>IF('ساعات عمر'!$M$325=1,SUMIFS(ADV_AMT,ADV_E,"عمر المصري",ADV_W,30),"")</f>
        <v/>
      </c>
      <c r="F36" s="63">
        <f>IF('ساعات عمر'!$M$325=1,IF(N(C36)=0,0,MAX(0,FLOOR(MIN(IF(SUMPRODUCT(MAX((LG_E="عمر المصري")*(LG_INST&lt;&gt;"")*(LG_D&lt;=B36)*LG_IDX))=0,'بداية السنة'!$E$6,INDEX(LG_INST,SUMPRODUCT(MAX((LG_E="عمر المصري")*(LG_INST&lt;&gt;"")*(LG_D&lt;=B36)*LG_IDX)))),'بداية السنة'!$D$6+SUMIFS(LG_DEBT,LG_E,"عمر المصري",LG_D,"&lt;="&amp;B36)-SUMIFS(LG_REP,LG_E,"عمر المصري",LG_D,"&lt;="&amp;B36)-SUM(F7:F35),INST_CAP*(N(C36)+N(D36)),N(C36)+N(D36)-N(E36)-N(K36)-NET_FLOOR*N(C36)),0.25))),"")</f>
        <v/>
      </c>
      <c r="G36" s="64">
        <f>IF('ساعات عمر'!$M$325=1,IF(30=START_O,'بداية السنة'!$C$6,N(I35))+N(C36)+N(D36)-N(E36)-N(F36)-N(K36),"")</f>
        <v/>
      </c>
      <c r="H36" s="63">
        <f>IF('ساعات عمر'!$M$325=1,N('ساعات عمر'!G335),"")</f>
        <v/>
      </c>
      <c r="I36" s="63">
        <f>IF('ساعات عمر'!$M$325=1,G36-H36,"")</f>
        <v/>
      </c>
      <c r="J36" s="65">
        <f>IF('ساعات عمر'!$M$325=1,MAX(0,'بداية السنة'!$D$6+SUMIFS(LG_DEBT,LG_E,"عمر المصري",LG_D,"&lt;="&amp;B36)-SUMIFS(LG_REP,LG_E,"عمر المصري",LG_D,"&lt;="&amp;B36)-SUM(F7:F36)),"")</f>
        <v/>
      </c>
      <c r="K36" s="66">
        <f>0</f>
        <v/>
      </c>
      <c r="L36" s="62">
        <f>IF(B36="","",MONTH(B36))</f>
        <v/>
      </c>
    </row>
    <row r="37">
      <c r="A37" s="62">
        <f>IF(31&lt;=NW,31,"")</f>
        <v/>
      </c>
      <c r="B37" s="20">
        <f>IF(31&lt;=NW,SAT1+216,"")</f>
        <v/>
      </c>
      <c r="C37" s="63">
        <f>IF('ساعات عمر'!$M$336=1,N('ساعات عمر'!H345),"")</f>
        <v/>
      </c>
      <c r="D37" s="63">
        <f>IF('ساعات عمر'!$M$336=1,N('ساعات عمر'!D346),"")</f>
        <v/>
      </c>
      <c r="E37" s="63">
        <f>IF('ساعات عمر'!$M$336=1,SUMIFS(ADV_AMT,ADV_E,"عمر المصري",ADV_W,31),"")</f>
        <v/>
      </c>
      <c r="F37" s="63">
        <f>IF('ساعات عمر'!$M$336=1,IF(N(C37)=0,0,MAX(0,FLOOR(MIN(IF(SUMPRODUCT(MAX((LG_E="عمر المصري")*(LG_INST&lt;&gt;"")*(LG_D&lt;=B37)*LG_IDX))=0,'بداية السنة'!$E$6,INDEX(LG_INST,SUMPRODUCT(MAX((LG_E="عمر المصري")*(LG_INST&lt;&gt;"")*(LG_D&lt;=B37)*LG_IDX)))),'بداية السنة'!$D$6+SUMIFS(LG_DEBT,LG_E,"عمر المصري",LG_D,"&lt;="&amp;B37)-SUMIFS(LG_REP,LG_E,"عمر المصري",LG_D,"&lt;="&amp;B37)-SUM(F7:F36),INST_CAP*(N(C37)+N(D37)),N(C37)+N(D37)-N(E37)-N(K37)-NET_FLOOR*N(C37)),0.25))),"")</f>
        <v/>
      </c>
      <c r="G37" s="64">
        <f>IF('ساعات عمر'!$M$336=1,IF(31=START_O,'بداية السنة'!$C$6,N(I36))+N(C37)+N(D37)-N(E37)-N(F37)-N(K37),"")</f>
        <v/>
      </c>
      <c r="H37" s="63">
        <f>IF('ساعات عمر'!$M$336=1,N('ساعات عمر'!G346),"")</f>
        <v/>
      </c>
      <c r="I37" s="63">
        <f>IF('ساعات عمر'!$M$336=1,G37-H37,"")</f>
        <v/>
      </c>
      <c r="J37" s="65">
        <f>IF('ساعات عمر'!$M$336=1,MAX(0,'بداية السنة'!$D$6+SUMIFS(LG_DEBT,LG_E,"عمر المصري",LG_D,"&lt;="&amp;B37)-SUMIFS(LG_REP,LG_E,"عمر المصري",LG_D,"&lt;="&amp;B37)-SUM(F7:F37)),"")</f>
        <v/>
      </c>
      <c r="K37" s="66">
        <f>0</f>
        <v/>
      </c>
      <c r="L37" s="62">
        <f>IF(B37="","",MONTH(B37))</f>
        <v/>
      </c>
    </row>
    <row r="38">
      <c r="A38" s="62">
        <f>IF(32&lt;=NW,32,"")</f>
        <v/>
      </c>
      <c r="B38" s="20">
        <f>IF(32&lt;=NW,SAT1+223,"")</f>
        <v/>
      </c>
      <c r="C38" s="63">
        <f>IF('ساعات عمر'!$M$347=1,N('ساعات عمر'!H356),"")</f>
        <v/>
      </c>
      <c r="D38" s="63">
        <f>IF('ساعات عمر'!$M$347=1,N('ساعات عمر'!D357),"")</f>
        <v/>
      </c>
      <c r="E38" s="63">
        <f>IF('ساعات عمر'!$M$347=1,SUMIFS(ADV_AMT,ADV_E,"عمر المصري",ADV_W,32),"")</f>
        <v/>
      </c>
      <c r="F38" s="63">
        <f>IF('ساعات عمر'!$M$347=1,IF(N(C38)=0,0,MAX(0,FLOOR(MIN(IF(SUMPRODUCT(MAX((LG_E="عمر المصري")*(LG_INST&lt;&gt;"")*(LG_D&lt;=B38)*LG_IDX))=0,'بداية السنة'!$E$6,INDEX(LG_INST,SUMPRODUCT(MAX((LG_E="عمر المصري")*(LG_INST&lt;&gt;"")*(LG_D&lt;=B38)*LG_IDX)))),'بداية السنة'!$D$6+SUMIFS(LG_DEBT,LG_E,"عمر المصري",LG_D,"&lt;="&amp;B38)-SUMIFS(LG_REP,LG_E,"عمر المصري",LG_D,"&lt;="&amp;B38)-SUM(F7:F37),INST_CAP*(N(C38)+N(D38)),N(C38)+N(D38)-N(E38)-N(K38)-NET_FLOOR*N(C38)),0.25))),"")</f>
        <v/>
      </c>
      <c r="G38" s="64">
        <f>IF('ساعات عمر'!$M$347=1,IF(32=START_O,'بداية السنة'!$C$6,N(I37))+N(C38)+N(D38)-N(E38)-N(F38)-N(K38),"")</f>
        <v/>
      </c>
      <c r="H38" s="63">
        <f>IF('ساعات عمر'!$M$347=1,N('ساعات عمر'!G357),"")</f>
        <v/>
      </c>
      <c r="I38" s="63">
        <f>IF('ساعات عمر'!$M$347=1,G38-H38,"")</f>
        <v/>
      </c>
      <c r="J38" s="65">
        <f>IF('ساعات عمر'!$M$347=1,MAX(0,'بداية السنة'!$D$6+SUMIFS(LG_DEBT,LG_E,"عمر المصري",LG_D,"&lt;="&amp;B38)-SUMIFS(LG_REP,LG_E,"عمر المصري",LG_D,"&lt;="&amp;B38)-SUM(F7:F38)),"")</f>
        <v/>
      </c>
      <c r="K38" s="66">
        <f>0</f>
        <v/>
      </c>
      <c r="L38" s="62">
        <f>IF(B38="","",MONTH(B38))</f>
        <v/>
      </c>
    </row>
    <row r="39">
      <c r="A39" s="62">
        <f>IF(33&lt;=NW,33,"")</f>
        <v/>
      </c>
      <c r="B39" s="20">
        <f>IF(33&lt;=NW,SAT1+230,"")</f>
        <v/>
      </c>
      <c r="C39" s="63">
        <f>IF('ساعات عمر'!$M$358=1,N('ساعات عمر'!H367),"")</f>
        <v/>
      </c>
      <c r="D39" s="63">
        <f>IF('ساعات عمر'!$M$358=1,N('ساعات عمر'!D368),"")</f>
        <v/>
      </c>
      <c r="E39" s="63">
        <f>IF('ساعات عمر'!$M$358=1,SUMIFS(ADV_AMT,ADV_E,"عمر المصري",ADV_W,33),"")</f>
        <v/>
      </c>
      <c r="F39" s="63">
        <f>IF('ساعات عمر'!$M$358=1,IF(N(C39)=0,0,MAX(0,FLOOR(MIN(IF(SUMPRODUCT(MAX((LG_E="عمر المصري")*(LG_INST&lt;&gt;"")*(LG_D&lt;=B39)*LG_IDX))=0,'بداية السنة'!$E$6,INDEX(LG_INST,SUMPRODUCT(MAX((LG_E="عمر المصري")*(LG_INST&lt;&gt;"")*(LG_D&lt;=B39)*LG_IDX)))),'بداية السنة'!$D$6+SUMIFS(LG_DEBT,LG_E,"عمر المصري",LG_D,"&lt;="&amp;B39)-SUMIFS(LG_REP,LG_E,"عمر المصري",LG_D,"&lt;="&amp;B39)-SUM(F7:F38),INST_CAP*(N(C39)+N(D39)),N(C39)+N(D39)-N(E39)-N(K39)-NET_FLOOR*N(C39)),0.25))),"")</f>
        <v/>
      </c>
      <c r="G39" s="64">
        <f>IF('ساعات عمر'!$M$358=1,IF(33=START_O,'بداية السنة'!$C$6,N(I38))+N(C39)+N(D39)-N(E39)-N(F39)-N(K39),"")</f>
        <v/>
      </c>
      <c r="H39" s="63">
        <f>IF('ساعات عمر'!$M$358=1,N('ساعات عمر'!G368),"")</f>
        <v/>
      </c>
      <c r="I39" s="63">
        <f>IF('ساعات عمر'!$M$358=1,G39-H39,"")</f>
        <v/>
      </c>
      <c r="J39" s="65">
        <f>IF('ساعات عمر'!$M$358=1,MAX(0,'بداية السنة'!$D$6+SUMIFS(LG_DEBT,LG_E,"عمر المصري",LG_D,"&lt;="&amp;B39)-SUMIFS(LG_REP,LG_E,"عمر المصري",LG_D,"&lt;="&amp;B39)-SUM(F7:F39)),"")</f>
        <v/>
      </c>
      <c r="K39" s="66">
        <f>0</f>
        <v/>
      </c>
      <c r="L39" s="62">
        <f>IF(B39="","",MONTH(B39))</f>
        <v/>
      </c>
    </row>
    <row r="40">
      <c r="A40" s="62">
        <f>IF(34&lt;=NW,34,"")</f>
        <v/>
      </c>
      <c r="B40" s="20">
        <f>IF(34&lt;=NW,SAT1+237,"")</f>
        <v/>
      </c>
      <c r="C40" s="63">
        <f>IF('ساعات عمر'!$M$369=1,N('ساعات عمر'!H378),"")</f>
        <v/>
      </c>
      <c r="D40" s="63">
        <f>IF('ساعات عمر'!$M$369=1,N('ساعات عمر'!D379),"")</f>
        <v/>
      </c>
      <c r="E40" s="63">
        <f>IF('ساعات عمر'!$M$369=1,SUMIFS(ADV_AMT,ADV_E,"عمر المصري",ADV_W,34),"")</f>
        <v/>
      </c>
      <c r="F40" s="63">
        <f>IF('ساعات عمر'!$M$369=1,IF(N(C40)=0,0,MAX(0,FLOOR(MIN(IF(SUMPRODUCT(MAX((LG_E="عمر المصري")*(LG_INST&lt;&gt;"")*(LG_D&lt;=B40)*LG_IDX))=0,'بداية السنة'!$E$6,INDEX(LG_INST,SUMPRODUCT(MAX((LG_E="عمر المصري")*(LG_INST&lt;&gt;"")*(LG_D&lt;=B40)*LG_IDX)))),'بداية السنة'!$D$6+SUMIFS(LG_DEBT,LG_E,"عمر المصري",LG_D,"&lt;="&amp;B40)-SUMIFS(LG_REP,LG_E,"عمر المصري",LG_D,"&lt;="&amp;B40)-SUM(F7:F39),INST_CAP*(N(C40)+N(D40)),N(C40)+N(D40)-N(E40)-N(K40)-NET_FLOOR*N(C40)),0.25))),"")</f>
        <v/>
      </c>
      <c r="G40" s="64">
        <f>IF('ساعات عمر'!$M$369=1,IF(34=START_O,'بداية السنة'!$C$6,N(I39))+N(C40)+N(D40)-N(E40)-N(F40)-N(K40),"")</f>
        <v/>
      </c>
      <c r="H40" s="63">
        <f>IF('ساعات عمر'!$M$369=1,N('ساعات عمر'!G379),"")</f>
        <v/>
      </c>
      <c r="I40" s="63">
        <f>IF('ساعات عمر'!$M$369=1,G40-H40,"")</f>
        <v/>
      </c>
      <c r="J40" s="65">
        <f>IF('ساعات عمر'!$M$369=1,MAX(0,'بداية السنة'!$D$6+SUMIFS(LG_DEBT,LG_E,"عمر المصري",LG_D,"&lt;="&amp;B40)-SUMIFS(LG_REP,LG_E,"عمر المصري",LG_D,"&lt;="&amp;B40)-SUM(F7:F40)),"")</f>
        <v/>
      </c>
      <c r="K40" s="66">
        <f>0</f>
        <v/>
      </c>
      <c r="L40" s="62">
        <f>IF(B40="","",MONTH(B40))</f>
        <v/>
      </c>
    </row>
    <row r="41">
      <c r="A41" s="62">
        <f>IF(35&lt;=NW,35,"")</f>
        <v/>
      </c>
      <c r="B41" s="20">
        <f>IF(35&lt;=NW,SAT1+244,"")</f>
        <v/>
      </c>
      <c r="C41" s="63">
        <f>IF('ساعات عمر'!$M$380=1,N('ساعات عمر'!H389),"")</f>
        <v/>
      </c>
      <c r="D41" s="63">
        <f>IF('ساعات عمر'!$M$380=1,N('ساعات عمر'!D390),"")</f>
        <v/>
      </c>
      <c r="E41" s="63">
        <f>IF('ساعات عمر'!$M$380=1,SUMIFS(ADV_AMT,ADV_E,"عمر المصري",ADV_W,35),"")</f>
        <v/>
      </c>
      <c r="F41" s="63">
        <f>IF('ساعات عمر'!$M$380=1,IF(N(C41)=0,0,MAX(0,FLOOR(MIN(IF(SUMPRODUCT(MAX((LG_E="عمر المصري")*(LG_INST&lt;&gt;"")*(LG_D&lt;=B41)*LG_IDX))=0,'بداية السنة'!$E$6,INDEX(LG_INST,SUMPRODUCT(MAX((LG_E="عمر المصري")*(LG_INST&lt;&gt;"")*(LG_D&lt;=B41)*LG_IDX)))),'بداية السنة'!$D$6+SUMIFS(LG_DEBT,LG_E,"عمر المصري",LG_D,"&lt;="&amp;B41)-SUMIFS(LG_REP,LG_E,"عمر المصري",LG_D,"&lt;="&amp;B41)-SUM(F7:F40),INST_CAP*(N(C41)+N(D41)),N(C41)+N(D41)-N(E41)-N(K41)-NET_FLOOR*N(C41)),0.25))),"")</f>
        <v/>
      </c>
      <c r="G41" s="64">
        <f>IF('ساعات عمر'!$M$380=1,IF(35=START_O,'بداية السنة'!$C$6,N(I40))+N(C41)+N(D41)-N(E41)-N(F41)-N(K41),"")</f>
        <v/>
      </c>
      <c r="H41" s="63">
        <f>IF('ساعات عمر'!$M$380=1,N('ساعات عمر'!G390),"")</f>
        <v/>
      </c>
      <c r="I41" s="63">
        <f>IF('ساعات عمر'!$M$380=1,G41-H41,"")</f>
        <v/>
      </c>
      <c r="J41" s="65">
        <f>IF('ساعات عمر'!$M$380=1,MAX(0,'بداية السنة'!$D$6+SUMIFS(LG_DEBT,LG_E,"عمر المصري",LG_D,"&lt;="&amp;B41)-SUMIFS(LG_REP,LG_E,"عمر المصري",LG_D,"&lt;="&amp;B41)-SUM(F7:F41)),"")</f>
        <v/>
      </c>
      <c r="K41" s="66">
        <f>0</f>
        <v/>
      </c>
      <c r="L41" s="62">
        <f>IF(B41="","",MONTH(B41))</f>
        <v/>
      </c>
    </row>
    <row r="42">
      <c r="A42" s="62">
        <f>IF(36&lt;=NW,36,"")</f>
        <v/>
      </c>
      <c r="B42" s="20">
        <f>IF(36&lt;=NW,SAT1+251,"")</f>
        <v/>
      </c>
      <c r="C42" s="63">
        <f>IF('ساعات عمر'!$M$391=1,N('ساعات عمر'!H400),"")</f>
        <v/>
      </c>
      <c r="D42" s="63">
        <f>IF('ساعات عمر'!$M$391=1,N('ساعات عمر'!D401),"")</f>
        <v/>
      </c>
      <c r="E42" s="63">
        <f>IF('ساعات عمر'!$M$391=1,SUMIFS(ADV_AMT,ADV_E,"عمر المصري",ADV_W,36),"")</f>
        <v/>
      </c>
      <c r="F42" s="63">
        <f>IF('ساعات عمر'!$M$391=1,IF(N(C42)=0,0,MAX(0,FLOOR(MIN(IF(SUMPRODUCT(MAX((LG_E="عمر المصري")*(LG_INST&lt;&gt;"")*(LG_D&lt;=B42)*LG_IDX))=0,'بداية السنة'!$E$6,INDEX(LG_INST,SUMPRODUCT(MAX((LG_E="عمر المصري")*(LG_INST&lt;&gt;"")*(LG_D&lt;=B42)*LG_IDX)))),'بداية السنة'!$D$6+SUMIFS(LG_DEBT,LG_E,"عمر المصري",LG_D,"&lt;="&amp;B42)-SUMIFS(LG_REP,LG_E,"عمر المصري",LG_D,"&lt;="&amp;B42)-SUM(F7:F41),INST_CAP*(N(C42)+N(D42)),N(C42)+N(D42)-N(E42)-N(K42)-NET_FLOOR*N(C42)),0.25))),"")</f>
        <v/>
      </c>
      <c r="G42" s="64">
        <f>IF('ساعات عمر'!$M$391=1,IF(36=START_O,'بداية السنة'!$C$6,N(I41))+N(C42)+N(D42)-N(E42)-N(F42)-N(K42),"")</f>
        <v/>
      </c>
      <c r="H42" s="63">
        <f>IF('ساعات عمر'!$M$391=1,N('ساعات عمر'!G401),"")</f>
        <v/>
      </c>
      <c r="I42" s="63">
        <f>IF('ساعات عمر'!$M$391=1,G42-H42,"")</f>
        <v/>
      </c>
      <c r="J42" s="65">
        <f>IF('ساعات عمر'!$M$391=1,MAX(0,'بداية السنة'!$D$6+SUMIFS(LG_DEBT,LG_E,"عمر المصري",LG_D,"&lt;="&amp;B42)-SUMIFS(LG_REP,LG_E,"عمر المصري",LG_D,"&lt;="&amp;B42)-SUM(F7:F42)),"")</f>
        <v/>
      </c>
      <c r="K42" s="66">
        <f>0</f>
        <v/>
      </c>
      <c r="L42" s="62">
        <f>IF(B42="","",MONTH(B42))</f>
        <v/>
      </c>
    </row>
    <row r="43">
      <c r="A43" s="62">
        <f>IF(37&lt;=NW,37,"")</f>
        <v/>
      </c>
      <c r="B43" s="20">
        <f>IF(37&lt;=NW,SAT1+258,"")</f>
        <v/>
      </c>
      <c r="C43" s="63">
        <f>IF('ساعات عمر'!$M$402=1,N('ساعات عمر'!H411),"")</f>
        <v/>
      </c>
      <c r="D43" s="63">
        <f>IF('ساعات عمر'!$M$402=1,N('ساعات عمر'!D412),"")</f>
        <v/>
      </c>
      <c r="E43" s="63">
        <f>IF('ساعات عمر'!$M$402=1,SUMIFS(ADV_AMT,ADV_E,"عمر المصري",ADV_W,37),"")</f>
        <v/>
      </c>
      <c r="F43" s="63">
        <f>IF('ساعات عمر'!$M$402=1,IF(N(C43)=0,0,MAX(0,FLOOR(MIN(IF(SUMPRODUCT(MAX((LG_E="عمر المصري")*(LG_INST&lt;&gt;"")*(LG_D&lt;=B43)*LG_IDX))=0,'بداية السنة'!$E$6,INDEX(LG_INST,SUMPRODUCT(MAX((LG_E="عمر المصري")*(LG_INST&lt;&gt;"")*(LG_D&lt;=B43)*LG_IDX)))),'بداية السنة'!$D$6+SUMIFS(LG_DEBT,LG_E,"عمر المصري",LG_D,"&lt;="&amp;B43)-SUMIFS(LG_REP,LG_E,"عمر المصري",LG_D,"&lt;="&amp;B43)-SUM(F7:F42),INST_CAP*(N(C43)+N(D43)),N(C43)+N(D43)-N(E43)-N(K43)-NET_FLOOR*N(C43)),0.25))),"")</f>
        <v/>
      </c>
      <c r="G43" s="64">
        <f>IF('ساعات عمر'!$M$402=1,IF(37=START_O,'بداية السنة'!$C$6,N(I42))+N(C43)+N(D43)-N(E43)-N(F43)-N(K43),"")</f>
        <v/>
      </c>
      <c r="H43" s="63">
        <f>IF('ساعات عمر'!$M$402=1,N('ساعات عمر'!G412),"")</f>
        <v/>
      </c>
      <c r="I43" s="63">
        <f>IF('ساعات عمر'!$M$402=1,G43-H43,"")</f>
        <v/>
      </c>
      <c r="J43" s="65">
        <f>IF('ساعات عمر'!$M$402=1,MAX(0,'بداية السنة'!$D$6+SUMIFS(LG_DEBT,LG_E,"عمر المصري",LG_D,"&lt;="&amp;B43)-SUMIFS(LG_REP,LG_E,"عمر المصري",LG_D,"&lt;="&amp;B43)-SUM(F7:F43)),"")</f>
        <v/>
      </c>
      <c r="K43" s="66">
        <f>0</f>
        <v/>
      </c>
      <c r="L43" s="62">
        <f>IF(B43="","",MONTH(B43))</f>
        <v/>
      </c>
    </row>
    <row r="44">
      <c r="A44" s="62">
        <f>IF(38&lt;=NW,38,"")</f>
        <v/>
      </c>
      <c r="B44" s="20">
        <f>IF(38&lt;=NW,SAT1+265,"")</f>
        <v/>
      </c>
      <c r="C44" s="63">
        <f>IF('ساعات عمر'!$M$413=1,N('ساعات عمر'!H422),"")</f>
        <v/>
      </c>
      <c r="D44" s="63">
        <f>IF('ساعات عمر'!$M$413=1,N('ساعات عمر'!D423),"")</f>
        <v/>
      </c>
      <c r="E44" s="63">
        <f>IF('ساعات عمر'!$M$413=1,SUMIFS(ADV_AMT,ADV_E,"عمر المصري",ADV_W,38),"")</f>
        <v/>
      </c>
      <c r="F44" s="63">
        <f>IF('ساعات عمر'!$M$413=1,IF(N(C44)=0,0,MAX(0,FLOOR(MIN(IF(SUMPRODUCT(MAX((LG_E="عمر المصري")*(LG_INST&lt;&gt;"")*(LG_D&lt;=B44)*LG_IDX))=0,'بداية السنة'!$E$6,INDEX(LG_INST,SUMPRODUCT(MAX((LG_E="عمر المصري")*(LG_INST&lt;&gt;"")*(LG_D&lt;=B44)*LG_IDX)))),'بداية السنة'!$D$6+SUMIFS(LG_DEBT,LG_E,"عمر المصري",LG_D,"&lt;="&amp;B44)-SUMIFS(LG_REP,LG_E,"عمر المصري",LG_D,"&lt;="&amp;B44)-SUM(F7:F43),INST_CAP*(N(C44)+N(D44)),N(C44)+N(D44)-N(E44)-N(K44)-NET_FLOOR*N(C44)),0.25))),"")</f>
        <v/>
      </c>
      <c r="G44" s="64">
        <f>IF('ساعات عمر'!$M$413=1,IF(38=START_O,'بداية السنة'!$C$6,N(I43))+N(C44)+N(D44)-N(E44)-N(F44)-N(K44),"")</f>
        <v/>
      </c>
      <c r="H44" s="63">
        <f>IF('ساعات عمر'!$M$413=1,N('ساعات عمر'!G423),"")</f>
        <v/>
      </c>
      <c r="I44" s="63">
        <f>IF('ساعات عمر'!$M$413=1,G44-H44,"")</f>
        <v/>
      </c>
      <c r="J44" s="65">
        <f>IF('ساعات عمر'!$M$413=1,MAX(0,'بداية السنة'!$D$6+SUMIFS(LG_DEBT,LG_E,"عمر المصري",LG_D,"&lt;="&amp;B44)-SUMIFS(LG_REP,LG_E,"عمر المصري",LG_D,"&lt;="&amp;B44)-SUM(F7:F44)),"")</f>
        <v/>
      </c>
      <c r="K44" s="66">
        <f>0</f>
        <v/>
      </c>
      <c r="L44" s="62">
        <f>IF(B44="","",MONTH(B44))</f>
        <v/>
      </c>
    </row>
    <row r="45">
      <c r="A45" s="62">
        <f>IF(39&lt;=NW,39,"")</f>
        <v/>
      </c>
      <c r="B45" s="20">
        <f>IF(39&lt;=NW,SAT1+272,"")</f>
        <v/>
      </c>
      <c r="C45" s="63">
        <f>IF('ساعات عمر'!$M$424=1,N('ساعات عمر'!H433),"")</f>
        <v/>
      </c>
      <c r="D45" s="63">
        <f>IF('ساعات عمر'!$M$424=1,N('ساعات عمر'!D434),"")</f>
        <v/>
      </c>
      <c r="E45" s="63">
        <f>IF('ساعات عمر'!$M$424=1,SUMIFS(ADV_AMT,ADV_E,"عمر المصري",ADV_W,39),"")</f>
        <v/>
      </c>
      <c r="F45" s="63">
        <f>IF('ساعات عمر'!$M$424=1,IF(N(C45)=0,0,MAX(0,FLOOR(MIN(IF(SUMPRODUCT(MAX((LG_E="عمر المصري")*(LG_INST&lt;&gt;"")*(LG_D&lt;=B45)*LG_IDX))=0,'بداية السنة'!$E$6,INDEX(LG_INST,SUMPRODUCT(MAX((LG_E="عمر المصري")*(LG_INST&lt;&gt;"")*(LG_D&lt;=B45)*LG_IDX)))),'بداية السنة'!$D$6+SUMIFS(LG_DEBT,LG_E,"عمر المصري",LG_D,"&lt;="&amp;B45)-SUMIFS(LG_REP,LG_E,"عمر المصري",LG_D,"&lt;="&amp;B45)-SUM(F7:F44),INST_CAP*(N(C45)+N(D45)),N(C45)+N(D45)-N(E45)-N(K45)-NET_FLOOR*N(C45)),0.25))),"")</f>
        <v/>
      </c>
      <c r="G45" s="64">
        <f>IF('ساعات عمر'!$M$424=1,IF(39=START_O,'بداية السنة'!$C$6,N(I44))+N(C45)+N(D45)-N(E45)-N(F45)-N(K45),"")</f>
        <v/>
      </c>
      <c r="H45" s="63">
        <f>IF('ساعات عمر'!$M$424=1,N('ساعات عمر'!G434),"")</f>
        <v/>
      </c>
      <c r="I45" s="63">
        <f>IF('ساعات عمر'!$M$424=1,G45-H45,"")</f>
        <v/>
      </c>
      <c r="J45" s="65">
        <f>IF('ساعات عمر'!$M$424=1,MAX(0,'بداية السنة'!$D$6+SUMIFS(LG_DEBT,LG_E,"عمر المصري",LG_D,"&lt;="&amp;B45)-SUMIFS(LG_REP,LG_E,"عمر المصري",LG_D,"&lt;="&amp;B45)-SUM(F7:F45)),"")</f>
        <v/>
      </c>
      <c r="K45" s="66">
        <f>0</f>
        <v/>
      </c>
      <c r="L45" s="62">
        <f>IF(B45="","",MONTH(B45))</f>
        <v/>
      </c>
    </row>
    <row r="46">
      <c r="A46" s="62">
        <f>IF(40&lt;=NW,40,"")</f>
        <v/>
      </c>
      <c r="B46" s="20">
        <f>IF(40&lt;=NW,SAT1+279,"")</f>
        <v/>
      </c>
      <c r="C46" s="63">
        <f>IF('ساعات عمر'!$M$435=1,N('ساعات عمر'!H444),"")</f>
        <v/>
      </c>
      <c r="D46" s="63">
        <f>IF('ساعات عمر'!$M$435=1,N('ساعات عمر'!D445),"")</f>
        <v/>
      </c>
      <c r="E46" s="63">
        <f>IF('ساعات عمر'!$M$435=1,SUMIFS(ADV_AMT,ADV_E,"عمر المصري",ADV_W,40),"")</f>
        <v/>
      </c>
      <c r="F46" s="63">
        <f>IF('ساعات عمر'!$M$435=1,IF(N(C46)=0,0,MAX(0,FLOOR(MIN(IF(SUMPRODUCT(MAX((LG_E="عمر المصري")*(LG_INST&lt;&gt;"")*(LG_D&lt;=B46)*LG_IDX))=0,'بداية السنة'!$E$6,INDEX(LG_INST,SUMPRODUCT(MAX((LG_E="عمر المصري")*(LG_INST&lt;&gt;"")*(LG_D&lt;=B46)*LG_IDX)))),'بداية السنة'!$D$6+SUMIFS(LG_DEBT,LG_E,"عمر المصري",LG_D,"&lt;="&amp;B46)-SUMIFS(LG_REP,LG_E,"عمر المصري",LG_D,"&lt;="&amp;B46)-SUM(F7:F45),INST_CAP*(N(C46)+N(D46)),N(C46)+N(D46)-N(E46)-N(K46)-NET_FLOOR*N(C46)),0.25))),"")</f>
        <v/>
      </c>
      <c r="G46" s="64">
        <f>IF('ساعات عمر'!$M$435=1,IF(40=START_O,'بداية السنة'!$C$6,N(I45))+N(C46)+N(D46)-N(E46)-N(F46)-N(K46),"")</f>
        <v/>
      </c>
      <c r="H46" s="63">
        <f>IF('ساعات عمر'!$M$435=1,N('ساعات عمر'!G445),"")</f>
        <v/>
      </c>
      <c r="I46" s="63">
        <f>IF('ساعات عمر'!$M$435=1,G46-H46,"")</f>
        <v/>
      </c>
      <c r="J46" s="65">
        <f>IF('ساعات عمر'!$M$435=1,MAX(0,'بداية السنة'!$D$6+SUMIFS(LG_DEBT,LG_E,"عمر المصري",LG_D,"&lt;="&amp;B46)-SUMIFS(LG_REP,LG_E,"عمر المصري",LG_D,"&lt;="&amp;B46)-SUM(F7:F46)),"")</f>
        <v/>
      </c>
      <c r="K46" s="66">
        <f>0</f>
        <v/>
      </c>
      <c r="L46" s="62">
        <f>IF(B46="","",MONTH(B46))</f>
        <v/>
      </c>
    </row>
    <row r="47">
      <c r="A47" s="62">
        <f>IF(41&lt;=NW,41,"")</f>
        <v/>
      </c>
      <c r="B47" s="20">
        <f>IF(41&lt;=NW,SAT1+286,"")</f>
        <v/>
      </c>
      <c r="C47" s="63">
        <f>IF('ساعات عمر'!$M$446=1,N('ساعات عمر'!H455),"")</f>
        <v/>
      </c>
      <c r="D47" s="63">
        <f>IF('ساعات عمر'!$M$446=1,N('ساعات عمر'!D456),"")</f>
        <v/>
      </c>
      <c r="E47" s="63">
        <f>IF('ساعات عمر'!$M$446=1,SUMIFS(ADV_AMT,ADV_E,"عمر المصري",ADV_W,41),"")</f>
        <v/>
      </c>
      <c r="F47" s="63">
        <f>IF('ساعات عمر'!$M$446=1,IF(N(C47)=0,0,MAX(0,FLOOR(MIN(IF(SUMPRODUCT(MAX((LG_E="عمر المصري")*(LG_INST&lt;&gt;"")*(LG_D&lt;=B47)*LG_IDX))=0,'بداية السنة'!$E$6,INDEX(LG_INST,SUMPRODUCT(MAX((LG_E="عمر المصري")*(LG_INST&lt;&gt;"")*(LG_D&lt;=B47)*LG_IDX)))),'بداية السنة'!$D$6+SUMIFS(LG_DEBT,LG_E,"عمر المصري",LG_D,"&lt;="&amp;B47)-SUMIFS(LG_REP,LG_E,"عمر المصري",LG_D,"&lt;="&amp;B47)-SUM(F7:F46),INST_CAP*(N(C47)+N(D47)),N(C47)+N(D47)-N(E47)-N(K47)-NET_FLOOR*N(C47)),0.25))),"")</f>
        <v/>
      </c>
      <c r="G47" s="64">
        <f>IF('ساعات عمر'!$M$446=1,IF(41=START_O,'بداية السنة'!$C$6,N(I46))+N(C47)+N(D47)-N(E47)-N(F47)-N(K47),"")</f>
        <v/>
      </c>
      <c r="H47" s="63">
        <f>IF('ساعات عمر'!$M$446=1,N('ساعات عمر'!G456),"")</f>
        <v/>
      </c>
      <c r="I47" s="63">
        <f>IF('ساعات عمر'!$M$446=1,G47-H47,"")</f>
        <v/>
      </c>
      <c r="J47" s="65">
        <f>IF('ساعات عمر'!$M$446=1,MAX(0,'بداية السنة'!$D$6+SUMIFS(LG_DEBT,LG_E,"عمر المصري",LG_D,"&lt;="&amp;B47)-SUMIFS(LG_REP,LG_E,"عمر المصري",LG_D,"&lt;="&amp;B47)-SUM(F7:F47)),"")</f>
        <v/>
      </c>
      <c r="K47" s="66">
        <f>0</f>
        <v/>
      </c>
      <c r="L47" s="62">
        <f>IF(B47="","",MONTH(B47))</f>
        <v/>
      </c>
    </row>
    <row r="48">
      <c r="A48" s="62">
        <f>IF(42&lt;=NW,42,"")</f>
        <v/>
      </c>
      <c r="B48" s="20">
        <f>IF(42&lt;=NW,SAT1+293,"")</f>
        <v/>
      </c>
      <c r="C48" s="63">
        <f>IF('ساعات عمر'!$M$457=1,N('ساعات عمر'!H466),"")</f>
        <v/>
      </c>
      <c r="D48" s="63">
        <f>IF('ساعات عمر'!$M$457=1,N('ساعات عمر'!D467),"")</f>
        <v/>
      </c>
      <c r="E48" s="63">
        <f>IF('ساعات عمر'!$M$457=1,SUMIFS(ADV_AMT,ADV_E,"عمر المصري",ADV_W,42),"")</f>
        <v/>
      </c>
      <c r="F48" s="63">
        <f>IF('ساعات عمر'!$M$457=1,IF(N(C48)=0,0,MAX(0,FLOOR(MIN(IF(SUMPRODUCT(MAX((LG_E="عمر المصري")*(LG_INST&lt;&gt;"")*(LG_D&lt;=B48)*LG_IDX))=0,'بداية السنة'!$E$6,INDEX(LG_INST,SUMPRODUCT(MAX((LG_E="عمر المصري")*(LG_INST&lt;&gt;"")*(LG_D&lt;=B48)*LG_IDX)))),'بداية السنة'!$D$6+SUMIFS(LG_DEBT,LG_E,"عمر المصري",LG_D,"&lt;="&amp;B48)-SUMIFS(LG_REP,LG_E,"عمر المصري",LG_D,"&lt;="&amp;B48)-SUM(F7:F47),INST_CAP*(N(C48)+N(D48)),N(C48)+N(D48)-N(E48)-N(K48)-NET_FLOOR*N(C48)),0.25))),"")</f>
        <v/>
      </c>
      <c r="G48" s="64">
        <f>IF('ساعات عمر'!$M$457=1,IF(42=START_O,'بداية السنة'!$C$6,N(I47))+N(C48)+N(D48)-N(E48)-N(F48)-N(K48),"")</f>
        <v/>
      </c>
      <c r="H48" s="63">
        <f>IF('ساعات عمر'!$M$457=1,N('ساعات عمر'!G467),"")</f>
        <v/>
      </c>
      <c r="I48" s="63">
        <f>IF('ساعات عمر'!$M$457=1,G48-H48,"")</f>
        <v/>
      </c>
      <c r="J48" s="65">
        <f>IF('ساعات عمر'!$M$457=1,MAX(0,'بداية السنة'!$D$6+SUMIFS(LG_DEBT,LG_E,"عمر المصري",LG_D,"&lt;="&amp;B48)-SUMIFS(LG_REP,LG_E,"عمر المصري",LG_D,"&lt;="&amp;B48)-SUM(F7:F48)),"")</f>
        <v/>
      </c>
      <c r="K48" s="66">
        <f>0</f>
        <v/>
      </c>
      <c r="L48" s="62">
        <f>IF(B48="","",MONTH(B48))</f>
        <v/>
      </c>
    </row>
    <row r="49">
      <c r="A49" s="62">
        <f>IF(43&lt;=NW,43,"")</f>
        <v/>
      </c>
      <c r="B49" s="20">
        <f>IF(43&lt;=NW,SAT1+300,"")</f>
        <v/>
      </c>
      <c r="C49" s="63">
        <f>IF('ساعات عمر'!$M$468=1,N('ساعات عمر'!H477),"")</f>
        <v/>
      </c>
      <c r="D49" s="63">
        <f>IF('ساعات عمر'!$M$468=1,N('ساعات عمر'!D478),"")</f>
        <v/>
      </c>
      <c r="E49" s="63">
        <f>IF('ساعات عمر'!$M$468=1,SUMIFS(ADV_AMT,ADV_E,"عمر المصري",ADV_W,43),"")</f>
        <v/>
      </c>
      <c r="F49" s="63">
        <f>IF('ساعات عمر'!$M$468=1,IF(N(C49)=0,0,MAX(0,FLOOR(MIN(IF(SUMPRODUCT(MAX((LG_E="عمر المصري")*(LG_INST&lt;&gt;"")*(LG_D&lt;=B49)*LG_IDX))=0,'بداية السنة'!$E$6,INDEX(LG_INST,SUMPRODUCT(MAX((LG_E="عمر المصري")*(LG_INST&lt;&gt;"")*(LG_D&lt;=B49)*LG_IDX)))),'بداية السنة'!$D$6+SUMIFS(LG_DEBT,LG_E,"عمر المصري",LG_D,"&lt;="&amp;B49)-SUMIFS(LG_REP,LG_E,"عمر المصري",LG_D,"&lt;="&amp;B49)-SUM(F7:F48),INST_CAP*(N(C49)+N(D49)),N(C49)+N(D49)-N(E49)-N(K49)-NET_FLOOR*N(C49)),0.25))),"")</f>
        <v/>
      </c>
      <c r="G49" s="64">
        <f>IF('ساعات عمر'!$M$468=1,IF(43=START_O,'بداية السنة'!$C$6,N(I48))+N(C49)+N(D49)-N(E49)-N(F49)-N(K49),"")</f>
        <v/>
      </c>
      <c r="H49" s="63">
        <f>IF('ساعات عمر'!$M$468=1,N('ساعات عمر'!G478),"")</f>
        <v/>
      </c>
      <c r="I49" s="63">
        <f>IF('ساعات عمر'!$M$468=1,G49-H49,"")</f>
        <v/>
      </c>
      <c r="J49" s="65">
        <f>IF('ساعات عمر'!$M$468=1,MAX(0,'بداية السنة'!$D$6+SUMIFS(LG_DEBT,LG_E,"عمر المصري",LG_D,"&lt;="&amp;B49)-SUMIFS(LG_REP,LG_E,"عمر المصري",LG_D,"&lt;="&amp;B49)-SUM(F7:F49)),"")</f>
        <v/>
      </c>
      <c r="K49" s="66">
        <f>0</f>
        <v/>
      </c>
      <c r="L49" s="62">
        <f>IF(B49="","",MONTH(B49))</f>
        <v/>
      </c>
    </row>
    <row r="50">
      <c r="A50" s="62">
        <f>IF(44&lt;=NW,44,"")</f>
        <v/>
      </c>
      <c r="B50" s="20">
        <f>IF(44&lt;=NW,SAT1+307,"")</f>
        <v/>
      </c>
      <c r="C50" s="63">
        <f>IF('ساعات عمر'!$M$479=1,N('ساعات عمر'!H488),"")</f>
        <v/>
      </c>
      <c r="D50" s="63">
        <f>IF('ساعات عمر'!$M$479=1,N('ساعات عمر'!D489),"")</f>
        <v/>
      </c>
      <c r="E50" s="63">
        <f>IF('ساعات عمر'!$M$479=1,SUMIFS(ADV_AMT,ADV_E,"عمر المصري",ADV_W,44),"")</f>
        <v/>
      </c>
      <c r="F50" s="63">
        <f>IF('ساعات عمر'!$M$479=1,IF(N(C50)=0,0,MAX(0,FLOOR(MIN(IF(SUMPRODUCT(MAX((LG_E="عمر المصري")*(LG_INST&lt;&gt;"")*(LG_D&lt;=B50)*LG_IDX))=0,'بداية السنة'!$E$6,INDEX(LG_INST,SUMPRODUCT(MAX((LG_E="عمر المصري")*(LG_INST&lt;&gt;"")*(LG_D&lt;=B50)*LG_IDX)))),'بداية السنة'!$D$6+SUMIFS(LG_DEBT,LG_E,"عمر المصري",LG_D,"&lt;="&amp;B50)-SUMIFS(LG_REP,LG_E,"عمر المصري",LG_D,"&lt;="&amp;B50)-SUM(F7:F49),INST_CAP*(N(C50)+N(D50)),N(C50)+N(D50)-N(E50)-N(K50)-NET_FLOOR*N(C50)),0.25))),"")</f>
        <v/>
      </c>
      <c r="G50" s="64">
        <f>IF('ساعات عمر'!$M$479=1,IF(44=START_O,'بداية السنة'!$C$6,N(I49))+N(C50)+N(D50)-N(E50)-N(F50)-N(K50),"")</f>
        <v/>
      </c>
      <c r="H50" s="63">
        <f>IF('ساعات عمر'!$M$479=1,N('ساعات عمر'!G489),"")</f>
        <v/>
      </c>
      <c r="I50" s="63">
        <f>IF('ساعات عمر'!$M$479=1,G50-H50,"")</f>
        <v/>
      </c>
      <c r="J50" s="65">
        <f>IF('ساعات عمر'!$M$479=1,MAX(0,'بداية السنة'!$D$6+SUMIFS(LG_DEBT,LG_E,"عمر المصري",LG_D,"&lt;="&amp;B50)-SUMIFS(LG_REP,LG_E,"عمر المصري",LG_D,"&lt;="&amp;B50)-SUM(F7:F50)),"")</f>
        <v/>
      </c>
      <c r="K50" s="66">
        <f>0</f>
        <v/>
      </c>
      <c r="L50" s="62">
        <f>IF(B50="","",MONTH(B50))</f>
        <v/>
      </c>
    </row>
    <row r="51">
      <c r="A51" s="62">
        <f>IF(45&lt;=NW,45,"")</f>
        <v/>
      </c>
      <c r="B51" s="20">
        <f>IF(45&lt;=NW,SAT1+314,"")</f>
        <v/>
      </c>
      <c r="C51" s="63">
        <f>IF('ساعات عمر'!$M$490=1,N('ساعات عمر'!H499),"")</f>
        <v/>
      </c>
      <c r="D51" s="63">
        <f>IF('ساعات عمر'!$M$490=1,N('ساعات عمر'!D500),"")</f>
        <v/>
      </c>
      <c r="E51" s="63">
        <f>IF('ساعات عمر'!$M$490=1,SUMIFS(ADV_AMT,ADV_E,"عمر المصري",ADV_W,45),"")</f>
        <v/>
      </c>
      <c r="F51" s="63">
        <f>IF('ساعات عمر'!$M$490=1,IF(N(C51)=0,0,MAX(0,FLOOR(MIN(IF(SUMPRODUCT(MAX((LG_E="عمر المصري")*(LG_INST&lt;&gt;"")*(LG_D&lt;=B51)*LG_IDX))=0,'بداية السنة'!$E$6,INDEX(LG_INST,SUMPRODUCT(MAX((LG_E="عمر المصري")*(LG_INST&lt;&gt;"")*(LG_D&lt;=B51)*LG_IDX)))),'بداية السنة'!$D$6+SUMIFS(LG_DEBT,LG_E,"عمر المصري",LG_D,"&lt;="&amp;B51)-SUMIFS(LG_REP,LG_E,"عمر المصري",LG_D,"&lt;="&amp;B51)-SUM(F7:F50),INST_CAP*(N(C51)+N(D51)),N(C51)+N(D51)-N(E51)-N(K51)-NET_FLOOR*N(C51)),0.25))),"")</f>
        <v/>
      </c>
      <c r="G51" s="64">
        <f>IF('ساعات عمر'!$M$490=1,IF(45=START_O,'بداية السنة'!$C$6,N(I50))+N(C51)+N(D51)-N(E51)-N(F51)-N(K51),"")</f>
        <v/>
      </c>
      <c r="H51" s="63">
        <f>IF('ساعات عمر'!$M$490=1,N('ساعات عمر'!G500),"")</f>
        <v/>
      </c>
      <c r="I51" s="63">
        <f>IF('ساعات عمر'!$M$490=1,G51-H51,"")</f>
        <v/>
      </c>
      <c r="J51" s="65">
        <f>IF('ساعات عمر'!$M$490=1,MAX(0,'بداية السنة'!$D$6+SUMIFS(LG_DEBT,LG_E,"عمر المصري",LG_D,"&lt;="&amp;B51)-SUMIFS(LG_REP,LG_E,"عمر المصري",LG_D,"&lt;="&amp;B51)-SUM(F7:F51)),"")</f>
        <v/>
      </c>
      <c r="K51" s="66">
        <f>0</f>
        <v/>
      </c>
      <c r="L51" s="62">
        <f>IF(B51="","",MONTH(B51))</f>
        <v/>
      </c>
    </row>
    <row r="52">
      <c r="A52" s="62">
        <f>IF(46&lt;=NW,46,"")</f>
        <v/>
      </c>
      <c r="B52" s="20">
        <f>IF(46&lt;=NW,SAT1+321,"")</f>
        <v/>
      </c>
      <c r="C52" s="63">
        <f>IF('ساعات عمر'!$M$501=1,N('ساعات عمر'!H510),"")</f>
        <v/>
      </c>
      <c r="D52" s="63">
        <f>IF('ساعات عمر'!$M$501=1,N('ساعات عمر'!D511),"")</f>
        <v/>
      </c>
      <c r="E52" s="63">
        <f>IF('ساعات عمر'!$M$501=1,SUMIFS(ADV_AMT,ADV_E,"عمر المصري",ADV_W,46),"")</f>
        <v/>
      </c>
      <c r="F52" s="63">
        <f>IF('ساعات عمر'!$M$501=1,IF(N(C52)=0,0,MAX(0,FLOOR(MIN(IF(SUMPRODUCT(MAX((LG_E="عمر المصري")*(LG_INST&lt;&gt;"")*(LG_D&lt;=B52)*LG_IDX))=0,'بداية السنة'!$E$6,INDEX(LG_INST,SUMPRODUCT(MAX((LG_E="عمر المصري")*(LG_INST&lt;&gt;"")*(LG_D&lt;=B52)*LG_IDX)))),'بداية السنة'!$D$6+SUMIFS(LG_DEBT,LG_E,"عمر المصري",LG_D,"&lt;="&amp;B52)-SUMIFS(LG_REP,LG_E,"عمر المصري",LG_D,"&lt;="&amp;B52)-SUM(F7:F51),INST_CAP*(N(C52)+N(D52)),N(C52)+N(D52)-N(E52)-N(K52)-NET_FLOOR*N(C52)),0.25))),"")</f>
        <v/>
      </c>
      <c r="G52" s="64">
        <f>IF('ساعات عمر'!$M$501=1,IF(46=START_O,'بداية السنة'!$C$6,N(I51))+N(C52)+N(D52)-N(E52)-N(F52)-N(K52),"")</f>
        <v/>
      </c>
      <c r="H52" s="63">
        <f>IF('ساعات عمر'!$M$501=1,N('ساعات عمر'!G511),"")</f>
        <v/>
      </c>
      <c r="I52" s="63">
        <f>IF('ساعات عمر'!$M$501=1,G52-H52,"")</f>
        <v/>
      </c>
      <c r="J52" s="65">
        <f>IF('ساعات عمر'!$M$501=1,MAX(0,'بداية السنة'!$D$6+SUMIFS(LG_DEBT,LG_E,"عمر المصري",LG_D,"&lt;="&amp;B52)-SUMIFS(LG_REP,LG_E,"عمر المصري",LG_D,"&lt;="&amp;B52)-SUM(F7:F52)),"")</f>
        <v/>
      </c>
      <c r="K52" s="66">
        <f>0</f>
        <v/>
      </c>
      <c r="L52" s="62">
        <f>IF(B52="","",MONTH(B52))</f>
        <v/>
      </c>
    </row>
    <row r="53">
      <c r="A53" s="62">
        <f>IF(47&lt;=NW,47,"")</f>
        <v/>
      </c>
      <c r="B53" s="20">
        <f>IF(47&lt;=NW,SAT1+328,"")</f>
        <v/>
      </c>
      <c r="C53" s="63">
        <f>IF('ساعات عمر'!$M$512=1,N('ساعات عمر'!H521),"")</f>
        <v/>
      </c>
      <c r="D53" s="63">
        <f>IF('ساعات عمر'!$M$512=1,N('ساعات عمر'!D522),"")</f>
        <v/>
      </c>
      <c r="E53" s="63">
        <f>IF('ساعات عمر'!$M$512=1,SUMIFS(ADV_AMT,ADV_E,"عمر المصري",ADV_W,47),"")</f>
        <v/>
      </c>
      <c r="F53" s="63">
        <f>IF('ساعات عمر'!$M$512=1,IF(N(C53)=0,0,MAX(0,FLOOR(MIN(IF(SUMPRODUCT(MAX((LG_E="عمر المصري")*(LG_INST&lt;&gt;"")*(LG_D&lt;=B53)*LG_IDX))=0,'بداية السنة'!$E$6,INDEX(LG_INST,SUMPRODUCT(MAX((LG_E="عمر المصري")*(LG_INST&lt;&gt;"")*(LG_D&lt;=B53)*LG_IDX)))),'بداية السنة'!$D$6+SUMIFS(LG_DEBT,LG_E,"عمر المصري",LG_D,"&lt;="&amp;B53)-SUMIFS(LG_REP,LG_E,"عمر المصري",LG_D,"&lt;="&amp;B53)-SUM(F7:F52),INST_CAP*(N(C53)+N(D53)),N(C53)+N(D53)-N(E53)-N(K53)-NET_FLOOR*N(C53)),0.25))),"")</f>
        <v/>
      </c>
      <c r="G53" s="64">
        <f>IF('ساعات عمر'!$M$512=1,IF(47=START_O,'بداية السنة'!$C$6,N(I52))+N(C53)+N(D53)-N(E53)-N(F53)-N(K53),"")</f>
        <v/>
      </c>
      <c r="H53" s="63">
        <f>IF('ساعات عمر'!$M$512=1,N('ساعات عمر'!G522),"")</f>
        <v/>
      </c>
      <c r="I53" s="63">
        <f>IF('ساعات عمر'!$M$512=1,G53-H53,"")</f>
        <v/>
      </c>
      <c r="J53" s="65">
        <f>IF('ساعات عمر'!$M$512=1,MAX(0,'بداية السنة'!$D$6+SUMIFS(LG_DEBT,LG_E,"عمر المصري",LG_D,"&lt;="&amp;B53)-SUMIFS(LG_REP,LG_E,"عمر المصري",LG_D,"&lt;="&amp;B53)-SUM(F7:F53)),"")</f>
        <v/>
      </c>
      <c r="K53" s="66">
        <f>0</f>
        <v/>
      </c>
      <c r="L53" s="62">
        <f>IF(B53="","",MONTH(B53))</f>
        <v/>
      </c>
    </row>
    <row r="54">
      <c r="A54" s="62">
        <f>IF(48&lt;=NW,48,"")</f>
        <v/>
      </c>
      <c r="B54" s="20">
        <f>IF(48&lt;=NW,SAT1+335,"")</f>
        <v/>
      </c>
      <c r="C54" s="63">
        <f>IF('ساعات عمر'!$M$523=1,N('ساعات عمر'!H532),"")</f>
        <v/>
      </c>
      <c r="D54" s="63">
        <f>IF('ساعات عمر'!$M$523=1,N('ساعات عمر'!D533),"")</f>
        <v/>
      </c>
      <c r="E54" s="63">
        <f>IF('ساعات عمر'!$M$523=1,SUMIFS(ADV_AMT,ADV_E,"عمر المصري",ADV_W,48),"")</f>
        <v/>
      </c>
      <c r="F54" s="63">
        <f>IF('ساعات عمر'!$M$523=1,IF(N(C54)=0,0,MAX(0,FLOOR(MIN(IF(SUMPRODUCT(MAX((LG_E="عمر المصري")*(LG_INST&lt;&gt;"")*(LG_D&lt;=B54)*LG_IDX))=0,'بداية السنة'!$E$6,INDEX(LG_INST,SUMPRODUCT(MAX((LG_E="عمر المصري")*(LG_INST&lt;&gt;"")*(LG_D&lt;=B54)*LG_IDX)))),'بداية السنة'!$D$6+SUMIFS(LG_DEBT,LG_E,"عمر المصري",LG_D,"&lt;="&amp;B54)-SUMIFS(LG_REP,LG_E,"عمر المصري",LG_D,"&lt;="&amp;B54)-SUM(F7:F53),INST_CAP*(N(C54)+N(D54)),N(C54)+N(D54)-N(E54)-N(K54)-NET_FLOOR*N(C54)),0.25))),"")</f>
        <v/>
      </c>
      <c r="G54" s="64">
        <f>IF('ساعات عمر'!$M$523=1,IF(48=START_O,'بداية السنة'!$C$6,N(I53))+N(C54)+N(D54)-N(E54)-N(F54)-N(K54),"")</f>
        <v/>
      </c>
      <c r="H54" s="63">
        <f>IF('ساعات عمر'!$M$523=1,N('ساعات عمر'!G533),"")</f>
        <v/>
      </c>
      <c r="I54" s="63">
        <f>IF('ساعات عمر'!$M$523=1,G54-H54,"")</f>
        <v/>
      </c>
      <c r="J54" s="65">
        <f>IF('ساعات عمر'!$M$523=1,MAX(0,'بداية السنة'!$D$6+SUMIFS(LG_DEBT,LG_E,"عمر المصري",LG_D,"&lt;="&amp;B54)-SUMIFS(LG_REP,LG_E,"عمر المصري",LG_D,"&lt;="&amp;B54)-SUM(F7:F54)),"")</f>
        <v/>
      </c>
      <c r="K54" s="66">
        <f>0</f>
        <v/>
      </c>
      <c r="L54" s="62">
        <f>IF(B54="","",MONTH(B54))</f>
        <v/>
      </c>
    </row>
    <row r="55">
      <c r="A55" s="62">
        <f>IF(49&lt;=NW,49,"")</f>
        <v/>
      </c>
      <c r="B55" s="20">
        <f>IF(49&lt;=NW,SAT1+342,"")</f>
        <v/>
      </c>
      <c r="C55" s="63">
        <f>IF('ساعات عمر'!$M$534=1,N('ساعات عمر'!H543),"")</f>
        <v/>
      </c>
      <c r="D55" s="63">
        <f>IF('ساعات عمر'!$M$534=1,N('ساعات عمر'!D544),"")</f>
        <v/>
      </c>
      <c r="E55" s="63">
        <f>IF('ساعات عمر'!$M$534=1,SUMIFS(ADV_AMT,ADV_E,"عمر المصري",ADV_W,49),"")</f>
        <v/>
      </c>
      <c r="F55" s="63">
        <f>IF('ساعات عمر'!$M$534=1,IF(N(C55)=0,0,MAX(0,FLOOR(MIN(IF(SUMPRODUCT(MAX((LG_E="عمر المصري")*(LG_INST&lt;&gt;"")*(LG_D&lt;=B55)*LG_IDX))=0,'بداية السنة'!$E$6,INDEX(LG_INST,SUMPRODUCT(MAX((LG_E="عمر المصري")*(LG_INST&lt;&gt;"")*(LG_D&lt;=B55)*LG_IDX)))),'بداية السنة'!$D$6+SUMIFS(LG_DEBT,LG_E,"عمر المصري",LG_D,"&lt;="&amp;B55)-SUMIFS(LG_REP,LG_E,"عمر المصري",LG_D,"&lt;="&amp;B55)-SUM(F7:F54),INST_CAP*(N(C55)+N(D55)),N(C55)+N(D55)-N(E55)-N(K55)-NET_FLOOR*N(C55)),0.25))),"")</f>
        <v/>
      </c>
      <c r="G55" s="64">
        <f>IF('ساعات عمر'!$M$534=1,IF(49=START_O,'بداية السنة'!$C$6,N(I54))+N(C55)+N(D55)-N(E55)-N(F55)-N(K55),"")</f>
        <v/>
      </c>
      <c r="H55" s="63">
        <f>IF('ساعات عمر'!$M$534=1,N('ساعات عمر'!G544),"")</f>
        <v/>
      </c>
      <c r="I55" s="63">
        <f>IF('ساعات عمر'!$M$534=1,G55-H55,"")</f>
        <v/>
      </c>
      <c r="J55" s="65">
        <f>IF('ساعات عمر'!$M$534=1,MAX(0,'بداية السنة'!$D$6+SUMIFS(LG_DEBT,LG_E,"عمر المصري",LG_D,"&lt;="&amp;B55)-SUMIFS(LG_REP,LG_E,"عمر المصري",LG_D,"&lt;="&amp;B55)-SUM(F7:F55)),"")</f>
        <v/>
      </c>
      <c r="K55" s="66">
        <f>0</f>
        <v/>
      </c>
      <c r="L55" s="62">
        <f>IF(B55="","",MONTH(B55))</f>
        <v/>
      </c>
    </row>
    <row r="56">
      <c r="A56" s="62">
        <f>IF(50&lt;=NW,50,"")</f>
        <v/>
      </c>
      <c r="B56" s="20">
        <f>IF(50&lt;=NW,SAT1+349,"")</f>
        <v/>
      </c>
      <c r="C56" s="63">
        <f>IF('ساعات عمر'!$M$545=1,N('ساعات عمر'!H554),"")</f>
        <v/>
      </c>
      <c r="D56" s="63">
        <f>IF('ساعات عمر'!$M$545=1,N('ساعات عمر'!D555),"")</f>
        <v/>
      </c>
      <c r="E56" s="63">
        <f>IF('ساعات عمر'!$M$545=1,SUMIFS(ADV_AMT,ADV_E,"عمر المصري",ADV_W,50),"")</f>
        <v/>
      </c>
      <c r="F56" s="63">
        <f>IF('ساعات عمر'!$M$545=1,IF(N(C56)=0,0,MAX(0,FLOOR(MIN(IF(SUMPRODUCT(MAX((LG_E="عمر المصري")*(LG_INST&lt;&gt;"")*(LG_D&lt;=B56)*LG_IDX))=0,'بداية السنة'!$E$6,INDEX(LG_INST,SUMPRODUCT(MAX((LG_E="عمر المصري")*(LG_INST&lt;&gt;"")*(LG_D&lt;=B56)*LG_IDX)))),'بداية السنة'!$D$6+SUMIFS(LG_DEBT,LG_E,"عمر المصري",LG_D,"&lt;="&amp;B56)-SUMIFS(LG_REP,LG_E,"عمر المصري",LG_D,"&lt;="&amp;B56)-SUM(F7:F55),INST_CAP*(N(C56)+N(D56)),N(C56)+N(D56)-N(E56)-N(K56)-NET_FLOOR*N(C56)),0.25))),"")</f>
        <v/>
      </c>
      <c r="G56" s="64">
        <f>IF('ساعات عمر'!$M$545=1,IF(50=START_O,'بداية السنة'!$C$6,N(I55))+N(C56)+N(D56)-N(E56)-N(F56)-N(K56),"")</f>
        <v/>
      </c>
      <c r="H56" s="63">
        <f>IF('ساعات عمر'!$M$545=1,N('ساعات عمر'!G555),"")</f>
        <v/>
      </c>
      <c r="I56" s="63">
        <f>IF('ساعات عمر'!$M$545=1,G56-H56,"")</f>
        <v/>
      </c>
      <c r="J56" s="65">
        <f>IF('ساعات عمر'!$M$545=1,MAX(0,'بداية السنة'!$D$6+SUMIFS(LG_DEBT,LG_E,"عمر المصري",LG_D,"&lt;="&amp;B56)-SUMIFS(LG_REP,LG_E,"عمر المصري",LG_D,"&lt;="&amp;B56)-SUM(F7:F56)),"")</f>
        <v/>
      </c>
      <c r="K56" s="66">
        <f>0</f>
        <v/>
      </c>
      <c r="L56" s="62">
        <f>IF(B56="","",MONTH(B56))</f>
        <v/>
      </c>
    </row>
    <row r="57">
      <c r="A57" s="62">
        <f>IF(51&lt;=NW,51,"")</f>
        <v/>
      </c>
      <c r="B57" s="20">
        <f>IF(51&lt;=NW,SAT1+356,"")</f>
        <v/>
      </c>
      <c r="C57" s="63">
        <f>IF('ساعات عمر'!$M$556=1,N('ساعات عمر'!H565),"")</f>
        <v/>
      </c>
      <c r="D57" s="63">
        <f>IF('ساعات عمر'!$M$556=1,N('ساعات عمر'!D566),"")</f>
        <v/>
      </c>
      <c r="E57" s="63">
        <f>IF('ساعات عمر'!$M$556=1,SUMIFS(ADV_AMT,ADV_E,"عمر المصري",ADV_W,51),"")</f>
        <v/>
      </c>
      <c r="F57" s="63">
        <f>IF('ساعات عمر'!$M$556=1,IF(N(C57)=0,0,MAX(0,FLOOR(MIN(IF(SUMPRODUCT(MAX((LG_E="عمر المصري")*(LG_INST&lt;&gt;"")*(LG_D&lt;=B57)*LG_IDX))=0,'بداية السنة'!$E$6,INDEX(LG_INST,SUMPRODUCT(MAX((LG_E="عمر المصري")*(LG_INST&lt;&gt;"")*(LG_D&lt;=B57)*LG_IDX)))),'بداية السنة'!$D$6+SUMIFS(LG_DEBT,LG_E,"عمر المصري",LG_D,"&lt;="&amp;B57)-SUMIFS(LG_REP,LG_E,"عمر المصري",LG_D,"&lt;="&amp;B57)-SUM(F7:F56),INST_CAP*(N(C57)+N(D57)),N(C57)+N(D57)-N(E57)-N(K57)-NET_FLOOR*N(C57)),0.25))),"")</f>
        <v/>
      </c>
      <c r="G57" s="64">
        <f>IF('ساعات عمر'!$M$556=1,IF(51=START_O,'بداية السنة'!$C$6,N(I56))+N(C57)+N(D57)-N(E57)-N(F57)-N(K57),"")</f>
        <v/>
      </c>
      <c r="H57" s="63">
        <f>IF('ساعات عمر'!$M$556=1,N('ساعات عمر'!G566),"")</f>
        <v/>
      </c>
      <c r="I57" s="63">
        <f>IF('ساعات عمر'!$M$556=1,G57-H57,"")</f>
        <v/>
      </c>
      <c r="J57" s="65">
        <f>IF('ساعات عمر'!$M$556=1,MAX(0,'بداية السنة'!$D$6+SUMIFS(LG_DEBT,LG_E,"عمر المصري",LG_D,"&lt;="&amp;B57)-SUMIFS(LG_REP,LG_E,"عمر المصري",LG_D,"&lt;="&amp;B57)-SUM(F7:F57)),"")</f>
        <v/>
      </c>
      <c r="K57" s="66">
        <f>0</f>
        <v/>
      </c>
      <c r="L57" s="62">
        <f>IF(B57="","",MONTH(B57))</f>
        <v/>
      </c>
    </row>
    <row r="58">
      <c r="A58" s="62">
        <f>IF(52&lt;=NW,52,"")</f>
        <v/>
      </c>
      <c r="B58" s="20">
        <f>IF(52&lt;=NW,SAT1+363,"")</f>
        <v/>
      </c>
      <c r="C58" s="63">
        <f>IF('ساعات عمر'!$M$567=1,N('ساعات عمر'!H576),"")</f>
        <v/>
      </c>
      <c r="D58" s="63">
        <f>IF('ساعات عمر'!$M$567=1,N('ساعات عمر'!D577),"")</f>
        <v/>
      </c>
      <c r="E58" s="63">
        <f>IF('ساعات عمر'!$M$567=1,SUMIFS(ADV_AMT,ADV_E,"عمر المصري",ADV_W,52),"")</f>
        <v/>
      </c>
      <c r="F58" s="63">
        <f>IF('ساعات عمر'!$M$567=1,IF(N(C58)=0,0,MAX(0,FLOOR(MIN(IF(SUMPRODUCT(MAX((LG_E="عمر المصري")*(LG_INST&lt;&gt;"")*(LG_D&lt;=B58)*LG_IDX))=0,'بداية السنة'!$E$6,INDEX(LG_INST,SUMPRODUCT(MAX((LG_E="عمر المصري")*(LG_INST&lt;&gt;"")*(LG_D&lt;=B58)*LG_IDX)))),'بداية السنة'!$D$6+SUMIFS(LG_DEBT,LG_E,"عمر المصري",LG_D,"&lt;="&amp;B58)-SUMIFS(LG_REP,LG_E,"عمر المصري",LG_D,"&lt;="&amp;B58)-SUM(F7:F57),INST_CAP*(N(C58)+N(D58)),N(C58)+N(D58)-N(E58)-N(K58)-NET_FLOOR*N(C58)),0.25))),"")</f>
        <v/>
      </c>
      <c r="G58" s="64">
        <f>IF('ساعات عمر'!$M$567=1,IF(52=START_O,'بداية السنة'!$C$6,N(I57))+N(C58)+N(D58)-N(E58)-N(F58)-N(K58),"")</f>
        <v/>
      </c>
      <c r="H58" s="63">
        <f>IF('ساعات عمر'!$M$567=1,N('ساعات عمر'!G577),"")</f>
        <v/>
      </c>
      <c r="I58" s="63">
        <f>IF('ساعات عمر'!$M$567=1,G58-H58,"")</f>
        <v/>
      </c>
      <c r="J58" s="65">
        <f>IF('ساعات عمر'!$M$567=1,MAX(0,'بداية السنة'!$D$6+SUMIFS(LG_DEBT,LG_E,"عمر المصري",LG_D,"&lt;="&amp;B58)-SUMIFS(LG_REP,LG_E,"عمر المصري",LG_D,"&lt;="&amp;B58)-SUM(F7:F58)),"")</f>
        <v/>
      </c>
      <c r="K58" s="66">
        <f>0</f>
        <v/>
      </c>
      <c r="L58" s="62">
        <f>IF(B58="","",MONTH(B58))</f>
        <v/>
      </c>
    </row>
    <row r="59">
      <c r="A59" s="62">
        <f>IF(53&lt;=NW,53,"")</f>
        <v/>
      </c>
      <c r="B59" s="20">
        <f>IF(53&lt;=NW,SAT1+370,"")</f>
        <v/>
      </c>
      <c r="C59" s="63">
        <f>IF('ساعات عمر'!$M$578=1,N('ساعات عمر'!H587),"")</f>
        <v/>
      </c>
      <c r="D59" s="63">
        <f>IF('ساعات عمر'!$M$578=1,N('ساعات عمر'!D588),"")</f>
        <v/>
      </c>
      <c r="E59" s="63">
        <f>IF('ساعات عمر'!$M$578=1,SUMIFS(ADV_AMT,ADV_E,"عمر المصري",ADV_W,53),"")</f>
        <v/>
      </c>
      <c r="F59" s="63">
        <f>IF('ساعات عمر'!$M$578=1,IF(N(C59)=0,0,MAX(0,FLOOR(MIN(IF(SUMPRODUCT(MAX((LG_E="عمر المصري")*(LG_INST&lt;&gt;"")*(LG_D&lt;=B59)*LG_IDX))=0,'بداية السنة'!$E$6,INDEX(LG_INST,SUMPRODUCT(MAX((LG_E="عمر المصري")*(LG_INST&lt;&gt;"")*(LG_D&lt;=B59)*LG_IDX)))),'بداية السنة'!$D$6+SUMIFS(LG_DEBT,LG_E,"عمر المصري",LG_D,"&lt;="&amp;B59)-SUMIFS(LG_REP,LG_E,"عمر المصري",LG_D,"&lt;="&amp;B59)-SUM(F7:F58),INST_CAP*(N(C59)+N(D59)),N(C59)+N(D59)-N(E59)-N(K59)-NET_FLOOR*N(C59)),0.25))),"")</f>
        <v/>
      </c>
      <c r="G59" s="64">
        <f>IF('ساعات عمر'!$M$578=1,IF(53=START_O,'بداية السنة'!$C$6,N(I58))+N(C59)+N(D59)-N(E59)-N(F59)-N(K59),"")</f>
        <v/>
      </c>
      <c r="H59" s="63">
        <f>IF('ساعات عمر'!$M$578=1,N('ساعات عمر'!G588),"")</f>
        <v/>
      </c>
      <c r="I59" s="63">
        <f>IF('ساعات عمر'!$M$578=1,G59-H59,"")</f>
        <v/>
      </c>
      <c r="J59" s="65">
        <f>IF('ساعات عمر'!$M$578=1,MAX(0,'بداية السنة'!$D$6+SUMIFS(LG_DEBT,LG_E,"عمر المصري",LG_D,"&lt;="&amp;B59)-SUMIFS(LG_REP,LG_E,"عمر المصري",LG_D,"&lt;="&amp;B59)-SUM(F7:F59)),"")</f>
        <v/>
      </c>
      <c r="K59" s="66">
        <f>0</f>
        <v/>
      </c>
      <c r="L59" s="62">
        <f>IF(B59="","",MONTH(B59))</f>
        <v/>
      </c>
    </row>
    <row r="60">
      <c r="A60" s="67" t="inlineStr">
        <is>
          <t>مجموع السنة</t>
        </is>
      </c>
      <c r="B60" s="67" t="n"/>
      <c r="C60" s="67">
        <f>SUM(C7:C59)</f>
        <v/>
      </c>
      <c r="D60" s="67">
        <f>SUM(D7:D59)</f>
        <v/>
      </c>
      <c r="E60" s="67">
        <f>SUM(E7:E59)</f>
        <v/>
      </c>
      <c r="F60" s="67">
        <f>SUM(F7:F59)</f>
        <v/>
      </c>
      <c r="G60" s="67">
        <f>SUM(G7:G59)</f>
        <v/>
      </c>
      <c r="H60" s="67">
        <f>SUM(H7:H59)</f>
        <v/>
      </c>
      <c r="I60" s="67" t="n"/>
      <c r="J60" s="67" t="n"/>
      <c r="K60" s="67">
        <f>SUM(K7:K59)</f>
        <v/>
      </c>
      <c r="L60" s="67" t="n"/>
    </row>
    <row r="63">
      <c r="A63" s="68" t="inlineStr">
        <is>
          <t>عبدالعزيز</t>
        </is>
      </c>
    </row>
    <row r="64" ht="30" customHeight="1">
      <c r="A64" s="69" t="inlineStr">
        <is>
          <t>الأسبوع</t>
        </is>
      </c>
      <c r="B64" s="69" t="inlineStr">
        <is>
          <t>الجمعة</t>
        </is>
      </c>
      <c r="C64" s="69" t="inlineStr">
        <is>
          <t>المستحق</t>
        </is>
      </c>
      <c r="D64" s="69" t="inlineStr">
        <is>
          <t>إكرامية</t>
        </is>
      </c>
      <c r="E64" s="69" t="inlineStr">
        <is>
          <t>سلف</t>
        </is>
      </c>
      <c r="F64" s="69" t="inlineStr">
        <is>
          <t>قسط الدين</t>
        </is>
      </c>
      <c r="G64" s="69" t="inlineStr">
        <is>
          <t>الصافي للدفع</t>
        </is>
      </c>
      <c r="H64" s="69" t="inlineStr">
        <is>
          <t>المدفوع</t>
        </is>
      </c>
      <c r="I64" s="69" t="inlineStr">
        <is>
          <t>الباقي له</t>
        </is>
      </c>
      <c r="J64" s="69" t="inlineStr">
        <is>
          <t>الدين المتبقي</t>
        </is>
      </c>
      <c r="K64" s="69" t="inlineStr">
        <is>
          <t>قبض يومياً</t>
        </is>
      </c>
      <c r="L64" s="69" t="inlineStr">
        <is>
          <t>شهر</t>
        </is>
      </c>
    </row>
    <row r="65">
      <c r="A65" s="62">
        <f>IF(1&lt;=NW,1,"")</f>
        <v/>
      </c>
      <c r="B65" s="20">
        <f>IF(1&lt;=NW,SAT1+6,"")</f>
        <v/>
      </c>
      <c r="C65" s="63">
        <f>IF('ساعات عبدالعزيز'!$M$6=1,N('ساعات عبدالعزيز'!F15),"")</f>
        <v/>
      </c>
      <c r="D65" s="63">
        <f>IF('ساعات عبدالعزيز'!$M$6=1,N('ساعات عبدالعزيز'!C16),"")</f>
        <v/>
      </c>
      <c r="E65" s="63">
        <f>IF('ساعات عبدالعزيز'!$M$6=1,SUMIFS(ADV_AMT,ADV_E,"عبدالعزيز",ADV_W,1),"")</f>
        <v/>
      </c>
      <c r="F65" s="63">
        <f>IF('ساعات عبدالعزيز'!$M$6=1,IF(N(C65)=0,0,MAX(0,FLOOR(MIN(IF(SUMPRODUCT(MAX((LG_E="عبدالعزيز")*(LG_INST&lt;&gt;"")*(LG_D&lt;=B65)*LG_IDX))=0,'بداية السنة'!$E$7,INDEX(LG_INST,SUMPRODUCT(MAX((LG_E="عبدالعزيز")*(LG_INST&lt;&gt;"")*(LG_D&lt;=B65)*LG_IDX)))),'بداية السنة'!$D$7+SUMIFS(LG_DEBT,LG_E,"عبدالعزيز",LG_D,"&lt;="&amp;B65)-SUMIFS(LG_REP,LG_E,"عبدالعزيز",LG_D,"&lt;="&amp;B65)-0,INST_CAP*(N(C65)+N(D65)),N(C65)+N(D65)-N(E65)-N(K65)-NET_FLOOR*N(C65)),0.25))),"")</f>
        <v/>
      </c>
      <c r="G65" s="64">
        <f>IF('ساعات عبدالعزيز'!$M$6=1,IF(1=START_Z,'بداية السنة'!$C$7,0)+N(C65)+N(D65)-N(E65)-N(F65)-N(K65),"")</f>
        <v/>
      </c>
      <c r="H65" s="63">
        <f>IF('ساعات عبدالعزيز'!$M$6=1,N('ساعات عبدالعزيز'!F16),"")</f>
        <v/>
      </c>
      <c r="I65" s="63">
        <f>IF('ساعات عبدالعزيز'!$M$6=1,G65-H65,"")</f>
        <v/>
      </c>
      <c r="J65" s="65">
        <f>IF('ساعات عبدالعزيز'!$M$6=1,MAX(0,'بداية السنة'!$D$7+SUMIFS(LG_DEBT,LG_E,"عبدالعزيز",LG_D,"&lt;="&amp;B65)-SUMIFS(LG_REP,LG_E,"عبدالعزيز",LG_D,"&lt;="&amp;B65)-SUM(F65:F65)),"")</f>
        <v/>
      </c>
      <c r="K65" s="63">
        <f>IF('ساعات عبدالعزيز'!$M$6=1,N('ساعات عبدالعزيز'!G14),"")</f>
        <v/>
      </c>
      <c r="L65" s="62">
        <f>IF(B65="","",MONTH(B65))</f>
        <v/>
      </c>
    </row>
    <row r="66">
      <c r="A66" s="62">
        <f>IF(2&lt;=NW,2,"")</f>
        <v/>
      </c>
      <c r="B66" s="20">
        <f>IF(2&lt;=NW,SAT1+13,"")</f>
        <v/>
      </c>
      <c r="C66" s="63">
        <f>IF('ساعات عبدالعزيز'!$M$17=1,N('ساعات عبدالعزيز'!F26),"")</f>
        <v/>
      </c>
      <c r="D66" s="63">
        <f>IF('ساعات عبدالعزيز'!$M$17=1,N('ساعات عبدالعزيز'!C27),"")</f>
        <v/>
      </c>
      <c r="E66" s="63">
        <f>IF('ساعات عبدالعزيز'!$M$17=1,SUMIFS(ADV_AMT,ADV_E,"عبدالعزيز",ADV_W,2),"")</f>
        <v/>
      </c>
      <c r="F66" s="63">
        <f>IF('ساعات عبدالعزيز'!$M$17=1,IF(N(C66)=0,0,MAX(0,FLOOR(MIN(IF(SUMPRODUCT(MAX((LG_E="عبدالعزيز")*(LG_INST&lt;&gt;"")*(LG_D&lt;=B66)*LG_IDX))=0,'بداية السنة'!$E$7,INDEX(LG_INST,SUMPRODUCT(MAX((LG_E="عبدالعزيز")*(LG_INST&lt;&gt;"")*(LG_D&lt;=B66)*LG_IDX)))),'بداية السنة'!$D$7+SUMIFS(LG_DEBT,LG_E,"عبدالعزيز",LG_D,"&lt;="&amp;B66)-SUMIFS(LG_REP,LG_E,"عبدالعزيز",LG_D,"&lt;="&amp;B66)-SUM(F65:F65),INST_CAP*(N(C66)+N(D66)),N(C66)+N(D66)-N(E66)-N(K66)-NET_FLOOR*N(C66)),0.25))),"")</f>
        <v/>
      </c>
      <c r="G66" s="64">
        <f>IF('ساعات عبدالعزيز'!$M$17=1,IF(2=START_Z,'بداية السنة'!$C$7,N(I65))+N(C66)+N(D66)-N(E66)-N(F66)-N(K66),"")</f>
        <v/>
      </c>
      <c r="H66" s="63">
        <f>IF('ساعات عبدالعزيز'!$M$17=1,N('ساعات عبدالعزيز'!F27),"")</f>
        <v/>
      </c>
      <c r="I66" s="63">
        <f>IF('ساعات عبدالعزيز'!$M$17=1,G66-H66,"")</f>
        <v/>
      </c>
      <c r="J66" s="65">
        <f>IF('ساعات عبدالعزيز'!$M$17=1,MAX(0,'بداية السنة'!$D$7+SUMIFS(LG_DEBT,LG_E,"عبدالعزيز",LG_D,"&lt;="&amp;B66)-SUMIFS(LG_REP,LG_E,"عبدالعزيز",LG_D,"&lt;="&amp;B66)-SUM(F65:F66)),"")</f>
        <v/>
      </c>
      <c r="K66" s="63">
        <f>IF('ساعات عبدالعزيز'!$M$17=1,N('ساعات عبدالعزيز'!G25),"")</f>
        <v/>
      </c>
      <c r="L66" s="62">
        <f>IF(B66="","",MONTH(B66))</f>
        <v/>
      </c>
    </row>
    <row r="67">
      <c r="A67" s="62">
        <f>IF(3&lt;=NW,3,"")</f>
        <v/>
      </c>
      <c r="B67" s="20">
        <f>IF(3&lt;=NW,SAT1+20,"")</f>
        <v/>
      </c>
      <c r="C67" s="63">
        <f>IF('ساعات عبدالعزيز'!$M$28=1,N('ساعات عبدالعزيز'!F37),"")</f>
        <v/>
      </c>
      <c r="D67" s="63">
        <f>IF('ساعات عبدالعزيز'!$M$28=1,N('ساعات عبدالعزيز'!C38),"")</f>
        <v/>
      </c>
      <c r="E67" s="63">
        <f>IF('ساعات عبدالعزيز'!$M$28=1,SUMIFS(ADV_AMT,ADV_E,"عبدالعزيز",ADV_W,3),"")</f>
        <v/>
      </c>
      <c r="F67" s="63">
        <f>IF('ساعات عبدالعزيز'!$M$28=1,IF(N(C67)=0,0,MAX(0,FLOOR(MIN(IF(SUMPRODUCT(MAX((LG_E="عبدالعزيز")*(LG_INST&lt;&gt;"")*(LG_D&lt;=B67)*LG_IDX))=0,'بداية السنة'!$E$7,INDEX(LG_INST,SUMPRODUCT(MAX((LG_E="عبدالعزيز")*(LG_INST&lt;&gt;"")*(LG_D&lt;=B67)*LG_IDX)))),'بداية السنة'!$D$7+SUMIFS(LG_DEBT,LG_E,"عبدالعزيز",LG_D,"&lt;="&amp;B67)-SUMIFS(LG_REP,LG_E,"عبدالعزيز",LG_D,"&lt;="&amp;B67)-SUM(F65:F66),INST_CAP*(N(C67)+N(D67)),N(C67)+N(D67)-N(E67)-N(K67)-NET_FLOOR*N(C67)),0.25))),"")</f>
        <v/>
      </c>
      <c r="G67" s="64">
        <f>IF('ساعات عبدالعزيز'!$M$28=1,IF(3=START_Z,'بداية السنة'!$C$7,N(I66))+N(C67)+N(D67)-N(E67)-N(F67)-N(K67),"")</f>
        <v/>
      </c>
      <c r="H67" s="63">
        <f>IF('ساعات عبدالعزيز'!$M$28=1,N('ساعات عبدالعزيز'!F38),"")</f>
        <v/>
      </c>
      <c r="I67" s="63">
        <f>IF('ساعات عبدالعزيز'!$M$28=1,G67-H67,"")</f>
        <v/>
      </c>
      <c r="J67" s="65">
        <f>IF('ساعات عبدالعزيز'!$M$28=1,MAX(0,'بداية السنة'!$D$7+SUMIFS(LG_DEBT,LG_E,"عبدالعزيز",LG_D,"&lt;="&amp;B67)-SUMIFS(LG_REP,LG_E,"عبدالعزيز",LG_D,"&lt;="&amp;B67)-SUM(F65:F67)),"")</f>
        <v/>
      </c>
      <c r="K67" s="63">
        <f>IF('ساعات عبدالعزيز'!$M$28=1,N('ساعات عبدالعزيز'!G36),"")</f>
        <v/>
      </c>
      <c r="L67" s="62">
        <f>IF(B67="","",MONTH(B67))</f>
        <v/>
      </c>
    </row>
    <row r="68">
      <c r="A68" s="62">
        <f>IF(4&lt;=NW,4,"")</f>
        <v/>
      </c>
      <c r="B68" s="20">
        <f>IF(4&lt;=NW,SAT1+27,"")</f>
        <v/>
      </c>
      <c r="C68" s="63">
        <f>IF('ساعات عبدالعزيز'!$M$39=1,N('ساعات عبدالعزيز'!F48),"")</f>
        <v/>
      </c>
      <c r="D68" s="63">
        <f>IF('ساعات عبدالعزيز'!$M$39=1,N('ساعات عبدالعزيز'!C49),"")</f>
        <v/>
      </c>
      <c r="E68" s="63">
        <f>IF('ساعات عبدالعزيز'!$M$39=1,SUMIFS(ADV_AMT,ADV_E,"عبدالعزيز",ADV_W,4),"")</f>
        <v/>
      </c>
      <c r="F68" s="63">
        <f>IF('ساعات عبدالعزيز'!$M$39=1,IF(N(C68)=0,0,MAX(0,FLOOR(MIN(IF(SUMPRODUCT(MAX((LG_E="عبدالعزيز")*(LG_INST&lt;&gt;"")*(LG_D&lt;=B68)*LG_IDX))=0,'بداية السنة'!$E$7,INDEX(LG_INST,SUMPRODUCT(MAX((LG_E="عبدالعزيز")*(LG_INST&lt;&gt;"")*(LG_D&lt;=B68)*LG_IDX)))),'بداية السنة'!$D$7+SUMIFS(LG_DEBT,LG_E,"عبدالعزيز",LG_D,"&lt;="&amp;B68)-SUMIFS(LG_REP,LG_E,"عبدالعزيز",LG_D,"&lt;="&amp;B68)-SUM(F65:F67),INST_CAP*(N(C68)+N(D68)),N(C68)+N(D68)-N(E68)-N(K68)-NET_FLOOR*N(C68)),0.25))),"")</f>
        <v/>
      </c>
      <c r="G68" s="64">
        <f>IF('ساعات عبدالعزيز'!$M$39=1,IF(4=START_Z,'بداية السنة'!$C$7,N(I67))+N(C68)+N(D68)-N(E68)-N(F68)-N(K68),"")</f>
        <v/>
      </c>
      <c r="H68" s="63">
        <f>IF('ساعات عبدالعزيز'!$M$39=1,N('ساعات عبدالعزيز'!F49),"")</f>
        <v/>
      </c>
      <c r="I68" s="63">
        <f>IF('ساعات عبدالعزيز'!$M$39=1,G68-H68,"")</f>
        <v/>
      </c>
      <c r="J68" s="65">
        <f>IF('ساعات عبدالعزيز'!$M$39=1,MAX(0,'بداية السنة'!$D$7+SUMIFS(LG_DEBT,LG_E,"عبدالعزيز",LG_D,"&lt;="&amp;B68)-SUMIFS(LG_REP,LG_E,"عبدالعزيز",LG_D,"&lt;="&amp;B68)-SUM(F65:F68)),"")</f>
        <v/>
      </c>
      <c r="K68" s="63">
        <f>IF('ساعات عبدالعزيز'!$M$39=1,N('ساعات عبدالعزيز'!G47),"")</f>
        <v/>
      </c>
      <c r="L68" s="62">
        <f>IF(B68="","",MONTH(B68))</f>
        <v/>
      </c>
    </row>
    <row r="69">
      <c r="A69" s="62">
        <f>IF(5&lt;=NW,5,"")</f>
        <v/>
      </c>
      <c r="B69" s="20">
        <f>IF(5&lt;=NW,SAT1+34,"")</f>
        <v/>
      </c>
      <c r="C69" s="63">
        <f>IF('ساعات عبدالعزيز'!$M$50=1,N('ساعات عبدالعزيز'!F59),"")</f>
        <v/>
      </c>
      <c r="D69" s="63">
        <f>IF('ساعات عبدالعزيز'!$M$50=1,N('ساعات عبدالعزيز'!C60),"")</f>
        <v/>
      </c>
      <c r="E69" s="63">
        <f>IF('ساعات عبدالعزيز'!$M$50=1,SUMIFS(ADV_AMT,ADV_E,"عبدالعزيز",ADV_W,5),"")</f>
        <v/>
      </c>
      <c r="F69" s="63">
        <f>IF('ساعات عبدالعزيز'!$M$50=1,IF(N(C69)=0,0,MAX(0,FLOOR(MIN(IF(SUMPRODUCT(MAX((LG_E="عبدالعزيز")*(LG_INST&lt;&gt;"")*(LG_D&lt;=B69)*LG_IDX))=0,'بداية السنة'!$E$7,INDEX(LG_INST,SUMPRODUCT(MAX((LG_E="عبدالعزيز")*(LG_INST&lt;&gt;"")*(LG_D&lt;=B69)*LG_IDX)))),'بداية السنة'!$D$7+SUMIFS(LG_DEBT,LG_E,"عبدالعزيز",LG_D,"&lt;="&amp;B69)-SUMIFS(LG_REP,LG_E,"عبدالعزيز",LG_D,"&lt;="&amp;B69)-SUM(F65:F68),INST_CAP*(N(C69)+N(D69)),N(C69)+N(D69)-N(E69)-N(K69)-NET_FLOOR*N(C69)),0.25))),"")</f>
        <v/>
      </c>
      <c r="G69" s="64">
        <f>IF('ساعات عبدالعزيز'!$M$50=1,IF(5=START_Z,'بداية السنة'!$C$7,N(I68))+N(C69)+N(D69)-N(E69)-N(F69)-N(K69),"")</f>
        <v/>
      </c>
      <c r="H69" s="63">
        <f>IF('ساعات عبدالعزيز'!$M$50=1,N('ساعات عبدالعزيز'!F60),"")</f>
        <v/>
      </c>
      <c r="I69" s="63">
        <f>IF('ساعات عبدالعزيز'!$M$50=1,G69-H69,"")</f>
        <v/>
      </c>
      <c r="J69" s="65">
        <f>IF('ساعات عبدالعزيز'!$M$50=1,MAX(0,'بداية السنة'!$D$7+SUMIFS(LG_DEBT,LG_E,"عبدالعزيز",LG_D,"&lt;="&amp;B69)-SUMIFS(LG_REP,LG_E,"عبدالعزيز",LG_D,"&lt;="&amp;B69)-SUM(F65:F69)),"")</f>
        <v/>
      </c>
      <c r="K69" s="63">
        <f>IF('ساعات عبدالعزيز'!$M$50=1,N('ساعات عبدالعزيز'!G58),"")</f>
        <v/>
      </c>
      <c r="L69" s="62">
        <f>IF(B69="","",MONTH(B69))</f>
        <v/>
      </c>
    </row>
    <row r="70">
      <c r="A70" s="62">
        <f>IF(6&lt;=NW,6,"")</f>
        <v/>
      </c>
      <c r="B70" s="20">
        <f>IF(6&lt;=NW,SAT1+41,"")</f>
        <v/>
      </c>
      <c r="C70" s="63">
        <f>IF('ساعات عبدالعزيز'!$M$61=1,N('ساعات عبدالعزيز'!F70),"")</f>
        <v/>
      </c>
      <c r="D70" s="63">
        <f>IF('ساعات عبدالعزيز'!$M$61=1,N('ساعات عبدالعزيز'!C71),"")</f>
        <v/>
      </c>
      <c r="E70" s="63">
        <f>IF('ساعات عبدالعزيز'!$M$61=1,SUMIFS(ADV_AMT,ADV_E,"عبدالعزيز",ADV_W,6),"")</f>
        <v/>
      </c>
      <c r="F70" s="63">
        <f>IF('ساعات عبدالعزيز'!$M$61=1,IF(N(C70)=0,0,MAX(0,FLOOR(MIN(IF(SUMPRODUCT(MAX((LG_E="عبدالعزيز")*(LG_INST&lt;&gt;"")*(LG_D&lt;=B70)*LG_IDX))=0,'بداية السنة'!$E$7,INDEX(LG_INST,SUMPRODUCT(MAX((LG_E="عبدالعزيز")*(LG_INST&lt;&gt;"")*(LG_D&lt;=B70)*LG_IDX)))),'بداية السنة'!$D$7+SUMIFS(LG_DEBT,LG_E,"عبدالعزيز",LG_D,"&lt;="&amp;B70)-SUMIFS(LG_REP,LG_E,"عبدالعزيز",LG_D,"&lt;="&amp;B70)-SUM(F65:F69),INST_CAP*(N(C70)+N(D70)),N(C70)+N(D70)-N(E70)-N(K70)-NET_FLOOR*N(C70)),0.25))),"")</f>
        <v/>
      </c>
      <c r="G70" s="64">
        <f>IF('ساعات عبدالعزيز'!$M$61=1,IF(6=START_Z,'بداية السنة'!$C$7,N(I69))+N(C70)+N(D70)-N(E70)-N(F70)-N(K70),"")</f>
        <v/>
      </c>
      <c r="H70" s="63">
        <f>IF('ساعات عبدالعزيز'!$M$61=1,N('ساعات عبدالعزيز'!F71),"")</f>
        <v/>
      </c>
      <c r="I70" s="63">
        <f>IF('ساعات عبدالعزيز'!$M$61=1,G70-H70,"")</f>
        <v/>
      </c>
      <c r="J70" s="65">
        <f>IF('ساعات عبدالعزيز'!$M$61=1,MAX(0,'بداية السنة'!$D$7+SUMIFS(LG_DEBT,LG_E,"عبدالعزيز",LG_D,"&lt;="&amp;B70)-SUMIFS(LG_REP,LG_E,"عبدالعزيز",LG_D,"&lt;="&amp;B70)-SUM(F65:F70)),"")</f>
        <v/>
      </c>
      <c r="K70" s="63">
        <f>IF('ساعات عبدالعزيز'!$M$61=1,N('ساعات عبدالعزيز'!G69),"")</f>
        <v/>
      </c>
      <c r="L70" s="62">
        <f>IF(B70="","",MONTH(B70))</f>
        <v/>
      </c>
    </row>
    <row r="71">
      <c r="A71" s="62">
        <f>IF(7&lt;=NW,7,"")</f>
        <v/>
      </c>
      <c r="B71" s="20">
        <f>IF(7&lt;=NW,SAT1+48,"")</f>
        <v/>
      </c>
      <c r="C71" s="63">
        <f>IF('ساعات عبدالعزيز'!$M$72=1,N('ساعات عبدالعزيز'!F81),"")</f>
        <v/>
      </c>
      <c r="D71" s="63">
        <f>IF('ساعات عبدالعزيز'!$M$72=1,N('ساعات عبدالعزيز'!C82),"")</f>
        <v/>
      </c>
      <c r="E71" s="63">
        <f>IF('ساعات عبدالعزيز'!$M$72=1,SUMIFS(ADV_AMT,ADV_E,"عبدالعزيز",ADV_W,7),"")</f>
        <v/>
      </c>
      <c r="F71" s="63">
        <f>IF('ساعات عبدالعزيز'!$M$72=1,IF(N(C71)=0,0,MAX(0,FLOOR(MIN(IF(SUMPRODUCT(MAX((LG_E="عبدالعزيز")*(LG_INST&lt;&gt;"")*(LG_D&lt;=B71)*LG_IDX))=0,'بداية السنة'!$E$7,INDEX(LG_INST,SUMPRODUCT(MAX((LG_E="عبدالعزيز")*(LG_INST&lt;&gt;"")*(LG_D&lt;=B71)*LG_IDX)))),'بداية السنة'!$D$7+SUMIFS(LG_DEBT,LG_E,"عبدالعزيز",LG_D,"&lt;="&amp;B71)-SUMIFS(LG_REP,LG_E,"عبدالعزيز",LG_D,"&lt;="&amp;B71)-SUM(F65:F70),INST_CAP*(N(C71)+N(D71)),N(C71)+N(D71)-N(E71)-N(K71)-NET_FLOOR*N(C71)),0.25))),"")</f>
        <v/>
      </c>
      <c r="G71" s="64">
        <f>IF('ساعات عبدالعزيز'!$M$72=1,IF(7=START_Z,'بداية السنة'!$C$7,N(I70))+N(C71)+N(D71)-N(E71)-N(F71)-N(K71),"")</f>
        <v/>
      </c>
      <c r="H71" s="63">
        <f>IF('ساعات عبدالعزيز'!$M$72=1,N('ساعات عبدالعزيز'!F82),"")</f>
        <v/>
      </c>
      <c r="I71" s="63">
        <f>IF('ساعات عبدالعزيز'!$M$72=1,G71-H71,"")</f>
        <v/>
      </c>
      <c r="J71" s="65">
        <f>IF('ساعات عبدالعزيز'!$M$72=1,MAX(0,'بداية السنة'!$D$7+SUMIFS(LG_DEBT,LG_E,"عبدالعزيز",LG_D,"&lt;="&amp;B71)-SUMIFS(LG_REP,LG_E,"عبدالعزيز",LG_D,"&lt;="&amp;B71)-SUM(F65:F71)),"")</f>
        <v/>
      </c>
      <c r="K71" s="63">
        <f>IF('ساعات عبدالعزيز'!$M$72=1,N('ساعات عبدالعزيز'!G80),"")</f>
        <v/>
      </c>
      <c r="L71" s="62">
        <f>IF(B71="","",MONTH(B71))</f>
        <v/>
      </c>
    </row>
    <row r="72">
      <c r="A72" s="62">
        <f>IF(8&lt;=NW,8,"")</f>
        <v/>
      </c>
      <c r="B72" s="20">
        <f>IF(8&lt;=NW,SAT1+55,"")</f>
        <v/>
      </c>
      <c r="C72" s="63">
        <f>IF('ساعات عبدالعزيز'!$M$83=1,N('ساعات عبدالعزيز'!F92),"")</f>
        <v/>
      </c>
      <c r="D72" s="63">
        <f>IF('ساعات عبدالعزيز'!$M$83=1,N('ساعات عبدالعزيز'!C93),"")</f>
        <v/>
      </c>
      <c r="E72" s="63">
        <f>IF('ساعات عبدالعزيز'!$M$83=1,SUMIFS(ADV_AMT,ADV_E,"عبدالعزيز",ADV_W,8),"")</f>
        <v/>
      </c>
      <c r="F72" s="63">
        <f>IF('ساعات عبدالعزيز'!$M$83=1,IF(N(C72)=0,0,MAX(0,FLOOR(MIN(IF(SUMPRODUCT(MAX((LG_E="عبدالعزيز")*(LG_INST&lt;&gt;"")*(LG_D&lt;=B72)*LG_IDX))=0,'بداية السنة'!$E$7,INDEX(LG_INST,SUMPRODUCT(MAX((LG_E="عبدالعزيز")*(LG_INST&lt;&gt;"")*(LG_D&lt;=B72)*LG_IDX)))),'بداية السنة'!$D$7+SUMIFS(LG_DEBT,LG_E,"عبدالعزيز",LG_D,"&lt;="&amp;B72)-SUMIFS(LG_REP,LG_E,"عبدالعزيز",LG_D,"&lt;="&amp;B72)-SUM(F65:F71),INST_CAP*(N(C72)+N(D72)),N(C72)+N(D72)-N(E72)-N(K72)-NET_FLOOR*N(C72)),0.25))),"")</f>
        <v/>
      </c>
      <c r="G72" s="64">
        <f>IF('ساعات عبدالعزيز'!$M$83=1,IF(8=START_Z,'بداية السنة'!$C$7,N(I71))+N(C72)+N(D72)-N(E72)-N(F72)-N(K72),"")</f>
        <v/>
      </c>
      <c r="H72" s="63">
        <f>IF('ساعات عبدالعزيز'!$M$83=1,N('ساعات عبدالعزيز'!F93),"")</f>
        <v/>
      </c>
      <c r="I72" s="63">
        <f>IF('ساعات عبدالعزيز'!$M$83=1,G72-H72,"")</f>
        <v/>
      </c>
      <c r="J72" s="65">
        <f>IF('ساعات عبدالعزيز'!$M$83=1,MAX(0,'بداية السنة'!$D$7+SUMIFS(LG_DEBT,LG_E,"عبدالعزيز",LG_D,"&lt;="&amp;B72)-SUMIFS(LG_REP,LG_E,"عبدالعزيز",LG_D,"&lt;="&amp;B72)-SUM(F65:F72)),"")</f>
        <v/>
      </c>
      <c r="K72" s="63">
        <f>IF('ساعات عبدالعزيز'!$M$83=1,N('ساعات عبدالعزيز'!G91),"")</f>
        <v/>
      </c>
      <c r="L72" s="62">
        <f>IF(B72="","",MONTH(B72))</f>
        <v/>
      </c>
    </row>
    <row r="73">
      <c r="A73" s="62">
        <f>IF(9&lt;=NW,9,"")</f>
        <v/>
      </c>
      <c r="B73" s="20">
        <f>IF(9&lt;=NW,SAT1+62,"")</f>
        <v/>
      </c>
      <c r="C73" s="63">
        <f>IF('ساعات عبدالعزيز'!$M$94=1,N('ساعات عبدالعزيز'!F103),"")</f>
        <v/>
      </c>
      <c r="D73" s="63">
        <f>IF('ساعات عبدالعزيز'!$M$94=1,N('ساعات عبدالعزيز'!C104),"")</f>
        <v/>
      </c>
      <c r="E73" s="63">
        <f>IF('ساعات عبدالعزيز'!$M$94=1,SUMIFS(ADV_AMT,ADV_E,"عبدالعزيز",ADV_W,9),"")</f>
        <v/>
      </c>
      <c r="F73" s="63">
        <f>IF('ساعات عبدالعزيز'!$M$94=1,IF(N(C73)=0,0,MAX(0,FLOOR(MIN(IF(SUMPRODUCT(MAX((LG_E="عبدالعزيز")*(LG_INST&lt;&gt;"")*(LG_D&lt;=B73)*LG_IDX))=0,'بداية السنة'!$E$7,INDEX(LG_INST,SUMPRODUCT(MAX((LG_E="عبدالعزيز")*(LG_INST&lt;&gt;"")*(LG_D&lt;=B73)*LG_IDX)))),'بداية السنة'!$D$7+SUMIFS(LG_DEBT,LG_E,"عبدالعزيز",LG_D,"&lt;="&amp;B73)-SUMIFS(LG_REP,LG_E,"عبدالعزيز",LG_D,"&lt;="&amp;B73)-SUM(F65:F72),INST_CAP*(N(C73)+N(D73)),N(C73)+N(D73)-N(E73)-N(K73)-NET_FLOOR*N(C73)),0.25))),"")</f>
        <v/>
      </c>
      <c r="G73" s="64">
        <f>IF('ساعات عبدالعزيز'!$M$94=1,IF(9=START_Z,'بداية السنة'!$C$7,N(I72))+N(C73)+N(D73)-N(E73)-N(F73)-N(K73),"")</f>
        <v/>
      </c>
      <c r="H73" s="63">
        <f>IF('ساعات عبدالعزيز'!$M$94=1,N('ساعات عبدالعزيز'!F104),"")</f>
        <v/>
      </c>
      <c r="I73" s="63">
        <f>IF('ساعات عبدالعزيز'!$M$94=1,G73-H73,"")</f>
        <v/>
      </c>
      <c r="J73" s="65">
        <f>IF('ساعات عبدالعزيز'!$M$94=1,MAX(0,'بداية السنة'!$D$7+SUMIFS(LG_DEBT,LG_E,"عبدالعزيز",LG_D,"&lt;="&amp;B73)-SUMIFS(LG_REP,LG_E,"عبدالعزيز",LG_D,"&lt;="&amp;B73)-SUM(F65:F73)),"")</f>
        <v/>
      </c>
      <c r="K73" s="63">
        <f>IF('ساعات عبدالعزيز'!$M$94=1,N('ساعات عبدالعزيز'!G102),"")</f>
        <v/>
      </c>
      <c r="L73" s="62">
        <f>IF(B73="","",MONTH(B73))</f>
        <v/>
      </c>
    </row>
    <row r="74">
      <c r="A74" s="62">
        <f>IF(10&lt;=NW,10,"")</f>
        <v/>
      </c>
      <c r="B74" s="20">
        <f>IF(10&lt;=NW,SAT1+69,"")</f>
        <v/>
      </c>
      <c r="C74" s="63">
        <f>IF('ساعات عبدالعزيز'!$M$105=1,N('ساعات عبدالعزيز'!F114),"")</f>
        <v/>
      </c>
      <c r="D74" s="63">
        <f>IF('ساعات عبدالعزيز'!$M$105=1,N('ساعات عبدالعزيز'!C115),"")</f>
        <v/>
      </c>
      <c r="E74" s="63">
        <f>IF('ساعات عبدالعزيز'!$M$105=1,SUMIFS(ADV_AMT,ADV_E,"عبدالعزيز",ADV_W,10),"")</f>
        <v/>
      </c>
      <c r="F74" s="63">
        <f>IF('ساعات عبدالعزيز'!$M$105=1,IF(N(C74)=0,0,MAX(0,FLOOR(MIN(IF(SUMPRODUCT(MAX((LG_E="عبدالعزيز")*(LG_INST&lt;&gt;"")*(LG_D&lt;=B74)*LG_IDX))=0,'بداية السنة'!$E$7,INDEX(LG_INST,SUMPRODUCT(MAX((LG_E="عبدالعزيز")*(LG_INST&lt;&gt;"")*(LG_D&lt;=B74)*LG_IDX)))),'بداية السنة'!$D$7+SUMIFS(LG_DEBT,LG_E,"عبدالعزيز",LG_D,"&lt;="&amp;B74)-SUMIFS(LG_REP,LG_E,"عبدالعزيز",LG_D,"&lt;="&amp;B74)-SUM(F65:F73),INST_CAP*(N(C74)+N(D74)),N(C74)+N(D74)-N(E74)-N(K74)-NET_FLOOR*N(C74)),0.25))),"")</f>
        <v/>
      </c>
      <c r="G74" s="64">
        <f>IF('ساعات عبدالعزيز'!$M$105=1,IF(10=START_Z,'بداية السنة'!$C$7,N(I73))+N(C74)+N(D74)-N(E74)-N(F74)-N(K74),"")</f>
        <v/>
      </c>
      <c r="H74" s="63">
        <f>IF('ساعات عبدالعزيز'!$M$105=1,N('ساعات عبدالعزيز'!F115),"")</f>
        <v/>
      </c>
      <c r="I74" s="63">
        <f>IF('ساعات عبدالعزيز'!$M$105=1,G74-H74,"")</f>
        <v/>
      </c>
      <c r="J74" s="65">
        <f>IF('ساعات عبدالعزيز'!$M$105=1,MAX(0,'بداية السنة'!$D$7+SUMIFS(LG_DEBT,LG_E,"عبدالعزيز",LG_D,"&lt;="&amp;B74)-SUMIFS(LG_REP,LG_E,"عبدالعزيز",LG_D,"&lt;="&amp;B74)-SUM(F65:F74)),"")</f>
        <v/>
      </c>
      <c r="K74" s="63">
        <f>IF('ساعات عبدالعزيز'!$M$105=1,N('ساعات عبدالعزيز'!G113),"")</f>
        <v/>
      </c>
      <c r="L74" s="62">
        <f>IF(B74="","",MONTH(B74))</f>
        <v/>
      </c>
    </row>
    <row r="75">
      <c r="A75" s="62">
        <f>IF(11&lt;=NW,11,"")</f>
        <v/>
      </c>
      <c r="B75" s="20">
        <f>IF(11&lt;=NW,SAT1+76,"")</f>
        <v/>
      </c>
      <c r="C75" s="63">
        <f>IF('ساعات عبدالعزيز'!$M$116=1,N('ساعات عبدالعزيز'!F125),"")</f>
        <v/>
      </c>
      <c r="D75" s="63">
        <f>IF('ساعات عبدالعزيز'!$M$116=1,N('ساعات عبدالعزيز'!C126),"")</f>
        <v/>
      </c>
      <c r="E75" s="63">
        <f>IF('ساعات عبدالعزيز'!$M$116=1,SUMIFS(ADV_AMT,ADV_E,"عبدالعزيز",ADV_W,11),"")</f>
        <v/>
      </c>
      <c r="F75" s="63">
        <f>IF('ساعات عبدالعزيز'!$M$116=1,IF(N(C75)=0,0,MAX(0,FLOOR(MIN(IF(SUMPRODUCT(MAX((LG_E="عبدالعزيز")*(LG_INST&lt;&gt;"")*(LG_D&lt;=B75)*LG_IDX))=0,'بداية السنة'!$E$7,INDEX(LG_INST,SUMPRODUCT(MAX((LG_E="عبدالعزيز")*(LG_INST&lt;&gt;"")*(LG_D&lt;=B75)*LG_IDX)))),'بداية السنة'!$D$7+SUMIFS(LG_DEBT,LG_E,"عبدالعزيز",LG_D,"&lt;="&amp;B75)-SUMIFS(LG_REP,LG_E,"عبدالعزيز",LG_D,"&lt;="&amp;B75)-SUM(F65:F74),INST_CAP*(N(C75)+N(D75)),N(C75)+N(D75)-N(E75)-N(K75)-NET_FLOOR*N(C75)),0.25))),"")</f>
        <v/>
      </c>
      <c r="G75" s="64">
        <f>IF('ساعات عبدالعزيز'!$M$116=1,IF(11=START_Z,'بداية السنة'!$C$7,N(I74))+N(C75)+N(D75)-N(E75)-N(F75)-N(K75),"")</f>
        <v/>
      </c>
      <c r="H75" s="63">
        <f>IF('ساعات عبدالعزيز'!$M$116=1,N('ساعات عبدالعزيز'!F126),"")</f>
        <v/>
      </c>
      <c r="I75" s="63">
        <f>IF('ساعات عبدالعزيز'!$M$116=1,G75-H75,"")</f>
        <v/>
      </c>
      <c r="J75" s="65">
        <f>IF('ساعات عبدالعزيز'!$M$116=1,MAX(0,'بداية السنة'!$D$7+SUMIFS(LG_DEBT,LG_E,"عبدالعزيز",LG_D,"&lt;="&amp;B75)-SUMIFS(LG_REP,LG_E,"عبدالعزيز",LG_D,"&lt;="&amp;B75)-SUM(F65:F75)),"")</f>
        <v/>
      </c>
      <c r="K75" s="63">
        <f>IF('ساعات عبدالعزيز'!$M$116=1,N('ساعات عبدالعزيز'!G124),"")</f>
        <v/>
      </c>
      <c r="L75" s="62">
        <f>IF(B75="","",MONTH(B75))</f>
        <v/>
      </c>
    </row>
    <row r="76">
      <c r="A76" s="62">
        <f>IF(12&lt;=NW,12,"")</f>
        <v/>
      </c>
      <c r="B76" s="20">
        <f>IF(12&lt;=NW,SAT1+83,"")</f>
        <v/>
      </c>
      <c r="C76" s="63">
        <f>IF('ساعات عبدالعزيز'!$M$127=1,N('ساعات عبدالعزيز'!F136),"")</f>
        <v/>
      </c>
      <c r="D76" s="63">
        <f>IF('ساعات عبدالعزيز'!$M$127=1,N('ساعات عبدالعزيز'!C137),"")</f>
        <v/>
      </c>
      <c r="E76" s="63">
        <f>IF('ساعات عبدالعزيز'!$M$127=1,SUMIFS(ADV_AMT,ADV_E,"عبدالعزيز",ADV_W,12),"")</f>
        <v/>
      </c>
      <c r="F76" s="63">
        <f>IF('ساعات عبدالعزيز'!$M$127=1,IF(N(C76)=0,0,MAX(0,FLOOR(MIN(IF(SUMPRODUCT(MAX((LG_E="عبدالعزيز")*(LG_INST&lt;&gt;"")*(LG_D&lt;=B76)*LG_IDX))=0,'بداية السنة'!$E$7,INDEX(LG_INST,SUMPRODUCT(MAX((LG_E="عبدالعزيز")*(LG_INST&lt;&gt;"")*(LG_D&lt;=B76)*LG_IDX)))),'بداية السنة'!$D$7+SUMIFS(LG_DEBT,LG_E,"عبدالعزيز",LG_D,"&lt;="&amp;B76)-SUMIFS(LG_REP,LG_E,"عبدالعزيز",LG_D,"&lt;="&amp;B76)-SUM(F65:F75),INST_CAP*(N(C76)+N(D76)),N(C76)+N(D76)-N(E76)-N(K76)-NET_FLOOR*N(C76)),0.25))),"")</f>
        <v/>
      </c>
      <c r="G76" s="64">
        <f>IF('ساعات عبدالعزيز'!$M$127=1,IF(12=START_Z,'بداية السنة'!$C$7,N(I75))+N(C76)+N(D76)-N(E76)-N(F76)-N(K76),"")</f>
        <v/>
      </c>
      <c r="H76" s="63">
        <f>IF('ساعات عبدالعزيز'!$M$127=1,N('ساعات عبدالعزيز'!F137),"")</f>
        <v/>
      </c>
      <c r="I76" s="63">
        <f>IF('ساعات عبدالعزيز'!$M$127=1,G76-H76,"")</f>
        <v/>
      </c>
      <c r="J76" s="65">
        <f>IF('ساعات عبدالعزيز'!$M$127=1,MAX(0,'بداية السنة'!$D$7+SUMIFS(LG_DEBT,LG_E,"عبدالعزيز",LG_D,"&lt;="&amp;B76)-SUMIFS(LG_REP,LG_E,"عبدالعزيز",LG_D,"&lt;="&amp;B76)-SUM(F65:F76)),"")</f>
        <v/>
      </c>
      <c r="K76" s="63">
        <f>IF('ساعات عبدالعزيز'!$M$127=1,N('ساعات عبدالعزيز'!G135),"")</f>
        <v/>
      </c>
      <c r="L76" s="62">
        <f>IF(B76="","",MONTH(B76))</f>
        <v/>
      </c>
    </row>
    <row r="77">
      <c r="A77" s="62">
        <f>IF(13&lt;=NW,13,"")</f>
        <v/>
      </c>
      <c r="B77" s="20">
        <f>IF(13&lt;=NW,SAT1+90,"")</f>
        <v/>
      </c>
      <c r="C77" s="63">
        <f>IF('ساعات عبدالعزيز'!$M$138=1,N('ساعات عبدالعزيز'!F147),"")</f>
        <v/>
      </c>
      <c r="D77" s="63">
        <f>IF('ساعات عبدالعزيز'!$M$138=1,N('ساعات عبدالعزيز'!C148),"")</f>
        <v/>
      </c>
      <c r="E77" s="63">
        <f>IF('ساعات عبدالعزيز'!$M$138=1,SUMIFS(ADV_AMT,ADV_E,"عبدالعزيز",ADV_W,13),"")</f>
        <v/>
      </c>
      <c r="F77" s="63">
        <f>IF('ساعات عبدالعزيز'!$M$138=1,IF(N(C77)=0,0,MAX(0,FLOOR(MIN(IF(SUMPRODUCT(MAX((LG_E="عبدالعزيز")*(LG_INST&lt;&gt;"")*(LG_D&lt;=B77)*LG_IDX))=0,'بداية السنة'!$E$7,INDEX(LG_INST,SUMPRODUCT(MAX((LG_E="عبدالعزيز")*(LG_INST&lt;&gt;"")*(LG_D&lt;=B77)*LG_IDX)))),'بداية السنة'!$D$7+SUMIFS(LG_DEBT,LG_E,"عبدالعزيز",LG_D,"&lt;="&amp;B77)-SUMIFS(LG_REP,LG_E,"عبدالعزيز",LG_D,"&lt;="&amp;B77)-SUM(F65:F76),INST_CAP*(N(C77)+N(D77)),N(C77)+N(D77)-N(E77)-N(K77)-NET_FLOOR*N(C77)),0.25))),"")</f>
        <v/>
      </c>
      <c r="G77" s="64">
        <f>IF('ساعات عبدالعزيز'!$M$138=1,IF(13=START_Z,'بداية السنة'!$C$7,N(I76))+N(C77)+N(D77)-N(E77)-N(F77)-N(K77),"")</f>
        <v/>
      </c>
      <c r="H77" s="63">
        <f>IF('ساعات عبدالعزيز'!$M$138=1,N('ساعات عبدالعزيز'!F148),"")</f>
        <v/>
      </c>
      <c r="I77" s="63">
        <f>IF('ساعات عبدالعزيز'!$M$138=1,G77-H77,"")</f>
        <v/>
      </c>
      <c r="J77" s="65">
        <f>IF('ساعات عبدالعزيز'!$M$138=1,MAX(0,'بداية السنة'!$D$7+SUMIFS(LG_DEBT,LG_E,"عبدالعزيز",LG_D,"&lt;="&amp;B77)-SUMIFS(LG_REP,LG_E,"عبدالعزيز",LG_D,"&lt;="&amp;B77)-SUM(F65:F77)),"")</f>
        <v/>
      </c>
      <c r="K77" s="63">
        <f>IF('ساعات عبدالعزيز'!$M$138=1,N('ساعات عبدالعزيز'!G146),"")</f>
        <v/>
      </c>
      <c r="L77" s="62">
        <f>IF(B77="","",MONTH(B77))</f>
        <v/>
      </c>
    </row>
    <row r="78">
      <c r="A78" s="62">
        <f>IF(14&lt;=NW,14,"")</f>
        <v/>
      </c>
      <c r="B78" s="20">
        <f>IF(14&lt;=NW,SAT1+97,"")</f>
        <v/>
      </c>
      <c r="C78" s="63">
        <f>IF('ساعات عبدالعزيز'!$M$149=1,N('ساعات عبدالعزيز'!F158),"")</f>
        <v/>
      </c>
      <c r="D78" s="63">
        <f>IF('ساعات عبدالعزيز'!$M$149=1,N('ساعات عبدالعزيز'!C159),"")</f>
        <v/>
      </c>
      <c r="E78" s="63">
        <f>IF('ساعات عبدالعزيز'!$M$149=1,SUMIFS(ADV_AMT,ADV_E,"عبدالعزيز",ADV_W,14),"")</f>
        <v/>
      </c>
      <c r="F78" s="63">
        <f>IF('ساعات عبدالعزيز'!$M$149=1,IF(N(C78)=0,0,MAX(0,FLOOR(MIN(IF(SUMPRODUCT(MAX((LG_E="عبدالعزيز")*(LG_INST&lt;&gt;"")*(LG_D&lt;=B78)*LG_IDX))=0,'بداية السنة'!$E$7,INDEX(LG_INST,SUMPRODUCT(MAX((LG_E="عبدالعزيز")*(LG_INST&lt;&gt;"")*(LG_D&lt;=B78)*LG_IDX)))),'بداية السنة'!$D$7+SUMIFS(LG_DEBT,LG_E,"عبدالعزيز",LG_D,"&lt;="&amp;B78)-SUMIFS(LG_REP,LG_E,"عبدالعزيز",LG_D,"&lt;="&amp;B78)-SUM(F65:F77),INST_CAP*(N(C78)+N(D78)),N(C78)+N(D78)-N(E78)-N(K78)-NET_FLOOR*N(C78)),0.25))),"")</f>
        <v/>
      </c>
      <c r="G78" s="64">
        <f>IF('ساعات عبدالعزيز'!$M$149=1,IF(14=START_Z,'بداية السنة'!$C$7,N(I77))+N(C78)+N(D78)-N(E78)-N(F78)-N(K78),"")</f>
        <v/>
      </c>
      <c r="H78" s="63">
        <f>IF('ساعات عبدالعزيز'!$M$149=1,N('ساعات عبدالعزيز'!F159),"")</f>
        <v/>
      </c>
      <c r="I78" s="63">
        <f>IF('ساعات عبدالعزيز'!$M$149=1,G78-H78,"")</f>
        <v/>
      </c>
      <c r="J78" s="65">
        <f>IF('ساعات عبدالعزيز'!$M$149=1,MAX(0,'بداية السنة'!$D$7+SUMIFS(LG_DEBT,LG_E,"عبدالعزيز",LG_D,"&lt;="&amp;B78)-SUMIFS(LG_REP,LG_E,"عبدالعزيز",LG_D,"&lt;="&amp;B78)-SUM(F65:F78)),"")</f>
        <v/>
      </c>
      <c r="K78" s="63">
        <f>IF('ساعات عبدالعزيز'!$M$149=1,N('ساعات عبدالعزيز'!G157),"")</f>
        <v/>
      </c>
      <c r="L78" s="62">
        <f>IF(B78="","",MONTH(B78))</f>
        <v/>
      </c>
    </row>
    <row r="79">
      <c r="A79" s="62">
        <f>IF(15&lt;=NW,15,"")</f>
        <v/>
      </c>
      <c r="B79" s="20">
        <f>IF(15&lt;=NW,SAT1+104,"")</f>
        <v/>
      </c>
      <c r="C79" s="63">
        <f>IF('ساعات عبدالعزيز'!$M$160=1,N('ساعات عبدالعزيز'!F169),"")</f>
        <v/>
      </c>
      <c r="D79" s="63">
        <f>IF('ساعات عبدالعزيز'!$M$160=1,N('ساعات عبدالعزيز'!C170),"")</f>
        <v/>
      </c>
      <c r="E79" s="63">
        <f>IF('ساعات عبدالعزيز'!$M$160=1,SUMIFS(ADV_AMT,ADV_E,"عبدالعزيز",ADV_W,15),"")</f>
        <v/>
      </c>
      <c r="F79" s="63">
        <f>IF('ساعات عبدالعزيز'!$M$160=1,IF(N(C79)=0,0,MAX(0,FLOOR(MIN(IF(SUMPRODUCT(MAX((LG_E="عبدالعزيز")*(LG_INST&lt;&gt;"")*(LG_D&lt;=B79)*LG_IDX))=0,'بداية السنة'!$E$7,INDEX(LG_INST,SUMPRODUCT(MAX((LG_E="عبدالعزيز")*(LG_INST&lt;&gt;"")*(LG_D&lt;=B79)*LG_IDX)))),'بداية السنة'!$D$7+SUMIFS(LG_DEBT,LG_E,"عبدالعزيز",LG_D,"&lt;="&amp;B79)-SUMIFS(LG_REP,LG_E,"عبدالعزيز",LG_D,"&lt;="&amp;B79)-SUM(F65:F78),INST_CAP*(N(C79)+N(D79)),N(C79)+N(D79)-N(E79)-N(K79)-NET_FLOOR*N(C79)),0.25))),"")</f>
        <v/>
      </c>
      <c r="G79" s="64">
        <f>IF('ساعات عبدالعزيز'!$M$160=1,IF(15=START_Z,'بداية السنة'!$C$7,N(I78))+N(C79)+N(D79)-N(E79)-N(F79)-N(K79),"")</f>
        <v/>
      </c>
      <c r="H79" s="63">
        <f>IF('ساعات عبدالعزيز'!$M$160=1,N('ساعات عبدالعزيز'!F170),"")</f>
        <v/>
      </c>
      <c r="I79" s="63">
        <f>IF('ساعات عبدالعزيز'!$M$160=1,G79-H79,"")</f>
        <v/>
      </c>
      <c r="J79" s="65">
        <f>IF('ساعات عبدالعزيز'!$M$160=1,MAX(0,'بداية السنة'!$D$7+SUMIFS(LG_DEBT,LG_E,"عبدالعزيز",LG_D,"&lt;="&amp;B79)-SUMIFS(LG_REP,LG_E,"عبدالعزيز",LG_D,"&lt;="&amp;B79)-SUM(F65:F79)),"")</f>
        <v/>
      </c>
      <c r="K79" s="63">
        <f>IF('ساعات عبدالعزيز'!$M$160=1,N('ساعات عبدالعزيز'!G168),"")</f>
        <v/>
      </c>
      <c r="L79" s="62">
        <f>IF(B79="","",MONTH(B79))</f>
        <v/>
      </c>
    </row>
    <row r="80">
      <c r="A80" s="62">
        <f>IF(16&lt;=NW,16,"")</f>
        <v/>
      </c>
      <c r="B80" s="20">
        <f>IF(16&lt;=NW,SAT1+111,"")</f>
        <v/>
      </c>
      <c r="C80" s="63">
        <f>IF('ساعات عبدالعزيز'!$M$171=1,N('ساعات عبدالعزيز'!F180),"")</f>
        <v/>
      </c>
      <c r="D80" s="63">
        <f>IF('ساعات عبدالعزيز'!$M$171=1,N('ساعات عبدالعزيز'!C181),"")</f>
        <v/>
      </c>
      <c r="E80" s="63">
        <f>IF('ساعات عبدالعزيز'!$M$171=1,SUMIFS(ADV_AMT,ADV_E,"عبدالعزيز",ADV_W,16),"")</f>
        <v/>
      </c>
      <c r="F80" s="63">
        <f>IF('ساعات عبدالعزيز'!$M$171=1,IF(N(C80)=0,0,MAX(0,FLOOR(MIN(IF(SUMPRODUCT(MAX((LG_E="عبدالعزيز")*(LG_INST&lt;&gt;"")*(LG_D&lt;=B80)*LG_IDX))=0,'بداية السنة'!$E$7,INDEX(LG_INST,SUMPRODUCT(MAX((LG_E="عبدالعزيز")*(LG_INST&lt;&gt;"")*(LG_D&lt;=B80)*LG_IDX)))),'بداية السنة'!$D$7+SUMIFS(LG_DEBT,LG_E,"عبدالعزيز",LG_D,"&lt;="&amp;B80)-SUMIFS(LG_REP,LG_E,"عبدالعزيز",LG_D,"&lt;="&amp;B80)-SUM(F65:F79),INST_CAP*(N(C80)+N(D80)),N(C80)+N(D80)-N(E80)-N(K80)-NET_FLOOR*N(C80)),0.25))),"")</f>
        <v/>
      </c>
      <c r="G80" s="64">
        <f>IF('ساعات عبدالعزيز'!$M$171=1,IF(16=START_Z,'بداية السنة'!$C$7,N(I79))+N(C80)+N(D80)-N(E80)-N(F80)-N(K80),"")</f>
        <v/>
      </c>
      <c r="H80" s="63">
        <f>IF('ساعات عبدالعزيز'!$M$171=1,N('ساعات عبدالعزيز'!F181),"")</f>
        <v/>
      </c>
      <c r="I80" s="63">
        <f>IF('ساعات عبدالعزيز'!$M$171=1,G80-H80,"")</f>
        <v/>
      </c>
      <c r="J80" s="65">
        <f>IF('ساعات عبدالعزيز'!$M$171=1,MAX(0,'بداية السنة'!$D$7+SUMIFS(LG_DEBT,LG_E,"عبدالعزيز",LG_D,"&lt;="&amp;B80)-SUMIFS(LG_REP,LG_E,"عبدالعزيز",LG_D,"&lt;="&amp;B80)-SUM(F65:F80)),"")</f>
        <v/>
      </c>
      <c r="K80" s="63">
        <f>IF('ساعات عبدالعزيز'!$M$171=1,N('ساعات عبدالعزيز'!G179),"")</f>
        <v/>
      </c>
      <c r="L80" s="62">
        <f>IF(B80="","",MONTH(B80))</f>
        <v/>
      </c>
    </row>
    <row r="81">
      <c r="A81" s="62">
        <f>IF(17&lt;=NW,17,"")</f>
        <v/>
      </c>
      <c r="B81" s="20">
        <f>IF(17&lt;=NW,SAT1+118,"")</f>
        <v/>
      </c>
      <c r="C81" s="63">
        <f>IF('ساعات عبدالعزيز'!$M$182=1,N('ساعات عبدالعزيز'!F191),"")</f>
        <v/>
      </c>
      <c r="D81" s="63">
        <f>IF('ساعات عبدالعزيز'!$M$182=1,N('ساعات عبدالعزيز'!C192),"")</f>
        <v/>
      </c>
      <c r="E81" s="63">
        <f>IF('ساعات عبدالعزيز'!$M$182=1,SUMIFS(ADV_AMT,ADV_E,"عبدالعزيز",ADV_W,17),"")</f>
        <v/>
      </c>
      <c r="F81" s="63">
        <f>IF('ساعات عبدالعزيز'!$M$182=1,IF(N(C81)=0,0,MAX(0,FLOOR(MIN(IF(SUMPRODUCT(MAX((LG_E="عبدالعزيز")*(LG_INST&lt;&gt;"")*(LG_D&lt;=B81)*LG_IDX))=0,'بداية السنة'!$E$7,INDEX(LG_INST,SUMPRODUCT(MAX((LG_E="عبدالعزيز")*(LG_INST&lt;&gt;"")*(LG_D&lt;=B81)*LG_IDX)))),'بداية السنة'!$D$7+SUMIFS(LG_DEBT,LG_E,"عبدالعزيز",LG_D,"&lt;="&amp;B81)-SUMIFS(LG_REP,LG_E,"عبدالعزيز",LG_D,"&lt;="&amp;B81)-SUM(F65:F80),INST_CAP*(N(C81)+N(D81)),N(C81)+N(D81)-N(E81)-N(K81)-NET_FLOOR*N(C81)),0.25))),"")</f>
        <v/>
      </c>
      <c r="G81" s="64">
        <f>IF('ساعات عبدالعزيز'!$M$182=1,IF(17=START_Z,'بداية السنة'!$C$7,N(I80))+N(C81)+N(D81)-N(E81)-N(F81)-N(K81),"")</f>
        <v/>
      </c>
      <c r="H81" s="63">
        <f>IF('ساعات عبدالعزيز'!$M$182=1,N('ساعات عبدالعزيز'!F192),"")</f>
        <v/>
      </c>
      <c r="I81" s="63">
        <f>IF('ساعات عبدالعزيز'!$M$182=1,G81-H81,"")</f>
        <v/>
      </c>
      <c r="J81" s="65">
        <f>IF('ساعات عبدالعزيز'!$M$182=1,MAX(0,'بداية السنة'!$D$7+SUMIFS(LG_DEBT,LG_E,"عبدالعزيز",LG_D,"&lt;="&amp;B81)-SUMIFS(LG_REP,LG_E,"عبدالعزيز",LG_D,"&lt;="&amp;B81)-SUM(F65:F81)),"")</f>
        <v/>
      </c>
      <c r="K81" s="63">
        <f>IF('ساعات عبدالعزيز'!$M$182=1,N('ساعات عبدالعزيز'!G190),"")</f>
        <v/>
      </c>
      <c r="L81" s="62">
        <f>IF(B81="","",MONTH(B81))</f>
        <v/>
      </c>
    </row>
    <row r="82">
      <c r="A82" s="62">
        <f>IF(18&lt;=NW,18,"")</f>
        <v/>
      </c>
      <c r="B82" s="20">
        <f>IF(18&lt;=NW,SAT1+125,"")</f>
        <v/>
      </c>
      <c r="C82" s="63">
        <f>IF('ساعات عبدالعزيز'!$M$193=1,N('ساعات عبدالعزيز'!F202),"")</f>
        <v/>
      </c>
      <c r="D82" s="63">
        <f>IF('ساعات عبدالعزيز'!$M$193=1,N('ساعات عبدالعزيز'!C203),"")</f>
        <v/>
      </c>
      <c r="E82" s="63">
        <f>IF('ساعات عبدالعزيز'!$M$193=1,SUMIFS(ADV_AMT,ADV_E,"عبدالعزيز",ADV_W,18),"")</f>
        <v/>
      </c>
      <c r="F82" s="63">
        <f>IF('ساعات عبدالعزيز'!$M$193=1,IF(N(C82)=0,0,MAX(0,FLOOR(MIN(IF(SUMPRODUCT(MAX((LG_E="عبدالعزيز")*(LG_INST&lt;&gt;"")*(LG_D&lt;=B82)*LG_IDX))=0,'بداية السنة'!$E$7,INDEX(LG_INST,SUMPRODUCT(MAX((LG_E="عبدالعزيز")*(LG_INST&lt;&gt;"")*(LG_D&lt;=B82)*LG_IDX)))),'بداية السنة'!$D$7+SUMIFS(LG_DEBT,LG_E,"عبدالعزيز",LG_D,"&lt;="&amp;B82)-SUMIFS(LG_REP,LG_E,"عبدالعزيز",LG_D,"&lt;="&amp;B82)-SUM(F65:F81),INST_CAP*(N(C82)+N(D82)),N(C82)+N(D82)-N(E82)-N(K82)-NET_FLOOR*N(C82)),0.25))),"")</f>
        <v/>
      </c>
      <c r="G82" s="64">
        <f>IF('ساعات عبدالعزيز'!$M$193=1,IF(18=START_Z,'بداية السنة'!$C$7,N(I81))+N(C82)+N(D82)-N(E82)-N(F82)-N(K82),"")</f>
        <v/>
      </c>
      <c r="H82" s="63">
        <f>IF('ساعات عبدالعزيز'!$M$193=1,N('ساعات عبدالعزيز'!F203),"")</f>
        <v/>
      </c>
      <c r="I82" s="63">
        <f>IF('ساعات عبدالعزيز'!$M$193=1,G82-H82,"")</f>
        <v/>
      </c>
      <c r="J82" s="65">
        <f>IF('ساعات عبدالعزيز'!$M$193=1,MAX(0,'بداية السنة'!$D$7+SUMIFS(LG_DEBT,LG_E,"عبدالعزيز",LG_D,"&lt;="&amp;B82)-SUMIFS(LG_REP,LG_E,"عبدالعزيز",LG_D,"&lt;="&amp;B82)-SUM(F65:F82)),"")</f>
        <v/>
      </c>
      <c r="K82" s="63">
        <f>IF('ساعات عبدالعزيز'!$M$193=1,N('ساعات عبدالعزيز'!G201),"")</f>
        <v/>
      </c>
      <c r="L82" s="62">
        <f>IF(B82="","",MONTH(B82))</f>
        <v/>
      </c>
    </row>
    <row r="83">
      <c r="A83" s="62">
        <f>IF(19&lt;=NW,19,"")</f>
        <v/>
      </c>
      <c r="B83" s="20">
        <f>IF(19&lt;=NW,SAT1+132,"")</f>
        <v/>
      </c>
      <c r="C83" s="63">
        <f>IF('ساعات عبدالعزيز'!$M$204=1,N('ساعات عبدالعزيز'!F213),"")</f>
        <v/>
      </c>
      <c r="D83" s="63">
        <f>IF('ساعات عبدالعزيز'!$M$204=1,N('ساعات عبدالعزيز'!C214),"")</f>
        <v/>
      </c>
      <c r="E83" s="63">
        <f>IF('ساعات عبدالعزيز'!$M$204=1,SUMIFS(ADV_AMT,ADV_E,"عبدالعزيز",ADV_W,19),"")</f>
        <v/>
      </c>
      <c r="F83" s="63">
        <f>IF('ساعات عبدالعزيز'!$M$204=1,IF(N(C83)=0,0,MAX(0,FLOOR(MIN(IF(SUMPRODUCT(MAX((LG_E="عبدالعزيز")*(LG_INST&lt;&gt;"")*(LG_D&lt;=B83)*LG_IDX))=0,'بداية السنة'!$E$7,INDEX(LG_INST,SUMPRODUCT(MAX((LG_E="عبدالعزيز")*(LG_INST&lt;&gt;"")*(LG_D&lt;=B83)*LG_IDX)))),'بداية السنة'!$D$7+SUMIFS(LG_DEBT,LG_E,"عبدالعزيز",LG_D,"&lt;="&amp;B83)-SUMIFS(LG_REP,LG_E,"عبدالعزيز",LG_D,"&lt;="&amp;B83)-SUM(F65:F82),INST_CAP*(N(C83)+N(D83)),N(C83)+N(D83)-N(E83)-N(K83)-NET_FLOOR*N(C83)),0.25))),"")</f>
        <v/>
      </c>
      <c r="G83" s="64">
        <f>IF('ساعات عبدالعزيز'!$M$204=1,IF(19=START_Z,'بداية السنة'!$C$7,N(I82))+N(C83)+N(D83)-N(E83)-N(F83)-N(K83),"")</f>
        <v/>
      </c>
      <c r="H83" s="63">
        <f>IF('ساعات عبدالعزيز'!$M$204=1,N('ساعات عبدالعزيز'!F214),"")</f>
        <v/>
      </c>
      <c r="I83" s="63">
        <f>IF('ساعات عبدالعزيز'!$M$204=1,G83-H83,"")</f>
        <v/>
      </c>
      <c r="J83" s="65">
        <f>IF('ساعات عبدالعزيز'!$M$204=1,MAX(0,'بداية السنة'!$D$7+SUMIFS(LG_DEBT,LG_E,"عبدالعزيز",LG_D,"&lt;="&amp;B83)-SUMIFS(LG_REP,LG_E,"عبدالعزيز",LG_D,"&lt;="&amp;B83)-SUM(F65:F83)),"")</f>
        <v/>
      </c>
      <c r="K83" s="63">
        <f>IF('ساعات عبدالعزيز'!$M$204=1,N('ساعات عبدالعزيز'!G212),"")</f>
        <v/>
      </c>
      <c r="L83" s="62">
        <f>IF(B83="","",MONTH(B83))</f>
        <v/>
      </c>
    </row>
    <row r="84">
      <c r="A84" s="62">
        <f>IF(20&lt;=NW,20,"")</f>
        <v/>
      </c>
      <c r="B84" s="20">
        <f>IF(20&lt;=NW,SAT1+139,"")</f>
        <v/>
      </c>
      <c r="C84" s="63">
        <f>IF('ساعات عبدالعزيز'!$M$215=1,N('ساعات عبدالعزيز'!F224),"")</f>
        <v/>
      </c>
      <c r="D84" s="63">
        <f>IF('ساعات عبدالعزيز'!$M$215=1,N('ساعات عبدالعزيز'!C225),"")</f>
        <v/>
      </c>
      <c r="E84" s="63">
        <f>IF('ساعات عبدالعزيز'!$M$215=1,SUMIFS(ADV_AMT,ADV_E,"عبدالعزيز",ADV_W,20),"")</f>
        <v/>
      </c>
      <c r="F84" s="63">
        <f>IF('ساعات عبدالعزيز'!$M$215=1,IF(N(C84)=0,0,MAX(0,FLOOR(MIN(IF(SUMPRODUCT(MAX((LG_E="عبدالعزيز")*(LG_INST&lt;&gt;"")*(LG_D&lt;=B84)*LG_IDX))=0,'بداية السنة'!$E$7,INDEX(LG_INST,SUMPRODUCT(MAX((LG_E="عبدالعزيز")*(LG_INST&lt;&gt;"")*(LG_D&lt;=B84)*LG_IDX)))),'بداية السنة'!$D$7+SUMIFS(LG_DEBT,LG_E,"عبدالعزيز",LG_D,"&lt;="&amp;B84)-SUMIFS(LG_REP,LG_E,"عبدالعزيز",LG_D,"&lt;="&amp;B84)-SUM(F65:F83),INST_CAP*(N(C84)+N(D84)),N(C84)+N(D84)-N(E84)-N(K84)-NET_FLOOR*N(C84)),0.25))),"")</f>
        <v/>
      </c>
      <c r="G84" s="64">
        <f>IF('ساعات عبدالعزيز'!$M$215=1,IF(20=START_Z,'بداية السنة'!$C$7,N(I83))+N(C84)+N(D84)-N(E84)-N(F84)-N(K84),"")</f>
        <v/>
      </c>
      <c r="H84" s="63">
        <f>IF('ساعات عبدالعزيز'!$M$215=1,N('ساعات عبدالعزيز'!F225),"")</f>
        <v/>
      </c>
      <c r="I84" s="63">
        <f>IF('ساعات عبدالعزيز'!$M$215=1,G84-H84,"")</f>
        <v/>
      </c>
      <c r="J84" s="65">
        <f>IF('ساعات عبدالعزيز'!$M$215=1,MAX(0,'بداية السنة'!$D$7+SUMIFS(LG_DEBT,LG_E,"عبدالعزيز",LG_D,"&lt;="&amp;B84)-SUMIFS(LG_REP,LG_E,"عبدالعزيز",LG_D,"&lt;="&amp;B84)-SUM(F65:F84)),"")</f>
        <v/>
      </c>
      <c r="K84" s="63">
        <f>IF('ساعات عبدالعزيز'!$M$215=1,N('ساعات عبدالعزيز'!G223),"")</f>
        <v/>
      </c>
      <c r="L84" s="62">
        <f>IF(B84="","",MONTH(B84))</f>
        <v/>
      </c>
    </row>
    <row r="85">
      <c r="A85" s="62">
        <f>IF(21&lt;=NW,21,"")</f>
        <v/>
      </c>
      <c r="B85" s="20">
        <f>IF(21&lt;=NW,SAT1+146,"")</f>
        <v/>
      </c>
      <c r="C85" s="63">
        <f>IF('ساعات عبدالعزيز'!$M$226=1,N('ساعات عبدالعزيز'!F235),"")</f>
        <v/>
      </c>
      <c r="D85" s="63">
        <f>IF('ساعات عبدالعزيز'!$M$226=1,N('ساعات عبدالعزيز'!C236),"")</f>
        <v/>
      </c>
      <c r="E85" s="63">
        <f>IF('ساعات عبدالعزيز'!$M$226=1,SUMIFS(ADV_AMT,ADV_E,"عبدالعزيز",ADV_W,21),"")</f>
        <v/>
      </c>
      <c r="F85" s="63">
        <f>IF('ساعات عبدالعزيز'!$M$226=1,IF(N(C85)=0,0,MAX(0,FLOOR(MIN(IF(SUMPRODUCT(MAX((LG_E="عبدالعزيز")*(LG_INST&lt;&gt;"")*(LG_D&lt;=B85)*LG_IDX))=0,'بداية السنة'!$E$7,INDEX(LG_INST,SUMPRODUCT(MAX((LG_E="عبدالعزيز")*(LG_INST&lt;&gt;"")*(LG_D&lt;=B85)*LG_IDX)))),'بداية السنة'!$D$7+SUMIFS(LG_DEBT,LG_E,"عبدالعزيز",LG_D,"&lt;="&amp;B85)-SUMIFS(LG_REP,LG_E,"عبدالعزيز",LG_D,"&lt;="&amp;B85)-SUM(F65:F84),INST_CAP*(N(C85)+N(D85)),N(C85)+N(D85)-N(E85)-N(K85)-NET_FLOOR*N(C85)),0.25))),"")</f>
        <v/>
      </c>
      <c r="G85" s="64">
        <f>IF('ساعات عبدالعزيز'!$M$226=1,IF(21=START_Z,'بداية السنة'!$C$7,N(I84))+N(C85)+N(D85)-N(E85)-N(F85)-N(K85),"")</f>
        <v/>
      </c>
      <c r="H85" s="63">
        <f>IF('ساعات عبدالعزيز'!$M$226=1,N('ساعات عبدالعزيز'!F236),"")</f>
        <v/>
      </c>
      <c r="I85" s="63">
        <f>IF('ساعات عبدالعزيز'!$M$226=1,G85-H85,"")</f>
        <v/>
      </c>
      <c r="J85" s="65">
        <f>IF('ساعات عبدالعزيز'!$M$226=1,MAX(0,'بداية السنة'!$D$7+SUMIFS(LG_DEBT,LG_E,"عبدالعزيز",LG_D,"&lt;="&amp;B85)-SUMIFS(LG_REP,LG_E,"عبدالعزيز",LG_D,"&lt;="&amp;B85)-SUM(F65:F85)),"")</f>
        <v/>
      </c>
      <c r="K85" s="63">
        <f>IF('ساعات عبدالعزيز'!$M$226=1,N('ساعات عبدالعزيز'!G234),"")</f>
        <v/>
      </c>
      <c r="L85" s="62">
        <f>IF(B85="","",MONTH(B85))</f>
        <v/>
      </c>
    </row>
    <row r="86">
      <c r="A86" s="62">
        <f>IF(22&lt;=NW,22,"")</f>
        <v/>
      </c>
      <c r="B86" s="20">
        <f>IF(22&lt;=NW,SAT1+153,"")</f>
        <v/>
      </c>
      <c r="C86" s="63">
        <f>IF('ساعات عبدالعزيز'!$M$237=1,N('ساعات عبدالعزيز'!F246),"")</f>
        <v/>
      </c>
      <c r="D86" s="63">
        <f>IF('ساعات عبدالعزيز'!$M$237=1,N('ساعات عبدالعزيز'!C247),"")</f>
        <v/>
      </c>
      <c r="E86" s="63">
        <f>IF('ساعات عبدالعزيز'!$M$237=1,SUMIFS(ADV_AMT,ADV_E,"عبدالعزيز",ADV_W,22),"")</f>
        <v/>
      </c>
      <c r="F86" s="63">
        <f>IF('ساعات عبدالعزيز'!$M$237=1,IF(N(C86)=0,0,MAX(0,FLOOR(MIN(IF(SUMPRODUCT(MAX((LG_E="عبدالعزيز")*(LG_INST&lt;&gt;"")*(LG_D&lt;=B86)*LG_IDX))=0,'بداية السنة'!$E$7,INDEX(LG_INST,SUMPRODUCT(MAX((LG_E="عبدالعزيز")*(LG_INST&lt;&gt;"")*(LG_D&lt;=B86)*LG_IDX)))),'بداية السنة'!$D$7+SUMIFS(LG_DEBT,LG_E,"عبدالعزيز",LG_D,"&lt;="&amp;B86)-SUMIFS(LG_REP,LG_E,"عبدالعزيز",LG_D,"&lt;="&amp;B86)-SUM(F65:F85),INST_CAP*(N(C86)+N(D86)),N(C86)+N(D86)-N(E86)-N(K86)-NET_FLOOR*N(C86)),0.25))),"")</f>
        <v/>
      </c>
      <c r="G86" s="64">
        <f>IF('ساعات عبدالعزيز'!$M$237=1,IF(22=START_Z,'بداية السنة'!$C$7,N(I85))+N(C86)+N(D86)-N(E86)-N(F86)-N(K86),"")</f>
        <v/>
      </c>
      <c r="H86" s="63">
        <f>IF('ساعات عبدالعزيز'!$M$237=1,N('ساعات عبدالعزيز'!F247),"")</f>
        <v/>
      </c>
      <c r="I86" s="63">
        <f>IF('ساعات عبدالعزيز'!$M$237=1,G86-H86,"")</f>
        <v/>
      </c>
      <c r="J86" s="65">
        <f>IF('ساعات عبدالعزيز'!$M$237=1,MAX(0,'بداية السنة'!$D$7+SUMIFS(LG_DEBT,LG_E,"عبدالعزيز",LG_D,"&lt;="&amp;B86)-SUMIFS(LG_REP,LG_E,"عبدالعزيز",LG_D,"&lt;="&amp;B86)-SUM(F65:F86)),"")</f>
        <v/>
      </c>
      <c r="K86" s="63">
        <f>IF('ساعات عبدالعزيز'!$M$237=1,N('ساعات عبدالعزيز'!G245),"")</f>
        <v/>
      </c>
      <c r="L86" s="62">
        <f>IF(B86="","",MONTH(B86))</f>
        <v/>
      </c>
    </row>
    <row r="87">
      <c r="A87" s="62">
        <f>IF(23&lt;=NW,23,"")</f>
        <v/>
      </c>
      <c r="B87" s="20">
        <f>IF(23&lt;=NW,SAT1+160,"")</f>
        <v/>
      </c>
      <c r="C87" s="63">
        <f>IF('ساعات عبدالعزيز'!$M$248=1,N('ساعات عبدالعزيز'!F257),"")</f>
        <v/>
      </c>
      <c r="D87" s="63">
        <f>IF('ساعات عبدالعزيز'!$M$248=1,N('ساعات عبدالعزيز'!C258),"")</f>
        <v/>
      </c>
      <c r="E87" s="63">
        <f>IF('ساعات عبدالعزيز'!$M$248=1,SUMIFS(ADV_AMT,ADV_E,"عبدالعزيز",ADV_W,23),"")</f>
        <v/>
      </c>
      <c r="F87" s="63">
        <f>IF('ساعات عبدالعزيز'!$M$248=1,IF(N(C87)=0,0,MAX(0,FLOOR(MIN(IF(SUMPRODUCT(MAX((LG_E="عبدالعزيز")*(LG_INST&lt;&gt;"")*(LG_D&lt;=B87)*LG_IDX))=0,'بداية السنة'!$E$7,INDEX(LG_INST,SUMPRODUCT(MAX((LG_E="عبدالعزيز")*(LG_INST&lt;&gt;"")*(LG_D&lt;=B87)*LG_IDX)))),'بداية السنة'!$D$7+SUMIFS(LG_DEBT,LG_E,"عبدالعزيز",LG_D,"&lt;="&amp;B87)-SUMIFS(LG_REP,LG_E,"عبدالعزيز",LG_D,"&lt;="&amp;B87)-SUM(F65:F86),INST_CAP*(N(C87)+N(D87)),N(C87)+N(D87)-N(E87)-N(K87)-NET_FLOOR*N(C87)),0.25))),"")</f>
        <v/>
      </c>
      <c r="G87" s="64">
        <f>IF('ساعات عبدالعزيز'!$M$248=1,IF(23=START_Z,'بداية السنة'!$C$7,N(I86))+N(C87)+N(D87)-N(E87)-N(F87)-N(K87),"")</f>
        <v/>
      </c>
      <c r="H87" s="63">
        <f>IF('ساعات عبدالعزيز'!$M$248=1,N('ساعات عبدالعزيز'!F258),"")</f>
        <v/>
      </c>
      <c r="I87" s="63">
        <f>IF('ساعات عبدالعزيز'!$M$248=1,G87-H87,"")</f>
        <v/>
      </c>
      <c r="J87" s="65">
        <f>IF('ساعات عبدالعزيز'!$M$248=1,MAX(0,'بداية السنة'!$D$7+SUMIFS(LG_DEBT,LG_E,"عبدالعزيز",LG_D,"&lt;="&amp;B87)-SUMIFS(LG_REP,LG_E,"عبدالعزيز",LG_D,"&lt;="&amp;B87)-SUM(F65:F87)),"")</f>
        <v/>
      </c>
      <c r="K87" s="63">
        <f>IF('ساعات عبدالعزيز'!$M$248=1,N('ساعات عبدالعزيز'!G256),"")</f>
        <v/>
      </c>
      <c r="L87" s="62">
        <f>IF(B87="","",MONTH(B87))</f>
        <v/>
      </c>
    </row>
    <row r="88">
      <c r="A88" s="62">
        <f>IF(24&lt;=NW,24,"")</f>
        <v/>
      </c>
      <c r="B88" s="20">
        <f>IF(24&lt;=NW,SAT1+167,"")</f>
        <v/>
      </c>
      <c r="C88" s="63">
        <f>IF('ساعات عبدالعزيز'!$M$259=1,N('ساعات عبدالعزيز'!F268),"")</f>
        <v/>
      </c>
      <c r="D88" s="63">
        <f>IF('ساعات عبدالعزيز'!$M$259=1,N('ساعات عبدالعزيز'!C269),"")</f>
        <v/>
      </c>
      <c r="E88" s="63">
        <f>IF('ساعات عبدالعزيز'!$M$259=1,SUMIFS(ADV_AMT,ADV_E,"عبدالعزيز",ADV_W,24),"")</f>
        <v/>
      </c>
      <c r="F88" s="63">
        <f>IF('ساعات عبدالعزيز'!$M$259=1,IF(N(C88)=0,0,MAX(0,FLOOR(MIN(IF(SUMPRODUCT(MAX((LG_E="عبدالعزيز")*(LG_INST&lt;&gt;"")*(LG_D&lt;=B88)*LG_IDX))=0,'بداية السنة'!$E$7,INDEX(LG_INST,SUMPRODUCT(MAX((LG_E="عبدالعزيز")*(LG_INST&lt;&gt;"")*(LG_D&lt;=B88)*LG_IDX)))),'بداية السنة'!$D$7+SUMIFS(LG_DEBT,LG_E,"عبدالعزيز",LG_D,"&lt;="&amp;B88)-SUMIFS(LG_REP,LG_E,"عبدالعزيز",LG_D,"&lt;="&amp;B88)-SUM(F65:F87),INST_CAP*(N(C88)+N(D88)),N(C88)+N(D88)-N(E88)-N(K88)-NET_FLOOR*N(C88)),0.25))),"")</f>
        <v/>
      </c>
      <c r="G88" s="64">
        <f>IF('ساعات عبدالعزيز'!$M$259=1,IF(24=START_Z,'بداية السنة'!$C$7,N(I87))+N(C88)+N(D88)-N(E88)-N(F88)-N(K88),"")</f>
        <v/>
      </c>
      <c r="H88" s="63">
        <f>IF('ساعات عبدالعزيز'!$M$259=1,N('ساعات عبدالعزيز'!F269),"")</f>
        <v/>
      </c>
      <c r="I88" s="63">
        <f>IF('ساعات عبدالعزيز'!$M$259=1,G88-H88,"")</f>
        <v/>
      </c>
      <c r="J88" s="65">
        <f>IF('ساعات عبدالعزيز'!$M$259=1,MAX(0,'بداية السنة'!$D$7+SUMIFS(LG_DEBT,LG_E,"عبدالعزيز",LG_D,"&lt;="&amp;B88)-SUMIFS(LG_REP,LG_E,"عبدالعزيز",LG_D,"&lt;="&amp;B88)-SUM(F65:F88)),"")</f>
        <v/>
      </c>
      <c r="K88" s="63">
        <f>IF('ساعات عبدالعزيز'!$M$259=1,N('ساعات عبدالعزيز'!G267),"")</f>
        <v/>
      </c>
      <c r="L88" s="62">
        <f>IF(B88="","",MONTH(B88))</f>
        <v/>
      </c>
    </row>
    <row r="89">
      <c r="A89" s="62">
        <f>IF(25&lt;=NW,25,"")</f>
        <v/>
      </c>
      <c r="B89" s="20">
        <f>IF(25&lt;=NW,SAT1+174,"")</f>
        <v/>
      </c>
      <c r="C89" s="63">
        <f>IF('ساعات عبدالعزيز'!$M$270=1,N('ساعات عبدالعزيز'!F279),"")</f>
        <v/>
      </c>
      <c r="D89" s="63">
        <f>IF('ساعات عبدالعزيز'!$M$270=1,N('ساعات عبدالعزيز'!C280),"")</f>
        <v/>
      </c>
      <c r="E89" s="63">
        <f>IF('ساعات عبدالعزيز'!$M$270=1,SUMIFS(ADV_AMT,ADV_E,"عبدالعزيز",ADV_W,25),"")</f>
        <v/>
      </c>
      <c r="F89" s="63">
        <f>IF('ساعات عبدالعزيز'!$M$270=1,IF(N(C89)=0,0,MAX(0,FLOOR(MIN(IF(SUMPRODUCT(MAX((LG_E="عبدالعزيز")*(LG_INST&lt;&gt;"")*(LG_D&lt;=B89)*LG_IDX))=0,'بداية السنة'!$E$7,INDEX(LG_INST,SUMPRODUCT(MAX((LG_E="عبدالعزيز")*(LG_INST&lt;&gt;"")*(LG_D&lt;=B89)*LG_IDX)))),'بداية السنة'!$D$7+SUMIFS(LG_DEBT,LG_E,"عبدالعزيز",LG_D,"&lt;="&amp;B89)-SUMIFS(LG_REP,LG_E,"عبدالعزيز",LG_D,"&lt;="&amp;B89)-SUM(F65:F88),INST_CAP*(N(C89)+N(D89)),N(C89)+N(D89)-N(E89)-N(K89)-NET_FLOOR*N(C89)),0.25))),"")</f>
        <v/>
      </c>
      <c r="G89" s="64">
        <f>IF('ساعات عبدالعزيز'!$M$270=1,IF(25=START_Z,'بداية السنة'!$C$7,N(I88))+N(C89)+N(D89)-N(E89)-N(F89)-N(K89),"")</f>
        <v/>
      </c>
      <c r="H89" s="63">
        <f>IF('ساعات عبدالعزيز'!$M$270=1,N('ساعات عبدالعزيز'!F280),"")</f>
        <v/>
      </c>
      <c r="I89" s="63">
        <f>IF('ساعات عبدالعزيز'!$M$270=1,G89-H89,"")</f>
        <v/>
      </c>
      <c r="J89" s="65">
        <f>IF('ساعات عبدالعزيز'!$M$270=1,MAX(0,'بداية السنة'!$D$7+SUMIFS(LG_DEBT,LG_E,"عبدالعزيز",LG_D,"&lt;="&amp;B89)-SUMIFS(LG_REP,LG_E,"عبدالعزيز",LG_D,"&lt;="&amp;B89)-SUM(F65:F89)),"")</f>
        <v/>
      </c>
      <c r="K89" s="63">
        <f>IF('ساعات عبدالعزيز'!$M$270=1,N('ساعات عبدالعزيز'!G278),"")</f>
        <v/>
      </c>
      <c r="L89" s="62">
        <f>IF(B89="","",MONTH(B89))</f>
        <v/>
      </c>
    </row>
    <row r="90">
      <c r="A90" s="62">
        <f>IF(26&lt;=NW,26,"")</f>
        <v/>
      </c>
      <c r="B90" s="20">
        <f>IF(26&lt;=NW,SAT1+181,"")</f>
        <v/>
      </c>
      <c r="C90" s="63">
        <f>IF('ساعات عبدالعزيز'!$M$281=1,N('ساعات عبدالعزيز'!F290),"")</f>
        <v/>
      </c>
      <c r="D90" s="63">
        <f>IF('ساعات عبدالعزيز'!$M$281=1,N('ساعات عبدالعزيز'!C291),"")</f>
        <v/>
      </c>
      <c r="E90" s="63">
        <f>IF('ساعات عبدالعزيز'!$M$281=1,SUMIFS(ADV_AMT,ADV_E,"عبدالعزيز",ADV_W,26),"")</f>
        <v/>
      </c>
      <c r="F90" s="63">
        <f>IF('ساعات عبدالعزيز'!$M$281=1,IF(N(C90)=0,0,MAX(0,FLOOR(MIN(IF(SUMPRODUCT(MAX((LG_E="عبدالعزيز")*(LG_INST&lt;&gt;"")*(LG_D&lt;=B90)*LG_IDX))=0,'بداية السنة'!$E$7,INDEX(LG_INST,SUMPRODUCT(MAX((LG_E="عبدالعزيز")*(LG_INST&lt;&gt;"")*(LG_D&lt;=B90)*LG_IDX)))),'بداية السنة'!$D$7+SUMIFS(LG_DEBT,LG_E,"عبدالعزيز",LG_D,"&lt;="&amp;B90)-SUMIFS(LG_REP,LG_E,"عبدالعزيز",LG_D,"&lt;="&amp;B90)-SUM(F65:F89),INST_CAP*(N(C90)+N(D90)),N(C90)+N(D90)-N(E90)-N(K90)-NET_FLOOR*N(C90)),0.25))),"")</f>
        <v/>
      </c>
      <c r="G90" s="64">
        <f>IF('ساعات عبدالعزيز'!$M$281=1,IF(26=START_Z,'بداية السنة'!$C$7,N(I89))+N(C90)+N(D90)-N(E90)-N(F90)-N(K90),"")</f>
        <v/>
      </c>
      <c r="H90" s="63">
        <f>IF('ساعات عبدالعزيز'!$M$281=1,N('ساعات عبدالعزيز'!F291),"")</f>
        <v/>
      </c>
      <c r="I90" s="63">
        <f>IF('ساعات عبدالعزيز'!$M$281=1,G90-H90,"")</f>
        <v/>
      </c>
      <c r="J90" s="65">
        <f>IF('ساعات عبدالعزيز'!$M$281=1,MAX(0,'بداية السنة'!$D$7+SUMIFS(LG_DEBT,LG_E,"عبدالعزيز",LG_D,"&lt;="&amp;B90)-SUMIFS(LG_REP,LG_E,"عبدالعزيز",LG_D,"&lt;="&amp;B90)-SUM(F65:F90)),"")</f>
        <v/>
      </c>
      <c r="K90" s="63">
        <f>IF('ساعات عبدالعزيز'!$M$281=1,N('ساعات عبدالعزيز'!G289),"")</f>
        <v/>
      </c>
      <c r="L90" s="62">
        <f>IF(B90="","",MONTH(B90))</f>
        <v/>
      </c>
    </row>
    <row r="91">
      <c r="A91" s="62">
        <f>IF(27&lt;=NW,27,"")</f>
        <v/>
      </c>
      <c r="B91" s="20">
        <f>IF(27&lt;=NW,SAT1+188,"")</f>
        <v/>
      </c>
      <c r="C91" s="63">
        <f>IF('ساعات عبدالعزيز'!$M$292=1,N('ساعات عبدالعزيز'!F301),"")</f>
        <v/>
      </c>
      <c r="D91" s="63">
        <f>IF('ساعات عبدالعزيز'!$M$292=1,N('ساعات عبدالعزيز'!C302),"")</f>
        <v/>
      </c>
      <c r="E91" s="63">
        <f>IF('ساعات عبدالعزيز'!$M$292=1,SUMIFS(ADV_AMT,ADV_E,"عبدالعزيز",ADV_W,27),"")</f>
        <v/>
      </c>
      <c r="F91" s="63">
        <f>IF('ساعات عبدالعزيز'!$M$292=1,IF(N(C91)=0,0,MAX(0,FLOOR(MIN(IF(SUMPRODUCT(MAX((LG_E="عبدالعزيز")*(LG_INST&lt;&gt;"")*(LG_D&lt;=B91)*LG_IDX))=0,'بداية السنة'!$E$7,INDEX(LG_INST,SUMPRODUCT(MAX((LG_E="عبدالعزيز")*(LG_INST&lt;&gt;"")*(LG_D&lt;=B91)*LG_IDX)))),'بداية السنة'!$D$7+SUMIFS(LG_DEBT,LG_E,"عبدالعزيز",LG_D,"&lt;="&amp;B91)-SUMIFS(LG_REP,LG_E,"عبدالعزيز",LG_D,"&lt;="&amp;B91)-SUM(F65:F90),INST_CAP*(N(C91)+N(D91)),N(C91)+N(D91)-N(E91)-N(K91)-NET_FLOOR*N(C91)),0.25))),"")</f>
        <v/>
      </c>
      <c r="G91" s="64">
        <f>IF('ساعات عبدالعزيز'!$M$292=1,IF(27=START_Z,'بداية السنة'!$C$7,N(I90))+N(C91)+N(D91)-N(E91)-N(F91)-N(K91),"")</f>
        <v/>
      </c>
      <c r="H91" s="63">
        <f>IF('ساعات عبدالعزيز'!$M$292=1,N('ساعات عبدالعزيز'!F302),"")</f>
        <v/>
      </c>
      <c r="I91" s="63">
        <f>IF('ساعات عبدالعزيز'!$M$292=1,G91-H91,"")</f>
        <v/>
      </c>
      <c r="J91" s="65">
        <f>IF('ساعات عبدالعزيز'!$M$292=1,MAX(0,'بداية السنة'!$D$7+SUMIFS(LG_DEBT,LG_E,"عبدالعزيز",LG_D,"&lt;="&amp;B91)-SUMIFS(LG_REP,LG_E,"عبدالعزيز",LG_D,"&lt;="&amp;B91)-SUM(F65:F91)),"")</f>
        <v/>
      </c>
      <c r="K91" s="63">
        <f>IF('ساعات عبدالعزيز'!$M$292=1,N('ساعات عبدالعزيز'!G300),"")</f>
        <v/>
      </c>
      <c r="L91" s="62">
        <f>IF(B91="","",MONTH(B91))</f>
        <v/>
      </c>
    </row>
    <row r="92">
      <c r="A92" s="62">
        <f>IF(28&lt;=NW,28,"")</f>
        <v/>
      </c>
      <c r="B92" s="20">
        <f>IF(28&lt;=NW,SAT1+195,"")</f>
        <v/>
      </c>
      <c r="C92" s="63">
        <f>IF('ساعات عبدالعزيز'!$M$303=1,N('ساعات عبدالعزيز'!F312),"")</f>
        <v/>
      </c>
      <c r="D92" s="63">
        <f>IF('ساعات عبدالعزيز'!$M$303=1,N('ساعات عبدالعزيز'!C313),"")</f>
        <v/>
      </c>
      <c r="E92" s="63">
        <f>IF('ساعات عبدالعزيز'!$M$303=1,SUMIFS(ADV_AMT,ADV_E,"عبدالعزيز",ADV_W,28),"")</f>
        <v/>
      </c>
      <c r="F92" s="63">
        <f>IF('ساعات عبدالعزيز'!$M$303=1,IF(N(C92)=0,0,MAX(0,FLOOR(MIN(IF(SUMPRODUCT(MAX((LG_E="عبدالعزيز")*(LG_INST&lt;&gt;"")*(LG_D&lt;=B92)*LG_IDX))=0,'بداية السنة'!$E$7,INDEX(LG_INST,SUMPRODUCT(MAX((LG_E="عبدالعزيز")*(LG_INST&lt;&gt;"")*(LG_D&lt;=B92)*LG_IDX)))),'بداية السنة'!$D$7+SUMIFS(LG_DEBT,LG_E,"عبدالعزيز",LG_D,"&lt;="&amp;B92)-SUMIFS(LG_REP,LG_E,"عبدالعزيز",LG_D,"&lt;="&amp;B92)-SUM(F65:F91),INST_CAP*(N(C92)+N(D92)),N(C92)+N(D92)-N(E92)-N(K92)-NET_FLOOR*N(C92)),0.25))),"")</f>
        <v/>
      </c>
      <c r="G92" s="64">
        <f>IF('ساعات عبدالعزيز'!$M$303=1,IF(28=START_Z,'بداية السنة'!$C$7,N(I91))+N(C92)+N(D92)-N(E92)-N(F92)-N(K92),"")</f>
        <v/>
      </c>
      <c r="H92" s="63">
        <f>IF('ساعات عبدالعزيز'!$M$303=1,N('ساعات عبدالعزيز'!F313),"")</f>
        <v/>
      </c>
      <c r="I92" s="63">
        <f>IF('ساعات عبدالعزيز'!$M$303=1,G92-H92,"")</f>
        <v/>
      </c>
      <c r="J92" s="65">
        <f>IF('ساعات عبدالعزيز'!$M$303=1,MAX(0,'بداية السنة'!$D$7+SUMIFS(LG_DEBT,LG_E,"عبدالعزيز",LG_D,"&lt;="&amp;B92)-SUMIFS(LG_REP,LG_E,"عبدالعزيز",LG_D,"&lt;="&amp;B92)-SUM(F65:F92)),"")</f>
        <v/>
      </c>
      <c r="K92" s="63">
        <f>IF('ساعات عبدالعزيز'!$M$303=1,N('ساعات عبدالعزيز'!G311),"")</f>
        <v/>
      </c>
      <c r="L92" s="62">
        <f>IF(B92="","",MONTH(B92))</f>
        <v/>
      </c>
    </row>
    <row r="93">
      <c r="A93" s="62">
        <f>IF(29&lt;=NW,29,"")</f>
        <v/>
      </c>
      <c r="B93" s="20">
        <f>IF(29&lt;=NW,SAT1+202,"")</f>
        <v/>
      </c>
      <c r="C93" s="63">
        <f>IF('ساعات عبدالعزيز'!$M$314=1,N('ساعات عبدالعزيز'!F323),"")</f>
        <v/>
      </c>
      <c r="D93" s="63">
        <f>IF('ساعات عبدالعزيز'!$M$314=1,N('ساعات عبدالعزيز'!C324),"")</f>
        <v/>
      </c>
      <c r="E93" s="63">
        <f>IF('ساعات عبدالعزيز'!$M$314=1,SUMIFS(ADV_AMT,ADV_E,"عبدالعزيز",ADV_W,29),"")</f>
        <v/>
      </c>
      <c r="F93" s="63">
        <f>IF('ساعات عبدالعزيز'!$M$314=1,IF(N(C93)=0,0,MAX(0,FLOOR(MIN(IF(SUMPRODUCT(MAX((LG_E="عبدالعزيز")*(LG_INST&lt;&gt;"")*(LG_D&lt;=B93)*LG_IDX))=0,'بداية السنة'!$E$7,INDEX(LG_INST,SUMPRODUCT(MAX((LG_E="عبدالعزيز")*(LG_INST&lt;&gt;"")*(LG_D&lt;=B93)*LG_IDX)))),'بداية السنة'!$D$7+SUMIFS(LG_DEBT,LG_E,"عبدالعزيز",LG_D,"&lt;="&amp;B93)-SUMIFS(LG_REP,LG_E,"عبدالعزيز",LG_D,"&lt;="&amp;B93)-SUM(F65:F92),INST_CAP*(N(C93)+N(D93)),N(C93)+N(D93)-N(E93)-N(K93)-NET_FLOOR*N(C93)),0.25))),"")</f>
        <v/>
      </c>
      <c r="G93" s="64">
        <f>IF('ساعات عبدالعزيز'!$M$314=1,IF(29=START_Z,'بداية السنة'!$C$7,N(I92))+N(C93)+N(D93)-N(E93)-N(F93)-N(K93),"")</f>
        <v/>
      </c>
      <c r="H93" s="63">
        <f>IF('ساعات عبدالعزيز'!$M$314=1,N('ساعات عبدالعزيز'!F324),"")</f>
        <v/>
      </c>
      <c r="I93" s="63">
        <f>IF('ساعات عبدالعزيز'!$M$314=1,G93-H93,"")</f>
        <v/>
      </c>
      <c r="J93" s="65">
        <f>IF('ساعات عبدالعزيز'!$M$314=1,MAX(0,'بداية السنة'!$D$7+SUMIFS(LG_DEBT,LG_E,"عبدالعزيز",LG_D,"&lt;="&amp;B93)-SUMIFS(LG_REP,LG_E,"عبدالعزيز",LG_D,"&lt;="&amp;B93)-SUM(F65:F93)),"")</f>
        <v/>
      </c>
      <c r="K93" s="63">
        <f>IF('ساعات عبدالعزيز'!$M$314=1,N('ساعات عبدالعزيز'!G322),"")</f>
        <v/>
      </c>
      <c r="L93" s="62">
        <f>IF(B93="","",MONTH(B93))</f>
        <v/>
      </c>
    </row>
    <row r="94">
      <c r="A94" s="62">
        <f>IF(30&lt;=NW,30,"")</f>
        <v/>
      </c>
      <c r="B94" s="20">
        <f>IF(30&lt;=NW,SAT1+209,"")</f>
        <v/>
      </c>
      <c r="C94" s="63">
        <f>IF('ساعات عبدالعزيز'!$M$325=1,N('ساعات عبدالعزيز'!F334),"")</f>
        <v/>
      </c>
      <c r="D94" s="63">
        <f>IF('ساعات عبدالعزيز'!$M$325=1,N('ساعات عبدالعزيز'!C335),"")</f>
        <v/>
      </c>
      <c r="E94" s="63">
        <f>IF('ساعات عبدالعزيز'!$M$325=1,SUMIFS(ADV_AMT,ADV_E,"عبدالعزيز",ADV_W,30),"")</f>
        <v/>
      </c>
      <c r="F94" s="63">
        <f>IF('ساعات عبدالعزيز'!$M$325=1,IF(N(C94)=0,0,MAX(0,FLOOR(MIN(IF(SUMPRODUCT(MAX((LG_E="عبدالعزيز")*(LG_INST&lt;&gt;"")*(LG_D&lt;=B94)*LG_IDX))=0,'بداية السنة'!$E$7,INDEX(LG_INST,SUMPRODUCT(MAX((LG_E="عبدالعزيز")*(LG_INST&lt;&gt;"")*(LG_D&lt;=B94)*LG_IDX)))),'بداية السنة'!$D$7+SUMIFS(LG_DEBT,LG_E,"عبدالعزيز",LG_D,"&lt;="&amp;B94)-SUMIFS(LG_REP,LG_E,"عبدالعزيز",LG_D,"&lt;="&amp;B94)-SUM(F65:F93),INST_CAP*(N(C94)+N(D94)),N(C94)+N(D94)-N(E94)-N(K94)-NET_FLOOR*N(C94)),0.25))),"")</f>
        <v/>
      </c>
      <c r="G94" s="64">
        <f>IF('ساعات عبدالعزيز'!$M$325=1,IF(30=START_Z,'بداية السنة'!$C$7,N(I93))+N(C94)+N(D94)-N(E94)-N(F94)-N(K94),"")</f>
        <v/>
      </c>
      <c r="H94" s="63">
        <f>IF('ساعات عبدالعزيز'!$M$325=1,N('ساعات عبدالعزيز'!F335),"")</f>
        <v/>
      </c>
      <c r="I94" s="63">
        <f>IF('ساعات عبدالعزيز'!$M$325=1,G94-H94,"")</f>
        <v/>
      </c>
      <c r="J94" s="65">
        <f>IF('ساعات عبدالعزيز'!$M$325=1,MAX(0,'بداية السنة'!$D$7+SUMIFS(LG_DEBT,LG_E,"عبدالعزيز",LG_D,"&lt;="&amp;B94)-SUMIFS(LG_REP,LG_E,"عبدالعزيز",LG_D,"&lt;="&amp;B94)-SUM(F65:F94)),"")</f>
        <v/>
      </c>
      <c r="K94" s="63">
        <f>IF('ساعات عبدالعزيز'!$M$325=1,N('ساعات عبدالعزيز'!G333),"")</f>
        <v/>
      </c>
      <c r="L94" s="62">
        <f>IF(B94="","",MONTH(B94))</f>
        <v/>
      </c>
    </row>
    <row r="95">
      <c r="A95" s="62">
        <f>IF(31&lt;=NW,31,"")</f>
        <v/>
      </c>
      <c r="B95" s="20">
        <f>IF(31&lt;=NW,SAT1+216,"")</f>
        <v/>
      </c>
      <c r="C95" s="63">
        <f>IF('ساعات عبدالعزيز'!$M$336=1,N('ساعات عبدالعزيز'!F345),"")</f>
        <v/>
      </c>
      <c r="D95" s="63">
        <f>IF('ساعات عبدالعزيز'!$M$336=1,N('ساعات عبدالعزيز'!C346),"")</f>
        <v/>
      </c>
      <c r="E95" s="63">
        <f>IF('ساعات عبدالعزيز'!$M$336=1,SUMIFS(ADV_AMT,ADV_E,"عبدالعزيز",ADV_W,31),"")</f>
        <v/>
      </c>
      <c r="F95" s="63">
        <f>IF('ساعات عبدالعزيز'!$M$336=1,IF(N(C95)=0,0,MAX(0,FLOOR(MIN(IF(SUMPRODUCT(MAX((LG_E="عبدالعزيز")*(LG_INST&lt;&gt;"")*(LG_D&lt;=B95)*LG_IDX))=0,'بداية السنة'!$E$7,INDEX(LG_INST,SUMPRODUCT(MAX((LG_E="عبدالعزيز")*(LG_INST&lt;&gt;"")*(LG_D&lt;=B95)*LG_IDX)))),'بداية السنة'!$D$7+SUMIFS(LG_DEBT,LG_E,"عبدالعزيز",LG_D,"&lt;="&amp;B95)-SUMIFS(LG_REP,LG_E,"عبدالعزيز",LG_D,"&lt;="&amp;B95)-SUM(F65:F94),INST_CAP*(N(C95)+N(D95)),N(C95)+N(D95)-N(E95)-N(K95)-NET_FLOOR*N(C95)),0.25))),"")</f>
        <v/>
      </c>
      <c r="G95" s="64">
        <f>IF('ساعات عبدالعزيز'!$M$336=1,IF(31=START_Z,'بداية السنة'!$C$7,N(I94))+N(C95)+N(D95)-N(E95)-N(F95)-N(K95),"")</f>
        <v/>
      </c>
      <c r="H95" s="63">
        <f>IF('ساعات عبدالعزيز'!$M$336=1,N('ساعات عبدالعزيز'!F346),"")</f>
        <v/>
      </c>
      <c r="I95" s="63">
        <f>IF('ساعات عبدالعزيز'!$M$336=1,G95-H95,"")</f>
        <v/>
      </c>
      <c r="J95" s="65">
        <f>IF('ساعات عبدالعزيز'!$M$336=1,MAX(0,'بداية السنة'!$D$7+SUMIFS(LG_DEBT,LG_E,"عبدالعزيز",LG_D,"&lt;="&amp;B95)-SUMIFS(LG_REP,LG_E,"عبدالعزيز",LG_D,"&lt;="&amp;B95)-SUM(F65:F95)),"")</f>
        <v/>
      </c>
      <c r="K95" s="63">
        <f>IF('ساعات عبدالعزيز'!$M$336=1,N('ساعات عبدالعزيز'!G344),"")</f>
        <v/>
      </c>
      <c r="L95" s="62">
        <f>IF(B95="","",MONTH(B95))</f>
        <v/>
      </c>
    </row>
    <row r="96">
      <c r="A96" s="62">
        <f>IF(32&lt;=NW,32,"")</f>
        <v/>
      </c>
      <c r="B96" s="20">
        <f>IF(32&lt;=NW,SAT1+223,"")</f>
        <v/>
      </c>
      <c r="C96" s="63">
        <f>IF('ساعات عبدالعزيز'!$M$347=1,N('ساعات عبدالعزيز'!F356),"")</f>
        <v/>
      </c>
      <c r="D96" s="63">
        <f>IF('ساعات عبدالعزيز'!$M$347=1,N('ساعات عبدالعزيز'!C357),"")</f>
        <v/>
      </c>
      <c r="E96" s="63">
        <f>IF('ساعات عبدالعزيز'!$M$347=1,SUMIFS(ADV_AMT,ADV_E,"عبدالعزيز",ADV_W,32),"")</f>
        <v/>
      </c>
      <c r="F96" s="63">
        <f>IF('ساعات عبدالعزيز'!$M$347=1,IF(N(C96)=0,0,MAX(0,FLOOR(MIN(IF(SUMPRODUCT(MAX((LG_E="عبدالعزيز")*(LG_INST&lt;&gt;"")*(LG_D&lt;=B96)*LG_IDX))=0,'بداية السنة'!$E$7,INDEX(LG_INST,SUMPRODUCT(MAX((LG_E="عبدالعزيز")*(LG_INST&lt;&gt;"")*(LG_D&lt;=B96)*LG_IDX)))),'بداية السنة'!$D$7+SUMIFS(LG_DEBT,LG_E,"عبدالعزيز",LG_D,"&lt;="&amp;B96)-SUMIFS(LG_REP,LG_E,"عبدالعزيز",LG_D,"&lt;="&amp;B96)-SUM(F65:F95),INST_CAP*(N(C96)+N(D96)),N(C96)+N(D96)-N(E96)-N(K96)-NET_FLOOR*N(C96)),0.25))),"")</f>
        <v/>
      </c>
      <c r="G96" s="64">
        <f>IF('ساعات عبدالعزيز'!$M$347=1,IF(32=START_Z,'بداية السنة'!$C$7,N(I95))+N(C96)+N(D96)-N(E96)-N(F96)-N(K96),"")</f>
        <v/>
      </c>
      <c r="H96" s="63">
        <f>IF('ساعات عبدالعزيز'!$M$347=1,N('ساعات عبدالعزيز'!F357),"")</f>
        <v/>
      </c>
      <c r="I96" s="63">
        <f>IF('ساعات عبدالعزيز'!$M$347=1,G96-H96,"")</f>
        <v/>
      </c>
      <c r="J96" s="65">
        <f>IF('ساعات عبدالعزيز'!$M$347=1,MAX(0,'بداية السنة'!$D$7+SUMIFS(LG_DEBT,LG_E,"عبدالعزيز",LG_D,"&lt;="&amp;B96)-SUMIFS(LG_REP,LG_E,"عبدالعزيز",LG_D,"&lt;="&amp;B96)-SUM(F65:F96)),"")</f>
        <v/>
      </c>
      <c r="K96" s="63">
        <f>IF('ساعات عبدالعزيز'!$M$347=1,N('ساعات عبدالعزيز'!G355),"")</f>
        <v/>
      </c>
      <c r="L96" s="62">
        <f>IF(B96="","",MONTH(B96))</f>
        <v/>
      </c>
    </row>
    <row r="97">
      <c r="A97" s="62">
        <f>IF(33&lt;=NW,33,"")</f>
        <v/>
      </c>
      <c r="B97" s="20">
        <f>IF(33&lt;=NW,SAT1+230,"")</f>
        <v/>
      </c>
      <c r="C97" s="63">
        <f>IF('ساعات عبدالعزيز'!$M$358=1,N('ساعات عبدالعزيز'!F367),"")</f>
        <v/>
      </c>
      <c r="D97" s="63">
        <f>IF('ساعات عبدالعزيز'!$M$358=1,N('ساعات عبدالعزيز'!C368),"")</f>
        <v/>
      </c>
      <c r="E97" s="63">
        <f>IF('ساعات عبدالعزيز'!$M$358=1,SUMIFS(ADV_AMT,ADV_E,"عبدالعزيز",ADV_W,33),"")</f>
        <v/>
      </c>
      <c r="F97" s="63">
        <f>IF('ساعات عبدالعزيز'!$M$358=1,IF(N(C97)=0,0,MAX(0,FLOOR(MIN(IF(SUMPRODUCT(MAX((LG_E="عبدالعزيز")*(LG_INST&lt;&gt;"")*(LG_D&lt;=B97)*LG_IDX))=0,'بداية السنة'!$E$7,INDEX(LG_INST,SUMPRODUCT(MAX((LG_E="عبدالعزيز")*(LG_INST&lt;&gt;"")*(LG_D&lt;=B97)*LG_IDX)))),'بداية السنة'!$D$7+SUMIFS(LG_DEBT,LG_E,"عبدالعزيز",LG_D,"&lt;="&amp;B97)-SUMIFS(LG_REP,LG_E,"عبدالعزيز",LG_D,"&lt;="&amp;B97)-SUM(F65:F96),INST_CAP*(N(C97)+N(D97)),N(C97)+N(D97)-N(E97)-N(K97)-NET_FLOOR*N(C97)),0.25))),"")</f>
        <v/>
      </c>
      <c r="G97" s="64">
        <f>IF('ساعات عبدالعزيز'!$M$358=1,IF(33=START_Z,'بداية السنة'!$C$7,N(I96))+N(C97)+N(D97)-N(E97)-N(F97)-N(K97),"")</f>
        <v/>
      </c>
      <c r="H97" s="63">
        <f>IF('ساعات عبدالعزيز'!$M$358=1,N('ساعات عبدالعزيز'!F368),"")</f>
        <v/>
      </c>
      <c r="I97" s="63">
        <f>IF('ساعات عبدالعزيز'!$M$358=1,G97-H97,"")</f>
        <v/>
      </c>
      <c r="J97" s="65">
        <f>IF('ساعات عبدالعزيز'!$M$358=1,MAX(0,'بداية السنة'!$D$7+SUMIFS(LG_DEBT,LG_E,"عبدالعزيز",LG_D,"&lt;="&amp;B97)-SUMIFS(LG_REP,LG_E,"عبدالعزيز",LG_D,"&lt;="&amp;B97)-SUM(F65:F97)),"")</f>
        <v/>
      </c>
      <c r="K97" s="63">
        <f>IF('ساعات عبدالعزيز'!$M$358=1,N('ساعات عبدالعزيز'!G366),"")</f>
        <v/>
      </c>
      <c r="L97" s="62">
        <f>IF(B97="","",MONTH(B97))</f>
        <v/>
      </c>
    </row>
    <row r="98">
      <c r="A98" s="62">
        <f>IF(34&lt;=NW,34,"")</f>
        <v/>
      </c>
      <c r="B98" s="20">
        <f>IF(34&lt;=NW,SAT1+237,"")</f>
        <v/>
      </c>
      <c r="C98" s="63">
        <f>IF('ساعات عبدالعزيز'!$M$369=1,N('ساعات عبدالعزيز'!F378),"")</f>
        <v/>
      </c>
      <c r="D98" s="63">
        <f>IF('ساعات عبدالعزيز'!$M$369=1,N('ساعات عبدالعزيز'!C379),"")</f>
        <v/>
      </c>
      <c r="E98" s="63">
        <f>IF('ساعات عبدالعزيز'!$M$369=1,SUMIFS(ADV_AMT,ADV_E,"عبدالعزيز",ADV_W,34),"")</f>
        <v/>
      </c>
      <c r="F98" s="63">
        <f>IF('ساعات عبدالعزيز'!$M$369=1,IF(N(C98)=0,0,MAX(0,FLOOR(MIN(IF(SUMPRODUCT(MAX((LG_E="عبدالعزيز")*(LG_INST&lt;&gt;"")*(LG_D&lt;=B98)*LG_IDX))=0,'بداية السنة'!$E$7,INDEX(LG_INST,SUMPRODUCT(MAX((LG_E="عبدالعزيز")*(LG_INST&lt;&gt;"")*(LG_D&lt;=B98)*LG_IDX)))),'بداية السنة'!$D$7+SUMIFS(LG_DEBT,LG_E,"عبدالعزيز",LG_D,"&lt;="&amp;B98)-SUMIFS(LG_REP,LG_E,"عبدالعزيز",LG_D,"&lt;="&amp;B98)-SUM(F65:F97),INST_CAP*(N(C98)+N(D98)),N(C98)+N(D98)-N(E98)-N(K98)-NET_FLOOR*N(C98)),0.25))),"")</f>
        <v/>
      </c>
      <c r="G98" s="64">
        <f>IF('ساعات عبدالعزيز'!$M$369=1,IF(34=START_Z,'بداية السنة'!$C$7,N(I97))+N(C98)+N(D98)-N(E98)-N(F98)-N(K98),"")</f>
        <v/>
      </c>
      <c r="H98" s="63">
        <f>IF('ساعات عبدالعزيز'!$M$369=1,N('ساعات عبدالعزيز'!F379),"")</f>
        <v/>
      </c>
      <c r="I98" s="63">
        <f>IF('ساعات عبدالعزيز'!$M$369=1,G98-H98,"")</f>
        <v/>
      </c>
      <c r="J98" s="65">
        <f>IF('ساعات عبدالعزيز'!$M$369=1,MAX(0,'بداية السنة'!$D$7+SUMIFS(LG_DEBT,LG_E,"عبدالعزيز",LG_D,"&lt;="&amp;B98)-SUMIFS(LG_REP,LG_E,"عبدالعزيز",LG_D,"&lt;="&amp;B98)-SUM(F65:F98)),"")</f>
        <v/>
      </c>
      <c r="K98" s="63">
        <f>IF('ساعات عبدالعزيز'!$M$369=1,N('ساعات عبدالعزيز'!G377),"")</f>
        <v/>
      </c>
      <c r="L98" s="62">
        <f>IF(B98="","",MONTH(B98))</f>
        <v/>
      </c>
    </row>
    <row r="99">
      <c r="A99" s="62">
        <f>IF(35&lt;=NW,35,"")</f>
        <v/>
      </c>
      <c r="B99" s="20">
        <f>IF(35&lt;=NW,SAT1+244,"")</f>
        <v/>
      </c>
      <c r="C99" s="63">
        <f>IF('ساعات عبدالعزيز'!$M$380=1,N('ساعات عبدالعزيز'!F389),"")</f>
        <v/>
      </c>
      <c r="D99" s="63">
        <f>IF('ساعات عبدالعزيز'!$M$380=1,N('ساعات عبدالعزيز'!C390),"")</f>
        <v/>
      </c>
      <c r="E99" s="63">
        <f>IF('ساعات عبدالعزيز'!$M$380=1,SUMIFS(ADV_AMT,ADV_E,"عبدالعزيز",ADV_W,35),"")</f>
        <v/>
      </c>
      <c r="F99" s="63">
        <f>IF('ساعات عبدالعزيز'!$M$380=1,IF(N(C99)=0,0,MAX(0,FLOOR(MIN(IF(SUMPRODUCT(MAX((LG_E="عبدالعزيز")*(LG_INST&lt;&gt;"")*(LG_D&lt;=B99)*LG_IDX))=0,'بداية السنة'!$E$7,INDEX(LG_INST,SUMPRODUCT(MAX((LG_E="عبدالعزيز")*(LG_INST&lt;&gt;"")*(LG_D&lt;=B99)*LG_IDX)))),'بداية السنة'!$D$7+SUMIFS(LG_DEBT,LG_E,"عبدالعزيز",LG_D,"&lt;="&amp;B99)-SUMIFS(LG_REP,LG_E,"عبدالعزيز",LG_D,"&lt;="&amp;B99)-SUM(F65:F98),INST_CAP*(N(C99)+N(D99)),N(C99)+N(D99)-N(E99)-N(K99)-NET_FLOOR*N(C99)),0.25))),"")</f>
        <v/>
      </c>
      <c r="G99" s="64">
        <f>IF('ساعات عبدالعزيز'!$M$380=1,IF(35=START_Z,'بداية السنة'!$C$7,N(I98))+N(C99)+N(D99)-N(E99)-N(F99)-N(K99),"")</f>
        <v/>
      </c>
      <c r="H99" s="63">
        <f>IF('ساعات عبدالعزيز'!$M$380=1,N('ساعات عبدالعزيز'!F390),"")</f>
        <v/>
      </c>
      <c r="I99" s="63">
        <f>IF('ساعات عبدالعزيز'!$M$380=1,G99-H99,"")</f>
        <v/>
      </c>
      <c r="J99" s="65">
        <f>IF('ساعات عبدالعزيز'!$M$380=1,MAX(0,'بداية السنة'!$D$7+SUMIFS(LG_DEBT,LG_E,"عبدالعزيز",LG_D,"&lt;="&amp;B99)-SUMIFS(LG_REP,LG_E,"عبدالعزيز",LG_D,"&lt;="&amp;B99)-SUM(F65:F99)),"")</f>
        <v/>
      </c>
      <c r="K99" s="63">
        <f>IF('ساعات عبدالعزيز'!$M$380=1,N('ساعات عبدالعزيز'!G388),"")</f>
        <v/>
      </c>
      <c r="L99" s="62">
        <f>IF(B99="","",MONTH(B99))</f>
        <v/>
      </c>
    </row>
    <row r="100">
      <c r="A100" s="62">
        <f>IF(36&lt;=NW,36,"")</f>
        <v/>
      </c>
      <c r="B100" s="20">
        <f>IF(36&lt;=NW,SAT1+251,"")</f>
        <v/>
      </c>
      <c r="C100" s="63">
        <f>IF('ساعات عبدالعزيز'!$M$391=1,N('ساعات عبدالعزيز'!F400),"")</f>
        <v/>
      </c>
      <c r="D100" s="63">
        <f>IF('ساعات عبدالعزيز'!$M$391=1,N('ساعات عبدالعزيز'!C401),"")</f>
        <v/>
      </c>
      <c r="E100" s="63">
        <f>IF('ساعات عبدالعزيز'!$M$391=1,SUMIFS(ADV_AMT,ADV_E,"عبدالعزيز",ADV_W,36),"")</f>
        <v/>
      </c>
      <c r="F100" s="63">
        <f>IF('ساعات عبدالعزيز'!$M$391=1,IF(N(C100)=0,0,MAX(0,FLOOR(MIN(IF(SUMPRODUCT(MAX((LG_E="عبدالعزيز")*(LG_INST&lt;&gt;"")*(LG_D&lt;=B100)*LG_IDX))=0,'بداية السنة'!$E$7,INDEX(LG_INST,SUMPRODUCT(MAX((LG_E="عبدالعزيز")*(LG_INST&lt;&gt;"")*(LG_D&lt;=B100)*LG_IDX)))),'بداية السنة'!$D$7+SUMIFS(LG_DEBT,LG_E,"عبدالعزيز",LG_D,"&lt;="&amp;B100)-SUMIFS(LG_REP,LG_E,"عبدالعزيز",LG_D,"&lt;="&amp;B100)-SUM(F65:F99),INST_CAP*(N(C100)+N(D100)),N(C100)+N(D100)-N(E100)-N(K100)-NET_FLOOR*N(C100)),0.25))),"")</f>
        <v/>
      </c>
      <c r="G100" s="64">
        <f>IF('ساعات عبدالعزيز'!$M$391=1,IF(36=START_Z,'بداية السنة'!$C$7,N(I99))+N(C100)+N(D100)-N(E100)-N(F100)-N(K100),"")</f>
        <v/>
      </c>
      <c r="H100" s="63">
        <f>IF('ساعات عبدالعزيز'!$M$391=1,N('ساعات عبدالعزيز'!F401),"")</f>
        <v/>
      </c>
      <c r="I100" s="63">
        <f>IF('ساعات عبدالعزيز'!$M$391=1,G100-H100,"")</f>
        <v/>
      </c>
      <c r="J100" s="65">
        <f>IF('ساعات عبدالعزيز'!$M$391=1,MAX(0,'بداية السنة'!$D$7+SUMIFS(LG_DEBT,LG_E,"عبدالعزيز",LG_D,"&lt;="&amp;B100)-SUMIFS(LG_REP,LG_E,"عبدالعزيز",LG_D,"&lt;="&amp;B100)-SUM(F65:F100)),"")</f>
        <v/>
      </c>
      <c r="K100" s="63">
        <f>IF('ساعات عبدالعزيز'!$M$391=1,N('ساعات عبدالعزيز'!G399),"")</f>
        <v/>
      </c>
      <c r="L100" s="62">
        <f>IF(B100="","",MONTH(B100))</f>
        <v/>
      </c>
    </row>
    <row r="101">
      <c r="A101" s="62">
        <f>IF(37&lt;=NW,37,"")</f>
        <v/>
      </c>
      <c r="B101" s="20">
        <f>IF(37&lt;=NW,SAT1+258,"")</f>
        <v/>
      </c>
      <c r="C101" s="63">
        <f>IF('ساعات عبدالعزيز'!$M$402=1,N('ساعات عبدالعزيز'!F411),"")</f>
        <v/>
      </c>
      <c r="D101" s="63">
        <f>IF('ساعات عبدالعزيز'!$M$402=1,N('ساعات عبدالعزيز'!C412),"")</f>
        <v/>
      </c>
      <c r="E101" s="63">
        <f>IF('ساعات عبدالعزيز'!$M$402=1,SUMIFS(ADV_AMT,ADV_E,"عبدالعزيز",ADV_W,37),"")</f>
        <v/>
      </c>
      <c r="F101" s="63">
        <f>IF('ساعات عبدالعزيز'!$M$402=1,IF(N(C101)=0,0,MAX(0,FLOOR(MIN(IF(SUMPRODUCT(MAX((LG_E="عبدالعزيز")*(LG_INST&lt;&gt;"")*(LG_D&lt;=B101)*LG_IDX))=0,'بداية السنة'!$E$7,INDEX(LG_INST,SUMPRODUCT(MAX((LG_E="عبدالعزيز")*(LG_INST&lt;&gt;"")*(LG_D&lt;=B101)*LG_IDX)))),'بداية السنة'!$D$7+SUMIFS(LG_DEBT,LG_E,"عبدالعزيز",LG_D,"&lt;="&amp;B101)-SUMIFS(LG_REP,LG_E,"عبدالعزيز",LG_D,"&lt;="&amp;B101)-SUM(F65:F100),INST_CAP*(N(C101)+N(D101)),N(C101)+N(D101)-N(E101)-N(K101)-NET_FLOOR*N(C101)),0.25))),"")</f>
        <v/>
      </c>
      <c r="G101" s="64">
        <f>IF('ساعات عبدالعزيز'!$M$402=1,IF(37=START_Z,'بداية السنة'!$C$7,N(I100))+N(C101)+N(D101)-N(E101)-N(F101)-N(K101),"")</f>
        <v/>
      </c>
      <c r="H101" s="63">
        <f>IF('ساعات عبدالعزيز'!$M$402=1,N('ساعات عبدالعزيز'!F412),"")</f>
        <v/>
      </c>
      <c r="I101" s="63">
        <f>IF('ساعات عبدالعزيز'!$M$402=1,G101-H101,"")</f>
        <v/>
      </c>
      <c r="J101" s="65">
        <f>IF('ساعات عبدالعزيز'!$M$402=1,MAX(0,'بداية السنة'!$D$7+SUMIFS(LG_DEBT,LG_E,"عبدالعزيز",LG_D,"&lt;="&amp;B101)-SUMIFS(LG_REP,LG_E,"عبدالعزيز",LG_D,"&lt;="&amp;B101)-SUM(F65:F101)),"")</f>
        <v/>
      </c>
      <c r="K101" s="63">
        <f>IF('ساعات عبدالعزيز'!$M$402=1,N('ساعات عبدالعزيز'!G410),"")</f>
        <v/>
      </c>
      <c r="L101" s="62">
        <f>IF(B101="","",MONTH(B101))</f>
        <v/>
      </c>
    </row>
    <row r="102">
      <c r="A102" s="62">
        <f>IF(38&lt;=NW,38,"")</f>
        <v/>
      </c>
      <c r="B102" s="20">
        <f>IF(38&lt;=NW,SAT1+265,"")</f>
        <v/>
      </c>
      <c r="C102" s="63">
        <f>IF('ساعات عبدالعزيز'!$M$413=1,N('ساعات عبدالعزيز'!F422),"")</f>
        <v/>
      </c>
      <c r="D102" s="63">
        <f>IF('ساعات عبدالعزيز'!$M$413=1,N('ساعات عبدالعزيز'!C423),"")</f>
        <v/>
      </c>
      <c r="E102" s="63">
        <f>IF('ساعات عبدالعزيز'!$M$413=1,SUMIFS(ADV_AMT,ADV_E,"عبدالعزيز",ADV_W,38),"")</f>
        <v/>
      </c>
      <c r="F102" s="63">
        <f>IF('ساعات عبدالعزيز'!$M$413=1,IF(N(C102)=0,0,MAX(0,FLOOR(MIN(IF(SUMPRODUCT(MAX((LG_E="عبدالعزيز")*(LG_INST&lt;&gt;"")*(LG_D&lt;=B102)*LG_IDX))=0,'بداية السنة'!$E$7,INDEX(LG_INST,SUMPRODUCT(MAX((LG_E="عبدالعزيز")*(LG_INST&lt;&gt;"")*(LG_D&lt;=B102)*LG_IDX)))),'بداية السنة'!$D$7+SUMIFS(LG_DEBT,LG_E,"عبدالعزيز",LG_D,"&lt;="&amp;B102)-SUMIFS(LG_REP,LG_E,"عبدالعزيز",LG_D,"&lt;="&amp;B102)-SUM(F65:F101),INST_CAP*(N(C102)+N(D102)),N(C102)+N(D102)-N(E102)-N(K102)-NET_FLOOR*N(C102)),0.25))),"")</f>
        <v/>
      </c>
      <c r="G102" s="64">
        <f>IF('ساعات عبدالعزيز'!$M$413=1,IF(38=START_Z,'بداية السنة'!$C$7,N(I101))+N(C102)+N(D102)-N(E102)-N(F102)-N(K102),"")</f>
        <v/>
      </c>
      <c r="H102" s="63">
        <f>IF('ساعات عبدالعزيز'!$M$413=1,N('ساعات عبدالعزيز'!F423),"")</f>
        <v/>
      </c>
      <c r="I102" s="63">
        <f>IF('ساعات عبدالعزيز'!$M$413=1,G102-H102,"")</f>
        <v/>
      </c>
      <c r="J102" s="65">
        <f>IF('ساعات عبدالعزيز'!$M$413=1,MAX(0,'بداية السنة'!$D$7+SUMIFS(LG_DEBT,LG_E,"عبدالعزيز",LG_D,"&lt;="&amp;B102)-SUMIFS(LG_REP,LG_E,"عبدالعزيز",LG_D,"&lt;="&amp;B102)-SUM(F65:F102)),"")</f>
        <v/>
      </c>
      <c r="K102" s="63">
        <f>IF('ساعات عبدالعزيز'!$M$413=1,N('ساعات عبدالعزيز'!G421),"")</f>
        <v/>
      </c>
      <c r="L102" s="62">
        <f>IF(B102="","",MONTH(B102))</f>
        <v/>
      </c>
    </row>
    <row r="103">
      <c r="A103" s="62">
        <f>IF(39&lt;=NW,39,"")</f>
        <v/>
      </c>
      <c r="B103" s="20">
        <f>IF(39&lt;=NW,SAT1+272,"")</f>
        <v/>
      </c>
      <c r="C103" s="63">
        <f>IF('ساعات عبدالعزيز'!$M$424=1,N('ساعات عبدالعزيز'!F433),"")</f>
        <v/>
      </c>
      <c r="D103" s="63">
        <f>IF('ساعات عبدالعزيز'!$M$424=1,N('ساعات عبدالعزيز'!C434),"")</f>
        <v/>
      </c>
      <c r="E103" s="63">
        <f>IF('ساعات عبدالعزيز'!$M$424=1,SUMIFS(ADV_AMT,ADV_E,"عبدالعزيز",ADV_W,39),"")</f>
        <v/>
      </c>
      <c r="F103" s="63">
        <f>IF('ساعات عبدالعزيز'!$M$424=1,IF(N(C103)=0,0,MAX(0,FLOOR(MIN(IF(SUMPRODUCT(MAX((LG_E="عبدالعزيز")*(LG_INST&lt;&gt;"")*(LG_D&lt;=B103)*LG_IDX))=0,'بداية السنة'!$E$7,INDEX(LG_INST,SUMPRODUCT(MAX((LG_E="عبدالعزيز")*(LG_INST&lt;&gt;"")*(LG_D&lt;=B103)*LG_IDX)))),'بداية السنة'!$D$7+SUMIFS(LG_DEBT,LG_E,"عبدالعزيز",LG_D,"&lt;="&amp;B103)-SUMIFS(LG_REP,LG_E,"عبدالعزيز",LG_D,"&lt;="&amp;B103)-SUM(F65:F102),INST_CAP*(N(C103)+N(D103)),N(C103)+N(D103)-N(E103)-N(K103)-NET_FLOOR*N(C103)),0.25))),"")</f>
        <v/>
      </c>
      <c r="G103" s="64">
        <f>IF('ساعات عبدالعزيز'!$M$424=1,IF(39=START_Z,'بداية السنة'!$C$7,N(I102))+N(C103)+N(D103)-N(E103)-N(F103)-N(K103),"")</f>
        <v/>
      </c>
      <c r="H103" s="63">
        <f>IF('ساعات عبدالعزيز'!$M$424=1,N('ساعات عبدالعزيز'!F434),"")</f>
        <v/>
      </c>
      <c r="I103" s="63">
        <f>IF('ساعات عبدالعزيز'!$M$424=1,G103-H103,"")</f>
        <v/>
      </c>
      <c r="J103" s="65">
        <f>IF('ساعات عبدالعزيز'!$M$424=1,MAX(0,'بداية السنة'!$D$7+SUMIFS(LG_DEBT,LG_E,"عبدالعزيز",LG_D,"&lt;="&amp;B103)-SUMIFS(LG_REP,LG_E,"عبدالعزيز",LG_D,"&lt;="&amp;B103)-SUM(F65:F103)),"")</f>
        <v/>
      </c>
      <c r="K103" s="63">
        <f>IF('ساعات عبدالعزيز'!$M$424=1,N('ساعات عبدالعزيز'!G432),"")</f>
        <v/>
      </c>
      <c r="L103" s="62">
        <f>IF(B103="","",MONTH(B103))</f>
        <v/>
      </c>
    </row>
    <row r="104">
      <c r="A104" s="62">
        <f>IF(40&lt;=NW,40,"")</f>
        <v/>
      </c>
      <c r="B104" s="20">
        <f>IF(40&lt;=NW,SAT1+279,"")</f>
        <v/>
      </c>
      <c r="C104" s="63">
        <f>IF('ساعات عبدالعزيز'!$M$435=1,N('ساعات عبدالعزيز'!F444),"")</f>
        <v/>
      </c>
      <c r="D104" s="63">
        <f>IF('ساعات عبدالعزيز'!$M$435=1,N('ساعات عبدالعزيز'!C445),"")</f>
        <v/>
      </c>
      <c r="E104" s="63">
        <f>IF('ساعات عبدالعزيز'!$M$435=1,SUMIFS(ADV_AMT,ADV_E,"عبدالعزيز",ADV_W,40),"")</f>
        <v/>
      </c>
      <c r="F104" s="63">
        <f>IF('ساعات عبدالعزيز'!$M$435=1,IF(N(C104)=0,0,MAX(0,FLOOR(MIN(IF(SUMPRODUCT(MAX((LG_E="عبدالعزيز")*(LG_INST&lt;&gt;"")*(LG_D&lt;=B104)*LG_IDX))=0,'بداية السنة'!$E$7,INDEX(LG_INST,SUMPRODUCT(MAX((LG_E="عبدالعزيز")*(LG_INST&lt;&gt;"")*(LG_D&lt;=B104)*LG_IDX)))),'بداية السنة'!$D$7+SUMIFS(LG_DEBT,LG_E,"عبدالعزيز",LG_D,"&lt;="&amp;B104)-SUMIFS(LG_REP,LG_E,"عبدالعزيز",LG_D,"&lt;="&amp;B104)-SUM(F65:F103),INST_CAP*(N(C104)+N(D104)),N(C104)+N(D104)-N(E104)-N(K104)-NET_FLOOR*N(C104)),0.25))),"")</f>
        <v/>
      </c>
      <c r="G104" s="64">
        <f>IF('ساعات عبدالعزيز'!$M$435=1,IF(40=START_Z,'بداية السنة'!$C$7,N(I103))+N(C104)+N(D104)-N(E104)-N(F104)-N(K104),"")</f>
        <v/>
      </c>
      <c r="H104" s="63">
        <f>IF('ساعات عبدالعزيز'!$M$435=1,N('ساعات عبدالعزيز'!F445),"")</f>
        <v/>
      </c>
      <c r="I104" s="63">
        <f>IF('ساعات عبدالعزيز'!$M$435=1,G104-H104,"")</f>
        <v/>
      </c>
      <c r="J104" s="65">
        <f>IF('ساعات عبدالعزيز'!$M$435=1,MAX(0,'بداية السنة'!$D$7+SUMIFS(LG_DEBT,LG_E,"عبدالعزيز",LG_D,"&lt;="&amp;B104)-SUMIFS(LG_REP,LG_E,"عبدالعزيز",LG_D,"&lt;="&amp;B104)-SUM(F65:F104)),"")</f>
        <v/>
      </c>
      <c r="K104" s="63">
        <f>IF('ساعات عبدالعزيز'!$M$435=1,N('ساعات عبدالعزيز'!G443),"")</f>
        <v/>
      </c>
      <c r="L104" s="62">
        <f>IF(B104="","",MONTH(B104))</f>
        <v/>
      </c>
    </row>
    <row r="105">
      <c r="A105" s="62">
        <f>IF(41&lt;=NW,41,"")</f>
        <v/>
      </c>
      <c r="B105" s="20">
        <f>IF(41&lt;=NW,SAT1+286,"")</f>
        <v/>
      </c>
      <c r="C105" s="63">
        <f>IF('ساعات عبدالعزيز'!$M$446=1,N('ساعات عبدالعزيز'!F455),"")</f>
        <v/>
      </c>
      <c r="D105" s="63">
        <f>IF('ساعات عبدالعزيز'!$M$446=1,N('ساعات عبدالعزيز'!C456),"")</f>
        <v/>
      </c>
      <c r="E105" s="63">
        <f>IF('ساعات عبدالعزيز'!$M$446=1,SUMIFS(ADV_AMT,ADV_E,"عبدالعزيز",ADV_W,41),"")</f>
        <v/>
      </c>
      <c r="F105" s="63">
        <f>IF('ساعات عبدالعزيز'!$M$446=1,IF(N(C105)=0,0,MAX(0,FLOOR(MIN(IF(SUMPRODUCT(MAX((LG_E="عبدالعزيز")*(LG_INST&lt;&gt;"")*(LG_D&lt;=B105)*LG_IDX))=0,'بداية السنة'!$E$7,INDEX(LG_INST,SUMPRODUCT(MAX((LG_E="عبدالعزيز")*(LG_INST&lt;&gt;"")*(LG_D&lt;=B105)*LG_IDX)))),'بداية السنة'!$D$7+SUMIFS(LG_DEBT,LG_E,"عبدالعزيز",LG_D,"&lt;="&amp;B105)-SUMIFS(LG_REP,LG_E,"عبدالعزيز",LG_D,"&lt;="&amp;B105)-SUM(F65:F104),INST_CAP*(N(C105)+N(D105)),N(C105)+N(D105)-N(E105)-N(K105)-NET_FLOOR*N(C105)),0.25))),"")</f>
        <v/>
      </c>
      <c r="G105" s="64">
        <f>IF('ساعات عبدالعزيز'!$M$446=1,IF(41=START_Z,'بداية السنة'!$C$7,N(I104))+N(C105)+N(D105)-N(E105)-N(F105)-N(K105),"")</f>
        <v/>
      </c>
      <c r="H105" s="63">
        <f>IF('ساعات عبدالعزيز'!$M$446=1,N('ساعات عبدالعزيز'!F456),"")</f>
        <v/>
      </c>
      <c r="I105" s="63">
        <f>IF('ساعات عبدالعزيز'!$M$446=1,G105-H105,"")</f>
        <v/>
      </c>
      <c r="J105" s="65">
        <f>IF('ساعات عبدالعزيز'!$M$446=1,MAX(0,'بداية السنة'!$D$7+SUMIFS(LG_DEBT,LG_E,"عبدالعزيز",LG_D,"&lt;="&amp;B105)-SUMIFS(LG_REP,LG_E,"عبدالعزيز",LG_D,"&lt;="&amp;B105)-SUM(F65:F105)),"")</f>
        <v/>
      </c>
      <c r="K105" s="63">
        <f>IF('ساعات عبدالعزيز'!$M$446=1,N('ساعات عبدالعزيز'!G454),"")</f>
        <v/>
      </c>
      <c r="L105" s="62">
        <f>IF(B105="","",MONTH(B105))</f>
        <v/>
      </c>
    </row>
    <row r="106">
      <c r="A106" s="62">
        <f>IF(42&lt;=NW,42,"")</f>
        <v/>
      </c>
      <c r="B106" s="20">
        <f>IF(42&lt;=NW,SAT1+293,"")</f>
        <v/>
      </c>
      <c r="C106" s="63">
        <f>IF('ساعات عبدالعزيز'!$M$457=1,N('ساعات عبدالعزيز'!F466),"")</f>
        <v/>
      </c>
      <c r="D106" s="63">
        <f>IF('ساعات عبدالعزيز'!$M$457=1,N('ساعات عبدالعزيز'!C467),"")</f>
        <v/>
      </c>
      <c r="E106" s="63">
        <f>IF('ساعات عبدالعزيز'!$M$457=1,SUMIFS(ADV_AMT,ADV_E,"عبدالعزيز",ADV_W,42),"")</f>
        <v/>
      </c>
      <c r="F106" s="63">
        <f>IF('ساعات عبدالعزيز'!$M$457=1,IF(N(C106)=0,0,MAX(0,FLOOR(MIN(IF(SUMPRODUCT(MAX((LG_E="عبدالعزيز")*(LG_INST&lt;&gt;"")*(LG_D&lt;=B106)*LG_IDX))=0,'بداية السنة'!$E$7,INDEX(LG_INST,SUMPRODUCT(MAX((LG_E="عبدالعزيز")*(LG_INST&lt;&gt;"")*(LG_D&lt;=B106)*LG_IDX)))),'بداية السنة'!$D$7+SUMIFS(LG_DEBT,LG_E,"عبدالعزيز",LG_D,"&lt;="&amp;B106)-SUMIFS(LG_REP,LG_E,"عبدالعزيز",LG_D,"&lt;="&amp;B106)-SUM(F65:F105),INST_CAP*(N(C106)+N(D106)),N(C106)+N(D106)-N(E106)-N(K106)-NET_FLOOR*N(C106)),0.25))),"")</f>
        <v/>
      </c>
      <c r="G106" s="64">
        <f>IF('ساعات عبدالعزيز'!$M$457=1,IF(42=START_Z,'بداية السنة'!$C$7,N(I105))+N(C106)+N(D106)-N(E106)-N(F106)-N(K106),"")</f>
        <v/>
      </c>
      <c r="H106" s="63">
        <f>IF('ساعات عبدالعزيز'!$M$457=1,N('ساعات عبدالعزيز'!F467),"")</f>
        <v/>
      </c>
      <c r="I106" s="63">
        <f>IF('ساعات عبدالعزيز'!$M$457=1,G106-H106,"")</f>
        <v/>
      </c>
      <c r="J106" s="65">
        <f>IF('ساعات عبدالعزيز'!$M$457=1,MAX(0,'بداية السنة'!$D$7+SUMIFS(LG_DEBT,LG_E,"عبدالعزيز",LG_D,"&lt;="&amp;B106)-SUMIFS(LG_REP,LG_E,"عبدالعزيز",LG_D,"&lt;="&amp;B106)-SUM(F65:F106)),"")</f>
        <v/>
      </c>
      <c r="K106" s="63">
        <f>IF('ساعات عبدالعزيز'!$M$457=1,N('ساعات عبدالعزيز'!G465),"")</f>
        <v/>
      </c>
      <c r="L106" s="62">
        <f>IF(B106="","",MONTH(B106))</f>
        <v/>
      </c>
    </row>
    <row r="107">
      <c r="A107" s="62">
        <f>IF(43&lt;=NW,43,"")</f>
        <v/>
      </c>
      <c r="B107" s="20">
        <f>IF(43&lt;=NW,SAT1+300,"")</f>
        <v/>
      </c>
      <c r="C107" s="63">
        <f>IF('ساعات عبدالعزيز'!$M$468=1,N('ساعات عبدالعزيز'!F477),"")</f>
        <v/>
      </c>
      <c r="D107" s="63">
        <f>IF('ساعات عبدالعزيز'!$M$468=1,N('ساعات عبدالعزيز'!C478),"")</f>
        <v/>
      </c>
      <c r="E107" s="63">
        <f>IF('ساعات عبدالعزيز'!$M$468=1,SUMIFS(ADV_AMT,ADV_E,"عبدالعزيز",ADV_W,43),"")</f>
        <v/>
      </c>
      <c r="F107" s="63">
        <f>IF('ساعات عبدالعزيز'!$M$468=1,IF(N(C107)=0,0,MAX(0,FLOOR(MIN(IF(SUMPRODUCT(MAX((LG_E="عبدالعزيز")*(LG_INST&lt;&gt;"")*(LG_D&lt;=B107)*LG_IDX))=0,'بداية السنة'!$E$7,INDEX(LG_INST,SUMPRODUCT(MAX((LG_E="عبدالعزيز")*(LG_INST&lt;&gt;"")*(LG_D&lt;=B107)*LG_IDX)))),'بداية السنة'!$D$7+SUMIFS(LG_DEBT,LG_E,"عبدالعزيز",LG_D,"&lt;="&amp;B107)-SUMIFS(LG_REP,LG_E,"عبدالعزيز",LG_D,"&lt;="&amp;B107)-SUM(F65:F106),INST_CAP*(N(C107)+N(D107)),N(C107)+N(D107)-N(E107)-N(K107)-NET_FLOOR*N(C107)),0.25))),"")</f>
        <v/>
      </c>
      <c r="G107" s="64">
        <f>IF('ساعات عبدالعزيز'!$M$468=1,IF(43=START_Z,'بداية السنة'!$C$7,N(I106))+N(C107)+N(D107)-N(E107)-N(F107)-N(K107),"")</f>
        <v/>
      </c>
      <c r="H107" s="63">
        <f>IF('ساعات عبدالعزيز'!$M$468=1,N('ساعات عبدالعزيز'!F478),"")</f>
        <v/>
      </c>
      <c r="I107" s="63">
        <f>IF('ساعات عبدالعزيز'!$M$468=1,G107-H107,"")</f>
        <v/>
      </c>
      <c r="J107" s="65">
        <f>IF('ساعات عبدالعزيز'!$M$468=1,MAX(0,'بداية السنة'!$D$7+SUMIFS(LG_DEBT,LG_E,"عبدالعزيز",LG_D,"&lt;="&amp;B107)-SUMIFS(LG_REP,LG_E,"عبدالعزيز",LG_D,"&lt;="&amp;B107)-SUM(F65:F107)),"")</f>
        <v/>
      </c>
      <c r="K107" s="63">
        <f>IF('ساعات عبدالعزيز'!$M$468=1,N('ساعات عبدالعزيز'!G476),"")</f>
        <v/>
      </c>
      <c r="L107" s="62">
        <f>IF(B107="","",MONTH(B107))</f>
        <v/>
      </c>
    </row>
    <row r="108">
      <c r="A108" s="62">
        <f>IF(44&lt;=NW,44,"")</f>
        <v/>
      </c>
      <c r="B108" s="20">
        <f>IF(44&lt;=NW,SAT1+307,"")</f>
        <v/>
      </c>
      <c r="C108" s="63">
        <f>IF('ساعات عبدالعزيز'!$M$479=1,N('ساعات عبدالعزيز'!F488),"")</f>
        <v/>
      </c>
      <c r="D108" s="63">
        <f>IF('ساعات عبدالعزيز'!$M$479=1,N('ساعات عبدالعزيز'!C489),"")</f>
        <v/>
      </c>
      <c r="E108" s="63">
        <f>IF('ساعات عبدالعزيز'!$M$479=1,SUMIFS(ADV_AMT,ADV_E,"عبدالعزيز",ADV_W,44),"")</f>
        <v/>
      </c>
      <c r="F108" s="63">
        <f>IF('ساعات عبدالعزيز'!$M$479=1,IF(N(C108)=0,0,MAX(0,FLOOR(MIN(IF(SUMPRODUCT(MAX((LG_E="عبدالعزيز")*(LG_INST&lt;&gt;"")*(LG_D&lt;=B108)*LG_IDX))=0,'بداية السنة'!$E$7,INDEX(LG_INST,SUMPRODUCT(MAX((LG_E="عبدالعزيز")*(LG_INST&lt;&gt;"")*(LG_D&lt;=B108)*LG_IDX)))),'بداية السنة'!$D$7+SUMIFS(LG_DEBT,LG_E,"عبدالعزيز",LG_D,"&lt;="&amp;B108)-SUMIFS(LG_REP,LG_E,"عبدالعزيز",LG_D,"&lt;="&amp;B108)-SUM(F65:F107),INST_CAP*(N(C108)+N(D108)),N(C108)+N(D108)-N(E108)-N(K108)-NET_FLOOR*N(C108)),0.25))),"")</f>
        <v/>
      </c>
      <c r="G108" s="64">
        <f>IF('ساعات عبدالعزيز'!$M$479=1,IF(44=START_Z,'بداية السنة'!$C$7,N(I107))+N(C108)+N(D108)-N(E108)-N(F108)-N(K108),"")</f>
        <v/>
      </c>
      <c r="H108" s="63">
        <f>IF('ساعات عبدالعزيز'!$M$479=1,N('ساعات عبدالعزيز'!F489),"")</f>
        <v/>
      </c>
      <c r="I108" s="63">
        <f>IF('ساعات عبدالعزيز'!$M$479=1,G108-H108,"")</f>
        <v/>
      </c>
      <c r="J108" s="65">
        <f>IF('ساعات عبدالعزيز'!$M$479=1,MAX(0,'بداية السنة'!$D$7+SUMIFS(LG_DEBT,LG_E,"عبدالعزيز",LG_D,"&lt;="&amp;B108)-SUMIFS(LG_REP,LG_E,"عبدالعزيز",LG_D,"&lt;="&amp;B108)-SUM(F65:F108)),"")</f>
        <v/>
      </c>
      <c r="K108" s="63">
        <f>IF('ساعات عبدالعزيز'!$M$479=1,N('ساعات عبدالعزيز'!G487),"")</f>
        <v/>
      </c>
      <c r="L108" s="62">
        <f>IF(B108="","",MONTH(B108))</f>
        <v/>
      </c>
    </row>
    <row r="109">
      <c r="A109" s="62">
        <f>IF(45&lt;=NW,45,"")</f>
        <v/>
      </c>
      <c r="B109" s="20">
        <f>IF(45&lt;=NW,SAT1+314,"")</f>
        <v/>
      </c>
      <c r="C109" s="63">
        <f>IF('ساعات عبدالعزيز'!$M$490=1,N('ساعات عبدالعزيز'!F499),"")</f>
        <v/>
      </c>
      <c r="D109" s="63">
        <f>IF('ساعات عبدالعزيز'!$M$490=1,N('ساعات عبدالعزيز'!C500),"")</f>
        <v/>
      </c>
      <c r="E109" s="63">
        <f>IF('ساعات عبدالعزيز'!$M$490=1,SUMIFS(ADV_AMT,ADV_E,"عبدالعزيز",ADV_W,45),"")</f>
        <v/>
      </c>
      <c r="F109" s="63">
        <f>IF('ساعات عبدالعزيز'!$M$490=1,IF(N(C109)=0,0,MAX(0,FLOOR(MIN(IF(SUMPRODUCT(MAX((LG_E="عبدالعزيز")*(LG_INST&lt;&gt;"")*(LG_D&lt;=B109)*LG_IDX))=0,'بداية السنة'!$E$7,INDEX(LG_INST,SUMPRODUCT(MAX((LG_E="عبدالعزيز")*(LG_INST&lt;&gt;"")*(LG_D&lt;=B109)*LG_IDX)))),'بداية السنة'!$D$7+SUMIFS(LG_DEBT,LG_E,"عبدالعزيز",LG_D,"&lt;="&amp;B109)-SUMIFS(LG_REP,LG_E,"عبدالعزيز",LG_D,"&lt;="&amp;B109)-SUM(F65:F108),INST_CAP*(N(C109)+N(D109)),N(C109)+N(D109)-N(E109)-N(K109)-NET_FLOOR*N(C109)),0.25))),"")</f>
        <v/>
      </c>
      <c r="G109" s="64">
        <f>IF('ساعات عبدالعزيز'!$M$490=1,IF(45=START_Z,'بداية السنة'!$C$7,N(I108))+N(C109)+N(D109)-N(E109)-N(F109)-N(K109),"")</f>
        <v/>
      </c>
      <c r="H109" s="63">
        <f>IF('ساعات عبدالعزيز'!$M$490=1,N('ساعات عبدالعزيز'!F500),"")</f>
        <v/>
      </c>
      <c r="I109" s="63">
        <f>IF('ساعات عبدالعزيز'!$M$490=1,G109-H109,"")</f>
        <v/>
      </c>
      <c r="J109" s="65">
        <f>IF('ساعات عبدالعزيز'!$M$490=1,MAX(0,'بداية السنة'!$D$7+SUMIFS(LG_DEBT,LG_E,"عبدالعزيز",LG_D,"&lt;="&amp;B109)-SUMIFS(LG_REP,LG_E,"عبدالعزيز",LG_D,"&lt;="&amp;B109)-SUM(F65:F109)),"")</f>
        <v/>
      </c>
      <c r="K109" s="63">
        <f>IF('ساعات عبدالعزيز'!$M$490=1,N('ساعات عبدالعزيز'!G498),"")</f>
        <v/>
      </c>
      <c r="L109" s="62">
        <f>IF(B109="","",MONTH(B109))</f>
        <v/>
      </c>
    </row>
    <row r="110">
      <c r="A110" s="62">
        <f>IF(46&lt;=NW,46,"")</f>
        <v/>
      </c>
      <c r="B110" s="20">
        <f>IF(46&lt;=NW,SAT1+321,"")</f>
        <v/>
      </c>
      <c r="C110" s="63">
        <f>IF('ساعات عبدالعزيز'!$M$501=1,N('ساعات عبدالعزيز'!F510),"")</f>
        <v/>
      </c>
      <c r="D110" s="63">
        <f>IF('ساعات عبدالعزيز'!$M$501=1,N('ساعات عبدالعزيز'!C511),"")</f>
        <v/>
      </c>
      <c r="E110" s="63">
        <f>IF('ساعات عبدالعزيز'!$M$501=1,SUMIFS(ADV_AMT,ADV_E,"عبدالعزيز",ADV_W,46),"")</f>
        <v/>
      </c>
      <c r="F110" s="63">
        <f>IF('ساعات عبدالعزيز'!$M$501=1,IF(N(C110)=0,0,MAX(0,FLOOR(MIN(IF(SUMPRODUCT(MAX((LG_E="عبدالعزيز")*(LG_INST&lt;&gt;"")*(LG_D&lt;=B110)*LG_IDX))=0,'بداية السنة'!$E$7,INDEX(LG_INST,SUMPRODUCT(MAX((LG_E="عبدالعزيز")*(LG_INST&lt;&gt;"")*(LG_D&lt;=B110)*LG_IDX)))),'بداية السنة'!$D$7+SUMIFS(LG_DEBT,LG_E,"عبدالعزيز",LG_D,"&lt;="&amp;B110)-SUMIFS(LG_REP,LG_E,"عبدالعزيز",LG_D,"&lt;="&amp;B110)-SUM(F65:F109),INST_CAP*(N(C110)+N(D110)),N(C110)+N(D110)-N(E110)-N(K110)-NET_FLOOR*N(C110)),0.25))),"")</f>
        <v/>
      </c>
      <c r="G110" s="64">
        <f>IF('ساعات عبدالعزيز'!$M$501=1,IF(46=START_Z,'بداية السنة'!$C$7,N(I109))+N(C110)+N(D110)-N(E110)-N(F110)-N(K110),"")</f>
        <v/>
      </c>
      <c r="H110" s="63">
        <f>IF('ساعات عبدالعزيز'!$M$501=1,N('ساعات عبدالعزيز'!F511),"")</f>
        <v/>
      </c>
      <c r="I110" s="63">
        <f>IF('ساعات عبدالعزيز'!$M$501=1,G110-H110,"")</f>
        <v/>
      </c>
      <c r="J110" s="65">
        <f>IF('ساعات عبدالعزيز'!$M$501=1,MAX(0,'بداية السنة'!$D$7+SUMIFS(LG_DEBT,LG_E,"عبدالعزيز",LG_D,"&lt;="&amp;B110)-SUMIFS(LG_REP,LG_E,"عبدالعزيز",LG_D,"&lt;="&amp;B110)-SUM(F65:F110)),"")</f>
        <v/>
      </c>
      <c r="K110" s="63">
        <f>IF('ساعات عبدالعزيز'!$M$501=1,N('ساعات عبدالعزيز'!G509),"")</f>
        <v/>
      </c>
      <c r="L110" s="62">
        <f>IF(B110="","",MONTH(B110))</f>
        <v/>
      </c>
    </row>
    <row r="111">
      <c r="A111" s="62">
        <f>IF(47&lt;=NW,47,"")</f>
        <v/>
      </c>
      <c r="B111" s="20">
        <f>IF(47&lt;=NW,SAT1+328,"")</f>
        <v/>
      </c>
      <c r="C111" s="63">
        <f>IF('ساعات عبدالعزيز'!$M$512=1,N('ساعات عبدالعزيز'!F521),"")</f>
        <v/>
      </c>
      <c r="D111" s="63">
        <f>IF('ساعات عبدالعزيز'!$M$512=1,N('ساعات عبدالعزيز'!C522),"")</f>
        <v/>
      </c>
      <c r="E111" s="63">
        <f>IF('ساعات عبدالعزيز'!$M$512=1,SUMIFS(ADV_AMT,ADV_E,"عبدالعزيز",ADV_W,47),"")</f>
        <v/>
      </c>
      <c r="F111" s="63">
        <f>IF('ساعات عبدالعزيز'!$M$512=1,IF(N(C111)=0,0,MAX(0,FLOOR(MIN(IF(SUMPRODUCT(MAX((LG_E="عبدالعزيز")*(LG_INST&lt;&gt;"")*(LG_D&lt;=B111)*LG_IDX))=0,'بداية السنة'!$E$7,INDEX(LG_INST,SUMPRODUCT(MAX((LG_E="عبدالعزيز")*(LG_INST&lt;&gt;"")*(LG_D&lt;=B111)*LG_IDX)))),'بداية السنة'!$D$7+SUMIFS(LG_DEBT,LG_E,"عبدالعزيز",LG_D,"&lt;="&amp;B111)-SUMIFS(LG_REP,LG_E,"عبدالعزيز",LG_D,"&lt;="&amp;B111)-SUM(F65:F110),INST_CAP*(N(C111)+N(D111)),N(C111)+N(D111)-N(E111)-N(K111)-NET_FLOOR*N(C111)),0.25))),"")</f>
        <v/>
      </c>
      <c r="G111" s="64">
        <f>IF('ساعات عبدالعزيز'!$M$512=1,IF(47=START_Z,'بداية السنة'!$C$7,N(I110))+N(C111)+N(D111)-N(E111)-N(F111)-N(K111),"")</f>
        <v/>
      </c>
      <c r="H111" s="63">
        <f>IF('ساعات عبدالعزيز'!$M$512=1,N('ساعات عبدالعزيز'!F522),"")</f>
        <v/>
      </c>
      <c r="I111" s="63">
        <f>IF('ساعات عبدالعزيز'!$M$512=1,G111-H111,"")</f>
        <v/>
      </c>
      <c r="J111" s="65">
        <f>IF('ساعات عبدالعزيز'!$M$512=1,MAX(0,'بداية السنة'!$D$7+SUMIFS(LG_DEBT,LG_E,"عبدالعزيز",LG_D,"&lt;="&amp;B111)-SUMIFS(LG_REP,LG_E,"عبدالعزيز",LG_D,"&lt;="&amp;B111)-SUM(F65:F111)),"")</f>
        <v/>
      </c>
      <c r="K111" s="63">
        <f>IF('ساعات عبدالعزيز'!$M$512=1,N('ساعات عبدالعزيز'!G520),"")</f>
        <v/>
      </c>
      <c r="L111" s="62">
        <f>IF(B111="","",MONTH(B111))</f>
        <v/>
      </c>
    </row>
    <row r="112">
      <c r="A112" s="62">
        <f>IF(48&lt;=NW,48,"")</f>
        <v/>
      </c>
      <c r="B112" s="20">
        <f>IF(48&lt;=NW,SAT1+335,"")</f>
        <v/>
      </c>
      <c r="C112" s="63">
        <f>IF('ساعات عبدالعزيز'!$M$523=1,N('ساعات عبدالعزيز'!F532),"")</f>
        <v/>
      </c>
      <c r="D112" s="63">
        <f>IF('ساعات عبدالعزيز'!$M$523=1,N('ساعات عبدالعزيز'!C533),"")</f>
        <v/>
      </c>
      <c r="E112" s="63">
        <f>IF('ساعات عبدالعزيز'!$M$523=1,SUMIFS(ADV_AMT,ADV_E,"عبدالعزيز",ADV_W,48),"")</f>
        <v/>
      </c>
      <c r="F112" s="63">
        <f>IF('ساعات عبدالعزيز'!$M$523=1,IF(N(C112)=0,0,MAX(0,FLOOR(MIN(IF(SUMPRODUCT(MAX((LG_E="عبدالعزيز")*(LG_INST&lt;&gt;"")*(LG_D&lt;=B112)*LG_IDX))=0,'بداية السنة'!$E$7,INDEX(LG_INST,SUMPRODUCT(MAX((LG_E="عبدالعزيز")*(LG_INST&lt;&gt;"")*(LG_D&lt;=B112)*LG_IDX)))),'بداية السنة'!$D$7+SUMIFS(LG_DEBT,LG_E,"عبدالعزيز",LG_D,"&lt;="&amp;B112)-SUMIFS(LG_REP,LG_E,"عبدالعزيز",LG_D,"&lt;="&amp;B112)-SUM(F65:F111),INST_CAP*(N(C112)+N(D112)),N(C112)+N(D112)-N(E112)-N(K112)-NET_FLOOR*N(C112)),0.25))),"")</f>
        <v/>
      </c>
      <c r="G112" s="64">
        <f>IF('ساعات عبدالعزيز'!$M$523=1,IF(48=START_Z,'بداية السنة'!$C$7,N(I111))+N(C112)+N(D112)-N(E112)-N(F112)-N(K112),"")</f>
        <v/>
      </c>
      <c r="H112" s="63">
        <f>IF('ساعات عبدالعزيز'!$M$523=1,N('ساعات عبدالعزيز'!F533),"")</f>
        <v/>
      </c>
      <c r="I112" s="63">
        <f>IF('ساعات عبدالعزيز'!$M$523=1,G112-H112,"")</f>
        <v/>
      </c>
      <c r="J112" s="65">
        <f>IF('ساعات عبدالعزيز'!$M$523=1,MAX(0,'بداية السنة'!$D$7+SUMIFS(LG_DEBT,LG_E,"عبدالعزيز",LG_D,"&lt;="&amp;B112)-SUMIFS(LG_REP,LG_E,"عبدالعزيز",LG_D,"&lt;="&amp;B112)-SUM(F65:F112)),"")</f>
        <v/>
      </c>
      <c r="K112" s="63">
        <f>IF('ساعات عبدالعزيز'!$M$523=1,N('ساعات عبدالعزيز'!G531),"")</f>
        <v/>
      </c>
      <c r="L112" s="62">
        <f>IF(B112="","",MONTH(B112))</f>
        <v/>
      </c>
    </row>
    <row r="113">
      <c r="A113" s="62">
        <f>IF(49&lt;=NW,49,"")</f>
        <v/>
      </c>
      <c r="B113" s="20">
        <f>IF(49&lt;=NW,SAT1+342,"")</f>
        <v/>
      </c>
      <c r="C113" s="63">
        <f>IF('ساعات عبدالعزيز'!$M$534=1,N('ساعات عبدالعزيز'!F543),"")</f>
        <v/>
      </c>
      <c r="D113" s="63">
        <f>IF('ساعات عبدالعزيز'!$M$534=1,N('ساعات عبدالعزيز'!C544),"")</f>
        <v/>
      </c>
      <c r="E113" s="63">
        <f>IF('ساعات عبدالعزيز'!$M$534=1,SUMIFS(ADV_AMT,ADV_E,"عبدالعزيز",ADV_W,49),"")</f>
        <v/>
      </c>
      <c r="F113" s="63">
        <f>IF('ساعات عبدالعزيز'!$M$534=1,IF(N(C113)=0,0,MAX(0,FLOOR(MIN(IF(SUMPRODUCT(MAX((LG_E="عبدالعزيز")*(LG_INST&lt;&gt;"")*(LG_D&lt;=B113)*LG_IDX))=0,'بداية السنة'!$E$7,INDEX(LG_INST,SUMPRODUCT(MAX((LG_E="عبدالعزيز")*(LG_INST&lt;&gt;"")*(LG_D&lt;=B113)*LG_IDX)))),'بداية السنة'!$D$7+SUMIFS(LG_DEBT,LG_E,"عبدالعزيز",LG_D,"&lt;="&amp;B113)-SUMIFS(LG_REP,LG_E,"عبدالعزيز",LG_D,"&lt;="&amp;B113)-SUM(F65:F112),INST_CAP*(N(C113)+N(D113)),N(C113)+N(D113)-N(E113)-N(K113)-NET_FLOOR*N(C113)),0.25))),"")</f>
        <v/>
      </c>
      <c r="G113" s="64">
        <f>IF('ساعات عبدالعزيز'!$M$534=1,IF(49=START_Z,'بداية السنة'!$C$7,N(I112))+N(C113)+N(D113)-N(E113)-N(F113)-N(K113),"")</f>
        <v/>
      </c>
      <c r="H113" s="63">
        <f>IF('ساعات عبدالعزيز'!$M$534=1,N('ساعات عبدالعزيز'!F544),"")</f>
        <v/>
      </c>
      <c r="I113" s="63">
        <f>IF('ساعات عبدالعزيز'!$M$534=1,G113-H113,"")</f>
        <v/>
      </c>
      <c r="J113" s="65">
        <f>IF('ساعات عبدالعزيز'!$M$534=1,MAX(0,'بداية السنة'!$D$7+SUMIFS(LG_DEBT,LG_E,"عبدالعزيز",LG_D,"&lt;="&amp;B113)-SUMIFS(LG_REP,LG_E,"عبدالعزيز",LG_D,"&lt;="&amp;B113)-SUM(F65:F113)),"")</f>
        <v/>
      </c>
      <c r="K113" s="63">
        <f>IF('ساعات عبدالعزيز'!$M$534=1,N('ساعات عبدالعزيز'!G542),"")</f>
        <v/>
      </c>
      <c r="L113" s="62">
        <f>IF(B113="","",MONTH(B113))</f>
        <v/>
      </c>
    </row>
    <row r="114">
      <c r="A114" s="62">
        <f>IF(50&lt;=NW,50,"")</f>
        <v/>
      </c>
      <c r="B114" s="20">
        <f>IF(50&lt;=NW,SAT1+349,"")</f>
        <v/>
      </c>
      <c r="C114" s="63">
        <f>IF('ساعات عبدالعزيز'!$M$545=1,N('ساعات عبدالعزيز'!F554),"")</f>
        <v/>
      </c>
      <c r="D114" s="63">
        <f>IF('ساعات عبدالعزيز'!$M$545=1,N('ساعات عبدالعزيز'!C555),"")</f>
        <v/>
      </c>
      <c r="E114" s="63">
        <f>IF('ساعات عبدالعزيز'!$M$545=1,SUMIFS(ADV_AMT,ADV_E,"عبدالعزيز",ADV_W,50),"")</f>
        <v/>
      </c>
      <c r="F114" s="63">
        <f>IF('ساعات عبدالعزيز'!$M$545=1,IF(N(C114)=0,0,MAX(0,FLOOR(MIN(IF(SUMPRODUCT(MAX((LG_E="عبدالعزيز")*(LG_INST&lt;&gt;"")*(LG_D&lt;=B114)*LG_IDX))=0,'بداية السنة'!$E$7,INDEX(LG_INST,SUMPRODUCT(MAX((LG_E="عبدالعزيز")*(LG_INST&lt;&gt;"")*(LG_D&lt;=B114)*LG_IDX)))),'بداية السنة'!$D$7+SUMIFS(LG_DEBT,LG_E,"عبدالعزيز",LG_D,"&lt;="&amp;B114)-SUMIFS(LG_REP,LG_E,"عبدالعزيز",LG_D,"&lt;="&amp;B114)-SUM(F65:F113),INST_CAP*(N(C114)+N(D114)),N(C114)+N(D114)-N(E114)-N(K114)-NET_FLOOR*N(C114)),0.25))),"")</f>
        <v/>
      </c>
      <c r="G114" s="64">
        <f>IF('ساعات عبدالعزيز'!$M$545=1,IF(50=START_Z,'بداية السنة'!$C$7,N(I113))+N(C114)+N(D114)-N(E114)-N(F114)-N(K114),"")</f>
        <v/>
      </c>
      <c r="H114" s="63">
        <f>IF('ساعات عبدالعزيز'!$M$545=1,N('ساعات عبدالعزيز'!F555),"")</f>
        <v/>
      </c>
      <c r="I114" s="63">
        <f>IF('ساعات عبدالعزيز'!$M$545=1,G114-H114,"")</f>
        <v/>
      </c>
      <c r="J114" s="65">
        <f>IF('ساعات عبدالعزيز'!$M$545=1,MAX(0,'بداية السنة'!$D$7+SUMIFS(LG_DEBT,LG_E,"عبدالعزيز",LG_D,"&lt;="&amp;B114)-SUMIFS(LG_REP,LG_E,"عبدالعزيز",LG_D,"&lt;="&amp;B114)-SUM(F65:F114)),"")</f>
        <v/>
      </c>
      <c r="K114" s="63">
        <f>IF('ساعات عبدالعزيز'!$M$545=1,N('ساعات عبدالعزيز'!G553),"")</f>
        <v/>
      </c>
      <c r="L114" s="62">
        <f>IF(B114="","",MONTH(B114))</f>
        <v/>
      </c>
    </row>
    <row r="115">
      <c r="A115" s="62">
        <f>IF(51&lt;=NW,51,"")</f>
        <v/>
      </c>
      <c r="B115" s="20">
        <f>IF(51&lt;=NW,SAT1+356,"")</f>
        <v/>
      </c>
      <c r="C115" s="63">
        <f>IF('ساعات عبدالعزيز'!$M$556=1,N('ساعات عبدالعزيز'!F565),"")</f>
        <v/>
      </c>
      <c r="D115" s="63">
        <f>IF('ساعات عبدالعزيز'!$M$556=1,N('ساعات عبدالعزيز'!C566),"")</f>
        <v/>
      </c>
      <c r="E115" s="63">
        <f>IF('ساعات عبدالعزيز'!$M$556=1,SUMIFS(ADV_AMT,ADV_E,"عبدالعزيز",ADV_W,51),"")</f>
        <v/>
      </c>
      <c r="F115" s="63">
        <f>IF('ساعات عبدالعزيز'!$M$556=1,IF(N(C115)=0,0,MAX(0,FLOOR(MIN(IF(SUMPRODUCT(MAX((LG_E="عبدالعزيز")*(LG_INST&lt;&gt;"")*(LG_D&lt;=B115)*LG_IDX))=0,'بداية السنة'!$E$7,INDEX(LG_INST,SUMPRODUCT(MAX((LG_E="عبدالعزيز")*(LG_INST&lt;&gt;"")*(LG_D&lt;=B115)*LG_IDX)))),'بداية السنة'!$D$7+SUMIFS(LG_DEBT,LG_E,"عبدالعزيز",LG_D,"&lt;="&amp;B115)-SUMIFS(LG_REP,LG_E,"عبدالعزيز",LG_D,"&lt;="&amp;B115)-SUM(F65:F114),INST_CAP*(N(C115)+N(D115)),N(C115)+N(D115)-N(E115)-N(K115)-NET_FLOOR*N(C115)),0.25))),"")</f>
        <v/>
      </c>
      <c r="G115" s="64">
        <f>IF('ساعات عبدالعزيز'!$M$556=1,IF(51=START_Z,'بداية السنة'!$C$7,N(I114))+N(C115)+N(D115)-N(E115)-N(F115)-N(K115),"")</f>
        <v/>
      </c>
      <c r="H115" s="63">
        <f>IF('ساعات عبدالعزيز'!$M$556=1,N('ساعات عبدالعزيز'!F566),"")</f>
        <v/>
      </c>
      <c r="I115" s="63">
        <f>IF('ساعات عبدالعزيز'!$M$556=1,G115-H115,"")</f>
        <v/>
      </c>
      <c r="J115" s="65">
        <f>IF('ساعات عبدالعزيز'!$M$556=1,MAX(0,'بداية السنة'!$D$7+SUMIFS(LG_DEBT,LG_E,"عبدالعزيز",LG_D,"&lt;="&amp;B115)-SUMIFS(LG_REP,LG_E,"عبدالعزيز",LG_D,"&lt;="&amp;B115)-SUM(F65:F115)),"")</f>
        <v/>
      </c>
      <c r="K115" s="63">
        <f>IF('ساعات عبدالعزيز'!$M$556=1,N('ساعات عبدالعزيز'!G564),"")</f>
        <v/>
      </c>
      <c r="L115" s="62">
        <f>IF(B115="","",MONTH(B115))</f>
        <v/>
      </c>
    </row>
    <row r="116">
      <c r="A116" s="62">
        <f>IF(52&lt;=NW,52,"")</f>
        <v/>
      </c>
      <c r="B116" s="20">
        <f>IF(52&lt;=NW,SAT1+363,"")</f>
        <v/>
      </c>
      <c r="C116" s="63">
        <f>IF('ساعات عبدالعزيز'!$M$567=1,N('ساعات عبدالعزيز'!F576),"")</f>
        <v/>
      </c>
      <c r="D116" s="63">
        <f>IF('ساعات عبدالعزيز'!$M$567=1,N('ساعات عبدالعزيز'!C577),"")</f>
        <v/>
      </c>
      <c r="E116" s="63">
        <f>IF('ساعات عبدالعزيز'!$M$567=1,SUMIFS(ADV_AMT,ADV_E,"عبدالعزيز",ADV_W,52),"")</f>
        <v/>
      </c>
      <c r="F116" s="63">
        <f>IF('ساعات عبدالعزيز'!$M$567=1,IF(N(C116)=0,0,MAX(0,FLOOR(MIN(IF(SUMPRODUCT(MAX((LG_E="عبدالعزيز")*(LG_INST&lt;&gt;"")*(LG_D&lt;=B116)*LG_IDX))=0,'بداية السنة'!$E$7,INDEX(LG_INST,SUMPRODUCT(MAX((LG_E="عبدالعزيز")*(LG_INST&lt;&gt;"")*(LG_D&lt;=B116)*LG_IDX)))),'بداية السنة'!$D$7+SUMIFS(LG_DEBT,LG_E,"عبدالعزيز",LG_D,"&lt;="&amp;B116)-SUMIFS(LG_REP,LG_E,"عبدالعزيز",LG_D,"&lt;="&amp;B116)-SUM(F65:F115),INST_CAP*(N(C116)+N(D116)),N(C116)+N(D116)-N(E116)-N(K116)-NET_FLOOR*N(C116)),0.25))),"")</f>
        <v/>
      </c>
      <c r="G116" s="64">
        <f>IF('ساعات عبدالعزيز'!$M$567=1,IF(52=START_Z,'بداية السنة'!$C$7,N(I115))+N(C116)+N(D116)-N(E116)-N(F116)-N(K116),"")</f>
        <v/>
      </c>
      <c r="H116" s="63">
        <f>IF('ساعات عبدالعزيز'!$M$567=1,N('ساعات عبدالعزيز'!F577),"")</f>
        <v/>
      </c>
      <c r="I116" s="63">
        <f>IF('ساعات عبدالعزيز'!$M$567=1,G116-H116,"")</f>
        <v/>
      </c>
      <c r="J116" s="65">
        <f>IF('ساعات عبدالعزيز'!$M$567=1,MAX(0,'بداية السنة'!$D$7+SUMIFS(LG_DEBT,LG_E,"عبدالعزيز",LG_D,"&lt;="&amp;B116)-SUMIFS(LG_REP,LG_E,"عبدالعزيز",LG_D,"&lt;="&amp;B116)-SUM(F65:F116)),"")</f>
        <v/>
      </c>
      <c r="K116" s="63">
        <f>IF('ساعات عبدالعزيز'!$M$567=1,N('ساعات عبدالعزيز'!G575),"")</f>
        <v/>
      </c>
      <c r="L116" s="62">
        <f>IF(B116="","",MONTH(B116))</f>
        <v/>
      </c>
    </row>
    <row r="117">
      <c r="A117" s="62">
        <f>IF(53&lt;=NW,53,"")</f>
        <v/>
      </c>
      <c r="B117" s="20">
        <f>IF(53&lt;=NW,SAT1+370,"")</f>
        <v/>
      </c>
      <c r="C117" s="63">
        <f>IF('ساعات عبدالعزيز'!$M$578=1,N('ساعات عبدالعزيز'!F587),"")</f>
        <v/>
      </c>
      <c r="D117" s="63">
        <f>IF('ساعات عبدالعزيز'!$M$578=1,N('ساعات عبدالعزيز'!C588),"")</f>
        <v/>
      </c>
      <c r="E117" s="63">
        <f>IF('ساعات عبدالعزيز'!$M$578=1,SUMIFS(ADV_AMT,ADV_E,"عبدالعزيز",ADV_W,53),"")</f>
        <v/>
      </c>
      <c r="F117" s="63">
        <f>IF('ساعات عبدالعزيز'!$M$578=1,IF(N(C117)=0,0,MAX(0,FLOOR(MIN(IF(SUMPRODUCT(MAX((LG_E="عبدالعزيز")*(LG_INST&lt;&gt;"")*(LG_D&lt;=B117)*LG_IDX))=0,'بداية السنة'!$E$7,INDEX(LG_INST,SUMPRODUCT(MAX((LG_E="عبدالعزيز")*(LG_INST&lt;&gt;"")*(LG_D&lt;=B117)*LG_IDX)))),'بداية السنة'!$D$7+SUMIFS(LG_DEBT,LG_E,"عبدالعزيز",LG_D,"&lt;="&amp;B117)-SUMIFS(LG_REP,LG_E,"عبدالعزيز",LG_D,"&lt;="&amp;B117)-SUM(F65:F116),INST_CAP*(N(C117)+N(D117)),N(C117)+N(D117)-N(E117)-N(K117)-NET_FLOOR*N(C117)),0.25))),"")</f>
        <v/>
      </c>
      <c r="G117" s="64">
        <f>IF('ساعات عبدالعزيز'!$M$578=1,IF(53=START_Z,'بداية السنة'!$C$7,N(I116))+N(C117)+N(D117)-N(E117)-N(F117)-N(K117),"")</f>
        <v/>
      </c>
      <c r="H117" s="63">
        <f>IF('ساعات عبدالعزيز'!$M$578=1,N('ساعات عبدالعزيز'!F588),"")</f>
        <v/>
      </c>
      <c r="I117" s="63">
        <f>IF('ساعات عبدالعزيز'!$M$578=1,G117-H117,"")</f>
        <v/>
      </c>
      <c r="J117" s="65">
        <f>IF('ساعات عبدالعزيز'!$M$578=1,MAX(0,'بداية السنة'!$D$7+SUMIFS(LG_DEBT,LG_E,"عبدالعزيز",LG_D,"&lt;="&amp;B117)-SUMIFS(LG_REP,LG_E,"عبدالعزيز",LG_D,"&lt;="&amp;B117)-SUM(F65:F117)),"")</f>
        <v/>
      </c>
      <c r="K117" s="63">
        <f>IF('ساعات عبدالعزيز'!$M$578=1,N('ساعات عبدالعزيز'!G586),"")</f>
        <v/>
      </c>
      <c r="L117" s="62">
        <f>IF(B117="","",MONTH(B117))</f>
        <v/>
      </c>
    </row>
    <row r="118">
      <c r="A118" s="67" t="inlineStr">
        <is>
          <t>مجموع السنة</t>
        </is>
      </c>
      <c r="B118" s="67" t="n"/>
      <c r="C118" s="67">
        <f>SUM(C65:C117)</f>
        <v/>
      </c>
      <c r="D118" s="67">
        <f>SUM(D65:D117)</f>
        <v/>
      </c>
      <c r="E118" s="67">
        <f>SUM(E65:E117)</f>
        <v/>
      </c>
      <c r="F118" s="67">
        <f>SUM(F65:F117)</f>
        <v/>
      </c>
      <c r="G118" s="67">
        <f>SUM(G65:G117)</f>
        <v/>
      </c>
      <c r="H118" s="67">
        <f>SUM(H65:H117)</f>
        <v/>
      </c>
      <c r="I118" s="67" t="n"/>
      <c r="J118" s="67" t="n"/>
      <c r="K118" s="67">
        <f>SUM(K65:K117)</f>
        <v/>
      </c>
      <c r="L118" s="6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A2:L2"/>
    <mergeCell ref="A60:B60"/>
    <mergeCell ref="A63:L63"/>
    <mergeCell ref="A1:L1"/>
    <mergeCell ref="A5:L5"/>
    <mergeCell ref="A118:B118"/>
    <mergeCell ref="A3:L3"/>
  </mergeCells>
  <conditionalFormatting sqref="A7:L59">
    <cfRule type="expression" priority="1" dxfId="3">
      <formula>$A7=WK</formula>
    </cfRule>
    <cfRule type="expression" priority="2" dxfId="2">
      <formula>AND($A7&lt;&gt;"",N($H7)&gt;0)</formula>
    </cfRule>
  </conditionalFormatting>
  <conditionalFormatting sqref="A65:L117">
    <cfRule type="expression" priority="3" dxfId="3">
      <formula>$A65=WK</formula>
    </cfRule>
    <cfRule type="expression" priority="4" dxfId="2">
      <formula>AND($A65&lt;&gt;"",N($H65)&gt;0)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6" customWidth="1" min="4" max="4"/>
    <col width="16" customWidth="1" min="5" max="5"/>
    <col width="14" customWidth="1" min="6" max="6"/>
    <col width="30" customWidth="1" min="7" max="7"/>
  </cols>
  <sheetData>
    <row r="1" ht="32" customHeight="1">
      <c r="A1" s="42" t="inlineStr">
        <is>
          <t>بداية ونهاية السنة — النقل الوحيد اليدوي: مرة بالسنة</t>
        </is>
      </c>
    </row>
    <row r="2" ht="22" customHeight="1">
      <c r="A2" s="43">
        <f>"سنة "&amp;YR&amp;"   (السنة بتنختار من ورقة التسوية)"</f>
        <v/>
      </c>
    </row>
    <row r="4">
      <c r="A4" s="70" t="inlineStr">
        <is>
          <t>بداية السنة — من «نهاية السنة» بملف السنة الماضية (أو الوضع يوم بدأت تستعمل الملف)</t>
        </is>
      </c>
    </row>
    <row r="5" ht="34" customHeight="1">
      <c r="A5" s="44" t="inlineStr">
        <is>
          <t>الموظف</t>
        </is>
      </c>
      <c r="B5" s="44" t="inlineStr">
        <is>
          <t>أسبوع البداية</t>
        </is>
      </c>
      <c r="C5" s="44" t="inlineStr">
        <is>
          <t>مستحق له من قبل</t>
        </is>
      </c>
      <c r="D5" s="44" t="inlineStr">
        <is>
          <t>دين متبقي عليه</t>
        </is>
      </c>
      <c r="E5" s="44" t="inlineStr">
        <is>
          <t>القسط الأسبوعي</t>
        </is>
      </c>
    </row>
    <row r="6">
      <c r="A6" s="71" t="inlineStr">
        <is>
          <t>عمر المصري</t>
        </is>
      </c>
      <c r="B6" s="72" t="n">
        <v>40</v>
      </c>
      <c r="C6" s="35" t="n">
        <v>0</v>
      </c>
      <c r="D6" s="35" t="n">
        <v>0</v>
      </c>
      <c r="E6" s="35" t="n">
        <v>0</v>
      </c>
    </row>
    <row r="7">
      <c r="A7" s="71" t="inlineStr">
        <is>
          <t>عبدالعزيز</t>
        </is>
      </c>
      <c r="B7" s="72" t="n">
        <v>40</v>
      </c>
      <c r="C7" s="35" t="n">
        <v>0</v>
      </c>
      <c r="D7" s="35" t="n">
        <v>0</v>
      </c>
      <c r="E7" s="35" t="n">
        <v>0</v>
      </c>
    </row>
    <row r="8" ht="30" customHeight="1">
      <c r="A8" s="15" t="inlineStr">
        <is>
          <t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      </is>
      </c>
    </row>
    <row r="11">
      <c r="A11" s="70" t="inlineStr">
        <is>
          <t>نهاية السنة — هالأرقام بتنكتب بـ«بداية السنة» بملف السنة الجاية (مع أسبوع بداية = 1)</t>
        </is>
      </c>
    </row>
    <row r="12" ht="34" customHeight="1">
      <c r="A12" s="44" t="inlineStr">
        <is>
          <t>الموظف</t>
        </is>
      </c>
      <c r="B12" s="44" t="inlineStr">
        <is>
          <t>آخر أسبوع</t>
        </is>
      </c>
      <c r="C12" s="44" t="inlineStr">
        <is>
          <t>مستحق له لسا ما قبضه</t>
        </is>
      </c>
      <c r="D12" s="44" t="inlineStr">
        <is>
          <t>دين متبقي عليه</t>
        </is>
      </c>
      <c r="E12" s="44" t="inlineStr">
        <is>
          <t>القسط الأسبوعي</t>
        </is>
      </c>
    </row>
    <row r="13">
      <c r="A13" s="3" t="inlineStr">
        <is>
          <t>عمر المصري</t>
        </is>
      </c>
      <c r="B13" s="73">
        <f>NW</f>
        <v/>
      </c>
      <c r="C13" s="45">
        <f>N(INDEX(LO_I,NW))</f>
        <v/>
      </c>
      <c r="D13" s="45">
        <f>N(INDEX(LO_J,NW))</f>
        <v/>
      </c>
      <c r="E13" s="45">
        <f>IF(D13&gt;0,IF(SUMPRODUCT(MAX((LG_E="عمر المصري")*(LG_INST&lt;&gt;"")*(LG_D&lt;=INDEX(WFRI,NW))*LG_IDX))=0,$E$6,INDEX(LG_INST,SUMPRODUCT(MAX((LG_E="عمر المصري")*(LG_INST&lt;&gt;"")*(LG_D&lt;=INDEX(WFRI,NW))*LG_IDX)))),0)</f>
        <v/>
      </c>
      <c r="F13" s="74">
        <f>IF(C13&gt;0.0005,"المحل لسا مدين إله بـ "&amp;TEXT(C13,"0.000"),IF(C13&lt;-0.0005,"قبض زيادة "&amp;TEXT(-C13,"0.000"),"ما إله شي"))&amp;IF(D13&gt;0.0005,"  ·  وعليه دين "&amp;TEXT(D13,"0.000"),"")</f>
        <v/>
      </c>
    </row>
    <row r="14">
      <c r="A14" s="3" t="inlineStr">
        <is>
          <t>عبدالعزيز</t>
        </is>
      </c>
      <c r="B14" s="73">
        <f>NW</f>
        <v/>
      </c>
      <c r="C14" s="45">
        <f>N(INDEX(LZ_I,NW))</f>
        <v/>
      </c>
      <c r="D14" s="45">
        <f>N(INDEX(LZ_J,NW))</f>
        <v/>
      </c>
      <c r="E14" s="45">
        <f>IF(D14&gt;0,IF(SUMPRODUCT(MAX((LG_E="عبدالعزيز")*(LG_INST&lt;&gt;"")*(LG_D&lt;=INDEX(WFRI,NW))*LG_IDX))=0,$E$7,INDEX(LG_INST,SUMPRODUCT(MAX((LG_E="عبدالعزيز")*(LG_INST&lt;&gt;"")*(LG_D&lt;=INDEX(WFRI,NW))*LG_IDX)))),0)</f>
        <v/>
      </c>
      <c r="F14" s="74">
        <f>IF(C14&gt;0.0005,"المحل لسا مدين إله بـ "&amp;TEXT(C14,"0.000"),IF(C14&lt;-0.0005,"قبض زيادة "&amp;TEXT(-C14,"0.000"),"ما إله شي"))&amp;IF(D14&gt;0.0005,"  ·  وعليه دين "&amp;TEXT(D14,"0.000"),"")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A1:G1"/>
    <mergeCell ref="A8:G8"/>
    <mergeCell ref="A4:G4"/>
    <mergeCell ref="A2:G2"/>
    <mergeCell ref="F14:G14"/>
    <mergeCell ref="F13:G13"/>
    <mergeCell ref="A11:G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6" customWidth="1" min="4" max="4"/>
    <col width="44" customWidth="1" min="5" max="5"/>
    <col hidden="1" width="13" customWidth="1" min="7" max="7"/>
  </cols>
  <sheetData>
    <row r="1" ht="32" customHeight="1">
      <c r="A1" s="75" t="inlineStr">
        <is>
          <t>القواعد والأسعار — كل الحسابات بتقرأ من هون</t>
        </is>
      </c>
    </row>
    <row r="3" ht="26" customHeight="1">
      <c r="A3" s="76" t="inlineStr">
        <is>
          <t>#</t>
        </is>
      </c>
      <c r="B3" s="76" t="inlineStr">
        <is>
          <t>القاعدة</t>
        </is>
      </c>
      <c r="C3" s="76" t="inlineStr">
        <is>
          <t>القيمة</t>
        </is>
      </c>
      <c r="D3" s="77" t="n"/>
      <c r="E3" s="76" t="inlineStr">
        <is>
          <t>الشرح</t>
        </is>
      </c>
    </row>
    <row r="4" ht="30" customHeight="1">
      <c r="A4" s="78" t="n">
        <v>1</v>
      </c>
      <c r="B4" s="79" t="inlineStr">
        <is>
          <t>عمر المصري — بداية الإضافي</t>
        </is>
      </c>
      <c r="C4" s="80" t="n">
        <v>0.75</v>
      </c>
      <c r="E4" s="81" t="inlineStr">
        <is>
          <t>السبت–الخميس بعد هالوقت إضافي. الجمعة ما إلها إضافي.</t>
        </is>
      </c>
    </row>
    <row r="5" ht="30" customHeight="1">
      <c r="A5" s="78" t="n">
        <v>2</v>
      </c>
      <c r="B5" s="79" t="inlineStr">
        <is>
          <t>عمر المصري — دوام الجمعة من</t>
        </is>
      </c>
      <c r="C5" s="80" t="n">
        <v>0.5833333333333334</v>
      </c>
      <c r="E5" s="81" t="inlineStr">
        <is>
          <t>للتنبيه بس — الحساب حسب الساعات الفعلية.</t>
        </is>
      </c>
    </row>
    <row r="6" ht="30" customHeight="1">
      <c r="A6" s="78" t="n">
        <v>3</v>
      </c>
      <c r="B6" s="79" t="inlineStr">
        <is>
          <t>عمر المصري — دوام الجمعة إلى</t>
        </is>
      </c>
      <c r="C6" s="80" t="n">
        <v>0.9583333333333334</v>
      </c>
      <c r="E6" s="81" t="inlineStr"/>
    </row>
    <row r="7" ht="30" customHeight="1">
      <c r="A7" s="78" t="n">
        <v>4</v>
      </c>
      <c r="B7" s="79" t="inlineStr">
        <is>
          <t>جبر المستحق</t>
        </is>
      </c>
      <c r="C7" s="82" t="inlineStr">
        <is>
          <t>لأقرب ربع</t>
        </is>
      </c>
      <c r="E7" s="81" t="inlineStr">
        <is>
          <t>لأقرب ربع: 18.300←18.250 و18.400←18.500 · للأعلى: أي كسر بيطلع للربع اللي فوقه.</t>
        </is>
      </c>
    </row>
    <row r="8" ht="30" customHeight="1">
      <c r="A8" s="78" t="n">
        <v>5</v>
      </c>
      <c r="B8" s="79" t="inlineStr">
        <is>
          <t>سقف السلفة (من اللي اشتغله لحد يومها)</t>
        </is>
      </c>
      <c r="C8" s="83" t="n">
        <v>0.6</v>
      </c>
      <c r="E8" s="81" t="inlineStr">
        <is>
          <t>سلفة أكبر من هيك بتتلوّن برتقالي بورقة السلف — تنبيه بس، بتنخصم كاملة.</t>
        </is>
      </c>
    </row>
    <row r="9" ht="30" customHeight="1">
      <c r="A9" s="78" t="n">
        <v>6</v>
      </c>
      <c r="B9" s="79" t="inlineStr">
        <is>
          <t>سقف القسط الأسبوعي (من المستحق + الإكرامية)</t>
        </is>
      </c>
      <c r="C9" s="83" t="n">
        <v>0.25</v>
      </c>
      <c r="E9" s="81" t="inlineStr">
        <is>
          <t>القسط اللي بينخصم بالأسبوع ما بيزيد عن هالنسبة — الباقي بيتأجل.</t>
        </is>
      </c>
    </row>
    <row r="10" ht="30" customHeight="1">
      <c r="A10" s="78" t="n">
        <v>7</v>
      </c>
      <c r="B10" s="79" t="inlineStr">
        <is>
          <t>الحد الأدنى للصافي (من المستحق)</t>
        </is>
      </c>
      <c r="C10" s="83" t="n">
        <v>0.65</v>
      </c>
      <c r="E10" s="81" t="inlineStr">
        <is>
          <t>القسط بيقل أو بيتأجل عشان الصافي ما ينزل تحت هالنسبة. السلف بتنخصم كاملة.</t>
        </is>
      </c>
    </row>
    <row r="12" ht="34" customHeight="1">
      <c r="A12" s="84" t="inlineStr">
        <is>
          <t>أسعار الساعة — حسب التاريخ: كل سطر «ساري من» تاريخه لحد السطر اللي بعده. لما يتغيّر السعر: سطر جديد بتاريخه (الأسابيع القديمة ما بتتأثر). السطور لازم تكون مرتّبة بالتاريخ.</t>
        </is>
      </c>
    </row>
    <row r="13" ht="34" customHeight="1">
      <c r="A13" s="85" t="inlineStr">
        <is>
          <t>ساري من</t>
        </is>
      </c>
      <c r="B13" s="85" t="inlineStr">
        <is>
          <t>عمر — الساعة العادية</t>
        </is>
      </c>
      <c r="C13" s="85" t="inlineStr">
        <is>
          <t>عمر — ساعة الإضافي</t>
        </is>
      </c>
      <c r="D13" s="85" t="inlineStr">
        <is>
          <t>عبدالعزيز — الساعة</t>
        </is>
      </c>
      <c r="E13" s="85" t="inlineStr">
        <is>
          <t>تحميل الجبسمبورد — الساعة</t>
        </is>
      </c>
    </row>
    <row r="14">
      <c r="A14" s="86" t="n">
        <v>46023</v>
      </c>
      <c r="B14" s="87" t="n">
        <v>1.25</v>
      </c>
      <c r="C14" s="87" t="n">
        <v>1.5</v>
      </c>
      <c r="D14" s="87" t="n">
        <v>1</v>
      </c>
      <c r="E14" s="87" t="n">
        <v>2.5</v>
      </c>
      <c r="G14">
        <f>IF(A14="",99999999,A14)</f>
        <v/>
      </c>
    </row>
    <row r="15">
      <c r="A15" s="86" t="n"/>
      <c r="B15" s="87" t="n"/>
      <c r="C15" s="87" t="n"/>
      <c r="D15" s="87" t="n"/>
      <c r="E15" s="87" t="n"/>
      <c r="G15">
        <f>IF(A15="",99999999,A15)</f>
        <v/>
      </c>
    </row>
    <row r="16">
      <c r="A16" s="86" t="n"/>
      <c r="B16" s="87" t="n"/>
      <c r="C16" s="87" t="n"/>
      <c r="D16" s="87" t="n"/>
      <c r="E16" s="87" t="n"/>
      <c r="G16">
        <f>IF(A16="",99999999,A16)</f>
        <v/>
      </c>
    </row>
    <row r="17">
      <c r="A17" s="86" t="n"/>
      <c r="B17" s="87" t="n"/>
      <c r="C17" s="87" t="n"/>
      <c r="D17" s="87" t="n"/>
      <c r="E17" s="87" t="n"/>
      <c r="G17">
        <f>IF(A17="",99999999,A17)</f>
        <v/>
      </c>
    </row>
    <row r="18">
      <c r="A18" s="86" t="n"/>
      <c r="B18" s="87" t="n"/>
      <c r="C18" s="87" t="n"/>
      <c r="D18" s="87" t="n"/>
      <c r="E18" s="87" t="n"/>
      <c r="G18">
        <f>IF(A18="",99999999,A18)</f>
        <v/>
      </c>
    </row>
    <row r="19">
      <c r="A19" s="86" t="n"/>
      <c r="B19" s="87" t="n"/>
      <c r="C19" s="87" t="n"/>
      <c r="D19" s="87" t="n"/>
      <c r="E19" s="87" t="n"/>
      <c r="G19">
        <f>IF(A19="",99999999,A19)</f>
        <v/>
      </c>
    </row>
    <row r="20">
      <c r="A20" s="86" t="n"/>
      <c r="B20" s="87" t="n"/>
      <c r="C20" s="87" t="n"/>
      <c r="D20" s="87" t="n"/>
      <c r="E20" s="87" t="n"/>
      <c r="G20">
        <f>IF(A20="",99999999,A20)</f>
        <v/>
      </c>
    </row>
    <row r="21">
      <c r="A21" s="86" t="n"/>
      <c r="B21" s="87" t="n"/>
      <c r="C21" s="87" t="n"/>
      <c r="D21" s="87" t="n"/>
      <c r="E21" s="87" t="n"/>
      <c r="G21">
        <f>IF(A21="",99999999,A21)</f>
        <v/>
      </c>
    </row>
    <row r="22">
      <c r="A22" s="86" t="n"/>
      <c r="B22" s="87" t="n"/>
      <c r="C22" s="87" t="n"/>
      <c r="D22" s="87" t="n"/>
      <c r="E22" s="87" t="n"/>
      <c r="G22">
        <f>IF(A22="",99999999,A22)</f>
        <v/>
      </c>
    </row>
    <row r="23">
      <c r="A23" s="86" t="n"/>
      <c r="B23" s="87" t="n"/>
      <c r="C23" s="87" t="n"/>
      <c r="D23" s="87" t="n"/>
      <c r="E23" s="87" t="n"/>
      <c r="G23">
        <f>IF(A23="",99999999,A23)</f>
        <v/>
      </c>
    </row>
    <row r="25">
      <c r="A25" s="17" t="inlineStr">
        <is>
          <t>مثال: صار سعر عمر 1.400 من 01/03/2027 ← سطر: 01/03/2027 · 1.400 · 1.500 · 1.000 · 2.500. الأسابيع اللي جمعتها قبل 01/03 بتضل على السعر القديم.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">
    <mergeCell ref="A12:E12"/>
    <mergeCell ref="C6:D6"/>
    <mergeCell ref="C7:D7"/>
    <mergeCell ref="C10:D10"/>
    <mergeCell ref="A25:E25"/>
    <mergeCell ref="C5:D5"/>
    <mergeCell ref="A1:E1"/>
    <mergeCell ref="C9:D9"/>
    <mergeCell ref="C3:D3"/>
    <mergeCell ref="C8:D8"/>
    <mergeCell ref="C4:D4"/>
  </mergeCells>
  <dataValidations count="1">
    <dataValidation sqref="C7" showDropDown="0" showInputMessage="0" showErrorMessage="0" allowBlank="1" type="list">
      <formula1>"لأقرب ربع,للأعلى"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1" customWidth="1" min="4" max="4"/>
    <col width="11" customWidth="1" min="5" max="5"/>
    <col width="14" customWidth="1" min="6" max="6"/>
    <col width="13" customWidth="1" min="7" max="7"/>
    <col width="11" customWidth="1" min="8" max="8"/>
    <col width="12" customWidth="1" min="9" max="9"/>
    <col width="13" customWidth="1" min="10" max="10"/>
  </cols>
  <sheetData>
    <row r="1" ht="32" customHeight="1">
      <c r="A1" s="1" t="inlineStr">
        <is>
          <t>ملخص الأيدي العاملة — شهر بشهر (حسب جمعة الأسبوع) ووضع كل موظف</t>
        </is>
      </c>
    </row>
    <row r="2" ht="22" customHeight="1">
      <c r="A2" s="16">
        <f>"سنة "&amp;YR&amp;"   (السنة بتنختار من ورقة التسوية)"</f>
        <v/>
      </c>
    </row>
    <row r="4">
      <c r="A4" s="60" t="inlineStr">
        <is>
          <t>قديش دفعت أيدي عاملة كل شهر (كاش طالع فعلياً) — الشهر = الأشهر اللي فيها جمعة القبض</t>
        </is>
      </c>
    </row>
    <row r="5" ht="40" customHeight="1">
      <c r="A5" s="88" t="inlineStr">
        <is>
          <t>الشهر</t>
        </is>
      </c>
      <c r="B5" s="88" t="inlineStr">
        <is>
          <t>عدد الجمع</t>
        </is>
      </c>
      <c r="C5" s="88" t="inlineStr">
        <is>
          <t>رواتب عمر</t>
        </is>
      </c>
      <c r="D5" s="88" t="inlineStr">
        <is>
          <t>عبدالعزيز (يومي + جمعة)</t>
        </is>
      </c>
      <c r="E5" s="88" t="inlineStr">
        <is>
          <t>سلف كاش</t>
        </is>
      </c>
      <c r="F5" s="88" t="inlineStr">
        <is>
          <t>عمال المهام</t>
        </is>
      </c>
      <c r="G5" s="88" t="inlineStr">
        <is>
          <t>المجموع كاش</t>
        </is>
      </c>
      <c r="H5" s="88" t="inlineStr">
        <is>
          <t>كلفة الشغل</t>
        </is>
      </c>
      <c r="I5" s="88" t="inlineStr">
        <is>
          <t>بضاعة أخذوها</t>
        </is>
      </c>
      <c r="J5" s="88" t="inlineStr">
        <is>
          <t>قروض كاش انعطت</t>
        </is>
      </c>
    </row>
    <row r="6">
      <c r="A6" s="89" t="inlineStr">
        <is>
          <t>كانون الثاني (1)</t>
        </is>
      </c>
      <c r="B6" s="62">
        <f>COUNTIF(WMON,1)</f>
        <v/>
      </c>
      <c r="C6" s="63">
        <f>SUMIFS(LO_H,LO_L,1)</f>
        <v/>
      </c>
      <c r="D6" s="63">
        <f>SUMIFS(LZ_H,LZ_L,1)+SUMIFS(LZ_K,LZ_L,1)</f>
        <v/>
      </c>
      <c r="E6" s="63">
        <f>SUMIFS(ADV_AMT,ADV_M,1)</f>
        <v/>
      </c>
      <c r="F6" s="63">
        <f>SUMIFS(TASK_AMT,TASK_M,1)</f>
        <v/>
      </c>
      <c r="G6" s="64">
        <f>C6+D6+E6+F6</f>
        <v/>
      </c>
      <c r="H6" s="63">
        <f>SUMIFS(LO_C,LO_L,1)+SUMIFS(LO_D,LO_L,1)+SUMIFS(LZ_C,LZ_L,1)+SUMIFS(LZ_D,LZ_L,1)+F6</f>
        <v/>
      </c>
      <c r="I6" s="63">
        <f>SUMIFS(LG_DEBT,LG_TYPE,"بضاعة",LG_M,1)</f>
        <v/>
      </c>
      <c r="J6" s="63">
        <f>SUMIFS(LG_DEBT,LG_TYPE,"قرض كاش",LG_M,1)</f>
        <v/>
      </c>
    </row>
    <row r="7">
      <c r="A7" s="89" t="inlineStr">
        <is>
          <t>شباط (2)</t>
        </is>
      </c>
      <c r="B7" s="62">
        <f>COUNTIF(WMON,2)</f>
        <v/>
      </c>
      <c r="C7" s="63">
        <f>SUMIFS(LO_H,LO_L,2)</f>
        <v/>
      </c>
      <c r="D7" s="63">
        <f>SUMIFS(LZ_H,LZ_L,2)+SUMIFS(LZ_K,LZ_L,2)</f>
        <v/>
      </c>
      <c r="E7" s="63">
        <f>SUMIFS(ADV_AMT,ADV_M,2)</f>
        <v/>
      </c>
      <c r="F7" s="63">
        <f>SUMIFS(TASK_AMT,TASK_M,2)</f>
        <v/>
      </c>
      <c r="G7" s="64">
        <f>C7+D7+E7+F7</f>
        <v/>
      </c>
      <c r="H7" s="63">
        <f>SUMIFS(LO_C,LO_L,2)+SUMIFS(LO_D,LO_L,2)+SUMIFS(LZ_C,LZ_L,2)+SUMIFS(LZ_D,LZ_L,2)+F7</f>
        <v/>
      </c>
      <c r="I7" s="63">
        <f>SUMIFS(LG_DEBT,LG_TYPE,"بضاعة",LG_M,2)</f>
        <v/>
      </c>
      <c r="J7" s="63">
        <f>SUMIFS(LG_DEBT,LG_TYPE,"قرض كاش",LG_M,2)</f>
        <v/>
      </c>
    </row>
    <row r="8">
      <c r="A8" s="89" t="inlineStr">
        <is>
          <t>آذار (3)</t>
        </is>
      </c>
      <c r="B8" s="62">
        <f>COUNTIF(WMON,3)</f>
        <v/>
      </c>
      <c r="C8" s="63">
        <f>SUMIFS(LO_H,LO_L,3)</f>
        <v/>
      </c>
      <c r="D8" s="63">
        <f>SUMIFS(LZ_H,LZ_L,3)+SUMIFS(LZ_K,LZ_L,3)</f>
        <v/>
      </c>
      <c r="E8" s="63">
        <f>SUMIFS(ADV_AMT,ADV_M,3)</f>
        <v/>
      </c>
      <c r="F8" s="63">
        <f>SUMIFS(TASK_AMT,TASK_M,3)</f>
        <v/>
      </c>
      <c r="G8" s="64">
        <f>C8+D8+E8+F8</f>
        <v/>
      </c>
      <c r="H8" s="63">
        <f>SUMIFS(LO_C,LO_L,3)+SUMIFS(LO_D,LO_L,3)+SUMIFS(LZ_C,LZ_L,3)+SUMIFS(LZ_D,LZ_L,3)+F8</f>
        <v/>
      </c>
      <c r="I8" s="63">
        <f>SUMIFS(LG_DEBT,LG_TYPE,"بضاعة",LG_M,3)</f>
        <v/>
      </c>
      <c r="J8" s="63">
        <f>SUMIFS(LG_DEBT,LG_TYPE,"قرض كاش",LG_M,3)</f>
        <v/>
      </c>
    </row>
    <row r="9">
      <c r="A9" s="89" t="inlineStr">
        <is>
          <t>نيسان (4)</t>
        </is>
      </c>
      <c r="B9" s="62">
        <f>COUNTIF(WMON,4)</f>
        <v/>
      </c>
      <c r="C9" s="63">
        <f>SUMIFS(LO_H,LO_L,4)</f>
        <v/>
      </c>
      <c r="D9" s="63">
        <f>SUMIFS(LZ_H,LZ_L,4)+SUMIFS(LZ_K,LZ_L,4)</f>
        <v/>
      </c>
      <c r="E9" s="63">
        <f>SUMIFS(ADV_AMT,ADV_M,4)</f>
        <v/>
      </c>
      <c r="F9" s="63">
        <f>SUMIFS(TASK_AMT,TASK_M,4)</f>
        <v/>
      </c>
      <c r="G9" s="64">
        <f>C9+D9+E9+F9</f>
        <v/>
      </c>
      <c r="H9" s="63">
        <f>SUMIFS(LO_C,LO_L,4)+SUMIFS(LO_D,LO_L,4)+SUMIFS(LZ_C,LZ_L,4)+SUMIFS(LZ_D,LZ_L,4)+F9</f>
        <v/>
      </c>
      <c r="I9" s="63">
        <f>SUMIFS(LG_DEBT,LG_TYPE,"بضاعة",LG_M,4)</f>
        <v/>
      </c>
      <c r="J9" s="63">
        <f>SUMIFS(LG_DEBT,LG_TYPE,"قرض كاش",LG_M,4)</f>
        <v/>
      </c>
    </row>
    <row r="10">
      <c r="A10" s="89" t="inlineStr">
        <is>
          <t>أيار (5)</t>
        </is>
      </c>
      <c r="B10" s="62">
        <f>COUNTIF(WMON,5)</f>
        <v/>
      </c>
      <c r="C10" s="63">
        <f>SUMIFS(LO_H,LO_L,5)</f>
        <v/>
      </c>
      <c r="D10" s="63">
        <f>SUMIFS(LZ_H,LZ_L,5)+SUMIFS(LZ_K,LZ_L,5)</f>
        <v/>
      </c>
      <c r="E10" s="63">
        <f>SUMIFS(ADV_AMT,ADV_M,5)</f>
        <v/>
      </c>
      <c r="F10" s="63">
        <f>SUMIFS(TASK_AMT,TASK_M,5)</f>
        <v/>
      </c>
      <c r="G10" s="64">
        <f>C10+D10+E10+F10</f>
        <v/>
      </c>
      <c r="H10" s="63">
        <f>SUMIFS(LO_C,LO_L,5)+SUMIFS(LO_D,LO_L,5)+SUMIFS(LZ_C,LZ_L,5)+SUMIFS(LZ_D,LZ_L,5)+F10</f>
        <v/>
      </c>
      <c r="I10" s="63">
        <f>SUMIFS(LG_DEBT,LG_TYPE,"بضاعة",LG_M,5)</f>
        <v/>
      </c>
      <c r="J10" s="63">
        <f>SUMIFS(LG_DEBT,LG_TYPE,"قرض كاش",LG_M,5)</f>
        <v/>
      </c>
    </row>
    <row r="11">
      <c r="A11" s="89" t="inlineStr">
        <is>
          <t>حزيران (6)</t>
        </is>
      </c>
      <c r="B11" s="62">
        <f>COUNTIF(WMON,6)</f>
        <v/>
      </c>
      <c r="C11" s="63">
        <f>SUMIFS(LO_H,LO_L,6)</f>
        <v/>
      </c>
      <c r="D11" s="63">
        <f>SUMIFS(LZ_H,LZ_L,6)+SUMIFS(LZ_K,LZ_L,6)</f>
        <v/>
      </c>
      <c r="E11" s="63">
        <f>SUMIFS(ADV_AMT,ADV_M,6)</f>
        <v/>
      </c>
      <c r="F11" s="63">
        <f>SUMIFS(TASK_AMT,TASK_M,6)</f>
        <v/>
      </c>
      <c r="G11" s="64">
        <f>C11+D11+E11+F11</f>
        <v/>
      </c>
      <c r="H11" s="63">
        <f>SUMIFS(LO_C,LO_L,6)+SUMIFS(LO_D,LO_L,6)+SUMIFS(LZ_C,LZ_L,6)+SUMIFS(LZ_D,LZ_L,6)+F11</f>
        <v/>
      </c>
      <c r="I11" s="63">
        <f>SUMIFS(LG_DEBT,LG_TYPE,"بضاعة",LG_M,6)</f>
        <v/>
      </c>
      <c r="J11" s="63">
        <f>SUMIFS(LG_DEBT,LG_TYPE,"قرض كاش",LG_M,6)</f>
        <v/>
      </c>
    </row>
    <row r="12">
      <c r="A12" s="89" t="inlineStr">
        <is>
          <t>تموز (7)</t>
        </is>
      </c>
      <c r="B12" s="62">
        <f>COUNTIF(WMON,7)</f>
        <v/>
      </c>
      <c r="C12" s="63">
        <f>SUMIFS(LO_H,LO_L,7)</f>
        <v/>
      </c>
      <c r="D12" s="63">
        <f>SUMIFS(LZ_H,LZ_L,7)+SUMIFS(LZ_K,LZ_L,7)</f>
        <v/>
      </c>
      <c r="E12" s="63">
        <f>SUMIFS(ADV_AMT,ADV_M,7)</f>
        <v/>
      </c>
      <c r="F12" s="63">
        <f>SUMIFS(TASK_AMT,TASK_M,7)</f>
        <v/>
      </c>
      <c r="G12" s="64">
        <f>C12+D12+E12+F12</f>
        <v/>
      </c>
      <c r="H12" s="63">
        <f>SUMIFS(LO_C,LO_L,7)+SUMIFS(LO_D,LO_L,7)+SUMIFS(LZ_C,LZ_L,7)+SUMIFS(LZ_D,LZ_L,7)+F12</f>
        <v/>
      </c>
      <c r="I12" s="63">
        <f>SUMIFS(LG_DEBT,LG_TYPE,"بضاعة",LG_M,7)</f>
        <v/>
      </c>
      <c r="J12" s="63">
        <f>SUMIFS(LG_DEBT,LG_TYPE,"قرض كاش",LG_M,7)</f>
        <v/>
      </c>
    </row>
    <row r="13">
      <c r="A13" s="89" t="inlineStr">
        <is>
          <t>آب (8)</t>
        </is>
      </c>
      <c r="B13" s="62">
        <f>COUNTIF(WMON,8)</f>
        <v/>
      </c>
      <c r="C13" s="63">
        <f>SUMIFS(LO_H,LO_L,8)</f>
        <v/>
      </c>
      <c r="D13" s="63">
        <f>SUMIFS(LZ_H,LZ_L,8)+SUMIFS(LZ_K,LZ_L,8)</f>
        <v/>
      </c>
      <c r="E13" s="63">
        <f>SUMIFS(ADV_AMT,ADV_M,8)</f>
        <v/>
      </c>
      <c r="F13" s="63">
        <f>SUMIFS(TASK_AMT,TASK_M,8)</f>
        <v/>
      </c>
      <c r="G13" s="64">
        <f>C13+D13+E13+F13</f>
        <v/>
      </c>
      <c r="H13" s="63">
        <f>SUMIFS(LO_C,LO_L,8)+SUMIFS(LO_D,LO_L,8)+SUMIFS(LZ_C,LZ_L,8)+SUMIFS(LZ_D,LZ_L,8)+F13</f>
        <v/>
      </c>
      <c r="I13" s="63">
        <f>SUMIFS(LG_DEBT,LG_TYPE,"بضاعة",LG_M,8)</f>
        <v/>
      </c>
      <c r="J13" s="63">
        <f>SUMIFS(LG_DEBT,LG_TYPE,"قرض كاش",LG_M,8)</f>
        <v/>
      </c>
    </row>
    <row r="14">
      <c r="A14" s="89" t="inlineStr">
        <is>
          <t>أيلول (9)</t>
        </is>
      </c>
      <c r="B14" s="62">
        <f>COUNTIF(WMON,9)</f>
        <v/>
      </c>
      <c r="C14" s="63">
        <f>SUMIFS(LO_H,LO_L,9)</f>
        <v/>
      </c>
      <c r="D14" s="63">
        <f>SUMIFS(LZ_H,LZ_L,9)+SUMIFS(LZ_K,LZ_L,9)</f>
        <v/>
      </c>
      <c r="E14" s="63">
        <f>SUMIFS(ADV_AMT,ADV_M,9)</f>
        <v/>
      </c>
      <c r="F14" s="63">
        <f>SUMIFS(TASK_AMT,TASK_M,9)</f>
        <v/>
      </c>
      <c r="G14" s="64">
        <f>C14+D14+E14+F14</f>
        <v/>
      </c>
      <c r="H14" s="63">
        <f>SUMIFS(LO_C,LO_L,9)+SUMIFS(LO_D,LO_L,9)+SUMIFS(LZ_C,LZ_L,9)+SUMIFS(LZ_D,LZ_L,9)+F14</f>
        <v/>
      </c>
      <c r="I14" s="63">
        <f>SUMIFS(LG_DEBT,LG_TYPE,"بضاعة",LG_M,9)</f>
        <v/>
      </c>
      <c r="J14" s="63">
        <f>SUMIFS(LG_DEBT,LG_TYPE,"قرض كاش",LG_M,9)</f>
        <v/>
      </c>
    </row>
    <row r="15">
      <c r="A15" s="89" t="inlineStr">
        <is>
          <t>تشرين الأول (10)</t>
        </is>
      </c>
      <c r="B15" s="62">
        <f>COUNTIF(WMON,10)</f>
        <v/>
      </c>
      <c r="C15" s="63">
        <f>SUMIFS(LO_H,LO_L,10)</f>
        <v/>
      </c>
      <c r="D15" s="63">
        <f>SUMIFS(LZ_H,LZ_L,10)+SUMIFS(LZ_K,LZ_L,10)</f>
        <v/>
      </c>
      <c r="E15" s="63">
        <f>SUMIFS(ADV_AMT,ADV_M,10)</f>
        <v/>
      </c>
      <c r="F15" s="63">
        <f>SUMIFS(TASK_AMT,TASK_M,10)</f>
        <v/>
      </c>
      <c r="G15" s="64">
        <f>C15+D15+E15+F15</f>
        <v/>
      </c>
      <c r="H15" s="63">
        <f>SUMIFS(LO_C,LO_L,10)+SUMIFS(LO_D,LO_L,10)+SUMIFS(LZ_C,LZ_L,10)+SUMIFS(LZ_D,LZ_L,10)+F15</f>
        <v/>
      </c>
      <c r="I15" s="63">
        <f>SUMIFS(LG_DEBT,LG_TYPE,"بضاعة",LG_M,10)</f>
        <v/>
      </c>
      <c r="J15" s="63">
        <f>SUMIFS(LG_DEBT,LG_TYPE,"قرض كاش",LG_M,10)</f>
        <v/>
      </c>
    </row>
    <row r="16">
      <c r="A16" s="89" t="inlineStr">
        <is>
          <t>تشرين الثاني (11)</t>
        </is>
      </c>
      <c r="B16" s="62">
        <f>COUNTIF(WMON,11)</f>
        <v/>
      </c>
      <c r="C16" s="63">
        <f>SUMIFS(LO_H,LO_L,11)</f>
        <v/>
      </c>
      <c r="D16" s="63">
        <f>SUMIFS(LZ_H,LZ_L,11)+SUMIFS(LZ_K,LZ_L,11)</f>
        <v/>
      </c>
      <c r="E16" s="63">
        <f>SUMIFS(ADV_AMT,ADV_M,11)</f>
        <v/>
      </c>
      <c r="F16" s="63">
        <f>SUMIFS(TASK_AMT,TASK_M,11)</f>
        <v/>
      </c>
      <c r="G16" s="64">
        <f>C16+D16+E16+F16</f>
        <v/>
      </c>
      <c r="H16" s="63">
        <f>SUMIFS(LO_C,LO_L,11)+SUMIFS(LO_D,LO_L,11)+SUMIFS(LZ_C,LZ_L,11)+SUMIFS(LZ_D,LZ_L,11)+F16</f>
        <v/>
      </c>
      <c r="I16" s="63">
        <f>SUMIFS(LG_DEBT,LG_TYPE,"بضاعة",LG_M,11)</f>
        <v/>
      </c>
      <c r="J16" s="63">
        <f>SUMIFS(LG_DEBT,LG_TYPE,"قرض كاش",LG_M,11)</f>
        <v/>
      </c>
    </row>
    <row r="17">
      <c r="A17" s="89" t="inlineStr">
        <is>
          <t>كانون الأول (12)</t>
        </is>
      </c>
      <c r="B17" s="62">
        <f>COUNTIF(WMON,12)</f>
        <v/>
      </c>
      <c r="C17" s="63">
        <f>SUMIFS(LO_H,LO_L,12)</f>
        <v/>
      </c>
      <c r="D17" s="63">
        <f>SUMIFS(LZ_H,LZ_L,12)+SUMIFS(LZ_K,LZ_L,12)</f>
        <v/>
      </c>
      <c r="E17" s="63">
        <f>SUMIFS(ADV_AMT,ADV_M,12)</f>
        <v/>
      </c>
      <c r="F17" s="63">
        <f>SUMIFS(TASK_AMT,TASK_M,12)</f>
        <v/>
      </c>
      <c r="G17" s="64">
        <f>C17+D17+E17+F17</f>
        <v/>
      </c>
      <c r="H17" s="63">
        <f>SUMIFS(LO_C,LO_L,12)+SUMIFS(LO_D,LO_L,12)+SUMIFS(LZ_C,LZ_L,12)+SUMIFS(LZ_D,LZ_L,12)+F17</f>
        <v/>
      </c>
      <c r="I17" s="63">
        <f>SUMIFS(LG_DEBT,LG_TYPE,"بضاعة",LG_M,12)</f>
        <v/>
      </c>
      <c r="J17" s="63">
        <f>SUMIFS(LG_DEBT,LG_TYPE,"قرض كاش",LG_M,12)</f>
        <v/>
      </c>
    </row>
    <row r="18">
      <c r="A18" s="28" t="inlineStr">
        <is>
          <t>مجموع السنة</t>
        </is>
      </c>
      <c r="B18" s="90">
        <f>SUM(B6:B17)</f>
        <v/>
      </c>
      <c r="C18" s="67">
        <f>SUM(C6:C17)</f>
        <v/>
      </c>
      <c r="D18" s="67">
        <f>SUM(D6:D17)</f>
        <v/>
      </c>
      <c r="E18" s="67">
        <f>SUM(E6:E17)</f>
        <v/>
      </c>
      <c r="F18" s="67">
        <f>SUM(F6:F17)</f>
        <v/>
      </c>
      <c r="G18" s="91">
        <f>SUM(G6:G17)</f>
        <v/>
      </c>
      <c r="H18" s="67">
        <f>SUM(H6:H17)</f>
        <v/>
      </c>
      <c r="I18" s="67">
        <f>SUM(I6:I17)</f>
        <v/>
      </c>
      <c r="J18" s="67">
        <f>SUM(J6:J17)</f>
        <v/>
      </c>
    </row>
    <row r="19" ht="30" customHeight="1">
      <c r="A19" s="15" t="inlineStr">
        <is>
          <t>«كلفة الشغل» = المستحق + الإكرامية + المهام (الأجر كامل، سواء انقبض كاش أو بضاعة). «المجموع كاش» = اللي طلع من الدرج فعلياً. السلف كاش فبتنعدّ · البضاعة والأقساط لا. الأشهر اللي فيها 5 جمع بتطلع أعلى — قارن بمعدل الأسبوع.</t>
        </is>
      </c>
    </row>
    <row r="21">
      <c r="A21" s="60">
        <f>"وضع كل موظف لحد "&amp;INDEX(WTITLE,WK)</f>
        <v/>
      </c>
    </row>
    <row r="22" ht="36" customHeight="1">
      <c r="A22" s="88" t="inlineStr">
        <is>
          <t>الموظف</t>
        </is>
      </c>
      <c r="B22" s="88" t="inlineStr">
        <is>
          <t>ساعات</t>
        </is>
      </c>
      <c r="C22" s="88" t="inlineStr">
        <is>
          <t>مستحق + إكرامية</t>
        </is>
      </c>
      <c r="D22" s="88" t="inlineStr">
        <is>
          <t>قبض كاش</t>
        </is>
      </c>
      <c r="E22" s="88" t="inlineStr">
        <is>
          <t>+ سلف</t>
        </is>
      </c>
      <c r="F22" s="88" t="inlineStr">
        <is>
          <t>+ أقساط</t>
        </is>
      </c>
      <c r="G22" s="88" t="inlineStr">
        <is>
          <t>+ الباقي له</t>
        </is>
      </c>
      <c r="H22" s="88" t="inlineStr">
        <is>
          <t>المجموع</t>
        </is>
      </c>
      <c r="I22" s="88" t="inlineStr">
        <is>
          <t>الدين المتبقي</t>
        </is>
      </c>
      <c r="J22" s="88" t="inlineStr">
        <is>
          <t>النتيجة</t>
        </is>
      </c>
    </row>
    <row r="23">
      <c r="A23" s="53" t="inlineStr">
        <is>
          <t>عمر المصري</t>
        </is>
      </c>
      <c r="B23" s="23">
        <f>IF(1&lt;=WK,N('ساعات عمر'!E14),0)+IF(2&lt;=WK,N('ساعات عمر'!E25),0)+IF(3&lt;=WK,N('ساعات عمر'!E36),0)+IF(4&lt;=WK,N('ساعات عمر'!E47),0)+IF(5&lt;=WK,N('ساعات عمر'!E58),0)+IF(6&lt;=WK,N('ساعات عمر'!E69),0)+IF(7&lt;=WK,N('ساعات عمر'!E80),0)+IF(8&lt;=WK,N('ساعات عمر'!E91),0)+IF(9&lt;=WK,N('ساعات عمر'!E102),0)+IF(10&lt;=WK,N('ساعات عمر'!E113),0)+IF(11&lt;=WK,N('ساعات عمر'!E124),0)+IF(12&lt;=WK,N('ساعات عمر'!E135),0)+IF(13&lt;=WK,N('ساعات عمر'!E146),0)+IF(14&lt;=WK,N('ساعات عمر'!E157),0)+IF(15&lt;=WK,N('ساعات عمر'!E168),0)+IF(16&lt;=WK,N('ساعات عمر'!E179),0)+IF(17&lt;=WK,N('ساعات عمر'!E190),0)+IF(18&lt;=WK,N('ساعات عمر'!E201),0)+IF(19&lt;=WK,N('ساعات عمر'!E212),0)+IF(20&lt;=WK,N('ساعات عمر'!E223),0)+IF(21&lt;=WK,N('ساعات عمر'!E234),0)+IF(22&lt;=WK,N('ساعات عمر'!E245),0)+IF(23&lt;=WK,N('ساعات عمر'!E256),0)+IF(24&lt;=WK,N('ساعات عمر'!E267),0)+IF(25&lt;=WK,N('ساعات عمر'!E278),0)+IF(26&lt;=WK,N('ساعات عمر'!E289),0)+IF(27&lt;=WK,N('ساعات عمر'!E300),0)+IF(28&lt;=WK,N('ساعات عمر'!E311),0)+IF(29&lt;=WK,N('ساعات عمر'!E322),0)+IF(30&lt;=WK,N('ساعات عمر'!E333),0)+IF(31&lt;=WK,N('ساعات عمر'!E344),0)+IF(32&lt;=WK,N('ساعات عمر'!E355),0)+IF(33&lt;=WK,N('ساعات عمر'!E366),0)+IF(34&lt;=WK,N('ساعات عمر'!E377),0)+IF(35&lt;=WK,N('ساعات عمر'!E388),0)+IF(36&lt;=WK,N('ساعات عمر'!E399),0)+IF(37&lt;=WK,N('ساعات عمر'!E410),0)+IF(38&lt;=WK,N('ساعات عمر'!E421),0)+IF(39&lt;=WK,N('ساعات عمر'!E432),0)+IF(40&lt;=WK,N('ساعات عمر'!E443),0)+IF(41&lt;=WK,N('ساعات عمر'!E454),0)+IF(42&lt;=WK,N('ساعات عمر'!E465),0)+IF(43&lt;=WK,N('ساعات عمر'!E476),0)+IF(44&lt;=WK,N('ساعات عمر'!E487),0)+IF(45&lt;=WK,N('ساعات عمر'!E498),0)+IF(46&lt;=WK,N('ساعات عمر'!E509),0)+IF(47&lt;=WK,N('ساعات عمر'!E520),0)+IF(48&lt;=WK,N('ساعات عمر'!E531),0)+IF(49&lt;=WK,N('ساعات عمر'!E542),0)+IF(50&lt;=WK,N('ساعات عمر'!E553),0)+IF(51&lt;=WK,N('ساعات عمر'!E564),0)+IF(52&lt;=WK,N('ساعات عمر'!E575),0)+IF(53&lt;=WK,N('ساعات عمر'!E586),0)</f>
        <v/>
      </c>
      <c r="C23" s="54">
        <f>'بداية السنة'!$C$6+SUMIFS(LO_C,LO_A,"&lt;="&amp;WK)+SUMIFS(LO_D,LO_A,"&lt;="&amp;WK)</f>
        <v/>
      </c>
      <c r="D23" s="63">
        <f>SUMIFS(LO_H,LO_A,"&lt;="&amp;WK)+SUMIFS(LO_K,LO_A,"&lt;="&amp;WK)</f>
        <v/>
      </c>
      <c r="E23" s="63">
        <f>SUMIFS(LO_E,LO_A,"&lt;="&amp;WK)</f>
        <v/>
      </c>
      <c r="F23" s="63">
        <f>SUMIFS(LO_F,LO_A,"&lt;="&amp;WK)</f>
        <v/>
      </c>
      <c r="G23" s="63">
        <f>N(INDEX(LO_I,WK))</f>
        <v/>
      </c>
      <c r="H23" s="54">
        <f>D23+E23+F23+G23</f>
        <v/>
      </c>
      <c r="I23" s="12">
        <f>N(INDEX(LO_J,WK))</f>
        <v/>
      </c>
      <c r="J23" s="92">
        <f>IF(ABS(H23-C23)&lt;0.0005,"✔ مطابق","⚠️ فرق "&amp;TEXT(H23-C23,"0.000"))</f>
        <v/>
      </c>
    </row>
    <row r="24">
      <c r="A24" s="53" t="inlineStr">
        <is>
          <t>عبدالعزيز</t>
        </is>
      </c>
      <c r="B24" s="23">
        <f>IF(1&lt;=WK,N('ساعات عبدالعزيز'!E14),0)+IF(2&lt;=WK,N('ساعات عبدالعزيز'!E25),0)+IF(3&lt;=WK,N('ساعات عبدالعزيز'!E36),0)+IF(4&lt;=WK,N('ساعات عبدالعزيز'!E47),0)+IF(5&lt;=WK,N('ساعات عبدالعزيز'!E58),0)+IF(6&lt;=WK,N('ساعات عبدالعزيز'!E69),0)+IF(7&lt;=WK,N('ساعات عبدالعزيز'!E80),0)+IF(8&lt;=WK,N('ساعات عبدالعزيز'!E91),0)+IF(9&lt;=WK,N('ساعات عبدالعزيز'!E102),0)+IF(10&lt;=WK,N('ساعات عبدالعزيز'!E113),0)+IF(11&lt;=WK,N('ساعات عبدالعزيز'!E124),0)+IF(12&lt;=WK,N('ساعات عبدالعزيز'!E135),0)+IF(13&lt;=WK,N('ساعات عبدالعزيز'!E146),0)+IF(14&lt;=WK,N('ساعات عبدالعزيز'!E157),0)+IF(15&lt;=WK,N('ساعات عبدالعزيز'!E168),0)+IF(16&lt;=WK,N('ساعات عبدالعزيز'!E179),0)+IF(17&lt;=WK,N('ساعات عبدالعزيز'!E190),0)+IF(18&lt;=WK,N('ساعات عبدالعزيز'!E201),0)+IF(19&lt;=WK,N('ساعات عبدالعزيز'!E212),0)+IF(20&lt;=WK,N('ساعات عبدالعزيز'!E223),0)+IF(21&lt;=WK,N('ساعات عبدالعزيز'!E234),0)+IF(22&lt;=WK,N('ساعات عبدالعزيز'!E245),0)+IF(23&lt;=WK,N('ساعات عبدالعزيز'!E256),0)+IF(24&lt;=WK,N('ساعات عبدالعزيز'!E267),0)+IF(25&lt;=WK,N('ساعات عبدالعزيز'!E278),0)+IF(26&lt;=WK,N('ساعات عبدالعزيز'!E289),0)+IF(27&lt;=WK,N('ساعات عبدالعزيز'!E300),0)+IF(28&lt;=WK,N('ساعات عبدالعزيز'!E311),0)+IF(29&lt;=WK,N('ساعات عبدالعزيز'!E322),0)+IF(30&lt;=WK,N('ساعات عبدالعزيز'!E333),0)+IF(31&lt;=WK,N('ساعات عبدالعزيز'!E344),0)+IF(32&lt;=WK,N('ساعات عبدالعزيز'!E355),0)+IF(33&lt;=WK,N('ساعات عبدالعزيز'!E366),0)+IF(34&lt;=WK,N('ساعات عبدالعزيز'!E377),0)+IF(35&lt;=WK,N('ساعات عبدالعزيز'!E388),0)+IF(36&lt;=WK,N('ساعات عبدالعزيز'!E399),0)+IF(37&lt;=WK,N('ساعات عبدالعزيز'!E410),0)+IF(38&lt;=WK,N('ساعات عبدالعزيز'!E421),0)+IF(39&lt;=WK,N('ساعات عبدالعزيز'!E432),0)+IF(40&lt;=WK,N('ساعات عبدالعزيز'!E443),0)+IF(41&lt;=WK,N('ساعات عبدالعزيز'!E454),0)+IF(42&lt;=WK,N('ساعات عبدالعزيز'!E465),0)+IF(43&lt;=WK,N('ساعات عبدالعزيز'!E476),0)+IF(44&lt;=WK,N('ساعات عبدالعزيز'!E487),0)+IF(45&lt;=WK,N('ساعات عبدالعزيز'!E498),0)+IF(46&lt;=WK,N('ساعات عبدالعزيز'!E509),0)+IF(47&lt;=WK,N('ساعات عبدالعزيز'!E520),0)+IF(48&lt;=WK,N('ساعات عبدالعزيز'!E531),0)+IF(49&lt;=WK,N('ساعات عبدالعزيز'!E542),0)+IF(50&lt;=WK,N('ساعات عبدالعزيز'!E553),0)+IF(51&lt;=WK,N('ساعات عبدالعزيز'!E564),0)+IF(52&lt;=WK,N('ساعات عبدالعزيز'!E575),0)+IF(53&lt;=WK,N('ساعات عبدالعزيز'!E586),0)</f>
        <v/>
      </c>
      <c r="C24" s="54">
        <f>'بداية السنة'!$C$7+SUMIFS(LZ_C,LZ_A,"&lt;="&amp;WK)+SUMIFS(LZ_D,LZ_A,"&lt;="&amp;WK)</f>
        <v/>
      </c>
      <c r="D24" s="63">
        <f>SUMIFS(LZ_H,LZ_A,"&lt;="&amp;WK)+SUMIFS(LZ_K,LZ_A,"&lt;="&amp;WK)</f>
        <v/>
      </c>
      <c r="E24" s="63">
        <f>SUMIFS(LZ_E,LZ_A,"&lt;="&amp;WK)</f>
        <v/>
      </c>
      <c r="F24" s="63">
        <f>SUMIFS(LZ_F,LZ_A,"&lt;="&amp;WK)</f>
        <v/>
      </c>
      <c r="G24" s="63">
        <f>N(INDEX(LZ_I,WK))</f>
        <v/>
      </c>
      <c r="H24" s="54">
        <f>D24+E24+F24+G24</f>
        <v/>
      </c>
      <c r="I24" s="12">
        <f>N(INDEX(LZ_J,WK))</f>
        <v/>
      </c>
      <c r="J24" s="92">
        <f>IF(ABS(H24-C24)&lt;0.0005,"✔ مطابق","⚠️ فرق "&amp;TEXT(H24-C24,"0.000"))</f>
        <v/>
      </c>
    </row>
    <row r="25">
      <c r="A25" s="93">
        <f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/>
      </c>
    </row>
    <row r="26">
      <c r="A26" s="93">
        <f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/>
      </c>
    </row>
    <row r="27">
      <c r="A27" s="15" t="inlineStr">
        <is>
          <t>المطابقة: (مستحق له من قبل + كل المستحق + الإكرامية) = قبض كاش + سلف + أقساط + الباقي له — ولا دينار مكرّر.</t>
        </is>
      </c>
    </row>
    <row r="29">
      <c r="A29" s="94" t="inlineStr">
        <is>
          <t>عمال المهام — السنة، وشهر بتختاره</t>
        </is>
      </c>
      <c r="H29" s="95" t="inlineStr">
        <is>
          <t>الشهر:</t>
        </is>
      </c>
      <c r="I29" s="96">
        <f>INDEX(WMON,WK)</f>
        <v/>
      </c>
    </row>
    <row r="30" ht="28" customHeight="1">
      <c r="A30" s="97" t="inlineStr">
        <is>
          <t>#</t>
        </is>
      </c>
      <c r="B30" s="97" t="inlineStr">
        <is>
          <t>العامل</t>
        </is>
      </c>
      <c r="C30" s="97" t="inlineStr">
        <is>
          <t>مهام السنة</t>
        </is>
      </c>
      <c r="D30" s="97" t="inlineStr">
        <is>
          <t>قبض بالسنة</t>
        </is>
      </c>
      <c r="E30" s="97" t="inlineStr">
        <is>
          <t>مهام الشهر</t>
        </is>
      </c>
      <c r="F30" s="97" t="inlineStr">
        <is>
          <t>قبض بالشهر</t>
        </is>
      </c>
    </row>
    <row r="31">
      <c r="A31" s="21">
        <f>IF(B31="","",1)</f>
        <v/>
      </c>
      <c r="B31" s="21">
        <f>IFERROR(INDEX(TASK_B,MATCH(1,TASK_G,0)),"")</f>
        <v/>
      </c>
      <c r="C31" s="21">
        <f>IF(B31="","",COUNTIF(TASK_B,B31))</f>
        <v/>
      </c>
      <c r="D31" s="63">
        <f>IF(B31="","",SUMIFS(TASK_AMT,TASK_B,B31))</f>
        <v/>
      </c>
      <c r="E31" s="21">
        <f>IF(B31="","",COUNTIFS(TASK_B,B31,TASK_M,$I$29))</f>
        <v/>
      </c>
      <c r="F31" s="63">
        <f>IF(B31="","",SUMIFS(TASK_AMT,TASK_B,B31,TASK_M,$I$29))</f>
        <v/>
      </c>
    </row>
    <row r="32">
      <c r="A32" s="21">
        <f>IF(B32="","",2)</f>
        <v/>
      </c>
      <c r="B32" s="21">
        <f>IFERROR(INDEX(TASK_B,MATCH(2,TASK_G,0)),"")</f>
        <v/>
      </c>
      <c r="C32" s="21">
        <f>IF(B32="","",COUNTIF(TASK_B,B32))</f>
        <v/>
      </c>
      <c r="D32" s="63">
        <f>IF(B32="","",SUMIFS(TASK_AMT,TASK_B,B32))</f>
        <v/>
      </c>
      <c r="E32" s="21">
        <f>IF(B32="","",COUNTIFS(TASK_B,B32,TASK_M,$I$29))</f>
        <v/>
      </c>
      <c r="F32" s="63">
        <f>IF(B32="","",SUMIFS(TASK_AMT,TASK_B,B32,TASK_M,$I$29))</f>
        <v/>
      </c>
    </row>
    <row r="33">
      <c r="A33" s="21">
        <f>IF(B33="","",3)</f>
        <v/>
      </c>
      <c r="B33" s="21">
        <f>IFERROR(INDEX(TASK_B,MATCH(3,TASK_G,0)),"")</f>
        <v/>
      </c>
      <c r="C33" s="21">
        <f>IF(B33="","",COUNTIF(TASK_B,B33))</f>
        <v/>
      </c>
      <c r="D33" s="63">
        <f>IF(B33="","",SUMIFS(TASK_AMT,TASK_B,B33))</f>
        <v/>
      </c>
      <c r="E33" s="21">
        <f>IF(B33="","",COUNTIFS(TASK_B,B33,TASK_M,$I$29))</f>
        <v/>
      </c>
      <c r="F33" s="63">
        <f>IF(B33="","",SUMIFS(TASK_AMT,TASK_B,B33,TASK_M,$I$29))</f>
        <v/>
      </c>
    </row>
    <row r="34">
      <c r="A34" s="21">
        <f>IF(B34="","",4)</f>
        <v/>
      </c>
      <c r="B34" s="21">
        <f>IFERROR(INDEX(TASK_B,MATCH(4,TASK_G,0)),"")</f>
        <v/>
      </c>
      <c r="C34" s="21">
        <f>IF(B34="","",COUNTIF(TASK_B,B34))</f>
        <v/>
      </c>
      <c r="D34" s="63">
        <f>IF(B34="","",SUMIFS(TASK_AMT,TASK_B,B34))</f>
        <v/>
      </c>
      <c r="E34" s="21">
        <f>IF(B34="","",COUNTIFS(TASK_B,B34,TASK_M,$I$29))</f>
        <v/>
      </c>
      <c r="F34" s="63">
        <f>IF(B34="","",SUMIFS(TASK_AMT,TASK_B,B34,TASK_M,$I$29))</f>
        <v/>
      </c>
    </row>
    <row r="35">
      <c r="A35" s="21">
        <f>IF(B35="","",5)</f>
        <v/>
      </c>
      <c r="B35" s="21">
        <f>IFERROR(INDEX(TASK_B,MATCH(5,TASK_G,0)),"")</f>
        <v/>
      </c>
      <c r="C35" s="21">
        <f>IF(B35="","",COUNTIF(TASK_B,B35))</f>
        <v/>
      </c>
      <c r="D35" s="63">
        <f>IF(B35="","",SUMIFS(TASK_AMT,TASK_B,B35))</f>
        <v/>
      </c>
      <c r="E35" s="21">
        <f>IF(B35="","",COUNTIFS(TASK_B,B35,TASK_M,$I$29))</f>
        <v/>
      </c>
      <c r="F35" s="63">
        <f>IF(B35="","",SUMIFS(TASK_AMT,TASK_B,B35,TASK_M,$I$29))</f>
        <v/>
      </c>
    </row>
    <row r="36">
      <c r="A36" s="21">
        <f>IF(B36="","",6)</f>
        <v/>
      </c>
      <c r="B36" s="21">
        <f>IFERROR(INDEX(TASK_B,MATCH(6,TASK_G,0)),"")</f>
        <v/>
      </c>
      <c r="C36" s="21">
        <f>IF(B36="","",COUNTIF(TASK_B,B36))</f>
        <v/>
      </c>
      <c r="D36" s="63">
        <f>IF(B36="","",SUMIFS(TASK_AMT,TASK_B,B36))</f>
        <v/>
      </c>
      <c r="E36" s="21">
        <f>IF(B36="","",COUNTIFS(TASK_B,B36,TASK_M,$I$29))</f>
        <v/>
      </c>
      <c r="F36" s="63">
        <f>IF(B36="","",SUMIFS(TASK_AMT,TASK_B,B36,TASK_M,$I$29))</f>
        <v/>
      </c>
    </row>
    <row r="37">
      <c r="A37" s="21">
        <f>IF(B37="","",7)</f>
        <v/>
      </c>
      <c r="B37" s="21">
        <f>IFERROR(INDEX(TASK_B,MATCH(7,TASK_G,0)),"")</f>
        <v/>
      </c>
      <c r="C37" s="21">
        <f>IF(B37="","",COUNTIF(TASK_B,B37))</f>
        <v/>
      </c>
      <c r="D37" s="63">
        <f>IF(B37="","",SUMIFS(TASK_AMT,TASK_B,B37))</f>
        <v/>
      </c>
      <c r="E37" s="21">
        <f>IF(B37="","",COUNTIFS(TASK_B,B37,TASK_M,$I$29))</f>
        <v/>
      </c>
      <c r="F37" s="63">
        <f>IF(B37="","",SUMIFS(TASK_AMT,TASK_B,B37,TASK_M,$I$29))</f>
        <v/>
      </c>
    </row>
    <row r="38">
      <c r="A38" s="21">
        <f>IF(B38="","",8)</f>
        <v/>
      </c>
      <c r="B38" s="21">
        <f>IFERROR(INDEX(TASK_B,MATCH(8,TASK_G,0)),"")</f>
        <v/>
      </c>
      <c r="C38" s="21">
        <f>IF(B38="","",COUNTIF(TASK_B,B38))</f>
        <v/>
      </c>
      <c r="D38" s="63">
        <f>IF(B38="","",SUMIFS(TASK_AMT,TASK_B,B38))</f>
        <v/>
      </c>
      <c r="E38" s="21">
        <f>IF(B38="","",COUNTIFS(TASK_B,B38,TASK_M,$I$29))</f>
        <v/>
      </c>
      <c r="F38" s="63">
        <f>IF(B38="","",SUMIFS(TASK_AMT,TASK_B,B38,TASK_M,$I$29))</f>
        <v/>
      </c>
    </row>
    <row r="39">
      <c r="A39" s="21">
        <f>IF(B39="","",9)</f>
        <v/>
      </c>
      <c r="B39" s="21">
        <f>IFERROR(INDEX(TASK_B,MATCH(9,TASK_G,0)),"")</f>
        <v/>
      </c>
      <c r="C39" s="21">
        <f>IF(B39="","",COUNTIF(TASK_B,B39))</f>
        <v/>
      </c>
      <c r="D39" s="63">
        <f>IF(B39="","",SUMIFS(TASK_AMT,TASK_B,B39))</f>
        <v/>
      </c>
      <c r="E39" s="21">
        <f>IF(B39="","",COUNTIFS(TASK_B,B39,TASK_M,$I$29))</f>
        <v/>
      </c>
      <c r="F39" s="63">
        <f>IF(B39="","",SUMIFS(TASK_AMT,TASK_B,B39,TASK_M,$I$29))</f>
        <v/>
      </c>
    </row>
    <row r="40">
      <c r="A40" s="21">
        <f>IF(B40="","",10)</f>
        <v/>
      </c>
      <c r="B40" s="21">
        <f>IFERROR(INDEX(TASK_B,MATCH(10,TASK_G,0)),"")</f>
        <v/>
      </c>
      <c r="C40" s="21">
        <f>IF(B40="","",COUNTIF(TASK_B,B40))</f>
        <v/>
      </c>
      <c r="D40" s="63">
        <f>IF(B40="","",SUMIFS(TASK_AMT,TASK_B,B40))</f>
        <v/>
      </c>
      <c r="E40" s="21">
        <f>IF(B40="","",COUNTIFS(TASK_B,B40,TASK_M,$I$29))</f>
        <v/>
      </c>
      <c r="F40" s="63">
        <f>IF(B40="","",SUMIFS(TASK_AMT,TASK_B,B40,TASK_M,$I$29))</f>
        <v/>
      </c>
    </row>
    <row r="41">
      <c r="A41" s="21">
        <f>IF(B41="","",11)</f>
        <v/>
      </c>
      <c r="B41" s="21">
        <f>IFERROR(INDEX(TASK_B,MATCH(11,TASK_G,0)),"")</f>
        <v/>
      </c>
      <c r="C41" s="21">
        <f>IF(B41="","",COUNTIF(TASK_B,B41))</f>
        <v/>
      </c>
      <c r="D41" s="63">
        <f>IF(B41="","",SUMIFS(TASK_AMT,TASK_B,B41))</f>
        <v/>
      </c>
      <c r="E41" s="21">
        <f>IF(B41="","",COUNTIFS(TASK_B,B41,TASK_M,$I$29))</f>
        <v/>
      </c>
      <c r="F41" s="63">
        <f>IF(B41="","",SUMIFS(TASK_AMT,TASK_B,B41,TASK_M,$I$29))</f>
        <v/>
      </c>
    </row>
    <row r="42">
      <c r="A42" s="21">
        <f>IF(B42="","",12)</f>
        <v/>
      </c>
      <c r="B42" s="21">
        <f>IFERROR(INDEX(TASK_B,MATCH(12,TASK_G,0)),"")</f>
        <v/>
      </c>
      <c r="C42" s="21">
        <f>IF(B42="","",COUNTIF(TASK_B,B42))</f>
        <v/>
      </c>
      <c r="D42" s="63">
        <f>IF(B42="","",SUMIFS(TASK_AMT,TASK_B,B42))</f>
        <v/>
      </c>
      <c r="E42" s="21">
        <f>IF(B42="","",COUNTIFS(TASK_B,B42,TASK_M,$I$29))</f>
        <v/>
      </c>
      <c r="F42" s="63">
        <f>IF(B42="","",SUMIFS(TASK_AMT,TASK_B,B42,TASK_M,$I$29))</f>
        <v/>
      </c>
    </row>
    <row r="43">
      <c r="A43" s="21">
        <f>IF(B43="","",13)</f>
        <v/>
      </c>
      <c r="B43" s="21">
        <f>IFERROR(INDEX(TASK_B,MATCH(13,TASK_G,0)),"")</f>
        <v/>
      </c>
      <c r="C43" s="21">
        <f>IF(B43="","",COUNTIF(TASK_B,B43))</f>
        <v/>
      </c>
      <c r="D43" s="63">
        <f>IF(B43="","",SUMIFS(TASK_AMT,TASK_B,B43))</f>
        <v/>
      </c>
      <c r="E43" s="21">
        <f>IF(B43="","",COUNTIFS(TASK_B,B43,TASK_M,$I$29))</f>
        <v/>
      </c>
      <c r="F43" s="63">
        <f>IF(B43="","",SUMIFS(TASK_AMT,TASK_B,B43,TASK_M,$I$29))</f>
        <v/>
      </c>
    </row>
    <row r="44">
      <c r="A44" s="21">
        <f>IF(B44="","",14)</f>
        <v/>
      </c>
      <c r="B44" s="21">
        <f>IFERROR(INDEX(TASK_B,MATCH(14,TASK_G,0)),"")</f>
        <v/>
      </c>
      <c r="C44" s="21">
        <f>IF(B44="","",COUNTIF(TASK_B,B44))</f>
        <v/>
      </c>
      <c r="D44" s="63">
        <f>IF(B44="","",SUMIFS(TASK_AMT,TASK_B,B44))</f>
        <v/>
      </c>
      <c r="E44" s="21">
        <f>IF(B44="","",COUNTIFS(TASK_B,B44,TASK_M,$I$29))</f>
        <v/>
      </c>
      <c r="F44" s="63">
        <f>IF(B44="","",SUMIFS(TASK_AMT,TASK_B,B44,TASK_M,$I$29))</f>
        <v/>
      </c>
    </row>
    <row r="45">
      <c r="A45" s="21">
        <f>IF(B45="","",15)</f>
        <v/>
      </c>
      <c r="B45" s="21">
        <f>IFERROR(INDEX(TASK_B,MATCH(15,TASK_G,0)),"")</f>
        <v/>
      </c>
      <c r="C45" s="21">
        <f>IF(B45="","",COUNTIF(TASK_B,B45))</f>
        <v/>
      </c>
      <c r="D45" s="63">
        <f>IF(B45="","",SUMIFS(TASK_AMT,TASK_B,B45))</f>
        <v/>
      </c>
      <c r="E45" s="21">
        <f>IF(B45="","",COUNTIFS(TASK_B,B45,TASK_M,$I$29))</f>
        <v/>
      </c>
      <c r="F45" s="63">
        <f>IF(B45="","",SUMIFS(TASK_AMT,TASK_B,B45,TASK_M,$I$29))</f>
        <v/>
      </c>
    </row>
    <row r="46">
      <c r="A46" s="21">
        <f>IF(B46="","",16)</f>
        <v/>
      </c>
      <c r="B46" s="21">
        <f>IFERROR(INDEX(TASK_B,MATCH(16,TASK_G,0)),"")</f>
        <v/>
      </c>
      <c r="C46" s="21">
        <f>IF(B46="","",COUNTIF(TASK_B,B46))</f>
        <v/>
      </c>
      <c r="D46" s="63">
        <f>IF(B46="","",SUMIFS(TASK_AMT,TASK_B,B46))</f>
        <v/>
      </c>
      <c r="E46" s="21">
        <f>IF(B46="","",COUNTIFS(TASK_B,B46,TASK_M,$I$29))</f>
        <v/>
      </c>
      <c r="F46" s="63">
        <f>IF(B46="","",SUMIFS(TASK_AMT,TASK_B,B46,TASK_M,$I$29))</f>
        <v/>
      </c>
    </row>
    <row r="47">
      <c r="A47" s="21">
        <f>IF(B47="","",17)</f>
        <v/>
      </c>
      <c r="B47" s="21">
        <f>IFERROR(INDEX(TASK_B,MATCH(17,TASK_G,0)),"")</f>
        <v/>
      </c>
      <c r="C47" s="21">
        <f>IF(B47="","",COUNTIF(TASK_B,B47))</f>
        <v/>
      </c>
      <c r="D47" s="63">
        <f>IF(B47="","",SUMIFS(TASK_AMT,TASK_B,B47))</f>
        <v/>
      </c>
      <c r="E47" s="21">
        <f>IF(B47="","",COUNTIFS(TASK_B,B47,TASK_M,$I$29))</f>
        <v/>
      </c>
      <c r="F47" s="63">
        <f>IF(B47="","",SUMIFS(TASK_AMT,TASK_B,B47,TASK_M,$I$29))</f>
        <v/>
      </c>
    </row>
    <row r="48">
      <c r="A48" s="21">
        <f>IF(B48="","",18)</f>
        <v/>
      </c>
      <c r="B48" s="21">
        <f>IFERROR(INDEX(TASK_B,MATCH(18,TASK_G,0)),"")</f>
        <v/>
      </c>
      <c r="C48" s="21">
        <f>IF(B48="","",COUNTIF(TASK_B,B48))</f>
        <v/>
      </c>
      <c r="D48" s="63">
        <f>IF(B48="","",SUMIFS(TASK_AMT,TASK_B,B48))</f>
        <v/>
      </c>
      <c r="E48" s="21">
        <f>IF(B48="","",COUNTIFS(TASK_B,B48,TASK_M,$I$29))</f>
        <v/>
      </c>
      <c r="F48" s="63">
        <f>IF(B48="","",SUMIFS(TASK_AMT,TASK_B,B48,TASK_M,$I$29))</f>
        <v/>
      </c>
    </row>
    <row r="49">
      <c r="A49" s="21">
        <f>IF(B49="","",19)</f>
        <v/>
      </c>
      <c r="B49" s="21">
        <f>IFERROR(INDEX(TASK_B,MATCH(19,TASK_G,0)),"")</f>
        <v/>
      </c>
      <c r="C49" s="21">
        <f>IF(B49="","",COUNTIF(TASK_B,B49))</f>
        <v/>
      </c>
      <c r="D49" s="63">
        <f>IF(B49="","",SUMIFS(TASK_AMT,TASK_B,B49))</f>
        <v/>
      </c>
      <c r="E49" s="21">
        <f>IF(B49="","",COUNTIFS(TASK_B,B49,TASK_M,$I$29))</f>
        <v/>
      </c>
      <c r="F49" s="63">
        <f>IF(B49="","",SUMIFS(TASK_AMT,TASK_B,B49,TASK_M,$I$29))</f>
        <v/>
      </c>
    </row>
    <row r="50">
      <c r="A50" s="21">
        <f>IF(B50="","",20)</f>
        <v/>
      </c>
      <c r="B50" s="21">
        <f>IFERROR(INDEX(TASK_B,MATCH(20,TASK_G,0)),"")</f>
        <v/>
      </c>
      <c r="C50" s="21">
        <f>IF(B50="","",COUNTIF(TASK_B,B50))</f>
        <v/>
      </c>
      <c r="D50" s="63">
        <f>IF(B50="","",SUMIFS(TASK_AMT,TASK_B,B50))</f>
        <v/>
      </c>
      <c r="E50" s="21">
        <f>IF(B50="","",COUNTIFS(TASK_B,B50,TASK_M,$I$29))</f>
        <v/>
      </c>
      <c r="F50" s="63">
        <f>IF(B50="","",SUMIFS(TASK_AMT,TASK_B,B50,TASK_M,$I$29))</f>
        <v/>
      </c>
    </row>
    <row r="51">
      <c r="A51" s="28" t="n"/>
      <c r="B51" s="28" t="inlineStr">
        <is>
          <t>المجموع</t>
        </is>
      </c>
      <c r="C51" s="28">
        <f>COUNTA(TASK_B)</f>
        <v/>
      </c>
      <c r="D51" s="67">
        <f>'عمال المهام'!D606</f>
        <v/>
      </c>
      <c r="E51" s="28">
        <f>COUNTIFS(TASK_M,$I$29)</f>
        <v/>
      </c>
      <c r="F51" s="67">
        <f>SUMIFS(TASK_AMT,TASK_M,$I$29)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A1:J1"/>
    <mergeCell ref="A27:J27"/>
    <mergeCell ref="A21:J21"/>
    <mergeCell ref="A4:J4"/>
    <mergeCell ref="A26:J26"/>
    <mergeCell ref="A2:J2"/>
    <mergeCell ref="A25:J25"/>
    <mergeCell ref="A29:F29"/>
    <mergeCell ref="A19:J19"/>
  </mergeCells>
  <conditionalFormatting sqref="A6:J17">
    <cfRule type="expression" priority="1" dxfId="3">
      <formula>INDEX(WMON,WK)=ROW()-5</formula>
    </cfRule>
  </conditionalFormatting>
  <dataValidations count="1">
    <dataValidation sqref="I29" showDropDown="0" showInputMessage="1" showErrorMessage="0" allowBlank="1" promptTitle="" prompt="رقم الشهر 1–12 (بيطلع لحاله شهر الأسبوع المختار)" type="list">
      <formula1>='القوائم'!$D$1:$D$12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8" customWidth="1" min="2" max="2"/>
  </cols>
  <sheetData>
    <row r="1">
      <c r="B1" s="98" t="inlineStr">
        <is>
          <t>كيف يشتغل الملف (النظام الأسبوعي السنوي)</t>
        </is>
      </c>
    </row>
    <row r="3">
      <c r="B3" s="99" t="inlineStr">
        <is>
          <t>الفكرة</t>
        </is>
      </c>
    </row>
    <row r="4" ht="36" customHeight="1">
      <c r="A4" s="100" t="inlineStr">
        <is>
          <t>1</t>
        </is>
      </c>
      <c r="B4" s="101" t="inlineStr">
        <is>
          <t>ملف واحد للسنة كاملة. الأسبوع من السبت لمساء الجمعة، ومساء الجمعة الموظف بياخذ أجرته. الأسبوع كامل بينسب للشهر اللي فيه جمعته (يوم القبض) — ما بينقسم أبداً بين شهرين.</t>
        </is>
      </c>
    </row>
    <row r="5" ht="36" customHeight="1">
      <c r="A5" s="100" t="inlineStr">
        <is>
          <t>2</t>
        </is>
      </c>
      <c r="B5" s="101" t="inlineStr">
        <is>
          <t>الأسبوع 1 = اللي جمعته أول جمعة بيناير. السنة فيها 52 أو 53 أسبوع (2027 فيها 53). الأيام اللي آخر ديسمبر وجمعتها بيناير بتروح لملف السنة الجاية.</t>
        </is>
      </c>
    </row>
    <row r="6">
      <c r="B6" s="99" t="inlineStr">
        <is>
          <t>أول السنة (أو أول ما تبلّش)</t>
        </is>
      </c>
    </row>
    <row r="7" ht="36" customHeight="1">
      <c r="A7" s="100" t="inlineStr">
        <is>
          <t>3</t>
        </is>
      </c>
      <c r="B7" s="101" t="inlineStr">
        <is>
          <t>بورقة «التسوية» اختر السنة. بورقة «بداية السنة»: أسبوع البداية (أسبوع 1 لسنة كاملة — أو رقم الأسبوع اللي بلّشت فيه)، ومستحق له من قبل، ودين عليه، والقسط — من «نهاية السنة» بملف السنة الماضية.</t>
        </is>
      </c>
    </row>
    <row r="8">
      <c r="B8" s="99" t="inlineStr">
        <is>
          <t>كل يوم</t>
        </is>
      </c>
    </row>
    <row r="9" ht="36" customHeight="1">
      <c r="A9" s="100" t="inlineStr">
        <is>
          <t>4</t>
        </is>
      </c>
      <c r="B9" s="101" t="inlineStr">
        <is>
          <t>بورقة الساعات: روح على الأسبوع الحالي (ملوّن أصفر، أو من رابط «افتح ساعات…» بالتسوية). اختر الدخول والخروج من القائمة (كل 5 دقائق، AM/PM) أو اكتبه مثل 7:30 AM. عبدالعزيز: آخر اليوم «قبض؟ نعم».</t>
        </is>
      </c>
    </row>
    <row r="10" ht="36" customHeight="1">
      <c r="A10" s="100" t="inlineStr">
        <is>
          <t>5</t>
        </is>
      </c>
      <c r="B10" s="101" t="inlineStr">
        <is>
          <t>سلفة كاش: سطر بورقة «السلف» بتاريخها (اختار من آخر 14 يوم، أو اكتب 0510 = 05/10). قرض أو بضاعة: سطر بورقة «القروض والديون» فيه النوع والمبلغ والقسط — والبضاعة بالبيان: الصنف والكمية.</t>
        </is>
      </c>
    </row>
    <row r="11" ht="36" customHeight="1">
      <c r="A11" s="100" t="inlineStr">
        <is>
          <t>6</t>
        </is>
      </c>
      <c r="B11" s="101" t="inlineStr">
        <is>
          <t>عامل مهمة: سطر بورقة «عمال المهام» نفس اليوم.</t>
        </is>
      </c>
    </row>
    <row r="12">
      <c r="B12" s="99" t="inlineStr">
        <is>
          <t>آخر الأسبوع (الجمعة)</t>
        </is>
      </c>
    </row>
    <row r="13" ht="36" customHeight="1">
      <c r="A13" s="100" t="inlineStr">
        <is>
          <t>7</t>
        </is>
      </c>
      <c r="B13" s="101" t="inlineStr">
        <is>
          <t>ورقة «التسوية» بتفتح على الأسبوع الحالي لحالها: لكل موظف «الصافي للدفع» (البرتقالي) = الباقي من الأسبوع الماضي + المستحق + الإكرامية − السلف − القسط (عبدالعزيز: − اللي قبضه يومياً). وتحتهم مجموع الكاش اللي بتطلعه.</t>
        </is>
      </c>
    </row>
    <row r="14" ht="36" customHeight="1">
      <c r="A14" s="100" t="inlineStr">
        <is>
          <t>8</t>
        </is>
      </c>
      <c r="B14" s="101" t="inlineStr">
        <is>
          <t>تحت الأسبوع بورقة الساعات: اكتب ساعات الجبسمبورد، والإكرامية، و«المدفوع يوم الجمعة». أول ما تكتب المدفوع الأسبوع بيتلوّن أخضر = مقبوض ومقفول. ما تعدّل أسبوع مقبوض — أي تصحيح بسطر الأسبوع الجاي.</t>
        </is>
      </c>
    </row>
    <row r="15" ht="36" customHeight="1">
      <c r="A15" s="100" t="inlineStr">
        <is>
          <t>9</t>
        </is>
      </c>
      <c r="B15" s="101" t="inlineStr">
        <is>
          <t>«الباقي له» (لو دفعت أقل أو أكثر) بينتقل لحاله للأسبوع الجاي — ما في نقل يدوي.</t>
        </is>
      </c>
    </row>
    <row r="16">
      <c r="B16" s="99" t="inlineStr">
        <is>
          <t>السقوف (بتشتغل لحالها)</t>
        </is>
      </c>
    </row>
    <row r="17" ht="36" customHeight="1">
      <c r="A17" s="100" t="inlineStr">
        <is>
          <t>10</t>
        </is>
      </c>
      <c r="B17" s="101" t="inlineStr">
        <is>
          <t>السلفة أكثر من 60% من اللي اشتغله لحد يومها بتتلوّن برتقالي (تنبيه بس). القسط ما بيزيد عن 25% من المستحق + الإكرامية، والصافي ما بينزل عن 65% من المستحق — الباقي من القسط بيتأجل لحاله. النسب بورقة «القواعد».</t>
        </is>
      </c>
    </row>
    <row r="18">
      <c r="B18" s="99" t="inlineStr">
        <is>
          <t>الأسعار</t>
        </is>
      </c>
    </row>
    <row r="19" ht="36" customHeight="1">
      <c r="A19" s="100" t="inlineStr">
        <is>
          <t>11</t>
        </is>
      </c>
      <c r="B19" s="101" t="inlineStr">
        <is>
          <t>جدول الأسعار بورقة «القواعد» فيه «ساري من»: لما يتغيّر سعر الساعة اكتب سطر جديد بتاريخه. الأسابيع القديمة بتضل على سعرها — ما بيتغيّر الماضي.</t>
        </is>
      </c>
    </row>
    <row r="20">
      <c r="B20" s="99" t="inlineStr">
        <is>
          <t>آخر الشهر</t>
        </is>
      </c>
    </row>
    <row r="21" ht="36" customHeight="1">
      <c r="A21" s="100" t="inlineStr">
        <is>
          <t>12</t>
        </is>
      </c>
      <c r="B21" s="101" t="inlineStr">
        <is>
          <t>ورقة «ملخص الأيدي العاملة»: جدول 12 شهر — قديش دفعت كاش، كلفة الشغل، البضاعة، القروض — حسب جمعة كل أسبوع. وتحته وضع كل موظف والمطابقة وعمال المهام.</t>
        </is>
      </c>
    </row>
    <row r="22" ht="36" customHeight="1">
      <c r="A22" s="100" t="inlineStr">
        <is>
          <t>13</t>
        </is>
      </c>
      <c r="B22" s="101" t="inlineStr">
        <is>
          <t>ارفع الملف لكلود وقلّه «هاد ملف الموظفين لشهر كذا»: البضاعة بتنزل فواتير بيع على أودو باسم الموظف، والأقساط تحصيل. كل شي مسودة أول، وما بينرحّل إلا بـ«رحّل». والملف ما بينرحّل مرتين.</t>
        </is>
      </c>
    </row>
    <row r="23">
      <c r="B23" s="99" t="inlineStr">
        <is>
          <t>الحماية والنسخ</t>
        </is>
      </c>
    </row>
    <row r="24" ht="36" customHeight="1">
      <c r="A24" s="100" t="inlineStr">
        <is>
          <t>14</t>
        </is>
      </c>
      <c r="B24" s="101" t="inlineStr">
        <is>
          <t>الخلايا الصفراء بس بتنكتب. الباقي محمي بلا كلمة سر (مراجعة ← إلغاء حماية الورقة إذا لزم). الملف فيه سنة كاملة — خلّيه على الدرايف عشان النسخ تنحفظ لحالها.</t>
        </is>
      </c>
    </row>
    <row r="25" ht="36" customHeight="1">
      <c r="A25" s="100" t="inlineStr">
        <is>
          <t>15</t>
        </is>
      </c>
      <c r="B25" s="101" t="inlineStr">
        <is>
          <t>كل التواريخ يوم/شهر/سنة. بخانة التاريخ: اختار من القائمة (آخر 14 يوم)، أو اكتب يوم وشهر (0510 = 05/10)، أو التاريخ كامل. رقم اليوم لحاله ما بينفع بالملف السنوي (بيتلوّن أحمر).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6:00 AM</t>
        </is>
      </c>
      <c r="B1" s="25" t="n">
        <v>0.25</v>
      </c>
      <c r="D1" t="n">
        <v>1</v>
      </c>
      <c r="E1" t="n">
        <v>2026</v>
      </c>
      <c r="G1" s="19">
        <f>DATE(G4,1,1)+MOD(6-WEEKDAY(DATE(G4,1,1),1),7)-6</f>
        <v/>
      </c>
      <c r="N1" s="19">
        <f>TODAY()-13</f>
        <v/>
      </c>
      <c r="P1" t="inlineStr">
        <is>
          <t>ALAWN_PAYROLL</t>
        </is>
      </c>
    </row>
    <row r="2">
      <c r="A2" t="inlineStr">
        <is>
          <t>6:05 AM</t>
        </is>
      </c>
      <c r="B2" s="25" t="n">
        <v>0.2534722222222222</v>
      </c>
      <c r="D2" t="n">
        <v>2</v>
      </c>
      <c r="E2" t="n">
        <v>2027</v>
      </c>
      <c r="G2">
        <f>INT((DATE(G4,12,31)-(G1+6))/7)+1</f>
        <v/>
      </c>
      <c r="N2" s="19">
        <f>TODAY()-12</f>
        <v/>
      </c>
      <c r="P2" t="n">
        <v>12</v>
      </c>
    </row>
    <row r="3">
      <c r="A3" t="inlineStr">
        <is>
          <t>6:10 AM</t>
        </is>
      </c>
      <c r="B3" s="25" t="n">
        <v>0.2569444444444444</v>
      </c>
      <c r="D3" t="n">
        <v>3</v>
      </c>
      <c r="E3" t="n">
        <v>2028</v>
      </c>
      <c r="G3">
        <f>IF(AND(TODAY()&gt;=G1,TODAY()&lt;=G1+7*G2-1),INT((TODAY()-G1)/7)+1,1)</f>
        <v/>
      </c>
      <c r="N3" s="19">
        <f>TODAY()-11</f>
        <v/>
      </c>
      <c r="P3" t="inlineStr">
        <is>
          <t>سنوي</t>
        </is>
      </c>
    </row>
    <row r="4">
      <c r="A4" t="inlineStr">
        <is>
          <t>6:15 AM</t>
        </is>
      </c>
      <c r="B4" s="25" t="n">
        <v>0.2604166666666667</v>
      </c>
      <c r="D4" t="n">
        <v>4</v>
      </c>
      <c r="E4" t="n">
        <v>2029</v>
      </c>
      <c r="G4">
        <f>'التسوية'!$E$3</f>
        <v/>
      </c>
      <c r="N4" s="19">
        <f>TODAY()-10</f>
        <v/>
      </c>
    </row>
    <row r="5">
      <c r="A5" t="inlineStr">
        <is>
          <t>6:20 AM</t>
        </is>
      </c>
      <c r="B5" s="25" t="n">
        <v>0.2638888888888889</v>
      </c>
      <c r="D5" t="n">
        <v>5</v>
      </c>
      <c r="E5" t="n">
        <v>2030</v>
      </c>
      <c r="N5" s="19">
        <f>TODAY()-9</f>
        <v/>
      </c>
    </row>
    <row r="6">
      <c r="A6" t="inlineStr">
        <is>
          <t>6:25 AM</t>
        </is>
      </c>
      <c r="B6" s="25" t="n">
        <v>0.2673611111111111</v>
      </c>
      <c r="D6" t="n">
        <v>6</v>
      </c>
      <c r="E6" t="n">
        <v>2031</v>
      </c>
      <c r="N6" s="19">
        <f>TODAY()-8</f>
        <v/>
      </c>
    </row>
    <row r="7">
      <c r="A7" t="inlineStr">
        <is>
          <t>6:30 AM</t>
        </is>
      </c>
      <c r="B7" s="25" t="n">
        <v>0.2708333333333333</v>
      </c>
      <c r="D7" t="n">
        <v>7</v>
      </c>
      <c r="E7" t="n">
        <v>2032</v>
      </c>
      <c r="N7" s="19">
        <f>TODAY()-7</f>
        <v/>
      </c>
    </row>
    <row r="8">
      <c r="A8" t="inlineStr">
        <is>
          <t>6:35 AM</t>
        </is>
      </c>
      <c r="B8" s="25" t="n">
        <v>0.2743055555555556</v>
      </c>
      <c r="D8" t="n">
        <v>8</v>
      </c>
      <c r="E8" t="n">
        <v>2033</v>
      </c>
      <c r="N8" s="19">
        <f>TODAY()-6</f>
        <v/>
      </c>
    </row>
    <row r="9">
      <c r="A9" t="inlineStr">
        <is>
          <t>6:40 AM</t>
        </is>
      </c>
      <c r="B9" s="25" t="n">
        <v>0.2777777777777778</v>
      </c>
      <c r="D9" t="n">
        <v>9</v>
      </c>
      <c r="E9" t="n">
        <v>2034</v>
      </c>
      <c r="N9" s="19">
        <f>TODAY()-5</f>
        <v/>
      </c>
    </row>
    <row r="10">
      <c r="A10" t="inlineStr">
        <is>
          <t>6:45 AM</t>
        </is>
      </c>
      <c r="B10" s="25" t="n">
        <v>0.28125</v>
      </c>
      <c r="D10" t="n">
        <v>10</v>
      </c>
      <c r="E10" t="n">
        <v>2035</v>
      </c>
      <c r="N10" s="19">
        <f>TODAY()-4</f>
        <v/>
      </c>
    </row>
    <row r="11">
      <c r="A11" t="inlineStr">
        <is>
          <t>6:50 AM</t>
        </is>
      </c>
      <c r="B11" s="25" t="n">
        <v>0.2847222222222222</v>
      </c>
      <c r="D11" t="n">
        <v>11</v>
      </c>
      <c r="H11" s="19">
        <f>IF(1&lt;=NW,SAT1+0,"")</f>
        <v/>
      </c>
      <c r="I11" s="19">
        <f>IF(1&lt;=NW,SAT1+6,"")</f>
        <v/>
      </c>
      <c r="J11">
        <f>IF(1&lt;=NW,"الأسبوع 1 · "&amp;TEXT(DAY(H11),"00")&amp;"/"&amp;TEXT(MONTH(H11),"00")&amp;" ← "&amp;TEXT(DAY(I11),"00")&amp;"/"&amp;TEXT(MONTH(I11),"00"),"")</f>
        <v/>
      </c>
      <c r="K11">
        <f>IF(1&lt;=NW,MONTH(I11),"")</f>
        <v/>
      </c>
      <c r="L11" t="n">
        <v>1</v>
      </c>
      <c r="N11" s="19">
        <f>TODAY()-3</f>
        <v/>
      </c>
    </row>
    <row r="12">
      <c r="A12" t="inlineStr">
        <is>
          <t>6:55 AM</t>
        </is>
      </c>
      <c r="B12" s="25" t="n">
        <v>0.2881944444444444</v>
      </c>
      <c r="D12" t="n">
        <v>12</v>
      </c>
      <c r="H12" s="19">
        <f>IF(2&lt;=NW,SAT1+7,"")</f>
        <v/>
      </c>
      <c r="I12" s="19">
        <f>IF(2&lt;=NW,SAT1+13,"")</f>
        <v/>
      </c>
      <c r="J12">
        <f>IF(2&lt;=NW,"الأسبوع 2 · "&amp;TEXT(DAY(H12),"00")&amp;"/"&amp;TEXT(MONTH(H12),"00")&amp;" ← "&amp;TEXT(DAY(I12),"00")&amp;"/"&amp;TEXT(MONTH(I12),"00"),"")</f>
        <v/>
      </c>
      <c r="K12">
        <f>IF(2&lt;=NW,MONTH(I12),"")</f>
        <v/>
      </c>
      <c r="L12" t="n">
        <v>2</v>
      </c>
      <c r="N12" s="19">
        <f>TODAY()-2</f>
        <v/>
      </c>
    </row>
    <row r="13">
      <c r="A13" t="inlineStr">
        <is>
          <t>7:00 AM</t>
        </is>
      </c>
      <c r="B13" s="25" t="n">
        <v>0.2916666666666667</v>
      </c>
      <c r="H13" s="19">
        <f>IF(3&lt;=NW,SAT1+14,"")</f>
        <v/>
      </c>
      <c r="I13" s="19">
        <f>IF(3&lt;=NW,SAT1+20,"")</f>
        <v/>
      </c>
      <c r="J13">
        <f>IF(3&lt;=NW,"الأسبوع 3 · "&amp;TEXT(DAY(H13),"00")&amp;"/"&amp;TEXT(MONTH(H13),"00")&amp;" ← "&amp;TEXT(DAY(I13),"00")&amp;"/"&amp;TEXT(MONTH(I13),"00"),"")</f>
        <v/>
      </c>
      <c r="K13">
        <f>IF(3&lt;=NW,MONTH(I13),"")</f>
        <v/>
      </c>
      <c r="L13" t="n">
        <v>3</v>
      </c>
      <c r="N13" s="19">
        <f>TODAY()-1</f>
        <v/>
      </c>
    </row>
    <row r="14">
      <c r="A14" t="inlineStr">
        <is>
          <t>7:05 AM</t>
        </is>
      </c>
      <c r="B14" s="25" t="n">
        <v>0.2951388888888889</v>
      </c>
      <c r="H14" s="19">
        <f>IF(4&lt;=NW,SAT1+21,"")</f>
        <v/>
      </c>
      <c r="I14" s="19">
        <f>IF(4&lt;=NW,SAT1+27,"")</f>
        <v/>
      </c>
      <c r="J14">
        <f>IF(4&lt;=NW,"الأسبوع 4 · "&amp;TEXT(DAY(H14),"00")&amp;"/"&amp;TEXT(MONTH(H14),"00")&amp;" ← "&amp;TEXT(DAY(I14),"00")&amp;"/"&amp;TEXT(MONTH(I14),"00"),"")</f>
        <v/>
      </c>
      <c r="K14">
        <f>IF(4&lt;=NW,MONTH(I14),"")</f>
        <v/>
      </c>
      <c r="L14" t="n">
        <v>4</v>
      </c>
      <c r="N14" s="19">
        <f>TODAY()-0</f>
        <v/>
      </c>
    </row>
    <row r="15">
      <c r="A15" t="inlineStr">
        <is>
          <t>7:10 AM</t>
        </is>
      </c>
      <c r="B15" s="25" t="n">
        <v>0.2986111111111111</v>
      </c>
      <c r="H15" s="19">
        <f>IF(5&lt;=NW,SAT1+28,"")</f>
        <v/>
      </c>
      <c r="I15" s="19">
        <f>IF(5&lt;=NW,SAT1+34,"")</f>
        <v/>
      </c>
      <c r="J15">
        <f>IF(5&lt;=NW,"الأسبوع 5 · "&amp;TEXT(DAY(H15),"00")&amp;"/"&amp;TEXT(MONTH(H15),"00")&amp;" ← "&amp;TEXT(DAY(I15),"00")&amp;"/"&amp;TEXT(MONTH(I15),"00"),"")</f>
        <v/>
      </c>
      <c r="K15">
        <f>IF(5&lt;=NW,MONTH(I15),"")</f>
        <v/>
      </c>
      <c r="L15" t="n">
        <v>5</v>
      </c>
    </row>
    <row r="16">
      <c r="A16" t="inlineStr">
        <is>
          <t>7:15 AM</t>
        </is>
      </c>
      <c r="B16" s="25" t="n">
        <v>0.3020833333333333</v>
      </c>
      <c r="H16" s="19">
        <f>IF(6&lt;=NW,SAT1+35,"")</f>
        <v/>
      </c>
      <c r="I16" s="19">
        <f>IF(6&lt;=NW,SAT1+41,"")</f>
        <v/>
      </c>
      <c r="J16">
        <f>IF(6&lt;=NW,"الأسبوع 6 · "&amp;TEXT(DAY(H16),"00")&amp;"/"&amp;TEXT(MONTH(H16),"00")&amp;" ← "&amp;TEXT(DAY(I16),"00")&amp;"/"&amp;TEXT(MONTH(I16),"00"),"")</f>
        <v/>
      </c>
      <c r="K16">
        <f>IF(6&lt;=NW,MONTH(I16),"")</f>
        <v/>
      </c>
      <c r="L16" t="n">
        <v>6</v>
      </c>
    </row>
    <row r="17">
      <c r="A17" t="inlineStr">
        <is>
          <t>7:20 AM</t>
        </is>
      </c>
      <c r="B17" s="25" t="n">
        <v>0.3055555555555556</v>
      </c>
      <c r="H17" s="19">
        <f>IF(7&lt;=NW,SAT1+42,"")</f>
        <v/>
      </c>
      <c r="I17" s="19">
        <f>IF(7&lt;=NW,SAT1+48,"")</f>
        <v/>
      </c>
      <c r="J17">
        <f>IF(7&lt;=NW,"الأسبوع 7 · "&amp;TEXT(DAY(H17),"00")&amp;"/"&amp;TEXT(MONTH(H17),"00")&amp;" ← "&amp;TEXT(DAY(I17),"00")&amp;"/"&amp;TEXT(MONTH(I17),"00"),"")</f>
        <v/>
      </c>
      <c r="K17">
        <f>IF(7&lt;=NW,MONTH(I17),"")</f>
        <v/>
      </c>
      <c r="L17" t="n">
        <v>7</v>
      </c>
    </row>
    <row r="18">
      <c r="A18" t="inlineStr">
        <is>
          <t>7:25 AM</t>
        </is>
      </c>
      <c r="B18" s="25" t="n">
        <v>0.3090277777777778</v>
      </c>
      <c r="H18" s="19">
        <f>IF(8&lt;=NW,SAT1+49,"")</f>
        <v/>
      </c>
      <c r="I18" s="19">
        <f>IF(8&lt;=NW,SAT1+55,"")</f>
        <v/>
      </c>
      <c r="J18">
        <f>IF(8&lt;=NW,"الأسبوع 8 · "&amp;TEXT(DAY(H18),"00")&amp;"/"&amp;TEXT(MONTH(H18),"00")&amp;" ← "&amp;TEXT(DAY(I18),"00")&amp;"/"&amp;TEXT(MONTH(I18),"00"),"")</f>
        <v/>
      </c>
      <c r="K18">
        <f>IF(8&lt;=NW,MONTH(I18),"")</f>
        <v/>
      </c>
      <c r="L18" t="n">
        <v>8</v>
      </c>
    </row>
    <row r="19">
      <c r="A19" t="inlineStr">
        <is>
          <t>7:30 AM</t>
        </is>
      </c>
      <c r="B19" s="25" t="n">
        <v>0.3125</v>
      </c>
      <c r="H19" s="19">
        <f>IF(9&lt;=NW,SAT1+56,"")</f>
        <v/>
      </c>
      <c r="I19" s="19">
        <f>IF(9&lt;=NW,SAT1+62,"")</f>
        <v/>
      </c>
      <c r="J19">
        <f>IF(9&lt;=NW,"الأسبوع 9 · "&amp;TEXT(DAY(H19),"00")&amp;"/"&amp;TEXT(MONTH(H19),"00")&amp;" ← "&amp;TEXT(DAY(I19),"00")&amp;"/"&amp;TEXT(MONTH(I19),"00"),"")</f>
        <v/>
      </c>
      <c r="K19">
        <f>IF(9&lt;=NW,MONTH(I19),"")</f>
        <v/>
      </c>
      <c r="L19" t="n">
        <v>9</v>
      </c>
    </row>
    <row r="20">
      <c r="A20" t="inlineStr">
        <is>
          <t>7:35 AM</t>
        </is>
      </c>
      <c r="B20" s="25" t="n">
        <v>0.3159722222222222</v>
      </c>
      <c r="H20" s="19">
        <f>IF(10&lt;=NW,SAT1+63,"")</f>
        <v/>
      </c>
      <c r="I20" s="19">
        <f>IF(10&lt;=NW,SAT1+69,"")</f>
        <v/>
      </c>
      <c r="J20">
        <f>IF(10&lt;=NW,"الأسبوع 10 · "&amp;TEXT(DAY(H20),"00")&amp;"/"&amp;TEXT(MONTH(H20),"00")&amp;" ← "&amp;TEXT(DAY(I20),"00")&amp;"/"&amp;TEXT(MONTH(I20),"00"),"")</f>
        <v/>
      </c>
      <c r="K20">
        <f>IF(10&lt;=NW,MONTH(I20),"")</f>
        <v/>
      </c>
      <c r="L20" t="n">
        <v>10</v>
      </c>
    </row>
    <row r="21">
      <c r="A21" t="inlineStr">
        <is>
          <t>7:40 AM</t>
        </is>
      </c>
      <c r="B21" s="25" t="n">
        <v>0.3194444444444444</v>
      </c>
      <c r="H21" s="19">
        <f>IF(11&lt;=NW,SAT1+70,"")</f>
        <v/>
      </c>
      <c r="I21" s="19">
        <f>IF(11&lt;=NW,SAT1+76,"")</f>
        <v/>
      </c>
      <c r="J21">
        <f>IF(11&lt;=NW,"الأسبوع 11 · "&amp;TEXT(DAY(H21),"00")&amp;"/"&amp;TEXT(MONTH(H21),"00")&amp;" ← "&amp;TEXT(DAY(I21),"00")&amp;"/"&amp;TEXT(MONTH(I21),"00"),"")</f>
        <v/>
      </c>
      <c r="K21">
        <f>IF(11&lt;=NW,MONTH(I21),"")</f>
        <v/>
      </c>
      <c r="L21" t="n">
        <v>11</v>
      </c>
    </row>
    <row r="22">
      <c r="A22" t="inlineStr">
        <is>
          <t>7:45 AM</t>
        </is>
      </c>
      <c r="B22" s="25" t="n">
        <v>0.3229166666666667</v>
      </c>
      <c r="H22" s="19">
        <f>IF(12&lt;=NW,SAT1+77,"")</f>
        <v/>
      </c>
      <c r="I22" s="19">
        <f>IF(12&lt;=NW,SAT1+83,"")</f>
        <v/>
      </c>
      <c r="J22">
        <f>IF(12&lt;=NW,"الأسبوع 12 · "&amp;TEXT(DAY(H22),"00")&amp;"/"&amp;TEXT(MONTH(H22),"00")&amp;" ← "&amp;TEXT(DAY(I22),"00")&amp;"/"&amp;TEXT(MONTH(I22),"00"),"")</f>
        <v/>
      </c>
      <c r="K22">
        <f>IF(12&lt;=NW,MONTH(I22),"")</f>
        <v/>
      </c>
      <c r="L22" t="n">
        <v>12</v>
      </c>
    </row>
    <row r="23">
      <c r="A23" t="inlineStr">
        <is>
          <t>7:50 AM</t>
        </is>
      </c>
      <c r="B23" s="25" t="n">
        <v>0.3263888888888889</v>
      </c>
      <c r="H23" s="19">
        <f>IF(13&lt;=NW,SAT1+84,"")</f>
        <v/>
      </c>
      <c r="I23" s="19">
        <f>IF(13&lt;=NW,SAT1+90,"")</f>
        <v/>
      </c>
      <c r="J23">
        <f>IF(13&lt;=NW,"الأسبوع 13 · "&amp;TEXT(DAY(H23),"00")&amp;"/"&amp;TEXT(MONTH(H23),"00")&amp;" ← "&amp;TEXT(DAY(I23),"00")&amp;"/"&amp;TEXT(MONTH(I23),"00"),"")</f>
        <v/>
      </c>
      <c r="K23">
        <f>IF(13&lt;=NW,MONTH(I23),"")</f>
        <v/>
      </c>
      <c r="L23" t="n">
        <v>13</v>
      </c>
    </row>
    <row r="24">
      <c r="A24" t="inlineStr">
        <is>
          <t>7:55 AM</t>
        </is>
      </c>
      <c r="B24" s="25" t="n">
        <v>0.3298611111111111</v>
      </c>
      <c r="H24" s="19">
        <f>IF(14&lt;=NW,SAT1+91,"")</f>
        <v/>
      </c>
      <c r="I24" s="19">
        <f>IF(14&lt;=NW,SAT1+97,"")</f>
        <v/>
      </c>
      <c r="J24">
        <f>IF(14&lt;=NW,"الأسبوع 14 · "&amp;TEXT(DAY(H24),"00")&amp;"/"&amp;TEXT(MONTH(H24),"00")&amp;" ← "&amp;TEXT(DAY(I24),"00")&amp;"/"&amp;TEXT(MONTH(I24),"00"),"")</f>
        <v/>
      </c>
      <c r="K24">
        <f>IF(14&lt;=NW,MONTH(I24),"")</f>
        <v/>
      </c>
      <c r="L24" t="n">
        <v>14</v>
      </c>
    </row>
    <row r="25">
      <c r="A25" t="inlineStr">
        <is>
          <t>8:00 AM</t>
        </is>
      </c>
      <c r="B25" s="25" t="n">
        <v>0.3333333333333333</v>
      </c>
      <c r="H25" s="19">
        <f>IF(15&lt;=NW,SAT1+98,"")</f>
        <v/>
      </c>
      <c r="I25" s="19">
        <f>IF(15&lt;=NW,SAT1+104,"")</f>
        <v/>
      </c>
      <c r="J25">
        <f>IF(15&lt;=NW,"الأسبوع 15 · "&amp;TEXT(DAY(H25),"00")&amp;"/"&amp;TEXT(MONTH(H25),"00")&amp;" ← "&amp;TEXT(DAY(I25),"00")&amp;"/"&amp;TEXT(MONTH(I25),"00"),"")</f>
        <v/>
      </c>
      <c r="K25">
        <f>IF(15&lt;=NW,MONTH(I25),"")</f>
        <v/>
      </c>
      <c r="L25" t="n">
        <v>15</v>
      </c>
    </row>
    <row r="26">
      <c r="A26" t="inlineStr">
        <is>
          <t>8:05 AM</t>
        </is>
      </c>
      <c r="B26" s="25" t="n">
        <v>0.3368055555555556</v>
      </c>
      <c r="H26" s="19">
        <f>IF(16&lt;=NW,SAT1+105,"")</f>
        <v/>
      </c>
      <c r="I26" s="19">
        <f>IF(16&lt;=NW,SAT1+111,"")</f>
        <v/>
      </c>
      <c r="J26">
        <f>IF(16&lt;=NW,"الأسبوع 16 · "&amp;TEXT(DAY(H26),"00")&amp;"/"&amp;TEXT(MONTH(H26),"00")&amp;" ← "&amp;TEXT(DAY(I26),"00")&amp;"/"&amp;TEXT(MONTH(I26),"00"),"")</f>
        <v/>
      </c>
      <c r="K26">
        <f>IF(16&lt;=NW,MONTH(I26),"")</f>
        <v/>
      </c>
      <c r="L26" t="n">
        <v>16</v>
      </c>
    </row>
    <row r="27">
      <c r="A27" t="inlineStr">
        <is>
          <t>8:10 AM</t>
        </is>
      </c>
      <c r="B27" s="25" t="n">
        <v>0.3402777777777778</v>
      </c>
      <c r="H27" s="19">
        <f>IF(17&lt;=NW,SAT1+112,"")</f>
        <v/>
      </c>
      <c r="I27" s="19">
        <f>IF(17&lt;=NW,SAT1+118,"")</f>
        <v/>
      </c>
      <c r="J27">
        <f>IF(17&lt;=NW,"الأسبوع 17 · "&amp;TEXT(DAY(H27),"00")&amp;"/"&amp;TEXT(MONTH(H27),"00")&amp;" ← "&amp;TEXT(DAY(I27),"00")&amp;"/"&amp;TEXT(MONTH(I27),"00"),"")</f>
        <v/>
      </c>
      <c r="K27">
        <f>IF(17&lt;=NW,MONTH(I27),"")</f>
        <v/>
      </c>
      <c r="L27" t="n">
        <v>17</v>
      </c>
    </row>
    <row r="28">
      <c r="A28" t="inlineStr">
        <is>
          <t>8:15 AM</t>
        </is>
      </c>
      <c r="B28" s="25" t="n">
        <v>0.34375</v>
      </c>
      <c r="H28" s="19">
        <f>IF(18&lt;=NW,SAT1+119,"")</f>
        <v/>
      </c>
      <c r="I28" s="19">
        <f>IF(18&lt;=NW,SAT1+125,"")</f>
        <v/>
      </c>
      <c r="J28">
        <f>IF(18&lt;=NW,"الأسبوع 18 · "&amp;TEXT(DAY(H28),"00")&amp;"/"&amp;TEXT(MONTH(H28),"00")&amp;" ← "&amp;TEXT(DAY(I28),"00")&amp;"/"&amp;TEXT(MONTH(I28),"00"),"")</f>
        <v/>
      </c>
      <c r="K28">
        <f>IF(18&lt;=NW,MONTH(I28),"")</f>
        <v/>
      </c>
      <c r="L28" t="n">
        <v>18</v>
      </c>
    </row>
    <row r="29">
      <c r="A29" t="inlineStr">
        <is>
          <t>8:20 AM</t>
        </is>
      </c>
      <c r="B29" s="25" t="n">
        <v>0.3472222222222222</v>
      </c>
      <c r="H29" s="19">
        <f>IF(19&lt;=NW,SAT1+126,"")</f>
        <v/>
      </c>
      <c r="I29" s="19">
        <f>IF(19&lt;=NW,SAT1+132,"")</f>
        <v/>
      </c>
      <c r="J29">
        <f>IF(19&lt;=NW,"الأسبوع 19 · "&amp;TEXT(DAY(H29),"00")&amp;"/"&amp;TEXT(MONTH(H29),"00")&amp;" ← "&amp;TEXT(DAY(I29),"00")&amp;"/"&amp;TEXT(MONTH(I29),"00"),"")</f>
        <v/>
      </c>
      <c r="K29">
        <f>IF(19&lt;=NW,MONTH(I29),"")</f>
        <v/>
      </c>
      <c r="L29" t="n">
        <v>19</v>
      </c>
    </row>
    <row r="30">
      <c r="A30" t="inlineStr">
        <is>
          <t>8:25 AM</t>
        </is>
      </c>
      <c r="B30" s="25" t="n">
        <v>0.3506944444444444</v>
      </c>
      <c r="H30" s="19">
        <f>IF(20&lt;=NW,SAT1+133,"")</f>
        <v/>
      </c>
      <c r="I30" s="19">
        <f>IF(20&lt;=NW,SAT1+139,"")</f>
        <v/>
      </c>
      <c r="J30">
        <f>IF(20&lt;=NW,"الأسبوع 20 · "&amp;TEXT(DAY(H30),"00")&amp;"/"&amp;TEXT(MONTH(H30),"00")&amp;" ← "&amp;TEXT(DAY(I30),"00")&amp;"/"&amp;TEXT(MONTH(I30),"00"),"")</f>
        <v/>
      </c>
      <c r="K30">
        <f>IF(20&lt;=NW,MONTH(I30),"")</f>
        <v/>
      </c>
      <c r="L30" t="n">
        <v>20</v>
      </c>
    </row>
    <row r="31">
      <c r="A31" t="inlineStr">
        <is>
          <t>8:30 AM</t>
        </is>
      </c>
      <c r="B31" s="25" t="n">
        <v>0.3541666666666667</v>
      </c>
      <c r="H31" s="19">
        <f>IF(21&lt;=NW,SAT1+140,"")</f>
        <v/>
      </c>
      <c r="I31" s="19">
        <f>IF(21&lt;=NW,SAT1+146,"")</f>
        <v/>
      </c>
      <c r="J31">
        <f>IF(21&lt;=NW,"الأسبوع 21 · "&amp;TEXT(DAY(H31),"00")&amp;"/"&amp;TEXT(MONTH(H31),"00")&amp;" ← "&amp;TEXT(DAY(I31),"00")&amp;"/"&amp;TEXT(MONTH(I31),"00"),"")</f>
        <v/>
      </c>
      <c r="K31">
        <f>IF(21&lt;=NW,MONTH(I31),"")</f>
        <v/>
      </c>
      <c r="L31" t="n">
        <v>21</v>
      </c>
    </row>
    <row r="32">
      <c r="A32" t="inlineStr">
        <is>
          <t>8:35 AM</t>
        </is>
      </c>
      <c r="B32" s="25" t="n">
        <v>0.3576388888888889</v>
      </c>
      <c r="H32" s="19">
        <f>IF(22&lt;=NW,SAT1+147,"")</f>
        <v/>
      </c>
      <c r="I32" s="19">
        <f>IF(22&lt;=NW,SAT1+153,"")</f>
        <v/>
      </c>
      <c r="J32">
        <f>IF(22&lt;=NW,"الأسبوع 22 · "&amp;TEXT(DAY(H32),"00")&amp;"/"&amp;TEXT(MONTH(H32),"00")&amp;" ← "&amp;TEXT(DAY(I32),"00")&amp;"/"&amp;TEXT(MONTH(I32),"00"),"")</f>
        <v/>
      </c>
      <c r="K32">
        <f>IF(22&lt;=NW,MONTH(I32),"")</f>
        <v/>
      </c>
      <c r="L32" t="n">
        <v>22</v>
      </c>
    </row>
    <row r="33">
      <c r="A33" t="inlineStr">
        <is>
          <t>8:40 AM</t>
        </is>
      </c>
      <c r="B33" s="25" t="n">
        <v>0.3611111111111111</v>
      </c>
      <c r="H33" s="19">
        <f>IF(23&lt;=NW,SAT1+154,"")</f>
        <v/>
      </c>
      <c r="I33" s="19">
        <f>IF(23&lt;=NW,SAT1+160,"")</f>
        <v/>
      </c>
      <c r="J33">
        <f>IF(23&lt;=NW,"الأسبوع 23 · "&amp;TEXT(DAY(H33),"00")&amp;"/"&amp;TEXT(MONTH(H33),"00")&amp;" ← "&amp;TEXT(DAY(I33),"00")&amp;"/"&amp;TEXT(MONTH(I33),"00"),"")</f>
        <v/>
      </c>
      <c r="K33">
        <f>IF(23&lt;=NW,MONTH(I33),"")</f>
        <v/>
      </c>
      <c r="L33" t="n">
        <v>23</v>
      </c>
    </row>
    <row r="34">
      <c r="A34" t="inlineStr">
        <is>
          <t>8:45 AM</t>
        </is>
      </c>
      <c r="B34" s="25" t="n">
        <v>0.3645833333333333</v>
      </c>
      <c r="H34" s="19">
        <f>IF(24&lt;=NW,SAT1+161,"")</f>
        <v/>
      </c>
      <c r="I34" s="19">
        <f>IF(24&lt;=NW,SAT1+167,"")</f>
        <v/>
      </c>
      <c r="J34">
        <f>IF(24&lt;=NW,"الأسبوع 24 · "&amp;TEXT(DAY(H34),"00")&amp;"/"&amp;TEXT(MONTH(H34),"00")&amp;" ← "&amp;TEXT(DAY(I34),"00")&amp;"/"&amp;TEXT(MONTH(I34),"00"),"")</f>
        <v/>
      </c>
      <c r="K34">
        <f>IF(24&lt;=NW,MONTH(I34),"")</f>
        <v/>
      </c>
      <c r="L34" t="n">
        <v>24</v>
      </c>
    </row>
    <row r="35">
      <c r="A35" t="inlineStr">
        <is>
          <t>8:50 AM</t>
        </is>
      </c>
      <c r="B35" s="25" t="n">
        <v>0.3680555555555556</v>
      </c>
      <c r="H35" s="19">
        <f>IF(25&lt;=NW,SAT1+168,"")</f>
        <v/>
      </c>
      <c r="I35" s="19">
        <f>IF(25&lt;=NW,SAT1+174,"")</f>
        <v/>
      </c>
      <c r="J35">
        <f>IF(25&lt;=NW,"الأسبوع 25 · "&amp;TEXT(DAY(H35),"00")&amp;"/"&amp;TEXT(MONTH(H35),"00")&amp;" ← "&amp;TEXT(DAY(I35),"00")&amp;"/"&amp;TEXT(MONTH(I35),"00"),"")</f>
        <v/>
      </c>
      <c r="K35">
        <f>IF(25&lt;=NW,MONTH(I35),"")</f>
        <v/>
      </c>
      <c r="L35" t="n">
        <v>25</v>
      </c>
    </row>
    <row r="36">
      <c r="A36" t="inlineStr">
        <is>
          <t>8:55 AM</t>
        </is>
      </c>
      <c r="B36" s="25" t="n">
        <v>0.3715277777777778</v>
      </c>
      <c r="H36" s="19">
        <f>IF(26&lt;=NW,SAT1+175,"")</f>
        <v/>
      </c>
      <c r="I36" s="19">
        <f>IF(26&lt;=NW,SAT1+181,"")</f>
        <v/>
      </c>
      <c r="J36">
        <f>IF(26&lt;=NW,"الأسبوع 26 · "&amp;TEXT(DAY(H36),"00")&amp;"/"&amp;TEXT(MONTH(H36),"00")&amp;" ← "&amp;TEXT(DAY(I36),"00")&amp;"/"&amp;TEXT(MONTH(I36),"00"),"")</f>
        <v/>
      </c>
      <c r="K36">
        <f>IF(26&lt;=NW,MONTH(I36),"")</f>
        <v/>
      </c>
      <c r="L36" t="n">
        <v>26</v>
      </c>
    </row>
    <row r="37">
      <c r="A37" t="inlineStr">
        <is>
          <t>9:00 AM</t>
        </is>
      </c>
      <c r="B37" s="25" t="n">
        <v>0.375</v>
      </c>
      <c r="H37" s="19">
        <f>IF(27&lt;=NW,SAT1+182,"")</f>
        <v/>
      </c>
      <c r="I37" s="19">
        <f>IF(27&lt;=NW,SAT1+188,"")</f>
        <v/>
      </c>
      <c r="J37">
        <f>IF(27&lt;=NW,"الأسبوع 27 · "&amp;TEXT(DAY(H37),"00")&amp;"/"&amp;TEXT(MONTH(H37),"00")&amp;" ← "&amp;TEXT(DAY(I37),"00")&amp;"/"&amp;TEXT(MONTH(I37),"00"),"")</f>
        <v/>
      </c>
      <c r="K37">
        <f>IF(27&lt;=NW,MONTH(I37),"")</f>
        <v/>
      </c>
      <c r="L37" t="n">
        <v>27</v>
      </c>
    </row>
    <row r="38">
      <c r="A38" t="inlineStr">
        <is>
          <t>9:05 AM</t>
        </is>
      </c>
      <c r="B38" s="25" t="n">
        <v>0.3784722222222222</v>
      </c>
      <c r="H38" s="19">
        <f>IF(28&lt;=NW,SAT1+189,"")</f>
        <v/>
      </c>
      <c r="I38" s="19">
        <f>IF(28&lt;=NW,SAT1+195,"")</f>
        <v/>
      </c>
      <c r="J38">
        <f>IF(28&lt;=NW,"الأسبوع 28 · "&amp;TEXT(DAY(H38),"00")&amp;"/"&amp;TEXT(MONTH(H38),"00")&amp;" ← "&amp;TEXT(DAY(I38),"00")&amp;"/"&amp;TEXT(MONTH(I38),"00"),"")</f>
        <v/>
      </c>
      <c r="K38">
        <f>IF(28&lt;=NW,MONTH(I38),"")</f>
        <v/>
      </c>
      <c r="L38" t="n">
        <v>28</v>
      </c>
    </row>
    <row r="39">
      <c r="A39" t="inlineStr">
        <is>
          <t>9:10 AM</t>
        </is>
      </c>
      <c r="B39" s="25" t="n">
        <v>0.3819444444444444</v>
      </c>
      <c r="H39" s="19">
        <f>IF(29&lt;=NW,SAT1+196,"")</f>
        <v/>
      </c>
      <c r="I39" s="19">
        <f>IF(29&lt;=NW,SAT1+202,"")</f>
        <v/>
      </c>
      <c r="J39">
        <f>IF(29&lt;=NW,"الأسبوع 29 · "&amp;TEXT(DAY(H39),"00")&amp;"/"&amp;TEXT(MONTH(H39),"00")&amp;" ← "&amp;TEXT(DAY(I39),"00")&amp;"/"&amp;TEXT(MONTH(I39),"00"),"")</f>
        <v/>
      </c>
      <c r="K39">
        <f>IF(29&lt;=NW,MONTH(I39),"")</f>
        <v/>
      </c>
      <c r="L39" t="n">
        <v>29</v>
      </c>
    </row>
    <row r="40">
      <c r="A40" t="inlineStr">
        <is>
          <t>9:15 AM</t>
        </is>
      </c>
      <c r="B40" s="25" t="n">
        <v>0.3854166666666667</v>
      </c>
      <c r="H40" s="19">
        <f>IF(30&lt;=NW,SAT1+203,"")</f>
        <v/>
      </c>
      <c r="I40" s="19">
        <f>IF(30&lt;=NW,SAT1+209,"")</f>
        <v/>
      </c>
      <c r="J40">
        <f>IF(30&lt;=NW,"الأسبوع 30 · "&amp;TEXT(DAY(H40),"00")&amp;"/"&amp;TEXT(MONTH(H40),"00")&amp;" ← "&amp;TEXT(DAY(I40),"00")&amp;"/"&amp;TEXT(MONTH(I40),"00"),"")</f>
        <v/>
      </c>
      <c r="K40">
        <f>IF(30&lt;=NW,MONTH(I40),"")</f>
        <v/>
      </c>
      <c r="L40" t="n">
        <v>30</v>
      </c>
    </row>
    <row r="41">
      <c r="A41" t="inlineStr">
        <is>
          <t>9:20 AM</t>
        </is>
      </c>
      <c r="B41" s="25" t="n">
        <v>0.3888888888888889</v>
      </c>
      <c r="H41" s="19">
        <f>IF(31&lt;=NW,SAT1+210,"")</f>
        <v/>
      </c>
      <c r="I41" s="19">
        <f>IF(31&lt;=NW,SAT1+216,"")</f>
        <v/>
      </c>
      <c r="J41">
        <f>IF(31&lt;=NW,"الأسبوع 31 · "&amp;TEXT(DAY(H41),"00")&amp;"/"&amp;TEXT(MONTH(H41),"00")&amp;" ← "&amp;TEXT(DAY(I41),"00")&amp;"/"&amp;TEXT(MONTH(I41),"00"),"")</f>
        <v/>
      </c>
      <c r="K41">
        <f>IF(31&lt;=NW,MONTH(I41),"")</f>
        <v/>
      </c>
      <c r="L41" t="n">
        <v>31</v>
      </c>
    </row>
    <row r="42">
      <c r="A42" t="inlineStr">
        <is>
          <t>9:25 AM</t>
        </is>
      </c>
      <c r="B42" s="25" t="n">
        <v>0.3923611111111111</v>
      </c>
      <c r="H42" s="19">
        <f>IF(32&lt;=NW,SAT1+217,"")</f>
        <v/>
      </c>
      <c r="I42" s="19">
        <f>IF(32&lt;=NW,SAT1+223,"")</f>
        <v/>
      </c>
      <c r="J42">
        <f>IF(32&lt;=NW,"الأسبوع 32 · "&amp;TEXT(DAY(H42),"00")&amp;"/"&amp;TEXT(MONTH(H42),"00")&amp;" ← "&amp;TEXT(DAY(I42),"00")&amp;"/"&amp;TEXT(MONTH(I42),"00"),"")</f>
        <v/>
      </c>
      <c r="K42">
        <f>IF(32&lt;=NW,MONTH(I42),"")</f>
        <v/>
      </c>
      <c r="L42" t="n">
        <v>32</v>
      </c>
    </row>
    <row r="43">
      <c r="A43" t="inlineStr">
        <is>
          <t>9:30 AM</t>
        </is>
      </c>
      <c r="B43" s="25" t="n">
        <v>0.3958333333333333</v>
      </c>
      <c r="H43" s="19">
        <f>IF(33&lt;=NW,SAT1+224,"")</f>
        <v/>
      </c>
      <c r="I43" s="19">
        <f>IF(33&lt;=NW,SAT1+230,"")</f>
        <v/>
      </c>
      <c r="J43">
        <f>IF(33&lt;=NW,"الأسبوع 33 · "&amp;TEXT(DAY(H43),"00")&amp;"/"&amp;TEXT(MONTH(H43),"00")&amp;" ← "&amp;TEXT(DAY(I43),"00")&amp;"/"&amp;TEXT(MONTH(I43),"00"),"")</f>
        <v/>
      </c>
      <c r="K43">
        <f>IF(33&lt;=NW,MONTH(I43),"")</f>
        <v/>
      </c>
      <c r="L43" t="n">
        <v>33</v>
      </c>
    </row>
    <row r="44">
      <c r="A44" t="inlineStr">
        <is>
          <t>9:35 AM</t>
        </is>
      </c>
      <c r="B44" s="25" t="n">
        <v>0.3993055555555556</v>
      </c>
      <c r="H44" s="19">
        <f>IF(34&lt;=NW,SAT1+231,"")</f>
        <v/>
      </c>
      <c r="I44" s="19">
        <f>IF(34&lt;=NW,SAT1+237,"")</f>
        <v/>
      </c>
      <c r="J44">
        <f>IF(34&lt;=NW,"الأسبوع 34 · "&amp;TEXT(DAY(H44),"00")&amp;"/"&amp;TEXT(MONTH(H44),"00")&amp;" ← "&amp;TEXT(DAY(I44),"00")&amp;"/"&amp;TEXT(MONTH(I44),"00"),"")</f>
        <v/>
      </c>
      <c r="K44">
        <f>IF(34&lt;=NW,MONTH(I44),"")</f>
        <v/>
      </c>
      <c r="L44" t="n">
        <v>34</v>
      </c>
    </row>
    <row r="45">
      <c r="A45" t="inlineStr">
        <is>
          <t>9:40 AM</t>
        </is>
      </c>
      <c r="B45" s="25" t="n">
        <v>0.4027777777777778</v>
      </c>
      <c r="H45" s="19">
        <f>IF(35&lt;=NW,SAT1+238,"")</f>
        <v/>
      </c>
      <c r="I45" s="19">
        <f>IF(35&lt;=NW,SAT1+244,"")</f>
        <v/>
      </c>
      <c r="J45">
        <f>IF(35&lt;=NW,"الأسبوع 35 · "&amp;TEXT(DAY(H45),"00")&amp;"/"&amp;TEXT(MONTH(H45),"00")&amp;" ← "&amp;TEXT(DAY(I45),"00")&amp;"/"&amp;TEXT(MONTH(I45),"00"),"")</f>
        <v/>
      </c>
      <c r="K45">
        <f>IF(35&lt;=NW,MONTH(I45),"")</f>
        <v/>
      </c>
      <c r="L45" t="n">
        <v>35</v>
      </c>
    </row>
    <row r="46">
      <c r="A46" t="inlineStr">
        <is>
          <t>9:45 AM</t>
        </is>
      </c>
      <c r="B46" s="25" t="n">
        <v>0.40625</v>
      </c>
      <c r="H46" s="19">
        <f>IF(36&lt;=NW,SAT1+245,"")</f>
        <v/>
      </c>
      <c r="I46" s="19">
        <f>IF(36&lt;=NW,SAT1+251,"")</f>
        <v/>
      </c>
      <c r="J46">
        <f>IF(36&lt;=NW,"الأسبوع 36 · "&amp;TEXT(DAY(H46),"00")&amp;"/"&amp;TEXT(MONTH(H46),"00")&amp;" ← "&amp;TEXT(DAY(I46),"00")&amp;"/"&amp;TEXT(MONTH(I46),"00"),"")</f>
        <v/>
      </c>
      <c r="K46">
        <f>IF(36&lt;=NW,MONTH(I46),"")</f>
        <v/>
      </c>
      <c r="L46" t="n">
        <v>36</v>
      </c>
    </row>
    <row r="47">
      <c r="A47" t="inlineStr">
        <is>
          <t>9:50 AM</t>
        </is>
      </c>
      <c r="B47" s="25" t="n">
        <v>0.4097222222222222</v>
      </c>
      <c r="H47" s="19">
        <f>IF(37&lt;=NW,SAT1+252,"")</f>
        <v/>
      </c>
      <c r="I47" s="19">
        <f>IF(37&lt;=NW,SAT1+258,"")</f>
        <v/>
      </c>
      <c r="J47">
        <f>IF(37&lt;=NW,"الأسبوع 37 · "&amp;TEXT(DAY(H47),"00")&amp;"/"&amp;TEXT(MONTH(H47),"00")&amp;" ← "&amp;TEXT(DAY(I47),"00")&amp;"/"&amp;TEXT(MONTH(I47),"00"),"")</f>
        <v/>
      </c>
      <c r="K47">
        <f>IF(37&lt;=NW,MONTH(I47),"")</f>
        <v/>
      </c>
      <c r="L47" t="n">
        <v>37</v>
      </c>
    </row>
    <row r="48">
      <c r="A48" t="inlineStr">
        <is>
          <t>9:55 AM</t>
        </is>
      </c>
      <c r="B48" s="25" t="n">
        <v>0.4131944444444444</v>
      </c>
      <c r="H48" s="19">
        <f>IF(38&lt;=NW,SAT1+259,"")</f>
        <v/>
      </c>
      <c r="I48" s="19">
        <f>IF(38&lt;=NW,SAT1+265,"")</f>
        <v/>
      </c>
      <c r="J48">
        <f>IF(38&lt;=NW,"الأسبوع 38 · "&amp;TEXT(DAY(H48),"00")&amp;"/"&amp;TEXT(MONTH(H48),"00")&amp;" ← "&amp;TEXT(DAY(I48),"00")&amp;"/"&amp;TEXT(MONTH(I48),"00"),"")</f>
        <v/>
      </c>
      <c r="K48">
        <f>IF(38&lt;=NW,MONTH(I48),"")</f>
        <v/>
      </c>
      <c r="L48" t="n">
        <v>38</v>
      </c>
    </row>
    <row r="49">
      <c r="A49" t="inlineStr">
        <is>
          <t>10:00 AM</t>
        </is>
      </c>
      <c r="B49" s="25" t="n">
        <v>0.4166666666666667</v>
      </c>
      <c r="H49" s="19">
        <f>IF(39&lt;=NW,SAT1+266,"")</f>
        <v/>
      </c>
      <c r="I49" s="19">
        <f>IF(39&lt;=NW,SAT1+272,"")</f>
        <v/>
      </c>
      <c r="J49">
        <f>IF(39&lt;=NW,"الأسبوع 39 · "&amp;TEXT(DAY(H49),"00")&amp;"/"&amp;TEXT(MONTH(H49),"00")&amp;" ← "&amp;TEXT(DAY(I49),"00")&amp;"/"&amp;TEXT(MONTH(I49),"00"),"")</f>
        <v/>
      </c>
      <c r="K49">
        <f>IF(39&lt;=NW,MONTH(I49),"")</f>
        <v/>
      </c>
      <c r="L49" t="n">
        <v>39</v>
      </c>
    </row>
    <row r="50">
      <c r="A50" t="inlineStr">
        <is>
          <t>10:05 AM</t>
        </is>
      </c>
      <c r="B50" s="25" t="n">
        <v>0.4201388888888889</v>
      </c>
      <c r="H50" s="19">
        <f>IF(40&lt;=NW,SAT1+273,"")</f>
        <v/>
      </c>
      <c r="I50" s="19">
        <f>IF(40&lt;=NW,SAT1+279,"")</f>
        <v/>
      </c>
      <c r="J50">
        <f>IF(40&lt;=NW,"الأسبوع 40 · "&amp;TEXT(DAY(H50),"00")&amp;"/"&amp;TEXT(MONTH(H50),"00")&amp;" ← "&amp;TEXT(DAY(I50),"00")&amp;"/"&amp;TEXT(MONTH(I50),"00"),"")</f>
        <v/>
      </c>
      <c r="K50">
        <f>IF(40&lt;=NW,MONTH(I50),"")</f>
        <v/>
      </c>
      <c r="L50" t="n">
        <v>40</v>
      </c>
    </row>
    <row r="51">
      <c r="A51" t="inlineStr">
        <is>
          <t>10:10 AM</t>
        </is>
      </c>
      <c r="B51" s="25" t="n">
        <v>0.4236111111111111</v>
      </c>
      <c r="H51" s="19">
        <f>IF(41&lt;=NW,SAT1+280,"")</f>
        <v/>
      </c>
      <c r="I51" s="19">
        <f>IF(41&lt;=NW,SAT1+286,"")</f>
        <v/>
      </c>
      <c r="J51">
        <f>IF(41&lt;=NW,"الأسبوع 41 · "&amp;TEXT(DAY(H51),"00")&amp;"/"&amp;TEXT(MONTH(H51),"00")&amp;" ← "&amp;TEXT(DAY(I51),"00")&amp;"/"&amp;TEXT(MONTH(I51),"00"),"")</f>
        <v/>
      </c>
      <c r="K51">
        <f>IF(41&lt;=NW,MONTH(I51),"")</f>
        <v/>
      </c>
      <c r="L51" t="n">
        <v>41</v>
      </c>
    </row>
    <row r="52">
      <c r="A52" t="inlineStr">
        <is>
          <t>10:15 AM</t>
        </is>
      </c>
      <c r="B52" s="25" t="n">
        <v>0.4270833333333333</v>
      </c>
      <c r="H52" s="19">
        <f>IF(42&lt;=NW,SAT1+287,"")</f>
        <v/>
      </c>
      <c r="I52" s="19">
        <f>IF(42&lt;=NW,SAT1+293,"")</f>
        <v/>
      </c>
      <c r="J52">
        <f>IF(42&lt;=NW,"الأسبوع 42 · "&amp;TEXT(DAY(H52),"00")&amp;"/"&amp;TEXT(MONTH(H52),"00")&amp;" ← "&amp;TEXT(DAY(I52),"00")&amp;"/"&amp;TEXT(MONTH(I52),"00"),"")</f>
        <v/>
      </c>
      <c r="K52">
        <f>IF(42&lt;=NW,MONTH(I52),"")</f>
        <v/>
      </c>
      <c r="L52" t="n">
        <v>42</v>
      </c>
    </row>
    <row r="53">
      <c r="A53" t="inlineStr">
        <is>
          <t>10:20 AM</t>
        </is>
      </c>
      <c r="B53" s="25" t="n">
        <v>0.4305555555555556</v>
      </c>
      <c r="H53" s="19">
        <f>IF(43&lt;=NW,SAT1+294,"")</f>
        <v/>
      </c>
      <c r="I53" s="19">
        <f>IF(43&lt;=NW,SAT1+300,"")</f>
        <v/>
      </c>
      <c r="J53">
        <f>IF(43&lt;=NW,"الأسبوع 43 · "&amp;TEXT(DAY(H53),"00")&amp;"/"&amp;TEXT(MONTH(H53),"00")&amp;" ← "&amp;TEXT(DAY(I53),"00")&amp;"/"&amp;TEXT(MONTH(I53),"00"),"")</f>
        <v/>
      </c>
      <c r="K53">
        <f>IF(43&lt;=NW,MONTH(I53),"")</f>
        <v/>
      </c>
      <c r="L53" t="n">
        <v>43</v>
      </c>
    </row>
    <row r="54">
      <c r="A54" t="inlineStr">
        <is>
          <t>10:25 AM</t>
        </is>
      </c>
      <c r="B54" s="25" t="n">
        <v>0.4340277777777778</v>
      </c>
      <c r="H54" s="19">
        <f>IF(44&lt;=NW,SAT1+301,"")</f>
        <v/>
      </c>
      <c r="I54" s="19">
        <f>IF(44&lt;=NW,SAT1+307,"")</f>
        <v/>
      </c>
      <c r="J54">
        <f>IF(44&lt;=NW,"الأسبوع 44 · "&amp;TEXT(DAY(H54),"00")&amp;"/"&amp;TEXT(MONTH(H54),"00")&amp;" ← "&amp;TEXT(DAY(I54),"00")&amp;"/"&amp;TEXT(MONTH(I54),"00"),"")</f>
        <v/>
      </c>
      <c r="K54">
        <f>IF(44&lt;=NW,MONTH(I54),"")</f>
        <v/>
      </c>
      <c r="L54" t="n">
        <v>44</v>
      </c>
    </row>
    <row r="55">
      <c r="A55" t="inlineStr">
        <is>
          <t>10:30 AM</t>
        </is>
      </c>
      <c r="B55" s="25" t="n">
        <v>0.4375</v>
      </c>
      <c r="H55" s="19">
        <f>IF(45&lt;=NW,SAT1+308,"")</f>
        <v/>
      </c>
      <c r="I55" s="19">
        <f>IF(45&lt;=NW,SAT1+314,"")</f>
        <v/>
      </c>
      <c r="J55">
        <f>IF(45&lt;=NW,"الأسبوع 45 · "&amp;TEXT(DAY(H55),"00")&amp;"/"&amp;TEXT(MONTH(H55),"00")&amp;" ← "&amp;TEXT(DAY(I55),"00")&amp;"/"&amp;TEXT(MONTH(I55),"00"),"")</f>
        <v/>
      </c>
      <c r="K55">
        <f>IF(45&lt;=NW,MONTH(I55),"")</f>
        <v/>
      </c>
      <c r="L55" t="n">
        <v>45</v>
      </c>
    </row>
    <row r="56">
      <c r="A56" t="inlineStr">
        <is>
          <t>10:35 AM</t>
        </is>
      </c>
      <c r="B56" s="25" t="n">
        <v>0.4409722222222222</v>
      </c>
      <c r="H56" s="19">
        <f>IF(46&lt;=NW,SAT1+315,"")</f>
        <v/>
      </c>
      <c r="I56" s="19">
        <f>IF(46&lt;=NW,SAT1+321,"")</f>
        <v/>
      </c>
      <c r="J56">
        <f>IF(46&lt;=NW,"الأسبوع 46 · "&amp;TEXT(DAY(H56),"00")&amp;"/"&amp;TEXT(MONTH(H56),"00")&amp;" ← "&amp;TEXT(DAY(I56),"00")&amp;"/"&amp;TEXT(MONTH(I56),"00"),"")</f>
        <v/>
      </c>
      <c r="K56">
        <f>IF(46&lt;=NW,MONTH(I56),"")</f>
        <v/>
      </c>
      <c r="L56" t="n">
        <v>46</v>
      </c>
    </row>
    <row r="57">
      <c r="A57" t="inlineStr">
        <is>
          <t>10:40 AM</t>
        </is>
      </c>
      <c r="B57" s="25" t="n">
        <v>0.4444444444444444</v>
      </c>
      <c r="H57" s="19">
        <f>IF(47&lt;=NW,SAT1+322,"")</f>
        <v/>
      </c>
      <c r="I57" s="19">
        <f>IF(47&lt;=NW,SAT1+328,"")</f>
        <v/>
      </c>
      <c r="J57">
        <f>IF(47&lt;=NW,"الأسبوع 47 · "&amp;TEXT(DAY(H57),"00")&amp;"/"&amp;TEXT(MONTH(H57),"00")&amp;" ← "&amp;TEXT(DAY(I57),"00")&amp;"/"&amp;TEXT(MONTH(I57),"00"),"")</f>
        <v/>
      </c>
      <c r="K57">
        <f>IF(47&lt;=NW,MONTH(I57),"")</f>
        <v/>
      </c>
      <c r="L57" t="n">
        <v>47</v>
      </c>
    </row>
    <row r="58">
      <c r="A58" t="inlineStr">
        <is>
          <t>10:45 AM</t>
        </is>
      </c>
      <c r="B58" s="25" t="n">
        <v>0.4479166666666667</v>
      </c>
      <c r="H58" s="19">
        <f>IF(48&lt;=NW,SAT1+329,"")</f>
        <v/>
      </c>
      <c r="I58" s="19">
        <f>IF(48&lt;=NW,SAT1+335,"")</f>
        <v/>
      </c>
      <c r="J58">
        <f>IF(48&lt;=NW,"الأسبوع 48 · "&amp;TEXT(DAY(H58),"00")&amp;"/"&amp;TEXT(MONTH(H58),"00")&amp;" ← "&amp;TEXT(DAY(I58),"00")&amp;"/"&amp;TEXT(MONTH(I58),"00"),"")</f>
        <v/>
      </c>
      <c r="K58">
        <f>IF(48&lt;=NW,MONTH(I58),"")</f>
        <v/>
      </c>
      <c r="L58" t="n">
        <v>48</v>
      </c>
    </row>
    <row r="59">
      <c r="A59" t="inlineStr">
        <is>
          <t>10:50 AM</t>
        </is>
      </c>
      <c r="B59" s="25" t="n">
        <v>0.4513888888888889</v>
      </c>
      <c r="H59" s="19">
        <f>IF(49&lt;=NW,SAT1+336,"")</f>
        <v/>
      </c>
      <c r="I59" s="19">
        <f>IF(49&lt;=NW,SAT1+342,"")</f>
        <v/>
      </c>
      <c r="J59">
        <f>IF(49&lt;=NW,"الأسبوع 49 · "&amp;TEXT(DAY(H59),"00")&amp;"/"&amp;TEXT(MONTH(H59),"00")&amp;" ← "&amp;TEXT(DAY(I59),"00")&amp;"/"&amp;TEXT(MONTH(I59),"00"),"")</f>
        <v/>
      </c>
      <c r="K59">
        <f>IF(49&lt;=NW,MONTH(I59),"")</f>
        <v/>
      </c>
      <c r="L59" t="n">
        <v>49</v>
      </c>
    </row>
    <row r="60">
      <c r="A60" t="inlineStr">
        <is>
          <t>10:55 AM</t>
        </is>
      </c>
      <c r="B60" s="25" t="n">
        <v>0.4548611111111111</v>
      </c>
      <c r="H60" s="19">
        <f>IF(50&lt;=NW,SAT1+343,"")</f>
        <v/>
      </c>
      <c r="I60" s="19">
        <f>IF(50&lt;=NW,SAT1+349,"")</f>
        <v/>
      </c>
      <c r="J60">
        <f>IF(50&lt;=NW,"الأسبوع 50 · "&amp;TEXT(DAY(H60),"00")&amp;"/"&amp;TEXT(MONTH(H60),"00")&amp;" ← "&amp;TEXT(DAY(I60),"00")&amp;"/"&amp;TEXT(MONTH(I60),"00"),"")</f>
        <v/>
      </c>
      <c r="K60">
        <f>IF(50&lt;=NW,MONTH(I60),"")</f>
        <v/>
      </c>
      <c r="L60" t="n">
        <v>50</v>
      </c>
    </row>
    <row r="61">
      <c r="A61" t="inlineStr">
        <is>
          <t>11:00 AM</t>
        </is>
      </c>
      <c r="B61" s="25" t="n">
        <v>0.4583333333333333</v>
      </c>
      <c r="H61" s="19">
        <f>IF(51&lt;=NW,SAT1+350,"")</f>
        <v/>
      </c>
      <c r="I61" s="19">
        <f>IF(51&lt;=NW,SAT1+356,"")</f>
        <v/>
      </c>
      <c r="J61">
        <f>IF(51&lt;=NW,"الأسبوع 51 · "&amp;TEXT(DAY(H61),"00")&amp;"/"&amp;TEXT(MONTH(H61),"00")&amp;" ← "&amp;TEXT(DAY(I61),"00")&amp;"/"&amp;TEXT(MONTH(I61),"00"),"")</f>
        <v/>
      </c>
      <c r="K61">
        <f>IF(51&lt;=NW,MONTH(I61),"")</f>
        <v/>
      </c>
      <c r="L61" t="n">
        <v>51</v>
      </c>
    </row>
    <row r="62">
      <c r="A62" t="inlineStr">
        <is>
          <t>11:05 AM</t>
        </is>
      </c>
      <c r="B62" s="25" t="n">
        <v>0.4618055555555556</v>
      </c>
      <c r="H62" s="19">
        <f>IF(52&lt;=NW,SAT1+357,"")</f>
        <v/>
      </c>
      <c r="I62" s="19">
        <f>IF(52&lt;=NW,SAT1+363,"")</f>
        <v/>
      </c>
      <c r="J62">
        <f>IF(52&lt;=NW,"الأسبوع 52 · "&amp;TEXT(DAY(H62),"00")&amp;"/"&amp;TEXT(MONTH(H62),"00")&amp;" ← "&amp;TEXT(DAY(I62),"00")&amp;"/"&amp;TEXT(MONTH(I62),"00"),"")</f>
        <v/>
      </c>
      <c r="K62">
        <f>IF(52&lt;=NW,MONTH(I62),"")</f>
        <v/>
      </c>
      <c r="L62" t="n">
        <v>52</v>
      </c>
    </row>
    <row r="63">
      <c r="A63" t="inlineStr">
        <is>
          <t>11:10 AM</t>
        </is>
      </c>
      <c r="B63" s="25" t="n">
        <v>0.4652777777777778</v>
      </c>
      <c r="H63" s="19">
        <f>IF(53&lt;=NW,SAT1+364,"")</f>
        <v/>
      </c>
      <c r="I63" s="19">
        <f>IF(53&lt;=NW,SAT1+370,"")</f>
        <v/>
      </c>
      <c r="J63">
        <f>IF(53&lt;=NW,"الأسبوع 53 · "&amp;TEXT(DAY(H63),"00")&amp;"/"&amp;TEXT(MONTH(H63),"00")&amp;" ← "&amp;TEXT(DAY(I63),"00")&amp;"/"&amp;TEXT(MONTH(I63),"00"),"")</f>
        <v/>
      </c>
      <c r="K63">
        <f>IF(53&lt;=NW,MONTH(I63),"")</f>
        <v/>
      </c>
      <c r="L63" t="n">
        <v>53</v>
      </c>
    </row>
    <row r="64">
      <c r="A64" t="inlineStr">
        <is>
          <t>11:15 AM</t>
        </is>
      </c>
      <c r="B64" s="25" t="n">
        <v>0.46875</v>
      </c>
    </row>
    <row r="65">
      <c r="A65" t="inlineStr">
        <is>
          <t>11:20 AM</t>
        </is>
      </c>
      <c r="B65" s="25" t="n">
        <v>0.4722222222222222</v>
      </c>
    </row>
    <row r="66">
      <c r="A66" t="inlineStr">
        <is>
          <t>11:25 AM</t>
        </is>
      </c>
      <c r="B66" s="25" t="n">
        <v>0.4756944444444444</v>
      </c>
    </row>
    <row r="67">
      <c r="A67" t="inlineStr">
        <is>
          <t>11:30 AM</t>
        </is>
      </c>
      <c r="B67" s="25" t="n">
        <v>0.4791666666666667</v>
      </c>
    </row>
    <row r="68">
      <c r="A68" t="inlineStr">
        <is>
          <t>11:35 AM</t>
        </is>
      </c>
      <c r="B68" s="25" t="n">
        <v>0.4826388888888889</v>
      </c>
    </row>
    <row r="69">
      <c r="A69" t="inlineStr">
        <is>
          <t>11:40 AM</t>
        </is>
      </c>
      <c r="B69" s="25" t="n">
        <v>0.4861111111111111</v>
      </c>
    </row>
    <row r="70">
      <c r="A70" t="inlineStr">
        <is>
          <t>11:45 AM</t>
        </is>
      </c>
      <c r="B70" s="25" t="n">
        <v>0.4895833333333333</v>
      </c>
    </row>
    <row r="71">
      <c r="A71" t="inlineStr">
        <is>
          <t>11:50 AM</t>
        </is>
      </c>
      <c r="B71" s="25" t="n">
        <v>0.4930555555555556</v>
      </c>
    </row>
    <row r="72">
      <c r="A72" t="inlineStr">
        <is>
          <t>11:55 AM</t>
        </is>
      </c>
      <c r="B72" s="25" t="n">
        <v>0.4965277777777778</v>
      </c>
    </row>
    <row r="73">
      <c r="A73" t="inlineStr">
        <is>
          <t>12:00 PM</t>
        </is>
      </c>
      <c r="B73" s="25" t="n">
        <v>0.5</v>
      </c>
    </row>
    <row r="74">
      <c r="A74" t="inlineStr">
        <is>
          <t>12:05 PM</t>
        </is>
      </c>
      <c r="B74" s="25" t="n">
        <v>0.5034722222222222</v>
      </c>
    </row>
    <row r="75">
      <c r="A75" t="inlineStr">
        <is>
          <t>12:10 PM</t>
        </is>
      </c>
      <c r="B75" s="25" t="n">
        <v>0.5069444444444444</v>
      </c>
    </row>
    <row r="76">
      <c r="A76" t="inlineStr">
        <is>
          <t>12:15 PM</t>
        </is>
      </c>
      <c r="B76" s="25" t="n">
        <v>0.5104166666666666</v>
      </c>
    </row>
    <row r="77">
      <c r="A77" t="inlineStr">
        <is>
          <t>12:20 PM</t>
        </is>
      </c>
      <c r="B77" s="25" t="n">
        <v>0.5138888888888888</v>
      </c>
    </row>
    <row r="78">
      <c r="A78" t="inlineStr">
        <is>
          <t>12:25 PM</t>
        </is>
      </c>
      <c r="B78" s="25" t="n">
        <v>0.5173611111111112</v>
      </c>
    </row>
    <row r="79">
      <c r="A79" t="inlineStr">
        <is>
          <t>12:30 PM</t>
        </is>
      </c>
      <c r="B79" s="25" t="n">
        <v>0.5208333333333334</v>
      </c>
    </row>
    <row r="80">
      <c r="A80" t="inlineStr">
        <is>
          <t>12:35 PM</t>
        </is>
      </c>
      <c r="B80" s="25" t="n">
        <v>0.5243055555555556</v>
      </c>
    </row>
    <row r="81">
      <c r="A81" t="inlineStr">
        <is>
          <t>12:40 PM</t>
        </is>
      </c>
      <c r="B81" s="25" t="n">
        <v>0.5277777777777778</v>
      </c>
    </row>
    <row r="82">
      <c r="A82" t="inlineStr">
        <is>
          <t>12:45 PM</t>
        </is>
      </c>
      <c r="B82" s="25" t="n">
        <v>0.53125</v>
      </c>
    </row>
    <row r="83">
      <c r="A83" t="inlineStr">
        <is>
          <t>12:50 PM</t>
        </is>
      </c>
      <c r="B83" s="25" t="n">
        <v>0.5347222222222222</v>
      </c>
    </row>
    <row r="84">
      <c r="A84" t="inlineStr">
        <is>
          <t>12:55 PM</t>
        </is>
      </c>
      <c r="B84" s="25" t="n">
        <v>0.5381944444444444</v>
      </c>
    </row>
    <row r="85">
      <c r="A85" t="inlineStr">
        <is>
          <t>1:00 PM</t>
        </is>
      </c>
      <c r="B85" s="25" t="n">
        <v>0.5416666666666666</v>
      </c>
    </row>
    <row r="86">
      <c r="A86" t="inlineStr">
        <is>
          <t>1:05 PM</t>
        </is>
      </c>
      <c r="B86" s="25" t="n">
        <v>0.5451388888888888</v>
      </c>
    </row>
    <row r="87">
      <c r="A87" t="inlineStr">
        <is>
          <t>1:10 PM</t>
        </is>
      </c>
      <c r="B87" s="25" t="n">
        <v>0.5486111111111112</v>
      </c>
    </row>
    <row r="88">
      <c r="A88" t="inlineStr">
        <is>
          <t>1:15 PM</t>
        </is>
      </c>
      <c r="B88" s="25" t="n">
        <v>0.5520833333333334</v>
      </c>
    </row>
    <row r="89">
      <c r="A89" t="inlineStr">
        <is>
          <t>1:20 PM</t>
        </is>
      </c>
      <c r="B89" s="25" t="n">
        <v>0.5555555555555556</v>
      </c>
    </row>
    <row r="90">
      <c r="A90" t="inlineStr">
        <is>
          <t>1:25 PM</t>
        </is>
      </c>
      <c r="B90" s="25" t="n">
        <v>0.5590277777777778</v>
      </c>
    </row>
    <row r="91">
      <c r="A91" t="inlineStr">
        <is>
          <t>1:30 PM</t>
        </is>
      </c>
      <c r="B91" s="25" t="n">
        <v>0.5625</v>
      </c>
    </row>
    <row r="92">
      <c r="A92" t="inlineStr">
        <is>
          <t>1:35 PM</t>
        </is>
      </c>
      <c r="B92" s="25" t="n">
        <v>0.5659722222222222</v>
      </c>
    </row>
    <row r="93">
      <c r="A93" t="inlineStr">
        <is>
          <t>1:40 PM</t>
        </is>
      </c>
      <c r="B93" s="25" t="n">
        <v>0.5694444444444444</v>
      </c>
    </row>
    <row r="94">
      <c r="A94" t="inlineStr">
        <is>
          <t>1:45 PM</t>
        </is>
      </c>
      <c r="B94" s="25" t="n">
        <v>0.5729166666666666</v>
      </c>
    </row>
    <row r="95">
      <c r="A95" t="inlineStr">
        <is>
          <t>1:50 PM</t>
        </is>
      </c>
      <c r="B95" s="25" t="n">
        <v>0.5763888888888888</v>
      </c>
    </row>
    <row r="96">
      <c r="A96" t="inlineStr">
        <is>
          <t>1:55 PM</t>
        </is>
      </c>
      <c r="B96" s="25" t="n">
        <v>0.5798611111111112</v>
      </c>
    </row>
    <row r="97">
      <c r="A97" t="inlineStr">
        <is>
          <t>2:00 PM</t>
        </is>
      </c>
      <c r="B97" s="25" t="n">
        <v>0.5833333333333334</v>
      </c>
    </row>
    <row r="98">
      <c r="A98" t="inlineStr">
        <is>
          <t>2:05 PM</t>
        </is>
      </c>
      <c r="B98" s="25" t="n">
        <v>0.5868055555555556</v>
      </c>
    </row>
    <row r="99">
      <c r="A99" t="inlineStr">
        <is>
          <t>2:10 PM</t>
        </is>
      </c>
      <c r="B99" s="25" t="n">
        <v>0.5902777777777778</v>
      </c>
    </row>
    <row r="100">
      <c r="A100" t="inlineStr">
        <is>
          <t>2:15 PM</t>
        </is>
      </c>
      <c r="B100" s="25" t="n">
        <v>0.59375</v>
      </c>
    </row>
    <row r="101">
      <c r="A101" t="inlineStr">
        <is>
          <t>2:20 PM</t>
        </is>
      </c>
      <c r="B101" s="25" t="n">
        <v>0.5972222222222222</v>
      </c>
    </row>
    <row r="102">
      <c r="A102" t="inlineStr">
        <is>
          <t>2:25 PM</t>
        </is>
      </c>
      <c r="B102" s="25" t="n">
        <v>0.6006944444444444</v>
      </c>
    </row>
    <row r="103">
      <c r="A103" t="inlineStr">
        <is>
          <t>2:30 PM</t>
        </is>
      </c>
      <c r="B103" s="25" t="n">
        <v>0.6041666666666666</v>
      </c>
    </row>
    <row r="104">
      <c r="A104" t="inlineStr">
        <is>
          <t>2:35 PM</t>
        </is>
      </c>
      <c r="B104" s="25" t="n">
        <v>0.6076388888888888</v>
      </c>
    </row>
    <row r="105">
      <c r="A105" t="inlineStr">
        <is>
          <t>2:40 PM</t>
        </is>
      </c>
      <c r="B105" s="25" t="n">
        <v>0.6111111111111112</v>
      </c>
    </row>
    <row r="106">
      <c r="A106" t="inlineStr">
        <is>
          <t>2:45 PM</t>
        </is>
      </c>
      <c r="B106" s="25" t="n">
        <v>0.6145833333333334</v>
      </c>
    </row>
    <row r="107">
      <c r="A107" t="inlineStr">
        <is>
          <t>2:50 PM</t>
        </is>
      </c>
      <c r="B107" s="25" t="n">
        <v>0.6180555555555556</v>
      </c>
    </row>
    <row r="108">
      <c r="A108" t="inlineStr">
        <is>
          <t>2:55 PM</t>
        </is>
      </c>
      <c r="B108" s="25" t="n">
        <v>0.6215277777777778</v>
      </c>
    </row>
    <row r="109">
      <c r="A109" t="inlineStr">
        <is>
          <t>3:00 PM</t>
        </is>
      </c>
      <c r="B109" s="25" t="n">
        <v>0.625</v>
      </c>
    </row>
    <row r="110">
      <c r="A110" t="inlineStr">
        <is>
          <t>3:05 PM</t>
        </is>
      </c>
      <c r="B110" s="25" t="n">
        <v>0.6284722222222222</v>
      </c>
    </row>
    <row r="111">
      <c r="A111" t="inlineStr">
        <is>
          <t>3:10 PM</t>
        </is>
      </c>
      <c r="B111" s="25" t="n">
        <v>0.6319444444444444</v>
      </c>
    </row>
    <row r="112">
      <c r="A112" t="inlineStr">
        <is>
          <t>3:15 PM</t>
        </is>
      </c>
      <c r="B112" s="25" t="n">
        <v>0.6354166666666666</v>
      </c>
    </row>
    <row r="113">
      <c r="A113" t="inlineStr">
        <is>
          <t>3:20 PM</t>
        </is>
      </c>
      <c r="B113" s="25" t="n">
        <v>0.6388888888888888</v>
      </c>
    </row>
    <row r="114">
      <c r="A114" t="inlineStr">
        <is>
          <t>3:25 PM</t>
        </is>
      </c>
      <c r="B114" s="25" t="n">
        <v>0.6423611111111112</v>
      </c>
    </row>
    <row r="115">
      <c r="A115" t="inlineStr">
        <is>
          <t>3:30 PM</t>
        </is>
      </c>
      <c r="B115" s="25" t="n">
        <v>0.6458333333333334</v>
      </c>
    </row>
    <row r="116">
      <c r="A116" t="inlineStr">
        <is>
          <t>3:35 PM</t>
        </is>
      </c>
      <c r="B116" s="25" t="n">
        <v>0.6493055555555556</v>
      </c>
    </row>
    <row r="117">
      <c r="A117" t="inlineStr">
        <is>
          <t>3:40 PM</t>
        </is>
      </c>
      <c r="B117" s="25" t="n">
        <v>0.6527777777777778</v>
      </c>
    </row>
    <row r="118">
      <c r="A118" t="inlineStr">
        <is>
          <t>3:45 PM</t>
        </is>
      </c>
      <c r="B118" s="25" t="n">
        <v>0.65625</v>
      </c>
    </row>
    <row r="119">
      <c r="A119" t="inlineStr">
        <is>
          <t>3:50 PM</t>
        </is>
      </c>
      <c r="B119" s="25" t="n">
        <v>0.6597222222222222</v>
      </c>
    </row>
    <row r="120">
      <c r="A120" t="inlineStr">
        <is>
          <t>3:55 PM</t>
        </is>
      </c>
      <c r="B120" s="25" t="n">
        <v>0.6631944444444444</v>
      </c>
    </row>
    <row r="121">
      <c r="A121" t="inlineStr">
        <is>
          <t>4:00 PM</t>
        </is>
      </c>
      <c r="B121" s="25" t="n">
        <v>0.6666666666666666</v>
      </c>
    </row>
    <row r="122">
      <c r="A122" t="inlineStr">
        <is>
          <t>4:05 PM</t>
        </is>
      </c>
      <c r="B122" s="25" t="n">
        <v>0.6701388888888888</v>
      </c>
    </row>
    <row r="123">
      <c r="A123" t="inlineStr">
        <is>
          <t>4:10 PM</t>
        </is>
      </c>
      <c r="B123" s="25" t="n">
        <v>0.6736111111111112</v>
      </c>
    </row>
    <row r="124">
      <c r="A124" t="inlineStr">
        <is>
          <t>4:15 PM</t>
        </is>
      </c>
      <c r="B124" s="25" t="n">
        <v>0.6770833333333334</v>
      </c>
    </row>
    <row r="125">
      <c r="A125" t="inlineStr">
        <is>
          <t>4:20 PM</t>
        </is>
      </c>
      <c r="B125" s="25" t="n">
        <v>0.6805555555555556</v>
      </c>
    </row>
    <row r="126">
      <c r="A126" t="inlineStr">
        <is>
          <t>4:25 PM</t>
        </is>
      </c>
      <c r="B126" s="25" t="n">
        <v>0.6840277777777778</v>
      </c>
    </row>
    <row r="127">
      <c r="A127" t="inlineStr">
        <is>
          <t>4:30 PM</t>
        </is>
      </c>
      <c r="B127" s="25" t="n">
        <v>0.6875</v>
      </c>
    </row>
    <row r="128">
      <c r="A128" t="inlineStr">
        <is>
          <t>4:35 PM</t>
        </is>
      </c>
      <c r="B128" s="25" t="n">
        <v>0.6909722222222222</v>
      </c>
    </row>
    <row r="129">
      <c r="A129" t="inlineStr">
        <is>
          <t>4:40 PM</t>
        </is>
      </c>
      <c r="B129" s="25" t="n">
        <v>0.6944444444444444</v>
      </c>
    </row>
    <row r="130">
      <c r="A130" t="inlineStr">
        <is>
          <t>4:45 PM</t>
        </is>
      </c>
      <c r="B130" s="25" t="n">
        <v>0.6979166666666666</v>
      </c>
    </row>
    <row r="131">
      <c r="A131" t="inlineStr">
        <is>
          <t>4:50 PM</t>
        </is>
      </c>
      <c r="B131" s="25" t="n">
        <v>0.7013888888888888</v>
      </c>
    </row>
    <row r="132">
      <c r="A132" t="inlineStr">
        <is>
          <t>4:55 PM</t>
        </is>
      </c>
      <c r="B132" s="25" t="n">
        <v>0.7048611111111112</v>
      </c>
    </row>
    <row r="133">
      <c r="A133" t="inlineStr">
        <is>
          <t>5:00 PM</t>
        </is>
      </c>
      <c r="B133" s="25" t="n">
        <v>0.7083333333333334</v>
      </c>
    </row>
    <row r="134">
      <c r="A134" t="inlineStr">
        <is>
          <t>5:05 PM</t>
        </is>
      </c>
      <c r="B134" s="25" t="n">
        <v>0.7118055555555556</v>
      </c>
    </row>
    <row r="135">
      <c r="A135" t="inlineStr">
        <is>
          <t>5:10 PM</t>
        </is>
      </c>
      <c r="B135" s="25" t="n">
        <v>0.7152777777777778</v>
      </c>
    </row>
    <row r="136">
      <c r="A136" t="inlineStr">
        <is>
          <t>5:15 PM</t>
        </is>
      </c>
      <c r="B136" s="25" t="n">
        <v>0.71875</v>
      </c>
    </row>
    <row r="137">
      <c r="A137" t="inlineStr">
        <is>
          <t>5:20 PM</t>
        </is>
      </c>
      <c r="B137" s="25" t="n">
        <v>0.7222222222222222</v>
      </c>
    </row>
    <row r="138">
      <c r="A138" t="inlineStr">
        <is>
          <t>5:25 PM</t>
        </is>
      </c>
      <c r="B138" s="25" t="n">
        <v>0.7256944444444444</v>
      </c>
    </row>
    <row r="139">
      <c r="A139" t="inlineStr">
        <is>
          <t>5:30 PM</t>
        </is>
      </c>
      <c r="B139" s="25" t="n">
        <v>0.7291666666666666</v>
      </c>
    </row>
    <row r="140">
      <c r="A140" t="inlineStr">
        <is>
          <t>5:35 PM</t>
        </is>
      </c>
      <c r="B140" s="25" t="n">
        <v>0.7326388888888888</v>
      </c>
    </row>
    <row r="141">
      <c r="A141" t="inlineStr">
        <is>
          <t>5:40 PM</t>
        </is>
      </c>
      <c r="B141" s="25" t="n">
        <v>0.7361111111111112</v>
      </c>
    </row>
    <row r="142">
      <c r="A142" t="inlineStr">
        <is>
          <t>5:45 PM</t>
        </is>
      </c>
      <c r="B142" s="25" t="n">
        <v>0.7395833333333334</v>
      </c>
    </row>
    <row r="143">
      <c r="A143" t="inlineStr">
        <is>
          <t>5:50 PM</t>
        </is>
      </c>
      <c r="B143" s="25" t="n">
        <v>0.7430555555555556</v>
      </c>
    </row>
    <row r="144">
      <c r="A144" t="inlineStr">
        <is>
          <t>5:55 PM</t>
        </is>
      </c>
      <c r="B144" s="25" t="n">
        <v>0.7465277777777778</v>
      </c>
    </row>
    <row r="145">
      <c r="A145" t="inlineStr">
        <is>
          <t>6:00 PM</t>
        </is>
      </c>
      <c r="B145" s="25" t="n">
        <v>0.75</v>
      </c>
    </row>
    <row r="146">
      <c r="A146" t="inlineStr">
        <is>
          <t>6:05 PM</t>
        </is>
      </c>
      <c r="B146" s="25" t="n">
        <v>0.7534722222222222</v>
      </c>
    </row>
    <row r="147">
      <c r="A147" t="inlineStr">
        <is>
          <t>6:10 PM</t>
        </is>
      </c>
      <c r="B147" s="25" t="n">
        <v>0.7569444444444444</v>
      </c>
    </row>
    <row r="148">
      <c r="A148" t="inlineStr">
        <is>
          <t>6:15 PM</t>
        </is>
      </c>
      <c r="B148" s="25" t="n">
        <v>0.7604166666666666</v>
      </c>
    </row>
    <row r="149">
      <c r="A149" t="inlineStr">
        <is>
          <t>6:20 PM</t>
        </is>
      </c>
      <c r="B149" s="25" t="n">
        <v>0.7638888888888888</v>
      </c>
    </row>
    <row r="150">
      <c r="A150" t="inlineStr">
        <is>
          <t>6:25 PM</t>
        </is>
      </c>
      <c r="B150" s="25" t="n">
        <v>0.7673611111111112</v>
      </c>
    </row>
    <row r="151">
      <c r="A151" t="inlineStr">
        <is>
          <t>6:30 PM</t>
        </is>
      </c>
      <c r="B151" s="25" t="n">
        <v>0.7708333333333334</v>
      </c>
    </row>
    <row r="152">
      <c r="A152" t="inlineStr">
        <is>
          <t>6:35 PM</t>
        </is>
      </c>
      <c r="B152" s="25" t="n">
        <v>0.7743055555555556</v>
      </c>
    </row>
    <row r="153">
      <c r="A153" t="inlineStr">
        <is>
          <t>6:40 PM</t>
        </is>
      </c>
      <c r="B153" s="25" t="n">
        <v>0.7777777777777778</v>
      </c>
    </row>
    <row r="154">
      <c r="A154" t="inlineStr">
        <is>
          <t>6:45 PM</t>
        </is>
      </c>
      <c r="B154" s="25" t="n">
        <v>0.78125</v>
      </c>
    </row>
    <row r="155">
      <c r="A155" t="inlineStr">
        <is>
          <t>6:50 PM</t>
        </is>
      </c>
      <c r="B155" s="25" t="n">
        <v>0.7847222222222222</v>
      </c>
    </row>
    <row r="156">
      <c r="A156" t="inlineStr">
        <is>
          <t>6:55 PM</t>
        </is>
      </c>
      <c r="B156" s="25" t="n">
        <v>0.7881944444444444</v>
      </c>
    </row>
    <row r="157">
      <c r="A157" t="inlineStr">
        <is>
          <t>7:00 PM</t>
        </is>
      </c>
      <c r="B157" s="25" t="n">
        <v>0.7916666666666666</v>
      </c>
    </row>
    <row r="158">
      <c r="A158" t="inlineStr">
        <is>
          <t>7:05 PM</t>
        </is>
      </c>
      <c r="B158" s="25" t="n">
        <v>0.7951388888888888</v>
      </c>
    </row>
    <row r="159">
      <c r="A159" t="inlineStr">
        <is>
          <t>7:10 PM</t>
        </is>
      </c>
      <c r="B159" s="25" t="n">
        <v>0.7986111111111112</v>
      </c>
    </row>
    <row r="160">
      <c r="A160" t="inlineStr">
        <is>
          <t>7:15 PM</t>
        </is>
      </c>
      <c r="B160" s="25" t="n">
        <v>0.8020833333333334</v>
      </c>
    </row>
    <row r="161">
      <c r="A161" t="inlineStr">
        <is>
          <t>7:20 PM</t>
        </is>
      </c>
      <c r="B161" s="25" t="n">
        <v>0.8055555555555556</v>
      </c>
    </row>
    <row r="162">
      <c r="A162" t="inlineStr">
        <is>
          <t>7:25 PM</t>
        </is>
      </c>
      <c r="B162" s="25" t="n">
        <v>0.8090277777777778</v>
      </c>
    </row>
    <row r="163">
      <c r="A163" t="inlineStr">
        <is>
          <t>7:30 PM</t>
        </is>
      </c>
      <c r="B163" s="25" t="n">
        <v>0.8125</v>
      </c>
    </row>
    <row r="164">
      <c r="A164" t="inlineStr">
        <is>
          <t>7:35 PM</t>
        </is>
      </c>
      <c r="B164" s="25" t="n">
        <v>0.8159722222222222</v>
      </c>
    </row>
    <row r="165">
      <c r="A165" t="inlineStr">
        <is>
          <t>7:40 PM</t>
        </is>
      </c>
      <c r="B165" s="25" t="n">
        <v>0.8194444444444444</v>
      </c>
    </row>
    <row r="166">
      <c r="A166" t="inlineStr">
        <is>
          <t>7:45 PM</t>
        </is>
      </c>
      <c r="B166" s="25" t="n">
        <v>0.8229166666666666</v>
      </c>
    </row>
    <row r="167">
      <c r="A167" t="inlineStr">
        <is>
          <t>7:50 PM</t>
        </is>
      </c>
      <c r="B167" s="25" t="n">
        <v>0.8263888888888888</v>
      </c>
    </row>
    <row r="168">
      <c r="A168" t="inlineStr">
        <is>
          <t>7:55 PM</t>
        </is>
      </c>
      <c r="B168" s="25" t="n">
        <v>0.8298611111111112</v>
      </c>
    </row>
    <row r="169">
      <c r="A169" t="inlineStr">
        <is>
          <t>8:00 PM</t>
        </is>
      </c>
      <c r="B169" s="25" t="n">
        <v>0.8333333333333334</v>
      </c>
    </row>
    <row r="170">
      <c r="A170" t="inlineStr">
        <is>
          <t>8:05 PM</t>
        </is>
      </c>
      <c r="B170" s="25" t="n">
        <v>0.8368055555555556</v>
      </c>
    </row>
    <row r="171">
      <c r="A171" t="inlineStr">
        <is>
          <t>8:10 PM</t>
        </is>
      </c>
      <c r="B171" s="25" t="n">
        <v>0.8402777777777778</v>
      </c>
    </row>
    <row r="172">
      <c r="A172" t="inlineStr">
        <is>
          <t>8:15 PM</t>
        </is>
      </c>
      <c r="B172" s="25" t="n">
        <v>0.84375</v>
      </c>
    </row>
    <row r="173">
      <c r="A173" t="inlineStr">
        <is>
          <t>8:20 PM</t>
        </is>
      </c>
      <c r="B173" s="25" t="n">
        <v>0.8472222222222222</v>
      </c>
    </row>
    <row r="174">
      <c r="A174" t="inlineStr">
        <is>
          <t>8:25 PM</t>
        </is>
      </c>
      <c r="B174" s="25" t="n">
        <v>0.8506944444444444</v>
      </c>
    </row>
    <row r="175">
      <c r="A175" t="inlineStr">
        <is>
          <t>8:30 PM</t>
        </is>
      </c>
      <c r="B175" s="25" t="n">
        <v>0.8541666666666666</v>
      </c>
    </row>
    <row r="176">
      <c r="A176" t="inlineStr">
        <is>
          <t>8:35 PM</t>
        </is>
      </c>
      <c r="B176" s="25" t="n">
        <v>0.8576388888888888</v>
      </c>
    </row>
    <row r="177">
      <c r="A177" t="inlineStr">
        <is>
          <t>8:40 PM</t>
        </is>
      </c>
      <c r="B177" s="25" t="n">
        <v>0.8611111111111112</v>
      </c>
    </row>
    <row r="178">
      <c r="A178" t="inlineStr">
        <is>
          <t>8:45 PM</t>
        </is>
      </c>
      <c r="B178" s="25" t="n">
        <v>0.8645833333333334</v>
      </c>
    </row>
    <row r="179">
      <c r="A179" t="inlineStr">
        <is>
          <t>8:50 PM</t>
        </is>
      </c>
      <c r="B179" s="25" t="n">
        <v>0.8680555555555556</v>
      </c>
    </row>
    <row r="180">
      <c r="A180" t="inlineStr">
        <is>
          <t>8:55 PM</t>
        </is>
      </c>
      <c r="B180" s="25" t="n">
        <v>0.8715277777777778</v>
      </c>
    </row>
    <row r="181">
      <c r="A181" t="inlineStr">
        <is>
          <t>9:00 PM</t>
        </is>
      </c>
      <c r="B181" s="25" t="n">
        <v>0.875</v>
      </c>
    </row>
    <row r="182">
      <c r="A182" t="inlineStr">
        <is>
          <t>9:05 PM</t>
        </is>
      </c>
      <c r="B182" s="25" t="n">
        <v>0.8784722222222222</v>
      </c>
    </row>
    <row r="183">
      <c r="A183" t="inlineStr">
        <is>
          <t>9:10 PM</t>
        </is>
      </c>
      <c r="B183" s="25" t="n">
        <v>0.8819444444444444</v>
      </c>
    </row>
    <row r="184">
      <c r="A184" t="inlineStr">
        <is>
          <t>9:15 PM</t>
        </is>
      </c>
      <c r="B184" s="25" t="n">
        <v>0.8854166666666666</v>
      </c>
    </row>
    <row r="185">
      <c r="A185" t="inlineStr">
        <is>
          <t>9:20 PM</t>
        </is>
      </c>
      <c r="B185" s="25" t="n">
        <v>0.8888888888888888</v>
      </c>
    </row>
    <row r="186">
      <c r="A186" t="inlineStr">
        <is>
          <t>9:25 PM</t>
        </is>
      </c>
      <c r="B186" s="25" t="n">
        <v>0.8923611111111112</v>
      </c>
    </row>
    <row r="187">
      <c r="A187" t="inlineStr">
        <is>
          <t>9:30 PM</t>
        </is>
      </c>
      <c r="B187" s="25" t="n">
        <v>0.8958333333333334</v>
      </c>
    </row>
    <row r="188">
      <c r="A188" t="inlineStr">
        <is>
          <t>9:35 PM</t>
        </is>
      </c>
      <c r="B188" s="25" t="n">
        <v>0.8993055555555556</v>
      </c>
    </row>
    <row r="189">
      <c r="A189" t="inlineStr">
        <is>
          <t>9:40 PM</t>
        </is>
      </c>
      <c r="B189" s="25" t="n">
        <v>0.9027777777777778</v>
      </c>
    </row>
    <row r="190">
      <c r="A190" t="inlineStr">
        <is>
          <t>9:45 PM</t>
        </is>
      </c>
      <c r="B190" s="25" t="n">
        <v>0.90625</v>
      </c>
    </row>
    <row r="191">
      <c r="A191" t="inlineStr">
        <is>
          <t>9:50 PM</t>
        </is>
      </c>
      <c r="B191" s="25" t="n">
        <v>0.9097222222222222</v>
      </c>
    </row>
    <row r="192">
      <c r="A192" t="inlineStr">
        <is>
          <t>9:55 PM</t>
        </is>
      </c>
      <c r="B192" s="25" t="n">
        <v>0.9131944444444444</v>
      </c>
    </row>
    <row r="193">
      <c r="A193" t="inlineStr">
        <is>
          <t>10:00 PM</t>
        </is>
      </c>
      <c r="B193" s="25" t="n">
        <v>0.9166666666666666</v>
      </c>
    </row>
    <row r="194">
      <c r="A194" t="inlineStr">
        <is>
          <t>10:05 PM</t>
        </is>
      </c>
      <c r="B194" s="25" t="n">
        <v>0.9201388888888888</v>
      </c>
    </row>
    <row r="195">
      <c r="A195" t="inlineStr">
        <is>
          <t>10:10 PM</t>
        </is>
      </c>
      <c r="B195" s="25" t="n">
        <v>0.9236111111111112</v>
      </c>
    </row>
    <row r="196">
      <c r="A196" t="inlineStr">
        <is>
          <t>10:15 PM</t>
        </is>
      </c>
      <c r="B196" s="25" t="n">
        <v>0.9270833333333334</v>
      </c>
    </row>
    <row r="197">
      <c r="A197" t="inlineStr">
        <is>
          <t>10:20 PM</t>
        </is>
      </c>
      <c r="B197" s="25" t="n">
        <v>0.9305555555555556</v>
      </c>
    </row>
    <row r="198">
      <c r="A198" t="inlineStr">
        <is>
          <t>10:25 PM</t>
        </is>
      </c>
      <c r="B198" s="25" t="n">
        <v>0.9340277777777778</v>
      </c>
    </row>
    <row r="199">
      <c r="A199" t="inlineStr">
        <is>
          <t>10:30 PM</t>
        </is>
      </c>
      <c r="B199" s="25" t="n">
        <v>0.9375</v>
      </c>
    </row>
    <row r="200">
      <c r="A200" t="inlineStr">
        <is>
          <t>10:35 PM</t>
        </is>
      </c>
      <c r="B200" s="25" t="n">
        <v>0.9409722222222222</v>
      </c>
    </row>
    <row r="201">
      <c r="A201" t="inlineStr">
        <is>
          <t>10:40 PM</t>
        </is>
      </c>
      <c r="B201" s="25" t="n">
        <v>0.9444444444444444</v>
      </c>
    </row>
    <row r="202">
      <c r="A202" t="inlineStr">
        <is>
          <t>10:45 PM</t>
        </is>
      </c>
      <c r="B202" s="25" t="n">
        <v>0.9479166666666666</v>
      </c>
    </row>
    <row r="203">
      <c r="A203" t="inlineStr">
        <is>
          <t>10:50 PM</t>
        </is>
      </c>
      <c r="B203" s="25" t="n">
        <v>0.9513888888888888</v>
      </c>
    </row>
    <row r="204">
      <c r="A204" t="inlineStr">
        <is>
          <t>10:55 PM</t>
        </is>
      </c>
      <c r="B204" s="25" t="n">
        <v>0.9548611111111112</v>
      </c>
    </row>
    <row r="205">
      <c r="A205" t="inlineStr">
        <is>
          <t>11:00 PM</t>
        </is>
      </c>
      <c r="B205" s="25" t="n">
        <v>0.9583333333333334</v>
      </c>
    </row>
    <row r="206">
      <c r="A206" t="inlineStr">
        <is>
          <t>11:05 PM</t>
        </is>
      </c>
      <c r="B206" s="25" t="n">
        <v>0.9618055555555556</v>
      </c>
    </row>
    <row r="207">
      <c r="A207" t="inlineStr">
        <is>
          <t>11:10 PM</t>
        </is>
      </c>
      <c r="B207" s="25" t="n">
        <v>0.9652777777777778</v>
      </c>
    </row>
    <row r="208">
      <c r="A208" t="inlineStr">
        <is>
          <t>11:15 PM</t>
        </is>
      </c>
      <c r="B208" s="25" t="n">
        <v>0.96875</v>
      </c>
    </row>
    <row r="209">
      <c r="A209" t="inlineStr">
        <is>
          <t>11:20 PM</t>
        </is>
      </c>
      <c r="B209" s="25" t="n">
        <v>0.9722222222222222</v>
      </c>
    </row>
    <row r="210">
      <c r="A210" t="inlineStr">
        <is>
          <t>11:25 PM</t>
        </is>
      </c>
      <c r="B210" s="25" t="n">
        <v>0.9756944444444444</v>
      </c>
    </row>
    <row r="211">
      <c r="A211" t="inlineStr">
        <is>
          <t>11:30 PM</t>
        </is>
      </c>
      <c r="B211" s="25" t="n">
        <v>0.9791666666666666</v>
      </c>
    </row>
    <row r="212">
      <c r="A212" t="inlineStr">
        <is>
          <t>11:35 PM</t>
        </is>
      </c>
      <c r="B212" s="25" t="n">
        <v>0.9826388888888888</v>
      </c>
    </row>
    <row r="213">
      <c r="A213" t="inlineStr">
        <is>
          <t>11:40 PM</t>
        </is>
      </c>
      <c r="B213" s="25" t="n">
        <v>0.9861111111111112</v>
      </c>
    </row>
    <row r="214">
      <c r="A214" t="inlineStr">
        <is>
          <t>11:45 PM</t>
        </is>
      </c>
      <c r="B214" s="25" t="n">
        <v>0.9895833333333334</v>
      </c>
    </row>
    <row r="215">
      <c r="A215" t="inlineStr">
        <is>
          <t>11:50 PM</t>
        </is>
      </c>
      <c r="B215" s="25" t="n">
        <v>0.9930555555555556</v>
      </c>
    </row>
    <row r="216">
      <c r="A216" t="inlineStr">
        <is>
          <t>11:55 PM</t>
        </is>
      </c>
      <c r="B216" s="25" t="n">
        <v>0.9965277777777778</v>
      </c>
    </row>
    <row r="217">
      <c r="A217" t="inlineStr">
        <is>
          <t>12:00 AM</t>
        </is>
      </c>
      <c r="B217" s="25" t="n">
        <v>0</v>
      </c>
    </row>
    <row r="218">
      <c r="A218" t="inlineStr">
        <is>
          <t>12:05 AM</t>
        </is>
      </c>
      <c r="B218" s="25" t="n">
        <v>0.003472222222222222</v>
      </c>
    </row>
    <row r="219">
      <c r="A219" t="inlineStr">
        <is>
          <t>12:10 AM</t>
        </is>
      </c>
      <c r="B219" s="25" t="n">
        <v>0.006944444444444444</v>
      </c>
    </row>
    <row r="220">
      <c r="A220" t="inlineStr">
        <is>
          <t>12:15 AM</t>
        </is>
      </c>
      <c r="B220" s="25" t="n">
        <v>0.01041666666666667</v>
      </c>
    </row>
    <row r="221">
      <c r="A221" t="inlineStr">
        <is>
          <t>12:20 AM</t>
        </is>
      </c>
      <c r="B221" s="25" t="n">
        <v>0.01388888888888889</v>
      </c>
    </row>
    <row r="222">
      <c r="A222" t="inlineStr">
        <is>
          <t>12:25 AM</t>
        </is>
      </c>
      <c r="B222" s="25" t="n">
        <v>0.01736111111111111</v>
      </c>
    </row>
    <row r="223">
      <c r="A223" t="inlineStr">
        <is>
          <t>12:30 AM</t>
        </is>
      </c>
      <c r="B223" s="25" t="n">
        <v>0.02083333333333333</v>
      </c>
    </row>
    <row r="224">
      <c r="A224" t="inlineStr">
        <is>
          <t>12:35 AM</t>
        </is>
      </c>
      <c r="B224" s="25" t="n">
        <v>0.02430555555555556</v>
      </c>
    </row>
    <row r="225">
      <c r="A225" t="inlineStr">
        <is>
          <t>12:40 AM</t>
        </is>
      </c>
      <c r="B225" s="25" t="n">
        <v>0.02777777777777778</v>
      </c>
    </row>
    <row r="226">
      <c r="A226" t="inlineStr">
        <is>
          <t>12:45 AM</t>
        </is>
      </c>
      <c r="B226" s="25" t="n">
        <v>0.03125</v>
      </c>
    </row>
    <row r="227">
      <c r="A227" t="inlineStr">
        <is>
          <t>12:50 AM</t>
        </is>
      </c>
      <c r="B227" s="25" t="n">
        <v>0.03472222222222222</v>
      </c>
    </row>
    <row r="228">
      <c r="A228" t="inlineStr">
        <is>
          <t>12:55 AM</t>
        </is>
      </c>
      <c r="B228" s="25" t="n">
        <v>0.03819444444444445</v>
      </c>
    </row>
    <row r="229">
      <c r="A229" t="inlineStr">
        <is>
          <t>1:00 AM</t>
        </is>
      </c>
      <c r="B229" s="25" t="n">
        <v>0.04166666666666666</v>
      </c>
    </row>
    <row r="230">
      <c r="A230" t="inlineStr">
        <is>
          <t>1:05 AM</t>
        </is>
      </c>
      <c r="B230" s="25" t="n">
        <v>0.04513888888888889</v>
      </c>
    </row>
    <row r="231">
      <c r="A231" t="inlineStr">
        <is>
          <t>1:10 AM</t>
        </is>
      </c>
      <c r="B231" s="25" t="n">
        <v>0.04861111111111111</v>
      </c>
    </row>
    <row r="232">
      <c r="A232" t="inlineStr">
        <is>
          <t>1:15 AM</t>
        </is>
      </c>
      <c r="B232" s="25" t="n">
        <v>0.05208333333333334</v>
      </c>
    </row>
    <row r="233">
      <c r="A233" t="inlineStr">
        <is>
          <t>1:20 AM</t>
        </is>
      </c>
      <c r="B233" s="25" t="n">
        <v>0.05555555555555555</v>
      </c>
    </row>
    <row r="234">
      <c r="A234" t="inlineStr">
        <is>
          <t>1:25 AM</t>
        </is>
      </c>
      <c r="B234" s="25" t="n">
        <v>0.05902777777777778</v>
      </c>
    </row>
    <row r="235">
      <c r="A235" t="inlineStr">
        <is>
          <t>1:30 AM</t>
        </is>
      </c>
      <c r="B235" s="25" t="n">
        <v>0.0625</v>
      </c>
    </row>
    <row r="236">
      <c r="A236" t="inlineStr">
        <is>
          <t>1:35 AM</t>
        </is>
      </c>
      <c r="B236" s="25" t="n">
        <v>0.06597222222222222</v>
      </c>
    </row>
    <row r="237">
      <c r="A237" t="inlineStr">
        <is>
          <t>1:40 AM</t>
        </is>
      </c>
      <c r="B237" s="25" t="n">
        <v>0.06944444444444445</v>
      </c>
    </row>
    <row r="238">
      <c r="A238" t="inlineStr">
        <is>
          <t>1:45 AM</t>
        </is>
      </c>
      <c r="B238" s="25" t="n">
        <v>0.07291666666666667</v>
      </c>
    </row>
    <row r="239">
      <c r="A239" t="inlineStr">
        <is>
          <t>1:50 AM</t>
        </is>
      </c>
      <c r="B239" s="25" t="n">
        <v>0.0763888888888889</v>
      </c>
    </row>
    <row r="240">
      <c r="A240" t="inlineStr">
        <is>
          <t>1:55 AM</t>
        </is>
      </c>
      <c r="B240" s="25" t="n">
        <v>0.0798611111111111</v>
      </c>
    </row>
    <row r="241">
      <c r="A241" t="inlineStr">
        <is>
          <t>2:00 AM</t>
        </is>
      </c>
      <c r="B241" s="25" t="n">
        <v>0.08333333333333333</v>
      </c>
    </row>
    <row r="242">
      <c r="A242" t="inlineStr">
        <is>
          <t>2:05 AM</t>
        </is>
      </c>
      <c r="B242" s="25" t="n">
        <v>0.08680555555555555</v>
      </c>
    </row>
    <row r="243">
      <c r="A243" t="inlineStr">
        <is>
          <t>2:10 AM</t>
        </is>
      </c>
      <c r="B243" s="25" t="n">
        <v>0.09027777777777778</v>
      </c>
    </row>
    <row r="244">
      <c r="A244" t="inlineStr">
        <is>
          <t>2:15 AM</t>
        </is>
      </c>
      <c r="B244" s="25" t="n">
        <v>0.09375</v>
      </c>
    </row>
    <row r="245">
      <c r="A245" t="inlineStr">
        <is>
          <t>2:20 AM</t>
        </is>
      </c>
      <c r="B245" s="25" t="n">
        <v>0.09722222222222222</v>
      </c>
    </row>
    <row r="246">
      <c r="A246" t="inlineStr">
        <is>
          <t>2:25 AM</t>
        </is>
      </c>
      <c r="B246" s="25" t="n">
        <v>0.1006944444444444</v>
      </c>
    </row>
    <row r="247">
      <c r="A247" t="inlineStr">
        <is>
          <t>2:30 AM</t>
        </is>
      </c>
      <c r="B247" s="25" t="n">
        <v>0.1041666666666667</v>
      </c>
    </row>
    <row r="248">
      <c r="A248" t="inlineStr">
        <is>
          <t>2:35 AM</t>
        </is>
      </c>
      <c r="B248" s="25" t="n">
        <v>0.1076388888888889</v>
      </c>
    </row>
    <row r="249">
      <c r="A249" t="inlineStr">
        <is>
          <t>2:40 AM</t>
        </is>
      </c>
      <c r="B249" s="25" t="n">
        <v>0.1111111111111111</v>
      </c>
    </row>
    <row r="250">
      <c r="A250" t="inlineStr">
        <is>
          <t>2:45 AM</t>
        </is>
      </c>
      <c r="B250" s="25" t="n">
        <v>0.1145833333333333</v>
      </c>
    </row>
    <row r="251">
      <c r="A251" t="inlineStr">
        <is>
          <t>2:50 AM</t>
        </is>
      </c>
      <c r="B251" s="25" t="n">
        <v>0.1180555555555556</v>
      </c>
    </row>
    <row r="252">
      <c r="A252" t="inlineStr">
        <is>
          <t>2:55 AM</t>
        </is>
      </c>
      <c r="B252" s="25" t="n">
        <v>0.1215277777777778</v>
      </c>
    </row>
    <row r="253">
      <c r="A253" t="inlineStr">
        <is>
          <t>3:00 AM</t>
        </is>
      </c>
      <c r="B253" s="25" t="n">
        <v>0.125</v>
      </c>
    </row>
    <row r="254">
      <c r="A254" t="inlineStr">
        <is>
          <t>3:05 AM</t>
        </is>
      </c>
      <c r="B254" s="25" t="n">
        <v>0.1284722222222222</v>
      </c>
    </row>
    <row r="255">
      <c r="A255" t="inlineStr">
        <is>
          <t>3:10 AM</t>
        </is>
      </c>
      <c r="B255" s="25" t="n">
        <v>0.1319444444444444</v>
      </c>
    </row>
    <row r="256">
      <c r="A256" t="inlineStr">
        <is>
          <t>3:15 AM</t>
        </is>
      </c>
      <c r="B256" s="25" t="n">
        <v>0.1354166666666667</v>
      </c>
    </row>
    <row r="257">
      <c r="A257" t="inlineStr">
        <is>
          <t>3:20 AM</t>
        </is>
      </c>
      <c r="B257" s="25" t="n">
        <v>0.1388888888888889</v>
      </c>
    </row>
    <row r="258">
      <c r="A258" t="inlineStr">
        <is>
          <t>3:25 AM</t>
        </is>
      </c>
      <c r="B258" s="25" t="n">
        <v>0.1423611111111111</v>
      </c>
    </row>
    <row r="259">
      <c r="A259" t="inlineStr">
        <is>
          <t>3:30 AM</t>
        </is>
      </c>
      <c r="B259" s="25" t="n">
        <v>0.1458333333333333</v>
      </c>
    </row>
    <row r="260">
      <c r="A260" t="inlineStr">
        <is>
          <t>3:35 AM</t>
        </is>
      </c>
      <c r="B260" s="25" t="n">
        <v>0.1493055555555556</v>
      </c>
    </row>
    <row r="261">
      <c r="A261" t="inlineStr">
        <is>
          <t>3:40 AM</t>
        </is>
      </c>
      <c r="B261" s="25" t="n">
        <v>0.1527777777777778</v>
      </c>
    </row>
    <row r="262">
      <c r="A262" t="inlineStr">
        <is>
          <t>3:45 AM</t>
        </is>
      </c>
      <c r="B262" s="25" t="n">
        <v>0.15625</v>
      </c>
    </row>
    <row r="263">
      <c r="A263" t="inlineStr">
        <is>
          <t>3:50 AM</t>
        </is>
      </c>
      <c r="B263" s="25" t="n">
        <v>0.1597222222222222</v>
      </c>
    </row>
    <row r="264">
      <c r="A264" t="inlineStr">
        <is>
          <t>3:55 AM</t>
        </is>
      </c>
      <c r="B264" s="25" t="n">
        <v>0.1631944444444444</v>
      </c>
    </row>
    <row r="265">
      <c r="A265" t="inlineStr">
        <is>
          <t>4:00 AM</t>
        </is>
      </c>
      <c r="B265" s="25" t="n">
        <v>0.1666666666666667</v>
      </c>
    </row>
    <row r="266">
      <c r="A266" t="inlineStr">
        <is>
          <t>4:05 AM</t>
        </is>
      </c>
      <c r="B266" s="25" t="n">
        <v>0.1701388888888889</v>
      </c>
    </row>
    <row r="267">
      <c r="A267" t="inlineStr">
        <is>
          <t>4:10 AM</t>
        </is>
      </c>
      <c r="B267" s="25" t="n">
        <v>0.1736111111111111</v>
      </c>
    </row>
    <row r="268">
      <c r="A268" t="inlineStr">
        <is>
          <t>4:15 AM</t>
        </is>
      </c>
      <c r="B268" s="25" t="n">
        <v>0.1770833333333333</v>
      </c>
    </row>
    <row r="269">
      <c r="A269" t="inlineStr">
        <is>
          <t>4:20 AM</t>
        </is>
      </c>
      <c r="B269" s="25" t="n">
        <v>0.1805555555555556</v>
      </c>
    </row>
    <row r="270">
      <c r="A270" t="inlineStr">
        <is>
          <t>4:25 AM</t>
        </is>
      </c>
      <c r="B270" s="25" t="n">
        <v>0.1840277777777778</v>
      </c>
    </row>
    <row r="271">
      <c r="A271" t="inlineStr">
        <is>
          <t>4:30 AM</t>
        </is>
      </c>
      <c r="B271" s="25" t="n">
        <v>0.1875</v>
      </c>
    </row>
    <row r="272">
      <c r="A272" t="inlineStr">
        <is>
          <t>4:35 AM</t>
        </is>
      </c>
      <c r="B272" s="25" t="n">
        <v>0.1909722222222222</v>
      </c>
    </row>
    <row r="273">
      <c r="A273" t="inlineStr">
        <is>
          <t>4:40 AM</t>
        </is>
      </c>
      <c r="B273" s="25" t="n">
        <v>0.1944444444444444</v>
      </c>
    </row>
    <row r="274">
      <c r="A274" t="inlineStr">
        <is>
          <t>4:45 AM</t>
        </is>
      </c>
      <c r="B274" s="25" t="n">
        <v>0.1979166666666667</v>
      </c>
    </row>
    <row r="275">
      <c r="A275" t="inlineStr">
        <is>
          <t>4:50 AM</t>
        </is>
      </c>
      <c r="B275" s="25" t="n">
        <v>0.2013888888888889</v>
      </c>
    </row>
    <row r="276">
      <c r="A276" t="inlineStr">
        <is>
          <t>4:55 AM</t>
        </is>
      </c>
      <c r="B276" s="25" t="n">
        <v>0.2048611111111111</v>
      </c>
    </row>
    <row r="277">
      <c r="A277" t="inlineStr">
        <is>
          <t>5:00 AM</t>
        </is>
      </c>
      <c r="B277" s="25" t="n">
        <v>0.2083333333333333</v>
      </c>
    </row>
    <row r="278">
      <c r="A278" t="inlineStr">
        <is>
          <t>5:05 AM</t>
        </is>
      </c>
      <c r="B278" s="25" t="n">
        <v>0.2118055555555556</v>
      </c>
    </row>
    <row r="279">
      <c r="A279" t="inlineStr">
        <is>
          <t>5:10 AM</t>
        </is>
      </c>
      <c r="B279" s="25" t="n">
        <v>0.2152777777777778</v>
      </c>
    </row>
    <row r="280">
      <c r="A280" t="inlineStr">
        <is>
          <t>5:15 AM</t>
        </is>
      </c>
      <c r="B280" s="25" t="n">
        <v>0.21875</v>
      </c>
    </row>
    <row r="281">
      <c r="A281" t="inlineStr">
        <is>
          <t>5:20 AM</t>
        </is>
      </c>
      <c r="B281" s="25" t="n">
        <v>0.2222222222222222</v>
      </c>
    </row>
    <row r="282">
      <c r="A282" t="inlineStr">
        <is>
          <t>5:25 AM</t>
        </is>
      </c>
      <c r="B282" s="25" t="n">
        <v>0.2256944444444444</v>
      </c>
    </row>
    <row r="283">
      <c r="A283" t="inlineStr">
        <is>
          <t>5:30 AM</t>
        </is>
      </c>
      <c r="B283" s="25" t="n">
        <v>0.2291666666666667</v>
      </c>
    </row>
    <row r="284">
      <c r="A284" t="inlineStr">
        <is>
          <t>5:35 AM</t>
        </is>
      </c>
      <c r="B284" s="25" t="n">
        <v>0.2326388888888889</v>
      </c>
    </row>
    <row r="285">
      <c r="A285" t="inlineStr">
        <is>
          <t>5:40 AM</t>
        </is>
      </c>
      <c r="B285" s="25" t="n">
        <v>0.2361111111111111</v>
      </c>
    </row>
    <row r="286">
      <c r="A286" t="inlineStr">
        <is>
          <t>5:45 AM</t>
        </is>
      </c>
      <c r="B286" s="25" t="n">
        <v>0.2395833333333333</v>
      </c>
    </row>
    <row r="287">
      <c r="A287" t="inlineStr">
        <is>
          <t>5:50 AM</t>
        </is>
      </c>
      <c r="B287" s="25" t="n">
        <v>0.2430555555555556</v>
      </c>
    </row>
    <row r="288">
      <c r="A288" t="inlineStr">
        <is>
          <t>5:55 AM</t>
        </is>
      </c>
      <c r="B288" s="25" t="n">
        <v>0.2465277777777778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2026-10-01T08:19:04Z</dcterms:created>
  <dcterms:modified xsi:type="dcterms:W3CDTF">2026-10-01T08:19:06Z</dcterms:modified>
</cp:coreProperties>
</file>