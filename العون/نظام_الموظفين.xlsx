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التسوية" sheetId="1" state="visible" r:id="rId3"/>
    <sheet name="ساعات عمر" sheetId="2" state="visible" r:id="rId4"/>
    <sheet name="ساعات عبدالعزيز" sheetId="3" state="visible" r:id="rId5"/>
    <sheet name="السلف" sheetId="4" state="visible" r:id="rId6"/>
    <sheet name="القروض والديون" sheetId="5" state="visible" r:id="rId7"/>
    <sheet name="عمال المهام" sheetId="6" state="visible" r:id="rId8"/>
    <sheet name="دفتر الأسابيع" sheetId="7" state="visible" r:id="rId9"/>
    <sheet name="السنة" sheetId="8" state="visible" r:id="rId10"/>
    <sheet name="القواعد" sheetId="9" state="visible" r:id="rId11"/>
    <sheet name="ملخص الأيدي العاملة" sheetId="10" state="visible" r:id="rId12"/>
    <sheet name="التعليمات" sheetId="11" state="visible" r:id="rId13"/>
    <sheet name="القوائم" sheetId="12" state="hidden" r:id="rId14"/>
  </sheets>
  <definedNames>
    <definedName function="false" hidden="false" name="ADV_AMT" vbProcedure="false">السلف!$D$10:$D$409</definedName>
    <definedName function="false" hidden="false" name="ADV_CAP" vbProcedure="false">القواعد!$C$8</definedName>
    <definedName function="false" hidden="false" name="ADV_D" vbProcedure="false">السلف!$G$10:$G$409</definedName>
    <definedName function="false" hidden="false" name="ADV_E" vbProcedure="false">السلف!$C$10:$C$409</definedName>
    <definedName function="false" hidden="false" name="ADV_M" vbProcedure="false">السلف!$I$10:$I$409</definedName>
    <definedName function="false" hidden="false" name="ADV_W" vbProcedure="false">السلف!$H$10:$H$409</definedName>
    <definedName function="false" hidden="false" name="CURWK" vbProcedure="false">القوائم!$G$3</definedName>
    <definedName function="false" hidden="false" name="INST_CAP" vbProcedure="false">القواعد!$C$9</definedName>
    <definedName function="false" hidden="false" name="INST_MODE" vbProcedure="false">القواعد!$C$11</definedName>
    <definedName function="false" hidden="false" name="LG_D" vbProcedure="false">'القروض والديون'!$K$10:$K$209</definedName>
    <definedName function="false" hidden="false" name="LG_DEBT" vbProcedure="false">'القروض والديون'!$E$10:$E$209</definedName>
    <definedName function="false" hidden="false" name="LG_E" vbProcedure="false">'القروض والديون'!$C$10:$C$209</definedName>
    <definedName function="false" hidden="false" name="LG_IDX" vbProcedure="false">'القروض والديون'!$J$10:$J$209</definedName>
    <definedName function="false" hidden="false" name="LG_INST" vbProcedure="false">'القروض والديون'!$F$10:$F$209</definedName>
    <definedName function="false" hidden="false" name="LG_M" vbProcedure="false">'القروض والديون'!$M$10:$M$209</definedName>
    <definedName function="false" hidden="false" name="LG_REP" vbProcedure="false">'القروض والديون'!$G$10:$G$209</definedName>
    <definedName function="false" hidden="false" name="LG_TYPE" vbProcedure="false">'القروض والديون'!$D$10:$D$209</definedName>
    <definedName function="false" hidden="false" name="LG_W" vbProcedure="false">'القروض والديون'!$L$10:$L$209</definedName>
    <definedName function="false" hidden="false" name="LO_ADV" vbProcedure="false">'دفتر الأسابيع'!$E$7:$E$59</definedName>
    <definedName function="false" hidden="false" name="LO_DAILY" vbProcedure="false">'دفتر الأسابيع'!$K$7:$K$59</definedName>
    <definedName function="false" hidden="false" name="LO_DEBT" vbProcedure="false">'دفتر الأسابيع'!$J$7:$J$59</definedName>
    <definedName function="false" hidden="false" name="LO_DUE" vbProcedure="false">'دفتر الأسابيع'!$D$7:$D$59</definedName>
    <definedName function="false" hidden="false" name="LO_FRI" vbProcedure="false">'دفتر الأسابيع'!$C$7:$C$59</definedName>
    <definedName function="false" hidden="false" name="LO_INST" vbProcedure="false">'دفتر الأسابيع'!$F$7:$F$59</definedName>
    <definedName function="false" hidden="false" name="LO_MON" vbProcedure="false">'دفتر الأسابيع'!$L$7:$L$59</definedName>
    <definedName function="false" hidden="false" name="LO_NET" vbProcedure="false">'دفتر الأسابيع'!$G$7:$G$59</definedName>
    <definedName function="false" hidden="false" name="LO_PAID" vbProcedure="false">'دفتر الأسابيع'!$H$7:$H$59</definedName>
    <definedName function="false" hidden="false" name="LO_REM" vbProcedure="false">'دفتر الأسابيع'!$I$7:$I$59</definedName>
    <definedName function="false" hidden="false" name="LO_SAT" vbProcedure="false">'دفتر الأسابيع'!$B$7:$B$59</definedName>
    <definedName function="false" hidden="false" name="LO_WK" vbProcedure="false">'دفتر الأسابيع'!$A$7:$A$59</definedName>
    <definedName function="false" hidden="false" name="LZ_ADV" vbProcedure="false">'دفتر الأسابيع'!$E$65:$E$117</definedName>
    <definedName function="false" hidden="false" name="LZ_DAILY" vbProcedure="false">'دفتر الأسابيع'!$K$65:$K$117</definedName>
    <definedName function="false" hidden="false" name="LZ_DEBT" vbProcedure="false">'دفتر الأسابيع'!$J$65:$J$117</definedName>
    <definedName function="false" hidden="false" name="LZ_DUE" vbProcedure="false">'دفتر الأسابيع'!$D$65:$D$117</definedName>
    <definedName function="false" hidden="false" name="LZ_FRI" vbProcedure="false">'دفتر الأسابيع'!$C$65:$C$117</definedName>
    <definedName function="false" hidden="false" name="LZ_INST" vbProcedure="false">'دفتر الأسابيع'!$F$65:$F$117</definedName>
    <definedName function="false" hidden="false" name="LZ_MON" vbProcedure="false">'دفتر الأسابيع'!$L$65:$L$117</definedName>
    <definedName function="false" hidden="false" name="LZ_NET" vbProcedure="false">'دفتر الأسابيع'!$G$65:$G$117</definedName>
    <definedName function="false" hidden="false" name="LZ_PAID" vbProcedure="false">'دفتر الأسابيع'!$H$65:$H$117</definedName>
    <definedName function="false" hidden="false" name="LZ_REM" vbProcedure="false">'دفتر الأسابيع'!$I$65:$I$117</definedName>
    <definedName function="false" hidden="false" name="LZ_SAT" vbProcedure="false">'دفتر الأسابيع'!$B$65:$B$117</definedName>
    <definedName function="false" hidden="false" name="LZ_WK" vbProcedure="false">'دفتر الأسابيع'!$A$65:$A$117</definedName>
    <definedName function="false" hidden="false" name="NET_FLOOR" vbProcedure="false">القواعد!$C$10</definedName>
    <definedName function="false" hidden="false" name="NW" vbProcedure="false">القوائم!$G$2</definedName>
    <definedName function="false" hidden="false" name="OMR_FRI_IN" vbProcedure="false">القواعد!$C$5</definedName>
    <definedName function="false" hidden="false" name="OMR_FRI_OUT" vbProcedure="false">القواعد!$C$6</definedName>
    <definedName function="false" hidden="false" name="OMR_OT_AT" vbProcedure="false">القواعد!$C$4</definedName>
    <definedName function="false" hidden="false" name="ROUND_MODE" vbProcedure="false">القواعد!$C$7</definedName>
    <definedName function="false" hidden="false" name="RT_AZZ" vbProcedure="false">القواعد!$D$15:$D$24</definedName>
    <definedName function="false" hidden="false" name="RT_GYP" vbProcedure="false">القواعد!$E$15:$E$24</definedName>
    <definedName function="false" hidden="false" name="RT_K" vbProcedure="false">القواعد!$G$15:$G$24</definedName>
    <definedName function="false" hidden="false" name="RT_OMR" vbProcedure="false">القواعد!$B$15:$B$24</definedName>
    <definedName function="false" hidden="false" name="RT_OT" vbProcedure="false">القواعد!$C$15:$C$24</definedName>
    <definedName function="false" hidden="false" name="START_O" vbProcedure="false">السنة!$B$6</definedName>
    <definedName function="false" hidden="false" name="START_Z" vbProcedure="false">السنة!$B$7</definedName>
    <definedName function="false" hidden="false" name="TASK_AMT" vbProcedure="false">'عمال المهام'!$E$6:$E$605</definedName>
    <definedName function="false" hidden="false" name="TASK_B" vbProcedure="false">'عمال المهام'!$C$6:$C$605</definedName>
    <definedName function="false" hidden="false" name="TASK_G" vbProcedure="false">'عمال المهام'!$G$6:$G$605</definedName>
    <definedName function="false" hidden="false" name="TASK_M" vbProcedure="false">'عمال المهام'!$J$6:$J$605</definedName>
    <definedName function="false" hidden="false" name="TASK_W" vbProcedure="false">'عمال المهام'!$I$6:$I$605</definedName>
    <definedName function="false" hidden="false" name="WEEK_ONE" vbProcedure="false">القوائم!$G$1</definedName>
    <definedName function="false" hidden="false" name="WFRI" vbProcedure="false">القوائم!$I$11:$I$63</definedName>
    <definedName function="false" hidden="false" name="WK" vbProcedure="false">التسوية!$N$5</definedName>
    <definedName function="false" hidden="false" name="WMON" vbProcedure="false">القوائم!$K$11:$K$63</definedName>
    <definedName function="false" hidden="false" name="WSAT" vbProcedure="false">القوائم!$H$11:$H$63</definedName>
    <definedName function="false" hidden="false" name="WTITLE" vbProcedure="false">القوائم!$J$11:$J$63</definedName>
    <definedName function="false" hidden="false" name="YR" vbProcedure="false">القوائم!$G$4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<sst xmlns="http://schemas.openxmlformats.org/spreadsheetml/2006/main" count="1411" uniqueCount="464">
  <si>
    <t xml:space="preserve">التسوية — قديش بدفع لكل موظف يوم الجمعة</t>
  </si>
  <si>
    <t xml:space="preserve">السنة</t>
  </si>
  <si>
    <t xml:space="preserve">الأسبوع</t>
  </si>
  <si>
    <t xml:space="preserve">الموظف</t>
  </si>
  <si>
    <t xml:space="preserve">المستحق</t>
  </si>
  <si>
    <t xml:space="preserve">سلف</t>
  </si>
  <si>
    <t xml:space="preserve">قسط الدين</t>
  </si>
  <si>
    <t xml:space="preserve">الصافي للدفع</t>
  </si>
  <si>
    <t xml:space="preserve">المدفوع</t>
  </si>
  <si>
    <t xml:space="preserve">الباقي له</t>
  </si>
  <si>
    <t xml:space="preserve">الدين المتبقي</t>
  </si>
  <si>
    <t xml:space="preserve">تنبيه</t>
  </si>
  <si>
    <t xml:space="preserve">عمر المصري</t>
  </si>
  <si>
    <t xml:space="preserve">عبدالعزيز</t>
  </si>
  <si>
    <t xml:space="preserve">الكاش اللي بتطلعه الجمعة (الاثنين)</t>
  </si>
  <si>
    <t xml:space="preserve">الأزرار الزرقا فوق (سطور 13–15) بتنقلك عالأسبوع المختار مباشرة. الإكرامية والمدفوع بتنكتبوا تحت كل أسبوع بورقة الساعات. «الباقي له» بينتقل لحاله للأسبوع الجاي.</t>
  </si>
  <si>
    <t xml:space="preserve">ساعات عمر المصري</t>
  </si>
  <si>
    <t xml:space="preserve">الدخول والخروج من القائمة (كل 5 دقائق، AM/PM). تحت كل أسبوع: ساعات التحميل والإكرامية والمدفوع (الخانات البرتقالية). أول ما تكتب «المدفوع» الأسبوع كله بيتلوّن أخضر = مقبوض ومقفول — أي تصحيح بسطر الأسبوع الجاي.</t>
  </si>
  <si>
    <t xml:space="preserve">التاريخ</t>
  </si>
  <si>
    <t xml:space="preserve">اليوم</t>
  </si>
  <si>
    <t xml:space="preserve">دخول</t>
  </si>
  <si>
    <t xml:space="preserve">خروج</t>
  </si>
  <si>
    <t xml:space="preserve">عدد الساعات</t>
  </si>
  <si>
    <t xml:space="preserve">منها عادي</t>
  </si>
  <si>
    <t xml:space="preserve">منها إضافي</t>
  </si>
  <si>
    <t xml:space="preserve">المستحق (دينار)</t>
  </si>
  <si>
    <t xml:space="preserve">ملاحظات</t>
  </si>
  <si>
    <t xml:space="preserve">ساعات عبدالعزيز — بيقبض نهاية كل يوم وبيتسوّى الجمعة</t>
  </si>
  <si>
    <t xml:space="preserve">دينار للساعة أي يوم. لما يقبض آخر اليوم: «قبض؟ نعم» — المبلغ = مستحق اليوم، وبينخصم من تسوية الجمعة. تحت كل أسبوع: ساعات التحميل والإكرامية والمدفوع (الخانات البرتقالية).</t>
  </si>
  <si>
    <t xml:space="preserve">مستحق اليوم (دينار)</t>
  </si>
  <si>
    <t xml:space="preserve">قبض؟</t>
  </si>
  <si>
    <t xml:space="preserve">السلف الأسبوعية — بتنخصم كاملة من راتب نفس الأسبوع</t>
  </si>
  <si>
    <t xml:space="preserve">سلف هالسنة (دينار)</t>
  </si>
  <si>
    <t xml:space="preserve">سلف الأسبوع المختار (دينار)</t>
  </si>
  <si>
    <t xml:space="preserve">التاريخ: اختار اليوم من القائمة (فيها اليوم وتاريخه)، أو اكتب التاريخ كامل، أو اسم اليوم بس — والثاني بيطلع لحاله. السلفة بتنخصم كاملة من صافي نفس الأسبوع، ولو أكثر من 60% من اللي اشتغله لحد يومها بيطلع تنبيه.</t>
  </si>
  <si>
    <t xml:space="preserve">المبلغ (دينار)</t>
  </si>
  <si>
    <t xml:space="preserve">البيان</t>
  </si>
  <si>
    <t xml:space="preserve">التنبيه</t>
  </si>
  <si>
    <t xml:space="preserve">القروض والديون — بتنخصم أقساط كل أسبوع</t>
  </si>
  <si>
    <t xml:space="preserve">القروض والديون (مع الماضي)</t>
  </si>
  <si>
    <t xml:space="preserve">انخصم أقساط لحد الأسبوع المختار</t>
  </si>
  <si>
    <t xml:space="preserve">دفعات كاش سداد</t>
  </si>
  <si>
    <t xml:space="preserve">القسط الأسبوعي الحالي</t>
  </si>
  <si>
    <t xml:space="preserve">قديش ضل</t>
  </si>
  <si>
    <t xml:space="preserve">التاريخ زي ورقة السلف (اليوم بيطلع لحاله). النوع: بضاعة · قرض كاش · دين قديم — والبضاعة بالبيان: الصنف والكمية. القسط بينخصم كل أسبوع لحاله لحد ما يخلص · تغيير القسط: سطر جديد فيه القسط بس · «دفعات كاش سداد» = اللي دفعه من جيبته.</t>
  </si>
  <si>
    <t xml:space="preserve">النوع</t>
  </si>
  <si>
    <t xml:space="preserve">القسط الأسبوعي (دينار)</t>
  </si>
  <si>
    <t xml:space="preserve">دفعات كاش سداد (دينار)</t>
  </si>
  <si>
    <t xml:space="preserve">البيان — للبضاعة: الصنف والكمية</t>
  </si>
  <si>
    <t xml:space="preserve">عمال المهام — بيندفعلهم مباشرة</t>
  </si>
  <si>
    <t xml:space="preserve">كل مهمة سطر: التاريخ (اليوم بيطلع لحاله — أو اختار اليوم من القائمة)، العامل، شو عمل، وقديش أخذ. بتنحسب على شهر جمعة أسبوعها.</t>
  </si>
  <si>
    <t xml:space="preserve">اسم العامل</t>
  </si>
  <si>
    <t xml:space="preserve">المهمة</t>
  </si>
  <si>
    <t xml:space="preserve">المبلغ المدفوع (دينار)</t>
  </si>
  <si>
    <t xml:space="preserve">مجموع السنة</t>
  </si>
  <si>
    <t xml:space="preserve">دفتر الأسابيع — كل أسبوع بالسنة لكل موظف (محسوب، ما في كتابة هون)</t>
  </si>
  <si>
    <t xml:space="preserve">«الصافي للدفع» = الباقي من الأسبوع الماضي + المستحق − السلف − القسط (− اللي قبضه يومياً لعبدالعزيز). «الباقي له» = الصافي − المدفوع، وبينتقل لحاله للأسبوع الجاي.</t>
  </si>
  <si>
    <t xml:space="preserve">السبت</t>
  </si>
  <si>
    <t xml:space="preserve">الجمعة</t>
  </si>
  <si>
    <t xml:space="preserve">شهر</t>
  </si>
  <si>
    <t xml:space="preserve">قبض يومياً</t>
  </si>
  <si>
    <t xml:space="preserve">السنة — والنقل الوحيد اليدوي: مرة بالسنة</t>
  </si>
  <si>
    <t xml:space="preserve">السنة ←</t>
  </si>
  <si>
    <t xml:space="preserve">بداية السنة — من «نهاية السنة» بملف السنة الماضية (أو الوضع يوم بدأت تستعمل الملف)</t>
  </si>
  <si>
    <t xml:space="preserve">أسبوع البداية</t>
  </si>
  <si>
    <t xml:space="preserve">مستحق له من قبل</t>
  </si>
  <si>
    <t xml:space="preserve">دين متبقي عليه</t>
  </si>
  <si>
    <t xml:space="preserve">القسط الأسبوعي</t>
  </si>
  <si>
    <t xml:space="preserve">«أسبوع البداية»: أول أسبوع بتستعمل فيه هالملف (أسبوع 1 لسنة كاملة). الأسابيع اللي قبله رمادية وما بتنحسب. «مستحق له» بينضاف لصافي أسبوع البداية · «دين متبقي» والقسط بيكمّلوا ينخصموا كل أسبوع.</t>
  </si>
  <si>
    <t xml:space="preserve">نهاية السنة — هالأرقام بتنكتب بورقة «السنة» بملف السنة الجاية (مع أسبوع بداية = 1)</t>
  </si>
  <si>
    <t xml:space="preserve">آخر أسبوع</t>
  </si>
  <si>
    <t xml:space="preserve">مستحق له لسا ما قبضه</t>
  </si>
  <si>
    <t xml:space="preserve">الوضع</t>
  </si>
  <si>
    <t xml:space="preserve">القواعد والأسعار — كل الحسابات بتقرأ من هون</t>
  </si>
  <si>
    <t xml:space="preserve">#</t>
  </si>
  <si>
    <t xml:space="preserve">القاعدة</t>
  </si>
  <si>
    <t xml:space="preserve">القيمة</t>
  </si>
  <si>
    <t xml:space="preserve">الشرح</t>
  </si>
  <si>
    <t xml:space="preserve">عمر المصري — بداية الإضافي</t>
  </si>
  <si>
    <t xml:space="preserve">السبت–الخميس بعد هالوقت إضافي. الجمعة ما إلها إضافي.</t>
  </si>
  <si>
    <t xml:space="preserve">عمر المصري — دوام الجمعة من</t>
  </si>
  <si>
    <t xml:space="preserve">للتنبيه بس — الحساب حسب الساعات الفعلية.</t>
  </si>
  <si>
    <t xml:space="preserve">عمر المصري — دوام الجمعة إلى</t>
  </si>
  <si>
    <t xml:space="preserve">جبر مستحق عبدالعزيز اليومي</t>
  </si>
  <si>
    <t xml:space="preserve">لأقرب ربع</t>
  </si>
  <si>
    <t xml:space="preserve">بس لقبض عبدالعزيز اليومي. المستحق النهائي للأسبوع ما بينجبر — الإكرامية هي اللي بتجبره.</t>
  </si>
  <si>
    <t xml:space="preserve">سقف السلفة (من اللي اشتغله لحد يومها)</t>
  </si>
  <si>
    <t xml:space="preserve">سلفة أكبر من هيك بتطلع تنبيه بورقة السلف — بتنخصم كاملة.</t>
  </si>
  <si>
    <t xml:space="preserve">سقف القسط الأسبوعي (من المستحق)</t>
  </si>
  <si>
    <t xml:space="preserve">قسط أكبر من هالنسبة بيطلع تنبيه بالتسوية (أو بيقل لحاله إذا اخترت «تخفيض تلقائي» تحت).</t>
  </si>
  <si>
    <t xml:space="preserve">الحد الأدنى للصافي (من المستحق)</t>
  </si>
  <si>
    <t xml:space="preserve">صافي أقل من هالنسبة بيطلع تنبيه بالتسوية (القبض اليومي لعبدالعزيز محسوب قبض مش خصم).</t>
  </si>
  <si>
    <t xml:space="preserve">القسط اللي كتبته</t>
  </si>
  <si>
    <t xml:space="preserve">ينخصم كامل</t>
  </si>
  <si>
    <t xml:space="preserve">ينخصم كامل: بينخصم القسط زي ما كتبته، والسقفين فوق تنبيه بس · تخفيض تلقائي: القسط بيقل لحاله لحد السقفين والباقي بيتأجل.</t>
  </si>
  <si>
    <t xml:space="preserve">أسعار الساعة حسب التاريخ: كل سطر «ساري من» تاريخه لحد السطر اللي بعده. لما يتغيّر السعر: سطر جديد بتاريخه (الأسابيع القديمة ما بتتأثر).</t>
  </si>
  <si>
    <t xml:space="preserve">ساري من</t>
  </si>
  <si>
    <t xml:space="preserve">عمر — الساعة العادية</t>
  </si>
  <si>
    <t xml:space="preserve">عمر — ساعة الإضافي</t>
  </si>
  <si>
    <t xml:space="preserve">عبدالعزيز — الساعة</t>
  </si>
  <si>
    <t xml:space="preserve">تحميل الجبسمبورد — الساعة</t>
  </si>
  <si>
    <t xml:space="preserve">ملخص الأيدي العاملة — شهر بشهر (حسب جمعة الأسبوع) ووضع كل موظف</t>
  </si>
  <si>
    <t xml:space="preserve">قديش دفعت أيدي عاملة كل شهر (كاش طالع فعلياً) — الشهر = الأسابيع اللي جمعتها فيه</t>
  </si>
  <si>
    <t xml:space="preserve">الشهر</t>
  </si>
  <si>
    <t xml:space="preserve">أول سبت</t>
  </si>
  <si>
    <t xml:space="preserve">آخر جمعة</t>
  </si>
  <si>
    <t xml:space="preserve">عدد الجمع</t>
  </si>
  <si>
    <t xml:space="preserve">رواتب عمر</t>
  </si>
  <si>
    <t xml:space="preserve">عبدالعزيز (يومي + جمعة)</t>
  </si>
  <si>
    <t xml:space="preserve">سلف كاش</t>
  </si>
  <si>
    <t xml:space="preserve">عمال المهام</t>
  </si>
  <si>
    <t xml:space="preserve">المجموع كاش</t>
  </si>
  <si>
    <t xml:space="preserve">كلفة الشغل</t>
  </si>
  <si>
    <t xml:space="preserve">بضاعة أخذوها</t>
  </si>
  <si>
    <t xml:space="preserve">قروض كاش انعطت</t>
  </si>
  <si>
    <t xml:space="preserve">كانون الثاني (1)</t>
  </si>
  <si>
    <t xml:space="preserve">شباط (2)</t>
  </si>
  <si>
    <t xml:space="preserve">آذار (3)</t>
  </si>
  <si>
    <t xml:space="preserve">نيسان (4)</t>
  </si>
  <si>
    <t xml:space="preserve">أيار (5)</t>
  </si>
  <si>
    <t xml:space="preserve">حزيران (6)</t>
  </si>
  <si>
    <t xml:space="preserve">تموز (7)</t>
  </si>
  <si>
    <t xml:space="preserve">آب (8)</t>
  </si>
  <si>
    <t xml:space="preserve">أيلول (9)</t>
  </si>
  <si>
    <t xml:space="preserve">تشرين الأول (10)</t>
  </si>
  <si>
    <t xml:space="preserve">تشرين الثاني (11)</t>
  </si>
  <si>
    <t xml:space="preserve">كانون الأول (12)</t>
  </si>
  <si>
    <t xml:space="preserve">«كلفة الشغل» = المستحق + المهام (الأجر كامل، سواء انقبض كاش أو بضاعة). «المجموع كاش» = اللي طلع من الدرج فعلياً: السلف بتنعدّ · البضاعة والأقساط لا. الأشهر اللي فيها 5 جمع بتطلع أعلى.</t>
  </si>
  <si>
    <t xml:space="preserve">ساعات</t>
  </si>
  <si>
    <t xml:space="preserve">قبض كاش</t>
  </si>
  <si>
    <t xml:space="preserve">+ سلف</t>
  </si>
  <si>
    <t xml:space="preserve">+ أقساط</t>
  </si>
  <si>
    <t xml:space="preserve">+ الباقي له</t>
  </si>
  <si>
    <t xml:space="preserve">المجموع</t>
  </si>
  <si>
    <t xml:space="preserve">النتيجة</t>
  </si>
  <si>
    <t xml:space="preserve">المطابقة: (مستحق له من قبل + كل المستحق) = قبض كاش + سلف + أقساط + الباقي له — ولا دينار مكرّر.</t>
  </si>
  <si>
    <t xml:space="preserve">عمال المهام — السنة، وشهر بتختاره</t>
  </si>
  <si>
    <t xml:space="preserve">الشهر:</t>
  </si>
  <si>
    <t xml:space="preserve">العامل</t>
  </si>
  <si>
    <t xml:space="preserve">مهام السنة</t>
  </si>
  <si>
    <t xml:space="preserve">قبض بالسنة</t>
  </si>
  <si>
    <t xml:space="preserve">مهام الشهر</t>
  </si>
  <si>
    <t xml:space="preserve">قبض بالشهر</t>
  </si>
  <si>
    <t xml:space="preserve">كيف يشتغل الملف (النظام الأسبوعي السنوي)</t>
  </si>
  <si>
    <t xml:space="preserve">الفكرة</t>
  </si>
  <si>
    <t xml:space="preserve">1</t>
  </si>
  <si>
    <t xml:space="preserve">ملف واحد للسنة كاملة. الأسبوع من السبت لمساء الجمعة، ومساء الجمعة الموظف بياخذ أجرته. الأسبوع كامل بينسب للشهر اللي فيه جمعته — ما بينقسم أبداً بين شهرين.</t>
  </si>
  <si>
    <t xml:space="preserve">2</t>
  </si>
  <si>
    <t xml:space="preserve">الأسبوع 1 = اللي جمعته أول جمعة بيناير. السنة فيها 52 أو 53 أسبوع (2027 فيها 53).</t>
  </si>
  <si>
    <t xml:space="preserve">الألوان</t>
  </si>
  <si>
    <t xml:space="preserve">3</t>
  </si>
  <si>
    <t xml:space="preserve">برتقالي = خانة بتعبّيها إنت · رمادي = محسوبة · أسود = المستحق النهائي والصافي للدفع · أخضر = أسبوع مقبوض ومقفول · أزرق = الأسبوع الحالي · أحمر = خطأ · أصفر = تحذير.</t>
  </si>
  <si>
    <t xml:space="preserve">أول السنة</t>
  </si>
  <si>
    <t xml:space="preserve">4</t>
  </si>
  <si>
    <t xml:space="preserve">بورقة «السنة»: اختر السنة من القائمة (كل الملف بيتبرمج عليها)، وأسبوع البداية، ومستحق له من قبل، ودين عليه، والقسط — من «نهاية السنة» بملف السنة الماضية.</t>
  </si>
  <si>
    <t xml:space="preserve">كل يوم</t>
  </si>
  <si>
    <t xml:space="preserve">5</t>
  </si>
  <si>
    <t xml:space="preserve">بورقة الساعات: الأسبوع الحالي عنوانه أزرق غامق (أو من الأزرار بالتسوية). اختر الدخول والخروج من القائمة (كل 5 دقائق) أو اكتبه مثل 7:30 AM. عدد الساعات بيطلع ساعة:دقائق (11:30). عبدالعزيز: آخر اليوم «قبض؟ نعم».</t>
  </si>
  <si>
    <t xml:space="preserve">6</t>
  </si>
  <si>
    <t xml:space="preserve">سلفة كاش: سطر بورقة «السلف» — التاريخ: اختار اليوم من القائمة أو اكتب التاريخ كامل (05/10/2026) أو اسم اليوم بس، و«اليوم» بيطلع لحاله. قرض أو بضاعة: سطر بورقة «القروض والديون». عامل مهمة: سطر بورقة «عمال المهام».</t>
  </si>
  <si>
    <t xml:space="preserve">آخر الأسبوع (الجمعة)</t>
  </si>
  <si>
    <t xml:space="preserve">7</t>
  </si>
  <si>
    <t xml:space="preserve">تحت الأسبوع بورقة الساعات: ساعات تحميل الجبسمبورد، والإكرامية (بتنجمع مع المستحق)، و«المستحق النهائي» = الأيام + فرق التحميل + الإكرامية (بلا جبر تلقائي — الإكرامية هي اللي بتجبره). ولما تدفع اكتب «المدفوع» — الأسبوع كله بيتلوّن أخضر = مقفول.</t>
  </si>
  <si>
    <t xml:space="preserve">8</t>
  </si>
  <si>
    <t xml:space="preserve">ورقة «التسوية» بتفتح على الأسبوع الحالي: «الصافي للدفع» لكل موظف = الباقي من الأسبوع الماضي + المستحق − السلف − القسط (عبدالعزيز: − اللي قبضه يومياً). وتحتهم الكاش الكلي، وتحته 3 أزرار زرقا بتوديك عالأسبوع بورقة كل موظف وبدفتر الأسابيع.</t>
  </si>
  <si>
    <t xml:space="preserve">السقوف والأسعار</t>
  </si>
  <si>
    <t xml:space="preserve">9</t>
  </si>
  <si>
    <t xml:space="preserve">السلفة فوق 60% من اللي اشتغله لحد يومها = تنبيه أصفر. القسط بينخصم زي ما كتبته؛ لو أكثر من 25% من المستحق أو الصافي أقل من 65% بيطلع تنبيه بالتسوية (أو اختار «تخفيض تلقائي» بالقواعد). جدول الأسعار «ساري من» بورقة «القواعد» — تغيير السعر ما بيغيّر الأسابيع القديمة.</t>
  </si>
  <si>
    <t xml:space="preserve">آخر الشهر</t>
  </si>
  <si>
    <t xml:space="preserve">10</t>
  </si>
  <si>
    <t xml:space="preserve">ورقة «ملخص الأيدي العاملة»: 12 شهر — الكاش، كلفة الشغل، البضاعة، القروض. ارفع الملف لكلود: البضاعة بتنزل فواتير بيع على أودو باسم الموظف، والأقساط تحصيل — مسودة أول وما بينرحّل إلا بـ«رحّل».</t>
  </si>
  <si>
    <t xml:space="preserve">الحماية</t>
  </si>
  <si>
    <t xml:space="preserve">11</t>
  </si>
  <si>
    <t xml:space="preserve">الخلايا البرتقالية بس بتنكتب. الباقي محمي بلا كلمة سر (مراجعة ← إلغاء حماية الورقة إذا لزم). خلّي الملف على الدرايف عشان النسخ تنحفظ لحالها.</t>
  </si>
  <si>
    <t xml:space="preserve">6:00 AM</t>
  </si>
  <si>
    <t xml:space="preserve">ALAWN_PAYROLL</t>
  </si>
  <si>
    <t xml:space="preserve">6:05 AM</t>
  </si>
  <si>
    <t xml:space="preserve">6:10 AM</t>
  </si>
  <si>
    <t xml:space="preserve">سنوي</t>
  </si>
  <si>
    <t xml:space="preserve">6:15 AM</t>
  </si>
  <si>
    <t xml:space="preserve">6:20 AM</t>
  </si>
  <si>
    <t xml:space="preserve">6:25 AM</t>
  </si>
  <si>
    <t xml:space="preserve">6:30 AM</t>
  </si>
  <si>
    <t xml:space="preserve">6:35 AM</t>
  </si>
  <si>
    <t xml:space="preserve">6:40 AM</t>
  </si>
  <si>
    <t xml:space="preserve">6:45 AM</t>
  </si>
  <si>
    <t xml:space="preserve">6:50 AM</t>
  </si>
  <si>
    <t xml:space="preserve">6:55 AM</t>
  </si>
  <si>
    <t xml:space="preserve">7:00 AM</t>
  </si>
  <si>
    <t xml:space="preserve">7:05 AM</t>
  </si>
  <si>
    <t xml:space="preserve">7:10 AM</t>
  </si>
  <si>
    <t xml:space="preserve">7:15 AM</t>
  </si>
  <si>
    <t xml:space="preserve">7:20 AM</t>
  </si>
  <si>
    <t xml:space="preserve">7:25 AM</t>
  </si>
  <si>
    <t xml:space="preserve">7:30 AM</t>
  </si>
  <si>
    <t xml:space="preserve">7:35 AM</t>
  </si>
  <si>
    <t xml:space="preserve">7:40 AM</t>
  </si>
  <si>
    <t xml:space="preserve">7:45 AM</t>
  </si>
  <si>
    <t xml:space="preserve">7:50 AM</t>
  </si>
  <si>
    <t xml:space="preserve">7:55 AM</t>
  </si>
  <si>
    <t xml:space="preserve">8:00 AM</t>
  </si>
  <si>
    <t xml:space="preserve">8:05 AM</t>
  </si>
  <si>
    <t xml:space="preserve">8:10 AM</t>
  </si>
  <si>
    <t xml:space="preserve">8:15 AM</t>
  </si>
  <si>
    <t xml:space="preserve">8:20 AM</t>
  </si>
  <si>
    <t xml:space="preserve">8:25 AM</t>
  </si>
  <si>
    <t xml:space="preserve">8:30 AM</t>
  </si>
  <si>
    <t xml:space="preserve">8:35 AM</t>
  </si>
  <si>
    <t xml:space="preserve">8:40 AM</t>
  </si>
  <si>
    <t xml:space="preserve">8:45 AM</t>
  </si>
  <si>
    <t xml:space="preserve">8:50 AM</t>
  </si>
  <si>
    <t xml:space="preserve">8:55 AM</t>
  </si>
  <si>
    <t xml:space="preserve">9:00 AM</t>
  </si>
  <si>
    <t xml:space="preserve">9:05 AM</t>
  </si>
  <si>
    <t xml:space="preserve">9:10 AM</t>
  </si>
  <si>
    <t xml:space="preserve">9:15 AM</t>
  </si>
  <si>
    <t xml:space="preserve">9:20 AM</t>
  </si>
  <si>
    <t xml:space="preserve">9:25 AM</t>
  </si>
  <si>
    <t xml:space="preserve">9:30 AM</t>
  </si>
  <si>
    <t xml:space="preserve">9:35 AM</t>
  </si>
  <si>
    <t xml:space="preserve">9:40 AM</t>
  </si>
  <si>
    <t xml:space="preserve">9:45 AM</t>
  </si>
  <si>
    <t xml:space="preserve">9:50 AM</t>
  </si>
  <si>
    <t xml:space="preserve">9:55 AM</t>
  </si>
  <si>
    <t xml:space="preserve">10:00 AM</t>
  </si>
  <si>
    <t xml:space="preserve">10:05 AM</t>
  </si>
  <si>
    <t xml:space="preserve">10:10 AM</t>
  </si>
  <si>
    <t xml:space="preserve">10:15 AM</t>
  </si>
  <si>
    <t xml:space="preserve">10:20 AM</t>
  </si>
  <si>
    <t xml:space="preserve">10:25 AM</t>
  </si>
  <si>
    <t xml:space="preserve">10:30 AM</t>
  </si>
  <si>
    <t xml:space="preserve">10:35 AM</t>
  </si>
  <si>
    <t xml:space="preserve">10:40 AM</t>
  </si>
  <si>
    <t xml:space="preserve">10:45 AM</t>
  </si>
  <si>
    <t xml:space="preserve">10:50 AM</t>
  </si>
  <si>
    <t xml:space="preserve">10:55 AM</t>
  </si>
  <si>
    <t xml:space="preserve">11:00 AM</t>
  </si>
  <si>
    <t xml:space="preserve">11:05 AM</t>
  </si>
  <si>
    <t xml:space="preserve">11:10 AM</t>
  </si>
  <si>
    <t xml:space="preserve">11:15 AM</t>
  </si>
  <si>
    <t xml:space="preserve">11:20 AM</t>
  </si>
  <si>
    <t xml:space="preserve">11:25 AM</t>
  </si>
  <si>
    <t xml:space="preserve">11:30 AM</t>
  </si>
  <si>
    <t xml:space="preserve">11:35 AM</t>
  </si>
  <si>
    <t xml:space="preserve">11:40 AM</t>
  </si>
  <si>
    <t xml:space="preserve">11:45 AM</t>
  </si>
  <si>
    <t xml:space="preserve">11:50 AM</t>
  </si>
  <si>
    <t xml:space="preserve">11:55 AM</t>
  </si>
  <si>
    <t xml:space="preserve">12:00 PM</t>
  </si>
  <si>
    <t xml:space="preserve">12:05 PM</t>
  </si>
  <si>
    <t xml:space="preserve">12:10 PM</t>
  </si>
  <si>
    <t xml:space="preserve">12:15 PM</t>
  </si>
  <si>
    <t xml:space="preserve">12:20 PM</t>
  </si>
  <si>
    <t xml:space="preserve">12:25 PM</t>
  </si>
  <si>
    <t xml:space="preserve">12:30 PM</t>
  </si>
  <si>
    <t xml:space="preserve">12:35 PM</t>
  </si>
  <si>
    <t xml:space="preserve">12:40 PM</t>
  </si>
  <si>
    <t xml:space="preserve">12:45 PM</t>
  </si>
  <si>
    <t xml:space="preserve">12:50 PM</t>
  </si>
  <si>
    <t xml:space="preserve">12:55 PM</t>
  </si>
  <si>
    <t xml:space="preserve">1:00 PM</t>
  </si>
  <si>
    <t xml:space="preserve">1:05 PM</t>
  </si>
  <si>
    <t xml:space="preserve">1:10 PM</t>
  </si>
  <si>
    <t xml:space="preserve">1:15 PM</t>
  </si>
  <si>
    <t xml:space="preserve">1:20 PM</t>
  </si>
  <si>
    <t xml:space="preserve">1:25 PM</t>
  </si>
  <si>
    <t xml:space="preserve">1:30 PM</t>
  </si>
  <si>
    <t xml:space="preserve">1:35 PM</t>
  </si>
  <si>
    <t xml:space="preserve">1:40 PM</t>
  </si>
  <si>
    <t xml:space="preserve">1:45 PM</t>
  </si>
  <si>
    <t xml:space="preserve">1:50 PM</t>
  </si>
  <si>
    <t xml:space="preserve">1:55 PM</t>
  </si>
  <si>
    <t xml:space="preserve">2:00 PM</t>
  </si>
  <si>
    <t xml:space="preserve">2:05 PM</t>
  </si>
  <si>
    <t xml:space="preserve">2:10 PM</t>
  </si>
  <si>
    <t xml:space="preserve">2:15 PM</t>
  </si>
  <si>
    <t xml:space="preserve">2:20 PM</t>
  </si>
  <si>
    <t xml:space="preserve">2:25 PM</t>
  </si>
  <si>
    <t xml:space="preserve">2:30 PM</t>
  </si>
  <si>
    <t xml:space="preserve">2:35 PM</t>
  </si>
  <si>
    <t xml:space="preserve">2:40 PM</t>
  </si>
  <si>
    <t xml:space="preserve">2:45 PM</t>
  </si>
  <si>
    <t xml:space="preserve">2:50 PM</t>
  </si>
  <si>
    <t xml:space="preserve">2:55 PM</t>
  </si>
  <si>
    <t xml:space="preserve">3:00 PM</t>
  </si>
  <si>
    <t xml:space="preserve">3:05 PM</t>
  </si>
  <si>
    <t xml:space="preserve">3:10 PM</t>
  </si>
  <si>
    <t xml:space="preserve">3:15 PM</t>
  </si>
  <si>
    <t xml:space="preserve">3:20 PM</t>
  </si>
  <si>
    <t xml:space="preserve">3:25 PM</t>
  </si>
  <si>
    <t xml:space="preserve">3:30 PM</t>
  </si>
  <si>
    <t xml:space="preserve">3:35 PM</t>
  </si>
  <si>
    <t xml:space="preserve">3:40 PM</t>
  </si>
  <si>
    <t xml:space="preserve">3:45 PM</t>
  </si>
  <si>
    <t xml:space="preserve">3:50 PM</t>
  </si>
  <si>
    <t xml:space="preserve">3:55 PM</t>
  </si>
  <si>
    <t xml:space="preserve">4:00 PM</t>
  </si>
  <si>
    <t xml:space="preserve">4:05 PM</t>
  </si>
  <si>
    <t xml:space="preserve">4:10 PM</t>
  </si>
  <si>
    <t xml:space="preserve">4:15 PM</t>
  </si>
  <si>
    <t xml:space="preserve">4:20 PM</t>
  </si>
  <si>
    <t xml:space="preserve">4:25 PM</t>
  </si>
  <si>
    <t xml:space="preserve">4:30 PM</t>
  </si>
  <si>
    <t xml:space="preserve">4:35 PM</t>
  </si>
  <si>
    <t xml:space="preserve">4:40 PM</t>
  </si>
  <si>
    <t xml:space="preserve">4:45 PM</t>
  </si>
  <si>
    <t xml:space="preserve">4:50 PM</t>
  </si>
  <si>
    <t xml:space="preserve">4:55 PM</t>
  </si>
  <si>
    <t xml:space="preserve">5:00 PM</t>
  </si>
  <si>
    <t xml:space="preserve">5:05 PM</t>
  </si>
  <si>
    <t xml:space="preserve">5:10 PM</t>
  </si>
  <si>
    <t xml:space="preserve">5:15 PM</t>
  </si>
  <si>
    <t xml:space="preserve">5:20 PM</t>
  </si>
  <si>
    <t xml:space="preserve">5:25 PM</t>
  </si>
  <si>
    <t xml:space="preserve">5:30 PM</t>
  </si>
  <si>
    <t xml:space="preserve">5:35 PM</t>
  </si>
  <si>
    <t xml:space="preserve">5:40 PM</t>
  </si>
  <si>
    <t xml:space="preserve">5:45 PM</t>
  </si>
  <si>
    <t xml:space="preserve">5:50 PM</t>
  </si>
  <si>
    <t xml:space="preserve">5:55 PM</t>
  </si>
  <si>
    <t xml:space="preserve">6:00 PM</t>
  </si>
  <si>
    <t xml:space="preserve">6:05 PM</t>
  </si>
  <si>
    <t xml:space="preserve">6:10 PM</t>
  </si>
  <si>
    <t xml:space="preserve">6:15 PM</t>
  </si>
  <si>
    <t xml:space="preserve">6:20 PM</t>
  </si>
  <si>
    <t xml:space="preserve">6:25 PM</t>
  </si>
  <si>
    <t xml:space="preserve">6:30 PM</t>
  </si>
  <si>
    <t xml:space="preserve">6:35 PM</t>
  </si>
  <si>
    <t xml:space="preserve">6:40 PM</t>
  </si>
  <si>
    <t xml:space="preserve">6:45 PM</t>
  </si>
  <si>
    <t xml:space="preserve">6:50 PM</t>
  </si>
  <si>
    <t xml:space="preserve">6:55 PM</t>
  </si>
  <si>
    <t xml:space="preserve">7:00 PM</t>
  </si>
  <si>
    <t xml:space="preserve">7:05 PM</t>
  </si>
  <si>
    <t xml:space="preserve">7:10 PM</t>
  </si>
  <si>
    <t xml:space="preserve">7:15 PM</t>
  </si>
  <si>
    <t xml:space="preserve">7:20 PM</t>
  </si>
  <si>
    <t xml:space="preserve">7:25 PM</t>
  </si>
  <si>
    <t xml:space="preserve">7:30 PM</t>
  </si>
  <si>
    <t xml:space="preserve">7:35 PM</t>
  </si>
  <si>
    <t xml:space="preserve">7:40 PM</t>
  </si>
  <si>
    <t xml:space="preserve">7:45 PM</t>
  </si>
  <si>
    <t xml:space="preserve">7:50 PM</t>
  </si>
  <si>
    <t xml:space="preserve">7:55 PM</t>
  </si>
  <si>
    <t xml:space="preserve">8:00 PM</t>
  </si>
  <si>
    <t xml:space="preserve">8:05 PM</t>
  </si>
  <si>
    <t xml:space="preserve">8:10 PM</t>
  </si>
  <si>
    <t xml:space="preserve">8:15 PM</t>
  </si>
  <si>
    <t xml:space="preserve">8:20 PM</t>
  </si>
  <si>
    <t xml:space="preserve">8:25 PM</t>
  </si>
  <si>
    <t xml:space="preserve">8:30 PM</t>
  </si>
  <si>
    <t xml:space="preserve">8:35 PM</t>
  </si>
  <si>
    <t xml:space="preserve">8:40 PM</t>
  </si>
  <si>
    <t xml:space="preserve">8:45 PM</t>
  </si>
  <si>
    <t xml:space="preserve">8:50 PM</t>
  </si>
  <si>
    <t xml:space="preserve">8:55 PM</t>
  </si>
  <si>
    <t xml:space="preserve">9:00 PM</t>
  </si>
  <si>
    <t xml:space="preserve">9:05 PM</t>
  </si>
  <si>
    <t xml:space="preserve">9:10 PM</t>
  </si>
  <si>
    <t xml:space="preserve">9:15 PM</t>
  </si>
  <si>
    <t xml:space="preserve">9:20 PM</t>
  </si>
  <si>
    <t xml:space="preserve">9:25 PM</t>
  </si>
  <si>
    <t xml:space="preserve">9:30 PM</t>
  </si>
  <si>
    <t xml:space="preserve">9:35 PM</t>
  </si>
  <si>
    <t xml:space="preserve">9:40 PM</t>
  </si>
  <si>
    <t xml:space="preserve">9:45 PM</t>
  </si>
  <si>
    <t xml:space="preserve">9:50 PM</t>
  </si>
  <si>
    <t xml:space="preserve">9:55 PM</t>
  </si>
  <si>
    <t xml:space="preserve">10:00 PM</t>
  </si>
  <si>
    <t xml:space="preserve">10:05 PM</t>
  </si>
  <si>
    <t xml:space="preserve">10:10 PM</t>
  </si>
  <si>
    <t xml:space="preserve">10:15 PM</t>
  </si>
  <si>
    <t xml:space="preserve">10:20 PM</t>
  </si>
  <si>
    <t xml:space="preserve">10:25 PM</t>
  </si>
  <si>
    <t xml:space="preserve">10:30 PM</t>
  </si>
  <si>
    <t xml:space="preserve">10:35 PM</t>
  </si>
  <si>
    <t xml:space="preserve">10:40 PM</t>
  </si>
  <si>
    <t xml:space="preserve">10:45 PM</t>
  </si>
  <si>
    <t xml:space="preserve">10:50 PM</t>
  </si>
  <si>
    <t xml:space="preserve">10:55 PM</t>
  </si>
  <si>
    <t xml:space="preserve">11:00 PM</t>
  </si>
  <si>
    <t xml:space="preserve">11:05 PM</t>
  </si>
  <si>
    <t xml:space="preserve">11:10 PM</t>
  </si>
  <si>
    <t xml:space="preserve">11:15 PM</t>
  </si>
  <si>
    <t xml:space="preserve">11:20 PM</t>
  </si>
  <si>
    <t xml:space="preserve">11:25 PM</t>
  </si>
  <si>
    <t xml:space="preserve">11:30 PM</t>
  </si>
  <si>
    <t xml:space="preserve">11:35 PM</t>
  </si>
  <si>
    <t xml:space="preserve">11:40 PM</t>
  </si>
  <si>
    <t xml:space="preserve">11:45 PM</t>
  </si>
  <si>
    <t xml:space="preserve">11:50 PM</t>
  </si>
  <si>
    <t xml:space="preserve">11:55 PM</t>
  </si>
  <si>
    <t xml:space="preserve">12:00 AM</t>
  </si>
  <si>
    <t xml:space="preserve">12:05 AM</t>
  </si>
  <si>
    <t xml:space="preserve">12:10 AM</t>
  </si>
  <si>
    <t xml:space="preserve">12:15 AM</t>
  </si>
  <si>
    <t xml:space="preserve">12:20 AM</t>
  </si>
  <si>
    <t xml:space="preserve">12:25 AM</t>
  </si>
  <si>
    <t xml:space="preserve">12:30 AM</t>
  </si>
  <si>
    <t xml:space="preserve">12:35 AM</t>
  </si>
  <si>
    <t xml:space="preserve">12:40 AM</t>
  </si>
  <si>
    <t xml:space="preserve">12:45 AM</t>
  </si>
  <si>
    <t xml:space="preserve">12:50 AM</t>
  </si>
  <si>
    <t xml:space="preserve">12:55 AM</t>
  </si>
  <si>
    <t xml:space="preserve">1:00 AM</t>
  </si>
  <si>
    <t xml:space="preserve">1:05 AM</t>
  </si>
  <si>
    <t xml:space="preserve">1:10 AM</t>
  </si>
  <si>
    <t xml:space="preserve">1:15 AM</t>
  </si>
  <si>
    <t xml:space="preserve">1:20 AM</t>
  </si>
  <si>
    <t xml:space="preserve">1:25 AM</t>
  </si>
  <si>
    <t xml:space="preserve">1:30 AM</t>
  </si>
  <si>
    <t xml:space="preserve">1:35 AM</t>
  </si>
  <si>
    <t xml:space="preserve">1:40 AM</t>
  </si>
  <si>
    <t xml:space="preserve">1:45 AM</t>
  </si>
  <si>
    <t xml:space="preserve">1:50 AM</t>
  </si>
  <si>
    <t xml:space="preserve">1:55 AM</t>
  </si>
  <si>
    <t xml:space="preserve">2:00 AM</t>
  </si>
  <si>
    <t xml:space="preserve">2:05 AM</t>
  </si>
  <si>
    <t xml:space="preserve">2:10 AM</t>
  </si>
  <si>
    <t xml:space="preserve">2:15 AM</t>
  </si>
  <si>
    <t xml:space="preserve">2:20 AM</t>
  </si>
  <si>
    <t xml:space="preserve">2:25 AM</t>
  </si>
  <si>
    <t xml:space="preserve">2:30 AM</t>
  </si>
  <si>
    <t xml:space="preserve">2:35 AM</t>
  </si>
  <si>
    <t xml:space="preserve">2:40 AM</t>
  </si>
  <si>
    <t xml:space="preserve">2:45 AM</t>
  </si>
  <si>
    <t xml:space="preserve">2:50 AM</t>
  </si>
  <si>
    <t xml:space="preserve">2:55 AM</t>
  </si>
  <si>
    <t xml:space="preserve">3:00 AM</t>
  </si>
  <si>
    <t xml:space="preserve">3:05 AM</t>
  </si>
  <si>
    <t xml:space="preserve">3:10 AM</t>
  </si>
  <si>
    <t xml:space="preserve">3:15 AM</t>
  </si>
  <si>
    <t xml:space="preserve">3:20 AM</t>
  </si>
  <si>
    <t xml:space="preserve">3:25 AM</t>
  </si>
  <si>
    <t xml:space="preserve">3:30 AM</t>
  </si>
  <si>
    <t xml:space="preserve">3:35 AM</t>
  </si>
  <si>
    <t xml:space="preserve">3:40 AM</t>
  </si>
  <si>
    <t xml:space="preserve">3:45 AM</t>
  </si>
  <si>
    <t xml:space="preserve">3:50 AM</t>
  </si>
  <si>
    <t xml:space="preserve">3:55 AM</t>
  </si>
  <si>
    <t xml:space="preserve">4:00 AM</t>
  </si>
  <si>
    <t xml:space="preserve">4:05 AM</t>
  </si>
  <si>
    <t xml:space="preserve">4:10 AM</t>
  </si>
  <si>
    <t xml:space="preserve">4:15 AM</t>
  </si>
  <si>
    <t xml:space="preserve">4:20 AM</t>
  </si>
  <si>
    <t xml:space="preserve">4:25 AM</t>
  </si>
  <si>
    <t xml:space="preserve">4:30 AM</t>
  </si>
  <si>
    <t xml:space="preserve">4:35 AM</t>
  </si>
  <si>
    <t xml:space="preserve">4:40 AM</t>
  </si>
  <si>
    <t xml:space="preserve">4:45 AM</t>
  </si>
  <si>
    <t xml:space="preserve">4:50 AM</t>
  </si>
  <si>
    <t xml:space="preserve">4:55 AM</t>
  </si>
  <si>
    <t xml:space="preserve">5:00 AM</t>
  </si>
  <si>
    <t xml:space="preserve">5:05 AM</t>
  </si>
  <si>
    <t xml:space="preserve">5:10 AM</t>
  </si>
  <si>
    <t xml:space="preserve">5:15 AM</t>
  </si>
  <si>
    <t xml:space="preserve">5:20 AM</t>
  </si>
  <si>
    <t xml:space="preserve">5:25 AM</t>
  </si>
  <si>
    <t xml:space="preserve">5:30 AM</t>
  </si>
  <si>
    <t xml:space="preserve">5:35 AM</t>
  </si>
  <si>
    <t xml:space="preserve">5:40 AM</t>
  </si>
  <si>
    <t xml:space="preserve">5:45 AM</t>
  </si>
  <si>
    <t xml:space="preserve">5:50 AM</t>
  </si>
  <si>
    <t xml:space="preserve">5:55 AM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</si>
</sst>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"/>
    <numFmt numFmtId="166" formatCode="General"/>
    <numFmt numFmtId="167" formatCode="#,##0.000;[RED]\-#,##0.000;\-"/>
    <numFmt numFmtId="168" formatCode="dd/mm/yyyy"/>
    <numFmt numFmtId="169" formatCode="0.000"/>
    <numFmt numFmtId="170" formatCode="[h]:mm"/>
    <numFmt numFmtId="171" formatCode="h:mm\ AM/PM"/>
    <numFmt numFmtId="172" formatCode="0.00"/>
    <numFmt numFmtId="173" formatCode="@"/>
    <numFmt numFmtId="174" formatCode="0%"/>
  </numFmts>
  <fonts count="3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b val="true"/>
      <sz val="13"/>
      <color rgb="FF1F4E79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sz val="10"/>
      <color rgb="FF40404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sz val="8"/>
      <color rgb="FFFFFFFF"/>
      <name val="Arial"/>
      <family val="0"/>
      <charset val="1"/>
    </font>
    <font>
      <b val="true"/>
      <sz val="14"/>
      <color rgb="FF1F4E79"/>
      <name val="Arial"/>
      <family val="0"/>
      <charset val="1"/>
    </font>
    <font>
      <sz val="12"/>
      <color rgb="FF000000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b val="true"/>
      <sz val="11"/>
      <color rgb="FF833C0B"/>
      <name val="Arial"/>
      <family val="0"/>
      <charset val="1"/>
    </font>
    <font>
      <b val="true"/>
      <sz val="10"/>
      <color rgb="FF6B3E00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sz val="9"/>
      <color rgb="FF404040"/>
      <name val="Arial"/>
      <family val="0"/>
      <charset val="1"/>
    </font>
    <font>
      <b val="true"/>
      <sz val="16"/>
      <color rgb="FF000000"/>
      <name val="Arial"/>
      <family val="0"/>
      <charset val="1"/>
    </font>
    <font>
      <b val="true"/>
      <sz val="13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2"/>
      <color rgb="FF1F4E79"/>
      <name val="Arial"/>
      <family val="0"/>
      <charset val="1"/>
    </font>
    <font>
      <b val="true"/>
      <sz val="11"/>
      <color rgb="FF1F4E79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1E5631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13"/>
      <color rgb="FF833C0B"/>
      <name val="Arial"/>
      <family val="0"/>
      <charset val="1"/>
    </font>
    <font>
      <b val="true"/>
      <sz val="10"/>
      <color rgb="FF833C0B"/>
      <name val="Arial"/>
      <family val="0"/>
      <charset val="1"/>
    </font>
    <font>
      <sz val="8"/>
      <color rgb="FFF2F2F2"/>
      <name val="Arial"/>
      <family val="0"/>
      <charset val="1"/>
    </font>
    <font>
      <b val="true"/>
      <sz val="13"/>
      <color rgb="FF0F6E6E"/>
      <name val="Arial"/>
      <family val="0"/>
      <charset val="1"/>
    </font>
    <font>
      <sz val="10"/>
      <color rgb="FF000000"/>
      <name val="Arial"/>
      <family val="0"/>
      <charset val="1"/>
    </font>
    <font>
      <sz val="9"/>
      <color rgb="FF333333"/>
      <name val="Arial"/>
      <family val="0"/>
      <charset val="1"/>
    </font>
    <font>
      <b val="true"/>
      <sz val="11"/>
      <color rgb="FF7F6000"/>
      <name val="Arial"/>
      <family val="0"/>
      <charset val="1"/>
    </font>
    <font>
      <b val="true"/>
      <sz val="10"/>
      <color rgb="FF1E5631"/>
      <name val="Arial"/>
      <family val="0"/>
      <charset val="1"/>
    </font>
    <font>
      <b val="true"/>
      <sz val="13"/>
      <color rgb="FF5B3A6B"/>
      <name val="Arial"/>
      <family val="0"/>
      <charset val="1"/>
    </font>
    <font>
      <b val="true"/>
      <sz val="11"/>
      <color rgb="FF5B3A6B"/>
      <name val="Arial"/>
      <family val="0"/>
      <charset val="1"/>
    </font>
    <font>
      <b val="true"/>
      <sz val="16"/>
      <color rgb="FF1F4E79"/>
      <name val="Arial"/>
      <family val="0"/>
      <charset val="1"/>
    </font>
    <font>
      <b val="true"/>
      <sz val="12"/>
      <color rgb="FF0F6E6E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1F4E79"/>
        <bgColor rgb="FF2F5597"/>
      </patternFill>
    </fill>
    <fill>
      <patternFill patternType="solid">
        <fgColor rgb="FFF2F2F2"/>
        <bgColor rgb="FFE7E6E6"/>
      </patternFill>
    </fill>
    <fill>
      <patternFill patternType="solid">
        <fgColor rgb="FFF4B183"/>
        <bgColor rgb="FFFFC7CE"/>
      </patternFill>
    </fill>
    <fill>
      <patternFill patternType="solid">
        <fgColor rgb="FFBDD7EE"/>
        <bgColor rgb="FFD9D9D9"/>
      </patternFill>
    </fill>
    <fill>
      <patternFill patternType="solid">
        <fgColor rgb="FF262626"/>
        <bgColor rgb="FF333333"/>
      </patternFill>
    </fill>
    <fill>
      <patternFill patternType="solid">
        <fgColor rgb="FFE7E6E6"/>
        <bgColor rgb="FFDDEBF7"/>
      </patternFill>
    </fill>
    <fill>
      <patternFill patternType="solid">
        <fgColor rgb="FF2F75B5"/>
        <bgColor rgb="FF2F5597"/>
      </patternFill>
    </fill>
    <fill>
      <patternFill patternType="solid">
        <fgColor rgb="FF9BC2E6"/>
        <bgColor rgb="FF8EA9C1"/>
      </patternFill>
    </fill>
    <fill>
      <patternFill patternType="solid">
        <fgColor rgb="FF0F6E6E"/>
        <bgColor rgb="FF008080"/>
      </patternFill>
    </fill>
    <fill>
      <patternFill patternType="solid">
        <fgColor rgb="FF833C0B"/>
        <bgColor rgb="FF6B3E00"/>
      </patternFill>
    </fill>
    <fill>
      <patternFill patternType="solid">
        <fgColor rgb="FF5B3A6B"/>
        <bgColor rgb="FF404040"/>
      </patternFill>
    </fill>
    <fill>
      <patternFill patternType="solid">
        <fgColor rgb="FFFFFFFF"/>
        <bgColor rgb="FFF2F2F2"/>
      </patternFill>
    </fill>
    <fill>
      <patternFill patternType="solid">
        <fgColor rgb="FF7F6000"/>
        <bgColor rgb="FF833C0B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8EA9C1"/>
      </left>
      <right/>
      <top style="thin">
        <color rgb="FF8EA9C1"/>
      </top>
      <bottom style="thin">
        <color rgb="FF8EA9C1"/>
      </bottom>
      <diagonal/>
    </border>
    <border diagonalUp="false" diagonalDown="false"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  <diagonal/>
    </border>
    <border diagonalUp="false" diagonalDown="false">
      <left style="thick"/>
      <right style="thick"/>
      <top style="thick"/>
      <bottom style="thick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1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3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5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9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4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0" fontId="1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4" borderId="2" xfId="0" applyFont="true" applyBorder="true" applyAlignment="true" applyProtection="true">
      <alignment horizontal="right" vertical="center" textRotation="0" wrapText="true" indent="0" shrinkToFit="false"/>
      <protection locked="fals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1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7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2" fontId="22" fillId="4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7" fillId="7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22" fillId="4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7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9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9" fillId="4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7" fontId="19" fillId="4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24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2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7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8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1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1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7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2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6" fillId="4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26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2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2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3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1" fontId="22" fillId="4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7" fillId="13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3" fontId="22" fillId="4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4" fontId="22" fillId="4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31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22" fillId="4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9" fontId="19" fillId="4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2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2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5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33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34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8" fillId="4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>
          <bgColor rgb="FFFFEB9C"/>
        </patternFill>
      </fill>
    </dxf>
    <dxf>
      <font>
        <color rgb="FF595959"/>
      </font>
      <fill>
        <patternFill>
          <bgColor rgb="FFD9D9D9"/>
        </patternFill>
      </fill>
    </dxf>
    <dxf>
      <font>
        <b val="1"/>
        <color rgb="FFFFFFFF"/>
      </font>
      <fill>
        <patternFill>
          <bgColor rgb="FF2F5597"/>
        </patternFill>
      </fill>
    </dxf>
    <dxf>
      <fill>
        <patternFill>
          <bgColor rgb="FFC6E0B4"/>
        </patternFill>
      </fill>
    </dxf>
    <dxf>
      <fill>
        <patternFill>
          <bgColor rgb="FFDDEBF7"/>
        </patternFill>
      </fill>
    </dxf>
    <dxf>
      <font>
        <b val="1"/>
        <color rgb="FF800000"/>
      </font>
      <fill>
        <patternFill>
          <bgColor rgb="FFFFC7CE"/>
        </patternFill>
      </fill>
    </dxf>
    <dxf>
      <font>
        <b val="1"/>
        <color rgb="FF6B3E00"/>
      </font>
      <fill>
        <patternFill>
          <bgColor rgb="FFFFEB9C"/>
        </patternFill>
      </fill>
    </dxf>
    <dxf>
      <font>
        <b val="1"/>
      </font>
      <fill>
        <patternFill>
          <bgColor rgb="FFDDEBF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F6E6E"/>
      <rgbColor rgb="FFD9D9D9"/>
      <rgbColor rgb="FF808080"/>
      <rgbColor rgb="FF9999FF"/>
      <rgbColor rgb="FF5B3A6B"/>
      <rgbColor rgb="FFF2F2F2"/>
      <rgbColor rgb="FFDDEBF7"/>
      <rgbColor rgb="FF660066"/>
      <rgbColor rgb="FFFF8080"/>
      <rgbColor rgb="FF2F5597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6E0B4"/>
      <rgbColor rgb="FFFFEB9C"/>
      <rgbColor rgb="FF9BC2E6"/>
      <rgbColor rgb="FFF4B183"/>
      <rgbColor rgb="FFCC99FF"/>
      <rgbColor rgb="FFFFC7CE"/>
      <rgbColor rgb="FF2F75B5"/>
      <rgbColor rgb="FF33CCCC"/>
      <rgbColor rgb="FF99CC00"/>
      <rgbColor rgb="FFFFCC00"/>
      <rgbColor rgb="FFFF9900"/>
      <rgbColor rgb="FFFF6600"/>
      <rgbColor rgb="FF595959"/>
      <rgbColor rgb="FF8EA9C1"/>
      <rgbColor rgb="FF404040"/>
      <rgbColor rgb="FF339966"/>
      <rgbColor rgb="FF1E5631"/>
      <rgbColor rgb="FF262626"/>
      <rgbColor rgb="FF833C0B"/>
      <rgbColor rgb="FF6B3E00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7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14"/>
    <col collapsed="false" customWidth="true" hidden="false" outlineLevel="0" max="4" min="3" style="0" width="12"/>
    <col collapsed="false" customWidth="true" hidden="false" outlineLevel="0" max="5" min="5" style="0" width="16"/>
    <col collapsed="false" customWidth="true" hidden="false" outlineLevel="0" max="7" min="6" style="0" width="13"/>
    <col collapsed="false" customWidth="true" hidden="false" outlineLevel="0" max="8" min="8" style="0" width="14"/>
    <col collapsed="false" customWidth="true" hidden="false" outlineLevel="0" max="9" min="9" style="0" width="34"/>
  </cols>
  <sheetData>
    <row r="1" customFormat="false" ht="39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3" customFormat="false" ht="30" hidden="false" customHeight="true" outlineLevel="0" collapsed="false">
      <c r="B3" s="2" t="s">
        <v>1</v>
      </c>
      <c r="C3" s="3" t="n">
        <f aca="false">YR</f>
        <v>2026</v>
      </c>
      <c r="D3" s="4" t="str">
        <f aca="false">"فيها "&amp;NW&amp;" أسبوع"</f>
        <v>فيها 52 أسبوع</v>
      </c>
      <c r="E3" s="4"/>
      <c r="F3" s="4"/>
      <c r="G3" s="4"/>
      <c r="H3" s="4"/>
    </row>
    <row r="5" customFormat="false" ht="30" hidden="false" customHeight="true" outlineLevel="0" collapsed="false">
      <c r="B5" s="2" t="s">
        <v>2</v>
      </c>
      <c r="C5" s="5"/>
      <c r="D5" s="5"/>
      <c r="E5" s="5"/>
      <c r="F5" s="5"/>
      <c r="G5" s="4" t="str">
        <f aca="false">IF(C5="","← فاضية = الأسبوع الحالي","← امسحها ترجع للحالي")</f>
        <v>← فاضية = الأسبوع الحالي</v>
      </c>
      <c r="H5" s="4"/>
      <c r="N5" s="6" t="n">
        <f aca="false">IF(C5="",CURWK,IFERROR(MATCH(C5,WTITLE,0),CURWK))</f>
        <v>40</v>
      </c>
    </row>
    <row r="7" customFormat="false" ht="25.5" hidden="false" customHeight="true" outlineLevel="0" collapsed="false">
      <c r="A7" s="7" t="str">
        <f aca="false">INDEX(WTITLE,WK)</f>
        <v>26/09/2026  -  02/10/2026   ·   الأسبوع 40</v>
      </c>
      <c r="B7" s="7"/>
      <c r="C7" s="7"/>
      <c r="D7" s="7"/>
      <c r="E7" s="7"/>
      <c r="F7" s="7"/>
      <c r="G7" s="7"/>
      <c r="H7" s="7"/>
    </row>
    <row r="8" customFormat="false" ht="43.5" hidden="false" customHeight="true" outlineLevel="0" collapsed="false">
      <c r="A8" s="8" t="s">
        <v>3</v>
      </c>
      <c r="B8" s="8" t="s">
        <v>4</v>
      </c>
      <c r="C8" s="8" t="s">
        <v>5</v>
      </c>
      <c r="D8" s="8" t="s">
        <v>6</v>
      </c>
      <c r="E8" s="8" t="s">
        <v>7</v>
      </c>
      <c r="F8" s="8" t="s">
        <v>8</v>
      </c>
      <c r="G8" s="8" t="s">
        <v>9</v>
      </c>
      <c r="H8" s="8" t="s">
        <v>10</v>
      </c>
      <c r="I8" s="8" t="s">
        <v>11</v>
      </c>
    </row>
    <row r="9" customFormat="false" ht="39.75" hidden="false" customHeight="true" outlineLevel="0" collapsed="false">
      <c r="A9" s="9" t="s">
        <v>12</v>
      </c>
      <c r="B9" s="10" t="n">
        <f aca="false">N(INDEX(LO_DUE,WK))</f>
        <v>0</v>
      </c>
      <c r="C9" s="10" t="n">
        <f aca="false">N(INDEX(LO_ADV,WK))</f>
        <v>0</v>
      </c>
      <c r="D9" s="10" t="n">
        <f aca="false">N(INDEX(LO_INST,WK))</f>
        <v>0</v>
      </c>
      <c r="E9" s="11" t="n">
        <f aca="false">N(INDEX(LO_NET,WK))</f>
        <v>0</v>
      </c>
      <c r="F9" s="10" t="n">
        <f aca="false">N(INDEX(LO_PAID,WK))</f>
        <v>0</v>
      </c>
      <c r="G9" s="10" t="n">
        <f aca="false">N(INDEX(LO_REM,WK))</f>
        <v>0</v>
      </c>
      <c r="H9" s="12" t="n">
        <f aca="false">N(INDEX(LO_DEBT,WK))</f>
        <v>0</v>
      </c>
      <c r="I9" s="13" t="str">
        <f aca="false">IF(AND(D9&gt;0.0005,D9&gt;INST_CAP*B9+0.0005),"⚠️ القسط "&amp;TEXT(D9,"0.000")&amp;" أكثر من "&amp;TEXT(INST_CAP,"0%")&amp;" من المستحق","")&amp;IF(AND(B9&gt;0,B9-C9-D9&lt;NET_FLOOR*B9-0.0005),"  ⚠️ الصافي "&amp;TEXT((B9-C9-D9)/B9,"0%")&amp;" من المستحق (أقل من "&amp;TEXT(NET_FLOOR,"0%")&amp;")","")&amp;IF(AND(INST_MODE="تخفيض تلقائي",H9&gt;0.0005,D9&lt;'القروض والديون'!F4-0.0005),"  ↓ القسط انخصم "&amp;TEXT(D9,"0.000")&amp;" بدل "&amp;TEXT('القروض والديون'!F4,"0.000"),"")</f>
        <v/>
      </c>
    </row>
    <row r="10" customFormat="false" ht="39.75" hidden="false" customHeight="true" outlineLevel="0" collapsed="false">
      <c r="A10" s="9" t="s">
        <v>13</v>
      </c>
      <c r="B10" s="10" t="n">
        <f aca="false">N(INDEX(LZ_DUE,WK))</f>
        <v>0</v>
      </c>
      <c r="C10" s="10" t="n">
        <f aca="false">N(INDEX(LZ_ADV,WK))</f>
        <v>0</v>
      </c>
      <c r="D10" s="10" t="n">
        <f aca="false">N(INDEX(LZ_INST,WK))</f>
        <v>0</v>
      </c>
      <c r="E10" s="11" t="n">
        <f aca="false">N(INDEX(LZ_NET,WK))</f>
        <v>0</v>
      </c>
      <c r="F10" s="10" t="n">
        <f aca="false">N(INDEX(LZ_PAID,WK))</f>
        <v>0</v>
      </c>
      <c r="G10" s="10" t="n">
        <f aca="false">N(INDEX(LZ_REM,WK))</f>
        <v>0</v>
      </c>
      <c r="H10" s="12" t="n">
        <f aca="false">N(INDEX(LZ_DEBT,WK))</f>
        <v>0</v>
      </c>
      <c r="I10" s="13" t="str">
        <f aca="false">IF(AND(D10&gt;0.0005,D10&gt;INST_CAP*B10+0.0005),"⚠️ القسط "&amp;TEXT(D10,"0.000")&amp;" أكثر من "&amp;TEXT(INST_CAP,"0%")&amp;" من المستحق","")&amp;IF(AND(B10&gt;0,B10-C10-D10&lt;NET_FLOOR*B10-0.0005),"  ⚠️ الصافي "&amp;TEXT((B10-C10-D10)/B10,"0%")&amp;" من المستحق (أقل من "&amp;TEXT(NET_FLOOR,"0%")&amp;")","")&amp;IF(AND(INST_MODE="تخفيض تلقائي",H10&gt;0.0005,D10&lt;'القروض والديون'!F5-0.0005),"  ↓ القسط انخصم "&amp;TEXT(D10,"0.000")&amp;" بدل "&amp;TEXT('القروض والديون'!F5,"0.000"),"")</f>
        <v/>
      </c>
    </row>
    <row r="11" customFormat="false" ht="33.75" hidden="false" customHeight="true" outlineLevel="0" collapsed="false">
      <c r="A11" s="14" t="s">
        <v>14</v>
      </c>
      <c r="B11" s="14"/>
      <c r="C11" s="14"/>
      <c r="D11" s="14"/>
      <c r="E11" s="11" t="n">
        <f aca="false">E9+E10</f>
        <v>0</v>
      </c>
    </row>
    <row r="13" customFormat="false" ht="31.5" hidden="false" customHeight="true" outlineLevel="0" collapsed="false">
      <c r="A13" s="15" t="str">
        <f aca="false">HYPERLINK("#'ساعات عمر'!A"&amp;(5+14*(WK-1)),"▶  اضغط هون: افتح "&amp;"ساعات عمر"&amp;" — الأسبوع "&amp;WK)</f>
        <v>▶  اضغط هون: افتح ساعات عمر — الأسبوع 40</v>
      </c>
      <c r="B13" s="15"/>
      <c r="C13" s="15"/>
      <c r="D13" s="15"/>
      <c r="E13" s="15"/>
    </row>
    <row r="14" customFormat="false" ht="31.5" hidden="false" customHeight="true" outlineLevel="0" collapsed="false">
      <c r="A14" s="15" t="str">
        <f aca="false">HYPERLINK("#'ساعات عبدالعزيز'!A"&amp;(5+14*(WK-1)),"▶  اضغط هون: افتح "&amp;"ساعات عبدالعزيز"&amp;" — الأسبوع "&amp;WK)</f>
        <v>▶  اضغط هون: افتح ساعات عبدالعزيز — الأسبوع 40</v>
      </c>
      <c r="B14" s="15"/>
      <c r="C14" s="15"/>
      <c r="D14" s="15"/>
      <c r="E14" s="15"/>
    </row>
    <row r="15" customFormat="false" ht="31.5" hidden="false" customHeight="true" outlineLevel="0" collapsed="false">
      <c r="A15" s="15" t="str">
        <f aca="false">HYPERLINK("#'دفتر الأسابيع'!A"&amp;(7+WK-1),"▶  اضغط هون: افتح "&amp;"دفتر الأسابيع"&amp;" — الأسبوع "&amp;WK)</f>
        <v>▶  اضغط هون: افتح دفتر الأسابيع — الأسبوع 40</v>
      </c>
      <c r="B15" s="15"/>
      <c r="C15" s="15"/>
      <c r="D15" s="15"/>
      <c r="E15" s="15"/>
    </row>
    <row r="17" customFormat="false" ht="27.75" hidden="false" customHeight="true" outlineLevel="0" collapsed="false">
      <c r="A17" s="16" t="s">
        <v>15</v>
      </c>
      <c r="B17" s="16"/>
      <c r="C17" s="16"/>
      <c r="D17" s="16"/>
      <c r="E17" s="16"/>
      <c r="F17" s="16"/>
      <c r="G17" s="16"/>
      <c r="H17" s="16"/>
    </row>
  </sheetData>
  <sheetProtection sheet="true" formatColumns="false" formatRows="false"/>
  <mergeCells count="10">
    <mergeCell ref="A1:I1"/>
    <mergeCell ref="D3:H3"/>
    <mergeCell ref="C5:F5"/>
    <mergeCell ref="G5:H5"/>
    <mergeCell ref="A7:H7"/>
    <mergeCell ref="A11:D11"/>
    <mergeCell ref="A13:E13"/>
    <mergeCell ref="A14:E14"/>
    <mergeCell ref="A15:E15"/>
    <mergeCell ref="A17:H17"/>
  </mergeCells>
  <dataValidations count="1">
    <dataValidation allowBlank="true" errorStyle="stop" operator="between" prompt="اتركها فاضية = الأسبوع الحالي لحاله · أو اختار أي أسبوع" promptTitle="الأسبوع" showDropDown="false" showErrorMessage="false" showInputMessage="true" sqref="C5" type="list">
      <formula1>WTITLE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74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1"/>
    <col collapsed="false" customWidth="true" hidden="false" outlineLevel="0" max="4" min="3" style="0" width="13"/>
    <col collapsed="false" customWidth="true" hidden="false" outlineLevel="0" max="7" min="5" style="0" width="12"/>
    <col collapsed="false" customWidth="true" hidden="false" outlineLevel="0" max="8" min="8" style="0" width="16"/>
    <col collapsed="false" customWidth="true" hidden="false" outlineLevel="0" max="9" min="9" style="0" width="30"/>
    <col collapsed="false" customWidth="true" hidden="true" outlineLevel="0" max="23" min="11" style="0" width="13"/>
  </cols>
  <sheetData>
    <row r="1" customFormat="false" ht="39.75" hidden="false" customHeight="true" outlineLevel="0" collapsed="false">
      <c r="A1" s="1" t="s">
        <v>16</v>
      </c>
      <c r="B1" s="1"/>
      <c r="C1" s="1"/>
      <c r="D1" s="1"/>
      <c r="E1" s="1"/>
      <c r="F1" s="1"/>
      <c r="G1" s="1"/>
      <c r="H1" s="1"/>
      <c r="I1" s="1"/>
    </row>
    <row r="3" customFormat="false" ht="43.5" hidden="false" customHeight="true" outlineLevel="0" collapsed="false">
      <c r="A3" s="4" t="s">
        <v>17</v>
      </c>
      <c r="B3" s="4"/>
      <c r="C3" s="4"/>
      <c r="D3" s="4"/>
      <c r="E3" s="4"/>
      <c r="F3" s="4"/>
      <c r="G3" s="4"/>
      <c r="H3" s="4"/>
      <c r="I3" s="4"/>
    </row>
    <row r="5" customFormat="false" ht="33.75" hidden="false" customHeight="true" outlineLevel="0" collapsed="false">
      <c r="A5" s="17" t="str">
        <f aca="false">IF(1&lt;=NW,TEXT(DAY(WEEK_ONE+0),"00")&amp;"/"&amp;TEXT(MONTH(WEEK_ONE+0),"00")&amp;"/"&amp;YEAR(WEEK_ONE+0)&amp;"  -  "&amp;TEXT(DAY(WEEK_ONE+6),"00")&amp;"/"&amp;TEXT(MONTH(WEEK_ONE+6),"00")&amp;"/"&amp;YEAR(WEEK_ONE+6)&amp;"   ·   الأسبوع 1"&amp;IF(1&lt;START_O,"   (قبل أسبوع البداية — ما بينحسب)",""),"ما في أسبوع 1 هالسنة")</f>
        <v>27/12/2025  -  02/01/2026   ·   الأسبوع 1   (قبل أسبوع البداية — ما بينحسب)</v>
      </c>
      <c r="B5" s="17"/>
      <c r="C5" s="17"/>
      <c r="D5" s="17"/>
      <c r="E5" s="17"/>
      <c r="F5" s="17"/>
      <c r="G5" s="17"/>
      <c r="H5" s="17"/>
      <c r="I5" s="17"/>
      <c r="L5" s="18" t="n">
        <f aca="false">IF(1&lt;=NW,WEEK_ONE+6,"")</f>
        <v>46024</v>
      </c>
      <c r="M5" s="19" t="n">
        <f aca="false">IF(AND(1&lt;=NW,1&gt;=START_O),1,0)</f>
        <v>0</v>
      </c>
      <c r="N5" s="20" t="n">
        <f aca="false">IFERROR(INDEX(RT_OMR,MATCH(L5,RT_K,1)),INDEX(RT_OMR,1))</f>
        <v>1.25</v>
      </c>
      <c r="O5" s="20" t="n">
        <f aca="false">IFERROR(INDEX(RT_OT,MATCH(L5,RT_K,1)),INDEX(RT_OT,1))</f>
        <v>1.5</v>
      </c>
      <c r="P5" s="20" t="n">
        <f aca="false">IFERROR(INDEX(RT_GYP,MATCH(L5,RT_K,1)),INDEX(RT_GYP,1))</f>
        <v>2.5</v>
      </c>
      <c r="Q5" s="19" t="n">
        <f aca="false">IF(N(E17)&gt;0,1,0)</f>
        <v>0</v>
      </c>
      <c r="R5" s="0" t="n">
        <v>1</v>
      </c>
      <c r="S5" s="0" t="n">
        <v>1</v>
      </c>
      <c r="U5" s="19" t="n">
        <f aca="false">IF(M5=1,SUM(E7:E13),0)</f>
        <v>0</v>
      </c>
      <c r="V5" s="19" t="n">
        <f aca="false">SUM(H7:H13)</f>
        <v>0</v>
      </c>
    </row>
    <row r="6" customFormat="false" ht="39.75" hidden="false" customHeight="true" outlineLevel="0" collapsed="false">
      <c r="A6" s="21" t="s">
        <v>18</v>
      </c>
      <c r="B6" s="21" t="s">
        <v>19</v>
      </c>
      <c r="C6" s="21" t="s">
        <v>20</v>
      </c>
      <c r="D6" s="21" t="s">
        <v>21</v>
      </c>
      <c r="E6" s="21" t="s">
        <v>22</v>
      </c>
      <c r="F6" s="21" t="s">
        <v>23</v>
      </c>
      <c r="G6" s="21" t="s">
        <v>24</v>
      </c>
      <c r="H6" s="21" t="s">
        <v>25</v>
      </c>
      <c r="I6" s="21" t="s">
        <v>26</v>
      </c>
      <c r="M6" s="19" t="n">
        <f aca="false">$M$5</f>
        <v>0</v>
      </c>
      <c r="Q6" s="19" t="n">
        <f aca="false">IF(N(E17)&gt;0,1,0)</f>
        <v>0</v>
      </c>
      <c r="S6" s="0" t="n">
        <v>1</v>
      </c>
    </row>
    <row r="7" customFormat="false" ht="15" hidden="false" customHeight="false" outlineLevel="0" collapsed="false">
      <c r="A7" s="22" t="n">
        <f aca="false">IF(1&lt;=NW,WEEK_ONE+0,"")</f>
        <v>46018</v>
      </c>
      <c r="B7" s="23" t="str">
        <f aca="false">IF(A7="","",CHOOSE(WEEKDAY(A7,1),"الأحد","الاثنين","الثلاثاء","الأربعاء","الخميس","الجمعة","السبت"))</f>
        <v>السبت</v>
      </c>
      <c r="C7" s="24"/>
      <c r="D7" s="24"/>
      <c r="E7" s="25" t="str">
        <f aca="false">IF(OR(M7=0,K7="",L7=""),"",MOD(L7-K7,1))</f>
        <v/>
      </c>
      <c r="F7" s="25" t="str">
        <f aca="false">IF(OR(E7="",M7=0),"",IF(WEEKDAY(A7,1)=6,E7,MIN(E7,MAX(0,MIN(IF(L7&lt;K7,L7+1,L7),OMR_OT_AT)-K7))))</f>
        <v/>
      </c>
      <c r="G7" s="25" t="str">
        <f aca="false">IF(OR(E7="",M7=0),"",MAX(0,E7-F7))</f>
        <v/>
      </c>
      <c r="H7" s="26" t="str">
        <f aca="false">IF(OR(E7="",M7=0),"",ROUND((F7*$N$5+G7*$O$5)*24,3))</f>
        <v/>
      </c>
      <c r="I7" s="27"/>
      <c r="K7" s="28" t="str">
        <f aca="false">IF(OR(M7=0,C7=""),"",IF(ISNUMBER(C7),MOD(C7,1),IFERROR(INDEX(القوائم!$B$1:$B$288,MATCH(TRIM(C7),القوائم!$A$1:$A$288,0)),IFERROR(MOD(TIMEVALUE(C7),1),""))))</f>
        <v/>
      </c>
      <c r="L7" s="28" t="str">
        <f aca="false">IF(OR(M7=0,D7=""),"",IF(ISNUMBER(D7),MOD(D7,1),IFERROR(INDEX(القوائم!$B$1:$B$288,MATCH(TRIM(D7),القوائم!$A$1:$A$288,0)),IFERROR(MOD(TIMEVALUE(D7),1),""))))</f>
        <v/>
      </c>
      <c r="M7" s="19" t="n">
        <f aca="false">$M$5</f>
        <v>0</v>
      </c>
      <c r="Q7" s="19" t="n">
        <f aca="false">IF(N(E17)&gt;0,1,0)</f>
        <v>0</v>
      </c>
      <c r="S7" s="0" t="n">
        <v>1</v>
      </c>
    </row>
    <row r="8" customFormat="false" ht="15" hidden="false" customHeight="false" outlineLevel="0" collapsed="false">
      <c r="A8" s="22" t="n">
        <f aca="false">IF(1&lt;=NW,WEEK_ONE+1,"")</f>
        <v>46019</v>
      </c>
      <c r="B8" s="23" t="str">
        <f aca="false">IF(A8="","",CHOOSE(WEEKDAY(A8,1),"الأحد","الاثنين","الثلاثاء","الأربعاء","الخميس","الجمعة","السبت"))</f>
        <v>الأحد</v>
      </c>
      <c r="C8" s="24"/>
      <c r="D8" s="24"/>
      <c r="E8" s="25" t="str">
        <f aca="false">IF(OR(M8=0,K8="",L8=""),"",MOD(L8-K8,1))</f>
        <v/>
      </c>
      <c r="F8" s="25" t="str">
        <f aca="false">IF(OR(E8="",M8=0),"",IF(WEEKDAY(A8,1)=6,E8,MIN(E8,MAX(0,MIN(IF(L8&lt;K8,L8+1,L8),OMR_OT_AT)-K8))))</f>
        <v/>
      </c>
      <c r="G8" s="25" t="str">
        <f aca="false">IF(OR(E8="",M8=0),"",MAX(0,E8-F8))</f>
        <v/>
      </c>
      <c r="H8" s="26" t="str">
        <f aca="false">IF(OR(E8="",M8=0),"",ROUND((F8*$N$5+G8*$O$5)*24,3))</f>
        <v/>
      </c>
      <c r="I8" s="27"/>
      <c r="K8" s="28" t="str">
        <f aca="false">IF(OR(M8=0,C8=""),"",IF(ISNUMBER(C8),MOD(C8,1),IFERROR(INDEX(القوائم!$B$1:$B$288,MATCH(TRIM(C8),القوائم!$A$1:$A$288,0)),IFERROR(MOD(TIMEVALUE(C8),1),""))))</f>
        <v/>
      </c>
      <c r="L8" s="28" t="str">
        <f aca="false">IF(OR(M8=0,D8=""),"",IF(ISNUMBER(D8),MOD(D8,1),IFERROR(INDEX(القوائم!$B$1:$B$288,MATCH(TRIM(D8),القوائم!$A$1:$A$288,0)),IFERROR(MOD(TIMEVALUE(D8),1),""))))</f>
        <v/>
      </c>
      <c r="M8" s="19" t="n">
        <f aca="false">$M$5</f>
        <v>0</v>
      </c>
      <c r="Q8" s="19" t="n">
        <f aca="false">IF(N(E17)&gt;0,1,0)</f>
        <v>0</v>
      </c>
      <c r="S8" s="0" t="n">
        <v>1</v>
      </c>
    </row>
    <row r="9" customFormat="false" ht="15" hidden="false" customHeight="false" outlineLevel="0" collapsed="false">
      <c r="A9" s="22" t="n">
        <f aca="false">IF(1&lt;=NW,WEEK_ONE+2,"")</f>
        <v>46020</v>
      </c>
      <c r="B9" s="23" t="str">
        <f aca="false">IF(A9="","",CHOOSE(WEEKDAY(A9,1),"الأحد","الاثنين","الثلاثاء","الأربعاء","الخميس","الجمعة","السبت"))</f>
        <v>الاثنين</v>
      </c>
      <c r="C9" s="24"/>
      <c r="D9" s="24"/>
      <c r="E9" s="25" t="str">
        <f aca="false">IF(OR(M9=0,K9="",L9=""),"",MOD(L9-K9,1))</f>
        <v/>
      </c>
      <c r="F9" s="25" t="str">
        <f aca="false">IF(OR(E9="",M9=0),"",IF(WEEKDAY(A9,1)=6,E9,MIN(E9,MAX(0,MIN(IF(L9&lt;K9,L9+1,L9),OMR_OT_AT)-K9))))</f>
        <v/>
      </c>
      <c r="G9" s="25" t="str">
        <f aca="false">IF(OR(E9="",M9=0),"",MAX(0,E9-F9))</f>
        <v/>
      </c>
      <c r="H9" s="26" t="str">
        <f aca="false">IF(OR(E9="",M9=0),"",ROUND((F9*$N$5+G9*$O$5)*24,3))</f>
        <v/>
      </c>
      <c r="I9" s="27"/>
      <c r="K9" s="28" t="str">
        <f aca="false">IF(OR(M9=0,C9=""),"",IF(ISNUMBER(C9),MOD(C9,1),IFERROR(INDEX(القوائم!$B$1:$B$288,MATCH(TRIM(C9),القوائم!$A$1:$A$288,0)),IFERROR(MOD(TIMEVALUE(C9),1),""))))</f>
        <v/>
      </c>
      <c r="L9" s="28" t="str">
        <f aca="false">IF(OR(M9=0,D9=""),"",IF(ISNUMBER(D9),MOD(D9,1),IFERROR(INDEX(القوائم!$B$1:$B$288,MATCH(TRIM(D9),القوائم!$A$1:$A$288,0)),IFERROR(MOD(TIMEVALUE(D9),1),""))))</f>
        <v/>
      </c>
      <c r="M9" s="19" t="n">
        <f aca="false">$M$5</f>
        <v>0</v>
      </c>
      <c r="Q9" s="19" t="n">
        <f aca="false">IF(N(E17)&gt;0,1,0)</f>
        <v>0</v>
      </c>
      <c r="S9" s="0" t="n">
        <v>1</v>
      </c>
    </row>
    <row r="10" customFormat="false" ht="15" hidden="false" customHeight="false" outlineLevel="0" collapsed="false">
      <c r="A10" s="22" t="n">
        <f aca="false">IF(1&lt;=NW,WEEK_ONE+3,"")</f>
        <v>46021</v>
      </c>
      <c r="B10" s="23" t="str">
        <f aca="false">IF(A10="","",CHOOSE(WEEKDAY(A10,1),"الأحد","الاثنين","الثلاثاء","الأربعاء","الخميس","الجمعة","السبت"))</f>
        <v>الثلاثاء</v>
      </c>
      <c r="C10" s="24"/>
      <c r="D10" s="24"/>
      <c r="E10" s="25" t="str">
        <f aca="false">IF(OR(M10=0,K10="",L10=""),"",MOD(L10-K10,1))</f>
        <v/>
      </c>
      <c r="F10" s="25" t="str">
        <f aca="false">IF(OR(E10="",M10=0),"",IF(WEEKDAY(A10,1)=6,E10,MIN(E10,MAX(0,MIN(IF(L10&lt;K10,L10+1,L10),OMR_OT_AT)-K10))))</f>
        <v/>
      </c>
      <c r="G10" s="25" t="str">
        <f aca="false">IF(OR(E10="",M10=0),"",MAX(0,E10-F10))</f>
        <v/>
      </c>
      <c r="H10" s="26" t="str">
        <f aca="false">IF(OR(E10="",M10=0),"",ROUND((F10*$N$5+G10*$O$5)*24,3))</f>
        <v/>
      </c>
      <c r="I10" s="27"/>
      <c r="K10" s="28" t="str">
        <f aca="false">IF(OR(M10=0,C10=""),"",IF(ISNUMBER(C10),MOD(C10,1),IFERROR(INDEX(القوائم!$B$1:$B$288,MATCH(TRIM(C10),القوائم!$A$1:$A$288,0)),IFERROR(MOD(TIMEVALUE(C10),1),""))))</f>
        <v/>
      </c>
      <c r="L10" s="28" t="str">
        <f aca="false">IF(OR(M10=0,D10=""),"",IF(ISNUMBER(D10),MOD(D10,1),IFERROR(INDEX(القوائم!$B$1:$B$288,MATCH(TRIM(D10),القوائم!$A$1:$A$288,0)),IFERROR(MOD(TIMEVALUE(D10),1),""))))</f>
        <v/>
      </c>
      <c r="M10" s="19" t="n">
        <f aca="false">$M$5</f>
        <v>0</v>
      </c>
      <c r="Q10" s="19" t="n">
        <f aca="false">IF(N(E17)&gt;0,1,0)</f>
        <v>0</v>
      </c>
      <c r="S10" s="0" t="n">
        <v>1</v>
      </c>
    </row>
    <row r="11" customFormat="false" ht="15" hidden="false" customHeight="false" outlineLevel="0" collapsed="false">
      <c r="A11" s="22" t="n">
        <f aca="false">IF(1&lt;=NW,WEEK_ONE+4,"")</f>
        <v>46022</v>
      </c>
      <c r="B11" s="23" t="str">
        <f aca="false">IF(A11="","",CHOOSE(WEEKDAY(A11,1),"الأحد","الاثنين","الثلاثاء","الأربعاء","الخميس","الجمعة","السبت"))</f>
        <v>الأربعاء</v>
      </c>
      <c r="C11" s="24"/>
      <c r="D11" s="24"/>
      <c r="E11" s="25" t="str">
        <f aca="false">IF(OR(M11=0,K11="",L11=""),"",MOD(L11-K11,1))</f>
        <v/>
      </c>
      <c r="F11" s="25" t="str">
        <f aca="false">IF(OR(E11="",M11=0),"",IF(WEEKDAY(A11,1)=6,E11,MIN(E11,MAX(0,MIN(IF(L11&lt;K11,L11+1,L11),OMR_OT_AT)-K11))))</f>
        <v/>
      </c>
      <c r="G11" s="25" t="str">
        <f aca="false">IF(OR(E11="",M11=0),"",MAX(0,E11-F11))</f>
        <v/>
      </c>
      <c r="H11" s="26" t="str">
        <f aca="false">IF(OR(E11="",M11=0),"",ROUND((F11*$N$5+G11*$O$5)*24,3))</f>
        <v/>
      </c>
      <c r="I11" s="27"/>
      <c r="K11" s="28" t="str">
        <f aca="false">IF(OR(M11=0,C11=""),"",IF(ISNUMBER(C11),MOD(C11,1),IFERROR(INDEX(القوائم!$B$1:$B$288,MATCH(TRIM(C11),القوائم!$A$1:$A$288,0)),IFERROR(MOD(TIMEVALUE(C11),1),""))))</f>
        <v/>
      </c>
      <c r="L11" s="28" t="str">
        <f aca="false">IF(OR(M11=0,D11=""),"",IF(ISNUMBER(D11),MOD(D11,1),IFERROR(INDEX(القوائم!$B$1:$B$288,MATCH(TRIM(D11),القوائم!$A$1:$A$288,0)),IFERROR(MOD(TIMEVALUE(D11),1),""))))</f>
        <v/>
      </c>
      <c r="M11" s="19" t="n">
        <f aca="false">$M$5</f>
        <v>0</v>
      </c>
      <c r="Q11" s="19" t="n">
        <f aca="false">IF(N(E17)&gt;0,1,0)</f>
        <v>0</v>
      </c>
      <c r="S11" s="0" t="n">
        <v>1</v>
      </c>
    </row>
    <row r="12" customFormat="false" ht="15" hidden="false" customHeight="false" outlineLevel="0" collapsed="false">
      <c r="A12" s="22" t="n">
        <f aca="false">IF(1&lt;=NW,WEEK_ONE+5,"")</f>
        <v>46023</v>
      </c>
      <c r="B12" s="23" t="str">
        <f aca="false">IF(A12="","",CHOOSE(WEEKDAY(A12,1),"الأحد","الاثنين","الثلاثاء","الأربعاء","الخميس","الجمعة","السبت"))</f>
        <v>الخميس</v>
      </c>
      <c r="C12" s="24"/>
      <c r="D12" s="24"/>
      <c r="E12" s="25" t="str">
        <f aca="false">IF(OR(M12=0,K12="",L12=""),"",MOD(L12-K12,1))</f>
        <v/>
      </c>
      <c r="F12" s="25" t="str">
        <f aca="false">IF(OR(E12="",M12=0),"",IF(WEEKDAY(A12,1)=6,E12,MIN(E12,MAX(0,MIN(IF(L12&lt;K12,L12+1,L12),OMR_OT_AT)-K12))))</f>
        <v/>
      </c>
      <c r="G12" s="25" t="str">
        <f aca="false">IF(OR(E12="",M12=0),"",MAX(0,E12-F12))</f>
        <v/>
      </c>
      <c r="H12" s="26" t="str">
        <f aca="false">IF(OR(E12="",M12=0),"",ROUND((F12*$N$5+G12*$O$5)*24,3))</f>
        <v/>
      </c>
      <c r="I12" s="27"/>
      <c r="K12" s="28" t="str">
        <f aca="false">IF(OR(M12=0,C12=""),"",IF(ISNUMBER(C12),MOD(C12,1),IFERROR(INDEX(القوائم!$B$1:$B$288,MATCH(TRIM(C12),القوائم!$A$1:$A$288,0)),IFERROR(MOD(TIMEVALUE(C12),1),""))))</f>
        <v/>
      </c>
      <c r="L12" s="28" t="str">
        <f aca="false">IF(OR(M12=0,D12=""),"",IF(ISNUMBER(D12),MOD(D12,1),IFERROR(INDEX(القوائم!$B$1:$B$288,MATCH(TRIM(D12),القوائم!$A$1:$A$288,0)),IFERROR(MOD(TIMEVALUE(D12),1),""))))</f>
        <v/>
      </c>
      <c r="M12" s="19" t="n">
        <f aca="false">$M$5</f>
        <v>0</v>
      </c>
      <c r="Q12" s="19" t="n">
        <f aca="false">IF(N(E17)&gt;0,1,0)</f>
        <v>0</v>
      </c>
      <c r="S12" s="0" t="n">
        <v>1</v>
      </c>
    </row>
    <row r="13" customFormat="false" ht="15" hidden="false" customHeight="false" outlineLevel="0" collapsed="false">
      <c r="A13" s="29" t="n">
        <f aca="false">IF(1&lt;=NW,WEEK_ONE+6,"")</f>
        <v>46024</v>
      </c>
      <c r="B13" s="30" t="str">
        <f aca="false">IF(A13="","",CHOOSE(WEEKDAY(A13,1),"الأحد","الاثنين","الثلاثاء","الأربعاء","الخميس","الجمعة","السبت"))</f>
        <v>الجمعة</v>
      </c>
      <c r="C13" s="24"/>
      <c r="D13" s="24"/>
      <c r="E13" s="25" t="str">
        <f aca="false">IF(OR(M13=0,K13="",L13=""),"",MOD(L13-K13,1))</f>
        <v/>
      </c>
      <c r="F13" s="25" t="str">
        <f aca="false">IF(OR(E13="",M13=0),"",IF(WEEKDAY(A13,1)=6,E13,MIN(E13,MAX(0,MIN(IF(L13&lt;K13,L13+1,L13),OMR_OT_AT)-K13))))</f>
        <v/>
      </c>
      <c r="G13" s="25" t="str">
        <f aca="false">IF(OR(E13="",M13=0),"",MAX(0,E13-F13))</f>
        <v/>
      </c>
      <c r="H13" s="26" t="str">
        <f aca="false">IF(OR(E13="",M13=0),"",ROUND((F13*$N$5+G13*$O$5)*24,3))</f>
        <v/>
      </c>
      <c r="I13" s="27"/>
      <c r="K13" s="28" t="str">
        <f aca="false">IF(OR(M13=0,C13=""),"",IF(ISNUMBER(C13),MOD(C13,1),IFERROR(INDEX(القوائم!$B$1:$B$288,MATCH(TRIM(C13),القوائم!$A$1:$A$288,0)),IFERROR(MOD(TIMEVALUE(C13),1),""))))</f>
        <v/>
      </c>
      <c r="L13" s="28" t="str">
        <f aca="false">IF(OR(M13=0,D13=""),"",IF(ISNUMBER(D13),MOD(D13,1),IFERROR(INDEX(القوائم!$B$1:$B$288,MATCH(TRIM(D13),القوائم!$A$1:$A$288,0)),IFERROR(MOD(TIMEVALUE(D13),1),""))))</f>
        <v/>
      </c>
      <c r="M13" s="19" t="n">
        <f aca="false">$M$5</f>
        <v>0</v>
      </c>
      <c r="Q13" s="19" t="n">
        <f aca="false">IF(N(E17)&gt;0,1,0)</f>
        <v>0</v>
      </c>
      <c r="S13" s="0" t="n">
        <v>1</v>
      </c>
    </row>
    <row r="14" customFormat="false" ht="15" hidden="false" customHeight="false" outlineLevel="0" collapsed="false">
      <c r="A14" s="31" t="str">
        <f aca="false">IF(M5=1,"ساعات تحميل الجبسمبورد بهالأسبوع ←","")</f>
        <v/>
      </c>
      <c r="B14" s="31"/>
      <c r="C14" s="31"/>
      <c r="D14" s="31"/>
      <c r="E14" s="32"/>
      <c r="F14" s="33" t="str">
        <f aca="false">IF(M5=1,"كل ساعة تحميل = "&amp;TEXT($P$5,"0.000")&amp;" دينار (منها "&amp;TEXT($N$5,"0.000")&amp;" محسوبة أصلاً بساعات اليوم)","")</f>
        <v/>
      </c>
      <c r="G14" s="33"/>
      <c r="H14" s="33"/>
      <c r="I14" s="33"/>
      <c r="M14" s="19" t="n">
        <f aca="false">$M$5</f>
        <v>0</v>
      </c>
      <c r="Q14" s="19" t="n">
        <f aca="false">IF(N(E17)&gt;0,1,0)</f>
        <v>0</v>
      </c>
      <c r="S14" s="0" t="n">
        <v>1</v>
      </c>
    </row>
    <row r="15" customFormat="false" ht="15" hidden="false" customHeight="false" outlineLevel="0" collapsed="false">
      <c r="A15" s="31" t="str">
        <f aca="false">IF(M5=1,"إكرامية الأسبوع (دينار) ←","")</f>
        <v/>
      </c>
      <c r="B15" s="31"/>
      <c r="C15" s="31"/>
      <c r="D15" s="31"/>
      <c r="E15" s="34"/>
      <c r="F15" s="35"/>
      <c r="G15" s="35"/>
      <c r="H15" s="35"/>
      <c r="I15" s="35"/>
      <c r="M15" s="19" t="n">
        <f aca="false">$M$5</f>
        <v>0</v>
      </c>
      <c r="Q15" s="19" t="n">
        <f aca="false">IF(N(E17)&gt;0,1,0)</f>
        <v>0</v>
      </c>
      <c r="S15" s="0" t="n">
        <v>1</v>
      </c>
    </row>
    <row r="16" customFormat="false" ht="36" hidden="false" customHeight="true" outlineLevel="0" collapsed="false">
      <c r="A16" s="36" t="str">
        <f aca="false">IF(M5=1,"المستحق النهائي للأسبوع","")</f>
        <v/>
      </c>
      <c r="B16" s="36"/>
      <c r="C16" s="36"/>
      <c r="D16" s="36"/>
      <c r="E16" s="36"/>
      <c r="F16" s="36"/>
      <c r="G16" s="36"/>
      <c r="H16" s="11" t="str">
        <f aca="false">IF(M5=1,ROUND(N($V$5)+N(E14)*($P$5-$N$5)+N(E15),3),"")</f>
        <v/>
      </c>
      <c r="I16" s="37"/>
      <c r="M16" s="19" t="n">
        <f aca="false">$M$5</f>
        <v>0</v>
      </c>
      <c r="Q16" s="19" t="n">
        <f aca="false">IF(N(E17)&gt;0,1,0)</f>
        <v>0</v>
      </c>
      <c r="S16" s="0" t="n">
        <v>1</v>
      </c>
      <c r="T16" s="0" t="n">
        <v>1</v>
      </c>
    </row>
    <row r="17" customFormat="false" ht="25.5" hidden="false" customHeight="true" outlineLevel="0" collapsed="false">
      <c r="A17" s="31" t="str">
        <f aca="false">IF(M5=1,"المدفوع (دينار) ←","")</f>
        <v/>
      </c>
      <c r="B17" s="31"/>
      <c r="C17" s="31"/>
      <c r="D17" s="31"/>
      <c r="E17" s="34"/>
      <c r="F17" s="38" t="str">
        <f aca="false">IF(M5=1,IF(N(E17)&gt;0,"✔ انقبض — الأسبوع مقفول","⏳ لسا ما انقبض"),"")</f>
        <v/>
      </c>
      <c r="G17" s="38"/>
      <c r="H17" s="38"/>
      <c r="I17" s="38"/>
      <c r="M17" s="19" t="n">
        <f aca="false">$M$5</f>
        <v>0</v>
      </c>
      <c r="Q17" s="19" t="n">
        <f aca="false">IF(N(E17)&gt;0,1,0)</f>
        <v>0</v>
      </c>
      <c r="S17" s="0" t="n">
        <v>1</v>
      </c>
    </row>
    <row r="18" customFormat="false" ht="9.75" hidden="false" customHeight="true" outlineLevel="0" collapsed="false">
      <c r="M18" s="19" t="n">
        <f aca="false">$M$5</f>
        <v>0</v>
      </c>
      <c r="Q18" s="19" t="n">
        <f aca="false">IF(N(E17)&gt;0,1,0)</f>
        <v>0</v>
      </c>
      <c r="S18" s="0" t="n">
        <v>1</v>
      </c>
      <c r="T18" s="0" t="n">
        <v>2</v>
      </c>
    </row>
    <row r="19" customFormat="false" ht="33.75" hidden="false" customHeight="true" outlineLevel="0" collapsed="false">
      <c r="A19" s="17" t="str">
        <f aca="false">IF(2&lt;=NW,TEXT(DAY(WEEK_ONE+7),"00")&amp;"/"&amp;TEXT(MONTH(WEEK_ONE+7),"00")&amp;"/"&amp;YEAR(WEEK_ONE+7)&amp;"  -  "&amp;TEXT(DAY(WEEK_ONE+13),"00")&amp;"/"&amp;TEXT(MONTH(WEEK_ONE+13),"00")&amp;"/"&amp;YEAR(WEEK_ONE+13)&amp;"   ·   الأسبوع 2"&amp;IF(2&lt;START_O,"   (قبل أسبوع البداية — ما بينحسب)",""),"ما في أسبوع 2 هالسنة")</f>
        <v>03/01/2026  -  09/01/2026   ·   الأسبوع 2   (قبل أسبوع البداية — ما بينحسب)</v>
      </c>
      <c r="B19" s="17"/>
      <c r="C19" s="17"/>
      <c r="D19" s="17"/>
      <c r="E19" s="17"/>
      <c r="F19" s="17"/>
      <c r="G19" s="17"/>
      <c r="H19" s="17"/>
      <c r="I19" s="17"/>
      <c r="L19" s="18" t="n">
        <f aca="false">IF(2&lt;=NW,WEEK_ONE+13,"")</f>
        <v>46031</v>
      </c>
      <c r="M19" s="19" t="n">
        <f aca="false">IF(AND(2&lt;=NW,2&gt;=START_O),1,0)</f>
        <v>0</v>
      </c>
      <c r="N19" s="20" t="n">
        <f aca="false">IFERROR(INDEX(RT_OMR,MATCH(L19,RT_K,1)),INDEX(RT_OMR,1))</f>
        <v>1.25</v>
      </c>
      <c r="O19" s="20" t="n">
        <f aca="false">IFERROR(INDEX(RT_OT,MATCH(L19,RT_K,1)),INDEX(RT_OT,1))</f>
        <v>1.5</v>
      </c>
      <c r="P19" s="20" t="n">
        <f aca="false">IFERROR(INDEX(RT_GYP,MATCH(L19,RT_K,1)),INDEX(RT_GYP,1))</f>
        <v>2.5</v>
      </c>
      <c r="Q19" s="19" t="n">
        <f aca="false">IF(N(E31)&gt;0,1,0)</f>
        <v>0</v>
      </c>
      <c r="R19" s="0" t="n">
        <v>2</v>
      </c>
      <c r="S19" s="0" t="n">
        <v>2</v>
      </c>
      <c r="U19" s="19" t="n">
        <f aca="false">IF(M19=1,SUM(E21:E27),0)</f>
        <v>0</v>
      </c>
      <c r="V19" s="19" t="n">
        <f aca="false">SUM(H21:H27)</f>
        <v>0</v>
      </c>
    </row>
    <row r="20" customFormat="false" ht="39.75" hidden="false" customHeight="true" outlineLevel="0" collapsed="false">
      <c r="A20" s="21" t="s">
        <v>18</v>
      </c>
      <c r="B20" s="21" t="s">
        <v>19</v>
      </c>
      <c r="C20" s="21" t="s">
        <v>20</v>
      </c>
      <c r="D20" s="21" t="s">
        <v>21</v>
      </c>
      <c r="E20" s="21" t="s">
        <v>22</v>
      </c>
      <c r="F20" s="21" t="s">
        <v>23</v>
      </c>
      <c r="G20" s="21" t="s">
        <v>24</v>
      </c>
      <c r="H20" s="21" t="s">
        <v>25</v>
      </c>
      <c r="I20" s="21" t="s">
        <v>26</v>
      </c>
      <c r="M20" s="19" t="n">
        <f aca="false">$M$19</f>
        <v>0</v>
      </c>
      <c r="Q20" s="19" t="n">
        <f aca="false">IF(N(E31)&gt;0,1,0)</f>
        <v>0</v>
      </c>
      <c r="S20" s="0" t="n">
        <v>2</v>
      </c>
    </row>
    <row r="21" customFormat="false" ht="15" hidden="false" customHeight="false" outlineLevel="0" collapsed="false">
      <c r="A21" s="22" t="n">
        <f aca="false">IF(2&lt;=NW,WEEK_ONE+7,"")</f>
        <v>46025</v>
      </c>
      <c r="B21" s="23" t="str">
        <f aca="false">IF(A21="","",CHOOSE(WEEKDAY(A21,1),"الأحد","الاثنين","الثلاثاء","الأربعاء","الخميس","الجمعة","السبت"))</f>
        <v>السبت</v>
      </c>
      <c r="C21" s="24"/>
      <c r="D21" s="24"/>
      <c r="E21" s="25" t="str">
        <f aca="false">IF(OR(M21=0,K21="",L21=""),"",MOD(L21-K21,1))</f>
        <v/>
      </c>
      <c r="F21" s="25" t="str">
        <f aca="false">IF(OR(E21="",M21=0),"",IF(WEEKDAY(A21,1)=6,E21,MIN(E21,MAX(0,MIN(IF(L21&lt;K21,L21+1,L21),OMR_OT_AT)-K21))))</f>
        <v/>
      </c>
      <c r="G21" s="25" t="str">
        <f aca="false">IF(OR(E21="",M21=0),"",MAX(0,E21-F21))</f>
        <v/>
      </c>
      <c r="H21" s="26" t="str">
        <f aca="false">IF(OR(E21="",M21=0),"",ROUND((F21*$N$19+G21*$O$19)*24,3))</f>
        <v/>
      </c>
      <c r="I21" s="27"/>
      <c r="K21" s="28" t="str">
        <f aca="false">IF(OR(M21=0,C21=""),"",IF(ISNUMBER(C21),MOD(C21,1),IFERROR(INDEX(القوائم!$B$1:$B$288,MATCH(TRIM(C21),القوائم!$A$1:$A$288,0)),IFERROR(MOD(TIMEVALUE(C21),1),""))))</f>
        <v/>
      </c>
      <c r="L21" s="28" t="str">
        <f aca="false">IF(OR(M21=0,D21=""),"",IF(ISNUMBER(D21),MOD(D21,1),IFERROR(INDEX(القوائم!$B$1:$B$288,MATCH(TRIM(D21),القوائم!$A$1:$A$288,0)),IFERROR(MOD(TIMEVALUE(D21),1),""))))</f>
        <v/>
      </c>
      <c r="M21" s="19" t="n">
        <f aca="false">$M$19</f>
        <v>0</v>
      </c>
      <c r="Q21" s="19" t="n">
        <f aca="false">IF(N(E31)&gt;0,1,0)</f>
        <v>0</v>
      </c>
      <c r="S21" s="0" t="n">
        <v>2</v>
      </c>
    </row>
    <row r="22" customFormat="false" ht="15" hidden="false" customHeight="false" outlineLevel="0" collapsed="false">
      <c r="A22" s="22" t="n">
        <f aca="false">IF(2&lt;=NW,WEEK_ONE+8,"")</f>
        <v>46026</v>
      </c>
      <c r="B22" s="23" t="str">
        <f aca="false">IF(A22="","",CHOOSE(WEEKDAY(A22,1),"الأحد","الاثنين","الثلاثاء","الأربعاء","الخميس","الجمعة","السبت"))</f>
        <v>الأحد</v>
      </c>
      <c r="C22" s="24"/>
      <c r="D22" s="24"/>
      <c r="E22" s="25" t="str">
        <f aca="false">IF(OR(M22=0,K22="",L22=""),"",MOD(L22-K22,1))</f>
        <v/>
      </c>
      <c r="F22" s="25" t="str">
        <f aca="false">IF(OR(E22="",M22=0),"",IF(WEEKDAY(A22,1)=6,E22,MIN(E22,MAX(0,MIN(IF(L22&lt;K22,L22+1,L22),OMR_OT_AT)-K22))))</f>
        <v/>
      </c>
      <c r="G22" s="25" t="str">
        <f aca="false">IF(OR(E22="",M22=0),"",MAX(0,E22-F22))</f>
        <v/>
      </c>
      <c r="H22" s="26" t="str">
        <f aca="false">IF(OR(E22="",M22=0),"",ROUND((F22*$N$19+G22*$O$19)*24,3))</f>
        <v/>
      </c>
      <c r="I22" s="27"/>
      <c r="K22" s="28" t="str">
        <f aca="false">IF(OR(M22=0,C22=""),"",IF(ISNUMBER(C22),MOD(C22,1),IFERROR(INDEX(القوائم!$B$1:$B$288,MATCH(TRIM(C22),القوائم!$A$1:$A$288,0)),IFERROR(MOD(TIMEVALUE(C22),1),""))))</f>
        <v/>
      </c>
      <c r="L22" s="28" t="str">
        <f aca="false">IF(OR(M22=0,D22=""),"",IF(ISNUMBER(D22),MOD(D22,1),IFERROR(INDEX(القوائم!$B$1:$B$288,MATCH(TRIM(D22),القوائم!$A$1:$A$288,0)),IFERROR(MOD(TIMEVALUE(D22),1),""))))</f>
        <v/>
      </c>
      <c r="M22" s="19" t="n">
        <f aca="false">$M$19</f>
        <v>0</v>
      </c>
      <c r="Q22" s="19" t="n">
        <f aca="false">IF(N(E31)&gt;0,1,0)</f>
        <v>0</v>
      </c>
      <c r="S22" s="0" t="n">
        <v>2</v>
      </c>
    </row>
    <row r="23" customFormat="false" ht="15" hidden="false" customHeight="false" outlineLevel="0" collapsed="false">
      <c r="A23" s="22" t="n">
        <f aca="false">IF(2&lt;=NW,WEEK_ONE+9,"")</f>
        <v>46027</v>
      </c>
      <c r="B23" s="23" t="str">
        <f aca="false">IF(A23="","",CHOOSE(WEEKDAY(A23,1),"الأحد","الاثنين","الثلاثاء","الأربعاء","الخميس","الجمعة","السبت"))</f>
        <v>الاثنين</v>
      </c>
      <c r="C23" s="24"/>
      <c r="D23" s="24"/>
      <c r="E23" s="25" t="str">
        <f aca="false">IF(OR(M23=0,K23="",L23=""),"",MOD(L23-K23,1))</f>
        <v/>
      </c>
      <c r="F23" s="25" t="str">
        <f aca="false">IF(OR(E23="",M23=0),"",IF(WEEKDAY(A23,1)=6,E23,MIN(E23,MAX(0,MIN(IF(L23&lt;K23,L23+1,L23),OMR_OT_AT)-K23))))</f>
        <v/>
      </c>
      <c r="G23" s="25" t="str">
        <f aca="false">IF(OR(E23="",M23=0),"",MAX(0,E23-F23))</f>
        <v/>
      </c>
      <c r="H23" s="26" t="str">
        <f aca="false">IF(OR(E23="",M23=0),"",ROUND((F23*$N$19+G23*$O$19)*24,3))</f>
        <v/>
      </c>
      <c r="I23" s="27"/>
      <c r="K23" s="28" t="str">
        <f aca="false">IF(OR(M23=0,C23=""),"",IF(ISNUMBER(C23),MOD(C23,1),IFERROR(INDEX(القوائم!$B$1:$B$288,MATCH(TRIM(C23),القوائم!$A$1:$A$288,0)),IFERROR(MOD(TIMEVALUE(C23),1),""))))</f>
        <v/>
      </c>
      <c r="L23" s="28" t="str">
        <f aca="false">IF(OR(M23=0,D23=""),"",IF(ISNUMBER(D23),MOD(D23,1),IFERROR(INDEX(القوائم!$B$1:$B$288,MATCH(TRIM(D23),القوائم!$A$1:$A$288,0)),IFERROR(MOD(TIMEVALUE(D23),1),""))))</f>
        <v/>
      </c>
      <c r="M23" s="19" t="n">
        <f aca="false">$M$19</f>
        <v>0</v>
      </c>
      <c r="Q23" s="19" t="n">
        <f aca="false">IF(N(E31)&gt;0,1,0)</f>
        <v>0</v>
      </c>
      <c r="S23" s="0" t="n">
        <v>2</v>
      </c>
    </row>
    <row r="24" customFormat="false" ht="15" hidden="false" customHeight="false" outlineLevel="0" collapsed="false">
      <c r="A24" s="22" t="n">
        <f aca="false">IF(2&lt;=NW,WEEK_ONE+10,"")</f>
        <v>46028</v>
      </c>
      <c r="B24" s="23" t="str">
        <f aca="false">IF(A24="","",CHOOSE(WEEKDAY(A24,1),"الأحد","الاثنين","الثلاثاء","الأربعاء","الخميس","الجمعة","السبت"))</f>
        <v>الثلاثاء</v>
      </c>
      <c r="C24" s="24"/>
      <c r="D24" s="24"/>
      <c r="E24" s="25" t="str">
        <f aca="false">IF(OR(M24=0,K24="",L24=""),"",MOD(L24-K24,1))</f>
        <v/>
      </c>
      <c r="F24" s="25" t="str">
        <f aca="false">IF(OR(E24="",M24=0),"",IF(WEEKDAY(A24,1)=6,E24,MIN(E24,MAX(0,MIN(IF(L24&lt;K24,L24+1,L24),OMR_OT_AT)-K24))))</f>
        <v/>
      </c>
      <c r="G24" s="25" t="str">
        <f aca="false">IF(OR(E24="",M24=0),"",MAX(0,E24-F24))</f>
        <v/>
      </c>
      <c r="H24" s="26" t="str">
        <f aca="false">IF(OR(E24="",M24=0),"",ROUND((F24*$N$19+G24*$O$19)*24,3))</f>
        <v/>
      </c>
      <c r="I24" s="27"/>
      <c r="K24" s="28" t="str">
        <f aca="false">IF(OR(M24=0,C24=""),"",IF(ISNUMBER(C24),MOD(C24,1),IFERROR(INDEX(القوائم!$B$1:$B$288,MATCH(TRIM(C24),القوائم!$A$1:$A$288,0)),IFERROR(MOD(TIMEVALUE(C24),1),""))))</f>
        <v/>
      </c>
      <c r="L24" s="28" t="str">
        <f aca="false">IF(OR(M24=0,D24=""),"",IF(ISNUMBER(D24),MOD(D24,1),IFERROR(INDEX(القوائم!$B$1:$B$288,MATCH(TRIM(D24),القوائم!$A$1:$A$288,0)),IFERROR(MOD(TIMEVALUE(D24),1),""))))</f>
        <v/>
      </c>
      <c r="M24" s="19" t="n">
        <f aca="false">$M$19</f>
        <v>0</v>
      </c>
      <c r="Q24" s="19" t="n">
        <f aca="false">IF(N(E31)&gt;0,1,0)</f>
        <v>0</v>
      </c>
      <c r="S24" s="0" t="n">
        <v>2</v>
      </c>
    </row>
    <row r="25" customFormat="false" ht="15" hidden="false" customHeight="false" outlineLevel="0" collapsed="false">
      <c r="A25" s="22" t="n">
        <f aca="false">IF(2&lt;=NW,WEEK_ONE+11,"")</f>
        <v>46029</v>
      </c>
      <c r="B25" s="23" t="str">
        <f aca="false">IF(A25="","",CHOOSE(WEEKDAY(A25,1),"الأحد","الاثنين","الثلاثاء","الأربعاء","الخميس","الجمعة","السبت"))</f>
        <v>الأربعاء</v>
      </c>
      <c r="C25" s="24"/>
      <c r="D25" s="24"/>
      <c r="E25" s="25" t="str">
        <f aca="false">IF(OR(M25=0,K25="",L25=""),"",MOD(L25-K25,1))</f>
        <v/>
      </c>
      <c r="F25" s="25" t="str">
        <f aca="false">IF(OR(E25="",M25=0),"",IF(WEEKDAY(A25,1)=6,E25,MIN(E25,MAX(0,MIN(IF(L25&lt;K25,L25+1,L25),OMR_OT_AT)-K25))))</f>
        <v/>
      </c>
      <c r="G25" s="25" t="str">
        <f aca="false">IF(OR(E25="",M25=0),"",MAX(0,E25-F25))</f>
        <v/>
      </c>
      <c r="H25" s="26" t="str">
        <f aca="false">IF(OR(E25="",M25=0),"",ROUND((F25*$N$19+G25*$O$19)*24,3))</f>
        <v/>
      </c>
      <c r="I25" s="27"/>
      <c r="K25" s="28" t="str">
        <f aca="false">IF(OR(M25=0,C25=""),"",IF(ISNUMBER(C25),MOD(C25,1),IFERROR(INDEX(القوائم!$B$1:$B$288,MATCH(TRIM(C25),القوائم!$A$1:$A$288,0)),IFERROR(MOD(TIMEVALUE(C25),1),""))))</f>
        <v/>
      </c>
      <c r="L25" s="28" t="str">
        <f aca="false">IF(OR(M25=0,D25=""),"",IF(ISNUMBER(D25),MOD(D25,1),IFERROR(INDEX(القوائم!$B$1:$B$288,MATCH(TRIM(D25),القوائم!$A$1:$A$288,0)),IFERROR(MOD(TIMEVALUE(D25),1),""))))</f>
        <v/>
      </c>
      <c r="M25" s="19" t="n">
        <f aca="false">$M$19</f>
        <v>0</v>
      </c>
      <c r="Q25" s="19" t="n">
        <f aca="false">IF(N(E31)&gt;0,1,0)</f>
        <v>0</v>
      </c>
      <c r="S25" s="0" t="n">
        <v>2</v>
      </c>
    </row>
    <row r="26" customFormat="false" ht="15" hidden="false" customHeight="false" outlineLevel="0" collapsed="false">
      <c r="A26" s="22" t="n">
        <f aca="false">IF(2&lt;=NW,WEEK_ONE+12,"")</f>
        <v>46030</v>
      </c>
      <c r="B26" s="23" t="str">
        <f aca="false">IF(A26="","",CHOOSE(WEEKDAY(A26,1),"الأحد","الاثنين","الثلاثاء","الأربعاء","الخميس","الجمعة","السبت"))</f>
        <v>الخميس</v>
      </c>
      <c r="C26" s="24"/>
      <c r="D26" s="24"/>
      <c r="E26" s="25" t="str">
        <f aca="false">IF(OR(M26=0,K26="",L26=""),"",MOD(L26-K26,1))</f>
        <v/>
      </c>
      <c r="F26" s="25" t="str">
        <f aca="false">IF(OR(E26="",M26=0),"",IF(WEEKDAY(A26,1)=6,E26,MIN(E26,MAX(0,MIN(IF(L26&lt;K26,L26+1,L26),OMR_OT_AT)-K26))))</f>
        <v/>
      </c>
      <c r="G26" s="25" t="str">
        <f aca="false">IF(OR(E26="",M26=0),"",MAX(0,E26-F26))</f>
        <v/>
      </c>
      <c r="H26" s="26" t="str">
        <f aca="false">IF(OR(E26="",M26=0),"",ROUND((F26*$N$19+G26*$O$19)*24,3))</f>
        <v/>
      </c>
      <c r="I26" s="27"/>
      <c r="K26" s="28" t="str">
        <f aca="false">IF(OR(M26=0,C26=""),"",IF(ISNUMBER(C26),MOD(C26,1),IFERROR(INDEX(القوائم!$B$1:$B$288,MATCH(TRIM(C26),القوائم!$A$1:$A$288,0)),IFERROR(MOD(TIMEVALUE(C26),1),""))))</f>
        <v/>
      </c>
      <c r="L26" s="28" t="str">
        <f aca="false">IF(OR(M26=0,D26=""),"",IF(ISNUMBER(D26),MOD(D26,1),IFERROR(INDEX(القوائم!$B$1:$B$288,MATCH(TRIM(D26),القوائم!$A$1:$A$288,0)),IFERROR(MOD(TIMEVALUE(D26),1),""))))</f>
        <v/>
      </c>
      <c r="M26" s="19" t="n">
        <f aca="false">$M$19</f>
        <v>0</v>
      </c>
      <c r="Q26" s="19" t="n">
        <f aca="false">IF(N(E31)&gt;0,1,0)</f>
        <v>0</v>
      </c>
      <c r="S26" s="0" t="n">
        <v>2</v>
      </c>
    </row>
    <row r="27" customFormat="false" ht="15" hidden="false" customHeight="false" outlineLevel="0" collapsed="false">
      <c r="A27" s="29" t="n">
        <f aca="false">IF(2&lt;=NW,WEEK_ONE+13,"")</f>
        <v>46031</v>
      </c>
      <c r="B27" s="30" t="str">
        <f aca="false">IF(A27="","",CHOOSE(WEEKDAY(A27,1),"الأحد","الاثنين","الثلاثاء","الأربعاء","الخميس","الجمعة","السبت"))</f>
        <v>الجمعة</v>
      </c>
      <c r="C27" s="24"/>
      <c r="D27" s="24"/>
      <c r="E27" s="25" t="str">
        <f aca="false">IF(OR(M27=0,K27="",L27=""),"",MOD(L27-K27,1))</f>
        <v/>
      </c>
      <c r="F27" s="25" t="str">
        <f aca="false">IF(OR(E27="",M27=0),"",IF(WEEKDAY(A27,1)=6,E27,MIN(E27,MAX(0,MIN(IF(L27&lt;K27,L27+1,L27),OMR_OT_AT)-K27))))</f>
        <v/>
      </c>
      <c r="G27" s="25" t="str">
        <f aca="false">IF(OR(E27="",M27=0),"",MAX(0,E27-F27))</f>
        <v/>
      </c>
      <c r="H27" s="26" t="str">
        <f aca="false">IF(OR(E27="",M27=0),"",ROUND((F27*$N$19+G27*$O$19)*24,3))</f>
        <v/>
      </c>
      <c r="I27" s="27"/>
      <c r="K27" s="28" t="str">
        <f aca="false">IF(OR(M27=0,C27=""),"",IF(ISNUMBER(C27),MOD(C27,1),IFERROR(INDEX(القوائم!$B$1:$B$288,MATCH(TRIM(C27),القوائم!$A$1:$A$288,0)),IFERROR(MOD(TIMEVALUE(C27),1),""))))</f>
        <v/>
      </c>
      <c r="L27" s="28" t="str">
        <f aca="false">IF(OR(M27=0,D27=""),"",IF(ISNUMBER(D27),MOD(D27,1),IFERROR(INDEX(القوائم!$B$1:$B$288,MATCH(TRIM(D27),القوائم!$A$1:$A$288,0)),IFERROR(MOD(TIMEVALUE(D27),1),""))))</f>
        <v/>
      </c>
      <c r="M27" s="19" t="n">
        <f aca="false">$M$19</f>
        <v>0</v>
      </c>
      <c r="Q27" s="19" t="n">
        <f aca="false">IF(N(E31)&gt;0,1,0)</f>
        <v>0</v>
      </c>
      <c r="S27" s="0" t="n">
        <v>2</v>
      </c>
    </row>
    <row r="28" customFormat="false" ht="15" hidden="false" customHeight="false" outlineLevel="0" collapsed="false">
      <c r="A28" s="31" t="str">
        <f aca="false">IF(M19=1,"ساعات تحميل الجبسمبورد بهالأسبوع ←","")</f>
        <v/>
      </c>
      <c r="B28" s="31"/>
      <c r="C28" s="31"/>
      <c r="D28" s="31"/>
      <c r="E28" s="32"/>
      <c r="F28" s="33" t="str">
        <f aca="false">IF(M19=1,"كل ساعة تحميل = "&amp;TEXT($P$19,"0.000")&amp;" دينار (منها "&amp;TEXT($N$19,"0.000")&amp;" محسوبة أصلاً بساعات اليوم)","")</f>
        <v/>
      </c>
      <c r="G28" s="33"/>
      <c r="H28" s="33"/>
      <c r="I28" s="33"/>
      <c r="M28" s="19" t="n">
        <f aca="false">$M$19</f>
        <v>0</v>
      </c>
      <c r="Q28" s="19" t="n">
        <f aca="false">IF(N(E31)&gt;0,1,0)</f>
        <v>0</v>
      </c>
      <c r="S28" s="0" t="n">
        <v>2</v>
      </c>
    </row>
    <row r="29" customFormat="false" ht="15" hidden="false" customHeight="false" outlineLevel="0" collapsed="false">
      <c r="A29" s="31" t="str">
        <f aca="false">IF(M19=1,"إكرامية الأسبوع (دينار) ←","")</f>
        <v/>
      </c>
      <c r="B29" s="31"/>
      <c r="C29" s="31"/>
      <c r="D29" s="31"/>
      <c r="E29" s="34"/>
      <c r="F29" s="35"/>
      <c r="G29" s="35"/>
      <c r="H29" s="35"/>
      <c r="I29" s="35"/>
      <c r="M29" s="19" t="n">
        <f aca="false">$M$19</f>
        <v>0</v>
      </c>
      <c r="Q29" s="19" t="n">
        <f aca="false">IF(N(E31)&gt;0,1,0)</f>
        <v>0</v>
      </c>
      <c r="S29" s="0" t="n">
        <v>2</v>
      </c>
    </row>
    <row r="30" customFormat="false" ht="36" hidden="false" customHeight="true" outlineLevel="0" collapsed="false">
      <c r="A30" s="36" t="str">
        <f aca="false">IF(M19=1,"المستحق النهائي للأسبوع","")</f>
        <v/>
      </c>
      <c r="B30" s="36"/>
      <c r="C30" s="36"/>
      <c r="D30" s="36"/>
      <c r="E30" s="36"/>
      <c r="F30" s="36"/>
      <c r="G30" s="36"/>
      <c r="H30" s="11" t="str">
        <f aca="false">IF(M19=1,ROUND(N($V$19)+N(E28)*($P$19-$N$19)+N(E29),3),"")</f>
        <v/>
      </c>
      <c r="I30" s="37"/>
      <c r="M30" s="19" t="n">
        <f aca="false">$M$19</f>
        <v>0</v>
      </c>
      <c r="Q30" s="19" t="n">
        <f aca="false">IF(N(E31)&gt;0,1,0)</f>
        <v>0</v>
      </c>
      <c r="S30" s="0" t="n">
        <v>2</v>
      </c>
      <c r="T30" s="0" t="n">
        <v>1</v>
      </c>
    </row>
    <row r="31" customFormat="false" ht="25.5" hidden="false" customHeight="true" outlineLevel="0" collapsed="false">
      <c r="A31" s="31" t="str">
        <f aca="false">IF(M19=1,"المدفوع (دينار) ←","")</f>
        <v/>
      </c>
      <c r="B31" s="31"/>
      <c r="C31" s="31"/>
      <c r="D31" s="31"/>
      <c r="E31" s="34"/>
      <c r="F31" s="38" t="str">
        <f aca="false">IF(M19=1,IF(N(E31)&gt;0,"✔ انقبض — الأسبوع مقفول","⏳ لسا ما انقبض"),"")</f>
        <v/>
      </c>
      <c r="G31" s="38"/>
      <c r="H31" s="38"/>
      <c r="I31" s="38"/>
      <c r="M31" s="19" t="n">
        <f aca="false">$M$19</f>
        <v>0</v>
      </c>
      <c r="Q31" s="19" t="n">
        <f aca="false">IF(N(E31)&gt;0,1,0)</f>
        <v>0</v>
      </c>
      <c r="S31" s="0" t="n">
        <v>2</v>
      </c>
    </row>
    <row r="32" customFormat="false" ht="9.75" hidden="false" customHeight="true" outlineLevel="0" collapsed="false">
      <c r="M32" s="19" t="n">
        <f aca="false">$M$19</f>
        <v>0</v>
      </c>
      <c r="Q32" s="19" t="n">
        <f aca="false">IF(N(E31)&gt;0,1,0)</f>
        <v>0</v>
      </c>
      <c r="S32" s="0" t="n">
        <v>2</v>
      </c>
      <c r="T32" s="0" t="n">
        <v>2</v>
      </c>
    </row>
    <row r="33" customFormat="false" ht="33.75" hidden="false" customHeight="true" outlineLevel="0" collapsed="false">
      <c r="A33" s="17" t="str">
        <f aca="false">IF(3&lt;=NW,TEXT(DAY(WEEK_ONE+14),"00")&amp;"/"&amp;TEXT(MONTH(WEEK_ONE+14),"00")&amp;"/"&amp;YEAR(WEEK_ONE+14)&amp;"  -  "&amp;TEXT(DAY(WEEK_ONE+20),"00")&amp;"/"&amp;TEXT(MONTH(WEEK_ONE+20),"00")&amp;"/"&amp;YEAR(WEEK_ONE+20)&amp;"   ·   الأسبوع 3"&amp;IF(3&lt;START_O,"   (قبل أسبوع البداية — ما بينحسب)",""),"ما في أسبوع 3 هالسنة")</f>
        <v>10/01/2026  -  16/01/2026   ·   الأسبوع 3   (قبل أسبوع البداية — ما بينحسب)</v>
      </c>
      <c r="B33" s="17"/>
      <c r="C33" s="17"/>
      <c r="D33" s="17"/>
      <c r="E33" s="17"/>
      <c r="F33" s="17"/>
      <c r="G33" s="17"/>
      <c r="H33" s="17"/>
      <c r="I33" s="17"/>
      <c r="L33" s="18" t="n">
        <f aca="false">IF(3&lt;=NW,WEEK_ONE+20,"")</f>
        <v>46038</v>
      </c>
      <c r="M33" s="19" t="n">
        <f aca="false">IF(AND(3&lt;=NW,3&gt;=START_O),1,0)</f>
        <v>0</v>
      </c>
      <c r="N33" s="20" t="n">
        <f aca="false">IFERROR(INDEX(RT_OMR,MATCH(L33,RT_K,1)),INDEX(RT_OMR,1))</f>
        <v>1.25</v>
      </c>
      <c r="O33" s="20" t="n">
        <f aca="false">IFERROR(INDEX(RT_OT,MATCH(L33,RT_K,1)),INDEX(RT_OT,1))</f>
        <v>1.5</v>
      </c>
      <c r="P33" s="20" t="n">
        <f aca="false">IFERROR(INDEX(RT_GYP,MATCH(L33,RT_K,1)),INDEX(RT_GYP,1))</f>
        <v>2.5</v>
      </c>
      <c r="Q33" s="19" t="n">
        <f aca="false">IF(N(E45)&gt;0,1,0)</f>
        <v>0</v>
      </c>
      <c r="R33" s="0" t="n">
        <v>3</v>
      </c>
      <c r="S33" s="0" t="n">
        <v>3</v>
      </c>
      <c r="U33" s="19" t="n">
        <f aca="false">IF(M33=1,SUM(E35:E41),0)</f>
        <v>0</v>
      </c>
      <c r="V33" s="19" t="n">
        <f aca="false">SUM(H35:H41)</f>
        <v>0</v>
      </c>
    </row>
    <row r="34" customFormat="false" ht="39.75" hidden="false" customHeight="true" outlineLevel="0" collapsed="false">
      <c r="A34" s="21" t="s">
        <v>18</v>
      </c>
      <c r="B34" s="21" t="s">
        <v>19</v>
      </c>
      <c r="C34" s="21" t="s">
        <v>20</v>
      </c>
      <c r="D34" s="21" t="s">
        <v>21</v>
      </c>
      <c r="E34" s="21" t="s">
        <v>22</v>
      </c>
      <c r="F34" s="21" t="s">
        <v>23</v>
      </c>
      <c r="G34" s="21" t="s">
        <v>24</v>
      </c>
      <c r="H34" s="21" t="s">
        <v>25</v>
      </c>
      <c r="I34" s="21" t="s">
        <v>26</v>
      </c>
      <c r="M34" s="19" t="n">
        <f aca="false">$M$33</f>
        <v>0</v>
      </c>
      <c r="Q34" s="19" t="n">
        <f aca="false">IF(N(E45)&gt;0,1,0)</f>
        <v>0</v>
      </c>
      <c r="S34" s="0" t="n">
        <v>3</v>
      </c>
    </row>
    <row r="35" customFormat="false" ht="15" hidden="false" customHeight="false" outlineLevel="0" collapsed="false">
      <c r="A35" s="22" t="n">
        <f aca="false">IF(3&lt;=NW,WEEK_ONE+14,"")</f>
        <v>46032</v>
      </c>
      <c r="B35" s="23" t="str">
        <f aca="false">IF(A35="","",CHOOSE(WEEKDAY(A35,1),"الأحد","الاثنين","الثلاثاء","الأربعاء","الخميس","الجمعة","السبت"))</f>
        <v>السبت</v>
      </c>
      <c r="C35" s="24"/>
      <c r="D35" s="24"/>
      <c r="E35" s="25" t="str">
        <f aca="false">IF(OR(M35=0,K35="",L35=""),"",MOD(L35-K35,1))</f>
        <v/>
      </c>
      <c r="F35" s="25" t="str">
        <f aca="false">IF(OR(E35="",M35=0),"",IF(WEEKDAY(A35,1)=6,E35,MIN(E35,MAX(0,MIN(IF(L35&lt;K35,L35+1,L35),OMR_OT_AT)-K35))))</f>
        <v/>
      </c>
      <c r="G35" s="25" t="str">
        <f aca="false">IF(OR(E35="",M35=0),"",MAX(0,E35-F35))</f>
        <v/>
      </c>
      <c r="H35" s="26" t="str">
        <f aca="false">IF(OR(E35="",M35=0),"",ROUND((F35*$N$33+G35*$O$33)*24,3))</f>
        <v/>
      </c>
      <c r="I35" s="27"/>
      <c r="K35" s="28" t="str">
        <f aca="false">IF(OR(M35=0,C35=""),"",IF(ISNUMBER(C35),MOD(C35,1),IFERROR(INDEX(القوائم!$B$1:$B$288,MATCH(TRIM(C35),القوائم!$A$1:$A$288,0)),IFERROR(MOD(TIMEVALUE(C35),1),""))))</f>
        <v/>
      </c>
      <c r="L35" s="28" t="str">
        <f aca="false">IF(OR(M35=0,D35=""),"",IF(ISNUMBER(D35),MOD(D35,1),IFERROR(INDEX(القوائم!$B$1:$B$288,MATCH(TRIM(D35),القوائم!$A$1:$A$288,0)),IFERROR(MOD(TIMEVALUE(D35),1),""))))</f>
        <v/>
      </c>
      <c r="M35" s="19" t="n">
        <f aca="false">$M$33</f>
        <v>0</v>
      </c>
      <c r="Q35" s="19" t="n">
        <f aca="false">IF(N(E45)&gt;0,1,0)</f>
        <v>0</v>
      </c>
      <c r="S35" s="0" t="n">
        <v>3</v>
      </c>
    </row>
    <row r="36" customFormat="false" ht="15" hidden="false" customHeight="false" outlineLevel="0" collapsed="false">
      <c r="A36" s="22" t="n">
        <f aca="false">IF(3&lt;=NW,WEEK_ONE+15,"")</f>
        <v>46033</v>
      </c>
      <c r="B36" s="23" t="str">
        <f aca="false">IF(A36="","",CHOOSE(WEEKDAY(A36,1),"الأحد","الاثنين","الثلاثاء","الأربعاء","الخميس","الجمعة","السبت"))</f>
        <v>الأحد</v>
      </c>
      <c r="C36" s="24"/>
      <c r="D36" s="24"/>
      <c r="E36" s="25" t="str">
        <f aca="false">IF(OR(M36=0,K36="",L36=""),"",MOD(L36-K36,1))</f>
        <v/>
      </c>
      <c r="F36" s="25" t="str">
        <f aca="false">IF(OR(E36="",M36=0),"",IF(WEEKDAY(A36,1)=6,E36,MIN(E36,MAX(0,MIN(IF(L36&lt;K36,L36+1,L36),OMR_OT_AT)-K36))))</f>
        <v/>
      </c>
      <c r="G36" s="25" t="str">
        <f aca="false">IF(OR(E36="",M36=0),"",MAX(0,E36-F36))</f>
        <v/>
      </c>
      <c r="H36" s="26" t="str">
        <f aca="false">IF(OR(E36="",M36=0),"",ROUND((F36*$N$33+G36*$O$33)*24,3))</f>
        <v/>
      </c>
      <c r="I36" s="27"/>
      <c r="K36" s="28" t="str">
        <f aca="false">IF(OR(M36=0,C36=""),"",IF(ISNUMBER(C36),MOD(C36,1),IFERROR(INDEX(القوائم!$B$1:$B$288,MATCH(TRIM(C36),القوائم!$A$1:$A$288,0)),IFERROR(MOD(TIMEVALUE(C36),1),""))))</f>
        <v/>
      </c>
      <c r="L36" s="28" t="str">
        <f aca="false">IF(OR(M36=0,D36=""),"",IF(ISNUMBER(D36),MOD(D36,1),IFERROR(INDEX(القوائم!$B$1:$B$288,MATCH(TRIM(D36),القوائم!$A$1:$A$288,0)),IFERROR(MOD(TIMEVALUE(D36),1),""))))</f>
        <v/>
      </c>
      <c r="M36" s="19" t="n">
        <f aca="false">$M$33</f>
        <v>0</v>
      </c>
      <c r="Q36" s="19" t="n">
        <f aca="false">IF(N(E45)&gt;0,1,0)</f>
        <v>0</v>
      </c>
      <c r="S36" s="0" t="n">
        <v>3</v>
      </c>
    </row>
    <row r="37" customFormat="false" ht="15" hidden="false" customHeight="false" outlineLevel="0" collapsed="false">
      <c r="A37" s="22" t="n">
        <f aca="false">IF(3&lt;=NW,WEEK_ONE+16,"")</f>
        <v>46034</v>
      </c>
      <c r="B37" s="23" t="str">
        <f aca="false">IF(A37="","",CHOOSE(WEEKDAY(A37,1),"الأحد","الاثنين","الثلاثاء","الأربعاء","الخميس","الجمعة","السبت"))</f>
        <v>الاثنين</v>
      </c>
      <c r="C37" s="24"/>
      <c r="D37" s="24"/>
      <c r="E37" s="25" t="str">
        <f aca="false">IF(OR(M37=0,K37="",L37=""),"",MOD(L37-K37,1))</f>
        <v/>
      </c>
      <c r="F37" s="25" t="str">
        <f aca="false">IF(OR(E37="",M37=0),"",IF(WEEKDAY(A37,1)=6,E37,MIN(E37,MAX(0,MIN(IF(L37&lt;K37,L37+1,L37),OMR_OT_AT)-K37))))</f>
        <v/>
      </c>
      <c r="G37" s="25" t="str">
        <f aca="false">IF(OR(E37="",M37=0),"",MAX(0,E37-F37))</f>
        <v/>
      </c>
      <c r="H37" s="26" t="str">
        <f aca="false">IF(OR(E37="",M37=0),"",ROUND((F37*$N$33+G37*$O$33)*24,3))</f>
        <v/>
      </c>
      <c r="I37" s="27"/>
      <c r="K37" s="28" t="str">
        <f aca="false">IF(OR(M37=0,C37=""),"",IF(ISNUMBER(C37),MOD(C37,1),IFERROR(INDEX(القوائم!$B$1:$B$288,MATCH(TRIM(C37),القوائم!$A$1:$A$288,0)),IFERROR(MOD(TIMEVALUE(C37),1),""))))</f>
        <v/>
      </c>
      <c r="L37" s="28" t="str">
        <f aca="false">IF(OR(M37=0,D37=""),"",IF(ISNUMBER(D37),MOD(D37,1),IFERROR(INDEX(القوائم!$B$1:$B$288,MATCH(TRIM(D37),القوائم!$A$1:$A$288,0)),IFERROR(MOD(TIMEVALUE(D37),1),""))))</f>
        <v/>
      </c>
      <c r="M37" s="19" t="n">
        <f aca="false">$M$33</f>
        <v>0</v>
      </c>
      <c r="Q37" s="19" t="n">
        <f aca="false">IF(N(E45)&gt;0,1,0)</f>
        <v>0</v>
      </c>
      <c r="S37" s="0" t="n">
        <v>3</v>
      </c>
    </row>
    <row r="38" customFormat="false" ht="15" hidden="false" customHeight="false" outlineLevel="0" collapsed="false">
      <c r="A38" s="22" t="n">
        <f aca="false">IF(3&lt;=NW,WEEK_ONE+17,"")</f>
        <v>46035</v>
      </c>
      <c r="B38" s="23" t="str">
        <f aca="false">IF(A38="","",CHOOSE(WEEKDAY(A38,1),"الأحد","الاثنين","الثلاثاء","الأربعاء","الخميس","الجمعة","السبت"))</f>
        <v>الثلاثاء</v>
      </c>
      <c r="C38" s="24"/>
      <c r="D38" s="24"/>
      <c r="E38" s="25" t="str">
        <f aca="false">IF(OR(M38=0,K38="",L38=""),"",MOD(L38-K38,1))</f>
        <v/>
      </c>
      <c r="F38" s="25" t="str">
        <f aca="false">IF(OR(E38="",M38=0),"",IF(WEEKDAY(A38,1)=6,E38,MIN(E38,MAX(0,MIN(IF(L38&lt;K38,L38+1,L38),OMR_OT_AT)-K38))))</f>
        <v/>
      </c>
      <c r="G38" s="25" t="str">
        <f aca="false">IF(OR(E38="",M38=0),"",MAX(0,E38-F38))</f>
        <v/>
      </c>
      <c r="H38" s="26" t="str">
        <f aca="false">IF(OR(E38="",M38=0),"",ROUND((F38*$N$33+G38*$O$33)*24,3))</f>
        <v/>
      </c>
      <c r="I38" s="27"/>
      <c r="K38" s="28" t="str">
        <f aca="false">IF(OR(M38=0,C38=""),"",IF(ISNUMBER(C38),MOD(C38,1),IFERROR(INDEX(القوائم!$B$1:$B$288,MATCH(TRIM(C38),القوائم!$A$1:$A$288,0)),IFERROR(MOD(TIMEVALUE(C38),1),""))))</f>
        <v/>
      </c>
      <c r="L38" s="28" t="str">
        <f aca="false">IF(OR(M38=0,D38=""),"",IF(ISNUMBER(D38),MOD(D38,1),IFERROR(INDEX(القوائم!$B$1:$B$288,MATCH(TRIM(D38),القوائم!$A$1:$A$288,0)),IFERROR(MOD(TIMEVALUE(D38),1),""))))</f>
        <v/>
      </c>
      <c r="M38" s="19" t="n">
        <f aca="false">$M$33</f>
        <v>0</v>
      </c>
      <c r="Q38" s="19" t="n">
        <f aca="false">IF(N(E45)&gt;0,1,0)</f>
        <v>0</v>
      </c>
      <c r="S38" s="0" t="n">
        <v>3</v>
      </c>
    </row>
    <row r="39" customFormat="false" ht="15" hidden="false" customHeight="false" outlineLevel="0" collapsed="false">
      <c r="A39" s="22" t="n">
        <f aca="false">IF(3&lt;=NW,WEEK_ONE+18,"")</f>
        <v>46036</v>
      </c>
      <c r="B39" s="23" t="str">
        <f aca="false">IF(A39="","",CHOOSE(WEEKDAY(A39,1),"الأحد","الاثنين","الثلاثاء","الأربعاء","الخميس","الجمعة","السبت"))</f>
        <v>الأربعاء</v>
      </c>
      <c r="C39" s="24"/>
      <c r="D39" s="24"/>
      <c r="E39" s="25" t="str">
        <f aca="false">IF(OR(M39=0,K39="",L39=""),"",MOD(L39-K39,1))</f>
        <v/>
      </c>
      <c r="F39" s="25" t="str">
        <f aca="false">IF(OR(E39="",M39=0),"",IF(WEEKDAY(A39,1)=6,E39,MIN(E39,MAX(0,MIN(IF(L39&lt;K39,L39+1,L39),OMR_OT_AT)-K39))))</f>
        <v/>
      </c>
      <c r="G39" s="25" t="str">
        <f aca="false">IF(OR(E39="",M39=0),"",MAX(0,E39-F39))</f>
        <v/>
      </c>
      <c r="H39" s="26" t="str">
        <f aca="false">IF(OR(E39="",M39=0),"",ROUND((F39*$N$33+G39*$O$33)*24,3))</f>
        <v/>
      </c>
      <c r="I39" s="27"/>
      <c r="K39" s="28" t="str">
        <f aca="false">IF(OR(M39=0,C39=""),"",IF(ISNUMBER(C39),MOD(C39,1),IFERROR(INDEX(القوائم!$B$1:$B$288,MATCH(TRIM(C39),القوائم!$A$1:$A$288,0)),IFERROR(MOD(TIMEVALUE(C39),1),""))))</f>
        <v/>
      </c>
      <c r="L39" s="28" t="str">
        <f aca="false">IF(OR(M39=0,D39=""),"",IF(ISNUMBER(D39),MOD(D39,1),IFERROR(INDEX(القوائم!$B$1:$B$288,MATCH(TRIM(D39),القوائم!$A$1:$A$288,0)),IFERROR(MOD(TIMEVALUE(D39),1),""))))</f>
        <v/>
      </c>
      <c r="M39" s="19" t="n">
        <f aca="false">$M$33</f>
        <v>0</v>
      </c>
      <c r="Q39" s="19" t="n">
        <f aca="false">IF(N(E45)&gt;0,1,0)</f>
        <v>0</v>
      </c>
      <c r="S39" s="0" t="n">
        <v>3</v>
      </c>
    </row>
    <row r="40" customFormat="false" ht="15" hidden="false" customHeight="false" outlineLevel="0" collapsed="false">
      <c r="A40" s="22" t="n">
        <f aca="false">IF(3&lt;=NW,WEEK_ONE+19,"")</f>
        <v>46037</v>
      </c>
      <c r="B40" s="23" t="str">
        <f aca="false">IF(A40="","",CHOOSE(WEEKDAY(A40,1),"الأحد","الاثنين","الثلاثاء","الأربعاء","الخميس","الجمعة","السبت"))</f>
        <v>الخميس</v>
      </c>
      <c r="C40" s="24"/>
      <c r="D40" s="24"/>
      <c r="E40" s="25" t="str">
        <f aca="false">IF(OR(M40=0,K40="",L40=""),"",MOD(L40-K40,1))</f>
        <v/>
      </c>
      <c r="F40" s="25" t="str">
        <f aca="false">IF(OR(E40="",M40=0),"",IF(WEEKDAY(A40,1)=6,E40,MIN(E40,MAX(0,MIN(IF(L40&lt;K40,L40+1,L40),OMR_OT_AT)-K40))))</f>
        <v/>
      </c>
      <c r="G40" s="25" t="str">
        <f aca="false">IF(OR(E40="",M40=0),"",MAX(0,E40-F40))</f>
        <v/>
      </c>
      <c r="H40" s="26" t="str">
        <f aca="false">IF(OR(E40="",M40=0),"",ROUND((F40*$N$33+G40*$O$33)*24,3))</f>
        <v/>
      </c>
      <c r="I40" s="27"/>
      <c r="K40" s="28" t="str">
        <f aca="false">IF(OR(M40=0,C40=""),"",IF(ISNUMBER(C40),MOD(C40,1),IFERROR(INDEX(القوائم!$B$1:$B$288,MATCH(TRIM(C40),القوائم!$A$1:$A$288,0)),IFERROR(MOD(TIMEVALUE(C40),1),""))))</f>
        <v/>
      </c>
      <c r="L40" s="28" t="str">
        <f aca="false">IF(OR(M40=0,D40=""),"",IF(ISNUMBER(D40),MOD(D40,1),IFERROR(INDEX(القوائم!$B$1:$B$288,MATCH(TRIM(D40),القوائم!$A$1:$A$288,0)),IFERROR(MOD(TIMEVALUE(D40),1),""))))</f>
        <v/>
      </c>
      <c r="M40" s="19" t="n">
        <f aca="false">$M$33</f>
        <v>0</v>
      </c>
      <c r="Q40" s="19" t="n">
        <f aca="false">IF(N(E45)&gt;0,1,0)</f>
        <v>0</v>
      </c>
      <c r="S40" s="0" t="n">
        <v>3</v>
      </c>
    </row>
    <row r="41" customFormat="false" ht="15" hidden="false" customHeight="false" outlineLevel="0" collapsed="false">
      <c r="A41" s="29" t="n">
        <f aca="false">IF(3&lt;=NW,WEEK_ONE+20,"")</f>
        <v>46038</v>
      </c>
      <c r="B41" s="30" t="str">
        <f aca="false">IF(A41="","",CHOOSE(WEEKDAY(A41,1),"الأحد","الاثنين","الثلاثاء","الأربعاء","الخميس","الجمعة","السبت"))</f>
        <v>الجمعة</v>
      </c>
      <c r="C41" s="24"/>
      <c r="D41" s="24"/>
      <c r="E41" s="25" t="str">
        <f aca="false">IF(OR(M41=0,K41="",L41=""),"",MOD(L41-K41,1))</f>
        <v/>
      </c>
      <c r="F41" s="25" t="str">
        <f aca="false">IF(OR(E41="",M41=0),"",IF(WEEKDAY(A41,1)=6,E41,MIN(E41,MAX(0,MIN(IF(L41&lt;K41,L41+1,L41),OMR_OT_AT)-K41))))</f>
        <v/>
      </c>
      <c r="G41" s="25" t="str">
        <f aca="false">IF(OR(E41="",M41=0),"",MAX(0,E41-F41))</f>
        <v/>
      </c>
      <c r="H41" s="26" t="str">
        <f aca="false">IF(OR(E41="",M41=0),"",ROUND((F41*$N$33+G41*$O$33)*24,3))</f>
        <v/>
      </c>
      <c r="I41" s="27"/>
      <c r="K41" s="28" t="str">
        <f aca="false">IF(OR(M41=0,C41=""),"",IF(ISNUMBER(C41),MOD(C41,1),IFERROR(INDEX(القوائم!$B$1:$B$288,MATCH(TRIM(C41),القوائم!$A$1:$A$288,0)),IFERROR(MOD(TIMEVALUE(C41),1),""))))</f>
        <v/>
      </c>
      <c r="L41" s="28" t="str">
        <f aca="false">IF(OR(M41=0,D41=""),"",IF(ISNUMBER(D41),MOD(D41,1),IFERROR(INDEX(القوائم!$B$1:$B$288,MATCH(TRIM(D41),القوائم!$A$1:$A$288,0)),IFERROR(MOD(TIMEVALUE(D41),1),""))))</f>
        <v/>
      </c>
      <c r="M41" s="19" t="n">
        <f aca="false">$M$33</f>
        <v>0</v>
      </c>
      <c r="Q41" s="19" t="n">
        <f aca="false">IF(N(E45)&gt;0,1,0)</f>
        <v>0</v>
      </c>
      <c r="S41" s="0" t="n">
        <v>3</v>
      </c>
    </row>
    <row r="42" customFormat="false" ht="15" hidden="false" customHeight="false" outlineLevel="0" collapsed="false">
      <c r="A42" s="31" t="str">
        <f aca="false">IF(M33=1,"ساعات تحميل الجبسمبورد بهالأسبوع ←","")</f>
        <v/>
      </c>
      <c r="B42" s="31"/>
      <c r="C42" s="31"/>
      <c r="D42" s="31"/>
      <c r="E42" s="32"/>
      <c r="F42" s="33" t="str">
        <f aca="false">IF(M33=1,"كل ساعة تحميل = "&amp;TEXT($P$33,"0.000")&amp;" دينار (منها "&amp;TEXT($N$33,"0.000")&amp;" محسوبة أصلاً بساعات اليوم)","")</f>
        <v/>
      </c>
      <c r="G42" s="33"/>
      <c r="H42" s="33"/>
      <c r="I42" s="33"/>
      <c r="M42" s="19" t="n">
        <f aca="false">$M$33</f>
        <v>0</v>
      </c>
      <c r="Q42" s="19" t="n">
        <f aca="false">IF(N(E45)&gt;0,1,0)</f>
        <v>0</v>
      </c>
      <c r="S42" s="0" t="n">
        <v>3</v>
      </c>
    </row>
    <row r="43" customFormat="false" ht="15" hidden="false" customHeight="false" outlineLevel="0" collapsed="false">
      <c r="A43" s="31" t="str">
        <f aca="false">IF(M33=1,"إكرامية الأسبوع (دينار) ←","")</f>
        <v/>
      </c>
      <c r="B43" s="31"/>
      <c r="C43" s="31"/>
      <c r="D43" s="31"/>
      <c r="E43" s="34"/>
      <c r="F43" s="35"/>
      <c r="G43" s="35"/>
      <c r="H43" s="35"/>
      <c r="I43" s="35"/>
      <c r="M43" s="19" t="n">
        <f aca="false">$M$33</f>
        <v>0</v>
      </c>
      <c r="Q43" s="19" t="n">
        <f aca="false">IF(N(E45)&gt;0,1,0)</f>
        <v>0</v>
      </c>
      <c r="S43" s="0" t="n">
        <v>3</v>
      </c>
    </row>
    <row r="44" customFormat="false" ht="36" hidden="false" customHeight="true" outlineLevel="0" collapsed="false">
      <c r="A44" s="36" t="str">
        <f aca="false">IF(M33=1,"المستحق النهائي للأسبوع","")</f>
        <v/>
      </c>
      <c r="B44" s="36"/>
      <c r="C44" s="36"/>
      <c r="D44" s="36"/>
      <c r="E44" s="36"/>
      <c r="F44" s="36"/>
      <c r="G44" s="36"/>
      <c r="H44" s="11" t="str">
        <f aca="false">IF(M33=1,ROUND(N($V$33)+N(E42)*($P$33-$N$33)+N(E43),3),"")</f>
        <v/>
      </c>
      <c r="I44" s="37"/>
      <c r="M44" s="19" t="n">
        <f aca="false">$M$33</f>
        <v>0</v>
      </c>
      <c r="Q44" s="19" t="n">
        <f aca="false">IF(N(E45)&gt;0,1,0)</f>
        <v>0</v>
      </c>
      <c r="S44" s="0" t="n">
        <v>3</v>
      </c>
      <c r="T44" s="0" t="n">
        <v>1</v>
      </c>
    </row>
    <row r="45" customFormat="false" ht="25.5" hidden="false" customHeight="true" outlineLevel="0" collapsed="false">
      <c r="A45" s="31" t="str">
        <f aca="false">IF(M33=1,"المدفوع (دينار) ←","")</f>
        <v/>
      </c>
      <c r="B45" s="31"/>
      <c r="C45" s="31"/>
      <c r="D45" s="31"/>
      <c r="E45" s="34"/>
      <c r="F45" s="38" t="str">
        <f aca="false">IF(M33=1,IF(N(E45)&gt;0,"✔ انقبض — الأسبوع مقفول","⏳ لسا ما انقبض"),"")</f>
        <v/>
      </c>
      <c r="G45" s="38"/>
      <c r="H45" s="38"/>
      <c r="I45" s="38"/>
      <c r="M45" s="19" t="n">
        <f aca="false">$M$33</f>
        <v>0</v>
      </c>
      <c r="Q45" s="19" t="n">
        <f aca="false">IF(N(E45)&gt;0,1,0)</f>
        <v>0</v>
      </c>
      <c r="S45" s="0" t="n">
        <v>3</v>
      </c>
    </row>
    <row r="46" customFormat="false" ht="9.75" hidden="false" customHeight="true" outlineLevel="0" collapsed="false">
      <c r="M46" s="19" t="n">
        <f aca="false">$M$33</f>
        <v>0</v>
      </c>
      <c r="Q46" s="19" t="n">
        <f aca="false">IF(N(E45)&gt;0,1,0)</f>
        <v>0</v>
      </c>
      <c r="S46" s="0" t="n">
        <v>3</v>
      </c>
      <c r="T46" s="0" t="n">
        <v>2</v>
      </c>
    </row>
    <row r="47" customFormat="false" ht="33.75" hidden="false" customHeight="true" outlineLevel="0" collapsed="false">
      <c r="A47" s="17" t="str">
        <f aca="false">IF(4&lt;=NW,TEXT(DAY(WEEK_ONE+21),"00")&amp;"/"&amp;TEXT(MONTH(WEEK_ONE+21),"00")&amp;"/"&amp;YEAR(WEEK_ONE+21)&amp;"  -  "&amp;TEXT(DAY(WEEK_ONE+27),"00")&amp;"/"&amp;TEXT(MONTH(WEEK_ONE+27),"00")&amp;"/"&amp;YEAR(WEEK_ONE+27)&amp;"   ·   الأسبوع 4"&amp;IF(4&lt;START_O,"   (قبل أسبوع البداية — ما بينحسب)",""),"ما في أسبوع 4 هالسنة")</f>
        <v>17/01/2026  -  23/01/2026   ·   الأسبوع 4   (قبل أسبوع البداية — ما بينحسب)</v>
      </c>
      <c r="B47" s="17"/>
      <c r="C47" s="17"/>
      <c r="D47" s="17"/>
      <c r="E47" s="17"/>
      <c r="F47" s="17"/>
      <c r="G47" s="17"/>
      <c r="H47" s="17"/>
      <c r="I47" s="17"/>
      <c r="L47" s="18" t="n">
        <f aca="false">IF(4&lt;=NW,WEEK_ONE+27,"")</f>
        <v>46045</v>
      </c>
      <c r="M47" s="19" t="n">
        <f aca="false">IF(AND(4&lt;=NW,4&gt;=START_O),1,0)</f>
        <v>0</v>
      </c>
      <c r="N47" s="20" t="n">
        <f aca="false">IFERROR(INDEX(RT_OMR,MATCH(L47,RT_K,1)),INDEX(RT_OMR,1))</f>
        <v>1.25</v>
      </c>
      <c r="O47" s="20" t="n">
        <f aca="false">IFERROR(INDEX(RT_OT,MATCH(L47,RT_K,1)),INDEX(RT_OT,1))</f>
        <v>1.5</v>
      </c>
      <c r="P47" s="20" t="n">
        <f aca="false">IFERROR(INDEX(RT_GYP,MATCH(L47,RT_K,1)),INDEX(RT_GYP,1))</f>
        <v>2.5</v>
      </c>
      <c r="Q47" s="19" t="n">
        <f aca="false">IF(N(E59)&gt;0,1,0)</f>
        <v>0</v>
      </c>
      <c r="R47" s="0" t="n">
        <v>4</v>
      </c>
      <c r="S47" s="0" t="n">
        <v>4</v>
      </c>
      <c r="U47" s="19" t="n">
        <f aca="false">IF(M47=1,SUM(E49:E55),0)</f>
        <v>0</v>
      </c>
      <c r="V47" s="19" t="n">
        <f aca="false">SUM(H49:H55)</f>
        <v>0</v>
      </c>
    </row>
    <row r="48" customFormat="false" ht="39.75" hidden="false" customHeight="true" outlineLevel="0" collapsed="false">
      <c r="A48" s="21" t="s">
        <v>18</v>
      </c>
      <c r="B48" s="21" t="s">
        <v>19</v>
      </c>
      <c r="C48" s="21" t="s">
        <v>20</v>
      </c>
      <c r="D48" s="21" t="s">
        <v>21</v>
      </c>
      <c r="E48" s="21" t="s">
        <v>22</v>
      </c>
      <c r="F48" s="21" t="s">
        <v>23</v>
      </c>
      <c r="G48" s="21" t="s">
        <v>24</v>
      </c>
      <c r="H48" s="21" t="s">
        <v>25</v>
      </c>
      <c r="I48" s="21" t="s">
        <v>26</v>
      </c>
      <c r="M48" s="19" t="n">
        <f aca="false">$M$47</f>
        <v>0</v>
      </c>
      <c r="Q48" s="19" t="n">
        <f aca="false">IF(N(E59)&gt;0,1,0)</f>
        <v>0</v>
      </c>
      <c r="S48" s="0" t="n">
        <v>4</v>
      </c>
    </row>
    <row r="49" customFormat="false" ht="15" hidden="false" customHeight="false" outlineLevel="0" collapsed="false">
      <c r="A49" s="22" t="n">
        <f aca="false">IF(4&lt;=NW,WEEK_ONE+21,"")</f>
        <v>46039</v>
      </c>
      <c r="B49" s="23" t="str">
        <f aca="false">IF(A49="","",CHOOSE(WEEKDAY(A49,1),"الأحد","الاثنين","الثلاثاء","الأربعاء","الخميس","الجمعة","السبت"))</f>
        <v>السبت</v>
      </c>
      <c r="C49" s="24"/>
      <c r="D49" s="24"/>
      <c r="E49" s="25" t="str">
        <f aca="false">IF(OR(M49=0,K49="",L49=""),"",MOD(L49-K49,1))</f>
        <v/>
      </c>
      <c r="F49" s="25" t="str">
        <f aca="false">IF(OR(E49="",M49=0),"",IF(WEEKDAY(A49,1)=6,E49,MIN(E49,MAX(0,MIN(IF(L49&lt;K49,L49+1,L49),OMR_OT_AT)-K49))))</f>
        <v/>
      </c>
      <c r="G49" s="25" t="str">
        <f aca="false">IF(OR(E49="",M49=0),"",MAX(0,E49-F49))</f>
        <v/>
      </c>
      <c r="H49" s="26" t="str">
        <f aca="false">IF(OR(E49="",M49=0),"",ROUND((F49*$N$47+G49*$O$47)*24,3))</f>
        <v/>
      </c>
      <c r="I49" s="27"/>
      <c r="K49" s="28" t="str">
        <f aca="false">IF(OR(M49=0,C49=""),"",IF(ISNUMBER(C49),MOD(C49,1),IFERROR(INDEX(القوائم!$B$1:$B$288,MATCH(TRIM(C49),القوائم!$A$1:$A$288,0)),IFERROR(MOD(TIMEVALUE(C49),1),""))))</f>
        <v/>
      </c>
      <c r="L49" s="28" t="str">
        <f aca="false">IF(OR(M49=0,D49=""),"",IF(ISNUMBER(D49),MOD(D49,1),IFERROR(INDEX(القوائم!$B$1:$B$288,MATCH(TRIM(D49),القوائم!$A$1:$A$288,0)),IFERROR(MOD(TIMEVALUE(D49),1),""))))</f>
        <v/>
      </c>
      <c r="M49" s="19" t="n">
        <f aca="false">$M$47</f>
        <v>0</v>
      </c>
      <c r="Q49" s="19" t="n">
        <f aca="false">IF(N(E59)&gt;0,1,0)</f>
        <v>0</v>
      </c>
      <c r="S49" s="0" t="n">
        <v>4</v>
      </c>
    </row>
    <row r="50" customFormat="false" ht="15" hidden="false" customHeight="false" outlineLevel="0" collapsed="false">
      <c r="A50" s="22" t="n">
        <f aca="false">IF(4&lt;=NW,WEEK_ONE+22,"")</f>
        <v>46040</v>
      </c>
      <c r="B50" s="23" t="str">
        <f aca="false">IF(A50="","",CHOOSE(WEEKDAY(A50,1),"الأحد","الاثنين","الثلاثاء","الأربعاء","الخميس","الجمعة","السبت"))</f>
        <v>الأحد</v>
      </c>
      <c r="C50" s="24"/>
      <c r="D50" s="24"/>
      <c r="E50" s="25" t="str">
        <f aca="false">IF(OR(M50=0,K50="",L50=""),"",MOD(L50-K50,1))</f>
        <v/>
      </c>
      <c r="F50" s="25" t="str">
        <f aca="false">IF(OR(E50="",M50=0),"",IF(WEEKDAY(A50,1)=6,E50,MIN(E50,MAX(0,MIN(IF(L50&lt;K50,L50+1,L50),OMR_OT_AT)-K50))))</f>
        <v/>
      </c>
      <c r="G50" s="25" t="str">
        <f aca="false">IF(OR(E50="",M50=0),"",MAX(0,E50-F50))</f>
        <v/>
      </c>
      <c r="H50" s="26" t="str">
        <f aca="false">IF(OR(E50="",M50=0),"",ROUND((F50*$N$47+G50*$O$47)*24,3))</f>
        <v/>
      </c>
      <c r="I50" s="27"/>
      <c r="K50" s="28" t="str">
        <f aca="false">IF(OR(M50=0,C50=""),"",IF(ISNUMBER(C50),MOD(C50,1),IFERROR(INDEX(القوائم!$B$1:$B$288,MATCH(TRIM(C50),القوائم!$A$1:$A$288,0)),IFERROR(MOD(TIMEVALUE(C50),1),""))))</f>
        <v/>
      </c>
      <c r="L50" s="28" t="str">
        <f aca="false">IF(OR(M50=0,D50=""),"",IF(ISNUMBER(D50),MOD(D50,1),IFERROR(INDEX(القوائم!$B$1:$B$288,MATCH(TRIM(D50),القوائم!$A$1:$A$288,0)),IFERROR(MOD(TIMEVALUE(D50),1),""))))</f>
        <v/>
      </c>
      <c r="M50" s="19" t="n">
        <f aca="false">$M$47</f>
        <v>0</v>
      </c>
      <c r="Q50" s="19" t="n">
        <f aca="false">IF(N(E59)&gt;0,1,0)</f>
        <v>0</v>
      </c>
      <c r="S50" s="0" t="n">
        <v>4</v>
      </c>
    </row>
    <row r="51" customFormat="false" ht="15" hidden="false" customHeight="false" outlineLevel="0" collapsed="false">
      <c r="A51" s="22" t="n">
        <f aca="false">IF(4&lt;=NW,WEEK_ONE+23,"")</f>
        <v>46041</v>
      </c>
      <c r="B51" s="23" t="str">
        <f aca="false">IF(A51="","",CHOOSE(WEEKDAY(A51,1),"الأحد","الاثنين","الثلاثاء","الأربعاء","الخميس","الجمعة","السبت"))</f>
        <v>الاثنين</v>
      </c>
      <c r="C51" s="24"/>
      <c r="D51" s="24"/>
      <c r="E51" s="25" t="str">
        <f aca="false">IF(OR(M51=0,K51="",L51=""),"",MOD(L51-K51,1))</f>
        <v/>
      </c>
      <c r="F51" s="25" t="str">
        <f aca="false">IF(OR(E51="",M51=0),"",IF(WEEKDAY(A51,1)=6,E51,MIN(E51,MAX(0,MIN(IF(L51&lt;K51,L51+1,L51),OMR_OT_AT)-K51))))</f>
        <v/>
      </c>
      <c r="G51" s="25" t="str">
        <f aca="false">IF(OR(E51="",M51=0),"",MAX(0,E51-F51))</f>
        <v/>
      </c>
      <c r="H51" s="26" t="str">
        <f aca="false">IF(OR(E51="",M51=0),"",ROUND((F51*$N$47+G51*$O$47)*24,3))</f>
        <v/>
      </c>
      <c r="I51" s="27"/>
      <c r="K51" s="28" t="str">
        <f aca="false">IF(OR(M51=0,C51=""),"",IF(ISNUMBER(C51),MOD(C51,1),IFERROR(INDEX(القوائم!$B$1:$B$288,MATCH(TRIM(C51),القوائم!$A$1:$A$288,0)),IFERROR(MOD(TIMEVALUE(C51),1),""))))</f>
        <v/>
      </c>
      <c r="L51" s="28" t="str">
        <f aca="false">IF(OR(M51=0,D51=""),"",IF(ISNUMBER(D51),MOD(D51,1),IFERROR(INDEX(القوائم!$B$1:$B$288,MATCH(TRIM(D51),القوائم!$A$1:$A$288,0)),IFERROR(MOD(TIMEVALUE(D51),1),""))))</f>
        <v/>
      </c>
      <c r="M51" s="19" t="n">
        <f aca="false">$M$47</f>
        <v>0</v>
      </c>
      <c r="Q51" s="19" t="n">
        <f aca="false">IF(N(E59)&gt;0,1,0)</f>
        <v>0</v>
      </c>
      <c r="S51" s="0" t="n">
        <v>4</v>
      </c>
    </row>
    <row r="52" customFormat="false" ht="15" hidden="false" customHeight="false" outlineLevel="0" collapsed="false">
      <c r="A52" s="22" t="n">
        <f aca="false">IF(4&lt;=NW,WEEK_ONE+24,"")</f>
        <v>46042</v>
      </c>
      <c r="B52" s="23" t="str">
        <f aca="false">IF(A52="","",CHOOSE(WEEKDAY(A52,1),"الأحد","الاثنين","الثلاثاء","الأربعاء","الخميس","الجمعة","السبت"))</f>
        <v>الثلاثاء</v>
      </c>
      <c r="C52" s="24"/>
      <c r="D52" s="24"/>
      <c r="E52" s="25" t="str">
        <f aca="false">IF(OR(M52=0,K52="",L52=""),"",MOD(L52-K52,1))</f>
        <v/>
      </c>
      <c r="F52" s="25" t="str">
        <f aca="false">IF(OR(E52="",M52=0),"",IF(WEEKDAY(A52,1)=6,E52,MIN(E52,MAX(0,MIN(IF(L52&lt;K52,L52+1,L52),OMR_OT_AT)-K52))))</f>
        <v/>
      </c>
      <c r="G52" s="25" t="str">
        <f aca="false">IF(OR(E52="",M52=0),"",MAX(0,E52-F52))</f>
        <v/>
      </c>
      <c r="H52" s="26" t="str">
        <f aca="false">IF(OR(E52="",M52=0),"",ROUND((F52*$N$47+G52*$O$47)*24,3))</f>
        <v/>
      </c>
      <c r="I52" s="27"/>
      <c r="K52" s="28" t="str">
        <f aca="false">IF(OR(M52=0,C52=""),"",IF(ISNUMBER(C52),MOD(C52,1),IFERROR(INDEX(القوائم!$B$1:$B$288,MATCH(TRIM(C52),القوائم!$A$1:$A$288,0)),IFERROR(MOD(TIMEVALUE(C52),1),""))))</f>
        <v/>
      </c>
      <c r="L52" s="28" t="str">
        <f aca="false">IF(OR(M52=0,D52=""),"",IF(ISNUMBER(D52),MOD(D52,1),IFERROR(INDEX(القوائم!$B$1:$B$288,MATCH(TRIM(D52),القوائم!$A$1:$A$288,0)),IFERROR(MOD(TIMEVALUE(D52),1),""))))</f>
        <v/>
      </c>
      <c r="M52" s="19" t="n">
        <f aca="false">$M$47</f>
        <v>0</v>
      </c>
      <c r="Q52" s="19" t="n">
        <f aca="false">IF(N(E59)&gt;0,1,0)</f>
        <v>0</v>
      </c>
      <c r="S52" s="0" t="n">
        <v>4</v>
      </c>
    </row>
    <row r="53" customFormat="false" ht="15" hidden="false" customHeight="false" outlineLevel="0" collapsed="false">
      <c r="A53" s="22" t="n">
        <f aca="false">IF(4&lt;=NW,WEEK_ONE+25,"")</f>
        <v>46043</v>
      </c>
      <c r="B53" s="23" t="str">
        <f aca="false">IF(A53="","",CHOOSE(WEEKDAY(A53,1),"الأحد","الاثنين","الثلاثاء","الأربعاء","الخميس","الجمعة","السبت"))</f>
        <v>الأربعاء</v>
      </c>
      <c r="C53" s="24"/>
      <c r="D53" s="24"/>
      <c r="E53" s="25" t="str">
        <f aca="false">IF(OR(M53=0,K53="",L53=""),"",MOD(L53-K53,1))</f>
        <v/>
      </c>
      <c r="F53" s="25" t="str">
        <f aca="false">IF(OR(E53="",M53=0),"",IF(WEEKDAY(A53,1)=6,E53,MIN(E53,MAX(0,MIN(IF(L53&lt;K53,L53+1,L53),OMR_OT_AT)-K53))))</f>
        <v/>
      </c>
      <c r="G53" s="25" t="str">
        <f aca="false">IF(OR(E53="",M53=0),"",MAX(0,E53-F53))</f>
        <v/>
      </c>
      <c r="H53" s="26" t="str">
        <f aca="false">IF(OR(E53="",M53=0),"",ROUND((F53*$N$47+G53*$O$47)*24,3))</f>
        <v/>
      </c>
      <c r="I53" s="27"/>
      <c r="K53" s="28" t="str">
        <f aca="false">IF(OR(M53=0,C53=""),"",IF(ISNUMBER(C53),MOD(C53,1),IFERROR(INDEX(القوائم!$B$1:$B$288,MATCH(TRIM(C53),القوائم!$A$1:$A$288,0)),IFERROR(MOD(TIMEVALUE(C53),1),""))))</f>
        <v/>
      </c>
      <c r="L53" s="28" t="str">
        <f aca="false">IF(OR(M53=0,D53=""),"",IF(ISNUMBER(D53),MOD(D53,1),IFERROR(INDEX(القوائم!$B$1:$B$288,MATCH(TRIM(D53),القوائم!$A$1:$A$288,0)),IFERROR(MOD(TIMEVALUE(D53),1),""))))</f>
        <v/>
      </c>
      <c r="M53" s="19" t="n">
        <f aca="false">$M$47</f>
        <v>0</v>
      </c>
      <c r="Q53" s="19" t="n">
        <f aca="false">IF(N(E59)&gt;0,1,0)</f>
        <v>0</v>
      </c>
      <c r="S53" s="0" t="n">
        <v>4</v>
      </c>
    </row>
    <row r="54" customFormat="false" ht="15" hidden="false" customHeight="false" outlineLevel="0" collapsed="false">
      <c r="A54" s="22" t="n">
        <f aca="false">IF(4&lt;=NW,WEEK_ONE+26,"")</f>
        <v>46044</v>
      </c>
      <c r="B54" s="23" t="str">
        <f aca="false">IF(A54="","",CHOOSE(WEEKDAY(A54,1),"الأحد","الاثنين","الثلاثاء","الأربعاء","الخميس","الجمعة","السبت"))</f>
        <v>الخميس</v>
      </c>
      <c r="C54" s="24"/>
      <c r="D54" s="24"/>
      <c r="E54" s="25" t="str">
        <f aca="false">IF(OR(M54=0,K54="",L54=""),"",MOD(L54-K54,1))</f>
        <v/>
      </c>
      <c r="F54" s="25" t="str">
        <f aca="false">IF(OR(E54="",M54=0),"",IF(WEEKDAY(A54,1)=6,E54,MIN(E54,MAX(0,MIN(IF(L54&lt;K54,L54+1,L54),OMR_OT_AT)-K54))))</f>
        <v/>
      </c>
      <c r="G54" s="25" t="str">
        <f aca="false">IF(OR(E54="",M54=0),"",MAX(0,E54-F54))</f>
        <v/>
      </c>
      <c r="H54" s="26" t="str">
        <f aca="false">IF(OR(E54="",M54=0),"",ROUND((F54*$N$47+G54*$O$47)*24,3))</f>
        <v/>
      </c>
      <c r="I54" s="27"/>
      <c r="K54" s="28" t="str">
        <f aca="false">IF(OR(M54=0,C54=""),"",IF(ISNUMBER(C54),MOD(C54,1),IFERROR(INDEX(القوائم!$B$1:$B$288,MATCH(TRIM(C54),القوائم!$A$1:$A$288,0)),IFERROR(MOD(TIMEVALUE(C54),1),""))))</f>
        <v/>
      </c>
      <c r="L54" s="28" t="str">
        <f aca="false">IF(OR(M54=0,D54=""),"",IF(ISNUMBER(D54),MOD(D54,1),IFERROR(INDEX(القوائم!$B$1:$B$288,MATCH(TRIM(D54),القوائم!$A$1:$A$288,0)),IFERROR(MOD(TIMEVALUE(D54),1),""))))</f>
        <v/>
      </c>
      <c r="M54" s="19" t="n">
        <f aca="false">$M$47</f>
        <v>0</v>
      </c>
      <c r="Q54" s="19" t="n">
        <f aca="false">IF(N(E59)&gt;0,1,0)</f>
        <v>0</v>
      </c>
      <c r="S54" s="0" t="n">
        <v>4</v>
      </c>
    </row>
    <row r="55" customFormat="false" ht="15" hidden="false" customHeight="false" outlineLevel="0" collapsed="false">
      <c r="A55" s="29" t="n">
        <f aca="false">IF(4&lt;=NW,WEEK_ONE+27,"")</f>
        <v>46045</v>
      </c>
      <c r="B55" s="30" t="str">
        <f aca="false">IF(A55="","",CHOOSE(WEEKDAY(A55,1),"الأحد","الاثنين","الثلاثاء","الأربعاء","الخميس","الجمعة","السبت"))</f>
        <v>الجمعة</v>
      </c>
      <c r="C55" s="24"/>
      <c r="D55" s="24"/>
      <c r="E55" s="25" t="str">
        <f aca="false">IF(OR(M55=0,K55="",L55=""),"",MOD(L55-K55,1))</f>
        <v/>
      </c>
      <c r="F55" s="25" t="str">
        <f aca="false">IF(OR(E55="",M55=0),"",IF(WEEKDAY(A55,1)=6,E55,MIN(E55,MAX(0,MIN(IF(L55&lt;K55,L55+1,L55),OMR_OT_AT)-K55))))</f>
        <v/>
      </c>
      <c r="G55" s="25" t="str">
        <f aca="false">IF(OR(E55="",M55=0),"",MAX(0,E55-F55))</f>
        <v/>
      </c>
      <c r="H55" s="26" t="str">
        <f aca="false">IF(OR(E55="",M55=0),"",ROUND((F55*$N$47+G55*$O$47)*24,3))</f>
        <v/>
      </c>
      <c r="I55" s="27"/>
      <c r="K55" s="28" t="str">
        <f aca="false">IF(OR(M55=0,C55=""),"",IF(ISNUMBER(C55),MOD(C55,1),IFERROR(INDEX(القوائم!$B$1:$B$288,MATCH(TRIM(C55),القوائم!$A$1:$A$288,0)),IFERROR(MOD(TIMEVALUE(C55),1),""))))</f>
        <v/>
      </c>
      <c r="L55" s="28" t="str">
        <f aca="false">IF(OR(M55=0,D55=""),"",IF(ISNUMBER(D55),MOD(D55,1),IFERROR(INDEX(القوائم!$B$1:$B$288,MATCH(TRIM(D55),القوائم!$A$1:$A$288,0)),IFERROR(MOD(TIMEVALUE(D55),1),""))))</f>
        <v/>
      </c>
      <c r="M55" s="19" t="n">
        <f aca="false">$M$47</f>
        <v>0</v>
      </c>
      <c r="Q55" s="19" t="n">
        <f aca="false">IF(N(E59)&gt;0,1,0)</f>
        <v>0</v>
      </c>
      <c r="S55" s="0" t="n">
        <v>4</v>
      </c>
    </row>
    <row r="56" customFormat="false" ht="15" hidden="false" customHeight="false" outlineLevel="0" collapsed="false">
      <c r="A56" s="31" t="str">
        <f aca="false">IF(M47=1,"ساعات تحميل الجبسمبورد بهالأسبوع ←","")</f>
        <v/>
      </c>
      <c r="B56" s="31"/>
      <c r="C56" s="31"/>
      <c r="D56" s="31"/>
      <c r="E56" s="32"/>
      <c r="F56" s="33" t="str">
        <f aca="false">IF(M47=1,"كل ساعة تحميل = "&amp;TEXT($P$47,"0.000")&amp;" دينار (منها "&amp;TEXT($N$47,"0.000")&amp;" محسوبة أصلاً بساعات اليوم)","")</f>
        <v/>
      </c>
      <c r="G56" s="33"/>
      <c r="H56" s="33"/>
      <c r="I56" s="33"/>
      <c r="M56" s="19" t="n">
        <f aca="false">$M$47</f>
        <v>0</v>
      </c>
      <c r="Q56" s="19" t="n">
        <f aca="false">IF(N(E59)&gt;0,1,0)</f>
        <v>0</v>
      </c>
      <c r="S56" s="0" t="n">
        <v>4</v>
      </c>
    </row>
    <row r="57" customFormat="false" ht="15" hidden="false" customHeight="false" outlineLevel="0" collapsed="false">
      <c r="A57" s="31" t="str">
        <f aca="false">IF(M47=1,"إكرامية الأسبوع (دينار) ←","")</f>
        <v/>
      </c>
      <c r="B57" s="31"/>
      <c r="C57" s="31"/>
      <c r="D57" s="31"/>
      <c r="E57" s="34"/>
      <c r="F57" s="35"/>
      <c r="G57" s="35"/>
      <c r="H57" s="35"/>
      <c r="I57" s="35"/>
      <c r="M57" s="19" t="n">
        <f aca="false">$M$47</f>
        <v>0</v>
      </c>
      <c r="Q57" s="19" t="n">
        <f aca="false">IF(N(E59)&gt;0,1,0)</f>
        <v>0</v>
      </c>
      <c r="S57" s="0" t="n">
        <v>4</v>
      </c>
    </row>
    <row r="58" customFormat="false" ht="36" hidden="false" customHeight="true" outlineLevel="0" collapsed="false">
      <c r="A58" s="36" t="str">
        <f aca="false">IF(M47=1,"المستحق النهائي للأسبوع","")</f>
        <v/>
      </c>
      <c r="B58" s="36"/>
      <c r="C58" s="36"/>
      <c r="D58" s="36"/>
      <c r="E58" s="36"/>
      <c r="F58" s="36"/>
      <c r="G58" s="36"/>
      <c r="H58" s="11" t="str">
        <f aca="false">IF(M47=1,ROUND(N($V$47)+N(E56)*($P$47-$N$47)+N(E57),3),"")</f>
        <v/>
      </c>
      <c r="I58" s="37"/>
      <c r="M58" s="19" t="n">
        <f aca="false">$M$47</f>
        <v>0</v>
      </c>
      <c r="Q58" s="19" t="n">
        <f aca="false">IF(N(E59)&gt;0,1,0)</f>
        <v>0</v>
      </c>
      <c r="S58" s="0" t="n">
        <v>4</v>
      </c>
      <c r="T58" s="0" t="n">
        <v>1</v>
      </c>
    </row>
    <row r="59" customFormat="false" ht="25.5" hidden="false" customHeight="true" outlineLevel="0" collapsed="false">
      <c r="A59" s="31" t="str">
        <f aca="false">IF(M47=1,"المدفوع (دينار) ←","")</f>
        <v/>
      </c>
      <c r="B59" s="31"/>
      <c r="C59" s="31"/>
      <c r="D59" s="31"/>
      <c r="E59" s="34"/>
      <c r="F59" s="38" t="str">
        <f aca="false">IF(M47=1,IF(N(E59)&gt;0,"✔ انقبض — الأسبوع مقفول","⏳ لسا ما انقبض"),"")</f>
        <v/>
      </c>
      <c r="G59" s="38"/>
      <c r="H59" s="38"/>
      <c r="I59" s="38"/>
      <c r="M59" s="19" t="n">
        <f aca="false">$M$47</f>
        <v>0</v>
      </c>
      <c r="Q59" s="19" t="n">
        <f aca="false">IF(N(E59)&gt;0,1,0)</f>
        <v>0</v>
      </c>
      <c r="S59" s="0" t="n">
        <v>4</v>
      </c>
    </row>
    <row r="60" customFormat="false" ht="9.75" hidden="false" customHeight="true" outlineLevel="0" collapsed="false">
      <c r="M60" s="19" t="n">
        <f aca="false">$M$47</f>
        <v>0</v>
      </c>
      <c r="Q60" s="19" t="n">
        <f aca="false">IF(N(E59)&gt;0,1,0)</f>
        <v>0</v>
      </c>
      <c r="S60" s="0" t="n">
        <v>4</v>
      </c>
      <c r="T60" s="0" t="n">
        <v>2</v>
      </c>
    </row>
    <row r="61" customFormat="false" ht="33.75" hidden="false" customHeight="true" outlineLevel="0" collapsed="false">
      <c r="A61" s="17" t="str">
        <f aca="false">IF(5&lt;=NW,TEXT(DAY(WEEK_ONE+28),"00")&amp;"/"&amp;TEXT(MONTH(WEEK_ONE+28),"00")&amp;"/"&amp;YEAR(WEEK_ONE+28)&amp;"  -  "&amp;TEXT(DAY(WEEK_ONE+34),"00")&amp;"/"&amp;TEXT(MONTH(WEEK_ONE+34),"00")&amp;"/"&amp;YEAR(WEEK_ONE+34)&amp;"   ·   الأسبوع 5"&amp;IF(5&lt;START_O,"   (قبل أسبوع البداية — ما بينحسب)",""),"ما في أسبوع 5 هالسنة")</f>
        <v>24/01/2026  -  30/01/2026   ·   الأسبوع 5   (قبل أسبوع البداية — ما بينحسب)</v>
      </c>
      <c r="B61" s="17"/>
      <c r="C61" s="17"/>
      <c r="D61" s="17"/>
      <c r="E61" s="17"/>
      <c r="F61" s="17"/>
      <c r="G61" s="17"/>
      <c r="H61" s="17"/>
      <c r="I61" s="17"/>
      <c r="L61" s="18" t="n">
        <f aca="false">IF(5&lt;=NW,WEEK_ONE+34,"")</f>
        <v>46052</v>
      </c>
      <c r="M61" s="19" t="n">
        <f aca="false">IF(AND(5&lt;=NW,5&gt;=START_O),1,0)</f>
        <v>0</v>
      </c>
      <c r="N61" s="20" t="n">
        <f aca="false">IFERROR(INDEX(RT_OMR,MATCH(L61,RT_K,1)),INDEX(RT_OMR,1))</f>
        <v>1.25</v>
      </c>
      <c r="O61" s="20" t="n">
        <f aca="false">IFERROR(INDEX(RT_OT,MATCH(L61,RT_K,1)),INDEX(RT_OT,1))</f>
        <v>1.5</v>
      </c>
      <c r="P61" s="20" t="n">
        <f aca="false">IFERROR(INDEX(RT_GYP,MATCH(L61,RT_K,1)),INDEX(RT_GYP,1))</f>
        <v>2.5</v>
      </c>
      <c r="Q61" s="19" t="n">
        <f aca="false">IF(N(E73)&gt;0,1,0)</f>
        <v>0</v>
      </c>
      <c r="R61" s="0" t="n">
        <v>5</v>
      </c>
      <c r="S61" s="0" t="n">
        <v>5</v>
      </c>
      <c r="U61" s="19" t="n">
        <f aca="false">IF(M61=1,SUM(E63:E69),0)</f>
        <v>0</v>
      </c>
      <c r="V61" s="19" t="n">
        <f aca="false">SUM(H63:H69)</f>
        <v>0</v>
      </c>
    </row>
    <row r="62" customFormat="false" ht="39.75" hidden="false" customHeight="true" outlineLevel="0" collapsed="false">
      <c r="A62" s="21" t="s">
        <v>18</v>
      </c>
      <c r="B62" s="21" t="s">
        <v>19</v>
      </c>
      <c r="C62" s="21" t="s">
        <v>20</v>
      </c>
      <c r="D62" s="21" t="s">
        <v>21</v>
      </c>
      <c r="E62" s="21" t="s">
        <v>22</v>
      </c>
      <c r="F62" s="21" t="s">
        <v>23</v>
      </c>
      <c r="G62" s="21" t="s">
        <v>24</v>
      </c>
      <c r="H62" s="21" t="s">
        <v>25</v>
      </c>
      <c r="I62" s="21" t="s">
        <v>26</v>
      </c>
      <c r="M62" s="19" t="n">
        <f aca="false">$M$61</f>
        <v>0</v>
      </c>
      <c r="Q62" s="19" t="n">
        <f aca="false">IF(N(E73)&gt;0,1,0)</f>
        <v>0</v>
      </c>
      <c r="S62" s="0" t="n">
        <v>5</v>
      </c>
    </row>
    <row r="63" customFormat="false" ht="15" hidden="false" customHeight="false" outlineLevel="0" collapsed="false">
      <c r="A63" s="22" t="n">
        <f aca="false">IF(5&lt;=NW,WEEK_ONE+28,"")</f>
        <v>46046</v>
      </c>
      <c r="B63" s="23" t="str">
        <f aca="false">IF(A63="","",CHOOSE(WEEKDAY(A63,1),"الأحد","الاثنين","الثلاثاء","الأربعاء","الخميس","الجمعة","السبت"))</f>
        <v>السبت</v>
      </c>
      <c r="C63" s="24"/>
      <c r="D63" s="24"/>
      <c r="E63" s="25" t="str">
        <f aca="false">IF(OR(M63=0,K63="",L63=""),"",MOD(L63-K63,1))</f>
        <v/>
      </c>
      <c r="F63" s="25" t="str">
        <f aca="false">IF(OR(E63="",M63=0),"",IF(WEEKDAY(A63,1)=6,E63,MIN(E63,MAX(0,MIN(IF(L63&lt;K63,L63+1,L63),OMR_OT_AT)-K63))))</f>
        <v/>
      </c>
      <c r="G63" s="25" t="str">
        <f aca="false">IF(OR(E63="",M63=0),"",MAX(0,E63-F63))</f>
        <v/>
      </c>
      <c r="H63" s="26" t="str">
        <f aca="false">IF(OR(E63="",M63=0),"",ROUND((F63*$N$61+G63*$O$61)*24,3))</f>
        <v/>
      </c>
      <c r="I63" s="27"/>
      <c r="K63" s="28" t="str">
        <f aca="false">IF(OR(M63=0,C63=""),"",IF(ISNUMBER(C63),MOD(C63,1),IFERROR(INDEX(القوائم!$B$1:$B$288,MATCH(TRIM(C63),القوائم!$A$1:$A$288,0)),IFERROR(MOD(TIMEVALUE(C63),1),""))))</f>
        <v/>
      </c>
      <c r="L63" s="28" t="str">
        <f aca="false">IF(OR(M63=0,D63=""),"",IF(ISNUMBER(D63),MOD(D63,1),IFERROR(INDEX(القوائم!$B$1:$B$288,MATCH(TRIM(D63),القوائم!$A$1:$A$288,0)),IFERROR(MOD(TIMEVALUE(D63),1),""))))</f>
        <v/>
      </c>
      <c r="M63" s="19" t="n">
        <f aca="false">$M$61</f>
        <v>0</v>
      </c>
      <c r="Q63" s="19" t="n">
        <f aca="false">IF(N(E73)&gt;0,1,0)</f>
        <v>0</v>
      </c>
      <c r="S63" s="0" t="n">
        <v>5</v>
      </c>
    </row>
    <row r="64" customFormat="false" ht="15" hidden="false" customHeight="false" outlineLevel="0" collapsed="false">
      <c r="A64" s="22" t="n">
        <f aca="false">IF(5&lt;=NW,WEEK_ONE+29,"")</f>
        <v>46047</v>
      </c>
      <c r="B64" s="23" t="str">
        <f aca="false">IF(A64="","",CHOOSE(WEEKDAY(A64,1),"الأحد","الاثنين","الثلاثاء","الأربعاء","الخميس","الجمعة","السبت"))</f>
        <v>الأحد</v>
      </c>
      <c r="C64" s="24"/>
      <c r="D64" s="24"/>
      <c r="E64" s="25" t="str">
        <f aca="false">IF(OR(M64=0,K64="",L64=""),"",MOD(L64-K64,1))</f>
        <v/>
      </c>
      <c r="F64" s="25" t="str">
        <f aca="false">IF(OR(E64="",M64=0),"",IF(WEEKDAY(A64,1)=6,E64,MIN(E64,MAX(0,MIN(IF(L64&lt;K64,L64+1,L64),OMR_OT_AT)-K64))))</f>
        <v/>
      </c>
      <c r="G64" s="25" t="str">
        <f aca="false">IF(OR(E64="",M64=0),"",MAX(0,E64-F64))</f>
        <v/>
      </c>
      <c r="H64" s="26" t="str">
        <f aca="false">IF(OR(E64="",M64=0),"",ROUND((F64*$N$61+G64*$O$61)*24,3))</f>
        <v/>
      </c>
      <c r="I64" s="27"/>
      <c r="K64" s="28" t="str">
        <f aca="false">IF(OR(M64=0,C64=""),"",IF(ISNUMBER(C64),MOD(C64,1),IFERROR(INDEX(القوائم!$B$1:$B$288,MATCH(TRIM(C64),القوائم!$A$1:$A$288,0)),IFERROR(MOD(TIMEVALUE(C64),1),""))))</f>
        <v/>
      </c>
      <c r="L64" s="28" t="str">
        <f aca="false">IF(OR(M64=0,D64=""),"",IF(ISNUMBER(D64),MOD(D64,1),IFERROR(INDEX(القوائم!$B$1:$B$288,MATCH(TRIM(D64),القوائم!$A$1:$A$288,0)),IFERROR(MOD(TIMEVALUE(D64),1),""))))</f>
        <v/>
      </c>
      <c r="M64" s="19" t="n">
        <f aca="false">$M$61</f>
        <v>0</v>
      </c>
      <c r="Q64" s="19" t="n">
        <f aca="false">IF(N(E73)&gt;0,1,0)</f>
        <v>0</v>
      </c>
      <c r="S64" s="0" t="n">
        <v>5</v>
      </c>
    </row>
    <row r="65" customFormat="false" ht="15" hidden="false" customHeight="false" outlineLevel="0" collapsed="false">
      <c r="A65" s="22" t="n">
        <f aca="false">IF(5&lt;=NW,WEEK_ONE+30,"")</f>
        <v>46048</v>
      </c>
      <c r="B65" s="23" t="str">
        <f aca="false">IF(A65="","",CHOOSE(WEEKDAY(A65,1),"الأحد","الاثنين","الثلاثاء","الأربعاء","الخميس","الجمعة","السبت"))</f>
        <v>الاثنين</v>
      </c>
      <c r="C65" s="24"/>
      <c r="D65" s="24"/>
      <c r="E65" s="25" t="str">
        <f aca="false">IF(OR(M65=0,K65="",L65=""),"",MOD(L65-K65,1))</f>
        <v/>
      </c>
      <c r="F65" s="25" t="str">
        <f aca="false">IF(OR(E65="",M65=0),"",IF(WEEKDAY(A65,1)=6,E65,MIN(E65,MAX(0,MIN(IF(L65&lt;K65,L65+1,L65),OMR_OT_AT)-K65))))</f>
        <v/>
      </c>
      <c r="G65" s="25" t="str">
        <f aca="false">IF(OR(E65="",M65=0),"",MAX(0,E65-F65))</f>
        <v/>
      </c>
      <c r="H65" s="26" t="str">
        <f aca="false">IF(OR(E65="",M65=0),"",ROUND((F65*$N$61+G65*$O$61)*24,3))</f>
        <v/>
      </c>
      <c r="I65" s="27"/>
      <c r="K65" s="28" t="str">
        <f aca="false">IF(OR(M65=0,C65=""),"",IF(ISNUMBER(C65),MOD(C65,1),IFERROR(INDEX(القوائم!$B$1:$B$288,MATCH(TRIM(C65),القوائم!$A$1:$A$288,0)),IFERROR(MOD(TIMEVALUE(C65),1),""))))</f>
        <v/>
      </c>
      <c r="L65" s="28" t="str">
        <f aca="false">IF(OR(M65=0,D65=""),"",IF(ISNUMBER(D65),MOD(D65,1),IFERROR(INDEX(القوائم!$B$1:$B$288,MATCH(TRIM(D65),القوائم!$A$1:$A$288,0)),IFERROR(MOD(TIMEVALUE(D65),1),""))))</f>
        <v/>
      </c>
      <c r="M65" s="19" t="n">
        <f aca="false">$M$61</f>
        <v>0</v>
      </c>
      <c r="Q65" s="19" t="n">
        <f aca="false">IF(N(E73)&gt;0,1,0)</f>
        <v>0</v>
      </c>
      <c r="S65" s="0" t="n">
        <v>5</v>
      </c>
    </row>
    <row r="66" customFormat="false" ht="15" hidden="false" customHeight="false" outlineLevel="0" collapsed="false">
      <c r="A66" s="22" t="n">
        <f aca="false">IF(5&lt;=NW,WEEK_ONE+31,"")</f>
        <v>46049</v>
      </c>
      <c r="B66" s="23" t="str">
        <f aca="false">IF(A66="","",CHOOSE(WEEKDAY(A66,1),"الأحد","الاثنين","الثلاثاء","الأربعاء","الخميس","الجمعة","السبت"))</f>
        <v>الثلاثاء</v>
      </c>
      <c r="C66" s="24"/>
      <c r="D66" s="24"/>
      <c r="E66" s="25" t="str">
        <f aca="false">IF(OR(M66=0,K66="",L66=""),"",MOD(L66-K66,1))</f>
        <v/>
      </c>
      <c r="F66" s="25" t="str">
        <f aca="false">IF(OR(E66="",M66=0),"",IF(WEEKDAY(A66,1)=6,E66,MIN(E66,MAX(0,MIN(IF(L66&lt;K66,L66+1,L66),OMR_OT_AT)-K66))))</f>
        <v/>
      </c>
      <c r="G66" s="25" t="str">
        <f aca="false">IF(OR(E66="",M66=0),"",MAX(0,E66-F66))</f>
        <v/>
      </c>
      <c r="H66" s="26" t="str">
        <f aca="false">IF(OR(E66="",M66=0),"",ROUND((F66*$N$61+G66*$O$61)*24,3))</f>
        <v/>
      </c>
      <c r="I66" s="27"/>
      <c r="K66" s="28" t="str">
        <f aca="false">IF(OR(M66=0,C66=""),"",IF(ISNUMBER(C66),MOD(C66,1),IFERROR(INDEX(القوائم!$B$1:$B$288,MATCH(TRIM(C66),القوائم!$A$1:$A$288,0)),IFERROR(MOD(TIMEVALUE(C66),1),""))))</f>
        <v/>
      </c>
      <c r="L66" s="28" t="str">
        <f aca="false">IF(OR(M66=0,D66=""),"",IF(ISNUMBER(D66),MOD(D66,1),IFERROR(INDEX(القوائم!$B$1:$B$288,MATCH(TRIM(D66),القوائم!$A$1:$A$288,0)),IFERROR(MOD(TIMEVALUE(D66),1),""))))</f>
        <v/>
      </c>
      <c r="M66" s="19" t="n">
        <f aca="false">$M$61</f>
        <v>0</v>
      </c>
      <c r="Q66" s="19" t="n">
        <f aca="false">IF(N(E73)&gt;0,1,0)</f>
        <v>0</v>
      </c>
      <c r="S66" s="0" t="n">
        <v>5</v>
      </c>
    </row>
    <row r="67" customFormat="false" ht="15" hidden="false" customHeight="false" outlineLevel="0" collapsed="false">
      <c r="A67" s="22" t="n">
        <f aca="false">IF(5&lt;=NW,WEEK_ONE+32,"")</f>
        <v>46050</v>
      </c>
      <c r="B67" s="23" t="str">
        <f aca="false">IF(A67="","",CHOOSE(WEEKDAY(A67,1),"الأحد","الاثنين","الثلاثاء","الأربعاء","الخميس","الجمعة","السبت"))</f>
        <v>الأربعاء</v>
      </c>
      <c r="C67" s="24"/>
      <c r="D67" s="24"/>
      <c r="E67" s="25" t="str">
        <f aca="false">IF(OR(M67=0,K67="",L67=""),"",MOD(L67-K67,1))</f>
        <v/>
      </c>
      <c r="F67" s="25" t="str">
        <f aca="false">IF(OR(E67="",M67=0),"",IF(WEEKDAY(A67,1)=6,E67,MIN(E67,MAX(0,MIN(IF(L67&lt;K67,L67+1,L67),OMR_OT_AT)-K67))))</f>
        <v/>
      </c>
      <c r="G67" s="25" t="str">
        <f aca="false">IF(OR(E67="",M67=0),"",MAX(0,E67-F67))</f>
        <v/>
      </c>
      <c r="H67" s="26" t="str">
        <f aca="false">IF(OR(E67="",M67=0),"",ROUND((F67*$N$61+G67*$O$61)*24,3))</f>
        <v/>
      </c>
      <c r="I67" s="27"/>
      <c r="K67" s="28" t="str">
        <f aca="false">IF(OR(M67=0,C67=""),"",IF(ISNUMBER(C67),MOD(C67,1),IFERROR(INDEX(القوائم!$B$1:$B$288,MATCH(TRIM(C67),القوائم!$A$1:$A$288,0)),IFERROR(MOD(TIMEVALUE(C67),1),""))))</f>
        <v/>
      </c>
      <c r="L67" s="28" t="str">
        <f aca="false">IF(OR(M67=0,D67=""),"",IF(ISNUMBER(D67),MOD(D67,1),IFERROR(INDEX(القوائم!$B$1:$B$288,MATCH(TRIM(D67),القوائم!$A$1:$A$288,0)),IFERROR(MOD(TIMEVALUE(D67),1),""))))</f>
        <v/>
      </c>
      <c r="M67" s="19" t="n">
        <f aca="false">$M$61</f>
        <v>0</v>
      </c>
      <c r="Q67" s="19" t="n">
        <f aca="false">IF(N(E73)&gt;0,1,0)</f>
        <v>0</v>
      </c>
      <c r="S67" s="0" t="n">
        <v>5</v>
      </c>
    </row>
    <row r="68" customFormat="false" ht="15" hidden="false" customHeight="false" outlineLevel="0" collapsed="false">
      <c r="A68" s="22" t="n">
        <f aca="false">IF(5&lt;=NW,WEEK_ONE+33,"")</f>
        <v>46051</v>
      </c>
      <c r="B68" s="23" t="str">
        <f aca="false">IF(A68="","",CHOOSE(WEEKDAY(A68,1),"الأحد","الاثنين","الثلاثاء","الأربعاء","الخميس","الجمعة","السبت"))</f>
        <v>الخميس</v>
      </c>
      <c r="C68" s="24"/>
      <c r="D68" s="24"/>
      <c r="E68" s="25" t="str">
        <f aca="false">IF(OR(M68=0,K68="",L68=""),"",MOD(L68-K68,1))</f>
        <v/>
      </c>
      <c r="F68" s="25" t="str">
        <f aca="false">IF(OR(E68="",M68=0),"",IF(WEEKDAY(A68,1)=6,E68,MIN(E68,MAX(0,MIN(IF(L68&lt;K68,L68+1,L68),OMR_OT_AT)-K68))))</f>
        <v/>
      </c>
      <c r="G68" s="25" t="str">
        <f aca="false">IF(OR(E68="",M68=0),"",MAX(0,E68-F68))</f>
        <v/>
      </c>
      <c r="H68" s="26" t="str">
        <f aca="false">IF(OR(E68="",M68=0),"",ROUND((F68*$N$61+G68*$O$61)*24,3))</f>
        <v/>
      </c>
      <c r="I68" s="27"/>
      <c r="K68" s="28" t="str">
        <f aca="false">IF(OR(M68=0,C68=""),"",IF(ISNUMBER(C68),MOD(C68,1),IFERROR(INDEX(القوائم!$B$1:$B$288,MATCH(TRIM(C68),القوائم!$A$1:$A$288,0)),IFERROR(MOD(TIMEVALUE(C68),1),""))))</f>
        <v/>
      </c>
      <c r="L68" s="28" t="str">
        <f aca="false">IF(OR(M68=0,D68=""),"",IF(ISNUMBER(D68),MOD(D68,1),IFERROR(INDEX(القوائم!$B$1:$B$288,MATCH(TRIM(D68),القوائم!$A$1:$A$288,0)),IFERROR(MOD(TIMEVALUE(D68),1),""))))</f>
        <v/>
      </c>
      <c r="M68" s="19" t="n">
        <f aca="false">$M$61</f>
        <v>0</v>
      </c>
      <c r="Q68" s="19" t="n">
        <f aca="false">IF(N(E73)&gt;0,1,0)</f>
        <v>0</v>
      </c>
      <c r="S68" s="0" t="n">
        <v>5</v>
      </c>
    </row>
    <row r="69" customFormat="false" ht="15" hidden="false" customHeight="false" outlineLevel="0" collapsed="false">
      <c r="A69" s="29" t="n">
        <f aca="false">IF(5&lt;=NW,WEEK_ONE+34,"")</f>
        <v>46052</v>
      </c>
      <c r="B69" s="30" t="str">
        <f aca="false">IF(A69="","",CHOOSE(WEEKDAY(A69,1),"الأحد","الاثنين","الثلاثاء","الأربعاء","الخميس","الجمعة","السبت"))</f>
        <v>الجمعة</v>
      </c>
      <c r="C69" s="24"/>
      <c r="D69" s="24"/>
      <c r="E69" s="25" t="str">
        <f aca="false">IF(OR(M69=0,K69="",L69=""),"",MOD(L69-K69,1))</f>
        <v/>
      </c>
      <c r="F69" s="25" t="str">
        <f aca="false">IF(OR(E69="",M69=0),"",IF(WEEKDAY(A69,1)=6,E69,MIN(E69,MAX(0,MIN(IF(L69&lt;K69,L69+1,L69),OMR_OT_AT)-K69))))</f>
        <v/>
      </c>
      <c r="G69" s="25" t="str">
        <f aca="false">IF(OR(E69="",M69=0),"",MAX(0,E69-F69))</f>
        <v/>
      </c>
      <c r="H69" s="26" t="str">
        <f aca="false">IF(OR(E69="",M69=0),"",ROUND((F69*$N$61+G69*$O$61)*24,3))</f>
        <v/>
      </c>
      <c r="I69" s="27"/>
      <c r="K69" s="28" t="str">
        <f aca="false">IF(OR(M69=0,C69=""),"",IF(ISNUMBER(C69),MOD(C69,1),IFERROR(INDEX(القوائم!$B$1:$B$288,MATCH(TRIM(C69),القوائم!$A$1:$A$288,0)),IFERROR(MOD(TIMEVALUE(C69),1),""))))</f>
        <v/>
      </c>
      <c r="L69" s="28" t="str">
        <f aca="false">IF(OR(M69=0,D69=""),"",IF(ISNUMBER(D69),MOD(D69,1),IFERROR(INDEX(القوائم!$B$1:$B$288,MATCH(TRIM(D69),القوائم!$A$1:$A$288,0)),IFERROR(MOD(TIMEVALUE(D69),1),""))))</f>
        <v/>
      </c>
      <c r="M69" s="19" t="n">
        <f aca="false">$M$61</f>
        <v>0</v>
      </c>
      <c r="Q69" s="19" t="n">
        <f aca="false">IF(N(E73)&gt;0,1,0)</f>
        <v>0</v>
      </c>
      <c r="S69" s="0" t="n">
        <v>5</v>
      </c>
    </row>
    <row r="70" customFormat="false" ht="15" hidden="false" customHeight="false" outlineLevel="0" collapsed="false">
      <c r="A70" s="31" t="str">
        <f aca="false">IF(M61=1,"ساعات تحميل الجبسمبورد بهالأسبوع ←","")</f>
        <v/>
      </c>
      <c r="B70" s="31"/>
      <c r="C70" s="31"/>
      <c r="D70" s="31"/>
      <c r="E70" s="32"/>
      <c r="F70" s="33" t="str">
        <f aca="false">IF(M61=1,"كل ساعة تحميل = "&amp;TEXT($P$61,"0.000")&amp;" دينار (منها "&amp;TEXT($N$61,"0.000")&amp;" محسوبة أصلاً بساعات اليوم)","")</f>
        <v/>
      </c>
      <c r="G70" s="33"/>
      <c r="H70" s="33"/>
      <c r="I70" s="33"/>
      <c r="M70" s="19" t="n">
        <f aca="false">$M$61</f>
        <v>0</v>
      </c>
      <c r="Q70" s="19" t="n">
        <f aca="false">IF(N(E73)&gt;0,1,0)</f>
        <v>0</v>
      </c>
      <c r="S70" s="0" t="n">
        <v>5</v>
      </c>
    </row>
    <row r="71" customFormat="false" ht="15" hidden="false" customHeight="false" outlineLevel="0" collapsed="false">
      <c r="A71" s="31" t="str">
        <f aca="false">IF(M61=1,"إكرامية الأسبوع (دينار) ←","")</f>
        <v/>
      </c>
      <c r="B71" s="31"/>
      <c r="C71" s="31"/>
      <c r="D71" s="31"/>
      <c r="E71" s="34"/>
      <c r="F71" s="35"/>
      <c r="G71" s="35"/>
      <c r="H71" s="35"/>
      <c r="I71" s="35"/>
      <c r="M71" s="19" t="n">
        <f aca="false">$M$61</f>
        <v>0</v>
      </c>
      <c r="Q71" s="19" t="n">
        <f aca="false">IF(N(E73)&gt;0,1,0)</f>
        <v>0</v>
      </c>
      <c r="S71" s="0" t="n">
        <v>5</v>
      </c>
    </row>
    <row r="72" customFormat="false" ht="36" hidden="false" customHeight="true" outlineLevel="0" collapsed="false">
      <c r="A72" s="36" t="str">
        <f aca="false">IF(M61=1,"المستحق النهائي للأسبوع","")</f>
        <v/>
      </c>
      <c r="B72" s="36"/>
      <c r="C72" s="36"/>
      <c r="D72" s="36"/>
      <c r="E72" s="36"/>
      <c r="F72" s="36"/>
      <c r="G72" s="36"/>
      <c r="H72" s="11" t="str">
        <f aca="false">IF(M61=1,ROUND(N($V$61)+N(E70)*($P$61-$N$61)+N(E71),3),"")</f>
        <v/>
      </c>
      <c r="I72" s="37"/>
      <c r="M72" s="19" t="n">
        <f aca="false">$M$61</f>
        <v>0</v>
      </c>
      <c r="Q72" s="19" t="n">
        <f aca="false">IF(N(E73)&gt;0,1,0)</f>
        <v>0</v>
      </c>
      <c r="S72" s="0" t="n">
        <v>5</v>
      </c>
      <c r="T72" s="0" t="n">
        <v>1</v>
      </c>
    </row>
    <row r="73" customFormat="false" ht="25.5" hidden="false" customHeight="true" outlineLevel="0" collapsed="false">
      <c r="A73" s="31" t="str">
        <f aca="false">IF(M61=1,"المدفوع (دينار) ←","")</f>
        <v/>
      </c>
      <c r="B73" s="31"/>
      <c r="C73" s="31"/>
      <c r="D73" s="31"/>
      <c r="E73" s="34"/>
      <c r="F73" s="38" t="str">
        <f aca="false">IF(M61=1,IF(N(E73)&gt;0,"✔ انقبض — الأسبوع مقفول","⏳ لسا ما انقبض"),"")</f>
        <v/>
      </c>
      <c r="G73" s="38"/>
      <c r="H73" s="38"/>
      <c r="I73" s="38"/>
      <c r="M73" s="19" t="n">
        <f aca="false">$M$61</f>
        <v>0</v>
      </c>
      <c r="Q73" s="19" t="n">
        <f aca="false">IF(N(E73)&gt;0,1,0)</f>
        <v>0</v>
      </c>
      <c r="S73" s="0" t="n">
        <v>5</v>
      </c>
    </row>
    <row r="74" customFormat="false" ht="9.75" hidden="false" customHeight="true" outlineLevel="0" collapsed="false">
      <c r="M74" s="19" t="n">
        <f aca="false">$M$61</f>
        <v>0</v>
      </c>
      <c r="Q74" s="19" t="n">
        <f aca="false">IF(N(E73)&gt;0,1,0)</f>
        <v>0</v>
      </c>
      <c r="S74" s="0" t="n">
        <v>5</v>
      </c>
      <c r="T74" s="0" t="n">
        <v>2</v>
      </c>
    </row>
    <row r="75" customFormat="false" ht="33.75" hidden="false" customHeight="true" outlineLevel="0" collapsed="false">
      <c r="A75" s="17" t="str">
        <f aca="false">IF(6&lt;=NW,TEXT(DAY(WEEK_ONE+35),"00")&amp;"/"&amp;TEXT(MONTH(WEEK_ONE+35),"00")&amp;"/"&amp;YEAR(WEEK_ONE+35)&amp;"  -  "&amp;TEXT(DAY(WEEK_ONE+41),"00")&amp;"/"&amp;TEXT(MONTH(WEEK_ONE+41),"00")&amp;"/"&amp;YEAR(WEEK_ONE+41)&amp;"   ·   الأسبوع 6"&amp;IF(6&lt;START_O,"   (قبل أسبوع البداية — ما بينحسب)",""),"ما في أسبوع 6 هالسنة")</f>
        <v>31/01/2026  -  06/02/2026   ·   الأسبوع 6   (قبل أسبوع البداية — ما بينحسب)</v>
      </c>
      <c r="B75" s="17"/>
      <c r="C75" s="17"/>
      <c r="D75" s="17"/>
      <c r="E75" s="17"/>
      <c r="F75" s="17"/>
      <c r="G75" s="17"/>
      <c r="H75" s="17"/>
      <c r="I75" s="17"/>
      <c r="L75" s="18" t="n">
        <f aca="false">IF(6&lt;=NW,WEEK_ONE+41,"")</f>
        <v>46059</v>
      </c>
      <c r="M75" s="19" t="n">
        <f aca="false">IF(AND(6&lt;=NW,6&gt;=START_O),1,0)</f>
        <v>0</v>
      </c>
      <c r="N75" s="20" t="n">
        <f aca="false">IFERROR(INDEX(RT_OMR,MATCH(L75,RT_K,1)),INDEX(RT_OMR,1))</f>
        <v>1.25</v>
      </c>
      <c r="O75" s="20" t="n">
        <f aca="false">IFERROR(INDEX(RT_OT,MATCH(L75,RT_K,1)),INDEX(RT_OT,1))</f>
        <v>1.5</v>
      </c>
      <c r="P75" s="20" t="n">
        <f aca="false">IFERROR(INDEX(RT_GYP,MATCH(L75,RT_K,1)),INDEX(RT_GYP,1))</f>
        <v>2.5</v>
      </c>
      <c r="Q75" s="19" t="n">
        <f aca="false">IF(N(E87)&gt;0,1,0)</f>
        <v>0</v>
      </c>
      <c r="R75" s="0" t="n">
        <v>6</v>
      </c>
      <c r="S75" s="0" t="n">
        <v>6</v>
      </c>
      <c r="U75" s="19" t="n">
        <f aca="false">IF(M75=1,SUM(E77:E83),0)</f>
        <v>0</v>
      </c>
      <c r="V75" s="19" t="n">
        <f aca="false">SUM(H77:H83)</f>
        <v>0</v>
      </c>
    </row>
    <row r="76" customFormat="false" ht="39.75" hidden="false" customHeight="true" outlineLevel="0" collapsed="false">
      <c r="A76" s="21" t="s">
        <v>18</v>
      </c>
      <c r="B76" s="21" t="s">
        <v>19</v>
      </c>
      <c r="C76" s="21" t="s">
        <v>20</v>
      </c>
      <c r="D76" s="21" t="s">
        <v>21</v>
      </c>
      <c r="E76" s="21" t="s">
        <v>22</v>
      </c>
      <c r="F76" s="21" t="s">
        <v>23</v>
      </c>
      <c r="G76" s="21" t="s">
        <v>24</v>
      </c>
      <c r="H76" s="21" t="s">
        <v>25</v>
      </c>
      <c r="I76" s="21" t="s">
        <v>26</v>
      </c>
      <c r="M76" s="19" t="n">
        <f aca="false">$M$75</f>
        <v>0</v>
      </c>
      <c r="Q76" s="19" t="n">
        <f aca="false">IF(N(E87)&gt;0,1,0)</f>
        <v>0</v>
      </c>
      <c r="S76" s="0" t="n">
        <v>6</v>
      </c>
    </row>
    <row r="77" customFormat="false" ht="15" hidden="false" customHeight="false" outlineLevel="0" collapsed="false">
      <c r="A77" s="22" t="n">
        <f aca="false">IF(6&lt;=NW,WEEK_ONE+35,"")</f>
        <v>46053</v>
      </c>
      <c r="B77" s="23" t="str">
        <f aca="false">IF(A77="","",CHOOSE(WEEKDAY(A77,1),"الأحد","الاثنين","الثلاثاء","الأربعاء","الخميس","الجمعة","السبت"))</f>
        <v>السبت</v>
      </c>
      <c r="C77" s="24"/>
      <c r="D77" s="24"/>
      <c r="E77" s="25" t="str">
        <f aca="false">IF(OR(M77=0,K77="",L77=""),"",MOD(L77-K77,1))</f>
        <v/>
      </c>
      <c r="F77" s="25" t="str">
        <f aca="false">IF(OR(E77="",M77=0),"",IF(WEEKDAY(A77,1)=6,E77,MIN(E77,MAX(0,MIN(IF(L77&lt;K77,L77+1,L77),OMR_OT_AT)-K77))))</f>
        <v/>
      </c>
      <c r="G77" s="25" t="str">
        <f aca="false">IF(OR(E77="",M77=0),"",MAX(0,E77-F77))</f>
        <v/>
      </c>
      <c r="H77" s="26" t="str">
        <f aca="false">IF(OR(E77="",M77=0),"",ROUND((F77*$N$75+G77*$O$75)*24,3))</f>
        <v/>
      </c>
      <c r="I77" s="27"/>
      <c r="K77" s="28" t="str">
        <f aca="false">IF(OR(M77=0,C77=""),"",IF(ISNUMBER(C77),MOD(C77,1),IFERROR(INDEX(القوائم!$B$1:$B$288,MATCH(TRIM(C77),القوائم!$A$1:$A$288,0)),IFERROR(MOD(TIMEVALUE(C77),1),""))))</f>
        <v/>
      </c>
      <c r="L77" s="28" t="str">
        <f aca="false">IF(OR(M77=0,D77=""),"",IF(ISNUMBER(D77),MOD(D77,1),IFERROR(INDEX(القوائم!$B$1:$B$288,MATCH(TRIM(D77),القوائم!$A$1:$A$288,0)),IFERROR(MOD(TIMEVALUE(D77),1),""))))</f>
        <v/>
      </c>
      <c r="M77" s="19" t="n">
        <f aca="false">$M$75</f>
        <v>0</v>
      </c>
      <c r="Q77" s="19" t="n">
        <f aca="false">IF(N(E87)&gt;0,1,0)</f>
        <v>0</v>
      </c>
      <c r="S77" s="0" t="n">
        <v>6</v>
      </c>
    </row>
    <row r="78" customFormat="false" ht="15" hidden="false" customHeight="false" outlineLevel="0" collapsed="false">
      <c r="A78" s="22" t="n">
        <f aca="false">IF(6&lt;=NW,WEEK_ONE+36,"")</f>
        <v>46054</v>
      </c>
      <c r="B78" s="23" t="str">
        <f aca="false">IF(A78="","",CHOOSE(WEEKDAY(A78,1),"الأحد","الاثنين","الثلاثاء","الأربعاء","الخميس","الجمعة","السبت"))</f>
        <v>الأحد</v>
      </c>
      <c r="C78" s="24"/>
      <c r="D78" s="24"/>
      <c r="E78" s="25" t="str">
        <f aca="false">IF(OR(M78=0,K78="",L78=""),"",MOD(L78-K78,1))</f>
        <v/>
      </c>
      <c r="F78" s="25" t="str">
        <f aca="false">IF(OR(E78="",M78=0),"",IF(WEEKDAY(A78,1)=6,E78,MIN(E78,MAX(0,MIN(IF(L78&lt;K78,L78+1,L78),OMR_OT_AT)-K78))))</f>
        <v/>
      </c>
      <c r="G78" s="25" t="str">
        <f aca="false">IF(OR(E78="",M78=0),"",MAX(0,E78-F78))</f>
        <v/>
      </c>
      <c r="H78" s="26" t="str">
        <f aca="false">IF(OR(E78="",M78=0),"",ROUND((F78*$N$75+G78*$O$75)*24,3))</f>
        <v/>
      </c>
      <c r="I78" s="27"/>
      <c r="K78" s="28" t="str">
        <f aca="false">IF(OR(M78=0,C78=""),"",IF(ISNUMBER(C78),MOD(C78,1),IFERROR(INDEX(القوائم!$B$1:$B$288,MATCH(TRIM(C78),القوائم!$A$1:$A$288,0)),IFERROR(MOD(TIMEVALUE(C78),1),""))))</f>
        <v/>
      </c>
      <c r="L78" s="28" t="str">
        <f aca="false">IF(OR(M78=0,D78=""),"",IF(ISNUMBER(D78),MOD(D78,1),IFERROR(INDEX(القوائم!$B$1:$B$288,MATCH(TRIM(D78),القوائم!$A$1:$A$288,0)),IFERROR(MOD(TIMEVALUE(D78),1),""))))</f>
        <v/>
      </c>
      <c r="M78" s="19" t="n">
        <f aca="false">$M$75</f>
        <v>0</v>
      </c>
      <c r="Q78" s="19" t="n">
        <f aca="false">IF(N(E87)&gt;0,1,0)</f>
        <v>0</v>
      </c>
      <c r="S78" s="0" t="n">
        <v>6</v>
      </c>
    </row>
    <row r="79" customFormat="false" ht="15" hidden="false" customHeight="false" outlineLevel="0" collapsed="false">
      <c r="A79" s="22" t="n">
        <f aca="false">IF(6&lt;=NW,WEEK_ONE+37,"")</f>
        <v>46055</v>
      </c>
      <c r="B79" s="23" t="str">
        <f aca="false">IF(A79="","",CHOOSE(WEEKDAY(A79,1),"الأحد","الاثنين","الثلاثاء","الأربعاء","الخميس","الجمعة","السبت"))</f>
        <v>الاثنين</v>
      </c>
      <c r="C79" s="24"/>
      <c r="D79" s="24"/>
      <c r="E79" s="25" t="str">
        <f aca="false">IF(OR(M79=0,K79="",L79=""),"",MOD(L79-K79,1))</f>
        <v/>
      </c>
      <c r="F79" s="25" t="str">
        <f aca="false">IF(OR(E79="",M79=0),"",IF(WEEKDAY(A79,1)=6,E79,MIN(E79,MAX(0,MIN(IF(L79&lt;K79,L79+1,L79),OMR_OT_AT)-K79))))</f>
        <v/>
      </c>
      <c r="G79" s="25" t="str">
        <f aca="false">IF(OR(E79="",M79=0),"",MAX(0,E79-F79))</f>
        <v/>
      </c>
      <c r="H79" s="26" t="str">
        <f aca="false">IF(OR(E79="",M79=0),"",ROUND((F79*$N$75+G79*$O$75)*24,3))</f>
        <v/>
      </c>
      <c r="I79" s="27"/>
      <c r="K79" s="28" t="str">
        <f aca="false">IF(OR(M79=0,C79=""),"",IF(ISNUMBER(C79),MOD(C79,1),IFERROR(INDEX(القوائم!$B$1:$B$288,MATCH(TRIM(C79),القوائم!$A$1:$A$288,0)),IFERROR(MOD(TIMEVALUE(C79),1),""))))</f>
        <v/>
      </c>
      <c r="L79" s="28" t="str">
        <f aca="false">IF(OR(M79=0,D79=""),"",IF(ISNUMBER(D79),MOD(D79,1),IFERROR(INDEX(القوائم!$B$1:$B$288,MATCH(TRIM(D79),القوائم!$A$1:$A$288,0)),IFERROR(MOD(TIMEVALUE(D79),1),""))))</f>
        <v/>
      </c>
      <c r="M79" s="19" t="n">
        <f aca="false">$M$75</f>
        <v>0</v>
      </c>
      <c r="Q79" s="19" t="n">
        <f aca="false">IF(N(E87)&gt;0,1,0)</f>
        <v>0</v>
      </c>
      <c r="S79" s="0" t="n">
        <v>6</v>
      </c>
    </row>
    <row r="80" customFormat="false" ht="15" hidden="false" customHeight="false" outlineLevel="0" collapsed="false">
      <c r="A80" s="22" t="n">
        <f aca="false">IF(6&lt;=NW,WEEK_ONE+38,"")</f>
        <v>46056</v>
      </c>
      <c r="B80" s="23" t="str">
        <f aca="false">IF(A80="","",CHOOSE(WEEKDAY(A80,1),"الأحد","الاثنين","الثلاثاء","الأربعاء","الخميس","الجمعة","السبت"))</f>
        <v>الثلاثاء</v>
      </c>
      <c r="C80" s="24"/>
      <c r="D80" s="24"/>
      <c r="E80" s="25" t="str">
        <f aca="false">IF(OR(M80=0,K80="",L80=""),"",MOD(L80-K80,1))</f>
        <v/>
      </c>
      <c r="F80" s="25" t="str">
        <f aca="false">IF(OR(E80="",M80=0),"",IF(WEEKDAY(A80,1)=6,E80,MIN(E80,MAX(0,MIN(IF(L80&lt;K80,L80+1,L80),OMR_OT_AT)-K80))))</f>
        <v/>
      </c>
      <c r="G80" s="25" t="str">
        <f aca="false">IF(OR(E80="",M80=0),"",MAX(0,E80-F80))</f>
        <v/>
      </c>
      <c r="H80" s="26" t="str">
        <f aca="false">IF(OR(E80="",M80=0),"",ROUND((F80*$N$75+G80*$O$75)*24,3))</f>
        <v/>
      </c>
      <c r="I80" s="27"/>
      <c r="K80" s="28" t="str">
        <f aca="false">IF(OR(M80=0,C80=""),"",IF(ISNUMBER(C80),MOD(C80,1),IFERROR(INDEX(القوائم!$B$1:$B$288,MATCH(TRIM(C80),القوائم!$A$1:$A$288,0)),IFERROR(MOD(TIMEVALUE(C80),1),""))))</f>
        <v/>
      </c>
      <c r="L80" s="28" t="str">
        <f aca="false">IF(OR(M80=0,D80=""),"",IF(ISNUMBER(D80),MOD(D80,1),IFERROR(INDEX(القوائم!$B$1:$B$288,MATCH(TRIM(D80),القوائم!$A$1:$A$288,0)),IFERROR(MOD(TIMEVALUE(D80),1),""))))</f>
        <v/>
      </c>
      <c r="M80" s="19" t="n">
        <f aca="false">$M$75</f>
        <v>0</v>
      </c>
      <c r="Q80" s="19" t="n">
        <f aca="false">IF(N(E87)&gt;0,1,0)</f>
        <v>0</v>
      </c>
      <c r="S80" s="0" t="n">
        <v>6</v>
      </c>
    </row>
    <row r="81" customFormat="false" ht="15" hidden="false" customHeight="false" outlineLevel="0" collapsed="false">
      <c r="A81" s="22" t="n">
        <f aca="false">IF(6&lt;=NW,WEEK_ONE+39,"")</f>
        <v>46057</v>
      </c>
      <c r="B81" s="23" t="str">
        <f aca="false">IF(A81="","",CHOOSE(WEEKDAY(A81,1),"الأحد","الاثنين","الثلاثاء","الأربعاء","الخميس","الجمعة","السبت"))</f>
        <v>الأربعاء</v>
      </c>
      <c r="C81" s="24"/>
      <c r="D81" s="24"/>
      <c r="E81" s="25" t="str">
        <f aca="false">IF(OR(M81=0,K81="",L81=""),"",MOD(L81-K81,1))</f>
        <v/>
      </c>
      <c r="F81" s="25" t="str">
        <f aca="false">IF(OR(E81="",M81=0),"",IF(WEEKDAY(A81,1)=6,E81,MIN(E81,MAX(0,MIN(IF(L81&lt;K81,L81+1,L81),OMR_OT_AT)-K81))))</f>
        <v/>
      </c>
      <c r="G81" s="25" t="str">
        <f aca="false">IF(OR(E81="",M81=0),"",MAX(0,E81-F81))</f>
        <v/>
      </c>
      <c r="H81" s="26" t="str">
        <f aca="false">IF(OR(E81="",M81=0),"",ROUND((F81*$N$75+G81*$O$75)*24,3))</f>
        <v/>
      </c>
      <c r="I81" s="27"/>
      <c r="K81" s="28" t="str">
        <f aca="false">IF(OR(M81=0,C81=""),"",IF(ISNUMBER(C81),MOD(C81,1),IFERROR(INDEX(القوائم!$B$1:$B$288,MATCH(TRIM(C81),القوائم!$A$1:$A$288,0)),IFERROR(MOD(TIMEVALUE(C81),1),""))))</f>
        <v/>
      </c>
      <c r="L81" s="28" t="str">
        <f aca="false">IF(OR(M81=0,D81=""),"",IF(ISNUMBER(D81),MOD(D81,1),IFERROR(INDEX(القوائم!$B$1:$B$288,MATCH(TRIM(D81),القوائم!$A$1:$A$288,0)),IFERROR(MOD(TIMEVALUE(D81),1),""))))</f>
        <v/>
      </c>
      <c r="M81" s="19" t="n">
        <f aca="false">$M$75</f>
        <v>0</v>
      </c>
      <c r="Q81" s="19" t="n">
        <f aca="false">IF(N(E87)&gt;0,1,0)</f>
        <v>0</v>
      </c>
      <c r="S81" s="0" t="n">
        <v>6</v>
      </c>
    </row>
    <row r="82" customFormat="false" ht="15" hidden="false" customHeight="false" outlineLevel="0" collapsed="false">
      <c r="A82" s="22" t="n">
        <f aca="false">IF(6&lt;=NW,WEEK_ONE+40,"")</f>
        <v>46058</v>
      </c>
      <c r="B82" s="23" t="str">
        <f aca="false">IF(A82="","",CHOOSE(WEEKDAY(A82,1),"الأحد","الاثنين","الثلاثاء","الأربعاء","الخميس","الجمعة","السبت"))</f>
        <v>الخميس</v>
      </c>
      <c r="C82" s="24"/>
      <c r="D82" s="24"/>
      <c r="E82" s="25" t="str">
        <f aca="false">IF(OR(M82=0,K82="",L82=""),"",MOD(L82-K82,1))</f>
        <v/>
      </c>
      <c r="F82" s="25" t="str">
        <f aca="false">IF(OR(E82="",M82=0),"",IF(WEEKDAY(A82,1)=6,E82,MIN(E82,MAX(0,MIN(IF(L82&lt;K82,L82+1,L82),OMR_OT_AT)-K82))))</f>
        <v/>
      </c>
      <c r="G82" s="25" t="str">
        <f aca="false">IF(OR(E82="",M82=0),"",MAX(0,E82-F82))</f>
        <v/>
      </c>
      <c r="H82" s="26" t="str">
        <f aca="false">IF(OR(E82="",M82=0),"",ROUND((F82*$N$75+G82*$O$75)*24,3))</f>
        <v/>
      </c>
      <c r="I82" s="27"/>
      <c r="K82" s="28" t="str">
        <f aca="false">IF(OR(M82=0,C82=""),"",IF(ISNUMBER(C82),MOD(C82,1),IFERROR(INDEX(القوائم!$B$1:$B$288,MATCH(TRIM(C82),القوائم!$A$1:$A$288,0)),IFERROR(MOD(TIMEVALUE(C82),1),""))))</f>
        <v/>
      </c>
      <c r="L82" s="28" t="str">
        <f aca="false">IF(OR(M82=0,D82=""),"",IF(ISNUMBER(D82),MOD(D82,1),IFERROR(INDEX(القوائم!$B$1:$B$288,MATCH(TRIM(D82),القوائم!$A$1:$A$288,0)),IFERROR(MOD(TIMEVALUE(D82),1),""))))</f>
        <v/>
      </c>
      <c r="M82" s="19" t="n">
        <f aca="false">$M$75</f>
        <v>0</v>
      </c>
      <c r="Q82" s="19" t="n">
        <f aca="false">IF(N(E87)&gt;0,1,0)</f>
        <v>0</v>
      </c>
      <c r="S82" s="0" t="n">
        <v>6</v>
      </c>
    </row>
    <row r="83" customFormat="false" ht="15" hidden="false" customHeight="false" outlineLevel="0" collapsed="false">
      <c r="A83" s="29" t="n">
        <f aca="false">IF(6&lt;=NW,WEEK_ONE+41,"")</f>
        <v>46059</v>
      </c>
      <c r="B83" s="30" t="str">
        <f aca="false">IF(A83="","",CHOOSE(WEEKDAY(A83,1),"الأحد","الاثنين","الثلاثاء","الأربعاء","الخميس","الجمعة","السبت"))</f>
        <v>الجمعة</v>
      </c>
      <c r="C83" s="24"/>
      <c r="D83" s="24"/>
      <c r="E83" s="25" t="str">
        <f aca="false">IF(OR(M83=0,K83="",L83=""),"",MOD(L83-K83,1))</f>
        <v/>
      </c>
      <c r="F83" s="25" t="str">
        <f aca="false">IF(OR(E83="",M83=0),"",IF(WEEKDAY(A83,1)=6,E83,MIN(E83,MAX(0,MIN(IF(L83&lt;K83,L83+1,L83),OMR_OT_AT)-K83))))</f>
        <v/>
      </c>
      <c r="G83" s="25" t="str">
        <f aca="false">IF(OR(E83="",M83=0),"",MAX(0,E83-F83))</f>
        <v/>
      </c>
      <c r="H83" s="26" t="str">
        <f aca="false">IF(OR(E83="",M83=0),"",ROUND((F83*$N$75+G83*$O$75)*24,3))</f>
        <v/>
      </c>
      <c r="I83" s="27"/>
      <c r="K83" s="28" t="str">
        <f aca="false">IF(OR(M83=0,C83=""),"",IF(ISNUMBER(C83),MOD(C83,1),IFERROR(INDEX(القوائم!$B$1:$B$288,MATCH(TRIM(C83),القوائم!$A$1:$A$288,0)),IFERROR(MOD(TIMEVALUE(C83),1),""))))</f>
        <v/>
      </c>
      <c r="L83" s="28" t="str">
        <f aca="false">IF(OR(M83=0,D83=""),"",IF(ISNUMBER(D83),MOD(D83,1),IFERROR(INDEX(القوائم!$B$1:$B$288,MATCH(TRIM(D83),القوائم!$A$1:$A$288,0)),IFERROR(MOD(TIMEVALUE(D83),1),""))))</f>
        <v/>
      </c>
      <c r="M83" s="19" t="n">
        <f aca="false">$M$75</f>
        <v>0</v>
      </c>
      <c r="Q83" s="19" t="n">
        <f aca="false">IF(N(E87)&gt;0,1,0)</f>
        <v>0</v>
      </c>
      <c r="S83" s="0" t="n">
        <v>6</v>
      </c>
    </row>
    <row r="84" customFormat="false" ht="15" hidden="false" customHeight="false" outlineLevel="0" collapsed="false">
      <c r="A84" s="31" t="str">
        <f aca="false">IF(M75=1,"ساعات تحميل الجبسمبورد بهالأسبوع ←","")</f>
        <v/>
      </c>
      <c r="B84" s="31"/>
      <c r="C84" s="31"/>
      <c r="D84" s="31"/>
      <c r="E84" s="32"/>
      <c r="F84" s="33" t="str">
        <f aca="false">IF(M75=1,"كل ساعة تحميل = "&amp;TEXT($P$75,"0.000")&amp;" دينار (منها "&amp;TEXT($N$75,"0.000")&amp;" محسوبة أصلاً بساعات اليوم)","")</f>
        <v/>
      </c>
      <c r="G84" s="33"/>
      <c r="H84" s="33"/>
      <c r="I84" s="33"/>
      <c r="M84" s="19" t="n">
        <f aca="false">$M$75</f>
        <v>0</v>
      </c>
      <c r="Q84" s="19" t="n">
        <f aca="false">IF(N(E87)&gt;0,1,0)</f>
        <v>0</v>
      </c>
      <c r="S84" s="0" t="n">
        <v>6</v>
      </c>
    </row>
    <row r="85" customFormat="false" ht="15" hidden="false" customHeight="false" outlineLevel="0" collapsed="false">
      <c r="A85" s="31" t="str">
        <f aca="false">IF(M75=1,"إكرامية الأسبوع (دينار) ←","")</f>
        <v/>
      </c>
      <c r="B85" s="31"/>
      <c r="C85" s="31"/>
      <c r="D85" s="31"/>
      <c r="E85" s="34"/>
      <c r="F85" s="35"/>
      <c r="G85" s="35"/>
      <c r="H85" s="35"/>
      <c r="I85" s="35"/>
      <c r="M85" s="19" t="n">
        <f aca="false">$M$75</f>
        <v>0</v>
      </c>
      <c r="Q85" s="19" t="n">
        <f aca="false">IF(N(E87)&gt;0,1,0)</f>
        <v>0</v>
      </c>
      <c r="S85" s="0" t="n">
        <v>6</v>
      </c>
    </row>
    <row r="86" customFormat="false" ht="36" hidden="false" customHeight="true" outlineLevel="0" collapsed="false">
      <c r="A86" s="36" t="str">
        <f aca="false">IF(M75=1,"المستحق النهائي للأسبوع","")</f>
        <v/>
      </c>
      <c r="B86" s="36"/>
      <c r="C86" s="36"/>
      <c r="D86" s="36"/>
      <c r="E86" s="36"/>
      <c r="F86" s="36"/>
      <c r="G86" s="36"/>
      <c r="H86" s="11" t="str">
        <f aca="false">IF(M75=1,ROUND(N($V$75)+N(E84)*($P$75-$N$75)+N(E85),3),"")</f>
        <v/>
      </c>
      <c r="I86" s="37"/>
      <c r="M86" s="19" t="n">
        <f aca="false">$M$75</f>
        <v>0</v>
      </c>
      <c r="Q86" s="19" t="n">
        <f aca="false">IF(N(E87)&gt;0,1,0)</f>
        <v>0</v>
      </c>
      <c r="S86" s="0" t="n">
        <v>6</v>
      </c>
      <c r="T86" s="0" t="n">
        <v>1</v>
      </c>
    </row>
    <row r="87" customFormat="false" ht="25.5" hidden="false" customHeight="true" outlineLevel="0" collapsed="false">
      <c r="A87" s="31" t="str">
        <f aca="false">IF(M75=1,"المدفوع (دينار) ←","")</f>
        <v/>
      </c>
      <c r="B87" s="31"/>
      <c r="C87" s="31"/>
      <c r="D87" s="31"/>
      <c r="E87" s="34"/>
      <c r="F87" s="38" t="str">
        <f aca="false">IF(M75=1,IF(N(E87)&gt;0,"✔ انقبض — الأسبوع مقفول","⏳ لسا ما انقبض"),"")</f>
        <v/>
      </c>
      <c r="G87" s="38"/>
      <c r="H87" s="38"/>
      <c r="I87" s="38"/>
      <c r="M87" s="19" t="n">
        <f aca="false">$M$75</f>
        <v>0</v>
      </c>
      <c r="Q87" s="19" t="n">
        <f aca="false">IF(N(E87)&gt;0,1,0)</f>
        <v>0</v>
      </c>
      <c r="S87" s="0" t="n">
        <v>6</v>
      </c>
    </row>
    <row r="88" customFormat="false" ht="9.75" hidden="false" customHeight="true" outlineLevel="0" collapsed="false">
      <c r="M88" s="19" t="n">
        <f aca="false">$M$75</f>
        <v>0</v>
      </c>
      <c r="Q88" s="19" t="n">
        <f aca="false">IF(N(E87)&gt;0,1,0)</f>
        <v>0</v>
      </c>
      <c r="S88" s="0" t="n">
        <v>6</v>
      </c>
      <c r="T88" s="0" t="n">
        <v>2</v>
      </c>
    </row>
    <row r="89" customFormat="false" ht="33.75" hidden="false" customHeight="true" outlineLevel="0" collapsed="false">
      <c r="A89" s="17" t="str">
        <f aca="false">IF(7&lt;=NW,TEXT(DAY(WEEK_ONE+42),"00")&amp;"/"&amp;TEXT(MONTH(WEEK_ONE+42),"00")&amp;"/"&amp;YEAR(WEEK_ONE+42)&amp;"  -  "&amp;TEXT(DAY(WEEK_ONE+48),"00")&amp;"/"&amp;TEXT(MONTH(WEEK_ONE+48),"00")&amp;"/"&amp;YEAR(WEEK_ONE+48)&amp;"   ·   الأسبوع 7"&amp;IF(7&lt;START_O,"   (قبل أسبوع البداية — ما بينحسب)",""),"ما في أسبوع 7 هالسنة")</f>
        <v>07/02/2026  -  13/02/2026   ·   الأسبوع 7   (قبل أسبوع البداية — ما بينحسب)</v>
      </c>
      <c r="B89" s="17"/>
      <c r="C89" s="17"/>
      <c r="D89" s="17"/>
      <c r="E89" s="17"/>
      <c r="F89" s="17"/>
      <c r="G89" s="17"/>
      <c r="H89" s="17"/>
      <c r="I89" s="17"/>
      <c r="L89" s="18" t="n">
        <f aca="false">IF(7&lt;=NW,WEEK_ONE+48,"")</f>
        <v>46066</v>
      </c>
      <c r="M89" s="19" t="n">
        <f aca="false">IF(AND(7&lt;=NW,7&gt;=START_O),1,0)</f>
        <v>0</v>
      </c>
      <c r="N89" s="20" t="n">
        <f aca="false">IFERROR(INDEX(RT_OMR,MATCH(L89,RT_K,1)),INDEX(RT_OMR,1))</f>
        <v>1.25</v>
      </c>
      <c r="O89" s="20" t="n">
        <f aca="false">IFERROR(INDEX(RT_OT,MATCH(L89,RT_K,1)),INDEX(RT_OT,1))</f>
        <v>1.5</v>
      </c>
      <c r="P89" s="20" t="n">
        <f aca="false">IFERROR(INDEX(RT_GYP,MATCH(L89,RT_K,1)),INDEX(RT_GYP,1))</f>
        <v>2.5</v>
      </c>
      <c r="Q89" s="19" t="n">
        <f aca="false">IF(N(E101)&gt;0,1,0)</f>
        <v>0</v>
      </c>
      <c r="R89" s="0" t="n">
        <v>7</v>
      </c>
      <c r="S89" s="0" t="n">
        <v>7</v>
      </c>
      <c r="U89" s="19" t="n">
        <f aca="false">IF(M89=1,SUM(E91:E97),0)</f>
        <v>0</v>
      </c>
      <c r="V89" s="19" t="n">
        <f aca="false">SUM(H91:H97)</f>
        <v>0</v>
      </c>
    </row>
    <row r="90" customFormat="false" ht="39.75" hidden="false" customHeight="true" outlineLevel="0" collapsed="false">
      <c r="A90" s="21" t="s">
        <v>18</v>
      </c>
      <c r="B90" s="21" t="s">
        <v>19</v>
      </c>
      <c r="C90" s="21" t="s">
        <v>20</v>
      </c>
      <c r="D90" s="21" t="s">
        <v>21</v>
      </c>
      <c r="E90" s="21" t="s">
        <v>22</v>
      </c>
      <c r="F90" s="21" t="s">
        <v>23</v>
      </c>
      <c r="G90" s="21" t="s">
        <v>24</v>
      </c>
      <c r="H90" s="21" t="s">
        <v>25</v>
      </c>
      <c r="I90" s="21" t="s">
        <v>26</v>
      </c>
      <c r="M90" s="19" t="n">
        <f aca="false">$M$89</f>
        <v>0</v>
      </c>
      <c r="Q90" s="19" t="n">
        <f aca="false">IF(N(E101)&gt;0,1,0)</f>
        <v>0</v>
      </c>
      <c r="S90" s="0" t="n">
        <v>7</v>
      </c>
    </row>
    <row r="91" customFormat="false" ht="15" hidden="false" customHeight="false" outlineLevel="0" collapsed="false">
      <c r="A91" s="22" t="n">
        <f aca="false">IF(7&lt;=NW,WEEK_ONE+42,"")</f>
        <v>46060</v>
      </c>
      <c r="B91" s="23" t="str">
        <f aca="false">IF(A91="","",CHOOSE(WEEKDAY(A91,1),"الأحد","الاثنين","الثلاثاء","الأربعاء","الخميس","الجمعة","السبت"))</f>
        <v>السبت</v>
      </c>
      <c r="C91" s="24"/>
      <c r="D91" s="24"/>
      <c r="E91" s="25" t="str">
        <f aca="false">IF(OR(M91=0,K91="",L91=""),"",MOD(L91-K91,1))</f>
        <v/>
      </c>
      <c r="F91" s="25" t="str">
        <f aca="false">IF(OR(E91="",M91=0),"",IF(WEEKDAY(A91,1)=6,E91,MIN(E91,MAX(0,MIN(IF(L91&lt;K91,L91+1,L91),OMR_OT_AT)-K91))))</f>
        <v/>
      </c>
      <c r="G91" s="25" t="str">
        <f aca="false">IF(OR(E91="",M91=0),"",MAX(0,E91-F91))</f>
        <v/>
      </c>
      <c r="H91" s="26" t="str">
        <f aca="false">IF(OR(E91="",M91=0),"",ROUND((F91*$N$89+G91*$O$89)*24,3))</f>
        <v/>
      </c>
      <c r="I91" s="27"/>
      <c r="K91" s="28" t="str">
        <f aca="false">IF(OR(M91=0,C91=""),"",IF(ISNUMBER(C91),MOD(C91,1),IFERROR(INDEX(القوائم!$B$1:$B$288,MATCH(TRIM(C91),القوائم!$A$1:$A$288,0)),IFERROR(MOD(TIMEVALUE(C91),1),""))))</f>
        <v/>
      </c>
      <c r="L91" s="28" t="str">
        <f aca="false">IF(OR(M91=0,D91=""),"",IF(ISNUMBER(D91),MOD(D91,1),IFERROR(INDEX(القوائم!$B$1:$B$288,MATCH(TRIM(D91),القوائم!$A$1:$A$288,0)),IFERROR(MOD(TIMEVALUE(D91),1),""))))</f>
        <v/>
      </c>
      <c r="M91" s="19" t="n">
        <f aca="false">$M$89</f>
        <v>0</v>
      </c>
      <c r="Q91" s="19" t="n">
        <f aca="false">IF(N(E101)&gt;0,1,0)</f>
        <v>0</v>
      </c>
      <c r="S91" s="0" t="n">
        <v>7</v>
      </c>
    </row>
    <row r="92" customFormat="false" ht="15" hidden="false" customHeight="false" outlineLevel="0" collapsed="false">
      <c r="A92" s="22" t="n">
        <f aca="false">IF(7&lt;=NW,WEEK_ONE+43,"")</f>
        <v>46061</v>
      </c>
      <c r="B92" s="23" t="str">
        <f aca="false">IF(A92="","",CHOOSE(WEEKDAY(A92,1),"الأحد","الاثنين","الثلاثاء","الأربعاء","الخميس","الجمعة","السبت"))</f>
        <v>الأحد</v>
      </c>
      <c r="C92" s="24"/>
      <c r="D92" s="24"/>
      <c r="E92" s="25" t="str">
        <f aca="false">IF(OR(M92=0,K92="",L92=""),"",MOD(L92-K92,1))</f>
        <v/>
      </c>
      <c r="F92" s="25" t="str">
        <f aca="false">IF(OR(E92="",M92=0),"",IF(WEEKDAY(A92,1)=6,E92,MIN(E92,MAX(0,MIN(IF(L92&lt;K92,L92+1,L92),OMR_OT_AT)-K92))))</f>
        <v/>
      </c>
      <c r="G92" s="25" t="str">
        <f aca="false">IF(OR(E92="",M92=0),"",MAX(0,E92-F92))</f>
        <v/>
      </c>
      <c r="H92" s="26" t="str">
        <f aca="false">IF(OR(E92="",M92=0),"",ROUND((F92*$N$89+G92*$O$89)*24,3))</f>
        <v/>
      </c>
      <c r="I92" s="27"/>
      <c r="K92" s="28" t="str">
        <f aca="false">IF(OR(M92=0,C92=""),"",IF(ISNUMBER(C92),MOD(C92,1),IFERROR(INDEX(القوائم!$B$1:$B$288,MATCH(TRIM(C92),القوائم!$A$1:$A$288,0)),IFERROR(MOD(TIMEVALUE(C92),1),""))))</f>
        <v/>
      </c>
      <c r="L92" s="28" t="str">
        <f aca="false">IF(OR(M92=0,D92=""),"",IF(ISNUMBER(D92),MOD(D92,1),IFERROR(INDEX(القوائم!$B$1:$B$288,MATCH(TRIM(D92),القوائم!$A$1:$A$288,0)),IFERROR(MOD(TIMEVALUE(D92),1),""))))</f>
        <v/>
      </c>
      <c r="M92" s="19" t="n">
        <f aca="false">$M$89</f>
        <v>0</v>
      </c>
      <c r="Q92" s="19" t="n">
        <f aca="false">IF(N(E101)&gt;0,1,0)</f>
        <v>0</v>
      </c>
      <c r="S92" s="0" t="n">
        <v>7</v>
      </c>
    </row>
    <row r="93" customFormat="false" ht="15" hidden="false" customHeight="false" outlineLevel="0" collapsed="false">
      <c r="A93" s="22" t="n">
        <f aca="false">IF(7&lt;=NW,WEEK_ONE+44,"")</f>
        <v>46062</v>
      </c>
      <c r="B93" s="23" t="str">
        <f aca="false">IF(A93="","",CHOOSE(WEEKDAY(A93,1),"الأحد","الاثنين","الثلاثاء","الأربعاء","الخميس","الجمعة","السبت"))</f>
        <v>الاثنين</v>
      </c>
      <c r="C93" s="24"/>
      <c r="D93" s="24"/>
      <c r="E93" s="25" t="str">
        <f aca="false">IF(OR(M93=0,K93="",L93=""),"",MOD(L93-K93,1))</f>
        <v/>
      </c>
      <c r="F93" s="25" t="str">
        <f aca="false">IF(OR(E93="",M93=0),"",IF(WEEKDAY(A93,1)=6,E93,MIN(E93,MAX(0,MIN(IF(L93&lt;K93,L93+1,L93),OMR_OT_AT)-K93))))</f>
        <v/>
      </c>
      <c r="G93" s="25" t="str">
        <f aca="false">IF(OR(E93="",M93=0),"",MAX(0,E93-F93))</f>
        <v/>
      </c>
      <c r="H93" s="26" t="str">
        <f aca="false">IF(OR(E93="",M93=0),"",ROUND((F93*$N$89+G93*$O$89)*24,3))</f>
        <v/>
      </c>
      <c r="I93" s="27"/>
      <c r="K93" s="28" t="str">
        <f aca="false">IF(OR(M93=0,C93=""),"",IF(ISNUMBER(C93),MOD(C93,1),IFERROR(INDEX(القوائم!$B$1:$B$288,MATCH(TRIM(C93),القوائم!$A$1:$A$288,0)),IFERROR(MOD(TIMEVALUE(C93),1),""))))</f>
        <v/>
      </c>
      <c r="L93" s="28" t="str">
        <f aca="false">IF(OR(M93=0,D93=""),"",IF(ISNUMBER(D93),MOD(D93,1),IFERROR(INDEX(القوائم!$B$1:$B$288,MATCH(TRIM(D93),القوائم!$A$1:$A$288,0)),IFERROR(MOD(TIMEVALUE(D93),1),""))))</f>
        <v/>
      </c>
      <c r="M93" s="19" t="n">
        <f aca="false">$M$89</f>
        <v>0</v>
      </c>
      <c r="Q93" s="19" t="n">
        <f aca="false">IF(N(E101)&gt;0,1,0)</f>
        <v>0</v>
      </c>
      <c r="S93" s="0" t="n">
        <v>7</v>
      </c>
    </row>
    <row r="94" customFormat="false" ht="15" hidden="false" customHeight="false" outlineLevel="0" collapsed="false">
      <c r="A94" s="22" t="n">
        <f aca="false">IF(7&lt;=NW,WEEK_ONE+45,"")</f>
        <v>46063</v>
      </c>
      <c r="B94" s="23" t="str">
        <f aca="false">IF(A94="","",CHOOSE(WEEKDAY(A94,1),"الأحد","الاثنين","الثلاثاء","الأربعاء","الخميس","الجمعة","السبت"))</f>
        <v>الثلاثاء</v>
      </c>
      <c r="C94" s="24"/>
      <c r="D94" s="24"/>
      <c r="E94" s="25" t="str">
        <f aca="false">IF(OR(M94=0,K94="",L94=""),"",MOD(L94-K94,1))</f>
        <v/>
      </c>
      <c r="F94" s="25" t="str">
        <f aca="false">IF(OR(E94="",M94=0),"",IF(WEEKDAY(A94,1)=6,E94,MIN(E94,MAX(0,MIN(IF(L94&lt;K94,L94+1,L94),OMR_OT_AT)-K94))))</f>
        <v/>
      </c>
      <c r="G94" s="25" t="str">
        <f aca="false">IF(OR(E94="",M94=0),"",MAX(0,E94-F94))</f>
        <v/>
      </c>
      <c r="H94" s="26" t="str">
        <f aca="false">IF(OR(E94="",M94=0),"",ROUND((F94*$N$89+G94*$O$89)*24,3))</f>
        <v/>
      </c>
      <c r="I94" s="27"/>
      <c r="K94" s="28" t="str">
        <f aca="false">IF(OR(M94=0,C94=""),"",IF(ISNUMBER(C94),MOD(C94,1),IFERROR(INDEX(القوائم!$B$1:$B$288,MATCH(TRIM(C94),القوائم!$A$1:$A$288,0)),IFERROR(MOD(TIMEVALUE(C94),1),""))))</f>
        <v/>
      </c>
      <c r="L94" s="28" t="str">
        <f aca="false">IF(OR(M94=0,D94=""),"",IF(ISNUMBER(D94),MOD(D94,1),IFERROR(INDEX(القوائم!$B$1:$B$288,MATCH(TRIM(D94),القوائم!$A$1:$A$288,0)),IFERROR(MOD(TIMEVALUE(D94),1),""))))</f>
        <v/>
      </c>
      <c r="M94" s="19" t="n">
        <f aca="false">$M$89</f>
        <v>0</v>
      </c>
      <c r="Q94" s="19" t="n">
        <f aca="false">IF(N(E101)&gt;0,1,0)</f>
        <v>0</v>
      </c>
      <c r="S94" s="0" t="n">
        <v>7</v>
      </c>
    </row>
    <row r="95" customFormat="false" ht="15" hidden="false" customHeight="false" outlineLevel="0" collapsed="false">
      <c r="A95" s="22" t="n">
        <f aca="false">IF(7&lt;=NW,WEEK_ONE+46,"")</f>
        <v>46064</v>
      </c>
      <c r="B95" s="23" t="str">
        <f aca="false">IF(A95="","",CHOOSE(WEEKDAY(A95,1),"الأحد","الاثنين","الثلاثاء","الأربعاء","الخميس","الجمعة","السبت"))</f>
        <v>الأربعاء</v>
      </c>
      <c r="C95" s="24"/>
      <c r="D95" s="24"/>
      <c r="E95" s="25" t="str">
        <f aca="false">IF(OR(M95=0,K95="",L95=""),"",MOD(L95-K95,1))</f>
        <v/>
      </c>
      <c r="F95" s="25" t="str">
        <f aca="false">IF(OR(E95="",M95=0),"",IF(WEEKDAY(A95,1)=6,E95,MIN(E95,MAX(0,MIN(IF(L95&lt;K95,L95+1,L95),OMR_OT_AT)-K95))))</f>
        <v/>
      </c>
      <c r="G95" s="25" t="str">
        <f aca="false">IF(OR(E95="",M95=0),"",MAX(0,E95-F95))</f>
        <v/>
      </c>
      <c r="H95" s="26" t="str">
        <f aca="false">IF(OR(E95="",M95=0),"",ROUND((F95*$N$89+G95*$O$89)*24,3))</f>
        <v/>
      </c>
      <c r="I95" s="27"/>
      <c r="K95" s="28" t="str">
        <f aca="false">IF(OR(M95=0,C95=""),"",IF(ISNUMBER(C95),MOD(C95,1),IFERROR(INDEX(القوائم!$B$1:$B$288,MATCH(TRIM(C95),القوائم!$A$1:$A$288,0)),IFERROR(MOD(TIMEVALUE(C95),1),""))))</f>
        <v/>
      </c>
      <c r="L95" s="28" t="str">
        <f aca="false">IF(OR(M95=0,D95=""),"",IF(ISNUMBER(D95),MOD(D95,1),IFERROR(INDEX(القوائم!$B$1:$B$288,MATCH(TRIM(D95),القوائم!$A$1:$A$288,0)),IFERROR(MOD(TIMEVALUE(D95),1),""))))</f>
        <v/>
      </c>
      <c r="M95" s="19" t="n">
        <f aca="false">$M$89</f>
        <v>0</v>
      </c>
      <c r="Q95" s="19" t="n">
        <f aca="false">IF(N(E101)&gt;0,1,0)</f>
        <v>0</v>
      </c>
      <c r="S95" s="0" t="n">
        <v>7</v>
      </c>
    </row>
    <row r="96" customFormat="false" ht="15" hidden="false" customHeight="false" outlineLevel="0" collapsed="false">
      <c r="A96" s="22" t="n">
        <f aca="false">IF(7&lt;=NW,WEEK_ONE+47,"")</f>
        <v>46065</v>
      </c>
      <c r="B96" s="23" t="str">
        <f aca="false">IF(A96="","",CHOOSE(WEEKDAY(A96,1),"الأحد","الاثنين","الثلاثاء","الأربعاء","الخميس","الجمعة","السبت"))</f>
        <v>الخميس</v>
      </c>
      <c r="C96" s="24"/>
      <c r="D96" s="24"/>
      <c r="E96" s="25" t="str">
        <f aca="false">IF(OR(M96=0,K96="",L96=""),"",MOD(L96-K96,1))</f>
        <v/>
      </c>
      <c r="F96" s="25" t="str">
        <f aca="false">IF(OR(E96="",M96=0),"",IF(WEEKDAY(A96,1)=6,E96,MIN(E96,MAX(0,MIN(IF(L96&lt;K96,L96+1,L96),OMR_OT_AT)-K96))))</f>
        <v/>
      </c>
      <c r="G96" s="25" t="str">
        <f aca="false">IF(OR(E96="",M96=0),"",MAX(0,E96-F96))</f>
        <v/>
      </c>
      <c r="H96" s="26" t="str">
        <f aca="false">IF(OR(E96="",M96=0),"",ROUND((F96*$N$89+G96*$O$89)*24,3))</f>
        <v/>
      </c>
      <c r="I96" s="27"/>
      <c r="K96" s="28" t="str">
        <f aca="false">IF(OR(M96=0,C96=""),"",IF(ISNUMBER(C96),MOD(C96,1),IFERROR(INDEX(القوائم!$B$1:$B$288,MATCH(TRIM(C96),القوائم!$A$1:$A$288,0)),IFERROR(MOD(TIMEVALUE(C96),1),""))))</f>
        <v/>
      </c>
      <c r="L96" s="28" t="str">
        <f aca="false">IF(OR(M96=0,D96=""),"",IF(ISNUMBER(D96),MOD(D96,1),IFERROR(INDEX(القوائم!$B$1:$B$288,MATCH(TRIM(D96),القوائم!$A$1:$A$288,0)),IFERROR(MOD(TIMEVALUE(D96),1),""))))</f>
        <v/>
      </c>
      <c r="M96" s="19" t="n">
        <f aca="false">$M$89</f>
        <v>0</v>
      </c>
      <c r="Q96" s="19" t="n">
        <f aca="false">IF(N(E101)&gt;0,1,0)</f>
        <v>0</v>
      </c>
      <c r="S96" s="0" t="n">
        <v>7</v>
      </c>
    </row>
    <row r="97" customFormat="false" ht="15" hidden="false" customHeight="false" outlineLevel="0" collapsed="false">
      <c r="A97" s="29" t="n">
        <f aca="false">IF(7&lt;=NW,WEEK_ONE+48,"")</f>
        <v>46066</v>
      </c>
      <c r="B97" s="30" t="str">
        <f aca="false">IF(A97="","",CHOOSE(WEEKDAY(A97,1),"الأحد","الاثنين","الثلاثاء","الأربعاء","الخميس","الجمعة","السبت"))</f>
        <v>الجمعة</v>
      </c>
      <c r="C97" s="24"/>
      <c r="D97" s="24"/>
      <c r="E97" s="25" t="str">
        <f aca="false">IF(OR(M97=0,K97="",L97=""),"",MOD(L97-K97,1))</f>
        <v/>
      </c>
      <c r="F97" s="25" t="str">
        <f aca="false">IF(OR(E97="",M97=0),"",IF(WEEKDAY(A97,1)=6,E97,MIN(E97,MAX(0,MIN(IF(L97&lt;K97,L97+1,L97),OMR_OT_AT)-K97))))</f>
        <v/>
      </c>
      <c r="G97" s="25" t="str">
        <f aca="false">IF(OR(E97="",M97=0),"",MAX(0,E97-F97))</f>
        <v/>
      </c>
      <c r="H97" s="26" t="str">
        <f aca="false">IF(OR(E97="",M97=0),"",ROUND((F97*$N$89+G97*$O$89)*24,3))</f>
        <v/>
      </c>
      <c r="I97" s="27"/>
      <c r="K97" s="28" t="str">
        <f aca="false">IF(OR(M97=0,C97=""),"",IF(ISNUMBER(C97),MOD(C97,1),IFERROR(INDEX(القوائم!$B$1:$B$288,MATCH(TRIM(C97),القوائم!$A$1:$A$288,0)),IFERROR(MOD(TIMEVALUE(C97),1),""))))</f>
        <v/>
      </c>
      <c r="L97" s="28" t="str">
        <f aca="false">IF(OR(M97=0,D97=""),"",IF(ISNUMBER(D97),MOD(D97,1),IFERROR(INDEX(القوائم!$B$1:$B$288,MATCH(TRIM(D97),القوائم!$A$1:$A$288,0)),IFERROR(MOD(TIMEVALUE(D97),1),""))))</f>
        <v/>
      </c>
      <c r="M97" s="19" t="n">
        <f aca="false">$M$89</f>
        <v>0</v>
      </c>
      <c r="Q97" s="19" t="n">
        <f aca="false">IF(N(E101)&gt;0,1,0)</f>
        <v>0</v>
      </c>
      <c r="S97" s="0" t="n">
        <v>7</v>
      </c>
    </row>
    <row r="98" customFormat="false" ht="15" hidden="false" customHeight="false" outlineLevel="0" collapsed="false">
      <c r="A98" s="31" t="str">
        <f aca="false">IF(M89=1,"ساعات تحميل الجبسمبورد بهالأسبوع ←","")</f>
        <v/>
      </c>
      <c r="B98" s="31"/>
      <c r="C98" s="31"/>
      <c r="D98" s="31"/>
      <c r="E98" s="32"/>
      <c r="F98" s="33" t="str">
        <f aca="false">IF(M89=1,"كل ساعة تحميل = "&amp;TEXT($P$89,"0.000")&amp;" دينار (منها "&amp;TEXT($N$89,"0.000")&amp;" محسوبة أصلاً بساعات اليوم)","")</f>
        <v/>
      </c>
      <c r="G98" s="33"/>
      <c r="H98" s="33"/>
      <c r="I98" s="33"/>
      <c r="M98" s="19" t="n">
        <f aca="false">$M$89</f>
        <v>0</v>
      </c>
      <c r="Q98" s="19" t="n">
        <f aca="false">IF(N(E101)&gt;0,1,0)</f>
        <v>0</v>
      </c>
      <c r="S98" s="0" t="n">
        <v>7</v>
      </c>
    </row>
    <row r="99" customFormat="false" ht="15" hidden="false" customHeight="false" outlineLevel="0" collapsed="false">
      <c r="A99" s="31" t="str">
        <f aca="false">IF(M89=1,"إكرامية الأسبوع (دينار) ←","")</f>
        <v/>
      </c>
      <c r="B99" s="31"/>
      <c r="C99" s="31"/>
      <c r="D99" s="31"/>
      <c r="E99" s="34"/>
      <c r="F99" s="35"/>
      <c r="G99" s="35"/>
      <c r="H99" s="35"/>
      <c r="I99" s="35"/>
      <c r="M99" s="19" t="n">
        <f aca="false">$M$89</f>
        <v>0</v>
      </c>
      <c r="Q99" s="19" t="n">
        <f aca="false">IF(N(E101)&gt;0,1,0)</f>
        <v>0</v>
      </c>
      <c r="S99" s="0" t="n">
        <v>7</v>
      </c>
    </row>
    <row r="100" customFormat="false" ht="36" hidden="false" customHeight="true" outlineLevel="0" collapsed="false">
      <c r="A100" s="36" t="str">
        <f aca="false">IF(M89=1,"المستحق النهائي للأسبوع","")</f>
        <v/>
      </c>
      <c r="B100" s="36"/>
      <c r="C100" s="36"/>
      <c r="D100" s="36"/>
      <c r="E100" s="36"/>
      <c r="F100" s="36"/>
      <c r="G100" s="36"/>
      <c r="H100" s="11" t="str">
        <f aca="false">IF(M89=1,ROUND(N($V$89)+N(E98)*($P$89-$N$89)+N(E99),3),"")</f>
        <v/>
      </c>
      <c r="I100" s="37"/>
      <c r="M100" s="19" t="n">
        <f aca="false">$M$89</f>
        <v>0</v>
      </c>
      <c r="Q100" s="19" t="n">
        <f aca="false">IF(N(E101)&gt;0,1,0)</f>
        <v>0</v>
      </c>
      <c r="S100" s="0" t="n">
        <v>7</v>
      </c>
      <c r="T100" s="0" t="n">
        <v>1</v>
      </c>
    </row>
    <row r="101" customFormat="false" ht="25.5" hidden="false" customHeight="true" outlineLevel="0" collapsed="false">
      <c r="A101" s="31" t="str">
        <f aca="false">IF(M89=1,"المدفوع (دينار) ←","")</f>
        <v/>
      </c>
      <c r="B101" s="31"/>
      <c r="C101" s="31"/>
      <c r="D101" s="31"/>
      <c r="E101" s="34"/>
      <c r="F101" s="38" t="str">
        <f aca="false">IF(M89=1,IF(N(E101)&gt;0,"✔ انقبض — الأسبوع مقفول","⏳ لسا ما انقبض"),"")</f>
        <v/>
      </c>
      <c r="G101" s="38"/>
      <c r="H101" s="38"/>
      <c r="I101" s="38"/>
      <c r="M101" s="19" t="n">
        <f aca="false">$M$89</f>
        <v>0</v>
      </c>
      <c r="Q101" s="19" t="n">
        <f aca="false">IF(N(E101)&gt;0,1,0)</f>
        <v>0</v>
      </c>
      <c r="S101" s="0" t="n">
        <v>7</v>
      </c>
    </row>
    <row r="102" customFormat="false" ht="9.75" hidden="false" customHeight="true" outlineLevel="0" collapsed="false">
      <c r="M102" s="19" t="n">
        <f aca="false">$M$89</f>
        <v>0</v>
      </c>
      <c r="Q102" s="19" t="n">
        <f aca="false">IF(N(E101)&gt;0,1,0)</f>
        <v>0</v>
      </c>
      <c r="S102" s="0" t="n">
        <v>7</v>
      </c>
      <c r="T102" s="0" t="n">
        <v>2</v>
      </c>
    </row>
    <row r="103" customFormat="false" ht="33.75" hidden="false" customHeight="true" outlineLevel="0" collapsed="false">
      <c r="A103" s="17" t="str">
        <f aca="false">IF(8&lt;=NW,TEXT(DAY(WEEK_ONE+49),"00")&amp;"/"&amp;TEXT(MONTH(WEEK_ONE+49),"00")&amp;"/"&amp;YEAR(WEEK_ONE+49)&amp;"  -  "&amp;TEXT(DAY(WEEK_ONE+55),"00")&amp;"/"&amp;TEXT(MONTH(WEEK_ONE+55),"00")&amp;"/"&amp;YEAR(WEEK_ONE+55)&amp;"   ·   الأسبوع 8"&amp;IF(8&lt;START_O,"   (قبل أسبوع البداية — ما بينحسب)",""),"ما في أسبوع 8 هالسنة")</f>
        <v>14/02/2026  -  20/02/2026   ·   الأسبوع 8   (قبل أسبوع البداية — ما بينحسب)</v>
      </c>
      <c r="B103" s="17"/>
      <c r="C103" s="17"/>
      <c r="D103" s="17"/>
      <c r="E103" s="17"/>
      <c r="F103" s="17"/>
      <c r="G103" s="17"/>
      <c r="H103" s="17"/>
      <c r="I103" s="17"/>
      <c r="L103" s="18" t="n">
        <f aca="false">IF(8&lt;=NW,WEEK_ONE+55,"")</f>
        <v>46073</v>
      </c>
      <c r="M103" s="19" t="n">
        <f aca="false">IF(AND(8&lt;=NW,8&gt;=START_O),1,0)</f>
        <v>0</v>
      </c>
      <c r="N103" s="20" t="n">
        <f aca="false">IFERROR(INDEX(RT_OMR,MATCH(L103,RT_K,1)),INDEX(RT_OMR,1))</f>
        <v>1.25</v>
      </c>
      <c r="O103" s="20" t="n">
        <f aca="false">IFERROR(INDEX(RT_OT,MATCH(L103,RT_K,1)),INDEX(RT_OT,1))</f>
        <v>1.5</v>
      </c>
      <c r="P103" s="20" t="n">
        <f aca="false">IFERROR(INDEX(RT_GYP,MATCH(L103,RT_K,1)),INDEX(RT_GYP,1))</f>
        <v>2.5</v>
      </c>
      <c r="Q103" s="19" t="n">
        <f aca="false">IF(N(E115)&gt;0,1,0)</f>
        <v>0</v>
      </c>
      <c r="R103" s="0" t="n">
        <v>8</v>
      </c>
      <c r="S103" s="0" t="n">
        <v>8</v>
      </c>
      <c r="U103" s="19" t="n">
        <f aca="false">IF(M103=1,SUM(E105:E111),0)</f>
        <v>0</v>
      </c>
      <c r="V103" s="19" t="n">
        <f aca="false">SUM(H105:H111)</f>
        <v>0</v>
      </c>
    </row>
    <row r="104" customFormat="false" ht="39.75" hidden="false" customHeight="true" outlineLevel="0" collapsed="false">
      <c r="A104" s="21" t="s">
        <v>18</v>
      </c>
      <c r="B104" s="21" t="s">
        <v>19</v>
      </c>
      <c r="C104" s="21" t="s">
        <v>20</v>
      </c>
      <c r="D104" s="21" t="s">
        <v>21</v>
      </c>
      <c r="E104" s="21" t="s">
        <v>22</v>
      </c>
      <c r="F104" s="21" t="s">
        <v>23</v>
      </c>
      <c r="G104" s="21" t="s">
        <v>24</v>
      </c>
      <c r="H104" s="21" t="s">
        <v>25</v>
      </c>
      <c r="I104" s="21" t="s">
        <v>26</v>
      </c>
      <c r="M104" s="19" t="n">
        <f aca="false">$M$103</f>
        <v>0</v>
      </c>
      <c r="Q104" s="19" t="n">
        <f aca="false">IF(N(E115)&gt;0,1,0)</f>
        <v>0</v>
      </c>
      <c r="S104" s="0" t="n">
        <v>8</v>
      </c>
    </row>
    <row r="105" customFormat="false" ht="15" hidden="false" customHeight="false" outlineLevel="0" collapsed="false">
      <c r="A105" s="22" t="n">
        <f aca="false">IF(8&lt;=NW,WEEK_ONE+49,"")</f>
        <v>46067</v>
      </c>
      <c r="B105" s="23" t="str">
        <f aca="false">IF(A105="","",CHOOSE(WEEKDAY(A105,1),"الأحد","الاثنين","الثلاثاء","الأربعاء","الخميس","الجمعة","السبت"))</f>
        <v>السبت</v>
      </c>
      <c r="C105" s="24"/>
      <c r="D105" s="24"/>
      <c r="E105" s="25" t="str">
        <f aca="false">IF(OR(M105=0,K105="",L105=""),"",MOD(L105-K105,1))</f>
        <v/>
      </c>
      <c r="F105" s="25" t="str">
        <f aca="false">IF(OR(E105="",M105=0),"",IF(WEEKDAY(A105,1)=6,E105,MIN(E105,MAX(0,MIN(IF(L105&lt;K105,L105+1,L105),OMR_OT_AT)-K105))))</f>
        <v/>
      </c>
      <c r="G105" s="25" t="str">
        <f aca="false">IF(OR(E105="",M105=0),"",MAX(0,E105-F105))</f>
        <v/>
      </c>
      <c r="H105" s="26" t="str">
        <f aca="false">IF(OR(E105="",M105=0),"",ROUND((F105*$N$103+G105*$O$103)*24,3))</f>
        <v/>
      </c>
      <c r="I105" s="27"/>
      <c r="K105" s="28" t="str">
        <f aca="false">IF(OR(M105=0,C105=""),"",IF(ISNUMBER(C105),MOD(C105,1),IFERROR(INDEX(القوائم!$B$1:$B$288,MATCH(TRIM(C105),القوائم!$A$1:$A$288,0)),IFERROR(MOD(TIMEVALUE(C105),1),""))))</f>
        <v/>
      </c>
      <c r="L105" s="28" t="str">
        <f aca="false">IF(OR(M105=0,D105=""),"",IF(ISNUMBER(D105),MOD(D105,1),IFERROR(INDEX(القوائم!$B$1:$B$288,MATCH(TRIM(D105),القوائم!$A$1:$A$288,0)),IFERROR(MOD(TIMEVALUE(D105),1),""))))</f>
        <v/>
      </c>
      <c r="M105" s="19" t="n">
        <f aca="false">$M$103</f>
        <v>0</v>
      </c>
      <c r="Q105" s="19" t="n">
        <f aca="false">IF(N(E115)&gt;0,1,0)</f>
        <v>0</v>
      </c>
      <c r="S105" s="0" t="n">
        <v>8</v>
      </c>
    </row>
    <row r="106" customFormat="false" ht="15" hidden="false" customHeight="false" outlineLevel="0" collapsed="false">
      <c r="A106" s="22" t="n">
        <f aca="false">IF(8&lt;=NW,WEEK_ONE+50,"")</f>
        <v>46068</v>
      </c>
      <c r="B106" s="23" t="str">
        <f aca="false">IF(A106="","",CHOOSE(WEEKDAY(A106,1),"الأحد","الاثنين","الثلاثاء","الأربعاء","الخميس","الجمعة","السبت"))</f>
        <v>الأحد</v>
      </c>
      <c r="C106" s="24"/>
      <c r="D106" s="24"/>
      <c r="E106" s="25" t="str">
        <f aca="false">IF(OR(M106=0,K106="",L106=""),"",MOD(L106-K106,1))</f>
        <v/>
      </c>
      <c r="F106" s="25" t="str">
        <f aca="false">IF(OR(E106="",M106=0),"",IF(WEEKDAY(A106,1)=6,E106,MIN(E106,MAX(0,MIN(IF(L106&lt;K106,L106+1,L106),OMR_OT_AT)-K106))))</f>
        <v/>
      </c>
      <c r="G106" s="25" t="str">
        <f aca="false">IF(OR(E106="",M106=0),"",MAX(0,E106-F106))</f>
        <v/>
      </c>
      <c r="H106" s="26" t="str">
        <f aca="false">IF(OR(E106="",M106=0),"",ROUND((F106*$N$103+G106*$O$103)*24,3))</f>
        <v/>
      </c>
      <c r="I106" s="27"/>
      <c r="K106" s="28" t="str">
        <f aca="false">IF(OR(M106=0,C106=""),"",IF(ISNUMBER(C106),MOD(C106,1),IFERROR(INDEX(القوائم!$B$1:$B$288,MATCH(TRIM(C106),القوائم!$A$1:$A$288,0)),IFERROR(MOD(TIMEVALUE(C106),1),""))))</f>
        <v/>
      </c>
      <c r="L106" s="28" t="str">
        <f aca="false">IF(OR(M106=0,D106=""),"",IF(ISNUMBER(D106),MOD(D106,1),IFERROR(INDEX(القوائم!$B$1:$B$288,MATCH(TRIM(D106),القوائم!$A$1:$A$288,0)),IFERROR(MOD(TIMEVALUE(D106),1),""))))</f>
        <v/>
      </c>
      <c r="M106" s="19" t="n">
        <f aca="false">$M$103</f>
        <v>0</v>
      </c>
      <c r="Q106" s="19" t="n">
        <f aca="false">IF(N(E115)&gt;0,1,0)</f>
        <v>0</v>
      </c>
      <c r="S106" s="0" t="n">
        <v>8</v>
      </c>
    </row>
    <row r="107" customFormat="false" ht="15" hidden="false" customHeight="false" outlineLevel="0" collapsed="false">
      <c r="A107" s="22" t="n">
        <f aca="false">IF(8&lt;=NW,WEEK_ONE+51,"")</f>
        <v>46069</v>
      </c>
      <c r="B107" s="23" t="str">
        <f aca="false">IF(A107="","",CHOOSE(WEEKDAY(A107,1),"الأحد","الاثنين","الثلاثاء","الأربعاء","الخميس","الجمعة","السبت"))</f>
        <v>الاثنين</v>
      </c>
      <c r="C107" s="24"/>
      <c r="D107" s="24"/>
      <c r="E107" s="25" t="str">
        <f aca="false">IF(OR(M107=0,K107="",L107=""),"",MOD(L107-K107,1))</f>
        <v/>
      </c>
      <c r="F107" s="25" t="str">
        <f aca="false">IF(OR(E107="",M107=0),"",IF(WEEKDAY(A107,1)=6,E107,MIN(E107,MAX(0,MIN(IF(L107&lt;K107,L107+1,L107),OMR_OT_AT)-K107))))</f>
        <v/>
      </c>
      <c r="G107" s="25" t="str">
        <f aca="false">IF(OR(E107="",M107=0),"",MAX(0,E107-F107))</f>
        <v/>
      </c>
      <c r="H107" s="26" t="str">
        <f aca="false">IF(OR(E107="",M107=0),"",ROUND((F107*$N$103+G107*$O$103)*24,3))</f>
        <v/>
      </c>
      <c r="I107" s="27"/>
      <c r="K107" s="28" t="str">
        <f aca="false">IF(OR(M107=0,C107=""),"",IF(ISNUMBER(C107),MOD(C107,1),IFERROR(INDEX(القوائم!$B$1:$B$288,MATCH(TRIM(C107),القوائم!$A$1:$A$288,0)),IFERROR(MOD(TIMEVALUE(C107),1),""))))</f>
        <v/>
      </c>
      <c r="L107" s="28" t="str">
        <f aca="false">IF(OR(M107=0,D107=""),"",IF(ISNUMBER(D107),MOD(D107,1),IFERROR(INDEX(القوائم!$B$1:$B$288,MATCH(TRIM(D107),القوائم!$A$1:$A$288,0)),IFERROR(MOD(TIMEVALUE(D107),1),""))))</f>
        <v/>
      </c>
      <c r="M107" s="19" t="n">
        <f aca="false">$M$103</f>
        <v>0</v>
      </c>
      <c r="Q107" s="19" t="n">
        <f aca="false">IF(N(E115)&gt;0,1,0)</f>
        <v>0</v>
      </c>
      <c r="S107" s="0" t="n">
        <v>8</v>
      </c>
    </row>
    <row r="108" customFormat="false" ht="15" hidden="false" customHeight="false" outlineLevel="0" collapsed="false">
      <c r="A108" s="22" t="n">
        <f aca="false">IF(8&lt;=NW,WEEK_ONE+52,"")</f>
        <v>46070</v>
      </c>
      <c r="B108" s="23" t="str">
        <f aca="false">IF(A108="","",CHOOSE(WEEKDAY(A108,1),"الأحد","الاثنين","الثلاثاء","الأربعاء","الخميس","الجمعة","السبت"))</f>
        <v>الثلاثاء</v>
      </c>
      <c r="C108" s="24"/>
      <c r="D108" s="24"/>
      <c r="E108" s="25" t="str">
        <f aca="false">IF(OR(M108=0,K108="",L108=""),"",MOD(L108-K108,1))</f>
        <v/>
      </c>
      <c r="F108" s="25" t="str">
        <f aca="false">IF(OR(E108="",M108=0),"",IF(WEEKDAY(A108,1)=6,E108,MIN(E108,MAX(0,MIN(IF(L108&lt;K108,L108+1,L108),OMR_OT_AT)-K108))))</f>
        <v/>
      </c>
      <c r="G108" s="25" t="str">
        <f aca="false">IF(OR(E108="",M108=0),"",MAX(0,E108-F108))</f>
        <v/>
      </c>
      <c r="H108" s="26" t="str">
        <f aca="false">IF(OR(E108="",M108=0),"",ROUND((F108*$N$103+G108*$O$103)*24,3))</f>
        <v/>
      </c>
      <c r="I108" s="27"/>
      <c r="K108" s="28" t="str">
        <f aca="false">IF(OR(M108=0,C108=""),"",IF(ISNUMBER(C108),MOD(C108,1),IFERROR(INDEX(القوائم!$B$1:$B$288,MATCH(TRIM(C108),القوائم!$A$1:$A$288,0)),IFERROR(MOD(TIMEVALUE(C108),1),""))))</f>
        <v/>
      </c>
      <c r="L108" s="28" t="str">
        <f aca="false">IF(OR(M108=0,D108=""),"",IF(ISNUMBER(D108),MOD(D108,1),IFERROR(INDEX(القوائم!$B$1:$B$288,MATCH(TRIM(D108),القوائم!$A$1:$A$288,0)),IFERROR(MOD(TIMEVALUE(D108),1),""))))</f>
        <v/>
      </c>
      <c r="M108" s="19" t="n">
        <f aca="false">$M$103</f>
        <v>0</v>
      </c>
      <c r="Q108" s="19" t="n">
        <f aca="false">IF(N(E115)&gt;0,1,0)</f>
        <v>0</v>
      </c>
      <c r="S108" s="0" t="n">
        <v>8</v>
      </c>
    </row>
    <row r="109" customFormat="false" ht="15" hidden="false" customHeight="false" outlineLevel="0" collapsed="false">
      <c r="A109" s="22" t="n">
        <f aca="false">IF(8&lt;=NW,WEEK_ONE+53,"")</f>
        <v>46071</v>
      </c>
      <c r="B109" s="23" t="str">
        <f aca="false">IF(A109="","",CHOOSE(WEEKDAY(A109,1),"الأحد","الاثنين","الثلاثاء","الأربعاء","الخميس","الجمعة","السبت"))</f>
        <v>الأربعاء</v>
      </c>
      <c r="C109" s="24"/>
      <c r="D109" s="24"/>
      <c r="E109" s="25" t="str">
        <f aca="false">IF(OR(M109=0,K109="",L109=""),"",MOD(L109-K109,1))</f>
        <v/>
      </c>
      <c r="F109" s="25" t="str">
        <f aca="false">IF(OR(E109="",M109=0),"",IF(WEEKDAY(A109,1)=6,E109,MIN(E109,MAX(0,MIN(IF(L109&lt;K109,L109+1,L109),OMR_OT_AT)-K109))))</f>
        <v/>
      </c>
      <c r="G109" s="25" t="str">
        <f aca="false">IF(OR(E109="",M109=0),"",MAX(0,E109-F109))</f>
        <v/>
      </c>
      <c r="H109" s="26" t="str">
        <f aca="false">IF(OR(E109="",M109=0),"",ROUND((F109*$N$103+G109*$O$103)*24,3))</f>
        <v/>
      </c>
      <c r="I109" s="27"/>
      <c r="K109" s="28" t="str">
        <f aca="false">IF(OR(M109=0,C109=""),"",IF(ISNUMBER(C109),MOD(C109,1),IFERROR(INDEX(القوائم!$B$1:$B$288,MATCH(TRIM(C109),القوائم!$A$1:$A$288,0)),IFERROR(MOD(TIMEVALUE(C109),1),""))))</f>
        <v/>
      </c>
      <c r="L109" s="28" t="str">
        <f aca="false">IF(OR(M109=0,D109=""),"",IF(ISNUMBER(D109),MOD(D109,1),IFERROR(INDEX(القوائم!$B$1:$B$288,MATCH(TRIM(D109),القوائم!$A$1:$A$288,0)),IFERROR(MOD(TIMEVALUE(D109),1),""))))</f>
        <v/>
      </c>
      <c r="M109" s="19" t="n">
        <f aca="false">$M$103</f>
        <v>0</v>
      </c>
      <c r="Q109" s="19" t="n">
        <f aca="false">IF(N(E115)&gt;0,1,0)</f>
        <v>0</v>
      </c>
      <c r="S109" s="0" t="n">
        <v>8</v>
      </c>
    </row>
    <row r="110" customFormat="false" ht="15" hidden="false" customHeight="false" outlineLevel="0" collapsed="false">
      <c r="A110" s="22" t="n">
        <f aca="false">IF(8&lt;=NW,WEEK_ONE+54,"")</f>
        <v>46072</v>
      </c>
      <c r="B110" s="23" t="str">
        <f aca="false">IF(A110="","",CHOOSE(WEEKDAY(A110,1),"الأحد","الاثنين","الثلاثاء","الأربعاء","الخميس","الجمعة","السبت"))</f>
        <v>الخميس</v>
      </c>
      <c r="C110" s="24"/>
      <c r="D110" s="24"/>
      <c r="E110" s="25" t="str">
        <f aca="false">IF(OR(M110=0,K110="",L110=""),"",MOD(L110-K110,1))</f>
        <v/>
      </c>
      <c r="F110" s="25" t="str">
        <f aca="false">IF(OR(E110="",M110=0),"",IF(WEEKDAY(A110,1)=6,E110,MIN(E110,MAX(0,MIN(IF(L110&lt;K110,L110+1,L110),OMR_OT_AT)-K110))))</f>
        <v/>
      </c>
      <c r="G110" s="25" t="str">
        <f aca="false">IF(OR(E110="",M110=0),"",MAX(0,E110-F110))</f>
        <v/>
      </c>
      <c r="H110" s="26" t="str">
        <f aca="false">IF(OR(E110="",M110=0),"",ROUND((F110*$N$103+G110*$O$103)*24,3))</f>
        <v/>
      </c>
      <c r="I110" s="27"/>
      <c r="K110" s="28" t="str">
        <f aca="false">IF(OR(M110=0,C110=""),"",IF(ISNUMBER(C110),MOD(C110,1),IFERROR(INDEX(القوائم!$B$1:$B$288,MATCH(TRIM(C110),القوائم!$A$1:$A$288,0)),IFERROR(MOD(TIMEVALUE(C110),1),""))))</f>
        <v/>
      </c>
      <c r="L110" s="28" t="str">
        <f aca="false">IF(OR(M110=0,D110=""),"",IF(ISNUMBER(D110),MOD(D110,1),IFERROR(INDEX(القوائم!$B$1:$B$288,MATCH(TRIM(D110),القوائم!$A$1:$A$288,0)),IFERROR(MOD(TIMEVALUE(D110),1),""))))</f>
        <v/>
      </c>
      <c r="M110" s="19" t="n">
        <f aca="false">$M$103</f>
        <v>0</v>
      </c>
      <c r="Q110" s="19" t="n">
        <f aca="false">IF(N(E115)&gt;0,1,0)</f>
        <v>0</v>
      </c>
      <c r="S110" s="0" t="n">
        <v>8</v>
      </c>
    </row>
    <row r="111" customFormat="false" ht="15" hidden="false" customHeight="false" outlineLevel="0" collapsed="false">
      <c r="A111" s="29" t="n">
        <f aca="false">IF(8&lt;=NW,WEEK_ONE+55,"")</f>
        <v>46073</v>
      </c>
      <c r="B111" s="30" t="str">
        <f aca="false">IF(A111="","",CHOOSE(WEEKDAY(A111,1),"الأحد","الاثنين","الثلاثاء","الأربعاء","الخميس","الجمعة","السبت"))</f>
        <v>الجمعة</v>
      </c>
      <c r="C111" s="24"/>
      <c r="D111" s="24"/>
      <c r="E111" s="25" t="str">
        <f aca="false">IF(OR(M111=0,K111="",L111=""),"",MOD(L111-K111,1))</f>
        <v/>
      </c>
      <c r="F111" s="25" t="str">
        <f aca="false">IF(OR(E111="",M111=0),"",IF(WEEKDAY(A111,1)=6,E111,MIN(E111,MAX(0,MIN(IF(L111&lt;K111,L111+1,L111),OMR_OT_AT)-K111))))</f>
        <v/>
      </c>
      <c r="G111" s="25" t="str">
        <f aca="false">IF(OR(E111="",M111=0),"",MAX(0,E111-F111))</f>
        <v/>
      </c>
      <c r="H111" s="26" t="str">
        <f aca="false">IF(OR(E111="",M111=0),"",ROUND((F111*$N$103+G111*$O$103)*24,3))</f>
        <v/>
      </c>
      <c r="I111" s="27"/>
      <c r="K111" s="28" t="str">
        <f aca="false">IF(OR(M111=0,C111=""),"",IF(ISNUMBER(C111),MOD(C111,1),IFERROR(INDEX(القوائم!$B$1:$B$288,MATCH(TRIM(C111),القوائم!$A$1:$A$288,0)),IFERROR(MOD(TIMEVALUE(C111),1),""))))</f>
        <v/>
      </c>
      <c r="L111" s="28" t="str">
        <f aca="false">IF(OR(M111=0,D111=""),"",IF(ISNUMBER(D111),MOD(D111,1),IFERROR(INDEX(القوائم!$B$1:$B$288,MATCH(TRIM(D111),القوائم!$A$1:$A$288,0)),IFERROR(MOD(TIMEVALUE(D111),1),""))))</f>
        <v/>
      </c>
      <c r="M111" s="19" t="n">
        <f aca="false">$M$103</f>
        <v>0</v>
      </c>
      <c r="Q111" s="19" t="n">
        <f aca="false">IF(N(E115)&gt;0,1,0)</f>
        <v>0</v>
      </c>
      <c r="S111" s="0" t="n">
        <v>8</v>
      </c>
    </row>
    <row r="112" customFormat="false" ht="15" hidden="false" customHeight="false" outlineLevel="0" collapsed="false">
      <c r="A112" s="31" t="str">
        <f aca="false">IF(M103=1,"ساعات تحميل الجبسمبورد بهالأسبوع ←","")</f>
        <v/>
      </c>
      <c r="B112" s="31"/>
      <c r="C112" s="31"/>
      <c r="D112" s="31"/>
      <c r="E112" s="32"/>
      <c r="F112" s="33" t="str">
        <f aca="false">IF(M103=1,"كل ساعة تحميل = "&amp;TEXT($P$103,"0.000")&amp;" دينار (منها "&amp;TEXT($N$103,"0.000")&amp;" محسوبة أصلاً بساعات اليوم)","")</f>
        <v/>
      </c>
      <c r="G112" s="33"/>
      <c r="H112" s="33"/>
      <c r="I112" s="33"/>
      <c r="M112" s="19" t="n">
        <f aca="false">$M$103</f>
        <v>0</v>
      </c>
      <c r="Q112" s="19" t="n">
        <f aca="false">IF(N(E115)&gt;0,1,0)</f>
        <v>0</v>
      </c>
      <c r="S112" s="0" t="n">
        <v>8</v>
      </c>
    </row>
    <row r="113" customFormat="false" ht="15" hidden="false" customHeight="false" outlineLevel="0" collapsed="false">
      <c r="A113" s="31" t="str">
        <f aca="false">IF(M103=1,"إكرامية الأسبوع (دينار) ←","")</f>
        <v/>
      </c>
      <c r="B113" s="31"/>
      <c r="C113" s="31"/>
      <c r="D113" s="31"/>
      <c r="E113" s="34"/>
      <c r="F113" s="35"/>
      <c r="G113" s="35"/>
      <c r="H113" s="35"/>
      <c r="I113" s="35"/>
      <c r="M113" s="19" t="n">
        <f aca="false">$M$103</f>
        <v>0</v>
      </c>
      <c r="Q113" s="19" t="n">
        <f aca="false">IF(N(E115)&gt;0,1,0)</f>
        <v>0</v>
      </c>
      <c r="S113" s="0" t="n">
        <v>8</v>
      </c>
    </row>
    <row r="114" customFormat="false" ht="36" hidden="false" customHeight="true" outlineLevel="0" collapsed="false">
      <c r="A114" s="36" t="str">
        <f aca="false">IF(M103=1,"المستحق النهائي للأسبوع","")</f>
        <v/>
      </c>
      <c r="B114" s="36"/>
      <c r="C114" s="36"/>
      <c r="D114" s="36"/>
      <c r="E114" s="36"/>
      <c r="F114" s="36"/>
      <c r="G114" s="36"/>
      <c r="H114" s="11" t="str">
        <f aca="false">IF(M103=1,ROUND(N($V$103)+N(E112)*($P$103-$N$103)+N(E113),3),"")</f>
        <v/>
      </c>
      <c r="I114" s="37"/>
      <c r="M114" s="19" t="n">
        <f aca="false">$M$103</f>
        <v>0</v>
      </c>
      <c r="Q114" s="19" t="n">
        <f aca="false">IF(N(E115)&gt;0,1,0)</f>
        <v>0</v>
      </c>
      <c r="S114" s="0" t="n">
        <v>8</v>
      </c>
      <c r="T114" s="0" t="n">
        <v>1</v>
      </c>
    </row>
    <row r="115" customFormat="false" ht="25.5" hidden="false" customHeight="true" outlineLevel="0" collapsed="false">
      <c r="A115" s="31" t="str">
        <f aca="false">IF(M103=1,"المدفوع (دينار) ←","")</f>
        <v/>
      </c>
      <c r="B115" s="31"/>
      <c r="C115" s="31"/>
      <c r="D115" s="31"/>
      <c r="E115" s="34"/>
      <c r="F115" s="38" t="str">
        <f aca="false">IF(M103=1,IF(N(E115)&gt;0,"✔ انقبض — الأسبوع مقفول","⏳ لسا ما انقبض"),"")</f>
        <v/>
      </c>
      <c r="G115" s="38"/>
      <c r="H115" s="38"/>
      <c r="I115" s="38"/>
      <c r="M115" s="19" t="n">
        <f aca="false">$M$103</f>
        <v>0</v>
      </c>
      <c r="Q115" s="19" t="n">
        <f aca="false">IF(N(E115)&gt;0,1,0)</f>
        <v>0</v>
      </c>
      <c r="S115" s="0" t="n">
        <v>8</v>
      </c>
    </row>
    <row r="116" customFormat="false" ht="9.75" hidden="false" customHeight="true" outlineLevel="0" collapsed="false">
      <c r="M116" s="19" t="n">
        <f aca="false">$M$103</f>
        <v>0</v>
      </c>
      <c r="Q116" s="19" t="n">
        <f aca="false">IF(N(E115)&gt;0,1,0)</f>
        <v>0</v>
      </c>
      <c r="S116" s="0" t="n">
        <v>8</v>
      </c>
      <c r="T116" s="0" t="n">
        <v>2</v>
      </c>
    </row>
    <row r="117" customFormat="false" ht="33.75" hidden="false" customHeight="true" outlineLevel="0" collapsed="false">
      <c r="A117" s="17" t="str">
        <f aca="false">IF(9&lt;=NW,TEXT(DAY(WEEK_ONE+56),"00")&amp;"/"&amp;TEXT(MONTH(WEEK_ONE+56),"00")&amp;"/"&amp;YEAR(WEEK_ONE+56)&amp;"  -  "&amp;TEXT(DAY(WEEK_ONE+62),"00")&amp;"/"&amp;TEXT(MONTH(WEEK_ONE+62),"00")&amp;"/"&amp;YEAR(WEEK_ONE+62)&amp;"   ·   الأسبوع 9"&amp;IF(9&lt;START_O,"   (قبل أسبوع البداية — ما بينحسب)",""),"ما في أسبوع 9 هالسنة")</f>
        <v>21/02/2026  -  27/02/2026   ·   الأسبوع 9   (قبل أسبوع البداية — ما بينحسب)</v>
      </c>
      <c r="B117" s="17"/>
      <c r="C117" s="17"/>
      <c r="D117" s="17"/>
      <c r="E117" s="17"/>
      <c r="F117" s="17"/>
      <c r="G117" s="17"/>
      <c r="H117" s="17"/>
      <c r="I117" s="17"/>
      <c r="L117" s="18" t="n">
        <f aca="false">IF(9&lt;=NW,WEEK_ONE+62,"")</f>
        <v>46080</v>
      </c>
      <c r="M117" s="19" t="n">
        <f aca="false">IF(AND(9&lt;=NW,9&gt;=START_O),1,0)</f>
        <v>0</v>
      </c>
      <c r="N117" s="20" t="n">
        <f aca="false">IFERROR(INDEX(RT_OMR,MATCH(L117,RT_K,1)),INDEX(RT_OMR,1))</f>
        <v>1.25</v>
      </c>
      <c r="O117" s="20" t="n">
        <f aca="false">IFERROR(INDEX(RT_OT,MATCH(L117,RT_K,1)),INDEX(RT_OT,1))</f>
        <v>1.5</v>
      </c>
      <c r="P117" s="20" t="n">
        <f aca="false">IFERROR(INDEX(RT_GYP,MATCH(L117,RT_K,1)),INDEX(RT_GYP,1))</f>
        <v>2.5</v>
      </c>
      <c r="Q117" s="19" t="n">
        <f aca="false">IF(N(E129)&gt;0,1,0)</f>
        <v>0</v>
      </c>
      <c r="R117" s="0" t="n">
        <v>9</v>
      </c>
      <c r="S117" s="0" t="n">
        <v>9</v>
      </c>
      <c r="U117" s="19" t="n">
        <f aca="false">IF(M117=1,SUM(E119:E125),0)</f>
        <v>0</v>
      </c>
      <c r="V117" s="19" t="n">
        <f aca="false">SUM(H119:H125)</f>
        <v>0</v>
      </c>
    </row>
    <row r="118" customFormat="false" ht="39.75" hidden="false" customHeight="true" outlineLevel="0" collapsed="false">
      <c r="A118" s="21" t="s">
        <v>18</v>
      </c>
      <c r="B118" s="21" t="s">
        <v>19</v>
      </c>
      <c r="C118" s="21" t="s">
        <v>20</v>
      </c>
      <c r="D118" s="21" t="s">
        <v>21</v>
      </c>
      <c r="E118" s="21" t="s">
        <v>22</v>
      </c>
      <c r="F118" s="21" t="s">
        <v>23</v>
      </c>
      <c r="G118" s="21" t="s">
        <v>24</v>
      </c>
      <c r="H118" s="21" t="s">
        <v>25</v>
      </c>
      <c r="I118" s="21" t="s">
        <v>26</v>
      </c>
      <c r="M118" s="19" t="n">
        <f aca="false">$M$117</f>
        <v>0</v>
      </c>
      <c r="Q118" s="19" t="n">
        <f aca="false">IF(N(E129)&gt;0,1,0)</f>
        <v>0</v>
      </c>
      <c r="S118" s="0" t="n">
        <v>9</v>
      </c>
    </row>
    <row r="119" customFormat="false" ht="15" hidden="false" customHeight="false" outlineLevel="0" collapsed="false">
      <c r="A119" s="22" t="n">
        <f aca="false">IF(9&lt;=NW,WEEK_ONE+56,"")</f>
        <v>46074</v>
      </c>
      <c r="B119" s="23" t="str">
        <f aca="false">IF(A119="","",CHOOSE(WEEKDAY(A119,1),"الأحد","الاثنين","الثلاثاء","الأربعاء","الخميس","الجمعة","السبت"))</f>
        <v>السبت</v>
      </c>
      <c r="C119" s="24"/>
      <c r="D119" s="24"/>
      <c r="E119" s="25" t="str">
        <f aca="false">IF(OR(M119=0,K119="",L119=""),"",MOD(L119-K119,1))</f>
        <v/>
      </c>
      <c r="F119" s="25" t="str">
        <f aca="false">IF(OR(E119="",M119=0),"",IF(WEEKDAY(A119,1)=6,E119,MIN(E119,MAX(0,MIN(IF(L119&lt;K119,L119+1,L119),OMR_OT_AT)-K119))))</f>
        <v/>
      </c>
      <c r="G119" s="25" t="str">
        <f aca="false">IF(OR(E119="",M119=0),"",MAX(0,E119-F119))</f>
        <v/>
      </c>
      <c r="H119" s="26" t="str">
        <f aca="false">IF(OR(E119="",M119=0),"",ROUND((F119*$N$117+G119*$O$117)*24,3))</f>
        <v/>
      </c>
      <c r="I119" s="27"/>
      <c r="K119" s="28" t="str">
        <f aca="false">IF(OR(M119=0,C119=""),"",IF(ISNUMBER(C119),MOD(C119,1),IFERROR(INDEX(القوائم!$B$1:$B$288,MATCH(TRIM(C119),القوائم!$A$1:$A$288,0)),IFERROR(MOD(TIMEVALUE(C119),1),""))))</f>
        <v/>
      </c>
      <c r="L119" s="28" t="str">
        <f aca="false">IF(OR(M119=0,D119=""),"",IF(ISNUMBER(D119),MOD(D119,1),IFERROR(INDEX(القوائم!$B$1:$B$288,MATCH(TRIM(D119),القوائم!$A$1:$A$288,0)),IFERROR(MOD(TIMEVALUE(D119),1),""))))</f>
        <v/>
      </c>
      <c r="M119" s="19" t="n">
        <f aca="false">$M$117</f>
        <v>0</v>
      </c>
      <c r="Q119" s="19" t="n">
        <f aca="false">IF(N(E129)&gt;0,1,0)</f>
        <v>0</v>
      </c>
      <c r="S119" s="0" t="n">
        <v>9</v>
      </c>
    </row>
    <row r="120" customFormat="false" ht="15" hidden="false" customHeight="false" outlineLevel="0" collapsed="false">
      <c r="A120" s="22" t="n">
        <f aca="false">IF(9&lt;=NW,WEEK_ONE+57,"")</f>
        <v>46075</v>
      </c>
      <c r="B120" s="23" t="str">
        <f aca="false">IF(A120="","",CHOOSE(WEEKDAY(A120,1),"الأحد","الاثنين","الثلاثاء","الأربعاء","الخميس","الجمعة","السبت"))</f>
        <v>الأحد</v>
      </c>
      <c r="C120" s="24"/>
      <c r="D120" s="24"/>
      <c r="E120" s="25" t="str">
        <f aca="false">IF(OR(M120=0,K120="",L120=""),"",MOD(L120-K120,1))</f>
        <v/>
      </c>
      <c r="F120" s="25" t="str">
        <f aca="false">IF(OR(E120="",M120=0),"",IF(WEEKDAY(A120,1)=6,E120,MIN(E120,MAX(0,MIN(IF(L120&lt;K120,L120+1,L120),OMR_OT_AT)-K120))))</f>
        <v/>
      </c>
      <c r="G120" s="25" t="str">
        <f aca="false">IF(OR(E120="",M120=0),"",MAX(0,E120-F120))</f>
        <v/>
      </c>
      <c r="H120" s="26" t="str">
        <f aca="false">IF(OR(E120="",M120=0),"",ROUND((F120*$N$117+G120*$O$117)*24,3))</f>
        <v/>
      </c>
      <c r="I120" s="27"/>
      <c r="K120" s="28" t="str">
        <f aca="false">IF(OR(M120=0,C120=""),"",IF(ISNUMBER(C120),MOD(C120,1),IFERROR(INDEX(القوائم!$B$1:$B$288,MATCH(TRIM(C120),القوائم!$A$1:$A$288,0)),IFERROR(MOD(TIMEVALUE(C120),1),""))))</f>
        <v/>
      </c>
      <c r="L120" s="28" t="str">
        <f aca="false">IF(OR(M120=0,D120=""),"",IF(ISNUMBER(D120),MOD(D120,1),IFERROR(INDEX(القوائم!$B$1:$B$288,MATCH(TRIM(D120),القوائم!$A$1:$A$288,0)),IFERROR(MOD(TIMEVALUE(D120),1),""))))</f>
        <v/>
      </c>
      <c r="M120" s="19" t="n">
        <f aca="false">$M$117</f>
        <v>0</v>
      </c>
      <c r="Q120" s="19" t="n">
        <f aca="false">IF(N(E129)&gt;0,1,0)</f>
        <v>0</v>
      </c>
      <c r="S120" s="0" t="n">
        <v>9</v>
      </c>
    </row>
    <row r="121" customFormat="false" ht="15" hidden="false" customHeight="false" outlineLevel="0" collapsed="false">
      <c r="A121" s="22" t="n">
        <f aca="false">IF(9&lt;=NW,WEEK_ONE+58,"")</f>
        <v>46076</v>
      </c>
      <c r="B121" s="23" t="str">
        <f aca="false">IF(A121="","",CHOOSE(WEEKDAY(A121,1),"الأحد","الاثنين","الثلاثاء","الأربعاء","الخميس","الجمعة","السبت"))</f>
        <v>الاثنين</v>
      </c>
      <c r="C121" s="24"/>
      <c r="D121" s="24"/>
      <c r="E121" s="25" t="str">
        <f aca="false">IF(OR(M121=0,K121="",L121=""),"",MOD(L121-K121,1))</f>
        <v/>
      </c>
      <c r="F121" s="25" t="str">
        <f aca="false">IF(OR(E121="",M121=0),"",IF(WEEKDAY(A121,1)=6,E121,MIN(E121,MAX(0,MIN(IF(L121&lt;K121,L121+1,L121),OMR_OT_AT)-K121))))</f>
        <v/>
      </c>
      <c r="G121" s="25" t="str">
        <f aca="false">IF(OR(E121="",M121=0),"",MAX(0,E121-F121))</f>
        <v/>
      </c>
      <c r="H121" s="26" t="str">
        <f aca="false">IF(OR(E121="",M121=0),"",ROUND((F121*$N$117+G121*$O$117)*24,3))</f>
        <v/>
      </c>
      <c r="I121" s="27"/>
      <c r="K121" s="28" t="str">
        <f aca="false">IF(OR(M121=0,C121=""),"",IF(ISNUMBER(C121),MOD(C121,1),IFERROR(INDEX(القوائم!$B$1:$B$288,MATCH(TRIM(C121),القوائم!$A$1:$A$288,0)),IFERROR(MOD(TIMEVALUE(C121),1),""))))</f>
        <v/>
      </c>
      <c r="L121" s="28" t="str">
        <f aca="false">IF(OR(M121=0,D121=""),"",IF(ISNUMBER(D121),MOD(D121,1),IFERROR(INDEX(القوائم!$B$1:$B$288,MATCH(TRIM(D121),القوائم!$A$1:$A$288,0)),IFERROR(MOD(TIMEVALUE(D121),1),""))))</f>
        <v/>
      </c>
      <c r="M121" s="19" t="n">
        <f aca="false">$M$117</f>
        <v>0</v>
      </c>
      <c r="Q121" s="19" t="n">
        <f aca="false">IF(N(E129)&gt;0,1,0)</f>
        <v>0</v>
      </c>
      <c r="S121" s="0" t="n">
        <v>9</v>
      </c>
    </row>
    <row r="122" customFormat="false" ht="15" hidden="false" customHeight="false" outlineLevel="0" collapsed="false">
      <c r="A122" s="22" t="n">
        <f aca="false">IF(9&lt;=NW,WEEK_ONE+59,"")</f>
        <v>46077</v>
      </c>
      <c r="B122" s="23" t="str">
        <f aca="false">IF(A122="","",CHOOSE(WEEKDAY(A122,1),"الأحد","الاثنين","الثلاثاء","الأربعاء","الخميس","الجمعة","السبت"))</f>
        <v>الثلاثاء</v>
      </c>
      <c r="C122" s="24"/>
      <c r="D122" s="24"/>
      <c r="E122" s="25" t="str">
        <f aca="false">IF(OR(M122=0,K122="",L122=""),"",MOD(L122-K122,1))</f>
        <v/>
      </c>
      <c r="F122" s="25" t="str">
        <f aca="false">IF(OR(E122="",M122=0),"",IF(WEEKDAY(A122,1)=6,E122,MIN(E122,MAX(0,MIN(IF(L122&lt;K122,L122+1,L122),OMR_OT_AT)-K122))))</f>
        <v/>
      </c>
      <c r="G122" s="25" t="str">
        <f aca="false">IF(OR(E122="",M122=0),"",MAX(0,E122-F122))</f>
        <v/>
      </c>
      <c r="H122" s="26" t="str">
        <f aca="false">IF(OR(E122="",M122=0),"",ROUND((F122*$N$117+G122*$O$117)*24,3))</f>
        <v/>
      </c>
      <c r="I122" s="27"/>
      <c r="K122" s="28" t="str">
        <f aca="false">IF(OR(M122=0,C122=""),"",IF(ISNUMBER(C122),MOD(C122,1),IFERROR(INDEX(القوائم!$B$1:$B$288,MATCH(TRIM(C122),القوائم!$A$1:$A$288,0)),IFERROR(MOD(TIMEVALUE(C122),1),""))))</f>
        <v/>
      </c>
      <c r="L122" s="28" t="str">
        <f aca="false">IF(OR(M122=0,D122=""),"",IF(ISNUMBER(D122),MOD(D122,1),IFERROR(INDEX(القوائم!$B$1:$B$288,MATCH(TRIM(D122),القوائم!$A$1:$A$288,0)),IFERROR(MOD(TIMEVALUE(D122),1),""))))</f>
        <v/>
      </c>
      <c r="M122" s="19" t="n">
        <f aca="false">$M$117</f>
        <v>0</v>
      </c>
      <c r="Q122" s="19" t="n">
        <f aca="false">IF(N(E129)&gt;0,1,0)</f>
        <v>0</v>
      </c>
      <c r="S122" s="0" t="n">
        <v>9</v>
      </c>
    </row>
    <row r="123" customFormat="false" ht="15" hidden="false" customHeight="false" outlineLevel="0" collapsed="false">
      <c r="A123" s="22" t="n">
        <f aca="false">IF(9&lt;=NW,WEEK_ONE+60,"")</f>
        <v>46078</v>
      </c>
      <c r="B123" s="23" t="str">
        <f aca="false">IF(A123="","",CHOOSE(WEEKDAY(A123,1),"الأحد","الاثنين","الثلاثاء","الأربعاء","الخميس","الجمعة","السبت"))</f>
        <v>الأربعاء</v>
      </c>
      <c r="C123" s="24"/>
      <c r="D123" s="24"/>
      <c r="E123" s="25" t="str">
        <f aca="false">IF(OR(M123=0,K123="",L123=""),"",MOD(L123-K123,1))</f>
        <v/>
      </c>
      <c r="F123" s="25" t="str">
        <f aca="false">IF(OR(E123="",M123=0),"",IF(WEEKDAY(A123,1)=6,E123,MIN(E123,MAX(0,MIN(IF(L123&lt;K123,L123+1,L123),OMR_OT_AT)-K123))))</f>
        <v/>
      </c>
      <c r="G123" s="25" t="str">
        <f aca="false">IF(OR(E123="",M123=0),"",MAX(0,E123-F123))</f>
        <v/>
      </c>
      <c r="H123" s="26" t="str">
        <f aca="false">IF(OR(E123="",M123=0),"",ROUND((F123*$N$117+G123*$O$117)*24,3))</f>
        <v/>
      </c>
      <c r="I123" s="27"/>
      <c r="K123" s="28" t="str">
        <f aca="false">IF(OR(M123=0,C123=""),"",IF(ISNUMBER(C123),MOD(C123,1),IFERROR(INDEX(القوائم!$B$1:$B$288,MATCH(TRIM(C123),القوائم!$A$1:$A$288,0)),IFERROR(MOD(TIMEVALUE(C123),1),""))))</f>
        <v/>
      </c>
      <c r="L123" s="28" t="str">
        <f aca="false">IF(OR(M123=0,D123=""),"",IF(ISNUMBER(D123),MOD(D123,1),IFERROR(INDEX(القوائم!$B$1:$B$288,MATCH(TRIM(D123),القوائم!$A$1:$A$288,0)),IFERROR(MOD(TIMEVALUE(D123),1),""))))</f>
        <v/>
      </c>
      <c r="M123" s="19" t="n">
        <f aca="false">$M$117</f>
        <v>0</v>
      </c>
      <c r="Q123" s="19" t="n">
        <f aca="false">IF(N(E129)&gt;0,1,0)</f>
        <v>0</v>
      </c>
      <c r="S123" s="0" t="n">
        <v>9</v>
      </c>
    </row>
    <row r="124" customFormat="false" ht="15" hidden="false" customHeight="false" outlineLevel="0" collapsed="false">
      <c r="A124" s="22" t="n">
        <f aca="false">IF(9&lt;=NW,WEEK_ONE+61,"")</f>
        <v>46079</v>
      </c>
      <c r="B124" s="23" t="str">
        <f aca="false">IF(A124="","",CHOOSE(WEEKDAY(A124,1),"الأحد","الاثنين","الثلاثاء","الأربعاء","الخميس","الجمعة","السبت"))</f>
        <v>الخميس</v>
      </c>
      <c r="C124" s="24"/>
      <c r="D124" s="24"/>
      <c r="E124" s="25" t="str">
        <f aca="false">IF(OR(M124=0,K124="",L124=""),"",MOD(L124-K124,1))</f>
        <v/>
      </c>
      <c r="F124" s="25" t="str">
        <f aca="false">IF(OR(E124="",M124=0),"",IF(WEEKDAY(A124,1)=6,E124,MIN(E124,MAX(0,MIN(IF(L124&lt;K124,L124+1,L124),OMR_OT_AT)-K124))))</f>
        <v/>
      </c>
      <c r="G124" s="25" t="str">
        <f aca="false">IF(OR(E124="",M124=0),"",MAX(0,E124-F124))</f>
        <v/>
      </c>
      <c r="H124" s="26" t="str">
        <f aca="false">IF(OR(E124="",M124=0),"",ROUND((F124*$N$117+G124*$O$117)*24,3))</f>
        <v/>
      </c>
      <c r="I124" s="27"/>
      <c r="K124" s="28" t="str">
        <f aca="false">IF(OR(M124=0,C124=""),"",IF(ISNUMBER(C124),MOD(C124,1),IFERROR(INDEX(القوائم!$B$1:$B$288,MATCH(TRIM(C124),القوائم!$A$1:$A$288,0)),IFERROR(MOD(TIMEVALUE(C124),1),""))))</f>
        <v/>
      </c>
      <c r="L124" s="28" t="str">
        <f aca="false">IF(OR(M124=0,D124=""),"",IF(ISNUMBER(D124),MOD(D124,1),IFERROR(INDEX(القوائم!$B$1:$B$288,MATCH(TRIM(D124),القوائم!$A$1:$A$288,0)),IFERROR(MOD(TIMEVALUE(D124),1),""))))</f>
        <v/>
      </c>
      <c r="M124" s="19" t="n">
        <f aca="false">$M$117</f>
        <v>0</v>
      </c>
      <c r="Q124" s="19" t="n">
        <f aca="false">IF(N(E129)&gt;0,1,0)</f>
        <v>0</v>
      </c>
      <c r="S124" s="0" t="n">
        <v>9</v>
      </c>
    </row>
    <row r="125" customFormat="false" ht="15" hidden="false" customHeight="false" outlineLevel="0" collapsed="false">
      <c r="A125" s="29" t="n">
        <f aca="false">IF(9&lt;=NW,WEEK_ONE+62,"")</f>
        <v>46080</v>
      </c>
      <c r="B125" s="30" t="str">
        <f aca="false">IF(A125="","",CHOOSE(WEEKDAY(A125,1),"الأحد","الاثنين","الثلاثاء","الأربعاء","الخميس","الجمعة","السبت"))</f>
        <v>الجمعة</v>
      </c>
      <c r="C125" s="24"/>
      <c r="D125" s="24"/>
      <c r="E125" s="25" t="str">
        <f aca="false">IF(OR(M125=0,K125="",L125=""),"",MOD(L125-K125,1))</f>
        <v/>
      </c>
      <c r="F125" s="25" t="str">
        <f aca="false">IF(OR(E125="",M125=0),"",IF(WEEKDAY(A125,1)=6,E125,MIN(E125,MAX(0,MIN(IF(L125&lt;K125,L125+1,L125),OMR_OT_AT)-K125))))</f>
        <v/>
      </c>
      <c r="G125" s="25" t="str">
        <f aca="false">IF(OR(E125="",M125=0),"",MAX(0,E125-F125))</f>
        <v/>
      </c>
      <c r="H125" s="26" t="str">
        <f aca="false">IF(OR(E125="",M125=0),"",ROUND((F125*$N$117+G125*$O$117)*24,3))</f>
        <v/>
      </c>
      <c r="I125" s="27"/>
      <c r="K125" s="28" t="str">
        <f aca="false">IF(OR(M125=0,C125=""),"",IF(ISNUMBER(C125),MOD(C125,1),IFERROR(INDEX(القوائم!$B$1:$B$288,MATCH(TRIM(C125),القوائم!$A$1:$A$288,0)),IFERROR(MOD(TIMEVALUE(C125),1),""))))</f>
        <v/>
      </c>
      <c r="L125" s="28" t="str">
        <f aca="false">IF(OR(M125=0,D125=""),"",IF(ISNUMBER(D125),MOD(D125,1),IFERROR(INDEX(القوائم!$B$1:$B$288,MATCH(TRIM(D125),القوائم!$A$1:$A$288,0)),IFERROR(MOD(TIMEVALUE(D125),1),""))))</f>
        <v/>
      </c>
      <c r="M125" s="19" t="n">
        <f aca="false">$M$117</f>
        <v>0</v>
      </c>
      <c r="Q125" s="19" t="n">
        <f aca="false">IF(N(E129)&gt;0,1,0)</f>
        <v>0</v>
      </c>
      <c r="S125" s="0" t="n">
        <v>9</v>
      </c>
    </row>
    <row r="126" customFormat="false" ht="15" hidden="false" customHeight="false" outlineLevel="0" collapsed="false">
      <c r="A126" s="31" t="str">
        <f aca="false">IF(M117=1,"ساعات تحميل الجبسمبورد بهالأسبوع ←","")</f>
        <v/>
      </c>
      <c r="B126" s="31"/>
      <c r="C126" s="31"/>
      <c r="D126" s="31"/>
      <c r="E126" s="32"/>
      <c r="F126" s="33" t="str">
        <f aca="false">IF(M117=1,"كل ساعة تحميل = "&amp;TEXT($P$117,"0.000")&amp;" دينار (منها "&amp;TEXT($N$117,"0.000")&amp;" محسوبة أصلاً بساعات اليوم)","")</f>
        <v/>
      </c>
      <c r="G126" s="33"/>
      <c r="H126" s="33"/>
      <c r="I126" s="33"/>
      <c r="M126" s="19" t="n">
        <f aca="false">$M$117</f>
        <v>0</v>
      </c>
      <c r="Q126" s="19" t="n">
        <f aca="false">IF(N(E129)&gt;0,1,0)</f>
        <v>0</v>
      </c>
      <c r="S126" s="0" t="n">
        <v>9</v>
      </c>
    </row>
    <row r="127" customFormat="false" ht="15" hidden="false" customHeight="false" outlineLevel="0" collapsed="false">
      <c r="A127" s="31" t="str">
        <f aca="false">IF(M117=1,"إكرامية الأسبوع (دينار) ←","")</f>
        <v/>
      </c>
      <c r="B127" s="31"/>
      <c r="C127" s="31"/>
      <c r="D127" s="31"/>
      <c r="E127" s="34"/>
      <c r="F127" s="35"/>
      <c r="G127" s="35"/>
      <c r="H127" s="35"/>
      <c r="I127" s="35"/>
      <c r="M127" s="19" t="n">
        <f aca="false">$M$117</f>
        <v>0</v>
      </c>
      <c r="Q127" s="19" t="n">
        <f aca="false">IF(N(E129)&gt;0,1,0)</f>
        <v>0</v>
      </c>
      <c r="S127" s="0" t="n">
        <v>9</v>
      </c>
    </row>
    <row r="128" customFormat="false" ht="36" hidden="false" customHeight="true" outlineLevel="0" collapsed="false">
      <c r="A128" s="36" t="str">
        <f aca="false">IF(M117=1,"المستحق النهائي للأسبوع","")</f>
        <v/>
      </c>
      <c r="B128" s="36"/>
      <c r="C128" s="36"/>
      <c r="D128" s="36"/>
      <c r="E128" s="36"/>
      <c r="F128" s="36"/>
      <c r="G128" s="36"/>
      <c r="H128" s="11" t="str">
        <f aca="false">IF(M117=1,ROUND(N($V$117)+N(E126)*($P$117-$N$117)+N(E127),3),"")</f>
        <v/>
      </c>
      <c r="I128" s="37"/>
      <c r="M128" s="19" t="n">
        <f aca="false">$M$117</f>
        <v>0</v>
      </c>
      <c r="Q128" s="19" t="n">
        <f aca="false">IF(N(E129)&gt;0,1,0)</f>
        <v>0</v>
      </c>
      <c r="S128" s="0" t="n">
        <v>9</v>
      </c>
      <c r="T128" s="0" t="n">
        <v>1</v>
      </c>
    </row>
    <row r="129" customFormat="false" ht="25.5" hidden="false" customHeight="true" outlineLevel="0" collapsed="false">
      <c r="A129" s="31" t="str">
        <f aca="false">IF(M117=1,"المدفوع (دينار) ←","")</f>
        <v/>
      </c>
      <c r="B129" s="31"/>
      <c r="C129" s="31"/>
      <c r="D129" s="31"/>
      <c r="E129" s="34"/>
      <c r="F129" s="38" t="str">
        <f aca="false">IF(M117=1,IF(N(E129)&gt;0,"✔ انقبض — الأسبوع مقفول","⏳ لسا ما انقبض"),"")</f>
        <v/>
      </c>
      <c r="G129" s="38"/>
      <c r="H129" s="38"/>
      <c r="I129" s="38"/>
      <c r="M129" s="19" t="n">
        <f aca="false">$M$117</f>
        <v>0</v>
      </c>
      <c r="Q129" s="19" t="n">
        <f aca="false">IF(N(E129)&gt;0,1,0)</f>
        <v>0</v>
      </c>
      <c r="S129" s="0" t="n">
        <v>9</v>
      </c>
    </row>
    <row r="130" customFormat="false" ht="9.75" hidden="false" customHeight="true" outlineLevel="0" collapsed="false">
      <c r="M130" s="19" t="n">
        <f aca="false">$M$117</f>
        <v>0</v>
      </c>
      <c r="Q130" s="19" t="n">
        <f aca="false">IF(N(E129)&gt;0,1,0)</f>
        <v>0</v>
      </c>
      <c r="S130" s="0" t="n">
        <v>9</v>
      </c>
      <c r="T130" s="0" t="n">
        <v>2</v>
      </c>
    </row>
    <row r="131" customFormat="false" ht="33.75" hidden="false" customHeight="true" outlineLevel="0" collapsed="false">
      <c r="A131" s="17" t="str">
        <f aca="false">IF(10&lt;=NW,TEXT(DAY(WEEK_ONE+63),"00")&amp;"/"&amp;TEXT(MONTH(WEEK_ONE+63),"00")&amp;"/"&amp;YEAR(WEEK_ONE+63)&amp;"  -  "&amp;TEXT(DAY(WEEK_ONE+69),"00")&amp;"/"&amp;TEXT(MONTH(WEEK_ONE+69),"00")&amp;"/"&amp;YEAR(WEEK_ONE+69)&amp;"   ·   الأسبوع 10"&amp;IF(10&lt;START_O,"   (قبل أسبوع البداية — ما بينحسب)",""),"ما في أسبوع 10 هالسنة")</f>
        <v>28/02/2026  -  06/03/2026   ·   الأسبوع 10   (قبل أسبوع البداية — ما بينحسب)</v>
      </c>
      <c r="B131" s="17"/>
      <c r="C131" s="17"/>
      <c r="D131" s="17"/>
      <c r="E131" s="17"/>
      <c r="F131" s="17"/>
      <c r="G131" s="17"/>
      <c r="H131" s="17"/>
      <c r="I131" s="17"/>
      <c r="L131" s="18" t="n">
        <f aca="false">IF(10&lt;=NW,WEEK_ONE+69,"")</f>
        <v>46087</v>
      </c>
      <c r="M131" s="19" t="n">
        <f aca="false">IF(AND(10&lt;=NW,10&gt;=START_O),1,0)</f>
        <v>0</v>
      </c>
      <c r="N131" s="20" t="n">
        <f aca="false">IFERROR(INDEX(RT_OMR,MATCH(L131,RT_K,1)),INDEX(RT_OMR,1))</f>
        <v>1.25</v>
      </c>
      <c r="O131" s="20" t="n">
        <f aca="false">IFERROR(INDEX(RT_OT,MATCH(L131,RT_K,1)),INDEX(RT_OT,1))</f>
        <v>1.5</v>
      </c>
      <c r="P131" s="20" t="n">
        <f aca="false">IFERROR(INDEX(RT_GYP,MATCH(L131,RT_K,1)),INDEX(RT_GYP,1))</f>
        <v>2.5</v>
      </c>
      <c r="Q131" s="19" t="n">
        <f aca="false">IF(N(E143)&gt;0,1,0)</f>
        <v>0</v>
      </c>
      <c r="R131" s="0" t="n">
        <v>10</v>
      </c>
      <c r="S131" s="0" t="n">
        <v>10</v>
      </c>
      <c r="U131" s="19" t="n">
        <f aca="false">IF(M131=1,SUM(E133:E139),0)</f>
        <v>0</v>
      </c>
      <c r="V131" s="19" t="n">
        <f aca="false">SUM(H133:H139)</f>
        <v>0</v>
      </c>
    </row>
    <row r="132" customFormat="false" ht="39.75" hidden="false" customHeight="true" outlineLevel="0" collapsed="false">
      <c r="A132" s="21" t="s">
        <v>18</v>
      </c>
      <c r="B132" s="21" t="s">
        <v>19</v>
      </c>
      <c r="C132" s="21" t="s">
        <v>20</v>
      </c>
      <c r="D132" s="21" t="s">
        <v>21</v>
      </c>
      <c r="E132" s="21" t="s">
        <v>22</v>
      </c>
      <c r="F132" s="21" t="s">
        <v>23</v>
      </c>
      <c r="G132" s="21" t="s">
        <v>24</v>
      </c>
      <c r="H132" s="21" t="s">
        <v>25</v>
      </c>
      <c r="I132" s="21" t="s">
        <v>26</v>
      </c>
      <c r="M132" s="19" t="n">
        <f aca="false">$M$131</f>
        <v>0</v>
      </c>
      <c r="Q132" s="19" t="n">
        <f aca="false">IF(N(E143)&gt;0,1,0)</f>
        <v>0</v>
      </c>
      <c r="S132" s="0" t="n">
        <v>10</v>
      </c>
    </row>
    <row r="133" customFormat="false" ht="15" hidden="false" customHeight="false" outlineLevel="0" collapsed="false">
      <c r="A133" s="22" t="n">
        <f aca="false">IF(10&lt;=NW,WEEK_ONE+63,"")</f>
        <v>46081</v>
      </c>
      <c r="B133" s="23" t="str">
        <f aca="false">IF(A133="","",CHOOSE(WEEKDAY(A133,1),"الأحد","الاثنين","الثلاثاء","الأربعاء","الخميس","الجمعة","السبت"))</f>
        <v>السبت</v>
      </c>
      <c r="C133" s="24"/>
      <c r="D133" s="24"/>
      <c r="E133" s="25" t="str">
        <f aca="false">IF(OR(M133=0,K133="",L133=""),"",MOD(L133-K133,1))</f>
        <v/>
      </c>
      <c r="F133" s="25" t="str">
        <f aca="false">IF(OR(E133="",M133=0),"",IF(WEEKDAY(A133,1)=6,E133,MIN(E133,MAX(0,MIN(IF(L133&lt;K133,L133+1,L133),OMR_OT_AT)-K133))))</f>
        <v/>
      </c>
      <c r="G133" s="25" t="str">
        <f aca="false">IF(OR(E133="",M133=0),"",MAX(0,E133-F133))</f>
        <v/>
      </c>
      <c r="H133" s="26" t="str">
        <f aca="false">IF(OR(E133="",M133=0),"",ROUND((F133*$N$131+G133*$O$131)*24,3))</f>
        <v/>
      </c>
      <c r="I133" s="27"/>
      <c r="K133" s="28" t="str">
        <f aca="false">IF(OR(M133=0,C133=""),"",IF(ISNUMBER(C133),MOD(C133,1),IFERROR(INDEX(القوائم!$B$1:$B$288,MATCH(TRIM(C133),القوائم!$A$1:$A$288,0)),IFERROR(MOD(TIMEVALUE(C133),1),""))))</f>
        <v/>
      </c>
      <c r="L133" s="28" t="str">
        <f aca="false">IF(OR(M133=0,D133=""),"",IF(ISNUMBER(D133),MOD(D133,1),IFERROR(INDEX(القوائم!$B$1:$B$288,MATCH(TRIM(D133),القوائم!$A$1:$A$288,0)),IFERROR(MOD(TIMEVALUE(D133),1),""))))</f>
        <v/>
      </c>
      <c r="M133" s="19" t="n">
        <f aca="false">$M$131</f>
        <v>0</v>
      </c>
      <c r="Q133" s="19" t="n">
        <f aca="false">IF(N(E143)&gt;0,1,0)</f>
        <v>0</v>
      </c>
      <c r="S133" s="0" t="n">
        <v>10</v>
      </c>
    </row>
    <row r="134" customFormat="false" ht="15" hidden="false" customHeight="false" outlineLevel="0" collapsed="false">
      <c r="A134" s="22" t="n">
        <f aca="false">IF(10&lt;=NW,WEEK_ONE+64,"")</f>
        <v>46082</v>
      </c>
      <c r="B134" s="23" t="str">
        <f aca="false">IF(A134="","",CHOOSE(WEEKDAY(A134,1),"الأحد","الاثنين","الثلاثاء","الأربعاء","الخميس","الجمعة","السبت"))</f>
        <v>الأحد</v>
      </c>
      <c r="C134" s="24"/>
      <c r="D134" s="24"/>
      <c r="E134" s="25" t="str">
        <f aca="false">IF(OR(M134=0,K134="",L134=""),"",MOD(L134-K134,1))</f>
        <v/>
      </c>
      <c r="F134" s="25" t="str">
        <f aca="false">IF(OR(E134="",M134=0),"",IF(WEEKDAY(A134,1)=6,E134,MIN(E134,MAX(0,MIN(IF(L134&lt;K134,L134+1,L134),OMR_OT_AT)-K134))))</f>
        <v/>
      </c>
      <c r="G134" s="25" t="str">
        <f aca="false">IF(OR(E134="",M134=0),"",MAX(0,E134-F134))</f>
        <v/>
      </c>
      <c r="H134" s="26" t="str">
        <f aca="false">IF(OR(E134="",M134=0),"",ROUND((F134*$N$131+G134*$O$131)*24,3))</f>
        <v/>
      </c>
      <c r="I134" s="27"/>
      <c r="K134" s="28" t="str">
        <f aca="false">IF(OR(M134=0,C134=""),"",IF(ISNUMBER(C134),MOD(C134,1),IFERROR(INDEX(القوائم!$B$1:$B$288,MATCH(TRIM(C134),القوائم!$A$1:$A$288,0)),IFERROR(MOD(TIMEVALUE(C134),1),""))))</f>
        <v/>
      </c>
      <c r="L134" s="28" t="str">
        <f aca="false">IF(OR(M134=0,D134=""),"",IF(ISNUMBER(D134),MOD(D134,1),IFERROR(INDEX(القوائم!$B$1:$B$288,MATCH(TRIM(D134),القوائم!$A$1:$A$288,0)),IFERROR(MOD(TIMEVALUE(D134),1),""))))</f>
        <v/>
      </c>
      <c r="M134" s="19" t="n">
        <f aca="false">$M$131</f>
        <v>0</v>
      </c>
      <c r="Q134" s="19" t="n">
        <f aca="false">IF(N(E143)&gt;0,1,0)</f>
        <v>0</v>
      </c>
      <c r="S134" s="0" t="n">
        <v>10</v>
      </c>
    </row>
    <row r="135" customFormat="false" ht="15" hidden="false" customHeight="false" outlineLevel="0" collapsed="false">
      <c r="A135" s="22" t="n">
        <f aca="false">IF(10&lt;=NW,WEEK_ONE+65,"")</f>
        <v>46083</v>
      </c>
      <c r="B135" s="23" t="str">
        <f aca="false">IF(A135="","",CHOOSE(WEEKDAY(A135,1),"الأحد","الاثنين","الثلاثاء","الأربعاء","الخميس","الجمعة","السبت"))</f>
        <v>الاثنين</v>
      </c>
      <c r="C135" s="24"/>
      <c r="D135" s="24"/>
      <c r="E135" s="25" t="str">
        <f aca="false">IF(OR(M135=0,K135="",L135=""),"",MOD(L135-K135,1))</f>
        <v/>
      </c>
      <c r="F135" s="25" t="str">
        <f aca="false">IF(OR(E135="",M135=0),"",IF(WEEKDAY(A135,1)=6,E135,MIN(E135,MAX(0,MIN(IF(L135&lt;K135,L135+1,L135),OMR_OT_AT)-K135))))</f>
        <v/>
      </c>
      <c r="G135" s="25" t="str">
        <f aca="false">IF(OR(E135="",M135=0),"",MAX(0,E135-F135))</f>
        <v/>
      </c>
      <c r="H135" s="26" t="str">
        <f aca="false">IF(OR(E135="",M135=0),"",ROUND((F135*$N$131+G135*$O$131)*24,3))</f>
        <v/>
      </c>
      <c r="I135" s="27"/>
      <c r="K135" s="28" t="str">
        <f aca="false">IF(OR(M135=0,C135=""),"",IF(ISNUMBER(C135),MOD(C135,1),IFERROR(INDEX(القوائم!$B$1:$B$288,MATCH(TRIM(C135),القوائم!$A$1:$A$288,0)),IFERROR(MOD(TIMEVALUE(C135),1),""))))</f>
        <v/>
      </c>
      <c r="L135" s="28" t="str">
        <f aca="false">IF(OR(M135=0,D135=""),"",IF(ISNUMBER(D135),MOD(D135,1),IFERROR(INDEX(القوائم!$B$1:$B$288,MATCH(TRIM(D135),القوائم!$A$1:$A$288,0)),IFERROR(MOD(TIMEVALUE(D135),1),""))))</f>
        <v/>
      </c>
      <c r="M135" s="19" t="n">
        <f aca="false">$M$131</f>
        <v>0</v>
      </c>
      <c r="Q135" s="19" t="n">
        <f aca="false">IF(N(E143)&gt;0,1,0)</f>
        <v>0</v>
      </c>
      <c r="S135" s="0" t="n">
        <v>10</v>
      </c>
    </row>
    <row r="136" customFormat="false" ht="15" hidden="false" customHeight="false" outlineLevel="0" collapsed="false">
      <c r="A136" s="22" t="n">
        <f aca="false">IF(10&lt;=NW,WEEK_ONE+66,"")</f>
        <v>46084</v>
      </c>
      <c r="B136" s="23" t="str">
        <f aca="false">IF(A136="","",CHOOSE(WEEKDAY(A136,1),"الأحد","الاثنين","الثلاثاء","الأربعاء","الخميس","الجمعة","السبت"))</f>
        <v>الثلاثاء</v>
      </c>
      <c r="C136" s="24"/>
      <c r="D136" s="24"/>
      <c r="E136" s="25" t="str">
        <f aca="false">IF(OR(M136=0,K136="",L136=""),"",MOD(L136-K136,1))</f>
        <v/>
      </c>
      <c r="F136" s="25" t="str">
        <f aca="false">IF(OR(E136="",M136=0),"",IF(WEEKDAY(A136,1)=6,E136,MIN(E136,MAX(0,MIN(IF(L136&lt;K136,L136+1,L136),OMR_OT_AT)-K136))))</f>
        <v/>
      </c>
      <c r="G136" s="25" t="str">
        <f aca="false">IF(OR(E136="",M136=0),"",MAX(0,E136-F136))</f>
        <v/>
      </c>
      <c r="H136" s="26" t="str">
        <f aca="false">IF(OR(E136="",M136=0),"",ROUND((F136*$N$131+G136*$O$131)*24,3))</f>
        <v/>
      </c>
      <c r="I136" s="27"/>
      <c r="K136" s="28" t="str">
        <f aca="false">IF(OR(M136=0,C136=""),"",IF(ISNUMBER(C136),MOD(C136,1),IFERROR(INDEX(القوائم!$B$1:$B$288,MATCH(TRIM(C136),القوائم!$A$1:$A$288,0)),IFERROR(MOD(TIMEVALUE(C136),1),""))))</f>
        <v/>
      </c>
      <c r="L136" s="28" t="str">
        <f aca="false">IF(OR(M136=0,D136=""),"",IF(ISNUMBER(D136),MOD(D136,1),IFERROR(INDEX(القوائم!$B$1:$B$288,MATCH(TRIM(D136),القوائم!$A$1:$A$288,0)),IFERROR(MOD(TIMEVALUE(D136),1),""))))</f>
        <v/>
      </c>
      <c r="M136" s="19" t="n">
        <f aca="false">$M$131</f>
        <v>0</v>
      </c>
      <c r="Q136" s="19" t="n">
        <f aca="false">IF(N(E143)&gt;0,1,0)</f>
        <v>0</v>
      </c>
      <c r="S136" s="0" t="n">
        <v>10</v>
      </c>
    </row>
    <row r="137" customFormat="false" ht="15" hidden="false" customHeight="false" outlineLevel="0" collapsed="false">
      <c r="A137" s="22" t="n">
        <f aca="false">IF(10&lt;=NW,WEEK_ONE+67,"")</f>
        <v>46085</v>
      </c>
      <c r="B137" s="23" t="str">
        <f aca="false">IF(A137="","",CHOOSE(WEEKDAY(A137,1),"الأحد","الاثنين","الثلاثاء","الأربعاء","الخميس","الجمعة","السبت"))</f>
        <v>الأربعاء</v>
      </c>
      <c r="C137" s="24"/>
      <c r="D137" s="24"/>
      <c r="E137" s="25" t="str">
        <f aca="false">IF(OR(M137=0,K137="",L137=""),"",MOD(L137-K137,1))</f>
        <v/>
      </c>
      <c r="F137" s="25" t="str">
        <f aca="false">IF(OR(E137="",M137=0),"",IF(WEEKDAY(A137,1)=6,E137,MIN(E137,MAX(0,MIN(IF(L137&lt;K137,L137+1,L137),OMR_OT_AT)-K137))))</f>
        <v/>
      </c>
      <c r="G137" s="25" t="str">
        <f aca="false">IF(OR(E137="",M137=0),"",MAX(0,E137-F137))</f>
        <v/>
      </c>
      <c r="H137" s="26" t="str">
        <f aca="false">IF(OR(E137="",M137=0),"",ROUND((F137*$N$131+G137*$O$131)*24,3))</f>
        <v/>
      </c>
      <c r="I137" s="27"/>
      <c r="K137" s="28" t="str">
        <f aca="false">IF(OR(M137=0,C137=""),"",IF(ISNUMBER(C137),MOD(C137,1),IFERROR(INDEX(القوائم!$B$1:$B$288,MATCH(TRIM(C137),القوائم!$A$1:$A$288,0)),IFERROR(MOD(TIMEVALUE(C137),1),""))))</f>
        <v/>
      </c>
      <c r="L137" s="28" t="str">
        <f aca="false">IF(OR(M137=0,D137=""),"",IF(ISNUMBER(D137),MOD(D137,1),IFERROR(INDEX(القوائم!$B$1:$B$288,MATCH(TRIM(D137),القوائم!$A$1:$A$288,0)),IFERROR(MOD(TIMEVALUE(D137),1),""))))</f>
        <v/>
      </c>
      <c r="M137" s="19" t="n">
        <f aca="false">$M$131</f>
        <v>0</v>
      </c>
      <c r="Q137" s="19" t="n">
        <f aca="false">IF(N(E143)&gt;0,1,0)</f>
        <v>0</v>
      </c>
      <c r="S137" s="0" t="n">
        <v>10</v>
      </c>
    </row>
    <row r="138" customFormat="false" ht="15" hidden="false" customHeight="false" outlineLevel="0" collapsed="false">
      <c r="A138" s="22" t="n">
        <f aca="false">IF(10&lt;=NW,WEEK_ONE+68,"")</f>
        <v>46086</v>
      </c>
      <c r="B138" s="23" t="str">
        <f aca="false">IF(A138="","",CHOOSE(WEEKDAY(A138,1),"الأحد","الاثنين","الثلاثاء","الأربعاء","الخميس","الجمعة","السبت"))</f>
        <v>الخميس</v>
      </c>
      <c r="C138" s="24"/>
      <c r="D138" s="24"/>
      <c r="E138" s="25" t="str">
        <f aca="false">IF(OR(M138=0,K138="",L138=""),"",MOD(L138-K138,1))</f>
        <v/>
      </c>
      <c r="F138" s="25" t="str">
        <f aca="false">IF(OR(E138="",M138=0),"",IF(WEEKDAY(A138,1)=6,E138,MIN(E138,MAX(0,MIN(IF(L138&lt;K138,L138+1,L138),OMR_OT_AT)-K138))))</f>
        <v/>
      </c>
      <c r="G138" s="25" t="str">
        <f aca="false">IF(OR(E138="",M138=0),"",MAX(0,E138-F138))</f>
        <v/>
      </c>
      <c r="H138" s="26" t="str">
        <f aca="false">IF(OR(E138="",M138=0),"",ROUND((F138*$N$131+G138*$O$131)*24,3))</f>
        <v/>
      </c>
      <c r="I138" s="27"/>
      <c r="K138" s="28" t="str">
        <f aca="false">IF(OR(M138=0,C138=""),"",IF(ISNUMBER(C138),MOD(C138,1),IFERROR(INDEX(القوائم!$B$1:$B$288,MATCH(TRIM(C138),القوائم!$A$1:$A$288,0)),IFERROR(MOD(TIMEVALUE(C138),1),""))))</f>
        <v/>
      </c>
      <c r="L138" s="28" t="str">
        <f aca="false">IF(OR(M138=0,D138=""),"",IF(ISNUMBER(D138),MOD(D138,1),IFERROR(INDEX(القوائم!$B$1:$B$288,MATCH(TRIM(D138),القوائم!$A$1:$A$288,0)),IFERROR(MOD(TIMEVALUE(D138),1),""))))</f>
        <v/>
      </c>
      <c r="M138" s="19" t="n">
        <f aca="false">$M$131</f>
        <v>0</v>
      </c>
      <c r="Q138" s="19" t="n">
        <f aca="false">IF(N(E143)&gt;0,1,0)</f>
        <v>0</v>
      </c>
      <c r="S138" s="0" t="n">
        <v>10</v>
      </c>
    </row>
    <row r="139" customFormat="false" ht="15" hidden="false" customHeight="false" outlineLevel="0" collapsed="false">
      <c r="A139" s="29" t="n">
        <f aca="false">IF(10&lt;=NW,WEEK_ONE+69,"")</f>
        <v>46087</v>
      </c>
      <c r="B139" s="30" t="str">
        <f aca="false">IF(A139="","",CHOOSE(WEEKDAY(A139,1),"الأحد","الاثنين","الثلاثاء","الأربعاء","الخميس","الجمعة","السبت"))</f>
        <v>الجمعة</v>
      </c>
      <c r="C139" s="24"/>
      <c r="D139" s="24"/>
      <c r="E139" s="25" t="str">
        <f aca="false">IF(OR(M139=0,K139="",L139=""),"",MOD(L139-K139,1))</f>
        <v/>
      </c>
      <c r="F139" s="25" t="str">
        <f aca="false">IF(OR(E139="",M139=0),"",IF(WEEKDAY(A139,1)=6,E139,MIN(E139,MAX(0,MIN(IF(L139&lt;K139,L139+1,L139),OMR_OT_AT)-K139))))</f>
        <v/>
      </c>
      <c r="G139" s="25" t="str">
        <f aca="false">IF(OR(E139="",M139=0),"",MAX(0,E139-F139))</f>
        <v/>
      </c>
      <c r="H139" s="26" t="str">
        <f aca="false">IF(OR(E139="",M139=0),"",ROUND((F139*$N$131+G139*$O$131)*24,3))</f>
        <v/>
      </c>
      <c r="I139" s="27"/>
      <c r="K139" s="28" t="str">
        <f aca="false">IF(OR(M139=0,C139=""),"",IF(ISNUMBER(C139),MOD(C139,1),IFERROR(INDEX(القوائم!$B$1:$B$288,MATCH(TRIM(C139),القوائم!$A$1:$A$288,0)),IFERROR(MOD(TIMEVALUE(C139),1),""))))</f>
        <v/>
      </c>
      <c r="L139" s="28" t="str">
        <f aca="false">IF(OR(M139=0,D139=""),"",IF(ISNUMBER(D139),MOD(D139,1),IFERROR(INDEX(القوائم!$B$1:$B$288,MATCH(TRIM(D139),القوائم!$A$1:$A$288,0)),IFERROR(MOD(TIMEVALUE(D139),1),""))))</f>
        <v/>
      </c>
      <c r="M139" s="19" t="n">
        <f aca="false">$M$131</f>
        <v>0</v>
      </c>
      <c r="Q139" s="19" t="n">
        <f aca="false">IF(N(E143)&gt;0,1,0)</f>
        <v>0</v>
      </c>
      <c r="S139" s="0" t="n">
        <v>10</v>
      </c>
    </row>
    <row r="140" customFormat="false" ht="15" hidden="false" customHeight="false" outlineLevel="0" collapsed="false">
      <c r="A140" s="31" t="str">
        <f aca="false">IF(M131=1,"ساعات تحميل الجبسمبورد بهالأسبوع ←","")</f>
        <v/>
      </c>
      <c r="B140" s="31"/>
      <c r="C140" s="31"/>
      <c r="D140" s="31"/>
      <c r="E140" s="32"/>
      <c r="F140" s="33" t="str">
        <f aca="false">IF(M131=1,"كل ساعة تحميل = "&amp;TEXT($P$131,"0.000")&amp;" دينار (منها "&amp;TEXT($N$131,"0.000")&amp;" محسوبة أصلاً بساعات اليوم)","")</f>
        <v/>
      </c>
      <c r="G140" s="33"/>
      <c r="H140" s="33"/>
      <c r="I140" s="33"/>
      <c r="M140" s="19" t="n">
        <f aca="false">$M$131</f>
        <v>0</v>
      </c>
      <c r="Q140" s="19" t="n">
        <f aca="false">IF(N(E143)&gt;0,1,0)</f>
        <v>0</v>
      </c>
      <c r="S140" s="0" t="n">
        <v>10</v>
      </c>
    </row>
    <row r="141" customFormat="false" ht="15" hidden="false" customHeight="false" outlineLevel="0" collapsed="false">
      <c r="A141" s="31" t="str">
        <f aca="false">IF(M131=1,"إكرامية الأسبوع (دينار) ←","")</f>
        <v/>
      </c>
      <c r="B141" s="31"/>
      <c r="C141" s="31"/>
      <c r="D141" s="31"/>
      <c r="E141" s="34"/>
      <c r="F141" s="35"/>
      <c r="G141" s="35"/>
      <c r="H141" s="35"/>
      <c r="I141" s="35"/>
      <c r="M141" s="19" t="n">
        <f aca="false">$M$131</f>
        <v>0</v>
      </c>
      <c r="Q141" s="19" t="n">
        <f aca="false">IF(N(E143)&gt;0,1,0)</f>
        <v>0</v>
      </c>
      <c r="S141" s="0" t="n">
        <v>10</v>
      </c>
    </row>
    <row r="142" customFormat="false" ht="36" hidden="false" customHeight="true" outlineLevel="0" collapsed="false">
      <c r="A142" s="36" t="str">
        <f aca="false">IF(M131=1,"المستحق النهائي للأسبوع","")</f>
        <v/>
      </c>
      <c r="B142" s="36"/>
      <c r="C142" s="36"/>
      <c r="D142" s="36"/>
      <c r="E142" s="36"/>
      <c r="F142" s="36"/>
      <c r="G142" s="36"/>
      <c r="H142" s="11" t="str">
        <f aca="false">IF(M131=1,ROUND(N($V$131)+N(E140)*($P$131-$N$131)+N(E141),3),"")</f>
        <v/>
      </c>
      <c r="I142" s="37"/>
      <c r="M142" s="19" t="n">
        <f aca="false">$M$131</f>
        <v>0</v>
      </c>
      <c r="Q142" s="19" t="n">
        <f aca="false">IF(N(E143)&gt;0,1,0)</f>
        <v>0</v>
      </c>
      <c r="S142" s="0" t="n">
        <v>10</v>
      </c>
      <c r="T142" s="0" t="n">
        <v>1</v>
      </c>
    </row>
    <row r="143" customFormat="false" ht="25.5" hidden="false" customHeight="true" outlineLevel="0" collapsed="false">
      <c r="A143" s="31" t="str">
        <f aca="false">IF(M131=1,"المدفوع (دينار) ←","")</f>
        <v/>
      </c>
      <c r="B143" s="31"/>
      <c r="C143" s="31"/>
      <c r="D143" s="31"/>
      <c r="E143" s="34"/>
      <c r="F143" s="38" t="str">
        <f aca="false">IF(M131=1,IF(N(E143)&gt;0,"✔ انقبض — الأسبوع مقفول","⏳ لسا ما انقبض"),"")</f>
        <v/>
      </c>
      <c r="G143" s="38"/>
      <c r="H143" s="38"/>
      <c r="I143" s="38"/>
      <c r="M143" s="19" t="n">
        <f aca="false">$M$131</f>
        <v>0</v>
      </c>
      <c r="Q143" s="19" t="n">
        <f aca="false">IF(N(E143)&gt;0,1,0)</f>
        <v>0</v>
      </c>
      <c r="S143" s="0" t="n">
        <v>10</v>
      </c>
    </row>
    <row r="144" customFormat="false" ht="9.75" hidden="false" customHeight="true" outlineLevel="0" collapsed="false">
      <c r="M144" s="19" t="n">
        <f aca="false">$M$131</f>
        <v>0</v>
      </c>
      <c r="Q144" s="19" t="n">
        <f aca="false">IF(N(E143)&gt;0,1,0)</f>
        <v>0</v>
      </c>
      <c r="S144" s="0" t="n">
        <v>10</v>
      </c>
      <c r="T144" s="0" t="n">
        <v>2</v>
      </c>
    </row>
    <row r="145" customFormat="false" ht="33.75" hidden="false" customHeight="true" outlineLevel="0" collapsed="false">
      <c r="A145" s="17" t="str">
        <f aca="false">IF(11&lt;=NW,TEXT(DAY(WEEK_ONE+70),"00")&amp;"/"&amp;TEXT(MONTH(WEEK_ONE+70),"00")&amp;"/"&amp;YEAR(WEEK_ONE+70)&amp;"  -  "&amp;TEXT(DAY(WEEK_ONE+76),"00")&amp;"/"&amp;TEXT(MONTH(WEEK_ONE+76),"00")&amp;"/"&amp;YEAR(WEEK_ONE+76)&amp;"   ·   الأسبوع 11"&amp;IF(11&lt;START_O,"   (قبل أسبوع البداية — ما بينحسب)",""),"ما في أسبوع 11 هالسنة")</f>
        <v>07/03/2026  -  13/03/2026   ·   الأسبوع 11   (قبل أسبوع البداية — ما بينحسب)</v>
      </c>
      <c r="B145" s="17"/>
      <c r="C145" s="17"/>
      <c r="D145" s="17"/>
      <c r="E145" s="17"/>
      <c r="F145" s="17"/>
      <c r="G145" s="17"/>
      <c r="H145" s="17"/>
      <c r="I145" s="17"/>
      <c r="L145" s="18" t="n">
        <f aca="false">IF(11&lt;=NW,WEEK_ONE+76,"")</f>
        <v>46094</v>
      </c>
      <c r="M145" s="19" t="n">
        <f aca="false">IF(AND(11&lt;=NW,11&gt;=START_O),1,0)</f>
        <v>0</v>
      </c>
      <c r="N145" s="20" t="n">
        <f aca="false">IFERROR(INDEX(RT_OMR,MATCH(L145,RT_K,1)),INDEX(RT_OMR,1))</f>
        <v>1.25</v>
      </c>
      <c r="O145" s="20" t="n">
        <f aca="false">IFERROR(INDEX(RT_OT,MATCH(L145,RT_K,1)),INDEX(RT_OT,1))</f>
        <v>1.5</v>
      </c>
      <c r="P145" s="20" t="n">
        <f aca="false">IFERROR(INDEX(RT_GYP,MATCH(L145,RT_K,1)),INDEX(RT_GYP,1))</f>
        <v>2.5</v>
      </c>
      <c r="Q145" s="19" t="n">
        <f aca="false">IF(N(E157)&gt;0,1,0)</f>
        <v>0</v>
      </c>
      <c r="R145" s="0" t="n">
        <v>11</v>
      </c>
      <c r="S145" s="0" t="n">
        <v>11</v>
      </c>
      <c r="U145" s="19" t="n">
        <f aca="false">IF(M145=1,SUM(E147:E153),0)</f>
        <v>0</v>
      </c>
      <c r="V145" s="19" t="n">
        <f aca="false">SUM(H147:H153)</f>
        <v>0</v>
      </c>
    </row>
    <row r="146" customFormat="false" ht="39.75" hidden="false" customHeight="true" outlineLevel="0" collapsed="false">
      <c r="A146" s="21" t="s">
        <v>18</v>
      </c>
      <c r="B146" s="21" t="s">
        <v>19</v>
      </c>
      <c r="C146" s="21" t="s">
        <v>20</v>
      </c>
      <c r="D146" s="21" t="s">
        <v>21</v>
      </c>
      <c r="E146" s="21" t="s">
        <v>22</v>
      </c>
      <c r="F146" s="21" t="s">
        <v>23</v>
      </c>
      <c r="G146" s="21" t="s">
        <v>24</v>
      </c>
      <c r="H146" s="21" t="s">
        <v>25</v>
      </c>
      <c r="I146" s="21" t="s">
        <v>26</v>
      </c>
      <c r="M146" s="19" t="n">
        <f aca="false">$M$145</f>
        <v>0</v>
      </c>
      <c r="Q146" s="19" t="n">
        <f aca="false">IF(N(E157)&gt;0,1,0)</f>
        <v>0</v>
      </c>
      <c r="S146" s="0" t="n">
        <v>11</v>
      </c>
    </row>
    <row r="147" customFormat="false" ht="15" hidden="false" customHeight="false" outlineLevel="0" collapsed="false">
      <c r="A147" s="22" t="n">
        <f aca="false">IF(11&lt;=NW,WEEK_ONE+70,"")</f>
        <v>46088</v>
      </c>
      <c r="B147" s="23" t="str">
        <f aca="false">IF(A147="","",CHOOSE(WEEKDAY(A147,1),"الأحد","الاثنين","الثلاثاء","الأربعاء","الخميس","الجمعة","السبت"))</f>
        <v>السبت</v>
      </c>
      <c r="C147" s="24"/>
      <c r="D147" s="24"/>
      <c r="E147" s="25" t="str">
        <f aca="false">IF(OR(M147=0,K147="",L147=""),"",MOD(L147-K147,1))</f>
        <v/>
      </c>
      <c r="F147" s="25" t="str">
        <f aca="false">IF(OR(E147="",M147=0),"",IF(WEEKDAY(A147,1)=6,E147,MIN(E147,MAX(0,MIN(IF(L147&lt;K147,L147+1,L147),OMR_OT_AT)-K147))))</f>
        <v/>
      </c>
      <c r="G147" s="25" t="str">
        <f aca="false">IF(OR(E147="",M147=0),"",MAX(0,E147-F147))</f>
        <v/>
      </c>
      <c r="H147" s="26" t="str">
        <f aca="false">IF(OR(E147="",M147=0),"",ROUND((F147*$N$145+G147*$O$145)*24,3))</f>
        <v/>
      </c>
      <c r="I147" s="27"/>
      <c r="K147" s="28" t="str">
        <f aca="false">IF(OR(M147=0,C147=""),"",IF(ISNUMBER(C147),MOD(C147,1),IFERROR(INDEX(القوائم!$B$1:$B$288,MATCH(TRIM(C147),القوائم!$A$1:$A$288,0)),IFERROR(MOD(TIMEVALUE(C147),1),""))))</f>
        <v/>
      </c>
      <c r="L147" s="28" t="str">
        <f aca="false">IF(OR(M147=0,D147=""),"",IF(ISNUMBER(D147),MOD(D147,1),IFERROR(INDEX(القوائم!$B$1:$B$288,MATCH(TRIM(D147),القوائم!$A$1:$A$288,0)),IFERROR(MOD(TIMEVALUE(D147),1),""))))</f>
        <v/>
      </c>
      <c r="M147" s="19" t="n">
        <f aca="false">$M$145</f>
        <v>0</v>
      </c>
      <c r="Q147" s="19" t="n">
        <f aca="false">IF(N(E157)&gt;0,1,0)</f>
        <v>0</v>
      </c>
      <c r="S147" s="0" t="n">
        <v>11</v>
      </c>
    </row>
    <row r="148" customFormat="false" ht="15" hidden="false" customHeight="false" outlineLevel="0" collapsed="false">
      <c r="A148" s="22" t="n">
        <f aca="false">IF(11&lt;=NW,WEEK_ONE+71,"")</f>
        <v>46089</v>
      </c>
      <c r="B148" s="23" t="str">
        <f aca="false">IF(A148="","",CHOOSE(WEEKDAY(A148,1),"الأحد","الاثنين","الثلاثاء","الأربعاء","الخميس","الجمعة","السبت"))</f>
        <v>الأحد</v>
      </c>
      <c r="C148" s="24"/>
      <c r="D148" s="24"/>
      <c r="E148" s="25" t="str">
        <f aca="false">IF(OR(M148=0,K148="",L148=""),"",MOD(L148-K148,1))</f>
        <v/>
      </c>
      <c r="F148" s="25" t="str">
        <f aca="false">IF(OR(E148="",M148=0),"",IF(WEEKDAY(A148,1)=6,E148,MIN(E148,MAX(0,MIN(IF(L148&lt;K148,L148+1,L148),OMR_OT_AT)-K148))))</f>
        <v/>
      </c>
      <c r="G148" s="25" t="str">
        <f aca="false">IF(OR(E148="",M148=0),"",MAX(0,E148-F148))</f>
        <v/>
      </c>
      <c r="H148" s="26" t="str">
        <f aca="false">IF(OR(E148="",M148=0),"",ROUND((F148*$N$145+G148*$O$145)*24,3))</f>
        <v/>
      </c>
      <c r="I148" s="27"/>
      <c r="K148" s="28" t="str">
        <f aca="false">IF(OR(M148=0,C148=""),"",IF(ISNUMBER(C148),MOD(C148,1),IFERROR(INDEX(القوائم!$B$1:$B$288,MATCH(TRIM(C148),القوائم!$A$1:$A$288,0)),IFERROR(MOD(TIMEVALUE(C148),1),""))))</f>
        <v/>
      </c>
      <c r="L148" s="28" t="str">
        <f aca="false">IF(OR(M148=0,D148=""),"",IF(ISNUMBER(D148),MOD(D148,1),IFERROR(INDEX(القوائم!$B$1:$B$288,MATCH(TRIM(D148),القوائم!$A$1:$A$288,0)),IFERROR(MOD(TIMEVALUE(D148),1),""))))</f>
        <v/>
      </c>
      <c r="M148" s="19" t="n">
        <f aca="false">$M$145</f>
        <v>0</v>
      </c>
      <c r="Q148" s="19" t="n">
        <f aca="false">IF(N(E157)&gt;0,1,0)</f>
        <v>0</v>
      </c>
      <c r="S148" s="0" t="n">
        <v>11</v>
      </c>
    </row>
    <row r="149" customFormat="false" ht="15" hidden="false" customHeight="false" outlineLevel="0" collapsed="false">
      <c r="A149" s="22" t="n">
        <f aca="false">IF(11&lt;=NW,WEEK_ONE+72,"")</f>
        <v>46090</v>
      </c>
      <c r="B149" s="23" t="str">
        <f aca="false">IF(A149="","",CHOOSE(WEEKDAY(A149,1),"الأحد","الاثنين","الثلاثاء","الأربعاء","الخميس","الجمعة","السبت"))</f>
        <v>الاثنين</v>
      </c>
      <c r="C149" s="24"/>
      <c r="D149" s="24"/>
      <c r="E149" s="25" t="str">
        <f aca="false">IF(OR(M149=0,K149="",L149=""),"",MOD(L149-K149,1))</f>
        <v/>
      </c>
      <c r="F149" s="25" t="str">
        <f aca="false">IF(OR(E149="",M149=0),"",IF(WEEKDAY(A149,1)=6,E149,MIN(E149,MAX(0,MIN(IF(L149&lt;K149,L149+1,L149),OMR_OT_AT)-K149))))</f>
        <v/>
      </c>
      <c r="G149" s="25" t="str">
        <f aca="false">IF(OR(E149="",M149=0),"",MAX(0,E149-F149))</f>
        <v/>
      </c>
      <c r="H149" s="26" t="str">
        <f aca="false">IF(OR(E149="",M149=0),"",ROUND((F149*$N$145+G149*$O$145)*24,3))</f>
        <v/>
      </c>
      <c r="I149" s="27"/>
      <c r="K149" s="28" t="str">
        <f aca="false">IF(OR(M149=0,C149=""),"",IF(ISNUMBER(C149),MOD(C149,1),IFERROR(INDEX(القوائم!$B$1:$B$288,MATCH(TRIM(C149),القوائم!$A$1:$A$288,0)),IFERROR(MOD(TIMEVALUE(C149),1),""))))</f>
        <v/>
      </c>
      <c r="L149" s="28" t="str">
        <f aca="false">IF(OR(M149=0,D149=""),"",IF(ISNUMBER(D149),MOD(D149,1),IFERROR(INDEX(القوائم!$B$1:$B$288,MATCH(TRIM(D149),القوائم!$A$1:$A$288,0)),IFERROR(MOD(TIMEVALUE(D149),1),""))))</f>
        <v/>
      </c>
      <c r="M149" s="19" t="n">
        <f aca="false">$M$145</f>
        <v>0</v>
      </c>
      <c r="Q149" s="19" t="n">
        <f aca="false">IF(N(E157)&gt;0,1,0)</f>
        <v>0</v>
      </c>
      <c r="S149" s="0" t="n">
        <v>11</v>
      </c>
    </row>
    <row r="150" customFormat="false" ht="15" hidden="false" customHeight="false" outlineLevel="0" collapsed="false">
      <c r="A150" s="22" t="n">
        <f aca="false">IF(11&lt;=NW,WEEK_ONE+73,"")</f>
        <v>46091</v>
      </c>
      <c r="B150" s="23" t="str">
        <f aca="false">IF(A150="","",CHOOSE(WEEKDAY(A150,1),"الأحد","الاثنين","الثلاثاء","الأربعاء","الخميس","الجمعة","السبت"))</f>
        <v>الثلاثاء</v>
      </c>
      <c r="C150" s="24"/>
      <c r="D150" s="24"/>
      <c r="E150" s="25" t="str">
        <f aca="false">IF(OR(M150=0,K150="",L150=""),"",MOD(L150-K150,1))</f>
        <v/>
      </c>
      <c r="F150" s="25" t="str">
        <f aca="false">IF(OR(E150="",M150=0),"",IF(WEEKDAY(A150,1)=6,E150,MIN(E150,MAX(0,MIN(IF(L150&lt;K150,L150+1,L150),OMR_OT_AT)-K150))))</f>
        <v/>
      </c>
      <c r="G150" s="25" t="str">
        <f aca="false">IF(OR(E150="",M150=0),"",MAX(0,E150-F150))</f>
        <v/>
      </c>
      <c r="H150" s="26" t="str">
        <f aca="false">IF(OR(E150="",M150=0),"",ROUND((F150*$N$145+G150*$O$145)*24,3))</f>
        <v/>
      </c>
      <c r="I150" s="27"/>
      <c r="K150" s="28" t="str">
        <f aca="false">IF(OR(M150=0,C150=""),"",IF(ISNUMBER(C150),MOD(C150,1),IFERROR(INDEX(القوائم!$B$1:$B$288,MATCH(TRIM(C150),القوائم!$A$1:$A$288,0)),IFERROR(MOD(TIMEVALUE(C150),1),""))))</f>
        <v/>
      </c>
      <c r="L150" s="28" t="str">
        <f aca="false">IF(OR(M150=0,D150=""),"",IF(ISNUMBER(D150),MOD(D150,1),IFERROR(INDEX(القوائم!$B$1:$B$288,MATCH(TRIM(D150),القوائم!$A$1:$A$288,0)),IFERROR(MOD(TIMEVALUE(D150),1),""))))</f>
        <v/>
      </c>
      <c r="M150" s="19" t="n">
        <f aca="false">$M$145</f>
        <v>0</v>
      </c>
      <c r="Q150" s="19" t="n">
        <f aca="false">IF(N(E157)&gt;0,1,0)</f>
        <v>0</v>
      </c>
      <c r="S150" s="0" t="n">
        <v>11</v>
      </c>
    </row>
    <row r="151" customFormat="false" ht="15" hidden="false" customHeight="false" outlineLevel="0" collapsed="false">
      <c r="A151" s="22" t="n">
        <f aca="false">IF(11&lt;=NW,WEEK_ONE+74,"")</f>
        <v>46092</v>
      </c>
      <c r="B151" s="23" t="str">
        <f aca="false">IF(A151="","",CHOOSE(WEEKDAY(A151,1),"الأحد","الاثنين","الثلاثاء","الأربعاء","الخميس","الجمعة","السبت"))</f>
        <v>الأربعاء</v>
      </c>
      <c r="C151" s="24"/>
      <c r="D151" s="24"/>
      <c r="E151" s="25" t="str">
        <f aca="false">IF(OR(M151=0,K151="",L151=""),"",MOD(L151-K151,1))</f>
        <v/>
      </c>
      <c r="F151" s="25" t="str">
        <f aca="false">IF(OR(E151="",M151=0),"",IF(WEEKDAY(A151,1)=6,E151,MIN(E151,MAX(0,MIN(IF(L151&lt;K151,L151+1,L151),OMR_OT_AT)-K151))))</f>
        <v/>
      </c>
      <c r="G151" s="25" t="str">
        <f aca="false">IF(OR(E151="",M151=0),"",MAX(0,E151-F151))</f>
        <v/>
      </c>
      <c r="H151" s="26" t="str">
        <f aca="false">IF(OR(E151="",M151=0),"",ROUND((F151*$N$145+G151*$O$145)*24,3))</f>
        <v/>
      </c>
      <c r="I151" s="27"/>
      <c r="K151" s="28" t="str">
        <f aca="false">IF(OR(M151=0,C151=""),"",IF(ISNUMBER(C151),MOD(C151,1),IFERROR(INDEX(القوائم!$B$1:$B$288,MATCH(TRIM(C151),القوائم!$A$1:$A$288,0)),IFERROR(MOD(TIMEVALUE(C151),1),""))))</f>
        <v/>
      </c>
      <c r="L151" s="28" t="str">
        <f aca="false">IF(OR(M151=0,D151=""),"",IF(ISNUMBER(D151),MOD(D151,1),IFERROR(INDEX(القوائم!$B$1:$B$288,MATCH(TRIM(D151),القوائم!$A$1:$A$288,0)),IFERROR(MOD(TIMEVALUE(D151),1),""))))</f>
        <v/>
      </c>
      <c r="M151" s="19" t="n">
        <f aca="false">$M$145</f>
        <v>0</v>
      </c>
      <c r="Q151" s="19" t="n">
        <f aca="false">IF(N(E157)&gt;0,1,0)</f>
        <v>0</v>
      </c>
      <c r="S151" s="0" t="n">
        <v>11</v>
      </c>
    </row>
    <row r="152" customFormat="false" ht="15" hidden="false" customHeight="false" outlineLevel="0" collapsed="false">
      <c r="A152" s="22" t="n">
        <f aca="false">IF(11&lt;=NW,WEEK_ONE+75,"")</f>
        <v>46093</v>
      </c>
      <c r="B152" s="23" t="str">
        <f aca="false">IF(A152="","",CHOOSE(WEEKDAY(A152,1),"الأحد","الاثنين","الثلاثاء","الأربعاء","الخميس","الجمعة","السبت"))</f>
        <v>الخميس</v>
      </c>
      <c r="C152" s="24"/>
      <c r="D152" s="24"/>
      <c r="E152" s="25" t="str">
        <f aca="false">IF(OR(M152=0,K152="",L152=""),"",MOD(L152-K152,1))</f>
        <v/>
      </c>
      <c r="F152" s="25" t="str">
        <f aca="false">IF(OR(E152="",M152=0),"",IF(WEEKDAY(A152,1)=6,E152,MIN(E152,MAX(0,MIN(IF(L152&lt;K152,L152+1,L152),OMR_OT_AT)-K152))))</f>
        <v/>
      </c>
      <c r="G152" s="25" t="str">
        <f aca="false">IF(OR(E152="",M152=0),"",MAX(0,E152-F152))</f>
        <v/>
      </c>
      <c r="H152" s="26" t="str">
        <f aca="false">IF(OR(E152="",M152=0),"",ROUND((F152*$N$145+G152*$O$145)*24,3))</f>
        <v/>
      </c>
      <c r="I152" s="27"/>
      <c r="K152" s="28" t="str">
        <f aca="false">IF(OR(M152=0,C152=""),"",IF(ISNUMBER(C152),MOD(C152,1),IFERROR(INDEX(القوائم!$B$1:$B$288,MATCH(TRIM(C152),القوائم!$A$1:$A$288,0)),IFERROR(MOD(TIMEVALUE(C152),1),""))))</f>
        <v/>
      </c>
      <c r="L152" s="28" t="str">
        <f aca="false">IF(OR(M152=0,D152=""),"",IF(ISNUMBER(D152),MOD(D152,1),IFERROR(INDEX(القوائم!$B$1:$B$288,MATCH(TRIM(D152),القوائم!$A$1:$A$288,0)),IFERROR(MOD(TIMEVALUE(D152),1),""))))</f>
        <v/>
      </c>
      <c r="M152" s="19" t="n">
        <f aca="false">$M$145</f>
        <v>0</v>
      </c>
      <c r="Q152" s="19" t="n">
        <f aca="false">IF(N(E157)&gt;0,1,0)</f>
        <v>0</v>
      </c>
      <c r="S152" s="0" t="n">
        <v>11</v>
      </c>
    </row>
    <row r="153" customFormat="false" ht="15" hidden="false" customHeight="false" outlineLevel="0" collapsed="false">
      <c r="A153" s="29" t="n">
        <f aca="false">IF(11&lt;=NW,WEEK_ONE+76,"")</f>
        <v>46094</v>
      </c>
      <c r="B153" s="30" t="str">
        <f aca="false">IF(A153="","",CHOOSE(WEEKDAY(A153,1),"الأحد","الاثنين","الثلاثاء","الأربعاء","الخميس","الجمعة","السبت"))</f>
        <v>الجمعة</v>
      </c>
      <c r="C153" s="24"/>
      <c r="D153" s="24"/>
      <c r="E153" s="25" t="str">
        <f aca="false">IF(OR(M153=0,K153="",L153=""),"",MOD(L153-K153,1))</f>
        <v/>
      </c>
      <c r="F153" s="25" t="str">
        <f aca="false">IF(OR(E153="",M153=0),"",IF(WEEKDAY(A153,1)=6,E153,MIN(E153,MAX(0,MIN(IF(L153&lt;K153,L153+1,L153),OMR_OT_AT)-K153))))</f>
        <v/>
      </c>
      <c r="G153" s="25" t="str">
        <f aca="false">IF(OR(E153="",M153=0),"",MAX(0,E153-F153))</f>
        <v/>
      </c>
      <c r="H153" s="26" t="str">
        <f aca="false">IF(OR(E153="",M153=0),"",ROUND((F153*$N$145+G153*$O$145)*24,3))</f>
        <v/>
      </c>
      <c r="I153" s="27"/>
      <c r="K153" s="28" t="str">
        <f aca="false">IF(OR(M153=0,C153=""),"",IF(ISNUMBER(C153),MOD(C153,1),IFERROR(INDEX(القوائم!$B$1:$B$288,MATCH(TRIM(C153),القوائم!$A$1:$A$288,0)),IFERROR(MOD(TIMEVALUE(C153),1),""))))</f>
        <v/>
      </c>
      <c r="L153" s="28" t="str">
        <f aca="false">IF(OR(M153=0,D153=""),"",IF(ISNUMBER(D153),MOD(D153,1),IFERROR(INDEX(القوائم!$B$1:$B$288,MATCH(TRIM(D153),القوائم!$A$1:$A$288,0)),IFERROR(MOD(TIMEVALUE(D153),1),""))))</f>
        <v/>
      </c>
      <c r="M153" s="19" t="n">
        <f aca="false">$M$145</f>
        <v>0</v>
      </c>
      <c r="Q153" s="19" t="n">
        <f aca="false">IF(N(E157)&gt;0,1,0)</f>
        <v>0</v>
      </c>
      <c r="S153" s="0" t="n">
        <v>11</v>
      </c>
    </row>
    <row r="154" customFormat="false" ht="15" hidden="false" customHeight="false" outlineLevel="0" collapsed="false">
      <c r="A154" s="31" t="str">
        <f aca="false">IF(M145=1,"ساعات تحميل الجبسمبورد بهالأسبوع ←","")</f>
        <v/>
      </c>
      <c r="B154" s="31"/>
      <c r="C154" s="31"/>
      <c r="D154" s="31"/>
      <c r="E154" s="32"/>
      <c r="F154" s="33" t="str">
        <f aca="false">IF(M145=1,"كل ساعة تحميل = "&amp;TEXT($P$145,"0.000")&amp;" دينار (منها "&amp;TEXT($N$145,"0.000")&amp;" محسوبة أصلاً بساعات اليوم)","")</f>
        <v/>
      </c>
      <c r="G154" s="33"/>
      <c r="H154" s="33"/>
      <c r="I154" s="33"/>
      <c r="M154" s="19" t="n">
        <f aca="false">$M$145</f>
        <v>0</v>
      </c>
      <c r="Q154" s="19" t="n">
        <f aca="false">IF(N(E157)&gt;0,1,0)</f>
        <v>0</v>
      </c>
      <c r="S154" s="0" t="n">
        <v>11</v>
      </c>
    </row>
    <row r="155" customFormat="false" ht="15" hidden="false" customHeight="false" outlineLevel="0" collapsed="false">
      <c r="A155" s="31" t="str">
        <f aca="false">IF(M145=1,"إكرامية الأسبوع (دينار) ←","")</f>
        <v/>
      </c>
      <c r="B155" s="31"/>
      <c r="C155" s="31"/>
      <c r="D155" s="31"/>
      <c r="E155" s="34"/>
      <c r="F155" s="35"/>
      <c r="G155" s="35"/>
      <c r="H155" s="35"/>
      <c r="I155" s="35"/>
      <c r="M155" s="19" t="n">
        <f aca="false">$M$145</f>
        <v>0</v>
      </c>
      <c r="Q155" s="19" t="n">
        <f aca="false">IF(N(E157)&gt;0,1,0)</f>
        <v>0</v>
      </c>
      <c r="S155" s="0" t="n">
        <v>11</v>
      </c>
    </row>
    <row r="156" customFormat="false" ht="36" hidden="false" customHeight="true" outlineLevel="0" collapsed="false">
      <c r="A156" s="36" t="str">
        <f aca="false">IF(M145=1,"المستحق النهائي للأسبوع","")</f>
        <v/>
      </c>
      <c r="B156" s="36"/>
      <c r="C156" s="36"/>
      <c r="D156" s="36"/>
      <c r="E156" s="36"/>
      <c r="F156" s="36"/>
      <c r="G156" s="36"/>
      <c r="H156" s="11" t="str">
        <f aca="false">IF(M145=1,ROUND(N($V$145)+N(E154)*($P$145-$N$145)+N(E155),3),"")</f>
        <v/>
      </c>
      <c r="I156" s="37"/>
      <c r="M156" s="19" t="n">
        <f aca="false">$M$145</f>
        <v>0</v>
      </c>
      <c r="Q156" s="19" t="n">
        <f aca="false">IF(N(E157)&gt;0,1,0)</f>
        <v>0</v>
      </c>
      <c r="S156" s="0" t="n">
        <v>11</v>
      </c>
      <c r="T156" s="0" t="n">
        <v>1</v>
      </c>
    </row>
    <row r="157" customFormat="false" ht="25.5" hidden="false" customHeight="true" outlineLevel="0" collapsed="false">
      <c r="A157" s="31" t="str">
        <f aca="false">IF(M145=1,"المدفوع (دينار) ←","")</f>
        <v/>
      </c>
      <c r="B157" s="31"/>
      <c r="C157" s="31"/>
      <c r="D157" s="31"/>
      <c r="E157" s="34"/>
      <c r="F157" s="38" t="str">
        <f aca="false">IF(M145=1,IF(N(E157)&gt;0,"✔ انقبض — الأسبوع مقفول","⏳ لسا ما انقبض"),"")</f>
        <v/>
      </c>
      <c r="G157" s="38"/>
      <c r="H157" s="38"/>
      <c r="I157" s="38"/>
      <c r="M157" s="19" t="n">
        <f aca="false">$M$145</f>
        <v>0</v>
      </c>
      <c r="Q157" s="19" t="n">
        <f aca="false">IF(N(E157)&gt;0,1,0)</f>
        <v>0</v>
      </c>
      <c r="S157" s="0" t="n">
        <v>11</v>
      </c>
    </row>
    <row r="158" customFormat="false" ht="9.75" hidden="false" customHeight="true" outlineLevel="0" collapsed="false">
      <c r="M158" s="19" t="n">
        <f aca="false">$M$145</f>
        <v>0</v>
      </c>
      <c r="Q158" s="19" t="n">
        <f aca="false">IF(N(E157)&gt;0,1,0)</f>
        <v>0</v>
      </c>
      <c r="S158" s="0" t="n">
        <v>11</v>
      </c>
      <c r="T158" s="0" t="n">
        <v>2</v>
      </c>
    </row>
    <row r="159" customFormat="false" ht="33.75" hidden="false" customHeight="true" outlineLevel="0" collapsed="false">
      <c r="A159" s="17" t="str">
        <f aca="false">IF(12&lt;=NW,TEXT(DAY(WEEK_ONE+77),"00")&amp;"/"&amp;TEXT(MONTH(WEEK_ONE+77),"00")&amp;"/"&amp;YEAR(WEEK_ONE+77)&amp;"  -  "&amp;TEXT(DAY(WEEK_ONE+83),"00")&amp;"/"&amp;TEXT(MONTH(WEEK_ONE+83),"00")&amp;"/"&amp;YEAR(WEEK_ONE+83)&amp;"   ·   الأسبوع 12"&amp;IF(12&lt;START_O,"   (قبل أسبوع البداية — ما بينحسب)",""),"ما في أسبوع 12 هالسنة")</f>
        <v>14/03/2026  -  20/03/2026   ·   الأسبوع 12   (قبل أسبوع البداية — ما بينحسب)</v>
      </c>
      <c r="B159" s="17"/>
      <c r="C159" s="17"/>
      <c r="D159" s="17"/>
      <c r="E159" s="17"/>
      <c r="F159" s="17"/>
      <c r="G159" s="17"/>
      <c r="H159" s="17"/>
      <c r="I159" s="17"/>
      <c r="L159" s="18" t="n">
        <f aca="false">IF(12&lt;=NW,WEEK_ONE+83,"")</f>
        <v>46101</v>
      </c>
      <c r="M159" s="19" t="n">
        <f aca="false">IF(AND(12&lt;=NW,12&gt;=START_O),1,0)</f>
        <v>0</v>
      </c>
      <c r="N159" s="20" t="n">
        <f aca="false">IFERROR(INDEX(RT_OMR,MATCH(L159,RT_K,1)),INDEX(RT_OMR,1))</f>
        <v>1.25</v>
      </c>
      <c r="O159" s="20" t="n">
        <f aca="false">IFERROR(INDEX(RT_OT,MATCH(L159,RT_K,1)),INDEX(RT_OT,1))</f>
        <v>1.5</v>
      </c>
      <c r="P159" s="20" t="n">
        <f aca="false">IFERROR(INDEX(RT_GYP,MATCH(L159,RT_K,1)),INDEX(RT_GYP,1))</f>
        <v>2.5</v>
      </c>
      <c r="Q159" s="19" t="n">
        <f aca="false">IF(N(E171)&gt;0,1,0)</f>
        <v>0</v>
      </c>
      <c r="R159" s="0" t="n">
        <v>12</v>
      </c>
      <c r="S159" s="0" t="n">
        <v>12</v>
      </c>
      <c r="U159" s="19" t="n">
        <f aca="false">IF(M159=1,SUM(E161:E167),0)</f>
        <v>0</v>
      </c>
      <c r="V159" s="19" t="n">
        <f aca="false">SUM(H161:H167)</f>
        <v>0</v>
      </c>
    </row>
    <row r="160" customFormat="false" ht="39.75" hidden="false" customHeight="true" outlineLevel="0" collapsed="false">
      <c r="A160" s="21" t="s">
        <v>18</v>
      </c>
      <c r="B160" s="21" t="s">
        <v>19</v>
      </c>
      <c r="C160" s="21" t="s">
        <v>20</v>
      </c>
      <c r="D160" s="21" t="s">
        <v>21</v>
      </c>
      <c r="E160" s="21" t="s">
        <v>22</v>
      </c>
      <c r="F160" s="21" t="s">
        <v>23</v>
      </c>
      <c r="G160" s="21" t="s">
        <v>24</v>
      </c>
      <c r="H160" s="21" t="s">
        <v>25</v>
      </c>
      <c r="I160" s="21" t="s">
        <v>26</v>
      </c>
      <c r="M160" s="19" t="n">
        <f aca="false">$M$159</f>
        <v>0</v>
      </c>
      <c r="Q160" s="19" t="n">
        <f aca="false">IF(N(E171)&gt;0,1,0)</f>
        <v>0</v>
      </c>
      <c r="S160" s="0" t="n">
        <v>12</v>
      </c>
    </row>
    <row r="161" customFormat="false" ht="15" hidden="false" customHeight="false" outlineLevel="0" collapsed="false">
      <c r="A161" s="22" t="n">
        <f aca="false">IF(12&lt;=NW,WEEK_ONE+77,"")</f>
        <v>46095</v>
      </c>
      <c r="B161" s="23" t="str">
        <f aca="false">IF(A161="","",CHOOSE(WEEKDAY(A161,1),"الأحد","الاثنين","الثلاثاء","الأربعاء","الخميس","الجمعة","السبت"))</f>
        <v>السبت</v>
      </c>
      <c r="C161" s="24"/>
      <c r="D161" s="24"/>
      <c r="E161" s="25" t="str">
        <f aca="false">IF(OR(M161=0,K161="",L161=""),"",MOD(L161-K161,1))</f>
        <v/>
      </c>
      <c r="F161" s="25" t="str">
        <f aca="false">IF(OR(E161="",M161=0),"",IF(WEEKDAY(A161,1)=6,E161,MIN(E161,MAX(0,MIN(IF(L161&lt;K161,L161+1,L161),OMR_OT_AT)-K161))))</f>
        <v/>
      </c>
      <c r="G161" s="25" t="str">
        <f aca="false">IF(OR(E161="",M161=0),"",MAX(0,E161-F161))</f>
        <v/>
      </c>
      <c r="H161" s="26" t="str">
        <f aca="false">IF(OR(E161="",M161=0),"",ROUND((F161*$N$159+G161*$O$159)*24,3))</f>
        <v/>
      </c>
      <c r="I161" s="27"/>
      <c r="K161" s="28" t="str">
        <f aca="false">IF(OR(M161=0,C161=""),"",IF(ISNUMBER(C161),MOD(C161,1),IFERROR(INDEX(القوائم!$B$1:$B$288,MATCH(TRIM(C161),القوائم!$A$1:$A$288,0)),IFERROR(MOD(TIMEVALUE(C161),1),""))))</f>
        <v/>
      </c>
      <c r="L161" s="28" t="str">
        <f aca="false">IF(OR(M161=0,D161=""),"",IF(ISNUMBER(D161),MOD(D161,1),IFERROR(INDEX(القوائم!$B$1:$B$288,MATCH(TRIM(D161),القوائم!$A$1:$A$288,0)),IFERROR(MOD(TIMEVALUE(D161),1),""))))</f>
        <v/>
      </c>
      <c r="M161" s="19" t="n">
        <f aca="false">$M$159</f>
        <v>0</v>
      </c>
      <c r="Q161" s="19" t="n">
        <f aca="false">IF(N(E171)&gt;0,1,0)</f>
        <v>0</v>
      </c>
      <c r="S161" s="0" t="n">
        <v>12</v>
      </c>
    </row>
    <row r="162" customFormat="false" ht="15" hidden="false" customHeight="false" outlineLevel="0" collapsed="false">
      <c r="A162" s="22" t="n">
        <f aca="false">IF(12&lt;=NW,WEEK_ONE+78,"")</f>
        <v>46096</v>
      </c>
      <c r="B162" s="23" t="str">
        <f aca="false">IF(A162="","",CHOOSE(WEEKDAY(A162,1),"الأحد","الاثنين","الثلاثاء","الأربعاء","الخميس","الجمعة","السبت"))</f>
        <v>الأحد</v>
      </c>
      <c r="C162" s="24"/>
      <c r="D162" s="24"/>
      <c r="E162" s="25" t="str">
        <f aca="false">IF(OR(M162=0,K162="",L162=""),"",MOD(L162-K162,1))</f>
        <v/>
      </c>
      <c r="F162" s="25" t="str">
        <f aca="false">IF(OR(E162="",M162=0),"",IF(WEEKDAY(A162,1)=6,E162,MIN(E162,MAX(0,MIN(IF(L162&lt;K162,L162+1,L162),OMR_OT_AT)-K162))))</f>
        <v/>
      </c>
      <c r="G162" s="25" t="str">
        <f aca="false">IF(OR(E162="",M162=0),"",MAX(0,E162-F162))</f>
        <v/>
      </c>
      <c r="H162" s="26" t="str">
        <f aca="false">IF(OR(E162="",M162=0),"",ROUND((F162*$N$159+G162*$O$159)*24,3))</f>
        <v/>
      </c>
      <c r="I162" s="27"/>
      <c r="K162" s="28" t="str">
        <f aca="false">IF(OR(M162=0,C162=""),"",IF(ISNUMBER(C162),MOD(C162,1),IFERROR(INDEX(القوائم!$B$1:$B$288,MATCH(TRIM(C162),القوائم!$A$1:$A$288,0)),IFERROR(MOD(TIMEVALUE(C162),1),""))))</f>
        <v/>
      </c>
      <c r="L162" s="28" t="str">
        <f aca="false">IF(OR(M162=0,D162=""),"",IF(ISNUMBER(D162),MOD(D162,1),IFERROR(INDEX(القوائم!$B$1:$B$288,MATCH(TRIM(D162),القوائم!$A$1:$A$288,0)),IFERROR(MOD(TIMEVALUE(D162),1),""))))</f>
        <v/>
      </c>
      <c r="M162" s="19" t="n">
        <f aca="false">$M$159</f>
        <v>0</v>
      </c>
      <c r="Q162" s="19" t="n">
        <f aca="false">IF(N(E171)&gt;0,1,0)</f>
        <v>0</v>
      </c>
      <c r="S162" s="0" t="n">
        <v>12</v>
      </c>
    </row>
    <row r="163" customFormat="false" ht="15" hidden="false" customHeight="false" outlineLevel="0" collapsed="false">
      <c r="A163" s="22" t="n">
        <f aca="false">IF(12&lt;=NW,WEEK_ONE+79,"")</f>
        <v>46097</v>
      </c>
      <c r="B163" s="23" t="str">
        <f aca="false">IF(A163="","",CHOOSE(WEEKDAY(A163,1),"الأحد","الاثنين","الثلاثاء","الأربعاء","الخميس","الجمعة","السبت"))</f>
        <v>الاثنين</v>
      </c>
      <c r="C163" s="24"/>
      <c r="D163" s="24"/>
      <c r="E163" s="25" t="str">
        <f aca="false">IF(OR(M163=0,K163="",L163=""),"",MOD(L163-K163,1))</f>
        <v/>
      </c>
      <c r="F163" s="25" t="str">
        <f aca="false">IF(OR(E163="",M163=0),"",IF(WEEKDAY(A163,1)=6,E163,MIN(E163,MAX(0,MIN(IF(L163&lt;K163,L163+1,L163),OMR_OT_AT)-K163))))</f>
        <v/>
      </c>
      <c r="G163" s="25" t="str">
        <f aca="false">IF(OR(E163="",M163=0),"",MAX(0,E163-F163))</f>
        <v/>
      </c>
      <c r="H163" s="26" t="str">
        <f aca="false">IF(OR(E163="",M163=0),"",ROUND((F163*$N$159+G163*$O$159)*24,3))</f>
        <v/>
      </c>
      <c r="I163" s="27"/>
      <c r="K163" s="28" t="str">
        <f aca="false">IF(OR(M163=0,C163=""),"",IF(ISNUMBER(C163),MOD(C163,1),IFERROR(INDEX(القوائم!$B$1:$B$288,MATCH(TRIM(C163),القوائم!$A$1:$A$288,0)),IFERROR(MOD(TIMEVALUE(C163),1),""))))</f>
        <v/>
      </c>
      <c r="L163" s="28" t="str">
        <f aca="false">IF(OR(M163=0,D163=""),"",IF(ISNUMBER(D163),MOD(D163,1),IFERROR(INDEX(القوائم!$B$1:$B$288,MATCH(TRIM(D163),القوائم!$A$1:$A$288,0)),IFERROR(MOD(TIMEVALUE(D163),1),""))))</f>
        <v/>
      </c>
      <c r="M163" s="19" t="n">
        <f aca="false">$M$159</f>
        <v>0</v>
      </c>
      <c r="Q163" s="19" t="n">
        <f aca="false">IF(N(E171)&gt;0,1,0)</f>
        <v>0</v>
      </c>
      <c r="S163" s="0" t="n">
        <v>12</v>
      </c>
    </row>
    <row r="164" customFormat="false" ht="15" hidden="false" customHeight="false" outlineLevel="0" collapsed="false">
      <c r="A164" s="22" t="n">
        <f aca="false">IF(12&lt;=NW,WEEK_ONE+80,"")</f>
        <v>46098</v>
      </c>
      <c r="B164" s="23" t="str">
        <f aca="false">IF(A164="","",CHOOSE(WEEKDAY(A164,1),"الأحد","الاثنين","الثلاثاء","الأربعاء","الخميس","الجمعة","السبت"))</f>
        <v>الثلاثاء</v>
      </c>
      <c r="C164" s="24"/>
      <c r="D164" s="24"/>
      <c r="E164" s="25" t="str">
        <f aca="false">IF(OR(M164=0,K164="",L164=""),"",MOD(L164-K164,1))</f>
        <v/>
      </c>
      <c r="F164" s="25" t="str">
        <f aca="false">IF(OR(E164="",M164=0),"",IF(WEEKDAY(A164,1)=6,E164,MIN(E164,MAX(0,MIN(IF(L164&lt;K164,L164+1,L164),OMR_OT_AT)-K164))))</f>
        <v/>
      </c>
      <c r="G164" s="25" t="str">
        <f aca="false">IF(OR(E164="",M164=0),"",MAX(0,E164-F164))</f>
        <v/>
      </c>
      <c r="H164" s="26" t="str">
        <f aca="false">IF(OR(E164="",M164=0),"",ROUND((F164*$N$159+G164*$O$159)*24,3))</f>
        <v/>
      </c>
      <c r="I164" s="27"/>
      <c r="K164" s="28" t="str">
        <f aca="false">IF(OR(M164=0,C164=""),"",IF(ISNUMBER(C164),MOD(C164,1),IFERROR(INDEX(القوائم!$B$1:$B$288,MATCH(TRIM(C164),القوائم!$A$1:$A$288,0)),IFERROR(MOD(TIMEVALUE(C164),1),""))))</f>
        <v/>
      </c>
      <c r="L164" s="28" t="str">
        <f aca="false">IF(OR(M164=0,D164=""),"",IF(ISNUMBER(D164),MOD(D164,1),IFERROR(INDEX(القوائم!$B$1:$B$288,MATCH(TRIM(D164),القوائم!$A$1:$A$288,0)),IFERROR(MOD(TIMEVALUE(D164),1),""))))</f>
        <v/>
      </c>
      <c r="M164" s="19" t="n">
        <f aca="false">$M$159</f>
        <v>0</v>
      </c>
      <c r="Q164" s="19" t="n">
        <f aca="false">IF(N(E171)&gt;0,1,0)</f>
        <v>0</v>
      </c>
      <c r="S164" s="0" t="n">
        <v>12</v>
      </c>
    </row>
    <row r="165" customFormat="false" ht="15" hidden="false" customHeight="false" outlineLevel="0" collapsed="false">
      <c r="A165" s="22" t="n">
        <f aca="false">IF(12&lt;=NW,WEEK_ONE+81,"")</f>
        <v>46099</v>
      </c>
      <c r="B165" s="23" t="str">
        <f aca="false">IF(A165="","",CHOOSE(WEEKDAY(A165,1),"الأحد","الاثنين","الثلاثاء","الأربعاء","الخميس","الجمعة","السبت"))</f>
        <v>الأربعاء</v>
      </c>
      <c r="C165" s="24"/>
      <c r="D165" s="24"/>
      <c r="E165" s="25" t="str">
        <f aca="false">IF(OR(M165=0,K165="",L165=""),"",MOD(L165-K165,1))</f>
        <v/>
      </c>
      <c r="F165" s="25" t="str">
        <f aca="false">IF(OR(E165="",M165=0),"",IF(WEEKDAY(A165,1)=6,E165,MIN(E165,MAX(0,MIN(IF(L165&lt;K165,L165+1,L165),OMR_OT_AT)-K165))))</f>
        <v/>
      </c>
      <c r="G165" s="25" t="str">
        <f aca="false">IF(OR(E165="",M165=0),"",MAX(0,E165-F165))</f>
        <v/>
      </c>
      <c r="H165" s="26" t="str">
        <f aca="false">IF(OR(E165="",M165=0),"",ROUND((F165*$N$159+G165*$O$159)*24,3))</f>
        <v/>
      </c>
      <c r="I165" s="27"/>
      <c r="K165" s="28" t="str">
        <f aca="false">IF(OR(M165=0,C165=""),"",IF(ISNUMBER(C165),MOD(C165,1),IFERROR(INDEX(القوائم!$B$1:$B$288,MATCH(TRIM(C165),القوائم!$A$1:$A$288,0)),IFERROR(MOD(TIMEVALUE(C165),1),""))))</f>
        <v/>
      </c>
      <c r="L165" s="28" t="str">
        <f aca="false">IF(OR(M165=0,D165=""),"",IF(ISNUMBER(D165),MOD(D165,1),IFERROR(INDEX(القوائم!$B$1:$B$288,MATCH(TRIM(D165),القوائم!$A$1:$A$288,0)),IFERROR(MOD(TIMEVALUE(D165),1),""))))</f>
        <v/>
      </c>
      <c r="M165" s="19" t="n">
        <f aca="false">$M$159</f>
        <v>0</v>
      </c>
      <c r="Q165" s="19" t="n">
        <f aca="false">IF(N(E171)&gt;0,1,0)</f>
        <v>0</v>
      </c>
      <c r="S165" s="0" t="n">
        <v>12</v>
      </c>
    </row>
    <row r="166" customFormat="false" ht="15" hidden="false" customHeight="false" outlineLevel="0" collapsed="false">
      <c r="A166" s="22" t="n">
        <f aca="false">IF(12&lt;=NW,WEEK_ONE+82,"")</f>
        <v>46100</v>
      </c>
      <c r="B166" s="23" t="str">
        <f aca="false">IF(A166="","",CHOOSE(WEEKDAY(A166,1),"الأحد","الاثنين","الثلاثاء","الأربعاء","الخميس","الجمعة","السبت"))</f>
        <v>الخميس</v>
      </c>
      <c r="C166" s="24"/>
      <c r="D166" s="24"/>
      <c r="E166" s="25" t="str">
        <f aca="false">IF(OR(M166=0,K166="",L166=""),"",MOD(L166-K166,1))</f>
        <v/>
      </c>
      <c r="F166" s="25" t="str">
        <f aca="false">IF(OR(E166="",M166=0),"",IF(WEEKDAY(A166,1)=6,E166,MIN(E166,MAX(0,MIN(IF(L166&lt;K166,L166+1,L166),OMR_OT_AT)-K166))))</f>
        <v/>
      </c>
      <c r="G166" s="25" t="str">
        <f aca="false">IF(OR(E166="",M166=0),"",MAX(0,E166-F166))</f>
        <v/>
      </c>
      <c r="H166" s="26" t="str">
        <f aca="false">IF(OR(E166="",M166=0),"",ROUND((F166*$N$159+G166*$O$159)*24,3))</f>
        <v/>
      </c>
      <c r="I166" s="27"/>
      <c r="K166" s="28" t="str">
        <f aca="false">IF(OR(M166=0,C166=""),"",IF(ISNUMBER(C166),MOD(C166,1),IFERROR(INDEX(القوائم!$B$1:$B$288,MATCH(TRIM(C166),القوائم!$A$1:$A$288,0)),IFERROR(MOD(TIMEVALUE(C166),1),""))))</f>
        <v/>
      </c>
      <c r="L166" s="28" t="str">
        <f aca="false">IF(OR(M166=0,D166=""),"",IF(ISNUMBER(D166),MOD(D166,1),IFERROR(INDEX(القوائم!$B$1:$B$288,MATCH(TRIM(D166),القوائم!$A$1:$A$288,0)),IFERROR(MOD(TIMEVALUE(D166),1),""))))</f>
        <v/>
      </c>
      <c r="M166" s="19" t="n">
        <f aca="false">$M$159</f>
        <v>0</v>
      </c>
      <c r="Q166" s="19" t="n">
        <f aca="false">IF(N(E171)&gt;0,1,0)</f>
        <v>0</v>
      </c>
      <c r="S166" s="0" t="n">
        <v>12</v>
      </c>
    </row>
    <row r="167" customFormat="false" ht="15" hidden="false" customHeight="false" outlineLevel="0" collapsed="false">
      <c r="A167" s="29" t="n">
        <f aca="false">IF(12&lt;=NW,WEEK_ONE+83,"")</f>
        <v>46101</v>
      </c>
      <c r="B167" s="30" t="str">
        <f aca="false">IF(A167="","",CHOOSE(WEEKDAY(A167,1),"الأحد","الاثنين","الثلاثاء","الأربعاء","الخميس","الجمعة","السبت"))</f>
        <v>الجمعة</v>
      </c>
      <c r="C167" s="24"/>
      <c r="D167" s="24"/>
      <c r="E167" s="25" t="str">
        <f aca="false">IF(OR(M167=0,K167="",L167=""),"",MOD(L167-K167,1))</f>
        <v/>
      </c>
      <c r="F167" s="25" t="str">
        <f aca="false">IF(OR(E167="",M167=0),"",IF(WEEKDAY(A167,1)=6,E167,MIN(E167,MAX(0,MIN(IF(L167&lt;K167,L167+1,L167),OMR_OT_AT)-K167))))</f>
        <v/>
      </c>
      <c r="G167" s="25" t="str">
        <f aca="false">IF(OR(E167="",M167=0),"",MAX(0,E167-F167))</f>
        <v/>
      </c>
      <c r="H167" s="26" t="str">
        <f aca="false">IF(OR(E167="",M167=0),"",ROUND((F167*$N$159+G167*$O$159)*24,3))</f>
        <v/>
      </c>
      <c r="I167" s="27"/>
      <c r="K167" s="28" t="str">
        <f aca="false">IF(OR(M167=0,C167=""),"",IF(ISNUMBER(C167),MOD(C167,1),IFERROR(INDEX(القوائم!$B$1:$B$288,MATCH(TRIM(C167),القوائم!$A$1:$A$288,0)),IFERROR(MOD(TIMEVALUE(C167),1),""))))</f>
        <v/>
      </c>
      <c r="L167" s="28" t="str">
        <f aca="false">IF(OR(M167=0,D167=""),"",IF(ISNUMBER(D167),MOD(D167,1),IFERROR(INDEX(القوائم!$B$1:$B$288,MATCH(TRIM(D167),القوائم!$A$1:$A$288,0)),IFERROR(MOD(TIMEVALUE(D167),1),""))))</f>
        <v/>
      </c>
      <c r="M167" s="19" t="n">
        <f aca="false">$M$159</f>
        <v>0</v>
      </c>
      <c r="Q167" s="19" t="n">
        <f aca="false">IF(N(E171)&gt;0,1,0)</f>
        <v>0</v>
      </c>
      <c r="S167" s="0" t="n">
        <v>12</v>
      </c>
    </row>
    <row r="168" customFormat="false" ht="15" hidden="false" customHeight="false" outlineLevel="0" collapsed="false">
      <c r="A168" s="31" t="str">
        <f aca="false">IF(M159=1,"ساعات تحميل الجبسمبورد بهالأسبوع ←","")</f>
        <v/>
      </c>
      <c r="B168" s="31"/>
      <c r="C168" s="31"/>
      <c r="D168" s="31"/>
      <c r="E168" s="32"/>
      <c r="F168" s="33" t="str">
        <f aca="false">IF(M159=1,"كل ساعة تحميل = "&amp;TEXT($P$159,"0.000")&amp;" دينار (منها "&amp;TEXT($N$159,"0.000")&amp;" محسوبة أصلاً بساعات اليوم)","")</f>
        <v/>
      </c>
      <c r="G168" s="33"/>
      <c r="H168" s="33"/>
      <c r="I168" s="33"/>
      <c r="M168" s="19" t="n">
        <f aca="false">$M$159</f>
        <v>0</v>
      </c>
      <c r="Q168" s="19" t="n">
        <f aca="false">IF(N(E171)&gt;0,1,0)</f>
        <v>0</v>
      </c>
      <c r="S168" s="0" t="n">
        <v>12</v>
      </c>
    </row>
    <row r="169" customFormat="false" ht="15" hidden="false" customHeight="false" outlineLevel="0" collapsed="false">
      <c r="A169" s="31" t="str">
        <f aca="false">IF(M159=1,"إكرامية الأسبوع (دينار) ←","")</f>
        <v/>
      </c>
      <c r="B169" s="31"/>
      <c r="C169" s="31"/>
      <c r="D169" s="31"/>
      <c r="E169" s="34"/>
      <c r="F169" s="35"/>
      <c r="G169" s="35"/>
      <c r="H169" s="35"/>
      <c r="I169" s="35"/>
      <c r="M169" s="19" t="n">
        <f aca="false">$M$159</f>
        <v>0</v>
      </c>
      <c r="Q169" s="19" t="n">
        <f aca="false">IF(N(E171)&gt;0,1,0)</f>
        <v>0</v>
      </c>
      <c r="S169" s="0" t="n">
        <v>12</v>
      </c>
    </row>
    <row r="170" customFormat="false" ht="36" hidden="false" customHeight="true" outlineLevel="0" collapsed="false">
      <c r="A170" s="36" t="str">
        <f aca="false">IF(M159=1,"المستحق النهائي للأسبوع","")</f>
        <v/>
      </c>
      <c r="B170" s="36"/>
      <c r="C170" s="36"/>
      <c r="D170" s="36"/>
      <c r="E170" s="36"/>
      <c r="F170" s="36"/>
      <c r="G170" s="36"/>
      <c r="H170" s="11" t="str">
        <f aca="false">IF(M159=1,ROUND(N($V$159)+N(E168)*($P$159-$N$159)+N(E169),3),"")</f>
        <v/>
      </c>
      <c r="I170" s="37"/>
      <c r="M170" s="19" t="n">
        <f aca="false">$M$159</f>
        <v>0</v>
      </c>
      <c r="Q170" s="19" t="n">
        <f aca="false">IF(N(E171)&gt;0,1,0)</f>
        <v>0</v>
      </c>
      <c r="S170" s="0" t="n">
        <v>12</v>
      </c>
      <c r="T170" s="0" t="n">
        <v>1</v>
      </c>
    </row>
    <row r="171" customFormat="false" ht="25.5" hidden="false" customHeight="true" outlineLevel="0" collapsed="false">
      <c r="A171" s="31" t="str">
        <f aca="false">IF(M159=1,"المدفوع (دينار) ←","")</f>
        <v/>
      </c>
      <c r="B171" s="31"/>
      <c r="C171" s="31"/>
      <c r="D171" s="31"/>
      <c r="E171" s="34"/>
      <c r="F171" s="38" t="str">
        <f aca="false">IF(M159=1,IF(N(E171)&gt;0,"✔ انقبض — الأسبوع مقفول","⏳ لسا ما انقبض"),"")</f>
        <v/>
      </c>
      <c r="G171" s="38"/>
      <c r="H171" s="38"/>
      <c r="I171" s="38"/>
      <c r="M171" s="19" t="n">
        <f aca="false">$M$159</f>
        <v>0</v>
      </c>
      <c r="Q171" s="19" t="n">
        <f aca="false">IF(N(E171)&gt;0,1,0)</f>
        <v>0</v>
      </c>
      <c r="S171" s="0" t="n">
        <v>12</v>
      </c>
    </row>
    <row r="172" customFormat="false" ht="9.75" hidden="false" customHeight="true" outlineLevel="0" collapsed="false">
      <c r="M172" s="19" t="n">
        <f aca="false">$M$159</f>
        <v>0</v>
      </c>
      <c r="Q172" s="19" t="n">
        <f aca="false">IF(N(E171)&gt;0,1,0)</f>
        <v>0</v>
      </c>
      <c r="S172" s="0" t="n">
        <v>12</v>
      </c>
      <c r="T172" s="0" t="n">
        <v>2</v>
      </c>
    </row>
    <row r="173" customFormat="false" ht="33.75" hidden="false" customHeight="true" outlineLevel="0" collapsed="false">
      <c r="A173" s="17" t="str">
        <f aca="false">IF(13&lt;=NW,TEXT(DAY(WEEK_ONE+84),"00")&amp;"/"&amp;TEXT(MONTH(WEEK_ONE+84),"00")&amp;"/"&amp;YEAR(WEEK_ONE+84)&amp;"  -  "&amp;TEXT(DAY(WEEK_ONE+90),"00")&amp;"/"&amp;TEXT(MONTH(WEEK_ONE+90),"00")&amp;"/"&amp;YEAR(WEEK_ONE+90)&amp;"   ·   الأسبوع 13"&amp;IF(13&lt;START_O,"   (قبل أسبوع البداية — ما بينحسب)",""),"ما في أسبوع 13 هالسنة")</f>
        <v>21/03/2026  -  27/03/2026   ·   الأسبوع 13   (قبل أسبوع البداية — ما بينحسب)</v>
      </c>
      <c r="B173" s="17"/>
      <c r="C173" s="17"/>
      <c r="D173" s="17"/>
      <c r="E173" s="17"/>
      <c r="F173" s="17"/>
      <c r="G173" s="17"/>
      <c r="H173" s="17"/>
      <c r="I173" s="17"/>
      <c r="L173" s="18" t="n">
        <f aca="false">IF(13&lt;=NW,WEEK_ONE+90,"")</f>
        <v>46108</v>
      </c>
      <c r="M173" s="19" t="n">
        <f aca="false">IF(AND(13&lt;=NW,13&gt;=START_O),1,0)</f>
        <v>0</v>
      </c>
      <c r="N173" s="20" t="n">
        <f aca="false">IFERROR(INDEX(RT_OMR,MATCH(L173,RT_K,1)),INDEX(RT_OMR,1))</f>
        <v>1.25</v>
      </c>
      <c r="O173" s="20" t="n">
        <f aca="false">IFERROR(INDEX(RT_OT,MATCH(L173,RT_K,1)),INDEX(RT_OT,1))</f>
        <v>1.5</v>
      </c>
      <c r="P173" s="20" t="n">
        <f aca="false">IFERROR(INDEX(RT_GYP,MATCH(L173,RT_K,1)),INDEX(RT_GYP,1))</f>
        <v>2.5</v>
      </c>
      <c r="Q173" s="19" t="n">
        <f aca="false">IF(N(E185)&gt;0,1,0)</f>
        <v>0</v>
      </c>
      <c r="R173" s="0" t="n">
        <v>13</v>
      </c>
      <c r="S173" s="0" t="n">
        <v>13</v>
      </c>
      <c r="U173" s="19" t="n">
        <f aca="false">IF(M173=1,SUM(E175:E181),0)</f>
        <v>0</v>
      </c>
      <c r="V173" s="19" t="n">
        <f aca="false">SUM(H175:H181)</f>
        <v>0</v>
      </c>
    </row>
    <row r="174" customFormat="false" ht="39.75" hidden="false" customHeight="true" outlineLevel="0" collapsed="false">
      <c r="A174" s="21" t="s">
        <v>18</v>
      </c>
      <c r="B174" s="21" t="s">
        <v>19</v>
      </c>
      <c r="C174" s="21" t="s">
        <v>20</v>
      </c>
      <c r="D174" s="21" t="s">
        <v>21</v>
      </c>
      <c r="E174" s="21" t="s">
        <v>22</v>
      </c>
      <c r="F174" s="21" t="s">
        <v>23</v>
      </c>
      <c r="G174" s="21" t="s">
        <v>24</v>
      </c>
      <c r="H174" s="21" t="s">
        <v>25</v>
      </c>
      <c r="I174" s="21" t="s">
        <v>26</v>
      </c>
      <c r="M174" s="19" t="n">
        <f aca="false">$M$173</f>
        <v>0</v>
      </c>
      <c r="Q174" s="19" t="n">
        <f aca="false">IF(N(E185)&gt;0,1,0)</f>
        <v>0</v>
      </c>
      <c r="S174" s="0" t="n">
        <v>13</v>
      </c>
    </row>
    <row r="175" customFormat="false" ht="15" hidden="false" customHeight="false" outlineLevel="0" collapsed="false">
      <c r="A175" s="22" t="n">
        <f aca="false">IF(13&lt;=NW,WEEK_ONE+84,"")</f>
        <v>46102</v>
      </c>
      <c r="B175" s="23" t="str">
        <f aca="false">IF(A175="","",CHOOSE(WEEKDAY(A175,1),"الأحد","الاثنين","الثلاثاء","الأربعاء","الخميس","الجمعة","السبت"))</f>
        <v>السبت</v>
      </c>
      <c r="C175" s="24"/>
      <c r="D175" s="24"/>
      <c r="E175" s="25" t="str">
        <f aca="false">IF(OR(M175=0,K175="",L175=""),"",MOD(L175-K175,1))</f>
        <v/>
      </c>
      <c r="F175" s="25" t="str">
        <f aca="false">IF(OR(E175="",M175=0),"",IF(WEEKDAY(A175,1)=6,E175,MIN(E175,MAX(0,MIN(IF(L175&lt;K175,L175+1,L175),OMR_OT_AT)-K175))))</f>
        <v/>
      </c>
      <c r="G175" s="25" t="str">
        <f aca="false">IF(OR(E175="",M175=0),"",MAX(0,E175-F175))</f>
        <v/>
      </c>
      <c r="H175" s="26" t="str">
        <f aca="false">IF(OR(E175="",M175=0),"",ROUND((F175*$N$173+G175*$O$173)*24,3))</f>
        <v/>
      </c>
      <c r="I175" s="27"/>
      <c r="K175" s="28" t="str">
        <f aca="false">IF(OR(M175=0,C175=""),"",IF(ISNUMBER(C175),MOD(C175,1),IFERROR(INDEX(القوائم!$B$1:$B$288,MATCH(TRIM(C175),القوائم!$A$1:$A$288,0)),IFERROR(MOD(TIMEVALUE(C175),1),""))))</f>
        <v/>
      </c>
      <c r="L175" s="28" t="str">
        <f aca="false">IF(OR(M175=0,D175=""),"",IF(ISNUMBER(D175),MOD(D175,1),IFERROR(INDEX(القوائم!$B$1:$B$288,MATCH(TRIM(D175),القوائم!$A$1:$A$288,0)),IFERROR(MOD(TIMEVALUE(D175),1),""))))</f>
        <v/>
      </c>
      <c r="M175" s="19" t="n">
        <f aca="false">$M$173</f>
        <v>0</v>
      </c>
      <c r="Q175" s="19" t="n">
        <f aca="false">IF(N(E185)&gt;0,1,0)</f>
        <v>0</v>
      </c>
      <c r="S175" s="0" t="n">
        <v>13</v>
      </c>
    </row>
    <row r="176" customFormat="false" ht="15" hidden="false" customHeight="false" outlineLevel="0" collapsed="false">
      <c r="A176" s="22" t="n">
        <f aca="false">IF(13&lt;=NW,WEEK_ONE+85,"")</f>
        <v>46103</v>
      </c>
      <c r="B176" s="23" t="str">
        <f aca="false">IF(A176="","",CHOOSE(WEEKDAY(A176,1),"الأحد","الاثنين","الثلاثاء","الأربعاء","الخميس","الجمعة","السبت"))</f>
        <v>الأحد</v>
      </c>
      <c r="C176" s="24"/>
      <c r="D176" s="24"/>
      <c r="E176" s="25" t="str">
        <f aca="false">IF(OR(M176=0,K176="",L176=""),"",MOD(L176-K176,1))</f>
        <v/>
      </c>
      <c r="F176" s="25" t="str">
        <f aca="false">IF(OR(E176="",M176=0),"",IF(WEEKDAY(A176,1)=6,E176,MIN(E176,MAX(0,MIN(IF(L176&lt;K176,L176+1,L176),OMR_OT_AT)-K176))))</f>
        <v/>
      </c>
      <c r="G176" s="25" t="str">
        <f aca="false">IF(OR(E176="",M176=0),"",MAX(0,E176-F176))</f>
        <v/>
      </c>
      <c r="H176" s="26" t="str">
        <f aca="false">IF(OR(E176="",M176=0),"",ROUND((F176*$N$173+G176*$O$173)*24,3))</f>
        <v/>
      </c>
      <c r="I176" s="27"/>
      <c r="K176" s="28" t="str">
        <f aca="false">IF(OR(M176=0,C176=""),"",IF(ISNUMBER(C176),MOD(C176,1),IFERROR(INDEX(القوائم!$B$1:$B$288,MATCH(TRIM(C176),القوائم!$A$1:$A$288,0)),IFERROR(MOD(TIMEVALUE(C176),1),""))))</f>
        <v/>
      </c>
      <c r="L176" s="28" t="str">
        <f aca="false">IF(OR(M176=0,D176=""),"",IF(ISNUMBER(D176),MOD(D176,1),IFERROR(INDEX(القوائم!$B$1:$B$288,MATCH(TRIM(D176),القوائم!$A$1:$A$288,0)),IFERROR(MOD(TIMEVALUE(D176),1),""))))</f>
        <v/>
      </c>
      <c r="M176" s="19" t="n">
        <f aca="false">$M$173</f>
        <v>0</v>
      </c>
      <c r="Q176" s="19" t="n">
        <f aca="false">IF(N(E185)&gt;0,1,0)</f>
        <v>0</v>
      </c>
      <c r="S176" s="0" t="n">
        <v>13</v>
      </c>
    </row>
    <row r="177" customFormat="false" ht="15" hidden="false" customHeight="false" outlineLevel="0" collapsed="false">
      <c r="A177" s="22" t="n">
        <f aca="false">IF(13&lt;=NW,WEEK_ONE+86,"")</f>
        <v>46104</v>
      </c>
      <c r="B177" s="23" t="str">
        <f aca="false">IF(A177="","",CHOOSE(WEEKDAY(A177,1),"الأحد","الاثنين","الثلاثاء","الأربعاء","الخميس","الجمعة","السبت"))</f>
        <v>الاثنين</v>
      </c>
      <c r="C177" s="24"/>
      <c r="D177" s="24"/>
      <c r="E177" s="25" t="str">
        <f aca="false">IF(OR(M177=0,K177="",L177=""),"",MOD(L177-K177,1))</f>
        <v/>
      </c>
      <c r="F177" s="25" t="str">
        <f aca="false">IF(OR(E177="",M177=0),"",IF(WEEKDAY(A177,1)=6,E177,MIN(E177,MAX(0,MIN(IF(L177&lt;K177,L177+1,L177),OMR_OT_AT)-K177))))</f>
        <v/>
      </c>
      <c r="G177" s="25" t="str">
        <f aca="false">IF(OR(E177="",M177=0),"",MAX(0,E177-F177))</f>
        <v/>
      </c>
      <c r="H177" s="26" t="str">
        <f aca="false">IF(OR(E177="",M177=0),"",ROUND((F177*$N$173+G177*$O$173)*24,3))</f>
        <v/>
      </c>
      <c r="I177" s="27"/>
      <c r="K177" s="28" t="str">
        <f aca="false">IF(OR(M177=0,C177=""),"",IF(ISNUMBER(C177),MOD(C177,1),IFERROR(INDEX(القوائم!$B$1:$B$288,MATCH(TRIM(C177),القوائم!$A$1:$A$288,0)),IFERROR(MOD(TIMEVALUE(C177),1),""))))</f>
        <v/>
      </c>
      <c r="L177" s="28" t="str">
        <f aca="false">IF(OR(M177=0,D177=""),"",IF(ISNUMBER(D177),MOD(D177,1),IFERROR(INDEX(القوائم!$B$1:$B$288,MATCH(TRIM(D177),القوائم!$A$1:$A$288,0)),IFERROR(MOD(TIMEVALUE(D177),1),""))))</f>
        <v/>
      </c>
      <c r="M177" s="19" t="n">
        <f aca="false">$M$173</f>
        <v>0</v>
      </c>
      <c r="Q177" s="19" t="n">
        <f aca="false">IF(N(E185)&gt;0,1,0)</f>
        <v>0</v>
      </c>
      <c r="S177" s="0" t="n">
        <v>13</v>
      </c>
    </row>
    <row r="178" customFormat="false" ht="15" hidden="false" customHeight="false" outlineLevel="0" collapsed="false">
      <c r="A178" s="22" t="n">
        <f aca="false">IF(13&lt;=NW,WEEK_ONE+87,"")</f>
        <v>46105</v>
      </c>
      <c r="B178" s="23" t="str">
        <f aca="false">IF(A178="","",CHOOSE(WEEKDAY(A178,1),"الأحد","الاثنين","الثلاثاء","الأربعاء","الخميس","الجمعة","السبت"))</f>
        <v>الثلاثاء</v>
      </c>
      <c r="C178" s="24"/>
      <c r="D178" s="24"/>
      <c r="E178" s="25" t="str">
        <f aca="false">IF(OR(M178=0,K178="",L178=""),"",MOD(L178-K178,1))</f>
        <v/>
      </c>
      <c r="F178" s="25" t="str">
        <f aca="false">IF(OR(E178="",M178=0),"",IF(WEEKDAY(A178,1)=6,E178,MIN(E178,MAX(0,MIN(IF(L178&lt;K178,L178+1,L178),OMR_OT_AT)-K178))))</f>
        <v/>
      </c>
      <c r="G178" s="25" t="str">
        <f aca="false">IF(OR(E178="",M178=0),"",MAX(0,E178-F178))</f>
        <v/>
      </c>
      <c r="H178" s="26" t="str">
        <f aca="false">IF(OR(E178="",M178=0),"",ROUND((F178*$N$173+G178*$O$173)*24,3))</f>
        <v/>
      </c>
      <c r="I178" s="27"/>
      <c r="K178" s="28" t="str">
        <f aca="false">IF(OR(M178=0,C178=""),"",IF(ISNUMBER(C178),MOD(C178,1),IFERROR(INDEX(القوائم!$B$1:$B$288,MATCH(TRIM(C178),القوائم!$A$1:$A$288,0)),IFERROR(MOD(TIMEVALUE(C178),1),""))))</f>
        <v/>
      </c>
      <c r="L178" s="28" t="str">
        <f aca="false">IF(OR(M178=0,D178=""),"",IF(ISNUMBER(D178),MOD(D178,1),IFERROR(INDEX(القوائم!$B$1:$B$288,MATCH(TRIM(D178),القوائم!$A$1:$A$288,0)),IFERROR(MOD(TIMEVALUE(D178),1),""))))</f>
        <v/>
      </c>
      <c r="M178" s="19" t="n">
        <f aca="false">$M$173</f>
        <v>0</v>
      </c>
      <c r="Q178" s="19" t="n">
        <f aca="false">IF(N(E185)&gt;0,1,0)</f>
        <v>0</v>
      </c>
      <c r="S178" s="0" t="n">
        <v>13</v>
      </c>
    </row>
    <row r="179" customFormat="false" ht="15" hidden="false" customHeight="false" outlineLevel="0" collapsed="false">
      <c r="A179" s="22" t="n">
        <f aca="false">IF(13&lt;=NW,WEEK_ONE+88,"")</f>
        <v>46106</v>
      </c>
      <c r="B179" s="23" t="str">
        <f aca="false">IF(A179="","",CHOOSE(WEEKDAY(A179,1),"الأحد","الاثنين","الثلاثاء","الأربعاء","الخميس","الجمعة","السبت"))</f>
        <v>الأربعاء</v>
      </c>
      <c r="C179" s="24"/>
      <c r="D179" s="24"/>
      <c r="E179" s="25" t="str">
        <f aca="false">IF(OR(M179=0,K179="",L179=""),"",MOD(L179-K179,1))</f>
        <v/>
      </c>
      <c r="F179" s="25" t="str">
        <f aca="false">IF(OR(E179="",M179=0),"",IF(WEEKDAY(A179,1)=6,E179,MIN(E179,MAX(0,MIN(IF(L179&lt;K179,L179+1,L179),OMR_OT_AT)-K179))))</f>
        <v/>
      </c>
      <c r="G179" s="25" t="str">
        <f aca="false">IF(OR(E179="",M179=0),"",MAX(0,E179-F179))</f>
        <v/>
      </c>
      <c r="H179" s="26" t="str">
        <f aca="false">IF(OR(E179="",M179=0),"",ROUND((F179*$N$173+G179*$O$173)*24,3))</f>
        <v/>
      </c>
      <c r="I179" s="27"/>
      <c r="K179" s="28" t="str">
        <f aca="false">IF(OR(M179=0,C179=""),"",IF(ISNUMBER(C179),MOD(C179,1),IFERROR(INDEX(القوائم!$B$1:$B$288,MATCH(TRIM(C179),القوائم!$A$1:$A$288,0)),IFERROR(MOD(TIMEVALUE(C179),1),""))))</f>
        <v/>
      </c>
      <c r="L179" s="28" t="str">
        <f aca="false">IF(OR(M179=0,D179=""),"",IF(ISNUMBER(D179),MOD(D179,1),IFERROR(INDEX(القوائم!$B$1:$B$288,MATCH(TRIM(D179),القوائم!$A$1:$A$288,0)),IFERROR(MOD(TIMEVALUE(D179),1),""))))</f>
        <v/>
      </c>
      <c r="M179" s="19" t="n">
        <f aca="false">$M$173</f>
        <v>0</v>
      </c>
      <c r="Q179" s="19" t="n">
        <f aca="false">IF(N(E185)&gt;0,1,0)</f>
        <v>0</v>
      </c>
      <c r="S179" s="0" t="n">
        <v>13</v>
      </c>
    </row>
    <row r="180" customFormat="false" ht="15" hidden="false" customHeight="false" outlineLevel="0" collapsed="false">
      <c r="A180" s="22" t="n">
        <f aca="false">IF(13&lt;=NW,WEEK_ONE+89,"")</f>
        <v>46107</v>
      </c>
      <c r="B180" s="23" t="str">
        <f aca="false">IF(A180="","",CHOOSE(WEEKDAY(A180,1),"الأحد","الاثنين","الثلاثاء","الأربعاء","الخميس","الجمعة","السبت"))</f>
        <v>الخميس</v>
      </c>
      <c r="C180" s="24"/>
      <c r="D180" s="24"/>
      <c r="E180" s="25" t="str">
        <f aca="false">IF(OR(M180=0,K180="",L180=""),"",MOD(L180-K180,1))</f>
        <v/>
      </c>
      <c r="F180" s="25" t="str">
        <f aca="false">IF(OR(E180="",M180=0),"",IF(WEEKDAY(A180,1)=6,E180,MIN(E180,MAX(0,MIN(IF(L180&lt;K180,L180+1,L180),OMR_OT_AT)-K180))))</f>
        <v/>
      </c>
      <c r="G180" s="25" t="str">
        <f aca="false">IF(OR(E180="",M180=0),"",MAX(0,E180-F180))</f>
        <v/>
      </c>
      <c r="H180" s="26" t="str">
        <f aca="false">IF(OR(E180="",M180=0),"",ROUND((F180*$N$173+G180*$O$173)*24,3))</f>
        <v/>
      </c>
      <c r="I180" s="27"/>
      <c r="K180" s="28" t="str">
        <f aca="false">IF(OR(M180=0,C180=""),"",IF(ISNUMBER(C180),MOD(C180,1),IFERROR(INDEX(القوائم!$B$1:$B$288,MATCH(TRIM(C180),القوائم!$A$1:$A$288,0)),IFERROR(MOD(TIMEVALUE(C180),1),""))))</f>
        <v/>
      </c>
      <c r="L180" s="28" t="str">
        <f aca="false">IF(OR(M180=0,D180=""),"",IF(ISNUMBER(D180),MOD(D180,1),IFERROR(INDEX(القوائم!$B$1:$B$288,MATCH(TRIM(D180),القوائم!$A$1:$A$288,0)),IFERROR(MOD(TIMEVALUE(D180),1),""))))</f>
        <v/>
      </c>
      <c r="M180" s="19" t="n">
        <f aca="false">$M$173</f>
        <v>0</v>
      </c>
      <c r="Q180" s="19" t="n">
        <f aca="false">IF(N(E185)&gt;0,1,0)</f>
        <v>0</v>
      </c>
      <c r="S180" s="0" t="n">
        <v>13</v>
      </c>
    </row>
    <row r="181" customFormat="false" ht="15" hidden="false" customHeight="false" outlineLevel="0" collapsed="false">
      <c r="A181" s="29" t="n">
        <f aca="false">IF(13&lt;=NW,WEEK_ONE+90,"")</f>
        <v>46108</v>
      </c>
      <c r="B181" s="30" t="str">
        <f aca="false">IF(A181="","",CHOOSE(WEEKDAY(A181,1),"الأحد","الاثنين","الثلاثاء","الأربعاء","الخميس","الجمعة","السبت"))</f>
        <v>الجمعة</v>
      </c>
      <c r="C181" s="24"/>
      <c r="D181" s="24"/>
      <c r="E181" s="25" t="str">
        <f aca="false">IF(OR(M181=0,K181="",L181=""),"",MOD(L181-K181,1))</f>
        <v/>
      </c>
      <c r="F181" s="25" t="str">
        <f aca="false">IF(OR(E181="",M181=0),"",IF(WEEKDAY(A181,1)=6,E181,MIN(E181,MAX(0,MIN(IF(L181&lt;K181,L181+1,L181),OMR_OT_AT)-K181))))</f>
        <v/>
      </c>
      <c r="G181" s="25" t="str">
        <f aca="false">IF(OR(E181="",M181=0),"",MAX(0,E181-F181))</f>
        <v/>
      </c>
      <c r="H181" s="26" t="str">
        <f aca="false">IF(OR(E181="",M181=0),"",ROUND((F181*$N$173+G181*$O$173)*24,3))</f>
        <v/>
      </c>
      <c r="I181" s="27"/>
      <c r="K181" s="28" t="str">
        <f aca="false">IF(OR(M181=0,C181=""),"",IF(ISNUMBER(C181),MOD(C181,1),IFERROR(INDEX(القوائم!$B$1:$B$288,MATCH(TRIM(C181),القوائم!$A$1:$A$288,0)),IFERROR(MOD(TIMEVALUE(C181),1),""))))</f>
        <v/>
      </c>
      <c r="L181" s="28" t="str">
        <f aca="false">IF(OR(M181=0,D181=""),"",IF(ISNUMBER(D181),MOD(D181,1),IFERROR(INDEX(القوائم!$B$1:$B$288,MATCH(TRIM(D181),القوائم!$A$1:$A$288,0)),IFERROR(MOD(TIMEVALUE(D181),1),""))))</f>
        <v/>
      </c>
      <c r="M181" s="19" t="n">
        <f aca="false">$M$173</f>
        <v>0</v>
      </c>
      <c r="Q181" s="19" t="n">
        <f aca="false">IF(N(E185)&gt;0,1,0)</f>
        <v>0</v>
      </c>
      <c r="S181" s="0" t="n">
        <v>13</v>
      </c>
    </row>
    <row r="182" customFormat="false" ht="15" hidden="false" customHeight="false" outlineLevel="0" collapsed="false">
      <c r="A182" s="31" t="str">
        <f aca="false">IF(M173=1,"ساعات تحميل الجبسمبورد بهالأسبوع ←","")</f>
        <v/>
      </c>
      <c r="B182" s="31"/>
      <c r="C182" s="31"/>
      <c r="D182" s="31"/>
      <c r="E182" s="32"/>
      <c r="F182" s="33" t="str">
        <f aca="false">IF(M173=1,"كل ساعة تحميل = "&amp;TEXT($P$173,"0.000")&amp;" دينار (منها "&amp;TEXT($N$173,"0.000")&amp;" محسوبة أصلاً بساعات اليوم)","")</f>
        <v/>
      </c>
      <c r="G182" s="33"/>
      <c r="H182" s="33"/>
      <c r="I182" s="33"/>
      <c r="M182" s="19" t="n">
        <f aca="false">$M$173</f>
        <v>0</v>
      </c>
      <c r="Q182" s="19" t="n">
        <f aca="false">IF(N(E185)&gt;0,1,0)</f>
        <v>0</v>
      </c>
      <c r="S182" s="0" t="n">
        <v>13</v>
      </c>
    </row>
    <row r="183" customFormat="false" ht="15" hidden="false" customHeight="false" outlineLevel="0" collapsed="false">
      <c r="A183" s="31" t="str">
        <f aca="false">IF(M173=1,"إكرامية الأسبوع (دينار) ←","")</f>
        <v/>
      </c>
      <c r="B183" s="31"/>
      <c r="C183" s="31"/>
      <c r="D183" s="31"/>
      <c r="E183" s="34"/>
      <c r="F183" s="35"/>
      <c r="G183" s="35"/>
      <c r="H183" s="35"/>
      <c r="I183" s="35"/>
      <c r="M183" s="19" t="n">
        <f aca="false">$M$173</f>
        <v>0</v>
      </c>
      <c r="Q183" s="19" t="n">
        <f aca="false">IF(N(E185)&gt;0,1,0)</f>
        <v>0</v>
      </c>
      <c r="S183" s="0" t="n">
        <v>13</v>
      </c>
    </row>
    <row r="184" customFormat="false" ht="36" hidden="false" customHeight="true" outlineLevel="0" collapsed="false">
      <c r="A184" s="36" t="str">
        <f aca="false">IF(M173=1,"المستحق النهائي للأسبوع","")</f>
        <v/>
      </c>
      <c r="B184" s="36"/>
      <c r="C184" s="36"/>
      <c r="D184" s="36"/>
      <c r="E184" s="36"/>
      <c r="F184" s="36"/>
      <c r="G184" s="36"/>
      <c r="H184" s="11" t="str">
        <f aca="false">IF(M173=1,ROUND(N($V$173)+N(E182)*($P$173-$N$173)+N(E183),3),"")</f>
        <v/>
      </c>
      <c r="I184" s="37"/>
      <c r="M184" s="19" t="n">
        <f aca="false">$M$173</f>
        <v>0</v>
      </c>
      <c r="Q184" s="19" t="n">
        <f aca="false">IF(N(E185)&gt;0,1,0)</f>
        <v>0</v>
      </c>
      <c r="S184" s="0" t="n">
        <v>13</v>
      </c>
      <c r="T184" s="0" t="n">
        <v>1</v>
      </c>
    </row>
    <row r="185" customFormat="false" ht="25.5" hidden="false" customHeight="true" outlineLevel="0" collapsed="false">
      <c r="A185" s="31" t="str">
        <f aca="false">IF(M173=1,"المدفوع (دينار) ←","")</f>
        <v/>
      </c>
      <c r="B185" s="31"/>
      <c r="C185" s="31"/>
      <c r="D185" s="31"/>
      <c r="E185" s="34"/>
      <c r="F185" s="38" t="str">
        <f aca="false">IF(M173=1,IF(N(E185)&gt;0,"✔ انقبض — الأسبوع مقفول","⏳ لسا ما انقبض"),"")</f>
        <v/>
      </c>
      <c r="G185" s="38"/>
      <c r="H185" s="38"/>
      <c r="I185" s="38"/>
      <c r="M185" s="19" t="n">
        <f aca="false">$M$173</f>
        <v>0</v>
      </c>
      <c r="Q185" s="19" t="n">
        <f aca="false">IF(N(E185)&gt;0,1,0)</f>
        <v>0</v>
      </c>
      <c r="S185" s="0" t="n">
        <v>13</v>
      </c>
    </row>
    <row r="186" customFormat="false" ht="9.75" hidden="false" customHeight="true" outlineLevel="0" collapsed="false">
      <c r="M186" s="19" t="n">
        <f aca="false">$M$173</f>
        <v>0</v>
      </c>
      <c r="Q186" s="19" t="n">
        <f aca="false">IF(N(E185)&gt;0,1,0)</f>
        <v>0</v>
      </c>
      <c r="S186" s="0" t="n">
        <v>13</v>
      </c>
      <c r="T186" s="0" t="n">
        <v>2</v>
      </c>
    </row>
    <row r="187" customFormat="false" ht="33.75" hidden="false" customHeight="true" outlineLevel="0" collapsed="false">
      <c r="A187" s="17" t="str">
        <f aca="false">IF(14&lt;=NW,TEXT(DAY(WEEK_ONE+91),"00")&amp;"/"&amp;TEXT(MONTH(WEEK_ONE+91),"00")&amp;"/"&amp;YEAR(WEEK_ONE+91)&amp;"  -  "&amp;TEXT(DAY(WEEK_ONE+97),"00")&amp;"/"&amp;TEXT(MONTH(WEEK_ONE+97),"00")&amp;"/"&amp;YEAR(WEEK_ONE+97)&amp;"   ·   الأسبوع 14"&amp;IF(14&lt;START_O,"   (قبل أسبوع البداية — ما بينحسب)",""),"ما في أسبوع 14 هالسنة")</f>
        <v>28/03/2026  -  03/04/2026   ·   الأسبوع 14   (قبل أسبوع البداية — ما بينحسب)</v>
      </c>
      <c r="B187" s="17"/>
      <c r="C187" s="17"/>
      <c r="D187" s="17"/>
      <c r="E187" s="17"/>
      <c r="F187" s="17"/>
      <c r="G187" s="17"/>
      <c r="H187" s="17"/>
      <c r="I187" s="17"/>
      <c r="L187" s="18" t="n">
        <f aca="false">IF(14&lt;=NW,WEEK_ONE+97,"")</f>
        <v>46115</v>
      </c>
      <c r="M187" s="19" t="n">
        <f aca="false">IF(AND(14&lt;=NW,14&gt;=START_O),1,0)</f>
        <v>0</v>
      </c>
      <c r="N187" s="20" t="n">
        <f aca="false">IFERROR(INDEX(RT_OMR,MATCH(L187,RT_K,1)),INDEX(RT_OMR,1))</f>
        <v>1.25</v>
      </c>
      <c r="O187" s="20" t="n">
        <f aca="false">IFERROR(INDEX(RT_OT,MATCH(L187,RT_K,1)),INDEX(RT_OT,1))</f>
        <v>1.5</v>
      </c>
      <c r="P187" s="20" t="n">
        <f aca="false">IFERROR(INDEX(RT_GYP,MATCH(L187,RT_K,1)),INDEX(RT_GYP,1))</f>
        <v>2.5</v>
      </c>
      <c r="Q187" s="19" t="n">
        <f aca="false">IF(N(E199)&gt;0,1,0)</f>
        <v>0</v>
      </c>
      <c r="R187" s="0" t="n">
        <v>14</v>
      </c>
      <c r="S187" s="0" t="n">
        <v>14</v>
      </c>
      <c r="U187" s="19" t="n">
        <f aca="false">IF(M187=1,SUM(E189:E195),0)</f>
        <v>0</v>
      </c>
      <c r="V187" s="19" t="n">
        <f aca="false">SUM(H189:H195)</f>
        <v>0</v>
      </c>
    </row>
    <row r="188" customFormat="false" ht="39.75" hidden="false" customHeight="true" outlineLevel="0" collapsed="false">
      <c r="A188" s="21" t="s">
        <v>18</v>
      </c>
      <c r="B188" s="21" t="s">
        <v>19</v>
      </c>
      <c r="C188" s="21" t="s">
        <v>20</v>
      </c>
      <c r="D188" s="21" t="s">
        <v>21</v>
      </c>
      <c r="E188" s="21" t="s">
        <v>22</v>
      </c>
      <c r="F188" s="21" t="s">
        <v>23</v>
      </c>
      <c r="G188" s="21" t="s">
        <v>24</v>
      </c>
      <c r="H188" s="21" t="s">
        <v>25</v>
      </c>
      <c r="I188" s="21" t="s">
        <v>26</v>
      </c>
      <c r="M188" s="19" t="n">
        <f aca="false">$M$187</f>
        <v>0</v>
      </c>
      <c r="Q188" s="19" t="n">
        <f aca="false">IF(N(E199)&gt;0,1,0)</f>
        <v>0</v>
      </c>
      <c r="S188" s="0" t="n">
        <v>14</v>
      </c>
    </row>
    <row r="189" customFormat="false" ht="15" hidden="false" customHeight="false" outlineLevel="0" collapsed="false">
      <c r="A189" s="22" t="n">
        <f aca="false">IF(14&lt;=NW,WEEK_ONE+91,"")</f>
        <v>46109</v>
      </c>
      <c r="B189" s="23" t="str">
        <f aca="false">IF(A189="","",CHOOSE(WEEKDAY(A189,1),"الأحد","الاثنين","الثلاثاء","الأربعاء","الخميس","الجمعة","السبت"))</f>
        <v>السبت</v>
      </c>
      <c r="C189" s="24"/>
      <c r="D189" s="24"/>
      <c r="E189" s="25" t="str">
        <f aca="false">IF(OR(M189=0,K189="",L189=""),"",MOD(L189-K189,1))</f>
        <v/>
      </c>
      <c r="F189" s="25" t="str">
        <f aca="false">IF(OR(E189="",M189=0),"",IF(WEEKDAY(A189,1)=6,E189,MIN(E189,MAX(0,MIN(IF(L189&lt;K189,L189+1,L189),OMR_OT_AT)-K189))))</f>
        <v/>
      </c>
      <c r="G189" s="25" t="str">
        <f aca="false">IF(OR(E189="",M189=0),"",MAX(0,E189-F189))</f>
        <v/>
      </c>
      <c r="H189" s="26" t="str">
        <f aca="false">IF(OR(E189="",M189=0),"",ROUND((F189*$N$187+G189*$O$187)*24,3))</f>
        <v/>
      </c>
      <c r="I189" s="27"/>
      <c r="K189" s="28" t="str">
        <f aca="false">IF(OR(M189=0,C189=""),"",IF(ISNUMBER(C189),MOD(C189,1),IFERROR(INDEX(القوائم!$B$1:$B$288,MATCH(TRIM(C189),القوائم!$A$1:$A$288,0)),IFERROR(MOD(TIMEVALUE(C189),1),""))))</f>
        <v/>
      </c>
      <c r="L189" s="28" t="str">
        <f aca="false">IF(OR(M189=0,D189=""),"",IF(ISNUMBER(D189),MOD(D189,1),IFERROR(INDEX(القوائم!$B$1:$B$288,MATCH(TRIM(D189),القوائم!$A$1:$A$288,0)),IFERROR(MOD(TIMEVALUE(D189),1),""))))</f>
        <v/>
      </c>
      <c r="M189" s="19" t="n">
        <f aca="false">$M$187</f>
        <v>0</v>
      </c>
      <c r="Q189" s="19" t="n">
        <f aca="false">IF(N(E199)&gt;0,1,0)</f>
        <v>0</v>
      </c>
      <c r="S189" s="0" t="n">
        <v>14</v>
      </c>
    </row>
    <row r="190" customFormat="false" ht="15" hidden="false" customHeight="false" outlineLevel="0" collapsed="false">
      <c r="A190" s="22" t="n">
        <f aca="false">IF(14&lt;=NW,WEEK_ONE+92,"")</f>
        <v>46110</v>
      </c>
      <c r="B190" s="23" t="str">
        <f aca="false">IF(A190="","",CHOOSE(WEEKDAY(A190,1),"الأحد","الاثنين","الثلاثاء","الأربعاء","الخميس","الجمعة","السبت"))</f>
        <v>الأحد</v>
      </c>
      <c r="C190" s="24"/>
      <c r="D190" s="24"/>
      <c r="E190" s="25" t="str">
        <f aca="false">IF(OR(M190=0,K190="",L190=""),"",MOD(L190-K190,1))</f>
        <v/>
      </c>
      <c r="F190" s="25" t="str">
        <f aca="false">IF(OR(E190="",M190=0),"",IF(WEEKDAY(A190,1)=6,E190,MIN(E190,MAX(0,MIN(IF(L190&lt;K190,L190+1,L190),OMR_OT_AT)-K190))))</f>
        <v/>
      </c>
      <c r="G190" s="25" t="str">
        <f aca="false">IF(OR(E190="",M190=0),"",MAX(0,E190-F190))</f>
        <v/>
      </c>
      <c r="H190" s="26" t="str">
        <f aca="false">IF(OR(E190="",M190=0),"",ROUND((F190*$N$187+G190*$O$187)*24,3))</f>
        <v/>
      </c>
      <c r="I190" s="27"/>
      <c r="K190" s="28" t="str">
        <f aca="false">IF(OR(M190=0,C190=""),"",IF(ISNUMBER(C190),MOD(C190,1),IFERROR(INDEX(القوائم!$B$1:$B$288,MATCH(TRIM(C190),القوائم!$A$1:$A$288,0)),IFERROR(MOD(TIMEVALUE(C190),1),""))))</f>
        <v/>
      </c>
      <c r="L190" s="28" t="str">
        <f aca="false">IF(OR(M190=0,D190=""),"",IF(ISNUMBER(D190),MOD(D190,1),IFERROR(INDEX(القوائم!$B$1:$B$288,MATCH(TRIM(D190),القوائم!$A$1:$A$288,0)),IFERROR(MOD(TIMEVALUE(D190),1),""))))</f>
        <v/>
      </c>
      <c r="M190" s="19" t="n">
        <f aca="false">$M$187</f>
        <v>0</v>
      </c>
      <c r="Q190" s="19" t="n">
        <f aca="false">IF(N(E199)&gt;0,1,0)</f>
        <v>0</v>
      </c>
      <c r="S190" s="0" t="n">
        <v>14</v>
      </c>
    </row>
    <row r="191" customFormat="false" ht="15" hidden="false" customHeight="false" outlineLevel="0" collapsed="false">
      <c r="A191" s="22" t="n">
        <f aca="false">IF(14&lt;=NW,WEEK_ONE+93,"")</f>
        <v>46111</v>
      </c>
      <c r="B191" s="23" t="str">
        <f aca="false">IF(A191="","",CHOOSE(WEEKDAY(A191,1),"الأحد","الاثنين","الثلاثاء","الأربعاء","الخميس","الجمعة","السبت"))</f>
        <v>الاثنين</v>
      </c>
      <c r="C191" s="24"/>
      <c r="D191" s="24"/>
      <c r="E191" s="25" t="str">
        <f aca="false">IF(OR(M191=0,K191="",L191=""),"",MOD(L191-K191,1))</f>
        <v/>
      </c>
      <c r="F191" s="25" t="str">
        <f aca="false">IF(OR(E191="",M191=0),"",IF(WEEKDAY(A191,1)=6,E191,MIN(E191,MAX(0,MIN(IF(L191&lt;K191,L191+1,L191),OMR_OT_AT)-K191))))</f>
        <v/>
      </c>
      <c r="G191" s="25" t="str">
        <f aca="false">IF(OR(E191="",M191=0),"",MAX(0,E191-F191))</f>
        <v/>
      </c>
      <c r="H191" s="26" t="str">
        <f aca="false">IF(OR(E191="",M191=0),"",ROUND((F191*$N$187+G191*$O$187)*24,3))</f>
        <v/>
      </c>
      <c r="I191" s="27"/>
      <c r="K191" s="28" t="str">
        <f aca="false">IF(OR(M191=0,C191=""),"",IF(ISNUMBER(C191),MOD(C191,1),IFERROR(INDEX(القوائم!$B$1:$B$288,MATCH(TRIM(C191),القوائم!$A$1:$A$288,0)),IFERROR(MOD(TIMEVALUE(C191),1),""))))</f>
        <v/>
      </c>
      <c r="L191" s="28" t="str">
        <f aca="false">IF(OR(M191=0,D191=""),"",IF(ISNUMBER(D191),MOD(D191,1),IFERROR(INDEX(القوائم!$B$1:$B$288,MATCH(TRIM(D191),القوائم!$A$1:$A$288,0)),IFERROR(MOD(TIMEVALUE(D191),1),""))))</f>
        <v/>
      </c>
      <c r="M191" s="19" t="n">
        <f aca="false">$M$187</f>
        <v>0</v>
      </c>
      <c r="Q191" s="19" t="n">
        <f aca="false">IF(N(E199)&gt;0,1,0)</f>
        <v>0</v>
      </c>
      <c r="S191" s="0" t="n">
        <v>14</v>
      </c>
    </row>
    <row r="192" customFormat="false" ht="15" hidden="false" customHeight="false" outlineLevel="0" collapsed="false">
      <c r="A192" s="22" t="n">
        <f aca="false">IF(14&lt;=NW,WEEK_ONE+94,"")</f>
        <v>46112</v>
      </c>
      <c r="B192" s="23" t="str">
        <f aca="false">IF(A192="","",CHOOSE(WEEKDAY(A192,1),"الأحد","الاثنين","الثلاثاء","الأربعاء","الخميس","الجمعة","السبت"))</f>
        <v>الثلاثاء</v>
      </c>
      <c r="C192" s="24"/>
      <c r="D192" s="24"/>
      <c r="E192" s="25" t="str">
        <f aca="false">IF(OR(M192=0,K192="",L192=""),"",MOD(L192-K192,1))</f>
        <v/>
      </c>
      <c r="F192" s="25" t="str">
        <f aca="false">IF(OR(E192="",M192=0),"",IF(WEEKDAY(A192,1)=6,E192,MIN(E192,MAX(0,MIN(IF(L192&lt;K192,L192+1,L192),OMR_OT_AT)-K192))))</f>
        <v/>
      </c>
      <c r="G192" s="25" t="str">
        <f aca="false">IF(OR(E192="",M192=0),"",MAX(0,E192-F192))</f>
        <v/>
      </c>
      <c r="H192" s="26" t="str">
        <f aca="false">IF(OR(E192="",M192=0),"",ROUND((F192*$N$187+G192*$O$187)*24,3))</f>
        <v/>
      </c>
      <c r="I192" s="27"/>
      <c r="K192" s="28" t="str">
        <f aca="false">IF(OR(M192=0,C192=""),"",IF(ISNUMBER(C192),MOD(C192,1),IFERROR(INDEX(القوائم!$B$1:$B$288,MATCH(TRIM(C192),القوائم!$A$1:$A$288,0)),IFERROR(MOD(TIMEVALUE(C192),1),""))))</f>
        <v/>
      </c>
      <c r="L192" s="28" t="str">
        <f aca="false">IF(OR(M192=0,D192=""),"",IF(ISNUMBER(D192),MOD(D192,1),IFERROR(INDEX(القوائم!$B$1:$B$288,MATCH(TRIM(D192),القوائم!$A$1:$A$288,0)),IFERROR(MOD(TIMEVALUE(D192),1),""))))</f>
        <v/>
      </c>
      <c r="M192" s="19" t="n">
        <f aca="false">$M$187</f>
        <v>0</v>
      </c>
      <c r="Q192" s="19" t="n">
        <f aca="false">IF(N(E199)&gt;0,1,0)</f>
        <v>0</v>
      </c>
      <c r="S192" s="0" t="n">
        <v>14</v>
      </c>
    </row>
    <row r="193" customFormat="false" ht="15" hidden="false" customHeight="false" outlineLevel="0" collapsed="false">
      <c r="A193" s="22" t="n">
        <f aca="false">IF(14&lt;=NW,WEEK_ONE+95,"")</f>
        <v>46113</v>
      </c>
      <c r="B193" s="23" t="str">
        <f aca="false">IF(A193="","",CHOOSE(WEEKDAY(A193,1),"الأحد","الاثنين","الثلاثاء","الأربعاء","الخميس","الجمعة","السبت"))</f>
        <v>الأربعاء</v>
      </c>
      <c r="C193" s="24"/>
      <c r="D193" s="24"/>
      <c r="E193" s="25" t="str">
        <f aca="false">IF(OR(M193=0,K193="",L193=""),"",MOD(L193-K193,1))</f>
        <v/>
      </c>
      <c r="F193" s="25" t="str">
        <f aca="false">IF(OR(E193="",M193=0),"",IF(WEEKDAY(A193,1)=6,E193,MIN(E193,MAX(0,MIN(IF(L193&lt;K193,L193+1,L193),OMR_OT_AT)-K193))))</f>
        <v/>
      </c>
      <c r="G193" s="25" t="str">
        <f aca="false">IF(OR(E193="",M193=0),"",MAX(0,E193-F193))</f>
        <v/>
      </c>
      <c r="H193" s="26" t="str">
        <f aca="false">IF(OR(E193="",M193=0),"",ROUND((F193*$N$187+G193*$O$187)*24,3))</f>
        <v/>
      </c>
      <c r="I193" s="27"/>
      <c r="K193" s="28" t="str">
        <f aca="false">IF(OR(M193=0,C193=""),"",IF(ISNUMBER(C193),MOD(C193,1),IFERROR(INDEX(القوائم!$B$1:$B$288,MATCH(TRIM(C193),القوائم!$A$1:$A$288,0)),IFERROR(MOD(TIMEVALUE(C193),1),""))))</f>
        <v/>
      </c>
      <c r="L193" s="28" t="str">
        <f aca="false">IF(OR(M193=0,D193=""),"",IF(ISNUMBER(D193),MOD(D193,1),IFERROR(INDEX(القوائم!$B$1:$B$288,MATCH(TRIM(D193),القوائم!$A$1:$A$288,0)),IFERROR(MOD(TIMEVALUE(D193),1),""))))</f>
        <v/>
      </c>
      <c r="M193" s="19" t="n">
        <f aca="false">$M$187</f>
        <v>0</v>
      </c>
      <c r="Q193" s="19" t="n">
        <f aca="false">IF(N(E199)&gt;0,1,0)</f>
        <v>0</v>
      </c>
      <c r="S193" s="0" t="n">
        <v>14</v>
      </c>
    </row>
    <row r="194" customFormat="false" ht="15" hidden="false" customHeight="false" outlineLevel="0" collapsed="false">
      <c r="A194" s="22" t="n">
        <f aca="false">IF(14&lt;=NW,WEEK_ONE+96,"")</f>
        <v>46114</v>
      </c>
      <c r="B194" s="23" t="str">
        <f aca="false">IF(A194="","",CHOOSE(WEEKDAY(A194,1),"الأحد","الاثنين","الثلاثاء","الأربعاء","الخميس","الجمعة","السبت"))</f>
        <v>الخميس</v>
      </c>
      <c r="C194" s="24"/>
      <c r="D194" s="24"/>
      <c r="E194" s="25" t="str">
        <f aca="false">IF(OR(M194=0,K194="",L194=""),"",MOD(L194-K194,1))</f>
        <v/>
      </c>
      <c r="F194" s="25" t="str">
        <f aca="false">IF(OR(E194="",M194=0),"",IF(WEEKDAY(A194,1)=6,E194,MIN(E194,MAX(0,MIN(IF(L194&lt;K194,L194+1,L194),OMR_OT_AT)-K194))))</f>
        <v/>
      </c>
      <c r="G194" s="25" t="str">
        <f aca="false">IF(OR(E194="",M194=0),"",MAX(0,E194-F194))</f>
        <v/>
      </c>
      <c r="H194" s="26" t="str">
        <f aca="false">IF(OR(E194="",M194=0),"",ROUND((F194*$N$187+G194*$O$187)*24,3))</f>
        <v/>
      </c>
      <c r="I194" s="27"/>
      <c r="K194" s="28" t="str">
        <f aca="false">IF(OR(M194=0,C194=""),"",IF(ISNUMBER(C194),MOD(C194,1),IFERROR(INDEX(القوائم!$B$1:$B$288,MATCH(TRIM(C194),القوائم!$A$1:$A$288,0)),IFERROR(MOD(TIMEVALUE(C194),1),""))))</f>
        <v/>
      </c>
      <c r="L194" s="28" t="str">
        <f aca="false">IF(OR(M194=0,D194=""),"",IF(ISNUMBER(D194),MOD(D194,1),IFERROR(INDEX(القوائم!$B$1:$B$288,MATCH(TRIM(D194),القوائم!$A$1:$A$288,0)),IFERROR(MOD(TIMEVALUE(D194),1),""))))</f>
        <v/>
      </c>
      <c r="M194" s="19" t="n">
        <f aca="false">$M$187</f>
        <v>0</v>
      </c>
      <c r="Q194" s="19" t="n">
        <f aca="false">IF(N(E199)&gt;0,1,0)</f>
        <v>0</v>
      </c>
      <c r="S194" s="0" t="n">
        <v>14</v>
      </c>
    </row>
    <row r="195" customFormat="false" ht="15" hidden="false" customHeight="false" outlineLevel="0" collapsed="false">
      <c r="A195" s="29" t="n">
        <f aca="false">IF(14&lt;=NW,WEEK_ONE+97,"")</f>
        <v>46115</v>
      </c>
      <c r="B195" s="30" t="str">
        <f aca="false">IF(A195="","",CHOOSE(WEEKDAY(A195,1),"الأحد","الاثنين","الثلاثاء","الأربعاء","الخميس","الجمعة","السبت"))</f>
        <v>الجمعة</v>
      </c>
      <c r="C195" s="24"/>
      <c r="D195" s="24"/>
      <c r="E195" s="25" t="str">
        <f aca="false">IF(OR(M195=0,K195="",L195=""),"",MOD(L195-K195,1))</f>
        <v/>
      </c>
      <c r="F195" s="25" t="str">
        <f aca="false">IF(OR(E195="",M195=0),"",IF(WEEKDAY(A195,1)=6,E195,MIN(E195,MAX(0,MIN(IF(L195&lt;K195,L195+1,L195),OMR_OT_AT)-K195))))</f>
        <v/>
      </c>
      <c r="G195" s="25" t="str">
        <f aca="false">IF(OR(E195="",M195=0),"",MAX(0,E195-F195))</f>
        <v/>
      </c>
      <c r="H195" s="26" t="str">
        <f aca="false">IF(OR(E195="",M195=0),"",ROUND((F195*$N$187+G195*$O$187)*24,3))</f>
        <v/>
      </c>
      <c r="I195" s="27"/>
      <c r="K195" s="28" t="str">
        <f aca="false">IF(OR(M195=0,C195=""),"",IF(ISNUMBER(C195),MOD(C195,1),IFERROR(INDEX(القوائم!$B$1:$B$288,MATCH(TRIM(C195),القوائم!$A$1:$A$288,0)),IFERROR(MOD(TIMEVALUE(C195),1),""))))</f>
        <v/>
      </c>
      <c r="L195" s="28" t="str">
        <f aca="false">IF(OR(M195=0,D195=""),"",IF(ISNUMBER(D195),MOD(D195,1),IFERROR(INDEX(القوائم!$B$1:$B$288,MATCH(TRIM(D195),القوائم!$A$1:$A$288,0)),IFERROR(MOD(TIMEVALUE(D195),1),""))))</f>
        <v/>
      </c>
      <c r="M195" s="19" t="n">
        <f aca="false">$M$187</f>
        <v>0</v>
      </c>
      <c r="Q195" s="19" t="n">
        <f aca="false">IF(N(E199)&gt;0,1,0)</f>
        <v>0</v>
      </c>
      <c r="S195" s="0" t="n">
        <v>14</v>
      </c>
    </row>
    <row r="196" customFormat="false" ht="15" hidden="false" customHeight="false" outlineLevel="0" collapsed="false">
      <c r="A196" s="31" t="str">
        <f aca="false">IF(M187=1,"ساعات تحميل الجبسمبورد بهالأسبوع ←","")</f>
        <v/>
      </c>
      <c r="B196" s="31"/>
      <c r="C196" s="31"/>
      <c r="D196" s="31"/>
      <c r="E196" s="32"/>
      <c r="F196" s="33" t="str">
        <f aca="false">IF(M187=1,"كل ساعة تحميل = "&amp;TEXT($P$187,"0.000")&amp;" دينار (منها "&amp;TEXT($N$187,"0.000")&amp;" محسوبة أصلاً بساعات اليوم)","")</f>
        <v/>
      </c>
      <c r="G196" s="33"/>
      <c r="H196" s="33"/>
      <c r="I196" s="33"/>
      <c r="M196" s="19" t="n">
        <f aca="false">$M$187</f>
        <v>0</v>
      </c>
      <c r="Q196" s="19" t="n">
        <f aca="false">IF(N(E199)&gt;0,1,0)</f>
        <v>0</v>
      </c>
      <c r="S196" s="0" t="n">
        <v>14</v>
      </c>
    </row>
    <row r="197" customFormat="false" ht="15" hidden="false" customHeight="false" outlineLevel="0" collapsed="false">
      <c r="A197" s="31" t="str">
        <f aca="false">IF(M187=1,"إكرامية الأسبوع (دينار) ←","")</f>
        <v/>
      </c>
      <c r="B197" s="31"/>
      <c r="C197" s="31"/>
      <c r="D197" s="31"/>
      <c r="E197" s="34"/>
      <c r="F197" s="35"/>
      <c r="G197" s="35"/>
      <c r="H197" s="35"/>
      <c r="I197" s="35"/>
      <c r="M197" s="19" t="n">
        <f aca="false">$M$187</f>
        <v>0</v>
      </c>
      <c r="Q197" s="19" t="n">
        <f aca="false">IF(N(E199)&gt;0,1,0)</f>
        <v>0</v>
      </c>
      <c r="S197" s="0" t="n">
        <v>14</v>
      </c>
    </row>
    <row r="198" customFormat="false" ht="36" hidden="false" customHeight="true" outlineLevel="0" collapsed="false">
      <c r="A198" s="36" t="str">
        <f aca="false">IF(M187=1,"المستحق النهائي للأسبوع","")</f>
        <v/>
      </c>
      <c r="B198" s="36"/>
      <c r="C198" s="36"/>
      <c r="D198" s="36"/>
      <c r="E198" s="36"/>
      <c r="F198" s="36"/>
      <c r="G198" s="36"/>
      <c r="H198" s="11" t="str">
        <f aca="false">IF(M187=1,ROUND(N($V$187)+N(E196)*($P$187-$N$187)+N(E197),3),"")</f>
        <v/>
      </c>
      <c r="I198" s="37"/>
      <c r="M198" s="19" t="n">
        <f aca="false">$M$187</f>
        <v>0</v>
      </c>
      <c r="Q198" s="19" t="n">
        <f aca="false">IF(N(E199)&gt;0,1,0)</f>
        <v>0</v>
      </c>
      <c r="S198" s="0" t="n">
        <v>14</v>
      </c>
      <c r="T198" s="0" t="n">
        <v>1</v>
      </c>
    </row>
    <row r="199" customFormat="false" ht="25.5" hidden="false" customHeight="true" outlineLevel="0" collapsed="false">
      <c r="A199" s="31" t="str">
        <f aca="false">IF(M187=1,"المدفوع (دينار) ←","")</f>
        <v/>
      </c>
      <c r="B199" s="31"/>
      <c r="C199" s="31"/>
      <c r="D199" s="31"/>
      <c r="E199" s="34"/>
      <c r="F199" s="38" t="str">
        <f aca="false">IF(M187=1,IF(N(E199)&gt;0,"✔ انقبض — الأسبوع مقفول","⏳ لسا ما انقبض"),"")</f>
        <v/>
      </c>
      <c r="G199" s="38"/>
      <c r="H199" s="38"/>
      <c r="I199" s="38"/>
      <c r="M199" s="19" t="n">
        <f aca="false">$M$187</f>
        <v>0</v>
      </c>
      <c r="Q199" s="19" t="n">
        <f aca="false">IF(N(E199)&gt;0,1,0)</f>
        <v>0</v>
      </c>
      <c r="S199" s="0" t="n">
        <v>14</v>
      </c>
    </row>
    <row r="200" customFormat="false" ht="9.75" hidden="false" customHeight="true" outlineLevel="0" collapsed="false">
      <c r="M200" s="19" t="n">
        <f aca="false">$M$187</f>
        <v>0</v>
      </c>
      <c r="Q200" s="19" t="n">
        <f aca="false">IF(N(E199)&gt;0,1,0)</f>
        <v>0</v>
      </c>
      <c r="S200" s="0" t="n">
        <v>14</v>
      </c>
      <c r="T200" s="0" t="n">
        <v>2</v>
      </c>
    </row>
    <row r="201" customFormat="false" ht="33.75" hidden="false" customHeight="true" outlineLevel="0" collapsed="false">
      <c r="A201" s="17" t="str">
        <f aca="false">IF(15&lt;=NW,TEXT(DAY(WEEK_ONE+98),"00")&amp;"/"&amp;TEXT(MONTH(WEEK_ONE+98),"00")&amp;"/"&amp;YEAR(WEEK_ONE+98)&amp;"  -  "&amp;TEXT(DAY(WEEK_ONE+104),"00")&amp;"/"&amp;TEXT(MONTH(WEEK_ONE+104),"00")&amp;"/"&amp;YEAR(WEEK_ONE+104)&amp;"   ·   الأسبوع 15"&amp;IF(15&lt;START_O,"   (قبل أسبوع البداية — ما بينحسب)",""),"ما في أسبوع 15 هالسنة")</f>
        <v>04/04/2026  -  10/04/2026   ·   الأسبوع 15   (قبل أسبوع البداية — ما بينحسب)</v>
      </c>
      <c r="B201" s="17"/>
      <c r="C201" s="17"/>
      <c r="D201" s="17"/>
      <c r="E201" s="17"/>
      <c r="F201" s="17"/>
      <c r="G201" s="17"/>
      <c r="H201" s="17"/>
      <c r="I201" s="17"/>
      <c r="L201" s="18" t="n">
        <f aca="false">IF(15&lt;=NW,WEEK_ONE+104,"")</f>
        <v>46122</v>
      </c>
      <c r="M201" s="19" t="n">
        <f aca="false">IF(AND(15&lt;=NW,15&gt;=START_O),1,0)</f>
        <v>0</v>
      </c>
      <c r="N201" s="20" t="n">
        <f aca="false">IFERROR(INDEX(RT_OMR,MATCH(L201,RT_K,1)),INDEX(RT_OMR,1))</f>
        <v>1.25</v>
      </c>
      <c r="O201" s="20" t="n">
        <f aca="false">IFERROR(INDEX(RT_OT,MATCH(L201,RT_K,1)),INDEX(RT_OT,1))</f>
        <v>1.5</v>
      </c>
      <c r="P201" s="20" t="n">
        <f aca="false">IFERROR(INDEX(RT_GYP,MATCH(L201,RT_K,1)),INDEX(RT_GYP,1))</f>
        <v>2.5</v>
      </c>
      <c r="Q201" s="19" t="n">
        <f aca="false">IF(N(E213)&gt;0,1,0)</f>
        <v>0</v>
      </c>
      <c r="R201" s="0" t="n">
        <v>15</v>
      </c>
      <c r="S201" s="0" t="n">
        <v>15</v>
      </c>
      <c r="U201" s="19" t="n">
        <f aca="false">IF(M201=1,SUM(E203:E209),0)</f>
        <v>0</v>
      </c>
      <c r="V201" s="19" t="n">
        <f aca="false">SUM(H203:H209)</f>
        <v>0</v>
      </c>
    </row>
    <row r="202" customFormat="false" ht="39.75" hidden="false" customHeight="true" outlineLevel="0" collapsed="false">
      <c r="A202" s="21" t="s">
        <v>18</v>
      </c>
      <c r="B202" s="21" t="s">
        <v>19</v>
      </c>
      <c r="C202" s="21" t="s">
        <v>20</v>
      </c>
      <c r="D202" s="21" t="s">
        <v>21</v>
      </c>
      <c r="E202" s="21" t="s">
        <v>22</v>
      </c>
      <c r="F202" s="21" t="s">
        <v>23</v>
      </c>
      <c r="G202" s="21" t="s">
        <v>24</v>
      </c>
      <c r="H202" s="21" t="s">
        <v>25</v>
      </c>
      <c r="I202" s="21" t="s">
        <v>26</v>
      </c>
      <c r="M202" s="19" t="n">
        <f aca="false">$M$201</f>
        <v>0</v>
      </c>
      <c r="Q202" s="19" t="n">
        <f aca="false">IF(N(E213)&gt;0,1,0)</f>
        <v>0</v>
      </c>
      <c r="S202" s="0" t="n">
        <v>15</v>
      </c>
    </row>
    <row r="203" customFormat="false" ht="15" hidden="false" customHeight="false" outlineLevel="0" collapsed="false">
      <c r="A203" s="22" t="n">
        <f aca="false">IF(15&lt;=NW,WEEK_ONE+98,"")</f>
        <v>46116</v>
      </c>
      <c r="B203" s="23" t="str">
        <f aca="false">IF(A203="","",CHOOSE(WEEKDAY(A203,1),"الأحد","الاثنين","الثلاثاء","الأربعاء","الخميس","الجمعة","السبت"))</f>
        <v>السبت</v>
      </c>
      <c r="C203" s="24"/>
      <c r="D203" s="24"/>
      <c r="E203" s="25" t="str">
        <f aca="false">IF(OR(M203=0,K203="",L203=""),"",MOD(L203-K203,1))</f>
        <v/>
      </c>
      <c r="F203" s="25" t="str">
        <f aca="false">IF(OR(E203="",M203=0),"",IF(WEEKDAY(A203,1)=6,E203,MIN(E203,MAX(0,MIN(IF(L203&lt;K203,L203+1,L203),OMR_OT_AT)-K203))))</f>
        <v/>
      </c>
      <c r="G203" s="25" t="str">
        <f aca="false">IF(OR(E203="",M203=0),"",MAX(0,E203-F203))</f>
        <v/>
      </c>
      <c r="H203" s="26" t="str">
        <f aca="false">IF(OR(E203="",M203=0),"",ROUND((F203*$N$201+G203*$O$201)*24,3))</f>
        <v/>
      </c>
      <c r="I203" s="27"/>
      <c r="K203" s="28" t="str">
        <f aca="false">IF(OR(M203=0,C203=""),"",IF(ISNUMBER(C203),MOD(C203,1),IFERROR(INDEX(القوائم!$B$1:$B$288,MATCH(TRIM(C203),القوائم!$A$1:$A$288,0)),IFERROR(MOD(TIMEVALUE(C203),1),""))))</f>
        <v/>
      </c>
      <c r="L203" s="28" t="str">
        <f aca="false">IF(OR(M203=0,D203=""),"",IF(ISNUMBER(D203),MOD(D203,1),IFERROR(INDEX(القوائم!$B$1:$B$288,MATCH(TRIM(D203),القوائم!$A$1:$A$288,0)),IFERROR(MOD(TIMEVALUE(D203),1),""))))</f>
        <v/>
      </c>
      <c r="M203" s="19" t="n">
        <f aca="false">$M$201</f>
        <v>0</v>
      </c>
      <c r="Q203" s="19" t="n">
        <f aca="false">IF(N(E213)&gt;0,1,0)</f>
        <v>0</v>
      </c>
      <c r="S203" s="0" t="n">
        <v>15</v>
      </c>
    </row>
    <row r="204" customFormat="false" ht="15" hidden="false" customHeight="false" outlineLevel="0" collapsed="false">
      <c r="A204" s="22" t="n">
        <f aca="false">IF(15&lt;=NW,WEEK_ONE+99,"")</f>
        <v>46117</v>
      </c>
      <c r="B204" s="23" t="str">
        <f aca="false">IF(A204="","",CHOOSE(WEEKDAY(A204,1),"الأحد","الاثنين","الثلاثاء","الأربعاء","الخميس","الجمعة","السبت"))</f>
        <v>الأحد</v>
      </c>
      <c r="C204" s="24"/>
      <c r="D204" s="24"/>
      <c r="E204" s="25" t="str">
        <f aca="false">IF(OR(M204=0,K204="",L204=""),"",MOD(L204-K204,1))</f>
        <v/>
      </c>
      <c r="F204" s="25" t="str">
        <f aca="false">IF(OR(E204="",M204=0),"",IF(WEEKDAY(A204,1)=6,E204,MIN(E204,MAX(0,MIN(IF(L204&lt;K204,L204+1,L204),OMR_OT_AT)-K204))))</f>
        <v/>
      </c>
      <c r="G204" s="25" t="str">
        <f aca="false">IF(OR(E204="",M204=0),"",MAX(0,E204-F204))</f>
        <v/>
      </c>
      <c r="H204" s="26" t="str">
        <f aca="false">IF(OR(E204="",M204=0),"",ROUND((F204*$N$201+G204*$O$201)*24,3))</f>
        <v/>
      </c>
      <c r="I204" s="27"/>
      <c r="K204" s="28" t="str">
        <f aca="false">IF(OR(M204=0,C204=""),"",IF(ISNUMBER(C204),MOD(C204,1),IFERROR(INDEX(القوائم!$B$1:$B$288,MATCH(TRIM(C204),القوائم!$A$1:$A$288,0)),IFERROR(MOD(TIMEVALUE(C204),1),""))))</f>
        <v/>
      </c>
      <c r="L204" s="28" t="str">
        <f aca="false">IF(OR(M204=0,D204=""),"",IF(ISNUMBER(D204),MOD(D204,1),IFERROR(INDEX(القوائم!$B$1:$B$288,MATCH(TRIM(D204),القوائم!$A$1:$A$288,0)),IFERROR(MOD(TIMEVALUE(D204),1),""))))</f>
        <v/>
      </c>
      <c r="M204" s="19" t="n">
        <f aca="false">$M$201</f>
        <v>0</v>
      </c>
      <c r="Q204" s="19" t="n">
        <f aca="false">IF(N(E213)&gt;0,1,0)</f>
        <v>0</v>
      </c>
      <c r="S204" s="0" t="n">
        <v>15</v>
      </c>
    </row>
    <row r="205" customFormat="false" ht="15" hidden="false" customHeight="false" outlineLevel="0" collapsed="false">
      <c r="A205" s="22" t="n">
        <f aca="false">IF(15&lt;=NW,WEEK_ONE+100,"")</f>
        <v>46118</v>
      </c>
      <c r="B205" s="23" t="str">
        <f aca="false">IF(A205="","",CHOOSE(WEEKDAY(A205,1),"الأحد","الاثنين","الثلاثاء","الأربعاء","الخميس","الجمعة","السبت"))</f>
        <v>الاثنين</v>
      </c>
      <c r="C205" s="24"/>
      <c r="D205" s="24"/>
      <c r="E205" s="25" t="str">
        <f aca="false">IF(OR(M205=0,K205="",L205=""),"",MOD(L205-K205,1))</f>
        <v/>
      </c>
      <c r="F205" s="25" t="str">
        <f aca="false">IF(OR(E205="",M205=0),"",IF(WEEKDAY(A205,1)=6,E205,MIN(E205,MAX(0,MIN(IF(L205&lt;K205,L205+1,L205),OMR_OT_AT)-K205))))</f>
        <v/>
      </c>
      <c r="G205" s="25" t="str">
        <f aca="false">IF(OR(E205="",M205=0),"",MAX(0,E205-F205))</f>
        <v/>
      </c>
      <c r="H205" s="26" t="str">
        <f aca="false">IF(OR(E205="",M205=0),"",ROUND((F205*$N$201+G205*$O$201)*24,3))</f>
        <v/>
      </c>
      <c r="I205" s="27"/>
      <c r="K205" s="28" t="str">
        <f aca="false">IF(OR(M205=0,C205=""),"",IF(ISNUMBER(C205),MOD(C205,1),IFERROR(INDEX(القوائم!$B$1:$B$288,MATCH(TRIM(C205),القوائم!$A$1:$A$288,0)),IFERROR(MOD(TIMEVALUE(C205),1),""))))</f>
        <v/>
      </c>
      <c r="L205" s="28" t="str">
        <f aca="false">IF(OR(M205=0,D205=""),"",IF(ISNUMBER(D205),MOD(D205,1),IFERROR(INDEX(القوائم!$B$1:$B$288,MATCH(TRIM(D205),القوائم!$A$1:$A$288,0)),IFERROR(MOD(TIMEVALUE(D205),1),""))))</f>
        <v/>
      </c>
      <c r="M205" s="19" t="n">
        <f aca="false">$M$201</f>
        <v>0</v>
      </c>
      <c r="Q205" s="19" t="n">
        <f aca="false">IF(N(E213)&gt;0,1,0)</f>
        <v>0</v>
      </c>
      <c r="S205" s="0" t="n">
        <v>15</v>
      </c>
    </row>
    <row r="206" customFormat="false" ht="15" hidden="false" customHeight="false" outlineLevel="0" collapsed="false">
      <c r="A206" s="22" t="n">
        <f aca="false">IF(15&lt;=NW,WEEK_ONE+101,"")</f>
        <v>46119</v>
      </c>
      <c r="B206" s="23" t="str">
        <f aca="false">IF(A206="","",CHOOSE(WEEKDAY(A206,1),"الأحد","الاثنين","الثلاثاء","الأربعاء","الخميس","الجمعة","السبت"))</f>
        <v>الثلاثاء</v>
      </c>
      <c r="C206" s="24"/>
      <c r="D206" s="24"/>
      <c r="E206" s="25" t="str">
        <f aca="false">IF(OR(M206=0,K206="",L206=""),"",MOD(L206-K206,1))</f>
        <v/>
      </c>
      <c r="F206" s="25" t="str">
        <f aca="false">IF(OR(E206="",M206=0),"",IF(WEEKDAY(A206,1)=6,E206,MIN(E206,MAX(0,MIN(IF(L206&lt;K206,L206+1,L206),OMR_OT_AT)-K206))))</f>
        <v/>
      </c>
      <c r="G206" s="25" t="str">
        <f aca="false">IF(OR(E206="",M206=0),"",MAX(0,E206-F206))</f>
        <v/>
      </c>
      <c r="H206" s="26" t="str">
        <f aca="false">IF(OR(E206="",M206=0),"",ROUND((F206*$N$201+G206*$O$201)*24,3))</f>
        <v/>
      </c>
      <c r="I206" s="27"/>
      <c r="K206" s="28" t="str">
        <f aca="false">IF(OR(M206=0,C206=""),"",IF(ISNUMBER(C206),MOD(C206,1),IFERROR(INDEX(القوائم!$B$1:$B$288,MATCH(TRIM(C206),القوائم!$A$1:$A$288,0)),IFERROR(MOD(TIMEVALUE(C206),1),""))))</f>
        <v/>
      </c>
      <c r="L206" s="28" t="str">
        <f aca="false">IF(OR(M206=0,D206=""),"",IF(ISNUMBER(D206),MOD(D206,1),IFERROR(INDEX(القوائم!$B$1:$B$288,MATCH(TRIM(D206),القوائم!$A$1:$A$288,0)),IFERROR(MOD(TIMEVALUE(D206),1),""))))</f>
        <v/>
      </c>
      <c r="M206" s="19" t="n">
        <f aca="false">$M$201</f>
        <v>0</v>
      </c>
      <c r="Q206" s="19" t="n">
        <f aca="false">IF(N(E213)&gt;0,1,0)</f>
        <v>0</v>
      </c>
      <c r="S206" s="0" t="n">
        <v>15</v>
      </c>
    </row>
    <row r="207" customFormat="false" ht="15" hidden="false" customHeight="false" outlineLevel="0" collapsed="false">
      <c r="A207" s="22" t="n">
        <f aca="false">IF(15&lt;=NW,WEEK_ONE+102,"")</f>
        <v>46120</v>
      </c>
      <c r="B207" s="23" t="str">
        <f aca="false">IF(A207="","",CHOOSE(WEEKDAY(A207,1),"الأحد","الاثنين","الثلاثاء","الأربعاء","الخميس","الجمعة","السبت"))</f>
        <v>الأربعاء</v>
      </c>
      <c r="C207" s="24"/>
      <c r="D207" s="24"/>
      <c r="E207" s="25" t="str">
        <f aca="false">IF(OR(M207=0,K207="",L207=""),"",MOD(L207-K207,1))</f>
        <v/>
      </c>
      <c r="F207" s="25" t="str">
        <f aca="false">IF(OR(E207="",M207=0),"",IF(WEEKDAY(A207,1)=6,E207,MIN(E207,MAX(0,MIN(IF(L207&lt;K207,L207+1,L207),OMR_OT_AT)-K207))))</f>
        <v/>
      </c>
      <c r="G207" s="25" t="str">
        <f aca="false">IF(OR(E207="",M207=0),"",MAX(0,E207-F207))</f>
        <v/>
      </c>
      <c r="H207" s="26" t="str">
        <f aca="false">IF(OR(E207="",M207=0),"",ROUND((F207*$N$201+G207*$O$201)*24,3))</f>
        <v/>
      </c>
      <c r="I207" s="27"/>
      <c r="K207" s="28" t="str">
        <f aca="false">IF(OR(M207=0,C207=""),"",IF(ISNUMBER(C207),MOD(C207,1),IFERROR(INDEX(القوائم!$B$1:$B$288,MATCH(TRIM(C207),القوائم!$A$1:$A$288,0)),IFERROR(MOD(TIMEVALUE(C207),1),""))))</f>
        <v/>
      </c>
      <c r="L207" s="28" t="str">
        <f aca="false">IF(OR(M207=0,D207=""),"",IF(ISNUMBER(D207),MOD(D207,1),IFERROR(INDEX(القوائم!$B$1:$B$288,MATCH(TRIM(D207),القوائم!$A$1:$A$288,0)),IFERROR(MOD(TIMEVALUE(D207),1),""))))</f>
        <v/>
      </c>
      <c r="M207" s="19" t="n">
        <f aca="false">$M$201</f>
        <v>0</v>
      </c>
      <c r="Q207" s="19" t="n">
        <f aca="false">IF(N(E213)&gt;0,1,0)</f>
        <v>0</v>
      </c>
      <c r="S207" s="0" t="n">
        <v>15</v>
      </c>
    </row>
    <row r="208" customFormat="false" ht="15" hidden="false" customHeight="false" outlineLevel="0" collapsed="false">
      <c r="A208" s="22" t="n">
        <f aca="false">IF(15&lt;=NW,WEEK_ONE+103,"")</f>
        <v>46121</v>
      </c>
      <c r="B208" s="23" t="str">
        <f aca="false">IF(A208="","",CHOOSE(WEEKDAY(A208,1),"الأحد","الاثنين","الثلاثاء","الأربعاء","الخميس","الجمعة","السبت"))</f>
        <v>الخميس</v>
      </c>
      <c r="C208" s="24"/>
      <c r="D208" s="24"/>
      <c r="E208" s="25" t="str">
        <f aca="false">IF(OR(M208=0,K208="",L208=""),"",MOD(L208-K208,1))</f>
        <v/>
      </c>
      <c r="F208" s="25" t="str">
        <f aca="false">IF(OR(E208="",M208=0),"",IF(WEEKDAY(A208,1)=6,E208,MIN(E208,MAX(0,MIN(IF(L208&lt;K208,L208+1,L208),OMR_OT_AT)-K208))))</f>
        <v/>
      </c>
      <c r="G208" s="25" t="str">
        <f aca="false">IF(OR(E208="",M208=0),"",MAX(0,E208-F208))</f>
        <v/>
      </c>
      <c r="H208" s="26" t="str">
        <f aca="false">IF(OR(E208="",M208=0),"",ROUND((F208*$N$201+G208*$O$201)*24,3))</f>
        <v/>
      </c>
      <c r="I208" s="27"/>
      <c r="K208" s="28" t="str">
        <f aca="false">IF(OR(M208=0,C208=""),"",IF(ISNUMBER(C208),MOD(C208,1),IFERROR(INDEX(القوائم!$B$1:$B$288,MATCH(TRIM(C208),القوائم!$A$1:$A$288,0)),IFERROR(MOD(TIMEVALUE(C208),1),""))))</f>
        <v/>
      </c>
      <c r="L208" s="28" t="str">
        <f aca="false">IF(OR(M208=0,D208=""),"",IF(ISNUMBER(D208),MOD(D208,1),IFERROR(INDEX(القوائم!$B$1:$B$288,MATCH(TRIM(D208),القوائم!$A$1:$A$288,0)),IFERROR(MOD(TIMEVALUE(D208),1),""))))</f>
        <v/>
      </c>
      <c r="M208" s="19" t="n">
        <f aca="false">$M$201</f>
        <v>0</v>
      </c>
      <c r="Q208" s="19" t="n">
        <f aca="false">IF(N(E213)&gt;0,1,0)</f>
        <v>0</v>
      </c>
      <c r="S208" s="0" t="n">
        <v>15</v>
      </c>
    </row>
    <row r="209" customFormat="false" ht="15" hidden="false" customHeight="false" outlineLevel="0" collapsed="false">
      <c r="A209" s="29" t="n">
        <f aca="false">IF(15&lt;=NW,WEEK_ONE+104,"")</f>
        <v>46122</v>
      </c>
      <c r="B209" s="30" t="str">
        <f aca="false">IF(A209="","",CHOOSE(WEEKDAY(A209,1),"الأحد","الاثنين","الثلاثاء","الأربعاء","الخميس","الجمعة","السبت"))</f>
        <v>الجمعة</v>
      </c>
      <c r="C209" s="24"/>
      <c r="D209" s="24"/>
      <c r="E209" s="25" t="str">
        <f aca="false">IF(OR(M209=0,K209="",L209=""),"",MOD(L209-K209,1))</f>
        <v/>
      </c>
      <c r="F209" s="25" t="str">
        <f aca="false">IF(OR(E209="",M209=0),"",IF(WEEKDAY(A209,1)=6,E209,MIN(E209,MAX(0,MIN(IF(L209&lt;K209,L209+1,L209),OMR_OT_AT)-K209))))</f>
        <v/>
      </c>
      <c r="G209" s="25" t="str">
        <f aca="false">IF(OR(E209="",M209=0),"",MAX(0,E209-F209))</f>
        <v/>
      </c>
      <c r="H209" s="26" t="str">
        <f aca="false">IF(OR(E209="",M209=0),"",ROUND((F209*$N$201+G209*$O$201)*24,3))</f>
        <v/>
      </c>
      <c r="I209" s="27"/>
      <c r="K209" s="28" t="str">
        <f aca="false">IF(OR(M209=0,C209=""),"",IF(ISNUMBER(C209),MOD(C209,1),IFERROR(INDEX(القوائم!$B$1:$B$288,MATCH(TRIM(C209),القوائم!$A$1:$A$288,0)),IFERROR(MOD(TIMEVALUE(C209),1),""))))</f>
        <v/>
      </c>
      <c r="L209" s="28" t="str">
        <f aca="false">IF(OR(M209=0,D209=""),"",IF(ISNUMBER(D209),MOD(D209,1),IFERROR(INDEX(القوائم!$B$1:$B$288,MATCH(TRIM(D209),القوائم!$A$1:$A$288,0)),IFERROR(MOD(TIMEVALUE(D209),1),""))))</f>
        <v/>
      </c>
      <c r="M209" s="19" t="n">
        <f aca="false">$M$201</f>
        <v>0</v>
      </c>
      <c r="Q209" s="19" t="n">
        <f aca="false">IF(N(E213)&gt;0,1,0)</f>
        <v>0</v>
      </c>
      <c r="S209" s="0" t="n">
        <v>15</v>
      </c>
    </row>
    <row r="210" customFormat="false" ht="15" hidden="false" customHeight="false" outlineLevel="0" collapsed="false">
      <c r="A210" s="31" t="str">
        <f aca="false">IF(M201=1,"ساعات تحميل الجبسمبورد بهالأسبوع ←","")</f>
        <v/>
      </c>
      <c r="B210" s="31"/>
      <c r="C210" s="31"/>
      <c r="D210" s="31"/>
      <c r="E210" s="32"/>
      <c r="F210" s="33" t="str">
        <f aca="false">IF(M201=1,"كل ساعة تحميل = "&amp;TEXT($P$201,"0.000")&amp;" دينار (منها "&amp;TEXT($N$201,"0.000")&amp;" محسوبة أصلاً بساعات اليوم)","")</f>
        <v/>
      </c>
      <c r="G210" s="33"/>
      <c r="H210" s="33"/>
      <c r="I210" s="33"/>
      <c r="M210" s="19" t="n">
        <f aca="false">$M$201</f>
        <v>0</v>
      </c>
      <c r="Q210" s="19" t="n">
        <f aca="false">IF(N(E213)&gt;0,1,0)</f>
        <v>0</v>
      </c>
      <c r="S210" s="0" t="n">
        <v>15</v>
      </c>
    </row>
    <row r="211" customFormat="false" ht="15" hidden="false" customHeight="false" outlineLevel="0" collapsed="false">
      <c r="A211" s="31" t="str">
        <f aca="false">IF(M201=1,"إكرامية الأسبوع (دينار) ←","")</f>
        <v/>
      </c>
      <c r="B211" s="31"/>
      <c r="C211" s="31"/>
      <c r="D211" s="31"/>
      <c r="E211" s="34"/>
      <c r="F211" s="35"/>
      <c r="G211" s="35"/>
      <c r="H211" s="35"/>
      <c r="I211" s="35"/>
      <c r="M211" s="19" t="n">
        <f aca="false">$M$201</f>
        <v>0</v>
      </c>
      <c r="Q211" s="19" t="n">
        <f aca="false">IF(N(E213)&gt;0,1,0)</f>
        <v>0</v>
      </c>
      <c r="S211" s="0" t="n">
        <v>15</v>
      </c>
    </row>
    <row r="212" customFormat="false" ht="36" hidden="false" customHeight="true" outlineLevel="0" collapsed="false">
      <c r="A212" s="36" t="str">
        <f aca="false">IF(M201=1,"المستحق النهائي للأسبوع","")</f>
        <v/>
      </c>
      <c r="B212" s="36"/>
      <c r="C212" s="36"/>
      <c r="D212" s="36"/>
      <c r="E212" s="36"/>
      <c r="F212" s="36"/>
      <c r="G212" s="36"/>
      <c r="H212" s="11" t="str">
        <f aca="false">IF(M201=1,ROUND(N($V$201)+N(E210)*($P$201-$N$201)+N(E211),3),"")</f>
        <v/>
      </c>
      <c r="I212" s="37"/>
      <c r="M212" s="19" t="n">
        <f aca="false">$M$201</f>
        <v>0</v>
      </c>
      <c r="Q212" s="19" t="n">
        <f aca="false">IF(N(E213)&gt;0,1,0)</f>
        <v>0</v>
      </c>
      <c r="S212" s="0" t="n">
        <v>15</v>
      </c>
      <c r="T212" s="0" t="n">
        <v>1</v>
      </c>
    </row>
    <row r="213" customFormat="false" ht="25.5" hidden="false" customHeight="true" outlineLevel="0" collapsed="false">
      <c r="A213" s="31" t="str">
        <f aca="false">IF(M201=1,"المدفوع (دينار) ←","")</f>
        <v/>
      </c>
      <c r="B213" s="31"/>
      <c r="C213" s="31"/>
      <c r="D213" s="31"/>
      <c r="E213" s="34"/>
      <c r="F213" s="38" t="str">
        <f aca="false">IF(M201=1,IF(N(E213)&gt;0,"✔ انقبض — الأسبوع مقفول","⏳ لسا ما انقبض"),"")</f>
        <v/>
      </c>
      <c r="G213" s="38"/>
      <c r="H213" s="38"/>
      <c r="I213" s="38"/>
      <c r="M213" s="19" t="n">
        <f aca="false">$M$201</f>
        <v>0</v>
      </c>
      <c r="Q213" s="19" t="n">
        <f aca="false">IF(N(E213)&gt;0,1,0)</f>
        <v>0</v>
      </c>
      <c r="S213" s="0" t="n">
        <v>15</v>
      </c>
    </row>
    <row r="214" customFormat="false" ht="9.75" hidden="false" customHeight="true" outlineLevel="0" collapsed="false">
      <c r="M214" s="19" t="n">
        <f aca="false">$M$201</f>
        <v>0</v>
      </c>
      <c r="Q214" s="19" t="n">
        <f aca="false">IF(N(E213)&gt;0,1,0)</f>
        <v>0</v>
      </c>
      <c r="S214" s="0" t="n">
        <v>15</v>
      </c>
      <c r="T214" s="0" t="n">
        <v>2</v>
      </c>
    </row>
    <row r="215" customFormat="false" ht="33.75" hidden="false" customHeight="true" outlineLevel="0" collapsed="false">
      <c r="A215" s="17" t="str">
        <f aca="false">IF(16&lt;=NW,TEXT(DAY(WEEK_ONE+105),"00")&amp;"/"&amp;TEXT(MONTH(WEEK_ONE+105),"00")&amp;"/"&amp;YEAR(WEEK_ONE+105)&amp;"  -  "&amp;TEXT(DAY(WEEK_ONE+111),"00")&amp;"/"&amp;TEXT(MONTH(WEEK_ONE+111),"00")&amp;"/"&amp;YEAR(WEEK_ONE+111)&amp;"   ·   الأسبوع 16"&amp;IF(16&lt;START_O,"   (قبل أسبوع البداية — ما بينحسب)",""),"ما في أسبوع 16 هالسنة")</f>
        <v>11/04/2026  -  17/04/2026   ·   الأسبوع 16   (قبل أسبوع البداية — ما بينحسب)</v>
      </c>
      <c r="B215" s="17"/>
      <c r="C215" s="17"/>
      <c r="D215" s="17"/>
      <c r="E215" s="17"/>
      <c r="F215" s="17"/>
      <c r="G215" s="17"/>
      <c r="H215" s="17"/>
      <c r="I215" s="17"/>
      <c r="L215" s="18" t="n">
        <f aca="false">IF(16&lt;=NW,WEEK_ONE+111,"")</f>
        <v>46129</v>
      </c>
      <c r="M215" s="19" t="n">
        <f aca="false">IF(AND(16&lt;=NW,16&gt;=START_O),1,0)</f>
        <v>0</v>
      </c>
      <c r="N215" s="20" t="n">
        <f aca="false">IFERROR(INDEX(RT_OMR,MATCH(L215,RT_K,1)),INDEX(RT_OMR,1))</f>
        <v>1.25</v>
      </c>
      <c r="O215" s="20" t="n">
        <f aca="false">IFERROR(INDEX(RT_OT,MATCH(L215,RT_K,1)),INDEX(RT_OT,1))</f>
        <v>1.5</v>
      </c>
      <c r="P215" s="20" t="n">
        <f aca="false">IFERROR(INDEX(RT_GYP,MATCH(L215,RT_K,1)),INDEX(RT_GYP,1))</f>
        <v>2.5</v>
      </c>
      <c r="Q215" s="19" t="n">
        <f aca="false">IF(N(E227)&gt;0,1,0)</f>
        <v>0</v>
      </c>
      <c r="R215" s="0" t="n">
        <v>16</v>
      </c>
      <c r="S215" s="0" t="n">
        <v>16</v>
      </c>
      <c r="U215" s="19" t="n">
        <f aca="false">IF(M215=1,SUM(E217:E223),0)</f>
        <v>0</v>
      </c>
      <c r="V215" s="19" t="n">
        <f aca="false">SUM(H217:H223)</f>
        <v>0</v>
      </c>
    </row>
    <row r="216" customFormat="false" ht="39.75" hidden="false" customHeight="true" outlineLevel="0" collapsed="false">
      <c r="A216" s="21" t="s">
        <v>18</v>
      </c>
      <c r="B216" s="21" t="s">
        <v>19</v>
      </c>
      <c r="C216" s="21" t="s">
        <v>20</v>
      </c>
      <c r="D216" s="21" t="s">
        <v>21</v>
      </c>
      <c r="E216" s="21" t="s">
        <v>22</v>
      </c>
      <c r="F216" s="21" t="s">
        <v>23</v>
      </c>
      <c r="G216" s="21" t="s">
        <v>24</v>
      </c>
      <c r="H216" s="21" t="s">
        <v>25</v>
      </c>
      <c r="I216" s="21" t="s">
        <v>26</v>
      </c>
      <c r="M216" s="19" t="n">
        <f aca="false">$M$215</f>
        <v>0</v>
      </c>
      <c r="Q216" s="19" t="n">
        <f aca="false">IF(N(E227)&gt;0,1,0)</f>
        <v>0</v>
      </c>
      <c r="S216" s="0" t="n">
        <v>16</v>
      </c>
    </row>
    <row r="217" customFormat="false" ht="15" hidden="false" customHeight="false" outlineLevel="0" collapsed="false">
      <c r="A217" s="22" t="n">
        <f aca="false">IF(16&lt;=NW,WEEK_ONE+105,"")</f>
        <v>46123</v>
      </c>
      <c r="B217" s="23" t="str">
        <f aca="false">IF(A217="","",CHOOSE(WEEKDAY(A217,1),"الأحد","الاثنين","الثلاثاء","الأربعاء","الخميس","الجمعة","السبت"))</f>
        <v>السبت</v>
      </c>
      <c r="C217" s="24"/>
      <c r="D217" s="24"/>
      <c r="E217" s="25" t="str">
        <f aca="false">IF(OR(M217=0,K217="",L217=""),"",MOD(L217-K217,1))</f>
        <v/>
      </c>
      <c r="F217" s="25" t="str">
        <f aca="false">IF(OR(E217="",M217=0),"",IF(WEEKDAY(A217,1)=6,E217,MIN(E217,MAX(0,MIN(IF(L217&lt;K217,L217+1,L217),OMR_OT_AT)-K217))))</f>
        <v/>
      </c>
      <c r="G217" s="25" t="str">
        <f aca="false">IF(OR(E217="",M217=0),"",MAX(0,E217-F217))</f>
        <v/>
      </c>
      <c r="H217" s="26" t="str">
        <f aca="false">IF(OR(E217="",M217=0),"",ROUND((F217*$N$215+G217*$O$215)*24,3))</f>
        <v/>
      </c>
      <c r="I217" s="27"/>
      <c r="K217" s="28" t="str">
        <f aca="false">IF(OR(M217=0,C217=""),"",IF(ISNUMBER(C217),MOD(C217,1),IFERROR(INDEX(القوائم!$B$1:$B$288,MATCH(TRIM(C217),القوائم!$A$1:$A$288,0)),IFERROR(MOD(TIMEVALUE(C217),1),""))))</f>
        <v/>
      </c>
      <c r="L217" s="28" t="str">
        <f aca="false">IF(OR(M217=0,D217=""),"",IF(ISNUMBER(D217),MOD(D217,1),IFERROR(INDEX(القوائم!$B$1:$B$288,MATCH(TRIM(D217),القوائم!$A$1:$A$288,0)),IFERROR(MOD(TIMEVALUE(D217),1),""))))</f>
        <v/>
      </c>
      <c r="M217" s="19" t="n">
        <f aca="false">$M$215</f>
        <v>0</v>
      </c>
      <c r="Q217" s="19" t="n">
        <f aca="false">IF(N(E227)&gt;0,1,0)</f>
        <v>0</v>
      </c>
      <c r="S217" s="0" t="n">
        <v>16</v>
      </c>
    </row>
    <row r="218" customFormat="false" ht="15" hidden="false" customHeight="false" outlineLevel="0" collapsed="false">
      <c r="A218" s="22" t="n">
        <f aca="false">IF(16&lt;=NW,WEEK_ONE+106,"")</f>
        <v>46124</v>
      </c>
      <c r="B218" s="23" t="str">
        <f aca="false">IF(A218="","",CHOOSE(WEEKDAY(A218,1),"الأحد","الاثنين","الثلاثاء","الأربعاء","الخميس","الجمعة","السبت"))</f>
        <v>الأحد</v>
      </c>
      <c r="C218" s="24"/>
      <c r="D218" s="24"/>
      <c r="E218" s="25" t="str">
        <f aca="false">IF(OR(M218=0,K218="",L218=""),"",MOD(L218-K218,1))</f>
        <v/>
      </c>
      <c r="F218" s="25" t="str">
        <f aca="false">IF(OR(E218="",M218=0),"",IF(WEEKDAY(A218,1)=6,E218,MIN(E218,MAX(0,MIN(IF(L218&lt;K218,L218+1,L218),OMR_OT_AT)-K218))))</f>
        <v/>
      </c>
      <c r="G218" s="25" t="str">
        <f aca="false">IF(OR(E218="",M218=0),"",MAX(0,E218-F218))</f>
        <v/>
      </c>
      <c r="H218" s="26" t="str">
        <f aca="false">IF(OR(E218="",M218=0),"",ROUND((F218*$N$215+G218*$O$215)*24,3))</f>
        <v/>
      </c>
      <c r="I218" s="27"/>
      <c r="K218" s="28" t="str">
        <f aca="false">IF(OR(M218=0,C218=""),"",IF(ISNUMBER(C218),MOD(C218,1),IFERROR(INDEX(القوائم!$B$1:$B$288,MATCH(TRIM(C218),القوائم!$A$1:$A$288,0)),IFERROR(MOD(TIMEVALUE(C218),1),""))))</f>
        <v/>
      </c>
      <c r="L218" s="28" t="str">
        <f aca="false">IF(OR(M218=0,D218=""),"",IF(ISNUMBER(D218),MOD(D218,1),IFERROR(INDEX(القوائم!$B$1:$B$288,MATCH(TRIM(D218),القوائم!$A$1:$A$288,0)),IFERROR(MOD(TIMEVALUE(D218),1),""))))</f>
        <v/>
      </c>
      <c r="M218" s="19" t="n">
        <f aca="false">$M$215</f>
        <v>0</v>
      </c>
      <c r="Q218" s="19" t="n">
        <f aca="false">IF(N(E227)&gt;0,1,0)</f>
        <v>0</v>
      </c>
      <c r="S218" s="0" t="n">
        <v>16</v>
      </c>
    </row>
    <row r="219" customFormat="false" ht="15" hidden="false" customHeight="false" outlineLevel="0" collapsed="false">
      <c r="A219" s="22" t="n">
        <f aca="false">IF(16&lt;=NW,WEEK_ONE+107,"")</f>
        <v>46125</v>
      </c>
      <c r="B219" s="23" t="str">
        <f aca="false">IF(A219="","",CHOOSE(WEEKDAY(A219,1),"الأحد","الاثنين","الثلاثاء","الأربعاء","الخميس","الجمعة","السبت"))</f>
        <v>الاثنين</v>
      </c>
      <c r="C219" s="24"/>
      <c r="D219" s="24"/>
      <c r="E219" s="25" t="str">
        <f aca="false">IF(OR(M219=0,K219="",L219=""),"",MOD(L219-K219,1))</f>
        <v/>
      </c>
      <c r="F219" s="25" t="str">
        <f aca="false">IF(OR(E219="",M219=0),"",IF(WEEKDAY(A219,1)=6,E219,MIN(E219,MAX(0,MIN(IF(L219&lt;K219,L219+1,L219),OMR_OT_AT)-K219))))</f>
        <v/>
      </c>
      <c r="G219" s="25" t="str">
        <f aca="false">IF(OR(E219="",M219=0),"",MAX(0,E219-F219))</f>
        <v/>
      </c>
      <c r="H219" s="26" t="str">
        <f aca="false">IF(OR(E219="",M219=0),"",ROUND((F219*$N$215+G219*$O$215)*24,3))</f>
        <v/>
      </c>
      <c r="I219" s="27"/>
      <c r="K219" s="28" t="str">
        <f aca="false">IF(OR(M219=0,C219=""),"",IF(ISNUMBER(C219),MOD(C219,1),IFERROR(INDEX(القوائم!$B$1:$B$288,MATCH(TRIM(C219),القوائم!$A$1:$A$288,0)),IFERROR(MOD(TIMEVALUE(C219),1),""))))</f>
        <v/>
      </c>
      <c r="L219" s="28" t="str">
        <f aca="false">IF(OR(M219=0,D219=""),"",IF(ISNUMBER(D219),MOD(D219,1),IFERROR(INDEX(القوائم!$B$1:$B$288,MATCH(TRIM(D219),القوائم!$A$1:$A$288,0)),IFERROR(MOD(TIMEVALUE(D219),1),""))))</f>
        <v/>
      </c>
      <c r="M219" s="19" t="n">
        <f aca="false">$M$215</f>
        <v>0</v>
      </c>
      <c r="Q219" s="19" t="n">
        <f aca="false">IF(N(E227)&gt;0,1,0)</f>
        <v>0</v>
      </c>
      <c r="S219" s="0" t="n">
        <v>16</v>
      </c>
    </row>
    <row r="220" customFormat="false" ht="15" hidden="false" customHeight="false" outlineLevel="0" collapsed="false">
      <c r="A220" s="22" t="n">
        <f aca="false">IF(16&lt;=NW,WEEK_ONE+108,"")</f>
        <v>46126</v>
      </c>
      <c r="B220" s="23" t="str">
        <f aca="false">IF(A220="","",CHOOSE(WEEKDAY(A220,1),"الأحد","الاثنين","الثلاثاء","الأربعاء","الخميس","الجمعة","السبت"))</f>
        <v>الثلاثاء</v>
      </c>
      <c r="C220" s="24"/>
      <c r="D220" s="24"/>
      <c r="E220" s="25" t="str">
        <f aca="false">IF(OR(M220=0,K220="",L220=""),"",MOD(L220-K220,1))</f>
        <v/>
      </c>
      <c r="F220" s="25" t="str">
        <f aca="false">IF(OR(E220="",M220=0),"",IF(WEEKDAY(A220,1)=6,E220,MIN(E220,MAX(0,MIN(IF(L220&lt;K220,L220+1,L220),OMR_OT_AT)-K220))))</f>
        <v/>
      </c>
      <c r="G220" s="25" t="str">
        <f aca="false">IF(OR(E220="",M220=0),"",MAX(0,E220-F220))</f>
        <v/>
      </c>
      <c r="H220" s="26" t="str">
        <f aca="false">IF(OR(E220="",M220=0),"",ROUND((F220*$N$215+G220*$O$215)*24,3))</f>
        <v/>
      </c>
      <c r="I220" s="27"/>
      <c r="K220" s="28" t="str">
        <f aca="false">IF(OR(M220=0,C220=""),"",IF(ISNUMBER(C220),MOD(C220,1),IFERROR(INDEX(القوائم!$B$1:$B$288,MATCH(TRIM(C220),القوائم!$A$1:$A$288,0)),IFERROR(MOD(TIMEVALUE(C220),1),""))))</f>
        <v/>
      </c>
      <c r="L220" s="28" t="str">
        <f aca="false">IF(OR(M220=0,D220=""),"",IF(ISNUMBER(D220),MOD(D220,1),IFERROR(INDEX(القوائم!$B$1:$B$288,MATCH(TRIM(D220),القوائم!$A$1:$A$288,0)),IFERROR(MOD(TIMEVALUE(D220),1),""))))</f>
        <v/>
      </c>
      <c r="M220" s="19" t="n">
        <f aca="false">$M$215</f>
        <v>0</v>
      </c>
      <c r="Q220" s="19" t="n">
        <f aca="false">IF(N(E227)&gt;0,1,0)</f>
        <v>0</v>
      </c>
      <c r="S220" s="0" t="n">
        <v>16</v>
      </c>
    </row>
    <row r="221" customFormat="false" ht="15" hidden="false" customHeight="false" outlineLevel="0" collapsed="false">
      <c r="A221" s="22" t="n">
        <f aca="false">IF(16&lt;=NW,WEEK_ONE+109,"")</f>
        <v>46127</v>
      </c>
      <c r="B221" s="23" t="str">
        <f aca="false">IF(A221="","",CHOOSE(WEEKDAY(A221,1),"الأحد","الاثنين","الثلاثاء","الأربعاء","الخميس","الجمعة","السبت"))</f>
        <v>الأربعاء</v>
      </c>
      <c r="C221" s="24"/>
      <c r="D221" s="24"/>
      <c r="E221" s="25" t="str">
        <f aca="false">IF(OR(M221=0,K221="",L221=""),"",MOD(L221-K221,1))</f>
        <v/>
      </c>
      <c r="F221" s="25" t="str">
        <f aca="false">IF(OR(E221="",M221=0),"",IF(WEEKDAY(A221,1)=6,E221,MIN(E221,MAX(0,MIN(IF(L221&lt;K221,L221+1,L221),OMR_OT_AT)-K221))))</f>
        <v/>
      </c>
      <c r="G221" s="25" t="str">
        <f aca="false">IF(OR(E221="",M221=0),"",MAX(0,E221-F221))</f>
        <v/>
      </c>
      <c r="H221" s="26" t="str">
        <f aca="false">IF(OR(E221="",M221=0),"",ROUND((F221*$N$215+G221*$O$215)*24,3))</f>
        <v/>
      </c>
      <c r="I221" s="27"/>
      <c r="K221" s="28" t="str">
        <f aca="false">IF(OR(M221=0,C221=""),"",IF(ISNUMBER(C221),MOD(C221,1),IFERROR(INDEX(القوائم!$B$1:$B$288,MATCH(TRIM(C221),القوائم!$A$1:$A$288,0)),IFERROR(MOD(TIMEVALUE(C221),1),""))))</f>
        <v/>
      </c>
      <c r="L221" s="28" t="str">
        <f aca="false">IF(OR(M221=0,D221=""),"",IF(ISNUMBER(D221),MOD(D221,1),IFERROR(INDEX(القوائم!$B$1:$B$288,MATCH(TRIM(D221),القوائم!$A$1:$A$288,0)),IFERROR(MOD(TIMEVALUE(D221),1),""))))</f>
        <v/>
      </c>
      <c r="M221" s="19" t="n">
        <f aca="false">$M$215</f>
        <v>0</v>
      </c>
      <c r="Q221" s="19" t="n">
        <f aca="false">IF(N(E227)&gt;0,1,0)</f>
        <v>0</v>
      </c>
      <c r="S221" s="0" t="n">
        <v>16</v>
      </c>
    </row>
    <row r="222" customFormat="false" ht="15" hidden="false" customHeight="false" outlineLevel="0" collapsed="false">
      <c r="A222" s="22" t="n">
        <f aca="false">IF(16&lt;=NW,WEEK_ONE+110,"")</f>
        <v>46128</v>
      </c>
      <c r="B222" s="23" t="str">
        <f aca="false">IF(A222="","",CHOOSE(WEEKDAY(A222,1),"الأحد","الاثنين","الثلاثاء","الأربعاء","الخميس","الجمعة","السبت"))</f>
        <v>الخميس</v>
      </c>
      <c r="C222" s="24"/>
      <c r="D222" s="24"/>
      <c r="E222" s="25" t="str">
        <f aca="false">IF(OR(M222=0,K222="",L222=""),"",MOD(L222-K222,1))</f>
        <v/>
      </c>
      <c r="F222" s="25" t="str">
        <f aca="false">IF(OR(E222="",M222=0),"",IF(WEEKDAY(A222,1)=6,E222,MIN(E222,MAX(0,MIN(IF(L222&lt;K222,L222+1,L222),OMR_OT_AT)-K222))))</f>
        <v/>
      </c>
      <c r="G222" s="25" t="str">
        <f aca="false">IF(OR(E222="",M222=0),"",MAX(0,E222-F222))</f>
        <v/>
      </c>
      <c r="H222" s="26" t="str">
        <f aca="false">IF(OR(E222="",M222=0),"",ROUND((F222*$N$215+G222*$O$215)*24,3))</f>
        <v/>
      </c>
      <c r="I222" s="27"/>
      <c r="K222" s="28" t="str">
        <f aca="false">IF(OR(M222=0,C222=""),"",IF(ISNUMBER(C222),MOD(C222,1),IFERROR(INDEX(القوائم!$B$1:$B$288,MATCH(TRIM(C222),القوائم!$A$1:$A$288,0)),IFERROR(MOD(TIMEVALUE(C222),1),""))))</f>
        <v/>
      </c>
      <c r="L222" s="28" t="str">
        <f aca="false">IF(OR(M222=0,D222=""),"",IF(ISNUMBER(D222),MOD(D222,1),IFERROR(INDEX(القوائم!$B$1:$B$288,MATCH(TRIM(D222),القوائم!$A$1:$A$288,0)),IFERROR(MOD(TIMEVALUE(D222),1),""))))</f>
        <v/>
      </c>
      <c r="M222" s="19" t="n">
        <f aca="false">$M$215</f>
        <v>0</v>
      </c>
      <c r="Q222" s="19" t="n">
        <f aca="false">IF(N(E227)&gt;0,1,0)</f>
        <v>0</v>
      </c>
      <c r="S222" s="0" t="n">
        <v>16</v>
      </c>
    </row>
    <row r="223" customFormat="false" ht="15" hidden="false" customHeight="false" outlineLevel="0" collapsed="false">
      <c r="A223" s="29" t="n">
        <f aca="false">IF(16&lt;=NW,WEEK_ONE+111,"")</f>
        <v>46129</v>
      </c>
      <c r="B223" s="30" t="str">
        <f aca="false">IF(A223="","",CHOOSE(WEEKDAY(A223,1),"الأحد","الاثنين","الثلاثاء","الأربعاء","الخميس","الجمعة","السبت"))</f>
        <v>الجمعة</v>
      </c>
      <c r="C223" s="24"/>
      <c r="D223" s="24"/>
      <c r="E223" s="25" t="str">
        <f aca="false">IF(OR(M223=0,K223="",L223=""),"",MOD(L223-K223,1))</f>
        <v/>
      </c>
      <c r="F223" s="25" t="str">
        <f aca="false">IF(OR(E223="",M223=0),"",IF(WEEKDAY(A223,1)=6,E223,MIN(E223,MAX(0,MIN(IF(L223&lt;K223,L223+1,L223),OMR_OT_AT)-K223))))</f>
        <v/>
      </c>
      <c r="G223" s="25" t="str">
        <f aca="false">IF(OR(E223="",M223=0),"",MAX(0,E223-F223))</f>
        <v/>
      </c>
      <c r="H223" s="26" t="str">
        <f aca="false">IF(OR(E223="",M223=0),"",ROUND((F223*$N$215+G223*$O$215)*24,3))</f>
        <v/>
      </c>
      <c r="I223" s="27"/>
      <c r="K223" s="28" t="str">
        <f aca="false">IF(OR(M223=0,C223=""),"",IF(ISNUMBER(C223),MOD(C223,1),IFERROR(INDEX(القوائم!$B$1:$B$288,MATCH(TRIM(C223),القوائم!$A$1:$A$288,0)),IFERROR(MOD(TIMEVALUE(C223),1),""))))</f>
        <v/>
      </c>
      <c r="L223" s="28" t="str">
        <f aca="false">IF(OR(M223=0,D223=""),"",IF(ISNUMBER(D223),MOD(D223,1),IFERROR(INDEX(القوائم!$B$1:$B$288,MATCH(TRIM(D223),القوائم!$A$1:$A$288,0)),IFERROR(MOD(TIMEVALUE(D223),1),""))))</f>
        <v/>
      </c>
      <c r="M223" s="19" t="n">
        <f aca="false">$M$215</f>
        <v>0</v>
      </c>
      <c r="Q223" s="19" t="n">
        <f aca="false">IF(N(E227)&gt;0,1,0)</f>
        <v>0</v>
      </c>
      <c r="S223" s="0" t="n">
        <v>16</v>
      </c>
    </row>
    <row r="224" customFormat="false" ht="15" hidden="false" customHeight="false" outlineLevel="0" collapsed="false">
      <c r="A224" s="31" t="str">
        <f aca="false">IF(M215=1,"ساعات تحميل الجبسمبورد بهالأسبوع ←","")</f>
        <v/>
      </c>
      <c r="B224" s="31"/>
      <c r="C224" s="31"/>
      <c r="D224" s="31"/>
      <c r="E224" s="32"/>
      <c r="F224" s="33" t="str">
        <f aca="false">IF(M215=1,"كل ساعة تحميل = "&amp;TEXT($P$215,"0.000")&amp;" دينار (منها "&amp;TEXT($N$215,"0.000")&amp;" محسوبة أصلاً بساعات اليوم)","")</f>
        <v/>
      </c>
      <c r="G224" s="33"/>
      <c r="H224" s="33"/>
      <c r="I224" s="33"/>
      <c r="M224" s="19" t="n">
        <f aca="false">$M$215</f>
        <v>0</v>
      </c>
      <c r="Q224" s="19" t="n">
        <f aca="false">IF(N(E227)&gt;0,1,0)</f>
        <v>0</v>
      </c>
      <c r="S224" s="0" t="n">
        <v>16</v>
      </c>
    </row>
    <row r="225" customFormat="false" ht="15" hidden="false" customHeight="false" outlineLevel="0" collapsed="false">
      <c r="A225" s="31" t="str">
        <f aca="false">IF(M215=1,"إكرامية الأسبوع (دينار) ←","")</f>
        <v/>
      </c>
      <c r="B225" s="31"/>
      <c r="C225" s="31"/>
      <c r="D225" s="31"/>
      <c r="E225" s="34"/>
      <c r="F225" s="35"/>
      <c r="G225" s="35"/>
      <c r="H225" s="35"/>
      <c r="I225" s="35"/>
      <c r="M225" s="19" t="n">
        <f aca="false">$M$215</f>
        <v>0</v>
      </c>
      <c r="Q225" s="19" t="n">
        <f aca="false">IF(N(E227)&gt;0,1,0)</f>
        <v>0</v>
      </c>
      <c r="S225" s="0" t="n">
        <v>16</v>
      </c>
    </row>
    <row r="226" customFormat="false" ht="36" hidden="false" customHeight="true" outlineLevel="0" collapsed="false">
      <c r="A226" s="36" t="str">
        <f aca="false">IF(M215=1,"المستحق النهائي للأسبوع","")</f>
        <v/>
      </c>
      <c r="B226" s="36"/>
      <c r="C226" s="36"/>
      <c r="D226" s="36"/>
      <c r="E226" s="36"/>
      <c r="F226" s="36"/>
      <c r="G226" s="36"/>
      <c r="H226" s="11" t="str">
        <f aca="false">IF(M215=1,ROUND(N($V$215)+N(E224)*($P$215-$N$215)+N(E225),3),"")</f>
        <v/>
      </c>
      <c r="I226" s="37"/>
      <c r="M226" s="19" t="n">
        <f aca="false">$M$215</f>
        <v>0</v>
      </c>
      <c r="Q226" s="19" t="n">
        <f aca="false">IF(N(E227)&gt;0,1,0)</f>
        <v>0</v>
      </c>
      <c r="S226" s="0" t="n">
        <v>16</v>
      </c>
      <c r="T226" s="0" t="n">
        <v>1</v>
      </c>
    </row>
    <row r="227" customFormat="false" ht="25.5" hidden="false" customHeight="true" outlineLevel="0" collapsed="false">
      <c r="A227" s="31" t="str">
        <f aca="false">IF(M215=1,"المدفوع (دينار) ←","")</f>
        <v/>
      </c>
      <c r="B227" s="31"/>
      <c r="C227" s="31"/>
      <c r="D227" s="31"/>
      <c r="E227" s="34"/>
      <c r="F227" s="38" t="str">
        <f aca="false">IF(M215=1,IF(N(E227)&gt;0,"✔ انقبض — الأسبوع مقفول","⏳ لسا ما انقبض"),"")</f>
        <v/>
      </c>
      <c r="G227" s="38"/>
      <c r="H227" s="38"/>
      <c r="I227" s="38"/>
      <c r="M227" s="19" t="n">
        <f aca="false">$M$215</f>
        <v>0</v>
      </c>
      <c r="Q227" s="19" t="n">
        <f aca="false">IF(N(E227)&gt;0,1,0)</f>
        <v>0</v>
      </c>
      <c r="S227" s="0" t="n">
        <v>16</v>
      </c>
    </row>
    <row r="228" customFormat="false" ht="9.75" hidden="false" customHeight="true" outlineLevel="0" collapsed="false">
      <c r="M228" s="19" t="n">
        <f aca="false">$M$215</f>
        <v>0</v>
      </c>
      <c r="Q228" s="19" t="n">
        <f aca="false">IF(N(E227)&gt;0,1,0)</f>
        <v>0</v>
      </c>
      <c r="S228" s="0" t="n">
        <v>16</v>
      </c>
      <c r="T228" s="0" t="n">
        <v>2</v>
      </c>
    </row>
    <row r="229" customFormat="false" ht="33.75" hidden="false" customHeight="true" outlineLevel="0" collapsed="false">
      <c r="A229" s="17" t="str">
        <f aca="false">IF(17&lt;=NW,TEXT(DAY(WEEK_ONE+112),"00")&amp;"/"&amp;TEXT(MONTH(WEEK_ONE+112),"00")&amp;"/"&amp;YEAR(WEEK_ONE+112)&amp;"  -  "&amp;TEXT(DAY(WEEK_ONE+118),"00")&amp;"/"&amp;TEXT(MONTH(WEEK_ONE+118),"00")&amp;"/"&amp;YEAR(WEEK_ONE+118)&amp;"   ·   الأسبوع 17"&amp;IF(17&lt;START_O,"   (قبل أسبوع البداية — ما بينحسب)",""),"ما في أسبوع 17 هالسنة")</f>
        <v>18/04/2026  -  24/04/2026   ·   الأسبوع 17   (قبل أسبوع البداية — ما بينحسب)</v>
      </c>
      <c r="B229" s="17"/>
      <c r="C229" s="17"/>
      <c r="D229" s="17"/>
      <c r="E229" s="17"/>
      <c r="F229" s="17"/>
      <c r="G229" s="17"/>
      <c r="H229" s="17"/>
      <c r="I229" s="17"/>
      <c r="L229" s="18" t="n">
        <f aca="false">IF(17&lt;=NW,WEEK_ONE+118,"")</f>
        <v>46136</v>
      </c>
      <c r="M229" s="19" t="n">
        <f aca="false">IF(AND(17&lt;=NW,17&gt;=START_O),1,0)</f>
        <v>0</v>
      </c>
      <c r="N229" s="20" t="n">
        <f aca="false">IFERROR(INDEX(RT_OMR,MATCH(L229,RT_K,1)),INDEX(RT_OMR,1))</f>
        <v>1.25</v>
      </c>
      <c r="O229" s="20" t="n">
        <f aca="false">IFERROR(INDEX(RT_OT,MATCH(L229,RT_K,1)),INDEX(RT_OT,1))</f>
        <v>1.5</v>
      </c>
      <c r="P229" s="20" t="n">
        <f aca="false">IFERROR(INDEX(RT_GYP,MATCH(L229,RT_K,1)),INDEX(RT_GYP,1))</f>
        <v>2.5</v>
      </c>
      <c r="Q229" s="19" t="n">
        <f aca="false">IF(N(E241)&gt;0,1,0)</f>
        <v>0</v>
      </c>
      <c r="R229" s="0" t="n">
        <v>17</v>
      </c>
      <c r="S229" s="0" t="n">
        <v>17</v>
      </c>
      <c r="U229" s="19" t="n">
        <f aca="false">IF(M229=1,SUM(E231:E237),0)</f>
        <v>0</v>
      </c>
      <c r="V229" s="19" t="n">
        <f aca="false">SUM(H231:H237)</f>
        <v>0</v>
      </c>
    </row>
    <row r="230" customFormat="false" ht="39.75" hidden="false" customHeight="true" outlineLevel="0" collapsed="false">
      <c r="A230" s="21" t="s">
        <v>18</v>
      </c>
      <c r="B230" s="21" t="s">
        <v>19</v>
      </c>
      <c r="C230" s="21" t="s">
        <v>20</v>
      </c>
      <c r="D230" s="21" t="s">
        <v>21</v>
      </c>
      <c r="E230" s="21" t="s">
        <v>22</v>
      </c>
      <c r="F230" s="21" t="s">
        <v>23</v>
      </c>
      <c r="G230" s="21" t="s">
        <v>24</v>
      </c>
      <c r="H230" s="21" t="s">
        <v>25</v>
      </c>
      <c r="I230" s="21" t="s">
        <v>26</v>
      </c>
      <c r="M230" s="19" t="n">
        <f aca="false">$M$229</f>
        <v>0</v>
      </c>
      <c r="Q230" s="19" t="n">
        <f aca="false">IF(N(E241)&gt;0,1,0)</f>
        <v>0</v>
      </c>
      <c r="S230" s="0" t="n">
        <v>17</v>
      </c>
    </row>
    <row r="231" customFormat="false" ht="15" hidden="false" customHeight="false" outlineLevel="0" collapsed="false">
      <c r="A231" s="22" t="n">
        <f aca="false">IF(17&lt;=NW,WEEK_ONE+112,"")</f>
        <v>46130</v>
      </c>
      <c r="B231" s="23" t="str">
        <f aca="false">IF(A231="","",CHOOSE(WEEKDAY(A231,1),"الأحد","الاثنين","الثلاثاء","الأربعاء","الخميس","الجمعة","السبت"))</f>
        <v>السبت</v>
      </c>
      <c r="C231" s="24"/>
      <c r="D231" s="24"/>
      <c r="E231" s="25" t="str">
        <f aca="false">IF(OR(M231=0,K231="",L231=""),"",MOD(L231-K231,1))</f>
        <v/>
      </c>
      <c r="F231" s="25" t="str">
        <f aca="false">IF(OR(E231="",M231=0),"",IF(WEEKDAY(A231,1)=6,E231,MIN(E231,MAX(0,MIN(IF(L231&lt;K231,L231+1,L231),OMR_OT_AT)-K231))))</f>
        <v/>
      </c>
      <c r="G231" s="25" t="str">
        <f aca="false">IF(OR(E231="",M231=0),"",MAX(0,E231-F231))</f>
        <v/>
      </c>
      <c r="H231" s="26" t="str">
        <f aca="false">IF(OR(E231="",M231=0),"",ROUND((F231*$N$229+G231*$O$229)*24,3))</f>
        <v/>
      </c>
      <c r="I231" s="27"/>
      <c r="K231" s="28" t="str">
        <f aca="false">IF(OR(M231=0,C231=""),"",IF(ISNUMBER(C231),MOD(C231,1),IFERROR(INDEX(القوائم!$B$1:$B$288,MATCH(TRIM(C231),القوائم!$A$1:$A$288,0)),IFERROR(MOD(TIMEVALUE(C231),1),""))))</f>
        <v/>
      </c>
      <c r="L231" s="28" t="str">
        <f aca="false">IF(OR(M231=0,D231=""),"",IF(ISNUMBER(D231),MOD(D231,1),IFERROR(INDEX(القوائم!$B$1:$B$288,MATCH(TRIM(D231),القوائم!$A$1:$A$288,0)),IFERROR(MOD(TIMEVALUE(D231),1),""))))</f>
        <v/>
      </c>
      <c r="M231" s="19" t="n">
        <f aca="false">$M$229</f>
        <v>0</v>
      </c>
      <c r="Q231" s="19" t="n">
        <f aca="false">IF(N(E241)&gt;0,1,0)</f>
        <v>0</v>
      </c>
      <c r="S231" s="0" t="n">
        <v>17</v>
      </c>
    </row>
    <row r="232" customFormat="false" ht="15" hidden="false" customHeight="false" outlineLevel="0" collapsed="false">
      <c r="A232" s="22" t="n">
        <f aca="false">IF(17&lt;=NW,WEEK_ONE+113,"")</f>
        <v>46131</v>
      </c>
      <c r="B232" s="23" t="str">
        <f aca="false">IF(A232="","",CHOOSE(WEEKDAY(A232,1),"الأحد","الاثنين","الثلاثاء","الأربعاء","الخميس","الجمعة","السبت"))</f>
        <v>الأحد</v>
      </c>
      <c r="C232" s="24"/>
      <c r="D232" s="24"/>
      <c r="E232" s="25" t="str">
        <f aca="false">IF(OR(M232=0,K232="",L232=""),"",MOD(L232-K232,1))</f>
        <v/>
      </c>
      <c r="F232" s="25" t="str">
        <f aca="false">IF(OR(E232="",M232=0),"",IF(WEEKDAY(A232,1)=6,E232,MIN(E232,MAX(0,MIN(IF(L232&lt;K232,L232+1,L232),OMR_OT_AT)-K232))))</f>
        <v/>
      </c>
      <c r="G232" s="25" t="str">
        <f aca="false">IF(OR(E232="",M232=0),"",MAX(0,E232-F232))</f>
        <v/>
      </c>
      <c r="H232" s="26" t="str">
        <f aca="false">IF(OR(E232="",M232=0),"",ROUND((F232*$N$229+G232*$O$229)*24,3))</f>
        <v/>
      </c>
      <c r="I232" s="27"/>
      <c r="K232" s="28" t="str">
        <f aca="false">IF(OR(M232=0,C232=""),"",IF(ISNUMBER(C232),MOD(C232,1),IFERROR(INDEX(القوائم!$B$1:$B$288,MATCH(TRIM(C232),القوائم!$A$1:$A$288,0)),IFERROR(MOD(TIMEVALUE(C232),1),""))))</f>
        <v/>
      </c>
      <c r="L232" s="28" t="str">
        <f aca="false">IF(OR(M232=0,D232=""),"",IF(ISNUMBER(D232),MOD(D232,1),IFERROR(INDEX(القوائم!$B$1:$B$288,MATCH(TRIM(D232),القوائم!$A$1:$A$288,0)),IFERROR(MOD(TIMEVALUE(D232),1),""))))</f>
        <v/>
      </c>
      <c r="M232" s="19" t="n">
        <f aca="false">$M$229</f>
        <v>0</v>
      </c>
      <c r="Q232" s="19" t="n">
        <f aca="false">IF(N(E241)&gt;0,1,0)</f>
        <v>0</v>
      </c>
      <c r="S232" s="0" t="n">
        <v>17</v>
      </c>
    </row>
    <row r="233" customFormat="false" ht="15" hidden="false" customHeight="false" outlineLevel="0" collapsed="false">
      <c r="A233" s="22" t="n">
        <f aca="false">IF(17&lt;=NW,WEEK_ONE+114,"")</f>
        <v>46132</v>
      </c>
      <c r="B233" s="23" t="str">
        <f aca="false">IF(A233="","",CHOOSE(WEEKDAY(A233,1),"الأحد","الاثنين","الثلاثاء","الأربعاء","الخميس","الجمعة","السبت"))</f>
        <v>الاثنين</v>
      </c>
      <c r="C233" s="24"/>
      <c r="D233" s="24"/>
      <c r="E233" s="25" t="str">
        <f aca="false">IF(OR(M233=0,K233="",L233=""),"",MOD(L233-K233,1))</f>
        <v/>
      </c>
      <c r="F233" s="25" t="str">
        <f aca="false">IF(OR(E233="",M233=0),"",IF(WEEKDAY(A233,1)=6,E233,MIN(E233,MAX(0,MIN(IF(L233&lt;K233,L233+1,L233),OMR_OT_AT)-K233))))</f>
        <v/>
      </c>
      <c r="G233" s="25" t="str">
        <f aca="false">IF(OR(E233="",M233=0),"",MAX(0,E233-F233))</f>
        <v/>
      </c>
      <c r="H233" s="26" t="str">
        <f aca="false">IF(OR(E233="",M233=0),"",ROUND((F233*$N$229+G233*$O$229)*24,3))</f>
        <v/>
      </c>
      <c r="I233" s="27"/>
      <c r="K233" s="28" t="str">
        <f aca="false">IF(OR(M233=0,C233=""),"",IF(ISNUMBER(C233),MOD(C233,1),IFERROR(INDEX(القوائم!$B$1:$B$288,MATCH(TRIM(C233),القوائم!$A$1:$A$288,0)),IFERROR(MOD(TIMEVALUE(C233),1),""))))</f>
        <v/>
      </c>
      <c r="L233" s="28" t="str">
        <f aca="false">IF(OR(M233=0,D233=""),"",IF(ISNUMBER(D233),MOD(D233,1),IFERROR(INDEX(القوائم!$B$1:$B$288,MATCH(TRIM(D233),القوائم!$A$1:$A$288,0)),IFERROR(MOD(TIMEVALUE(D233),1),""))))</f>
        <v/>
      </c>
      <c r="M233" s="19" t="n">
        <f aca="false">$M$229</f>
        <v>0</v>
      </c>
      <c r="Q233" s="19" t="n">
        <f aca="false">IF(N(E241)&gt;0,1,0)</f>
        <v>0</v>
      </c>
      <c r="S233" s="0" t="n">
        <v>17</v>
      </c>
    </row>
    <row r="234" customFormat="false" ht="15" hidden="false" customHeight="false" outlineLevel="0" collapsed="false">
      <c r="A234" s="22" t="n">
        <f aca="false">IF(17&lt;=NW,WEEK_ONE+115,"")</f>
        <v>46133</v>
      </c>
      <c r="B234" s="23" t="str">
        <f aca="false">IF(A234="","",CHOOSE(WEEKDAY(A234,1),"الأحد","الاثنين","الثلاثاء","الأربعاء","الخميس","الجمعة","السبت"))</f>
        <v>الثلاثاء</v>
      </c>
      <c r="C234" s="24"/>
      <c r="D234" s="24"/>
      <c r="E234" s="25" t="str">
        <f aca="false">IF(OR(M234=0,K234="",L234=""),"",MOD(L234-K234,1))</f>
        <v/>
      </c>
      <c r="F234" s="25" t="str">
        <f aca="false">IF(OR(E234="",M234=0),"",IF(WEEKDAY(A234,1)=6,E234,MIN(E234,MAX(0,MIN(IF(L234&lt;K234,L234+1,L234),OMR_OT_AT)-K234))))</f>
        <v/>
      </c>
      <c r="G234" s="25" t="str">
        <f aca="false">IF(OR(E234="",M234=0),"",MAX(0,E234-F234))</f>
        <v/>
      </c>
      <c r="H234" s="26" t="str">
        <f aca="false">IF(OR(E234="",M234=0),"",ROUND((F234*$N$229+G234*$O$229)*24,3))</f>
        <v/>
      </c>
      <c r="I234" s="27"/>
      <c r="K234" s="28" t="str">
        <f aca="false">IF(OR(M234=0,C234=""),"",IF(ISNUMBER(C234),MOD(C234,1),IFERROR(INDEX(القوائم!$B$1:$B$288,MATCH(TRIM(C234),القوائم!$A$1:$A$288,0)),IFERROR(MOD(TIMEVALUE(C234),1),""))))</f>
        <v/>
      </c>
      <c r="L234" s="28" t="str">
        <f aca="false">IF(OR(M234=0,D234=""),"",IF(ISNUMBER(D234),MOD(D234,1),IFERROR(INDEX(القوائم!$B$1:$B$288,MATCH(TRIM(D234),القوائم!$A$1:$A$288,0)),IFERROR(MOD(TIMEVALUE(D234),1),""))))</f>
        <v/>
      </c>
      <c r="M234" s="19" t="n">
        <f aca="false">$M$229</f>
        <v>0</v>
      </c>
      <c r="Q234" s="19" t="n">
        <f aca="false">IF(N(E241)&gt;0,1,0)</f>
        <v>0</v>
      </c>
      <c r="S234" s="0" t="n">
        <v>17</v>
      </c>
    </row>
    <row r="235" customFormat="false" ht="15" hidden="false" customHeight="false" outlineLevel="0" collapsed="false">
      <c r="A235" s="22" t="n">
        <f aca="false">IF(17&lt;=NW,WEEK_ONE+116,"")</f>
        <v>46134</v>
      </c>
      <c r="B235" s="23" t="str">
        <f aca="false">IF(A235="","",CHOOSE(WEEKDAY(A235,1),"الأحد","الاثنين","الثلاثاء","الأربعاء","الخميس","الجمعة","السبت"))</f>
        <v>الأربعاء</v>
      </c>
      <c r="C235" s="24"/>
      <c r="D235" s="24"/>
      <c r="E235" s="25" t="str">
        <f aca="false">IF(OR(M235=0,K235="",L235=""),"",MOD(L235-K235,1))</f>
        <v/>
      </c>
      <c r="F235" s="25" t="str">
        <f aca="false">IF(OR(E235="",M235=0),"",IF(WEEKDAY(A235,1)=6,E235,MIN(E235,MAX(0,MIN(IF(L235&lt;K235,L235+1,L235),OMR_OT_AT)-K235))))</f>
        <v/>
      </c>
      <c r="G235" s="25" t="str">
        <f aca="false">IF(OR(E235="",M235=0),"",MAX(0,E235-F235))</f>
        <v/>
      </c>
      <c r="H235" s="26" t="str">
        <f aca="false">IF(OR(E235="",M235=0),"",ROUND((F235*$N$229+G235*$O$229)*24,3))</f>
        <v/>
      </c>
      <c r="I235" s="27"/>
      <c r="K235" s="28" t="str">
        <f aca="false">IF(OR(M235=0,C235=""),"",IF(ISNUMBER(C235),MOD(C235,1),IFERROR(INDEX(القوائم!$B$1:$B$288,MATCH(TRIM(C235),القوائم!$A$1:$A$288,0)),IFERROR(MOD(TIMEVALUE(C235),1),""))))</f>
        <v/>
      </c>
      <c r="L235" s="28" t="str">
        <f aca="false">IF(OR(M235=0,D235=""),"",IF(ISNUMBER(D235),MOD(D235,1),IFERROR(INDEX(القوائم!$B$1:$B$288,MATCH(TRIM(D235),القوائم!$A$1:$A$288,0)),IFERROR(MOD(TIMEVALUE(D235),1),""))))</f>
        <v/>
      </c>
      <c r="M235" s="19" t="n">
        <f aca="false">$M$229</f>
        <v>0</v>
      </c>
      <c r="Q235" s="19" t="n">
        <f aca="false">IF(N(E241)&gt;0,1,0)</f>
        <v>0</v>
      </c>
      <c r="S235" s="0" t="n">
        <v>17</v>
      </c>
    </row>
    <row r="236" customFormat="false" ht="15" hidden="false" customHeight="false" outlineLevel="0" collapsed="false">
      <c r="A236" s="22" t="n">
        <f aca="false">IF(17&lt;=NW,WEEK_ONE+117,"")</f>
        <v>46135</v>
      </c>
      <c r="B236" s="23" t="str">
        <f aca="false">IF(A236="","",CHOOSE(WEEKDAY(A236,1),"الأحد","الاثنين","الثلاثاء","الأربعاء","الخميس","الجمعة","السبت"))</f>
        <v>الخميس</v>
      </c>
      <c r="C236" s="24"/>
      <c r="D236" s="24"/>
      <c r="E236" s="25" t="str">
        <f aca="false">IF(OR(M236=0,K236="",L236=""),"",MOD(L236-K236,1))</f>
        <v/>
      </c>
      <c r="F236" s="25" t="str">
        <f aca="false">IF(OR(E236="",M236=0),"",IF(WEEKDAY(A236,1)=6,E236,MIN(E236,MAX(0,MIN(IF(L236&lt;K236,L236+1,L236),OMR_OT_AT)-K236))))</f>
        <v/>
      </c>
      <c r="G236" s="25" t="str">
        <f aca="false">IF(OR(E236="",M236=0),"",MAX(0,E236-F236))</f>
        <v/>
      </c>
      <c r="H236" s="26" t="str">
        <f aca="false">IF(OR(E236="",M236=0),"",ROUND((F236*$N$229+G236*$O$229)*24,3))</f>
        <v/>
      </c>
      <c r="I236" s="27"/>
      <c r="K236" s="28" t="str">
        <f aca="false">IF(OR(M236=0,C236=""),"",IF(ISNUMBER(C236),MOD(C236,1),IFERROR(INDEX(القوائم!$B$1:$B$288,MATCH(TRIM(C236),القوائم!$A$1:$A$288,0)),IFERROR(MOD(TIMEVALUE(C236),1),""))))</f>
        <v/>
      </c>
      <c r="L236" s="28" t="str">
        <f aca="false">IF(OR(M236=0,D236=""),"",IF(ISNUMBER(D236),MOD(D236,1),IFERROR(INDEX(القوائم!$B$1:$B$288,MATCH(TRIM(D236),القوائم!$A$1:$A$288,0)),IFERROR(MOD(TIMEVALUE(D236),1),""))))</f>
        <v/>
      </c>
      <c r="M236" s="19" t="n">
        <f aca="false">$M$229</f>
        <v>0</v>
      </c>
      <c r="Q236" s="19" t="n">
        <f aca="false">IF(N(E241)&gt;0,1,0)</f>
        <v>0</v>
      </c>
      <c r="S236" s="0" t="n">
        <v>17</v>
      </c>
    </row>
    <row r="237" customFormat="false" ht="15" hidden="false" customHeight="false" outlineLevel="0" collapsed="false">
      <c r="A237" s="29" t="n">
        <f aca="false">IF(17&lt;=NW,WEEK_ONE+118,"")</f>
        <v>46136</v>
      </c>
      <c r="B237" s="30" t="str">
        <f aca="false">IF(A237="","",CHOOSE(WEEKDAY(A237,1),"الأحد","الاثنين","الثلاثاء","الأربعاء","الخميس","الجمعة","السبت"))</f>
        <v>الجمعة</v>
      </c>
      <c r="C237" s="24"/>
      <c r="D237" s="24"/>
      <c r="E237" s="25" t="str">
        <f aca="false">IF(OR(M237=0,K237="",L237=""),"",MOD(L237-K237,1))</f>
        <v/>
      </c>
      <c r="F237" s="25" t="str">
        <f aca="false">IF(OR(E237="",M237=0),"",IF(WEEKDAY(A237,1)=6,E237,MIN(E237,MAX(0,MIN(IF(L237&lt;K237,L237+1,L237),OMR_OT_AT)-K237))))</f>
        <v/>
      </c>
      <c r="G237" s="25" t="str">
        <f aca="false">IF(OR(E237="",M237=0),"",MAX(0,E237-F237))</f>
        <v/>
      </c>
      <c r="H237" s="26" t="str">
        <f aca="false">IF(OR(E237="",M237=0),"",ROUND((F237*$N$229+G237*$O$229)*24,3))</f>
        <v/>
      </c>
      <c r="I237" s="27"/>
      <c r="K237" s="28" t="str">
        <f aca="false">IF(OR(M237=0,C237=""),"",IF(ISNUMBER(C237),MOD(C237,1),IFERROR(INDEX(القوائم!$B$1:$B$288,MATCH(TRIM(C237),القوائم!$A$1:$A$288,0)),IFERROR(MOD(TIMEVALUE(C237),1),""))))</f>
        <v/>
      </c>
      <c r="L237" s="28" t="str">
        <f aca="false">IF(OR(M237=0,D237=""),"",IF(ISNUMBER(D237),MOD(D237,1),IFERROR(INDEX(القوائم!$B$1:$B$288,MATCH(TRIM(D237),القوائم!$A$1:$A$288,0)),IFERROR(MOD(TIMEVALUE(D237),1),""))))</f>
        <v/>
      </c>
      <c r="M237" s="19" t="n">
        <f aca="false">$M$229</f>
        <v>0</v>
      </c>
      <c r="Q237" s="19" t="n">
        <f aca="false">IF(N(E241)&gt;0,1,0)</f>
        <v>0</v>
      </c>
      <c r="S237" s="0" t="n">
        <v>17</v>
      </c>
    </row>
    <row r="238" customFormat="false" ht="15" hidden="false" customHeight="false" outlineLevel="0" collapsed="false">
      <c r="A238" s="31" t="str">
        <f aca="false">IF(M229=1,"ساعات تحميل الجبسمبورد بهالأسبوع ←","")</f>
        <v/>
      </c>
      <c r="B238" s="31"/>
      <c r="C238" s="31"/>
      <c r="D238" s="31"/>
      <c r="E238" s="32"/>
      <c r="F238" s="33" t="str">
        <f aca="false">IF(M229=1,"كل ساعة تحميل = "&amp;TEXT($P$229,"0.000")&amp;" دينار (منها "&amp;TEXT($N$229,"0.000")&amp;" محسوبة أصلاً بساعات اليوم)","")</f>
        <v/>
      </c>
      <c r="G238" s="33"/>
      <c r="H238" s="33"/>
      <c r="I238" s="33"/>
      <c r="M238" s="19" t="n">
        <f aca="false">$M$229</f>
        <v>0</v>
      </c>
      <c r="Q238" s="19" t="n">
        <f aca="false">IF(N(E241)&gt;0,1,0)</f>
        <v>0</v>
      </c>
      <c r="S238" s="0" t="n">
        <v>17</v>
      </c>
    </row>
    <row r="239" customFormat="false" ht="15" hidden="false" customHeight="false" outlineLevel="0" collapsed="false">
      <c r="A239" s="31" t="str">
        <f aca="false">IF(M229=1,"إكرامية الأسبوع (دينار) ←","")</f>
        <v/>
      </c>
      <c r="B239" s="31"/>
      <c r="C239" s="31"/>
      <c r="D239" s="31"/>
      <c r="E239" s="34"/>
      <c r="F239" s="35"/>
      <c r="G239" s="35"/>
      <c r="H239" s="35"/>
      <c r="I239" s="35"/>
      <c r="M239" s="19" t="n">
        <f aca="false">$M$229</f>
        <v>0</v>
      </c>
      <c r="Q239" s="19" t="n">
        <f aca="false">IF(N(E241)&gt;0,1,0)</f>
        <v>0</v>
      </c>
      <c r="S239" s="0" t="n">
        <v>17</v>
      </c>
    </row>
    <row r="240" customFormat="false" ht="36" hidden="false" customHeight="true" outlineLevel="0" collapsed="false">
      <c r="A240" s="36" t="str">
        <f aca="false">IF(M229=1,"المستحق النهائي للأسبوع","")</f>
        <v/>
      </c>
      <c r="B240" s="36"/>
      <c r="C240" s="36"/>
      <c r="D240" s="36"/>
      <c r="E240" s="36"/>
      <c r="F240" s="36"/>
      <c r="G240" s="36"/>
      <c r="H240" s="11" t="str">
        <f aca="false">IF(M229=1,ROUND(N($V$229)+N(E238)*($P$229-$N$229)+N(E239),3),"")</f>
        <v/>
      </c>
      <c r="I240" s="37"/>
      <c r="M240" s="19" t="n">
        <f aca="false">$M$229</f>
        <v>0</v>
      </c>
      <c r="Q240" s="19" t="n">
        <f aca="false">IF(N(E241)&gt;0,1,0)</f>
        <v>0</v>
      </c>
      <c r="S240" s="0" t="n">
        <v>17</v>
      </c>
      <c r="T240" s="0" t="n">
        <v>1</v>
      </c>
    </row>
    <row r="241" customFormat="false" ht="25.5" hidden="false" customHeight="true" outlineLevel="0" collapsed="false">
      <c r="A241" s="31" t="str">
        <f aca="false">IF(M229=1,"المدفوع (دينار) ←","")</f>
        <v/>
      </c>
      <c r="B241" s="31"/>
      <c r="C241" s="31"/>
      <c r="D241" s="31"/>
      <c r="E241" s="34"/>
      <c r="F241" s="38" t="str">
        <f aca="false">IF(M229=1,IF(N(E241)&gt;0,"✔ انقبض — الأسبوع مقفول","⏳ لسا ما انقبض"),"")</f>
        <v/>
      </c>
      <c r="G241" s="38"/>
      <c r="H241" s="38"/>
      <c r="I241" s="38"/>
      <c r="M241" s="19" t="n">
        <f aca="false">$M$229</f>
        <v>0</v>
      </c>
      <c r="Q241" s="19" t="n">
        <f aca="false">IF(N(E241)&gt;0,1,0)</f>
        <v>0</v>
      </c>
      <c r="S241" s="0" t="n">
        <v>17</v>
      </c>
    </row>
    <row r="242" customFormat="false" ht="9.75" hidden="false" customHeight="true" outlineLevel="0" collapsed="false">
      <c r="M242" s="19" t="n">
        <f aca="false">$M$229</f>
        <v>0</v>
      </c>
      <c r="Q242" s="19" t="n">
        <f aca="false">IF(N(E241)&gt;0,1,0)</f>
        <v>0</v>
      </c>
      <c r="S242" s="0" t="n">
        <v>17</v>
      </c>
      <c r="T242" s="0" t="n">
        <v>2</v>
      </c>
    </row>
    <row r="243" customFormat="false" ht="33.75" hidden="false" customHeight="true" outlineLevel="0" collapsed="false">
      <c r="A243" s="17" t="str">
        <f aca="false">IF(18&lt;=NW,TEXT(DAY(WEEK_ONE+119),"00")&amp;"/"&amp;TEXT(MONTH(WEEK_ONE+119),"00")&amp;"/"&amp;YEAR(WEEK_ONE+119)&amp;"  -  "&amp;TEXT(DAY(WEEK_ONE+125),"00")&amp;"/"&amp;TEXT(MONTH(WEEK_ONE+125),"00")&amp;"/"&amp;YEAR(WEEK_ONE+125)&amp;"   ·   الأسبوع 18"&amp;IF(18&lt;START_O,"   (قبل أسبوع البداية — ما بينحسب)",""),"ما في أسبوع 18 هالسنة")</f>
        <v>25/04/2026  -  01/05/2026   ·   الأسبوع 18   (قبل أسبوع البداية — ما بينحسب)</v>
      </c>
      <c r="B243" s="17"/>
      <c r="C243" s="17"/>
      <c r="D243" s="17"/>
      <c r="E243" s="17"/>
      <c r="F243" s="17"/>
      <c r="G243" s="17"/>
      <c r="H243" s="17"/>
      <c r="I243" s="17"/>
      <c r="L243" s="18" t="n">
        <f aca="false">IF(18&lt;=NW,WEEK_ONE+125,"")</f>
        <v>46143</v>
      </c>
      <c r="M243" s="19" t="n">
        <f aca="false">IF(AND(18&lt;=NW,18&gt;=START_O),1,0)</f>
        <v>0</v>
      </c>
      <c r="N243" s="20" t="n">
        <f aca="false">IFERROR(INDEX(RT_OMR,MATCH(L243,RT_K,1)),INDEX(RT_OMR,1))</f>
        <v>1.25</v>
      </c>
      <c r="O243" s="20" t="n">
        <f aca="false">IFERROR(INDEX(RT_OT,MATCH(L243,RT_K,1)),INDEX(RT_OT,1))</f>
        <v>1.5</v>
      </c>
      <c r="P243" s="20" t="n">
        <f aca="false">IFERROR(INDEX(RT_GYP,MATCH(L243,RT_K,1)),INDEX(RT_GYP,1))</f>
        <v>2.5</v>
      </c>
      <c r="Q243" s="19" t="n">
        <f aca="false">IF(N(E255)&gt;0,1,0)</f>
        <v>0</v>
      </c>
      <c r="R243" s="0" t="n">
        <v>18</v>
      </c>
      <c r="S243" s="0" t="n">
        <v>18</v>
      </c>
      <c r="U243" s="19" t="n">
        <f aca="false">IF(M243=1,SUM(E245:E251),0)</f>
        <v>0</v>
      </c>
      <c r="V243" s="19" t="n">
        <f aca="false">SUM(H245:H251)</f>
        <v>0</v>
      </c>
    </row>
    <row r="244" customFormat="false" ht="39.75" hidden="false" customHeight="true" outlineLevel="0" collapsed="false">
      <c r="A244" s="21" t="s">
        <v>18</v>
      </c>
      <c r="B244" s="21" t="s">
        <v>19</v>
      </c>
      <c r="C244" s="21" t="s">
        <v>20</v>
      </c>
      <c r="D244" s="21" t="s">
        <v>21</v>
      </c>
      <c r="E244" s="21" t="s">
        <v>22</v>
      </c>
      <c r="F244" s="21" t="s">
        <v>23</v>
      </c>
      <c r="G244" s="21" t="s">
        <v>24</v>
      </c>
      <c r="H244" s="21" t="s">
        <v>25</v>
      </c>
      <c r="I244" s="21" t="s">
        <v>26</v>
      </c>
      <c r="M244" s="19" t="n">
        <f aca="false">$M$243</f>
        <v>0</v>
      </c>
      <c r="Q244" s="19" t="n">
        <f aca="false">IF(N(E255)&gt;0,1,0)</f>
        <v>0</v>
      </c>
      <c r="S244" s="0" t="n">
        <v>18</v>
      </c>
    </row>
    <row r="245" customFormat="false" ht="15" hidden="false" customHeight="false" outlineLevel="0" collapsed="false">
      <c r="A245" s="22" t="n">
        <f aca="false">IF(18&lt;=NW,WEEK_ONE+119,"")</f>
        <v>46137</v>
      </c>
      <c r="B245" s="23" t="str">
        <f aca="false">IF(A245="","",CHOOSE(WEEKDAY(A245,1),"الأحد","الاثنين","الثلاثاء","الأربعاء","الخميس","الجمعة","السبت"))</f>
        <v>السبت</v>
      </c>
      <c r="C245" s="24"/>
      <c r="D245" s="24"/>
      <c r="E245" s="25" t="str">
        <f aca="false">IF(OR(M245=0,K245="",L245=""),"",MOD(L245-K245,1))</f>
        <v/>
      </c>
      <c r="F245" s="25" t="str">
        <f aca="false">IF(OR(E245="",M245=0),"",IF(WEEKDAY(A245,1)=6,E245,MIN(E245,MAX(0,MIN(IF(L245&lt;K245,L245+1,L245),OMR_OT_AT)-K245))))</f>
        <v/>
      </c>
      <c r="G245" s="25" t="str">
        <f aca="false">IF(OR(E245="",M245=0),"",MAX(0,E245-F245))</f>
        <v/>
      </c>
      <c r="H245" s="26" t="str">
        <f aca="false">IF(OR(E245="",M245=0),"",ROUND((F245*$N$243+G245*$O$243)*24,3))</f>
        <v/>
      </c>
      <c r="I245" s="27"/>
      <c r="K245" s="28" t="str">
        <f aca="false">IF(OR(M245=0,C245=""),"",IF(ISNUMBER(C245),MOD(C245,1),IFERROR(INDEX(القوائم!$B$1:$B$288,MATCH(TRIM(C245),القوائم!$A$1:$A$288,0)),IFERROR(MOD(TIMEVALUE(C245),1),""))))</f>
        <v/>
      </c>
      <c r="L245" s="28" t="str">
        <f aca="false">IF(OR(M245=0,D245=""),"",IF(ISNUMBER(D245),MOD(D245,1),IFERROR(INDEX(القوائم!$B$1:$B$288,MATCH(TRIM(D245),القوائم!$A$1:$A$288,0)),IFERROR(MOD(TIMEVALUE(D245),1),""))))</f>
        <v/>
      </c>
      <c r="M245" s="19" t="n">
        <f aca="false">$M$243</f>
        <v>0</v>
      </c>
      <c r="Q245" s="19" t="n">
        <f aca="false">IF(N(E255)&gt;0,1,0)</f>
        <v>0</v>
      </c>
      <c r="S245" s="0" t="n">
        <v>18</v>
      </c>
    </row>
    <row r="246" customFormat="false" ht="15" hidden="false" customHeight="false" outlineLevel="0" collapsed="false">
      <c r="A246" s="22" t="n">
        <f aca="false">IF(18&lt;=NW,WEEK_ONE+120,"")</f>
        <v>46138</v>
      </c>
      <c r="B246" s="23" t="str">
        <f aca="false">IF(A246="","",CHOOSE(WEEKDAY(A246,1),"الأحد","الاثنين","الثلاثاء","الأربعاء","الخميس","الجمعة","السبت"))</f>
        <v>الأحد</v>
      </c>
      <c r="C246" s="24"/>
      <c r="D246" s="24"/>
      <c r="E246" s="25" t="str">
        <f aca="false">IF(OR(M246=0,K246="",L246=""),"",MOD(L246-K246,1))</f>
        <v/>
      </c>
      <c r="F246" s="25" t="str">
        <f aca="false">IF(OR(E246="",M246=0),"",IF(WEEKDAY(A246,1)=6,E246,MIN(E246,MAX(0,MIN(IF(L246&lt;K246,L246+1,L246),OMR_OT_AT)-K246))))</f>
        <v/>
      </c>
      <c r="G246" s="25" t="str">
        <f aca="false">IF(OR(E246="",M246=0),"",MAX(0,E246-F246))</f>
        <v/>
      </c>
      <c r="H246" s="26" t="str">
        <f aca="false">IF(OR(E246="",M246=0),"",ROUND((F246*$N$243+G246*$O$243)*24,3))</f>
        <v/>
      </c>
      <c r="I246" s="27"/>
      <c r="K246" s="28" t="str">
        <f aca="false">IF(OR(M246=0,C246=""),"",IF(ISNUMBER(C246),MOD(C246,1),IFERROR(INDEX(القوائم!$B$1:$B$288,MATCH(TRIM(C246),القوائم!$A$1:$A$288,0)),IFERROR(MOD(TIMEVALUE(C246),1),""))))</f>
        <v/>
      </c>
      <c r="L246" s="28" t="str">
        <f aca="false">IF(OR(M246=0,D246=""),"",IF(ISNUMBER(D246),MOD(D246,1),IFERROR(INDEX(القوائم!$B$1:$B$288,MATCH(TRIM(D246),القوائم!$A$1:$A$288,0)),IFERROR(MOD(TIMEVALUE(D246),1),""))))</f>
        <v/>
      </c>
      <c r="M246" s="19" t="n">
        <f aca="false">$M$243</f>
        <v>0</v>
      </c>
      <c r="Q246" s="19" t="n">
        <f aca="false">IF(N(E255)&gt;0,1,0)</f>
        <v>0</v>
      </c>
      <c r="S246" s="0" t="n">
        <v>18</v>
      </c>
    </row>
    <row r="247" customFormat="false" ht="15" hidden="false" customHeight="false" outlineLevel="0" collapsed="false">
      <c r="A247" s="22" t="n">
        <f aca="false">IF(18&lt;=NW,WEEK_ONE+121,"")</f>
        <v>46139</v>
      </c>
      <c r="B247" s="23" t="str">
        <f aca="false">IF(A247="","",CHOOSE(WEEKDAY(A247,1),"الأحد","الاثنين","الثلاثاء","الأربعاء","الخميس","الجمعة","السبت"))</f>
        <v>الاثنين</v>
      </c>
      <c r="C247" s="24"/>
      <c r="D247" s="24"/>
      <c r="E247" s="25" t="str">
        <f aca="false">IF(OR(M247=0,K247="",L247=""),"",MOD(L247-K247,1))</f>
        <v/>
      </c>
      <c r="F247" s="25" t="str">
        <f aca="false">IF(OR(E247="",M247=0),"",IF(WEEKDAY(A247,1)=6,E247,MIN(E247,MAX(0,MIN(IF(L247&lt;K247,L247+1,L247),OMR_OT_AT)-K247))))</f>
        <v/>
      </c>
      <c r="G247" s="25" t="str">
        <f aca="false">IF(OR(E247="",M247=0),"",MAX(0,E247-F247))</f>
        <v/>
      </c>
      <c r="H247" s="26" t="str">
        <f aca="false">IF(OR(E247="",M247=0),"",ROUND((F247*$N$243+G247*$O$243)*24,3))</f>
        <v/>
      </c>
      <c r="I247" s="27"/>
      <c r="K247" s="28" t="str">
        <f aca="false">IF(OR(M247=0,C247=""),"",IF(ISNUMBER(C247),MOD(C247,1),IFERROR(INDEX(القوائم!$B$1:$B$288,MATCH(TRIM(C247),القوائم!$A$1:$A$288,0)),IFERROR(MOD(TIMEVALUE(C247),1),""))))</f>
        <v/>
      </c>
      <c r="L247" s="28" t="str">
        <f aca="false">IF(OR(M247=0,D247=""),"",IF(ISNUMBER(D247),MOD(D247,1),IFERROR(INDEX(القوائم!$B$1:$B$288,MATCH(TRIM(D247),القوائم!$A$1:$A$288,0)),IFERROR(MOD(TIMEVALUE(D247),1),""))))</f>
        <v/>
      </c>
      <c r="M247" s="19" t="n">
        <f aca="false">$M$243</f>
        <v>0</v>
      </c>
      <c r="Q247" s="19" t="n">
        <f aca="false">IF(N(E255)&gt;0,1,0)</f>
        <v>0</v>
      </c>
      <c r="S247" s="0" t="n">
        <v>18</v>
      </c>
    </row>
    <row r="248" customFormat="false" ht="15" hidden="false" customHeight="false" outlineLevel="0" collapsed="false">
      <c r="A248" s="22" t="n">
        <f aca="false">IF(18&lt;=NW,WEEK_ONE+122,"")</f>
        <v>46140</v>
      </c>
      <c r="B248" s="23" t="str">
        <f aca="false">IF(A248="","",CHOOSE(WEEKDAY(A248,1),"الأحد","الاثنين","الثلاثاء","الأربعاء","الخميس","الجمعة","السبت"))</f>
        <v>الثلاثاء</v>
      </c>
      <c r="C248" s="24"/>
      <c r="D248" s="24"/>
      <c r="E248" s="25" t="str">
        <f aca="false">IF(OR(M248=0,K248="",L248=""),"",MOD(L248-K248,1))</f>
        <v/>
      </c>
      <c r="F248" s="25" t="str">
        <f aca="false">IF(OR(E248="",M248=0),"",IF(WEEKDAY(A248,1)=6,E248,MIN(E248,MAX(0,MIN(IF(L248&lt;K248,L248+1,L248),OMR_OT_AT)-K248))))</f>
        <v/>
      </c>
      <c r="G248" s="25" t="str">
        <f aca="false">IF(OR(E248="",M248=0),"",MAX(0,E248-F248))</f>
        <v/>
      </c>
      <c r="H248" s="26" t="str">
        <f aca="false">IF(OR(E248="",M248=0),"",ROUND((F248*$N$243+G248*$O$243)*24,3))</f>
        <v/>
      </c>
      <c r="I248" s="27"/>
      <c r="K248" s="28" t="str">
        <f aca="false">IF(OR(M248=0,C248=""),"",IF(ISNUMBER(C248),MOD(C248,1),IFERROR(INDEX(القوائم!$B$1:$B$288,MATCH(TRIM(C248),القوائم!$A$1:$A$288,0)),IFERROR(MOD(TIMEVALUE(C248),1),""))))</f>
        <v/>
      </c>
      <c r="L248" s="28" t="str">
        <f aca="false">IF(OR(M248=0,D248=""),"",IF(ISNUMBER(D248),MOD(D248,1),IFERROR(INDEX(القوائم!$B$1:$B$288,MATCH(TRIM(D248),القوائم!$A$1:$A$288,0)),IFERROR(MOD(TIMEVALUE(D248),1),""))))</f>
        <v/>
      </c>
      <c r="M248" s="19" t="n">
        <f aca="false">$M$243</f>
        <v>0</v>
      </c>
      <c r="Q248" s="19" t="n">
        <f aca="false">IF(N(E255)&gt;0,1,0)</f>
        <v>0</v>
      </c>
      <c r="S248" s="0" t="n">
        <v>18</v>
      </c>
    </row>
    <row r="249" customFormat="false" ht="15" hidden="false" customHeight="false" outlineLevel="0" collapsed="false">
      <c r="A249" s="22" t="n">
        <f aca="false">IF(18&lt;=NW,WEEK_ONE+123,"")</f>
        <v>46141</v>
      </c>
      <c r="B249" s="23" t="str">
        <f aca="false">IF(A249="","",CHOOSE(WEEKDAY(A249,1),"الأحد","الاثنين","الثلاثاء","الأربعاء","الخميس","الجمعة","السبت"))</f>
        <v>الأربعاء</v>
      </c>
      <c r="C249" s="24"/>
      <c r="D249" s="24"/>
      <c r="E249" s="25" t="str">
        <f aca="false">IF(OR(M249=0,K249="",L249=""),"",MOD(L249-K249,1))</f>
        <v/>
      </c>
      <c r="F249" s="25" t="str">
        <f aca="false">IF(OR(E249="",M249=0),"",IF(WEEKDAY(A249,1)=6,E249,MIN(E249,MAX(0,MIN(IF(L249&lt;K249,L249+1,L249),OMR_OT_AT)-K249))))</f>
        <v/>
      </c>
      <c r="G249" s="25" t="str">
        <f aca="false">IF(OR(E249="",M249=0),"",MAX(0,E249-F249))</f>
        <v/>
      </c>
      <c r="H249" s="26" t="str">
        <f aca="false">IF(OR(E249="",M249=0),"",ROUND((F249*$N$243+G249*$O$243)*24,3))</f>
        <v/>
      </c>
      <c r="I249" s="27"/>
      <c r="K249" s="28" t="str">
        <f aca="false">IF(OR(M249=0,C249=""),"",IF(ISNUMBER(C249),MOD(C249,1),IFERROR(INDEX(القوائم!$B$1:$B$288,MATCH(TRIM(C249),القوائم!$A$1:$A$288,0)),IFERROR(MOD(TIMEVALUE(C249),1),""))))</f>
        <v/>
      </c>
      <c r="L249" s="28" t="str">
        <f aca="false">IF(OR(M249=0,D249=""),"",IF(ISNUMBER(D249),MOD(D249,1),IFERROR(INDEX(القوائم!$B$1:$B$288,MATCH(TRIM(D249),القوائم!$A$1:$A$288,0)),IFERROR(MOD(TIMEVALUE(D249),1),""))))</f>
        <v/>
      </c>
      <c r="M249" s="19" t="n">
        <f aca="false">$M$243</f>
        <v>0</v>
      </c>
      <c r="Q249" s="19" t="n">
        <f aca="false">IF(N(E255)&gt;0,1,0)</f>
        <v>0</v>
      </c>
      <c r="S249" s="0" t="n">
        <v>18</v>
      </c>
    </row>
    <row r="250" customFormat="false" ht="15" hidden="false" customHeight="false" outlineLevel="0" collapsed="false">
      <c r="A250" s="22" t="n">
        <f aca="false">IF(18&lt;=NW,WEEK_ONE+124,"")</f>
        <v>46142</v>
      </c>
      <c r="B250" s="23" t="str">
        <f aca="false">IF(A250="","",CHOOSE(WEEKDAY(A250,1),"الأحد","الاثنين","الثلاثاء","الأربعاء","الخميس","الجمعة","السبت"))</f>
        <v>الخميس</v>
      </c>
      <c r="C250" s="24"/>
      <c r="D250" s="24"/>
      <c r="E250" s="25" t="str">
        <f aca="false">IF(OR(M250=0,K250="",L250=""),"",MOD(L250-K250,1))</f>
        <v/>
      </c>
      <c r="F250" s="25" t="str">
        <f aca="false">IF(OR(E250="",M250=0),"",IF(WEEKDAY(A250,1)=6,E250,MIN(E250,MAX(0,MIN(IF(L250&lt;K250,L250+1,L250),OMR_OT_AT)-K250))))</f>
        <v/>
      </c>
      <c r="G250" s="25" t="str">
        <f aca="false">IF(OR(E250="",M250=0),"",MAX(0,E250-F250))</f>
        <v/>
      </c>
      <c r="H250" s="26" t="str">
        <f aca="false">IF(OR(E250="",M250=0),"",ROUND((F250*$N$243+G250*$O$243)*24,3))</f>
        <v/>
      </c>
      <c r="I250" s="27"/>
      <c r="K250" s="28" t="str">
        <f aca="false">IF(OR(M250=0,C250=""),"",IF(ISNUMBER(C250),MOD(C250,1),IFERROR(INDEX(القوائم!$B$1:$B$288,MATCH(TRIM(C250),القوائم!$A$1:$A$288,0)),IFERROR(MOD(TIMEVALUE(C250),1),""))))</f>
        <v/>
      </c>
      <c r="L250" s="28" t="str">
        <f aca="false">IF(OR(M250=0,D250=""),"",IF(ISNUMBER(D250),MOD(D250,1),IFERROR(INDEX(القوائم!$B$1:$B$288,MATCH(TRIM(D250),القوائم!$A$1:$A$288,0)),IFERROR(MOD(TIMEVALUE(D250),1),""))))</f>
        <v/>
      </c>
      <c r="M250" s="19" t="n">
        <f aca="false">$M$243</f>
        <v>0</v>
      </c>
      <c r="Q250" s="19" t="n">
        <f aca="false">IF(N(E255)&gt;0,1,0)</f>
        <v>0</v>
      </c>
      <c r="S250" s="0" t="n">
        <v>18</v>
      </c>
    </row>
    <row r="251" customFormat="false" ht="15" hidden="false" customHeight="false" outlineLevel="0" collapsed="false">
      <c r="A251" s="29" t="n">
        <f aca="false">IF(18&lt;=NW,WEEK_ONE+125,"")</f>
        <v>46143</v>
      </c>
      <c r="B251" s="30" t="str">
        <f aca="false">IF(A251="","",CHOOSE(WEEKDAY(A251,1),"الأحد","الاثنين","الثلاثاء","الأربعاء","الخميس","الجمعة","السبت"))</f>
        <v>الجمعة</v>
      </c>
      <c r="C251" s="24"/>
      <c r="D251" s="24"/>
      <c r="E251" s="25" t="str">
        <f aca="false">IF(OR(M251=0,K251="",L251=""),"",MOD(L251-K251,1))</f>
        <v/>
      </c>
      <c r="F251" s="25" t="str">
        <f aca="false">IF(OR(E251="",M251=0),"",IF(WEEKDAY(A251,1)=6,E251,MIN(E251,MAX(0,MIN(IF(L251&lt;K251,L251+1,L251),OMR_OT_AT)-K251))))</f>
        <v/>
      </c>
      <c r="G251" s="25" t="str">
        <f aca="false">IF(OR(E251="",M251=0),"",MAX(0,E251-F251))</f>
        <v/>
      </c>
      <c r="H251" s="26" t="str">
        <f aca="false">IF(OR(E251="",M251=0),"",ROUND((F251*$N$243+G251*$O$243)*24,3))</f>
        <v/>
      </c>
      <c r="I251" s="27"/>
      <c r="K251" s="28" t="str">
        <f aca="false">IF(OR(M251=0,C251=""),"",IF(ISNUMBER(C251),MOD(C251,1),IFERROR(INDEX(القوائم!$B$1:$B$288,MATCH(TRIM(C251),القوائم!$A$1:$A$288,0)),IFERROR(MOD(TIMEVALUE(C251),1),""))))</f>
        <v/>
      </c>
      <c r="L251" s="28" t="str">
        <f aca="false">IF(OR(M251=0,D251=""),"",IF(ISNUMBER(D251),MOD(D251,1),IFERROR(INDEX(القوائم!$B$1:$B$288,MATCH(TRIM(D251),القوائم!$A$1:$A$288,0)),IFERROR(MOD(TIMEVALUE(D251),1),""))))</f>
        <v/>
      </c>
      <c r="M251" s="19" t="n">
        <f aca="false">$M$243</f>
        <v>0</v>
      </c>
      <c r="Q251" s="19" t="n">
        <f aca="false">IF(N(E255)&gt;0,1,0)</f>
        <v>0</v>
      </c>
      <c r="S251" s="0" t="n">
        <v>18</v>
      </c>
    </row>
    <row r="252" customFormat="false" ht="15" hidden="false" customHeight="false" outlineLevel="0" collapsed="false">
      <c r="A252" s="31" t="str">
        <f aca="false">IF(M243=1,"ساعات تحميل الجبسمبورد بهالأسبوع ←","")</f>
        <v/>
      </c>
      <c r="B252" s="31"/>
      <c r="C252" s="31"/>
      <c r="D252" s="31"/>
      <c r="E252" s="32"/>
      <c r="F252" s="33" t="str">
        <f aca="false">IF(M243=1,"كل ساعة تحميل = "&amp;TEXT($P$243,"0.000")&amp;" دينار (منها "&amp;TEXT($N$243,"0.000")&amp;" محسوبة أصلاً بساعات اليوم)","")</f>
        <v/>
      </c>
      <c r="G252" s="33"/>
      <c r="H252" s="33"/>
      <c r="I252" s="33"/>
      <c r="M252" s="19" t="n">
        <f aca="false">$M$243</f>
        <v>0</v>
      </c>
      <c r="Q252" s="19" t="n">
        <f aca="false">IF(N(E255)&gt;0,1,0)</f>
        <v>0</v>
      </c>
      <c r="S252" s="0" t="n">
        <v>18</v>
      </c>
    </row>
    <row r="253" customFormat="false" ht="15" hidden="false" customHeight="false" outlineLevel="0" collapsed="false">
      <c r="A253" s="31" t="str">
        <f aca="false">IF(M243=1,"إكرامية الأسبوع (دينار) ←","")</f>
        <v/>
      </c>
      <c r="B253" s="31"/>
      <c r="C253" s="31"/>
      <c r="D253" s="31"/>
      <c r="E253" s="34"/>
      <c r="F253" s="35"/>
      <c r="G253" s="35"/>
      <c r="H253" s="35"/>
      <c r="I253" s="35"/>
      <c r="M253" s="19" t="n">
        <f aca="false">$M$243</f>
        <v>0</v>
      </c>
      <c r="Q253" s="19" t="n">
        <f aca="false">IF(N(E255)&gt;0,1,0)</f>
        <v>0</v>
      </c>
      <c r="S253" s="0" t="n">
        <v>18</v>
      </c>
    </row>
    <row r="254" customFormat="false" ht="36" hidden="false" customHeight="true" outlineLevel="0" collapsed="false">
      <c r="A254" s="36" t="str">
        <f aca="false">IF(M243=1,"المستحق النهائي للأسبوع","")</f>
        <v/>
      </c>
      <c r="B254" s="36"/>
      <c r="C254" s="36"/>
      <c r="D254" s="36"/>
      <c r="E254" s="36"/>
      <c r="F254" s="36"/>
      <c r="G254" s="36"/>
      <c r="H254" s="11" t="str">
        <f aca="false">IF(M243=1,ROUND(N($V$243)+N(E252)*($P$243-$N$243)+N(E253),3),"")</f>
        <v/>
      </c>
      <c r="I254" s="37"/>
      <c r="M254" s="19" t="n">
        <f aca="false">$M$243</f>
        <v>0</v>
      </c>
      <c r="Q254" s="19" t="n">
        <f aca="false">IF(N(E255)&gt;0,1,0)</f>
        <v>0</v>
      </c>
      <c r="S254" s="0" t="n">
        <v>18</v>
      </c>
      <c r="T254" s="0" t="n">
        <v>1</v>
      </c>
    </row>
    <row r="255" customFormat="false" ht="25.5" hidden="false" customHeight="true" outlineLevel="0" collapsed="false">
      <c r="A255" s="31" t="str">
        <f aca="false">IF(M243=1,"المدفوع (دينار) ←","")</f>
        <v/>
      </c>
      <c r="B255" s="31"/>
      <c r="C255" s="31"/>
      <c r="D255" s="31"/>
      <c r="E255" s="34"/>
      <c r="F255" s="38" t="str">
        <f aca="false">IF(M243=1,IF(N(E255)&gt;0,"✔ انقبض — الأسبوع مقفول","⏳ لسا ما انقبض"),"")</f>
        <v/>
      </c>
      <c r="G255" s="38"/>
      <c r="H255" s="38"/>
      <c r="I255" s="38"/>
      <c r="M255" s="19" t="n">
        <f aca="false">$M$243</f>
        <v>0</v>
      </c>
      <c r="Q255" s="19" t="n">
        <f aca="false">IF(N(E255)&gt;0,1,0)</f>
        <v>0</v>
      </c>
      <c r="S255" s="0" t="n">
        <v>18</v>
      </c>
    </row>
    <row r="256" customFormat="false" ht="9.75" hidden="false" customHeight="true" outlineLevel="0" collapsed="false">
      <c r="M256" s="19" t="n">
        <f aca="false">$M$243</f>
        <v>0</v>
      </c>
      <c r="Q256" s="19" t="n">
        <f aca="false">IF(N(E255)&gt;0,1,0)</f>
        <v>0</v>
      </c>
      <c r="S256" s="0" t="n">
        <v>18</v>
      </c>
      <c r="T256" s="0" t="n">
        <v>2</v>
      </c>
    </row>
    <row r="257" customFormat="false" ht="33.75" hidden="false" customHeight="true" outlineLevel="0" collapsed="false">
      <c r="A257" s="17" t="str">
        <f aca="false">IF(19&lt;=NW,TEXT(DAY(WEEK_ONE+126),"00")&amp;"/"&amp;TEXT(MONTH(WEEK_ONE+126),"00")&amp;"/"&amp;YEAR(WEEK_ONE+126)&amp;"  -  "&amp;TEXT(DAY(WEEK_ONE+132),"00")&amp;"/"&amp;TEXT(MONTH(WEEK_ONE+132),"00")&amp;"/"&amp;YEAR(WEEK_ONE+132)&amp;"   ·   الأسبوع 19"&amp;IF(19&lt;START_O,"   (قبل أسبوع البداية — ما بينحسب)",""),"ما في أسبوع 19 هالسنة")</f>
        <v>02/05/2026  -  08/05/2026   ·   الأسبوع 19   (قبل أسبوع البداية — ما بينحسب)</v>
      </c>
      <c r="B257" s="17"/>
      <c r="C257" s="17"/>
      <c r="D257" s="17"/>
      <c r="E257" s="17"/>
      <c r="F257" s="17"/>
      <c r="G257" s="17"/>
      <c r="H257" s="17"/>
      <c r="I257" s="17"/>
      <c r="L257" s="18" t="n">
        <f aca="false">IF(19&lt;=NW,WEEK_ONE+132,"")</f>
        <v>46150</v>
      </c>
      <c r="M257" s="19" t="n">
        <f aca="false">IF(AND(19&lt;=NW,19&gt;=START_O),1,0)</f>
        <v>0</v>
      </c>
      <c r="N257" s="20" t="n">
        <f aca="false">IFERROR(INDEX(RT_OMR,MATCH(L257,RT_K,1)),INDEX(RT_OMR,1))</f>
        <v>1.25</v>
      </c>
      <c r="O257" s="20" t="n">
        <f aca="false">IFERROR(INDEX(RT_OT,MATCH(L257,RT_K,1)),INDEX(RT_OT,1))</f>
        <v>1.5</v>
      </c>
      <c r="P257" s="20" t="n">
        <f aca="false">IFERROR(INDEX(RT_GYP,MATCH(L257,RT_K,1)),INDEX(RT_GYP,1))</f>
        <v>2.5</v>
      </c>
      <c r="Q257" s="19" t="n">
        <f aca="false">IF(N(E269)&gt;0,1,0)</f>
        <v>0</v>
      </c>
      <c r="R257" s="0" t="n">
        <v>19</v>
      </c>
      <c r="S257" s="0" t="n">
        <v>19</v>
      </c>
      <c r="U257" s="19" t="n">
        <f aca="false">IF(M257=1,SUM(E259:E265),0)</f>
        <v>0</v>
      </c>
      <c r="V257" s="19" t="n">
        <f aca="false">SUM(H259:H265)</f>
        <v>0</v>
      </c>
    </row>
    <row r="258" customFormat="false" ht="39.75" hidden="false" customHeight="true" outlineLevel="0" collapsed="false">
      <c r="A258" s="21" t="s">
        <v>18</v>
      </c>
      <c r="B258" s="21" t="s">
        <v>19</v>
      </c>
      <c r="C258" s="21" t="s">
        <v>20</v>
      </c>
      <c r="D258" s="21" t="s">
        <v>21</v>
      </c>
      <c r="E258" s="21" t="s">
        <v>22</v>
      </c>
      <c r="F258" s="21" t="s">
        <v>23</v>
      </c>
      <c r="G258" s="21" t="s">
        <v>24</v>
      </c>
      <c r="H258" s="21" t="s">
        <v>25</v>
      </c>
      <c r="I258" s="21" t="s">
        <v>26</v>
      </c>
      <c r="M258" s="19" t="n">
        <f aca="false">$M$257</f>
        <v>0</v>
      </c>
      <c r="Q258" s="19" t="n">
        <f aca="false">IF(N(E269)&gt;0,1,0)</f>
        <v>0</v>
      </c>
      <c r="S258" s="0" t="n">
        <v>19</v>
      </c>
    </row>
    <row r="259" customFormat="false" ht="15" hidden="false" customHeight="false" outlineLevel="0" collapsed="false">
      <c r="A259" s="22" t="n">
        <f aca="false">IF(19&lt;=NW,WEEK_ONE+126,"")</f>
        <v>46144</v>
      </c>
      <c r="B259" s="23" t="str">
        <f aca="false">IF(A259="","",CHOOSE(WEEKDAY(A259,1),"الأحد","الاثنين","الثلاثاء","الأربعاء","الخميس","الجمعة","السبت"))</f>
        <v>السبت</v>
      </c>
      <c r="C259" s="24"/>
      <c r="D259" s="24"/>
      <c r="E259" s="25" t="str">
        <f aca="false">IF(OR(M259=0,K259="",L259=""),"",MOD(L259-K259,1))</f>
        <v/>
      </c>
      <c r="F259" s="25" t="str">
        <f aca="false">IF(OR(E259="",M259=0),"",IF(WEEKDAY(A259,1)=6,E259,MIN(E259,MAX(0,MIN(IF(L259&lt;K259,L259+1,L259),OMR_OT_AT)-K259))))</f>
        <v/>
      </c>
      <c r="G259" s="25" t="str">
        <f aca="false">IF(OR(E259="",M259=0),"",MAX(0,E259-F259))</f>
        <v/>
      </c>
      <c r="H259" s="26" t="str">
        <f aca="false">IF(OR(E259="",M259=0),"",ROUND((F259*$N$257+G259*$O$257)*24,3))</f>
        <v/>
      </c>
      <c r="I259" s="27"/>
      <c r="K259" s="28" t="str">
        <f aca="false">IF(OR(M259=0,C259=""),"",IF(ISNUMBER(C259),MOD(C259,1),IFERROR(INDEX(القوائم!$B$1:$B$288,MATCH(TRIM(C259),القوائم!$A$1:$A$288,0)),IFERROR(MOD(TIMEVALUE(C259),1),""))))</f>
        <v/>
      </c>
      <c r="L259" s="28" t="str">
        <f aca="false">IF(OR(M259=0,D259=""),"",IF(ISNUMBER(D259),MOD(D259,1),IFERROR(INDEX(القوائم!$B$1:$B$288,MATCH(TRIM(D259),القوائم!$A$1:$A$288,0)),IFERROR(MOD(TIMEVALUE(D259),1),""))))</f>
        <v/>
      </c>
      <c r="M259" s="19" t="n">
        <f aca="false">$M$257</f>
        <v>0</v>
      </c>
      <c r="Q259" s="19" t="n">
        <f aca="false">IF(N(E269)&gt;0,1,0)</f>
        <v>0</v>
      </c>
      <c r="S259" s="0" t="n">
        <v>19</v>
      </c>
    </row>
    <row r="260" customFormat="false" ht="15" hidden="false" customHeight="false" outlineLevel="0" collapsed="false">
      <c r="A260" s="22" t="n">
        <f aca="false">IF(19&lt;=NW,WEEK_ONE+127,"")</f>
        <v>46145</v>
      </c>
      <c r="B260" s="23" t="str">
        <f aca="false">IF(A260="","",CHOOSE(WEEKDAY(A260,1),"الأحد","الاثنين","الثلاثاء","الأربعاء","الخميس","الجمعة","السبت"))</f>
        <v>الأحد</v>
      </c>
      <c r="C260" s="24"/>
      <c r="D260" s="24"/>
      <c r="E260" s="25" t="str">
        <f aca="false">IF(OR(M260=0,K260="",L260=""),"",MOD(L260-K260,1))</f>
        <v/>
      </c>
      <c r="F260" s="25" t="str">
        <f aca="false">IF(OR(E260="",M260=0),"",IF(WEEKDAY(A260,1)=6,E260,MIN(E260,MAX(0,MIN(IF(L260&lt;K260,L260+1,L260),OMR_OT_AT)-K260))))</f>
        <v/>
      </c>
      <c r="G260" s="25" t="str">
        <f aca="false">IF(OR(E260="",M260=0),"",MAX(0,E260-F260))</f>
        <v/>
      </c>
      <c r="H260" s="26" t="str">
        <f aca="false">IF(OR(E260="",M260=0),"",ROUND((F260*$N$257+G260*$O$257)*24,3))</f>
        <v/>
      </c>
      <c r="I260" s="27"/>
      <c r="K260" s="28" t="str">
        <f aca="false">IF(OR(M260=0,C260=""),"",IF(ISNUMBER(C260),MOD(C260,1),IFERROR(INDEX(القوائم!$B$1:$B$288,MATCH(TRIM(C260),القوائم!$A$1:$A$288,0)),IFERROR(MOD(TIMEVALUE(C260),1),""))))</f>
        <v/>
      </c>
      <c r="L260" s="28" t="str">
        <f aca="false">IF(OR(M260=0,D260=""),"",IF(ISNUMBER(D260),MOD(D260,1),IFERROR(INDEX(القوائم!$B$1:$B$288,MATCH(TRIM(D260),القوائم!$A$1:$A$288,0)),IFERROR(MOD(TIMEVALUE(D260),1),""))))</f>
        <v/>
      </c>
      <c r="M260" s="19" t="n">
        <f aca="false">$M$257</f>
        <v>0</v>
      </c>
      <c r="Q260" s="19" t="n">
        <f aca="false">IF(N(E269)&gt;0,1,0)</f>
        <v>0</v>
      </c>
      <c r="S260" s="0" t="n">
        <v>19</v>
      </c>
    </row>
    <row r="261" customFormat="false" ht="15" hidden="false" customHeight="false" outlineLevel="0" collapsed="false">
      <c r="A261" s="22" t="n">
        <f aca="false">IF(19&lt;=NW,WEEK_ONE+128,"")</f>
        <v>46146</v>
      </c>
      <c r="B261" s="23" t="str">
        <f aca="false">IF(A261="","",CHOOSE(WEEKDAY(A261,1),"الأحد","الاثنين","الثلاثاء","الأربعاء","الخميس","الجمعة","السبت"))</f>
        <v>الاثنين</v>
      </c>
      <c r="C261" s="24"/>
      <c r="D261" s="24"/>
      <c r="E261" s="25" t="str">
        <f aca="false">IF(OR(M261=0,K261="",L261=""),"",MOD(L261-K261,1))</f>
        <v/>
      </c>
      <c r="F261" s="25" t="str">
        <f aca="false">IF(OR(E261="",M261=0),"",IF(WEEKDAY(A261,1)=6,E261,MIN(E261,MAX(0,MIN(IF(L261&lt;K261,L261+1,L261),OMR_OT_AT)-K261))))</f>
        <v/>
      </c>
      <c r="G261" s="25" t="str">
        <f aca="false">IF(OR(E261="",M261=0),"",MAX(0,E261-F261))</f>
        <v/>
      </c>
      <c r="H261" s="26" t="str">
        <f aca="false">IF(OR(E261="",M261=0),"",ROUND((F261*$N$257+G261*$O$257)*24,3))</f>
        <v/>
      </c>
      <c r="I261" s="27"/>
      <c r="K261" s="28" t="str">
        <f aca="false">IF(OR(M261=0,C261=""),"",IF(ISNUMBER(C261),MOD(C261,1),IFERROR(INDEX(القوائم!$B$1:$B$288,MATCH(TRIM(C261),القوائم!$A$1:$A$288,0)),IFERROR(MOD(TIMEVALUE(C261),1),""))))</f>
        <v/>
      </c>
      <c r="L261" s="28" t="str">
        <f aca="false">IF(OR(M261=0,D261=""),"",IF(ISNUMBER(D261),MOD(D261,1),IFERROR(INDEX(القوائم!$B$1:$B$288,MATCH(TRIM(D261),القوائم!$A$1:$A$288,0)),IFERROR(MOD(TIMEVALUE(D261),1),""))))</f>
        <v/>
      </c>
      <c r="M261" s="19" t="n">
        <f aca="false">$M$257</f>
        <v>0</v>
      </c>
      <c r="Q261" s="19" t="n">
        <f aca="false">IF(N(E269)&gt;0,1,0)</f>
        <v>0</v>
      </c>
      <c r="S261" s="0" t="n">
        <v>19</v>
      </c>
    </row>
    <row r="262" customFormat="false" ht="15" hidden="false" customHeight="false" outlineLevel="0" collapsed="false">
      <c r="A262" s="22" t="n">
        <f aca="false">IF(19&lt;=NW,WEEK_ONE+129,"")</f>
        <v>46147</v>
      </c>
      <c r="B262" s="23" t="str">
        <f aca="false">IF(A262="","",CHOOSE(WEEKDAY(A262,1),"الأحد","الاثنين","الثلاثاء","الأربعاء","الخميس","الجمعة","السبت"))</f>
        <v>الثلاثاء</v>
      </c>
      <c r="C262" s="24"/>
      <c r="D262" s="24"/>
      <c r="E262" s="25" t="str">
        <f aca="false">IF(OR(M262=0,K262="",L262=""),"",MOD(L262-K262,1))</f>
        <v/>
      </c>
      <c r="F262" s="25" t="str">
        <f aca="false">IF(OR(E262="",M262=0),"",IF(WEEKDAY(A262,1)=6,E262,MIN(E262,MAX(0,MIN(IF(L262&lt;K262,L262+1,L262),OMR_OT_AT)-K262))))</f>
        <v/>
      </c>
      <c r="G262" s="25" t="str">
        <f aca="false">IF(OR(E262="",M262=0),"",MAX(0,E262-F262))</f>
        <v/>
      </c>
      <c r="H262" s="26" t="str">
        <f aca="false">IF(OR(E262="",M262=0),"",ROUND((F262*$N$257+G262*$O$257)*24,3))</f>
        <v/>
      </c>
      <c r="I262" s="27"/>
      <c r="K262" s="28" t="str">
        <f aca="false">IF(OR(M262=0,C262=""),"",IF(ISNUMBER(C262),MOD(C262,1),IFERROR(INDEX(القوائم!$B$1:$B$288,MATCH(TRIM(C262),القوائم!$A$1:$A$288,0)),IFERROR(MOD(TIMEVALUE(C262),1),""))))</f>
        <v/>
      </c>
      <c r="L262" s="28" t="str">
        <f aca="false">IF(OR(M262=0,D262=""),"",IF(ISNUMBER(D262),MOD(D262,1),IFERROR(INDEX(القوائم!$B$1:$B$288,MATCH(TRIM(D262),القوائم!$A$1:$A$288,0)),IFERROR(MOD(TIMEVALUE(D262),1),""))))</f>
        <v/>
      </c>
      <c r="M262" s="19" t="n">
        <f aca="false">$M$257</f>
        <v>0</v>
      </c>
      <c r="Q262" s="19" t="n">
        <f aca="false">IF(N(E269)&gt;0,1,0)</f>
        <v>0</v>
      </c>
      <c r="S262" s="0" t="n">
        <v>19</v>
      </c>
    </row>
    <row r="263" customFormat="false" ht="15" hidden="false" customHeight="false" outlineLevel="0" collapsed="false">
      <c r="A263" s="22" t="n">
        <f aca="false">IF(19&lt;=NW,WEEK_ONE+130,"")</f>
        <v>46148</v>
      </c>
      <c r="B263" s="23" t="str">
        <f aca="false">IF(A263="","",CHOOSE(WEEKDAY(A263,1),"الأحد","الاثنين","الثلاثاء","الأربعاء","الخميس","الجمعة","السبت"))</f>
        <v>الأربعاء</v>
      </c>
      <c r="C263" s="24"/>
      <c r="D263" s="24"/>
      <c r="E263" s="25" t="str">
        <f aca="false">IF(OR(M263=0,K263="",L263=""),"",MOD(L263-K263,1))</f>
        <v/>
      </c>
      <c r="F263" s="25" t="str">
        <f aca="false">IF(OR(E263="",M263=0),"",IF(WEEKDAY(A263,1)=6,E263,MIN(E263,MAX(0,MIN(IF(L263&lt;K263,L263+1,L263),OMR_OT_AT)-K263))))</f>
        <v/>
      </c>
      <c r="G263" s="25" t="str">
        <f aca="false">IF(OR(E263="",M263=0),"",MAX(0,E263-F263))</f>
        <v/>
      </c>
      <c r="H263" s="26" t="str">
        <f aca="false">IF(OR(E263="",M263=0),"",ROUND((F263*$N$257+G263*$O$257)*24,3))</f>
        <v/>
      </c>
      <c r="I263" s="27"/>
      <c r="K263" s="28" t="str">
        <f aca="false">IF(OR(M263=0,C263=""),"",IF(ISNUMBER(C263),MOD(C263,1),IFERROR(INDEX(القوائم!$B$1:$B$288,MATCH(TRIM(C263),القوائم!$A$1:$A$288,0)),IFERROR(MOD(TIMEVALUE(C263),1),""))))</f>
        <v/>
      </c>
      <c r="L263" s="28" t="str">
        <f aca="false">IF(OR(M263=0,D263=""),"",IF(ISNUMBER(D263),MOD(D263,1),IFERROR(INDEX(القوائم!$B$1:$B$288,MATCH(TRIM(D263),القوائم!$A$1:$A$288,0)),IFERROR(MOD(TIMEVALUE(D263),1),""))))</f>
        <v/>
      </c>
      <c r="M263" s="19" t="n">
        <f aca="false">$M$257</f>
        <v>0</v>
      </c>
      <c r="Q263" s="19" t="n">
        <f aca="false">IF(N(E269)&gt;0,1,0)</f>
        <v>0</v>
      </c>
      <c r="S263" s="0" t="n">
        <v>19</v>
      </c>
    </row>
    <row r="264" customFormat="false" ht="15" hidden="false" customHeight="false" outlineLevel="0" collapsed="false">
      <c r="A264" s="22" t="n">
        <f aca="false">IF(19&lt;=NW,WEEK_ONE+131,"")</f>
        <v>46149</v>
      </c>
      <c r="B264" s="23" t="str">
        <f aca="false">IF(A264="","",CHOOSE(WEEKDAY(A264,1),"الأحد","الاثنين","الثلاثاء","الأربعاء","الخميس","الجمعة","السبت"))</f>
        <v>الخميس</v>
      </c>
      <c r="C264" s="24"/>
      <c r="D264" s="24"/>
      <c r="E264" s="25" t="str">
        <f aca="false">IF(OR(M264=0,K264="",L264=""),"",MOD(L264-K264,1))</f>
        <v/>
      </c>
      <c r="F264" s="25" t="str">
        <f aca="false">IF(OR(E264="",M264=0),"",IF(WEEKDAY(A264,1)=6,E264,MIN(E264,MAX(0,MIN(IF(L264&lt;K264,L264+1,L264),OMR_OT_AT)-K264))))</f>
        <v/>
      </c>
      <c r="G264" s="25" t="str">
        <f aca="false">IF(OR(E264="",M264=0),"",MAX(0,E264-F264))</f>
        <v/>
      </c>
      <c r="H264" s="26" t="str">
        <f aca="false">IF(OR(E264="",M264=0),"",ROUND((F264*$N$257+G264*$O$257)*24,3))</f>
        <v/>
      </c>
      <c r="I264" s="27"/>
      <c r="K264" s="28" t="str">
        <f aca="false">IF(OR(M264=0,C264=""),"",IF(ISNUMBER(C264),MOD(C264,1),IFERROR(INDEX(القوائم!$B$1:$B$288,MATCH(TRIM(C264),القوائم!$A$1:$A$288,0)),IFERROR(MOD(TIMEVALUE(C264),1),""))))</f>
        <v/>
      </c>
      <c r="L264" s="28" t="str">
        <f aca="false">IF(OR(M264=0,D264=""),"",IF(ISNUMBER(D264),MOD(D264,1),IFERROR(INDEX(القوائم!$B$1:$B$288,MATCH(TRIM(D264),القوائم!$A$1:$A$288,0)),IFERROR(MOD(TIMEVALUE(D264),1),""))))</f>
        <v/>
      </c>
      <c r="M264" s="19" t="n">
        <f aca="false">$M$257</f>
        <v>0</v>
      </c>
      <c r="Q264" s="19" t="n">
        <f aca="false">IF(N(E269)&gt;0,1,0)</f>
        <v>0</v>
      </c>
      <c r="S264" s="0" t="n">
        <v>19</v>
      </c>
    </row>
    <row r="265" customFormat="false" ht="15" hidden="false" customHeight="false" outlineLevel="0" collapsed="false">
      <c r="A265" s="29" t="n">
        <f aca="false">IF(19&lt;=NW,WEEK_ONE+132,"")</f>
        <v>46150</v>
      </c>
      <c r="B265" s="30" t="str">
        <f aca="false">IF(A265="","",CHOOSE(WEEKDAY(A265,1),"الأحد","الاثنين","الثلاثاء","الأربعاء","الخميس","الجمعة","السبت"))</f>
        <v>الجمعة</v>
      </c>
      <c r="C265" s="24"/>
      <c r="D265" s="24"/>
      <c r="E265" s="25" t="str">
        <f aca="false">IF(OR(M265=0,K265="",L265=""),"",MOD(L265-K265,1))</f>
        <v/>
      </c>
      <c r="F265" s="25" t="str">
        <f aca="false">IF(OR(E265="",M265=0),"",IF(WEEKDAY(A265,1)=6,E265,MIN(E265,MAX(0,MIN(IF(L265&lt;K265,L265+1,L265),OMR_OT_AT)-K265))))</f>
        <v/>
      </c>
      <c r="G265" s="25" t="str">
        <f aca="false">IF(OR(E265="",M265=0),"",MAX(0,E265-F265))</f>
        <v/>
      </c>
      <c r="H265" s="26" t="str">
        <f aca="false">IF(OR(E265="",M265=0),"",ROUND((F265*$N$257+G265*$O$257)*24,3))</f>
        <v/>
      </c>
      <c r="I265" s="27"/>
      <c r="K265" s="28" t="str">
        <f aca="false">IF(OR(M265=0,C265=""),"",IF(ISNUMBER(C265),MOD(C265,1),IFERROR(INDEX(القوائم!$B$1:$B$288,MATCH(TRIM(C265),القوائم!$A$1:$A$288,0)),IFERROR(MOD(TIMEVALUE(C265),1),""))))</f>
        <v/>
      </c>
      <c r="L265" s="28" t="str">
        <f aca="false">IF(OR(M265=0,D265=""),"",IF(ISNUMBER(D265),MOD(D265,1),IFERROR(INDEX(القوائم!$B$1:$B$288,MATCH(TRIM(D265),القوائم!$A$1:$A$288,0)),IFERROR(MOD(TIMEVALUE(D265),1),""))))</f>
        <v/>
      </c>
      <c r="M265" s="19" t="n">
        <f aca="false">$M$257</f>
        <v>0</v>
      </c>
      <c r="Q265" s="19" t="n">
        <f aca="false">IF(N(E269)&gt;0,1,0)</f>
        <v>0</v>
      </c>
      <c r="S265" s="0" t="n">
        <v>19</v>
      </c>
    </row>
    <row r="266" customFormat="false" ht="15" hidden="false" customHeight="false" outlineLevel="0" collapsed="false">
      <c r="A266" s="31" t="str">
        <f aca="false">IF(M257=1,"ساعات تحميل الجبسمبورد بهالأسبوع ←","")</f>
        <v/>
      </c>
      <c r="B266" s="31"/>
      <c r="C266" s="31"/>
      <c r="D266" s="31"/>
      <c r="E266" s="32"/>
      <c r="F266" s="33" t="str">
        <f aca="false">IF(M257=1,"كل ساعة تحميل = "&amp;TEXT($P$257,"0.000")&amp;" دينار (منها "&amp;TEXT($N$257,"0.000")&amp;" محسوبة أصلاً بساعات اليوم)","")</f>
        <v/>
      </c>
      <c r="G266" s="33"/>
      <c r="H266" s="33"/>
      <c r="I266" s="33"/>
      <c r="M266" s="19" t="n">
        <f aca="false">$M$257</f>
        <v>0</v>
      </c>
      <c r="Q266" s="19" t="n">
        <f aca="false">IF(N(E269)&gt;0,1,0)</f>
        <v>0</v>
      </c>
      <c r="S266" s="0" t="n">
        <v>19</v>
      </c>
    </row>
    <row r="267" customFormat="false" ht="15" hidden="false" customHeight="false" outlineLevel="0" collapsed="false">
      <c r="A267" s="31" t="str">
        <f aca="false">IF(M257=1,"إكرامية الأسبوع (دينار) ←","")</f>
        <v/>
      </c>
      <c r="B267" s="31"/>
      <c r="C267" s="31"/>
      <c r="D267" s="31"/>
      <c r="E267" s="34"/>
      <c r="F267" s="35"/>
      <c r="G267" s="35"/>
      <c r="H267" s="35"/>
      <c r="I267" s="35"/>
      <c r="M267" s="19" t="n">
        <f aca="false">$M$257</f>
        <v>0</v>
      </c>
      <c r="Q267" s="19" t="n">
        <f aca="false">IF(N(E269)&gt;0,1,0)</f>
        <v>0</v>
      </c>
      <c r="S267" s="0" t="n">
        <v>19</v>
      </c>
    </row>
    <row r="268" customFormat="false" ht="36" hidden="false" customHeight="true" outlineLevel="0" collapsed="false">
      <c r="A268" s="36" t="str">
        <f aca="false">IF(M257=1,"المستحق النهائي للأسبوع","")</f>
        <v/>
      </c>
      <c r="B268" s="36"/>
      <c r="C268" s="36"/>
      <c r="D268" s="36"/>
      <c r="E268" s="36"/>
      <c r="F268" s="36"/>
      <c r="G268" s="36"/>
      <c r="H268" s="11" t="str">
        <f aca="false">IF(M257=1,ROUND(N($V$257)+N(E266)*($P$257-$N$257)+N(E267),3),"")</f>
        <v/>
      </c>
      <c r="I268" s="37"/>
      <c r="M268" s="19" t="n">
        <f aca="false">$M$257</f>
        <v>0</v>
      </c>
      <c r="Q268" s="19" t="n">
        <f aca="false">IF(N(E269)&gt;0,1,0)</f>
        <v>0</v>
      </c>
      <c r="S268" s="0" t="n">
        <v>19</v>
      </c>
      <c r="T268" s="0" t="n">
        <v>1</v>
      </c>
    </row>
    <row r="269" customFormat="false" ht="25.5" hidden="false" customHeight="true" outlineLevel="0" collapsed="false">
      <c r="A269" s="31" t="str">
        <f aca="false">IF(M257=1,"المدفوع (دينار) ←","")</f>
        <v/>
      </c>
      <c r="B269" s="31"/>
      <c r="C269" s="31"/>
      <c r="D269" s="31"/>
      <c r="E269" s="34"/>
      <c r="F269" s="38" t="str">
        <f aca="false">IF(M257=1,IF(N(E269)&gt;0,"✔ انقبض — الأسبوع مقفول","⏳ لسا ما انقبض"),"")</f>
        <v/>
      </c>
      <c r="G269" s="38"/>
      <c r="H269" s="38"/>
      <c r="I269" s="38"/>
      <c r="M269" s="19" t="n">
        <f aca="false">$M$257</f>
        <v>0</v>
      </c>
      <c r="Q269" s="19" t="n">
        <f aca="false">IF(N(E269)&gt;0,1,0)</f>
        <v>0</v>
      </c>
      <c r="S269" s="0" t="n">
        <v>19</v>
      </c>
    </row>
    <row r="270" customFormat="false" ht="9.75" hidden="false" customHeight="true" outlineLevel="0" collapsed="false">
      <c r="M270" s="19" t="n">
        <f aca="false">$M$257</f>
        <v>0</v>
      </c>
      <c r="Q270" s="19" t="n">
        <f aca="false">IF(N(E269)&gt;0,1,0)</f>
        <v>0</v>
      </c>
      <c r="S270" s="0" t="n">
        <v>19</v>
      </c>
      <c r="T270" s="0" t="n">
        <v>2</v>
      </c>
    </row>
    <row r="271" customFormat="false" ht="33.75" hidden="false" customHeight="true" outlineLevel="0" collapsed="false">
      <c r="A271" s="17" t="str">
        <f aca="false">IF(20&lt;=NW,TEXT(DAY(WEEK_ONE+133),"00")&amp;"/"&amp;TEXT(MONTH(WEEK_ONE+133),"00")&amp;"/"&amp;YEAR(WEEK_ONE+133)&amp;"  -  "&amp;TEXT(DAY(WEEK_ONE+139),"00")&amp;"/"&amp;TEXT(MONTH(WEEK_ONE+139),"00")&amp;"/"&amp;YEAR(WEEK_ONE+139)&amp;"   ·   الأسبوع 20"&amp;IF(20&lt;START_O,"   (قبل أسبوع البداية — ما بينحسب)",""),"ما في أسبوع 20 هالسنة")</f>
        <v>09/05/2026  -  15/05/2026   ·   الأسبوع 20   (قبل أسبوع البداية — ما بينحسب)</v>
      </c>
      <c r="B271" s="17"/>
      <c r="C271" s="17"/>
      <c r="D271" s="17"/>
      <c r="E271" s="17"/>
      <c r="F271" s="17"/>
      <c r="G271" s="17"/>
      <c r="H271" s="17"/>
      <c r="I271" s="17"/>
      <c r="L271" s="18" t="n">
        <f aca="false">IF(20&lt;=NW,WEEK_ONE+139,"")</f>
        <v>46157</v>
      </c>
      <c r="M271" s="19" t="n">
        <f aca="false">IF(AND(20&lt;=NW,20&gt;=START_O),1,0)</f>
        <v>0</v>
      </c>
      <c r="N271" s="20" t="n">
        <f aca="false">IFERROR(INDEX(RT_OMR,MATCH(L271,RT_K,1)),INDEX(RT_OMR,1))</f>
        <v>1.25</v>
      </c>
      <c r="O271" s="20" t="n">
        <f aca="false">IFERROR(INDEX(RT_OT,MATCH(L271,RT_K,1)),INDEX(RT_OT,1))</f>
        <v>1.5</v>
      </c>
      <c r="P271" s="20" t="n">
        <f aca="false">IFERROR(INDEX(RT_GYP,MATCH(L271,RT_K,1)),INDEX(RT_GYP,1))</f>
        <v>2.5</v>
      </c>
      <c r="Q271" s="19" t="n">
        <f aca="false">IF(N(E283)&gt;0,1,0)</f>
        <v>0</v>
      </c>
      <c r="R271" s="0" t="n">
        <v>20</v>
      </c>
      <c r="S271" s="0" t="n">
        <v>20</v>
      </c>
      <c r="U271" s="19" t="n">
        <f aca="false">IF(M271=1,SUM(E273:E279),0)</f>
        <v>0</v>
      </c>
      <c r="V271" s="19" t="n">
        <f aca="false">SUM(H273:H279)</f>
        <v>0</v>
      </c>
    </row>
    <row r="272" customFormat="false" ht="39.75" hidden="false" customHeight="true" outlineLevel="0" collapsed="false">
      <c r="A272" s="21" t="s">
        <v>18</v>
      </c>
      <c r="B272" s="21" t="s">
        <v>19</v>
      </c>
      <c r="C272" s="21" t="s">
        <v>20</v>
      </c>
      <c r="D272" s="21" t="s">
        <v>21</v>
      </c>
      <c r="E272" s="21" t="s">
        <v>22</v>
      </c>
      <c r="F272" s="21" t="s">
        <v>23</v>
      </c>
      <c r="G272" s="21" t="s">
        <v>24</v>
      </c>
      <c r="H272" s="21" t="s">
        <v>25</v>
      </c>
      <c r="I272" s="21" t="s">
        <v>26</v>
      </c>
      <c r="M272" s="19" t="n">
        <f aca="false">$M$271</f>
        <v>0</v>
      </c>
      <c r="Q272" s="19" t="n">
        <f aca="false">IF(N(E283)&gt;0,1,0)</f>
        <v>0</v>
      </c>
      <c r="S272" s="0" t="n">
        <v>20</v>
      </c>
    </row>
    <row r="273" customFormat="false" ht="15" hidden="false" customHeight="false" outlineLevel="0" collapsed="false">
      <c r="A273" s="22" t="n">
        <f aca="false">IF(20&lt;=NW,WEEK_ONE+133,"")</f>
        <v>46151</v>
      </c>
      <c r="B273" s="23" t="str">
        <f aca="false">IF(A273="","",CHOOSE(WEEKDAY(A273,1),"الأحد","الاثنين","الثلاثاء","الأربعاء","الخميس","الجمعة","السبت"))</f>
        <v>السبت</v>
      </c>
      <c r="C273" s="24"/>
      <c r="D273" s="24"/>
      <c r="E273" s="25" t="str">
        <f aca="false">IF(OR(M273=0,K273="",L273=""),"",MOD(L273-K273,1))</f>
        <v/>
      </c>
      <c r="F273" s="25" t="str">
        <f aca="false">IF(OR(E273="",M273=0),"",IF(WEEKDAY(A273,1)=6,E273,MIN(E273,MAX(0,MIN(IF(L273&lt;K273,L273+1,L273),OMR_OT_AT)-K273))))</f>
        <v/>
      </c>
      <c r="G273" s="25" t="str">
        <f aca="false">IF(OR(E273="",M273=0),"",MAX(0,E273-F273))</f>
        <v/>
      </c>
      <c r="H273" s="26" t="str">
        <f aca="false">IF(OR(E273="",M273=0),"",ROUND((F273*$N$271+G273*$O$271)*24,3))</f>
        <v/>
      </c>
      <c r="I273" s="27"/>
      <c r="K273" s="28" t="str">
        <f aca="false">IF(OR(M273=0,C273=""),"",IF(ISNUMBER(C273),MOD(C273,1),IFERROR(INDEX(القوائم!$B$1:$B$288,MATCH(TRIM(C273),القوائم!$A$1:$A$288,0)),IFERROR(MOD(TIMEVALUE(C273),1),""))))</f>
        <v/>
      </c>
      <c r="L273" s="28" t="str">
        <f aca="false">IF(OR(M273=0,D273=""),"",IF(ISNUMBER(D273),MOD(D273,1),IFERROR(INDEX(القوائم!$B$1:$B$288,MATCH(TRIM(D273),القوائم!$A$1:$A$288,0)),IFERROR(MOD(TIMEVALUE(D273),1),""))))</f>
        <v/>
      </c>
      <c r="M273" s="19" t="n">
        <f aca="false">$M$271</f>
        <v>0</v>
      </c>
      <c r="Q273" s="19" t="n">
        <f aca="false">IF(N(E283)&gt;0,1,0)</f>
        <v>0</v>
      </c>
      <c r="S273" s="0" t="n">
        <v>20</v>
      </c>
    </row>
    <row r="274" customFormat="false" ht="15" hidden="false" customHeight="false" outlineLevel="0" collapsed="false">
      <c r="A274" s="22" t="n">
        <f aca="false">IF(20&lt;=NW,WEEK_ONE+134,"")</f>
        <v>46152</v>
      </c>
      <c r="B274" s="23" t="str">
        <f aca="false">IF(A274="","",CHOOSE(WEEKDAY(A274,1),"الأحد","الاثنين","الثلاثاء","الأربعاء","الخميس","الجمعة","السبت"))</f>
        <v>الأحد</v>
      </c>
      <c r="C274" s="24"/>
      <c r="D274" s="24"/>
      <c r="E274" s="25" t="str">
        <f aca="false">IF(OR(M274=0,K274="",L274=""),"",MOD(L274-K274,1))</f>
        <v/>
      </c>
      <c r="F274" s="25" t="str">
        <f aca="false">IF(OR(E274="",M274=0),"",IF(WEEKDAY(A274,1)=6,E274,MIN(E274,MAX(0,MIN(IF(L274&lt;K274,L274+1,L274),OMR_OT_AT)-K274))))</f>
        <v/>
      </c>
      <c r="G274" s="25" t="str">
        <f aca="false">IF(OR(E274="",M274=0),"",MAX(0,E274-F274))</f>
        <v/>
      </c>
      <c r="H274" s="26" t="str">
        <f aca="false">IF(OR(E274="",M274=0),"",ROUND((F274*$N$271+G274*$O$271)*24,3))</f>
        <v/>
      </c>
      <c r="I274" s="27"/>
      <c r="K274" s="28" t="str">
        <f aca="false">IF(OR(M274=0,C274=""),"",IF(ISNUMBER(C274),MOD(C274,1),IFERROR(INDEX(القوائم!$B$1:$B$288,MATCH(TRIM(C274),القوائم!$A$1:$A$288,0)),IFERROR(MOD(TIMEVALUE(C274),1),""))))</f>
        <v/>
      </c>
      <c r="L274" s="28" t="str">
        <f aca="false">IF(OR(M274=0,D274=""),"",IF(ISNUMBER(D274),MOD(D274,1),IFERROR(INDEX(القوائم!$B$1:$B$288,MATCH(TRIM(D274),القوائم!$A$1:$A$288,0)),IFERROR(MOD(TIMEVALUE(D274),1),""))))</f>
        <v/>
      </c>
      <c r="M274" s="19" t="n">
        <f aca="false">$M$271</f>
        <v>0</v>
      </c>
      <c r="Q274" s="19" t="n">
        <f aca="false">IF(N(E283)&gt;0,1,0)</f>
        <v>0</v>
      </c>
      <c r="S274" s="0" t="n">
        <v>20</v>
      </c>
    </row>
    <row r="275" customFormat="false" ht="15" hidden="false" customHeight="false" outlineLevel="0" collapsed="false">
      <c r="A275" s="22" t="n">
        <f aca="false">IF(20&lt;=NW,WEEK_ONE+135,"")</f>
        <v>46153</v>
      </c>
      <c r="B275" s="23" t="str">
        <f aca="false">IF(A275="","",CHOOSE(WEEKDAY(A275,1),"الأحد","الاثنين","الثلاثاء","الأربعاء","الخميس","الجمعة","السبت"))</f>
        <v>الاثنين</v>
      </c>
      <c r="C275" s="24"/>
      <c r="D275" s="24"/>
      <c r="E275" s="25" t="str">
        <f aca="false">IF(OR(M275=0,K275="",L275=""),"",MOD(L275-K275,1))</f>
        <v/>
      </c>
      <c r="F275" s="25" t="str">
        <f aca="false">IF(OR(E275="",M275=0),"",IF(WEEKDAY(A275,1)=6,E275,MIN(E275,MAX(0,MIN(IF(L275&lt;K275,L275+1,L275),OMR_OT_AT)-K275))))</f>
        <v/>
      </c>
      <c r="G275" s="25" t="str">
        <f aca="false">IF(OR(E275="",M275=0),"",MAX(0,E275-F275))</f>
        <v/>
      </c>
      <c r="H275" s="26" t="str">
        <f aca="false">IF(OR(E275="",M275=0),"",ROUND((F275*$N$271+G275*$O$271)*24,3))</f>
        <v/>
      </c>
      <c r="I275" s="27"/>
      <c r="K275" s="28" t="str">
        <f aca="false">IF(OR(M275=0,C275=""),"",IF(ISNUMBER(C275),MOD(C275,1),IFERROR(INDEX(القوائم!$B$1:$B$288,MATCH(TRIM(C275),القوائم!$A$1:$A$288,0)),IFERROR(MOD(TIMEVALUE(C275),1),""))))</f>
        <v/>
      </c>
      <c r="L275" s="28" t="str">
        <f aca="false">IF(OR(M275=0,D275=""),"",IF(ISNUMBER(D275),MOD(D275,1),IFERROR(INDEX(القوائم!$B$1:$B$288,MATCH(TRIM(D275),القوائم!$A$1:$A$288,0)),IFERROR(MOD(TIMEVALUE(D275),1),""))))</f>
        <v/>
      </c>
      <c r="M275" s="19" t="n">
        <f aca="false">$M$271</f>
        <v>0</v>
      </c>
      <c r="Q275" s="19" t="n">
        <f aca="false">IF(N(E283)&gt;0,1,0)</f>
        <v>0</v>
      </c>
      <c r="S275" s="0" t="n">
        <v>20</v>
      </c>
    </row>
    <row r="276" customFormat="false" ht="15" hidden="false" customHeight="false" outlineLevel="0" collapsed="false">
      <c r="A276" s="22" t="n">
        <f aca="false">IF(20&lt;=NW,WEEK_ONE+136,"")</f>
        <v>46154</v>
      </c>
      <c r="B276" s="23" t="str">
        <f aca="false">IF(A276="","",CHOOSE(WEEKDAY(A276,1),"الأحد","الاثنين","الثلاثاء","الأربعاء","الخميس","الجمعة","السبت"))</f>
        <v>الثلاثاء</v>
      </c>
      <c r="C276" s="24"/>
      <c r="D276" s="24"/>
      <c r="E276" s="25" t="str">
        <f aca="false">IF(OR(M276=0,K276="",L276=""),"",MOD(L276-K276,1))</f>
        <v/>
      </c>
      <c r="F276" s="25" t="str">
        <f aca="false">IF(OR(E276="",M276=0),"",IF(WEEKDAY(A276,1)=6,E276,MIN(E276,MAX(0,MIN(IF(L276&lt;K276,L276+1,L276),OMR_OT_AT)-K276))))</f>
        <v/>
      </c>
      <c r="G276" s="25" t="str">
        <f aca="false">IF(OR(E276="",M276=0),"",MAX(0,E276-F276))</f>
        <v/>
      </c>
      <c r="H276" s="26" t="str">
        <f aca="false">IF(OR(E276="",M276=0),"",ROUND((F276*$N$271+G276*$O$271)*24,3))</f>
        <v/>
      </c>
      <c r="I276" s="27"/>
      <c r="K276" s="28" t="str">
        <f aca="false">IF(OR(M276=0,C276=""),"",IF(ISNUMBER(C276),MOD(C276,1),IFERROR(INDEX(القوائم!$B$1:$B$288,MATCH(TRIM(C276),القوائم!$A$1:$A$288,0)),IFERROR(MOD(TIMEVALUE(C276),1),""))))</f>
        <v/>
      </c>
      <c r="L276" s="28" t="str">
        <f aca="false">IF(OR(M276=0,D276=""),"",IF(ISNUMBER(D276),MOD(D276,1),IFERROR(INDEX(القوائم!$B$1:$B$288,MATCH(TRIM(D276),القوائم!$A$1:$A$288,0)),IFERROR(MOD(TIMEVALUE(D276),1),""))))</f>
        <v/>
      </c>
      <c r="M276" s="19" t="n">
        <f aca="false">$M$271</f>
        <v>0</v>
      </c>
      <c r="Q276" s="19" t="n">
        <f aca="false">IF(N(E283)&gt;0,1,0)</f>
        <v>0</v>
      </c>
      <c r="S276" s="0" t="n">
        <v>20</v>
      </c>
    </row>
    <row r="277" customFormat="false" ht="15" hidden="false" customHeight="false" outlineLevel="0" collapsed="false">
      <c r="A277" s="22" t="n">
        <f aca="false">IF(20&lt;=NW,WEEK_ONE+137,"")</f>
        <v>46155</v>
      </c>
      <c r="B277" s="23" t="str">
        <f aca="false">IF(A277="","",CHOOSE(WEEKDAY(A277,1),"الأحد","الاثنين","الثلاثاء","الأربعاء","الخميس","الجمعة","السبت"))</f>
        <v>الأربعاء</v>
      </c>
      <c r="C277" s="24"/>
      <c r="D277" s="24"/>
      <c r="E277" s="25" t="str">
        <f aca="false">IF(OR(M277=0,K277="",L277=""),"",MOD(L277-K277,1))</f>
        <v/>
      </c>
      <c r="F277" s="25" t="str">
        <f aca="false">IF(OR(E277="",M277=0),"",IF(WEEKDAY(A277,1)=6,E277,MIN(E277,MAX(0,MIN(IF(L277&lt;K277,L277+1,L277),OMR_OT_AT)-K277))))</f>
        <v/>
      </c>
      <c r="G277" s="25" t="str">
        <f aca="false">IF(OR(E277="",M277=0),"",MAX(0,E277-F277))</f>
        <v/>
      </c>
      <c r="H277" s="26" t="str">
        <f aca="false">IF(OR(E277="",M277=0),"",ROUND((F277*$N$271+G277*$O$271)*24,3))</f>
        <v/>
      </c>
      <c r="I277" s="27"/>
      <c r="K277" s="28" t="str">
        <f aca="false">IF(OR(M277=0,C277=""),"",IF(ISNUMBER(C277),MOD(C277,1),IFERROR(INDEX(القوائم!$B$1:$B$288,MATCH(TRIM(C277),القوائم!$A$1:$A$288,0)),IFERROR(MOD(TIMEVALUE(C277),1),""))))</f>
        <v/>
      </c>
      <c r="L277" s="28" t="str">
        <f aca="false">IF(OR(M277=0,D277=""),"",IF(ISNUMBER(D277),MOD(D277,1),IFERROR(INDEX(القوائم!$B$1:$B$288,MATCH(TRIM(D277),القوائم!$A$1:$A$288,0)),IFERROR(MOD(TIMEVALUE(D277),1),""))))</f>
        <v/>
      </c>
      <c r="M277" s="19" t="n">
        <f aca="false">$M$271</f>
        <v>0</v>
      </c>
      <c r="Q277" s="19" t="n">
        <f aca="false">IF(N(E283)&gt;0,1,0)</f>
        <v>0</v>
      </c>
      <c r="S277" s="0" t="n">
        <v>20</v>
      </c>
    </row>
    <row r="278" customFormat="false" ht="15" hidden="false" customHeight="false" outlineLevel="0" collapsed="false">
      <c r="A278" s="22" t="n">
        <f aca="false">IF(20&lt;=NW,WEEK_ONE+138,"")</f>
        <v>46156</v>
      </c>
      <c r="B278" s="23" t="str">
        <f aca="false">IF(A278="","",CHOOSE(WEEKDAY(A278,1),"الأحد","الاثنين","الثلاثاء","الأربعاء","الخميس","الجمعة","السبت"))</f>
        <v>الخميس</v>
      </c>
      <c r="C278" s="24"/>
      <c r="D278" s="24"/>
      <c r="E278" s="25" t="str">
        <f aca="false">IF(OR(M278=0,K278="",L278=""),"",MOD(L278-K278,1))</f>
        <v/>
      </c>
      <c r="F278" s="25" t="str">
        <f aca="false">IF(OR(E278="",M278=0),"",IF(WEEKDAY(A278,1)=6,E278,MIN(E278,MAX(0,MIN(IF(L278&lt;K278,L278+1,L278),OMR_OT_AT)-K278))))</f>
        <v/>
      </c>
      <c r="G278" s="25" t="str">
        <f aca="false">IF(OR(E278="",M278=0),"",MAX(0,E278-F278))</f>
        <v/>
      </c>
      <c r="H278" s="26" t="str">
        <f aca="false">IF(OR(E278="",M278=0),"",ROUND((F278*$N$271+G278*$O$271)*24,3))</f>
        <v/>
      </c>
      <c r="I278" s="27"/>
      <c r="K278" s="28" t="str">
        <f aca="false">IF(OR(M278=0,C278=""),"",IF(ISNUMBER(C278),MOD(C278,1),IFERROR(INDEX(القوائم!$B$1:$B$288,MATCH(TRIM(C278),القوائم!$A$1:$A$288,0)),IFERROR(MOD(TIMEVALUE(C278),1),""))))</f>
        <v/>
      </c>
      <c r="L278" s="28" t="str">
        <f aca="false">IF(OR(M278=0,D278=""),"",IF(ISNUMBER(D278),MOD(D278,1),IFERROR(INDEX(القوائم!$B$1:$B$288,MATCH(TRIM(D278),القوائم!$A$1:$A$288,0)),IFERROR(MOD(TIMEVALUE(D278),1),""))))</f>
        <v/>
      </c>
      <c r="M278" s="19" t="n">
        <f aca="false">$M$271</f>
        <v>0</v>
      </c>
      <c r="Q278" s="19" t="n">
        <f aca="false">IF(N(E283)&gt;0,1,0)</f>
        <v>0</v>
      </c>
      <c r="S278" s="0" t="n">
        <v>20</v>
      </c>
    </row>
    <row r="279" customFormat="false" ht="15" hidden="false" customHeight="false" outlineLevel="0" collapsed="false">
      <c r="A279" s="29" t="n">
        <f aca="false">IF(20&lt;=NW,WEEK_ONE+139,"")</f>
        <v>46157</v>
      </c>
      <c r="B279" s="30" t="str">
        <f aca="false">IF(A279="","",CHOOSE(WEEKDAY(A279,1),"الأحد","الاثنين","الثلاثاء","الأربعاء","الخميس","الجمعة","السبت"))</f>
        <v>الجمعة</v>
      </c>
      <c r="C279" s="24"/>
      <c r="D279" s="24"/>
      <c r="E279" s="25" t="str">
        <f aca="false">IF(OR(M279=0,K279="",L279=""),"",MOD(L279-K279,1))</f>
        <v/>
      </c>
      <c r="F279" s="25" t="str">
        <f aca="false">IF(OR(E279="",M279=0),"",IF(WEEKDAY(A279,1)=6,E279,MIN(E279,MAX(0,MIN(IF(L279&lt;K279,L279+1,L279),OMR_OT_AT)-K279))))</f>
        <v/>
      </c>
      <c r="G279" s="25" t="str">
        <f aca="false">IF(OR(E279="",M279=0),"",MAX(0,E279-F279))</f>
        <v/>
      </c>
      <c r="H279" s="26" t="str">
        <f aca="false">IF(OR(E279="",M279=0),"",ROUND((F279*$N$271+G279*$O$271)*24,3))</f>
        <v/>
      </c>
      <c r="I279" s="27"/>
      <c r="K279" s="28" t="str">
        <f aca="false">IF(OR(M279=0,C279=""),"",IF(ISNUMBER(C279),MOD(C279,1),IFERROR(INDEX(القوائم!$B$1:$B$288,MATCH(TRIM(C279),القوائم!$A$1:$A$288,0)),IFERROR(MOD(TIMEVALUE(C279),1),""))))</f>
        <v/>
      </c>
      <c r="L279" s="28" t="str">
        <f aca="false">IF(OR(M279=0,D279=""),"",IF(ISNUMBER(D279),MOD(D279,1),IFERROR(INDEX(القوائم!$B$1:$B$288,MATCH(TRIM(D279),القوائم!$A$1:$A$288,0)),IFERROR(MOD(TIMEVALUE(D279),1),""))))</f>
        <v/>
      </c>
      <c r="M279" s="19" t="n">
        <f aca="false">$M$271</f>
        <v>0</v>
      </c>
      <c r="Q279" s="19" t="n">
        <f aca="false">IF(N(E283)&gt;0,1,0)</f>
        <v>0</v>
      </c>
      <c r="S279" s="0" t="n">
        <v>20</v>
      </c>
    </row>
    <row r="280" customFormat="false" ht="15" hidden="false" customHeight="false" outlineLevel="0" collapsed="false">
      <c r="A280" s="31" t="str">
        <f aca="false">IF(M271=1,"ساعات تحميل الجبسمبورد بهالأسبوع ←","")</f>
        <v/>
      </c>
      <c r="B280" s="31"/>
      <c r="C280" s="31"/>
      <c r="D280" s="31"/>
      <c r="E280" s="32"/>
      <c r="F280" s="33" t="str">
        <f aca="false">IF(M271=1,"كل ساعة تحميل = "&amp;TEXT($P$271,"0.000")&amp;" دينار (منها "&amp;TEXT($N$271,"0.000")&amp;" محسوبة أصلاً بساعات اليوم)","")</f>
        <v/>
      </c>
      <c r="G280" s="33"/>
      <c r="H280" s="33"/>
      <c r="I280" s="33"/>
      <c r="M280" s="19" t="n">
        <f aca="false">$M$271</f>
        <v>0</v>
      </c>
      <c r="Q280" s="19" t="n">
        <f aca="false">IF(N(E283)&gt;0,1,0)</f>
        <v>0</v>
      </c>
      <c r="S280" s="0" t="n">
        <v>20</v>
      </c>
    </row>
    <row r="281" customFormat="false" ht="15" hidden="false" customHeight="false" outlineLevel="0" collapsed="false">
      <c r="A281" s="31" t="str">
        <f aca="false">IF(M271=1,"إكرامية الأسبوع (دينار) ←","")</f>
        <v/>
      </c>
      <c r="B281" s="31"/>
      <c r="C281" s="31"/>
      <c r="D281" s="31"/>
      <c r="E281" s="34"/>
      <c r="F281" s="35"/>
      <c r="G281" s="35"/>
      <c r="H281" s="35"/>
      <c r="I281" s="35"/>
      <c r="M281" s="19" t="n">
        <f aca="false">$M$271</f>
        <v>0</v>
      </c>
      <c r="Q281" s="19" t="n">
        <f aca="false">IF(N(E283)&gt;0,1,0)</f>
        <v>0</v>
      </c>
      <c r="S281" s="0" t="n">
        <v>20</v>
      </c>
    </row>
    <row r="282" customFormat="false" ht="36" hidden="false" customHeight="true" outlineLevel="0" collapsed="false">
      <c r="A282" s="36" t="str">
        <f aca="false">IF(M271=1,"المستحق النهائي للأسبوع","")</f>
        <v/>
      </c>
      <c r="B282" s="36"/>
      <c r="C282" s="36"/>
      <c r="D282" s="36"/>
      <c r="E282" s="36"/>
      <c r="F282" s="36"/>
      <c r="G282" s="36"/>
      <c r="H282" s="11" t="str">
        <f aca="false">IF(M271=1,ROUND(N($V$271)+N(E280)*($P$271-$N$271)+N(E281),3),"")</f>
        <v/>
      </c>
      <c r="I282" s="37"/>
      <c r="M282" s="19" t="n">
        <f aca="false">$M$271</f>
        <v>0</v>
      </c>
      <c r="Q282" s="19" t="n">
        <f aca="false">IF(N(E283)&gt;0,1,0)</f>
        <v>0</v>
      </c>
      <c r="S282" s="0" t="n">
        <v>20</v>
      </c>
      <c r="T282" s="0" t="n">
        <v>1</v>
      </c>
    </row>
    <row r="283" customFormat="false" ht="25.5" hidden="false" customHeight="true" outlineLevel="0" collapsed="false">
      <c r="A283" s="31" t="str">
        <f aca="false">IF(M271=1,"المدفوع (دينار) ←","")</f>
        <v/>
      </c>
      <c r="B283" s="31"/>
      <c r="C283" s="31"/>
      <c r="D283" s="31"/>
      <c r="E283" s="34"/>
      <c r="F283" s="38" t="str">
        <f aca="false">IF(M271=1,IF(N(E283)&gt;0,"✔ انقبض — الأسبوع مقفول","⏳ لسا ما انقبض"),"")</f>
        <v/>
      </c>
      <c r="G283" s="38"/>
      <c r="H283" s="38"/>
      <c r="I283" s="38"/>
      <c r="M283" s="19" t="n">
        <f aca="false">$M$271</f>
        <v>0</v>
      </c>
      <c r="Q283" s="19" t="n">
        <f aca="false">IF(N(E283)&gt;0,1,0)</f>
        <v>0</v>
      </c>
      <c r="S283" s="0" t="n">
        <v>20</v>
      </c>
    </row>
    <row r="284" customFormat="false" ht="9.75" hidden="false" customHeight="true" outlineLevel="0" collapsed="false">
      <c r="M284" s="19" t="n">
        <f aca="false">$M$271</f>
        <v>0</v>
      </c>
      <c r="Q284" s="19" t="n">
        <f aca="false">IF(N(E283)&gt;0,1,0)</f>
        <v>0</v>
      </c>
      <c r="S284" s="0" t="n">
        <v>20</v>
      </c>
      <c r="T284" s="0" t="n">
        <v>2</v>
      </c>
    </row>
    <row r="285" customFormat="false" ht="33.75" hidden="false" customHeight="true" outlineLevel="0" collapsed="false">
      <c r="A285" s="17" t="str">
        <f aca="false">IF(21&lt;=NW,TEXT(DAY(WEEK_ONE+140),"00")&amp;"/"&amp;TEXT(MONTH(WEEK_ONE+140),"00")&amp;"/"&amp;YEAR(WEEK_ONE+140)&amp;"  -  "&amp;TEXT(DAY(WEEK_ONE+146),"00")&amp;"/"&amp;TEXT(MONTH(WEEK_ONE+146),"00")&amp;"/"&amp;YEAR(WEEK_ONE+146)&amp;"   ·   الأسبوع 21"&amp;IF(21&lt;START_O,"   (قبل أسبوع البداية — ما بينحسب)",""),"ما في أسبوع 21 هالسنة")</f>
        <v>16/05/2026  -  22/05/2026   ·   الأسبوع 21   (قبل أسبوع البداية — ما بينحسب)</v>
      </c>
      <c r="B285" s="17"/>
      <c r="C285" s="17"/>
      <c r="D285" s="17"/>
      <c r="E285" s="17"/>
      <c r="F285" s="17"/>
      <c r="G285" s="17"/>
      <c r="H285" s="17"/>
      <c r="I285" s="17"/>
      <c r="L285" s="18" t="n">
        <f aca="false">IF(21&lt;=NW,WEEK_ONE+146,"")</f>
        <v>46164</v>
      </c>
      <c r="M285" s="19" t="n">
        <f aca="false">IF(AND(21&lt;=NW,21&gt;=START_O),1,0)</f>
        <v>0</v>
      </c>
      <c r="N285" s="20" t="n">
        <f aca="false">IFERROR(INDEX(RT_OMR,MATCH(L285,RT_K,1)),INDEX(RT_OMR,1))</f>
        <v>1.25</v>
      </c>
      <c r="O285" s="20" t="n">
        <f aca="false">IFERROR(INDEX(RT_OT,MATCH(L285,RT_K,1)),INDEX(RT_OT,1))</f>
        <v>1.5</v>
      </c>
      <c r="P285" s="20" t="n">
        <f aca="false">IFERROR(INDEX(RT_GYP,MATCH(L285,RT_K,1)),INDEX(RT_GYP,1))</f>
        <v>2.5</v>
      </c>
      <c r="Q285" s="19" t="n">
        <f aca="false">IF(N(E297)&gt;0,1,0)</f>
        <v>0</v>
      </c>
      <c r="R285" s="0" t="n">
        <v>21</v>
      </c>
      <c r="S285" s="0" t="n">
        <v>21</v>
      </c>
      <c r="U285" s="19" t="n">
        <f aca="false">IF(M285=1,SUM(E287:E293),0)</f>
        <v>0</v>
      </c>
      <c r="V285" s="19" t="n">
        <f aca="false">SUM(H287:H293)</f>
        <v>0</v>
      </c>
    </row>
    <row r="286" customFormat="false" ht="39.75" hidden="false" customHeight="true" outlineLevel="0" collapsed="false">
      <c r="A286" s="21" t="s">
        <v>18</v>
      </c>
      <c r="B286" s="21" t="s">
        <v>19</v>
      </c>
      <c r="C286" s="21" t="s">
        <v>20</v>
      </c>
      <c r="D286" s="21" t="s">
        <v>21</v>
      </c>
      <c r="E286" s="21" t="s">
        <v>22</v>
      </c>
      <c r="F286" s="21" t="s">
        <v>23</v>
      </c>
      <c r="G286" s="21" t="s">
        <v>24</v>
      </c>
      <c r="H286" s="21" t="s">
        <v>25</v>
      </c>
      <c r="I286" s="21" t="s">
        <v>26</v>
      </c>
      <c r="M286" s="19" t="n">
        <f aca="false">$M$285</f>
        <v>0</v>
      </c>
      <c r="Q286" s="19" t="n">
        <f aca="false">IF(N(E297)&gt;0,1,0)</f>
        <v>0</v>
      </c>
      <c r="S286" s="0" t="n">
        <v>21</v>
      </c>
    </row>
    <row r="287" customFormat="false" ht="15" hidden="false" customHeight="false" outlineLevel="0" collapsed="false">
      <c r="A287" s="22" t="n">
        <f aca="false">IF(21&lt;=NW,WEEK_ONE+140,"")</f>
        <v>46158</v>
      </c>
      <c r="B287" s="23" t="str">
        <f aca="false">IF(A287="","",CHOOSE(WEEKDAY(A287,1),"الأحد","الاثنين","الثلاثاء","الأربعاء","الخميس","الجمعة","السبت"))</f>
        <v>السبت</v>
      </c>
      <c r="C287" s="24"/>
      <c r="D287" s="24"/>
      <c r="E287" s="25" t="str">
        <f aca="false">IF(OR(M287=0,K287="",L287=""),"",MOD(L287-K287,1))</f>
        <v/>
      </c>
      <c r="F287" s="25" t="str">
        <f aca="false">IF(OR(E287="",M287=0),"",IF(WEEKDAY(A287,1)=6,E287,MIN(E287,MAX(0,MIN(IF(L287&lt;K287,L287+1,L287),OMR_OT_AT)-K287))))</f>
        <v/>
      </c>
      <c r="G287" s="25" t="str">
        <f aca="false">IF(OR(E287="",M287=0),"",MAX(0,E287-F287))</f>
        <v/>
      </c>
      <c r="H287" s="26" t="str">
        <f aca="false">IF(OR(E287="",M287=0),"",ROUND((F287*$N$285+G287*$O$285)*24,3))</f>
        <v/>
      </c>
      <c r="I287" s="27"/>
      <c r="K287" s="28" t="str">
        <f aca="false">IF(OR(M287=0,C287=""),"",IF(ISNUMBER(C287),MOD(C287,1),IFERROR(INDEX(القوائم!$B$1:$B$288,MATCH(TRIM(C287),القوائم!$A$1:$A$288,0)),IFERROR(MOD(TIMEVALUE(C287),1),""))))</f>
        <v/>
      </c>
      <c r="L287" s="28" t="str">
        <f aca="false">IF(OR(M287=0,D287=""),"",IF(ISNUMBER(D287),MOD(D287,1),IFERROR(INDEX(القوائم!$B$1:$B$288,MATCH(TRIM(D287),القوائم!$A$1:$A$288,0)),IFERROR(MOD(TIMEVALUE(D287),1),""))))</f>
        <v/>
      </c>
      <c r="M287" s="19" t="n">
        <f aca="false">$M$285</f>
        <v>0</v>
      </c>
      <c r="Q287" s="19" t="n">
        <f aca="false">IF(N(E297)&gt;0,1,0)</f>
        <v>0</v>
      </c>
      <c r="S287" s="0" t="n">
        <v>21</v>
      </c>
    </row>
    <row r="288" customFormat="false" ht="15" hidden="false" customHeight="false" outlineLevel="0" collapsed="false">
      <c r="A288" s="22" t="n">
        <f aca="false">IF(21&lt;=NW,WEEK_ONE+141,"")</f>
        <v>46159</v>
      </c>
      <c r="B288" s="23" t="str">
        <f aca="false">IF(A288="","",CHOOSE(WEEKDAY(A288,1),"الأحد","الاثنين","الثلاثاء","الأربعاء","الخميس","الجمعة","السبت"))</f>
        <v>الأحد</v>
      </c>
      <c r="C288" s="24"/>
      <c r="D288" s="24"/>
      <c r="E288" s="25" t="str">
        <f aca="false">IF(OR(M288=0,K288="",L288=""),"",MOD(L288-K288,1))</f>
        <v/>
      </c>
      <c r="F288" s="25" t="str">
        <f aca="false">IF(OR(E288="",M288=0),"",IF(WEEKDAY(A288,1)=6,E288,MIN(E288,MAX(0,MIN(IF(L288&lt;K288,L288+1,L288),OMR_OT_AT)-K288))))</f>
        <v/>
      </c>
      <c r="G288" s="25" t="str">
        <f aca="false">IF(OR(E288="",M288=0),"",MAX(0,E288-F288))</f>
        <v/>
      </c>
      <c r="H288" s="26" t="str">
        <f aca="false">IF(OR(E288="",M288=0),"",ROUND((F288*$N$285+G288*$O$285)*24,3))</f>
        <v/>
      </c>
      <c r="I288" s="27"/>
      <c r="K288" s="28" t="str">
        <f aca="false">IF(OR(M288=0,C288=""),"",IF(ISNUMBER(C288),MOD(C288,1),IFERROR(INDEX(القوائم!$B$1:$B$288,MATCH(TRIM(C288),القوائم!$A$1:$A$288,0)),IFERROR(MOD(TIMEVALUE(C288),1),""))))</f>
        <v/>
      </c>
      <c r="L288" s="28" t="str">
        <f aca="false">IF(OR(M288=0,D288=""),"",IF(ISNUMBER(D288),MOD(D288,1),IFERROR(INDEX(القوائم!$B$1:$B$288,MATCH(TRIM(D288),القوائم!$A$1:$A$288,0)),IFERROR(MOD(TIMEVALUE(D288),1),""))))</f>
        <v/>
      </c>
      <c r="M288" s="19" t="n">
        <f aca="false">$M$285</f>
        <v>0</v>
      </c>
      <c r="Q288" s="19" t="n">
        <f aca="false">IF(N(E297)&gt;0,1,0)</f>
        <v>0</v>
      </c>
      <c r="S288" s="0" t="n">
        <v>21</v>
      </c>
    </row>
    <row r="289" customFormat="false" ht="15" hidden="false" customHeight="false" outlineLevel="0" collapsed="false">
      <c r="A289" s="22" t="n">
        <f aca="false">IF(21&lt;=NW,WEEK_ONE+142,"")</f>
        <v>46160</v>
      </c>
      <c r="B289" s="23" t="str">
        <f aca="false">IF(A289="","",CHOOSE(WEEKDAY(A289,1),"الأحد","الاثنين","الثلاثاء","الأربعاء","الخميس","الجمعة","السبت"))</f>
        <v>الاثنين</v>
      </c>
      <c r="C289" s="24"/>
      <c r="D289" s="24"/>
      <c r="E289" s="25" t="str">
        <f aca="false">IF(OR(M289=0,K289="",L289=""),"",MOD(L289-K289,1))</f>
        <v/>
      </c>
      <c r="F289" s="25" t="str">
        <f aca="false">IF(OR(E289="",M289=0),"",IF(WEEKDAY(A289,1)=6,E289,MIN(E289,MAX(0,MIN(IF(L289&lt;K289,L289+1,L289),OMR_OT_AT)-K289))))</f>
        <v/>
      </c>
      <c r="G289" s="25" t="str">
        <f aca="false">IF(OR(E289="",M289=0),"",MAX(0,E289-F289))</f>
        <v/>
      </c>
      <c r="H289" s="26" t="str">
        <f aca="false">IF(OR(E289="",M289=0),"",ROUND((F289*$N$285+G289*$O$285)*24,3))</f>
        <v/>
      </c>
      <c r="I289" s="27"/>
      <c r="K289" s="28" t="str">
        <f aca="false">IF(OR(M289=0,C289=""),"",IF(ISNUMBER(C289),MOD(C289,1),IFERROR(INDEX(القوائم!$B$1:$B$288,MATCH(TRIM(C289),القوائم!$A$1:$A$288,0)),IFERROR(MOD(TIMEVALUE(C289),1),""))))</f>
        <v/>
      </c>
      <c r="L289" s="28" t="str">
        <f aca="false">IF(OR(M289=0,D289=""),"",IF(ISNUMBER(D289),MOD(D289,1),IFERROR(INDEX(القوائم!$B$1:$B$288,MATCH(TRIM(D289),القوائم!$A$1:$A$288,0)),IFERROR(MOD(TIMEVALUE(D289),1),""))))</f>
        <v/>
      </c>
      <c r="M289" s="19" t="n">
        <f aca="false">$M$285</f>
        <v>0</v>
      </c>
      <c r="Q289" s="19" t="n">
        <f aca="false">IF(N(E297)&gt;0,1,0)</f>
        <v>0</v>
      </c>
      <c r="S289" s="0" t="n">
        <v>21</v>
      </c>
    </row>
    <row r="290" customFormat="false" ht="15" hidden="false" customHeight="false" outlineLevel="0" collapsed="false">
      <c r="A290" s="22" t="n">
        <f aca="false">IF(21&lt;=NW,WEEK_ONE+143,"")</f>
        <v>46161</v>
      </c>
      <c r="B290" s="23" t="str">
        <f aca="false">IF(A290="","",CHOOSE(WEEKDAY(A290,1),"الأحد","الاثنين","الثلاثاء","الأربعاء","الخميس","الجمعة","السبت"))</f>
        <v>الثلاثاء</v>
      </c>
      <c r="C290" s="24"/>
      <c r="D290" s="24"/>
      <c r="E290" s="25" t="str">
        <f aca="false">IF(OR(M290=0,K290="",L290=""),"",MOD(L290-K290,1))</f>
        <v/>
      </c>
      <c r="F290" s="25" t="str">
        <f aca="false">IF(OR(E290="",M290=0),"",IF(WEEKDAY(A290,1)=6,E290,MIN(E290,MAX(0,MIN(IF(L290&lt;K290,L290+1,L290),OMR_OT_AT)-K290))))</f>
        <v/>
      </c>
      <c r="G290" s="25" t="str">
        <f aca="false">IF(OR(E290="",M290=0),"",MAX(0,E290-F290))</f>
        <v/>
      </c>
      <c r="H290" s="26" t="str">
        <f aca="false">IF(OR(E290="",M290=0),"",ROUND((F290*$N$285+G290*$O$285)*24,3))</f>
        <v/>
      </c>
      <c r="I290" s="27"/>
      <c r="K290" s="28" t="str">
        <f aca="false">IF(OR(M290=0,C290=""),"",IF(ISNUMBER(C290),MOD(C290,1),IFERROR(INDEX(القوائم!$B$1:$B$288,MATCH(TRIM(C290),القوائم!$A$1:$A$288,0)),IFERROR(MOD(TIMEVALUE(C290),1),""))))</f>
        <v/>
      </c>
      <c r="L290" s="28" t="str">
        <f aca="false">IF(OR(M290=0,D290=""),"",IF(ISNUMBER(D290),MOD(D290,1),IFERROR(INDEX(القوائم!$B$1:$B$288,MATCH(TRIM(D290),القوائم!$A$1:$A$288,0)),IFERROR(MOD(TIMEVALUE(D290),1),""))))</f>
        <v/>
      </c>
      <c r="M290" s="19" t="n">
        <f aca="false">$M$285</f>
        <v>0</v>
      </c>
      <c r="Q290" s="19" t="n">
        <f aca="false">IF(N(E297)&gt;0,1,0)</f>
        <v>0</v>
      </c>
      <c r="S290" s="0" t="n">
        <v>21</v>
      </c>
    </row>
    <row r="291" customFormat="false" ht="15" hidden="false" customHeight="false" outlineLevel="0" collapsed="false">
      <c r="A291" s="22" t="n">
        <f aca="false">IF(21&lt;=NW,WEEK_ONE+144,"")</f>
        <v>46162</v>
      </c>
      <c r="B291" s="23" t="str">
        <f aca="false">IF(A291="","",CHOOSE(WEEKDAY(A291,1),"الأحد","الاثنين","الثلاثاء","الأربعاء","الخميس","الجمعة","السبت"))</f>
        <v>الأربعاء</v>
      </c>
      <c r="C291" s="24"/>
      <c r="D291" s="24"/>
      <c r="E291" s="25" t="str">
        <f aca="false">IF(OR(M291=0,K291="",L291=""),"",MOD(L291-K291,1))</f>
        <v/>
      </c>
      <c r="F291" s="25" t="str">
        <f aca="false">IF(OR(E291="",M291=0),"",IF(WEEKDAY(A291,1)=6,E291,MIN(E291,MAX(0,MIN(IF(L291&lt;K291,L291+1,L291),OMR_OT_AT)-K291))))</f>
        <v/>
      </c>
      <c r="G291" s="25" t="str">
        <f aca="false">IF(OR(E291="",M291=0),"",MAX(0,E291-F291))</f>
        <v/>
      </c>
      <c r="H291" s="26" t="str">
        <f aca="false">IF(OR(E291="",M291=0),"",ROUND((F291*$N$285+G291*$O$285)*24,3))</f>
        <v/>
      </c>
      <c r="I291" s="27"/>
      <c r="K291" s="28" t="str">
        <f aca="false">IF(OR(M291=0,C291=""),"",IF(ISNUMBER(C291),MOD(C291,1),IFERROR(INDEX(القوائم!$B$1:$B$288,MATCH(TRIM(C291),القوائم!$A$1:$A$288,0)),IFERROR(MOD(TIMEVALUE(C291),1),""))))</f>
        <v/>
      </c>
      <c r="L291" s="28" t="str">
        <f aca="false">IF(OR(M291=0,D291=""),"",IF(ISNUMBER(D291),MOD(D291,1),IFERROR(INDEX(القوائم!$B$1:$B$288,MATCH(TRIM(D291),القوائم!$A$1:$A$288,0)),IFERROR(MOD(TIMEVALUE(D291),1),""))))</f>
        <v/>
      </c>
      <c r="M291" s="19" t="n">
        <f aca="false">$M$285</f>
        <v>0</v>
      </c>
      <c r="Q291" s="19" t="n">
        <f aca="false">IF(N(E297)&gt;0,1,0)</f>
        <v>0</v>
      </c>
      <c r="S291" s="0" t="n">
        <v>21</v>
      </c>
    </row>
    <row r="292" customFormat="false" ht="15" hidden="false" customHeight="false" outlineLevel="0" collapsed="false">
      <c r="A292" s="22" t="n">
        <f aca="false">IF(21&lt;=NW,WEEK_ONE+145,"")</f>
        <v>46163</v>
      </c>
      <c r="B292" s="23" t="str">
        <f aca="false">IF(A292="","",CHOOSE(WEEKDAY(A292,1),"الأحد","الاثنين","الثلاثاء","الأربعاء","الخميس","الجمعة","السبت"))</f>
        <v>الخميس</v>
      </c>
      <c r="C292" s="24"/>
      <c r="D292" s="24"/>
      <c r="E292" s="25" t="str">
        <f aca="false">IF(OR(M292=0,K292="",L292=""),"",MOD(L292-K292,1))</f>
        <v/>
      </c>
      <c r="F292" s="25" t="str">
        <f aca="false">IF(OR(E292="",M292=0),"",IF(WEEKDAY(A292,1)=6,E292,MIN(E292,MAX(0,MIN(IF(L292&lt;K292,L292+1,L292),OMR_OT_AT)-K292))))</f>
        <v/>
      </c>
      <c r="G292" s="25" t="str">
        <f aca="false">IF(OR(E292="",M292=0),"",MAX(0,E292-F292))</f>
        <v/>
      </c>
      <c r="H292" s="26" t="str">
        <f aca="false">IF(OR(E292="",M292=0),"",ROUND((F292*$N$285+G292*$O$285)*24,3))</f>
        <v/>
      </c>
      <c r="I292" s="27"/>
      <c r="K292" s="28" t="str">
        <f aca="false">IF(OR(M292=0,C292=""),"",IF(ISNUMBER(C292),MOD(C292,1),IFERROR(INDEX(القوائم!$B$1:$B$288,MATCH(TRIM(C292),القوائم!$A$1:$A$288,0)),IFERROR(MOD(TIMEVALUE(C292),1),""))))</f>
        <v/>
      </c>
      <c r="L292" s="28" t="str">
        <f aca="false">IF(OR(M292=0,D292=""),"",IF(ISNUMBER(D292),MOD(D292,1),IFERROR(INDEX(القوائم!$B$1:$B$288,MATCH(TRIM(D292),القوائم!$A$1:$A$288,0)),IFERROR(MOD(TIMEVALUE(D292),1),""))))</f>
        <v/>
      </c>
      <c r="M292" s="19" t="n">
        <f aca="false">$M$285</f>
        <v>0</v>
      </c>
      <c r="Q292" s="19" t="n">
        <f aca="false">IF(N(E297)&gt;0,1,0)</f>
        <v>0</v>
      </c>
      <c r="S292" s="0" t="n">
        <v>21</v>
      </c>
    </row>
    <row r="293" customFormat="false" ht="15" hidden="false" customHeight="false" outlineLevel="0" collapsed="false">
      <c r="A293" s="29" t="n">
        <f aca="false">IF(21&lt;=NW,WEEK_ONE+146,"")</f>
        <v>46164</v>
      </c>
      <c r="B293" s="30" t="str">
        <f aca="false">IF(A293="","",CHOOSE(WEEKDAY(A293,1),"الأحد","الاثنين","الثلاثاء","الأربعاء","الخميس","الجمعة","السبت"))</f>
        <v>الجمعة</v>
      </c>
      <c r="C293" s="24"/>
      <c r="D293" s="24"/>
      <c r="E293" s="25" t="str">
        <f aca="false">IF(OR(M293=0,K293="",L293=""),"",MOD(L293-K293,1))</f>
        <v/>
      </c>
      <c r="F293" s="25" t="str">
        <f aca="false">IF(OR(E293="",M293=0),"",IF(WEEKDAY(A293,1)=6,E293,MIN(E293,MAX(0,MIN(IF(L293&lt;K293,L293+1,L293),OMR_OT_AT)-K293))))</f>
        <v/>
      </c>
      <c r="G293" s="25" t="str">
        <f aca="false">IF(OR(E293="",M293=0),"",MAX(0,E293-F293))</f>
        <v/>
      </c>
      <c r="H293" s="26" t="str">
        <f aca="false">IF(OR(E293="",M293=0),"",ROUND((F293*$N$285+G293*$O$285)*24,3))</f>
        <v/>
      </c>
      <c r="I293" s="27"/>
      <c r="K293" s="28" t="str">
        <f aca="false">IF(OR(M293=0,C293=""),"",IF(ISNUMBER(C293),MOD(C293,1),IFERROR(INDEX(القوائم!$B$1:$B$288,MATCH(TRIM(C293),القوائم!$A$1:$A$288,0)),IFERROR(MOD(TIMEVALUE(C293),1),""))))</f>
        <v/>
      </c>
      <c r="L293" s="28" t="str">
        <f aca="false">IF(OR(M293=0,D293=""),"",IF(ISNUMBER(D293),MOD(D293,1),IFERROR(INDEX(القوائم!$B$1:$B$288,MATCH(TRIM(D293),القوائم!$A$1:$A$288,0)),IFERROR(MOD(TIMEVALUE(D293),1),""))))</f>
        <v/>
      </c>
      <c r="M293" s="19" t="n">
        <f aca="false">$M$285</f>
        <v>0</v>
      </c>
      <c r="Q293" s="19" t="n">
        <f aca="false">IF(N(E297)&gt;0,1,0)</f>
        <v>0</v>
      </c>
      <c r="S293" s="0" t="n">
        <v>21</v>
      </c>
    </row>
    <row r="294" customFormat="false" ht="15" hidden="false" customHeight="false" outlineLevel="0" collapsed="false">
      <c r="A294" s="31" t="str">
        <f aca="false">IF(M285=1,"ساعات تحميل الجبسمبورد بهالأسبوع ←","")</f>
        <v/>
      </c>
      <c r="B294" s="31"/>
      <c r="C294" s="31"/>
      <c r="D294" s="31"/>
      <c r="E294" s="32"/>
      <c r="F294" s="33" t="str">
        <f aca="false">IF(M285=1,"كل ساعة تحميل = "&amp;TEXT($P$285,"0.000")&amp;" دينار (منها "&amp;TEXT($N$285,"0.000")&amp;" محسوبة أصلاً بساعات اليوم)","")</f>
        <v/>
      </c>
      <c r="G294" s="33"/>
      <c r="H294" s="33"/>
      <c r="I294" s="33"/>
      <c r="M294" s="19" t="n">
        <f aca="false">$M$285</f>
        <v>0</v>
      </c>
      <c r="Q294" s="19" t="n">
        <f aca="false">IF(N(E297)&gt;0,1,0)</f>
        <v>0</v>
      </c>
      <c r="S294" s="0" t="n">
        <v>21</v>
      </c>
    </row>
    <row r="295" customFormat="false" ht="15" hidden="false" customHeight="false" outlineLevel="0" collapsed="false">
      <c r="A295" s="31" t="str">
        <f aca="false">IF(M285=1,"إكرامية الأسبوع (دينار) ←","")</f>
        <v/>
      </c>
      <c r="B295" s="31"/>
      <c r="C295" s="31"/>
      <c r="D295" s="31"/>
      <c r="E295" s="34"/>
      <c r="F295" s="35"/>
      <c r="G295" s="35"/>
      <c r="H295" s="35"/>
      <c r="I295" s="35"/>
      <c r="M295" s="19" t="n">
        <f aca="false">$M$285</f>
        <v>0</v>
      </c>
      <c r="Q295" s="19" t="n">
        <f aca="false">IF(N(E297)&gt;0,1,0)</f>
        <v>0</v>
      </c>
      <c r="S295" s="0" t="n">
        <v>21</v>
      </c>
    </row>
    <row r="296" customFormat="false" ht="36" hidden="false" customHeight="true" outlineLevel="0" collapsed="false">
      <c r="A296" s="36" t="str">
        <f aca="false">IF(M285=1,"المستحق النهائي للأسبوع","")</f>
        <v/>
      </c>
      <c r="B296" s="36"/>
      <c r="C296" s="36"/>
      <c r="D296" s="36"/>
      <c r="E296" s="36"/>
      <c r="F296" s="36"/>
      <c r="G296" s="36"/>
      <c r="H296" s="11" t="str">
        <f aca="false">IF(M285=1,ROUND(N($V$285)+N(E294)*($P$285-$N$285)+N(E295),3),"")</f>
        <v/>
      </c>
      <c r="I296" s="37"/>
      <c r="M296" s="19" t="n">
        <f aca="false">$M$285</f>
        <v>0</v>
      </c>
      <c r="Q296" s="19" t="n">
        <f aca="false">IF(N(E297)&gt;0,1,0)</f>
        <v>0</v>
      </c>
      <c r="S296" s="0" t="n">
        <v>21</v>
      </c>
      <c r="T296" s="0" t="n">
        <v>1</v>
      </c>
    </row>
    <row r="297" customFormat="false" ht="25.5" hidden="false" customHeight="true" outlineLevel="0" collapsed="false">
      <c r="A297" s="31" t="str">
        <f aca="false">IF(M285=1,"المدفوع (دينار) ←","")</f>
        <v/>
      </c>
      <c r="B297" s="31"/>
      <c r="C297" s="31"/>
      <c r="D297" s="31"/>
      <c r="E297" s="34"/>
      <c r="F297" s="38" t="str">
        <f aca="false">IF(M285=1,IF(N(E297)&gt;0,"✔ انقبض — الأسبوع مقفول","⏳ لسا ما انقبض"),"")</f>
        <v/>
      </c>
      <c r="G297" s="38"/>
      <c r="H297" s="38"/>
      <c r="I297" s="38"/>
      <c r="M297" s="19" t="n">
        <f aca="false">$M$285</f>
        <v>0</v>
      </c>
      <c r="Q297" s="19" t="n">
        <f aca="false">IF(N(E297)&gt;0,1,0)</f>
        <v>0</v>
      </c>
      <c r="S297" s="0" t="n">
        <v>21</v>
      </c>
    </row>
    <row r="298" customFormat="false" ht="9.75" hidden="false" customHeight="true" outlineLevel="0" collapsed="false">
      <c r="M298" s="19" t="n">
        <f aca="false">$M$285</f>
        <v>0</v>
      </c>
      <c r="Q298" s="19" t="n">
        <f aca="false">IF(N(E297)&gt;0,1,0)</f>
        <v>0</v>
      </c>
      <c r="S298" s="0" t="n">
        <v>21</v>
      </c>
      <c r="T298" s="0" t="n">
        <v>2</v>
      </c>
    </row>
    <row r="299" customFormat="false" ht="33.75" hidden="false" customHeight="true" outlineLevel="0" collapsed="false">
      <c r="A299" s="17" t="str">
        <f aca="false">IF(22&lt;=NW,TEXT(DAY(WEEK_ONE+147),"00")&amp;"/"&amp;TEXT(MONTH(WEEK_ONE+147),"00")&amp;"/"&amp;YEAR(WEEK_ONE+147)&amp;"  -  "&amp;TEXT(DAY(WEEK_ONE+153),"00")&amp;"/"&amp;TEXT(MONTH(WEEK_ONE+153),"00")&amp;"/"&amp;YEAR(WEEK_ONE+153)&amp;"   ·   الأسبوع 22"&amp;IF(22&lt;START_O,"   (قبل أسبوع البداية — ما بينحسب)",""),"ما في أسبوع 22 هالسنة")</f>
        <v>23/05/2026  -  29/05/2026   ·   الأسبوع 22   (قبل أسبوع البداية — ما بينحسب)</v>
      </c>
      <c r="B299" s="17"/>
      <c r="C299" s="17"/>
      <c r="D299" s="17"/>
      <c r="E299" s="17"/>
      <c r="F299" s="17"/>
      <c r="G299" s="17"/>
      <c r="H299" s="17"/>
      <c r="I299" s="17"/>
      <c r="L299" s="18" t="n">
        <f aca="false">IF(22&lt;=NW,WEEK_ONE+153,"")</f>
        <v>46171</v>
      </c>
      <c r="M299" s="19" t="n">
        <f aca="false">IF(AND(22&lt;=NW,22&gt;=START_O),1,0)</f>
        <v>0</v>
      </c>
      <c r="N299" s="20" t="n">
        <f aca="false">IFERROR(INDEX(RT_OMR,MATCH(L299,RT_K,1)),INDEX(RT_OMR,1))</f>
        <v>1.25</v>
      </c>
      <c r="O299" s="20" t="n">
        <f aca="false">IFERROR(INDEX(RT_OT,MATCH(L299,RT_K,1)),INDEX(RT_OT,1))</f>
        <v>1.5</v>
      </c>
      <c r="P299" s="20" t="n">
        <f aca="false">IFERROR(INDEX(RT_GYP,MATCH(L299,RT_K,1)),INDEX(RT_GYP,1))</f>
        <v>2.5</v>
      </c>
      <c r="Q299" s="19" t="n">
        <f aca="false">IF(N(E311)&gt;0,1,0)</f>
        <v>0</v>
      </c>
      <c r="R299" s="0" t="n">
        <v>22</v>
      </c>
      <c r="S299" s="0" t="n">
        <v>22</v>
      </c>
      <c r="U299" s="19" t="n">
        <f aca="false">IF(M299=1,SUM(E301:E307),0)</f>
        <v>0</v>
      </c>
      <c r="V299" s="19" t="n">
        <f aca="false">SUM(H301:H307)</f>
        <v>0</v>
      </c>
    </row>
    <row r="300" customFormat="false" ht="39.75" hidden="false" customHeight="true" outlineLevel="0" collapsed="false">
      <c r="A300" s="21" t="s">
        <v>18</v>
      </c>
      <c r="B300" s="21" t="s">
        <v>19</v>
      </c>
      <c r="C300" s="21" t="s">
        <v>20</v>
      </c>
      <c r="D300" s="21" t="s">
        <v>21</v>
      </c>
      <c r="E300" s="21" t="s">
        <v>22</v>
      </c>
      <c r="F300" s="21" t="s">
        <v>23</v>
      </c>
      <c r="G300" s="21" t="s">
        <v>24</v>
      </c>
      <c r="H300" s="21" t="s">
        <v>25</v>
      </c>
      <c r="I300" s="21" t="s">
        <v>26</v>
      </c>
      <c r="M300" s="19" t="n">
        <f aca="false">$M$299</f>
        <v>0</v>
      </c>
      <c r="Q300" s="19" t="n">
        <f aca="false">IF(N(E311)&gt;0,1,0)</f>
        <v>0</v>
      </c>
      <c r="S300" s="0" t="n">
        <v>22</v>
      </c>
    </row>
    <row r="301" customFormat="false" ht="15" hidden="false" customHeight="false" outlineLevel="0" collapsed="false">
      <c r="A301" s="22" t="n">
        <f aca="false">IF(22&lt;=NW,WEEK_ONE+147,"")</f>
        <v>46165</v>
      </c>
      <c r="B301" s="23" t="str">
        <f aca="false">IF(A301="","",CHOOSE(WEEKDAY(A301,1),"الأحد","الاثنين","الثلاثاء","الأربعاء","الخميس","الجمعة","السبت"))</f>
        <v>السبت</v>
      </c>
      <c r="C301" s="24"/>
      <c r="D301" s="24"/>
      <c r="E301" s="25" t="str">
        <f aca="false">IF(OR(M301=0,K301="",L301=""),"",MOD(L301-K301,1))</f>
        <v/>
      </c>
      <c r="F301" s="25" t="str">
        <f aca="false">IF(OR(E301="",M301=0),"",IF(WEEKDAY(A301,1)=6,E301,MIN(E301,MAX(0,MIN(IF(L301&lt;K301,L301+1,L301),OMR_OT_AT)-K301))))</f>
        <v/>
      </c>
      <c r="G301" s="25" t="str">
        <f aca="false">IF(OR(E301="",M301=0),"",MAX(0,E301-F301))</f>
        <v/>
      </c>
      <c r="H301" s="26" t="str">
        <f aca="false">IF(OR(E301="",M301=0),"",ROUND((F301*$N$299+G301*$O$299)*24,3))</f>
        <v/>
      </c>
      <c r="I301" s="27"/>
      <c r="K301" s="28" t="str">
        <f aca="false">IF(OR(M301=0,C301=""),"",IF(ISNUMBER(C301),MOD(C301,1),IFERROR(INDEX(القوائم!$B$1:$B$288,MATCH(TRIM(C301),القوائم!$A$1:$A$288,0)),IFERROR(MOD(TIMEVALUE(C301),1),""))))</f>
        <v/>
      </c>
      <c r="L301" s="28" t="str">
        <f aca="false">IF(OR(M301=0,D301=""),"",IF(ISNUMBER(D301),MOD(D301,1),IFERROR(INDEX(القوائم!$B$1:$B$288,MATCH(TRIM(D301),القوائم!$A$1:$A$288,0)),IFERROR(MOD(TIMEVALUE(D301),1),""))))</f>
        <v/>
      </c>
      <c r="M301" s="19" t="n">
        <f aca="false">$M$299</f>
        <v>0</v>
      </c>
      <c r="Q301" s="19" t="n">
        <f aca="false">IF(N(E311)&gt;0,1,0)</f>
        <v>0</v>
      </c>
      <c r="S301" s="0" t="n">
        <v>22</v>
      </c>
    </row>
    <row r="302" customFormat="false" ht="15" hidden="false" customHeight="false" outlineLevel="0" collapsed="false">
      <c r="A302" s="22" t="n">
        <f aca="false">IF(22&lt;=NW,WEEK_ONE+148,"")</f>
        <v>46166</v>
      </c>
      <c r="B302" s="23" t="str">
        <f aca="false">IF(A302="","",CHOOSE(WEEKDAY(A302,1),"الأحد","الاثنين","الثلاثاء","الأربعاء","الخميس","الجمعة","السبت"))</f>
        <v>الأحد</v>
      </c>
      <c r="C302" s="24"/>
      <c r="D302" s="24"/>
      <c r="E302" s="25" t="str">
        <f aca="false">IF(OR(M302=0,K302="",L302=""),"",MOD(L302-K302,1))</f>
        <v/>
      </c>
      <c r="F302" s="25" t="str">
        <f aca="false">IF(OR(E302="",M302=0),"",IF(WEEKDAY(A302,1)=6,E302,MIN(E302,MAX(0,MIN(IF(L302&lt;K302,L302+1,L302),OMR_OT_AT)-K302))))</f>
        <v/>
      </c>
      <c r="G302" s="25" t="str">
        <f aca="false">IF(OR(E302="",M302=0),"",MAX(0,E302-F302))</f>
        <v/>
      </c>
      <c r="H302" s="26" t="str">
        <f aca="false">IF(OR(E302="",M302=0),"",ROUND((F302*$N$299+G302*$O$299)*24,3))</f>
        <v/>
      </c>
      <c r="I302" s="27"/>
      <c r="K302" s="28" t="str">
        <f aca="false">IF(OR(M302=0,C302=""),"",IF(ISNUMBER(C302),MOD(C302,1),IFERROR(INDEX(القوائم!$B$1:$B$288,MATCH(TRIM(C302),القوائم!$A$1:$A$288,0)),IFERROR(MOD(TIMEVALUE(C302),1),""))))</f>
        <v/>
      </c>
      <c r="L302" s="28" t="str">
        <f aca="false">IF(OR(M302=0,D302=""),"",IF(ISNUMBER(D302),MOD(D302,1),IFERROR(INDEX(القوائم!$B$1:$B$288,MATCH(TRIM(D302),القوائم!$A$1:$A$288,0)),IFERROR(MOD(TIMEVALUE(D302),1),""))))</f>
        <v/>
      </c>
      <c r="M302" s="19" t="n">
        <f aca="false">$M$299</f>
        <v>0</v>
      </c>
      <c r="Q302" s="19" t="n">
        <f aca="false">IF(N(E311)&gt;0,1,0)</f>
        <v>0</v>
      </c>
      <c r="S302" s="0" t="n">
        <v>22</v>
      </c>
    </row>
    <row r="303" customFormat="false" ht="15" hidden="false" customHeight="false" outlineLevel="0" collapsed="false">
      <c r="A303" s="22" t="n">
        <f aca="false">IF(22&lt;=NW,WEEK_ONE+149,"")</f>
        <v>46167</v>
      </c>
      <c r="B303" s="23" t="str">
        <f aca="false">IF(A303="","",CHOOSE(WEEKDAY(A303,1),"الأحد","الاثنين","الثلاثاء","الأربعاء","الخميس","الجمعة","السبت"))</f>
        <v>الاثنين</v>
      </c>
      <c r="C303" s="24"/>
      <c r="D303" s="24"/>
      <c r="E303" s="25" t="str">
        <f aca="false">IF(OR(M303=0,K303="",L303=""),"",MOD(L303-K303,1))</f>
        <v/>
      </c>
      <c r="F303" s="25" t="str">
        <f aca="false">IF(OR(E303="",M303=0),"",IF(WEEKDAY(A303,1)=6,E303,MIN(E303,MAX(0,MIN(IF(L303&lt;K303,L303+1,L303),OMR_OT_AT)-K303))))</f>
        <v/>
      </c>
      <c r="G303" s="25" t="str">
        <f aca="false">IF(OR(E303="",M303=0),"",MAX(0,E303-F303))</f>
        <v/>
      </c>
      <c r="H303" s="26" t="str">
        <f aca="false">IF(OR(E303="",M303=0),"",ROUND((F303*$N$299+G303*$O$299)*24,3))</f>
        <v/>
      </c>
      <c r="I303" s="27"/>
      <c r="K303" s="28" t="str">
        <f aca="false">IF(OR(M303=0,C303=""),"",IF(ISNUMBER(C303),MOD(C303,1),IFERROR(INDEX(القوائم!$B$1:$B$288,MATCH(TRIM(C303),القوائم!$A$1:$A$288,0)),IFERROR(MOD(TIMEVALUE(C303),1),""))))</f>
        <v/>
      </c>
      <c r="L303" s="28" t="str">
        <f aca="false">IF(OR(M303=0,D303=""),"",IF(ISNUMBER(D303),MOD(D303,1),IFERROR(INDEX(القوائم!$B$1:$B$288,MATCH(TRIM(D303),القوائم!$A$1:$A$288,0)),IFERROR(MOD(TIMEVALUE(D303),1),""))))</f>
        <v/>
      </c>
      <c r="M303" s="19" t="n">
        <f aca="false">$M$299</f>
        <v>0</v>
      </c>
      <c r="Q303" s="19" t="n">
        <f aca="false">IF(N(E311)&gt;0,1,0)</f>
        <v>0</v>
      </c>
      <c r="S303" s="0" t="n">
        <v>22</v>
      </c>
    </row>
    <row r="304" customFormat="false" ht="15" hidden="false" customHeight="false" outlineLevel="0" collapsed="false">
      <c r="A304" s="22" t="n">
        <f aca="false">IF(22&lt;=NW,WEEK_ONE+150,"")</f>
        <v>46168</v>
      </c>
      <c r="B304" s="23" t="str">
        <f aca="false">IF(A304="","",CHOOSE(WEEKDAY(A304,1),"الأحد","الاثنين","الثلاثاء","الأربعاء","الخميس","الجمعة","السبت"))</f>
        <v>الثلاثاء</v>
      </c>
      <c r="C304" s="24"/>
      <c r="D304" s="24"/>
      <c r="E304" s="25" t="str">
        <f aca="false">IF(OR(M304=0,K304="",L304=""),"",MOD(L304-K304,1))</f>
        <v/>
      </c>
      <c r="F304" s="25" t="str">
        <f aca="false">IF(OR(E304="",M304=0),"",IF(WEEKDAY(A304,1)=6,E304,MIN(E304,MAX(0,MIN(IF(L304&lt;K304,L304+1,L304),OMR_OT_AT)-K304))))</f>
        <v/>
      </c>
      <c r="G304" s="25" t="str">
        <f aca="false">IF(OR(E304="",M304=0),"",MAX(0,E304-F304))</f>
        <v/>
      </c>
      <c r="H304" s="26" t="str">
        <f aca="false">IF(OR(E304="",M304=0),"",ROUND((F304*$N$299+G304*$O$299)*24,3))</f>
        <v/>
      </c>
      <c r="I304" s="27"/>
      <c r="K304" s="28" t="str">
        <f aca="false">IF(OR(M304=0,C304=""),"",IF(ISNUMBER(C304),MOD(C304,1),IFERROR(INDEX(القوائم!$B$1:$B$288,MATCH(TRIM(C304),القوائم!$A$1:$A$288,0)),IFERROR(MOD(TIMEVALUE(C304),1),""))))</f>
        <v/>
      </c>
      <c r="L304" s="28" t="str">
        <f aca="false">IF(OR(M304=0,D304=""),"",IF(ISNUMBER(D304),MOD(D304,1),IFERROR(INDEX(القوائم!$B$1:$B$288,MATCH(TRIM(D304),القوائم!$A$1:$A$288,0)),IFERROR(MOD(TIMEVALUE(D304),1),""))))</f>
        <v/>
      </c>
      <c r="M304" s="19" t="n">
        <f aca="false">$M$299</f>
        <v>0</v>
      </c>
      <c r="Q304" s="19" t="n">
        <f aca="false">IF(N(E311)&gt;0,1,0)</f>
        <v>0</v>
      </c>
      <c r="S304" s="0" t="n">
        <v>22</v>
      </c>
    </row>
    <row r="305" customFormat="false" ht="15" hidden="false" customHeight="false" outlineLevel="0" collapsed="false">
      <c r="A305" s="22" t="n">
        <f aca="false">IF(22&lt;=NW,WEEK_ONE+151,"")</f>
        <v>46169</v>
      </c>
      <c r="B305" s="23" t="str">
        <f aca="false">IF(A305="","",CHOOSE(WEEKDAY(A305,1),"الأحد","الاثنين","الثلاثاء","الأربعاء","الخميس","الجمعة","السبت"))</f>
        <v>الأربعاء</v>
      </c>
      <c r="C305" s="24"/>
      <c r="D305" s="24"/>
      <c r="E305" s="25" t="str">
        <f aca="false">IF(OR(M305=0,K305="",L305=""),"",MOD(L305-K305,1))</f>
        <v/>
      </c>
      <c r="F305" s="25" t="str">
        <f aca="false">IF(OR(E305="",M305=0),"",IF(WEEKDAY(A305,1)=6,E305,MIN(E305,MAX(0,MIN(IF(L305&lt;K305,L305+1,L305),OMR_OT_AT)-K305))))</f>
        <v/>
      </c>
      <c r="G305" s="25" t="str">
        <f aca="false">IF(OR(E305="",M305=0),"",MAX(0,E305-F305))</f>
        <v/>
      </c>
      <c r="H305" s="26" t="str">
        <f aca="false">IF(OR(E305="",M305=0),"",ROUND((F305*$N$299+G305*$O$299)*24,3))</f>
        <v/>
      </c>
      <c r="I305" s="27"/>
      <c r="K305" s="28" t="str">
        <f aca="false">IF(OR(M305=0,C305=""),"",IF(ISNUMBER(C305),MOD(C305,1),IFERROR(INDEX(القوائم!$B$1:$B$288,MATCH(TRIM(C305),القوائم!$A$1:$A$288,0)),IFERROR(MOD(TIMEVALUE(C305),1),""))))</f>
        <v/>
      </c>
      <c r="L305" s="28" t="str">
        <f aca="false">IF(OR(M305=0,D305=""),"",IF(ISNUMBER(D305),MOD(D305,1),IFERROR(INDEX(القوائم!$B$1:$B$288,MATCH(TRIM(D305),القوائم!$A$1:$A$288,0)),IFERROR(MOD(TIMEVALUE(D305),1),""))))</f>
        <v/>
      </c>
      <c r="M305" s="19" t="n">
        <f aca="false">$M$299</f>
        <v>0</v>
      </c>
      <c r="Q305" s="19" t="n">
        <f aca="false">IF(N(E311)&gt;0,1,0)</f>
        <v>0</v>
      </c>
      <c r="S305" s="0" t="n">
        <v>22</v>
      </c>
    </row>
    <row r="306" customFormat="false" ht="15" hidden="false" customHeight="false" outlineLevel="0" collapsed="false">
      <c r="A306" s="22" t="n">
        <f aca="false">IF(22&lt;=NW,WEEK_ONE+152,"")</f>
        <v>46170</v>
      </c>
      <c r="B306" s="23" t="str">
        <f aca="false">IF(A306="","",CHOOSE(WEEKDAY(A306,1),"الأحد","الاثنين","الثلاثاء","الأربعاء","الخميس","الجمعة","السبت"))</f>
        <v>الخميس</v>
      </c>
      <c r="C306" s="24"/>
      <c r="D306" s="24"/>
      <c r="E306" s="25" t="str">
        <f aca="false">IF(OR(M306=0,K306="",L306=""),"",MOD(L306-K306,1))</f>
        <v/>
      </c>
      <c r="F306" s="25" t="str">
        <f aca="false">IF(OR(E306="",M306=0),"",IF(WEEKDAY(A306,1)=6,E306,MIN(E306,MAX(0,MIN(IF(L306&lt;K306,L306+1,L306),OMR_OT_AT)-K306))))</f>
        <v/>
      </c>
      <c r="G306" s="25" t="str">
        <f aca="false">IF(OR(E306="",M306=0),"",MAX(0,E306-F306))</f>
        <v/>
      </c>
      <c r="H306" s="26" t="str">
        <f aca="false">IF(OR(E306="",M306=0),"",ROUND((F306*$N$299+G306*$O$299)*24,3))</f>
        <v/>
      </c>
      <c r="I306" s="27"/>
      <c r="K306" s="28" t="str">
        <f aca="false">IF(OR(M306=0,C306=""),"",IF(ISNUMBER(C306),MOD(C306,1),IFERROR(INDEX(القوائم!$B$1:$B$288,MATCH(TRIM(C306),القوائم!$A$1:$A$288,0)),IFERROR(MOD(TIMEVALUE(C306),1),""))))</f>
        <v/>
      </c>
      <c r="L306" s="28" t="str">
        <f aca="false">IF(OR(M306=0,D306=""),"",IF(ISNUMBER(D306),MOD(D306,1),IFERROR(INDEX(القوائم!$B$1:$B$288,MATCH(TRIM(D306),القوائم!$A$1:$A$288,0)),IFERROR(MOD(TIMEVALUE(D306),1),""))))</f>
        <v/>
      </c>
      <c r="M306" s="19" t="n">
        <f aca="false">$M$299</f>
        <v>0</v>
      </c>
      <c r="Q306" s="19" t="n">
        <f aca="false">IF(N(E311)&gt;0,1,0)</f>
        <v>0</v>
      </c>
      <c r="S306" s="0" t="n">
        <v>22</v>
      </c>
    </row>
    <row r="307" customFormat="false" ht="15" hidden="false" customHeight="false" outlineLevel="0" collapsed="false">
      <c r="A307" s="29" t="n">
        <f aca="false">IF(22&lt;=NW,WEEK_ONE+153,"")</f>
        <v>46171</v>
      </c>
      <c r="B307" s="30" t="str">
        <f aca="false">IF(A307="","",CHOOSE(WEEKDAY(A307,1),"الأحد","الاثنين","الثلاثاء","الأربعاء","الخميس","الجمعة","السبت"))</f>
        <v>الجمعة</v>
      </c>
      <c r="C307" s="24"/>
      <c r="D307" s="24"/>
      <c r="E307" s="25" t="str">
        <f aca="false">IF(OR(M307=0,K307="",L307=""),"",MOD(L307-K307,1))</f>
        <v/>
      </c>
      <c r="F307" s="25" t="str">
        <f aca="false">IF(OR(E307="",M307=0),"",IF(WEEKDAY(A307,1)=6,E307,MIN(E307,MAX(0,MIN(IF(L307&lt;K307,L307+1,L307),OMR_OT_AT)-K307))))</f>
        <v/>
      </c>
      <c r="G307" s="25" t="str">
        <f aca="false">IF(OR(E307="",M307=0),"",MAX(0,E307-F307))</f>
        <v/>
      </c>
      <c r="H307" s="26" t="str">
        <f aca="false">IF(OR(E307="",M307=0),"",ROUND((F307*$N$299+G307*$O$299)*24,3))</f>
        <v/>
      </c>
      <c r="I307" s="27"/>
      <c r="K307" s="28" t="str">
        <f aca="false">IF(OR(M307=0,C307=""),"",IF(ISNUMBER(C307),MOD(C307,1),IFERROR(INDEX(القوائم!$B$1:$B$288,MATCH(TRIM(C307),القوائم!$A$1:$A$288,0)),IFERROR(MOD(TIMEVALUE(C307),1),""))))</f>
        <v/>
      </c>
      <c r="L307" s="28" t="str">
        <f aca="false">IF(OR(M307=0,D307=""),"",IF(ISNUMBER(D307),MOD(D307,1),IFERROR(INDEX(القوائم!$B$1:$B$288,MATCH(TRIM(D307),القوائم!$A$1:$A$288,0)),IFERROR(MOD(TIMEVALUE(D307),1),""))))</f>
        <v/>
      </c>
      <c r="M307" s="19" t="n">
        <f aca="false">$M$299</f>
        <v>0</v>
      </c>
      <c r="Q307" s="19" t="n">
        <f aca="false">IF(N(E311)&gt;0,1,0)</f>
        <v>0</v>
      </c>
      <c r="S307" s="0" t="n">
        <v>22</v>
      </c>
    </row>
    <row r="308" customFormat="false" ht="15" hidden="false" customHeight="false" outlineLevel="0" collapsed="false">
      <c r="A308" s="31" t="str">
        <f aca="false">IF(M299=1,"ساعات تحميل الجبسمبورد بهالأسبوع ←","")</f>
        <v/>
      </c>
      <c r="B308" s="31"/>
      <c r="C308" s="31"/>
      <c r="D308" s="31"/>
      <c r="E308" s="32"/>
      <c r="F308" s="33" t="str">
        <f aca="false">IF(M299=1,"كل ساعة تحميل = "&amp;TEXT($P$299,"0.000")&amp;" دينار (منها "&amp;TEXT($N$299,"0.000")&amp;" محسوبة أصلاً بساعات اليوم)","")</f>
        <v/>
      </c>
      <c r="G308" s="33"/>
      <c r="H308" s="33"/>
      <c r="I308" s="33"/>
      <c r="M308" s="19" t="n">
        <f aca="false">$M$299</f>
        <v>0</v>
      </c>
      <c r="Q308" s="19" t="n">
        <f aca="false">IF(N(E311)&gt;0,1,0)</f>
        <v>0</v>
      </c>
      <c r="S308" s="0" t="n">
        <v>22</v>
      </c>
    </row>
    <row r="309" customFormat="false" ht="15" hidden="false" customHeight="false" outlineLevel="0" collapsed="false">
      <c r="A309" s="31" t="str">
        <f aca="false">IF(M299=1,"إكرامية الأسبوع (دينار) ←","")</f>
        <v/>
      </c>
      <c r="B309" s="31"/>
      <c r="C309" s="31"/>
      <c r="D309" s="31"/>
      <c r="E309" s="34"/>
      <c r="F309" s="35"/>
      <c r="G309" s="35"/>
      <c r="H309" s="35"/>
      <c r="I309" s="35"/>
      <c r="M309" s="19" t="n">
        <f aca="false">$M$299</f>
        <v>0</v>
      </c>
      <c r="Q309" s="19" t="n">
        <f aca="false">IF(N(E311)&gt;0,1,0)</f>
        <v>0</v>
      </c>
      <c r="S309" s="0" t="n">
        <v>22</v>
      </c>
    </row>
    <row r="310" customFormat="false" ht="36" hidden="false" customHeight="true" outlineLevel="0" collapsed="false">
      <c r="A310" s="36" t="str">
        <f aca="false">IF(M299=1,"المستحق النهائي للأسبوع","")</f>
        <v/>
      </c>
      <c r="B310" s="36"/>
      <c r="C310" s="36"/>
      <c r="D310" s="36"/>
      <c r="E310" s="36"/>
      <c r="F310" s="36"/>
      <c r="G310" s="36"/>
      <c r="H310" s="11" t="str">
        <f aca="false">IF(M299=1,ROUND(N($V$299)+N(E308)*($P$299-$N$299)+N(E309),3),"")</f>
        <v/>
      </c>
      <c r="I310" s="37"/>
      <c r="M310" s="19" t="n">
        <f aca="false">$M$299</f>
        <v>0</v>
      </c>
      <c r="Q310" s="19" t="n">
        <f aca="false">IF(N(E311)&gt;0,1,0)</f>
        <v>0</v>
      </c>
      <c r="S310" s="0" t="n">
        <v>22</v>
      </c>
      <c r="T310" s="0" t="n">
        <v>1</v>
      </c>
    </row>
    <row r="311" customFormat="false" ht="25.5" hidden="false" customHeight="true" outlineLevel="0" collapsed="false">
      <c r="A311" s="31" t="str">
        <f aca="false">IF(M299=1,"المدفوع (دينار) ←","")</f>
        <v/>
      </c>
      <c r="B311" s="31"/>
      <c r="C311" s="31"/>
      <c r="D311" s="31"/>
      <c r="E311" s="34"/>
      <c r="F311" s="38" t="str">
        <f aca="false">IF(M299=1,IF(N(E311)&gt;0,"✔ انقبض — الأسبوع مقفول","⏳ لسا ما انقبض"),"")</f>
        <v/>
      </c>
      <c r="G311" s="38"/>
      <c r="H311" s="38"/>
      <c r="I311" s="38"/>
      <c r="M311" s="19" t="n">
        <f aca="false">$M$299</f>
        <v>0</v>
      </c>
      <c r="Q311" s="19" t="n">
        <f aca="false">IF(N(E311)&gt;0,1,0)</f>
        <v>0</v>
      </c>
      <c r="S311" s="0" t="n">
        <v>22</v>
      </c>
    </row>
    <row r="312" customFormat="false" ht="9.75" hidden="false" customHeight="true" outlineLevel="0" collapsed="false">
      <c r="M312" s="19" t="n">
        <f aca="false">$M$299</f>
        <v>0</v>
      </c>
      <c r="Q312" s="19" t="n">
        <f aca="false">IF(N(E311)&gt;0,1,0)</f>
        <v>0</v>
      </c>
      <c r="S312" s="0" t="n">
        <v>22</v>
      </c>
      <c r="T312" s="0" t="n">
        <v>2</v>
      </c>
    </row>
    <row r="313" customFormat="false" ht="33.75" hidden="false" customHeight="true" outlineLevel="0" collapsed="false">
      <c r="A313" s="17" t="str">
        <f aca="false">IF(23&lt;=NW,TEXT(DAY(WEEK_ONE+154),"00")&amp;"/"&amp;TEXT(MONTH(WEEK_ONE+154),"00")&amp;"/"&amp;YEAR(WEEK_ONE+154)&amp;"  -  "&amp;TEXT(DAY(WEEK_ONE+160),"00")&amp;"/"&amp;TEXT(MONTH(WEEK_ONE+160),"00")&amp;"/"&amp;YEAR(WEEK_ONE+160)&amp;"   ·   الأسبوع 23"&amp;IF(23&lt;START_O,"   (قبل أسبوع البداية — ما بينحسب)",""),"ما في أسبوع 23 هالسنة")</f>
        <v>30/05/2026  -  05/06/2026   ·   الأسبوع 23   (قبل أسبوع البداية — ما بينحسب)</v>
      </c>
      <c r="B313" s="17"/>
      <c r="C313" s="17"/>
      <c r="D313" s="17"/>
      <c r="E313" s="17"/>
      <c r="F313" s="17"/>
      <c r="G313" s="17"/>
      <c r="H313" s="17"/>
      <c r="I313" s="17"/>
      <c r="L313" s="18" t="n">
        <f aca="false">IF(23&lt;=NW,WEEK_ONE+160,"")</f>
        <v>46178</v>
      </c>
      <c r="M313" s="19" t="n">
        <f aca="false">IF(AND(23&lt;=NW,23&gt;=START_O),1,0)</f>
        <v>0</v>
      </c>
      <c r="N313" s="20" t="n">
        <f aca="false">IFERROR(INDEX(RT_OMR,MATCH(L313,RT_K,1)),INDEX(RT_OMR,1))</f>
        <v>1.25</v>
      </c>
      <c r="O313" s="20" t="n">
        <f aca="false">IFERROR(INDEX(RT_OT,MATCH(L313,RT_K,1)),INDEX(RT_OT,1))</f>
        <v>1.5</v>
      </c>
      <c r="P313" s="20" t="n">
        <f aca="false">IFERROR(INDEX(RT_GYP,MATCH(L313,RT_K,1)),INDEX(RT_GYP,1))</f>
        <v>2.5</v>
      </c>
      <c r="Q313" s="19" t="n">
        <f aca="false">IF(N(E325)&gt;0,1,0)</f>
        <v>0</v>
      </c>
      <c r="R313" s="0" t="n">
        <v>23</v>
      </c>
      <c r="S313" s="0" t="n">
        <v>23</v>
      </c>
      <c r="U313" s="19" t="n">
        <f aca="false">IF(M313=1,SUM(E315:E321),0)</f>
        <v>0</v>
      </c>
      <c r="V313" s="19" t="n">
        <f aca="false">SUM(H315:H321)</f>
        <v>0</v>
      </c>
    </row>
    <row r="314" customFormat="false" ht="39.75" hidden="false" customHeight="true" outlineLevel="0" collapsed="false">
      <c r="A314" s="21" t="s">
        <v>18</v>
      </c>
      <c r="B314" s="21" t="s">
        <v>19</v>
      </c>
      <c r="C314" s="21" t="s">
        <v>20</v>
      </c>
      <c r="D314" s="21" t="s">
        <v>21</v>
      </c>
      <c r="E314" s="21" t="s">
        <v>22</v>
      </c>
      <c r="F314" s="21" t="s">
        <v>23</v>
      </c>
      <c r="G314" s="21" t="s">
        <v>24</v>
      </c>
      <c r="H314" s="21" t="s">
        <v>25</v>
      </c>
      <c r="I314" s="21" t="s">
        <v>26</v>
      </c>
      <c r="M314" s="19" t="n">
        <f aca="false">$M$313</f>
        <v>0</v>
      </c>
      <c r="Q314" s="19" t="n">
        <f aca="false">IF(N(E325)&gt;0,1,0)</f>
        <v>0</v>
      </c>
      <c r="S314" s="0" t="n">
        <v>23</v>
      </c>
    </row>
    <row r="315" customFormat="false" ht="15" hidden="false" customHeight="false" outlineLevel="0" collapsed="false">
      <c r="A315" s="22" t="n">
        <f aca="false">IF(23&lt;=NW,WEEK_ONE+154,"")</f>
        <v>46172</v>
      </c>
      <c r="B315" s="23" t="str">
        <f aca="false">IF(A315="","",CHOOSE(WEEKDAY(A315,1),"الأحد","الاثنين","الثلاثاء","الأربعاء","الخميس","الجمعة","السبت"))</f>
        <v>السبت</v>
      </c>
      <c r="C315" s="24"/>
      <c r="D315" s="24"/>
      <c r="E315" s="25" t="str">
        <f aca="false">IF(OR(M315=0,K315="",L315=""),"",MOD(L315-K315,1))</f>
        <v/>
      </c>
      <c r="F315" s="25" t="str">
        <f aca="false">IF(OR(E315="",M315=0),"",IF(WEEKDAY(A315,1)=6,E315,MIN(E315,MAX(0,MIN(IF(L315&lt;K315,L315+1,L315),OMR_OT_AT)-K315))))</f>
        <v/>
      </c>
      <c r="G315" s="25" t="str">
        <f aca="false">IF(OR(E315="",M315=0),"",MAX(0,E315-F315))</f>
        <v/>
      </c>
      <c r="H315" s="26" t="str">
        <f aca="false">IF(OR(E315="",M315=0),"",ROUND((F315*$N$313+G315*$O$313)*24,3))</f>
        <v/>
      </c>
      <c r="I315" s="27"/>
      <c r="K315" s="28" t="str">
        <f aca="false">IF(OR(M315=0,C315=""),"",IF(ISNUMBER(C315),MOD(C315,1),IFERROR(INDEX(القوائم!$B$1:$B$288,MATCH(TRIM(C315),القوائم!$A$1:$A$288,0)),IFERROR(MOD(TIMEVALUE(C315),1),""))))</f>
        <v/>
      </c>
      <c r="L315" s="28" t="str">
        <f aca="false">IF(OR(M315=0,D315=""),"",IF(ISNUMBER(D315),MOD(D315,1),IFERROR(INDEX(القوائم!$B$1:$B$288,MATCH(TRIM(D315),القوائم!$A$1:$A$288,0)),IFERROR(MOD(TIMEVALUE(D315),1),""))))</f>
        <v/>
      </c>
      <c r="M315" s="19" t="n">
        <f aca="false">$M$313</f>
        <v>0</v>
      </c>
      <c r="Q315" s="19" t="n">
        <f aca="false">IF(N(E325)&gt;0,1,0)</f>
        <v>0</v>
      </c>
      <c r="S315" s="0" t="n">
        <v>23</v>
      </c>
    </row>
    <row r="316" customFormat="false" ht="15" hidden="false" customHeight="false" outlineLevel="0" collapsed="false">
      <c r="A316" s="22" t="n">
        <f aca="false">IF(23&lt;=NW,WEEK_ONE+155,"")</f>
        <v>46173</v>
      </c>
      <c r="B316" s="23" t="str">
        <f aca="false">IF(A316="","",CHOOSE(WEEKDAY(A316,1),"الأحد","الاثنين","الثلاثاء","الأربعاء","الخميس","الجمعة","السبت"))</f>
        <v>الأحد</v>
      </c>
      <c r="C316" s="24"/>
      <c r="D316" s="24"/>
      <c r="E316" s="25" t="str">
        <f aca="false">IF(OR(M316=0,K316="",L316=""),"",MOD(L316-K316,1))</f>
        <v/>
      </c>
      <c r="F316" s="25" t="str">
        <f aca="false">IF(OR(E316="",M316=0),"",IF(WEEKDAY(A316,1)=6,E316,MIN(E316,MAX(0,MIN(IF(L316&lt;K316,L316+1,L316),OMR_OT_AT)-K316))))</f>
        <v/>
      </c>
      <c r="G316" s="25" t="str">
        <f aca="false">IF(OR(E316="",M316=0),"",MAX(0,E316-F316))</f>
        <v/>
      </c>
      <c r="H316" s="26" t="str">
        <f aca="false">IF(OR(E316="",M316=0),"",ROUND((F316*$N$313+G316*$O$313)*24,3))</f>
        <v/>
      </c>
      <c r="I316" s="27"/>
      <c r="K316" s="28" t="str">
        <f aca="false">IF(OR(M316=0,C316=""),"",IF(ISNUMBER(C316),MOD(C316,1),IFERROR(INDEX(القوائم!$B$1:$B$288,MATCH(TRIM(C316),القوائم!$A$1:$A$288,0)),IFERROR(MOD(TIMEVALUE(C316),1),""))))</f>
        <v/>
      </c>
      <c r="L316" s="28" t="str">
        <f aca="false">IF(OR(M316=0,D316=""),"",IF(ISNUMBER(D316),MOD(D316,1),IFERROR(INDEX(القوائم!$B$1:$B$288,MATCH(TRIM(D316),القوائم!$A$1:$A$288,0)),IFERROR(MOD(TIMEVALUE(D316),1),""))))</f>
        <v/>
      </c>
      <c r="M316" s="19" t="n">
        <f aca="false">$M$313</f>
        <v>0</v>
      </c>
      <c r="Q316" s="19" t="n">
        <f aca="false">IF(N(E325)&gt;0,1,0)</f>
        <v>0</v>
      </c>
      <c r="S316" s="0" t="n">
        <v>23</v>
      </c>
    </row>
    <row r="317" customFormat="false" ht="15" hidden="false" customHeight="false" outlineLevel="0" collapsed="false">
      <c r="A317" s="22" t="n">
        <f aca="false">IF(23&lt;=NW,WEEK_ONE+156,"")</f>
        <v>46174</v>
      </c>
      <c r="B317" s="23" t="str">
        <f aca="false">IF(A317="","",CHOOSE(WEEKDAY(A317,1),"الأحد","الاثنين","الثلاثاء","الأربعاء","الخميس","الجمعة","السبت"))</f>
        <v>الاثنين</v>
      </c>
      <c r="C317" s="24"/>
      <c r="D317" s="24"/>
      <c r="E317" s="25" t="str">
        <f aca="false">IF(OR(M317=0,K317="",L317=""),"",MOD(L317-K317,1))</f>
        <v/>
      </c>
      <c r="F317" s="25" t="str">
        <f aca="false">IF(OR(E317="",M317=0),"",IF(WEEKDAY(A317,1)=6,E317,MIN(E317,MAX(0,MIN(IF(L317&lt;K317,L317+1,L317),OMR_OT_AT)-K317))))</f>
        <v/>
      </c>
      <c r="G317" s="25" t="str">
        <f aca="false">IF(OR(E317="",M317=0),"",MAX(0,E317-F317))</f>
        <v/>
      </c>
      <c r="H317" s="26" t="str">
        <f aca="false">IF(OR(E317="",M317=0),"",ROUND((F317*$N$313+G317*$O$313)*24,3))</f>
        <v/>
      </c>
      <c r="I317" s="27"/>
      <c r="K317" s="28" t="str">
        <f aca="false">IF(OR(M317=0,C317=""),"",IF(ISNUMBER(C317),MOD(C317,1),IFERROR(INDEX(القوائم!$B$1:$B$288,MATCH(TRIM(C317),القوائم!$A$1:$A$288,0)),IFERROR(MOD(TIMEVALUE(C317),1),""))))</f>
        <v/>
      </c>
      <c r="L317" s="28" t="str">
        <f aca="false">IF(OR(M317=0,D317=""),"",IF(ISNUMBER(D317),MOD(D317,1),IFERROR(INDEX(القوائم!$B$1:$B$288,MATCH(TRIM(D317),القوائم!$A$1:$A$288,0)),IFERROR(MOD(TIMEVALUE(D317),1),""))))</f>
        <v/>
      </c>
      <c r="M317" s="19" t="n">
        <f aca="false">$M$313</f>
        <v>0</v>
      </c>
      <c r="Q317" s="19" t="n">
        <f aca="false">IF(N(E325)&gt;0,1,0)</f>
        <v>0</v>
      </c>
      <c r="S317" s="0" t="n">
        <v>23</v>
      </c>
    </row>
    <row r="318" customFormat="false" ht="15" hidden="false" customHeight="false" outlineLevel="0" collapsed="false">
      <c r="A318" s="22" t="n">
        <f aca="false">IF(23&lt;=NW,WEEK_ONE+157,"")</f>
        <v>46175</v>
      </c>
      <c r="B318" s="23" t="str">
        <f aca="false">IF(A318="","",CHOOSE(WEEKDAY(A318,1),"الأحد","الاثنين","الثلاثاء","الأربعاء","الخميس","الجمعة","السبت"))</f>
        <v>الثلاثاء</v>
      </c>
      <c r="C318" s="24"/>
      <c r="D318" s="24"/>
      <c r="E318" s="25" t="str">
        <f aca="false">IF(OR(M318=0,K318="",L318=""),"",MOD(L318-K318,1))</f>
        <v/>
      </c>
      <c r="F318" s="25" t="str">
        <f aca="false">IF(OR(E318="",M318=0),"",IF(WEEKDAY(A318,1)=6,E318,MIN(E318,MAX(0,MIN(IF(L318&lt;K318,L318+1,L318),OMR_OT_AT)-K318))))</f>
        <v/>
      </c>
      <c r="G318" s="25" t="str">
        <f aca="false">IF(OR(E318="",M318=0),"",MAX(0,E318-F318))</f>
        <v/>
      </c>
      <c r="H318" s="26" t="str">
        <f aca="false">IF(OR(E318="",M318=0),"",ROUND((F318*$N$313+G318*$O$313)*24,3))</f>
        <v/>
      </c>
      <c r="I318" s="27"/>
      <c r="K318" s="28" t="str">
        <f aca="false">IF(OR(M318=0,C318=""),"",IF(ISNUMBER(C318),MOD(C318,1),IFERROR(INDEX(القوائم!$B$1:$B$288,MATCH(TRIM(C318),القوائم!$A$1:$A$288,0)),IFERROR(MOD(TIMEVALUE(C318),1),""))))</f>
        <v/>
      </c>
      <c r="L318" s="28" t="str">
        <f aca="false">IF(OR(M318=0,D318=""),"",IF(ISNUMBER(D318),MOD(D318,1),IFERROR(INDEX(القوائم!$B$1:$B$288,MATCH(TRIM(D318),القوائم!$A$1:$A$288,0)),IFERROR(MOD(TIMEVALUE(D318),1),""))))</f>
        <v/>
      </c>
      <c r="M318" s="19" t="n">
        <f aca="false">$M$313</f>
        <v>0</v>
      </c>
      <c r="Q318" s="19" t="n">
        <f aca="false">IF(N(E325)&gt;0,1,0)</f>
        <v>0</v>
      </c>
      <c r="S318" s="0" t="n">
        <v>23</v>
      </c>
    </row>
    <row r="319" customFormat="false" ht="15" hidden="false" customHeight="false" outlineLevel="0" collapsed="false">
      <c r="A319" s="22" t="n">
        <f aca="false">IF(23&lt;=NW,WEEK_ONE+158,"")</f>
        <v>46176</v>
      </c>
      <c r="B319" s="23" t="str">
        <f aca="false">IF(A319="","",CHOOSE(WEEKDAY(A319,1),"الأحد","الاثنين","الثلاثاء","الأربعاء","الخميس","الجمعة","السبت"))</f>
        <v>الأربعاء</v>
      </c>
      <c r="C319" s="24"/>
      <c r="D319" s="24"/>
      <c r="E319" s="25" t="str">
        <f aca="false">IF(OR(M319=0,K319="",L319=""),"",MOD(L319-K319,1))</f>
        <v/>
      </c>
      <c r="F319" s="25" t="str">
        <f aca="false">IF(OR(E319="",M319=0),"",IF(WEEKDAY(A319,1)=6,E319,MIN(E319,MAX(0,MIN(IF(L319&lt;K319,L319+1,L319),OMR_OT_AT)-K319))))</f>
        <v/>
      </c>
      <c r="G319" s="25" t="str">
        <f aca="false">IF(OR(E319="",M319=0),"",MAX(0,E319-F319))</f>
        <v/>
      </c>
      <c r="H319" s="26" t="str">
        <f aca="false">IF(OR(E319="",M319=0),"",ROUND((F319*$N$313+G319*$O$313)*24,3))</f>
        <v/>
      </c>
      <c r="I319" s="27"/>
      <c r="K319" s="28" t="str">
        <f aca="false">IF(OR(M319=0,C319=""),"",IF(ISNUMBER(C319),MOD(C319,1),IFERROR(INDEX(القوائم!$B$1:$B$288,MATCH(TRIM(C319),القوائم!$A$1:$A$288,0)),IFERROR(MOD(TIMEVALUE(C319),1),""))))</f>
        <v/>
      </c>
      <c r="L319" s="28" t="str">
        <f aca="false">IF(OR(M319=0,D319=""),"",IF(ISNUMBER(D319),MOD(D319,1),IFERROR(INDEX(القوائم!$B$1:$B$288,MATCH(TRIM(D319),القوائم!$A$1:$A$288,0)),IFERROR(MOD(TIMEVALUE(D319),1),""))))</f>
        <v/>
      </c>
      <c r="M319" s="19" t="n">
        <f aca="false">$M$313</f>
        <v>0</v>
      </c>
      <c r="Q319" s="19" t="n">
        <f aca="false">IF(N(E325)&gt;0,1,0)</f>
        <v>0</v>
      </c>
      <c r="S319" s="0" t="n">
        <v>23</v>
      </c>
    </row>
    <row r="320" customFormat="false" ht="15" hidden="false" customHeight="false" outlineLevel="0" collapsed="false">
      <c r="A320" s="22" t="n">
        <f aca="false">IF(23&lt;=NW,WEEK_ONE+159,"")</f>
        <v>46177</v>
      </c>
      <c r="B320" s="23" t="str">
        <f aca="false">IF(A320="","",CHOOSE(WEEKDAY(A320,1),"الأحد","الاثنين","الثلاثاء","الأربعاء","الخميس","الجمعة","السبت"))</f>
        <v>الخميس</v>
      </c>
      <c r="C320" s="24"/>
      <c r="D320" s="24"/>
      <c r="E320" s="25" t="str">
        <f aca="false">IF(OR(M320=0,K320="",L320=""),"",MOD(L320-K320,1))</f>
        <v/>
      </c>
      <c r="F320" s="25" t="str">
        <f aca="false">IF(OR(E320="",M320=0),"",IF(WEEKDAY(A320,1)=6,E320,MIN(E320,MAX(0,MIN(IF(L320&lt;K320,L320+1,L320),OMR_OT_AT)-K320))))</f>
        <v/>
      </c>
      <c r="G320" s="25" t="str">
        <f aca="false">IF(OR(E320="",M320=0),"",MAX(0,E320-F320))</f>
        <v/>
      </c>
      <c r="H320" s="26" t="str">
        <f aca="false">IF(OR(E320="",M320=0),"",ROUND((F320*$N$313+G320*$O$313)*24,3))</f>
        <v/>
      </c>
      <c r="I320" s="27"/>
      <c r="K320" s="28" t="str">
        <f aca="false">IF(OR(M320=0,C320=""),"",IF(ISNUMBER(C320),MOD(C320,1),IFERROR(INDEX(القوائم!$B$1:$B$288,MATCH(TRIM(C320),القوائم!$A$1:$A$288,0)),IFERROR(MOD(TIMEVALUE(C320),1),""))))</f>
        <v/>
      </c>
      <c r="L320" s="28" t="str">
        <f aca="false">IF(OR(M320=0,D320=""),"",IF(ISNUMBER(D320),MOD(D320,1),IFERROR(INDEX(القوائم!$B$1:$B$288,MATCH(TRIM(D320),القوائم!$A$1:$A$288,0)),IFERROR(MOD(TIMEVALUE(D320),1),""))))</f>
        <v/>
      </c>
      <c r="M320" s="19" t="n">
        <f aca="false">$M$313</f>
        <v>0</v>
      </c>
      <c r="Q320" s="19" t="n">
        <f aca="false">IF(N(E325)&gt;0,1,0)</f>
        <v>0</v>
      </c>
      <c r="S320" s="0" t="n">
        <v>23</v>
      </c>
    </row>
    <row r="321" customFormat="false" ht="15" hidden="false" customHeight="false" outlineLevel="0" collapsed="false">
      <c r="A321" s="29" t="n">
        <f aca="false">IF(23&lt;=NW,WEEK_ONE+160,"")</f>
        <v>46178</v>
      </c>
      <c r="B321" s="30" t="str">
        <f aca="false">IF(A321="","",CHOOSE(WEEKDAY(A321,1),"الأحد","الاثنين","الثلاثاء","الأربعاء","الخميس","الجمعة","السبت"))</f>
        <v>الجمعة</v>
      </c>
      <c r="C321" s="24"/>
      <c r="D321" s="24"/>
      <c r="E321" s="25" t="str">
        <f aca="false">IF(OR(M321=0,K321="",L321=""),"",MOD(L321-K321,1))</f>
        <v/>
      </c>
      <c r="F321" s="25" t="str">
        <f aca="false">IF(OR(E321="",M321=0),"",IF(WEEKDAY(A321,1)=6,E321,MIN(E321,MAX(0,MIN(IF(L321&lt;K321,L321+1,L321),OMR_OT_AT)-K321))))</f>
        <v/>
      </c>
      <c r="G321" s="25" t="str">
        <f aca="false">IF(OR(E321="",M321=0),"",MAX(0,E321-F321))</f>
        <v/>
      </c>
      <c r="H321" s="26" t="str">
        <f aca="false">IF(OR(E321="",M321=0),"",ROUND((F321*$N$313+G321*$O$313)*24,3))</f>
        <v/>
      </c>
      <c r="I321" s="27"/>
      <c r="K321" s="28" t="str">
        <f aca="false">IF(OR(M321=0,C321=""),"",IF(ISNUMBER(C321),MOD(C321,1),IFERROR(INDEX(القوائم!$B$1:$B$288,MATCH(TRIM(C321),القوائم!$A$1:$A$288,0)),IFERROR(MOD(TIMEVALUE(C321),1),""))))</f>
        <v/>
      </c>
      <c r="L321" s="28" t="str">
        <f aca="false">IF(OR(M321=0,D321=""),"",IF(ISNUMBER(D321),MOD(D321,1),IFERROR(INDEX(القوائم!$B$1:$B$288,MATCH(TRIM(D321),القوائم!$A$1:$A$288,0)),IFERROR(MOD(TIMEVALUE(D321),1),""))))</f>
        <v/>
      </c>
      <c r="M321" s="19" t="n">
        <f aca="false">$M$313</f>
        <v>0</v>
      </c>
      <c r="Q321" s="19" t="n">
        <f aca="false">IF(N(E325)&gt;0,1,0)</f>
        <v>0</v>
      </c>
      <c r="S321" s="0" t="n">
        <v>23</v>
      </c>
    </row>
    <row r="322" customFormat="false" ht="15" hidden="false" customHeight="false" outlineLevel="0" collapsed="false">
      <c r="A322" s="31" t="str">
        <f aca="false">IF(M313=1,"ساعات تحميل الجبسمبورد بهالأسبوع ←","")</f>
        <v/>
      </c>
      <c r="B322" s="31"/>
      <c r="C322" s="31"/>
      <c r="D322" s="31"/>
      <c r="E322" s="32"/>
      <c r="F322" s="33" t="str">
        <f aca="false">IF(M313=1,"كل ساعة تحميل = "&amp;TEXT($P$313,"0.000")&amp;" دينار (منها "&amp;TEXT($N$313,"0.000")&amp;" محسوبة أصلاً بساعات اليوم)","")</f>
        <v/>
      </c>
      <c r="G322" s="33"/>
      <c r="H322" s="33"/>
      <c r="I322" s="33"/>
      <c r="M322" s="19" t="n">
        <f aca="false">$M$313</f>
        <v>0</v>
      </c>
      <c r="Q322" s="19" t="n">
        <f aca="false">IF(N(E325)&gt;0,1,0)</f>
        <v>0</v>
      </c>
      <c r="S322" s="0" t="n">
        <v>23</v>
      </c>
    </row>
    <row r="323" customFormat="false" ht="15" hidden="false" customHeight="false" outlineLevel="0" collapsed="false">
      <c r="A323" s="31" t="str">
        <f aca="false">IF(M313=1,"إكرامية الأسبوع (دينار) ←","")</f>
        <v/>
      </c>
      <c r="B323" s="31"/>
      <c r="C323" s="31"/>
      <c r="D323" s="31"/>
      <c r="E323" s="34"/>
      <c r="F323" s="35"/>
      <c r="G323" s="35"/>
      <c r="H323" s="35"/>
      <c r="I323" s="35"/>
      <c r="M323" s="19" t="n">
        <f aca="false">$M$313</f>
        <v>0</v>
      </c>
      <c r="Q323" s="19" t="n">
        <f aca="false">IF(N(E325)&gt;0,1,0)</f>
        <v>0</v>
      </c>
      <c r="S323" s="0" t="n">
        <v>23</v>
      </c>
    </row>
    <row r="324" customFormat="false" ht="36" hidden="false" customHeight="true" outlineLevel="0" collapsed="false">
      <c r="A324" s="36" t="str">
        <f aca="false">IF(M313=1,"المستحق النهائي للأسبوع","")</f>
        <v/>
      </c>
      <c r="B324" s="36"/>
      <c r="C324" s="36"/>
      <c r="D324" s="36"/>
      <c r="E324" s="36"/>
      <c r="F324" s="36"/>
      <c r="G324" s="36"/>
      <c r="H324" s="11" t="str">
        <f aca="false">IF(M313=1,ROUND(N($V$313)+N(E322)*($P$313-$N$313)+N(E323),3),"")</f>
        <v/>
      </c>
      <c r="I324" s="37"/>
      <c r="M324" s="19" t="n">
        <f aca="false">$M$313</f>
        <v>0</v>
      </c>
      <c r="Q324" s="19" t="n">
        <f aca="false">IF(N(E325)&gt;0,1,0)</f>
        <v>0</v>
      </c>
      <c r="S324" s="0" t="n">
        <v>23</v>
      </c>
      <c r="T324" s="0" t="n">
        <v>1</v>
      </c>
    </row>
    <row r="325" customFormat="false" ht="25.5" hidden="false" customHeight="true" outlineLevel="0" collapsed="false">
      <c r="A325" s="31" t="str">
        <f aca="false">IF(M313=1,"المدفوع (دينار) ←","")</f>
        <v/>
      </c>
      <c r="B325" s="31"/>
      <c r="C325" s="31"/>
      <c r="D325" s="31"/>
      <c r="E325" s="34"/>
      <c r="F325" s="38" t="str">
        <f aca="false">IF(M313=1,IF(N(E325)&gt;0,"✔ انقبض — الأسبوع مقفول","⏳ لسا ما انقبض"),"")</f>
        <v/>
      </c>
      <c r="G325" s="38"/>
      <c r="H325" s="38"/>
      <c r="I325" s="38"/>
      <c r="M325" s="19" t="n">
        <f aca="false">$M$313</f>
        <v>0</v>
      </c>
      <c r="Q325" s="19" t="n">
        <f aca="false">IF(N(E325)&gt;0,1,0)</f>
        <v>0</v>
      </c>
      <c r="S325" s="0" t="n">
        <v>23</v>
      </c>
    </row>
    <row r="326" customFormat="false" ht="9.75" hidden="false" customHeight="true" outlineLevel="0" collapsed="false">
      <c r="M326" s="19" t="n">
        <f aca="false">$M$313</f>
        <v>0</v>
      </c>
      <c r="Q326" s="19" t="n">
        <f aca="false">IF(N(E325)&gt;0,1,0)</f>
        <v>0</v>
      </c>
      <c r="S326" s="0" t="n">
        <v>23</v>
      </c>
      <c r="T326" s="0" t="n">
        <v>2</v>
      </c>
    </row>
    <row r="327" customFormat="false" ht="33.75" hidden="false" customHeight="true" outlineLevel="0" collapsed="false">
      <c r="A327" s="17" t="str">
        <f aca="false">IF(24&lt;=NW,TEXT(DAY(WEEK_ONE+161),"00")&amp;"/"&amp;TEXT(MONTH(WEEK_ONE+161),"00")&amp;"/"&amp;YEAR(WEEK_ONE+161)&amp;"  -  "&amp;TEXT(DAY(WEEK_ONE+167),"00")&amp;"/"&amp;TEXT(MONTH(WEEK_ONE+167),"00")&amp;"/"&amp;YEAR(WEEK_ONE+167)&amp;"   ·   الأسبوع 24"&amp;IF(24&lt;START_O,"   (قبل أسبوع البداية — ما بينحسب)",""),"ما في أسبوع 24 هالسنة")</f>
        <v>06/06/2026  -  12/06/2026   ·   الأسبوع 24   (قبل أسبوع البداية — ما بينحسب)</v>
      </c>
      <c r="B327" s="17"/>
      <c r="C327" s="17"/>
      <c r="D327" s="17"/>
      <c r="E327" s="17"/>
      <c r="F327" s="17"/>
      <c r="G327" s="17"/>
      <c r="H327" s="17"/>
      <c r="I327" s="17"/>
      <c r="L327" s="18" t="n">
        <f aca="false">IF(24&lt;=NW,WEEK_ONE+167,"")</f>
        <v>46185</v>
      </c>
      <c r="M327" s="19" t="n">
        <f aca="false">IF(AND(24&lt;=NW,24&gt;=START_O),1,0)</f>
        <v>0</v>
      </c>
      <c r="N327" s="20" t="n">
        <f aca="false">IFERROR(INDEX(RT_OMR,MATCH(L327,RT_K,1)),INDEX(RT_OMR,1))</f>
        <v>1.25</v>
      </c>
      <c r="O327" s="20" t="n">
        <f aca="false">IFERROR(INDEX(RT_OT,MATCH(L327,RT_K,1)),INDEX(RT_OT,1))</f>
        <v>1.5</v>
      </c>
      <c r="P327" s="20" t="n">
        <f aca="false">IFERROR(INDEX(RT_GYP,MATCH(L327,RT_K,1)),INDEX(RT_GYP,1))</f>
        <v>2.5</v>
      </c>
      <c r="Q327" s="19" t="n">
        <f aca="false">IF(N(E339)&gt;0,1,0)</f>
        <v>0</v>
      </c>
      <c r="R327" s="0" t="n">
        <v>24</v>
      </c>
      <c r="S327" s="0" t="n">
        <v>24</v>
      </c>
      <c r="U327" s="19" t="n">
        <f aca="false">IF(M327=1,SUM(E329:E335),0)</f>
        <v>0</v>
      </c>
      <c r="V327" s="19" t="n">
        <f aca="false">SUM(H329:H335)</f>
        <v>0</v>
      </c>
    </row>
    <row r="328" customFormat="false" ht="39.75" hidden="false" customHeight="true" outlineLevel="0" collapsed="false">
      <c r="A328" s="21" t="s">
        <v>18</v>
      </c>
      <c r="B328" s="21" t="s">
        <v>19</v>
      </c>
      <c r="C328" s="21" t="s">
        <v>20</v>
      </c>
      <c r="D328" s="21" t="s">
        <v>21</v>
      </c>
      <c r="E328" s="21" t="s">
        <v>22</v>
      </c>
      <c r="F328" s="21" t="s">
        <v>23</v>
      </c>
      <c r="G328" s="21" t="s">
        <v>24</v>
      </c>
      <c r="H328" s="21" t="s">
        <v>25</v>
      </c>
      <c r="I328" s="21" t="s">
        <v>26</v>
      </c>
      <c r="M328" s="19" t="n">
        <f aca="false">$M$327</f>
        <v>0</v>
      </c>
      <c r="Q328" s="19" t="n">
        <f aca="false">IF(N(E339)&gt;0,1,0)</f>
        <v>0</v>
      </c>
      <c r="S328" s="0" t="n">
        <v>24</v>
      </c>
    </row>
    <row r="329" customFormat="false" ht="15" hidden="false" customHeight="false" outlineLevel="0" collapsed="false">
      <c r="A329" s="22" t="n">
        <f aca="false">IF(24&lt;=NW,WEEK_ONE+161,"")</f>
        <v>46179</v>
      </c>
      <c r="B329" s="23" t="str">
        <f aca="false">IF(A329="","",CHOOSE(WEEKDAY(A329,1),"الأحد","الاثنين","الثلاثاء","الأربعاء","الخميس","الجمعة","السبت"))</f>
        <v>السبت</v>
      </c>
      <c r="C329" s="24"/>
      <c r="D329" s="24"/>
      <c r="E329" s="25" t="str">
        <f aca="false">IF(OR(M329=0,K329="",L329=""),"",MOD(L329-K329,1))</f>
        <v/>
      </c>
      <c r="F329" s="25" t="str">
        <f aca="false">IF(OR(E329="",M329=0),"",IF(WEEKDAY(A329,1)=6,E329,MIN(E329,MAX(0,MIN(IF(L329&lt;K329,L329+1,L329),OMR_OT_AT)-K329))))</f>
        <v/>
      </c>
      <c r="G329" s="25" t="str">
        <f aca="false">IF(OR(E329="",M329=0),"",MAX(0,E329-F329))</f>
        <v/>
      </c>
      <c r="H329" s="26" t="str">
        <f aca="false">IF(OR(E329="",M329=0),"",ROUND((F329*$N$327+G329*$O$327)*24,3))</f>
        <v/>
      </c>
      <c r="I329" s="27"/>
      <c r="K329" s="28" t="str">
        <f aca="false">IF(OR(M329=0,C329=""),"",IF(ISNUMBER(C329),MOD(C329,1),IFERROR(INDEX(القوائم!$B$1:$B$288,MATCH(TRIM(C329),القوائم!$A$1:$A$288,0)),IFERROR(MOD(TIMEVALUE(C329),1),""))))</f>
        <v/>
      </c>
      <c r="L329" s="28" t="str">
        <f aca="false">IF(OR(M329=0,D329=""),"",IF(ISNUMBER(D329),MOD(D329,1),IFERROR(INDEX(القوائم!$B$1:$B$288,MATCH(TRIM(D329),القوائم!$A$1:$A$288,0)),IFERROR(MOD(TIMEVALUE(D329),1),""))))</f>
        <v/>
      </c>
      <c r="M329" s="19" t="n">
        <f aca="false">$M$327</f>
        <v>0</v>
      </c>
      <c r="Q329" s="19" t="n">
        <f aca="false">IF(N(E339)&gt;0,1,0)</f>
        <v>0</v>
      </c>
      <c r="S329" s="0" t="n">
        <v>24</v>
      </c>
    </row>
    <row r="330" customFormat="false" ht="15" hidden="false" customHeight="false" outlineLevel="0" collapsed="false">
      <c r="A330" s="22" t="n">
        <f aca="false">IF(24&lt;=NW,WEEK_ONE+162,"")</f>
        <v>46180</v>
      </c>
      <c r="B330" s="23" t="str">
        <f aca="false">IF(A330="","",CHOOSE(WEEKDAY(A330,1),"الأحد","الاثنين","الثلاثاء","الأربعاء","الخميس","الجمعة","السبت"))</f>
        <v>الأحد</v>
      </c>
      <c r="C330" s="24"/>
      <c r="D330" s="24"/>
      <c r="E330" s="25" t="str">
        <f aca="false">IF(OR(M330=0,K330="",L330=""),"",MOD(L330-K330,1))</f>
        <v/>
      </c>
      <c r="F330" s="25" t="str">
        <f aca="false">IF(OR(E330="",M330=0),"",IF(WEEKDAY(A330,1)=6,E330,MIN(E330,MAX(0,MIN(IF(L330&lt;K330,L330+1,L330),OMR_OT_AT)-K330))))</f>
        <v/>
      </c>
      <c r="G330" s="25" t="str">
        <f aca="false">IF(OR(E330="",M330=0),"",MAX(0,E330-F330))</f>
        <v/>
      </c>
      <c r="H330" s="26" t="str">
        <f aca="false">IF(OR(E330="",M330=0),"",ROUND((F330*$N$327+G330*$O$327)*24,3))</f>
        <v/>
      </c>
      <c r="I330" s="27"/>
      <c r="K330" s="28" t="str">
        <f aca="false">IF(OR(M330=0,C330=""),"",IF(ISNUMBER(C330),MOD(C330,1),IFERROR(INDEX(القوائم!$B$1:$B$288,MATCH(TRIM(C330),القوائم!$A$1:$A$288,0)),IFERROR(MOD(TIMEVALUE(C330),1),""))))</f>
        <v/>
      </c>
      <c r="L330" s="28" t="str">
        <f aca="false">IF(OR(M330=0,D330=""),"",IF(ISNUMBER(D330),MOD(D330,1),IFERROR(INDEX(القوائم!$B$1:$B$288,MATCH(TRIM(D330),القوائم!$A$1:$A$288,0)),IFERROR(MOD(TIMEVALUE(D330),1),""))))</f>
        <v/>
      </c>
      <c r="M330" s="19" t="n">
        <f aca="false">$M$327</f>
        <v>0</v>
      </c>
      <c r="Q330" s="19" t="n">
        <f aca="false">IF(N(E339)&gt;0,1,0)</f>
        <v>0</v>
      </c>
      <c r="S330" s="0" t="n">
        <v>24</v>
      </c>
    </row>
    <row r="331" customFormat="false" ht="15" hidden="false" customHeight="false" outlineLevel="0" collapsed="false">
      <c r="A331" s="22" t="n">
        <f aca="false">IF(24&lt;=NW,WEEK_ONE+163,"")</f>
        <v>46181</v>
      </c>
      <c r="B331" s="23" t="str">
        <f aca="false">IF(A331="","",CHOOSE(WEEKDAY(A331,1),"الأحد","الاثنين","الثلاثاء","الأربعاء","الخميس","الجمعة","السبت"))</f>
        <v>الاثنين</v>
      </c>
      <c r="C331" s="24"/>
      <c r="D331" s="24"/>
      <c r="E331" s="25" t="str">
        <f aca="false">IF(OR(M331=0,K331="",L331=""),"",MOD(L331-K331,1))</f>
        <v/>
      </c>
      <c r="F331" s="25" t="str">
        <f aca="false">IF(OR(E331="",M331=0),"",IF(WEEKDAY(A331,1)=6,E331,MIN(E331,MAX(0,MIN(IF(L331&lt;K331,L331+1,L331),OMR_OT_AT)-K331))))</f>
        <v/>
      </c>
      <c r="G331" s="25" t="str">
        <f aca="false">IF(OR(E331="",M331=0),"",MAX(0,E331-F331))</f>
        <v/>
      </c>
      <c r="H331" s="26" t="str">
        <f aca="false">IF(OR(E331="",M331=0),"",ROUND((F331*$N$327+G331*$O$327)*24,3))</f>
        <v/>
      </c>
      <c r="I331" s="27"/>
      <c r="K331" s="28" t="str">
        <f aca="false">IF(OR(M331=0,C331=""),"",IF(ISNUMBER(C331),MOD(C331,1),IFERROR(INDEX(القوائم!$B$1:$B$288,MATCH(TRIM(C331),القوائم!$A$1:$A$288,0)),IFERROR(MOD(TIMEVALUE(C331),1),""))))</f>
        <v/>
      </c>
      <c r="L331" s="28" t="str">
        <f aca="false">IF(OR(M331=0,D331=""),"",IF(ISNUMBER(D331),MOD(D331,1),IFERROR(INDEX(القوائم!$B$1:$B$288,MATCH(TRIM(D331),القوائم!$A$1:$A$288,0)),IFERROR(MOD(TIMEVALUE(D331),1),""))))</f>
        <v/>
      </c>
      <c r="M331" s="19" t="n">
        <f aca="false">$M$327</f>
        <v>0</v>
      </c>
      <c r="Q331" s="19" t="n">
        <f aca="false">IF(N(E339)&gt;0,1,0)</f>
        <v>0</v>
      </c>
      <c r="S331" s="0" t="n">
        <v>24</v>
      </c>
    </row>
    <row r="332" customFormat="false" ht="15" hidden="false" customHeight="false" outlineLevel="0" collapsed="false">
      <c r="A332" s="22" t="n">
        <f aca="false">IF(24&lt;=NW,WEEK_ONE+164,"")</f>
        <v>46182</v>
      </c>
      <c r="B332" s="23" t="str">
        <f aca="false">IF(A332="","",CHOOSE(WEEKDAY(A332,1),"الأحد","الاثنين","الثلاثاء","الأربعاء","الخميس","الجمعة","السبت"))</f>
        <v>الثلاثاء</v>
      </c>
      <c r="C332" s="24"/>
      <c r="D332" s="24"/>
      <c r="E332" s="25" t="str">
        <f aca="false">IF(OR(M332=0,K332="",L332=""),"",MOD(L332-K332,1))</f>
        <v/>
      </c>
      <c r="F332" s="25" t="str">
        <f aca="false">IF(OR(E332="",M332=0),"",IF(WEEKDAY(A332,1)=6,E332,MIN(E332,MAX(0,MIN(IF(L332&lt;K332,L332+1,L332),OMR_OT_AT)-K332))))</f>
        <v/>
      </c>
      <c r="G332" s="25" t="str">
        <f aca="false">IF(OR(E332="",M332=0),"",MAX(0,E332-F332))</f>
        <v/>
      </c>
      <c r="H332" s="26" t="str">
        <f aca="false">IF(OR(E332="",M332=0),"",ROUND((F332*$N$327+G332*$O$327)*24,3))</f>
        <v/>
      </c>
      <c r="I332" s="27"/>
      <c r="K332" s="28" t="str">
        <f aca="false">IF(OR(M332=0,C332=""),"",IF(ISNUMBER(C332),MOD(C332,1),IFERROR(INDEX(القوائم!$B$1:$B$288,MATCH(TRIM(C332),القوائم!$A$1:$A$288,0)),IFERROR(MOD(TIMEVALUE(C332),1),""))))</f>
        <v/>
      </c>
      <c r="L332" s="28" t="str">
        <f aca="false">IF(OR(M332=0,D332=""),"",IF(ISNUMBER(D332),MOD(D332,1),IFERROR(INDEX(القوائم!$B$1:$B$288,MATCH(TRIM(D332),القوائم!$A$1:$A$288,0)),IFERROR(MOD(TIMEVALUE(D332),1),""))))</f>
        <v/>
      </c>
      <c r="M332" s="19" t="n">
        <f aca="false">$M$327</f>
        <v>0</v>
      </c>
      <c r="Q332" s="19" t="n">
        <f aca="false">IF(N(E339)&gt;0,1,0)</f>
        <v>0</v>
      </c>
      <c r="S332" s="0" t="n">
        <v>24</v>
      </c>
    </row>
    <row r="333" customFormat="false" ht="15" hidden="false" customHeight="false" outlineLevel="0" collapsed="false">
      <c r="A333" s="22" t="n">
        <f aca="false">IF(24&lt;=NW,WEEK_ONE+165,"")</f>
        <v>46183</v>
      </c>
      <c r="B333" s="23" t="str">
        <f aca="false">IF(A333="","",CHOOSE(WEEKDAY(A333,1),"الأحد","الاثنين","الثلاثاء","الأربعاء","الخميس","الجمعة","السبت"))</f>
        <v>الأربعاء</v>
      </c>
      <c r="C333" s="24"/>
      <c r="D333" s="24"/>
      <c r="E333" s="25" t="str">
        <f aca="false">IF(OR(M333=0,K333="",L333=""),"",MOD(L333-K333,1))</f>
        <v/>
      </c>
      <c r="F333" s="25" t="str">
        <f aca="false">IF(OR(E333="",M333=0),"",IF(WEEKDAY(A333,1)=6,E333,MIN(E333,MAX(0,MIN(IF(L333&lt;K333,L333+1,L333),OMR_OT_AT)-K333))))</f>
        <v/>
      </c>
      <c r="G333" s="25" t="str">
        <f aca="false">IF(OR(E333="",M333=0),"",MAX(0,E333-F333))</f>
        <v/>
      </c>
      <c r="H333" s="26" t="str">
        <f aca="false">IF(OR(E333="",M333=0),"",ROUND((F333*$N$327+G333*$O$327)*24,3))</f>
        <v/>
      </c>
      <c r="I333" s="27"/>
      <c r="K333" s="28" t="str">
        <f aca="false">IF(OR(M333=0,C333=""),"",IF(ISNUMBER(C333),MOD(C333,1),IFERROR(INDEX(القوائم!$B$1:$B$288,MATCH(TRIM(C333),القوائم!$A$1:$A$288,0)),IFERROR(MOD(TIMEVALUE(C333),1),""))))</f>
        <v/>
      </c>
      <c r="L333" s="28" t="str">
        <f aca="false">IF(OR(M333=0,D333=""),"",IF(ISNUMBER(D333),MOD(D333,1),IFERROR(INDEX(القوائم!$B$1:$B$288,MATCH(TRIM(D333),القوائم!$A$1:$A$288,0)),IFERROR(MOD(TIMEVALUE(D333),1),""))))</f>
        <v/>
      </c>
      <c r="M333" s="19" t="n">
        <f aca="false">$M$327</f>
        <v>0</v>
      </c>
      <c r="Q333" s="19" t="n">
        <f aca="false">IF(N(E339)&gt;0,1,0)</f>
        <v>0</v>
      </c>
      <c r="S333" s="0" t="n">
        <v>24</v>
      </c>
    </row>
    <row r="334" customFormat="false" ht="15" hidden="false" customHeight="false" outlineLevel="0" collapsed="false">
      <c r="A334" s="22" t="n">
        <f aca="false">IF(24&lt;=NW,WEEK_ONE+166,"")</f>
        <v>46184</v>
      </c>
      <c r="B334" s="23" t="str">
        <f aca="false">IF(A334="","",CHOOSE(WEEKDAY(A334,1),"الأحد","الاثنين","الثلاثاء","الأربعاء","الخميس","الجمعة","السبت"))</f>
        <v>الخميس</v>
      </c>
      <c r="C334" s="24"/>
      <c r="D334" s="24"/>
      <c r="E334" s="25" t="str">
        <f aca="false">IF(OR(M334=0,K334="",L334=""),"",MOD(L334-K334,1))</f>
        <v/>
      </c>
      <c r="F334" s="25" t="str">
        <f aca="false">IF(OR(E334="",M334=0),"",IF(WEEKDAY(A334,1)=6,E334,MIN(E334,MAX(0,MIN(IF(L334&lt;K334,L334+1,L334),OMR_OT_AT)-K334))))</f>
        <v/>
      </c>
      <c r="G334" s="25" t="str">
        <f aca="false">IF(OR(E334="",M334=0),"",MAX(0,E334-F334))</f>
        <v/>
      </c>
      <c r="H334" s="26" t="str">
        <f aca="false">IF(OR(E334="",M334=0),"",ROUND((F334*$N$327+G334*$O$327)*24,3))</f>
        <v/>
      </c>
      <c r="I334" s="27"/>
      <c r="K334" s="28" t="str">
        <f aca="false">IF(OR(M334=0,C334=""),"",IF(ISNUMBER(C334),MOD(C334,1),IFERROR(INDEX(القوائم!$B$1:$B$288,MATCH(TRIM(C334),القوائم!$A$1:$A$288,0)),IFERROR(MOD(TIMEVALUE(C334),1),""))))</f>
        <v/>
      </c>
      <c r="L334" s="28" t="str">
        <f aca="false">IF(OR(M334=0,D334=""),"",IF(ISNUMBER(D334),MOD(D334,1),IFERROR(INDEX(القوائم!$B$1:$B$288,MATCH(TRIM(D334),القوائم!$A$1:$A$288,0)),IFERROR(MOD(TIMEVALUE(D334),1),""))))</f>
        <v/>
      </c>
      <c r="M334" s="19" t="n">
        <f aca="false">$M$327</f>
        <v>0</v>
      </c>
      <c r="Q334" s="19" t="n">
        <f aca="false">IF(N(E339)&gt;0,1,0)</f>
        <v>0</v>
      </c>
      <c r="S334" s="0" t="n">
        <v>24</v>
      </c>
    </row>
    <row r="335" customFormat="false" ht="15" hidden="false" customHeight="false" outlineLevel="0" collapsed="false">
      <c r="A335" s="29" t="n">
        <f aca="false">IF(24&lt;=NW,WEEK_ONE+167,"")</f>
        <v>46185</v>
      </c>
      <c r="B335" s="30" t="str">
        <f aca="false">IF(A335="","",CHOOSE(WEEKDAY(A335,1),"الأحد","الاثنين","الثلاثاء","الأربعاء","الخميس","الجمعة","السبت"))</f>
        <v>الجمعة</v>
      </c>
      <c r="C335" s="24"/>
      <c r="D335" s="24"/>
      <c r="E335" s="25" t="str">
        <f aca="false">IF(OR(M335=0,K335="",L335=""),"",MOD(L335-K335,1))</f>
        <v/>
      </c>
      <c r="F335" s="25" t="str">
        <f aca="false">IF(OR(E335="",M335=0),"",IF(WEEKDAY(A335,1)=6,E335,MIN(E335,MAX(0,MIN(IF(L335&lt;K335,L335+1,L335),OMR_OT_AT)-K335))))</f>
        <v/>
      </c>
      <c r="G335" s="25" t="str">
        <f aca="false">IF(OR(E335="",M335=0),"",MAX(0,E335-F335))</f>
        <v/>
      </c>
      <c r="H335" s="26" t="str">
        <f aca="false">IF(OR(E335="",M335=0),"",ROUND((F335*$N$327+G335*$O$327)*24,3))</f>
        <v/>
      </c>
      <c r="I335" s="27"/>
      <c r="K335" s="28" t="str">
        <f aca="false">IF(OR(M335=0,C335=""),"",IF(ISNUMBER(C335),MOD(C335,1),IFERROR(INDEX(القوائم!$B$1:$B$288,MATCH(TRIM(C335),القوائم!$A$1:$A$288,0)),IFERROR(MOD(TIMEVALUE(C335),1),""))))</f>
        <v/>
      </c>
      <c r="L335" s="28" t="str">
        <f aca="false">IF(OR(M335=0,D335=""),"",IF(ISNUMBER(D335),MOD(D335,1),IFERROR(INDEX(القوائم!$B$1:$B$288,MATCH(TRIM(D335),القوائم!$A$1:$A$288,0)),IFERROR(MOD(TIMEVALUE(D335),1),""))))</f>
        <v/>
      </c>
      <c r="M335" s="19" t="n">
        <f aca="false">$M$327</f>
        <v>0</v>
      </c>
      <c r="Q335" s="19" t="n">
        <f aca="false">IF(N(E339)&gt;0,1,0)</f>
        <v>0</v>
      </c>
      <c r="S335" s="0" t="n">
        <v>24</v>
      </c>
    </row>
    <row r="336" customFormat="false" ht="15" hidden="false" customHeight="false" outlineLevel="0" collapsed="false">
      <c r="A336" s="31" t="str">
        <f aca="false">IF(M327=1,"ساعات تحميل الجبسمبورد بهالأسبوع ←","")</f>
        <v/>
      </c>
      <c r="B336" s="31"/>
      <c r="C336" s="31"/>
      <c r="D336" s="31"/>
      <c r="E336" s="32"/>
      <c r="F336" s="33" t="str">
        <f aca="false">IF(M327=1,"كل ساعة تحميل = "&amp;TEXT($P$327,"0.000")&amp;" دينار (منها "&amp;TEXT($N$327,"0.000")&amp;" محسوبة أصلاً بساعات اليوم)","")</f>
        <v/>
      </c>
      <c r="G336" s="33"/>
      <c r="H336" s="33"/>
      <c r="I336" s="33"/>
      <c r="M336" s="19" t="n">
        <f aca="false">$M$327</f>
        <v>0</v>
      </c>
      <c r="Q336" s="19" t="n">
        <f aca="false">IF(N(E339)&gt;0,1,0)</f>
        <v>0</v>
      </c>
      <c r="S336" s="0" t="n">
        <v>24</v>
      </c>
    </row>
    <row r="337" customFormat="false" ht="15" hidden="false" customHeight="false" outlineLevel="0" collapsed="false">
      <c r="A337" s="31" t="str">
        <f aca="false">IF(M327=1,"إكرامية الأسبوع (دينار) ←","")</f>
        <v/>
      </c>
      <c r="B337" s="31"/>
      <c r="C337" s="31"/>
      <c r="D337" s="31"/>
      <c r="E337" s="34"/>
      <c r="F337" s="35"/>
      <c r="G337" s="35"/>
      <c r="H337" s="35"/>
      <c r="I337" s="35"/>
      <c r="M337" s="19" t="n">
        <f aca="false">$M$327</f>
        <v>0</v>
      </c>
      <c r="Q337" s="19" t="n">
        <f aca="false">IF(N(E339)&gt;0,1,0)</f>
        <v>0</v>
      </c>
      <c r="S337" s="0" t="n">
        <v>24</v>
      </c>
    </row>
    <row r="338" customFormat="false" ht="36" hidden="false" customHeight="true" outlineLevel="0" collapsed="false">
      <c r="A338" s="36" t="str">
        <f aca="false">IF(M327=1,"المستحق النهائي للأسبوع","")</f>
        <v/>
      </c>
      <c r="B338" s="36"/>
      <c r="C338" s="36"/>
      <c r="D338" s="36"/>
      <c r="E338" s="36"/>
      <c r="F338" s="36"/>
      <c r="G338" s="36"/>
      <c r="H338" s="11" t="str">
        <f aca="false">IF(M327=1,ROUND(N($V$327)+N(E336)*($P$327-$N$327)+N(E337),3),"")</f>
        <v/>
      </c>
      <c r="I338" s="37"/>
      <c r="M338" s="19" t="n">
        <f aca="false">$M$327</f>
        <v>0</v>
      </c>
      <c r="Q338" s="19" t="n">
        <f aca="false">IF(N(E339)&gt;0,1,0)</f>
        <v>0</v>
      </c>
      <c r="S338" s="0" t="n">
        <v>24</v>
      </c>
      <c r="T338" s="0" t="n">
        <v>1</v>
      </c>
    </row>
    <row r="339" customFormat="false" ht="25.5" hidden="false" customHeight="true" outlineLevel="0" collapsed="false">
      <c r="A339" s="31" t="str">
        <f aca="false">IF(M327=1,"المدفوع (دينار) ←","")</f>
        <v/>
      </c>
      <c r="B339" s="31"/>
      <c r="C339" s="31"/>
      <c r="D339" s="31"/>
      <c r="E339" s="34"/>
      <c r="F339" s="38" t="str">
        <f aca="false">IF(M327=1,IF(N(E339)&gt;0,"✔ انقبض — الأسبوع مقفول","⏳ لسا ما انقبض"),"")</f>
        <v/>
      </c>
      <c r="G339" s="38"/>
      <c r="H339" s="38"/>
      <c r="I339" s="38"/>
      <c r="M339" s="19" t="n">
        <f aca="false">$M$327</f>
        <v>0</v>
      </c>
      <c r="Q339" s="19" t="n">
        <f aca="false">IF(N(E339)&gt;0,1,0)</f>
        <v>0</v>
      </c>
      <c r="S339" s="0" t="n">
        <v>24</v>
      </c>
    </row>
    <row r="340" customFormat="false" ht="9.75" hidden="false" customHeight="true" outlineLevel="0" collapsed="false">
      <c r="M340" s="19" t="n">
        <f aca="false">$M$327</f>
        <v>0</v>
      </c>
      <c r="Q340" s="19" t="n">
        <f aca="false">IF(N(E339)&gt;0,1,0)</f>
        <v>0</v>
      </c>
      <c r="S340" s="0" t="n">
        <v>24</v>
      </c>
      <c r="T340" s="0" t="n">
        <v>2</v>
      </c>
    </row>
    <row r="341" customFormat="false" ht="33.75" hidden="false" customHeight="true" outlineLevel="0" collapsed="false">
      <c r="A341" s="17" t="str">
        <f aca="false">IF(25&lt;=NW,TEXT(DAY(WEEK_ONE+168),"00")&amp;"/"&amp;TEXT(MONTH(WEEK_ONE+168),"00")&amp;"/"&amp;YEAR(WEEK_ONE+168)&amp;"  -  "&amp;TEXT(DAY(WEEK_ONE+174),"00")&amp;"/"&amp;TEXT(MONTH(WEEK_ONE+174),"00")&amp;"/"&amp;YEAR(WEEK_ONE+174)&amp;"   ·   الأسبوع 25"&amp;IF(25&lt;START_O,"   (قبل أسبوع البداية — ما بينحسب)",""),"ما في أسبوع 25 هالسنة")</f>
        <v>13/06/2026  -  19/06/2026   ·   الأسبوع 25   (قبل أسبوع البداية — ما بينحسب)</v>
      </c>
      <c r="B341" s="17"/>
      <c r="C341" s="17"/>
      <c r="D341" s="17"/>
      <c r="E341" s="17"/>
      <c r="F341" s="17"/>
      <c r="G341" s="17"/>
      <c r="H341" s="17"/>
      <c r="I341" s="17"/>
      <c r="L341" s="18" t="n">
        <f aca="false">IF(25&lt;=NW,WEEK_ONE+174,"")</f>
        <v>46192</v>
      </c>
      <c r="M341" s="19" t="n">
        <f aca="false">IF(AND(25&lt;=NW,25&gt;=START_O),1,0)</f>
        <v>0</v>
      </c>
      <c r="N341" s="20" t="n">
        <f aca="false">IFERROR(INDEX(RT_OMR,MATCH(L341,RT_K,1)),INDEX(RT_OMR,1))</f>
        <v>1.25</v>
      </c>
      <c r="O341" s="20" t="n">
        <f aca="false">IFERROR(INDEX(RT_OT,MATCH(L341,RT_K,1)),INDEX(RT_OT,1))</f>
        <v>1.5</v>
      </c>
      <c r="P341" s="20" t="n">
        <f aca="false">IFERROR(INDEX(RT_GYP,MATCH(L341,RT_K,1)),INDEX(RT_GYP,1))</f>
        <v>2.5</v>
      </c>
      <c r="Q341" s="19" t="n">
        <f aca="false">IF(N(E353)&gt;0,1,0)</f>
        <v>0</v>
      </c>
      <c r="R341" s="0" t="n">
        <v>25</v>
      </c>
      <c r="S341" s="0" t="n">
        <v>25</v>
      </c>
      <c r="U341" s="19" t="n">
        <f aca="false">IF(M341=1,SUM(E343:E349),0)</f>
        <v>0</v>
      </c>
      <c r="V341" s="19" t="n">
        <f aca="false">SUM(H343:H349)</f>
        <v>0</v>
      </c>
    </row>
    <row r="342" customFormat="false" ht="39.75" hidden="false" customHeight="true" outlineLevel="0" collapsed="false">
      <c r="A342" s="21" t="s">
        <v>18</v>
      </c>
      <c r="B342" s="21" t="s">
        <v>19</v>
      </c>
      <c r="C342" s="21" t="s">
        <v>20</v>
      </c>
      <c r="D342" s="21" t="s">
        <v>21</v>
      </c>
      <c r="E342" s="21" t="s">
        <v>22</v>
      </c>
      <c r="F342" s="21" t="s">
        <v>23</v>
      </c>
      <c r="G342" s="21" t="s">
        <v>24</v>
      </c>
      <c r="H342" s="21" t="s">
        <v>25</v>
      </c>
      <c r="I342" s="21" t="s">
        <v>26</v>
      </c>
      <c r="M342" s="19" t="n">
        <f aca="false">$M$341</f>
        <v>0</v>
      </c>
      <c r="Q342" s="19" t="n">
        <f aca="false">IF(N(E353)&gt;0,1,0)</f>
        <v>0</v>
      </c>
      <c r="S342" s="0" t="n">
        <v>25</v>
      </c>
    </row>
    <row r="343" customFormat="false" ht="15" hidden="false" customHeight="false" outlineLevel="0" collapsed="false">
      <c r="A343" s="22" t="n">
        <f aca="false">IF(25&lt;=NW,WEEK_ONE+168,"")</f>
        <v>46186</v>
      </c>
      <c r="B343" s="23" t="str">
        <f aca="false">IF(A343="","",CHOOSE(WEEKDAY(A343,1),"الأحد","الاثنين","الثلاثاء","الأربعاء","الخميس","الجمعة","السبت"))</f>
        <v>السبت</v>
      </c>
      <c r="C343" s="24"/>
      <c r="D343" s="24"/>
      <c r="E343" s="25" t="str">
        <f aca="false">IF(OR(M343=0,K343="",L343=""),"",MOD(L343-K343,1))</f>
        <v/>
      </c>
      <c r="F343" s="25" t="str">
        <f aca="false">IF(OR(E343="",M343=0),"",IF(WEEKDAY(A343,1)=6,E343,MIN(E343,MAX(0,MIN(IF(L343&lt;K343,L343+1,L343),OMR_OT_AT)-K343))))</f>
        <v/>
      </c>
      <c r="G343" s="25" t="str">
        <f aca="false">IF(OR(E343="",M343=0),"",MAX(0,E343-F343))</f>
        <v/>
      </c>
      <c r="H343" s="26" t="str">
        <f aca="false">IF(OR(E343="",M343=0),"",ROUND((F343*$N$341+G343*$O$341)*24,3))</f>
        <v/>
      </c>
      <c r="I343" s="27"/>
      <c r="K343" s="28" t="str">
        <f aca="false">IF(OR(M343=0,C343=""),"",IF(ISNUMBER(C343),MOD(C343,1),IFERROR(INDEX(القوائم!$B$1:$B$288,MATCH(TRIM(C343),القوائم!$A$1:$A$288,0)),IFERROR(MOD(TIMEVALUE(C343),1),""))))</f>
        <v/>
      </c>
      <c r="L343" s="28" t="str">
        <f aca="false">IF(OR(M343=0,D343=""),"",IF(ISNUMBER(D343),MOD(D343,1),IFERROR(INDEX(القوائم!$B$1:$B$288,MATCH(TRIM(D343),القوائم!$A$1:$A$288,0)),IFERROR(MOD(TIMEVALUE(D343),1),""))))</f>
        <v/>
      </c>
      <c r="M343" s="19" t="n">
        <f aca="false">$M$341</f>
        <v>0</v>
      </c>
      <c r="Q343" s="19" t="n">
        <f aca="false">IF(N(E353)&gt;0,1,0)</f>
        <v>0</v>
      </c>
      <c r="S343" s="0" t="n">
        <v>25</v>
      </c>
    </row>
    <row r="344" customFormat="false" ht="15" hidden="false" customHeight="false" outlineLevel="0" collapsed="false">
      <c r="A344" s="22" t="n">
        <f aca="false">IF(25&lt;=NW,WEEK_ONE+169,"")</f>
        <v>46187</v>
      </c>
      <c r="B344" s="23" t="str">
        <f aca="false">IF(A344="","",CHOOSE(WEEKDAY(A344,1),"الأحد","الاثنين","الثلاثاء","الأربعاء","الخميس","الجمعة","السبت"))</f>
        <v>الأحد</v>
      </c>
      <c r="C344" s="24"/>
      <c r="D344" s="24"/>
      <c r="E344" s="25" t="str">
        <f aca="false">IF(OR(M344=0,K344="",L344=""),"",MOD(L344-K344,1))</f>
        <v/>
      </c>
      <c r="F344" s="25" t="str">
        <f aca="false">IF(OR(E344="",M344=0),"",IF(WEEKDAY(A344,1)=6,E344,MIN(E344,MAX(0,MIN(IF(L344&lt;K344,L344+1,L344),OMR_OT_AT)-K344))))</f>
        <v/>
      </c>
      <c r="G344" s="25" t="str">
        <f aca="false">IF(OR(E344="",M344=0),"",MAX(0,E344-F344))</f>
        <v/>
      </c>
      <c r="H344" s="26" t="str">
        <f aca="false">IF(OR(E344="",M344=0),"",ROUND((F344*$N$341+G344*$O$341)*24,3))</f>
        <v/>
      </c>
      <c r="I344" s="27"/>
      <c r="K344" s="28" t="str">
        <f aca="false">IF(OR(M344=0,C344=""),"",IF(ISNUMBER(C344),MOD(C344,1),IFERROR(INDEX(القوائم!$B$1:$B$288,MATCH(TRIM(C344),القوائم!$A$1:$A$288,0)),IFERROR(MOD(TIMEVALUE(C344),1),""))))</f>
        <v/>
      </c>
      <c r="L344" s="28" t="str">
        <f aca="false">IF(OR(M344=0,D344=""),"",IF(ISNUMBER(D344),MOD(D344,1),IFERROR(INDEX(القوائم!$B$1:$B$288,MATCH(TRIM(D344),القوائم!$A$1:$A$288,0)),IFERROR(MOD(TIMEVALUE(D344),1),""))))</f>
        <v/>
      </c>
      <c r="M344" s="19" t="n">
        <f aca="false">$M$341</f>
        <v>0</v>
      </c>
      <c r="Q344" s="19" t="n">
        <f aca="false">IF(N(E353)&gt;0,1,0)</f>
        <v>0</v>
      </c>
      <c r="S344" s="0" t="n">
        <v>25</v>
      </c>
    </row>
    <row r="345" customFormat="false" ht="15" hidden="false" customHeight="false" outlineLevel="0" collapsed="false">
      <c r="A345" s="22" t="n">
        <f aca="false">IF(25&lt;=NW,WEEK_ONE+170,"")</f>
        <v>46188</v>
      </c>
      <c r="B345" s="23" t="str">
        <f aca="false">IF(A345="","",CHOOSE(WEEKDAY(A345,1),"الأحد","الاثنين","الثلاثاء","الأربعاء","الخميس","الجمعة","السبت"))</f>
        <v>الاثنين</v>
      </c>
      <c r="C345" s="24"/>
      <c r="D345" s="24"/>
      <c r="E345" s="25" t="str">
        <f aca="false">IF(OR(M345=0,K345="",L345=""),"",MOD(L345-K345,1))</f>
        <v/>
      </c>
      <c r="F345" s="25" t="str">
        <f aca="false">IF(OR(E345="",M345=0),"",IF(WEEKDAY(A345,1)=6,E345,MIN(E345,MAX(0,MIN(IF(L345&lt;K345,L345+1,L345),OMR_OT_AT)-K345))))</f>
        <v/>
      </c>
      <c r="G345" s="25" t="str">
        <f aca="false">IF(OR(E345="",M345=0),"",MAX(0,E345-F345))</f>
        <v/>
      </c>
      <c r="H345" s="26" t="str">
        <f aca="false">IF(OR(E345="",M345=0),"",ROUND((F345*$N$341+G345*$O$341)*24,3))</f>
        <v/>
      </c>
      <c r="I345" s="27"/>
      <c r="K345" s="28" t="str">
        <f aca="false">IF(OR(M345=0,C345=""),"",IF(ISNUMBER(C345),MOD(C345,1),IFERROR(INDEX(القوائم!$B$1:$B$288,MATCH(TRIM(C345),القوائم!$A$1:$A$288,0)),IFERROR(MOD(TIMEVALUE(C345),1),""))))</f>
        <v/>
      </c>
      <c r="L345" s="28" t="str">
        <f aca="false">IF(OR(M345=0,D345=""),"",IF(ISNUMBER(D345),MOD(D345,1),IFERROR(INDEX(القوائم!$B$1:$B$288,MATCH(TRIM(D345),القوائم!$A$1:$A$288,0)),IFERROR(MOD(TIMEVALUE(D345),1),""))))</f>
        <v/>
      </c>
      <c r="M345" s="19" t="n">
        <f aca="false">$M$341</f>
        <v>0</v>
      </c>
      <c r="Q345" s="19" t="n">
        <f aca="false">IF(N(E353)&gt;0,1,0)</f>
        <v>0</v>
      </c>
      <c r="S345" s="0" t="n">
        <v>25</v>
      </c>
    </row>
    <row r="346" customFormat="false" ht="15" hidden="false" customHeight="false" outlineLevel="0" collapsed="false">
      <c r="A346" s="22" t="n">
        <f aca="false">IF(25&lt;=NW,WEEK_ONE+171,"")</f>
        <v>46189</v>
      </c>
      <c r="B346" s="23" t="str">
        <f aca="false">IF(A346="","",CHOOSE(WEEKDAY(A346,1),"الأحد","الاثنين","الثلاثاء","الأربعاء","الخميس","الجمعة","السبت"))</f>
        <v>الثلاثاء</v>
      </c>
      <c r="C346" s="24"/>
      <c r="D346" s="24"/>
      <c r="E346" s="25" t="str">
        <f aca="false">IF(OR(M346=0,K346="",L346=""),"",MOD(L346-K346,1))</f>
        <v/>
      </c>
      <c r="F346" s="25" t="str">
        <f aca="false">IF(OR(E346="",M346=0),"",IF(WEEKDAY(A346,1)=6,E346,MIN(E346,MAX(0,MIN(IF(L346&lt;K346,L346+1,L346),OMR_OT_AT)-K346))))</f>
        <v/>
      </c>
      <c r="G346" s="25" t="str">
        <f aca="false">IF(OR(E346="",M346=0),"",MAX(0,E346-F346))</f>
        <v/>
      </c>
      <c r="H346" s="26" t="str">
        <f aca="false">IF(OR(E346="",M346=0),"",ROUND((F346*$N$341+G346*$O$341)*24,3))</f>
        <v/>
      </c>
      <c r="I346" s="27"/>
      <c r="K346" s="28" t="str">
        <f aca="false">IF(OR(M346=0,C346=""),"",IF(ISNUMBER(C346),MOD(C346,1),IFERROR(INDEX(القوائم!$B$1:$B$288,MATCH(TRIM(C346),القوائم!$A$1:$A$288,0)),IFERROR(MOD(TIMEVALUE(C346),1),""))))</f>
        <v/>
      </c>
      <c r="L346" s="28" t="str">
        <f aca="false">IF(OR(M346=0,D346=""),"",IF(ISNUMBER(D346),MOD(D346,1),IFERROR(INDEX(القوائم!$B$1:$B$288,MATCH(TRIM(D346),القوائم!$A$1:$A$288,0)),IFERROR(MOD(TIMEVALUE(D346),1),""))))</f>
        <v/>
      </c>
      <c r="M346" s="19" t="n">
        <f aca="false">$M$341</f>
        <v>0</v>
      </c>
      <c r="Q346" s="19" t="n">
        <f aca="false">IF(N(E353)&gt;0,1,0)</f>
        <v>0</v>
      </c>
      <c r="S346" s="0" t="n">
        <v>25</v>
      </c>
    </row>
    <row r="347" customFormat="false" ht="15" hidden="false" customHeight="false" outlineLevel="0" collapsed="false">
      <c r="A347" s="22" t="n">
        <f aca="false">IF(25&lt;=NW,WEEK_ONE+172,"")</f>
        <v>46190</v>
      </c>
      <c r="B347" s="23" t="str">
        <f aca="false">IF(A347="","",CHOOSE(WEEKDAY(A347,1),"الأحد","الاثنين","الثلاثاء","الأربعاء","الخميس","الجمعة","السبت"))</f>
        <v>الأربعاء</v>
      </c>
      <c r="C347" s="24"/>
      <c r="D347" s="24"/>
      <c r="E347" s="25" t="str">
        <f aca="false">IF(OR(M347=0,K347="",L347=""),"",MOD(L347-K347,1))</f>
        <v/>
      </c>
      <c r="F347" s="25" t="str">
        <f aca="false">IF(OR(E347="",M347=0),"",IF(WEEKDAY(A347,1)=6,E347,MIN(E347,MAX(0,MIN(IF(L347&lt;K347,L347+1,L347),OMR_OT_AT)-K347))))</f>
        <v/>
      </c>
      <c r="G347" s="25" t="str">
        <f aca="false">IF(OR(E347="",M347=0),"",MAX(0,E347-F347))</f>
        <v/>
      </c>
      <c r="H347" s="26" t="str">
        <f aca="false">IF(OR(E347="",M347=0),"",ROUND((F347*$N$341+G347*$O$341)*24,3))</f>
        <v/>
      </c>
      <c r="I347" s="27"/>
      <c r="K347" s="28" t="str">
        <f aca="false">IF(OR(M347=0,C347=""),"",IF(ISNUMBER(C347),MOD(C347,1),IFERROR(INDEX(القوائم!$B$1:$B$288,MATCH(TRIM(C347),القوائم!$A$1:$A$288,0)),IFERROR(MOD(TIMEVALUE(C347),1),""))))</f>
        <v/>
      </c>
      <c r="L347" s="28" t="str">
        <f aca="false">IF(OR(M347=0,D347=""),"",IF(ISNUMBER(D347),MOD(D347,1),IFERROR(INDEX(القوائم!$B$1:$B$288,MATCH(TRIM(D347),القوائم!$A$1:$A$288,0)),IFERROR(MOD(TIMEVALUE(D347),1),""))))</f>
        <v/>
      </c>
      <c r="M347" s="19" t="n">
        <f aca="false">$M$341</f>
        <v>0</v>
      </c>
      <c r="Q347" s="19" t="n">
        <f aca="false">IF(N(E353)&gt;0,1,0)</f>
        <v>0</v>
      </c>
      <c r="S347" s="0" t="n">
        <v>25</v>
      </c>
    </row>
    <row r="348" customFormat="false" ht="15" hidden="false" customHeight="false" outlineLevel="0" collapsed="false">
      <c r="A348" s="22" t="n">
        <f aca="false">IF(25&lt;=NW,WEEK_ONE+173,"")</f>
        <v>46191</v>
      </c>
      <c r="B348" s="23" t="str">
        <f aca="false">IF(A348="","",CHOOSE(WEEKDAY(A348,1),"الأحد","الاثنين","الثلاثاء","الأربعاء","الخميس","الجمعة","السبت"))</f>
        <v>الخميس</v>
      </c>
      <c r="C348" s="24"/>
      <c r="D348" s="24"/>
      <c r="E348" s="25" t="str">
        <f aca="false">IF(OR(M348=0,K348="",L348=""),"",MOD(L348-K348,1))</f>
        <v/>
      </c>
      <c r="F348" s="25" t="str">
        <f aca="false">IF(OR(E348="",M348=0),"",IF(WEEKDAY(A348,1)=6,E348,MIN(E348,MAX(0,MIN(IF(L348&lt;K348,L348+1,L348),OMR_OT_AT)-K348))))</f>
        <v/>
      </c>
      <c r="G348" s="25" t="str">
        <f aca="false">IF(OR(E348="",M348=0),"",MAX(0,E348-F348))</f>
        <v/>
      </c>
      <c r="H348" s="26" t="str">
        <f aca="false">IF(OR(E348="",M348=0),"",ROUND((F348*$N$341+G348*$O$341)*24,3))</f>
        <v/>
      </c>
      <c r="I348" s="27"/>
      <c r="K348" s="28" t="str">
        <f aca="false">IF(OR(M348=0,C348=""),"",IF(ISNUMBER(C348),MOD(C348,1),IFERROR(INDEX(القوائم!$B$1:$B$288,MATCH(TRIM(C348),القوائم!$A$1:$A$288,0)),IFERROR(MOD(TIMEVALUE(C348),1),""))))</f>
        <v/>
      </c>
      <c r="L348" s="28" t="str">
        <f aca="false">IF(OR(M348=0,D348=""),"",IF(ISNUMBER(D348),MOD(D348,1),IFERROR(INDEX(القوائم!$B$1:$B$288,MATCH(TRIM(D348),القوائم!$A$1:$A$288,0)),IFERROR(MOD(TIMEVALUE(D348),1),""))))</f>
        <v/>
      </c>
      <c r="M348" s="19" t="n">
        <f aca="false">$M$341</f>
        <v>0</v>
      </c>
      <c r="Q348" s="19" t="n">
        <f aca="false">IF(N(E353)&gt;0,1,0)</f>
        <v>0</v>
      </c>
      <c r="S348" s="0" t="n">
        <v>25</v>
      </c>
    </row>
    <row r="349" customFormat="false" ht="15" hidden="false" customHeight="false" outlineLevel="0" collapsed="false">
      <c r="A349" s="29" t="n">
        <f aca="false">IF(25&lt;=NW,WEEK_ONE+174,"")</f>
        <v>46192</v>
      </c>
      <c r="B349" s="30" t="str">
        <f aca="false">IF(A349="","",CHOOSE(WEEKDAY(A349,1),"الأحد","الاثنين","الثلاثاء","الأربعاء","الخميس","الجمعة","السبت"))</f>
        <v>الجمعة</v>
      </c>
      <c r="C349" s="24"/>
      <c r="D349" s="24"/>
      <c r="E349" s="25" t="str">
        <f aca="false">IF(OR(M349=0,K349="",L349=""),"",MOD(L349-K349,1))</f>
        <v/>
      </c>
      <c r="F349" s="25" t="str">
        <f aca="false">IF(OR(E349="",M349=0),"",IF(WEEKDAY(A349,1)=6,E349,MIN(E349,MAX(0,MIN(IF(L349&lt;K349,L349+1,L349),OMR_OT_AT)-K349))))</f>
        <v/>
      </c>
      <c r="G349" s="25" t="str">
        <f aca="false">IF(OR(E349="",M349=0),"",MAX(0,E349-F349))</f>
        <v/>
      </c>
      <c r="H349" s="26" t="str">
        <f aca="false">IF(OR(E349="",M349=0),"",ROUND((F349*$N$341+G349*$O$341)*24,3))</f>
        <v/>
      </c>
      <c r="I349" s="27"/>
      <c r="K349" s="28" t="str">
        <f aca="false">IF(OR(M349=0,C349=""),"",IF(ISNUMBER(C349),MOD(C349,1),IFERROR(INDEX(القوائم!$B$1:$B$288,MATCH(TRIM(C349),القوائم!$A$1:$A$288,0)),IFERROR(MOD(TIMEVALUE(C349),1),""))))</f>
        <v/>
      </c>
      <c r="L349" s="28" t="str">
        <f aca="false">IF(OR(M349=0,D349=""),"",IF(ISNUMBER(D349),MOD(D349,1),IFERROR(INDEX(القوائم!$B$1:$B$288,MATCH(TRIM(D349),القوائم!$A$1:$A$288,0)),IFERROR(MOD(TIMEVALUE(D349),1),""))))</f>
        <v/>
      </c>
      <c r="M349" s="19" t="n">
        <f aca="false">$M$341</f>
        <v>0</v>
      </c>
      <c r="Q349" s="19" t="n">
        <f aca="false">IF(N(E353)&gt;0,1,0)</f>
        <v>0</v>
      </c>
      <c r="S349" s="0" t="n">
        <v>25</v>
      </c>
    </row>
    <row r="350" customFormat="false" ht="15" hidden="false" customHeight="false" outlineLevel="0" collapsed="false">
      <c r="A350" s="31" t="str">
        <f aca="false">IF(M341=1,"ساعات تحميل الجبسمبورد بهالأسبوع ←","")</f>
        <v/>
      </c>
      <c r="B350" s="31"/>
      <c r="C350" s="31"/>
      <c r="D350" s="31"/>
      <c r="E350" s="32"/>
      <c r="F350" s="33" t="str">
        <f aca="false">IF(M341=1,"كل ساعة تحميل = "&amp;TEXT($P$341,"0.000")&amp;" دينار (منها "&amp;TEXT($N$341,"0.000")&amp;" محسوبة أصلاً بساعات اليوم)","")</f>
        <v/>
      </c>
      <c r="G350" s="33"/>
      <c r="H350" s="33"/>
      <c r="I350" s="33"/>
      <c r="M350" s="19" t="n">
        <f aca="false">$M$341</f>
        <v>0</v>
      </c>
      <c r="Q350" s="19" t="n">
        <f aca="false">IF(N(E353)&gt;0,1,0)</f>
        <v>0</v>
      </c>
      <c r="S350" s="0" t="n">
        <v>25</v>
      </c>
    </row>
    <row r="351" customFormat="false" ht="15" hidden="false" customHeight="false" outlineLevel="0" collapsed="false">
      <c r="A351" s="31" t="str">
        <f aca="false">IF(M341=1,"إكرامية الأسبوع (دينار) ←","")</f>
        <v/>
      </c>
      <c r="B351" s="31"/>
      <c r="C351" s="31"/>
      <c r="D351" s="31"/>
      <c r="E351" s="34"/>
      <c r="F351" s="35"/>
      <c r="G351" s="35"/>
      <c r="H351" s="35"/>
      <c r="I351" s="35"/>
      <c r="M351" s="19" t="n">
        <f aca="false">$M$341</f>
        <v>0</v>
      </c>
      <c r="Q351" s="19" t="n">
        <f aca="false">IF(N(E353)&gt;0,1,0)</f>
        <v>0</v>
      </c>
      <c r="S351" s="0" t="n">
        <v>25</v>
      </c>
    </row>
    <row r="352" customFormat="false" ht="36" hidden="false" customHeight="true" outlineLevel="0" collapsed="false">
      <c r="A352" s="36" t="str">
        <f aca="false">IF(M341=1,"المستحق النهائي للأسبوع","")</f>
        <v/>
      </c>
      <c r="B352" s="36"/>
      <c r="C352" s="36"/>
      <c r="D352" s="36"/>
      <c r="E352" s="36"/>
      <c r="F352" s="36"/>
      <c r="G352" s="36"/>
      <c r="H352" s="11" t="str">
        <f aca="false">IF(M341=1,ROUND(N($V$341)+N(E350)*($P$341-$N$341)+N(E351),3),"")</f>
        <v/>
      </c>
      <c r="I352" s="37"/>
      <c r="M352" s="19" t="n">
        <f aca="false">$M$341</f>
        <v>0</v>
      </c>
      <c r="Q352" s="19" t="n">
        <f aca="false">IF(N(E353)&gt;0,1,0)</f>
        <v>0</v>
      </c>
      <c r="S352" s="0" t="n">
        <v>25</v>
      </c>
      <c r="T352" s="0" t="n">
        <v>1</v>
      </c>
    </row>
    <row r="353" customFormat="false" ht="25.5" hidden="false" customHeight="true" outlineLevel="0" collapsed="false">
      <c r="A353" s="31" t="str">
        <f aca="false">IF(M341=1,"المدفوع (دينار) ←","")</f>
        <v/>
      </c>
      <c r="B353" s="31"/>
      <c r="C353" s="31"/>
      <c r="D353" s="31"/>
      <c r="E353" s="34"/>
      <c r="F353" s="38" t="str">
        <f aca="false">IF(M341=1,IF(N(E353)&gt;0,"✔ انقبض — الأسبوع مقفول","⏳ لسا ما انقبض"),"")</f>
        <v/>
      </c>
      <c r="G353" s="38"/>
      <c r="H353" s="38"/>
      <c r="I353" s="38"/>
      <c r="M353" s="19" t="n">
        <f aca="false">$M$341</f>
        <v>0</v>
      </c>
      <c r="Q353" s="19" t="n">
        <f aca="false">IF(N(E353)&gt;0,1,0)</f>
        <v>0</v>
      </c>
      <c r="S353" s="0" t="n">
        <v>25</v>
      </c>
    </row>
    <row r="354" customFormat="false" ht="9.75" hidden="false" customHeight="true" outlineLevel="0" collapsed="false">
      <c r="M354" s="19" t="n">
        <f aca="false">$M$341</f>
        <v>0</v>
      </c>
      <c r="Q354" s="19" t="n">
        <f aca="false">IF(N(E353)&gt;0,1,0)</f>
        <v>0</v>
      </c>
      <c r="S354" s="0" t="n">
        <v>25</v>
      </c>
      <c r="T354" s="0" t="n">
        <v>2</v>
      </c>
    </row>
    <row r="355" customFormat="false" ht="33.75" hidden="false" customHeight="true" outlineLevel="0" collapsed="false">
      <c r="A355" s="17" t="str">
        <f aca="false">IF(26&lt;=NW,TEXT(DAY(WEEK_ONE+175),"00")&amp;"/"&amp;TEXT(MONTH(WEEK_ONE+175),"00")&amp;"/"&amp;YEAR(WEEK_ONE+175)&amp;"  -  "&amp;TEXT(DAY(WEEK_ONE+181),"00")&amp;"/"&amp;TEXT(MONTH(WEEK_ONE+181),"00")&amp;"/"&amp;YEAR(WEEK_ONE+181)&amp;"   ·   الأسبوع 26"&amp;IF(26&lt;START_O,"   (قبل أسبوع البداية — ما بينحسب)",""),"ما في أسبوع 26 هالسنة")</f>
        <v>20/06/2026  -  26/06/2026   ·   الأسبوع 26   (قبل أسبوع البداية — ما بينحسب)</v>
      </c>
      <c r="B355" s="17"/>
      <c r="C355" s="17"/>
      <c r="D355" s="17"/>
      <c r="E355" s="17"/>
      <c r="F355" s="17"/>
      <c r="G355" s="17"/>
      <c r="H355" s="17"/>
      <c r="I355" s="17"/>
      <c r="L355" s="18" t="n">
        <f aca="false">IF(26&lt;=NW,WEEK_ONE+181,"")</f>
        <v>46199</v>
      </c>
      <c r="M355" s="19" t="n">
        <f aca="false">IF(AND(26&lt;=NW,26&gt;=START_O),1,0)</f>
        <v>0</v>
      </c>
      <c r="N355" s="20" t="n">
        <f aca="false">IFERROR(INDEX(RT_OMR,MATCH(L355,RT_K,1)),INDEX(RT_OMR,1))</f>
        <v>1.25</v>
      </c>
      <c r="O355" s="20" t="n">
        <f aca="false">IFERROR(INDEX(RT_OT,MATCH(L355,RT_K,1)),INDEX(RT_OT,1))</f>
        <v>1.5</v>
      </c>
      <c r="P355" s="20" t="n">
        <f aca="false">IFERROR(INDEX(RT_GYP,MATCH(L355,RT_K,1)),INDEX(RT_GYP,1))</f>
        <v>2.5</v>
      </c>
      <c r="Q355" s="19" t="n">
        <f aca="false">IF(N(E367)&gt;0,1,0)</f>
        <v>0</v>
      </c>
      <c r="R355" s="0" t="n">
        <v>26</v>
      </c>
      <c r="S355" s="0" t="n">
        <v>26</v>
      </c>
      <c r="U355" s="19" t="n">
        <f aca="false">IF(M355=1,SUM(E357:E363),0)</f>
        <v>0</v>
      </c>
      <c r="V355" s="19" t="n">
        <f aca="false">SUM(H357:H363)</f>
        <v>0</v>
      </c>
    </row>
    <row r="356" customFormat="false" ht="39.75" hidden="false" customHeight="true" outlineLevel="0" collapsed="false">
      <c r="A356" s="21" t="s">
        <v>18</v>
      </c>
      <c r="B356" s="21" t="s">
        <v>19</v>
      </c>
      <c r="C356" s="21" t="s">
        <v>20</v>
      </c>
      <c r="D356" s="21" t="s">
        <v>21</v>
      </c>
      <c r="E356" s="21" t="s">
        <v>22</v>
      </c>
      <c r="F356" s="21" t="s">
        <v>23</v>
      </c>
      <c r="G356" s="21" t="s">
        <v>24</v>
      </c>
      <c r="H356" s="21" t="s">
        <v>25</v>
      </c>
      <c r="I356" s="21" t="s">
        <v>26</v>
      </c>
      <c r="M356" s="19" t="n">
        <f aca="false">$M$355</f>
        <v>0</v>
      </c>
      <c r="Q356" s="19" t="n">
        <f aca="false">IF(N(E367)&gt;0,1,0)</f>
        <v>0</v>
      </c>
      <c r="S356" s="0" t="n">
        <v>26</v>
      </c>
    </row>
    <row r="357" customFormat="false" ht="15" hidden="false" customHeight="false" outlineLevel="0" collapsed="false">
      <c r="A357" s="22" t="n">
        <f aca="false">IF(26&lt;=NW,WEEK_ONE+175,"")</f>
        <v>46193</v>
      </c>
      <c r="B357" s="23" t="str">
        <f aca="false">IF(A357="","",CHOOSE(WEEKDAY(A357,1),"الأحد","الاثنين","الثلاثاء","الأربعاء","الخميس","الجمعة","السبت"))</f>
        <v>السبت</v>
      </c>
      <c r="C357" s="24"/>
      <c r="D357" s="24"/>
      <c r="E357" s="25" t="str">
        <f aca="false">IF(OR(M357=0,K357="",L357=""),"",MOD(L357-K357,1))</f>
        <v/>
      </c>
      <c r="F357" s="25" t="str">
        <f aca="false">IF(OR(E357="",M357=0),"",IF(WEEKDAY(A357,1)=6,E357,MIN(E357,MAX(0,MIN(IF(L357&lt;K357,L357+1,L357),OMR_OT_AT)-K357))))</f>
        <v/>
      </c>
      <c r="G357" s="25" t="str">
        <f aca="false">IF(OR(E357="",M357=0),"",MAX(0,E357-F357))</f>
        <v/>
      </c>
      <c r="H357" s="26" t="str">
        <f aca="false">IF(OR(E357="",M357=0),"",ROUND((F357*$N$355+G357*$O$355)*24,3))</f>
        <v/>
      </c>
      <c r="I357" s="27"/>
      <c r="K357" s="28" t="str">
        <f aca="false">IF(OR(M357=0,C357=""),"",IF(ISNUMBER(C357),MOD(C357,1),IFERROR(INDEX(القوائم!$B$1:$B$288,MATCH(TRIM(C357),القوائم!$A$1:$A$288,0)),IFERROR(MOD(TIMEVALUE(C357),1),""))))</f>
        <v/>
      </c>
      <c r="L357" s="28" t="str">
        <f aca="false">IF(OR(M357=0,D357=""),"",IF(ISNUMBER(D357),MOD(D357,1),IFERROR(INDEX(القوائم!$B$1:$B$288,MATCH(TRIM(D357),القوائم!$A$1:$A$288,0)),IFERROR(MOD(TIMEVALUE(D357),1),""))))</f>
        <v/>
      </c>
      <c r="M357" s="19" t="n">
        <f aca="false">$M$355</f>
        <v>0</v>
      </c>
      <c r="Q357" s="19" t="n">
        <f aca="false">IF(N(E367)&gt;0,1,0)</f>
        <v>0</v>
      </c>
      <c r="S357" s="0" t="n">
        <v>26</v>
      </c>
    </row>
    <row r="358" customFormat="false" ht="15" hidden="false" customHeight="false" outlineLevel="0" collapsed="false">
      <c r="A358" s="22" t="n">
        <f aca="false">IF(26&lt;=NW,WEEK_ONE+176,"")</f>
        <v>46194</v>
      </c>
      <c r="B358" s="23" t="str">
        <f aca="false">IF(A358="","",CHOOSE(WEEKDAY(A358,1),"الأحد","الاثنين","الثلاثاء","الأربعاء","الخميس","الجمعة","السبت"))</f>
        <v>الأحد</v>
      </c>
      <c r="C358" s="24"/>
      <c r="D358" s="24"/>
      <c r="E358" s="25" t="str">
        <f aca="false">IF(OR(M358=0,K358="",L358=""),"",MOD(L358-K358,1))</f>
        <v/>
      </c>
      <c r="F358" s="25" t="str">
        <f aca="false">IF(OR(E358="",M358=0),"",IF(WEEKDAY(A358,1)=6,E358,MIN(E358,MAX(0,MIN(IF(L358&lt;K358,L358+1,L358),OMR_OT_AT)-K358))))</f>
        <v/>
      </c>
      <c r="G358" s="25" t="str">
        <f aca="false">IF(OR(E358="",M358=0),"",MAX(0,E358-F358))</f>
        <v/>
      </c>
      <c r="H358" s="26" t="str">
        <f aca="false">IF(OR(E358="",M358=0),"",ROUND((F358*$N$355+G358*$O$355)*24,3))</f>
        <v/>
      </c>
      <c r="I358" s="27"/>
      <c r="K358" s="28" t="str">
        <f aca="false">IF(OR(M358=0,C358=""),"",IF(ISNUMBER(C358),MOD(C358,1),IFERROR(INDEX(القوائم!$B$1:$B$288,MATCH(TRIM(C358),القوائم!$A$1:$A$288,0)),IFERROR(MOD(TIMEVALUE(C358),1),""))))</f>
        <v/>
      </c>
      <c r="L358" s="28" t="str">
        <f aca="false">IF(OR(M358=0,D358=""),"",IF(ISNUMBER(D358),MOD(D358,1),IFERROR(INDEX(القوائم!$B$1:$B$288,MATCH(TRIM(D358),القوائم!$A$1:$A$288,0)),IFERROR(MOD(TIMEVALUE(D358),1),""))))</f>
        <v/>
      </c>
      <c r="M358" s="19" t="n">
        <f aca="false">$M$355</f>
        <v>0</v>
      </c>
      <c r="Q358" s="19" t="n">
        <f aca="false">IF(N(E367)&gt;0,1,0)</f>
        <v>0</v>
      </c>
      <c r="S358" s="0" t="n">
        <v>26</v>
      </c>
    </row>
    <row r="359" customFormat="false" ht="15" hidden="false" customHeight="false" outlineLevel="0" collapsed="false">
      <c r="A359" s="22" t="n">
        <f aca="false">IF(26&lt;=NW,WEEK_ONE+177,"")</f>
        <v>46195</v>
      </c>
      <c r="B359" s="23" t="str">
        <f aca="false">IF(A359="","",CHOOSE(WEEKDAY(A359,1),"الأحد","الاثنين","الثلاثاء","الأربعاء","الخميس","الجمعة","السبت"))</f>
        <v>الاثنين</v>
      </c>
      <c r="C359" s="24"/>
      <c r="D359" s="24"/>
      <c r="E359" s="25" t="str">
        <f aca="false">IF(OR(M359=0,K359="",L359=""),"",MOD(L359-K359,1))</f>
        <v/>
      </c>
      <c r="F359" s="25" t="str">
        <f aca="false">IF(OR(E359="",M359=0),"",IF(WEEKDAY(A359,1)=6,E359,MIN(E359,MAX(0,MIN(IF(L359&lt;K359,L359+1,L359),OMR_OT_AT)-K359))))</f>
        <v/>
      </c>
      <c r="G359" s="25" t="str">
        <f aca="false">IF(OR(E359="",M359=0),"",MAX(0,E359-F359))</f>
        <v/>
      </c>
      <c r="H359" s="26" t="str">
        <f aca="false">IF(OR(E359="",M359=0),"",ROUND((F359*$N$355+G359*$O$355)*24,3))</f>
        <v/>
      </c>
      <c r="I359" s="27"/>
      <c r="K359" s="28" t="str">
        <f aca="false">IF(OR(M359=0,C359=""),"",IF(ISNUMBER(C359),MOD(C359,1),IFERROR(INDEX(القوائم!$B$1:$B$288,MATCH(TRIM(C359),القوائم!$A$1:$A$288,0)),IFERROR(MOD(TIMEVALUE(C359),1),""))))</f>
        <v/>
      </c>
      <c r="L359" s="28" t="str">
        <f aca="false">IF(OR(M359=0,D359=""),"",IF(ISNUMBER(D359),MOD(D359,1),IFERROR(INDEX(القوائم!$B$1:$B$288,MATCH(TRIM(D359),القوائم!$A$1:$A$288,0)),IFERROR(MOD(TIMEVALUE(D359),1),""))))</f>
        <v/>
      </c>
      <c r="M359" s="19" t="n">
        <f aca="false">$M$355</f>
        <v>0</v>
      </c>
      <c r="Q359" s="19" t="n">
        <f aca="false">IF(N(E367)&gt;0,1,0)</f>
        <v>0</v>
      </c>
      <c r="S359" s="0" t="n">
        <v>26</v>
      </c>
    </row>
    <row r="360" customFormat="false" ht="15" hidden="false" customHeight="false" outlineLevel="0" collapsed="false">
      <c r="A360" s="22" t="n">
        <f aca="false">IF(26&lt;=NW,WEEK_ONE+178,"")</f>
        <v>46196</v>
      </c>
      <c r="B360" s="23" t="str">
        <f aca="false">IF(A360="","",CHOOSE(WEEKDAY(A360,1),"الأحد","الاثنين","الثلاثاء","الأربعاء","الخميس","الجمعة","السبت"))</f>
        <v>الثلاثاء</v>
      </c>
      <c r="C360" s="24"/>
      <c r="D360" s="24"/>
      <c r="E360" s="25" t="str">
        <f aca="false">IF(OR(M360=0,K360="",L360=""),"",MOD(L360-K360,1))</f>
        <v/>
      </c>
      <c r="F360" s="25" t="str">
        <f aca="false">IF(OR(E360="",M360=0),"",IF(WEEKDAY(A360,1)=6,E360,MIN(E360,MAX(0,MIN(IF(L360&lt;K360,L360+1,L360),OMR_OT_AT)-K360))))</f>
        <v/>
      </c>
      <c r="G360" s="25" t="str">
        <f aca="false">IF(OR(E360="",M360=0),"",MAX(0,E360-F360))</f>
        <v/>
      </c>
      <c r="H360" s="26" t="str">
        <f aca="false">IF(OR(E360="",M360=0),"",ROUND((F360*$N$355+G360*$O$355)*24,3))</f>
        <v/>
      </c>
      <c r="I360" s="27"/>
      <c r="K360" s="28" t="str">
        <f aca="false">IF(OR(M360=0,C360=""),"",IF(ISNUMBER(C360),MOD(C360,1),IFERROR(INDEX(القوائم!$B$1:$B$288,MATCH(TRIM(C360),القوائم!$A$1:$A$288,0)),IFERROR(MOD(TIMEVALUE(C360),1),""))))</f>
        <v/>
      </c>
      <c r="L360" s="28" t="str">
        <f aca="false">IF(OR(M360=0,D360=""),"",IF(ISNUMBER(D360),MOD(D360,1),IFERROR(INDEX(القوائم!$B$1:$B$288,MATCH(TRIM(D360),القوائم!$A$1:$A$288,0)),IFERROR(MOD(TIMEVALUE(D360),1),""))))</f>
        <v/>
      </c>
      <c r="M360" s="19" t="n">
        <f aca="false">$M$355</f>
        <v>0</v>
      </c>
      <c r="Q360" s="19" t="n">
        <f aca="false">IF(N(E367)&gt;0,1,0)</f>
        <v>0</v>
      </c>
      <c r="S360" s="0" t="n">
        <v>26</v>
      </c>
    </row>
    <row r="361" customFormat="false" ht="15" hidden="false" customHeight="false" outlineLevel="0" collapsed="false">
      <c r="A361" s="22" t="n">
        <f aca="false">IF(26&lt;=NW,WEEK_ONE+179,"")</f>
        <v>46197</v>
      </c>
      <c r="B361" s="23" t="str">
        <f aca="false">IF(A361="","",CHOOSE(WEEKDAY(A361,1),"الأحد","الاثنين","الثلاثاء","الأربعاء","الخميس","الجمعة","السبت"))</f>
        <v>الأربعاء</v>
      </c>
      <c r="C361" s="24"/>
      <c r="D361" s="24"/>
      <c r="E361" s="25" t="str">
        <f aca="false">IF(OR(M361=0,K361="",L361=""),"",MOD(L361-K361,1))</f>
        <v/>
      </c>
      <c r="F361" s="25" t="str">
        <f aca="false">IF(OR(E361="",M361=0),"",IF(WEEKDAY(A361,1)=6,E361,MIN(E361,MAX(0,MIN(IF(L361&lt;K361,L361+1,L361),OMR_OT_AT)-K361))))</f>
        <v/>
      </c>
      <c r="G361" s="25" t="str">
        <f aca="false">IF(OR(E361="",M361=0),"",MAX(0,E361-F361))</f>
        <v/>
      </c>
      <c r="H361" s="26" t="str">
        <f aca="false">IF(OR(E361="",M361=0),"",ROUND((F361*$N$355+G361*$O$355)*24,3))</f>
        <v/>
      </c>
      <c r="I361" s="27"/>
      <c r="K361" s="28" t="str">
        <f aca="false">IF(OR(M361=0,C361=""),"",IF(ISNUMBER(C361),MOD(C361,1),IFERROR(INDEX(القوائم!$B$1:$B$288,MATCH(TRIM(C361),القوائم!$A$1:$A$288,0)),IFERROR(MOD(TIMEVALUE(C361),1),""))))</f>
        <v/>
      </c>
      <c r="L361" s="28" t="str">
        <f aca="false">IF(OR(M361=0,D361=""),"",IF(ISNUMBER(D361),MOD(D361,1),IFERROR(INDEX(القوائم!$B$1:$B$288,MATCH(TRIM(D361),القوائم!$A$1:$A$288,0)),IFERROR(MOD(TIMEVALUE(D361),1),""))))</f>
        <v/>
      </c>
      <c r="M361" s="19" t="n">
        <f aca="false">$M$355</f>
        <v>0</v>
      </c>
      <c r="Q361" s="19" t="n">
        <f aca="false">IF(N(E367)&gt;0,1,0)</f>
        <v>0</v>
      </c>
      <c r="S361" s="0" t="n">
        <v>26</v>
      </c>
    </row>
    <row r="362" customFormat="false" ht="15" hidden="false" customHeight="false" outlineLevel="0" collapsed="false">
      <c r="A362" s="22" t="n">
        <f aca="false">IF(26&lt;=NW,WEEK_ONE+180,"")</f>
        <v>46198</v>
      </c>
      <c r="B362" s="23" t="str">
        <f aca="false">IF(A362="","",CHOOSE(WEEKDAY(A362,1),"الأحد","الاثنين","الثلاثاء","الأربعاء","الخميس","الجمعة","السبت"))</f>
        <v>الخميس</v>
      </c>
      <c r="C362" s="24"/>
      <c r="D362" s="24"/>
      <c r="E362" s="25" t="str">
        <f aca="false">IF(OR(M362=0,K362="",L362=""),"",MOD(L362-K362,1))</f>
        <v/>
      </c>
      <c r="F362" s="25" t="str">
        <f aca="false">IF(OR(E362="",M362=0),"",IF(WEEKDAY(A362,1)=6,E362,MIN(E362,MAX(0,MIN(IF(L362&lt;K362,L362+1,L362),OMR_OT_AT)-K362))))</f>
        <v/>
      </c>
      <c r="G362" s="25" t="str">
        <f aca="false">IF(OR(E362="",M362=0),"",MAX(0,E362-F362))</f>
        <v/>
      </c>
      <c r="H362" s="26" t="str">
        <f aca="false">IF(OR(E362="",M362=0),"",ROUND((F362*$N$355+G362*$O$355)*24,3))</f>
        <v/>
      </c>
      <c r="I362" s="27"/>
      <c r="K362" s="28" t="str">
        <f aca="false">IF(OR(M362=0,C362=""),"",IF(ISNUMBER(C362),MOD(C362,1),IFERROR(INDEX(القوائم!$B$1:$B$288,MATCH(TRIM(C362),القوائم!$A$1:$A$288,0)),IFERROR(MOD(TIMEVALUE(C362),1),""))))</f>
        <v/>
      </c>
      <c r="L362" s="28" t="str">
        <f aca="false">IF(OR(M362=0,D362=""),"",IF(ISNUMBER(D362),MOD(D362,1),IFERROR(INDEX(القوائم!$B$1:$B$288,MATCH(TRIM(D362),القوائم!$A$1:$A$288,0)),IFERROR(MOD(TIMEVALUE(D362),1),""))))</f>
        <v/>
      </c>
      <c r="M362" s="19" t="n">
        <f aca="false">$M$355</f>
        <v>0</v>
      </c>
      <c r="Q362" s="19" t="n">
        <f aca="false">IF(N(E367)&gt;0,1,0)</f>
        <v>0</v>
      </c>
      <c r="S362" s="0" t="n">
        <v>26</v>
      </c>
    </row>
    <row r="363" customFormat="false" ht="15" hidden="false" customHeight="false" outlineLevel="0" collapsed="false">
      <c r="A363" s="29" t="n">
        <f aca="false">IF(26&lt;=NW,WEEK_ONE+181,"")</f>
        <v>46199</v>
      </c>
      <c r="B363" s="30" t="str">
        <f aca="false">IF(A363="","",CHOOSE(WEEKDAY(A363,1),"الأحد","الاثنين","الثلاثاء","الأربعاء","الخميس","الجمعة","السبت"))</f>
        <v>الجمعة</v>
      </c>
      <c r="C363" s="24"/>
      <c r="D363" s="24"/>
      <c r="E363" s="25" t="str">
        <f aca="false">IF(OR(M363=0,K363="",L363=""),"",MOD(L363-K363,1))</f>
        <v/>
      </c>
      <c r="F363" s="25" t="str">
        <f aca="false">IF(OR(E363="",M363=0),"",IF(WEEKDAY(A363,1)=6,E363,MIN(E363,MAX(0,MIN(IF(L363&lt;K363,L363+1,L363),OMR_OT_AT)-K363))))</f>
        <v/>
      </c>
      <c r="G363" s="25" t="str">
        <f aca="false">IF(OR(E363="",M363=0),"",MAX(0,E363-F363))</f>
        <v/>
      </c>
      <c r="H363" s="26" t="str">
        <f aca="false">IF(OR(E363="",M363=0),"",ROUND((F363*$N$355+G363*$O$355)*24,3))</f>
        <v/>
      </c>
      <c r="I363" s="27"/>
      <c r="K363" s="28" t="str">
        <f aca="false">IF(OR(M363=0,C363=""),"",IF(ISNUMBER(C363),MOD(C363,1),IFERROR(INDEX(القوائم!$B$1:$B$288,MATCH(TRIM(C363),القوائم!$A$1:$A$288,0)),IFERROR(MOD(TIMEVALUE(C363),1),""))))</f>
        <v/>
      </c>
      <c r="L363" s="28" t="str">
        <f aca="false">IF(OR(M363=0,D363=""),"",IF(ISNUMBER(D363),MOD(D363,1),IFERROR(INDEX(القوائم!$B$1:$B$288,MATCH(TRIM(D363),القوائم!$A$1:$A$288,0)),IFERROR(MOD(TIMEVALUE(D363),1),""))))</f>
        <v/>
      </c>
      <c r="M363" s="19" t="n">
        <f aca="false">$M$355</f>
        <v>0</v>
      </c>
      <c r="Q363" s="19" t="n">
        <f aca="false">IF(N(E367)&gt;0,1,0)</f>
        <v>0</v>
      </c>
      <c r="S363" s="0" t="n">
        <v>26</v>
      </c>
    </row>
    <row r="364" customFormat="false" ht="15" hidden="false" customHeight="false" outlineLevel="0" collapsed="false">
      <c r="A364" s="31" t="str">
        <f aca="false">IF(M355=1,"ساعات تحميل الجبسمبورد بهالأسبوع ←","")</f>
        <v/>
      </c>
      <c r="B364" s="31"/>
      <c r="C364" s="31"/>
      <c r="D364" s="31"/>
      <c r="E364" s="32"/>
      <c r="F364" s="33" t="str">
        <f aca="false">IF(M355=1,"كل ساعة تحميل = "&amp;TEXT($P$355,"0.000")&amp;" دينار (منها "&amp;TEXT($N$355,"0.000")&amp;" محسوبة أصلاً بساعات اليوم)","")</f>
        <v/>
      </c>
      <c r="G364" s="33"/>
      <c r="H364" s="33"/>
      <c r="I364" s="33"/>
      <c r="M364" s="19" t="n">
        <f aca="false">$M$355</f>
        <v>0</v>
      </c>
      <c r="Q364" s="19" t="n">
        <f aca="false">IF(N(E367)&gt;0,1,0)</f>
        <v>0</v>
      </c>
      <c r="S364" s="0" t="n">
        <v>26</v>
      </c>
    </row>
    <row r="365" customFormat="false" ht="15" hidden="false" customHeight="false" outlineLevel="0" collapsed="false">
      <c r="A365" s="31" t="str">
        <f aca="false">IF(M355=1,"إكرامية الأسبوع (دينار) ←","")</f>
        <v/>
      </c>
      <c r="B365" s="31"/>
      <c r="C365" s="31"/>
      <c r="D365" s="31"/>
      <c r="E365" s="34"/>
      <c r="F365" s="35"/>
      <c r="G365" s="35"/>
      <c r="H365" s="35"/>
      <c r="I365" s="35"/>
      <c r="M365" s="19" t="n">
        <f aca="false">$M$355</f>
        <v>0</v>
      </c>
      <c r="Q365" s="19" t="n">
        <f aca="false">IF(N(E367)&gt;0,1,0)</f>
        <v>0</v>
      </c>
      <c r="S365" s="0" t="n">
        <v>26</v>
      </c>
    </row>
    <row r="366" customFormat="false" ht="36" hidden="false" customHeight="true" outlineLevel="0" collapsed="false">
      <c r="A366" s="36" t="str">
        <f aca="false">IF(M355=1,"المستحق النهائي للأسبوع","")</f>
        <v/>
      </c>
      <c r="B366" s="36"/>
      <c r="C366" s="36"/>
      <c r="D366" s="36"/>
      <c r="E366" s="36"/>
      <c r="F366" s="36"/>
      <c r="G366" s="36"/>
      <c r="H366" s="11" t="str">
        <f aca="false">IF(M355=1,ROUND(N($V$355)+N(E364)*($P$355-$N$355)+N(E365),3),"")</f>
        <v/>
      </c>
      <c r="I366" s="37"/>
      <c r="M366" s="19" t="n">
        <f aca="false">$M$355</f>
        <v>0</v>
      </c>
      <c r="Q366" s="19" t="n">
        <f aca="false">IF(N(E367)&gt;0,1,0)</f>
        <v>0</v>
      </c>
      <c r="S366" s="0" t="n">
        <v>26</v>
      </c>
      <c r="T366" s="0" t="n">
        <v>1</v>
      </c>
    </row>
    <row r="367" customFormat="false" ht="25.5" hidden="false" customHeight="true" outlineLevel="0" collapsed="false">
      <c r="A367" s="31" t="str">
        <f aca="false">IF(M355=1,"المدفوع (دينار) ←","")</f>
        <v/>
      </c>
      <c r="B367" s="31"/>
      <c r="C367" s="31"/>
      <c r="D367" s="31"/>
      <c r="E367" s="34"/>
      <c r="F367" s="38" t="str">
        <f aca="false">IF(M355=1,IF(N(E367)&gt;0,"✔ انقبض — الأسبوع مقفول","⏳ لسا ما انقبض"),"")</f>
        <v/>
      </c>
      <c r="G367" s="38"/>
      <c r="H367" s="38"/>
      <c r="I367" s="38"/>
      <c r="M367" s="19" t="n">
        <f aca="false">$M$355</f>
        <v>0</v>
      </c>
      <c r="Q367" s="19" t="n">
        <f aca="false">IF(N(E367)&gt;0,1,0)</f>
        <v>0</v>
      </c>
      <c r="S367" s="0" t="n">
        <v>26</v>
      </c>
    </row>
    <row r="368" customFormat="false" ht="9.75" hidden="false" customHeight="true" outlineLevel="0" collapsed="false">
      <c r="M368" s="19" t="n">
        <f aca="false">$M$355</f>
        <v>0</v>
      </c>
      <c r="Q368" s="19" t="n">
        <f aca="false">IF(N(E367)&gt;0,1,0)</f>
        <v>0</v>
      </c>
      <c r="S368" s="0" t="n">
        <v>26</v>
      </c>
      <c r="T368" s="0" t="n">
        <v>2</v>
      </c>
    </row>
    <row r="369" customFormat="false" ht="33.75" hidden="false" customHeight="true" outlineLevel="0" collapsed="false">
      <c r="A369" s="17" t="str">
        <f aca="false">IF(27&lt;=NW,TEXT(DAY(WEEK_ONE+182),"00")&amp;"/"&amp;TEXT(MONTH(WEEK_ONE+182),"00")&amp;"/"&amp;YEAR(WEEK_ONE+182)&amp;"  -  "&amp;TEXT(DAY(WEEK_ONE+188),"00")&amp;"/"&amp;TEXT(MONTH(WEEK_ONE+188),"00")&amp;"/"&amp;YEAR(WEEK_ONE+188)&amp;"   ·   الأسبوع 27"&amp;IF(27&lt;START_O,"   (قبل أسبوع البداية — ما بينحسب)",""),"ما في أسبوع 27 هالسنة")</f>
        <v>27/06/2026  -  03/07/2026   ·   الأسبوع 27   (قبل أسبوع البداية — ما بينحسب)</v>
      </c>
      <c r="B369" s="17"/>
      <c r="C369" s="17"/>
      <c r="D369" s="17"/>
      <c r="E369" s="17"/>
      <c r="F369" s="17"/>
      <c r="G369" s="17"/>
      <c r="H369" s="17"/>
      <c r="I369" s="17"/>
      <c r="L369" s="18" t="n">
        <f aca="false">IF(27&lt;=NW,WEEK_ONE+188,"")</f>
        <v>46206</v>
      </c>
      <c r="M369" s="19" t="n">
        <f aca="false">IF(AND(27&lt;=NW,27&gt;=START_O),1,0)</f>
        <v>0</v>
      </c>
      <c r="N369" s="20" t="n">
        <f aca="false">IFERROR(INDEX(RT_OMR,MATCH(L369,RT_K,1)),INDEX(RT_OMR,1))</f>
        <v>1.25</v>
      </c>
      <c r="O369" s="20" t="n">
        <f aca="false">IFERROR(INDEX(RT_OT,MATCH(L369,RT_K,1)),INDEX(RT_OT,1))</f>
        <v>1.5</v>
      </c>
      <c r="P369" s="20" t="n">
        <f aca="false">IFERROR(INDEX(RT_GYP,MATCH(L369,RT_K,1)),INDEX(RT_GYP,1))</f>
        <v>2.5</v>
      </c>
      <c r="Q369" s="19" t="n">
        <f aca="false">IF(N(E381)&gt;0,1,0)</f>
        <v>0</v>
      </c>
      <c r="R369" s="0" t="n">
        <v>27</v>
      </c>
      <c r="S369" s="0" t="n">
        <v>27</v>
      </c>
      <c r="U369" s="19" t="n">
        <f aca="false">IF(M369=1,SUM(E371:E377),0)</f>
        <v>0</v>
      </c>
      <c r="V369" s="19" t="n">
        <f aca="false">SUM(H371:H377)</f>
        <v>0</v>
      </c>
    </row>
    <row r="370" customFormat="false" ht="39.75" hidden="false" customHeight="true" outlineLevel="0" collapsed="false">
      <c r="A370" s="21" t="s">
        <v>18</v>
      </c>
      <c r="B370" s="21" t="s">
        <v>19</v>
      </c>
      <c r="C370" s="21" t="s">
        <v>20</v>
      </c>
      <c r="D370" s="21" t="s">
        <v>21</v>
      </c>
      <c r="E370" s="21" t="s">
        <v>22</v>
      </c>
      <c r="F370" s="21" t="s">
        <v>23</v>
      </c>
      <c r="G370" s="21" t="s">
        <v>24</v>
      </c>
      <c r="H370" s="21" t="s">
        <v>25</v>
      </c>
      <c r="I370" s="21" t="s">
        <v>26</v>
      </c>
      <c r="M370" s="19" t="n">
        <f aca="false">$M$369</f>
        <v>0</v>
      </c>
      <c r="Q370" s="19" t="n">
        <f aca="false">IF(N(E381)&gt;0,1,0)</f>
        <v>0</v>
      </c>
      <c r="S370" s="0" t="n">
        <v>27</v>
      </c>
    </row>
    <row r="371" customFormat="false" ht="15" hidden="false" customHeight="false" outlineLevel="0" collapsed="false">
      <c r="A371" s="22" t="n">
        <f aca="false">IF(27&lt;=NW,WEEK_ONE+182,"")</f>
        <v>46200</v>
      </c>
      <c r="B371" s="23" t="str">
        <f aca="false">IF(A371="","",CHOOSE(WEEKDAY(A371,1),"الأحد","الاثنين","الثلاثاء","الأربعاء","الخميس","الجمعة","السبت"))</f>
        <v>السبت</v>
      </c>
      <c r="C371" s="24"/>
      <c r="D371" s="24"/>
      <c r="E371" s="25" t="str">
        <f aca="false">IF(OR(M371=0,K371="",L371=""),"",MOD(L371-K371,1))</f>
        <v/>
      </c>
      <c r="F371" s="25" t="str">
        <f aca="false">IF(OR(E371="",M371=0),"",IF(WEEKDAY(A371,1)=6,E371,MIN(E371,MAX(0,MIN(IF(L371&lt;K371,L371+1,L371),OMR_OT_AT)-K371))))</f>
        <v/>
      </c>
      <c r="G371" s="25" t="str">
        <f aca="false">IF(OR(E371="",M371=0),"",MAX(0,E371-F371))</f>
        <v/>
      </c>
      <c r="H371" s="26" t="str">
        <f aca="false">IF(OR(E371="",M371=0),"",ROUND((F371*$N$369+G371*$O$369)*24,3))</f>
        <v/>
      </c>
      <c r="I371" s="27"/>
      <c r="K371" s="28" t="str">
        <f aca="false">IF(OR(M371=0,C371=""),"",IF(ISNUMBER(C371),MOD(C371,1),IFERROR(INDEX(القوائم!$B$1:$B$288,MATCH(TRIM(C371),القوائم!$A$1:$A$288,0)),IFERROR(MOD(TIMEVALUE(C371),1),""))))</f>
        <v/>
      </c>
      <c r="L371" s="28" t="str">
        <f aca="false">IF(OR(M371=0,D371=""),"",IF(ISNUMBER(D371),MOD(D371,1),IFERROR(INDEX(القوائم!$B$1:$B$288,MATCH(TRIM(D371),القوائم!$A$1:$A$288,0)),IFERROR(MOD(TIMEVALUE(D371),1),""))))</f>
        <v/>
      </c>
      <c r="M371" s="19" t="n">
        <f aca="false">$M$369</f>
        <v>0</v>
      </c>
      <c r="Q371" s="19" t="n">
        <f aca="false">IF(N(E381)&gt;0,1,0)</f>
        <v>0</v>
      </c>
      <c r="S371" s="0" t="n">
        <v>27</v>
      </c>
    </row>
    <row r="372" customFormat="false" ht="15" hidden="false" customHeight="false" outlineLevel="0" collapsed="false">
      <c r="A372" s="22" t="n">
        <f aca="false">IF(27&lt;=NW,WEEK_ONE+183,"")</f>
        <v>46201</v>
      </c>
      <c r="B372" s="23" t="str">
        <f aca="false">IF(A372="","",CHOOSE(WEEKDAY(A372,1),"الأحد","الاثنين","الثلاثاء","الأربعاء","الخميس","الجمعة","السبت"))</f>
        <v>الأحد</v>
      </c>
      <c r="C372" s="24"/>
      <c r="D372" s="24"/>
      <c r="E372" s="25" t="str">
        <f aca="false">IF(OR(M372=0,K372="",L372=""),"",MOD(L372-K372,1))</f>
        <v/>
      </c>
      <c r="F372" s="25" t="str">
        <f aca="false">IF(OR(E372="",M372=0),"",IF(WEEKDAY(A372,1)=6,E372,MIN(E372,MAX(0,MIN(IF(L372&lt;K372,L372+1,L372),OMR_OT_AT)-K372))))</f>
        <v/>
      </c>
      <c r="G372" s="25" t="str">
        <f aca="false">IF(OR(E372="",M372=0),"",MAX(0,E372-F372))</f>
        <v/>
      </c>
      <c r="H372" s="26" t="str">
        <f aca="false">IF(OR(E372="",M372=0),"",ROUND((F372*$N$369+G372*$O$369)*24,3))</f>
        <v/>
      </c>
      <c r="I372" s="27"/>
      <c r="K372" s="28" t="str">
        <f aca="false">IF(OR(M372=0,C372=""),"",IF(ISNUMBER(C372),MOD(C372,1),IFERROR(INDEX(القوائم!$B$1:$B$288,MATCH(TRIM(C372),القوائم!$A$1:$A$288,0)),IFERROR(MOD(TIMEVALUE(C372),1),""))))</f>
        <v/>
      </c>
      <c r="L372" s="28" t="str">
        <f aca="false">IF(OR(M372=0,D372=""),"",IF(ISNUMBER(D372),MOD(D372,1),IFERROR(INDEX(القوائم!$B$1:$B$288,MATCH(TRIM(D372),القوائم!$A$1:$A$288,0)),IFERROR(MOD(TIMEVALUE(D372),1),""))))</f>
        <v/>
      </c>
      <c r="M372" s="19" t="n">
        <f aca="false">$M$369</f>
        <v>0</v>
      </c>
      <c r="Q372" s="19" t="n">
        <f aca="false">IF(N(E381)&gt;0,1,0)</f>
        <v>0</v>
      </c>
      <c r="S372" s="0" t="n">
        <v>27</v>
      </c>
    </row>
    <row r="373" customFormat="false" ht="15" hidden="false" customHeight="false" outlineLevel="0" collapsed="false">
      <c r="A373" s="22" t="n">
        <f aca="false">IF(27&lt;=NW,WEEK_ONE+184,"")</f>
        <v>46202</v>
      </c>
      <c r="B373" s="23" t="str">
        <f aca="false">IF(A373="","",CHOOSE(WEEKDAY(A373,1),"الأحد","الاثنين","الثلاثاء","الأربعاء","الخميس","الجمعة","السبت"))</f>
        <v>الاثنين</v>
      </c>
      <c r="C373" s="24"/>
      <c r="D373" s="24"/>
      <c r="E373" s="25" t="str">
        <f aca="false">IF(OR(M373=0,K373="",L373=""),"",MOD(L373-K373,1))</f>
        <v/>
      </c>
      <c r="F373" s="25" t="str">
        <f aca="false">IF(OR(E373="",M373=0),"",IF(WEEKDAY(A373,1)=6,E373,MIN(E373,MAX(0,MIN(IF(L373&lt;K373,L373+1,L373),OMR_OT_AT)-K373))))</f>
        <v/>
      </c>
      <c r="G373" s="25" t="str">
        <f aca="false">IF(OR(E373="",M373=0),"",MAX(0,E373-F373))</f>
        <v/>
      </c>
      <c r="H373" s="26" t="str">
        <f aca="false">IF(OR(E373="",M373=0),"",ROUND((F373*$N$369+G373*$O$369)*24,3))</f>
        <v/>
      </c>
      <c r="I373" s="27"/>
      <c r="K373" s="28" t="str">
        <f aca="false">IF(OR(M373=0,C373=""),"",IF(ISNUMBER(C373),MOD(C373,1),IFERROR(INDEX(القوائم!$B$1:$B$288,MATCH(TRIM(C373),القوائم!$A$1:$A$288,0)),IFERROR(MOD(TIMEVALUE(C373),1),""))))</f>
        <v/>
      </c>
      <c r="L373" s="28" t="str">
        <f aca="false">IF(OR(M373=0,D373=""),"",IF(ISNUMBER(D373),MOD(D373,1),IFERROR(INDEX(القوائم!$B$1:$B$288,MATCH(TRIM(D373),القوائم!$A$1:$A$288,0)),IFERROR(MOD(TIMEVALUE(D373),1),""))))</f>
        <v/>
      </c>
      <c r="M373" s="19" t="n">
        <f aca="false">$M$369</f>
        <v>0</v>
      </c>
      <c r="Q373" s="19" t="n">
        <f aca="false">IF(N(E381)&gt;0,1,0)</f>
        <v>0</v>
      </c>
      <c r="S373" s="0" t="n">
        <v>27</v>
      </c>
    </row>
    <row r="374" customFormat="false" ht="15" hidden="false" customHeight="false" outlineLevel="0" collapsed="false">
      <c r="A374" s="22" t="n">
        <f aca="false">IF(27&lt;=NW,WEEK_ONE+185,"")</f>
        <v>46203</v>
      </c>
      <c r="B374" s="23" t="str">
        <f aca="false">IF(A374="","",CHOOSE(WEEKDAY(A374,1),"الأحد","الاثنين","الثلاثاء","الأربعاء","الخميس","الجمعة","السبت"))</f>
        <v>الثلاثاء</v>
      </c>
      <c r="C374" s="24"/>
      <c r="D374" s="24"/>
      <c r="E374" s="25" t="str">
        <f aca="false">IF(OR(M374=0,K374="",L374=""),"",MOD(L374-K374,1))</f>
        <v/>
      </c>
      <c r="F374" s="25" t="str">
        <f aca="false">IF(OR(E374="",M374=0),"",IF(WEEKDAY(A374,1)=6,E374,MIN(E374,MAX(0,MIN(IF(L374&lt;K374,L374+1,L374),OMR_OT_AT)-K374))))</f>
        <v/>
      </c>
      <c r="G374" s="25" t="str">
        <f aca="false">IF(OR(E374="",M374=0),"",MAX(0,E374-F374))</f>
        <v/>
      </c>
      <c r="H374" s="26" t="str">
        <f aca="false">IF(OR(E374="",M374=0),"",ROUND((F374*$N$369+G374*$O$369)*24,3))</f>
        <v/>
      </c>
      <c r="I374" s="27"/>
      <c r="K374" s="28" t="str">
        <f aca="false">IF(OR(M374=0,C374=""),"",IF(ISNUMBER(C374),MOD(C374,1),IFERROR(INDEX(القوائم!$B$1:$B$288,MATCH(TRIM(C374),القوائم!$A$1:$A$288,0)),IFERROR(MOD(TIMEVALUE(C374),1),""))))</f>
        <v/>
      </c>
      <c r="L374" s="28" t="str">
        <f aca="false">IF(OR(M374=0,D374=""),"",IF(ISNUMBER(D374),MOD(D374,1),IFERROR(INDEX(القوائم!$B$1:$B$288,MATCH(TRIM(D374),القوائم!$A$1:$A$288,0)),IFERROR(MOD(TIMEVALUE(D374),1),""))))</f>
        <v/>
      </c>
      <c r="M374" s="19" t="n">
        <f aca="false">$M$369</f>
        <v>0</v>
      </c>
      <c r="Q374" s="19" t="n">
        <f aca="false">IF(N(E381)&gt;0,1,0)</f>
        <v>0</v>
      </c>
      <c r="S374" s="0" t="n">
        <v>27</v>
      </c>
    </row>
    <row r="375" customFormat="false" ht="15" hidden="false" customHeight="false" outlineLevel="0" collapsed="false">
      <c r="A375" s="22" t="n">
        <f aca="false">IF(27&lt;=NW,WEEK_ONE+186,"")</f>
        <v>46204</v>
      </c>
      <c r="B375" s="23" t="str">
        <f aca="false">IF(A375="","",CHOOSE(WEEKDAY(A375,1),"الأحد","الاثنين","الثلاثاء","الأربعاء","الخميس","الجمعة","السبت"))</f>
        <v>الأربعاء</v>
      </c>
      <c r="C375" s="24"/>
      <c r="D375" s="24"/>
      <c r="E375" s="25" t="str">
        <f aca="false">IF(OR(M375=0,K375="",L375=""),"",MOD(L375-K375,1))</f>
        <v/>
      </c>
      <c r="F375" s="25" t="str">
        <f aca="false">IF(OR(E375="",M375=0),"",IF(WEEKDAY(A375,1)=6,E375,MIN(E375,MAX(0,MIN(IF(L375&lt;K375,L375+1,L375),OMR_OT_AT)-K375))))</f>
        <v/>
      </c>
      <c r="G375" s="25" t="str">
        <f aca="false">IF(OR(E375="",M375=0),"",MAX(0,E375-F375))</f>
        <v/>
      </c>
      <c r="H375" s="26" t="str">
        <f aca="false">IF(OR(E375="",M375=0),"",ROUND((F375*$N$369+G375*$O$369)*24,3))</f>
        <v/>
      </c>
      <c r="I375" s="27"/>
      <c r="K375" s="28" t="str">
        <f aca="false">IF(OR(M375=0,C375=""),"",IF(ISNUMBER(C375),MOD(C375,1),IFERROR(INDEX(القوائم!$B$1:$B$288,MATCH(TRIM(C375),القوائم!$A$1:$A$288,0)),IFERROR(MOD(TIMEVALUE(C375),1),""))))</f>
        <v/>
      </c>
      <c r="L375" s="28" t="str">
        <f aca="false">IF(OR(M375=0,D375=""),"",IF(ISNUMBER(D375),MOD(D375,1),IFERROR(INDEX(القوائم!$B$1:$B$288,MATCH(TRIM(D375),القوائم!$A$1:$A$288,0)),IFERROR(MOD(TIMEVALUE(D375),1),""))))</f>
        <v/>
      </c>
      <c r="M375" s="19" t="n">
        <f aca="false">$M$369</f>
        <v>0</v>
      </c>
      <c r="Q375" s="19" t="n">
        <f aca="false">IF(N(E381)&gt;0,1,0)</f>
        <v>0</v>
      </c>
      <c r="S375" s="0" t="n">
        <v>27</v>
      </c>
    </row>
    <row r="376" customFormat="false" ht="15" hidden="false" customHeight="false" outlineLevel="0" collapsed="false">
      <c r="A376" s="22" t="n">
        <f aca="false">IF(27&lt;=NW,WEEK_ONE+187,"")</f>
        <v>46205</v>
      </c>
      <c r="B376" s="23" t="str">
        <f aca="false">IF(A376="","",CHOOSE(WEEKDAY(A376,1),"الأحد","الاثنين","الثلاثاء","الأربعاء","الخميس","الجمعة","السبت"))</f>
        <v>الخميس</v>
      </c>
      <c r="C376" s="24"/>
      <c r="D376" s="24"/>
      <c r="E376" s="25" t="str">
        <f aca="false">IF(OR(M376=0,K376="",L376=""),"",MOD(L376-K376,1))</f>
        <v/>
      </c>
      <c r="F376" s="25" t="str">
        <f aca="false">IF(OR(E376="",M376=0),"",IF(WEEKDAY(A376,1)=6,E376,MIN(E376,MAX(0,MIN(IF(L376&lt;K376,L376+1,L376),OMR_OT_AT)-K376))))</f>
        <v/>
      </c>
      <c r="G376" s="25" t="str">
        <f aca="false">IF(OR(E376="",M376=0),"",MAX(0,E376-F376))</f>
        <v/>
      </c>
      <c r="H376" s="26" t="str">
        <f aca="false">IF(OR(E376="",M376=0),"",ROUND((F376*$N$369+G376*$O$369)*24,3))</f>
        <v/>
      </c>
      <c r="I376" s="27"/>
      <c r="K376" s="28" t="str">
        <f aca="false">IF(OR(M376=0,C376=""),"",IF(ISNUMBER(C376),MOD(C376,1),IFERROR(INDEX(القوائم!$B$1:$B$288,MATCH(TRIM(C376),القوائم!$A$1:$A$288,0)),IFERROR(MOD(TIMEVALUE(C376),1),""))))</f>
        <v/>
      </c>
      <c r="L376" s="28" t="str">
        <f aca="false">IF(OR(M376=0,D376=""),"",IF(ISNUMBER(D376),MOD(D376,1),IFERROR(INDEX(القوائم!$B$1:$B$288,MATCH(TRIM(D376),القوائم!$A$1:$A$288,0)),IFERROR(MOD(TIMEVALUE(D376),1),""))))</f>
        <v/>
      </c>
      <c r="M376" s="19" t="n">
        <f aca="false">$M$369</f>
        <v>0</v>
      </c>
      <c r="Q376" s="19" t="n">
        <f aca="false">IF(N(E381)&gt;0,1,0)</f>
        <v>0</v>
      </c>
      <c r="S376" s="0" t="n">
        <v>27</v>
      </c>
    </row>
    <row r="377" customFormat="false" ht="15" hidden="false" customHeight="false" outlineLevel="0" collapsed="false">
      <c r="A377" s="29" t="n">
        <f aca="false">IF(27&lt;=NW,WEEK_ONE+188,"")</f>
        <v>46206</v>
      </c>
      <c r="B377" s="30" t="str">
        <f aca="false">IF(A377="","",CHOOSE(WEEKDAY(A377,1),"الأحد","الاثنين","الثلاثاء","الأربعاء","الخميس","الجمعة","السبت"))</f>
        <v>الجمعة</v>
      </c>
      <c r="C377" s="24"/>
      <c r="D377" s="24"/>
      <c r="E377" s="25" t="str">
        <f aca="false">IF(OR(M377=0,K377="",L377=""),"",MOD(L377-K377,1))</f>
        <v/>
      </c>
      <c r="F377" s="25" t="str">
        <f aca="false">IF(OR(E377="",M377=0),"",IF(WEEKDAY(A377,1)=6,E377,MIN(E377,MAX(0,MIN(IF(L377&lt;K377,L377+1,L377),OMR_OT_AT)-K377))))</f>
        <v/>
      </c>
      <c r="G377" s="25" t="str">
        <f aca="false">IF(OR(E377="",M377=0),"",MAX(0,E377-F377))</f>
        <v/>
      </c>
      <c r="H377" s="26" t="str">
        <f aca="false">IF(OR(E377="",M377=0),"",ROUND((F377*$N$369+G377*$O$369)*24,3))</f>
        <v/>
      </c>
      <c r="I377" s="27"/>
      <c r="K377" s="28" t="str">
        <f aca="false">IF(OR(M377=0,C377=""),"",IF(ISNUMBER(C377),MOD(C377,1),IFERROR(INDEX(القوائم!$B$1:$B$288,MATCH(TRIM(C377),القوائم!$A$1:$A$288,0)),IFERROR(MOD(TIMEVALUE(C377),1),""))))</f>
        <v/>
      </c>
      <c r="L377" s="28" t="str">
        <f aca="false">IF(OR(M377=0,D377=""),"",IF(ISNUMBER(D377),MOD(D377,1),IFERROR(INDEX(القوائم!$B$1:$B$288,MATCH(TRIM(D377),القوائم!$A$1:$A$288,0)),IFERROR(MOD(TIMEVALUE(D377),1),""))))</f>
        <v/>
      </c>
      <c r="M377" s="19" t="n">
        <f aca="false">$M$369</f>
        <v>0</v>
      </c>
      <c r="Q377" s="19" t="n">
        <f aca="false">IF(N(E381)&gt;0,1,0)</f>
        <v>0</v>
      </c>
      <c r="S377" s="0" t="n">
        <v>27</v>
      </c>
    </row>
    <row r="378" customFormat="false" ht="15" hidden="false" customHeight="false" outlineLevel="0" collapsed="false">
      <c r="A378" s="31" t="str">
        <f aca="false">IF(M369=1,"ساعات تحميل الجبسمبورد بهالأسبوع ←","")</f>
        <v/>
      </c>
      <c r="B378" s="31"/>
      <c r="C378" s="31"/>
      <c r="D378" s="31"/>
      <c r="E378" s="32"/>
      <c r="F378" s="33" t="str">
        <f aca="false">IF(M369=1,"كل ساعة تحميل = "&amp;TEXT($P$369,"0.000")&amp;" دينار (منها "&amp;TEXT($N$369,"0.000")&amp;" محسوبة أصلاً بساعات اليوم)","")</f>
        <v/>
      </c>
      <c r="G378" s="33"/>
      <c r="H378" s="33"/>
      <c r="I378" s="33"/>
      <c r="M378" s="19" t="n">
        <f aca="false">$M$369</f>
        <v>0</v>
      </c>
      <c r="Q378" s="19" t="n">
        <f aca="false">IF(N(E381)&gt;0,1,0)</f>
        <v>0</v>
      </c>
      <c r="S378" s="0" t="n">
        <v>27</v>
      </c>
    </row>
    <row r="379" customFormat="false" ht="15" hidden="false" customHeight="false" outlineLevel="0" collapsed="false">
      <c r="A379" s="31" t="str">
        <f aca="false">IF(M369=1,"إكرامية الأسبوع (دينار) ←","")</f>
        <v/>
      </c>
      <c r="B379" s="31"/>
      <c r="C379" s="31"/>
      <c r="D379" s="31"/>
      <c r="E379" s="34"/>
      <c r="F379" s="35"/>
      <c r="G379" s="35"/>
      <c r="H379" s="35"/>
      <c r="I379" s="35"/>
      <c r="M379" s="19" t="n">
        <f aca="false">$M$369</f>
        <v>0</v>
      </c>
      <c r="Q379" s="19" t="n">
        <f aca="false">IF(N(E381)&gt;0,1,0)</f>
        <v>0</v>
      </c>
      <c r="S379" s="0" t="n">
        <v>27</v>
      </c>
    </row>
    <row r="380" customFormat="false" ht="36" hidden="false" customHeight="true" outlineLevel="0" collapsed="false">
      <c r="A380" s="36" t="str">
        <f aca="false">IF(M369=1,"المستحق النهائي للأسبوع","")</f>
        <v/>
      </c>
      <c r="B380" s="36"/>
      <c r="C380" s="36"/>
      <c r="D380" s="36"/>
      <c r="E380" s="36"/>
      <c r="F380" s="36"/>
      <c r="G380" s="36"/>
      <c r="H380" s="11" t="str">
        <f aca="false">IF(M369=1,ROUND(N($V$369)+N(E378)*($P$369-$N$369)+N(E379),3),"")</f>
        <v/>
      </c>
      <c r="I380" s="37"/>
      <c r="M380" s="19" t="n">
        <f aca="false">$M$369</f>
        <v>0</v>
      </c>
      <c r="Q380" s="19" t="n">
        <f aca="false">IF(N(E381)&gt;0,1,0)</f>
        <v>0</v>
      </c>
      <c r="S380" s="0" t="n">
        <v>27</v>
      </c>
      <c r="T380" s="0" t="n">
        <v>1</v>
      </c>
    </row>
    <row r="381" customFormat="false" ht="25.5" hidden="false" customHeight="true" outlineLevel="0" collapsed="false">
      <c r="A381" s="31" t="str">
        <f aca="false">IF(M369=1,"المدفوع (دينار) ←","")</f>
        <v/>
      </c>
      <c r="B381" s="31"/>
      <c r="C381" s="31"/>
      <c r="D381" s="31"/>
      <c r="E381" s="34"/>
      <c r="F381" s="38" t="str">
        <f aca="false">IF(M369=1,IF(N(E381)&gt;0,"✔ انقبض — الأسبوع مقفول","⏳ لسا ما انقبض"),"")</f>
        <v/>
      </c>
      <c r="G381" s="38"/>
      <c r="H381" s="38"/>
      <c r="I381" s="38"/>
      <c r="M381" s="19" t="n">
        <f aca="false">$M$369</f>
        <v>0</v>
      </c>
      <c r="Q381" s="19" t="n">
        <f aca="false">IF(N(E381)&gt;0,1,0)</f>
        <v>0</v>
      </c>
      <c r="S381" s="0" t="n">
        <v>27</v>
      </c>
    </row>
    <row r="382" customFormat="false" ht="9.75" hidden="false" customHeight="true" outlineLevel="0" collapsed="false">
      <c r="M382" s="19" t="n">
        <f aca="false">$M$369</f>
        <v>0</v>
      </c>
      <c r="Q382" s="19" t="n">
        <f aca="false">IF(N(E381)&gt;0,1,0)</f>
        <v>0</v>
      </c>
      <c r="S382" s="0" t="n">
        <v>27</v>
      </c>
      <c r="T382" s="0" t="n">
        <v>2</v>
      </c>
    </row>
    <row r="383" customFormat="false" ht="33.75" hidden="false" customHeight="true" outlineLevel="0" collapsed="false">
      <c r="A383" s="17" t="str">
        <f aca="false">IF(28&lt;=NW,TEXT(DAY(WEEK_ONE+189),"00")&amp;"/"&amp;TEXT(MONTH(WEEK_ONE+189),"00")&amp;"/"&amp;YEAR(WEEK_ONE+189)&amp;"  -  "&amp;TEXT(DAY(WEEK_ONE+195),"00")&amp;"/"&amp;TEXT(MONTH(WEEK_ONE+195),"00")&amp;"/"&amp;YEAR(WEEK_ONE+195)&amp;"   ·   الأسبوع 28"&amp;IF(28&lt;START_O,"   (قبل أسبوع البداية — ما بينحسب)",""),"ما في أسبوع 28 هالسنة")</f>
        <v>04/07/2026  -  10/07/2026   ·   الأسبوع 28   (قبل أسبوع البداية — ما بينحسب)</v>
      </c>
      <c r="B383" s="17"/>
      <c r="C383" s="17"/>
      <c r="D383" s="17"/>
      <c r="E383" s="17"/>
      <c r="F383" s="17"/>
      <c r="G383" s="17"/>
      <c r="H383" s="17"/>
      <c r="I383" s="17"/>
      <c r="L383" s="18" t="n">
        <f aca="false">IF(28&lt;=NW,WEEK_ONE+195,"")</f>
        <v>46213</v>
      </c>
      <c r="M383" s="19" t="n">
        <f aca="false">IF(AND(28&lt;=NW,28&gt;=START_O),1,0)</f>
        <v>0</v>
      </c>
      <c r="N383" s="20" t="n">
        <f aca="false">IFERROR(INDEX(RT_OMR,MATCH(L383,RT_K,1)),INDEX(RT_OMR,1))</f>
        <v>1.25</v>
      </c>
      <c r="O383" s="20" t="n">
        <f aca="false">IFERROR(INDEX(RT_OT,MATCH(L383,RT_K,1)),INDEX(RT_OT,1))</f>
        <v>1.5</v>
      </c>
      <c r="P383" s="20" t="n">
        <f aca="false">IFERROR(INDEX(RT_GYP,MATCH(L383,RT_K,1)),INDEX(RT_GYP,1))</f>
        <v>2.5</v>
      </c>
      <c r="Q383" s="19" t="n">
        <f aca="false">IF(N(E395)&gt;0,1,0)</f>
        <v>0</v>
      </c>
      <c r="R383" s="0" t="n">
        <v>28</v>
      </c>
      <c r="S383" s="0" t="n">
        <v>28</v>
      </c>
      <c r="U383" s="19" t="n">
        <f aca="false">IF(M383=1,SUM(E385:E391),0)</f>
        <v>0</v>
      </c>
      <c r="V383" s="19" t="n">
        <f aca="false">SUM(H385:H391)</f>
        <v>0</v>
      </c>
    </row>
    <row r="384" customFormat="false" ht="39.75" hidden="false" customHeight="true" outlineLevel="0" collapsed="false">
      <c r="A384" s="21" t="s">
        <v>18</v>
      </c>
      <c r="B384" s="21" t="s">
        <v>19</v>
      </c>
      <c r="C384" s="21" t="s">
        <v>20</v>
      </c>
      <c r="D384" s="21" t="s">
        <v>21</v>
      </c>
      <c r="E384" s="21" t="s">
        <v>22</v>
      </c>
      <c r="F384" s="21" t="s">
        <v>23</v>
      </c>
      <c r="G384" s="21" t="s">
        <v>24</v>
      </c>
      <c r="H384" s="21" t="s">
        <v>25</v>
      </c>
      <c r="I384" s="21" t="s">
        <v>26</v>
      </c>
      <c r="M384" s="19" t="n">
        <f aca="false">$M$383</f>
        <v>0</v>
      </c>
      <c r="Q384" s="19" t="n">
        <f aca="false">IF(N(E395)&gt;0,1,0)</f>
        <v>0</v>
      </c>
      <c r="S384" s="0" t="n">
        <v>28</v>
      </c>
    </row>
    <row r="385" customFormat="false" ht="15" hidden="false" customHeight="false" outlineLevel="0" collapsed="false">
      <c r="A385" s="22" t="n">
        <f aca="false">IF(28&lt;=NW,WEEK_ONE+189,"")</f>
        <v>46207</v>
      </c>
      <c r="B385" s="23" t="str">
        <f aca="false">IF(A385="","",CHOOSE(WEEKDAY(A385,1),"الأحد","الاثنين","الثلاثاء","الأربعاء","الخميس","الجمعة","السبت"))</f>
        <v>السبت</v>
      </c>
      <c r="C385" s="24"/>
      <c r="D385" s="24"/>
      <c r="E385" s="25" t="str">
        <f aca="false">IF(OR(M385=0,K385="",L385=""),"",MOD(L385-K385,1))</f>
        <v/>
      </c>
      <c r="F385" s="25" t="str">
        <f aca="false">IF(OR(E385="",M385=0),"",IF(WEEKDAY(A385,1)=6,E385,MIN(E385,MAX(0,MIN(IF(L385&lt;K385,L385+1,L385),OMR_OT_AT)-K385))))</f>
        <v/>
      </c>
      <c r="G385" s="25" t="str">
        <f aca="false">IF(OR(E385="",M385=0),"",MAX(0,E385-F385))</f>
        <v/>
      </c>
      <c r="H385" s="26" t="str">
        <f aca="false">IF(OR(E385="",M385=0),"",ROUND((F385*$N$383+G385*$O$383)*24,3))</f>
        <v/>
      </c>
      <c r="I385" s="27"/>
      <c r="K385" s="28" t="str">
        <f aca="false">IF(OR(M385=0,C385=""),"",IF(ISNUMBER(C385),MOD(C385,1),IFERROR(INDEX(القوائم!$B$1:$B$288,MATCH(TRIM(C385),القوائم!$A$1:$A$288,0)),IFERROR(MOD(TIMEVALUE(C385),1),""))))</f>
        <v/>
      </c>
      <c r="L385" s="28" t="str">
        <f aca="false">IF(OR(M385=0,D385=""),"",IF(ISNUMBER(D385),MOD(D385,1),IFERROR(INDEX(القوائم!$B$1:$B$288,MATCH(TRIM(D385),القوائم!$A$1:$A$288,0)),IFERROR(MOD(TIMEVALUE(D385),1),""))))</f>
        <v/>
      </c>
      <c r="M385" s="19" t="n">
        <f aca="false">$M$383</f>
        <v>0</v>
      </c>
      <c r="Q385" s="19" t="n">
        <f aca="false">IF(N(E395)&gt;0,1,0)</f>
        <v>0</v>
      </c>
      <c r="S385" s="0" t="n">
        <v>28</v>
      </c>
    </row>
    <row r="386" customFormat="false" ht="15" hidden="false" customHeight="false" outlineLevel="0" collapsed="false">
      <c r="A386" s="22" t="n">
        <f aca="false">IF(28&lt;=NW,WEEK_ONE+190,"")</f>
        <v>46208</v>
      </c>
      <c r="B386" s="23" t="str">
        <f aca="false">IF(A386="","",CHOOSE(WEEKDAY(A386,1),"الأحد","الاثنين","الثلاثاء","الأربعاء","الخميس","الجمعة","السبت"))</f>
        <v>الأحد</v>
      </c>
      <c r="C386" s="24"/>
      <c r="D386" s="24"/>
      <c r="E386" s="25" t="str">
        <f aca="false">IF(OR(M386=0,K386="",L386=""),"",MOD(L386-K386,1))</f>
        <v/>
      </c>
      <c r="F386" s="25" t="str">
        <f aca="false">IF(OR(E386="",M386=0),"",IF(WEEKDAY(A386,1)=6,E386,MIN(E386,MAX(0,MIN(IF(L386&lt;K386,L386+1,L386),OMR_OT_AT)-K386))))</f>
        <v/>
      </c>
      <c r="G386" s="25" t="str">
        <f aca="false">IF(OR(E386="",M386=0),"",MAX(0,E386-F386))</f>
        <v/>
      </c>
      <c r="H386" s="26" t="str">
        <f aca="false">IF(OR(E386="",M386=0),"",ROUND((F386*$N$383+G386*$O$383)*24,3))</f>
        <v/>
      </c>
      <c r="I386" s="27"/>
      <c r="K386" s="28" t="str">
        <f aca="false">IF(OR(M386=0,C386=""),"",IF(ISNUMBER(C386),MOD(C386,1),IFERROR(INDEX(القوائم!$B$1:$B$288,MATCH(TRIM(C386),القوائم!$A$1:$A$288,0)),IFERROR(MOD(TIMEVALUE(C386),1),""))))</f>
        <v/>
      </c>
      <c r="L386" s="28" t="str">
        <f aca="false">IF(OR(M386=0,D386=""),"",IF(ISNUMBER(D386),MOD(D386,1),IFERROR(INDEX(القوائم!$B$1:$B$288,MATCH(TRIM(D386),القوائم!$A$1:$A$288,0)),IFERROR(MOD(TIMEVALUE(D386),1),""))))</f>
        <v/>
      </c>
      <c r="M386" s="19" t="n">
        <f aca="false">$M$383</f>
        <v>0</v>
      </c>
      <c r="Q386" s="19" t="n">
        <f aca="false">IF(N(E395)&gt;0,1,0)</f>
        <v>0</v>
      </c>
      <c r="S386" s="0" t="n">
        <v>28</v>
      </c>
    </row>
    <row r="387" customFormat="false" ht="15" hidden="false" customHeight="false" outlineLevel="0" collapsed="false">
      <c r="A387" s="22" t="n">
        <f aca="false">IF(28&lt;=NW,WEEK_ONE+191,"")</f>
        <v>46209</v>
      </c>
      <c r="B387" s="23" t="str">
        <f aca="false">IF(A387="","",CHOOSE(WEEKDAY(A387,1),"الأحد","الاثنين","الثلاثاء","الأربعاء","الخميس","الجمعة","السبت"))</f>
        <v>الاثنين</v>
      </c>
      <c r="C387" s="24"/>
      <c r="D387" s="24"/>
      <c r="E387" s="25" t="str">
        <f aca="false">IF(OR(M387=0,K387="",L387=""),"",MOD(L387-K387,1))</f>
        <v/>
      </c>
      <c r="F387" s="25" t="str">
        <f aca="false">IF(OR(E387="",M387=0),"",IF(WEEKDAY(A387,1)=6,E387,MIN(E387,MAX(0,MIN(IF(L387&lt;K387,L387+1,L387),OMR_OT_AT)-K387))))</f>
        <v/>
      </c>
      <c r="G387" s="25" t="str">
        <f aca="false">IF(OR(E387="",M387=0),"",MAX(0,E387-F387))</f>
        <v/>
      </c>
      <c r="H387" s="26" t="str">
        <f aca="false">IF(OR(E387="",M387=0),"",ROUND((F387*$N$383+G387*$O$383)*24,3))</f>
        <v/>
      </c>
      <c r="I387" s="27"/>
      <c r="K387" s="28" t="str">
        <f aca="false">IF(OR(M387=0,C387=""),"",IF(ISNUMBER(C387),MOD(C387,1),IFERROR(INDEX(القوائم!$B$1:$B$288,MATCH(TRIM(C387),القوائم!$A$1:$A$288,0)),IFERROR(MOD(TIMEVALUE(C387),1),""))))</f>
        <v/>
      </c>
      <c r="L387" s="28" t="str">
        <f aca="false">IF(OR(M387=0,D387=""),"",IF(ISNUMBER(D387),MOD(D387,1),IFERROR(INDEX(القوائم!$B$1:$B$288,MATCH(TRIM(D387),القوائم!$A$1:$A$288,0)),IFERROR(MOD(TIMEVALUE(D387),1),""))))</f>
        <v/>
      </c>
      <c r="M387" s="19" t="n">
        <f aca="false">$M$383</f>
        <v>0</v>
      </c>
      <c r="Q387" s="19" t="n">
        <f aca="false">IF(N(E395)&gt;0,1,0)</f>
        <v>0</v>
      </c>
      <c r="S387" s="0" t="n">
        <v>28</v>
      </c>
    </row>
    <row r="388" customFormat="false" ht="15" hidden="false" customHeight="false" outlineLevel="0" collapsed="false">
      <c r="A388" s="22" t="n">
        <f aca="false">IF(28&lt;=NW,WEEK_ONE+192,"")</f>
        <v>46210</v>
      </c>
      <c r="B388" s="23" t="str">
        <f aca="false">IF(A388="","",CHOOSE(WEEKDAY(A388,1),"الأحد","الاثنين","الثلاثاء","الأربعاء","الخميس","الجمعة","السبت"))</f>
        <v>الثلاثاء</v>
      </c>
      <c r="C388" s="24"/>
      <c r="D388" s="24"/>
      <c r="E388" s="25" t="str">
        <f aca="false">IF(OR(M388=0,K388="",L388=""),"",MOD(L388-K388,1))</f>
        <v/>
      </c>
      <c r="F388" s="25" t="str">
        <f aca="false">IF(OR(E388="",M388=0),"",IF(WEEKDAY(A388,1)=6,E388,MIN(E388,MAX(0,MIN(IF(L388&lt;K388,L388+1,L388),OMR_OT_AT)-K388))))</f>
        <v/>
      </c>
      <c r="G388" s="25" t="str">
        <f aca="false">IF(OR(E388="",M388=0),"",MAX(0,E388-F388))</f>
        <v/>
      </c>
      <c r="H388" s="26" t="str">
        <f aca="false">IF(OR(E388="",M388=0),"",ROUND((F388*$N$383+G388*$O$383)*24,3))</f>
        <v/>
      </c>
      <c r="I388" s="27"/>
      <c r="K388" s="28" t="str">
        <f aca="false">IF(OR(M388=0,C388=""),"",IF(ISNUMBER(C388),MOD(C388,1),IFERROR(INDEX(القوائم!$B$1:$B$288,MATCH(TRIM(C388),القوائم!$A$1:$A$288,0)),IFERROR(MOD(TIMEVALUE(C388),1),""))))</f>
        <v/>
      </c>
      <c r="L388" s="28" t="str">
        <f aca="false">IF(OR(M388=0,D388=""),"",IF(ISNUMBER(D388),MOD(D388,1),IFERROR(INDEX(القوائم!$B$1:$B$288,MATCH(TRIM(D388),القوائم!$A$1:$A$288,0)),IFERROR(MOD(TIMEVALUE(D388),1),""))))</f>
        <v/>
      </c>
      <c r="M388" s="19" t="n">
        <f aca="false">$M$383</f>
        <v>0</v>
      </c>
      <c r="Q388" s="19" t="n">
        <f aca="false">IF(N(E395)&gt;0,1,0)</f>
        <v>0</v>
      </c>
      <c r="S388" s="0" t="n">
        <v>28</v>
      </c>
    </row>
    <row r="389" customFormat="false" ht="15" hidden="false" customHeight="false" outlineLevel="0" collapsed="false">
      <c r="A389" s="22" t="n">
        <f aca="false">IF(28&lt;=NW,WEEK_ONE+193,"")</f>
        <v>46211</v>
      </c>
      <c r="B389" s="23" t="str">
        <f aca="false">IF(A389="","",CHOOSE(WEEKDAY(A389,1),"الأحد","الاثنين","الثلاثاء","الأربعاء","الخميس","الجمعة","السبت"))</f>
        <v>الأربعاء</v>
      </c>
      <c r="C389" s="24"/>
      <c r="D389" s="24"/>
      <c r="E389" s="25" t="str">
        <f aca="false">IF(OR(M389=0,K389="",L389=""),"",MOD(L389-K389,1))</f>
        <v/>
      </c>
      <c r="F389" s="25" t="str">
        <f aca="false">IF(OR(E389="",M389=0),"",IF(WEEKDAY(A389,1)=6,E389,MIN(E389,MAX(0,MIN(IF(L389&lt;K389,L389+1,L389),OMR_OT_AT)-K389))))</f>
        <v/>
      </c>
      <c r="G389" s="25" t="str">
        <f aca="false">IF(OR(E389="",M389=0),"",MAX(0,E389-F389))</f>
        <v/>
      </c>
      <c r="H389" s="26" t="str">
        <f aca="false">IF(OR(E389="",M389=0),"",ROUND((F389*$N$383+G389*$O$383)*24,3))</f>
        <v/>
      </c>
      <c r="I389" s="27"/>
      <c r="K389" s="28" t="str">
        <f aca="false">IF(OR(M389=0,C389=""),"",IF(ISNUMBER(C389),MOD(C389,1),IFERROR(INDEX(القوائم!$B$1:$B$288,MATCH(TRIM(C389),القوائم!$A$1:$A$288,0)),IFERROR(MOD(TIMEVALUE(C389),1),""))))</f>
        <v/>
      </c>
      <c r="L389" s="28" t="str">
        <f aca="false">IF(OR(M389=0,D389=""),"",IF(ISNUMBER(D389),MOD(D389,1),IFERROR(INDEX(القوائم!$B$1:$B$288,MATCH(TRIM(D389),القوائم!$A$1:$A$288,0)),IFERROR(MOD(TIMEVALUE(D389),1),""))))</f>
        <v/>
      </c>
      <c r="M389" s="19" t="n">
        <f aca="false">$M$383</f>
        <v>0</v>
      </c>
      <c r="Q389" s="19" t="n">
        <f aca="false">IF(N(E395)&gt;0,1,0)</f>
        <v>0</v>
      </c>
      <c r="S389" s="0" t="n">
        <v>28</v>
      </c>
    </row>
    <row r="390" customFormat="false" ht="15" hidden="false" customHeight="false" outlineLevel="0" collapsed="false">
      <c r="A390" s="22" t="n">
        <f aca="false">IF(28&lt;=NW,WEEK_ONE+194,"")</f>
        <v>46212</v>
      </c>
      <c r="B390" s="23" t="str">
        <f aca="false">IF(A390="","",CHOOSE(WEEKDAY(A390,1),"الأحد","الاثنين","الثلاثاء","الأربعاء","الخميس","الجمعة","السبت"))</f>
        <v>الخميس</v>
      </c>
      <c r="C390" s="24"/>
      <c r="D390" s="24"/>
      <c r="E390" s="25" t="str">
        <f aca="false">IF(OR(M390=0,K390="",L390=""),"",MOD(L390-K390,1))</f>
        <v/>
      </c>
      <c r="F390" s="25" t="str">
        <f aca="false">IF(OR(E390="",M390=0),"",IF(WEEKDAY(A390,1)=6,E390,MIN(E390,MAX(0,MIN(IF(L390&lt;K390,L390+1,L390),OMR_OT_AT)-K390))))</f>
        <v/>
      </c>
      <c r="G390" s="25" t="str">
        <f aca="false">IF(OR(E390="",M390=0),"",MAX(0,E390-F390))</f>
        <v/>
      </c>
      <c r="H390" s="26" t="str">
        <f aca="false">IF(OR(E390="",M390=0),"",ROUND((F390*$N$383+G390*$O$383)*24,3))</f>
        <v/>
      </c>
      <c r="I390" s="27"/>
      <c r="K390" s="28" t="str">
        <f aca="false">IF(OR(M390=0,C390=""),"",IF(ISNUMBER(C390),MOD(C390,1),IFERROR(INDEX(القوائم!$B$1:$B$288,MATCH(TRIM(C390),القوائم!$A$1:$A$288,0)),IFERROR(MOD(TIMEVALUE(C390),1),""))))</f>
        <v/>
      </c>
      <c r="L390" s="28" t="str">
        <f aca="false">IF(OR(M390=0,D390=""),"",IF(ISNUMBER(D390),MOD(D390,1),IFERROR(INDEX(القوائم!$B$1:$B$288,MATCH(TRIM(D390),القوائم!$A$1:$A$288,0)),IFERROR(MOD(TIMEVALUE(D390),1),""))))</f>
        <v/>
      </c>
      <c r="M390" s="19" t="n">
        <f aca="false">$M$383</f>
        <v>0</v>
      </c>
      <c r="Q390" s="19" t="n">
        <f aca="false">IF(N(E395)&gt;0,1,0)</f>
        <v>0</v>
      </c>
      <c r="S390" s="0" t="n">
        <v>28</v>
      </c>
    </row>
    <row r="391" customFormat="false" ht="15" hidden="false" customHeight="false" outlineLevel="0" collapsed="false">
      <c r="A391" s="29" t="n">
        <f aca="false">IF(28&lt;=NW,WEEK_ONE+195,"")</f>
        <v>46213</v>
      </c>
      <c r="B391" s="30" t="str">
        <f aca="false">IF(A391="","",CHOOSE(WEEKDAY(A391,1),"الأحد","الاثنين","الثلاثاء","الأربعاء","الخميس","الجمعة","السبت"))</f>
        <v>الجمعة</v>
      </c>
      <c r="C391" s="24"/>
      <c r="D391" s="24"/>
      <c r="E391" s="25" t="str">
        <f aca="false">IF(OR(M391=0,K391="",L391=""),"",MOD(L391-K391,1))</f>
        <v/>
      </c>
      <c r="F391" s="25" t="str">
        <f aca="false">IF(OR(E391="",M391=0),"",IF(WEEKDAY(A391,1)=6,E391,MIN(E391,MAX(0,MIN(IF(L391&lt;K391,L391+1,L391),OMR_OT_AT)-K391))))</f>
        <v/>
      </c>
      <c r="G391" s="25" t="str">
        <f aca="false">IF(OR(E391="",M391=0),"",MAX(0,E391-F391))</f>
        <v/>
      </c>
      <c r="H391" s="26" t="str">
        <f aca="false">IF(OR(E391="",M391=0),"",ROUND((F391*$N$383+G391*$O$383)*24,3))</f>
        <v/>
      </c>
      <c r="I391" s="27"/>
      <c r="K391" s="28" t="str">
        <f aca="false">IF(OR(M391=0,C391=""),"",IF(ISNUMBER(C391),MOD(C391,1),IFERROR(INDEX(القوائم!$B$1:$B$288,MATCH(TRIM(C391),القوائم!$A$1:$A$288,0)),IFERROR(MOD(TIMEVALUE(C391),1),""))))</f>
        <v/>
      </c>
      <c r="L391" s="28" t="str">
        <f aca="false">IF(OR(M391=0,D391=""),"",IF(ISNUMBER(D391),MOD(D391,1),IFERROR(INDEX(القوائم!$B$1:$B$288,MATCH(TRIM(D391),القوائم!$A$1:$A$288,0)),IFERROR(MOD(TIMEVALUE(D391),1),""))))</f>
        <v/>
      </c>
      <c r="M391" s="19" t="n">
        <f aca="false">$M$383</f>
        <v>0</v>
      </c>
      <c r="Q391" s="19" t="n">
        <f aca="false">IF(N(E395)&gt;0,1,0)</f>
        <v>0</v>
      </c>
      <c r="S391" s="0" t="n">
        <v>28</v>
      </c>
    </row>
    <row r="392" customFormat="false" ht="15" hidden="false" customHeight="false" outlineLevel="0" collapsed="false">
      <c r="A392" s="31" t="str">
        <f aca="false">IF(M383=1,"ساعات تحميل الجبسمبورد بهالأسبوع ←","")</f>
        <v/>
      </c>
      <c r="B392" s="31"/>
      <c r="C392" s="31"/>
      <c r="D392" s="31"/>
      <c r="E392" s="32"/>
      <c r="F392" s="33" t="str">
        <f aca="false">IF(M383=1,"كل ساعة تحميل = "&amp;TEXT($P$383,"0.000")&amp;" دينار (منها "&amp;TEXT($N$383,"0.000")&amp;" محسوبة أصلاً بساعات اليوم)","")</f>
        <v/>
      </c>
      <c r="G392" s="33"/>
      <c r="H392" s="33"/>
      <c r="I392" s="33"/>
      <c r="M392" s="19" t="n">
        <f aca="false">$M$383</f>
        <v>0</v>
      </c>
      <c r="Q392" s="19" t="n">
        <f aca="false">IF(N(E395)&gt;0,1,0)</f>
        <v>0</v>
      </c>
      <c r="S392" s="0" t="n">
        <v>28</v>
      </c>
    </row>
    <row r="393" customFormat="false" ht="15" hidden="false" customHeight="false" outlineLevel="0" collapsed="false">
      <c r="A393" s="31" t="str">
        <f aca="false">IF(M383=1,"إكرامية الأسبوع (دينار) ←","")</f>
        <v/>
      </c>
      <c r="B393" s="31"/>
      <c r="C393" s="31"/>
      <c r="D393" s="31"/>
      <c r="E393" s="34"/>
      <c r="F393" s="35"/>
      <c r="G393" s="35"/>
      <c r="H393" s="35"/>
      <c r="I393" s="35"/>
      <c r="M393" s="19" t="n">
        <f aca="false">$M$383</f>
        <v>0</v>
      </c>
      <c r="Q393" s="19" t="n">
        <f aca="false">IF(N(E395)&gt;0,1,0)</f>
        <v>0</v>
      </c>
      <c r="S393" s="0" t="n">
        <v>28</v>
      </c>
    </row>
    <row r="394" customFormat="false" ht="36" hidden="false" customHeight="true" outlineLevel="0" collapsed="false">
      <c r="A394" s="36" t="str">
        <f aca="false">IF(M383=1,"المستحق النهائي للأسبوع","")</f>
        <v/>
      </c>
      <c r="B394" s="36"/>
      <c r="C394" s="36"/>
      <c r="D394" s="36"/>
      <c r="E394" s="36"/>
      <c r="F394" s="36"/>
      <c r="G394" s="36"/>
      <c r="H394" s="11" t="str">
        <f aca="false">IF(M383=1,ROUND(N($V$383)+N(E392)*($P$383-$N$383)+N(E393),3),"")</f>
        <v/>
      </c>
      <c r="I394" s="37"/>
      <c r="M394" s="19" t="n">
        <f aca="false">$M$383</f>
        <v>0</v>
      </c>
      <c r="Q394" s="19" t="n">
        <f aca="false">IF(N(E395)&gt;0,1,0)</f>
        <v>0</v>
      </c>
      <c r="S394" s="0" t="n">
        <v>28</v>
      </c>
      <c r="T394" s="0" t="n">
        <v>1</v>
      </c>
    </row>
    <row r="395" customFormat="false" ht="25.5" hidden="false" customHeight="true" outlineLevel="0" collapsed="false">
      <c r="A395" s="31" t="str">
        <f aca="false">IF(M383=1,"المدفوع (دينار) ←","")</f>
        <v/>
      </c>
      <c r="B395" s="31"/>
      <c r="C395" s="31"/>
      <c r="D395" s="31"/>
      <c r="E395" s="34"/>
      <c r="F395" s="38" t="str">
        <f aca="false">IF(M383=1,IF(N(E395)&gt;0,"✔ انقبض — الأسبوع مقفول","⏳ لسا ما انقبض"),"")</f>
        <v/>
      </c>
      <c r="G395" s="38"/>
      <c r="H395" s="38"/>
      <c r="I395" s="38"/>
      <c r="M395" s="19" t="n">
        <f aca="false">$M$383</f>
        <v>0</v>
      </c>
      <c r="Q395" s="19" t="n">
        <f aca="false">IF(N(E395)&gt;0,1,0)</f>
        <v>0</v>
      </c>
      <c r="S395" s="0" t="n">
        <v>28</v>
      </c>
    </row>
    <row r="396" customFormat="false" ht="9.75" hidden="false" customHeight="true" outlineLevel="0" collapsed="false">
      <c r="M396" s="19" t="n">
        <f aca="false">$M$383</f>
        <v>0</v>
      </c>
      <c r="Q396" s="19" t="n">
        <f aca="false">IF(N(E395)&gt;0,1,0)</f>
        <v>0</v>
      </c>
      <c r="S396" s="0" t="n">
        <v>28</v>
      </c>
      <c r="T396" s="0" t="n">
        <v>2</v>
      </c>
    </row>
    <row r="397" customFormat="false" ht="33.75" hidden="false" customHeight="true" outlineLevel="0" collapsed="false">
      <c r="A397" s="17" t="str">
        <f aca="false">IF(29&lt;=NW,TEXT(DAY(WEEK_ONE+196),"00")&amp;"/"&amp;TEXT(MONTH(WEEK_ONE+196),"00")&amp;"/"&amp;YEAR(WEEK_ONE+196)&amp;"  -  "&amp;TEXT(DAY(WEEK_ONE+202),"00")&amp;"/"&amp;TEXT(MONTH(WEEK_ONE+202),"00")&amp;"/"&amp;YEAR(WEEK_ONE+202)&amp;"   ·   الأسبوع 29"&amp;IF(29&lt;START_O,"   (قبل أسبوع البداية — ما بينحسب)",""),"ما في أسبوع 29 هالسنة")</f>
        <v>11/07/2026  -  17/07/2026   ·   الأسبوع 29   (قبل أسبوع البداية — ما بينحسب)</v>
      </c>
      <c r="B397" s="17"/>
      <c r="C397" s="17"/>
      <c r="D397" s="17"/>
      <c r="E397" s="17"/>
      <c r="F397" s="17"/>
      <c r="G397" s="17"/>
      <c r="H397" s="17"/>
      <c r="I397" s="17"/>
      <c r="L397" s="18" t="n">
        <f aca="false">IF(29&lt;=NW,WEEK_ONE+202,"")</f>
        <v>46220</v>
      </c>
      <c r="M397" s="19" t="n">
        <f aca="false">IF(AND(29&lt;=NW,29&gt;=START_O),1,0)</f>
        <v>0</v>
      </c>
      <c r="N397" s="20" t="n">
        <f aca="false">IFERROR(INDEX(RT_OMR,MATCH(L397,RT_K,1)),INDEX(RT_OMR,1))</f>
        <v>1.25</v>
      </c>
      <c r="O397" s="20" t="n">
        <f aca="false">IFERROR(INDEX(RT_OT,MATCH(L397,RT_K,1)),INDEX(RT_OT,1))</f>
        <v>1.5</v>
      </c>
      <c r="P397" s="20" t="n">
        <f aca="false">IFERROR(INDEX(RT_GYP,MATCH(L397,RT_K,1)),INDEX(RT_GYP,1))</f>
        <v>2.5</v>
      </c>
      <c r="Q397" s="19" t="n">
        <f aca="false">IF(N(E409)&gt;0,1,0)</f>
        <v>0</v>
      </c>
      <c r="R397" s="0" t="n">
        <v>29</v>
      </c>
      <c r="S397" s="0" t="n">
        <v>29</v>
      </c>
      <c r="U397" s="19" t="n">
        <f aca="false">IF(M397=1,SUM(E399:E405),0)</f>
        <v>0</v>
      </c>
      <c r="V397" s="19" t="n">
        <f aca="false">SUM(H399:H405)</f>
        <v>0</v>
      </c>
    </row>
    <row r="398" customFormat="false" ht="39.75" hidden="false" customHeight="true" outlineLevel="0" collapsed="false">
      <c r="A398" s="21" t="s">
        <v>18</v>
      </c>
      <c r="B398" s="21" t="s">
        <v>19</v>
      </c>
      <c r="C398" s="21" t="s">
        <v>20</v>
      </c>
      <c r="D398" s="21" t="s">
        <v>21</v>
      </c>
      <c r="E398" s="21" t="s">
        <v>22</v>
      </c>
      <c r="F398" s="21" t="s">
        <v>23</v>
      </c>
      <c r="G398" s="21" t="s">
        <v>24</v>
      </c>
      <c r="H398" s="21" t="s">
        <v>25</v>
      </c>
      <c r="I398" s="21" t="s">
        <v>26</v>
      </c>
      <c r="M398" s="19" t="n">
        <f aca="false">$M$397</f>
        <v>0</v>
      </c>
      <c r="Q398" s="19" t="n">
        <f aca="false">IF(N(E409)&gt;0,1,0)</f>
        <v>0</v>
      </c>
      <c r="S398" s="0" t="n">
        <v>29</v>
      </c>
    </row>
    <row r="399" customFormat="false" ht="15" hidden="false" customHeight="false" outlineLevel="0" collapsed="false">
      <c r="A399" s="22" t="n">
        <f aca="false">IF(29&lt;=NW,WEEK_ONE+196,"")</f>
        <v>46214</v>
      </c>
      <c r="B399" s="23" t="str">
        <f aca="false">IF(A399="","",CHOOSE(WEEKDAY(A399,1),"الأحد","الاثنين","الثلاثاء","الأربعاء","الخميس","الجمعة","السبت"))</f>
        <v>السبت</v>
      </c>
      <c r="C399" s="24"/>
      <c r="D399" s="24"/>
      <c r="E399" s="25" t="str">
        <f aca="false">IF(OR(M399=0,K399="",L399=""),"",MOD(L399-K399,1))</f>
        <v/>
      </c>
      <c r="F399" s="25" t="str">
        <f aca="false">IF(OR(E399="",M399=0),"",IF(WEEKDAY(A399,1)=6,E399,MIN(E399,MAX(0,MIN(IF(L399&lt;K399,L399+1,L399),OMR_OT_AT)-K399))))</f>
        <v/>
      </c>
      <c r="G399" s="25" t="str">
        <f aca="false">IF(OR(E399="",M399=0),"",MAX(0,E399-F399))</f>
        <v/>
      </c>
      <c r="H399" s="26" t="str">
        <f aca="false">IF(OR(E399="",M399=0),"",ROUND((F399*$N$397+G399*$O$397)*24,3))</f>
        <v/>
      </c>
      <c r="I399" s="27"/>
      <c r="K399" s="28" t="str">
        <f aca="false">IF(OR(M399=0,C399=""),"",IF(ISNUMBER(C399),MOD(C399,1),IFERROR(INDEX(القوائم!$B$1:$B$288,MATCH(TRIM(C399),القوائم!$A$1:$A$288,0)),IFERROR(MOD(TIMEVALUE(C399),1),""))))</f>
        <v/>
      </c>
      <c r="L399" s="28" t="str">
        <f aca="false">IF(OR(M399=0,D399=""),"",IF(ISNUMBER(D399),MOD(D399,1),IFERROR(INDEX(القوائم!$B$1:$B$288,MATCH(TRIM(D399),القوائم!$A$1:$A$288,0)),IFERROR(MOD(TIMEVALUE(D399),1),""))))</f>
        <v/>
      </c>
      <c r="M399" s="19" t="n">
        <f aca="false">$M$397</f>
        <v>0</v>
      </c>
      <c r="Q399" s="19" t="n">
        <f aca="false">IF(N(E409)&gt;0,1,0)</f>
        <v>0</v>
      </c>
      <c r="S399" s="0" t="n">
        <v>29</v>
      </c>
    </row>
    <row r="400" customFormat="false" ht="15" hidden="false" customHeight="false" outlineLevel="0" collapsed="false">
      <c r="A400" s="22" t="n">
        <f aca="false">IF(29&lt;=NW,WEEK_ONE+197,"")</f>
        <v>46215</v>
      </c>
      <c r="B400" s="23" t="str">
        <f aca="false">IF(A400="","",CHOOSE(WEEKDAY(A400,1),"الأحد","الاثنين","الثلاثاء","الأربعاء","الخميس","الجمعة","السبت"))</f>
        <v>الأحد</v>
      </c>
      <c r="C400" s="24"/>
      <c r="D400" s="24"/>
      <c r="E400" s="25" t="str">
        <f aca="false">IF(OR(M400=0,K400="",L400=""),"",MOD(L400-K400,1))</f>
        <v/>
      </c>
      <c r="F400" s="25" t="str">
        <f aca="false">IF(OR(E400="",M400=0),"",IF(WEEKDAY(A400,1)=6,E400,MIN(E400,MAX(0,MIN(IF(L400&lt;K400,L400+1,L400),OMR_OT_AT)-K400))))</f>
        <v/>
      </c>
      <c r="G400" s="25" t="str">
        <f aca="false">IF(OR(E400="",M400=0),"",MAX(0,E400-F400))</f>
        <v/>
      </c>
      <c r="H400" s="26" t="str">
        <f aca="false">IF(OR(E400="",M400=0),"",ROUND((F400*$N$397+G400*$O$397)*24,3))</f>
        <v/>
      </c>
      <c r="I400" s="27"/>
      <c r="K400" s="28" t="str">
        <f aca="false">IF(OR(M400=0,C400=""),"",IF(ISNUMBER(C400),MOD(C400,1),IFERROR(INDEX(القوائم!$B$1:$B$288,MATCH(TRIM(C400),القوائم!$A$1:$A$288,0)),IFERROR(MOD(TIMEVALUE(C400),1),""))))</f>
        <v/>
      </c>
      <c r="L400" s="28" t="str">
        <f aca="false">IF(OR(M400=0,D400=""),"",IF(ISNUMBER(D400),MOD(D400,1),IFERROR(INDEX(القوائم!$B$1:$B$288,MATCH(TRIM(D400),القوائم!$A$1:$A$288,0)),IFERROR(MOD(TIMEVALUE(D400),1),""))))</f>
        <v/>
      </c>
      <c r="M400" s="19" t="n">
        <f aca="false">$M$397</f>
        <v>0</v>
      </c>
      <c r="Q400" s="19" t="n">
        <f aca="false">IF(N(E409)&gt;0,1,0)</f>
        <v>0</v>
      </c>
      <c r="S400" s="0" t="n">
        <v>29</v>
      </c>
    </row>
    <row r="401" customFormat="false" ht="15" hidden="false" customHeight="false" outlineLevel="0" collapsed="false">
      <c r="A401" s="22" t="n">
        <f aca="false">IF(29&lt;=NW,WEEK_ONE+198,"")</f>
        <v>46216</v>
      </c>
      <c r="B401" s="23" t="str">
        <f aca="false">IF(A401="","",CHOOSE(WEEKDAY(A401,1),"الأحد","الاثنين","الثلاثاء","الأربعاء","الخميس","الجمعة","السبت"))</f>
        <v>الاثنين</v>
      </c>
      <c r="C401" s="24"/>
      <c r="D401" s="24"/>
      <c r="E401" s="25" t="str">
        <f aca="false">IF(OR(M401=0,K401="",L401=""),"",MOD(L401-K401,1))</f>
        <v/>
      </c>
      <c r="F401" s="25" t="str">
        <f aca="false">IF(OR(E401="",M401=0),"",IF(WEEKDAY(A401,1)=6,E401,MIN(E401,MAX(0,MIN(IF(L401&lt;K401,L401+1,L401),OMR_OT_AT)-K401))))</f>
        <v/>
      </c>
      <c r="G401" s="25" t="str">
        <f aca="false">IF(OR(E401="",M401=0),"",MAX(0,E401-F401))</f>
        <v/>
      </c>
      <c r="H401" s="26" t="str">
        <f aca="false">IF(OR(E401="",M401=0),"",ROUND((F401*$N$397+G401*$O$397)*24,3))</f>
        <v/>
      </c>
      <c r="I401" s="27"/>
      <c r="K401" s="28" t="str">
        <f aca="false">IF(OR(M401=0,C401=""),"",IF(ISNUMBER(C401),MOD(C401,1),IFERROR(INDEX(القوائم!$B$1:$B$288,MATCH(TRIM(C401),القوائم!$A$1:$A$288,0)),IFERROR(MOD(TIMEVALUE(C401),1),""))))</f>
        <v/>
      </c>
      <c r="L401" s="28" t="str">
        <f aca="false">IF(OR(M401=0,D401=""),"",IF(ISNUMBER(D401),MOD(D401,1),IFERROR(INDEX(القوائم!$B$1:$B$288,MATCH(TRIM(D401),القوائم!$A$1:$A$288,0)),IFERROR(MOD(TIMEVALUE(D401),1),""))))</f>
        <v/>
      </c>
      <c r="M401" s="19" t="n">
        <f aca="false">$M$397</f>
        <v>0</v>
      </c>
      <c r="Q401" s="19" t="n">
        <f aca="false">IF(N(E409)&gt;0,1,0)</f>
        <v>0</v>
      </c>
      <c r="S401" s="0" t="n">
        <v>29</v>
      </c>
    </row>
    <row r="402" customFormat="false" ht="15" hidden="false" customHeight="false" outlineLevel="0" collapsed="false">
      <c r="A402" s="22" t="n">
        <f aca="false">IF(29&lt;=NW,WEEK_ONE+199,"")</f>
        <v>46217</v>
      </c>
      <c r="B402" s="23" t="str">
        <f aca="false">IF(A402="","",CHOOSE(WEEKDAY(A402,1),"الأحد","الاثنين","الثلاثاء","الأربعاء","الخميس","الجمعة","السبت"))</f>
        <v>الثلاثاء</v>
      </c>
      <c r="C402" s="24"/>
      <c r="D402" s="24"/>
      <c r="E402" s="25" t="str">
        <f aca="false">IF(OR(M402=0,K402="",L402=""),"",MOD(L402-K402,1))</f>
        <v/>
      </c>
      <c r="F402" s="25" t="str">
        <f aca="false">IF(OR(E402="",M402=0),"",IF(WEEKDAY(A402,1)=6,E402,MIN(E402,MAX(0,MIN(IF(L402&lt;K402,L402+1,L402),OMR_OT_AT)-K402))))</f>
        <v/>
      </c>
      <c r="G402" s="25" t="str">
        <f aca="false">IF(OR(E402="",M402=0),"",MAX(0,E402-F402))</f>
        <v/>
      </c>
      <c r="H402" s="26" t="str">
        <f aca="false">IF(OR(E402="",M402=0),"",ROUND((F402*$N$397+G402*$O$397)*24,3))</f>
        <v/>
      </c>
      <c r="I402" s="27"/>
      <c r="K402" s="28" t="str">
        <f aca="false">IF(OR(M402=0,C402=""),"",IF(ISNUMBER(C402),MOD(C402,1),IFERROR(INDEX(القوائم!$B$1:$B$288,MATCH(TRIM(C402),القوائم!$A$1:$A$288,0)),IFERROR(MOD(TIMEVALUE(C402),1),""))))</f>
        <v/>
      </c>
      <c r="L402" s="28" t="str">
        <f aca="false">IF(OR(M402=0,D402=""),"",IF(ISNUMBER(D402),MOD(D402,1),IFERROR(INDEX(القوائم!$B$1:$B$288,MATCH(TRIM(D402),القوائم!$A$1:$A$288,0)),IFERROR(MOD(TIMEVALUE(D402),1),""))))</f>
        <v/>
      </c>
      <c r="M402" s="19" t="n">
        <f aca="false">$M$397</f>
        <v>0</v>
      </c>
      <c r="Q402" s="19" t="n">
        <f aca="false">IF(N(E409)&gt;0,1,0)</f>
        <v>0</v>
      </c>
      <c r="S402" s="0" t="n">
        <v>29</v>
      </c>
    </row>
    <row r="403" customFormat="false" ht="15" hidden="false" customHeight="false" outlineLevel="0" collapsed="false">
      <c r="A403" s="22" t="n">
        <f aca="false">IF(29&lt;=NW,WEEK_ONE+200,"")</f>
        <v>46218</v>
      </c>
      <c r="B403" s="23" t="str">
        <f aca="false">IF(A403="","",CHOOSE(WEEKDAY(A403,1),"الأحد","الاثنين","الثلاثاء","الأربعاء","الخميس","الجمعة","السبت"))</f>
        <v>الأربعاء</v>
      </c>
      <c r="C403" s="24"/>
      <c r="D403" s="24"/>
      <c r="E403" s="25" t="str">
        <f aca="false">IF(OR(M403=0,K403="",L403=""),"",MOD(L403-K403,1))</f>
        <v/>
      </c>
      <c r="F403" s="25" t="str">
        <f aca="false">IF(OR(E403="",M403=0),"",IF(WEEKDAY(A403,1)=6,E403,MIN(E403,MAX(0,MIN(IF(L403&lt;K403,L403+1,L403),OMR_OT_AT)-K403))))</f>
        <v/>
      </c>
      <c r="G403" s="25" t="str">
        <f aca="false">IF(OR(E403="",M403=0),"",MAX(0,E403-F403))</f>
        <v/>
      </c>
      <c r="H403" s="26" t="str">
        <f aca="false">IF(OR(E403="",M403=0),"",ROUND((F403*$N$397+G403*$O$397)*24,3))</f>
        <v/>
      </c>
      <c r="I403" s="27"/>
      <c r="K403" s="28" t="str">
        <f aca="false">IF(OR(M403=0,C403=""),"",IF(ISNUMBER(C403),MOD(C403,1),IFERROR(INDEX(القوائم!$B$1:$B$288,MATCH(TRIM(C403),القوائم!$A$1:$A$288,0)),IFERROR(MOD(TIMEVALUE(C403),1),""))))</f>
        <v/>
      </c>
      <c r="L403" s="28" t="str">
        <f aca="false">IF(OR(M403=0,D403=""),"",IF(ISNUMBER(D403),MOD(D403,1),IFERROR(INDEX(القوائم!$B$1:$B$288,MATCH(TRIM(D403),القوائم!$A$1:$A$288,0)),IFERROR(MOD(TIMEVALUE(D403),1),""))))</f>
        <v/>
      </c>
      <c r="M403" s="19" t="n">
        <f aca="false">$M$397</f>
        <v>0</v>
      </c>
      <c r="Q403" s="19" t="n">
        <f aca="false">IF(N(E409)&gt;0,1,0)</f>
        <v>0</v>
      </c>
      <c r="S403" s="0" t="n">
        <v>29</v>
      </c>
    </row>
    <row r="404" customFormat="false" ht="15" hidden="false" customHeight="false" outlineLevel="0" collapsed="false">
      <c r="A404" s="22" t="n">
        <f aca="false">IF(29&lt;=NW,WEEK_ONE+201,"")</f>
        <v>46219</v>
      </c>
      <c r="B404" s="23" t="str">
        <f aca="false">IF(A404="","",CHOOSE(WEEKDAY(A404,1),"الأحد","الاثنين","الثلاثاء","الأربعاء","الخميس","الجمعة","السبت"))</f>
        <v>الخميس</v>
      </c>
      <c r="C404" s="24"/>
      <c r="D404" s="24"/>
      <c r="E404" s="25" t="str">
        <f aca="false">IF(OR(M404=0,K404="",L404=""),"",MOD(L404-K404,1))</f>
        <v/>
      </c>
      <c r="F404" s="25" t="str">
        <f aca="false">IF(OR(E404="",M404=0),"",IF(WEEKDAY(A404,1)=6,E404,MIN(E404,MAX(0,MIN(IF(L404&lt;K404,L404+1,L404),OMR_OT_AT)-K404))))</f>
        <v/>
      </c>
      <c r="G404" s="25" t="str">
        <f aca="false">IF(OR(E404="",M404=0),"",MAX(0,E404-F404))</f>
        <v/>
      </c>
      <c r="H404" s="26" t="str">
        <f aca="false">IF(OR(E404="",M404=0),"",ROUND((F404*$N$397+G404*$O$397)*24,3))</f>
        <v/>
      </c>
      <c r="I404" s="27"/>
      <c r="K404" s="28" t="str">
        <f aca="false">IF(OR(M404=0,C404=""),"",IF(ISNUMBER(C404),MOD(C404,1),IFERROR(INDEX(القوائم!$B$1:$B$288,MATCH(TRIM(C404),القوائم!$A$1:$A$288,0)),IFERROR(MOD(TIMEVALUE(C404),1),""))))</f>
        <v/>
      </c>
      <c r="L404" s="28" t="str">
        <f aca="false">IF(OR(M404=0,D404=""),"",IF(ISNUMBER(D404),MOD(D404,1),IFERROR(INDEX(القوائم!$B$1:$B$288,MATCH(TRIM(D404),القوائم!$A$1:$A$288,0)),IFERROR(MOD(TIMEVALUE(D404),1),""))))</f>
        <v/>
      </c>
      <c r="M404" s="19" t="n">
        <f aca="false">$M$397</f>
        <v>0</v>
      </c>
      <c r="Q404" s="19" t="n">
        <f aca="false">IF(N(E409)&gt;0,1,0)</f>
        <v>0</v>
      </c>
      <c r="S404" s="0" t="n">
        <v>29</v>
      </c>
    </row>
    <row r="405" customFormat="false" ht="15" hidden="false" customHeight="false" outlineLevel="0" collapsed="false">
      <c r="A405" s="29" t="n">
        <f aca="false">IF(29&lt;=NW,WEEK_ONE+202,"")</f>
        <v>46220</v>
      </c>
      <c r="B405" s="30" t="str">
        <f aca="false">IF(A405="","",CHOOSE(WEEKDAY(A405,1),"الأحد","الاثنين","الثلاثاء","الأربعاء","الخميس","الجمعة","السبت"))</f>
        <v>الجمعة</v>
      </c>
      <c r="C405" s="24"/>
      <c r="D405" s="24"/>
      <c r="E405" s="25" t="str">
        <f aca="false">IF(OR(M405=0,K405="",L405=""),"",MOD(L405-K405,1))</f>
        <v/>
      </c>
      <c r="F405" s="25" t="str">
        <f aca="false">IF(OR(E405="",M405=0),"",IF(WEEKDAY(A405,1)=6,E405,MIN(E405,MAX(0,MIN(IF(L405&lt;K405,L405+1,L405),OMR_OT_AT)-K405))))</f>
        <v/>
      </c>
      <c r="G405" s="25" t="str">
        <f aca="false">IF(OR(E405="",M405=0),"",MAX(0,E405-F405))</f>
        <v/>
      </c>
      <c r="H405" s="26" t="str">
        <f aca="false">IF(OR(E405="",M405=0),"",ROUND((F405*$N$397+G405*$O$397)*24,3))</f>
        <v/>
      </c>
      <c r="I405" s="27"/>
      <c r="K405" s="28" t="str">
        <f aca="false">IF(OR(M405=0,C405=""),"",IF(ISNUMBER(C405),MOD(C405,1),IFERROR(INDEX(القوائم!$B$1:$B$288,MATCH(TRIM(C405),القوائم!$A$1:$A$288,0)),IFERROR(MOD(TIMEVALUE(C405),1),""))))</f>
        <v/>
      </c>
      <c r="L405" s="28" t="str">
        <f aca="false">IF(OR(M405=0,D405=""),"",IF(ISNUMBER(D405),MOD(D405,1),IFERROR(INDEX(القوائم!$B$1:$B$288,MATCH(TRIM(D405),القوائم!$A$1:$A$288,0)),IFERROR(MOD(TIMEVALUE(D405),1),""))))</f>
        <v/>
      </c>
      <c r="M405" s="19" t="n">
        <f aca="false">$M$397</f>
        <v>0</v>
      </c>
      <c r="Q405" s="19" t="n">
        <f aca="false">IF(N(E409)&gt;0,1,0)</f>
        <v>0</v>
      </c>
      <c r="S405" s="0" t="n">
        <v>29</v>
      </c>
    </row>
    <row r="406" customFormat="false" ht="15" hidden="false" customHeight="false" outlineLevel="0" collapsed="false">
      <c r="A406" s="31" t="str">
        <f aca="false">IF(M397=1,"ساعات تحميل الجبسمبورد بهالأسبوع ←","")</f>
        <v/>
      </c>
      <c r="B406" s="31"/>
      <c r="C406" s="31"/>
      <c r="D406" s="31"/>
      <c r="E406" s="32"/>
      <c r="F406" s="33" t="str">
        <f aca="false">IF(M397=1,"كل ساعة تحميل = "&amp;TEXT($P$397,"0.000")&amp;" دينار (منها "&amp;TEXT($N$397,"0.000")&amp;" محسوبة أصلاً بساعات اليوم)","")</f>
        <v/>
      </c>
      <c r="G406" s="33"/>
      <c r="H406" s="33"/>
      <c r="I406" s="33"/>
      <c r="M406" s="19" t="n">
        <f aca="false">$M$397</f>
        <v>0</v>
      </c>
      <c r="Q406" s="19" t="n">
        <f aca="false">IF(N(E409)&gt;0,1,0)</f>
        <v>0</v>
      </c>
      <c r="S406" s="0" t="n">
        <v>29</v>
      </c>
    </row>
    <row r="407" customFormat="false" ht="15" hidden="false" customHeight="false" outlineLevel="0" collapsed="false">
      <c r="A407" s="31" t="str">
        <f aca="false">IF(M397=1,"إكرامية الأسبوع (دينار) ←","")</f>
        <v/>
      </c>
      <c r="B407" s="31"/>
      <c r="C407" s="31"/>
      <c r="D407" s="31"/>
      <c r="E407" s="34"/>
      <c r="F407" s="35"/>
      <c r="G407" s="35"/>
      <c r="H407" s="35"/>
      <c r="I407" s="35"/>
      <c r="M407" s="19" t="n">
        <f aca="false">$M$397</f>
        <v>0</v>
      </c>
      <c r="Q407" s="19" t="n">
        <f aca="false">IF(N(E409)&gt;0,1,0)</f>
        <v>0</v>
      </c>
      <c r="S407" s="0" t="n">
        <v>29</v>
      </c>
    </row>
    <row r="408" customFormat="false" ht="36" hidden="false" customHeight="true" outlineLevel="0" collapsed="false">
      <c r="A408" s="36" t="str">
        <f aca="false">IF(M397=1,"المستحق النهائي للأسبوع","")</f>
        <v/>
      </c>
      <c r="B408" s="36"/>
      <c r="C408" s="36"/>
      <c r="D408" s="36"/>
      <c r="E408" s="36"/>
      <c r="F408" s="36"/>
      <c r="G408" s="36"/>
      <c r="H408" s="11" t="str">
        <f aca="false">IF(M397=1,ROUND(N($V$397)+N(E406)*($P$397-$N$397)+N(E407),3),"")</f>
        <v/>
      </c>
      <c r="I408" s="37"/>
      <c r="M408" s="19" t="n">
        <f aca="false">$M$397</f>
        <v>0</v>
      </c>
      <c r="Q408" s="19" t="n">
        <f aca="false">IF(N(E409)&gt;0,1,0)</f>
        <v>0</v>
      </c>
      <c r="S408" s="0" t="n">
        <v>29</v>
      </c>
      <c r="T408" s="0" t="n">
        <v>1</v>
      </c>
    </row>
    <row r="409" customFormat="false" ht="25.5" hidden="false" customHeight="true" outlineLevel="0" collapsed="false">
      <c r="A409" s="31" t="str">
        <f aca="false">IF(M397=1,"المدفوع (دينار) ←","")</f>
        <v/>
      </c>
      <c r="B409" s="31"/>
      <c r="C409" s="31"/>
      <c r="D409" s="31"/>
      <c r="E409" s="34"/>
      <c r="F409" s="38" t="str">
        <f aca="false">IF(M397=1,IF(N(E409)&gt;0,"✔ انقبض — الأسبوع مقفول","⏳ لسا ما انقبض"),"")</f>
        <v/>
      </c>
      <c r="G409" s="38"/>
      <c r="H409" s="38"/>
      <c r="I409" s="38"/>
      <c r="M409" s="19" t="n">
        <f aca="false">$M$397</f>
        <v>0</v>
      </c>
      <c r="Q409" s="19" t="n">
        <f aca="false">IF(N(E409)&gt;0,1,0)</f>
        <v>0</v>
      </c>
      <c r="S409" s="0" t="n">
        <v>29</v>
      </c>
    </row>
    <row r="410" customFormat="false" ht="9.75" hidden="false" customHeight="true" outlineLevel="0" collapsed="false">
      <c r="M410" s="19" t="n">
        <f aca="false">$M$397</f>
        <v>0</v>
      </c>
      <c r="Q410" s="19" t="n">
        <f aca="false">IF(N(E409)&gt;0,1,0)</f>
        <v>0</v>
      </c>
      <c r="S410" s="0" t="n">
        <v>29</v>
      </c>
      <c r="T410" s="0" t="n">
        <v>2</v>
      </c>
    </row>
    <row r="411" customFormat="false" ht="33.75" hidden="false" customHeight="true" outlineLevel="0" collapsed="false">
      <c r="A411" s="17" t="str">
        <f aca="false">IF(30&lt;=NW,TEXT(DAY(WEEK_ONE+203),"00")&amp;"/"&amp;TEXT(MONTH(WEEK_ONE+203),"00")&amp;"/"&amp;YEAR(WEEK_ONE+203)&amp;"  -  "&amp;TEXT(DAY(WEEK_ONE+209),"00")&amp;"/"&amp;TEXT(MONTH(WEEK_ONE+209),"00")&amp;"/"&amp;YEAR(WEEK_ONE+209)&amp;"   ·   الأسبوع 30"&amp;IF(30&lt;START_O,"   (قبل أسبوع البداية — ما بينحسب)",""),"ما في أسبوع 30 هالسنة")</f>
        <v>18/07/2026  -  24/07/2026   ·   الأسبوع 30   (قبل أسبوع البداية — ما بينحسب)</v>
      </c>
      <c r="B411" s="17"/>
      <c r="C411" s="17"/>
      <c r="D411" s="17"/>
      <c r="E411" s="17"/>
      <c r="F411" s="17"/>
      <c r="G411" s="17"/>
      <c r="H411" s="17"/>
      <c r="I411" s="17"/>
      <c r="L411" s="18" t="n">
        <f aca="false">IF(30&lt;=NW,WEEK_ONE+209,"")</f>
        <v>46227</v>
      </c>
      <c r="M411" s="19" t="n">
        <f aca="false">IF(AND(30&lt;=NW,30&gt;=START_O),1,0)</f>
        <v>0</v>
      </c>
      <c r="N411" s="20" t="n">
        <f aca="false">IFERROR(INDEX(RT_OMR,MATCH(L411,RT_K,1)),INDEX(RT_OMR,1))</f>
        <v>1.25</v>
      </c>
      <c r="O411" s="20" t="n">
        <f aca="false">IFERROR(INDEX(RT_OT,MATCH(L411,RT_K,1)),INDEX(RT_OT,1))</f>
        <v>1.5</v>
      </c>
      <c r="P411" s="20" t="n">
        <f aca="false">IFERROR(INDEX(RT_GYP,MATCH(L411,RT_K,1)),INDEX(RT_GYP,1))</f>
        <v>2.5</v>
      </c>
      <c r="Q411" s="19" t="n">
        <f aca="false">IF(N(E423)&gt;0,1,0)</f>
        <v>0</v>
      </c>
      <c r="R411" s="0" t="n">
        <v>30</v>
      </c>
      <c r="S411" s="0" t="n">
        <v>30</v>
      </c>
      <c r="U411" s="19" t="n">
        <f aca="false">IF(M411=1,SUM(E413:E419),0)</f>
        <v>0</v>
      </c>
      <c r="V411" s="19" t="n">
        <f aca="false">SUM(H413:H419)</f>
        <v>0</v>
      </c>
    </row>
    <row r="412" customFormat="false" ht="39.75" hidden="false" customHeight="true" outlineLevel="0" collapsed="false">
      <c r="A412" s="21" t="s">
        <v>18</v>
      </c>
      <c r="B412" s="21" t="s">
        <v>19</v>
      </c>
      <c r="C412" s="21" t="s">
        <v>20</v>
      </c>
      <c r="D412" s="21" t="s">
        <v>21</v>
      </c>
      <c r="E412" s="21" t="s">
        <v>22</v>
      </c>
      <c r="F412" s="21" t="s">
        <v>23</v>
      </c>
      <c r="G412" s="21" t="s">
        <v>24</v>
      </c>
      <c r="H412" s="21" t="s">
        <v>25</v>
      </c>
      <c r="I412" s="21" t="s">
        <v>26</v>
      </c>
      <c r="M412" s="19" t="n">
        <f aca="false">$M$411</f>
        <v>0</v>
      </c>
      <c r="Q412" s="19" t="n">
        <f aca="false">IF(N(E423)&gt;0,1,0)</f>
        <v>0</v>
      </c>
      <c r="S412" s="0" t="n">
        <v>30</v>
      </c>
    </row>
    <row r="413" customFormat="false" ht="15" hidden="false" customHeight="false" outlineLevel="0" collapsed="false">
      <c r="A413" s="22" t="n">
        <f aca="false">IF(30&lt;=NW,WEEK_ONE+203,"")</f>
        <v>46221</v>
      </c>
      <c r="B413" s="23" t="str">
        <f aca="false">IF(A413="","",CHOOSE(WEEKDAY(A413,1),"الأحد","الاثنين","الثلاثاء","الأربعاء","الخميس","الجمعة","السبت"))</f>
        <v>السبت</v>
      </c>
      <c r="C413" s="24"/>
      <c r="D413" s="24"/>
      <c r="E413" s="25" t="str">
        <f aca="false">IF(OR(M413=0,K413="",L413=""),"",MOD(L413-K413,1))</f>
        <v/>
      </c>
      <c r="F413" s="25" t="str">
        <f aca="false">IF(OR(E413="",M413=0),"",IF(WEEKDAY(A413,1)=6,E413,MIN(E413,MAX(0,MIN(IF(L413&lt;K413,L413+1,L413),OMR_OT_AT)-K413))))</f>
        <v/>
      </c>
      <c r="G413" s="25" t="str">
        <f aca="false">IF(OR(E413="",M413=0),"",MAX(0,E413-F413))</f>
        <v/>
      </c>
      <c r="H413" s="26" t="str">
        <f aca="false">IF(OR(E413="",M413=0),"",ROUND((F413*$N$411+G413*$O$411)*24,3))</f>
        <v/>
      </c>
      <c r="I413" s="27"/>
      <c r="K413" s="28" t="str">
        <f aca="false">IF(OR(M413=0,C413=""),"",IF(ISNUMBER(C413),MOD(C413,1),IFERROR(INDEX(القوائم!$B$1:$B$288,MATCH(TRIM(C413),القوائم!$A$1:$A$288,0)),IFERROR(MOD(TIMEVALUE(C413),1),""))))</f>
        <v/>
      </c>
      <c r="L413" s="28" t="str">
        <f aca="false">IF(OR(M413=0,D413=""),"",IF(ISNUMBER(D413),MOD(D413,1),IFERROR(INDEX(القوائم!$B$1:$B$288,MATCH(TRIM(D413),القوائم!$A$1:$A$288,0)),IFERROR(MOD(TIMEVALUE(D413),1),""))))</f>
        <v/>
      </c>
      <c r="M413" s="19" t="n">
        <f aca="false">$M$411</f>
        <v>0</v>
      </c>
      <c r="Q413" s="19" t="n">
        <f aca="false">IF(N(E423)&gt;0,1,0)</f>
        <v>0</v>
      </c>
      <c r="S413" s="0" t="n">
        <v>30</v>
      </c>
    </row>
    <row r="414" customFormat="false" ht="15" hidden="false" customHeight="false" outlineLevel="0" collapsed="false">
      <c r="A414" s="22" t="n">
        <f aca="false">IF(30&lt;=NW,WEEK_ONE+204,"")</f>
        <v>46222</v>
      </c>
      <c r="B414" s="23" t="str">
        <f aca="false">IF(A414="","",CHOOSE(WEEKDAY(A414,1),"الأحد","الاثنين","الثلاثاء","الأربعاء","الخميس","الجمعة","السبت"))</f>
        <v>الأحد</v>
      </c>
      <c r="C414" s="24"/>
      <c r="D414" s="24"/>
      <c r="E414" s="25" t="str">
        <f aca="false">IF(OR(M414=0,K414="",L414=""),"",MOD(L414-K414,1))</f>
        <v/>
      </c>
      <c r="F414" s="25" t="str">
        <f aca="false">IF(OR(E414="",M414=0),"",IF(WEEKDAY(A414,1)=6,E414,MIN(E414,MAX(0,MIN(IF(L414&lt;K414,L414+1,L414),OMR_OT_AT)-K414))))</f>
        <v/>
      </c>
      <c r="G414" s="25" t="str">
        <f aca="false">IF(OR(E414="",M414=0),"",MAX(0,E414-F414))</f>
        <v/>
      </c>
      <c r="H414" s="26" t="str">
        <f aca="false">IF(OR(E414="",M414=0),"",ROUND((F414*$N$411+G414*$O$411)*24,3))</f>
        <v/>
      </c>
      <c r="I414" s="27"/>
      <c r="K414" s="28" t="str">
        <f aca="false">IF(OR(M414=0,C414=""),"",IF(ISNUMBER(C414),MOD(C414,1),IFERROR(INDEX(القوائم!$B$1:$B$288,MATCH(TRIM(C414),القوائم!$A$1:$A$288,0)),IFERROR(MOD(TIMEVALUE(C414),1),""))))</f>
        <v/>
      </c>
      <c r="L414" s="28" t="str">
        <f aca="false">IF(OR(M414=0,D414=""),"",IF(ISNUMBER(D414),MOD(D414,1),IFERROR(INDEX(القوائم!$B$1:$B$288,MATCH(TRIM(D414),القوائم!$A$1:$A$288,0)),IFERROR(MOD(TIMEVALUE(D414),1),""))))</f>
        <v/>
      </c>
      <c r="M414" s="19" t="n">
        <f aca="false">$M$411</f>
        <v>0</v>
      </c>
      <c r="Q414" s="19" t="n">
        <f aca="false">IF(N(E423)&gt;0,1,0)</f>
        <v>0</v>
      </c>
      <c r="S414" s="0" t="n">
        <v>30</v>
      </c>
    </row>
    <row r="415" customFormat="false" ht="15" hidden="false" customHeight="false" outlineLevel="0" collapsed="false">
      <c r="A415" s="22" t="n">
        <f aca="false">IF(30&lt;=NW,WEEK_ONE+205,"")</f>
        <v>46223</v>
      </c>
      <c r="B415" s="23" t="str">
        <f aca="false">IF(A415="","",CHOOSE(WEEKDAY(A415,1),"الأحد","الاثنين","الثلاثاء","الأربعاء","الخميس","الجمعة","السبت"))</f>
        <v>الاثنين</v>
      </c>
      <c r="C415" s="24"/>
      <c r="D415" s="24"/>
      <c r="E415" s="25" t="str">
        <f aca="false">IF(OR(M415=0,K415="",L415=""),"",MOD(L415-K415,1))</f>
        <v/>
      </c>
      <c r="F415" s="25" t="str">
        <f aca="false">IF(OR(E415="",M415=0),"",IF(WEEKDAY(A415,1)=6,E415,MIN(E415,MAX(0,MIN(IF(L415&lt;K415,L415+1,L415),OMR_OT_AT)-K415))))</f>
        <v/>
      </c>
      <c r="G415" s="25" t="str">
        <f aca="false">IF(OR(E415="",M415=0),"",MAX(0,E415-F415))</f>
        <v/>
      </c>
      <c r="H415" s="26" t="str">
        <f aca="false">IF(OR(E415="",M415=0),"",ROUND((F415*$N$411+G415*$O$411)*24,3))</f>
        <v/>
      </c>
      <c r="I415" s="27"/>
      <c r="K415" s="28" t="str">
        <f aca="false">IF(OR(M415=0,C415=""),"",IF(ISNUMBER(C415),MOD(C415,1),IFERROR(INDEX(القوائم!$B$1:$B$288,MATCH(TRIM(C415),القوائم!$A$1:$A$288,0)),IFERROR(MOD(TIMEVALUE(C415),1),""))))</f>
        <v/>
      </c>
      <c r="L415" s="28" t="str">
        <f aca="false">IF(OR(M415=0,D415=""),"",IF(ISNUMBER(D415),MOD(D415,1),IFERROR(INDEX(القوائم!$B$1:$B$288,MATCH(TRIM(D415),القوائم!$A$1:$A$288,0)),IFERROR(MOD(TIMEVALUE(D415),1),""))))</f>
        <v/>
      </c>
      <c r="M415" s="19" t="n">
        <f aca="false">$M$411</f>
        <v>0</v>
      </c>
      <c r="Q415" s="19" t="n">
        <f aca="false">IF(N(E423)&gt;0,1,0)</f>
        <v>0</v>
      </c>
      <c r="S415" s="0" t="n">
        <v>30</v>
      </c>
    </row>
    <row r="416" customFormat="false" ht="15" hidden="false" customHeight="false" outlineLevel="0" collapsed="false">
      <c r="A416" s="22" t="n">
        <f aca="false">IF(30&lt;=NW,WEEK_ONE+206,"")</f>
        <v>46224</v>
      </c>
      <c r="B416" s="23" t="str">
        <f aca="false">IF(A416="","",CHOOSE(WEEKDAY(A416,1),"الأحد","الاثنين","الثلاثاء","الأربعاء","الخميس","الجمعة","السبت"))</f>
        <v>الثلاثاء</v>
      </c>
      <c r="C416" s="24"/>
      <c r="D416" s="24"/>
      <c r="E416" s="25" t="str">
        <f aca="false">IF(OR(M416=0,K416="",L416=""),"",MOD(L416-K416,1))</f>
        <v/>
      </c>
      <c r="F416" s="25" t="str">
        <f aca="false">IF(OR(E416="",M416=0),"",IF(WEEKDAY(A416,1)=6,E416,MIN(E416,MAX(0,MIN(IF(L416&lt;K416,L416+1,L416),OMR_OT_AT)-K416))))</f>
        <v/>
      </c>
      <c r="G416" s="25" t="str">
        <f aca="false">IF(OR(E416="",M416=0),"",MAX(0,E416-F416))</f>
        <v/>
      </c>
      <c r="H416" s="26" t="str">
        <f aca="false">IF(OR(E416="",M416=0),"",ROUND((F416*$N$411+G416*$O$411)*24,3))</f>
        <v/>
      </c>
      <c r="I416" s="27"/>
      <c r="K416" s="28" t="str">
        <f aca="false">IF(OR(M416=0,C416=""),"",IF(ISNUMBER(C416),MOD(C416,1),IFERROR(INDEX(القوائم!$B$1:$B$288,MATCH(TRIM(C416),القوائم!$A$1:$A$288,0)),IFERROR(MOD(TIMEVALUE(C416),1),""))))</f>
        <v/>
      </c>
      <c r="L416" s="28" t="str">
        <f aca="false">IF(OR(M416=0,D416=""),"",IF(ISNUMBER(D416),MOD(D416,1),IFERROR(INDEX(القوائم!$B$1:$B$288,MATCH(TRIM(D416),القوائم!$A$1:$A$288,0)),IFERROR(MOD(TIMEVALUE(D416),1),""))))</f>
        <v/>
      </c>
      <c r="M416" s="19" t="n">
        <f aca="false">$M$411</f>
        <v>0</v>
      </c>
      <c r="Q416" s="19" t="n">
        <f aca="false">IF(N(E423)&gt;0,1,0)</f>
        <v>0</v>
      </c>
      <c r="S416" s="0" t="n">
        <v>30</v>
      </c>
    </row>
    <row r="417" customFormat="false" ht="15" hidden="false" customHeight="false" outlineLevel="0" collapsed="false">
      <c r="A417" s="22" t="n">
        <f aca="false">IF(30&lt;=NW,WEEK_ONE+207,"")</f>
        <v>46225</v>
      </c>
      <c r="B417" s="23" t="str">
        <f aca="false">IF(A417="","",CHOOSE(WEEKDAY(A417,1),"الأحد","الاثنين","الثلاثاء","الأربعاء","الخميس","الجمعة","السبت"))</f>
        <v>الأربعاء</v>
      </c>
      <c r="C417" s="24"/>
      <c r="D417" s="24"/>
      <c r="E417" s="25" t="str">
        <f aca="false">IF(OR(M417=0,K417="",L417=""),"",MOD(L417-K417,1))</f>
        <v/>
      </c>
      <c r="F417" s="25" t="str">
        <f aca="false">IF(OR(E417="",M417=0),"",IF(WEEKDAY(A417,1)=6,E417,MIN(E417,MAX(0,MIN(IF(L417&lt;K417,L417+1,L417),OMR_OT_AT)-K417))))</f>
        <v/>
      </c>
      <c r="G417" s="25" t="str">
        <f aca="false">IF(OR(E417="",M417=0),"",MAX(0,E417-F417))</f>
        <v/>
      </c>
      <c r="H417" s="26" t="str">
        <f aca="false">IF(OR(E417="",M417=0),"",ROUND((F417*$N$411+G417*$O$411)*24,3))</f>
        <v/>
      </c>
      <c r="I417" s="27"/>
      <c r="K417" s="28" t="str">
        <f aca="false">IF(OR(M417=0,C417=""),"",IF(ISNUMBER(C417),MOD(C417,1),IFERROR(INDEX(القوائم!$B$1:$B$288,MATCH(TRIM(C417),القوائم!$A$1:$A$288,0)),IFERROR(MOD(TIMEVALUE(C417),1),""))))</f>
        <v/>
      </c>
      <c r="L417" s="28" t="str">
        <f aca="false">IF(OR(M417=0,D417=""),"",IF(ISNUMBER(D417),MOD(D417,1),IFERROR(INDEX(القوائم!$B$1:$B$288,MATCH(TRIM(D417),القوائم!$A$1:$A$288,0)),IFERROR(MOD(TIMEVALUE(D417),1),""))))</f>
        <v/>
      </c>
      <c r="M417" s="19" t="n">
        <f aca="false">$M$411</f>
        <v>0</v>
      </c>
      <c r="Q417" s="19" t="n">
        <f aca="false">IF(N(E423)&gt;0,1,0)</f>
        <v>0</v>
      </c>
      <c r="S417" s="0" t="n">
        <v>30</v>
      </c>
    </row>
    <row r="418" customFormat="false" ht="15" hidden="false" customHeight="false" outlineLevel="0" collapsed="false">
      <c r="A418" s="22" t="n">
        <f aca="false">IF(30&lt;=NW,WEEK_ONE+208,"")</f>
        <v>46226</v>
      </c>
      <c r="B418" s="23" t="str">
        <f aca="false">IF(A418="","",CHOOSE(WEEKDAY(A418,1),"الأحد","الاثنين","الثلاثاء","الأربعاء","الخميس","الجمعة","السبت"))</f>
        <v>الخميس</v>
      </c>
      <c r="C418" s="24"/>
      <c r="D418" s="24"/>
      <c r="E418" s="25" t="str">
        <f aca="false">IF(OR(M418=0,K418="",L418=""),"",MOD(L418-K418,1))</f>
        <v/>
      </c>
      <c r="F418" s="25" t="str">
        <f aca="false">IF(OR(E418="",M418=0),"",IF(WEEKDAY(A418,1)=6,E418,MIN(E418,MAX(0,MIN(IF(L418&lt;K418,L418+1,L418),OMR_OT_AT)-K418))))</f>
        <v/>
      </c>
      <c r="G418" s="25" t="str">
        <f aca="false">IF(OR(E418="",M418=0),"",MAX(0,E418-F418))</f>
        <v/>
      </c>
      <c r="H418" s="26" t="str">
        <f aca="false">IF(OR(E418="",M418=0),"",ROUND((F418*$N$411+G418*$O$411)*24,3))</f>
        <v/>
      </c>
      <c r="I418" s="27"/>
      <c r="K418" s="28" t="str">
        <f aca="false">IF(OR(M418=0,C418=""),"",IF(ISNUMBER(C418),MOD(C418,1),IFERROR(INDEX(القوائم!$B$1:$B$288,MATCH(TRIM(C418),القوائم!$A$1:$A$288,0)),IFERROR(MOD(TIMEVALUE(C418),1),""))))</f>
        <v/>
      </c>
      <c r="L418" s="28" t="str">
        <f aca="false">IF(OR(M418=0,D418=""),"",IF(ISNUMBER(D418),MOD(D418,1),IFERROR(INDEX(القوائم!$B$1:$B$288,MATCH(TRIM(D418),القوائم!$A$1:$A$288,0)),IFERROR(MOD(TIMEVALUE(D418),1),""))))</f>
        <v/>
      </c>
      <c r="M418" s="19" t="n">
        <f aca="false">$M$411</f>
        <v>0</v>
      </c>
      <c r="Q418" s="19" t="n">
        <f aca="false">IF(N(E423)&gt;0,1,0)</f>
        <v>0</v>
      </c>
      <c r="S418" s="0" t="n">
        <v>30</v>
      </c>
    </row>
    <row r="419" customFormat="false" ht="15" hidden="false" customHeight="false" outlineLevel="0" collapsed="false">
      <c r="A419" s="29" t="n">
        <f aca="false">IF(30&lt;=NW,WEEK_ONE+209,"")</f>
        <v>46227</v>
      </c>
      <c r="B419" s="30" t="str">
        <f aca="false">IF(A419="","",CHOOSE(WEEKDAY(A419,1),"الأحد","الاثنين","الثلاثاء","الأربعاء","الخميس","الجمعة","السبت"))</f>
        <v>الجمعة</v>
      </c>
      <c r="C419" s="24"/>
      <c r="D419" s="24"/>
      <c r="E419" s="25" t="str">
        <f aca="false">IF(OR(M419=0,K419="",L419=""),"",MOD(L419-K419,1))</f>
        <v/>
      </c>
      <c r="F419" s="25" t="str">
        <f aca="false">IF(OR(E419="",M419=0),"",IF(WEEKDAY(A419,1)=6,E419,MIN(E419,MAX(0,MIN(IF(L419&lt;K419,L419+1,L419),OMR_OT_AT)-K419))))</f>
        <v/>
      </c>
      <c r="G419" s="25" t="str">
        <f aca="false">IF(OR(E419="",M419=0),"",MAX(0,E419-F419))</f>
        <v/>
      </c>
      <c r="H419" s="26" t="str">
        <f aca="false">IF(OR(E419="",M419=0),"",ROUND((F419*$N$411+G419*$O$411)*24,3))</f>
        <v/>
      </c>
      <c r="I419" s="27"/>
      <c r="K419" s="28" t="str">
        <f aca="false">IF(OR(M419=0,C419=""),"",IF(ISNUMBER(C419),MOD(C419,1),IFERROR(INDEX(القوائم!$B$1:$B$288,MATCH(TRIM(C419),القوائم!$A$1:$A$288,0)),IFERROR(MOD(TIMEVALUE(C419),1),""))))</f>
        <v/>
      </c>
      <c r="L419" s="28" t="str">
        <f aca="false">IF(OR(M419=0,D419=""),"",IF(ISNUMBER(D419),MOD(D419,1),IFERROR(INDEX(القوائم!$B$1:$B$288,MATCH(TRIM(D419),القوائم!$A$1:$A$288,0)),IFERROR(MOD(TIMEVALUE(D419),1),""))))</f>
        <v/>
      </c>
      <c r="M419" s="19" t="n">
        <f aca="false">$M$411</f>
        <v>0</v>
      </c>
      <c r="Q419" s="19" t="n">
        <f aca="false">IF(N(E423)&gt;0,1,0)</f>
        <v>0</v>
      </c>
      <c r="S419" s="0" t="n">
        <v>30</v>
      </c>
    </row>
    <row r="420" customFormat="false" ht="15" hidden="false" customHeight="false" outlineLevel="0" collapsed="false">
      <c r="A420" s="31" t="str">
        <f aca="false">IF(M411=1,"ساعات تحميل الجبسمبورد بهالأسبوع ←","")</f>
        <v/>
      </c>
      <c r="B420" s="31"/>
      <c r="C420" s="31"/>
      <c r="D420" s="31"/>
      <c r="E420" s="32"/>
      <c r="F420" s="33" t="str">
        <f aca="false">IF(M411=1,"كل ساعة تحميل = "&amp;TEXT($P$411,"0.000")&amp;" دينار (منها "&amp;TEXT($N$411,"0.000")&amp;" محسوبة أصلاً بساعات اليوم)","")</f>
        <v/>
      </c>
      <c r="G420" s="33"/>
      <c r="H420" s="33"/>
      <c r="I420" s="33"/>
      <c r="M420" s="19" t="n">
        <f aca="false">$M$411</f>
        <v>0</v>
      </c>
      <c r="Q420" s="19" t="n">
        <f aca="false">IF(N(E423)&gt;0,1,0)</f>
        <v>0</v>
      </c>
      <c r="S420" s="0" t="n">
        <v>30</v>
      </c>
    </row>
    <row r="421" customFormat="false" ht="15" hidden="false" customHeight="false" outlineLevel="0" collapsed="false">
      <c r="A421" s="31" t="str">
        <f aca="false">IF(M411=1,"إكرامية الأسبوع (دينار) ←","")</f>
        <v/>
      </c>
      <c r="B421" s="31"/>
      <c r="C421" s="31"/>
      <c r="D421" s="31"/>
      <c r="E421" s="34"/>
      <c r="F421" s="35"/>
      <c r="G421" s="35"/>
      <c r="H421" s="35"/>
      <c r="I421" s="35"/>
      <c r="M421" s="19" t="n">
        <f aca="false">$M$411</f>
        <v>0</v>
      </c>
      <c r="Q421" s="19" t="n">
        <f aca="false">IF(N(E423)&gt;0,1,0)</f>
        <v>0</v>
      </c>
      <c r="S421" s="0" t="n">
        <v>30</v>
      </c>
    </row>
    <row r="422" customFormat="false" ht="36" hidden="false" customHeight="true" outlineLevel="0" collapsed="false">
      <c r="A422" s="36" t="str">
        <f aca="false">IF(M411=1,"المستحق النهائي للأسبوع","")</f>
        <v/>
      </c>
      <c r="B422" s="36"/>
      <c r="C422" s="36"/>
      <c r="D422" s="36"/>
      <c r="E422" s="36"/>
      <c r="F422" s="36"/>
      <c r="G422" s="36"/>
      <c r="H422" s="11" t="str">
        <f aca="false">IF(M411=1,ROUND(N($V$411)+N(E420)*($P$411-$N$411)+N(E421),3),"")</f>
        <v/>
      </c>
      <c r="I422" s="37"/>
      <c r="M422" s="19" t="n">
        <f aca="false">$M$411</f>
        <v>0</v>
      </c>
      <c r="Q422" s="19" t="n">
        <f aca="false">IF(N(E423)&gt;0,1,0)</f>
        <v>0</v>
      </c>
      <c r="S422" s="0" t="n">
        <v>30</v>
      </c>
      <c r="T422" s="0" t="n">
        <v>1</v>
      </c>
    </row>
    <row r="423" customFormat="false" ht="25.5" hidden="false" customHeight="true" outlineLevel="0" collapsed="false">
      <c r="A423" s="31" t="str">
        <f aca="false">IF(M411=1,"المدفوع (دينار) ←","")</f>
        <v/>
      </c>
      <c r="B423" s="31"/>
      <c r="C423" s="31"/>
      <c r="D423" s="31"/>
      <c r="E423" s="34"/>
      <c r="F423" s="38" t="str">
        <f aca="false">IF(M411=1,IF(N(E423)&gt;0,"✔ انقبض — الأسبوع مقفول","⏳ لسا ما انقبض"),"")</f>
        <v/>
      </c>
      <c r="G423" s="38"/>
      <c r="H423" s="38"/>
      <c r="I423" s="38"/>
      <c r="M423" s="19" t="n">
        <f aca="false">$M$411</f>
        <v>0</v>
      </c>
      <c r="Q423" s="19" t="n">
        <f aca="false">IF(N(E423)&gt;0,1,0)</f>
        <v>0</v>
      </c>
      <c r="S423" s="0" t="n">
        <v>30</v>
      </c>
    </row>
    <row r="424" customFormat="false" ht="9.75" hidden="false" customHeight="true" outlineLevel="0" collapsed="false">
      <c r="M424" s="19" t="n">
        <f aca="false">$M$411</f>
        <v>0</v>
      </c>
      <c r="Q424" s="19" t="n">
        <f aca="false">IF(N(E423)&gt;0,1,0)</f>
        <v>0</v>
      </c>
      <c r="S424" s="0" t="n">
        <v>30</v>
      </c>
      <c r="T424" s="0" t="n">
        <v>2</v>
      </c>
    </row>
    <row r="425" customFormat="false" ht="33.75" hidden="false" customHeight="true" outlineLevel="0" collapsed="false">
      <c r="A425" s="17" t="str">
        <f aca="false">IF(31&lt;=NW,TEXT(DAY(WEEK_ONE+210),"00")&amp;"/"&amp;TEXT(MONTH(WEEK_ONE+210),"00")&amp;"/"&amp;YEAR(WEEK_ONE+210)&amp;"  -  "&amp;TEXT(DAY(WEEK_ONE+216),"00")&amp;"/"&amp;TEXT(MONTH(WEEK_ONE+216),"00")&amp;"/"&amp;YEAR(WEEK_ONE+216)&amp;"   ·   الأسبوع 31"&amp;IF(31&lt;START_O,"   (قبل أسبوع البداية — ما بينحسب)",""),"ما في أسبوع 31 هالسنة")</f>
        <v>25/07/2026  -  31/07/2026   ·   الأسبوع 31   (قبل أسبوع البداية — ما بينحسب)</v>
      </c>
      <c r="B425" s="17"/>
      <c r="C425" s="17"/>
      <c r="D425" s="17"/>
      <c r="E425" s="17"/>
      <c r="F425" s="17"/>
      <c r="G425" s="17"/>
      <c r="H425" s="17"/>
      <c r="I425" s="17"/>
      <c r="L425" s="18" t="n">
        <f aca="false">IF(31&lt;=NW,WEEK_ONE+216,"")</f>
        <v>46234</v>
      </c>
      <c r="M425" s="19" t="n">
        <f aca="false">IF(AND(31&lt;=NW,31&gt;=START_O),1,0)</f>
        <v>0</v>
      </c>
      <c r="N425" s="20" t="n">
        <f aca="false">IFERROR(INDEX(RT_OMR,MATCH(L425,RT_K,1)),INDEX(RT_OMR,1))</f>
        <v>1.25</v>
      </c>
      <c r="O425" s="20" t="n">
        <f aca="false">IFERROR(INDEX(RT_OT,MATCH(L425,RT_K,1)),INDEX(RT_OT,1))</f>
        <v>1.5</v>
      </c>
      <c r="P425" s="20" t="n">
        <f aca="false">IFERROR(INDEX(RT_GYP,MATCH(L425,RT_K,1)),INDEX(RT_GYP,1))</f>
        <v>2.5</v>
      </c>
      <c r="Q425" s="19" t="n">
        <f aca="false">IF(N(E437)&gt;0,1,0)</f>
        <v>0</v>
      </c>
      <c r="R425" s="0" t="n">
        <v>31</v>
      </c>
      <c r="S425" s="0" t="n">
        <v>31</v>
      </c>
      <c r="U425" s="19" t="n">
        <f aca="false">IF(M425=1,SUM(E427:E433),0)</f>
        <v>0</v>
      </c>
      <c r="V425" s="19" t="n">
        <f aca="false">SUM(H427:H433)</f>
        <v>0</v>
      </c>
    </row>
    <row r="426" customFormat="false" ht="39.75" hidden="false" customHeight="true" outlineLevel="0" collapsed="false">
      <c r="A426" s="21" t="s">
        <v>18</v>
      </c>
      <c r="B426" s="21" t="s">
        <v>19</v>
      </c>
      <c r="C426" s="21" t="s">
        <v>20</v>
      </c>
      <c r="D426" s="21" t="s">
        <v>21</v>
      </c>
      <c r="E426" s="21" t="s">
        <v>22</v>
      </c>
      <c r="F426" s="21" t="s">
        <v>23</v>
      </c>
      <c r="G426" s="21" t="s">
        <v>24</v>
      </c>
      <c r="H426" s="21" t="s">
        <v>25</v>
      </c>
      <c r="I426" s="21" t="s">
        <v>26</v>
      </c>
      <c r="M426" s="19" t="n">
        <f aca="false">$M$425</f>
        <v>0</v>
      </c>
      <c r="Q426" s="19" t="n">
        <f aca="false">IF(N(E437)&gt;0,1,0)</f>
        <v>0</v>
      </c>
      <c r="S426" s="0" t="n">
        <v>31</v>
      </c>
    </row>
    <row r="427" customFormat="false" ht="15" hidden="false" customHeight="false" outlineLevel="0" collapsed="false">
      <c r="A427" s="22" t="n">
        <f aca="false">IF(31&lt;=NW,WEEK_ONE+210,"")</f>
        <v>46228</v>
      </c>
      <c r="B427" s="23" t="str">
        <f aca="false">IF(A427="","",CHOOSE(WEEKDAY(A427,1),"الأحد","الاثنين","الثلاثاء","الأربعاء","الخميس","الجمعة","السبت"))</f>
        <v>السبت</v>
      </c>
      <c r="C427" s="24"/>
      <c r="D427" s="24"/>
      <c r="E427" s="25" t="str">
        <f aca="false">IF(OR(M427=0,K427="",L427=""),"",MOD(L427-K427,1))</f>
        <v/>
      </c>
      <c r="F427" s="25" t="str">
        <f aca="false">IF(OR(E427="",M427=0),"",IF(WEEKDAY(A427,1)=6,E427,MIN(E427,MAX(0,MIN(IF(L427&lt;K427,L427+1,L427),OMR_OT_AT)-K427))))</f>
        <v/>
      </c>
      <c r="G427" s="25" t="str">
        <f aca="false">IF(OR(E427="",M427=0),"",MAX(0,E427-F427))</f>
        <v/>
      </c>
      <c r="H427" s="26" t="str">
        <f aca="false">IF(OR(E427="",M427=0),"",ROUND((F427*$N$425+G427*$O$425)*24,3))</f>
        <v/>
      </c>
      <c r="I427" s="27"/>
      <c r="K427" s="28" t="str">
        <f aca="false">IF(OR(M427=0,C427=""),"",IF(ISNUMBER(C427),MOD(C427,1),IFERROR(INDEX(القوائم!$B$1:$B$288,MATCH(TRIM(C427),القوائم!$A$1:$A$288,0)),IFERROR(MOD(TIMEVALUE(C427),1),""))))</f>
        <v/>
      </c>
      <c r="L427" s="28" t="str">
        <f aca="false">IF(OR(M427=0,D427=""),"",IF(ISNUMBER(D427),MOD(D427,1),IFERROR(INDEX(القوائم!$B$1:$B$288,MATCH(TRIM(D427),القوائم!$A$1:$A$288,0)),IFERROR(MOD(TIMEVALUE(D427),1),""))))</f>
        <v/>
      </c>
      <c r="M427" s="19" t="n">
        <f aca="false">$M$425</f>
        <v>0</v>
      </c>
      <c r="Q427" s="19" t="n">
        <f aca="false">IF(N(E437)&gt;0,1,0)</f>
        <v>0</v>
      </c>
      <c r="S427" s="0" t="n">
        <v>31</v>
      </c>
    </row>
    <row r="428" customFormat="false" ht="15" hidden="false" customHeight="false" outlineLevel="0" collapsed="false">
      <c r="A428" s="22" t="n">
        <f aca="false">IF(31&lt;=NW,WEEK_ONE+211,"")</f>
        <v>46229</v>
      </c>
      <c r="B428" s="23" t="str">
        <f aca="false">IF(A428="","",CHOOSE(WEEKDAY(A428,1),"الأحد","الاثنين","الثلاثاء","الأربعاء","الخميس","الجمعة","السبت"))</f>
        <v>الأحد</v>
      </c>
      <c r="C428" s="24"/>
      <c r="D428" s="24"/>
      <c r="E428" s="25" t="str">
        <f aca="false">IF(OR(M428=0,K428="",L428=""),"",MOD(L428-K428,1))</f>
        <v/>
      </c>
      <c r="F428" s="25" t="str">
        <f aca="false">IF(OR(E428="",M428=0),"",IF(WEEKDAY(A428,1)=6,E428,MIN(E428,MAX(0,MIN(IF(L428&lt;K428,L428+1,L428),OMR_OT_AT)-K428))))</f>
        <v/>
      </c>
      <c r="G428" s="25" t="str">
        <f aca="false">IF(OR(E428="",M428=0),"",MAX(0,E428-F428))</f>
        <v/>
      </c>
      <c r="H428" s="26" t="str">
        <f aca="false">IF(OR(E428="",M428=0),"",ROUND((F428*$N$425+G428*$O$425)*24,3))</f>
        <v/>
      </c>
      <c r="I428" s="27"/>
      <c r="K428" s="28" t="str">
        <f aca="false">IF(OR(M428=0,C428=""),"",IF(ISNUMBER(C428),MOD(C428,1),IFERROR(INDEX(القوائم!$B$1:$B$288,MATCH(TRIM(C428),القوائم!$A$1:$A$288,0)),IFERROR(MOD(TIMEVALUE(C428),1),""))))</f>
        <v/>
      </c>
      <c r="L428" s="28" t="str">
        <f aca="false">IF(OR(M428=0,D428=""),"",IF(ISNUMBER(D428),MOD(D428,1),IFERROR(INDEX(القوائم!$B$1:$B$288,MATCH(TRIM(D428),القوائم!$A$1:$A$288,0)),IFERROR(MOD(TIMEVALUE(D428),1),""))))</f>
        <v/>
      </c>
      <c r="M428" s="19" t="n">
        <f aca="false">$M$425</f>
        <v>0</v>
      </c>
      <c r="Q428" s="19" t="n">
        <f aca="false">IF(N(E437)&gt;0,1,0)</f>
        <v>0</v>
      </c>
      <c r="S428" s="0" t="n">
        <v>31</v>
      </c>
    </row>
    <row r="429" customFormat="false" ht="15" hidden="false" customHeight="false" outlineLevel="0" collapsed="false">
      <c r="A429" s="22" t="n">
        <f aca="false">IF(31&lt;=NW,WEEK_ONE+212,"")</f>
        <v>46230</v>
      </c>
      <c r="B429" s="23" t="str">
        <f aca="false">IF(A429="","",CHOOSE(WEEKDAY(A429,1),"الأحد","الاثنين","الثلاثاء","الأربعاء","الخميس","الجمعة","السبت"))</f>
        <v>الاثنين</v>
      </c>
      <c r="C429" s="24"/>
      <c r="D429" s="24"/>
      <c r="E429" s="25" t="str">
        <f aca="false">IF(OR(M429=0,K429="",L429=""),"",MOD(L429-K429,1))</f>
        <v/>
      </c>
      <c r="F429" s="25" t="str">
        <f aca="false">IF(OR(E429="",M429=0),"",IF(WEEKDAY(A429,1)=6,E429,MIN(E429,MAX(0,MIN(IF(L429&lt;K429,L429+1,L429),OMR_OT_AT)-K429))))</f>
        <v/>
      </c>
      <c r="G429" s="25" t="str">
        <f aca="false">IF(OR(E429="",M429=0),"",MAX(0,E429-F429))</f>
        <v/>
      </c>
      <c r="H429" s="26" t="str">
        <f aca="false">IF(OR(E429="",M429=0),"",ROUND((F429*$N$425+G429*$O$425)*24,3))</f>
        <v/>
      </c>
      <c r="I429" s="27"/>
      <c r="K429" s="28" t="str">
        <f aca="false">IF(OR(M429=0,C429=""),"",IF(ISNUMBER(C429),MOD(C429,1),IFERROR(INDEX(القوائم!$B$1:$B$288,MATCH(TRIM(C429),القوائم!$A$1:$A$288,0)),IFERROR(MOD(TIMEVALUE(C429),1),""))))</f>
        <v/>
      </c>
      <c r="L429" s="28" t="str">
        <f aca="false">IF(OR(M429=0,D429=""),"",IF(ISNUMBER(D429),MOD(D429,1),IFERROR(INDEX(القوائم!$B$1:$B$288,MATCH(TRIM(D429),القوائم!$A$1:$A$288,0)),IFERROR(MOD(TIMEVALUE(D429),1),""))))</f>
        <v/>
      </c>
      <c r="M429" s="19" t="n">
        <f aca="false">$M$425</f>
        <v>0</v>
      </c>
      <c r="Q429" s="19" t="n">
        <f aca="false">IF(N(E437)&gt;0,1,0)</f>
        <v>0</v>
      </c>
      <c r="S429" s="0" t="n">
        <v>31</v>
      </c>
    </row>
    <row r="430" customFormat="false" ht="15" hidden="false" customHeight="false" outlineLevel="0" collapsed="false">
      <c r="A430" s="22" t="n">
        <f aca="false">IF(31&lt;=NW,WEEK_ONE+213,"")</f>
        <v>46231</v>
      </c>
      <c r="B430" s="23" t="str">
        <f aca="false">IF(A430="","",CHOOSE(WEEKDAY(A430,1),"الأحد","الاثنين","الثلاثاء","الأربعاء","الخميس","الجمعة","السبت"))</f>
        <v>الثلاثاء</v>
      </c>
      <c r="C430" s="24"/>
      <c r="D430" s="24"/>
      <c r="E430" s="25" t="str">
        <f aca="false">IF(OR(M430=0,K430="",L430=""),"",MOD(L430-K430,1))</f>
        <v/>
      </c>
      <c r="F430" s="25" t="str">
        <f aca="false">IF(OR(E430="",M430=0),"",IF(WEEKDAY(A430,1)=6,E430,MIN(E430,MAX(0,MIN(IF(L430&lt;K430,L430+1,L430),OMR_OT_AT)-K430))))</f>
        <v/>
      </c>
      <c r="G430" s="25" t="str">
        <f aca="false">IF(OR(E430="",M430=0),"",MAX(0,E430-F430))</f>
        <v/>
      </c>
      <c r="H430" s="26" t="str">
        <f aca="false">IF(OR(E430="",M430=0),"",ROUND((F430*$N$425+G430*$O$425)*24,3))</f>
        <v/>
      </c>
      <c r="I430" s="27"/>
      <c r="K430" s="28" t="str">
        <f aca="false">IF(OR(M430=0,C430=""),"",IF(ISNUMBER(C430),MOD(C430,1),IFERROR(INDEX(القوائم!$B$1:$B$288,MATCH(TRIM(C430),القوائم!$A$1:$A$288,0)),IFERROR(MOD(TIMEVALUE(C430),1),""))))</f>
        <v/>
      </c>
      <c r="L430" s="28" t="str">
        <f aca="false">IF(OR(M430=0,D430=""),"",IF(ISNUMBER(D430),MOD(D430,1),IFERROR(INDEX(القوائم!$B$1:$B$288,MATCH(TRIM(D430),القوائم!$A$1:$A$288,0)),IFERROR(MOD(TIMEVALUE(D430),1),""))))</f>
        <v/>
      </c>
      <c r="M430" s="19" t="n">
        <f aca="false">$M$425</f>
        <v>0</v>
      </c>
      <c r="Q430" s="19" t="n">
        <f aca="false">IF(N(E437)&gt;0,1,0)</f>
        <v>0</v>
      </c>
      <c r="S430" s="0" t="n">
        <v>31</v>
      </c>
    </row>
    <row r="431" customFormat="false" ht="15" hidden="false" customHeight="false" outlineLevel="0" collapsed="false">
      <c r="A431" s="22" t="n">
        <f aca="false">IF(31&lt;=NW,WEEK_ONE+214,"")</f>
        <v>46232</v>
      </c>
      <c r="B431" s="23" t="str">
        <f aca="false">IF(A431="","",CHOOSE(WEEKDAY(A431,1),"الأحد","الاثنين","الثلاثاء","الأربعاء","الخميس","الجمعة","السبت"))</f>
        <v>الأربعاء</v>
      </c>
      <c r="C431" s="24"/>
      <c r="D431" s="24"/>
      <c r="E431" s="25" t="str">
        <f aca="false">IF(OR(M431=0,K431="",L431=""),"",MOD(L431-K431,1))</f>
        <v/>
      </c>
      <c r="F431" s="25" t="str">
        <f aca="false">IF(OR(E431="",M431=0),"",IF(WEEKDAY(A431,1)=6,E431,MIN(E431,MAX(0,MIN(IF(L431&lt;K431,L431+1,L431),OMR_OT_AT)-K431))))</f>
        <v/>
      </c>
      <c r="G431" s="25" t="str">
        <f aca="false">IF(OR(E431="",M431=0),"",MAX(0,E431-F431))</f>
        <v/>
      </c>
      <c r="H431" s="26" t="str">
        <f aca="false">IF(OR(E431="",M431=0),"",ROUND((F431*$N$425+G431*$O$425)*24,3))</f>
        <v/>
      </c>
      <c r="I431" s="27"/>
      <c r="K431" s="28" t="str">
        <f aca="false">IF(OR(M431=0,C431=""),"",IF(ISNUMBER(C431),MOD(C431,1),IFERROR(INDEX(القوائم!$B$1:$B$288,MATCH(TRIM(C431),القوائم!$A$1:$A$288,0)),IFERROR(MOD(TIMEVALUE(C431),1),""))))</f>
        <v/>
      </c>
      <c r="L431" s="28" t="str">
        <f aca="false">IF(OR(M431=0,D431=""),"",IF(ISNUMBER(D431),MOD(D431,1),IFERROR(INDEX(القوائم!$B$1:$B$288,MATCH(TRIM(D431),القوائم!$A$1:$A$288,0)),IFERROR(MOD(TIMEVALUE(D431),1),""))))</f>
        <v/>
      </c>
      <c r="M431" s="19" t="n">
        <f aca="false">$M$425</f>
        <v>0</v>
      </c>
      <c r="Q431" s="19" t="n">
        <f aca="false">IF(N(E437)&gt;0,1,0)</f>
        <v>0</v>
      </c>
      <c r="S431" s="0" t="n">
        <v>31</v>
      </c>
    </row>
    <row r="432" customFormat="false" ht="15" hidden="false" customHeight="false" outlineLevel="0" collapsed="false">
      <c r="A432" s="22" t="n">
        <f aca="false">IF(31&lt;=NW,WEEK_ONE+215,"")</f>
        <v>46233</v>
      </c>
      <c r="B432" s="23" t="str">
        <f aca="false">IF(A432="","",CHOOSE(WEEKDAY(A432,1),"الأحد","الاثنين","الثلاثاء","الأربعاء","الخميس","الجمعة","السبت"))</f>
        <v>الخميس</v>
      </c>
      <c r="C432" s="24"/>
      <c r="D432" s="24"/>
      <c r="E432" s="25" t="str">
        <f aca="false">IF(OR(M432=0,K432="",L432=""),"",MOD(L432-K432,1))</f>
        <v/>
      </c>
      <c r="F432" s="25" t="str">
        <f aca="false">IF(OR(E432="",M432=0),"",IF(WEEKDAY(A432,1)=6,E432,MIN(E432,MAX(0,MIN(IF(L432&lt;K432,L432+1,L432),OMR_OT_AT)-K432))))</f>
        <v/>
      </c>
      <c r="G432" s="25" t="str">
        <f aca="false">IF(OR(E432="",M432=0),"",MAX(0,E432-F432))</f>
        <v/>
      </c>
      <c r="H432" s="26" t="str">
        <f aca="false">IF(OR(E432="",M432=0),"",ROUND((F432*$N$425+G432*$O$425)*24,3))</f>
        <v/>
      </c>
      <c r="I432" s="27"/>
      <c r="K432" s="28" t="str">
        <f aca="false">IF(OR(M432=0,C432=""),"",IF(ISNUMBER(C432),MOD(C432,1),IFERROR(INDEX(القوائم!$B$1:$B$288,MATCH(TRIM(C432),القوائم!$A$1:$A$288,0)),IFERROR(MOD(TIMEVALUE(C432),1),""))))</f>
        <v/>
      </c>
      <c r="L432" s="28" t="str">
        <f aca="false">IF(OR(M432=0,D432=""),"",IF(ISNUMBER(D432),MOD(D432,1),IFERROR(INDEX(القوائم!$B$1:$B$288,MATCH(TRIM(D432),القوائم!$A$1:$A$288,0)),IFERROR(MOD(TIMEVALUE(D432),1),""))))</f>
        <v/>
      </c>
      <c r="M432" s="19" t="n">
        <f aca="false">$M$425</f>
        <v>0</v>
      </c>
      <c r="Q432" s="19" t="n">
        <f aca="false">IF(N(E437)&gt;0,1,0)</f>
        <v>0</v>
      </c>
      <c r="S432" s="0" t="n">
        <v>31</v>
      </c>
    </row>
    <row r="433" customFormat="false" ht="15" hidden="false" customHeight="false" outlineLevel="0" collapsed="false">
      <c r="A433" s="29" t="n">
        <f aca="false">IF(31&lt;=NW,WEEK_ONE+216,"")</f>
        <v>46234</v>
      </c>
      <c r="B433" s="30" t="str">
        <f aca="false">IF(A433="","",CHOOSE(WEEKDAY(A433,1),"الأحد","الاثنين","الثلاثاء","الأربعاء","الخميس","الجمعة","السبت"))</f>
        <v>الجمعة</v>
      </c>
      <c r="C433" s="24"/>
      <c r="D433" s="24"/>
      <c r="E433" s="25" t="str">
        <f aca="false">IF(OR(M433=0,K433="",L433=""),"",MOD(L433-K433,1))</f>
        <v/>
      </c>
      <c r="F433" s="25" t="str">
        <f aca="false">IF(OR(E433="",M433=0),"",IF(WEEKDAY(A433,1)=6,E433,MIN(E433,MAX(0,MIN(IF(L433&lt;K433,L433+1,L433),OMR_OT_AT)-K433))))</f>
        <v/>
      </c>
      <c r="G433" s="25" t="str">
        <f aca="false">IF(OR(E433="",M433=0),"",MAX(0,E433-F433))</f>
        <v/>
      </c>
      <c r="H433" s="26" t="str">
        <f aca="false">IF(OR(E433="",M433=0),"",ROUND((F433*$N$425+G433*$O$425)*24,3))</f>
        <v/>
      </c>
      <c r="I433" s="27"/>
      <c r="K433" s="28" t="str">
        <f aca="false">IF(OR(M433=0,C433=""),"",IF(ISNUMBER(C433),MOD(C433,1),IFERROR(INDEX(القوائم!$B$1:$B$288,MATCH(TRIM(C433),القوائم!$A$1:$A$288,0)),IFERROR(MOD(TIMEVALUE(C433),1),""))))</f>
        <v/>
      </c>
      <c r="L433" s="28" t="str">
        <f aca="false">IF(OR(M433=0,D433=""),"",IF(ISNUMBER(D433),MOD(D433,1),IFERROR(INDEX(القوائم!$B$1:$B$288,MATCH(TRIM(D433),القوائم!$A$1:$A$288,0)),IFERROR(MOD(TIMEVALUE(D433),1),""))))</f>
        <v/>
      </c>
      <c r="M433" s="19" t="n">
        <f aca="false">$M$425</f>
        <v>0</v>
      </c>
      <c r="Q433" s="19" t="n">
        <f aca="false">IF(N(E437)&gt;0,1,0)</f>
        <v>0</v>
      </c>
      <c r="S433" s="0" t="n">
        <v>31</v>
      </c>
    </row>
    <row r="434" customFormat="false" ht="15" hidden="false" customHeight="false" outlineLevel="0" collapsed="false">
      <c r="A434" s="31" t="str">
        <f aca="false">IF(M425=1,"ساعات تحميل الجبسمبورد بهالأسبوع ←","")</f>
        <v/>
      </c>
      <c r="B434" s="31"/>
      <c r="C434" s="31"/>
      <c r="D434" s="31"/>
      <c r="E434" s="32"/>
      <c r="F434" s="33" t="str">
        <f aca="false">IF(M425=1,"كل ساعة تحميل = "&amp;TEXT($P$425,"0.000")&amp;" دينار (منها "&amp;TEXT($N$425,"0.000")&amp;" محسوبة أصلاً بساعات اليوم)","")</f>
        <v/>
      </c>
      <c r="G434" s="33"/>
      <c r="H434" s="33"/>
      <c r="I434" s="33"/>
      <c r="M434" s="19" t="n">
        <f aca="false">$M$425</f>
        <v>0</v>
      </c>
      <c r="Q434" s="19" t="n">
        <f aca="false">IF(N(E437)&gt;0,1,0)</f>
        <v>0</v>
      </c>
      <c r="S434" s="0" t="n">
        <v>31</v>
      </c>
    </row>
    <row r="435" customFormat="false" ht="15" hidden="false" customHeight="false" outlineLevel="0" collapsed="false">
      <c r="A435" s="31" t="str">
        <f aca="false">IF(M425=1,"إكرامية الأسبوع (دينار) ←","")</f>
        <v/>
      </c>
      <c r="B435" s="31"/>
      <c r="C435" s="31"/>
      <c r="D435" s="31"/>
      <c r="E435" s="34"/>
      <c r="F435" s="35"/>
      <c r="G435" s="35"/>
      <c r="H435" s="35"/>
      <c r="I435" s="35"/>
      <c r="M435" s="19" t="n">
        <f aca="false">$M$425</f>
        <v>0</v>
      </c>
      <c r="Q435" s="19" t="n">
        <f aca="false">IF(N(E437)&gt;0,1,0)</f>
        <v>0</v>
      </c>
      <c r="S435" s="0" t="n">
        <v>31</v>
      </c>
    </row>
    <row r="436" customFormat="false" ht="36" hidden="false" customHeight="true" outlineLevel="0" collapsed="false">
      <c r="A436" s="36" t="str">
        <f aca="false">IF(M425=1,"المستحق النهائي للأسبوع","")</f>
        <v/>
      </c>
      <c r="B436" s="36"/>
      <c r="C436" s="36"/>
      <c r="D436" s="36"/>
      <c r="E436" s="36"/>
      <c r="F436" s="36"/>
      <c r="G436" s="36"/>
      <c r="H436" s="11" t="str">
        <f aca="false">IF(M425=1,ROUND(N($V$425)+N(E434)*($P$425-$N$425)+N(E435),3),"")</f>
        <v/>
      </c>
      <c r="I436" s="37"/>
      <c r="M436" s="19" t="n">
        <f aca="false">$M$425</f>
        <v>0</v>
      </c>
      <c r="Q436" s="19" t="n">
        <f aca="false">IF(N(E437)&gt;0,1,0)</f>
        <v>0</v>
      </c>
      <c r="S436" s="0" t="n">
        <v>31</v>
      </c>
      <c r="T436" s="0" t="n">
        <v>1</v>
      </c>
    </row>
    <row r="437" customFormat="false" ht="25.5" hidden="false" customHeight="true" outlineLevel="0" collapsed="false">
      <c r="A437" s="31" t="str">
        <f aca="false">IF(M425=1,"المدفوع (دينار) ←","")</f>
        <v/>
      </c>
      <c r="B437" s="31"/>
      <c r="C437" s="31"/>
      <c r="D437" s="31"/>
      <c r="E437" s="34"/>
      <c r="F437" s="38" t="str">
        <f aca="false">IF(M425=1,IF(N(E437)&gt;0,"✔ انقبض — الأسبوع مقفول","⏳ لسا ما انقبض"),"")</f>
        <v/>
      </c>
      <c r="G437" s="38"/>
      <c r="H437" s="38"/>
      <c r="I437" s="38"/>
      <c r="M437" s="19" t="n">
        <f aca="false">$M$425</f>
        <v>0</v>
      </c>
      <c r="Q437" s="19" t="n">
        <f aca="false">IF(N(E437)&gt;0,1,0)</f>
        <v>0</v>
      </c>
      <c r="S437" s="0" t="n">
        <v>31</v>
      </c>
    </row>
    <row r="438" customFormat="false" ht="9.75" hidden="false" customHeight="true" outlineLevel="0" collapsed="false">
      <c r="M438" s="19" t="n">
        <f aca="false">$M$425</f>
        <v>0</v>
      </c>
      <c r="Q438" s="19" t="n">
        <f aca="false">IF(N(E437)&gt;0,1,0)</f>
        <v>0</v>
      </c>
      <c r="S438" s="0" t="n">
        <v>31</v>
      </c>
      <c r="T438" s="0" t="n">
        <v>2</v>
      </c>
    </row>
    <row r="439" customFormat="false" ht="33.75" hidden="false" customHeight="true" outlineLevel="0" collapsed="false">
      <c r="A439" s="17" t="str">
        <f aca="false">IF(32&lt;=NW,TEXT(DAY(WEEK_ONE+217),"00")&amp;"/"&amp;TEXT(MONTH(WEEK_ONE+217),"00")&amp;"/"&amp;YEAR(WEEK_ONE+217)&amp;"  -  "&amp;TEXT(DAY(WEEK_ONE+223),"00")&amp;"/"&amp;TEXT(MONTH(WEEK_ONE+223),"00")&amp;"/"&amp;YEAR(WEEK_ONE+223)&amp;"   ·   الأسبوع 32"&amp;IF(32&lt;START_O,"   (قبل أسبوع البداية — ما بينحسب)",""),"ما في أسبوع 32 هالسنة")</f>
        <v>01/08/2026  -  07/08/2026   ·   الأسبوع 32   (قبل أسبوع البداية — ما بينحسب)</v>
      </c>
      <c r="B439" s="17"/>
      <c r="C439" s="17"/>
      <c r="D439" s="17"/>
      <c r="E439" s="17"/>
      <c r="F439" s="17"/>
      <c r="G439" s="17"/>
      <c r="H439" s="17"/>
      <c r="I439" s="17"/>
      <c r="L439" s="18" t="n">
        <f aca="false">IF(32&lt;=NW,WEEK_ONE+223,"")</f>
        <v>46241</v>
      </c>
      <c r="M439" s="19" t="n">
        <f aca="false">IF(AND(32&lt;=NW,32&gt;=START_O),1,0)</f>
        <v>0</v>
      </c>
      <c r="N439" s="20" t="n">
        <f aca="false">IFERROR(INDEX(RT_OMR,MATCH(L439,RT_K,1)),INDEX(RT_OMR,1))</f>
        <v>1.25</v>
      </c>
      <c r="O439" s="20" t="n">
        <f aca="false">IFERROR(INDEX(RT_OT,MATCH(L439,RT_K,1)),INDEX(RT_OT,1))</f>
        <v>1.5</v>
      </c>
      <c r="P439" s="20" t="n">
        <f aca="false">IFERROR(INDEX(RT_GYP,MATCH(L439,RT_K,1)),INDEX(RT_GYP,1))</f>
        <v>2.5</v>
      </c>
      <c r="Q439" s="19" t="n">
        <f aca="false">IF(N(E451)&gt;0,1,0)</f>
        <v>0</v>
      </c>
      <c r="R439" s="0" t="n">
        <v>32</v>
      </c>
      <c r="S439" s="0" t="n">
        <v>32</v>
      </c>
      <c r="U439" s="19" t="n">
        <f aca="false">IF(M439=1,SUM(E441:E447),0)</f>
        <v>0</v>
      </c>
      <c r="V439" s="19" t="n">
        <f aca="false">SUM(H441:H447)</f>
        <v>0</v>
      </c>
    </row>
    <row r="440" customFormat="false" ht="39.75" hidden="false" customHeight="true" outlineLevel="0" collapsed="false">
      <c r="A440" s="21" t="s">
        <v>18</v>
      </c>
      <c r="B440" s="21" t="s">
        <v>19</v>
      </c>
      <c r="C440" s="21" t="s">
        <v>20</v>
      </c>
      <c r="D440" s="21" t="s">
        <v>21</v>
      </c>
      <c r="E440" s="21" t="s">
        <v>22</v>
      </c>
      <c r="F440" s="21" t="s">
        <v>23</v>
      </c>
      <c r="G440" s="21" t="s">
        <v>24</v>
      </c>
      <c r="H440" s="21" t="s">
        <v>25</v>
      </c>
      <c r="I440" s="21" t="s">
        <v>26</v>
      </c>
      <c r="M440" s="19" t="n">
        <f aca="false">$M$439</f>
        <v>0</v>
      </c>
      <c r="Q440" s="19" t="n">
        <f aca="false">IF(N(E451)&gt;0,1,0)</f>
        <v>0</v>
      </c>
      <c r="S440" s="0" t="n">
        <v>32</v>
      </c>
    </row>
    <row r="441" customFormat="false" ht="15" hidden="false" customHeight="false" outlineLevel="0" collapsed="false">
      <c r="A441" s="22" t="n">
        <f aca="false">IF(32&lt;=NW,WEEK_ONE+217,"")</f>
        <v>46235</v>
      </c>
      <c r="B441" s="23" t="str">
        <f aca="false">IF(A441="","",CHOOSE(WEEKDAY(A441,1),"الأحد","الاثنين","الثلاثاء","الأربعاء","الخميس","الجمعة","السبت"))</f>
        <v>السبت</v>
      </c>
      <c r="C441" s="24"/>
      <c r="D441" s="24"/>
      <c r="E441" s="25" t="str">
        <f aca="false">IF(OR(M441=0,K441="",L441=""),"",MOD(L441-K441,1))</f>
        <v/>
      </c>
      <c r="F441" s="25" t="str">
        <f aca="false">IF(OR(E441="",M441=0),"",IF(WEEKDAY(A441,1)=6,E441,MIN(E441,MAX(0,MIN(IF(L441&lt;K441,L441+1,L441),OMR_OT_AT)-K441))))</f>
        <v/>
      </c>
      <c r="G441" s="25" t="str">
        <f aca="false">IF(OR(E441="",M441=0),"",MAX(0,E441-F441))</f>
        <v/>
      </c>
      <c r="H441" s="26" t="str">
        <f aca="false">IF(OR(E441="",M441=0),"",ROUND((F441*$N$439+G441*$O$439)*24,3))</f>
        <v/>
      </c>
      <c r="I441" s="27"/>
      <c r="K441" s="28" t="str">
        <f aca="false">IF(OR(M441=0,C441=""),"",IF(ISNUMBER(C441),MOD(C441,1),IFERROR(INDEX(القوائم!$B$1:$B$288,MATCH(TRIM(C441),القوائم!$A$1:$A$288,0)),IFERROR(MOD(TIMEVALUE(C441),1),""))))</f>
        <v/>
      </c>
      <c r="L441" s="28" t="str">
        <f aca="false">IF(OR(M441=0,D441=""),"",IF(ISNUMBER(D441),MOD(D441,1),IFERROR(INDEX(القوائم!$B$1:$B$288,MATCH(TRIM(D441),القوائم!$A$1:$A$288,0)),IFERROR(MOD(TIMEVALUE(D441),1),""))))</f>
        <v/>
      </c>
      <c r="M441" s="19" t="n">
        <f aca="false">$M$439</f>
        <v>0</v>
      </c>
      <c r="Q441" s="19" t="n">
        <f aca="false">IF(N(E451)&gt;0,1,0)</f>
        <v>0</v>
      </c>
      <c r="S441" s="0" t="n">
        <v>32</v>
      </c>
    </row>
    <row r="442" customFormat="false" ht="15" hidden="false" customHeight="false" outlineLevel="0" collapsed="false">
      <c r="A442" s="22" t="n">
        <f aca="false">IF(32&lt;=NW,WEEK_ONE+218,"")</f>
        <v>46236</v>
      </c>
      <c r="B442" s="23" t="str">
        <f aca="false">IF(A442="","",CHOOSE(WEEKDAY(A442,1),"الأحد","الاثنين","الثلاثاء","الأربعاء","الخميس","الجمعة","السبت"))</f>
        <v>الأحد</v>
      </c>
      <c r="C442" s="24"/>
      <c r="D442" s="24"/>
      <c r="E442" s="25" t="str">
        <f aca="false">IF(OR(M442=0,K442="",L442=""),"",MOD(L442-K442,1))</f>
        <v/>
      </c>
      <c r="F442" s="25" t="str">
        <f aca="false">IF(OR(E442="",M442=0),"",IF(WEEKDAY(A442,1)=6,E442,MIN(E442,MAX(0,MIN(IF(L442&lt;K442,L442+1,L442),OMR_OT_AT)-K442))))</f>
        <v/>
      </c>
      <c r="G442" s="25" t="str">
        <f aca="false">IF(OR(E442="",M442=0),"",MAX(0,E442-F442))</f>
        <v/>
      </c>
      <c r="H442" s="26" t="str">
        <f aca="false">IF(OR(E442="",M442=0),"",ROUND((F442*$N$439+G442*$O$439)*24,3))</f>
        <v/>
      </c>
      <c r="I442" s="27"/>
      <c r="K442" s="28" t="str">
        <f aca="false">IF(OR(M442=0,C442=""),"",IF(ISNUMBER(C442),MOD(C442,1),IFERROR(INDEX(القوائم!$B$1:$B$288,MATCH(TRIM(C442),القوائم!$A$1:$A$288,0)),IFERROR(MOD(TIMEVALUE(C442),1),""))))</f>
        <v/>
      </c>
      <c r="L442" s="28" t="str">
        <f aca="false">IF(OR(M442=0,D442=""),"",IF(ISNUMBER(D442),MOD(D442,1),IFERROR(INDEX(القوائم!$B$1:$B$288,MATCH(TRIM(D442),القوائم!$A$1:$A$288,0)),IFERROR(MOD(TIMEVALUE(D442),1),""))))</f>
        <v/>
      </c>
      <c r="M442" s="19" t="n">
        <f aca="false">$M$439</f>
        <v>0</v>
      </c>
      <c r="Q442" s="19" t="n">
        <f aca="false">IF(N(E451)&gt;0,1,0)</f>
        <v>0</v>
      </c>
      <c r="S442" s="0" t="n">
        <v>32</v>
      </c>
    </row>
    <row r="443" customFormat="false" ht="15" hidden="false" customHeight="false" outlineLevel="0" collapsed="false">
      <c r="A443" s="22" t="n">
        <f aca="false">IF(32&lt;=NW,WEEK_ONE+219,"")</f>
        <v>46237</v>
      </c>
      <c r="B443" s="23" t="str">
        <f aca="false">IF(A443="","",CHOOSE(WEEKDAY(A443,1),"الأحد","الاثنين","الثلاثاء","الأربعاء","الخميس","الجمعة","السبت"))</f>
        <v>الاثنين</v>
      </c>
      <c r="C443" s="24"/>
      <c r="D443" s="24"/>
      <c r="E443" s="25" t="str">
        <f aca="false">IF(OR(M443=0,K443="",L443=""),"",MOD(L443-K443,1))</f>
        <v/>
      </c>
      <c r="F443" s="25" t="str">
        <f aca="false">IF(OR(E443="",M443=0),"",IF(WEEKDAY(A443,1)=6,E443,MIN(E443,MAX(0,MIN(IF(L443&lt;K443,L443+1,L443),OMR_OT_AT)-K443))))</f>
        <v/>
      </c>
      <c r="G443" s="25" t="str">
        <f aca="false">IF(OR(E443="",M443=0),"",MAX(0,E443-F443))</f>
        <v/>
      </c>
      <c r="H443" s="26" t="str">
        <f aca="false">IF(OR(E443="",M443=0),"",ROUND((F443*$N$439+G443*$O$439)*24,3))</f>
        <v/>
      </c>
      <c r="I443" s="27"/>
      <c r="K443" s="28" t="str">
        <f aca="false">IF(OR(M443=0,C443=""),"",IF(ISNUMBER(C443),MOD(C443,1),IFERROR(INDEX(القوائم!$B$1:$B$288,MATCH(TRIM(C443),القوائم!$A$1:$A$288,0)),IFERROR(MOD(TIMEVALUE(C443),1),""))))</f>
        <v/>
      </c>
      <c r="L443" s="28" t="str">
        <f aca="false">IF(OR(M443=0,D443=""),"",IF(ISNUMBER(D443),MOD(D443,1),IFERROR(INDEX(القوائم!$B$1:$B$288,MATCH(TRIM(D443),القوائم!$A$1:$A$288,0)),IFERROR(MOD(TIMEVALUE(D443),1),""))))</f>
        <v/>
      </c>
      <c r="M443" s="19" t="n">
        <f aca="false">$M$439</f>
        <v>0</v>
      </c>
      <c r="Q443" s="19" t="n">
        <f aca="false">IF(N(E451)&gt;0,1,0)</f>
        <v>0</v>
      </c>
      <c r="S443" s="0" t="n">
        <v>32</v>
      </c>
    </row>
    <row r="444" customFormat="false" ht="15" hidden="false" customHeight="false" outlineLevel="0" collapsed="false">
      <c r="A444" s="22" t="n">
        <f aca="false">IF(32&lt;=NW,WEEK_ONE+220,"")</f>
        <v>46238</v>
      </c>
      <c r="B444" s="23" t="str">
        <f aca="false">IF(A444="","",CHOOSE(WEEKDAY(A444,1),"الأحد","الاثنين","الثلاثاء","الأربعاء","الخميس","الجمعة","السبت"))</f>
        <v>الثلاثاء</v>
      </c>
      <c r="C444" s="24"/>
      <c r="D444" s="24"/>
      <c r="E444" s="25" t="str">
        <f aca="false">IF(OR(M444=0,K444="",L444=""),"",MOD(L444-K444,1))</f>
        <v/>
      </c>
      <c r="F444" s="25" t="str">
        <f aca="false">IF(OR(E444="",M444=0),"",IF(WEEKDAY(A444,1)=6,E444,MIN(E444,MAX(0,MIN(IF(L444&lt;K444,L444+1,L444),OMR_OT_AT)-K444))))</f>
        <v/>
      </c>
      <c r="G444" s="25" t="str">
        <f aca="false">IF(OR(E444="",M444=0),"",MAX(0,E444-F444))</f>
        <v/>
      </c>
      <c r="H444" s="26" t="str">
        <f aca="false">IF(OR(E444="",M444=0),"",ROUND((F444*$N$439+G444*$O$439)*24,3))</f>
        <v/>
      </c>
      <c r="I444" s="27"/>
      <c r="K444" s="28" t="str">
        <f aca="false">IF(OR(M444=0,C444=""),"",IF(ISNUMBER(C444),MOD(C444,1),IFERROR(INDEX(القوائم!$B$1:$B$288,MATCH(TRIM(C444),القوائم!$A$1:$A$288,0)),IFERROR(MOD(TIMEVALUE(C444),1),""))))</f>
        <v/>
      </c>
      <c r="L444" s="28" t="str">
        <f aca="false">IF(OR(M444=0,D444=""),"",IF(ISNUMBER(D444),MOD(D444,1),IFERROR(INDEX(القوائم!$B$1:$B$288,MATCH(TRIM(D444),القوائم!$A$1:$A$288,0)),IFERROR(MOD(TIMEVALUE(D444),1),""))))</f>
        <v/>
      </c>
      <c r="M444" s="19" t="n">
        <f aca="false">$M$439</f>
        <v>0</v>
      </c>
      <c r="Q444" s="19" t="n">
        <f aca="false">IF(N(E451)&gt;0,1,0)</f>
        <v>0</v>
      </c>
      <c r="S444" s="0" t="n">
        <v>32</v>
      </c>
    </row>
    <row r="445" customFormat="false" ht="15" hidden="false" customHeight="false" outlineLevel="0" collapsed="false">
      <c r="A445" s="22" t="n">
        <f aca="false">IF(32&lt;=NW,WEEK_ONE+221,"")</f>
        <v>46239</v>
      </c>
      <c r="B445" s="23" t="str">
        <f aca="false">IF(A445="","",CHOOSE(WEEKDAY(A445,1),"الأحد","الاثنين","الثلاثاء","الأربعاء","الخميس","الجمعة","السبت"))</f>
        <v>الأربعاء</v>
      </c>
      <c r="C445" s="24"/>
      <c r="D445" s="24"/>
      <c r="E445" s="25" t="str">
        <f aca="false">IF(OR(M445=0,K445="",L445=""),"",MOD(L445-K445,1))</f>
        <v/>
      </c>
      <c r="F445" s="25" t="str">
        <f aca="false">IF(OR(E445="",M445=0),"",IF(WEEKDAY(A445,1)=6,E445,MIN(E445,MAX(0,MIN(IF(L445&lt;K445,L445+1,L445),OMR_OT_AT)-K445))))</f>
        <v/>
      </c>
      <c r="G445" s="25" t="str">
        <f aca="false">IF(OR(E445="",M445=0),"",MAX(0,E445-F445))</f>
        <v/>
      </c>
      <c r="H445" s="26" t="str">
        <f aca="false">IF(OR(E445="",M445=0),"",ROUND((F445*$N$439+G445*$O$439)*24,3))</f>
        <v/>
      </c>
      <c r="I445" s="27"/>
      <c r="K445" s="28" t="str">
        <f aca="false">IF(OR(M445=0,C445=""),"",IF(ISNUMBER(C445),MOD(C445,1),IFERROR(INDEX(القوائم!$B$1:$B$288,MATCH(TRIM(C445),القوائم!$A$1:$A$288,0)),IFERROR(MOD(TIMEVALUE(C445),1),""))))</f>
        <v/>
      </c>
      <c r="L445" s="28" t="str">
        <f aca="false">IF(OR(M445=0,D445=""),"",IF(ISNUMBER(D445),MOD(D445,1),IFERROR(INDEX(القوائم!$B$1:$B$288,MATCH(TRIM(D445),القوائم!$A$1:$A$288,0)),IFERROR(MOD(TIMEVALUE(D445),1),""))))</f>
        <v/>
      </c>
      <c r="M445" s="19" t="n">
        <f aca="false">$M$439</f>
        <v>0</v>
      </c>
      <c r="Q445" s="19" t="n">
        <f aca="false">IF(N(E451)&gt;0,1,0)</f>
        <v>0</v>
      </c>
      <c r="S445" s="0" t="n">
        <v>32</v>
      </c>
    </row>
    <row r="446" customFormat="false" ht="15" hidden="false" customHeight="false" outlineLevel="0" collapsed="false">
      <c r="A446" s="22" t="n">
        <f aca="false">IF(32&lt;=NW,WEEK_ONE+222,"")</f>
        <v>46240</v>
      </c>
      <c r="B446" s="23" t="str">
        <f aca="false">IF(A446="","",CHOOSE(WEEKDAY(A446,1),"الأحد","الاثنين","الثلاثاء","الأربعاء","الخميس","الجمعة","السبت"))</f>
        <v>الخميس</v>
      </c>
      <c r="C446" s="24"/>
      <c r="D446" s="24"/>
      <c r="E446" s="25" t="str">
        <f aca="false">IF(OR(M446=0,K446="",L446=""),"",MOD(L446-K446,1))</f>
        <v/>
      </c>
      <c r="F446" s="25" t="str">
        <f aca="false">IF(OR(E446="",M446=0),"",IF(WEEKDAY(A446,1)=6,E446,MIN(E446,MAX(0,MIN(IF(L446&lt;K446,L446+1,L446),OMR_OT_AT)-K446))))</f>
        <v/>
      </c>
      <c r="G446" s="25" t="str">
        <f aca="false">IF(OR(E446="",M446=0),"",MAX(0,E446-F446))</f>
        <v/>
      </c>
      <c r="H446" s="26" t="str">
        <f aca="false">IF(OR(E446="",M446=0),"",ROUND((F446*$N$439+G446*$O$439)*24,3))</f>
        <v/>
      </c>
      <c r="I446" s="27"/>
      <c r="K446" s="28" t="str">
        <f aca="false">IF(OR(M446=0,C446=""),"",IF(ISNUMBER(C446),MOD(C446,1),IFERROR(INDEX(القوائم!$B$1:$B$288,MATCH(TRIM(C446),القوائم!$A$1:$A$288,0)),IFERROR(MOD(TIMEVALUE(C446),1),""))))</f>
        <v/>
      </c>
      <c r="L446" s="28" t="str">
        <f aca="false">IF(OR(M446=0,D446=""),"",IF(ISNUMBER(D446),MOD(D446,1),IFERROR(INDEX(القوائم!$B$1:$B$288,MATCH(TRIM(D446),القوائم!$A$1:$A$288,0)),IFERROR(MOD(TIMEVALUE(D446),1),""))))</f>
        <v/>
      </c>
      <c r="M446" s="19" t="n">
        <f aca="false">$M$439</f>
        <v>0</v>
      </c>
      <c r="Q446" s="19" t="n">
        <f aca="false">IF(N(E451)&gt;0,1,0)</f>
        <v>0</v>
      </c>
      <c r="S446" s="0" t="n">
        <v>32</v>
      </c>
    </row>
    <row r="447" customFormat="false" ht="15" hidden="false" customHeight="false" outlineLevel="0" collapsed="false">
      <c r="A447" s="29" t="n">
        <f aca="false">IF(32&lt;=NW,WEEK_ONE+223,"")</f>
        <v>46241</v>
      </c>
      <c r="B447" s="30" t="str">
        <f aca="false">IF(A447="","",CHOOSE(WEEKDAY(A447,1),"الأحد","الاثنين","الثلاثاء","الأربعاء","الخميس","الجمعة","السبت"))</f>
        <v>الجمعة</v>
      </c>
      <c r="C447" s="24"/>
      <c r="D447" s="24"/>
      <c r="E447" s="25" t="str">
        <f aca="false">IF(OR(M447=0,K447="",L447=""),"",MOD(L447-K447,1))</f>
        <v/>
      </c>
      <c r="F447" s="25" t="str">
        <f aca="false">IF(OR(E447="",M447=0),"",IF(WEEKDAY(A447,1)=6,E447,MIN(E447,MAX(0,MIN(IF(L447&lt;K447,L447+1,L447),OMR_OT_AT)-K447))))</f>
        <v/>
      </c>
      <c r="G447" s="25" t="str">
        <f aca="false">IF(OR(E447="",M447=0),"",MAX(0,E447-F447))</f>
        <v/>
      </c>
      <c r="H447" s="26" t="str">
        <f aca="false">IF(OR(E447="",M447=0),"",ROUND((F447*$N$439+G447*$O$439)*24,3))</f>
        <v/>
      </c>
      <c r="I447" s="27"/>
      <c r="K447" s="28" t="str">
        <f aca="false">IF(OR(M447=0,C447=""),"",IF(ISNUMBER(C447),MOD(C447,1),IFERROR(INDEX(القوائم!$B$1:$B$288,MATCH(TRIM(C447),القوائم!$A$1:$A$288,0)),IFERROR(MOD(TIMEVALUE(C447),1),""))))</f>
        <v/>
      </c>
      <c r="L447" s="28" t="str">
        <f aca="false">IF(OR(M447=0,D447=""),"",IF(ISNUMBER(D447),MOD(D447,1),IFERROR(INDEX(القوائم!$B$1:$B$288,MATCH(TRIM(D447),القوائم!$A$1:$A$288,0)),IFERROR(MOD(TIMEVALUE(D447),1),""))))</f>
        <v/>
      </c>
      <c r="M447" s="19" t="n">
        <f aca="false">$M$439</f>
        <v>0</v>
      </c>
      <c r="Q447" s="19" t="n">
        <f aca="false">IF(N(E451)&gt;0,1,0)</f>
        <v>0</v>
      </c>
      <c r="S447" s="0" t="n">
        <v>32</v>
      </c>
    </row>
    <row r="448" customFormat="false" ht="15" hidden="false" customHeight="false" outlineLevel="0" collapsed="false">
      <c r="A448" s="31" t="str">
        <f aca="false">IF(M439=1,"ساعات تحميل الجبسمبورد بهالأسبوع ←","")</f>
        <v/>
      </c>
      <c r="B448" s="31"/>
      <c r="C448" s="31"/>
      <c r="D448" s="31"/>
      <c r="E448" s="32"/>
      <c r="F448" s="33" t="str">
        <f aca="false">IF(M439=1,"كل ساعة تحميل = "&amp;TEXT($P$439,"0.000")&amp;" دينار (منها "&amp;TEXT($N$439,"0.000")&amp;" محسوبة أصلاً بساعات اليوم)","")</f>
        <v/>
      </c>
      <c r="G448" s="33"/>
      <c r="H448" s="33"/>
      <c r="I448" s="33"/>
      <c r="M448" s="19" t="n">
        <f aca="false">$M$439</f>
        <v>0</v>
      </c>
      <c r="Q448" s="19" t="n">
        <f aca="false">IF(N(E451)&gt;0,1,0)</f>
        <v>0</v>
      </c>
      <c r="S448" s="0" t="n">
        <v>32</v>
      </c>
    </row>
    <row r="449" customFormat="false" ht="15" hidden="false" customHeight="false" outlineLevel="0" collapsed="false">
      <c r="A449" s="31" t="str">
        <f aca="false">IF(M439=1,"إكرامية الأسبوع (دينار) ←","")</f>
        <v/>
      </c>
      <c r="B449" s="31"/>
      <c r="C449" s="31"/>
      <c r="D449" s="31"/>
      <c r="E449" s="34"/>
      <c r="F449" s="35"/>
      <c r="G449" s="35"/>
      <c r="H449" s="35"/>
      <c r="I449" s="35"/>
      <c r="M449" s="19" t="n">
        <f aca="false">$M$439</f>
        <v>0</v>
      </c>
      <c r="Q449" s="19" t="n">
        <f aca="false">IF(N(E451)&gt;0,1,0)</f>
        <v>0</v>
      </c>
      <c r="S449" s="0" t="n">
        <v>32</v>
      </c>
    </row>
    <row r="450" customFormat="false" ht="36" hidden="false" customHeight="true" outlineLevel="0" collapsed="false">
      <c r="A450" s="36" t="str">
        <f aca="false">IF(M439=1,"المستحق النهائي للأسبوع","")</f>
        <v/>
      </c>
      <c r="B450" s="36"/>
      <c r="C450" s="36"/>
      <c r="D450" s="36"/>
      <c r="E450" s="36"/>
      <c r="F450" s="36"/>
      <c r="G450" s="36"/>
      <c r="H450" s="11" t="str">
        <f aca="false">IF(M439=1,ROUND(N($V$439)+N(E448)*($P$439-$N$439)+N(E449),3),"")</f>
        <v/>
      </c>
      <c r="I450" s="37"/>
      <c r="M450" s="19" t="n">
        <f aca="false">$M$439</f>
        <v>0</v>
      </c>
      <c r="Q450" s="19" t="n">
        <f aca="false">IF(N(E451)&gt;0,1,0)</f>
        <v>0</v>
      </c>
      <c r="S450" s="0" t="n">
        <v>32</v>
      </c>
      <c r="T450" s="0" t="n">
        <v>1</v>
      </c>
    </row>
    <row r="451" customFormat="false" ht="25.5" hidden="false" customHeight="true" outlineLevel="0" collapsed="false">
      <c r="A451" s="31" t="str">
        <f aca="false">IF(M439=1,"المدفوع (دينار) ←","")</f>
        <v/>
      </c>
      <c r="B451" s="31"/>
      <c r="C451" s="31"/>
      <c r="D451" s="31"/>
      <c r="E451" s="34"/>
      <c r="F451" s="38" t="str">
        <f aca="false">IF(M439=1,IF(N(E451)&gt;0,"✔ انقبض — الأسبوع مقفول","⏳ لسا ما انقبض"),"")</f>
        <v/>
      </c>
      <c r="G451" s="38"/>
      <c r="H451" s="38"/>
      <c r="I451" s="38"/>
      <c r="M451" s="19" t="n">
        <f aca="false">$M$439</f>
        <v>0</v>
      </c>
      <c r="Q451" s="19" t="n">
        <f aca="false">IF(N(E451)&gt;0,1,0)</f>
        <v>0</v>
      </c>
      <c r="S451" s="0" t="n">
        <v>32</v>
      </c>
    </row>
    <row r="452" customFormat="false" ht="9.75" hidden="false" customHeight="true" outlineLevel="0" collapsed="false">
      <c r="M452" s="19" t="n">
        <f aca="false">$M$439</f>
        <v>0</v>
      </c>
      <c r="Q452" s="19" t="n">
        <f aca="false">IF(N(E451)&gt;0,1,0)</f>
        <v>0</v>
      </c>
      <c r="S452" s="0" t="n">
        <v>32</v>
      </c>
      <c r="T452" s="0" t="n">
        <v>2</v>
      </c>
    </row>
    <row r="453" customFormat="false" ht="33.75" hidden="false" customHeight="true" outlineLevel="0" collapsed="false">
      <c r="A453" s="17" t="str">
        <f aca="false">IF(33&lt;=NW,TEXT(DAY(WEEK_ONE+224),"00")&amp;"/"&amp;TEXT(MONTH(WEEK_ONE+224),"00")&amp;"/"&amp;YEAR(WEEK_ONE+224)&amp;"  -  "&amp;TEXT(DAY(WEEK_ONE+230),"00")&amp;"/"&amp;TEXT(MONTH(WEEK_ONE+230),"00")&amp;"/"&amp;YEAR(WEEK_ONE+230)&amp;"   ·   الأسبوع 33"&amp;IF(33&lt;START_O,"   (قبل أسبوع البداية — ما بينحسب)",""),"ما في أسبوع 33 هالسنة")</f>
        <v>08/08/2026  -  14/08/2026   ·   الأسبوع 33   (قبل أسبوع البداية — ما بينحسب)</v>
      </c>
      <c r="B453" s="17"/>
      <c r="C453" s="17"/>
      <c r="D453" s="17"/>
      <c r="E453" s="17"/>
      <c r="F453" s="17"/>
      <c r="G453" s="17"/>
      <c r="H453" s="17"/>
      <c r="I453" s="17"/>
      <c r="L453" s="18" t="n">
        <f aca="false">IF(33&lt;=NW,WEEK_ONE+230,"")</f>
        <v>46248</v>
      </c>
      <c r="M453" s="19" t="n">
        <f aca="false">IF(AND(33&lt;=NW,33&gt;=START_O),1,0)</f>
        <v>0</v>
      </c>
      <c r="N453" s="20" t="n">
        <f aca="false">IFERROR(INDEX(RT_OMR,MATCH(L453,RT_K,1)),INDEX(RT_OMR,1))</f>
        <v>1.25</v>
      </c>
      <c r="O453" s="20" t="n">
        <f aca="false">IFERROR(INDEX(RT_OT,MATCH(L453,RT_K,1)),INDEX(RT_OT,1))</f>
        <v>1.5</v>
      </c>
      <c r="P453" s="20" t="n">
        <f aca="false">IFERROR(INDEX(RT_GYP,MATCH(L453,RT_K,1)),INDEX(RT_GYP,1))</f>
        <v>2.5</v>
      </c>
      <c r="Q453" s="19" t="n">
        <f aca="false">IF(N(E465)&gt;0,1,0)</f>
        <v>0</v>
      </c>
      <c r="R453" s="0" t="n">
        <v>33</v>
      </c>
      <c r="S453" s="0" t="n">
        <v>33</v>
      </c>
      <c r="U453" s="19" t="n">
        <f aca="false">IF(M453=1,SUM(E455:E461),0)</f>
        <v>0</v>
      </c>
      <c r="V453" s="19" t="n">
        <f aca="false">SUM(H455:H461)</f>
        <v>0</v>
      </c>
    </row>
    <row r="454" customFormat="false" ht="39.75" hidden="false" customHeight="true" outlineLevel="0" collapsed="false">
      <c r="A454" s="21" t="s">
        <v>18</v>
      </c>
      <c r="B454" s="21" t="s">
        <v>19</v>
      </c>
      <c r="C454" s="21" t="s">
        <v>20</v>
      </c>
      <c r="D454" s="21" t="s">
        <v>21</v>
      </c>
      <c r="E454" s="21" t="s">
        <v>22</v>
      </c>
      <c r="F454" s="21" t="s">
        <v>23</v>
      </c>
      <c r="G454" s="21" t="s">
        <v>24</v>
      </c>
      <c r="H454" s="21" t="s">
        <v>25</v>
      </c>
      <c r="I454" s="21" t="s">
        <v>26</v>
      </c>
      <c r="M454" s="19" t="n">
        <f aca="false">$M$453</f>
        <v>0</v>
      </c>
      <c r="Q454" s="19" t="n">
        <f aca="false">IF(N(E465)&gt;0,1,0)</f>
        <v>0</v>
      </c>
      <c r="S454" s="0" t="n">
        <v>33</v>
      </c>
    </row>
    <row r="455" customFormat="false" ht="15" hidden="false" customHeight="false" outlineLevel="0" collapsed="false">
      <c r="A455" s="22" t="n">
        <f aca="false">IF(33&lt;=NW,WEEK_ONE+224,"")</f>
        <v>46242</v>
      </c>
      <c r="B455" s="23" t="str">
        <f aca="false">IF(A455="","",CHOOSE(WEEKDAY(A455,1),"الأحد","الاثنين","الثلاثاء","الأربعاء","الخميس","الجمعة","السبت"))</f>
        <v>السبت</v>
      </c>
      <c r="C455" s="24"/>
      <c r="D455" s="24"/>
      <c r="E455" s="25" t="str">
        <f aca="false">IF(OR(M455=0,K455="",L455=""),"",MOD(L455-K455,1))</f>
        <v/>
      </c>
      <c r="F455" s="25" t="str">
        <f aca="false">IF(OR(E455="",M455=0),"",IF(WEEKDAY(A455,1)=6,E455,MIN(E455,MAX(0,MIN(IF(L455&lt;K455,L455+1,L455),OMR_OT_AT)-K455))))</f>
        <v/>
      </c>
      <c r="G455" s="25" t="str">
        <f aca="false">IF(OR(E455="",M455=0),"",MAX(0,E455-F455))</f>
        <v/>
      </c>
      <c r="H455" s="26" t="str">
        <f aca="false">IF(OR(E455="",M455=0),"",ROUND((F455*$N$453+G455*$O$453)*24,3))</f>
        <v/>
      </c>
      <c r="I455" s="27"/>
      <c r="K455" s="28" t="str">
        <f aca="false">IF(OR(M455=0,C455=""),"",IF(ISNUMBER(C455),MOD(C455,1),IFERROR(INDEX(القوائم!$B$1:$B$288,MATCH(TRIM(C455),القوائم!$A$1:$A$288,0)),IFERROR(MOD(TIMEVALUE(C455),1),""))))</f>
        <v/>
      </c>
      <c r="L455" s="28" t="str">
        <f aca="false">IF(OR(M455=0,D455=""),"",IF(ISNUMBER(D455),MOD(D455,1),IFERROR(INDEX(القوائم!$B$1:$B$288,MATCH(TRIM(D455),القوائم!$A$1:$A$288,0)),IFERROR(MOD(TIMEVALUE(D455),1),""))))</f>
        <v/>
      </c>
      <c r="M455" s="19" t="n">
        <f aca="false">$M$453</f>
        <v>0</v>
      </c>
      <c r="Q455" s="19" t="n">
        <f aca="false">IF(N(E465)&gt;0,1,0)</f>
        <v>0</v>
      </c>
      <c r="S455" s="0" t="n">
        <v>33</v>
      </c>
    </row>
    <row r="456" customFormat="false" ht="15" hidden="false" customHeight="false" outlineLevel="0" collapsed="false">
      <c r="A456" s="22" t="n">
        <f aca="false">IF(33&lt;=NW,WEEK_ONE+225,"")</f>
        <v>46243</v>
      </c>
      <c r="B456" s="23" t="str">
        <f aca="false">IF(A456="","",CHOOSE(WEEKDAY(A456,1),"الأحد","الاثنين","الثلاثاء","الأربعاء","الخميس","الجمعة","السبت"))</f>
        <v>الأحد</v>
      </c>
      <c r="C456" s="24"/>
      <c r="D456" s="24"/>
      <c r="E456" s="25" t="str">
        <f aca="false">IF(OR(M456=0,K456="",L456=""),"",MOD(L456-K456,1))</f>
        <v/>
      </c>
      <c r="F456" s="25" t="str">
        <f aca="false">IF(OR(E456="",M456=0),"",IF(WEEKDAY(A456,1)=6,E456,MIN(E456,MAX(0,MIN(IF(L456&lt;K456,L456+1,L456),OMR_OT_AT)-K456))))</f>
        <v/>
      </c>
      <c r="G456" s="25" t="str">
        <f aca="false">IF(OR(E456="",M456=0),"",MAX(0,E456-F456))</f>
        <v/>
      </c>
      <c r="H456" s="26" t="str">
        <f aca="false">IF(OR(E456="",M456=0),"",ROUND((F456*$N$453+G456*$O$453)*24,3))</f>
        <v/>
      </c>
      <c r="I456" s="27"/>
      <c r="K456" s="28" t="str">
        <f aca="false">IF(OR(M456=0,C456=""),"",IF(ISNUMBER(C456),MOD(C456,1),IFERROR(INDEX(القوائم!$B$1:$B$288,MATCH(TRIM(C456),القوائم!$A$1:$A$288,0)),IFERROR(MOD(TIMEVALUE(C456),1),""))))</f>
        <v/>
      </c>
      <c r="L456" s="28" t="str">
        <f aca="false">IF(OR(M456=0,D456=""),"",IF(ISNUMBER(D456),MOD(D456,1),IFERROR(INDEX(القوائم!$B$1:$B$288,MATCH(TRIM(D456),القوائم!$A$1:$A$288,0)),IFERROR(MOD(TIMEVALUE(D456),1),""))))</f>
        <v/>
      </c>
      <c r="M456" s="19" t="n">
        <f aca="false">$M$453</f>
        <v>0</v>
      </c>
      <c r="Q456" s="19" t="n">
        <f aca="false">IF(N(E465)&gt;0,1,0)</f>
        <v>0</v>
      </c>
      <c r="S456" s="0" t="n">
        <v>33</v>
      </c>
    </row>
    <row r="457" customFormat="false" ht="15" hidden="false" customHeight="false" outlineLevel="0" collapsed="false">
      <c r="A457" s="22" t="n">
        <f aca="false">IF(33&lt;=NW,WEEK_ONE+226,"")</f>
        <v>46244</v>
      </c>
      <c r="B457" s="23" t="str">
        <f aca="false">IF(A457="","",CHOOSE(WEEKDAY(A457,1),"الأحد","الاثنين","الثلاثاء","الأربعاء","الخميس","الجمعة","السبت"))</f>
        <v>الاثنين</v>
      </c>
      <c r="C457" s="24"/>
      <c r="D457" s="24"/>
      <c r="E457" s="25" t="str">
        <f aca="false">IF(OR(M457=0,K457="",L457=""),"",MOD(L457-K457,1))</f>
        <v/>
      </c>
      <c r="F457" s="25" t="str">
        <f aca="false">IF(OR(E457="",M457=0),"",IF(WEEKDAY(A457,1)=6,E457,MIN(E457,MAX(0,MIN(IF(L457&lt;K457,L457+1,L457),OMR_OT_AT)-K457))))</f>
        <v/>
      </c>
      <c r="G457" s="25" t="str">
        <f aca="false">IF(OR(E457="",M457=0),"",MAX(0,E457-F457))</f>
        <v/>
      </c>
      <c r="H457" s="26" t="str">
        <f aca="false">IF(OR(E457="",M457=0),"",ROUND((F457*$N$453+G457*$O$453)*24,3))</f>
        <v/>
      </c>
      <c r="I457" s="27"/>
      <c r="K457" s="28" t="str">
        <f aca="false">IF(OR(M457=0,C457=""),"",IF(ISNUMBER(C457),MOD(C457,1),IFERROR(INDEX(القوائم!$B$1:$B$288,MATCH(TRIM(C457),القوائم!$A$1:$A$288,0)),IFERROR(MOD(TIMEVALUE(C457),1),""))))</f>
        <v/>
      </c>
      <c r="L457" s="28" t="str">
        <f aca="false">IF(OR(M457=0,D457=""),"",IF(ISNUMBER(D457),MOD(D457,1),IFERROR(INDEX(القوائم!$B$1:$B$288,MATCH(TRIM(D457),القوائم!$A$1:$A$288,0)),IFERROR(MOD(TIMEVALUE(D457),1),""))))</f>
        <v/>
      </c>
      <c r="M457" s="19" t="n">
        <f aca="false">$M$453</f>
        <v>0</v>
      </c>
      <c r="Q457" s="19" t="n">
        <f aca="false">IF(N(E465)&gt;0,1,0)</f>
        <v>0</v>
      </c>
      <c r="S457" s="0" t="n">
        <v>33</v>
      </c>
    </row>
    <row r="458" customFormat="false" ht="15" hidden="false" customHeight="false" outlineLevel="0" collapsed="false">
      <c r="A458" s="22" t="n">
        <f aca="false">IF(33&lt;=NW,WEEK_ONE+227,"")</f>
        <v>46245</v>
      </c>
      <c r="B458" s="23" t="str">
        <f aca="false">IF(A458="","",CHOOSE(WEEKDAY(A458,1),"الأحد","الاثنين","الثلاثاء","الأربعاء","الخميس","الجمعة","السبت"))</f>
        <v>الثلاثاء</v>
      </c>
      <c r="C458" s="24"/>
      <c r="D458" s="24"/>
      <c r="E458" s="25" t="str">
        <f aca="false">IF(OR(M458=0,K458="",L458=""),"",MOD(L458-K458,1))</f>
        <v/>
      </c>
      <c r="F458" s="25" t="str">
        <f aca="false">IF(OR(E458="",M458=0),"",IF(WEEKDAY(A458,1)=6,E458,MIN(E458,MAX(0,MIN(IF(L458&lt;K458,L458+1,L458),OMR_OT_AT)-K458))))</f>
        <v/>
      </c>
      <c r="G458" s="25" t="str">
        <f aca="false">IF(OR(E458="",M458=0),"",MAX(0,E458-F458))</f>
        <v/>
      </c>
      <c r="H458" s="26" t="str">
        <f aca="false">IF(OR(E458="",M458=0),"",ROUND((F458*$N$453+G458*$O$453)*24,3))</f>
        <v/>
      </c>
      <c r="I458" s="27"/>
      <c r="K458" s="28" t="str">
        <f aca="false">IF(OR(M458=0,C458=""),"",IF(ISNUMBER(C458),MOD(C458,1),IFERROR(INDEX(القوائم!$B$1:$B$288,MATCH(TRIM(C458),القوائم!$A$1:$A$288,0)),IFERROR(MOD(TIMEVALUE(C458),1),""))))</f>
        <v/>
      </c>
      <c r="L458" s="28" t="str">
        <f aca="false">IF(OR(M458=0,D458=""),"",IF(ISNUMBER(D458),MOD(D458,1),IFERROR(INDEX(القوائم!$B$1:$B$288,MATCH(TRIM(D458),القوائم!$A$1:$A$288,0)),IFERROR(MOD(TIMEVALUE(D458),1),""))))</f>
        <v/>
      </c>
      <c r="M458" s="19" t="n">
        <f aca="false">$M$453</f>
        <v>0</v>
      </c>
      <c r="Q458" s="19" t="n">
        <f aca="false">IF(N(E465)&gt;0,1,0)</f>
        <v>0</v>
      </c>
      <c r="S458" s="0" t="n">
        <v>33</v>
      </c>
    </row>
    <row r="459" customFormat="false" ht="15" hidden="false" customHeight="false" outlineLevel="0" collapsed="false">
      <c r="A459" s="22" t="n">
        <f aca="false">IF(33&lt;=NW,WEEK_ONE+228,"")</f>
        <v>46246</v>
      </c>
      <c r="B459" s="23" t="str">
        <f aca="false">IF(A459="","",CHOOSE(WEEKDAY(A459,1),"الأحد","الاثنين","الثلاثاء","الأربعاء","الخميس","الجمعة","السبت"))</f>
        <v>الأربعاء</v>
      </c>
      <c r="C459" s="24"/>
      <c r="D459" s="24"/>
      <c r="E459" s="25" t="str">
        <f aca="false">IF(OR(M459=0,K459="",L459=""),"",MOD(L459-K459,1))</f>
        <v/>
      </c>
      <c r="F459" s="25" t="str">
        <f aca="false">IF(OR(E459="",M459=0),"",IF(WEEKDAY(A459,1)=6,E459,MIN(E459,MAX(0,MIN(IF(L459&lt;K459,L459+1,L459),OMR_OT_AT)-K459))))</f>
        <v/>
      </c>
      <c r="G459" s="25" t="str">
        <f aca="false">IF(OR(E459="",M459=0),"",MAX(0,E459-F459))</f>
        <v/>
      </c>
      <c r="H459" s="26" t="str">
        <f aca="false">IF(OR(E459="",M459=0),"",ROUND((F459*$N$453+G459*$O$453)*24,3))</f>
        <v/>
      </c>
      <c r="I459" s="27"/>
      <c r="K459" s="28" t="str">
        <f aca="false">IF(OR(M459=0,C459=""),"",IF(ISNUMBER(C459),MOD(C459,1),IFERROR(INDEX(القوائم!$B$1:$B$288,MATCH(TRIM(C459),القوائم!$A$1:$A$288,0)),IFERROR(MOD(TIMEVALUE(C459),1),""))))</f>
        <v/>
      </c>
      <c r="L459" s="28" t="str">
        <f aca="false">IF(OR(M459=0,D459=""),"",IF(ISNUMBER(D459),MOD(D459,1),IFERROR(INDEX(القوائم!$B$1:$B$288,MATCH(TRIM(D459),القوائم!$A$1:$A$288,0)),IFERROR(MOD(TIMEVALUE(D459),1),""))))</f>
        <v/>
      </c>
      <c r="M459" s="19" t="n">
        <f aca="false">$M$453</f>
        <v>0</v>
      </c>
      <c r="Q459" s="19" t="n">
        <f aca="false">IF(N(E465)&gt;0,1,0)</f>
        <v>0</v>
      </c>
      <c r="S459" s="0" t="n">
        <v>33</v>
      </c>
    </row>
    <row r="460" customFormat="false" ht="15" hidden="false" customHeight="false" outlineLevel="0" collapsed="false">
      <c r="A460" s="22" t="n">
        <f aca="false">IF(33&lt;=NW,WEEK_ONE+229,"")</f>
        <v>46247</v>
      </c>
      <c r="B460" s="23" t="str">
        <f aca="false">IF(A460="","",CHOOSE(WEEKDAY(A460,1),"الأحد","الاثنين","الثلاثاء","الأربعاء","الخميس","الجمعة","السبت"))</f>
        <v>الخميس</v>
      </c>
      <c r="C460" s="24"/>
      <c r="D460" s="24"/>
      <c r="E460" s="25" t="str">
        <f aca="false">IF(OR(M460=0,K460="",L460=""),"",MOD(L460-K460,1))</f>
        <v/>
      </c>
      <c r="F460" s="25" t="str">
        <f aca="false">IF(OR(E460="",M460=0),"",IF(WEEKDAY(A460,1)=6,E460,MIN(E460,MAX(0,MIN(IF(L460&lt;K460,L460+1,L460),OMR_OT_AT)-K460))))</f>
        <v/>
      </c>
      <c r="G460" s="25" t="str">
        <f aca="false">IF(OR(E460="",M460=0),"",MAX(0,E460-F460))</f>
        <v/>
      </c>
      <c r="H460" s="26" t="str">
        <f aca="false">IF(OR(E460="",M460=0),"",ROUND((F460*$N$453+G460*$O$453)*24,3))</f>
        <v/>
      </c>
      <c r="I460" s="27"/>
      <c r="K460" s="28" t="str">
        <f aca="false">IF(OR(M460=0,C460=""),"",IF(ISNUMBER(C460),MOD(C460,1),IFERROR(INDEX(القوائم!$B$1:$B$288,MATCH(TRIM(C460),القوائم!$A$1:$A$288,0)),IFERROR(MOD(TIMEVALUE(C460),1),""))))</f>
        <v/>
      </c>
      <c r="L460" s="28" t="str">
        <f aca="false">IF(OR(M460=0,D460=""),"",IF(ISNUMBER(D460),MOD(D460,1),IFERROR(INDEX(القوائم!$B$1:$B$288,MATCH(TRIM(D460),القوائم!$A$1:$A$288,0)),IFERROR(MOD(TIMEVALUE(D460),1),""))))</f>
        <v/>
      </c>
      <c r="M460" s="19" t="n">
        <f aca="false">$M$453</f>
        <v>0</v>
      </c>
      <c r="Q460" s="19" t="n">
        <f aca="false">IF(N(E465)&gt;0,1,0)</f>
        <v>0</v>
      </c>
      <c r="S460" s="0" t="n">
        <v>33</v>
      </c>
    </row>
    <row r="461" customFormat="false" ht="15" hidden="false" customHeight="false" outlineLevel="0" collapsed="false">
      <c r="A461" s="29" t="n">
        <f aca="false">IF(33&lt;=NW,WEEK_ONE+230,"")</f>
        <v>46248</v>
      </c>
      <c r="B461" s="30" t="str">
        <f aca="false">IF(A461="","",CHOOSE(WEEKDAY(A461,1),"الأحد","الاثنين","الثلاثاء","الأربعاء","الخميس","الجمعة","السبت"))</f>
        <v>الجمعة</v>
      </c>
      <c r="C461" s="24"/>
      <c r="D461" s="24"/>
      <c r="E461" s="25" t="str">
        <f aca="false">IF(OR(M461=0,K461="",L461=""),"",MOD(L461-K461,1))</f>
        <v/>
      </c>
      <c r="F461" s="25" t="str">
        <f aca="false">IF(OR(E461="",M461=0),"",IF(WEEKDAY(A461,1)=6,E461,MIN(E461,MAX(0,MIN(IF(L461&lt;K461,L461+1,L461),OMR_OT_AT)-K461))))</f>
        <v/>
      </c>
      <c r="G461" s="25" t="str">
        <f aca="false">IF(OR(E461="",M461=0),"",MAX(0,E461-F461))</f>
        <v/>
      </c>
      <c r="H461" s="26" t="str">
        <f aca="false">IF(OR(E461="",M461=0),"",ROUND((F461*$N$453+G461*$O$453)*24,3))</f>
        <v/>
      </c>
      <c r="I461" s="27"/>
      <c r="K461" s="28" t="str">
        <f aca="false">IF(OR(M461=0,C461=""),"",IF(ISNUMBER(C461),MOD(C461,1),IFERROR(INDEX(القوائم!$B$1:$B$288,MATCH(TRIM(C461),القوائم!$A$1:$A$288,0)),IFERROR(MOD(TIMEVALUE(C461),1),""))))</f>
        <v/>
      </c>
      <c r="L461" s="28" t="str">
        <f aca="false">IF(OR(M461=0,D461=""),"",IF(ISNUMBER(D461),MOD(D461,1),IFERROR(INDEX(القوائم!$B$1:$B$288,MATCH(TRIM(D461),القوائم!$A$1:$A$288,0)),IFERROR(MOD(TIMEVALUE(D461),1),""))))</f>
        <v/>
      </c>
      <c r="M461" s="19" t="n">
        <f aca="false">$M$453</f>
        <v>0</v>
      </c>
      <c r="Q461" s="19" t="n">
        <f aca="false">IF(N(E465)&gt;0,1,0)</f>
        <v>0</v>
      </c>
      <c r="S461" s="0" t="n">
        <v>33</v>
      </c>
    </row>
    <row r="462" customFormat="false" ht="15" hidden="false" customHeight="false" outlineLevel="0" collapsed="false">
      <c r="A462" s="31" t="str">
        <f aca="false">IF(M453=1,"ساعات تحميل الجبسمبورد بهالأسبوع ←","")</f>
        <v/>
      </c>
      <c r="B462" s="31"/>
      <c r="C462" s="31"/>
      <c r="D462" s="31"/>
      <c r="E462" s="32"/>
      <c r="F462" s="33" t="str">
        <f aca="false">IF(M453=1,"كل ساعة تحميل = "&amp;TEXT($P$453,"0.000")&amp;" دينار (منها "&amp;TEXT($N$453,"0.000")&amp;" محسوبة أصلاً بساعات اليوم)","")</f>
        <v/>
      </c>
      <c r="G462" s="33"/>
      <c r="H462" s="33"/>
      <c r="I462" s="33"/>
      <c r="M462" s="19" t="n">
        <f aca="false">$M$453</f>
        <v>0</v>
      </c>
      <c r="Q462" s="19" t="n">
        <f aca="false">IF(N(E465)&gt;0,1,0)</f>
        <v>0</v>
      </c>
      <c r="S462" s="0" t="n">
        <v>33</v>
      </c>
    </row>
    <row r="463" customFormat="false" ht="15" hidden="false" customHeight="false" outlineLevel="0" collapsed="false">
      <c r="A463" s="31" t="str">
        <f aca="false">IF(M453=1,"إكرامية الأسبوع (دينار) ←","")</f>
        <v/>
      </c>
      <c r="B463" s="31"/>
      <c r="C463" s="31"/>
      <c r="D463" s="31"/>
      <c r="E463" s="34"/>
      <c r="F463" s="35"/>
      <c r="G463" s="35"/>
      <c r="H463" s="35"/>
      <c r="I463" s="35"/>
      <c r="M463" s="19" t="n">
        <f aca="false">$M$453</f>
        <v>0</v>
      </c>
      <c r="Q463" s="19" t="n">
        <f aca="false">IF(N(E465)&gt;0,1,0)</f>
        <v>0</v>
      </c>
      <c r="S463" s="0" t="n">
        <v>33</v>
      </c>
    </row>
    <row r="464" customFormat="false" ht="36" hidden="false" customHeight="true" outlineLevel="0" collapsed="false">
      <c r="A464" s="36" t="str">
        <f aca="false">IF(M453=1,"المستحق النهائي للأسبوع","")</f>
        <v/>
      </c>
      <c r="B464" s="36"/>
      <c r="C464" s="36"/>
      <c r="D464" s="36"/>
      <c r="E464" s="36"/>
      <c r="F464" s="36"/>
      <c r="G464" s="36"/>
      <c r="H464" s="11" t="str">
        <f aca="false">IF(M453=1,ROUND(N($V$453)+N(E462)*($P$453-$N$453)+N(E463),3),"")</f>
        <v/>
      </c>
      <c r="I464" s="37"/>
      <c r="M464" s="19" t="n">
        <f aca="false">$M$453</f>
        <v>0</v>
      </c>
      <c r="Q464" s="19" t="n">
        <f aca="false">IF(N(E465)&gt;0,1,0)</f>
        <v>0</v>
      </c>
      <c r="S464" s="0" t="n">
        <v>33</v>
      </c>
      <c r="T464" s="0" t="n">
        <v>1</v>
      </c>
    </row>
    <row r="465" customFormat="false" ht="25.5" hidden="false" customHeight="true" outlineLevel="0" collapsed="false">
      <c r="A465" s="31" t="str">
        <f aca="false">IF(M453=1,"المدفوع (دينار) ←","")</f>
        <v/>
      </c>
      <c r="B465" s="31"/>
      <c r="C465" s="31"/>
      <c r="D465" s="31"/>
      <c r="E465" s="34"/>
      <c r="F465" s="38" t="str">
        <f aca="false">IF(M453=1,IF(N(E465)&gt;0,"✔ انقبض — الأسبوع مقفول","⏳ لسا ما انقبض"),"")</f>
        <v/>
      </c>
      <c r="G465" s="38"/>
      <c r="H465" s="38"/>
      <c r="I465" s="38"/>
      <c r="M465" s="19" t="n">
        <f aca="false">$M$453</f>
        <v>0</v>
      </c>
      <c r="Q465" s="19" t="n">
        <f aca="false">IF(N(E465)&gt;0,1,0)</f>
        <v>0</v>
      </c>
      <c r="S465" s="0" t="n">
        <v>33</v>
      </c>
    </row>
    <row r="466" customFormat="false" ht="9.75" hidden="false" customHeight="true" outlineLevel="0" collapsed="false">
      <c r="M466" s="19" t="n">
        <f aca="false">$M$453</f>
        <v>0</v>
      </c>
      <c r="Q466" s="19" t="n">
        <f aca="false">IF(N(E465)&gt;0,1,0)</f>
        <v>0</v>
      </c>
      <c r="S466" s="0" t="n">
        <v>33</v>
      </c>
      <c r="T466" s="0" t="n">
        <v>2</v>
      </c>
    </row>
    <row r="467" customFormat="false" ht="33.75" hidden="false" customHeight="true" outlineLevel="0" collapsed="false">
      <c r="A467" s="17" t="str">
        <f aca="false">IF(34&lt;=NW,TEXT(DAY(WEEK_ONE+231),"00")&amp;"/"&amp;TEXT(MONTH(WEEK_ONE+231),"00")&amp;"/"&amp;YEAR(WEEK_ONE+231)&amp;"  -  "&amp;TEXT(DAY(WEEK_ONE+237),"00")&amp;"/"&amp;TEXT(MONTH(WEEK_ONE+237),"00")&amp;"/"&amp;YEAR(WEEK_ONE+237)&amp;"   ·   الأسبوع 34"&amp;IF(34&lt;START_O,"   (قبل أسبوع البداية — ما بينحسب)",""),"ما في أسبوع 34 هالسنة")</f>
        <v>15/08/2026  -  21/08/2026   ·   الأسبوع 34   (قبل أسبوع البداية — ما بينحسب)</v>
      </c>
      <c r="B467" s="17"/>
      <c r="C467" s="17"/>
      <c r="D467" s="17"/>
      <c r="E467" s="17"/>
      <c r="F467" s="17"/>
      <c r="G467" s="17"/>
      <c r="H467" s="17"/>
      <c r="I467" s="17"/>
      <c r="L467" s="18" t="n">
        <f aca="false">IF(34&lt;=NW,WEEK_ONE+237,"")</f>
        <v>46255</v>
      </c>
      <c r="M467" s="19" t="n">
        <f aca="false">IF(AND(34&lt;=NW,34&gt;=START_O),1,0)</f>
        <v>0</v>
      </c>
      <c r="N467" s="20" t="n">
        <f aca="false">IFERROR(INDEX(RT_OMR,MATCH(L467,RT_K,1)),INDEX(RT_OMR,1))</f>
        <v>1.25</v>
      </c>
      <c r="O467" s="20" t="n">
        <f aca="false">IFERROR(INDEX(RT_OT,MATCH(L467,RT_K,1)),INDEX(RT_OT,1))</f>
        <v>1.5</v>
      </c>
      <c r="P467" s="20" t="n">
        <f aca="false">IFERROR(INDEX(RT_GYP,MATCH(L467,RT_K,1)),INDEX(RT_GYP,1))</f>
        <v>2.5</v>
      </c>
      <c r="Q467" s="19" t="n">
        <f aca="false">IF(N(E479)&gt;0,1,0)</f>
        <v>0</v>
      </c>
      <c r="R467" s="0" t="n">
        <v>34</v>
      </c>
      <c r="S467" s="0" t="n">
        <v>34</v>
      </c>
      <c r="U467" s="19" t="n">
        <f aca="false">IF(M467=1,SUM(E469:E475),0)</f>
        <v>0</v>
      </c>
      <c r="V467" s="19" t="n">
        <f aca="false">SUM(H469:H475)</f>
        <v>0</v>
      </c>
    </row>
    <row r="468" customFormat="false" ht="39.75" hidden="false" customHeight="true" outlineLevel="0" collapsed="false">
      <c r="A468" s="21" t="s">
        <v>18</v>
      </c>
      <c r="B468" s="21" t="s">
        <v>19</v>
      </c>
      <c r="C468" s="21" t="s">
        <v>20</v>
      </c>
      <c r="D468" s="21" t="s">
        <v>21</v>
      </c>
      <c r="E468" s="21" t="s">
        <v>22</v>
      </c>
      <c r="F468" s="21" t="s">
        <v>23</v>
      </c>
      <c r="G468" s="21" t="s">
        <v>24</v>
      </c>
      <c r="H468" s="21" t="s">
        <v>25</v>
      </c>
      <c r="I468" s="21" t="s">
        <v>26</v>
      </c>
      <c r="M468" s="19" t="n">
        <f aca="false">$M$467</f>
        <v>0</v>
      </c>
      <c r="Q468" s="19" t="n">
        <f aca="false">IF(N(E479)&gt;0,1,0)</f>
        <v>0</v>
      </c>
      <c r="S468" s="0" t="n">
        <v>34</v>
      </c>
    </row>
    <row r="469" customFormat="false" ht="15" hidden="false" customHeight="false" outlineLevel="0" collapsed="false">
      <c r="A469" s="22" t="n">
        <f aca="false">IF(34&lt;=NW,WEEK_ONE+231,"")</f>
        <v>46249</v>
      </c>
      <c r="B469" s="23" t="str">
        <f aca="false">IF(A469="","",CHOOSE(WEEKDAY(A469,1),"الأحد","الاثنين","الثلاثاء","الأربعاء","الخميس","الجمعة","السبت"))</f>
        <v>السبت</v>
      </c>
      <c r="C469" s="24"/>
      <c r="D469" s="24"/>
      <c r="E469" s="25" t="str">
        <f aca="false">IF(OR(M469=0,K469="",L469=""),"",MOD(L469-K469,1))</f>
        <v/>
      </c>
      <c r="F469" s="25" t="str">
        <f aca="false">IF(OR(E469="",M469=0),"",IF(WEEKDAY(A469,1)=6,E469,MIN(E469,MAX(0,MIN(IF(L469&lt;K469,L469+1,L469),OMR_OT_AT)-K469))))</f>
        <v/>
      </c>
      <c r="G469" s="25" t="str">
        <f aca="false">IF(OR(E469="",M469=0),"",MAX(0,E469-F469))</f>
        <v/>
      </c>
      <c r="H469" s="26" t="str">
        <f aca="false">IF(OR(E469="",M469=0),"",ROUND((F469*$N$467+G469*$O$467)*24,3))</f>
        <v/>
      </c>
      <c r="I469" s="27"/>
      <c r="K469" s="28" t="str">
        <f aca="false">IF(OR(M469=0,C469=""),"",IF(ISNUMBER(C469),MOD(C469,1),IFERROR(INDEX(القوائم!$B$1:$B$288,MATCH(TRIM(C469),القوائم!$A$1:$A$288,0)),IFERROR(MOD(TIMEVALUE(C469),1),""))))</f>
        <v/>
      </c>
      <c r="L469" s="28" t="str">
        <f aca="false">IF(OR(M469=0,D469=""),"",IF(ISNUMBER(D469),MOD(D469,1),IFERROR(INDEX(القوائم!$B$1:$B$288,MATCH(TRIM(D469),القوائم!$A$1:$A$288,0)),IFERROR(MOD(TIMEVALUE(D469),1),""))))</f>
        <v/>
      </c>
      <c r="M469" s="19" t="n">
        <f aca="false">$M$467</f>
        <v>0</v>
      </c>
      <c r="Q469" s="19" t="n">
        <f aca="false">IF(N(E479)&gt;0,1,0)</f>
        <v>0</v>
      </c>
      <c r="S469" s="0" t="n">
        <v>34</v>
      </c>
    </row>
    <row r="470" customFormat="false" ht="15" hidden="false" customHeight="false" outlineLevel="0" collapsed="false">
      <c r="A470" s="22" t="n">
        <f aca="false">IF(34&lt;=NW,WEEK_ONE+232,"")</f>
        <v>46250</v>
      </c>
      <c r="B470" s="23" t="str">
        <f aca="false">IF(A470="","",CHOOSE(WEEKDAY(A470,1),"الأحد","الاثنين","الثلاثاء","الأربعاء","الخميس","الجمعة","السبت"))</f>
        <v>الأحد</v>
      </c>
      <c r="C470" s="24"/>
      <c r="D470" s="24"/>
      <c r="E470" s="25" t="str">
        <f aca="false">IF(OR(M470=0,K470="",L470=""),"",MOD(L470-K470,1))</f>
        <v/>
      </c>
      <c r="F470" s="25" t="str">
        <f aca="false">IF(OR(E470="",M470=0),"",IF(WEEKDAY(A470,1)=6,E470,MIN(E470,MAX(0,MIN(IF(L470&lt;K470,L470+1,L470),OMR_OT_AT)-K470))))</f>
        <v/>
      </c>
      <c r="G470" s="25" t="str">
        <f aca="false">IF(OR(E470="",M470=0),"",MAX(0,E470-F470))</f>
        <v/>
      </c>
      <c r="H470" s="26" t="str">
        <f aca="false">IF(OR(E470="",M470=0),"",ROUND((F470*$N$467+G470*$O$467)*24,3))</f>
        <v/>
      </c>
      <c r="I470" s="27"/>
      <c r="K470" s="28" t="str">
        <f aca="false">IF(OR(M470=0,C470=""),"",IF(ISNUMBER(C470),MOD(C470,1),IFERROR(INDEX(القوائم!$B$1:$B$288,MATCH(TRIM(C470),القوائم!$A$1:$A$288,0)),IFERROR(MOD(TIMEVALUE(C470),1),""))))</f>
        <v/>
      </c>
      <c r="L470" s="28" t="str">
        <f aca="false">IF(OR(M470=0,D470=""),"",IF(ISNUMBER(D470),MOD(D470,1),IFERROR(INDEX(القوائم!$B$1:$B$288,MATCH(TRIM(D470),القوائم!$A$1:$A$288,0)),IFERROR(MOD(TIMEVALUE(D470),1),""))))</f>
        <v/>
      </c>
      <c r="M470" s="19" t="n">
        <f aca="false">$M$467</f>
        <v>0</v>
      </c>
      <c r="Q470" s="19" t="n">
        <f aca="false">IF(N(E479)&gt;0,1,0)</f>
        <v>0</v>
      </c>
      <c r="S470" s="0" t="n">
        <v>34</v>
      </c>
    </row>
    <row r="471" customFormat="false" ht="15" hidden="false" customHeight="false" outlineLevel="0" collapsed="false">
      <c r="A471" s="22" t="n">
        <f aca="false">IF(34&lt;=NW,WEEK_ONE+233,"")</f>
        <v>46251</v>
      </c>
      <c r="B471" s="23" t="str">
        <f aca="false">IF(A471="","",CHOOSE(WEEKDAY(A471,1),"الأحد","الاثنين","الثلاثاء","الأربعاء","الخميس","الجمعة","السبت"))</f>
        <v>الاثنين</v>
      </c>
      <c r="C471" s="24"/>
      <c r="D471" s="24"/>
      <c r="E471" s="25" t="str">
        <f aca="false">IF(OR(M471=0,K471="",L471=""),"",MOD(L471-K471,1))</f>
        <v/>
      </c>
      <c r="F471" s="25" t="str">
        <f aca="false">IF(OR(E471="",M471=0),"",IF(WEEKDAY(A471,1)=6,E471,MIN(E471,MAX(0,MIN(IF(L471&lt;K471,L471+1,L471),OMR_OT_AT)-K471))))</f>
        <v/>
      </c>
      <c r="G471" s="25" t="str">
        <f aca="false">IF(OR(E471="",M471=0),"",MAX(0,E471-F471))</f>
        <v/>
      </c>
      <c r="H471" s="26" t="str">
        <f aca="false">IF(OR(E471="",M471=0),"",ROUND((F471*$N$467+G471*$O$467)*24,3))</f>
        <v/>
      </c>
      <c r="I471" s="27"/>
      <c r="K471" s="28" t="str">
        <f aca="false">IF(OR(M471=0,C471=""),"",IF(ISNUMBER(C471),MOD(C471,1),IFERROR(INDEX(القوائم!$B$1:$B$288,MATCH(TRIM(C471),القوائم!$A$1:$A$288,0)),IFERROR(MOD(TIMEVALUE(C471),1),""))))</f>
        <v/>
      </c>
      <c r="L471" s="28" t="str">
        <f aca="false">IF(OR(M471=0,D471=""),"",IF(ISNUMBER(D471),MOD(D471,1),IFERROR(INDEX(القوائم!$B$1:$B$288,MATCH(TRIM(D471),القوائم!$A$1:$A$288,0)),IFERROR(MOD(TIMEVALUE(D471),1),""))))</f>
        <v/>
      </c>
      <c r="M471" s="19" t="n">
        <f aca="false">$M$467</f>
        <v>0</v>
      </c>
      <c r="Q471" s="19" t="n">
        <f aca="false">IF(N(E479)&gt;0,1,0)</f>
        <v>0</v>
      </c>
      <c r="S471" s="0" t="n">
        <v>34</v>
      </c>
    </row>
    <row r="472" customFormat="false" ht="15" hidden="false" customHeight="false" outlineLevel="0" collapsed="false">
      <c r="A472" s="22" t="n">
        <f aca="false">IF(34&lt;=NW,WEEK_ONE+234,"")</f>
        <v>46252</v>
      </c>
      <c r="B472" s="23" t="str">
        <f aca="false">IF(A472="","",CHOOSE(WEEKDAY(A472,1),"الأحد","الاثنين","الثلاثاء","الأربعاء","الخميس","الجمعة","السبت"))</f>
        <v>الثلاثاء</v>
      </c>
      <c r="C472" s="24"/>
      <c r="D472" s="24"/>
      <c r="E472" s="25" t="str">
        <f aca="false">IF(OR(M472=0,K472="",L472=""),"",MOD(L472-K472,1))</f>
        <v/>
      </c>
      <c r="F472" s="25" t="str">
        <f aca="false">IF(OR(E472="",M472=0),"",IF(WEEKDAY(A472,1)=6,E472,MIN(E472,MAX(0,MIN(IF(L472&lt;K472,L472+1,L472),OMR_OT_AT)-K472))))</f>
        <v/>
      </c>
      <c r="G472" s="25" t="str">
        <f aca="false">IF(OR(E472="",M472=0),"",MAX(0,E472-F472))</f>
        <v/>
      </c>
      <c r="H472" s="26" t="str">
        <f aca="false">IF(OR(E472="",M472=0),"",ROUND((F472*$N$467+G472*$O$467)*24,3))</f>
        <v/>
      </c>
      <c r="I472" s="27"/>
      <c r="K472" s="28" t="str">
        <f aca="false">IF(OR(M472=0,C472=""),"",IF(ISNUMBER(C472),MOD(C472,1),IFERROR(INDEX(القوائم!$B$1:$B$288,MATCH(TRIM(C472),القوائم!$A$1:$A$288,0)),IFERROR(MOD(TIMEVALUE(C472),1),""))))</f>
        <v/>
      </c>
      <c r="L472" s="28" t="str">
        <f aca="false">IF(OR(M472=0,D472=""),"",IF(ISNUMBER(D472),MOD(D472,1),IFERROR(INDEX(القوائم!$B$1:$B$288,MATCH(TRIM(D472),القوائم!$A$1:$A$288,0)),IFERROR(MOD(TIMEVALUE(D472),1),""))))</f>
        <v/>
      </c>
      <c r="M472" s="19" t="n">
        <f aca="false">$M$467</f>
        <v>0</v>
      </c>
      <c r="Q472" s="19" t="n">
        <f aca="false">IF(N(E479)&gt;0,1,0)</f>
        <v>0</v>
      </c>
      <c r="S472" s="0" t="n">
        <v>34</v>
      </c>
    </row>
    <row r="473" customFormat="false" ht="15" hidden="false" customHeight="false" outlineLevel="0" collapsed="false">
      <c r="A473" s="22" t="n">
        <f aca="false">IF(34&lt;=NW,WEEK_ONE+235,"")</f>
        <v>46253</v>
      </c>
      <c r="B473" s="23" t="str">
        <f aca="false">IF(A473="","",CHOOSE(WEEKDAY(A473,1),"الأحد","الاثنين","الثلاثاء","الأربعاء","الخميس","الجمعة","السبت"))</f>
        <v>الأربعاء</v>
      </c>
      <c r="C473" s="24"/>
      <c r="D473" s="24"/>
      <c r="E473" s="25" t="str">
        <f aca="false">IF(OR(M473=0,K473="",L473=""),"",MOD(L473-K473,1))</f>
        <v/>
      </c>
      <c r="F473" s="25" t="str">
        <f aca="false">IF(OR(E473="",M473=0),"",IF(WEEKDAY(A473,1)=6,E473,MIN(E473,MAX(0,MIN(IF(L473&lt;K473,L473+1,L473),OMR_OT_AT)-K473))))</f>
        <v/>
      </c>
      <c r="G473" s="25" t="str">
        <f aca="false">IF(OR(E473="",M473=0),"",MAX(0,E473-F473))</f>
        <v/>
      </c>
      <c r="H473" s="26" t="str">
        <f aca="false">IF(OR(E473="",M473=0),"",ROUND((F473*$N$467+G473*$O$467)*24,3))</f>
        <v/>
      </c>
      <c r="I473" s="27"/>
      <c r="K473" s="28" t="str">
        <f aca="false">IF(OR(M473=0,C473=""),"",IF(ISNUMBER(C473),MOD(C473,1),IFERROR(INDEX(القوائم!$B$1:$B$288,MATCH(TRIM(C473),القوائم!$A$1:$A$288,0)),IFERROR(MOD(TIMEVALUE(C473),1),""))))</f>
        <v/>
      </c>
      <c r="L473" s="28" t="str">
        <f aca="false">IF(OR(M473=0,D473=""),"",IF(ISNUMBER(D473),MOD(D473,1),IFERROR(INDEX(القوائم!$B$1:$B$288,MATCH(TRIM(D473),القوائم!$A$1:$A$288,0)),IFERROR(MOD(TIMEVALUE(D473),1),""))))</f>
        <v/>
      </c>
      <c r="M473" s="19" t="n">
        <f aca="false">$M$467</f>
        <v>0</v>
      </c>
      <c r="Q473" s="19" t="n">
        <f aca="false">IF(N(E479)&gt;0,1,0)</f>
        <v>0</v>
      </c>
      <c r="S473" s="0" t="n">
        <v>34</v>
      </c>
    </row>
    <row r="474" customFormat="false" ht="15" hidden="false" customHeight="false" outlineLevel="0" collapsed="false">
      <c r="A474" s="22" t="n">
        <f aca="false">IF(34&lt;=NW,WEEK_ONE+236,"")</f>
        <v>46254</v>
      </c>
      <c r="B474" s="23" t="str">
        <f aca="false">IF(A474="","",CHOOSE(WEEKDAY(A474,1),"الأحد","الاثنين","الثلاثاء","الأربعاء","الخميس","الجمعة","السبت"))</f>
        <v>الخميس</v>
      </c>
      <c r="C474" s="24"/>
      <c r="D474" s="24"/>
      <c r="E474" s="25" t="str">
        <f aca="false">IF(OR(M474=0,K474="",L474=""),"",MOD(L474-K474,1))</f>
        <v/>
      </c>
      <c r="F474" s="25" t="str">
        <f aca="false">IF(OR(E474="",M474=0),"",IF(WEEKDAY(A474,1)=6,E474,MIN(E474,MAX(0,MIN(IF(L474&lt;K474,L474+1,L474),OMR_OT_AT)-K474))))</f>
        <v/>
      </c>
      <c r="G474" s="25" t="str">
        <f aca="false">IF(OR(E474="",M474=0),"",MAX(0,E474-F474))</f>
        <v/>
      </c>
      <c r="H474" s="26" t="str">
        <f aca="false">IF(OR(E474="",M474=0),"",ROUND((F474*$N$467+G474*$O$467)*24,3))</f>
        <v/>
      </c>
      <c r="I474" s="27"/>
      <c r="K474" s="28" t="str">
        <f aca="false">IF(OR(M474=0,C474=""),"",IF(ISNUMBER(C474),MOD(C474,1),IFERROR(INDEX(القوائم!$B$1:$B$288,MATCH(TRIM(C474),القوائم!$A$1:$A$288,0)),IFERROR(MOD(TIMEVALUE(C474),1),""))))</f>
        <v/>
      </c>
      <c r="L474" s="28" t="str">
        <f aca="false">IF(OR(M474=0,D474=""),"",IF(ISNUMBER(D474),MOD(D474,1),IFERROR(INDEX(القوائم!$B$1:$B$288,MATCH(TRIM(D474),القوائم!$A$1:$A$288,0)),IFERROR(MOD(TIMEVALUE(D474),1),""))))</f>
        <v/>
      </c>
      <c r="M474" s="19" t="n">
        <f aca="false">$M$467</f>
        <v>0</v>
      </c>
      <c r="Q474" s="19" t="n">
        <f aca="false">IF(N(E479)&gt;0,1,0)</f>
        <v>0</v>
      </c>
      <c r="S474" s="0" t="n">
        <v>34</v>
      </c>
    </row>
    <row r="475" customFormat="false" ht="15" hidden="false" customHeight="false" outlineLevel="0" collapsed="false">
      <c r="A475" s="29" t="n">
        <f aca="false">IF(34&lt;=NW,WEEK_ONE+237,"")</f>
        <v>46255</v>
      </c>
      <c r="B475" s="30" t="str">
        <f aca="false">IF(A475="","",CHOOSE(WEEKDAY(A475,1),"الأحد","الاثنين","الثلاثاء","الأربعاء","الخميس","الجمعة","السبت"))</f>
        <v>الجمعة</v>
      </c>
      <c r="C475" s="24"/>
      <c r="D475" s="24"/>
      <c r="E475" s="25" t="str">
        <f aca="false">IF(OR(M475=0,K475="",L475=""),"",MOD(L475-K475,1))</f>
        <v/>
      </c>
      <c r="F475" s="25" t="str">
        <f aca="false">IF(OR(E475="",M475=0),"",IF(WEEKDAY(A475,1)=6,E475,MIN(E475,MAX(0,MIN(IF(L475&lt;K475,L475+1,L475),OMR_OT_AT)-K475))))</f>
        <v/>
      </c>
      <c r="G475" s="25" t="str">
        <f aca="false">IF(OR(E475="",M475=0),"",MAX(0,E475-F475))</f>
        <v/>
      </c>
      <c r="H475" s="26" t="str">
        <f aca="false">IF(OR(E475="",M475=0),"",ROUND((F475*$N$467+G475*$O$467)*24,3))</f>
        <v/>
      </c>
      <c r="I475" s="27"/>
      <c r="K475" s="28" t="str">
        <f aca="false">IF(OR(M475=0,C475=""),"",IF(ISNUMBER(C475),MOD(C475,1),IFERROR(INDEX(القوائم!$B$1:$B$288,MATCH(TRIM(C475),القوائم!$A$1:$A$288,0)),IFERROR(MOD(TIMEVALUE(C475),1),""))))</f>
        <v/>
      </c>
      <c r="L475" s="28" t="str">
        <f aca="false">IF(OR(M475=0,D475=""),"",IF(ISNUMBER(D475),MOD(D475,1),IFERROR(INDEX(القوائم!$B$1:$B$288,MATCH(TRIM(D475),القوائم!$A$1:$A$288,0)),IFERROR(MOD(TIMEVALUE(D475),1),""))))</f>
        <v/>
      </c>
      <c r="M475" s="19" t="n">
        <f aca="false">$M$467</f>
        <v>0</v>
      </c>
      <c r="Q475" s="19" t="n">
        <f aca="false">IF(N(E479)&gt;0,1,0)</f>
        <v>0</v>
      </c>
      <c r="S475" s="0" t="n">
        <v>34</v>
      </c>
    </row>
    <row r="476" customFormat="false" ht="15" hidden="false" customHeight="false" outlineLevel="0" collapsed="false">
      <c r="A476" s="31" t="str">
        <f aca="false">IF(M467=1,"ساعات تحميل الجبسمبورد بهالأسبوع ←","")</f>
        <v/>
      </c>
      <c r="B476" s="31"/>
      <c r="C476" s="31"/>
      <c r="D476" s="31"/>
      <c r="E476" s="32"/>
      <c r="F476" s="33" t="str">
        <f aca="false">IF(M467=1,"كل ساعة تحميل = "&amp;TEXT($P$467,"0.000")&amp;" دينار (منها "&amp;TEXT($N$467,"0.000")&amp;" محسوبة أصلاً بساعات اليوم)","")</f>
        <v/>
      </c>
      <c r="G476" s="33"/>
      <c r="H476" s="33"/>
      <c r="I476" s="33"/>
      <c r="M476" s="19" t="n">
        <f aca="false">$M$467</f>
        <v>0</v>
      </c>
      <c r="Q476" s="19" t="n">
        <f aca="false">IF(N(E479)&gt;0,1,0)</f>
        <v>0</v>
      </c>
      <c r="S476" s="0" t="n">
        <v>34</v>
      </c>
    </row>
    <row r="477" customFormat="false" ht="15" hidden="false" customHeight="false" outlineLevel="0" collapsed="false">
      <c r="A477" s="31" t="str">
        <f aca="false">IF(M467=1,"إكرامية الأسبوع (دينار) ←","")</f>
        <v/>
      </c>
      <c r="B477" s="31"/>
      <c r="C477" s="31"/>
      <c r="D477" s="31"/>
      <c r="E477" s="34"/>
      <c r="F477" s="35"/>
      <c r="G477" s="35"/>
      <c r="H477" s="35"/>
      <c r="I477" s="35"/>
      <c r="M477" s="19" t="n">
        <f aca="false">$M$467</f>
        <v>0</v>
      </c>
      <c r="Q477" s="19" t="n">
        <f aca="false">IF(N(E479)&gt;0,1,0)</f>
        <v>0</v>
      </c>
      <c r="S477" s="0" t="n">
        <v>34</v>
      </c>
    </row>
    <row r="478" customFormat="false" ht="36" hidden="false" customHeight="true" outlineLevel="0" collapsed="false">
      <c r="A478" s="36" t="str">
        <f aca="false">IF(M467=1,"المستحق النهائي للأسبوع","")</f>
        <v/>
      </c>
      <c r="B478" s="36"/>
      <c r="C478" s="36"/>
      <c r="D478" s="36"/>
      <c r="E478" s="36"/>
      <c r="F478" s="36"/>
      <c r="G478" s="36"/>
      <c r="H478" s="11" t="str">
        <f aca="false">IF(M467=1,ROUND(N($V$467)+N(E476)*($P$467-$N$467)+N(E477),3),"")</f>
        <v/>
      </c>
      <c r="I478" s="37"/>
      <c r="M478" s="19" t="n">
        <f aca="false">$M$467</f>
        <v>0</v>
      </c>
      <c r="Q478" s="19" t="n">
        <f aca="false">IF(N(E479)&gt;0,1,0)</f>
        <v>0</v>
      </c>
      <c r="S478" s="0" t="n">
        <v>34</v>
      </c>
      <c r="T478" s="0" t="n">
        <v>1</v>
      </c>
    </row>
    <row r="479" customFormat="false" ht="25.5" hidden="false" customHeight="true" outlineLevel="0" collapsed="false">
      <c r="A479" s="31" t="str">
        <f aca="false">IF(M467=1,"المدفوع (دينار) ←","")</f>
        <v/>
      </c>
      <c r="B479" s="31"/>
      <c r="C479" s="31"/>
      <c r="D479" s="31"/>
      <c r="E479" s="34"/>
      <c r="F479" s="38" t="str">
        <f aca="false">IF(M467=1,IF(N(E479)&gt;0,"✔ انقبض — الأسبوع مقفول","⏳ لسا ما انقبض"),"")</f>
        <v/>
      </c>
      <c r="G479" s="38"/>
      <c r="H479" s="38"/>
      <c r="I479" s="38"/>
      <c r="M479" s="19" t="n">
        <f aca="false">$M$467</f>
        <v>0</v>
      </c>
      <c r="Q479" s="19" t="n">
        <f aca="false">IF(N(E479)&gt;0,1,0)</f>
        <v>0</v>
      </c>
      <c r="S479" s="0" t="n">
        <v>34</v>
      </c>
    </row>
    <row r="480" customFormat="false" ht="9.75" hidden="false" customHeight="true" outlineLevel="0" collapsed="false">
      <c r="M480" s="19" t="n">
        <f aca="false">$M$467</f>
        <v>0</v>
      </c>
      <c r="Q480" s="19" t="n">
        <f aca="false">IF(N(E479)&gt;0,1,0)</f>
        <v>0</v>
      </c>
      <c r="S480" s="0" t="n">
        <v>34</v>
      </c>
      <c r="T480" s="0" t="n">
        <v>2</v>
      </c>
    </row>
    <row r="481" customFormat="false" ht="33.75" hidden="false" customHeight="true" outlineLevel="0" collapsed="false">
      <c r="A481" s="17" t="str">
        <f aca="false">IF(35&lt;=NW,TEXT(DAY(WEEK_ONE+238),"00")&amp;"/"&amp;TEXT(MONTH(WEEK_ONE+238),"00")&amp;"/"&amp;YEAR(WEEK_ONE+238)&amp;"  -  "&amp;TEXT(DAY(WEEK_ONE+244),"00")&amp;"/"&amp;TEXT(MONTH(WEEK_ONE+244),"00")&amp;"/"&amp;YEAR(WEEK_ONE+244)&amp;"   ·   الأسبوع 35"&amp;IF(35&lt;START_O,"   (قبل أسبوع البداية — ما بينحسب)",""),"ما في أسبوع 35 هالسنة")</f>
        <v>22/08/2026  -  28/08/2026   ·   الأسبوع 35   (قبل أسبوع البداية — ما بينحسب)</v>
      </c>
      <c r="B481" s="17"/>
      <c r="C481" s="17"/>
      <c r="D481" s="17"/>
      <c r="E481" s="17"/>
      <c r="F481" s="17"/>
      <c r="G481" s="17"/>
      <c r="H481" s="17"/>
      <c r="I481" s="17"/>
      <c r="L481" s="18" t="n">
        <f aca="false">IF(35&lt;=NW,WEEK_ONE+244,"")</f>
        <v>46262</v>
      </c>
      <c r="M481" s="19" t="n">
        <f aca="false">IF(AND(35&lt;=NW,35&gt;=START_O),1,0)</f>
        <v>0</v>
      </c>
      <c r="N481" s="20" t="n">
        <f aca="false">IFERROR(INDEX(RT_OMR,MATCH(L481,RT_K,1)),INDEX(RT_OMR,1))</f>
        <v>1.25</v>
      </c>
      <c r="O481" s="20" t="n">
        <f aca="false">IFERROR(INDEX(RT_OT,MATCH(L481,RT_K,1)),INDEX(RT_OT,1))</f>
        <v>1.5</v>
      </c>
      <c r="P481" s="20" t="n">
        <f aca="false">IFERROR(INDEX(RT_GYP,MATCH(L481,RT_K,1)),INDEX(RT_GYP,1))</f>
        <v>2.5</v>
      </c>
      <c r="Q481" s="19" t="n">
        <f aca="false">IF(N(E493)&gt;0,1,0)</f>
        <v>0</v>
      </c>
      <c r="R481" s="0" t="n">
        <v>35</v>
      </c>
      <c r="S481" s="0" t="n">
        <v>35</v>
      </c>
      <c r="U481" s="19" t="n">
        <f aca="false">IF(M481=1,SUM(E483:E489),0)</f>
        <v>0</v>
      </c>
      <c r="V481" s="19" t="n">
        <f aca="false">SUM(H483:H489)</f>
        <v>0</v>
      </c>
    </row>
    <row r="482" customFormat="false" ht="39.75" hidden="false" customHeight="true" outlineLevel="0" collapsed="false">
      <c r="A482" s="21" t="s">
        <v>18</v>
      </c>
      <c r="B482" s="21" t="s">
        <v>19</v>
      </c>
      <c r="C482" s="21" t="s">
        <v>20</v>
      </c>
      <c r="D482" s="21" t="s">
        <v>21</v>
      </c>
      <c r="E482" s="21" t="s">
        <v>22</v>
      </c>
      <c r="F482" s="21" t="s">
        <v>23</v>
      </c>
      <c r="G482" s="21" t="s">
        <v>24</v>
      </c>
      <c r="H482" s="21" t="s">
        <v>25</v>
      </c>
      <c r="I482" s="21" t="s">
        <v>26</v>
      </c>
      <c r="M482" s="19" t="n">
        <f aca="false">$M$481</f>
        <v>0</v>
      </c>
      <c r="Q482" s="19" t="n">
        <f aca="false">IF(N(E493)&gt;0,1,0)</f>
        <v>0</v>
      </c>
      <c r="S482" s="0" t="n">
        <v>35</v>
      </c>
    </row>
    <row r="483" customFormat="false" ht="15" hidden="false" customHeight="false" outlineLevel="0" collapsed="false">
      <c r="A483" s="22" t="n">
        <f aca="false">IF(35&lt;=NW,WEEK_ONE+238,"")</f>
        <v>46256</v>
      </c>
      <c r="B483" s="23" t="str">
        <f aca="false">IF(A483="","",CHOOSE(WEEKDAY(A483,1),"الأحد","الاثنين","الثلاثاء","الأربعاء","الخميس","الجمعة","السبت"))</f>
        <v>السبت</v>
      </c>
      <c r="C483" s="24"/>
      <c r="D483" s="24"/>
      <c r="E483" s="25" t="str">
        <f aca="false">IF(OR(M483=0,K483="",L483=""),"",MOD(L483-K483,1))</f>
        <v/>
      </c>
      <c r="F483" s="25" t="str">
        <f aca="false">IF(OR(E483="",M483=0),"",IF(WEEKDAY(A483,1)=6,E483,MIN(E483,MAX(0,MIN(IF(L483&lt;K483,L483+1,L483),OMR_OT_AT)-K483))))</f>
        <v/>
      </c>
      <c r="G483" s="25" t="str">
        <f aca="false">IF(OR(E483="",M483=0),"",MAX(0,E483-F483))</f>
        <v/>
      </c>
      <c r="H483" s="26" t="str">
        <f aca="false">IF(OR(E483="",M483=0),"",ROUND((F483*$N$481+G483*$O$481)*24,3))</f>
        <v/>
      </c>
      <c r="I483" s="27"/>
      <c r="K483" s="28" t="str">
        <f aca="false">IF(OR(M483=0,C483=""),"",IF(ISNUMBER(C483),MOD(C483,1),IFERROR(INDEX(القوائم!$B$1:$B$288,MATCH(TRIM(C483),القوائم!$A$1:$A$288,0)),IFERROR(MOD(TIMEVALUE(C483),1),""))))</f>
        <v/>
      </c>
      <c r="L483" s="28" t="str">
        <f aca="false">IF(OR(M483=0,D483=""),"",IF(ISNUMBER(D483),MOD(D483,1),IFERROR(INDEX(القوائم!$B$1:$B$288,MATCH(TRIM(D483),القوائم!$A$1:$A$288,0)),IFERROR(MOD(TIMEVALUE(D483),1),""))))</f>
        <v/>
      </c>
      <c r="M483" s="19" t="n">
        <f aca="false">$M$481</f>
        <v>0</v>
      </c>
      <c r="Q483" s="19" t="n">
        <f aca="false">IF(N(E493)&gt;0,1,0)</f>
        <v>0</v>
      </c>
      <c r="S483" s="0" t="n">
        <v>35</v>
      </c>
    </row>
    <row r="484" customFormat="false" ht="15" hidden="false" customHeight="false" outlineLevel="0" collapsed="false">
      <c r="A484" s="22" t="n">
        <f aca="false">IF(35&lt;=NW,WEEK_ONE+239,"")</f>
        <v>46257</v>
      </c>
      <c r="B484" s="23" t="str">
        <f aca="false">IF(A484="","",CHOOSE(WEEKDAY(A484,1),"الأحد","الاثنين","الثلاثاء","الأربعاء","الخميس","الجمعة","السبت"))</f>
        <v>الأحد</v>
      </c>
      <c r="C484" s="24"/>
      <c r="D484" s="24"/>
      <c r="E484" s="25" t="str">
        <f aca="false">IF(OR(M484=0,K484="",L484=""),"",MOD(L484-K484,1))</f>
        <v/>
      </c>
      <c r="F484" s="25" t="str">
        <f aca="false">IF(OR(E484="",M484=0),"",IF(WEEKDAY(A484,1)=6,E484,MIN(E484,MAX(0,MIN(IF(L484&lt;K484,L484+1,L484),OMR_OT_AT)-K484))))</f>
        <v/>
      </c>
      <c r="G484" s="25" t="str">
        <f aca="false">IF(OR(E484="",M484=0),"",MAX(0,E484-F484))</f>
        <v/>
      </c>
      <c r="H484" s="26" t="str">
        <f aca="false">IF(OR(E484="",M484=0),"",ROUND((F484*$N$481+G484*$O$481)*24,3))</f>
        <v/>
      </c>
      <c r="I484" s="27"/>
      <c r="K484" s="28" t="str">
        <f aca="false">IF(OR(M484=0,C484=""),"",IF(ISNUMBER(C484),MOD(C484,1),IFERROR(INDEX(القوائم!$B$1:$B$288,MATCH(TRIM(C484),القوائم!$A$1:$A$288,0)),IFERROR(MOD(TIMEVALUE(C484),1),""))))</f>
        <v/>
      </c>
      <c r="L484" s="28" t="str">
        <f aca="false">IF(OR(M484=0,D484=""),"",IF(ISNUMBER(D484),MOD(D484,1),IFERROR(INDEX(القوائم!$B$1:$B$288,MATCH(TRIM(D484),القوائم!$A$1:$A$288,0)),IFERROR(MOD(TIMEVALUE(D484),1),""))))</f>
        <v/>
      </c>
      <c r="M484" s="19" t="n">
        <f aca="false">$M$481</f>
        <v>0</v>
      </c>
      <c r="Q484" s="19" t="n">
        <f aca="false">IF(N(E493)&gt;0,1,0)</f>
        <v>0</v>
      </c>
      <c r="S484" s="0" t="n">
        <v>35</v>
      </c>
    </row>
    <row r="485" customFormat="false" ht="15" hidden="false" customHeight="false" outlineLevel="0" collapsed="false">
      <c r="A485" s="22" t="n">
        <f aca="false">IF(35&lt;=NW,WEEK_ONE+240,"")</f>
        <v>46258</v>
      </c>
      <c r="B485" s="23" t="str">
        <f aca="false">IF(A485="","",CHOOSE(WEEKDAY(A485,1),"الأحد","الاثنين","الثلاثاء","الأربعاء","الخميس","الجمعة","السبت"))</f>
        <v>الاثنين</v>
      </c>
      <c r="C485" s="24"/>
      <c r="D485" s="24"/>
      <c r="E485" s="25" t="str">
        <f aca="false">IF(OR(M485=0,K485="",L485=""),"",MOD(L485-K485,1))</f>
        <v/>
      </c>
      <c r="F485" s="25" t="str">
        <f aca="false">IF(OR(E485="",M485=0),"",IF(WEEKDAY(A485,1)=6,E485,MIN(E485,MAX(0,MIN(IF(L485&lt;K485,L485+1,L485),OMR_OT_AT)-K485))))</f>
        <v/>
      </c>
      <c r="G485" s="25" t="str">
        <f aca="false">IF(OR(E485="",M485=0),"",MAX(0,E485-F485))</f>
        <v/>
      </c>
      <c r="H485" s="26" t="str">
        <f aca="false">IF(OR(E485="",M485=0),"",ROUND((F485*$N$481+G485*$O$481)*24,3))</f>
        <v/>
      </c>
      <c r="I485" s="27"/>
      <c r="K485" s="28" t="str">
        <f aca="false">IF(OR(M485=0,C485=""),"",IF(ISNUMBER(C485),MOD(C485,1),IFERROR(INDEX(القوائم!$B$1:$B$288,MATCH(TRIM(C485),القوائم!$A$1:$A$288,0)),IFERROR(MOD(TIMEVALUE(C485),1),""))))</f>
        <v/>
      </c>
      <c r="L485" s="28" t="str">
        <f aca="false">IF(OR(M485=0,D485=""),"",IF(ISNUMBER(D485),MOD(D485,1),IFERROR(INDEX(القوائم!$B$1:$B$288,MATCH(TRIM(D485),القوائم!$A$1:$A$288,0)),IFERROR(MOD(TIMEVALUE(D485),1),""))))</f>
        <v/>
      </c>
      <c r="M485" s="19" t="n">
        <f aca="false">$M$481</f>
        <v>0</v>
      </c>
      <c r="Q485" s="19" t="n">
        <f aca="false">IF(N(E493)&gt;0,1,0)</f>
        <v>0</v>
      </c>
      <c r="S485" s="0" t="n">
        <v>35</v>
      </c>
    </row>
    <row r="486" customFormat="false" ht="15" hidden="false" customHeight="false" outlineLevel="0" collapsed="false">
      <c r="A486" s="22" t="n">
        <f aca="false">IF(35&lt;=NW,WEEK_ONE+241,"")</f>
        <v>46259</v>
      </c>
      <c r="B486" s="23" t="str">
        <f aca="false">IF(A486="","",CHOOSE(WEEKDAY(A486,1),"الأحد","الاثنين","الثلاثاء","الأربعاء","الخميس","الجمعة","السبت"))</f>
        <v>الثلاثاء</v>
      </c>
      <c r="C486" s="24"/>
      <c r="D486" s="24"/>
      <c r="E486" s="25" t="str">
        <f aca="false">IF(OR(M486=0,K486="",L486=""),"",MOD(L486-K486,1))</f>
        <v/>
      </c>
      <c r="F486" s="25" t="str">
        <f aca="false">IF(OR(E486="",M486=0),"",IF(WEEKDAY(A486,1)=6,E486,MIN(E486,MAX(0,MIN(IF(L486&lt;K486,L486+1,L486),OMR_OT_AT)-K486))))</f>
        <v/>
      </c>
      <c r="G486" s="25" t="str">
        <f aca="false">IF(OR(E486="",M486=0),"",MAX(0,E486-F486))</f>
        <v/>
      </c>
      <c r="H486" s="26" t="str">
        <f aca="false">IF(OR(E486="",M486=0),"",ROUND((F486*$N$481+G486*$O$481)*24,3))</f>
        <v/>
      </c>
      <c r="I486" s="27"/>
      <c r="K486" s="28" t="str">
        <f aca="false">IF(OR(M486=0,C486=""),"",IF(ISNUMBER(C486),MOD(C486,1),IFERROR(INDEX(القوائم!$B$1:$B$288,MATCH(TRIM(C486),القوائم!$A$1:$A$288,0)),IFERROR(MOD(TIMEVALUE(C486),1),""))))</f>
        <v/>
      </c>
      <c r="L486" s="28" t="str">
        <f aca="false">IF(OR(M486=0,D486=""),"",IF(ISNUMBER(D486),MOD(D486,1),IFERROR(INDEX(القوائم!$B$1:$B$288,MATCH(TRIM(D486),القوائم!$A$1:$A$288,0)),IFERROR(MOD(TIMEVALUE(D486),1),""))))</f>
        <v/>
      </c>
      <c r="M486" s="19" t="n">
        <f aca="false">$M$481</f>
        <v>0</v>
      </c>
      <c r="Q486" s="19" t="n">
        <f aca="false">IF(N(E493)&gt;0,1,0)</f>
        <v>0</v>
      </c>
      <c r="S486" s="0" t="n">
        <v>35</v>
      </c>
    </row>
    <row r="487" customFormat="false" ht="15" hidden="false" customHeight="false" outlineLevel="0" collapsed="false">
      <c r="A487" s="22" t="n">
        <f aca="false">IF(35&lt;=NW,WEEK_ONE+242,"")</f>
        <v>46260</v>
      </c>
      <c r="B487" s="23" t="str">
        <f aca="false">IF(A487="","",CHOOSE(WEEKDAY(A487,1),"الأحد","الاثنين","الثلاثاء","الأربعاء","الخميس","الجمعة","السبت"))</f>
        <v>الأربعاء</v>
      </c>
      <c r="C487" s="24"/>
      <c r="D487" s="24"/>
      <c r="E487" s="25" t="str">
        <f aca="false">IF(OR(M487=0,K487="",L487=""),"",MOD(L487-K487,1))</f>
        <v/>
      </c>
      <c r="F487" s="25" t="str">
        <f aca="false">IF(OR(E487="",M487=0),"",IF(WEEKDAY(A487,1)=6,E487,MIN(E487,MAX(0,MIN(IF(L487&lt;K487,L487+1,L487),OMR_OT_AT)-K487))))</f>
        <v/>
      </c>
      <c r="G487" s="25" t="str">
        <f aca="false">IF(OR(E487="",M487=0),"",MAX(0,E487-F487))</f>
        <v/>
      </c>
      <c r="H487" s="26" t="str">
        <f aca="false">IF(OR(E487="",M487=0),"",ROUND((F487*$N$481+G487*$O$481)*24,3))</f>
        <v/>
      </c>
      <c r="I487" s="27"/>
      <c r="K487" s="28" t="str">
        <f aca="false">IF(OR(M487=0,C487=""),"",IF(ISNUMBER(C487),MOD(C487,1),IFERROR(INDEX(القوائم!$B$1:$B$288,MATCH(TRIM(C487),القوائم!$A$1:$A$288,0)),IFERROR(MOD(TIMEVALUE(C487),1),""))))</f>
        <v/>
      </c>
      <c r="L487" s="28" t="str">
        <f aca="false">IF(OR(M487=0,D487=""),"",IF(ISNUMBER(D487),MOD(D487,1),IFERROR(INDEX(القوائم!$B$1:$B$288,MATCH(TRIM(D487),القوائم!$A$1:$A$288,0)),IFERROR(MOD(TIMEVALUE(D487),1),""))))</f>
        <v/>
      </c>
      <c r="M487" s="19" t="n">
        <f aca="false">$M$481</f>
        <v>0</v>
      </c>
      <c r="Q487" s="19" t="n">
        <f aca="false">IF(N(E493)&gt;0,1,0)</f>
        <v>0</v>
      </c>
      <c r="S487" s="0" t="n">
        <v>35</v>
      </c>
    </row>
    <row r="488" customFormat="false" ht="15" hidden="false" customHeight="false" outlineLevel="0" collapsed="false">
      <c r="A488" s="22" t="n">
        <f aca="false">IF(35&lt;=NW,WEEK_ONE+243,"")</f>
        <v>46261</v>
      </c>
      <c r="B488" s="23" t="str">
        <f aca="false">IF(A488="","",CHOOSE(WEEKDAY(A488,1),"الأحد","الاثنين","الثلاثاء","الأربعاء","الخميس","الجمعة","السبت"))</f>
        <v>الخميس</v>
      </c>
      <c r="C488" s="24"/>
      <c r="D488" s="24"/>
      <c r="E488" s="25" t="str">
        <f aca="false">IF(OR(M488=0,K488="",L488=""),"",MOD(L488-K488,1))</f>
        <v/>
      </c>
      <c r="F488" s="25" t="str">
        <f aca="false">IF(OR(E488="",M488=0),"",IF(WEEKDAY(A488,1)=6,E488,MIN(E488,MAX(0,MIN(IF(L488&lt;K488,L488+1,L488),OMR_OT_AT)-K488))))</f>
        <v/>
      </c>
      <c r="G488" s="25" t="str">
        <f aca="false">IF(OR(E488="",M488=0),"",MAX(0,E488-F488))</f>
        <v/>
      </c>
      <c r="H488" s="26" t="str">
        <f aca="false">IF(OR(E488="",M488=0),"",ROUND((F488*$N$481+G488*$O$481)*24,3))</f>
        <v/>
      </c>
      <c r="I488" s="27"/>
      <c r="K488" s="28" t="str">
        <f aca="false">IF(OR(M488=0,C488=""),"",IF(ISNUMBER(C488),MOD(C488,1),IFERROR(INDEX(القوائم!$B$1:$B$288,MATCH(TRIM(C488),القوائم!$A$1:$A$288,0)),IFERROR(MOD(TIMEVALUE(C488),1),""))))</f>
        <v/>
      </c>
      <c r="L488" s="28" t="str">
        <f aca="false">IF(OR(M488=0,D488=""),"",IF(ISNUMBER(D488),MOD(D488,1),IFERROR(INDEX(القوائم!$B$1:$B$288,MATCH(TRIM(D488),القوائم!$A$1:$A$288,0)),IFERROR(MOD(TIMEVALUE(D488),1),""))))</f>
        <v/>
      </c>
      <c r="M488" s="19" t="n">
        <f aca="false">$M$481</f>
        <v>0</v>
      </c>
      <c r="Q488" s="19" t="n">
        <f aca="false">IF(N(E493)&gt;0,1,0)</f>
        <v>0</v>
      </c>
      <c r="S488" s="0" t="n">
        <v>35</v>
      </c>
    </row>
    <row r="489" customFormat="false" ht="15" hidden="false" customHeight="false" outlineLevel="0" collapsed="false">
      <c r="A489" s="29" t="n">
        <f aca="false">IF(35&lt;=NW,WEEK_ONE+244,"")</f>
        <v>46262</v>
      </c>
      <c r="B489" s="30" t="str">
        <f aca="false">IF(A489="","",CHOOSE(WEEKDAY(A489,1),"الأحد","الاثنين","الثلاثاء","الأربعاء","الخميس","الجمعة","السبت"))</f>
        <v>الجمعة</v>
      </c>
      <c r="C489" s="24"/>
      <c r="D489" s="24"/>
      <c r="E489" s="25" t="str">
        <f aca="false">IF(OR(M489=0,K489="",L489=""),"",MOD(L489-K489,1))</f>
        <v/>
      </c>
      <c r="F489" s="25" t="str">
        <f aca="false">IF(OR(E489="",M489=0),"",IF(WEEKDAY(A489,1)=6,E489,MIN(E489,MAX(0,MIN(IF(L489&lt;K489,L489+1,L489),OMR_OT_AT)-K489))))</f>
        <v/>
      </c>
      <c r="G489" s="25" t="str">
        <f aca="false">IF(OR(E489="",M489=0),"",MAX(0,E489-F489))</f>
        <v/>
      </c>
      <c r="H489" s="26" t="str">
        <f aca="false">IF(OR(E489="",M489=0),"",ROUND((F489*$N$481+G489*$O$481)*24,3))</f>
        <v/>
      </c>
      <c r="I489" s="27"/>
      <c r="K489" s="28" t="str">
        <f aca="false">IF(OR(M489=0,C489=""),"",IF(ISNUMBER(C489),MOD(C489,1),IFERROR(INDEX(القوائم!$B$1:$B$288,MATCH(TRIM(C489),القوائم!$A$1:$A$288,0)),IFERROR(MOD(TIMEVALUE(C489),1),""))))</f>
        <v/>
      </c>
      <c r="L489" s="28" t="str">
        <f aca="false">IF(OR(M489=0,D489=""),"",IF(ISNUMBER(D489),MOD(D489,1),IFERROR(INDEX(القوائم!$B$1:$B$288,MATCH(TRIM(D489),القوائم!$A$1:$A$288,0)),IFERROR(MOD(TIMEVALUE(D489),1),""))))</f>
        <v/>
      </c>
      <c r="M489" s="19" t="n">
        <f aca="false">$M$481</f>
        <v>0</v>
      </c>
      <c r="Q489" s="19" t="n">
        <f aca="false">IF(N(E493)&gt;0,1,0)</f>
        <v>0</v>
      </c>
      <c r="S489" s="0" t="n">
        <v>35</v>
      </c>
    </row>
    <row r="490" customFormat="false" ht="15" hidden="false" customHeight="false" outlineLevel="0" collapsed="false">
      <c r="A490" s="31" t="str">
        <f aca="false">IF(M481=1,"ساعات تحميل الجبسمبورد بهالأسبوع ←","")</f>
        <v/>
      </c>
      <c r="B490" s="31"/>
      <c r="C490" s="31"/>
      <c r="D490" s="31"/>
      <c r="E490" s="32"/>
      <c r="F490" s="33" t="str">
        <f aca="false">IF(M481=1,"كل ساعة تحميل = "&amp;TEXT($P$481,"0.000")&amp;" دينار (منها "&amp;TEXT($N$481,"0.000")&amp;" محسوبة أصلاً بساعات اليوم)","")</f>
        <v/>
      </c>
      <c r="G490" s="33"/>
      <c r="H490" s="33"/>
      <c r="I490" s="33"/>
      <c r="M490" s="19" t="n">
        <f aca="false">$M$481</f>
        <v>0</v>
      </c>
      <c r="Q490" s="19" t="n">
        <f aca="false">IF(N(E493)&gt;0,1,0)</f>
        <v>0</v>
      </c>
      <c r="S490" s="0" t="n">
        <v>35</v>
      </c>
    </row>
    <row r="491" customFormat="false" ht="15" hidden="false" customHeight="false" outlineLevel="0" collapsed="false">
      <c r="A491" s="31" t="str">
        <f aca="false">IF(M481=1,"إكرامية الأسبوع (دينار) ←","")</f>
        <v/>
      </c>
      <c r="B491" s="31"/>
      <c r="C491" s="31"/>
      <c r="D491" s="31"/>
      <c r="E491" s="34"/>
      <c r="F491" s="35"/>
      <c r="G491" s="35"/>
      <c r="H491" s="35"/>
      <c r="I491" s="35"/>
      <c r="M491" s="19" t="n">
        <f aca="false">$M$481</f>
        <v>0</v>
      </c>
      <c r="Q491" s="19" t="n">
        <f aca="false">IF(N(E493)&gt;0,1,0)</f>
        <v>0</v>
      </c>
      <c r="S491" s="0" t="n">
        <v>35</v>
      </c>
    </row>
    <row r="492" customFormat="false" ht="36" hidden="false" customHeight="true" outlineLevel="0" collapsed="false">
      <c r="A492" s="36" t="str">
        <f aca="false">IF(M481=1,"المستحق النهائي للأسبوع","")</f>
        <v/>
      </c>
      <c r="B492" s="36"/>
      <c r="C492" s="36"/>
      <c r="D492" s="36"/>
      <c r="E492" s="36"/>
      <c r="F492" s="36"/>
      <c r="G492" s="36"/>
      <c r="H492" s="11" t="str">
        <f aca="false">IF(M481=1,ROUND(N($V$481)+N(E490)*($P$481-$N$481)+N(E491),3),"")</f>
        <v/>
      </c>
      <c r="I492" s="37"/>
      <c r="M492" s="19" t="n">
        <f aca="false">$M$481</f>
        <v>0</v>
      </c>
      <c r="Q492" s="19" t="n">
        <f aca="false">IF(N(E493)&gt;0,1,0)</f>
        <v>0</v>
      </c>
      <c r="S492" s="0" t="n">
        <v>35</v>
      </c>
      <c r="T492" s="0" t="n">
        <v>1</v>
      </c>
    </row>
    <row r="493" customFormat="false" ht="25.5" hidden="false" customHeight="true" outlineLevel="0" collapsed="false">
      <c r="A493" s="31" t="str">
        <f aca="false">IF(M481=1,"المدفوع (دينار) ←","")</f>
        <v/>
      </c>
      <c r="B493" s="31"/>
      <c r="C493" s="31"/>
      <c r="D493" s="31"/>
      <c r="E493" s="34"/>
      <c r="F493" s="38" t="str">
        <f aca="false">IF(M481=1,IF(N(E493)&gt;0,"✔ انقبض — الأسبوع مقفول","⏳ لسا ما انقبض"),"")</f>
        <v/>
      </c>
      <c r="G493" s="38"/>
      <c r="H493" s="38"/>
      <c r="I493" s="38"/>
      <c r="M493" s="19" t="n">
        <f aca="false">$M$481</f>
        <v>0</v>
      </c>
      <c r="Q493" s="19" t="n">
        <f aca="false">IF(N(E493)&gt;0,1,0)</f>
        <v>0</v>
      </c>
      <c r="S493" s="0" t="n">
        <v>35</v>
      </c>
    </row>
    <row r="494" customFormat="false" ht="9.75" hidden="false" customHeight="true" outlineLevel="0" collapsed="false">
      <c r="M494" s="19" t="n">
        <f aca="false">$M$481</f>
        <v>0</v>
      </c>
      <c r="Q494" s="19" t="n">
        <f aca="false">IF(N(E493)&gt;0,1,0)</f>
        <v>0</v>
      </c>
      <c r="S494" s="0" t="n">
        <v>35</v>
      </c>
      <c r="T494" s="0" t="n">
        <v>2</v>
      </c>
    </row>
    <row r="495" customFormat="false" ht="33.75" hidden="false" customHeight="true" outlineLevel="0" collapsed="false">
      <c r="A495" s="17" t="str">
        <f aca="false">IF(36&lt;=NW,TEXT(DAY(WEEK_ONE+245),"00")&amp;"/"&amp;TEXT(MONTH(WEEK_ONE+245),"00")&amp;"/"&amp;YEAR(WEEK_ONE+245)&amp;"  -  "&amp;TEXT(DAY(WEEK_ONE+251),"00")&amp;"/"&amp;TEXT(MONTH(WEEK_ONE+251),"00")&amp;"/"&amp;YEAR(WEEK_ONE+251)&amp;"   ·   الأسبوع 36"&amp;IF(36&lt;START_O,"   (قبل أسبوع البداية — ما بينحسب)",""),"ما في أسبوع 36 هالسنة")</f>
        <v>29/08/2026  -  04/09/2026   ·   الأسبوع 36   (قبل أسبوع البداية — ما بينحسب)</v>
      </c>
      <c r="B495" s="17"/>
      <c r="C495" s="17"/>
      <c r="D495" s="17"/>
      <c r="E495" s="17"/>
      <c r="F495" s="17"/>
      <c r="G495" s="17"/>
      <c r="H495" s="17"/>
      <c r="I495" s="17"/>
      <c r="L495" s="18" t="n">
        <f aca="false">IF(36&lt;=NW,WEEK_ONE+251,"")</f>
        <v>46269</v>
      </c>
      <c r="M495" s="19" t="n">
        <f aca="false">IF(AND(36&lt;=NW,36&gt;=START_O),1,0)</f>
        <v>0</v>
      </c>
      <c r="N495" s="20" t="n">
        <f aca="false">IFERROR(INDEX(RT_OMR,MATCH(L495,RT_K,1)),INDEX(RT_OMR,1))</f>
        <v>1.25</v>
      </c>
      <c r="O495" s="20" t="n">
        <f aca="false">IFERROR(INDEX(RT_OT,MATCH(L495,RT_K,1)),INDEX(RT_OT,1))</f>
        <v>1.5</v>
      </c>
      <c r="P495" s="20" t="n">
        <f aca="false">IFERROR(INDEX(RT_GYP,MATCH(L495,RT_K,1)),INDEX(RT_GYP,1))</f>
        <v>2.5</v>
      </c>
      <c r="Q495" s="19" t="n">
        <f aca="false">IF(N(E507)&gt;0,1,0)</f>
        <v>0</v>
      </c>
      <c r="R495" s="0" t="n">
        <v>36</v>
      </c>
      <c r="S495" s="0" t="n">
        <v>36</v>
      </c>
      <c r="U495" s="19" t="n">
        <f aca="false">IF(M495=1,SUM(E497:E503),0)</f>
        <v>0</v>
      </c>
      <c r="V495" s="19" t="n">
        <f aca="false">SUM(H497:H503)</f>
        <v>0</v>
      </c>
    </row>
    <row r="496" customFormat="false" ht="39.75" hidden="false" customHeight="true" outlineLevel="0" collapsed="false">
      <c r="A496" s="21" t="s">
        <v>18</v>
      </c>
      <c r="B496" s="21" t="s">
        <v>19</v>
      </c>
      <c r="C496" s="21" t="s">
        <v>20</v>
      </c>
      <c r="D496" s="21" t="s">
        <v>21</v>
      </c>
      <c r="E496" s="21" t="s">
        <v>22</v>
      </c>
      <c r="F496" s="21" t="s">
        <v>23</v>
      </c>
      <c r="G496" s="21" t="s">
        <v>24</v>
      </c>
      <c r="H496" s="21" t="s">
        <v>25</v>
      </c>
      <c r="I496" s="21" t="s">
        <v>26</v>
      </c>
      <c r="M496" s="19" t="n">
        <f aca="false">$M$495</f>
        <v>0</v>
      </c>
      <c r="Q496" s="19" t="n">
        <f aca="false">IF(N(E507)&gt;0,1,0)</f>
        <v>0</v>
      </c>
      <c r="S496" s="0" t="n">
        <v>36</v>
      </c>
    </row>
    <row r="497" customFormat="false" ht="15" hidden="false" customHeight="false" outlineLevel="0" collapsed="false">
      <c r="A497" s="22" t="n">
        <f aca="false">IF(36&lt;=NW,WEEK_ONE+245,"")</f>
        <v>46263</v>
      </c>
      <c r="B497" s="23" t="str">
        <f aca="false">IF(A497="","",CHOOSE(WEEKDAY(A497,1),"الأحد","الاثنين","الثلاثاء","الأربعاء","الخميس","الجمعة","السبت"))</f>
        <v>السبت</v>
      </c>
      <c r="C497" s="24"/>
      <c r="D497" s="24"/>
      <c r="E497" s="25" t="str">
        <f aca="false">IF(OR(M497=0,K497="",L497=""),"",MOD(L497-K497,1))</f>
        <v/>
      </c>
      <c r="F497" s="25" t="str">
        <f aca="false">IF(OR(E497="",M497=0),"",IF(WEEKDAY(A497,1)=6,E497,MIN(E497,MAX(0,MIN(IF(L497&lt;K497,L497+1,L497),OMR_OT_AT)-K497))))</f>
        <v/>
      </c>
      <c r="G497" s="25" t="str">
        <f aca="false">IF(OR(E497="",M497=0),"",MAX(0,E497-F497))</f>
        <v/>
      </c>
      <c r="H497" s="26" t="str">
        <f aca="false">IF(OR(E497="",M497=0),"",ROUND((F497*$N$495+G497*$O$495)*24,3))</f>
        <v/>
      </c>
      <c r="I497" s="27"/>
      <c r="K497" s="28" t="str">
        <f aca="false">IF(OR(M497=0,C497=""),"",IF(ISNUMBER(C497),MOD(C497,1),IFERROR(INDEX(القوائم!$B$1:$B$288,MATCH(TRIM(C497),القوائم!$A$1:$A$288,0)),IFERROR(MOD(TIMEVALUE(C497),1),""))))</f>
        <v/>
      </c>
      <c r="L497" s="28" t="str">
        <f aca="false">IF(OR(M497=0,D497=""),"",IF(ISNUMBER(D497),MOD(D497,1),IFERROR(INDEX(القوائم!$B$1:$B$288,MATCH(TRIM(D497),القوائم!$A$1:$A$288,0)),IFERROR(MOD(TIMEVALUE(D497),1),""))))</f>
        <v/>
      </c>
      <c r="M497" s="19" t="n">
        <f aca="false">$M$495</f>
        <v>0</v>
      </c>
      <c r="Q497" s="19" t="n">
        <f aca="false">IF(N(E507)&gt;0,1,0)</f>
        <v>0</v>
      </c>
      <c r="S497" s="0" t="n">
        <v>36</v>
      </c>
    </row>
    <row r="498" customFormat="false" ht="15" hidden="false" customHeight="false" outlineLevel="0" collapsed="false">
      <c r="A498" s="22" t="n">
        <f aca="false">IF(36&lt;=NW,WEEK_ONE+246,"")</f>
        <v>46264</v>
      </c>
      <c r="B498" s="23" t="str">
        <f aca="false">IF(A498="","",CHOOSE(WEEKDAY(A498,1),"الأحد","الاثنين","الثلاثاء","الأربعاء","الخميس","الجمعة","السبت"))</f>
        <v>الأحد</v>
      </c>
      <c r="C498" s="24"/>
      <c r="D498" s="24"/>
      <c r="E498" s="25" t="str">
        <f aca="false">IF(OR(M498=0,K498="",L498=""),"",MOD(L498-K498,1))</f>
        <v/>
      </c>
      <c r="F498" s="25" t="str">
        <f aca="false">IF(OR(E498="",M498=0),"",IF(WEEKDAY(A498,1)=6,E498,MIN(E498,MAX(0,MIN(IF(L498&lt;K498,L498+1,L498),OMR_OT_AT)-K498))))</f>
        <v/>
      </c>
      <c r="G498" s="25" t="str">
        <f aca="false">IF(OR(E498="",M498=0),"",MAX(0,E498-F498))</f>
        <v/>
      </c>
      <c r="H498" s="26" t="str">
        <f aca="false">IF(OR(E498="",M498=0),"",ROUND((F498*$N$495+G498*$O$495)*24,3))</f>
        <v/>
      </c>
      <c r="I498" s="27"/>
      <c r="K498" s="28" t="str">
        <f aca="false">IF(OR(M498=0,C498=""),"",IF(ISNUMBER(C498),MOD(C498,1),IFERROR(INDEX(القوائم!$B$1:$B$288,MATCH(TRIM(C498),القوائم!$A$1:$A$288,0)),IFERROR(MOD(TIMEVALUE(C498),1),""))))</f>
        <v/>
      </c>
      <c r="L498" s="28" t="str">
        <f aca="false">IF(OR(M498=0,D498=""),"",IF(ISNUMBER(D498),MOD(D498,1),IFERROR(INDEX(القوائم!$B$1:$B$288,MATCH(TRIM(D498),القوائم!$A$1:$A$288,0)),IFERROR(MOD(TIMEVALUE(D498),1),""))))</f>
        <v/>
      </c>
      <c r="M498" s="19" t="n">
        <f aca="false">$M$495</f>
        <v>0</v>
      </c>
      <c r="Q498" s="19" t="n">
        <f aca="false">IF(N(E507)&gt;0,1,0)</f>
        <v>0</v>
      </c>
      <c r="S498" s="0" t="n">
        <v>36</v>
      </c>
    </row>
    <row r="499" customFormat="false" ht="15" hidden="false" customHeight="false" outlineLevel="0" collapsed="false">
      <c r="A499" s="22" t="n">
        <f aca="false">IF(36&lt;=NW,WEEK_ONE+247,"")</f>
        <v>46265</v>
      </c>
      <c r="B499" s="23" t="str">
        <f aca="false">IF(A499="","",CHOOSE(WEEKDAY(A499,1),"الأحد","الاثنين","الثلاثاء","الأربعاء","الخميس","الجمعة","السبت"))</f>
        <v>الاثنين</v>
      </c>
      <c r="C499" s="24"/>
      <c r="D499" s="24"/>
      <c r="E499" s="25" t="str">
        <f aca="false">IF(OR(M499=0,K499="",L499=""),"",MOD(L499-K499,1))</f>
        <v/>
      </c>
      <c r="F499" s="25" t="str">
        <f aca="false">IF(OR(E499="",M499=0),"",IF(WEEKDAY(A499,1)=6,E499,MIN(E499,MAX(0,MIN(IF(L499&lt;K499,L499+1,L499),OMR_OT_AT)-K499))))</f>
        <v/>
      </c>
      <c r="G499" s="25" t="str">
        <f aca="false">IF(OR(E499="",M499=0),"",MAX(0,E499-F499))</f>
        <v/>
      </c>
      <c r="H499" s="26" t="str">
        <f aca="false">IF(OR(E499="",M499=0),"",ROUND((F499*$N$495+G499*$O$495)*24,3))</f>
        <v/>
      </c>
      <c r="I499" s="27"/>
      <c r="K499" s="28" t="str">
        <f aca="false">IF(OR(M499=0,C499=""),"",IF(ISNUMBER(C499),MOD(C499,1),IFERROR(INDEX(القوائم!$B$1:$B$288,MATCH(TRIM(C499),القوائم!$A$1:$A$288,0)),IFERROR(MOD(TIMEVALUE(C499),1),""))))</f>
        <v/>
      </c>
      <c r="L499" s="28" t="str">
        <f aca="false">IF(OR(M499=0,D499=""),"",IF(ISNUMBER(D499),MOD(D499,1),IFERROR(INDEX(القوائم!$B$1:$B$288,MATCH(TRIM(D499),القوائم!$A$1:$A$288,0)),IFERROR(MOD(TIMEVALUE(D499),1),""))))</f>
        <v/>
      </c>
      <c r="M499" s="19" t="n">
        <f aca="false">$M$495</f>
        <v>0</v>
      </c>
      <c r="Q499" s="19" t="n">
        <f aca="false">IF(N(E507)&gt;0,1,0)</f>
        <v>0</v>
      </c>
      <c r="S499" s="0" t="n">
        <v>36</v>
      </c>
    </row>
    <row r="500" customFormat="false" ht="15" hidden="false" customHeight="false" outlineLevel="0" collapsed="false">
      <c r="A500" s="22" t="n">
        <f aca="false">IF(36&lt;=NW,WEEK_ONE+248,"")</f>
        <v>46266</v>
      </c>
      <c r="B500" s="23" t="str">
        <f aca="false">IF(A500="","",CHOOSE(WEEKDAY(A500,1),"الأحد","الاثنين","الثلاثاء","الأربعاء","الخميس","الجمعة","السبت"))</f>
        <v>الثلاثاء</v>
      </c>
      <c r="C500" s="24"/>
      <c r="D500" s="24"/>
      <c r="E500" s="25" t="str">
        <f aca="false">IF(OR(M500=0,K500="",L500=""),"",MOD(L500-K500,1))</f>
        <v/>
      </c>
      <c r="F500" s="25" t="str">
        <f aca="false">IF(OR(E500="",M500=0),"",IF(WEEKDAY(A500,1)=6,E500,MIN(E500,MAX(0,MIN(IF(L500&lt;K500,L500+1,L500),OMR_OT_AT)-K500))))</f>
        <v/>
      </c>
      <c r="G500" s="25" t="str">
        <f aca="false">IF(OR(E500="",M500=0),"",MAX(0,E500-F500))</f>
        <v/>
      </c>
      <c r="H500" s="26" t="str">
        <f aca="false">IF(OR(E500="",M500=0),"",ROUND((F500*$N$495+G500*$O$495)*24,3))</f>
        <v/>
      </c>
      <c r="I500" s="27"/>
      <c r="K500" s="28" t="str">
        <f aca="false">IF(OR(M500=0,C500=""),"",IF(ISNUMBER(C500),MOD(C500,1),IFERROR(INDEX(القوائم!$B$1:$B$288,MATCH(TRIM(C500),القوائم!$A$1:$A$288,0)),IFERROR(MOD(TIMEVALUE(C500),1),""))))</f>
        <v/>
      </c>
      <c r="L500" s="28" t="str">
        <f aca="false">IF(OR(M500=0,D500=""),"",IF(ISNUMBER(D500),MOD(D500,1),IFERROR(INDEX(القوائم!$B$1:$B$288,MATCH(TRIM(D500),القوائم!$A$1:$A$288,0)),IFERROR(MOD(TIMEVALUE(D500),1),""))))</f>
        <v/>
      </c>
      <c r="M500" s="19" t="n">
        <f aca="false">$M$495</f>
        <v>0</v>
      </c>
      <c r="Q500" s="19" t="n">
        <f aca="false">IF(N(E507)&gt;0,1,0)</f>
        <v>0</v>
      </c>
      <c r="S500" s="0" t="n">
        <v>36</v>
      </c>
    </row>
    <row r="501" customFormat="false" ht="15" hidden="false" customHeight="false" outlineLevel="0" collapsed="false">
      <c r="A501" s="22" t="n">
        <f aca="false">IF(36&lt;=NW,WEEK_ONE+249,"")</f>
        <v>46267</v>
      </c>
      <c r="B501" s="23" t="str">
        <f aca="false">IF(A501="","",CHOOSE(WEEKDAY(A501,1),"الأحد","الاثنين","الثلاثاء","الأربعاء","الخميس","الجمعة","السبت"))</f>
        <v>الأربعاء</v>
      </c>
      <c r="C501" s="24"/>
      <c r="D501" s="24"/>
      <c r="E501" s="25" t="str">
        <f aca="false">IF(OR(M501=0,K501="",L501=""),"",MOD(L501-K501,1))</f>
        <v/>
      </c>
      <c r="F501" s="25" t="str">
        <f aca="false">IF(OR(E501="",M501=0),"",IF(WEEKDAY(A501,1)=6,E501,MIN(E501,MAX(0,MIN(IF(L501&lt;K501,L501+1,L501),OMR_OT_AT)-K501))))</f>
        <v/>
      </c>
      <c r="G501" s="25" t="str">
        <f aca="false">IF(OR(E501="",M501=0),"",MAX(0,E501-F501))</f>
        <v/>
      </c>
      <c r="H501" s="26" t="str">
        <f aca="false">IF(OR(E501="",M501=0),"",ROUND((F501*$N$495+G501*$O$495)*24,3))</f>
        <v/>
      </c>
      <c r="I501" s="27"/>
      <c r="K501" s="28" t="str">
        <f aca="false">IF(OR(M501=0,C501=""),"",IF(ISNUMBER(C501),MOD(C501,1),IFERROR(INDEX(القوائم!$B$1:$B$288,MATCH(TRIM(C501),القوائم!$A$1:$A$288,0)),IFERROR(MOD(TIMEVALUE(C501),1),""))))</f>
        <v/>
      </c>
      <c r="L501" s="28" t="str">
        <f aca="false">IF(OR(M501=0,D501=""),"",IF(ISNUMBER(D501),MOD(D501,1),IFERROR(INDEX(القوائم!$B$1:$B$288,MATCH(TRIM(D501),القوائم!$A$1:$A$288,0)),IFERROR(MOD(TIMEVALUE(D501),1),""))))</f>
        <v/>
      </c>
      <c r="M501" s="19" t="n">
        <f aca="false">$M$495</f>
        <v>0</v>
      </c>
      <c r="Q501" s="19" t="n">
        <f aca="false">IF(N(E507)&gt;0,1,0)</f>
        <v>0</v>
      </c>
      <c r="S501" s="0" t="n">
        <v>36</v>
      </c>
    </row>
    <row r="502" customFormat="false" ht="15" hidden="false" customHeight="false" outlineLevel="0" collapsed="false">
      <c r="A502" s="22" t="n">
        <f aca="false">IF(36&lt;=NW,WEEK_ONE+250,"")</f>
        <v>46268</v>
      </c>
      <c r="B502" s="23" t="str">
        <f aca="false">IF(A502="","",CHOOSE(WEEKDAY(A502,1),"الأحد","الاثنين","الثلاثاء","الأربعاء","الخميس","الجمعة","السبت"))</f>
        <v>الخميس</v>
      </c>
      <c r="C502" s="24"/>
      <c r="D502" s="24"/>
      <c r="E502" s="25" t="str">
        <f aca="false">IF(OR(M502=0,K502="",L502=""),"",MOD(L502-K502,1))</f>
        <v/>
      </c>
      <c r="F502" s="25" t="str">
        <f aca="false">IF(OR(E502="",M502=0),"",IF(WEEKDAY(A502,1)=6,E502,MIN(E502,MAX(0,MIN(IF(L502&lt;K502,L502+1,L502),OMR_OT_AT)-K502))))</f>
        <v/>
      </c>
      <c r="G502" s="25" t="str">
        <f aca="false">IF(OR(E502="",M502=0),"",MAX(0,E502-F502))</f>
        <v/>
      </c>
      <c r="H502" s="26" t="str">
        <f aca="false">IF(OR(E502="",M502=0),"",ROUND((F502*$N$495+G502*$O$495)*24,3))</f>
        <v/>
      </c>
      <c r="I502" s="27"/>
      <c r="K502" s="28" t="str">
        <f aca="false">IF(OR(M502=0,C502=""),"",IF(ISNUMBER(C502),MOD(C502,1),IFERROR(INDEX(القوائم!$B$1:$B$288,MATCH(TRIM(C502),القوائم!$A$1:$A$288,0)),IFERROR(MOD(TIMEVALUE(C502),1),""))))</f>
        <v/>
      </c>
      <c r="L502" s="28" t="str">
        <f aca="false">IF(OR(M502=0,D502=""),"",IF(ISNUMBER(D502),MOD(D502,1),IFERROR(INDEX(القوائم!$B$1:$B$288,MATCH(TRIM(D502),القوائم!$A$1:$A$288,0)),IFERROR(MOD(TIMEVALUE(D502),1),""))))</f>
        <v/>
      </c>
      <c r="M502" s="19" t="n">
        <f aca="false">$M$495</f>
        <v>0</v>
      </c>
      <c r="Q502" s="19" t="n">
        <f aca="false">IF(N(E507)&gt;0,1,0)</f>
        <v>0</v>
      </c>
      <c r="S502" s="0" t="n">
        <v>36</v>
      </c>
    </row>
    <row r="503" customFormat="false" ht="15" hidden="false" customHeight="false" outlineLevel="0" collapsed="false">
      <c r="A503" s="29" t="n">
        <f aca="false">IF(36&lt;=NW,WEEK_ONE+251,"")</f>
        <v>46269</v>
      </c>
      <c r="B503" s="30" t="str">
        <f aca="false">IF(A503="","",CHOOSE(WEEKDAY(A503,1),"الأحد","الاثنين","الثلاثاء","الأربعاء","الخميس","الجمعة","السبت"))</f>
        <v>الجمعة</v>
      </c>
      <c r="C503" s="24"/>
      <c r="D503" s="24"/>
      <c r="E503" s="25" t="str">
        <f aca="false">IF(OR(M503=0,K503="",L503=""),"",MOD(L503-K503,1))</f>
        <v/>
      </c>
      <c r="F503" s="25" t="str">
        <f aca="false">IF(OR(E503="",M503=0),"",IF(WEEKDAY(A503,1)=6,E503,MIN(E503,MAX(0,MIN(IF(L503&lt;K503,L503+1,L503),OMR_OT_AT)-K503))))</f>
        <v/>
      </c>
      <c r="G503" s="25" t="str">
        <f aca="false">IF(OR(E503="",M503=0),"",MAX(0,E503-F503))</f>
        <v/>
      </c>
      <c r="H503" s="26" t="str">
        <f aca="false">IF(OR(E503="",M503=0),"",ROUND((F503*$N$495+G503*$O$495)*24,3))</f>
        <v/>
      </c>
      <c r="I503" s="27"/>
      <c r="K503" s="28" t="str">
        <f aca="false">IF(OR(M503=0,C503=""),"",IF(ISNUMBER(C503),MOD(C503,1),IFERROR(INDEX(القوائم!$B$1:$B$288,MATCH(TRIM(C503),القوائم!$A$1:$A$288,0)),IFERROR(MOD(TIMEVALUE(C503),1),""))))</f>
        <v/>
      </c>
      <c r="L503" s="28" t="str">
        <f aca="false">IF(OR(M503=0,D503=""),"",IF(ISNUMBER(D503),MOD(D503,1),IFERROR(INDEX(القوائم!$B$1:$B$288,MATCH(TRIM(D503),القوائم!$A$1:$A$288,0)),IFERROR(MOD(TIMEVALUE(D503),1),""))))</f>
        <v/>
      </c>
      <c r="M503" s="19" t="n">
        <f aca="false">$M$495</f>
        <v>0</v>
      </c>
      <c r="Q503" s="19" t="n">
        <f aca="false">IF(N(E507)&gt;0,1,0)</f>
        <v>0</v>
      </c>
      <c r="S503" s="0" t="n">
        <v>36</v>
      </c>
    </row>
    <row r="504" customFormat="false" ht="15" hidden="false" customHeight="false" outlineLevel="0" collapsed="false">
      <c r="A504" s="31" t="str">
        <f aca="false">IF(M495=1,"ساعات تحميل الجبسمبورد بهالأسبوع ←","")</f>
        <v/>
      </c>
      <c r="B504" s="31"/>
      <c r="C504" s="31"/>
      <c r="D504" s="31"/>
      <c r="E504" s="32"/>
      <c r="F504" s="33" t="str">
        <f aca="false">IF(M495=1,"كل ساعة تحميل = "&amp;TEXT($P$495,"0.000")&amp;" دينار (منها "&amp;TEXT($N$495,"0.000")&amp;" محسوبة أصلاً بساعات اليوم)","")</f>
        <v/>
      </c>
      <c r="G504" s="33"/>
      <c r="H504" s="33"/>
      <c r="I504" s="33"/>
      <c r="M504" s="19" t="n">
        <f aca="false">$M$495</f>
        <v>0</v>
      </c>
      <c r="Q504" s="19" t="n">
        <f aca="false">IF(N(E507)&gt;0,1,0)</f>
        <v>0</v>
      </c>
      <c r="S504" s="0" t="n">
        <v>36</v>
      </c>
    </row>
    <row r="505" customFormat="false" ht="15" hidden="false" customHeight="false" outlineLevel="0" collapsed="false">
      <c r="A505" s="31" t="str">
        <f aca="false">IF(M495=1,"إكرامية الأسبوع (دينار) ←","")</f>
        <v/>
      </c>
      <c r="B505" s="31"/>
      <c r="C505" s="31"/>
      <c r="D505" s="31"/>
      <c r="E505" s="34"/>
      <c r="F505" s="35"/>
      <c r="G505" s="35"/>
      <c r="H505" s="35"/>
      <c r="I505" s="35"/>
      <c r="M505" s="19" t="n">
        <f aca="false">$M$495</f>
        <v>0</v>
      </c>
      <c r="Q505" s="19" t="n">
        <f aca="false">IF(N(E507)&gt;0,1,0)</f>
        <v>0</v>
      </c>
      <c r="S505" s="0" t="n">
        <v>36</v>
      </c>
    </row>
    <row r="506" customFormat="false" ht="36" hidden="false" customHeight="true" outlineLevel="0" collapsed="false">
      <c r="A506" s="36" t="str">
        <f aca="false">IF(M495=1,"المستحق النهائي للأسبوع","")</f>
        <v/>
      </c>
      <c r="B506" s="36"/>
      <c r="C506" s="36"/>
      <c r="D506" s="36"/>
      <c r="E506" s="36"/>
      <c r="F506" s="36"/>
      <c r="G506" s="36"/>
      <c r="H506" s="11" t="str">
        <f aca="false">IF(M495=1,ROUND(N($V$495)+N(E504)*($P$495-$N$495)+N(E505),3),"")</f>
        <v/>
      </c>
      <c r="I506" s="37"/>
      <c r="M506" s="19" t="n">
        <f aca="false">$M$495</f>
        <v>0</v>
      </c>
      <c r="Q506" s="19" t="n">
        <f aca="false">IF(N(E507)&gt;0,1,0)</f>
        <v>0</v>
      </c>
      <c r="S506" s="0" t="n">
        <v>36</v>
      </c>
      <c r="T506" s="0" t="n">
        <v>1</v>
      </c>
    </row>
    <row r="507" customFormat="false" ht="25.5" hidden="false" customHeight="true" outlineLevel="0" collapsed="false">
      <c r="A507" s="31" t="str">
        <f aca="false">IF(M495=1,"المدفوع (دينار) ←","")</f>
        <v/>
      </c>
      <c r="B507" s="31"/>
      <c r="C507" s="31"/>
      <c r="D507" s="31"/>
      <c r="E507" s="34"/>
      <c r="F507" s="38" t="str">
        <f aca="false">IF(M495=1,IF(N(E507)&gt;0,"✔ انقبض — الأسبوع مقفول","⏳ لسا ما انقبض"),"")</f>
        <v/>
      </c>
      <c r="G507" s="38"/>
      <c r="H507" s="38"/>
      <c r="I507" s="38"/>
      <c r="M507" s="19" t="n">
        <f aca="false">$M$495</f>
        <v>0</v>
      </c>
      <c r="Q507" s="19" t="n">
        <f aca="false">IF(N(E507)&gt;0,1,0)</f>
        <v>0</v>
      </c>
      <c r="S507" s="0" t="n">
        <v>36</v>
      </c>
    </row>
    <row r="508" customFormat="false" ht="9.75" hidden="false" customHeight="true" outlineLevel="0" collapsed="false">
      <c r="M508" s="19" t="n">
        <f aca="false">$M$495</f>
        <v>0</v>
      </c>
      <c r="Q508" s="19" t="n">
        <f aca="false">IF(N(E507)&gt;0,1,0)</f>
        <v>0</v>
      </c>
      <c r="S508" s="0" t="n">
        <v>36</v>
      </c>
      <c r="T508" s="0" t="n">
        <v>2</v>
      </c>
    </row>
    <row r="509" customFormat="false" ht="33.75" hidden="false" customHeight="true" outlineLevel="0" collapsed="false">
      <c r="A509" s="17" t="str">
        <f aca="false">IF(37&lt;=NW,TEXT(DAY(WEEK_ONE+252),"00")&amp;"/"&amp;TEXT(MONTH(WEEK_ONE+252),"00")&amp;"/"&amp;YEAR(WEEK_ONE+252)&amp;"  -  "&amp;TEXT(DAY(WEEK_ONE+258),"00")&amp;"/"&amp;TEXT(MONTH(WEEK_ONE+258),"00")&amp;"/"&amp;YEAR(WEEK_ONE+258)&amp;"   ·   الأسبوع 37"&amp;IF(37&lt;START_O,"   (قبل أسبوع البداية — ما بينحسب)",""),"ما في أسبوع 37 هالسنة")</f>
        <v>05/09/2026  -  11/09/2026   ·   الأسبوع 37   (قبل أسبوع البداية — ما بينحسب)</v>
      </c>
      <c r="B509" s="17"/>
      <c r="C509" s="17"/>
      <c r="D509" s="17"/>
      <c r="E509" s="17"/>
      <c r="F509" s="17"/>
      <c r="G509" s="17"/>
      <c r="H509" s="17"/>
      <c r="I509" s="17"/>
      <c r="L509" s="18" t="n">
        <f aca="false">IF(37&lt;=NW,WEEK_ONE+258,"")</f>
        <v>46276</v>
      </c>
      <c r="M509" s="19" t="n">
        <f aca="false">IF(AND(37&lt;=NW,37&gt;=START_O),1,0)</f>
        <v>0</v>
      </c>
      <c r="N509" s="20" t="n">
        <f aca="false">IFERROR(INDEX(RT_OMR,MATCH(L509,RT_K,1)),INDEX(RT_OMR,1))</f>
        <v>1.25</v>
      </c>
      <c r="O509" s="20" t="n">
        <f aca="false">IFERROR(INDEX(RT_OT,MATCH(L509,RT_K,1)),INDEX(RT_OT,1))</f>
        <v>1.5</v>
      </c>
      <c r="P509" s="20" t="n">
        <f aca="false">IFERROR(INDEX(RT_GYP,MATCH(L509,RT_K,1)),INDEX(RT_GYP,1))</f>
        <v>2.5</v>
      </c>
      <c r="Q509" s="19" t="n">
        <f aca="false">IF(N(E521)&gt;0,1,0)</f>
        <v>0</v>
      </c>
      <c r="R509" s="0" t="n">
        <v>37</v>
      </c>
      <c r="S509" s="0" t="n">
        <v>37</v>
      </c>
      <c r="U509" s="19" t="n">
        <f aca="false">IF(M509=1,SUM(E511:E517),0)</f>
        <v>0</v>
      </c>
      <c r="V509" s="19" t="n">
        <f aca="false">SUM(H511:H517)</f>
        <v>0</v>
      </c>
    </row>
    <row r="510" customFormat="false" ht="39.75" hidden="false" customHeight="true" outlineLevel="0" collapsed="false">
      <c r="A510" s="21" t="s">
        <v>18</v>
      </c>
      <c r="B510" s="21" t="s">
        <v>19</v>
      </c>
      <c r="C510" s="21" t="s">
        <v>20</v>
      </c>
      <c r="D510" s="21" t="s">
        <v>21</v>
      </c>
      <c r="E510" s="21" t="s">
        <v>22</v>
      </c>
      <c r="F510" s="21" t="s">
        <v>23</v>
      </c>
      <c r="G510" s="21" t="s">
        <v>24</v>
      </c>
      <c r="H510" s="21" t="s">
        <v>25</v>
      </c>
      <c r="I510" s="21" t="s">
        <v>26</v>
      </c>
      <c r="M510" s="19" t="n">
        <f aca="false">$M$509</f>
        <v>0</v>
      </c>
      <c r="Q510" s="19" t="n">
        <f aca="false">IF(N(E521)&gt;0,1,0)</f>
        <v>0</v>
      </c>
      <c r="S510" s="0" t="n">
        <v>37</v>
      </c>
    </row>
    <row r="511" customFormat="false" ht="15" hidden="false" customHeight="false" outlineLevel="0" collapsed="false">
      <c r="A511" s="22" t="n">
        <f aca="false">IF(37&lt;=NW,WEEK_ONE+252,"")</f>
        <v>46270</v>
      </c>
      <c r="B511" s="23" t="str">
        <f aca="false">IF(A511="","",CHOOSE(WEEKDAY(A511,1),"الأحد","الاثنين","الثلاثاء","الأربعاء","الخميس","الجمعة","السبت"))</f>
        <v>السبت</v>
      </c>
      <c r="C511" s="24"/>
      <c r="D511" s="24"/>
      <c r="E511" s="25" t="str">
        <f aca="false">IF(OR(M511=0,K511="",L511=""),"",MOD(L511-K511,1))</f>
        <v/>
      </c>
      <c r="F511" s="25" t="str">
        <f aca="false">IF(OR(E511="",M511=0),"",IF(WEEKDAY(A511,1)=6,E511,MIN(E511,MAX(0,MIN(IF(L511&lt;K511,L511+1,L511),OMR_OT_AT)-K511))))</f>
        <v/>
      </c>
      <c r="G511" s="25" t="str">
        <f aca="false">IF(OR(E511="",M511=0),"",MAX(0,E511-F511))</f>
        <v/>
      </c>
      <c r="H511" s="26" t="str">
        <f aca="false">IF(OR(E511="",M511=0),"",ROUND((F511*$N$509+G511*$O$509)*24,3))</f>
        <v/>
      </c>
      <c r="I511" s="27"/>
      <c r="K511" s="28" t="str">
        <f aca="false">IF(OR(M511=0,C511=""),"",IF(ISNUMBER(C511),MOD(C511,1),IFERROR(INDEX(القوائم!$B$1:$B$288,MATCH(TRIM(C511),القوائم!$A$1:$A$288,0)),IFERROR(MOD(TIMEVALUE(C511),1),""))))</f>
        <v/>
      </c>
      <c r="L511" s="28" t="str">
        <f aca="false">IF(OR(M511=0,D511=""),"",IF(ISNUMBER(D511),MOD(D511,1),IFERROR(INDEX(القوائم!$B$1:$B$288,MATCH(TRIM(D511),القوائم!$A$1:$A$288,0)),IFERROR(MOD(TIMEVALUE(D511),1),""))))</f>
        <v/>
      </c>
      <c r="M511" s="19" t="n">
        <f aca="false">$M$509</f>
        <v>0</v>
      </c>
      <c r="Q511" s="19" t="n">
        <f aca="false">IF(N(E521)&gt;0,1,0)</f>
        <v>0</v>
      </c>
      <c r="S511" s="0" t="n">
        <v>37</v>
      </c>
    </row>
    <row r="512" customFormat="false" ht="15" hidden="false" customHeight="false" outlineLevel="0" collapsed="false">
      <c r="A512" s="22" t="n">
        <f aca="false">IF(37&lt;=NW,WEEK_ONE+253,"")</f>
        <v>46271</v>
      </c>
      <c r="B512" s="23" t="str">
        <f aca="false">IF(A512="","",CHOOSE(WEEKDAY(A512,1),"الأحد","الاثنين","الثلاثاء","الأربعاء","الخميس","الجمعة","السبت"))</f>
        <v>الأحد</v>
      </c>
      <c r="C512" s="24"/>
      <c r="D512" s="24"/>
      <c r="E512" s="25" t="str">
        <f aca="false">IF(OR(M512=0,K512="",L512=""),"",MOD(L512-K512,1))</f>
        <v/>
      </c>
      <c r="F512" s="25" t="str">
        <f aca="false">IF(OR(E512="",M512=0),"",IF(WEEKDAY(A512,1)=6,E512,MIN(E512,MAX(0,MIN(IF(L512&lt;K512,L512+1,L512),OMR_OT_AT)-K512))))</f>
        <v/>
      </c>
      <c r="G512" s="25" t="str">
        <f aca="false">IF(OR(E512="",M512=0),"",MAX(0,E512-F512))</f>
        <v/>
      </c>
      <c r="H512" s="26" t="str">
        <f aca="false">IF(OR(E512="",M512=0),"",ROUND((F512*$N$509+G512*$O$509)*24,3))</f>
        <v/>
      </c>
      <c r="I512" s="27"/>
      <c r="K512" s="28" t="str">
        <f aca="false">IF(OR(M512=0,C512=""),"",IF(ISNUMBER(C512),MOD(C512,1),IFERROR(INDEX(القوائم!$B$1:$B$288,MATCH(TRIM(C512),القوائم!$A$1:$A$288,0)),IFERROR(MOD(TIMEVALUE(C512),1),""))))</f>
        <v/>
      </c>
      <c r="L512" s="28" t="str">
        <f aca="false">IF(OR(M512=0,D512=""),"",IF(ISNUMBER(D512),MOD(D512,1),IFERROR(INDEX(القوائم!$B$1:$B$288,MATCH(TRIM(D512),القوائم!$A$1:$A$288,0)),IFERROR(MOD(TIMEVALUE(D512),1),""))))</f>
        <v/>
      </c>
      <c r="M512" s="19" t="n">
        <f aca="false">$M$509</f>
        <v>0</v>
      </c>
      <c r="Q512" s="19" t="n">
        <f aca="false">IF(N(E521)&gt;0,1,0)</f>
        <v>0</v>
      </c>
      <c r="S512" s="0" t="n">
        <v>37</v>
      </c>
    </row>
    <row r="513" customFormat="false" ht="15" hidden="false" customHeight="false" outlineLevel="0" collapsed="false">
      <c r="A513" s="22" t="n">
        <f aca="false">IF(37&lt;=NW,WEEK_ONE+254,"")</f>
        <v>46272</v>
      </c>
      <c r="B513" s="23" t="str">
        <f aca="false">IF(A513="","",CHOOSE(WEEKDAY(A513,1),"الأحد","الاثنين","الثلاثاء","الأربعاء","الخميس","الجمعة","السبت"))</f>
        <v>الاثنين</v>
      </c>
      <c r="C513" s="24"/>
      <c r="D513" s="24"/>
      <c r="E513" s="25" t="str">
        <f aca="false">IF(OR(M513=0,K513="",L513=""),"",MOD(L513-K513,1))</f>
        <v/>
      </c>
      <c r="F513" s="25" t="str">
        <f aca="false">IF(OR(E513="",M513=0),"",IF(WEEKDAY(A513,1)=6,E513,MIN(E513,MAX(0,MIN(IF(L513&lt;K513,L513+1,L513),OMR_OT_AT)-K513))))</f>
        <v/>
      </c>
      <c r="G513" s="25" t="str">
        <f aca="false">IF(OR(E513="",M513=0),"",MAX(0,E513-F513))</f>
        <v/>
      </c>
      <c r="H513" s="26" t="str">
        <f aca="false">IF(OR(E513="",M513=0),"",ROUND((F513*$N$509+G513*$O$509)*24,3))</f>
        <v/>
      </c>
      <c r="I513" s="27"/>
      <c r="K513" s="28" t="str">
        <f aca="false">IF(OR(M513=0,C513=""),"",IF(ISNUMBER(C513),MOD(C513,1),IFERROR(INDEX(القوائم!$B$1:$B$288,MATCH(TRIM(C513),القوائم!$A$1:$A$288,0)),IFERROR(MOD(TIMEVALUE(C513),1),""))))</f>
        <v/>
      </c>
      <c r="L513" s="28" t="str">
        <f aca="false">IF(OR(M513=0,D513=""),"",IF(ISNUMBER(D513),MOD(D513,1),IFERROR(INDEX(القوائم!$B$1:$B$288,MATCH(TRIM(D513),القوائم!$A$1:$A$288,0)),IFERROR(MOD(TIMEVALUE(D513),1),""))))</f>
        <v/>
      </c>
      <c r="M513" s="19" t="n">
        <f aca="false">$M$509</f>
        <v>0</v>
      </c>
      <c r="Q513" s="19" t="n">
        <f aca="false">IF(N(E521)&gt;0,1,0)</f>
        <v>0</v>
      </c>
      <c r="S513" s="0" t="n">
        <v>37</v>
      </c>
    </row>
    <row r="514" customFormat="false" ht="15" hidden="false" customHeight="false" outlineLevel="0" collapsed="false">
      <c r="A514" s="22" t="n">
        <f aca="false">IF(37&lt;=NW,WEEK_ONE+255,"")</f>
        <v>46273</v>
      </c>
      <c r="B514" s="23" t="str">
        <f aca="false">IF(A514="","",CHOOSE(WEEKDAY(A514,1),"الأحد","الاثنين","الثلاثاء","الأربعاء","الخميس","الجمعة","السبت"))</f>
        <v>الثلاثاء</v>
      </c>
      <c r="C514" s="24"/>
      <c r="D514" s="24"/>
      <c r="E514" s="25" t="str">
        <f aca="false">IF(OR(M514=0,K514="",L514=""),"",MOD(L514-K514,1))</f>
        <v/>
      </c>
      <c r="F514" s="25" t="str">
        <f aca="false">IF(OR(E514="",M514=0),"",IF(WEEKDAY(A514,1)=6,E514,MIN(E514,MAX(0,MIN(IF(L514&lt;K514,L514+1,L514),OMR_OT_AT)-K514))))</f>
        <v/>
      </c>
      <c r="G514" s="25" t="str">
        <f aca="false">IF(OR(E514="",M514=0),"",MAX(0,E514-F514))</f>
        <v/>
      </c>
      <c r="H514" s="26" t="str">
        <f aca="false">IF(OR(E514="",M514=0),"",ROUND((F514*$N$509+G514*$O$509)*24,3))</f>
        <v/>
      </c>
      <c r="I514" s="27"/>
      <c r="K514" s="28" t="str">
        <f aca="false">IF(OR(M514=0,C514=""),"",IF(ISNUMBER(C514),MOD(C514,1),IFERROR(INDEX(القوائم!$B$1:$B$288,MATCH(TRIM(C514),القوائم!$A$1:$A$288,0)),IFERROR(MOD(TIMEVALUE(C514),1),""))))</f>
        <v/>
      </c>
      <c r="L514" s="28" t="str">
        <f aca="false">IF(OR(M514=0,D514=""),"",IF(ISNUMBER(D514),MOD(D514,1),IFERROR(INDEX(القوائم!$B$1:$B$288,MATCH(TRIM(D514),القوائم!$A$1:$A$288,0)),IFERROR(MOD(TIMEVALUE(D514),1),""))))</f>
        <v/>
      </c>
      <c r="M514" s="19" t="n">
        <f aca="false">$M$509</f>
        <v>0</v>
      </c>
      <c r="Q514" s="19" t="n">
        <f aca="false">IF(N(E521)&gt;0,1,0)</f>
        <v>0</v>
      </c>
      <c r="S514" s="0" t="n">
        <v>37</v>
      </c>
    </row>
    <row r="515" customFormat="false" ht="15" hidden="false" customHeight="false" outlineLevel="0" collapsed="false">
      <c r="A515" s="22" t="n">
        <f aca="false">IF(37&lt;=NW,WEEK_ONE+256,"")</f>
        <v>46274</v>
      </c>
      <c r="B515" s="23" t="str">
        <f aca="false">IF(A515="","",CHOOSE(WEEKDAY(A515,1),"الأحد","الاثنين","الثلاثاء","الأربعاء","الخميس","الجمعة","السبت"))</f>
        <v>الأربعاء</v>
      </c>
      <c r="C515" s="24"/>
      <c r="D515" s="24"/>
      <c r="E515" s="25" t="str">
        <f aca="false">IF(OR(M515=0,K515="",L515=""),"",MOD(L515-K515,1))</f>
        <v/>
      </c>
      <c r="F515" s="25" t="str">
        <f aca="false">IF(OR(E515="",M515=0),"",IF(WEEKDAY(A515,1)=6,E515,MIN(E515,MAX(0,MIN(IF(L515&lt;K515,L515+1,L515),OMR_OT_AT)-K515))))</f>
        <v/>
      </c>
      <c r="G515" s="25" t="str">
        <f aca="false">IF(OR(E515="",M515=0),"",MAX(0,E515-F515))</f>
        <v/>
      </c>
      <c r="H515" s="26" t="str">
        <f aca="false">IF(OR(E515="",M515=0),"",ROUND((F515*$N$509+G515*$O$509)*24,3))</f>
        <v/>
      </c>
      <c r="I515" s="27"/>
      <c r="K515" s="28" t="str">
        <f aca="false">IF(OR(M515=0,C515=""),"",IF(ISNUMBER(C515),MOD(C515,1),IFERROR(INDEX(القوائم!$B$1:$B$288,MATCH(TRIM(C515),القوائم!$A$1:$A$288,0)),IFERROR(MOD(TIMEVALUE(C515),1),""))))</f>
        <v/>
      </c>
      <c r="L515" s="28" t="str">
        <f aca="false">IF(OR(M515=0,D515=""),"",IF(ISNUMBER(D515),MOD(D515,1),IFERROR(INDEX(القوائم!$B$1:$B$288,MATCH(TRIM(D515),القوائم!$A$1:$A$288,0)),IFERROR(MOD(TIMEVALUE(D515),1),""))))</f>
        <v/>
      </c>
      <c r="M515" s="19" t="n">
        <f aca="false">$M$509</f>
        <v>0</v>
      </c>
      <c r="Q515" s="19" t="n">
        <f aca="false">IF(N(E521)&gt;0,1,0)</f>
        <v>0</v>
      </c>
      <c r="S515" s="0" t="n">
        <v>37</v>
      </c>
    </row>
    <row r="516" customFormat="false" ht="15" hidden="false" customHeight="false" outlineLevel="0" collapsed="false">
      <c r="A516" s="22" t="n">
        <f aca="false">IF(37&lt;=NW,WEEK_ONE+257,"")</f>
        <v>46275</v>
      </c>
      <c r="B516" s="23" t="str">
        <f aca="false">IF(A516="","",CHOOSE(WEEKDAY(A516,1),"الأحد","الاثنين","الثلاثاء","الأربعاء","الخميس","الجمعة","السبت"))</f>
        <v>الخميس</v>
      </c>
      <c r="C516" s="24"/>
      <c r="D516" s="24"/>
      <c r="E516" s="25" t="str">
        <f aca="false">IF(OR(M516=0,K516="",L516=""),"",MOD(L516-K516,1))</f>
        <v/>
      </c>
      <c r="F516" s="25" t="str">
        <f aca="false">IF(OR(E516="",M516=0),"",IF(WEEKDAY(A516,1)=6,E516,MIN(E516,MAX(0,MIN(IF(L516&lt;K516,L516+1,L516),OMR_OT_AT)-K516))))</f>
        <v/>
      </c>
      <c r="G516" s="25" t="str">
        <f aca="false">IF(OR(E516="",M516=0),"",MAX(0,E516-F516))</f>
        <v/>
      </c>
      <c r="H516" s="26" t="str">
        <f aca="false">IF(OR(E516="",M516=0),"",ROUND((F516*$N$509+G516*$O$509)*24,3))</f>
        <v/>
      </c>
      <c r="I516" s="27"/>
      <c r="K516" s="28" t="str">
        <f aca="false">IF(OR(M516=0,C516=""),"",IF(ISNUMBER(C516),MOD(C516,1),IFERROR(INDEX(القوائم!$B$1:$B$288,MATCH(TRIM(C516),القوائم!$A$1:$A$288,0)),IFERROR(MOD(TIMEVALUE(C516),1),""))))</f>
        <v/>
      </c>
      <c r="L516" s="28" t="str">
        <f aca="false">IF(OR(M516=0,D516=""),"",IF(ISNUMBER(D516),MOD(D516,1),IFERROR(INDEX(القوائم!$B$1:$B$288,MATCH(TRIM(D516),القوائم!$A$1:$A$288,0)),IFERROR(MOD(TIMEVALUE(D516),1),""))))</f>
        <v/>
      </c>
      <c r="M516" s="19" t="n">
        <f aca="false">$M$509</f>
        <v>0</v>
      </c>
      <c r="Q516" s="19" t="n">
        <f aca="false">IF(N(E521)&gt;0,1,0)</f>
        <v>0</v>
      </c>
      <c r="S516" s="0" t="n">
        <v>37</v>
      </c>
    </row>
    <row r="517" customFormat="false" ht="15" hidden="false" customHeight="false" outlineLevel="0" collapsed="false">
      <c r="A517" s="29" t="n">
        <f aca="false">IF(37&lt;=NW,WEEK_ONE+258,"")</f>
        <v>46276</v>
      </c>
      <c r="B517" s="30" t="str">
        <f aca="false">IF(A517="","",CHOOSE(WEEKDAY(A517,1),"الأحد","الاثنين","الثلاثاء","الأربعاء","الخميس","الجمعة","السبت"))</f>
        <v>الجمعة</v>
      </c>
      <c r="C517" s="24"/>
      <c r="D517" s="24"/>
      <c r="E517" s="25" t="str">
        <f aca="false">IF(OR(M517=0,K517="",L517=""),"",MOD(L517-K517,1))</f>
        <v/>
      </c>
      <c r="F517" s="25" t="str">
        <f aca="false">IF(OR(E517="",M517=0),"",IF(WEEKDAY(A517,1)=6,E517,MIN(E517,MAX(0,MIN(IF(L517&lt;K517,L517+1,L517),OMR_OT_AT)-K517))))</f>
        <v/>
      </c>
      <c r="G517" s="25" t="str">
        <f aca="false">IF(OR(E517="",M517=0),"",MAX(0,E517-F517))</f>
        <v/>
      </c>
      <c r="H517" s="26" t="str">
        <f aca="false">IF(OR(E517="",M517=0),"",ROUND((F517*$N$509+G517*$O$509)*24,3))</f>
        <v/>
      </c>
      <c r="I517" s="27"/>
      <c r="K517" s="28" t="str">
        <f aca="false">IF(OR(M517=0,C517=""),"",IF(ISNUMBER(C517),MOD(C517,1),IFERROR(INDEX(القوائم!$B$1:$B$288,MATCH(TRIM(C517),القوائم!$A$1:$A$288,0)),IFERROR(MOD(TIMEVALUE(C517),1),""))))</f>
        <v/>
      </c>
      <c r="L517" s="28" t="str">
        <f aca="false">IF(OR(M517=0,D517=""),"",IF(ISNUMBER(D517),MOD(D517,1),IFERROR(INDEX(القوائم!$B$1:$B$288,MATCH(TRIM(D517),القوائم!$A$1:$A$288,0)),IFERROR(MOD(TIMEVALUE(D517),1),""))))</f>
        <v/>
      </c>
      <c r="M517" s="19" t="n">
        <f aca="false">$M$509</f>
        <v>0</v>
      </c>
      <c r="Q517" s="19" t="n">
        <f aca="false">IF(N(E521)&gt;0,1,0)</f>
        <v>0</v>
      </c>
      <c r="S517" s="0" t="n">
        <v>37</v>
      </c>
    </row>
    <row r="518" customFormat="false" ht="15" hidden="false" customHeight="false" outlineLevel="0" collapsed="false">
      <c r="A518" s="31" t="str">
        <f aca="false">IF(M509=1,"ساعات تحميل الجبسمبورد بهالأسبوع ←","")</f>
        <v/>
      </c>
      <c r="B518" s="31"/>
      <c r="C518" s="31"/>
      <c r="D518" s="31"/>
      <c r="E518" s="32"/>
      <c r="F518" s="33" t="str">
        <f aca="false">IF(M509=1,"كل ساعة تحميل = "&amp;TEXT($P$509,"0.000")&amp;" دينار (منها "&amp;TEXT($N$509,"0.000")&amp;" محسوبة أصلاً بساعات اليوم)","")</f>
        <v/>
      </c>
      <c r="G518" s="33"/>
      <c r="H518" s="33"/>
      <c r="I518" s="33"/>
      <c r="M518" s="19" t="n">
        <f aca="false">$M$509</f>
        <v>0</v>
      </c>
      <c r="Q518" s="19" t="n">
        <f aca="false">IF(N(E521)&gt;0,1,0)</f>
        <v>0</v>
      </c>
      <c r="S518" s="0" t="n">
        <v>37</v>
      </c>
    </row>
    <row r="519" customFormat="false" ht="15" hidden="false" customHeight="false" outlineLevel="0" collapsed="false">
      <c r="A519" s="31" t="str">
        <f aca="false">IF(M509=1,"إكرامية الأسبوع (دينار) ←","")</f>
        <v/>
      </c>
      <c r="B519" s="31"/>
      <c r="C519" s="31"/>
      <c r="D519" s="31"/>
      <c r="E519" s="34"/>
      <c r="F519" s="35"/>
      <c r="G519" s="35"/>
      <c r="H519" s="35"/>
      <c r="I519" s="35"/>
      <c r="M519" s="19" t="n">
        <f aca="false">$M$509</f>
        <v>0</v>
      </c>
      <c r="Q519" s="19" t="n">
        <f aca="false">IF(N(E521)&gt;0,1,0)</f>
        <v>0</v>
      </c>
      <c r="S519" s="0" t="n">
        <v>37</v>
      </c>
    </row>
    <row r="520" customFormat="false" ht="36" hidden="false" customHeight="true" outlineLevel="0" collapsed="false">
      <c r="A520" s="36" t="str">
        <f aca="false">IF(M509=1,"المستحق النهائي للأسبوع","")</f>
        <v/>
      </c>
      <c r="B520" s="36"/>
      <c r="C520" s="36"/>
      <c r="D520" s="36"/>
      <c r="E520" s="36"/>
      <c r="F520" s="36"/>
      <c r="G520" s="36"/>
      <c r="H520" s="11" t="str">
        <f aca="false">IF(M509=1,ROUND(N($V$509)+N(E518)*($P$509-$N$509)+N(E519),3),"")</f>
        <v/>
      </c>
      <c r="I520" s="37"/>
      <c r="M520" s="19" t="n">
        <f aca="false">$M$509</f>
        <v>0</v>
      </c>
      <c r="Q520" s="19" t="n">
        <f aca="false">IF(N(E521)&gt;0,1,0)</f>
        <v>0</v>
      </c>
      <c r="S520" s="0" t="n">
        <v>37</v>
      </c>
      <c r="T520" s="0" t="n">
        <v>1</v>
      </c>
    </row>
    <row r="521" customFormat="false" ht="25.5" hidden="false" customHeight="true" outlineLevel="0" collapsed="false">
      <c r="A521" s="31" t="str">
        <f aca="false">IF(M509=1,"المدفوع (دينار) ←","")</f>
        <v/>
      </c>
      <c r="B521" s="31"/>
      <c r="C521" s="31"/>
      <c r="D521" s="31"/>
      <c r="E521" s="34"/>
      <c r="F521" s="38" t="str">
        <f aca="false">IF(M509=1,IF(N(E521)&gt;0,"✔ انقبض — الأسبوع مقفول","⏳ لسا ما انقبض"),"")</f>
        <v/>
      </c>
      <c r="G521" s="38"/>
      <c r="H521" s="38"/>
      <c r="I521" s="38"/>
      <c r="M521" s="19" t="n">
        <f aca="false">$M$509</f>
        <v>0</v>
      </c>
      <c r="Q521" s="19" t="n">
        <f aca="false">IF(N(E521)&gt;0,1,0)</f>
        <v>0</v>
      </c>
      <c r="S521" s="0" t="n">
        <v>37</v>
      </c>
    </row>
    <row r="522" customFormat="false" ht="9.75" hidden="false" customHeight="true" outlineLevel="0" collapsed="false">
      <c r="M522" s="19" t="n">
        <f aca="false">$M$509</f>
        <v>0</v>
      </c>
      <c r="Q522" s="19" t="n">
        <f aca="false">IF(N(E521)&gt;0,1,0)</f>
        <v>0</v>
      </c>
      <c r="S522" s="0" t="n">
        <v>37</v>
      </c>
      <c r="T522" s="0" t="n">
        <v>2</v>
      </c>
    </row>
    <row r="523" customFormat="false" ht="33.75" hidden="false" customHeight="true" outlineLevel="0" collapsed="false">
      <c r="A523" s="17" t="str">
        <f aca="false">IF(38&lt;=NW,TEXT(DAY(WEEK_ONE+259),"00")&amp;"/"&amp;TEXT(MONTH(WEEK_ONE+259),"00")&amp;"/"&amp;YEAR(WEEK_ONE+259)&amp;"  -  "&amp;TEXT(DAY(WEEK_ONE+265),"00")&amp;"/"&amp;TEXT(MONTH(WEEK_ONE+265),"00")&amp;"/"&amp;YEAR(WEEK_ONE+265)&amp;"   ·   الأسبوع 38"&amp;IF(38&lt;START_O,"   (قبل أسبوع البداية — ما بينحسب)",""),"ما في أسبوع 38 هالسنة")</f>
        <v>12/09/2026  -  18/09/2026   ·   الأسبوع 38   (قبل أسبوع البداية — ما بينحسب)</v>
      </c>
      <c r="B523" s="17"/>
      <c r="C523" s="17"/>
      <c r="D523" s="17"/>
      <c r="E523" s="17"/>
      <c r="F523" s="17"/>
      <c r="G523" s="17"/>
      <c r="H523" s="17"/>
      <c r="I523" s="17"/>
      <c r="L523" s="18" t="n">
        <f aca="false">IF(38&lt;=NW,WEEK_ONE+265,"")</f>
        <v>46283</v>
      </c>
      <c r="M523" s="19" t="n">
        <f aca="false">IF(AND(38&lt;=NW,38&gt;=START_O),1,0)</f>
        <v>0</v>
      </c>
      <c r="N523" s="20" t="n">
        <f aca="false">IFERROR(INDEX(RT_OMR,MATCH(L523,RT_K,1)),INDEX(RT_OMR,1))</f>
        <v>1.25</v>
      </c>
      <c r="O523" s="20" t="n">
        <f aca="false">IFERROR(INDEX(RT_OT,MATCH(L523,RT_K,1)),INDEX(RT_OT,1))</f>
        <v>1.5</v>
      </c>
      <c r="P523" s="20" t="n">
        <f aca="false">IFERROR(INDEX(RT_GYP,MATCH(L523,RT_K,1)),INDEX(RT_GYP,1))</f>
        <v>2.5</v>
      </c>
      <c r="Q523" s="19" t="n">
        <f aca="false">IF(N(E535)&gt;0,1,0)</f>
        <v>0</v>
      </c>
      <c r="R523" s="0" t="n">
        <v>38</v>
      </c>
      <c r="S523" s="0" t="n">
        <v>38</v>
      </c>
      <c r="U523" s="19" t="n">
        <f aca="false">IF(M523=1,SUM(E525:E531),0)</f>
        <v>0</v>
      </c>
      <c r="V523" s="19" t="n">
        <f aca="false">SUM(H525:H531)</f>
        <v>0</v>
      </c>
    </row>
    <row r="524" customFormat="false" ht="39.75" hidden="false" customHeight="true" outlineLevel="0" collapsed="false">
      <c r="A524" s="21" t="s">
        <v>18</v>
      </c>
      <c r="B524" s="21" t="s">
        <v>19</v>
      </c>
      <c r="C524" s="21" t="s">
        <v>20</v>
      </c>
      <c r="D524" s="21" t="s">
        <v>21</v>
      </c>
      <c r="E524" s="21" t="s">
        <v>22</v>
      </c>
      <c r="F524" s="21" t="s">
        <v>23</v>
      </c>
      <c r="G524" s="21" t="s">
        <v>24</v>
      </c>
      <c r="H524" s="21" t="s">
        <v>25</v>
      </c>
      <c r="I524" s="21" t="s">
        <v>26</v>
      </c>
      <c r="M524" s="19" t="n">
        <f aca="false">$M$523</f>
        <v>0</v>
      </c>
      <c r="Q524" s="19" t="n">
        <f aca="false">IF(N(E535)&gt;0,1,0)</f>
        <v>0</v>
      </c>
      <c r="S524" s="0" t="n">
        <v>38</v>
      </c>
    </row>
    <row r="525" customFormat="false" ht="15" hidden="false" customHeight="false" outlineLevel="0" collapsed="false">
      <c r="A525" s="22" t="n">
        <f aca="false">IF(38&lt;=NW,WEEK_ONE+259,"")</f>
        <v>46277</v>
      </c>
      <c r="B525" s="23" t="str">
        <f aca="false">IF(A525="","",CHOOSE(WEEKDAY(A525,1),"الأحد","الاثنين","الثلاثاء","الأربعاء","الخميس","الجمعة","السبت"))</f>
        <v>السبت</v>
      </c>
      <c r="C525" s="24"/>
      <c r="D525" s="24"/>
      <c r="E525" s="25" t="str">
        <f aca="false">IF(OR(M525=0,K525="",L525=""),"",MOD(L525-K525,1))</f>
        <v/>
      </c>
      <c r="F525" s="25" t="str">
        <f aca="false">IF(OR(E525="",M525=0),"",IF(WEEKDAY(A525,1)=6,E525,MIN(E525,MAX(0,MIN(IF(L525&lt;K525,L525+1,L525),OMR_OT_AT)-K525))))</f>
        <v/>
      </c>
      <c r="G525" s="25" t="str">
        <f aca="false">IF(OR(E525="",M525=0),"",MAX(0,E525-F525))</f>
        <v/>
      </c>
      <c r="H525" s="26" t="str">
        <f aca="false">IF(OR(E525="",M525=0),"",ROUND((F525*$N$523+G525*$O$523)*24,3))</f>
        <v/>
      </c>
      <c r="I525" s="27"/>
      <c r="K525" s="28" t="str">
        <f aca="false">IF(OR(M525=0,C525=""),"",IF(ISNUMBER(C525),MOD(C525,1),IFERROR(INDEX(القوائم!$B$1:$B$288,MATCH(TRIM(C525),القوائم!$A$1:$A$288,0)),IFERROR(MOD(TIMEVALUE(C525),1),""))))</f>
        <v/>
      </c>
      <c r="L525" s="28" t="str">
        <f aca="false">IF(OR(M525=0,D525=""),"",IF(ISNUMBER(D525),MOD(D525,1),IFERROR(INDEX(القوائم!$B$1:$B$288,MATCH(TRIM(D525),القوائم!$A$1:$A$288,0)),IFERROR(MOD(TIMEVALUE(D525),1),""))))</f>
        <v/>
      </c>
      <c r="M525" s="19" t="n">
        <f aca="false">$M$523</f>
        <v>0</v>
      </c>
      <c r="Q525" s="19" t="n">
        <f aca="false">IF(N(E535)&gt;0,1,0)</f>
        <v>0</v>
      </c>
      <c r="S525" s="0" t="n">
        <v>38</v>
      </c>
    </row>
    <row r="526" customFormat="false" ht="15" hidden="false" customHeight="false" outlineLevel="0" collapsed="false">
      <c r="A526" s="22" t="n">
        <f aca="false">IF(38&lt;=NW,WEEK_ONE+260,"")</f>
        <v>46278</v>
      </c>
      <c r="B526" s="23" t="str">
        <f aca="false">IF(A526="","",CHOOSE(WEEKDAY(A526,1),"الأحد","الاثنين","الثلاثاء","الأربعاء","الخميس","الجمعة","السبت"))</f>
        <v>الأحد</v>
      </c>
      <c r="C526" s="24"/>
      <c r="D526" s="24"/>
      <c r="E526" s="25" t="str">
        <f aca="false">IF(OR(M526=0,K526="",L526=""),"",MOD(L526-K526,1))</f>
        <v/>
      </c>
      <c r="F526" s="25" t="str">
        <f aca="false">IF(OR(E526="",M526=0),"",IF(WEEKDAY(A526,1)=6,E526,MIN(E526,MAX(0,MIN(IF(L526&lt;K526,L526+1,L526),OMR_OT_AT)-K526))))</f>
        <v/>
      </c>
      <c r="G526" s="25" t="str">
        <f aca="false">IF(OR(E526="",M526=0),"",MAX(0,E526-F526))</f>
        <v/>
      </c>
      <c r="H526" s="26" t="str">
        <f aca="false">IF(OR(E526="",M526=0),"",ROUND((F526*$N$523+G526*$O$523)*24,3))</f>
        <v/>
      </c>
      <c r="I526" s="27"/>
      <c r="K526" s="28" t="str">
        <f aca="false">IF(OR(M526=0,C526=""),"",IF(ISNUMBER(C526),MOD(C526,1),IFERROR(INDEX(القوائم!$B$1:$B$288,MATCH(TRIM(C526),القوائم!$A$1:$A$288,0)),IFERROR(MOD(TIMEVALUE(C526),1),""))))</f>
        <v/>
      </c>
      <c r="L526" s="28" t="str">
        <f aca="false">IF(OR(M526=0,D526=""),"",IF(ISNUMBER(D526),MOD(D526,1),IFERROR(INDEX(القوائم!$B$1:$B$288,MATCH(TRIM(D526),القوائم!$A$1:$A$288,0)),IFERROR(MOD(TIMEVALUE(D526),1),""))))</f>
        <v/>
      </c>
      <c r="M526" s="19" t="n">
        <f aca="false">$M$523</f>
        <v>0</v>
      </c>
      <c r="Q526" s="19" t="n">
        <f aca="false">IF(N(E535)&gt;0,1,0)</f>
        <v>0</v>
      </c>
      <c r="S526" s="0" t="n">
        <v>38</v>
      </c>
    </row>
    <row r="527" customFormat="false" ht="15" hidden="false" customHeight="false" outlineLevel="0" collapsed="false">
      <c r="A527" s="22" t="n">
        <f aca="false">IF(38&lt;=NW,WEEK_ONE+261,"")</f>
        <v>46279</v>
      </c>
      <c r="B527" s="23" t="str">
        <f aca="false">IF(A527="","",CHOOSE(WEEKDAY(A527,1),"الأحد","الاثنين","الثلاثاء","الأربعاء","الخميس","الجمعة","السبت"))</f>
        <v>الاثنين</v>
      </c>
      <c r="C527" s="24"/>
      <c r="D527" s="24"/>
      <c r="E527" s="25" t="str">
        <f aca="false">IF(OR(M527=0,K527="",L527=""),"",MOD(L527-K527,1))</f>
        <v/>
      </c>
      <c r="F527" s="25" t="str">
        <f aca="false">IF(OR(E527="",M527=0),"",IF(WEEKDAY(A527,1)=6,E527,MIN(E527,MAX(0,MIN(IF(L527&lt;K527,L527+1,L527),OMR_OT_AT)-K527))))</f>
        <v/>
      </c>
      <c r="G527" s="25" t="str">
        <f aca="false">IF(OR(E527="",M527=0),"",MAX(0,E527-F527))</f>
        <v/>
      </c>
      <c r="H527" s="26" t="str">
        <f aca="false">IF(OR(E527="",M527=0),"",ROUND((F527*$N$523+G527*$O$523)*24,3))</f>
        <v/>
      </c>
      <c r="I527" s="27"/>
      <c r="K527" s="28" t="str">
        <f aca="false">IF(OR(M527=0,C527=""),"",IF(ISNUMBER(C527),MOD(C527,1),IFERROR(INDEX(القوائم!$B$1:$B$288,MATCH(TRIM(C527),القوائم!$A$1:$A$288,0)),IFERROR(MOD(TIMEVALUE(C527),1),""))))</f>
        <v/>
      </c>
      <c r="L527" s="28" t="str">
        <f aca="false">IF(OR(M527=0,D527=""),"",IF(ISNUMBER(D527),MOD(D527,1),IFERROR(INDEX(القوائم!$B$1:$B$288,MATCH(TRIM(D527),القوائم!$A$1:$A$288,0)),IFERROR(MOD(TIMEVALUE(D527),1),""))))</f>
        <v/>
      </c>
      <c r="M527" s="19" t="n">
        <f aca="false">$M$523</f>
        <v>0</v>
      </c>
      <c r="Q527" s="19" t="n">
        <f aca="false">IF(N(E535)&gt;0,1,0)</f>
        <v>0</v>
      </c>
      <c r="S527" s="0" t="n">
        <v>38</v>
      </c>
    </row>
    <row r="528" customFormat="false" ht="15" hidden="false" customHeight="false" outlineLevel="0" collapsed="false">
      <c r="A528" s="22" t="n">
        <f aca="false">IF(38&lt;=NW,WEEK_ONE+262,"")</f>
        <v>46280</v>
      </c>
      <c r="B528" s="23" t="str">
        <f aca="false">IF(A528="","",CHOOSE(WEEKDAY(A528,1),"الأحد","الاثنين","الثلاثاء","الأربعاء","الخميس","الجمعة","السبت"))</f>
        <v>الثلاثاء</v>
      </c>
      <c r="C528" s="24"/>
      <c r="D528" s="24"/>
      <c r="E528" s="25" t="str">
        <f aca="false">IF(OR(M528=0,K528="",L528=""),"",MOD(L528-K528,1))</f>
        <v/>
      </c>
      <c r="F528" s="25" t="str">
        <f aca="false">IF(OR(E528="",M528=0),"",IF(WEEKDAY(A528,1)=6,E528,MIN(E528,MAX(0,MIN(IF(L528&lt;K528,L528+1,L528),OMR_OT_AT)-K528))))</f>
        <v/>
      </c>
      <c r="G528" s="25" t="str">
        <f aca="false">IF(OR(E528="",M528=0),"",MAX(0,E528-F528))</f>
        <v/>
      </c>
      <c r="H528" s="26" t="str">
        <f aca="false">IF(OR(E528="",M528=0),"",ROUND((F528*$N$523+G528*$O$523)*24,3))</f>
        <v/>
      </c>
      <c r="I528" s="27"/>
      <c r="K528" s="28" t="str">
        <f aca="false">IF(OR(M528=0,C528=""),"",IF(ISNUMBER(C528),MOD(C528,1),IFERROR(INDEX(القوائم!$B$1:$B$288,MATCH(TRIM(C528),القوائم!$A$1:$A$288,0)),IFERROR(MOD(TIMEVALUE(C528),1),""))))</f>
        <v/>
      </c>
      <c r="L528" s="28" t="str">
        <f aca="false">IF(OR(M528=0,D528=""),"",IF(ISNUMBER(D528),MOD(D528,1),IFERROR(INDEX(القوائم!$B$1:$B$288,MATCH(TRIM(D528),القوائم!$A$1:$A$288,0)),IFERROR(MOD(TIMEVALUE(D528),1),""))))</f>
        <v/>
      </c>
      <c r="M528" s="19" t="n">
        <f aca="false">$M$523</f>
        <v>0</v>
      </c>
      <c r="Q528" s="19" t="n">
        <f aca="false">IF(N(E535)&gt;0,1,0)</f>
        <v>0</v>
      </c>
      <c r="S528" s="0" t="n">
        <v>38</v>
      </c>
    </row>
    <row r="529" customFormat="false" ht="15" hidden="false" customHeight="false" outlineLevel="0" collapsed="false">
      <c r="A529" s="22" t="n">
        <f aca="false">IF(38&lt;=NW,WEEK_ONE+263,"")</f>
        <v>46281</v>
      </c>
      <c r="B529" s="23" t="str">
        <f aca="false">IF(A529="","",CHOOSE(WEEKDAY(A529,1),"الأحد","الاثنين","الثلاثاء","الأربعاء","الخميس","الجمعة","السبت"))</f>
        <v>الأربعاء</v>
      </c>
      <c r="C529" s="24"/>
      <c r="D529" s="24"/>
      <c r="E529" s="25" t="str">
        <f aca="false">IF(OR(M529=0,K529="",L529=""),"",MOD(L529-K529,1))</f>
        <v/>
      </c>
      <c r="F529" s="25" t="str">
        <f aca="false">IF(OR(E529="",M529=0),"",IF(WEEKDAY(A529,1)=6,E529,MIN(E529,MAX(0,MIN(IF(L529&lt;K529,L529+1,L529),OMR_OT_AT)-K529))))</f>
        <v/>
      </c>
      <c r="G529" s="25" t="str">
        <f aca="false">IF(OR(E529="",M529=0),"",MAX(0,E529-F529))</f>
        <v/>
      </c>
      <c r="H529" s="26" t="str">
        <f aca="false">IF(OR(E529="",M529=0),"",ROUND((F529*$N$523+G529*$O$523)*24,3))</f>
        <v/>
      </c>
      <c r="I529" s="27"/>
      <c r="K529" s="28" t="str">
        <f aca="false">IF(OR(M529=0,C529=""),"",IF(ISNUMBER(C529),MOD(C529,1),IFERROR(INDEX(القوائم!$B$1:$B$288,MATCH(TRIM(C529),القوائم!$A$1:$A$288,0)),IFERROR(MOD(TIMEVALUE(C529),1),""))))</f>
        <v/>
      </c>
      <c r="L529" s="28" t="str">
        <f aca="false">IF(OR(M529=0,D529=""),"",IF(ISNUMBER(D529),MOD(D529,1),IFERROR(INDEX(القوائم!$B$1:$B$288,MATCH(TRIM(D529),القوائم!$A$1:$A$288,0)),IFERROR(MOD(TIMEVALUE(D529),1),""))))</f>
        <v/>
      </c>
      <c r="M529" s="19" t="n">
        <f aca="false">$M$523</f>
        <v>0</v>
      </c>
      <c r="Q529" s="19" t="n">
        <f aca="false">IF(N(E535)&gt;0,1,0)</f>
        <v>0</v>
      </c>
      <c r="S529" s="0" t="n">
        <v>38</v>
      </c>
    </row>
    <row r="530" customFormat="false" ht="15" hidden="false" customHeight="false" outlineLevel="0" collapsed="false">
      <c r="A530" s="22" t="n">
        <f aca="false">IF(38&lt;=NW,WEEK_ONE+264,"")</f>
        <v>46282</v>
      </c>
      <c r="B530" s="23" t="str">
        <f aca="false">IF(A530="","",CHOOSE(WEEKDAY(A530,1),"الأحد","الاثنين","الثلاثاء","الأربعاء","الخميس","الجمعة","السبت"))</f>
        <v>الخميس</v>
      </c>
      <c r="C530" s="24"/>
      <c r="D530" s="24"/>
      <c r="E530" s="25" t="str">
        <f aca="false">IF(OR(M530=0,K530="",L530=""),"",MOD(L530-K530,1))</f>
        <v/>
      </c>
      <c r="F530" s="25" t="str">
        <f aca="false">IF(OR(E530="",M530=0),"",IF(WEEKDAY(A530,1)=6,E530,MIN(E530,MAX(0,MIN(IF(L530&lt;K530,L530+1,L530),OMR_OT_AT)-K530))))</f>
        <v/>
      </c>
      <c r="G530" s="25" t="str">
        <f aca="false">IF(OR(E530="",M530=0),"",MAX(0,E530-F530))</f>
        <v/>
      </c>
      <c r="H530" s="26" t="str">
        <f aca="false">IF(OR(E530="",M530=0),"",ROUND((F530*$N$523+G530*$O$523)*24,3))</f>
        <v/>
      </c>
      <c r="I530" s="27"/>
      <c r="K530" s="28" t="str">
        <f aca="false">IF(OR(M530=0,C530=""),"",IF(ISNUMBER(C530),MOD(C530,1),IFERROR(INDEX(القوائم!$B$1:$B$288,MATCH(TRIM(C530),القوائم!$A$1:$A$288,0)),IFERROR(MOD(TIMEVALUE(C530),1),""))))</f>
        <v/>
      </c>
      <c r="L530" s="28" t="str">
        <f aca="false">IF(OR(M530=0,D530=""),"",IF(ISNUMBER(D530),MOD(D530,1),IFERROR(INDEX(القوائم!$B$1:$B$288,MATCH(TRIM(D530),القوائم!$A$1:$A$288,0)),IFERROR(MOD(TIMEVALUE(D530),1),""))))</f>
        <v/>
      </c>
      <c r="M530" s="19" t="n">
        <f aca="false">$M$523</f>
        <v>0</v>
      </c>
      <c r="Q530" s="19" t="n">
        <f aca="false">IF(N(E535)&gt;0,1,0)</f>
        <v>0</v>
      </c>
      <c r="S530" s="0" t="n">
        <v>38</v>
      </c>
    </row>
    <row r="531" customFormat="false" ht="15" hidden="false" customHeight="false" outlineLevel="0" collapsed="false">
      <c r="A531" s="29" t="n">
        <f aca="false">IF(38&lt;=NW,WEEK_ONE+265,"")</f>
        <v>46283</v>
      </c>
      <c r="B531" s="30" t="str">
        <f aca="false">IF(A531="","",CHOOSE(WEEKDAY(A531,1),"الأحد","الاثنين","الثلاثاء","الأربعاء","الخميس","الجمعة","السبت"))</f>
        <v>الجمعة</v>
      </c>
      <c r="C531" s="24"/>
      <c r="D531" s="24"/>
      <c r="E531" s="25" t="str">
        <f aca="false">IF(OR(M531=0,K531="",L531=""),"",MOD(L531-K531,1))</f>
        <v/>
      </c>
      <c r="F531" s="25" t="str">
        <f aca="false">IF(OR(E531="",M531=0),"",IF(WEEKDAY(A531,1)=6,E531,MIN(E531,MAX(0,MIN(IF(L531&lt;K531,L531+1,L531),OMR_OT_AT)-K531))))</f>
        <v/>
      </c>
      <c r="G531" s="25" t="str">
        <f aca="false">IF(OR(E531="",M531=0),"",MAX(0,E531-F531))</f>
        <v/>
      </c>
      <c r="H531" s="26" t="str">
        <f aca="false">IF(OR(E531="",M531=0),"",ROUND((F531*$N$523+G531*$O$523)*24,3))</f>
        <v/>
      </c>
      <c r="I531" s="27"/>
      <c r="K531" s="28" t="str">
        <f aca="false">IF(OR(M531=0,C531=""),"",IF(ISNUMBER(C531),MOD(C531,1),IFERROR(INDEX(القوائم!$B$1:$B$288,MATCH(TRIM(C531),القوائم!$A$1:$A$288,0)),IFERROR(MOD(TIMEVALUE(C531),1),""))))</f>
        <v/>
      </c>
      <c r="L531" s="28" t="str">
        <f aca="false">IF(OR(M531=0,D531=""),"",IF(ISNUMBER(D531),MOD(D531,1),IFERROR(INDEX(القوائم!$B$1:$B$288,MATCH(TRIM(D531),القوائم!$A$1:$A$288,0)),IFERROR(MOD(TIMEVALUE(D531),1),""))))</f>
        <v/>
      </c>
      <c r="M531" s="19" t="n">
        <f aca="false">$M$523</f>
        <v>0</v>
      </c>
      <c r="Q531" s="19" t="n">
        <f aca="false">IF(N(E535)&gt;0,1,0)</f>
        <v>0</v>
      </c>
      <c r="S531" s="0" t="n">
        <v>38</v>
      </c>
    </row>
    <row r="532" customFormat="false" ht="15" hidden="false" customHeight="false" outlineLevel="0" collapsed="false">
      <c r="A532" s="31" t="str">
        <f aca="false">IF(M523=1,"ساعات تحميل الجبسمبورد بهالأسبوع ←","")</f>
        <v/>
      </c>
      <c r="B532" s="31"/>
      <c r="C532" s="31"/>
      <c r="D532" s="31"/>
      <c r="E532" s="32"/>
      <c r="F532" s="33" t="str">
        <f aca="false">IF(M523=1,"كل ساعة تحميل = "&amp;TEXT($P$523,"0.000")&amp;" دينار (منها "&amp;TEXT($N$523,"0.000")&amp;" محسوبة أصلاً بساعات اليوم)","")</f>
        <v/>
      </c>
      <c r="G532" s="33"/>
      <c r="H532" s="33"/>
      <c r="I532" s="33"/>
      <c r="M532" s="19" t="n">
        <f aca="false">$M$523</f>
        <v>0</v>
      </c>
      <c r="Q532" s="19" t="n">
        <f aca="false">IF(N(E535)&gt;0,1,0)</f>
        <v>0</v>
      </c>
      <c r="S532" s="0" t="n">
        <v>38</v>
      </c>
    </row>
    <row r="533" customFormat="false" ht="15" hidden="false" customHeight="false" outlineLevel="0" collapsed="false">
      <c r="A533" s="31" t="str">
        <f aca="false">IF(M523=1,"إكرامية الأسبوع (دينار) ←","")</f>
        <v/>
      </c>
      <c r="B533" s="31"/>
      <c r="C533" s="31"/>
      <c r="D533" s="31"/>
      <c r="E533" s="34"/>
      <c r="F533" s="35"/>
      <c r="G533" s="35"/>
      <c r="H533" s="35"/>
      <c r="I533" s="35"/>
      <c r="M533" s="19" t="n">
        <f aca="false">$M$523</f>
        <v>0</v>
      </c>
      <c r="Q533" s="19" t="n">
        <f aca="false">IF(N(E535)&gt;0,1,0)</f>
        <v>0</v>
      </c>
      <c r="S533" s="0" t="n">
        <v>38</v>
      </c>
    </row>
    <row r="534" customFormat="false" ht="36" hidden="false" customHeight="true" outlineLevel="0" collapsed="false">
      <c r="A534" s="36" t="str">
        <f aca="false">IF(M523=1,"المستحق النهائي للأسبوع","")</f>
        <v/>
      </c>
      <c r="B534" s="36"/>
      <c r="C534" s="36"/>
      <c r="D534" s="36"/>
      <c r="E534" s="36"/>
      <c r="F534" s="36"/>
      <c r="G534" s="36"/>
      <c r="H534" s="11" t="str">
        <f aca="false">IF(M523=1,ROUND(N($V$523)+N(E532)*($P$523-$N$523)+N(E533),3),"")</f>
        <v/>
      </c>
      <c r="I534" s="37"/>
      <c r="M534" s="19" t="n">
        <f aca="false">$M$523</f>
        <v>0</v>
      </c>
      <c r="Q534" s="19" t="n">
        <f aca="false">IF(N(E535)&gt;0,1,0)</f>
        <v>0</v>
      </c>
      <c r="S534" s="0" t="n">
        <v>38</v>
      </c>
      <c r="T534" s="0" t="n">
        <v>1</v>
      </c>
    </row>
    <row r="535" customFormat="false" ht="25.5" hidden="false" customHeight="true" outlineLevel="0" collapsed="false">
      <c r="A535" s="31" t="str">
        <f aca="false">IF(M523=1,"المدفوع (دينار) ←","")</f>
        <v/>
      </c>
      <c r="B535" s="31"/>
      <c r="C535" s="31"/>
      <c r="D535" s="31"/>
      <c r="E535" s="34"/>
      <c r="F535" s="38" t="str">
        <f aca="false">IF(M523=1,IF(N(E535)&gt;0,"✔ انقبض — الأسبوع مقفول","⏳ لسا ما انقبض"),"")</f>
        <v/>
      </c>
      <c r="G535" s="38"/>
      <c r="H535" s="38"/>
      <c r="I535" s="38"/>
      <c r="M535" s="19" t="n">
        <f aca="false">$M$523</f>
        <v>0</v>
      </c>
      <c r="Q535" s="19" t="n">
        <f aca="false">IF(N(E535)&gt;0,1,0)</f>
        <v>0</v>
      </c>
      <c r="S535" s="0" t="n">
        <v>38</v>
      </c>
    </row>
    <row r="536" customFormat="false" ht="9.75" hidden="false" customHeight="true" outlineLevel="0" collapsed="false">
      <c r="M536" s="19" t="n">
        <f aca="false">$M$523</f>
        <v>0</v>
      </c>
      <c r="Q536" s="19" t="n">
        <f aca="false">IF(N(E535)&gt;0,1,0)</f>
        <v>0</v>
      </c>
      <c r="S536" s="0" t="n">
        <v>38</v>
      </c>
      <c r="T536" s="0" t="n">
        <v>2</v>
      </c>
    </row>
    <row r="537" customFormat="false" ht="33.75" hidden="false" customHeight="true" outlineLevel="0" collapsed="false">
      <c r="A537" s="17" t="str">
        <f aca="false">IF(39&lt;=NW,TEXT(DAY(WEEK_ONE+266),"00")&amp;"/"&amp;TEXT(MONTH(WEEK_ONE+266),"00")&amp;"/"&amp;YEAR(WEEK_ONE+266)&amp;"  -  "&amp;TEXT(DAY(WEEK_ONE+272),"00")&amp;"/"&amp;TEXT(MONTH(WEEK_ONE+272),"00")&amp;"/"&amp;YEAR(WEEK_ONE+272)&amp;"   ·   الأسبوع 39"&amp;IF(39&lt;START_O,"   (قبل أسبوع البداية — ما بينحسب)",""),"ما في أسبوع 39 هالسنة")</f>
        <v>19/09/2026  -  25/09/2026   ·   الأسبوع 39   (قبل أسبوع البداية — ما بينحسب)</v>
      </c>
      <c r="B537" s="17"/>
      <c r="C537" s="17"/>
      <c r="D537" s="17"/>
      <c r="E537" s="17"/>
      <c r="F537" s="17"/>
      <c r="G537" s="17"/>
      <c r="H537" s="17"/>
      <c r="I537" s="17"/>
      <c r="L537" s="18" t="n">
        <f aca="false">IF(39&lt;=NW,WEEK_ONE+272,"")</f>
        <v>46290</v>
      </c>
      <c r="M537" s="19" t="n">
        <f aca="false">IF(AND(39&lt;=NW,39&gt;=START_O),1,0)</f>
        <v>0</v>
      </c>
      <c r="N537" s="20" t="n">
        <f aca="false">IFERROR(INDEX(RT_OMR,MATCH(L537,RT_K,1)),INDEX(RT_OMR,1))</f>
        <v>1.25</v>
      </c>
      <c r="O537" s="20" t="n">
        <f aca="false">IFERROR(INDEX(RT_OT,MATCH(L537,RT_K,1)),INDEX(RT_OT,1))</f>
        <v>1.5</v>
      </c>
      <c r="P537" s="20" t="n">
        <f aca="false">IFERROR(INDEX(RT_GYP,MATCH(L537,RT_K,1)),INDEX(RT_GYP,1))</f>
        <v>2.5</v>
      </c>
      <c r="Q537" s="19" t="n">
        <f aca="false">IF(N(E549)&gt;0,1,0)</f>
        <v>0</v>
      </c>
      <c r="R537" s="0" t="n">
        <v>39</v>
      </c>
      <c r="S537" s="0" t="n">
        <v>39</v>
      </c>
      <c r="U537" s="19" t="n">
        <f aca="false">IF(M537=1,SUM(E539:E545),0)</f>
        <v>0</v>
      </c>
      <c r="V537" s="19" t="n">
        <f aca="false">SUM(H539:H545)</f>
        <v>0</v>
      </c>
    </row>
    <row r="538" customFormat="false" ht="39.75" hidden="false" customHeight="true" outlineLevel="0" collapsed="false">
      <c r="A538" s="21" t="s">
        <v>18</v>
      </c>
      <c r="B538" s="21" t="s">
        <v>19</v>
      </c>
      <c r="C538" s="21" t="s">
        <v>20</v>
      </c>
      <c r="D538" s="21" t="s">
        <v>21</v>
      </c>
      <c r="E538" s="21" t="s">
        <v>22</v>
      </c>
      <c r="F538" s="21" t="s">
        <v>23</v>
      </c>
      <c r="G538" s="21" t="s">
        <v>24</v>
      </c>
      <c r="H538" s="21" t="s">
        <v>25</v>
      </c>
      <c r="I538" s="21" t="s">
        <v>26</v>
      </c>
      <c r="M538" s="19" t="n">
        <f aca="false">$M$537</f>
        <v>0</v>
      </c>
      <c r="Q538" s="19" t="n">
        <f aca="false">IF(N(E549)&gt;0,1,0)</f>
        <v>0</v>
      </c>
      <c r="S538" s="0" t="n">
        <v>39</v>
      </c>
    </row>
    <row r="539" customFormat="false" ht="15" hidden="false" customHeight="false" outlineLevel="0" collapsed="false">
      <c r="A539" s="22" t="n">
        <f aca="false">IF(39&lt;=NW,WEEK_ONE+266,"")</f>
        <v>46284</v>
      </c>
      <c r="B539" s="23" t="str">
        <f aca="false">IF(A539="","",CHOOSE(WEEKDAY(A539,1),"الأحد","الاثنين","الثلاثاء","الأربعاء","الخميس","الجمعة","السبت"))</f>
        <v>السبت</v>
      </c>
      <c r="C539" s="24"/>
      <c r="D539" s="24"/>
      <c r="E539" s="25" t="str">
        <f aca="false">IF(OR(M539=0,K539="",L539=""),"",MOD(L539-K539,1))</f>
        <v/>
      </c>
      <c r="F539" s="25" t="str">
        <f aca="false">IF(OR(E539="",M539=0),"",IF(WEEKDAY(A539,1)=6,E539,MIN(E539,MAX(0,MIN(IF(L539&lt;K539,L539+1,L539),OMR_OT_AT)-K539))))</f>
        <v/>
      </c>
      <c r="G539" s="25" t="str">
        <f aca="false">IF(OR(E539="",M539=0),"",MAX(0,E539-F539))</f>
        <v/>
      </c>
      <c r="H539" s="26" t="str">
        <f aca="false">IF(OR(E539="",M539=0),"",ROUND((F539*$N$537+G539*$O$537)*24,3))</f>
        <v/>
      </c>
      <c r="I539" s="27"/>
      <c r="K539" s="28" t="str">
        <f aca="false">IF(OR(M539=0,C539=""),"",IF(ISNUMBER(C539),MOD(C539,1),IFERROR(INDEX(القوائم!$B$1:$B$288,MATCH(TRIM(C539),القوائم!$A$1:$A$288,0)),IFERROR(MOD(TIMEVALUE(C539),1),""))))</f>
        <v/>
      </c>
      <c r="L539" s="28" t="str">
        <f aca="false">IF(OR(M539=0,D539=""),"",IF(ISNUMBER(D539),MOD(D539,1),IFERROR(INDEX(القوائم!$B$1:$B$288,MATCH(TRIM(D539),القوائم!$A$1:$A$288,0)),IFERROR(MOD(TIMEVALUE(D539),1),""))))</f>
        <v/>
      </c>
      <c r="M539" s="19" t="n">
        <f aca="false">$M$537</f>
        <v>0</v>
      </c>
      <c r="Q539" s="19" t="n">
        <f aca="false">IF(N(E549)&gt;0,1,0)</f>
        <v>0</v>
      </c>
      <c r="S539" s="0" t="n">
        <v>39</v>
      </c>
    </row>
    <row r="540" customFormat="false" ht="15" hidden="false" customHeight="false" outlineLevel="0" collapsed="false">
      <c r="A540" s="22" t="n">
        <f aca="false">IF(39&lt;=NW,WEEK_ONE+267,"")</f>
        <v>46285</v>
      </c>
      <c r="B540" s="23" t="str">
        <f aca="false">IF(A540="","",CHOOSE(WEEKDAY(A540,1),"الأحد","الاثنين","الثلاثاء","الأربعاء","الخميس","الجمعة","السبت"))</f>
        <v>الأحد</v>
      </c>
      <c r="C540" s="24"/>
      <c r="D540" s="24"/>
      <c r="E540" s="25" t="str">
        <f aca="false">IF(OR(M540=0,K540="",L540=""),"",MOD(L540-K540,1))</f>
        <v/>
      </c>
      <c r="F540" s="25" t="str">
        <f aca="false">IF(OR(E540="",M540=0),"",IF(WEEKDAY(A540,1)=6,E540,MIN(E540,MAX(0,MIN(IF(L540&lt;K540,L540+1,L540),OMR_OT_AT)-K540))))</f>
        <v/>
      </c>
      <c r="G540" s="25" t="str">
        <f aca="false">IF(OR(E540="",M540=0),"",MAX(0,E540-F540))</f>
        <v/>
      </c>
      <c r="H540" s="26" t="str">
        <f aca="false">IF(OR(E540="",M540=0),"",ROUND((F540*$N$537+G540*$O$537)*24,3))</f>
        <v/>
      </c>
      <c r="I540" s="27"/>
      <c r="K540" s="28" t="str">
        <f aca="false">IF(OR(M540=0,C540=""),"",IF(ISNUMBER(C540),MOD(C540,1),IFERROR(INDEX(القوائم!$B$1:$B$288,MATCH(TRIM(C540),القوائم!$A$1:$A$288,0)),IFERROR(MOD(TIMEVALUE(C540),1),""))))</f>
        <v/>
      </c>
      <c r="L540" s="28" t="str">
        <f aca="false">IF(OR(M540=0,D540=""),"",IF(ISNUMBER(D540),MOD(D540,1),IFERROR(INDEX(القوائم!$B$1:$B$288,MATCH(TRIM(D540),القوائم!$A$1:$A$288,0)),IFERROR(MOD(TIMEVALUE(D540),1),""))))</f>
        <v/>
      </c>
      <c r="M540" s="19" t="n">
        <f aca="false">$M$537</f>
        <v>0</v>
      </c>
      <c r="Q540" s="19" t="n">
        <f aca="false">IF(N(E549)&gt;0,1,0)</f>
        <v>0</v>
      </c>
      <c r="S540" s="0" t="n">
        <v>39</v>
      </c>
    </row>
    <row r="541" customFormat="false" ht="15" hidden="false" customHeight="false" outlineLevel="0" collapsed="false">
      <c r="A541" s="22" t="n">
        <f aca="false">IF(39&lt;=NW,WEEK_ONE+268,"")</f>
        <v>46286</v>
      </c>
      <c r="B541" s="23" t="str">
        <f aca="false">IF(A541="","",CHOOSE(WEEKDAY(A541,1),"الأحد","الاثنين","الثلاثاء","الأربعاء","الخميس","الجمعة","السبت"))</f>
        <v>الاثنين</v>
      </c>
      <c r="C541" s="24"/>
      <c r="D541" s="24"/>
      <c r="E541" s="25" t="str">
        <f aca="false">IF(OR(M541=0,K541="",L541=""),"",MOD(L541-K541,1))</f>
        <v/>
      </c>
      <c r="F541" s="25" t="str">
        <f aca="false">IF(OR(E541="",M541=0),"",IF(WEEKDAY(A541,1)=6,E541,MIN(E541,MAX(0,MIN(IF(L541&lt;K541,L541+1,L541),OMR_OT_AT)-K541))))</f>
        <v/>
      </c>
      <c r="G541" s="25" t="str">
        <f aca="false">IF(OR(E541="",M541=0),"",MAX(0,E541-F541))</f>
        <v/>
      </c>
      <c r="H541" s="26" t="str">
        <f aca="false">IF(OR(E541="",M541=0),"",ROUND((F541*$N$537+G541*$O$537)*24,3))</f>
        <v/>
      </c>
      <c r="I541" s="27"/>
      <c r="K541" s="28" t="str">
        <f aca="false">IF(OR(M541=0,C541=""),"",IF(ISNUMBER(C541),MOD(C541,1),IFERROR(INDEX(القوائم!$B$1:$B$288,MATCH(TRIM(C541),القوائم!$A$1:$A$288,0)),IFERROR(MOD(TIMEVALUE(C541),1),""))))</f>
        <v/>
      </c>
      <c r="L541" s="28" t="str">
        <f aca="false">IF(OR(M541=0,D541=""),"",IF(ISNUMBER(D541),MOD(D541,1),IFERROR(INDEX(القوائم!$B$1:$B$288,MATCH(TRIM(D541),القوائم!$A$1:$A$288,0)),IFERROR(MOD(TIMEVALUE(D541),1),""))))</f>
        <v/>
      </c>
      <c r="M541" s="19" t="n">
        <f aca="false">$M$537</f>
        <v>0</v>
      </c>
      <c r="Q541" s="19" t="n">
        <f aca="false">IF(N(E549)&gt;0,1,0)</f>
        <v>0</v>
      </c>
      <c r="S541" s="0" t="n">
        <v>39</v>
      </c>
    </row>
    <row r="542" customFormat="false" ht="15" hidden="false" customHeight="false" outlineLevel="0" collapsed="false">
      <c r="A542" s="22" t="n">
        <f aca="false">IF(39&lt;=NW,WEEK_ONE+269,"")</f>
        <v>46287</v>
      </c>
      <c r="B542" s="23" t="str">
        <f aca="false">IF(A542="","",CHOOSE(WEEKDAY(A542,1),"الأحد","الاثنين","الثلاثاء","الأربعاء","الخميس","الجمعة","السبت"))</f>
        <v>الثلاثاء</v>
      </c>
      <c r="C542" s="24"/>
      <c r="D542" s="24"/>
      <c r="E542" s="25" t="str">
        <f aca="false">IF(OR(M542=0,K542="",L542=""),"",MOD(L542-K542,1))</f>
        <v/>
      </c>
      <c r="F542" s="25" t="str">
        <f aca="false">IF(OR(E542="",M542=0),"",IF(WEEKDAY(A542,1)=6,E542,MIN(E542,MAX(0,MIN(IF(L542&lt;K542,L542+1,L542),OMR_OT_AT)-K542))))</f>
        <v/>
      </c>
      <c r="G542" s="25" t="str">
        <f aca="false">IF(OR(E542="",M542=0),"",MAX(0,E542-F542))</f>
        <v/>
      </c>
      <c r="H542" s="26" t="str">
        <f aca="false">IF(OR(E542="",M542=0),"",ROUND((F542*$N$537+G542*$O$537)*24,3))</f>
        <v/>
      </c>
      <c r="I542" s="27"/>
      <c r="K542" s="28" t="str">
        <f aca="false">IF(OR(M542=0,C542=""),"",IF(ISNUMBER(C542),MOD(C542,1),IFERROR(INDEX(القوائم!$B$1:$B$288,MATCH(TRIM(C542),القوائم!$A$1:$A$288,0)),IFERROR(MOD(TIMEVALUE(C542),1),""))))</f>
        <v/>
      </c>
      <c r="L542" s="28" t="str">
        <f aca="false">IF(OR(M542=0,D542=""),"",IF(ISNUMBER(D542),MOD(D542,1),IFERROR(INDEX(القوائم!$B$1:$B$288,MATCH(TRIM(D542),القوائم!$A$1:$A$288,0)),IFERROR(MOD(TIMEVALUE(D542),1),""))))</f>
        <v/>
      </c>
      <c r="M542" s="19" t="n">
        <f aca="false">$M$537</f>
        <v>0</v>
      </c>
      <c r="Q542" s="19" t="n">
        <f aca="false">IF(N(E549)&gt;0,1,0)</f>
        <v>0</v>
      </c>
      <c r="S542" s="0" t="n">
        <v>39</v>
      </c>
    </row>
    <row r="543" customFormat="false" ht="15" hidden="false" customHeight="false" outlineLevel="0" collapsed="false">
      <c r="A543" s="22" t="n">
        <f aca="false">IF(39&lt;=NW,WEEK_ONE+270,"")</f>
        <v>46288</v>
      </c>
      <c r="B543" s="23" t="str">
        <f aca="false">IF(A543="","",CHOOSE(WEEKDAY(A543,1),"الأحد","الاثنين","الثلاثاء","الأربعاء","الخميس","الجمعة","السبت"))</f>
        <v>الأربعاء</v>
      </c>
      <c r="C543" s="24"/>
      <c r="D543" s="24"/>
      <c r="E543" s="25" t="str">
        <f aca="false">IF(OR(M543=0,K543="",L543=""),"",MOD(L543-K543,1))</f>
        <v/>
      </c>
      <c r="F543" s="25" t="str">
        <f aca="false">IF(OR(E543="",M543=0),"",IF(WEEKDAY(A543,1)=6,E543,MIN(E543,MAX(0,MIN(IF(L543&lt;K543,L543+1,L543),OMR_OT_AT)-K543))))</f>
        <v/>
      </c>
      <c r="G543" s="25" t="str">
        <f aca="false">IF(OR(E543="",M543=0),"",MAX(0,E543-F543))</f>
        <v/>
      </c>
      <c r="H543" s="26" t="str">
        <f aca="false">IF(OR(E543="",M543=0),"",ROUND((F543*$N$537+G543*$O$537)*24,3))</f>
        <v/>
      </c>
      <c r="I543" s="27"/>
      <c r="K543" s="28" t="str">
        <f aca="false">IF(OR(M543=0,C543=""),"",IF(ISNUMBER(C543),MOD(C543,1),IFERROR(INDEX(القوائم!$B$1:$B$288,MATCH(TRIM(C543),القوائم!$A$1:$A$288,0)),IFERROR(MOD(TIMEVALUE(C543),1),""))))</f>
        <v/>
      </c>
      <c r="L543" s="28" t="str">
        <f aca="false">IF(OR(M543=0,D543=""),"",IF(ISNUMBER(D543),MOD(D543,1),IFERROR(INDEX(القوائم!$B$1:$B$288,MATCH(TRIM(D543),القوائم!$A$1:$A$288,0)),IFERROR(MOD(TIMEVALUE(D543),1),""))))</f>
        <v/>
      </c>
      <c r="M543" s="19" t="n">
        <f aca="false">$M$537</f>
        <v>0</v>
      </c>
      <c r="Q543" s="19" t="n">
        <f aca="false">IF(N(E549)&gt;0,1,0)</f>
        <v>0</v>
      </c>
      <c r="S543" s="0" t="n">
        <v>39</v>
      </c>
    </row>
    <row r="544" customFormat="false" ht="15" hidden="false" customHeight="false" outlineLevel="0" collapsed="false">
      <c r="A544" s="22" t="n">
        <f aca="false">IF(39&lt;=NW,WEEK_ONE+271,"")</f>
        <v>46289</v>
      </c>
      <c r="B544" s="23" t="str">
        <f aca="false">IF(A544="","",CHOOSE(WEEKDAY(A544,1),"الأحد","الاثنين","الثلاثاء","الأربعاء","الخميس","الجمعة","السبت"))</f>
        <v>الخميس</v>
      </c>
      <c r="C544" s="24"/>
      <c r="D544" s="24"/>
      <c r="E544" s="25" t="str">
        <f aca="false">IF(OR(M544=0,K544="",L544=""),"",MOD(L544-K544,1))</f>
        <v/>
      </c>
      <c r="F544" s="25" t="str">
        <f aca="false">IF(OR(E544="",M544=0),"",IF(WEEKDAY(A544,1)=6,E544,MIN(E544,MAX(0,MIN(IF(L544&lt;K544,L544+1,L544),OMR_OT_AT)-K544))))</f>
        <v/>
      </c>
      <c r="G544" s="25" t="str">
        <f aca="false">IF(OR(E544="",M544=0),"",MAX(0,E544-F544))</f>
        <v/>
      </c>
      <c r="H544" s="26" t="str">
        <f aca="false">IF(OR(E544="",M544=0),"",ROUND((F544*$N$537+G544*$O$537)*24,3))</f>
        <v/>
      </c>
      <c r="I544" s="27"/>
      <c r="K544" s="28" t="str">
        <f aca="false">IF(OR(M544=0,C544=""),"",IF(ISNUMBER(C544),MOD(C544,1),IFERROR(INDEX(القوائم!$B$1:$B$288,MATCH(TRIM(C544),القوائم!$A$1:$A$288,0)),IFERROR(MOD(TIMEVALUE(C544),1),""))))</f>
        <v/>
      </c>
      <c r="L544" s="28" t="str">
        <f aca="false">IF(OR(M544=0,D544=""),"",IF(ISNUMBER(D544),MOD(D544,1),IFERROR(INDEX(القوائم!$B$1:$B$288,MATCH(TRIM(D544),القوائم!$A$1:$A$288,0)),IFERROR(MOD(TIMEVALUE(D544),1),""))))</f>
        <v/>
      </c>
      <c r="M544" s="19" t="n">
        <f aca="false">$M$537</f>
        <v>0</v>
      </c>
      <c r="Q544" s="19" t="n">
        <f aca="false">IF(N(E549)&gt;0,1,0)</f>
        <v>0</v>
      </c>
      <c r="S544" s="0" t="n">
        <v>39</v>
      </c>
    </row>
    <row r="545" customFormat="false" ht="15" hidden="false" customHeight="false" outlineLevel="0" collapsed="false">
      <c r="A545" s="29" t="n">
        <f aca="false">IF(39&lt;=NW,WEEK_ONE+272,"")</f>
        <v>46290</v>
      </c>
      <c r="B545" s="30" t="str">
        <f aca="false">IF(A545="","",CHOOSE(WEEKDAY(A545,1),"الأحد","الاثنين","الثلاثاء","الأربعاء","الخميس","الجمعة","السبت"))</f>
        <v>الجمعة</v>
      </c>
      <c r="C545" s="24"/>
      <c r="D545" s="24"/>
      <c r="E545" s="25" t="str">
        <f aca="false">IF(OR(M545=0,K545="",L545=""),"",MOD(L545-K545,1))</f>
        <v/>
      </c>
      <c r="F545" s="25" t="str">
        <f aca="false">IF(OR(E545="",M545=0),"",IF(WEEKDAY(A545,1)=6,E545,MIN(E545,MAX(0,MIN(IF(L545&lt;K545,L545+1,L545),OMR_OT_AT)-K545))))</f>
        <v/>
      </c>
      <c r="G545" s="25" t="str">
        <f aca="false">IF(OR(E545="",M545=0),"",MAX(0,E545-F545))</f>
        <v/>
      </c>
      <c r="H545" s="26" t="str">
        <f aca="false">IF(OR(E545="",M545=0),"",ROUND((F545*$N$537+G545*$O$537)*24,3))</f>
        <v/>
      </c>
      <c r="I545" s="27"/>
      <c r="K545" s="28" t="str">
        <f aca="false">IF(OR(M545=0,C545=""),"",IF(ISNUMBER(C545),MOD(C545,1),IFERROR(INDEX(القوائم!$B$1:$B$288,MATCH(TRIM(C545),القوائم!$A$1:$A$288,0)),IFERROR(MOD(TIMEVALUE(C545),1),""))))</f>
        <v/>
      </c>
      <c r="L545" s="28" t="str">
        <f aca="false">IF(OR(M545=0,D545=""),"",IF(ISNUMBER(D545),MOD(D545,1),IFERROR(INDEX(القوائم!$B$1:$B$288,MATCH(TRIM(D545),القوائم!$A$1:$A$288,0)),IFERROR(MOD(TIMEVALUE(D545),1),""))))</f>
        <v/>
      </c>
      <c r="M545" s="19" t="n">
        <f aca="false">$M$537</f>
        <v>0</v>
      </c>
      <c r="Q545" s="19" t="n">
        <f aca="false">IF(N(E549)&gt;0,1,0)</f>
        <v>0</v>
      </c>
      <c r="S545" s="0" t="n">
        <v>39</v>
      </c>
    </row>
    <row r="546" customFormat="false" ht="15" hidden="false" customHeight="false" outlineLevel="0" collapsed="false">
      <c r="A546" s="31" t="str">
        <f aca="false">IF(M537=1,"ساعات تحميل الجبسمبورد بهالأسبوع ←","")</f>
        <v/>
      </c>
      <c r="B546" s="31"/>
      <c r="C546" s="31"/>
      <c r="D546" s="31"/>
      <c r="E546" s="32"/>
      <c r="F546" s="33" t="str">
        <f aca="false">IF(M537=1,"كل ساعة تحميل = "&amp;TEXT($P$537,"0.000")&amp;" دينار (منها "&amp;TEXT($N$537,"0.000")&amp;" محسوبة أصلاً بساعات اليوم)","")</f>
        <v/>
      </c>
      <c r="G546" s="33"/>
      <c r="H546" s="33"/>
      <c r="I546" s="33"/>
      <c r="M546" s="19" t="n">
        <f aca="false">$M$537</f>
        <v>0</v>
      </c>
      <c r="Q546" s="19" t="n">
        <f aca="false">IF(N(E549)&gt;0,1,0)</f>
        <v>0</v>
      </c>
      <c r="S546" s="0" t="n">
        <v>39</v>
      </c>
    </row>
    <row r="547" customFormat="false" ht="15" hidden="false" customHeight="false" outlineLevel="0" collapsed="false">
      <c r="A547" s="31" t="str">
        <f aca="false">IF(M537=1,"إكرامية الأسبوع (دينار) ←","")</f>
        <v/>
      </c>
      <c r="B547" s="31"/>
      <c r="C547" s="31"/>
      <c r="D547" s="31"/>
      <c r="E547" s="34"/>
      <c r="F547" s="35"/>
      <c r="G547" s="35"/>
      <c r="H547" s="35"/>
      <c r="I547" s="35"/>
      <c r="M547" s="19" t="n">
        <f aca="false">$M$537</f>
        <v>0</v>
      </c>
      <c r="Q547" s="19" t="n">
        <f aca="false">IF(N(E549)&gt;0,1,0)</f>
        <v>0</v>
      </c>
      <c r="S547" s="0" t="n">
        <v>39</v>
      </c>
    </row>
    <row r="548" customFormat="false" ht="36" hidden="false" customHeight="true" outlineLevel="0" collapsed="false">
      <c r="A548" s="36" t="str">
        <f aca="false">IF(M537=1,"المستحق النهائي للأسبوع","")</f>
        <v/>
      </c>
      <c r="B548" s="36"/>
      <c r="C548" s="36"/>
      <c r="D548" s="36"/>
      <c r="E548" s="36"/>
      <c r="F548" s="36"/>
      <c r="G548" s="36"/>
      <c r="H548" s="11" t="str">
        <f aca="false">IF(M537=1,ROUND(N($V$537)+N(E546)*($P$537-$N$537)+N(E547),3),"")</f>
        <v/>
      </c>
      <c r="I548" s="37"/>
      <c r="M548" s="19" t="n">
        <f aca="false">$M$537</f>
        <v>0</v>
      </c>
      <c r="Q548" s="19" t="n">
        <f aca="false">IF(N(E549)&gt;0,1,0)</f>
        <v>0</v>
      </c>
      <c r="S548" s="0" t="n">
        <v>39</v>
      </c>
      <c r="T548" s="0" t="n">
        <v>1</v>
      </c>
    </row>
    <row r="549" customFormat="false" ht="25.5" hidden="false" customHeight="true" outlineLevel="0" collapsed="false">
      <c r="A549" s="31" t="str">
        <f aca="false">IF(M537=1,"المدفوع (دينار) ←","")</f>
        <v/>
      </c>
      <c r="B549" s="31"/>
      <c r="C549" s="31"/>
      <c r="D549" s="31"/>
      <c r="E549" s="34"/>
      <c r="F549" s="38" t="str">
        <f aca="false">IF(M537=1,IF(N(E549)&gt;0,"✔ انقبض — الأسبوع مقفول","⏳ لسا ما انقبض"),"")</f>
        <v/>
      </c>
      <c r="G549" s="38"/>
      <c r="H549" s="38"/>
      <c r="I549" s="38"/>
      <c r="M549" s="19" t="n">
        <f aca="false">$M$537</f>
        <v>0</v>
      </c>
      <c r="Q549" s="19" t="n">
        <f aca="false">IF(N(E549)&gt;0,1,0)</f>
        <v>0</v>
      </c>
      <c r="S549" s="0" t="n">
        <v>39</v>
      </c>
    </row>
    <row r="550" customFormat="false" ht="9.75" hidden="false" customHeight="true" outlineLevel="0" collapsed="false">
      <c r="M550" s="19" t="n">
        <f aca="false">$M$537</f>
        <v>0</v>
      </c>
      <c r="Q550" s="19" t="n">
        <f aca="false">IF(N(E549)&gt;0,1,0)</f>
        <v>0</v>
      </c>
      <c r="S550" s="0" t="n">
        <v>39</v>
      </c>
      <c r="T550" s="0" t="n">
        <v>2</v>
      </c>
    </row>
    <row r="551" customFormat="false" ht="33.75" hidden="false" customHeight="true" outlineLevel="0" collapsed="false">
      <c r="A551" s="17" t="str">
        <f aca="false">IF(40&lt;=NW,TEXT(DAY(WEEK_ONE+273),"00")&amp;"/"&amp;TEXT(MONTH(WEEK_ONE+273),"00")&amp;"/"&amp;YEAR(WEEK_ONE+273)&amp;"  -  "&amp;TEXT(DAY(WEEK_ONE+279),"00")&amp;"/"&amp;TEXT(MONTH(WEEK_ONE+279),"00")&amp;"/"&amp;YEAR(WEEK_ONE+279)&amp;"   ·   الأسبوع 40"&amp;IF(40&lt;START_O,"   (قبل أسبوع البداية — ما بينحسب)",""),"ما في أسبوع 40 هالسنة")</f>
        <v>26/09/2026  -  02/10/2026   ·   الأسبوع 40</v>
      </c>
      <c r="B551" s="17"/>
      <c r="C551" s="17"/>
      <c r="D551" s="17"/>
      <c r="E551" s="17"/>
      <c r="F551" s="17"/>
      <c r="G551" s="17"/>
      <c r="H551" s="17"/>
      <c r="I551" s="17"/>
      <c r="L551" s="18" t="n">
        <f aca="false">IF(40&lt;=NW,WEEK_ONE+279,"")</f>
        <v>46297</v>
      </c>
      <c r="M551" s="19" t="n">
        <f aca="false">IF(AND(40&lt;=NW,40&gt;=START_O),1,0)</f>
        <v>1</v>
      </c>
      <c r="N551" s="20" t="n">
        <f aca="false">IFERROR(INDEX(RT_OMR,MATCH(L551,RT_K,1)),INDEX(RT_OMR,1))</f>
        <v>1.25</v>
      </c>
      <c r="O551" s="20" t="n">
        <f aca="false">IFERROR(INDEX(RT_OT,MATCH(L551,RT_K,1)),INDEX(RT_OT,1))</f>
        <v>1.5</v>
      </c>
      <c r="P551" s="20" t="n">
        <f aca="false">IFERROR(INDEX(RT_GYP,MATCH(L551,RT_K,1)),INDEX(RT_GYP,1))</f>
        <v>2.5</v>
      </c>
      <c r="Q551" s="19" t="n">
        <f aca="false">IF(N(E563)&gt;0,1,0)</f>
        <v>0</v>
      </c>
      <c r="R551" s="0" t="n">
        <v>40</v>
      </c>
      <c r="S551" s="0" t="n">
        <v>40</v>
      </c>
      <c r="U551" s="39" t="n">
        <f aca="false">IF(M551=1,SUM(E553:E559),0)</f>
        <v>0</v>
      </c>
      <c r="V551" s="19" t="n">
        <f aca="false">SUM(H553:H559)</f>
        <v>0</v>
      </c>
    </row>
    <row r="552" customFormat="false" ht="39.75" hidden="false" customHeight="true" outlineLevel="0" collapsed="false">
      <c r="A552" s="21" t="s">
        <v>18</v>
      </c>
      <c r="B552" s="21" t="s">
        <v>19</v>
      </c>
      <c r="C552" s="21" t="s">
        <v>20</v>
      </c>
      <c r="D552" s="21" t="s">
        <v>21</v>
      </c>
      <c r="E552" s="21" t="s">
        <v>22</v>
      </c>
      <c r="F552" s="21" t="s">
        <v>23</v>
      </c>
      <c r="G552" s="21" t="s">
        <v>24</v>
      </c>
      <c r="H552" s="21" t="s">
        <v>25</v>
      </c>
      <c r="I552" s="21" t="s">
        <v>26</v>
      </c>
      <c r="M552" s="19" t="n">
        <f aca="false">$M$551</f>
        <v>1</v>
      </c>
      <c r="Q552" s="19" t="n">
        <f aca="false">IF(N(E563)&gt;0,1,0)</f>
        <v>0</v>
      </c>
      <c r="S552" s="0" t="n">
        <v>40</v>
      </c>
    </row>
    <row r="553" customFormat="false" ht="15" hidden="false" customHeight="false" outlineLevel="0" collapsed="false">
      <c r="A553" s="22" t="n">
        <f aca="false">IF(40&lt;=NW,WEEK_ONE+273,"")</f>
        <v>46291</v>
      </c>
      <c r="B553" s="23" t="str">
        <f aca="false">IF(A553="","",CHOOSE(WEEKDAY(A553,1),"الأحد","الاثنين","الثلاثاء","الأربعاء","الخميس","الجمعة","السبت"))</f>
        <v>السبت</v>
      </c>
      <c r="C553" s="24"/>
      <c r="D553" s="24"/>
      <c r="E553" s="25" t="str">
        <f aca="false">IF(OR(M553=0,K553="",L553=""),"",MOD(L553-K553,1))</f>
        <v/>
      </c>
      <c r="F553" s="25" t="str">
        <f aca="false">IF(OR(E553="",M553=0),"",IF(WEEKDAY(A553,1)=6,E553,MIN(E553,MAX(0,MIN(IF(L553&lt;K553,L553+1,L553),OMR_OT_AT)-K553))))</f>
        <v/>
      </c>
      <c r="G553" s="25" t="str">
        <f aca="false">IF(OR(E553="",M553=0),"",MAX(0,E553-F553))</f>
        <v/>
      </c>
      <c r="H553" s="26" t="str">
        <f aca="false">IF(OR(E553="",M553=0),"",ROUND((F553*$N$551+G553*$O$551)*24,3))</f>
        <v/>
      </c>
      <c r="I553" s="27"/>
      <c r="K553" s="28" t="str">
        <f aca="false">IF(OR(M553=0,C553=""),"",IF(ISNUMBER(C553),MOD(C553,1),IFERROR(INDEX(القوائم!$B$1:$B$288,MATCH(TRIM(C553),القوائم!$A$1:$A$288,0)),IFERROR(MOD(TIMEVALUE(C553),1),""))))</f>
        <v/>
      </c>
      <c r="L553" s="28" t="str">
        <f aca="false">IF(OR(M553=0,D553=""),"",IF(ISNUMBER(D553),MOD(D553,1),IFERROR(INDEX(القوائم!$B$1:$B$288,MATCH(TRIM(D553),القوائم!$A$1:$A$288,0)),IFERROR(MOD(TIMEVALUE(D553),1),""))))</f>
        <v/>
      </c>
      <c r="M553" s="19" t="n">
        <f aca="false">$M$551</f>
        <v>1</v>
      </c>
      <c r="Q553" s="19" t="n">
        <f aca="false">IF(N(E563)&gt;0,1,0)</f>
        <v>0</v>
      </c>
      <c r="S553" s="0" t="n">
        <v>40</v>
      </c>
    </row>
    <row r="554" customFormat="false" ht="15" hidden="false" customHeight="false" outlineLevel="0" collapsed="false">
      <c r="A554" s="22" t="n">
        <f aca="false">IF(40&lt;=NW,WEEK_ONE+274,"")</f>
        <v>46292</v>
      </c>
      <c r="B554" s="23" t="str">
        <f aca="false">IF(A554="","",CHOOSE(WEEKDAY(A554,1),"الأحد","الاثنين","الثلاثاء","الأربعاء","الخميس","الجمعة","السبت"))</f>
        <v>الأحد</v>
      </c>
      <c r="C554" s="24"/>
      <c r="D554" s="24"/>
      <c r="E554" s="25" t="str">
        <f aca="false">IF(OR(M554=0,K554="",L554=""),"",MOD(L554-K554,1))</f>
        <v/>
      </c>
      <c r="F554" s="25" t="str">
        <f aca="false">IF(OR(E554="",M554=0),"",IF(WEEKDAY(A554,1)=6,E554,MIN(E554,MAX(0,MIN(IF(L554&lt;K554,L554+1,L554),OMR_OT_AT)-K554))))</f>
        <v/>
      </c>
      <c r="G554" s="25" t="str">
        <f aca="false">IF(OR(E554="",M554=0),"",MAX(0,E554-F554))</f>
        <v/>
      </c>
      <c r="H554" s="26" t="str">
        <f aca="false">IF(OR(E554="",M554=0),"",ROUND((F554*$N$551+G554*$O$551)*24,3))</f>
        <v/>
      </c>
      <c r="I554" s="27"/>
      <c r="K554" s="28" t="str">
        <f aca="false">IF(OR(M554=0,C554=""),"",IF(ISNUMBER(C554),MOD(C554,1),IFERROR(INDEX(القوائم!$B$1:$B$288,MATCH(TRIM(C554),القوائم!$A$1:$A$288,0)),IFERROR(MOD(TIMEVALUE(C554),1),""))))</f>
        <v/>
      </c>
      <c r="L554" s="28" t="str">
        <f aca="false">IF(OR(M554=0,D554=""),"",IF(ISNUMBER(D554),MOD(D554,1),IFERROR(INDEX(القوائم!$B$1:$B$288,MATCH(TRIM(D554),القوائم!$A$1:$A$288,0)),IFERROR(MOD(TIMEVALUE(D554),1),""))))</f>
        <v/>
      </c>
      <c r="M554" s="19" t="n">
        <f aca="false">$M$551</f>
        <v>1</v>
      </c>
      <c r="Q554" s="19" t="n">
        <f aca="false">IF(N(E563)&gt;0,1,0)</f>
        <v>0</v>
      </c>
      <c r="S554" s="0" t="n">
        <v>40</v>
      </c>
    </row>
    <row r="555" customFormat="false" ht="15" hidden="false" customHeight="false" outlineLevel="0" collapsed="false">
      <c r="A555" s="22" t="n">
        <f aca="false">IF(40&lt;=NW,WEEK_ONE+275,"")</f>
        <v>46293</v>
      </c>
      <c r="B555" s="23" t="str">
        <f aca="false">IF(A555="","",CHOOSE(WEEKDAY(A555,1),"الأحد","الاثنين","الثلاثاء","الأربعاء","الخميس","الجمعة","السبت"))</f>
        <v>الاثنين</v>
      </c>
      <c r="C555" s="24"/>
      <c r="D555" s="24"/>
      <c r="E555" s="25" t="str">
        <f aca="false">IF(OR(M555=0,K555="",L555=""),"",MOD(L555-K555,1))</f>
        <v/>
      </c>
      <c r="F555" s="25" t="str">
        <f aca="false">IF(OR(E555="",M555=0),"",IF(WEEKDAY(A555,1)=6,E555,MIN(E555,MAX(0,MIN(IF(L555&lt;K555,L555+1,L555),OMR_OT_AT)-K555))))</f>
        <v/>
      </c>
      <c r="G555" s="25" t="str">
        <f aca="false">IF(OR(E555="",M555=0),"",MAX(0,E555-F555))</f>
        <v/>
      </c>
      <c r="H555" s="26" t="str">
        <f aca="false">IF(OR(E555="",M555=0),"",ROUND((F555*$N$551+G555*$O$551)*24,3))</f>
        <v/>
      </c>
      <c r="I555" s="27"/>
      <c r="K555" s="28" t="str">
        <f aca="false">IF(OR(M555=0,C555=""),"",IF(ISNUMBER(C555),MOD(C555,1),IFERROR(INDEX(القوائم!$B$1:$B$288,MATCH(TRIM(C555),القوائم!$A$1:$A$288,0)),IFERROR(MOD(TIMEVALUE(C555),1),""))))</f>
        <v/>
      </c>
      <c r="L555" s="28" t="str">
        <f aca="false">IF(OR(M555=0,D555=""),"",IF(ISNUMBER(D555),MOD(D555,1),IFERROR(INDEX(القوائم!$B$1:$B$288,MATCH(TRIM(D555),القوائم!$A$1:$A$288,0)),IFERROR(MOD(TIMEVALUE(D555),1),""))))</f>
        <v/>
      </c>
      <c r="M555" s="19" t="n">
        <f aca="false">$M$551</f>
        <v>1</v>
      </c>
      <c r="Q555" s="19" t="n">
        <f aca="false">IF(N(E563)&gt;0,1,0)</f>
        <v>0</v>
      </c>
      <c r="S555" s="0" t="n">
        <v>40</v>
      </c>
    </row>
    <row r="556" customFormat="false" ht="15" hidden="false" customHeight="false" outlineLevel="0" collapsed="false">
      <c r="A556" s="22" t="n">
        <f aca="false">IF(40&lt;=NW,WEEK_ONE+276,"")</f>
        <v>46294</v>
      </c>
      <c r="B556" s="23" t="str">
        <f aca="false">IF(A556="","",CHOOSE(WEEKDAY(A556,1),"الأحد","الاثنين","الثلاثاء","الأربعاء","الخميس","الجمعة","السبت"))</f>
        <v>الثلاثاء</v>
      </c>
      <c r="C556" s="24"/>
      <c r="D556" s="24"/>
      <c r="E556" s="25" t="str">
        <f aca="false">IF(OR(M556=0,K556="",L556=""),"",MOD(L556-K556,1))</f>
        <v/>
      </c>
      <c r="F556" s="25" t="str">
        <f aca="false">IF(OR(E556="",M556=0),"",IF(WEEKDAY(A556,1)=6,E556,MIN(E556,MAX(0,MIN(IF(L556&lt;K556,L556+1,L556),OMR_OT_AT)-K556))))</f>
        <v/>
      </c>
      <c r="G556" s="25" t="str">
        <f aca="false">IF(OR(E556="",M556=0),"",MAX(0,E556-F556))</f>
        <v/>
      </c>
      <c r="H556" s="26" t="str">
        <f aca="false">IF(OR(E556="",M556=0),"",ROUND((F556*$N$551+G556*$O$551)*24,3))</f>
        <v/>
      </c>
      <c r="I556" s="27"/>
      <c r="K556" s="28" t="str">
        <f aca="false">IF(OR(M556=0,C556=""),"",IF(ISNUMBER(C556),MOD(C556,1),IFERROR(INDEX(القوائم!$B$1:$B$288,MATCH(TRIM(C556),القوائم!$A$1:$A$288,0)),IFERROR(MOD(TIMEVALUE(C556),1),""))))</f>
        <v/>
      </c>
      <c r="L556" s="28" t="str">
        <f aca="false">IF(OR(M556=0,D556=""),"",IF(ISNUMBER(D556),MOD(D556,1),IFERROR(INDEX(القوائم!$B$1:$B$288,MATCH(TRIM(D556),القوائم!$A$1:$A$288,0)),IFERROR(MOD(TIMEVALUE(D556),1),""))))</f>
        <v/>
      </c>
      <c r="M556" s="19" t="n">
        <f aca="false">$M$551</f>
        <v>1</v>
      </c>
      <c r="Q556" s="19" t="n">
        <f aca="false">IF(N(E563)&gt;0,1,0)</f>
        <v>0</v>
      </c>
      <c r="S556" s="0" t="n">
        <v>40</v>
      </c>
    </row>
    <row r="557" customFormat="false" ht="15" hidden="false" customHeight="false" outlineLevel="0" collapsed="false">
      <c r="A557" s="22" t="n">
        <f aca="false">IF(40&lt;=NW,WEEK_ONE+277,"")</f>
        <v>46295</v>
      </c>
      <c r="B557" s="23" t="str">
        <f aca="false">IF(A557="","",CHOOSE(WEEKDAY(A557,1),"الأحد","الاثنين","الثلاثاء","الأربعاء","الخميس","الجمعة","السبت"))</f>
        <v>الأربعاء</v>
      </c>
      <c r="C557" s="24"/>
      <c r="D557" s="24"/>
      <c r="E557" s="25" t="str">
        <f aca="false">IF(OR(M557=0,K557="",L557=""),"",MOD(L557-K557,1))</f>
        <v/>
      </c>
      <c r="F557" s="25" t="str">
        <f aca="false">IF(OR(E557="",M557=0),"",IF(WEEKDAY(A557,1)=6,E557,MIN(E557,MAX(0,MIN(IF(L557&lt;K557,L557+1,L557),OMR_OT_AT)-K557))))</f>
        <v/>
      </c>
      <c r="G557" s="25" t="str">
        <f aca="false">IF(OR(E557="",M557=0),"",MAX(0,E557-F557))</f>
        <v/>
      </c>
      <c r="H557" s="26" t="str">
        <f aca="false">IF(OR(E557="",M557=0),"",ROUND((F557*$N$551+G557*$O$551)*24,3))</f>
        <v/>
      </c>
      <c r="I557" s="27"/>
      <c r="K557" s="28" t="str">
        <f aca="false">IF(OR(M557=0,C557=""),"",IF(ISNUMBER(C557),MOD(C557,1),IFERROR(INDEX(القوائم!$B$1:$B$288,MATCH(TRIM(C557),القوائم!$A$1:$A$288,0)),IFERROR(MOD(TIMEVALUE(C557),1),""))))</f>
        <v/>
      </c>
      <c r="L557" s="28" t="str">
        <f aca="false">IF(OR(M557=0,D557=""),"",IF(ISNUMBER(D557),MOD(D557,1),IFERROR(INDEX(القوائم!$B$1:$B$288,MATCH(TRIM(D557),القوائم!$A$1:$A$288,0)),IFERROR(MOD(TIMEVALUE(D557),1),""))))</f>
        <v/>
      </c>
      <c r="M557" s="19" t="n">
        <f aca="false">$M$551</f>
        <v>1</v>
      </c>
      <c r="Q557" s="19" t="n">
        <f aca="false">IF(N(E563)&gt;0,1,0)</f>
        <v>0</v>
      </c>
      <c r="S557" s="0" t="n">
        <v>40</v>
      </c>
    </row>
    <row r="558" customFormat="false" ht="15" hidden="false" customHeight="false" outlineLevel="0" collapsed="false">
      <c r="A558" s="22" t="n">
        <f aca="false">IF(40&lt;=NW,WEEK_ONE+278,"")</f>
        <v>46296</v>
      </c>
      <c r="B558" s="23" t="str">
        <f aca="false">IF(A558="","",CHOOSE(WEEKDAY(A558,1),"الأحد","الاثنين","الثلاثاء","الأربعاء","الخميس","الجمعة","السبت"))</f>
        <v>الخميس</v>
      </c>
      <c r="C558" s="24"/>
      <c r="D558" s="24"/>
      <c r="E558" s="25" t="str">
        <f aca="false">IF(OR(M558=0,K558="",L558=""),"",MOD(L558-K558,1))</f>
        <v/>
      </c>
      <c r="F558" s="25" t="str">
        <f aca="false">IF(OR(E558="",M558=0),"",IF(WEEKDAY(A558,1)=6,E558,MIN(E558,MAX(0,MIN(IF(L558&lt;K558,L558+1,L558),OMR_OT_AT)-K558))))</f>
        <v/>
      </c>
      <c r="G558" s="25" t="str">
        <f aca="false">IF(OR(E558="",M558=0),"",MAX(0,E558-F558))</f>
        <v/>
      </c>
      <c r="H558" s="26" t="str">
        <f aca="false">IF(OR(E558="",M558=0),"",ROUND((F558*$N$551+G558*$O$551)*24,3))</f>
        <v/>
      </c>
      <c r="I558" s="27"/>
      <c r="K558" s="28" t="str">
        <f aca="false">IF(OR(M558=0,C558=""),"",IF(ISNUMBER(C558),MOD(C558,1),IFERROR(INDEX(القوائم!$B$1:$B$288,MATCH(TRIM(C558),القوائم!$A$1:$A$288,0)),IFERROR(MOD(TIMEVALUE(C558),1),""))))</f>
        <v/>
      </c>
      <c r="L558" s="28" t="str">
        <f aca="false">IF(OR(M558=0,D558=""),"",IF(ISNUMBER(D558),MOD(D558,1),IFERROR(INDEX(القوائم!$B$1:$B$288,MATCH(TRIM(D558),القوائم!$A$1:$A$288,0)),IFERROR(MOD(TIMEVALUE(D558),1),""))))</f>
        <v/>
      </c>
      <c r="M558" s="19" t="n">
        <f aca="false">$M$551</f>
        <v>1</v>
      </c>
      <c r="Q558" s="19" t="n">
        <f aca="false">IF(N(E563)&gt;0,1,0)</f>
        <v>0</v>
      </c>
      <c r="S558" s="0" t="n">
        <v>40</v>
      </c>
    </row>
    <row r="559" customFormat="false" ht="15" hidden="false" customHeight="false" outlineLevel="0" collapsed="false">
      <c r="A559" s="29" t="n">
        <f aca="false">IF(40&lt;=NW,WEEK_ONE+279,"")</f>
        <v>46297</v>
      </c>
      <c r="B559" s="30" t="str">
        <f aca="false">IF(A559="","",CHOOSE(WEEKDAY(A559,1),"الأحد","الاثنين","الثلاثاء","الأربعاء","الخميس","الجمعة","السبت"))</f>
        <v>الجمعة</v>
      </c>
      <c r="C559" s="24"/>
      <c r="D559" s="24"/>
      <c r="E559" s="25" t="str">
        <f aca="false">IF(OR(M559=0,K559="",L559=""),"",MOD(L559-K559,1))</f>
        <v/>
      </c>
      <c r="F559" s="25" t="str">
        <f aca="false">IF(OR(E559="",M559=0),"",IF(WEEKDAY(A559,1)=6,E559,MIN(E559,MAX(0,MIN(IF(L559&lt;K559,L559+1,L559),OMR_OT_AT)-K559))))</f>
        <v/>
      </c>
      <c r="G559" s="25" t="str">
        <f aca="false">IF(OR(E559="",M559=0),"",MAX(0,E559-F559))</f>
        <v/>
      </c>
      <c r="H559" s="26" t="str">
        <f aca="false">IF(OR(E559="",M559=0),"",ROUND((F559*$N$551+G559*$O$551)*24,3))</f>
        <v/>
      </c>
      <c r="I559" s="27"/>
      <c r="K559" s="28" t="str">
        <f aca="false">IF(OR(M559=0,C559=""),"",IF(ISNUMBER(C559),MOD(C559,1),IFERROR(INDEX(القوائم!$B$1:$B$288,MATCH(TRIM(C559),القوائم!$A$1:$A$288,0)),IFERROR(MOD(TIMEVALUE(C559),1),""))))</f>
        <v/>
      </c>
      <c r="L559" s="28" t="str">
        <f aca="false">IF(OR(M559=0,D559=""),"",IF(ISNUMBER(D559),MOD(D559,1),IFERROR(INDEX(القوائم!$B$1:$B$288,MATCH(TRIM(D559),القوائم!$A$1:$A$288,0)),IFERROR(MOD(TIMEVALUE(D559),1),""))))</f>
        <v/>
      </c>
      <c r="M559" s="19" t="n">
        <f aca="false">$M$551</f>
        <v>1</v>
      </c>
      <c r="Q559" s="19" t="n">
        <f aca="false">IF(N(E563)&gt;0,1,0)</f>
        <v>0</v>
      </c>
      <c r="S559" s="0" t="n">
        <v>40</v>
      </c>
    </row>
    <row r="560" customFormat="false" ht="15" hidden="false" customHeight="false" outlineLevel="0" collapsed="false">
      <c r="A560" s="31" t="str">
        <f aca="false">IF(M551=1,"ساعات تحميل الجبسمبورد بهالأسبوع ←","")</f>
        <v>ساعات تحميل الجبسمبورد بهالأسبوع ←</v>
      </c>
      <c r="B560" s="31"/>
      <c r="C560" s="31"/>
      <c r="D560" s="31"/>
      <c r="E560" s="32"/>
      <c r="F560" s="33" t="str">
        <f aca="false">IF(M551=1,"كل ساعة تحميل = "&amp;TEXT($P$551,"0.000")&amp;" دينار (منها "&amp;TEXT($N$551,"0.000")&amp;" محسوبة أصلاً بساعات اليوم)","")</f>
        <v>كل ساعة تحميل = 2.500 دينار (منها 1.250 محسوبة أصلاً بساعات اليوم)</v>
      </c>
      <c r="G560" s="33"/>
      <c r="H560" s="33"/>
      <c r="I560" s="33"/>
      <c r="M560" s="19" t="n">
        <f aca="false">$M$551</f>
        <v>1</v>
      </c>
      <c r="Q560" s="19" t="n">
        <f aca="false">IF(N(E563)&gt;0,1,0)</f>
        <v>0</v>
      </c>
      <c r="S560" s="0" t="n">
        <v>40</v>
      </c>
    </row>
    <row r="561" customFormat="false" ht="15" hidden="false" customHeight="false" outlineLevel="0" collapsed="false">
      <c r="A561" s="31" t="str">
        <f aca="false">IF(M551=1,"إكرامية الأسبوع (دينار) ←","")</f>
        <v>إكرامية الأسبوع (دينار) ←</v>
      </c>
      <c r="B561" s="31"/>
      <c r="C561" s="31"/>
      <c r="D561" s="31"/>
      <c r="E561" s="34"/>
      <c r="F561" s="35"/>
      <c r="G561" s="35"/>
      <c r="H561" s="35"/>
      <c r="I561" s="35"/>
      <c r="M561" s="19" t="n">
        <f aca="false">$M$551</f>
        <v>1</v>
      </c>
      <c r="Q561" s="19" t="n">
        <f aca="false">IF(N(E563)&gt;0,1,0)</f>
        <v>0</v>
      </c>
      <c r="S561" s="0" t="n">
        <v>40</v>
      </c>
    </row>
    <row r="562" customFormat="false" ht="36" hidden="false" customHeight="true" outlineLevel="0" collapsed="false">
      <c r="A562" s="36" t="str">
        <f aca="false">IF(M551=1,"المستحق النهائي للأسبوع","")</f>
        <v>المستحق النهائي للأسبوع</v>
      </c>
      <c r="B562" s="36"/>
      <c r="C562" s="36"/>
      <c r="D562" s="36"/>
      <c r="E562" s="36"/>
      <c r="F562" s="36"/>
      <c r="G562" s="36"/>
      <c r="H562" s="11" t="n">
        <f aca="false">IF(M551=1,ROUND(N($V$551)+N(E560)*($P$551-$N$551)+N(E561),3),"")</f>
        <v>0</v>
      </c>
      <c r="I562" s="37"/>
      <c r="M562" s="19" t="n">
        <f aca="false">$M$551</f>
        <v>1</v>
      </c>
      <c r="Q562" s="19" t="n">
        <f aca="false">IF(N(E563)&gt;0,1,0)</f>
        <v>0</v>
      </c>
      <c r="S562" s="0" t="n">
        <v>40</v>
      </c>
      <c r="T562" s="0" t="n">
        <v>1</v>
      </c>
    </row>
    <row r="563" customFormat="false" ht="25.5" hidden="false" customHeight="true" outlineLevel="0" collapsed="false">
      <c r="A563" s="31" t="str">
        <f aca="false">IF(M551=1,"المدفوع (دينار) ←","")</f>
        <v>المدفوع (دينار) ←</v>
      </c>
      <c r="B563" s="31"/>
      <c r="C563" s="31"/>
      <c r="D563" s="31"/>
      <c r="E563" s="34"/>
      <c r="F563" s="38" t="str">
        <f aca="false">IF(M551=1,IF(N(E563)&gt;0,"✔ انقبض — الأسبوع مقفول","⏳ لسا ما انقبض"),"")</f>
        <v>⏳ لسا ما انقبض</v>
      </c>
      <c r="G563" s="38"/>
      <c r="H563" s="38"/>
      <c r="I563" s="38"/>
      <c r="M563" s="19" t="n">
        <f aca="false">$M$551</f>
        <v>1</v>
      </c>
      <c r="Q563" s="19" t="n">
        <f aca="false">IF(N(E563)&gt;0,1,0)</f>
        <v>0</v>
      </c>
      <c r="S563" s="0" t="n">
        <v>40</v>
      </c>
    </row>
    <row r="564" customFormat="false" ht="9.75" hidden="false" customHeight="true" outlineLevel="0" collapsed="false">
      <c r="M564" s="19" t="n">
        <f aca="false">$M$551</f>
        <v>1</v>
      </c>
      <c r="Q564" s="19" t="n">
        <f aca="false">IF(N(E563)&gt;0,1,0)</f>
        <v>0</v>
      </c>
      <c r="S564" s="0" t="n">
        <v>40</v>
      </c>
      <c r="T564" s="0" t="n">
        <v>2</v>
      </c>
    </row>
    <row r="565" customFormat="false" ht="33.75" hidden="false" customHeight="true" outlineLevel="0" collapsed="false">
      <c r="A565" s="17" t="str">
        <f aca="false">IF(41&lt;=NW,TEXT(DAY(WEEK_ONE+280),"00")&amp;"/"&amp;TEXT(MONTH(WEEK_ONE+280),"00")&amp;"/"&amp;YEAR(WEEK_ONE+280)&amp;"  -  "&amp;TEXT(DAY(WEEK_ONE+286),"00")&amp;"/"&amp;TEXT(MONTH(WEEK_ONE+286),"00")&amp;"/"&amp;YEAR(WEEK_ONE+286)&amp;"   ·   الأسبوع 41"&amp;IF(41&lt;START_O,"   (قبل أسبوع البداية — ما بينحسب)",""),"ما في أسبوع 41 هالسنة")</f>
        <v>03/10/2026  -  09/10/2026   ·   الأسبوع 41</v>
      </c>
      <c r="B565" s="17"/>
      <c r="C565" s="17"/>
      <c r="D565" s="17"/>
      <c r="E565" s="17"/>
      <c r="F565" s="17"/>
      <c r="G565" s="17"/>
      <c r="H565" s="17"/>
      <c r="I565" s="17"/>
      <c r="L565" s="18" t="n">
        <f aca="false">IF(41&lt;=NW,WEEK_ONE+286,"")</f>
        <v>46304</v>
      </c>
      <c r="M565" s="19" t="n">
        <f aca="false">IF(AND(41&lt;=NW,41&gt;=START_O),1,0)</f>
        <v>1</v>
      </c>
      <c r="N565" s="20" t="n">
        <f aca="false">IFERROR(INDEX(RT_OMR,MATCH(L565,RT_K,1)),INDEX(RT_OMR,1))</f>
        <v>1.25</v>
      </c>
      <c r="O565" s="20" t="n">
        <f aca="false">IFERROR(INDEX(RT_OT,MATCH(L565,RT_K,1)),INDEX(RT_OT,1))</f>
        <v>1.5</v>
      </c>
      <c r="P565" s="20" t="n">
        <f aca="false">IFERROR(INDEX(RT_GYP,MATCH(L565,RT_K,1)),INDEX(RT_GYP,1))</f>
        <v>2.5</v>
      </c>
      <c r="Q565" s="19" t="n">
        <f aca="false">IF(N(E577)&gt;0,1,0)</f>
        <v>0</v>
      </c>
      <c r="R565" s="0" t="n">
        <v>41</v>
      </c>
      <c r="S565" s="0" t="n">
        <v>41</v>
      </c>
      <c r="U565" s="39" t="n">
        <f aca="false">IF(M565=1,SUM(E567:E573),0)</f>
        <v>0</v>
      </c>
      <c r="V565" s="19" t="n">
        <f aca="false">SUM(H567:H573)</f>
        <v>0</v>
      </c>
    </row>
    <row r="566" customFormat="false" ht="39.75" hidden="false" customHeight="true" outlineLevel="0" collapsed="false">
      <c r="A566" s="21" t="s">
        <v>18</v>
      </c>
      <c r="B566" s="21" t="s">
        <v>19</v>
      </c>
      <c r="C566" s="21" t="s">
        <v>20</v>
      </c>
      <c r="D566" s="21" t="s">
        <v>21</v>
      </c>
      <c r="E566" s="21" t="s">
        <v>22</v>
      </c>
      <c r="F566" s="21" t="s">
        <v>23</v>
      </c>
      <c r="G566" s="21" t="s">
        <v>24</v>
      </c>
      <c r="H566" s="21" t="s">
        <v>25</v>
      </c>
      <c r="I566" s="21" t="s">
        <v>26</v>
      </c>
      <c r="M566" s="19" t="n">
        <f aca="false">$M$565</f>
        <v>1</v>
      </c>
      <c r="Q566" s="19" t="n">
        <f aca="false">IF(N(E577)&gt;0,1,0)</f>
        <v>0</v>
      </c>
      <c r="S566" s="0" t="n">
        <v>41</v>
      </c>
    </row>
    <row r="567" customFormat="false" ht="15" hidden="false" customHeight="false" outlineLevel="0" collapsed="false">
      <c r="A567" s="22" t="n">
        <f aca="false">IF(41&lt;=NW,WEEK_ONE+280,"")</f>
        <v>46298</v>
      </c>
      <c r="B567" s="23" t="str">
        <f aca="false">IF(A567="","",CHOOSE(WEEKDAY(A567,1),"الأحد","الاثنين","الثلاثاء","الأربعاء","الخميس","الجمعة","السبت"))</f>
        <v>السبت</v>
      </c>
      <c r="C567" s="24"/>
      <c r="D567" s="24"/>
      <c r="E567" s="25" t="str">
        <f aca="false">IF(OR(M567=0,K567="",L567=""),"",MOD(L567-K567,1))</f>
        <v/>
      </c>
      <c r="F567" s="25" t="str">
        <f aca="false">IF(OR(E567="",M567=0),"",IF(WEEKDAY(A567,1)=6,E567,MIN(E567,MAX(0,MIN(IF(L567&lt;K567,L567+1,L567),OMR_OT_AT)-K567))))</f>
        <v/>
      </c>
      <c r="G567" s="25" t="str">
        <f aca="false">IF(OR(E567="",M567=0),"",MAX(0,E567-F567))</f>
        <v/>
      </c>
      <c r="H567" s="26" t="str">
        <f aca="false">IF(OR(E567="",M567=0),"",ROUND((F567*$N$565+G567*$O$565)*24,3))</f>
        <v/>
      </c>
      <c r="I567" s="27"/>
      <c r="K567" s="28" t="str">
        <f aca="false">IF(OR(M567=0,C567=""),"",IF(ISNUMBER(C567),MOD(C567,1),IFERROR(INDEX(القوائم!$B$1:$B$288,MATCH(TRIM(C567),القوائم!$A$1:$A$288,0)),IFERROR(MOD(TIMEVALUE(C567),1),""))))</f>
        <v/>
      </c>
      <c r="L567" s="28" t="str">
        <f aca="false">IF(OR(M567=0,D567=""),"",IF(ISNUMBER(D567),MOD(D567,1),IFERROR(INDEX(القوائم!$B$1:$B$288,MATCH(TRIM(D567),القوائم!$A$1:$A$288,0)),IFERROR(MOD(TIMEVALUE(D567),1),""))))</f>
        <v/>
      </c>
      <c r="M567" s="19" t="n">
        <f aca="false">$M$565</f>
        <v>1</v>
      </c>
      <c r="Q567" s="19" t="n">
        <f aca="false">IF(N(E577)&gt;0,1,0)</f>
        <v>0</v>
      </c>
      <c r="S567" s="0" t="n">
        <v>41</v>
      </c>
    </row>
    <row r="568" customFormat="false" ht="15" hidden="false" customHeight="false" outlineLevel="0" collapsed="false">
      <c r="A568" s="22" t="n">
        <f aca="false">IF(41&lt;=NW,WEEK_ONE+281,"")</f>
        <v>46299</v>
      </c>
      <c r="B568" s="23" t="str">
        <f aca="false">IF(A568="","",CHOOSE(WEEKDAY(A568,1),"الأحد","الاثنين","الثلاثاء","الأربعاء","الخميس","الجمعة","السبت"))</f>
        <v>الأحد</v>
      </c>
      <c r="C568" s="24"/>
      <c r="D568" s="24"/>
      <c r="E568" s="25" t="str">
        <f aca="false">IF(OR(M568=0,K568="",L568=""),"",MOD(L568-K568,1))</f>
        <v/>
      </c>
      <c r="F568" s="25" t="str">
        <f aca="false">IF(OR(E568="",M568=0),"",IF(WEEKDAY(A568,1)=6,E568,MIN(E568,MAX(0,MIN(IF(L568&lt;K568,L568+1,L568),OMR_OT_AT)-K568))))</f>
        <v/>
      </c>
      <c r="G568" s="25" t="str">
        <f aca="false">IF(OR(E568="",M568=0),"",MAX(0,E568-F568))</f>
        <v/>
      </c>
      <c r="H568" s="26" t="str">
        <f aca="false">IF(OR(E568="",M568=0),"",ROUND((F568*$N$565+G568*$O$565)*24,3))</f>
        <v/>
      </c>
      <c r="I568" s="27"/>
      <c r="K568" s="28" t="str">
        <f aca="false">IF(OR(M568=0,C568=""),"",IF(ISNUMBER(C568),MOD(C568,1),IFERROR(INDEX(القوائم!$B$1:$B$288,MATCH(TRIM(C568),القوائم!$A$1:$A$288,0)),IFERROR(MOD(TIMEVALUE(C568),1),""))))</f>
        <v/>
      </c>
      <c r="L568" s="28" t="str">
        <f aca="false">IF(OR(M568=0,D568=""),"",IF(ISNUMBER(D568),MOD(D568,1),IFERROR(INDEX(القوائم!$B$1:$B$288,MATCH(TRIM(D568),القوائم!$A$1:$A$288,0)),IFERROR(MOD(TIMEVALUE(D568),1),""))))</f>
        <v/>
      </c>
      <c r="M568" s="19" t="n">
        <f aca="false">$M$565</f>
        <v>1</v>
      </c>
      <c r="Q568" s="19" t="n">
        <f aca="false">IF(N(E577)&gt;0,1,0)</f>
        <v>0</v>
      </c>
      <c r="S568" s="0" t="n">
        <v>41</v>
      </c>
    </row>
    <row r="569" customFormat="false" ht="15" hidden="false" customHeight="false" outlineLevel="0" collapsed="false">
      <c r="A569" s="22" t="n">
        <f aca="false">IF(41&lt;=NW,WEEK_ONE+282,"")</f>
        <v>46300</v>
      </c>
      <c r="B569" s="23" t="str">
        <f aca="false">IF(A569="","",CHOOSE(WEEKDAY(A569,1),"الأحد","الاثنين","الثلاثاء","الأربعاء","الخميس","الجمعة","السبت"))</f>
        <v>الاثنين</v>
      </c>
      <c r="C569" s="24"/>
      <c r="D569" s="24"/>
      <c r="E569" s="25" t="str">
        <f aca="false">IF(OR(M569=0,K569="",L569=""),"",MOD(L569-K569,1))</f>
        <v/>
      </c>
      <c r="F569" s="25" t="str">
        <f aca="false">IF(OR(E569="",M569=0),"",IF(WEEKDAY(A569,1)=6,E569,MIN(E569,MAX(0,MIN(IF(L569&lt;K569,L569+1,L569),OMR_OT_AT)-K569))))</f>
        <v/>
      </c>
      <c r="G569" s="25" t="str">
        <f aca="false">IF(OR(E569="",M569=0),"",MAX(0,E569-F569))</f>
        <v/>
      </c>
      <c r="H569" s="26" t="str">
        <f aca="false">IF(OR(E569="",M569=0),"",ROUND((F569*$N$565+G569*$O$565)*24,3))</f>
        <v/>
      </c>
      <c r="I569" s="27"/>
      <c r="K569" s="28" t="str">
        <f aca="false">IF(OR(M569=0,C569=""),"",IF(ISNUMBER(C569),MOD(C569,1),IFERROR(INDEX(القوائم!$B$1:$B$288,MATCH(TRIM(C569),القوائم!$A$1:$A$288,0)),IFERROR(MOD(TIMEVALUE(C569),1),""))))</f>
        <v/>
      </c>
      <c r="L569" s="28" t="str">
        <f aca="false">IF(OR(M569=0,D569=""),"",IF(ISNUMBER(D569),MOD(D569,1),IFERROR(INDEX(القوائم!$B$1:$B$288,MATCH(TRIM(D569),القوائم!$A$1:$A$288,0)),IFERROR(MOD(TIMEVALUE(D569),1),""))))</f>
        <v/>
      </c>
      <c r="M569" s="19" t="n">
        <f aca="false">$M$565</f>
        <v>1</v>
      </c>
      <c r="Q569" s="19" t="n">
        <f aca="false">IF(N(E577)&gt;0,1,0)</f>
        <v>0</v>
      </c>
      <c r="S569" s="0" t="n">
        <v>41</v>
      </c>
    </row>
    <row r="570" customFormat="false" ht="15" hidden="false" customHeight="false" outlineLevel="0" collapsed="false">
      <c r="A570" s="22" t="n">
        <f aca="false">IF(41&lt;=NW,WEEK_ONE+283,"")</f>
        <v>46301</v>
      </c>
      <c r="B570" s="23" t="str">
        <f aca="false">IF(A570="","",CHOOSE(WEEKDAY(A570,1),"الأحد","الاثنين","الثلاثاء","الأربعاء","الخميس","الجمعة","السبت"))</f>
        <v>الثلاثاء</v>
      </c>
      <c r="C570" s="24"/>
      <c r="D570" s="24"/>
      <c r="E570" s="25" t="str">
        <f aca="false">IF(OR(M570=0,K570="",L570=""),"",MOD(L570-K570,1))</f>
        <v/>
      </c>
      <c r="F570" s="25" t="str">
        <f aca="false">IF(OR(E570="",M570=0),"",IF(WEEKDAY(A570,1)=6,E570,MIN(E570,MAX(0,MIN(IF(L570&lt;K570,L570+1,L570),OMR_OT_AT)-K570))))</f>
        <v/>
      </c>
      <c r="G570" s="25" t="str">
        <f aca="false">IF(OR(E570="",M570=0),"",MAX(0,E570-F570))</f>
        <v/>
      </c>
      <c r="H570" s="26" t="str">
        <f aca="false">IF(OR(E570="",M570=0),"",ROUND((F570*$N$565+G570*$O$565)*24,3))</f>
        <v/>
      </c>
      <c r="I570" s="27"/>
      <c r="K570" s="28" t="str">
        <f aca="false">IF(OR(M570=0,C570=""),"",IF(ISNUMBER(C570),MOD(C570,1),IFERROR(INDEX(القوائم!$B$1:$B$288,MATCH(TRIM(C570),القوائم!$A$1:$A$288,0)),IFERROR(MOD(TIMEVALUE(C570),1),""))))</f>
        <v/>
      </c>
      <c r="L570" s="28" t="str">
        <f aca="false">IF(OR(M570=0,D570=""),"",IF(ISNUMBER(D570),MOD(D570,1),IFERROR(INDEX(القوائم!$B$1:$B$288,MATCH(TRIM(D570),القوائم!$A$1:$A$288,0)),IFERROR(MOD(TIMEVALUE(D570),1),""))))</f>
        <v/>
      </c>
      <c r="M570" s="19" t="n">
        <f aca="false">$M$565</f>
        <v>1</v>
      </c>
      <c r="Q570" s="19" t="n">
        <f aca="false">IF(N(E577)&gt;0,1,0)</f>
        <v>0</v>
      </c>
      <c r="S570" s="0" t="n">
        <v>41</v>
      </c>
    </row>
    <row r="571" customFormat="false" ht="15" hidden="false" customHeight="false" outlineLevel="0" collapsed="false">
      <c r="A571" s="22" t="n">
        <f aca="false">IF(41&lt;=NW,WEEK_ONE+284,"")</f>
        <v>46302</v>
      </c>
      <c r="B571" s="23" t="str">
        <f aca="false">IF(A571="","",CHOOSE(WEEKDAY(A571,1),"الأحد","الاثنين","الثلاثاء","الأربعاء","الخميس","الجمعة","السبت"))</f>
        <v>الأربعاء</v>
      </c>
      <c r="C571" s="24"/>
      <c r="D571" s="24"/>
      <c r="E571" s="25" t="str">
        <f aca="false">IF(OR(M571=0,K571="",L571=""),"",MOD(L571-K571,1))</f>
        <v/>
      </c>
      <c r="F571" s="25" t="str">
        <f aca="false">IF(OR(E571="",M571=0),"",IF(WEEKDAY(A571,1)=6,E571,MIN(E571,MAX(0,MIN(IF(L571&lt;K571,L571+1,L571),OMR_OT_AT)-K571))))</f>
        <v/>
      </c>
      <c r="G571" s="25" t="str">
        <f aca="false">IF(OR(E571="",M571=0),"",MAX(0,E571-F571))</f>
        <v/>
      </c>
      <c r="H571" s="26" t="str">
        <f aca="false">IF(OR(E571="",M571=0),"",ROUND((F571*$N$565+G571*$O$565)*24,3))</f>
        <v/>
      </c>
      <c r="I571" s="27"/>
      <c r="K571" s="28" t="str">
        <f aca="false">IF(OR(M571=0,C571=""),"",IF(ISNUMBER(C571),MOD(C571,1),IFERROR(INDEX(القوائم!$B$1:$B$288,MATCH(TRIM(C571),القوائم!$A$1:$A$288,0)),IFERROR(MOD(TIMEVALUE(C571),1),""))))</f>
        <v/>
      </c>
      <c r="L571" s="28" t="str">
        <f aca="false">IF(OR(M571=0,D571=""),"",IF(ISNUMBER(D571),MOD(D571,1),IFERROR(INDEX(القوائم!$B$1:$B$288,MATCH(TRIM(D571),القوائم!$A$1:$A$288,0)),IFERROR(MOD(TIMEVALUE(D571),1),""))))</f>
        <v/>
      </c>
      <c r="M571" s="19" t="n">
        <f aca="false">$M$565</f>
        <v>1</v>
      </c>
      <c r="Q571" s="19" t="n">
        <f aca="false">IF(N(E577)&gt;0,1,0)</f>
        <v>0</v>
      </c>
      <c r="S571" s="0" t="n">
        <v>41</v>
      </c>
    </row>
    <row r="572" customFormat="false" ht="15" hidden="false" customHeight="false" outlineLevel="0" collapsed="false">
      <c r="A572" s="22" t="n">
        <f aca="false">IF(41&lt;=NW,WEEK_ONE+285,"")</f>
        <v>46303</v>
      </c>
      <c r="B572" s="23" t="str">
        <f aca="false">IF(A572="","",CHOOSE(WEEKDAY(A572,1),"الأحد","الاثنين","الثلاثاء","الأربعاء","الخميس","الجمعة","السبت"))</f>
        <v>الخميس</v>
      </c>
      <c r="C572" s="24"/>
      <c r="D572" s="24"/>
      <c r="E572" s="25" t="str">
        <f aca="false">IF(OR(M572=0,K572="",L572=""),"",MOD(L572-K572,1))</f>
        <v/>
      </c>
      <c r="F572" s="25" t="str">
        <f aca="false">IF(OR(E572="",M572=0),"",IF(WEEKDAY(A572,1)=6,E572,MIN(E572,MAX(0,MIN(IF(L572&lt;K572,L572+1,L572),OMR_OT_AT)-K572))))</f>
        <v/>
      </c>
      <c r="G572" s="25" t="str">
        <f aca="false">IF(OR(E572="",M572=0),"",MAX(0,E572-F572))</f>
        <v/>
      </c>
      <c r="H572" s="26" t="str">
        <f aca="false">IF(OR(E572="",M572=0),"",ROUND((F572*$N$565+G572*$O$565)*24,3))</f>
        <v/>
      </c>
      <c r="I572" s="27"/>
      <c r="K572" s="28" t="str">
        <f aca="false">IF(OR(M572=0,C572=""),"",IF(ISNUMBER(C572),MOD(C572,1),IFERROR(INDEX(القوائم!$B$1:$B$288,MATCH(TRIM(C572),القوائم!$A$1:$A$288,0)),IFERROR(MOD(TIMEVALUE(C572),1),""))))</f>
        <v/>
      </c>
      <c r="L572" s="28" t="str">
        <f aca="false">IF(OR(M572=0,D572=""),"",IF(ISNUMBER(D572),MOD(D572,1),IFERROR(INDEX(القوائم!$B$1:$B$288,MATCH(TRIM(D572),القوائم!$A$1:$A$288,0)),IFERROR(MOD(TIMEVALUE(D572),1),""))))</f>
        <v/>
      </c>
      <c r="M572" s="19" t="n">
        <f aca="false">$M$565</f>
        <v>1</v>
      </c>
      <c r="Q572" s="19" t="n">
        <f aca="false">IF(N(E577)&gt;0,1,0)</f>
        <v>0</v>
      </c>
      <c r="S572" s="0" t="n">
        <v>41</v>
      </c>
    </row>
    <row r="573" customFormat="false" ht="15" hidden="false" customHeight="false" outlineLevel="0" collapsed="false">
      <c r="A573" s="29" t="n">
        <f aca="false">IF(41&lt;=NW,WEEK_ONE+286,"")</f>
        <v>46304</v>
      </c>
      <c r="B573" s="30" t="str">
        <f aca="false">IF(A573="","",CHOOSE(WEEKDAY(A573,1),"الأحد","الاثنين","الثلاثاء","الأربعاء","الخميس","الجمعة","السبت"))</f>
        <v>الجمعة</v>
      </c>
      <c r="C573" s="24"/>
      <c r="D573" s="24"/>
      <c r="E573" s="25" t="str">
        <f aca="false">IF(OR(M573=0,K573="",L573=""),"",MOD(L573-K573,1))</f>
        <v/>
      </c>
      <c r="F573" s="25" t="str">
        <f aca="false">IF(OR(E573="",M573=0),"",IF(WEEKDAY(A573,1)=6,E573,MIN(E573,MAX(0,MIN(IF(L573&lt;K573,L573+1,L573),OMR_OT_AT)-K573))))</f>
        <v/>
      </c>
      <c r="G573" s="25" t="str">
        <f aca="false">IF(OR(E573="",M573=0),"",MAX(0,E573-F573))</f>
        <v/>
      </c>
      <c r="H573" s="26" t="str">
        <f aca="false">IF(OR(E573="",M573=0),"",ROUND((F573*$N$565+G573*$O$565)*24,3))</f>
        <v/>
      </c>
      <c r="I573" s="27"/>
      <c r="K573" s="28" t="str">
        <f aca="false">IF(OR(M573=0,C573=""),"",IF(ISNUMBER(C573),MOD(C573,1),IFERROR(INDEX(القوائم!$B$1:$B$288,MATCH(TRIM(C573),القوائم!$A$1:$A$288,0)),IFERROR(MOD(TIMEVALUE(C573),1),""))))</f>
        <v/>
      </c>
      <c r="L573" s="28" t="str">
        <f aca="false">IF(OR(M573=0,D573=""),"",IF(ISNUMBER(D573),MOD(D573,1),IFERROR(INDEX(القوائم!$B$1:$B$288,MATCH(TRIM(D573),القوائم!$A$1:$A$288,0)),IFERROR(MOD(TIMEVALUE(D573),1),""))))</f>
        <v/>
      </c>
      <c r="M573" s="19" t="n">
        <f aca="false">$M$565</f>
        <v>1</v>
      </c>
      <c r="Q573" s="19" t="n">
        <f aca="false">IF(N(E577)&gt;0,1,0)</f>
        <v>0</v>
      </c>
      <c r="S573" s="0" t="n">
        <v>41</v>
      </c>
    </row>
    <row r="574" customFormat="false" ht="15" hidden="false" customHeight="false" outlineLevel="0" collapsed="false">
      <c r="A574" s="31" t="str">
        <f aca="false">IF(M565=1,"ساعات تحميل الجبسمبورد بهالأسبوع ←","")</f>
        <v>ساعات تحميل الجبسمبورد بهالأسبوع ←</v>
      </c>
      <c r="B574" s="31"/>
      <c r="C574" s="31"/>
      <c r="D574" s="31"/>
      <c r="E574" s="32"/>
      <c r="F574" s="33" t="str">
        <f aca="false">IF(M565=1,"كل ساعة تحميل = "&amp;TEXT($P$565,"0.000")&amp;" دينار (منها "&amp;TEXT($N$565,"0.000")&amp;" محسوبة أصلاً بساعات اليوم)","")</f>
        <v>كل ساعة تحميل = 2.500 دينار (منها 1.250 محسوبة أصلاً بساعات اليوم)</v>
      </c>
      <c r="G574" s="33"/>
      <c r="H574" s="33"/>
      <c r="I574" s="33"/>
      <c r="M574" s="19" t="n">
        <f aca="false">$M$565</f>
        <v>1</v>
      </c>
      <c r="Q574" s="19" t="n">
        <f aca="false">IF(N(E577)&gt;0,1,0)</f>
        <v>0</v>
      </c>
      <c r="S574" s="0" t="n">
        <v>41</v>
      </c>
    </row>
    <row r="575" customFormat="false" ht="15" hidden="false" customHeight="false" outlineLevel="0" collapsed="false">
      <c r="A575" s="31" t="str">
        <f aca="false">IF(M565=1,"إكرامية الأسبوع (دينار) ←","")</f>
        <v>إكرامية الأسبوع (دينار) ←</v>
      </c>
      <c r="B575" s="31"/>
      <c r="C575" s="31"/>
      <c r="D575" s="31"/>
      <c r="E575" s="34"/>
      <c r="F575" s="35"/>
      <c r="G575" s="35"/>
      <c r="H575" s="35"/>
      <c r="I575" s="35"/>
      <c r="M575" s="19" t="n">
        <f aca="false">$M$565</f>
        <v>1</v>
      </c>
      <c r="Q575" s="19" t="n">
        <f aca="false">IF(N(E577)&gt;0,1,0)</f>
        <v>0</v>
      </c>
      <c r="S575" s="0" t="n">
        <v>41</v>
      </c>
    </row>
    <row r="576" customFormat="false" ht="36" hidden="false" customHeight="true" outlineLevel="0" collapsed="false">
      <c r="A576" s="36" t="str">
        <f aca="false">IF(M565=1,"المستحق النهائي للأسبوع","")</f>
        <v>المستحق النهائي للأسبوع</v>
      </c>
      <c r="B576" s="36"/>
      <c r="C576" s="36"/>
      <c r="D576" s="36"/>
      <c r="E576" s="36"/>
      <c r="F576" s="36"/>
      <c r="G576" s="36"/>
      <c r="H576" s="11" t="n">
        <f aca="false">IF(M565=1,ROUND(N($V$565)+N(E574)*($P$565-$N$565)+N(E575),3),"")</f>
        <v>0</v>
      </c>
      <c r="I576" s="37"/>
      <c r="M576" s="19" t="n">
        <f aca="false">$M$565</f>
        <v>1</v>
      </c>
      <c r="Q576" s="19" t="n">
        <f aca="false">IF(N(E577)&gt;0,1,0)</f>
        <v>0</v>
      </c>
      <c r="S576" s="0" t="n">
        <v>41</v>
      </c>
      <c r="T576" s="0" t="n">
        <v>1</v>
      </c>
    </row>
    <row r="577" customFormat="false" ht="25.5" hidden="false" customHeight="true" outlineLevel="0" collapsed="false">
      <c r="A577" s="31" t="str">
        <f aca="false">IF(M565=1,"المدفوع (دينار) ←","")</f>
        <v>المدفوع (دينار) ←</v>
      </c>
      <c r="B577" s="31"/>
      <c r="C577" s="31"/>
      <c r="D577" s="31"/>
      <c r="E577" s="34"/>
      <c r="F577" s="38" t="str">
        <f aca="false">IF(M565=1,IF(N(E577)&gt;0,"✔ انقبض — الأسبوع مقفول","⏳ لسا ما انقبض"),"")</f>
        <v>⏳ لسا ما انقبض</v>
      </c>
      <c r="G577" s="38"/>
      <c r="H577" s="38"/>
      <c r="I577" s="38"/>
      <c r="M577" s="19" t="n">
        <f aca="false">$M$565</f>
        <v>1</v>
      </c>
      <c r="Q577" s="19" t="n">
        <f aca="false">IF(N(E577)&gt;0,1,0)</f>
        <v>0</v>
      </c>
      <c r="S577" s="0" t="n">
        <v>41</v>
      </c>
    </row>
    <row r="578" customFormat="false" ht="9.75" hidden="false" customHeight="true" outlineLevel="0" collapsed="false">
      <c r="M578" s="19" t="n">
        <f aca="false">$M$565</f>
        <v>1</v>
      </c>
      <c r="Q578" s="19" t="n">
        <f aca="false">IF(N(E577)&gt;0,1,0)</f>
        <v>0</v>
      </c>
      <c r="S578" s="0" t="n">
        <v>41</v>
      </c>
      <c r="T578" s="0" t="n">
        <v>2</v>
      </c>
    </row>
    <row r="579" customFormat="false" ht="33.75" hidden="false" customHeight="true" outlineLevel="0" collapsed="false">
      <c r="A579" s="17" t="str">
        <f aca="false">IF(42&lt;=NW,TEXT(DAY(WEEK_ONE+287),"00")&amp;"/"&amp;TEXT(MONTH(WEEK_ONE+287),"00")&amp;"/"&amp;YEAR(WEEK_ONE+287)&amp;"  -  "&amp;TEXT(DAY(WEEK_ONE+293),"00")&amp;"/"&amp;TEXT(MONTH(WEEK_ONE+293),"00")&amp;"/"&amp;YEAR(WEEK_ONE+293)&amp;"   ·   الأسبوع 42"&amp;IF(42&lt;START_O,"   (قبل أسبوع البداية — ما بينحسب)",""),"ما في أسبوع 42 هالسنة")</f>
        <v>10/10/2026  -  16/10/2026   ·   الأسبوع 42</v>
      </c>
      <c r="B579" s="17"/>
      <c r="C579" s="17"/>
      <c r="D579" s="17"/>
      <c r="E579" s="17"/>
      <c r="F579" s="17"/>
      <c r="G579" s="17"/>
      <c r="H579" s="17"/>
      <c r="I579" s="17"/>
      <c r="L579" s="18" t="n">
        <f aca="false">IF(42&lt;=NW,WEEK_ONE+293,"")</f>
        <v>46311</v>
      </c>
      <c r="M579" s="19" t="n">
        <f aca="false">IF(AND(42&lt;=NW,42&gt;=START_O),1,0)</f>
        <v>1</v>
      </c>
      <c r="N579" s="20" t="n">
        <f aca="false">IFERROR(INDEX(RT_OMR,MATCH(L579,RT_K,1)),INDEX(RT_OMR,1))</f>
        <v>1.25</v>
      </c>
      <c r="O579" s="20" t="n">
        <f aca="false">IFERROR(INDEX(RT_OT,MATCH(L579,RT_K,1)),INDEX(RT_OT,1))</f>
        <v>1.5</v>
      </c>
      <c r="P579" s="20" t="n">
        <f aca="false">IFERROR(INDEX(RT_GYP,MATCH(L579,RT_K,1)),INDEX(RT_GYP,1))</f>
        <v>2.5</v>
      </c>
      <c r="Q579" s="19" t="n">
        <f aca="false">IF(N(E591)&gt;0,1,0)</f>
        <v>0</v>
      </c>
      <c r="R579" s="0" t="n">
        <v>42</v>
      </c>
      <c r="S579" s="0" t="n">
        <v>42</v>
      </c>
      <c r="U579" s="39" t="n">
        <f aca="false">IF(M579=1,SUM(E581:E587),0)</f>
        <v>0</v>
      </c>
      <c r="V579" s="19" t="n">
        <f aca="false">SUM(H581:H587)</f>
        <v>0</v>
      </c>
    </row>
    <row r="580" customFormat="false" ht="39.75" hidden="false" customHeight="true" outlineLevel="0" collapsed="false">
      <c r="A580" s="21" t="s">
        <v>18</v>
      </c>
      <c r="B580" s="21" t="s">
        <v>19</v>
      </c>
      <c r="C580" s="21" t="s">
        <v>20</v>
      </c>
      <c r="D580" s="21" t="s">
        <v>21</v>
      </c>
      <c r="E580" s="21" t="s">
        <v>22</v>
      </c>
      <c r="F580" s="21" t="s">
        <v>23</v>
      </c>
      <c r="G580" s="21" t="s">
        <v>24</v>
      </c>
      <c r="H580" s="21" t="s">
        <v>25</v>
      </c>
      <c r="I580" s="21" t="s">
        <v>26</v>
      </c>
      <c r="M580" s="19" t="n">
        <f aca="false">$M$579</f>
        <v>1</v>
      </c>
      <c r="Q580" s="19" t="n">
        <f aca="false">IF(N(E591)&gt;0,1,0)</f>
        <v>0</v>
      </c>
      <c r="S580" s="0" t="n">
        <v>42</v>
      </c>
    </row>
    <row r="581" customFormat="false" ht="15" hidden="false" customHeight="false" outlineLevel="0" collapsed="false">
      <c r="A581" s="22" t="n">
        <f aca="false">IF(42&lt;=NW,WEEK_ONE+287,"")</f>
        <v>46305</v>
      </c>
      <c r="B581" s="23" t="str">
        <f aca="false">IF(A581="","",CHOOSE(WEEKDAY(A581,1),"الأحد","الاثنين","الثلاثاء","الأربعاء","الخميس","الجمعة","السبت"))</f>
        <v>السبت</v>
      </c>
      <c r="C581" s="24"/>
      <c r="D581" s="24"/>
      <c r="E581" s="25" t="str">
        <f aca="false">IF(OR(M581=0,K581="",L581=""),"",MOD(L581-K581,1))</f>
        <v/>
      </c>
      <c r="F581" s="25" t="str">
        <f aca="false">IF(OR(E581="",M581=0),"",IF(WEEKDAY(A581,1)=6,E581,MIN(E581,MAX(0,MIN(IF(L581&lt;K581,L581+1,L581),OMR_OT_AT)-K581))))</f>
        <v/>
      </c>
      <c r="G581" s="25" t="str">
        <f aca="false">IF(OR(E581="",M581=0),"",MAX(0,E581-F581))</f>
        <v/>
      </c>
      <c r="H581" s="26" t="str">
        <f aca="false">IF(OR(E581="",M581=0),"",ROUND((F581*$N$579+G581*$O$579)*24,3))</f>
        <v/>
      </c>
      <c r="I581" s="27"/>
      <c r="K581" s="28" t="str">
        <f aca="false">IF(OR(M581=0,C581=""),"",IF(ISNUMBER(C581),MOD(C581,1),IFERROR(INDEX(القوائم!$B$1:$B$288,MATCH(TRIM(C581),القوائم!$A$1:$A$288,0)),IFERROR(MOD(TIMEVALUE(C581),1),""))))</f>
        <v/>
      </c>
      <c r="L581" s="28" t="str">
        <f aca="false">IF(OR(M581=0,D581=""),"",IF(ISNUMBER(D581),MOD(D581,1),IFERROR(INDEX(القوائم!$B$1:$B$288,MATCH(TRIM(D581),القوائم!$A$1:$A$288,0)),IFERROR(MOD(TIMEVALUE(D581),1),""))))</f>
        <v/>
      </c>
      <c r="M581" s="19" t="n">
        <f aca="false">$M$579</f>
        <v>1</v>
      </c>
      <c r="Q581" s="19" t="n">
        <f aca="false">IF(N(E591)&gt;0,1,0)</f>
        <v>0</v>
      </c>
      <c r="S581" s="0" t="n">
        <v>42</v>
      </c>
    </row>
    <row r="582" customFormat="false" ht="15" hidden="false" customHeight="false" outlineLevel="0" collapsed="false">
      <c r="A582" s="22" t="n">
        <f aca="false">IF(42&lt;=NW,WEEK_ONE+288,"")</f>
        <v>46306</v>
      </c>
      <c r="B582" s="23" t="str">
        <f aca="false">IF(A582="","",CHOOSE(WEEKDAY(A582,1),"الأحد","الاثنين","الثلاثاء","الأربعاء","الخميس","الجمعة","السبت"))</f>
        <v>الأحد</v>
      </c>
      <c r="C582" s="24"/>
      <c r="D582" s="24"/>
      <c r="E582" s="25" t="str">
        <f aca="false">IF(OR(M582=0,K582="",L582=""),"",MOD(L582-K582,1))</f>
        <v/>
      </c>
      <c r="F582" s="25" t="str">
        <f aca="false">IF(OR(E582="",M582=0),"",IF(WEEKDAY(A582,1)=6,E582,MIN(E582,MAX(0,MIN(IF(L582&lt;K582,L582+1,L582),OMR_OT_AT)-K582))))</f>
        <v/>
      </c>
      <c r="G582" s="25" t="str">
        <f aca="false">IF(OR(E582="",M582=0),"",MAX(0,E582-F582))</f>
        <v/>
      </c>
      <c r="H582" s="26" t="str">
        <f aca="false">IF(OR(E582="",M582=0),"",ROUND((F582*$N$579+G582*$O$579)*24,3))</f>
        <v/>
      </c>
      <c r="I582" s="27"/>
      <c r="K582" s="28" t="str">
        <f aca="false">IF(OR(M582=0,C582=""),"",IF(ISNUMBER(C582),MOD(C582,1),IFERROR(INDEX(القوائم!$B$1:$B$288,MATCH(TRIM(C582),القوائم!$A$1:$A$288,0)),IFERROR(MOD(TIMEVALUE(C582),1),""))))</f>
        <v/>
      </c>
      <c r="L582" s="28" t="str">
        <f aca="false">IF(OR(M582=0,D582=""),"",IF(ISNUMBER(D582),MOD(D582,1),IFERROR(INDEX(القوائم!$B$1:$B$288,MATCH(TRIM(D582),القوائم!$A$1:$A$288,0)),IFERROR(MOD(TIMEVALUE(D582),1),""))))</f>
        <v/>
      </c>
      <c r="M582" s="19" t="n">
        <f aca="false">$M$579</f>
        <v>1</v>
      </c>
      <c r="Q582" s="19" t="n">
        <f aca="false">IF(N(E591)&gt;0,1,0)</f>
        <v>0</v>
      </c>
      <c r="S582" s="0" t="n">
        <v>42</v>
      </c>
    </row>
    <row r="583" customFormat="false" ht="15" hidden="false" customHeight="false" outlineLevel="0" collapsed="false">
      <c r="A583" s="22" t="n">
        <f aca="false">IF(42&lt;=NW,WEEK_ONE+289,"")</f>
        <v>46307</v>
      </c>
      <c r="B583" s="23" t="str">
        <f aca="false">IF(A583="","",CHOOSE(WEEKDAY(A583,1),"الأحد","الاثنين","الثلاثاء","الأربعاء","الخميس","الجمعة","السبت"))</f>
        <v>الاثنين</v>
      </c>
      <c r="C583" s="24"/>
      <c r="D583" s="24"/>
      <c r="E583" s="25" t="str">
        <f aca="false">IF(OR(M583=0,K583="",L583=""),"",MOD(L583-K583,1))</f>
        <v/>
      </c>
      <c r="F583" s="25" t="str">
        <f aca="false">IF(OR(E583="",M583=0),"",IF(WEEKDAY(A583,1)=6,E583,MIN(E583,MAX(0,MIN(IF(L583&lt;K583,L583+1,L583),OMR_OT_AT)-K583))))</f>
        <v/>
      </c>
      <c r="G583" s="25" t="str">
        <f aca="false">IF(OR(E583="",M583=0),"",MAX(0,E583-F583))</f>
        <v/>
      </c>
      <c r="H583" s="26" t="str">
        <f aca="false">IF(OR(E583="",M583=0),"",ROUND((F583*$N$579+G583*$O$579)*24,3))</f>
        <v/>
      </c>
      <c r="I583" s="27"/>
      <c r="K583" s="28" t="str">
        <f aca="false">IF(OR(M583=0,C583=""),"",IF(ISNUMBER(C583),MOD(C583,1),IFERROR(INDEX(القوائم!$B$1:$B$288,MATCH(TRIM(C583),القوائم!$A$1:$A$288,0)),IFERROR(MOD(TIMEVALUE(C583),1),""))))</f>
        <v/>
      </c>
      <c r="L583" s="28" t="str">
        <f aca="false">IF(OR(M583=0,D583=""),"",IF(ISNUMBER(D583),MOD(D583,1),IFERROR(INDEX(القوائم!$B$1:$B$288,MATCH(TRIM(D583),القوائم!$A$1:$A$288,0)),IFERROR(MOD(TIMEVALUE(D583),1),""))))</f>
        <v/>
      </c>
      <c r="M583" s="19" t="n">
        <f aca="false">$M$579</f>
        <v>1</v>
      </c>
      <c r="Q583" s="19" t="n">
        <f aca="false">IF(N(E591)&gt;0,1,0)</f>
        <v>0</v>
      </c>
      <c r="S583" s="0" t="n">
        <v>42</v>
      </c>
    </row>
    <row r="584" customFormat="false" ht="15" hidden="false" customHeight="false" outlineLevel="0" collapsed="false">
      <c r="A584" s="22" t="n">
        <f aca="false">IF(42&lt;=NW,WEEK_ONE+290,"")</f>
        <v>46308</v>
      </c>
      <c r="B584" s="23" t="str">
        <f aca="false">IF(A584="","",CHOOSE(WEEKDAY(A584,1),"الأحد","الاثنين","الثلاثاء","الأربعاء","الخميس","الجمعة","السبت"))</f>
        <v>الثلاثاء</v>
      </c>
      <c r="C584" s="24"/>
      <c r="D584" s="24"/>
      <c r="E584" s="25" t="str">
        <f aca="false">IF(OR(M584=0,K584="",L584=""),"",MOD(L584-K584,1))</f>
        <v/>
      </c>
      <c r="F584" s="25" t="str">
        <f aca="false">IF(OR(E584="",M584=0),"",IF(WEEKDAY(A584,1)=6,E584,MIN(E584,MAX(0,MIN(IF(L584&lt;K584,L584+1,L584),OMR_OT_AT)-K584))))</f>
        <v/>
      </c>
      <c r="G584" s="25" t="str">
        <f aca="false">IF(OR(E584="",M584=0),"",MAX(0,E584-F584))</f>
        <v/>
      </c>
      <c r="H584" s="26" t="str">
        <f aca="false">IF(OR(E584="",M584=0),"",ROUND((F584*$N$579+G584*$O$579)*24,3))</f>
        <v/>
      </c>
      <c r="I584" s="27"/>
      <c r="K584" s="28" t="str">
        <f aca="false">IF(OR(M584=0,C584=""),"",IF(ISNUMBER(C584),MOD(C584,1),IFERROR(INDEX(القوائم!$B$1:$B$288,MATCH(TRIM(C584),القوائم!$A$1:$A$288,0)),IFERROR(MOD(TIMEVALUE(C584),1),""))))</f>
        <v/>
      </c>
      <c r="L584" s="28" t="str">
        <f aca="false">IF(OR(M584=0,D584=""),"",IF(ISNUMBER(D584),MOD(D584,1),IFERROR(INDEX(القوائم!$B$1:$B$288,MATCH(TRIM(D584),القوائم!$A$1:$A$288,0)),IFERROR(MOD(TIMEVALUE(D584),1),""))))</f>
        <v/>
      </c>
      <c r="M584" s="19" t="n">
        <f aca="false">$M$579</f>
        <v>1</v>
      </c>
      <c r="Q584" s="19" t="n">
        <f aca="false">IF(N(E591)&gt;0,1,0)</f>
        <v>0</v>
      </c>
      <c r="S584" s="0" t="n">
        <v>42</v>
      </c>
    </row>
    <row r="585" customFormat="false" ht="15" hidden="false" customHeight="false" outlineLevel="0" collapsed="false">
      <c r="A585" s="22" t="n">
        <f aca="false">IF(42&lt;=NW,WEEK_ONE+291,"")</f>
        <v>46309</v>
      </c>
      <c r="B585" s="23" t="str">
        <f aca="false">IF(A585="","",CHOOSE(WEEKDAY(A585,1),"الأحد","الاثنين","الثلاثاء","الأربعاء","الخميس","الجمعة","السبت"))</f>
        <v>الأربعاء</v>
      </c>
      <c r="C585" s="24"/>
      <c r="D585" s="24"/>
      <c r="E585" s="25" t="str">
        <f aca="false">IF(OR(M585=0,K585="",L585=""),"",MOD(L585-K585,1))</f>
        <v/>
      </c>
      <c r="F585" s="25" t="str">
        <f aca="false">IF(OR(E585="",M585=0),"",IF(WEEKDAY(A585,1)=6,E585,MIN(E585,MAX(0,MIN(IF(L585&lt;K585,L585+1,L585),OMR_OT_AT)-K585))))</f>
        <v/>
      </c>
      <c r="G585" s="25" t="str">
        <f aca="false">IF(OR(E585="",M585=0),"",MAX(0,E585-F585))</f>
        <v/>
      </c>
      <c r="H585" s="26" t="str">
        <f aca="false">IF(OR(E585="",M585=0),"",ROUND((F585*$N$579+G585*$O$579)*24,3))</f>
        <v/>
      </c>
      <c r="I585" s="27"/>
      <c r="K585" s="28" t="str">
        <f aca="false">IF(OR(M585=0,C585=""),"",IF(ISNUMBER(C585),MOD(C585,1),IFERROR(INDEX(القوائم!$B$1:$B$288,MATCH(TRIM(C585),القوائم!$A$1:$A$288,0)),IFERROR(MOD(TIMEVALUE(C585),1),""))))</f>
        <v/>
      </c>
      <c r="L585" s="28" t="str">
        <f aca="false">IF(OR(M585=0,D585=""),"",IF(ISNUMBER(D585),MOD(D585,1),IFERROR(INDEX(القوائم!$B$1:$B$288,MATCH(TRIM(D585),القوائم!$A$1:$A$288,0)),IFERROR(MOD(TIMEVALUE(D585),1),""))))</f>
        <v/>
      </c>
      <c r="M585" s="19" t="n">
        <f aca="false">$M$579</f>
        <v>1</v>
      </c>
      <c r="Q585" s="19" t="n">
        <f aca="false">IF(N(E591)&gt;0,1,0)</f>
        <v>0</v>
      </c>
      <c r="S585" s="0" t="n">
        <v>42</v>
      </c>
    </row>
    <row r="586" customFormat="false" ht="15" hidden="false" customHeight="false" outlineLevel="0" collapsed="false">
      <c r="A586" s="22" t="n">
        <f aca="false">IF(42&lt;=NW,WEEK_ONE+292,"")</f>
        <v>46310</v>
      </c>
      <c r="B586" s="23" t="str">
        <f aca="false">IF(A586="","",CHOOSE(WEEKDAY(A586,1),"الأحد","الاثنين","الثلاثاء","الأربعاء","الخميس","الجمعة","السبت"))</f>
        <v>الخميس</v>
      </c>
      <c r="C586" s="24"/>
      <c r="D586" s="24"/>
      <c r="E586" s="25" t="str">
        <f aca="false">IF(OR(M586=0,K586="",L586=""),"",MOD(L586-K586,1))</f>
        <v/>
      </c>
      <c r="F586" s="25" t="str">
        <f aca="false">IF(OR(E586="",M586=0),"",IF(WEEKDAY(A586,1)=6,E586,MIN(E586,MAX(0,MIN(IF(L586&lt;K586,L586+1,L586),OMR_OT_AT)-K586))))</f>
        <v/>
      </c>
      <c r="G586" s="25" t="str">
        <f aca="false">IF(OR(E586="",M586=0),"",MAX(0,E586-F586))</f>
        <v/>
      </c>
      <c r="H586" s="26" t="str">
        <f aca="false">IF(OR(E586="",M586=0),"",ROUND((F586*$N$579+G586*$O$579)*24,3))</f>
        <v/>
      </c>
      <c r="I586" s="27"/>
      <c r="K586" s="28" t="str">
        <f aca="false">IF(OR(M586=0,C586=""),"",IF(ISNUMBER(C586),MOD(C586,1),IFERROR(INDEX(القوائم!$B$1:$B$288,MATCH(TRIM(C586),القوائم!$A$1:$A$288,0)),IFERROR(MOD(TIMEVALUE(C586),1),""))))</f>
        <v/>
      </c>
      <c r="L586" s="28" t="str">
        <f aca="false">IF(OR(M586=0,D586=""),"",IF(ISNUMBER(D586),MOD(D586,1),IFERROR(INDEX(القوائم!$B$1:$B$288,MATCH(TRIM(D586),القوائم!$A$1:$A$288,0)),IFERROR(MOD(TIMEVALUE(D586),1),""))))</f>
        <v/>
      </c>
      <c r="M586" s="19" t="n">
        <f aca="false">$M$579</f>
        <v>1</v>
      </c>
      <c r="Q586" s="19" t="n">
        <f aca="false">IF(N(E591)&gt;0,1,0)</f>
        <v>0</v>
      </c>
      <c r="S586" s="0" t="n">
        <v>42</v>
      </c>
    </row>
    <row r="587" customFormat="false" ht="15" hidden="false" customHeight="false" outlineLevel="0" collapsed="false">
      <c r="A587" s="29" t="n">
        <f aca="false">IF(42&lt;=NW,WEEK_ONE+293,"")</f>
        <v>46311</v>
      </c>
      <c r="B587" s="30" t="str">
        <f aca="false">IF(A587="","",CHOOSE(WEEKDAY(A587,1),"الأحد","الاثنين","الثلاثاء","الأربعاء","الخميس","الجمعة","السبت"))</f>
        <v>الجمعة</v>
      </c>
      <c r="C587" s="24"/>
      <c r="D587" s="24"/>
      <c r="E587" s="25" t="str">
        <f aca="false">IF(OR(M587=0,K587="",L587=""),"",MOD(L587-K587,1))</f>
        <v/>
      </c>
      <c r="F587" s="25" t="str">
        <f aca="false">IF(OR(E587="",M587=0),"",IF(WEEKDAY(A587,1)=6,E587,MIN(E587,MAX(0,MIN(IF(L587&lt;K587,L587+1,L587),OMR_OT_AT)-K587))))</f>
        <v/>
      </c>
      <c r="G587" s="25" t="str">
        <f aca="false">IF(OR(E587="",M587=0),"",MAX(0,E587-F587))</f>
        <v/>
      </c>
      <c r="H587" s="26" t="str">
        <f aca="false">IF(OR(E587="",M587=0),"",ROUND((F587*$N$579+G587*$O$579)*24,3))</f>
        <v/>
      </c>
      <c r="I587" s="27"/>
      <c r="K587" s="28" t="str">
        <f aca="false">IF(OR(M587=0,C587=""),"",IF(ISNUMBER(C587),MOD(C587,1),IFERROR(INDEX(القوائم!$B$1:$B$288,MATCH(TRIM(C587),القوائم!$A$1:$A$288,0)),IFERROR(MOD(TIMEVALUE(C587),1),""))))</f>
        <v/>
      </c>
      <c r="L587" s="28" t="str">
        <f aca="false">IF(OR(M587=0,D587=""),"",IF(ISNUMBER(D587),MOD(D587,1),IFERROR(INDEX(القوائم!$B$1:$B$288,MATCH(TRIM(D587),القوائم!$A$1:$A$288,0)),IFERROR(MOD(TIMEVALUE(D587),1),""))))</f>
        <v/>
      </c>
      <c r="M587" s="19" t="n">
        <f aca="false">$M$579</f>
        <v>1</v>
      </c>
      <c r="Q587" s="19" t="n">
        <f aca="false">IF(N(E591)&gt;0,1,0)</f>
        <v>0</v>
      </c>
      <c r="S587" s="0" t="n">
        <v>42</v>
      </c>
    </row>
    <row r="588" customFormat="false" ht="15" hidden="false" customHeight="false" outlineLevel="0" collapsed="false">
      <c r="A588" s="31" t="str">
        <f aca="false">IF(M579=1,"ساعات تحميل الجبسمبورد بهالأسبوع ←","")</f>
        <v>ساعات تحميل الجبسمبورد بهالأسبوع ←</v>
      </c>
      <c r="B588" s="31"/>
      <c r="C588" s="31"/>
      <c r="D588" s="31"/>
      <c r="E588" s="32"/>
      <c r="F588" s="33" t="str">
        <f aca="false">IF(M579=1,"كل ساعة تحميل = "&amp;TEXT($P$579,"0.000")&amp;" دينار (منها "&amp;TEXT($N$579,"0.000")&amp;" محسوبة أصلاً بساعات اليوم)","")</f>
        <v>كل ساعة تحميل = 2.500 دينار (منها 1.250 محسوبة أصلاً بساعات اليوم)</v>
      </c>
      <c r="G588" s="33"/>
      <c r="H588" s="33"/>
      <c r="I588" s="33"/>
      <c r="M588" s="19" t="n">
        <f aca="false">$M$579</f>
        <v>1</v>
      </c>
      <c r="Q588" s="19" t="n">
        <f aca="false">IF(N(E591)&gt;0,1,0)</f>
        <v>0</v>
      </c>
      <c r="S588" s="0" t="n">
        <v>42</v>
      </c>
    </row>
    <row r="589" customFormat="false" ht="15" hidden="false" customHeight="false" outlineLevel="0" collapsed="false">
      <c r="A589" s="31" t="str">
        <f aca="false">IF(M579=1,"إكرامية الأسبوع (دينار) ←","")</f>
        <v>إكرامية الأسبوع (دينار) ←</v>
      </c>
      <c r="B589" s="31"/>
      <c r="C589" s="31"/>
      <c r="D589" s="31"/>
      <c r="E589" s="34"/>
      <c r="F589" s="35"/>
      <c r="G589" s="35"/>
      <c r="H589" s="35"/>
      <c r="I589" s="35"/>
      <c r="M589" s="19" t="n">
        <f aca="false">$M$579</f>
        <v>1</v>
      </c>
      <c r="Q589" s="19" t="n">
        <f aca="false">IF(N(E591)&gt;0,1,0)</f>
        <v>0</v>
      </c>
      <c r="S589" s="0" t="n">
        <v>42</v>
      </c>
    </row>
    <row r="590" customFormat="false" ht="36" hidden="false" customHeight="true" outlineLevel="0" collapsed="false">
      <c r="A590" s="36" t="str">
        <f aca="false">IF(M579=1,"المستحق النهائي للأسبوع","")</f>
        <v>المستحق النهائي للأسبوع</v>
      </c>
      <c r="B590" s="36"/>
      <c r="C590" s="36"/>
      <c r="D590" s="36"/>
      <c r="E590" s="36"/>
      <c r="F590" s="36"/>
      <c r="G590" s="36"/>
      <c r="H590" s="11" t="n">
        <f aca="false">IF(M579=1,ROUND(N($V$579)+N(E588)*($P$579-$N$579)+N(E589),3),"")</f>
        <v>0</v>
      </c>
      <c r="I590" s="37"/>
      <c r="M590" s="19" t="n">
        <f aca="false">$M$579</f>
        <v>1</v>
      </c>
      <c r="Q590" s="19" t="n">
        <f aca="false">IF(N(E591)&gt;0,1,0)</f>
        <v>0</v>
      </c>
      <c r="S590" s="0" t="n">
        <v>42</v>
      </c>
      <c r="T590" s="0" t="n">
        <v>1</v>
      </c>
    </row>
    <row r="591" customFormat="false" ht="25.5" hidden="false" customHeight="true" outlineLevel="0" collapsed="false">
      <c r="A591" s="31" t="str">
        <f aca="false">IF(M579=1,"المدفوع (دينار) ←","")</f>
        <v>المدفوع (دينار) ←</v>
      </c>
      <c r="B591" s="31"/>
      <c r="C591" s="31"/>
      <c r="D591" s="31"/>
      <c r="E591" s="34"/>
      <c r="F591" s="38" t="str">
        <f aca="false">IF(M579=1,IF(N(E591)&gt;0,"✔ انقبض — الأسبوع مقفول","⏳ لسا ما انقبض"),"")</f>
        <v>⏳ لسا ما انقبض</v>
      </c>
      <c r="G591" s="38"/>
      <c r="H591" s="38"/>
      <c r="I591" s="38"/>
      <c r="M591" s="19" t="n">
        <f aca="false">$M$579</f>
        <v>1</v>
      </c>
      <c r="Q591" s="19" t="n">
        <f aca="false">IF(N(E591)&gt;0,1,0)</f>
        <v>0</v>
      </c>
      <c r="S591" s="0" t="n">
        <v>42</v>
      </c>
    </row>
    <row r="592" customFormat="false" ht="9.75" hidden="false" customHeight="true" outlineLevel="0" collapsed="false">
      <c r="M592" s="19" t="n">
        <f aca="false">$M$579</f>
        <v>1</v>
      </c>
      <c r="Q592" s="19" t="n">
        <f aca="false">IF(N(E591)&gt;0,1,0)</f>
        <v>0</v>
      </c>
      <c r="S592" s="0" t="n">
        <v>42</v>
      </c>
      <c r="T592" s="0" t="n">
        <v>2</v>
      </c>
    </row>
    <row r="593" customFormat="false" ht="33.75" hidden="false" customHeight="true" outlineLevel="0" collapsed="false">
      <c r="A593" s="17" t="str">
        <f aca="false">IF(43&lt;=NW,TEXT(DAY(WEEK_ONE+294),"00")&amp;"/"&amp;TEXT(MONTH(WEEK_ONE+294),"00")&amp;"/"&amp;YEAR(WEEK_ONE+294)&amp;"  -  "&amp;TEXT(DAY(WEEK_ONE+300),"00")&amp;"/"&amp;TEXT(MONTH(WEEK_ONE+300),"00")&amp;"/"&amp;YEAR(WEEK_ONE+300)&amp;"   ·   الأسبوع 43"&amp;IF(43&lt;START_O,"   (قبل أسبوع البداية — ما بينحسب)",""),"ما في أسبوع 43 هالسنة")</f>
        <v>17/10/2026  -  23/10/2026   ·   الأسبوع 43</v>
      </c>
      <c r="B593" s="17"/>
      <c r="C593" s="17"/>
      <c r="D593" s="17"/>
      <c r="E593" s="17"/>
      <c r="F593" s="17"/>
      <c r="G593" s="17"/>
      <c r="H593" s="17"/>
      <c r="I593" s="17"/>
      <c r="L593" s="18" t="n">
        <f aca="false">IF(43&lt;=NW,WEEK_ONE+300,"")</f>
        <v>46318</v>
      </c>
      <c r="M593" s="19" t="n">
        <f aca="false">IF(AND(43&lt;=NW,43&gt;=START_O),1,0)</f>
        <v>1</v>
      </c>
      <c r="N593" s="20" t="n">
        <f aca="false">IFERROR(INDEX(RT_OMR,MATCH(L593,RT_K,1)),INDEX(RT_OMR,1))</f>
        <v>1.25</v>
      </c>
      <c r="O593" s="20" t="n">
        <f aca="false">IFERROR(INDEX(RT_OT,MATCH(L593,RT_K,1)),INDEX(RT_OT,1))</f>
        <v>1.5</v>
      </c>
      <c r="P593" s="20" t="n">
        <f aca="false">IFERROR(INDEX(RT_GYP,MATCH(L593,RT_K,1)),INDEX(RT_GYP,1))</f>
        <v>2.5</v>
      </c>
      <c r="Q593" s="19" t="n">
        <f aca="false">IF(N(E605)&gt;0,1,0)</f>
        <v>0</v>
      </c>
      <c r="R593" s="0" t="n">
        <v>43</v>
      </c>
      <c r="S593" s="0" t="n">
        <v>43</v>
      </c>
      <c r="U593" s="39" t="n">
        <f aca="false">IF(M593=1,SUM(E595:E601),0)</f>
        <v>0</v>
      </c>
      <c r="V593" s="19" t="n">
        <f aca="false">SUM(H595:H601)</f>
        <v>0</v>
      </c>
    </row>
    <row r="594" customFormat="false" ht="39.75" hidden="false" customHeight="true" outlineLevel="0" collapsed="false">
      <c r="A594" s="21" t="s">
        <v>18</v>
      </c>
      <c r="B594" s="21" t="s">
        <v>19</v>
      </c>
      <c r="C594" s="21" t="s">
        <v>20</v>
      </c>
      <c r="D594" s="21" t="s">
        <v>21</v>
      </c>
      <c r="E594" s="21" t="s">
        <v>22</v>
      </c>
      <c r="F594" s="21" t="s">
        <v>23</v>
      </c>
      <c r="G594" s="21" t="s">
        <v>24</v>
      </c>
      <c r="H594" s="21" t="s">
        <v>25</v>
      </c>
      <c r="I594" s="21" t="s">
        <v>26</v>
      </c>
      <c r="M594" s="19" t="n">
        <f aca="false">$M$593</f>
        <v>1</v>
      </c>
      <c r="Q594" s="19" t="n">
        <f aca="false">IF(N(E605)&gt;0,1,0)</f>
        <v>0</v>
      </c>
      <c r="S594" s="0" t="n">
        <v>43</v>
      </c>
    </row>
    <row r="595" customFormat="false" ht="15" hidden="false" customHeight="false" outlineLevel="0" collapsed="false">
      <c r="A595" s="22" t="n">
        <f aca="false">IF(43&lt;=NW,WEEK_ONE+294,"")</f>
        <v>46312</v>
      </c>
      <c r="B595" s="23" t="str">
        <f aca="false">IF(A595="","",CHOOSE(WEEKDAY(A595,1),"الأحد","الاثنين","الثلاثاء","الأربعاء","الخميس","الجمعة","السبت"))</f>
        <v>السبت</v>
      </c>
      <c r="C595" s="24"/>
      <c r="D595" s="24"/>
      <c r="E595" s="25" t="str">
        <f aca="false">IF(OR(M595=0,K595="",L595=""),"",MOD(L595-K595,1))</f>
        <v/>
      </c>
      <c r="F595" s="25" t="str">
        <f aca="false">IF(OR(E595="",M595=0),"",IF(WEEKDAY(A595,1)=6,E595,MIN(E595,MAX(0,MIN(IF(L595&lt;K595,L595+1,L595),OMR_OT_AT)-K595))))</f>
        <v/>
      </c>
      <c r="G595" s="25" t="str">
        <f aca="false">IF(OR(E595="",M595=0),"",MAX(0,E595-F595))</f>
        <v/>
      </c>
      <c r="H595" s="26" t="str">
        <f aca="false">IF(OR(E595="",M595=0),"",ROUND((F595*$N$593+G595*$O$593)*24,3))</f>
        <v/>
      </c>
      <c r="I595" s="27"/>
      <c r="K595" s="28" t="str">
        <f aca="false">IF(OR(M595=0,C595=""),"",IF(ISNUMBER(C595),MOD(C595,1),IFERROR(INDEX(القوائم!$B$1:$B$288,MATCH(TRIM(C595),القوائم!$A$1:$A$288,0)),IFERROR(MOD(TIMEVALUE(C595),1),""))))</f>
        <v/>
      </c>
      <c r="L595" s="28" t="str">
        <f aca="false">IF(OR(M595=0,D595=""),"",IF(ISNUMBER(D595),MOD(D595,1),IFERROR(INDEX(القوائم!$B$1:$B$288,MATCH(TRIM(D595),القوائم!$A$1:$A$288,0)),IFERROR(MOD(TIMEVALUE(D595),1),""))))</f>
        <v/>
      </c>
      <c r="M595" s="19" t="n">
        <f aca="false">$M$593</f>
        <v>1</v>
      </c>
      <c r="Q595" s="19" t="n">
        <f aca="false">IF(N(E605)&gt;0,1,0)</f>
        <v>0</v>
      </c>
      <c r="S595" s="0" t="n">
        <v>43</v>
      </c>
    </row>
    <row r="596" customFormat="false" ht="15" hidden="false" customHeight="false" outlineLevel="0" collapsed="false">
      <c r="A596" s="22" t="n">
        <f aca="false">IF(43&lt;=NW,WEEK_ONE+295,"")</f>
        <v>46313</v>
      </c>
      <c r="B596" s="23" t="str">
        <f aca="false">IF(A596="","",CHOOSE(WEEKDAY(A596,1),"الأحد","الاثنين","الثلاثاء","الأربعاء","الخميس","الجمعة","السبت"))</f>
        <v>الأحد</v>
      </c>
      <c r="C596" s="24"/>
      <c r="D596" s="24"/>
      <c r="E596" s="25" t="str">
        <f aca="false">IF(OR(M596=0,K596="",L596=""),"",MOD(L596-K596,1))</f>
        <v/>
      </c>
      <c r="F596" s="25" t="str">
        <f aca="false">IF(OR(E596="",M596=0),"",IF(WEEKDAY(A596,1)=6,E596,MIN(E596,MAX(0,MIN(IF(L596&lt;K596,L596+1,L596),OMR_OT_AT)-K596))))</f>
        <v/>
      </c>
      <c r="G596" s="25" t="str">
        <f aca="false">IF(OR(E596="",M596=0),"",MAX(0,E596-F596))</f>
        <v/>
      </c>
      <c r="H596" s="26" t="str">
        <f aca="false">IF(OR(E596="",M596=0),"",ROUND((F596*$N$593+G596*$O$593)*24,3))</f>
        <v/>
      </c>
      <c r="I596" s="27"/>
      <c r="K596" s="28" t="str">
        <f aca="false">IF(OR(M596=0,C596=""),"",IF(ISNUMBER(C596),MOD(C596,1),IFERROR(INDEX(القوائم!$B$1:$B$288,MATCH(TRIM(C596),القوائم!$A$1:$A$288,0)),IFERROR(MOD(TIMEVALUE(C596),1),""))))</f>
        <v/>
      </c>
      <c r="L596" s="28" t="str">
        <f aca="false">IF(OR(M596=0,D596=""),"",IF(ISNUMBER(D596),MOD(D596,1),IFERROR(INDEX(القوائم!$B$1:$B$288,MATCH(TRIM(D596),القوائم!$A$1:$A$288,0)),IFERROR(MOD(TIMEVALUE(D596),1),""))))</f>
        <v/>
      </c>
      <c r="M596" s="19" t="n">
        <f aca="false">$M$593</f>
        <v>1</v>
      </c>
      <c r="Q596" s="19" t="n">
        <f aca="false">IF(N(E605)&gt;0,1,0)</f>
        <v>0</v>
      </c>
      <c r="S596" s="0" t="n">
        <v>43</v>
      </c>
    </row>
    <row r="597" customFormat="false" ht="15" hidden="false" customHeight="false" outlineLevel="0" collapsed="false">
      <c r="A597" s="22" t="n">
        <f aca="false">IF(43&lt;=NW,WEEK_ONE+296,"")</f>
        <v>46314</v>
      </c>
      <c r="B597" s="23" t="str">
        <f aca="false">IF(A597="","",CHOOSE(WEEKDAY(A597,1),"الأحد","الاثنين","الثلاثاء","الأربعاء","الخميس","الجمعة","السبت"))</f>
        <v>الاثنين</v>
      </c>
      <c r="C597" s="24"/>
      <c r="D597" s="24"/>
      <c r="E597" s="25" t="str">
        <f aca="false">IF(OR(M597=0,K597="",L597=""),"",MOD(L597-K597,1))</f>
        <v/>
      </c>
      <c r="F597" s="25" t="str">
        <f aca="false">IF(OR(E597="",M597=0),"",IF(WEEKDAY(A597,1)=6,E597,MIN(E597,MAX(0,MIN(IF(L597&lt;K597,L597+1,L597),OMR_OT_AT)-K597))))</f>
        <v/>
      </c>
      <c r="G597" s="25" t="str">
        <f aca="false">IF(OR(E597="",M597=0),"",MAX(0,E597-F597))</f>
        <v/>
      </c>
      <c r="H597" s="26" t="str">
        <f aca="false">IF(OR(E597="",M597=0),"",ROUND((F597*$N$593+G597*$O$593)*24,3))</f>
        <v/>
      </c>
      <c r="I597" s="27"/>
      <c r="K597" s="28" t="str">
        <f aca="false">IF(OR(M597=0,C597=""),"",IF(ISNUMBER(C597),MOD(C597,1),IFERROR(INDEX(القوائم!$B$1:$B$288,MATCH(TRIM(C597),القوائم!$A$1:$A$288,0)),IFERROR(MOD(TIMEVALUE(C597),1),""))))</f>
        <v/>
      </c>
      <c r="L597" s="28" t="str">
        <f aca="false">IF(OR(M597=0,D597=""),"",IF(ISNUMBER(D597),MOD(D597,1),IFERROR(INDEX(القوائم!$B$1:$B$288,MATCH(TRIM(D597),القوائم!$A$1:$A$288,0)),IFERROR(MOD(TIMEVALUE(D597),1),""))))</f>
        <v/>
      </c>
      <c r="M597" s="19" t="n">
        <f aca="false">$M$593</f>
        <v>1</v>
      </c>
      <c r="Q597" s="19" t="n">
        <f aca="false">IF(N(E605)&gt;0,1,0)</f>
        <v>0</v>
      </c>
      <c r="S597" s="0" t="n">
        <v>43</v>
      </c>
    </row>
    <row r="598" customFormat="false" ht="15" hidden="false" customHeight="false" outlineLevel="0" collapsed="false">
      <c r="A598" s="22" t="n">
        <f aca="false">IF(43&lt;=NW,WEEK_ONE+297,"")</f>
        <v>46315</v>
      </c>
      <c r="B598" s="23" t="str">
        <f aca="false">IF(A598="","",CHOOSE(WEEKDAY(A598,1),"الأحد","الاثنين","الثلاثاء","الأربعاء","الخميس","الجمعة","السبت"))</f>
        <v>الثلاثاء</v>
      </c>
      <c r="C598" s="24"/>
      <c r="D598" s="24"/>
      <c r="E598" s="25" t="str">
        <f aca="false">IF(OR(M598=0,K598="",L598=""),"",MOD(L598-K598,1))</f>
        <v/>
      </c>
      <c r="F598" s="25" t="str">
        <f aca="false">IF(OR(E598="",M598=0),"",IF(WEEKDAY(A598,1)=6,E598,MIN(E598,MAX(0,MIN(IF(L598&lt;K598,L598+1,L598),OMR_OT_AT)-K598))))</f>
        <v/>
      </c>
      <c r="G598" s="25" t="str">
        <f aca="false">IF(OR(E598="",M598=0),"",MAX(0,E598-F598))</f>
        <v/>
      </c>
      <c r="H598" s="26" t="str">
        <f aca="false">IF(OR(E598="",M598=0),"",ROUND((F598*$N$593+G598*$O$593)*24,3))</f>
        <v/>
      </c>
      <c r="I598" s="27"/>
      <c r="K598" s="28" t="str">
        <f aca="false">IF(OR(M598=0,C598=""),"",IF(ISNUMBER(C598),MOD(C598,1),IFERROR(INDEX(القوائم!$B$1:$B$288,MATCH(TRIM(C598),القوائم!$A$1:$A$288,0)),IFERROR(MOD(TIMEVALUE(C598),1),""))))</f>
        <v/>
      </c>
      <c r="L598" s="28" t="str">
        <f aca="false">IF(OR(M598=0,D598=""),"",IF(ISNUMBER(D598),MOD(D598,1),IFERROR(INDEX(القوائم!$B$1:$B$288,MATCH(TRIM(D598),القوائم!$A$1:$A$288,0)),IFERROR(MOD(TIMEVALUE(D598),1),""))))</f>
        <v/>
      </c>
      <c r="M598" s="19" t="n">
        <f aca="false">$M$593</f>
        <v>1</v>
      </c>
      <c r="Q598" s="19" t="n">
        <f aca="false">IF(N(E605)&gt;0,1,0)</f>
        <v>0</v>
      </c>
      <c r="S598" s="0" t="n">
        <v>43</v>
      </c>
    </row>
    <row r="599" customFormat="false" ht="15" hidden="false" customHeight="false" outlineLevel="0" collapsed="false">
      <c r="A599" s="22" t="n">
        <f aca="false">IF(43&lt;=NW,WEEK_ONE+298,"")</f>
        <v>46316</v>
      </c>
      <c r="B599" s="23" t="str">
        <f aca="false">IF(A599="","",CHOOSE(WEEKDAY(A599,1),"الأحد","الاثنين","الثلاثاء","الأربعاء","الخميس","الجمعة","السبت"))</f>
        <v>الأربعاء</v>
      </c>
      <c r="C599" s="24"/>
      <c r="D599" s="24"/>
      <c r="E599" s="25" t="str">
        <f aca="false">IF(OR(M599=0,K599="",L599=""),"",MOD(L599-K599,1))</f>
        <v/>
      </c>
      <c r="F599" s="25" t="str">
        <f aca="false">IF(OR(E599="",M599=0),"",IF(WEEKDAY(A599,1)=6,E599,MIN(E599,MAX(0,MIN(IF(L599&lt;K599,L599+1,L599),OMR_OT_AT)-K599))))</f>
        <v/>
      </c>
      <c r="G599" s="25" t="str">
        <f aca="false">IF(OR(E599="",M599=0),"",MAX(0,E599-F599))</f>
        <v/>
      </c>
      <c r="H599" s="26" t="str">
        <f aca="false">IF(OR(E599="",M599=0),"",ROUND((F599*$N$593+G599*$O$593)*24,3))</f>
        <v/>
      </c>
      <c r="I599" s="27"/>
      <c r="K599" s="28" t="str">
        <f aca="false">IF(OR(M599=0,C599=""),"",IF(ISNUMBER(C599),MOD(C599,1),IFERROR(INDEX(القوائم!$B$1:$B$288,MATCH(TRIM(C599),القوائم!$A$1:$A$288,0)),IFERROR(MOD(TIMEVALUE(C599),1),""))))</f>
        <v/>
      </c>
      <c r="L599" s="28" t="str">
        <f aca="false">IF(OR(M599=0,D599=""),"",IF(ISNUMBER(D599),MOD(D599,1),IFERROR(INDEX(القوائم!$B$1:$B$288,MATCH(TRIM(D599),القوائم!$A$1:$A$288,0)),IFERROR(MOD(TIMEVALUE(D599),1),""))))</f>
        <v/>
      </c>
      <c r="M599" s="19" t="n">
        <f aca="false">$M$593</f>
        <v>1</v>
      </c>
      <c r="Q599" s="19" t="n">
        <f aca="false">IF(N(E605)&gt;0,1,0)</f>
        <v>0</v>
      </c>
      <c r="S599" s="0" t="n">
        <v>43</v>
      </c>
    </row>
    <row r="600" customFormat="false" ht="15" hidden="false" customHeight="false" outlineLevel="0" collapsed="false">
      <c r="A600" s="22" t="n">
        <f aca="false">IF(43&lt;=NW,WEEK_ONE+299,"")</f>
        <v>46317</v>
      </c>
      <c r="B600" s="23" t="str">
        <f aca="false">IF(A600="","",CHOOSE(WEEKDAY(A600,1),"الأحد","الاثنين","الثلاثاء","الأربعاء","الخميس","الجمعة","السبت"))</f>
        <v>الخميس</v>
      </c>
      <c r="C600" s="24"/>
      <c r="D600" s="24"/>
      <c r="E600" s="25" t="str">
        <f aca="false">IF(OR(M600=0,K600="",L600=""),"",MOD(L600-K600,1))</f>
        <v/>
      </c>
      <c r="F600" s="25" t="str">
        <f aca="false">IF(OR(E600="",M600=0),"",IF(WEEKDAY(A600,1)=6,E600,MIN(E600,MAX(0,MIN(IF(L600&lt;K600,L600+1,L600),OMR_OT_AT)-K600))))</f>
        <v/>
      </c>
      <c r="G600" s="25" t="str">
        <f aca="false">IF(OR(E600="",M600=0),"",MAX(0,E600-F600))</f>
        <v/>
      </c>
      <c r="H600" s="26" t="str">
        <f aca="false">IF(OR(E600="",M600=0),"",ROUND((F600*$N$593+G600*$O$593)*24,3))</f>
        <v/>
      </c>
      <c r="I600" s="27"/>
      <c r="K600" s="28" t="str">
        <f aca="false">IF(OR(M600=0,C600=""),"",IF(ISNUMBER(C600),MOD(C600,1),IFERROR(INDEX(القوائم!$B$1:$B$288,MATCH(TRIM(C600),القوائم!$A$1:$A$288,0)),IFERROR(MOD(TIMEVALUE(C600),1),""))))</f>
        <v/>
      </c>
      <c r="L600" s="28" t="str">
        <f aca="false">IF(OR(M600=0,D600=""),"",IF(ISNUMBER(D600),MOD(D600,1),IFERROR(INDEX(القوائم!$B$1:$B$288,MATCH(TRIM(D600),القوائم!$A$1:$A$288,0)),IFERROR(MOD(TIMEVALUE(D600),1),""))))</f>
        <v/>
      </c>
      <c r="M600" s="19" t="n">
        <f aca="false">$M$593</f>
        <v>1</v>
      </c>
      <c r="Q600" s="19" t="n">
        <f aca="false">IF(N(E605)&gt;0,1,0)</f>
        <v>0</v>
      </c>
      <c r="S600" s="0" t="n">
        <v>43</v>
      </c>
    </row>
    <row r="601" customFormat="false" ht="15" hidden="false" customHeight="false" outlineLevel="0" collapsed="false">
      <c r="A601" s="29" t="n">
        <f aca="false">IF(43&lt;=NW,WEEK_ONE+300,"")</f>
        <v>46318</v>
      </c>
      <c r="B601" s="30" t="str">
        <f aca="false">IF(A601="","",CHOOSE(WEEKDAY(A601,1),"الأحد","الاثنين","الثلاثاء","الأربعاء","الخميس","الجمعة","السبت"))</f>
        <v>الجمعة</v>
      </c>
      <c r="C601" s="24"/>
      <c r="D601" s="24"/>
      <c r="E601" s="25" t="str">
        <f aca="false">IF(OR(M601=0,K601="",L601=""),"",MOD(L601-K601,1))</f>
        <v/>
      </c>
      <c r="F601" s="25" t="str">
        <f aca="false">IF(OR(E601="",M601=0),"",IF(WEEKDAY(A601,1)=6,E601,MIN(E601,MAX(0,MIN(IF(L601&lt;K601,L601+1,L601),OMR_OT_AT)-K601))))</f>
        <v/>
      </c>
      <c r="G601" s="25" t="str">
        <f aca="false">IF(OR(E601="",M601=0),"",MAX(0,E601-F601))</f>
        <v/>
      </c>
      <c r="H601" s="26" t="str">
        <f aca="false">IF(OR(E601="",M601=0),"",ROUND((F601*$N$593+G601*$O$593)*24,3))</f>
        <v/>
      </c>
      <c r="I601" s="27"/>
      <c r="K601" s="28" t="str">
        <f aca="false">IF(OR(M601=0,C601=""),"",IF(ISNUMBER(C601),MOD(C601,1),IFERROR(INDEX(القوائم!$B$1:$B$288,MATCH(TRIM(C601),القوائم!$A$1:$A$288,0)),IFERROR(MOD(TIMEVALUE(C601),1),""))))</f>
        <v/>
      </c>
      <c r="L601" s="28" t="str">
        <f aca="false">IF(OR(M601=0,D601=""),"",IF(ISNUMBER(D601),MOD(D601,1),IFERROR(INDEX(القوائم!$B$1:$B$288,MATCH(TRIM(D601),القوائم!$A$1:$A$288,0)),IFERROR(MOD(TIMEVALUE(D601),1),""))))</f>
        <v/>
      </c>
      <c r="M601" s="19" t="n">
        <f aca="false">$M$593</f>
        <v>1</v>
      </c>
      <c r="Q601" s="19" t="n">
        <f aca="false">IF(N(E605)&gt;0,1,0)</f>
        <v>0</v>
      </c>
      <c r="S601" s="0" t="n">
        <v>43</v>
      </c>
    </row>
    <row r="602" customFormat="false" ht="15" hidden="false" customHeight="false" outlineLevel="0" collapsed="false">
      <c r="A602" s="31" t="str">
        <f aca="false">IF(M593=1,"ساعات تحميل الجبسمبورد بهالأسبوع ←","")</f>
        <v>ساعات تحميل الجبسمبورد بهالأسبوع ←</v>
      </c>
      <c r="B602" s="31"/>
      <c r="C602" s="31"/>
      <c r="D602" s="31"/>
      <c r="E602" s="32"/>
      <c r="F602" s="33" t="str">
        <f aca="false">IF(M593=1,"كل ساعة تحميل = "&amp;TEXT($P$593,"0.000")&amp;" دينار (منها "&amp;TEXT($N$593,"0.000")&amp;" محسوبة أصلاً بساعات اليوم)","")</f>
        <v>كل ساعة تحميل = 2.500 دينار (منها 1.250 محسوبة أصلاً بساعات اليوم)</v>
      </c>
      <c r="G602" s="33"/>
      <c r="H602" s="33"/>
      <c r="I602" s="33"/>
      <c r="M602" s="19" t="n">
        <f aca="false">$M$593</f>
        <v>1</v>
      </c>
      <c r="Q602" s="19" t="n">
        <f aca="false">IF(N(E605)&gt;0,1,0)</f>
        <v>0</v>
      </c>
      <c r="S602" s="0" t="n">
        <v>43</v>
      </c>
    </row>
    <row r="603" customFormat="false" ht="15" hidden="false" customHeight="false" outlineLevel="0" collapsed="false">
      <c r="A603" s="31" t="str">
        <f aca="false">IF(M593=1,"إكرامية الأسبوع (دينار) ←","")</f>
        <v>إكرامية الأسبوع (دينار) ←</v>
      </c>
      <c r="B603" s="31"/>
      <c r="C603" s="31"/>
      <c r="D603" s="31"/>
      <c r="E603" s="34"/>
      <c r="F603" s="35"/>
      <c r="G603" s="35"/>
      <c r="H603" s="35"/>
      <c r="I603" s="35"/>
      <c r="M603" s="19" t="n">
        <f aca="false">$M$593</f>
        <v>1</v>
      </c>
      <c r="Q603" s="19" t="n">
        <f aca="false">IF(N(E605)&gt;0,1,0)</f>
        <v>0</v>
      </c>
      <c r="S603" s="0" t="n">
        <v>43</v>
      </c>
    </row>
    <row r="604" customFormat="false" ht="36" hidden="false" customHeight="true" outlineLevel="0" collapsed="false">
      <c r="A604" s="36" t="str">
        <f aca="false">IF(M593=1,"المستحق النهائي للأسبوع","")</f>
        <v>المستحق النهائي للأسبوع</v>
      </c>
      <c r="B604" s="36"/>
      <c r="C604" s="36"/>
      <c r="D604" s="36"/>
      <c r="E604" s="36"/>
      <c r="F604" s="36"/>
      <c r="G604" s="36"/>
      <c r="H604" s="11" t="n">
        <f aca="false">IF(M593=1,ROUND(N($V$593)+N(E602)*($P$593-$N$593)+N(E603),3),"")</f>
        <v>0</v>
      </c>
      <c r="I604" s="37"/>
      <c r="M604" s="19" t="n">
        <f aca="false">$M$593</f>
        <v>1</v>
      </c>
      <c r="Q604" s="19" t="n">
        <f aca="false">IF(N(E605)&gt;0,1,0)</f>
        <v>0</v>
      </c>
      <c r="S604" s="0" t="n">
        <v>43</v>
      </c>
      <c r="T604" s="0" t="n">
        <v>1</v>
      </c>
    </row>
    <row r="605" customFormat="false" ht="25.5" hidden="false" customHeight="true" outlineLevel="0" collapsed="false">
      <c r="A605" s="31" t="str">
        <f aca="false">IF(M593=1,"المدفوع (دينار) ←","")</f>
        <v>المدفوع (دينار) ←</v>
      </c>
      <c r="B605" s="31"/>
      <c r="C605" s="31"/>
      <c r="D605" s="31"/>
      <c r="E605" s="34"/>
      <c r="F605" s="38" t="str">
        <f aca="false">IF(M593=1,IF(N(E605)&gt;0,"✔ انقبض — الأسبوع مقفول","⏳ لسا ما انقبض"),"")</f>
        <v>⏳ لسا ما انقبض</v>
      </c>
      <c r="G605" s="38"/>
      <c r="H605" s="38"/>
      <c r="I605" s="38"/>
      <c r="M605" s="19" t="n">
        <f aca="false">$M$593</f>
        <v>1</v>
      </c>
      <c r="Q605" s="19" t="n">
        <f aca="false">IF(N(E605)&gt;0,1,0)</f>
        <v>0</v>
      </c>
      <c r="S605" s="0" t="n">
        <v>43</v>
      </c>
    </row>
    <row r="606" customFormat="false" ht="9.75" hidden="false" customHeight="true" outlineLevel="0" collapsed="false">
      <c r="M606" s="19" t="n">
        <f aca="false">$M$593</f>
        <v>1</v>
      </c>
      <c r="Q606" s="19" t="n">
        <f aca="false">IF(N(E605)&gt;0,1,0)</f>
        <v>0</v>
      </c>
      <c r="S606" s="0" t="n">
        <v>43</v>
      </c>
      <c r="T606" s="0" t="n">
        <v>2</v>
      </c>
    </row>
    <row r="607" customFormat="false" ht="33.75" hidden="false" customHeight="true" outlineLevel="0" collapsed="false">
      <c r="A607" s="17" t="str">
        <f aca="false">IF(44&lt;=NW,TEXT(DAY(WEEK_ONE+301),"00")&amp;"/"&amp;TEXT(MONTH(WEEK_ONE+301),"00")&amp;"/"&amp;YEAR(WEEK_ONE+301)&amp;"  -  "&amp;TEXT(DAY(WEEK_ONE+307),"00")&amp;"/"&amp;TEXT(MONTH(WEEK_ONE+307),"00")&amp;"/"&amp;YEAR(WEEK_ONE+307)&amp;"   ·   الأسبوع 44"&amp;IF(44&lt;START_O,"   (قبل أسبوع البداية — ما بينحسب)",""),"ما في أسبوع 44 هالسنة")</f>
        <v>24/10/2026  -  30/10/2026   ·   الأسبوع 44</v>
      </c>
      <c r="B607" s="17"/>
      <c r="C607" s="17"/>
      <c r="D607" s="17"/>
      <c r="E607" s="17"/>
      <c r="F607" s="17"/>
      <c r="G607" s="17"/>
      <c r="H607" s="17"/>
      <c r="I607" s="17"/>
      <c r="L607" s="18" t="n">
        <f aca="false">IF(44&lt;=NW,WEEK_ONE+307,"")</f>
        <v>46325</v>
      </c>
      <c r="M607" s="19" t="n">
        <f aca="false">IF(AND(44&lt;=NW,44&gt;=START_O),1,0)</f>
        <v>1</v>
      </c>
      <c r="N607" s="20" t="n">
        <f aca="false">IFERROR(INDEX(RT_OMR,MATCH(L607,RT_K,1)),INDEX(RT_OMR,1))</f>
        <v>1.25</v>
      </c>
      <c r="O607" s="20" t="n">
        <f aca="false">IFERROR(INDEX(RT_OT,MATCH(L607,RT_K,1)),INDEX(RT_OT,1))</f>
        <v>1.5</v>
      </c>
      <c r="P607" s="20" t="n">
        <f aca="false">IFERROR(INDEX(RT_GYP,MATCH(L607,RT_K,1)),INDEX(RT_GYP,1))</f>
        <v>2.5</v>
      </c>
      <c r="Q607" s="19" t="n">
        <f aca="false">IF(N(E619)&gt;0,1,0)</f>
        <v>0</v>
      </c>
      <c r="R607" s="0" t="n">
        <v>44</v>
      </c>
      <c r="S607" s="0" t="n">
        <v>44</v>
      </c>
      <c r="U607" s="39" t="n">
        <f aca="false">IF(M607=1,SUM(E609:E615),0)</f>
        <v>0</v>
      </c>
      <c r="V607" s="19" t="n">
        <f aca="false">SUM(H609:H615)</f>
        <v>0</v>
      </c>
    </row>
    <row r="608" customFormat="false" ht="39.75" hidden="false" customHeight="true" outlineLevel="0" collapsed="false">
      <c r="A608" s="21" t="s">
        <v>18</v>
      </c>
      <c r="B608" s="21" t="s">
        <v>19</v>
      </c>
      <c r="C608" s="21" t="s">
        <v>20</v>
      </c>
      <c r="D608" s="21" t="s">
        <v>21</v>
      </c>
      <c r="E608" s="21" t="s">
        <v>22</v>
      </c>
      <c r="F608" s="21" t="s">
        <v>23</v>
      </c>
      <c r="G608" s="21" t="s">
        <v>24</v>
      </c>
      <c r="H608" s="21" t="s">
        <v>25</v>
      </c>
      <c r="I608" s="21" t="s">
        <v>26</v>
      </c>
      <c r="M608" s="19" t="n">
        <f aca="false">$M$607</f>
        <v>1</v>
      </c>
      <c r="Q608" s="19" t="n">
        <f aca="false">IF(N(E619)&gt;0,1,0)</f>
        <v>0</v>
      </c>
      <c r="S608" s="0" t="n">
        <v>44</v>
      </c>
    </row>
    <row r="609" customFormat="false" ht="15" hidden="false" customHeight="false" outlineLevel="0" collapsed="false">
      <c r="A609" s="22" t="n">
        <f aca="false">IF(44&lt;=NW,WEEK_ONE+301,"")</f>
        <v>46319</v>
      </c>
      <c r="B609" s="23" t="str">
        <f aca="false">IF(A609="","",CHOOSE(WEEKDAY(A609,1),"الأحد","الاثنين","الثلاثاء","الأربعاء","الخميس","الجمعة","السبت"))</f>
        <v>السبت</v>
      </c>
      <c r="C609" s="24"/>
      <c r="D609" s="24"/>
      <c r="E609" s="25" t="str">
        <f aca="false">IF(OR(M609=0,K609="",L609=""),"",MOD(L609-K609,1))</f>
        <v/>
      </c>
      <c r="F609" s="25" t="str">
        <f aca="false">IF(OR(E609="",M609=0),"",IF(WEEKDAY(A609,1)=6,E609,MIN(E609,MAX(0,MIN(IF(L609&lt;K609,L609+1,L609),OMR_OT_AT)-K609))))</f>
        <v/>
      </c>
      <c r="G609" s="25" t="str">
        <f aca="false">IF(OR(E609="",M609=0),"",MAX(0,E609-F609))</f>
        <v/>
      </c>
      <c r="H609" s="26" t="str">
        <f aca="false">IF(OR(E609="",M609=0),"",ROUND((F609*$N$607+G609*$O$607)*24,3))</f>
        <v/>
      </c>
      <c r="I609" s="27"/>
      <c r="K609" s="28" t="str">
        <f aca="false">IF(OR(M609=0,C609=""),"",IF(ISNUMBER(C609),MOD(C609,1),IFERROR(INDEX(القوائم!$B$1:$B$288,MATCH(TRIM(C609),القوائم!$A$1:$A$288,0)),IFERROR(MOD(TIMEVALUE(C609),1),""))))</f>
        <v/>
      </c>
      <c r="L609" s="28" t="str">
        <f aca="false">IF(OR(M609=0,D609=""),"",IF(ISNUMBER(D609),MOD(D609,1),IFERROR(INDEX(القوائم!$B$1:$B$288,MATCH(TRIM(D609),القوائم!$A$1:$A$288,0)),IFERROR(MOD(TIMEVALUE(D609),1),""))))</f>
        <v/>
      </c>
      <c r="M609" s="19" t="n">
        <f aca="false">$M$607</f>
        <v>1</v>
      </c>
      <c r="Q609" s="19" t="n">
        <f aca="false">IF(N(E619)&gt;0,1,0)</f>
        <v>0</v>
      </c>
      <c r="S609" s="0" t="n">
        <v>44</v>
      </c>
    </row>
    <row r="610" customFormat="false" ht="15" hidden="false" customHeight="false" outlineLevel="0" collapsed="false">
      <c r="A610" s="22" t="n">
        <f aca="false">IF(44&lt;=NW,WEEK_ONE+302,"")</f>
        <v>46320</v>
      </c>
      <c r="B610" s="23" t="str">
        <f aca="false">IF(A610="","",CHOOSE(WEEKDAY(A610,1),"الأحد","الاثنين","الثلاثاء","الأربعاء","الخميس","الجمعة","السبت"))</f>
        <v>الأحد</v>
      </c>
      <c r="C610" s="24"/>
      <c r="D610" s="24"/>
      <c r="E610" s="25" t="str">
        <f aca="false">IF(OR(M610=0,K610="",L610=""),"",MOD(L610-K610,1))</f>
        <v/>
      </c>
      <c r="F610" s="25" t="str">
        <f aca="false">IF(OR(E610="",M610=0),"",IF(WEEKDAY(A610,1)=6,E610,MIN(E610,MAX(0,MIN(IF(L610&lt;K610,L610+1,L610),OMR_OT_AT)-K610))))</f>
        <v/>
      </c>
      <c r="G610" s="25" t="str">
        <f aca="false">IF(OR(E610="",M610=0),"",MAX(0,E610-F610))</f>
        <v/>
      </c>
      <c r="H610" s="26" t="str">
        <f aca="false">IF(OR(E610="",M610=0),"",ROUND((F610*$N$607+G610*$O$607)*24,3))</f>
        <v/>
      </c>
      <c r="I610" s="27"/>
      <c r="K610" s="28" t="str">
        <f aca="false">IF(OR(M610=0,C610=""),"",IF(ISNUMBER(C610),MOD(C610,1),IFERROR(INDEX(القوائم!$B$1:$B$288,MATCH(TRIM(C610),القوائم!$A$1:$A$288,0)),IFERROR(MOD(TIMEVALUE(C610),1),""))))</f>
        <v/>
      </c>
      <c r="L610" s="28" t="str">
        <f aca="false">IF(OR(M610=0,D610=""),"",IF(ISNUMBER(D610),MOD(D610,1),IFERROR(INDEX(القوائم!$B$1:$B$288,MATCH(TRIM(D610),القوائم!$A$1:$A$288,0)),IFERROR(MOD(TIMEVALUE(D610),1),""))))</f>
        <v/>
      </c>
      <c r="M610" s="19" t="n">
        <f aca="false">$M$607</f>
        <v>1</v>
      </c>
      <c r="Q610" s="19" t="n">
        <f aca="false">IF(N(E619)&gt;0,1,0)</f>
        <v>0</v>
      </c>
      <c r="S610" s="0" t="n">
        <v>44</v>
      </c>
    </row>
    <row r="611" customFormat="false" ht="15" hidden="false" customHeight="false" outlineLevel="0" collapsed="false">
      <c r="A611" s="22" t="n">
        <f aca="false">IF(44&lt;=NW,WEEK_ONE+303,"")</f>
        <v>46321</v>
      </c>
      <c r="B611" s="23" t="str">
        <f aca="false">IF(A611="","",CHOOSE(WEEKDAY(A611,1),"الأحد","الاثنين","الثلاثاء","الأربعاء","الخميس","الجمعة","السبت"))</f>
        <v>الاثنين</v>
      </c>
      <c r="C611" s="24"/>
      <c r="D611" s="24"/>
      <c r="E611" s="25" t="str">
        <f aca="false">IF(OR(M611=0,K611="",L611=""),"",MOD(L611-K611,1))</f>
        <v/>
      </c>
      <c r="F611" s="25" t="str">
        <f aca="false">IF(OR(E611="",M611=0),"",IF(WEEKDAY(A611,1)=6,E611,MIN(E611,MAX(0,MIN(IF(L611&lt;K611,L611+1,L611),OMR_OT_AT)-K611))))</f>
        <v/>
      </c>
      <c r="G611" s="25" t="str">
        <f aca="false">IF(OR(E611="",M611=0),"",MAX(0,E611-F611))</f>
        <v/>
      </c>
      <c r="H611" s="26" t="str">
        <f aca="false">IF(OR(E611="",M611=0),"",ROUND((F611*$N$607+G611*$O$607)*24,3))</f>
        <v/>
      </c>
      <c r="I611" s="27"/>
      <c r="K611" s="28" t="str">
        <f aca="false">IF(OR(M611=0,C611=""),"",IF(ISNUMBER(C611),MOD(C611,1),IFERROR(INDEX(القوائم!$B$1:$B$288,MATCH(TRIM(C611),القوائم!$A$1:$A$288,0)),IFERROR(MOD(TIMEVALUE(C611),1),""))))</f>
        <v/>
      </c>
      <c r="L611" s="28" t="str">
        <f aca="false">IF(OR(M611=0,D611=""),"",IF(ISNUMBER(D611),MOD(D611,1),IFERROR(INDEX(القوائم!$B$1:$B$288,MATCH(TRIM(D611),القوائم!$A$1:$A$288,0)),IFERROR(MOD(TIMEVALUE(D611),1),""))))</f>
        <v/>
      </c>
      <c r="M611" s="19" t="n">
        <f aca="false">$M$607</f>
        <v>1</v>
      </c>
      <c r="Q611" s="19" t="n">
        <f aca="false">IF(N(E619)&gt;0,1,0)</f>
        <v>0</v>
      </c>
      <c r="S611" s="0" t="n">
        <v>44</v>
      </c>
    </row>
    <row r="612" customFormat="false" ht="15" hidden="false" customHeight="false" outlineLevel="0" collapsed="false">
      <c r="A612" s="22" t="n">
        <f aca="false">IF(44&lt;=NW,WEEK_ONE+304,"")</f>
        <v>46322</v>
      </c>
      <c r="B612" s="23" t="str">
        <f aca="false">IF(A612="","",CHOOSE(WEEKDAY(A612,1),"الأحد","الاثنين","الثلاثاء","الأربعاء","الخميس","الجمعة","السبت"))</f>
        <v>الثلاثاء</v>
      </c>
      <c r="C612" s="24"/>
      <c r="D612" s="24"/>
      <c r="E612" s="25" t="str">
        <f aca="false">IF(OR(M612=0,K612="",L612=""),"",MOD(L612-K612,1))</f>
        <v/>
      </c>
      <c r="F612" s="25" t="str">
        <f aca="false">IF(OR(E612="",M612=0),"",IF(WEEKDAY(A612,1)=6,E612,MIN(E612,MAX(0,MIN(IF(L612&lt;K612,L612+1,L612),OMR_OT_AT)-K612))))</f>
        <v/>
      </c>
      <c r="G612" s="25" t="str">
        <f aca="false">IF(OR(E612="",M612=0),"",MAX(0,E612-F612))</f>
        <v/>
      </c>
      <c r="H612" s="26" t="str">
        <f aca="false">IF(OR(E612="",M612=0),"",ROUND((F612*$N$607+G612*$O$607)*24,3))</f>
        <v/>
      </c>
      <c r="I612" s="27"/>
      <c r="K612" s="28" t="str">
        <f aca="false">IF(OR(M612=0,C612=""),"",IF(ISNUMBER(C612),MOD(C612,1),IFERROR(INDEX(القوائم!$B$1:$B$288,MATCH(TRIM(C612),القوائم!$A$1:$A$288,0)),IFERROR(MOD(TIMEVALUE(C612),1),""))))</f>
        <v/>
      </c>
      <c r="L612" s="28" t="str">
        <f aca="false">IF(OR(M612=0,D612=""),"",IF(ISNUMBER(D612),MOD(D612,1),IFERROR(INDEX(القوائم!$B$1:$B$288,MATCH(TRIM(D612),القوائم!$A$1:$A$288,0)),IFERROR(MOD(TIMEVALUE(D612),1),""))))</f>
        <v/>
      </c>
      <c r="M612" s="19" t="n">
        <f aca="false">$M$607</f>
        <v>1</v>
      </c>
      <c r="Q612" s="19" t="n">
        <f aca="false">IF(N(E619)&gt;0,1,0)</f>
        <v>0</v>
      </c>
      <c r="S612" s="0" t="n">
        <v>44</v>
      </c>
    </row>
    <row r="613" customFormat="false" ht="15" hidden="false" customHeight="false" outlineLevel="0" collapsed="false">
      <c r="A613" s="22" t="n">
        <f aca="false">IF(44&lt;=NW,WEEK_ONE+305,"")</f>
        <v>46323</v>
      </c>
      <c r="B613" s="23" t="str">
        <f aca="false">IF(A613="","",CHOOSE(WEEKDAY(A613,1),"الأحد","الاثنين","الثلاثاء","الأربعاء","الخميس","الجمعة","السبت"))</f>
        <v>الأربعاء</v>
      </c>
      <c r="C613" s="24"/>
      <c r="D613" s="24"/>
      <c r="E613" s="25" t="str">
        <f aca="false">IF(OR(M613=0,K613="",L613=""),"",MOD(L613-K613,1))</f>
        <v/>
      </c>
      <c r="F613" s="25" t="str">
        <f aca="false">IF(OR(E613="",M613=0),"",IF(WEEKDAY(A613,1)=6,E613,MIN(E613,MAX(0,MIN(IF(L613&lt;K613,L613+1,L613),OMR_OT_AT)-K613))))</f>
        <v/>
      </c>
      <c r="G613" s="25" t="str">
        <f aca="false">IF(OR(E613="",M613=0),"",MAX(0,E613-F613))</f>
        <v/>
      </c>
      <c r="H613" s="26" t="str">
        <f aca="false">IF(OR(E613="",M613=0),"",ROUND((F613*$N$607+G613*$O$607)*24,3))</f>
        <v/>
      </c>
      <c r="I613" s="27"/>
      <c r="K613" s="28" t="str">
        <f aca="false">IF(OR(M613=0,C613=""),"",IF(ISNUMBER(C613),MOD(C613,1),IFERROR(INDEX(القوائم!$B$1:$B$288,MATCH(TRIM(C613),القوائم!$A$1:$A$288,0)),IFERROR(MOD(TIMEVALUE(C613),1),""))))</f>
        <v/>
      </c>
      <c r="L613" s="28" t="str">
        <f aca="false">IF(OR(M613=0,D613=""),"",IF(ISNUMBER(D613),MOD(D613,1),IFERROR(INDEX(القوائم!$B$1:$B$288,MATCH(TRIM(D613),القوائم!$A$1:$A$288,0)),IFERROR(MOD(TIMEVALUE(D613),1),""))))</f>
        <v/>
      </c>
      <c r="M613" s="19" t="n">
        <f aca="false">$M$607</f>
        <v>1</v>
      </c>
      <c r="Q613" s="19" t="n">
        <f aca="false">IF(N(E619)&gt;0,1,0)</f>
        <v>0</v>
      </c>
      <c r="S613" s="0" t="n">
        <v>44</v>
      </c>
    </row>
    <row r="614" customFormat="false" ht="15" hidden="false" customHeight="false" outlineLevel="0" collapsed="false">
      <c r="A614" s="22" t="n">
        <f aca="false">IF(44&lt;=NW,WEEK_ONE+306,"")</f>
        <v>46324</v>
      </c>
      <c r="B614" s="23" t="str">
        <f aca="false">IF(A614="","",CHOOSE(WEEKDAY(A614,1),"الأحد","الاثنين","الثلاثاء","الأربعاء","الخميس","الجمعة","السبت"))</f>
        <v>الخميس</v>
      </c>
      <c r="C614" s="24"/>
      <c r="D614" s="24"/>
      <c r="E614" s="25" t="str">
        <f aca="false">IF(OR(M614=0,K614="",L614=""),"",MOD(L614-K614,1))</f>
        <v/>
      </c>
      <c r="F614" s="25" t="str">
        <f aca="false">IF(OR(E614="",M614=0),"",IF(WEEKDAY(A614,1)=6,E614,MIN(E614,MAX(0,MIN(IF(L614&lt;K614,L614+1,L614),OMR_OT_AT)-K614))))</f>
        <v/>
      </c>
      <c r="G614" s="25" t="str">
        <f aca="false">IF(OR(E614="",M614=0),"",MAX(0,E614-F614))</f>
        <v/>
      </c>
      <c r="H614" s="26" t="str">
        <f aca="false">IF(OR(E614="",M614=0),"",ROUND((F614*$N$607+G614*$O$607)*24,3))</f>
        <v/>
      </c>
      <c r="I614" s="27"/>
      <c r="K614" s="28" t="str">
        <f aca="false">IF(OR(M614=0,C614=""),"",IF(ISNUMBER(C614),MOD(C614,1),IFERROR(INDEX(القوائم!$B$1:$B$288,MATCH(TRIM(C614),القوائم!$A$1:$A$288,0)),IFERROR(MOD(TIMEVALUE(C614),1),""))))</f>
        <v/>
      </c>
      <c r="L614" s="28" t="str">
        <f aca="false">IF(OR(M614=0,D614=""),"",IF(ISNUMBER(D614),MOD(D614,1),IFERROR(INDEX(القوائم!$B$1:$B$288,MATCH(TRIM(D614),القوائم!$A$1:$A$288,0)),IFERROR(MOD(TIMEVALUE(D614),1),""))))</f>
        <v/>
      </c>
      <c r="M614" s="19" t="n">
        <f aca="false">$M$607</f>
        <v>1</v>
      </c>
      <c r="Q614" s="19" t="n">
        <f aca="false">IF(N(E619)&gt;0,1,0)</f>
        <v>0</v>
      </c>
      <c r="S614" s="0" t="n">
        <v>44</v>
      </c>
    </row>
    <row r="615" customFormat="false" ht="15" hidden="false" customHeight="false" outlineLevel="0" collapsed="false">
      <c r="A615" s="29" t="n">
        <f aca="false">IF(44&lt;=NW,WEEK_ONE+307,"")</f>
        <v>46325</v>
      </c>
      <c r="B615" s="30" t="str">
        <f aca="false">IF(A615="","",CHOOSE(WEEKDAY(A615,1),"الأحد","الاثنين","الثلاثاء","الأربعاء","الخميس","الجمعة","السبت"))</f>
        <v>الجمعة</v>
      </c>
      <c r="C615" s="24"/>
      <c r="D615" s="24"/>
      <c r="E615" s="25" t="str">
        <f aca="false">IF(OR(M615=0,K615="",L615=""),"",MOD(L615-K615,1))</f>
        <v/>
      </c>
      <c r="F615" s="25" t="str">
        <f aca="false">IF(OR(E615="",M615=0),"",IF(WEEKDAY(A615,1)=6,E615,MIN(E615,MAX(0,MIN(IF(L615&lt;K615,L615+1,L615),OMR_OT_AT)-K615))))</f>
        <v/>
      </c>
      <c r="G615" s="25" t="str">
        <f aca="false">IF(OR(E615="",M615=0),"",MAX(0,E615-F615))</f>
        <v/>
      </c>
      <c r="H615" s="26" t="str">
        <f aca="false">IF(OR(E615="",M615=0),"",ROUND((F615*$N$607+G615*$O$607)*24,3))</f>
        <v/>
      </c>
      <c r="I615" s="27"/>
      <c r="K615" s="28" t="str">
        <f aca="false">IF(OR(M615=0,C615=""),"",IF(ISNUMBER(C615),MOD(C615,1),IFERROR(INDEX(القوائم!$B$1:$B$288,MATCH(TRIM(C615),القوائم!$A$1:$A$288,0)),IFERROR(MOD(TIMEVALUE(C615),1),""))))</f>
        <v/>
      </c>
      <c r="L615" s="28" t="str">
        <f aca="false">IF(OR(M615=0,D615=""),"",IF(ISNUMBER(D615),MOD(D615,1),IFERROR(INDEX(القوائم!$B$1:$B$288,MATCH(TRIM(D615),القوائم!$A$1:$A$288,0)),IFERROR(MOD(TIMEVALUE(D615),1),""))))</f>
        <v/>
      </c>
      <c r="M615" s="19" t="n">
        <f aca="false">$M$607</f>
        <v>1</v>
      </c>
      <c r="Q615" s="19" t="n">
        <f aca="false">IF(N(E619)&gt;0,1,0)</f>
        <v>0</v>
      </c>
      <c r="S615" s="0" t="n">
        <v>44</v>
      </c>
    </row>
    <row r="616" customFormat="false" ht="15" hidden="false" customHeight="false" outlineLevel="0" collapsed="false">
      <c r="A616" s="31" t="str">
        <f aca="false">IF(M607=1,"ساعات تحميل الجبسمبورد بهالأسبوع ←","")</f>
        <v>ساعات تحميل الجبسمبورد بهالأسبوع ←</v>
      </c>
      <c r="B616" s="31"/>
      <c r="C616" s="31"/>
      <c r="D616" s="31"/>
      <c r="E616" s="32"/>
      <c r="F616" s="33" t="str">
        <f aca="false">IF(M607=1,"كل ساعة تحميل = "&amp;TEXT($P$607,"0.000")&amp;" دينار (منها "&amp;TEXT($N$607,"0.000")&amp;" محسوبة أصلاً بساعات اليوم)","")</f>
        <v>كل ساعة تحميل = 2.500 دينار (منها 1.250 محسوبة أصلاً بساعات اليوم)</v>
      </c>
      <c r="G616" s="33"/>
      <c r="H616" s="33"/>
      <c r="I616" s="33"/>
      <c r="M616" s="19" t="n">
        <f aca="false">$M$607</f>
        <v>1</v>
      </c>
      <c r="Q616" s="19" t="n">
        <f aca="false">IF(N(E619)&gt;0,1,0)</f>
        <v>0</v>
      </c>
      <c r="S616" s="0" t="n">
        <v>44</v>
      </c>
    </row>
    <row r="617" customFormat="false" ht="15" hidden="false" customHeight="false" outlineLevel="0" collapsed="false">
      <c r="A617" s="31" t="str">
        <f aca="false">IF(M607=1,"إكرامية الأسبوع (دينار) ←","")</f>
        <v>إكرامية الأسبوع (دينار) ←</v>
      </c>
      <c r="B617" s="31"/>
      <c r="C617" s="31"/>
      <c r="D617" s="31"/>
      <c r="E617" s="34"/>
      <c r="F617" s="35"/>
      <c r="G617" s="35"/>
      <c r="H617" s="35"/>
      <c r="I617" s="35"/>
      <c r="M617" s="19" t="n">
        <f aca="false">$M$607</f>
        <v>1</v>
      </c>
      <c r="Q617" s="19" t="n">
        <f aca="false">IF(N(E619)&gt;0,1,0)</f>
        <v>0</v>
      </c>
      <c r="S617" s="0" t="n">
        <v>44</v>
      </c>
    </row>
    <row r="618" customFormat="false" ht="36" hidden="false" customHeight="true" outlineLevel="0" collapsed="false">
      <c r="A618" s="36" t="str">
        <f aca="false">IF(M607=1,"المستحق النهائي للأسبوع","")</f>
        <v>المستحق النهائي للأسبوع</v>
      </c>
      <c r="B618" s="36"/>
      <c r="C618" s="36"/>
      <c r="D618" s="36"/>
      <c r="E618" s="36"/>
      <c r="F618" s="36"/>
      <c r="G618" s="36"/>
      <c r="H618" s="11" t="n">
        <f aca="false">IF(M607=1,ROUND(N($V$607)+N(E616)*($P$607-$N$607)+N(E617),3),"")</f>
        <v>0</v>
      </c>
      <c r="I618" s="37"/>
      <c r="M618" s="19" t="n">
        <f aca="false">$M$607</f>
        <v>1</v>
      </c>
      <c r="Q618" s="19" t="n">
        <f aca="false">IF(N(E619)&gt;0,1,0)</f>
        <v>0</v>
      </c>
      <c r="S618" s="0" t="n">
        <v>44</v>
      </c>
      <c r="T618" s="0" t="n">
        <v>1</v>
      </c>
    </row>
    <row r="619" customFormat="false" ht="25.5" hidden="false" customHeight="true" outlineLevel="0" collapsed="false">
      <c r="A619" s="31" t="str">
        <f aca="false">IF(M607=1,"المدفوع (دينار) ←","")</f>
        <v>المدفوع (دينار) ←</v>
      </c>
      <c r="B619" s="31"/>
      <c r="C619" s="31"/>
      <c r="D619" s="31"/>
      <c r="E619" s="34"/>
      <c r="F619" s="38" t="str">
        <f aca="false">IF(M607=1,IF(N(E619)&gt;0,"✔ انقبض — الأسبوع مقفول","⏳ لسا ما انقبض"),"")</f>
        <v>⏳ لسا ما انقبض</v>
      </c>
      <c r="G619" s="38"/>
      <c r="H619" s="38"/>
      <c r="I619" s="38"/>
      <c r="M619" s="19" t="n">
        <f aca="false">$M$607</f>
        <v>1</v>
      </c>
      <c r="Q619" s="19" t="n">
        <f aca="false">IF(N(E619)&gt;0,1,0)</f>
        <v>0</v>
      </c>
      <c r="S619" s="0" t="n">
        <v>44</v>
      </c>
    </row>
    <row r="620" customFormat="false" ht="9.75" hidden="false" customHeight="true" outlineLevel="0" collapsed="false">
      <c r="M620" s="19" t="n">
        <f aca="false">$M$607</f>
        <v>1</v>
      </c>
      <c r="Q620" s="19" t="n">
        <f aca="false">IF(N(E619)&gt;0,1,0)</f>
        <v>0</v>
      </c>
      <c r="S620" s="0" t="n">
        <v>44</v>
      </c>
      <c r="T620" s="0" t="n">
        <v>2</v>
      </c>
    </row>
    <row r="621" customFormat="false" ht="33.75" hidden="false" customHeight="true" outlineLevel="0" collapsed="false">
      <c r="A621" s="17" t="str">
        <f aca="false">IF(45&lt;=NW,TEXT(DAY(WEEK_ONE+308),"00")&amp;"/"&amp;TEXT(MONTH(WEEK_ONE+308),"00")&amp;"/"&amp;YEAR(WEEK_ONE+308)&amp;"  -  "&amp;TEXT(DAY(WEEK_ONE+314),"00")&amp;"/"&amp;TEXT(MONTH(WEEK_ONE+314),"00")&amp;"/"&amp;YEAR(WEEK_ONE+314)&amp;"   ·   الأسبوع 45"&amp;IF(45&lt;START_O,"   (قبل أسبوع البداية — ما بينحسب)",""),"ما في أسبوع 45 هالسنة")</f>
        <v>31/10/2026  -  06/11/2026   ·   الأسبوع 45</v>
      </c>
      <c r="B621" s="17"/>
      <c r="C621" s="17"/>
      <c r="D621" s="17"/>
      <c r="E621" s="17"/>
      <c r="F621" s="17"/>
      <c r="G621" s="17"/>
      <c r="H621" s="17"/>
      <c r="I621" s="17"/>
      <c r="L621" s="18" t="n">
        <f aca="false">IF(45&lt;=NW,WEEK_ONE+314,"")</f>
        <v>46332</v>
      </c>
      <c r="M621" s="19" t="n">
        <f aca="false">IF(AND(45&lt;=NW,45&gt;=START_O),1,0)</f>
        <v>1</v>
      </c>
      <c r="N621" s="20" t="n">
        <f aca="false">IFERROR(INDEX(RT_OMR,MATCH(L621,RT_K,1)),INDEX(RT_OMR,1))</f>
        <v>1.25</v>
      </c>
      <c r="O621" s="20" t="n">
        <f aca="false">IFERROR(INDEX(RT_OT,MATCH(L621,RT_K,1)),INDEX(RT_OT,1))</f>
        <v>1.5</v>
      </c>
      <c r="P621" s="20" t="n">
        <f aca="false">IFERROR(INDEX(RT_GYP,MATCH(L621,RT_K,1)),INDEX(RT_GYP,1))</f>
        <v>2.5</v>
      </c>
      <c r="Q621" s="19" t="n">
        <f aca="false">IF(N(E633)&gt;0,1,0)</f>
        <v>0</v>
      </c>
      <c r="R621" s="0" t="n">
        <v>45</v>
      </c>
      <c r="S621" s="0" t="n">
        <v>45</v>
      </c>
      <c r="U621" s="39" t="n">
        <f aca="false">IF(M621=1,SUM(E623:E629),0)</f>
        <v>0</v>
      </c>
      <c r="V621" s="19" t="n">
        <f aca="false">SUM(H623:H629)</f>
        <v>0</v>
      </c>
    </row>
    <row r="622" customFormat="false" ht="39.75" hidden="false" customHeight="true" outlineLevel="0" collapsed="false">
      <c r="A622" s="21" t="s">
        <v>18</v>
      </c>
      <c r="B622" s="21" t="s">
        <v>19</v>
      </c>
      <c r="C622" s="21" t="s">
        <v>20</v>
      </c>
      <c r="D622" s="21" t="s">
        <v>21</v>
      </c>
      <c r="E622" s="21" t="s">
        <v>22</v>
      </c>
      <c r="F622" s="21" t="s">
        <v>23</v>
      </c>
      <c r="G622" s="21" t="s">
        <v>24</v>
      </c>
      <c r="H622" s="21" t="s">
        <v>25</v>
      </c>
      <c r="I622" s="21" t="s">
        <v>26</v>
      </c>
      <c r="M622" s="19" t="n">
        <f aca="false">$M$621</f>
        <v>1</v>
      </c>
      <c r="Q622" s="19" t="n">
        <f aca="false">IF(N(E633)&gt;0,1,0)</f>
        <v>0</v>
      </c>
      <c r="S622" s="0" t="n">
        <v>45</v>
      </c>
    </row>
    <row r="623" customFormat="false" ht="15" hidden="false" customHeight="false" outlineLevel="0" collapsed="false">
      <c r="A623" s="22" t="n">
        <f aca="false">IF(45&lt;=NW,WEEK_ONE+308,"")</f>
        <v>46326</v>
      </c>
      <c r="B623" s="23" t="str">
        <f aca="false">IF(A623="","",CHOOSE(WEEKDAY(A623,1),"الأحد","الاثنين","الثلاثاء","الأربعاء","الخميس","الجمعة","السبت"))</f>
        <v>السبت</v>
      </c>
      <c r="C623" s="24"/>
      <c r="D623" s="24"/>
      <c r="E623" s="25" t="str">
        <f aca="false">IF(OR(M623=0,K623="",L623=""),"",MOD(L623-K623,1))</f>
        <v/>
      </c>
      <c r="F623" s="25" t="str">
        <f aca="false">IF(OR(E623="",M623=0),"",IF(WEEKDAY(A623,1)=6,E623,MIN(E623,MAX(0,MIN(IF(L623&lt;K623,L623+1,L623),OMR_OT_AT)-K623))))</f>
        <v/>
      </c>
      <c r="G623" s="25" t="str">
        <f aca="false">IF(OR(E623="",M623=0),"",MAX(0,E623-F623))</f>
        <v/>
      </c>
      <c r="H623" s="26" t="str">
        <f aca="false">IF(OR(E623="",M623=0),"",ROUND((F623*$N$621+G623*$O$621)*24,3))</f>
        <v/>
      </c>
      <c r="I623" s="27"/>
      <c r="K623" s="28" t="str">
        <f aca="false">IF(OR(M623=0,C623=""),"",IF(ISNUMBER(C623),MOD(C623,1),IFERROR(INDEX(القوائم!$B$1:$B$288,MATCH(TRIM(C623),القوائم!$A$1:$A$288,0)),IFERROR(MOD(TIMEVALUE(C623),1),""))))</f>
        <v/>
      </c>
      <c r="L623" s="28" t="str">
        <f aca="false">IF(OR(M623=0,D623=""),"",IF(ISNUMBER(D623),MOD(D623,1),IFERROR(INDEX(القوائم!$B$1:$B$288,MATCH(TRIM(D623),القوائم!$A$1:$A$288,0)),IFERROR(MOD(TIMEVALUE(D623),1),""))))</f>
        <v/>
      </c>
      <c r="M623" s="19" t="n">
        <f aca="false">$M$621</f>
        <v>1</v>
      </c>
      <c r="Q623" s="19" t="n">
        <f aca="false">IF(N(E633)&gt;0,1,0)</f>
        <v>0</v>
      </c>
      <c r="S623" s="0" t="n">
        <v>45</v>
      </c>
    </row>
    <row r="624" customFormat="false" ht="15" hidden="false" customHeight="false" outlineLevel="0" collapsed="false">
      <c r="A624" s="22" t="n">
        <f aca="false">IF(45&lt;=NW,WEEK_ONE+309,"")</f>
        <v>46327</v>
      </c>
      <c r="B624" s="23" t="str">
        <f aca="false">IF(A624="","",CHOOSE(WEEKDAY(A624,1),"الأحد","الاثنين","الثلاثاء","الأربعاء","الخميس","الجمعة","السبت"))</f>
        <v>الأحد</v>
      </c>
      <c r="C624" s="24"/>
      <c r="D624" s="24"/>
      <c r="E624" s="25" t="str">
        <f aca="false">IF(OR(M624=0,K624="",L624=""),"",MOD(L624-K624,1))</f>
        <v/>
      </c>
      <c r="F624" s="25" t="str">
        <f aca="false">IF(OR(E624="",M624=0),"",IF(WEEKDAY(A624,1)=6,E624,MIN(E624,MAX(0,MIN(IF(L624&lt;K624,L624+1,L624),OMR_OT_AT)-K624))))</f>
        <v/>
      </c>
      <c r="G624" s="25" t="str">
        <f aca="false">IF(OR(E624="",M624=0),"",MAX(0,E624-F624))</f>
        <v/>
      </c>
      <c r="H624" s="26" t="str">
        <f aca="false">IF(OR(E624="",M624=0),"",ROUND((F624*$N$621+G624*$O$621)*24,3))</f>
        <v/>
      </c>
      <c r="I624" s="27"/>
      <c r="K624" s="28" t="str">
        <f aca="false">IF(OR(M624=0,C624=""),"",IF(ISNUMBER(C624),MOD(C624,1),IFERROR(INDEX(القوائم!$B$1:$B$288,MATCH(TRIM(C624),القوائم!$A$1:$A$288,0)),IFERROR(MOD(TIMEVALUE(C624),1),""))))</f>
        <v/>
      </c>
      <c r="L624" s="28" t="str">
        <f aca="false">IF(OR(M624=0,D624=""),"",IF(ISNUMBER(D624),MOD(D624,1),IFERROR(INDEX(القوائم!$B$1:$B$288,MATCH(TRIM(D624),القوائم!$A$1:$A$288,0)),IFERROR(MOD(TIMEVALUE(D624),1),""))))</f>
        <v/>
      </c>
      <c r="M624" s="19" t="n">
        <f aca="false">$M$621</f>
        <v>1</v>
      </c>
      <c r="Q624" s="19" t="n">
        <f aca="false">IF(N(E633)&gt;0,1,0)</f>
        <v>0</v>
      </c>
      <c r="S624" s="0" t="n">
        <v>45</v>
      </c>
    </row>
    <row r="625" customFormat="false" ht="15" hidden="false" customHeight="false" outlineLevel="0" collapsed="false">
      <c r="A625" s="22" t="n">
        <f aca="false">IF(45&lt;=NW,WEEK_ONE+310,"")</f>
        <v>46328</v>
      </c>
      <c r="B625" s="23" t="str">
        <f aca="false">IF(A625="","",CHOOSE(WEEKDAY(A625,1),"الأحد","الاثنين","الثلاثاء","الأربعاء","الخميس","الجمعة","السبت"))</f>
        <v>الاثنين</v>
      </c>
      <c r="C625" s="24"/>
      <c r="D625" s="24"/>
      <c r="E625" s="25" t="str">
        <f aca="false">IF(OR(M625=0,K625="",L625=""),"",MOD(L625-K625,1))</f>
        <v/>
      </c>
      <c r="F625" s="25" t="str">
        <f aca="false">IF(OR(E625="",M625=0),"",IF(WEEKDAY(A625,1)=6,E625,MIN(E625,MAX(0,MIN(IF(L625&lt;K625,L625+1,L625),OMR_OT_AT)-K625))))</f>
        <v/>
      </c>
      <c r="G625" s="25" t="str">
        <f aca="false">IF(OR(E625="",M625=0),"",MAX(0,E625-F625))</f>
        <v/>
      </c>
      <c r="H625" s="26" t="str">
        <f aca="false">IF(OR(E625="",M625=0),"",ROUND((F625*$N$621+G625*$O$621)*24,3))</f>
        <v/>
      </c>
      <c r="I625" s="27"/>
      <c r="K625" s="28" t="str">
        <f aca="false">IF(OR(M625=0,C625=""),"",IF(ISNUMBER(C625),MOD(C625,1),IFERROR(INDEX(القوائم!$B$1:$B$288,MATCH(TRIM(C625),القوائم!$A$1:$A$288,0)),IFERROR(MOD(TIMEVALUE(C625),1),""))))</f>
        <v/>
      </c>
      <c r="L625" s="28" t="str">
        <f aca="false">IF(OR(M625=0,D625=""),"",IF(ISNUMBER(D625),MOD(D625,1),IFERROR(INDEX(القوائم!$B$1:$B$288,MATCH(TRIM(D625),القوائم!$A$1:$A$288,0)),IFERROR(MOD(TIMEVALUE(D625),1),""))))</f>
        <v/>
      </c>
      <c r="M625" s="19" t="n">
        <f aca="false">$M$621</f>
        <v>1</v>
      </c>
      <c r="Q625" s="19" t="n">
        <f aca="false">IF(N(E633)&gt;0,1,0)</f>
        <v>0</v>
      </c>
      <c r="S625" s="0" t="n">
        <v>45</v>
      </c>
    </row>
    <row r="626" customFormat="false" ht="15" hidden="false" customHeight="false" outlineLevel="0" collapsed="false">
      <c r="A626" s="22" t="n">
        <f aca="false">IF(45&lt;=NW,WEEK_ONE+311,"")</f>
        <v>46329</v>
      </c>
      <c r="B626" s="23" t="str">
        <f aca="false">IF(A626="","",CHOOSE(WEEKDAY(A626,1),"الأحد","الاثنين","الثلاثاء","الأربعاء","الخميس","الجمعة","السبت"))</f>
        <v>الثلاثاء</v>
      </c>
      <c r="C626" s="24"/>
      <c r="D626" s="24"/>
      <c r="E626" s="25" t="str">
        <f aca="false">IF(OR(M626=0,K626="",L626=""),"",MOD(L626-K626,1))</f>
        <v/>
      </c>
      <c r="F626" s="25" t="str">
        <f aca="false">IF(OR(E626="",M626=0),"",IF(WEEKDAY(A626,1)=6,E626,MIN(E626,MAX(0,MIN(IF(L626&lt;K626,L626+1,L626),OMR_OT_AT)-K626))))</f>
        <v/>
      </c>
      <c r="G626" s="25" t="str">
        <f aca="false">IF(OR(E626="",M626=0),"",MAX(0,E626-F626))</f>
        <v/>
      </c>
      <c r="H626" s="26" t="str">
        <f aca="false">IF(OR(E626="",M626=0),"",ROUND((F626*$N$621+G626*$O$621)*24,3))</f>
        <v/>
      </c>
      <c r="I626" s="27"/>
      <c r="K626" s="28" t="str">
        <f aca="false">IF(OR(M626=0,C626=""),"",IF(ISNUMBER(C626),MOD(C626,1),IFERROR(INDEX(القوائم!$B$1:$B$288,MATCH(TRIM(C626),القوائم!$A$1:$A$288,0)),IFERROR(MOD(TIMEVALUE(C626),1),""))))</f>
        <v/>
      </c>
      <c r="L626" s="28" t="str">
        <f aca="false">IF(OR(M626=0,D626=""),"",IF(ISNUMBER(D626),MOD(D626,1),IFERROR(INDEX(القوائم!$B$1:$B$288,MATCH(TRIM(D626),القوائم!$A$1:$A$288,0)),IFERROR(MOD(TIMEVALUE(D626),1),""))))</f>
        <v/>
      </c>
      <c r="M626" s="19" t="n">
        <f aca="false">$M$621</f>
        <v>1</v>
      </c>
      <c r="Q626" s="19" t="n">
        <f aca="false">IF(N(E633)&gt;0,1,0)</f>
        <v>0</v>
      </c>
      <c r="S626" s="0" t="n">
        <v>45</v>
      </c>
    </row>
    <row r="627" customFormat="false" ht="15" hidden="false" customHeight="false" outlineLevel="0" collapsed="false">
      <c r="A627" s="22" t="n">
        <f aca="false">IF(45&lt;=NW,WEEK_ONE+312,"")</f>
        <v>46330</v>
      </c>
      <c r="B627" s="23" t="str">
        <f aca="false">IF(A627="","",CHOOSE(WEEKDAY(A627,1),"الأحد","الاثنين","الثلاثاء","الأربعاء","الخميس","الجمعة","السبت"))</f>
        <v>الأربعاء</v>
      </c>
      <c r="C627" s="24"/>
      <c r="D627" s="24"/>
      <c r="E627" s="25" t="str">
        <f aca="false">IF(OR(M627=0,K627="",L627=""),"",MOD(L627-K627,1))</f>
        <v/>
      </c>
      <c r="F627" s="25" t="str">
        <f aca="false">IF(OR(E627="",M627=0),"",IF(WEEKDAY(A627,1)=6,E627,MIN(E627,MAX(0,MIN(IF(L627&lt;K627,L627+1,L627),OMR_OT_AT)-K627))))</f>
        <v/>
      </c>
      <c r="G627" s="25" t="str">
        <f aca="false">IF(OR(E627="",M627=0),"",MAX(0,E627-F627))</f>
        <v/>
      </c>
      <c r="H627" s="26" t="str">
        <f aca="false">IF(OR(E627="",M627=0),"",ROUND((F627*$N$621+G627*$O$621)*24,3))</f>
        <v/>
      </c>
      <c r="I627" s="27"/>
      <c r="K627" s="28" t="str">
        <f aca="false">IF(OR(M627=0,C627=""),"",IF(ISNUMBER(C627),MOD(C627,1),IFERROR(INDEX(القوائم!$B$1:$B$288,MATCH(TRIM(C627),القوائم!$A$1:$A$288,0)),IFERROR(MOD(TIMEVALUE(C627),1),""))))</f>
        <v/>
      </c>
      <c r="L627" s="28" t="str">
        <f aca="false">IF(OR(M627=0,D627=""),"",IF(ISNUMBER(D627),MOD(D627,1),IFERROR(INDEX(القوائم!$B$1:$B$288,MATCH(TRIM(D627),القوائم!$A$1:$A$288,0)),IFERROR(MOD(TIMEVALUE(D627),1),""))))</f>
        <v/>
      </c>
      <c r="M627" s="19" t="n">
        <f aca="false">$M$621</f>
        <v>1</v>
      </c>
      <c r="Q627" s="19" t="n">
        <f aca="false">IF(N(E633)&gt;0,1,0)</f>
        <v>0</v>
      </c>
      <c r="S627" s="0" t="n">
        <v>45</v>
      </c>
    </row>
    <row r="628" customFormat="false" ht="15" hidden="false" customHeight="false" outlineLevel="0" collapsed="false">
      <c r="A628" s="22" t="n">
        <f aca="false">IF(45&lt;=NW,WEEK_ONE+313,"")</f>
        <v>46331</v>
      </c>
      <c r="B628" s="23" t="str">
        <f aca="false">IF(A628="","",CHOOSE(WEEKDAY(A628,1),"الأحد","الاثنين","الثلاثاء","الأربعاء","الخميس","الجمعة","السبت"))</f>
        <v>الخميس</v>
      </c>
      <c r="C628" s="24"/>
      <c r="D628" s="24"/>
      <c r="E628" s="25" t="str">
        <f aca="false">IF(OR(M628=0,K628="",L628=""),"",MOD(L628-K628,1))</f>
        <v/>
      </c>
      <c r="F628" s="25" t="str">
        <f aca="false">IF(OR(E628="",M628=0),"",IF(WEEKDAY(A628,1)=6,E628,MIN(E628,MAX(0,MIN(IF(L628&lt;K628,L628+1,L628),OMR_OT_AT)-K628))))</f>
        <v/>
      </c>
      <c r="G628" s="25" t="str">
        <f aca="false">IF(OR(E628="",M628=0),"",MAX(0,E628-F628))</f>
        <v/>
      </c>
      <c r="H628" s="26" t="str">
        <f aca="false">IF(OR(E628="",M628=0),"",ROUND((F628*$N$621+G628*$O$621)*24,3))</f>
        <v/>
      </c>
      <c r="I628" s="27"/>
      <c r="K628" s="28" t="str">
        <f aca="false">IF(OR(M628=0,C628=""),"",IF(ISNUMBER(C628),MOD(C628,1),IFERROR(INDEX(القوائم!$B$1:$B$288,MATCH(TRIM(C628),القوائم!$A$1:$A$288,0)),IFERROR(MOD(TIMEVALUE(C628),1),""))))</f>
        <v/>
      </c>
      <c r="L628" s="28" t="str">
        <f aca="false">IF(OR(M628=0,D628=""),"",IF(ISNUMBER(D628),MOD(D628,1),IFERROR(INDEX(القوائم!$B$1:$B$288,MATCH(TRIM(D628),القوائم!$A$1:$A$288,0)),IFERROR(MOD(TIMEVALUE(D628),1),""))))</f>
        <v/>
      </c>
      <c r="M628" s="19" t="n">
        <f aca="false">$M$621</f>
        <v>1</v>
      </c>
      <c r="Q628" s="19" t="n">
        <f aca="false">IF(N(E633)&gt;0,1,0)</f>
        <v>0</v>
      </c>
      <c r="S628" s="0" t="n">
        <v>45</v>
      </c>
    </row>
    <row r="629" customFormat="false" ht="15" hidden="false" customHeight="false" outlineLevel="0" collapsed="false">
      <c r="A629" s="29" t="n">
        <f aca="false">IF(45&lt;=NW,WEEK_ONE+314,"")</f>
        <v>46332</v>
      </c>
      <c r="B629" s="30" t="str">
        <f aca="false">IF(A629="","",CHOOSE(WEEKDAY(A629,1),"الأحد","الاثنين","الثلاثاء","الأربعاء","الخميس","الجمعة","السبت"))</f>
        <v>الجمعة</v>
      </c>
      <c r="C629" s="24"/>
      <c r="D629" s="24"/>
      <c r="E629" s="25" t="str">
        <f aca="false">IF(OR(M629=0,K629="",L629=""),"",MOD(L629-K629,1))</f>
        <v/>
      </c>
      <c r="F629" s="25" t="str">
        <f aca="false">IF(OR(E629="",M629=0),"",IF(WEEKDAY(A629,1)=6,E629,MIN(E629,MAX(0,MIN(IF(L629&lt;K629,L629+1,L629),OMR_OT_AT)-K629))))</f>
        <v/>
      </c>
      <c r="G629" s="25" t="str">
        <f aca="false">IF(OR(E629="",M629=0),"",MAX(0,E629-F629))</f>
        <v/>
      </c>
      <c r="H629" s="26" t="str">
        <f aca="false">IF(OR(E629="",M629=0),"",ROUND((F629*$N$621+G629*$O$621)*24,3))</f>
        <v/>
      </c>
      <c r="I629" s="27"/>
      <c r="K629" s="28" t="str">
        <f aca="false">IF(OR(M629=0,C629=""),"",IF(ISNUMBER(C629),MOD(C629,1),IFERROR(INDEX(القوائم!$B$1:$B$288,MATCH(TRIM(C629),القوائم!$A$1:$A$288,0)),IFERROR(MOD(TIMEVALUE(C629),1),""))))</f>
        <v/>
      </c>
      <c r="L629" s="28" t="str">
        <f aca="false">IF(OR(M629=0,D629=""),"",IF(ISNUMBER(D629),MOD(D629,1),IFERROR(INDEX(القوائم!$B$1:$B$288,MATCH(TRIM(D629),القوائم!$A$1:$A$288,0)),IFERROR(MOD(TIMEVALUE(D629),1),""))))</f>
        <v/>
      </c>
      <c r="M629" s="19" t="n">
        <f aca="false">$M$621</f>
        <v>1</v>
      </c>
      <c r="Q629" s="19" t="n">
        <f aca="false">IF(N(E633)&gt;0,1,0)</f>
        <v>0</v>
      </c>
      <c r="S629" s="0" t="n">
        <v>45</v>
      </c>
    </row>
    <row r="630" customFormat="false" ht="15" hidden="false" customHeight="false" outlineLevel="0" collapsed="false">
      <c r="A630" s="31" t="str">
        <f aca="false">IF(M621=1,"ساعات تحميل الجبسمبورد بهالأسبوع ←","")</f>
        <v>ساعات تحميل الجبسمبورد بهالأسبوع ←</v>
      </c>
      <c r="B630" s="31"/>
      <c r="C630" s="31"/>
      <c r="D630" s="31"/>
      <c r="E630" s="32"/>
      <c r="F630" s="33" t="str">
        <f aca="false">IF(M621=1,"كل ساعة تحميل = "&amp;TEXT($P$621,"0.000")&amp;" دينار (منها "&amp;TEXT($N$621,"0.000")&amp;" محسوبة أصلاً بساعات اليوم)","")</f>
        <v>كل ساعة تحميل = 2.500 دينار (منها 1.250 محسوبة أصلاً بساعات اليوم)</v>
      </c>
      <c r="G630" s="33"/>
      <c r="H630" s="33"/>
      <c r="I630" s="33"/>
      <c r="M630" s="19" t="n">
        <f aca="false">$M$621</f>
        <v>1</v>
      </c>
      <c r="Q630" s="19" t="n">
        <f aca="false">IF(N(E633)&gt;0,1,0)</f>
        <v>0</v>
      </c>
      <c r="S630" s="0" t="n">
        <v>45</v>
      </c>
    </row>
    <row r="631" customFormat="false" ht="15" hidden="false" customHeight="false" outlineLevel="0" collapsed="false">
      <c r="A631" s="31" t="str">
        <f aca="false">IF(M621=1,"إكرامية الأسبوع (دينار) ←","")</f>
        <v>إكرامية الأسبوع (دينار) ←</v>
      </c>
      <c r="B631" s="31"/>
      <c r="C631" s="31"/>
      <c r="D631" s="31"/>
      <c r="E631" s="34"/>
      <c r="F631" s="35"/>
      <c r="G631" s="35"/>
      <c r="H631" s="35"/>
      <c r="I631" s="35"/>
      <c r="M631" s="19" t="n">
        <f aca="false">$M$621</f>
        <v>1</v>
      </c>
      <c r="Q631" s="19" t="n">
        <f aca="false">IF(N(E633)&gt;0,1,0)</f>
        <v>0</v>
      </c>
      <c r="S631" s="0" t="n">
        <v>45</v>
      </c>
    </row>
    <row r="632" customFormat="false" ht="36" hidden="false" customHeight="true" outlineLevel="0" collapsed="false">
      <c r="A632" s="36" t="str">
        <f aca="false">IF(M621=1,"المستحق النهائي للأسبوع","")</f>
        <v>المستحق النهائي للأسبوع</v>
      </c>
      <c r="B632" s="36"/>
      <c r="C632" s="36"/>
      <c r="D632" s="36"/>
      <c r="E632" s="36"/>
      <c r="F632" s="36"/>
      <c r="G632" s="36"/>
      <c r="H632" s="11" t="n">
        <f aca="false">IF(M621=1,ROUND(N($V$621)+N(E630)*($P$621-$N$621)+N(E631),3),"")</f>
        <v>0</v>
      </c>
      <c r="I632" s="37"/>
      <c r="M632" s="19" t="n">
        <f aca="false">$M$621</f>
        <v>1</v>
      </c>
      <c r="Q632" s="19" t="n">
        <f aca="false">IF(N(E633)&gt;0,1,0)</f>
        <v>0</v>
      </c>
      <c r="S632" s="0" t="n">
        <v>45</v>
      </c>
      <c r="T632" s="0" t="n">
        <v>1</v>
      </c>
    </row>
    <row r="633" customFormat="false" ht="25.5" hidden="false" customHeight="true" outlineLevel="0" collapsed="false">
      <c r="A633" s="31" t="str">
        <f aca="false">IF(M621=1,"المدفوع (دينار) ←","")</f>
        <v>المدفوع (دينار) ←</v>
      </c>
      <c r="B633" s="31"/>
      <c r="C633" s="31"/>
      <c r="D633" s="31"/>
      <c r="E633" s="34"/>
      <c r="F633" s="38" t="str">
        <f aca="false">IF(M621=1,IF(N(E633)&gt;0,"✔ انقبض — الأسبوع مقفول","⏳ لسا ما انقبض"),"")</f>
        <v>⏳ لسا ما انقبض</v>
      </c>
      <c r="G633" s="38"/>
      <c r="H633" s="38"/>
      <c r="I633" s="38"/>
      <c r="M633" s="19" t="n">
        <f aca="false">$M$621</f>
        <v>1</v>
      </c>
      <c r="Q633" s="19" t="n">
        <f aca="false">IF(N(E633)&gt;0,1,0)</f>
        <v>0</v>
      </c>
      <c r="S633" s="0" t="n">
        <v>45</v>
      </c>
    </row>
    <row r="634" customFormat="false" ht="9.75" hidden="false" customHeight="true" outlineLevel="0" collapsed="false">
      <c r="M634" s="19" t="n">
        <f aca="false">$M$621</f>
        <v>1</v>
      </c>
      <c r="Q634" s="19" t="n">
        <f aca="false">IF(N(E633)&gt;0,1,0)</f>
        <v>0</v>
      </c>
      <c r="S634" s="0" t="n">
        <v>45</v>
      </c>
      <c r="T634" s="0" t="n">
        <v>2</v>
      </c>
    </row>
    <row r="635" customFormat="false" ht="33.75" hidden="false" customHeight="true" outlineLevel="0" collapsed="false">
      <c r="A635" s="17" t="str">
        <f aca="false">IF(46&lt;=NW,TEXT(DAY(WEEK_ONE+315),"00")&amp;"/"&amp;TEXT(MONTH(WEEK_ONE+315),"00")&amp;"/"&amp;YEAR(WEEK_ONE+315)&amp;"  -  "&amp;TEXT(DAY(WEEK_ONE+321),"00")&amp;"/"&amp;TEXT(MONTH(WEEK_ONE+321),"00")&amp;"/"&amp;YEAR(WEEK_ONE+321)&amp;"   ·   الأسبوع 46"&amp;IF(46&lt;START_O,"   (قبل أسبوع البداية — ما بينحسب)",""),"ما في أسبوع 46 هالسنة")</f>
        <v>07/11/2026  -  13/11/2026   ·   الأسبوع 46</v>
      </c>
      <c r="B635" s="17"/>
      <c r="C635" s="17"/>
      <c r="D635" s="17"/>
      <c r="E635" s="17"/>
      <c r="F635" s="17"/>
      <c r="G635" s="17"/>
      <c r="H635" s="17"/>
      <c r="I635" s="17"/>
      <c r="L635" s="18" t="n">
        <f aca="false">IF(46&lt;=NW,WEEK_ONE+321,"")</f>
        <v>46339</v>
      </c>
      <c r="M635" s="19" t="n">
        <f aca="false">IF(AND(46&lt;=NW,46&gt;=START_O),1,0)</f>
        <v>1</v>
      </c>
      <c r="N635" s="20" t="n">
        <f aca="false">IFERROR(INDEX(RT_OMR,MATCH(L635,RT_K,1)),INDEX(RT_OMR,1))</f>
        <v>1.25</v>
      </c>
      <c r="O635" s="20" t="n">
        <f aca="false">IFERROR(INDEX(RT_OT,MATCH(L635,RT_K,1)),INDEX(RT_OT,1))</f>
        <v>1.5</v>
      </c>
      <c r="P635" s="20" t="n">
        <f aca="false">IFERROR(INDEX(RT_GYP,MATCH(L635,RT_K,1)),INDEX(RT_GYP,1))</f>
        <v>2.5</v>
      </c>
      <c r="Q635" s="19" t="n">
        <f aca="false">IF(N(E647)&gt;0,1,0)</f>
        <v>0</v>
      </c>
      <c r="R635" s="0" t="n">
        <v>46</v>
      </c>
      <c r="S635" s="0" t="n">
        <v>46</v>
      </c>
      <c r="U635" s="39" t="n">
        <f aca="false">IF(M635=1,SUM(E637:E643),0)</f>
        <v>0</v>
      </c>
      <c r="V635" s="19" t="n">
        <f aca="false">SUM(H637:H643)</f>
        <v>0</v>
      </c>
    </row>
    <row r="636" customFormat="false" ht="39.75" hidden="false" customHeight="true" outlineLevel="0" collapsed="false">
      <c r="A636" s="21" t="s">
        <v>18</v>
      </c>
      <c r="B636" s="21" t="s">
        <v>19</v>
      </c>
      <c r="C636" s="21" t="s">
        <v>20</v>
      </c>
      <c r="D636" s="21" t="s">
        <v>21</v>
      </c>
      <c r="E636" s="21" t="s">
        <v>22</v>
      </c>
      <c r="F636" s="21" t="s">
        <v>23</v>
      </c>
      <c r="G636" s="21" t="s">
        <v>24</v>
      </c>
      <c r="H636" s="21" t="s">
        <v>25</v>
      </c>
      <c r="I636" s="21" t="s">
        <v>26</v>
      </c>
      <c r="M636" s="19" t="n">
        <f aca="false">$M$635</f>
        <v>1</v>
      </c>
      <c r="Q636" s="19" t="n">
        <f aca="false">IF(N(E647)&gt;0,1,0)</f>
        <v>0</v>
      </c>
      <c r="S636" s="0" t="n">
        <v>46</v>
      </c>
    </row>
    <row r="637" customFormat="false" ht="15" hidden="false" customHeight="false" outlineLevel="0" collapsed="false">
      <c r="A637" s="22" t="n">
        <f aca="false">IF(46&lt;=NW,WEEK_ONE+315,"")</f>
        <v>46333</v>
      </c>
      <c r="B637" s="23" t="str">
        <f aca="false">IF(A637="","",CHOOSE(WEEKDAY(A637,1),"الأحد","الاثنين","الثلاثاء","الأربعاء","الخميس","الجمعة","السبت"))</f>
        <v>السبت</v>
      </c>
      <c r="C637" s="24"/>
      <c r="D637" s="24"/>
      <c r="E637" s="25" t="str">
        <f aca="false">IF(OR(M637=0,K637="",L637=""),"",MOD(L637-K637,1))</f>
        <v/>
      </c>
      <c r="F637" s="25" t="str">
        <f aca="false">IF(OR(E637="",M637=0),"",IF(WEEKDAY(A637,1)=6,E637,MIN(E637,MAX(0,MIN(IF(L637&lt;K637,L637+1,L637),OMR_OT_AT)-K637))))</f>
        <v/>
      </c>
      <c r="G637" s="25" t="str">
        <f aca="false">IF(OR(E637="",M637=0),"",MAX(0,E637-F637))</f>
        <v/>
      </c>
      <c r="H637" s="26" t="str">
        <f aca="false">IF(OR(E637="",M637=0),"",ROUND((F637*$N$635+G637*$O$635)*24,3))</f>
        <v/>
      </c>
      <c r="I637" s="27"/>
      <c r="K637" s="28" t="str">
        <f aca="false">IF(OR(M637=0,C637=""),"",IF(ISNUMBER(C637),MOD(C637,1),IFERROR(INDEX(القوائم!$B$1:$B$288,MATCH(TRIM(C637),القوائم!$A$1:$A$288,0)),IFERROR(MOD(TIMEVALUE(C637),1),""))))</f>
        <v/>
      </c>
      <c r="L637" s="28" t="str">
        <f aca="false">IF(OR(M637=0,D637=""),"",IF(ISNUMBER(D637),MOD(D637,1),IFERROR(INDEX(القوائم!$B$1:$B$288,MATCH(TRIM(D637),القوائم!$A$1:$A$288,0)),IFERROR(MOD(TIMEVALUE(D637),1),""))))</f>
        <v/>
      </c>
      <c r="M637" s="19" t="n">
        <f aca="false">$M$635</f>
        <v>1</v>
      </c>
      <c r="Q637" s="19" t="n">
        <f aca="false">IF(N(E647)&gt;0,1,0)</f>
        <v>0</v>
      </c>
      <c r="S637" s="0" t="n">
        <v>46</v>
      </c>
    </row>
    <row r="638" customFormat="false" ht="15" hidden="false" customHeight="false" outlineLevel="0" collapsed="false">
      <c r="A638" s="22" t="n">
        <f aca="false">IF(46&lt;=NW,WEEK_ONE+316,"")</f>
        <v>46334</v>
      </c>
      <c r="B638" s="23" t="str">
        <f aca="false">IF(A638="","",CHOOSE(WEEKDAY(A638,1),"الأحد","الاثنين","الثلاثاء","الأربعاء","الخميس","الجمعة","السبت"))</f>
        <v>الأحد</v>
      </c>
      <c r="C638" s="24"/>
      <c r="D638" s="24"/>
      <c r="E638" s="25" t="str">
        <f aca="false">IF(OR(M638=0,K638="",L638=""),"",MOD(L638-K638,1))</f>
        <v/>
      </c>
      <c r="F638" s="25" t="str">
        <f aca="false">IF(OR(E638="",M638=0),"",IF(WEEKDAY(A638,1)=6,E638,MIN(E638,MAX(0,MIN(IF(L638&lt;K638,L638+1,L638),OMR_OT_AT)-K638))))</f>
        <v/>
      </c>
      <c r="G638" s="25" t="str">
        <f aca="false">IF(OR(E638="",M638=0),"",MAX(0,E638-F638))</f>
        <v/>
      </c>
      <c r="H638" s="26" t="str">
        <f aca="false">IF(OR(E638="",M638=0),"",ROUND((F638*$N$635+G638*$O$635)*24,3))</f>
        <v/>
      </c>
      <c r="I638" s="27"/>
      <c r="K638" s="28" t="str">
        <f aca="false">IF(OR(M638=0,C638=""),"",IF(ISNUMBER(C638),MOD(C638,1),IFERROR(INDEX(القوائم!$B$1:$B$288,MATCH(TRIM(C638),القوائم!$A$1:$A$288,0)),IFERROR(MOD(TIMEVALUE(C638),1),""))))</f>
        <v/>
      </c>
      <c r="L638" s="28" t="str">
        <f aca="false">IF(OR(M638=0,D638=""),"",IF(ISNUMBER(D638),MOD(D638,1),IFERROR(INDEX(القوائم!$B$1:$B$288,MATCH(TRIM(D638),القوائم!$A$1:$A$288,0)),IFERROR(MOD(TIMEVALUE(D638),1),""))))</f>
        <v/>
      </c>
      <c r="M638" s="19" t="n">
        <f aca="false">$M$635</f>
        <v>1</v>
      </c>
      <c r="Q638" s="19" t="n">
        <f aca="false">IF(N(E647)&gt;0,1,0)</f>
        <v>0</v>
      </c>
      <c r="S638" s="0" t="n">
        <v>46</v>
      </c>
    </row>
    <row r="639" customFormat="false" ht="15" hidden="false" customHeight="false" outlineLevel="0" collapsed="false">
      <c r="A639" s="22" t="n">
        <f aca="false">IF(46&lt;=NW,WEEK_ONE+317,"")</f>
        <v>46335</v>
      </c>
      <c r="B639" s="23" t="str">
        <f aca="false">IF(A639="","",CHOOSE(WEEKDAY(A639,1),"الأحد","الاثنين","الثلاثاء","الأربعاء","الخميس","الجمعة","السبت"))</f>
        <v>الاثنين</v>
      </c>
      <c r="C639" s="24"/>
      <c r="D639" s="24"/>
      <c r="E639" s="25" t="str">
        <f aca="false">IF(OR(M639=0,K639="",L639=""),"",MOD(L639-K639,1))</f>
        <v/>
      </c>
      <c r="F639" s="25" t="str">
        <f aca="false">IF(OR(E639="",M639=0),"",IF(WEEKDAY(A639,1)=6,E639,MIN(E639,MAX(0,MIN(IF(L639&lt;K639,L639+1,L639),OMR_OT_AT)-K639))))</f>
        <v/>
      </c>
      <c r="G639" s="25" t="str">
        <f aca="false">IF(OR(E639="",M639=0),"",MAX(0,E639-F639))</f>
        <v/>
      </c>
      <c r="H639" s="26" t="str">
        <f aca="false">IF(OR(E639="",M639=0),"",ROUND((F639*$N$635+G639*$O$635)*24,3))</f>
        <v/>
      </c>
      <c r="I639" s="27"/>
      <c r="K639" s="28" t="str">
        <f aca="false">IF(OR(M639=0,C639=""),"",IF(ISNUMBER(C639),MOD(C639,1),IFERROR(INDEX(القوائم!$B$1:$B$288,MATCH(TRIM(C639),القوائم!$A$1:$A$288,0)),IFERROR(MOD(TIMEVALUE(C639),1),""))))</f>
        <v/>
      </c>
      <c r="L639" s="28" t="str">
        <f aca="false">IF(OR(M639=0,D639=""),"",IF(ISNUMBER(D639),MOD(D639,1),IFERROR(INDEX(القوائم!$B$1:$B$288,MATCH(TRIM(D639),القوائم!$A$1:$A$288,0)),IFERROR(MOD(TIMEVALUE(D639),1),""))))</f>
        <v/>
      </c>
      <c r="M639" s="19" t="n">
        <f aca="false">$M$635</f>
        <v>1</v>
      </c>
      <c r="Q639" s="19" t="n">
        <f aca="false">IF(N(E647)&gt;0,1,0)</f>
        <v>0</v>
      </c>
      <c r="S639" s="0" t="n">
        <v>46</v>
      </c>
    </row>
    <row r="640" customFormat="false" ht="15" hidden="false" customHeight="false" outlineLevel="0" collapsed="false">
      <c r="A640" s="22" t="n">
        <f aca="false">IF(46&lt;=NW,WEEK_ONE+318,"")</f>
        <v>46336</v>
      </c>
      <c r="B640" s="23" t="str">
        <f aca="false">IF(A640="","",CHOOSE(WEEKDAY(A640,1),"الأحد","الاثنين","الثلاثاء","الأربعاء","الخميس","الجمعة","السبت"))</f>
        <v>الثلاثاء</v>
      </c>
      <c r="C640" s="24"/>
      <c r="D640" s="24"/>
      <c r="E640" s="25" t="str">
        <f aca="false">IF(OR(M640=0,K640="",L640=""),"",MOD(L640-K640,1))</f>
        <v/>
      </c>
      <c r="F640" s="25" t="str">
        <f aca="false">IF(OR(E640="",M640=0),"",IF(WEEKDAY(A640,1)=6,E640,MIN(E640,MAX(0,MIN(IF(L640&lt;K640,L640+1,L640),OMR_OT_AT)-K640))))</f>
        <v/>
      </c>
      <c r="G640" s="25" t="str">
        <f aca="false">IF(OR(E640="",M640=0),"",MAX(0,E640-F640))</f>
        <v/>
      </c>
      <c r="H640" s="26" t="str">
        <f aca="false">IF(OR(E640="",M640=0),"",ROUND((F640*$N$635+G640*$O$635)*24,3))</f>
        <v/>
      </c>
      <c r="I640" s="27"/>
      <c r="K640" s="28" t="str">
        <f aca="false">IF(OR(M640=0,C640=""),"",IF(ISNUMBER(C640),MOD(C640,1),IFERROR(INDEX(القوائم!$B$1:$B$288,MATCH(TRIM(C640),القوائم!$A$1:$A$288,0)),IFERROR(MOD(TIMEVALUE(C640),1),""))))</f>
        <v/>
      </c>
      <c r="L640" s="28" t="str">
        <f aca="false">IF(OR(M640=0,D640=""),"",IF(ISNUMBER(D640),MOD(D640,1),IFERROR(INDEX(القوائم!$B$1:$B$288,MATCH(TRIM(D640),القوائم!$A$1:$A$288,0)),IFERROR(MOD(TIMEVALUE(D640),1),""))))</f>
        <v/>
      </c>
      <c r="M640" s="19" t="n">
        <f aca="false">$M$635</f>
        <v>1</v>
      </c>
      <c r="Q640" s="19" t="n">
        <f aca="false">IF(N(E647)&gt;0,1,0)</f>
        <v>0</v>
      </c>
      <c r="S640" s="0" t="n">
        <v>46</v>
      </c>
    </row>
    <row r="641" customFormat="false" ht="15" hidden="false" customHeight="false" outlineLevel="0" collapsed="false">
      <c r="A641" s="22" t="n">
        <f aca="false">IF(46&lt;=NW,WEEK_ONE+319,"")</f>
        <v>46337</v>
      </c>
      <c r="B641" s="23" t="str">
        <f aca="false">IF(A641="","",CHOOSE(WEEKDAY(A641,1),"الأحد","الاثنين","الثلاثاء","الأربعاء","الخميس","الجمعة","السبت"))</f>
        <v>الأربعاء</v>
      </c>
      <c r="C641" s="24"/>
      <c r="D641" s="24"/>
      <c r="E641" s="25" t="str">
        <f aca="false">IF(OR(M641=0,K641="",L641=""),"",MOD(L641-K641,1))</f>
        <v/>
      </c>
      <c r="F641" s="25" t="str">
        <f aca="false">IF(OR(E641="",M641=0),"",IF(WEEKDAY(A641,1)=6,E641,MIN(E641,MAX(0,MIN(IF(L641&lt;K641,L641+1,L641),OMR_OT_AT)-K641))))</f>
        <v/>
      </c>
      <c r="G641" s="25" t="str">
        <f aca="false">IF(OR(E641="",M641=0),"",MAX(0,E641-F641))</f>
        <v/>
      </c>
      <c r="H641" s="26" t="str">
        <f aca="false">IF(OR(E641="",M641=0),"",ROUND((F641*$N$635+G641*$O$635)*24,3))</f>
        <v/>
      </c>
      <c r="I641" s="27"/>
      <c r="K641" s="28" t="str">
        <f aca="false">IF(OR(M641=0,C641=""),"",IF(ISNUMBER(C641),MOD(C641,1),IFERROR(INDEX(القوائم!$B$1:$B$288,MATCH(TRIM(C641),القوائم!$A$1:$A$288,0)),IFERROR(MOD(TIMEVALUE(C641),1),""))))</f>
        <v/>
      </c>
      <c r="L641" s="28" t="str">
        <f aca="false">IF(OR(M641=0,D641=""),"",IF(ISNUMBER(D641),MOD(D641,1),IFERROR(INDEX(القوائم!$B$1:$B$288,MATCH(TRIM(D641),القوائم!$A$1:$A$288,0)),IFERROR(MOD(TIMEVALUE(D641),1),""))))</f>
        <v/>
      </c>
      <c r="M641" s="19" t="n">
        <f aca="false">$M$635</f>
        <v>1</v>
      </c>
      <c r="Q641" s="19" t="n">
        <f aca="false">IF(N(E647)&gt;0,1,0)</f>
        <v>0</v>
      </c>
      <c r="S641" s="0" t="n">
        <v>46</v>
      </c>
    </row>
    <row r="642" customFormat="false" ht="15" hidden="false" customHeight="false" outlineLevel="0" collapsed="false">
      <c r="A642" s="22" t="n">
        <f aca="false">IF(46&lt;=NW,WEEK_ONE+320,"")</f>
        <v>46338</v>
      </c>
      <c r="B642" s="23" t="str">
        <f aca="false">IF(A642="","",CHOOSE(WEEKDAY(A642,1),"الأحد","الاثنين","الثلاثاء","الأربعاء","الخميس","الجمعة","السبت"))</f>
        <v>الخميس</v>
      </c>
      <c r="C642" s="24"/>
      <c r="D642" s="24"/>
      <c r="E642" s="25" t="str">
        <f aca="false">IF(OR(M642=0,K642="",L642=""),"",MOD(L642-K642,1))</f>
        <v/>
      </c>
      <c r="F642" s="25" t="str">
        <f aca="false">IF(OR(E642="",M642=0),"",IF(WEEKDAY(A642,1)=6,E642,MIN(E642,MAX(0,MIN(IF(L642&lt;K642,L642+1,L642),OMR_OT_AT)-K642))))</f>
        <v/>
      </c>
      <c r="G642" s="25" t="str">
        <f aca="false">IF(OR(E642="",M642=0),"",MAX(0,E642-F642))</f>
        <v/>
      </c>
      <c r="H642" s="26" t="str">
        <f aca="false">IF(OR(E642="",M642=0),"",ROUND((F642*$N$635+G642*$O$635)*24,3))</f>
        <v/>
      </c>
      <c r="I642" s="27"/>
      <c r="K642" s="28" t="str">
        <f aca="false">IF(OR(M642=0,C642=""),"",IF(ISNUMBER(C642),MOD(C642,1),IFERROR(INDEX(القوائم!$B$1:$B$288,MATCH(TRIM(C642),القوائم!$A$1:$A$288,0)),IFERROR(MOD(TIMEVALUE(C642),1),""))))</f>
        <v/>
      </c>
      <c r="L642" s="28" t="str">
        <f aca="false">IF(OR(M642=0,D642=""),"",IF(ISNUMBER(D642),MOD(D642,1),IFERROR(INDEX(القوائم!$B$1:$B$288,MATCH(TRIM(D642),القوائم!$A$1:$A$288,0)),IFERROR(MOD(TIMEVALUE(D642),1),""))))</f>
        <v/>
      </c>
      <c r="M642" s="19" t="n">
        <f aca="false">$M$635</f>
        <v>1</v>
      </c>
      <c r="Q642" s="19" t="n">
        <f aca="false">IF(N(E647)&gt;0,1,0)</f>
        <v>0</v>
      </c>
      <c r="S642" s="0" t="n">
        <v>46</v>
      </c>
    </row>
    <row r="643" customFormat="false" ht="15" hidden="false" customHeight="false" outlineLevel="0" collapsed="false">
      <c r="A643" s="29" t="n">
        <f aca="false">IF(46&lt;=NW,WEEK_ONE+321,"")</f>
        <v>46339</v>
      </c>
      <c r="B643" s="30" t="str">
        <f aca="false">IF(A643="","",CHOOSE(WEEKDAY(A643,1),"الأحد","الاثنين","الثلاثاء","الأربعاء","الخميس","الجمعة","السبت"))</f>
        <v>الجمعة</v>
      </c>
      <c r="C643" s="24"/>
      <c r="D643" s="24"/>
      <c r="E643" s="25" t="str">
        <f aca="false">IF(OR(M643=0,K643="",L643=""),"",MOD(L643-K643,1))</f>
        <v/>
      </c>
      <c r="F643" s="25" t="str">
        <f aca="false">IF(OR(E643="",M643=0),"",IF(WEEKDAY(A643,1)=6,E643,MIN(E643,MAX(0,MIN(IF(L643&lt;K643,L643+1,L643),OMR_OT_AT)-K643))))</f>
        <v/>
      </c>
      <c r="G643" s="25" t="str">
        <f aca="false">IF(OR(E643="",M643=0),"",MAX(0,E643-F643))</f>
        <v/>
      </c>
      <c r="H643" s="26" t="str">
        <f aca="false">IF(OR(E643="",M643=0),"",ROUND((F643*$N$635+G643*$O$635)*24,3))</f>
        <v/>
      </c>
      <c r="I643" s="27"/>
      <c r="K643" s="28" t="str">
        <f aca="false">IF(OR(M643=0,C643=""),"",IF(ISNUMBER(C643),MOD(C643,1),IFERROR(INDEX(القوائم!$B$1:$B$288,MATCH(TRIM(C643),القوائم!$A$1:$A$288,0)),IFERROR(MOD(TIMEVALUE(C643),1),""))))</f>
        <v/>
      </c>
      <c r="L643" s="28" t="str">
        <f aca="false">IF(OR(M643=0,D643=""),"",IF(ISNUMBER(D643),MOD(D643,1),IFERROR(INDEX(القوائم!$B$1:$B$288,MATCH(TRIM(D643),القوائم!$A$1:$A$288,0)),IFERROR(MOD(TIMEVALUE(D643),1),""))))</f>
        <v/>
      </c>
      <c r="M643" s="19" t="n">
        <f aca="false">$M$635</f>
        <v>1</v>
      </c>
      <c r="Q643" s="19" t="n">
        <f aca="false">IF(N(E647)&gt;0,1,0)</f>
        <v>0</v>
      </c>
      <c r="S643" s="0" t="n">
        <v>46</v>
      </c>
    </row>
    <row r="644" customFormat="false" ht="15" hidden="false" customHeight="false" outlineLevel="0" collapsed="false">
      <c r="A644" s="31" t="str">
        <f aca="false">IF(M635=1,"ساعات تحميل الجبسمبورد بهالأسبوع ←","")</f>
        <v>ساعات تحميل الجبسمبورد بهالأسبوع ←</v>
      </c>
      <c r="B644" s="31"/>
      <c r="C644" s="31"/>
      <c r="D644" s="31"/>
      <c r="E644" s="32"/>
      <c r="F644" s="33" t="str">
        <f aca="false">IF(M635=1,"كل ساعة تحميل = "&amp;TEXT($P$635,"0.000")&amp;" دينار (منها "&amp;TEXT($N$635,"0.000")&amp;" محسوبة أصلاً بساعات اليوم)","")</f>
        <v>كل ساعة تحميل = 2.500 دينار (منها 1.250 محسوبة أصلاً بساعات اليوم)</v>
      </c>
      <c r="G644" s="33"/>
      <c r="H644" s="33"/>
      <c r="I644" s="33"/>
      <c r="M644" s="19" t="n">
        <f aca="false">$M$635</f>
        <v>1</v>
      </c>
      <c r="Q644" s="19" t="n">
        <f aca="false">IF(N(E647)&gt;0,1,0)</f>
        <v>0</v>
      </c>
      <c r="S644" s="0" t="n">
        <v>46</v>
      </c>
    </row>
    <row r="645" customFormat="false" ht="15" hidden="false" customHeight="false" outlineLevel="0" collapsed="false">
      <c r="A645" s="31" t="str">
        <f aca="false">IF(M635=1,"إكرامية الأسبوع (دينار) ←","")</f>
        <v>إكرامية الأسبوع (دينار) ←</v>
      </c>
      <c r="B645" s="31"/>
      <c r="C645" s="31"/>
      <c r="D645" s="31"/>
      <c r="E645" s="34"/>
      <c r="F645" s="35"/>
      <c r="G645" s="35"/>
      <c r="H645" s="35"/>
      <c r="I645" s="35"/>
      <c r="M645" s="19" t="n">
        <f aca="false">$M$635</f>
        <v>1</v>
      </c>
      <c r="Q645" s="19" t="n">
        <f aca="false">IF(N(E647)&gt;0,1,0)</f>
        <v>0</v>
      </c>
      <c r="S645" s="0" t="n">
        <v>46</v>
      </c>
    </row>
    <row r="646" customFormat="false" ht="36" hidden="false" customHeight="true" outlineLevel="0" collapsed="false">
      <c r="A646" s="36" t="str">
        <f aca="false">IF(M635=1,"المستحق النهائي للأسبوع","")</f>
        <v>المستحق النهائي للأسبوع</v>
      </c>
      <c r="B646" s="36"/>
      <c r="C646" s="36"/>
      <c r="D646" s="36"/>
      <c r="E646" s="36"/>
      <c r="F646" s="36"/>
      <c r="G646" s="36"/>
      <c r="H646" s="11" t="n">
        <f aca="false">IF(M635=1,ROUND(N($V$635)+N(E644)*($P$635-$N$635)+N(E645),3),"")</f>
        <v>0</v>
      </c>
      <c r="I646" s="37"/>
      <c r="M646" s="19" t="n">
        <f aca="false">$M$635</f>
        <v>1</v>
      </c>
      <c r="Q646" s="19" t="n">
        <f aca="false">IF(N(E647)&gt;0,1,0)</f>
        <v>0</v>
      </c>
      <c r="S646" s="0" t="n">
        <v>46</v>
      </c>
      <c r="T646" s="0" t="n">
        <v>1</v>
      </c>
    </row>
    <row r="647" customFormat="false" ht="25.5" hidden="false" customHeight="true" outlineLevel="0" collapsed="false">
      <c r="A647" s="31" t="str">
        <f aca="false">IF(M635=1,"المدفوع (دينار) ←","")</f>
        <v>المدفوع (دينار) ←</v>
      </c>
      <c r="B647" s="31"/>
      <c r="C647" s="31"/>
      <c r="D647" s="31"/>
      <c r="E647" s="34"/>
      <c r="F647" s="38" t="str">
        <f aca="false">IF(M635=1,IF(N(E647)&gt;0,"✔ انقبض — الأسبوع مقفول","⏳ لسا ما انقبض"),"")</f>
        <v>⏳ لسا ما انقبض</v>
      </c>
      <c r="G647" s="38"/>
      <c r="H647" s="38"/>
      <c r="I647" s="38"/>
      <c r="M647" s="19" t="n">
        <f aca="false">$M$635</f>
        <v>1</v>
      </c>
      <c r="Q647" s="19" t="n">
        <f aca="false">IF(N(E647)&gt;0,1,0)</f>
        <v>0</v>
      </c>
      <c r="S647" s="0" t="n">
        <v>46</v>
      </c>
    </row>
    <row r="648" customFormat="false" ht="9.75" hidden="false" customHeight="true" outlineLevel="0" collapsed="false">
      <c r="M648" s="19" t="n">
        <f aca="false">$M$635</f>
        <v>1</v>
      </c>
      <c r="Q648" s="19" t="n">
        <f aca="false">IF(N(E647)&gt;0,1,0)</f>
        <v>0</v>
      </c>
      <c r="S648" s="0" t="n">
        <v>46</v>
      </c>
      <c r="T648" s="0" t="n">
        <v>2</v>
      </c>
    </row>
    <row r="649" customFormat="false" ht="33.75" hidden="false" customHeight="true" outlineLevel="0" collapsed="false">
      <c r="A649" s="17" t="str">
        <f aca="false">IF(47&lt;=NW,TEXT(DAY(WEEK_ONE+322),"00")&amp;"/"&amp;TEXT(MONTH(WEEK_ONE+322),"00")&amp;"/"&amp;YEAR(WEEK_ONE+322)&amp;"  -  "&amp;TEXT(DAY(WEEK_ONE+328),"00")&amp;"/"&amp;TEXT(MONTH(WEEK_ONE+328),"00")&amp;"/"&amp;YEAR(WEEK_ONE+328)&amp;"   ·   الأسبوع 47"&amp;IF(47&lt;START_O,"   (قبل أسبوع البداية — ما بينحسب)",""),"ما في أسبوع 47 هالسنة")</f>
        <v>14/11/2026  -  20/11/2026   ·   الأسبوع 47</v>
      </c>
      <c r="B649" s="17"/>
      <c r="C649" s="17"/>
      <c r="D649" s="17"/>
      <c r="E649" s="17"/>
      <c r="F649" s="17"/>
      <c r="G649" s="17"/>
      <c r="H649" s="17"/>
      <c r="I649" s="17"/>
      <c r="L649" s="18" t="n">
        <f aca="false">IF(47&lt;=NW,WEEK_ONE+328,"")</f>
        <v>46346</v>
      </c>
      <c r="M649" s="19" t="n">
        <f aca="false">IF(AND(47&lt;=NW,47&gt;=START_O),1,0)</f>
        <v>1</v>
      </c>
      <c r="N649" s="20" t="n">
        <f aca="false">IFERROR(INDEX(RT_OMR,MATCH(L649,RT_K,1)),INDEX(RT_OMR,1))</f>
        <v>1.25</v>
      </c>
      <c r="O649" s="20" t="n">
        <f aca="false">IFERROR(INDEX(RT_OT,MATCH(L649,RT_K,1)),INDEX(RT_OT,1))</f>
        <v>1.5</v>
      </c>
      <c r="P649" s="20" t="n">
        <f aca="false">IFERROR(INDEX(RT_GYP,MATCH(L649,RT_K,1)),INDEX(RT_GYP,1))</f>
        <v>2.5</v>
      </c>
      <c r="Q649" s="19" t="n">
        <f aca="false">IF(N(E661)&gt;0,1,0)</f>
        <v>0</v>
      </c>
      <c r="R649" s="0" t="n">
        <v>47</v>
      </c>
      <c r="S649" s="0" t="n">
        <v>47</v>
      </c>
      <c r="U649" s="39" t="n">
        <f aca="false">IF(M649=1,SUM(E651:E657),0)</f>
        <v>0</v>
      </c>
      <c r="V649" s="19" t="n">
        <f aca="false">SUM(H651:H657)</f>
        <v>0</v>
      </c>
    </row>
    <row r="650" customFormat="false" ht="39.75" hidden="false" customHeight="true" outlineLevel="0" collapsed="false">
      <c r="A650" s="21" t="s">
        <v>18</v>
      </c>
      <c r="B650" s="21" t="s">
        <v>19</v>
      </c>
      <c r="C650" s="21" t="s">
        <v>20</v>
      </c>
      <c r="D650" s="21" t="s">
        <v>21</v>
      </c>
      <c r="E650" s="21" t="s">
        <v>22</v>
      </c>
      <c r="F650" s="21" t="s">
        <v>23</v>
      </c>
      <c r="G650" s="21" t="s">
        <v>24</v>
      </c>
      <c r="H650" s="21" t="s">
        <v>25</v>
      </c>
      <c r="I650" s="21" t="s">
        <v>26</v>
      </c>
      <c r="M650" s="19" t="n">
        <f aca="false">$M$649</f>
        <v>1</v>
      </c>
      <c r="Q650" s="19" t="n">
        <f aca="false">IF(N(E661)&gt;0,1,0)</f>
        <v>0</v>
      </c>
      <c r="S650" s="0" t="n">
        <v>47</v>
      </c>
    </row>
    <row r="651" customFormat="false" ht="15" hidden="false" customHeight="false" outlineLevel="0" collapsed="false">
      <c r="A651" s="22" t="n">
        <f aca="false">IF(47&lt;=NW,WEEK_ONE+322,"")</f>
        <v>46340</v>
      </c>
      <c r="B651" s="23" t="str">
        <f aca="false">IF(A651="","",CHOOSE(WEEKDAY(A651,1),"الأحد","الاثنين","الثلاثاء","الأربعاء","الخميس","الجمعة","السبت"))</f>
        <v>السبت</v>
      </c>
      <c r="C651" s="24"/>
      <c r="D651" s="24"/>
      <c r="E651" s="25" t="str">
        <f aca="false">IF(OR(M651=0,K651="",L651=""),"",MOD(L651-K651,1))</f>
        <v/>
      </c>
      <c r="F651" s="25" t="str">
        <f aca="false">IF(OR(E651="",M651=0),"",IF(WEEKDAY(A651,1)=6,E651,MIN(E651,MAX(0,MIN(IF(L651&lt;K651,L651+1,L651),OMR_OT_AT)-K651))))</f>
        <v/>
      </c>
      <c r="G651" s="25" t="str">
        <f aca="false">IF(OR(E651="",M651=0),"",MAX(0,E651-F651))</f>
        <v/>
      </c>
      <c r="H651" s="26" t="str">
        <f aca="false">IF(OR(E651="",M651=0),"",ROUND((F651*$N$649+G651*$O$649)*24,3))</f>
        <v/>
      </c>
      <c r="I651" s="27"/>
      <c r="K651" s="28" t="str">
        <f aca="false">IF(OR(M651=0,C651=""),"",IF(ISNUMBER(C651),MOD(C651,1),IFERROR(INDEX(القوائم!$B$1:$B$288,MATCH(TRIM(C651),القوائم!$A$1:$A$288,0)),IFERROR(MOD(TIMEVALUE(C651),1),""))))</f>
        <v/>
      </c>
      <c r="L651" s="28" t="str">
        <f aca="false">IF(OR(M651=0,D651=""),"",IF(ISNUMBER(D651),MOD(D651,1),IFERROR(INDEX(القوائم!$B$1:$B$288,MATCH(TRIM(D651),القوائم!$A$1:$A$288,0)),IFERROR(MOD(TIMEVALUE(D651),1),""))))</f>
        <v/>
      </c>
      <c r="M651" s="19" t="n">
        <f aca="false">$M$649</f>
        <v>1</v>
      </c>
      <c r="Q651" s="19" t="n">
        <f aca="false">IF(N(E661)&gt;0,1,0)</f>
        <v>0</v>
      </c>
      <c r="S651" s="0" t="n">
        <v>47</v>
      </c>
    </row>
    <row r="652" customFormat="false" ht="15" hidden="false" customHeight="false" outlineLevel="0" collapsed="false">
      <c r="A652" s="22" t="n">
        <f aca="false">IF(47&lt;=NW,WEEK_ONE+323,"")</f>
        <v>46341</v>
      </c>
      <c r="B652" s="23" t="str">
        <f aca="false">IF(A652="","",CHOOSE(WEEKDAY(A652,1),"الأحد","الاثنين","الثلاثاء","الأربعاء","الخميس","الجمعة","السبت"))</f>
        <v>الأحد</v>
      </c>
      <c r="C652" s="24"/>
      <c r="D652" s="24"/>
      <c r="E652" s="25" t="str">
        <f aca="false">IF(OR(M652=0,K652="",L652=""),"",MOD(L652-K652,1))</f>
        <v/>
      </c>
      <c r="F652" s="25" t="str">
        <f aca="false">IF(OR(E652="",M652=0),"",IF(WEEKDAY(A652,1)=6,E652,MIN(E652,MAX(0,MIN(IF(L652&lt;K652,L652+1,L652),OMR_OT_AT)-K652))))</f>
        <v/>
      </c>
      <c r="G652" s="25" t="str">
        <f aca="false">IF(OR(E652="",M652=0),"",MAX(0,E652-F652))</f>
        <v/>
      </c>
      <c r="H652" s="26" t="str">
        <f aca="false">IF(OR(E652="",M652=0),"",ROUND((F652*$N$649+G652*$O$649)*24,3))</f>
        <v/>
      </c>
      <c r="I652" s="27"/>
      <c r="K652" s="28" t="str">
        <f aca="false">IF(OR(M652=0,C652=""),"",IF(ISNUMBER(C652),MOD(C652,1),IFERROR(INDEX(القوائم!$B$1:$B$288,MATCH(TRIM(C652),القوائم!$A$1:$A$288,0)),IFERROR(MOD(TIMEVALUE(C652),1),""))))</f>
        <v/>
      </c>
      <c r="L652" s="28" t="str">
        <f aca="false">IF(OR(M652=0,D652=""),"",IF(ISNUMBER(D652),MOD(D652,1),IFERROR(INDEX(القوائم!$B$1:$B$288,MATCH(TRIM(D652),القوائم!$A$1:$A$288,0)),IFERROR(MOD(TIMEVALUE(D652),1),""))))</f>
        <v/>
      </c>
      <c r="M652" s="19" t="n">
        <f aca="false">$M$649</f>
        <v>1</v>
      </c>
      <c r="Q652" s="19" t="n">
        <f aca="false">IF(N(E661)&gt;0,1,0)</f>
        <v>0</v>
      </c>
      <c r="S652" s="0" t="n">
        <v>47</v>
      </c>
    </row>
    <row r="653" customFormat="false" ht="15" hidden="false" customHeight="false" outlineLevel="0" collapsed="false">
      <c r="A653" s="22" t="n">
        <f aca="false">IF(47&lt;=NW,WEEK_ONE+324,"")</f>
        <v>46342</v>
      </c>
      <c r="B653" s="23" t="str">
        <f aca="false">IF(A653="","",CHOOSE(WEEKDAY(A653,1),"الأحد","الاثنين","الثلاثاء","الأربعاء","الخميس","الجمعة","السبت"))</f>
        <v>الاثنين</v>
      </c>
      <c r="C653" s="24"/>
      <c r="D653" s="24"/>
      <c r="E653" s="25" t="str">
        <f aca="false">IF(OR(M653=0,K653="",L653=""),"",MOD(L653-K653,1))</f>
        <v/>
      </c>
      <c r="F653" s="25" t="str">
        <f aca="false">IF(OR(E653="",M653=0),"",IF(WEEKDAY(A653,1)=6,E653,MIN(E653,MAX(0,MIN(IF(L653&lt;K653,L653+1,L653),OMR_OT_AT)-K653))))</f>
        <v/>
      </c>
      <c r="G653" s="25" t="str">
        <f aca="false">IF(OR(E653="",M653=0),"",MAX(0,E653-F653))</f>
        <v/>
      </c>
      <c r="H653" s="26" t="str">
        <f aca="false">IF(OR(E653="",M653=0),"",ROUND((F653*$N$649+G653*$O$649)*24,3))</f>
        <v/>
      </c>
      <c r="I653" s="27"/>
      <c r="K653" s="28" t="str">
        <f aca="false">IF(OR(M653=0,C653=""),"",IF(ISNUMBER(C653),MOD(C653,1),IFERROR(INDEX(القوائم!$B$1:$B$288,MATCH(TRIM(C653),القوائم!$A$1:$A$288,0)),IFERROR(MOD(TIMEVALUE(C653),1),""))))</f>
        <v/>
      </c>
      <c r="L653" s="28" t="str">
        <f aca="false">IF(OR(M653=0,D653=""),"",IF(ISNUMBER(D653),MOD(D653,1),IFERROR(INDEX(القوائم!$B$1:$B$288,MATCH(TRIM(D653),القوائم!$A$1:$A$288,0)),IFERROR(MOD(TIMEVALUE(D653),1),""))))</f>
        <v/>
      </c>
      <c r="M653" s="19" t="n">
        <f aca="false">$M$649</f>
        <v>1</v>
      </c>
      <c r="Q653" s="19" t="n">
        <f aca="false">IF(N(E661)&gt;0,1,0)</f>
        <v>0</v>
      </c>
      <c r="S653" s="0" t="n">
        <v>47</v>
      </c>
    </row>
    <row r="654" customFormat="false" ht="15" hidden="false" customHeight="false" outlineLevel="0" collapsed="false">
      <c r="A654" s="22" t="n">
        <f aca="false">IF(47&lt;=NW,WEEK_ONE+325,"")</f>
        <v>46343</v>
      </c>
      <c r="B654" s="23" t="str">
        <f aca="false">IF(A654="","",CHOOSE(WEEKDAY(A654,1),"الأحد","الاثنين","الثلاثاء","الأربعاء","الخميس","الجمعة","السبت"))</f>
        <v>الثلاثاء</v>
      </c>
      <c r="C654" s="24"/>
      <c r="D654" s="24"/>
      <c r="E654" s="25" t="str">
        <f aca="false">IF(OR(M654=0,K654="",L654=""),"",MOD(L654-K654,1))</f>
        <v/>
      </c>
      <c r="F654" s="25" t="str">
        <f aca="false">IF(OR(E654="",M654=0),"",IF(WEEKDAY(A654,1)=6,E654,MIN(E654,MAX(0,MIN(IF(L654&lt;K654,L654+1,L654),OMR_OT_AT)-K654))))</f>
        <v/>
      </c>
      <c r="G654" s="25" t="str">
        <f aca="false">IF(OR(E654="",M654=0),"",MAX(0,E654-F654))</f>
        <v/>
      </c>
      <c r="H654" s="26" t="str">
        <f aca="false">IF(OR(E654="",M654=0),"",ROUND((F654*$N$649+G654*$O$649)*24,3))</f>
        <v/>
      </c>
      <c r="I654" s="27"/>
      <c r="K654" s="28" t="str">
        <f aca="false">IF(OR(M654=0,C654=""),"",IF(ISNUMBER(C654),MOD(C654,1),IFERROR(INDEX(القوائم!$B$1:$B$288,MATCH(TRIM(C654),القوائم!$A$1:$A$288,0)),IFERROR(MOD(TIMEVALUE(C654),1),""))))</f>
        <v/>
      </c>
      <c r="L654" s="28" t="str">
        <f aca="false">IF(OR(M654=0,D654=""),"",IF(ISNUMBER(D654),MOD(D654,1),IFERROR(INDEX(القوائم!$B$1:$B$288,MATCH(TRIM(D654),القوائم!$A$1:$A$288,0)),IFERROR(MOD(TIMEVALUE(D654),1),""))))</f>
        <v/>
      </c>
      <c r="M654" s="19" t="n">
        <f aca="false">$M$649</f>
        <v>1</v>
      </c>
      <c r="Q654" s="19" t="n">
        <f aca="false">IF(N(E661)&gt;0,1,0)</f>
        <v>0</v>
      </c>
      <c r="S654" s="0" t="n">
        <v>47</v>
      </c>
    </row>
    <row r="655" customFormat="false" ht="15" hidden="false" customHeight="false" outlineLevel="0" collapsed="false">
      <c r="A655" s="22" t="n">
        <f aca="false">IF(47&lt;=NW,WEEK_ONE+326,"")</f>
        <v>46344</v>
      </c>
      <c r="B655" s="23" t="str">
        <f aca="false">IF(A655="","",CHOOSE(WEEKDAY(A655,1),"الأحد","الاثنين","الثلاثاء","الأربعاء","الخميس","الجمعة","السبت"))</f>
        <v>الأربعاء</v>
      </c>
      <c r="C655" s="24"/>
      <c r="D655" s="24"/>
      <c r="E655" s="25" t="str">
        <f aca="false">IF(OR(M655=0,K655="",L655=""),"",MOD(L655-K655,1))</f>
        <v/>
      </c>
      <c r="F655" s="25" t="str">
        <f aca="false">IF(OR(E655="",M655=0),"",IF(WEEKDAY(A655,1)=6,E655,MIN(E655,MAX(0,MIN(IF(L655&lt;K655,L655+1,L655),OMR_OT_AT)-K655))))</f>
        <v/>
      </c>
      <c r="G655" s="25" t="str">
        <f aca="false">IF(OR(E655="",M655=0),"",MAX(0,E655-F655))</f>
        <v/>
      </c>
      <c r="H655" s="26" t="str">
        <f aca="false">IF(OR(E655="",M655=0),"",ROUND((F655*$N$649+G655*$O$649)*24,3))</f>
        <v/>
      </c>
      <c r="I655" s="27"/>
      <c r="K655" s="28" t="str">
        <f aca="false">IF(OR(M655=0,C655=""),"",IF(ISNUMBER(C655),MOD(C655,1),IFERROR(INDEX(القوائم!$B$1:$B$288,MATCH(TRIM(C655),القوائم!$A$1:$A$288,0)),IFERROR(MOD(TIMEVALUE(C655),1),""))))</f>
        <v/>
      </c>
      <c r="L655" s="28" t="str">
        <f aca="false">IF(OR(M655=0,D655=""),"",IF(ISNUMBER(D655),MOD(D655,1),IFERROR(INDEX(القوائم!$B$1:$B$288,MATCH(TRIM(D655),القوائم!$A$1:$A$288,0)),IFERROR(MOD(TIMEVALUE(D655),1),""))))</f>
        <v/>
      </c>
      <c r="M655" s="19" t="n">
        <f aca="false">$M$649</f>
        <v>1</v>
      </c>
      <c r="Q655" s="19" t="n">
        <f aca="false">IF(N(E661)&gt;0,1,0)</f>
        <v>0</v>
      </c>
      <c r="S655" s="0" t="n">
        <v>47</v>
      </c>
    </row>
    <row r="656" customFormat="false" ht="15" hidden="false" customHeight="false" outlineLevel="0" collapsed="false">
      <c r="A656" s="22" t="n">
        <f aca="false">IF(47&lt;=NW,WEEK_ONE+327,"")</f>
        <v>46345</v>
      </c>
      <c r="B656" s="23" t="str">
        <f aca="false">IF(A656="","",CHOOSE(WEEKDAY(A656,1),"الأحد","الاثنين","الثلاثاء","الأربعاء","الخميس","الجمعة","السبت"))</f>
        <v>الخميس</v>
      </c>
      <c r="C656" s="24"/>
      <c r="D656" s="24"/>
      <c r="E656" s="25" t="str">
        <f aca="false">IF(OR(M656=0,K656="",L656=""),"",MOD(L656-K656,1))</f>
        <v/>
      </c>
      <c r="F656" s="25" t="str">
        <f aca="false">IF(OR(E656="",M656=0),"",IF(WEEKDAY(A656,1)=6,E656,MIN(E656,MAX(0,MIN(IF(L656&lt;K656,L656+1,L656),OMR_OT_AT)-K656))))</f>
        <v/>
      </c>
      <c r="G656" s="25" t="str">
        <f aca="false">IF(OR(E656="",M656=0),"",MAX(0,E656-F656))</f>
        <v/>
      </c>
      <c r="H656" s="26" t="str">
        <f aca="false">IF(OR(E656="",M656=0),"",ROUND((F656*$N$649+G656*$O$649)*24,3))</f>
        <v/>
      </c>
      <c r="I656" s="27"/>
      <c r="K656" s="28" t="str">
        <f aca="false">IF(OR(M656=0,C656=""),"",IF(ISNUMBER(C656),MOD(C656,1),IFERROR(INDEX(القوائم!$B$1:$B$288,MATCH(TRIM(C656),القوائم!$A$1:$A$288,0)),IFERROR(MOD(TIMEVALUE(C656),1),""))))</f>
        <v/>
      </c>
      <c r="L656" s="28" t="str">
        <f aca="false">IF(OR(M656=0,D656=""),"",IF(ISNUMBER(D656),MOD(D656,1),IFERROR(INDEX(القوائم!$B$1:$B$288,MATCH(TRIM(D656),القوائم!$A$1:$A$288,0)),IFERROR(MOD(TIMEVALUE(D656),1),""))))</f>
        <v/>
      </c>
      <c r="M656" s="19" t="n">
        <f aca="false">$M$649</f>
        <v>1</v>
      </c>
      <c r="Q656" s="19" t="n">
        <f aca="false">IF(N(E661)&gt;0,1,0)</f>
        <v>0</v>
      </c>
      <c r="S656" s="0" t="n">
        <v>47</v>
      </c>
    </row>
    <row r="657" customFormat="false" ht="15" hidden="false" customHeight="false" outlineLevel="0" collapsed="false">
      <c r="A657" s="29" t="n">
        <f aca="false">IF(47&lt;=NW,WEEK_ONE+328,"")</f>
        <v>46346</v>
      </c>
      <c r="B657" s="30" t="str">
        <f aca="false">IF(A657="","",CHOOSE(WEEKDAY(A657,1),"الأحد","الاثنين","الثلاثاء","الأربعاء","الخميس","الجمعة","السبت"))</f>
        <v>الجمعة</v>
      </c>
      <c r="C657" s="24"/>
      <c r="D657" s="24"/>
      <c r="E657" s="25" t="str">
        <f aca="false">IF(OR(M657=0,K657="",L657=""),"",MOD(L657-K657,1))</f>
        <v/>
      </c>
      <c r="F657" s="25" t="str">
        <f aca="false">IF(OR(E657="",M657=0),"",IF(WEEKDAY(A657,1)=6,E657,MIN(E657,MAX(0,MIN(IF(L657&lt;K657,L657+1,L657),OMR_OT_AT)-K657))))</f>
        <v/>
      </c>
      <c r="G657" s="25" t="str">
        <f aca="false">IF(OR(E657="",M657=0),"",MAX(0,E657-F657))</f>
        <v/>
      </c>
      <c r="H657" s="26" t="str">
        <f aca="false">IF(OR(E657="",M657=0),"",ROUND((F657*$N$649+G657*$O$649)*24,3))</f>
        <v/>
      </c>
      <c r="I657" s="27"/>
      <c r="K657" s="28" t="str">
        <f aca="false">IF(OR(M657=0,C657=""),"",IF(ISNUMBER(C657),MOD(C657,1),IFERROR(INDEX(القوائم!$B$1:$B$288,MATCH(TRIM(C657),القوائم!$A$1:$A$288,0)),IFERROR(MOD(TIMEVALUE(C657),1),""))))</f>
        <v/>
      </c>
      <c r="L657" s="28" t="str">
        <f aca="false">IF(OR(M657=0,D657=""),"",IF(ISNUMBER(D657),MOD(D657,1),IFERROR(INDEX(القوائم!$B$1:$B$288,MATCH(TRIM(D657),القوائم!$A$1:$A$288,0)),IFERROR(MOD(TIMEVALUE(D657),1),""))))</f>
        <v/>
      </c>
      <c r="M657" s="19" t="n">
        <f aca="false">$M$649</f>
        <v>1</v>
      </c>
      <c r="Q657" s="19" t="n">
        <f aca="false">IF(N(E661)&gt;0,1,0)</f>
        <v>0</v>
      </c>
      <c r="S657" s="0" t="n">
        <v>47</v>
      </c>
    </row>
    <row r="658" customFormat="false" ht="15" hidden="false" customHeight="false" outlineLevel="0" collapsed="false">
      <c r="A658" s="31" t="str">
        <f aca="false">IF(M649=1,"ساعات تحميل الجبسمبورد بهالأسبوع ←","")</f>
        <v>ساعات تحميل الجبسمبورد بهالأسبوع ←</v>
      </c>
      <c r="B658" s="31"/>
      <c r="C658" s="31"/>
      <c r="D658" s="31"/>
      <c r="E658" s="32"/>
      <c r="F658" s="33" t="str">
        <f aca="false">IF(M649=1,"كل ساعة تحميل = "&amp;TEXT($P$649,"0.000")&amp;" دينار (منها "&amp;TEXT($N$649,"0.000")&amp;" محسوبة أصلاً بساعات اليوم)","")</f>
        <v>كل ساعة تحميل = 2.500 دينار (منها 1.250 محسوبة أصلاً بساعات اليوم)</v>
      </c>
      <c r="G658" s="33"/>
      <c r="H658" s="33"/>
      <c r="I658" s="33"/>
      <c r="M658" s="19" t="n">
        <f aca="false">$M$649</f>
        <v>1</v>
      </c>
      <c r="Q658" s="19" t="n">
        <f aca="false">IF(N(E661)&gt;0,1,0)</f>
        <v>0</v>
      </c>
      <c r="S658" s="0" t="n">
        <v>47</v>
      </c>
    </row>
    <row r="659" customFormat="false" ht="15" hidden="false" customHeight="false" outlineLevel="0" collapsed="false">
      <c r="A659" s="31" t="str">
        <f aca="false">IF(M649=1,"إكرامية الأسبوع (دينار) ←","")</f>
        <v>إكرامية الأسبوع (دينار) ←</v>
      </c>
      <c r="B659" s="31"/>
      <c r="C659" s="31"/>
      <c r="D659" s="31"/>
      <c r="E659" s="34"/>
      <c r="F659" s="35"/>
      <c r="G659" s="35"/>
      <c r="H659" s="35"/>
      <c r="I659" s="35"/>
      <c r="M659" s="19" t="n">
        <f aca="false">$M$649</f>
        <v>1</v>
      </c>
      <c r="Q659" s="19" t="n">
        <f aca="false">IF(N(E661)&gt;0,1,0)</f>
        <v>0</v>
      </c>
      <c r="S659" s="0" t="n">
        <v>47</v>
      </c>
    </row>
    <row r="660" customFormat="false" ht="36" hidden="false" customHeight="true" outlineLevel="0" collapsed="false">
      <c r="A660" s="36" t="str">
        <f aca="false">IF(M649=1,"المستحق النهائي للأسبوع","")</f>
        <v>المستحق النهائي للأسبوع</v>
      </c>
      <c r="B660" s="36"/>
      <c r="C660" s="36"/>
      <c r="D660" s="36"/>
      <c r="E660" s="36"/>
      <c r="F660" s="36"/>
      <c r="G660" s="36"/>
      <c r="H660" s="11" t="n">
        <f aca="false">IF(M649=1,ROUND(N($V$649)+N(E658)*($P$649-$N$649)+N(E659),3),"")</f>
        <v>0</v>
      </c>
      <c r="I660" s="37"/>
      <c r="M660" s="19" t="n">
        <f aca="false">$M$649</f>
        <v>1</v>
      </c>
      <c r="Q660" s="19" t="n">
        <f aca="false">IF(N(E661)&gt;0,1,0)</f>
        <v>0</v>
      </c>
      <c r="S660" s="0" t="n">
        <v>47</v>
      </c>
      <c r="T660" s="0" t="n">
        <v>1</v>
      </c>
    </row>
    <row r="661" customFormat="false" ht="25.5" hidden="false" customHeight="true" outlineLevel="0" collapsed="false">
      <c r="A661" s="31" t="str">
        <f aca="false">IF(M649=1,"المدفوع (دينار) ←","")</f>
        <v>المدفوع (دينار) ←</v>
      </c>
      <c r="B661" s="31"/>
      <c r="C661" s="31"/>
      <c r="D661" s="31"/>
      <c r="E661" s="34"/>
      <c r="F661" s="38" t="str">
        <f aca="false">IF(M649=1,IF(N(E661)&gt;0,"✔ انقبض — الأسبوع مقفول","⏳ لسا ما انقبض"),"")</f>
        <v>⏳ لسا ما انقبض</v>
      </c>
      <c r="G661" s="38"/>
      <c r="H661" s="38"/>
      <c r="I661" s="38"/>
      <c r="M661" s="19" t="n">
        <f aca="false">$M$649</f>
        <v>1</v>
      </c>
      <c r="Q661" s="19" t="n">
        <f aca="false">IF(N(E661)&gt;0,1,0)</f>
        <v>0</v>
      </c>
      <c r="S661" s="0" t="n">
        <v>47</v>
      </c>
    </row>
    <row r="662" customFormat="false" ht="9.75" hidden="false" customHeight="true" outlineLevel="0" collapsed="false">
      <c r="M662" s="19" t="n">
        <f aca="false">$M$649</f>
        <v>1</v>
      </c>
      <c r="Q662" s="19" t="n">
        <f aca="false">IF(N(E661)&gt;0,1,0)</f>
        <v>0</v>
      </c>
      <c r="S662" s="0" t="n">
        <v>47</v>
      </c>
      <c r="T662" s="0" t="n">
        <v>2</v>
      </c>
    </row>
    <row r="663" customFormat="false" ht="33.75" hidden="false" customHeight="true" outlineLevel="0" collapsed="false">
      <c r="A663" s="17" t="str">
        <f aca="false">IF(48&lt;=NW,TEXT(DAY(WEEK_ONE+329),"00")&amp;"/"&amp;TEXT(MONTH(WEEK_ONE+329),"00")&amp;"/"&amp;YEAR(WEEK_ONE+329)&amp;"  -  "&amp;TEXT(DAY(WEEK_ONE+335),"00")&amp;"/"&amp;TEXT(MONTH(WEEK_ONE+335),"00")&amp;"/"&amp;YEAR(WEEK_ONE+335)&amp;"   ·   الأسبوع 48"&amp;IF(48&lt;START_O,"   (قبل أسبوع البداية — ما بينحسب)",""),"ما في أسبوع 48 هالسنة")</f>
        <v>21/11/2026  -  27/11/2026   ·   الأسبوع 48</v>
      </c>
      <c r="B663" s="17"/>
      <c r="C663" s="17"/>
      <c r="D663" s="17"/>
      <c r="E663" s="17"/>
      <c r="F663" s="17"/>
      <c r="G663" s="17"/>
      <c r="H663" s="17"/>
      <c r="I663" s="17"/>
      <c r="L663" s="18" t="n">
        <f aca="false">IF(48&lt;=NW,WEEK_ONE+335,"")</f>
        <v>46353</v>
      </c>
      <c r="M663" s="19" t="n">
        <f aca="false">IF(AND(48&lt;=NW,48&gt;=START_O),1,0)</f>
        <v>1</v>
      </c>
      <c r="N663" s="20" t="n">
        <f aca="false">IFERROR(INDEX(RT_OMR,MATCH(L663,RT_K,1)),INDEX(RT_OMR,1))</f>
        <v>1.25</v>
      </c>
      <c r="O663" s="20" t="n">
        <f aca="false">IFERROR(INDEX(RT_OT,MATCH(L663,RT_K,1)),INDEX(RT_OT,1))</f>
        <v>1.5</v>
      </c>
      <c r="P663" s="20" t="n">
        <f aca="false">IFERROR(INDEX(RT_GYP,MATCH(L663,RT_K,1)),INDEX(RT_GYP,1))</f>
        <v>2.5</v>
      </c>
      <c r="Q663" s="19" t="n">
        <f aca="false">IF(N(E675)&gt;0,1,0)</f>
        <v>0</v>
      </c>
      <c r="R663" s="0" t="n">
        <v>48</v>
      </c>
      <c r="S663" s="0" t="n">
        <v>48</v>
      </c>
      <c r="U663" s="39" t="n">
        <f aca="false">IF(M663=1,SUM(E665:E671),0)</f>
        <v>0</v>
      </c>
      <c r="V663" s="19" t="n">
        <f aca="false">SUM(H665:H671)</f>
        <v>0</v>
      </c>
    </row>
    <row r="664" customFormat="false" ht="39.75" hidden="false" customHeight="true" outlineLevel="0" collapsed="false">
      <c r="A664" s="21" t="s">
        <v>18</v>
      </c>
      <c r="B664" s="21" t="s">
        <v>19</v>
      </c>
      <c r="C664" s="21" t="s">
        <v>20</v>
      </c>
      <c r="D664" s="21" t="s">
        <v>21</v>
      </c>
      <c r="E664" s="21" t="s">
        <v>22</v>
      </c>
      <c r="F664" s="21" t="s">
        <v>23</v>
      </c>
      <c r="G664" s="21" t="s">
        <v>24</v>
      </c>
      <c r="H664" s="21" t="s">
        <v>25</v>
      </c>
      <c r="I664" s="21" t="s">
        <v>26</v>
      </c>
      <c r="M664" s="19" t="n">
        <f aca="false">$M$663</f>
        <v>1</v>
      </c>
      <c r="Q664" s="19" t="n">
        <f aca="false">IF(N(E675)&gt;0,1,0)</f>
        <v>0</v>
      </c>
      <c r="S664" s="0" t="n">
        <v>48</v>
      </c>
    </row>
    <row r="665" customFormat="false" ht="15" hidden="false" customHeight="false" outlineLevel="0" collapsed="false">
      <c r="A665" s="22" t="n">
        <f aca="false">IF(48&lt;=NW,WEEK_ONE+329,"")</f>
        <v>46347</v>
      </c>
      <c r="B665" s="23" t="str">
        <f aca="false">IF(A665="","",CHOOSE(WEEKDAY(A665,1),"الأحد","الاثنين","الثلاثاء","الأربعاء","الخميس","الجمعة","السبت"))</f>
        <v>السبت</v>
      </c>
      <c r="C665" s="24"/>
      <c r="D665" s="24"/>
      <c r="E665" s="25" t="str">
        <f aca="false">IF(OR(M665=0,K665="",L665=""),"",MOD(L665-K665,1))</f>
        <v/>
      </c>
      <c r="F665" s="25" t="str">
        <f aca="false">IF(OR(E665="",M665=0),"",IF(WEEKDAY(A665,1)=6,E665,MIN(E665,MAX(0,MIN(IF(L665&lt;K665,L665+1,L665),OMR_OT_AT)-K665))))</f>
        <v/>
      </c>
      <c r="G665" s="25" t="str">
        <f aca="false">IF(OR(E665="",M665=0),"",MAX(0,E665-F665))</f>
        <v/>
      </c>
      <c r="H665" s="26" t="str">
        <f aca="false">IF(OR(E665="",M665=0),"",ROUND((F665*$N$663+G665*$O$663)*24,3))</f>
        <v/>
      </c>
      <c r="I665" s="27"/>
      <c r="K665" s="28" t="str">
        <f aca="false">IF(OR(M665=0,C665=""),"",IF(ISNUMBER(C665),MOD(C665,1),IFERROR(INDEX(القوائم!$B$1:$B$288,MATCH(TRIM(C665),القوائم!$A$1:$A$288,0)),IFERROR(MOD(TIMEVALUE(C665),1),""))))</f>
        <v/>
      </c>
      <c r="L665" s="28" t="str">
        <f aca="false">IF(OR(M665=0,D665=""),"",IF(ISNUMBER(D665),MOD(D665,1),IFERROR(INDEX(القوائم!$B$1:$B$288,MATCH(TRIM(D665),القوائم!$A$1:$A$288,0)),IFERROR(MOD(TIMEVALUE(D665),1),""))))</f>
        <v/>
      </c>
      <c r="M665" s="19" t="n">
        <f aca="false">$M$663</f>
        <v>1</v>
      </c>
      <c r="Q665" s="19" t="n">
        <f aca="false">IF(N(E675)&gt;0,1,0)</f>
        <v>0</v>
      </c>
      <c r="S665" s="0" t="n">
        <v>48</v>
      </c>
    </row>
    <row r="666" customFormat="false" ht="15" hidden="false" customHeight="false" outlineLevel="0" collapsed="false">
      <c r="A666" s="22" t="n">
        <f aca="false">IF(48&lt;=NW,WEEK_ONE+330,"")</f>
        <v>46348</v>
      </c>
      <c r="B666" s="23" t="str">
        <f aca="false">IF(A666="","",CHOOSE(WEEKDAY(A666,1),"الأحد","الاثنين","الثلاثاء","الأربعاء","الخميس","الجمعة","السبت"))</f>
        <v>الأحد</v>
      </c>
      <c r="C666" s="24"/>
      <c r="D666" s="24"/>
      <c r="E666" s="25" t="str">
        <f aca="false">IF(OR(M666=0,K666="",L666=""),"",MOD(L666-K666,1))</f>
        <v/>
      </c>
      <c r="F666" s="25" t="str">
        <f aca="false">IF(OR(E666="",M666=0),"",IF(WEEKDAY(A666,1)=6,E666,MIN(E666,MAX(0,MIN(IF(L666&lt;K666,L666+1,L666),OMR_OT_AT)-K666))))</f>
        <v/>
      </c>
      <c r="G666" s="25" t="str">
        <f aca="false">IF(OR(E666="",M666=0),"",MAX(0,E666-F666))</f>
        <v/>
      </c>
      <c r="H666" s="26" t="str">
        <f aca="false">IF(OR(E666="",M666=0),"",ROUND((F666*$N$663+G666*$O$663)*24,3))</f>
        <v/>
      </c>
      <c r="I666" s="27"/>
      <c r="K666" s="28" t="str">
        <f aca="false">IF(OR(M666=0,C666=""),"",IF(ISNUMBER(C666),MOD(C666,1),IFERROR(INDEX(القوائم!$B$1:$B$288,MATCH(TRIM(C666),القوائم!$A$1:$A$288,0)),IFERROR(MOD(TIMEVALUE(C666),1),""))))</f>
        <v/>
      </c>
      <c r="L666" s="28" t="str">
        <f aca="false">IF(OR(M666=0,D666=""),"",IF(ISNUMBER(D666),MOD(D666,1),IFERROR(INDEX(القوائم!$B$1:$B$288,MATCH(TRIM(D666),القوائم!$A$1:$A$288,0)),IFERROR(MOD(TIMEVALUE(D666),1),""))))</f>
        <v/>
      </c>
      <c r="M666" s="19" t="n">
        <f aca="false">$M$663</f>
        <v>1</v>
      </c>
      <c r="Q666" s="19" t="n">
        <f aca="false">IF(N(E675)&gt;0,1,0)</f>
        <v>0</v>
      </c>
      <c r="S666" s="0" t="n">
        <v>48</v>
      </c>
    </row>
    <row r="667" customFormat="false" ht="15" hidden="false" customHeight="false" outlineLevel="0" collapsed="false">
      <c r="A667" s="22" t="n">
        <f aca="false">IF(48&lt;=NW,WEEK_ONE+331,"")</f>
        <v>46349</v>
      </c>
      <c r="B667" s="23" t="str">
        <f aca="false">IF(A667="","",CHOOSE(WEEKDAY(A667,1),"الأحد","الاثنين","الثلاثاء","الأربعاء","الخميس","الجمعة","السبت"))</f>
        <v>الاثنين</v>
      </c>
      <c r="C667" s="24"/>
      <c r="D667" s="24"/>
      <c r="E667" s="25" t="str">
        <f aca="false">IF(OR(M667=0,K667="",L667=""),"",MOD(L667-K667,1))</f>
        <v/>
      </c>
      <c r="F667" s="25" t="str">
        <f aca="false">IF(OR(E667="",M667=0),"",IF(WEEKDAY(A667,1)=6,E667,MIN(E667,MAX(0,MIN(IF(L667&lt;K667,L667+1,L667),OMR_OT_AT)-K667))))</f>
        <v/>
      </c>
      <c r="G667" s="25" t="str">
        <f aca="false">IF(OR(E667="",M667=0),"",MAX(0,E667-F667))</f>
        <v/>
      </c>
      <c r="H667" s="26" t="str">
        <f aca="false">IF(OR(E667="",M667=0),"",ROUND((F667*$N$663+G667*$O$663)*24,3))</f>
        <v/>
      </c>
      <c r="I667" s="27"/>
      <c r="K667" s="28" t="str">
        <f aca="false">IF(OR(M667=0,C667=""),"",IF(ISNUMBER(C667),MOD(C667,1),IFERROR(INDEX(القوائم!$B$1:$B$288,MATCH(TRIM(C667),القوائم!$A$1:$A$288,0)),IFERROR(MOD(TIMEVALUE(C667),1),""))))</f>
        <v/>
      </c>
      <c r="L667" s="28" t="str">
        <f aca="false">IF(OR(M667=0,D667=""),"",IF(ISNUMBER(D667),MOD(D667,1),IFERROR(INDEX(القوائم!$B$1:$B$288,MATCH(TRIM(D667),القوائم!$A$1:$A$288,0)),IFERROR(MOD(TIMEVALUE(D667),1),""))))</f>
        <v/>
      </c>
      <c r="M667" s="19" t="n">
        <f aca="false">$M$663</f>
        <v>1</v>
      </c>
      <c r="Q667" s="19" t="n">
        <f aca="false">IF(N(E675)&gt;0,1,0)</f>
        <v>0</v>
      </c>
      <c r="S667" s="0" t="n">
        <v>48</v>
      </c>
    </row>
    <row r="668" customFormat="false" ht="15" hidden="false" customHeight="false" outlineLevel="0" collapsed="false">
      <c r="A668" s="22" t="n">
        <f aca="false">IF(48&lt;=NW,WEEK_ONE+332,"")</f>
        <v>46350</v>
      </c>
      <c r="B668" s="23" t="str">
        <f aca="false">IF(A668="","",CHOOSE(WEEKDAY(A668,1),"الأحد","الاثنين","الثلاثاء","الأربعاء","الخميس","الجمعة","السبت"))</f>
        <v>الثلاثاء</v>
      </c>
      <c r="C668" s="24"/>
      <c r="D668" s="24"/>
      <c r="E668" s="25" t="str">
        <f aca="false">IF(OR(M668=0,K668="",L668=""),"",MOD(L668-K668,1))</f>
        <v/>
      </c>
      <c r="F668" s="25" t="str">
        <f aca="false">IF(OR(E668="",M668=0),"",IF(WEEKDAY(A668,1)=6,E668,MIN(E668,MAX(0,MIN(IF(L668&lt;K668,L668+1,L668),OMR_OT_AT)-K668))))</f>
        <v/>
      </c>
      <c r="G668" s="25" t="str">
        <f aca="false">IF(OR(E668="",M668=0),"",MAX(0,E668-F668))</f>
        <v/>
      </c>
      <c r="H668" s="26" t="str">
        <f aca="false">IF(OR(E668="",M668=0),"",ROUND((F668*$N$663+G668*$O$663)*24,3))</f>
        <v/>
      </c>
      <c r="I668" s="27"/>
      <c r="K668" s="28" t="str">
        <f aca="false">IF(OR(M668=0,C668=""),"",IF(ISNUMBER(C668),MOD(C668,1),IFERROR(INDEX(القوائم!$B$1:$B$288,MATCH(TRIM(C668),القوائم!$A$1:$A$288,0)),IFERROR(MOD(TIMEVALUE(C668),1),""))))</f>
        <v/>
      </c>
      <c r="L668" s="28" t="str">
        <f aca="false">IF(OR(M668=0,D668=""),"",IF(ISNUMBER(D668),MOD(D668,1),IFERROR(INDEX(القوائم!$B$1:$B$288,MATCH(TRIM(D668),القوائم!$A$1:$A$288,0)),IFERROR(MOD(TIMEVALUE(D668),1),""))))</f>
        <v/>
      </c>
      <c r="M668" s="19" t="n">
        <f aca="false">$M$663</f>
        <v>1</v>
      </c>
      <c r="Q668" s="19" t="n">
        <f aca="false">IF(N(E675)&gt;0,1,0)</f>
        <v>0</v>
      </c>
      <c r="S668" s="0" t="n">
        <v>48</v>
      </c>
    </row>
    <row r="669" customFormat="false" ht="15" hidden="false" customHeight="false" outlineLevel="0" collapsed="false">
      <c r="A669" s="22" t="n">
        <f aca="false">IF(48&lt;=NW,WEEK_ONE+333,"")</f>
        <v>46351</v>
      </c>
      <c r="B669" s="23" t="str">
        <f aca="false">IF(A669="","",CHOOSE(WEEKDAY(A669,1),"الأحد","الاثنين","الثلاثاء","الأربعاء","الخميس","الجمعة","السبت"))</f>
        <v>الأربعاء</v>
      </c>
      <c r="C669" s="24"/>
      <c r="D669" s="24"/>
      <c r="E669" s="25" t="str">
        <f aca="false">IF(OR(M669=0,K669="",L669=""),"",MOD(L669-K669,1))</f>
        <v/>
      </c>
      <c r="F669" s="25" t="str">
        <f aca="false">IF(OR(E669="",M669=0),"",IF(WEEKDAY(A669,1)=6,E669,MIN(E669,MAX(0,MIN(IF(L669&lt;K669,L669+1,L669),OMR_OT_AT)-K669))))</f>
        <v/>
      </c>
      <c r="G669" s="25" t="str">
        <f aca="false">IF(OR(E669="",M669=0),"",MAX(0,E669-F669))</f>
        <v/>
      </c>
      <c r="H669" s="26" t="str">
        <f aca="false">IF(OR(E669="",M669=0),"",ROUND((F669*$N$663+G669*$O$663)*24,3))</f>
        <v/>
      </c>
      <c r="I669" s="27"/>
      <c r="K669" s="28" t="str">
        <f aca="false">IF(OR(M669=0,C669=""),"",IF(ISNUMBER(C669),MOD(C669,1),IFERROR(INDEX(القوائم!$B$1:$B$288,MATCH(TRIM(C669),القوائم!$A$1:$A$288,0)),IFERROR(MOD(TIMEVALUE(C669),1),""))))</f>
        <v/>
      </c>
      <c r="L669" s="28" t="str">
        <f aca="false">IF(OR(M669=0,D669=""),"",IF(ISNUMBER(D669),MOD(D669,1),IFERROR(INDEX(القوائم!$B$1:$B$288,MATCH(TRIM(D669),القوائم!$A$1:$A$288,0)),IFERROR(MOD(TIMEVALUE(D669),1),""))))</f>
        <v/>
      </c>
      <c r="M669" s="19" t="n">
        <f aca="false">$M$663</f>
        <v>1</v>
      </c>
      <c r="Q669" s="19" t="n">
        <f aca="false">IF(N(E675)&gt;0,1,0)</f>
        <v>0</v>
      </c>
      <c r="S669" s="0" t="n">
        <v>48</v>
      </c>
    </row>
    <row r="670" customFormat="false" ht="15" hidden="false" customHeight="false" outlineLevel="0" collapsed="false">
      <c r="A670" s="22" t="n">
        <f aca="false">IF(48&lt;=NW,WEEK_ONE+334,"")</f>
        <v>46352</v>
      </c>
      <c r="B670" s="23" t="str">
        <f aca="false">IF(A670="","",CHOOSE(WEEKDAY(A670,1),"الأحد","الاثنين","الثلاثاء","الأربعاء","الخميس","الجمعة","السبت"))</f>
        <v>الخميس</v>
      </c>
      <c r="C670" s="24"/>
      <c r="D670" s="24"/>
      <c r="E670" s="25" t="str">
        <f aca="false">IF(OR(M670=0,K670="",L670=""),"",MOD(L670-K670,1))</f>
        <v/>
      </c>
      <c r="F670" s="25" t="str">
        <f aca="false">IF(OR(E670="",M670=0),"",IF(WEEKDAY(A670,1)=6,E670,MIN(E670,MAX(0,MIN(IF(L670&lt;K670,L670+1,L670),OMR_OT_AT)-K670))))</f>
        <v/>
      </c>
      <c r="G670" s="25" t="str">
        <f aca="false">IF(OR(E670="",M670=0),"",MAX(0,E670-F670))</f>
        <v/>
      </c>
      <c r="H670" s="26" t="str">
        <f aca="false">IF(OR(E670="",M670=0),"",ROUND((F670*$N$663+G670*$O$663)*24,3))</f>
        <v/>
      </c>
      <c r="I670" s="27"/>
      <c r="K670" s="28" t="str">
        <f aca="false">IF(OR(M670=0,C670=""),"",IF(ISNUMBER(C670),MOD(C670,1),IFERROR(INDEX(القوائم!$B$1:$B$288,MATCH(TRIM(C670),القوائم!$A$1:$A$288,0)),IFERROR(MOD(TIMEVALUE(C670),1),""))))</f>
        <v/>
      </c>
      <c r="L670" s="28" t="str">
        <f aca="false">IF(OR(M670=0,D670=""),"",IF(ISNUMBER(D670),MOD(D670,1),IFERROR(INDEX(القوائم!$B$1:$B$288,MATCH(TRIM(D670),القوائم!$A$1:$A$288,0)),IFERROR(MOD(TIMEVALUE(D670),1),""))))</f>
        <v/>
      </c>
      <c r="M670" s="19" t="n">
        <f aca="false">$M$663</f>
        <v>1</v>
      </c>
      <c r="Q670" s="19" t="n">
        <f aca="false">IF(N(E675)&gt;0,1,0)</f>
        <v>0</v>
      </c>
      <c r="S670" s="0" t="n">
        <v>48</v>
      </c>
    </row>
    <row r="671" customFormat="false" ht="15" hidden="false" customHeight="false" outlineLevel="0" collapsed="false">
      <c r="A671" s="29" t="n">
        <f aca="false">IF(48&lt;=NW,WEEK_ONE+335,"")</f>
        <v>46353</v>
      </c>
      <c r="B671" s="30" t="str">
        <f aca="false">IF(A671="","",CHOOSE(WEEKDAY(A671,1),"الأحد","الاثنين","الثلاثاء","الأربعاء","الخميس","الجمعة","السبت"))</f>
        <v>الجمعة</v>
      </c>
      <c r="C671" s="24"/>
      <c r="D671" s="24"/>
      <c r="E671" s="25" t="str">
        <f aca="false">IF(OR(M671=0,K671="",L671=""),"",MOD(L671-K671,1))</f>
        <v/>
      </c>
      <c r="F671" s="25" t="str">
        <f aca="false">IF(OR(E671="",M671=0),"",IF(WEEKDAY(A671,1)=6,E671,MIN(E671,MAX(0,MIN(IF(L671&lt;K671,L671+1,L671),OMR_OT_AT)-K671))))</f>
        <v/>
      </c>
      <c r="G671" s="25" t="str">
        <f aca="false">IF(OR(E671="",M671=0),"",MAX(0,E671-F671))</f>
        <v/>
      </c>
      <c r="H671" s="26" t="str">
        <f aca="false">IF(OR(E671="",M671=0),"",ROUND((F671*$N$663+G671*$O$663)*24,3))</f>
        <v/>
      </c>
      <c r="I671" s="27"/>
      <c r="K671" s="28" t="str">
        <f aca="false">IF(OR(M671=0,C671=""),"",IF(ISNUMBER(C671),MOD(C671,1),IFERROR(INDEX(القوائم!$B$1:$B$288,MATCH(TRIM(C671),القوائم!$A$1:$A$288,0)),IFERROR(MOD(TIMEVALUE(C671),1),""))))</f>
        <v/>
      </c>
      <c r="L671" s="28" t="str">
        <f aca="false">IF(OR(M671=0,D671=""),"",IF(ISNUMBER(D671),MOD(D671,1),IFERROR(INDEX(القوائم!$B$1:$B$288,MATCH(TRIM(D671),القوائم!$A$1:$A$288,0)),IFERROR(MOD(TIMEVALUE(D671),1),""))))</f>
        <v/>
      </c>
      <c r="M671" s="19" t="n">
        <f aca="false">$M$663</f>
        <v>1</v>
      </c>
      <c r="Q671" s="19" t="n">
        <f aca="false">IF(N(E675)&gt;0,1,0)</f>
        <v>0</v>
      </c>
      <c r="S671" s="0" t="n">
        <v>48</v>
      </c>
    </row>
    <row r="672" customFormat="false" ht="15" hidden="false" customHeight="false" outlineLevel="0" collapsed="false">
      <c r="A672" s="31" t="str">
        <f aca="false">IF(M663=1,"ساعات تحميل الجبسمبورد بهالأسبوع ←","")</f>
        <v>ساعات تحميل الجبسمبورد بهالأسبوع ←</v>
      </c>
      <c r="B672" s="31"/>
      <c r="C672" s="31"/>
      <c r="D672" s="31"/>
      <c r="E672" s="32"/>
      <c r="F672" s="33" t="str">
        <f aca="false">IF(M663=1,"كل ساعة تحميل = "&amp;TEXT($P$663,"0.000")&amp;" دينار (منها "&amp;TEXT($N$663,"0.000")&amp;" محسوبة أصلاً بساعات اليوم)","")</f>
        <v>كل ساعة تحميل = 2.500 دينار (منها 1.250 محسوبة أصلاً بساعات اليوم)</v>
      </c>
      <c r="G672" s="33"/>
      <c r="H672" s="33"/>
      <c r="I672" s="33"/>
      <c r="M672" s="19" t="n">
        <f aca="false">$M$663</f>
        <v>1</v>
      </c>
      <c r="Q672" s="19" t="n">
        <f aca="false">IF(N(E675)&gt;0,1,0)</f>
        <v>0</v>
      </c>
      <c r="S672" s="0" t="n">
        <v>48</v>
      </c>
    </row>
    <row r="673" customFormat="false" ht="15" hidden="false" customHeight="false" outlineLevel="0" collapsed="false">
      <c r="A673" s="31" t="str">
        <f aca="false">IF(M663=1,"إكرامية الأسبوع (دينار) ←","")</f>
        <v>إكرامية الأسبوع (دينار) ←</v>
      </c>
      <c r="B673" s="31"/>
      <c r="C673" s="31"/>
      <c r="D673" s="31"/>
      <c r="E673" s="34"/>
      <c r="F673" s="35"/>
      <c r="G673" s="35"/>
      <c r="H673" s="35"/>
      <c r="I673" s="35"/>
      <c r="M673" s="19" t="n">
        <f aca="false">$M$663</f>
        <v>1</v>
      </c>
      <c r="Q673" s="19" t="n">
        <f aca="false">IF(N(E675)&gt;0,1,0)</f>
        <v>0</v>
      </c>
      <c r="S673" s="0" t="n">
        <v>48</v>
      </c>
    </row>
    <row r="674" customFormat="false" ht="36" hidden="false" customHeight="true" outlineLevel="0" collapsed="false">
      <c r="A674" s="36" t="str">
        <f aca="false">IF(M663=1,"المستحق النهائي للأسبوع","")</f>
        <v>المستحق النهائي للأسبوع</v>
      </c>
      <c r="B674" s="36"/>
      <c r="C674" s="36"/>
      <c r="D674" s="36"/>
      <c r="E674" s="36"/>
      <c r="F674" s="36"/>
      <c r="G674" s="36"/>
      <c r="H674" s="11" t="n">
        <f aca="false">IF(M663=1,ROUND(N($V$663)+N(E672)*($P$663-$N$663)+N(E673),3),"")</f>
        <v>0</v>
      </c>
      <c r="I674" s="37"/>
      <c r="M674" s="19" t="n">
        <f aca="false">$M$663</f>
        <v>1</v>
      </c>
      <c r="Q674" s="19" t="n">
        <f aca="false">IF(N(E675)&gt;0,1,0)</f>
        <v>0</v>
      </c>
      <c r="S674" s="0" t="n">
        <v>48</v>
      </c>
      <c r="T674" s="0" t="n">
        <v>1</v>
      </c>
    </row>
    <row r="675" customFormat="false" ht="25.5" hidden="false" customHeight="true" outlineLevel="0" collapsed="false">
      <c r="A675" s="31" t="str">
        <f aca="false">IF(M663=1,"المدفوع (دينار) ←","")</f>
        <v>المدفوع (دينار) ←</v>
      </c>
      <c r="B675" s="31"/>
      <c r="C675" s="31"/>
      <c r="D675" s="31"/>
      <c r="E675" s="34"/>
      <c r="F675" s="38" t="str">
        <f aca="false">IF(M663=1,IF(N(E675)&gt;0,"✔ انقبض — الأسبوع مقفول","⏳ لسا ما انقبض"),"")</f>
        <v>⏳ لسا ما انقبض</v>
      </c>
      <c r="G675" s="38"/>
      <c r="H675" s="38"/>
      <c r="I675" s="38"/>
      <c r="M675" s="19" t="n">
        <f aca="false">$M$663</f>
        <v>1</v>
      </c>
      <c r="Q675" s="19" t="n">
        <f aca="false">IF(N(E675)&gt;0,1,0)</f>
        <v>0</v>
      </c>
      <c r="S675" s="0" t="n">
        <v>48</v>
      </c>
    </row>
    <row r="676" customFormat="false" ht="9.75" hidden="false" customHeight="true" outlineLevel="0" collapsed="false">
      <c r="M676" s="19" t="n">
        <f aca="false">$M$663</f>
        <v>1</v>
      </c>
      <c r="Q676" s="19" t="n">
        <f aca="false">IF(N(E675)&gt;0,1,0)</f>
        <v>0</v>
      </c>
      <c r="S676" s="0" t="n">
        <v>48</v>
      </c>
      <c r="T676" s="0" t="n">
        <v>2</v>
      </c>
    </row>
    <row r="677" customFormat="false" ht="33.75" hidden="false" customHeight="true" outlineLevel="0" collapsed="false">
      <c r="A677" s="17" t="str">
        <f aca="false">IF(49&lt;=NW,TEXT(DAY(WEEK_ONE+336),"00")&amp;"/"&amp;TEXT(MONTH(WEEK_ONE+336),"00")&amp;"/"&amp;YEAR(WEEK_ONE+336)&amp;"  -  "&amp;TEXT(DAY(WEEK_ONE+342),"00")&amp;"/"&amp;TEXT(MONTH(WEEK_ONE+342),"00")&amp;"/"&amp;YEAR(WEEK_ONE+342)&amp;"   ·   الأسبوع 49"&amp;IF(49&lt;START_O,"   (قبل أسبوع البداية — ما بينحسب)",""),"ما في أسبوع 49 هالسنة")</f>
        <v>28/11/2026  -  04/12/2026   ·   الأسبوع 49</v>
      </c>
      <c r="B677" s="17"/>
      <c r="C677" s="17"/>
      <c r="D677" s="17"/>
      <c r="E677" s="17"/>
      <c r="F677" s="17"/>
      <c r="G677" s="17"/>
      <c r="H677" s="17"/>
      <c r="I677" s="17"/>
      <c r="L677" s="18" t="n">
        <f aca="false">IF(49&lt;=NW,WEEK_ONE+342,"")</f>
        <v>46360</v>
      </c>
      <c r="M677" s="19" t="n">
        <f aca="false">IF(AND(49&lt;=NW,49&gt;=START_O),1,0)</f>
        <v>1</v>
      </c>
      <c r="N677" s="20" t="n">
        <f aca="false">IFERROR(INDEX(RT_OMR,MATCH(L677,RT_K,1)),INDEX(RT_OMR,1))</f>
        <v>1.25</v>
      </c>
      <c r="O677" s="20" t="n">
        <f aca="false">IFERROR(INDEX(RT_OT,MATCH(L677,RT_K,1)),INDEX(RT_OT,1))</f>
        <v>1.5</v>
      </c>
      <c r="P677" s="20" t="n">
        <f aca="false">IFERROR(INDEX(RT_GYP,MATCH(L677,RT_K,1)),INDEX(RT_GYP,1))</f>
        <v>2.5</v>
      </c>
      <c r="Q677" s="19" t="n">
        <f aca="false">IF(N(E689)&gt;0,1,0)</f>
        <v>0</v>
      </c>
      <c r="R677" s="0" t="n">
        <v>49</v>
      </c>
      <c r="S677" s="0" t="n">
        <v>49</v>
      </c>
      <c r="U677" s="39" t="n">
        <f aca="false">IF(M677=1,SUM(E679:E685),0)</f>
        <v>0</v>
      </c>
      <c r="V677" s="19" t="n">
        <f aca="false">SUM(H679:H685)</f>
        <v>0</v>
      </c>
    </row>
    <row r="678" customFormat="false" ht="39.75" hidden="false" customHeight="true" outlineLevel="0" collapsed="false">
      <c r="A678" s="21" t="s">
        <v>18</v>
      </c>
      <c r="B678" s="21" t="s">
        <v>19</v>
      </c>
      <c r="C678" s="21" t="s">
        <v>20</v>
      </c>
      <c r="D678" s="21" t="s">
        <v>21</v>
      </c>
      <c r="E678" s="21" t="s">
        <v>22</v>
      </c>
      <c r="F678" s="21" t="s">
        <v>23</v>
      </c>
      <c r="G678" s="21" t="s">
        <v>24</v>
      </c>
      <c r="H678" s="21" t="s">
        <v>25</v>
      </c>
      <c r="I678" s="21" t="s">
        <v>26</v>
      </c>
      <c r="M678" s="19" t="n">
        <f aca="false">$M$677</f>
        <v>1</v>
      </c>
      <c r="Q678" s="19" t="n">
        <f aca="false">IF(N(E689)&gt;0,1,0)</f>
        <v>0</v>
      </c>
      <c r="S678" s="0" t="n">
        <v>49</v>
      </c>
    </row>
    <row r="679" customFormat="false" ht="15" hidden="false" customHeight="false" outlineLevel="0" collapsed="false">
      <c r="A679" s="22" t="n">
        <f aca="false">IF(49&lt;=NW,WEEK_ONE+336,"")</f>
        <v>46354</v>
      </c>
      <c r="B679" s="23" t="str">
        <f aca="false">IF(A679="","",CHOOSE(WEEKDAY(A679,1),"الأحد","الاثنين","الثلاثاء","الأربعاء","الخميس","الجمعة","السبت"))</f>
        <v>السبت</v>
      </c>
      <c r="C679" s="24"/>
      <c r="D679" s="24"/>
      <c r="E679" s="25" t="str">
        <f aca="false">IF(OR(M679=0,K679="",L679=""),"",MOD(L679-K679,1))</f>
        <v/>
      </c>
      <c r="F679" s="25" t="str">
        <f aca="false">IF(OR(E679="",M679=0),"",IF(WEEKDAY(A679,1)=6,E679,MIN(E679,MAX(0,MIN(IF(L679&lt;K679,L679+1,L679),OMR_OT_AT)-K679))))</f>
        <v/>
      </c>
      <c r="G679" s="25" t="str">
        <f aca="false">IF(OR(E679="",M679=0),"",MAX(0,E679-F679))</f>
        <v/>
      </c>
      <c r="H679" s="26" t="str">
        <f aca="false">IF(OR(E679="",M679=0),"",ROUND((F679*$N$677+G679*$O$677)*24,3))</f>
        <v/>
      </c>
      <c r="I679" s="27"/>
      <c r="K679" s="28" t="str">
        <f aca="false">IF(OR(M679=0,C679=""),"",IF(ISNUMBER(C679),MOD(C679,1),IFERROR(INDEX(القوائم!$B$1:$B$288,MATCH(TRIM(C679),القوائم!$A$1:$A$288,0)),IFERROR(MOD(TIMEVALUE(C679),1),""))))</f>
        <v/>
      </c>
      <c r="L679" s="28" t="str">
        <f aca="false">IF(OR(M679=0,D679=""),"",IF(ISNUMBER(D679),MOD(D679,1),IFERROR(INDEX(القوائم!$B$1:$B$288,MATCH(TRIM(D679),القوائم!$A$1:$A$288,0)),IFERROR(MOD(TIMEVALUE(D679),1),""))))</f>
        <v/>
      </c>
      <c r="M679" s="19" t="n">
        <f aca="false">$M$677</f>
        <v>1</v>
      </c>
      <c r="Q679" s="19" t="n">
        <f aca="false">IF(N(E689)&gt;0,1,0)</f>
        <v>0</v>
      </c>
      <c r="S679" s="0" t="n">
        <v>49</v>
      </c>
    </row>
    <row r="680" customFormat="false" ht="15" hidden="false" customHeight="false" outlineLevel="0" collapsed="false">
      <c r="A680" s="22" t="n">
        <f aca="false">IF(49&lt;=NW,WEEK_ONE+337,"")</f>
        <v>46355</v>
      </c>
      <c r="B680" s="23" t="str">
        <f aca="false">IF(A680="","",CHOOSE(WEEKDAY(A680,1),"الأحد","الاثنين","الثلاثاء","الأربعاء","الخميس","الجمعة","السبت"))</f>
        <v>الأحد</v>
      </c>
      <c r="C680" s="24"/>
      <c r="D680" s="24"/>
      <c r="E680" s="25" t="str">
        <f aca="false">IF(OR(M680=0,K680="",L680=""),"",MOD(L680-K680,1))</f>
        <v/>
      </c>
      <c r="F680" s="25" t="str">
        <f aca="false">IF(OR(E680="",M680=0),"",IF(WEEKDAY(A680,1)=6,E680,MIN(E680,MAX(0,MIN(IF(L680&lt;K680,L680+1,L680),OMR_OT_AT)-K680))))</f>
        <v/>
      </c>
      <c r="G680" s="25" t="str">
        <f aca="false">IF(OR(E680="",M680=0),"",MAX(0,E680-F680))</f>
        <v/>
      </c>
      <c r="H680" s="26" t="str">
        <f aca="false">IF(OR(E680="",M680=0),"",ROUND((F680*$N$677+G680*$O$677)*24,3))</f>
        <v/>
      </c>
      <c r="I680" s="27"/>
      <c r="K680" s="28" t="str">
        <f aca="false">IF(OR(M680=0,C680=""),"",IF(ISNUMBER(C680),MOD(C680,1),IFERROR(INDEX(القوائم!$B$1:$B$288,MATCH(TRIM(C680),القوائم!$A$1:$A$288,0)),IFERROR(MOD(TIMEVALUE(C680),1),""))))</f>
        <v/>
      </c>
      <c r="L680" s="28" t="str">
        <f aca="false">IF(OR(M680=0,D680=""),"",IF(ISNUMBER(D680),MOD(D680,1),IFERROR(INDEX(القوائم!$B$1:$B$288,MATCH(TRIM(D680),القوائم!$A$1:$A$288,0)),IFERROR(MOD(TIMEVALUE(D680),1),""))))</f>
        <v/>
      </c>
      <c r="M680" s="19" t="n">
        <f aca="false">$M$677</f>
        <v>1</v>
      </c>
      <c r="Q680" s="19" t="n">
        <f aca="false">IF(N(E689)&gt;0,1,0)</f>
        <v>0</v>
      </c>
      <c r="S680" s="0" t="n">
        <v>49</v>
      </c>
    </row>
    <row r="681" customFormat="false" ht="15" hidden="false" customHeight="false" outlineLevel="0" collapsed="false">
      <c r="A681" s="22" t="n">
        <f aca="false">IF(49&lt;=NW,WEEK_ONE+338,"")</f>
        <v>46356</v>
      </c>
      <c r="B681" s="23" t="str">
        <f aca="false">IF(A681="","",CHOOSE(WEEKDAY(A681,1),"الأحد","الاثنين","الثلاثاء","الأربعاء","الخميس","الجمعة","السبت"))</f>
        <v>الاثنين</v>
      </c>
      <c r="C681" s="24"/>
      <c r="D681" s="24"/>
      <c r="E681" s="25" t="str">
        <f aca="false">IF(OR(M681=0,K681="",L681=""),"",MOD(L681-K681,1))</f>
        <v/>
      </c>
      <c r="F681" s="25" t="str">
        <f aca="false">IF(OR(E681="",M681=0),"",IF(WEEKDAY(A681,1)=6,E681,MIN(E681,MAX(0,MIN(IF(L681&lt;K681,L681+1,L681),OMR_OT_AT)-K681))))</f>
        <v/>
      </c>
      <c r="G681" s="25" t="str">
        <f aca="false">IF(OR(E681="",M681=0),"",MAX(0,E681-F681))</f>
        <v/>
      </c>
      <c r="H681" s="26" t="str">
        <f aca="false">IF(OR(E681="",M681=0),"",ROUND((F681*$N$677+G681*$O$677)*24,3))</f>
        <v/>
      </c>
      <c r="I681" s="27"/>
      <c r="K681" s="28" t="str">
        <f aca="false">IF(OR(M681=0,C681=""),"",IF(ISNUMBER(C681),MOD(C681,1),IFERROR(INDEX(القوائم!$B$1:$B$288,MATCH(TRIM(C681),القوائم!$A$1:$A$288,0)),IFERROR(MOD(TIMEVALUE(C681),1),""))))</f>
        <v/>
      </c>
      <c r="L681" s="28" t="str">
        <f aca="false">IF(OR(M681=0,D681=""),"",IF(ISNUMBER(D681),MOD(D681,1),IFERROR(INDEX(القوائم!$B$1:$B$288,MATCH(TRIM(D681),القوائم!$A$1:$A$288,0)),IFERROR(MOD(TIMEVALUE(D681),1),""))))</f>
        <v/>
      </c>
      <c r="M681" s="19" t="n">
        <f aca="false">$M$677</f>
        <v>1</v>
      </c>
      <c r="Q681" s="19" t="n">
        <f aca="false">IF(N(E689)&gt;0,1,0)</f>
        <v>0</v>
      </c>
      <c r="S681" s="0" t="n">
        <v>49</v>
      </c>
    </row>
    <row r="682" customFormat="false" ht="15" hidden="false" customHeight="false" outlineLevel="0" collapsed="false">
      <c r="A682" s="22" t="n">
        <f aca="false">IF(49&lt;=NW,WEEK_ONE+339,"")</f>
        <v>46357</v>
      </c>
      <c r="B682" s="23" t="str">
        <f aca="false">IF(A682="","",CHOOSE(WEEKDAY(A682,1),"الأحد","الاثنين","الثلاثاء","الأربعاء","الخميس","الجمعة","السبت"))</f>
        <v>الثلاثاء</v>
      </c>
      <c r="C682" s="24"/>
      <c r="D682" s="24"/>
      <c r="E682" s="25" t="str">
        <f aca="false">IF(OR(M682=0,K682="",L682=""),"",MOD(L682-K682,1))</f>
        <v/>
      </c>
      <c r="F682" s="25" t="str">
        <f aca="false">IF(OR(E682="",M682=0),"",IF(WEEKDAY(A682,1)=6,E682,MIN(E682,MAX(0,MIN(IF(L682&lt;K682,L682+1,L682),OMR_OT_AT)-K682))))</f>
        <v/>
      </c>
      <c r="G682" s="25" t="str">
        <f aca="false">IF(OR(E682="",M682=0),"",MAX(0,E682-F682))</f>
        <v/>
      </c>
      <c r="H682" s="26" t="str">
        <f aca="false">IF(OR(E682="",M682=0),"",ROUND((F682*$N$677+G682*$O$677)*24,3))</f>
        <v/>
      </c>
      <c r="I682" s="27"/>
      <c r="K682" s="28" t="str">
        <f aca="false">IF(OR(M682=0,C682=""),"",IF(ISNUMBER(C682),MOD(C682,1),IFERROR(INDEX(القوائم!$B$1:$B$288,MATCH(TRIM(C682),القوائم!$A$1:$A$288,0)),IFERROR(MOD(TIMEVALUE(C682),1),""))))</f>
        <v/>
      </c>
      <c r="L682" s="28" t="str">
        <f aca="false">IF(OR(M682=0,D682=""),"",IF(ISNUMBER(D682),MOD(D682,1),IFERROR(INDEX(القوائم!$B$1:$B$288,MATCH(TRIM(D682),القوائم!$A$1:$A$288,0)),IFERROR(MOD(TIMEVALUE(D682),1),""))))</f>
        <v/>
      </c>
      <c r="M682" s="19" t="n">
        <f aca="false">$M$677</f>
        <v>1</v>
      </c>
      <c r="Q682" s="19" t="n">
        <f aca="false">IF(N(E689)&gt;0,1,0)</f>
        <v>0</v>
      </c>
      <c r="S682" s="0" t="n">
        <v>49</v>
      </c>
    </row>
    <row r="683" customFormat="false" ht="15" hidden="false" customHeight="false" outlineLevel="0" collapsed="false">
      <c r="A683" s="22" t="n">
        <f aca="false">IF(49&lt;=NW,WEEK_ONE+340,"")</f>
        <v>46358</v>
      </c>
      <c r="B683" s="23" t="str">
        <f aca="false">IF(A683="","",CHOOSE(WEEKDAY(A683,1),"الأحد","الاثنين","الثلاثاء","الأربعاء","الخميس","الجمعة","السبت"))</f>
        <v>الأربعاء</v>
      </c>
      <c r="C683" s="24"/>
      <c r="D683" s="24"/>
      <c r="E683" s="25" t="str">
        <f aca="false">IF(OR(M683=0,K683="",L683=""),"",MOD(L683-K683,1))</f>
        <v/>
      </c>
      <c r="F683" s="25" t="str">
        <f aca="false">IF(OR(E683="",M683=0),"",IF(WEEKDAY(A683,1)=6,E683,MIN(E683,MAX(0,MIN(IF(L683&lt;K683,L683+1,L683),OMR_OT_AT)-K683))))</f>
        <v/>
      </c>
      <c r="G683" s="25" t="str">
        <f aca="false">IF(OR(E683="",M683=0),"",MAX(0,E683-F683))</f>
        <v/>
      </c>
      <c r="H683" s="26" t="str">
        <f aca="false">IF(OR(E683="",M683=0),"",ROUND((F683*$N$677+G683*$O$677)*24,3))</f>
        <v/>
      </c>
      <c r="I683" s="27"/>
      <c r="K683" s="28" t="str">
        <f aca="false">IF(OR(M683=0,C683=""),"",IF(ISNUMBER(C683),MOD(C683,1),IFERROR(INDEX(القوائم!$B$1:$B$288,MATCH(TRIM(C683),القوائم!$A$1:$A$288,0)),IFERROR(MOD(TIMEVALUE(C683),1),""))))</f>
        <v/>
      </c>
      <c r="L683" s="28" t="str">
        <f aca="false">IF(OR(M683=0,D683=""),"",IF(ISNUMBER(D683),MOD(D683,1),IFERROR(INDEX(القوائم!$B$1:$B$288,MATCH(TRIM(D683),القوائم!$A$1:$A$288,0)),IFERROR(MOD(TIMEVALUE(D683),1),""))))</f>
        <v/>
      </c>
      <c r="M683" s="19" t="n">
        <f aca="false">$M$677</f>
        <v>1</v>
      </c>
      <c r="Q683" s="19" t="n">
        <f aca="false">IF(N(E689)&gt;0,1,0)</f>
        <v>0</v>
      </c>
      <c r="S683" s="0" t="n">
        <v>49</v>
      </c>
    </row>
    <row r="684" customFormat="false" ht="15" hidden="false" customHeight="false" outlineLevel="0" collapsed="false">
      <c r="A684" s="22" t="n">
        <f aca="false">IF(49&lt;=NW,WEEK_ONE+341,"")</f>
        <v>46359</v>
      </c>
      <c r="B684" s="23" t="str">
        <f aca="false">IF(A684="","",CHOOSE(WEEKDAY(A684,1),"الأحد","الاثنين","الثلاثاء","الأربعاء","الخميس","الجمعة","السبت"))</f>
        <v>الخميس</v>
      </c>
      <c r="C684" s="24"/>
      <c r="D684" s="24"/>
      <c r="E684" s="25" t="str">
        <f aca="false">IF(OR(M684=0,K684="",L684=""),"",MOD(L684-K684,1))</f>
        <v/>
      </c>
      <c r="F684" s="25" t="str">
        <f aca="false">IF(OR(E684="",M684=0),"",IF(WEEKDAY(A684,1)=6,E684,MIN(E684,MAX(0,MIN(IF(L684&lt;K684,L684+1,L684),OMR_OT_AT)-K684))))</f>
        <v/>
      </c>
      <c r="G684" s="25" t="str">
        <f aca="false">IF(OR(E684="",M684=0),"",MAX(0,E684-F684))</f>
        <v/>
      </c>
      <c r="H684" s="26" t="str">
        <f aca="false">IF(OR(E684="",M684=0),"",ROUND((F684*$N$677+G684*$O$677)*24,3))</f>
        <v/>
      </c>
      <c r="I684" s="27"/>
      <c r="K684" s="28" t="str">
        <f aca="false">IF(OR(M684=0,C684=""),"",IF(ISNUMBER(C684),MOD(C684,1),IFERROR(INDEX(القوائم!$B$1:$B$288,MATCH(TRIM(C684),القوائم!$A$1:$A$288,0)),IFERROR(MOD(TIMEVALUE(C684),1),""))))</f>
        <v/>
      </c>
      <c r="L684" s="28" t="str">
        <f aca="false">IF(OR(M684=0,D684=""),"",IF(ISNUMBER(D684),MOD(D684,1),IFERROR(INDEX(القوائم!$B$1:$B$288,MATCH(TRIM(D684),القوائم!$A$1:$A$288,0)),IFERROR(MOD(TIMEVALUE(D684),1),""))))</f>
        <v/>
      </c>
      <c r="M684" s="19" t="n">
        <f aca="false">$M$677</f>
        <v>1</v>
      </c>
      <c r="Q684" s="19" t="n">
        <f aca="false">IF(N(E689)&gt;0,1,0)</f>
        <v>0</v>
      </c>
      <c r="S684" s="0" t="n">
        <v>49</v>
      </c>
    </row>
    <row r="685" customFormat="false" ht="15" hidden="false" customHeight="false" outlineLevel="0" collapsed="false">
      <c r="A685" s="29" t="n">
        <f aca="false">IF(49&lt;=NW,WEEK_ONE+342,"")</f>
        <v>46360</v>
      </c>
      <c r="B685" s="30" t="str">
        <f aca="false">IF(A685="","",CHOOSE(WEEKDAY(A685,1),"الأحد","الاثنين","الثلاثاء","الأربعاء","الخميس","الجمعة","السبت"))</f>
        <v>الجمعة</v>
      </c>
      <c r="C685" s="24"/>
      <c r="D685" s="24"/>
      <c r="E685" s="25" t="str">
        <f aca="false">IF(OR(M685=0,K685="",L685=""),"",MOD(L685-K685,1))</f>
        <v/>
      </c>
      <c r="F685" s="25" t="str">
        <f aca="false">IF(OR(E685="",M685=0),"",IF(WEEKDAY(A685,1)=6,E685,MIN(E685,MAX(0,MIN(IF(L685&lt;K685,L685+1,L685),OMR_OT_AT)-K685))))</f>
        <v/>
      </c>
      <c r="G685" s="25" t="str">
        <f aca="false">IF(OR(E685="",M685=0),"",MAX(0,E685-F685))</f>
        <v/>
      </c>
      <c r="H685" s="26" t="str">
        <f aca="false">IF(OR(E685="",M685=0),"",ROUND((F685*$N$677+G685*$O$677)*24,3))</f>
        <v/>
      </c>
      <c r="I685" s="27"/>
      <c r="K685" s="28" t="str">
        <f aca="false">IF(OR(M685=0,C685=""),"",IF(ISNUMBER(C685),MOD(C685,1),IFERROR(INDEX(القوائم!$B$1:$B$288,MATCH(TRIM(C685),القوائم!$A$1:$A$288,0)),IFERROR(MOD(TIMEVALUE(C685),1),""))))</f>
        <v/>
      </c>
      <c r="L685" s="28" t="str">
        <f aca="false">IF(OR(M685=0,D685=""),"",IF(ISNUMBER(D685),MOD(D685,1),IFERROR(INDEX(القوائم!$B$1:$B$288,MATCH(TRIM(D685),القوائم!$A$1:$A$288,0)),IFERROR(MOD(TIMEVALUE(D685),1),""))))</f>
        <v/>
      </c>
      <c r="M685" s="19" t="n">
        <f aca="false">$M$677</f>
        <v>1</v>
      </c>
      <c r="Q685" s="19" t="n">
        <f aca="false">IF(N(E689)&gt;0,1,0)</f>
        <v>0</v>
      </c>
      <c r="S685" s="0" t="n">
        <v>49</v>
      </c>
    </row>
    <row r="686" customFormat="false" ht="15" hidden="false" customHeight="false" outlineLevel="0" collapsed="false">
      <c r="A686" s="31" t="str">
        <f aca="false">IF(M677=1,"ساعات تحميل الجبسمبورد بهالأسبوع ←","")</f>
        <v>ساعات تحميل الجبسمبورد بهالأسبوع ←</v>
      </c>
      <c r="B686" s="31"/>
      <c r="C686" s="31"/>
      <c r="D686" s="31"/>
      <c r="E686" s="32"/>
      <c r="F686" s="33" t="str">
        <f aca="false">IF(M677=1,"كل ساعة تحميل = "&amp;TEXT($P$677,"0.000")&amp;" دينار (منها "&amp;TEXT($N$677,"0.000")&amp;" محسوبة أصلاً بساعات اليوم)","")</f>
        <v>كل ساعة تحميل = 2.500 دينار (منها 1.250 محسوبة أصلاً بساعات اليوم)</v>
      </c>
      <c r="G686" s="33"/>
      <c r="H686" s="33"/>
      <c r="I686" s="33"/>
      <c r="M686" s="19" t="n">
        <f aca="false">$M$677</f>
        <v>1</v>
      </c>
      <c r="Q686" s="19" t="n">
        <f aca="false">IF(N(E689)&gt;0,1,0)</f>
        <v>0</v>
      </c>
      <c r="S686" s="0" t="n">
        <v>49</v>
      </c>
    </row>
    <row r="687" customFormat="false" ht="15" hidden="false" customHeight="false" outlineLevel="0" collapsed="false">
      <c r="A687" s="31" t="str">
        <f aca="false">IF(M677=1,"إكرامية الأسبوع (دينار) ←","")</f>
        <v>إكرامية الأسبوع (دينار) ←</v>
      </c>
      <c r="B687" s="31"/>
      <c r="C687" s="31"/>
      <c r="D687" s="31"/>
      <c r="E687" s="34"/>
      <c r="F687" s="35"/>
      <c r="G687" s="35"/>
      <c r="H687" s="35"/>
      <c r="I687" s="35"/>
      <c r="M687" s="19" t="n">
        <f aca="false">$M$677</f>
        <v>1</v>
      </c>
      <c r="Q687" s="19" t="n">
        <f aca="false">IF(N(E689)&gt;0,1,0)</f>
        <v>0</v>
      </c>
      <c r="S687" s="0" t="n">
        <v>49</v>
      </c>
    </row>
    <row r="688" customFormat="false" ht="36" hidden="false" customHeight="true" outlineLevel="0" collapsed="false">
      <c r="A688" s="36" t="str">
        <f aca="false">IF(M677=1,"المستحق النهائي للأسبوع","")</f>
        <v>المستحق النهائي للأسبوع</v>
      </c>
      <c r="B688" s="36"/>
      <c r="C688" s="36"/>
      <c r="D688" s="36"/>
      <c r="E688" s="36"/>
      <c r="F688" s="36"/>
      <c r="G688" s="36"/>
      <c r="H688" s="11" t="n">
        <f aca="false">IF(M677=1,ROUND(N($V$677)+N(E686)*($P$677-$N$677)+N(E687),3),"")</f>
        <v>0</v>
      </c>
      <c r="I688" s="37"/>
      <c r="M688" s="19" t="n">
        <f aca="false">$M$677</f>
        <v>1</v>
      </c>
      <c r="Q688" s="19" t="n">
        <f aca="false">IF(N(E689)&gt;0,1,0)</f>
        <v>0</v>
      </c>
      <c r="S688" s="0" t="n">
        <v>49</v>
      </c>
      <c r="T688" s="0" t="n">
        <v>1</v>
      </c>
    </row>
    <row r="689" customFormat="false" ht="25.5" hidden="false" customHeight="true" outlineLevel="0" collapsed="false">
      <c r="A689" s="31" t="str">
        <f aca="false">IF(M677=1,"المدفوع (دينار) ←","")</f>
        <v>المدفوع (دينار) ←</v>
      </c>
      <c r="B689" s="31"/>
      <c r="C689" s="31"/>
      <c r="D689" s="31"/>
      <c r="E689" s="34"/>
      <c r="F689" s="38" t="str">
        <f aca="false">IF(M677=1,IF(N(E689)&gt;0,"✔ انقبض — الأسبوع مقفول","⏳ لسا ما انقبض"),"")</f>
        <v>⏳ لسا ما انقبض</v>
      </c>
      <c r="G689" s="38"/>
      <c r="H689" s="38"/>
      <c r="I689" s="38"/>
      <c r="M689" s="19" t="n">
        <f aca="false">$M$677</f>
        <v>1</v>
      </c>
      <c r="Q689" s="19" t="n">
        <f aca="false">IF(N(E689)&gt;0,1,0)</f>
        <v>0</v>
      </c>
      <c r="S689" s="0" t="n">
        <v>49</v>
      </c>
    </row>
    <row r="690" customFormat="false" ht="9.75" hidden="false" customHeight="true" outlineLevel="0" collapsed="false">
      <c r="M690" s="19" t="n">
        <f aca="false">$M$677</f>
        <v>1</v>
      </c>
      <c r="Q690" s="19" t="n">
        <f aca="false">IF(N(E689)&gt;0,1,0)</f>
        <v>0</v>
      </c>
      <c r="S690" s="0" t="n">
        <v>49</v>
      </c>
      <c r="T690" s="0" t="n">
        <v>2</v>
      </c>
    </row>
    <row r="691" customFormat="false" ht="33.75" hidden="false" customHeight="true" outlineLevel="0" collapsed="false">
      <c r="A691" s="17" t="str">
        <f aca="false">IF(50&lt;=NW,TEXT(DAY(WEEK_ONE+343),"00")&amp;"/"&amp;TEXT(MONTH(WEEK_ONE+343),"00")&amp;"/"&amp;YEAR(WEEK_ONE+343)&amp;"  -  "&amp;TEXT(DAY(WEEK_ONE+349),"00")&amp;"/"&amp;TEXT(MONTH(WEEK_ONE+349),"00")&amp;"/"&amp;YEAR(WEEK_ONE+349)&amp;"   ·   الأسبوع 50"&amp;IF(50&lt;START_O,"   (قبل أسبوع البداية — ما بينحسب)",""),"ما في أسبوع 50 هالسنة")</f>
        <v>05/12/2026  -  11/12/2026   ·   الأسبوع 50</v>
      </c>
      <c r="B691" s="17"/>
      <c r="C691" s="17"/>
      <c r="D691" s="17"/>
      <c r="E691" s="17"/>
      <c r="F691" s="17"/>
      <c r="G691" s="17"/>
      <c r="H691" s="17"/>
      <c r="I691" s="17"/>
      <c r="L691" s="18" t="n">
        <f aca="false">IF(50&lt;=NW,WEEK_ONE+349,"")</f>
        <v>46367</v>
      </c>
      <c r="M691" s="19" t="n">
        <f aca="false">IF(AND(50&lt;=NW,50&gt;=START_O),1,0)</f>
        <v>1</v>
      </c>
      <c r="N691" s="20" t="n">
        <f aca="false">IFERROR(INDEX(RT_OMR,MATCH(L691,RT_K,1)),INDEX(RT_OMR,1))</f>
        <v>1.25</v>
      </c>
      <c r="O691" s="20" t="n">
        <f aca="false">IFERROR(INDEX(RT_OT,MATCH(L691,RT_K,1)),INDEX(RT_OT,1))</f>
        <v>1.5</v>
      </c>
      <c r="P691" s="20" t="n">
        <f aca="false">IFERROR(INDEX(RT_GYP,MATCH(L691,RT_K,1)),INDEX(RT_GYP,1))</f>
        <v>2.5</v>
      </c>
      <c r="Q691" s="19" t="n">
        <f aca="false">IF(N(E703)&gt;0,1,0)</f>
        <v>0</v>
      </c>
      <c r="R691" s="0" t="n">
        <v>50</v>
      </c>
      <c r="S691" s="0" t="n">
        <v>50</v>
      </c>
      <c r="U691" s="39" t="n">
        <f aca="false">IF(M691=1,SUM(E693:E699),0)</f>
        <v>0</v>
      </c>
      <c r="V691" s="19" t="n">
        <f aca="false">SUM(H693:H699)</f>
        <v>0</v>
      </c>
    </row>
    <row r="692" customFormat="false" ht="39.75" hidden="false" customHeight="true" outlineLevel="0" collapsed="false">
      <c r="A692" s="21" t="s">
        <v>18</v>
      </c>
      <c r="B692" s="21" t="s">
        <v>19</v>
      </c>
      <c r="C692" s="21" t="s">
        <v>20</v>
      </c>
      <c r="D692" s="21" t="s">
        <v>21</v>
      </c>
      <c r="E692" s="21" t="s">
        <v>22</v>
      </c>
      <c r="F692" s="21" t="s">
        <v>23</v>
      </c>
      <c r="G692" s="21" t="s">
        <v>24</v>
      </c>
      <c r="H692" s="21" t="s">
        <v>25</v>
      </c>
      <c r="I692" s="21" t="s">
        <v>26</v>
      </c>
      <c r="M692" s="19" t="n">
        <f aca="false">$M$691</f>
        <v>1</v>
      </c>
      <c r="Q692" s="19" t="n">
        <f aca="false">IF(N(E703)&gt;0,1,0)</f>
        <v>0</v>
      </c>
      <c r="S692" s="0" t="n">
        <v>50</v>
      </c>
    </row>
    <row r="693" customFormat="false" ht="15" hidden="false" customHeight="false" outlineLevel="0" collapsed="false">
      <c r="A693" s="22" t="n">
        <f aca="false">IF(50&lt;=NW,WEEK_ONE+343,"")</f>
        <v>46361</v>
      </c>
      <c r="B693" s="23" t="str">
        <f aca="false">IF(A693="","",CHOOSE(WEEKDAY(A693,1),"الأحد","الاثنين","الثلاثاء","الأربعاء","الخميس","الجمعة","السبت"))</f>
        <v>السبت</v>
      </c>
      <c r="C693" s="24"/>
      <c r="D693" s="24"/>
      <c r="E693" s="25" t="str">
        <f aca="false">IF(OR(M693=0,K693="",L693=""),"",MOD(L693-K693,1))</f>
        <v/>
      </c>
      <c r="F693" s="25" t="str">
        <f aca="false">IF(OR(E693="",M693=0),"",IF(WEEKDAY(A693,1)=6,E693,MIN(E693,MAX(0,MIN(IF(L693&lt;K693,L693+1,L693),OMR_OT_AT)-K693))))</f>
        <v/>
      </c>
      <c r="G693" s="25" t="str">
        <f aca="false">IF(OR(E693="",M693=0),"",MAX(0,E693-F693))</f>
        <v/>
      </c>
      <c r="H693" s="26" t="str">
        <f aca="false">IF(OR(E693="",M693=0),"",ROUND((F693*$N$691+G693*$O$691)*24,3))</f>
        <v/>
      </c>
      <c r="I693" s="27"/>
      <c r="K693" s="28" t="str">
        <f aca="false">IF(OR(M693=0,C693=""),"",IF(ISNUMBER(C693),MOD(C693,1),IFERROR(INDEX(القوائم!$B$1:$B$288,MATCH(TRIM(C693),القوائم!$A$1:$A$288,0)),IFERROR(MOD(TIMEVALUE(C693),1),""))))</f>
        <v/>
      </c>
      <c r="L693" s="28" t="str">
        <f aca="false">IF(OR(M693=0,D693=""),"",IF(ISNUMBER(D693),MOD(D693,1),IFERROR(INDEX(القوائم!$B$1:$B$288,MATCH(TRIM(D693),القوائم!$A$1:$A$288,0)),IFERROR(MOD(TIMEVALUE(D693),1),""))))</f>
        <v/>
      </c>
      <c r="M693" s="19" t="n">
        <f aca="false">$M$691</f>
        <v>1</v>
      </c>
      <c r="Q693" s="19" t="n">
        <f aca="false">IF(N(E703)&gt;0,1,0)</f>
        <v>0</v>
      </c>
      <c r="S693" s="0" t="n">
        <v>50</v>
      </c>
    </row>
    <row r="694" customFormat="false" ht="15" hidden="false" customHeight="false" outlineLevel="0" collapsed="false">
      <c r="A694" s="22" t="n">
        <f aca="false">IF(50&lt;=NW,WEEK_ONE+344,"")</f>
        <v>46362</v>
      </c>
      <c r="B694" s="23" t="str">
        <f aca="false">IF(A694="","",CHOOSE(WEEKDAY(A694,1),"الأحد","الاثنين","الثلاثاء","الأربعاء","الخميس","الجمعة","السبت"))</f>
        <v>الأحد</v>
      </c>
      <c r="C694" s="24"/>
      <c r="D694" s="24"/>
      <c r="E694" s="25" t="str">
        <f aca="false">IF(OR(M694=0,K694="",L694=""),"",MOD(L694-K694,1))</f>
        <v/>
      </c>
      <c r="F694" s="25" t="str">
        <f aca="false">IF(OR(E694="",M694=0),"",IF(WEEKDAY(A694,1)=6,E694,MIN(E694,MAX(0,MIN(IF(L694&lt;K694,L694+1,L694),OMR_OT_AT)-K694))))</f>
        <v/>
      </c>
      <c r="G694" s="25" t="str">
        <f aca="false">IF(OR(E694="",M694=0),"",MAX(0,E694-F694))</f>
        <v/>
      </c>
      <c r="H694" s="26" t="str">
        <f aca="false">IF(OR(E694="",M694=0),"",ROUND((F694*$N$691+G694*$O$691)*24,3))</f>
        <v/>
      </c>
      <c r="I694" s="27"/>
      <c r="K694" s="28" t="str">
        <f aca="false">IF(OR(M694=0,C694=""),"",IF(ISNUMBER(C694),MOD(C694,1),IFERROR(INDEX(القوائم!$B$1:$B$288,MATCH(TRIM(C694),القوائم!$A$1:$A$288,0)),IFERROR(MOD(TIMEVALUE(C694),1),""))))</f>
        <v/>
      </c>
      <c r="L694" s="28" t="str">
        <f aca="false">IF(OR(M694=0,D694=""),"",IF(ISNUMBER(D694),MOD(D694,1),IFERROR(INDEX(القوائم!$B$1:$B$288,MATCH(TRIM(D694),القوائم!$A$1:$A$288,0)),IFERROR(MOD(TIMEVALUE(D694),1),""))))</f>
        <v/>
      </c>
      <c r="M694" s="19" t="n">
        <f aca="false">$M$691</f>
        <v>1</v>
      </c>
      <c r="Q694" s="19" t="n">
        <f aca="false">IF(N(E703)&gt;0,1,0)</f>
        <v>0</v>
      </c>
      <c r="S694" s="0" t="n">
        <v>50</v>
      </c>
    </row>
    <row r="695" customFormat="false" ht="15" hidden="false" customHeight="false" outlineLevel="0" collapsed="false">
      <c r="A695" s="22" t="n">
        <f aca="false">IF(50&lt;=NW,WEEK_ONE+345,"")</f>
        <v>46363</v>
      </c>
      <c r="B695" s="23" t="str">
        <f aca="false">IF(A695="","",CHOOSE(WEEKDAY(A695,1),"الأحد","الاثنين","الثلاثاء","الأربعاء","الخميس","الجمعة","السبت"))</f>
        <v>الاثنين</v>
      </c>
      <c r="C695" s="24"/>
      <c r="D695" s="24"/>
      <c r="E695" s="25" t="str">
        <f aca="false">IF(OR(M695=0,K695="",L695=""),"",MOD(L695-K695,1))</f>
        <v/>
      </c>
      <c r="F695" s="25" t="str">
        <f aca="false">IF(OR(E695="",M695=0),"",IF(WEEKDAY(A695,1)=6,E695,MIN(E695,MAX(0,MIN(IF(L695&lt;K695,L695+1,L695),OMR_OT_AT)-K695))))</f>
        <v/>
      </c>
      <c r="G695" s="25" t="str">
        <f aca="false">IF(OR(E695="",M695=0),"",MAX(0,E695-F695))</f>
        <v/>
      </c>
      <c r="H695" s="26" t="str">
        <f aca="false">IF(OR(E695="",M695=0),"",ROUND((F695*$N$691+G695*$O$691)*24,3))</f>
        <v/>
      </c>
      <c r="I695" s="27"/>
      <c r="K695" s="28" t="str">
        <f aca="false">IF(OR(M695=0,C695=""),"",IF(ISNUMBER(C695),MOD(C695,1),IFERROR(INDEX(القوائم!$B$1:$B$288,MATCH(TRIM(C695),القوائم!$A$1:$A$288,0)),IFERROR(MOD(TIMEVALUE(C695),1),""))))</f>
        <v/>
      </c>
      <c r="L695" s="28" t="str">
        <f aca="false">IF(OR(M695=0,D695=""),"",IF(ISNUMBER(D695),MOD(D695,1),IFERROR(INDEX(القوائم!$B$1:$B$288,MATCH(TRIM(D695),القوائم!$A$1:$A$288,0)),IFERROR(MOD(TIMEVALUE(D695),1),""))))</f>
        <v/>
      </c>
      <c r="M695" s="19" t="n">
        <f aca="false">$M$691</f>
        <v>1</v>
      </c>
      <c r="Q695" s="19" t="n">
        <f aca="false">IF(N(E703)&gt;0,1,0)</f>
        <v>0</v>
      </c>
      <c r="S695" s="0" t="n">
        <v>50</v>
      </c>
    </row>
    <row r="696" customFormat="false" ht="15" hidden="false" customHeight="false" outlineLevel="0" collapsed="false">
      <c r="A696" s="22" t="n">
        <f aca="false">IF(50&lt;=NW,WEEK_ONE+346,"")</f>
        <v>46364</v>
      </c>
      <c r="B696" s="23" t="str">
        <f aca="false">IF(A696="","",CHOOSE(WEEKDAY(A696,1),"الأحد","الاثنين","الثلاثاء","الأربعاء","الخميس","الجمعة","السبت"))</f>
        <v>الثلاثاء</v>
      </c>
      <c r="C696" s="24"/>
      <c r="D696" s="24"/>
      <c r="E696" s="25" t="str">
        <f aca="false">IF(OR(M696=0,K696="",L696=""),"",MOD(L696-K696,1))</f>
        <v/>
      </c>
      <c r="F696" s="25" t="str">
        <f aca="false">IF(OR(E696="",M696=0),"",IF(WEEKDAY(A696,1)=6,E696,MIN(E696,MAX(0,MIN(IF(L696&lt;K696,L696+1,L696),OMR_OT_AT)-K696))))</f>
        <v/>
      </c>
      <c r="G696" s="25" t="str">
        <f aca="false">IF(OR(E696="",M696=0),"",MAX(0,E696-F696))</f>
        <v/>
      </c>
      <c r="H696" s="26" t="str">
        <f aca="false">IF(OR(E696="",M696=0),"",ROUND((F696*$N$691+G696*$O$691)*24,3))</f>
        <v/>
      </c>
      <c r="I696" s="27"/>
      <c r="K696" s="28" t="str">
        <f aca="false">IF(OR(M696=0,C696=""),"",IF(ISNUMBER(C696),MOD(C696,1),IFERROR(INDEX(القوائم!$B$1:$B$288,MATCH(TRIM(C696),القوائم!$A$1:$A$288,0)),IFERROR(MOD(TIMEVALUE(C696),1),""))))</f>
        <v/>
      </c>
      <c r="L696" s="28" t="str">
        <f aca="false">IF(OR(M696=0,D696=""),"",IF(ISNUMBER(D696),MOD(D696,1),IFERROR(INDEX(القوائم!$B$1:$B$288,MATCH(TRIM(D696),القوائم!$A$1:$A$288,0)),IFERROR(MOD(TIMEVALUE(D696),1),""))))</f>
        <v/>
      </c>
      <c r="M696" s="19" t="n">
        <f aca="false">$M$691</f>
        <v>1</v>
      </c>
      <c r="Q696" s="19" t="n">
        <f aca="false">IF(N(E703)&gt;0,1,0)</f>
        <v>0</v>
      </c>
      <c r="S696" s="0" t="n">
        <v>50</v>
      </c>
    </row>
    <row r="697" customFormat="false" ht="15" hidden="false" customHeight="false" outlineLevel="0" collapsed="false">
      <c r="A697" s="22" t="n">
        <f aca="false">IF(50&lt;=NW,WEEK_ONE+347,"")</f>
        <v>46365</v>
      </c>
      <c r="B697" s="23" t="str">
        <f aca="false">IF(A697="","",CHOOSE(WEEKDAY(A697,1),"الأحد","الاثنين","الثلاثاء","الأربعاء","الخميس","الجمعة","السبت"))</f>
        <v>الأربعاء</v>
      </c>
      <c r="C697" s="24"/>
      <c r="D697" s="24"/>
      <c r="E697" s="25" t="str">
        <f aca="false">IF(OR(M697=0,K697="",L697=""),"",MOD(L697-K697,1))</f>
        <v/>
      </c>
      <c r="F697" s="25" t="str">
        <f aca="false">IF(OR(E697="",M697=0),"",IF(WEEKDAY(A697,1)=6,E697,MIN(E697,MAX(0,MIN(IF(L697&lt;K697,L697+1,L697),OMR_OT_AT)-K697))))</f>
        <v/>
      </c>
      <c r="G697" s="25" t="str">
        <f aca="false">IF(OR(E697="",M697=0),"",MAX(0,E697-F697))</f>
        <v/>
      </c>
      <c r="H697" s="26" t="str">
        <f aca="false">IF(OR(E697="",M697=0),"",ROUND((F697*$N$691+G697*$O$691)*24,3))</f>
        <v/>
      </c>
      <c r="I697" s="27"/>
      <c r="K697" s="28" t="str">
        <f aca="false">IF(OR(M697=0,C697=""),"",IF(ISNUMBER(C697),MOD(C697,1),IFERROR(INDEX(القوائم!$B$1:$B$288,MATCH(TRIM(C697),القوائم!$A$1:$A$288,0)),IFERROR(MOD(TIMEVALUE(C697),1),""))))</f>
        <v/>
      </c>
      <c r="L697" s="28" t="str">
        <f aca="false">IF(OR(M697=0,D697=""),"",IF(ISNUMBER(D697),MOD(D697,1),IFERROR(INDEX(القوائم!$B$1:$B$288,MATCH(TRIM(D697),القوائم!$A$1:$A$288,0)),IFERROR(MOD(TIMEVALUE(D697),1),""))))</f>
        <v/>
      </c>
      <c r="M697" s="19" t="n">
        <f aca="false">$M$691</f>
        <v>1</v>
      </c>
      <c r="Q697" s="19" t="n">
        <f aca="false">IF(N(E703)&gt;0,1,0)</f>
        <v>0</v>
      </c>
      <c r="S697" s="0" t="n">
        <v>50</v>
      </c>
    </row>
    <row r="698" customFormat="false" ht="15" hidden="false" customHeight="false" outlineLevel="0" collapsed="false">
      <c r="A698" s="22" t="n">
        <f aca="false">IF(50&lt;=NW,WEEK_ONE+348,"")</f>
        <v>46366</v>
      </c>
      <c r="B698" s="23" t="str">
        <f aca="false">IF(A698="","",CHOOSE(WEEKDAY(A698,1),"الأحد","الاثنين","الثلاثاء","الأربعاء","الخميس","الجمعة","السبت"))</f>
        <v>الخميس</v>
      </c>
      <c r="C698" s="24"/>
      <c r="D698" s="24"/>
      <c r="E698" s="25" t="str">
        <f aca="false">IF(OR(M698=0,K698="",L698=""),"",MOD(L698-K698,1))</f>
        <v/>
      </c>
      <c r="F698" s="25" t="str">
        <f aca="false">IF(OR(E698="",M698=0),"",IF(WEEKDAY(A698,1)=6,E698,MIN(E698,MAX(0,MIN(IF(L698&lt;K698,L698+1,L698),OMR_OT_AT)-K698))))</f>
        <v/>
      </c>
      <c r="G698" s="25" t="str">
        <f aca="false">IF(OR(E698="",M698=0),"",MAX(0,E698-F698))</f>
        <v/>
      </c>
      <c r="H698" s="26" t="str">
        <f aca="false">IF(OR(E698="",M698=0),"",ROUND((F698*$N$691+G698*$O$691)*24,3))</f>
        <v/>
      </c>
      <c r="I698" s="27"/>
      <c r="K698" s="28" t="str">
        <f aca="false">IF(OR(M698=0,C698=""),"",IF(ISNUMBER(C698),MOD(C698,1),IFERROR(INDEX(القوائم!$B$1:$B$288,MATCH(TRIM(C698),القوائم!$A$1:$A$288,0)),IFERROR(MOD(TIMEVALUE(C698),1),""))))</f>
        <v/>
      </c>
      <c r="L698" s="28" t="str">
        <f aca="false">IF(OR(M698=0,D698=""),"",IF(ISNUMBER(D698),MOD(D698,1),IFERROR(INDEX(القوائم!$B$1:$B$288,MATCH(TRIM(D698),القوائم!$A$1:$A$288,0)),IFERROR(MOD(TIMEVALUE(D698),1),""))))</f>
        <v/>
      </c>
      <c r="M698" s="19" t="n">
        <f aca="false">$M$691</f>
        <v>1</v>
      </c>
      <c r="Q698" s="19" t="n">
        <f aca="false">IF(N(E703)&gt;0,1,0)</f>
        <v>0</v>
      </c>
      <c r="S698" s="0" t="n">
        <v>50</v>
      </c>
    </row>
    <row r="699" customFormat="false" ht="15" hidden="false" customHeight="false" outlineLevel="0" collapsed="false">
      <c r="A699" s="29" t="n">
        <f aca="false">IF(50&lt;=NW,WEEK_ONE+349,"")</f>
        <v>46367</v>
      </c>
      <c r="B699" s="30" t="str">
        <f aca="false">IF(A699="","",CHOOSE(WEEKDAY(A699,1),"الأحد","الاثنين","الثلاثاء","الأربعاء","الخميس","الجمعة","السبت"))</f>
        <v>الجمعة</v>
      </c>
      <c r="C699" s="24"/>
      <c r="D699" s="24"/>
      <c r="E699" s="25" t="str">
        <f aca="false">IF(OR(M699=0,K699="",L699=""),"",MOD(L699-K699,1))</f>
        <v/>
      </c>
      <c r="F699" s="25" t="str">
        <f aca="false">IF(OR(E699="",M699=0),"",IF(WEEKDAY(A699,1)=6,E699,MIN(E699,MAX(0,MIN(IF(L699&lt;K699,L699+1,L699),OMR_OT_AT)-K699))))</f>
        <v/>
      </c>
      <c r="G699" s="25" t="str">
        <f aca="false">IF(OR(E699="",M699=0),"",MAX(0,E699-F699))</f>
        <v/>
      </c>
      <c r="H699" s="26" t="str">
        <f aca="false">IF(OR(E699="",M699=0),"",ROUND((F699*$N$691+G699*$O$691)*24,3))</f>
        <v/>
      </c>
      <c r="I699" s="27"/>
      <c r="K699" s="28" t="str">
        <f aca="false">IF(OR(M699=0,C699=""),"",IF(ISNUMBER(C699),MOD(C699,1),IFERROR(INDEX(القوائم!$B$1:$B$288,MATCH(TRIM(C699),القوائم!$A$1:$A$288,0)),IFERROR(MOD(TIMEVALUE(C699),1),""))))</f>
        <v/>
      </c>
      <c r="L699" s="28" t="str">
        <f aca="false">IF(OR(M699=0,D699=""),"",IF(ISNUMBER(D699),MOD(D699,1),IFERROR(INDEX(القوائم!$B$1:$B$288,MATCH(TRIM(D699),القوائم!$A$1:$A$288,0)),IFERROR(MOD(TIMEVALUE(D699),1),""))))</f>
        <v/>
      </c>
      <c r="M699" s="19" t="n">
        <f aca="false">$M$691</f>
        <v>1</v>
      </c>
      <c r="Q699" s="19" t="n">
        <f aca="false">IF(N(E703)&gt;0,1,0)</f>
        <v>0</v>
      </c>
      <c r="S699" s="0" t="n">
        <v>50</v>
      </c>
    </row>
    <row r="700" customFormat="false" ht="15" hidden="false" customHeight="false" outlineLevel="0" collapsed="false">
      <c r="A700" s="31" t="str">
        <f aca="false">IF(M691=1,"ساعات تحميل الجبسمبورد بهالأسبوع ←","")</f>
        <v>ساعات تحميل الجبسمبورد بهالأسبوع ←</v>
      </c>
      <c r="B700" s="31"/>
      <c r="C700" s="31"/>
      <c r="D700" s="31"/>
      <c r="E700" s="32"/>
      <c r="F700" s="33" t="str">
        <f aca="false">IF(M691=1,"كل ساعة تحميل = "&amp;TEXT($P$691,"0.000")&amp;" دينار (منها "&amp;TEXT($N$691,"0.000")&amp;" محسوبة أصلاً بساعات اليوم)","")</f>
        <v>كل ساعة تحميل = 2.500 دينار (منها 1.250 محسوبة أصلاً بساعات اليوم)</v>
      </c>
      <c r="G700" s="33"/>
      <c r="H700" s="33"/>
      <c r="I700" s="33"/>
      <c r="M700" s="19" t="n">
        <f aca="false">$M$691</f>
        <v>1</v>
      </c>
      <c r="Q700" s="19" t="n">
        <f aca="false">IF(N(E703)&gt;0,1,0)</f>
        <v>0</v>
      </c>
      <c r="S700" s="0" t="n">
        <v>50</v>
      </c>
    </row>
    <row r="701" customFormat="false" ht="15" hidden="false" customHeight="false" outlineLevel="0" collapsed="false">
      <c r="A701" s="31" t="str">
        <f aca="false">IF(M691=1,"إكرامية الأسبوع (دينار) ←","")</f>
        <v>إكرامية الأسبوع (دينار) ←</v>
      </c>
      <c r="B701" s="31"/>
      <c r="C701" s="31"/>
      <c r="D701" s="31"/>
      <c r="E701" s="34"/>
      <c r="F701" s="35"/>
      <c r="G701" s="35"/>
      <c r="H701" s="35"/>
      <c r="I701" s="35"/>
      <c r="M701" s="19" t="n">
        <f aca="false">$M$691</f>
        <v>1</v>
      </c>
      <c r="Q701" s="19" t="n">
        <f aca="false">IF(N(E703)&gt;0,1,0)</f>
        <v>0</v>
      </c>
      <c r="S701" s="0" t="n">
        <v>50</v>
      </c>
    </row>
    <row r="702" customFormat="false" ht="36" hidden="false" customHeight="true" outlineLevel="0" collapsed="false">
      <c r="A702" s="36" t="str">
        <f aca="false">IF(M691=1,"المستحق النهائي للأسبوع","")</f>
        <v>المستحق النهائي للأسبوع</v>
      </c>
      <c r="B702" s="36"/>
      <c r="C702" s="36"/>
      <c r="D702" s="36"/>
      <c r="E702" s="36"/>
      <c r="F702" s="36"/>
      <c r="G702" s="36"/>
      <c r="H702" s="11" t="n">
        <f aca="false">IF(M691=1,ROUND(N($V$691)+N(E700)*($P$691-$N$691)+N(E701),3),"")</f>
        <v>0</v>
      </c>
      <c r="I702" s="37"/>
      <c r="M702" s="19" t="n">
        <f aca="false">$M$691</f>
        <v>1</v>
      </c>
      <c r="Q702" s="19" t="n">
        <f aca="false">IF(N(E703)&gt;0,1,0)</f>
        <v>0</v>
      </c>
      <c r="S702" s="0" t="n">
        <v>50</v>
      </c>
      <c r="T702" s="0" t="n">
        <v>1</v>
      </c>
    </row>
    <row r="703" customFormat="false" ht="25.5" hidden="false" customHeight="true" outlineLevel="0" collapsed="false">
      <c r="A703" s="31" t="str">
        <f aca="false">IF(M691=1,"المدفوع (دينار) ←","")</f>
        <v>المدفوع (دينار) ←</v>
      </c>
      <c r="B703" s="31"/>
      <c r="C703" s="31"/>
      <c r="D703" s="31"/>
      <c r="E703" s="34"/>
      <c r="F703" s="38" t="str">
        <f aca="false">IF(M691=1,IF(N(E703)&gt;0,"✔ انقبض — الأسبوع مقفول","⏳ لسا ما انقبض"),"")</f>
        <v>⏳ لسا ما انقبض</v>
      </c>
      <c r="G703" s="38"/>
      <c r="H703" s="38"/>
      <c r="I703" s="38"/>
      <c r="M703" s="19" t="n">
        <f aca="false">$M$691</f>
        <v>1</v>
      </c>
      <c r="Q703" s="19" t="n">
        <f aca="false">IF(N(E703)&gt;0,1,0)</f>
        <v>0</v>
      </c>
      <c r="S703" s="0" t="n">
        <v>50</v>
      </c>
    </row>
    <row r="704" customFormat="false" ht="9.75" hidden="false" customHeight="true" outlineLevel="0" collapsed="false">
      <c r="M704" s="19" t="n">
        <f aca="false">$M$691</f>
        <v>1</v>
      </c>
      <c r="Q704" s="19" t="n">
        <f aca="false">IF(N(E703)&gt;0,1,0)</f>
        <v>0</v>
      </c>
      <c r="S704" s="0" t="n">
        <v>50</v>
      </c>
      <c r="T704" s="0" t="n">
        <v>2</v>
      </c>
    </row>
    <row r="705" customFormat="false" ht="33.75" hidden="false" customHeight="true" outlineLevel="0" collapsed="false">
      <c r="A705" s="17" t="str">
        <f aca="false">IF(51&lt;=NW,TEXT(DAY(WEEK_ONE+350),"00")&amp;"/"&amp;TEXT(MONTH(WEEK_ONE+350),"00")&amp;"/"&amp;YEAR(WEEK_ONE+350)&amp;"  -  "&amp;TEXT(DAY(WEEK_ONE+356),"00")&amp;"/"&amp;TEXT(MONTH(WEEK_ONE+356),"00")&amp;"/"&amp;YEAR(WEEK_ONE+356)&amp;"   ·   الأسبوع 51"&amp;IF(51&lt;START_O,"   (قبل أسبوع البداية — ما بينحسب)",""),"ما في أسبوع 51 هالسنة")</f>
        <v>12/12/2026  -  18/12/2026   ·   الأسبوع 51</v>
      </c>
      <c r="B705" s="17"/>
      <c r="C705" s="17"/>
      <c r="D705" s="17"/>
      <c r="E705" s="17"/>
      <c r="F705" s="17"/>
      <c r="G705" s="17"/>
      <c r="H705" s="17"/>
      <c r="I705" s="17"/>
      <c r="L705" s="18" t="n">
        <f aca="false">IF(51&lt;=NW,WEEK_ONE+356,"")</f>
        <v>46374</v>
      </c>
      <c r="M705" s="19" t="n">
        <f aca="false">IF(AND(51&lt;=NW,51&gt;=START_O),1,0)</f>
        <v>1</v>
      </c>
      <c r="N705" s="20" t="n">
        <f aca="false">IFERROR(INDEX(RT_OMR,MATCH(L705,RT_K,1)),INDEX(RT_OMR,1))</f>
        <v>1.25</v>
      </c>
      <c r="O705" s="20" t="n">
        <f aca="false">IFERROR(INDEX(RT_OT,MATCH(L705,RT_K,1)),INDEX(RT_OT,1))</f>
        <v>1.5</v>
      </c>
      <c r="P705" s="20" t="n">
        <f aca="false">IFERROR(INDEX(RT_GYP,MATCH(L705,RT_K,1)),INDEX(RT_GYP,1))</f>
        <v>2.5</v>
      </c>
      <c r="Q705" s="19" t="n">
        <f aca="false">IF(N(E717)&gt;0,1,0)</f>
        <v>0</v>
      </c>
      <c r="R705" s="0" t="n">
        <v>51</v>
      </c>
      <c r="S705" s="0" t="n">
        <v>51</v>
      </c>
      <c r="U705" s="39" t="n">
        <f aca="false">IF(M705=1,SUM(E707:E713),0)</f>
        <v>0</v>
      </c>
      <c r="V705" s="19" t="n">
        <f aca="false">SUM(H707:H713)</f>
        <v>0</v>
      </c>
    </row>
    <row r="706" customFormat="false" ht="39.75" hidden="false" customHeight="true" outlineLevel="0" collapsed="false">
      <c r="A706" s="21" t="s">
        <v>18</v>
      </c>
      <c r="B706" s="21" t="s">
        <v>19</v>
      </c>
      <c r="C706" s="21" t="s">
        <v>20</v>
      </c>
      <c r="D706" s="21" t="s">
        <v>21</v>
      </c>
      <c r="E706" s="21" t="s">
        <v>22</v>
      </c>
      <c r="F706" s="21" t="s">
        <v>23</v>
      </c>
      <c r="G706" s="21" t="s">
        <v>24</v>
      </c>
      <c r="H706" s="21" t="s">
        <v>25</v>
      </c>
      <c r="I706" s="21" t="s">
        <v>26</v>
      </c>
      <c r="M706" s="19" t="n">
        <f aca="false">$M$705</f>
        <v>1</v>
      </c>
      <c r="Q706" s="19" t="n">
        <f aca="false">IF(N(E717)&gt;0,1,0)</f>
        <v>0</v>
      </c>
      <c r="S706" s="0" t="n">
        <v>51</v>
      </c>
    </row>
    <row r="707" customFormat="false" ht="15" hidden="false" customHeight="false" outlineLevel="0" collapsed="false">
      <c r="A707" s="22" t="n">
        <f aca="false">IF(51&lt;=NW,WEEK_ONE+350,"")</f>
        <v>46368</v>
      </c>
      <c r="B707" s="23" t="str">
        <f aca="false">IF(A707="","",CHOOSE(WEEKDAY(A707,1),"الأحد","الاثنين","الثلاثاء","الأربعاء","الخميس","الجمعة","السبت"))</f>
        <v>السبت</v>
      </c>
      <c r="C707" s="24"/>
      <c r="D707" s="24"/>
      <c r="E707" s="25" t="str">
        <f aca="false">IF(OR(M707=0,K707="",L707=""),"",MOD(L707-K707,1))</f>
        <v/>
      </c>
      <c r="F707" s="25" t="str">
        <f aca="false">IF(OR(E707="",M707=0),"",IF(WEEKDAY(A707,1)=6,E707,MIN(E707,MAX(0,MIN(IF(L707&lt;K707,L707+1,L707),OMR_OT_AT)-K707))))</f>
        <v/>
      </c>
      <c r="G707" s="25" t="str">
        <f aca="false">IF(OR(E707="",M707=0),"",MAX(0,E707-F707))</f>
        <v/>
      </c>
      <c r="H707" s="26" t="str">
        <f aca="false">IF(OR(E707="",M707=0),"",ROUND((F707*$N$705+G707*$O$705)*24,3))</f>
        <v/>
      </c>
      <c r="I707" s="27"/>
      <c r="K707" s="28" t="str">
        <f aca="false">IF(OR(M707=0,C707=""),"",IF(ISNUMBER(C707),MOD(C707,1),IFERROR(INDEX(القوائم!$B$1:$B$288,MATCH(TRIM(C707),القوائم!$A$1:$A$288,0)),IFERROR(MOD(TIMEVALUE(C707),1),""))))</f>
        <v/>
      </c>
      <c r="L707" s="28" t="str">
        <f aca="false">IF(OR(M707=0,D707=""),"",IF(ISNUMBER(D707),MOD(D707,1),IFERROR(INDEX(القوائم!$B$1:$B$288,MATCH(TRIM(D707),القوائم!$A$1:$A$288,0)),IFERROR(MOD(TIMEVALUE(D707),1),""))))</f>
        <v/>
      </c>
      <c r="M707" s="19" t="n">
        <f aca="false">$M$705</f>
        <v>1</v>
      </c>
      <c r="Q707" s="19" t="n">
        <f aca="false">IF(N(E717)&gt;0,1,0)</f>
        <v>0</v>
      </c>
      <c r="S707" s="0" t="n">
        <v>51</v>
      </c>
    </row>
    <row r="708" customFormat="false" ht="15" hidden="false" customHeight="false" outlineLevel="0" collapsed="false">
      <c r="A708" s="22" t="n">
        <f aca="false">IF(51&lt;=NW,WEEK_ONE+351,"")</f>
        <v>46369</v>
      </c>
      <c r="B708" s="23" t="str">
        <f aca="false">IF(A708="","",CHOOSE(WEEKDAY(A708,1),"الأحد","الاثنين","الثلاثاء","الأربعاء","الخميس","الجمعة","السبت"))</f>
        <v>الأحد</v>
      </c>
      <c r="C708" s="24"/>
      <c r="D708" s="24"/>
      <c r="E708" s="25" t="str">
        <f aca="false">IF(OR(M708=0,K708="",L708=""),"",MOD(L708-K708,1))</f>
        <v/>
      </c>
      <c r="F708" s="25" t="str">
        <f aca="false">IF(OR(E708="",M708=0),"",IF(WEEKDAY(A708,1)=6,E708,MIN(E708,MAX(0,MIN(IF(L708&lt;K708,L708+1,L708),OMR_OT_AT)-K708))))</f>
        <v/>
      </c>
      <c r="G708" s="25" t="str">
        <f aca="false">IF(OR(E708="",M708=0),"",MAX(0,E708-F708))</f>
        <v/>
      </c>
      <c r="H708" s="26" t="str">
        <f aca="false">IF(OR(E708="",M708=0),"",ROUND((F708*$N$705+G708*$O$705)*24,3))</f>
        <v/>
      </c>
      <c r="I708" s="27"/>
      <c r="K708" s="28" t="str">
        <f aca="false">IF(OR(M708=0,C708=""),"",IF(ISNUMBER(C708),MOD(C708,1),IFERROR(INDEX(القوائم!$B$1:$B$288,MATCH(TRIM(C708),القوائم!$A$1:$A$288,0)),IFERROR(MOD(TIMEVALUE(C708),1),""))))</f>
        <v/>
      </c>
      <c r="L708" s="28" t="str">
        <f aca="false">IF(OR(M708=0,D708=""),"",IF(ISNUMBER(D708),MOD(D708,1),IFERROR(INDEX(القوائم!$B$1:$B$288,MATCH(TRIM(D708),القوائم!$A$1:$A$288,0)),IFERROR(MOD(TIMEVALUE(D708),1),""))))</f>
        <v/>
      </c>
      <c r="M708" s="19" t="n">
        <f aca="false">$M$705</f>
        <v>1</v>
      </c>
      <c r="Q708" s="19" t="n">
        <f aca="false">IF(N(E717)&gt;0,1,0)</f>
        <v>0</v>
      </c>
      <c r="S708" s="0" t="n">
        <v>51</v>
      </c>
    </row>
    <row r="709" customFormat="false" ht="15" hidden="false" customHeight="false" outlineLevel="0" collapsed="false">
      <c r="A709" s="22" t="n">
        <f aca="false">IF(51&lt;=NW,WEEK_ONE+352,"")</f>
        <v>46370</v>
      </c>
      <c r="B709" s="23" t="str">
        <f aca="false">IF(A709="","",CHOOSE(WEEKDAY(A709,1),"الأحد","الاثنين","الثلاثاء","الأربعاء","الخميس","الجمعة","السبت"))</f>
        <v>الاثنين</v>
      </c>
      <c r="C709" s="24"/>
      <c r="D709" s="24"/>
      <c r="E709" s="25" t="str">
        <f aca="false">IF(OR(M709=0,K709="",L709=""),"",MOD(L709-K709,1))</f>
        <v/>
      </c>
      <c r="F709" s="25" t="str">
        <f aca="false">IF(OR(E709="",M709=0),"",IF(WEEKDAY(A709,1)=6,E709,MIN(E709,MAX(0,MIN(IF(L709&lt;K709,L709+1,L709),OMR_OT_AT)-K709))))</f>
        <v/>
      </c>
      <c r="G709" s="25" t="str">
        <f aca="false">IF(OR(E709="",M709=0),"",MAX(0,E709-F709))</f>
        <v/>
      </c>
      <c r="H709" s="26" t="str">
        <f aca="false">IF(OR(E709="",M709=0),"",ROUND((F709*$N$705+G709*$O$705)*24,3))</f>
        <v/>
      </c>
      <c r="I709" s="27"/>
      <c r="K709" s="28" t="str">
        <f aca="false">IF(OR(M709=0,C709=""),"",IF(ISNUMBER(C709),MOD(C709,1),IFERROR(INDEX(القوائم!$B$1:$B$288,MATCH(TRIM(C709),القوائم!$A$1:$A$288,0)),IFERROR(MOD(TIMEVALUE(C709),1),""))))</f>
        <v/>
      </c>
      <c r="L709" s="28" t="str">
        <f aca="false">IF(OR(M709=0,D709=""),"",IF(ISNUMBER(D709),MOD(D709,1),IFERROR(INDEX(القوائم!$B$1:$B$288,MATCH(TRIM(D709),القوائم!$A$1:$A$288,0)),IFERROR(MOD(TIMEVALUE(D709),1),""))))</f>
        <v/>
      </c>
      <c r="M709" s="19" t="n">
        <f aca="false">$M$705</f>
        <v>1</v>
      </c>
      <c r="Q709" s="19" t="n">
        <f aca="false">IF(N(E717)&gt;0,1,0)</f>
        <v>0</v>
      </c>
      <c r="S709" s="0" t="n">
        <v>51</v>
      </c>
    </row>
    <row r="710" customFormat="false" ht="15" hidden="false" customHeight="false" outlineLevel="0" collapsed="false">
      <c r="A710" s="22" t="n">
        <f aca="false">IF(51&lt;=NW,WEEK_ONE+353,"")</f>
        <v>46371</v>
      </c>
      <c r="B710" s="23" t="str">
        <f aca="false">IF(A710="","",CHOOSE(WEEKDAY(A710,1),"الأحد","الاثنين","الثلاثاء","الأربعاء","الخميس","الجمعة","السبت"))</f>
        <v>الثلاثاء</v>
      </c>
      <c r="C710" s="24"/>
      <c r="D710" s="24"/>
      <c r="E710" s="25" t="str">
        <f aca="false">IF(OR(M710=0,K710="",L710=""),"",MOD(L710-K710,1))</f>
        <v/>
      </c>
      <c r="F710" s="25" t="str">
        <f aca="false">IF(OR(E710="",M710=0),"",IF(WEEKDAY(A710,1)=6,E710,MIN(E710,MAX(0,MIN(IF(L710&lt;K710,L710+1,L710),OMR_OT_AT)-K710))))</f>
        <v/>
      </c>
      <c r="G710" s="25" t="str">
        <f aca="false">IF(OR(E710="",M710=0),"",MAX(0,E710-F710))</f>
        <v/>
      </c>
      <c r="H710" s="26" t="str">
        <f aca="false">IF(OR(E710="",M710=0),"",ROUND((F710*$N$705+G710*$O$705)*24,3))</f>
        <v/>
      </c>
      <c r="I710" s="27"/>
      <c r="K710" s="28" t="str">
        <f aca="false">IF(OR(M710=0,C710=""),"",IF(ISNUMBER(C710),MOD(C710,1),IFERROR(INDEX(القوائم!$B$1:$B$288,MATCH(TRIM(C710),القوائم!$A$1:$A$288,0)),IFERROR(MOD(TIMEVALUE(C710),1),""))))</f>
        <v/>
      </c>
      <c r="L710" s="28" t="str">
        <f aca="false">IF(OR(M710=0,D710=""),"",IF(ISNUMBER(D710),MOD(D710,1),IFERROR(INDEX(القوائم!$B$1:$B$288,MATCH(TRIM(D710),القوائم!$A$1:$A$288,0)),IFERROR(MOD(TIMEVALUE(D710),1),""))))</f>
        <v/>
      </c>
      <c r="M710" s="19" t="n">
        <f aca="false">$M$705</f>
        <v>1</v>
      </c>
      <c r="Q710" s="19" t="n">
        <f aca="false">IF(N(E717)&gt;0,1,0)</f>
        <v>0</v>
      </c>
      <c r="S710" s="0" t="n">
        <v>51</v>
      </c>
    </row>
    <row r="711" customFormat="false" ht="15" hidden="false" customHeight="false" outlineLevel="0" collapsed="false">
      <c r="A711" s="22" t="n">
        <f aca="false">IF(51&lt;=NW,WEEK_ONE+354,"")</f>
        <v>46372</v>
      </c>
      <c r="B711" s="23" t="str">
        <f aca="false">IF(A711="","",CHOOSE(WEEKDAY(A711,1),"الأحد","الاثنين","الثلاثاء","الأربعاء","الخميس","الجمعة","السبت"))</f>
        <v>الأربعاء</v>
      </c>
      <c r="C711" s="24"/>
      <c r="D711" s="24"/>
      <c r="E711" s="25" t="str">
        <f aca="false">IF(OR(M711=0,K711="",L711=""),"",MOD(L711-K711,1))</f>
        <v/>
      </c>
      <c r="F711" s="25" t="str">
        <f aca="false">IF(OR(E711="",M711=0),"",IF(WEEKDAY(A711,1)=6,E711,MIN(E711,MAX(0,MIN(IF(L711&lt;K711,L711+1,L711),OMR_OT_AT)-K711))))</f>
        <v/>
      </c>
      <c r="G711" s="25" t="str">
        <f aca="false">IF(OR(E711="",M711=0),"",MAX(0,E711-F711))</f>
        <v/>
      </c>
      <c r="H711" s="26" t="str">
        <f aca="false">IF(OR(E711="",M711=0),"",ROUND((F711*$N$705+G711*$O$705)*24,3))</f>
        <v/>
      </c>
      <c r="I711" s="27"/>
      <c r="K711" s="28" t="str">
        <f aca="false">IF(OR(M711=0,C711=""),"",IF(ISNUMBER(C711),MOD(C711,1),IFERROR(INDEX(القوائم!$B$1:$B$288,MATCH(TRIM(C711),القوائم!$A$1:$A$288,0)),IFERROR(MOD(TIMEVALUE(C711),1),""))))</f>
        <v/>
      </c>
      <c r="L711" s="28" t="str">
        <f aca="false">IF(OR(M711=0,D711=""),"",IF(ISNUMBER(D711),MOD(D711,1),IFERROR(INDEX(القوائم!$B$1:$B$288,MATCH(TRIM(D711),القوائم!$A$1:$A$288,0)),IFERROR(MOD(TIMEVALUE(D711),1),""))))</f>
        <v/>
      </c>
      <c r="M711" s="19" t="n">
        <f aca="false">$M$705</f>
        <v>1</v>
      </c>
      <c r="Q711" s="19" t="n">
        <f aca="false">IF(N(E717)&gt;0,1,0)</f>
        <v>0</v>
      </c>
      <c r="S711" s="0" t="n">
        <v>51</v>
      </c>
    </row>
    <row r="712" customFormat="false" ht="15" hidden="false" customHeight="false" outlineLevel="0" collapsed="false">
      <c r="A712" s="22" t="n">
        <f aca="false">IF(51&lt;=NW,WEEK_ONE+355,"")</f>
        <v>46373</v>
      </c>
      <c r="B712" s="23" t="str">
        <f aca="false">IF(A712="","",CHOOSE(WEEKDAY(A712,1),"الأحد","الاثنين","الثلاثاء","الأربعاء","الخميس","الجمعة","السبت"))</f>
        <v>الخميس</v>
      </c>
      <c r="C712" s="24"/>
      <c r="D712" s="24"/>
      <c r="E712" s="25" t="str">
        <f aca="false">IF(OR(M712=0,K712="",L712=""),"",MOD(L712-K712,1))</f>
        <v/>
      </c>
      <c r="F712" s="25" t="str">
        <f aca="false">IF(OR(E712="",M712=0),"",IF(WEEKDAY(A712,1)=6,E712,MIN(E712,MAX(0,MIN(IF(L712&lt;K712,L712+1,L712),OMR_OT_AT)-K712))))</f>
        <v/>
      </c>
      <c r="G712" s="25" t="str">
        <f aca="false">IF(OR(E712="",M712=0),"",MAX(0,E712-F712))</f>
        <v/>
      </c>
      <c r="H712" s="26" t="str">
        <f aca="false">IF(OR(E712="",M712=0),"",ROUND((F712*$N$705+G712*$O$705)*24,3))</f>
        <v/>
      </c>
      <c r="I712" s="27"/>
      <c r="K712" s="28" t="str">
        <f aca="false">IF(OR(M712=0,C712=""),"",IF(ISNUMBER(C712),MOD(C712,1),IFERROR(INDEX(القوائم!$B$1:$B$288,MATCH(TRIM(C712),القوائم!$A$1:$A$288,0)),IFERROR(MOD(TIMEVALUE(C712),1),""))))</f>
        <v/>
      </c>
      <c r="L712" s="28" t="str">
        <f aca="false">IF(OR(M712=0,D712=""),"",IF(ISNUMBER(D712),MOD(D712,1),IFERROR(INDEX(القوائم!$B$1:$B$288,MATCH(TRIM(D712),القوائم!$A$1:$A$288,0)),IFERROR(MOD(TIMEVALUE(D712),1),""))))</f>
        <v/>
      </c>
      <c r="M712" s="19" t="n">
        <f aca="false">$M$705</f>
        <v>1</v>
      </c>
      <c r="Q712" s="19" t="n">
        <f aca="false">IF(N(E717)&gt;0,1,0)</f>
        <v>0</v>
      </c>
      <c r="S712" s="0" t="n">
        <v>51</v>
      </c>
    </row>
    <row r="713" customFormat="false" ht="15" hidden="false" customHeight="false" outlineLevel="0" collapsed="false">
      <c r="A713" s="29" t="n">
        <f aca="false">IF(51&lt;=NW,WEEK_ONE+356,"")</f>
        <v>46374</v>
      </c>
      <c r="B713" s="30" t="str">
        <f aca="false">IF(A713="","",CHOOSE(WEEKDAY(A713,1),"الأحد","الاثنين","الثلاثاء","الأربعاء","الخميس","الجمعة","السبت"))</f>
        <v>الجمعة</v>
      </c>
      <c r="C713" s="24"/>
      <c r="D713" s="24"/>
      <c r="E713" s="25" t="str">
        <f aca="false">IF(OR(M713=0,K713="",L713=""),"",MOD(L713-K713,1))</f>
        <v/>
      </c>
      <c r="F713" s="25" t="str">
        <f aca="false">IF(OR(E713="",M713=0),"",IF(WEEKDAY(A713,1)=6,E713,MIN(E713,MAX(0,MIN(IF(L713&lt;K713,L713+1,L713),OMR_OT_AT)-K713))))</f>
        <v/>
      </c>
      <c r="G713" s="25" t="str">
        <f aca="false">IF(OR(E713="",M713=0),"",MAX(0,E713-F713))</f>
        <v/>
      </c>
      <c r="H713" s="26" t="str">
        <f aca="false">IF(OR(E713="",M713=0),"",ROUND((F713*$N$705+G713*$O$705)*24,3))</f>
        <v/>
      </c>
      <c r="I713" s="27"/>
      <c r="K713" s="28" t="str">
        <f aca="false">IF(OR(M713=0,C713=""),"",IF(ISNUMBER(C713),MOD(C713,1),IFERROR(INDEX(القوائم!$B$1:$B$288,MATCH(TRIM(C713),القوائم!$A$1:$A$288,0)),IFERROR(MOD(TIMEVALUE(C713),1),""))))</f>
        <v/>
      </c>
      <c r="L713" s="28" t="str">
        <f aca="false">IF(OR(M713=0,D713=""),"",IF(ISNUMBER(D713),MOD(D713,1),IFERROR(INDEX(القوائم!$B$1:$B$288,MATCH(TRIM(D713),القوائم!$A$1:$A$288,0)),IFERROR(MOD(TIMEVALUE(D713),1),""))))</f>
        <v/>
      </c>
      <c r="M713" s="19" t="n">
        <f aca="false">$M$705</f>
        <v>1</v>
      </c>
      <c r="Q713" s="19" t="n">
        <f aca="false">IF(N(E717)&gt;0,1,0)</f>
        <v>0</v>
      </c>
      <c r="S713" s="0" t="n">
        <v>51</v>
      </c>
    </row>
    <row r="714" customFormat="false" ht="15" hidden="false" customHeight="false" outlineLevel="0" collapsed="false">
      <c r="A714" s="31" t="str">
        <f aca="false">IF(M705=1,"ساعات تحميل الجبسمبورد بهالأسبوع ←","")</f>
        <v>ساعات تحميل الجبسمبورد بهالأسبوع ←</v>
      </c>
      <c r="B714" s="31"/>
      <c r="C714" s="31"/>
      <c r="D714" s="31"/>
      <c r="E714" s="32"/>
      <c r="F714" s="33" t="str">
        <f aca="false">IF(M705=1,"كل ساعة تحميل = "&amp;TEXT($P$705,"0.000")&amp;" دينار (منها "&amp;TEXT($N$705,"0.000")&amp;" محسوبة أصلاً بساعات اليوم)","")</f>
        <v>كل ساعة تحميل = 2.500 دينار (منها 1.250 محسوبة أصلاً بساعات اليوم)</v>
      </c>
      <c r="G714" s="33"/>
      <c r="H714" s="33"/>
      <c r="I714" s="33"/>
      <c r="M714" s="19" t="n">
        <f aca="false">$M$705</f>
        <v>1</v>
      </c>
      <c r="Q714" s="19" t="n">
        <f aca="false">IF(N(E717)&gt;0,1,0)</f>
        <v>0</v>
      </c>
      <c r="S714" s="0" t="n">
        <v>51</v>
      </c>
    </row>
    <row r="715" customFormat="false" ht="15" hidden="false" customHeight="false" outlineLevel="0" collapsed="false">
      <c r="A715" s="31" t="str">
        <f aca="false">IF(M705=1,"إكرامية الأسبوع (دينار) ←","")</f>
        <v>إكرامية الأسبوع (دينار) ←</v>
      </c>
      <c r="B715" s="31"/>
      <c r="C715" s="31"/>
      <c r="D715" s="31"/>
      <c r="E715" s="34"/>
      <c r="F715" s="35"/>
      <c r="G715" s="35"/>
      <c r="H715" s="35"/>
      <c r="I715" s="35"/>
      <c r="M715" s="19" t="n">
        <f aca="false">$M$705</f>
        <v>1</v>
      </c>
      <c r="Q715" s="19" t="n">
        <f aca="false">IF(N(E717)&gt;0,1,0)</f>
        <v>0</v>
      </c>
      <c r="S715" s="0" t="n">
        <v>51</v>
      </c>
    </row>
    <row r="716" customFormat="false" ht="36" hidden="false" customHeight="true" outlineLevel="0" collapsed="false">
      <c r="A716" s="36" t="str">
        <f aca="false">IF(M705=1,"المستحق النهائي للأسبوع","")</f>
        <v>المستحق النهائي للأسبوع</v>
      </c>
      <c r="B716" s="36"/>
      <c r="C716" s="36"/>
      <c r="D716" s="36"/>
      <c r="E716" s="36"/>
      <c r="F716" s="36"/>
      <c r="G716" s="36"/>
      <c r="H716" s="11" t="n">
        <f aca="false">IF(M705=1,ROUND(N($V$705)+N(E714)*($P$705-$N$705)+N(E715),3),"")</f>
        <v>0</v>
      </c>
      <c r="I716" s="37"/>
      <c r="M716" s="19" t="n">
        <f aca="false">$M$705</f>
        <v>1</v>
      </c>
      <c r="Q716" s="19" t="n">
        <f aca="false">IF(N(E717)&gt;0,1,0)</f>
        <v>0</v>
      </c>
      <c r="S716" s="0" t="n">
        <v>51</v>
      </c>
      <c r="T716" s="0" t="n">
        <v>1</v>
      </c>
    </row>
    <row r="717" customFormat="false" ht="25.5" hidden="false" customHeight="true" outlineLevel="0" collapsed="false">
      <c r="A717" s="31" t="str">
        <f aca="false">IF(M705=1,"المدفوع (دينار) ←","")</f>
        <v>المدفوع (دينار) ←</v>
      </c>
      <c r="B717" s="31"/>
      <c r="C717" s="31"/>
      <c r="D717" s="31"/>
      <c r="E717" s="34"/>
      <c r="F717" s="38" t="str">
        <f aca="false">IF(M705=1,IF(N(E717)&gt;0,"✔ انقبض — الأسبوع مقفول","⏳ لسا ما انقبض"),"")</f>
        <v>⏳ لسا ما انقبض</v>
      </c>
      <c r="G717" s="38"/>
      <c r="H717" s="38"/>
      <c r="I717" s="38"/>
      <c r="M717" s="19" t="n">
        <f aca="false">$M$705</f>
        <v>1</v>
      </c>
      <c r="Q717" s="19" t="n">
        <f aca="false">IF(N(E717)&gt;0,1,0)</f>
        <v>0</v>
      </c>
      <c r="S717" s="0" t="n">
        <v>51</v>
      </c>
    </row>
    <row r="718" customFormat="false" ht="9.75" hidden="false" customHeight="true" outlineLevel="0" collapsed="false">
      <c r="M718" s="19" t="n">
        <f aca="false">$M$705</f>
        <v>1</v>
      </c>
      <c r="Q718" s="19" t="n">
        <f aca="false">IF(N(E717)&gt;0,1,0)</f>
        <v>0</v>
      </c>
      <c r="S718" s="0" t="n">
        <v>51</v>
      </c>
      <c r="T718" s="0" t="n">
        <v>2</v>
      </c>
    </row>
    <row r="719" customFormat="false" ht="33.75" hidden="false" customHeight="true" outlineLevel="0" collapsed="false">
      <c r="A719" s="17" t="str">
        <f aca="false">IF(52&lt;=NW,TEXT(DAY(WEEK_ONE+357),"00")&amp;"/"&amp;TEXT(MONTH(WEEK_ONE+357),"00")&amp;"/"&amp;YEAR(WEEK_ONE+357)&amp;"  -  "&amp;TEXT(DAY(WEEK_ONE+363),"00")&amp;"/"&amp;TEXT(MONTH(WEEK_ONE+363),"00")&amp;"/"&amp;YEAR(WEEK_ONE+363)&amp;"   ·   الأسبوع 52"&amp;IF(52&lt;START_O,"   (قبل أسبوع البداية — ما بينحسب)",""),"ما في أسبوع 52 هالسنة")</f>
        <v>19/12/2026  -  25/12/2026   ·   الأسبوع 52</v>
      </c>
      <c r="B719" s="17"/>
      <c r="C719" s="17"/>
      <c r="D719" s="17"/>
      <c r="E719" s="17"/>
      <c r="F719" s="17"/>
      <c r="G719" s="17"/>
      <c r="H719" s="17"/>
      <c r="I719" s="17"/>
      <c r="L719" s="18" t="n">
        <f aca="false">IF(52&lt;=NW,WEEK_ONE+363,"")</f>
        <v>46381</v>
      </c>
      <c r="M719" s="19" t="n">
        <f aca="false">IF(AND(52&lt;=NW,52&gt;=START_O),1,0)</f>
        <v>1</v>
      </c>
      <c r="N719" s="20" t="n">
        <f aca="false">IFERROR(INDEX(RT_OMR,MATCH(L719,RT_K,1)),INDEX(RT_OMR,1))</f>
        <v>1.25</v>
      </c>
      <c r="O719" s="20" t="n">
        <f aca="false">IFERROR(INDEX(RT_OT,MATCH(L719,RT_K,1)),INDEX(RT_OT,1))</f>
        <v>1.5</v>
      </c>
      <c r="P719" s="20" t="n">
        <f aca="false">IFERROR(INDEX(RT_GYP,MATCH(L719,RT_K,1)),INDEX(RT_GYP,1))</f>
        <v>2.5</v>
      </c>
      <c r="Q719" s="19" t="n">
        <f aca="false">IF(N(E731)&gt;0,1,0)</f>
        <v>0</v>
      </c>
      <c r="R719" s="0" t="n">
        <v>52</v>
      </c>
      <c r="S719" s="0" t="n">
        <v>52</v>
      </c>
      <c r="U719" s="39" t="n">
        <f aca="false">IF(M719=1,SUM(E721:E727),0)</f>
        <v>0</v>
      </c>
      <c r="V719" s="19" t="n">
        <f aca="false">SUM(H721:H727)</f>
        <v>0</v>
      </c>
    </row>
    <row r="720" customFormat="false" ht="39.75" hidden="false" customHeight="true" outlineLevel="0" collapsed="false">
      <c r="A720" s="21" t="s">
        <v>18</v>
      </c>
      <c r="B720" s="21" t="s">
        <v>19</v>
      </c>
      <c r="C720" s="21" t="s">
        <v>20</v>
      </c>
      <c r="D720" s="21" t="s">
        <v>21</v>
      </c>
      <c r="E720" s="21" t="s">
        <v>22</v>
      </c>
      <c r="F720" s="21" t="s">
        <v>23</v>
      </c>
      <c r="G720" s="21" t="s">
        <v>24</v>
      </c>
      <c r="H720" s="21" t="s">
        <v>25</v>
      </c>
      <c r="I720" s="21" t="s">
        <v>26</v>
      </c>
      <c r="M720" s="19" t="n">
        <f aca="false">$M$719</f>
        <v>1</v>
      </c>
      <c r="Q720" s="19" t="n">
        <f aca="false">IF(N(E731)&gt;0,1,0)</f>
        <v>0</v>
      </c>
      <c r="S720" s="0" t="n">
        <v>52</v>
      </c>
    </row>
    <row r="721" customFormat="false" ht="15" hidden="false" customHeight="false" outlineLevel="0" collapsed="false">
      <c r="A721" s="22" t="n">
        <f aca="false">IF(52&lt;=NW,WEEK_ONE+357,"")</f>
        <v>46375</v>
      </c>
      <c r="B721" s="23" t="str">
        <f aca="false">IF(A721="","",CHOOSE(WEEKDAY(A721,1),"الأحد","الاثنين","الثلاثاء","الأربعاء","الخميس","الجمعة","السبت"))</f>
        <v>السبت</v>
      </c>
      <c r="C721" s="24"/>
      <c r="D721" s="24"/>
      <c r="E721" s="25" t="str">
        <f aca="false">IF(OR(M721=0,K721="",L721=""),"",MOD(L721-K721,1))</f>
        <v/>
      </c>
      <c r="F721" s="25" t="str">
        <f aca="false">IF(OR(E721="",M721=0),"",IF(WEEKDAY(A721,1)=6,E721,MIN(E721,MAX(0,MIN(IF(L721&lt;K721,L721+1,L721),OMR_OT_AT)-K721))))</f>
        <v/>
      </c>
      <c r="G721" s="25" t="str">
        <f aca="false">IF(OR(E721="",M721=0),"",MAX(0,E721-F721))</f>
        <v/>
      </c>
      <c r="H721" s="26" t="str">
        <f aca="false">IF(OR(E721="",M721=0),"",ROUND((F721*$N$719+G721*$O$719)*24,3))</f>
        <v/>
      </c>
      <c r="I721" s="27"/>
      <c r="K721" s="28" t="str">
        <f aca="false">IF(OR(M721=0,C721=""),"",IF(ISNUMBER(C721),MOD(C721,1),IFERROR(INDEX(القوائم!$B$1:$B$288,MATCH(TRIM(C721),القوائم!$A$1:$A$288,0)),IFERROR(MOD(TIMEVALUE(C721),1),""))))</f>
        <v/>
      </c>
      <c r="L721" s="28" t="str">
        <f aca="false">IF(OR(M721=0,D721=""),"",IF(ISNUMBER(D721),MOD(D721,1),IFERROR(INDEX(القوائم!$B$1:$B$288,MATCH(TRIM(D721),القوائم!$A$1:$A$288,0)),IFERROR(MOD(TIMEVALUE(D721),1),""))))</f>
        <v/>
      </c>
      <c r="M721" s="19" t="n">
        <f aca="false">$M$719</f>
        <v>1</v>
      </c>
      <c r="Q721" s="19" t="n">
        <f aca="false">IF(N(E731)&gt;0,1,0)</f>
        <v>0</v>
      </c>
      <c r="S721" s="0" t="n">
        <v>52</v>
      </c>
    </row>
    <row r="722" customFormat="false" ht="15" hidden="false" customHeight="false" outlineLevel="0" collapsed="false">
      <c r="A722" s="22" t="n">
        <f aca="false">IF(52&lt;=NW,WEEK_ONE+358,"")</f>
        <v>46376</v>
      </c>
      <c r="B722" s="23" t="str">
        <f aca="false">IF(A722="","",CHOOSE(WEEKDAY(A722,1),"الأحد","الاثنين","الثلاثاء","الأربعاء","الخميس","الجمعة","السبت"))</f>
        <v>الأحد</v>
      </c>
      <c r="C722" s="24"/>
      <c r="D722" s="24"/>
      <c r="E722" s="25" t="str">
        <f aca="false">IF(OR(M722=0,K722="",L722=""),"",MOD(L722-K722,1))</f>
        <v/>
      </c>
      <c r="F722" s="25" t="str">
        <f aca="false">IF(OR(E722="",M722=0),"",IF(WEEKDAY(A722,1)=6,E722,MIN(E722,MAX(0,MIN(IF(L722&lt;K722,L722+1,L722),OMR_OT_AT)-K722))))</f>
        <v/>
      </c>
      <c r="G722" s="25" t="str">
        <f aca="false">IF(OR(E722="",M722=0),"",MAX(0,E722-F722))</f>
        <v/>
      </c>
      <c r="H722" s="26" t="str">
        <f aca="false">IF(OR(E722="",M722=0),"",ROUND((F722*$N$719+G722*$O$719)*24,3))</f>
        <v/>
      </c>
      <c r="I722" s="27"/>
      <c r="K722" s="28" t="str">
        <f aca="false">IF(OR(M722=0,C722=""),"",IF(ISNUMBER(C722),MOD(C722,1),IFERROR(INDEX(القوائم!$B$1:$B$288,MATCH(TRIM(C722),القوائم!$A$1:$A$288,0)),IFERROR(MOD(TIMEVALUE(C722),1),""))))</f>
        <v/>
      </c>
      <c r="L722" s="28" t="str">
        <f aca="false">IF(OR(M722=0,D722=""),"",IF(ISNUMBER(D722),MOD(D722,1),IFERROR(INDEX(القوائم!$B$1:$B$288,MATCH(TRIM(D722),القوائم!$A$1:$A$288,0)),IFERROR(MOD(TIMEVALUE(D722),1),""))))</f>
        <v/>
      </c>
      <c r="M722" s="19" t="n">
        <f aca="false">$M$719</f>
        <v>1</v>
      </c>
      <c r="Q722" s="19" t="n">
        <f aca="false">IF(N(E731)&gt;0,1,0)</f>
        <v>0</v>
      </c>
      <c r="S722" s="0" t="n">
        <v>52</v>
      </c>
    </row>
    <row r="723" customFormat="false" ht="15" hidden="false" customHeight="false" outlineLevel="0" collapsed="false">
      <c r="A723" s="22" t="n">
        <f aca="false">IF(52&lt;=NW,WEEK_ONE+359,"")</f>
        <v>46377</v>
      </c>
      <c r="B723" s="23" t="str">
        <f aca="false">IF(A723="","",CHOOSE(WEEKDAY(A723,1),"الأحد","الاثنين","الثلاثاء","الأربعاء","الخميس","الجمعة","السبت"))</f>
        <v>الاثنين</v>
      </c>
      <c r="C723" s="24"/>
      <c r="D723" s="24"/>
      <c r="E723" s="25" t="str">
        <f aca="false">IF(OR(M723=0,K723="",L723=""),"",MOD(L723-K723,1))</f>
        <v/>
      </c>
      <c r="F723" s="25" t="str">
        <f aca="false">IF(OR(E723="",M723=0),"",IF(WEEKDAY(A723,1)=6,E723,MIN(E723,MAX(0,MIN(IF(L723&lt;K723,L723+1,L723),OMR_OT_AT)-K723))))</f>
        <v/>
      </c>
      <c r="G723" s="25" t="str">
        <f aca="false">IF(OR(E723="",M723=0),"",MAX(0,E723-F723))</f>
        <v/>
      </c>
      <c r="H723" s="26" t="str">
        <f aca="false">IF(OR(E723="",M723=0),"",ROUND((F723*$N$719+G723*$O$719)*24,3))</f>
        <v/>
      </c>
      <c r="I723" s="27"/>
      <c r="K723" s="28" t="str">
        <f aca="false">IF(OR(M723=0,C723=""),"",IF(ISNUMBER(C723),MOD(C723,1),IFERROR(INDEX(القوائم!$B$1:$B$288,MATCH(TRIM(C723),القوائم!$A$1:$A$288,0)),IFERROR(MOD(TIMEVALUE(C723),1),""))))</f>
        <v/>
      </c>
      <c r="L723" s="28" t="str">
        <f aca="false">IF(OR(M723=0,D723=""),"",IF(ISNUMBER(D723),MOD(D723,1),IFERROR(INDEX(القوائم!$B$1:$B$288,MATCH(TRIM(D723),القوائم!$A$1:$A$288,0)),IFERROR(MOD(TIMEVALUE(D723),1),""))))</f>
        <v/>
      </c>
      <c r="M723" s="19" t="n">
        <f aca="false">$M$719</f>
        <v>1</v>
      </c>
      <c r="Q723" s="19" t="n">
        <f aca="false">IF(N(E731)&gt;0,1,0)</f>
        <v>0</v>
      </c>
      <c r="S723" s="0" t="n">
        <v>52</v>
      </c>
    </row>
    <row r="724" customFormat="false" ht="15" hidden="false" customHeight="false" outlineLevel="0" collapsed="false">
      <c r="A724" s="22" t="n">
        <f aca="false">IF(52&lt;=NW,WEEK_ONE+360,"")</f>
        <v>46378</v>
      </c>
      <c r="B724" s="23" t="str">
        <f aca="false">IF(A724="","",CHOOSE(WEEKDAY(A724,1),"الأحد","الاثنين","الثلاثاء","الأربعاء","الخميس","الجمعة","السبت"))</f>
        <v>الثلاثاء</v>
      </c>
      <c r="C724" s="24"/>
      <c r="D724" s="24"/>
      <c r="E724" s="25" t="str">
        <f aca="false">IF(OR(M724=0,K724="",L724=""),"",MOD(L724-K724,1))</f>
        <v/>
      </c>
      <c r="F724" s="25" t="str">
        <f aca="false">IF(OR(E724="",M724=0),"",IF(WEEKDAY(A724,1)=6,E724,MIN(E724,MAX(0,MIN(IF(L724&lt;K724,L724+1,L724),OMR_OT_AT)-K724))))</f>
        <v/>
      </c>
      <c r="G724" s="25" t="str">
        <f aca="false">IF(OR(E724="",M724=0),"",MAX(0,E724-F724))</f>
        <v/>
      </c>
      <c r="H724" s="26" t="str">
        <f aca="false">IF(OR(E724="",M724=0),"",ROUND((F724*$N$719+G724*$O$719)*24,3))</f>
        <v/>
      </c>
      <c r="I724" s="27"/>
      <c r="K724" s="28" t="str">
        <f aca="false">IF(OR(M724=0,C724=""),"",IF(ISNUMBER(C724),MOD(C724,1),IFERROR(INDEX(القوائم!$B$1:$B$288,MATCH(TRIM(C724),القوائم!$A$1:$A$288,0)),IFERROR(MOD(TIMEVALUE(C724),1),""))))</f>
        <v/>
      </c>
      <c r="L724" s="28" t="str">
        <f aca="false">IF(OR(M724=0,D724=""),"",IF(ISNUMBER(D724),MOD(D724,1),IFERROR(INDEX(القوائم!$B$1:$B$288,MATCH(TRIM(D724),القوائم!$A$1:$A$288,0)),IFERROR(MOD(TIMEVALUE(D724),1),""))))</f>
        <v/>
      </c>
      <c r="M724" s="19" t="n">
        <f aca="false">$M$719</f>
        <v>1</v>
      </c>
      <c r="Q724" s="19" t="n">
        <f aca="false">IF(N(E731)&gt;0,1,0)</f>
        <v>0</v>
      </c>
      <c r="S724" s="0" t="n">
        <v>52</v>
      </c>
    </row>
    <row r="725" customFormat="false" ht="15" hidden="false" customHeight="false" outlineLevel="0" collapsed="false">
      <c r="A725" s="22" t="n">
        <f aca="false">IF(52&lt;=NW,WEEK_ONE+361,"")</f>
        <v>46379</v>
      </c>
      <c r="B725" s="23" t="str">
        <f aca="false">IF(A725="","",CHOOSE(WEEKDAY(A725,1),"الأحد","الاثنين","الثلاثاء","الأربعاء","الخميس","الجمعة","السبت"))</f>
        <v>الأربعاء</v>
      </c>
      <c r="C725" s="24"/>
      <c r="D725" s="24"/>
      <c r="E725" s="25" t="str">
        <f aca="false">IF(OR(M725=0,K725="",L725=""),"",MOD(L725-K725,1))</f>
        <v/>
      </c>
      <c r="F725" s="25" t="str">
        <f aca="false">IF(OR(E725="",M725=0),"",IF(WEEKDAY(A725,1)=6,E725,MIN(E725,MAX(0,MIN(IF(L725&lt;K725,L725+1,L725),OMR_OT_AT)-K725))))</f>
        <v/>
      </c>
      <c r="G725" s="25" t="str">
        <f aca="false">IF(OR(E725="",M725=0),"",MAX(0,E725-F725))</f>
        <v/>
      </c>
      <c r="H725" s="26" t="str">
        <f aca="false">IF(OR(E725="",M725=0),"",ROUND((F725*$N$719+G725*$O$719)*24,3))</f>
        <v/>
      </c>
      <c r="I725" s="27"/>
      <c r="K725" s="28" t="str">
        <f aca="false">IF(OR(M725=0,C725=""),"",IF(ISNUMBER(C725),MOD(C725,1),IFERROR(INDEX(القوائم!$B$1:$B$288,MATCH(TRIM(C725),القوائم!$A$1:$A$288,0)),IFERROR(MOD(TIMEVALUE(C725),1),""))))</f>
        <v/>
      </c>
      <c r="L725" s="28" t="str">
        <f aca="false">IF(OR(M725=0,D725=""),"",IF(ISNUMBER(D725),MOD(D725,1),IFERROR(INDEX(القوائم!$B$1:$B$288,MATCH(TRIM(D725),القوائم!$A$1:$A$288,0)),IFERROR(MOD(TIMEVALUE(D725),1),""))))</f>
        <v/>
      </c>
      <c r="M725" s="19" t="n">
        <f aca="false">$M$719</f>
        <v>1</v>
      </c>
      <c r="Q725" s="19" t="n">
        <f aca="false">IF(N(E731)&gt;0,1,0)</f>
        <v>0</v>
      </c>
      <c r="S725" s="0" t="n">
        <v>52</v>
      </c>
    </row>
    <row r="726" customFormat="false" ht="15" hidden="false" customHeight="false" outlineLevel="0" collapsed="false">
      <c r="A726" s="22" t="n">
        <f aca="false">IF(52&lt;=NW,WEEK_ONE+362,"")</f>
        <v>46380</v>
      </c>
      <c r="B726" s="23" t="str">
        <f aca="false">IF(A726="","",CHOOSE(WEEKDAY(A726,1),"الأحد","الاثنين","الثلاثاء","الأربعاء","الخميس","الجمعة","السبت"))</f>
        <v>الخميس</v>
      </c>
      <c r="C726" s="24"/>
      <c r="D726" s="24"/>
      <c r="E726" s="25" t="str">
        <f aca="false">IF(OR(M726=0,K726="",L726=""),"",MOD(L726-K726,1))</f>
        <v/>
      </c>
      <c r="F726" s="25" t="str">
        <f aca="false">IF(OR(E726="",M726=0),"",IF(WEEKDAY(A726,1)=6,E726,MIN(E726,MAX(0,MIN(IF(L726&lt;K726,L726+1,L726),OMR_OT_AT)-K726))))</f>
        <v/>
      </c>
      <c r="G726" s="25" t="str">
        <f aca="false">IF(OR(E726="",M726=0),"",MAX(0,E726-F726))</f>
        <v/>
      </c>
      <c r="H726" s="26" t="str">
        <f aca="false">IF(OR(E726="",M726=0),"",ROUND((F726*$N$719+G726*$O$719)*24,3))</f>
        <v/>
      </c>
      <c r="I726" s="27"/>
      <c r="K726" s="28" t="str">
        <f aca="false">IF(OR(M726=0,C726=""),"",IF(ISNUMBER(C726),MOD(C726,1),IFERROR(INDEX(القوائم!$B$1:$B$288,MATCH(TRIM(C726),القوائم!$A$1:$A$288,0)),IFERROR(MOD(TIMEVALUE(C726),1),""))))</f>
        <v/>
      </c>
      <c r="L726" s="28" t="str">
        <f aca="false">IF(OR(M726=0,D726=""),"",IF(ISNUMBER(D726),MOD(D726,1),IFERROR(INDEX(القوائم!$B$1:$B$288,MATCH(TRIM(D726),القوائم!$A$1:$A$288,0)),IFERROR(MOD(TIMEVALUE(D726),1),""))))</f>
        <v/>
      </c>
      <c r="M726" s="19" t="n">
        <f aca="false">$M$719</f>
        <v>1</v>
      </c>
      <c r="Q726" s="19" t="n">
        <f aca="false">IF(N(E731)&gt;0,1,0)</f>
        <v>0</v>
      </c>
      <c r="S726" s="0" t="n">
        <v>52</v>
      </c>
    </row>
    <row r="727" customFormat="false" ht="15" hidden="false" customHeight="false" outlineLevel="0" collapsed="false">
      <c r="A727" s="29" t="n">
        <f aca="false">IF(52&lt;=NW,WEEK_ONE+363,"")</f>
        <v>46381</v>
      </c>
      <c r="B727" s="30" t="str">
        <f aca="false">IF(A727="","",CHOOSE(WEEKDAY(A727,1),"الأحد","الاثنين","الثلاثاء","الأربعاء","الخميس","الجمعة","السبت"))</f>
        <v>الجمعة</v>
      </c>
      <c r="C727" s="24"/>
      <c r="D727" s="24"/>
      <c r="E727" s="25" t="str">
        <f aca="false">IF(OR(M727=0,K727="",L727=""),"",MOD(L727-K727,1))</f>
        <v/>
      </c>
      <c r="F727" s="25" t="str">
        <f aca="false">IF(OR(E727="",M727=0),"",IF(WEEKDAY(A727,1)=6,E727,MIN(E727,MAX(0,MIN(IF(L727&lt;K727,L727+1,L727),OMR_OT_AT)-K727))))</f>
        <v/>
      </c>
      <c r="G727" s="25" t="str">
        <f aca="false">IF(OR(E727="",M727=0),"",MAX(0,E727-F727))</f>
        <v/>
      </c>
      <c r="H727" s="26" t="str">
        <f aca="false">IF(OR(E727="",M727=0),"",ROUND((F727*$N$719+G727*$O$719)*24,3))</f>
        <v/>
      </c>
      <c r="I727" s="27"/>
      <c r="K727" s="28" t="str">
        <f aca="false">IF(OR(M727=0,C727=""),"",IF(ISNUMBER(C727),MOD(C727,1),IFERROR(INDEX(القوائم!$B$1:$B$288,MATCH(TRIM(C727),القوائم!$A$1:$A$288,0)),IFERROR(MOD(TIMEVALUE(C727),1),""))))</f>
        <v/>
      </c>
      <c r="L727" s="28" t="str">
        <f aca="false">IF(OR(M727=0,D727=""),"",IF(ISNUMBER(D727),MOD(D727,1),IFERROR(INDEX(القوائم!$B$1:$B$288,MATCH(TRIM(D727),القوائم!$A$1:$A$288,0)),IFERROR(MOD(TIMEVALUE(D727),1),""))))</f>
        <v/>
      </c>
      <c r="M727" s="19" t="n">
        <f aca="false">$M$719</f>
        <v>1</v>
      </c>
      <c r="Q727" s="19" t="n">
        <f aca="false">IF(N(E731)&gt;0,1,0)</f>
        <v>0</v>
      </c>
      <c r="S727" s="0" t="n">
        <v>52</v>
      </c>
    </row>
    <row r="728" customFormat="false" ht="15" hidden="false" customHeight="false" outlineLevel="0" collapsed="false">
      <c r="A728" s="31" t="str">
        <f aca="false">IF(M719=1,"ساعات تحميل الجبسمبورد بهالأسبوع ←","")</f>
        <v>ساعات تحميل الجبسمبورد بهالأسبوع ←</v>
      </c>
      <c r="B728" s="31"/>
      <c r="C728" s="31"/>
      <c r="D728" s="31"/>
      <c r="E728" s="32"/>
      <c r="F728" s="33" t="str">
        <f aca="false">IF(M719=1,"كل ساعة تحميل = "&amp;TEXT($P$719,"0.000")&amp;" دينار (منها "&amp;TEXT($N$719,"0.000")&amp;" محسوبة أصلاً بساعات اليوم)","")</f>
        <v>كل ساعة تحميل = 2.500 دينار (منها 1.250 محسوبة أصلاً بساعات اليوم)</v>
      </c>
      <c r="G728" s="33"/>
      <c r="H728" s="33"/>
      <c r="I728" s="33"/>
      <c r="M728" s="19" t="n">
        <f aca="false">$M$719</f>
        <v>1</v>
      </c>
      <c r="Q728" s="19" t="n">
        <f aca="false">IF(N(E731)&gt;0,1,0)</f>
        <v>0</v>
      </c>
      <c r="S728" s="0" t="n">
        <v>52</v>
      </c>
    </row>
    <row r="729" customFormat="false" ht="15" hidden="false" customHeight="false" outlineLevel="0" collapsed="false">
      <c r="A729" s="31" t="str">
        <f aca="false">IF(M719=1,"إكرامية الأسبوع (دينار) ←","")</f>
        <v>إكرامية الأسبوع (دينار) ←</v>
      </c>
      <c r="B729" s="31"/>
      <c r="C729" s="31"/>
      <c r="D729" s="31"/>
      <c r="E729" s="34"/>
      <c r="F729" s="35"/>
      <c r="G729" s="35"/>
      <c r="H729" s="35"/>
      <c r="I729" s="35"/>
      <c r="M729" s="19" t="n">
        <f aca="false">$M$719</f>
        <v>1</v>
      </c>
      <c r="Q729" s="19" t="n">
        <f aca="false">IF(N(E731)&gt;0,1,0)</f>
        <v>0</v>
      </c>
      <c r="S729" s="0" t="n">
        <v>52</v>
      </c>
    </row>
    <row r="730" customFormat="false" ht="36" hidden="false" customHeight="true" outlineLevel="0" collapsed="false">
      <c r="A730" s="36" t="str">
        <f aca="false">IF(M719=1,"المستحق النهائي للأسبوع","")</f>
        <v>المستحق النهائي للأسبوع</v>
      </c>
      <c r="B730" s="36"/>
      <c r="C730" s="36"/>
      <c r="D730" s="36"/>
      <c r="E730" s="36"/>
      <c r="F730" s="36"/>
      <c r="G730" s="36"/>
      <c r="H730" s="11" t="n">
        <f aca="false">IF(M719=1,ROUND(N($V$719)+N(E728)*($P$719-$N$719)+N(E729),3),"")</f>
        <v>0</v>
      </c>
      <c r="I730" s="37"/>
      <c r="M730" s="19" t="n">
        <f aca="false">$M$719</f>
        <v>1</v>
      </c>
      <c r="Q730" s="19" t="n">
        <f aca="false">IF(N(E731)&gt;0,1,0)</f>
        <v>0</v>
      </c>
      <c r="S730" s="0" t="n">
        <v>52</v>
      </c>
      <c r="T730" s="0" t="n">
        <v>1</v>
      </c>
    </row>
    <row r="731" customFormat="false" ht="25.5" hidden="false" customHeight="true" outlineLevel="0" collapsed="false">
      <c r="A731" s="31" t="str">
        <f aca="false">IF(M719=1,"المدفوع (دينار) ←","")</f>
        <v>المدفوع (دينار) ←</v>
      </c>
      <c r="B731" s="31"/>
      <c r="C731" s="31"/>
      <c r="D731" s="31"/>
      <c r="E731" s="34"/>
      <c r="F731" s="38" t="str">
        <f aca="false">IF(M719=1,IF(N(E731)&gt;0,"✔ انقبض — الأسبوع مقفول","⏳ لسا ما انقبض"),"")</f>
        <v>⏳ لسا ما انقبض</v>
      </c>
      <c r="G731" s="38"/>
      <c r="H731" s="38"/>
      <c r="I731" s="38"/>
      <c r="M731" s="19" t="n">
        <f aca="false">$M$719</f>
        <v>1</v>
      </c>
      <c r="Q731" s="19" t="n">
        <f aca="false">IF(N(E731)&gt;0,1,0)</f>
        <v>0</v>
      </c>
      <c r="S731" s="0" t="n">
        <v>52</v>
      </c>
    </row>
    <row r="732" customFormat="false" ht="9.75" hidden="false" customHeight="true" outlineLevel="0" collapsed="false">
      <c r="M732" s="19" t="n">
        <f aca="false">$M$719</f>
        <v>1</v>
      </c>
      <c r="Q732" s="19" t="n">
        <f aca="false">IF(N(E731)&gt;0,1,0)</f>
        <v>0</v>
      </c>
      <c r="S732" s="0" t="n">
        <v>52</v>
      </c>
      <c r="T732" s="0" t="n">
        <v>2</v>
      </c>
    </row>
    <row r="733" customFormat="false" ht="33.75" hidden="false" customHeight="true" outlineLevel="0" collapsed="false">
      <c r="A733" s="17" t="str">
        <f aca="false">IF(53&lt;=NW,TEXT(DAY(WEEK_ONE+364),"00")&amp;"/"&amp;TEXT(MONTH(WEEK_ONE+364),"00")&amp;"/"&amp;YEAR(WEEK_ONE+364)&amp;"  -  "&amp;TEXT(DAY(WEEK_ONE+370),"00")&amp;"/"&amp;TEXT(MONTH(WEEK_ONE+370),"00")&amp;"/"&amp;YEAR(WEEK_ONE+370)&amp;"   ·   الأسبوع 53"&amp;IF(53&lt;START_O,"   (قبل أسبوع البداية — ما بينحسب)",""),"ما في أسبوع 53 هالسنة")</f>
        <v>ما في أسبوع 53 هالسنة</v>
      </c>
      <c r="B733" s="17"/>
      <c r="C733" s="17"/>
      <c r="D733" s="17"/>
      <c r="E733" s="17"/>
      <c r="F733" s="17"/>
      <c r="G733" s="17"/>
      <c r="H733" s="17"/>
      <c r="I733" s="17"/>
      <c r="L733" s="18" t="str">
        <f aca="false">IF(53&lt;=NW,WEEK_ONE+370,"")</f>
        <v/>
      </c>
      <c r="M733" s="19" t="n">
        <f aca="false">IF(AND(53&lt;=NW,53&gt;=START_O),1,0)</f>
        <v>0</v>
      </c>
      <c r="N733" s="20" t="n">
        <f aca="false">IFERROR(INDEX(RT_OMR,MATCH(L733,RT_K,1)),INDEX(RT_OMR,1))</f>
        <v>1.25</v>
      </c>
      <c r="O733" s="20" t="n">
        <f aca="false">IFERROR(INDEX(RT_OT,MATCH(L733,RT_K,1)),INDEX(RT_OT,1))</f>
        <v>1.5</v>
      </c>
      <c r="P733" s="20" t="n">
        <f aca="false">IFERROR(INDEX(RT_GYP,MATCH(L733,RT_K,1)),INDEX(RT_GYP,1))</f>
        <v>2.5</v>
      </c>
      <c r="Q733" s="19" t="n">
        <f aca="false">IF(N(E745)&gt;0,1,0)</f>
        <v>0</v>
      </c>
      <c r="R733" s="0" t="n">
        <v>53</v>
      </c>
      <c r="S733" s="0" t="n">
        <v>53</v>
      </c>
      <c r="U733" s="19" t="n">
        <f aca="false">IF(M733=1,SUM(E735:E741),0)</f>
        <v>0</v>
      </c>
      <c r="V733" s="19" t="n">
        <f aca="false">SUM(H735:H741)</f>
        <v>0</v>
      </c>
    </row>
    <row r="734" customFormat="false" ht="39.75" hidden="false" customHeight="true" outlineLevel="0" collapsed="false">
      <c r="A734" s="21" t="s">
        <v>18</v>
      </c>
      <c r="B734" s="21" t="s">
        <v>19</v>
      </c>
      <c r="C734" s="21" t="s">
        <v>20</v>
      </c>
      <c r="D734" s="21" t="s">
        <v>21</v>
      </c>
      <c r="E734" s="21" t="s">
        <v>22</v>
      </c>
      <c r="F734" s="21" t="s">
        <v>23</v>
      </c>
      <c r="G734" s="21" t="s">
        <v>24</v>
      </c>
      <c r="H734" s="21" t="s">
        <v>25</v>
      </c>
      <c r="I734" s="21" t="s">
        <v>26</v>
      </c>
      <c r="M734" s="19" t="n">
        <f aca="false">$M$733</f>
        <v>0</v>
      </c>
      <c r="Q734" s="19" t="n">
        <f aca="false">IF(N(E745)&gt;0,1,0)</f>
        <v>0</v>
      </c>
      <c r="S734" s="0" t="n">
        <v>53</v>
      </c>
    </row>
    <row r="735" customFormat="false" ht="15" hidden="false" customHeight="false" outlineLevel="0" collapsed="false">
      <c r="A735" s="22" t="str">
        <f aca="false">IF(53&lt;=NW,WEEK_ONE+364,"")</f>
        <v/>
      </c>
      <c r="B735" s="23" t="str">
        <f aca="false">IF(A735="","",CHOOSE(WEEKDAY(A735,1),"الأحد","الاثنين","الثلاثاء","الأربعاء","الخميس","الجمعة","السبت"))</f>
        <v/>
      </c>
      <c r="C735" s="24"/>
      <c r="D735" s="24"/>
      <c r="E735" s="25" t="str">
        <f aca="false">IF(OR(M735=0,K735="",L735=""),"",MOD(L735-K735,1))</f>
        <v/>
      </c>
      <c r="F735" s="25" t="str">
        <f aca="false">IF(OR(E735="",M735=0),"",IF(WEEKDAY(A735,1)=6,E735,MIN(E735,MAX(0,MIN(IF(L735&lt;K735,L735+1,L735),OMR_OT_AT)-K735))))</f>
        <v/>
      </c>
      <c r="G735" s="25" t="str">
        <f aca="false">IF(OR(E735="",M735=0),"",MAX(0,E735-F735))</f>
        <v/>
      </c>
      <c r="H735" s="26" t="str">
        <f aca="false">IF(OR(E735="",M735=0),"",ROUND((F735*$N$733+G735*$O$733)*24,3))</f>
        <v/>
      </c>
      <c r="I735" s="27"/>
      <c r="K735" s="28" t="str">
        <f aca="false">IF(OR(M735=0,C735=""),"",IF(ISNUMBER(C735),MOD(C735,1),IFERROR(INDEX(القوائم!$B$1:$B$288,MATCH(TRIM(C735),القوائم!$A$1:$A$288,0)),IFERROR(MOD(TIMEVALUE(C735),1),""))))</f>
        <v/>
      </c>
      <c r="L735" s="28" t="str">
        <f aca="false">IF(OR(M735=0,D735=""),"",IF(ISNUMBER(D735),MOD(D735,1),IFERROR(INDEX(القوائم!$B$1:$B$288,MATCH(TRIM(D735),القوائم!$A$1:$A$288,0)),IFERROR(MOD(TIMEVALUE(D735),1),""))))</f>
        <v/>
      </c>
      <c r="M735" s="19" t="n">
        <f aca="false">$M$733</f>
        <v>0</v>
      </c>
      <c r="Q735" s="19" t="n">
        <f aca="false">IF(N(E745)&gt;0,1,0)</f>
        <v>0</v>
      </c>
      <c r="S735" s="0" t="n">
        <v>53</v>
      </c>
    </row>
    <row r="736" customFormat="false" ht="15" hidden="false" customHeight="false" outlineLevel="0" collapsed="false">
      <c r="A736" s="22" t="str">
        <f aca="false">IF(53&lt;=NW,WEEK_ONE+365,"")</f>
        <v/>
      </c>
      <c r="B736" s="23" t="str">
        <f aca="false">IF(A736="","",CHOOSE(WEEKDAY(A736,1),"الأحد","الاثنين","الثلاثاء","الأربعاء","الخميس","الجمعة","السبت"))</f>
        <v/>
      </c>
      <c r="C736" s="24"/>
      <c r="D736" s="24"/>
      <c r="E736" s="25" t="str">
        <f aca="false">IF(OR(M736=0,K736="",L736=""),"",MOD(L736-K736,1))</f>
        <v/>
      </c>
      <c r="F736" s="25" t="str">
        <f aca="false">IF(OR(E736="",M736=0),"",IF(WEEKDAY(A736,1)=6,E736,MIN(E736,MAX(0,MIN(IF(L736&lt;K736,L736+1,L736),OMR_OT_AT)-K736))))</f>
        <v/>
      </c>
      <c r="G736" s="25" t="str">
        <f aca="false">IF(OR(E736="",M736=0),"",MAX(0,E736-F736))</f>
        <v/>
      </c>
      <c r="H736" s="26" t="str">
        <f aca="false">IF(OR(E736="",M736=0),"",ROUND((F736*$N$733+G736*$O$733)*24,3))</f>
        <v/>
      </c>
      <c r="I736" s="27"/>
      <c r="K736" s="28" t="str">
        <f aca="false">IF(OR(M736=0,C736=""),"",IF(ISNUMBER(C736),MOD(C736,1),IFERROR(INDEX(القوائم!$B$1:$B$288,MATCH(TRIM(C736),القوائم!$A$1:$A$288,0)),IFERROR(MOD(TIMEVALUE(C736),1),""))))</f>
        <v/>
      </c>
      <c r="L736" s="28" t="str">
        <f aca="false">IF(OR(M736=0,D736=""),"",IF(ISNUMBER(D736),MOD(D736,1),IFERROR(INDEX(القوائم!$B$1:$B$288,MATCH(TRIM(D736),القوائم!$A$1:$A$288,0)),IFERROR(MOD(TIMEVALUE(D736),1),""))))</f>
        <v/>
      </c>
      <c r="M736" s="19" t="n">
        <f aca="false">$M$733</f>
        <v>0</v>
      </c>
      <c r="Q736" s="19" t="n">
        <f aca="false">IF(N(E745)&gt;0,1,0)</f>
        <v>0</v>
      </c>
      <c r="S736" s="0" t="n">
        <v>53</v>
      </c>
    </row>
    <row r="737" customFormat="false" ht="15" hidden="false" customHeight="false" outlineLevel="0" collapsed="false">
      <c r="A737" s="22" t="str">
        <f aca="false">IF(53&lt;=NW,WEEK_ONE+366,"")</f>
        <v/>
      </c>
      <c r="B737" s="23" t="str">
        <f aca="false">IF(A737="","",CHOOSE(WEEKDAY(A737,1),"الأحد","الاثنين","الثلاثاء","الأربعاء","الخميس","الجمعة","السبت"))</f>
        <v/>
      </c>
      <c r="C737" s="24"/>
      <c r="D737" s="24"/>
      <c r="E737" s="25" t="str">
        <f aca="false">IF(OR(M737=0,K737="",L737=""),"",MOD(L737-K737,1))</f>
        <v/>
      </c>
      <c r="F737" s="25" t="str">
        <f aca="false">IF(OR(E737="",M737=0),"",IF(WEEKDAY(A737,1)=6,E737,MIN(E737,MAX(0,MIN(IF(L737&lt;K737,L737+1,L737),OMR_OT_AT)-K737))))</f>
        <v/>
      </c>
      <c r="G737" s="25" t="str">
        <f aca="false">IF(OR(E737="",M737=0),"",MAX(0,E737-F737))</f>
        <v/>
      </c>
      <c r="H737" s="26" t="str">
        <f aca="false">IF(OR(E737="",M737=0),"",ROUND((F737*$N$733+G737*$O$733)*24,3))</f>
        <v/>
      </c>
      <c r="I737" s="27"/>
      <c r="K737" s="28" t="str">
        <f aca="false">IF(OR(M737=0,C737=""),"",IF(ISNUMBER(C737),MOD(C737,1),IFERROR(INDEX(القوائم!$B$1:$B$288,MATCH(TRIM(C737),القوائم!$A$1:$A$288,0)),IFERROR(MOD(TIMEVALUE(C737),1),""))))</f>
        <v/>
      </c>
      <c r="L737" s="28" t="str">
        <f aca="false">IF(OR(M737=0,D737=""),"",IF(ISNUMBER(D737),MOD(D737,1),IFERROR(INDEX(القوائم!$B$1:$B$288,MATCH(TRIM(D737),القوائم!$A$1:$A$288,0)),IFERROR(MOD(TIMEVALUE(D737),1),""))))</f>
        <v/>
      </c>
      <c r="M737" s="19" t="n">
        <f aca="false">$M$733</f>
        <v>0</v>
      </c>
      <c r="Q737" s="19" t="n">
        <f aca="false">IF(N(E745)&gt;0,1,0)</f>
        <v>0</v>
      </c>
      <c r="S737" s="0" t="n">
        <v>53</v>
      </c>
    </row>
    <row r="738" customFormat="false" ht="15" hidden="false" customHeight="false" outlineLevel="0" collapsed="false">
      <c r="A738" s="22" t="str">
        <f aca="false">IF(53&lt;=NW,WEEK_ONE+367,"")</f>
        <v/>
      </c>
      <c r="B738" s="23" t="str">
        <f aca="false">IF(A738="","",CHOOSE(WEEKDAY(A738,1),"الأحد","الاثنين","الثلاثاء","الأربعاء","الخميس","الجمعة","السبت"))</f>
        <v/>
      </c>
      <c r="C738" s="24"/>
      <c r="D738" s="24"/>
      <c r="E738" s="25" t="str">
        <f aca="false">IF(OR(M738=0,K738="",L738=""),"",MOD(L738-K738,1))</f>
        <v/>
      </c>
      <c r="F738" s="25" t="str">
        <f aca="false">IF(OR(E738="",M738=0),"",IF(WEEKDAY(A738,1)=6,E738,MIN(E738,MAX(0,MIN(IF(L738&lt;K738,L738+1,L738),OMR_OT_AT)-K738))))</f>
        <v/>
      </c>
      <c r="G738" s="25" t="str">
        <f aca="false">IF(OR(E738="",M738=0),"",MAX(0,E738-F738))</f>
        <v/>
      </c>
      <c r="H738" s="26" t="str">
        <f aca="false">IF(OR(E738="",M738=0),"",ROUND((F738*$N$733+G738*$O$733)*24,3))</f>
        <v/>
      </c>
      <c r="I738" s="27"/>
      <c r="K738" s="28" t="str">
        <f aca="false">IF(OR(M738=0,C738=""),"",IF(ISNUMBER(C738),MOD(C738,1),IFERROR(INDEX(القوائم!$B$1:$B$288,MATCH(TRIM(C738),القوائم!$A$1:$A$288,0)),IFERROR(MOD(TIMEVALUE(C738),1),""))))</f>
        <v/>
      </c>
      <c r="L738" s="28" t="str">
        <f aca="false">IF(OR(M738=0,D738=""),"",IF(ISNUMBER(D738),MOD(D738,1),IFERROR(INDEX(القوائم!$B$1:$B$288,MATCH(TRIM(D738),القوائم!$A$1:$A$288,0)),IFERROR(MOD(TIMEVALUE(D738),1),""))))</f>
        <v/>
      </c>
      <c r="M738" s="19" t="n">
        <f aca="false">$M$733</f>
        <v>0</v>
      </c>
      <c r="Q738" s="19" t="n">
        <f aca="false">IF(N(E745)&gt;0,1,0)</f>
        <v>0</v>
      </c>
      <c r="S738" s="0" t="n">
        <v>53</v>
      </c>
    </row>
    <row r="739" customFormat="false" ht="15" hidden="false" customHeight="false" outlineLevel="0" collapsed="false">
      <c r="A739" s="22" t="str">
        <f aca="false">IF(53&lt;=NW,WEEK_ONE+368,"")</f>
        <v/>
      </c>
      <c r="B739" s="23" t="str">
        <f aca="false">IF(A739="","",CHOOSE(WEEKDAY(A739,1),"الأحد","الاثنين","الثلاثاء","الأربعاء","الخميس","الجمعة","السبت"))</f>
        <v/>
      </c>
      <c r="C739" s="24"/>
      <c r="D739" s="24"/>
      <c r="E739" s="25" t="str">
        <f aca="false">IF(OR(M739=0,K739="",L739=""),"",MOD(L739-K739,1))</f>
        <v/>
      </c>
      <c r="F739" s="25" t="str">
        <f aca="false">IF(OR(E739="",M739=0),"",IF(WEEKDAY(A739,1)=6,E739,MIN(E739,MAX(0,MIN(IF(L739&lt;K739,L739+1,L739),OMR_OT_AT)-K739))))</f>
        <v/>
      </c>
      <c r="G739" s="25" t="str">
        <f aca="false">IF(OR(E739="",M739=0),"",MAX(0,E739-F739))</f>
        <v/>
      </c>
      <c r="H739" s="26" t="str">
        <f aca="false">IF(OR(E739="",M739=0),"",ROUND((F739*$N$733+G739*$O$733)*24,3))</f>
        <v/>
      </c>
      <c r="I739" s="27"/>
      <c r="K739" s="28" t="str">
        <f aca="false">IF(OR(M739=0,C739=""),"",IF(ISNUMBER(C739),MOD(C739,1),IFERROR(INDEX(القوائم!$B$1:$B$288,MATCH(TRIM(C739),القوائم!$A$1:$A$288,0)),IFERROR(MOD(TIMEVALUE(C739),1),""))))</f>
        <v/>
      </c>
      <c r="L739" s="28" t="str">
        <f aca="false">IF(OR(M739=0,D739=""),"",IF(ISNUMBER(D739),MOD(D739,1),IFERROR(INDEX(القوائم!$B$1:$B$288,MATCH(TRIM(D739),القوائم!$A$1:$A$288,0)),IFERROR(MOD(TIMEVALUE(D739),1),""))))</f>
        <v/>
      </c>
      <c r="M739" s="19" t="n">
        <f aca="false">$M$733</f>
        <v>0</v>
      </c>
      <c r="Q739" s="19" t="n">
        <f aca="false">IF(N(E745)&gt;0,1,0)</f>
        <v>0</v>
      </c>
      <c r="S739" s="0" t="n">
        <v>53</v>
      </c>
    </row>
    <row r="740" customFormat="false" ht="15" hidden="false" customHeight="false" outlineLevel="0" collapsed="false">
      <c r="A740" s="22" t="str">
        <f aca="false">IF(53&lt;=NW,WEEK_ONE+369,"")</f>
        <v/>
      </c>
      <c r="B740" s="23" t="str">
        <f aca="false">IF(A740="","",CHOOSE(WEEKDAY(A740,1),"الأحد","الاثنين","الثلاثاء","الأربعاء","الخميس","الجمعة","السبت"))</f>
        <v/>
      </c>
      <c r="C740" s="24"/>
      <c r="D740" s="24"/>
      <c r="E740" s="25" t="str">
        <f aca="false">IF(OR(M740=0,K740="",L740=""),"",MOD(L740-K740,1))</f>
        <v/>
      </c>
      <c r="F740" s="25" t="str">
        <f aca="false">IF(OR(E740="",M740=0),"",IF(WEEKDAY(A740,1)=6,E740,MIN(E740,MAX(0,MIN(IF(L740&lt;K740,L740+1,L740),OMR_OT_AT)-K740))))</f>
        <v/>
      </c>
      <c r="G740" s="25" t="str">
        <f aca="false">IF(OR(E740="",M740=0),"",MAX(0,E740-F740))</f>
        <v/>
      </c>
      <c r="H740" s="26" t="str">
        <f aca="false">IF(OR(E740="",M740=0),"",ROUND((F740*$N$733+G740*$O$733)*24,3))</f>
        <v/>
      </c>
      <c r="I740" s="27"/>
      <c r="K740" s="28" t="str">
        <f aca="false">IF(OR(M740=0,C740=""),"",IF(ISNUMBER(C740),MOD(C740,1),IFERROR(INDEX(القوائم!$B$1:$B$288,MATCH(TRIM(C740),القوائم!$A$1:$A$288,0)),IFERROR(MOD(TIMEVALUE(C740),1),""))))</f>
        <v/>
      </c>
      <c r="L740" s="28" t="str">
        <f aca="false">IF(OR(M740=0,D740=""),"",IF(ISNUMBER(D740),MOD(D740,1),IFERROR(INDEX(القوائم!$B$1:$B$288,MATCH(TRIM(D740),القوائم!$A$1:$A$288,0)),IFERROR(MOD(TIMEVALUE(D740),1),""))))</f>
        <v/>
      </c>
      <c r="M740" s="19" t="n">
        <f aca="false">$M$733</f>
        <v>0</v>
      </c>
      <c r="Q740" s="19" t="n">
        <f aca="false">IF(N(E745)&gt;0,1,0)</f>
        <v>0</v>
      </c>
      <c r="S740" s="0" t="n">
        <v>53</v>
      </c>
    </row>
    <row r="741" customFormat="false" ht="15" hidden="false" customHeight="false" outlineLevel="0" collapsed="false">
      <c r="A741" s="29" t="str">
        <f aca="false">IF(53&lt;=NW,WEEK_ONE+370,"")</f>
        <v/>
      </c>
      <c r="B741" s="30" t="str">
        <f aca="false">IF(A741="","",CHOOSE(WEEKDAY(A741,1),"الأحد","الاثنين","الثلاثاء","الأربعاء","الخميس","الجمعة","السبت"))</f>
        <v/>
      </c>
      <c r="C741" s="24"/>
      <c r="D741" s="24"/>
      <c r="E741" s="25" t="str">
        <f aca="false">IF(OR(M741=0,K741="",L741=""),"",MOD(L741-K741,1))</f>
        <v/>
      </c>
      <c r="F741" s="25" t="str">
        <f aca="false">IF(OR(E741="",M741=0),"",IF(WEEKDAY(A741,1)=6,E741,MIN(E741,MAX(0,MIN(IF(L741&lt;K741,L741+1,L741),OMR_OT_AT)-K741))))</f>
        <v/>
      </c>
      <c r="G741" s="25" t="str">
        <f aca="false">IF(OR(E741="",M741=0),"",MAX(0,E741-F741))</f>
        <v/>
      </c>
      <c r="H741" s="26" t="str">
        <f aca="false">IF(OR(E741="",M741=0),"",ROUND((F741*$N$733+G741*$O$733)*24,3))</f>
        <v/>
      </c>
      <c r="I741" s="27"/>
      <c r="K741" s="28" t="str">
        <f aca="false">IF(OR(M741=0,C741=""),"",IF(ISNUMBER(C741),MOD(C741,1),IFERROR(INDEX(القوائم!$B$1:$B$288,MATCH(TRIM(C741),القوائم!$A$1:$A$288,0)),IFERROR(MOD(TIMEVALUE(C741),1),""))))</f>
        <v/>
      </c>
      <c r="L741" s="28" t="str">
        <f aca="false">IF(OR(M741=0,D741=""),"",IF(ISNUMBER(D741),MOD(D741,1),IFERROR(INDEX(القوائم!$B$1:$B$288,MATCH(TRIM(D741),القوائم!$A$1:$A$288,0)),IFERROR(MOD(TIMEVALUE(D741),1),""))))</f>
        <v/>
      </c>
      <c r="M741" s="19" t="n">
        <f aca="false">$M$733</f>
        <v>0</v>
      </c>
      <c r="Q741" s="19" t="n">
        <f aca="false">IF(N(E745)&gt;0,1,0)</f>
        <v>0</v>
      </c>
      <c r="S741" s="0" t="n">
        <v>53</v>
      </c>
    </row>
    <row r="742" customFormat="false" ht="15" hidden="false" customHeight="false" outlineLevel="0" collapsed="false">
      <c r="A742" s="31" t="str">
        <f aca="false">IF(M733=1,"ساعات تحميل الجبسمبورد بهالأسبوع ←","")</f>
        <v/>
      </c>
      <c r="B742" s="31"/>
      <c r="C742" s="31"/>
      <c r="D742" s="31"/>
      <c r="E742" s="32"/>
      <c r="F742" s="33" t="str">
        <f aca="false">IF(M733=1,"كل ساعة تحميل = "&amp;TEXT($P$733,"0.000")&amp;" دينار (منها "&amp;TEXT($N$733,"0.000")&amp;" محسوبة أصلاً بساعات اليوم)","")</f>
        <v/>
      </c>
      <c r="G742" s="33"/>
      <c r="H742" s="33"/>
      <c r="I742" s="33"/>
      <c r="M742" s="19" t="n">
        <f aca="false">$M$733</f>
        <v>0</v>
      </c>
      <c r="Q742" s="19" t="n">
        <f aca="false">IF(N(E745)&gt;0,1,0)</f>
        <v>0</v>
      </c>
      <c r="S742" s="0" t="n">
        <v>53</v>
      </c>
    </row>
    <row r="743" customFormat="false" ht="15" hidden="false" customHeight="false" outlineLevel="0" collapsed="false">
      <c r="A743" s="31" t="str">
        <f aca="false">IF(M733=1,"إكرامية الأسبوع (دينار) ←","")</f>
        <v/>
      </c>
      <c r="B743" s="31"/>
      <c r="C743" s="31"/>
      <c r="D743" s="31"/>
      <c r="E743" s="34"/>
      <c r="F743" s="35"/>
      <c r="G743" s="35"/>
      <c r="H743" s="35"/>
      <c r="I743" s="35"/>
      <c r="M743" s="19" t="n">
        <f aca="false">$M$733</f>
        <v>0</v>
      </c>
      <c r="Q743" s="19" t="n">
        <f aca="false">IF(N(E745)&gt;0,1,0)</f>
        <v>0</v>
      </c>
      <c r="S743" s="0" t="n">
        <v>53</v>
      </c>
    </row>
    <row r="744" customFormat="false" ht="36" hidden="false" customHeight="true" outlineLevel="0" collapsed="false">
      <c r="A744" s="36" t="str">
        <f aca="false">IF(M733=1,"المستحق النهائي للأسبوع","")</f>
        <v/>
      </c>
      <c r="B744" s="36"/>
      <c r="C744" s="36"/>
      <c r="D744" s="36"/>
      <c r="E744" s="36"/>
      <c r="F744" s="36"/>
      <c r="G744" s="36"/>
      <c r="H744" s="11" t="str">
        <f aca="false">IF(M733=1,ROUND(N($V$733)+N(E742)*($P$733-$N$733)+N(E743),3),"")</f>
        <v/>
      </c>
      <c r="I744" s="37"/>
      <c r="M744" s="19" t="n">
        <f aca="false">$M$733</f>
        <v>0</v>
      </c>
      <c r="Q744" s="19" t="n">
        <f aca="false">IF(N(E745)&gt;0,1,0)</f>
        <v>0</v>
      </c>
      <c r="S744" s="0" t="n">
        <v>53</v>
      </c>
      <c r="T744" s="0" t="n">
        <v>1</v>
      </c>
    </row>
    <row r="745" customFormat="false" ht="25.5" hidden="false" customHeight="true" outlineLevel="0" collapsed="false">
      <c r="A745" s="31" t="str">
        <f aca="false">IF(M733=1,"المدفوع (دينار) ←","")</f>
        <v/>
      </c>
      <c r="B745" s="31"/>
      <c r="C745" s="31"/>
      <c r="D745" s="31"/>
      <c r="E745" s="34"/>
      <c r="F745" s="38" t="str">
        <f aca="false">IF(M733=1,IF(N(E745)&gt;0,"✔ انقبض — الأسبوع مقفول","⏳ لسا ما انقبض"),"")</f>
        <v/>
      </c>
      <c r="G745" s="38"/>
      <c r="H745" s="38"/>
      <c r="I745" s="38"/>
      <c r="M745" s="19" t="n">
        <f aca="false">$M$733</f>
        <v>0</v>
      </c>
      <c r="Q745" s="19" t="n">
        <f aca="false">IF(N(E745)&gt;0,1,0)</f>
        <v>0</v>
      </c>
      <c r="S745" s="0" t="n">
        <v>53</v>
      </c>
    </row>
    <row r="746" customFormat="false" ht="9.75" hidden="false" customHeight="true" outlineLevel="0" collapsed="false">
      <c r="M746" s="19" t="n">
        <f aca="false">$M$733</f>
        <v>0</v>
      </c>
      <c r="Q746" s="19" t="n">
        <f aca="false">IF(N(E745)&gt;0,1,0)</f>
        <v>0</v>
      </c>
      <c r="S746" s="0" t="n">
        <v>53</v>
      </c>
      <c r="T746" s="0" t="n">
        <v>2</v>
      </c>
    </row>
  </sheetData>
  <sheetProtection sheet="true" formatColumns="false" formatRows="false"/>
  <mergeCells count="426">
    <mergeCell ref="A1:I1"/>
    <mergeCell ref="A3:I3"/>
    <mergeCell ref="A5:I5"/>
    <mergeCell ref="A14:D14"/>
    <mergeCell ref="F14:I14"/>
    <mergeCell ref="A15:D15"/>
    <mergeCell ref="F15:I15"/>
    <mergeCell ref="A16:G16"/>
    <mergeCell ref="A17:D17"/>
    <mergeCell ref="F17:I17"/>
    <mergeCell ref="A19:I19"/>
    <mergeCell ref="A28:D28"/>
    <mergeCell ref="F28:I28"/>
    <mergeCell ref="A29:D29"/>
    <mergeCell ref="F29:I29"/>
    <mergeCell ref="A30:G30"/>
    <mergeCell ref="A31:D31"/>
    <mergeCell ref="F31:I31"/>
    <mergeCell ref="A33:I33"/>
    <mergeCell ref="A42:D42"/>
    <mergeCell ref="F42:I42"/>
    <mergeCell ref="A43:D43"/>
    <mergeCell ref="F43:I43"/>
    <mergeCell ref="A44:G44"/>
    <mergeCell ref="A45:D45"/>
    <mergeCell ref="F45:I45"/>
    <mergeCell ref="A47:I47"/>
    <mergeCell ref="A56:D56"/>
    <mergeCell ref="F56:I56"/>
    <mergeCell ref="A57:D57"/>
    <mergeCell ref="F57:I57"/>
    <mergeCell ref="A58:G58"/>
    <mergeCell ref="A59:D59"/>
    <mergeCell ref="F59:I59"/>
    <mergeCell ref="A61:I61"/>
    <mergeCell ref="A70:D70"/>
    <mergeCell ref="F70:I70"/>
    <mergeCell ref="A71:D71"/>
    <mergeCell ref="F71:I71"/>
    <mergeCell ref="A72:G72"/>
    <mergeCell ref="A73:D73"/>
    <mergeCell ref="F73:I73"/>
    <mergeCell ref="A75:I75"/>
    <mergeCell ref="A84:D84"/>
    <mergeCell ref="F84:I84"/>
    <mergeCell ref="A85:D85"/>
    <mergeCell ref="F85:I85"/>
    <mergeCell ref="A86:G86"/>
    <mergeCell ref="A87:D87"/>
    <mergeCell ref="F87:I87"/>
    <mergeCell ref="A89:I89"/>
    <mergeCell ref="A98:D98"/>
    <mergeCell ref="F98:I98"/>
    <mergeCell ref="A99:D99"/>
    <mergeCell ref="F99:I99"/>
    <mergeCell ref="A100:G100"/>
    <mergeCell ref="A101:D101"/>
    <mergeCell ref="F101:I101"/>
    <mergeCell ref="A103:I103"/>
    <mergeCell ref="A112:D112"/>
    <mergeCell ref="F112:I112"/>
    <mergeCell ref="A113:D113"/>
    <mergeCell ref="F113:I113"/>
    <mergeCell ref="A114:G114"/>
    <mergeCell ref="A115:D115"/>
    <mergeCell ref="F115:I115"/>
    <mergeCell ref="A117:I117"/>
    <mergeCell ref="A126:D126"/>
    <mergeCell ref="F126:I126"/>
    <mergeCell ref="A127:D127"/>
    <mergeCell ref="F127:I127"/>
    <mergeCell ref="A128:G128"/>
    <mergeCell ref="A129:D129"/>
    <mergeCell ref="F129:I129"/>
    <mergeCell ref="A131:I131"/>
    <mergeCell ref="A140:D140"/>
    <mergeCell ref="F140:I140"/>
    <mergeCell ref="A141:D141"/>
    <mergeCell ref="F141:I141"/>
    <mergeCell ref="A142:G142"/>
    <mergeCell ref="A143:D143"/>
    <mergeCell ref="F143:I143"/>
    <mergeCell ref="A145:I145"/>
    <mergeCell ref="A154:D154"/>
    <mergeCell ref="F154:I154"/>
    <mergeCell ref="A155:D155"/>
    <mergeCell ref="F155:I155"/>
    <mergeCell ref="A156:G156"/>
    <mergeCell ref="A157:D157"/>
    <mergeCell ref="F157:I157"/>
    <mergeCell ref="A159:I159"/>
    <mergeCell ref="A168:D168"/>
    <mergeCell ref="F168:I168"/>
    <mergeCell ref="A169:D169"/>
    <mergeCell ref="F169:I169"/>
    <mergeCell ref="A170:G170"/>
    <mergeCell ref="A171:D171"/>
    <mergeCell ref="F171:I171"/>
    <mergeCell ref="A173:I173"/>
    <mergeCell ref="A182:D182"/>
    <mergeCell ref="F182:I182"/>
    <mergeCell ref="A183:D183"/>
    <mergeCell ref="F183:I183"/>
    <mergeCell ref="A184:G184"/>
    <mergeCell ref="A185:D185"/>
    <mergeCell ref="F185:I185"/>
    <mergeCell ref="A187:I187"/>
    <mergeCell ref="A196:D196"/>
    <mergeCell ref="F196:I196"/>
    <mergeCell ref="A197:D197"/>
    <mergeCell ref="F197:I197"/>
    <mergeCell ref="A198:G198"/>
    <mergeCell ref="A199:D199"/>
    <mergeCell ref="F199:I199"/>
    <mergeCell ref="A201:I201"/>
    <mergeCell ref="A210:D210"/>
    <mergeCell ref="F210:I210"/>
    <mergeCell ref="A211:D211"/>
    <mergeCell ref="F211:I211"/>
    <mergeCell ref="A212:G212"/>
    <mergeCell ref="A213:D213"/>
    <mergeCell ref="F213:I213"/>
    <mergeCell ref="A215:I215"/>
    <mergeCell ref="A224:D224"/>
    <mergeCell ref="F224:I224"/>
    <mergeCell ref="A225:D225"/>
    <mergeCell ref="F225:I225"/>
    <mergeCell ref="A226:G226"/>
    <mergeCell ref="A227:D227"/>
    <mergeCell ref="F227:I227"/>
    <mergeCell ref="A229:I229"/>
    <mergeCell ref="A238:D238"/>
    <mergeCell ref="F238:I238"/>
    <mergeCell ref="A239:D239"/>
    <mergeCell ref="F239:I239"/>
    <mergeCell ref="A240:G240"/>
    <mergeCell ref="A241:D241"/>
    <mergeCell ref="F241:I241"/>
    <mergeCell ref="A243:I243"/>
    <mergeCell ref="A252:D252"/>
    <mergeCell ref="F252:I252"/>
    <mergeCell ref="A253:D253"/>
    <mergeCell ref="F253:I253"/>
    <mergeCell ref="A254:G254"/>
    <mergeCell ref="A255:D255"/>
    <mergeCell ref="F255:I255"/>
    <mergeCell ref="A257:I257"/>
    <mergeCell ref="A266:D266"/>
    <mergeCell ref="F266:I266"/>
    <mergeCell ref="A267:D267"/>
    <mergeCell ref="F267:I267"/>
    <mergeCell ref="A268:G268"/>
    <mergeCell ref="A269:D269"/>
    <mergeCell ref="F269:I269"/>
    <mergeCell ref="A271:I271"/>
    <mergeCell ref="A280:D280"/>
    <mergeCell ref="F280:I280"/>
    <mergeCell ref="A281:D281"/>
    <mergeCell ref="F281:I281"/>
    <mergeCell ref="A282:G282"/>
    <mergeCell ref="A283:D283"/>
    <mergeCell ref="F283:I283"/>
    <mergeCell ref="A285:I285"/>
    <mergeCell ref="A294:D294"/>
    <mergeCell ref="F294:I294"/>
    <mergeCell ref="A295:D295"/>
    <mergeCell ref="F295:I295"/>
    <mergeCell ref="A296:G296"/>
    <mergeCell ref="A297:D297"/>
    <mergeCell ref="F297:I297"/>
    <mergeCell ref="A299:I299"/>
    <mergeCell ref="A308:D308"/>
    <mergeCell ref="F308:I308"/>
    <mergeCell ref="A309:D309"/>
    <mergeCell ref="F309:I309"/>
    <mergeCell ref="A310:G310"/>
    <mergeCell ref="A311:D311"/>
    <mergeCell ref="F311:I311"/>
    <mergeCell ref="A313:I313"/>
    <mergeCell ref="A322:D322"/>
    <mergeCell ref="F322:I322"/>
    <mergeCell ref="A323:D323"/>
    <mergeCell ref="F323:I323"/>
    <mergeCell ref="A324:G324"/>
    <mergeCell ref="A325:D325"/>
    <mergeCell ref="F325:I325"/>
    <mergeCell ref="A327:I327"/>
    <mergeCell ref="A336:D336"/>
    <mergeCell ref="F336:I336"/>
    <mergeCell ref="A337:D337"/>
    <mergeCell ref="F337:I337"/>
    <mergeCell ref="A338:G338"/>
    <mergeCell ref="A339:D339"/>
    <mergeCell ref="F339:I339"/>
    <mergeCell ref="A341:I341"/>
    <mergeCell ref="A350:D350"/>
    <mergeCell ref="F350:I350"/>
    <mergeCell ref="A351:D351"/>
    <mergeCell ref="F351:I351"/>
    <mergeCell ref="A352:G352"/>
    <mergeCell ref="A353:D353"/>
    <mergeCell ref="F353:I353"/>
    <mergeCell ref="A355:I355"/>
    <mergeCell ref="A364:D364"/>
    <mergeCell ref="F364:I364"/>
    <mergeCell ref="A365:D365"/>
    <mergeCell ref="F365:I365"/>
    <mergeCell ref="A366:G366"/>
    <mergeCell ref="A367:D367"/>
    <mergeCell ref="F367:I367"/>
    <mergeCell ref="A369:I369"/>
    <mergeCell ref="A378:D378"/>
    <mergeCell ref="F378:I378"/>
    <mergeCell ref="A379:D379"/>
    <mergeCell ref="F379:I379"/>
    <mergeCell ref="A380:G380"/>
    <mergeCell ref="A381:D381"/>
    <mergeCell ref="F381:I381"/>
    <mergeCell ref="A383:I383"/>
    <mergeCell ref="A392:D392"/>
    <mergeCell ref="F392:I392"/>
    <mergeCell ref="A393:D393"/>
    <mergeCell ref="F393:I393"/>
    <mergeCell ref="A394:G394"/>
    <mergeCell ref="A395:D395"/>
    <mergeCell ref="F395:I395"/>
    <mergeCell ref="A397:I397"/>
    <mergeCell ref="A406:D406"/>
    <mergeCell ref="F406:I406"/>
    <mergeCell ref="A407:D407"/>
    <mergeCell ref="F407:I407"/>
    <mergeCell ref="A408:G408"/>
    <mergeCell ref="A409:D409"/>
    <mergeCell ref="F409:I409"/>
    <mergeCell ref="A411:I411"/>
    <mergeCell ref="A420:D420"/>
    <mergeCell ref="F420:I420"/>
    <mergeCell ref="A421:D421"/>
    <mergeCell ref="F421:I421"/>
    <mergeCell ref="A422:G422"/>
    <mergeCell ref="A423:D423"/>
    <mergeCell ref="F423:I423"/>
    <mergeCell ref="A425:I425"/>
    <mergeCell ref="A434:D434"/>
    <mergeCell ref="F434:I434"/>
    <mergeCell ref="A435:D435"/>
    <mergeCell ref="F435:I435"/>
    <mergeCell ref="A436:G436"/>
    <mergeCell ref="A437:D437"/>
    <mergeCell ref="F437:I437"/>
    <mergeCell ref="A439:I439"/>
    <mergeCell ref="A448:D448"/>
    <mergeCell ref="F448:I448"/>
    <mergeCell ref="A449:D449"/>
    <mergeCell ref="F449:I449"/>
    <mergeCell ref="A450:G450"/>
    <mergeCell ref="A451:D451"/>
    <mergeCell ref="F451:I451"/>
    <mergeCell ref="A453:I453"/>
    <mergeCell ref="A462:D462"/>
    <mergeCell ref="F462:I462"/>
    <mergeCell ref="A463:D463"/>
    <mergeCell ref="F463:I463"/>
    <mergeCell ref="A464:G464"/>
    <mergeCell ref="A465:D465"/>
    <mergeCell ref="F465:I465"/>
    <mergeCell ref="A467:I467"/>
    <mergeCell ref="A476:D476"/>
    <mergeCell ref="F476:I476"/>
    <mergeCell ref="A477:D477"/>
    <mergeCell ref="F477:I477"/>
    <mergeCell ref="A478:G478"/>
    <mergeCell ref="A479:D479"/>
    <mergeCell ref="F479:I479"/>
    <mergeCell ref="A481:I481"/>
    <mergeCell ref="A490:D490"/>
    <mergeCell ref="F490:I490"/>
    <mergeCell ref="A491:D491"/>
    <mergeCell ref="F491:I491"/>
    <mergeCell ref="A492:G492"/>
    <mergeCell ref="A493:D493"/>
    <mergeCell ref="F493:I493"/>
    <mergeCell ref="A495:I495"/>
    <mergeCell ref="A504:D504"/>
    <mergeCell ref="F504:I504"/>
    <mergeCell ref="A505:D505"/>
    <mergeCell ref="F505:I505"/>
    <mergeCell ref="A506:G506"/>
    <mergeCell ref="A507:D507"/>
    <mergeCell ref="F507:I507"/>
    <mergeCell ref="A509:I509"/>
    <mergeCell ref="A518:D518"/>
    <mergeCell ref="F518:I518"/>
    <mergeCell ref="A519:D519"/>
    <mergeCell ref="F519:I519"/>
    <mergeCell ref="A520:G520"/>
    <mergeCell ref="A521:D521"/>
    <mergeCell ref="F521:I521"/>
    <mergeCell ref="A523:I523"/>
    <mergeCell ref="A532:D532"/>
    <mergeCell ref="F532:I532"/>
    <mergeCell ref="A533:D533"/>
    <mergeCell ref="F533:I533"/>
    <mergeCell ref="A534:G534"/>
    <mergeCell ref="A535:D535"/>
    <mergeCell ref="F535:I535"/>
    <mergeCell ref="A537:I537"/>
    <mergeCell ref="A546:D546"/>
    <mergeCell ref="F546:I546"/>
    <mergeCell ref="A547:D547"/>
    <mergeCell ref="F547:I547"/>
    <mergeCell ref="A548:G548"/>
    <mergeCell ref="A549:D549"/>
    <mergeCell ref="F549:I549"/>
    <mergeCell ref="A551:I551"/>
    <mergeCell ref="A560:D560"/>
    <mergeCell ref="F560:I560"/>
    <mergeCell ref="A561:D561"/>
    <mergeCell ref="F561:I561"/>
    <mergeCell ref="A562:G562"/>
    <mergeCell ref="A563:D563"/>
    <mergeCell ref="F563:I563"/>
    <mergeCell ref="A565:I565"/>
    <mergeCell ref="A574:D574"/>
    <mergeCell ref="F574:I574"/>
    <mergeCell ref="A575:D575"/>
    <mergeCell ref="F575:I575"/>
    <mergeCell ref="A576:G576"/>
    <mergeCell ref="A577:D577"/>
    <mergeCell ref="F577:I577"/>
    <mergeCell ref="A579:I579"/>
    <mergeCell ref="A588:D588"/>
    <mergeCell ref="F588:I588"/>
    <mergeCell ref="A589:D589"/>
    <mergeCell ref="F589:I589"/>
    <mergeCell ref="A590:G590"/>
    <mergeCell ref="A591:D591"/>
    <mergeCell ref="F591:I591"/>
    <mergeCell ref="A593:I593"/>
    <mergeCell ref="A602:D602"/>
    <mergeCell ref="F602:I602"/>
    <mergeCell ref="A603:D603"/>
    <mergeCell ref="F603:I603"/>
    <mergeCell ref="A604:G604"/>
    <mergeCell ref="A605:D605"/>
    <mergeCell ref="F605:I605"/>
    <mergeCell ref="A607:I607"/>
    <mergeCell ref="A616:D616"/>
    <mergeCell ref="F616:I616"/>
    <mergeCell ref="A617:D617"/>
    <mergeCell ref="F617:I617"/>
    <mergeCell ref="A618:G618"/>
    <mergeCell ref="A619:D619"/>
    <mergeCell ref="F619:I619"/>
    <mergeCell ref="A621:I621"/>
    <mergeCell ref="A630:D630"/>
    <mergeCell ref="F630:I630"/>
    <mergeCell ref="A631:D631"/>
    <mergeCell ref="F631:I631"/>
    <mergeCell ref="A632:G632"/>
    <mergeCell ref="A633:D633"/>
    <mergeCell ref="F633:I633"/>
    <mergeCell ref="A635:I635"/>
    <mergeCell ref="A644:D644"/>
    <mergeCell ref="F644:I644"/>
    <mergeCell ref="A645:D645"/>
    <mergeCell ref="F645:I645"/>
    <mergeCell ref="A646:G646"/>
    <mergeCell ref="A647:D647"/>
    <mergeCell ref="F647:I647"/>
    <mergeCell ref="A649:I649"/>
    <mergeCell ref="A658:D658"/>
    <mergeCell ref="F658:I658"/>
    <mergeCell ref="A659:D659"/>
    <mergeCell ref="F659:I659"/>
    <mergeCell ref="A660:G660"/>
    <mergeCell ref="A661:D661"/>
    <mergeCell ref="F661:I661"/>
    <mergeCell ref="A663:I663"/>
    <mergeCell ref="A672:D672"/>
    <mergeCell ref="F672:I672"/>
    <mergeCell ref="A673:D673"/>
    <mergeCell ref="F673:I673"/>
    <mergeCell ref="A674:G674"/>
    <mergeCell ref="A675:D675"/>
    <mergeCell ref="F675:I675"/>
    <mergeCell ref="A677:I677"/>
    <mergeCell ref="A686:D686"/>
    <mergeCell ref="F686:I686"/>
    <mergeCell ref="A687:D687"/>
    <mergeCell ref="F687:I687"/>
    <mergeCell ref="A688:G688"/>
    <mergeCell ref="A689:D689"/>
    <mergeCell ref="F689:I689"/>
    <mergeCell ref="A691:I691"/>
    <mergeCell ref="A700:D700"/>
    <mergeCell ref="F700:I700"/>
    <mergeCell ref="A701:D701"/>
    <mergeCell ref="F701:I701"/>
    <mergeCell ref="A702:G702"/>
    <mergeCell ref="A703:D703"/>
    <mergeCell ref="F703:I703"/>
    <mergeCell ref="A705:I705"/>
    <mergeCell ref="A714:D714"/>
    <mergeCell ref="F714:I714"/>
    <mergeCell ref="A715:D715"/>
    <mergeCell ref="F715:I715"/>
    <mergeCell ref="A716:G716"/>
    <mergeCell ref="A717:D717"/>
    <mergeCell ref="F717:I717"/>
    <mergeCell ref="A719:I719"/>
    <mergeCell ref="A728:D728"/>
    <mergeCell ref="F728:I728"/>
    <mergeCell ref="A729:D729"/>
    <mergeCell ref="F729:I729"/>
    <mergeCell ref="A730:G730"/>
    <mergeCell ref="A731:D731"/>
    <mergeCell ref="F731:I731"/>
    <mergeCell ref="A733:I733"/>
    <mergeCell ref="A742:D742"/>
    <mergeCell ref="F742:I742"/>
    <mergeCell ref="A743:D743"/>
    <mergeCell ref="F743:I743"/>
    <mergeCell ref="A744:G744"/>
    <mergeCell ref="A745:D745"/>
    <mergeCell ref="F745:I745"/>
  </mergeCells>
  <conditionalFormatting sqref="C5:D746">
    <cfRule type="expression" priority="2" aboveAverage="0" equalAverage="0" bottom="0" percent="0" rank="0" text="" dxfId="0">
      <formula>AND($M5=1,$K5&lt;&gt;"",$L5&lt;&gt;"",WEEKDAY($A5,1)=6,OR($K5&lt;OMR_FRI_IN,$L5&gt;OMR_FRI_OUT))</formula>
    </cfRule>
  </conditionalFormatting>
  <conditionalFormatting sqref="A5:I746">
    <cfRule type="expression" priority="3" aboveAverage="0" equalAverage="0" bottom="0" percent="0" rank="0" text="" dxfId="1">
      <formula>AND($M5=0,N($T5)&lt;&gt;2)</formula>
    </cfRule>
    <cfRule type="expression" priority="4" aboveAverage="0" equalAverage="0" bottom="0" percent="0" rank="0" text="" dxfId="2">
      <formula>AND($R5=CURWK,$Q5=0)</formula>
    </cfRule>
    <cfRule type="expression" priority="5" aboveAverage="0" equalAverage="0" bottom="0" percent="0" rank="0" text="" dxfId="3">
      <formula>AND($Q5=1,N($T5)=0)</formula>
    </cfRule>
  </conditionalFormatting>
  <conditionalFormatting sqref="A5:B746">
    <cfRule type="expression" priority="6" aboveAverage="0" equalAverage="0" bottom="0" percent="0" rank="0" text="" dxfId="4">
      <formula>AND($S5=CURWK,$R5&lt;&gt;CURWK,ISNUMBER($A5))</formula>
    </cfRule>
  </conditionalFormatting>
  <dataValidations count="1">
    <dataValidation allowBlank="true" errorStyle="stop" operator="between" showDropDown="false" showErrorMessage="false" showInputMessage="false" sqref="C7:D13 C21:D27 C35:D41 C49:D55 C63:D69 C77:D83 C91:D97 C105:D111 C119:D125 C133:D139 C147:D153 C161:D167 C175:D181 C189:D195 C203:D209 C217:D223 C231:D237 C245:D251 C259:D265 C273:D279 C287:D293 C301:D307 C315:D321 C329:D335 C343:D349 C357:D363 C371:D377 C385:D391 C399:D405 C413:D419 C427:D433 C441:D447 C455:D461 C469:D475 C483:D489 C497:D503 C511:D517 C525:D531 C539:D545 C553:D559 C567:D573 C581:D587 C595:D601 C609:D615 C623:D629 C637:D643 C651:D657 C665:D671 C679:D685 C693:D699 C707:D713 C721:D727 C735:D741" type="list">
      <formula1>القوائم!$A$1:$A$288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74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1"/>
    <col collapsed="false" customWidth="true" hidden="false" outlineLevel="0" max="4" min="3" style="0" width="13"/>
    <col collapsed="false" customWidth="true" hidden="false" outlineLevel="0" max="5" min="5" style="0" width="12"/>
    <col collapsed="false" customWidth="true" hidden="false" outlineLevel="0" max="6" min="6" style="0" width="16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true" outlineLevel="0" max="23" min="11" style="0" width="13"/>
  </cols>
  <sheetData>
    <row r="1" customFormat="false" ht="39.75" hidden="false" customHeight="true" outlineLevel="0" collapsed="false">
      <c r="A1" s="40" t="s">
        <v>27</v>
      </c>
      <c r="B1" s="40"/>
      <c r="C1" s="40"/>
      <c r="D1" s="40"/>
      <c r="E1" s="40"/>
      <c r="F1" s="40"/>
      <c r="G1" s="40"/>
      <c r="H1" s="40"/>
    </row>
    <row r="3" customFormat="false" ht="43.5" hidden="false" customHeight="true" outlineLevel="0" collapsed="false">
      <c r="A3" s="4" t="s">
        <v>28</v>
      </c>
      <c r="B3" s="4"/>
      <c r="C3" s="4"/>
      <c r="D3" s="4"/>
      <c r="E3" s="4"/>
      <c r="F3" s="4"/>
      <c r="G3" s="4"/>
      <c r="H3" s="4"/>
    </row>
    <row r="5" customFormat="false" ht="33.75" hidden="false" customHeight="true" outlineLevel="0" collapsed="false">
      <c r="A5" s="17" t="str">
        <f aca="false">IF(1&lt;=NW,TEXT(DAY(WEEK_ONE+0),"00")&amp;"/"&amp;TEXT(MONTH(WEEK_ONE+0),"00")&amp;"/"&amp;YEAR(WEEK_ONE+0)&amp;"  -  "&amp;TEXT(DAY(WEEK_ONE+6),"00")&amp;"/"&amp;TEXT(MONTH(WEEK_ONE+6),"00")&amp;"/"&amp;YEAR(WEEK_ONE+6)&amp;"   ·   الأسبوع 1"&amp;IF(1&lt;START_Z,"   (قبل أسبوع البداية — ما بينحسب)",""),"ما في أسبوع 1 هالسنة")</f>
        <v>27/12/2025  -  02/01/2026   ·   الأسبوع 1   (قبل أسبوع البداية — ما بينحسب)</v>
      </c>
      <c r="B5" s="17"/>
      <c r="C5" s="17"/>
      <c r="D5" s="17"/>
      <c r="E5" s="17"/>
      <c r="F5" s="17"/>
      <c r="G5" s="17"/>
      <c r="H5" s="17"/>
      <c r="L5" s="18" t="n">
        <f aca="false">IF(1&lt;=NW,WEEK_ONE+6,"")</f>
        <v>46024</v>
      </c>
      <c r="M5" s="19" t="n">
        <f aca="false">IF(AND(1&lt;=NW,1&gt;=START_Z),1,0)</f>
        <v>0</v>
      </c>
      <c r="N5" s="20" t="n">
        <f aca="false">IFERROR(INDEX(RT_AZZ,MATCH(L5,RT_K,1)),INDEX(RT_AZZ,1))</f>
        <v>1</v>
      </c>
      <c r="P5" s="20" t="n">
        <f aca="false">IFERROR(INDEX(RT_GYP,MATCH(L5,RT_K,1)),INDEX(RT_GYP,1))</f>
        <v>2.5</v>
      </c>
      <c r="Q5" s="19" t="n">
        <f aca="false">IF(N(E17)&gt;0,1,0)</f>
        <v>0</v>
      </c>
      <c r="R5" s="0" t="n">
        <v>1</v>
      </c>
      <c r="S5" s="0" t="n">
        <v>1</v>
      </c>
      <c r="U5" s="19" t="n">
        <f aca="false">IF(M5=1,SUM(E7:E13),0)</f>
        <v>0</v>
      </c>
      <c r="V5" s="19" t="n">
        <f aca="false">SUM(F7:F13)</f>
        <v>0</v>
      </c>
      <c r="W5" s="19" t="n">
        <f aca="false">IF(M5=1,SUMIFS(F7:F13,G7:G13,"نعم"),0)</f>
        <v>0</v>
      </c>
    </row>
    <row r="6" customFormat="false" ht="39.75" hidden="false" customHeight="true" outlineLevel="0" collapsed="false">
      <c r="A6" s="21" t="s">
        <v>18</v>
      </c>
      <c r="B6" s="21" t="s">
        <v>19</v>
      </c>
      <c r="C6" s="21" t="s">
        <v>20</v>
      </c>
      <c r="D6" s="21" t="s">
        <v>21</v>
      </c>
      <c r="E6" s="21" t="s">
        <v>22</v>
      </c>
      <c r="F6" s="21" t="s">
        <v>29</v>
      </c>
      <c r="G6" s="21" t="s">
        <v>30</v>
      </c>
      <c r="H6" s="21" t="s">
        <v>26</v>
      </c>
      <c r="M6" s="19" t="n">
        <f aca="false">$M$5</f>
        <v>0</v>
      </c>
      <c r="Q6" s="19" t="n">
        <f aca="false">IF(N(E17)&gt;0,1,0)</f>
        <v>0</v>
      </c>
      <c r="S6" s="0" t="n">
        <v>1</v>
      </c>
    </row>
    <row r="7" customFormat="false" ht="15" hidden="false" customHeight="false" outlineLevel="0" collapsed="false">
      <c r="A7" s="22" t="n">
        <f aca="false">IF(1&lt;=NW,WEEK_ONE+0,"")</f>
        <v>46018</v>
      </c>
      <c r="B7" s="23" t="str">
        <f aca="false">IF(A7="","",CHOOSE(WEEKDAY(A7,1),"الأحد","الاثنين","الثلاثاء","الأربعاء","الخميس","الجمعة","السبت"))</f>
        <v>السبت</v>
      </c>
      <c r="C7" s="24"/>
      <c r="D7" s="24"/>
      <c r="E7" s="25" t="str">
        <f aca="false">IF(OR(M7=0,K7="",L7=""),"",MOD(L7-K7,1))</f>
        <v/>
      </c>
      <c r="F7" s="26" t="str">
        <f aca="false">IF(OR(E7="",M7=0),"",IF(ROUND_MODE="للأعلى",CEILING(ROUND((E7*24*$N$5),3),0.25),ROUND((E7*24*$N$5)*4,0)/4))</f>
        <v/>
      </c>
      <c r="G7" s="24"/>
      <c r="H7" s="27"/>
      <c r="K7" s="28" t="str">
        <f aca="false">IF(OR(M7=0,C7=""),"",IF(ISNUMBER(C7),MOD(C7,1),IFERROR(INDEX(القوائم!$B$1:$B$288,MATCH(TRIM(C7),القوائم!$A$1:$A$288,0)),IFERROR(MOD(TIMEVALUE(C7),1),""))))</f>
        <v/>
      </c>
      <c r="L7" s="28" t="str">
        <f aca="false">IF(OR(M7=0,D7=""),"",IF(ISNUMBER(D7),MOD(D7,1),IFERROR(INDEX(القوائم!$B$1:$B$288,MATCH(TRIM(D7),القوائم!$A$1:$A$288,0)),IFERROR(MOD(TIMEVALUE(D7),1),""))))</f>
        <v/>
      </c>
      <c r="M7" s="19" t="n">
        <f aca="false">$M$5</f>
        <v>0</v>
      </c>
      <c r="Q7" s="19" t="n">
        <f aca="false">IF(N(E17)&gt;0,1,0)</f>
        <v>0</v>
      </c>
      <c r="S7" s="0" t="n">
        <v>1</v>
      </c>
    </row>
    <row r="8" customFormat="false" ht="15" hidden="false" customHeight="false" outlineLevel="0" collapsed="false">
      <c r="A8" s="22" t="n">
        <f aca="false">IF(1&lt;=NW,WEEK_ONE+1,"")</f>
        <v>46019</v>
      </c>
      <c r="B8" s="23" t="str">
        <f aca="false">IF(A8="","",CHOOSE(WEEKDAY(A8,1),"الأحد","الاثنين","الثلاثاء","الأربعاء","الخميس","الجمعة","السبت"))</f>
        <v>الأحد</v>
      </c>
      <c r="C8" s="24"/>
      <c r="D8" s="24"/>
      <c r="E8" s="25" t="str">
        <f aca="false">IF(OR(M8=0,K8="",L8=""),"",MOD(L8-K8,1))</f>
        <v/>
      </c>
      <c r="F8" s="26" t="str">
        <f aca="false">IF(OR(E8="",M8=0),"",IF(ROUND_MODE="للأعلى",CEILING(ROUND((E8*24*$N$5),3),0.25),ROUND((E8*24*$N$5)*4,0)/4))</f>
        <v/>
      </c>
      <c r="G8" s="24"/>
      <c r="H8" s="27"/>
      <c r="K8" s="28" t="str">
        <f aca="false">IF(OR(M8=0,C8=""),"",IF(ISNUMBER(C8),MOD(C8,1),IFERROR(INDEX(القوائم!$B$1:$B$288,MATCH(TRIM(C8),القوائم!$A$1:$A$288,0)),IFERROR(MOD(TIMEVALUE(C8),1),""))))</f>
        <v/>
      </c>
      <c r="L8" s="28" t="str">
        <f aca="false">IF(OR(M8=0,D8=""),"",IF(ISNUMBER(D8),MOD(D8,1),IFERROR(INDEX(القوائم!$B$1:$B$288,MATCH(TRIM(D8),القوائم!$A$1:$A$288,0)),IFERROR(MOD(TIMEVALUE(D8),1),""))))</f>
        <v/>
      </c>
      <c r="M8" s="19" t="n">
        <f aca="false">$M$5</f>
        <v>0</v>
      </c>
      <c r="Q8" s="19" t="n">
        <f aca="false">IF(N(E17)&gt;0,1,0)</f>
        <v>0</v>
      </c>
      <c r="S8" s="0" t="n">
        <v>1</v>
      </c>
    </row>
    <row r="9" customFormat="false" ht="15" hidden="false" customHeight="false" outlineLevel="0" collapsed="false">
      <c r="A9" s="22" t="n">
        <f aca="false">IF(1&lt;=NW,WEEK_ONE+2,"")</f>
        <v>46020</v>
      </c>
      <c r="B9" s="23" t="str">
        <f aca="false">IF(A9="","",CHOOSE(WEEKDAY(A9,1),"الأحد","الاثنين","الثلاثاء","الأربعاء","الخميس","الجمعة","السبت"))</f>
        <v>الاثنين</v>
      </c>
      <c r="C9" s="24"/>
      <c r="D9" s="24"/>
      <c r="E9" s="25" t="str">
        <f aca="false">IF(OR(M9=0,K9="",L9=""),"",MOD(L9-K9,1))</f>
        <v/>
      </c>
      <c r="F9" s="26" t="str">
        <f aca="false">IF(OR(E9="",M9=0),"",IF(ROUND_MODE="للأعلى",CEILING(ROUND((E9*24*$N$5),3),0.25),ROUND((E9*24*$N$5)*4,0)/4))</f>
        <v/>
      </c>
      <c r="G9" s="24"/>
      <c r="H9" s="27"/>
      <c r="K9" s="28" t="str">
        <f aca="false">IF(OR(M9=0,C9=""),"",IF(ISNUMBER(C9),MOD(C9,1),IFERROR(INDEX(القوائم!$B$1:$B$288,MATCH(TRIM(C9),القوائم!$A$1:$A$288,0)),IFERROR(MOD(TIMEVALUE(C9),1),""))))</f>
        <v/>
      </c>
      <c r="L9" s="28" t="str">
        <f aca="false">IF(OR(M9=0,D9=""),"",IF(ISNUMBER(D9),MOD(D9,1),IFERROR(INDEX(القوائم!$B$1:$B$288,MATCH(TRIM(D9),القوائم!$A$1:$A$288,0)),IFERROR(MOD(TIMEVALUE(D9),1),""))))</f>
        <v/>
      </c>
      <c r="M9" s="19" t="n">
        <f aca="false">$M$5</f>
        <v>0</v>
      </c>
      <c r="Q9" s="19" t="n">
        <f aca="false">IF(N(E17)&gt;0,1,0)</f>
        <v>0</v>
      </c>
      <c r="S9" s="0" t="n">
        <v>1</v>
      </c>
    </row>
    <row r="10" customFormat="false" ht="15" hidden="false" customHeight="false" outlineLevel="0" collapsed="false">
      <c r="A10" s="22" t="n">
        <f aca="false">IF(1&lt;=NW,WEEK_ONE+3,"")</f>
        <v>46021</v>
      </c>
      <c r="B10" s="23" t="str">
        <f aca="false">IF(A10="","",CHOOSE(WEEKDAY(A10,1),"الأحد","الاثنين","الثلاثاء","الأربعاء","الخميس","الجمعة","السبت"))</f>
        <v>الثلاثاء</v>
      </c>
      <c r="C10" s="24"/>
      <c r="D10" s="24"/>
      <c r="E10" s="25" t="str">
        <f aca="false">IF(OR(M10=0,K10="",L10=""),"",MOD(L10-K10,1))</f>
        <v/>
      </c>
      <c r="F10" s="26" t="str">
        <f aca="false">IF(OR(E10="",M10=0),"",IF(ROUND_MODE="للأعلى",CEILING(ROUND((E10*24*$N$5),3),0.25),ROUND((E10*24*$N$5)*4,0)/4))</f>
        <v/>
      </c>
      <c r="G10" s="24"/>
      <c r="H10" s="27"/>
      <c r="K10" s="28" t="str">
        <f aca="false">IF(OR(M10=0,C10=""),"",IF(ISNUMBER(C10),MOD(C10,1),IFERROR(INDEX(القوائم!$B$1:$B$288,MATCH(TRIM(C10),القوائم!$A$1:$A$288,0)),IFERROR(MOD(TIMEVALUE(C10),1),""))))</f>
        <v/>
      </c>
      <c r="L10" s="28" t="str">
        <f aca="false">IF(OR(M10=0,D10=""),"",IF(ISNUMBER(D10),MOD(D10,1),IFERROR(INDEX(القوائم!$B$1:$B$288,MATCH(TRIM(D10),القوائم!$A$1:$A$288,0)),IFERROR(MOD(TIMEVALUE(D10),1),""))))</f>
        <v/>
      </c>
      <c r="M10" s="19" t="n">
        <f aca="false">$M$5</f>
        <v>0</v>
      </c>
      <c r="Q10" s="19" t="n">
        <f aca="false">IF(N(E17)&gt;0,1,0)</f>
        <v>0</v>
      </c>
      <c r="S10" s="0" t="n">
        <v>1</v>
      </c>
    </row>
    <row r="11" customFormat="false" ht="15" hidden="false" customHeight="false" outlineLevel="0" collapsed="false">
      <c r="A11" s="22" t="n">
        <f aca="false">IF(1&lt;=NW,WEEK_ONE+4,"")</f>
        <v>46022</v>
      </c>
      <c r="B11" s="23" t="str">
        <f aca="false">IF(A11="","",CHOOSE(WEEKDAY(A11,1),"الأحد","الاثنين","الثلاثاء","الأربعاء","الخميس","الجمعة","السبت"))</f>
        <v>الأربعاء</v>
      </c>
      <c r="C11" s="24"/>
      <c r="D11" s="24"/>
      <c r="E11" s="25" t="str">
        <f aca="false">IF(OR(M11=0,K11="",L11=""),"",MOD(L11-K11,1))</f>
        <v/>
      </c>
      <c r="F11" s="26" t="str">
        <f aca="false">IF(OR(E11="",M11=0),"",IF(ROUND_MODE="للأعلى",CEILING(ROUND((E11*24*$N$5),3),0.25),ROUND((E11*24*$N$5)*4,0)/4))</f>
        <v/>
      </c>
      <c r="G11" s="24"/>
      <c r="H11" s="27"/>
      <c r="K11" s="28" t="str">
        <f aca="false">IF(OR(M11=0,C11=""),"",IF(ISNUMBER(C11),MOD(C11,1),IFERROR(INDEX(القوائم!$B$1:$B$288,MATCH(TRIM(C11),القوائم!$A$1:$A$288,0)),IFERROR(MOD(TIMEVALUE(C11),1),""))))</f>
        <v/>
      </c>
      <c r="L11" s="28" t="str">
        <f aca="false">IF(OR(M11=0,D11=""),"",IF(ISNUMBER(D11),MOD(D11,1),IFERROR(INDEX(القوائم!$B$1:$B$288,MATCH(TRIM(D11),القوائم!$A$1:$A$288,0)),IFERROR(MOD(TIMEVALUE(D11),1),""))))</f>
        <v/>
      </c>
      <c r="M11" s="19" t="n">
        <f aca="false">$M$5</f>
        <v>0</v>
      </c>
      <c r="Q11" s="19" t="n">
        <f aca="false">IF(N(E17)&gt;0,1,0)</f>
        <v>0</v>
      </c>
      <c r="S11" s="0" t="n">
        <v>1</v>
      </c>
    </row>
    <row r="12" customFormat="false" ht="15" hidden="false" customHeight="false" outlineLevel="0" collapsed="false">
      <c r="A12" s="22" t="n">
        <f aca="false">IF(1&lt;=NW,WEEK_ONE+5,"")</f>
        <v>46023</v>
      </c>
      <c r="B12" s="23" t="str">
        <f aca="false">IF(A12="","",CHOOSE(WEEKDAY(A12,1),"الأحد","الاثنين","الثلاثاء","الأربعاء","الخميس","الجمعة","السبت"))</f>
        <v>الخميس</v>
      </c>
      <c r="C12" s="24"/>
      <c r="D12" s="24"/>
      <c r="E12" s="25" t="str">
        <f aca="false">IF(OR(M12=0,K12="",L12=""),"",MOD(L12-K12,1))</f>
        <v/>
      </c>
      <c r="F12" s="26" t="str">
        <f aca="false">IF(OR(E12="",M12=0),"",IF(ROUND_MODE="للأعلى",CEILING(ROUND((E12*24*$N$5),3),0.25),ROUND((E12*24*$N$5)*4,0)/4))</f>
        <v/>
      </c>
      <c r="G12" s="24"/>
      <c r="H12" s="27"/>
      <c r="K12" s="28" t="str">
        <f aca="false">IF(OR(M12=0,C12=""),"",IF(ISNUMBER(C12),MOD(C12,1),IFERROR(INDEX(القوائم!$B$1:$B$288,MATCH(TRIM(C12),القوائم!$A$1:$A$288,0)),IFERROR(MOD(TIMEVALUE(C12),1),""))))</f>
        <v/>
      </c>
      <c r="L12" s="28" t="str">
        <f aca="false">IF(OR(M12=0,D12=""),"",IF(ISNUMBER(D12),MOD(D12,1),IFERROR(INDEX(القوائم!$B$1:$B$288,MATCH(TRIM(D12),القوائم!$A$1:$A$288,0)),IFERROR(MOD(TIMEVALUE(D12),1),""))))</f>
        <v/>
      </c>
      <c r="M12" s="19" t="n">
        <f aca="false">$M$5</f>
        <v>0</v>
      </c>
      <c r="Q12" s="19" t="n">
        <f aca="false">IF(N(E17)&gt;0,1,0)</f>
        <v>0</v>
      </c>
      <c r="S12" s="0" t="n">
        <v>1</v>
      </c>
    </row>
    <row r="13" customFormat="false" ht="15" hidden="false" customHeight="false" outlineLevel="0" collapsed="false">
      <c r="A13" s="29" t="n">
        <f aca="false">IF(1&lt;=NW,WEEK_ONE+6,"")</f>
        <v>46024</v>
      </c>
      <c r="B13" s="30" t="str">
        <f aca="false">IF(A13="","",CHOOSE(WEEKDAY(A13,1),"الأحد","الاثنين","الثلاثاء","الأربعاء","الخميس","الجمعة","السبت"))</f>
        <v>الجمعة</v>
      </c>
      <c r="C13" s="24"/>
      <c r="D13" s="24"/>
      <c r="E13" s="25" t="str">
        <f aca="false">IF(OR(M13=0,K13="",L13=""),"",MOD(L13-K13,1))</f>
        <v/>
      </c>
      <c r="F13" s="26" t="str">
        <f aca="false">IF(OR(E13="",M13=0),"",IF(ROUND_MODE="للأعلى",CEILING(ROUND((E13*24*$N$5),3),0.25),ROUND((E13*24*$N$5)*4,0)/4))</f>
        <v/>
      </c>
      <c r="G13" s="24"/>
      <c r="H13" s="27"/>
      <c r="K13" s="28" t="str">
        <f aca="false">IF(OR(M13=0,C13=""),"",IF(ISNUMBER(C13),MOD(C13,1),IFERROR(INDEX(القوائم!$B$1:$B$288,MATCH(TRIM(C13),القوائم!$A$1:$A$288,0)),IFERROR(MOD(TIMEVALUE(C13),1),""))))</f>
        <v/>
      </c>
      <c r="L13" s="28" t="str">
        <f aca="false">IF(OR(M13=0,D13=""),"",IF(ISNUMBER(D13),MOD(D13,1),IFERROR(INDEX(القوائم!$B$1:$B$288,MATCH(TRIM(D13),القوائم!$A$1:$A$288,0)),IFERROR(MOD(TIMEVALUE(D13),1),""))))</f>
        <v/>
      </c>
      <c r="M13" s="19" t="n">
        <f aca="false">$M$5</f>
        <v>0</v>
      </c>
      <c r="Q13" s="19" t="n">
        <f aca="false">IF(N(E17)&gt;0,1,0)</f>
        <v>0</v>
      </c>
      <c r="S13" s="0" t="n">
        <v>1</v>
      </c>
    </row>
    <row r="14" customFormat="false" ht="15" hidden="false" customHeight="false" outlineLevel="0" collapsed="false">
      <c r="A14" s="31" t="str">
        <f aca="false">IF(M5=1,"ساعات تحميل الجبسمبورد بهالأسبوع ←","")</f>
        <v/>
      </c>
      <c r="B14" s="31"/>
      <c r="C14" s="31"/>
      <c r="D14" s="31"/>
      <c r="E14" s="32"/>
      <c r="F14" s="33" t="str">
        <f aca="false">IF(M5=1,"كل ساعة تحميل = "&amp;TEXT($P$5,"0.000")&amp;" دينار (منها "&amp;TEXT($N$5,"0.000")&amp;" محسوبة أصلاً بساعات اليوم)","")</f>
        <v/>
      </c>
      <c r="G14" s="33"/>
      <c r="H14" s="33"/>
      <c r="M14" s="19" t="n">
        <f aca="false">$M$5</f>
        <v>0</v>
      </c>
      <c r="Q14" s="19" t="n">
        <f aca="false">IF(N(E17)&gt;0,1,0)</f>
        <v>0</v>
      </c>
      <c r="S14" s="0" t="n">
        <v>1</v>
      </c>
    </row>
    <row r="15" customFormat="false" ht="15" hidden="false" customHeight="false" outlineLevel="0" collapsed="false">
      <c r="A15" s="31" t="str">
        <f aca="false">IF(M5=1,"إكرامية الأسبوع (دينار) ←","")</f>
        <v/>
      </c>
      <c r="B15" s="31"/>
      <c r="C15" s="31"/>
      <c r="D15" s="31"/>
      <c r="E15" s="34"/>
      <c r="F15" s="35"/>
      <c r="G15" s="35"/>
      <c r="H15" s="35"/>
      <c r="M15" s="19" t="n">
        <f aca="false">$M$5</f>
        <v>0</v>
      </c>
      <c r="Q15" s="19" t="n">
        <f aca="false">IF(N(E17)&gt;0,1,0)</f>
        <v>0</v>
      </c>
      <c r="S15" s="0" t="n">
        <v>1</v>
      </c>
    </row>
    <row r="16" customFormat="false" ht="36" hidden="false" customHeight="true" outlineLevel="0" collapsed="false">
      <c r="A16" s="36" t="str">
        <f aca="false">IF(M5=1,"المستحق النهائي للأسبوع","")</f>
        <v/>
      </c>
      <c r="B16" s="36"/>
      <c r="C16" s="36"/>
      <c r="D16" s="36"/>
      <c r="E16" s="36"/>
      <c r="F16" s="11" t="str">
        <f aca="false">IF(M5=1,ROUND(N($V$5)+N(E14)*($P$5-$N$5)+N(E15),3),"")</f>
        <v/>
      </c>
      <c r="G16" s="35"/>
      <c r="H16" s="35"/>
      <c r="M16" s="19" t="n">
        <f aca="false">$M$5</f>
        <v>0</v>
      </c>
      <c r="Q16" s="19" t="n">
        <f aca="false">IF(N(E17)&gt;0,1,0)</f>
        <v>0</v>
      </c>
      <c r="S16" s="0" t="n">
        <v>1</v>
      </c>
      <c r="T16" s="0" t="n">
        <v>1</v>
      </c>
    </row>
    <row r="17" customFormat="false" ht="25.5" hidden="false" customHeight="true" outlineLevel="0" collapsed="false">
      <c r="A17" s="31" t="str">
        <f aca="false">IF(M5=1,"المدفوع (دينار) ←","")</f>
        <v/>
      </c>
      <c r="B17" s="31"/>
      <c r="C17" s="31"/>
      <c r="D17" s="31"/>
      <c r="E17" s="34"/>
      <c r="F17" s="38" t="str">
        <f aca="false">IF(M5=1,IF(N(E17)&gt;0,"✔ انقبض — الأسبوع مقفول","⏳ لسا ما انقبض"),"")</f>
        <v/>
      </c>
      <c r="G17" s="38"/>
      <c r="H17" s="38"/>
      <c r="M17" s="19" t="n">
        <f aca="false">$M$5</f>
        <v>0</v>
      </c>
      <c r="Q17" s="19" t="n">
        <f aca="false">IF(N(E17)&gt;0,1,0)</f>
        <v>0</v>
      </c>
      <c r="S17" s="0" t="n">
        <v>1</v>
      </c>
    </row>
    <row r="18" customFormat="false" ht="9.75" hidden="false" customHeight="true" outlineLevel="0" collapsed="false">
      <c r="M18" s="19" t="n">
        <f aca="false">$M$5</f>
        <v>0</v>
      </c>
      <c r="Q18" s="19" t="n">
        <f aca="false">IF(N(E17)&gt;0,1,0)</f>
        <v>0</v>
      </c>
      <c r="S18" s="0" t="n">
        <v>1</v>
      </c>
      <c r="T18" s="0" t="n">
        <v>2</v>
      </c>
    </row>
    <row r="19" customFormat="false" ht="33.75" hidden="false" customHeight="true" outlineLevel="0" collapsed="false">
      <c r="A19" s="17" t="str">
        <f aca="false">IF(2&lt;=NW,TEXT(DAY(WEEK_ONE+7),"00")&amp;"/"&amp;TEXT(MONTH(WEEK_ONE+7),"00")&amp;"/"&amp;YEAR(WEEK_ONE+7)&amp;"  -  "&amp;TEXT(DAY(WEEK_ONE+13),"00")&amp;"/"&amp;TEXT(MONTH(WEEK_ONE+13),"00")&amp;"/"&amp;YEAR(WEEK_ONE+13)&amp;"   ·   الأسبوع 2"&amp;IF(2&lt;START_Z,"   (قبل أسبوع البداية — ما بينحسب)",""),"ما في أسبوع 2 هالسنة")</f>
        <v>03/01/2026  -  09/01/2026   ·   الأسبوع 2   (قبل أسبوع البداية — ما بينحسب)</v>
      </c>
      <c r="B19" s="17"/>
      <c r="C19" s="17"/>
      <c r="D19" s="17"/>
      <c r="E19" s="17"/>
      <c r="F19" s="17"/>
      <c r="G19" s="17"/>
      <c r="H19" s="17"/>
      <c r="L19" s="18" t="n">
        <f aca="false">IF(2&lt;=NW,WEEK_ONE+13,"")</f>
        <v>46031</v>
      </c>
      <c r="M19" s="19" t="n">
        <f aca="false">IF(AND(2&lt;=NW,2&gt;=START_Z),1,0)</f>
        <v>0</v>
      </c>
      <c r="N19" s="20" t="n">
        <f aca="false">IFERROR(INDEX(RT_AZZ,MATCH(L19,RT_K,1)),INDEX(RT_AZZ,1))</f>
        <v>1</v>
      </c>
      <c r="P19" s="20" t="n">
        <f aca="false">IFERROR(INDEX(RT_GYP,MATCH(L19,RT_K,1)),INDEX(RT_GYP,1))</f>
        <v>2.5</v>
      </c>
      <c r="Q19" s="19" t="n">
        <f aca="false">IF(N(E31)&gt;0,1,0)</f>
        <v>0</v>
      </c>
      <c r="R19" s="0" t="n">
        <v>2</v>
      </c>
      <c r="S19" s="0" t="n">
        <v>2</v>
      </c>
      <c r="U19" s="19" t="n">
        <f aca="false">IF(M19=1,SUM(E21:E27),0)</f>
        <v>0</v>
      </c>
      <c r="V19" s="19" t="n">
        <f aca="false">SUM(F21:F27)</f>
        <v>0</v>
      </c>
      <c r="W19" s="19" t="n">
        <f aca="false">IF(M19=1,SUMIFS(F21:F27,G21:G27,"نعم"),0)</f>
        <v>0</v>
      </c>
    </row>
    <row r="20" customFormat="false" ht="39.75" hidden="false" customHeight="true" outlineLevel="0" collapsed="false">
      <c r="A20" s="21" t="s">
        <v>18</v>
      </c>
      <c r="B20" s="21" t="s">
        <v>19</v>
      </c>
      <c r="C20" s="21" t="s">
        <v>20</v>
      </c>
      <c r="D20" s="21" t="s">
        <v>21</v>
      </c>
      <c r="E20" s="21" t="s">
        <v>22</v>
      </c>
      <c r="F20" s="21" t="s">
        <v>29</v>
      </c>
      <c r="G20" s="21" t="s">
        <v>30</v>
      </c>
      <c r="H20" s="21" t="s">
        <v>26</v>
      </c>
      <c r="M20" s="19" t="n">
        <f aca="false">$M$19</f>
        <v>0</v>
      </c>
      <c r="Q20" s="19" t="n">
        <f aca="false">IF(N(E31)&gt;0,1,0)</f>
        <v>0</v>
      </c>
      <c r="S20" s="0" t="n">
        <v>2</v>
      </c>
    </row>
    <row r="21" customFormat="false" ht="15" hidden="false" customHeight="false" outlineLevel="0" collapsed="false">
      <c r="A21" s="22" t="n">
        <f aca="false">IF(2&lt;=NW,WEEK_ONE+7,"")</f>
        <v>46025</v>
      </c>
      <c r="B21" s="23" t="str">
        <f aca="false">IF(A21="","",CHOOSE(WEEKDAY(A21,1),"الأحد","الاثنين","الثلاثاء","الأربعاء","الخميس","الجمعة","السبت"))</f>
        <v>السبت</v>
      </c>
      <c r="C21" s="24"/>
      <c r="D21" s="24"/>
      <c r="E21" s="25" t="str">
        <f aca="false">IF(OR(M21=0,K21="",L21=""),"",MOD(L21-K21,1))</f>
        <v/>
      </c>
      <c r="F21" s="26" t="str">
        <f aca="false">IF(OR(E21="",M21=0),"",IF(ROUND_MODE="للأعلى",CEILING(ROUND((E21*24*$N$19),3),0.25),ROUND((E21*24*$N$19)*4,0)/4))</f>
        <v/>
      </c>
      <c r="G21" s="24"/>
      <c r="H21" s="27"/>
      <c r="K21" s="28" t="str">
        <f aca="false">IF(OR(M21=0,C21=""),"",IF(ISNUMBER(C21),MOD(C21,1),IFERROR(INDEX(القوائم!$B$1:$B$288,MATCH(TRIM(C21),القوائم!$A$1:$A$288,0)),IFERROR(MOD(TIMEVALUE(C21),1),""))))</f>
        <v/>
      </c>
      <c r="L21" s="28" t="str">
        <f aca="false">IF(OR(M21=0,D21=""),"",IF(ISNUMBER(D21),MOD(D21,1),IFERROR(INDEX(القوائم!$B$1:$B$288,MATCH(TRIM(D21),القوائم!$A$1:$A$288,0)),IFERROR(MOD(TIMEVALUE(D21),1),""))))</f>
        <v/>
      </c>
      <c r="M21" s="19" t="n">
        <f aca="false">$M$19</f>
        <v>0</v>
      </c>
      <c r="Q21" s="19" t="n">
        <f aca="false">IF(N(E31)&gt;0,1,0)</f>
        <v>0</v>
      </c>
      <c r="S21" s="0" t="n">
        <v>2</v>
      </c>
    </row>
    <row r="22" customFormat="false" ht="15" hidden="false" customHeight="false" outlineLevel="0" collapsed="false">
      <c r="A22" s="22" t="n">
        <f aca="false">IF(2&lt;=NW,WEEK_ONE+8,"")</f>
        <v>46026</v>
      </c>
      <c r="B22" s="23" t="str">
        <f aca="false">IF(A22="","",CHOOSE(WEEKDAY(A22,1),"الأحد","الاثنين","الثلاثاء","الأربعاء","الخميس","الجمعة","السبت"))</f>
        <v>الأحد</v>
      </c>
      <c r="C22" s="24"/>
      <c r="D22" s="24"/>
      <c r="E22" s="25" t="str">
        <f aca="false">IF(OR(M22=0,K22="",L22=""),"",MOD(L22-K22,1))</f>
        <v/>
      </c>
      <c r="F22" s="26" t="str">
        <f aca="false">IF(OR(E22="",M22=0),"",IF(ROUND_MODE="للأعلى",CEILING(ROUND((E22*24*$N$19),3),0.25),ROUND((E22*24*$N$19)*4,0)/4))</f>
        <v/>
      </c>
      <c r="G22" s="24"/>
      <c r="H22" s="27"/>
      <c r="K22" s="28" t="str">
        <f aca="false">IF(OR(M22=0,C22=""),"",IF(ISNUMBER(C22),MOD(C22,1),IFERROR(INDEX(القوائم!$B$1:$B$288,MATCH(TRIM(C22),القوائم!$A$1:$A$288,0)),IFERROR(MOD(TIMEVALUE(C22),1),""))))</f>
        <v/>
      </c>
      <c r="L22" s="28" t="str">
        <f aca="false">IF(OR(M22=0,D22=""),"",IF(ISNUMBER(D22),MOD(D22,1),IFERROR(INDEX(القوائم!$B$1:$B$288,MATCH(TRIM(D22),القوائم!$A$1:$A$288,0)),IFERROR(MOD(TIMEVALUE(D22),1),""))))</f>
        <v/>
      </c>
      <c r="M22" s="19" t="n">
        <f aca="false">$M$19</f>
        <v>0</v>
      </c>
      <c r="Q22" s="19" t="n">
        <f aca="false">IF(N(E31)&gt;0,1,0)</f>
        <v>0</v>
      </c>
      <c r="S22" s="0" t="n">
        <v>2</v>
      </c>
    </row>
    <row r="23" customFormat="false" ht="15" hidden="false" customHeight="false" outlineLevel="0" collapsed="false">
      <c r="A23" s="22" t="n">
        <f aca="false">IF(2&lt;=NW,WEEK_ONE+9,"")</f>
        <v>46027</v>
      </c>
      <c r="B23" s="23" t="str">
        <f aca="false">IF(A23="","",CHOOSE(WEEKDAY(A23,1),"الأحد","الاثنين","الثلاثاء","الأربعاء","الخميس","الجمعة","السبت"))</f>
        <v>الاثنين</v>
      </c>
      <c r="C23" s="24"/>
      <c r="D23" s="24"/>
      <c r="E23" s="25" t="str">
        <f aca="false">IF(OR(M23=0,K23="",L23=""),"",MOD(L23-K23,1))</f>
        <v/>
      </c>
      <c r="F23" s="26" t="str">
        <f aca="false">IF(OR(E23="",M23=0),"",IF(ROUND_MODE="للأعلى",CEILING(ROUND((E23*24*$N$19),3),0.25),ROUND((E23*24*$N$19)*4,0)/4))</f>
        <v/>
      </c>
      <c r="G23" s="24"/>
      <c r="H23" s="27"/>
      <c r="K23" s="28" t="str">
        <f aca="false">IF(OR(M23=0,C23=""),"",IF(ISNUMBER(C23),MOD(C23,1),IFERROR(INDEX(القوائم!$B$1:$B$288,MATCH(TRIM(C23),القوائم!$A$1:$A$288,0)),IFERROR(MOD(TIMEVALUE(C23),1),""))))</f>
        <v/>
      </c>
      <c r="L23" s="28" t="str">
        <f aca="false">IF(OR(M23=0,D23=""),"",IF(ISNUMBER(D23),MOD(D23,1),IFERROR(INDEX(القوائم!$B$1:$B$288,MATCH(TRIM(D23),القوائم!$A$1:$A$288,0)),IFERROR(MOD(TIMEVALUE(D23),1),""))))</f>
        <v/>
      </c>
      <c r="M23" s="19" t="n">
        <f aca="false">$M$19</f>
        <v>0</v>
      </c>
      <c r="Q23" s="19" t="n">
        <f aca="false">IF(N(E31)&gt;0,1,0)</f>
        <v>0</v>
      </c>
      <c r="S23" s="0" t="n">
        <v>2</v>
      </c>
    </row>
    <row r="24" customFormat="false" ht="15" hidden="false" customHeight="false" outlineLevel="0" collapsed="false">
      <c r="A24" s="22" t="n">
        <f aca="false">IF(2&lt;=NW,WEEK_ONE+10,"")</f>
        <v>46028</v>
      </c>
      <c r="B24" s="23" t="str">
        <f aca="false">IF(A24="","",CHOOSE(WEEKDAY(A24,1),"الأحد","الاثنين","الثلاثاء","الأربعاء","الخميس","الجمعة","السبت"))</f>
        <v>الثلاثاء</v>
      </c>
      <c r="C24" s="24"/>
      <c r="D24" s="24"/>
      <c r="E24" s="25" t="str">
        <f aca="false">IF(OR(M24=0,K24="",L24=""),"",MOD(L24-K24,1))</f>
        <v/>
      </c>
      <c r="F24" s="26" t="str">
        <f aca="false">IF(OR(E24="",M24=0),"",IF(ROUND_MODE="للأعلى",CEILING(ROUND((E24*24*$N$19),3),0.25),ROUND((E24*24*$N$19)*4,0)/4))</f>
        <v/>
      </c>
      <c r="G24" s="24"/>
      <c r="H24" s="27"/>
      <c r="K24" s="28" t="str">
        <f aca="false">IF(OR(M24=0,C24=""),"",IF(ISNUMBER(C24),MOD(C24,1),IFERROR(INDEX(القوائم!$B$1:$B$288,MATCH(TRIM(C24),القوائم!$A$1:$A$288,0)),IFERROR(MOD(TIMEVALUE(C24),1),""))))</f>
        <v/>
      </c>
      <c r="L24" s="28" t="str">
        <f aca="false">IF(OR(M24=0,D24=""),"",IF(ISNUMBER(D24),MOD(D24,1),IFERROR(INDEX(القوائم!$B$1:$B$288,MATCH(TRIM(D24),القوائم!$A$1:$A$288,0)),IFERROR(MOD(TIMEVALUE(D24),1),""))))</f>
        <v/>
      </c>
      <c r="M24" s="19" t="n">
        <f aca="false">$M$19</f>
        <v>0</v>
      </c>
      <c r="Q24" s="19" t="n">
        <f aca="false">IF(N(E31)&gt;0,1,0)</f>
        <v>0</v>
      </c>
      <c r="S24" s="0" t="n">
        <v>2</v>
      </c>
    </row>
    <row r="25" customFormat="false" ht="15" hidden="false" customHeight="false" outlineLevel="0" collapsed="false">
      <c r="A25" s="22" t="n">
        <f aca="false">IF(2&lt;=NW,WEEK_ONE+11,"")</f>
        <v>46029</v>
      </c>
      <c r="B25" s="23" t="str">
        <f aca="false">IF(A25="","",CHOOSE(WEEKDAY(A25,1),"الأحد","الاثنين","الثلاثاء","الأربعاء","الخميس","الجمعة","السبت"))</f>
        <v>الأربعاء</v>
      </c>
      <c r="C25" s="24"/>
      <c r="D25" s="24"/>
      <c r="E25" s="25" t="str">
        <f aca="false">IF(OR(M25=0,K25="",L25=""),"",MOD(L25-K25,1))</f>
        <v/>
      </c>
      <c r="F25" s="26" t="str">
        <f aca="false">IF(OR(E25="",M25=0),"",IF(ROUND_MODE="للأعلى",CEILING(ROUND((E25*24*$N$19),3),0.25),ROUND((E25*24*$N$19)*4,0)/4))</f>
        <v/>
      </c>
      <c r="G25" s="24"/>
      <c r="H25" s="27"/>
      <c r="K25" s="28" t="str">
        <f aca="false">IF(OR(M25=0,C25=""),"",IF(ISNUMBER(C25),MOD(C25,1),IFERROR(INDEX(القوائم!$B$1:$B$288,MATCH(TRIM(C25),القوائم!$A$1:$A$288,0)),IFERROR(MOD(TIMEVALUE(C25),1),""))))</f>
        <v/>
      </c>
      <c r="L25" s="28" t="str">
        <f aca="false">IF(OR(M25=0,D25=""),"",IF(ISNUMBER(D25),MOD(D25,1),IFERROR(INDEX(القوائم!$B$1:$B$288,MATCH(TRIM(D25),القوائم!$A$1:$A$288,0)),IFERROR(MOD(TIMEVALUE(D25),1),""))))</f>
        <v/>
      </c>
      <c r="M25" s="19" t="n">
        <f aca="false">$M$19</f>
        <v>0</v>
      </c>
      <c r="Q25" s="19" t="n">
        <f aca="false">IF(N(E31)&gt;0,1,0)</f>
        <v>0</v>
      </c>
      <c r="S25" s="0" t="n">
        <v>2</v>
      </c>
    </row>
    <row r="26" customFormat="false" ht="15" hidden="false" customHeight="false" outlineLevel="0" collapsed="false">
      <c r="A26" s="22" t="n">
        <f aca="false">IF(2&lt;=NW,WEEK_ONE+12,"")</f>
        <v>46030</v>
      </c>
      <c r="B26" s="23" t="str">
        <f aca="false">IF(A26="","",CHOOSE(WEEKDAY(A26,1),"الأحد","الاثنين","الثلاثاء","الأربعاء","الخميس","الجمعة","السبت"))</f>
        <v>الخميس</v>
      </c>
      <c r="C26" s="24"/>
      <c r="D26" s="24"/>
      <c r="E26" s="25" t="str">
        <f aca="false">IF(OR(M26=0,K26="",L26=""),"",MOD(L26-K26,1))</f>
        <v/>
      </c>
      <c r="F26" s="26" t="str">
        <f aca="false">IF(OR(E26="",M26=0),"",IF(ROUND_MODE="للأعلى",CEILING(ROUND((E26*24*$N$19),3),0.25),ROUND((E26*24*$N$19)*4,0)/4))</f>
        <v/>
      </c>
      <c r="G26" s="24"/>
      <c r="H26" s="27"/>
      <c r="K26" s="28" t="str">
        <f aca="false">IF(OR(M26=0,C26=""),"",IF(ISNUMBER(C26),MOD(C26,1),IFERROR(INDEX(القوائم!$B$1:$B$288,MATCH(TRIM(C26),القوائم!$A$1:$A$288,0)),IFERROR(MOD(TIMEVALUE(C26),1),""))))</f>
        <v/>
      </c>
      <c r="L26" s="28" t="str">
        <f aca="false">IF(OR(M26=0,D26=""),"",IF(ISNUMBER(D26),MOD(D26,1),IFERROR(INDEX(القوائم!$B$1:$B$288,MATCH(TRIM(D26),القوائم!$A$1:$A$288,0)),IFERROR(MOD(TIMEVALUE(D26),1),""))))</f>
        <v/>
      </c>
      <c r="M26" s="19" t="n">
        <f aca="false">$M$19</f>
        <v>0</v>
      </c>
      <c r="Q26" s="19" t="n">
        <f aca="false">IF(N(E31)&gt;0,1,0)</f>
        <v>0</v>
      </c>
      <c r="S26" s="0" t="n">
        <v>2</v>
      </c>
    </row>
    <row r="27" customFormat="false" ht="15" hidden="false" customHeight="false" outlineLevel="0" collapsed="false">
      <c r="A27" s="29" t="n">
        <f aca="false">IF(2&lt;=NW,WEEK_ONE+13,"")</f>
        <v>46031</v>
      </c>
      <c r="B27" s="30" t="str">
        <f aca="false">IF(A27="","",CHOOSE(WEEKDAY(A27,1),"الأحد","الاثنين","الثلاثاء","الأربعاء","الخميس","الجمعة","السبت"))</f>
        <v>الجمعة</v>
      </c>
      <c r="C27" s="24"/>
      <c r="D27" s="24"/>
      <c r="E27" s="25" t="str">
        <f aca="false">IF(OR(M27=0,K27="",L27=""),"",MOD(L27-K27,1))</f>
        <v/>
      </c>
      <c r="F27" s="26" t="str">
        <f aca="false">IF(OR(E27="",M27=0),"",IF(ROUND_MODE="للأعلى",CEILING(ROUND((E27*24*$N$19),3),0.25),ROUND((E27*24*$N$19)*4,0)/4))</f>
        <v/>
      </c>
      <c r="G27" s="24"/>
      <c r="H27" s="27"/>
      <c r="K27" s="28" t="str">
        <f aca="false">IF(OR(M27=0,C27=""),"",IF(ISNUMBER(C27),MOD(C27,1),IFERROR(INDEX(القوائم!$B$1:$B$288,MATCH(TRIM(C27),القوائم!$A$1:$A$288,0)),IFERROR(MOD(TIMEVALUE(C27),1),""))))</f>
        <v/>
      </c>
      <c r="L27" s="28" t="str">
        <f aca="false">IF(OR(M27=0,D27=""),"",IF(ISNUMBER(D27),MOD(D27,1),IFERROR(INDEX(القوائم!$B$1:$B$288,MATCH(TRIM(D27),القوائم!$A$1:$A$288,0)),IFERROR(MOD(TIMEVALUE(D27),1),""))))</f>
        <v/>
      </c>
      <c r="M27" s="19" t="n">
        <f aca="false">$M$19</f>
        <v>0</v>
      </c>
      <c r="Q27" s="19" t="n">
        <f aca="false">IF(N(E31)&gt;0,1,0)</f>
        <v>0</v>
      </c>
      <c r="S27" s="0" t="n">
        <v>2</v>
      </c>
    </row>
    <row r="28" customFormat="false" ht="15" hidden="false" customHeight="false" outlineLevel="0" collapsed="false">
      <c r="A28" s="31" t="str">
        <f aca="false">IF(M19=1,"ساعات تحميل الجبسمبورد بهالأسبوع ←","")</f>
        <v/>
      </c>
      <c r="B28" s="31"/>
      <c r="C28" s="31"/>
      <c r="D28" s="31"/>
      <c r="E28" s="32"/>
      <c r="F28" s="33" t="str">
        <f aca="false">IF(M19=1,"كل ساعة تحميل = "&amp;TEXT($P$19,"0.000")&amp;" دينار (منها "&amp;TEXT($N$19,"0.000")&amp;" محسوبة أصلاً بساعات اليوم)","")</f>
        <v/>
      </c>
      <c r="G28" s="33"/>
      <c r="H28" s="33"/>
      <c r="M28" s="19" t="n">
        <f aca="false">$M$19</f>
        <v>0</v>
      </c>
      <c r="Q28" s="19" t="n">
        <f aca="false">IF(N(E31)&gt;0,1,0)</f>
        <v>0</v>
      </c>
      <c r="S28" s="0" t="n">
        <v>2</v>
      </c>
    </row>
    <row r="29" customFormat="false" ht="15" hidden="false" customHeight="false" outlineLevel="0" collapsed="false">
      <c r="A29" s="31" t="str">
        <f aca="false">IF(M19=1,"إكرامية الأسبوع (دينار) ←","")</f>
        <v/>
      </c>
      <c r="B29" s="31"/>
      <c r="C29" s="31"/>
      <c r="D29" s="31"/>
      <c r="E29" s="34"/>
      <c r="F29" s="35"/>
      <c r="G29" s="35"/>
      <c r="H29" s="35"/>
      <c r="M29" s="19" t="n">
        <f aca="false">$M$19</f>
        <v>0</v>
      </c>
      <c r="Q29" s="19" t="n">
        <f aca="false">IF(N(E31)&gt;0,1,0)</f>
        <v>0</v>
      </c>
      <c r="S29" s="0" t="n">
        <v>2</v>
      </c>
    </row>
    <row r="30" customFormat="false" ht="36" hidden="false" customHeight="true" outlineLevel="0" collapsed="false">
      <c r="A30" s="36" t="str">
        <f aca="false">IF(M19=1,"المستحق النهائي للأسبوع","")</f>
        <v/>
      </c>
      <c r="B30" s="36"/>
      <c r="C30" s="36"/>
      <c r="D30" s="36"/>
      <c r="E30" s="36"/>
      <c r="F30" s="11" t="str">
        <f aca="false">IF(M19=1,ROUND(N($V$19)+N(E28)*($P$19-$N$19)+N(E29),3),"")</f>
        <v/>
      </c>
      <c r="G30" s="35"/>
      <c r="H30" s="35"/>
      <c r="M30" s="19" t="n">
        <f aca="false">$M$19</f>
        <v>0</v>
      </c>
      <c r="Q30" s="19" t="n">
        <f aca="false">IF(N(E31)&gt;0,1,0)</f>
        <v>0</v>
      </c>
      <c r="S30" s="0" t="n">
        <v>2</v>
      </c>
      <c r="T30" s="0" t="n">
        <v>1</v>
      </c>
    </row>
    <row r="31" customFormat="false" ht="25.5" hidden="false" customHeight="true" outlineLevel="0" collapsed="false">
      <c r="A31" s="31" t="str">
        <f aca="false">IF(M19=1,"المدفوع (دينار) ←","")</f>
        <v/>
      </c>
      <c r="B31" s="31"/>
      <c r="C31" s="31"/>
      <c r="D31" s="31"/>
      <c r="E31" s="34"/>
      <c r="F31" s="38" t="str">
        <f aca="false">IF(M19=1,IF(N(E31)&gt;0,"✔ انقبض — الأسبوع مقفول","⏳ لسا ما انقبض"),"")</f>
        <v/>
      </c>
      <c r="G31" s="38"/>
      <c r="H31" s="38"/>
      <c r="M31" s="19" t="n">
        <f aca="false">$M$19</f>
        <v>0</v>
      </c>
      <c r="Q31" s="19" t="n">
        <f aca="false">IF(N(E31)&gt;0,1,0)</f>
        <v>0</v>
      </c>
      <c r="S31" s="0" t="n">
        <v>2</v>
      </c>
    </row>
    <row r="32" customFormat="false" ht="9.75" hidden="false" customHeight="true" outlineLevel="0" collapsed="false">
      <c r="M32" s="19" t="n">
        <f aca="false">$M$19</f>
        <v>0</v>
      </c>
      <c r="Q32" s="19" t="n">
        <f aca="false">IF(N(E31)&gt;0,1,0)</f>
        <v>0</v>
      </c>
      <c r="S32" s="0" t="n">
        <v>2</v>
      </c>
      <c r="T32" s="0" t="n">
        <v>2</v>
      </c>
    </row>
    <row r="33" customFormat="false" ht="33.75" hidden="false" customHeight="true" outlineLevel="0" collapsed="false">
      <c r="A33" s="17" t="str">
        <f aca="false">IF(3&lt;=NW,TEXT(DAY(WEEK_ONE+14),"00")&amp;"/"&amp;TEXT(MONTH(WEEK_ONE+14),"00")&amp;"/"&amp;YEAR(WEEK_ONE+14)&amp;"  -  "&amp;TEXT(DAY(WEEK_ONE+20),"00")&amp;"/"&amp;TEXT(MONTH(WEEK_ONE+20),"00")&amp;"/"&amp;YEAR(WEEK_ONE+20)&amp;"   ·   الأسبوع 3"&amp;IF(3&lt;START_Z,"   (قبل أسبوع البداية — ما بينحسب)",""),"ما في أسبوع 3 هالسنة")</f>
        <v>10/01/2026  -  16/01/2026   ·   الأسبوع 3   (قبل أسبوع البداية — ما بينحسب)</v>
      </c>
      <c r="B33" s="17"/>
      <c r="C33" s="17"/>
      <c r="D33" s="17"/>
      <c r="E33" s="17"/>
      <c r="F33" s="17"/>
      <c r="G33" s="17"/>
      <c r="H33" s="17"/>
      <c r="L33" s="18" t="n">
        <f aca="false">IF(3&lt;=NW,WEEK_ONE+20,"")</f>
        <v>46038</v>
      </c>
      <c r="M33" s="19" t="n">
        <f aca="false">IF(AND(3&lt;=NW,3&gt;=START_Z),1,0)</f>
        <v>0</v>
      </c>
      <c r="N33" s="20" t="n">
        <f aca="false">IFERROR(INDEX(RT_AZZ,MATCH(L33,RT_K,1)),INDEX(RT_AZZ,1))</f>
        <v>1</v>
      </c>
      <c r="P33" s="20" t="n">
        <f aca="false">IFERROR(INDEX(RT_GYP,MATCH(L33,RT_K,1)),INDEX(RT_GYP,1))</f>
        <v>2.5</v>
      </c>
      <c r="Q33" s="19" t="n">
        <f aca="false">IF(N(E45)&gt;0,1,0)</f>
        <v>0</v>
      </c>
      <c r="R33" s="0" t="n">
        <v>3</v>
      </c>
      <c r="S33" s="0" t="n">
        <v>3</v>
      </c>
      <c r="U33" s="19" t="n">
        <f aca="false">IF(M33=1,SUM(E35:E41),0)</f>
        <v>0</v>
      </c>
      <c r="V33" s="19" t="n">
        <f aca="false">SUM(F35:F41)</f>
        <v>0</v>
      </c>
      <c r="W33" s="19" t="n">
        <f aca="false">IF(M33=1,SUMIFS(F35:F41,G35:G41,"نعم"),0)</f>
        <v>0</v>
      </c>
    </row>
    <row r="34" customFormat="false" ht="39.75" hidden="false" customHeight="true" outlineLevel="0" collapsed="false">
      <c r="A34" s="21" t="s">
        <v>18</v>
      </c>
      <c r="B34" s="21" t="s">
        <v>19</v>
      </c>
      <c r="C34" s="21" t="s">
        <v>20</v>
      </c>
      <c r="D34" s="21" t="s">
        <v>21</v>
      </c>
      <c r="E34" s="21" t="s">
        <v>22</v>
      </c>
      <c r="F34" s="21" t="s">
        <v>29</v>
      </c>
      <c r="G34" s="21" t="s">
        <v>30</v>
      </c>
      <c r="H34" s="21" t="s">
        <v>26</v>
      </c>
      <c r="M34" s="19" t="n">
        <f aca="false">$M$33</f>
        <v>0</v>
      </c>
      <c r="Q34" s="19" t="n">
        <f aca="false">IF(N(E45)&gt;0,1,0)</f>
        <v>0</v>
      </c>
      <c r="S34" s="0" t="n">
        <v>3</v>
      </c>
    </row>
    <row r="35" customFormat="false" ht="15" hidden="false" customHeight="false" outlineLevel="0" collapsed="false">
      <c r="A35" s="22" t="n">
        <f aca="false">IF(3&lt;=NW,WEEK_ONE+14,"")</f>
        <v>46032</v>
      </c>
      <c r="B35" s="23" t="str">
        <f aca="false">IF(A35="","",CHOOSE(WEEKDAY(A35,1),"الأحد","الاثنين","الثلاثاء","الأربعاء","الخميس","الجمعة","السبت"))</f>
        <v>السبت</v>
      </c>
      <c r="C35" s="24"/>
      <c r="D35" s="24"/>
      <c r="E35" s="25" t="str">
        <f aca="false">IF(OR(M35=0,K35="",L35=""),"",MOD(L35-K35,1))</f>
        <v/>
      </c>
      <c r="F35" s="26" t="str">
        <f aca="false">IF(OR(E35="",M35=0),"",IF(ROUND_MODE="للأعلى",CEILING(ROUND((E35*24*$N$33),3),0.25),ROUND((E35*24*$N$33)*4,0)/4))</f>
        <v/>
      </c>
      <c r="G35" s="24"/>
      <c r="H35" s="27"/>
      <c r="K35" s="28" t="str">
        <f aca="false">IF(OR(M35=0,C35=""),"",IF(ISNUMBER(C35),MOD(C35,1),IFERROR(INDEX(القوائم!$B$1:$B$288,MATCH(TRIM(C35),القوائم!$A$1:$A$288,0)),IFERROR(MOD(TIMEVALUE(C35),1),""))))</f>
        <v/>
      </c>
      <c r="L35" s="28" t="str">
        <f aca="false">IF(OR(M35=0,D35=""),"",IF(ISNUMBER(D35),MOD(D35,1),IFERROR(INDEX(القوائم!$B$1:$B$288,MATCH(TRIM(D35),القوائم!$A$1:$A$288,0)),IFERROR(MOD(TIMEVALUE(D35),1),""))))</f>
        <v/>
      </c>
      <c r="M35" s="19" t="n">
        <f aca="false">$M$33</f>
        <v>0</v>
      </c>
      <c r="Q35" s="19" t="n">
        <f aca="false">IF(N(E45)&gt;0,1,0)</f>
        <v>0</v>
      </c>
      <c r="S35" s="0" t="n">
        <v>3</v>
      </c>
    </row>
    <row r="36" customFormat="false" ht="15" hidden="false" customHeight="false" outlineLevel="0" collapsed="false">
      <c r="A36" s="22" t="n">
        <f aca="false">IF(3&lt;=NW,WEEK_ONE+15,"")</f>
        <v>46033</v>
      </c>
      <c r="B36" s="23" t="str">
        <f aca="false">IF(A36="","",CHOOSE(WEEKDAY(A36,1),"الأحد","الاثنين","الثلاثاء","الأربعاء","الخميس","الجمعة","السبت"))</f>
        <v>الأحد</v>
      </c>
      <c r="C36" s="24"/>
      <c r="D36" s="24"/>
      <c r="E36" s="25" t="str">
        <f aca="false">IF(OR(M36=0,K36="",L36=""),"",MOD(L36-K36,1))</f>
        <v/>
      </c>
      <c r="F36" s="26" t="str">
        <f aca="false">IF(OR(E36="",M36=0),"",IF(ROUND_MODE="للأعلى",CEILING(ROUND((E36*24*$N$33),3),0.25),ROUND((E36*24*$N$33)*4,0)/4))</f>
        <v/>
      </c>
      <c r="G36" s="24"/>
      <c r="H36" s="27"/>
      <c r="K36" s="28" t="str">
        <f aca="false">IF(OR(M36=0,C36=""),"",IF(ISNUMBER(C36),MOD(C36,1),IFERROR(INDEX(القوائم!$B$1:$B$288,MATCH(TRIM(C36),القوائم!$A$1:$A$288,0)),IFERROR(MOD(TIMEVALUE(C36),1),""))))</f>
        <v/>
      </c>
      <c r="L36" s="28" t="str">
        <f aca="false">IF(OR(M36=0,D36=""),"",IF(ISNUMBER(D36),MOD(D36,1),IFERROR(INDEX(القوائم!$B$1:$B$288,MATCH(TRIM(D36),القوائم!$A$1:$A$288,0)),IFERROR(MOD(TIMEVALUE(D36),1),""))))</f>
        <v/>
      </c>
      <c r="M36" s="19" t="n">
        <f aca="false">$M$33</f>
        <v>0</v>
      </c>
      <c r="Q36" s="19" t="n">
        <f aca="false">IF(N(E45)&gt;0,1,0)</f>
        <v>0</v>
      </c>
      <c r="S36" s="0" t="n">
        <v>3</v>
      </c>
    </row>
    <row r="37" customFormat="false" ht="15" hidden="false" customHeight="false" outlineLevel="0" collapsed="false">
      <c r="A37" s="22" t="n">
        <f aca="false">IF(3&lt;=NW,WEEK_ONE+16,"")</f>
        <v>46034</v>
      </c>
      <c r="B37" s="23" t="str">
        <f aca="false">IF(A37="","",CHOOSE(WEEKDAY(A37,1),"الأحد","الاثنين","الثلاثاء","الأربعاء","الخميس","الجمعة","السبت"))</f>
        <v>الاثنين</v>
      </c>
      <c r="C37" s="24"/>
      <c r="D37" s="24"/>
      <c r="E37" s="25" t="str">
        <f aca="false">IF(OR(M37=0,K37="",L37=""),"",MOD(L37-K37,1))</f>
        <v/>
      </c>
      <c r="F37" s="26" t="str">
        <f aca="false">IF(OR(E37="",M37=0),"",IF(ROUND_MODE="للأعلى",CEILING(ROUND((E37*24*$N$33),3),0.25),ROUND((E37*24*$N$33)*4,0)/4))</f>
        <v/>
      </c>
      <c r="G37" s="24"/>
      <c r="H37" s="27"/>
      <c r="K37" s="28" t="str">
        <f aca="false">IF(OR(M37=0,C37=""),"",IF(ISNUMBER(C37),MOD(C37,1),IFERROR(INDEX(القوائم!$B$1:$B$288,MATCH(TRIM(C37),القوائم!$A$1:$A$288,0)),IFERROR(MOD(TIMEVALUE(C37),1),""))))</f>
        <v/>
      </c>
      <c r="L37" s="28" t="str">
        <f aca="false">IF(OR(M37=0,D37=""),"",IF(ISNUMBER(D37),MOD(D37,1),IFERROR(INDEX(القوائم!$B$1:$B$288,MATCH(TRIM(D37),القوائم!$A$1:$A$288,0)),IFERROR(MOD(TIMEVALUE(D37),1),""))))</f>
        <v/>
      </c>
      <c r="M37" s="19" t="n">
        <f aca="false">$M$33</f>
        <v>0</v>
      </c>
      <c r="Q37" s="19" t="n">
        <f aca="false">IF(N(E45)&gt;0,1,0)</f>
        <v>0</v>
      </c>
      <c r="S37" s="0" t="n">
        <v>3</v>
      </c>
    </row>
    <row r="38" customFormat="false" ht="15" hidden="false" customHeight="false" outlineLevel="0" collapsed="false">
      <c r="A38" s="22" t="n">
        <f aca="false">IF(3&lt;=NW,WEEK_ONE+17,"")</f>
        <v>46035</v>
      </c>
      <c r="B38" s="23" t="str">
        <f aca="false">IF(A38="","",CHOOSE(WEEKDAY(A38,1),"الأحد","الاثنين","الثلاثاء","الأربعاء","الخميس","الجمعة","السبت"))</f>
        <v>الثلاثاء</v>
      </c>
      <c r="C38" s="24"/>
      <c r="D38" s="24"/>
      <c r="E38" s="25" t="str">
        <f aca="false">IF(OR(M38=0,K38="",L38=""),"",MOD(L38-K38,1))</f>
        <v/>
      </c>
      <c r="F38" s="26" t="str">
        <f aca="false">IF(OR(E38="",M38=0),"",IF(ROUND_MODE="للأعلى",CEILING(ROUND((E38*24*$N$33),3),0.25),ROUND((E38*24*$N$33)*4,0)/4))</f>
        <v/>
      </c>
      <c r="G38" s="24"/>
      <c r="H38" s="27"/>
      <c r="K38" s="28" t="str">
        <f aca="false">IF(OR(M38=0,C38=""),"",IF(ISNUMBER(C38),MOD(C38,1),IFERROR(INDEX(القوائم!$B$1:$B$288,MATCH(TRIM(C38),القوائم!$A$1:$A$288,0)),IFERROR(MOD(TIMEVALUE(C38),1),""))))</f>
        <v/>
      </c>
      <c r="L38" s="28" t="str">
        <f aca="false">IF(OR(M38=0,D38=""),"",IF(ISNUMBER(D38),MOD(D38,1),IFERROR(INDEX(القوائم!$B$1:$B$288,MATCH(TRIM(D38),القوائم!$A$1:$A$288,0)),IFERROR(MOD(TIMEVALUE(D38),1),""))))</f>
        <v/>
      </c>
      <c r="M38" s="19" t="n">
        <f aca="false">$M$33</f>
        <v>0</v>
      </c>
      <c r="Q38" s="19" t="n">
        <f aca="false">IF(N(E45)&gt;0,1,0)</f>
        <v>0</v>
      </c>
      <c r="S38" s="0" t="n">
        <v>3</v>
      </c>
    </row>
    <row r="39" customFormat="false" ht="15" hidden="false" customHeight="false" outlineLevel="0" collapsed="false">
      <c r="A39" s="22" t="n">
        <f aca="false">IF(3&lt;=NW,WEEK_ONE+18,"")</f>
        <v>46036</v>
      </c>
      <c r="B39" s="23" t="str">
        <f aca="false">IF(A39="","",CHOOSE(WEEKDAY(A39,1),"الأحد","الاثنين","الثلاثاء","الأربعاء","الخميس","الجمعة","السبت"))</f>
        <v>الأربعاء</v>
      </c>
      <c r="C39" s="24"/>
      <c r="D39" s="24"/>
      <c r="E39" s="25" t="str">
        <f aca="false">IF(OR(M39=0,K39="",L39=""),"",MOD(L39-K39,1))</f>
        <v/>
      </c>
      <c r="F39" s="26" t="str">
        <f aca="false">IF(OR(E39="",M39=0),"",IF(ROUND_MODE="للأعلى",CEILING(ROUND((E39*24*$N$33),3),0.25),ROUND((E39*24*$N$33)*4,0)/4))</f>
        <v/>
      </c>
      <c r="G39" s="24"/>
      <c r="H39" s="27"/>
      <c r="K39" s="28" t="str">
        <f aca="false">IF(OR(M39=0,C39=""),"",IF(ISNUMBER(C39),MOD(C39,1),IFERROR(INDEX(القوائم!$B$1:$B$288,MATCH(TRIM(C39),القوائم!$A$1:$A$288,0)),IFERROR(MOD(TIMEVALUE(C39),1),""))))</f>
        <v/>
      </c>
      <c r="L39" s="28" t="str">
        <f aca="false">IF(OR(M39=0,D39=""),"",IF(ISNUMBER(D39),MOD(D39,1),IFERROR(INDEX(القوائم!$B$1:$B$288,MATCH(TRIM(D39),القوائم!$A$1:$A$288,0)),IFERROR(MOD(TIMEVALUE(D39),1),""))))</f>
        <v/>
      </c>
      <c r="M39" s="19" t="n">
        <f aca="false">$M$33</f>
        <v>0</v>
      </c>
      <c r="Q39" s="19" t="n">
        <f aca="false">IF(N(E45)&gt;0,1,0)</f>
        <v>0</v>
      </c>
      <c r="S39" s="0" t="n">
        <v>3</v>
      </c>
    </row>
    <row r="40" customFormat="false" ht="15" hidden="false" customHeight="false" outlineLevel="0" collapsed="false">
      <c r="A40" s="22" t="n">
        <f aca="false">IF(3&lt;=NW,WEEK_ONE+19,"")</f>
        <v>46037</v>
      </c>
      <c r="B40" s="23" t="str">
        <f aca="false">IF(A40="","",CHOOSE(WEEKDAY(A40,1),"الأحد","الاثنين","الثلاثاء","الأربعاء","الخميس","الجمعة","السبت"))</f>
        <v>الخميس</v>
      </c>
      <c r="C40" s="24"/>
      <c r="D40" s="24"/>
      <c r="E40" s="25" t="str">
        <f aca="false">IF(OR(M40=0,K40="",L40=""),"",MOD(L40-K40,1))</f>
        <v/>
      </c>
      <c r="F40" s="26" t="str">
        <f aca="false">IF(OR(E40="",M40=0),"",IF(ROUND_MODE="للأعلى",CEILING(ROUND((E40*24*$N$33),3),0.25),ROUND((E40*24*$N$33)*4,0)/4))</f>
        <v/>
      </c>
      <c r="G40" s="24"/>
      <c r="H40" s="27"/>
      <c r="K40" s="28" t="str">
        <f aca="false">IF(OR(M40=0,C40=""),"",IF(ISNUMBER(C40),MOD(C40,1),IFERROR(INDEX(القوائم!$B$1:$B$288,MATCH(TRIM(C40),القوائم!$A$1:$A$288,0)),IFERROR(MOD(TIMEVALUE(C40),1),""))))</f>
        <v/>
      </c>
      <c r="L40" s="28" t="str">
        <f aca="false">IF(OR(M40=0,D40=""),"",IF(ISNUMBER(D40),MOD(D40,1),IFERROR(INDEX(القوائم!$B$1:$B$288,MATCH(TRIM(D40),القوائم!$A$1:$A$288,0)),IFERROR(MOD(TIMEVALUE(D40),1),""))))</f>
        <v/>
      </c>
      <c r="M40" s="19" t="n">
        <f aca="false">$M$33</f>
        <v>0</v>
      </c>
      <c r="Q40" s="19" t="n">
        <f aca="false">IF(N(E45)&gt;0,1,0)</f>
        <v>0</v>
      </c>
      <c r="S40" s="0" t="n">
        <v>3</v>
      </c>
    </row>
    <row r="41" customFormat="false" ht="15" hidden="false" customHeight="false" outlineLevel="0" collapsed="false">
      <c r="A41" s="29" t="n">
        <f aca="false">IF(3&lt;=NW,WEEK_ONE+20,"")</f>
        <v>46038</v>
      </c>
      <c r="B41" s="30" t="str">
        <f aca="false">IF(A41="","",CHOOSE(WEEKDAY(A41,1),"الأحد","الاثنين","الثلاثاء","الأربعاء","الخميس","الجمعة","السبت"))</f>
        <v>الجمعة</v>
      </c>
      <c r="C41" s="24"/>
      <c r="D41" s="24"/>
      <c r="E41" s="25" t="str">
        <f aca="false">IF(OR(M41=0,K41="",L41=""),"",MOD(L41-K41,1))</f>
        <v/>
      </c>
      <c r="F41" s="26" t="str">
        <f aca="false">IF(OR(E41="",M41=0),"",IF(ROUND_MODE="للأعلى",CEILING(ROUND((E41*24*$N$33),3),0.25),ROUND((E41*24*$N$33)*4,0)/4))</f>
        <v/>
      </c>
      <c r="G41" s="24"/>
      <c r="H41" s="27"/>
      <c r="K41" s="28" t="str">
        <f aca="false">IF(OR(M41=0,C41=""),"",IF(ISNUMBER(C41),MOD(C41,1),IFERROR(INDEX(القوائم!$B$1:$B$288,MATCH(TRIM(C41),القوائم!$A$1:$A$288,0)),IFERROR(MOD(TIMEVALUE(C41),1),""))))</f>
        <v/>
      </c>
      <c r="L41" s="28" t="str">
        <f aca="false">IF(OR(M41=0,D41=""),"",IF(ISNUMBER(D41),MOD(D41,1),IFERROR(INDEX(القوائم!$B$1:$B$288,MATCH(TRIM(D41),القوائم!$A$1:$A$288,0)),IFERROR(MOD(TIMEVALUE(D41),1),""))))</f>
        <v/>
      </c>
      <c r="M41" s="19" t="n">
        <f aca="false">$M$33</f>
        <v>0</v>
      </c>
      <c r="Q41" s="19" t="n">
        <f aca="false">IF(N(E45)&gt;0,1,0)</f>
        <v>0</v>
      </c>
      <c r="S41" s="0" t="n">
        <v>3</v>
      </c>
    </row>
    <row r="42" customFormat="false" ht="15" hidden="false" customHeight="false" outlineLevel="0" collapsed="false">
      <c r="A42" s="31" t="str">
        <f aca="false">IF(M33=1,"ساعات تحميل الجبسمبورد بهالأسبوع ←","")</f>
        <v/>
      </c>
      <c r="B42" s="31"/>
      <c r="C42" s="31"/>
      <c r="D42" s="31"/>
      <c r="E42" s="32"/>
      <c r="F42" s="33" t="str">
        <f aca="false">IF(M33=1,"كل ساعة تحميل = "&amp;TEXT($P$33,"0.000")&amp;" دينار (منها "&amp;TEXT($N$33,"0.000")&amp;" محسوبة أصلاً بساعات اليوم)","")</f>
        <v/>
      </c>
      <c r="G42" s="33"/>
      <c r="H42" s="33"/>
      <c r="M42" s="19" t="n">
        <f aca="false">$M$33</f>
        <v>0</v>
      </c>
      <c r="Q42" s="19" t="n">
        <f aca="false">IF(N(E45)&gt;0,1,0)</f>
        <v>0</v>
      </c>
      <c r="S42" s="0" t="n">
        <v>3</v>
      </c>
    </row>
    <row r="43" customFormat="false" ht="15" hidden="false" customHeight="false" outlineLevel="0" collapsed="false">
      <c r="A43" s="31" t="str">
        <f aca="false">IF(M33=1,"إكرامية الأسبوع (دينار) ←","")</f>
        <v/>
      </c>
      <c r="B43" s="31"/>
      <c r="C43" s="31"/>
      <c r="D43" s="31"/>
      <c r="E43" s="34"/>
      <c r="F43" s="35"/>
      <c r="G43" s="35"/>
      <c r="H43" s="35"/>
      <c r="M43" s="19" t="n">
        <f aca="false">$M$33</f>
        <v>0</v>
      </c>
      <c r="Q43" s="19" t="n">
        <f aca="false">IF(N(E45)&gt;0,1,0)</f>
        <v>0</v>
      </c>
      <c r="S43" s="0" t="n">
        <v>3</v>
      </c>
    </row>
    <row r="44" customFormat="false" ht="36" hidden="false" customHeight="true" outlineLevel="0" collapsed="false">
      <c r="A44" s="36" t="str">
        <f aca="false">IF(M33=1,"المستحق النهائي للأسبوع","")</f>
        <v/>
      </c>
      <c r="B44" s="36"/>
      <c r="C44" s="36"/>
      <c r="D44" s="36"/>
      <c r="E44" s="36"/>
      <c r="F44" s="11" t="str">
        <f aca="false">IF(M33=1,ROUND(N($V$33)+N(E42)*($P$33-$N$33)+N(E43),3),"")</f>
        <v/>
      </c>
      <c r="G44" s="35"/>
      <c r="H44" s="35"/>
      <c r="M44" s="19" t="n">
        <f aca="false">$M$33</f>
        <v>0</v>
      </c>
      <c r="Q44" s="19" t="n">
        <f aca="false">IF(N(E45)&gt;0,1,0)</f>
        <v>0</v>
      </c>
      <c r="S44" s="0" t="n">
        <v>3</v>
      </c>
      <c r="T44" s="0" t="n">
        <v>1</v>
      </c>
    </row>
    <row r="45" customFormat="false" ht="25.5" hidden="false" customHeight="true" outlineLevel="0" collapsed="false">
      <c r="A45" s="31" t="str">
        <f aca="false">IF(M33=1,"المدفوع (دينار) ←","")</f>
        <v/>
      </c>
      <c r="B45" s="31"/>
      <c r="C45" s="31"/>
      <c r="D45" s="31"/>
      <c r="E45" s="34"/>
      <c r="F45" s="38" t="str">
        <f aca="false">IF(M33=1,IF(N(E45)&gt;0,"✔ انقبض — الأسبوع مقفول","⏳ لسا ما انقبض"),"")</f>
        <v/>
      </c>
      <c r="G45" s="38"/>
      <c r="H45" s="38"/>
      <c r="M45" s="19" t="n">
        <f aca="false">$M$33</f>
        <v>0</v>
      </c>
      <c r="Q45" s="19" t="n">
        <f aca="false">IF(N(E45)&gt;0,1,0)</f>
        <v>0</v>
      </c>
      <c r="S45" s="0" t="n">
        <v>3</v>
      </c>
    </row>
    <row r="46" customFormat="false" ht="9.75" hidden="false" customHeight="true" outlineLevel="0" collapsed="false">
      <c r="M46" s="19" t="n">
        <f aca="false">$M$33</f>
        <v>0</v>
      </c>
      <c r="Q46" s="19" t="n">
        <f aca="false">IF(N(E45)&gt;0,1,0)</f>
        <v>0</v>
      </c>
      <c r="S46" s="0" t="n">
        <v>3</v>
      </c>
      <c r="T46" s="0" t="n">
        <v>2</v>
      </c>
    </row>
    <row r="47" customFormat="false" ht="33.75" hidden="false" customHeight="true" outlineLevel="0" collapsed="false">
      <c r="A47" s="17" t="str">
        <f aca="false">IF(4&lt;=NW,TEXT(DAY(WEEK_ONE+21),"00")&amp;"/"&amp;TEXT(MONTH(WEEK_ONE+21),"00")&amp;"/"&amp;YEAR(WEEK_ONE+21)&amp;"  -  "&amp;TEXT(DAY(WEEK_ONE+27),"00")&amp;"/"&amp;TEXT(MONTH(WEEK_ONE+27),"00")&amp;"/"&amp;YEAR(WEEK_ONE+27)&amp;"   ·   الأسبوع 4"&amp;IF(4&lt;START_Z,"   (قبل أسبوع البداية — ما بينحسب)",""),"ما في أسبوع 4 هالسنة")</f>
        <v>17/01/2026  -  23/01/2026   ·   الأسبوع 4   (قبل أسبوع البداية — ما بينحسب)</v>
      </c>
      <c r="B47" s="17"/>
      <c r="C47" s="17"/>
      <c r="D47" s="17"/>
      <c r="E47" s="17"/>
      <c r="F47" s="17"/>
      <c r="G47" s="17"/>
      <c r="H47" s="17"/>
      <c r="L47" s="18" t="n">
        <f aca="false">IF(4&lt;=NW,WEEK_ONE+27,"")</f>
        <v>46045</v>
      </c>
      <c r="M47" s="19" t="n">
        <f aca="false">IF(AND(4&lt;=NW,4&gt;=START_Z),1,0)</f>
        <v>0</v>
      </c>
      <c r="N47" s="20" t="n">
        <f aca="false">IFERROR(INDEX(RT_AZZ,MATCH(L47,RT_K,1)),INDEX(RT_AZZ,1))</f>
        <v>1</v>
      </c>
      <c r="P47" s="20" t="n">
        <f aca="false">IFERROR(INDEX(RT_GYP,MATCH(L47,RT_K,1)),INDEX(RT_GYP,1))</f>
        <v>2.5</v>
      </c>
      <c r="Q47" s="19" t="n">
        <f aca="false">IF(N(E59)&gt;0,1,0)</f>
        <v>0</v>
      </c>
      <c r="R47" s="0" t="n">
        <v>4</v>
      </c>
      <c r="S47" s="0" t="n">
        <v>4</v>
      </c>
      <c r="U47" s="19" t="n">
        <f aca="false">IF(M47=1,SUM(E49:E55),0)</f>
        <v>0</v>
      </c>
      <c r="V47" s="19" t="n">
        <f aca="false">SUM(F49:F55)</f>
        <v>0</v>
      </c>
      <c r="W47" s="19" t="n">
        <f aca="false">IF(M47=1,SUMIFS(F49:F55,G49:G55,"نعم"),0)</f>
        <v>0</v>
      </c>
    </row>
    <row r="48" customFormat="false" ht="39.75" hidden="false" customHeight="true" outlineLevel="0" collapsed="false">
      <c r="A48" s="21" t="s">
        <v>18</v>
      </c>
      <c r="B48" s="21" t="s">
        <v>19</v>
      </c>
      <c r="C48" s="21" t="s">
        <v>20</v>
      </c>
      <c r="D48" s="21" t="s">
        <v>21</v>
      </c>
      <c r="E48" s="21" t="s">
        <v>22</v>
      </c>
      <c r="F48" s="21" t="s">
        <v>29</v>
      </c>
      <c r="G48" s="21" t="s">
        <v>30</v>
      </c>
      <c r="H48" s="21" t="s">
        <v>26</v>
      </c>
      <c r="M48" s="19" t="n">
        <f aca="false">$M$47</f>
        <v>0</v>
      </c>
      <c r="Q48" s="19" t="n">
        <f aca="false">IF(N(E59)&gt;0,1,0)</f>
        <v>0</v>
      </c>
      <c r="S48" s="0" t="n">
        <v>4</v>
      </c>
    </row>
    <row r="49" customFormat="false" ht="15" hidden="false" customHeight="false" outlineLevel="0" collapsed="false">
      <c r="A49" s="22" t="n">
        <f aca="false">IF(4&lt;=NW,WEEK_ONE+21,"")</f>
        <v>46039</v>
      </c>
      <c r="B49" s="23" t="str">
        <f aca="false">IF(A49="","",CHOOSE(WEEKDAY(A49,1),"الأحد","الاثنين","الثلاثاء","الأربعاء","الخميس","الجمعة","السبت"))</f>
        <v>السبت</v>
      </c>
      <c r="C49" s="24"/>
      <c r="D49" s="24"/>
      <c r="E49" s="25" t="str">
        <f aca="false">IF(OR(M49=0,K49="",L49=""),"",MOD(L49-K49,1))</f>
        <v/>
      </c>
      <c r="F49" s="26" t="str">
        <f aca="false">IF(OR(E49="",M49=0),"",IF(ROUND_MODE="للأعلى",CEILING(ROUND((E49*24*$N$47),3),0.25),ROUND((E49*24*$N$47)*4,0)/4))</f>
        <v/>
      </c>
      <c r="G49" s="24"/>
      <c r="H49" s="27"/>
      <c r="K49" s="28" t="str">
        <f aca="false">IF(OR(M49=0,C49=""),"",IF(ISNUMBER(C49),MOD(C49,1),IFERROR(INDEX(القوائم!$B$1:$B$288,MATCH(TRIM(C49),القوائم!$A$1:$A$288,0)),IFERROR(MOD(TIMEVALUE(C49),1),""))))</f>
        <v/>
      </c>
      <c r="L49" s="28" t="str">
        <f aca="false">IF(OR(M49=0,D49=""),"",IF(ISNUMBER(D49),MOD(D49,1),IFERROR(INDEX(القوائم!$B$1:$B$288,MATCH(TRIM(D49),القوائم!$A$1:$A$288,0)),IFERROR(MOD(TIMEVALUE(D49),1),""))))</f>
        <v/>
      </c>
      <c r="M49" s="19" t="n">
        <f aca="false">$M$47</f>
        <v>0</v>
      </c>
      <c r="Q49" s="19" t="n">
        <f aca="false">IF(N(E59)&gt;0,1,0)</f>
        <v>0</v>
      </c>
      <c r="S49" s="0" t="n">
        <v>4</v>
      </c>
    </row>
    <row r="50" customFormat="false" ht="15" hidden="false" customHeight="false" outlineLevel="0" collapsed="false">
      <c r="A50" s="22" t="n">
        <f aca="false">IF(4&lt;=NW,WEEK_ONE+22,"")</f>
        <v>46040</v>
      </c>
      <c r="B50" s="23" t="str">
        <f aca="false">IF(A50="","",CHOOSE(WEEKDAY(A50,1),"الأحد","الاثنين","الثلاثاء","الأربعاء","الخميس","الجمعة","السبت"))</f>
        <v>الأحد</v>
      </c>
      <c r="C50" s="24"/>
      <c r="D50" s="24"/>
      <c r="E50" s="25" t="str">
        <f aca="false">IF(OR(M50=0,K50="",L50=""),"",MOD(L50-K50,1))</f>
        <v/>
      </c>
      <c r="F50" s="26" t="str">
        <f aca="false">IF(OR(E50="",M50=0),"",IF(ROUND_MODE="للأعلى",CEILING(ROUND((E50*24*$N$47),3),0.25),ROUND((E50*24*$N$47)*4,0)/4))</f>
        <v/>
      </c>
      <c r="G50" s="24"/>
      <c r="H50" s="27"/>
      <c r="K50" s="28" t="str">
        <f aca="false">IF(OR(M50=0,C50=""),"",IF(ISNUMBER(C50),MOD(C50,1),IFERROR(INDEX(القوائم!$B$1:$B$288,MATCH(TRIM(C50),القوائم!$A$1:$A$288,0)),IFERROR(MOD(TIMEVALUE(C50),1),""))))</f>
        <v/>
      </c>
      <c r="L50" s="28" t="str">
        <f aca="false">IF(OR(M50=0,D50=""),"",IF(ISNUMBER(D50),MOD(D50,1),IFERROR(INDEX(القوائم!$B$1:$B$288,MATCH(TRIM(D50),القوائم!$A$1:$A$288,0)),IFERROR(MOD(TIMEVALUE(D50),1),""))))</f>
        <v/>
      </c>
      <c r="M50" s="19" t="n">
        <f aca="false">$M$47</f>
        <v>0</v>
      </c>
      <c r="Q50" s="19" t="n">
        <f aca="false">IF(N(E59)&gt;0,1,0)</f>
        <v>0</v>
      </c>
      <c r="S50" s="0" t="n">
        <v>4</v>
      </c>
    </row>
    <row r="51" customFormat="false" ht="15" hidden="false" customHeight="false" outlineLevel="0" collapsed="false">
      <c r="A51" s="22" t="n">
        <f aca="false">IF(4&lt;=NW,WEEK_ONE+23,"")</f>
        <v>46041</v>
      </c>
      <c r="B51" s="23" t="str">
        <f aca="false">IF(A51="","",CHOOSE(WEEKDAY(A51,1),"الأحد","الاثنين","الثلاثاء","الأربعاء","الخميس","الجمعة","السبت"))</f>
        <v>الاثنين</v>
      </c>
      <c r="C51" s="24"/>
      <c r="D51" s="24"/>
      <c r="E51" s="25" t="str">
        <f aca="false">IF(OR(M51=0,K51="",L51=""),"",MOD(L51-K51,1))</f>
        <v/>
      </c>
      <c r="F51" s="26" t="str">
        <f aca="false">IF(OR(E51="",M51=0),"",IF(ROUND_MODE="للأعلى",CEILING(ROUND((E51*24*$N$47),3),0.25),ROUND((E51*24*$N$47)*4,0)/4))</f>
        <v/>
      </c>
      <c r="G51" s="24"/>
      <c r="H51" s="27"/>
      <c r="K51" s="28" t="str">
        <f aca="false">IF(OR(M51=0,C51=""),"",IF(ISNUMBER(C51),MOD(C51,1),IFERROR(INDEX(القوائم!$B$1:$B$288,MATCH(TRIM(C51),القوائم!$A$1:$A$288,0)),IFERROR(MOD(TIMEVALUE(C51),1),""))))</f>
        <v/>
      </c>
      <c r="L51" s="28" t="str">
        <f aca="false">IF(OR(M51=0,D51=""),"",IF(ISNUMBER(D51),MOD(D51,1),IFERROR(INDEX(القوائم!$B$1:$B$288,MATCH(TRIM(D51),القوائم!$A$1:$A$288,0)),IFERROR(MOD(TIMEVALUE(D51),1),""))))</f>
        <v/>
      </c>
      <c r="M51" s="19" t="n">
        <f aca="false">$M$47</f>
        <v>0</v>
      </c>
      <c r="Q51" s="19" t="n">
        <f aca="false">IF(N(E59)&gt;0,1,0)</f>
        <v>0</v>
      </c>
      <c r="S51" s="0" t="n">
        <v>4</v>
      </c>
    </row>
    <row r="52" customFormat="false" ht="15" hidden="false" customHeight="false" outlineLevel="0" collapsed="false">
      <c r="A52" s="22" t="n">
        <f aca="false">IF(4&lt;=NW,WEEK_ONE+24,"")</f>
        <v>46042</v>
      </c>
      <c r="B52" s="23" t="str">
        <f aca="false">IF(A52="","",CHOOSE(WEEKDAY(A52,1),"الأحد","الاثنين","الثلاثاء","الأربعاء","الخميس","الجمعة","السبت"))</f>
        <v>الثلاثاء</v>
      </c>
      <c r="C52" s="24"/>
      <c r="D52" s="24"/>
      <c r="E52" s="25" t="str">
        <f aca="false">IF(OR(M52=0,K52="",L52=""),"",MOD(L52-K52,1))</f>
        <v/>
      </c>
      <c r="F52" s="26" t="str">
        <f aca="false">IF(OR(E52="",M52=0),"",IF(ROUND_MODE="للأعلى",CEILING(ROUND((E52*24*$N$47),3),0.25),ROUND((E52*24*$N$47)*4,0)/4))</f>
        <v/>
      </c>
      <c r="G52" s="24"/>
      <c r="H52" s="27"/>
      <c r="K52" s="28" t="str">
        <f aca="false">IF(OR(M52=0,C52=""),"",IF(ISNUMBER(C52),MOD(C52,1),IFERROR(INDEX(القوائم!$B$1:$B$288,MATCH(TRIM(C52),القوائم!$A$1:$A$288,0)),IFERROR(MOD(TIMEVALUE(C52),1),""))))</f>
        <v/>
      </c>
      <c r="L52" s="28" t="str">
        <f aca="false">IF(OR(M52=0,D52=""),"",IF(ISNUMBER(D52),MOD(D52,1),IFERROR(INDEX(القوائم!$B$1:$B$288,MATCH(TRIM(D52),القوائم!$A$1:$A$288,0)),IFERROR(MOD(TIMEVALUE(D52),1),""))))</f>
        <v/>
      </c>
      <c r="M52" s="19" t="n">
        <f aca="false">$M$47</f>
        <v>0</v>
      </c>
      <c r="Q52" s="19" t="n">
        <f aca="false">IF(N(E59)&gt;0,1,0)</f>
        <v>0</v>
      </c>
      <c r="S52" s="0" t="n">
        <v>4</v>
      </c>
    </row>
    <row r="53" customFormat="false" ht="15" hidden="false" customHeight="false" outlineLevel="0" collapsed="false">
      <c r="A53" s="22" t="n">
        <f aca="false">IF(4&lt;=NW,WEEK_ONE+25,"")</f>
        <v>46043</v>
      </c>
      <c r="B53" s="23" t="str">
        <f aca="false">IF(A53="","",CHOOSE(WEEKDAY(A53,1),"الأحد","الاثنين","الثلاثاء","الأربعاء","الخميس","الجمعة","السبت"))</f>
        <v>الأربعاء</v>
      </c>
      <c r="C53" s="24"/>
      <c r="D53" s="24"/>
      <c r="E53" s="25" t="str">
        <f aca="false">IF(OR(M53=0,K53="",L53=""),"",MOD(L53-K53,1))</f>
        <v/>
      </c>
      <c r="F53" s="26" t="str">
        <f aca="false">IF(OR(E53="",M53=0),"",IF(ROUND_MODE="للأعلى",CEILING(ROUND((E53*24*$N$47),3),0.25),ROUND((E53*24*$N$47)*4,0)/4))</f>
        <v/>
      </c>
      <c r="G53" s="24"/>
      <c r="H53" s="27"/>
      <c r="K53" s="28" t="str">
        <f aca="false">IF(OR(M53=0,C53=""),"",IF(ISNUMBER(C53),MOD(C53,1),IFERROR(INDEX(القوائم!$B$1:$B$288,MATCH(TRIM(C53),القوائم!$A$1:$A$288,0)),IFERROR(MOD(TIMEVALUE(C53),1),""))))</f>
        <v/>
      </c>
      <c r="L53" s="28" t="str">
        <f aca="false">IF(OR(M53=0,D53=""),"",IF(ISNUMBER(D53),MOD(D53,1),IFERROR(INDEX(القوائم!$B$1:$B$288,MATCH(TRIM(D53),القوائم!$A$1:$A$288,0)),IFERROR(MOD(TIMEVALUE(D53),1),""))))</f>
        <v/>
      </c>
      <c r="M53" s="19" t="n">
        <f aca="false">$M$47</f>
        <v>0</v>
      </c>
      <c r="Q53" s="19" t="n">
        <f aca="false">IF(N(E59)&gt;0,1,0)</f>
        <v>0</v>
      </c>
      <c r="S53" s="0" t="n">
        <v>4</v>
      </c>
    </row>
    <row r="54" customFormat="false" ht="15" hidden="false" customHeight="false" outlineLevel="0" collapsed="false">
      <c r="A54" s="22" t="n">
        <f aca="false">IF(4&lt;=NW,WEEK_ONE+26,"")</f>
        <v>46044</v>
      </c>
      <c r="B54" s="23" t="str">
        <f aca="false">IF(A54="","",CHOOSE(WEEKDAY(A54,1),"الأحد","الاثنين","الثلاثاء","الأربعاء","الخميس","الجمعة","السبت"))</f>
        <v>الخميس</v>
      </c>
      <c r="C54" s="24"/>
      <c r="D54" s="24"/>
      <c r="E54" s="25" t="str">
        <f aca="false">IF(OR(M54=0,K54="",L54=""),"",MOD(L54-K54,1))</f>
        <v/>
      </c>
      <c r="F54" s="26" t="str">
        <f aca="false">IF(OR(E54="",M54=0),"",IF(ROUND_MODE="للأعلى",CEILING(ROUND((E54*24*$N$47),3),0.25),ROUND((E54*24*$N$47)*4,0)/4))</f>
        <v/>
      </c>
      <c r="G54" s="24"/>
      <c r="H54" s="27"/>
      <c r="K54" s="28" t="str">
        <f aca="false">IF(OR(M54=0,C54=""),"",IF(ISNUMBER(C54),MOD(C54,1),IFERROR(INDEX(القوائم!$B$1:$B$288,MATCH(TRIM(C54),القوائم!$A$1:$A$288,0)),IFERROR(MOD(TIMEVALUE(C54),1),""))))</f>
        <v/>
      </c>
      <c r="L54" s="28" t="str">
        <f aca="false">IF(OR(M54=0,D54=""),"",IF(ISNUMBER(D54),MOD(D54,1),IFERROR(INDEX(القوائم!$B$1:$B$288,MATCH(TRIM(D54),القوائم!$A$1:$A$288,0)),IFERROR(MOD(TIMEVALUE(D54),1),""))))</f>
        <v/>
      </c>
      <c r="M54" s="19" t="n">
        <f aca="false">$M$47</f>
        <v>0</v>
      </c>
      <c r="Q54" s="19" t="n">
        <f aca="false">IF(N(E59)&gt;0,1,0)</f>
        <v>0</v>
      </c>
      <c r="S54" s="0" t="n">
        <v>4</v>
      </c>
    </row>
    <row r="55" customFormat="false" ht="15" hidden="false" customHeight="false" outlineLevel="0" collapsed="false">
      <c r="A55" s="29" t="n">
        <f aca="false">IF(4&lt;=NW,WEEK_ONE+27,"")</f>
        <v>46045</v>
      </c>
      <c r="B55" s="30" t="str">
        <f aca="false">IF(A55="","",CHOOSE(WEEKDAY(A55,1),"الأحد","الاثنين","الثلاثاء","الأربعاء","الخميس","الجمعة","السبت"))</f>
        <v>الجمعة</v>
      </c>
      <c r="C55" s="24"/>
      <c r="D55" s="24"/>
      <c r="E55" s="25" t="str">
        <f aca="false">IF(OR(M55=0,K55="",L55=""),"",MOD(L55-K55,1))</f>
        <v/>
      </c>
      <c r="F55" s="26" t="str">
        <f aca="false">IF(OR(E55="",M55=0),"",IF(ROUND_MODE="للأعلى",CEILING(ROUND((E55*24*$N$47),3),0.25),ROUND((E55*24*$N$47)*4,0)/4))</f>
        <v/>
      </c>
      <c r="G55" s="24"/>
      <c r="H55" s="27"/>
      <c r="K55" s="28" t="str">
        <f aca="false">IF(OR(M55=0,C55=""),"",IF(ISNUMBER(C55),MOD(C55,1),IFERROR(INDEX(القوائم!$B$1:$B$288,MATCH(TRIM(C55),القوائم!$A$1:$A$288,0)),IFERROR(MOD(TIMEVALUE(C55),1),""))))</f>
        <v/>
      </c>
      <c r="L55" s="28" t="str">
        <f aca="false">IF(OR(M55=0,D55=""),"",IF(ISNUMBER(D55),MOD(D55,1),IFERROR(INDEX(القوائم!$B$1:$B$288,MATCH(TRIM(D55),القوائم!$A$1:$A$288,0)),IFERROR(MOD(TIMEVALUE(D55),1),""))))</f>
        <v/>
      </c>
      <c r="M55" s="19" t="n">
        <f aca="false">$M$47</f>
        <v>0</v>
      </c>
      <c r="Q55" s="19" t="n">
        <f aca="false">IF(N(E59)&gt;0,1,0)</f>
        <v>0</v>
      </c>
      <c r="S55" s="0" t="n">
        <v>4</v>
      </c>
    </row>
    <row r="56" customFormat="false" ht="15" hidden="false" customHeight="false" outlineLevel="0" collapsed="false">
      <c r="A56" s="31" t="str">
        <f aca="false">IF(M47=1,"ساعات تحميل الجبسمبورد بهالأسبوع ←","")</f>
        <v/>
      </c>
      <c r="B56" s="31"/>
      <c r="C56" s="31"/>
      <c r="D56" s="31"/>
      <c r="E56" s="32"/>
      <c r="F56" s="33" t="str">
        <f aca="false">IF(M47=1,"كل ساعة تحميل = "&amp;TEXT($P$47,"0.000")&amp;" دينار (منها "&amp;TEXT($N$47,"0.000")&amp;" محسوبة أصلاً بساعات اليوم)","")</f>
        <v/>
      </c>
      <c r="G56" s="33"/>
      <c r="H56" s="33"/>
      <c r="M56" s="19" t="n">
        <f aca="false">$M$47</f>
        <v>0</v>
      </c>
      <c r="Q56" s="19" t="n">
        <f aca="false">IF(N(E59)&gt;0,1,0)</f>
        <v>0</v>
      </c>
      <c r="S56" s="0" t="n">
        <v>4</v>
      </c>
    </row>
    <row r="57" customFormat="false" ht="15" hidden="false" customHeight="false" outlineLevel="0" collapsed="false">
      <c r="A57" s="31" t="str">
        <f aca="false">IF(M47=1,"إكرامية الأسبوع (دينار) ←","")</f>
        <v/>
      </c>
      <c r="B57" s="31"/>
      <c r="C57" s="31"/>
      <c r="D57" s="31"/>
      <c r="E57" s="34"/>
      <c r="F57" s="35"/>
      <c r="G57" s="35"/>
      <c r="H57" s="35"/>
      <c r="M57" s="19" t="n">
        <f aca="false">$M$47</f>
        <v>0</v>
      </c>
      <c r="Q57" s="19" t="n">
        <f aca="false">IF(N(E59)&gt;0,1,0)</f>
        <v>0</v>
      </c>
      <c r="S57" s="0" t="n">
        <v>4</v>
      </c>
    </row>
    <row r="58" customFormat="false" ht="36" hidden="false" customHeight="true" outlineLevel="0" collapsed="false">
      <c r="A58" s="36" t="str">
        <f aca="false">IF(M47=1,"المستحق النهائي للأسبوع","")</f>
        <v/>
      </c>
      <c r="B58" s="36"/>
      <c r="C58" s="36"/>
      <c r="D58" s="36"/>
      <c r="E58" s="36"/>
      <c r="F58" s="11" t="str">
        <f aca="false">IF(M47=1,ROUND(N($V$47)+N(E56)*($P$47-$N$47)+N(E57),3),"")</f>
        <v/>
      </c>
      <c r="G58" s="35"/>
      <c r="H58" s="35"/>
      <c r="M58" s="19" t="n">
        <f aca="false">$M$47</f>
        <v>0</v>
      </c>
      <c r="Q58" s="19" t="n">
        <f aca="false">IF(N(E59)&gt;0,1,0)</f>
        <v>0</v>
      </c>
      <c r="S58" s="0" t="n">
        <v>4</v>
      </c>
      <c r="T58" s="0" t="n">
        <v>1</v>
      </c>
    </row>
    <row r="59" customFormat="false" ht="25.5" hidden="false" customHeight="true" outlineLevel="0" collapsed="false">
      <c r="A59" s="31" t="str">
        <f aca="false">IF(M47=1,"المدفوع (دينار) ←","")</f>
        <v/>
      </c>
      <c r="B59" s="31"/>
      <c r="C59" s="31"/>
      <c r="D59" s="31"/>
      <c r="E59" s="34"/>
      <c r="F59" s="38" t="str">
        <f aca="false">IF(M47=1,IF(N(E59)&gt;0,"✔ انقبض — الأسبوع مقفول","⏳ لسا ما انقبض"),"")</f>
        <v/>
      </c>
      <c r="G59" s="38"/>
      <c r="H59" s="38"/>
      <c r="M59" s="19" t="n">
        <f aca="false">$M$47</f>
        <v>0</v>
      </c>
      <c r="Q59" s="19" t="n">
        <f aca="false">IF(N(E59)&gt;0,1,0)</f>
        <v>0</v>
      </c>
      <c r="S59" s="0" t="n">
        <v>4</v>
      </c>
    </row>
    <row r="60" customFormat="false" ht="9.75" hidden="false" customHeight="true" outlineLevel="0" collapsed="false">
      <c r="M60" s="19" t="n">
        <f aca="false">$M$47</f>
        <v>0</v>
      </c>
      <c r="Q60" s="19" t="n">
        <f aca="false">IF(N(E59)&gt;0,1,0)</f>
        <v>0</v>
      </c>
      <c r="S60" s="0" t="n">
        <v>4</v>
      </c>
      <c r="T60" s="0" t="n">
        <v>2</v>
      </c>
    </row>
    <row r="61" customFormat="false" ht="33.75" hidden="false" customHeight="true" outlineLevel="0" collapsed="false">
      <c r="A61" s="17" t="str">
        <f aca="false">IF(5&lt;=NW,TEXT(DAY(WEEK_ONE+28),"00")&amp;"/"&amp;TEXT(MONTH(WEEK_ONE+28),"00")&amp;"/"&amp;YEAR(WEEK_ONE+28)&amp;"  -  "&amp;TEXT(DAY(WEEK_ONE+34),"00")&amp;"/"&amp;TEXT(MONTH(WEEK_ONE+34),"00")&amp;"/"&amp;YEAR(WEEK_ONE+34)&amp;"   ·   الأسبوع 5"&amp;IF(5&lt;START_Z,"   (قبل أسبوع البداية — ما بينحسب)",""),"ما في أسبوع 5 هالسنة")</f>
        <v>24/01/2026  -  30/01/2026   ·   الأسبوع 5   (قبل أسبوع البداية — ما بينحسب)</v>
      </c>
      <c r="B61" s="17"/>
      <c r="C61" s="17"/>
      <c r="D61" s="17"/>
      <c r="E61" s="17"/>
      <c r="F61" s="17"/>
      <c r="G61" s="17"/>
      <c r="H61" s="17"/>
      <c r="L61" s="18" t="n">
        <f aca="false">IF(5&lt;=NW,WEEK_ONE+34,"")</f>
        <v>46052</v>
      </c>
      <c r="M61" s="19" t="n">
        <f aca="false">IF(AND(5&lt;=NW,5&gt;=START_Z),1,0)</f>
        <v>0</v>
      </c>
      <c r="N61" s="20" t="n">
        <f aca="false">IFERROR(INDEX(RT_AZZ,MATCH(L61,RT_K,1)),INDEX(RT_AZZ,1))</f>
        <v>1</v>
      </c>
      <c r="P61" s="20" t="n">
        <f aca="false">IFERROR(INDEX(RT_GYP,MATCH(L61,RT_K,1)),INDEX(RT_GYP,1))</f>
        <v>2.5</v>
      </c>
      <c r="Q61" s="19" t="n">
        <f aca="false">IF(N(E73)&gt;0,1,0)</f>
        <v>0</v>
      </c>
      <c r="R61" s="0" t="n">
        <v>5</v>
      </c>
      <c r="S61" s="0" t="n">
        <v>5</v>
      </c>
      <c r="U61" s="19" t="n">
        <f aca="false">IF(M61=1,SUM(E63:E69),0)</f>
        <v>0</v>
      </c>
      <c r="V61" s="19" t="n">
        <f aca="false">SUM(F63:F69)</f>
        <v>0</v>
      </c>
      <c r="W61" s="19" t="n">
        <f aca="false">IF(M61=1,SUMIFS(F63:F69,G63:G69,"نعم"),0)</f>
        <v>0</v>
      </c>
    </row>
    <row r="62" customFormat="false" ht="39.75" hidden="false" customHeight="true" outlineLevel="0" collapsed="false">
      <c r="A62" s="21" t="s">
        <v>18</v>
      </c>
      <c r="B62" s="21" t="s">
        <v>19</v>
      </c>
      <c r="C62" s="21" t="s">
        <v>20</v>
      </c>
      <c r="D62" s="21" t="s">
        <v>21</v>
      </c>
      <c r="E62" s="21" t="s">
        <v>22</v>
      </c>
      <c r="F62" s="21" t="s">
        <v>29</v>
      </c>
      <c r="G62" s="21" t="s">
        <v>30</v>
      </c>
      <c r="H62" s="21" t="s">
        <v>26</v>
      </c>
      <c r="M62" s="19" t="n">
        <f aca="false">$M$61</f>
        <v>0</v>
      </c>
      <c r="Q62" s="19" t="n">
        <f aca="false">IF(N(E73)&gt;0,1,0)</f>
        <v>0</v>
      </c>
      <c r="S62" s="0" t="n">
        <v>5</v>
      </c>
    </row>
    <row r="63" customFormat="false" ht="15" hidden="false" customHeight="false" outlineLevel="0" collapsed="false">
      <c r="A63" s="22" t="n">
        <f aca="false">IF(5&lt;=NW,WEEK_ONE+28,"")</f>
        <v>46046</v>
      </c>
      <c r="B63" s="23" t="str">
        <f aca="false">IF(A63="","",CHOOSE(WEEKDAY(A63,1),"الأحد","الاثنين","الثلاثاء","الأربعاء","الخميس","الجمعة","السبت"))</f>
        <v>السبت</v>
      </c>
      <c r="C63" s="24"/>
      <c r="D63" s="24"/>
      <c r="E63" s="25" t="str">
        <f aca="false">IF(OR(M63=0,K63="",L63=""),"",MOD(L63-K63,1))</f>
        <v/>
      </c>
      <c r="F63" s="26" t="str">
        <f aca="false">IF(OR(E63="",M63=0),"",IF(ROUND_MODE="للأعلى",CEILING(ROUND((E63*24*$N$61),3),0.25),ROUND((E63*24*$N$61)*4,0)/4))</f>
        <v/>
      </c>
      <c r="G63" s="24"/>
      <c r="H63" s="27"/>
      <c r="K63" s="28" t="str">
        <f aca="false">IF(OR(M63=0,C63=""),"",IF(ISNUMBER(C63),MOD(C63,1),IFERROR(INDEX(القوائم!$B$1:$B$288,MATCH(TRIM(C63),القوائم!$A$1:$A$288,0)),IFERROR(MOD(TIMEVALUE(C63),1),""))))</f>
        <v/>
      </c>
      <c r="L63" s="28" t="str">
        <f aca="false">IF(OR(M63=0,D63=""),"",IF(ISNUMBER(D63),MOD(D63,1),IFERROR(INDEX(القوائم!$B$1:$B$288,MATCH(TRIM(D63),القوائم!$A$1:$A$288,0)),IFERROR(MOD(TIMEVALUE(D63),1),""))))</f>
        <v/>
      </c>
      <c r="M63" s="19" t="n">
        <f aca="false">$M$61</f>
        <v>0</v>
      </c>
      <c r="Q63" s="19" t="n">
        <f aca="false">IF(N(E73)&gt;0,1,0)</f>
        <v>0</v>
      </c>
      <c r="S63" s="0" t="n">
        <v>5</v>
      </c>
    </row>
    <row r="64" customFormat="false" ht="15" hidden="false" customHeight="false" outlineLevel="0" collapsed="false">
      <c r="A64" s="22" t="n">
        <f aca="false">IF(5&lt;=NW,WEEK_ONE+29,"")</f>
        <v>46047</v>
      </c>
      <c r="B64" s="23" t="str">
        <f aca="false">IF(A64="","",CHOOSE(WEEKDAY(A64,1),"الأحد","الاثنين","الثلاثاء","الأربعاء","الخميس","الجمعة","السبت"))</f>
        <v>الأحد</v>
      </c>
      <c r="C64" s="24"/>
      <c r="D64" s="24"/>
      <c r="E64" s="25" t="str">
        <f aca="false">IF(OR(M64=0,K64="",L64=""),"",MOD(L64-K64,1))</f>
        <v/>
      </c>
      <c r="F64" s="26" t="str">
        <f aca="false">IF(OR(E64="",M64=0),"",IF(ROUND_MODE="للأعلى",CEILING(ROUND((E64*24*$N$61),3),0.25),ROUND((E64*24*$N$61)*4,0)/4))</f>
        <v/>
      </c>
      <c r="G64" s="24"/>
      <c r="H64" s="27"/>
      <c r="K64" s="28" t="str">
        <f aca="false">IF(OR(M64=0,C64=""),"",IF(ISNUMBER(C64),MOD(C64,1),IFERROR(INDEX(القوائم!$B$1:$B$288,MATCH(TRIM(C64),القوائم!$A$1:$A$288,0)),IFERROR(MOD(TIMEVALUE(C64),1),""))))</f>
        <v/>
      </c>
      <c r="L64" s="28" t="str">
        <f aca="false">IF(OR(M64=0,D64=""),"",IF(ISNUMBER(D64),MOD(D64,1),IFERROR(INDEX(القوائم!$B$1:$B$288,MATCH(TRIM(D64),القوائم!$A$1:$A$288,0)),IFERROR(MOD(TIMEVALUE(D64),1),""))))</f>
        <v/>
      </c>
      <c r="M64" s="19" t="n">
        <f aca="false">$M$61</f>
        <v>0</v>
      </c>
      <c r="Q64" s="19" t="n">
        <f aca="false">IF(N(E73)&gt;0,1,0)</f>
        <v>0</v>
      </c>
      <c r="S64" s="0" t="n">
        <v>5</v>
      </c>
    </row>
    <row r="65" customFormat="false" ht="15" hidden="false" customHeight="false" outlineLevel="0" collapsed="false">
      <c r="A65" s="22" t="n">
        <f aca="false">IF(5&lt;=NW,WEEK_ONE+30,"")</f>
        <v>46048</v>
      </c>
      <c r="B65" s="23" t="str">
        <f aca="false">IF(A65="","",CHOOSE(WEEKDAY(A65,1),"الأحد","الاثنين","الثلاثاء","الأربعاء","الخميس","الجمعة","السبت"))</f>
        <v>الاثنين</v>
      </c>
      <c r="C65" s="24"/>
      <c r="D65" s="24"/>
      <c r="E65" s="25" t="str">
        <f aca="false">IF(OR(M65=0,K65="",L65=""),"",MOD(L65-K65,1))</f>
        <v/>
      </c>
      <c r="F65" s="26" t="str">
        <f aca="false">IF(OR(E65="",M65=0),"",IF(ROUND_MODE="للأعلى",CEILING(ROUND((E65*24*$N$61),3),0.25),ROUND((E65*24*$N$61)*4,0)/4))</f>
        <v/>
      </c>
      <c r="G65" s="24"/>
      <c r="H65" s="27"/>
      <c r="K65" s="28" t="str">
        <f aca="false">IF(OR(M65=0,C65=""),"",IF(ISNUMBER(C65),MOD(C65,1),IFERROR(INDEX(القوائم!$B$1:$B$288,MATCH(TRIM(C65),القوائم!$A$1:$A$288,0)),IFERROR(MOD(TIMEVALUE(C65),1),""))))</f>
        <v/>
      </c>
      <c r="L65" s="28" t="str">
        <f aca="false">IF(OR(M65=0,D65=""),"",IF(ISNUMBER(D65),MOD(D65,1),IFERROR(INDEX(القوائم!$B$1:$B$288,MATCH(TRIM(D65),القوائم!$A$1:$A$288,0)),IFERROR(MOD(TIMEVALUE(D65),1),""))))</f>
        <v/>
      </c>
      <c r="M65" s="19" t="n">
        <f aca="false">$M$61</f>
        <v>0</v>
      </c>
      <c r="Q65" s="19" t="n">
        <f aca="false">IF(N(E73)&gt;0,1,0)</f>
        <v>0</v>
      </c>
      <c r="S65" s="0" t="n">
        <v>5</v>
      </c>
    </row>
    <row r="66" customFormat="false" ht="15" hidden="false" customHeight="false" outlineLevel="0" collapsed="false">
      <c r="A66" s="22" t="n">
        <f aca="false">IF(5&lt;=NW,WEEK_ONE+31,"")</f>
        <v>46049</v>
      </c>
      <c r="B66" s="23" t="str">
        <f aca="false">IF(A66="","",CHOOSE(WEEKDAY(A66,1),"الأحد","الاثنين","الثلاثاء","الأربعاء","الخميس","الجمعة","السبت"))</f>
        <v>الثلاثاء</v>
      </c>
      <c r="C66" s="24"/>
      <c r="D66" s="24"/>
      <c r="E66" s="25" t="str">
        <f aca="false">IF(OR(M66=0,K66="",L66=""),"",MOD(L66-K66,1))</f>
        <v/>
      </c>
      <c r="F66" s="26" t="str">
        <f aca="false">IF(OR(E66="",M66=0),"",IF(ROUND_MODE="للأعلى",CEILING(ROUND((E66*24*$N$61),3),0.25),ROUND((E66*24*$N$61)*4,0)/4))</f>
        <v/>
      </c>
      <c r="G66" s="24"/>
      <c r="H66" s="27"/>
      <c r="K66" s="28" t="str">
        <f aca="false">IF(OR(M66=0,C66=""),"",IF(ISNUMBER(C66),MOD(C66,1),IFERROR(INDEX(القوائم!$B$1:$B$288,MATCH(TRIM(C66),القوائم!$A$1:$A$288,0)),IFERROR(MOD(TIMEVALUE(C66),1),""))))</f>
        <v/>
      </c>
      <c r="L66" s="28" t="str">
        <f aca="false">IF(OR(M66=0,D66=""),"",IF(ISNUMBER(D66),MOD(D66,1),IFERROR(INDEX(القوائم!$B$1:$B$288,MATCH(TRIM(D66),القوائم!$A$1:$A$288,0)),IFERROR(MOD(TIMEVALUE(D66),1),""))))</f>
        <v/>
      </c>
      <c r="M66" s="19" t="n">
        <f aca="false">$M$61</f>
        <v>0</v>
      </c>
      <c r="Q66" s="19" t="n">
        <f aca="false">IF(N(E73)&gt;0,1,0)</f>
        <v>0</v>
      </c>
      <c r="S66" s="0" t="n">
        <v>5</v>
      </c>
    </row>
    <row r="67" customFormat="false" ht="15" hidden="false" customHeight="false" outlineLevel="0" collapsed="false">
      <c r="A67" s="22" t="n">
        <f aca="false">IF(5&lt;=NW,WEEK_ONE+32,"")</f>
        <v>46050</v>
      </c>
      <c r="B67" s="23" t="str">
        <f aca="false">IF(A67="","",CHOOSE(WEEKDAY(A67,1),"الأحد","الاثنين","الثلاثاء","الأربعاء","الخميس","الجمعة","السبت"))</f>
        <v>الأربعاء</v>
      </c>
      <c r="C67" s="24"/>
      <c r="D67" s="24"/>
      <c r="E67" s="25" t="str">
        <f aca="false">IF(OR(M67=0,K67="",L67=""),"",MOD(L67-K67,1))</f>
        <v/>
      </c>
      <c r="F67" s="26" t="str">
        <f aca="false">IF(OR(E67="",M67=0),"",IF(ROUND_MODE="للأعلى",CEILING(ROUND((E67*24*$N$61),3),0.25),ROUND((E67*24*$N$61)*4,0)/4))</f>
        <v/>
      </c>
      <c r="G67" s="24"/>
      <c r="H67" s="27"/>
      <c r="K67" s="28" t="str">
        <f aca="false">IF(OR(M67=0,C67=""),"",IF(ISNUMBER(C67),MOD(C67,1),IFERROR(INDEX(القوائم!$B$1:$B$288,MATCH(TRIM(C67),القوائم!$A$1:$A$288,0)),IFERROR(MOD(TIMEVALUE(C67),1),""))))</f>
        <v/>
      </c>
      <c r="L67" s="28" t="str">
        <f aca="false">IF(OR(M67=0,D67=""),"",IF(ISNUMBER(D67),MOD(D67,1),IFERROR(INDEX(القوائم!$B$1:$B$288,MATCH(TRIM(D67),القوائم!$A$1:$A$288,0)),IFERROR(MOD(TIMEVALUE(D67),1),""))))</f>
        <v/>
      </c>
      <c r="M67" s="19" t="n">
        <f aca="false">$M$61</f>
        <v>0</v>
      </c>
      <c r="Q67" s="19" t="n">
        <f aca="false">IF(N(E73)&gt;0,1,0)</f>
        <v>0</v>
      </c>
      <c r="S67" s="0" t="n">
        <v>5</v>
      </c>
    </row>
    <row r="68" customFormat="false" ht="15" hidden="false" customHeight="false" outlineLevel="0" collapsed="false">
      <c r="A68" s="22" t="n">
        <f aca="false">IF(5&lt;=NW,WEEK_ONE+33,"")</f>
        <v>46051</v>
      </c>
      <c r="B68" s="23" t="str">
        <f aca="false">IF(A68="","",CHOOSE(WEEKDAY(A68,1),"الأحد","الاثنين","الثلاثاء","الأربعاء","الخميس","الجمعة","السبت"))</f>
        <v>الخميس</v>
      </c>
      <c r="C68" s="24"/>
      <c r="D68" s="24"/>
      <c r="E68" s="25" t="str">
        <f aca="false">IF(OR(M68=0,K68="",L68=""),"",MOD(L68-K68,1))</f>
        <v/>
      </c>
      <c r="F68" s="26" t="str">
        <f aca="false">IF(OR(E68="",M68=0),"",IF(ROUND_MODE="للأعلى",CEILING(ROUND((E68*24*$N$61),3),0.25),ROUND((E68*24*$N$61)*4,0)/4))</f>
        <v/>
      </c>
      <c r="G68" s="24"/>
      <c r="H68" s="27"/>
      <c r="K68" s="28" t="str">
        <f aca="false">IF(OR(M68=0,C68=""),"",IF(ISNUMBER(C68),MOD(C68,1),IFERROR(INDEX(القوائم!$B$1:$B$288,MATCH(TRIM(C68),القوائم!$A$1:$A$288,0)),IFERROR(MOD(TIMEVALUE(C68),1),""))))</f>
        <v/>
      </c>
      <c r="L68" s="28" t="str">
        <f aca="false">IF(OR(M68=0,D68=""),"",IF(ISNUMBER(D68),MOD(D68,1),IFERROR(INDEX(القوائم!$B$1:$B$288,MATCH(TRIM(D68),القوائم!$A$1:$A$288,0)),IFERROR(MOD(TIMEVALUE(D68),1),""))))</f>
        <v/>
      </c>
      <c r="M68" s="19" t="n">
        <f aca="false">$M$61</f>
        <v>0</v>
      </c>
      <c r="Q68" s="19" t="n">
        <f aca="false">IF(N(E73)&gt;0,1,0)</f>
        <v>0</v>
      </c>
      <c r="S68" s="0" t="n">
        <v>5</v>
      </c>
    </row>
    <row r="69" customFormat="false" ht="15" hidden="false" customHeight="false" outlineLevel="0" collapsed="false">
      <c r="A69" s="29" t="n">
        <f aca="false">IF(5&lt;=NW,WEEK_ONE+34,"")</f>
        <v>46052</v>
      </c>
      <c r="B69" s="30" t="str">
        <f aca="false">IF(A69="","",CHOOSE(WEEKDAY(A69,1),"الأحد","الاثنين","الثلاثاء","الأربعاء","الخميس","الجمعة","السبت"))</f>
        <v>الجمعة</v>
      </c>
      <c r="C69" s="24"/>
      <c r="D69" s="24"/>
      <c r="E69" s="25" t="str">
        <f aca="false">IF(OR(M69=0,K69="",L69=""),"",MOD(L69-K69,1))</f>
        <v/>
      </c>
      <c r="F69" s="26" t="str">
        <f aca="false">IF(OR(E69="",M69=0),"",IF(ROUND_MODE="للأعلى",CEILING(ROUND((E69*24*$N$61),3),0.25),ROUND((E69*24*$N$61)*4,0)/4))</f>
        <v/>
      </c>
      <c r="G69" s="24"/>
      <c r="H69" s="27"/>
      <c r="K69" s="28" t="str">
        <f aca="false">IF(OR(M69=0,C69=""),"",IF(ISNUMBER(C69),MOD(C69,1),IFERROR(INDEX(القوائم!$B$1:$B$288,MATCH(TRIM(C69),القوائم!$A$1:$A$288,0)),IFERROR(MOD(TIMEVALUE(C69),1),""))))</f>
        <v/>
      </c>
      <c r="L69" s="28" t="str">
        <f aca="false">IF(OR(M69=0,D69=""),"",IF(ISNUMBER(D69),MOD(D69,1),IFERROR(INDEX(القوائم!$B$1:$B$288,MATCH(TRIM(D69),القوائم!$A$1:$A$288,0)),IFERROR(MOD(TIMEVALUE(D69),1),""))))</f>
        <v/>
      </c>
      <c r="M69" s="19" t="n">
        <f aca="false">$M$61</f>
        <v>0</v>
      </c>
      <c r="Q69" s="19" t="n">
        <f aca="false">IF(N(E73)&gt;0,1,0)</f>
        <v>0</v>
      </c>
      <c r="S69" s="0" t="n">
        <v>5</v>
      </c>
    </row>
    <row r="70" customFormat="false" ht="15" hidden="false" customHeight="false" outlineLevel="0" collapsed="false">
      <c r="A70" s="31" t="str">
        <f aca="false">IF(M61=1,"ساعات تحميل الجبسمبورد بهالأسبوع ←","")</f>
        <v/>
      </c>
      <c r="B70" s="31"/>
      <c r="C70" s="31"/>
      <c r="D70" s="31"/>
      <c r="E70" s="32"/>
      <c r="F70" s="33" t="str">
        <f aca="false">IF(M61=1,"كل ساعة تحميل = "&amp;TEXT($P$61,"0.000")&amp;" دينار (منها "&amp;TEXT($N$61,"0.000")&amp;" محسوبة أصلاً بساعات اليوم)","")</f>
        <v/>
      </c>
      <c r="G70" s="33"/>
      <c r="H70" s="33"/>
      <c r="M70" s="19" t="n">
        <f aca="false">$M$61</f>
        <v>0</v>
      </c>
      <c r="Q70" s="19" t="n">
        <f aca="false">IF(N(E73)&gt;0,1,0)</f>
        <v>0</v>
      </c>
      <c r="S70" s="0" t="n">
        <v>5</v>
      </c>
    </row>
    <row r="71" customFormat="false" ht="15" hidden="false" customHeight="false" outlineLevel="0" collapsed="false">
      <c r="A71" s="31" t="str">
        <f aca="false">IF(M61=1,"إكرامية الأسبوع (دينار) ←","")</f>
        <v/>
      </c>
      <c r="B71" s="31"/>
      <c r="C71" s="31"/>
      <c r="D71" s="31"/>
      <c r="E71" s="34"/>
      <c r="F71" s="35"/>
      <c r="G71" s="35"/>
      <c r="H71" s="35"/>
      <c r="M71" s="19" t="n">
        <f aca="false">$M$61</f>
        <v>0</v>
      </c>
      <c r="Q71" s="19" t="n">
        <f aca="false">IF(N(E73)&gt;0,1,0)</f>
        <v>0</v>
      </c>
      <c r="S71" s="0" t="n">
        <v>5</v>
      </c>
    </row>
    <row r="72" customFormat="false" ht="36" hidden="false" customHeight="true" outlineLevel="0" collapsed="false">
      <c r="A72" s="36" t="str">
        <f aca="false">IF(M61=1,"المستحق النهائي للأسبوع","")</f>
        <v/>
      </c>
      <c r="B72" s="36"/>
      <c r="C72" s="36"/>
      <c r="D72" s="36"/>
      <c r="E72" s="36"/>
      <c r="F72" s="11" t="str">
        <f aca="false">IF(M61=1,ROUND(N($V$61)+N(E70)*($P$61-$N$61)+N(E71),3),"")</f>
        <v/>
      </c>
      <c r="G72" s="35"/>
      <c r="H72" s="35"/>
      <c r="M72" s="19" t="n">
        <f aca="false">$M$61</f>
        <v>0</v>
      </c>
      <c r="Q72" s="19" t="n">
        <f aca="false">IF(N(E73)&gt;0,1,0)</f>
        <v>0</v>
      </c>
      <c r="S72" s="0" t="n">
        <v>5</v>
      </c>
      <c r="T72" s="0" t="n">
        <v>1</v>
      </c>
    </row>
    <row r="73" customFormat="false" ht="25.5" hidden="false" customHeight="true" outlineLevel="0" collapsed="false">
      <c r="A73" s="31" t="str">
        <f aca="false">IF(M61=1,"المدفوع (دينار) ←","")</f>
        <v/>
      </c>
      <c r="B73" s="31"/>
      <c r="C73" s="31"/>
      <c r="D73" s="31"/>
      <c r="E73" s="34"/>
      <c r="F73" s="38" t="str">
        <f aca="false">IF(M61=1,IF(N(E73)&gt;0,"✔ انقبض — الأسبوع مقفول","⏳ لسا ما انقبض"),"")</f>
        <v/>
      </c>
      <c r="G73" s="38"/>
      <c r="H73" s="38"/>
      <c r="M73" s="19" t="n">
        <f aca="false">$M$61</f>
        <v>0</v>
      </c>
      <c r="Q73" s="19" t="n">
        <f aca="false">IF(N(E73)&gt;0,1,0)</f>
        <v>0</v>
      </c>
      <c r="S73" s="0" t="n">
        <v>5</v>
      </c>
    </row>
    <row r="74" customFormat="false" ht="9.75" hidden="false" customHeight="true" outlineLevel="0" collapsed="false">
      <c r="M74" s="19" t="n">
        <f aca="false">$M$61</f>
        <v>0</v>
      </c>
      <c r="Q74" s="19" t="n">
        <f aca="false">IF(N(E73)&gt;0,1,0)</f>
        <v>0</v>
      </c>
      <c r="S74" s="0" t="n">
        <v>5</v>
      </c>
      <c r="T74" s="0" t="n">
        <v>2</v>
      </c>
    </row>
    <row r="75" customFormat="false" ht="33.75" hidden="false" customHeight="true" outlineLevel="0" collapsed="false">
      <c r="A75" s="17" t="str">
        <f aca="false">IF(6&lt;=NW,TEXT(DAY(WEEK_ONE+35),"00")&amp;"/"&amp;TEXT(MONTH(WEEK_ONE+35),"00")&amp;"/"&amp;YEAR(WEEK_ONE+35)&amp;"  -  "&amp;TEXT(DAY(WEEK_ONE+41),"00")&amp;"/"&amp;TEXT(MONTH(WEEK_ONE+41),"00")&amp;"/"&amp;YEAR(WEEK_ONE+41)&amp;"   ·   الأسبوع 6"&amp;IF(6&lt;START_Z,"   (قبل أسبوع البداية — ما بينحسب)",""),"ما في أسبوع 6 هالسنة")</f>
        <v>31/01/2026  -  06/02/2026   ·   الأسبوع 6   (قبل أسبوع البداية — ما بينحسب)</v>
      </c>
      <c r="B75" s="17"/>
      <c r="C75" s="17"/>
      <c r="D75" s="17"/>
      <c r="E75" s="17"/>
      <c r="F75" s="17"/>
      <c r="G75" s="17"/>
      <c r="H75" s="17"/>
      <c r="L75" s="18" t="n">
        <f aca="false">IF(6&lt;=NW,WEEK_ONE+41,"")</f>
        <v>46059</v>
      </c>
      <c r="M75" s="19" t="n">
        <f aca="false">IF(AND(6&lt;=NW,6&gt;=START_Z),1,0)</f>
        <v>0</v>
      </c>
      <c r="N75" s="20" t="n">
        <f aca="false">IFERROR(INDEX(RT_AZZ,MATCH(L75,RT_K,1)),INDEX(RT_AZZ,1))</f>
        <v>1</v>
      </c>
      <c r="P75" s="20" t="n">
        <f aca="false">IFERROR(INDEX(RT_GYP,MATCH(L75,RT_K,1)),INDEX(RT_GYP,1))</f>
        <v>2.5</v>
      </c>
      <c r="Q75" s="19" t="n">
        <f aca="false">IF(N(E87)&gt;0,1,0)</f>
        <v>0</v>
      </c>
      <c r="R75" s="0" t="n">
        <v>6</v>
      </c>
      <c r="S75" s="0" t="n">
        <v>6</v>
      </c>
      <c r="U75" s="19" t="n">
        <f aca="false">IF(M75=1,SUM(E77:E83),0)</f>
        <v>0</v>
      </c>
      <c r="V75" s="19" t="n">
        <f aca="false">SUM(F77:F83)</f>
        <v>0</v>
      </c>
      <c r="W75" s="19" t="n">
        <f aca="false">IF(M75=1,SUMIFS(F77:F83,G77:G83,"نعم"),0)</f>
        <v>0</v>
      </c>
    </row>
    <row r="76" customFormat="false" ht="39.75" hidden="false" customHeight="true" outlineLevel="0" collapsed="false">
      <c r="A76" s="21" t="s">
        <v>18</v>
      </c>
      <c r="B76" s="21" t="s">
        <v>19</v>
      </c>
      <c r="C76" s="21" t="s">
        <v>20</v>
      </c>
      <c r="D76" s="21" t="s">
        <v>21</v>
      </c>
      <c r="E76" s="21" t="s">
        <v>22</v>
      </c>
      <c r="F76" s="21" t="s">
        <v>29</v>
      </c>
      <c r="G76" s="21" t="s">
        <v>30</v>
      </c>
      <c r="H76" s="21" t="s">
        <v>26</v>
      </c>
      <c r="M76" s="19" t="n">
        <f aca="false">$M$75</f>
        <v>0</v>
      </c>
      <c r="Q76" s="19" t="n">
        <f aca="false">IF(N(E87)&gt;0,1,0)</f>
        <v>0</v>
      </c>
      <c r="S76" s="0" t="n">
        <v>6</v>
      </c>
    </row>
    <row r="77" customFormat="false" ht="15" hidden="false" customHeight="false" outlineLevel="0" collapsed="false">
      <c r="A77" s="22" t="n">
        <f aca="false">IF(6&lt;=NW,WEEK_ONE+35,"")</f>
        <v>46053</v>
      </c>
      <c r="B77" s="23" t="str">
        <f aca="false">IF(A77="","",CHOOSE(WEEKDAY(A77,1),"الأحد","الاثنين","الثلاثاء","الأربعاء","الخميس","الجمعة","السبت"))</f>
        <v>السبت</v>
      </c>
      <c r="C77" s="24"/>
      <c r="D77" s="24"/>
      <c r="E77" s="25" t="str">
        <f aca="false">IF(OR(M77=0,K77="",L77=""),"",MOD(L77-K77,1))</f>
        <v/>
      </c>
      <c r="F77" s="26" t="str">
        <f aca="false">IF(OR(E77="",M77=0),"",IF(ROUND_MODE="للأعلى",CEILING(ROUND((E77*24*$N$75),3),0.25),ROUND((E77*24*$N$75)*4,0)/4))</f>
        <v/>
      </c>
      <c r="G77" s="24"/>
      <c r="H77" s="27"/>
      <c r="K77" s="28" t="str">
        <f aca="false">IF(OR(M77=0,C77=""),"",IF(ISNUMBER(C77),MOD(C77,1),IFERROR(INDEX(القوائم!$B$1:$B$288,MATCH(TRIM(C77),القوائم!$A$1:$A$288,0)),IFERROR(MOD(TIMEVALUE(C77),1),""))))</f>
        <v/>
      </c>
      <c r="L77" s="28" t="str">
        <f aca="false">IF(OR(M77=0,D77=""),"",IF(ISNUMBER(D77),MOD(D77,1),IFERROR(INDEX(القوائم!$B$1:$B$288,MATCH(TRIM(D77),القوائم!$A$1:$A$288,0)),IFERROR(MOD(TIMEVALUE(D77),1),""))))</f>
        <v/>
      </c>
      <c r="M77" s="19" t="n">
        <f aca="false">$M$75</f>
        <v>0</v>
      </c>
      <c r="Q77" s="19" t="n">
        <f aca="false">IF(N(E87)&gt;0,1,0)</f>
        <v>0</v>
      </c>
      <c r="S77" s="0" t="n">
        <v>6</v>
      </c>
    </row>
    <row r="78" customFormat="false" ht="15" hidden="false" customHeight="false" outlineLevel="0" collapsed="false">
      <c r="A78" s="22" t="n">
        <f aca="false">IF(6&lt;=NW,WEEK_ONE+36,"")</f>
        <v>46054</v>
      </c>
      <c r="B78" s="23" t="str">
        <f aca="false">IF(A78="","",CHOOSE(WEEKDAY(A78,1),"الأحد","الاثنين","الثلاثاء","الأربعاء","الخميس","الجمعة","السبت"))</f>
        <v>الأحد</v>
      </c>
      <c r="C78" s="24"/>
      <c r="D78" s="24"/>
      <c r="E78" s="25" t="str">
        <f aca="false">IF(OR(M78=0,K78="",L78=""),"",MOD(L78-K78,1))</f>
        <v/>
      </c>
      <c r="F78" s="26" t="str">
        <f aca="false">IF(OR(E78="",M78=0),"",IF(ROUND_MODE="للأعلى",CEILING(ROUND((E78*24*$N$75),3),0.25),ROUND((E78*24*$N$75)*4,0)/4))</f>
        <v/>
      </c>
      <c r="G78" s="24"/>
      <c r="H78" s="27"/>
      <c r="K78" s="28" t="str">
        <f aca="false">IF(OR(M78=0,C78=""),"",IF(ISNUMBER(C78),MOD(C78,1),IFERROR(INDEX(القوائم!$B$1:$B$288,MATCH(TRIM(C78),القوائم!$A$1:$A$288,0)),IFERROR(MOD(TIMEVALUE(C78),1),""))))</f>
        <v/>
      </c>
      <c r="L78" s="28" t="str">
        <f aca="false">IF(OR(M78=0,D78=""),"",IF(ISNUMBER(D78),MOD(D78,1),IFERROR(INDEX(القوائم!$B$1:$B$288,MATCH(TRIM(D78),القوائم!$A$1:$A$288,0)),IFERROR(MOD(TIMEVALUE(D78),1),""))))</f>
        <v/>
      </c>
      <c r="M78" s="19" t="n">
        <f aca="false">$M$75</f>
        <v>0</v>
      </c>
      <c r="Q78" s="19" t="n">
        <f aca="false">IF(N(E87)&gt;0,1,0)</f>
        <v>0</v>
      </c>
      <c r="S78" s="0" t="n">
        <v>6</v>
      </c>
    </row>
    <row r="79" customFormat="false" ht="15" hidden="false" customHeight="false" outlineLevel="0" collapsed="false">
      <c r="A79" s="22" t="n">
        <f aca="false">IF(6&lt;=NW,WEEK_ONE+37,"")</f>
        <v>46055</v>
      </c>
      <c r="B79" s="23" t="str">
        <f aca="false">IF(A79="","",CHOOSE(WEEKDAY(A79,1),"الأحد","الاثنين","الثلاثاء","الأربعاء","الخميس","الجمعة","السبت"))</f>
        <v>الاثنين</v>
      </c>
      <c r="C79" s="24"/>
      <c r="D79" s="24"/>
      <c r="E79" s="25" t="str">
        <f aca="false">IF(OR(M79=0,K79="",L79=""),"",MOD(L79-K79,1))</f>
        <v/>
      </c>
      <c r="F79" s="26" t="str">
        <f aca="false">IF(OR(E79="",M79=0),"",IF(ROUND_MODE="للأعلى",CEILING(ROUND((E79*24*$N$75),3),0.25),ROUND((E79*24*$N$75)*4,0)/4))</f>
        <v/>
      </c>
      <c r="G79" s="24"/>
      <c r="H79" s="27"/>
      <c r="K79" s="28" t="str">
        <f aca="false">IF(OR(M79=0,C79=""),"",IF(ISNUMBER(C79),MOD(C79,1),IFERROR(INDEX(القوائم!$B$1:$B$288,MATCH(TRIM(C79),القوائم!$A$1:$A$288,0)),IFERROR(MOD(TIMEVALUE(C79),1),""))))</f>
        <v/>
      </c>
      <c r="L79" s="28" t="str">
        <f aca="false">IF(OR(M79=0,D79=""),"",IF(ISNUMBER(D79),MOD(D79,1),IFERROR(INDEX(القوائم!$B$1:$B$288,MATCH(TRIM(D79),القوائم!$A$1:$A$288,0)),IFERROR(MOD(TIMEVALUE(D79),1),""))))</f>
        <v/>
      </c>
      <c r="M79" s="19" t="n">
        <f aca="false">$M$75</f>
        <v>0</v>
      </c>
      <c r="Q79" s="19" t="n">
        <f aca="false">IF(N(E87)&gt;0,1,0)</f>
        <v>0</v>
      </c>
      <c r="S79" s="0" t="n">
        <v>6</v>
      </c>
    </row>
    <row r="80" customFormat="false" ht="15" hidden="false" customHeight="false" outlineLevel="0" collapsed="false">
      <c r="A80" s="22" t="n">
        <f aca="false">IF(6&lt;=NW,WEEK_ONE+38,"")</f>
        <v>46056</v>
      </c>
      <c r="B80" s="23" t="str">
        <f aca="false">IF(A80="","",CHOOSE(WEEKDAY(A80,1),"الأحد","الاثنين","الثلاثاء","الأربعاء","الخميس","الجمعة","السبت"))</f>
        <v>الثلاثاء</v>
      </c>
      <c r="C80" s="24"/>
      <c r="D80" s="24"/>
      <c r="E80" s="25" t="str">
        <f aca="false">IF(OR(M80=0,K80="",L80=""),"",MOD(L80-K80,1))</f>
        <v/>
      </c>
      <c r="F80" s="26" t="str">
        <f aca="false">IF(OR(E80="",M80=0),"",IF(ROUND_MODE="للأعلى",CEILING(ROUND((E80*24*$N$75),3),0.25),ROUND((E80*24*$N$75)*4,0)/4))</f>
        <v/>
      </c>
      <c r="G80" s="24"/>
      <c r="H80" s="27"/>
      <c r="K80" s="28" t="str">
        <f aca="false">IF(OR(M80=0,C80=""),"",IF(ISNUMBER(C80),MOD(C80,1),IFERROR(INDEX(القوائم!$B$1:$B$288,MATCH(TRIM(C80),القوائم!$A$1:$A$288,0)),IFERROR(MOD(TIMEVALUE(C80),1),""))))</f>
        <v/>
      </c>
      <c r="L80" s="28" t="str">
        <f aca="false">IF(OR(M80=0,D80=""),"",IF(ISNUMBER(D80),MOD(D80,1),IFERROR(INDEX(القوائم!$B$1:$B$288,MATCH(TRIM(D80),القوائم!$A$1:$A$288,0)),IFERROR(MOD(TIMEVALUE(D80),1),""))))</f>
        <v/>
      </c>
      <c r="M80" s="19" t="n">
        <f aca="false">$M$75</f>
        <v>0</v>
      </c>
      <c r="Q80" s="19" t="n">
        <f aca="false">IF(N(E87)&gt;0,1,0)</f>
        <v>0</v>
      </c>
      <c r="S80" s="0" t="n">
        <v>6</v>
      </c>
    </row>
    <row r="81" customFormat="false" ht="15" hidden="false" customHeight="false" outlineLevel="0" collapsed="false">
      <c r="A81" s="22" t="n">
        <f aca="false">IF(6&lt;=NW,WEEK_ONE+39,"")</f>
        <v>46057</v>
      </c>
      <c r="B81" s="23" t="str">
        <f aca="false">IF(A81="","",CHOOSE(WEEKDAY(A81,1),"الأحد","الاثنين","الثلاثاء","الأربعاء","الخميس","الجمعة","السبت"))</f>
        <v>الأربعاء</v>
      </c>
      <c r="C81" s="24"/>
      <c r="D81" s="24"/>
      <c r="E81" s="25" t="str">
        <f aca="false">IF(OR(M81=0,K81="",L81=""),"",MOD(L81-K81,1))</f>
        <v/>
      </c>
      <c r="F81" s="26" t="str">
        <f aca="false">IF(OR(E81="",M81=0),"",IF(ROUND_MODE="للأعلى",CEILING(ROUND((E81*24*$N$75),3),0.25),ROUND((E81*24*$N$75)*4,0)/4))</f>
        <v/>
      </c>
      <c r="G81" s="24"/>
      <c r="H81" s="27"/>
      <c r="K81" s="28" t="str">
        <f aca="false">IF(OR(M81=0,C81=""),"",IF(ISNUMBER(C81),MOD(C81,1),IFERROR(INDEX(القوائم!$B$1:$B$288,MATCH(TRIM(C81),القوائم!$A$1:$A$288,0)),IFERROR(MOD(TIMEVALUE(C81),1),""))))</f>
        <v/>
      </c>
      <c r="L81" s="28" t="str">
        <f aca="false">IF(OR(M81=0,D81=""),"",IF(ISNUMBER(D81),MOD(D81,1),IFERROR(INDEX(القوائم!$B$1:$B$288,MATCH(TRIM(D81),القوائم!$A$1:$A$288,0)),IFERROR(MOD(TIMEVALUE(D81),1),""))))</f>
        <v/>
      </c>
      <c r="M81" s="19" t="n">
        <f aca="false">$M$75</f>
        <v>0</v>
      </c>
      <c r="Q81" s="19" t="n">
        <f aca="false">IF(N(E87)&gt;0,1,0)</f>
        <v>0</v>
      </c>
      <c r="S81" s="0" t="n">
        <v>6</v>
      </c>
    </row>
    <row r="82" customFormat="false" ht="15" hidden="false" customHeight="false" outlineLevel="0" collapsed="false">
      <c r="A82" s="22" t="n">
        <f aca="false">IF(6&lt;=NW,WEEK_ONE+40,"")</f>
        <v>46058</v>
      </c>
      <c r="B82" s="23" t="str">
        <f aca="false">IF(A82="","",CHOOSE(WEEKDAY(A82,1),"الأحد","الاثنين","الثلاثاء","الأربعاء","الخميس","الجمعة","السبت"))</f>
        <v>الخميس</v>
      </c>
      <c r="C82" s="24"/>
      <c r="D82" s="24"/>
      <c r="E82" s="25" t="str">
        <f aca="false">IF(OR(M82=0,K82="",L82=""),"",MOD(L82-K82,1))</f>
        <v/>
      </c>
      <c r="F82" s="26" t="str">
        <f aca="false">IF(OR(E82="",M82=0),"",IF(ROUND_MODE="للأعلى",CEILING(ROUND((E82*24*$N$75),3),0.25),ROUND((E82*24*$N$75)*4,0)/4))</f>
        <v/>
      </c>
      <c r="G82" s="24"/>
      <c r="H82" s="27"/>
      <c r="K82" s="28" t="str">
        <f aca="false">IF(OR(M82=0,C82=""),"",IF(ISNUMBER(C82),MOD(C82,1),IFERROR(INDEX(القوائم!$B$1:$B$288,MATCH(TRIM(C82),القوائم!$A$1:$A$288,0)),IFERROR(MOD(TIMEVALUE(C82),1),""))))</f>
        <v/>
      </c>
      <c r="L82" s="28" t="str">
        <f aca="false">IF(OR(M82=0,D82=""),"",IF(ISNUMBER(D82),MOD(D82,1),IFERROR(INDEX(القوائم!$B$1:$B$288,MATCH(TRIM(D82),القوائم!$A$1:$A$288,0)),IFERROR(MOD(TIMEVALUE(D82),1),""))))</f>
        <v/>
      </c>
      <c r="M82" s="19" t="n">
        <f aca="false">$M$75</f>
        <v>0</v>
      </c>
      <c r="Q82" s="19" t="n">
        <f aca="false">IF(N(E87)&gt;0,1,0)</f>
        <v>0</v>
      </c>
      <c r="S82" s="0" t="n">
        <v>6</v>
      </c>
    </row>
    <row r="83" customFormat="false" ht="15" hidden="false" customHeight="false" outlineLevel="0" collapsed="false">
      <c r="A83" s="29" t="n">
        <f aca="false">IF(6&lt;=NW,WEEK_ONE+41,"")</f>
        <v>46059</v>
      </c>
      <c r="B83" s="30" t="str">
        <f aca="false">IF(A83="","",CHOOSE(WEEKDAY(A83,1),"الأحد","الاثنين","الثلاثاء","الأربعاء","الخميس","الجمعة","السبت"))</f>
        <v>الجمعة</v>
      </c>
      <c r="C83" s="24"/>
      <c r="D83" s="24"/>
      <c r="E83" s="25" t="str">
        <f aca="false">IF(OR(M83=0,K83="",L83=""),"",MOD(L83-K83,1))</f>
        <v/>
      </c>
      <c r="F83" s="26" t="str">
        <f aca="false">IF(OR(E83="",M83=0),"",IF(ROUND_MODE="للأعلى",CEILING(ROUND((E83*24*$N$75),3),0.25),ROUND((E83*24*$N$75)*4,0)/4))</f>
        <v/>
      </c>
      <c r="G83" s="24"/>
      <c r="H83" s="27"/>
      <c r="K83" s="28" t="str">
        <f aca="false">IF(OR(M83=0,C83=""),"",IF(ISNUMBER(C83),MOD(C83,1),IFERROR(INDEX(القوائم!$B$1:$B$288,MATCH(TRIM(C83),القوائم!$A$1:$A$288,0)),IFERROR(MOD(TIMEVALUE(C83),1),""))))</f>
        <v/>
      </c>
      <c r="L83" s="28" t="str">
        <f aca="false">IF(OR(M83=0,D83=""),"",IF(ISNUMBER(D83),MOD(D83,1),IFERROR(INDEX(القوائم!$B$1:$B$288,MATCH(TRIM(D83),القوائم!$A$1:$A$288,0)),IFERROR(MOD(TIMEVALUE(D83),1),""))))</f>
        <v/>
      </c>
      <c r="M83" s="19" t="n">
        <f aca="false">$M$75</f>
        <v>0</v>
      </c>
      <c r="Q83" s="19" t="n">
        <f aca="false">IF(N(E87)&gt;0,1,0)</f>
        <v>0</v>
      </c>
      <c r="S83" s="0" t="n">
        <v>6</v>
      </c>
    </row>
    <row r="84" customFormat="false" ht="15" hidden="false" customHeight="false" outlineLevel="0" collapsed="false">
      <c r="A84" s="31" t="str">
        <f aca="false">IF(M75=1,"ساعات تحميل الجبسمبورد بهالأسبوع ←","")</f>
        <v/>
      </c>
      <c r="B84" s="31"/>
      <c r="C84" s="31"/>
      <c r="D84" s="31"/>
      <c r="E84" s="32"/>
      <c r="F84" s="33" t="str">
        <f aca="false">IF(M75=1,"كل ساعة تحميل = "&amp;TEXT($P$75,"0.000")&amp;" دينار (منها "&amp;TEXT($N$75,"0.000")&amp;" محسوبة أصلاً بساعات اليوم)","")</f>
        <v/>
      </c>
      <c r="G84" s="33"/>
      <c r="H84" s="33"/>
      <c r="M84" s="19" t="n">
        <f aca="false">$M$75</f>
        <v>0</v>
      </c>
      <c r="Q84" s="19" t="n">
        <f aca="false">IF(N(E87)&gt;0,1,0)</f>
        <v>0</v>
      </c>
      <c r="S84" s="0" t="n">
        <v>6</v>
      </c>
    </row>
    <row r="85" customFormat="false" ht="15" hidden="false" customHeight="false" outlineLevel="0" collapsed="false">
      <c r="A85" s="31" t="str">
        <f aca="false">IF(M75=1,"إكرامية الأسبوع (دينار) ←","")</f>
        <v/>
      </c>
      <c r="B85" s="31"/>
      <c r="C85" s="31"/>
      <c r="D85" s="31"/>
      <c r="E85" s="34"/>
      <c r="F85" s="35"/>
      <c r="G85" s="35"/>
      <c r="H85" s="35"/>
      <c r="M85" s="19" t="n">
        <f aca="false">$M$75</f>
        <v>0</v>
      </c>
      <c r="Q85" s="19" t="n">
        <f aca="false">IF(N(E87)&gt;0,1,0)</f>
        <v>0</v>
      </c>
      <c r="S85" s="0" t="n">
        <v>6</v>
      </c>
    </row>
    <row r="86" customFormat="false" ht="36" hidden="false" customHeight="true" outlineLevel="0" collapsed="false">
      <c r="A86" s="36" t="str">
        <f aca="false">IF(M75=1,"المستحق النهائي للأسبوع","")</f>
        <v/>
      </c>
      <c r="B86" s="36"/>
      <c r="C86" s="36"/>
      <c r="D86" s="36"/>
      <c r="E86" s="36"/>
      <c r="F86" s="11" t="str">
        <f aca="false">IF(M75=1,ROUND(N($V$75)+N(E84)*($P$75-$N$75)+N(E85),3),"")</f>
        <v/>
      </c>
      <c r="G86" s="35"/>
      <c r="H86" s="35"/>
      <c r="M86" s="19" t="n">
        <f aca="false">$M$75</f>
        <v>0</v>
      </c>
      <c r="Q86" s="19" t="n">
        <f aca="false">IF(N(E87)&gt;0,1,0)</f>
        <v>0</v>
      </c>
      <c r="S86" s="0" t="n">
        <v>6</v>
      </c>
      <c r="T86" s="0" t="n">
        <v>1</v>
      </c>
    </row>
    <row r="87" customFormat="false" ht="25.5" hidden="false" customHeight="true" outlineLevel="0" collapsed="false">
      <c r="A87" s="31" t="str">
        <f aca="false">IF(M75=1,"المدفوع (دينار) ←","")</f>
        <v/>
      </c>
      <c r="B87" s="31"/>
      <c r="C87" s="31"/>
      <c r="D87" s="31"/>
      <c r="E87" s="34"/>
      <c r="F87" s="38" t="str">
        <f aca="false">IF(M75=1,IF(N(E87)&gt;0,"✔ انقبض — الأسبوع مقفول","⏳ لسا ما انقبض"),"")</f>
        <v/>
      </c>
      <c r="G87" s="38"/>
      <c r="H87" s="38"/>
      <c r="M87" s="19" t="n">
        <f aca="false">$M$75</f>
        <v>0</v>
      </c>
      <c r="Q87" s="19" t="n">
        <f aca="false">IF(N(E87)&gt;0,1,0)</f>
        <v>0</v>
      </c>
      <c r="S87" s="0" t="n">
        <v>6</v>
      </c>
    </row>
    <row r="88" customFormat="false" ht="9.75" hidden="false" customHeight="true" outlineLevel="0" collapsed="false">
      <c r="M88" s="19" t="n">
        <f aca="false">$M$75</f>
        <v>0</v>
      </c>
      <c r="Q88" s="19" t="n">
        <f aca="false">IF(N(E87)&gt;0,1,0)</f>
        <v>0</v>
      </c>
      <c r="S88" s="0" t="n">
        <v>6</v>
      </c>
      <c r="T88" s="0" t="n">
        <v>2</v>
      </c>
    </row>
    <row r="89" customFormat="false" ht="33.75" hidden="false" customHeight="true" outlineLevel="0" collapsed="false">
      <c r="A89" s="17" t="str">
        <f aca="false">IF(7&lt;=NW,TEXT(DAY(WEEK_ONE+42),"00")&amp;"/"&amp;TEXT(MONTH(WEEK_ONE+42),"00")&amp;"/"&amp;YEAR(WEEK_ONE+42)&amp;"  -  "&amp;TEXT(DAY(WEEK_ONE+48),"00")&amp;"/"&amp;TEXT(MONTH(WEEK_ONE+48),"00")&amp;"/"&amp;YEAR(WEEK_ONE+48)&amp;"   ·   الأسبوع 7"&amp;IF(7&lt;START_Z,"   (قبل أسبوع البداية — ما بينحسب)",""),"ما في أسبوع 7 هالسنة")</f>
        <v>07/02/2026  -  13/02/2026   ·   الأسبوع 7   (قبل أسبوع البداية — ما بينحسب)</v>
      </c>
      <c r="B89" s="17"/>
      <c r="C89" s="17"/>
      <c r="D89" s="17"/>
      <c r="E89" s="17"/>
      <c r="F89" s="17"/>
      <c r="G89" s="17"/>
      <c r="H89" s="17"/>
      <c r="L89" s="18" t="n">
        <f aca="false">IF(7&lt;=NW,WEEK_ONE+48,"")</f>
        <v>46066</v>
      </c>
      <c r="M89" s="19" t="n">
        <f aca="false">IF(AND(7&lt;=NW,7&gt;=START_Z),1,0)</f>
        <v>0</v>
      </c>
      <c r="N89" s="20" t="n">
        <f aca="false">IFERROR(INDEX(RT_AZZ,MATCH(L89,RT_K,1)),INDEX(RT_AZZ,1))</f>
        <v>1</v>
      </c>
      <c r="P89" s="20" t="n">
        <f aca="false">IFERROR(INDEX(RT_GYP,MATCH(L89,RT_K,1)),INDEX(RT_GYP,1))</f>
        <v>2.5</v>
      </c>
      <c r="Q89" s="19" t="n">
        <f aca="false">IF(N(E101)&gt;0,1,0)</f>
        <v>0</v>
      </c>
      <c r="R89" s="0" t="n">
        <v>7</v>
      </c>
      <c r="S89" s="0" t="n">
        <v>7</v>
      </c>
      <c r="U89" s="19" t="n">
        <f aca="false">IF(M89=1,SUM(E91:E97),0)</f>
        <v>0</v>
      </c>
      <c r="V89" s="19" t="n">
        <f aca="false">SUM(F91:F97)</f>
        <v>0</v>
      </c>
      <c r="W89" s="19" t="n">
        <f aca="false">IF(M89=1,SUMIFS(F91:F97,G91:G97,"نعم"),0)</f>
        <v>0</v>
      </c>
    </row>
    <row r="90" customFormat="false" ht="39.75" hidden="false" customHeight="true" outlineLevel="0" collapsed="false">
      <c r="A90" s="21" t="s">
        <v>18</v>
      </c>
      <c r="B90" s="21" t="s">
        <v>19</v>
      </c>
      <c r="C90" s="21" t="s">
        <v>20</v>
      </c>
      <c r="D90" s="21" t="s">
        <v>21</v>
      </c>
      <c r="E90" s="21" t="s">
        <v>22</v>
      </c>
      <c r="F90" s="21" t="s">
        <v>29</v>
      </c>
      <c r="G90" s="21" t="s">
        <v>30</v>
      </c>
      <c r="H90" s="21" t="s">
        <v>26</v>
      </c>
      <c r="M90" s="19" t="n">
        <f aca="false">$M$89</f>
        <v>0</v>
      </c>
      <c r="Q90" s="19" t="n">
        <f aca="false">IF(N(E101)&gt;0,1,0)</f>
        <v>0</v>
      </c>
      <c r="S90" s="0" t="n">
        <v>7</v>
      </c>
    </row>
    <row r="91" customFormat="false" ht="15" hidden="false" customHeight="false" outlineLevel="0" collapsed="false">
      <c r="A91" s="22" t="n">
        <f aca="false">IF(7&lt;=NW,WEEK_ONE+42,"")</f>
        <v>46060</v>
      </c>
      <c r="B91" s="23" t="str">
        <f aca="false">IF(A91="","",CHOOSE(WEEKDAY(A91,1),"الأحد","الاثنين","الثلاثاء","الأربعاء","الخميس","الجمعة","السبت"))</f>
        <v>السبت</v>
      </c>
      <c r="C91" s="24"/>
      <c r="D91" s="24"/>
      <c r="E91" s="25" t="str">
        <f aca="false">IF(OR(M91=0,K91="",L91=""),"",MOD(L91-K91,1))</f>
        <v/>
      </c>
      <c r="F91" s="26" t="str">
        <f aca="false">IF(OR(E91="",M91=0),"",IF(ROUND_MODE="للأعلى",CEILING(ROUND((E91*24*$N$89),3),0.25),ROUND((E91*24*$N$89)*4,0)/4))</f>
        <v/>
      </c>
      <c r="G91" s="24"/>
      <c r="H91" s="27"/>
      <c r="K91" s="28" t="str">
        <f aca="false">IF(OR(M91=0,C91=""),"",IF(ISNUMBER(C91),MOD(C91,1),IFERROR(INDEX(القوائم!$B$1:$B$288,MATCH(TRIM(C91),القوائم!$A$1:$A$288,0)),IFERROR(MOD(TIMEVALUE(C91),1),""))))</f>
        <v/>
      </c>
      <c r="L91" s="28" t="str">
        <f aca="false">IF(OR(M91=0,D91=""),"",IF(ISNUMBER(D91),MOD(D91,1),IFERROR(INDEX(القوائم!$B$1:$B$288,MATCH(TRIM(D91),القوائم!$A$1:$A$288,0)),IFERROR(MOD(TIMEVALUE(D91),1),""))))</f>
        <v/>
      </c>
      <c r="M91" s="19" t="n">
        <f aca="false">$M$89</f>
        <v>0</v>
      </c>
      <c r="Q91" s="19" t="n">
        <f aca="false">IF(N(E101)&gt;0,1,0)</f>
        <v>0</v>
      </c>
      <c r="S91" s="0" t="n">
        <v>7</v>
      </c>
    </row>
    <row r="92" customFormat="false" ht="15" hidden="false" customHeight="false" outlineLevel="0" collapsed="false">
      <c r="A92" s="22" t="n">
        <f aca="false">IF(7&lt;=NW,WEEK_ONE+43,"")</f>
        <v>46061</v>
      </c>
      <c r="B92" s="23" t="str">
        <f aca="false">IF(A92="","",CHOOSE(WEEKDAY(A92,1),"الأحد","الاثنين","الثلاثاء","الأربعاء","الخميس","الجمعة","السبت"))</f>
        <v>الأحد</v>
      </c>
      <c r="C92" s="24"/>
      <c r="D92" s="24"/>
      <c r="E92" s="25" t="str">
        <f aca="false">IF(OR(M92=0,K92="",L92=""),"",MOD(L92-K92,1))</f>
        <v/>
      </c>
      <c r="F92" s="26" t="str">
        <f aca="false">IF(OR(E92="",M92=0),"",IF(ROUND_MODE="للأعلى",CEILING(ROUND((E92*24*$N$89),3),0.25),ROUND((E92*24*$N$89)*4,0)/4))</f>
        <v/>
      </c>
      <c r="G92" s="24"/>
      <c r="H92" s="27"/>
      <c r="K92" s="28" t="str">
        <f aca="false">IF(OR(M92=0,C92=""),"",IF(ISNUMBER(C92),MOD(C92,1),IFERROR(INDEX(القوائم!$B$1:$B$288,MATCH(TRIM(C92),القوائم!$A$1:$A$288,0)),IFERROR(MOD(TIMEVALUE(C92),1),""))))</f>
        <v/>
      </c>
      <c r="L92" s="28" t="str">
        <f aca="false">IF(OR(M92=0,D92=""),"",IF(ISNUMBER(D92),MOD(D92,1),IFERROR(INDEX(القوائم!$B$1:$B$288,MATCH(TRIM(D92),القوائم!$A$1:$A$288,0)),IFERROR(MOD(TIMEVALUE(D92),1),""))))</f>
        <v/>
      </c>
      <c r="M92" s="19" t="n">
        <f aca="false">$M$89</f>
        <v>0</v>
      </c>
      <c r="Q92" s="19" t="n">
        <f aca="false">IF(N(E101)&gt;0,1,0)</f>
        <v>0</v>
      </c>
      <c r="S92" s="0" t="n">
        <v>7</v>
      </c>
    </row>
    <row r="93" customFormat="false" ht="15" hidden="false" customHeight="false" outlineLevel="0" collapsed="false">
      <c r="A93" s="22" t="n">
        <f aca="false">IF(7&lt;=NW,WEEK_ONE+44,"")</f>
        <v>46062</v>
      </c>
      <c r="B93" s="23" t="str">
        <f aca="false">IF(A93="","",CHOOSE(WEEKDAY(A93,1),"الأحد","الاثنين","الثلاثاء","الأربعاء","الخميس","الجمعة","السبت"))</f>
        <v>الاثنين</v>
      </c>
      <c r="C93" s="24"/>
      <c r="D93" s="24"/>
      <c r="E93" s="25" t="str">
        <f aca="false">IF(OR(M93=0,K93="",L93=""),"",MOD(L93-K93,1))</f>
        <v/>
      </c>
      <c r="F93" s="26" t="str">
        <f aca="false">IF(OR(E93="",M93=0),"",IF(ROUND_MODE="للأعلى",CEILING(ROUND((E93*24*$N$89),3),0.25),ROUND((E93*24*$N$89)*4,0)/4))</f>
        <v/>
      </c>
      <c r="G93" s="24"/>
      <c r="H93" s="27"/>
      <c r="K93" s="28" t="str">
        <f aca="false">IF(OR(M93=0,C93=""),"",IF(ISNUMBER(C93),MOD(C93,1),IFERROR(INDEX(القوائم!$B$1:$B$288,MATCH(TRIM(C93),القوائم!$A$1:$A$288,0)),IFERROR(MOD(TIMEVALUE(C93),1),""))))</f>
        <v/>
      </c>
      <c r="L93" s="28" t="str">
        <f aca="false">IF(OR(M93=0,D93=""),"",IF(ISNUMBER(D93),MOD(D93,1),IFERROR(INDEX(القوائم!$B$1:$B$288,MATCH(TRIM(D93),القوائم!$A$1:$A$288,0)),IFERROR(MOD(TIMEVALUE(D93),1),""))))</f>
        <v/>
      </c>
      <c r="M93" s="19" t="n">
        <f aca="false">$M$89</f>
        <v>0</v>
      </c>
      <c r="Q93" s="19" t="n">
        <f aca="false">IF(N(E101)&gt;0,1,0)</f>
        <v>0</v>
      </c>
      <c r="S93" s="0" t="n">
        <v>7</v>
      </c>
    </row>
    <row r="94" customFormat="false" ht="15" hidden="false" customHeight="false" outlineLevel="0" collapsed="false">
      <c r="A94" s="22" t="n">
        <f aca="false">IF(7&lt;=NW,WEEK_ONE+45,"")</f>
        <v>46063</v>
      </c>
      <c r="B94" s="23" t="str">
        <f aca="false">IF(A94="","",CHOOSE(WEEKDAY(A94,1),"الأحد","الاثنين","الثلاثاء","الأربعاء","الخميس","الجمعة","السبت"))</f>
        <v>الثلاثاء</v>
      </c>
      <c r="C94" s="24"/>
      <c r="D94" s="24"/>
      <c r="E94" s="25" t="str">
        <f aca="false">IF(OR(M94=0,K94="",L94=""),"",MOD(L94-K94,1))</f>
        <v/>
      </c>
      <c r="F94" s="26" t="str">
        <f aca="false">IF(OR(E94="",M94=0),"",IF(ROUND_MODE="للأعلى",CEILING(ROUND((E94*24*$N$89),3),0.25),ROUND((E94*24*$N$89)*4,0)/4))</f>
        <v/>
      </c>
      <c r="G94" s="24"/>
      <c r="H94" s="27"/>
      <c r="K94" s="28" t="str">
        <f aca="false">IF(OR(M94=0,C94=""),"",IF(ISNUMBER(C94),MOD(C94,1),IFERROR(INDEX(القوائم!$B$1:$B$288,MATCH(TRIM(C94),القوائم!$A$1:$A$288,0)),IFERROR(MOD(TIMEVALUE(C94),1),""))))</f>
        <v/>
      </c>
      <c r="L94" s="28" t="str">
        <f aca="false">IF(OR(M94=0,D94=""),"",IF(ISNUMBER(D94),MOD(D94,1),IFERROR(INDEX(القوائم!$B$1:$B$288,MATCH(TRIM(D94),القوائم!$A$1:$A$288,0)),IFERROR(MOD(TIMEVALUE(D94),1),""))))</f>
        <v/>
      </c>
      <c r="M94" s="19" t="n">
        <f aca="false">$M$89</f>
        <v>0</v>
      </c>
      <c r="Q94" s="19" t="n">
        <f aca="false">IF(N(E101)&gt;0,1,0)</f>
        <v>0</v>
      </c>
      <c r="S94" s="0" t="n">
        <v>7</v>
      </c>
    </row>
    <row r="95" customFormat="false" ht="15" hidden="false" customHeight="false" outlineLevel="0" collapsed="false">
      <c r="A95" s="22" t="n">
        <f aca="false">IF(7&lt;=NW,WEEK_ONE+46,"")</f>
        <v>46064</v>
      </c>
      <c r="B95" s="23" t="str">
        <f aca="false">IF(A95="","",CHOOSE(WEEKDAY(A95,1),"الأحد","الاثنين","الثلاثاء","الأربعاء","الخميس","الجمعة","السبت"))</f>
        <v>الأربعاء</v>
      </c>
      <c r="C95" s="24"/>
      <c r="D95" s="24"/>
      <c r="E95" s="25" t="str">
        <f aca="false">IF(OR(M95=0,K95="",L95=""),"",MOD(L95-K95,1))</f>
        <v/>
      </c>
      <c r="F95" s="26" t="str">
        <f aca="false">IF(OR(E95="",M95=0),"",IF(ROUND_MODE="للأعلى",CEILING(ROUND((E95*24*$N$89),3),0.25),ROUND((E95*24*$N$89)*4,0)/4))</f>
        <v/>
      </c>
      <c r="G95" s="24"/>
      <c r="H95" s="27"/>
      <c r="K95" s="28" t="str">
        <f aca="false">IF(OR(M95=0,C95=""),"",IF(ISNUMBER(C95),MOD(C95,1),IFERROR(INDEX(القوائم!$B$1:$B$288,MATCH(TRIM(C95),القوائم!$A$1:$A$288,0)),IFERROR(MOD(TIMEVALUE(C95),1),""))))</f>
        <v/>
      </c>
      <c r="L95" s="28" t="str">
        <f aca="false">IF(OR(M95=0,D95=""),"",IF(ISNUMBER(D95),MOD(D95,1),IFERROR(INDEX(القوائم!$B$1:$B$288,MATCH(TRIM(D95),القوائم!$A$1:$A$288,0)),IFERROR(MOD(TIMEVALUE(D95),1),""))))</f>
        <v/>
      </c>
      <c r="M95" s="19" t="n">
        <f aca="false">$M$89</f>
        <v>0</v>
      </c>
      <c r="Q95" s="19" t="n">
        <f aca="false">IF(N(E101)&gt;0,1,0)</f>
        <v>0</v>
      </c>
      <c r="S95" s="0" t="n">
        <v>7</v>
      </c>
    </row>
    <row r="96" customFormat="false" ht="15" hidden="false" customHeight="false" outlineLevel="0" collapsed="false">
      <c r="A96" s="22" t="n">
        <f aca="false">IF(7&lt;=NW,WEEK_ONE+47,"")</f>
        <v>46065</v>
      </c>
      <c r="B96" s="23" t="str">
        <f aca="false">IF(A96="","",CHOOSE(WEEKDAY(A96,1),"الأحد","الاثنين","الثلاثاء","الأربعاء","الخميس","الجمعة","السبت"))</f>
        <v>الخميس</v>
      </c>
      <c r="C96" s="24"/>
      <c r="D96" s="24"/>
      <c r="E96" s="25" t="str">
        <f aca="false">IF(OR(M96=0,K96="",L96=""),"",MOD(L96-K96,1))</f>
        <v/>
      </c>
      <c r="F96" s="26" t="str">
        <f aca="false">IF(OR(E96="",M96=0),"",IF(ROUND_MODE="للأعلى",CEILING(ROUND((E96*24*$N$89),3),0.25),ROUND((E96*24*$N$89)*4,0)/4))</f>
        <v/>
      </c>
      <c r="G96" s="24"/>
      <c r="H96" s="27"/>
      <c r="K96" s="28" t="str">
        <f aca="false">IF(OR(M96=0,C96=""),"",IF(ISNUMBER(C96),MOD(C96,1),IFERROR(INDEX(القوائم!$B$1:$B$288,MATCH(TRIM(C96),القوائم!$A$1:$A$288,0)),IFERROR(MOD(TIMEVALUE(C96),1),""))))</f>
        <v/>
      </c>
      <c r="L96" s="28" t="str">
        <f aca="false">IF(OR(M96=0,D96=""),"",IF(ISNUMBER(D96),MOD(D96,1),IFERROR(INDEX(القوائم!$B$1:$B$288,MATCH(TRIM(D96),القوائم!$A$1:$A$288,0)),IFERROR(MOD(TIMEVALUE(D96),1),""))))</f>
        <v/>
      </c>
      <c r="M96" s="19" t="n">
        <f aca="false">$M$89</f>
        <v>0</v>
      </c>
      <c r="Q96" s="19" t="n">
        <f aca="false">IF(N(E101)&gt;0,1,0)</f>
        <v>0</v>
      </c>
      <c r="S96" s="0" t="n">
        <v>7</v>
      </c>
    </row>
    <row r="97" customFormat="false" ht="15" hidden="false" customHeight="false" outlineLevel="0" collapsed="false">
      <c r="A97" s="29" t="n">
        <f aca="false">IF(7&lt;=NW,WEEK_ONE+48,"")</f>
        <v>46066</v>
      </c>
      <c r="B97" s="30" t="str">
        <f aca="false">IF(A97="","",CHOOSE(WEEKDAY(A97,1),"الأحد","الاثنين","الثلاثاء","الأربعاء","الخميس","الجمعة","السبت"))</f>
        <v>الجمعة</v>
      </c>
      <c r="C97" s="24"/>
      <c r="D97" s="24"/>
      <c r="E97" s="25" t="str">
        <f aca="false">IF(OR(M97=0,K97="",L97=""),"",MOD(L97-K97,1))</f>
        <v/>
      </c>
      <c r="F97" s="26" t="str">
        <f aca="false">IF(OR(E97="",M97=0),"",IF(ROUND_MODE="للأعلى",CEILING(ROUND((E97*24*$N$89),3),0.25),ROUND((E97*24*$N$89)*4,0)/4))</f>
        <v/>
      </c>
      <c r="G97" s="24"/>
      <c r="H97" s="27"/>
      <c r="K97" s="28" t="str">
        <f aca="false">IF(OR(M97=0,C97=""),"",IF(ISNUMBER(C97),MOD(C97,1),IFERROR(INDEX(القوائم!$B$1:$B$288,MATCH(TRIM(C97),القوائم!$A$1:$A$288,0)),IFERROR(MOD(TIMEVALUE(C97),1),""))))</f>
        <v/>
      </c>
      <c r="L97" s="28" t="str">
        <f aca="false">IF(OR(M97=0,D97=""),"",IF(ISNUMBER(D97),MOD(D97,1),IFERROR(INDEX(القوائم!$B$1:$B$288,MATCH(TRIM(D97),القوائم!$A$1:$A$288,0)),IFERROR(MOD(TIMEVALUE(D97),1),""))))</f>
        <v/>
      </c>
      <c r="M97" s="19" t="n">
        <f aca="false">$M$89</f>
        <v>0</v>
      </c>
      <c r="Q97" s="19" t="n">
        <f aca="false">IF(N(E101)&gt;0,1,0)</f>
        <v>0</v>
      </c>
      <c r="S97" s="0" t="n">
        <v>7</v>
      </c>
    </row>
    <row r="98" customFormat="false" ht="15" hidden="false" customHeight="false" outlineLevel="0" collapsed="false">
      <c r="A98" s="31" t="str">
        <f aca="false">IF(M89=1,"ساعات تحميل الجبسمبورد بهالأسبوع ←","")</f>
        <v/>
      </c>
      <c r="B98" s="31"/>
      <c r="C98" s="31"/>
      <c r="D98" s="31"/>
      <c r="E98" s="32"/>
      <c r="F98" s="33" t="str">
        <f aca="false">IF(M89=1,"كل ساعة تحميل = "&amp;TEXT($P$89,"0.000")&amp;" دينار (منها "&amp;TEXT($N$89,"0.000")&amp;" محسوبة أصلاً بساعات اليوم)","")</f>
        <v/>
      </c>
      <c r="G98" s="33"/>
      <c r="H98" s="33"/>
      <c r="M98" s="19" t="n">
        <f aca="false">$M$89</f>
        <v>0</v>
      </c>
      <c r="Q98" s="19" t="n">
        <f aca="false">IF(N(E101)&gt;0,1,0)</f>
        <v>0</v>
      </c>
      <c r="S98" s="0" t="n">
        <v>7</v>
      </c>
    </row>
    <row r="99" customFormat="false" ht="15" hidden="false" customHeight="false" outlineLevel="0" collapsed="false">
      <c r="A99" s="31" t="str">
        <f aca="false">IF(M89=1,"إكرامية الأسبوع (دينار) ←","")</f>
        <v/>
      </c>
      <c r="B99" s="31"/>
      <c r="C99" s="31"/>
      <c r="D99" s="31"/>
      <c r="E99" s="34"/>
      <c r="F99" s="35"/>
      <c r="G99" s="35"/>
      <c r="H99" s="35"/>
      <c r="M99" s="19" t="n">
        <f aca="false">$M$89</f>
        <v>0</v>
      </c>
      <c r="Q99" s="19" t="n">
        <f aca="false">IF(N(E101)&gt;0,1,0)</f>
        <v>0</v>
      </c>
      <c r="S99" s="0" t="n">
        <v>7</v>
      </c>
    </row>
    <row r="100" customFormat="false" ht="36" hidden="false" customHeight="true" outlineLevel="0" collapsed="false">
      <c r="A100" s="36" t="str">
        <f aca="false">IF(M89=1,"المستحق النهائي للأسبوع","")</f>
        <v/>
      </c>
      <c r="B100" s="36"/>
      <c r="C100" s="36"/>
      <c r="D100" s="36"/>
      <c r="E100" s="36"/>
      <c r="F100" s="11" t="str">
        <f aca="false">IF(M89=1,ROUND(N($V$89)+N(E98)*($P$89-$N$89)+N(E99),3),"")</f>
        <v/>
      </c>
      <c r="G100" s="35"/>
      <c r="H100" s="35"/>
      <c r="M100" s="19" t="n">
        <f aca="false">$M$89</f>
        <v>0</v>
      </c>
      <c r="Q100" s="19" t="n">
        <f aca="false">IF(N(E101)&gt;0,1,0)</f>
        <v>0</v>
      </c>
      <c r="S100" s="0" t="n">
        <v>7</v>
      </c>
      <c r="T100" s="0" t="n">
        <v>1</v>
      </c>
    </row>
    <row r="101" customFormat="false" ht="25.5" hidden="false" customHeight="true" outlineLevel="0" collapsed="false">
      <c r="A101" s="31" t="str">
        <f aca="false">IF(M89=1,"المدفوع (دينار) ←","")</f>
        <v/>
      </c>
      <c r="B101" s="31"/>
      <c r="C101" s="31"/>
      <c r="D101" s="31"/>
      <c r="E101" s="34"/>
      <c r="F101" s="38" t="str">
        <f aca="false">IF(M89=1,IF(N(E101)&gt;0,"✔ انقبض — الأسبوع مقفول","⏳ لسا ما انقبض"),"")</f>
        <v/>
      </c>
      <c r="G101" s="38"/>
      <c r="H101" s="38"/>
      <c r="M101" s="19" t="n">
        <f aca="false">$M$89</f>
        <v>0</v>
      </c>
      <c r="Q101" s="19" t="n">
        <f aca="false">IF(N(E101)&gt;0,1,0)</f>
        <v>0</v>
      </c>
      <c r="S101" s="0" t="n">
        <v>7</v>
      </c>
    </row>
    <row r="102" customFormat="false" ht="9.75" hidden="false" customHeight="true" outlineLevel="0" collapsed="false">
      <c r="M102" s="19" t="n">
        <f aca="false">$M$89</f>
        <v>0</v>
      </c>
      <c r="Q102" s="19" t="n">
        <f aca="false">IF(N(E101)&gt;0,1,0)</f>
        <v>0</v>
      </c>
      <c r="S102" s="0" t="n">
        <v>7</v>
      </c>
      <c r="T102" s="0" t="n">
        <v>2</v>
      </c>
    </row>
    <row r="103" customFormat="false" ht="33.75" hidden="false" customHeight="true" outlineLevel="0" collapsed="false">
      <c r="A103" s="17" t="str">
        <f aca="false">IF(8&lt;=NW,TEXT(DAY(WEEK_ONE+49),"00")&amp;"/"&amp;TEXT(MONTH(WEEK_ONE+49),"00")&amp;"/"&amp;YEAR(WEEK_ONE+49)&amp;"  -  "&amp;TEXT(DAY(WEEK_ONE+55),"00")&amp;"/"&amp;TEXT(MONTH(WEEK_ONE+55),"00")&amp;"/"&amp;YEAR(WEEK_ONE+55)&amp;"   ·   الأسبوع 8"&amp;IF(8&lt;START_Z,"   (قبل أسبوع البداية — ما بينحسب)",""),"ما في أسبوع 8 هالسنة")</f>
        <v>14/02/2026  -  20/02/2026   ·   الأسبوع 8   (قبل أسبوع البداية — ما بينحسب)</v>
      </c>
      <c r="B103" s="17"/>
      <c r="C103" s="17"/>
      <c r="D103" s="17"/>
      <c r="E103" s="17"/>
      <c r="F103" s="17"/>
      <c r="G103" s="17"/>
      <c r="H103" s="17"/>
      <c r="L103" s="18" t="n">
        <f aca="false">IF(8&lt;=NW,WEEK_ONE+55,"")</f>
        <v>46073</v>
      </c>
      <c r="M103" s="19" t="n">
        <f aca="false">IF(AND(8&lt;=NW,8&gt;=START_Z),1,0)</f>
        <v>0</v>
      </c>
      <c r="N103" s="20" t="n">
        <f aca="false">IFERROR(INDEX(RT_AZZ,MATCH(L103,RT_K,1)),INDEX(RT_AZZ,1))</f>
        <v>1</v>
      </c>
      <c r="P103" s="20" t="n">
        <f aca="false">IFERROR(INDEX(RT_GYP,MATCH(L103,RT_K,1)),INDEX(RT_GYP,1))</f>
        <v>2.5</v>
      </c>
      <c r="Q103" s="19" t="n">
        <f aca="false">IF(N(E115)&gt;0,1,0)</f>
        <v>0</v>
      </c>
      <c r="R103" s="0" t="n">
        <v>8</v>
      </c>
      <c r="S103" s="0" t="n">
        <v>8</v>
      </c>
      <c r="U103" s="19" t="n">
        <f aca="false">IF(M103=1,SUM(E105:E111),0)</f>
        <v>0</v>
      </c>
      <c r="V103" s="19" t="n">
        <f aca="false">SUM(F105:F111)</f>
        <v>0</v>
      </c>
      <c r="W103" s="19" t="n">
        <f aca="false">IF(M103=1,SUMIFS(F105:F111,G105:G111,"نعم"),0)</f>
        <v>0</v>
      </c>
    </row>
    <row r="104" customFormat="false" ht="39.75" hidden="false" customHeight="true" outlineLevel="0" collapsed="false">
      <c r="A104" s="21" t="s">
        <v>18</v>
      </c>
      <c r="B104" s="21" t="s">
        <v>19</v>
      </c>
      <c r="C104" s="21" t="s">
        <v>20</v>
      </c>
      <c r="D104" s="21" t="s">
        <v>21</v>
      </c>
      <c r="E104" s="21" t="s">
        <v>22</v>
      </c>
      <c r="F104" s="21" t="s">
        <v>29</v>
      </c>
      <c r="G104" s="21" t="s">
        <v>30</v>
      </c>
      <c r="H104" s="21" t="s">
        <v>26</v>
      </c>
      <c r="M104" s="19" t="n">
        <f aca="false">$M$103</f>
        <v>0</v>
      </c>
      <c r="Q104" s="19" t="n">
        <f aca="false">IF(N(E115)&gt;0,1,0)</f>
        <v>0</v>
      </c>
      <c r="S104" s="0" t="n">
        <v>8</v>
      </c>
    </row>
    <row r="105" customFormat="false" ht="15" hidden="false" customHeight="false" outlineLevel="0" collapsed="false">
      <c r="A105" s="22" t="n">
        <f aca="false">IF(8&lt;=NW,WEEK_ONE+49,"")</f>
        <v>46067</v>
      </c>
      <c r="B105" s="23" t="str">
        <f aca="false">IF(A105="","",CHOOSE(WEEKDAY(A105,1),"الأحد","الاثنين","الثلاثاء","الأربعاء","الخميس","الجمعة","السبت"))</f>
        <v>السبت</v>
      </c>
      <c r="C105" s="24"/>
      <c r="D105" s="24"/>
      <c r="E105" s="25" t="str">
        <f aca="false">IF(OR(M105=0,K105="",L105=""),"",MOD(L105-K105,1))</f>
        <v/>
      </c>
      <c r="F105" s="26" t="str">
        <f aca="false">IF(OR(E105="",M105=0),"",IF(ROUND_MODE="للأعلى",CEILING(ROUND((E105*24*$N$103),3),0.25),ROUND((E105*24*$N$103)*4,0)/4))</f>
        <v/>
      </c>
      <c r="G105" s="24"/>
      <c r="H105" s="27"/>
      <c r="K105" s="28" t="str">
        <f aca="false">IF(OR(M105=0,C105=""),"",IF(ISNUMBER(C105),MOD(C105,1),IFERROR(INDEX(القوائم!$B$1:$B$288,MATCH(TRIM(C105),القوائم!$A$1:$A$288,0)),IFERROR(MOD(TIMEVALUE(C105),1),""))))</f>
        <v/>
      </c>
      <c r="L105" s="28" t="str">
        <f aca="false">IF(OR(M105=0,D105=""),"",IF(ISNUMBER(D105),MOD(D105,1),IFERROR(INDEX(القوائم!$B$1:$B$288,MATCH(TRIM(D105),القوائم!$A$1:$A$288,0)),IFERROR(MOD(TIMEVALUE(D105),1),""))))</f>
        <v/>
      </c>
      <c r="M105" s="19" t="n">
        <f aca="false">$M$103</f>
        <v>0</v>
      </c>
      <c r="Q105" s="19" t="n">
        <f aca="false">IF(N(E115)&gt;0,1,0)</f>
        <v>0</v>
      </c>
      <c r="S105" s="0" t="n">
        <v>8</v>
      </c>
    </row>
    <row r="106" customFormat="false" ht="15" hidden="false" customHeight="false" outlineLevel="0" collapsed="false">
      <c r="A106" s="22" t="n">
        <f aca="false">IF(8&lt;=NW,WEEK_ONE+50,"")</f>
        <v>46068</v>
      </c>
      <c r="B106" s="23" t="str">
        <f aca="false">IF(A106="","",CHOOSE(WEEKDAY(A106,1),"الأحد","الاثنين","الثلاثاء","الأربعاء","الخميس","الجمعة","السبت"))</f>
        <v>الأحد</v>
      </c>
      <c r="C106" s="24"/>
      <c r="D106" s="24"/>
      <c r="E106" s="25" t="str">
        <f aca="false">IF(OR(M106=0,K106="",L106=""),"",MOD(L106-K106,1))</f>
        <v/>
      </c>
      <c r="F106" s="26" t="str">
        <f aca="false">IF(OR(E106="",M106=0),"",IF(ROUND_MODE="للأعلى",CEILING(ROUND((E106*24*$N$103),3),0.25),ROUND((E106*24*$N$103)*4,0)/4))</f>
        <v/>
      </c>
      <c r="G106" s="24"/>
      <c r="H106" s="27"/>
      <c r="K106" s="28" t="str">
        <f aca="false">IF(OR(M106=0,C106=""),"",IF(ISNUMBER(C106),MOD(C106,1),IFERROR(INDEX(القوائم!$B$1:$B$288,MATCH(TRIM(C106),القوائم!$A$1:$A$288,0)),IFERROR(MOD(TIMEVALUE(C106),1),""))))</f>
        <v/>
      </c>
      <c r="L106" s="28" t="str">
        <f aca="false">IF(OR(M106=0,D106=""),"",IF(ISNUMBER(D106),MOD(D106,1),IFERROR(INDEX(القوائم!$B$1:$B$288,MATCH(TRIM(D106),القوائم!$A$1:$A$288,0)),IFERROR(MOD(TIMEVALUE(D106),1),""))))</f>
        <v/>
      </c>
      <c r="M106" s="19" t="n">
        <f aca="false">$M$103</f>
        <v>0</v>
      </c>
      <c r="Q106" s="19" t="n">
        <f aca="false">IF(N(E115)&gt;0,1,0)</f>
        <v>0</v>
      </c>
      <c r="S106" s="0" t="n">
        <v>8</v>
      </c>
    </row>
    <row r="107" customFormat="false" ht="15" hidden="false" customHeight="false" outlineLevel="0" collapsed="false">
      <c r="A107" s="22" t="n">
        <f aca="false">IF(8&lt;=NW,WEEK_ONE+51,"")</f>
        <v>46069</v>
      </c>
      <c r="B107" s="23" t="str">
        <f aca="false">IF(A107="","",CHOOSE(WEEKDAY(A107,1),"الأحد","الاثنين","الثلاثاء","الأربعاء","الخميس","الجمعة","السبت"))</f>
        <v>الاثنين</v>
      </c>
      <c r="C107" s="24"/>
      <c r="D107" s="24"/>
      <c r="E107" s="25" t="str">
        <f aca="false">IF(OR(M107=0,K107="",L107=""),"",MOD(L107-K107,1))</f>
        <v/>
      </c>
      <c r="F107" s="26" t="str">
        <f aca="false">IF(OR(E107="",M107=0),"",IF(ROUND_MODE="للأعلى",CEILING(ROUND((E107*24*$N$103),3),0.25),ROUND((E107*24*$N$103)*4,0)/4))</f>
        <v/>
      </c>
      <c r="G107" s="24"/>
      <c r="H107" s="27"/>
      <c r="K107" s="28" t="str">
        <f aca="false">IF(OR(M107=0,C107=""),"",IF(ISNUMBER(C107),MOD(C107,1),IFERROR(INDEX(القوائم!$B$1:$B$288,MATCH(TRIM(C107),القوائم!$A$1:$A$288,0)),IFERROR(MOD(TIMEVALUE(C107),1),""))))</f>
        <v/>
      </c>
      <c r="L107" s="28" t="str">
        <f aca="false">IF(OR(M107=0,D107=""),"",IF(ISNUMBER(D107),MOD(D107,1),IFERROR(INDEX(القوائم!$B$1:$B$288,MATCH(TRIM(D107),القوائم!$A$1:$A$288,0)),IFERROR(MOD(TIMEVALUE(D107),1),""))))</f>
        <v/>
      </c>
      <c r="M107" s="19" t="n">
        <f aca="false">$M$103</f>
        <v>0</v>
      </c>
      <c r="Q107" s="19" t="n">
        <f aca="false">IF(N(E115)&gt;0,1,0)</f>
        <v>0</v>
      </c>
      <c r="S107" s="0" t="n">
        <v>8</v>
      </c>
    </row>
    <row r="108" customFormat="false" ht="15" hidden="false" customHeight="false" outlineLevel="0" collapsed="false">
      <c r="A108" s="22" t="n">
        <f aca="false">IF(8&lt;=NW,WEEK_ONE+52,"")</f>
        <v>46070</v>
      </c>
      <c r="B108" s="23" t="str">
        <f aca="false">IF(A108="","",CHOOSE(WEEKDAY(A108,1),"الأحد","الاثنين","الثلاثاء","الأربعاء","الخميس","الجمعة","السبت"))</f>
        <v>الثلاثاء</v>
      </c>
      <c r="C108" s="24"/>
      <c r="D108" s="24"/>
      <c r="E108" s="25" t="str">
        <f aca="false">IF(OR(M108=0,K108="",L108=""),"",MOD(L108-K108,1))</f>
        <v/>
      </c>
      <c r="F108" s="26" t="str">
        <f aca="false">IF(OR(E108="",M108=0),"",IF(ROUND_MODE="للأعلى",CEILING(ROUND((E108*24*$N$103),3),0.25),ROUND((E108*24*$N$103)*4,0)/4))</f>
        <v/>
      </c>
      <c r="G108" s="24"/>
      <c r="H108" s="27"/>
      <c r="K108" s="28" t="str">
        <f aca="false">IF(OR(M108=0,C108=""),"",IF(ISNUMBER(C108),MOD(C108,1),IFERROR(INDEX(القوائم!$B$1:$B$288,MATCH(TRIM(C108),القوائم!$A$1:$A$288,0)),IFERROR(MOD(TIMEVALUE(C108),1),""))))</f>
        <v/>
      </c>
      <c r="L108" s="28" t="str">
        <f aca="false">IF(OR(M108=0,D108=""),"",IF(ISNUMBER(D108),MOD(D108,1),IFERROR(INDEX(القوائم!$B$1:$B$288,MATCH(TRIM(D108),القوائم!$A$1:$A$288,0)),IFERROR(MOD(TIMEVALUE(D108),1),""))))</f>
        <v/>
      </c>
      <c r="M108" s="19" t="n">
        <f aca="false">$M$103</f>
        <v>0</v>
      </c>
      <c r="Q108" s="19" t="n">
        <f aca="false">IF(N(E115)&gt;0,1,0)</f>
        <v>0</v>
      </c>
      <c r="S108" s="0" t="n">
        <v>8</v>
      </c>
    </row>
    <row r="109" customFormat="false" ht="15" hidden="false" customHeight="false" outlineLevel="0" collapsed="false">
      <c r="A109" s="22" t="n">
        <f aca="false">IF(8&lt;=NW,WEEK_ONE+53,"")</f>
        <v>46071</v>
      </c>
      <c r="B109" s="23" t="str">
        <f aca="false">IF(A109="","",CHOOSE(WEEKDAY(A109,1),"الأحد","الاثنين","الثلاثاء","الأربعاء","الخميس","الجمعة","السبت"))</f>
        <v>الأربعاء</v>
      </c>
      <c r="C109" s="24"/>
      <c r="D109" s="24"/>
      <c r="E109" s="25" t="str">
        <f aca="false">IF(OR(M109=0,K109="",L109=""),"",MOD(L109-K109,1))</f>
        <v/>
      </c>
      <c r="F109" s="26" t="str">
        <f aca="false">IF(OR(E109="",M109=0),"",IF(ROUND_MODE="للأعلى",CEILING(ROUND((E109*24*$N$103),3),0.25),ROUND((E109*24*$N$103)*4,0)/4))</f>
        <v/>
      </c>
      <c r="G109" s="24"/>
      <c r="H109" s="27"/>
      <c r="K109" s="28" t="str">
        <f aca="false">IF(OR(M109=0,C109=""),"",IF(ISNUMBER(C109),MOD(C109,1),IFERROR(INDEX(القوائم!$B$1:$B$288,MATCH(TRIM(C109),القوائم!$A$1:$A$288,0)),IFERROR(MOD(TIMEVALUE(C109),1),""))))</f>
        <v/>
      </c>
      <c r="L109" s="28" t="str">
        <f aca="false">IF(OR(M109=0,D109=""),"",IF(ISNUMBER(D109),MOD(D109,1),IFERROR(INDEX(القوائم!$B$1:$B$288,MATCH(TRIM(D109),القوائم!$A$1:$A$288,0)),IFERROR(MOD(TIMEVALUE(D109),1),""))))</f>
        <v/>
      </c>
      <c r="M109" s="19" t="n">
        <f aca="false">$M$103</f>
        <v>0</v>
      </c>
      <c r="Q109" s="19" t="n">
        <f aca="false">IF(N(E115)&gt;0,1,0)</f>
        <v>0</v>
      </c>
      <c r="S109" s="0" t="n">
        <v>8</v>
      </c>
    </row>
    <row r="110" customFormat="false" ht="15" hidden="false" customHeight="false" outlineLevel="0" collapsed="false">
      <c r="A110" s="22" t="n">
        <f aca="false">IF(8&lt;=NW,WEEK_ONE+54,"")</f>
        <v>46072</v>
      </c>
      <c r="B110" s="23" t="str">
        <f aca="false">IF(A110="","",CHOOSE(WEEKDAY(A110,1),"الأحد","الاثنين","الثلاثاء","الأربعاء","الخميس","الجمعة","السبت"))</f>
        <v>الخميس</v>
      </c>
      <c r="C110" s="24"/>
      <c r="D110" s="24"/>
      <c r="E110" s="25" t="str">
        <f aca="false">IF(OR(M110=0,K110="",L110=""),"",MOD(L110-K110,1))</f>
        <v/>
      </c>
      <c r="F110" s="26" t="str">
        <f aca="false">IF(OR(E110="",M110=0),"",IF(ROUND_MODE="للأعلى",CEILING(ROUND((E110*24*$N$103),3),0.25),ROUND((E110*24*$N$103)*4,0)/4))</f>
        <v/>
      </c>
      <c r="G110" s="24"/>
      <c r="H110" s="27"/>
      <c r="K110" s="28" t="str">
        <f aca="false">IF(OR(M110=0,C110=""),"",IF(ISNUMBER(C110),MOD(C110,1),IFERROR(INDEX(القوائم!$B$1:$B$288,MATCH(TRIM(C110),القوائم!$A$1:$A$288,0)),IFERROR(MOD(TIMEVALUE(C110),1),""))))</f>
        <v/>
      </c>
      <c r="L110" s="28" t="str">
        <f aca="false">IF(OR(M110=0,D110=""),"",IF(ISNUMBER(D110),MOD(D110,1),IFERROR(INDEX(القوائم!$B$1:$B$288,MATCH(TRIM(D110),القوائم!$A$1:$A$288,0)),IFERROR(MOD(TIMEVALUE(D110),1),""))))</f>
        <v/>
      </c>
      <c r="M110" s="19" t="n">
        <f aca="false">$M$103</f>
        <v>0</v>
      </c>
      <c r="Q110" s="19" t="n">
        <f aca="false">IF(N(E115)&gt;0,1,0)</f>
        <v>0</v>
      </c>
      <c r="S110" s="0" t="n">
        <v>8</v>
      </c>
    </row>
    <row r="111" customFormat="false" ht="15" hidden="false" customHeight="false" outlineLevel="0" collapsed="false">
      <c r="A111" s="29" t="n">
        <f aca="false">IF(8&lt;=NW,WEEK_ONE+55,"")</f>
        <v>46073</v>
      </c>
      <c r="B111" s="30" t="str">
        <f aca="false">IF(A111="","",CHOOSE(WEEKDAY(A111,1),"الأحد","الاثنين","الثلاثاء","الأربعاء","الخميس","الجمعة","السبت"))</f>
        <v>الجمعة</v>
      </c>
      <c r="C111" s="24"/>
      <c r="D111" s="24"/>
      <c r="E111" s="25" t="str">
        <f aca="false">IF(OR(M111=0,K111="",L111=""),"",MOD(L111-K111,1))</f>
        <v/>
      </c>
      <c r="F111" s="26" t="str">
        <f aca="false">IF(OR(E111="",M111=0),"",IF(ROUND_MODE="للأعلى",CEILING(ROUND((E111*24*$N$103),3),0.25),ROUND((E111*24*$N$103)*4,0)/4))</f>
        <v/>
      </c>
      <c r="G111" s="24"/>
      <c r="H111" s="27"/>
      <c r="K111" s="28" t="str">
        <f aca="false">IF(OR(M111=0,C111=""),"",IF(ISNUMBER(C111),MOD(C111,1),IFERROR(INDEX(القوائم!$B$1:$B$288,MATCH(TRIM(C111),القوائم!$A$1:$A$288,0)),IFERROR(MOD(TIMEVALUE(C111),1),""))))</f>
        <v/>
      </c>
      <c r="L111" s="28" t="str">
        <f aca="false">IF(OR(M111=0,D111=""),"",IF(ISNUMBER(D111),MOD(D111,1),IFERROR(INDEX(القوائم!$B$1:$B$288,MATCH(TRIM(D111),القوائم!$A$1:$A$288,0)),IFERROR(MOD(TIMEVALUE(D111),1),""))))</f>
        <v/>
      </c>
      <c r="M111" s="19" t="n">
        <f aca="false">$M$103</f>
        <v>0</v>
      </c>
      <c r="Q111" s="19" t="n">
        <f aca="false">IF(N(E115)&gt;0,1,0)</f>
        <v>0</v>
      </c>
      <c r="S111" s="0" t="n">
        <v>8</v>
      </c>
    </row>
    <row r="112" customFormat="false" ht="15" hidden="false" customHeight="false" outlineLevel="0" collapsed="false">
      <c r="A112" s="31" t="str">
        <f aca="false">IF(M103=1,"ساعات تحميل الجبسمبورد بهالأسبوع ←","")</f>
        <v/>
      </c>
      <c r="B112" s="31"/>
      <c r="C112" s="31"/>
      <c r="D112" s="31"/>
      <c r="E112" s="32"/>
      <c r="F112" s="33" t="str">
        <f aca="false">IF(M103=1,"كل ساعة تحميل = "&amp;TEXT($P$103,"0.000")&amp;" دينار (منها "&amp;TEXT($N$103,"0.000")&amp;" محسوبة أصلاً بساعات اليوم)","")</f>
        <v/>
      </c>
      <c r="G112" s="33"/>
      <c r="H112" s="33"/>
      <c r="M112" s="19" t="n">
        <f aca="false">$M$103</f>
        <v>0</v>
      </c>
      <c r="Q112" s="19" t="n">
        <f aca="false">IF(N(E115)&gt;0,1,0)</f>
        <v>0</v>
      </c>
      <c r="S112" s="0" t="n">
        <v>8</v>
      </c>
    </row>
    <row r="113" customFormat="false" ht="15" hidden="false" customHeight="false" outlineLevel="0" collapsed="false">
      <c r="A113" s="31" t="str">
        <f aca="false">IF(M103=1,"إكرامية الأسبوع (دينار) ←","")</f>
        <v/>
      </c>
      <c r="B113" s="31"/>
      <c r="C113" s="31"/>
      <c r="D113" s="31"/>
      <c r="E113" s="34"/>
      <c r="F113" s="35"/>
      <c r="G113" s="35"/>
      <c r="H113" s="35"/>
      <c r="M113" s="19" t="n">
        <f aca="false">$M$103</f>
        <v>0</v>
      </c>
      <c r="Q113" s="19" t="n">
        <f aca="false">IF(N(E115)&gt;0,1,0)</f>
        <v>0</v>
      </c>
      <c r="S113" s="0" t="n">
        <v>8</v>
      </c>
    </row>
    <row r="114" customFormat="false" ht="36" hidden="false" customHeight="true" outlineLevel="0" collapsed="false">
      <c r="A114" s="36" t="str">
        <f aca="false">IF(M103=1,"المستحق النهائي للأسبوع","")</f>
        <v/>
      </c>
      <c r="B114" s="36"/>
      <c r="C114" s="36"/>
      <c r="D114" s="36"/>
      <c r="E114" s="36"/>
      <c r="F114" s="11" t="str">
        <f aca="false">IF(M103=1,ROUND(N($V$103)+N(E112)*($P$103-$N$103)+N(E113),3),"")</f>
        <v/>
      </c>
      <c r="G114" s="35"/>
      <c r="H114" s="35"/>
      <c r="M114" s="19" t="n">
        <f aca="false">$M$103</f>
        <v>0</v>
      </c>
      <c r="Q114" s="19" t="n">
        <f aca="false">IF(N(E115)&gt;0,1,0)</f>
        <v>0</v>
      </c>
      <c r="S114" s="0" t="n">
        <v>8</v>
      </c>
      <c r="T114" s="0" t="n">
        <v>1</v>
      </c>
    </row>
    <row r="115" customFormat="false" ht="25.5" hidden="false" customHeight="true" outlineLevel="0" collapsed="false">
      <c r="A115" s="31" t="str">
        <f aca="false">IF(M103=1,"المدفوع (دينار) ←","")</f>
        <v/>
      </c>
      <c r="B115" s="31"/>
      <c r="C115" s="31"/>
      <c r="D115" s="31"/>
      <c r="E115" s="34"/>
      <c r="F115" s="38" t="str">
        <f aca="false">IF(M103=1,IF(N(E115)&gt;0,"✔ انقبض — الأسبوع مقفول","⏳ لسا ما انقبض"),"")</f>
        <v/>
      </c>
      <c r="G115" s="38"/>
      <c r="H115" s="38"/>
      <c r="M115" s="19" t="n">
        <f aca="false">$M$103</f>
        <v>0</v>
      </c>
      <c r="Q115" s="19" t="n">
        <f aca="false">IF(N(E115)&gt;0,1,0)</f>
        <v>0</v>
      </c>
      <c r="S115" s="0" t="n">
        <v>8</v>
      </c>
    </row>
    <row r="116" customFormat="false" ht="9.75" hidden="false" customHeight="true" outlineLevel="0" collapsed="false">
      <c r="M116" s="19" t="n">
        <f aca="false">$M$103</f>
        <v>0</v>
      </c>
      <c r="Q116" s="19" t="n">
        <f aca="false">IF(N(E115)&gt;0,1,0)</f>
        <v>0</v>
      </c>
      <c r="S116" s="0" t="n">
        <v>8</v>
      </c>
      <c r="T116" s="0" t="n">
        <v>2</v>
      </c>
    </row>
    <row r="117" customFormat="false" ht="33.75" hidden="false" customHeight="true" outlineLevel="0" collapsed="false">
      <c r="A117" s="17" t="str">
        <f aca="false">IF(9&lt;=NW,TEXT(DAY(WEEK_ONE+56),"00")&amp;"/"&amp;TEXT(MONTH(WEEK_ONE+56),"00")&amp;"/"&amp;YEAR(WEEK_ONE+56)&amp;"  -  "&amp;TEXT(DAY(WEEK_ONE+62),"00")&amp;"/"&amp;TEXT(MONTH(WEEK_ONE+62),"00")&amp;"/"&amp;YEAR(WEEK_ONE+62)&amp;"   ·   الأسبوع 9"&amp;IF(9&lt;START_Z,"   (قبل أسبوع البداية — ما بينحسب)",""),"ما في أسبوع 9 هالسنة")</f>
        <v>21/02/2026  -  27/02/2026   ·   الأسبوع 9   (قبل أسبوع البداية — ما بينحسب)</v>
      </c>
      <c r="B117" s="17"/>
      <c r="C117" s="17"/>
      <c r="D117" s="17"/>
      <c r="E117" s="17"/>
      <c r="F117" s="17"/>
      <c r="G117" s="17"/>
      <c r="H117" s="17"/>
      <c r="L117" s="18" t="n">
        <f aca="false">IF(9&lt;=NW,WEEK_ONE+62,"")</f>
        <v>46080</v>
      </c>
      <c r="M117" s="19" t="n">
        <f aca="false">IF(AND(9&lt;=NW,9&gt;=START_Z),1,0)</f>
        <v>0</v>
      </c>
      <c r="N117" s="20" t="n">
        <f aca="false">IFERROR(INDEX(RT_AZZ,MATCH(L117,RT_K,1)),INDEX(RT_AZZ,1))</f>
        <v>1</v>
      </c>
      <c r="P117" s="20" t="n">
        <f aca="false">IFERROR(INDEX(RT_GYP,MATCH(L117,RT_K,1)),INDEX(RT_GYP,1))</f>
        <v>2.5</v>
      </c>
      <c r="Q117" s="19" t="n">
        <f aca="false">IF(N(E129)&gt;0,1,0)</f>
        <v>0</v>
      </c>
      <c r="R117" s="0" t="n">
        <v>9</v>
      </c>
      <c r="S117" s="0" t="n">
        <v>9</v>
      </c>
      <c r="U117" s="19" t="n">
        <f aca="false">IF(M117=1,SUM(E119:E125),0)</f>
        <v>0</v>
      </c>
      <c r="V117" s="19" t="n">
        <f aca="false">SUM(F119:F125)</f>
        <v>0</v>
      </c>
      <c r="W117" s="19" t="n">
        <f aca="false">IF(M117=1,SUMIFS(F119:F125,G119:G125,"نعم"),0)</f>
        <v>0</v>
      </c>
    </row>
    <row r="118" customFormat="false" ht="39.75" hidden="false" customHeight="true" outlineLevel="0" collapsed="false">
      <c r="A118" s="21" t="s">
        <v>18</v>
      </c>
      <c r="B118" s="21" t="s">
        <v>19</v>
      </c>
      <c r="C118" s="21" t="s">
        <v>20</v>
      </c>
      <c r="D118" s="21" t="s">
        <v>21</v>
      </c>
      <c r="E118" s="21" t="s">
        <v>22</v>
      </c>
      <c r="F118" s="21" t="s">
        <v>29</v>
      </c>
      <c r="G118" s="21" t="s">
        <v>30</v>
      </c>
      <c r="H118" s="21" t="s">
        <v>26</v>
      </c>
      <c r="M118" s="19" t="n">
        <f aca="false">$M$117</f>
        <v>0</v>
      </c>
      <c r="Q118" s="19" t="n">
        <f aca="false">IF(N(E129)&gt;0,1,0)</f>
        <v>0</v>
      </c>
      <c r="S118" s="0" t="n">
        <v>9</v>
      </c>
    </row>
    <row r="119" customFormat="false" ht="15" hidden="false" customHeight="false" outlineLevel="0" collapsed="false">
      <c r="A119" s="22" t="n">
        <f aca="false">IF(9&lt;=NW,WEEK_ONE+56,"")</f>
        <v>46074</v>
      </c>
      <c r="B119" s="23" t="str">
        <f aca="false">IF(A119="","",CHOOSE(WEEKDAY(A119,1),"الأحد","الاثنين","الثلاثاء","الأربعاء","الخميس","الجمعة","السبت"))</f>
        <v>السبت</v>
      </c>
      <c r="C119" s="24"/>
      <c r="D119" s="24"/>
      <c r="E119" s="25" t="str">
        <f aca="false">IF(OR(M119=0,K119="",L119=""),"",MOD(L119-K119,1))</f>
        <v/>
      </c>
      <c r="F119" s="26" t="str">
        <f aca="false">IF(OR(E119="",M119=0),"",IF(ROUND_MODE="للأعلى",CEILING(ROUND((E119*24*$N$117),3),0.25),ROUND((E119*24*$N$117)*4,0)/4))</f>
        <v/>
      </c>
      <c r="G119" s="24"/>
      <c r="H119" s="27"/>
      <c r="K119" s="28" t="str">
        <f aca="false">IF(OR(M119=0,C119=""),"",IF(ISNUMBER(C119),MOD(C119,1),IFERROR(INDEX(القوائم!$B$1:$B$288,MATCH(TRIM(C119),القوائم!$A$1:$A$288,0)),IFERROR(MOD(TIMEVALUE(C119),1),""))))</f>
        <v/>
      </c>
      <c r="L119" s="28" t="str">
        <f aca="false">IF(OR(M119=0,D119=""),"",IF(ISNUMBER(D119),MOD(D119,1),IFERROR(INDEX(القوائم!$B$1:$B$288,MATCH(TRIM(D119),القوائم!$A$1:$A$288,0)),IFERROR(MOD(TIMEVALUE(D119),1),""))))</f>
        <v/>
      </c>
      <c r="M119" s="19" t="n">
        <f aca="false">$M$117</f>
        <v>0</v>
      </c>
      <c r="Q119" s="19" t="n">
        <f aca="false">IF(N(E129)&gt;0,1,0)</f>
        <v>0</v>
      </c>
      <c r="S119" s="0" t="n">
        <v>9</v>
      </c>
    </row>
    <row r="120" customFormat="false" ht="15" hidden="false" customHeight="false" outlineLevel="0" collapsed="false">
      <c r="A120" s="22" t="n">
        <f aca="false">IF(9&lt;=NW,WEEK_ONE+57,"")</f>
        <v>46075</v>
      </c>
      <c r="B120" s="23" t="str">
        <f aca="false">IF(A120="","",CHOOSE(WEEKDAY(A120,1),"الأحد","الاثنين","الثلاثاء","الأربعاء","الخميس","الجمعة","السبت"))</f>
        <v>الأحد</v>
      </c>
      <c r="C120" s="24"/>
      <c r="D120" s="24"/>
      <c r="E120" s="25" t="str">
        <f aca="false">IF(OR(M120=0,K120="",L120=""),"",MOD(L120-K120,1))</f>
        <v/>
      </c>
      <c r="F120" s="26" t="str">
        <f aca="false">IF(OR(E120="",M120=0),"",IF(ROUND_MODE="للأعلى",CEILING(ROUND((E120*24*$N$117),3),0.25),ROUND((E120*24*$N$117)*4,0)/4))</f>
        <v/>
      </c>
      <c r="G120" s="24"/>
      <c r="H120" s="27"/>
      <c r="K120" s="28" t="str">
        <f aca="false">IF(OR(M120=0,C120=""),"",IF(ISNUMBER(C120),MOD(C120,1),IFERROR(INDEX(القوائم!$B$1:$B$288,MATCH(TRIM(C120),القوائم!$A$1:$A$288,0)),IFERROR(MOD(TIMEVALUE(C120),1),""))))</f>
        <v/>
      </c>
      <c r="L120" s="28" t="str">
        <f aca="false">IF(OR(M120=0,D120=""),"",IF(ISNUMBER(D120),MOD(D120,1),IFERROR(INDEX(القوائم!$B$1:$B$288,MATCH(TRIM(D120),القوائم!$A$1:$A$288,0)),IFERROR(MOD(TIMEVALUE(D120),1),""))))</f>
        <v/>
      </c>
      <c r="M120" s="19" t="n">
        <f aca="false">$M$117</f>
        <v>0</v>
      </c>
      <c r="Q120" s="19" t="n">
        <f aca="false">IF(N(E129)&gt;0,1,0)</f>
        <v>0</v>
      </c>
      <c r="S120" s="0" t="n">
        <v>9</v>
      </c>
    </row>
    <row r="121" customFormat="false" ht="15" hidden="false" customHeight="false" outlineLevel="0" collapsed="false">
      <c r="A121" s="22" t="n">
        <f aca="false">IF(9&lt;=NW,WEEK_ONE+58,"")</f>
        <v>46076</v>
      </c>
      <c r="B121" s="23" t="str">
        <f aca="false">IF(A121="","",CHOOSE(WEEKDAY(A121,1),"الأحد","الاثنين","الثلاثاء","الأربعاء","الخميس","الجمعة","السبت"))</f>
        <v>الاثنين</v>
      </c>
      <c r="C121" s="24"/>
      <c r="D121" s="24"/>
      <c r="E121" s="25" t="str">
        <f aca="false">IF(OR(M121=0,K121="",L121=""),"",MOD(L121-K121,1))</f>
        <v/>
      </c>
      <c r="F121" s="26" t="str">
        <f aca="false">IF(OR(E121="",M121=0),"",IF(ROUND_MODE="للأعلى",CEILING(ROUND((E121*24*$N$117),3),0.25),ROUND((E121*24*$N$117)*4,0)/4))</f>
        <v/>
      </c>
      <c r="G121" s="24"/>
      <c r="H121" s="27"/>
      <c r="K121" s="28" t="str">
        <f aca="false">IF(OR(M121=0,C121=""),"",IF(ISNUMBER(C121),MOD(C121,1),IFERROR(INDEX(القوائم!$B$1:$B$288,MATCH(TRIM(C121),القوائم!$A$1:$A$288,0)),IFERROR(MOD(TIMEVALUE(C121),1),""))))</f>
        <v/>
      </c>
      <c r="L121" s="28" t="str">
        <f aca="false">IF(OR(M121=0,D121=""),"",IF(ISNUMBER(D121),MOD(D121,1),IFERROR(INDEX(القوائم!$B$1:$B$288,MATCH(TRIM(D121),القوائم!$A$1:$A$288,0)),IFERROR(MOD(TIMEVALUE(D121),1),""))))</f>
        <v/>
      </c>
      <c r="M121" s="19" t="n">
        <f aca="false">$M$117</f>
        <v>0</v>
      </c>
      <c r="Q121" s="19" t="n">
        <f aca="false">IF(N(E129)&gt;0,1,0)</f>
        <v>0</v>
      </c>
      <c r="S121" s="0" t="n">
        <v>9</v>
      </c>
    </row>
    <row r="122" customFormat="false" ht="15" hidden="false" customHeight="false" outlineLevel="0" collapsed="false">
      <c r="A122" s="22" t="n">
        <f aca="false">IF(9&lt;=NW,WEEK_ONE+59,"")</f>
        <v>46077</v>
      </c>
      <c r="B122" s="23" t="str">
        <f aca="false">IF(A122="","",CHOOSE(WEEKDAY(A122,1),"الأحد","الاثنين","الثلاثاء","الأربعاء","الخميس","الجمعة","السبت"))</f>
        <v>الثلاثاء</v>
      </c>
      <c r="C122" s="24"/>
      <c r="D122" s="24"/>
      <c r="E122" s="25" t="str">
        <f aca="false">IF(OR(M122=0,K122="",L122=""),"",MOD(L122-K122,1))</f>
        <v/>
      </c>
      <c r="F122" s="26" t="str">
        <f aca="false">IF(OR(E122="",M122=0),"",IF(ROUND_MODE="للأعلى",CEILING(ROUND((E122*24*$N$117),3),0.25),ROUND((E122*24*$N$117)*4,0)/4))</f>
        <v/>
      </c>
      <c r="G122" s="24"/>
      <c r="H122" s="27"/>
      <c r="K122" s="28" t="str">
        <f aca="false">IF(OR(M122=0,C122=""),"",IF(ISNUMBER(C122),MOD(C122,1),IFERROR(INDEX(القوائم!$B$1:$B$288,MATCH(TRIM(C122),القوائم!$A$1:$A$288,0)),IFERROR(MOD(TIMEVALUE(C122),1),""))))</f>
        <v/>
      </c>
      <c r="L122" s="28" t="str">
        <f aca="false">IF(OR(M122=0,D122=""),"",IF(ISNUMBER(D122),MOD(D122,1),IFERROR(INDEX(القوائم!$B$1:$B$288,MATCH(TRIM(D122),القوائم!$A$1:$A$288,0)),IFERROR(MOD(TIMEVALUE(D122),1),""))))</f>
        <v/>
      </c>
      <c r="M122" s="19" t="n">
        <f aca="false">$M$117</f>
        <v>0</v>
      </c>
      <c r="Q122" s="19" t="n">
        <f aca="false">IF(N(E129)&gt;0,1,0)</f>
        <v>0</v>
      </c>
      <c r="S122" s="0" t="n">
        <v>9</v>
      </c>
    </row>
    <row r="123" customFormat="false" ht="15" hidden="false" customHeight="false" outlineLevel="0" collapsed="false">
      <c r="A123" s="22" t="n">
        <f aca="false">IF(9&lt;=NW,WEEK_ONE+60,"")</f>
        <v>46078</v>
      </c>
      <c r="B123" s="23" t="str">
        <f aca="false">IF(A123="","",CHOOSE(WEEKDAY(A123,1),"الأحد","الاثنين","الثلاثاء","الأربعاء","الخميس","الجمعة","السبت"))</f>
        <v>الأربعاء</v>
      </c>
      <c r="C123" s="24"/>
      <c r="D123" s="24"/>
      <c r="E123" s="25" t="str">
        <f aca="false">IF(OR(M123=0,K123="",L123=""),"",MOD(L123-K123,1))</f>
        <v/>
      </c>
      <c r="F123" s="26" t="str">
        <f aca="false">IF(OR(E123="",M123=0),"",IF(ROUND_MODE="للأعلى",CEILING(ROUND((E123*24*$N$117),3),0.25),ROUND((E123*24*$N$117)*4,0)/4))</f>
        <v/>
      </c>
      <c r="G123" s="24"/>
      <c r="H123" s="27"/>
      <c r="K123" s="28" t="str">
        <f aca="false">IF(OR(M123=0,C123=""),"",IF(ISNUMBER(C123),MOD(C123,1),IFERROR(INDEX(القوائم!$B$1:$B$288,MATCH(TRIM(C123),القوائم!$A$1:$A$288,0)),IFERROR(MOD(TIMEVALUE(C123),1),""))))</f>
        <v/>
      </c>
      <c r="L123" s="28" t="str">
        <f aca="false">IF(OR(M123=0,D123=""),"",IF(ISNUMBER(D123),MOD(D123,1),IFERROR(INDEX(القوائم!$B$1:$B$288,MATCH(TRIM(D123),القوائم!$A$1:$A$288,0)),IFERROR(MOD(TIMEVALUE(D123),1),""))))</f>
        <v/>
      </c>
      <c r="M123" s="19" t="n">
        <f aca="false">$M$117</f>
        <v>0</v>
      </c>
      <c r="Q123" s="19" t="n">
        <f aca="false">IF(N(E129)&gt;0,1,0)</f>
        <v>0</v>
      </c>
      <c r="S123" s="0" t="n">
        <v>9</v>
      </c>
    </row>
    <row r="124" customFormat="false" ht="15" hidden="false" customHeight="false" outlineLevel="0" collapsed="false">
      <c r="A124" s="22" t="n">
        <f aca="false">IF(9&lt;=NW,WEEK_ONE+61,"")</f>
        <v>46079</v>
      </c>
      <c r="B124" s="23" t="str">
        <f aca="false">IF(A124="","",CHOOSE(WEEKDAY(A124,1),"الأحد","الاثنين","الثلاثاء","الأربعاء","الخميس","الجمعة","السبت"))</f>
        <v>الخميس</v>
      </c>
      <c r="C124" s="24"/>
      <c r="D124" s="24"/>
      <c r="E124" s="25" t="str">
        <f aca="false">IF(OR(M124=0,K124="",L124=""),"",MOD(L124-K124,1))</f>
        <v/>
      </c>
      <c r="F124" s="26" t="str">
        <f aca="false">IF(OR(E124="",M124=0),"",IF(ROUND_MODE="للأعلى",CEILING(ROUND((E124*24*$N$117),3),0.25),ROUND((E124*24*$N$117)*4,0)/4))</f>
        <v/>
      </c>
      <c r="G124" s="24"/>
      <c r="H124" s="27"/>
      <c r="K124" s="28" t="str">
        <f aca="false">IF(OR(M124=0,C124=""),"",IF(ISNUMBER(C124),MOD(C124,1),IFERROR(INDEX(القوائم!$B$1:$B$288,MATCH(TRIM(C124),القوائم!$A$1:$A$288,0)),IFERROR(MOD(TIMEVALUE(C124),1),""))))</f>
        <v/>
      </c>
      <c r="L124" s="28" t="str">
        <f aca="false">IF(OR(M124=0,D124=""),"",IF(ISNUMBER(D124),MOD(D124,1),IFERROR(INDEX(القوائم!$B$1:$B$288,MATCH(TRIM(D124),القوائم!$A$1:$A$288,0)),IFERROR(MOD(TIMEVALUE(D124),1),""))))</f>
        <v/>
      </c>
      <c r="M124" s="19" t="n">
        <f aca="false">$M$117</f>
        <v>0</v>
      </c>
      <c r="Q124" s="19" t="n">
        <f aca="false">IF(N(E129)&gt;0,1,0)</f>
        <v>0</v>
      </c>
      <c r="S124" s="0" t="n">
        <v>9</v>
      </c>
    </row>
    <row r="125" customFormat="false" ht="15" hidden="false" customHeight="false" outlineLevel="0" collapsed="false">
      <c r="A125" s="29" t="n">
        <f aca="false">IF(9&lt;=NW,WEEK_ONE+62,"")</f>
        <v>46080</v>
      </c>
      <c r="B125" s="30" t="str">
        <f aca="false">IF(A125="","",CHOOSE(WEEKDAY(A125,1),"الأحد","الاثنين","الثلاثاء","الأربعاء","الخميس","الجمعة","السبت"))</f>
        <v>الجمعة</v>
      </c>
      <c r="C125" s="24"/>
      <c r="D125" s="24"/>
      <c r="E125" s="25" t="str">
        <f aca="false">IF(OR(M125=0,K125="",L125=""),"",MOD(L125-K125,1))</f>
        <v/>
      </c>
      <c r="F125" s="26" t="str">
        <f aca="false">IF(OR(E125="",M125=0),"",IF(ROUND_MODE="للأعلى",CEILING(ROUND((E125*24*$N$117),3),0.25),ROUND((E125*24*$N$117)*4,0)/4))</f>
        <v/>
      </c>
      <c r="G125" s="24"/>
      <c r="H125" s="27"/>
      <c r="K125" s="28" t="str">
        <f aca="false">IF(OR(M125=0,C125=""),"",IF(ISNUMBER(C125),MOD(C125,1),IFERROR(INDEX(القوائم!$B$1:$B$288,MATCH(TRIM(C125),القوائم!$A$1:$A$288,0)),IFERROR(MOD(TIMEVALUE(C125),1),""))))</f>
        <v/>
      </c>
      <c r="L125" s="28" t="str">
        <f aca="false">IF(OR(M125=0,D125=""),"",IF(ISNUMBER(D125),MOD(D125,1),IFERROR(INDEX(القوائم!$B$1:$B$288,MATCH(TRIM(D125),القوائم!$A$1:$A$288,0)),IFERROR(MOD(TIMEVALUE(D125),1),""))))</f>
        <v/>
      </c>
      <c r="M125" s="19" t="n">
        <f aca="false">$M$117</f>
        <v>0</v>
      </c>
      <c r="Q125" s="19" t="n">
        <f aca="false">IF(N(E129)&gt;0,1,0)</f>
        <v>0</v>
      </c>
      <c r="S125" s="0" t="n">
        <v>9</v>
      </c>
    </row>
    <row r="126" customFormat="false" ht="15" hidden="false" customHeight="false" outlineLevel="0" collapsed="false">
      <c r="A126" s="31" t="str">
        <f aca="false">IF(M117=1,"ساعات تحميل الجبسمبورد بهالأسبوع ←","")</f>
        <v/>
      </c>
      <c r="B126" s="31"/>
      <c r="C126" s="31"/>
      <c r="D126" s="31"/>
      <c r="E126" s="32"/>
      <c r="F126" s="33" t="str">
        <f aca="false">IF(M117=1,"كل ساعة تحميل = "&amp;TEXT($P$117,"0.000")&amp;" دينار (منها "&amp;TEXT($N$117,"0.000")&amp;" محسوبة أصلاً بساعات اليوم)","")</f>
        <v/>
      </c>
      <c r="G126" s="33"/>
      <c r="H126" s="33"/>
      <c r="M126" s="19" t="n">
        <f aca="false">$M$117</f>
        <v>0</v>
      </c>
      <c r="Q126" s="19" t="n">
        <f aca="false">IF(N(E129)&gt;0,1,0)</f>
        <v>0</v>
      </c>
      <c r="S126" s="0" t="n">
        <v>9</v>
      </c>
    </row>
    <row r="127" customFormat="false" ht="15" hidden="false" customHeight="false" outlineLevel="0" collapsed="false">
      <c r="A127" s="31" t="str">
        <f aca="false">IF(M117=1,"إكرامية الأسبوع (دينار) ←","")</f>
        <v/>
      </c>
      <c r="B127" s="31"/>
      <c r="C127" s="31"/>
      <c r="D127" s="31"/>
      <c r="E127" s="34"/>
      <c r="F127" s="35"/>
      <c r="G127" s="35"/>
      <c r="H127" s="35"/>
      <c r="M127" s="19" t="n">
        <f aca="false">$M$117</f>
        <v>0</v>
      </c>
      <c r="Q127" s="19" t="n">
        <f aca="false">IF(N(E129)&gt;0,1,0)</f>
        <v>0</v>
      </c>
      <c r="S127" s="0" t="n">
        <v>9</v>
      </c>
    </row>
    <row r="128" customFormat="false" ht="36" hidden="false" customHeight="true" outlineLevel="0" collapsed="false">
      <c r="A128" s="36" t="str">
        <f aca="false">IF(M117=1,"المستحق النهائي للأسبوع","")</f>
        <v/>
      </c>
      <c r="B128" s="36"/>
      <c r="C128" s="36"/>
      <c r="D128" s="36"/>
      <c r="E128" s="36"/>
      <c r="F128" s="11" t="str">
        <f aca="false">IF(M117=1,ROUND(N($V$117)+N(E126)*($P$117-$N$117)+N(E127),3),"")</f>
        <v/>
      </c>
      <c r="G128" s="35"/>
      <c r="H128" s="35"/>
      <c r="M128" s="19" t="n">
        <f aca="false">$M$117</f>
        <v>0</v>
      </c>
      <c r="Q128" s="19" t="n">
        <f aca="false">IF(N(E129)&gt;0,1,0)</f>
        <v>0</v>
      </c>
      <c r="S128" s="0" t="n">
        <v>9</v>
      </c>
      <c r="T128" s="0" t="n">
        <v>1</v>
      </c>
    </row>
    <row r="129" customFormat="false" ht="25.5" hidden="false" customHeight="true" outlineLevel="0" collapsed="false">
      <c r="A129" s="31" t="str">
        <f aca="false">IF(M117=1,"المدفوع (دينار) ←","")</f>
        <v/>
      </c>
      <c r="B129" s="31"/>
      <c r="C129" s="31"/>
      <c r="D129" s="31"/>
      <c r="E129" s="34"/>
      <c r="F129" s="38" t="str">
        <f aca="false">IF(M117=1,IF(N(E129)&gt;0,"✔ انقبض — الأسبوع مقفول","⏳ لسا ما انقبض"),"")</f>
        <v/>
      </c>
      <c r="G129" s="38"/>
      <c r="H129" s="38"/>
      <c r="M129" s="19" t="n">
        <f aca="false">$M$117</f>
        <v>0</v>
      </c>
      <c r="Q129" s="19" t="n">
        <f aca="false">IF(N(E129)&gt;0,1,0)</f>
        <v>0</v>
      </c>
      <c r="S129" s="0" t="n">
        <v>9</v>
      </c>
    </row>
    <row r="130" customFormat="false" ht="9.75" hidden="false" customHeight="true" outlineLevel="0" collapsed="false">
      <c r="M130" s="19" t="n">
        <f aca="false">$M$117</f>
        <v>0</v>
      </c>
      <c r="Q130" s="19" t="n">
        <f aca="false">IF(N(E129)&gt;0,1,0)</f>
        <v>0</v>
      </c>
      <c r="S130" s="0" t="n">
        <v>9</v>
      </c>
      <c r="T130" s="0" t="n">
        <v>2</v>
      </c>
    </row>
    <row r="131" customFormat="false" ht="33.75" hidden="false" customHeight="true" outlineLevel="0" collapsed="false">
      <c r="A131" s="17" t="str">
        <f aca="false">IF(10&lt;=NW,TEXT(DAY(WEEK_ONE+63),"00")&amp;"/"&amp;TEXT(MONTH(WEEK_ONE+63),"00")&amp;"/"&amp;YEAR(WEEK_ONE+63)&amp;"  -  "&amp;TEXT(DAY(WEEK_ONE+69),"00")&amp;"/"&amp;TEXT(MONTH(WEEK_ONE+69),"00")&amp;"/"&amp;YEAR(WEEK_ONE+69)&amp;"   ·   الأسبوع 10"&amp;IF(10&lt;START_Z,"   (قبل أسبوع البداية — ما بينحسب)",""),"ما في أسبوع 10 هالسنة")</f>
        <v>28/02/2026  -  06/03/2026   ·   الأسبوع 10   (قبل أسبوع البداية — ما بينحسب)</v>
      </c>
      <c r="B131" s="17"/>
      <c r="C131" s="17"/>
      <c r="D131" s="17"/>
      <c r="E131" s="17"/>
      <c r="F131" s="17"/>
      <c r="G131" s="17"/>
      <c r="H131" s="17"/>
      <c r="L131" s="18" t="n">
        <f aca="false">IF(10&lt;=NW,WEEK_ONE+69,"")</f>
        <v>46087</v>
      </c>
      <c r="M131" s="19" t="n">
        <f aca="false">IF(AND(10&lt;=NW,10&gt;=START_Z),1,0)</f>
        <v>0</v>
      </c>
      <c r="N131" s="20" t="n">
        <f aca="false">IFERROR(INDEX(RT_AZZ,MATCH(L131,RT_K,1)),INDEX(RT_AZZ,1))</f>
        <v>1</v>
      </c>
      <c r="P131" s="20" t="n">
        <f aca="false">IFERROR(INDEX(RT_GYP,MATCH(L131,RT_K,1)),INDEX(RT_GYP,1))</f>
        <v>2.5</v>
      </c>
      <c r="Q131" s="19" t="n">
        <f aca="false">IF(N(E143)&gt;0,1,0)</f>
        <v>0</v>
      </c>
      <c r="R131" s="0" t="n">
        <v>10</v>
      </c>
      <c r="S131" s="0" t="n">
        <v>10</v>
      </c>
      <c r="U131" s="19" t="n">
        <f aca="false">IF(M131=1,SUM(E133:E139),0)</f>
        <v>0</v>
      </c>
      <c r="V131" s="19" t="n">
        <f aca="false">SUM(F133:F139)</f>
        <v>0</v>
      </c>
      <c r="W131" s="19" t="n">
        <f aca="false">IF(M131=1,SUMIFS(F133:F139,G133:G139,"نعم"),0)</f>
        <v>0</v>
      </c>
    </row>
    <row r="132" customFormat="false" ht="39.75" hidden="false" customHeight="true" outlineLevel="0" collapsed="false">
      <c r="A132" s="21" t="s">
        <v>18</v>
      </c>
      <c r="B132" s="21" t="s">
        <v>19</v>
      </c>
      <c r="C132" s="21" t="s">
        <v>20</v>
      </c>
      <c r="D132" s="21" t="s">
        <v>21</v>
      </c>
      <c r="E132" s="21" t="s">
        <v>22</v>
      </c>
      <c r="F132" s="21" t="s">
        <v>29</v>
      </c>
      <c r="G132" s="21" t="s">
        <v>30</v>
      </c>
      <c r="H132" s="21" t="s">
        <v>26</v>
      </c>
      <c r="M132" s="19" t="n">
        <f aca="false">$M$131</f>
        <v>0</v>
      </c>
      <c r="Q132" s="19" t="n">
        <f aca="false">IF(N(E143)&gt;0,1,0)</f>
        <v>0</v>
      </c>
      <c r="S132" s="0" t="n">
        <v>10</v>
      </c>
    </row>
    <row r="133" customFormat="false" ht="15" hidden="false" customHeight="false" outlineLevel="0" collapsed="false">
      <c r="A133" s="22" t="n">
        <f aca="false">IF(10&lt;=NW,WEEK_ONE+63,"")</f>
        <v>46081</v>
      </c>
      <c r="B133" s="23" t="str">
        <f aca="false">IF(A133="","",CHOOSE(WEEKDAY(A133,1),"الأحد","الاثنين","الثلاثاء","الأربعاء","الخميس","الجمعة","السبت"))</f>
        <v>السبت</v>
      </c>
      <c r="C133" s="24"/>
      <c r="D133" s="24"/>
      <c r="E133" s="25" t="str">
        <f aca="false">IF(OR(M133=0,K133="",L133=""),"",MOD(L133-K133,1))</f>
        <v/>
      </c>
      <c r="F133" s="26" t="str">
        <f aca="false">IF(OR(E133="",M133=0),"",IF(ROUND_MODE="للأعلى",CEILING(ROUND((E133*24*$N$131),3),0.25),ROUND((E133*24*$N$131)*4,0)/4))</f>
        <v/>
      </c>
      <c r="G133" s="24"/>
      <c r="H133" s="27"/>
      <c r="K133" s="28" t="str">
        <f aca="false">IF(OR(M133=0,C133=""),"",IF(ISNUMBER(C133),MOD(C133,1),IFERROR(INDEX(القوائم!$B$1:$B$288,MATCH(TRIM(C133),القوائم!$A$1:$A$288,0)),IFERROR(MOD(TIMEVALUE(C133),1),""))))</f>
        <v/>
      </c>
      <c r="L133" s="28" t="str">
        <f aca="false">IF(OR(M133=0,D133=""),"",IF(ISNUMBER(D133),MOD(D133,1),IFERROR(INDEX(القوائم!$B$1:$B$288,MATCH(TRIM(D133),القوائم!$A$1:$A$288,0)),IFERROR(MOD(TIMEVALUE(D133),1),""))))</f>
        <v/>
      </c>
      <c r="M133" s="19" t="n">
        <f aca="false">$M$131</f>
        <v>0</v>
      </c>
      <c r="Q133" s="19" t="n">
        <f aca="false">IF(N(E143)&gt;0,1,0)</f>
        <v>0</v>
      </c>
      <c r="S133" s="0" t="n">
        <v>10</v>
      </c>
    </row>
    <row r="134" customFormat="false" ht="15" hidden="false" customHeight="false" outlineLevel="0" collapsed="false">
      <c r="A134" s="22" t="n">
        <f aca="false">IF(10&lt;=NW,WEEK_ONE+64,"")</f>
        <v>46082</v>
      </c>
      <c r="B134" s="23" t="str">
        <f aca="false">IF(A134="","",CHOOSE(WEEKDAY(A134,1),"الأحد","الاثنين","الثلاثاء","الأربعاء","الخميس","الجمعة","السبت"))</f>
        <v>الأحد</v>
      </c>
      <c r="C134" s="24"/>
      <c r="D134" s="24"/>
      <c r="E134" s="25" t="str">
        <f aca="false">IF(OR(M134=0,K134="",L134=""),"",MOD(L134-K134,1))</f>
        <v/>
      </c>
      <c r="F134" s="26" t="str">
        <f aca="false">IF(OR(E134="",M134=0),"",IF(ROUND_MODE="للأعلى",CEILING(ROUND((E134*24*$N$131),3),0.25),ROUND((E134*24*$N$131)*4,0)/4))</f>
        <v/>
      </c>
      <c r="G134" s="24"/>
      <c r="H134" s="27"/>
      <c r="K134" s="28" t="str">
        <f aca="false">IF(OR(M134=0,C134=""),"",IF(ISNUMBER(C134),MOD(C134,1),IFERROR(INDEX(القوائم!$B$1:$B$288,MATCH(TRIM(C134),القوائم!$A$1:$A$288,0)),IFERROR(MOD(TIMEVALUE(C134),1),""))))</f>
        <v/>
      </c>
      <c r="L134" s="28" t="str">
        <f aca="false">IF(OR(M134=0,D134=""),"",IF(ISNUMBER(D134),MOD(D134,1),IFERROR(INDEX(القوائم!$B$1:$B$288,MATCH(TRIM(D134),القوائم!$A$1:$A$288,0)),IFERROR(MOD(TIMEVALUE(D134),1),""))))</f>
        <v/>
      </c>
      <c r="M134" s="19" t="n">
        <f aca="false">$M$131</f>
        <v>0</v>
      </c>
      <c r="Q134" s="19" t="n">
        <f aca="false">IF(N(E143)&gt;0,1,0)</f>
        <v>0</v>
      </c>
      <c r="S134" s="0" t="n">
        <v>10</v>
      </c>
    </row>
    <row r="135" customFormat="false" ht="15" hidden="false" customHeight="false" outlineLevel="0" collapsed="false">
      <c r="A135" s="22" t="n">
        <f aca="false">IF(10&lt;=NW,WEEK_ONE+65,"")</f>
        <v>46083</v>
      </c>
      <c r="B135" s="23" t="str">
        <f aca="false">IF(A135="","",CHOOSE(WEEKDAY(A135,1),"الأحد","الاثنين","الثلاثاء","الأربعاء","الخميس","الجمعة","السبت"))</f>
        <v>الاثنين</v>
      </c>
      <c r="C135" s="24"/>
      <c r="D135" s="24"/>
      <c r="E135" s="25" t="str">
        <f aca="false">IF(OR(M135=0,K135="",L135=""),"",MOD(L135-K135,1))</f>
        <v/>
      </c>
      <c r="F135" s="26" t="str">
        <f aca="false">IF(OR(E135="",M135=0),"",IF(ROUND_MODE="للأعلى",CEILING(ROUND((E135*24*$N$131),3),0.25),ROUND((E135*24*$N$131)*4,0)/4))</f>
        <v/>
      </c>
      <c r="G135" s="24"/>
      <c r="H135" s="27"/>
      <c r="K135" s="28" t="str">
        <f aca="false">IF(OR(M135=0,C135=""),"",IF(ISNUMBER(C135),MOD(C135,1),IFERROR(INDEX(القوائم!$B$1:$B$288,MATCH(TRIM(C135),القوائم!$A$1:$A$288,0)),IFERROR(MOD(TIMEVALUE(C135),1),""))))</f>
        <v/>
      </c>
      <c r="L135" s="28" t="str">
        <f aca="false">IF(OR(M135=0,D135=""),"",IF(ISNUMBER(D135),MOD(D135,1),IFERROR(INDEX(القوائم!$B$1:$B$288,MATCH(TRIM(D135),القوائم!$A$1:$A$288,0)),IFERROR(MOD(TIMEVALUE(D135),1),""))))</f>
        <v/>
      </c>
      <c r="M135" s="19" t="n">
        <f aca="false">$M$131</f>
        <v>0</v>
      </c>
      <c r="Q135" s="19" t="n">
        <f aca="false">IF(N(E143)&gt;0,1,0)</f>
        <v>0</v>
      </c>
      <c r="S135" s="0" t="n">
        <v>10</v>
      </c>
    </row>
    <row r="136" customFormat="false" ht="15" hidden="false" customHeight="false" outlineLevel="0" collapsed="false">
      <c r="A136" s="22" t="n">
        <f aca="false">IF(10&lt;=NW,WEEK_ONE+66,"")</f>
        <v>46084</v>
      </c>
      <c r="B136" s="23" t="str">
        <f aca="false">IF(A136="","",CHOOSE(WEEKDAY(A136,1),"الأحد","الاثنين","الثلاثاء","الأربعاء","الخميس","الجمعة","السبت"))</f>
        <v>الثلاثاء</v>
      </c>
      <c r="C136" s="24"/>
      <c r="D136" s="24"/>
      <c r="E136" s="25" t="str">
        <f aca="false">IF(OR(M136=0,K136="",L136=""),"",MOD(L136-K136,1))</f>
        <v/>
      </c>
      <c r="F136" s="26" t="str">
        <f aca="false">IF(OR(E136="",M136=0),"",IF(ROUND_MODE="للأعلى",CEILING(ROUND((E136*24*$N$131),3),0.25),ROUND((E136*24*$N$131)*4,0)/4))</f>
        <v/>
      </c>
      <c r="G136" s="24"/>
      <c r="H136" s="27"/>
      <c r="K136" s="28" t="str">
        <f aca="false">IF(OR(M136=0,C136=""),"",IF(ISNUMBER(C136),MOD(C136,1),IFERROR(INDEX(القوائم!$B$1:$B$288,MATCH(TRIM(C136),القوائم!$A$1:$A$288,0)),IFERROR(MOD(TIMEVALUE(C136),1),""))))</f>
        <v/>
      </c>
      <c r="L136" s="28" t="str">
        <f aca="false">IF(OR(M136=0,D136=""),"",IF(ISNUMBER(D136),MOD(D136,1),IFERROR(INDEX(القوائم!$B$1:$B$288,MATCH(TRIM(D136),القوائم!$A$1:$A$288,0)),IFERROR(MOD(TIMEVALUE(D136),1),""))))</f>
        <v/>
      </c>
      <c r="M136" s="19" t="n">
        <f aca="false">$M$131</f>
        <v>0</v>
      </c>
      <c r="Q136" s="19" t="n">
        <f aca="false">IF(N(E143)&gt;0,1,0)</f>
        <v>0</v>
      </c>
      <c r="S136" s="0" t="n">
        <v>10</v>
      </c>
    </row>
    <row r="137" customFormat="false" ht="15" hidden="false" customHeight="false" outlineLevel="0" collapsed="false">
      <c r="A137" s="22" t="n">
        <f aca="false">IF(10&lt;=NW,WEEK_ONE+67,"")</f>
        <v>46085</v>
      </c>
      <c r="B137" s="23" t="str">
        <f aca="false">IF(A137="","",CHOOSE(WEEKDAY(A137,1),"الأحد","الاثنين","الثلاثاء","الأربعاء","الخميس","الجمعة","السبت"))</f>
        <v>الأربعاء</v>
      </c>
      <c r="C137" s="24"/>
      <c r="D137" s="24"/>
      <c r="E137" s="25" t="str">
        <f aca="false">IF(OR(M137=0,K137="",L137=""),"",MOD(L137-K137,1))</f>
        <v/>
      </c>
      <c r="F137" s="26" t="str">
        <f aca="false">IF(OR(E137="",M137=0),"",IF(ROUND_MODE="للأعلى",CEILING(ROUND((E137*24*$N$131),3),0.25),ROUND((E137*24*$N$131)*4,0)/4))</f>
        <v/>
      </c>
      <c r="G137" s="24"/>
      <c r="H137" s="27"/>
      <c r="K137" s="28" t="str">
        <f aca="false">IF(OR(M137=0,C137=""),"",IF(ISNUMBER(C137),MOD(C137,1),IFERROR(INDEX(القوائم!$B$1:$B$288,MATCH(TRIM(C137),القوائم!$A$1:$A$288,0)),IFERROR(MOD(TIMEVALUE(C137),1),""))))</f>
        <v/>
      </c>
      <c r="L137" s="28" t="str">
        <f aca="false">IF(OR(M137=0,D137=""),"",IF(ISNUMBER(D137),MOD(D137,1),IFERROR(INDEX(القوائم!$B$1:$B$288,MATCH(TRIM(D137),القوائم!$A$1:$A$288,0)),IFERROR(MOD(TIMEVALUE(D137),1),""))))</f>
        <v/>
      </c>
      <c r="M137" s="19" t="n">
        <f aca="false">$M$131</f>
        <v>0</v>
      </c>
      <c r="Q137" s="19" t="n">
        <f aca="false">IF(N(E143)&gt;0,1,0)</f>
        <v>0</v>
      </c>
      <c r="S137" s="0" t="n">
        <v>10</v>
      </c>
    </row>
    <row r="138" customFormat="false" ht="15" hidden="false" customHeight="false" outlineLevel="0" collapsed="false">
      <c r="A138" s="22" t="n">
        <f aca="false">IF(10&lt;=NW,WEEK_ONE+68,"")</f>
        <v>46086</v>
      </c>
      <c r="B138" s="23" t="str">
        <f aca="false">IF(A138="","",CHOOSE(WEEKDAY(A138,1),"الأحد","الاثنين","الثلاثاء","الأربعاء","الخميس","الجمعة","السبت"))</f>
        <v>الخميس</v>
      </c>
      <c r="C138" s="24"/>
      <c r="D138" s="24"/>
      <c r="E138" s="25" t="str">
        <f aca="false">IF(OR(M138=0,K138="",L138=""),"",MOD(L138-K138,1))</f>
        <v/>
      </c>
      <c r="F138" s="26" t="str">
        <f aca="false">IF(OR(E138="",M138=0),"",IF(ROUND_MODE="للأعلى",CEILING(ROUND((E138*24*$N$131),3),0.25),ROUND((E138*24*$N$131)*4,0)/4))</f>
        <v/>
      </c>
      <c r="G138" s="24"/>
      <c r="H138" s="27"/>
      <c r="K138" s="28" t="str">
        <f aca="false">IF(OR(M138=0,C138=""),"",IF(ISNUMBER(C138),MOD(C138,1),IFERROR(INDEX(القوائم!$B$1:$B$288,MATCH(TRIM(C138),القوائم!$A$1:$A$288,0)),IFERROR(MOD(TIMEVALUE(C138),1),""))))</f>
        <v/>
      </c>
      <c r="L138" s="28" t="str">
        <f aca="false">IF(OR(M138=0,D138=""),"",IF(ISNUMBER(D138),MOD(D138,1),IFERROR(INDEX(القوائم!$B$1:$B$288,MATCH(TRIM(D138),القوائم!$A$1:$A$288,0)),IFERROR(MOD(TIMEVALUE(D138),1),""))))</f>
        <v/>
      </c>
      <c r="M138" s="19" t="n">
        <f aca="false">$M$131</f>
        <v>0</v>
      </c>
      <c r="Q138" s="19" t="n">
        <f aca="false">IF(N(E143)&gt;0,1,0)</f>
        <v>0</v>
      </c>
      <c r="S138" s="0" t="n">
        <v>10</v>
      </c>
    </row>
    <row r="139" customFormat="false" ht="15" hidden="false" customHeight="false" outlineLevel="0" collapsed="false">
      <c r="A139" s="29" t="n">
        <f aca="false">IF(10&lt;=NW,WEEK_ONE+69,"")</f>
        <v>46087</v>
      </c>
      <c r="B139" s="30" t="str">
        <f aca="false">IF(A139="","",CHOOSE(WEEKDAY(A139,1),"الأحد","الاثنين","الثلاثاء","الأربعاء","الخميس","الجمعة","السبت"))</f>
        <v>الجمعة</v>
      </c>
      <c r="C139" s="24"/>
      <c r="D139" s="24"/>
      <c r="E139" s="25" t="str">
        <f aca="false">IF(OR(M139=0,K139="",L139=""),"",MOD(L139-K139,1))</f>
        <v/>
      </c>
      <c r="F139" s="26" t="str">
        <f aca="false">IF(OR(E139="",M139=0),"",IF(ROUND_MODE="للأعلى",CEILING(ROUND((E139*24*$N$131),3),0.25),ROUND((E139*24*$N$131)*4,0)/4))</f>
        <v/>
      </c>
      <c r="G139" s="24"/>
      <c r="H139" s="27"/>
      <c r="K139" s="28" t="str">
        <f aca="false">IF(OR(M139=0,C139=""),"",IF(ISNUMBER(C139),MOD(C139,1),IFERROR(INDEX(القوائم!$B$1:$B$288,MATCH(TRIM(C139),القوائم!$A$1:$A$288,0)),IFERROR(MOD(TIMEVALUE(C139),1),""))))</f>
        <v/>
      </c>
      <c r="L139" s="28" t="str">
        <f aca="false">IF(OR(M139=0,D139=""),"",IF(ISNUMBER(D139),MOD(D139,1),IFERROR(INDEX(القوائم!$B$1:$B$288,MATCH(TRIM(D139),القوائم!$A$1:$A$288,0)),IFERROR(MOD(TIMEVALUE(D139),1),""))))</f>
        <v/>
      </c>
      <c r="M139" s="19" t="n">
        <f aca="false">$M$131</f>
        <v>0</v>
      </c>
      <c r="Q139" s="19" t="n">
        <f aca="false">IF(N(E143)&gt;0,1,0)</f>
        <v>0</v>
      </c>
      <c r="S139" s="0" t="n">
        <v>10</v>
      </c>
    </row>
    <row r="140" customFormat="false" ht="15" hidden="false" customHeight="false" outlineLevel="0" collapsed="false">
      <c r="A140" s="31" t="str">
        <f aca="false">IF(M131=1,"ساعات تحميل الجبسمبورد بهالأسبوع ←","")</f>
        <v/>
      </c>
      <c r="B140" s="31"/>
      <c r="C140" s="31"/>
      <c r="D140" s="31"/>
      <c r="E140" s="32"/>
      <c r="F140" s="33" t="str">
        <f aca="false">IF(M131=1,"كل ساعة تحميل = "&amp;TEXT($P$131,"0.000")&amp;" دينار (منها "&amp;TEXT($N$131,"0.000")&amp;" محسوبة أصلاً بساعات اليوم)","")</f>
        <v/>
      </c>
      <c r="G140" s="33"/>
      <c r="H140" s="33"/>
      <c r="M140" s="19" t="n">
        <f aca="false">$M$131</f>
        <v>0</v>
      </c>
      <c r="Q140" s="19" t="n">
        <f aca="false">IF(N(E143)&gt;0,1,0)</f>
        <v>0</v>
      </c>
      <c r="S140" s="0" t="n">
        <v>10</v>
      </c>
    </row>
    <row r="141" customFormat="false" ht="15" hidden="false" customHeight="false" outlineLevel="0" collapsed="false">
      <c r="A141" s="31" t="str">
        <f aca="false">IF(M131=1,"إكرامية الأسبوع (دينار) ←","")</f>
        <v/>
      </c>
      <c r="B141" s="31"/>
      <c r="C141" s="31"/>
      <c r="D141" s="31"/>
      <c r="E141" s="34"/>
      <c r="F141" s="35"/>
      <c r="G141" s="35"/>
      <c r="H141" s="35"/>
      <c r="M141" s="19" t="n">
        <f aca="false">$M$131</f>
        <v>0</v>
      </c>
      <c r="Q141" s="19" t="n">
        <f aca="false">IF(N(E143)&gt;0,1,0)</f>
        <v>0</v>
      </c>
      <c r="S141" s="0" t="n">
        <v>10</v>
      </c>
    </row>
    <row r="142" customFormat="false" ht="36" hidden="false" customHeight="true" outlineLevel="0" collapsed="false">
      <c r="A142" s="36" t="str">
        <f aca="false">IF(M131=1,"المستحق النهائي للأسبوع","")</f>
        <v/>
      </c>
      <c r="B142" s="36"/>
      <c r="C142" s="36"/>
      <c r="D142" s="36"/>
      <c r="E142" s="36"/>
      <c r="F142" s="11" t="str">
        <f aca="false">IF(M131=1,ROUND(N($V$131)+N(E140)*($P$131-$N$131)+N(E141),3),"")</f>
        <v/>
      </c>
      <c r="G142" s="35"/>
      <c r="H142" s="35"/>
      <c r="M142" s="19" t="n">
        <f aca="false">$M$131</f>
        <v>0</v>
      </c>
      <c r="Q142" s="19" t="n">
        <f aca="false">IF(N(E143)&gt;0,1,0)</f>
        <v>0</v>
      </c>
      <c r="S142" s="0" t="n">
        <v>10</v>
      </c>
      <c r="T142" s="0" t="n">
        <v>1</v>
      </c>
    </row>
    <row r="143" customFormat="false" ht="25.5" hidden="false" customHeight="true" outlineLevel="0" collapsed="false">
      <c r="A143" s="31" t="str">
        <f aca="false">IF(M131=1,"المدفوع (دينار) ←","")</f>
        <v/>
      </c>
      <c r="B143" s="31"/>
      <c r="C143" s="31"/>
      <c r="D143" s="31"/>
      <c r="E143" s="34"/>
      <c r="F143" s="38" t="str">
        <f aca="false">IF(M131=1,IF(N(E143)&gt;0,"✔ انقبض — الأسبوع مقفول","⏳ لسا ما انقبض"),"")</f>
        <v/>
      </c>
      <c r="G143" s="38"/>
      <c r="H143" s="38"/>
      <c r="M143" s="19" t="n">
        <f aca="false">$M$131</f>
        <v>0</v>
      </c>
      <c r="Q143" s="19" t="n">
        <f aca="false">IF(N(E143)&gt;0,1,0)</f>
        <v>0</v>
      </c>
      <c r="S143" s="0" t="n">
        <v>10</v>
      </c>
    </row>
    <row r="144" customFormat="false" ht="9.75" hidden="false" customHeight="true" outlineLevel="0" collapsed="false">
      <c r="M144" s="19" t="n">
        <f aca="false">$M$131</f>
        <v>0</v>
      </c>
      <c r="Q144" s="19" t="n">
        <f aca="false">IF(N(E143)&gt;0,1,0)</f>
        <v>0</v>
      </c>
      <c r="S144" s="0" t="n">
        <v>10</v>
      </c>
      <c r="T144" s="0" t="n">
        <v>2</v>
      </c>
    </row>
    <row r="145" customFormat="false" ht="33.75" hidden="false" customHeight="true" outlineLevel="0" collapsed="false">
      <c r="A145" s="17" t="str">
        <f aca="false">IF(11&lt;=NW,TEXT(DAY(WEEK_ONE+70),"00")&amp;"/"&amp;TEXT(MONTH(WEEK_ONE+70),"00")&amp;"/"&amp;YEAR(WEEK_ONE+70)&amp;"  -  "&amp;TEXT(DAY(WEEK_ONE+76),"00")&amp;"/"&amp;TEXT(MONTH(WEEK_ONE+76),"00")&amp;"/"&amp;YEAR(WEEK_ONE+76)&amp;"   ·   الأسبوع 11"&amp;IF(11&lt;START_Z,"   (قبل أسبوع البداية — ما بينحسب)",""),"ما في أسبوع 11 هالسنة")</f>
        <v>07/03/2026  -  13/03/2026   ·   الأسبوع 11   (قبل أسبوع البداية — ما بينحسب)</v>
      </c>
      <c r="B145" s="17"/>
      <c r="C145" s="17"/>
      <c r="D145" s="17"/>
      <c r="E145" s="17"/>
      <c r="F145" s="17"/>
      <c r="G145" s="17"/>
      <c r="H145" s="17"/>
      <c r="L145" s="18" t="n">
        <f aca="false">IF(11&lt;=NW,WEEK_ONE+76,"")</f>
        <v>46094</v>
      </c>
      <c r="M145" s="19" t="n">
        <f aca="false">IF(AND(11&lt;=NW,11&gt;=START_Z),1,0)</f>
        <v>0</v>
      </c>
      <c r="N145" s="20" t="n">
        <f aca="false">IFERROR(INDEX(RT_AZZ,MATCH(L145,RT_K,1)),INDEX(RT_AZZ,1))</f>
        <v>1</v>
      </c>
      <c r="P145" s="20" t="n">
        <f aca="false">IFERROR(INDEX(RT_GYP,MATCH(L145,RT_K,1)),INDEX(RT_GYP,1))</f>
        <v>2.5</v>
      </c>
      <c r="Q145" s="19" t="n">
        <f aca="false">IF(N(E157)&gt;0,1,0)</f>
        <v>0</v>
      </c>
      <c r="R145" s="0" t="n">
        <v>11</v>
      </c>
      <c r="S145" s="0" t="n">
        <v>11</v>
      </c>
      <c r="U145" s="19" t="n">
        <f aca="false">IF(M145=1,SUM(E147:E153),0)</f>
        <v>0</v>
      </c>
      <c r="V145" s="19" t="n">
        <f aca="false">SUM(F147:F153)</f>
        <v>0</v>
      </c>
      <c r="W145" s="19" t="n">
        <f aca="false">IF(M145=1,SUMIFS(F147:F153,G147:G153,"نعم"),0)</f>
        <v>0</v>
      </c>
    </row>
    <row r="146" customFormat="false" ht="39.75" hidden="false" customHeight="true" outlineLevel="0" collapsed="false">
      <c r="A146" s="21" t="s">
        <v>18</v>
      </c>
      <c r="B146" s="21" t="s">
        <v>19</v>
      </c>
      <c r="C146" s="21" t="s">
        <v>20</v>
      </c>
      <c r="D146" s="21" t="s">
        <v>21</v>
      </c>
      <c r="E146" s="21" t="s">
        <v>22</v>
      </c>
      <c r="F146" s="21" t="s">
        <v>29</v>
      </c>
      <c r="G146" s="21" t="s">
        <v>30</v>
      </c>
      <c r="H146" s="21" t="s">
        <v>26</v>
      </c>
      <c r="M146" s="19" t="n">
        <f aca="false">$M$145</f>
        <v>0</v>
      </c>
      <c r="Q146" s="19" t="n">
        <f aca="false">IF(N(E157)&gt;0,1,0)</f>
        <v>0</v>
      </c>
      <c r="S146" s="0" t="n">
        <v>11</v>
      </c>
    </row>
    <row r="147" customFormat="false" ht="15" hidden="false" customHeight="false" outlineLevel="0" collapsed="false">
      <c r="A147" s="22" t="n">
        <f aca="false">IF(11&lt;=NW,WEEK_ONE+70,"")</f>
        <v>46088</v>
      </c>
      <c r="B147" s="23" t="str">
        <f aca="false">IF(A147="","",CHOOSE(WEEKDAY(A147,1),"الأحد","الاثنين","الثلاثاء","الأربعاء","الخميس","الجمعة","السبت"))</f>
        <v>السبت</v>
      </c>
      <c r="C147" s="24"/>
      <c r="D147" s="24"/>
      <c r="E147" s="25" t="str">
        <f aca="false">IF(OR(M147=0,K147="",L147=""),"",MOD(L147-K147,1))</f>
        <v/>
      </c>
      <c r="F147" s="26" t="str">
        <f aca="false">IF(OR(E147="",M147=0),"",IF(ROUND_MODE="للأعلى",CEILING(ROUND((E147*24*$N$145),3),0.25),ROUND((E147*24*$N$145)*4,0)/4))</f>
        <v/>
      </c>
      <c r="G147" s="24"/>
      <c r="H147" s="27"/>
      <c r="K147" s="28" t="str">
        <f aca="false">IF(OR(M147=0,C147=""),"",IF(ISNUMBER(C147),MOD(C147,1),IFERROR(INDEX(القوائم!$B$1:$B$288,MATCH(TRIM(C147),القوائم!$A$1:$A$288,0)),IFERROR(MOD(TIMEVALUE(C147),1),""))))</f>
        <v/>
      </c>
      <c r="L147" s="28" t="str">
        <f aca="false">IF(OR(M147=0,D147=""),"",IF(ISNUMBER(D147),MOD(D147,1),IFERROR(INDEX(القوائم!$B$1:$B$288,MATCH(TRIM(D147),القوائم!$A$1:$A$288,0)),IFERROR(MOD(TIMEVALUE(D147),1),""))))</f>
        <v/>
      </c>
      <c r="M147" s="19" t="n">
        <f aca="false">$M$145</f>
        <v>0</v>
      </c>
      <c r="Q147" s="19" t="n">
        <f aca="false">IF(N(E157)&gt;0,1,0)</f>
        <v>0</v>
      </c>
      <c r="S147" s="0" t="n">
        <v>11</v>
      </c>
    </row>
    <row r="148" customFormat="false" ht="15" hidden="false" customHeight="false" outlineLevel="0" collapsed="false">
      <c r="A148" s="22" t="n">
        <f aca="false">IF(11&lt;=NW,WEEK_ONE+71,"")</f>
        <v>46089</v>
      </c>
      <c r="B148" s="23" t="str">
        <f aca="false">IF(A148="","",CHOOSE(WEEKDAY(A148,1),"الأحد","الاثنين","الثلاثاء","الأربعاء","الخميس","الجمعة","السبت"))</f>
        <v>الأحد</v>
      </c>
      <c r="C148" s="24"/>
      <c r="D148" s="24"/>
      <c r="E148" s="25" t="str">
        <f aca="false">IF(OR(M148=0,K148="",L148=""),"",MOD(L148-K148,1))</f>
        <v/>
      </c>
      <c r="F148" s="26" t="str">
        <f aca="false">IF(OR(E148="",M148=0),"",IF(ROUND_MODE="للأعلى",CEILING(ROUND((E148*24*$N$145),3),0.25),ROUND((E148*24*$N$145)*4,0)/4))</f>
        <v/>
      </c>
      <c r="G148" s="24"/>
      <c r="H148" s="27"/>
      <c r="K148" s="28" t="str">
        <f aca="false">IF(OR(M148=0,C148=""),"",IF(ISNUMBER(C148),MOD(C148,1),IFERROR(INDEX(القوائم!$B$1:$B$288,MATCH(TRIM(C148),القوائم!$A$1:$A$288,0)),IFERROR(MOD(TIMEVALUE(C148),1),""))))</f>
        <v/>
      </c>
      <c r="L148" s="28" t="str">
        <f aca="false">IF(OR(M148=0,D148=""),"",IF(ISNUMBER(D148),MOD(D148,1),IFERROR(INDEX(القوائم!$B$1:$B$288,MATCH(TRIM(D148),القوائم!$A$1:$A$288,0)),IFERROR(MOD(TIMEVALUE(D148),1),""))))</f>
        <v/>
      </c>
      <c r="M148" s="19" t="n">
        <f aca="false">$M$145</f>
        <v>0</v>
      </c>
      <c r="Q148" s="19" t="n">
        <f aca="false">IF(N(E157)&gt;0,1,0)</f>
        <v>0</v>
      </c>
      <c r="S148" s="0" t="n">
        <v>11</v>
      </c>
    </row>
    <row r="149" customFormat="false" ht="15" hidden="false" customHeight="false" outlineLevel="0" collapsed="false">
      <c r="A149" s="22" t="n">
        <f aca="false">IF(11&lt;=NW,WEEK_ONE+72,"")</f>
        <v>46090</v>
      </c>
      <c r="B149" s="23" t="str">
        <f aca="false">IF(A149="","",CHOOSE(WEEKDAY(A149,1),"الأحد","الاثنين","الثلاثاء","الأربعاء","الخميس","الجمعة","السبت"))</f>
        <v>الاثنين</v>
      </c>
      <c r="C149" s="24"/>
      <c r="D149" s="24"/>
      <c r="E149" s="25" t="str">
        <f aca="false">IF(OR(M149=0,K149="",L149=""),"",MOD(L149-K149,1))</f>
        <v/>
      </c>
      <c r="F149" s="26" t="str">
        <f aca="false">IF(OR(E149="",M149=0),"",IF(ROUND_MODE="للأعلى",CEILING(ROUND((E149*24*$N$145),3),0.25),ROUND((E149*24*$N$145)*4,0)/4))</f>
        <v/>
      </c>
      <c r="G149" s="24"/>
      <c r="H149" s="27"/>
      <c r="K149" s="28" t="str">
        <f aca="false">IF(OR(M149=0,C149=""),"",IF(ISNUMBER(C149),MOD(C149,1),IFERROR(INDEX(القوائم!$B$1:$B$288,MATCH(TRIM(C149),القوائم!$A$1:$A$288,0)),IFERROR(MOD(TIMEVALUE(C149),1),""))))</f>
        <v/>
      </c>
      <c r="L149" s="28" t="str">
        <f aca="false">IF(OR(M149=0,D149=""),"",IF(ISNUMBER(D149),MOD(D149,1),IFERROR(INDEX(القوائم!$B$1:$B$288,MATCH(TRIM(D149),القوائم!$A$1:$A$288,0)),IFERROR(MOD(TIMEVALUE(D149),1),""))))</f>
        <v/>
      </c>
      <c r="M149" s="19" t="n">
        <f aca="false">$M$145</f>
        <v>0</v>
      </c>
      <c r="Q149" s="19" t="n">
        <f aca="false">IF(N(E157)&gt;0,1,0)</f>
        <v>0</v>
      </c>
      <c r="S149" s="0" t="n">
        <v>11</v>
      </c>
    </row>
    <row r="150" customFormat="false" ht="15" hidden="false" customHeight="false" outlineLevel="0" collapsed="false">
      <c r="A150" s="22" t="n">
        <f aca="false">IF(11&lt;=NW,WEEK_ONE+73,"")</f>
        <v>46091</v>
      </c>
      <c r="B150" s="23" t="str">
        <f aca="false">IF(A150="","",CHOOSE(WEEKDAY(A150,1),"الأحد","الاثنين","الثلاثاء","الأربعاء","الخميس","الجمعة","السبت"))</f>
        <v>الثلاثاء</v>
      </c>
      <c r="C150" s="24"/>
      <c r="D150" s="24"/>
      <c r="E150" s="25" t="str">
        <f aca="false">IF(OR(M150=0,K150="",L150=""),"",MOD(L150-K150,1))</f>
        <v/>
      </c>
      <c r="F150" s="26" t="str">
        <f aca="false">IF(OR(E150="",M150=0),"",IF(ROUND_MODE="للأعلى",CEILING(ROUND((E150*24*$N$145),3),0.25),ROUND((E150*24*$N$145)*4,0)/4))</f>
        <v/>
      </c>
      <c r="G150" s="24"/>
      <c r="H150" s="27"/>
      <c r="K150" s="28" t="str">
        <f aca="false">IF(OR(M150=0,C150=""),"",IF(ISNUMBER(C150),MOD(C150,1),IFERROR(INDEX(القوائم!$B$1:$B$288,MATCH(TRIM(C150),القوائم!$A$1:$A$288,0)),IFERROR(MOD(TIMEVALUE(C150),1),""))))</f>
        <v/>
      </c>
      <c r="L150" s="28" t="str">
        <f aca="false">IF(OR(M150=0,D150=""),"",IF(ISNUMBER(D150),MOD(D150,1),IFERROR(INDEX(القوائم!$B$1:$B$288,MATCH(TRIM(D150),القوائم!$A$1:$A$288,0)),IFERROR(MOD(TIMEVALUE(D150),1),""))))</f>
        <v/>
      </c>
      <c r="M150" s="19" t="n">
        <f aca="false">$M$145</f>
        <v>0</v>
      </c>
      <c r="Q150" s="19" t="n">
        <f aca="false">IF(N(E157)&gt;0,1,0)</f>
        <v>0</v>
      </c>
      <c r="S150" s="0" t="n">
        <v>11</v>
      </c>
    </row>
    <row r="151" customFormat="false" ht="15" hidden="false" customHeight="false" outlineLevel="0" collapsed="false">
      <c r="A151" s="22" t="n">
        <f aca="false">IF(11&lt;=NW,WEEK_ONE+74,"")</f>
        <v>46092</v>
      </c>
      <c r="B151" s="23" t="str">
        <f aca="false">IF(A151="","",CHOOSE(WEEKDAY(A151,1),"الأحد","الاثنين","الثلاثاء","الأربعاء","الخميس","الجمعة","السبت"))</f>
        <v>الأربعاء</v>
      </c>
      <c r="C151" s="24"/>
      <c r="D151" s="24"/>
      <c r="E151" s="25" t="str">
        <f aca="false">IF(OR(M151=0,K151="",L151=""),"",MOD(L151-K151,1))</f>
        <v/>
      </c>
      <c r="F151" s="26" t="str">
        <f aca="false">IF(OR(E151="",M151=0),"",IF(ROUND_MODE="للأعلى",CEILING(ROUND((E151*24*$N$145),3),0.25),ROUND((E151*24*$N$145)*4,0)/4))</f>
        <v/>
      </c>
      <c r="G151" s="24"/>
      <c r="H151" s="27"/>
      <c r="K151" s="28" t="str">
        <f aca="false">IF(OR(M151=0,C151=""),"",IF(ISNUMBER(C151),MOD(C151,1),IFERROR(INDEX(القوائم!$B$1:$B$288,MATCH(TRIM(C151),القوائم!$A$1:$A$288,0)),IFERROR(MOD(TIMEVALUE(C151),1),""))))</f>
        <v/>
      </c>
      <c r="L151" s="28" t="str">
        <f aca="false">IF(OR(M151=0,D151=""),"",IF(ISNUMBER(D151),MOD(D151,1),IFERROR(INDEX(القوائم!$B$1:$B$288,MATCH(TRIM(D151),القوائم!$A$1:$A$288,0)),IFERROR(MOD(TIMEVALUE(D151),1),""))))</f>
        <v/>
      </c>
      <c r="M151" s="19" t="n">
        <f aca="false">$M$145</f>
        <v>0</v>
      </c>
      <c r="Q151" s="19" t="n">
        <f aca="false">IF(N(E157)&gt;0,1,0)</f>
        <v>0</v>
      </c>
      <c r="S151" s="0" t="n">
        <v>11</v>
      </c>
    </row>
    <row r="152" customFormat="false" ht="15" hidden="false" customHeight="false" outlineLevel="0" collapsed="false">
      <c r="A152" s="22" t="n">
        <f aca="false">IF(11&lt;=NW,WEEK_ONE+75,"")</f>
        <v>46093</v>
      </c>
      <c r="B152" s="23" t="str">
        <f aca="false">IF(A152="","",CHOOSE(WEEKDAY(A152,1),"الأحد","الاثنين","الثلاثاء","الأربعاء","الخميس","الجمعة","السبت"))</f>
        <v>الخميس</v>
      </c>
      <c r="C152" s="24"/>
      <c r="D152" s="24"/>
      <c r="E152" s="25" t="str">
        <f aca="false">IF(OR(M152=0,K152="",L152=""),"",MOD(L152-K152,1))</f>
        <v/>
      </c>
      <c r="F152" s="26" t="str">
        <f aca="false">IF(OR(E152="",M152=0),"",IF(ROUND_MODE="للأعلى",CEILING(ROUND((E152*24*$N$145),3),0.25),ROUND((E152*24*$N$145)*4,0)/4))</f>
        <v/>
      </c>
      <c r="G152" s="24"/>
      <c r="H152" s="27"/>
      <c r="K152" s="28" t="str">
        <f aca="false">IF(OR(M152=0,C152=""),"",IF(ISNUMBER(C152),MOD(C152,1),IFERROR(INDEX(القوائم!$B$1:$B$288,MATCH(TRIM(C152),القوائم!$A$1:$A$288,0)),IFERROR(MOD(TIMEVALUE(C152),1),""))))</f>
        <v/>
      </c>
      <c r="L152" s="28" t="str">
        <f aca="false">IF(OR(M152=0,D152=""),"",IF(ISNUMBER(D152),MOD(D152,1),IFERROR(INDEX(القوائم!$B$1:$B$288,MATCH(TRIM(D152),القوائم!$A$1:$A$288,0)),IFERROR(MOD(TIMEVALUE(D152),1),""))))</f>
        <v/>
      </c>
      <c r="M152" s="19" t="n">
        <f aca="false">$M$145</f>
        <v>0</v>
      </c>
      <c r="Q152" s="19" t="n">
        <f aca="false">IF(N(E157)&gt;0,1,0)</f>
        <v>0</v>
      </c>
      <c r="S152" s="0" t="n">
        <v>11</v>
      </c>
    </row>
    <row r="153" customFormat="false" ht="15" hidden="false" customHeight="false" outlineLevel="0" collapsed="false">
      <c r="A153" s="29" t="n">
        <f aca="false">IF(11&lt;=NW,WEEK_ONE+76,"")</f>
        <v>46094</v>
      </c>
      <c r="B153" s="30" t="str">
        <f aca="false">IF(A153="","",CHOOSE(WEEKDAY(A153,1),"الأحد","الاثنين","الثلاثاء","الأربعاء","الخميس","الجمعة","السبت"))</f>
        <v>الجمعة</v>
      </c>
      <c r="C153" s="24"/>
      <c r="D153" s="24"/>
      <c r="E153" s="25" t="str">
        <f aca="false">IF(OR(M153=0,K153="",L153=""),"",MOD(L153-K153,1))</f>
        <v/>
      </c>
      <c r="F153" s="26" t="str">
        <f aca="false">IF(OR(E153="",M153=0),"",IF(ROUND_MODE="للأعلى",CEILING(ROUND((E153*24*$N$145),3),0.25),ROUND((E153*24*$N$145)*4,0)/4))</f>
        <v/>
      </c>
      <c r="G153" s="24"/>
      <c r="H153" s="27"/>
      <c r="K153" s="28" t="str">
        <f aca="false">IF(OR(M153=0,C153=""),"",IF(ISNUMBER(C153),MOD(C153,1),IFERROR(INDEX(القوائم!$B$1:$B$288,MATCH(TRIM(C153),القوائم!$A$1:$A$288,0)),IFERROR(MOD(TIMEVALUE(C153),1),""))))</f>
        <v/>
      </c>
      <c r="L153" s="28" t="str">
        <f aca="false">IF(OR(M153=0,D153=""),"",IF(ISNUMBER(D153),MOD(D153,1),IFERROR(INDEX(القوائم!$B$1:$B$288,MATCH(TRIM(D153),القوائم!$A$1:$A$288,0)),IFERROR(MOD(TIMEVALUE(D153),1),""))))</f>
        <v/>
      </c>
      <c r="M153" s="19" t="n">
        <f aca="false">$M$145</f>
        <v>0</v>
      </c>
      <c r="Q153" s="19" t="n">
        <f aca="false">IF(N(E157)&gt;0,1,0)</f>
        <v>0</v>
      </c>
      <c r="S153" s="0" t="n">
        <v>11</v>
      </c>
    </row>
    <row r="154" customFormat="false" ht="15" hidden="false" customHeight="false" outlineLevel="0" collapsed="false">
      <c r="A154" s="31" t="str">
        <f aca="false">IF(M145=1,"ساعات تحميل الجبسمبورد بهالأسبوع ←","")</f>
        <v/>
      </c>
      <c r="B154" s="31"/>
      <c r="C154" s="31"/>
      <c r="D154" s="31"/>
      <c r="E154" s="32"/>
      <c r="F154" s="33" t="str">
        <f aca="false">IF(M145=1,"كل ساعة تحميل = "&amp;TEXT($P$145,"0.000")&amp;" دينار (منها "&amp;TEXT($N$145,"0.000")&amp;" محسوبة أصلاً بساعات اليوم)","")</f>
        <v/>
      </c>
      <c r="G154" s="33"/>
      <c r="H154" s="33"/>
      <c r="M154" s="19" t="n">
        <f aca="false">$M$145</f>
        <v>0</v>
      </c>
      <c r="Q154" s="19" t="n">
        <f aca="false">IF(N(E157)&gt;0,1,0)</f>
        <v>0</v>
      </c>
      <c r="S154" s="0" t="n">
        <v>11</v>
      </c>
    </row>
    <row r="155" customFormat="false" ht="15" hidden="false" customHeight="false" outlineLevel="0" collapsed="false">
      <c r="A155" s="31" t="str">
        <f aca="false">IF(M145=1,"إكرامية الأسبوع (دينار) ←","")</f>
        <v/>
      </c>
      <c r="B155" s="31"/>
      <c r="C155" s="31"/>
      <c r="D155" s="31"/>
      <c r="E155" s="34"/>
      <c r="F155" s="35"/>
      <c r="G155" s="35"/>
      <c r="H155" s="35"/>
      <c r="M155" s="19" t="n">
        <f aca="false">$M$145</f>
        <v>0</v>
      </c>
      <c r="Q155" s="19" t="n">
        <f aca="false">IF(N(E157)&gt;0,1,0)</f>
        <v>0</v>
      </c>
      <c r="S155" s="0" t="n">
        <v>11</v>
      </c>
    </row>
    <row r="156" customFormat="false" ht="36" hidden="false" customHeight="true" outlineLevel="0" collapsed="false">
      <c r="A156" s="36" t="str">
        <f aca="false">IF(M145=1,"المستحق النهائي للأسبوع","")</f>
        <v/>
      </c>
      <c r="B156" s="36"/>
      <c r="C156" s="36"/>
      <c r="D156" s="36"/>
      <c r="E156" s="36"/>
      <c r="F156" s="11" t="str">
        <f aca="false">IF(M145=1,ROUND(N($V$145)+N(E154)*($P$145-$N$145)+N(E155),3),"")</f>
        <v/>
      </c>
      <c r="G156" s="35"/>
      <c r="H156" s="35"/>
      <c r="M156" s="19" t="n">
        <f aca="false">$M$145</f>
        <v>0</v>
      </c>
      <c r="Q156" s="19" t="n">
        <f aca="false">IF(N(E157)&gt;0,1,0)</f>
        <v>0</v>
      </c>
      <c r="S156" s="0" t="n">
        <v>11</v>
      </c>
      <c r="T156" s="0" t="n">
        <v>1</v>
      </c>
    </row>
    <row r="157" customFormat="false" ht="25.5" hidden="false" customHeight="true" outlineLevel="0" collapsed="false">
      <c r="A157" s="31" t="str">
        <f aca="false">IF(M145=1,"المدفوع (دينار) ←","")</f>
        <v/>
      </c>
      <c r="B157" s="31"/>
      <c r="C157" s="31"/>
      <c r="D157" s="31"/>
      <c r="E157" s="34"/>
      <c r="F157" s="38" t="str">
        <f aca="false">IF(M145=1,IF(N(E157)&gt;0,"✔ انقبض — الأسبوع مقفول","⏳ لسا ما انقبض"),"")</f>
        <v/>
      </c>
      <c r="G157" s="38"/>
      <c r="H157" s="38"/>
      <c r="M157" s="19" t="n">
        <f aca="false">$M$145</f>
        <v>0</v>
      </c>
      <c r="Q157" s="19" t="n">
        <f aca="false">IF(N(E157)&gt;0,1,0)</f>
        <v>0</v>
      </c>
      <c r="S157" s="0" t="n">
        <v>11</v>
      </c>
    </row>
    <row r="158" customFormat="false" ht="9.75" hidden="false" customHeight="true" outlineLevel="0" collapsed="false">
      <c r="M158" s="19" t="n">
        <f aca="false">$M$145</f>
        <v>0</v>
      </c>
      <c r="Q158" s="19" t="n">
        <f aca="false">IF(N(E157)&gt;0,1,0)</f>
        <v>0</v>
      </c>
      <c r="S158" s="0" t="n">
        <v>11</v>
      </c>
      <c r="T158" s="0" t="n">
        <v>2</v>
      </c>
    </row>
    <row r="159" customFormat="false" ht="33.75" hidden="false" customHeight="true" outlineLevel="0" collapsed="false">
      <c r="A159" s="17" t="str">
        <f aca="false">IF(12&lt;=NW,TEXT(DAY(WEEK_ONE+77),"00")&amp;"/"&amp;TEXT(MONTH(WEEK_ONE+77),"00")&amp;"/"&amp;YEAR(WEEK_ONE+77)&amp;"  -  "&amp;TEXT(DAY(WEEK_ONE+83),"00")&amp;"/"&amp;TEXT(MONTH(WEEK_ONE+83),"00")&amp;"/"&amp;YEAR(WEEK_ONE+83)&amp;"   ·   الأسبوع 12"&amp;IF(12&lt;START_Z,"   (قبل أسبوع البداية — ما بينحسب)",""),"ما في أسبوع 12 هالسنة")</f>
        <v>14/03/2026  -  20/03/2026   ·   الأسبوع 12   (قبل أسبوع البداية — ما بينحسب)</v>
      </c>
      <c r="B159" s="17"/>
      <c r="C159" s="17"/>
      <c r="D159" s="17"/>
      <c r="E159" s="17"/>
      <c r="F159" s="17"/>
      <c r="G159" s="17"/>
      <c r="H159" s="17"/>
      <c r="L159" s="18" t="n">
        <f aca="false">IF(12&lt;=NW,WEEK_ONE+83,"")</f>
        <v>46101</v>
      </c>
      <c r="M159" s="19" t="n">
        <f aca="false">IF(AND(12&lt;=NW,12&gt;=START_Z),1,0)</f>
        <v>0</v>
      </c>
      <c r="N159" s="20" t="n">
        <f aca="false">IFERROR(INDEX(RT_AZZ,MATCH(L159,RT_K,1)),INDEX(RT_AZZ,1))</f>
        <v>1</v>
      </c>
      <c r="P159" s="20" t="n">
        <f aca="false">IFERROR(INDEX(RT_GYP,MATCH(L159,RT_K,1)),INDEX(RT_GYP,1))</f>
        <v>2.5</v>
      </c>
      <c r="Q159" s="19" t="n">
        <f aca="false">IF(N(E171)&gt;0,1,0)</f>
        <v>0</v>
      </c>
      <c r="R159" s="0" t="n">
        <v>12</v>
      </c>
      <c r="S159" s="0" t="n">
        <v>12</v>
      </c>
      <c r="U159" s="19" t="n">
        <f aca="false">IF(M159=1,SUM(E161:E167),0)</f>
        <v>0</v>
      </c>
      <c r="V159" s="19" t="n">
        <f aca="false">SUM(F161:F167)</f>
        <v>0</v>
      </c>
      <c r="W159" s="19" t="n">
        <f aca="false">IF(M159=1,SUMIFS(F161:F167,G161:G167,"نعم"),0)</f>
        <v>0</v>
      </c>
    </row>
    <row r="160" customFormat="false" ht="39.75" hidden="false" customHeight="true" outlineLevel="0" collapsed="false">
      <c r="A160" s="21" t="s">
        <v>18</v>
      </c>
      <c r="B160" s="21" t="s">
        <v>19</v>
      </c>
      <c r="C160" s="21" t="s">
        <v>20</v>
      </c>
      <c r="D160" s="21" t="s">
        <v>21</v>
      </c>
      <c r="E160" s="21" t="s">
        <v>22</v>
      </c>
      <c r="F160" s="21" t="s">
        <v>29</v>
      </c>
      <c r="G160" s="21" t="s">
        <v>30</v>
      </c>
      <c r="H160" s="21" t="s">
        <v>26</v>
      </c>
      <c r="M160" s="19" t="n">
        <f aca="false">$M$159</f>
        <v>0</v>
      </c>
      <c r="Q160" s="19" t="n">
        <f aca="false">IF(N(E171)&gt;0,1,0)</f>
        <v>0</v>
      </c>
      <c r="S160" s="0" t="n">
        <v>12</v>
      </c>
    </row>
    <row r="161" customFormat="false" ht="15" hidden="false" customHeight="false" outlineLevel="0" collapsed="false">
      <c r="A161" s="22" t="n">
        <f aca="false">IF(12&lt;=NW,WEEK_ONE+77,"")</f>
        <v>46095</v>
      </c>
      <c r="B161" s="23" t="str">
        <f aca="false">IF(A161="","",CHOOSE(WEEKDAY(A161,1),"الأحد","الاثنين","الثلاثاء","الأربعاء","الخميس","الجمعة","السبت"))</f>
        <v>السبت</v>
      </c>
      <c r="C161" s="24"/>
      <c r="D161" s="24"/>
      <c r="E161" s="25" t="str">
        <f aca="false">IF(OR(M161=0,K161="",L161=""),"",MOD(L161-K161,1))</f>
        <v/>
      </c>
      <c r="F161" s="26" t="str">
        <f aca="false">IF(OR(E161="",M161=0),"",IF(ROUND_MODE="للأعلى",CEILING(ROUND((E161*24*$N$159),3),0.25),ROUND((E161*24*$N$159)*4,0)/4))</f>
        <v/>
      </c>
      <c r="G161" s="24"/>
      <c r="H161" s="27"/>
      <c r="K161" s="28" t="str">
        <f aca="false">IF(OR(M161=0,C161=""),"",IF(ISNUMBER(C161),MOD(C161,1),IFERROR(INDEX(القوائم!$B$1:$B$288,MATCH(TRIM(C161),القوائم!$A$1:$A$288,0)),IFERROR(MOD(TIMEVALUE(C161),1),""))))</f>
        <v/>
      </c>
      <c r="L161" s="28" t="str">
        <f aca="false">IF(OR(M161=0,D161=""),"",IF(ISNUMBER(D161),MOD(D161,1),IFERROR(INDEX(القوائم!$B$1:$B$288,MATCH(TRIM(D161),القوائم!$A$1:$A$288,0)),IFERROR(MOD(TIMEVALUE(D161),1),""))))</f>
        <v/>
      </c>
      <c r="M161" s="19" t="n">
        <f aca="false">$M$159</f>
        <v>0</v>
      </c>
      <c r="Q161" s="19" t="n">
        <f aca="false">IF(N(E171)&gt;0,1,0)</f>
        <v>0</v>
      </c>
      <c r="S161" s="0" t="n">
        <v>12</v>
      </c>
    </row>
    <row r="162" customFormat="false" ht="15" hidden="false" customHeight="false" outlineLevel="0" collapsed="false">
      <c r="A162" s="22" t="n">
        <f aca="false">IF(12&lt;=NW,WEEK_ONE+78,"")</f>
        <v>46096</v>
      </c>
      <c r="B162" s="23" t="str">
        <f aca="false">IF(A162="","",CHOOSE(WEEKDAY(A162,1),"الأحد","الاثنين","الثلاثاء","الأربعاء","الخميس","الجمعة","السبت"))</f>
        <v>الأحد</v>
      </c>
      <c r="C162" s="24"/>
      <c r="D162" s="24"/>
      <c r="E162" s="25" t="str">
        <f aca="false">IF(OR(M162=0,K162="",L162=""),"",MOD(L162-K162,1))</f>
        <v/>
      </c>
      <c r="F162" s="26" t="str">
        <f aca="false">IF(OR(E162="",M162=0),"",IF(ROUND_MODE="للأعلى",CEILING(ROUND((E162*24*$N$159),3),0.25),ROUND((E162*24*$N$159)*4,0)/4))</f>
        <v/>
      </c>
      <c r="G162" s="24"/>
      <c r="H162" s="27"/>
      <c r="K162" s="28" t="str">
        <f aca="false">IF(OR(M162=0,C162=""),"",IF(ISNUMBER(C162),MOD(C162,1),IFERROR(INDEX(القوائم!$B$1:$B$288,MATCH(TRIM(C162),القوائم!$A$1:$A$288,0)),IFERROR(MOD(TIMEVALUE(C162),1),""))))</f>
        <v/>
      </c>
      <c r="L162" s="28" t="str">
        <f aca="false">IF(OR(M162=0,D162=""),"",IF(ISNUMBER(D162),MOD(D162,1),IFERROR(INDEX(القوائم!$B$1:$B$288,MATCH(TRIM(D162),القوائم!$A$1:$A$288,0)),IFERROR(MOD(TIMEVALUE(D162),1),""))))</f>
        <v/>
      </c>
      <c r="M162" s="19" t="n">
        <f aca="false">$M$159</f>
        <v>0</v>
      </c>
      <c r="Q162" s="19" t="n">
        <f aca="false">IF(N(E171)&gt;0,1,0)</f>
        <v>0</v>
      </c>
      <c r="S162" s="0" t="n">
        <v>12</v>
      </c>
    </row>
    <row r="163" customFormat="false" ht="15" hidden="false" customHeight="false" outlineLevel="0" collapsed="false">
      <c r="A163" s="22" t="n">
        <f aca="false">IF(12&lt;=NW,WEEK_ONE+79,"")</f>
        <v>46097</v>
      </c>
      <c r="B163" s="23" t="str">
        <f aca="false">IF(A163="","",CHOOSE(WEEKDAY(A163,1),"الأحد","الاثنين","الثلاثاء","الأربعاء","الخميس","الجمعة","السبت"))</f>
        <v>الاثنين</v>
      </c>
      <c r="C163" s="24"/>
      <c r="D163" s="24"/>
      <c r="E163" s="25" t="str">
        <f aca="false">IF(OR(M163=0,K163="",L163=""),"",MOD(L163-K163,1))</f>
        <v/>
      </c>
      <c r="F163" s="26" t="str">
        <f aca="false">IF(OR(E163="",M163=0),"",IF(ROUND_MODE="للأعلى",CEILING(ROUND((E163*24*$N$159),3),0.25),ROUND((E163*24*$N$159)*4,0)/4))</f>
        <v/>
      </c>
      <c r="G163" s="24"/>
      <c r="H163" s="27"/>
      <c r="K163" s="28" t="str">
        <f aca="false">IF(OR(M163=0,C163=""),"",IF(ISNUMBER(C163),MOD(C163,1),IFERROR(INDEX(القوائم!$B$1:$B$288,MATCH(TRIM(C163),القوائم!$A$1:$A$288,0)),IFERROR(MOD(TIMEVALUE(C163),1),""))))</f>
        <v/>
      </c>
      <c r="L163" s="28" t="str">
        <f aca="false">IF(OR(M163=0,D163=""),"",IF(ISNUMBER(D163),MOD(D163,1),IFERROR(INDEX(القوائم!$B$1:$B$288,MATCH(TRIM(D163),القوائم!$A$1:$A$288,0)),IFERROR(MOD(TIMEVALUE(D163),1),""))))</f>
        <v/>
      </c>
      <c r="M163" s="19" t="n">
        <f aca="false">$M$159</f>
        <v>0</v>
      </c>
      <c r="Q163" s="19" t="n">
        <f aca="false">IF(N(E171)&gt;0,1,0)</f>
        <v>0</v>
      </c>
      <c r="S163" s="0" t="n">
        <v>12</v>
      </c>
    </row>
    <row r="164" customFormat="false" ht="15" hidden="false" customHeight="false" outlineLevel="0" collapsed="false">
      <c r="A164" s="22" t="n">
        <f aca="false">IF(12&lt;=NW,WEEK_ONE+80,"")</f>
        <v>46098</v>
      </c>
      <c r="B164" s="23" t="str">
        <f aca="false">IF(A164="","",CHOOSE(WEEKDAY(A164,1),"الأحد","الاثنين","الثلاثاء","الأربعاء","الخميس","الجمعة","السبت"))</f>
        <v>الثلاثاء</v>
      </c>
      <c r="C164" s="24"/>
      <c r="D164" s="24"/>
      <c r="E164" s="25" t="str">
        <f aca="false">IF(OR(M164=0,K164="",L164=""),"",MOD(L164-K164,1))</f>
        <v/>
      </c>
      <c r="F164" s="26" t="str">
        <f aca="false">IF(OR(E164="",M164=0),"",IF(ROUND_MODE="للأعلى",CEILING(ROUND((E164*24*$N$159),3),0.25),ROUND((E164*24*$N$159)*4,0)/4))</f>
        <v/>
      </c>
      <c r="G164" s="24"/>
      <c r="H164" s="27"/>
      <c r="K164" s="28" t="str">
        <f aca="false">IF(OR(M164=0,C164=""),"",IF(ISNUMBER(C164),MOD(C164,1),IFERROR(INDEX(القوائم!$B$1:$B$288,MATCH(TRIM(C164),القوائم!$A$1:$A$288,0)),IFERROR(MOD(TIMEVALUE(C164),1),""))))</f>
        <v/>
      </c>
      <c r="L164" s="28" t="str">
        <f aca="false">IF(OR(M164=0,D164=""),"",IF(ISNUMBER(D164),MOD(D164,1),IFERROR(INDEX(القوائم!$B$1:$B$288,MATCH(TRIM(D164),القوائم!$A$1:$A$288,0)),IFERROR(MOD(TIMEVALUE(D164),1),""))))</f>
        <v/>
      </c>
      <c r="M164" s="19" t="n">
        <f aca="false">$M$159</f>
        <v>0</v>
      </c>
      <c r="Q164" s="19" t="n">
        <f aca="false">IF(N(E171)&gt;0,1,0)</f>
        <v>0</v>
      </c>
      <c r="S164" s="0" t="n">
        <v>12</v>
      </c>
    </row>
    <row r="165" customFormat="false" ht="15" hidden="false" customHeight="false" outlineLevel="0" collapsed="false">
      <c r="A165" s="22" t="n">
        <f aca="false">IF(12&lt;=NW,WEEK_ONE+81,"")</f>
        <v>46099</v>
      </c>
      <c r="B165" s="23" t="str">
        <f aca="false">IF(A165="","",CHOOSE(WEEKDAY(A165,1),"الأحد","الاثنين","الثلاثاء","الأربعاء","الخميس","الجمعة","السبت"))</f>
        <v>الأربعاء</v>
      </c>
      <c r="C165" s="24"/>
      <c r="D165" s="24"/>
      <c r="E165" s="25" t="str">
        <f aca="false">IF(OR(M165=0,K165="",L165=""),"",MOD(L165-K165,1))</f>
        <v/>
      </c>
      <c r="F165" s="26" t="str">
        <f aca="false">IF(OR(E165="",M165=0),"",IF(ROUND_MODE="للأعلى",CEILING(ROUND((E165*24*$N$159),3),0.25),ROUND((E165*24*$N$159)*4,0)/4))</f>
        <v/>
      </c>
      <c r="G165" s="24"/>
      <c r="H165" s="27"/>
      <c r="K165" s="28" t="str">
        <f aca="false">IF(OR(M165=0,C165=""),"",IF(ISNUMBER(C165),MOD(C165,1),IFERROR(INDEX(القوائم!$B$1:$B$288,MATCH(TRIM(C165),القوائم!$A$1:$A$288,0)),IFERROR(MOD(TIMEVALUE(C165),1),""))))</f>
        <v/>
      </c>
      <c r="L165" s="28" t="str">
        <f aca="false">IF(OR(M165=0,D165=""),"",IF(ISNUMBER(D165),MOD(D165,1),IFERROR(INDEX(القوائم!$B$1:$B$288,MATCH(TRIM(D165),القوائم!$A$1:$A$288,0)),IFERROR(MOD(TIMEVALUE(D165),1),""))))</f>
        <v/>
      </c>
      <c r="M165" s="19" t="n">
        <f aca="false">$M$159</f>
        <v>0</v>
      </c>
      <c r="Q165" s="19" t="n">
        <f aca="false">IF(N(E171)&gt;0,1,0)</f>
        <v>0</v>
      </c>
      <c r="S165" s="0" t="n">
        <v>12</v>
      </c>
    </row>
    <row r="166" customFormat="false" ht="15" hidden="false" customHeight="false" outlineLevel="0" collapsed="false">
      <c r="A166" s="22" t="n">
        <f aca="false">IF(12&lt;=NW,WEEK_ONE+82,"")</f>
        <v>46100</v>
      </c>
      <c r="B166" s="23" t="str">
        <f aca="false">IF(A166="","",CHOOSE(WEEKDAY(A166,1),"الأحد","الاثنين","الثلاثاء","الأربعاء","الخميس","الجمعة","السبت"))</f>
        <v>الخميس</v>
      </c>
      <c r="C166" s="24"/>
      <c r="D166" s="24"/>
      <c r="E166" s="25" t="str">
        <f aca="false">IF(OR(M166=0,K166="",L166=""),"",MOD(L166-K166,1))</f>
        <v/>
      </c>
      <c r="F166" s="26" t="str">
        <f aca="false">IF(OR(E166="",M166=0),"",IF(ROUND_MODE="للأعلى",CEILING(ROUND((E166*24*$N$159),3),0.25),ROUND((E166*24*$N$159)*4,0)/4))</f>
        <v/>
      </c>
      <c r="G166" s="24"/>
      <c r="H166" s="27"/>
      <c r="K166" s="28" t="str">
        <f aca="false">IF(OR(M166=0,C166=""),"",IF(ISNUMBER(C166),MOD(C166,1),IFERROR(INDEX(القوائم!$B$1:$B$288,MATCH(TRIM(C166),القوائم!$A$1:$A$288,0)),IFERROR(MOD(TIMEVALUE(C166),1),""))))</f>
        <v/>
      </c>
      <c r="L166" s="28" t="str">
        <f aca="false">IF(OR(M166=0,D166=""),"",IF(ISNUMBER(D166),MOD(D166,1),IFERROR(INDEX(القوائم!$B$1:$B$288,MATCH(TRIM(D166),القوائم!$A$1:$A$288,0)),IFERROR(MOD(TIMEVALUE(D166),1),""))))</f>
        <v/>
      </c>
      <c r="M166" s="19" t="n">
        <f aca="false">$M$159</f>
        <v>0</v>
      </c>
      <c r="Q166" s="19" t="n">
        <f aca="false">IF(N(E171)&gt;0,1,0)</f>
        <v>0</v>
      </c>
      <c r="S166" s="0" t="n">
        <v>12</v>
      </c>
    </row>
    <row r="167" customFormat="false" ht="15" hidden="false" customHeight="false" outlineLevel="0" collapsed="false">
      <c r="A167" s="29" t="n">
        <f aca="false">IF(12&lt;=NW,WEEK_ONE+83,"")</f>
        <v>46101</v>
      </c>
      <c r="B167" s="30" t="str">
        <f aca="false">IF(A167="","",CHOOSE(WEEKDAY(A167,1),"الأحد","الاثنين","الثلاثاء","الأربعاء","الخميس","الجمعة","السبت"))</f>
        <v>الجمعة</v>
      </c>
      <c r="C167" s="24"/>
      <c r="D167" s="24"/>
      <c r="E167" s="25" t="str">
        <f aca="false">IF(OR(M167=0,K167="",L167=""),"",MOD(L167-K167,1))</f>
        <v/>
      </c>
      <c r="F167" s="26" t="str">
        <f aca="false">IF(OR(E167="",M167=0),"",IF(ROUND_MODE="للأعلى",CEILING(ROUND((E167*24*$N$159),3),0.25),ROUND((E167*24*$N$159)*4,0)/4))</f>
        <v/>
      </c>
      <c r="G167" s="24"/>
      <c r="H167" s="27"/>
      <c r="K167" s="28" t="str">
        <f aca="false">IF(OR(M167=0,C167=""),"",IF(ISNUMBER(C167),MOD(C167,1),IFERROR(INDEX(القوائم!$B$1:$B$288,MATCH(TRIM(C167),القوائم!$A$1:$A$288,0)),IFERROR(MOD(TIMEVALUE(C167),1),""))))</f>
        <v/>
      </c>
      <c r="L167" s="28" t="str">
        <f aca="false">IF(OR(M167=0,D167=""),"",IF(ISNUMBER(D167),MOD(D167,1),IFERROR(INDEX(القوائم!$B$1:$B$288,MATCH(TRIM(D167),القوائم!$A$1:$A$288,0)),IFERROR(MOD(TIMEVALUE(D167),1),""))))</f>
        <v/>
      </c>
      <c r="M167" s="19" t="n">
        <f aca="false">$M$159</f>
        <v>0</v>
      </c>
      <c r="Q167" s="19" t="n">
        <f aca="false">IF(N(E171)&gt;0,1,0)</f>
        <v>0</v>
      </c>
      <c r="S167" s="0" t="n">
        <v>12</v>
      </c>
    </row>
    <row r="168" customFormat="false" ht="15" hidden="false" customHeight="false" outlineLevel="0" collapsed="false">
      <c r="A168" s="31" t="str">
        <f aca="false">IF(M159=1,"ساعات تحميل الجبسمبورد بهالأسبوع ←","")</f>
        <v/>
      </c>
      <c r="B168" s="31"/>
      <c r="C168" s="31"/>
      <c r="D168" s="31"/>
      <c r="E168" s="32"/>
      <c r="F168" s="33" t="str">
        <f aca="false">IF(M159=1,"كل ساعة تحميل = "&amp;TEXT($P$159,"0.000")&amp;" دينار (منها "&amp;TEXT($N$159,"0.000")&amp;" محسوبة أصلاً بساعات اليوم)","")</f>
        <v/>
      </c>
      <c r="G168" s="33"/>
      <c r="H168" s="33"/>
      <c r="M168" s="19" t="n">
        <f aca="false">$M$159</f>
        <v>0</v>
      </c>
      <c r="Q168" s="19" t="n">
        <f aca="false">IF(N(E171)&gt;0,1,0)</f>
        <v>0</v>
      </c>
      <c r="S168" s="0" t="n">
        <v>12</v>
      </c>
    </row>
    <row r="169" customFormat="false" ht="15" hidden="false" customHeight="false" outlineLevel="0" collapsed="false">
      <c r="A169" s="31" t="str">
        <f aca="false">IF(M159=1,"إكرامية الأسبوع (دينار) ←","")</f>
        <v/>
      </c>
      <c r="B169" s="31"/>
      <c r="C169" s="31"/>
      <c r="D169" s="31"/>
      <c r="E169" s="34"/>
      <c r="F169" s="35"/>
      <c r="G169" s="35"/>
      <c r="H169" s="35"/>
      <c r="M169" s="19" t="n">
        <f aca="false">$M$159</f>
        <v>0</v>
      </c>
      <c r="Q169" s="19" t="n">
        <f aca="false">IF(N(E171)&gt;0,1,0)</f>
        <v>0</v>
      </c>
      <c r="S169" s="0" t="n">
        <v>12</v>
      </c>
    </row>
    <row r="170" customFormat="false" ht="36" hidden="false" customHeight="true" outlineLevel="0" collapsed="false">
      <c r="A170" s="36" t="str">
        <f aca="false">IF(M159=1,"المستحق النهائي للأسبوع","")</f>
        <v/>
      </c>
      <c r="B170" s="36"/>
      <c r="C170" s="36"/>
      <c r="D170" s="36"/>
      <c r="E170" s="36"/>
      <c r="F170" s="11" t="str">
        <f aca="false">IF(M159=1,ROUND(N($V$159)+N(E168)*($P$159-$N$159)+N(E169),3),"")</f>
        <v/>
      </c>
      <c r="G170" s="35"/>
      <c r="H170" s="35"/>
      <c r="M170" s="19" t="n">
        <f aca="false">$M$159</f>
        <v>0</v>
      </c>
      <c r="Q170" s="19" t="n">
        <f aca="false">IF(N(E171)&gt;0,1,0)</f>
        <v>0</v>
      </c>
      <c r="S170" s="0" t="n">
        <v>12</v>
      </c>
      <c r="T170" s="0" t="n">
        <v>1</v>
      </c>
    </row>
    <row r="171" customFormat="false" ht="25.5" hidden="false" customHeight="true" outlineLevel="0" collapsed="false">
      <c r="A171" s="31" t="str">
        <f aca="false">IF(M159=1,"المدفوع (دينار) ←","")</f>
        <v/>
      </c>
      <c r="B171" s="31"/>
      <c r="C171" s="31"/>
      <c r="D171" s="31"/>
      <c r="E171" s="34"/>
      <c r="F171" s="38" t="str">
        <f aca="false">IF(M159=1,IF(N(E171)&gt;0,"✔ انقبض — الأسبوع مقفول","⏳ لسا ما انقبض"),"")</f>
        <v/>
      </c>
      <c r="G171" s="38"/>
      <c r="H171" s="38"/>
      <c r="M171" s="19" t="n">
        <f aca="false">$M$159</f>
        <v>0</v>
      </c>
      <c r="Q171" s="19" t="n">
        <f aca="false">IF(N(E171)&gt;0,1,0)</f>
        <v>0</v>
      </c>
      <c r="S171" s="0" t="n">
        <v>12</v>
      </c>
    </row>
    <row r="172" customFormat="false" ht="9.75" hidden="false" customHeight="true" outlineLevel="0" collapsed="false">
      <c r="M172" s="19" t="n">
        <f aca="false">$M$159</f>
        <v>0</v>
      </c>
      <c r="Q172" s="19" t="n">
        <f aca="false">IF(N(E171)&gt;0,1,0)</f>
        <v>0</v>
      </c>
      <c r="S172" s="0" t="n">
        <v>12</v>
      </c>
      <c r="T172" s="0" t="n">
        <v>2</v>
      </c>
    </row>
    <row r="173" customFormat="false" ht="33.75" hidden="false" customHeight="true" outlineLevel="0" collapsed="false">
      <c r="A173" s="17" t="str">
        <f aca="false">IF(13&lt;=NW,TEXT(DAY(WEEK_ONE+84),"00")&amp;"/"&amp;TEXT(MONTH(WEEK_ONE+84),"00")&amp;"/"&amp;YEAR(WEEK_ONE+84)&amp;"  -  "&amp;TEXT(DAY(WEEK_ONE+90),"00")&amp;"/"&amp;TEXT(MONTH(WEEK_ONE+90),"00")&amp;"/"&amp;YEAR(WEEK_ONE+90)&amp;"   ·   الأسبوع 13"&amp;IF(13&lt;START_Z,"   (قبل أسبوع البداية — ما بينحسب)",""),"ما في أسبوع 13 هالسنة")</f>
        <v>21/03/2026  -  27/03/2026   ·   الأسبوع 13   (قبل أسبوع البداية — ما بينحسب)</v>
      </c>
      <c r="B173" s="17"/>
      <c r="C173" s="17"/>
      <c r="D173" s="17"/>
      <c r="E173" s="17"/>
      <c r="F173" s="17"/>
      <c r="G173" s="17"/>
      <c r="H173" s="17"/>
      <c r="L173" s="18" t="n">
        <f aca="false">IF(13&lt;=NW,WEEK_ONE+90,"")</f>
        <v>46108</v>
      </c>
      <c r="M173" s="19" t="n">
        <f aca="false">IF(AND(13&lt;=NW,13&gt;=START_Z),1,0)</f>
        <v>0</v>
      </c>
      <c r="N173" s="20" t="n">
        <f aca="false">IFERROR(INDEX(RT_AZZ,MATCH(L173,RT_K,1)),INDEX(RT_AZZ,1))</f>
        <v>1</v>
      </c>
      <c r="P173" s="20" t="n">
        <f aca="false">IFERROR(INDEX(RT_GYP,MATCH(L173,RT_K,1)),INDEX(RT_GYP,1))</f>
        <v>2.5</v>
      </c>
      <c r="Q173" s="19" t="n">
        <f aca="false">IF(N(E185)&gt;0,1,0)</f>
        <v>0</v>
      </c>
      <c r="R173" s="0" t="n">
        <v>13</v>
      </c>
      <c r="S173" s="0" t="n">
        <v>13</v>
      </c>
      <c r="U173" s="19" t="n">
        <f aca="false">IF(M173=1,SUM(E175:E181),0)</f>
        <v>0</v>
      </c>
      <c r="V173" s="19" t="n">
        <f aca="false">SUM(F175:F181)</f>
        <v>0</v>
      </c>
      <c r="W173" s="19" t="n">
        <f aca="false">IF(M173=1,SUMIFS(F175:F181,G175:G181,"نعم"),0)</f>
        <v>0</v>
      </c>
    </row>
    <row r="174" customFormat="false" ht="39.75" hidden="false" customHeight="true" outlineLevel="0" collapsed="false">
      <c r="A174" s="21" t="s">
        <v>18</v>
      </c>
      <c r="B174" s="21" t="s">
        <v>19</v>
      </c>
      <c r="C174" s="21" t="s">
        <v>20</v>
      </c>
      <c r="D174" s="21" t="s">
        <v>21</v>
      </c>
      <c r="E174" s="21" t="s">
        <v>22</v>
      </c>
      <c r="F174" s="21" t="s">
        <v>29</v>
      </c>
      <c r="G174" s="21" t="s">
        <v>30</v>
      </c>
      <c r="H174" s="21" t="s">
        <v>26</v>
      </c>
      <c r="M174" s="19" t="n">
        <f aca="false">$M$173</f>
        <v>0</v>
      </c>
      <c r="Q174" s="19" t="n">
        <f aca="false">IF(N(E185)&gt;0,1,0)</f>
        <v>0</v>
      </c>
      <c r="S174" s="0" t="n">
        <v>13</v>
      </c>
    </row>
    <row r="175" customFormat="false" ht="15" hidden="false" customHeight="false" outlineLevel="0" collapsed="false">
      <c r="A175" s="22" t="n">
        <f aca="false">IF(13&lt;=NW,WEEK_ONE+84,"")</f>
        <v>46102</v>
      </c>
      <c r="B175" s="23" t="str">
        <f aca="false">IF(A175="","",CHOOSE(WEEKDAY(A175,1),"الأحد","الاثنين","الثلاثاء","الأربعاء","الخميس","الجمعة","السبت"))</f>
        <v>السبت</v>
      </c>
      <c r="C175" s="24"/>
      <c r="D175" s="24"/>
      <c r="E175" s="25" t="str">
        <f aca="false">IF(OR(M175=0,K175="",L175=""),"",MOD(L175-K175,1))</f>
        <v/>
      </c>
      <c r="F175" s="26" t="str">
        <f aca="false">IF(OR(E175="",M175=0),"",IF(ROUND_MODE="للأعلى",CEILING(ROUND((E175*24*$N$173),3),0.25),ROUND((E175*24*$N$173)*4,0)/4))</f>
        <v/>
      </c>
      <c r="G175" s="24"/>
      <c r="H175" s="27"/>
      <c r="K175" s="28" t="str">
        <f aca="false">IF(OR(M175=0,C175=""),"",IF(ISNUMBER(C175),MOD(C175,1),IFERROR(INDEX(القوائم!$B$1:$B$288,MATCH(TRIM(C175),القوائم!$A$1:$A$288,0)),IFERROR(MOD(TIMEVALUE(C175),1),""))))</f>
        <v/>
      </c>
      <c r="L175" s="28" t="str">
        <f aca="false">IF(OR(M175=0,D175=""),"",IF(ISNUMBER(D175),MOD(D175,1),IFERROR(INDEX(القوائم!$B$1:$B$288,MATCH(TRIM(D175),القوائم!$A$1:$A$288,0)),IFERROR(MOD(TIMEVALUE(D175),1),""))))</f>
        <v/>
      </c>
      <c r="M175" s="19" t="n">
        <f aca="false">$M$173</f>
        <v>0</v>
      </c>
      <c r="Q175" s="19" t="n">
        <f aca="false">IF(N(E185)&gt;0,1,0)</f>
        <v>0</v>
      </c>
      <c r="S175" s="0" t="n">
        <v>13</v>
      </c>
    </row>
    <row r="176" customFormat="false" ht="15" hidden="false" customHeight="false" outlineLevel="0" collapsed="false">
      <c r="A176" s="22" t="n">
        <f aca="false">IF(13&lt;=NW,WEEK_ONE+85,"")</f>
        <v>46103</v>
      </c>
      <c r="B176" s="23" t="str">
        <f aca="false">IF(A176="","",CHOOSE(WEEKDAY(A176,1),"الأحد","الاثنين","الثلاثاء","الأربعاء","الخميس","الجمعة","السبت"))</f>
        <v>الأحد</v>
      </c>
      <c r="C176" s="24"/>
      <c r="D176" s="24"/>
      <c r="E176" s="25" t="str">
        <f aca="false">IF(OR(M176=0,K176="",L176=""),"",MOD(L176-K176,1))</f>
        <v/>
      </c>
      <c r="F176" s="26" t="str">
        <f aca="false">IF(OR(E176="",M176=0),"",IF(ROUND_MODE="للأعلى",CEILING(ROUND((E176*24*$N$173),3),0.25),ROUND((E176*24*$N$173)*4,0)/4))</f>
        <v/>
      </c>
      <c r="G176" s="24"/>
      <c r="H176" s="27"/>
      <c r="K176" s="28" t="str">
        <f aca="false">IF(OR(M176=0,C176=""),"",IF(ISNUMBER(C176),MOD(C176,1),IFERROR(INDEX(القوائم!$B$1:$B$288,MATCH(TRIM(C176),القوائم!$A$1:$A$288,0)),IFERROR(MOD(TIMEVALUE(C176),1),""))))</f>
        <v/>
      </c>
      <c r="L176" s="28" t="str">
        <f aca="false">IF(OR(M176=0,D176=""),"",IF(ISNUMBER(D176),MOD(D176,1),IFERROR(INDEX(القوائم!$B$1:$B$288,MATCH(TRIM(D176),القوائم!$A$1:$A$288,0)),IFERROR(MOD(TIMEVALUE(D176),1),""))))</f>
        <v/>
      </c>
      <c r="M176" s="19" t="n">
        <f aca="false">$M$173</f>
        <v>0</v>
      </c>
      <c r="Q176" s="19" t="n">
        <f aca="false">IF(N(E185)&gt;0,1,0)</f>
        <v>0</v>
      </c>
      <c r="S176" s="0" t="n">
        <v>13</v>
      </c>
    </row>
    <row r="177" customFormat="false" ht="15" hidden="false" customHeight="false" outlineLevel="0" collapsed="false">
      <c r="A177" s="22" t="n">
        <f aca="false">IF(13&lt;=NW,WEEK_ONE+86,"")</f>
        <v>46104</v>
      </c>
      <c r="B177" s="23" t="str">
        <f aca="false">IF(A177="","",CHOOSE(WEEKDAY(A177,1),"الأحد","الاثنين","الثلاثاء","الأربعاء","الخميس","الجمعة","السبت"))</f>
        <v>الاثنين</v>
      </c>
      <c r="C177" s="24"/>
      <c r="D177" s="24"/>
      <c r="E177" s="25" t="str">
        <f aca="false">IF(OR(M177=0,K177="",L177=""),"",MOD(L177-K177,1))</f>
        <v/>
      </c>
      <c r="F177" s="26" t="str">
        <f aca="false">IF(OR(E177="",M177=0),"",IF(ROUND_MODE="للأعلى",CEILING(ROUND((E177*24*$N$173),3),0.25),ROUND((E177*24*$N$173)*4,0)/4))</f>
        <v/>
      </c>
      <c r="G177" s="24"/>
      <c r="H177" s="27"/>
      <c r="K177" s="28" t="str">
        <f aca="false">IF(OR(M177=0,C177=""),"",IF(ISNUMBER(C177),MOD(C177,1),IFERROR(INDEX(القوائم!$B$1:$B$288,MATCH(TRIM(C177),القوائم!$A$1:$A$288,0)),IFERROR(MOD(TIMEVALUE(C177),1),""))))</f>
        <v/>
      </c>
      <c r="L177" s="28" t="str">
        <f aca="false">IF(OR(M177=0,D177=""),"",IF(ISNUMBER(D177),MOD(D177,1),IFERROR(INDEX(القوائم!$B$1:$B$288,MATCH(TRIM(D177),القوائم!$A$1:$A$288,0)),IFERROR(MOD(TIMEVALUE(D177),1),""))))</f>
        <v/>
      </c>
      <c r="M177" s="19" t="n">
        <f aca="false">$M$173</f>
        <v>0</v>
      </c>
      <c r="Q177" s="19" t="n">
        <f aca="false">IF(N(E185)&gt;0,1,0)</f>
        <v>0</v>
      </c>
      <c r="S177" s="0" t="n">
        <v>13</v>
      </c>
    </row>
    <row r="178" customFormat="false" ht="15" hidden="false" customHeight="false" outlineLevel="0" collapsed="false">
      <c r="A178" s="22" t="n">
        <f aca="false">IF(13&lt;=NW,WEEK_ONE+87,"")</f>
        <v>46105</v>
      </c>
      <c r="B178" s="23" t="str">
        <f aca="false">IF(A178="","",CHOOSE(WEEKDAY(A178,1),"الأحد","الاثنين","الثلاثاء","الأربعاء","الخميس","الجمعة","السبت"))</f>
        <v>الثلاثاء</v>
      </c>
      <c r="C178" s="24"/>
      <c r="D178" s="24"/>
      <c r="E178" s="25" t="str">
        <f aca="false">IF(OR(M178=0,K178="",L178=""),"",MOD(L178-K178,1))</f>
        <v/>
      </c>
      <c r="F178" s="26" t="str">
        <f aca="false">IF(OR(E178="",M178=0),"",IF(ROUND_MODE="للأعلى",CEILING(ROUND((E178*24*$N$173),3),0.25),ROUND((E178*24*$N$173)*4,0)/4))</f>
        <v/>
      </c>
      <c r="G178" s="24"/>
      <c r="H178" s="27"/>
      <c r="K178" s="28" t="str">
        <f aca="false">IF(OR(M178=0,C178=""),"",IF(ISNUMBER(C178),MOD(C178,1),IFERROR(INDEX(القوائم!$B$1:$B$288,MATCH(TRIM(C178),القوائم!$A$1:$A$288,0)),IFERROR(MOD(TIMEVALUE(C178),1),""))))</f>
        <v/>
      </c>
      <c r="L178" s="28" t="str">
        <f aca="false">IF(OR(M178=0,D178=""),"",IF(ISNUMBER(D178),MOD(D178,1),IFERROR(INDEX(القوائم!$B$1:$B$288,MATCH(TRIM(D178),القوائم!$A$1:$A$288,0)),IFERROR(MOD(TIMEVALUE(D178),1),""))))</f>
        <v/>
      </c>
      <c r="M178" s="19" t="n">
        <f aca="false">$M$173</f>
        <v>0</v>
      </c>
      <c r="Q178" s="19" t="n">
        <f aca="false">IF(N(E185)&gt;0,1,0)</f>
        <v>0</v>
      </c>
      <c r="S178" s="0" t="n">
        <v>13</v>
      </c>
    </row>
    <row r="179" customFormat="false" ht="15" hidden="false" customHeight="false" outlineLevel="0" collapsed="false">
      <c r="A179" s="22" t="n">
        <f aca="false">IF(13&lt;=NW,WEEK_ONE+88,"")</f>
        <v>46106</v>
      </c>
      <c r="B179" s="23" t="str">
        <f aca="false">IF(A179="","",CHOOSE(WEEKDAY(A179,1),"الأحد","الاثنين","الثلاثاء","الأربعاء","الخميس","الجمعة","السبت"))</f>
        <v>الأربعاء</v>
      </c>
      <c r="C179" s="24"/>
      <c r="D179" s="24"/>
      <c r="E179" s="25" t="str">
        <f aca="false">IF(OR(M179=0,K179="",L179=""),"",MOD(L179-K179,1))</f>
        <v/>
      </c>
      <c r="F179" s="26" t="str">
        <f aca="false">IF(OR(E179="",M179=0),"",IF(ROUND_MODE="للأعلى",CEILING(ROUND((E179*24*$N$173),3),0.25),ROUND((E179*24*$N$173)*4,0)/4))</f>
        <v/>
      </c>
      <c r="G179" s="24"/>
      <c r="H179" s="27"/>
      <c r="K179" s="28" t="str">
        <f aca="false">IF(OR(M179=0,C179=""),"",IF(ISNUMBER(C179),MOD(C179,1),IFERROR(INDEX(القوائم!$B$1:$B$288,MATCH(TRIM(C179),القوائم!$A$1:$A$288,0)),IFERROR(MOD(TIMEVALUE(C179),1),""))))</f>
        <v/>
      </c>
      <c r="L179" s="28" t="str">
        <f aca="false">IF(OR(M179=0,D179=""),"",IF(ISNUMBER(D179),MOD(D179,1),IFERROR(INDEX(القوائم!$B$1:$B$288,MATCH(TRIM(D179),القوائم!$A$1:$A$288,0)),IFERROR(MOD(TIMEVALUE(D179),1),""))))</f>
        <v/>
      </c>
      <c r="M179" s="19" t="n">
        <f aca="false">$M$173</f>
        <v>0</v>
      </c>
      <c r="Q179" s="19" t="n">
        <f aca="false">IF(N(E185)&gt;0,1,0)</f>
        <v>0</v>
      </c>
      <c r="S179" s="0" t="n">
        <v>13</v>
      </c>
    </row>
    <row r="180" customFormat="false" ht="15" hidden="false" customHeight="false" outlineLevel="0" collapsed="false">
      <c r="A180" s="22" t="n">
        <f aca="false">IF(13&lt;=NW,WEEK_ONE+89,"")</f>
        <v>46107</v>
      </c>
      <c r="B180" s="23" t="str">
        <f aca="false">IF(A180="","",CHOOSE(WEEKDAY(A180,1),"الأحد","الاثنين","الثلاثاء","الأربعاء","الخميس","الجمعة","السبت"))</f>
        <v>الخميس</v>
      </c>
      <c r="C180" s="24"/>
      <c r="D180" s="24"/>
      <c r="E180" s="25" t="str">
        <f aca="false">IF(OR(M180=0,K180="",L180=""),"",MOD(L180-K180,1))</f>
        <v/>
      </c>
      <c r="F180" s="26" t="str">
        <f aca="false">IF(OR(E180="",M180=0),"",IF(ROUND_MODE="للأعلى",CEILING(ROUND((E180*24*$N$173),3),0.25),ROUND((E180*24*$N$173)*4,0)/4))</f>
        <v/>
      </c>
      <c r="G180" s="24"/>
      <c r="H180" s="27"/>
      <c r="K180" s="28" t="str">
        <f aca="false">IF(OR(M180=0,C180=""),"",IF(ISNUMBER(C180),MOD(C180,1),IFERROR(INDEX(القوائم!$B$1:$B$288,MATCH(TRIM(C180),القوائم!$A$1:$A$288,0)),IFERROR(MOD(TIMEVALUE(C180),1),""))))</f>
        <v/>
      </c>
      <c r="L180" s="28" t="str">
        <f aca="false">IF(OR(M180=0,D180=""),"",IF(ISNUMBER(D180),MOD(D180,1),IFERROR(INDEX(القوائم!$B$1:$B$288,MATCH(TRIM(D180),القوائم!$A$1:$A$288,0)),IFERROR(MOD(TIMEVALUE(D180),1),""))))</f>
        <v/>
      </c>
      <c r="M180" s="19" t="n">
        <f aca="false">$M$173</f>
        <v>0</v>
      </c>
      <c r="Q180" s="19" t="n">
        <f aca="false">IF(N(E185)&gt;0,1,0)</f>
        <v>0</v>
      </c>
      <c r="S180" s="0" t="n">
        <v>13</v>
      </c>
    </row>
    <row r="181" customFormat="false" ht="15" hidden="false" customHeight="false" outlineLevel="0" collapsed="false">
      <c r="A181" s="29" t="n">
        <f aca="false">IF(13&lt;=NW,WEEK_ONE+90,"")</f>
        <v>46108</v>
      </c>
      <c r="B181" s="30" t="str">
        <f aca="false">IF(A181="","",CHOOSE(WEEKDAY(A181,1),"الأحد","الاثنين","الثلاثاء","الأربعاء","الخميس","الجمعة","السبت"))</f>
        <v>الجمعة</v>
      </c>
      <c r="C181" s="24"/>
      <c r="D181" s="24"/>
      <c r="E181" s="25" t="str">
        <f aca="false">IF(OR(M181=0,K181="",L181=""),"",MOD(L181-K181,1))</f>
        <v/>
      </c>
      <c r="F181" s="26" t="str">
        <f aca="false">IF(OR(E181="",M181=0),"",IF(ROUND_MODE="للأعلى",CEILING(ROUND((E181*24*$N$173),3),0.25),ROUND((E181*24*$N$173)*4,0)/4))</f>
        <v/>
      </c>
      <c r="G181" s="24"/>
      <c r="H181" s="27"/>
      <c r="K181" s="28" t="str">
        <f aca="false">IF(OR(M181=0,C181=""),"",IF(ISNUMBER(C181),MOD(C181,1),IFERROR(INDEX(القوائم!$B$1:$B$288,MATCH(TRIM(C181),القوائم!$A$1:$A$288,0)),IFERROR(MOD(TIMEVALUE(C181),1),""))))</f>
        <v/>
      </c>
      <c r="L181" s="28" t="str">
        <f aca="false">IF(OR(M181=0,D181=""),"",IF(ISNUMBER(D181),MOD(D181,1),IFERROR(INDEX(القوائم!$B$1:$B$288,MATCH(TRIM(D181),القوائم!$A$1:$A$288,0)),IFERROR(MOD(TIMEVALUE(D181),1),""))))</f>
        <v/>
      </c>
      <c r="M181" s="19" t="n">
        <f aca="false">$M$173</f>
        <v>0</v>
      </c>
      <c r="Q181" s="19" t="n">
        <f aca="false">IF(N(E185)&gt;0,1,0)</f>
        <v>0</v>
      </c>
      <c r="S181" s="0" t="n">
        <v>13</v>
      </c>
    </row>
    <row r="182" customFormat="false" ht="15" hidden="false" customHeight="false" outlineLevel="0" collapsed="false">
      <c r="A182" s="31" t="str">
        <f aca="false">IF(M173=1,"ساعات تحميل الجبسمبورد بهالأسبوع ←","")</f>
        <v/>
      </c>
      <c r="B182" s="31"/>
      <c r="C182" s="31"/>
      <c r="D182" s="31"/>
      <c r="E182" s="32"/>
      <c r="F182" s="33" t="str">
        <f aca="false">IF(M173=1,"كل ساعة تحميل = "&amp;TEXT($P$173,"0.000")&amp;" دينار (منها "&amp;TEXT($N$173,"0.000")&amp;" محسوبة أصلاً بساعات اليوم)","")</f>
        <v/>
      </c>
      <c r="G182" s="33"/>
      <c r="H182" s="33"/>
      <c r="M182" s="19" t="n">
        <f aca="false">$M$173</f>
        <v>0</v>
      </c>
      <c r="Q182" s="19" t="n">
        <f aca="false">IF(N(E185)&gt;0,1,0)</f>
        <v>0</v>
      </c>
      <c r="S182" s="0" t="n">
        <v>13</v>
      </c>
    </row>
    <row r="183" customFormat="false" ht="15" hidden="false" customHeight="false" outlineLevel="0" collapsed="false">
      <c r="A183" s="31" t="str">
        <f aca="false">IF(M173=1,"إكرامية الأسبوع (دينار) ←","")</f>
        <v/>
      </c>
      <c r="B183" s="31"/>
      <c r="C183" s="31"/>
      <c r="D183" s="31"/>
      <c r="E183" s="34"/>
      <c r="F183" s="35"/>
      <c r="G183" s="35"/>
      <c r="H183" s="35"/>
      <c r="M183" s="19" t="n">
        <f aca="false">$M$173</f>
        <v>0</v>
      </c>
      <c r="Q183" s="19" t="n">
        <f aca="false">IF(N(E185)&gt;0,1,0)</f>
        <v>0</v>
      </c>
      <c r="S183" s="0" t="n">
        <v>13</v>
      </c>
    </row>
    <row r="184" customFormat="false" ht="36" hidden="false" customHeight="true" outlineLevel="0" collapsed="false">
      <c r="A184" s="36" t="str">
        <f aca="false">IF(M173=1,"المستحق النهائي للأسبوع","")</f>
        <v/>
      </c>
      <c r="B184" s="36"/>
      <c r="C184" s="36"/>
      <c r="D184" s="36"/>
      <c r="E184" s="36"/>
      <c r="F184" s="11" t="str">
        <f aca="false">IF(M173=1,ROUND(N($V$173)+N(E182)*($P$173-$N$173)+N(E183),3),"")</f>
        <v/>
      </c>
      <c r="G184" s="35"/>
      <c r="H184" s="35"/>
      <c r="M184" s="19" t="n">
        <f aca="false">$M$173</f>
        <v>0</v>
      </c>
      <c r="Q184" s="19" t="n">
        <f aca="false">IF(N(E185)&gt;0,1,0)</f>
        <v>0</v>
      </c>
      <c r="S184" s="0" t="n">
        <v>13</v>
      </c>
      <c r="T184" s="0" t="n">
        <v>1</v>
      </c>
    </row>
    <row r="185" customFormat="false" ht="25.5" hidden="false" customHeight="true" outlineLevel="0" collapsed="false">
      <c r="A185" s="31" t="str">
        <f aca="false">IF(M173=1,"المدفوع (دينار) ←","")</f>
        <v/>
      </c>
      <c r="B185" s="31"/>
      <c r="C185" s="31"/>
      <c r="D185" s="31"/>
      <c r="E185" s="34"/>
      <c r="F185" s="38" t="str">
        <f aca="false">IF(M173=1,IF(N(E185)&gt;0,"✔ انقبض — الأسبوع مقفول","⏳ لسا ما انقبض"),"")</f>
        <v/>
      </c>
      <c r="G185" s="38"/>
      <c r="H185" s="38"/>
      <c r="M185" s="19" t="n">
        <f aca="false">$M$173</f>
        <v>0</v>
      </c>
      <c r="Q185" s="19" t="n">
        <f aca="false">IF(N(E185)&gt;0,1,0)</f>
        <v>0</v>
      </c>
      <c r="S185" s="0" t="n">
        <v>13</v>
      </c>
    </row>
    <row r="186" customFormat="false" ht="9.75" hidden="false" customHeight="true" outlineLevel="0" collapsed="false">
      <c r="M186" s="19" t="n">
        <f aca="false">$M$173</f>
        <v>0</v>
      </c>
      <c r="Q186" s="19" t="n">
        <f aca="false">IF(N(E185)&gt;0,1,0)</f>
        <v>0</v>
      </c>
      <c r="S186" s="0" t="n">
        <v>13</v>
      </c>
      <c r="T186" s="0" t="n">
        <v>2</v>
      </c>
    </row>
    <row r="187" customFormat="false" ht="33.75" hidden="false" customHeight="true" outlineLevel="0" collapsed="false">
      <c r="A187" s="17" t="str">
        <f aca="false">IF(14&lt;=NW,TEXT(DAY(WEEK_ONE+91),"00")&amp;"/"&amp;TEXT(MONTH(WEEK_ONE+91),"00")&amp;"/"&amp;YEAR(WEEK_ONE+91)&amp;"  -  "&amp;TEXT(DAY(WEEK_ONE+97),"00")&amp;"/"&amp;TEXT(MONTH(WEEK_ONE+97),"00")&amp;"/"&amp;YEAR(WEEK_ONE+97)&amp;"   ·   الأسبوع 14"&amp;IF(14&lt;START_Z,"   (قبل أسبوع البداية — ما بينحسب)",""),"ما في أسبوع 14 هالسنة")</f>
        <v>28/03/2026  -  03/04/2026   ·   الأسبوع 14   (قبل أسبوع البداية — ما بينحسب)</v>
      </c>
      <c r="B187" s="17"/>
      <c r="C187" s="17"/>
      <c r="D187" s="17"/>
      <c r="E187" s="17"/>
      <c r="F187" s="17"/>
      <c r="G187" s="17"/>
      <c r="H187" s="17"/>
      <c r="L187" s="18" t="n">
        <f aca="false">IF(14&lt;=NW,WEEK_ONE+97,"")</f>
        <v>46115</v>
      </c>
      <c r="M187" s="19" t="n">
        <f aca="false">IF(AND(14&lt;=NW,14&gt;=START_Z),1,0)</f>
        <v>0</v>
      </c>
      <c r="N187" s="20" t="n">
        <f aca="false">IFERROR(INDEX(RT_AZZ,MATCH(L187,RT_K,1)),INDEX(RT_AZZ,1))</f>
        <v>1</v>
      </c>
      <c r="P187" s="20" t="n">
        <f aca="false">IFERROR(INDEX(RT_GYP,MATCH(L187,RT_K,1)),INDEX(RT_GYP,1))</f>
        <v>2.5</v>
      </c>
      <c r="Q187" s="19" t="n">
        <f aca="false">IF(N(E199)&gt;0,1,0)</f>
        <v>0</v>
      </c>
      <c r="R187" s="0" t="n">
        <v>14</v>
      </c>
      <c r="S187" s="0" t="n">
        <v>14</v>
      </c>
      <c r="U187" s="19" t="n">
        <f aca="false">IF(M187=1,SUM(E189:E195),0)</f>
        <v>0</v>
      </c>
      <c r="V187" s="19" t="n">
        <f aca="false">SUM(F189:F195)</f>
        <v>0</v>
      </c>
      <c r="W187" s="19" t="n">
        <f aca="false">IF(M187=1,SUMIFS(F189:F195,G189:G195,"نعم"),0)</f>
        <v>0</v>
      </c>
    </row>
    <row r="188" customFormat="false" ht="39.75" hidden="false" customHeight="true" outlineLevel="0" collapsed="false">
      <c r="A188" s="21" t="s">
        <v>18</v>
      </c>
      <c r="B188" s="21" t="s">
        <v>19</v>
      </c>
      <c r="C188" s="21" t="s">
        <v>20</v>
      </c>
      <c r="D188" s="21" t="s">
        <v>21</v>
      </c>
      <c r="E188" s="21" t="s">
        <v>22</v>
      </c>
      <c r="F188" s="21" t="s">
        <v>29</v>
      </c>
      <c r="G188" s="21" t="s">
        <v>30</v>
      </c>
      <c r="H188" s="21" t="s">
        <v>26</v>
      </c>
      <c r="M188" s="19" t="n">
        <f aca="false">$M$187</f>
        <v>0</v>
      </c>
      <c r="Q188" s="19" t="n">
        <f aca="false">IF(N(E199)&gt;0,1,0)</f>
        <v>0</v>
      </c>
      <c r="S188" s="0" t="n">
        <v>14</v>
      </c>
    </row>
    <row r="189" customFormat="false" ht="15" hidden="false" customHeight="false" outlineLevel="0" collapsed="false">
      <c r="A189" s="22" t="n">
        <f aca="false">IF(14&lt;=NW,WEEK_ONE+91,"")</f>
        <v>46109</v>
      </c>
      <c r="B189" s="23" t="str">
        <f aca="false">IF(A189="","",CHOOSE(WEEKDAY(A189,1),"الأحد","الاثنين","الثلاثاء","الأربعاء","الخميس","الجمعة","السبت"))</f>
        <v>السبت</v>
      </c>
      <c r="C189" s="24"/>
      <c r="D189" s="24"/>
      <c r="E189" s="25" t="str">
        <f aca="false">IF(OR(M189=0,K189="",L189=""),"",MOD(L189-K189,1))</f>
        <v/>
      </c>
      <c r="F189" s="26" t="str">
        <f aca="false">IF(OR(E189="",M189=0),"",IF(ROUND_MODE="للأعلى",CEILING(ROUND((E189*24*$N$187),3),0.25),ROUND((E189*24*$N$187)*4,0)/4))</f>
        <v/>
      </c>
      <c r="G189" s="24"/>
      <c r="H189" s="27"/>
      <c r="K189" s="28" t="str">
        <f aca="false">IF(OR(M189=0,C189=""),"",IF(ISNUMBER(C189),MOD(C189,1),IFERROR(INDEX(القوائم!$B$1:$B$288,MATCH(TRIM(C189),القوائم!$A$1:$A$288,0)),IFERROR(MOD(TIMEVALUE(C189),1),""))))</f>
        <v/>
      </c>
      <c r="L189" s="28" t="str">
        <f aca="false">IF(OR(M189=0,D189=""),"",IF(ISNUMBER(D189),MOD(D189,1),IFERROR(INDEX(القوائم!$B$1:$B$288,MATCH(TRIM(D189),القوائم!$A$1:$A$288,0)),IFERROR(MOD(TIMEVALUE(D189),1),""))))</f>
        <v/>
      </c>
      <c r="M189" s="19" t="n">
        <f aca="false">$M$187</f>
        <v>0</v>
      </c>
      <c r="Q189" s="19" t="n">
        <f aca="false">IF(N(E199)&gt;0,1,0)</f>
        <v>0</v>
      </c>
      <c r="S189" s="0" t="n">
        <v>14</v>
      </c>
    </row>
    <row r="190" customFormat="false" ht="15" hidden="false" customHeight="false" outlineLevel="0" collapsed="false">
      <c r="A190" s="22" t="n">
        <f aca="false">IF(14&lt;=NW,WEEK_ONE+92,"")</f>
        <v>46110</v>
      </c>
      <c r="B190" s="23" t="str">
        <f aca="false">IF(A190="","",CHOOSE(WEEKDAY(A190,1),"الأحد","الاثنين","الثلاثاء","الأربعاء","الخميس","الجمعة","السبت"))</f>
        <v>الأحد</v>
      </c>
      <c r="C190" s="24"/>
      <c r="D190" s="24"/>
      <c r="E190" s="25" t="str">
        <f aca="false">IF(OR(M190=0,K190="",L190=""),"",MOD(L190-K190,1))</f>
        <v/>
      </c>
      <c r="F190" s="26" t="str">
        <f aca="false">IF(OR(E190="",M190=0),"",IF(ROUND_MODE="للأعلى",CEILING(ROUND((E190*24*$N$187),3),0.25),ROUND((E190*24*$N$187)*4,0)/4))</f>
        <v/>
      </c>
      <c r="G190" s="24"/>
      <c r="H190" s="27"/>
      <c r="K190" s="28" t="str">
        <f aca="false">IF(OR(M190=0,C190=""),"",IF(ISNUMBER(C190),MOD(C190,1),IFERROR(INDEX(القوائم!$B$1:$B$288,MATCH(TRIM(C190),القوائم!$A$1:$A$288,0)),IFERROR(MOD(TIMEVALUE(C190),1),""))))</f>
        <v/>
      </c>
      <c r="L190" s="28" t="str">
        <f aca="false">IF(OR(M190=0,D190=""),"",IF(ISNUMBER(D190),MOD(D190,1),IFERROR(INDEX(القوائم!$B$1:$B$288,MATCH(TRIM(D190),القوائم!$A$1:$A$288,0)),IFERROR(MOD(TIMEVALUE(D190),1),""))))</f>
        <v/>
      </c>
      <c r="M190" s="19" t="n">
        <f aca="false">$M$187</f>
        <v>0</v>
      </c>
      <c r="Q190" s="19" t="n">
        <f aca="false">IF(N(E199)&gt;0,1,0)</f>
        <v>0</v>
      </c>
      <c r="S190" s="0" t="n">
        <v>14</v>
      </c>
    </row>
    <row r="191" customFormat="false" ht="15" hidden="false" customHeight="false" outlineLevel="0" collapsed="false">
      <c r="A191" s="22" t="n">
        <f aca="false">IF(14&lt;=NW,WEEK_ONE+93,"")</f>
        <v>46111</v>
      </c>
      <c r="B191" s="23" t="str">
        <f aca="false">IF(A191="","",CHOOSE(WEEKDAY(A191,1),"الأحد","الاثنين","الثلاثاء","الأربعاء","الخميس","الجمعة","السبت"))</f>
        <v>الاثنين</v>
      </c>
      <c r="C191" s="24"/>
      <c r="D191" s="24"/>
      <c r="E191" s="25" t="str">
        <f aca="false">IF(OR(M191=0,K191="",L191=""),"",MOD(L191-K191,1))</f>
        <v/>
      </c>
      <c r="F191" s="26" t="str">
        <f aca="false">IF(OR(E191="",M191=0),"",IF(ROUND_MODE="للأعلى",CEILING(ROUND((E191*24*$N$187),3),0.25),ROUND((E191*24*$N$187)*4,0)/4))</f>
        <v/>
      </c>
      <c r="G191" s="24"/>
      <c r="H191" s="27"/>
      <c r="K191" s="28" t="str">
        <f aca="false">IF(OR(M191=0,C191=""),"",IF(ISNUMBER(C191),MOD(C191,1),IFERROR(INDEX(القوائم!$B$1:$B$288,MATCH(TRIM(C191),القوائم!$A$1:$A$288,0)),IFERROR(MOD(TIMEVALUE(C191),1),""))))</f>
        <v/>
      </c>
      <c r="L191" s="28" t="str">
        <f aca="false">IF(OR(M191=0,D191=""),"",IF(ISNUMBER(D191),MOD(D191,1),IFERROR(INDEX(القوائم!$B$1:$B$288,MATCH(TRIM(D191),القوائم!$A$1:$A$288,0)),IFERROR(MOD(TIMEVALUE(D191),1),""))))</f>
        <v/>
      </c>
      <c r="M191" s="19" t="n">
        <f aca="false">$M$187</f>
        <v>0</v>
      </c>
      <c r="Q191" s="19" t="n">
        <f aca="false">IF(N(E199)&gt;0,1,0)</f>
        <v>0</v>
      </c>
      <c r="S191" s="0" t="n">
        <v>14</v>
      </c>
    </row>
    <row r="192" customFormat="false" ht="15" hidden="false" customHeight="false" outlineLevel="0" collapsed="false">
      <c r="A192" s="22" t="n">
        <f aca="false">IF(14&lt;=NW,WEEK_ONE+94,"")</f>
        <v>46112</v>
      </c>
      <c r="B192" s="23" t="str">
        <f aca="false">IF(A192="","",CHOOSE(WEEKDAY(A192,1),"الأحد","الاثنين","الثلاثاء","الأربعاء","الخميس","الجمعة","السبت"))</f>
        <v>الثلاثاء</v>
      </c>
      <c r="C192" s="24"/>
      <c r="D192" s="24"/>
      <c r="E192" s="25" t="str">
        <f aca="false">IF(OR(M192=0,K192="",L192=""),"",MOD(L192-K192,1))</f>
        <v/>
      </c>
      <c r="F192" s="26" t="str">
        <f aca="false">IF(OR(E192="",M192=0),"",IF(ROUND_MODE="للأعلى",CEILING(ROUND((E192*24*$N$187),3),0.25),ROUND((E192*24*$N$187)*4,0)/4))</f>
        <v/>
      </c>
      <c r="G192" s="24"/>
      <c r="H192" s="27"/>
      <c r="K192" s="28" t="str">
        <f aca="false">IF(OR(M192=0,C192=""),"",IF(ISNUMBER(C192),MOD(C192,1),IFERROR(INDEX(القوائم!$B$1:$B$288,MATCH(TRIM(C192),القوائم!$A$1:$A$288,0)),IFERROR(MOD(TIMEVALUE(C192),1),""))))</f>
        <v/>
      </c>
      <c r="L192" s="28" t="str">
        <f aca="false">IF(OR(M192=0,D192=""),"",IF(ISNUMBER(D192),MOD(D192,1),IFERROR(INDEX(القوائم!$B$1:$B$288,MATCH(TRIM(D192),القوائم!$A$1:$A$288,0)),IFERROR(MOD(TIMEVALUE(D192),1),""))))</f>
        <v/>
      </c>
      <c r="M192" s="19" t="n">
        <f aca="false">$M$187</f>
        <v>0</v>
      </c>
      <c r="Q192" s="19" t="n">
        <f aca="false">IF(N(E199)&gt;0,1,0)</f>
        <v>0</v>
      </c>
      <c r="S192" s="0" t="n">
        <v>14</v>
      </c>
    </row>
    <row r="193" customFormat="false" ht="15" hidden="false" customHeight="false" outlineLevel="0" collapsed="false">
      <c r="A193" s="22" t="n">
        <f aca="false">IF(14&lt;=NW,WEEK_ONE+95,"")</f>
        <v>46113</v>
      </c>
      <c r="B193" s="23" t="str">
        <f aca="false">IF(A193="","",CHOOSE(WEEKDAY(A193,1),"الأحد","الاثنين","الثلاثاء","الأربعاء","الخميس","الجمعة","السبت"))</f>
        <v>الأربعاء</v>
      </c>
      <c r="C193" s="24"/>
      <c r="D193" s="24"/>
      <c r="E193" s="25" t="str">
        <f aca="false">IF(OR(M193=0,K193="",L193=""),"",MOD(L193-K193,1))</f>
        <v/>
      </c>
      <c r="F193" s="26" t="str">
        <f aca="false">IF(OR(E193="",M193=0),"",IF(ROUND_MODE="للأعلى",CEILING(ROUND((E193*24*$N$187),3),0.25),ROUND((E193*24*$N$187)*4,0)/4))</f>
        <v/>
      </c>
      <c r="G193" s="24"/>
      <c r="H193" s="27"/>
      <c r="K193" s="28" t="str">
        <f aca="false">IF(OR(M193=0,C193=""),"",IF(ISNUMBER(C193),MOD(C193,1),IFERROR(INDEX(القوائم!$B$1:$B$288,MATCH(TRIM(C193),القوائم!$A$1:$A$288,0)),IFERROR(MOD(TIMEVALUE(C193),1),""))))</f>
        <v/>
      </c>
      <c r="L193" s="28" t="str">
        <f aca="false">IF(OR(M193=0,D193=""),"",IF(ISNUMBER(D193),MOD(D193,1),IFERROR(INDEX(القوائم!$B$1:$B$288,MATCH(TRIM(D193),القوائم!$A$1:$A$288,0)),IFERROR(MOD(TIMEVALUE(D193),1),""))))</f>
        <v/>
      </c>
      <c r="M193" s="19" t="n">
        <f aca="false">$M$187</f>
        <v>0</v>
      </c>
      <c r="Q193" s="19" t="n">
        <f aca="false">IF(N(E199)&gt;0,1,0)</f>
        <v>0</v>
      </c>
      <c r="S193" s="0" t="n">
        <v>14</v>
      </c>
    </row>
    <row r="194" customFormat="false" ht="15" hidden="false" customHeight="false" outlineLevel="0" collapsed="false">
      <c r="A194" s="22" t="n">
        <f aca="false">IF(14&lt;=NW,WEEK_ONE+96,"")</f>
        <v>46114</v>
      </c>
      <c r="B194" s="23" t="str">
        <f aca="false">IF(A194="","",CHOOSE(WEEKDAY(A194,1),"الأحد","الاثنين","الثلاثاء","الأربعاء","الخميس","الجمعة","السبت"))</f>
        <v>الخميس</v>
      </c>
      <c r="C194" s="24"/>
      <c r="D194" s="24"/>
      <c r="E194" s="25" t="str">
        <f aca="false">IF(OR(M194=0,K194="",L194=""),"",MOD(L194-K194,1))</f>
        <v/>
      </c>
      <c r="F194" s="26" t="str">
        <f aca="false">IF(OR(E194="",M194=0),"",IF(ROUND_MODE="للأعلى",CEILING(ROUND((E194*24*$N$187),3),0.25),ROUND((E194*24*$N$187)*4,0)/4))</f>
        <v/>
      </c>
      <c r="G194" s="24"/>
      <c r="H194" s="27"/>
      <c r="K194" s="28" t="str">
        <f aca="false">IF(OR(M194=0,C194=""),"",IF(ISNUMBER(C194),MOD(C194,1),IFERROR(INDEX(القوائم!$B$1:$B$288,MATCH(TRIM(C194),القوائم!$A$1:$A$288,0)),IFERROR(MOD(TIMEVALUE(C194),1),""))))</f>
        <v/>
      </c>
      <c r="L194" s="28" t="str">
        <f aca="false">IF(OR(M194=0,D194=""),"",IF(ISNUMBER(D194),MOD(D194,1),IFERROR(INDEX(القوائم!$B$1:$B$288,MATCH(TRIM(D194),القوائم!$A$1:$A$288,0)),IFERROR(MOD(TIMEVALUE(D194),1),""))))</f>
        <v/>
      </c>
      <c r="M194" s="19" t="n">
        <f aca="false">$M$187</f>
        <v>0</v>
      </c>
      <c r="Q194" s="19" t="n">
        <f aca="false">IF(N(E199)&gt;0,1,0)</f>
        <v>0</v>
      </c>
      <c r="S194" s="0" t="n">
        <v>14</v>
      </c>
    </row>
    <row r="195" customFormat="false" ht="15" hidden="false" customHeight="false" outlineLevel="0" collapsed="false">
      <c r="A195" s="29" t="n">
        <f aca="false">IF(14&lt;=NW,WEEK_ONE+97,"")</f>
        <v>46115</v>
      </c>
      <c r="B195" s="30" t="str">
        <f aca="false">IF(A195="","",CHOOSE(WEEKDAY(A195,1),"الأحد","الاثنين","الثلاثاء","الأربعاء","الخميس","الجمعة","السبت"))</f>
        <v>الجمعة</v>
      </c>
      <c r="C195" s="24"/>
      <c r="D195" s="24"/>
      <c r="E195" s="25" t="str">
        <f aca="false">IF(OR(M195=0,K195="",L195=""),"",MOD(L195-K195,1))</f>
        <v/>
      </c>
      <c r="F195" s="26" t="str">
        <f aca="false">IF(OR(E195="",M195=0),"",IF(ROUND_MODE="للأعلى",CEILING(ROUND((E195*24*$N$187),3),0.25),ROUND((E195*24*$N$187)*4,0)/4))</f>
        <v/>
      </c>
      <c r="G195" s="24"/>
      <c r="H195" s="27"/>
      <c r="K195" s="28" t="str">
        <f aca="false">IF(OR(M195=0,C195=""),"",IF(ISNUMBER(C195),MOD(C195,1),IFERROR(INDEX(القوائم!$B$1:$B$288,MATCH(TRIM(C195),القوائم!$A$1:$A$288,0)),IFERROR(MOD(TIMEVALUE(C195),1),""))))</f>
        <v/>
      </c>
      <c r="L195" s="28" t="str">
        <f aca="false">IF(OR(M195=0,D195=""),"",IF(ISNUMBER(D195),MOD(D195,1),IFERROR(INDEX(القوائم!$B$1:$B$288,MATCH(TRIM(D195),القوائم!$A$1:$A$288,0)),IFERROR(MOD(TIMEVALUE(D195),1),""))))</f>
        <v/>
      </c>
      <c r="M195" s="19" t="n">
        <f aca="false">$M$187</f>
        <v>0</v>
      </c>
      <c r="Q195" s="19" t="n">
        <f aca="false">IF(N(E199)&gt;0,1,0)</f>
        <v>0</v>
      </c>
      <c r="S195" s="0" t="n">
        <v>14</v>
      </c>
    </row>
    <row r="196" customFormat="false" ht="15" hidden="false" customHeight="false" outlineLevel="0" collapsed="false">
      <c r="A196" s="31" t="str">
        <f aca="false">IF(M187=1,"ساعات تحميل الجبسمبورد بهالأسبوع ←","")</f>
        <v/>
      </c>
      <c r="B196" s="31"/>
      <c r="C196" s="31"/>
      <c r="D196" s="31"/>
      <c r="E196" s="32"/>
      <c r="F196" s="33" t="str">
        <f aca="false">IF(M187=1,"كل ساعة تحميل = "&amp;TEXT($P$187,"0.000")&amp;" دينار (منها "&amp;TEXT($N$187,"0.000")&amp;" محسوبة أصلاً بساعات اليوم)","")</f>
        <v/>
      </c>
      <c r="G196" s="33"/>
      <c r="H196" s="33"/>
      <c r="M196" s="19" t="n">
        <f aca="false">$M$187</f>
        <v>0</v>
      </c>
      <c r="Q196" s="19" t="n">
        <f aca="false">IF(N(E199)&gt;0,1,0)</f>
        <v>0</v>
      </c>
      <c r="S196" s="0" t="n">
        <v>14</v>
      </c>
    </row>
    <row r="197" customFormat="false" ht="15" hidden="false" customHeight="false" outlineLevel="0" collapsed="false">
      <c r="A197" s="31" t="str">
        <f aca="false">IF(M187=1,"إكرامية الأسبوع (دينار) ←","")</f>
        <v/>
      </c>
      <c r="B197" s="31"/>
      <c r="C197" s="31"/>
      <c r="D197" s="31"/>
      <c r="E197" s="34"/>
      <c r="F197" s="35"/>
      <c r="G197" s="35"/>
      <c r="H197" s="35"/>
      <c r="M197" s="19" t="n">
        <f aca="false">$M$187</f>
        <v>0</v>
      </c>
      <c r="Q197" s="19" t="n">
        <f aca="false">IF(N(E199)&gt;0,1,0)</f>
        <v>0</v>
      </c>
      <c r="S197" s="0" t="n">
        <v>14</v>
      </c>
    </row>
    <row r="198" customFormat="false" ht="36" hidden="false" customHeight="true" outlineLevel="0" collapsed="false">
      <c r="A198" s="36" t="str">
        <f aca="false">IF(M187=1,"المستحق النهائي للأسبوع","")</f>
        <v/>
      </c>
      <c r="B198" s="36"/>
      <c r="C198" s="36"/>
      <c r="D198" s="36"/>
      <c r="E198" s="36"/>
      <c r="F198" s="11" t="str">
        <f aca="false">IF(M187=1,ROUND(N($V$187)+N(E196)*($P$187-$N$187)+N(E197),3),"")</f>
        <v/>
      </c>
      <c r="G198" s="35"/>
      <c r="H198" s="35"/>
      <c r="M198" s="19" t="n">
        <f aca="false">$M$187</f>
        <v>0</v>
      </c>
      <c r="Q198" s="19" t="n">
        <f aca="false">IF(N(E199)&gt;0,1,0)</f>
        <v>0</v>
      </c>
      <c r="S198" s="0" t="n">
        <v>14</v>
      </c>
      <c r="T198" s="0" t="n">
        <v>1</v>
      </c>
    </row>
    <row r="199" customFormat="false" ht="25.5" hidden="false" customHeight="true" outlineLevel="0" collapsed="false">
      <c r="A199" s="31" t="str">
        <f aca="false">IF(M187=1,"المدفوع (دينار) ←","")</f>
        <v/>
      </c>
      <c r="B199" s="31"/>
      <c r="C199" s="31"/>
      <c r="D199" s="31"/>
      <c r="E199" s="34"/>
      <c r="F199" s="38" t="str">
        <f aca="false">IF(M187=1,IF(N(E199)&gt;0,"✔ انقبض — الأسبوع مقفول","⏳ لسا ما انقبض"),"")</f>
        <v/>
      </c>
      <c r="G199" s="38"/>
      <c r="H199" s="38"/>
      <c r="M199" s="19" t="n">
        <f aca="false">$M$187</f>
        <v>0</v>
      </c>
      <c r="Q199" s="19" t="n">
        <f aca="false">IF(N(E199)&gt;0,1,0)</f>
        <v>0</v>
      </c>
      <c r="S199" s="0" t="n">
        <v>14</v>
      </c>
    </row>
    <row r="200" customFormat="false" ht="9.75" hidden="false" customHeight="true" outlineLevel="0" collapsed="false">
      <c r="M200" s="19" t="n">
        <f aca="false">$M$187</f>
        <v>0</v>
      </c>
      <c r="Q200" s="19" t="n">
        <f aca="false">IF(N(E199)&gt;0,1,0)</f>
        <v>0</v>
      </c>
      <c r="S200" s="0" t="n">
        <v>14</v>
      </c>
      <c r="T200" s="0" t="n">
        <v>2</v>
      </c>
    </row>
    <row r="201" customFormat="false" ht="33.75" hidden="false" customHeight="true" outlineLevel="0" collapsed="false">
      <c r="A201" s="17" t="str">
        <f aca="false">IF(15&lt;=NW,TEXT(DAY(WEEK_ONE+98),"00")&amp;"/"&amp;TEXT(MONTH(WEEK_ONE+98),"00")&amp;"/"&amp;YEAR(WEEK_ONE+98)&amp;"  -  "&amp;TEXT(DAY(WEEK_ONE+104),"00")&amp;"/"&amp;TEXT(MONTH(WEEK_ONE+104),"00")&amp;"/"&amp;YEAR(WEEK_ONE+104)&amp;"   ·   الأسبوع 15"&amp;IF(15&lt;START_Z,"   (قبل أسبوع البداية — ما بينحسب)",""),"ما في أسبوع 15 هالسنة")</f>
        <v>04/04/2026  -  10/04/2026   ·   الأسبوع 15   (قبل أسبوع البداية — ما بينحسب)</v>
      </c>
      <c r="B201" s="17"/>
      <c r="C201" s="17"/>
      <c r="D201" s="17"/>
      <c r="E201" s="17"/>
      <c r="F201" s="17"/>
      <c r="G201" s="17"/>
      <c r="H201" s="17"/>
      <c r="L201" s="18" t="n">
        <f aca="false">IF(15&lt;=NW,WEEK_ONE+104,"")</f>
        <v>46122</v>
      </c>
      <c r="M201" s="19" t="n">
        <f aca="false">IF(AND(15&lt;=NW,15&gt;=START_Z),1,0)</f>
        <v>0</v>
      </c>
      <c r="N201" s="20" t="n">
        <f aca="false">IFERROR(INDEX(RT_AZZ,MATCH(L201,RT_K,1)),INDEX(RT_AZZ,1))</f>
        <v>1</v>
      </c>
      <c r="P201" s="20" t="n">
        <f aca="false">IFERROR(INDEX(RT_GYP,MATCH(L201,RT_K,1)),INDEX(RT_GYP,1))</f>
        <v>2.5</v>
      </c>
      <c r="Q201" s="19" t="n">
        <f aca="false">IF(N(E213)&gt;0,1,0)</f>
        <v>0</v>
      </c>
      <c r="R201" s="0" t="n">
        <v>15</v>
      </c>
      <c r="S201" s="0" t="n">
        <v>15</v>
      </c>
      <c r="U201" s="19" t="n">
        <f aca="false">IF(M201=1,SUM(E203:E209),0)</f>
        <v>0</v>
      </c>
      <c r="V201" s="19" t="n">
        <f aca="false">SUM(F203:F209)</f>
        <v>0</v>
      </c>
      <c r="W201" s="19" t="n">
        <f aca="false">IF(M201=1,SUMIFS(F203:F209,G203:G209,"نعم"),0)</f>
        <v>0</v>
      </c>
    </row>
    <row r="202" customFormat="false" ht="39.75" hidden="false" customHeight="true" outlineLevel="0" collapsed="false">
      <c r="A202" s="21" t="s">
        <v>18</v>
      </c>
      <c r="B202" s="21" t="s">
        <v>19</v>
      </c>
      <c r="C202" s="21" t="s">
        <v>20</v>
      </c>
      <c r="D202" s="21" t="s">
        <v>21</v>
      </c>
      <c r="E202" s="21" t="s">
        <v>22</v>
      </c>
      <c r="F202" s="21" t="s">
        <v>29</v>
      </c>
      <c r="G202" s="21" t="s">
        <v>30</v>
      </c>
      <c r="H202" s="21" t="s">
        <v>26</v>
      </c>
      <c r="M202" s="19" t="n">
        <f aca="false">$M$201</f>
        <v>0</v>
      </c>
      <c r="Q202" s="19" t="n">
        <f aca="false">IF(N(E213)&gt;0,1,0)</f>
        <v>0</v>
      </c>
      <c r="S202" s="0" t="n">
        <v>15</v>
      </c>
    </row>
    <row r="203" customFormat="false" ht="15" hidden="false" customHeight="false" outlineLevel="0" collapsed="false">
      <c r="A203" s="22" t="n">
        <f aca="false">IF(15&lt;=NW,WEEK_ONE+98,"")</f>
        <v>46116</v>
      </c>
      <c r="B203" s="23" t="str">
        <f aca="false">IF(A203="","",CHOOSE(WEEKDAY(A203,1),"الأحد","الاثنين","الثلاثاء","الأربعاء","الخميس","الجمعة","السبت"))</f>
        <v>السبت</v>
      </c>
      <c r="C203" s="24"/>
      <c r="D203" s="24"/>
      <c r="E203" s="25" t="str">
        <f aca="false">IF(OR(M203=0,K203="",L203=""),"",MOD(L203-K203,1))</f>
        <v/>
      </c>
      <c r="F203" s="26" t="str">
        <f aca="false">IF(OR(E203="",M203=0),"",IF(ROUND_MODE="للأعلى",CEILING(ROUND((E203*24*$N$201),3),0.25),ROUND((E203*24*$N$201)*4,0)/4))</f>
        <v/>
      </c>
      <c r="G203" s="24"/>
      <c r="H203" s="27"/>
      <c r="K203" s="28" t="str">
        <f aca="false">IF(OR(M203=0,C203=""),"",IF(ISNUMBER(C203),MOD(C203,1),IFERROR(INDEX(القوائم!$B$1:$B$288,MATCH(TRIM(C203),القوائم!$A$1:$A$288,0)),IFERROR(MOD(TIMEVALUE(C203),1),""))))</f>
        <v/>
      </c>
      <c r="L203" s="28" t="str">
        <f aca="false">IF(OR(M203=0,D203=""),"",IF(ISNUMBER(D203),MOD(D203,1),IFERROR(INDEX(القوائم!$B$1:$B$288,MATCH(TRIM(D203),القوائم!$A$1:$A$288,0)),IFERROR(MOD(TIMEVALUE(D203),1),""))))</f>
        <v/>
      </c>
      <c r="M203" s="19" t="n">
        <f aca="false">$M$201</f>
        <v>0</v>
      </c>
      <c r="Q203" s="19" t="n">
        <f aca="false">IF(N(E213)&gt;0,1,0)</f>
        <v>0</v>
      </c>
      <c r="S203" s="0" t="n">
        <v>15</v>
      </c>
    </row>
    <row r="204" customFormat="false" ht="15" hidden="false" customHeight="false" outlineLevel="0" collapsed="false">
      <c r="A204" s="22" t="n">
        <f aca="false">IF(15&lt;=NW,WEEK_ONE+99,"")</f>
        <v>46117</v>
      </c>
      <c r="B204" s="23" t="str">
        <f aca="false">IF(A204="","",CHOOSE(WEEKDAY(A204,1),"الأحد","الاثنين","الثلاثاء","الأربعاء","الخميس","الجمعة","السبت"))</f>
        <v>الأحد</v>
      </c>
      <c r="C204" s="24"/>
      <c r="D204" s="24"/>
      <c r="E204" s="25" t="str">
        <f aca="false">IF(OR(M204=0,K204="",L204=""),"",MOD(L204-K204,1))</f>
        <v/>
      </c>
      <c r="F204" s="26" t="str">
        <f aca="false">IF(OR(E204="",M204=0),"",IF(ROUND_MODE="للأعلى",CEILING(ROUND((E204*24*$N$201),3),0.25),ROUND((E204*24*$N$201)*4,0)/4))</f>
        <v/>
      </c>
      <c r="G204" s="24"/>
      <c r="H204" s="27"/>
      <c r="K204" s="28" t="str">
        <f aca="false">IF(OR(M204=0,C204=""),"",IF(ISNUMBER(C204),MOD(C204,1),IFERROR(INDEX(القوائم!$B$1:$B$288,MATCH(TRIM(C204),القوائم!$A$1:$A$288,0)),IFERROR(MOD(TIMEVALUE(C204),1),""))))</f>
        <v/>
      </c>
      <c r="L204" s="28" t="str">
        <f aca="false">IF(OR(M204=0,D204=""),"",IF(ISNUMBER(D204),MOD(D204,1),IFERROR(INDEX(القوائم!$B$1:$B$288,MATCH(TRIM(D204),القوائم!$A$1:$A$288,0)),IFERROR(MOD(TIMEVALUE(D204),1),""))))</f>
        <v/>
      </c>
      <c r="M204" s="19" t="n">
        <f aca="false">$M$201</f>
        <v>0</v>
      </c>
      <c r="Q204" s="19" t="n">
        <f aca="false">IF(N(E213)&gt;0,1,0)</f>
        <v>0</v>
      </c>
      <c r="S204" s="0" t="n">
        <v>15</v>
      </c>
    </row>
    <row r="205" customFormat="false" ht="15" hidden="false" customHeight="false" outlineLevel="0" collapsed="false">
      <c r="A205" s="22" t="n">
        <f aca="false">IF(15&lt;=NW,WEEK_ONE+100,"")</f>
        <v>46118</v>
      </c>
      <c r="B205" s="23" t="str">
        <f aca="false">IF(A205="","",CHOOSE(WEEKDAY(A205,1),"الأحد","الاثنين","الثلاثاء","الأربعاء","الخميس","الجمعة","السبت"))</f>
        <v>الاثنين</v>
      </c>
      <c r="C205" s="24"/>
      <c r="D205" s="24"/>
      <c r="E205" s="25" t="str">
        <f aca="false">IF(OR(M205=0,K205="",L205=""),"",MOD(L205-K205,1))</f>
        <v/>
      </c>
      <c r="F205" s="26" t="str">
        <f aca="false">IF(OR(E205="",M205=0),"",IF(ROUND_MODE="للأعلى",CEILING(ROUND((E205*24*$N$201),3),0.25),ROUND((E205*24*$N$201)*4,0)/4))</f>
        <v/>
      </c>
      <c r="G205" s="24"/>
      <c r="H205" s="27"/>
      <c r="K205" s="28" t="str">
        <f aca="false">IF(OR(M205=0,C205=""),"",IF(ISNUMBER(C205),MOD(C205,1),IFERROR(INDEX(القوائم!$B$1:$B$288,MATCH(TRIM(C205),القوائم!$A$1:$A$288,0)),IFERROR(MOD(TIMEVALUE(C205),1),""))))</f>
        <v/>
      </c>
      <c r="L205" s="28" t="str">
        <f aca="false">IF(OR(M205=0,D205=""),"",IF(ISNUMBER(D205),MOD(D205,1),IFERROR(INDEX(القوائم!$B$1:$B$288,MATCH(TRIM(D205),القوائم!$A$1:$A$288,0)),IFERROR(MOD(TIMEVALUE(D205),1),""))))</f>
        <v/>
      </c>
      <c r="M205" s="19" t="n">
        <f aca="false">$M$201</f>
        <v>0</v>
      </c>
      <c r="Q205" s="19" t="n">
        <f aca="false">IF(N(E213)&gt;0,1,0)</f>
        <v>0</v>
      </c>
      <c r="S205" s="0" t="n">
        <v>15</v>
      </c>
    </row>
    <row r="206" customFormat="false" ht="15" hidden="false" customHeight="false" outlineLevel="0" collapsed="false">
      <c r="A206" s="22" t="n">
        <f aca="false">IF(15&lt;=NW,WEEK_ONE+101,"")</f>
        <v>46119</v>
      </c>
      <c r="B206" s="23" t="str">
        <f aca="false">IF(A206="","",CHOOSE(WEEKDAY(A206,1),"الأحد","الاثنين","الثلاثاء","الأربعاء","الخميس","الجمعة","السبت"))</f>
        <v>الثلاثاء</v>
      </c>
      <c r="C206" s="24"/>
      <c r="D206" s="24"/>
      <c r="E206" s="25" t="str">
        <f aca="false">IF(OR(M206=0,K206="",L206=""),"",MOD(L206-K206,1))</f>
        <v/>
      </c>
      <c r="F206" s="26" t="str">
        <f aca="false">IF(OR(E206="",M206=0),"",IF(ROUND_MODE="للأعلى",CEILING(ROUND((E206*24*$N$201),3),0.25),ROUND((E206*24*$N$201)*4,0)/4))</f>
        <v/>
      </c>
      <c r="G206" s="24"/>
      <c r="H206" s="27"/>
      <c r="K206" s="28" t="str">
        <f aca="false">IF(OR(M206=0,C206=""),"",IF(ISNUMBER(C206),MOD(C206,1),IFERROR(INDEX(القوائم!$B$1:$B$288,MATCH(TRIM(C206),القوائم!$A$1:$A$288,0)),IFERROR(MOD(TIMEVALUE(C206),1),""))))</f>
        <v/>
      </c>
      <c r="L206" s="28" t="str">
        <f aca="false">IF(OR(M206=0,D206=""),"",IF(ISNUMBER(D206),MOD(D206,1),IFERROR(INDEX(القوائم!$B$1:$B$288,MATCH(TRIM(D206),القوائم!$A$1:$A$288,0)),IFERROR(MOD(TIMEVALUE(D206),1),""))))</f>
        <v/>
      </c>
      <c r="M206" s="19" t="n">
        <f aca="false">$M$201</f>
        <v>0</v>
      </c>
      <c r="Q206" s="19" t="n">
        <f aca="false">IF(N(E213)&gt;0,1,0)</f>
        <v>0</v>
      </c>
      <c r="S206" s="0" t="n">
        <v>15</v>
      </c>
    </row>
    <row r="207" customFormat="false" ht="15" hidden="false" customHeight="false" outlineLevel="0" collapsed="false">
      <c r="A207" s="22" t="n">
        <f aca="false">IF(15&lt;=NW,WEEK_ONE+102,"")</f>
        <v>46120</v>
      </c>
      <c r="B207" s="23" t="str">
        <f aca="false">IF(A207="","",CHOOSE(WEEKDAY(A207,1),"الأحد","الاثنين","الثلاثاء","الأربعاء","الخميس","الجمعة","السبت"))</f>
        <v>الأربعاء</v>
      </c>
      <c r="C207" s="24"/>
      <c r="D207" s="24"/>
      <c r="E207" s="25" t="str">
        <f aca="false">IF(OR(M207=0,K207="",L207=""),"",MOD(L207-K207,1))</f>
        <v/>
      </c>
      <c r="F207" s="26" t="str">
        <f aca="false">IF(OR(E207="",M207=0),"",IF(ROUND_MODE="للأعلى",CEILING(ROUND((E207*24*$N$201),3),0.25),ROUND((E207*24*$N$201)*4,0)/4))</f>
        <v/>
      </c>
      <c r="G207" s="24"/>
      <c r="H207" s="27"/>
      <c r="K207" s="28" t="str">
        <f aca="false">IF(OR(M207=0,C207=""),"",IF(ISNUMBER(C207),MOD(C207,1),IFERROR(INDEX(القوائم!$B$1:$B$288,MATCH(TRIM(C207),القوائم!$A$1:$A$288,0)),IFERROR(MOD(TIMEVALUE(C207),1),""))))</f>
        <v/>
      </c>
      <c r="L207" s="28" t="str">
        <f aca="false">IF(OR(M207=0,D207=""),"",IF(ISNUMBER(D207),MOD(D207,1),IFERROR(INDEX(القوائم!$B$1:$B$288,MATCH(TRIM(D207),القوائم!$A$1:$A$288,0)),IFERROR(MOD(TIMEVALUE(D207),1),""))))</f>
        <v/>
      </c>
      <c r="M207" s="19" t="n">
        <f aca="false">$M$201</f>
        <v>0</v>
      </c>
      <c r="Q207" s="19" t="n">
        <f aca="false">IF(N(E213)&gt;0,1,0)</f>
        <v>0</v>
      </c>
      <c r="S207" s="0" t="n">
        <v>15</v>
      </c>
    </row>
    <row r="208" customFormat="false" ht="15" hidden="false" customHeight="false" outlineLevel="0" collapsed="false">
      <c r="A208" s="22" t="n">
        <f aca="false">IF(15&lt;=NW,WEEK_ONE+103,"")</f>
        <v>46121</v>
      </c>
      <c r="B208" s="23" t="str">
        <f aca="false">IF(A208="","",CHOOSE(WEEKDAY(A208,1),"الأحد","الاثنين","الثلاثاء","الأربعاء","الخميس","الجمعة","السبت"))</f>
        <v>الخميس</v>
      </c>
      <c r="C208" s="24"/>
      <c r="D208" s="24"/>
      <c r="E208" s="25" t="str">
        <f aca="false">IF(OR(M208=0,K208="",L208=""),"",MOD(L208-K208,1))</f>
        <v/>
      </c>
      <c r="F208" s="26" t="str">
        <f aca="false">IF(OR(E208="",M208=0),"",IF(ROUND_MODE="للأعلى",CEILING(ROUND((E208*24*$N$201),3),0.25),ROUND((E208*24*$N$201)*4,0)/4))</f>
        <v/>
      </c>
      <c r="G208" s="24"/>
      <c r="H208" s="27"/>
      <c r="K208" s="28" t="str">
        <f aca="false">IF(OR(M208=0,C208=""),"",IF(ISNUMBER(C208),MOD(C208,1),IFERROR(INDEX(القوائم!$B$1:$B$288,MATCH(TRIM(C208),القوائم!$A$1:$A$288,0)),IFERROR(MOD(TIMEVALUE(C208),1),""))))</f>
        <v/>
      </c>
      <c r="L208" s="28" t="str">
        <f aca="false">IF(OR(M208=0,D208=""),"",IF(ISNUMBER(D208),MOD(D208,1),IFERROR(INDEX(القوائم!$B$1:$B$288,MATCH(TRIM(D208),القوائم!$A$1:$A$288,0)),IFERROR(MOD(TIMEVALUE(D208),1),""))))</f>
        <v/>
      </c>
      <c r="M208" s="19" t="n">
        <f aca="false">$M$201</f>
        <v>0</v>
      </c>
      <c r="Q208" s="19" t="n">
        <f aca="false">IF(N(E213)&gt;0,1,0)</f>
        <v>0</v>
      </c>
      <c r="S208" s="0" t="n">
        <v>15</v>
      </c>
    </row>
    <row r="209" customFormat="false" ht="15" hidden="false" customHeight="false" outlineLevel="0" collapsed="false">
      <c r="A209" s="29" t="n">
        <f aca="false">IF(15&lt;=NW,WEEK_ONE+104,"")</f>
        <v>46122</v>
      </c>
      <c r="B209" s="30" t="str">
        <f aca="false">IF(A209="","",CHOOSE(WEEKDAY(A209,1),"الأحد","الاثنين","الثلاثاء","الأربعاء","الخميس","الجمعة","السبت"))</f>
        <v>الجمعة</v>
      </c>
      <c r="C209" s="24"/>
      <c r="D209" s="24"/>
      <c r="E209" s="25" t="str">
        <f aca="false">IF(OR(M209=0,K209="",L209=""),"",MOD(L209-K209,1))</f>
        <v/>
      </c>
      <c r="F209" s="26" t="str">
        <f aca="false">IF(OR(E209="",M209=0),"",IF(ROUND_MODE="للأعلى",CEILING(ROUND((E209*24*$N$201),3),0.25),ROUND((E209*24*$N$201)*4,0)/4))</f>
        <v/>
      </c>
      <c r="G209" s="24"/>
      <c r="H209" s="27"/>
      <c r="K209" s="28" t="str">
        <f aca="false">IF(OR(M209=0,C209=""),"",IF(ISNUMBER(C209),MOD(C209,1),IFERROR(INDEX(القوائم!$B$1:$B$288,MATCH(TRIM(C209),القوائم!$A$1:$A$288,0)),IFERROR(MOD(TIMEVALUE(C209),1),""))))</f>
        <v/>
      </c>
      <c r="L209" s="28" t="str">
        <f aca="false">IF(OR(M209=0,D209=""),"",IF(ISNUMBER(D209),MOD(D209,1),IFERROR(INDEX(القوائم!$B$1:$B$288,MATCH(TRIM(D209),القوائم!$A$1:$A$288,0)),IFERROR(MOD(TIMEVALUE(D209),1),""))))</f>
        <v/>
      </c>
      <c r="M209" s="19" t="n">
        <f aca="false">$M$201</f>
        <v>0</v>
      </c>
      <c r="Q209" s="19" t="n">
        <f aca="false">IF(N(E213)&gt;0,1,0)</f>
        <v>0</v>
      </c>
      <c r="S209" s="0" t="n">
        <v>15</v>
      </c>
    </row>
    <row r="210" customFormat="false" ht="15" hidden="false" customHeight="false" outlineLevel="0" collapsed="false">
      <c r="A210" s="31" t="str">
        <f aca="false">IF(M201=1,"ساعات تحميل الجبسمبورد بهالأسبوع ←","")</f>
        <v/>
      </c>
      <c r="B210" s="31"/>
      <c r="C210" s="31"/>
      <c r="D210" s="31"/>
      <c r="E210" s="32"/>
      <c r="F210" s="33" t="str">
        <f aca="false">IF(M201=1,"كل ساعة تحميل = "&amp;TEXT($P$201,"0.000")&amp;" دينار (منها "&amp;TEXT($N$201,"0.000")&amp;" محسوبة أصلاً بساعات اليوم)","")</f>
        <v/>
      </c>
      <c r="G210" s="33"/>
      <c r="H210" s="33"/>
      <c r="M210" s="19" t="n">
        <f aca="false">$M$201</f>
        <v>0</v>
      </c>
      <c r="Q210" s="19" t="n">
        <f aca="false">IF(N(E213)&gt;0,1,0)</f>
        <v>0</v>
      </c>
      <c r="S210" s="0" t="n">
        <v>15</v>
      </c>
    </row>
    <row r="211" customFormat="false" ht="15" hidden="false" customHeight="false" outlineLevel="0" collapsed="false">
      <c r="A211" s="31" t="str">
        <f aca="false">IF(M201=1,"إكرامية الأسبوع (دينار) ←","")</f>
        <v/>
      </c>
      <c r="B211" s="31"/>
      <c r="C211" s="31"/>
      <c r="D211" s="31"/>
      <c r="E211" s="34"/>
      <c r="F211" s="35"/>
      <c r="G211" s="35"/>
      <c r="H211" s="35"/>
      <c r="M211" s="19" t="n">
        <f aca="false">$M$201</f>
        <v>0</v>
      </c>
      <c r="Q211" s="19" t="n">
        <f aca="false">IF(N(E213)&gt;0,1,0)</f>
        <v>0</v>
      </c>
      <c r="S211" s="0" t="n">
        <v>15</v>
      </c>
    </row>
    <row r="212" customFormat="false" ht="36" hidden="false" customHeight="true" outlineLevel="0" collapsed="false">
      <c r="A212" s="36" t="str">
        <f aca="false">IF(M201=1,"المستحق النهائي للأسبوع","")</f>
        <v/>
      </c>
      <c r="B212" s="36"/>
      <c r="C212" s="36"/>
      <c r="D212" s="36"/>
      <c r="E212" s="36"/>
      <c r="F212" s="11" t="str">
        <f aca="false">IF(M201=1,ROUND(N($V$201)+N(E210)*($P$201-$N$201)+N(E211),3),"")</f>
        <v/>
      </c>
      <c r="G212" s="35"/>
      <c r="H212" s="35"/>
      <c r="M212" s="19" t="n">
        <f aca="false">$M$201</f>
        <v>0</v>
      </c>
      <c r="Q212" s="19" t="n">
        <f aca="false">IF(N(E213)&gt;0,1,0)</f>
        <v>0</v>
      </c>
      <c r="S212" s="0" t="n">
        <v>15</v>
      </c>
      <c r="T212" s="0" t="n">
        <v>1</v>
      </c>
    </row>
    <row r="213" customFormat="false" ht="25.5" hidden="false" customHeight="true" outlineLevel="0" collapsed="false">
      <c r="A213" s="31" t="str">
        <f aca="false">IF(M201=1,"المدفوع (دينار) ←","")</f>
        <v/>
      </c>
      <c r="B213" s="31"/>
      <c r="C213" s="31"/>
      <c r="D213" s="31"/>
      <c r="E213" s="34"/>
      <c r="F213" s="38" t="str">
        <f aca="false">IF(M201=1,IF(N(E213)&gt;0,"✔ انقبض — الأسبوع مقفول","⏳ لسا ما انقبض"),"")</f>
        <v/>
      </c>
      <c r="G213" s="38"/>
      <c r="H213" s="38"/>
      <c r="M213" s="19" t="n">
        <f aca="false">$M$201</f>
        <v>0</v>
      </c>
      <c r="Q213" s="19" t="n">
        <f aca="false">IF(N(E213)&gt;0,1,0)</f>
        <v>0</v>
      </c>
      <c r="S213" s="0" t="n">
        <v>15</v>
      </c>
    </row>
    <row r="214" customFormat="false" ht="9.75" hidden="false" customHeight="true" outlineLevel="0" collapsed="false">
      <c r="M214" s="19" t="n">
        <f aca="false">$M$201</f>
        <v>0</v>
      </c>
      <c r="Q214" s="19" t="n">
        <f aca="false">IF(N(E213)&gt;0,1,0)</f>
        <v>0</v>
      </c>
      <c r="S214" s="0" t="n">
        <v>15</v>
      </c>
      <c r="T214" s="0" t="n">
        <v>2</v>
      </c>
    </row>
    <row r="215" customFormat="false" ht="33.75" hidden="false" customHeight="true" outlineLevel="0" collapsed="false">
      <c r="A215" s="17" t="str">
        <f aca="false">IF(16&lt;=NW,TEXT(DAY(WEEK_ONE+105),"00")&amp;"/"&amp;TEXT(MONTH(WEEK_ONE+105),"00")&amp;"/"&amp;YEAR(WEEK_ONE+105)&amp;"  -  "&amp;TEXT(DAY(WEEK_ONE+111),"00")&amp;"/"&amp;TEXT(MONTH(WEEK_ONE+111),"00")&amp;"/"&amp;YEAR(WEEK_ONE+111)&amp;"   ·   الأسبوع 16"&amp;IF(16&lt;START_Z,"   (قبل أسبوع البداية — ما بينحسب)",""),"ما في أسبوع 16 هالسنة")</f>
        <v>11/04/2026  -  17/04/2026   ·   الأسبوع 16   (قبل أسبوع البداية — ما بينحسب)</v>
      </c>
      <c r="B215" s="17"/>
      <c r="C215" s="17"/>
      <c r="D215" s="17"/>
      <c r="E215" s="17"/>
      <c r="F215" s="17"/>
      <c r="G215" s="17"/>
      <c r="H215" s="17"/>
      <c r="L215" s="18" t="n">
        <f aca="false">IF(16&lt;=NW,WEEK_ONE+111,"")</f>
        <v>46129</v>
      </c>
      <c r="M215" s="19" t="n">
        <f aca="false">IF(AND(16&lt;=NW,16&gt;=START_Z),1,0)</f>
        <v>0</v>
      </c>
      <c r="N215" s="20" t="n">
        <f aca="false">IFERROR(INDEX(RT_AZZ,MATCH(L215,RT_K,1)),INDEX(RT_AZZ,1))</f>
        <v>1</v>
      </c>
      <c r="P215" s="20" t="n">
        <f aca="false">IFERROR(INDEX(RT_GYP,MATCH(L215,RT_K,1)),INDEX(RT_GYP,1))</f>
        <v>2.5</v>
      </c>
      <c r="Q215" s="19" t="n">
        <f aca="false">IF(N(E227)&gt;0,1,0)</f>
        <v>0</v>
      </c>
      <c r="R215" s="0" t="n">
        <v>16</v>
      </c>
      <c r="S215" s="0" t="n">
        <v>16</v>
      </c>
      <c r="U215" s="19" t="n">
        <f aca="false">IF(M215=1,SUM(E217:E223),0)</f>
        <v>0</v>
      </c>
      <c r="V215" s="19" t="n">
        <f aca="false">SUM(F217:F223)</f>
        <v>0</v>
      </c>
      <c r="W215" s="19" t="n">
        <f aca="false">IF(M215=1,SUMIFS(F217:F223,G217:G223,"نعم"),0)</f>
        <v>0</v>
      </c>
    </row>
    <row r="216" customFormat="false" ht="39.75" hidden="false" customHeight="true" outlineLevel="0" collapsed="false">
      <c r="A216" s="21" t="s">
        <v>18</v>
      </c>
      <c r="B216" s="21" t="s">
        <v>19</v>
      </c>
      <c r="C216" s="21" t="s">
        <v>20</v>
      </c>
      <c r="D216" s="21" t="s">
        <v>21</v>
      </c>
      <c r="E216" s="21" t="s">
        <v>22</v>
      </c>
      <c r="F216" s="21" t="s">
        <v>29</v>
      </c>
      <c r="G216" s="21" t="s">
        <v>30</v>
      </c>
      <c r="H216" s="21" t="s">
        <v>26</v>
      </c>
      <c r="M216" s="19" t="n">
        <f aca="false">$M$215</f>
        <v>0</v>
      </c>
      <c r="Q216" s="19" t="n">
        <f aca="false">IF(N(E227)&gt;0,1,0)</f>
        <v>0</v>
      </c>
      <c r="S216" s="0" t="n">
        <v>16</v>
      </c>
    </row>
    <row r="217" customFormat="false" ht="15" hidden="false" customHeight="false" outlineLevel="0" collapsed="false">
      <c r="A217" s="22" t="n">
        <f aca="false">IF(16&lt;=NW,WEEK_ONE+105,"")</f>
        <v>46123</v>
      </c>
      <c r="B217" s="23" t="str">
        <f aca="false">IF(A217="","",CHOOSE(WEEKDAY(A217,1),"الأحد","الاثنين","الثلاثاء","الأربعاء","الخميس","الجمعة","السبت"))</f>
        <v>السبت</v>
      </c>
      <c r="C217" s="24"/>
      <c r="D217" s="24"/>
      <c r="E217" s="25" t="str">
        <f aca="false">IF(OR(M217=0,K217="",L217=""),"",MOD(L217-K217,1))</f>
        <v/>
      </c>
      <c r="F217" s="26" t="str">
        <f aca="false">IF(OR(E217="",M217=0),"",IF(ROUND_MODE="للأعلى",CEILING(ROUND((E217*24*$N$215),3),0.25),ROUND((E217*24*$N$215)*4,0)/4))</f>
        <v/>
      </c>
      <c r="G217" s="24"/>
      <c r="H217" s="27"/>
      <c r="K217" s="28" t="str">
        <f aca="false">IF(OR(M217=0,C217=""),"",IF(ISNUMBER(C217),MOD(C217,1),IFERROR(INDEX(القوائم!$B$1:$B$288,MATCH(TRIM(C217),القوائم!$A$1:$A$288,0)),IFERROR(MOD(TIMEVALUE(C217),1),""))))</f>
        <v/>
      </c>
      <c r="L217" s="28" t="str">
        <f aca="false">IF(OR(M217=0,D217=""),"",IF(ISNUMBER(D217),MOD(D217,1),IFERROR(INDEX(القوائم!$B$1:$B$288,MATCH(TRIM(D217),القوائم!$A$1:$A$288,0)),IFERROR(MOD(TIMEVALUE(D217),1),""))))</f>
        <v/>
      </c>
      <c r="M217" s="19" t="n">
        <f aca="false">$M$215</f>
        <v>0</v>
      </c>
      <c r="Q217" s="19" t="n">
        <f aca="false">IF(N(E227)&gt;0,1,0)</f>
        <v>0</v>
      </c>
      <c r="S217" s="0" t="n">
        <v>16</v>
      </c>
    </row>
    <row r="218" customFormat="false" ht="15" hidden="false" customHeight="false" outlineLevel="0" collapsed="false">
      <c r="A218" s="22" t="n">
        <f aca="false">IF(16&lt;=NW,WEEK_ONE+106,"")</f>
        <v>46124</v>
      </c>
      <c r="B218" s="23" t="str">
        <f aca="false">IF(A218="","",CHOOSE(WEEKDAY(A218,1),"الأحد","الاثنين","الثلاثاء","الأربعاء","الخميس","الجمعة","السبت"))</f>
        <v>الأحد</v>
      </c>
      <c r="C218" s="24"/>
      <c r="D218" s="24"/>
      <c r="E218" s="25" t="str">
        <f aca="false">IF(OR(M218=0,K218="",L218=""),"",MOD(L218-K218,1))</f>
        <v/>
      </c>
      <c r="F218" s="26" t="str">
        <f aca="false">IF(OR(E218="",M218=0),"",IF(ROUND_MODE="للأعلى",CEILING(ROUND((E218*24*$N$215),3),0.25),ROUND((E218*24*$N$215)*4,0)/4))</f>
        <v/>
      </c>
      <c r="G218" s="24"/>
      <c r="H218" s="27"/>
      <c r="K218" s="28" t="str">
        <f aca="false">IF(OR(M218=0,C218=""),"",IF(ISNUMBER(C218),MOD(C218,1),IFERROR(INDEX(القوائم!$B$1:$B$288,MATCH(TRIM(C218),القوائم!$A$1:$A$288,0)),IFERROR(MOD(TIMEVALUE(C218),1),""))))</f>
        <v/>
      </c>
      <c r="L218" s="28" t="str">
        <f aca="false">IF(OR(M218=0,D218=""),"",IF(ISNUMBER(D218),MOD(D218,1),IFERROR(INDEX(القوائم!$B$1:$B$288,MATCH(TRIM(D218),القوائم!$A$1:$A$288,0)),IFERROR(MOD(TIMEVALUE(D218),1),""))))</f>
        <v/>
      </c>
      <c r="M218" s="19" t="n">
        <f aca="false">$M$215</f>
        <v>0</v>
      </c>
      <c r="Q218" s="19" t="n">
        <f aca="false">IF(N(E227)&gt;0,1,0)</f>
        <v>0</v>
      </c>
      <c r="S218" s="0" t="n">
        <v>16</v>
      </c>
    </row>
    <row r="219" customFormat="false" ht="15" hidden="false" customHeight="false" outlineLevel="0" collapsed="false">
      <c r="A219" s="22" t="n">
        <f aca="false">IF(16&lt;=NW,WEEK_ONE+107,"")</f>
        <v>46125</v>
      </c>
      <c r="B219" s="23" t="str">
        <f aca="false">IF(A219="","",CHOOSE(WEEKDAY(A219,1),"الأحد","الاثنين","الثلاثاء","الأربعاء","الخميس","الجمعة","السبت"))</f>
        <v>الاثنين</v>
      </c>
      <c r="C219" s="24"/>
      <c r="D219" s="24"/>
      <c r="E219" s="25" t="str">
        <f aca="false">IF(OR(M219=0,K219="",L219=""),"",MOD(L219-K219,1))</f>
        <v/>
      </c>
      <c r="F219" s="26" t="str">
        <f aca="false">IF(OR(E219="",M219=0),"",IF(ROUND_MODE="للأعلى",CEILING(ROUND((E219*24*$N$215),3),0.25),ROUND((E219*24*$N$215)*4,0)/4))</f>
        <v/>
      </c>
      <c r="G219" s="24"/>
      <c r="H219" s="27"/>
      <c r="K219" s="28" t="str">
        <f aca="false">IF(OR(M219=0,C219=""),"",IF(ISNUMBER(C219),MOD(C219,1),IFERROR(INDEX(القوائم!$B$1:$B$288,MATCH(TRIM(C219),القوائم!$A$1:$A$288,0)),IFERROR(MOD(TIMEVALUE(C219),1),""))))</f>
        <v/>
      </c>
      <c r="L219" s="28" t="str">
        <f aca="false">IF(OR(M219=0,D219=""),"",IF(ISNUMBER(D219),MOD(D219,1),IFERROR(INDEX(القوائم!$B$1:$B$288,MATCH(TRIM(D219),القوائم!$A$1:$A$288,0)),IFERROR(MOD(TIMEVALUE(D219),1),""))))</f>
        <v/>
      </c>
      <c r="M219" s="19" t="n">
        <f aca="false">$M$215</f>
        <v>0</v>
      </c>
      <c r="Q219" s="19" t="n">
        <f aca="false">IF(N(E227)&gt;0,1,0)</f>
        <v>0</v>
      </c>
      <c r="S219" s="0" t="n">
        <v>16</v>
      </c>
    </row>
    <row r="220" customFormat="false" ht="15" hidden="false" customHeight="false" outlineLevel="0" collapsed="false">
      <c r="A220" s="22" t="n">
        <f aca="false">IF(16&lt;=NW,WEEK_ONE+108,"")</f>
        <v>46126</v>
      </c>
      <c r="B220" s="23" t="str">
        <f aca="false">IF(A220="","",CHOOSE(WEEKDAY(A220,1),"الأحد","الاثنين","الثلاثاء","الأربعاء","الخميس","الجمعة","السبت"))</f>
        <v>الثلاثاء</v>
      </c>
      <c r="C220" s="24"/>
      <c r="D220" s="24"/>
      <c r="E220" s="25" t="str">
        <f aca="false">IF(OR(M220=0,K220="",L220=""),"",MOD(L220-K220,1))</f>
        <v/>
      </c>
      <c r="F220" s="26" t="str">
        <f aca="false">IF(OR(E220="",M220=0),"",IF(ROUND_MODE="للأعلى",CEILING(ROUND((E220*24*$N$215),3),0.25),ROUND((E220*24*$N$215)*4,0)/4))</f>
        <v/>
      </c>
      <c r="G220" s="24"/>
      <c r="H220" s="27"/>
      <c r="K220" s="28" t="str">
        <f aca="false">IF(OR(M220=0,C220=""),"",IF(ISNUMBER(C220),MOD(C220,1),IFERROR(INDEX(القوائم!$B$1:$B$288,MATCH(TRIM(C220),القوائم!$A$1:$A$288,0)),IFERROR(MOD(TIMEVALUE(C220),1),""))))</f>
        <v/>
      </c>
      <c r="L220" s="28" t="str">
        <f aca="false">IF(OR(M220=0,D220=""),"",IF(ISNUMBER(D220),MOD(D220,1),IFERROR(INDEX(القوائم!$B$1:$B$288,MATCH(TRIM(D220),القوائم!$A$1:$A$288,0)),IFERROR(MOD(TIMEVALUE(D220),1),""))))</f>
        <v/>
      </c>
      <c r="M220" s="19" t="n">
        <f aca="false">$M$215</f>
        <v>0</v>
      </c>
      <c r="Q220" s="19" t="n">
        <f aca="false">IF(N(E227)&gt;0,1,0)</f>
        <v>0</v>
      </c>
      <c r="S220" s="0" t="n">
        <v>16</v>
      </c>
    </row>
    <row r="221" customFormat="false" ht="15" hidden="false" customHeight="false" outlineLevel="0" collapsed="false">
      <c r="A221" s="22" t="n">
        <f aca="false">IF(16&lt;=NW,WEEK_ONE+109,"")</f>
        <v>46127</v>
      </c>
      <c r="B221" s="23" t="str">
        <f aca="false">IF(A221="","",CHOOSE(WEEKDAY(A221,1),"الأحد","الاثنين","الثلاثاء","الأربعاء","الخميس","الجمعة","السبت"))</f>
        <v>الأربعاء</v>
      </c>
      <c r="C221" s="24"/>
      <c r="D221" s="24"/>
      <c r="E221" s="25" t="str">
        <f aca="false">IF(OR(M221=0,K221="",L221=""),"",MOD(L221-K221,1))</f>
        <v/>
      </c>
      <c r="F221" s="26" t="str">
        <f aca="false">IF(OR(E221="",M221=0),"",IF(ROUND_MODE="للأعلى",CEILING(ROUND((E221*24*$N$215),3),0.25),ROUND((E221*24*$N$215)*4,0)/4))</f>
        <v/>
      </c>
      <c r="G221" s="24"/>
      <c r="H221" s="27"/>
      <c r="K221" s="28" t="str">
        <f aca="false">IF(OR(M221=0,C221=""),"",IF(ISNUMBER(C221),MOD(C221,1),IFERROR(INDEX(القوائم!$B$1:$B$288,MATCH(TRIM(C221),القوائم!$A$1:$A$288,0)),IFERROR(MOD(TIMEVALUE(C221),1),""))))</f>
        <v/>
      </c>
      <c r="L221" s="28" t="str">
        <f aca="false">IF(OR(M221=0,D221=""),"",IF(ISNUMBER(D221),MOD(D221,1),IFERROR(INDEX(القوائم!$B$1:$B$288,MATCH(TRIM(D221),القوائم!$A$1:$A$288,0)),IFERROR(MOD(TIMEVALUE(D221),1),""))))</f>
        <v/>
      </c>
      <c r="M221" s="19" t="n">
        <f aca="false">$M$215</f>
        <v>0</v>
      </c>
      <c r="Q221" s="19" t="n">
        <f aca="false">IF(N(E227)&gt;0,1,0)</f>
        <v>0</v>
      </c>
      <c r="S221" s="0" t="n">
        <v>16</v>
      </c>
    </row>
    <row r="222" customFormat="false" ht="15" hidden="false" customHeight="false" outlineLevel="0" collapsed="false">
      <c r="A222" s="22" t="n">
        <f aca="false">IF(16&lt;=NW,WEEK_ONE+110,"")</f>
        <v>46128</v>
      </c>
      <c r="B222" s="23" t="str">
        <f aca="false">IF(A222="","",CHOOSE(WEEKDAY(A222,1),"الأحد","الاثنين","الثلاثاء","الأربعاء","الخميس","الجمعة","السبت"))</f>
        <v>الخميس</v>
      </c>
      <c r="C222" s="24"/>
      <c r="D222" s="24"/>
      <c r="E222" s="25" t="str">
        <f aca="false">IF(OR(M222=0,K222="",L222=""),"",MOD(L222-K222,1))</f>
        <v/>
      </c>
      <c r="F222" s="26" t="str">
        <f aca="false">IF(OR(E222="",M222=0),"",IF(ROUND_MODE="للأعلى",CEILING(ROUND((E222*24*$N$215),3),0.25),ROUND((E222*24*$N$215)*4,0)/4))</f>
        <v/>
      </c>
      <c r="G222" s="24"/>
      <c r="H222" s="27"/>
      <c r="K222" s="28" t="str">
        <f aca="false">IF(OR(M222=0,C222=""),"",IF(ISNUMBER(C222),MOD(C222,1),IFERROR(INDEX(القوائم!$B$1:$B$288,MATCH(TRIM(C222),القوائم!$A$1:$A$288,0)),IFERROR(MOD(TIMEVALUE(C222),1),""))))</f>
        <v/>
      </c>
      <c r="L222" s="28" t="str">
        <f aca="false">IF(OR(M222=0,D222=""),"",IF(ISNUMBER(D222),MOD(D222,1),IFERROR(INDEX(القوائم!$B$1:$B$288,MATCH(TRIM(D222),القوائم!$A$1:$A$288,0)),IFERROR(MOD(TIMEVALUE(D222),1),""))))</f>
        <v/>
      </c>
      <c r="M222" s="19" t="n">
        <f aca="false">$M$215</f>
        <v>0</v>
      </c>
      <c r="Q222" s="19" t="n">
        <f aca="false">IF(N(E227)&gt;0,1,0)</f>
        <v>0</v>
      </c>
      <c r="S222" s="0" t="n">
        <v>16</v>
      </c>
    </row>
    <row r="223" customFormat="false" ht="15" hidden="false" customHeight="false" outlineLevel="0" collapsed="false">
      <c r="A223" s="29" t="n">
        <f aca="false">IF(16&lt;=NW,WEEK_ONE+111,"")</f>
        <v>46129</v>
      </c>
      <c r="B223" s="30" t="str">
        <f aca="false">IF(A223="","",CHOOSE(WEEKDAY(A223,1),"الأحد","الاثنين","الثلاثاء","الأربعاء","الخميس","الجمعة","السبت"))</f>
        <v>الجمعة</v>
      </c>
      <c r="C223" s="24"/>
      <c r="D223" s="24"/>
      <c r="E223" s="25" t="str">
        <f aca="false">IF(OR(M223=0,K223="",L223=""),"",MOD(L223-K223,1))</f>
        <v/>
      </c>
      <c r="F223" s="26" t="str">
        <f aca="false">IF(OR(E223="",M223=0),"",IF(ROUND_MODE="للأعلى",CEILING(ROUND((E223*24*$N$215),3),0.25),ROUND((E223*24*$N$215)*4,0)/4))</f>
        <v/>
      </c>
      <c r="G223" s="24"/>
      <c r="H223" s="27"/>
      <c r="K223" s="28" t="str">
        <f aca="false">IF(OR(M223=0,C223=""),"",IF(ISNUMBER(C223),MOD(C223,1),IFERROR(INDEX(القوائم!$B$1:$B$288,MATCH(TRIM(C223),القوائم!$A$1:$A$288,0)),IFERROR(MOD(TIMEVALUE(C223),1),""))))</f>
        <v/>
      </c>
      <c r="L223" s="28" t="str">
        <f aca="false">IF(OR(M223=0,D223=""),"",IF(ISNUMBER(D223),MOD(D223,1),IFERROR(INDEX(القوائم!$B$1:$B$288,MATCH(TRIM(D223),القوائم!$A$1:$A$288,0)),IFERROR(MOD(TIMEVALUE(D223),1),""))))</f>
        <v/>
      </c>
      <c r="M223" s="19" t="n">
        <f aca="false">$M$215</f>
        <v>0</v>
      </c>
      <c r="Q223" s="19" t="n">
        <f aca="false">IF(N(E227)&gt;0,1,0)</f>
        <v>0</v>
      </c>
      <c r="S223" s="0" t="n">
        <v>16</v>
      </c>
    </row>
    <row r="224" customFormat="false" ht="15" hidden="false" customHeight="false" outlineLevel="0" collapsed="false">
      <c r="A224" s="31" t="str">
        <f aca="false">IF(M215=1,"ساعات تحميل الجبسمبورد بهالأسبوع ←","")</f>
        <v/>
      </c>
      <c r="B224" s="31"/>
      <c r="C224" s="31"/>
      <c r="D224" s="31"/>
      <c r="E224" s="32"/>
      <c r="F224" s="33" t="str">
        <f aca="false">IF(M215=1,"كل ساعة تحميل = "&amp;TEXT($P$215,"0.000")&amp;" دينار (منها "&amp;TEXT($N$215,"0.000")&amp;" محسوبة أصلاً بساعات اليوم)","")</f>
        <v/>
      </c>
      <c r="G224" s="33"/>
      <c r="H224" s="33"/>
      <c r="M224" s="19" t="n">
        <f aca="false">$M$215</f>
        <v>0</v>
      </c>
      <c r="Q224" s="19" t="n">
        <f aca="false">IF(N(E227)&gt;0,1,0)</f>
        <v>0</v>
      </c>
      <c r="S224" s="0" t="n">
        <v>16</v>
      </c>
    </row>
    <row r="225" customFormat="false" ht="15" hidden="false" customHeight="false" outlineLevel="0" collapsed="false">
      <c r="A225" s="31" t="str">
        <f aca="false">IF(M215=1,"إكرامية الأسبوع (دينار) ←","")</f>
        <v/>
      </c>
      <c r="B225" s="31"/>
      <c r="C225" s="31"/>
      <c r="D225" s="31"/>
      <c r="E225" s="34"/>
      <c r="F225" s="35"/>
      <c r="G225" s="35"/>
      <c r="H225" s="35"/>
      <c r="M225" s="19" t="n">
        <f aca="false">$M$215</f>
        <v>0</v>
      </c>
      <c r="Q225" s="19" t="n">
        <f aca="false">IF(N(E227)&gt;0,1,0)</f>
        <v>0</v>
      </c>
      <c r="S225" s="0" t="n">
        <v>16</v>
      </c>
    </row>
    <row r="226" customFormat="false" ht="36" hidden="false" customHeight="true" outlineLevel="0" collapsed="false">
      <c r="A226" s="36" t="str">
        <f aca="false">IF(M215=1,"المستحق النهائي للأسبوع","")</f>
        <v/>
      </c>
      <c r="B226" s="36"/>
      <c r="C226" s="36"/>
      <c r="D226" s="36"/>
      <c r="E226" s="36"/>
      <c r="F226" s="11" t="str">
        <f aca="false">IF(M215=1,ROUND(N($V$215)+N(E224)*($P$215-$N$215)+N(E225),3),"")</f>
        <v/>
      </c>
      <c r="G226" s="35"/>
      <c r="H226" s="35"/>
      <c r="M226" s="19" t="n">
        <f aca="false">$M$215</f>
        <v>0</v>
      </c>
      <c r="Q226" s="19" t="n">
        <f aca="false">IF(N(E227)&gt;0,1,0)</f>
        <v>0</v>
      </c>
      <c r="S226" s="0" t="n">
        <v>16</v>
      </c>
      <c r="T226" s="0" t="n">
        <v>1</v>
      </c>
    </row>
    <row r="227" customFormat="false" ht="25.5" hidden="false" customHeight="true" outlineLevel="0" collapsed="false">
      <c r="A227" s="31" t="str">
        <f aca="false">IF(M215=1,"المدفوع (دينار) ←","")</f>
        <v/>
      </c>
      <c r="B227" s="31"/>
      <c r="C227" s="31"/>
      <c r="D227" s="31"/>
      <c r="E227" s="34"/>
      <c r="F227" s="38" t="str">
        <f aca="false">IF(M215=1,IF(N(E227)&gt;0,"✔ انقبض — الأسبوع مقفول","⏳ لسا ما انقبض"),"")</f>
        <v/>
      </c>
      <c r="G227" s="38"/>
      <c r="H227" s="38"/>
      <c r="M227" s="19" t="n">
        <f aca="false">$M$215</f>
        <v>0</v>
      </c>
      <c r="Q227" s="19" t="n">
        <f aca="false">IF(N(E227)&gt;0,1,0)</f>
        <v>0</v>
      </c>
      <c r="S227" s="0" t="n">
        <v>16</v>
      </c>
    </row>
    <row r="228" customFormat="false" ht="9.75" hidden="false" customHeight="true" outlineLevel="0" collapsed="false">
      <c r="M228" s="19" t="n">
        <f aca="false">$M$215</f>
        <v>0</v>
      </c>
      <c r="Q228" s="19" t="n">
        <f aca="false">IF(N(E227)&gt;0,1,0)</f>
        <v>0</v>
      </c>
      <c r="S228" s="0" t="n">
        <v>16</v>
      </c>
      <c r="T228" s="0" t="n">
        <v>2</v>
      </c>
    </row>
    <row r="229" customFormat="false" ht="33.75" hidden="false" customHeight="true" outlineLevel="0" collapsed="false">
      <c r="A229" s="17" t="str">
        <f aca="false">IF(17&lt;=NW,TEXT(DAY(WEEK_ONE+112),"00")&amp;"/"&amp;TEXT(MONTH(WEEK_ONE+112),"00")&amp;"/"&amp;YEAR(WEEK_ONE+112)&amp;"  -  "&amp;TEXT(DAY(WEEK_ONE+118),"00")&amp;"/"&amp;TEXT(MONTH(WEEK_ONE+118),"00")&amp;"/"&amp;YEAR(WEEK_ONE+118)&amp;"   ·   الأسبوع 17"&amp;IF(17&lt;START_Z,"   (قبل أسبوع البداية — ما بينحسب)",""),"ما في أسبوع 17 هالسنة")</f>
        <v>18/04/2026  -  24/04/2026   ·   الأسبوع 17   (قبل أسبوع البداية — ما بينحسب)</v>
      </c>
      <c r="B229" s="17"/>
      <c r="C229" s="17"/>
      <c r="D229" s="17"/>
      <c r="E229" s="17"/>
      <c r="F229" s="17"/>
      <c r="G229" s="17"/>
      <c r="H229" s="17"/>
      <c r="L229" s="18" t="n">
        <f aca="false">IF(17&lt;=NW,WEEK_ONE+118,"")</f>
        <v>46136</v>
      </c>
      <c r="M229" s="19" t="n">
        <f aca="false">IF(AND(17&lt;=NW,17&gt;=START_Z),1,0)</f>
        <v>0</v>
      </c>
      <c r="N229" s="20" t="n">
        <f aca="false">IFERROR(INDEX(RT_AZZ,MATCH(L229,RT_K,1)),INDEX(RT_AZZ,1))</f>
        <v>1</v>
      </c>
      <c r="P229" s="20" t="n">
        <f aca="false">IFERROR(INDEX(RT_GYP,MATCH(L229,RT_K,1)),INDEX(RT_GYP,1))</f>
        <v>2.5</v>
      </c>
      <c r="Q229" s="19" t="n">
        <f aca="false">IF(N(E241)&gt;0,1,0)</f>
        <v>0</v>
      </c>
      <c r="R229" s="0" t="n">
        <v>17</v>
      </c>
      <c r="S229" s="0" t="n">
        <v>17</v>
      </c>
      <c r="U229" s="19" t="n">
        <f aca="false">IF(M229=1,SUM(E231:E237),0)</f>
        <v>0</v>
      </c>
      <c r="V229" s="19" t="n">
        <f aca="false">SUM(F231:F237)</f>
        <v>0</v>
      </c>
      <c r="W229" s="19" t="n">
        <f aca="false">IF(M229=1,SUMIFS(F231:F237,G231:G237,"نعم"),0)</f>
        <v>0</v>
      </c>
    </row>
    <row r="230" customFormat="false" ht="39.75" hidden="false" customHeight="true" outlineLevel="0" collapsed="false">
      <c r="A230" s="21" t="s">
        <v>18</v>
      </c>
      <c r="B230" s="21" t="s">
        <v>19</v>
      </c>
      <c r="C230" s="21" t="s">
        <v>20</v>
      </c>
      <c r="D230" s="21" t="s">
        <v>21</v>
      </c>
      <c r="E230" s="21" t="s">
        <v>22</v>
      </c>
      <c r="F230" s="21" t="s">
        <v>29</v>
      </c>
      <c r="G230" s="21" t="s">
        <v>30</v>
      </c>
      <c r="H230" s="21" t="s">
        <v>26</v>
      </c>
      <c r="M230" s="19" t="n">
        <f aca="false">$M$229</f>
        <v>0</v>
      </c>
      <c r="Q230" s="19" t="n">
        <f aca="false">IF(N(E241)&gt;0,1,0)</f>
        <v>0</v>
      </c>
      <c r="S230" s="0" t="n">
        <v>17</v>
      </c>
    </row>
    <row r="231" customFormat="false" ht="15" hidden="false" customHeight="false" outlineLevel="0" collapsed="false">
      <c r="A231" s="22" t="n">
        <f aca="false">IF(17&lt;=NW,WEEK_ONE+112,"")</f>
        <v>46130</v>
      </c>
      <c r="B231" s="23" t="str">
        <f aca="false">IF(A231="","",CHOOSE(WEEKDAY(A231,1),"الأحد","الاثنين","الثلاثاء","الأربعاء","الخميس","الجمعة","السبت"))</f>
        <v>السبت</v>
      </c>
      <c r="C231" s="24"/>
      <c r="D231" s="24"/>
      <c r="E231" s="25" t="str">
        <f aca="false">IF(OR(M231=0,K231="",L231=""),"",MOD(L231-K231,1))</f>
        <v/>
      </c>
      <c r="F231" s="26" t="str">
        <f aca="false">IF(OR(E231="",M231=0),"",IF(ROUND_MODE="للأعلى",CEILING(ROUND((E231*24*$N$229),3),0.25),ROUND((E231*24*$N$229)*4,0)/4))</f>
        <v/>
      </c>
      <c r="G231" s="24"/>
      <c r="H231" s="27"/>
      <c r="K231" s="28" t="str">
        <f aca="false">IF(OR(M231=0,C231=""),"",IF(ISNUMBER(C231),MOD(C231,1),IFERROR(INDEX(القوائم!$B$1:$B$288,MATCH(TRIM(C231),القوائم!$A$1:$A$288,0)),IFERROR(MOD(TIMEVALUE(C231),1),""))))</f>
        <v/>
      </c>
      <c r="L231" s="28" t="str">
        <f aca="false">IF(OR(M231=0,D231=""),"",IF(ISNUMBER(D231),MOD(D231,1),IFERROR(INDEX(القوائم!$B$1:$B$288,MATCH(TRIM(D231),القوائم!$A$1:$A$288,0)),IFERROR(MOD(TIMEVALUE(D231),1),""))))</f>
        <v/>
      </c>
      <c r="M231" s="19" t="n">
        <f aca="false">$M$229</f>
        <v>0</v>
      </c>
      <c r="Q231" s="19" t="n">
        <f aca="false">IF(N(E241)&gt;0,1,0)</f>
        <v>0</v>
      </c>
      <c r="S231" s="0" t="n">
        <v>17</v>
      </c>
    </row>
    <row r="232" customFormat="false" ht="15" hidden="false" customHeight="false" outlineLevel="0" collapsed="false">
      <c r="A232" s="22" t="n">
        <f aca="false">IF(17&lt;=NW,WEEK_ONE+113,"")</f>
        <v>46131</v>
      </c>
      <c r="B232" s="23" t="str">
        <f aca="false">IF(A232="","",CHOOSE(WEEKDAY(A232,1),"الأحد","الاثنين","الثلاثاء","الأربعاء","الخميس","الجمعة","السبت"))</f>
        <v>الأحد</v>
      </c>
      <c r="C232" s="24"/>
      <c r="D232" s="24"/>
      <c r="E232" s="25" t="str">
        <f aca="false">IF(OR(M232=0,K232="",L232=""),"",MOD(L232-K232,1))</f>
        <v/>
      </c>
      <c r="F232" s="26" t="str">
        <f aca="false">IF(OR(E232="",M232=0),"",IF(ROUND_MODE="للأعلى",CEILING(ROUND((E232*24*$N$229),3),0.25),ROUND((E232*24*$N$229)*4,0)/4))</f>
        <v/>
      </c>
      <c r="G232" s="24"/>
      <c r="H232" s="27"/>
      <c r="K232" s="28" t="str">
        <f aca="false">IF(OR(M232=0,C232=""),"",IF(ISNUMBER(C232),MOD(C232,1),IFERROR(INDEX(القوائم!$B$1:$B$288,MATCH(TRIM(C232),القوائم!$A$1:$A$288,0)),IFERROR(MOD(TIMEVALUE(C232),1),""))))</f>
        <v/>
      </c>
      <c r="L232" s="28" t="str">
        <f aca="false">IF(OR(M232=0,D232=""),"",IF(ISNUMBER(D232),MOD(D232,1),IFERROR(INDEX(القوائم!$B$1:$B$288,MATCH(TRIM(D232),القوائم!$A$1:$A$288,0)),IFERROR(MOD(TIMEVALUE(D232),1),""))))</f>
        <v/>
      </c>
      <c r="M232" s="19" t="n">
        <f aca="false">$M$229</f>
        <v>0</v>
      </c>
      <c r="Q232" s="19" t="n">
        <f aca="false">IF(N(E241)&gt;0,1,0)</f>
        <v>0</v>
      </c>
      <c r="S232" s="0" t="n">
        <v>17</v>
      </c>
    </row>
    <row r="233" customFormat="false" ht="15" hidden="false" customHeight="false" outlineLevel="0" collapsed="false">
      <c r="A233" s="22" t="n">
        <f aca="false">IF(17&lt;=NW,WEEK_ONE+114,"")</f>
        <v>46132</v>
      </c>
      <c r="B233" s="23" t="str">
        <f aca="false">IF(A233="","",CHOOSE(WEEKDAY(A233,1),"الأحد","الاثنين","الثلاثاء","الأربعاء","الخميس","الجمعة","السبت"))</f>
        <v>الاثنين</v>
      </c>
      <c r="C233" s="24"/>
      <c r="D233" s="24"/>
      <c r="E233" s="25" t="str">
        <f aca="false">IF(OR(M233=0,K233="",L233=""),"",MOD(L233-K233,1))</f>
        <v/>
      </c>
      <c r="F233" s="26" t="str">
        <f aca="false">IF(OR(E233="",M233=0),"",IF(ROUND_MODE="للأعلى",CEILING(ROUND((E233*24*$N$229),3),0.25),ROUND((E233*24*$N$229)*4,0)/4))</f>
        <v/>
      </c>
      <c r="G233" s="24"/>
      <c r="H233" s="27"/>
      <c r="K233" s="28" t="str">
        <f aca="false">IF(OR(M233=0,C233=""),"",IF(ISNUMBER(C233),MOD(C233,1),IFERROR(INDEX(القوائم!$B$1:$B$288,MATCH(TRIM(C233),القوائم!$A$1:$A$288,0)),IFERROR(MOD(TIMEVALUE(C233),1),""))))</f>
        <v/>
      </c>
      <c r="L233" s="28" t="str">
        <f aca="false">IF(OR(M233=0,D233=""),"",IF(ISNUMBER(D233),MOD(D233,1),IFERROR(INDEX(القوائم!$B$1:$B$288,MATCH(TRIM(D233),القوائم!$A$1:$A$288,0)),IFERROR(MOD(TIMEVALUE(D233),1),""))))</f>
        <v/>
      </c>
      <c r="M233" s="19" t="n">
        <f aca="false">$M$229</f>
        <v>0</v>
      </c>
      <c r="Q233" s="19" t="n">
        <f aca="false">IF(N(E241)&gt;0,1,0)</f>
        <v>0</v>
      </c>
      <c r="S233" s="0" t="n">
        <v>17</v>
      </c>
    </row>
    <row r="234" customFormat="false" ht="15" hidden="false" customHeight="false" outlineLevel="0" collapsed="false">
      <c r="A234" s="22" t="n">
        <f aca="false">IF(17&lt;=NW,WEEK_ONE+115,"")</f>
        <v>46133</v>
      </c>
      <c r="B234" s="23" t="str">
        <f aca="false">IF(A234="","",CHOOSE(WEEKDAY(A234,1),"الأحد","الاثنين","الثلاثاء","الأربعاء","الخميس","الجمعة","السبت"))</f>
        <v>الثلاثاء</v>
      </c>
      <c r="C234" s="24"/>
      <c r="D234" s="24"/>
      <c r="E234" s="25" t="str">
        <f aca="false">IF(OR(M234=0,K234="",L234=""),"",MOD(L234-K234,1))</f>
        <v/>
      </c>
      <c r="F234" s="26" t="str">
        <f aca="false">IF(OR(E234="",M234=0),"",IF(ROUND_MODE="للأعلى",CEILING(ROUND((E234*24*$N$229),3),0.25),ROUND((E234*24*$N$229)*4,0)/4))</f>
        <v/>
      </c>
      <c r="G234" s="24"/>
      <c r="H234" s="27"/>
      <c r="K234" s="28" t="str">
        <f aca="false">IF(OR(M234=0,C234=""),"",IF(ISNUMBER(C234),MOD(C234,1),IFERROR(INDEX(القوائم!$B$1:$B$288,MATCH(TRIM(C234),القوائم!$A$1:$A$288,0)),IFERROR(MOD(TIMEVALUE(C234),1),""))))</f>
        <v/>
      </c>
      <c r="L234" s="28" t="str">
        <f aca="false">IF(OR(M234=0,D234=""),"",IF(ISNUMBER(D234),MOD(D234,1),IFERROR(INDEX(القوائم!$B$1:$B$288,MATCH(TRIM(D234),القوائم!$A$1:$A$288,0)),IFERROR(MOD(TIMEVALUE(D234),1),""))))</f>
        <v/>
      </c>
      <c r="M234" s="19" t="n">
        <f aca="false">$M$229</f>
        <v>0</v>
      </c>
      <c r="Q234" s="19" t="n">
        <f aca="false">IF(N(E241)&gt;0,1,0)</f>
        <v>0</v>
      </c>
      <c r="S234" s="0" t="n">
        <v>17</v>
      </c>
    </row>
    <row r="235" customFormat="false" ht="15" hidden="false" customHeight="false" outlineLevel="0" collapsed="false">
      <c r="A235" s="22" t="n">
        <f aca="false">IF(17&lt;=NW,WEEK_ONE+116,"")</f>
        <v>46134</v>
      </c>
      <c r="B235" s="23" t="str">
        <f aca="false">IF(A235="","",CHOOSE(WEEKDAY(A235,1),"الأحد","الاثنين","الثلاثاء","الأربعاء","الخميس","الجمعة","السبت"))</f>
        <v>الأربعاء</v>
      </c>
      <c r="C235" s="24"/>
      <c r="D235" s="24"/>
      <c r="E235" s="25" t="str">
        <f aca="false">IF(OR(M235=0,K235="",L235=""),"",MOD(L235-K235,1))</f>
        <v/>
      </c>
      <c r="F235" s="26" t="str">
        <f aca="false">IF(OR(E235="",M235=0),"",IF(ROUND_MODE="للأعلى",CEILING(ROUND((E235*24*$N$229),3),0.25),ROUND((E235*24*$N$229)*4,0)/4))</f>
        <v/>
      </c>
      <c r="G235" s="24"/>
      <c r="H235" s="27"/>
      <c r="K235" s="28" t="str">
        <f aca="false">IF(OR(M235=0,C235=""),"",IF(ISNUMBER(C235),MOD(C235,1),IFERROR(INDEX(القوائم!$B$1:$B$288,MATCH(TRIM(C235),القوائم!$A$1:$A$288,0)),IFERROR(MOD(TIMEVALUE(C235),1),""))))</f>
        <v/>
      </c>
      <c r="L235" s="28" t="str">
        <f aca="false">IF(OR(M235=0,D235=""),"",IF(ISNUMBER(D235),MOD(D235,1),IFERROR(INDEX(القوائم!$B$1:$B$288,MATCH(TRIM(D235),القوائم!$A$1:$A$288,0)),IFERROR(MOD(TIMEVALUE(D235),1),""))))</f>
        <v/>
      </c>
      <c r="M235" s="19" t="n">
        <f aca="false">$M$229</f>
        <v>0</v>
      </c>
      <c r="Q235" s="19" t="n">
        <f aca="false">IF(N(E241)&gt;0,1,0)</f>
        <v>0</v>
      </c>
      <c r="S235" s="0" t="n">
        <v>17</v>
      </c>
    </row>
    <row r="236" customFormat="false" ht="15" hidden="false" customHeight="false" outlineLevel="0" collapsed="false">
      <c r="A236" s="22" t="n">
        <f aca="false">IF(17&lt;=NW,WEEK_ONE+117,"")</f>
        <v>46135</v>
      </c>
      <c r="B236" s="23" t="str">
        <f aca="false">IF(A236="","",CHOOSE(WEEKDAY(A236,1),"الأحد","الاثنين","الثلاثاء","الأربعاء","الخميس","الجمعة","السبت"))</f>
        <v>الخميس</v>
      </c>
      <c r="C236" s="24"/>
      <c r="D236" s="24"/>
      <c r="E236" s="25" t="str">
        <f aca="false">IF(OR(M236=0,K236="",L236=""),"",MOD(L236-K236,1))</f>
        <v/>
      </c>
      <c r="F236" s="26" t="str">
        <f aca="false">IF(OR(E236="",M236=0),"",IF(ROUND_MODE="للأعلى",CEILING(ROUND((E236*24*$N$229),3),0.25),ROUND((E236*24*$N$229)*4,0)/4))</f>
        <v/>
      </c>
      <c r="G236" s="24"/>
      <c r="H236" s="27"/>
      <c r="K236" s="28" t="str">
        <f aca="false">IF(OR(M236=0,C236=""),"",IF(ISNUMBER(C236),MOD(C236,1),IFERROR(INDEX(القوائم!$B$1:$B$288,MATCH(TRIM(C236),القوائم!$A$1:$A$288,0)),IFERROR(MOD(TIMEVALUE(C236),1),""))))</f>
        <v/>
      </c>
      <c r="L236" s="28" t="str">
        <f aca="false">IF(OR(M236=0,D236=""),"",IF(ISNUMBER(D236),MOD(D236,1),IFERROR(INDEX(القوائم!$B$1:$B$288,MATCH(TRIM(D236),القوائم!$A$1:$A$288,0)),IFERROR(MOD(TIMEVALUE(D236),1),""))))</f>
        <v/>
      </c>
      <c r="M236" s="19" t="n">
        <f aca="false">$M$229</f>
        <v>0</v>
      </c>
      <c r="Q236" s="19" t="n">
        <f aca="false">IF(N(E241)&gt;0,1,0)</f>
        <v>0</v>
      </c>
      <c r="S236" s="0" t="n">
        <v>17</v>
      </c>
    </row>
    <row r="237" customFormat="false" ht="15" hidden="false" customHeight="false" outlineLevel="0" collapsed="false">
      <c r="A237" s="29" t="n">
        <f aca="false">IF(17&lt;=NW,WEEK_ONE+118,"")</f>
        <v>46136</v>
      </c>
      <c r="B237" s="30" t="str">
        <f aca="false">IF(A237="","",CHOOSE(WEEKDAY(A237,1),"الأحد","الاثنين","الثلاثاء","الأربعاء","الخميس","الجمعة","السبت"))</f>
        <v>الجمعة</v>
      </c>
      <c r="C237" s="24"/>
      <c r="D237" s="24"/>
      <c r="E237" s="25" t="str">
        <f aca="false">IF(OR(M237=0,K237="",L237=""),"",MOD(L237-K237,1))</f>
        <v/>
      </c>
      <c r="F237" s="26" t="str">
        <f aca="false">IF(OR(E237="",M237=0),"",IF(ROUND_MODE="للأعلى",CEILING(ROUND((E237*24*$N$229),3),0.25),ROUND((E237*24*$N$229)*4,0)/4))</f>
        <v/>
      </c>
      <c r="G237" s="24"/>
      <c r="H237" s="27"/>
      <c r="K237" s="28" t="str">
        <f aca="false">IF(OR(M237=0,C237=""),"",IF(ISNUMBER(C237),MOD(C237,1),IFERROR(INDEX(القوائم!$B$1:$B$288,MATCH(TRIM(C237),القوائم!$A$1:$A$288,0)),IFERROR(MOD(TIMEVALUE(C237),1),""))))</f>
        <v/>
      </c>
      <c r="L237" s="28" t="str">
        <f aca="false">IF(OR(M237=0,D237=""),"",IF(ISNUMBER(D237),MOD(D237,1),IFERROR(INDEX(القوائم!$B$1:$B$288,MATCH(TRIM(D237),القوائم!$A$1:$A$288,0)),IFERROR(MOD(TIMEVALUE(D237),1),""))))</f>
        <v/>
      </c>
      <c r="M237" s="19" t="n">
        <f aca="false">$M$229</f>
        <v>0</v>
      </c>
      <c r="Q237" s="19" t="n">
        <f aca="false">IF(N(E241)&gt;0,1,0)</f>
        <v>0</v>
      </c>
      <c r="S237" s="0" t="n">
        <v>17</v>
      </c>
    </row>
    <row r="238" customFormat="false" ht="15" hidden="false" customHeight="false" outlineLevel="0" collapsed="false">
      <c r="A238" s="31" t="str">
        <f aca="false">IF(M229=1,"ساعات تحميل الجبسمبورد بهالأسبوع ←","")</f>
        <v/>
      </c>
      <c r="B238" s="31"/>
      <c r="C238" s="31"/>
      <c r="D238" s="31"/>
      <c r="E238" s="32"/>
      <c r="F238" s="33" t="str">
        <f aca="false">IF(M229=1,"كل ساعة تحميل = "&amp;TEXT($P$229,"0.000")&amp;" دينار (منها "&amp;TEXT($N$229,"0.000")&amp;" محسوبة أصلاً بساعات اليوم)","")</f>
        <v/>
      </c>
      <c r="G238" s="33"/>
      <c r="H238" s="33"/>
      <c r="M238" s="19" t="n">
        <f aca="false">$M$229</f>
        <v>0</v>
      </c>
      <c r="Q238" s="19" t="n">
        <f aca="false">IF(N(E241)&gt;0,1,0)</f>
        <v>0</v>
      </c>
      <c r="S238" s="0" t="n">
        <v>17</v>
      </c>
    </row>
    <row r="239" customFormat="false" ht="15" hidden="false" customHeight="false" outlineLevel="0" collapsed="false">
      <c r="A239" s="31" t="str">
        <f aca="false">IF(M229=1,"إكرامية الأسبوع (دينار) ←","")</f>
        <v/>
      </c>
      <c r="B239" s="31"/>
      <c r="C239" s="31"/>
      <c r="D239" s="31"/>
      <c r="E239" s="34"/>
      <c r="F239" s="35"/>
      <c r="G239" s="35"/>
      <c r="H239" s="35"/>
      <c r="M239" s="19" t="n">
        <f aca="false">$M$229</f>
        <v>0</v>
      </c>
      <c r="Q239" s="19" t="n">
        <f aca="false">IF(N(E241)&gt;0,1,0)</f>
        <v>0</v>
      </c>
      <c r="S239" s="0" t="n">
        <v>17</v>
      </c>
    </row>
    <row r="240" customFormat="false" ht="36" hidden="false" customHeight="true" outlineLevel="0" collapsed="false">
      <c r="A240" s="36" t="str">
        <f aca="false">IF(M229=1,"المستحق النهائي للأسبوع","")</f>
        <v/>
      </c>
      <c r="B240" s="36"/>
      <c r="C240" s="36"/>
      <c r="D240" s="36"/>
      <c r="E240" s="36"/>
      <c r="F240" s="11" t="str">
        <f aca="false">IF(M229=1,ROUND(N($V$229)+N(E238)*($P$229-$N$229)+N(E239),3),"")</f>
        <v/>
      </c>
      <c r="G240" s="35"/>
      <c r="H240" s="35"/>
      <c r="M240" s="19" t="n">
        <f aca="false">$M$229</f>
        <v>0</v>
      </c>
      <c r="Q240" s="19" t="n">
        <f aca="false">IF(N(E241)&gt;0,1,0)</f>
        <v>0</v>
      </c>
      <c r="S240" s="0" t="n">
        <v>17</v>
      </c>
      <c r="T240" s="0" t="n">
        <v>1</v>
      </c>
    </row>
    <row r="241" customFormat="false" ht="25.5" hidden="false" customHeight="true" outlineLevel="0" collapsed="false">
      <c r="A241" s="31" t="str">
        <f aca="false">IF(M229=1,"المدفوع (دينار) ←","")</f>
        <v/>
      </c>
      <c r="B241" s="31"/>
      <c r="C241" s="31"/>
      <c r="D241" s="31"/>
      <c r="E241" s="34"/>
      <c r="F241" s="38" t="str">
        <f aca="false">IF(M229=1,IF(N(E241)&gt;0,"✔ انقبض — الأسبوع مقفول","⏳ لسا ما انقبض"),"")</f>
        <v/>
      </c>
      <c r="G241" s="38"/>
      <c r="H241" s="38"/>
      <c r="M241" s="19" t="n">
        <f aca="false">$M$229</f>
        <v>0</v>
      </c>
      <c r="Q241" s="19" t="n">
        <f aca="false">IF(N(E241)&gt;0,1,0)</f>
        <v>0</v>
      </c>
      <c r="S241" s="0" t="n">
        <v>17</v>
      </c>
    </row>
    <row r="242" customFormat="false" ht="9.75" hidden="false" customHeight="true" outlineLevel="0" collapsed="false">
      <c r="M242" s="19" t="n">
        <f aca="false">$M$229</f>
        <v>0</v>
      </c>
      <c r="Q242" s="19" t="n">
        <f aca="false">IF(N(E241)&gt;0,1,0)</f>
        <v>0</v>
      </c>
      <c r="S242" s="0" t="n">
        <v>17</v>
      </c>
      <c r="T242" s="0" t="n">
        <v>2</v>
      </c>
    </row>
    <row r="243" customFormat="false" ht="33.75" hidden="false" customHeight="true" outlineLevel="0" collapsed="false">
      <c r="A243" s="17" t="str">
        <f aca="false">IF(18&lt;=NW,TEXT(DAY(WEEK_ONE+119),"00")&amp;"/"&amp;TEXT(MONTH(WEEK_ONE+119),"00")&amp;"/"&amp;YEAR(WEEK_ONE+119)&amp;"  -  "&amp;TEXT(DAY(WEEK_ONE+125),"00")&amp;"/"&amp;TEXT(MONTH(WEEK_ONE+125),"00")&amp;"/"&amp;YEAR(WEEK_ONE+125)&amp;"   ·   الأسبوع 18"&amp;IF(18&lt;START_Z,"   (قبل أسبوع البداية — ما بينحسب)",""),"ما في أسبوع 18 هالسنة")</f>
        <v>25/04/2026  -  01/05/2026   ·   الأسبوع 18   (قبل أسبوع البداية — ما بينحسب)</v>
      </c>
      <c r="B243" s="17"/>
      <c r="C243" s="17"/>
      <c r="D243" s="17"/>
      <c r="E243" s="17"/>
      <c r="F243" s="17"/>
      <c r="G243" s="17"/>
      <c r="H243" s="17"/>
      <c r="L243" s="18" t="n">
        <f aca="false">IF(18&lt;=NW,WEEK_ONE+125,"")</f>
        <v>46143</v>
      </c>
      <c r="M243" s="19" t="n">
        <f aca="false">IF(AND(18&lt;=NW,18&gt;=START_Z),1,0)</f>
        <v>0</v>
      </c>
      <c r="N243" s="20" t="n">
        <f aca="false">IFERROR(INDEX(RT_AZZ,MATCH(L243,RT_K,1)),INDEX(RT_AZZ,1))</f>
        <v>1</v>
      </c>
      <c r="P243" s="20" t="n">
        <f aca="false">IFERROR(INDEX(RT_GYP,MATCH(L243,RT_K,1)),INDEX(RT_GYP,1))</f>
        <v>2.5</v>
      </c>
      <c r="Q243" s="19" t="n">
        <f aca="false">IF(N(E255)&gt;0,1,0)</f>
        <v>0</v>
      </c>
      <c r="R243" s="0" t="n">
        <v>18</v>
      </c>
      <c r="S243" s="0" t="n">
        <v>18</v>
      </c>
      <c r="U243" s="19" t="n">
        <f aca="false">IF(M243=1,SUM(E245:E251),0)</f>
        <v>0</v>
      </c>
      <c r="V243" s="19" t="n">
        <f aca="false">SUM(F245:F251)</f>
        <v>0</v>
      </c>
      <c r="W243" s="19" t="n">
        <f aca="false">IF(M243=1,SUMIFS(F245:F251,G245:G251,"نعم"),0)</f>
        <v>0</v>
      </c>
    </row>
    <row r="244" customFormat="false" ht="39.75" hidden="false" customHeight="true" outlineLevel="0" collapsed="false">
      <c r="A244" s="21" t="s">
        <v>18</v>
      </c>
      <c r="B244" s="21" t="s">
        <v>19</v>
      </c>
      <c r="C244" s="21" t="s">
        <v>20</v>
      </c>
      <c r="D244" s="21" t="s">
        <v>21</v>
      </c>
      <c r="E244" s="21" t="s">
        <v>22</v>
      </c>
      <c r="F244" s="21" t="s">
        <v>29</v>
      </c>
      <c r="G244" s="21" t="s">
        <v>30</v>
      </c>
      <c r="H244" s="21" t="s">
        <v>26</v>
      </c>
      <c r="M244" s="19" t="n">
        <f aca="false">$M$243</f>
        <v>0</v>
      </c>
      <c r="Q244" s="19" t="n">
        <f aca="false">IF(N(E255)&gt;0,1,0)</f>
        <v>0</v>
      </c>
      <c r="S244" s="0" t="n">
        <v>18</v>
      </c>
    </row>
    <row r="245" customFormat="false" ht="15" hidden="false" customHeight="false" outlineLevel="0" collapsed="false">
      <c r="A245" s="22" t="n">
        <f aca="false">IF(18&lt;=NW,WEEK_ONE+119,"")</f>
        <v>46137</v>
      </c>
      <c r="B245" s="23" t="str">
        <f aca="false">IF(A245="","",CHOOSE(WEEKDAY(A245,1),"الأحد","الاثنين","الثلاثاء","الأربعاء","الخميس","الجمعة","السبت"))</f>
        <v>السبت</v>
      </c>
      <c r="C245" s="24"/>
      <c r="D245" s="24"/>
      <c r="E245" s="25" t="str">
        <f aca="false">IF(OR(M245=0,K245="",L245=""),"",MOD(L245-K245,1))</f>
        <v/>
      </c>
      <c r="F245" s="26" t="str">
        <f aca="false">IF(OR(E245="",M245=0),"",IF(ROUND_MODE="للأعلى",CEILING(ROUND((E245*24*$N$243),3),0.25),ROUND((E245*24*$N$243)*4,0)/4))</f>
        <v/>
      </c>
      <c r="G245" s="24"/>
      <c r="H245" s="27"/>
      <c r="K245" s="28" t="str">
        <f aca="false">IF(OR(M245=0,C245=""),"",IF(ISNUMBER(C245),MOD(C245,1),IFERROR(INDEX(القوائم!$B$1:$B$288,MATCH(TRIM(C245),القوائم!$A$1:$A$288,0)),IFERROR(MOD(TIMEVALUE(C245),1),""))))</f>
        <v/>
      </c>
      <c r="L245" s="28" t="str">
        <f aca="false">IF(OR(M245=0,D245=""),"",IF(ISNUMBER(D245),MOD(D245,1),IFERROR(INDEX(القوائم!$B$1:$B$288,MATCH(TRIM(D245),القوائم!$A$1:$A$288,0)),IFERROR(MOD(TIMEVALUE(D245),1),""))))</f>
        <v/>
      </c>
      <c r="M245" s="19" t="n">
        <f aca="false">$M$243</f>
        <v>0</v>
      </c>
      <c r="Q245" s="19" t="n">
        <f aca="false">IF(N(E255)&gt;0,1,0)</f>
        <v>0</v>
      </c>
      <c r="S245" s="0" t="n">
        <v>18</v>
      </c>
    </row>
    <row r="246" customFormat="false" ht="15" hidden="false" customHeight="false" outlineLevel="0" collapsed="false">
      <c r="A246" s="22" t="n">
        <f aca="false">IF(18&lt;=NW,WEEK_ONE+120,"")</f>
        <v>46138</v>
      </c>
      <c r="B246" s="23" t="str">
        <f aca="false">IF(A246="","",CHOOSE(WEEKDAY(A246,1),"الأحد","الاثنين","الثلاثاء","الأربعاء","الخميس","الجمعة","السبت"))</f>
        <v>الأحد</v>
      </c>
      <c r="C246" s="24"/>
      <c r="D246" s="24"/>
      <c r="E246" s="25" t="str">
        <f aca="false">IF(OR(M246=0,K246="",L246=""),"",MOD(L246-K246,1))</f>
        <v/>
      </c>
      <c r="F246" s="26" t="str">
        <f aca="false">IF(OR(E246="",M246=0),"",IF(ROUND_MODE="للأعلى",CEILING(ROUND((E246*24*$N$243),3),0.25),ROUND((E246*24*$N$243)*4,0)/4))</f>
        <v/>
      </c>
      <c r="G246" s="24"/>
      <c r="H246" s="27"/>
      <c r="K246" s="28" t="str">
        <f aca="false">IF(OR(M246=0,C246=""),"",IF(ISNUMBER(C246),MOD(C246,1),IFERROR(INDEX(القوائم!$B$1:$B$288,MATCH(TRIM(C246),القوائم!$A$1:$A$288,0)),IFERROR(MOD(TIMEVALUE(C246),1),""))))</f>
        <v/>
      </c>
      <c r="L246" s="28" t="str">
        <f aca="false">IF(OR(M246=0,D246=""),"",IF(ISNUMBER(D246),MOD(D246,1),IFERROR(INDEX(القوائم!$B$1:$B$288,MATCH(TRIM(D246),القوائم!$A$1:$A$288,0)),IFERROR(MOD(TIMEVALUE(D246),1),""))))</f>
        <v/>
      </c>
      <c r="M246" s="19" t="n">
        <f aca="false">$M$243</f>
        <v>0</v>
      </c>
      <c r="Q246" s="19" t="n">
        <f aca="false">IF(N(E255)&gt;0,1,0)</f>
        <v>0</v>
      </c>
      <c r="S246" s="0" t="n">
        <v>18</v>
      </c>
    </row>
    <row r="247" customFormat="false" ht="15" hidden="false" customHeight="false" outlineLevel="0" collapsed="false">
      <c r="A247" s="22" t="n">
        <f aca="false">IF(18&lt;=NW,WEEK_ONE+121,"")</f>
        <v>46139</v>
      </c>
      <c r="B247" s="23" t="str">
        <f aca="false">IF(A247="","",CHOOSE(WEEKDAY(A247,1),"الأحد","الاثنين","الثلاثاء","الأربعاء","الخميس","الجمعة","السبت"))</f>
        <v>الاثنين</v>
      </c>
      <c r="C247" s="24"/>
      <c r="D247" s="24"/>
      <c r="E247" s="25" t="str">
        <f aca="false">IF(OR(M247=0,K247="",L247=""),"",MOD(L247-K247,1))</f>
        <v/>
      </c>
      <c r="F247" s="26" t="str">
        <f aca="false">IF(OR(E247="",M247=0),"",IF(ROUND_MODE="للأعلى",CEILING(ROUND((E247*24*$N$243),3),0.25),ROUND((E247*24*$N$243)*4,0)/4))</f>
        <v/>
      </c>
      <c r="G247" s="24"/>
      <c r="H247" s="27"/>
      <c r="K247" s="28" t="str">
        <f aca="false">IF(OR(M247=0,C247=""),"",IF(ISNUMBER(C247),MOD(C247,1),IFERROR(INDEX(القوائم!$B$1:$B$288,MATCH(TRIM(C247),القوائم!$A$1:$A$288,0)),IFERROR(MOD(TIMEVALUE(C247),1),""))))</f>
        <v/>
      </c>
      <c r="L247" s="28" t="str">
        <f aca="false">IF(OR(M247=0,D247=""),"",IF(ISNUMBER(D247),MOD(D247,1),IFERROR(INDEX(القوائم!$B$1:$B$288,MATCH(TRIM(D247),القوائم!$A$1:$A$288,0)),IFERROR(MOD(TIMEVALUE(D247),1),""))))</f>
        <v/>
      </c>
      <c r="M247" s="19" t="n">
        <f aca="false">$M$243</f>
        <v>0</v>
      </c>
      <c r="Q247" s="19" t="n">
        <f aca="false">IF(N(E255)&gt;0,1,0)</f>
        <v>0</v>
      </c>
      <c r="S247" s="0" t="n">
        <v>18</v>
      </c>
    </row>
    <row r="248" customFormat="false" ht="15" hidden="false" customHeight="false" outlineLevel="0" collapsed="false">
      <c r="A248" s="22" t="n">
        <f aca="false">IF(18&lt;=NW,WEEK_ONE+122,"")</f>
        <v>46140</v>
      </c>
      <c r="B248" s="23" t="str">
        <f aca="false">IF(A248="","",CHOOSE(WEEKDAY(A248,1),"الأحد","الاثنين","الثلاثاء","الأربعاء","الخميس","الجمعة","السبت"))</f>
        <v>الثلاثاء</v>
      </c>
      <c r="C248" s="24"/>
      <c r="D248" s="24"/>
      <c r="E248" s="25" t="str">
        <f aca="false">IF(OR(M248=0,K248="",L248=""),"",MOD(L248-K248,1))</f>
        <v/>
      </c>
      <c r="F248" s="26" t="str">
        <f aca="false">IF(OR(E248="",M248=0),"",IF(ROUND_MODE="للأعلى",CEILING(ROUND((E248*24*$N$243),3),0.25),ROUND((E248*24*$N$243)*4,0)/4))</f>
        <v/>
      </c>
      <c r="G248" s="24"/>
      <c r="H248" s="27"/>
      <c r="K248" s="28" t="str">
        <f aca="false">IF(OR(M248=0,C248=""),"",IF(ISNUMBER(C248),MOD(C248,1),IFERROR(INDEX(القوائم!$B$1:$B$288,MATCH(TRIM(C248),القوائم!$A$1:$A$288,0)),IFERROR(MOD(TIMEVALUE(C248),1),""))))</f>
        <v/>
      </c>
      <c r="L248" s="28" t="str">
        <f aca="false">IF(OR(M248=0,D248=""),"",IF(ISNUMBER(D248),MOD(D248,1),IFERROR(INDEX(القوائم!$B$1:$B$288,MATCH(TRIM(D248),القوائم!$A$1:$A$288,0)),IFERROR(MOD(TIMEVALUE(D248),1),""))))</f>
        <v/>
      </c>
      <c r="M248" s="19" t="n">
        <f aca="false">$M$243</f>
        <v>0</v>
      </c>
      <c r="Q248" s="19" t="n">
        <f aca="false">IF(N(E255)&gt;0,1,0)</f>
        <v>0</v>
      </c>
      <c r="S248" s="0" t="n">
        <v>18</v>
      </c>
    </row>
    <row r="249" customFormat="false" ht="15" hidden="false" customHeight="false" outlineLevel="0" collapsed="false">
      <c r="A249" s="22" t="n">
        <f aca="false">IF(18&lt;=NW,WEEK_ONE+123,"")</f>
        <v>46141</v>
      </c>
      <c r="B249" s="23" t="str">
        <f aca="false">IF(A249="","",CHOOSE(WEEKDAY(A249,1),"الأحد","الاثنين","الثلاثاء","الأربعاء","الخميس","الجمعة","السبت"))</f>
        <v>الأربعاء</v>
      </c>
      <c r="C249" s="24"/>
      <c r="D249" s="24"/>
      <c r="E249" s="25" t="str">
        <f aca="false">IF(OR(M249=0,K249="",L249=""),"",MOD(L249-K249,1))</f>
        <v/>
      </c>
      <c r="F249" s="26" t="str">
        <f aca="false">IF(OR(E249="",M249=0),"",IF(ROUND_MODE="للأعلى",CEILING(ROUND((E249*24*$N$243),3),0.25),ROUND((E249*24*$N$243)*4,0)/4))</f>
        <v/>
      </c>
      <c r="G249" s="24"/>
      <c r="H249" s="27"/>
      <c r="K249" s="28" t="str">
        <f aca="false">IF(OR(M249=0,C249=""),"",IF(ISNUMBER(C249),MOD(C249,1),IFERROR(INDEX(القوائم!$B$1:$B$288,MATCH(TRIM(C249),القوائم!$A$1:$A$288,0)),IFERROR(MOD(TIMEVALUE(C249),1),""))))</f>
        <v/>
      </c>
      <c r="L249" s="28" t="str">
        <f aca="false">IF(OR(M249=0,D249=""),"",IF(ISNUMBER(D249),MOD(D249,1),IFERROR(INDEX(القوائم!$B$1:$B$288,MATCH(TRIM(D249),القوائم!$A$1:$A$288,0)),IFERROR(MOD(TIMEVALUE(D249),1),""))))</f>
        <v/>
      </c>
      <c r="M249" s="19" t="n">
        <f aca="false">$M$243</f>
        <v>0</v>
      </c>
      <c r="Q249" s="19" t="n">
        <f aca="false">IF(N(E255)&gt;0,1,0)</f>
        <v>0</v>
      </c>
      <c r="S249" s="0" t="n">
        <v>18</v>
      </c>
    </row>
    <row r="250" customFormat="false" ht="15" hidden="false" customHeight="false" outlineLevel="0" collapsed="false">
      <c r="A250" s="22" t="n">
        <f aca="false">IF(18&lt;=NW,WEEK_ONE+124,"")</f>
        <v>46142</v>
      </c>
      <c r="B250" s="23" t="str">
        <f aca="false">IF(A250="","",CHOOSE(WEEKDAY(A250,1),"الأحد","الاثنين","الثلاثاء","الأربعاء","الخميس","الجمعة","السبت"))</f>
        <v>الخميس</v>
      </c>
      <c r="C250" s="24"/>
      <c r="D250" s="24"/>
      <c r="E250" s="25" t="str">
        <f aca="false">IF(OR(M250=0,K250="",L250=""),"",MOD(L250-K250,1))</f>
        <v/>
      </c>
      <c r="F250" s="26" t="str">
        <f aca="false">IF(OR(E250="",M250=0),"",IF(ROUND_MODE="للأعلى",CEILING(ROUND((E250*24*$N$243),3),0.25),ROUND((E250*24*$N$243)*4,0)/4))</f>
        <v/>
      </c>
      <c r="G250" s="24"/>
      <c r="H250" s="27"/>
      <c r="K250" s="28" t="str">
        <f aca="false">IF(OR(M250=0,C250=""),"",IF(ISNUMBER(C250),MOD(C250,1),IFERROR(INDEX(القوائم!$B$1:$B$288,MATCH(TRIM(C250),القوائم!$A$1:$A$288,0)),IFERROR(MOD(TIMEVALUE(C250),1),""))))</f>
        <v/>
      </c>
      <c r="L250" s="28" t="str">
        <f aca="false">IF(OR(M250=0,D250=""),"",IF(ISNUMBER(D250),MOD(D250,1),IFERROR(INDEX(القوائم!$B$1:$B$288,MATCH(TRIM(D250),القوائم!$A$1:$A$288,0)),IFERROR(MOD(TIMEVALUE(D250),1),""))))</f>
        <v/>
      </c>
      <c r="M250" s="19" t="n">
        <f aca="false">$M$243</f>
        <v>0</v>
      </c>
      <c r="Q250" s="19" t="n">
        <f aca="false">IF(N(E255)&gt;0,1,0)</f>
        <v>0</v>
      </c>
      <c r="S250" s="0" t="n">
        <v>18</v>
      </c>
    </row>
    <row r="251" customFormat="false" ht="15" hidden="false" customHeight="false" outlineLevel="0" collapsed="false">
      <c r="A251" s="29" t="n">
        <f aca="false">IF(18&lt;=NW,WEEK_ONE+125,"")</f>
        <v>46143</v>
      </c>
      <c r="B251" s="30" t="str">
        <f aca="false">IF(A251="","",CHOOSE(WEEKDAY(A251,1),"الأحد","الاثنين","الثلاثاء","الأربعاء","الخميس","الجمعة","السبت"))</f>
        <v>الجمعة</v>
      </c>
      <c r="C251" s="24"/>
      <c r="D251" s="24"/>
      <c r="E251" s="25" t="str">
        <f aca="false">IF(OR(M251=0,K251="",L251=""),"",MOD(L251-K251,1))</f>
        <v/>
      </c>
      <c r="F251" s="26" t="str">
        <f aca="false">IF(OR(E251="",M251=0),"",IF(ROUND_MODE="للأعلى",CEILING(ROUND((E251*24*$N$243),3),0.25),ROUND((E251*24*$N$243)*4,0)/4))</f>
        <v/>
      </c>
      <c r="G251" s="24"/>
      <c r="H251" s="27"/>
      <c r="K251" s="28" t="str">
        <f aca="false">IF(OR(M251=0,C251=""),"",IF(ISNUMBER(C251),MOD(C251,1),IFERROR(INDEX(القوائم!$B$1:$B$288,MATCH(TRIM(C251),القوائم!$A$1:$A$288,0)),IFERROR(MOD(TIMEVALUE(C251),1),""))))</f>
        <v/>
      </c>
      <c r="L251" s="28" t="str">
        <f aca="false">IF(OR(M251=0,D251=""),"",IF(ISNUMBER(D251),MOD(D251,1),IFERROR(INDEX(القوائم!$B$1:$B$288,MATCH(TRIM(D251),القوائم!$A$1:$A$288,0)),IFERROR(MOD(TIMEVALUE(D251),1),""))))</f>
        <v/>
      </c>
      <c r="M251" s="19" t="n">
        <f aca="false">$M$243</f>
        <v>0</v>
      </c>
      <c r="Q251" s="19" t="n">
        <f aca="false">IF(N(E255)&gt;0,1,0)</f>
        <v>0</v>
      </c>
      <c r="S251" s="0" t="n">
        <v>18</v>
      </c>
    </row>
    <row r="252" customFormat="false" ht="15" hidden="false" customHeight="false" outlineLevel="0" collapsed="false">
      <c r="A252" s="31" t="str">
        <f aca="false">IF(M243=1,"ساعات تحميل الجبسمبورد بهالأسبوع ←","")</f>
        <v/>
      </c>
      <c r="B252" s="31"/>
      <c r="C252" s="31"/>
      <c r="D252" s="31"/>
      <c r="E252" s="32"/>
      <c r="F252" s="33" t="str">
        <f aca="false">IF(M243=1,"كل ساعة تحميل = "&amp;TEXT($P$243,"0.000")&amp;" دينار (منها "&amp;TEXT($N$243,"0.000")&amp;" محسوبة أصلاً بساعات اليوم)","")</f>
        <v/>
      </c>
      <c r="G252" s="33"/>
      <c r="H252" s="33"/>
      <c r="M252" s="19" t="n">
        <f aca="false">$M$243</f>
        <v>0</v>
      </c>
      <c r="Q252" s="19" t="n">
        <f aca="false">IF(N(E255)&gt;0,1,0)</f>
        <v>0</v>
      </c>
      <c r="S252" s="0" t="n">
        <v>18</v>
      </c>
    </row>
    <row r="253" customFormat="false" ht="15" hidden="false" customHeight="false" outlineLevel="0" collapsed="false">
      <c r="A253" s="31" t="str">
        <f aca="false">IF(M243=1,"إكرامية الأسبوع (دينار) ←","")</f>
        <v/>
      </c>
      <c r="B253" s="31"/>
      <c r="C253" s="31"/>
      <c r="D253" s="31"/>
      <c r="E253" s="34"/>
      <c r="F253" s="35"/>
      <c r="G253" s="35"/>
      <c r="H253" s="35"/>
      <c r="M253" s="19" t="n">
        <f aca="false">$M$243</f>
        <v>0</v>
      </c>
      <c r="Q253" s="19" t="n">
        <f aca="false">IF(N(E255)&gt;0,1,0)</f>
        <v>0</v>
      </c>
      <c r="S253" s="0" t="n">
        <v>18</v>
      </c>
    </row>
    <row r="254" customFormat="false" ht="36" hidden="false" customHeight="true" outlineLevel="0" collapsed="false">
      <c r="A254" s="36" t="str">
        <f aca="false">IF(M243=1,"المستحق النهائي للأسبوع","")</f>
        <v/>
      </c>
      <c r="B254" s="36"/>
      <c r="C254" s="36"/>
      <c r="D254" s="36"/>
      <c r="E254" s="36"/>
      <c r="F254" s="11" t="str">
        <f aca="false">IF(M243=1,ROUND(N($V$243)+N(E252)*($P$243-$N$243)+N(E253),3),"")</f>
        <v/>
      </c>
      <c r="G254" s="35"/>
      <c r="H254" s="35"/>
      <c r="M254" s="19" t="n">
        <f aca="false">$M$243</f>
        <v>0</v>
      </c>
      <c r="Q254" s="19" t="n">
        <f aca="false">IF(N(E255)&gt;0,1,0)</f>
        <v>0</v>
      </c>
      <c r="S254" s="0" t="n">
        <v>18</v>
      </c>
      <c r="T254" s="0" t="n">
        <v>1</v>
      </c>
    </row>
    <row r="255" customFormat="false" ht="25.5" hidden="false" customHeight="true" outlineLevel="0" collapsed="false">
      <c r="A255" s="31" t="str">
        <f aca="false">IF(M243=1,"المدفوع (دينار) ←","")</f>
        <v/>
      </c>
      <c r="B255" s="31"/>
      <c r="C255" s="31"/>
      <c r="D255" s="31"/>
      <c r="E255" s="34"/>
      <c r="F255" s="38" t="str">
        <f aca="false">IF(M243=1,IF(N(E255)&gt;0,"✔ انقبض — الأسبوع مقفول","⏳ لسا ما انقبض"),"")</f>
        <v/>
      </c>
      <c r="G255" s="38"/>
      <c r="H255" s="38"/>
      <c r="M255" s="19" t="n">
        <f aca="false">$M$243</f>
        <v>0</v>
      </c>
      <c r="Q255" s="19" t="n">
        <f aca="false">IF(N(E255)&gt;0,1,0)</f>
        <v>0</v>
      </c>
      <c r="S255" s="0" t="n">
        <v>18</v>
      </c>
    </row>
    <row r="256" customFormat="false" ht="9.75" hidden="false" customHeight="true" outlineLevel="0" collapsed="false">
      <c r="M256" s="19" t="n">
        <f aca="false">$M$243</f>
        <v>0</v>
      </c>
      <c r="Q256" s="19" t="n">
        <f aca="false">IF(N(E255)&gt;0,1,0)</f>
        <v>0</v>
      </c>
      <c r="S256" s="0" t="n">
        <v>18</v>
      </c>
      <c r="T256" s="0" t="n">
        <v>2</v>
      </c>
    </row>
    <row r="257" customFormat="false" ht="33.75" hidden="false" customHeight="true" outlineLevel="0" collapsed="false">
      <c r="A257" s="17" t="str">
        <f aca="false">IF(19&lt;=NW,TEXT(DAY(WEEK_ONE+126),"00")&amp;"/"&amp;TEXT(MONTH(WEEK_ONE+126),"00")&amp;"/"&amp;YEAR(WEEK_ONE+126)&amp;"  -  "&amp;TEXT(DAY(WEEK_ONE+132),"00")&amp;"/"&amp;TEXT(MONTH(WEEK_ONE+132),"00")&amp;"/"&amp;YEAR(WEEK_ONE+132)&amp;"   ·   الأسبوع 19"&amp;IF(19&lt;START_Z,"   (قبل أسبوع البداية — ما بينحسب)",""),"ما في أسبوع 19 هالسنة")</f>
        <v>02/05/2026  -  08/05/2026   ·   الأسبوع 19   (قبل أسبوع البداية — ما بينحسب)</v>
      </c>
      <c r="B257" s="17"/>
      <c r="C257" s="17"/>
      <c r="D257" s="17"/>
      <c r="E257" s="17"/>
      <c r="F257" s="17"/>
      <c r="G257" s="17"/>
      <c r="H257" s="17"/>
      <c r="L257" s="18" t="n">
        <f aca="false">IF(19&lt;=NW,WEEK_ONE+132,"")</f>
        <v>46150</v>
      </c>
      <c r="M257" s="19" t="n">
        <f aca="false">IF(AND(19&lt;=NW,19&gt;=START_Z),1,0)</f>
        <v>0</v>
      </c>
      <c r="N257" s="20" t="n">
        <f aca="false">IFERROR(INDEX(RT_AZZ,MATCH(L257,RT_K,1)),INDEX(RT_AZZ,1))</f>
        <v>1</v>
      </c>
      <c r="P257" s="20" t="n">
        <f aca="false">IFERROR(INDEX(RT_GYP,MATCH(L257,RT_K,1)),INDEX(RT_GYP,1))</f>
        <v>2.5</v>
      </c>
      <c r="Q257" s="19" t="n">
        <f aca="false">IF(N(E269)&gt;0,1,0)</f>
        <v>0</v>
      </c>
      <c r="R257" s="0" t="n">
        <v>19</v>
      </c>
      <c r="S257" s="0" t="n">
        <v>19</v>
      </c>
      <c r="U257" s="19" t="n">
        <f aca="false">IF(M257=1,SUM(E259:E265),0)</f>
        <v>0</v>
      </c>
      <c r="V257" s="19" t="n">
        <f aca="false">SUM(F259:F265)</f>
        <v>0</v>
      </c>
      <c r="W257" s="19" t="n">
        <f aca="false">IF(M257=1,SUMIFS(F259:F265,G259:G265,"نعم"),0)</f>
        <v>0</v>
      </c>
    </row>
    <row r="258" customFormat="false" ht="39.75" hidden="false" customHeight="true" outlineLevel="0" collapsed="false">
      <c r="A258" s="21" t="s">
        <v>18</v>
      </c>
      <c r="B258" s="21" t="s">
        <v>19</v>
      </c>
      <c r="C258" s="21" t="s">
        <v>20</v>
      </c>
      <c r="D258" s="21" t="s">
        <v>21</v>
      </c>
      <c r="E258" s="21" t="s">
        <v>22</v>
      </c>
      <c r="F258" s="21" t="s">
        <v>29</v>
      </c>
      <c r="G258" s="21" t="s">
        <v>30</v>
      </c>
      <c r="H258" s="21" t="s">
        <v>26</v>
      </c>
      <c r="M258" s="19" t="n">
        <f aca="false">$M$257</f>
        <v>0</v>
      </c>
      <c r="Q258" s="19" t="n">
        <f aca="false">IF(N(E269)&gt;0,1,0)</f>
        <v>0</v>
      </c>
      <c r="S258" s="0" t="n">
        <v>19</v>
      </c>
    </row>
    <row r="259" customFormat="false" ht="15" hidden="false" customHeight="false" outlineLevel="0" collapsed="false">
      <c r="A259" s="22" t="n">
        <f aca="false">IF(19&lt;=NW,WEEK_ONE+126,"")</f>
        <v>46144</v>
      </c>
      <c r="B259" s="23" t="str">
        <f aca="false">IF(A259="","",CHOOSE(WEEKDAY(A259,1),"الأحد","الاثنين","الثلاثاء","الأربعاء","الخميس","الجمعة","السبت"))</f>
        <v>السبت</v>
      </c>
      <c r="C259" s="24"/>
      <c r="D259" s="24"/>
      <c r="E259" s="25" t="str">
        <f aca="false">IF(OR(M259=0,K259="",L259=""),"",MOD(L259-K259,1))</f>
        <v/>
      </c>
      <c r="F259" s="26" t="str">
        <f aca="false">IF(OR(E259="",M259=0),"",IF(ROUND_MODE="للأعلى",CEILING(ROUND((E259*24*$N$257),3),0.25),ROUND((E259*24*$N$257)*4,0)/4))</f>
        <v/>
      </c>
      <c r="G259" s="24"/>
      <c r="H259" s="27"/>
      <c r="K259" s="28" t="str">
        <f aca="false">IF(OR(M259=0,C259=""),"",IF(ISNUMBER(C259),MOD(C259,1),IFERROR(INDEX(القوائم!$B$1:$B$288,MATCH(TRIM(C259),القوائم!$A$1:$A$288,0)),IFERROR(MOD(TIMEVALUE(C259),1),""))))</f>
        <v/>
      </c>
      <c r="L259" s="28" t="str">
        <f aca="false">IF(OR(M259=0,D259=""),"",IF(ISNUMBER(D259),MOD(D259,1),IFERROR(INDEX(القوائم!$B$1:$B$288,MATCH(TRIM(D259),القوائم!$A$1:$A$288,0)),IFERROR(MOD(TIMEVALUE(D259),1),""))))</f>
        <v/>
      </c>
      <c r="M259" s="19" t="n">
        <f aca="false">$M$257</f>
        <v>0</v>
      </c>
      <c r="Q259" s="19" t="n">
        <f aca="false">IF(N(E269)&gt;0,1,0)</f>
        <v>0</v>
      </c>
      <c r="S259" s="0" t="n">
        <v>19</v>
      </c>
    </row>
    <row r="260" customFormat="false" ht="15" hidden="false" customHeight="false" outlineLevel="0" collapsed="false">
      <c r="A260" s="22" t="n">
        <f aca="false">IF(19&lt;=NW,WEEK_ONE+127,"")</f>
        <v>46145</v>
      </c>
      <c r="B260" s="23" t="str">
        <f aca="false">IF(A260="","",CHOOSE(WEEKDAY(A260,1),"الأحد","الاثنين","الثلاثاء","الأربعاء","الخميس","الجمعة","السبت"))</f>
        <v>الأحد</v>
      </c>
      <c r="C260" s="24"/>
      <c r="D260" s="24"/>
      <c r="E260" s="25" t="str">
        <f aca="false">IF(OR(M260=0,K260="",L260=""),"",MOD(L260-K260,1))</f>
        <v/>
      </c>
      <c r="F260" s="26" t="str">
        <f aca="false">IF(OR(E260="",M260=0),"",IF(ROUND_MODE="للأعلى",CEILING(ROUND((E260*24*$N$257),3),0.25),ROUND((E260*24*$N$257)*4,0)/4))</f>
        <v/>
      </c>
      <c r="G260" s="24"/>
      <c r="H260" s="27"/>
      <c r="K260" s="28" t="str">
        <f aca="false">IF(OR(M260=0,C260=""),"",IF(ISNUMBER(C260),MOD(C260,1),IFERROR(INDEX(القوائم!$B$1:$B$288,MATCH(TRIM(C260),القوائم!$A$1:$A$288,0)),IFERROR(MOD(TIMEVALUE(C260),1),""))))</f>
        <v/>
      </c>
      <c r="L260" s="28" t="str">
        <f aca="false">IF(OR(M260=0,D260=""),"",IF(ISNUMBER(D260),MOD(D260,1),IFERROR(INDEX(القوائم!$B$1:$B$288,MATCH(TRIM(D260),القوائم!$A$1:$A$288,0)),IFERROR(MOD(TIMEVALUE(D260),1),""))))</f>
        <v/>
      </c>
      <c r="M260" s="19" t="n">
        <f aca="false">$M$257</f>
        <v>0</v>
      </c>
      <c r="Q260" s="19" t="n">
        <f aca="false">IF(N(E269)&gt;0,1,0)</f>
        <v>0</v>
      </c>
      <c r="S260" s="0" t="n">
        <v>19</v>
      </c>
    </row>
    <row r="261" customFormat="false" ht="15" hidden="false" customHeight="false" outlineLevel="0" collapsed="false">
      <c r="A261" s="22" t="n">
        <f aca="false">IF(19&lt;=NW,WEEK_ONE+128,"")</f>
        <v>46146</v>
      </c>
      <c r="B261" s="23" t="str">
        <f aca="false">IF(A261="","",CHOOSE(WEEKDAY(A261,1),"الأحد","الاثنين","الثلاثاء","الأربعاء","الخميس","الجمعة","السبت"))</f>
        <v>الاثنين</v>
      </c>
      <c r="C261" s="24"/>
      <c r="D261" s="24"/>
      <c r="E261" s="25" t="str">
        <f aca="false">IF(OR(M261=0,K261="",L261=""),"",MOD(L261-K261,1))</f>
        <v/>
      </c>
      <c r="F261" s="26" t="str">
        <f aca="false">IF(OR(E261="",M261=0),"",IF(ROUND_MODE="للأعلى",CEILING(ROUND((E261*24*$N$257),3),0.25),ROUND((E261*24*$N$257)*4,0)/4))</f>
        <v/>
      </c>
      <c r="G261" s="24"/>
      <c r="H261" s="27"/>
      <c r="K261" s="28" t="str">
        <f aca="false">IF(OR(M261=0,C261=""),"",IF(ISNUMBER(C261),MOD(C261,1),IFERROR(INDEX(القوائم!$B$1:$B$288,MATCH(TRIM(C261),القوائم!$A$1:$A$288,0)),IFERROR(MOD(TIMEVALUE(C261),1),""))))</f>
        <v/>
      </c>
      <c r="L261" s="28" t="str">
        <f aca="false">IF(OR(M261=0,D261=""),"",IF(ISNUMBER(D261),MOD(D261,1),IFERROR(INDEX(القوائم!$B$1:$B$288,MATCH(TRIM(D261),القوائم!$A$1:$A$288,0)),IFERROR(MOD(TIMEVALUE(D261),1),""))))</f>
        <v/>
      </c>
      <c r="M261" s="19" t="n">
        <f aca="false">$M$257</f>
        <v>0</v>
      </c>
      <c r="Q261" s="19" t="n">
        <f aca="false">IF(N(E269)&gt;0,1,0)</f>
        <v>0</v>
      </c>
      <c r="S261" s="0" t="n">
        <v>19</v>
      </c>
    </row>
    <row r="262" customFormat="false" ht="15" hidden="false" customHeight="false" outlineLevel="0" collapsed="false">
      <c r="A262" s="22" t="n">
        <f aca="false">IF(19&lt;=NW,WEEK_ONE+129,"")</f>
        <v>46147</v>
      </c>
      <c r="B262" s="23" t="str">
        <f aca="false">IF(A262="","",CHOOSE(WEEKDAY(A262,1),"الأحد","الاثنين","الثلاثاء","الأربعاء","الخميس","الجمعة","السبت"))</f>
        <v>الثلاثاء</v>
      </c>
      <c r="C262" s="24"/>
      <c r="D262" s="24"/>
      <c r="E262" s="25" t="str">
        <f aca="false">IF(OR(M262=0,K262="",L262=""),"",MOD(L262-K262,1))</f>
        <v/>
      </c>
      <c r="F262" s="26" t="str">
        <f aca="false">IF(OR(E262="",M262=0),"",IF(ROUND_MODE="للأعلى",CEILING(ROUND((E262*24*$N$257),3),0.25),ROUND((E262*24*$N$257)*4,0)/4))</f>
        <v/>
      </c>
      <c r="G262" s="24"/>
      <c r="H262" s="27"/>
      <c r="K262" s="28" t="str">
        <f aca="false">IF(OR(M262=0,C262=""),"",IF(ISNUMBER(C262),MOD(C262,1),IFERROR(INDEX(القوائم!$B$1:$B$288,MATCH(TRIM(C262),القوائم!$A$1:$A$288,0)),IFERROR(MOD(TIMEVALUE(C262),1),""))))</f>
        <v/>
      </c>
      <c r="L262" s="28" t="str">
        <f aca="false">IF(OR(M262=0,D262=""),"",IF(ISNUMBER(D262),MOD(D262,1),IFERROR(INDEX(القوائم!$B$1:$B$288,MATCH(TRIM(D262),القوائم!$A$1:$A$288,0)),IFERROR(MOD(TIMEVALUE(D262),1),""))))</f>
        <v/>
      </c>
      <c r="M262" s="19" t="n">
        <f aca="false">$M$257</f>
        <v>0</v>
      </c>
      <c r="Q262" s="19" t="n">
        <f aca="false">IF(N(E269)&gt;0,1,0)</f>
        <v>0</v>
      </c>
      <c r="S262" s="0" t="n">
        <v>19</v>
      </c>
    </row>
    <row r="263" customFormat="false" ht="15" hidden="false" customHeight="false" outlineLevel="0" collapsed="false">
      <c r="A263" s="22" t="n">
        <f aca="false">IF(19&lt;=NW,WEEK_ONE+130,"")</f>
        <v>46148</v>
      </c>
      <c r="B263" s="23" t="str">
        <f aca="false">IF(A263="","",CHOOSE(WEEKDAY(A263,1),"الأحد","الاثنين","الثلاثاء","الأربعاء","الخميس","الجمعة","السبت"))</f>
        <v>الأربعاء</v>
      </c>
      <c r="C263" s="24"/>
      <c r="D263" s="24"/>
      <c r="E263" s="25" t="str">
        <f aca="false">IF(OR(M263=0,K263="",L263=""),"",MOD(L263-K263,1))</f>
        <v/>
      </c>
      <c r="F263" s="26" t="str">
        <f aca="false">IF(OR(E263="",M263=0),"",IF(ROUND_MODE="للأعلى",CEILING(ROUND((E263*24*$N$257),3),0.25),ROUND((E263*24*$N$257)*4,0)/4))</f>
        <v/>
      </c>
      <c r="G263" s="24"/>
      <c r="H263" s="27"/>
      <c r="K263" s="28" t="str">
        <f aca="false">IF(OR(M263=0,C263=""),"",IF(ISNUMBER(C263),MOD(C263,1),IFERROR(INDEX(القوائم!$B$1:$B$288,MATCH(TRIM(C263),القوائم!$A$1:$A$288,0)),IFERROR(MOD(TIMEVALUE(C263),1),""))))</f>
        <v/>
      </c>
      <c r="L263" s="28" t="str">
        <f aca="false">IF(OR(M263=0,D263=""),"",IF(ISNUMBER(D263),MOD(D263,1),IFERROR(INDEX(القوائم!$B$1:$B$288,MATCH(TRIM(D263),القوائم!$A$1:$A$288,0)),IFERROR(MOD(TIMEVALUE(D263),1),""))))</f>
        <v/>
      </c>
      <c r="M263" s="19" t="n">
        <f aca="false">$M$257</f>
        <v>0</v>
      </c>
      <c r="Q263" s="19" t="n">
        <f aca="false">IF(N(E269)&gt;0,1,0)</f>
        <v>0</v>
      </c>
      <c r="S263" s="0" t="n">
        <v>19</v>
      </c>
    </row>
    <row r="264" customFormat="false" ht="15" hidden="false" customHeight="false" outlineLevel="0" collapsed="false">
      <c r="A264" s="22" t="n">
        <f aca="false">IF(19&lt;=NW,WEEK_ONE+131,"")</f>
        <v>46149</v>
      </c>
      <c r="B264" s="23" t="str">
        <f aca="false">IF(A264="","",CHOOSE(WEEKDAY(A264,1),"الأحد","الاثنين","الثلاثاء","الأربعاء","الخميس","الجمعة","السبت"))</f>
        <v>الخميس</v>
      </c>
      <c r="C264" s="24"/>
      <c r="D264" s="24"/>
      <c r="E264" s="25" t="str">
        <f aca="false">IF(OR(M264=0,K264="",L264=""),"",MOD(L264-K264,1))</f>
        <v/>
      </c>
      <c r="F264" s="26" t="str">
        <f aca="false">IF(OR(E264="",M264=0),"",IF(ROUND_MODE="للأعلى",CEILING(ROUND((E264*24*$N$257),3),0.25),ROUND((E264*24*$N$257)*4,0)/4))</f>
        <v/>
      </c>
      <c r="G264" s="24"/>
      <c r="H264" s="27"/>
      <c r="K264" s="28" t="str">
        <f aca="false">IF(OR(M264=0,C264=""),"",IF(ISNUMBER(C264),MOD(C264,1),IFERROR(INDEX(القوائم!$B$1:$B$288,MATCH(TRIM(C264),القوائم!$A$1:$A$288,0)),IFERROR(MOD(TIMEVALUE(C264),1),""))))</f>
        <v/>
      </c>
      <c r="L264" s="28" t="str">
        <f aca="false">IF(OR(M264=0,D264=""),"",IF(ISNUMBER(D264),MOD(D264,1),IFERROR(INDEX(القوائم!$B$1:$B$288,MATCH(TRIM(D264),القوائم!$A$1:$A$288,0)),IFERROR(MOD(TIMEVALUE(D264),1),""))))</f>
        <v/>
      </c>
      <c r="M264" s="19" t="n">
        <f aca="false">$M$257</f>
        <v>0</v>
      </c>
      <c r="Q264" s="19" t="n">
        <f aca="false">IF(N(E269)&gt;0,1,0)</f>
        <v>0</v>
      </c>
      <c r="S264" s="0" t="n">
        <v>19</v>
      </c>
    </row>
    <row r="265" customFormat="false" ht="15" hidden="false" customHeight="false" outlineLevel="0" collapsed="false">
      <c r="A265" s="29" t="n">
        <f aca="false">IF(19&lt;=NW,WEEK_ONE+132,"")</f>
        <v>46150</v>
      </c>
      <c r="B265" s="30" t="str">
        <f aca="false">IF(A265="","",CHOOSE(WEEKDAY(A265,1),"الأحد","الاثنين","الثلاثاء","الأربعاء","الخميس","الجمعة","السبت"))</f>
        <v>الجمعة</v>
      </c>
      <c r="C265" s="24"/>
      <c r="D265" s="24"/>
      <c r="E265" s="25" t="str">
        <f aca="false">IF(OR(M265=0,K265="",L265=""),"",MOD(L265-K265,1))</f>
        <v/>
      </c>
      <c r="F265" s="26" t="str">
        <f aca="false">IF(OR(E265="",M265=0),"",IF(ROUND_MODE="للأعلى",CEILING(ROUND((E265*24*$N$257),3),0.25),ROUND((E265*24*$N$257)*4,0)/4))</f>
        <v/>
      </c>
      <c r="G265" s="24"/>
      <c r="H265" s="27"/>
      <c r="K265" s="28" t="str">
        <f aca="false">IF(OR(M265=0,C265=""),"",IF(ISNUMBER(C265),MOD(C265,1),IFERROR(INDEX(القوائم!$B$1:$B$288,MATCH(TRIM(C265),القوائم!$A$1:$A$288,0)),IFERROR(MOD(TIMEVALUE(C265),1),""))))</f>
        <v/>
      </c>
      <c r="L265" s="28" t="str">
        <f aca="false">IF(OR(M265=0,D265=""),"",IF(ISNUMBER(D265),MOD(D265,1),IFERROR(INDEX(القوائم!$B$1:$B$288,MATCH(TRIM(D265),القوائم!$A$1:$A$288,0)),IFERROR(MOD(TIMEVALUE(D265),1),""))))</f>
        <v/>
      </c>
      <c r="M265" s="19" t="n">
        <f aca="false">$M$257</f>
        <v>0</v>
      </c>
      <c r="Q265" s="19" t="n">
        <f aca="false">IF(N(E269)&gt;0,1,0)</f>
        <v>0</v>
      </c>
      <c r="S265" s="0" t="n">
        <v>19</v>
      </c>
    </row>
    <row r="266" customFormat="false" ht="15" hidden="false" customHeight="false" outlineLevel="0" collapsed="false">
      <c r="A266" s="31" t="str">
        <f aca="false">IF(M257=1,"ساعات تحميل الجبسمبورد بهالأسبوع ←","")</f>
        <v/>
      </c>
      <c r="B266" s="31"/>
      <c r="C266" s="31"/>
      <c r="D266" s="31"/>
      <c r="E266" s="32"/>
      <c r="F266" s="33" t="str">
        <f aca="false">IF(M257=1,"كل ساعة تحميل = "&amp;TEXT($P$257,"0.000")&amp;" دينار (منها "&amp;TEXT($N$257,"0.000")&amp;" محسوبة أصلاً بساعات اليوم)","")</f>
        <v/>
      </c>
      <c r="G266" s="33"/>
      <c r="H266" s="33"/>
      <c r="M266" s="19" t="n">
        <f aca="false">$M$257</f>
        <v>0</v>
      </c>
      <c r="Q266" s="19" t="n">
        <f aca="false">IF(N(E269)&gt;0,1,0)</f>
        <v>0</v>
      </c>
      <c r="S266" s="0" t="n">
        <v>19</v>
      </c>
    </row>
    <row r="267" customFormat="false" ht="15" hidden="false" customHeight="false" outlineLevel="0" collapsed="false">
      <c r="A267" s="31" t="str">
        <f aca="false">IF(M257=1,"إكرامية الأسبوع (دينار) ←","")</f>
        <v/>
      </c>
      <c r="B267" s="31"/>
      <c r="C267" s="31"/>
      <c r="D267" s="31"/>
      <c r="E267" s="34"/>
      <c r="F267" s="35"/>
      <c r="G267" s="35"/>
      <c r="H267" s="35"/>
      <c r="M267" s="19" t="n">
        <f aca="false">$M$257</f>
        <v>0</v>
      </c>
      <c r="Q267" s="19" t="n">
        <f aca="false">IF(N(E269)&gt;0,1,0)</f>
        <v>0</v>
      </c>
      <c r="S267" s="0" t="n">
        <v>19</v>
      </c>
    </row>
    <row r="268" customFormat="false" ht="36" hidden="false" customHeight="true" outlineLevel="0" collapsed="false">
      <c r="A268" s="36" t="str">
        <f aca="false">IF(M257=1,"المستحق النهائي للأسبوع","")</f>
        <v/>
      </c>
      <c r="B268" s="36"/>
      <c r="C268" s="36"/>
      <c r="D268" s="36"/>
      <c r="E268" s="36"/>
      <c r="F268" s="11" t="str">
        <f aca="false">IF(M257=1,ROUND(N($V$257)+N(E266)*($P$257-$N$257)+N(E267),3),"")</f>
        <v/>
      </c>
      <c r="G268" s="35"/>
      <c r="H268" s="35"/>
      <c r="M268" s="19" t="n">
        <f aca="false">$M$257</f>
        <v>0</v>
      </c>
      <c r="Q268" s="19" t="n">
        <f aca="false">IF(N(E269)&gt;0,1,0)</f>
        <v>0</v>
      </c>
      <c r="S268" s="0" t="n">
        <v>19</v>
      </c>
      <c r="T268" s="0" t="n">
        <v>1</v>
      </c>
    </row>
    <row r="269" customFormat="false" ht="25.5" hidden="false" customHeight="true" outlineLevel="0" collapsed="false">
      <c r="A269" s="31" t="str">
        <f aca="false">IF(M257=1,"المدفوع (دينار) ←","")</f>
        <v/>
      </c>
      <c r="B269" s="31"/>
      <c r="C269" s="31"/>
      <c r="D269" s="31"/>
      <c r="E269" s="34"/>
      <c r="F269" s="38" t="str">
        <f aca="false">IF(M257=1,IF(N(E269)&gt;0,"✔ انقبض — الأسبوع مقفول","⏳ لسا ما انقبض"),"")</f>
        <v/>
      </c>
      <c r="G269" s="38"/>
      <c r="H269" s="38"/>
      <c r="M269" s="19" t="n">
        <f aca="false">$M$257</f>
        <v>0</v>
      </c>
      <c r="Q269" s="19" t="n">
        <f aca="false">IF(N(E269)&gt;0,1,0)</f>
        <v>0</v>
      </c>
      <c r="S269" s="0" t="n">
        <v>19</v>
      </c>
    </row>
    <row r="270" customFormat="false" ht="9.75" hidden="false" customHeight="true" outlineLevel="0" collapsed="false">
      <c r="M270" s="19" t="n">
        <f aca="false">$M$257</f>
        <v>0</v>
      </c>
      <c r="Q270" s="19" t="n">
        <f aca="false">IF(N(E269)&gt;0,1,0)</f>
        <v>0</v>
      </c>
      <c r="S270" s="0" t="n">
        <v>19</v>
      </c>
      <c r="T270" s="0" t="n">
        <v>2</v>
      </c>
    </row>
    <row r="271" customFormat="false" ht="33.75" hidden="false" customHeight="true" outlineLevel="0" collapsed="false">
      <c r="A271" s="17" t="str">
        <f aca="false">IF(20&lt;=NW,TEXT(DAY(WEEK_ONE+133),"00")&amp;"/"&amp;TEXT(MONTH(WEEK_ONE+133),"00")&amp;"/"&amp;YEAR(WEEK_ONE+133)&amp;"  -  "&amp;TEXT(DAY(WEEK_ONE+139),"00")&amp;"/"&amp;TEXT(MONTH(WEEK_ONE+139),"00")&amp;"/"&amp;YEAR(WEEK_ONE+139)&amp;"   ·   الأسبوع 20"&amp;IF(20&lt;START_Z,"   (قبل أسبوع البداية — ما بينحسب)",""),"ما في أسبوع 20 هالسنة")</f>
        <v>09/05/2026  -  15/05/2026   ·   الأسبوع 20   (قبل أسبوع البداية — ما بينحسب)</v>
      </c>
      <c r="B271" s="17"/>
      <c r="C271" s="17"/>
      <c r="D271" s="17"/>
      <c r="E271" s="17"/>
      <c r="F271" s="17"/>
      <c r="G271" s="17"/>
      <c r="H271" s="17"/>
      <c r="L271" s="18" t="n">
        <f aca="false">IF(20&lt;=NW,WEEK_ONE+139,"")</f>
        <v>46157</v>
      </c>
      <c r="M271" s="19" t="n">
        <f aca="false">IF(AND(20&lt;=NW,20&gt;=START_Z),1,0)</f>
        <v>0</v>
      </c>
      <c r="N271" s="20" t="n">
        <f aca="false">IFERROR(INDEX(RT_AZZ,MATCH(L271,RT_K,1)),INDEX(RT_AZZ,1))</f>
        <v>1</v>
      </c>
      <c r="P271" s="20" t="n">
        <f aca="false">IFERROR(INDEX(RT_GYP,MATCH(L271,RT_K,1)),INDEX(RT_GYP,1))</f>
        <v>2.5</v>
      </c>
      <c r="Q271" s="19" t="n">
        <f aca="false">IF(N(E283)&gt;0,1,0)</f>
        <v>0</v>
      </c>
      <c r="R271" s="0" t="n">
        <v>20</v>
      </c>
      <c r="S271" s="0" t="n">
        <v>20</v>
      </c>
      <c r="U271" s="19" t="n">
        <f aca="false">IF(M271=1,SUM(E273:E279),0)</f>
        <v>0</v>
      </c>
      <c r="V271" s="19" t="n">
        <f aca="false">SUM(F273:F279)</f>
        <v>0</v>
      </c>
      <c r="W271" s="19" t="n">
        <f aca="false">IF(M271=1,SUMIFS(F273:F279,G273:G279,"نعم"),0)</f>
        <v>0</v>
      </c>
    </row>
    <row r="272" customFormat="false" ht="39.75" hidden="false" customHeight="true" outlineLevel="0" collapsed="false">
      <c r="A272" s="21" t="s">
        <v>18</v>
      </c>
      <c r="B272" s="21" t="s">
        <v>19</v>
      </c>
      <c r="C272" s="21" t="s">
        <v>20</v>
      </c>
      <c r="D272" s="21" t="s">
        <v>21</v>
      </c>
      <c r="E272" s="21" t="s">
        <v>22</v>
      </c>
      <c r="F272" s="21" t="s">
        <v>29</v>
      </c>
      <c r="G272" s="21" t="s">
        <v>30</v>
      </c>
      <c r="H272" s="21" t="s">
        <v>26</v>
      </c>
      <c r="M272" s="19" t="n">
        <f aca="false">$M$271</f>
        <v>0</v>
      </c>
      <c r="Q272" s="19" t="n">
        <f aca="false">IF(N(E283)&gt;0,1,0)</f>
        <v>0</v>
      </c>
      <c r="S272" s="0" t="n">
        <v>20</v>
      </c>
    </row>
    <row r="273" customFormat="false" ht="15" hidden="false" customHeight="false" outlineLevel="0" collapsed="false">
      <c r="A273" s="22" t="n">
        <f aca="false">IF(20&lt;=NW,WEEK_ONE+133,"")</f>
        <v>46151</v>
      </c>
      <c r="B273" s="23" t="str">
        <f aca="false">IF(A273="","",CHOOSE(WEEKDAY(A273,1),"الأحد","الاثنين","الثلاثاء","الأربعاء","الخميس","الجمعة","السبت"))</f>
        <v>السبت</v>
      </c>
      <c r="C273" s="24"/>
      <c r="D273" s="24"/>
      <c r="E273" s="25" t="str">
        <f aca="false">IF(OR(M273=0,K273="",L273=""),"",MOD(L273-K273,1))</f>
        <v/>
      </c>
      <c r="F273" s="26" t="str">
        <f aca="false">IF(OR(E273="",M273=0),"",IF(ROUND_MODE="للأعلى",CEILING(ROUND((E273*24*$N$271),3),0.25),ROUND((E273*24*$N$271)*4,0)/4))</f>
        <v/>
      </c>
      <c r="G273" s="24"/>
      <c r="H273" s="27"/>
      <c r="K273" s="28" t="str">
        <f aca="false">IF(OR(M273=0,C273=""),"",IF(ISNUMBER(C273),MOD(C273,1),IFERROR(INDEX(القوائم!$B$1:$B$288,MATCH(TRIM(C273),القوائم!$A$1:$A$288,0)),IFERROR(MOD(TIMEVALUE(C273),1),""))))</f>
        <v/>
      </c>
      <c r="L273" s="28" t="str">
        <f aca="false">IF(OR(M273=0,D273=""),"",IF(ISNUMBER(D273),MOD(D273,1),IFERROR(INDEX(القوائم!$B$1:$B$288,MATCH(TRIM(D273),القوائم!$A$1:$A$288,0)),IFERROR(MOD(TIMEVALUE(D273),1),""))))</f>
        <v/>
      </c>
      <c r="M273" s="19" t="n">
        <f aca="false">$M$271</f>
        <v>0</v>
      </c>
      <c r="Q273" s="19" t="n">
        <f aca="false">IF(N(E283)&gt;0,1,0)</f>
        <v>0</v>
      </c>
      <c r="S273" s="0" t="n">
        <v>20</v>
      </c>
    </row>
    <row r="274" customFormat="false" ht="15" hidden="false" customHeight="false" outlineLevel="0" collapsed="false">
      <c r="A274" s="22" t="n">
        <f aca="false">IF(20&lt;=NW,WEEK_ONE+134,"")</f>
        <v>46152</v>
      </c>
      <c r="B274" s="23" t="str">
        <f aca="false">IF(A274="","",CHOOSE(WEEKDAY(A274,1),"الأحد","الاثنين","الثلاثاء","الأربعاء","الخميس","الجمعة","السبت"))</f>
        <v>الأحد</v>
      </c>
      <c r="C274" s="24"/>
      <c r="D274" s="24"/>
      <c r="E274" s="25" t="str">
        <f aca="false">IF(OR(M274=0,K274="",L274=""),"",MOD(L274-K274,1))</f>
        <v/>
      </c>
      <c r="F274" s="26" t="str">
        <f aca="false">IF(OR(E274="",M274=0),"",IF(ROUND_MODE="للأعلى",CEILING(ROUND((E274*24*$N$271),3),0.25),ROUND((E274*24*$N$271)*4,0)/4))</f>
        <v/>
      </c>
      <c r="G274" s="24"/>
      <c r="H274" s="27"/>
      <c r="K274" s="28" t="str">
        <f aca="false">IF(OR(M274=0,C274=""),"",IF(ISNUMBER(C274),MOD(C274,1),IFERROR(INDEX(القوائم!$B$1:$B$288,MATCH(TRIM(C274),القوائم!$A$1:$A$288,0)),IFERROR(MOD(TIMEVALUE(C274),1),""))))</f>
        <v/>
      </c>
      <c r="L274" s="28" t="str">
        <f aca="false">IF(OR(M274=0,D274=""),"",IF(ISNUMBER(D274),MOD(D274,1),IFERROR(INDEX(القوائم!$B$1:$B$288,MATCH(TRIM(D274),القوائم!$A$1:$A$288,0)),IFERROR(MOD(TIMEVALUE(D274),1),""))))</f>
        <v/>
      </c>
      <c r="M274" s="19" t="n">
        <f aca="false">$M$271</f>
        <v>0</v>
      </c>
      <c r="Q274" s="19" t="n">
        <f aca="false">IF(N(E283)&gt;0,1,0)</f>
        <v>0</v>
      </c>
      <c r="S274" s="0" t="n">
        <v>20</v>
      </c>
    </row>
    <row r="275" customFormat="false" ht="15" hidden="false" customHeight="false" outlineLevel="0" collapsed="false">
      <c r="A275" s="22" t="n">
        <f aca="false">IF(20&lt;=NW,WEEK_ONE+135,"")</f>
        <v>46153</v>
      </c>
      <c r="B275" s="23" t="str">
        <f aca="false">IF(A275="","",CHOOSE(WEEKDAY(A275,1),"الأحد","الاثنين","الثلاثاء","الأربعاء","الخميس","الجمعة","السبت"))</f>
        <v>الاثنين</v>
      </c>
      <c r="C275" s="24"/>
      <c r="D275" s="24"/>
      <c r="E275" s="25" t="str">
        <f aca="false">IF(OR(M275=0,K275="",L275=""),"",MOD(L275-K275,1))</f>
        <v/>
      </c>
      <c r="F275" s="26" t="str">
        <f aca="false">IF(OR(E275="",M275=0),"",IF(ROUND_MODE="للأعلى",CEILING(ROUND((E275*24*$N$271),3),0.25),ROUND((E275*24*$N$271)*4,0)/4))</f>
        <v/>
      </c>
      <c r="G275" s="24"/>
      <c r="H275" s="27"/>
      <c r="K275" s="28" t="str">
        <f aca="false">IF(OR(M275=0,C275=""),"",IF(ISNUMBER(C275),MOD(C275,1),IFERROR(INDEX(القوائم!$B$1:$B$288,MATCH(TRIM(C275),القوائم!$A$1:$A$288,0)),IFERROR(MOD(TIMEVALUE(C275),1),""))))</f>
        <v/>
      </c>
      <c r="L275" s="28" t="str">
        <f aca="false">IF(OR(M275=0,D275=""),"",IF(ISNUMBER(D275),MOD(D275,1),IFERROR(INDEX(القوائم!$B$1:$B$288,MATCH(TRIM(D275),القوائم!$A$1:$A$288,0)),IFERROR(MOD(TIMEVALUE(D275),1),""))))</f>
        <v/>
      </c>
      <c r="M275" s="19" t="n">
        <f aca="false">$M$271</f>
        <v>0</v>
      </c>
      <c r="Q275" s="19" t="n">
        <f aca="false">IF(N(E283)&gt;0,1,0)</f>
        <v>0</v>
      </c>
      <c r="S275" s="0" t="n">
        <v>20</v>
      </c>
    </row>
    <row r="276" customFormat="false" ht="15" hidden="false" customHeight="false" outlineLevel="0" collapsed="false">
      <c r="A276" s="22" t="n">
        <f aca="false">IF(20&lt;=NW,WEEK_ONE+136,"")</f>
        <v>46154</v>
      </c>
      <c r="B276" s="23" t="str">
        <f aca="false">IF(A276="","",CHOOSE(WEEKDAY(A276,1),"الأحد","الاثنين","الثلاثاء","الأربعاء","الخميس","الجمعة","السبت"))</f>
        <v>الثلاثاء</v>
      </c>
      <c r="C276" s="24"/>
      <c r="D276" s="24"/>
      <c r="E276" s="25" t="str">
        <f aca="false">IF(OR(M276=0,K276="",L276=""),"",MOD(L276-K276,1))</f>
        <v/>
      </c>
      <c r="F276" s="26" t="str">
        <f aca="false">IF(OR(E276="",M276=0),"",IF(ROUND_MODE="للأعلى",CEILING(ROUND((E276*24*$N$271),3),0.25),ROUND((E276*24*$N$271)*4,0)/4))</f>
        <v/>
      </c>
      <c r="G276" s="24"/>
      <c r="H276" s="27"/>
      <c r="K276" s="28" t="str">
        <f aca="false">IF(OR(M276=0,C276=""),"",IF(ISNUMBER(C276),MOD(C276,1),IFERROR(INDEX(القوائم!$B$1:$B$288,MATCH(TRIM(C276),القوائم!$A$1:$A$288,0)),IFERROR(MOD(TIMEVALUE(C276),1),""))))</f>
        <v/>
      </c>
      <c r="L276" s="28" t="str">
        <f aca="false">IF(OR(M276=0,D276=""),"",IF(ISNUMBER(D276),MOD(D276,1),IFERROR(INDEX(القوائم!$B$1:$B$288,MATCH(TRIM(D276),القوائم!$A$1:$A$288,0)),IFERROR(MOD(TIMEVALUE(D276),1),""))))</f>
        <v/>
      </c>
      <c r="M276" s="19" t="n">
        <f aca="false">$M$271</f>
        <v>0</v>
      </c>
      <c r="Q276" s="19" t="n">
        <f aca="false">IF(N(E283)&gt;0,1,0)</f>
        <v>0</v>
      </c>
      <c r="S276" s="0" t="n">
        <v>20</v>
      </c>
    </row>
    <row r="277" customFormat="false" ht="15" hidden="false" customHeight="false" outlineLevel="0" collapsed="false">
      <c r="A277" s="22" t="n">
        <f aca="false">IF(20&lt;=NW,WEEK_ONE+137,"")</f>
        <v>46155</v>
      </c>
      <c r="B277" s="23" t="str">
        <f aca="false">IF(A277="","",CHOOSE(WEEKDAY(A277,1),"الأحد","الاثنين","الثلاثاء","الأربعاء","الخميس","الجمعة","السبت"))</f>
        <v>الأربعاء</v>
      </c>
      <c r="C277" s="24"/>
      <c r="D277" s="24"/>
      <c r="E277" s="25" t="str">
        <f aca="false">IF(OR(M277=0,K277="",L277=""),"",MOD(L277-K277,1))</f>
        <v/>
      </c>
      <c r="F277" s="26" t="str">
        <f aca="false">IF(OR(E277="",M277=0),"",IF(ROUND_MODE="للأعلى",CEILING(ROUND((E277*24*$N$271),3),0.25),ROUND((E277*24*$N$271)*4,0)/4))</f>
        <v/>
      </c>
      <c r="G277" s="24"/>
      <c r="H277" s="27"/>
      <c r="K277" s="28" t="str">
        <f aca="false">IF(OR(M277=0,C277=""),"",IF(ISNUMBER(C277),MOD(C277,1),IFERROR(INDEX(القوائم!$B$1:$B$288,MATCH(TRIM(C277),القوائم!$A$1:$A$288,0)),IFERROR(MOD(TIMEVALUE(C277),1),""))))</f>
        <v/>
      </c>
      <c r="L277" s="28" t="str">
        <f aca="false">IF(OR(M277=0,D277=""),"",IF(ISNUMBER(D277),MOD(D277,1),IFERROR(INDEX(القوائم!$B$1:$B$288,MATCH(TRIM(D277),القوائم!$A$1:$A$288,0)),IFERROR(MOD(TIMEVALUE(D277),1),""))))</f>
        <v/>
      </c>
      <c r="M277" s="19" t="n">
        <f aca="false">$M$271</f>
        <v>0</v>
      </c>
      <c r="Q277" s="19" t="n">
        <f aca="false">IF(N(E283)&gt;0,1,0)</f>
        <v>0</v>
      </c>
      <c r="S277" s="0" t="n">
        <v>20</v>
      </c>
    </row>
    <row r="278" customFormat="false" ht="15" hidden="false" customHeight="false" outlineLevel="0" collapsed="false">
      <c r="A278" s="22" t="n">
        <f aca="false">IF(20&lt;=NW,WEEK_ONE+138,"")</f>
        <v>46156</v>
      </c>
      <c r="B278" s="23" t="str">
        <f aca="false">IF(A278="","",CHOOSE(WEEKDAY(A278,1),"الأحد","الاثنين","الثلاثاء","الأربعاء","الخميس","الجمعة","السبت"))</f>
        <v>الخميس</v>
      </c>
      <c r="C278" s="24"/>
      <c r="D278" s="24"/>
      <c r="E278" s="25" t="str">
        <f aca="false">IF(OR(M278=0,K278="",L278=""),"",MOD(L278-K278,1))</f>
        <v/>
      </c>
      <c r="F278" s="26" t="str">
        <f aca="false">IF(OR(E278="",M278=0),"",IF(ROUND_MODE="للأعلى",CEILING(ROUND((E278*24*$N$271),3),0.25),ROUND((E278*24*$N$271)*4,0)/4))</f>
        <v/>
      </c>
      <c r="G278" s="24"/>
      <c r="H278" s="27"/>
      <c r="K278" s="28" t="str">
        <f aca="false">IF(OR(M278=0,C278=""),"",IF(ISNUMBER(C278),MOD(C278,1),IFERROR(INDEX(القوائم!$B$1:$B$288,MATCH(TRIM(C278),القوائم!$A$1:$A$288,0)),IFERROR(MOD(TIMEVALUE(C278),1),""))))</f>
        <v/>
      </c>
      <c r="L278" s="28" t="str">
        <f aca="false">IF(OR(M278=0,D278=""),"",IF(ISNUMBER(D278),MOD(D278,1),IFERROR(INDEX(القوائم!$B$1:$B$288,MATCH(TRIM(D278),القوائم!$A$1:$A$288,0)),IFERROR(MOD(TIMEVALUE(D278),1),""))))</f>
        <v/>
      </c>
      <c r="M278" s="19" t="n">
        <f aca="false">$M$271</f>
        <v>0</v>
      </c>
      <c r="Q278" s="19" t="n">
        <f aca="false">IF(N(E283)&gt;0,1,0)</f>
        <v>0</v>
      </c>
      <c r="S278" s="0" t="n">
        <v>20</v>
      </c>
    </row>
    <row r="279" customFormat="false" ht="15" hidden="false" customHeight="false" outlineLevel="0" collapsed="false">
      <c r="A279" s="29" t="n">
        <f aca="false">IF(20&lt;=NW,WEEK_ONE+139,"")</f>
        <v>46157</v>
      </c>
      <c r="B279" s="30" t="str">
        <f aca="false">IF(A279="","",CHOOSE(WEEKDAY(A279,1),"الأحد","الاثنين","الثلاثاء","الأربعاء","الخميس","الجمعة","السبت"))</f>
        <v>الجمعة</v>
      </c>
      <c r="C279" s="24"/>
      <c r="D279" s="24"/>
      <c r="E279" s="25" t="str">
        <f aca="false">IF(OR(M279=0,K279="",L279=""),"",MOD(L279-K279,1))</f>
        <v/>
      </c>
      <c r="F279" s="26" t="str">
        <f aca="false">IF(OR(E279="",M279=0),"",IF(ROUND_MODE="للأعلى",CEILING(ROUND((E279*24*$N$271),3),0.25),ROUND((E279*24*$N$271)*4,0)/4))</f>
        <v/>
      </c>
      <c r="G279" s="24"/>
      <c r="H279" s="27"/>
      <c r="K279" s="28" t="str">
        <f aca="false">IF(OR(M279=0,C279=""),"",IF(ISNUMBER(C279),MOD(C279,1),IFERROR(INDEX(القوائم!$B$1:$B$288,MATCH(TRIM(C279),القوائم!$A$1:$A$288,0)),IFERROR(MOD(TIMEVALUE(C279),1),""))))</f>
        <v/>
      </c>
      <c r="L279" s="28" t="str">
        <f aca="false">IF(OR(M279=0,D279=""),"",IF(ISNUMBER(D279),MOD(D279,1),IFERROR(INDEX(القوائم!$B$1:$B$288,MATCH(TRIM(D279),القوائم!$A$1:$A$288,0)),IFERROR(MOD(TIMEVALUE(D279),1),""))))</f>
        <v/>
      </c>
      <c r="M279" s="19" t="n">
        <f aca="false">$M$271</f>
        <v>0</v>
      </c>
      <c r="Q279" s="19" t="n">
        <f aca="false">IF(N(E283)&gt;0,1,0)</f>
        <v>0</v>
      </c>
      <c r="S279" s="0" t="n">
        <v>20</v>
      </c>
    </row>
    <row r="280" customFormat="false" ht="15" hidden="false" customHeight="false" outlineLevel="0" collapsed="false">
      <c r="A280" s="31" t="str">
        <f aca="false">IF(M271=1,"ساعات تحميل الجبسمبورد بهالأسبوع ←","")</f>
        <v/>
      </c>
      <c r="B280" s="31"/>
      <c r="C280" s="31"/>
      <c r="D280" s="31"/>
      <c r="E280" s="32"/>
      <c r="F280" s="33" t="str">
        <f aca="false">IF(M271=1,"كل ساعة تحميل = "&amp;TEXT($P$271,"0.000")&amp;" دينار (منها "&amp;TEXT($N$271,"0.000")&amp;" محسوبة أصلاً بساعات اليوم)","")</f>
        <v/>
      </c>
      <c r="G280" s="33"/>
      <c r="H280" s="33"/>
      <c r="M280" s="19" t="n">
        <f aca="false">$M$271</f>
        <v>0</v>
      </c>
      <c r="Q280" s="19" t="n">
        <f aca="false">IF(N(E283)&gt;0,1,0)</f>
        <v>0</v>
      </c>
      <c r="S280" s="0" t="n">
        <v>20</v>
      </c>
    </row>
    <row r="281" customFormat="false" ht="15" hidden="false" customHeight="false" outlineLevel="0" collapsed="false">
      <c r="A281" s="31" t="str">
        <f aca="false">IF(M271=1,"إكرامية الأسبوع (دينار) ←","")</f>
        <v/>
      </c>
      <c r="B281" s="31"/>
      <c r="C281" s="31"/>
      <c r="D281" s="31"/>
      <c r="E281" s="34"/>
      <c r="F281" s="35"/>
      <c r="G281" s="35"/>
      <c r="H281" s="35"/>
      <c r="M281" s="19" t="n">
        <f aca="false">$M$271</f>
        <v>0</v>
      </c>
      <c r="Q281" s="19" t="n">
        <f aca="false">IF(N(E283)&gt;0,1,0)</f>
        <v>0</v>
      </c>
      <c r="S281" s="0" t="n">
        <v>20</v>
      </c>
    </row>
    <row r="282" customFormat="false" ht="36" hidden="false" customHeight="true" outlineLevel="0" collapsed="false">
      <c r="A282" s="36" t="str">
        <f aca="false">IF(M271=1,"المستحق النهائي للأسبوع","")</f>
        <v/>
      </c>
      <c r="B282" s="36"/>
      <c r="C282" s="36"/>
      <c r="D282" s="36"/>
      <c r="E282" s="36"/>
      <c r="F282" s="11" t="str">
        <f aca="false">IF(M271=1,ROUND(N($V$271)+N(E280)*($P$271-$N$271)+N(E281),3),"")</f>
        <v/>
      </c>
      <c r="G282" s="35"/>
      <c r="H282" s="35"/>
      <c r="M282" s="19" t="n">
        <f aca="false">$M$271</f>
        <v>0</v>
      </c>
      <c r="Q282" s="19" t="n">
        <f aca="false">IF(N(E283)&gt;0,1,0)</f>
        <v>0</v>
      </c>
      <c r="S282" s="0" t="n">
        <v>20</v>
      </c>
      <c r="T282" s="0" t="n">
        <v>1</v>
      </c>
    </row>
    <row r="283" customFormat="false" ht="25.5" hidden="false" customHeight="true" outlineLevel="0" collapsed="false">
      <c r="A283" s="31" t="str">
        <f aca="false">IF(M271=1,"المدفوع (دينار) ←","")</f>
        <v/>
      </c>
      <c r="B283" s="31"/>
      <c r="C283" s="31"/>
      <c r="D283" s="31"/>
      <c r="E283" s="34"/>
      <c r="F283" s="38" t="str">
        <f aca="false">IF(M271=1,IF(N(E283)&gt;0,"✔ انقبض — الأسبوع مقفول","⏳ لسا ما انقبض"),"")</f>
        <v/>
      </c>
      <c r="G283" s="38"/>
      <c r="H283" s="38"/>
      <c r="M283" s="19" t="n">
        <f aca="false">$M$271</f>
        <v>0</v>
      </c>
      <c r="Q283" s="19" t="n">
        <f aca="false">IF(N(E283)&gt;0,1,0)</f>
        <v>0</v>
      </c>
      <c r="S283" s="0" t="n">
        <v>20</v>
      </c>
    </row>
    <row r="284" customFormat="false" ht="9.75" hidden="false" customHeight="true" outlineLevel="0" collapsed="false">
      <c r="M284" s="19" t="n">
        <f aca="false">$M$271</f>
        <v>0</v>
      </c>
      <c r="Q284" s="19" t="n">
        <f aca="false">IF(N(E283)&gt;0,1,0)</f>
        <v>0</v>
      </c>
      <c r="S284" s="0" t="n">
        <v>20</v>
      </c>
      <c r="T284" s="0" t="n">
        <v>2</v>
      </c>
    </row>
    <row r="285" customFormat="false" ht="33.75" hidden="false" customHeight="true" outlineLevel="0" collapsed="false">
      <c r="A285" s="17" t="str">
        <f aca="false">IF(21&lt;=NW,TEXT(DAY(WEEK_ONE+140),"00")&amp;"/"&amp;TEXT(MONTH(WEEK_ONE+140),"00")&amp;"/"&amp;YEAR(WEEK_ONE+140)&amp;"  -  "&amp;TEXT(DAY(WEEK_ONE+146),"00")&amp;"/"&amp;TEXT(MONTH(WEEK_ONE+146),"00")&amp;"/"&amp;YEAR(WEEK_ONE+146)&amp;"   ·   الأسبوع 21"&amp;IF(21&lt;START_Z,"   (قبل أسبوع البداية — ما بينحسب)",""),"ما في أسبوع 21 هالسنة")</f>
        <v>16/05/2026  -  22/05/2026   ·   الأسبوع 21   (قبل أسبوع البداية — ما بينحسب)</v>
      </c>
      <c r="B285" s="17"/>
      <c r="C285" s="17"/>
      <c r="D285" s="17"/>
      <c r="E285" s="17"/>
      <c r="F285" s="17"/>
      <c r="G285" s="17"/>
      <c r="H285" s="17"/>
      <c r="L285" s="18" t="n">
        <f aca="false">IF(21&lt;=NW,WEEK_ONE+146,"")</f>
        <v>46164</v>
      </c>
      <c r="M285" s="19" t="n">
        <f aca="false">IF(AND(21&lt;=NW,21&gt;=START_Z),1,0)</f>
        <v>0</v>
      </c>
      <c r="N285" s="20" t="n">
        <f aca="false">IFERROR(INDEX(RT_AZZ,MATCH(L285,RT_K,1)),INDEX(RT_AZZ,1))</f>
        <v>1</v>
      </c>
      <c r="P285" s="20" t="n">
        <f aca="false">IFERROR(INDEX(RT_GYP,MATCH(L285,RT_K,1)),INDEX(RT_GYP,1))</f>
        <v>2.5</v>
      </c>
      <c r="Q285" s="19" t="n">
        <f aca="false">IF(N(E297)&gt;0,1,0)</f>
        <v>0</v>
      </c>
      <c r="R285" s="0" t="n">
        <v>21</v>
      </c>
      <c r="S285" s="0" t="n">
        <v>21</v>
      </c>
      <c r="U285" s="19" t="n">
        <f aca="false">IF(M285=1,SUM(E287:E293),0)</f>
        <v>0</v>
      </c>
      <c r="V285" s="19" t="n">
        <f aca="false">SUM(F287:F293)</f>
        <v>0</v>
      </c>
      <c r="W285" s="19" t="n">
        <f aca="false">IF(M285=1,SUMIFS(F287:F293,G287:G293,"نعم"),0)</f>
        <v>0</v>
      </c>
    </row>
    <row r="286" customFormat="false" ht="39.75" hidden="false" customHeight="true" outlineLevel="0" collapsed="false">
      <c r="A286" s="21" t="s">
        <v>18</v>
      </c>
      <c r="B286" s="21" t="s">
        <v>19</v>
      </c>
      <c r="C286" s="21" t="s">
        <v>20</v>
      </c>
      <c r="D286" s="21" t="s">
        <v>21</v>
      </c>
      <c r="E286" s="21" t="s">
        <v>22</v>
      </c>
      <c r="F286" s="21" t="s">
        <v>29</v>
      </c>
      <c r="G286" s="21" t="s">
        <v>30</v>
      </c>
      <c r="H286" s="21" t="s">
        <v>26</v>
      </c>
      <c r="M286" s="19" t="n">
        <f aca="false">$M$285</f>
        <v>0</v>
      </c>
      <c r="Q286" s="19" t="n">
        <f aca="false">IF(N(E297)&gt;0,1,0)</f>
        <v>0</v>
      </c>
      <c r="S286" s="0" t="n">
        <v>21</v>
      </c>
    </row>
    <row r="287" customFormat="false" ht="15" hidden="false" customHeight="false" outlineLevel="0" collapsed="false">
      <c r="A287" s="22" t="n">
        <f aca="false">IF(21&lt;=NW,WEEK_ONE+140,"")</f>
        <v>46158</v>
      </c>
      <c r="B287" s="23" t="str">
        <f aca="false">IF(A287="","",CHOOSE(WEEKDAY(A287,1),"الأحد","الاثنين","الثلاثاء","الأربعاء","الخميس","الجمعة","السبت"))</f>
        <v>السبت</v>
      </c>
      <c r="C287" s="24"/>
      <c r="D287" s="24"/>
      <c r="E287" s="25" t="str">
        <f aca="false">IF(OR(M287=0,K287="",L287=""),"",MOD(L287-K287,1))</f>
        <v/>
      </c>
      <c r="F287" s="26" t="str">
        <f aca="false">IF(OR(E287="",M287=0),"",IF(ROUND_MODE="للأعلى",CEILING(ROUND((E287*24*$N$285),3),0.25),ROUND((E287*24*$N$285)*4,0)/4))</f>
        <v/>
      </c>
      <c r="G287" s="24"/>
      <c r="H287" s="27"/>
      <c r="K287" s="28" t="str">
        <f aca="false">IF(OR(M287=0,C287=""),"",IF(ISNUMBER(C287),MOD(C287,1),IFERROR(INDEX(القوائم!$B$1:$B$288,MATCH(TRIM(C287),القوائم!$A$1:$A$288,0)),IFERROR(MOD(TIMEVALUE(C287),1),""))))</f>
        <v/>
      </c>
      <c r="L287" s="28" t="str">
        <f aca="false">IF(OR(M287=0,D287=""),"",IF(ISNUMBER(D287),MOD(D287,1),IFERROR(INDEX(القوائم!$B$1:$B$288,MATCH(TRIM(D287),القوائم!$A$1:$A$288,0)),IFERROR(MOD(TIMEVALUE(D287),1),""))))</f>
        <v/>
      </c>
      <c r="M287" s="19" t="n">
        <f aca="false">$M$285</f>
        <v>0</v>
      </c>
      <c r="Q287" s="19" t="n">
        <f aca="false">IF(N(E297)&gt;0,1,0)</f>
        <v>0</v>
      </c>
      <c r="S287" s="0" t="n">
        <v>21</v>
      </c>
    </row>
    <row r="288" customFormat="false" ht="15" hidden="false" customHeight="false" outlineLevel="0" collapsed="false">
      <c r="A288" s="22" t="n">
        <f aca="false">IF(21&lt;=NW,WEEK_ONE+141,"")</f>
        <v>46159</v>
      </c>
      <c r="B288" s="23" t="str">
        <f aca="false">IF(A288="","",CHOOSE(WEEKDAY(A288,1),"الأحد","الاثنين","الثلاثاء","الأربعاء","الخميس","الجمعة","السبت"))</f>
        <v>الأحد</v>
      </c>
      <c r="C288" s="24"/>
      <c r="D288" s="24"/>
      <c r="E288" s="25" t="str">
        <f aca="false">IF(OR(M288=0,K288="",L288=""),"",MOD(L288-K288,1))</f>
        <v/>
      </c>
      <c r="F288" s="26" t="str">
        <f aca="false">IF(OR(E288="",M288=0),"",IF(ROUND_MODE="للأعلى",CEILING(ROUND((E288*24*$N$285),3),0.25),ROUND((E288*24*$N$285)*4,0)/4))</f>
        <v/>
      </c>
      <c r="G288" s="24"/>
      <c r="H288" s="27"/>
      <c r="K288" s="28" t="str">
        <f aca="false">IF(OR(M288=0,C288=""),"",IF(ISNUMBER(C288),MOD(C288,1),IFERROR(INDEX(القوائم!$B$1:$B$288,MATCH(TRIM(C288),القوائم!$A$1:$A$288,0)),IFERROR(MOD(TIMEVALUE(C288),1),""))))</f>
        <v/>
      </c>
      <c r="L288" s="28" t="str">
        <f aca="false">IF(OR(M288=0,D288=""),"",IF(ISNUMBER(D288),MOD(D288,1),IFERROR(INDEX(القوائم!$B$1:$B$288,MATCH(TRIM(D288),القوائم!$A$1:$A$288,0)),IFERROR(MOD(TIMEVALUE(D288),1),""))))</f>
        <v/>
      </c>
      <c r="M288" s="19" t="n">
        <f aca="false">$M$285</f>
        <v>0</v>
      </c>
      <c r="Q288" s="19" t="n">
        <f aca="false">IF(N(E297)&gt;0,1,0)</f>
        <v>0</v>
      </c>
      <c r="S288" s="0" t="n">
        <v>21</v>
      </c>
    </row>
    <row r="289" customFormat="false" ht="15" hidden="false" customHeight="false" outlineLevel="0" collapsed="false">
      <c r="A289" s="22" t="n">
        <f aca="false">IF(21&lt;=NW,WEEK_ONE+142,"")</f>
        <v>46160</v>
      </c>
      <c r="B289" s="23" t="str">
        <f aca="false">IF(A289="","",CHOOSE(WEEKDAY(A289,1),"الأحد","الاثنين","الثلاثاء","الأربعاء","الخميس","الجمعة","السبت"))</f>
        <v>الاثنين</v>
      </c>
      <c r="C289" s="24"/>
      <c r="D289" s="24"/>
      <c r="E289" s="25" t="str">
        <f aca="false">IF(OR(M289=0,K289="",L289=""),"",MOD(L289-K289,1))</f>
        <v/>
      </c>
      <c r="F289" s="26" t="str">
        <f aca="false">IF(OR(E289="",M289=0),"",IF(ROUND_MODE="للأعلى",CEILING(ROUND((E289*24*$N$285),3),0.25),ROUND((E289*24*$N$285)*4,0)/4))</f>
        <v/>
      </c>
      <c r="G289" s="24"/>
      <c r="H289" s="27"/>
      <c r="K289" s="28" t="str">
        <f aca="false">IF(OR(M289=0,C289=""),"",IF(ISNUMBER(C289),MOD(C289,1),IFERROR(INDEX(القوائم!$B$1:$B$288,MATCH(TRIM(C289),القوائم!$A$1:$A$288,0)),IFERROR(MOD(TIMEVALUE(C289),1),""))))</f>
        <v/>
      </c>
      <c r="L289" s="28" t="str">
        <f aca="false">IF(OR(M289=0,D289=""),"",IF(ISNUMBER(D289),MOD(D289,1),IFERROR(INDEX(القوائم!$B$1:$B$288,MATCH(TRIM(D289),القوائم!$A$1:$A$288,0)),IFERROR(MOD(TIMEVALUE(D289),1),""))))</f>
        <v/>
      </c>
      <c r="M289" s="19" t="n">
        <f aca="false">$M$285</f>
        <v>0</v>
      </c>
      <c r="Q289" s="19" t="n">
        <f aca="false">IF(N(E297)&gt;0,1,0)</f>
        <v>0</v>
      </c>
      <c r="S289" s="0" t="n">
        <v>21</v>
      </c>
    </row>
    <row r="290" customFormat="false" ht="15" hidden="false" customHeight="false" outlineLevel="0" collapsed="false">
      <c r="A290" s="22" t="n">
        <f aca="false">IF(21&lt;=NW,WEEK_ONE+143,"")</f>
        <v>46161</v>
      </c>
      <c r="B290" s="23" t="str">
        <f aca="false">IF(A290="","",CHOOSE(WEEKDAY(A290,1),"الأحد","الاثنين","الثلاثاء","الأربعاء","الخميس","الجمعة","السبت"))</f>
        <v>الثلاثاء</v>
      </c>
      <c r="C290" s="24"/>
      <c r="D290" s="24"/>
      <c r="E290" s="25" t="str">
        <f aca="false">IF(OR(M290=0,K290="",L290=""),"",MOD(L290-K290,1))</f>
        <v/>
      </c>
      <c r="F290" s="26" t="str">
        <f aca="false">IF(OR(E290="",M290=0),"",IF(ROUND_MODE="للأعلى",CEILING(ROUND((E290*24*$N$285),3),0.25),ROUND((E290*24*$N$285)*4,0)/4))</f>
        <v/>
      </c>
      <c r="G290" s="24"/>
      <c r="H290" s="27"/>
      <c r="K290" s="28" t="str">
        <f aca="false">IF(OR(M290=0,C290=""),"",IF(ISNUMBER(C290),MOD(C290,1),IFERROR(INDEX(القوائم!$B$1:$B$288,MATCH(TRIM(C290),القوائم!$A$1:$A$288,0)),IFERROR(MOD(TIMEVALUE(C290),1),""))))</f>
        <v/>
      </c>
      <c r="L290" s="28" t="str">
        <f aca="false">IF(OR(M290=0,D290=""),"",IF(ISNUMBER(D290),MOD(D290,1),IFERROR(INDEX(القوائم!$B$1:$B$288,MATCH(TRIM(D290),القوائم!$A$1:$A$288,0)),IFERROR(MOD(TIMEVALUE(D290),1),""))))</f>
        <v/>
      </c>
      <c r="M290" s="19" t="n">
        <f aca="false">$M$285</f>
        <v>0</v>
      </c>
      <c r="Q290" s="19" t="n">
        <f aca="false">IF(N(E297)&gt;0,1,0)</f>
        <v>0</v>
      </c>
      <c r="S290" s="0" t="n">
        <v>21</v>
      </c>
    </row>
    <row r="291" customFormat="false" ht="15" hidden="false" customHeight="false" outlineLevel="0" collapsed="false">
      <c r="A291" s="22" t="n">
        <f aca="false">IF(21&lt;=NW,WEEK_ONE+144,"")</f>
        <v>46162</v>
      </c>
      <c r="B291" s="23" t="str">
        <f aca="false">IF(A291="","",CHOOSE(WEEKDAY(A291,1),"الأحد","الاثنين","الثلاثاء","الأربعاء","الخميس","الجمعة","السبت"))</f>
        <v>الأربعاء</v>
      </c>
      <c r="C291" s="24"/>
      <c r="D291" s="24"/>
      <c r="E291" s="25" t="str">
        <f aca="false">IF(OR(M291=0,K291="",L291=""),"",MOD(L291-K291,1))</f>
        <v/>
      </c>
      <c r="F291" s="26" t="str">
        <f aca="false">IF(OR(E291="",M291=0),"",IF(ROUND_MODE="للأعلى",CEILING(ROUND((E291*24*$N$285),3),0.25),ROUND((E291*24*$N$285)*4,0)/4))</f>
        <v/>
      </c>
      <c r="G291" s="24"/>
      <c r="H291" s="27"/>
      <c r="K291" s="28" t="str">
        <f aca="false">IF(OR(M291=0,C291=""),"",IF(ISNUMBER(C291),MOD(C291,1),IFERROR(INDEX(القوائم!$B$1:$B$288,MATCH(TRIM(C291),القوائم!$A$1:$A$288,0)),IFERROR(MOD(TIMEVALUE(C291),1),""))))</f>
        <v/>
      </c>
      <c r="L291" s="28" t="str">
        <f aca="false">IF(OR(M291=0,D291=""),"",IF(ISNUMBER(D291),MOD(D291,1),IFERROR(INDEX(القوائم!$B$1:$B$288,MATCH(TRIM(D291),القوائم!$A$1:$A$288,0)),IFERROR(MOD(TIMEVALUE(D291),1),""))))</f>
        <v/>
      </c>
      <c r="M291" s="19" t="n">
        <f aca="false">$M$285</f>
        <v>0</v>
      </c>
      <c r="Q291" s="19" t="n">
        <f aca="false">IF(N(E297)&gt;0,1,0)</f>
        <v>0</v>
      </c>
      <c r="S291" s="0" t="n">
        <v>21</v>
      </c>
    </row>
    <row r="292" customFormat="false" ht="15" hidden="false" customHeight="false" outlineLevel="0" collapsed="false">
      <c r="A292" s="22" t="n">
        <f aca="false">IF(21&lt;=NW,WEEK_ONE+145,"")</f>
        <v>46163</v>
      </c>
      <c r="B292" s="23" t="str">
        <f aca="false">IF(A292="","",CHOOSE(WEEKDAY(A292,1),"الأحد","الاثنين","الثلاثاء","الأربعاء","الخميس","الجمعة","السبت"))</f>
        <v>الخميس</v>
      </c>
      <c r="C292" s="24"/>
      <c r="D292" s="24"/>
      <c r="E292" s="25" t="str">
        <f aca="false">IF(OR(M292=0,K292="",L292=""),"",MOD(L292-K292,1))</f>
        <v/>
      </c>
      <c r="F292" s="26" t="str">
        <f aca="false">IF(OR(E292="",M292=0),"",IF(ROUND_MODE="للأعلى",CEILING(ROUND((E292*24*$N$285),3),0.25),ROUND((E292*24*$N$285)*4,0)/4))</f>
        <v/>
      </c>
      <c r="G292" s="24"/>
      <c r="H292" s="27"/>
      <c r="K292" s="28" t="str">
        <f aca="false">IF(OR(M292=0,C292=""),"",IF(ISNUMBER(C292),MOD(C292,1),IFERROR(INDEX(القوائم!$B$1:$B$288,MATCH(TRIM(C292),القوائم!$A$1:$A$288,0)),IFERROR(MOD(TIMEVALUE(C292),1),""))))</f>
        <v/>
      </c>
      <c r="L292" s="28" t="str">
        <f aca="false">IF(OR(M292=0,D292=""),"",IF(ISNUMBER(D292),MOD(D292,1),IFERROR(INDEX(القوائم!$B$1:$B$288,MATCH(TRIM(D292),القوائم!$A$1:$A$288,0)),IFERROR(MOD(TIMEVALUE(D292),1),""))))</f>
        <v/>
      </c>
      <c r="M292" s="19" t="n">
        <f aca="false">$M$285</f>
        <v>0</v>
      </c>
      <c r="Q292" s="19" t="n">
        <f aca="false">IF(N(E297)&gt;0,1,0)</f>
        <v>0</v>
      </c>
      <c r="S292" s="0" t="n">
        <v>21</v>
      </c>
    </row>
    <row r="293" customFormat="false" ht="15" hidden="false" customHeight="false" outlineLevel="0" collapsed="false">
      <c r="A293" s="29" t="n">
        <f aca="false">IF(21&lt;=NW,WEEK_ONE+146,"")</f>
        <v>46164</v>
      </c>
      <c r="B293" s="30" t="str">
        <f aca="false">IF(A293="","",CHOOSE(WEEKDAY(A293,1),"الأحد","الاثنين","الثلاثاء","الأربعاء","الخميس","الجمعة","السبت"))</f>
        <v>الجمعة</v>
      </c>
      <c r="C293" s="24"/>
      <c r="D293" s="24"/>
      <c r="E293" s="25" t="str">
        <f aca="false">IF(OR(M293=0,K293="",L293=""),"",MOD(L293-K293,1))</f>
        <v/>
      </c>
      <c r="F293" s="26" t="str">
        <f aca="false">IF(OR(E293="",M293=0),"",IF(ROUND_MODE="للأعلى",CEILING(ROUND((E293*24*$N$285),3),0.25),ROUND((E293*24*$N$285)*4,0)/4))</f>
        <v/>
      </c>
      <c r="G293" s="24"/>
      <c r="H293" s="27"/>
      <c r="K293" s="28" t="str">
        <f aca="false">IF(OR(M293=0,C293=""),"",IF(ISNUMBER(C293),MOD(C293,1),IFERROR(INDEX(القوائم!$B$1:$B$288,MATCH(TRIM(C293),القوائم!$A$1:$A$288,0)),IFERROR(MOD(TIMEVALUE(C293),1),""))))</f>
        <v/>
      </c>
      <c r="L293" s="28" t="str">
        <f aca="false">IF(OR(M293=0,D293=""),"",IF(ISNUMBER(D293),MOD(D293,1),IFERROR(INDEX(القوائم!$B$1:$B$288,MATCH(TRIM(D293),القوائم!$A$1:$A$288,0)),IFERROR(MOD(TIMEVALUE(D293),1),""))))</f>
        <v/>
      </c>
      <c r="M293" s="19" t="n">
        <f aca="false">$M$285</f>
        <v>0</v>
      </c>
      <c r="Q293" s="19" t="n">
        <f aca="false">IF(N(E297)&gt;0,1,0)</f>
        <v>0</v>
      </c>
      <c r="S293" s="0" t="n">
        <v>21</v>
      </c>
    </row>
    <row r="294" customFormat="false" ht="15" hidden="false" customHeight="false" outlineLevel="0" collapsed="false">
      <c r="A294" s="31" t="str">
        <f aca="false">IF(M285=1,"ساعات تحميل الجبسمبورد بهالأسبوع ←","")</f>
        <v/>
      </c>
      <c r="B294" s="31"/>
      <c r="C294" s="31"/>
      <c r="D294" s="31"/>
      <c r="E294" s="32"/>
      <c r="F294" s="33" t="str">
        <f aca="false">IF(M285=1,"كل ساعة تحميل = "&amp;TEXT($P$285,"0.000")&amp;" دينار (منها "&amp;TEXT($N$285,"0.000")&amp;" محسوبة أصلاً بساعات اليوم)","")</f>
        <v/>
      </c>
      <c r="G294" s="33"/>
      <c r="H294" s="33"/>
      <c r="M294" s="19" t="n">
        <f aca="false">$M$285</f>
        <v>0</v>
      </c>
      <c r="Q294" s="19" t="n">
        <f aca="false">IF(N(E297)&gt;0,1,0)</f>
        <v>0</v>
      </c>
      <c r="S294" s="0" t="n">
        <v>21</v>
      </c>
    </row>
    <row r="295" customFormat="false" ht="15" hidden="false" customHeight="false" outlineLevel="0" collapsed="false">
      <c r="A295" s="31" t="str">
        <f aca="false">IF(M285=1,"إكرامية الأسبوع (دينار) ←","")</f>
        <v/>
      </c>
      <c r="B295" s="31"/>
      <c r="C295" s="31"/>
      <c r="D295" s="31"/>
      <c r="E295" s="34"/>
      <c r="F295" s="35"/>
      <c r="G295" s="35"/>
      <c r="H295" s="35"/>
      <c r="M295" s="19" t="n">
        <f aca="false">$M$285</f>
        <v>0</v>
      </c>
      <c r="Q295" s="19" t="n">
        <f aca="false">IF(N(E297)&gt;0,1,0)</f>
        <v>0</v>
      </c>
      <c r="S295" s="0" t="n">
        <v>21</v>
      </c>
    </row>
    <row r="296" customFormat="false" ht="36" hidden="false" customHeight="true" outlineLevel="0" collapsed="false">
      <c r="A296" s="36" t="str">
        <f aca="false">IF(M285=1,"المستحق النهائي للأسبوع","")</f>
        <v/>
      </c>
      <c r="B296" s="36"/>
      <c r="C296" s="36"/>
      <c r="D296" s="36"/>
      <c r="E296" s="36"/>
      <c r="F296" s="11" t="str">
        <f aca="false">IF(M285=1,ROUND(N($V$285)+N(E294)*($P$285-$N$285)+N(E295),3),"")</f>
        <v/>
      </c>
      <c r="G296" s="35"/>
      <c r="H296" s="35"/>
      <c r="M296" s="19" t="n">
        <f aca="false">$M$285</f>
        <v>0</v>
      </c>
      <c r="Q296" s="19" t="n">
        <f aca="false">IF(N(E297)&gt;0,1,0)</f>
        <v>0</v>
      </c>
      <c r="S296" s="0" t="n">
        <v>21</v>
      </c>
      <c r="T296" s="0" t="n">
        <v>1</v>
      </c>
    </row>
    <row r="297" customFormat="false" ht="25.5" hidden="false" customHeight="true" outlineLevel="0" collapsed="false">
      <c r="A297" s="31" t="str">
        <f aca="false">IF(M285=1,"المدفوع (دينار) ←","")</f>
        <v/>
      </c>
      <c r="B297" s="31"/>
      <c r="C297" s="31"/>
      <c r="D297" s="31"/>
      <c r="E297" s="34"/>
      <c r="F297" s="38" t="str">
        <f aca="false">IF(M285=1,IF(N(E297)&gt;0,"✔ انقبض — الأسبوع مقفول","⏳ لسا ما انقبض"),"")</f>
        <v/>
      </c>
      <c r="G297" s="38"/>
      <c r="H297" s="38"/>
      <c r="M297" s="19" t="n">
        <f aca="false">$M$285</f>
        <v>0</v>
      </c>
      <c r="Q297" s="19" t="n">
        <f aca="false">IF(N(E297)&gt;0,1,0)</f>
        <v>0</v>
      </c>
      <c r="S297" s="0" t="n">
        <v>21</v>
      </c>
    </row>
    <row r="298" customFormat="false" ht="9.75" hidden="false" customHeight="true" outlineLevel="0" collapsed="false">
      <c r="M298" s="19" t="n">
        <f aca="false">$M$285</f>
        <v>0</v>
      </c>
      <c r="Q298" s="19" t="n">
        <f aca="false">IF(N(E297)&gt;0,1,0)</f>
        <v>0</v>
      </c>
      <c r="S298" s="0" t="n">
        <v>21</v>
      </c>
      <c r="T298" s="0" t="n">
        <v>2</v>
      </c>
    </row>
    <row r="299" customFormat="false" ht="33.75" hidden="false" customHeight="true" outlineLevel="0" collapsed="false">
      <c r="A299" s="17" t="str">
        <f aca="false">IF(22&lt;=NW,TEXT(DAY(WEEK_ONE+147),"00")&amp;"/"&amp;TEXT(MONTH(WEEK_ONE+147),"00")&amp;"/"&amp;YEAR(WEEK_ONE+147)&amp;"  -  "&amp;TEXT(DAY(WEEK_ONE+153),"00")&amp;"/"&amp;TEXT(MONTH(WEEK_ONE+153),"00")&amp;"/"&amp;YEAR(WEEK_ONE+153)&amp;"   ·   الأسبوع 22"&amp;IF(22&lt;START_Z,"   (قبل أسبوع البداية — ما بينحسب)",""),"ما في أسبوع 22 هالسنة")</f>
        <v>23/05/2026  -  29/05/2026   ·   الأسبوع 22   (قبل أسبوع البداية — ما بينحسب)</v>
      </c>
      <c r="B299" s="17"/>
      <c r="C299" s="17"/>
      <c r="D299" s="17"/>
      <c r="E299" s="17"/>
      <c r="F299" s="17"/>
      <c r="G299" s="17"/>
      <c r="H299" s="17"/>
      <c r="L299" s="18" t="n">
        <f aca="false">IF(22&lt;=NW,WEEK_ONE+153,"")</f>
        <v>46171</v>
      </c>
      <c r="M299" s="19" t="n">
        <f aca="false">IF(AND(22&lt;=NW,22&gt;=START_Z),1,0)</f>
        <v>0</v>
      </c>
      <c r="N299" s="20" t="n">
        <f aca="false">IFERROR(INDEX(RT_AZZ,MATCH(L299,RT_K,1)),INDEX(RT_AZZ,1))</f>
        <v>1</v>
      </c>
      <c r="P299" s="20" t="n">
        <f aca="false">IFERROR(INDEX(RT_GYP,MATCH(L299,RT_K,1)),INDEX(RT_GYP,1))</f>
        <v>2.5</v>
      </c>
      <c r="Q299" s="19" t="n">
        <f aca="false">IF(N(E311)&gt;0,1,0)</f>
        <v>0</v>
      </c>
      <c r="R299" s="0" t="n">
        <v>22</v>
      </c>
      <c r="S299" s="0" t="n">
        <v>22</v>
      </c>
      <c r="U299" s="19" t="n">
        <f aca="false">IF(M299=1,SUM(E301:E307),0)</f>
        <v>0</v>
      </c>
      <c r="V299" s="19" t="n">
        <f aca="false">SUM(F301:F307)</f>
        <v>0</v>
      </c>
      <c r="W299" s="19" t="n">
        <f aca="false">IF(M299=1,SUMIFS(F301:F307,G301:G307,"نعم"),0)</f>
        <v>0</v>
      </c>
    </row>
    <row r="300" customFormat="false" ht="39.75" hidden="false" customHeight="true" outlineLevel="0" collapsed="false">
      <c r="A300" s="21" t="s">
        <v>18</v>
      </c>
      <c r="B300" s="21" t="s">
        <v>19</v>
      </c>
      <c r="C300" s="21" t="s">
        <v>20</v>
      </c>
      <c r="D300" s="21" t="s">
        <v>21</v>
      </c>
      <c r="E300" s="21" t="s">
        <v>22</v>
      </c>
      <c r="F300" s="21" t="s">
        <v>29</v>
      </c>
      <c r="G300" s="21" t="s">
        <v>30</v>
      </c>
      <c r="H300" s="21" t="s">
        <v>26</v>
      </c>
      <c r="M300" s="19" t="n">
        <f aca="false">$M$299</f>
        <v>0</v>
      </c>
      <c r="Q300" s="19" t="n">
        <f aca="false">IF(N(E311)&gt;0,1,0)</f>
        <v>0</v>
      </c>
      <c r="S300" s="0" t="n">
        <v>22</v>
      </c>
    </row>
    <row r="301" customFormat="false" ht="15" hidden="false" customHeight="false" outlineLevel="0" collapsed="false">
      <c r="A301" s="22" t="n">
        <f aca="false">IF(22&lt;=NW,WEEK_ONE+147,"")</f>
        <v>46165</v>
      </c>
      <c r="B301" s="23" t="str">
        <f aca="false">IF(A301="","",CHOOSE(WEEKDAY(A301,1),"الأحد","الاثنين","الثلاثاء","الأربعاء","الخميس","الجمعة","السبت"))</f>
        <v>السبت</v>
      </c>
      <c r="C301" s="24"/>
      <c r="D301" s="24"/>
      <c r="E301" s="25" t="str">
        <f aca="false">IF(OR(M301=0,K301="",L301=""),"",MOD(L301-K301,1))</f>
        <v/>
      </c>
      <c r="F301" s="26" t="str">
        <f aca="false">IF(OR(E301="",M301=0),"",IF(ROUND_MODE="للأعلى",CEILING(ROUND((E301*24*$N$299),3),0.25),ROUND((E301*24*$N$299)*4,0)/4))</f>
        <v/>
      </c>
      <c r="G301" s="24"/>
      <c r="H301" s="27"/>
      <c r="K301" s="28" t="str">
        <f aca="false">IF(OR(M301=0,C301=""),"",IF(ISNUMBER(C301),MOD(C301,1),IFERROR(INDEX(القوائم!$B$1:$B$288,MATCH(TRIM(C301),القوائم!$A$1:$A$288,0)),IFERROR(MOD(TIMEVALUE(C301),1),""))))</f>
        <v/>
      </c>
      <c r="L301" s="28" t="str">
        <f aca="false">IF(OR(M301=0,D301=""),"",IF(ISNUMBER(D301),MOD(D301,1),IFERROR(INDEX(القوائم!$B$1:$B$288,MATCH(TRIM(D301),القوائم!$A$1:$A$288,0)),IFERROR(MOD(TIMEVALUE(D301),1),""))))</f>
        <v/>
      </c>
      <c r="M301" s="19" t="n">
        <f aca="false">$M$299</f>
        <v>0</v>
      </c>
      <c r="Q301" s="19" t="n">
        <f aca="false">IF(N(E311)&gt;0,1,0)</f>
        <v>0</v>
      </c>
      <c r="S301" s="0" t="n">
        <v>22</v>
      </c>
    </row>
    <row r="302" customFormat="false" ht="15" hidden="false" customHeight="false" outlineLevel="0" collapsed="false">
      <c r="A302" s="22" t="n">
        <f aca="false">IF(22&lt;=NW,WEEK_ONE+148,"")</f>
        <v>46166</v>
      </c>
      <c r="B302" s="23" t="str">
        <f aca="false">IF(A302="","",CHOOSE(WEEKDAY(A302,1),"الأحد","الاثنين","الثلاثاء","الأربعاء","الخميس","الجمعة","السبت"))</f>
        <v>الأحد</v>
      </c>
      <c r="C302" s="24"/>
      <c r="D302" s="24"/>
      <c r="E302" s="25" t="str">
        <f aca="false">IF(OR(M302=0,K302="",L302=""),"",MOD(L302-K302,1))</f>
        <v/>
      </c>
      <c r="F302" s="26" t="str">
        <f aca="false">IF(OR(E302="",M302=0),"",IF(ROUND_MODE="للأعلى",CEILING(ROUND((E302*24*$N$299),3),0.25),ROUND((E302*24*$N$299)*4,0)/4))</f>
        <v/>
      </c>
      <c r="G302" s="24"/>
      <c r="H302" s="27"/>
      <c r="K302" s="28" t="str">
        <f aca="false">IF(OR(M302=0,C302=""),"",IF(ISNUMBER(C302),MOD(C302,1),IFERROR(INDEX(القوائم!$B$1:$B$288,MATCH(TRIM(C302),القوائم!$A$1:$A$288,0)),IFERROR(MOD(TIMEVALUE(C302),1),""))))</f>
        <v/>
      </c>
      <c r="L302" s="28" t="str">
        <f aca="false">IF(OR(M302=0,D302=""),"",IF(ISNUMBER(D302),MOD(D302,1),IFERROR(INDEX(القوائم!$B$1:$B$288,MATCH(TRIM(D302),القوائم!$A$1:$A$288,0)),IFERROR(MOD(TIMEVALUE(D302),1),""))))</f>
        <v/>
      </c>
      <c r="M302" s="19" t="n">
        <f aca="false">$M$299</f>
        <v>0</v>
      </c>
      <c r="Q302" s="19" t="n">
        <f aca="false">IF(N(E311)&gt;0,1,0)</f>
        <v>0</v>
      </c>
      <c r="S302" s="0" t="n">
        <v>22</v>
      </c>
    </row>
    <row r="303" customFormat="false" ht="15" hidden="false" customHeight="false" outlineLevel="0" collapsed="false">
      <c r="A303" s="22" t="n">
        <f aca="false">IF(22&lt;=NW,WEEK_ONE+149,"")</f>
        <v>46167</v>
      </c>
      <c r="B303" s="23" t="str">
        <f aca="false">IF(A303="","",CHOOSE(WEEKDAY(A303,1),"الأحد","الاثنين","الثلاثاء","الأربعاء","الخميس","الجمعة","السبت"))</f>
        <v>الاثنين</v>
      </c>
      <c r="C303" s="24"/>
      <c r="D303" s="24"/>
      <c r="E303" s="25" t="str">
        <f aca="false">IF(OR(M303=0,K303="",L303=""),"",MOD(L303-K303,1))</f>
        <v/>
      </c>
      <c r="F303" s="26" t="str">
        <f aca="false">IF(OR(E303="",M303=0),"",IF(ROUND_MODE="للأعلى",CEILING(ROUND((E303*24*$N$299),3),0.25),ROUND((E303*24*$N$299)*4,0)/4))</f>
        <v/>
      </c>
      <c r="G303" s="24"/>
      <c r="H303" s="27"/>
      <c r="K303" s="28" t="str">
        <f aca="false">IF(OR(M303=0,C303=""),"",IF(ISNUMBER(C303),MOD(C303,1),IFERROR(INDEX(القوائم!$B$1:$B$288,MATCH(TRIM(C303),القوائم!$A$1:$A$288,0)),IFERROR(MOD(TIMEVALUE(C303),1),""))))</f>
        <v/>
      </c>
      <c r="L303" s="28" t="str">
        <f aca="false">IF(OR(M303=0,D303=""),"",IF(ISNUMBER(D303),MOD(D303,1),IFERROR(INDEX(القوائم!$B$1:$B$288,MATCH(TRIM(D303),القوائم!$A$1:$A$288,0)),IFERROR(MOD(TIMEVALUE(D303),1),""))))</f>
        <v/>
      </c>
      <c r="M303" s="19" t="n">
        <f aca="false">$M$299</f>
        <v>0</v>
      </c>
      <c r="Q303" s="19" t="n">
        <f aca="false">IF(N(E311)&gt;0,1,0)</f>
        <v>0</v>
      </c>
      <c r="S303" s="0" t="n">
        <v>22</v>
      </c>
    </row>
    <row r="304" customFormat="false" ht="15" hidden="false" customHeight="false" outlineLevel="0" collapsed="false">
      <c r="A304" s="22" t="n">
        <f aca="false">IF(22&lt;=NW,WEEK_ONE+150,"")</f>
        <v>46168</v>
      </c>
      <c r="B304" s="23" t="str">
        <f aca="false">IF(A304="","",CHOOSE(WEEKDAY(A304,1),"الأحد","الاثنين","الثلاثاء","الأربعاء","الخميس","الجمعة","السبت"))</f>
        <v>الثلاثاء</v>
      </c>
      <c r="C304" s="24"/>
      <c r="D304" s="24"/>
      <c r="E304" s="25" t="str">
        <f aca="false">IF(OR(M304=0,K304="",L304=""),"",MOD(L304-K304,1))</f>
        <v/>
      </c>
      <c r="F304" s="26" t="str">
        <f aca="false">IF(OR(E304="",M304=0),"",IF(ROUND_MODE="للأعلى",CEILING(ROUND((E304*24*$N$299),3),0.25),ROUND((E304*24*$N$299)*4,0)/4))</f>
        <v/>
      </c>
      <c r="G304" s="24"/>
      <c r="H304" s="27"/>
      <c r="K304" s="28" t="str">
        <f aca="false">IF(OR(M304=0,C304=""),"",IF(ISNUMBER(C304),MOD(C304,1),IFERROR(INDEX(القوائم!$B$1:$B$288,MATCH(TRIM(C304),القوائم!$A$1:$A$288,0)),IFERROR(MOD(TIMEVALUE(C304),1),""))))</f>
        <v/>
      </c>
      <c r="L304" s="28" t="str">
        <f aca="false">IF(OR(M304=0,D304=""),"",IF(ISNUMBER(D304),MOD(D304,1),IFERROR(INDEX(القوائم!$B$1:$B$288,MATCH(TRIM(D304),القوائم!$A$1:$A$288,0)),IFERROR(MOD(TIMEVALUE(D304),1),""))))</f>
        <v/>
      </c>
      <c r="M304" s="19" t="n">
        <f aca="false">$M$299</f>
        <v>0</v>
      </c>
      <c r="Q304" s="19" t="n">
        <f aca="false">IF(N(E311)&gt;0,1,0)</f>
        <v>0</v>
      </c>
      <c r="S304" s="0" t="n">
        <v>22</v>
      </c>
    </row>
    <row r="305" customFormat="false" ht="15" hidden="false" customHeight="false" outlineLevel="0" collapsed="false">
      <c r="A305" s="22" t="n">
        <f aca="false">IF(22&lt;=NW,WEEK_ONE+151,"")</f>
        <v>46169</v>
      </c>
      <c r="B305" s="23" t="str">
        <f aca="false">IF(A305="","",CHOOSE(WEEKDAY(A305,1),"الأحد","الاثنين","الثلاثاء","الأربعاء","الخميس","الجمعة","السبت"))</f>
        <v>الأربعاء</v>
      </c>
      <c r="C305" s="24"/>
      <c r="D305" s="24"/>
      <c r="E305" s="25" t="str">
        <f aca="false">IF(OR(M305=0,K305="",L305=""),"",MOD(L305-K305,1))</f>
        <v/>
      </c>
      <c r="F305" s="26" t="str">
        <f aca="false">IF(OR(E305="",M305=0),"",IF(ROUND_MODE="للأعلى",CEILING(ROUND((E305*24*$N$299),3),0.25),ROUND((E305*24*$N$299)*4,0)/4))</f>
        <v/>
      </c>
      <c r="G305" s="24"/>
      <c r="H305" s="27"/>
      <c r="K305" s="28" t="str">
        <f aca="false">IF(OR(M305=0,C305=""),"",IF(ISNUMBER(C305),MOD(C305,1),IFERROR(INDEX(القوائم!$B$1:$B$288,MATCH(TRIM(C305),القوائم!$A$1:$A$288,0)),IFERROR(MOD(TIMEVALUE(C305),1),""))))</f>
        <v/>
      </c>
      <c r="L305" s="28" t="str">
        <f aca="false">IF(OR(M305=0,D305=""),"",IF(ISNUMBER(D305),MOD(D305,1),IFERROR(INDEX(القوائم!$B$1:$B$288,MATCH(TRIM(D305),القوائم!$A$1:$A$288,0)),IFERROR(MOD(TIMEVALUE(D305),1),""))))</f>
        <v/>
      </c>
      <c r="M305" s="19" t="n">
        <f aca="false">$M$299</f>
        <v>0</v>
      </c>
      <c r="Q305" s="19" t="n">
        <f aca="false">IF(N(E311)&gt;0,1,0)</f>
        <v>0</v>
      </c>
      <c r="S305" s="0" t="n">
        <v>22</v>
      </c>
    </row>
    <row r="306" customFormat="false" ht="15" hidden="false" customHeight="false" outlineLevel="0" collapsed="false">
      <c r="A306" s="22" t="n">
        <f aca="false">IF(22&lt;=NW,WEEK_ONE+152,"")</f>
        <v>46170</v>
      </c>
      <c r="B306" s="23" t="str">
        <f aca="false">IF(A306="","",CHOOSE(WEEKDAY(A306,1),"الأحد","الاثنين","الثلاثاء","الأربعاء","الخميس","الجمعة","السبت"))</f>
        <v>الخميس</v>
      </c>
      <c r="C306" s="24"/>
      <c r="D306" s="24"/>
      <c r="E306" s="25" t="str">
        <f aca="false">IF(OR(M306=0,K306="",L306=""),"",MOD(L306-K306,1))</f>
        <v/>
      </c>
      <c r="F306" s="26" t="str">
        <f aca="false">IF(OR(E306="",M306=0),"",IF(ROUND_MODE="للأعلى",CEILING(ROUND((E306*24*$N$299),3),0.25),ROUND((E306*24*$N$299)*4,0)/4))</f>
        <v/>
      </c>
      <c r="G306" s="24"/>
      <c r="H306" s="27"/>
      <c r="K306" s="28" t="str">
        <f aca="false">IF(OR(M306=0,C306=""),"",IF(ISNUMBER(C306),MOD(C306,1),IFERROR(INDEX(القوائم!$B$1:$B$288,MATCH(TRIM(C306),القوائم!$A$1:$A$288,0)),IFERROR(MOD(TIMEVALUE(C306),1),""))))</f>
        <v/>
      </c>
      <c r="L306" s="28" t="str">
        <f aca="false">IF(OR(M306=0,D306=""),"",IF(ISNUMBER(D306),MOD(D306,1),IFERROR(INDEX(القوائم!$B$1:$B$288,MATCH(TRIM(D306),القوائم!$A$1:$A$288,0)),IFERROR(MOD(TIMEVALUE(D306),1),""))))</f>
        <v/>
      </c>
      <c r="M306" s="19" t="n">
        <f aca="false">$M$299</f>
        <v>0</v>
      </c>
      <c r="Q306" s="19" t="n">
        <f aca="false">IF(N(E311)&gt;0,1,0)</f>
        <v>0</v>
      </c>
      <c r="S306" s="0" t="n">
        <v>22</v>
      </c>
    </row>
    <row r="307" customFormat="false" ht="15" hidden="false" customHeight="false" outlineLevel="0" collapsed="false">
      <c r="A307" s="29" t="n">
        <f aca="false">IF(22&lt;=NW,WEEK_ONE+153,"")</f>
        <v>46171</v>
      </c>
      <c r="B307" s="30" t="str">
        <f aca="false">IF(A307="","",CHOOSE(WEEKDAY(A307,1),"الأحد","الاثنين","الثلاثاء","الأربعاء","الخميس","الجمعة","السبت"))</f>
        <v>الجمعة</v>
      </c>
      <c r="C307" s="24"/>
      <c r="D307" s="24"/>
      <c r="E307" s="25" t="str">
        <f aca="false">IF(OR(M307=0,K307="",L307=""),"",MOD(L307-K307,1))</f>
        <v/>
      </c>
      <c r="F307" s="26" t="str">
        <f aca="false">IF(OR(E307="",M307=0),"",IF(ROUND_MODE="للأعلى",CEILING(ROUND((E307*24*$N$299),3),0.25),ROUND((E307*24*$N$299)*4,0)/4))</f>
        <v/>
      </c>
      <c r="G307" s="24"/>
      <c r="H307" s="27"/>
      <c r="K307" s="28" t="str">
        <f aca="false">IF(OR(M307=0,C307=""),"",IF(ISNUMBER(C307),MOD(C307,1),IFERROR(INDEX(القوائم!$B$1:$B$288,MATCH(TRIM(C307),القوائم!$A$1:$A$288,0)),IFERROR(MOD(TIMEVALUE(C307),1),""))))</f>
        <v/>
      </c>
      <c r="L307" s="28" t="str">
        <f aca="false">IF(OR(M307=0,D307=""),"",IF(ISNUMBER(D307),MOD(D307,1),IFERROR(INDEX(القوائم!$B$1:$B$288,MATCH(TRIM(D307),القوائم!$A$1:$A$288,0)),IFERROR(MOD(TIMEVALUE(D307),1),""))))</f>
        <v/>
      </c>
      <c r="M307" s="19" t="n">
        <f aca="false">$M$299</f>
        <v>0</v>
      </c>
      <c r="Q307" s="19" t="n">
        <f aca="false">IF(N(E311)&gt;0,1,0)</f>
        <v>0</v>
      </c>
      <c r="S307" s="0" t="n">
        <v>22</v>
      </c>
    </row>
    <row r="308" customFormat="false" ht="15" hidden="false" customHeight="false" outlineLevel="0" collapsed="false">
      <c r="A308" s="31" t="str">
        <f aca="false">IF(M299=1,"ساعات تحميل الجبسمبورد بهالأسبوع ←","")</f>
        <v/>
      </c>
      <c r="B308" s="31"/>
      <c r="C308" s="31"/>
      <c r="D308" s="31"/>
      <c r="E308" s="32"/>
      <c r="F308" s="33" t="str">
        <f aca="false">IF(M299=1,"كل ساعة تحميل = "&amp;TEXT($P$299,"0.000")&amp;" دينار (منها "&amp;TEXT($N$299,"0.000")&amp;" محسوبة أصلاً بساعات اليوم)","")</f>
        <v/>
      </c>
      <c r="G308" s="33"/>
      <c r="H308" s="33"/>
      <c r="M308" s="19" t="n">
        <f aca="false">$M$299</f>
        <v>0</v>
      </c>
      <c r="Q308" s="19" t="n">
        <f aca="false">IF(N(E311)&gt;0,1,0)</f>
        <v>0</v>
      </c>
      <c r="S308" s="0" t="n">
        <v>22</v>
      </c>
    </row>
    <row r="309" customFormat="false" ht="15" hidden="false" customHeight="false" outlineLevel="0" collapsed="false">
      <c r="A309" s="31" t="str">
        <f aca="false">IF(M299=1,"إكرامية الأسبوع (دينار) ←","")</f>
        <v/>
      </c>
      <c r="B309" s="31"/>
      <c r="C309" s="31"/>
      <c r="D309" s="31"/>
      <c r="E309" s="34"/>
      <c r="F309" s="35"/>
      <c r="G309" s="35"/>
      <c r="H309" s="35"/>
      <c r="M309" s="19" t="n">
        <f aca="false">$M$299</f>
        <v>0</v>
      </c>
      <c r="Q309" s="19" t="n">
        <f aca="false">IF(N(E311)&gt;0,1,0)</f>
        <v>0</v>
      </c>
      <c r="S309" s="0" t="n">
        <v>22</v>
      </c>
    </row>
    <row r="310" customFormat="false" ht="36" hidden="false" customHeight="true" outlineLevel="0" collapsed="false">
      <c r="A310" s="36" t="str">
        <f aca="false">IF(M299=1,"المستحق النهائي للأسبوع","")</f>
        <v/>
      </c>
      <c r="B310" s="36"/>
      <c r="C310" s="36"/>
      <c r="D310" s="36"/>
      <c r="E310" s="36"/>
      <c r="F310" s="11" t="str">
        <f aca="false">IF(M299=1,ROUND(N($V$299)+N(E308)*($P$299-$N$299)+N(E309),3),"")</f>
        <v/>
      </c>
      <c r="G310" s="35"/>
      <c r="H310" s="35"/>
      <c r="M310" s="19" t="n">
        <f aca="false">$M$299</f>
        <v>0</v>
      </c>
      <c r="Q310" s="19" t="n">
        <f aca="false">IF(N(E311)&gt;0,1,0)</f>
        <v>0</v>
      </c>
      <c r="S310" s="0" t="n">
        <v>22</v>
      </c>
      <c r="T310" s="0" t="n">
        <v>1</v>
      </c>
    </row>
    <row r="311" customFormat="false" ht="25.5" hidden="false" customHeight="true" outlineLevel="0" collapsed="false">
      <c r="A311" s="31" t="str">
        <f aca="false">IF(M299=1,"المدفوع (دينار) ←","")</f>
        <v/>
      </c>
      <c r="B311" s="31"/>
      <c r="C311" s="31"/>
      <c r="D311" s="31"/>
      <c r="E311" s="34"/>
      <c r="F311" s="38" t="str">
        <f aca="false">IF(M299=1,IF(N(E311)&gt;0,"✔ انقبض — الأسبوع مقفول","⏳ لسا ما انقبض"),"")</f>
        <v/>
      </c>
      <c r="G311" s="38"/>
      <c r="H311" s="38"/>
      <c r="M311" s="19" t="n">
        <f aca="false">$M$299</f>
        <v>0</v>
      </c>
      <c r="Q311" s="19" t="n">
        <f aca="false">IF(N(E311)&gt;0,1,0)</f>
        <v>0</v>
      </c>
      <c r="S311" s="0" t="n">
        <v>22</v>
      </c>
    </row>
    <row r="312" customFormat="false" ht="9.75" hidden="false" customHeight="true" outlineLevel="0" collapsed="false">
      <c r="M312" s="19" t="n">
        <f aca="false">$M$299</f>
        <v>0</v>
      </c>
      <c r="Q312" s="19" t="n">
        <f aca="false">IF(N(E311)&gt;0,1,0)</f>
        <v>0</v>
      </c>
      <c r="S312" s="0" t="n">
        <v>22</v>
      </c>
      <c r="T312" s="0" t="n">
        <v>2</v>
      </c>
    </row>
    <row r="313" customFormat="false" ht="33.75" hidden="false" customHeight="true" outlineLevel="0" collapsed="false">
      <c r="A313" s="17" t="str">
        <f aca="false">IF(23&lt;=NW,TEXT(DAY(WEEK_ONE+154),"00")&amp;"/"&amp;TEXT(MONTH(WEEK_ONE+154),"00")&amp;"/"&amp;YEAR(WEEK_ONE+154)&amp;"  -  "&amp;TEXT(DAY(WEEK_ONE+160),"00")&amp;"/"&amp;TEXT(MONTH(WEEK_ONE+160),"00")&amp;"/"&amp;YEAR(WEEK_ONE+160)&amp;"   ·   الأسبوع 23"&amp;IF(23&lt;START_Z,"   (قبل أسبوع البداية — ما بينحسب)",""),"ما في أسبوع 23 هالسنة")</f>
        <v>30/05/2026  -  05/06/2026   ·   الأسبوع 23   (قبل أسبوع البداية — ما بينحسب)</v>
      </c>
      <c r="B313" s="17"/>
      <c r="C313" s="17"/>
      <c r="D313" s="17"/>
      <c r="E313" s="17"/>
      <c r="F313" s="17"/>
      <c r="G313" s="17"/>
      <c r="H313" s="17"/>
      <c r="L313" s="18" t="n">
        <f aca="false">IF(23&lt;=NW,WEEK_ONE+160,"")</f>
        <v>46178</v>
      </c>
      <c r="M313" s="19" t="n">
        <f aca="false">IF(AND(23&lt;=NW,23&gt;=START_Z),1,0)</f>
        <v>0</v>
      </c>
      <c r="N313" s="20" t="n">
        <f aca="false">IFERROR(INDEX(RT_AZZ,MATCH(L313,RT_K,1)),INDEX(RT_AZZ,1))</f>
        <v>1</v>
      </c>
      <c r="P313" s="20" t="n">
        <f aca="false">IFERROR(INDEX(RT_GYP,MATCH(L313,RT_K,1)),INDEX(RT_GYP,1))</f>
        <v>2.5</v>
      </c>
      <c r="Q313" s="19" t="n">
        <f aca="false">IF(N(E325)&gt;0,1,0)</f>
        <v>0</v>
      </c>
      <c r="R313" s="0" t="n">
        <v>23</v>
      </c>
      <c r="S313" s="0" t="n">
        <v>23</v>
      </c>
      <c r="U313" s="19" t="n">
        <f aca="false">IF(M313=1,SUM(E315:E321),0)</f>
        <v>0</v>
      </c>
      <c r="V313" s="19" t="n">
        <f aca="false">SUM(F315:F321)</f>
        <v>0</v>
      </c>
      <c r="W313" s="19" t="n">
        <f aca="false">IF(M313=1,SUMIFS(F315:F321,G315:G321,"نعم"),0)</f>
        <v>0</v>
      </c>
    </row>
    <row r="314" customFormat="false" ht="39.75" hidden="false" customHeight="true" outlineLevel="0" collapsed="false">
      <c r="A314" s="21" t="s">
        <v>18</v>
      </c>
      <c r="B314" s="21" t="s">
        <v>19</v>
      </c>
      <c r="C314" s="21" t="s">
        <v>20</v>
      </c>
      <c r="D314" s="21" t="s">
        <v>21</v>
      </c>
      <c r="E314" s="21" t="s">
        <v>22</v>
      </c>
      <c r="F314" s="21" t="s">
        <v>29</v>
      </c>
      <c r="G314" s="21" t="s">
        <v>30</v>
      </c>
      <c r="H314" s="21" t="s">
        <v>26</v>
      </c>
      <c r="M314" s="19" t="n">
        <f aca="false">$M$313</f>
        <v>0</v>
      </c>
      <c r="Q314" s="19" t="n">
        <f aca="false">IF(N(E325)&gt;0,1,0)</f>
        <v>0</v>
      </c>
      <c r="S314" s="0" t="n">
        <v>23</v>
      </c>
    </row>
    <row r="315" customFormat="false" ht="15" hidden="false" customHeight="false" outlineLevel="0" collapsed="false">
      <c r="A315" s="22" t="n">
        <f aca="false">IF(23&lt;=NW,WEEK_ONE+154,"")</f>
        <v>46172</v>
      </c>
      <c r="B315" s="23" t="str">
        <f aca="false">IF(A315="","",CHOOSE(WEEKDAY(A315,1),"الأحد","الاثنين","الثلاثاء","الأربعاء","الخميس","الجمعة","السبت"))</f>
        <v>السبت</v>
      </c>
      <c r="C315" s="24"/>
      <c r="D315" s="24"/>
      <c r="E315" s="25" t="str">
        <f aca="false">IF(OR(M315=0,K315="",L315=""),"",MOD(L315-K315,1))</f>
        <v/>
      </c>
      <c r="F315" s="26" t="str">
        <f aca="false">IF(OR(E315="",M315=0),"",IF(ROUND_MODE="للأعلى",CEILING(ROUND((E315*24*$N$313),3),0.25),ROUND((E315*24*$N$313)*4,0)/4))</f>
        <v/>
      </c>
      <c r="G315" s="24"/>
      <c r="H315" s="27"/>
      <c r="K315" s="28" t="str">
        <f aca="false">IF(OR(M315=0,C315=""),"",IF(ISNUMBER(C315),MOD(C315,1),IFERROR(INDEX(القوائم!$B$1:$B$288,MATCH(TRIM(C315),القوائم!$A$1:$A$288,0)),IFERROR(MOD(TIMEVALUE(C315),1),""))))</f>
        <v/>
      </c>
      <c r="L315" s="28" t="str">
        <f aca="false">IF(OR(M315=0,D315=""),"",IF(ISNUMBER(D315),MOD(D315,1),IFERROR(INDEX(القوائم!$B$1:$B$288,MATCH(TRIM(D315),القوائم!$A$1:$A$288,0)),IFERROR(MOD(TIMEVALUE(D315),1),""))))</f>
        <v/>
      </c>
      <c r="M315" s="19" t="n">
        <f aca="false">$M$313</f>
        <v>0</v>
      </c>
      <c r="Q315" s="19" t="n">
        <f aca="false">IF(N(E325)&gt;0,1,0)</f>
        <v>0</v>
      </c>
      <c r="S315" s="0" t="n">
        <v>23</v>
      </c>
    </row>
    <row r="316" customFormat="false" ht="15" hidden="false" customHeight="false" outlineLevel="0" collapsed="false">
      <c r="A316" s="22" t="n">
        <f aca="false">IF(23&lt;=NW,WEEK_ONE+155,"")</f>
        <v>46173</v>
      </c>
      <c r="B316" s="23" t="str">
        <f aca="false">IF(A316="","",CHOOSE(WEEKDAY(A316,1),"الأحد","الاثنين","الثلاثاء","الأربعاء","الخميس","الجمعة","السبت"))</f>
        <v>الأحد</v>
      </c>
      <c r="C316" s="24"/>
      <c r="D316" s="24"/>
      <c r="E316" s="25" t="str">
        <f aca="false">IF(OR(M316=0,K316="",L316=""),"",MOD(L316-K316,1))</f>
        <v/>
      </c>
      <c r="F316" s="26" t="str">
        <f aca="false">IF(OR(E316="",M316=0),"",IF(ROUND_MODE="للأعلى",CEILING(ROUND((E316*24*$N$313),3),0.25),ROUND((E316*24*$N$313)*4,0)/4))</f>
        <v/>
      </c>
      <c r="G316" s="24"/>
      <c r="H316" s="27"/>
      <c r="K316" s="28" t="str">
        <f aca="false">IF(OR(M316=0,C316=""),"",IF(ISNUMBER(C316),MOD(C316,1),IFERROR(INDEX(القوائم!$B$1:$B$288,MATCH(TRIM(C316),القوائم!$A$1:$A$288,0)),IFERROR(MOD(TIMEVALUE(C316),1),""))))</f>
        <v/>
      </c>
      <c r="L316" s="28" t="str">
        <f aca="false">IF(OR(M316=0,D316=""),"",IF(ISNUMBER(D316),MOD(D316,1),IFERROR(INDEX(القوائم!$B$1:$B$288,MATCH(TRIM(D316),القوائم!$A$1:$A$288,0)),IFERROR(MOD(TIMEVALUE(D316),1),""))))</f>
        <v/>
      </c>
      <c r="M316" s="19" t="n">
        <f aca="false">$M$313</f>
        <v>0</v>
      </c>
      <c r="Q316" s="19" t="n">
        <f aca="false">IF(N(E325)&gt;0,1,0)</f>
        <v>0</v>
      </c>
      <c r="S316" s="0" t="n">
        <v>23</v>
      </c>
    </row>
    <row r="317" customFormat="false" ht="15" hidden="false" customHeight="false" outlineLevel="0" collapsed="false">
      <c r="A317" s="22" t="n">
        <f aca="false">IF(23&lt;=NW,WEEK_ONE+156,"")</f>
        <v>46174</v>
      </c>
      <c r="B317" s="23" t="str">
        <f aca="false">IF(A317="","",CHOOSE(WEEKDAY(A317,1),"الأحد","الاثنين","الثلاثاء","الأربعاء","الخميس","الجمعة","السبت"))</f>
        <v>الاثنين</v>
      </c>
      <c r="C317" s="24"/>
      <c r="D317" s="24"/>
      <c r="E317" s="25" t="str">
        <f aca="false">IF(OR(M317=0,K317="",L317=""),"",MOD(L317-K317,1))</f>
        <v/>
      </c>
      <c r="F317" s="26" t="str">
        <f aca="false">IF(OR(E317="",M317=0),"",IF(ROUND_MODE="للأعلى",CEILING(ROUND((E317*24*$N$313),3),0.25),ROUND((E317*24*$N$313)*4,0)/4))</f>
        <v/>
      </c>
      <c r="G317" s="24"/>
      <c r="H317" s="27"/>
      <c r="K317" s="28" t="str">
        <f aca="false">IF(OR(M317=0,C317=""),"",IF(ISNUMBER(C317),MOD(C317,1),IFERROR(INDEX(القوائم!$B$1:$B$288,MATCH(TRIM(C317),القوائم!$A$1:$A$288,0)),IFERROR(MOD(TIMEVALUE(C317),1),""))))</f>
        <v/>
      </c>
      <c r="L317" s="28" t="str">
        <f aca="false">IF(OR(M317=0,D317=""),"",IF(ISNUMBER(D317),MOD(D317,1),IFERROR(INDEX(القوائم!$B$1:$B$288,MATCH(TRIM(D317),القوائم!$A$1:$A$288,0)),IFERROR(MOD(TIMEVALUE(D317),1),""))))</f>
        <v/>
      </c>
      <c r="M317" s="19" t="n">
        <f aca="false">$M$313</f>
        <v>0</v>
      </c>
      <c r="Q317" s="19" t="n">
        <f aca="false">IF(N(E325)&gt;0,1,0)</f>
        <v>0</v>
      </c>
      <c r="S317" s="0" t="n">
        <v>23</v>
      </c>
    </row>
    <row r="318" customFormat="false" ht="15" hidden="false" customHeight="false" outlineLevel="0" collapsed="false">
      <c r="A318" s="22" t="n">
        <f aca="false">IF(23&lt;=NW,WEEK_ONE+157,"")</f>
        <v>46175</v>
      </c>
      <c r="B318" s="23" t="str">
        <f aca="false">IF(A318="","",CHOOSE(WEEKDAY(A318,1),"الأحد","الاثنين","الثلاثاء","الأربعاء","الخميس","الجمعة","السبت"))</f>
        <v>الثلاثاء</v>
      </c>
      <c r="C318" s="24"/>
      <c r="D318" s="24"/>
      <c r="E318" s="25" t="str">
        <f aca="false">IF(OR(M318=0,K318="",L318=""),"",MOD(L318-K318,1))</f>
        <v/>
      </c>
      <c r="F318" s="26" t="str">
        <f aca="false">IF(OR(E318="",M318=0),"",IF(ROUND_MODE="للأعلى",CEILING(ROUND((E318*24*$N$313),3),0.25),ROUND((E318*24*$N$313)*4,0)/4))</f>
        <v/>
      </c>
      <c r="G318" s="24"/>
      <c r="H318" s="27"/>
      <c r="K318" s="28" t="str">
        <f aca="false">IF(OR(M318=0,C318=""),"",IF(ISNUMBER(C318),MOD(C318,1),IFERROR(INDEX(القوائم!$B$1:$B$288,MATCH(TRIM(C318),القوائم!$A$1:$A$288,0)),IFERROR(MOD(TIMEVALUE(C318),1),""))))</f>
        <v/>
      </c>
      <c r="L318" s="28" t="str">
        <f aca="false">IF(OR(M318=0,D318=""),"",IF(ISNUMBER(D318),MOD(D318,1),IFERROR(INDEX(القوائم!$B$1:$B$288,MATCH(TRIM(D318),القوائم!$A$1:$A$288,0)),IFERROR(MOD(TIMEVALUE(D318),1),""))))</f>
        <v/>
      </c>
      <c r="M318" s="19" t="n">
        <f aca="false">$M$313</f>
        <v>0</v>
      </c>
      <c r="Q318" s="19" t="n">
        <f aca="false">IF(N(E325)&gt;0,1,0)</f>
        <v>0</v>
      </c>
      <c r="S318" s="0" t="n">
        <v>23</v>
      </c>
    </row>
    <row r="319" customFormat="false" ht="15" hidden="false" customHeight="false" outlineLevel="0" collapsed="false">
      <c r="A319" s="22" t="n">
        <f aca="false">IF(23&lt;=NW,WEEK_ONE+158,"")</f>
        <v>46176</v>
      </c>
      <c r="B319" s="23" t="str">
        <f aca="false">IF(A319="","",CHOOSE(WEEKDAY(A319,1),"الأحد","الاثنين","الثلاثاء","الأربعاء","الخميس","الجمعة","السبت"))</f>
        <v>الأربعاء</v>
      </c>
      <c r="C319" s="24"/>
      <c r="D319" s="24"/>
      <c r="E319" s="25" t="str">
        <f aca="false">IF(OR(M319=0,K319="",L319=""),"",MOD(L319-K319,1))</f>
        <v/>
      </c>
      <c r="F319" s="26" t="str">
        <f aca="false">IF(OR(E319="",M319=0),"",IF(ROUND_MODE="للأعلى",CEILING(ROUND((E319*24*$N$313),3),0.25),ROUND((E319*24*$N$313)*4,0)/4))</f>
        <v/>
      </c>
      <c r="G319" s="24"/>
      <c r="H319" s="27"/>
      <c r="K319" s="28" t="str">
        <f aca="false">IF(OR(M319=0,C319=""),"",IF(ISNUMBER(C319),MOD(C319,1),IFERROR(INDEX(القوائم!$B$1:$B$288,MATCH(TRIM(C319),القوائم!$A$1:$A$288,0)),IFERROR(MOD(TIMEVALUE(C319),1),""))))</f>
        <v/>
      </c>
      <c r="L319" s="28" t="str">
        <f aca="false">IF(OR(M319=0,D319=""),"",IF(ISNUMBER(D319),MOD(D319,1),IFERROR(INDEX(القوائم!$B$1:$B$288,MATCH(TRIM(D319),القوائم!$A$1:$A$288,0)),IFERROR(MOD(TIMEVALUE(D319),1),""))))</f>
        <v/>
      </c>
      <c r="M319" s="19" t="n">
        <f aca="false">$M$313</f>
        <v>0</v>
      </c>
      <c r="Q319" s="19" t="n">
        <f aca="false">IF(N(E325)&gt;0,1,0)</f>
        <v>0</v>
      </c>
      <c r="S319" s="0" t="n">
        <v>23</v>
      </c>
    </row>
    <row r="320" customFormat="false" ht="15" hidden="false" customHeight="false" outlineLevel="0" collapsed="false">
      <c r="A320" s="22" t="n">
        <f aca="false">IF(23&lt;=NW,WEEK_ONE+159,"")</f>
        <v>46177</v>
      </c>
      <c r="B320" s="23" t="str">
        <f aca="false">IF(A320="","",CHOOSE(WEEKDAY(A320,1),"الأحد","الاثنين","الثلاثاء","الأربعاء","الخميس","الجمعة","السبت"))</f>
        <v>الخميس</v>
      </c>
      <c r="C320" s="24"/>
      <c r="D320" s="24"/>
      <c r="E320" s="25" t="str">
        <f aca="false">IF(OR(M320=0,K320="",L320=""),"",MOD(L320-K320,1))</f>
        <v/>
      </c>
      <c r="F320" s="26" t="str">
        <f aca="false">IF(OR(E320="",M320=0),"",IF(ROUND_MODE="للأعلى",CEILING(ROUND((E320*24*$N$313),3),0.25),ROUND((E320*24*$N$313)*4,0)/4))</f>
        <v/>
      </c>
      <c r="G320" s="24"/>
      <c r="H320" s="27"/>
      <c r="K320" s="28" t="str">
        <f aca="false">IF(OR(M320=0,C320=""),"",IF(ISNUMBER(C320),MOD(C320,1),IFERROR(INDEX(القوائم!$B$1:$B$288,MATCH(TRIM(C320),القوائم!$A$1:$A$288,0)),IFERROR(MOD(TIMEVALUE(C320),1),""))))</f>
        <v/>
      </c>
      <c r="L320" s="28" t="str">
        <f aca="false">IF(OR(M320=0,D320=""),"",IF(ISNUMBER(D320),MOD(D320,1),IFERROR(INDEX(القوائم!$B$1:$B$288,MATCH(TRIM(D320),القوائم!$A$1:$A$288,0)),IFERROR(MOD(TIMEVALUE(D320),1),""))))</f>
        <v/>
      </c>
      <c r="M320" s="19" t="n">
        <f aca="false">$M$313</f>
        <v>0</v>
      </c>
      <c r="Q320" s="19" t="n">
        <f aca="false">IF(N(E325)&gt;0,1,0)</f>
        <v>0</v>
      </c>
      <c r="S320" s="0" t="n">
        <v>23</v>
      </c>
    </row>
    <row r="321" customFormat="false" ht="15" hidden="false" customHeight="false" outlineLevel="0" collapsed="false">
      <c r="A321" s="29" t="n">
        <f aca="false">IF(23&lt;=NW,WEEK_ONE+160,"")</f>
        <v>46178</v>
      </c>
      <c r="B321" s="30" t="str">
        <f aca="false">IF(A321="","",CHOOSE(WEEKDAY(A321,1),"الأحد","الاثنين","الثلاثاء","الأربعاء","الخميس","الجمعة","السبت"))</f>
        <v>الجمعة</v>
      </c>
      <c r="C321" s="24"/>
      <c r="D321" s="24"/>
      <c r="E321" s="25" t="str">
        <f aca="false">IF(OR(M321=0,K321="",L321=""),"",MOD(L321-K321,1))</f>
        <v/>
      </c>
      <c r="F321" s="26" t="str">
        <f aca="false">IF(OR(E321="",M321=0),"",IF(ROUND_MODE="للأعلى",CEILING(ROUND((E321*24*$N$313),3),0.25),ROUND((E321*24*$N$313)*4,0)/4))</f>
        <v/>
      </c>
      <c r="G321" s="24"/>
      <c r="H321" s="27"/>
      <c r="K321" s="28" t="str">
        <f aca="false">IF(OR(M321=0,C321=""),"",IF(ISNUMBER(C321),MOD(C321,1),IFERROR(INDEX(القوائم!$B$1:$B$288,MATCH(TRIM(C321),القوائم!$A$1:$A$288,0)),IFERROR(MOD(TIMEVALUE(C321),1),""))))</f>
        <v/>
      </c>
      <c r="L321" s="28" t="str">
        <f aca="false">IF(OR(M321=0,D321=""),"",IF(ISNUMBER(D321),MOD(D321,1),IFERROR(INDEX(القوائم!$B$1:$B$288,MATCH(TRIM(D321),القوائم!$A$1:$A$288,0)),IFERROR(MOD(TIMEVALUE(D321),1),""))))</f>
        <v/>
      </c>
      <c r="M321" s="19" t="n">
        <f aca="false">$M$313</f>
        <v>0</v>
      </c>
      <c r="Q321" s="19" t="n">
        <f aca="false">IF(N(E325)&gt;0,1,0)</f>
        <v>0</v>
      </c>
      <c r="S321" s="0" t="n">
        <v>23</v>
      </c>
    </row>
    <row r="322" customFormat="false" ht="15" hidden="false" customHeight="false" outlineLevel="0" collapsed="false">
      <c r="A322" s="31" t="str">
        <f aca="false">IF(M313=1,"ساعات تحميل الجبسمبورد بهالأسبوع ←","")</f>
        <v/>
      </c>
      <c r="B322" s="31"/>
      <c r="C322" s="31"/>
      <c r="D322" s="31"/>
      <c r="E322" s="32"/>
      <c r="F322" s="33" t="str">
        <f aca="false">IF(M313=1,"كل ساعة تحميل = "&amp;TEXT($P$313,"0.000")&amp;" دينار (منها "&amp;TEXT($N$313,"0.000")&amp;" محسوبة أصلاً بساعات اليوم)","")</f>
        <v/>
      </c>
      <c r="G322" s="33"/>
      <c r="H322" s="33"/>
      <c r="M322" s="19" t="n">
        <f aca="false">$M$313</f>
        <v>0</v>
      </c>
      <c r="Q322" s="19" t="n">
        <f aca="false">IF(N(E325)&gt;0,1,0)</f>
        <v>0</v>
      </c>
      <c r="S322" s="0" t="n">
        <v>23</v>
      </c>
    </row>
    <row r="323" customFormat="false" ht="15" hidden="false" customHeight="false" outlineLevel="0" collapsed="false">
      <c r="A323" s="31" t="str">
        <f aca="false">IF(M313=1,"إكرامية الأسبوع (دينار) ←","")</f>
        <v/>
      </c>
      <c r="B323" s="31"/>
      <c r="C323" s="31"/>
      <c r="D323" s="31"/>
      <c r="E323" s="34"/>
      <c r="F323" s="35"/>
      <c r="G323" s="35"/>
      <c r="H323" s="35"/>
      <c r="M323" s="19" t="n">
        <f aca="false">$M$313</f>
        <v>0</v>
      </c>
      <c r="Q323" s="19" t="n">
        <f aca="false">IF(N(E325)&gt;0,1,0)</f>
        <v>0</v>
      </c>
      <c r="S323" s="0" t="n">
        <v>23</v>
      </c>
    </row>
    <row r="324" customFormat="false" ht="36" hidden="false" customHeight="true" outlineLevel="0" collapsed="false">
      <c r="A324" s="36" t="str">
        <f aca="false">IF(M313=1,"المستحق النهائي للأسبوع","")</f>
        <v/>
      </c>
      <c r="B324" s="36"/>
      <c r="C324" s="36"/>
      <c r="D324" s="36"/>
      <c r="E324" s="36"/>
      <c r="F324" s="11" t="str">
        <f aca="false">IF(M313=1,ROUND(N($V$313)+N(E322)*($P$313-$N$313)+N(E323),3),"")</f>
        <v/>
      </c>
      <c r="G324" s="35"/>
      <c r="H324" s="35"/>
      <c r="M324" s="19" t="n">
        <f aca="false">$M$313</f>
        <v>0</v>
      </c>
      <c r="Q324" s="19" t="n">
        <f aca="false">IF(N(E325)&gt;0,1,0)</f>
        <v>0</v>
      </c>
      <c r="S324" s="0" t="n">
        <v>23</v>
      </c>
      <c r="T324" s="0" t="n">
        <v>1</v>
      </c>
    </row>
    <row r="325" customFormat="false" ht="25.5" hidden="false" customHeight="true" outlineLevel="0" collapsed="false">
      <c r="A325" s="31" t="str">
        <f aca="false">IF(M313=1,"المدفوع (دينار) ←","")</f>
        <v/>
      </c>
      <c r="B325" s="31"/>
      <c r="C325" s="31"/>
      <c r="D325" s="31"/>
      <c r="E325" s="34"/>
      <c r="F325" s="38" t="str">
        <f aca="false">IF(M313=1,IF(N(E325)&gt;0,"✔ انقبض — الأسبوع مقفول","⏳ لسا ما انقبض"),"")</f>
        <v/>
      </c>
      <c r="G325" s="38"/>
      <c r="H325" s="38"/>
      <c r="M325" s="19" t="n">
        <f aca="false">$M$313</f>
        <v>0</v>
      </c>
      <c r="Q325" s="19" t="n">
        <f aca="false">IF(N(E325)&gt;0,1,0)</f>
        <v>0</v>
      </c>
      <c r="S325" s="0" t="n">
        <v>23</v>
      </c>
    </row>
    <row r="326" customFormat="false" ht="9.75" hidden="false" customHeight="true" outlineLevel="0" collapsed="false">
      <c r="M326" s="19" t="n">
        <f aca="false">$M$313</f>
        <v>0</v>
      </c>
      <c r="Q326" s="19" t="n">
        <f aca="false">IF(N(E325)&gt;0,1,0)</f>
        <v>0</v>
      </c>
      <c r="S326" s="0" t="n">
        <v>23</v>
      </c>
      <c r="T326" s="0" t="n">
        <v>2</v>
      </c>
    </row>
    <row r="327" customFormat="false" ht="33.75" hidden="false" customHeight="true" outlineLevel="0" collapsed="false">
      <c r="A327" s="17" t="str">
        <f aca="false">IF(24&lt;=NW,TEXT(DAY(WEEK_ONE+161),"00")&amp;"/"&amp;TEXT(MONTH(WEEK_ONE+161),"00")&amp;"/"&amp;YEAR(WEEK_ONE+161)&amp;"  -  "&amp;TEXT(DAY(WEEK_ONE+167),"00")&amp;"/"&amp;TEXT(MONTH(WEEK_ONE+167),"00")&amp;"/"&amp;YEAR(WEEK_ONE+167)&amp;"   ·   الأسبوع 24"&amp;IF(24&lt;START_Z,"   (قبل أسبوع البداية — ما بينحسب)",""),"ما في أسبوع 24 هالسنة")</f>
        <v>06/06/2026  -  12/06/2026   ·   الأسبوع 24   (قبل أسبوع البداية — ما بينحسب)</v>
      </c>
      <c r="B327" s="17"/>
      <c r="C327" s="17"/>
      <c r="D327" s="17"/>
      <c r="E327" s="17"/>
      <c r="F327" s="17"/>
      <c r="G327" s="17"/>
      <c r="H327" s="17"/>
      <c r="L327" s="18" t="n">
        <f aca="false">IF(24&lt;=NW,WEEK_ONE+167,"")</f>
        <v>46185</v>
      </c>
      <c r="M327" s="19" t="n">
        <f aca="false">IF(AND(24&lt;=NW,24&gt;=START_Z),1,0)</f>
        <v>0</v>
      </c>
      <c r="N327" s="20" t="n">
        <f aca="false">IFERROR(INDEX(RT_AZZ,MATCH(L327,RT_K,1)),INDEX(RT_AZZ,1))</f>
        <v>1</v>
      </c>
      <c r="P327" s="20" t="n">
        <f aca="false">IFERROR(INDEX(RT_GYP,MATCH(L327,RT_K,1)),INDEX(RT_GYP,1))</f>
        <v>2.5</v>
      </c>
      <c r="Q327" s="19" t="n">
        <f aca="false">IF(N(E339)&gt;0,1,0)</f>
        <v>0</v>
      </c>
      <c r="R327" s="0" t="n">
        <v>24</v>
      </c>
      <c r="S327" s="0" t="n">
        <v>24</v>
      </c>
      <c r="U327" s="19" t="n">
        <f aca="false">IF(M327=1,SUM(E329:E335),0)</f>
        <v>0</v>
      </c>
      <c r="V327" s="19" t="n">
        <f aca="false">SUM(F329:F335)</f>
        <v>0</v>
      </c>
      <c r="W327" s="19" t="n">
        <f aca="false">IF(M327=1,SUMIFS(F329:F335,G329:G335,"نعم"),0)</f>
        <v>0</v>
      </c>
    </row>
    <row r="328" customFormat="false" ht="39.75" hidden="false" customHeight="true" outlineLevel="0" collapsed="false">
      <c r="A328" s="21" t="s">
        <v>18</v>
      </c>
      <c r="B328" s="21" t="s">
        <v>19</v>
      </c>
      <c r="C328" s="21" t="s">
        <v>20</v>
      </c>
      <c r="D328" s="21" t="s">
        <v>21</v>
      </c>
      <c r="E328" s="21" t="s">
        <v>22</v>
      </c>
      <c r="F328" s="21" t="s">
        <v>29</v>
      </c>
      <c r="G328" s="21" t="s">
        <v>30</v>
      </c>
      <c r="H328" s="21" t="s">
        <v>26</v>
      </c>
      <c r="M328" s="19" t="n">
        <f aca="false">$M$327</f>
        <v>0</v>
      </c>
      <c r="Q328" s="19" t="n">
        <f aca="false">IF(N(E339)&gt;0,1,0)</f>
        <v>0</v>
      </c>
      <c r="S328" s="0" t="n">
        <v>24</v>
      </c>
    </row>
    <row r="329" customFormat="false" ht="15" hidden="false" customHeight="false" outlineLevel="0" collapsed="false">
      <c r="A329" s="22" t="n">
        <f aca="false">IF(24&lt;=NW,WEEK_ONE+161,"")</f>
        <v>46179</v>
      </c>
      <c r="B329" s="23" t="str">
        <f aca="false">IF(A329="","",CHOOSE(WEEKDAY(A329,1),"الأحد","الاثنين","الثلاثاء","الأربعاء","الخميس","الجمعة","السبت"))</f>
        <v>السبت</v>
      </c>
      <c r="C329" s="24"/>
      <c r="D329" s="24"/>
      <c r="E329" s="25" t="str">
        <f aca="false">IF(OR(M329=0,K329="",L329=""),"",MOD(L329-K329,1))</f>
        <v/>
      </c>
      <c r="F329" s="26" t="str">
        <f aca="false">IF(OR(E329="",M329=0),"",IF(ROUND_MODE="للأعلى",CEILING(ROUND((E329*24*$N$327),3),0.25),ROUND((E329*24*$N$327)*4,0)/4))</f>
        <v/>
      </c>
      <c r="G329" s="24"/>
      <c r="H329" s="27"/>
      <c r="K329" s="28" t="str">
        <f aca="false">IF(OR(M329=0,C329=""),"",IF(ISNUMBER(C329),MOD(C329,1),IFERROR(INDEX(القوائم!$B$1:$B$288,MATCH(TRIM(C329),القوائم!$A$1:$A$288,0)),IFERROR(MOD(TIMEVALUE(C329),1),""))))</f>
        <v/>
      </c>
      <c r="L329" s="28" t="str">
        <f aca="false">IF(OR(M329=0,D329=""),"",IF(ISNUMBER(D329),MOD(D329,1),IFERROR(INDEX(القوائم!$B$1:$B$288,MATCH(TRIM(D329),القوائم!$A$1:$A$288,0)),IFERROR(MOD(TIMEVALUE(D329),1),""))))</f>
        <v/>
      </c>
      <c r="M329" s="19" t="n">
        <f aca="false">$M$327</f>
        <v>0</v>
      </c>
      <c r="Q329" s="19" t="n">
        <f aca="false">IF(N(E339)&gt;0,1,0)</f>
        <v>0</v>
      </c>
      <c r="S329" s="0" t="n">
        <v>24</v>
      </c>
    </row>
    <row r="330" customFormat="false" ht="15" hidden="false" customHeight="false" outlineLevel="0" collapsed="false">
      <c r="A330" s="22" t="n">
        <f aca="false">IF(24&lt;=NW,WEEK_ONE+162,"")</f>
        <v>46180</v>
      </c>
      <c r="B330" s="23" t="str">
        <f aca="false">IF(A330="","",CHOOSE(WEEKDAY(A330,1),"الأحد","الاثنين","الثلاثاء","الأربعاء","الخميس","الجمعة","السبت"))</f>
        <v>الأحد</v>
      </c>
      <c r="C330" s="24"/>
      <c r="D330" s="24"/>
      <c r="E330" s="25" t="str">
        <f aca="false">IF(OR(M330=0,K330="",L330=""),"",MOD(L330-K330,1))</f>
        <v/>
      </c>
      <c r="F330" s="26" t="str">
        <f aca="false">IF(OR(E330="",M330=0),"",IF(ROUND_MODE="للأعلى",CEILING(ROUND((E330*24*$N$327),3),0.25),ROUND((E330*24*$N$327)*4,0)/4))</f>
        <v/>
      </c>
      <c r="G330" s="24"/>
      <c r="H330" s="27"/>
      <c r="K330" s="28" t="str">
        <f aca="false">IF(OR(M330=0,C330=""),"",IF(ISNUMBER(C330),MOD(C330,1),IFERROR(INDEX(القوائم!$B$1:$B$288,MATCH(TRIM(C330),القوائم!$A$1:$A$288,0)),IFERROR(MOD(TIMEVALUE(C330),1),""))))</f>
        <v/>
      </c>
      <c r="L330" s="28" t="str">
        <f aca="false">IF(OR(M330=0,D330=""),"",IF(ISNUMBER(D330),MOD(D330,1),IFERROR(INDEX(القوائم!$B$1:$B$288,MATCH(TRIM(D330),القوائم!$A$1:$A$288,0)),IFERROR(MOD(TIMEVALUE(D330),1),""))))</f>
        <v/>
      </c>
      <c r="M330" s="19" t="n">
        <f aca="false">$M$327</f>
        <v>0</v>
      </c>
      <c r="Q330" s="19" t="n">
        <f aca="false">IF(N(E339)&gt;0,1,0)</f>
        <v>0</v>
      </c>
      <c r="S330" s="0" t="n">
        <v>24</v>
      </c>
    </row>
    <row r="331" customFormat="false" ht="15" hidden="false" customHeight="false" outlineLevel="0" collapsed="false">
      <c r="A331" s="22" t="n">
        <f aca="false">IF(24&lt;=NW,WEEK_ONE+163,"")</f>
        <v>46181</v>
      </c>
      <c r="B331" s="23" t="str">
        <f aca="false">IF(A331="","",CHOOSE(WEEKDAY(A331,1),"الأحد","الاثنين","الثلاثاء","الأربعاء","الخميس","الجمعة","السبت"))</f>
        <v>الاثنين</v>
      </c>
      <c r="C331" s="24"/>
      <c r="D331" s="24"/>
      <c r="E331" s="25" t="str">
        <f aca="false">IF(OR(M331=0,K331="",L331=""),"",MOD(L331-K331,1))</f>
        <v/>
      </c>
      <c r="F331" s="26" t="str">
        <f aca="false">IF(OR(E331="",M331=0),"",IF(ROUND_MODE="للأعلى",CEILING(ROUND((E331*24*$N$327),3),0.25),ROUND((E331*24*$N$327)*4,0)/4))</f>
        <v/>
      </c>
      <c r="G331" s="24"/>
      <c r="H331" s="27"/>
      <c r="K331" s="28" t="str">
        <f aca="false">IF(OR(M331=0,C331=""),"",IF(ISNUMBER(C331),MOD(C331,1),IFERROR(INDEX(القوائم!$B$1:$B$288,MATCH(TRIM(C331),القوائم!$A$1:$A$288,0)),IFERROR(MOD(TIMEVALUE(C331),1),""))))</f>
        <v/>
      </c>
      <c r="L331" s="28" t="str">
        <f aca="false">IF(OR(M331=0,D331=""),"",IF(ISNUMBER(D331),MOD(D331,1),IFERROR(INDEX(القوائم!$B$1:$B$288,MATCH(TRIM(D331),القوائم!$A$1:$A$288,0)),IFERROR(MOD(TIMEVALUE(D331),1),""))))</f>
        <v/>
      </c>
      <c r="M331" s="19" t="n">
        <f aca="false">$M$327</f>
        <v>0</v>
      </c>
      <c r="Q331" s="19" t="n">
        <f aca="false">IF(N(E339)&gt;0,1,0)</f>
        <v>0</v>
      </c>
      <c r="S331" s="0" t="n">
        <v>24</v>
      </c>
    </row>
    <row r="332" customFormat="false" ht="15" hidden="false" customHeight="false" outlineLevel="0" collapsed="false">
      <c r="A332" s="22" t="n">
        <f aca="false">IF(24&lt;=NW,WEEK_ONE+164,"")</f>
        <v>46182</v>
      </c>
      <c r="B332" s="23" t="str">
        <f aca="false">IF(A332="","",CHOOSE(WEEKDAY(A332,1),"الأحد","الاثنين","الثلاثاء","الأربعاء","الخميس","الجمعة","السبت"))</f>
        <v>الثلاثاء</v>
      </c>
      <c r="C332" s="24"/>
      <c r="D332" s="24"/>
      <c r="E332" s="25" t="str">
        <f aca="false">IF(OR(M332=0,K332="",L332=""),"",MOD(L332-K332,1))</f>
        <v/>
      </c>
      <c r="F332" s="26" t="str">
        <f aca="false">IF(OR(E332="",M332=0),"",IF(ROUND_MODE="للأعلى",CEILING(ROUND((E332*24*$N$327),3),0.25),ROUND((E332*24*$N$327)*4,0)/4))</f>
        <v/>
      </c>
      <c r="G332" s="24"/>
      <c r="H332" s="27"/>
      <c r="K332" s="28" t="str">
        <f aca="false">IF(OR(M332=0,C332=""),"",IF(ISNUMBER(C332),MOD(C332,1),IFERROR(INDEX(القوائم!$B$1:$B$288,MATCH(TRIM(C332),القوائم!$A$1:$A$288,0)),IFERROR(MOD(TIMEVALUE(C332),1),""))))</f>
        <v/>
      </c>
      <c r="L332" s="28" t="str">
        <f aca="false">IF(OR(M332=0,D332=""),"",IF(ISNUMBER(D332),MOD(D332,1),IFERROR(INDEX(القوائم!$B$1:$B$288,MATCH(TRIM(D332),القوائم!$A$1:$A$288,0)),IFERROR(MOD(TIMEVALUE(D332),1),""))))</f>
        <v/>
      </c>
      <c r="M332" s="19" t="n">
        <f aca="false">$M$327</f>
        <v>0</v>
      </c>
      <c r="Q332" s="19" t="n">
        <f aca="false">IF(N(E339)&gt;0,1,0)</f>
        <v>0</v>
      </c>
      <c r="S332" s="0" t="n">
        <v>24</v>
      </c>
    </row>
    <row r="333" customFormat="false" ht="15" hidden="false" customHeight="false" outlineLevel="0" collapsed="false">
      <c r="A333" s="22" t="n">
        <f aca="false">IF(24&lt;=NW,WEEK_ONE+165,"")</f>
        <v>46183</v>
      </c>
      <c r="B333" s="23" t="str">
        <f aca="false">IF(A333="","",CHOOSE(WEEKDAY(A333,1),"الأحد","الاثنين","الثلاثاء","الأربعاء","الخميس","الجمعة","السبت"))</f>
        <v>الأربعاء</v>
      </c>
      <c r="C333" s="24"/>
      <c r="D333" s="24"/>
      <c r="E333" s="25" t="str">
        <f aca="false">IF(OR(M333=0,K333="",L333=""),"",MOD(L333-K333,1))</f>
        <v/>
      </c>
      <c r="F333" s="26" t="str">
        <f aca="false">IF(OR(E333="",M333=0),"",IF(ROUND_MODE="للأعلى",CEILING(ROUND((E333*24*$N$327),3),0.25),ROUND((E333*24*$N$327)*4,0)/4))</f>
        <v/>
      </c>
      <c r="G333" s="24"/>
      <c r="H333" s="27"/>
      <c r="K333" s="28" t="str">
        <f aca="false">IF(OR(M333=0,C333=""),"",IF(ISNUMBER(C333),MOD(C333,1),IFERROR(INDEX(القوائم!$B$1:$B$288,MATCH(TRIM(C333),القوائم!$A$1:$A$288,0)),IFERROR(MOD(TIMEVALUE(C333),1),""))))</f>
        <v/>
      </c>
      <c r="L333" s="28" t="str">
        <f aca="false">IF(OR(M333=0,D333=""),"",IF(ISNUMBER(D333),MOD(D333,1),IFERROR(INDEX(القوائم!$B$1:$B$288,MATCH(TRIM(D333),القوائم!$A$1:$A$288,0)),IFERROR(MOD(TIMEVALUE(D333),1),""))))</f>
        <v/>
      </c>
      <c r="M333" s="19" t="n">
        <f aca="false">$M$327</f>
        <v>0</v>
      </c>
      <c r="Q333" s="19" t="n">
        <f aca="false">IF(N(E339)&gt;0,1,0)</f>
        <v>0</v>
      </c>
      <c r="S333" s="0" t="n">
        <v>24</v>
      </c>
    </row>
    <row r="334" customFormat="false" ht="15" hidden="false" customHeight="false" outlineLevel="0" collapsed="false">
      <c r="A334" s="22" t="n">
        <f aca="false">IF(24&lt;=NW,WEEK_ONE+166,"")</f>
        <v>46184</v>
      </c>
      <c r="B334" s="23" t="str">
        <f aca="false">IF(A334="","",CHOOSE(WEEKDAY(A334,1),"الأحد","الاثنين","الثلاثاء","الأربعاء","الخميس","الجمعة","السبت"))</f>
        <v>الخميس</v>
      </c>
      <c r="C334" s="24"/>
      <c r="D334" s="24"/>
      <c r="E334" s="25" t="str">
        <f aca="false">IF(OR(M334=0,K334="",L334=""),"",MOD(L334-K334,1))</f>
        <v/>
      </c>
      <c r="F334" s="26" t="str">
        <f aca="false">IF(OR(E334="",M334=0),"",IF(ROUND_MODE="للأعلى",CEILING(ROUND((E334*24*$N$327),3),0.25),ROUND((E334*24*$N$327)*4,0)/4))</f>
        <v/>
      </c>
      <c r="G334" s="24"/>
      <c r="H334" s="27"/>
      <c r="K334" s="28" t="str">
        <f aca="false">IF(OR(M334=0,C334=""),"",IF(ISNUMBER(C334),MOD(C334,1),IFERROR(INDEX(القوائم!$B$1:$B$288,MATCH(TRIM(C334),القوائم!$A$1:$A$288,0)),IFERROR(MOD(TIMEVALUE(C334),1),""))))</f>
        <v/>
      </c>
      <c r="L334" s="28" t="str">
        <f aca="false">IF(OR(M334=0,D334=""),"",IF(ISNUMBER(D334),MOD(D334,1),IFERROR(INDEX(القوائم!$B$1:$B$288,MATCH(TRIM(D334),القوائم!$A$1:$A$288,0)),IFERROR(MOD(TIMEVALUE(D334),1),""))))</f>
        <v/>
      </c>
      <c r="M334" s="19" t="n">
        <f aca="false">$M$327</f>
        <v>0</v>
      </c>
      <c r="Q334" s="19" t="n">
        <f aca="false">IF(N(E339)&gt;0,1,0)</f>
        <v>0</v>
      </c>
      <c r="S334" s="0" t="n">
        <v>24</v>
      </c>
    </row>
    <row r="335" customFormat="false" ht="15" hidden="false" customHeight="false" outlineLevel="0" collapsed="false">
      <c r="A335" s="29" t="n">
        <f aca="false">IF(24&lt;=NW,WEEK_ONE+167,"")</f>
        <v>46185</v>
      </c>
      <c r="B335" s="30" t="str">
        <f aca="false">IF(A335="","",CHOOSE(WEEKDAY(A335,1),"الأحد","الاثنين","الثلاثاء","الأربعاء","الخميس","الجمعة","السبت"))</f>
        <v>الجمعة</v>
      </c>
      <c r="C335" s="24"/>
      <c r="D335" s="24"/>
      <c r="E335" s="25" t="str">
        <f aca="false">IF(OR(M335=0,K335="",L335=""),"",MOD(L335-K335,1))</f>
        <v/>
      </c>
      <c r="F335" s="26" t="str">
        <f aca="false">IF(OR(E335="",M335=0),"",IF(ROUND_MODE="للأعلى",CEILING(ROUND((E335*24*$N$327),3),0.25),ROUND((E335*24*$N$327)*4,0)/4))</f>
        <v/>
      </c>
      <c r="G335" s="24"/>
      <c r="H335" s="27"/>
      <c r="K335" s="28" t="str">
        <f aca="false">IF(OR(M335=0,C335=""),"",IF(ISNUMBER(C335),MOD(C335,1),IFERROR(INDEX(القوائم!$B$1:$B$288,MATCH(TRIM(C335),القوائم!$A$1:$A$288,0)),IFERROR(MOD(TIMEVALUE(C335),1),""))))</f>
        <v/>
      </c>
      <c r="L335" s="28" t="str">
        <f aca="false">IF(OR(M335=0,D335=""),"",IF(ISNUMBER(D335),MOD(D335,1),IFERROR(INDEX(القوائم!$B$1:$B$288,MATCH(TRIM(D335),القوائم!$A$1:$A$288,0)),IFERROR(MOD(TIMEVALUE(D335),1),""))))</f>
        <v/>
      </c>
      <c r="M335" s="19" t="n">
        <f aca="false">$M$327</f>
        <v>0</v>
      </c>
      <c r="Q335" s="19" t="n">
        <f aca="false">IF(N(E339)&gt;0,1,0)</f>
        <v>0</v>
      </c>
      <c r="S335" s="0" t="n">
        <v>24</v>
      </c>
    </row>
    <row r="336" customFormat="false" ht="15" hidden="false" customHeight="false" outlineLevel="0" collapsed="false">
      <c r="A336" s="31" t="str">
        <f aca="false">IF(M327=1,"ساعات تحميل الجبسمبورد بهالأسبوع ←","")</f>
        <v/>
      </c>
      <c r="B336" s="31"/>
      <c r="C336" s="31"/>
      <c r="D336" s="31"/>
      <c r="E336" s="32"/>
      <c r="F336" s="33" t="str">
        <f aca="false">IF(M327=1,"كل ساعة تحميل = "&amp;TEXT($P$327,"0.000")&amp;" دينار (منها "&amp;TEXT($N$327,"0.000")&amp;" محسوبة أصلاً بساعات اليوم)","")</f>
        <v/>
      </c>
      <c r="G336" s="33"/>
      <c r="H336" s="33"/>
      <c r="M336" s="19" t="n">
        <f aca="false">$M$327</f>
        <v>0</v>
      </c>
      <c r="Q336" s="19" t="n">
        <f aca="false">IF(N(E339)&gt;0,1,0)</f>
        <v>0</v>
      </c>
      <c r="S336" s="0" t="n">
        <v>24</v>
      </c>
    </row>
    <row r="337" customFormat="false" ht="15" hidden="false" customHeight="false" outlineLevel="0" collapsed="false">
      <c r="A337" s="31" t="str">
        <f aca="false">IF(M327=1,"إكرامية الأسبوع (دينار) ←","")</f>
        <v/>
      </c>
      <c r="B337" s="31"/>
      <c r="C337" s="31"/>
      <c r="D337" s="31"/>
      <c r="E337" s="34"/>
      <c r="F337" s="35"/>
      <c r="G337" s="35"/>
      <c r="H337" s="35"/>
      <c r="M337" s="19" t="n">
        <f aca="false">$M$327</f>
        <v>0</v>
      </c>
      <c r="Q337" s="19" t="n">
        <f aca="false">IF(N(E339)&gt;0,1,0)</f>
        <v>0</v>
      </c>
      <c r="S337" s="0" t="n">
        <v>24</v>
      </c>
    </row>
    <row r="338" customFormat="false" ht="36" hidden="false" customHeight="true" outlineLevel="0" collapsed="false">
      <c r="A338" s="36" t="str">
        <f aca="false">IF(M327=1,"المستحق النهائي للأسبوع","")</f>
        <v/>
      </c>
      <c r="B338" s="36"/>
      <c r="C338" s="36"/>
      <c r="D338" s="36"/>
      <c r="E338" s="36"/>
      <c r="F338" s="11" t="str">
        <f aca="false">IF(M327=1,ROUND(N($V$327)+N(E336)*($P$327-$N$327)+N(E337),3),"")</f>
        <v/>
      </c>
      <c r="G338" s="35"/>
      <c r="H338" s="35"/>
      <c r="M338" s="19" t="n">
        <f aca="false">$M$327</f>
        <v>0</v>
      </c>
      <c r="Q338" s="19" t="n">
        <f aca="false">IF(N(E339)&gt;0,1,0)</f>
        <v>0</v>
      </c>
      <c r="S338" s="0" t="n">
        <v>24</v>
      </c>
      <c r="T338" s="0" t="n">
        <v>1</v>
      </c>
    </row>
    <row r="339" customFormat="false" ht="25.5" hidden="false" customHeight="true" outlineLevel="0" collapsed="false">
      <c r="A339" s="31" t="str">
        <f aca="false">IF(M327=1,"المدفوع (دينار) ←","")</f>
        <v/>
      </c>
      <c r="B339" s="31"/>
      <c r="C339" s="31"/>
      <c r="D339" s="31"/>
      <c r="E339" s="34"/>
      <c r="F339" s="38" t="str">
        <f aca="false">IF(M327=1,IF(N(E339)&gt;0,"✔ انقبض — الأسبوع مقفول","⏳ لسا ما انقبض"),"")</f>
        <v/>
      </c>
      <c r="G339" s="38"/>
      <c r="H339" s="38"/>
      <c r="M339" s="19" t="n">
        <f aca="false">$M$327</f>
        <v>0</v>
      </c>
      <c r="Q339" s="19" t="n">
        <f aca="false">IF(N(E339)&gt;0,1,0)</f>
        <v>0</v>
      </c>
      <c r="S339" s="0" t="n">
        <v>24</v>
      </c>
    </row>
    <row r="340" customFormat="false" ht="9.75" hidden="false" customHeight="true" outlineLevel="0" collapsed="false">
      <c r="M340" s="19" t="n">
        <f aca="false">$M$327</f>
        <v>0</v>
      </c>
      <c r="Q340" s="19" t="n">
        <f aca="false">IF(N(E339)&gt;0,1,0)</f>
        <v>0</v>
      </c>
      <c r="S340" s="0" t="n">
        <v>24</v>
      </c>
      <c r="T340" s="0" t="n">
        <v>2</v>
      </c>
    </row>
    <row r="341" customFormat="false" ht="33.75" hidden="false" customHeight="true" outlineLevel="0" collapsed="false">
      <c r="A341" s="17" t="str">
        <f aca="false">IF(25&lt;=NW,TEXT(DAY(WEEK_ONE+168),"00")&amp;"/"&amp;TEXT(MONTH(WEEK_ONE+168),"00")&amp;"/"&amp;YEAR(WEEK_ONE+168)&amp;"  -  "&amp;TEXT(DAY(WEEK_ONE+174),"00")&amp;"/"&amp;TEXT(MONTH(WEEK_ONE+174),"00")&amp;"/"&amp;YEAR(WEEK_ONE+174)&amp;"   ·   الأسبوع 25"&amp;IF(25&lt;START_Z,"   (قبل أسبوع البداية — ما بينحسب)",""),"ما في أسبوع 25 هالسنة")</f>
        <v>13/06/2026  -  19/06/2026   ·   الأسبوع 25   (قبل أسبوع البداية — ما بينحسب)</v>
      </c>
      <c r="B341" s="17"/>
      <c r="C341" s="17"/>
      <c r="D341" s="17"/>
      <c r="E341" s="17"/>
      <c r="F341" s="17"/>
      <c r="G341" s="17"/>
      <c r="H341" s="17"/>
      <c r="L341" s="18" t="n">
        <f aca="false">IF(25&lt;=NW,WEEK_ONE+174,"")</f>
        <v>46192</v>
      </c>
      <c r="M341" s="19" t="n">
        <f aca="false">IF(AND(25&lt;=NW,25&gt;=START_Z),1,0)</f>
        <v>0</v>
      </c>
      <c r="N341" s="20" t="n">
        <f aca="false">IFERROR(INDEX(RT_AZZ,MATCH(L341,RT_K,1)),INDEX(RT_AZZ,1))</f>
        <v>1</v>
      </c>
      <c r="P341" s="20" t="n">
        <f aca="false">IFERROR(INDEX(RT_GYP,MATCH(L341,RT_K,1)),INDEX(RT_GYP,1))</f>
        <v>2.5</v>
      </c>
      <c r="Q341" s="19" t="n">
        <f aca="false">IF(N(E353)&gt;0,1,0)</f>
        <v>0</v>
      </c>
      <c r="R341" s="0" t="n">
        <v>25</v>
      </c>
      <c r="S341" s="0" t="n">
        <v>25</v>
      </c>
      <c r="U341" s="19" t="n">
        <f aca="false">IF(M341=1,SUM(E343:E349),0)</f>
        <v>0</v>
      </c>
      <c r="V341" s="19" t="n">
        <f aca="false">SUM(F343:F349)</f>
        <v>0</v>
      </c>
      <c r="W341" s="19" t="n">
        <f aca="false">IF(M341=1,SUMIFS(F343:F349,G343:G349,"نعم"),0)</f>
        <v>0</v>
      </c>
    </row>
    <row r="342" customFormat="false" ht="39.75" hidden="false" customHeight="true" outlineLevel="0" collapsed="false">
      <c r="A342" s="21" t="s">
        <v>18</v>
      </c>
      <c r="B342" s="21" t="s">
        <v>19</v>
      </c>
      <c r="C342" s="21" t="s">
        <v>20</v>
      </c>
      <c r="D342" s="21" t="s">
        <v>21</v>
      </c>
      <c r="E342" s="21" t="s">
        <v>22</v>
      </c>
      <c r="F342" s="21" t="s">
        <v>29</v>
      </c>
      <c r="G342" s="21" t="s">
        <v>30</v>
      </c>
      <c r="H342" s="21" t="s">
        <v>26</v>
      </c>
      <c r="M342" s="19" t="n">
        <f aca="false">$M$341</f>
        <v>0</v>
      </c>
      <c r="Q342" s="19" t="n">
        <f aca="false">IF(N(E353)&gt;0,1,0)</f>
        <v>0</v>
      </c>
      <c r="S342" s="0" t="n">
        <v>25</v>
      </c>
    </row>
    <row r="343" customFormat="false" ht="15" hidden="false" customHeight="false" outlineLevel="0" collapsed="false">
      <c r="A343" s="22" t="n">
        <f aca="false">IF(25&lt;=NW,WEEK_ONE+168,"")</f>
        <v>46186</v>
      </c>
      <c r="B343" s="23" t="str">
        <f aca="false">IF(A343="","",CHOOSE(WEEKDAY(A343,1),"الأحد","الاثنين","الثلاثاء","الأربعاء","الخميس","الجمعة","السبت"))</f>
        <v>السبت</v>
      </c>
      <c r="C343" s="24"/>
      <c r="D343" s="24"/>
      <c r="E343" s="25" t="str">
        <f aca="false">IF(OR(M343=0,K343="",L343=""),"",MOD(L343-K343,1))</f>
        <v/>
      </c>
      <c r="F343" s="26" t="str">
        <f aca="false">IF(OR(E343="",M343=0),"",IF(ROUND_MODE="للأعلى",CEILING(ROUND((E343*24*$N$341),3),0.25),ROUND((E343*24*$N$341)*4,0)/4))</f>
        <v/>
      </c>
      <c r="G343" s="24"/>
      <c r="H343" s="27"/>
      <c r="K343" s="28" t="str">
        <f aca="false">IF(OR(M343=0,C343=""),"",IF(ISNUMBER(C343),MOD(C343,1),IFERROR(INDEX(القوائم!$B$1:$B$288,MATCH(TRIM(C343),القوائم!$A$1:$A$288,0)),IFERROR(MOD(TIMEVALUE(C343),1),""))))</f>
        <v/>
      </c>
      <c r="L343" s="28" t="str">
        <f aca="false">IF(OR(M343=0,D343=""),"",IF(ISNUMBER(D343),MOD(D343,1),IFERROR(INDEX(القوائم!$B$1:$B$288,MATCH(TRIM(D343),القوائم!$A$1:$A$288,0)),IFERROR(MOD(TIMEVALUE(D343),1),""))))</f>
        <v/>
      </c>
      <c r="M343" s="19" t="n">
        <f aca="false">$M$341</f>
        <v>0</v>
      </c>
      <c r="Q343" s="19" t="n">
        <f aca="false">IF(N(E353)&gt;0,1,0)</f>
        <v>0</v>
      </c>
      <c r="S343" s="0" t="n">
        <v>25</v>
      </c>
    </row>
    <row r="344" customFormat="false" ht="15" hidden="false" customHeight="false" outlineLevel="0" collapsed="false">
      <c r="A344" s="22" t="n">
        <f aca="false">IF(25&lt;=NW,WEEK_ONE+169,"")</f>
        <v>46187</v>
      </c>
      <c r="B344" s="23" t="str">
        <f aca="false">IF(A344="","",CHOOSE(WEEKDAY(A344,1),"الأحد","الاثنين","الثلاثاء","الأربعاء","الخميس","الجمعة","السبت"))</f>
        <v>الأحد</v>
      </c>
      <c r="C344" s="24"/>
      <c r="D344" s="24"/>
      <c r="E344" s="25" t="str">
        <f aca="false">IF(OR(M344=0,K344="",L344=""),"",MOD(L344-K344,1))</f>
        <v/>
      </c>
      <c r="F344" s="26" t="str">
        <f aca="false">IF(OR(E344="",M344=0),"",IF(ROUND_MODE="للأعلى",CEILING(ROUND((E344*24*$N$341),3),0.25),ROUND((E344*24*$N$341)*4,0)/4))</f>
        <v/>
      </c>
      <c r="G344" s="24"/>
      <c r="H344" s="27"/>
      <c r="K344" s="28" t="str">
        <f aca="false">IF(OR(M344=0,C344=""),"",IF(ISNUMBER(C344),MOD(C344,1),IFERROR(INDEX(القوائم!$B$1:$B$288,MATCH(TRIM(C344),القوائم!$A$1:$A$288,0)),IFERROR(MOD(TIMEVALUE(C344),1),""))))</f>
        <v/>
      </c>
      <c r="L344" s="28" t="str">
        <f aca="false">IF(OR(M344=0,D344=""),"",IF(ISNUMBER(D344),MOD(D344,1),IFERROR(INDEX(القوائم!$B$1:$B$288,MATCH(TRIM(D344),القوائم!$A$1:$A$288,0)),IFERROR(MOD(TIMEVALUE(D344),1),""))))</f>
        <v/>
      </c>
      <c r="M344" s="19" t="n">
        <f aca="false">$M$341</f>
        <v>0</v>
      </c>
      <c r="Q344" s="19" t="n">
        <f aca="false">IF(N(E353)&gt;0,1,0)</f>
        <v>0</v>
      </c>
      <c r="S344" s="0" t="n">
        <v>25</v>
      </c>
    </row>
    <row r="345" customFormat="false" ht="15" hidden="false" customHeight="false" outlineLevel="0" collapsed="false">
      <c r="A345" s="22" t="n">
        <f aca="false">IF(25&lt;=NW,WEEK_ONE+170,"")</f>
        <v>46188</v>
      </c>
      <c r="B345" s="23" t="str">
        <f aca="false">IF(A345="","",CHOOSE(WEEKDAY(A345,1),"الأحد","الاثنين","الثلاثاء","الأربعاء","الخميس","الجمعة","السبت"))</f>
        <v>الاثنين</v>
      </c>
      <c r="C345" s="24"/>
      <c r="D345" s="24"/>
      <c r="E345" s="25" t="str">
        <f aca="false">IF(OR(M345=0,K345="",L345=""),"",MOD(L345-K345,1))</f>
        <v/>
      </c>
      <c r="F345" s="26" t="str">
        <f aca="false">IF(OR(E345="",M345=0),"",IF(ROUND_MODE="للأعلى",CEILING(ROUND((E345*24*$N$341),3),0.25),ROUND((E345*24*$N$341)*4,0)/4))</f>
        <v/>
      </c>
      <c r="G345" s="24"/>
      <c r="H345" s="27"/>
      <c r="K345" s="28" t="str">
        <f aca="false">IF(OR(M345=0,C345=""),"",IF(ISNUMBER(C345),MOD(C345,1),IFERROR(INDEX(القوائم!$B$1:$B$288,MATCH(TRIM(C345),القوائم!$A$1:$A$288,0)),IFERROR(MOD(TIMEVALUE(C345),1),""))))</f>
        <v/>
      </c>
      <c r="L345" s="28" t="str">
        <f aca="false">IF(OR(M345=0,D345=""),"",IF(ISNUMBER(D345),MOD(D345,1),IFERROR(INDEX(القوائم!$B$1:$B$288,MATCH(TRIM(D345),القوائم!$A$1:$A$288,0)),IFERROR(MOD(TIMEVALUE(D345),1),""))))</f>
        <v/>
      </c>
      <c r="M345" s="19" t="n">
        <f aca="false">$M$341</f>
        <v>0</v>
      </c>
      <c r="Q345" s="19" t="n">
        <f aca="false">IF(N(E353)&gt;0,1,0)</f>
        <v>0</v>
      </c>
      <c r="S345" s="0" t="n">
        <v>25</v>
      </c>
    </row>
    <row r="346" customFormat="false" ht="15" hidden="false" customHeight="false" outlineLevel="0" collapsed="false">
      <c r="A346" s="22" t="n">
        <f aca="false">IF(25&lt;=NW,WEEK_ONE+171,"")</f>
        <v>46189</v>
      </c>
      <c r="B346" s="23" t="str">
        <f aca="false">IF(A346="","",CHOOSE(WEEKDAY(A346,1),"الأحد","الاثنين","الثلاثاء","الأربعاء","الخميس","الجمعة","السبت"))</f>
        <v>الثلاثاء</v>
      </c>
      <c r="C346" s="24"/>
      <c r="D346" s="24"/>
      <c r="E346" s="25" t="str">
        <f aca="false">IF(OR(M346=0,K346="",L346=""),"",MOD(L346-K346,1))</f>
        <v/>
      </c>
      <c r="F346" s="26" t="str">
        <f aca="false">IF(OR(E346="",M346=0),"",IF(ROUND_MODE="للأعلى",CEILING(ROUND((E346*24*$N$341),3),0.25),ROUND((E346*24*$N$341)*4,0)/4))</f>
        <v/>
      </c>
      <c r="G346" s="24"/>
      <c r="H346" s="27"/>
      <c r="K346" s="28" t="str">
        <f aca="false">IF(OR(M346=0,C346=""),"",IF(ISNUMBER(C346),MOD(C346,1),IFERROR(INDEX(القوائم!$B$1:$B$288,MATCH(TRIM(C346),القوائم!$A$1:$A$288,0)),IFERROR(MOD(TIMEVALUE(C346),1),""))))</f>
        <v/>
      </c>
      <c r="L346" s="28" t="str">
        <f aca="false">IF(OR(M346=0,D346=""),"",IF(ISNUMBER(D346),MOD(D346,1),IFERROR(INDEX(القوائم!$B$1:$B$288,MATCH(TRIM(D346),القوائم!$A$1:$A$288,0)),IFERROR(MOD(TIMEVALUE(D346),1),""))))</f>
        <v/>
      </c>
      <c r="M346" s="19" t="n">
        <f aca="false">$M$341</f>
        <v>0</v>
      </c>
      <c r="Q346" s="19" t="n">
        <f aca="false">IF(N(E353)&gt;0,1,0)</f>
        <v>0</v>
      </c>
      <c r="S346" s="0" t="n">
        <v>25</v>
      </c>
    </row>
    <row r="347" customFormat="false" ht="15" hidden="false" customHeight="false" outlineLevel="0" collapsed="false">
      <c r="A347" s="22" t="n">
        <f aca="false">IF(25&lt;=NW,WEEK_ONE+172,"")</f>
        <v>46190</v>
      </c>
      <c r="B347" s="23" t="str">
        <f aca="false">IF(A347="","",CHOOSE(WEEKDAY(A347,1),"الأحد","الاثنين","الثلاثاء","الأربعاء","الخميس","الجمعة","السبت"))</f>
        <v>الأربعاء</v>
      </c>
      <c r="C347" s="24"/>
      <c r="D347" s="24"/>
      <c r="E347" s="25" t="str">
        <f aca="false">IF(OR(M347=0,K347="",L347=""),"",MOD(L347-K347,1))</f>
        <v/>
      </c>
      <c r="F347" s="26" t="str">
        <f aca="false">IF(OR(E347="",M347=0),"",IF(ROUND_MODE="للأعلى",CEILING(ROUND((E347*24*$N$341),3),0.25),ROUND((E347*24*$N$341)*4,0)/4))</f>
        <v/>
      </c>
      <c r="G347" s="24"/>
      <c r="H347" s="27"/>
      <c r="K347" s="28" t="str">
        <f aca="false">IF(OR(M347=0,C347=""),"",IF(ISNUMBER(C347),MOD(C347,1),IFERROR(INDEX(القوائم!$B$1:$B$288,MATCH(TRIM(C347),القوائم!$A$1:$A$288,0)),IFERROR(MOD(TIMEVALUE(C347),1),""))))</f>
        <v/>
      </c>
      <c r="L347" s="28" t="str">
        <f aca="false">IF(OR(M347=0,D347=""),"",IF(ISNUMBER(D347),MOD(D347,1),IFERROR(INDEX(القوائم!$B$1:$B$288,MATCH(TRIM(D347),القوائم!$A$1:$A$288,0)),IFERROR(MOD(TIMEVALUE(D347),1),""))))</f>
        <v/>
      </c>
      <c r="M347" s="19" t="n">
        <f aca="false">$M$341</f>
        <v>0</v>
      </c>
      <c r="Q347" s="19" t="n">
        <f aca="false">IF(N(E353)&gt;0,1,0)</f>
        <v>0</v>
      </c>
      <c r="S347" s="0" t="n">
        <v>25</v>
      </c>
    </row>
    <row r="348" customFormat="false" ht="15" hidden="false" customHeight="false" outlineLevel="0" collapsed="false">
      <c r="A348" s="22" t="n">
        <f aca="false">IF(25&lt;=NW,WEEK_ONE+173,"")</f>
        <v>46191</v>
      </c>
      <c r="B348" s="23" t="str">
        <f aca="false">IF(A348="","",CHOOSE(WEEKDAY(A348,1),"الأحد","الاثنين","الثلاثاء","الأربعاء","الخميس","الجمعة","السبت"))</f>
        <v>الخميس</v>
      </c>
      <c r="C348" s="24"/>
      <c r="D348" s="24"/>
      <c r="E348" s="25" t="str">
        <f aca="false">IF(OR(M348=0,K348="",L348=""),"",MOD(L348-K348,1))</f>
        <v/>
      </c>
      <c r="F348" s="26" t="str">
        <f aca="false">IF(OR(E348="",M348=0),"",IF(ROUND_MODE="للأعلى",CEILING(ROUND((E348*24*$N$341),3),0.25),ROUND((E348*24*$N$341)*4,0)/4))</f>
        <v/>
      </c>
      <c r="G348" s="24"/>
      <c r="H348" s="27"/>
      <c r="K348" s="28" t="str">
        <f aca="false">IF(OR(M348=0,C348=""),"",IF(ISNUMBER(C348),MOD(C348,1),IFERROR(INDEX(القوائم!$B$1:$B$288,MATCH(TRIM(C348),القوائم!$A$1:$A$288,0)),IFERROR(MOD(TIMEVALUE(C348),1),""))))</f>
        <v/>
      </c>
      <c r="L348" s="28" t="str">
        <f aca="false">IF(OR(M348=0,D348=""),"",IF(ISNUMBER(D348),MOD(D348,1),IFERROR(INDEX(القوائم!$B$1:$B$288,MATCH(TRIM(D348),القوائم!$A$1:$A$288,0)),IFERROR(MOD(TIMEVALUE(D348),1),""))))</f>
        <v/>
      </c>
      <c r="M348" s="19" t="n">
        <f aca="false">$M$341</f>
        <v>0</v>
      </c>
      <c r="Q348" s="19" t="n">
        <f aca="false">IF(N(E353)&gt;0,1,0)</f>
        <v>0</v>
      </c>
      <c r="S348" s="0" t="n">
        <v>25</v>
      </c>
    </row>
    <row r="349" customFormat="false" ht="15" hidden="false" customHeight="false" outlineLevel="0" collapsed="false">
      <c r="A349" s="29" t="n">
        <f aca="false">IF(25&lt;=NW,WEEK_ONE+174,"")</f>
        <v>46192</v>
      </c>
      <c r="B349" s="30" t="str">
        <f aca="false">IF(A349="","",CHOOSE(WEEKDAY(A349,1),"الأحد","الاثنين","الثلاثاء","الأربعاء","الخميس","الجمعة","السبت"))</f>
        <v>الجمعة</v>
      </c>
      <c r="C349" s="24"/>
      <c r="D349" s="24"/>
      <c r="E349" s="25" t="str">
        <f aca="false">IF(OR(M349=0,K349="",L349=""),"",MOD(L349-K349,1))</f>
        <v/>
      </c>
      <c r="F349" s="26" t="str">
        <f aca="false">IF(OR(E349="",M349=0),"",IF(ROUND_MODE="للأعلى",CEILING(ROUND((E349*24*$N$341),3),0.25),ROUND((E349*24*$N$341)*4,0)/4))</f>
        <v/>
      </c>
      <c r="G349" s="24"/>
      <c r="H349" s="27"/>
      <c r="K349" s="28" t="str">
        <f aca="false">IF(OR(M349=0,C349=""),"",IF(ISNUMBER(C349),MOD(C349,1),IFERROR(INDEX(القوائم!$B$1:$B$288,MATCH(TRIM(C349),القوائم!$A$1:$A$288,0)),IFERROR(MOD(TIMEVALUE(C349),1),""))))</f>
        <v/>
      </c>
      <c r="L349" s="28" t="str">
        <f aca="false">IF(OR(M349=0,D349=""),"",IF(ISNUMBER(D349),MOD(D349,1),IFERROR(INDEX(القوائم!$B$1:$B$288,MATCH(TRIM(D349),القوائم!$A$1:$A$288,0)),IFERROR(MOD(TIMEVALUE(D349),1),""))))</f>
        <v/>
      </c>
      <c r="M349" s="19" t="n">
        <f aca="false">$M$341</f>
        <v>0</v>
      </c>
      <c r="Q349" s="19" t="n">
        <f aca="false">IF(N(E353)&gt;0,1,0)</f>
        <v>0</v>
      </c>
      <c r="S349" s="0" t="n">
        <v>25</v>
      </c>
    </row>
    <row r="350" customFormat="false" ht="15" hidden="false" customHeight="false" outlineLevel="0" collapsed="false">
      <c r="A350" s="31" t="str">
        <f aca="false">IF(M341=1,"ساعات تحميل الجبسمبورد بهالأسبوع ←","")</f>
        <v/>
      </c>
      <c r="B350" s="31"/>
      <c r="C350" s="31"/>
      <c r="D350" s="31"/>
      <c r="E350" s="32"/>
      <c r="F350" s="33" t="str">
        <f aca="false">IF(M341=1,"كل ساعة تحميل = "&amp;TEXT($P$341,"0.000")&amp;" دينار (منها "&amp;TEXT($N$341,"0.000")&amp;" محسوبة أصلاً بساعات اليوم)","")</f>
        <v/>
      </c>
      <c r="G350" s="33"/>
      <c r="H350" s="33"/>
      <c r="M350" s="19" t="n">
        <f aca="false">$M$341</f>
        <v>0</v>
      </c>
      <c r="Q350" s="19" t="n">
        <f aca="false">IF(N(E353)&gt;0,1,0)</f>
        <v>0</v>
      </c>
      <c r="S350" s="0" t="n">
        <v>25</v>
      </c>
    </row>
    <row r="351" customFormat="false" ht="15" hidden="false" customHeight="false" outlineLevel="0" collapsed="false">
      <c r="A351" s="31" t="str">
        <f aca="false">IF(M341=1,"إكرامية الأسبوع (دينار) ←","")</f>
        <v/>
      </c>
      <c r="B351" s="31"/>
      <c r="C351" s="31"/>
      <c r="D351" s="31"/>
      <c r="E351" s="34"/>
      <c r="F351" s="35"/>
      <c r="G351" s="35"/>
      <c r="H351" s="35"/>
      <c r="M351" s="19" t="n">
        <f aca="false">$M$341</f>
        <v>0</v>
      </c>
      <c r="Q351" s="19" t="n">
        <f aca="false">IF(N(E353)&gt;0,1,0)</f>
        <v>0</v>
      </c>
      <c r="S351" s="0" t="n">
        <v>25</v>
      </c>
    </row>
    <row r="352" customFormat="false" ht="36" hidden="false" customHeight="true" outlineLevel="0" collapsed="false">
      <c r="A352" s="36" t="str">
        <f aca="false">IF(M341=1,"المستحق النهائي للأسبوع","")</f>
        <v/>
      </c>
      <c r="B352" s="36"/>
      <c r="C352" s="36"/>
      <c r="D352" s="36"/>
      <c r="E352" s="36"/>
      <c r="F352" s="11" t="str">
        <f aca="false">IF(M341=1,ROUND(N($V$341)+N(E350)*($P$341-$N$341)+N(E351),3),"")</f>
        <v/>
      </c>
      <c r="G352" s="35"/>
      <c r="H352" s="35"/>
      <c r="M352" s="19" t="n">
        <f aca="false">$M$341</f>
        <v>0</v>
      </c>
      <c r="Q352" s="19" t="n">
        <f aca="false">IF(N(E353)&gt;0,1,0)</f>
        <v>0</v>
      </c>
      <c r="S352" s="0" t="n">
        <v>25</v>
      </c>
      <c r="T352" s="0" t="n">
        <v>1</v>
      </c>
    </row>
    <row r="353" customFormat="false" ht="25.5" hidden="false" customHeight="true" outlineLevel="0" collapsed="false">
      <c r="A353" s="31" t="str">
        <f aca="false">IF(M341=1,"المدفوع (دينار) ←","")</f>
        <v/>
      </c>
      <c r="B353" s="31"/>
      <c r="C353" s="31"/>
      <c r="D353" s="31"/>
      <c r="E353" s="34"/>
      <c r="F353" s="38" t="str">
        <f aca="false">IF(M341=1,IF(N(E353)&gt;0,"✔ انقبض — الأسبوع مقفول","⏳ لسا ما انقبض"),"")</f>
        <v/>
      </c>
      <c r="G353" s="38"/>
      <c r="H353" s="38"/>
      <c r="M353" s="19" t="n">
        <f aca="false">$M$341</f>
        <v>0</v>
      </c>
      <c r="Q353" s="19" t="n">
        <f aca="false">IF(N(E353)&gt;0,1,0)</f>
        <v>0</v>
      </c>
      <c r="S353" s="0" t="n">
        <v>25</v>
      </c>
    </row>
    <row r="354" customFormat="false" ht="9.75" hidden="false" customHeight="true" outlineLevel="0" collapsed="false">
      <c r="M354" s="19" t="n">
        <f aca="false">$M$341</f>
        <v>0</v>
      </c>
      <c r="Q354" s="19" t="n">
        <f aca="false">IF(N(E353)&gt;0,1,0)</f>
        <v>0</v>
      </c>
      <c r="S354" s="0" t="n">
        <v>25</v>
      </c>
      <c r="T354" s="0" t="n">
        <v>2</v>
      </c>
    </row>
    <row r="355" customFormat="false" ht="33.75" hidden="false" customHeight="true" outlineLevel="0" collapsed="false">
      <c r="A355" s="17" t="str">
        <f aca="false">IF(26&lt;=NW,TEXT(DAY(WEEK_ONE+175),"00")&amp;"/"&amp;TEXT(MONTH(WEEK_ONE+175),"00")&amp;"/"&amp;YEAR(WEEK_ONE+175)&amp;"  -  "&amp;TEXT(DAY(WEEK_ONE+181),"00")&amp;"/"&amp;TEXT(MONTH(WEEK_ONE+181),"00")&amp;"/"&amp;YEAR(WEEK_ONE+181)&amp;"   ·   الأسبوع 26"&amp;IF(26&lt;START_Z,"   (قبل أسبوع البداية — ما بينحسب)",""),"ما في أسبوع 26 هالسنة")</f>
        <v>20/06/2026  -  26/06/2026   ·   الأسبوع 26   (قبل أسبوع البداية — ما بينحسب)</v>
      </c>
      <c r="B355" s="17"/>
      <c r="C355" s="17"/>
      <c r="D355" s="17"/>
      <c r="E355" s="17"/>
      <c r="F355" s="17"/>
      <c r="G355" s="17"/>
      <c r="H355" s="17"/>
      <c r="L355" s="18" t="n">
        <f aca="false">IF(26&lt;=NW,WEEK_ONE+181,"")</f>
        <v>46199</v>
      </c>
      <c r="M355" s="19" t="n">
        <f aca="false">IF(AND(26&lt;=NW,26&gt;=START_Z),1,0)</f>
        <v>0</v>
      </c>
      <c r="N355" s="20" t="n">
        <f aca="false">IFERROR(INDEX(RT_AZZ,MATCH(L355,RT_K,1)),INDEX(RT_AZZ,1))</f>
        <v>1</v>
      </c>
      <c r="P355" s="20" t="n">
        <f aca="false">IFERROR(INDEX(RT_GYP,MATCH(L355,RT_K,1)),INDEX(RT_GYP,1))</f>
        <v>2.5</v>
      </c>
      <c r="Q355" s="19" t="n">
        <f aca="false">IF(N(E367)&gt;0,1,0)</f>
        <v>0</v>
      </c>
      <c r="R355" s="0" t="n">
        <v>26</v>
      </c>
      <c r="S355" s="0" t="n">
        <v>26</v>
      </c>
      <c r="U355" s="19" t="n">
        <f aca="false">IF(M355=1,SUM(E357:E363),0)</f>
        <v>0</v>
      </c>
      <c r="V355" s="19" t="n">
        <f aca="false">SUM(F357:F363)</f>
        <v>0</v>
      </c>
      <c r="W355" s="19" t="n">
        <f aca="false">IF(M355=1,SUMIFS(F357:F363,G357:G363,"نعم"),0)</f>
        <v>0</v>
      </c>
    </row>
    <row r="356" customFormat="false" ht="39.75" hidden="false" customHeight="true" outlineLevel="0" collapsed="false">
      <c r="A356" s="21" t="s">
        <v>18</v>
      </c>
      <c r="B356" s="21" t="s">
        <v>19</v>
      </c>
      <c r="C356" s="21" t="s">
        <v>20</v>
      </c>
      <c r="D356" s="21" t="s">
        <v>21</v>
      </c>
      <c r="E356" s="21" t="s">
        <v>22</v>
      </c>
      <c r="F356" s="21" t="s">
        <v>29</v>
      </c>
      <c r="G356" s="21" t="s">
        <v>30</v>
      </c>
      <c r="H356" s="21" t="s">
        <v>26</v>
      </c>
      <c r="M356" s="19" t="n">
        <f aca="false">$M$355</f>
        <v>0</v>
      </c>
      <c r="Q356" s="19" t="n">
        <f aca="false">IF(N(E367)&gt;0,1,0)</f>
        <v>0</v>
      </c>
      <c r="S356" s="0" t="n">
        <v>26</v>
      </c>
    </row>
    <row r="357" customFormat="false" ht="15" hidden="false" customHeight="false" outlineLevel="0" collapsed="false">
      <c r="A357" s="22" t="n">
        <f aca="false">IF(26&lt;=NW,WEEK_ONE+175,"")</f>
        <v>46193</v>
      </c>
      <c r="B357" s="23" t="str">
        <f aca="false">IF(A357="","",CHOOSE(WEEKDAY(A357,1),"الأحد","الاثنين","الثلاثاء","الأربعاء","الخميس","الجمعة","السبت"))</f>
        <v>السبت</v>
      </c>
      <c r="C357" s="24"/>
      <c r="D357" s="24"/>
      <c r="E357" s="25" t="str">
        <f aca="false">IF(OR(M357=0,K357="",L357=""),"",MOD(L357-K357,1))</f>
        <v/>
      </c>
      <c r="F357" s="26" t="str">
        <f aca="false">IF(OR(E357="",M357=0),"",IF(ROUND_MODE="للأعلى",CEILING(ROUND((E357*24*$N$355),3),0.25),ROUND((E357*24*$N$355)*4,0)/4))</f>
        <v/>
      </c>
      <c r="G357" s="24"/>
      <c r="H357" s="27"/>
      <c r="K357" s="28" t="str">
        <f aca="false">IF(OR(M357=0,C357=""),"",IF(ISNUMBER(C357),MOD(C357,1),IFERROR(INDEX(القوائم!$B$1:$B$288,MATCH(TRIM(C357),القوائم!$A$1:$A$288,0)),IFERROR(MOD(TIMEVALUE(C357),1),""))))</f>
        <v/>
      </c>
      <c r="L357" s="28" t="str">
        <f aca="false">IF(OR(M357=0,D357=""),"",IF(ISNUMBER(D357),MOD(D357,1),IFERROR(INDEX(القوائم!$B$1:$B$288,MATCH(TRIM(D357),القوائم!$A$1:$A$288,0)),IFERROR(MOD(TIMEVALUE(D357),1),""))))</f>
        <v/>
      </c>
      <c r="M357" s="19" t="n">
        <f aca="false">$M$355</f>
        <v>0</v>
      </c>
      <c r="Q357" s="19" t="n">
        <f aca="false">IF(N(E367)&gt;0,1,0)</f>
        <v>0</v>
      </c>
      <c r="S357" s="0" t="n">
        <v>26</v>
      </c>
    </row>
    <row r="358" customFormat="false" ht="15" hidden="false" customHeight="false" outlineLevel="0" collapsed="false">
      <c r="A358" s="22" t="n">
        <f aca="false">IF(26&lt;=NW,WEEK_ONE+176,"")</f>
        <v>46194</v>
      </c>
      <c r="B358" s="23" t="str">
        <f aca="false">IF(A358="","",CHOOSE(WEEKDAY(A358,1),"الأحد","الاثنين","الثلاثاء","الأربعاء","الخميس","الجمعة","السبت"))</f>
        <v>الأحد</v>
      </c>
      <c r="C358" s="24"/>
      <c r="D358" s="24"/>
      <c r="E358" s="25" t="str">
        <f aca="false">IF(OR(M358=0,K358="",L358=""),"",MOD(L358-K358,1))</f>
        <v/>
      </c>
      <c r="F358" s="26" t="str">
        <f aca="false">IF(OR(E358="",M358=0),"",IF(ROUND_MODE="للأعلى",CEILING(ROUND((E358*24*$N$355),3),0.25),ROUND((E358*24*$N$355)*4,0)/4))</f>
        <v/>
      </c>
      <c r="G358" s="24"/>
      <c r="H358" s="27"/>
      <c r="K358" s="28" t="str">
        <f aca="false">IF(OR(M358=0,C358=""),"",IF(ISNUMBER(C358),MOD(C358,1),IFERROR(INDEX(القوائم!$B$1:$B$288,MATCH(TRIM(C358),القوائم!$A$1:$A$288,0)),IFERROR(MOD(TIMEVALUE(C358),1),""))))</f>
        <v/>
      </c>
      <c r="L358" s="28" t="str">
        <f aca="false">IF(OR(M358=0,D358=""),"",IF(ISNUMBER(D358),MOD(D358,1),IFERROR(INDEX(القوائم!$B$1:$B$288,MATCH(TRIM(D358),القوائم!$A$1:$A$288,0)),IFERROR(MOD(TIMEVALUE(D358),1),""))))</f>
        <v/>
      </c>
      <c r="M358" s="19" t="n">
        <f aca="false">$M$355</f>
        <v>0</v>
      </c>
      <c r="Q358" s="19" t="n">
        <f aca="false">IF(N(E367)&gt;0,1,0)</f>
        <v>0</v>
      </c>
      <c r="S358" s="0" t="n">
        <v>26</v>
      </c>
    </row>
    <row r="359" customFormat="false" ht="15" hidden="false" customHeight="false" outlineLevel="0" collapsed="false">
      <c r="A359" s="22" t="n">
        <f aca="false">IF(26&lt;=NW,WEEK_ONE+177,"")</f>
        <v>46195</v>
      </c>
      <c r="B359" s="23" t="str">
        <f aca="false">IF(A359="","",CHOOSE(WEEKDAY(A359,1),"الأحد","الاثنين","الثلاثاء","الأربعاء","الخميس","الجمعة","السبت"))</f>
        <v>الاثنين</v>
      </c>
      <c r="C359" s="24"/>
      <c r="D359" s="24"/>
      <c r="E359" s="25" t="str">
        <f aca="false">IF(OR(M359=0,K359="",L359=""),"",MOD(L359-K359,1))</f>
        <v/>
      </c>
      <c r="F359" s="26" t="str">
        <f aca="false">IF(OR(E359="",M359=0),"",IF(ROUND_MODE="للأعلى",CEILING(ROUND((E359*24*$N$355),3),0.25),ROUND((E359*24*$N$355)*4,0)/4))</f>
        <v/>
      </c>
      <c r="G359" s="24"/>
      <c r="H359" s="27"/>
      <c r="K359" s="28" t="str">
        <f aca="false">IF(OR(M359=0,C359=""),"",IF(ISNUMBER(C359),MOD(C359,1),IFERROR(INDEX(القوائم!$B$1:$B$288,MATCH(TRIM(C359),القوائم!$A$1:$A$288,0)),IFERROR(MOD(TIMEVALUE(C359),1),""))))</f>
        <v/>
      </c>
      <c r="L359" s="28" t="str">
        <f aca="false">IF(OR(M359=0,D359=""),"",IF(ISNUMBER(D359),MOD(D359,1),IFERROR(INDEX(القوائم!$B$1:$B$288,MATCH(TRIM(D359),القوائم!$A$1:$A$288,0)),IFERROR(MOD(TIMEVALUE(D359),1),""))))</f>
        <v/>
      </c>
      <c r="M359" s="19" t="n">
        <f aca="false">$M$355</f>
        <v>0</v>
      </c>
      <c r="Q359" s="19" t="n">
        <f aca="false">IF(N(E367)&gt;0,1,0)</f>
        <v>0</v>
      </c>
      <c r="S359" s="0" t="n">
        <v>26</v>
      </c>
    </row>
    <row r="360" customFormat="false" ht="15" hidden="false" customHeight="false" outlineLevel="0" collapsed="false">
      <c r="A360" s="22" t="n">
        <f aca="false">IF(26&lt;=NW,WEEK_ONE+178,"")</f>
        <v>46196</v>
      </c>
      <c r="B360" s="23" t="str">
        <f aca="false">IF(A360="","",CHOOSE(WEEKDAY(A360,1),"الأحد","الاثنين","الثلاثاء","الأربعاء","الخميس","الجمعة","السبت"))</f>
        <v>الثلاثاء</v>
      </c>
      <c r="C360" s="24"/>
      <c r="D360" s="24"/>
      <c r="E360" s="25" t="str">
        <f aca="false">IF(OR(M360=0,K360="",L360=""),"",MOD(L360-K360,1))</f>
        <v/>
      </c>
      <c r="F360" s="26" t="str">
        <f aca="false">IF(OR(E360="",M360=0),"",IF(ROUND_MODE="للأعلى",CEILING(ROUND((E360*24*$N$355),3),0.25),ROUND((E360*24*$N$355)*4,0)/4))</f>
        <v/>
      </c>
      <c r="G360" s="24"/>
      <c r="H360" s="27"/>
      <c r="K360" s="28" t="str">
        <f aca="false">IF(OR(M360=0,C360=""),"",IF(ISNUMBER(C360),MOD(C360,1),IFERROR(INDEX(القوائم!$B$1:$B$288,MATCH(TRIM(C360),القوائم!$A$1:$A$288,0)),IFERROR(MOD(TIMEVALUE(C360),1),""))))</f>
        <v/>
      </c>
      <c r="L360" s="28" t="str">
        <f aca="false">IF(OR(M360=0,D360=""),"",IF(ISNUMBER(D360),MOD(D360,1),IFERROR(INDEX(القوائم!$B$1:$B$288,MATCH(TRIM(D360),القوائم!$A$1:$A$288,0)),IFERROR(MOD(TIMEVALUE(D360),1),""))))</f>
        <v/>
      </c>
      <c r="M360" s="19" t="n">
        <f aca="false">$M$355</f>
        <v>0</v>
      </c>
      <c r="Q360" s="19" t="n">
        <f aca="false">IF(N(E367)&gt;0,1,0)</f>
        <v>0</v>
      </c>
      <c r="S360" s="0" t="n">
        <v>26</v>
      </c>
    </row>
    <row r="361" customFormat="false" ht="15" hidden="false" customHeight="false" outlineLevel="0" collapsed="false">
      <c r="A361" s="22" t="n">
        <f aca="false">IF(26&lt;=NW,WEEK_ONE+179,"")</f>
        <v>46197</v>
      </c>
      <c r="B361" s="23" t="str">
        <f aca="false">IF(A361="","",CHOOSE(WEEKDAY(A361,1),"الأحد","الاثنين","الثلاثاء","الأربعاء","الخميس","الجمعة","السبت"))</f>
        <v>الأربعاء</v>
      </c>
      <c r="C361" s="24"/>
      <c r="D361" s="24"/>
      <c r="E361" s="25" t="str">
        <f aca="false">IF(OR(M361=0,K361="",L361=""),"",MOD(L361-K361,1))</f>
        <v/>
      </c>
      <c r="F361" s="26" t="str">
        <f aca="false">IF(OR(E361="",M361=0),"",IF(ROUND_MODE="للأعلى",CEILING(ROUND((E361*24*$N$355),3),0.25),ROUND((E361*24*$N$355)*4,0)/4))</f>
        <v/>
      </c>
      <c r="G361" s="24"/>
      <c r="H361" s="27"/>
      <c r="K361" s="28" t="str">
        <f aca="false">IF(OR(M361=0,C361=""),"",IF(ISNUMBER(C361),MOD(C361,1),IFERROR(INDEX(القوائم!$B$1:$B$288,MATCH(TRIM(C361),القوائم!$A$1:$A$288,0)),IFERROR(MOD(TIMEVALUE(C361),1),""))))</f>
        <v/>
      </c>
      <c r="L361" s="28" t="str">
        <f aca="false">IF(OR(M361=0,D361=""),"",IF(ISNUMBER(D361),MOD(D361,1),IFERROR(INDEX(القوائم!$B$1:$B$288,MATCH(TRIM(D361),القوائم!$A$1:$A$288,0)),IFERROR(MOD(TIMEVALUE(D361),1),""))))</f>
        <v/>
      </c>
      <c r="M361" s="19" t="n">
        <f aca="false">$M$355</f>
        <v>0</v>
      </c>
      <c r="Q361" s="19" t="n">
        <f aca="false">IF(N(E367)&gt;0,1,0)</f>
        <v>0</v>
      </c>
      <c r="S361" s="0" t="n">
        <v>26</v>
      </c>
    </row>
    <row r="362" customFormat="false" ht="15" hidden="false" customHeight="false" outlineLevel="0" collapsed="false">
      <c r="A362" s="22" t="n">
        <f aca="false">IF(26&lt;=NW,WEEK_ONE+180,"")</f>
        <v>46198</v>
      </c>
      <c r="B362" s="23" t="str">
        <f aca="false">IF(A362="","",CHOOSE(WEEKDAY(A362,1),"الأحد","الاثنين","الثلاثاء","الأربعاء","الخميس","الجمعة","السبت"))</f>
        <v>الخميس</v>
      </c>
      <c r="C362" s="24"/>
      <c r="D362" s="24"/>
      <c r="E362" s="25" t="str">
        <f aca="false">IF(OR(M362=0,K362="",L362=""),"",MOD(L362-K362,1))</f>
        <v/>
      </c>
      <c r="F362" s="26" t="str">
        <f aca="false">IF(OR(E362="",M362=0),"",IF(ROUND_MODE="للأعلى",CEILING(ROUND((E362*24*$N$355),3),0.25),ROUND((E362*24*$N$355)*4,0)/4))</f>
        <v/>
      </c>
      <c r="G362" s="24"/>
      <c r="H362" s="27"/>
      <c r="K362" s="28" t="str">
        <f aca="false">IF(OR(M362=0,C362=""),"",IF(ISNUMBER(C362),MOD(C362,1),IFERROR(INDEX(القوائم!$B$1:$B$288,MATCH(TRIM(C362),القوائم!$A$1:$A$288,0)),IFERROR(MOD(TIMEVALUE(C362),1),""))))</f>
        <v/>
      </c>
      <c r="L362" s="28" t="str">
        <f aca="false">IF(OR(M362=0,D362=""),"",IF(ISNUMBER(D362),MOD(D362,1),IFERROR(INDEX(القوائم!$B$1:$B$288,MATCH(TRIM(D362),القوائم!$A$1:$A$288,0)),IFERROR(MOD(TIMEVALUE(D362),1),""))))</f>
        <v/>
      </c>
      <c r="M362" s="19" t="n">
        <f aca="false">$M$355</f>
        <v>0</v>
      </c>
      <c r="Q362" s="19" t="n">
        <f aca="false">IF(N(E367)&gt;0,1,0)</f>
        <v>0</v>
      </c>
      <c r="S362" s="0" t="n">
        <v>26</v>
      </c>
    </row>
    <row r="363" customFormat="false" ht="15" hidden="false" customHeight="false" outlineLevel="0" collapsed="false">
      <c r="A363" s="29" t="n">
        <f aca="false">IF(26&lt;=NW,WEEK_ONE+181,"")</f>
        <v>46199</v>
      </c>
      <c r="B363" s="30" t="str">
        <f aca="false">IF(A363="","",CHOOSE(WEEKDAY(A363,1),"الأحد","الاثنين","الثلاثاء","الأربعاء","الخميس","الجمعة","السبت"))</f>
        <v>الجمعة</v>
      </c>
      <c r="C363" s="24"/>
      <c r="D363" s="24"/>
      <c r="E363" s="25" t="str">
        <f aca="false">IF(OR(M363=0,K363="",L363=""),"",MOD(L363-K363,1))</f>
        <v/>
      </c>
      <c r="F363" s="26" t="str">
        <f aca="false">IF(OR(E363="",M363=0),"",IF(ROUND_MODE="للأعلى",CEILING(ROUND((E363*24*$N$355),3),0.25),ROUND((E363*24*$N$355)*4,0)/4))</f>
        <v/>
      </c>
      <c r="G363" s="24"/>
      <c r="H363" s="27"/>
      <c r="K363" s="28" t="str">
        <f aca="false">IF(OR(M363=0,C363=""),"",IF(ISNUMBER(C363),MOD(C363,1),IFERROR(INDEX(القوائم!$B$1:$B$288,MATCH(TRIM(C363),القوائم!$A$1:$A$288,0)),IFERROR(MOD(TIMEVALUE(C363),1),""))))</f>
        <v/>
      </c>
      <c r="L363" s="28" t="str">
        <f aca="false">IF(OR(M363=0,D363=""),"",IF(ISNUMBER(D363),MOD(D363,1),IFERROR(INDEX(القوائم!$B$1:$B$288,MATCH(TRIM(D363),القوائم!$A$1:$A$288,0)),IFERROR(MOD(TIMEVALUE(D363),1),""))))</f>
        <v/>
      </c>
      <c r="M363" s="19" t="n">
        <f aca="false">$M$355</f>
        <v>0</v>
      </c>
      <c r="Q363" s="19" t="n">
        <f aca="false">IF(N(E367)&gt;0,1,0)</f>
        <v>0</v>
      </c>
      <c r="S363" s="0" t="n">
        <v>26</v>
      </c>
    </row>
    <row r="364" customFormat="false" ht="15" hidden="false" customHeight="false" outlineLevel="0" collapsed="false">
      <c r="A364" s="31" t="str">
        <f aca="false">IF(M355=1,"ساعات تحميل الجبسمبورد بهالأسبوع ←","")</f>
        <v/>
      </c>
      <c r="B364" s="31"/>
      <c r="C364" s="31"/>
      <c r="D364" s="31"/>
      <c r="E364" s="32"/>
      <c r="F364" s="33" t="str">
        <f aca="false">IF(M355=1,"كل ساعة تحميل = "&amp;TEXT($P$355,"0.000")&amp;" دينار (منها "&amp;TEXT($N$355,"0.000")&amp;" محسوبة أصلاً بساعات اليوم)","")</f>
        <v/>
      </c>
      <c r="G364" s="33"/>
      <c r="H364" s="33"/>
      <c r="M364" s="19" t="n">
        <f aca="false">$M$355</f>
        <v>0</v>
      </c>
      <c r="Q364" s="19" t="n">
        <f aca="false">IF(N(E367)&gt;0,1,0)</f>
        <v>0</v>
      </c>
      <c r="S364" s="0" t="n">
        <v>26</v>
      </c>
    </row>
    <row r="365" customFormat="false" ht="15" hidden="false" customHeight="false" outlineLevel="0" collapsed="false">
      <c r="A365" s="31" t="str">
        <f aca="false">IF(M355=1,"إكرامية الأسبوع (دينار) ←","")</f>
        <v/>
      </c>
      <c r="B365" s="31"/>
      <c r="C365" s="31"/>
      <c r="D365" s="31"/>
      <c r="E365" s="34"/>
      <c r="F365" s="35"/>
      <c r="G365" s="35"/>
      <c r="H365" s="35"/>
      <c r="M365" s="19" t="n">
        <f aca="false">$M$355</f>
        <v>0</v>
      </c>
      <c r="Q365" s="19" t="n">
        <f aca="false">IF(N(E367)&gt;0,1,0)</f>
        <v>0</v>
      </c>
      <c r="S365" s="0" t="n">
        <v>26</v>
      </c>
    </row>
    <row r="366" customFormat="false" ht="36" hidden="false" customHeight="true" outlineLevel="0" collapsed="false">
      <c r="A366" s="36" t="str">
        <f aca="false">IF(M355=1,"المستحق النهائي للأسبوع","")</f>
        <v/>
      </c>
      <c r="B366" s="36"/>
      <c r="C366" s="36"/>
      <c r="D366" s="36"/>
      <c r="E366" s="36"/>
      <c r="F366" s="11" t="str">
        <f aca="false">IF(M355=1,ROUND(N($V$355)+N(E364)*($P$355-$N$355)+N(E365),3),"")</f>
        <v/>
      </c>
      <c r="G366" s="35"/>
      <c r="H366" s="35"/>
      <c r="M366" s="19" t="n">
        <f aca="false">$M$355</f>
        <v>0</v>
      </c>
      <c r="Q366" s="19" t="n">
        <f aca="false">IF(N(E367)&gt;0,1,0)</f>
        <v>0</v>
      </c>
      <c r="S366" s="0" t="n">
        <v>26</v>
      </c>
      <c r="T366" s="0" t="n">
        <v>1</v>
      </c>
    </row>
    <row r="367" customFormat="false" ht="25.5" hidden="false" customHeight="true" outlineLevel="0" collapsed="false">
      <c r="A367" s="31" t="str">
        <f aca="false">IF(M355=1,"المدفوع (دينار) ←","")</f>
        <v/>
      </c>
      <c r="B367" s="31"/>
      <c r="C367" s="31"/>
      <c r="D367" s="31"/>
      <c r="E367" s="34"/>
      <c r="F367" s="38" t="str">
        <f aca="false">IF(M355=1,IF(N(E367)&gt;0,"✔ انقبض — الأسبوع مقفول","⏳ لسا ما انقبض"),"")</f>
        <v/>
      </c>
      <c r="G367" s="38"/>
      <c r="H367" s="38"/>
      <c r="M367" s="19" t="n">
        <f aca="false">$M$355</f>
        <v>0</v>
      </c>
      <c r="Q367" s="19" t="n">
        <f aca="false">IF(N(E367)&gt;0,1,0)</f>
        <v>0</v>
      </c>
      <c r="S367" s="0" t="n">
        <v>26</v>
      </c>
    </row>
    <row r="368" customFormat="false" ht="9.75" hidden="false" customHeight="true" outlineLevel="0" collapsed="false">
      <c r="M368" s="19" t="n">
        <f aca="false">$M$355</f>
        <v>0</v>
      </c>
      <c r="Q368" s="19" t="n">
        <f aca="false">IF(N(E367)&gt;0,1,0)</f>
        <v>0</v>
      </c>
      <c r="S368" s="0" t="n">
        <v>26</v>
      </c>
      <c r="T368" s="0" t="n">
        <v>2</v>
      </c>
    </row>
    <row r="369" customFormat="false" ht="33.75" hidden="false" customHeight="true" outlineLevel="0" collapsed="false">
      <c r="A369" s="17" t="str">
        <f aca="false">IF(27&lt;=NW,TEXT(DAY(WEEK_ONE+182),"00")&amp;"/"&amp;TEXT(MONTH(WEEK_ONE+182),"00")&amp;"/"&amp;YEAR(WEEK_ONE+182)&amp;"  -  "&amp;TEXT(DAY(WEEK_ONE+188),"00")&amp;"/"&amp;TEXT(MONTH(WEEK_ONE+188),"00")&amp;"/"&amp;YEAR(WEEK_ONE+188)&amp;"   ·   الأسبوع 27"&amp;IF(27&lt;START_Z,"   (قبل أسبوع البداية — ما بينحسب)",""),"ما في أسبوع 27 هالسنة")</f>
        <v>27/06/2026  -  03/07/2026   ·   الأسبوع 27   (قبل أسبوع البداية — ما بينحسب)</v>
      </c>
      <c r="B369" s="17"/>
      <c r="C369" s="17"/>
      <c r="D369" s="17"/>
      <c r="E369" s="17"/>
      <c r="F369" s="17"/>
      <c r="G369" s="17"/>
      <c r="H369" s="17"/>
      <c r="L369" s="18" t="n">
        <f aca="false">IF(27&lt;=NW,WEEK_ONE+188,"")</f>
        <v>46206</v>
      </c>
      <c r="M369" s="19" t="n">
        <f aca="false">IF(AND(27&lt;=NW,27&gt;=START_Z),1,0)</f>
        <v>0</v>
      </c>
      <c r="N369" s="20" t="n">
        <f aca="false">IFERROR(INDEX(RT_AZZ,MATCH(L369,RT_K,1)),INDEX(RT_AZZ,1))</f>
        <v>1</v>
      </c>
      <c r="P369" s="20" t="n">
        <f aca="false">IFERROR(INDEX(RT_GYP,MATCH(L369,RT_K,1)),INDEX(RT_GYP,1))</f>
        <v>2.5</v>
      </c>
      <c r="Q369" s="19" t="n">
        <f aca="false">IF(N(E381)&gt;0,1,0)</f>
        <v>0</v>
      </c>
      <c r="R369" s="0" t="n">
        <v>27</v>
      </c>
      <c r="S369" s="0" t="n">
        <v>27</v>
      </c>
      <c r="U369" s="19" t="n">
        <f aca="false">IF(M369=1,SUM(E371:E377),0)</f>
        <v>0</v>
      </c>
      <c r="V369" s="19" t="n">
        <f aca="false">SUM(F371:F377)</f>
        <v>0</v>
      </c>
      <c r="W369" s="19" t="n">
        <f aca="false">IF(M369=1,SUMIFS(F371:F377,G371:G377,"نعم"),0)</f>
        <v>0</v>
      </c>
    </row>
    <row r="370" customFormat="false" ht="39.75" hidden="false" customHeight="true" outlineLevel="0" collapsed="false">
      <c r="A370" s="21" t="s">
        <v>18</v>
      </c>
      <c r="B370" s="21" t="s">
        <v>19</v>
      </c>
      <c r="C370" s="21" t="s">
        <v>20</v>
      </c>
      <c r="D370" s="21" t="s">
        <v>21</v>
      </c>
      <c r="E370" s="21" t="s">
        <v>22</v>
      </c>
      <c r="F370" s="21" t="s">
        <v>29</v>
      </c>
      <c r="G370" s="21" t="s">
        <v>30</v>
      </c>
      <c r="H370" s="21" t="s">
        <v>26</v>
      </c>
      <c r="M370" s="19" t="n">
        <f aca="false">$M$369</f>
        <v>0</v>
      </c>
      <c r="Q370" s="19" t="n">
        <f aca="false">IF(N(E381)&gt;0,1,0)</f>
        <v>0</v>
      </c>
      <c r="S370" s="0" t="n">
        <v>27</v>
      </c>
    </row>
    <row r="371" customFormat="false" ht="15" hidden="false" customHeight="false" outlineLevel="0" collapsed="false">
      <c r="A371" s="22" t="n">
        <f aca="false">IF(27&lt;=NW,WEEK_ONE+182,"")</f>
        <v>46200</v>
      </c>
      <c r="B371" s="23" t="str">
        <f aca="false">IF(A371="","",CHOOSE(WEEKDAY(A371,1),"الأحد","الاثنين","الثلاثاء","الأربعاء","الخميس","الجمعة","السبت"))</f>
        <v>السبت</v>
      </c>
      <c r="C371" s="24"/>
      <c r="D371" s="24"/>
      <c r="E371" s="25" t="str">
        <f aca="false">IF(OR(M371=0,K371="",L371=""),"",MOD(L371-K371,1))</f>
        <v/>
      </c>
      <c r="F371" s="26" t="str">
        <f aca="false">IF(OR(E371="",M371=0),"",IF(ROUND_MODE="للأعلى",CEILING(ROUND((E371*24*$N$369),3),0.25),ROUND((E371*24*$N$369)*4,0)/4))</f>
        <v/>
      </c>
      <c r="G371" s="24"/>
      <c r="H371" s="27"/>
      <c r="K371" s="28" t="str">
        <f aca="false">IF(OR(M371=0,C371=""),"",IF(ISNUMBER(C371),MOD(C371,1),IFERROR(INDEX(القوائم!$B$1:$B$288,MATCH(TRIM(C371),القوائم!$A$1:$A$288,0)),IFERROR(MOD(TIMEVALUE(C371),1),""))))</f>
        <v/>
      </c>
      <c r="L371" s="28" t="str">
        <f aca="false">IF(OR(M371=0,D371=""),"",IF(ISNUMBER(D371),MOD(D371,1),IFERROR(INDEX(القوائم!$B$1:$B$288,MATCH(TRIM(D371),القوائم!$A$1:$A$288,0)),IFERROR(MOD(TIMEVALUE(D371),1),""))))</f>
        <v/>
      </c>
      <c r="M371" s="19" t="n">
        <f aca="false">$M$369</f>
        <v>0</v>
      </c>
      <c r="Q371" s="19" t="n">
        <f aca="false">IF(N(E381)&gt;0,1,0)</f>
        <v>0</v>
      </c>
      <c r="S371" s="0" t="n">
        <v>27</v>
      </c>
    </row>
    <row r="372" customFormat="false" ht="15" hidden="false" customHeight="false" outlineLevel="0" collapsed="false">
      <c r="A372" s="22" t="n">
        <f aca="false">IF(27&lt;=NW,WEEK_ONE+183,"")</f>
        <v>46201</v>
      </c>
      <c r="B372" s="23" t="str">
        <f aca="false">IF(A372="","",CHOOSE(WEEKDAY(A372,1),"الأحد","الاثنين","الثلاثاء","الأربعاء","الخميس","الجمعة","السبت"))</f>
        <v>الأحد</v>
      </c>
      <c r="C372" s="24"/>
      <c r="D372" s="24"/>
      <c r="E372" s="25" t="str">
        <f aca="false">IF(OR(M372=0,K372="",L372=""),"",MOD(L372-K372,1))</f>
        <v/>
      </c>
      <c r="F372" s="26" t="str">
        <f aca="false">IF(OR(E372="",M372=0),"",IF(ROUND_MODE="للأعلى",CEILING(ROUND((E372*24*$N$369),3),0.25),ROUND((E372*24*$N$369)*4,0)/4))</f>
        <v/>
      </c>
      <c r="G372" s="24"/>
      <c r="H372" s="27"/>
      <c r="K372" s="28" t="str">
        <f aca="false">IF(OR(M372=0,C372=""),"",IF(ISNUMBER(C372),MOD(C372,1),IFERROR(INDEX(القوائم!$B$1:$B$288,MATCH(TRIM(C372),القوائم!$A$1:$A$288,0)),IFERROR(MOD(TIMEVALUE(C372),1),""))))</f>
        <v/>
      </c>
      <c r="L372" s="28" t="str">
        <f aca="false">IF(OR(M372=0,D372=""),"",IF(ISNUMBER(D372),MOD(D372,1),IFERROR(INDEX(القوائم!$B$1:$B$288,MATCH(TRIM(D372),القوائم!$A$1:$A$288,0)),IFERROR(MOD(TIMEVALUE(D372),1),""))))</f>
        <v/>
      </c>
      <c r="M372" s="19" t="n">
        <f aca="false">$M$369</f>
        <v>0</v>
      </c>
      <c r="Q372" s="19" t="n">
        <f aca="false">IF(N(E381)&gt;0,1,0)</f>
        <v>0</v>
      </c>
      <c r="S372" s="0" t="n">
        <v>27</v>
      </c>
    </row>
    <row r="373" customFormat="false" ht="15" hidden="false" customHeight="false" outlineLevel="0" collapsed="false">
      <c r="A373" s="22" t="n">
        <f aca="false">IF(27&lt;=NW,WEEK_ONE+184,"")</f>
        <v>46202</v>
      </c>
      <c r="B373" s="23" t="str">
        <f aca="false">IF(A373="","",CHOOSE(WEEKDAY(A373,1),"الأحد","الاثنين","الثلاثاء","الأربعاء","الخميس","الجمعة","السبت"))</f>
        <v>الاثنين</v>
      </c>
      <c r="C373" s="24"/>
      <c r="D373" s="24"/>
      <c r="E373" s="25" t="str">
        <f aca="false">IF(OR(M373=0,K373="",L373=""),"",MOD(L373-K373,1))</f>
        <v/>
      </c>
      <c r="F373" s="26" t="str">
        <f aca="false">IF(OR(E373="",M373=0),"",IF(ROUND_MODE="للأعلى",CEILING(ROUND((E373*24*$N$369),3),0.25),ROUND((E373*24*$N$369)*4,0)/4))</f>
        <v/>
      </c>
      <c r="G373" s="24"/>
      <c r="H373" s="27"/>
      <c r="K373" s="28" t="str">
        <f aca="false">IF(OR(M373=0,C373=""),"",IF(ISNUMBER(C373),MOD(C373,1),IFERROR(INDEX(القوائم!$B$1:$B$288,MATCH(TRIM(C373),القوائم!$A$1:$A$288,0)),IFERROR(MOD(TIMEVALUE(C373),1),""))))</f>
        <v/>
      </c>
      <c r="L373" s="28" t="str">
        <f aca="false">IF(OR(M373=0,D373=""),"",IF(ISNUMBER(D373),MOD(D373,1),IFERROR(INDEX(القوائم!$B$1:$B$288,MATCH(TRIM(D373),القوائم!$A$1:$A$288,0)),IFERROR(MOD(TIMEVALUE(D373),1),""))))</f>
        <v/>
      </c>
      <c r="M373" s="19" t="n">
        <f aca="false">$M$369</f>
        <v>0</v>
      </c>
      <c r="Q373" s="19" t="n">
        <f aca="false">IF(N(E381)&gt;0,1,0)</f>
        <v>0</v>
      </c>
      <c r="S373" s="0" t="n">
        <v>27</v>
      </c>
    </row>
    <row r="374" customFormat="false" ht="15" hidden="false" customHeight="false" outlineLevel="0" collapsed="false">
      <c r="A374" s="22" t="n">
        <f aca="false">IF(27&lt;=NW,WEEK_ONE+185,"")</f>
        <v>46203</v>
      </c>
      <c r="B374" s="23" t="str">
        <f aca="false">IF(A374="","",CHOOSE(WEEKDAY(A374,1),"الأحد","الاثنين","الثلاثاء","الأربعاء","الخميس","الجمعة","السبت"))</f>
        <v>الثلاثاء</v>
      </c>
      <c r="C374" s="24"/>
      <c r="D374" s="24"/>
      <c r="E374" s="25" t="str">
        <f aca="false">IF(OR(M374=0,K374="",L374=""),"",MOD(L374-K374,1))</f>
        <v/>
      </c>
      <c r="F374" s="26" t="str">
        <f aca="false">IF(OR(E374="",M374=0),"",IF(ROUND_MODE="للأعلى",CEILING(ROUND((E374*24*$N$369),3),0.25),ROUND((E374*24*$N$369)*4,0)/4))</f>
        <v/>
      </c>
      <c r="G374" s="24"/>
      <c r="H374" s="27"/>
      <c r="K374" s="28" t="str">
        <f aca="false">IF(OR(M374=0,C374=""),"",IF(ISNUMBER(C374),MOD(C374,1),IFERROR(INDEX(القوائم!$B$1:$B$288,MATCH(TRIM(C374),القوائم!$A$1:$A$288,0)),IFERROR(MOD(TIMEVALUE(C374),1),""))))</f>
        <v/>
      </c>
      <c r="L374" s="28" t="str">
        <f aca="false">IF(OR(M374=0,D374=""),"",IF(ISNUMBER(D374),MOD(D374,1),IFERROR(INDEX(القوائم!$B$1:$B$288,MATCH(TRIM(D374),القوائم!$A$1:$A$288,0)),IFERROR(MOD(TIMEVALUE(D374),1),""))))</f>
        <v/>
      </c>
      <c r="M374" s="19" t="n">
        <f aca="false">$M$369</f>
        <v>0</v>
      </c>
      <c r="Q374" s="19" t="n">
        <f aca="false">IF(N(E381)&gt;0,1,0)</f>
        <v>0</v>
      </c>
      <c r="S374" s="0" t="n">
        <v>27</v>
      </c>
    </row>
    <row r="375" customFormat="false" ht="15" hidden="false" customHeight="false" outlineLevel="0" collapsed="false">
      <c r="A375" s="22" t="n">
        <f aca="false">IF(27&lt;=NW,WEEK_ONE+186,"")</f>
        <v>46204</v>
      </c>
      <c r="B375" s="23" t="str">
        <f aca="false">IF(A375="","",CHOOSE(WEEKDAY(A375,1),"الأحد","الاثنين","الثلاثاء","الأربعاء","الخميس","الجمعة","السبت"))</f>
        <v>الأربعاء</v>
      </c>
      <c r="C375" s="24"/>
      <c r="D375" s="24"/>
      <c r="E375" s="25" t="str">
        <f aca="false">IF(OR(M375=0,K375="",L375=""),"",MOD(L375-K375,1))</f>
        <v/>
      </c>
      <c r="F375" s="26" t="str">
        <f aca="false">IF(OR(E375="",M375=0),"",IF(ROUND_MODE="للأعلى",CEILING(ROUND((E375*24*$N$369),3),0.25),ROUND((E375*24*$N$369)*4,0)/4))</f>
        <v/>
      </c>
      <c r="G375" s="24"/>
      <c r="H375" s="27"/>
      <c r="K375" s="28" t="str">
        <f aca="false">IF(OR(M375=0,C375=""),"",IF(ISNUMBER(C375),MOD(C375,1),IFERROR(INDEX(القوائم!$B$1:$B$288,MATCH(TRIM(C375),القوائم!$A$1:$A$288,0)),IFERROR(MOD(TIMEVALUE(C375),1),""))))</f>
        <v/>
      </c>
      <c r="L375" s="28" t="str">
        <f aca="false">IF(OR(M375=0,D375=""),"",IF(ISNUMBER(D375),MOD(D375,1),IFERROR(INDEX(القوائم!$B$1:$B$288,MATCH(TRIM(D375),القوائم!$A$1:$A$288,0)),IFERROR(MOD(TIMEVALUE(D375),1),""))))</f>
        <v/>
      </c>
      <c r="M375" s="19" t="n">
        <f aca="false">$M$369</f>
        <v>0</v>
      </c>
      <c r="Q375" s="19" t="n">
        <f aca="false">IF(N(E381)&gt;0,1,0)</f>
        <v>0</v>
      </c>
      <c r="S375" s="0" t="n">
        <v>27</v>
      </c>
    </row>
    <row r="376" customFormat="false" ht="15" hidden="false" customHeight="false" outlineLevel="0" collapsed="false">
      <c r="A376" s="22" t="n">
        <f aca="false">IF(27&lt;=NW,WEEK_ONE+187,"")</f>
        <v>46205</v>
      </c>
      <c r="B376" s="23" t="str">
        <f aca="false">IF(A376="","",CHOOSE(WEEKDAY(A376,1),"الأحد","الاثنين","الثلاثاء","الأربعاء","الخميس","الجمعة","السبت"))</f>
        <v>الخميس</v>
      </c>
      <c r="C376" s="24"/>
      <c r="D376" s="24"/>
      <c r="E376" s="25" t="str">
        <f aca="false">IF(OR(M376=0,K376="",L376=""),"",MOD(L376-K376,1))</f>
        <v/>
      </c>
      <c r="F376" s="26" t="str">
        <f aca="false">IF(OR(E376="",M376=0),"",IF(ROUND_MODE="للأعلى",CEILING(ROUND((E376*24*$N$369),3),0.25),ROUND((E376*24*$N$369)*4,0)/4))</f>
        <v/>
      </c>
      <c r="G376" s="24"/>
      <c r="H376" s="27"/>
      <c r="K376" s="28" t="str">
        <f aca="false">IF(OR(M376=0,C376=""),"",IF(ISNUMBER(C376),MOD(C376,1),IFERROR(INDEX(القوائم!$B$1:$B$288,MATCH(TRIM(C376),القوائم!$A$1:$A$288,0)),IFERROR(MOD(TIMEVALUE(C376),1),""))))</f>
        <v/>
      </c>
      <c r="L376" s="28" t="str">
        <f aca="false">IF(OR(M376=0,D376=""),"",IF(ISNUMBER(D376),MOD(D376,1),IFERROR(INDEX(القوائم!$B$1:$B$288,MATCH(TRIM(D376),القوائم!$A$1:$A$288,0)),IFERROR(MOD(TIMEVALUE(D376),1),""))))</f>
        <v/>
      </c>
      <c r="M376" s="19" t="n">
        <f aca="false">$M$369</f>
        <v>0</v>
      </c>
      <c r="Q376" s="19" t="n">
        <f aca="false">IF(N(E381)&gt;0,1,0)</f>
        <v>0</v>
      </c>
      <c r="S376" s="0" t="n">
        <v>27</v>
      </c>
    </row>
    <row r="377" customFormat="false" ht="15" hidden="false" customHeight="false" outlineLevel="0" collapsed="false">
      <c r="A377" s="29" t="n">
        <f aca="false">IF(27&lt;=NW,WEEK_ONE+188,"")</f>
        <v>46206</v>
      </c>
      <c r="B377" s="30" t="str">
        <f aca="false">IF(A377="","",CHOOSE(WEEKDAY(A377,1),"الأحد","الاثنين","الثلاثاء","الأربعاء","الخميس","الجمعة","السبت"))</f>
        <v>الجمعة</v>
      </c>
      <c r="C377" s="24"/>
      <c r="D377" s="24"/>
      <c r="E377" s="25" t="str">
        <f aca="false">IF(OR(M377=0,K377="",L377=""),"",MOD(L377-K377,1))</f>
        <v/>
      </c>
      <c r="F377" s="26" t="str">
        <f aca="false">IF(OR(E377="",M377=0),"",IF(ROUND_MODE="للأعلى",CEILING(ROUND((E377*24*$N$369),3),0.25),ROUND((E377*24*$N$369)*4,0)/4))</f>
        <v/>
      </c>
      <c r="G377" s="24"/>
      <c r="H377" s="27"/>
      <c r="K377" s="28" t="str">
        <f aca="false">IF(OR(M377=0,C377=""),"",IF(ISNUMBER(C377),MOD(C377,1),IFERROR(INDEX(القوائم!$B$1:$B$288,MATCH(TRIM(C377),القوائم!$A$1:$A$288,0)),IFERROR(MOD(TIMEVALUE(C377),1),""))))</f>
        <v/>
      </c>
      <c r="L377" s="28" t="str">
        <f aca="false">IF(OR(M377=0,D377=""),"",IF(ISNUMBER(D377),MOD(D377,1),IFERROR(INDEX(القوائم!$B$1:$B$288,MATCH(TRIM(D377),القوائم!$A$1:$A$288,0)),IFERROR(MOD(TIMEVALUE(D377),1),""))))</f>
        <v/>
      </c>
      <c r="M377" s="19" t="n">
        <f aca="false">$M$369</f>
        <v>0</v>
      </c>
      <c r="Q377" s="19" t="n">
        <f aca="false">IF(N(E381)&gt;0,1,0)</f>
        <v>0</v>
      </c>
      <c r="S377" s="0" t="n">
        <v>27</v>
      </c>
    </row>
    <row r="378" customFormat="false" ht="15" hidden="false" customHeight="false" outlineLevel="0" collapsed="false">
      <c r="A378" s="31" t="str">
        <f aca="false">IF(M369=1,"ساعات تحميل الجبسمبورد بهالأسبوع ←","")</f>
        <v/>
      </c>
      <c r="B378" s="31"/>
      <c r="C378" s="31"/>
      <c r="D378" s="31"/>
      <c r="E378" s="32"/>
      <c r="F378" s="33" t="str">
        <f aca="false">IF(M369=1,"كل ساعة تحميل = "&amp;TEXT($P$369,"0.000")&amp;" دينار (منها "&amp;TEXT($N$369,"0.000")&amp;" محسوبة أصلاً بساعات اليوم)","")</f>
        <v/>
      </c>
      <c r="G378" s="33"/>
      <c r="H378" s="33"/>
      <c r="M378" s="19" t="n">
        <f aca="false">$M$369</f>
        <v>0</v>
      </c>
      <c r="Q378" s="19" t="n">
        <f aca="false">IF(N(E381)&gt;0,1,0)</f>
        <v>0</v>
      </c>
      <c r="S378" s="0" t="n">
        <v>27</v>
      </c>
    </row>
    <row r="379" customFormat="false" ht="15" hidden="false" customHeight="false" outlineLevel="0" collapsed="false">
      <c r="A379" s="31" t="str">
        <f aca="false">IF(M369=1,"إكرامية الأسبوع (دينار) ←","")</f>
        <v/>
      </c>
      <c r="B379" s="31"/>
      <c r="C379" s="31"/>
      <c r="D379" s="31"/>
      <c r="E379" s="34"/>
      <c r="F379" s="35"/>
      <c r="G379" s="35"/>
      <c r="H379" s="35"/>
      <c r="M379" s="19" t="n">
        <f aca="false">$M$369</f>
        <v>0</v>
      </c>
      <c r="Q379" s="19" t="n">
        <f aca="false">IF(N(E381)&gt;0,1,0)</f>
        <v>0</v>
      </c>
      <c r="S379" s="0" t="n">
        <v>27</v>
      </c>
    </row>
    <row r="380" customFormat="false" ht="36" hidden="false" customHeight="true" outlineLevel="0" collapsed="false">
      <c r="A380" s="36" t="str">
        <f aca="false">IF(M369=1,"المستحق النهائي للأسبوع","")</f>
        <v/>
      </c>
      <c r="B380" s="36"/>
      <c r="C380" s="36"/>
      <c r="D380" s="36"/>
      <c r="E380" s="36"/>
      <c r="F380" s="11" t="str">
        <f aca="false">IF(M369=1,ROUND(N($V$369)+N(E378)*($P$369-$N$369)+N(E379),3),"")</f>
        <v/>
      </c>
      <c r="G380" s="35"/>
      <c r="H380" s="35"/>
      <c r="M380" s="19" t="n">
        <f aca="false">$M$369</f>
        <v>0</v>
      </c>
      <c r="Q380" s="19" t="n">
        <f aca="false">IF(N(E381)&gt;0,1,0)</f>
        <v>0</v>
      </c>
      <c r="S380" s="0" t="n">
        <v>27</v>
      </c>
      <c r="T380" s="0" t="n">
        <v>1</v>
      </c>
    </row>
    <row r="381" customFormat="false" ht="25.5" hidden="false" customHeight="true" outlineLevel="0" collapsed="false">
      <c r="A381" s="31" t="str">
        <f aca="false">IF(M369=1,"المدفوع (دينار) ←","")</f>
        <v/>
      </c>
      <c r="B381" s="31"/>
      <c r="C381" s="31"/>
      <c r="D381" s="31"/>
      <c r="E381" s="34"/>
      <c r="F381" s="38" t="str">
        <f aca="false">IF(M369=1,IF(N(E381)&gt;0,"✔ انقبض — الأسبوع مقفول","⏳ لسا ما انقبض"),"")</f>
        <v/>
      </c>
      <c r="G381" s="38"/>
      <c r="H381" s="38"/>
      <c r="M381" s="19" t="n">
        <f aca="false">$M$369</f>
        <v>0</v>
      </c>
      <c r="Q381" s="19" t="n">
        <f aca="false">IF(N(E381)&gt;0,1,0)</f>
        <v>0</v>
      </c>
      <c r="S381" s="0" t="n">
        <v>27</v>
      </c>
    </row>
    <row r="382" customFormat="false" ht="9.75" hidden="false" customHeight="true" outlineLevel="0" collapsed="false">
      <c r="M382" s="19" t="n">
        <f aca="false">$M$369</f>
        <v>0</v>
      </c>
      <c r="Q382" s="19" t="n">
        <f aca="false">IF(N(E381)&gt;0,1,0)</f>
        <v>0</v>
      </c>
      <c r="S382" s="0" t="n">
        <v>27</v>
      </c>
      <c r="T382" s="0" t="n">
        <v>2</v>
      </c>
    </row>
    <row r="383" customFormat="false" ht="33.75" hidden="false" customHeight="true" outlineLevel="0" collapsed="false">
      <c r="A383" s="17" t="str">
        <f aca="false">IF(28&lt;=NW,TEXT(DAY(WEEK_ONE+189),"00")&amp;"/"&amp;TEXT(MONTH(WEEK_ONE+189),"00")&amp;"/"&amp;YEAR(WEEK_ONE+189)&amp;"  -  "&amp;TEXT(DAY(WEEK_ONE+195),"00")&amp;"/"&amp;TEXT(MONTH(WEEK_ONE+195),"00")&amp;"/"&amp;YEAR(WEEK_ONE+195)&amp;"   ·   الأسبوع 28"&amp;IF(28&lt;START_Z,"   (قبل أسبوع البداية — ما بينحسب)",""),"ما في أسبوع 28 هالسنة")</f>
        <v>04/07/2026  -  10/07/2026   ·   الأسبوع 28   (قبل أسبوع البداية — ما بينحسب)</v>
      </c>
      <c r="B383" s="17"/>
      <c r="C383" s="17"/>
      <c r="D383" s="17"/>
      <c r="E383" s="17"/>
      <c r="F383" s="17"/>
      <c r="G383" s="17"/>
      <c r="H383" s="17"/>
      <c r="L383" s="18" t="n">
        <f aca="false">IF(28&lt;=NW,WEEK_ONE+195,"")</f>
        <v>46213</v>
      </c>
      <c r="M383" s="19" t="n">
        <f aca="false">IF(AND(28&lt;=NW,28&gt;=START_Z),1,0)</f>
        <v>0</v>
      </c>
      <c r="N383" s="20" t="n">
        <f aca="false">IFERROR(INDEX(RT_AZZ,MATCH(L383,RT_K,1)),INDEX(RT_AZZ,1))</f>
        <v>1</v>
      </c>
      <c r="P383" s="20" t="n">
        <f aca="false">IFERROR(INDEX(RT_GYP,MATCH(L383,RT_K,1)),INDEX(RT_GYP,1))</f>
        <v>2.5</v>
      </c>
      <c r="Q383" s="19" t="n">
        <f aca="false">IF(N(E395)&gt;0,1,0)</f>
        <v>0</v>
      </c>
      <c r="R383" s="0" t="n">
        <v>28</v>
      </c>
      <c r="S383" s="0" t="n">
        <v>28</v>
      </c>
      <c r="U383" s="19" t="n">
        <f aca="false">IF(M383=1,SUM(E385:E391),0)</f>
        <v>0</v>
      </c>
      <c r="V383" s="19" t="n">
        <f aca="false">SUM(F385:F391)</f>
        <v>0</v>
      </c>
      <c r="W383" s="19" t="n">
        <f aca="false">IF(M383=1,SUMIFS(F385:F391,G385:G391,"نعم"),0)</f>
        <v>0</v>
      </c>
    </row>
    <row r="384" customFormat="false" ht="39.75" hidden="false" customHeight="true" outlineLevel="0" collapsed="false">
      <c r="A384" s="21" t="s">
        <v>18</v>
      </c>
      <c r="B384" s="21" t="s">
        <v>19</v>
      </c>
      <c r="C384" s="21" t="s">
        <v>20</v>
      </c>
      <c r="D384" s="21" t="s">
        <v>21</v>
      </c>
      <c r="E384" s="21" t="s">
        <v>22</v>
      </c>
      <c r="F384" s="21" t="s">
        <v>29</v>
      </c>
      <c r="G384" s="21" t="s">
        <v>30</v>
      </c>
      <c r="H384" s="21" t="s">
        <v>26</v>
      </c>
      <c r="M384" s="19" t="n">
        <f aca="false">$M$383</f>
        <v>0</v>
      </c>
      <c r="Q384" s="19" t="n">
        <f aca="false">IF(N(E395)&gt;0,1,0)</f>
        <v>0</v>
      </c>
      <c r="S384" s="0" t="n">
        <v>28</v>
      </c>
    </row>
    <row r="385" customFormat="false" ht="15" hidden="false" customHeight="false" outlineLevel="0" collapsed="false">
      <c r="A385" s="22" t="n">
        <f aca="false">IF(28&lt;=NW,WEEK_ONE+189,"")</f>
        <v>46207</v>
      </c>
      <c r="B385" s="23" t="str">
        <f aca="false">IF(A385="","",CHOOSE(WEEKDAY(A385,1),"الأحد","الاثنين","الثلاثاء","الأربعاء","الخميس","الجمعة","السبت"))</f>
        <v>السبت</v>
      </c>
      <c r="C385" s="24"/>
      <c r="D385" s="24"/>
      <c r="E385" s="25" t="str">
        <f aca="false">IF(OR(M385=0,K385="",L385=""),"",MOD(L385-K385,1))</f>
        <v/>
      </c>
      <c r="F385" s="26" t="str">
        <f aca="false">IF(OR(E385="",M385=0),"",IF(ROUND_MODE="للأعلى",CEILING(ROUND((E385*24*$N$383),3),0.25),ROUND((E385*24*$N$383)*4,0)/4))</f>
        <v/>
      </c>
      <c r="G385" s="24"/>
      <c r="H385" s="27"/>
      <c r="K385" s="28" t="str">
        <f aca="false">IF(OR(M385=0,C385=""),"",IF(ISNUMBER(C385),MOD(C385,1),IFERROR(INDEX(القوائم!$B$1:$B$288,MATCH(TRIM(C385),القوائم!$A$1:$A$288,0)),IFERROR(MOD(TIMEVALUE(C385),1),""))))</f>
        <v/>
      </c>
      <c r="L385" s="28" t="str">
        <f aca="false">IF(OR(M385=0,D385=""),"",IF(ISNUMBER(D385),MOD(D385,1),IFERROR(INDEX(القوائم!$B$1:$B$288,MATCH(TRIM(D385),القوائم!$A$1:$A$288,0)),IFERROR(MOD(TIMEVALUE(D385),1),""))))</f>
        <v/>
      </c>
      <c r="M385" s="19" t="n">
        <f aca="false">$M$383</f>
        <v>0</v>
      </c>
      <c r="Q385" s="19" t="n">
        <f aca="false">IF(N(E395)&gt;0,1,0)</f>
        <v>0</v>
      </c>
      <c r="S385" s="0" t="n">
        <v>28</v>
      </c>
    </row>
    <row r="386" customFormat="false" ht="15" hidden="false" customHeight="false" outlineLevel="0" collapsed="false">
      <c r="A386" s="22" t="n">
        <f aca="false">IF(28&lt;=NW,WEEK_ONE+190,"")</f>
        <v>46208</v>
      </c>
      <c r="B386" s="23" t="str">
        <f aca="false">IF(A386="","",CHOOSE(WEEKDAY(A386,1),"الأحد","الاثنين","الثلاثاء","الأربعاء","الخميس","الجمعة","السبت"))</f>
        <v>الأحد</v>
      </c>
      <c r="C386" s="24"/>
      <c r="D386" s="24"/>
      <c r="E386" s="25" t="str">
        <f aca="false">IF(OR(M386=0,K386="",L386=""),"",MOD(L386-K386,1))</f>
        <v/>
      </c>
      <c r="F386" s="26" t="str">
        <f aca="false">IF(OR(E386="",M386=0),"",IF(ROUND_MODE="للأعلى",CEILING(ROUND((E386*24*$N$383),3),0.25),ROUND((E386*24*$N$383)*4,0)/4))</f>
        <v/>
      </c>
      <c r="G386" s="24"/>
      <c r="H386" s="27"/>
      <c r="K386" s="28" t="str">
        <f aca="false">IF(OR(M386=0,C386=""),"",IF(ISNUMBER(C386),MOD(C386,1),IFERROR(INDEX(القوائم!$B$1:$B$288,MATCH(TRIM(C386),القوائم!$A$1:$A$288,0)),IFERROR(MOD(TIMEVALUE(C386),1),""))))</f>
        <v/>
      </c>
      <c r="L386" s="28" t="str">
        <f aca="false">IF(OR(M386=0,D386=""),"",IF(ISNUMBER(D386),MOD(D386,1),IFERROR(INDEX(القوائم!$B$1:$B$288,MATCH(TRIM(D386),القوائم!$A$1:$A$288,0)),IFERROR(MOD(TIMEVALUE(D386),1),""))))</f>
        <v/>
      </c>
      <c r="M386" s="19" t="n">
        <f aca="false">$M$383</f>
        <v>0</v>
      </c>
      <c r="Q386" s="19" t="n">
        <f aca="false">IF(N(E395)&gt;0,1,0)</f>
        <v>0</v>
      </c>
      <c r="S386" s="0" t="n">
        <v>28</v>
      </c>
    </row>
    <row r="387" customFormat="false" ht="15" hidden="false" customHeight="false" outlineLevel="0" collapsed="false">
      <c r="A387" s="22" t="n">
        <f aca="false">IF(28&lt;=NW,WEEK_ONE+191,"")</f>
        <v>46209</v>
      </c>
      <c r="B387" s="23" t="str">
        <f aca="false">IF(A387="","",CHOOSE(WEEKDAY(A387,1),"الأحد","الاثنين","الثلاثاء","الأربعاء","الخميس","الجمعة","السبت"))</f>
        <v>الاثنين</v>
      </c>
      <c r="C387" s="24"/>
      <c r="D387" s="24"/>
      <c r="E387" s="25" t="str">
        <f aca="false">IF(OR(M387=0,K387="",L387=""),"",MOD(L387-K387,1))</f>
        <v/>
      </c>
      <c r="F387" s="26" t="str">
        <f aca="false">IF(OR(E387="",M387=0),"",IF(ROUND_MODE="للأعلى",CEILING(ROUND((E387*24*$N$383),3),0.25),ROUND((E387*24*$N$383)*4,0)/4))</f>
        <v/>
      </c>
      <c r="G387" s="24"/>
      <c r="H387" s="27"/>
      <c r="K387" s="28" t="str">
        <f aca="false">IF(OR(M387=0,C387=""),"",IF(ISNUMBER(C387),MOD(C387,1),IFERROR(INDEX(القوائم!$B$1:$B$288,MATCH(TRIM(C387),القوائم!$A$1:$A$288,0)),IFERROR(MOD(TIMEVALUE(C387),1),""))))</f>
        <v/>
      </c>
      <c r="L387" s="28" t="str">
        <f aca="false">IF(OR(M387=0,D387=""),"",IF(ISNUMBER(D387),MOD(D387,1),IFERROR(INDEX(القوائم!$B$1:$B$288,MATCH(TRIM(D387),القوائم!$A$1:$A$288,0)),IFERROR(MOD(TIMEVALUE(D387),1),""))))</f>
        <v/>
      </c>
      <c r="M387" s="19" t="n">
        <f aca="false">$M$383</f>
        <v>0</v>
      </c>
      <c r="Q387" s="19" t="n">
        <f aca="false">IF(N(E395)&gt;0,1,0)</f>
        <v>0</v>
      </c>
      <c r="S387" s="0" t="n">
        <v>28</v>
      </c>
    </row>
    <row r="388" customFormat="false" ht="15" hidden="false" customHeight="false" outlineLevel="0" collapsed="false">
      <c r="A388" s="22" t="n">
        <f aca="false">IF(28&lt;=NW,WEEK_ONE+192,"")</f>
        <v>46210</v>
      </c>
      <c r="B388" s="23" t="str">
        <f aca="false">IF(A388="","",CHOOSE(WEEKDAY(A388,1),"الأحد","الاثنين","الثلاثاء","الأربعاء","الخميس","الجمعة","السبت"))</f>
        <v>الثلاثاء</v>
      </c>
      <c r="C388" s="24"/>
      <c r="D388" s="24"/>
      <c r="E388" s="25" t="str">
        <f aca="false">IF(OR(M388=0,K388="",L388=""),"",MOD(L388-K388,1))</f>
        <v/>
      </c>
      <c r="F388" s="26" t="str">
        <f aca="false">IF(OR(E388="",M388=0),"",IF(ROUND_MODE="للأعلى",CEILING(ROUND((E388*24*$N$383),3),0.25),ROUND((E388*24*$N$383)*4,0)/4))</f>
        <v/>
      </c>
      <c r="G388" s="24"/>
      <c r="H388" s="27"/>
      <c r="K388" s="28" t="str">
        <f aca="false">IF(OR(M388=0,C388=""),"",IF(ISNUMBER(C388),MOD(C388,1),IFERROR(INDEX(القوائم!$B$1:$B$288,MATCH(TRIM(C388),القوائم!$A$1:$A$288,0)),IFERROR(MOD(TIMEVALUE(C388),1),""))))</f>
        <v/>
      </c>
      <c r="L388" s="28" t="str">
        <f aca="false">IF(OR(M388=0,D388=""),"",IF(ISNUMBER(D388),MOD(D388,1),IFERROR(INDEX(القوائم!$B$1:$B$288,MATCH(TRIM(D388),القوائم!$A$1:$A$288,0)),IFERROR(MOD(TIMEVALUE(D388),1),""))))</f>
        <v/>
      </c>
      <c r="M388" s="19" t="n">
        <f aca="false">$M$383</f>
        <v>0</v>
      </c>
      <c r="Q388" s="19" t="n">
        <f aca="false">IF(N(E395)&gt;0,1,0)</f>
        <v>0</v>
      </c>
      <c r="S388" s="0" t="n">
        <v>28</v>
      </c>
    </row>
    <row r="389" customFormat="false" ht="15" hidden="false" customHeight="false" outlineLevel="0" collapsed="false">
      <c r="A389" s="22" t="n">
        <f aca="false">IF(28&lt;=NW,WEEK_ONE+193,"")</f>
        <v>46211</v>
      </c>
      <c r="B389" s="23" t="str">
        <f aca="false">IF(A389="","",CHOOSE(WEEKDAY(A389,1),"الأحد","الاثنين","الثلاثاء","الأربعاء","الخميس","الجمعة","السبت"))</f>
        <v>الأربعاء</v>
      </c>
      <c r="C389" s="24"/>
      <c r="D389" s="24"/>
      <c r="E389" s="25" t="str">
        <f aca="false">IF(OR(M389=0,K389="",L389=""),"",MOD(L389-K389,1))</f>
        <v/>
      </c>
      <c r="F389" s="26" t="str">
        <f aca="false">IF(OR(E389="",M389=0),"",IF(ROUND_MODE="للأعلى",CEILING(ROUND((E389*24*$N$383),3),0.25),ROUND((E389*24*$N$383)*4,0)/4))</f>
        <v/>
      </c>
      <c r="G389" s="24"/>
      <c r="H389" s="27"/>
      <c r="K389" s="28" t="str">
        <f aca="false">IF(OR(M389=0,C389=""),"",IF(ISNUMBER(C389),MOD(C389,1),IFERROR(INDEX(القوائم!$B$1:$B$288,MATCH(TRIM(C389),القوائم!$A$1:$A$288,0)),IFERROR(MOD(TIMEVALUE(C389),1),""))))</f>
        <v/>
      </c>
      <c r="L389" s="28" t="str">
        <f aca="false">IF(OR(M389=0,D389=""),"",IF(ISNUMBER(D389),MOD(D389,1),IFERROR(INDEX(القوائم!$B$1:$B$288,MATCH(TRIM(D389),القوائم!$A$1:$A$288,0)),IFERROR(MOD(TIMEVALUE(D389),1),""))))</f>
        <v/>
      </c>
      <c r="M389" s="19" t="n">
        <f aca="false">$M$383</f>
        <v>0</v>
      </c>
      <c r="Q389" s="19" t="n">
        <f aca="false">IF(N(E395)&gt;0,1,0)</f>
        <v>0</v>
      </c>
      <c r="S389" s="0" t="n">
        <v>28</v>
      </c>
    </row>
    <row r="390" customFormat="false" ht="15" hidden="false" customHeight="false" outlineLevel="0" collapsed="false">
      <c r="A390" s="22" t="n">
        <f aca="false">IF(28&lt;=NW,WEEK_ONE+194,"")</f>
        <v>46212</v>
      </c>
      <c r="B390" s="23" t="str">
        <f aca="false">IF(A390="","",CHOOSE(WEEKDAY(A390,1),"الأحد","الاثنين","الثلاثاء","الأربعاء","الخميس","الجمعة","السبت"))</f>
        <v>الخميس</v>
      </c>
      <c r="C390" s="24"/>
      <c r="D390" s="24"/>
      <c r="E390" s="25" t="str">
        <f aca="false">IF(OR(M390=0,K390="",L390=""),"",MOD(L390-K390,1))</f>
        <v/>
      </c>
      <c r="F390" s="26" t="str">
        <f aca="false">IF(OR(E390="",M390=0),"",IF(ROUND_MODE="للأعلى",CEILING(ROUND((E390*24*$N$383),3),0.25),ROUND((E390*24*$N$383)*4,0)/4))</f>
        <v/>
      </c>
      <c r="G390" s="24"/>
      <c r="H390" s="27"/>
      <c r="K390" s="28" t="str">
        <f aca="false">IF(OR(M390=0,C390=""),"",IF(ISNUMBER(C390),MOD(C390,1),IFERROR(INDEX(القوائم!$B$1:$B$288,MATCH(TRIM(C390),القوائم!$A$1:$A$288,0)),IFERROR(MOD(TIMEVALUE(C390),1),""))))</f>
        <v/>
      </c>
      <c r="L390" s="28" t="str">
        <f aca="false">IF(OR(M390=0,D390=""),"",IF(ISNUMBER(D390),MOD(D390,1),IFERROR(INDEX(القوائم!$B$1:$B$288,MATCH(TRIM(D390),القوائم!$A$1:$A$288,0)),IFERROR(MOD(TIMEVALUE(D390),1),""))))</f>
        <v/>
      </c>
      <c r="M390" s="19" t="n">
        <f aca="false">$M$383</f>
        <v>0</v>
      </c>
      <c r="Q390" s="19" t="n">
        <f aca="false">IF(N(E395)&gt;0,1,0)</f>
        <v>0</v>
      </c>
      <c r="S390" s="0" t="n">
        <v>28</v>
      </c>
    </row>
    <row r="391" customFormat="false" ht="15" hidden="false" customHeight="false" outlineLevel="0" collapsed="false">
      <c r="A391" s="29" t="n">
        <f aca="false">IF(28&lt;=NW,WEEK_ONE+195,"")</f>
        <v>46213</v>
      </c>
      <c r="B391" s="30" t="str">
        <f aca="false">IF(A391="","",CHOOSE(WEEKDAY(A391,1),"الأحد","الاثنين","الثلاثاء","الأربعاء","الخميس","الجمعة","السبت"))</f>
        <v>الجمعة</v>
      </c>
      <c r="C391" s="24"/>
      <c r="D391" s="24"/>
      <c r="E391" s="25" t="str">
        <f aca="false">IF(OR(M391=0,K391="",L391=""),"",MOD(L391-K391,1))</f>
        <v/>
      </c>
      <c r="F391" s="26" t="str">
        <f aca="false">IF(OR(E391="",M391=0),"",IF(ROUND_MODE="للأعلى",CEILING(ROUND((E391*24*$N$383),3),0.25),ROUND((E391*24*$N$383)*4,0)/4))</f>
        <v/>
      </c>
      <c r="G391" s="24"/>
      <c r="H391" s="27"/>
      <c r="K391" s="28" t="str">
        <f aca="false">IF(OR(M391=0,C391=""),"",IF(ISNUMBER(C391),MOD(C391,1),IFERROR(INDEX(القوائم!$B$1:$B$288,MATCH(TRIM(C391),القوائم!$A$1:$A$288,0)),IFERROR(MOD(TIMEVALUE(C391),1),""))))</f>
        <v/>
      </c>
      <c r="L391" s="28" t="str">
        <f aca="false">IF(OR(M391=0,D391=""),"",IF(ISNUMBER(D391),MOD(D391,1),IFERROR(INDEX(القوائم!$B$1:$B$288,MATCH(TRIM(D391),القوائم!$A$1:$A$288,0)),IFERROR(MOD(TIMEVALUE(D391),1),""))))</f>
        <v/>
      </c>
      <c r="M391" s="19" t="n">
        <f aca="false">$M$383</f>
        <v>0</v>
      </c>
      <c r="Q391" s="19" t="n">
        <f aca="false">IF(N(E395)&gt;0,1,0)</f>
        <v>0</v>
      </c>
      <c r="S391" s="0" t="n">
        <v>28</v>
      </c>
    </row>
    <row r="392" customFormat="false" ht="15" hidden="false" customHeight="false" outlineLevel="0" collapsed="false">
      <c r="A392" s="31" t="str">
        <f aca="false">IF(M383=1,"ساعات تحميل الجبسمبورد بهالأسبوع ←","")</f>
        <v/>
      </c>
      <c r="B392" s="31"/>
      <c r="C392" s="31"/>
      <c r="D392" s="31"/>
      <c r="E392" s="32"/>
      <c r="F392" s="33" t="str">
        <f aca="false">IF(M383=1,"كل ساعة تحميل = "&amp;TEXT($P$383,"0.000")&amp;" دينار (منها "&amp;TEXT($N$383,"0.000")&amp;" محسوبة أصلاً بساعات اليوم)","")</f>
        <v/>
      </c>
      <c r="G392" s="33"/>
      <c r="H392" s="33"/>
      <c r="M392" s="19" t="n">
        <f aca="false">$M$383</f>
        <v>0</v>
      </c>
      <c r="Q392" s="19" t="n">
        <f aca="false">IF(N(E395)&gt;0,1,0)</f>
        <v>0</v>
      </c>
      <c r="S392" s="0" t="n">
        <v>28</v>
      </c>
    </row>
    <row r="393" customFormat="false" ht="15" hidden="false" customHeight="false" outlineLevel="0" collapsed="false">
      <c r="A393" s="31" t="str">
        <f aca="false">IF(M383=1,"إكرامية الأسبوع (دينار) ←","")</f>
        <v/>
      </c>
      <c r="B393" s="31"/>
      <c r="C393" s="31"/>
      <c r="D393" s="31"/>
      <c r="E393" s="34"/>
      <c r="F393" s="35"/>
      <c r="G393" s="35"/>
      <c r="H393" s="35"/>
      <c r="M393" s="19" t="n">
        <f aca="false">$M$383</f>
        <v>0</v>
      </c>
      <c r="Q393" s="19" t="n">
        <f aca="false">IF(N(E395)&gt;0,1,0)</f>
        <v>0</v>
      </c>
      <c r="S393" s="0" t="n">
        <v>28</v>
      </c>
    </row>
    <row r="394" customFormat="false" ht="36" hidden="false" customHeight="true" outlineLevel="0" collapsed="false">
      <c r="A394" s="36" t="str">
        <f aca="false">IF(M383=1,"المستحق النهائي للأسبوع","")</f>
        <v/>
      </c>
      <c r="B394" s="36"/>
      <c r="C394" s="36"/>
      <c r="D394" s="36"/>
      <c r="E394" s="36"/>
      <c r="F394" s="11" t="str">
        <f aca="false">IF(M383=1,ROUND(N($V$383)+N(E392)*($P$383-$N$383)+N(E393),3),"")</f>
        <v/>
      </c>
      <c r="G394" s="35"/>
      <c r="H394" s="35"/>
      <c r="M394" s="19" t="n">
        <f aca="false">$M$383</f>
        <v>0</v>
      </c>
      <c r="Q394" s="19" t="n">
        <f aca="false">IF(N(E395)&gt;0,1,0)</f>
        <v>0</v>
      </c>
      <c r="S394" s="0" t="n">
        <v>28</v>
      </c>
      <c r="T394" s="0" t="n">
        <v>1</v>
      </c>
    </row>
    <row r="395" customFormat="false" ht="25.5" hidden="false" customHeight="true" outlineLevel="0" collapsed="false">
      <c r="A395" s="31" t="str">
        <f aca="false">IF(M383=1,"المدفوع (دينار) ←","")</f>
        <v/>
      </c>
      <c r="B395" s="31"/>
      <c r="C395" s="31"/>
      <c r="D395" s="31"/>
      <c r="E395" s="34"/>
      <c r="F395" s="38" t="str">
        <f aca="false">IF(M383=1,IF(N(E395)&gt;0,"✔ انقبض — الأسبوع مقفول","⏳ لسا ما انقبض"),"")</f>
        <v/>
      </c>
      <c r="G395" s="38"/>
      <c r="H395" s="38"/>
      <c r="M395" s="19" t="n">
        <f aca="false">$M$383</f>
        <v>0</v>
      </c>
      <c r="Q395" s="19" t="n">
        <f aca="false">IF(N(E395)&gt;0,1,0)</f>
        <v>0</v>
      </c>
      <c r="S395" s="0" t="n">
        <v>28</v>
      </c>
    </row>
    <row r="396" customFormat="false" ht="9.75" hidden="false" customHeight="true" outlineLevel="0" collapsed="false">
      <c r="M396" s="19" t="n">
        <f aca="false">$M$383</f>
        <v>0</v>
      </c>
      <c r="Q396" s="19" t="n">
        <f aca="false">IF(N(E395)&gt;0,1,0)</f>
        <v>0</v>
      </c>
      <c r="S396" s="0" t="n">
        <v>28</v>
      </c>
      <c r="T396" s="0" t="n">
        <v>2</v>
      </c>
    </row>
    <row r="397" customFormat="false" ht="33.75" hidden="false" customHeight="true" outlineLevel="0" collapsed="false">
      <c r="A397" s="17" t="str">
        <f aca="false">IF(29&lt;=NW,TEXT(DAY(WEEK_ONE+196),"00")&amp;"/"&amp;TEXT(MONTH(WEEK_ONE+196),"00")&amp;"/"&amp;YEAR(WEEK_ONE+196)&amp;"  -  "&amp;TEXT(DAY(WEEK_ONE+202),"00")&amp;"/"&amp;TEXT(MONTH(WEEK_ONE+202),"00")&amp;"/"&amp;YEAR(WEEK_ONE+202)&amp;"   ·   الأسبوع 29"&amp;IF(29&lt;START_Z,"   (قبل أسبوع البداية — ما بينحسب)",""),"ما في أسبوع 29 هالسنة")</f>
        <v>11/07/2026  -  17/07/2026   ·   الأسبوع 29   (قبل أسبوع البداية — ما بينحسب)</v>
      </c>
      <c r="B397" s="17"/>
      <c r="C397" s="17"/>
      <c r="D397" s="17"/>
      <c r="E397" s="17"/>
      <c r="F397" s="17"/>
      <c r="G397" s="17"/>
      <c r="H397" s="17"/>
      <c r="L397" s="18" t="n">
        <f aca="false">IF(29&lt;=NW,WEEK_ONE+202,"")</f>
        <v>46220</v>
      </c>
      <c r="M397" s="19" t="n">
        <f aca="false">IF(AND(29&lt;=NW,29&gt;=START_Z),1,0)</f>
        <v>0</v>
      </c>
      <c r="N397" s="20" t="n">
        <f aca="false">IFERROR(INDEX(RT_AZZ,MATCH(L397,RT_K,1)),INDEX(RT_AZZ,1))</f>
        <v>1</v>
      </c>
      <c r="P397" s="20" t="n">
        <f aca="false">IFERROR(INDEX(RT_GYP,MATCH(L397,RT_K,1)),INDEX(RT_GYP,1))</f>
        <v>2.5</v>
      </c>
      <c r="Q397" s="19" t="n">
        <f aca="false">IF(N(E409)&gt;0,1,0)</f>
        <v>0</v>
      </c>
      <c r="R397" s="0" t="n">
        <v>29</v>
      </c>
      <c r="S397" s="0" t="n">
        <v>29</v>
      </c>
      <c r="U397" s="19" t="n">
        <f aca="false">IF(M397=1,SUM(E399:E405),0)</f>
        <v>0</v>
      </c>
      <c r="V397" s="19" t="n">
        <f aca="false">SUM(F399:F405)</f>
        <v>0</v>
      </c>
      <c r="W397" s="19" t="n">
        <f aca="false">IF(M397=1,SUMIFS(F399:F405,G399:G405,"نعم"),0)</f>
        <v>0</v>
      </c>
    </row>
    <row r="398" customFormat="false" ht="39.75" hidden="false" customHeight="true" outlineLevel="0" collapsed="false">
      <c r="A398" s="21" t="s">
        <v>18</v>
      </c>
      <c r="B398" s="21" t="s">
        <v>19</v>
      </c>
      <c r="C398" s="21" t="s">
        <v>20</v>
      </c>
      <c r="D398" s="21" t="s">
        <v>21</v>
      </c>
      <c r="E398" s="21" t="s">
        <v>22</v>
      </c>
      <c r="F398" s="21" t="s">
        <v>29</v>
      </c>
      <c r="G398" s="21" t="s">
        <v>30</v>
      </c>
      <c r="H398" s="21" t="s">
        <v>26</v>
      </c>
      <c r="M398" s="19" t="n">
        <f aca="false">$M$397</f>
        <v>0</v>
      </c>
      <c r="Q398" s="19" t="n">
        <f aca="false">IF(N(E409)&gt;0,1,0)</f>
        <v>0</v>
      </c>
      <c r="S398" s="0" t="n">
        <v>29</v>
      </c>
    </row>
    <row r="399" customFormat="false" ht="15" hidden="false" customHeight="false" outlineLevel="0" collapsed="false">
      <c r="A399" s="22" t="n">
        <f aca="false">IF(29&lt;=NW,WEEK_ONE+196,"")</f>
        <v>46214</v>
      </c>
      <c r="B399" s="23" t="str">
        <f aca="false">IF(A399="","",CHOOSE(WEEKDAY(A399,1),"الأحد","الاثنين","الثلاثاء","الأربعاء","الخميس","الجمعة","السبت"))</f>
        <v>السبت</v>
      </c>
      <c r="C399" s="24"/>
      <c r="D399" s="24"/>
      <c r="E399" s="25" t="str">
        <f aca="false">IF(OR(M399=0,K399="",L399=""),"",MOD(L399-K399,1))</f>
        <v/>
      </c>
      <c r="F399" s="26" t="str">
        <f aca="false">IF(OR(E399="",M399=0),"",IF(ROUND_MODE="للأعلى",CEILING(ROUND((E399*24*$N$397),3),0.25),ROUND((E399*24*$N$397)*4,0)/4))</f>
        <v/>
      </c>
      <c r="G399" s="24"/>
      <c r="H399" s="27"/>
      <c r="K399" s="28" t="str">
        <f aca="false">IF(OR(M399=0,C399=""),"",IF(ISNUMBER(C399),MOD(C399,1),IFERROR(INDEX(القوائم!$B$1:$B$288,MATCH(TRIM(C399),القوائم!$A$1:$A$288,0)),IFERROR(MOD(TIMEVALUE(C399),1),""))))</f>
        <v/>
      </c>
      <c r="L399" s="28" t="str">
        <f aca="false">IF(OR(M399=0,D399=""),"",IF(ISNUMBER(D399),MOD(D399,1),IFERROR(INDEX(القوائم!$B$1:$B$288,MATCH(TRIM(D399),القوائم!$A$1:$A$288,0)),IFERROR(MOD(TIMEVALUE(D399),1),""))))</f>
        <v/>
      </c>
      <c r="M399" s="19" t="n">
        <f aca="false">$M$397</f>
        <v>0</v>
      </c>
      <c r="Q399" s="19" t="n">
        <f aca="false">IF(N(E409)&gt;0,1,0)</f>
        <v>0</v>
      </c>
      <c r="S399" s="0" t="n">
        <v>29</v>
      </c>
    </row>
    <row r="400" customFormat="false" ht="15" hidden="false" customHeight="false" outlineLevel="0" collapsed="false">
      <c r="A400" s="22" t="n">
        <f aca="false">IF(29&lt;=NW,WEEK_ONE+197,"")</f>
        <v>46215</v>
      </c>
      <c r="B400" s="23" t="str">
        <f aca="false">IF(A400="","",CHOOSE(WEEKDAY(A400,1),"الأحد","الاثنين","الثلاثاء","الأربعاء","الخميس","الجمعة","السبت"))</f>
        <v>الأحد</v>
      </c>
      <c r="C400" s="24"/>
      <c r="D400" s="24"/>
      <c r="E400" s="25" t="str">
        <f aca="false">IF(OR(M400=0,K400="",L400=""),"",MOD(L400-K400,1))</f>
        <v/>
      </c>
      <c r="F400" s="26" t="str">
        <f aca="false">IF(OR(E400="",M400=0),"",IF(ROUND_MODE="للأعلى",CEILING(ROUND((E400*24*$N$397),3),0.25),ROUND((E400*24*$N$397)*4,0)/4))</f>
        <v/>
      </c>
      <c r="G400" s="24"/>
      <c r="H400" s="27"/>
      <c r="K400" s="28" t="str">
        <f aca="false">IF(OR(M400=0,C400=""),"",IF(ISNUMBER(C400),MOD(C400,1),IFERROR(INDEX(القوائم!$B$1:$B$288,MATCH(TRIM(C400),القوائم!$A$1:$A$288,0)),IFERROR(MOD(TIMEVALUE(C400),1),""))))</f>
        <v/>
      </c>
      <c r="L400" s="28" t="str">
        <f aca="false">IF(OR(M400=0,D400=""),"",IF(ISNUMBER(D400),MOD(D400,1),IFERROR(INDEX(القوائم!$B$1:$B$288,MATCH(TRIM(D400),القوائم!$A$1:$A$288,0)),IFERROR(MOD(TIMEVALUE(D400),1),""))))</f>
        <v/>
      </c>
      <c r="M400" s="19" t="n">
        <f aca="false">$M$397</f>
        <v>0</v>
      </c>
      <c r="Q400" s="19" t="n">
        <f aca="false">IF(N(E409)&gt;0,1,0)</f>
        <v>0</v>
      </c>
      <c r="S400" s="0" t="n">
        <v>29</v>
      </c>
    </row>
    <row r="401" customFormat="false" ht="15" hidden="false" customHeight="false" outlineLevel="0" collapsed="false">
      <c r="A401" s="22" t="n">
        <f aca="false">IF(29&lt;=NW,WEEK_ONE+198,"")</f>
        <v>46216</v>
      </c>
      <c r="B401" s="23" t="str">
        <f aca="false">IF(A401="","",CHOOSE(WEEKDAY(A401,1),"الأحد","الاثنين","الثلاثاء","الأربعاء","الخميس","الجمعة","السبت"))</f>
        <v>الاثنين</v>
      </c>
      <c r="C401" s="24"/>
      <c r="D401" s="24"/>
      <c r="E401" s="25" t="str">
        <f aca="false">IF(OR(M401=0,K401="",L401=""),"",MOD(L401-K401,1))</f>
        <v/>
      </c>
      <c r="F401" s="26" t="str">
        <f aca="false">IF(OR(E401="",M401=0),"",IF(ROUND_MODE="للأعلى",CEILING(ROUND((E401*24*$N$397),3),0.25),ROUND((E401*24*$N$397)*4,0)/4))</f>
        <v/>
      </c>
      <c r="G401" s="24"/>
      <c r="H401" s="27"/>
      <c r="K401" s="28" t="str">
        <f aca="false">IF(OR(M401=0,C401=""),"",IF(ISNUMBER(C401),MOD(C401,1),IFERROR(INDEX(القوائم!$B$1:$B$288,MATCH(TRIM(C401),القوائم!$A$1:$A$288,0)),IFERROR(MOD(TIMEVALUE(C401),1),""))))</f>
        <v/>
      </c>
      <c r="L401" s="28" t="str">
        <f aca="false">IF(OR(M401=0,D401=""),"",IF(ISNUMBER(D401),MOD(D401,1),IFERROR(INDEX(القوائم!$B$1:$B$288,MATCH(TRIM(D401),القوائم!$A$1:$A$288,0)),IFERROR(MOD(TIMEVALUE(D401),1),""))))</f>
        <v/>
      </c>
      <c r="M401" s="19" t="n">
        <f aca="false">$M$397</f>
        <v>0</v>
      </c>
      <c r="Q401" s="19" t="n">
        <f aca="false">IF(N(E409)&gt;0,1,0)</f>
        <v>0</v>
      </c>
      <c r="S401" s="0" t="n">
        <v>29</v>
      </c>
    </row>
    <row r="402" customFormat="false" ht="15" hidden="false" customHeight="false" outlineLevel="0" collapsed="false">
      <c r="A402" s="22" t="n">
        <f aca="false">IF(29&lt;=NW,WEEK_ONE+199,"")</f>
        <v>46217</v>
      </c>
      <c r="B402" s="23" t="str">
        <f aca="false">IF(A402="","",CHOOSE(WEEKDAY(A402,1),"الأحد","الاثنين","الثلاثاء","الأربعاء","الخميس","الجمعة","السبت"))</f>
        <v>الثلاثاء</v>
      </c>
      <c r="C402" s="24"/>
      <c r="D402" s="24"/>
      <c r="E402" s="25" t="str">
        <f aca="false">IF(OR(M402=0,K402="",L402=""),"",MOD(L402-K402,1))</f>
        <v/>
      </c>
      <c r="F402" s="26" t="str">
        <f aca="false">IF(OR(E402="",M402=0),"",IF(ROUND_MODE="للأعلى",CEILING(ROUND((E402*24*$N$397),3),0.25),ROUND((E402*24*$N$397)*4,0)/4))</f>
        <v/>
      </c>
      <c r="G402" s="24"/>
      <c r="H402" s="27"/>
      <c r="K402" s="28" t="str">
        <f aca="false">IF(OR(M402=0,C402=""),"",IF(ISNUMBER(C402),MOD(C402,1),IFERROR(INDEX(القوائم!$B$1:$B$288,MATCH(TRIM(C402),القوائم!$A$1:$A$288,0)),IFERROR(MOD(TIMEVALUE(C402),1),""))))</f>
        <v/>
      </c>
      <c r="L402" s="28" t="str">
        <f aca="false">IF(OR(M402=0,D402=""),"",IF(ISNUMBER(D402),MOD(D402,1),IFERROR(INDEX(القوائم!$B$1:$B$288,MATCH(TRIM(D402),القوائم!$A$1:$A$288,0)),IFERROR(MOD(TIMEVALUE(D402),1),""))))</f>
        <v/>
      </c>
      <c r="M402" s="19" t="n">
        <f aca="false">$M$397</f>
        <v>0</v>
      </c>
      <c r="Q402" s="19" t="n">
        <f aca="false">IF(N(E409)&gt;0,1,0)</f>
        <v>0</v>
      </c>
      <c r="S402" s="0" t="n">
        <v>29</v>
      </c>
    </row>
    <row r="403" customFormat="false" ht="15" hidden="false" customHeight="false" outlineLevel="0" collapsed="false">
      <c r="A403" s="22" t="n">
        <f aca="false">IF(29&lt;=NW,WEEK_ONE+200,"")</f>
        <v>46218</v>
      </c>
      <c r="B403" s="23" t="str">
        <f aca="false">IF(A403="","",CHOOSE(WEEKDAY(A403,1),"الأحد","الاثنين","الثلاثاء","الأربعاء","الخميس","الجمعة","السبت"))</f>
        <v>الأربعاء</v>
      </c>
      <c r="C403" s="24"/>
      <c r="D403" s="24"/>
      <c r="E403" s="25" t="str">
        <f aca="false">IF(OR(M403=0,K403="",L403=""),"",MOD(L403-K403,1))</f>
        <v/>
      </c>
      <c r="F403" s="26" t="str">
        <f aca="false">IF(OR(E403="",M403=0),"",IF(ROUND_MODE="للأعلى",CEILING(ROUND((E403*24*$N$397),3),0.25),ROUND((E403*24*$N$397)*4,0)/4))</f>
        <v/>
      </c>
      <c r="G403" s="24"/>
      <c r="H403" s="27"/>
      <c r="K403" s="28" t="str">
        <f aca="false">IF(OR(M403=0,C403=""),"",IF(ISNUMBER(C403),MOD(C403,1),IFERROR(INDEX(القوائم!$B$1:$B$288,MATCH(TRIM(C403),القوائم!$A$1:$A$288,0)),IFERROR(MOD(TIMEVALUE(C403),1),""))))</f>
        <v/>
      </c>
      <c r="L403" s="28" t="str">
        <f aca="false">IF(OR(M403=0,D403=""),"",IF(ISNUMBER(D403),MOD(D403,1),IFERROR(INDEX(القوائم!$B$1:$B$288,MATCH(TRIM(D403),القوائم!$A$1:$A$288,0)),IFERROR(MOD(TIMEVALUE(D403),1),""))))</f>
        <v/>
      </c>
      <c r="M403" s="19" t="n">
        <f aca="false">$M$397</f>
        <v>0</v>
      </c>
      <c r="Q403" s="19" t="n">
        <f aca="false">IF(N(E409)&gt;0,1,0)</f>
        <v>0</v>
      </c>
      <c r="S403" s="0" t="n">
        <v>29</v>
      </c>
    </row>
    <row r="404" customFormat="false" ht="15" hidden="false" customHeight="false" outlineLevel="0" collapsed="false">
      <c r="A404" s="22" t="n">
        <f aca="false">IF(29&lt;=NW,WEEK_ONE+201,"")</f>
        <v>46219</v>
      </c>
      <c r="B404" s="23" t="str">
        <f aca="false">IF(A404="","",CHOOSE(WEEKDAY(A404,1),"الأحد","الاثنين","الثلاثاء","الأربعاء","الخميس","الجمعة","السبت"))</f>
        <v>الخميس</v>
      </c>
      <c r="C404" s="24"/>
      <c r="D404" s="24"/>
      <c r="E404" s="25" t="str">
        <f aca="false">IF(OR(M404=0,K404="",L404=""),"",MOD(L404-K404,1))</f>
        <v/>
      </c>
      <c r="F404" s="26" t="str">
        <f aca="false">IF(OR(E404="",M404=0),"",IF(ROUND_MODE="للأعلى",CEILING(ROUND((E404*24*$N$397),3),0.25),ROUND((E404*24*$N$397)*4,0)/4))</f>
        <v/>
      </c>
      <c r="G404" s="24"/>
      <c r="H404" s="27"/>
      <c r="K404" s="28" t="str">
        <f aca="false">IF(OR(M404=0,C404=""),"",IF(ISNUMBER(C404),MOD(C404,1),IFERROR(INDEX(القوائم!$B$1:$B$288,MATCH(TRIM(C404),القوائم!$A$1:$A$288,0)),IFERROR(MOD(TIMEVALUE(C404),1),""))))</f>
        <v/>
      </c>
      <c r="L404" s="28" t="str">
        <f aca="false">IF(OR(M404=0,D404=""),"",IF(ISNUMBER(D404),MOD(D404,1),IFERROR(INDEX(القوائم!$B$1:$B$288,MATCH(TRIM(D404),القوائم!$A$1:$A$288,0)),IFERROR(MOD(TIMEVALUE(D404),1),""))))</f>
        <v/>
      </c>
      <c r="M404" s="19" t="n">
        <f aca="false">$M$397</f>
        <v>0</v>
      </c>
      <c r="Q404" s="19" t="n">
        <f aca="false">IF(N(E409)&gt;0,1,0)</f>
        <v>0</v>
      </c>
      <c r="S404" s="0" t="n">
        <v>29</v>
      </c>
    </row>
    <row r="405" customFormat="false" ht="15" hidden="false" customHeight="false" outlineLevel="0" collapsed="false">
      <c r="A405" s="29" t="n">
        <f aca="false">IF(29&lt;=NW,WEEK_ONE+202,"")</f>
        <v>46220</v>
      </c>
      <c r="B405" s="30" t="str">
        <f aca="false">IF(A405="","",CHOOSE(WEEKDAY(A405,1),"الأحد","الاثنين","الثلاثاء","الأربعاء","الخميس","الجمعة","السبت"))</f>
        <v>الجمعة</v>
      </c>
      <c r="C405" s="24"/>
      <c r="D405" s="24"/>
      <c r="E405" s="25" t="str">
        <f aca="false">IF(OR(M405=0,K405="",L405=""),"",MOD(L405-K405,1))</f>
        <v/>
      </c>
      <c r="F405" s="26" t="str">
        <f aca="false">IF(OR(E405="",M405=0),"",IF(ROUND_MODE="للأعلى",CEILING(ROUND((E405*24*$N$397),3),0.25),ROUND((E405*24*$N$397)*4,0)/4))</f>
        <v/>
      </c>
      <c r="G405" s="24"/>
      <c r="H405" s="27"/>
      <c r="K405" s="28" t="str">
        <f aca="false">IF(OR(M405=0,C405=""),"",IF(ISNUMBER(C405),MOD(C405,1),IFERROR(INDEX(القوائم!$B$1:$B$288,MATCH(TRIM(C405),القوائم!$A$1:$A$288,0)),IFERROR(MOD(TIMEVALUE(C405),1),""))))</f>
        <v/>
      </c>
      <c r="L405" s="28" t="str">
        <f aca="false">IF(OR(M405=0,D405=""),"",IF(ISNUMBER(D405),MOD(D405,1),IFERROR(INDEX(القوائم!$B$1:$B$288,MATCH(TRIM(D405),القوائم!$A$1:$A$288,0)),IFERROR(MOD(TIMEVALUE(D405),1),""))))</f>
        <v/>
      </c>
      <c r="M405" s="19" t="n">
        <f aca="false">$M$397</f>
        <v>0</v>
      </c>
      <c r="Q405" s="19" t="n">
        <f aca="false">IF(N(E409)&gt;0,1,0)</f>
        <v>0</v>
      </c>
      <c r="S405" s="0" t="n">
        <v>29</v>
      </c>
    </row>
    <row r="406" customFormat="false" ht="15" hidden="false" customHeight="false" outlineLevel="0" collapsed="false">
      <c r="A406" s="31" t="str">
        <f aca="false">IF(M397=1,"ساعات تحميل الجبسمبورد بهالأسبوع ←","")</f>
        <v/>
      </c>
      <c r="B406" s="31"/>
      <c r="C406" s="31"/>
      <c r="D406" s="31"/>
      <c r="E406" s="32"/>
      <c r="F406" s="33" t="str">
        <f aca="false">IF(M397=1,"كل ساعة تحميل = "&amp;TEXT($P$397,"0.000")&amp;" دينار (منها "&amp;TEXT($N$397,"0.000")&amp;" محسوبة أصلاً بساعات اليوم)","")</f>
        <v/>
      </c>
      <c r="G406" s="33"/>
      <c r="H406" s="33"/>
      <c r="M406" s="19" t="n">
        <f aca="false">$M$397</f>
        <v>0</v>
      </c>
      <c r="Q406" s="19" t="n">
        <f aca="false">IF(N(E409)&gt;0,1,0)</f>
        <v>0</v>
      </c>
      <c r="S406" s="0" t="n">
        <v>29</v>
      </c>
    </row>
    <row r="407" customFormat="false" ht="15" hidden="false" customHeight="false" outlineLevel="0" collapsed="false">
      <c r="A407" s="31" t="str">
        <f aca="false">IF(M397=1,"إكرامية الأسبوع (دينار) ←","")</f>
        <v/>
      </c>
      <c r="B407" s="31"/>
      <c r="C407" s="31"/>
      <c r="D407" s="31"/>
      <c r="E407" s="34"/>
      <c r="F407" s="35"/>
      <c r="G407" s="35"/>
      <c r="H407" s="35"/>
      <c r="M407" s="19" t="n">
        <f aca="false">$M$397</f>
        <v>0</v>
      </c>
      <c r="Q407" s="19" t="n">
        <f aca="false">IF(N(E409)&gt;0,1,0)</f>
        <v>0</v>
      </c>
      <c r="S407" s="0" t="n">
        <v>29</v>
      </c>
    </row>
    <row r="408" customFormat="false" ht="36" hidden="false" customHeight="true" outlineLevel="0" collapsed="false">
      <c r="A408" s="36" t="str">
        <f aca="false">IF(M397=1,"المستحق النهائي للأسبوع","")</f>
        <v/>
      </c>
      <c r="B408" s="36"/>
      <c r="C408" s="36"/>
      <c r="D408" s="36"/>
      <c r="E408" s="36"/>
      <c r="F408" s="11" t="str">
        <f aca="false">IF(M397=1,ROUND(N($V$397)+N(E406)*($P$397-$N$397)+N(E407),3),"")</f>
        <v/>
      </c>
      <c r="G408" s="35"/>
      <c r="H408" s="35"/>
      <c r="M408" s="19" t="n">
        <f aca="false">$M$397</f>
        <v>0</v>
      </c>
      <c r="Q408" s="19" t="n">
        <f aca="false">IF(N(E409)&gt;0,1,0)</f>
        <v>0</v>
      </c>
      <c r="S408" s="0" t="n">
        <v>29</v>
      </c>
      <c r="T408" s="0" t="n">
        <v>1</v>
      </c>
    </row>
    <row r="409" customFormat="false" ht="25.5" hidden="false" customHeight="true" outlineLevel="0" collapsed="false">
      <c r="A409" s="31" t="str">
        <f aca="false">IF(M397=1,"المدفوع (دينار) ←","")</f>
        <v/>
      </c>
      <c r="B409" s="31"/>
      <c r="C409" s="31"/>
      <c r="D409" s="31"/>
      <c r="E409" s="34"/>
      <c r="F409" s="38" t="str">
        <f aca="false">IF(M397=1,IF(N(E409)&gt;0,"✔ انقبض — الأسبوع مقفول","⏳ لسا ما انقبض"),"")</f>
        <v/>
      </c>
      <c r="G409" s="38"/>
      <c r="H409" s="38"/>
      <c r="M409" s="19" t="n">
        <f aca="false">$M$397</f>
        <v>0</v>
      </c>
      <c r="Q409" s="19" t="n">
        <f aca="false">IF(N(E409)&gt;0,1,0)</f>
        <v>0</v>
      </c>
      <c r="S409" s="0" t="n">
        <v>29</v>
      </c>
    </row>
    <row r="410" customFormat="false" ht="9.75" hidden="false" customHeight="true" outlineLevel="0" collapsed="false">
      <c r="M410" s="19" t="n">
        <f aca="false">$M$397</f>
        <v>0</v>
      </c>
      <c r="Q410" s="19" t="n">
        <f aca="false">IF(N(E409)&gt;0,1,0)</f>
        <v>0</v>
      </c>
      <c r="S410" s="0" t="n">
        <v>29</v>
      </c>
      <c r="T410" s="0" t="n">
        <v>2</v>
      </c>
    </row>
    <row r="411" customFormat="false" ht="33.75" hidden="false" customHeight="true" outlineLevel="0" collapsed="false">
      <c r="A411" s="17" t="str">
        <f aca="false">IF(30&lt;=NW,TEXT(DAY(WEEK_ONE+203),"00")&amp;"/"&amp;TEXT(MONTH(WEEK_ONE+203),"00")&amp;"/"&amp;YEAR(WEEK_ONE+203)&amp;"  -  "&amp;TEXT(DAY(WEEK_ONE+209),"00")&amp;"/"&amp;TEXT(MONTH(WEEK_ONE+209),"00")&amp;"/"&amp;YEAR(WEEK_ONE+209)&amp;"   ·   الأسبوع 30"&amp;IF(30&lt;START_Z,"   (قبل أسبوع البداية — ما بينحسب)",""),"ما في أسبوع 30 هالسنة")</f>
        <v>18/07/2026  -  24/07/2026   ·   الأسبوع 30   (قبل أسبوع البداية — ما بينحسب)</v>
      </c>
      <c r="B411" s="17"/>
      <c r="C411" s="17"/>
      <c r="D411" s="17"/>
      <c r="E411" s="17"/>
      <c r="F411" s="17"/>
      <c r="G411" s="17"/>
      <c r="H411" s="17"/>
      <c r="L411" s="18" t="n">
        <f aca="false">IF(30&lt;=NW,WEEK_ONE+209,"")</f>
        <v>46227</v>
      </c>
      <c r="M411" s="19" t="n">
        <f aca="false">IF(AND(30&lt;=NW,30&gt;=START_Z),1,0)</f>
        <v>0</v>
      </c>
      <c r="N411" s="20" t="n">
        <f aca="false">IFERROR(INDEX(RT_AZZ,MATCH(L411,RT_K,1)),INDEX(RT_AZZ,1))</f>
        <v>1</v>
      </c>
      <c r="P411" s="20" t="n">
        <f aca="false">IFERROR(INDEX(RT_GYP,MATCH(L411,RT_K,1)),INDEX(RT_GYP,1))</f>
        <v>2.5</v>
      </c>
      <c r="Q411" s="19" t="n">
        <f aca="false">IF(N(E423)&gt;0,1,0)</f>
        <v>0</v>
      </c>
      <c r="R411" s="0" t="n">
        <v>30</v>
      </c>
      <c r="S411" s="0" t="n">
        <v>30</v>
      </c>
      <c r="U411" s="19" t="n">
        <f aca="false">IF(M411=1,SUM(E413:E419),0)</f>
        <v>0</v>
      </c>
      <c r="V411" s="19" t="n">
        <f aca="false">SUM(F413:F419)</f>
        <v>0</v>
      </c>
      <c r="W411" s="19" t="n">
        <f aca="false">IF(M411=1,SUMIFS(F413:F419,G413:G419,"نعم"),0)</f>
        <v>0</v>
      </c>
    </row>
    <row r="412" customFormat="false" ht="39.75" hidden="false" customHeight="true" outlineLevel="0" collapsed="false">
      <c r="A412" s="21" t="s">
        <v>18</v>
      </c>
      <c r="B412" s="21" t="s">
        <v>19</v>
      </c>
      <c r="C412" s="21" t="s">
        <v>20</v>
      </c>
      <c r="D412" s="21" t="s">
        <v>21</v>
      </c>
      <c r="E412" s="21" t="s">
        <v>22</v>
      </c>
      <c r="F412" s="21" t="s">
        <v>29</v>
      </c>
      <c r="G412" s="21" t="s">
        <v>30</v>
      </c>
      <c r="H412" s="21" t="s">
        <v>26</v>
      </c>
      <c r="M412" s="19" t="n">
        <f aca="false">$M$411</f>
        <v>0</v>
      </c>
      <c r="Q412" s="19" t="n">
        <f aca="false">IF(N(E423)&gt;0,1,0)</f>
        <v>0</v>
      </c>
      <c r="S412" s="0" t="n">
        <v>30</v>
      </c>
    </row>
    <row r="413" customFormat="false" ht="15" hidden="false" customHeight="false" outlineLevel="0" collapsed="false">
      <c r="A413" s="22" t="n">
        <f aca="false">IF(30&lt;=NW,WEEK_ONE+203,"")</f>
        <v>46221</v>
      </c>
      <c r="B413" s="23" t="str">
        <f aca="false">IF(A413="","",CHOOSE(WEEKDAY(A413,1),"الأحد","الاثنين","الثلاثاء","الأربعاء","الخميس","الجمعة","السبت"))</f>
        <v>السبت</v>
      </c>
      <c r="C413" s="24"/>
      <c r="D413" s="24"/>
      <c r="E413" s="25" t="str">
        <f aca="false">IF(OR(M413=0,K413="",L413=""),"",MOD(L413-K413,1))</f>
        <v/>
      </c>
      <c r="F413" s="26" t="str">
        <f aca="false">IF(OR(E413="",M413=0),"",IF(ROUND_MODE="للأعلى",CEILING(ROUND((E413*24*$N$411),3),0.25),ROUND((E413*24*$N$411)*4,0)/4))</f>
        <v/>
      </c>
      <c r="G413" s="24"/>
      <c r="H413" s="27"/>
      <c r="K413" s="28" t="str">
        <f aca="false">IF(OR(M413=0,C413=""),"",IF(ISNUMBER(C413),MOD(C413,1),IFERROR(INDEX(القوائم!$B$1:$B$288,MATCH(TRIM(C413),القوائم!$A$1:$A$288,0)),IFERROR(MOD(TIMEVALUE(C413),1),""))))</f>
        <v/>
      </c>
      <c r="L413" s="28" t="str">
        <f aca="false">IF(OR(M413=0,D413=""),"",IF(ISNUMBER(D413),MOD(D413,1),IFERROR(INDEX(القوائم!$B$1:$B$288,MATCH(TRIM(D413),القوائم!$A$1:$A$288,0)),IFERROR(MOD(TIMEVALUE(D413),1),""))))</f>
        <v/>
      </c>
      <c r="M413" s="19" t="n">
        <f aca="false">$M$411</f>
        <v>0</v>
      </c>
      <c r="Q413" s="19" t="n">
        <f aca="false">IF(N(E423)&gt;0,1,0)</f>
        <v>0</v>
      </c>
      <c r="S413" s="0" t="n">
        <v>30</v>
      </c>
    </row>
    <row r="414" customFormat="false" ht="15" hidden="false" customHeight="false" outlineLevel="0" collapsed="false">
      <c r="A414" s="22" t="n">
        <f aca="false">IF(30&lt;=NW,WEEK_ONE+204,"")</f>
        <v>46222</v>
      </c>
      <c r="B414" s="23" t="str">
        <f aca="false">IF(A414="","",CHOOSE(WEEKDAY(A414,1),"الأحد","الاثنين","الثلاثاء","الأربعاء","الخميس","الجمعة","السبت"))</f>
        <v>الأحد</v>
      </c>
      <c r="C414" s="24"/>
      <c r="D414" s="24"/>
      <c r="E414" s="25" t="str">
        <f aca="false">IF(OR(M414=0,K414="",L414=""),"",MOD(L414-K414,1))</f>
        <v/>
      </c>
      <c r="F414" s="26" t="str">
        <f aca="false">IF(OR(E414="",M414=0),"",IF(ROUND_MODE="للأعلى",CEILING(ROUND((E414*24*$N$411),3),0.25),ROUND((E414*24*$N$411)*4,0)/4))</f>
        <v/>
      </c>
      <c r="G414" s="24"/>
      <c r="H414" s="27"/>
      <c r="K414" s="28" t="str">
        <f aca="false">IF(OR(M414=0,C414=""),"",IF(ISNUMBER(C414),MOD(C414,1),IFERROR(INDEX(القوائم!$B$1:$B$288,MATCH(TRIM(C414),القوائم!$A$1:$A$288,0)),IFERROR(MOD(TIMEVALUE(C414),1),""))))</f>
        <v/>
      </c>
      <c r="L414" s="28" t="str">
        <f aca="false">IF(OR(M414=0,D414=""),"",IF(ISNUMBER(D414),MOD(D414,1),IFERROR(INDEX(القوائم!$B$1:$B$288,MATCH(TRIM(D414),القوائم!$A$1:$A$288,0)),IFERROR(MOD(TIMEVALUE(D414),1),""))))</f>
        <v/>
      </c>
      <c r="M414" s="19" t="n">
        <f aca="false">$M$411</f>
        <v>0</v>
      </c>
      <c r="Q414" s="19" t="n">
        <f aca="false">IF(N(E423)&gt;0,1,0)</f>
        <v>0</v>
      </c>
      <c r="S414" s="0" t="n">
        <v>30</v>
      </c>
    </row>
    <row r="415" customFormat="false" ht="15" hidden="false" customHeight="false" outlineLevel="0" collapsed="false">
      <c r="A415" s="22" t="n">
        <f aca="false">IF(30&lt;=NW,WEEK_ONE+205,"")</f>
        <v>46223</v>
      </c>
      <c r="B415" s="23" t="str">
        <f aca="false">IF(A415="","",CHOOSE(WEEKDAY(A415,1),"الأحد","الاثنين","الثلاثاء","الأربعاء","الخميس","الجمعة","السبت"))</f>
        <v>الاثنين</v>
      </c>
      <c r="C415" s="24"/>
      <c r="D415" s="24"/>
      <c r="E415" s="25" t="str">
        <f aca="false">IF(OR(M415=0,K415="",L415=""),"",MOD(L415-K415,1))</f>
        <v/>
      </c>
      <c r="F415" s="26" t="str">
        <f aca="false">IF(OR(E415="",M415=0),"",IF(ROUND_MODE="للأعلى",CEILING(ROUND((E415*24*$N$411),3),0.25),ROUND((E415*24*$N$411)*4,0)/4))</f>
        <v/>
      </c>
      <c r="G415" s="24"/>
      <c r="H415" s="27"/>
      <c r="K415" s="28" t="str">
        <f aca="false">IF(OR(M415=0,C415=""),"",IF(ISNUMBER(C415),MOD(C415,1),IFERROR(INDEX(القوائم!$B$1:$B$288,MATCH(TRIM(C415),القوائم!$A$1:$A$288,0)),IFERROR(MOD(TIMEVALUE(C415),1),""))))</f>
        <v/>
      </c>
      <c r="L415" s="28" t="str">
        <f aca="false">IF(OR(M415=0,D415=""),"",IF(ISNUMBER(D415),MOD(D415,1),IFERROR(INDEX(القوائم!$B$1:$B$288,MATCH(TRIM(D415),القوائم!$A$1:$A$288,0)),IFERROR(MOD(TIMEVALUE(D415),1),""))))</f>
        <v/>
      </c>
      <c r="M415" s="19" t="n">
        <f aca="false">$M$411</f>
        <v>0</v>
      </c>
      <c r="Q415" s="19" t="n">
        <f aca="false">IF(N(E423)&gt;0,1,0)</f>
        <v>0</v>
      </c>
      <c r="S415" s="0" t="n">
        <v>30</v>
      </c>
    </row>
    <row r="416" customFormat="false" ht="15" hidden="false" customHeight="false" outlineLevel="0" collapsed="false">
      <c r="A416" s="22" t="n">
        <f aca="false">IF(30&lt;=NW,WEEK_ONE+206,"")</f>
        <v>46224</v>
      </c>
      <c r="B416" s="23" t="str">
        <f aca="false">IF(A416="","",CHOOSE(WEEKDAY(A416,1),"الأحد","الاثنين","الثلاثاء","الأربعاء","الخميس","الجمعة","السبت"))</f>
        <v>الثلاثاء</v>
      </c>
      <c r="C416" s="24"/>
      <c r="D416" s="24"/>
      <c r="E416" s="25" t="str">
        <f aca="false">IF(OR(M416=0,K416="",L416=""),"",MOD(L416-K416,1))</f>
        <v/>
      </c>
      <c r="F416" s="26" t="str">
        <f aca="false">IF(OR(E416="",M416=0),"",IF(ROUND_MODE="للأعلى",CEILING(ROUND((E416*24*$N$411),3),0.25),ROUND((E416*24*$N$411)*4,0)/4))</f>
        <v/>
      </c>
      <c r="G416" s="24"/>
      <c r="H416" s="27"/>
      <c r="K416" s="28" t="str">
        <f aca="false">IF(OR(M416=0,C416=""),"",IF(ISNUMBER(C416),MOD(C416,1),IFERROR(INDEX(القوائم!$B$1:$B$288,MATCH(TRIM(C416),القوائم!$A$1:$A$288,0)),IFERROR(MOD(TIMEVALUE(C416),1),""))))</f>
        <v/>
      </c>
      <c r="L416" s="28" t="str">
        <f aca="false">IF(OR(M416=0,D416=""),"",IF(ISNUMBER(D416),MOD(D416,1),IFERROR(INDEX(القوائم!$B$1:$B$288,MATCH(TRIM(D416),القوائم!$A$1:$A$288,0)),IFERROR(MOD(TIMEVALUE(D416),1),""))))</f>
        <v/>
      </c>
      <c r="M416" s="19" t="n">
        <f aca="false">$M$411</f>
        <v>0</v>
      </c>
      <c r="Q416" s="19" t="n">
        <f aca="false">IF(N(E423)&gt;0,1,0)</f>
        <v>0</v>
      </c>
      <c r="S416" s="0" t="n">
        <v>30</v>
      </c>
    </row>
    <row r="417" customFormat="false" ht="15" hidden="false" customHeight="false" outlineLevel="0" collapsed="false">
      <c r="A417" s="22" t="n">
        <f aca="false">IF(30&lt;=NW,WEEK_ONE+207,"")</f>
        <v>46225</v>
      </c>
      <c r="B417" s="23" t="str">
        <f aca="false">IF(A417="","",CHOOSE(WEEKDAY(A417,1),"الأحد","الاثنين","الثلاثاء","الأربعاء","الخميس","الجمعة","السبت"))</f>
        <v>الأربعاء</v>
      </c>
      <c r="C417" s="24"/>
      <c r="D417" s="24"/>
      <c r="E417" s="25" t="str">
        <f aca="false">IF(OR(M417=0,K417="",L417=""),"",MOD(L417-K417,1))</f>
        <v/>
      </c>
      <c r="F417" s="26" t="str">
        <f aca="false">IF(OR(E417="",M417=0),"",IF(ROUND_MODE="للأعلى",CEILING(ROUND((E417*24*$N$411),3),0.25),ROUND((E417*24*$N$411)*4,0)/4))</f>
        <v/>
      </c>
      <c r="G417" s="24"/>
      <c r="H417" s="27"/>
      <c r="K417" s="28" t="str">
        <f aca="false">IF(OR(M417=0,C417=""),"",IF(ISNUMBER(C417),MOD(C417,1),IFERROR(INDEX(القوائم!$B$1:$B$288,MATCH(TRIM(C417),القوائم!$A$1:$A$288,0)),IFERROR(MOD(TIMEVALUE(C417),1),""))))</f>
        <v/>
      </c>
      <c r="L417" s="28" t="str">
        <f aca="false">IF(OR(M417=0,D417=""),"",IF(ISNUMBER(D417),MOD(D417,1),IFERROR(INDEX(القوائم!$B$1:$B$288,MATCH(TRIM(D417),القوائم!$A$1:$A$288,0)),IFERROR(MOD(TIMEVALUE(D417),1),""))))</f>
        <v/>
      </c>
      <c r="M417" s="19" t="n">
        <f aca="false">$M$411</f>
        <v>0</v>
      </c>
      <c r="Q417" s="19" t="n">
        <f aca="false">IF(N(E423)&gt;0,1,0)</f>
        <v>0</v>
      </c>
      <c r="S417" s="0" t="n">
        <v>30</v>
      </c>
    </row>
    <row r="418" customFormat="false" ht="15" hidden="false" customHeight="false" outlineLevel="0" collapsed="false">
      <c r="A418" s="22" t="n">
        <f aca="false">IF(30&lt;=NW,WEEK_ONE+208,"")</f>
        <v>46226</v>
      </c>
      <c r="B418" s="23" t="str">
        <f aca="false">IF(A418="","",CHOOSE(WEEKDAY(A418,1),"الأحد","الاثنين","الثلاثاء","الأربعاء","الخميس","الجمعة","السبت"))</f>
        <v>الخميس</v>
      </c>
      <c r="C418" s="24"/>
      <c r="D418" s="24"/>
      <c r="E418" s="25" t="str">
        <f aca="false">IF(OR(M418=0,K418="",L418=""),"",MOD(L418-K418,1))</f>
        <v/>
      </c>
      <c r="F418" s="26" t="str">
        <f aca="false">IF(OR(E418="",M418=0),"",IF(ROUND_MODE="للأعلى",CEILING(ROUND((E418*24*$N$411),3),0.25),ROUND((E418*24*$N$411)*4,0)/4))</f>
        <v/>
      </c>
      <c r="G418" s="24"/>
      <c r="H418" s="27"/>
      <c r="K418" s="28" t="str">
        <f aca="false">IF(OR(M418=0,C418=""),"",IF(ISNUMBER(C418),MOD(C418,1),IFERROR(INDEX(القوائم!$B$1:$B$288,MATCH(TRIM(C418),القوائم!$A$1:$A$288,0)),IFERROR(MOD(TIMEVALUE(C418),1),""))))</f>
        <v/>
      </c>
      <c r="L418" s="28" t="str">
        <f aca="false">IF(OR(M418=0,D418=""),"",IF(ISNUMBER(D418),MOD(D418,1),IFERROR(INDEX(القوائم!$B$1:$B$288,MATCH(TRIM(D418),القوائم!$A$1:$A$288,0)),IFERROR(MOD(TIMEVALUE(D418),1),""))))</f>
        <v/>
      </c>
      <c r="M418" s="19" t="n">
        <f aca="false">$M$411</f>
        <v>0</v>
      </c>
      <c r="Q418" s="19" t="n">
        <f aca="false">IF(N(E423)&gt;0,1,0)</f>
        <v>0</v>
      </c>
      <c r="S418" s="0" t="n">
        <v>30</v>
      </c>
    </row>
    <row r="419" customFormat="false" ht="15" hidden="false" customHeight="false" outlineLevel="0" collapsed="false">
      <c r="A419" s="29" t="n">
        <f aca="false">IF(30&lt;=NW,WEEK_ONE+209,"")</f>
        <v>46227</v>
      </c>
      <c r="B419" s="30" t="str">
        <f aca="false">IF(A419="","",CHOOSE(WEEKDAY(A419,1),"الأحد","الاثنين","الثلاثاء","الأربعاء","الخميس","الجمعة","السبت"))</f>
        <v>الجمعة</v>
      </c>
      <c r="C419" s="24"/>
      <c r="D419" s="24"/>
      <c r="E419" s="25" t="str">
        <f aca="false">IF(OR(M419=0,K419="",L419=""),"",MOD(L419-K419,1))</f>
        <v/>
      </c>
      <c r="F419" s="26" t="str">
        <f aca="false">IF(OR(E419="",M419=0),"",IF(ROUND_MODE="للأعلى",CEILING(ROUND((E419*24*$N$411),3),0.25),ROUND((E419*24*$N$411)*4,0)/4))</f>
        <v/>
      </c>
      <c r="G419" s="24"/>
      <c r="H419" s="27"/>
      <c r="K419" s="28" t="str">
        <f aca="false">IF(OR(M419=0,C419=""),"",IF(ISNUMBER(C419),MOD(C419,1),IFERROR(INDEX(القوائم!$B$1:$B$288,MATCH(TRIM(C419),القوائم!$A$1:$A$288,0)),IFERROR(MOD(TIMEVALUE(C419),1),""))))</f>
        <v/>
      </c>
      <c r="L419" s="28" t="str">
        <f aca="false">IF(OR(M419=0,D419=""),"",IF(ISNUMBER(D419),MOD(D419,1),IFERROR(INDEX(القوائم!$B$1:$B$288,MATCH(TRIM(D419),القوائم!$A$1:$A$288,0)),IFERROR(MOD(TIMEVALUE(D419),1),""))))</f>
        <v/>
      </c>
      <c r="M419" s="19" t="n">
        <f aca="false">$M$411</f>
        <v>0</v>
      </c>
      <c r="Q419" s="19" t="n">
        <f aca="false">IF(N(E423)&gt;0,1,0)</f>
        <v>0</v>
      </c>
      <c r="S419" s="0" t="n">
        <v>30</v>
      </c>
    </row>
    <row r="420" customFormat="false" ht="15" hidden="false" customHeight="false" outlineLevel="0" collapsed="false">
      <c r="A420" s="31" t="str">
        <f aca="false">IF(M411=1,"ساعات تحميل الجبسمبورد بهالأسبوع ←","")</f>
        <v/>
      </c>
      <c r="B420" s="31"/>
      <c r="C420" s="31"/>
      <c r="D420" s="31"/>
      <c r="E420" s="32"/>
      <c r="F420" s="33" t="str">
        <f aca="false">IF(M411=1,"كل ساعة تحميل = "&amp;TEXT($P$411,"0.000")&amp;" دينار (منها "&amp;TEXT($N$411,"0.000")&amp;" محسوبة أصلاً بساعات اليوم)","")</f>
        <v/>
      </c>
      <c r="G420" s="33"/>
      <c r="H420" s="33"/>
      <c r="M420" s="19" t="n">
        <f aca="false">$M$411</f>
        <v>0</v>
      </c>
      <c r="Q420" s="19" t="n">
        <f aca="false">IF(N(E423)&gt;0,1,0)</f>
        <v>0</v>
      </c>
      <c r="S420" s="0" t="n">
        <v>30</v>
      </c>
    </row>
    <row r="421" customFormat="false" ht="15" hidden="false" customHeight="false" outlineLevel="0" collapsed="false">
      <c r="A421" s="31" t="str">
        <f aca="false">IF(M411=1,"إكرامية الأسبوع (دينار) ←","")</f>
        <v/>
      </c>
      <c r="B421" s="31"/>
      <c r="C421" s="31"/>
      <c r="D421" s="31"/>
      <c r="E421" s="34"/>
      <c r="F421" s="35"/>
      <c r="G421" s="35"/>
      <c r="H421" s="35"/>
      <c r="M421" s="19" t="n">
        <f aca="false">$M$411</f>
        <v>0</v>
      </c>
      <c r="Q421" s="19" t="n">
        <f aca="false">IF(N(E423)&gt;0,1,0)</f>
        <v>0</v>
      </c>
      <c r="S421" s="0" t="n">
        <v>30</v>
      </c>
    </row>
    <row r="422" customFormat="false" ht="36" hidden="false" customHeight="true" outlineLevel="0" collapsed="false">
      <c r="A422" s="36" t="str">
        <f aca="false">IF(M411=1,"المستحق النهائي للأسبوع","")</f>
        <v/>
      </c>
      <c r="B422" s="36"/>
      <c r="C422" s="36"/>
      <c r="D422" s="36"/>
      <c r="E422" s="36"/>
      <c r="F422" s="11" t="str">
        <f aca="false">IF(M411=1,ROUND(N($V$411)+N(E420)*($P$411-$N$411)+N(E421),3),"")</f>
        <v/>
      </c>
      <c r="G422" s="35"/>
      <c r="H422" s="35"/>
      <c r="M422" s="19" t="n">
        <f aca="false">$M$411</f>
        <v>0</v>
      </c>
      <c r="Q422" s="19" t="n">
        <f aca="false">IF(N(E423)&gt;0,1,0)</f>
        <v>0</v>
      </c>
      <c r="S422" s="0" t="n">
        <v>30</v>
      </c>
      <c r="T422" s="0" t="n">
        <v>1</v>
      </c>
    </row>
    <row r="423" customFormat="false" ht="25.5" hidden="false" customHeight="true" outlineLevel="0" collapsed="false">
      <c r="A423" s="31" t="str">
        <f aca="false">IF(M411=1,"المدفوع (دينار) ←","")</f>
        <v/>
      </c>
      <c r="B423" s="31"/>
      <c r="C423" s="31"/>
      <c r="D423" s="31"/>
      <c r="E423" s="34"/>
      <c r="F423" s="38" t="str">
        <f aca="false">IF(M411=1,IF(N(E423)&gt;0,"✔ انقبض — الأسبوع مقفول","⏳ لسا ما انقبض"),"")</f>
        <v/>
      </c>
      <c r="G423" s="38"/>
      <c r="H423" s="38"/>
      <c r="M423" s="19" t="n">
        <f aca="false">$M$411</f>
        <v>0</v>
      </c>
      <c r="Q423" s="19" t="n">
        <f aca="false">IF(N(E423)&gt;0,1,0)</f>
        <v>0</v>
      </c>
      <c r="S423" s="0" t="n">
        <v>30</v>
      </c>
    </row>
    <row r="424" customFormat="false" ht="9.75" hidden="false" customHeight="true" outlineLevel="0" collapsed="false">
      <c r="M424" s="19" t="n">
        <f aca="false">$M$411</f>
        <v>0</v>
      </c>
      <c r="Q424" s="19" t="n">
        <f aca="false">IF(N(E423)&gt;0,1,0)</f>
        <v>0</v>
      </c>
      <c r="S424" s="0" t="n">
        <v>30</v>
      </c>
      <c r="T424" s="0" t="n">
        <v>2</v>
      </c>
    </row>
    <row r="425" customFormat="false" ht="33.75" hidden="false" customHeight="true" outlineLevel="0" collapsed="false">
      <c r="A425" s="17" t="str">
        <f aca="false">IF(31&lt;=NW,TEXT(DAY(WEEK_ONE+210),"00")&amp;"/"&amp;TEXT(MONTH(WEEK_ONE+210),"00")&amp;"/"&amp;YEAR(WEEK_ONE+210)&amp;"  -  "&amp;TEXT(DAY(WEEK_ONE+216),"00")&amp;"/"&amp;TEXT(MONTH(WEEK_ONE+216),"00")&amp;"/"&amp;YEAR(WEEK_ONE+216)&amp;"   ·   الأسبوع 31"&amp;IF(31&lt;START_Z,"   (قبل أسبوع البداية — ما بينحسب)",""),"ما في أسبوع 31 هالسنة")</f>
        <v>25/07/2026  -  31/07/2026   ·   الأسبوع 31   (قبل أسبوع البداية — ما بينحسب)</v>
      </c>
      <c r="B425" s="17"/>
      <c r="C425" s="17"/>
      <c r="D425" s="17"/>
      <c r="E425" s="17"/>
      <c r="F425" s="17"/>
      <c r="G425" s="17"/>
      <c r="H425" s="17"/>
      <c r="L425" s="18" t="n">
        <f aca="false">IF(31&lt;=NW,WEEK_ONE+216,"")</f>
        <v>46234</v>
      </c>
      <c r="M425" s="19" t="n">
        <f aca="false">IF(AND(31&lt;=NW,31&gt;=START_Z),1,0)</f>
        <v>0</v>
      </c>
      <c r="N425" s="20" t="n">
        <f aca="false">IFERROR(INDEX(RT_AZZ,MATCH(L425,RT_K,1)),INDEX(RT_AZZ,1))</f>
        <v>1</v>
      </c>
      <c r="P425" s="20" t="n">
        <f aca="false">IFERROR(INDEX(RT_GYP,MATCH(L425,RT_K,1)),INDEX(RT_GYP,1))</f>
        <v>2.5</v>
      </c>
      <c r="Q425" s="19" t="n">
        <f aca="false">IF(N(E437)&gt;0,1,0)</f>
        <v>0</v>
      </c>
      <c r="R425" s="0" t="n">
        <v>31</v>
      </c>
      <c r="S425" s="0" t="n">
        <v>31</v>
      </c>
      <c r="U425" s="19" t="n">
        <f aca="false">IF(M425=1,SUM(E427:E433),0)</f>
        <v>0</v>
      </c>
      <c r="V425" s="19" t="n">
        <f aca="false">SUM(F427:F433)</f>
        <v>0</v>
      </c>
      <c r="W425" s="19" t="n">
        <f aca="false">IF(M425=1,SUMIFS(F427:F433,G427:G433,"نعم"),0)</f>
        <v>0</v>
      </c>
    </row>
    <row r="426" customFormat="false" ht="39.75" hidden="false" customHeight="true" outlineLevel="0" collapsed="false">
      <c r="A426" s="21" t="s">
        <v>18</v>
      </c>
      <c r="B426" s="21" t="s">
        <v>19</v>
      </c>
      <c r="C426" s="21" t="s">
        <v>20</v>
      </c>
      <c r="D426" s="21" t="s">
        <v>21</v>
      </c>
      <c r="E426" s="21" t="s">
        <v>22</v>
      </c>
      <c r="F426" s="21" t="s">
        <v>29</v>
      </c>
      <c r="G426" s="21" t="s">
        <v>30</v>
      </c>
      <c r="H426" s="21" t="s">
        <v>26</v>
      </c>
      <c r="M426" s="19" t="n">
        <f aca="false">$M$425</f>
        <v>0</v>
      </c>
      <c r="Q426" s="19" t="n">
        <f aca="false">IF(N(E437)&gt;0,1,0)</f>
        <v>0</v>
      </c>
      <c r="S426" s="0" t="n">
        <v>31</v>
      </c>
    </row>
    <row r="427" customFormat="false" ht="15" hidden="false" customHeight="false" outlineLevel="0" collapsed="false">
      <c r="A427" s="22" t="n">
        <f aca="false">IF(31&lt;=NW,WEEK_ONE+210,"")</f>
        <v>46228</v>
      </c>
      <c r="B427" s="23" t="str">
        <f aca="false">IF(A427="","",CHOOSE(WEEKDAY(A427,1),"الأحد","الاثنين","الثلاثاء","الأربعاء","الخميس","الجمعة","السبت"))</f>
        <v>السبت</v>
      </c>
      <c r="C427" s="24"/>
      <c r="D427" s="24"/>
      <c r="E427" s="25" t="str">
        <f aca="false">IF(OR(M427=0,K427="",L427=""),"",MOD(L427-K427,1))</f>
        <v/>
      </c>
      <c r="F427" s="26" t="str">
        <f aca="false">IF(OR(E427="",M427=0),"",IF(ROUND_MODE="للأعلى",CEILING(ROUND((E427*24*$N$425),3),0.25),ROUND((E427*24*$N$425)*4,0)/4))</f>
        <v/>
      </c>
      <c r="G427" s="24"/>
      <c r="H427" s="27"/>
      <c r="K427" s="28" t="str">
        <f aca="false">IF(OR(M427=0,C427=""),"",IF(ISNUMBER(C427),MOD(C427,1),IFERROR(INDEX(القوائم!$B$1:$B$288,MATCH(TRIM(C427),القوائم!$A$1:$A$288,0)),IFERROR(MOD(TIMEVALUE(C427),1),""))))</f>
        <v/>
      </c>
      <c r="L427" s="28" t="str">
        <f aca="false">IF(OR(M427=0,D427=""),"",IF(ISNUMBER(D427),MOD(D427,1),IFERROR(INDEX(القوائم!$B$1:$B$288,MATCH(TRIM(D427),القوائم!$A$1:$A$288,0)),IFERROR(MOD(TIMEVALUE(D427),1),""))))</f>
        <v/>
      </c>
      <c r="M427" s="19" t="n">
        <f aca="false">$M$425</f>
        <v>0</v>
      </c>
      <c r="Q427" s="19" t="n">
        <f aca="false">IF(N(E437)&gt;0,1,0)</f>
        <v>0</v>
      </c>
      <c r="S427" s="0" t="n">
        <v>31</v>
      </c>
    </row>
    <row r="428" customFormat="false" ht="15" hidden="false" customHeight="false" outlineLevel="0" collapsed="false">
      <c r="A428" s="22" t="n">
        <f aca="false">IF(31&lt;=NW,WEEK_ONE+211,"")</f>
        <v>46229</v>
      </c>
      <c r="B428" s="23" t="str">
        <f aca="false">IF(A428="","",CHOOSE(WEEKDAY(A428,1),"الأحد","الاثنين","الثلاثاء","الأربعاء","الخميس","الجمعة","السبت"))</f>
        <v>الأحد</v>
      </c>
      <c r="C428" s="24"/>
      <c r="D428" s="24"/>
      <c r="E428" s="25" t="str">
        <f aca="false">IF(OR(M428=0,K428="",L428=""),"",MOD(L428-K428,1))</f>
        <v/>
      </c>
      <c r="F428" s="26" t="str">
        <f aca="false">IF(OR(E428="",M428=0),"",IF(ROUND_MODE="للأعلى",CEILING(ROUND((E428*24*$N$425),3),0.25),ROUND((E428*24*$N$425)*4,0)/4))</f>
        <v/>
      </c>
      <c r="G428" s="24"/>
      <c r="H428" s="27"/>
      <c r="K428" s="28" t="str">
        <f aca="false">IF(OR(M428=0,C428=""),"",IF(ISNUMBER(C428),MOD(C428,1),IFERROR(INDEX(القوائم!$B$1:$B$288,MATCH(TRIM(C428),القوائم!$A$1:$A$288,0)),IFERROR(MOD(TIMEVALUE(C428),1),""))))</f>
        <v/>
      </c>
      <c r="L428" s="28" t="str">
        <f aca="false">IF(OR(M428=0,D428=""),"",IF(ISNUMBER(D428),MOD(D428,1),IFERROR(INDEX(القوائم!$B$1:$B$288,MATCH(TRIM(D428),القوائم!$A$1:$A$288,0)),IFERROR(MOD(TIMEVALUE(D428),1),""))))</f>
        <v/>
      </c>
      <c r="M428" s="19" t="n">
        <f aca="false">$M$425</f>
        <v>0</v>
      </c>
      <c r="Q428" s="19" t="n">
        <f aca="false">IF(N(E437)&gt;0,1,0)</f>
        <v>0</v>
      </c>
      <c r="S428" s="0" t="n">
        <v>31</v>
      </c>
    </row>
    <row r="429" customFormat="false" ht="15" hidden="false" customHeight="false" outlineLevel="0" collapsed="false">
      <c r="A429" s="22" t="n">
        <f aca="false">IF(31&lt;=NW,WEEK_ONE+212,"")</f>
        <v>46230</v>
      </c>
      <c r="B429" s="23" t="str">
        <f aca="false">IF(A429="","",CHOOSE(WEEKDAY(A429,1),"الأحد","الاثنين","الثلاثاء","الأربعاء","الخميس","الجمعة","السبت"))</f>
        <v>الاثنين</v>
      </c>
      <c r="C429" s="24"/>
      <c r="D429" s="24"/>
      <c r="E429" s="25" t="str">
        <f aca="false">IF(OR(M429=0,K429="",L429=""),"",MOD(L429-K429,1))</f>
        <v/>
      </c>
      <c r="F429" s="26" t="str">
        <f aca="false">IF(OR(E429="",M429=0),"",IF(ROUND_MODE="للأعلى",CEILING(ROUND((E429*24*$N$425),3),0.25),ROUND((E429*24*$N$425)*4,0)/4))</f>
        <v/>
      </c>
      <c r="G429" s="24"/>
      <c r="H429" s="27"/>
      <c r="K429" s="28" t="str">
        <f aca="false">IF(OR(M429=0,C429=""),"",IF(ISNUMBER(C429),MOD(C429,1),IFERROR(INDEX(القوائم!$B$1:$B$288,MATCH(TRIM(C429),القوائم!$A$1:$A$288,0)),IFERROR(MOD(TIMEVALUE(C429),1),""))))</f>
        <v/>
      </c>
      <c r="L429" s="28" t="str">
        <f aca="false">IF(OR(M429=0,D429=""),"",IF(ISNUMBER(D429),MOD(D429,1),IFERROR(INDEX(القوائم!$B$1:$B$288,MATCH(TRIM(D429),القوائم!$A$1:$A$288,0)),IFERROR(MOD(TIMEVALUE(D429),1),""))))</f>
        <v/>
      </c>
      <c r="M429" s="19" t="n">
        <f aca="false">$M$425</f>
        <v>0</v>
      </c>
      <c r="Q429" s="19" t="n">
        <f aca="false">IF(N(E437)&gt;0,1,0)</f>
        <v>0</v>
      </c>
      <c r="S429" s="0" t="n">
        <v>31</v>
      </c>
    </row>
    <row r="430" customFormat="false" ht="15" hidden="false" customHeight="false" outlineLevel="0" collapsed="false">
      <c r="A430" s="22" t="n">
        <f aca="false">IF(31&lt;=NW,WEEK_ONE+213,"")</f>
        <v>46231</v>
      </c>
      <c r="B430" s="23" t="str">
        <f aca="false">IF(A430="","",CHOOSE(WEEKDAY(A430,1),"الأحد","الاثنين","الثلاثاء","الأربعاء","الخميس","الجمعة","السبت"))</f>
        <v>الثلاثاء</v>
      </c>
      <c r="C430" s="24"/>
      <c r="D430" s="24"/>
      <c r="E430" s="25" t="str">
        <f aca="false">IF(OR(M430=0,K430="",L430=""),"",MOD(L430-K430,1))</f>
        <v/>
      </c>
      <c r="F430" s="26" t="str">
        <f aca="false">IF(OR(E430="",M430=0),"",IF(ROUND_MODE="للأعلى",CEILING(ROUND((E430*24*$N$425),3),0.25),ROUND((E430*24*$N$425)*4,0)/4))</f>
        <v/>
      </c>
      <c r="G430" s="24"/>
      <c r="H430" s="27"/>
      <c r="K430" s="28" t="str">
        <f aca="false">IF(OR(M430=0,C430=""),"",IF(ISNUMBER(C430),MOD(C430,1),IFERROR(INDEX(القوائم!$B$1:$B$288,MATCH(TRIM(C430),القوائم!$A$1:$A$288,0)),IFERROR(MOD(TIMEVALUE(C430),1),""))))</f>
        <v/>
      </c>
      <c r="L430" s="28" t="str">
        <f aca="false">IF(OR(M430=0,D430=""),"",IF(ISNUMBER(D430),MOD(D430,1),IFERROR(INDEX(القوائم!$B$1:$B$288,MATCH(TRIM(D430),القوائم!$A$1:$A$288,0)),IFERROR(MOD(TIMEVALUE(D430),1),""))))</f>
        <v/>
      </c>
      <c r="M430" s="19" t="n">
        <f aca="false">$M$425</f>
        <v>0</v>
      </c>
      <c r="Q430" s="19" t="n">
        <f aca="false">IF(N(E437)&gt;0,1,0)</f>
        <v>0</v>
      </c>
      <c r="S430" s="0" t="n">
        <v>31</v>
      </c>
    </row>
    <row r="431" customFormat="false" ht="15" hidden="false" customHeight="false" outlineLevel="0" collapsed="false">
      <c r="A431" s="22" t="n">
        <f aca="false">IF(31&lt;=NW,WEEK_ONE+214,"")</f>
        <v>46232</v>
      </c>
      <c r="B431" s="23" t="str">
        <f aca="false">IF(A431="","",CHOOSE(WEEKDAY(A431,1),"الأحد","الاثنين","الثلاثاء","الأربعاء","الخميس","الجمعة","السبت"))</f>
        <v>الأربعاء</v>
      </c>
      <c r="C431" s="24"/>
      <c r="D431" s="24"/>
      <c r="E431" s="25" t="str">
        <f aca="false">IF(OR(M431=0,K431="",L431=""),"",MOD(L431-K431,1))</f>
        <v/>
      </c>
      <c r="F431" s="26" t="str">
        <f aca="false">IF(OR(E431="",M431=0),"",IF(ROUND_MODE="للأعلى",CEILING(ROUND((E431*24*$N$425),3),0.25),ROUND((E431*24*$N$425)*4,0)/4))</f>
        <v/>
      </c>
      <c r="G431" s="24"/>
      <c r="H431" s="27"/>
      <c r="K431" s="28" t="str">
        <f aca="false">IF(OR(M431=0,C431=""),"",IF(ISNUMBER(C431),MOD(C431,1),IFERROR(INDEX(القوائم!$B$1:$B$288,MATCH(TRIM(C431),القوائم!$A$1:$A$288,0)),IFERROR(MOD(TIMEVALUE(C431),1),""))))</f>
        <v/>
      </c>
      <c r="L431" s="28" t="str">
        <f aca="false">IF(OR(M431=0,D431=""),"",IF(ISNUMBER(D431),MOD(D431,1),IFERROR(INDEX(القوائم!$B$1:$B$288,MATCH(TRIM(D431),القوائم!$A$1:$A$288,0)),IFERROR(MOD(TIMEVALUE(D431),1),""))))</f>
        <v/>
      </c>
      <c r="M431" s="19" t="n">
        <f aca="false">$M$425</f>
        <v>0</v>
      </c>
      <c r="Q431" s="19" t="n">
        <f aca="false">IF(N(E437)&gt;0,1,0)</f>
        <v>0</v>
      </c>
      <c r="S431" s="0" t="n">
        <v>31</v>
      </c>
    </row>
    <row r="432" customFormat="false" ht="15" hidden="false" customHeight="false" outlineLevel="0" collapsed="false">
      <c r="A432" s="22" t="n">
        <f aca="false">IF(31&lt;=NW,WEEK_ONE+215,"")</f>
        <v>46233</v>
      </c>
      <c r="B432" s="23" t="str">
        <f aca="false">IF(A432="","",CHOOSE(WEEKDAY(A432,1),"الأحد","الاثنين","الثلاثاء","الأربعاء","الخميس","الجمعة","السبت"))</f>
        <v>الخميس</v>
      </c>
      <c r="C432" s="24"/>
      <c r="D432" s="24"/>
      <c r="E432" s="25" t="str">
        <f aca="false">IF(OR(M432=0,K432="",L432=""),"",MOD(L432-K432,1))</f>
        <v/>
      </c>
      <c r="F432" s="26" t="str">
        <f aca="false">IF(OR(E432="",M432=0),"",IF(ROUND_MODE="للأعلى",CEILING(ROUND((E432*24*$N$425),3),0.25),ROUND((E432*24*$N$425)*4,0)/4))</f>
        <v/>
      </c>
      <c r="G432" s="24"/>
      <c r="H432" s="27"/>
      <c r="K432" s="28" t="str">
        <f aca="false">IF(OR(M432=0,C432=""),"",IF(ISNUMBER(C432),MOD(C432,1),IFERROR(INDEX(القوائم!$B$1:$B$288,MATCH(TRIM(C432),القوائم!$A$1:$A$288,0)),IFERROR(MOD(TIMEVALUE(C432),1),""))))</f>
        <v/>
      </c>
      <c r="L432" s="28" t="str">
        <f aca="false">IF(OR(M432=0,D432=""),"",IF(ISNUMBER(D432),MOD(D432,1),IFERROR(INDEX(القوائم!$B$1:$B$288,MATCH(TRIM(D432),القوائم!$A$1:$A$288,0)),IFERROR(MOD(TIMEVALUE(D432),1),""))))</f>
        <v/>
      </c>
      <c r="M432" s="19" t="n">
        <f aca="false">$M$425</f>
        <v>0</v>
      </c>
      <c r="Q432" s="19" t="n">
        <f aca="false">IF(N(E437)&gt;0,1,0)</f>
        <v>0</v>
      </c>
      <c r="S432" s="0" t="n">
        <v>31</v>
      </c>
    </row>
    <row r="433" customFormat="false" ht="15" hidden="false" customHeight="false" outlineLevel="0" collapsed="false">
      <c r="A433" s="29" t="n">
        <f aca="false">IF(31&lt;=NW,WEEK_ONE+216,"")</f>
        <v>46234</v>
      </c>
      <c r="B433" s="30" t="str">
        <f aca="false">IF(A433="","",CHOOSE(WEEKDAY(A433,1),"الأحد","الاثنين","الثلاثاء","الأربعاء","الخميس","الجمعة","السبت"))</f>
        <v>الجمعة</v>
      </c>
      <c r="C433" s="24"/>
      <c r="D433" s="24"/>
      <c r="E433" s="25" t="str">
        <f aca="false">IF(OR(M433=0,K433="",L433=""),"",MOD(L433-K433,1))</f>
        <v/>
      </c>
      <c r="F433" s="26" t="str">
        <f aca="false">IF(OR(E433="",M433=0),"",IF(ROUND_MODE="للأعلى",CEILING(ROUND((E433*24*$N$425),3),0.25),ROUND((E433*24*$N$425)*4,0)/4))</f>
        <v/>
      </c>
      <c r="G433" s="24"/>
      <c r="H433" s="27"/>
      <c r="K433" s="28" t="str">
        <f aca="false">IF(OR(M433=0,C433=""),"",IF(ISNUMBER(C433),MOD(C433,1),IFERROR(INDEX(القوائم!$B$1:$B$288,MATCH(TRIM(C433),القوائم!$A$1:$A$288,0)),IFERROR(MOD(TIMEVALUE(C433),1),""))))</f>
        <v/>
      </c>
      <c r="L433" s="28" t="str">
        <f aca="false">IF(OR(M433=0,D433=""),"",IF(ISNUMBER(D433),MOD(D433,1),IFERROR(INDEX(القوائم!$B$1:$B$288,MATCH(TRIM(D433),القوائم!$A$1:$A$288,0)),IFERROR(MOD(TIMEVALUE(D433),1),""))))</f>
        <v/>
      </c>
      <c r="M433" s="19" t="n">
        <f aca="false">$M$425</f>
        <v>0</v>
      </c>
      <c r="Q433" s="19" t="n">
        <f aca="false">IF(N(E437)&gt;0,1,0)</f>
        <v>0</v>
      </c>
      <c r="S433" s="0" t="n">
        <v>31</v>
      </c>
    </row>
    <row r="434" customFormat="false" ht="15" hidden="false" customHeight="false" outlineLevel="0" collapsed="false">
      <c r="A434" s="31" t="str">
        <f aca="false">IF(M425=1,"ساعات تحميل الجبسمبورد بهالأسبوع ←","")</f>
        <v/>
      </c>
      <c r="B434" s="31"/>
      <c r="C434" s="31"/>
      <c r="D434" s="31"/>
      <c r="E434" s="32"/>
      <c r="F434" s="33" t="str">
        <f aca="false">IF(M425=1,"كل ساعة تحميل = "&amp;TEXT($P$425,"0.000")&amp;" دينار (منها "&amp;TEXT($N$425,"0.000")&amp;" محسوبة أصلاً بساعات اليوم)","")</f>
        <v/>
      </c>
      <c r="G434" s="33"/>
      <c r="H434" s="33"/>
      <c r="M434" s="19" t="n">
        <f aca="false">$M$425</f>
        <v>0</v>
      </c>
      <c r="Q434" s="19" t="n">
        <f aca="false">IF(N(E437)&gt;0,1,0)</f>
        <v>0</v>
      </c>
      <c r="S434" s="0" t="n">
        <v>31</v>
      </c>
    </row>
    <row r="435" customFormat="false" ht="15" hidden="false" customHeight="false" outlineLevel="0" collapsed="false">
      <c r="A435" s="31" t="str">
        <f aca="false">IF(M425=1,"إكرامية الأسبوع (دينار) ←","")</f>
        <v/>
      </c>
      <c r="B435" s="31"/>
      <c r="C435" s="31"/>
      <c r="D435" s="31"/>
      <c r="E435" s="34"/>
      <c r="F435" s="35"/>
      <c r="G435" s="35"/>
      <c r="H435" s="35"/>
      <c r="M435" s="19" t="n">
        <f aca="false">$M$425</f>
        <v>0</v>
      </c>
      <c r="Q435" s="19" t="n">
        <f aca="false">IF(N(E437)&gt;0,1,0)</f>
        <v>0</v>
      </c>
      <c r="S435" s="0" t="n">
        <v>31</v>
      </c>
    </row>
    <row r="436" customFormat="false" ht="36" hidden="false" customHeight="true" outlineLevel="0" collapsed="false">
      <c r="A436" s="36" t="str">
        <f aca="false">IF(M425=1,"المستحق النهائي للأسبوع","")</f>
        <v/>
      </c>
      <c r="B436" s="36"/>
      <c r="C436" s="36"/>
      <c r="D436" s="36"/>
      <c r="E436" s="36"/>
      <c r="F436" s="11" t="str">
        <f aca="false">IF(M425=1,ROUND(N($V$425)+N(E434)*($P$425-$N$425)+N(E435),3),"")</f>
        <v/>
      </c>
      <c r="G436" s="35"/>
      <c r="H436" s="35"/>
      <c r="M436" s="19" t="n">
        <f aca="false">$M$425</f>
        <v>0</v>
      </c>
      <c r="Q436" s="19" t="n">
        <f aca="false">IF(N(E437)&gt;0,1,0)</f>
        <v>0</v>
      </c>
      <c r="S436" s="0" t="n">
        <v>31</v>
      </c>
      <c r="T436" s="0" t="n">
        <v>1</v>
      </c>
    </row>
    <row r="437" customFormat="false" ht="25.5" hidden="false" customHeight="true" outlineLevel="0" collapsed="false">
      <c r="A437" s="31" t="str">
        <f aca="false">IF(M425=1,"المدفوع (دينار) ←","")</f>
        <v/>
      </c>
      <c r="B437" s="31"/>
      <c r="C437" s="31"/>
      <c r="D437" s="31"/>
      <c r="E437" s="34"/>
      <c r="F437" s="38" t="str">
        <f aca="false">IF(M425=1,IF(N(E437)&gt;0,"✔ انقبض — الأسبوع مقفول","⏳ لسا ما انقبض"),"")</f>
        <v/>
      </c>
      <c r="G437" s="38"/>
      <c r="H437" s="38"/>
      <c r="M437" s="19" t="n">
        <f aca="false">$M$425</f>
        <v>0</v>
      </c>
      <c r="Q437" s="19" t="n">
        <f aca="false">IF(N(E437)&gt;0,1,0)</f>
        <v>0</v>
      </c>
      <c r="S437" s="0" t="n">
        <v>31</v>
      </c>
    </row>
    <row r="438" customFormat="false" ht="9.75" hidden="false" customHeight="true" outlineLevel="0" collapsed="false">
      <c r="M438" s="19" t="n">
        <f aca="false">$M$425</f>
        <v>0</v>
      </c>
      <c r="Q438" s="19" t="n">
        <f aca="false">IF(N(E437)&gt;0,1,0)</f>
        <v>0</v>
      </c>
      <c r="S438" s="0" t="n">
        <v>31</v>
      </c>
      <c r="T438" s="0" t="n">
        <v>2</v>
      </c>
    </row>
    <row r="439" customFormat="false" ht="33.75" hidden="false" customHeight="true" outlineLevel="0" collapsed="false">
      <c r="A439" s="17" t="str">
        <f aca="false">IF(32&lt;=NW,TEXT(DAY(WEEK_ONE+217),"00")&amp;"/"&amp;TEXT(MONTH(WEEK_ONE+217),"00")&amp;"/"&amp;YEAR(WEEK_ONE+217)&amp;"  -  "&amp;TEXT(DAY(WEEK_ONE+223),"00")&amp;"/"&amp;TEXT(MONTH(WEEK_ONE+223),"00")&amp;"/"&amp;YEAR(WEEK_ONE+223)&amp;"   ·   الأسبوع 32"&amp;IF(32&lt;START_Z,"   (قبل أسبوع البداية — ما بينحسب)",""),"ما في أسبوع 32 هالسنة")</f>
        <v>01/08/2026  -  07/08/2026   ·   الأسبوع 32   (قبل أسبوع البداية — ما بينحسب)</v>
      </c>
      <c r="B439" s="17"/>
      <c r="C439" s="17"/>
      <c r="D439" s="17"/>
      <c r="E439" s="17"/>
      <c r="F439" s="17"/>
      <c r="G439" s="17"/>
      <c r="H439" s="17"/>
      <c r="L439" s="18" t="n">
        <f aca="false">IF(32&lt;=NW,WEEK_ONE+223,"")</f>
        <v>46241</v>
      </c>
      <c r="M439" s="19" t="n">
        <f aca="false">IF(AND(32&lt;=NW,32&gt;=START_Z),1,0)</f>
        <v>0</v>
      </c>
      <c r="N439" s="20" t="n">
        <f aca="false">IFERROR(INDEX(RT_AZZ,MATCH(L439,RT_K,1)),INDEX(RT_AZZ,1))</f>
        <v>1</v>
      </c>
      <c r="P439" s="20" t="n">
        <f aca="false">IFERROR(INDEX(RT_GYP,MATCH(L439,RT_K,1)),INDEX(RT_GYP,1))</f>
        <v>2.5</v>
      </c>
      <c r="Q439" s="19" t="n">
        <f aca="false">IF(N(E451)&gt;0,1,0)</f>
        <v>0</v>
      </c>
      <c r="R439" s="0" t="n">
        <v>32</v>
      </c>
      <c r="S439" s="0" t="n">
        <v>32</v>
      </c>
      <c r="U439" s="19" t="n">
        <f aca="false">IF(M439=1,SUM(E441:E447),0)</f>
        <v>0</v>
      </c>
      <c r="V439" s="19" t="n">
        <f aca="false">SUM(F441:F447)</f>
        <v>0</v>
      </c>
      <c r="W439" s="19" t="n">
        <f aca="false">IF(M439=1,SUMIFS(F441:F447,G441:G447,"نعم"),0)</f>
        <v>0</v>
      </c>
    </row>
    <row r="440" customFormat="false" ht="39.75" hidden="false" customHeight="true" outlineLevel="0" collapsed="false">
      <c r="A440" s="21" t="s">
        <v>18</v>
      </c>
      <c r="B440" s="21" t="s">
        <v>19</v>
      </c>
      <c r="C440" s="21" t="s">
        <v>20</v>
      </c>
      <c r="D440" s="21" t="s">
        <v>21</v>
      </c>
      <c r="E440" s="21" t="s">
        <v>22</v>
      </c>
      <c r="F440" s="21" t="s">
        <v>29</v>
      </c>
      <c r="G440" s="21" t="s">
        <v>30</v>
      </c>
      <c r="H440" s="21" t="s">
        <v>26</v>
      </c>
      <c r="M440" s="19" t="n">
        <f aca="false">$M$439</f>
        <v>0</v>
      </c>
      <c r="Q440" s="19" t="n">
        <f aca="false">IF(N(E451)&gt;0,1,0)</f>
        <v>0</v>
      </c>
      <c r="S440" s="0" t="n">
        <v>32</v>
      </c>
    </row>
    <row r="441" customFormat="false" ht="15" hidden="false" customHeight="false" outlineLevel="0" collapsed="false">
      <c r="A441" s="22" t="n">
        <f aca="false">IF(32&lt;=NW,WEEK_ONE+217,"")</f>
        <v>46235</v>
      </c>
      <c r="B441" s="23" t="str">
        <f aca="false">IF(A441="","",CHOOSE(WEEKDAY(A441,1),"الأحد","الاثنين","الثلاثاء","الأربعاء","الخميس","الجمعة","السبت"))</f>
        <v>السبت</v>
      </c>
      <c r="C441" s="24"/>
      <c r="D441" s="24"/>
      <c r="E441" s="25" t="str">
        <f aca="false">IF(OR(M441=0,K441="",L441=""),"",MOD(L441-K441,1))</f>
        <v/>
      </c>
      <c r="F441" s="26" t="str">
        <f aca="false">IF(OR(E441="",M441=0),"",IF(ROUND_MODE="للأعلى",CEILING(ROUND((E441*24*$N$439),3),0.25),ROUND((E441*24*$N$439)*4,0)/4))</f>
        <v/>
      </c>
      <c r="G441" s="24"/>
      <c r="H441" s="27"/>
      <c r="K441" s="28" t="str">
        <f aca="false">IF(OR(M441=0,C441=""),"",IF(ISNUMBER(C441),MOD(C441,1),IFERROR(INDEX(القوائم!$B$1:$B$288,MATCH(TRIM(C441),القوائم!$A$1:$A$288,0)),IFERROR(MOD(TIMEVALUE(C441),1),""))))</f>
        <v/>
      </c>
      <c r="L441" s="28" t="str">
        <f aca="false">IF(OR(M441=0,D441=""),"",IF(ISNUMBER(D441),MOD(D441,1),IFERROR(INDEX(القوائم!$B$1:$B$288,MATCH(TRIM(D441),القوائم!$A$1:$A$288,0)),IFERROR(MOD(TIMEVALUE(D441),1),""))))</f>
        <v/>
      </c>
      <c r="M441" s="19" t="n">
        <f aca="false">$M$439</f>
        <v>0</v>
      </c>
      <c r="Q441" s="19" t="n">
        <f aca="false">IF(N(E451)&gt;0,1,0)</f>
        <v>0</v>
      </c>
      <c r="S441" s="0" t="n">
        <v>32</v>
      </c>
    </row>
    <row r="442" customFormat="false" ht="15" hidden="false" customHeight="false" outlineLevel="0" collapsed="false">
      <c r="A442" s="22" t="n">
        <f aca="false">IF(32&lt;=NW,WEEK_ONE+218,"")</f>
        <v>46236</v>
      </c>
      <c r="B442" s="23" t="str">
        <f aca="false">IF(A442="","",CHOOSE(WEEKDAY(A442,1),"الأحد","الاثنين","الثلاثاء","الأربعاء","الخميس","الجمعة","السبت"))</f>
        <v>الأحد</v>
      </c>
      <c r="C442" s="24"/>
      <c r="D442" s="24"/>
      <c r="E442" s="25" t="str">
        <f aca="false">IF(OR(M442=0,K442="",L442=""),"",MOD(L442-K442,1))</f>
        <v/>
      </c>
      <c r="F442" s="26" t="str">
        <f aca="false">IF(OR(E442="",M442=0),"",IF(ROUND_MODE="للأعلى",CEILING(ROUND((E442*24*$N$439),3),0.25),ROUND((E442*24*$N$439)*4,0)/4))</f>
        <v/>
      </c>
      <c r="G442" s="24"/>
      <c r="H442" s="27"/>
      <c r="K442" s="28" t="str">
        <f aca="false">IF(OR(M442=0,C442=""),"",IF(ISNUMBER(C442),MOD(C442,1),IFERROR(INDEX(القوائم!$B$1:$B$288,MATCH(TRIM(C442),القوائم!$A$1:$A$288,0)),IFERROR(MOD(TIMEVALUE(C442),1),""))))</f>
        <v/>
      </c>
      <c r="L442" s="28" t="str">
        <f aca="false">IF(OR(M442=0,D442=""),"",IF(ISNUMBER(D442),MOD(D442,1),IFERROR(INDEX(القوائم!$B$1:$B$288,MATCH(TRIM(D442),القوائم!$A$1:$A$288,0)),IFERROR(MOD(TIMEVALUE(D442),1),""))))</f>
        <v/>
      </c>
      <c r="M442" s="19" t="n">
        <f aca="false">$M$439</f>
        <v>0</v>
      </c>
      <c r="Q442" s="19" t="n">
        <f aca="false">IF(N(E451)&gt;0,1,0)</f>
        <v>0</v>
      </c>
      <c r="S442" s="0" t="n">
        <v>32</v>
      </c>
    </row>
    <row r="443" customFormat="false" ht="15" hidden="false" customHeight="false" outlineLevel="0" collapsed="false">
      <c r="A443" s="22" t="n">
        <f aca="false">IF(32&lt;=NW,WEEK_ONE+219,"")</f>
        <v>46237</v>
      </c>
      <c r="B443" s="23" t="str">
        <f aca="false">IF(A443="","",CHOOSE(WEEKDAY(A443,1),"الأحد","الاثنين","الثلاثاء","الأربعاء","الخميس","الجمعة","السبت"))</f>
        <v>الاثنين</v>
      </c>
      <c r="C443" s="24"/>
      <c r="D443" s="24"/>
      <c r="E443" s="25" t="str">
        <f aca="false">IF(OR(M443=0,K443="",L443=""),"",MOD(L443-K443,1))</f>
        <v/>
      </c>
      <c r="F443" s="26" t="str">
        <f aca="false">IF(OR(E443="",M443=0),"",IF(ROUND_MODE="للأعلى",CEILING(ROUND((E443*24*$N$439),3),0.25),ROUND((E443*24*$N$439)*4,0)/4))</f>
        <v/>
      </c>
      <c r="G443" s="24"/>
      <c r="H443" s="27"/>
      <c r="K443" s="28" t="str">
        <f aca="false">IF(OR(M443=0,C443=""),"",IF(ISNUMBER(C443),MOD(C443,1),IFERROR(INDEX(القوائم!$B$1:$B$288,MATCH(TRIM(C443),القوائم!$A$1:$A$288,0)),IFERROR(MOD(TIMEVALUE(C443),1),""))))</f>
        <v/>
      </c>
      <c r="L443" s="28" t="str">
        <f aca="false">IF(OR(M443=0,D443=""),"",IF(ISNUMBER(D443),MOD(D443,1),IFERROR(INDEX(القوائم!$B$1:$B$288,MATCH(TRIM(D443),القوائم!$A$1:$A$288,0)),IFERROR(MOD(TIMEVALUE(D443),1),""))))</f>
        <v/>
      </c>
      <c r="M443" s="19" t="n">
        <f aca="false">$M$439</f>
        <v>0</v>
      </c>
      <c r="Q443" s="19" t="n">
        <f aca="false">IF(N(E451)&gt;0,1,0)</f>
        <v>0</v>
      </c>
      <c r="S443" s="0" t="n">
        <v>32</v>
      </c>
    </row>
    <row r="444" customFormat="false" ht="15" hidden="false" customHeight="false" outlineLevel="0" collapsed="false">
      <c r="A444" s="22" t="n">
        <f aca="false">IF(32&lt;=NW,WEEK_ONE+220,"")</f>
        <v>46238</v>
      </c>
      <c r="B444" s="23" t="str">
        <f aca="false">IF(A444="","",CHOOSE(WEEKDAY(A444,1),"الأحد","الاثنين","الثلاثاء","الأربعاء","الخميس","الجمعة","السبت"))</f>
        <v>الثلاثاء</v>
      </c>
      <c r="C444" s="24"/>
      <c r="D444" s="24"/>
      <c r="E444" s="25" t="str">
        <f aca="false">IF(OR(M444=0,K444="",L444=""),"",MOD(L444-K444,1))</f>
        <v/>
      </c>
      <c r="F444" s="26" t="str">
        <f aca="false">IF(OR(E444="",M444=0),"",IF(ROUND_MODE="للأعلى",CEILING(ROUND((E444*24*$N$439),3),0.25),ROUND((E444*24*$N$439)*4,0)/4))</f>
        <v/>
      </c>
      <c r="G444" s="24"/>
      <c r="H444" s="27"/>
      <c r="K444" s="28" t="str">
        <f aca="false">IF(OR(M444=0,C444=""),"",IF(ISNUMBER(C444),MOD(C444,1),IFERROR(INDEX(القوائم!$B$1:$B$288,MATCH(TRIM(C444),القوائم!$A$1:$A$288,0)),IFERROR(MOD(TIMEVALUE(C444),1),""))))</f>
        <v/>
      </c>
      <c r="L444" s="28" t="str">
        <f aca="false">IF(OR(M444=0,D444=""),"",IF(ISNUMBER(D444),MOD(D444,1),IFERROR(INDEX(القوائم!$B$1:$B$288,MATCH(TRIM(D444),القوائم!$A$1:$A$288,0)),IFERROR(MOD(TIMEVALUE(D444),1),""))))</f>
        <v/>
      </c>
      <c r="M444" s="19" t="n">
        <f aca="false">$M$439</f>
        <v>0</v>
      </c>
      <c r="Q444" s="19" t="n">
        <f aca="false">IF(N(E451)&gt;0,1,0)</f>
        <v>0</v>
      </c>
      <c r="S444" s="0" t="n">
        <v>32</v>
      </c>
    </row>
    <row r="445" customFormat="false" ht="15" hidden="false" customHeight="false" outlineLevel="0" collapsed="false">
      <c r="A445" s="22" t="n">
        <f aca="false">IF(32&lt;=NW,WEEK_ONE+221,"")</f>
        <v>46239</v>
      </c>
      <c r="B445" s="23" t="str">
        <f aca="false">IF(A445="","",CHOOSE(WEEKDAY(A445,1),"الأحد","الاثنين","الثلاثاء","الأربعاء","الخميس","الجمعة","السبت"))</f>
        <v>الأربعاء</v>
      </c>
      <c r="C445" s="24"/>
      <c r="D445" s="24"/>
      <c r="E445" s="25" t="str">
        <f aca="false">IF(OR(M445=0,K445="",L445=""),"",MOD(L445-K445,1))</f>
        <v/>
      </c>
      <c r="F445" s="26" t="str">
        <f aca="false">IF(OR(E445="",M445=0),"",IF(ROUND_MODE="للأعلى",CEILING(ROUND((E445*24*$N$439),3),0.25),ROUND((E445*24*$N$439)*4,0)/4))</f>
        <v/>
      </c>
      <c r="G445" s="24"/>
      <c r="H445" s="27"/>
      <c r="K445" s="28" t="str">
        <f aca="false">IF(OR(M445=0,C445=""),"",IF(ISNUMBER(C445),MOD(C445,1),IFERROR(INDEX(القوائم!$B$1:$B$288,MATCH(TRIM(C445),القوائم!$A$1:$A$288,0)),IFERROR(MOD(TIMEVALUE(C445),1),""))))</f>
        <v/>
      </c>
      <c r="L445" s="28" t="str">
        <f aca="false">IF(OR(M445=0,D445=""),"",IF(ISNUMBER(D445),MOD(D445,1),IFERROR(INDEX(القوائم!$B$1:$B$288,MATCH(TRIM(D445),القوائم!$A$1:$A$288,0)),IFERROR(MOD(TIMEVALUE(D445),1),""))))</f>
        <v/>
      </c>
      <c r="M445" s="19" t="n">
        <f aca="false">$M$439</f>
        <v>0</v>
      </c>
      <c r="Q445" s="19" t="n">
        <f aca="false">IF(N(E451)&gt;0,1,0)</f>
        <v>0</v>
      </c>
      <c r="S445" s="0" t="n">
        <v>32</v>
      </c>
    </row>
    <row r="446" customFormat="false" ht="15" hidden="false" customHeight="false" outlineLevel="0" collapsed="false">
      <c r="A446" s="22" t="n">
        <f aca="false">IF(32&lt;=NW,WEEK_ONE+222,"")</f>
        <v>46240</v>
      </c>
      <c r="B446" s="23" t="str">
        <f aca="false">IF(A446="","",CHOOSE(WEEKDAY(A446,1),"الأحد","الاثنين","الثلاثاء","الأربعاء","الخميس","الجمعة","السبت"))</f>
        <v>الخميس</v>
      </c>
      <c r="C446" s="24"/>
      <c r="D446" s="24"/>
      <c r="E446" s="25" t="str">
        <f aca="false">IF(OR(M446=0,K446="",L446=""),"",MOD(L446-K446,1))</f>
        <v/>
      </c>
      <c r="F446" s="26" t="str">
        <f aca="false">IF(OR(E446="",M446=0),"",IF(ROUND_MODE="للأعلى",CEILING(ROUND((E446*24*$N$439),3),0.25),ROUND((E446*24*$N$439)*4,0)/4))</f>
        <v/>
      </c>
      <c r="G446" s="24"/>
      <c r="H446" s="27"/>
      <c r="K446" s="28" t="str">
        <f aca="false">IF(OR(M446=0,C446=""),"",IF(ISNUMBER(C446),MOD(C446,1),IFERROR(INDEX(القوائم!$B$1:$B$288,MATCH(TRIM(C446),القوائم!$A$1:$A$288,0)),IFERROR(MOD(TIMEVALUE(C446),1),""))))</f>
        <v/>
      </c>
      <c r="L446" s="28" t="str">
        <f aca="false">IF(OR(M446=0,D446=""),"",IF(ISNUMBER(D446),MOD(D446,1),IFERROR(INDEX(القوائم!$B$1:$B$288,MATCH(TRIM(D446),القوائم!$A$1:$A$288,0)),IFERROR(MOD(TIMEVALUE(D446),1),""))))</f>
        <v/>
      </c>
      <c r="M446" s="19" t="n">
        <f aca="false">$M$439</f>
        <v>0</v>
      </c>
      <c r="Q446" s="19" t="n">
        <f aca="false">IF(N(E451)&gt;0,1,0)</f>
        <v>0</v>
      </c>
      <c r="S446" s="0" t="n">
        <v>32</v>
      </c>
    </row>
    <row r="447" customFormat="false" ht="15" hidden="false" customHeight="false" outlineLevel="0" collapsed="false">
      <c r="A447" s="29" t="n">
        <f aca="false">IF(32&lt;=NW,WEEK_ONE+223,"")</f>
        <v>46241</v>
      </c>
      <c r="B447" s="30" t="str">
        <f aca="false">IF(A447="","",CHOOSE(WEEKDAY(A447,1),"الأحد","الاثنين","الثلاثاء","الأربعاء","الخميس","الجمعة","السبت"))</f>
        <v>الجمعة</v>
      </c>
      <c r="C447" s="24"/>
      <c r="D447" s="24"/>
      <c r="E447" s="25" t="str">
        <f aca="false">IF(OR(M447=0,K447="",L447=""),"",MOD(L447-K447,1))</f>
        <v/>
      </c>
      <c r="F447" s="26" t="str">
        <f aca="false">IF(OR(E447="",M447=0),"",IF(ROUND_MODE="للأعلى",CEILING(ROUND((E447*24*$N$439),3),0.25),ROUND((E447*24*$N$439)*4,0)/4))</f>
        <v/>
      </c>
      <c r="G447" s="24"/>
      <c r="H447" s="27"/>
      <c r="K447" s="28" t="str">
        <f aca="false">IF(OR(M447=0,C447=""),"",IF(ISNUMBER(C447),MOD(C447,1),IFERROR(INDEX(القوائم!$B$1:$B$288,MATCH(TRIM(C447),القوائم!$A$1:$A$288,0)),IFERROR(MOD(TIMEVALUE(C447),1),""))))</f>
        <v/>
      </c>
      <c r="L447" s="28" t="str">
        <f aca="false">IF(OR(M447=0,D447=""),"",IF(ISNUMBER(D447),MOD(D447,1),IFERROR(INDEX(القوائم!$B$1:$B$288,MATCH(TRIM(D447),القوائم!$A$1:$A$288,0)),IFERROR(MOD(TIMEVALUE(D447),1),""))))</f>
        <v/>
      </c>
      <c r="M447" s="19" t="n">
        <f aca="false">$M$439</f>
        <v>0</v>
      </c>
      <c r="Q447" s="19" t="n">
        <f aca="false">IF(N(E451)&gt;0,1,0)</f>
        <v>0</v>
      </c>
      <c r="S447" s="0" t="n">
        <v>32</v>
      </c>
    </row>
    <row r="448" customFormat="false" ht="15" hidden="false" customHeight="false" outlineLevel="0" collapsed="false">
      <c r="A448" s="31" t="str">
        <f aca="false">IF(M439=1,"ساعات تحميل الجبسمبورد بهالأسبوع ←","")</f>
        <v/>
      </c>
      <c r="B448" s="31"/>
      <c r="C448" s="31"/>
      <c r="D448" s="31"/>
      <c r="E448" s="32"/>
      <c r="F448" s="33" t="str">
        <f aca="false">IF(M439=1,"كل ساعة تحميل = "&amp;TEXT($P$439,"0.000")&amp;" دينار (منها "&amp;TEXT($N$439,"0.000")&amp;" محسوبة أصلاً بساعات اليوم)","")</f>
        <v/>
      </c>
      <c r="G448" s="33"/>
      <c r="H448" s="33"/>
      <c r="M448" s="19" t="n">
        <f aca="false">$M$439</f>
        <v>0</v>
      </c>
      <c r="Q448" s="19" t="n">
        <f aca="false">IF(N(E451)&gt;0,1,0)</f>
        <v>0</v>
      </c>
      <c r="S448" s="0" t="n">
        <v>32</v>
      </c>
    </row>
    <row r="449" customFormat="false" ht="15" hidden="false" customHeight="false" outlineLevel="0" collapsed="false">
      <c r="A449" s="31" t="str">
        <f aca="false">IF(M439=1,"إكرامية الأسبوع (دينار) ←","")</f>
        <v/>
      </c>
      <c r="B449" s="31"/>
      <c r="C449" s="31"/>
      <c r="D449" s="31"/>
      <c r="E449" s="34"/>
      <c r="F449" s="35"/>
      <c r="G449" s="35"/>
      <c r="H449" s="35"/>
      <c r="M449" s="19" t="n">
        <f aca="false">$M$439</f>
        <v>0</v>
      </c>
      <c r="Q449" s="19" t="n">
        <f aca="false">IF(N(E451)&gt;0,1,0)</f>
        <v>0</v>
      </c>
      <c r="S449" s="0" t="n">
        <v>32</v>
      </c>
    </row>
    <row r="450" customFormat="false" ht="36" hidden="false" customHeight="true" outlineLevel="0" collapsed="false">
      <c r="A450" s="36" t="str">
        <f aca="false">IF(M439=1,"المستحق النهائي للأسبوع","")</f>
        <v/>
      </c>
      <c r="B450" s="36"/>
      <c r="C450" s="36"/>
      <c r="D450" s="36"/>
      <c r="E450" s="36"/>
      <c r="F450" s="11" t="str">
        <f aca="false">IF(M439=1,ROUND(N($V$439)+N(E448)*($P$439-$N$439)+N(E449),3),"")</f>
        <v/>
      </c>
      <c r="G450" s="35"/>
      <c r="H450" s="35"/>
      <c r="M450" s="19" t="n">
        <f aca="false">$M$439</f>
        <v>0</v>
      </c>
      <c r="Q450" s="19" t="n">
        <f aca="false">IF(N(E451)&gt;0,1,0)</f>
        <v>0</v>
      </c>
      <c r="S450" s="0" t="n">
        <v>32</v>
      </c>
      <c r="T450" s="0" t="n">
        <v>1</v>
      </c>
    </row>
    <row r="451" customFormat="false" ht="25.5" hidden="false" customHeight="true" outlineLevel="0" collapsed="false">
      <c r="A451" s="31" t="str">
        <f aca="false">IF(M439=1,"المدفوع (دينار) ←","")</f>
        <v/>
      </c>
      <c r="B451" s="31"/>
      <c r="C451" s="31"/>
      <c r="D451" s="31"/>
      <c r="E451" s="34"/>
      <c r="F451" s="38" t="str">
        <f aca="false">IF(M439=1,IF(N(E451)&gt;0,"✔ انقبض — الأسبوع مقفول","⏳ لسا ما انقبض"),"")</f>
        <v/>
      </c>
      <c r="G451" s="38"/>
      <c r="H451" s="38"/>
      <c r="M451" s="19" t="n">
        <f aca="false">$M$439</f>
        <v>0</v>
      </c>
      <c r="Q451" s="19" t="n">
        <f aca="false">IF(N(E451)&gt;0,1,0)</f>
        <v>0</v>
      </c>
      <c r="S451" s="0" t="n">
        <v>32</v>
      </c>
    </row>
    <row r="452" customFormat="false" ht="9.75" hidden="false" customHeight="true" outlineLevel="0" collapsed="false">
      <c r="M452" s="19" t="n">
        <f aca="false">$M$439</f>
        <v>0</v>
      </c>
      <c r="Q452" s="19" t="n">
        <f aca="false">IF(N(E451)&gt;0,1,0)</f>
        <v>0</v>
      </c>
      <c r="S452" s="0" t="n">
        <v>32</v>
      </c>
      <c r="T452" s="0" t="n">
        <v>2</v>
      </c>
    </row>
    <row r="453" customFormat="false" ht="33.75" hidden="false" customHeight="true" outlineLevel="0" collapsed="false">
      <c r="A453" s="17" t="str">
        <f aca="false">IF(33&lt;=NW,TEXT(DAY(WEEK_ONE+224),"00")&amp;"/"&amp;TEXT(MONTH(WEEK_ONE+224),"00")&amp;"/"&amp;YEAR(WEEK_ONE+224)&amp;"  -  "&amp;TEXT(DAY(WEEK_ONE+230),"00")&amp;"/"&amp;TEXT(MONTH(WEEK_ONE+230),"00")&amp;"/"&amp;YEAR(WEEK_ONE+230)&amp;"   ·   الأسبوع 33"&amp;IF(33&lt;START_Z,"   (قبل أسبوع البداية — ما بينحسب)",""),"ما في أسبوع 33 هالسنة")</f>
        <v>08/08/2026  -  14/08/2026   ·   الأسبوع 33   (قبل أسبوع البداية — ما بينحسب)</v>
      </c>
      <c r="B453" s="17"/>
      <c r="C453" s="17"/>
      <c r="D453" s="17"/>
      <c r="E453" s="17"/>
      <c r="F453" s="17"/>
      <c r="G453" s="17"/>
      <c r="H453" s="17"/>
      <c r="L453" s="18" t="n">
        <f aca="false">IF(33&lt;=NW,WEEK_ONE+230,"")</f>
        <v>46248</v>
      </c>
      <c r="M453" s="19" t="n">
        <f aca="false">IF(AND(33&lt;=NW,33&gt;=START_Z),1,0)</f>
        <v>0</v>
      </c>
      <c r="N453" s="20" t="n">
        <f aca="false">IFERROR(INDEX(RT_AZZ,MATCH(L453,RT_K,1)),INDEX(RT_AZZ,1))</f>
        <v>1</v>
      </c>
      <c r="P453" s="20" t="n">
        <f aca="false">IFERROR(INDEX(RT_GYP,MATCH(L453,RT_K,1)),INDEX(RT_GYP,1))</f>
        <v>2.5</v>
      </c>
      <c r="Q453" s="19" t="n">
        <f aca="false">IF(N(E465)&gt;0,1,0)</f>
        <v>0</v>
      </c>
      <c r="R453" s="0" t="n">
        <v>33</v>
      </c>
      <c r="S453" s="0" t="n">
        <v>33</v>
      </c>
      <c r="U453" s="19" t="n">
        <f aca="false">IF(M453=1,SUM(E455:E461),0)</f>
        <v>0</v>
      </c>
      <c r="V453" s="19" t="n">
        <f aca="false">SUM(F455:F461)</f>
        <v>0</v>
      </c>
      <c r="W453" s="19" t="n">
        <f aca="false">IF(M453=1,SUMIFS(F455:F461,G455:G461,"نعم"),0)</f>
        <v>0</v>
      </c>
    </row>
    <row r="454" customFormat="false" ht="39.75" hidden="false" customHeight="true" outlineLevel="0" collapsed="false">
      <c r="A454" s="21" t="s">
        <v>18</v>
      </c>
      <c r="B454" s="21" t="s">
        <v>19</v>
      </c>
      <c r="C454" s="21" t="s">
        <v>20</v>
      </c>
      <c r="D454" s="21" t="s">
        <v>21</v>
      </c>
      <c r="E454" s="21" t="s">
        <v>22</v>
      </c>
      <c r="F454" s="21" t="s">
        <v>29</v>
      </c>
      <c r="G454" s="21" t="s">
        <v>30</v>
      </c>
      <c r="H454" s="21" t="s">
        <v>26</v>
      </c>
      <c r="M454" s="19" t="n">
        <f aca="false">$M$453</f>
        <v>0</v>
      </c>
      <c r="Q454" s="19" t="n">
        <f aca="false">IF(N(E465)&gt;0,1,0)</f>
        <v>0</v>
      </c>
      <c r="S454" s="0" t="n">
        <v>33</v>
      </c>
    </row>
    <row r="455" customFormat="false" ht="15" hidden="false" customHeight="false" outlineLevel="0" collapsed="false">
      <c r="A455" s="22" t="n">
        <f aca="false">IF(33&lt;=NW,WEEK_ONE+224,"")</f>
        <v>46242</v>
      </c>
      <c r="B455" s="23" t="str">
        <f aca="false">IF(A455="","",CHOOSE(WEEKDAY(A455,1),"الأحد","الاثنين","الثلاثاء","الأربعاء","الخميس","الجمعة","السبت"))</f>
        <v>السبت</v>
      </c>
      <c r="C455" s="24"/>
      <c r="D455" s="24"/>
      <c r="E455" s="25" t="str">
        <f aca="false">IF(OR(M455=0,K455="",L455=""),"",MOD(L455-K455,1))</f>
        <v/>
      </c>
      <c r="F455" s="26" t="str">
        <f aca="false">IF(OR(E455="",M455=0),"",IF(ROUND_MODE="للأعلى",CEILING(ROUND((E455*24*$N$453),3),0.25),ROUND((E455*24*$N$453)*4,0)/4))</f>
        <v/>
      </c>
      <c r="G455" s="24"/>
      <c r="H455" s="27"/>
      <c r="K455" s="28" t="str">
        <f aca="false">IF(OR(M455=0,C455=""),"",IF(ISNUMBER(C455),MOD(C455,1),IFERROR(INDEX(القوائم!$B$1:$B$288,MATCH(TRIM(C455),القوائم!$A$1:$A$288,0)),IFERROR(MOD(TIMEVALUE(C455),1),""))))</f>
        <v/>
      </c>
      <c r="L455" s="28" t="str">
        <f aca="false">IF(OR(M455=0,D455=""),"",IF(ISNUMBER(D455),MOD(D455,1),IFERROR(INDEX(القوائم!$B$1:$B$288,MATCH(TRIM(D455),القوائم!$A$1:$A$288,0)),IFERROR(MOD(TIMEVALUE(D455),1),""))))</f>
        <v/>
      </c>
      <c r="M455" s="19" t="n">
        <f aca="false">$M$453</f>
        <v>0</v>
      </c>
      <c r="Q455" s="19" t="n">
        <f aca="false">IF(N(E465)&gt;0,1,0)</f>
        <v>0</v>
      </c>
      <c r="S455" s="0" t="n">
        <v>33</v>
      </c>
    </row>
    <row r="456" customFormat="false" ht="15" hidden="false" customHeight="false" outlineLevel="0" collapsed="false">
      <c r="A456" s="22" t="n">
        <f aca="false">IF(33&lt;=NW,WEEK_ONE+225,"")</f>
        <v>46243</v>
      </c>
      <c r="B456" s="23" t="str">
        <f aca="false">IF(A456="","",CHOOSE(WEEKDAY(A456,1),"الأحد","الاثنين","الثلاثاء","الأربعاء","الخميس","الجمعة","السبت"))</f>
        <v>الأحد</v>
      </c>
      <c r="C456" s="24"/>
      <c r="D456" s="24"/>
      <c r="E456" s="25" t="str">
        <f aca="false">IF(OR(M456=0,K456="",L456=""),"",MOD(L456-K456,1))</f>
        <v/>
      </c>
      <c r="F456" s="26" t="str">
        <f aca="false">IF(OR(E456="",M456=0),"",IF(ROUND_MODE="للأعلى",CEILING(ROUND((E456*24*$N$453),3),0.25),ROUND((E456*24*$N$453)*4,0)/4))</f>
        <v/>
      </c>
      <c r="G456" s="24"/>
      <c r="H456" s="27"/>
      <c r="K456" s="28" t="str">
        <f aca="false">IF(OR(M456=0,C456=""),"",IF(ISNUMBER(C456),MOD(C456,1),IFERROR(INDEX(القوائم!$B$1:$B$288,MATCH(TRIM(C456),القوائم!$A$1:$A$288,0)),IFERROR(MOD(TIMEVALUE(C456),1),""))))</f>
        <v/>
      </c>
      <c r="L456" s="28" t="str">
        <f aca="false">IF(OR(M456=0,D456=""),"",IF(ISNUMBER(D456),MOD(D456,1),IFERROR(INDEX(القوائم!$B$1:$B$288,MATCH(TRIM(D456),القوائم!$A$1:$A$288,0)),IFERROR(MOD(TIMEVALUE(D456),1),""))))</f>
        <v/>
      </c>
      <c r="M456" s="19" t="n">
        <f aca="false">$M$453</f>
        <v>0</v>
      </c>
      <c r="Q456" s="19" t="n">
        <f aca="false">IF(N(E465)&gt;0,1,0)</f>
        <v>0</v>
      </c>
      <c r="S456" s="0" t="n">
        <v>33</v>
      </c>
    </row>
    <row r="457" customFormat="false" ht="15" hidden="false" customHeight="false" outlineLevel="0" collapsed="false">
      <c r="A457" s="22" t="n">
        <f aca="false">IF(33&lt;=NW,WEEK_ONE+226,"")</f>
        <v>46244</v>
      </c>
      <c r="B457" s="23" t="str">
        <f aca="false">IF(A457="","",CHOOSE(WEEKDAY(A457,1),"الأحد","الاثنين","الثلاثاء","الأربعاء","الخميس","الجمعة","السبت"))</f>
        <v>الاثنين</v>
      </c>
      <c r="C457" s="24"/>
      <c r="D457" s="24"/>
      <c r="E457" s="25" t="str">
        <f aca="false">IF(OR(M457=0,K457="",L457=""),"",MOD(L457-K457,1))</f>
        <v/>
      </c>
      <c r="F457" s="26" t="str">
        <f aca="false">IF(OR(E457="",M457=0),"",IF(ROUND_MODE="للأعلى",CEILING(ROUND((E457*24*$N$453),3),0.25),ROUND((E457*24*$N$453)*4,0)/4))</f>
        <v/>
      </c>
      <c r="G457" s="24"/>
      <c r="H457" s="27"/>
      <c r="K457" s="28" t="str">
        <f aca="false">IF(OR(M457=0,C457=""),"",IF(ISNUMBER(C457),MOD(C457,1),IFERROR(INDEX(القوائم!$B$1:$B$288,MATCH(TRIM(C457),القوائم!$A$1:$A$288,0)),IFERROR(MOD(TIMEVALUE(C457),1),""))))</f>
        <v/>
      </c>
      <c r="L457" s="28" t="str">
        <f aca="false">IF(OR(M457=0,D457=""),"",IF(ISNUMBER(D457),MOD(D457,1),IFERROR(INDEX(القوائم!$B$1:$B$288,MATCH(TRIM(D457),القوائم!$A$1:$A$288,0)),IFERROR(MOD(TIMEVALUE(D457),1),""))))</f>
        <v/>
      </c>
      <c r="M457" s="19" t="n">
        <f aca="false">$M$453</f>
        <v>0</v>
      </c>
      <c r="Q457" s="19" t="n">
        <f aca="false">IF(N(E465)&gt;0,1,0)</f>
        <v>0</v>
      </c>
      <c r="S457" s="0" t="n">
        <v>33</v>
      </c>
    </row>
    <row r="458" customFormat="false" ht="15" hidden="false" customHeight="false" outlineLevel="0" collapsed="false">
      <c r="A458" s="22" t="n">
        <f aca="false">IF(33&lt;=NW,WEEK_ONE+227,"")</f>
        <v>46245</v>
      </c>
      <c r="B458" s="23" t="str">
        <f aca="false">IF(A458="","",CHOOSE(WEEKDAY(A458,1),"الأحد","الاثنين","الثلاثاء","الأربعاء","الخميس","الجمعة","السبت"))</f>
        <v>الثلاثاء</v>
      </c>
      <c r="C458" s="24"/>
      <c r="D458" s="24"/>
      <c r="E458" s="25" t="str">
        <f aca="false">IF(OR(M458=0,K458="",L458=""),"",MOD(L458-K458,1))</f>
        <v/>
      </c>
      <c r="F458" s="26" t="str">
        <f aca="false">IF(OR(E458="",M458=0),"",IF(ROUND_MODE="للأعلى",CEILING(ROUND((E458*24*$N$453),3),0.25),ROUND((E458*24*$N$453)*4,0)/4))</f>
        <v/>
      </c>
      <c r="G458" s="24"/>
      <c r="H458" s="27"/>
      <c r="K458" s="28" t="str">
        <f aca="false">IF(OR(M458=0,C458=""),"",IF(ISNUMBER(C458),MOD(C458,1),IFERROR(INDEX(القوائم!$B$1:$B$288,MATCH(TRIM(C458),القوائم!$A$1:$A$288,0)),IFERROR(MOD(TIMEVALUE(C458),1),""))))</f>
        <v/>
      </c>
      <c r="L458" s="28" t="str">
        <f aca="false">IF(OR(M458=0,D458=""),"",IF(ISNUMBER(D458),MOD(D458,1),IFERROR(INDEX(القوائم!$B$1:$B$288,MATCH(TRIM(D458),القوائم!$A$1:$A$288,0)),IFERROR(MOD(TIMEVALUE(D458),1),""))))</f>
        <v/>
      </c>
      <c r="M458" s="19" t="n">
        <f aca="false">$M$453</f>
        <v>0</v>
      </c>
      <c r="Q458" s="19" t="n">
        <f aca="false">IF(N(E465)&gt;0,1,0)</f>
        <v>0</v>
      </c>
      <c r="S458" s="0" t="n">
        <v>33</v>
      </c>
    </row>
    <row r="459" customFormat="false" ht="15" hidden="false" customHeight="false" outlineLevel="0" collapsed="false">
      <c r="A459" s="22" t="n">
        <f aca="false">IF(33&lt;=NW,WEEK_ONE+228,"")</f>
        <v>46246</v>
      </c>
      <c r="B459" s="23" t="str">
        <f aca="false">IF(A459="","",CHOOSE(WEEKDAY(A459,1),"الأحد","الاثنين","الثلاثاء","الأربعاء","الخميس","الجمعة","السبت"))</f>
        <v>الأربعاء</v>
      </c>
      <c r="C459" s="24"/>
      <c r="D459" s="24"/>
      <c r="E459" s="25" t="str">
        <f aca="false">IF(OR(M459=0,K459="",L459=""),"",MOD(L459-K459,1))</f>
        <v/>
      </c>
      <c r="F459" s="26" t="str">
        <f aca="false">IF(OR(E459="",M459=0),"",IF(ROUND_MODE="للأعلى",CEILING(ROUND((E459*24*$N$453),3),0.25),ROUND((E459*24*$N$453)*4,0)/4))</f>
        <v/>
      </c>
      <c r="G459" s="24"/>
      <c r="H459" s="27"/>
      <c r="K459" s="28" t="str">
        <f aca="false">IF(OR(M459=0,C459=""),"",IF(ISNUMBER(C459),MOD(C459,1),IFERROR(INDEX(القوائم!$B$1:$B$288,MATCH(TRIM(C459),القوائم!$A$1:$A$288,0)),IFERROR(MOD(TIMEVALUE(C459),1),""))))</f>
        <v/>
      </c>
      <c r="L459" s="28" t="str">
        <f aca="false">IF(OR(M459=0,D459=""),"",IF(ISNUMBER(D459),MOD(D459,1),IFERROR(INDEX(القوائم!$B$1:$B$288,MATCH(TRIM(D459),القوائم!$A$1:$A$288,0)),IFERROR(MOD(TIMEVALUE(D459),1),""))))</f>
        <v/>
      </c>
      <c r="M459" s="19" t="n">
        <f aca="false">$M$453</f>
        <v>0</v>
      </c>
      <c r="Q459" s="19" t="n">
        <f aca="false">IF(N(E465)&gt;0,1,0)</f>
        <v>0</v>
      </c>
      <c r="S459" s="0" t="n">
        <v>33</v>
      </c>
    </row>
    <row r="460" customFormat="false" ht="15" hidden="false" customHeight="false" outlineLevel="0" collapsed="false">
      <c r="A460" s="22" t="n">
        <f aca="false">IF(33&lt;=NW,WEEK_ONE+229,"")</f>
        <v>46247</v>
      </c>
      <c r="B460" s="23" t="str">
        <f aca="false">IF(A460="","",CHOOSE(WEEKDAY(A460,1),"الأحد","الاثنين","الثلاثاء","الأربعاء","الخميس","الجمعة","السبت"))</f>
        <v>الخميس</v>
      </c>
      <c r="C460" s="24"/>
      <c r="D460" s="24"/>
      <c r="E460" s="25" t="str">
        <f aca="false">IF(OR(M460=0,K460="",L460=""),"",MOD(L460-K460,1))</f>
        <v/>
      </c>
      <c r="F460" s="26" t="str">
        <f aca="false">IF(OR(E460="",M460=0),"",IF(ROUND_MODE="للأعلى",CEILING(ROUND((E460*24*$N$453),3),0.25),ROUND((E460*24*$N$453)*4,0)/4))</f>
        <v/>
      </c>
      <c r="G460" s="24"/>
      <c r="H460" s="27"/>
      <c r="K460" s="28" t="str">
        <f aca="false">IF(OR(M460=0,C460=""),"",IF(ISNUMBER(C460),MOD(C460,1),IFERROR(INDEX(القوائم!$B$1:$B$288,MATCH(TRIM(C460),القوائم!$A$1:$A$288,0)),IFERROR(MOD(TIMEVALUE(C460),1),""))))</f>
        <v/>
      </c>
      <c r="L460" s="28" t="str">
        <f aca="false">IF(OR(M460=0,D460=""),"",IF(ISNUMBER(D460),MOD(D460,1),IFERROR(INDEX(القوائم!$B$1:$B$288,MATCH(TRIM(D460),القوائم!$A$1:$A$288,0)),IFERROR(MOD(TIMEVALUE(D460),1),""))))</f>
        <v/>
      </c>
      <c r="M460" s="19" t="n">
        <f aca="false">$M$453</f>
        <v>0</v>
      </c>
      <c r="Q460" s="19" t="n">
        <f aca="false">IF(N(E465)&gt;0,1,0)</f>
        <v>0</v>
      </c>
      <c r="S460" s="0" t="n">
        <v>33</v>
      </c>
    </row>
    <row r="461" customFormat="false" ht="15" hidden="false" customHeight="false" outlineLevel="0" collapsed="false">
      <c r="A461" s="29" t="n">
        <f aca="false">IF(33&lt;=NW,WEEK_ONE+230,"")</f>
        <v>46248</v>
      </c>
      <c r="B461" s="30" t="str">
        <f aca="false">IF(A461="","",CHOOSE(WEEKDAY(A461,1),"الأحد","الاثنين","الثلاثاء","الأربعاء","الخميس","الجمعة","السبت"))</f>
        <v>الجمعة</v>
      </c>
      <c r="C461" s="24"/>
      <c r="D461" s="24"/>
      <c r="E461" s="25" t="str">
        <f aca="false">IF(OR(M461=0,K461="",L461=""),"",MOD(L461-K461,1))</f>
        <v/>
      </c>
      <c r="F461" s="26" t="str">
        <f aca="false">IF(OR(E461="",M461=0),"",IF(ROUND_MODE="للأعلى",CEILING(ROUND((E461*24*$N$453),3),0.25),ROUND((E461*24*$N$453)*4,0)/4))</f>
        <v/>
      </c>
      <c r="G461" s="24"/>
      <c r="H461" s="27"/>
      <c r="K461" s="28" t="str">
        <f aca="false">IF(OR(M461=0,C461=""),"",IF(ISNUMBER(C461),MOD(C461,1),IFERROR(INDEX(القوائم!$B$1:$B$288,MATCH(TRIM(C461),القوائم!$A$1:$A$288,0)),IFERROR(MOD(TIMEVALUE(C461),1),""))))</f>
        <v/>
      </c>
      <c r="L461" s="28" t="str">
        <f aca="false">IF(OR(M461=0,D461=""),"",IF(ISNUMBER(D461),MOD(D461,1),IFERROR(INDEX(القوائم!$B$1:$B$288,MATCH(TRIM(D461),القوائم!$A$1:$A$288,0)),IFERROR(MOD(TIMEVALUE(D461),1),""))))</f>
        <v/>
      </c>
      <c r="M461" s="19" t="n">
        <f aca="false">$M$453</f>
        <v>0</v>
      </c>
      <c r="Q461" s="19" t="n">
        <f aca="false">IF(N(E465)&gt;0,1,0)</f>
        <v>0</v>
      </c>
      <c r="S461" s="0" t="n">
        <v>33</v>
      </c>
    </row>
    <row r="462" customFormat="false" ht="15" hidden="false" customHeight="false" outlineLevel="0" collapsed="false">
      <c r="A462" s="31" t="str">
        <f aca="false">IF(M453=1,"ساعات تحميل الجبسمبورد بهالأسبوع ←","")</f>
        <v/>
      </c>
      <c r="B462" s="31"/>
      <c r="C462" s="31"/>
      <c r="D462" s="31"/>
      <c r="E462" s="32"/>
      <c r="F462" s="33" t="str">
        <f aca="false">IF(M453=1,"كل ساعة تحميل = "&amp;TEXT($P$453,"0.000")&amp;" دينار (منها "&amp;TEXT($N$453,"0.000")&amp;" محسوبة أصلاً بساعات اليوم)","")</f>
        <v/>
      </c>
      <c r="G462" s="33"/>
      <c r="H462" s="33"/>
      <c r="M462" s="19" t="n">
        <f aca="false">$M$453</f>
        <v>0</v>
      </c>
      <c r="Q462" s="19" t="n">
        <f aca="false">IF(N(E465)&gt;0,1,0)</f>
        <v>0</v>
      </c>
      <c r="S462" s="0" t="n">
        <v>33</v>
      </c>
    </row>
    <row r="463" customFormat="false" ht="15" hidden="false" customHeight="false" outlineLevel="0" collapsed="false">
      <c r="A463" s="31" t="str">
        <f aca="false">IF(M453=1,"إكرامية الأسبوع (دينار) ←","")</f>
        <v/>
      </c>
      <c r="B463" s="31"/>
      <c r="C463" s="31"/>
      <c r="D463" s="31"/>
      <c r="E463" s="34"/>
      <c r="F463" s="35"/>
      <c r="G463" s="35"/>
      <c r="H463" s="35"/>
      <c r="M463" s="19" t="n">
        <f aca="false">$M$453</f>
        <v>0</v>
      </c>
      <c r="Q463" s="19" t="n">
        <f aca="false">IF(N(E465)&gt;0,1,0)</f>
        <v>0</v>
      </c>
      <c r="S463" s="0" t="n">
        <v>33</v>
      </c>
    </row>
    <row r="464" customFormat="false" ht="36" hidden="false" customHeight="true" outlineLevel="0" collapsed="false">
      <c r="A464" s="36" t="str">
        <f aca="false">IF(M453=1,"المستحق النهائي للأسبوع","")</f>
        <v/>
      </c>
      <c r="B464" s="36"/>
      <c r="C464" s="36"/>
      <c r="D464" s="36"/>
      <c r="E464" s="36"/>
      <c r="F464" s="11" t="str">
        <f aca="false">IF(M453=1,ROUND(N($V$453)+N(E462)*($P$453-$N$453)+N(E463),3),"")</f>
        <v/>
      </c>
      <c r="G464" s="35"/>
      <c r="H464" s="35"/>
      <c r="M464" s="19" t="n">
        <f aca="false">$M$453</f>
        <v>0</v>
      </c>
      <c r="Q464" s="19" t="n">
        <f aca="false">IF(N(E465)&gt;0,1,0)</f>
        <v>0</v>
      </c>
      <c r="S464" s="0" t="n">
        <v>33</v>
      </c>
      <c r="T464" s="0" t="n">
        <v>1</v>
      </c>
    </row>
    <row r="465" customFormat="false" ht="25.5" hidden="false" customHeight="true" outlineLevel="0" collapsed="false">
      <c r="A465" s="31" t="str">
        <f aca="false">IF(M453=1,"المدفوع (دينار) ←","")</f>
        <v/>
      </c>
      <c r="B465" s="31"/>
      <c r="C465" s="31"/>
      <c r="D465" s="31"/>
      <c r="E465" s="34"/>
      <c r="F465" s="38" t="str">
        <f aca="false">IF(M453=1,IF(N(E465)&gt;0,"✔ انقبض — الأسبوع مقفول","⏳ لسا ما انقبض"),"")</f>
        <v/>
      </c>
      <c r="G465" s="38"/>
      <c r="H465" s="38"/>
      <c r="M465" s="19" t="n">
        <f aca="false">$M$453</f>
        <v>0</v>
      </c>
      <c r="Q465" s="19" t="n">
        <f aca="false">IF(N(E465)&gt;0,1,0)</f>
        <v>0</v>
      </c>
      <c r="S465" s="0" t="n">
        <v>33</v>
      </c>
    </row>
    <row r="466" customFormat="false" ht="9.75" hidden="false" customHeight="true" outlineLevel="0" collapsed="false">
      <c r="M466" s="19" t="n">
        <f aca="false">$M$453</f>
        <v>0</v>
      </c>
      <c r="Q466" s="19" t="n">
        <f aca="false">IF(N(E465)&gt;0,1,0)</f>
        <v>0</v>
      </c>
      <c r="S466" s="0" t="n">
        <v>33</v>
      </c>
      <c r="T466" s="0" t="n">
        <v>2</v>
      </c>
    </row>
    <row r="467" customFormat="false" ht="33.75" hidden="false" customHeight="true" outlineLevel="0" collapsed="false">
      <c r="A467" s="17" t="str">
        <f aca="false">IF(34&lt;=NW,TEXT(DAY(WEEK_ONE+231),"00")&amp;"/"&amp;TEXT(MONTH(WEEK_ONE+231),"00")&amp;"/"&amp;YEAR(WEEK_ONE+231)&amp;"  -  "&amp;TEXT(DAY(WEEK_ONE+237),"00")&amp;"/"&amp;TEXT(MONTH(WEEK_ONE+237),"00")&amp;"/"&amp;YEAR(WEEK_ONE+237)&amp;"   ·   الأسبوع 34"&amp;IF(34&lt;START_Z,"   (قبل أسبوع البداية — ما بينحسب)",""),"ما في أسبوع 34 هالسنة")</f>
        <v>15/08/2026  -  21/08/2026   ·   الأسبوع 34   (قبل أسبوع البداية — ما بينحسب)</v>
      </c>
      <c r="B467" s="17"/>
      <c r="C467" s="17"/>
      <c r="D467" s="17"/>
      <c r="E467" s="17"/>
      <c r="F467" s="17"/>
      <c r="G467" s="17"/>
      <c r="H467" s="17"/>
      <c r="L467" s="18" t="n">
        <f aca="false">IF(34&lt;=NW,WEEK_ONE+237,"")</f>
        <v>46255</v>
      </c>
      <c r="M467" s="19" t="n">
        <f aca="false">IF(AND(34&lt;=NW,34&gt;=START_Z),1,0)</f>
        <v>0</v>
      </c>
      <c r="N467" s="20" t="n">
        <f aca="false">IFERROR(INDEX(RT_AZZ,MATCH(L467,RT_K,1)),INDEX(RT_AZZ,1))</f>
        <v>1</v>
      </c>
      <c r="P467" s="20" t="n">
        <f aca="false">IFERROR(INDEX(RT_GYP,MATCH(L467,RT_K,1)),INDEX(RT_GYP,1))</f>
        <v>2.5</v>
      </c>
      <c r="Q467" s="19" t="n">
        <f aca="false">IF(N(E479)&gt;0,1,0)</f>
        <v>0</v>
      </c>
      <c r="R467" s="0" t="n">
        <v>34</v>
      </c>
      <c r="S467" s="0" t="n">
        <v>34</v>
      </c>
      <c r="U467" s="19" t="n">
        <f aca="false">IF(M467=1,SUM(E469:E475),0)</f>
        <v>0</v>
      </c>
      <c r="V467" s="19" t="n">
        <f aca="false">SUM(F469:F475)</f>
        <v>0</v>
      </c>
      <c r="W467" s="19" t="n">
        <f aca="false">IF(M467=1,SUMIFS(F469:F475,G469:G475,"نعم"),0)</f>
        <v>0</v>
      </c>
    </row>
    <row r="468" customFormat="false" ht="39.75" hidden="false" customHeight="true" outlineLevel="0" collapsed="false">
      <c r="A468" s="21" t="s">
        <v>18</v>
      </c>
      <c r="B468" s="21" t="s">
        <v>19</v>
      </c>
      <c r="C468" s="21" t="s">
        <v>20</v>
      </c>
      <c r="D468" s="21" t="s">
        <v>21</v>
      </c>
      <c r="E468" s="21" t="s">
        <v>22</v>
      </c>
      <c r="F468" s="21" t="s">
        <v>29</v>
      </c>
      <c r="G468" s="21" t="s">
        <v>30</v>
      </c>
      <c r="H468" s="21" t="s">
        <v>26</v>
      </c>
      <c r="M468" s="19" t="n">
        <f aca="false">$M$467</f>
        <v>0</v>
      </c>
      <c r="Q468" s="19" t="n">
        <f aca="false">IF(N(E479)&gt;0,1,0)</f>
        <v>0</v>
      </c>
      <c r="S468" s="0" t="n">
        <v>34</v>
      </c>
    </row>
    <row r="469" customFormat="false" ht="15" hidden="false" customHeight="false" outlineLevel="0" collapsed="false">
      <c r="A469" s="22" t="n">
        <f aca="false">IF(34&lt;=NW,WEEK_ONE+231,"")</f>
        <v>46249</v>
      </c>
      <c r="B469" s="23" t="str">
        <f aca="false">IF(A469="","",CHOOSE(WEEKDAY(A469,1),"الأحد","الاثنين","الثلاثاء","الأربعاء","الخميس","الجمعة","السبت"))</f>
        <v>السبت</v>
      </c>
      <c r="C469" s="24"/>
      <c r="D469" s="24"/>
      <c r="E469" s="25" t="str">
        <f aca="false">IF(OR(M469=0,K469="",L469=""),"",MOD(L469-K469,1))</f>
        <v/>
      </c>
      <c r="F469" s="26" t="str">
        <f aca="false">IF(OR(E469="",M469=0),"",IF(ROUND_MODE="للأعلى",CEILING(ROUND((E469*24*$N$467),3),0.25),ROUND((E469*24*$N$467)*4,0)/4))</f>
        <v/>
      </c>
      <c r="G469" s="24"/>
      <c r="H469" s="27"/>
      <c r="K469" s="28" t="str">
        <f aca="false">IF(OR(M469=0,C469=""),"",IF(ISNUMBER(C469),MOD(C469,1),IFERROR(INDEX(القوائم!$B$1:$B$288,MATCH(TRIM(C469),القوائم!$A$1:$A$288,0)),IFERROR(MOD(TIMEVALUE(C469),1),""))))</f>
        <v/>
      </c>
      <c r="L469" s="28" t="str">
        <f aca="false">IF(OR(M469=0,D469=""),"",IF(ISNUMBER(D469),MOD(D469,1),IFERROR(INDEX(القوائم!$B$1:$B$288,MATCH(TRIM(D469),القوائم!$A$1:$A$288,0)),IFERROR(MOD(TIMEVALUE(D469),1),""))))</f>
        <v/>
      </c>
      <c r="M469" s="19" t="n">
        <f aca="false">$M$467</f>
        <v>0</v>
      </c>
      <c r="Q469" s="19" t="n">
        <f aca="false">IF(N(E479)&gt;0,1,0)</f>
        <v>0</v>
      </c>
      <c r="S469" s="0" t="n">
        <v>34</v>
      </c>
    </row>
    <row r="470" customFormat="false" ht="15" hidden="false" customHeight="false" outlineLevel="0" collapsed="false">
      <c r="A470" s="22" t="n">
        <f aca="false">IF(34&lt;=NW,WEEK_ONE+232,"")</f>
        <v>46250</v>
      </c>
      <c r="B470" s="23" t="str">
        <f aca="false">IF(A470="","",CHOOSE(WEEKDAY(A470,1),"الأحد","الاثنين","الثلاثاء","الأربعاء","الخميس","الجمعة","السبت"))</f>
        <v>الأحد</v>
      </c>
      <c r="C470" s="24"/>
      <c r="D470" s="24"/>
      <c r="E470" s="25" t="str">
        <f aca="false">IF(OR(M470=0,K470="",L470=""),"",MOD(L470-K470,1))</f>
        <v/>
      </c>
      <c r="F470" s="26" t="str">
        <f aca="false">IF(OR(E470="",M470=0),"",IF(ROUND_MODE="للأعلى",CEILING(ROUND((E470*24*$N$467),3),0.25),ROUND((E470*24*$N$467)*4,0)/4))</f>
        <v/>
      </c>
      <c r="G470" s="24"/>
      <c r="H470" s="27"/>
      <c r="K470" s="28" t="str">
        <f aca="false">IF(OR(M470=0,C470=""),"",IF(ISNUMBER(C470),MOD(C470,1),IFERROR(INDEX(القوائم!$B$1:$B$288,MATCH(TRIM(C470),القوائم!$A$1:$A$288,0)),IFERROR(MOD(TIMEVALUE(C470),1),""))))</f>
        <v/>
      </c>
      <c r="L470" s="28" t="str">
        <f aca="false">IF(OR(M470=0,D470=""),"",IF(ISNUMBER(D470),MOD(D470,1),IFERROR(INDEX(القوائم!$B$1:$B$288,MATCH(TRIM(D470),القوائم!$A$1:$A$288,0)),IFERROR(MOD(TIMEVALUE(D470),1),""))))</f>
        <v/>
      </c>
      <c r="M470" s="19" t="n">
        <f aca="false">$M$467</f>
        <v>0</v>
      </c>
      <c r="Q470" s="19" t="n">
        <f aca="false">IF(N(E479)&gt;0,1,0)</f>
        <v>0</v>
      </c>
      <c r="S470" s="0" t="n">
        <v>34</v>
      </c>
    </row>
    <row r="471" customFormat="false" ht="15" hidden="false" customHeight="false" outlineLevel="0" collapsed="false">
      <c r="A471" s="22" t="n">
        <f aca="false">IF(34&lt;=NW,WEEK_ONE+233,"")</f>
        <v>46251</v>
      </c>
      <c r="B471" s="23" t="str">
        <f aca="false">IF(A471="","",CHOOSE(WEEKDAY(A471,1),"الأحد","الاثنين","الثلاثاء","الأربعاء","الخميس","الجمعة","السبت"))</f>
        <v>الاثنين</v>
      </c>
      <c r="C471" s="24"/>
      <c r="D471" s="24"/>
      <c r="E471" s="25" t="str">
        <f aca="false">IF(OR(M471=0,K471="",L471=""),"",MOD(L471-K471,1))</f>
        <v/>
      </c>
      <c r="F471" s="26" t="str">
        <f aca="false">IF(OR(E471="",M471=0),"",IF(ROUND_MODE="للأعلى",CEILING(ROUND((E471*24*$N$467),3),0.25),ROUND((E471*24*$N$467)*4,0)/4))</f>
        <v/>
      </c>
      <c r="G471" s="24"/>
      <c r="H471" s="27"/>
      <c r="K471" s="28" t="str">
        <f aca="false">IF(OR(M471=0,C471=""),"",IF(ISNUMBER(C471),MOD(C471,1),IFERROR(INDEX(القوائم!$B$1:$B$288,MATCH(TRIM(C471),القوائم!$A$1:$A$288,0)),IFERROR(MOD(TIMEVALUE(C471),1),""))))</f>
        <v/>
      </c>
      <c r="L471" s="28" t="str">
        <f aca="false">IF(OR(M471=0,D471=""),"",IF(ISNUMBER(D471),MOD(D471,1),IFERROR(INDEX(القوائم!$B$1:$B$288,MATCH(TRIM(D471),القوائم!$A$1:$A$288,0)),IFERROR(MOD(TIMEVALUE(D471),1),""))))</f>
        <v/>
      </c>
      <c r="M471" s="19" t="n">
        <f aca="false">$M$467</f>
        <v>0</v>
      </c>
      <c r="Q471" s="19" t="n">
        <f aca="false">IF(N(E479)&gt;0,1,0)</f>
        <v>0</v>
      </c>
      <c r="S471" s="0" t="n">
        <v>34</v>
      </c>
    </row>
    <row r="472" customFormat="false" ht="15" hidden="false" customHeight="false" outlineLevel="0" collapsed="false">
      <c r="A472" s="22" t="n">
        <f aca="false">IF(34&lt;=NW,WEEK_ONE+234,"")</f>
        <v>46252</v>
      </c>
      <c r="B472" s="23" t="str">
        <f aca="false">IF(A472="","",CHOOSE(WEEKDAY(A472,1),"الأحد","الاثنين","الثلاثاء","الأربعاء","الخميس","الجمعة","السبت"))</f>
        <v>الثلاثاء</v>
      </c>
      <c r="C472" s="24"/>
      <c r="D472" s="24"/>
      <c r="E472" s="25" t="str">
        <f aca="false">IF(OR(M472=0,K472="",L472=""),"",MOD(L472-K472,1))</f>
        <v/>
      </c>
      <c r="F472" s="26" t="str">
        <f aca="false">IF(OR(E472="",M472=0),"",IF(ROUND_MODE="للأعلى",CEILING(ROUND((E472*24*$N$467),3),0.25),ROUND((E472*24*$N$467)*4,0)/4))</f>
        <v/>
      </c>
      <c r="G472" s="24"/>
      <c r="H472" s="27"/>
      <c r="K472" s="28" t="str">
        <f aca="false">IF(OR(M472=0,C472=""),"",IF(ISNUMBER(C472),MOD(C472,1),IFERROR(INDEX(القوائم!$B$1:$B$288,MATCH(TRIM(C472),القوائم!$A$1:$A$288,0)),IFERROR(MOD(TIMEVALUE(C472),1),""))))</f>
        <v/>
      </c>
      <c r="L472" s="28" t="str">
        <f aca="false">IF(OR(M472=0,D472=""),"",IF(ISNUMBER(D472),MOD(D472,1),IFERROR(INDEX(القوائم!$B$1:$B$288,MATCH(TRIM(D472),القوائم!$A$1:$A$288,0)),IFERROR(MOD(TIMEVALUE(D472),1),""))))</f>
        <v/>
      </c>
      <c r="M472" s="19" t="n">
        <f aca="false">$M$467</f>
        <v>0</v>
      </c>
      <c r="Q472" s="19" t="n">
        <f aca="false">IF(N(E479)&gt;0,1,0)</f>
        <v>0</v>
      </c>
      <c r="S472" s="0" t="n">
        <v>34</v>
      </c>
    </row>
    <row r="473" customFormat="false" ht="15" hidden="false" customHeight="false" outlineLevel="0" collapsed="false">
      <c r="A473" s="22" t="n">
        <f aca="false">IF(34&lt;=NW,WEEK_ONE+235,"")</f>
        <v>46253</v>
      </c>
      <c r="B473" s="23" t="str">
        <f aca="false">IF(A473="","",CHOOSE(WEEKDAY(A473,1),"الأحد","الاثنين","الثلاثاء","الأربعاء","الخميس","الجمعة","السبت"))</f>
        <v>الأربعاء</v>
      </c>
      <c r="C473" s="24"/>
      <c r="D473" s="24"/>
      <c r="E473" s="25" t="str">
        <f aca="false">IF(OR(M473=0,K473="",L473=""),"",MOD(L473-K473,1))</f>
        <v/>
      </c>
      <c r="F473" s="26" t="str">
        <f aca="false">IF(OR(E473="",M473=0),"",IF(ROUND_MODE="للأعلى",CEILING(ROUND((E473*24*$N$467),3),0.25),ROUND((E473*24*$N$467)*4,0)/4))</f>
        <v/>
      </c>
      <c r="G473" s="24"/>
      <c r="H473" s="27"/>
      <c r="K473" s="28" t="str">
        <f aca="false">IF(OR(M473=0,C473=""),"",IF(ISNUMBER(C473),MOD(C473,1),IFERROR(INDEX(القوائم!$B$1:$B$288,MATCH(TRIM(C473),القوائم!$A$1:$A$288,0)),IFERROR(MOD(TIMEVALUE(C473),1),""))))</f>
        <v/>
      </c>
      <c r="L473" s="28" t="str">
        <f aca="false">IF(OR(M473=0,D473=""),"",IF(ISNUMBER(D473),MOD(D473,1),IFERROR(INDEX(القوائم!$B$1:$B$288,MATCH(TRIM(D473),القوائم!$A$1:$A$288,0)),IFERROR(MOD(TIMEVALUE(D473),1),""))))</f>
        <v/>
      </c>
      <c r="M473" s="19" t="n">
        <f aca="false">$M$467</f>
        <v>0</v>
      </c>
      <c r="Q473" s="19" t="n">
        <f aca="false">IF(N(E479)&gt;0,1,0)</f>
        <v>0</v>
      </c>
      <c r="S473" s="0" t="n">
        <v>34</v>
      </c>
    </row>
    <row r="474" customFormat="false" ht="15" hidden="false" customHeight="false" outlineLevel="0" collapsed="false">
      <c r="A474" s="22" t="n">
        <f aca="false">IF(34&lt;=NW,WEEK_ONE+236,"")</f>
        <v>46254</v>
      </c>
      <c r="B474" s="23" t="str">
        <f aca="false">IF(A474="","",CHOOSE(WEEKDAY(A474,1),"الأحد","الاثنين","الثلاثاء","الأربعاء","الخميس","الجمعة","السبت"))</f>
        <v>الخميس</v>
      </c>
      <c r="C474" s="24"/>
      <c r="D474" s="24"/>
      <c r="E474" s="25" t="str">
        <f aca="false">IF(OR(M474=0,K474="",L474=""),"",MOD(L474-K474,1))</f>
        <v/>
      </c>
      <c r="F474" s="26" t="str">
        <f aca="false">IF(OR(E474="",M474=0),"",IF(ROUND_MODE="للأعلى",CEILING(ROUND((E474*24*$N$467),3),0.25),ROUND((E474*24*$N$467)*4,0)/4))</f>
        <v/>
      </c>
      <c r="G474" s="24"/>
      <c r="H474" s="27"/>
      <c r="K474" s="28" t="str">
        <f aca="false">IF(OR(M474=0,C474=""),"",IF(ISNUMBER(C474),MOD(C474,1),IFERROR(INDEX(القوائم!$B$1:$B$288,MATCH(TRIM(C474),القوائم!$A$1:$A$288,0)),IFERROR(MOD(TIMEVALUE(C474),1),""))))</f>
        <v/>
      </c>
      <c r="L474" s="28" t="str">
        <f aca="false">IF(OR(M474=0,D474=""),"",IF(ISNUMBER(D474),MOD(D474,1),IFERROR(INDEX(القوائم!$B$1:$B$288,MATCH(TRIM(D474),القوائم!$A$1:$A$288,0)),IFERROR(MOD(TIMEVALUE(D474),1),""))))</f>
        <v/>
      </c>
      <c r="M474" s="19" t="n">
        <f aca="false">$M$467</f>
        <v>0</v>
      </c>
      <c r="Q474" s="19" t="n">
        <f aca="false">IF(N(E479)&gt;0,1,0)</f>
        <v>0</v>
      </c>
      <c r="S474" s="0" t="n">
        <v>34</v>
      </c>
    </row>
    <row r="475" customFormat="false" ht="15" hidden="false" customHeight="false" outlineLevel="0" collapsed="false">
      <c r="A475" s="29" t="n">
        <f aca="false">IF(34&lt;=NW,WEEK_ONE+237,"")</f>
        <v>46255</v>
      </c>
      <c r="B475" s="30" t="str">
        <f aca="false">IF(A475="","",CHOOSE(WEEKDAY(A475,1),"الأحد","الاثنين","الثلاثاء","الأربعاء","الخميس","الجمعة","السبت"))</f>
        <v>الجمعة</v>
      </c>
      <c r="C475" s="24"/>
      <c r="D475" s="24"/>
      <c r="E475" s="25" t="str">
        <f aca="false">IF(OR(M475=0,K475="",L475=""),"",MOD(L475-K475,1))</f>
        <v/>
      </c>
      <c r="F475" s="26" t="str">
        <f aca="false">IF(OR(E475="",M475=0),"",IF(ROUND_MODE="للأعلى",CEILING(ROUND((E475*24*$N$467),3),0.25),ROUND((E475*24*$N$467)*4,0)/4))</f>
        <v/>
      </c>
      <c r="G475" s="24"/>
      <c r="H475" s="27"/>
      <c r="K475" s="28" t="str">
        <f aca="false">IF(OR(M475=0,C475=""),"",IF(ISNUMBER(C475),MOD(C475,1),IFERROR(INDEX(القوائم!$B$1:$B$288,MATCH(TRIM(C475),القوائم!$A$1:$A$288,0)),IFERROR(MOD(TIMEVALUE(C475),1),""))))</f>
        <v/>
      </c>
      <c r="L475" s="28" t="str">
        <f aca="false">IF(OR(M475=0,D475=""),"",IF(ISNUMBER(D475),MOD(D475,1),IFERROR(INDEX(القوائم!$B$1:$B$288,MATCH(TRIM(D475),القوائم!$A$1:$A$288,0)),IFERROR(MOD(TIMEVALUE(D475),1),""))))</f>
        <v/>
      </c>
      <c r="M475" s="19" t="n">
        <f aca="false">$M$467</f>
        <v>0</v>
      </c>
      <c r="Q475" s="19" t="n">
        <f aca="false">IF(N(E479)&gt;0,1,0)</f>
        <v>0</v>
      </c>
      <c r="S475" s="0" t="n">
        <v>34</v>
      </c>
    </row>
    <row r="476" customFormat="false" ht="15" hidden="false" customHeight="false" outlineLevel="0" collapsed="false">
      <c r="A476" s="31" t="str">
        <f aca="false">IF(M467=1,"ساعات تحميل الجبسمبورد بهالأسبوع ←","")</f>
        <v/>
      </c>
      <c r="B476" s="31"/>
      <c r="C476" s="31"/>
      <c r="D476" s="31"/>
      <c r="E476" s="32"/>
      <c r="F476" s="33" t="str">
        <f aca="false">IF(M467=1,"كل ساعة تحميل = "&amp;TEXT($P$467,"0.000")&amp;" دينار (منها "&amp;TEXT($N$467,"0.000")&amp;" محسوبة أصلاً بساعات اليوم)","")</f>
        <v/>
      </c>
      <c r="G476" s="33"/>
      <c r="H476" s="33"/>
      <c r="M476" s="19" t="n">
        <f aca="false">$M$467</f>
        <v>0</v>
      </c>
      <c r="Q476" s="19" t="n">
        <f aca="false">IF(N(E479)&gt;0,1,0)</f>
        <v>0</v>
      </c>
      <c r="S476" s="0" t="n">
        <v>34</v>
      </c>
    </row>
    <row r="477" customFormat="false" ht="15" hidden="false" customHeight="false" outlineLevel="0" collapsed="false">
      <c r="A477" s="31" t="str">
        <f aca="false">IF(M467=1,"إكرامية الأسبوع (دينار) ←","")</f>
        <v/>
      </c>
      <c r="B477" s="31"/>
      <c r="C477" s="31"/>
      <c r="D477" s="31"/>
      <c r="E477" s="34"/>
      <c r="F477" s="35"/>
      <c r="G477" s="35"/>
      <c r="H477" s="35"/>
      <c r="M477" s="19" t="n">
        <f aca="false">$M$467</f>
        <v>0</v>
      </c>
      <c r="Q477" s="19" t="n">
        <f aca="false">IF(N(E479)&gt;0,1,0)</f>
        <v>0</v>
      </c>
      <c r="S477" s="0" t="n">
        <v>34</v>
      </c>
    </row>
    <row r="478" customFormat="false" ht="36" hidden="false" customHeight="true" outlineLevel="0" collapsed="false">
      <c r="A478" s="36" t="str">
        <f aca="false">IF(M467=1,"المستحق النهائي للأسبوع","")</f>
        <v/>
      </c>
      <c r="B478" s="36"/>
      <c r="C478" s="36"/>
      <c r="D478" s="36"/>
      <c r="E478" s="36"/>
      <c r="F478" s="11" t="str">
        <f aca="false">IF(M467=1,ROUND(N($V$467)+N(E476)*($P$467-$N$467)+N(E477),3),"")</f>
        <v/>
      </c>
      <c r="G478" s="35"/>
      <c r="H478" s="35"/>
      <c r="M478" s="19" t="n">
        <f aca="false">$M$467</f>
        <v>0</v>
      </c>
      <c r="Q478" s="19" t="n">
        <f aca="false">IF(N(E479)&gt;0,1,0)</f>
        <v>0</v>
      </c>
      <c r="S478" s="0" t="n">
        <v>34</v>
      </c>
      <c r="T478" s="0" t="n">
        <v>1</v>
      </c>
    </row>
    <row r="479" customFormat="false" ht="25.5" hidden="false" customHeight="true" outlineLevel="0" collapsed="false">
      <c r="A479" s="31" t="str">
        <f aca="false">IF(M467=1,"المدفوع (دينار) ←","")</f>
        <v/>
      </c>
      <c r="B479" s="31"/>
      <c r="C479" s="31"/>
      <c r="D479" s="31"/>
      <c r="E479" s="34"/>
      <c r="F479" s="38" t="str">
        <f aca="false">IF(M467=1,IF(N(E479)&gt;0,"✔ انقبض — الأسبوع مقفول","⏳ لسا ما انقبض"),"")</f>
        <v/>
      </c>
      <c r="G479" s="38"/>
      <c r="H479" s="38"/>
      <c r="M479" s="19" t="n">
        <f aca="false">$M$467</f>
        <v>0</v>
      </c>
      <c r="Q479" s="19" t="n">
        <f aca="false">IF(N(E479)&gt;0,1,0)</f>
        <v>0</v>
      </c>
      <c r="S479" s="0" t="n">
        <v>34</v>
      </c>
    </row>
    <row r="480" customFormat="false" ht="9.75" hidden="false" customHeight="true" outlineLevel="0" collapsed="false">
      <c r="M480" s="19" t="n">
        <f aca="false">$M$467</f>
        <v>0</v>
      </c>
      <c r="Q480" s="19" t="n">
        <f aca="false">IF(N(E479)&gt;0,1,0)</f>
        <v>0</v>
      </c>
      <c r="S480" s="0" t="n">
        <v>34</v>
      </c>
      <c r="T480" s="0" t="n">
        <v>2</v>
      </c>
    </row>
    <row r="481" customFormat="false" ht="33.75" hidden="false" customHeight="true" outlineLevel="0" collapsed="false">
      <c r="A481" s="17" t="str">
        <f aca="false">IF(35&lt;=NW,TEXT(DAY(WEEK_ONE+238),"00")&amp;"/"&amp;TEXT(MONTH(WEEK_ONE+238),"00")&amp;"/"&amp;YEAR(WEEK_ONE+238)&amp;"  -  "&amp;TEXT(DAY(WEEK_ONE+244),"00")&amp;"/"&amp;TEXT(MONTH(WEEK_ONE+244),"00")&amp;"/"&amp;YEAR(WEEK_ONE+244)&amp;"   ·   الأسبوع 35"&amp;IF(35&lt;START_Z,"   (قبل أسبوع البداية — ما بينحسب)",""),"ما في أسبوع 35 هالسنة")</f>
        <v>22/08/2026  -  28/08/2026   ·   الأسبوع 35   (قبل أسبوع البداية — ما بينحسب)</v>
      </c>
      <c r="B481" s="17"/>
      <c r="C481" s="17"/>
      <c r="D481" s="17"/>
      <c r="E481" s="17"/>
      <c r="F481" s="17"/>
      <c r="G481" s="17"/>
      <c r="H481" s="17"/>
      <c r="L481" s="18" t="n">
        <f aca="false">IF(35&lt;=NW,WEEK_ONE+244,"")</f>
        <v>46262</v>
      </c>
      <c r="M481" s="19" t="n">
        <f aca="false">IF(AND(35&lt;=NW,35&gt;=START_Z),1,0)</f>
        <v>0</v>
      </c>
      <c r="N481" s="20" t="n">
        <f aca="false">IFERROR(INDEX(RT_AZZ,MATCH(L481,RT_K,1)),INDEX(RT_AZZ,1))</f>
        <v>1</v>
      </c>
      <c r="P481" s="20" t="n">
        <f aca="false">IFERROR(INDEX(RT_GYP,MATCH(L481,RT_K,1)),INDEX(RT_GYP,1))</f>
        <v>2.5</v>
      </c>
      <c r="Q481" s="19" t="n">
        <f aca="false">IF(N(E493)&gt;0,1,0)</f>
        <v>0</v>
      </c>
      <c r="R481" s="0" t="n">
        <v>35</v>
      </c>
      <c r="S481" s="0" t="n">
        <v>35</v>
      </c>
      <c r="U481" s="19" t="n">
        <f aca="false">IF(M481=1,SUM(E483:E489),0)</f>
        <v>0</v>
      </c>
      <c r="V481" s="19" t="n">
        <f aca="false">SUM(F483:F489)</f>
        <v>0</v>
      </c>
      <c r="W481" s="19" t="n">
        <f aca="false">IF(M481=1,SUMIFS(F483:F489,G483:G489,"نعم"),0)</f>
        <v>0</v>
      </c>
    </row>
    <row r="482" customFormat="false" ht="39.75" hidden="false" customHeight="true" outlineLevel="0" collapsed="false">
      <c r="A482" s="21" t="s">
        <v>18</v>
      </c>
      <c r="B482" s="21" t="s">
        <v>19</v>
      </c>
      <c r="C482" s="21" t="s">
        <v>20</v>
      </c>
      <c r="D482" s="21" t="s">
        <v>21</v>
      </c>
      <c r="E482" s="21" t="s">
        <v>22</v>
      </c>
      <c r="F482" s="21" t="s">
        <v>29</v>
      </c>
      <c r="G482" s="21" t="s">
        <v>30</v>
      </c>
      <c r="H482" s="21" t="s">
        <v>26</v>
      </c>
      <c r="M482" s="19" t="n">
        <f aca="false">$M$481</f>
        <v>0</v>
      </c>
      <c r="Q482" s="19" t="n">
        <f aca="false">IF(N(E493)&gt;0,1,0)</f>
        <v>0</v>
      </c>
      <c r="S482" s="0" t="n">
        <v>35</v>
      </c>
    </row>
    <row r="483" customFormat="false" ht="15" hidden="false" customHeight="false" outlineLevel="0" collapsed="false">
      <c r="A483" s="22" t="n">
        <f aca="false">IF(35&lt;=NW,WEEK_ONE+238,"")</f>
        <v>46256</v>
      </c>
      <c r="B483" s="23" t="str">
        <f aca="false">IF(A483="","",CHOOSE(WEEKDAY(A483,1),"الأحد","الاثنين","الثلاثاء","الأربعاء","الخميس","الجمعة","السبت"))</f>
        <v>السبت</v>
      </c>
      <c r="C483" s="24"/>
      <c r="D483" s="24"/>
      <c r="E483" s="25" t="str">
        <f aca="false">IF(OR(M483=0,K483="",L483=""),"",MOD(L483-K483,1))</f>
        <v/>
      </c>
      <c r="F483" s="26" t="str">
        <f aca="false">IF(OR(E483="",M483=0),"",IF(ROUND_MODE="للأعلى",CEILING(ROUND((E483*24*$N$481),3),0.25),ROUND((E483*24*$N$481)*4,0)/4))</f>
        <v/>
      </c>
      <c r="G483" s="24"/>
      <c r="H483" s="27"/>
      <c r="K483" s="28" t="str">
        <f aca="false">IF(OR(M483=0,C483=""),"",IF(ISNUMBER(C483),MOD(C483,1),IFERROR(INDEX(القوائم!$B$1:$B$288,MATCH(TRIM(C483),القوائم!$A$1:$A$288,0)),IFERROR(MOD(TIMEVALUE(C483),1),""))))</f>
        <v/>
      </c>
      <c r="L483" s="28" t="str">
        <f aca="false">IF(OR(M483=0,D483=""),"",IF(ISNUMBER(D483),MOD(D483,1),IFERROR(INDEX(القوائم!$B$1:$B$288,MATCH(TRIM(D483),القوائم!$A$1:$A$288,0)),IFERROR(MOD(TIMEVALUE(D483),1),""))))</f>
        <v/>
      </c>
      <c r="M483" s="19" t="n">
        <f aca="false">$M$481</f>
        <v>0</v>
      </c>
      <c r="Q483" s="19" t="n">
        <f aca="false">IF(N(E493)&gt;0,1,0)</f>
        <v>0</v>
      </c>
      <c r="S483" s="0" t="n">
        <v>35</v>
      </c>
    </row>
    <row r="484" customFormat="false" ht="15" hidden="false" customHeight="false" outlineLevel="0" collapsed="false">
      <c r="A484" s="22" t="n">
        <f aca="false">IF(35&lt;=NW,WEEK_ONE+239,"")</f>
        <v>46257</v>
      </c>
      <c r="B484" s="23" t="str">
        <f aca="false">IF(A484="","",CHOOSE(WEEKDAY(A484,1),"الأحد","الاثنين","الثلاثاء","الأربعاء","الخميس","الجمعة","السبت"))</f>
        <v>الأحد</v>
      </c>
      <c r="C484" s="24"/>
      <c r="D484" s="24"/>
      <c r="E484" s="25" t="str">
        <f aca="false">IF(OR(M484=0,K484="",L484=""),"",MOD(L484-K484,1))</f>
        <v/>
      </c>
      <c r="F484" s="26" t="str">
        <f aca="false">IF(OR(E484="",M484=0),"",IF(ROUND_MODE="للأعلى",CEILING(ROUND((E484*24*$N$481),3),0.25),ROUND((E484*24*$N$481)*4,0)/4))</f>
        <v/>
      </c>
      <c r="G484" s="24"/>
      <c r="H484" s="27"/>
      <c r="K484" s="28" t="str">
        <f aca="false">IF(OR(M484=0,C484=""),"",IF(ISNUMBER(C484),MOD(C484,1),IFERROR(INDEX(القوائم!$B$1:$B$288,MATCH(TRIM(C484),القوائم!$A$1:$A$288,0)),IFERROR(MOD(TIMEVALUE(C484),1),""))))</f>
        <v/>
      </c>
      <c r="L484" s="28" t="str">
        <f aca="false">IF(OR(M484=0,D484=""),"",IF(ISNUMBER(D484),MOD(D484,1),IFERROR(INDEX(القوائم!$B$1:$B$288,MATCH(TRIM(D484),القوائم!$A$1:$A$288,0)),IFERROR(MOD(TIMEVALUE(D484),1),""))))</f>
        <v/>
      </c>
      <c r="M484" s="19" t="n">
        <f aca="false">$M$481</f>
        <v>0</v>
      </c>
      <c r="Q484" s="19" t="n">
        <f aca="false">IF(N(E493)&gt;0,1,0)</f>
        <v>0</v>
      </c>
      <c r="S484" s="0" t="n">
        <v>35</v>
      </c>
    </row>
    <row r="485" customFormat="false" ht="15" hidden="false" customHeight="false" outlineLevel="0" collapsed="false">
      <c r="A485" s="22" t="n">
        <f aca="false">IF(35&lt;=NW,WEEK_ONE+240,"")</f>
        <v>46258</v>
      </c>
      <c r="B485" s="23" t="str">
        <f aca="false">IF(A485="","",CHOOSE(WEEKDAY(A485,1),"الأحد","الاثنين","الثلاثاء","الأربعاء","الخميس","الجمعة","السبت"))</f>
        <v>الاثنين</v>
      </c>
      <c r="C485" s="24"/>
      <c r="D485" s="24"/>
      <c r="E485" s="25" t="str">
        <f aca="false">IF(OR(M485=0,K485="",L485=""),"",MOD(L485-K485,1))</f>
        <v/>
      </c>
      <c r="F485" s="26" t="str">
        <f aca="false">IF(OR(E485="",M485=0),"",IF(ROUND_MODE="للأعلى",CEILING(ROUND((E485*24*$N$481),3),0.25),ROUND((E485*24*$N$481)*4,0)/4))</f>
        <v/>
      </c>
      <c r="G485" s="24"/>
      <c r="H485" s="27"/>
      <c r="K485" s="28" t="str">
        <f aca="false">IF(OR(M485=0,C485=""),"",IF(ISNUMBER(C485),MOD(C485,1),IFERROR(INDEX(القوائم!$B$1:$B$288,MATCH(TRIM(C485),القوائم!$A$1:$A$288,0)),IFERROR(MOD(TIMEVALUE(C485),1),""))))</f>
        <v/>
      </c>
      <c r="L485" s="28" t="str">
        <f aca="false">IF(OR(M485=0,D485=""),"",IF(ISNUMBER(D485),MOD(D485,1),IFERROR(INDEX(القوائم!$B$1:$B$288,MATCH(TRIM(D485),القوائم!$A$1:$A$288,0)),IFERROR(MOD(TIMEVALUE(D485),1),""))))</f>
        <v/>
      </c>
      <c r="M485" s="19" t="n">
        <f aca="false">$M$481</f>
        <v>0</v>
      </c>
      <c r="Q485" s="19" t="n">
        <f aca="false">IF(N(E493)&gt;0,1,0)</f>
        <v>0</v>
      </c>
      <c r="S485" s="0" t="n">
        <v>35</v>
      </c>
    </row>
    <row r="486" customFormat="false" ht="15" hidden="false" customHeight="false" outlineLevel="0" collapsed="false">
      <c r="A486" s="22" t="n">
        <f aca="false">IF(35&lt;=NW,WEEK_ONE+241,"")</f>
        <v>46259</v>
      </c>
      <c r="B486" s="23" t="str">
        <f aca="false">IF(A486="","",CHOOSE(WEEKDAY(A486,1),"الأحد","الاثنين","الثلاثاء","الأربعاء","الخميس","الجمعة","السبت"))</f>
        <v>الثلاثاء</v>
      </c>
      <c r="C486" s="24"/>
      <c r="D486" s="24"/>
      <c r="E486" s="25" t="str">
        <f aca="false">IF(OR(M486=0,K486="",L486=""),"",MOD(L486-K486,1))</f>
        <v/>
      </c>
      <c r="F486" s="26" t="str">
        <f aca="false">IF(OR(E486="",M486=0),"",IF(ROUND_MODE="للأعلى",CEILING(ROUND((E486*24*$N$481),3),0.25),ROUND((E486*24*$N$481)*4,0)/4))</f>
        <v/>
      </c>
      <c r="G486" s="24"/>
      <c r="H486" s="27"/>
      <c r="K486" s="28" t="str">
        <f aca="false">IF(OR(M486=0,C486=""),"",IF(ISNUMBER(C486),MOD(C486,1),IFERROR(INDEX(القوائم!$B$1:$B$288,MATCH(TRIM(C486),القوائم!$A$1:$A$288,0)),IFERROR(MOD(TIMEVALUE(C486),1),""))))</f>
        <v/>
      </c>
      <c r="L486" s="28" t="str">
        <f aca="false">IF(OR(M486=0,D486=""),"",IF(ISNUMBER(D486),MOD(D486,1),IFERROR(INDEX(القوائم!$B$1:$B$288,MATCH(TRIM(D486),القوائم!$A$1:$A$288,0)),IFERROR(MOD(TIMEVALUE(D486),1),""))))</f>
        <v/>
      </c>
      <c r="M486" s="19" t="n">
        <f aca="false">$M$481</f>
        <v>0</v>
      </c>
      <c r="Q486" s="19" t="n">
        <f aca="false">IF(N(E493)&gt;0,1,0)</f>
        <v>0</v>
      </c>
      <c r="S486" s="0" t="n">
        <v>35</v>
      </c>
    </row>
    <row r="487" customFormat="false" ht="15" hidden="false" customHeight="false" outlineLevel="0" collapsed="false">
      <c r="A487" s="22" t="n">
        <f aca="false">IF(35&lt;=NW,WEEK_ONE+242,"")</f>
        <v>46260</v>
      </c>
      <c r="B487" s="23" t="str">
        <f aca="false">IF(A487="","",CHOOSE(WEEKDAY(A487,1),"الأحد","الاثنين","الثلاثاء","الأربعاء","الخميس","الجمعة","السبت"))</f>
        <v>الأربعاء</v>
      </c>
      <c r="C487" s="24"/>
      <c r="D487" s="24"/>
      <c r="E487" s="25" t="str">
        <f aca="false">IF(OR(M487=0,K487="",L487=""),"",MOD(L487-K487,1))</f>
        <v/>
      </c>
      <c r="F487" s="26" t="str">
        <f aca="false">IF(OR(E487="",M487=0),"",IF(ROUND_MODE="للأعلى",CEILING(ROUND((E487*24*$N$481),3),0.25),ROUND((E487*24*$N$481)*4,0)/4))</f>
        <v/>
      </c>
      <c r="G487" s="24"/>
      <c r="H487" s="27"/>
      <c r="K487" s="28" t="str">
        <f aca="false">IF(OR(M487=0,C487=""),"",IF(ISNUMBER(C487),MOD(C487,1),IFERROR(INDEX(القوائم!$B$1:$B$288,MATCH(TRIM(C487),القوائم!$A$1:$A$288,0)),IFERROR(MOD(TIMEVALUE(C487),1),""))))</f>
        <v/>
      </c>
      <c r="L487" s="28" t="str">
        <f aca="false">IF(OR(M487=0,D487=""),"",IF(ISNUMBER(D487),MOD(D487,1),IFERROR(INDEX(القوائم!$B$1:$B$288,MATCH(TRIM(D487),القوائم!$A$1:$A$288,0)),IFERROR(MOD(TIMEVALUE(D487),1),""))))</f>
        <v/>
      </c>
      <c r="M487" s="19" t="n">
        <f aca="false">$M$481</f>
        <v>0</v>
      </c>
      <c r="Q487" s="19" t="n">
        <f aca="false">IF(N(E493)&gt;0,1,0)</f>
        <v>0</v>
      </c>
      <c r="S487" s="0" t="n">
        <v>35</v>
      </c>
    </row>
    <row r="488" customFormat="false" ht="15" hidden="false" customHeight="false" outlineLevel="0" collapsed="false">
      <c r="A488" s="22" t="n">
        <f aca="false">IF(35&lt;=NW,WEEK_ONE+243,"")</f>
        <v>46261</v>
      </c>
      <c r="B488" s="23" t="str">
        <f aca="false">IF(A488="","",CHOOSE(WEEKDAY(A488,1),"الأحد","الاثنين","الثلاثاء","الأربعاء","الخميس","الجمعة","السبت"))</f>
        <v>الخميس</v>
      </c>
      <c r="C488" s="24"/>
      <c r="D488" s="24"/>
      <c r="E488" s="25" t="str">
        <f aca="false">IF(OR(M488=0,K488="",L488=""),"",MOD(L488-K488,1))</f>
        <v/>
      </c>
      <c r="F488" s="26" t="str">
        <f aca="false">IF(OR(E488="",M488=0),"",IF(ROUND_MODE="للأعلى",CEILING(ROUND((E488*24*$N$481),3),0.25),ROUND((E488*24*$N$481)*4,0)/4))</f>
        <v/>
      </c>
      <c r="G488" s="24"/>
      <c r="H488" s="27"/>
      <c r="K488" s="28" t="str">
        <f aca="false">IF(OR(M488=0,C488=""),"",IF(ISNUMBER(C488),MOD(C488,1),IFERROR(INDEX(القوائم!$B$1:$B$288,MATCH(TRIM(C488),القوائم!$A$1:$A$288,0)),IFERROR(MOD(TIMEVALUE(C488),1),""))))</f>
        <v/>
      </c>
      <c r="L488" s="28" t="str">
        <f aca="false">IF(OR(M488=0,D488=""),"",IF(ISNUMBER(D488),MOD(D488,1),IFERROR(INDEX(القوائم!$B$1:$B$288,MATCH(TRIM(D488),القوائم!$A$1:$A$288,0)),IFERROR(MOD(TIMEVALUE(D488),1),""))))</f>
        <v/>
      </c>
      <c r="M488" s="19" t="n">
        <f aca="false">$M$481</f>
        <v>0</v>
      </c>
      <c r="Q488" s="19" t="n">
        <f aca="false">IF(N(E493)&gt;0,1,0)</f>
        <v>0</v>
      </c>
      <c r="S488" s="0" t="n">
        <v>35</v>
      </c>
    </row>
    <row r="489" customFormat="false" ht="15" hidden="false" customHeight="false" outlineLevel="0" collapsed="false">
      <c r="A489" s="29" t="n">
        <f aca="false">IF(35&lt;=NW,WEEK_ONE+244,"")</f>
        <v>46262</v>
      </c>
      <c r="B489" s="30" t="str">
        <f aca="false">IF(A489="","",CHOOSE(WEEKDAY(A489,1),"الأحد","الاثنين","الثلاثاء","الأربعاء","الخميس","الجمعة","السبت"))</f>
        <v>الجمعة</v>
      </c>
      <c r="C489" s="24"/>
      <c r="D489" s="24"/>
      <c r="E489" s="25" t="str">
        <f aca="false">IF(OR(M489=0,K489="",L489=""),"",MOD(L489-K489,1))</f>
        <v/>
      </c>
      <c r="F489" s="26" t="str">
        <f aca="false">IF(OR(E489="",M489=0),"",IF(ROUND_MODE="للأعلى",CEILING(ROUND((E489*24*$N$481),3),0.25),ROUND((E489*24*$N$481)*4,0)/4))</f>
        <v/>
      </c>
      <c r="G489" s="24"/>
      <c r="H489" s="27"/>
      <c r="K489" s="28" t="str">
        <f aca="false">IF(OR(M489=0,C489=""),"",IF(ISNUMBER(C489),MOD(C489,1),IFERROR(INDEX(القوائم!$B$1:$B$288,MATCH(TRIM(C489),القوائم!$A$1:$A$288,0)),IFERROR(MOD(TIMEVALUE(C489),1),""))))</f>
        <v/>
      </c>
      <c r="L489" s="28" t="str">
        <f aca="false">IF(OR(M489=0,D489=""),"",IF(ISNUMBER(D489),MOD(D489,1),IFERROR(INDEX(القوائم!$B$1:$B$288,MATCH(TRIM(D489),القوائم!$A$1:$A$288,0)),IFERROR(MOD(TIMEVALUE(D489),1),""))))</f>
        <v/>
      </c>
      <c r="M489" s="19" t="n">
        <f aca="false">$M$481</f>
        <v>0</v>
      </c>
      <c r="Q489" s="19" t="n">
        <f aca="false">IF(N(E493)&gt;0,1,0)</f>
        <v>0</v>
      </c>
      <c r="S489" s="0" t="n">
        <v>35</v>
      </c>
    </row>
    <row r="490" customFormat="false" ht="15" hidden="false" customHeight="false" outlineLevel="0" collapsed="false">
      <c r="A490" s="31" t="str">
        <f aca="false">IF(M481=1,"ساعات تحميل الجبسمبورد بهالأسبوع ←","")</f>
        <v/>
      </c>
      <c r="B490" s="31"/>
      <c r="C490" s="31"/>
      <c r="D490" s="31"/>
      <c r="E490" s="32"/>
      <c r="F490" s="33" t="str">
        <f aca="false">IF(M481=1,"كل ساعة تحميل = "&amp;TEXT($P$481,"0.000")&amp;" دينار (منها "&amp;TEXT($N$481,"0.000")&amp;" محسوبة أصلاً بساعات اليوم)","")</f>
        <v/>
      </c>
      <c r="G490" s="33"/>
      <c r="H490" s="33"/>
      <c r="M490" s="19" t="n">
        <f aca="false">$M$481</f>
        <v>0</v>
      </c>
      <c r="Q490" s="19" t="n">
        <f aca="false">IF(N(E493)&gt;0,1,0)</f>
        <v>0</v>
      </c>
      <c r="S490" s="0" t="n">
        <v>35</v>
      </c>
    </row>
    <row r="491" customFormat="false" ht="15" hidden="false" customHeight="false" outlineLevel="0" collapsed="false">
      <c r="A491" s="31" t="str">
        <f aca="false">IF(M481=1,"إكرامية الأسبوع (دينار) ←","")</f>
        <v/>
      </c>
      <c r="B491" s="31"/>
      <c r="C491" s="31"/>
      <c r="D491" s="31"/>
      <c r="E491" s="34"/>
      <c r="F491" s="35"/>
      <c r="G491" s="35"/>
      <c r="H491" s="35"/>
      <c r="M491" s="19" t="n">
        <f aca="false">$M$481</f>
        <v>0</v>
      </c>
      <c r="Q491" s="19" t="n">
        <f aca="false">IF(N(E493)&gt;0,1,0)</f>
        <v>0</v>
      </c>
      <c r="S491" s="0" t="n">
        <v>35</v>
      </c>
    </row>
    <row r="492" customFormat="false" ht="36" hidden="false" customHeight="true" outlineLevel="0" collapsed="false">
      <c r="A492" s="36" t="str">
        <f aca="false">IF(M481=1,"المستحق النهائي للأسبوع","")</f>
        <v/>
      </c>
      <c r="B492" s="36"/>
      <c r="C492" s="36"/>
      <c r="D492" s="36"/>
      <c r="E492" s="36"/>
      <c r="F492" s="11" t="str">
        <f aca="false">IF(M481=1,ROUND(N($V$481)+N(E490)*($P$481-$N$481)+N(E491),3),"")</f>
        <v/>
      </c>
      <c r="G492" s="35"/>
      <c r="H492" s="35"/>
      <c r="M492" s="19" t="n">
        <f aca="false">$M$481</f>
        <v>0</v>
      </c>
      <c r="Q492" s="19" t="n">
        <f aca="false">IF(N(E493)&gt;0,1,0)</f>
        <v>0</v>
      </c>
      <c r="S492" s="0" t="n">
        <v>35</v>
      </c>
      <c r="T492" s="0" t="n">
        <v>1</v>
      </c>
    </row>
    <row r="493" customFormat="false" ht="25.5" hidden="false" customHeight="true" outlineLevel="0" collapsed="false">
      <c r="A493" s="31" t="str">
        <f aca="false">IF(M481=1,"المدفوع (دينار) ←","")</f>
        <v/>
      </c>
      <c r="B493" s="31"/>
      <c r="C493" s="31"/>
      <c r="D493" s="31"/>
      <c r="E493" s="34"/>
      <c r="F493" s="38" t="str">
        <f aca="false">IF(M481=1,IF(N(E493)&gt;0,"✔ انقبض — الأسبوع مقفول","⏳ لسا ما انقبض"),"")</f>
        <v/>
      </c>
      <c r="G493" s="38"/>
      <c r="H493" s="38"/>
      <c r="M493" s="19" t="n">
        <f aca="false">$M$481</f>
        <v>0</v>
      </c>
      <c r="Q493" s="19" t="n">
        <f aca="false">IF(N(E493)&gt;0,1,0)</f>
        <v>0</v>
      </c>
      <c r="S493" s="0" t="n">
        <v>35</v>
      </c>
    </row>
    <row r="494" customFormat="false" ht="9.75" hidden="false" customHeight="true" outlineLevel="0" collapsed="false">
      <c r="M494" s="19" t="n">
        <f aca="false">$M$481</f>
        <v>0</v>
      </c>
      <c r="Q494" s="19" t="n">
        <f aca="false">IF(N(E493)&gt;0,1,0)</f>
        <v>0</v>
      </c>
      <c r="S494" s="0" t="n">
        <v>35</v>
      </c>
      <c r="T494" s="0" t="n">
        <v>2</v>
      </c>
    </row>
    <row r="495" customFormat="false" ht="33.75" hidden="false" customHeight="true" outlineLevel="0" collapsed="false">
      <c r="A495" s="17" t="str">
        <f aca="false">IF(36&lt;=NW,TEXT(DAY(WEEK_ONE+245),"00")&amp;"/"&amp;TEXT(MONTH(WEEK_ONE+245),"00")&amp;"/"&amp;YEAR(WEEK_ONE+245)&amp;"  -  "&amp;TEXT(DAY(WEEK_ONE+251),"00")&amp;"/"&amp;TEXT(MONTH(WEEK_ONE+251),"00")&amp;"/"&amp;YEAR(WEEK_ONE+251)&amp;"   ·   الأسبوع 36"&amp;IF(36&lt;START_Z,"   (قبل أسبوع البداية — ما بينحسب)",""),"ما في أسبوع 36 هالسنة")</f>
        <v>29/08/2026  -  04/09/2026   ·   الأسبوع 36   (قبل أسبوع البداية — ما بينحسب)</v>
      </c>
      <c r="B495" s="17"/>
      <c r="C495" s="17"/>
      <c r="D495" s="17"/>
      <c r="E495" s="17"/>
      <c r="F495" s="17"/>
      <c r="G495" s="17"/>
      <c r="H495" s="17"/>
      <c r="L495" s="18" t="n">
        <f aca="false">IF(36&lt;=NW,WEEK_ONE+251,"")</f>
        <v>46269</v>
      </c>
      <c r="M495" s="19" t="n">
        <f aca="false">IF(AND(36&lt;=NW,36&gt;=START_Z),1,0)</f>
        <v>0</v>
      </c>
      <c r="N495" s="20" t="n">
        <f aca="false">IFERROR(INDEX(RT_AZZ,MATCH(L495,RT_K,1)),INDEX(RT_AZZ,1))</f>
        <v>1</v>
      </c>
      <c r="P495" s="20" t="n">
        <f aca="false">IFERROR(INDEX(RT_GYP,MATCH(L495,RT_K,1)),INDEX(RT_GYP,1))</f>
        <v>2.5</v>
      </c>
      <c r="Q495" s="19" t="n">
        <f aca="false">IF(N(E507)&gt;0,1,0)</f>
        <v>0</v>
      </c>
      <c r="R495" s="0" t="n">
        <v>36</v>
      </c>
      <c r="S495" s="0" t="n">
        <v>36</v>
      </c>
      <c r="U495" s="19" t="n">
        <f aca="false">IF(M495=1,SUM(E497:E503),0)</f>
        <v>0</v>
      </c>
      <c r="V495" s="19" t="n">
        <f aca="false">SUM(F497:F503)</f>
        <v>0</v>
      </c>
      <c r="W495" s="19" t="n">
        <f aca="false">IF(M495=1,SUMIFS(F497:F503,G497:G503,"نعم"),0)</f>
        <v>0</v>
      </c>
    </row>
    <row r="496" customFormat="false" ht="39.75" hidden="false" customHeight="true" outlineLevel="0" collapsed="false">
      <c r="A496" s="21" t="s">
        <v>18</v>
      </c>
      <c r="B496" s="21" t="s">
        <v>19</v>
      </c>
      <c r="C496" s="21" t="s">
        <v>20</v>
      </c>
      <c r="D496" s="21" t="s">
        <v>21</v>
      </c>
      <c r="E496" s="21" t="s">
        <v>22</v>
      </c>
      <c r="F496" s="21" t="s">
        <v>29</v>
      </c>
      <c r="G496" s="21" t="s">
        <v>30</v>
      </c>
      <c r="H496" s="21" t="s">
        <v>26</v>
      </c>
      <c r="M496" s="19" t="n">
        <f aca="false">$M$495</f>
        <v>0</v>
      </c>
      <c r="Q496" s="19" t="n">
        <f aca="false">IF(N(E507)&gt;0,1,0)</f>
        <v>0</v>
      </c>
      <c r="S496" s="0" t="n">
        <v>36</v>
      </c>
    </row>
    <row r="497" customFormat="false" ht="15" hidden="false" customHeight="false" outlineLevel="0" collapsed="false">
      <c r="A497" s="22" t="n">
        <f aca="false">IF(36&lt;=NW,WEEK_ONE+245,"")</f>
        <v>46263</v>
      </c>
      <c r="B497" s="23" t="str">
        <f aca="false">IF(A497="","",CHOOSE(WEEKDAY(A497,1),"الأحد","الاثنين","الثلاثاء","الأربعاء","الخميس","الجمعة","السبت"))</f>
        <v>السبت</v>
      </c>
      <c r="C497" s="24"/>
      <c r="D497" s="24"/>
      <c r="E497" s="25" t="str">
        <f aca="false">IF(OR(M497=0,K497="",L497=""),"",MOD(L497-K497,1))</f>
        <v/>
      </c>
      <c r="F497" s="26" t="str">
        <f aca="false">IF(OR(E497="",M497=0),"",IF(ROUND_MODE="للأعلى",CEILING(ROUND((E497*24*$N$495),3),0.25),ROUND((E497*24*$N$495)*4,0)/4))</f>
        <v/>
      </c>
      <c r="G497" s="24"/>
      <c r="H497" s="27"/>
      <c r="K497" s="28" t="str">
        <f aca="false">IF(OR(M497=0,C497=""),"",IF(ISNUMBER(C497),MOD(C497,1),IFERROR(INDEX(القوائم!$B$1:$B$288,MATCH(TRIM(C497),القوائم!$A$1:$A$288,0)),IFERROR(MOD(TIMEVALUE(C497),1),""))))</f>
        <v/>
      </c>
      <c r="L497" s="28" t="str">
        <f aca="false">IF(OR(M497=0,D497=""),"",IF(ISNUMBER(D497),MOD(D497,1),IFERROR(INDEX(القوائم!$B$1:$B$288,MATCH(TRIM(D497),القوائم!$A$1:$A$288,0)),IFERROR(MOD(TIMEVALUE(D497),1),""))))</f>
        <v/>
      </c>
      <c r="M497" s="19" t="n">
        <f aca="false">$M$495</f>
        <v>0</v>
      </c>
      <c r="Q497" s="19" t="n">
        <f aca="false">IF(N(E507)&gt;0,1,0)</f>
        <v>0</v>
      </c>
      <c r="S497" s="0" t="n">
        <v>36</v>
      </c>
    </row>
    <row r="498" customFormat="false" ht="15" hidden="false" customHeight="false" outlineLevel="0" collapsed="false">
      <c r="A498" s="22" t="n">
        <f aca="false">IF(36&lt;=NW,WEEK_ONE+246,"")</f>
        <v>46264</v>
      </c>
      <c r="B498" s="23" t="str">
        <f aca="false">IF(A498="","",CHOOSE(WEEKDAY(A498,1),"الأحد","الاثنين","الثلاثاء","الأربعاء","الخميس","الجمعة","السبت"))</f>
        <v>الأحد</v>
      </c>
      <c r="C498" s="24"/>
      <c r="D498" s="24"/>
      <c r="E498" s="25" t="str">
        <f aca="false">IF(OR(M498=0,K498="",L498=""),"",MOD(L498-K498,1))</f>
        <v/>
      </c>
      <c r="F498" s="26" t="str">
        <f aca="false">IF(OR(E498="",M498=0),"",IF(ROUND_MODE="للأعلى",CEILING(ROUND((E498*24*$N$495),3),0.25),ROUND((E498*24*$N$495)*4,0)/4))</f>
        <v/>
      </c>
      <c r="G498" s="24"/>
      <c r="H498" s="27"/>
      <c r="K498" s="28" t="str">
        <f aca="false">IF(OR(M498=0,C498=""),"",IF(ISNUMBER(C498),MOD(C498,1),IFERROR(INDEX(القوائم!$B$1:$B$288,MATCH(TRIM(C498),القوائم!$A$1:$A$288,0)),IFERROR(MOD(TIMEVALUE(C498),1),""))))</f>
        <v/>
      </c>
      <c r="L498" s="28" t="str">
        <f aca="false">IF(OR(M498=0,D498=""),"",IF(ISNUMBER(D498),MOD(D498,1),IFERROR(INDEX(القوائم!$B$1:$B$288,MATCH(TRIM(D498),القوائم!$A$1:$A$288,0)),IFERROR(MOD(TIMEVALUE(D498),1),""))))</f>
        <v/>
      </c>
      <c r="M498" s="19" t="n">
        <f aca="false">$M$495</f>
        <v>0</v>
      </c>
      <c r="Q498" s="19" t="n">
        <f aca="false">IF(N(E507)&gt;0,1,0)</f>
        <v>0</v>
      </c>
      <c r="S498" s="0" t="n">
        <v>36</v>
      </c>
    </row>
    <row r="499" customFormat="false" ht="15" hidden="false" customHeight="false" outlineLevel="0" collapsed="false">
      <c r="A499" s="22" t="n">
        <f aca="false">IF(36&lt;=NW,WEEK_ONE+247,"")</f>
        <v>46265</v>
      </c>
      <c r="B499" s="23" t="str">
        <f aca="false">IF(A499="","",CHOOSE(WEEKDAY(A499,1),"الأحد","الاثنين","الثلاثاء","الأربعاء","الخميس","الجمعة","السبت"))</f>
        <v>الاثنين</v>
      </c>
      <c r="C499" s="24"/>
      <c r="D499" s="24"/>
      <c r="E499" s="25" t="str">
        <f aca="false">IF(OR(M499=0,K499="",L499=""),"",MOD(L499-K499,1))</f>
        <v/>
      </c>
      <c r="F499" s="26" t="str">
        <f aca="false">IF(OR(E499="",M499=0),"",IF(ROUND_MODE="للأعلى",CEILING(ROUND((E499*24*$N$495),3),0.25),ROUND((E499*24*$N$495)*4,0)/4))</f>
        <v/>
      </c>
      <c r="G499" s="24"/>
      <c r="H499" s="27"/>
      <c r="K499" s="28" t="str">
        <f aca="false">IF(OR(M499=0,C499=""),"",IF(ISNUMBER(C499),MOD(C499,1),IFERROR(INDEX(القوائم!$B$1:$B$288,MATCH(TRIM(C499),القوائم!$A$1:$A$288,0)),IFERROR(MOD(TIMEVALUE(C499),1),""))))</f>
        <v/>
      </c>
      <c r="L499" s="28" t="str">
        <f aca="false">IF(OR(M499=0,D499=""),"",IF(ISNUMBER(D499),MOD(D499,1),IFERROR(INDEX(القوائم!$B$1:$B$288,MATCH(TRIM(D499),القوائم!$A$1:$A$288,0)),IFERROR(MOD(TIMEVALUE(D499),1),""))))</f>
        <v/>
      </c>
      <c r="M499" s="19" t="n">
        <f aca="false">$M$495</f>
        <v>0</v>
      </c>
      <c r="Q499" s="19" t="n">
        <f aca="false">IF(N(E507)&gt;0,1,0)</f>
        <v>0</v>
      </c>
      <c r="S499" s="0" t="n">
        <v>36</v>
      </c>
    </row>
    <row r="500" customFormat="false" ht="15" hidden="false" customHeight="false" outlineLevel="0" collapsed="false">
      <c r="A500" s="22" t="n">
        <f aca="false">IF(36&lt;=NW,WEEK_ONE+248,"")</f>
        <v>46266</v>
      </c>
      <c r="B500" s="23" t="str">
        <f aca="false">IF(A500="","",CHOOSE(WEEKDAY(A500,1),"الأحد","الاثنين","الثلاثاء","الأربعاء","الخميس","الجمعة","السبت"))</f>
        <v>الثلاثاء</v>
      </c>
      <c r="C500" s="24"/>
      <c r="D500" s="24"/>
      <c r="E500" s="25" t="str">
        <f aca="false">IF(OR(M500=0,K500="",L500=""),"",MOD(L500-K500,1))</f>
        <v/>
      </c>
      <c r="F500" s="26" t="str">
        <f aca="false">IF(OR(E500="",M500=0),"",IF(ROUND_MODE="للأعلى",CEILING(ROUND((E500*24*$N$495),3),0.25),ROUND((E500*24*$N$495)*4,0)/4))</f>
        <v/>
      </c>
      <c r="G500" s="24"/>
      <c r="H500" s="27"/>
      <c r="K500" s="28" t="str">
        <f aca="false">IF(OR(M500=0,C500=""),"",IF(ISNUMBER(C500),MOD(C500,1),IFERROR(INDEX(القوائم!$B$1:$B$288,MATCH(TRIM(C500),القوائم!$A$1:$A$288,0)),IFERROR(MOD(TIMEVALUE(C500),1),""))))</f>
        <v/>
      </c>
      <c r="L500" s="28" t="str">
        <f aca="false">IF(OR(M500=0,D500=""),"",IF(ISNUMBER(D500),MOD(D500,1),IFERROR(INDEX(القوائم!$B$1:$B$288,MATCH(TRIM(D500),القوائم!$A$1:$A$288,0)),IFERROR(MOD(TIMEVALUE(D500),1),""))))</f>
        <v/>
      </c>
      <c r="M500" s="19" t="n">
        <f aca="false">$M$495</f>
        <v>0</v>
      </c>
      <c r="Q500" s="19" t="n">
        <f aca="false">IF(N(E507)&gt;0,1,0)</f>
        <v>0</v>
      </c>
      <c r="S500" s="0" t="n">
        <v>36</v>
      </c>
    </row>
    <row r="501" customFormat="false" ht="15" hidden="false" customHeight="false" outlineLevel="0" collapsed="false">
      <c r="A501" s="22" t="n">
        <f aca="false">IF(36&lt;=NW,WEEK_ONE+249,"")</f>
        <v>46267</v>
      </c>
      <c r="B501" s="23" t="str">
        <f aca="false">IF(A501="","",CHOOSE(WEEKDAY(A501,1),"الأحد","الاثنين","الثلاثاء","الأربعاء","الخميس","الجمعة","السبت"))</f>
        <v>الأربعاء</v>
      </c>
      <c r="C501" s="24"/>
      <c r="D501" s="24"/>
      <c r="E501" s="25" t="str">
        <f aca="false">IF(OR(M501=0,K501="",L501=""),"",MOD(L501-K501,1))</f>
        <v/>
      </c>
      <c r="F501" s="26" t="str">
        <f aca="false">IF(OR(E501="",M501=0),"",IF(ROUND_MODE="للأعلى",CEILING(ROUND((E501*24*$N$495),3),0.25),ROUND((E501*24*$N$495)*4,0)/4))</f>
        <v/>
      </c>
      <c r="G501" s="24"/>
      <c r="H501" s="27"/>
      <c r="K501" s="28" t="str">
        <f aca="false">IF(OR(M501=0,C501=""),"",IF(ISNUMBER(C501),MOD(C501,1),IFERROR(INDEX(القوائم!$B$1:$B$288,MATCH(TRIM(C501),القوائم!$A$1:$A$288,0)),IFERROR(MOD(TIMEVALUE(C501),1),""))))</f>
        <v/>
      </c>
      <c r="L501" s="28" t="str">
        <f aca="false">IF(OR(M501=0,D501=""),"",IF(ISNUMBER(D501),MOD(D501,1),IFERROR(INDEX(القوائم!$B$1:$B$288,MATCH(TRIM(D501),القوائم!$A$1:$A$288,0)),IFERROR(MOD(TIMEVALUE(D501),1),""))))</f>
        <v/>
      </c>
      <c r="M501" s="19" t="n">
        <f aca="false">$M$495</f>
        <v>0</v>
      </c>
      <c r="Q501" s="19" t="n">
        <f aca="false">IF(N(E507)&gt;0,1,0)</f>
        <v>0</v>
      </c>
      <c r="S501" s="0" t="n">
        <v>36</v>
      </c>
    </row>
    <row r="502" customFormat="false" ht="15" hidden="false" customHeight="false" outlineLevel="0" collapsed="false">
      <c r="A502" s="22" t="n">
        <f aca="false">IF(36&lt;=NW,WEEK_ONE+250,"")</f>
        <v>46268</v>
      </c>
      <c r="B502" s="23" t="str">
        <f aca="false">IF(A502="","",CHOOSE(WEEKDAY(A502,1),"الأحد","الاثنين","الثلاثاء","الأربعاء","الخميس","الجمعة","السبت"))</f>
        <v>الخميس</v>
      </c>
      <c r="C502" s="24"/>
      <c r="D502" s="24"/>
      <c r="E502" s="25" t="str">
        <f aca="false">IF(OR(M502=0,K502="",L502=""),"",MOD(L502-K502,1))</f>
        <v/>
      </c>
      <c r="F502" s="26" t="str">
        <f aca="false">IF(OR(E502="",M502=0),"",IF(ROUND_MODE="للأعلى",CEILING(ROUND((E502*24*$N$495),3),0.25),ROUND((E502*24*$N$495)*4,0)/4))</f>
        <v/>
      </c>
      <c r="G502" s="24"/>
      <c r="H502" s="27"/>
      <c r="K502" s="28" t="str">
        <f aca="false">IF(OR(M502=0,C502=""),"",IF(ISNUMBER(C502),MOD(C502,1),IFERROR(INDEX(القوائم!$B$1:$B$288,MATCH(TRIM(C502),القوائم!$A$1:$A$288,0)),IFERROR(MOD(TIMEVALUE(C502),1),""))))</f>
        <v/>
      </c>
      <c r="L502" s="28" t="str">
        <f aca="false">IF(OR(M502=0,D502=""),"",IF(ISNUMBER(D502),MOD(D502,1),IFERROR(INDEX(القوائم!$B$1:$B$288,MATCH(TRIM(D502),القوائم!$A$1:$A$288,0)),IFERROR(MOD(TIMEVALUE(D502),1),""))))</f>
        <v/>
      </c>
      <c r="M502" s="19" t="n">
        <f aca="false">$M$495</f>
        <v>0</v>
      </c>
      <c r="Q502" s="19" t="n">
        <f aca="false">IF(N(E507)&gt;0,1,0)</f>
        <v>0</v>
      </c>
      <c r="S502" s="0" t="n">
        <v>36</v>
      </c>
    </row>
    <row r="503" customFormat="false" ht="15" hidden="false" customHeight="false" outlineLevel="0" collapsed="false">
      <c r="A503" s="29" t="n">
        <f aca="false">IF(36&lt;=NW,WEEK_ONE+251,"")</f>
        <v>46269</v>
      </c>
      <c r="B503" s="30" t="str">
        <f aca="false">IF(A503="","",CHOOSE(WEEKDAY(A503,1),"الأحد","الاثنين","الثلاثاء","الأربعاء","الخميس","الجمعة","السبت"))</f>
        <v>الجمعة</v>
      </c>
      <c r="C503" s="24"/>
      <c r="D503" s="24"/>
      <c r="E503" s="25" t="str">
        <f aca="false">IF(OR(M503=0,K503="",L503=""),"",MOD(L503-K503,1))</f>
        <v/>
      </c>
      <c r="F503" s="26" t="str">
        <f aca="false">IF(OR(E503="",M503=0),"",IF(ROUND_MODE="للأعلى",CEILING(ROUND((E503*24*$N$495),3),0.25),ROUND((E503*24*$N$495)*4,0)/4))</f>
        <v/>
      </c>
      <c r="G503" s="24"/>
      <c r="H503" s="27"/>
      <c r="K503" s="28" t="str">
        <f aca="false">IF(OR(M503=0,C503=""),"",IF(ISNUMBER(C503),MOD(C503,1),IFERROR(INDEX(القوائم!$B$1:$B$288,MATCH(TRIM(C503),القوائم!$A$1:$A$288,0)),IFERROR(MOD(TIMEVALUE(C503),1),""))))</f>
        <v/>
      </c>
      <c r="L503" s="28" t="str">
        <f aca="false">IF(OR(M503=0,D503=""),"",IF(ISNUMBER(D503),MOD(D503,1),IFERROR(INDEX(القوائم!$B$1:$B$288,MATCH(TRIM(D503),القوائم!$A$1:$A$288,0)),IFERROR(MOD(TIMEVALUE(D503),1),""))))</f>
        <v/>
      </c>
      <c r="M503" s="19" t="n">
        <f aca="false">$M$495</f>
        <v>0</v>
      </c>
      <c r="Q503" s="19" t="n">
        <f aca="false">IF(N(E507)&gt;0,1,0)</f>
        <v>0</v>
      </c>
      <c r="S503" s="0" t="n">
        <v>36</v>
      </c>
    </row>
    <row r="504" customFormat="false" ht="15" hidden="false" customHeight="false" outlineLevel="0" collapsed="false">
      <c r="A504" s="31" t="str">
        <f aca="false">IF(M495=1,"ساعات تحميل الجبسمبورد بهالأسبوع ←","")</f>
        <v/>
      </c>
      <c r="B504" s="31"/>
      <c r="C504" s="31"/>
      <c r="D504" s="31"/>
      <c r="E504" s="32"/>
      <c r="F504" s="33" t="str">
        <f aca="false">IF(M495=1,"كل ساعة تحميل = "&amp;TEXT($P$495,"0.000")&amp;" دينار (منها "&amp;TEXT($N$495,"0.000")&amp;" محسوبة أصلاً بساعات اليوم)","")</f>
        <v/>
      </c>
      <c r="G504" s="33"/>
      <c r="H504" s="33"/>
      <c r="M504" s="19" t="n">
        <f aca="false">$M$495</f>
        <v>0</v>
      </c>
      <c r="Q504" s="19" t="n">
        <f aca="false">IF(N(E507)&gt;0,1,0)</f>
        <v>0</v>
      </c>
      <c r="S504" s="0" t="n">
        <v>36</v>
      </c>
    </row>
    <row r="505" customFormat="false" ht="15" hidden="false" customHeight="false" outlineLevel="0" collapsed="false">
      <c r="A505" s="31" t="str">
        <f aca="false">IF(M495=1,"إكرامية الأسبوع (دينار) ←","")</f>
        <v/>
      </c>
      <c r="B505" s="31"/>
      <c r="C505" s="31"/>
      <c r="D505" s="31"/>
      <c r="E505" s="34"/>
      <c r="F505" s="35"/>
      <c r="G505" s="35"/>
      <c r="H505" s="35"/>
      <c r="M505" s="19" t="n">
        <f aca="false">$M$495</f>
        <v>0</v>
      </c>
      <c r="Q505" s="19" t="n">
        <f aca="false">IF(N(E507)&gt;0,1,0)</f>
        <v>0</v>
      </c>
      <c r="S505" s="0" t="n">
        <v>36</v>
      </c>
    </row>
    <row r="506" customFormat="false" ht="36" hidden="false" customHeight="true" outlineLevel="0" collapsed="false">
      <c r="A506" s="36" t="str">
        <f aca="false">IF(M495=1,"المستحق النهائي للأسبوع","")</f>
        <v/>
      </c>
      <c r="B506" s="36"/>
      <c r="C506" s="36"/>
      <c r="D506" s="36"/>
      <c r="E506" s="36"/>
      <c r="F506" s="11" t="str">
        <f aca="false">IF(M495=1,ROUND(N($V$495)+N(E504)*($P$495-$N$495)+N(E505),3),"")</f>
        <v/>
      </c>
      <c r="G506" s="35"/>
      <c r="H506" s="35"/>
      <c r="M506" s="19" t="n">
        <f aca="false">$M$495</f>
        <v>0</v>
      </c>
      <c r="Q506" s="19" t="n">
        <f aca="false">IF(N(E507)&gt;0,1,0)</f>
        <v>0</v>
      </c>
      <c r="S506" s="0" t="n">
        <v>36</v>
      </c>
      <c r="T506" s="0" t="n">
        <v>1</v>
      </c>
    </row>
    <row r="507" customFormat="false" ht="25.5" hidden="false" customHeight="true" outlineLevel="0" collapsed="false">
      <c r="A507" s="31" t="str">
        <f aca="false">IF(M495=1,"المدفوع (دينار) ←","")</f>
        <v/>
      </c>
      <c r="B507" s="31"/>
      <c r="C507" s="31"/>
      <c r="D507" s="31"/>
      <c r="E507" s="34"/>
      <c r="F507" s="38" t="str">
        <f aca="false">IF(M495=1,IF(N(E507)&gt;0,"✔ انقبض — الأسبوع مقفول","⏳ لسا ما انقبض"),"")</f>
        <v/>
      </c>
      <c r="G507" s="38"/>
      <c r="H507" s="38"/>
      <c r="M507" s="19" t="n">
        <f aca="false">$M$495</f>
        <v>0</v>
      </c>
      <c r="Q507" s="19" t="n">
        <f aca="false">IF(N(E507)&gt;0,1,0)</f>
        <v>0</v>
      </c>
      <c r="S507" s="0" t="n">
        <v>36</v>
      </c>
    </row>
    <row r="508" customFormat="false" ht="9.75" hidden="false" customHeight="true" outlineLevel="0" collapsed="false">
      <c r="M508" s="19" t="n">
        <f aca="false">$M$495</f>
        <v>0</v>
      </c>
      <c r="Q508" s="19" t="n">
        <f aca="false">IF(N(E507)&gt;0,1,0)</f>
        <v>0</v>
      </c>
      <c r="S508" s="0" t="n">
        <v>36</v>
      </c>
      <c r="T508" s="0" t="n">
        <v>2</v>
      </c>
    </row>
    <row r="509" customFormat="false" ht="33.75" hidden="false" customHeight="true" outlineLevel="0" collapsed="false">
      <c r="A509" s="17" t="str">
        <f aca="false">IF(37&lt;=NW,TEXT(DAY(WEEK_ONE+252),"00")&amp;"/"&amp;TEXT(MONTH(WEEK_ONE+252),"00")&amp;"/"&amp;YEAR(WEEK_ONE+252)&amp;"  -  "&amp;TEXT(DAY(WEEK_ONE+258),"00")&amp;"/"&amp;TEXT(MONTH(WEEK_ONE+258),"00")&amp;"/"&amp;YEAR(WEEK_ONE+258)&amp;"   ·   الأسبوع 37"&amp;IF(37&lt;START_Z,"   (قبل أسبوع البداية — ما بينحسب)",""),"ما في أسبوع 37 هالسنة")</f>
        <v>05/09/2026  -  11/09/2026   ·   الأسبوع 37   (قبل أسبوع البداية — ما بينحسب)</v>
      </c>
      <c r="B509" s="17"/>
      <c r="C509" s="17"/>
      <c r="D509" s="17"/>
      <c r="E509" s="17"/>
      <c r="F509" s="17"/>
      <c r="G509" s="17"/>
      <c r="H509" s="17"/>
      <c r="L509" s="18" t="n">
        <f aca="false">IF(37&lt;=NW,WEEK_ONE+258,"")</f>
        <v>46276</v>
      </c>
      <c r="M509" s="19" t="n">
        <f aca="false">IF(AND(37&lt;=NW,37&gt;=START_Z),1,0)</f>
        <v>0</v>
      </c>
      <c r="N509" s="20" t="n">
        <f aca="false">IFERROR(INDEX(RT_AZZ,MATCH(L509,RT_K,1)),INDEX(RT_AZZ,1))</f>
        <v>1</v>
      </c>
      <c r="P509" s="20" t="n">
        <f aca="false">IFERROR(INDEX(RT_GYP,MATCH(L509,RT_K,1)),INDEX(RT_GYP,1))</f>
        <v>2.5</v>
      </c>
      <c r="Q509" s="19" t="n">
        <f aca="false">IF(N(E521)&gt;0,1,0)</f>
        <v>0</v>
      </c>
      <c r="R509" s="0" t="n">
        <v>37</v>
      </c>
      <c r="S509" s="0" t="n">
        <v>37</v>
      </c>
      <c r="U509" s="19" t="n">
        <f aca="false">IF(M509=1,SUM(E511:E517),0)</f>
        <v>0</v>
      </c>
      <c r="V509" s="19" t="n">
        <f aca="false">SUM(F511:F517)</f>
        <v>0</v>
      </c>
      <c r="W509" s="19" t="n">
        <f aca="false">IF(M509=1,SUMIFS(F511:F517,G511:G517,"نعم"),0)</f>
        <v>0</v>
      </c>
    </row>
    <row r="510" customFormat="false" ht="39.75" hidden="false" customHeight="true" outlineLevel="0" collapsed="false">
      <c r="A510" s="21" t="s">
        <v>18</v>
      </c>
      <c r="B510" s="21" t="s">
        <v>19</v>
      </c>
      <c r="C510" s="21" t="s">
        <v>20</v>
      </c>
      <c r="D510" s="21" t="s">
        <v>21</v>
      </c>
      <c r="E510" s="21" t="s">
        <v>22</v>
      </c>
      <c r="F510" s="21" t="s">
        <v>29</v>
      </c>
      <c r="G510" s="21" t="s">
        <v>30</v>
      </c>
      <c r="H510" s="21" t="s">
        <v>26</v>
      </c>
      <c r="M510" s="19" t="n">
        <f aca="false">$M$509</f>
        <v>0</v>
      </c>
      <c r="Q510" s="19" t="n">
        <f aca="false">IF(N(E521)&gt;0,1,0)</f>
        <v>0</v>
      </c>
      <c r="S510" s="0" t="n">
        <v>37</v>
      </c>
    </row>
    <row r="511" customFormat="false" ht="15" hidden="false" customHeight="false" outlineLevel="0" collapsed="false">
      <c r="A511" s="22" t="n">
        <f aca="false">IF(37&lt;=NW,WEEK_ONE+252,"")</f>
        <v>46270</v>
      </c>
      <c r="B511" s="23" t="str">
        <f aca="false">IF(A511="","",CHOOSE(WEEKDAY(A511,1),"الأحد","الاثنين","الثلاثاء","الأربعاء","الخميس","الجمعة","السبت"))</f>
        <v>السبت</v>
      </c>
      <c r="C511" s="24"/>
      <c r="D511" s="24"/>
      <c r="E511" s="25" t="str">
        <f aca="false">IF(OR(M511=0,K511="",L511=""),"",MOD(L511-K511,1))</f>
        <v/>
      </c>
      <c r="F511" s="26" t="str">
        <f aca="false">IF(OR(E511="",M511=0),"",IF(ROUND_MODE="للأعلى",CEILING(ROUND((E511*24*$N$509),3),0.25),ROUND((E511*24*$N$509)*4,0)/4))</f>
        <v/>
      </c>
      <c r="G511" s="24"/>
      <c r="H511" s="27"/>
      <c r="K511" s="28" t="str">
        <f aca="false">IF(OR(M511=0,C511=""),"",IF(ISNUMBER(C511),MOD(C511,1),IFERROR(INDEX(القوائم!$B$1:$B$288,MATCH(TRIM(C511),القوائم!$A$1:$A$288,0)),IFERROR(MOD(TIMEVALUE(C511),1),""))))</f>
        <v/>
      </c>
      <c r="L511" s="28" t="str">
        <f aca="false">IF(OR(M511=0,D511=""),"",IF(ISNUMBER(D511),MOD(D511,1),IFERROR(INDEX(القوائم!$B$1:$B$288,MATCH(TRIM(D511),القوائم!$A$1:$A$288,0)),IFERROR(MOD(TIMEVALUE(D511),1),""))))</f>
        <v/>
      </c>
      <c r="M511" s="19" t="n">
        <f aca="false">$M$509</f>
        <v>0</v>
      </c>
      <c r="Q511" s="19" t="n">
        <f aca="false">IF(N(E521)&gt;0,1,0)</f>
        <v>0</v>
      </c>
      <c r="S511" s="0" t="n">
        <v>37</v>
      </c>
    </row>
    <row r="512" customFormat="false" ht="15" hidden="false" customHeight="false" outlineLevel="0" collapsed="false">
      <c r="A512" s="22" t="n">
        <f aca="false">IF(37&lt;=NW,WEEK_ONE+253,"")</f>
        <v>46271</v>
      </c>
      <c r="B512" s="23" t="str">
        <f aca="false">IF(A512="","",CHOOSE(WEEKDAY(A512,1),"الأحد","الاثنين","الثلاثاء","الأربعاء","الخميس","الجمعة","السبت"))</f>
        <v>الأحد</v>
      </c>
      <c r="C512" s="24"/>
      <c r="D512" s="24"/>
      <c r="E512" s="25" t="str">
        <f aca="false">IF(OR(M512=0,K512="",L512=""),"",MOD(L512-K512,1))</f>
        <v/>
      </c>
      <c r="F512" s="26" t="str">
        <f aca="false">IF(OR(E512="",M512=0),"",IF(ROUND_MODE="للأعلى",CEILING(ROUND((E512*24*$N$509),3),0.25),ROUND((E512*24*$N$509)*4,0)/4))</f>
        <v/>
      </c>
      <c r="G512" s="24"/>
      <c r="H512" s="27"/>
      <c r="K512" s="28" t="str">
        <f aca="false">IF(OR(M512=0,C512=""),"",IF(ISNUMBER(C512),MOD(C512,1),IFERROR(INDEX(القوائم!$B$1:$B$288,MATCH(TRIM(C512),القوائم!$A$1:$A$288,0)),IFERROR(MOD(TIMEVALUE(C512),1),""))))</f>
        <v/>
      </c>
      <c r="L512" s="28" t="str">
        <f aca="false">IF(OR(M512=0,D512=""),"",IF(ISNUMBER(D512),MOD(D512,1),IFERROR(INDEX(القوائم!$B$1:$B$288,MATCH(TRIM(D512),القوائم!$A$1:$A$288,0)),IFERROR(MOD(TIMEVALUE(D512),1),""))))</f>
        <v/>
      </c>
      <c r="M512" s="19" t="n">
        <f aca="false">$M$509</f>
        <v>0</v>
      </c>
      <c r="Q512" s="19" t="n">
        <f aca="false">IF(N(E521)&gt;0,1,0)</f>
        <v>0</v>
      </c>
      <c r="S512" s="0" t="n">
        <v>37</v>
      </c>
    </row>
    <row r="513" customFormat="false" ht="15" hidden="false" customHeight="false" outlineLevel="0" collapsed="false">
      <c r="A513" s="22" t="n">
        <f aca="false">IF(37&lt;=NW,WEEK_ONE+254,"")</f>
        <v>46272</v>
      </c>
      <c r="B513" s="23" t="str">
        <f aca="false">IF(A513="","",CHOOSE(WEEKDAY(A513,1),"الأحد","الاثنين","الثلاثاء","الأربعاء","الخميس","الجمعة","السبت"))</f>
        <v>الاثنين</v>
      </c>
      <c r="C513" s="24"/>
      <c r="D513" s="24"/>
      <c r="E513" s="25" t="str">
        <f aca="false">IF(OR(M513=0,K513="",L513=""),"",MOD(L513-K513,1))</f>
        <v/>
      </c>
      <c r="F513" s="26" t="str">
        <f aca="false">IF(OR(E513="",M513=0),"",IF(ROUND_MODE="للأعلى",CEILING(ROUND((E513*24*$N$509),3),0.25),ROUND((E513*24*$N$509)*4,0)/4))</f>
        <v/>
      </c>
      <c r="G513" s="24"/>
      <c r="H513" s="27"/>
      <c r="K513" s="28" t="str">
        <f aca="false">IF(OR(M513=0,C513=""),"",IF(ISNUMBER(C513),MOD(C513,1),IFERROR(INDEX(القوائم!$B$1:$B$288,MATCH(TRIM(C513),القوائم!$A$1:$A$288,0)),IFERROR(MOD(TIMEVALUE(C513),1),""))))</f>
        <v/>
      </c>
      <c r="L513" s="28" t="str">
        <f aca="false">IF(OR(M513=0,D513=""),"",IF(ISNUMBER(D513),MOD(D513,1),IFERROR(INDEX(القوائم!$B$1:$B$288,MATCH(TRIM(D513),القوائم!$A$1:$A$288,0)),IFERROR(MOD(TIMEVALUE(D513),1),""))))</f>
        <v/>
      </c>
      <c r="M513" s="19" t="n">
        <f aca="false">$M$509</f>
        <v>0</v>
      </c>
      <c r="Q513" s="19" t="n">
        <f aca="false">IF(N(E521)&gt;0,1,0)</f>
        <v>0</v>
      </c>
      <c r="S513" s="0" t="n">
        <v>37</v>
      </c>
    </row>
    <row r="514" customFormat="false" ht="15" hidden="false" customHeight="false" outlineLevel="0" collapsed="false">
      <c r="A514" s="22" t="n">
        <f aca="false">IF(37&lt;=NW,WEEK_ONE+255,"")</f>
        <v>46273</v>
      </c>
      <c r="B514" s="23" t="str">
        <f aca="false">IF(A514="","",CHOOSE(WEEKDAY(A514,1),"الأحد","الاثنين","الثلاثاء","الأربعاء","الخميس","الجمعة","السبت"))</f>
        <v>الثلاثاء</v>
      </c>
      <c r="C514" s="24"/>
      <c r="D514" s="24"/>
      <c r="E514" s="25" t="str">
        <f aca="false">IF(OR(M514=0,K514="",L514=""),"",MOD(L514-K514,1))</f>
        <v/>
      </c>
      <c r="F514" s="26" t="str">
        <f aca="false">IF(OR(E514="",M514=0),"",IF(ROUND_MODE="للأعلى",CEILING(ROUND((E514*24*$N$509),3),0.25),ROUND((E514*24*$N$509)*4,0)/4))</f>
        <v/>
      </c>
      <c r="G514" s="24"/>
      <c r="H514" s="27"/>
      <c r="K514" s="28" t="str">
        <f aca="false">IF(OR(M514=0,C514=""),"",IF(ISNUMBER(C514),MOD(C514,1),IFERROR(INDEX(القوائم!$B$1:$B$288,MATCH(TRIM(C514),القوائم!$A$1:$A$288,0)),IFERROR(MOD(TIMEVALUE(C514),1),""))))</f>
        <v/>
      </c>
      <c r="L514" s="28" t="str">
        <f aca="false">IF(OR(M514=0,D514=""),"",IF(ISNUMBER(D514),MOD(D514,1),IFERROR(INDEX(القوائم!$B$1:$B$288,MATCH(TRIM(D514),القوائم!$A$1:$A$288,0)),IFERROR(MOD(TIMEVALUE(D514),1),""))))</f>
        <v/>
      </c>
      <c r="M514" s="19" t="n">
        <f aca="false">$M$509</f>
        <v>0</v>
      </c>
      <c r="Q514" s="19" t="n">
        <f aca="false">IF(N(E521)&gt;0,1,0)</f>
        <v>0</v>
      </c>
      <c r="S514" s="0" t="n">
        <v>37</v>
      </c>
    </row>
    <row r="515" customFormat="false" ht="15" hidden="false" customHeight="false" outlineLevel="0" collapsed="false">
      <c r="A515" s="22" t="n">
        <f aca="false">IF(37&lt;=NW,WEEK_ONE+256,"")</f>
        <v>46274</v>
      </c>
      <c r="B515" s="23" t="str">
        <f aca="false">IF(A515="","",CHOOSE(WEEKDAY(A515,1),"الأحد","الاثنين","الثلاثاء","الأربعاء","الخميس","الجمعة","السبت"))</f>
        <v>الأربعاء</v>
      </c>
      <c r="C515" s="24"/>
      <c r="D515" s="24"/>
      <c r="E515" s="25" t="str">
        <f aca="false">IF(OR(M515=0,K515="",L515=""),"",MOD(L515-K515,1))</f>
        <v/>
      </c>
      <c r="F515" s="26" t="str">
        <f aca="false">IF(OR(E515="",M515=0),"",IF(ROUND_MODE="للأعلى",CEILING(ROUND((E515*24*$N$509),3),0.25),ROUND((E515*24*$N$509)*4,0)/4))</f>
        <v/>
      </c>
      <c r="G515" s="24"/>
      <c r="H515" s="27"/>
      <c r="K515" s="28" t="str">
        <f aca="false">IF(OR(M515=0,C515=""),"",IF(ISNUMBER(C515),MOD(C515,1),IFERROR(INDEX(القوائم!$B$1:$B$288,MATCH(TRIM(C515),القوائم!$A$1:$A$288,0)),IFERROR(MOD(TIMEVALUE(C515),1),""))))</f>
        <v/>
      </c>
      <c r="L515" s="28" t="str">
        <f aca="false">IF(OR(M515=0,D515=""),"",IF(ISNUMBER(D515),MOD(D515,1),IFERROR(INDEX(القوائم!$B$1:$B$288,MATCH(TRIM(D515),القوائم!$A$1:$A$288,0)),IFERROR(MOD(TIMEVALUE(D515),1),""))))</f>
        <v/>
      </c>
      <c r="M515" s="19" t="n">
        <f aca="false">$M$509</f>
        <v>0</v>
      </c>
      <c r="Q515" s="19" t="n">
        <f aca="false">IF(N(E521)&gt;0,1,0)</f>
        <v>0</v>
      </c>
      <c r="S515" s="0" t="n">
        <v>37</v>
      </c>
    </row>
    <row r="516" customFormat="false" ht="15" hidden="false" customHeight="false" outlineLevel="0" collapsed="false">
      <c r="A516" s="22" t="n">
        <f aca="false">IF(37&lt;=NW,WEEK_ONE+257,"")</f>
        <v>46275</v>
      </c>
      <c r="B516" s="23" t="str">
        <f aca="false">IF(A516="","",CHOOSE(WEEKDAY(A516,1),"الأحد","الاثنين","الثلاثاء","الأربعاء","الخميس","الجمعة","السبت"))</f>
        <v>الخميس</v>
      </c>
      <c r="C516" s="24"/>
      <c r="D516" s="24"/>
      <c r="E516" s="25" t="str">
        <f aca="false">IF(OR(M516=0,K516="",L516=""),"",MOD(L516-K516,1))</f>
        <v/>
      </c>
      <c r="F516" s="26" t="str">
        <f aca="false">IF(OR(E516="",M516=0),"",IF(ROUND_MODE="للأعلى",CEILING(ROUND((E516*24*$N$509),3),0.25),ROUND((E516*24*$N$509)*4,0)/4))</f>
        <v/>
      </c>
      <c r="G516" s="24"/>
      <c r="H516" s="27"/>
      <c r="K516" s="28" t="str">
        <f aca="false">IF(OR(M516=0,C516=""),"",IF(ISNUMBER(C516),MOD(C516,1),IFERROR(INDEX(القوائم!$B$1:$B$288,MATCH(TRIM(C516),القوائم!$A$1:$A$288,0)),IFERROR(MOD(TIMEVALUE(C516),1),""))))</f>
        <v/>
      </c>
      <c r="L516" s="28" t="str">
        <f aca="false">IF(OR(M516=0,D516=""),"",IF(ISNUMBER(D516),MOD(D516,1),IFERROR(INDEX(القوائم!$B$1:$B$288,MATCH(TRIM(D516),القوائم!$A$1:$A$288,0)),IFERROR(MOD(TIMEVALUE(D516),1),""))))</f>
        <v/>
      </c>
      <c r="M516" s="19" t="n">
        <f aca="false">$M$509</f>
        <v>0</v>
      </c>
      <c r="Q516" s="19" t="n">
        <f aca="false">IF(N(E521)&gt;0,1,0)</f>
        <v>0</v>
      </c>
      <c r="S516" s="0" t="n">
        <v>37</v>
      </c>
    </row>
    <row r="517" customFormat="false" ht="15" hidden="false" customHeight="false" outlineLevel="0" collapsed="false">
      <c r="A517" s="29" t="n">
        <f aca="false">IF(37&lt;=NW,WEEK_ONE+258,"")</f>
        <v>46276</v>
      </c>
      <c r="B517" s="30" t="str">
        <f aca="false">IF(A517="","",CHOOSE(WEEKDAY(A517,1),"الأحد","الاثنين","الثلاثاء","الأربعاء","الخميس","الجمعة","السبت"))</f>
        <v>الجمعة</v>
      </c>
      <c r="C517" s="24"/>
      <c r="D517" s="24"/>
      <c r="E517" s="25" t="str">
        <f aca="false">IF(OR(M517=0,K517="",L517=""),"",MOD(L517-K517,1))</f>
        <v/>
      </c>
      <c r="F517" s="26" t="str">
        <f aca="false">IF(OR(E517="",M517=0),"",IF(ROUND_MODE="للأعلى",CEILING(ROUND((E517*24*$N$509),3),0.25),ROUND((E517*24*$N$509)*4,0)/4))</f>
        <v/>
      </c>
      <c r="G517" s="24"/>
      <c r="H517" s="27"/>
      <c r="K517" s="28" t="str">
        <f aca="false">IF(OR(M517=0,C517=""),"",IF(ISNUMBER(C517),MOD(C517,1),IFERROR(INDEX(القوائم!$B$1:$B$288,MATCH(TRIM(C517),القوائم!$A$1:$A$288,0)),IFERROR(MOD(TIMEVALUE(C517),1),""))))</f>
        <v/>
      </c>
      <c r="L517" s="28" t="str">
        <f aca="false">IF(OR(M517=0,D517=""),"",IF(ISNUMBER(D517),MOD(D517,1),IFERROR(INDEX(القوائم!$B$1:$B$288,MATCH(TRIM(D517),القوائم!$A$1:$A$288,0)),IFERROR(MOD(TIMEVALUE(D517),1),""))))</f>
        <v/>
      </c>
      <c r="M517" s="19" t="n">
        <f aca="false">$M$509</f>
        <v>0</v>
      </c>
      <c r="Q517" s="19" t="n">
        <f aca="false">IF(N(E521)&gt;0,1,0)</f>
        <v>0</v>
      </c>
      <c r="S517" s="0" t="n">
        <v>37</v>
      </c>
    </row>
    <row r="518" customFormat="false" ht="15" hidden="false" customHeight="false" outlineLevel="0" collapsed="false">
      <c r="A518" s="31" t="str">
        <f aca="false">IF(M509=1,"ساعات تحميل الجبسمبورد بهالأسبوع ←","")</f>
        <v/>
      </c>
      <c r="B518" s="31"/>
      <c r="C518" s="31"/>
      <c r="D518" s="31"/>
      <c r="E518" s="32"/>
      <c r="F518" s="33" t="str">
        <f aca="false">IF(M509=1,"كل ساعة تحميل = "&amp;TEXT($P$509,"0.000")&amp;" دينار (منها "&amp;TEXT($N$509,"0.000")&amp;" محسوبة أصلاً بساعات اليوم)","")</f>
        <v/>
      </c>
      <c r="G518" s="33"/>
      <c r="H518" s="33"/>
      <c r="M518" s="19" t="n">
        <f aca="false">$M$509</f>
        <v>0</v>
      </c>
      <c r="Q518" s="19" t="n">
        <f aca="false">IF(N(E521)&gt;0,1,0)</f>
        <v>0</v>
      </c>
      <c r="S518" s="0" t="n">
        <v>37</v>
      </c>
    </row>
    <row r="519" customFormat="false" ht="15" hidden="false" customHeight="false" outlineLevel="0" collapsed="false">
      <c r="A519" s="31" t="str">
        <f aca="false">IF(M509=1,"إكرامية الأسبوع (دينار) ←","")</f>
        <v/>
      </c>
      <c r="B519" s="31"/>
      <c r="C519" s="31"/>
      <c r="D519" s="31"/>
      <c r="E519" s="34"/>
      <c r="F519" s="35"/>
      <c r="G519" s="35"/>
      <c r="H519" s="35"/>
      <c r="M519" s="19" t="n">
        <f aca="false">$M$509</f>
        <v>0</v>
      </c>
      <c r="Q519" s="19" t="n">
        <f aca="false">IF(N(E521)&gt;0,1,0)</f>
        <v>0</v>
      </c>
      <c r="S519" s="0" t="n">
        <v>37</v>
      </c>
    </row>
    <row r="520" customFormat="false" ht="36" hidden="false" customHeight="true" outlineLevel="0" collapsed="false">
      <c r="A520" s="36" t="str">
        <f aca="false">IF(M509=1,"المستحق النهائي للأسبوع","")</f>
        <v/>
      </c>
      <c r="B520" s="36"/>
      <c r="C520" s="36"/>
      <c r="D520" s="36"/>
      <c r="E520" s="36"/>
      <c r="F520" s="11" t="str">
        <f aca="false">IF(M509=1,ROUND(N($V$509)+N(E518)*($P$509-$N$509)+N(E519),3),"")</f>
        <v/>
      </c>
      <c r="G520" s="35"/>
      <c r="H520" s="35"/>
      <c r="M520" s="19" t="n">
        <f aca="false">$M$509</f>
        <v>0</v>
      </c>
      <c r="Q520" s="19" t="n">
        <f aca="false">IF(N(E521)&gt;0,1,0)</f>
        <v>0</v>
      </c>
      <c r="S520" s="0" t="n">
        <v>37</v>
      </c>
      <c r="T520" s="0" t="n">
        <v>1</v>
      </c>
    </row>
    <row r="521" customFormat="false" ht="25.5" hidden="false" customHeight="true" outlineLevel="0" collapsed="false">
      <c r="A521" s="31" t="str">
        <f aca="false">IF(M509=1,"المدفوع (دينار) ←","")</f>
        <v/>
      </c>
      <c r="B521" s="31"/>
      <c r="C521" s="31"/>
      <c r="D521" s="31"/>
      <c r="E521" s="34"/>
      <c r="F521" s="38" t="str">
        <f aca="false">IF(M509=1,IF(N(E521)&gt;0,"✔ انقبض — الأسبوع مقفول","⏳ لسا ما انقبض"),"")</f>
        <v/>
      </c>
      <c r="G521" s="38"/>
      <c r="H521" s="38"/>
      <c r="M521" s="19" t="n">
        <f aca="false">$M$509</f>
        <v>0</v>
      </c>
      <c r="Q521" s="19" t="n">
        <f aca="false">IF(N(E521)&gt;0,1,0)</f>
        <v>0</v>
      </c>
      <c r="S521" s="0" t="n">
        <v>37</v>
      </c>
    </row>
    <row r="522" customFormat="false" ht="9.75" hidden="false" customHeight="true" outlineLevel="0" collapsed="false">
      <c r="M522" s="19" t="n">
        <f aca="false">$M$509</f>
        <v>0</v>
      </c>
      <c r="Q522" s="19" t="n">
        <f aca="false">IF(N(E521)&gt;0,1,0)</f>
        <v>0</v>
      </c>
      <c r="S522" s="0" t="n">
        <v>37</v>
      </c>
      <c r="T522" s="0" t="n">
        <v>2</v>
      </c>
    </row>
    <row r="523" customFormat="false" ht="33.75" hidden="false" customHeight="true" outlineLevel="0" collapsed="false">
      <c r="A523" s="17" t="str">
        <f aca="false">IF(38&lt;=NW,TEXT(DAY(WEEK_ONE+259),"00")&amp;"/"&amp;TEXT(MONTH(WEEK_ONE+259),"00")&amp;"/"&amp;YEAR(WEEK_ONE+259)&amp;"  -  "&amp;TEXT(DAY(WEEK_ONE+265),"00")&amp;"/"&amp;TEXT(MONTH(WEEK_ONE+265),"00")&amp;"/"&amp;YEAR(WEEK_ONE+265)&amp;"   ·   الأسبوع 38"&amp;IF(38&lt;START_Z,"   (قبل أسبوع البداية — ما بينحسب)",""),"ما في أسبوع 38 هالسنة")</f>
        <v>12/09/2026  -  18/09/2026   ·   الأسبوع 38   (قبل أسبوع البداية — ما بينحسب)</v>
      </c>
      <c r="B523" s="17"/>
      <c r="C523" s="17"/>
      <c r="D523" s="17"/>
      <c r="E523" s="17"/>
      <c r="F523" s="17"/>
      <c r="G523" s="17"/>
      <c r="H523" s="17"/>
      <c r="L523" s="18" t="n">
        <f aca="false">IF(38&lt;=NW,WEEK_ONE+265,"")</f>
        <v>46283</v>
      </c>
      <c r="M523" s="19" t="n">
        <f aca="false">IF(AND(38&lt;=NW,38&gt;=START_Z),1,0)</f>
        <v>0</v>
      </c>
      <c r="N523" s="20" t="n">
        <f aca="false">IFERROR(INDEX(RT_AZZ,MATCH(L523,RT_K,1)),INDEX(RT_AZZ,1))</f>
        <v>1</v>
      </c>
      <c r="P523" s="20" t="n">
        <f aca="false">IFERROR(INDEX(RT_GYP,MATCH(L523,RT_K,1)),INDEX(RT_GYP,1))</f>
        <v>2.5</v>
      </c>
      <c r="Q523" s="19" t="n">
        <f aca="false">IF(N(E535)&gt;0,1,0)</f>
        <v>0</v>
      </c>
      <c r="R523" s="0" t="n">
        <v>38</v>
      </c>
      <c r="S523" s="0" t="n">
        <v>38</v>
      </c>
      <c r="U523" s="19" t="n">
        <f aca="false">IF(M523=1,SUM(E525:E531),0)</f>
        <v>0</v>
      </c>
      <c r="V523" s="19" t="n">
        <f aca="false">SUM(F525:F531)</f>
        <v>0</v>
      </c>
      <c r="W523" s="19" t="n">
        <f aca="false">IF(M523=1,SUMIFS(F525:F531,G525:G531,"نعم"),0)</f>
        <v>0</v>
      </c>
    </row>
    <row r="524" customFormat="false" ht="39.75" hidden="false" customHeight="true" outlineLevel="0" collapsed="false">
      <c r="A524" s="21" t="s">
        <v>18</v>
      </c>
      <c r="B524" s="21" t="s">
        <v>19</v>
      </c>
      <c r="C524" s="21" t="s">
        <v>20</v>
      </c>
      <c r="D524" s="21" t="s">
        <v>21</v>
      </c>
      <c r="E524" s="21" t="s">
        <v>22</v>
      </c>
      <c r="F524" s="21" t="s">
        <v>29</v>
      </c>
      <c r="G524" s="21" t="s">
        <v>30</v>
      </c>
      <c r="H524" s="21" t="s">
        <v>26</v>
      </c>
      <c r="M524" s="19" t="n">
        <f aca="false">$M$523</f>
        <v>0</v>
      </c>
      <c r="Q524" s="19" t="n">
        <f aca="false">IF(N(E535)&gt;0,1,0)</f>
        <v>0</v>
      </c>
      <c r="S524" s="0" t="n">
        <v>38</v>
      </c>
    </row>
    <row r="525" customFormat="false" ht="15" hidden="false" customHeight="false" outlineLevel="0" collapsed="false">
      <c r="A525" s="22" t="n">
        <f aca="false">IF(38&lt;=NW,WEEK_ONE+259,"")</f>
        <v>46277</v>
      </c>
      <c r="B525" s="23" t="str">
        <f aca="false">IF(A525="","",CHOOSE(WEEKDAY(A525,1),"الأحد","الاثنين","الثلاثاء","الأربعاء","الخميس","الجمعة","السبت"))</f>
        <v>السبت</v>
      </c>
      <c r="C525" s="24"/>
      <c r="D525" s="24"/>
      <c r="E525" s="25" t="str">
        <f aca="false">IF(OR(M525=0,K525="",L525=""),"",MOD(L525-K525,1))</f>
        <v/>
      </c>
      <c r="F525" s="26" t="str">
        <f aca="false">IF(OR(E525="",M525=0),"",IF(ROUND_MODE="للأعلى",CEILING(ROUND((E525*24*$N$523),3),0.25),ROUND((E525*24*$N$523)*4,0)/4))</f>
        <v/>
      </c>
      <c r="G525" s="24"/>
      <c r="H525" s="27"/>
      <c r="K525" s="28" t="str">
        <f aca="false">IF(OR(M525=0,C525=""),"",IF(ISNUMBER(C525),MOD(C525,1),IFERROR(INDEX(القوائم!$B$1:$B$288,MATCH(TRIM(C525),القوائم!$A$1:$A$288,0)),IFERROR(MOD(TIMEVALUE(C525),1),""))))</f>
        <v/>
      </c>
      <c r="L525" s="28" t="str">
        <f aca="false">IF(OR(M525=0,D525=""),"",IF(ISNUMBER(D525),MOD(D525,1),IFERROR(INDEX(القوائم!$B$1:$B$288,MATCH(TRIM(D525),القوائم!$A$1:$A$288,0)),IFERROR(MOD(TIMEVALUE(D525),1),""))))</f>
        <v/>
      </c>
      <c r="M525" s="19" t="n">
        <f aca="false">$M$523</f>
        <v>0</v>
      </c>
      <c r="Q525" s="19" t="n">
        <f aca="false">IF(N(E535)&gt;0,1,0)</f>
        <v>0</v>
      </c>
      <c r="S525" s="0" t="n">
        <v>38</v>
      </c>
    </row>
    <row r="526" customFormat="false" ht="15" hidden="false" customHeight="false" outlineLevel="0" collapsed="false">
      <c r="A526" s="22" t="n">
        <f aca="false">IF(38&lt;=NW,WEEK_ONE+260,"")</f>
        <v>46278</v>
      </c>
      <c r="B526" s="23" t="str">
        <f aca="false">IF(A526="","",CHOOSE(WEEKDAY(A526,1),"الأحد","الاثنين","الثلاثاء","الأربعاء","الخميس","الجمعة","السبت"))</f>
        <v>الأحد</v>
      </c>
      <c r="C526" s="24"/>
      <c r="D526" s="24"/>
      <c r="E526" s="25" t="str">
        <f aca="false">IF(OR(M526=0,K526="",L526=""),"",MOD(L526-K526,1))</f>
        <v/>
      </c>
      <c r="F526" s="26" t="str">
        <f aca="false">IF(OR(E526="",M526=0),"",IF(ROUND_MODE="للأعلى",CEILING(ROUND((E526*24*$N$523),3),0.25),ROUND((E526*24*$N$523)*4,0)/4))</f>
        <v/>
      </c>
      <c r="G526" s="24"/>
      <c r="H526" s="27"/>
      <c r="K526" s="28" t="str">
        <f aca="false">IF(OR(M526=0,C526=""),"",IF(ISNUMBER(C526),MOD(C526,1),IFERROR(INDEX(القوائم!$B$1:$B$288,MATCH(TRIM(C526),القوائم!$A$1:$A$288,0)),IFERROR(MOD(TIMEVALUE(C526),1),""))))</f>
        <v/>
      </c>
      <c r="L526" s="28" t="str">
        <f aca="false">IF(OR(M526=0,D526=""),"",IF(ISNUMBER(D526),MOD(D526,1),IFERROR(INDEX(القوائم!$B$1:$B$288,MATCH(TRIM(D526),القوائم!$A$1:$A$288,0)),IFERROR(MOD(TIMEVALUE(D526),1),""))))</f>
        <v/>
      </c>
      <c r="M526" s="19" t="n">
        <f aca="false">$M$523</f>
        <v>0</v>
      </c>
      <c r="Q526" s="19" t="n">
        <f aca="false">IF(N(E535)&gt;0,1,0)</f>
        <v>0</v>
      </c>
      <c r="S526" s="0" t="n">
        <v>38</v>
      </c>
    </row>
    <row r="527" customFormat="false" ht="15" hidden="false" customHeight="false" outlineLevel="0" collapsed="false">
      <c r="A527" s="22" t="n">
        <f aca="false">IF(38&lt;=NW,WEEK_ONE+261,"")</f>
        <v>46279</v>
      </c>
      <c r="B527" s="23" t="str">
        <f aca="false">IF(A527="","",CHOOSE(WEEKDAY(A527,1),"الأحد","الاثنين","الثلاثاء","الأربعاء","الخميس","الجمعة","السبت"))</f>
        <v>الاثنين</v>
      </c>
      <c r="C527" s="24"/>
      <c r="D527" s="24"/>
      <c r="E527" s="25" t="str">
        <f aca="false">IF(OR(M527=0,K527="",L527=""),"",MOD(L527-K527,1))</f>
        <v/>
      </c>
      <c r="F527" s="26" t="str">
        <f aca="false">IF(OR(E527="",M527=0),"",IF(ROUND_MODE="للأعلى",CEILING(ROUND((E527*24*$N$523),3),0.25),ROUND((E527*24*$N$523)*4,0)/4))</f>
        <v/>
      </c>
      <c r="G527" s="24"/>
      <c r="H527" s="27"/>
      <c r="K527" s="28" t="str">
        <f aca="false">IF(OR(M527=0,C527=""),"",IF(ISNUMBER(C527),MOD(C527,1),IFERROR(INDEX(القوائم!$B$1:$B$288,MATCH(TRIM(C527),القوائم!$A$1:$A$288,0)),IFERROR(MOD(TIMEVALUE(C527),1),""))))</f>
        <v/>
      </c>
      <c r="L527" s="28" t="str">
        <f aca="false">IF(OR(M527=0,D527=""),"",IF(ISNUMBER(D527),MOD(D527,1),IFERROR(INDEX(القوائم!$B$1:$B$288,MATCH(TRIM(D527),القوائم!$A$1:$A$288,0)),IFERROR(MOD(TIMEVALUE(D527),1),""))))</f>
        <v/>
      </c>
      <c r="M527" s="19" t="n">
        <f aca="false">$M$523</f>
        <v>0</v>
      </c>
      <c r="Q527" s="19" t="n">
        <f aca="false">IF(N(E535)&gt;0,1,0)</f>
        <v>0</v>
      </c>
      <c r="S527" s="0" t="n">
        <v>38</v>
      </c>
    </row>
    <row r="528" customFormat="false" ht="15" hidden="false" customHeight="false" outlineLevel="0" collapsed="false">
      <c r="A528" s="22" t="n">
        <f aca="false">IF(38&lt;=NW,WEEK_ONE+262,"")</f>
        <v>46280</v>
      </c>
      <c r="B528" s="23" t="str">
        <f aca="false">IF(A528="","",CHOOSE(WEEKDAY(A528,1),"الأحد","الاثنين","الثلاثاء","الأربعاء","الخميس","الجمعة","السبت"))</f>
        <v>الثلاثاء</v>
      </c>
      <c r="C528" s="24"/>
      <c r="D528" s="24"/>
      <c r="E528" s="25" t="str">
        <f aca="false">IF(OR(M528=0,K528="",L528=""),"",MOD(L528-K528,1))</f>
        <v/>
      </c>
      <c r="F528" s="26" t="str">
        <f aca="false">IF(OR(E528="",M528=0),"",IF(ROUND_MODE="للأعلى",CEILING(ROUND((E528*24*$N$523),3),0.25),ROUND((E528*24*$N$523)*4,0)/4))</f>
        <v/>
      </c>
      <c r="G528" s="24"/>
      <c r="H528" s="27"/>
      <c r="K528" s="28" t="str">
        <f aca="false">IF(OR(M528=0,C528=""),"",IF(ISNUMBER(C528),MOD(C528,1),IFERROR(INDEX(القوائم!$B$1:$B$288,MATCH(TRIM(C528),القوائم!$A$1:$A$288,0)),IFERROR(MOD(TIMEVALUE(C528),1),""))))</f>
        <v/>
      </c>
      <c r="L528" s="28" t="str">
        <f aca="false">IF(OR(M528=0,D528=""),"",IF(ISNUMBER(D528),MOD(D528,1),IFERROR(INDEX(القوائم!$B$1:$B$288,MATCH(TRIM(D528),القوائم!$A$1:$A$288,0)),IFERROR(MOD(TIMEVALUE(D528),1),""))))</f>
        <v/>
      </c>
      <c r="M528" s="19" t="n">
        <f aca="false">$M$523</f>
        <v>0</v>
      </c>
      <c r="Q528" s="19" t="n">
        <f aca="false">IF(N(E535)&gt;0,1,0)</f>
        <v>0</v>
      </c>
      <c r="S528" s="0" t="n">
        <v>38</v>
      </c>
    </row>
    <row r="529" customFormat="false" ht="15" hidden="false" customHeight="false" outlineLevel="0" collapsed="false">
      <c r="A529" s="22" t="n">
        <f aca="false">IF(38&lt;=NW,WEEK_ONE+263,"")</f>
        <v>46281</v>
      </c>
      <c r="B529" s="23" t="str">
        <f aca="false">IF(A529="","",CHOOSE(WEEKDAY(A529,1),"الأحد","الاثنين","الثلاثاء","الأربعاء","الخميس","الجمعة","السبت"))</f>
        <v>الأربعاء</v>
      </c>
      <c r="C529" s="24"/>
      <c r="D529" s="24"/>
      <c r="E529" s="25" t="str">
        <f aca="false">IF(OR(M529=0,K529="",L529=""),"",MOD(L529-K529,1))</f>
        <v/>
      </c>
      <c r="F529" s="26" t="str">
        <f aca="false">IF(OR(E529="",M529=0),"",IF(ROUND_MODE="للأعلى",CEILING(ROUND((E529*24*$N$523),3),0.25),ROUND((E529*24*$N$523)*4,0)/4))</f>
        <v/>
      </c>
      <c r="G529" s="24"/>
      <c r="H529" s="27"/>
      <c r="K529" s="28" t="str">
        <f aca="false">IF(OR(M529=0,C529=""),"",IF(ISNUMBER(C529),MOD(C529,1),IFERROR(INDEX(القوائم!$B$1:$B$288,MATCH(TRIM(C529),القوائم!$A$1:$A$288,0)),IFERROR(MOD(TIMEVALUE(C529),1),""))))</f>
        <v/>
      </c>
      <c r="L529" s="28" t="str">
        <f aca="false">IF(OR(M529=0,D529=""),"",IF(ISNUMBER(D529),MOD(D529,1),IFERROR(INDEX(القوائم!$B$1:$B$288,MATCH(TRIM(D529),القوائم!$A$1:$A$288,0)),IFERROR(MOD(TIMEVALUE(D529),1),""))))</f>
        <v/>
      </c>
      <c r="M529" s="19" t="n">
        <f aca="false">$M$523</f>
        <v>0</v>
      </c>
      <c r="Q529" s="19" t="n">
        <f aca="false">IF(N(E535)&gt;0,1,0)</f>
        <v>0</v>
      </c>
      <c r="S529" s="0" t="n">
        <v>38</v>
      </c>
    </row>
    <row r="530" customFormat="false" ht="15" hidden="false" customHeight="false" outlineLevel="0" collapsed="false">
      <c r="A530" s="22" t="n">
        <f aca="false">IF(38&lt;=NW,WEEK_ONE+264,"")</f>
        <v>46282</v>
      </c>
      <c r="B530" s="23" t="str">
        <f aca="false">IF(A530="","",CHOOSE(WEEKDAY(A530,1),"الأحد","الاثنين","الثلاثاء","الأربعاء","الخميس","الجمعة","السبت"))</f>
        <v>الخميس</v>
      </c>
      <c r="C530" s="24"/>
      <c r="D530" s="24"/>
      <c r="E530" s="25" t="str">
        <f aca="false">IF(OR(M530=0,K530="",L530=""),"",MOD(L530-K530,1))</f>
        <v/>
      </c>
      <c r="F530" s="26" t="str">
        <f aca="false">IF(OR(E530="",M530=0),"",IF(ROUND_MODE="للأعلى",CEILING(ROUND((E530*24*$N$523),3),0.25),ROUND((E530*24*$N$523)*4,0)/4))</f>
        <v/>
      </c>
      <c r="G530" s="24"/>
      <c r="H530" s="27"/>
      <c r="K530" s="28" t="str">
        <f aca="false">IF(OR(M530=0,C530=""),"",IF(ISNUMBER(C530),MOD(C530,1),IFERROR(INDEX(القوائم!$B$1:$B$288,MATCH(TRIM(C530),القوائم!$A$1:$A$288,0)),IFERROR(MOD(TIMEVALUE(C530),1),""))))</f>
        <v/>
      </c>
      <c r="L530" s="28" t="str">
        <f aca="false">IF(OR(M530=0,D530=""),"",IF(ISNUMBER(D530),MOD(D530,1),IFERROR(INDEX(القوائم!$B$1:$B$288,MATCH(TRIM(D530),القوائم!$A$1:$A$288,0)),IFERROR(MOD(TIMEVALUE(D530),1),""))))</f>
        <v/>
      </c>
      <c r="M530" s="19" t="n">
        <f aca="false">$M$523</f>
        <v>0</v>
      </c>
      <c r="Q530" s="19" t="n">
        <f aca="false">IF(N(E535)&gt;0,1,0)</f>
        <v>0</v>
      </c>
      <c r="S530" s="0" t="n">
        <v>38</v>
      </c>
    </row>
    <row r="531" customFormat="false" ht="15" hidden="false" customHeight="false" outlineLevel="0" collapsed="false">
      <c r="A531" s="29" t="n">
        <f aca="false">IF(38&lt;=NW,WEEK_ONE+265,"")</f>
        <v>46283</v>
      </c>
      <c r="B531" s="30" t="str">
        <f aca="false">IF(A531="","",CHOOSE(WEEKDAY(A531,1),"الأحد","الاثنين","الثلاثاء","الأربعاء","الخميس","الجمعة","السبت"))</f>
        <v>الجمعة</v>
      </c>
      <c r="C531" s="24"/>
      <c r="D531" s="24"/>
      <c r="E531" s="25" t="str">
        <f aca="false">IF(OR(M531=0,K531="",L531=""),"",MOD(L531-K531,1))</f>
        <v/>
      </c>
      <c r="F531" s="26" t="str">
        <f aca="false">IF(OR(E531="",M531=0),"",IF(ROUND_MODE="للأعلى",CEILING(ROUND((E531*24*$N$523),3),0.25),ROUND((E531*24*$N$523)*4,0)/4))</f>
        <v/>
      </c>
      <c r="G531" s="24"/>
      <c r="H531" s="27"/>
      <c r="K531" s="28" t="str">
        <f aca="false">IF(OR(M531=0,C531=""),"",IF(ISNUMBER(C531),MOD(C531,1),IFERROR(INDEX(القوائم!$B$1:$B$288,MATCH(TRIM(C531),القوائم!$A$1:$A$288,0)),IFERROR(MOD(TIMEVALUE(C531),1),""))))</f>
        <v/>
      </c>
      <c r="L531" s="28" t="str">
        <f aca="false">IF(OR(M531=0,D531=""),"",IF(ISNUMBER(D531),MOD(D531,1),IFERROR(INDEX(القوائم!$B$1:$B$288,MATCH(TRIM(D531),القوائم!$A$1:$A$288,0)),IFERROR(MOD(TIMEVALUE(D531),1),""))))</f>
        <v/>
      </c>
      <c r="M531" s="19" t="n">
        <f aca="false">$M$523</f>
        <v>0</v>
      </c>
      <c r="Q531" s="19" t="n">
        <f aca="false">IF(N(E535)&gt;0,1,0)</f>
        <v>0</v>
      </c>
      <c r="S531" s="0" t="n">
        <v>38</v>
      </c>
    </row>
    <row r="532" customFormat="false" ht="15" hidden="false" customHeight="false" outlineLevel="0" collapsed="false">
      <c r="A532" s="31" t="str">
        <f aca="false">IF(M523=1,"ساعات تحميل الجبسمبورد بهالأسبوع ←","")</f>
        <v/>
      </c>
      <c r="B532" s="31"/>
      <c r="C532" s="31"/>
      <c r="D532" s="31"/>
      <c r="E532" s="32"/>
      <c r="F532" s="33" t="str">
        <f aca="false">IF(M523=1,"كل ساعة تحميل = "&amp;TEXT($P$523,"0.000")&amp;" دينار (منها "&amp;TEXT($N$523,"0.000")&amp;" محسوبة أصلاً بساعات اليوم)","")</f>
        <v/>
      </c>
      <c r="G532" s="33"/>
      <c r="H532" s="33"/>
      <c r="M532" s="19" t="n">
        <f aca="false">$M$523</f>
        <v>0</v>
      </c>
      <c r="Q532" s="19" t="n">
        <f aca="false">IF(N(E535)&gt;0,1,0)</f>
        <v>0</v>
      </c>
      <c r="S532" s="0" t="n">
        <v>38</v>
      </c>
    </row>
    <row r="533" customFormat="false" ht="15" hidden="false" customHeight="false" outlineLevel="0" collapsed="false">
      <c r="A533" s="31" t="str">
        <f aca="false">IF(M523=1,"إكرامية الأسبوع (دينار) ←","")</f>
        <v/>
      </c>
      <c r="B533" s="31"/>
      <c r="C533" s="31"/>
      <c r="D533" s="31"/>
      <c r="E533" s="34"/>
      <c r="F533" s="35"/>
      <c r="G533" s="35"/>
      <c r="H533" s="35"/>
      <c r="M533" s="19" t="n">
        <f aca="false">$M$523</f>
        <v>0</v>
      </c>
      <c r="Q533" s="19" t="n">
        <f aca="false">IF(N(E535)&gt;0,1,0)</f>
        <v>0</v>
      </c>
      <c r="S533" s="0" t="n">
        <v>38</v>
      </c>
    </row>
    <row r="534" customFormat="false" ht="36" hidden="false" customHeight="true" outlineLevel="0" collapsed="false">
      <c r="A534" s="36" t="str">
        <f aca="false">IF(M523=1,"المستحق النهائي للأسبوع","")</f>
        <v/>
      </c>
      <c r="B534" s="36"/>
      <c r="C534" s="36"/>
      <c r="D534" s="36"/>
      <c r="E534" s="36"/>
      <c r="F534" s="11" t="str">
        <f aca="false">IF(M523=1,ROUND(N($V$523)+N(E532)*($P$523-$N$523)+N(E533),3),"")</f>
        <v/>
      </c>
      <c r="G534" s="35"/>
      <c r="H534" s="35"/>
      <c r="M534" s="19" t="n">
        <f aca="false">$M$523</f>
        <v>0</v>
      </c>
      <c r="Q534" s="19" t="n">
        <f aca="false">IF(N(E535)&gt;0,1,0)</f>
        <v>0</v>
      </c>
      <c r="S534" s="0" t="n">
        <v>38</v>
      </c>
      <c r="T534" s="0" t="n">
        <v>1</v>
      </c>
    </row>
    <row r="535" customFormat="false" ht="25.5" hidden="false" customHeight="true" outlineLevel="0" collapsed="false">
      <c r="A535" s="31" t="str">
        <f aca="false">IF(M523=1,"المدفوع (دينار) ←","")</f>
        <v/>
      </c>
      <c r="B535" s="31"/>
      <c r="C535" s="31"/>
      <c r="D535" s="31"/>
      <c r="E535" s="34"/>
      <c r="F535" s="38" t="str">
        <f aca="false">IF(M523=1,IF(N(E535)&gt;0,"✔ انقبض — الأسبوع مقفول","⏳ لسا ما انقبض"),"")</f>
        <v/>
      </c>
      <c r="G535" s="38"/>
      <c r="H535" s="38"/>
      <c r="M535" s="19" t="n">
        <f aca="false">$M$523</f>
        <v>0</v>
      </c>
      <c r="Q535" s="19" t="n">
        <f aca="false">IF(N(E535)&gt;0,1,0)</f>
        <v>0</v>
      </c>
      <c r="S535" s="0" t="n">
        <v>38</v>
      </c>
    </row>
    <row r="536" customFormat="false" ht="9.75" hidden="false" customHeight="true" outlineLevel="0" collapsed="false">
      <c r="M536" s="19" t="n">
        <f aca="false">$M$523</f>
        <v>0</v>
      </c>
      <c r="Q536" s="19" t="n">
        <f aca="false">IF(N(E535)&gt;0,1,0)</f>
        <v>0</v>
      </c>
      <c r="S536" s="0" t="n">
        <v>38</v>
      </c>
      <c r="T536" s="0" t="n">
        <v>2</v>
      </c>
    </row>
    <row r="537" customFormat="false" ht="33.75" hidden="false" customHeight="true" outlineLevel="0" collapsed="false">
      <c r="A537" s="17" t="str">
        <f aca="false">IF(39&lt;=NW,TEXT(DAY(WEEK_ONE+266),"00")&amp;"/"&amp;TEXT(MONTH(WEEK_ONE+266),"00")&amp;"/"&amp;YEAR(WEEK_ONE+266)&amp;"  -  "&amp;TEXT(DAY(WEEK_ONE+272),"00")&amp;"/"&amp;TEXT(MONTH(WEEK_ONE+272),"00")&amp;"/"&amp;YEAR(WEEK_ONE+272)&amp;"   ·   الأسبوع 39"&amp;IF(39&lt;START_Z,"   (قبل أسبوع البداية — ما بينحسب)",""),"ما في أسبوع 39 هالسنة")</f>
        <v>19/09/2026  -  25/09/2026   ·   الأسبوع 39   (قبل أسبوع البداية — ما بينحسب)</v>
      </c>
      <c r="B537" s="17"/>
      <c r="C537" s="17"/>
      <c r="D537" s="17"/>
      <c r="E537" s="17"/>
      <c r="F537" s="17"/>
      <c r="G537" s="17"/>
      <c r="H537" s="17"/>
      <c r="L537" s="18" t="n">
        <f aca="false">IF(39&lt;=NW,WEEK_ONE+272,"")</f>
        <v>46290</v>
      </c>
      <c r="M537" s="19" t="n">
        <f aca="false">IF(AND(39&lt;=NW,39&gt;=START_Z),1,0)</f>
        <v>0</v>
      </c>
      <c r="N537" s="20" t="n">
        <f aca="false">IFERROR(INDEX(RT_AZZ,MATCH(L537,RT_K,1)),INDEX(RT_AZZ,1))</f>
        <v>1</v>
      </c>
      <c r="P537" s="20" t="n">
        <f aca="false">IFERROR(INDEX(RT_GYP,MATCH(L537,RT_K,1)),INDEX(RT_GYP,1))</f>
        <v>2.5</v>
      </c>
      <c r="Q537" s="19" t="n">
        <f aca="false">IF(N(E549)&gt;0,1,0)</f>
        <v>0</v>
      </c>
      <c r="R537" s="0" t="n">
        <v>39</v>
      </c>
      <c r="S537" s="0" t="n">
        <v>39</v>
      </c>
      <c r="U537" s="19" t="n">
        <f aca="false">IF(M537=1,SUM(E539:E545),0)</f>
        <v>0</v>
      </c>
      <c r="V537" s="19" t="n">
        <f aca="false">SUM(F539:F545)</f>
        <v>0</v>
      </c>
      <c r="W537" s="19" t="n">
        <f aca="false">IF(M537=1,SUMIFS(F539:F545,G539:G545,"نعم"),0)</f>
        <v>0</v>
      </c>
    </row>
    <row r="538" customFormat="false" ht="39.75" hidden="false" customHeight="true" outlineLevel="0" collapsed="false">
      <c r="A538" s="21" t="s">
        <v>18</v>
      </c>
      <c r="B538" s="21" t="s">
        <v>19</v>
      </c>
      <c r="C538" s="21" t="s">
        <v>20</v>
      </c>
      <c r="D538" s="21" t="s">
        <v>21</v>
      </c>
      <c r="E538" s="21" t="s">
        <v>22</v>
      </c>
      <c r="F538" s="21" t="s">
        <v>29</v>
      </c>
      <c r="G538" s="21" t="s">
        <v>30</v>
      </c>
      <c r="H538" s="21" t="s">
        <v>26</v>
      </c>
      <c r="M538" s="19" t="n">
        <f aca="false">$M$537</f>
        <v>0</v>
      </c>
      <c r="Q538" s="19" t="n">
        <f aca="false">IF(N(E549)&gt;0,1,0)</f>
        <v>0</v>
      </c>
      <c r="S538" s="0" t="n">
        <v>39</v>
      </c>
    </row>
    <row r="539" customFormat="false" ht="15" hidden="false" customHeight="false" outlineLevel="0" collapsed="false">
      <c r="A539" s="22" t="n">
        <f aca="false">IF(39&lt;=NW,WEEK_ONE+266,"")</f>
        <v>46284</v>
      </c>
      <c r="B539" s="23" t="str">
        <f aca="false">IF(A539="","",CHOOSE(WEEKDAY(A539,1),"الأحد","الاثنين","الثلاثاء","الأربعاء","الخميس","الجمعة","السبت"))</f>
        <v>السبت</v>
      </c>
      <c r="C539" s="24"/>
      <c r="D539" s="24"/>
      <c r="E539" s="25" t="str">
        <f aca="false">IF(OR(M539=0,K539="",L539=""),"",MOD(L539-K539,1))</f>
        <v/>
      </c>
      <c r="F539" s="26" t="str">
        <f aca="false">IF(OR(E539="",M539=0),"",IF(ROUND_MODE="للأعلى",CEILING(ROUND((E539*24*$N$537),3),0.25),ROUND((E539*24*$N$537)*4,0)/4))</f>
        <v/>
      </c>
      <c r="G539" s="24"/>
      <c r="H539" s="27"/>
      <c r="K539" s="28" t="str">
        <f aca="false">IF(OR(M539=0,C539=""),"",IF(ISNUMBER(C539),MOD(C539,1),IFERROR(INDEX(القوائم!$B$1:$B$288,MATCH(TRIM(C539),القوائم!$A$1:$A$288,0)),IFERROR(MOD(TIMEVALUE(C539),1),""))))</f>
        <v/>
      </c>
      <c r="L539" s="28" t="str">
        <f aca="false">IF(OR(M539=0,D539=""),"",IF(ISNUMBER(D539),MOD(D539,1),IFERROR(INDEX(القوائم!$B$1:$B$288,MATCH(TRIM(D539),القوائم!$A$1:$A$288,0)),IFERROR(MOD(TIMEVALUE(D539),1),""))))</f>
        <v/>
      </c>
      <c r="M539" s="19" t="n">
        <f aca="false">$M$537</f>
        <v>0</v>
      </c>
      <c r="Q539" s="19" t="n">
        <f aca="false">IF(N(E549)&gt;0,1,0)</f>
        <v>0</v>
      </c>
      <c r="S539" s="0" t="n">
        <v>39</v>
      </c>
    </row>
    <row r="540" customFormat="false" ht="15" hidden="false" customHeight="false" outlineLevel="0" collapsed="false">
      <c r="A540" s="22" t="n">
        <f aca="false">IF(39&lt;=NW,WEEK_ONE+267,"")</f>
        <v>46285</v>
      </c>
      <c r="B540" s="23" t="str">
        <f aca="false">IF(A540="","",CHOOSE(WEEKDAY(A540,1),"الأحد","الاثنين","الثلاثاء","الأربعاء","الخميس","الجمعة","السبت"))</f>
        <v>الأحد</v>
      </c>
      <c r="C540" s="24"/>
      <c r="D540" s="24"/>
      <c r="E540" s="25" t="str">
        <f aca="false">IF(OR(M540=0,K540="",L540=""),"",MOD(L540-K540,1))</f>
        <v/>
      </c>
      <c r="F540" s="26" t="str">
        <f aca="false">IF(OR(E540="",M540=0),"",IF(ROUND_MODE="للأعلى",CEILING(ROUND((E540*24*$N$537),3),0.25),ROUND((E540*24*$N$537)*4,0)/4))</f>
        <v/>
      </c>
      <c r="G540" s="24"/>
      <c r="H540" s="27"/>
      <c r="K540" s="28" t="str">
        <f aca="false">IF(OR(M540=0,C540=""),"",IF(ISNUMBER(C540),MOD(C540,1),IFERROR(INDEX(القوائم!$B$1:$B$288,MATCH(TRIM(C540),القوائم!$A$1:$A$288,0)),IFERROR(MOD(TIMEVALUE(C540),1),""))))</f>
        <v/>
      </c>
      <c r="L540" s="28" t="str">
        <f aca="false">IF(OR(M540=0,D540=""),"",IF(ISNUMBER(D540),MOD(D540,1),IFERROR(INDEX(القوائم!$B$1:$B$288,MATCH(TRIM(D540),القوائم!$A$1:$A$288,0)),IFERROR(MOD(TIMEVALUE(D540),1),""))))</f>
        <v/>
      </c>
      <c r="M540" s="19" t="n">
        <f aca="false">$M$537</f>
        <v>0</v>
      </c>
      <c r="Q540" s="19" t="n">
        <f aca="false">IF(N(E549)&gt;0,1,0)</f>
        <v>0</v>
      </c>
      <c r="S540" s="0" t="n">
        <v>39</v>
      </c>
    </row>
    <row r="541" customFormat="false" ht="15" hidden="false" customHeight="false" outlineLevel="0" collapsed="false">
      <c r="A541" s="22" t="n">
        <f aca="false">IF(39&lt;=NW,WEEK_ONE+268,"")</f>
        <v>46286</v>
      </c>
      <c r="B541" s="23" t="str">
        <f aca="false">IF(A541="","",CHOOSE(WEEKDAY(A541,1),"الأحد","الاثنين","الثلاثاء","الأربعاء","الخميس","الجمعة","السبت"))</f>
        <v>الاثنين</v>
      </c>
      <c r="C541" s="24"/>
      <c r="D541" s="24"/>
      <c r="E541" s="25" t="str">
        <f aca="false">IF(OR(M541=0,K541="",L541=""),"",MOD(L541-K541,1))</f>
        <v/>
      </c>
      <c r="F541" s="26" t="str">
        <f aca="false">IF(OR(E541="",M541=0),"",IF(ROUND_MODE="للأعلى",CEILING(ROUND((E541*24*$N$537),3),0.25),ROUND((E541*24*$N$537)*4,0)/4))</f>
        <v/>
      </c>
      <c r="G541" s="24"/>
      <c r="H541" s="27"/>
      <c r="K541" s="28" t="str">
        <f aca="false">IF(OR(M541=0,C541=""),"",IF(ISNUMBER(C541),MOD(C541,1),IFERROR(INDEX(القوائم!$B$1:$B$288,MATCH(TRIM(C541),القوائم!$A$1:$A$288,0)),IFERROR(MOD(TIMEVALUE(C541),1),""))))</f>
        <v/>
      </c>
      <c r="L541" s="28" t="str">
        <f aca="false">IF(OR(M541=0,D541=""),"",IF(ISNUMBER(D541),MOD(D541,1),IFERROR(INDEX(القوائم!$B$1:$B$288,MATCH(TRIM(D541),القوائم!$A$1:$A$288,0)),IFERROR(MOD(TIMEVALUE(D541),1),""))))</f>
        <v/>
      </c>
      <c r="M541" s="19" t="n">
        <f aca="false">$M$537</f>
        <v>0</v>
      </c>
      <c r="Q541" s="19" t="n">
        <f aca="false">IF(N(E549)&gt;0,1,0)</f>
        <v>0</v>
      </c>
      <c r="S541" s="0" t="n">
        <v>39</v>
      </c>
    </row>
    <row r="542" customFormat="false" ht="15" hidden="false" customHeight="false" outlineLevel="0" collapsed="false">
      <c r="A542" s="22" t="n">
        <f aca="false">IF(39&lt;=NW,WEEK_ONE+269,"")</f>
        <v>46287</v>
      </c>
      <c r="B542" s="23" t="str">
        <f aca="false">IF(A542="","",CHOOSE(WEEKDAY(A542,1),"الأحد","الاثنين","الثلاثاء","الأربعاء","الخميس","الجمعة","السبت"))</f>
        <v>الثلاثاء</v>
      </c>
      <c r="C542" s="24"/>
      <c r="D542" s="24"/>
      <c r="E542" s="25" t="str">
        <f aca="false">IF(OR(M542=0,K542="",L542=""),"",MOD(L542-K542,1))</f>
        <v/>
      </c>
      <c r="F542" s="26" t="str">
        <f aca="false">IF(OR(E542="",M542=0),"",IF(ROUND_MODE="للأعلى",CEILING(ROUND((E542*24*$N$537),3),0.25),ROUND((E542*24*$N$537)*4,0)/4))</f>
        <v/>
      </c>
      <c r="G542" s="24"/>
      <c r="H542" s="27"/>
      <c r="K542" s="28" t="str">
        <f aca="false">IF(OR(M542=0,C542=""),"",IF(ISNUMBER(C542),MOD(C542,1),IFERROR(INDEX(القوائم!$B$1:$B$288,MATCH(TRIM(C542),القوائم!$A$1:$A$288,0)),IFERROR(MOD(TIMEVALUE(C542),1),""))))</f>
        <v/>
      </c>
      <c r="L542" s="28" t="str">
        <f aca="false">IF(OR(M542=0,D542=""),"",IF(ISNUMBER(D542),MOD(D542,1),IFERROR(INDEX(القوائم!$B$1:$B$288,MATCH(TRIM(D542),القوائم!$A$1:$A$288,0)),IFERROR(MOD(TIMEVALUE(D542),1),""))))</f>
        <v/>
      </c>
      <c r="M542" s="19" t="n">
        <f aca="false">$M$537</f>
        <v>0</v>
      </c>
      <c r="Q542" s="19" t="n">
        <f aca="false">IF(N(E549)&gt;0,1,0)</f>
        <v>0</v>
      </c>
      <c r="S542" s="0" t="n">
        <v>39</v>
      </c>
    </row>
    <row r="543" customFormat="false" ht="15" hidden="false" customHeight="false" outlineLevel="0" collapsed="false">
      <c r="A543" s="22" t="n">
        <f aca="false">IF(39&lt;=NW,WEEK_ONE+270,"")</f>
        <v>46288</v>
      </c>
      <c r="B543" s="23" t="str">
        <f aca="false">IF(A543="","",CHOOSE(WEEKDAY(A543,1),"الأحد","الاثنين","الثلاثاء","الأربعاء","الخميس","الجمعة","السبت"))</f>
        <v>الأربعاء</v>
      </c>
      <c r="C543" s="24"/>
      <c r="D543" s="24"/>
      <c r="E543" s="25" t="str">
        <f aca="false">IF(OR(M543=0,K543="",L543=""),"",MOD(L543-K543,1))</f>
        <v/>
      </c>
      <c r="F543" s="26" t="str">
        <f aca="false">IF(OR(E543="",M543=0),"",IF(ROUND_MODE="للأعلى",CEILING(ROUND((E543*24*$N$537),3),0.25),ROUND((E543*24*$N$537)*4,0)/4))</f>
        <v/>
      </c>
      <c r="G543" s="24"/>
      <c r="H543" s="27"/>
      <c r="K543" s="28" t="str">
        <f aca="false">IF(OR(M543=0,C543=""),"",IF(ISNUMBER(C543),MOD(C543,1),IFERROR(INDEX(القوائم!$B$1:$B$288,MATCH(TRIM(C543),القوائم!$A$1:$A$288,0)),IFERROR(MOD(TIMEVALUE(C543),1),""))))</f>
        <v/>
      </c>
      <c r="L543" s="28" t="str">
        <f aca="false">IF(OR(M543=0,D543=""),"",IF(ISNUMBER(D543),MOD(D543,1),IFERROR(INDEX(القوائم!$B$1:$B$288,MATCH(TRIM(D543),القوائم!$A$1:$A$288,0)),IFERROR(MOD(TIMEVALUE(D543),1),""))))</f>
        <v/>
      </c>
      <c r="M543" s="19" t="n">
        <f aca="false">$M$537</f>
        <v>0</v>
      </c>
      <c r="Q543" s="19" t="n">
        <f aca="false">IF(N(E549)&gt;0,1,0)</f>
        <v>0</v>
      </c>
      <c r="S543" s="0" t="n">
        <v>39</v>
      </c>
    </row>
    <row r="544" customFormat="false" ht="15" hidden="false" customHeight="false" outlineLevel="0" collapsed="false">
      <c r="A544" s="22" t="n">
        <f aca="false">IF(39&lt;=NW,WEEK_ONE+271,"")</f>
        <v>46289</v>
      </c>
      <c r="B544" s="23" t="str">
        <f aca="false">IF(A544="","",CHOOSE(WEEKDAY(A544,1),"الأحد","الاثنين","الثلاثاء","الأربعاء","الخميس","الجمعة","السبت"))</f>
        <v>الخميس</v>
      </c>
      <c r="C544" s="24"/>
      <c r="D544" s="24"/>
      <c r="E544" s="25" t="str">
        <f aca="false">IF(OR(M544=0,K544="",L544=""),"",MOD(L544-K544,1))</f>
        <v/>
      </c>
      <c r="F544" s="26" t="str">
        <f aca="false">IF(OR(E544="",M544=0),"",IF(ROUND_MODE="للأعلى",CEILING(ROUND((E544*24*$N$537),3),0.25),ROUND((E544*24*$N$537)*4,0)/4))</f>
        <v/>
      </c>
      <c r="G544" s="24"/>
      <c r="H544" s="27"/>
      <c r="K544" s="28" t="str">
        <f aca="false">IF(OR(M544=0,C544=""),"",IF(ISNUMBER(C544),MOD(C544,1),IFERROR(INDEX(القوائم!$B$1:$B$288,MATCH(TRIM(C544),القوائم!$A$1:$A$288,0)),IFERROR(MOD(TIMEVALUE(C544),1),""))))</f>
        <v/>
      </c>
      <c r="L544" s="28" t="str">
        <f aca="false">IF(OR(M544=0,D544=""),"",IF(ISNUMBER(D544),MOD(D544,1),IFERROR(INDEX(القوائم!$B$1:$B$288,MATCH(TRIM(D544),القوائم!$A$1:$A$288,0)),IFERROR(MOD(TIMEVALUE(D544),1),""))))</f>
        <v/>
      </c>
      <c r="M544" s="19" t="n">
        <f aca="false">$M$537</f>
        <v>0</v>
      </c>
      <c r="Q544" s="19" t="n">
        <f aca="false">IF(N(E549)&gt;0,1,0)</f>
        <v>0</v>
      </c>
      <c r="S544" s="0" t="n">
        <v>39</v>
      </c>
    </row>
    <row r="545" customFormat="false" ht="15" hidden="false" customHeight="false" outlineLevel="0" collapsed="false">
      <c r="A545" s="29" t="n">
        <f aca="false">IF(39&lt;=NW,WEEK_ONE+272,"")</f>
        <v>46290</v>
      </c>
      <c r="B545" s="30" t="str">
        <f aca="false">IF(A545="","",CHOOSE(WEEKDAY(A545,1),"الأحد","الاثنين","الثلاثاء","الأربعاء","الخميس","الجمعة","السبت"))</f>
        <v>الجمعة</v>
      </c>
      <c r="C545" s="24"/>
      <c r="D545" s="24"/>
      <c r="E545" s="25" t="str">
        <f aca="false">IF(OR(M545=0,K545="",L545=""),"",MOD(L545-K545,1))</f>
        <v/>
      </c>
      <c r="F545" s="26" t="str">
        <f aca="false">IF(OR(E545="",M545=0),"",IF(ROUND_MODE="للأعلى",CEILING(ROUND((E545*24*$N$537),3),0.25),ROUND((E545*24*$N$537)*4,0)/4))</f>
        <v/>
      </c>
      <c r="G545" s="24"/>
      <c r="H545" s="27"/>
      <c r="K545" s="28" t="str">
        <f aca="false">IF(OR(M545=0,C545=""),"",IF(ISNUMBER(C545),MOD(C545,1),IFERROR(INDEX(القوائم!$B$1:$B$288,MATCH(TRIM(C545),القوائم!$A$1:$A$288,0)),IFERROR(MOD(TIMEVALUE(C545),1),""))))</f>
        <v/>
      </c>
      <c r="L545" s="28" t="str">
        <f aca="false">IF(OR(M545=0,D545=""),"",IF(ISNUMBER(D545),MOD(D545,1),IFERROR(INDEX(القوائم!$B$1:$B$288,MATCH(TRIM(D545),القوائم!$A$1:$A$288,0)),IFERROR(MOD(TIMEVALUE(D545),1),""))))</f>
        <v/>
      </c>
      <c r="M545" s="19" t="n">
        <f aca="false">$M$537</f>
        <v>0</v>
      </c>
      <c r="Q545" s="19" t="n">
        <f aca="false">IF(N(E549)&gt;0,1,0)</f>
        <v>0</v>
      </c>
      <c r="S545" s="0" t="n">
        <v>39</v>
      </c>
    </row>
    <row r="546" customFormat="false" ht="15" hidden="false" customHeight="false" outlineLevel="0" collapsed="false">
      <c r="A546" s="31" t="str">
        <f aca="false">IF(M537=1,"ساعات تحميل الجبسمبورد بهالأسبوع ←","")</f>
        <v/>
      </c>
      <c r="B546" s="31"/>
      <c r="C546" s="31"/>
      <c r="D546" s="31"/>
      <c r="E546" s="32"/>
      <c r="F546" s="33" t="str">
        <f aca="false">IF(M537=1,"كل ساعة تحميل = "&amp;TEXT($P$537,"0.000")&amp;" دينار (منها "&amp;TEXT($N$537,"0.000")&amp;" محسوبة أصلاً بساعات اليوم)","")</f>
        <v/>
      </c>
      <c r="G546" s="33"/>
      <c r="H546" s="33"/>
      <c r="M546" s="19" t="n">
        <f aca="false">$M$537</f>
        <v>0</v>
      </c>
      <c r="Q546" s="19" t="n">
        <f aca="false">IF(N(E549)&gt;0,1,0)</f>
        <v>0</v>
      </c>
      <c r="S546" s="0" t="n">
        <v>39</v>
      </c>
    </row>
    <row r="547" customFormat="false" ht="15" hidden="false" customHeight="false" outlineLevel="0" collapsed="false">
      <c r="A547" s="31" t="str">
        <f aca="false">IF(M537=1,"إكرامية الأسبوع (دينار) ←","")</f>
        <v/>
      </c>
      <c r="B547" s="31"/>
      <c r="C547" s="31"/>
      <c r="D547" s="31"/>
      <c r="E547" s="34"/>
      <c r="F547" s="35"/>
      <c r="G547" s="35"/>
      <c r="H547" s="35"/>
      <c r="M547" s="19" t="n">
        <f aca="false">$M$537</f>
        <v>0</v>
      </c>
      <c r="Q547" s="19" t="n">
        <f aca="false">IF(N(E549)&gt;0,1,0)</f>
        <v>0</v>
      </c>
      <c r="S547" s="0" t="n">
        <v>39</v>
      </c>
    </row>
    <row r="548" customFormat="false" ht="36" hidden="false" customHeight="true" outlineLevel="0" collapsed="false">
      <c r="A548" s="36" t="str">
        <f aca="false">IF(M537=1,"المستحق النهائي للأسبوع","")</f>
        <v/>
      </c>
      <c r="B548" s="36"/>
      <c r="C548" s="36"/>
      <c r="D548" s="36"/>
      <c r="E548" s="36"/>
      <c r="F548" s="11" t="str">
        <f aca="false">IF(M537=1,ROUND(N($V$537)+N(E546)*($P$537-$N$537)+N(E547),3),"")</f>
        <v/>
      </c>
      <c r="G548" s="35"/>
      <c r="H548" s="35"/>
      <c r="M548" s="19" t="n">
        <f aca="false">$M$537</f>
        <v>0</v>
      </c>
      <c r="Q548" s="19" t="n">
        <f aca="false">IF(N(E549)&gt;0,1,0)</f>
        <v>0</v>
      </c>
      <c r="S548" s="0" t="n">
        <v>39</v>
      </c>
      <c r="T548" s="0" t="n">
        <v>1</v>
      </c>
    </row>
    <row r="549" customFormat="false" ht="25.5" hidden="false" customHeight="true" outlineLevel="0" collapsed="false">
      <c r="A549" s="31" t="str">
        <f aca="false">IF(M537=1,"المدفوع (دينار) ←","")</f>
        <v/>
      </c>
      <c r="B549" s="31"/>
      <c r="C549" s="31"/>
      <c r="D549" s="31"/>
      <c r="E549" s="34"/>
      <c r="F549" s="38" t="str">
        <f aca="false">IF(M537=1,IF(N(E549)&gt;0,"✔ انقبض — الأسبوع مقفول","⏳ لسا ما انقبض"),"")</f>
        <v/>
      </c>
      <c r="G549" s="38"/>
      <c r="H549" s="38"/>
      <c r="M549" s="19" t="n">
        <f aca="false">$M$537</f>
        <v>0</v>
      </c>
      <c r="Q549" s="19" t="n">
        <f aca="false">IF(N(E549)&gt;0,1,0)</f>
        <v>0</v>
      </c>
      <c r="S549" s="0" t="n">
        <v>39</v>
      </c>
    </row>
    <row r="550" customFormat="false" ht="9.75" hidden="false" customHeight="true" outlineLevel="0" collapsed="false">
      <c r="M550" s="19" t="n">
        <f aca="false">$M$537</f>
        <v>0</v>
      </c>
      <c r="Q550" s="19" t="n">
        <f aca="false">IF(N(E549)&gt;0,1,0)</f>
        <v>0</v>
      </c>
      <c r="S550" s="0" t="n">
        <v>39</v>
      </c>
      <c r="T550" s="0" t="n">
        <v>2</v>
      </c>
    </row>
    <row r="551" customFormat="false" ht="33.75" hidden="false" customHeight="true" outlineLevel="0" collapsed="false">
      <c r="A551" s="17" t="str">
        <f aca="false">IF(40&lt;=NW,TEXT(DAY(WEEK_ONE+273),"00")&amp;"/"&amp;TEXT(MONTH(WEEK_ONE+273),"00")&amp;"/"&amp;YEAR(WEEK_ONE+273)&amp;"  -  "&amp;TEXT(DAY(WEEK_ONE+279),"00")&amp;"/"&amp;TEXT(MONTH(WEEK_ONE+279),"00")&amp;"/"&amp;YEAR(WEEK_ONE+279)&amp;"   ·   الأسبوع 40"&amp;IF(40&lt;START_Z,"   (قبل أسبوع البداية — ما بينحسب)",""),"ما في أسبوع 40 هالسنة")</f>
        <v>26/09/2026  -  02/10/2026   ·   الأسبوع 40</v>
      </c>
      <c r="B551" s="17"/>
      <c r="C551" s="17"/>
      <c r="D551" s="17"/>
      <c r="E551" s="17"/>
      <c r="F551" s="17"/>
      <c r="G551" s="17"/>
      <c r="H551" s="17"/>
      <c r="L551" s="18" t="n">
        <f aca="false">IF(40&lt;=NW,WEEK_ONE+279,"")</f>
        <v>46297</v>
      </c>
      <c r="M551" s="19" t="n">
        <f aca="false">IF(AND(40&lt;=NW,40&gt;=START_Z),1,0)</f>
        <v>1</v>
      </c>
      <c r="N551" s="20" t="n">
        <f aca="false">IFERROR(INDEX(RT_AZZ,MATCH(L551,RT_K,1)),INDEX(RT_AZZ,1))</f>
        <v>1</v>
      </c>
      <c r="P551" s="20" t="n">
        <f aca="false">IFERROR(INDEX(RT_GYP,MATCH(L551,RT_K,1)),INDEX(RT_GYP,1))</f>
        <v>2.5</v>
      </c>
      <c r="Q551" s="19" t="n">
        <f aca="false">IF(N(E563)&gt;0,1,0)</f>
        <v>0</v>
      </c>
      <c r="R551" s="0" t="n">
        <v>40</v>
      </c>
      <c r="S551" s="0" t="n">
        <v>40</v>
      </c>
      <c r="U551" s="39" t="n">
        <f aca="false">IF(M551=1,SUM(E553:E559),0)</f>
        <v>0</v>
      </c>
      <c r="V551" s="19" t="n">
        <f aca="false">SUM(F553:F559)</f>
        <v>0</v>
      </c>
      <c r="W551" s="19" t="n">
        <f aca="false">IF(M551=1,SUMIFS(F553:F559,G553:G559,"نعم"),0)</f>
        <v>0</v>
      </c>
    </row>
    <row r="552" customFormat="false" ht="39.75" hidden="false" customHeight="true" outlineLevel="0" collapsed="false">
      <c r="A552" s="21" t="s">
        <v>18</v>
      </c>
      <c r="B552" s="21" t="s">
        <v>19</v>
      </c>
      <c r="C552" s="21" t="s">
        <v>20</v>
      </c>
      <c r="D552" s="21" t="s">
        <v>21</v>
      </c>
      <c r="E552" s="21" t="s">
        <v>22</v>
      </c>
      <c r="F552" s="21" t="s">
        <v>29</v>
      </c>
      <c r="G552" s="21" t="s">
        <v>30</v>
      </c>
      <c r="H552" s="21" t="s">
        <v>26</v>
      </c>
      <c r="M552" s="19" t="n">
        <f aca="false">$M$551</f>
        <v>1</v>
      </c>
      <c r="Q552" s="19" t="n">
        <f aca="false">IF(N(E563)&gt;0,1,0)</f>
        <v>0</v>
      </c>
      <c r="S552" s="0" t="n">
        <v>40</v>
      </c>
    </row>
    <row r="553" customFormat="false" ht="15" hidden="false" customHeight="false" outlineLevel="0" collapsed="false">
      <c r="A553" s="22" t="n">
        <f aca="false">IF(40&lt;=NW,WEEK_ONE+273,"")</f>
        <v>46291</v>
      </c>
      <c r="B553" s="23" t="str">
        <f aca="false">IF(A553="","",CHOOSE(WEEKDAY(A553,1),"الأحد","الاثنين","الثلاثاء","الأربعاء","الخميس","الجمعة","السبت"))</f>
        <v>السبت</v>
      </c>
      <c r="C553" s="24"/>
      <c r="D553" s="24"/>
      <c r="E553" s="25" t="str">
        <f aca="false">IF(OR(M553=0,K553="",L553=""),"",MOD(L553-K553,1))</f>
        <v/>
      </c>
      <c r="F553" s="26" t="str">
        <f aca="false">IF(OR(E553="",M553=0),"",IF(ROUND_MODE="للأعلى",CEILING(ROUND((E553*24*$N$551),3),0.25),ROUND((E553*24*$N$551)*4,0)/4))</f>
        <v/>
      </c>
      <c r="G553" s="24"/>
      <c r="H553" s="27"/>
      <c r="K553" s="28" t="str">
        <f aca="false">IF(OR(M553=0,C553=""),"",IF(ISNUMBER(C553),MOD(C553,1),IFERROR(INDEX(القوائم!$B$1:$B$288,MATCH(TRIM(C553),القوائم!$A$1:$A$288,0)),IFERROR(MOD(TIMEVALUE(C553),1),""))))</f>
        <v/>
      </c>
      <c r="L553" s="28" t="str">
        <f aca="false">IF(OR(M553=0,D553=""),"",IF(ISNUMBER(D553),MOD(D553,1),IFERROR(INDEX(القوائم!$B$1:$B$288,MATCH(TRIM(D553),القوائم!$A$1:$A$288,0)),IFERROR(MOD(TIMEVALUE(D553),1),""))))</f>
        <v/>
      </c>
      <c r="M553" s="19" t="n">
        <f aca="false">$M$551</f>
        <v>1</v>
      </c>
      <c r="Q553" s="19" t="n">
        <f aca="false">IF(N(E563)&gt;0,1,0)</f>
        <v>0</v>
      </c>
      <c r="S553" s="0" t="n">
        <v>40</v>
      </c>
    </row>
    <row r="554" customFormat="false" ht="15" hidden="false" customHeight="false" outlineLevel="0" collapsed="false">
      <c r="A554" s="22" t="n">
        <f aca="false">IF(40&lt;=NW,WEEK_ONE+274,"")</f>
        <v>46292</v>
      </c>
      <c r="B554" s="23" t="str">
        <f aca="false">IF(A554="","",CHOOSE(WEEKDAY(A554,1),"الأحد","الاثنين","الثلاثاء","الأربعاء","الخميس","الجمعة","السبت"))</f>
        <v>الأحد</v>
      </c>
      <c r="C554" s="24"/>
      <c r="D554" s="24"/>
      <c r="E554" s="25" t="str">
        <f aca="false">IF(OR(M554=0,K554="",L554=""),"",MOD(L554-K554,1))</f>
        <v/>
      </c>
      <c r="F554" s="26" t="str">
        <f aca="false">IF(OR(E554="",M554=0),"",IF(ROUND_MODE="للأعلى",CEILING(ROUND((E554*24*$N$551),3),0.25),ROUND((E554*24*$N$551)*4,0)/4))</f>
        <v/>
      </c>
      <c r="G554" s="24"/>
      <c r="H554" s="27"/>
      <c r="K554" s="28" t="str">
        <f aca="false">IF(OR(M554=0,C554=""),"",IF(ISNUMBER(C554),MOD(C554,1),IFERROR(INDEX(القوائم!$B$1:$B$288,MATCH(TRIM(C554),القوائم!$A$1:$A$288,0)),IFERROR(MOD(TIMEVALUE(C554),1),""))))</f>
        <v/>
      </c>
      <c r="L554" s="28" t="str">
        <f aca="false">IF(OR(M554=0,D554=""),"",IF(ISNUMBER(D554),MOD(D554,1),IFERROR(INDEX(القوائم!$B$1:$B$288,MATCH(TRIM(D554),القوائم!$A$1:$A$288,0)),IFERROR(MOD(TIMEVALUE(D554),1),""))))</f>
        <v/>
      </c>
      <c r="M554" s="19" t="n">
        <f aca="false">$M$551</f>
        <v>1</v>
      </c>
      <c r="Q554" s="19" t="n">
        <f aca="false">IF(N(E563)&gt;0,1,0)</f>
        <v>0</v>
      </c>
      <c r="S554" s="0" t="n">
        <v>40</v>
      </c>
    </row>
    <row r="555" customFormat="false" ht="15" hidden="false" customHeight="false" outlineLevel="0" collapsed="false">
      <c r="A555" s="22" t="n">
        <f aca="false">IF(40&lt;=NW,WEEK_ONE+275,"")</f>
        <v>46293</v>
      </c>
      <c r="B555" s="23" t="str">
        <f aca="false">IF(A555="","",CHOOSE(WEEKDAY(A555,1),"الأحد","الاثنين","الثلاثاء","الأربعاء","الخميس","الجمعة","السبت"))</f>
        <v>الاثنين</v>
      </c>
      <c r="C555" s="24"/>
      <c r="D555" s="24"/>
      <c r="E555" s="25" t="str">
        <f aca="false">IF(OR(M555=0,K555="",L555=""),"",MOD(L555-K555,1))</f>
        <v/>
      </c>
      <c r="F555" s="26" t="str">
        <f aca="false">IF(OR(E555="",M555=0),"",IF(ROUND_MODE="للأعلى",CEILING(ROUND((E555*24*$N$551),3),0.25),ROUND((E555*24*$N$551)*4,0)/4))</f>
        <v/>
      </c>
      <c r="G555" s="24"/>
      <c r="H555" s="27"/>
      <c r="K555" s="28" t="str">
        <f aca="false">IF(OR(M555=0,C555=""),"",IF(ISNUMBER(C555),MOD(C555,1),IFERROR(INDEX(القوائم!$B$1:$B$288,MATCH(TRIM(C555),القوائم!$A$1:$A$288,0)),IFERROR(MOD(TIMEVALUE(C555),1),""))))</f>
        <v/>
      </c>
      <c r="L555" s="28" t="str">
        <f aca="false">IF(OR(M555=0,D555=""),"",IF(ISNUMBER(D555),MOD(D555,1),IFERROR(INDEX(القوائم!$B$1:$B$288,MATCH(TRIM(D555),القوائم!$A$1:$A$288,0)),IFERROR(MOD(TIMEVALUE(D555),1),""))))</f>
        <v/>
      </c>
      <c r="M555" s="19" t="n">
        <f aca="false">$M$551</f>
        <v>1</v>
      </c>
      <c r="Q555" s="19" t="n">
        <f aca="false">IF(N(E563)&gt;0,1,0)</f>
        <v>0</v>
      </c>
      <c r="S555" s="0" t="n">
        <v>40</v>
      </c>
    </row>
    <row r="556" customFormat="false" ht="15" hidden="false" customHeight="false" outlineLevel="0" collapsed="false">
      <c r="A556" s="22" t="n">
        <f aca="false">IF(40&lt;=NW,WEEK_ONE+276,"")</f>
        <v>46294</v>
      </c>
      <c r="B556" s="23" t="str">
        <f aca="false">IF(A556="","",CHOOSE(WEEKDAY(A556,1),"الأحد","الاثنين","الثلاثاء","الأربعاء","الخميس","الجمعة","السبت"))</f>
        <v>الثلاثاء</v>
      </c>
      <c r="C556" s="24"/>
      <c r="D556" s="24"/>
      <c r="E556" s="25" t="str">
        <f aca="false">IF(OR(M556=0,K556="",L556=""),"",MOD(L556-K556,1))</f>
        <v/>
      </c>
      <c r="F556" s="26" t="str">
        <f aca="false">IF(OR(E556="",M556=0),"",IF(ROUND_MODE="للأعلى",CEILING(ROUND((E556*24*$N$551),3),0.25),ROUND((E556*24*$N$551)*4,0)/4))</f>
        <v/>
      </c>
      <c r="G556" s="24"/>
      <c r="H556" s="27"/>
      <c r="K556" s="28" t="str">
        <f aca="false">IF(OR(M556=0,C556=""),"",IF(ISNUMBER(C556),MOD(C556,1),IFERROR(INDEX(القوائم!$B$1:$B$288,MATCH(TRIM(C556),القوائم!$A$1:$A$288,0)),IFERROR(MOD(TIMEVALUE(C556),1),""))))</f>
        <v/>
      </c>
      <c r="L556" s="28" t="str">
        <f aca="false">IF(OR(M556=0,D556=""),"",IF(ISNUMBER(D556),MOD(D556,1),IFERROR(INDEX(القوائم!$B$1:$B$288,MATCH(TRIM(D556),القوائم!$A$1:$A$288,0)),IFERROR(MOD(TIMEVALUE(D556),1),""))))</f>
        <v/>
      </c>
      <c r="M556" s="19" t="n">
        <f aca="false">$M$551</f>
        <v>1</v>
      </c>
      <c r="Q556" s="19" t="n">
        <f aca="false">IF(N(E563)&gt;0,1,0)</f>
        <v>0</v>
      </c>
      <c r="S556" s="0" t="n">
        <v>40</v>
      </c>
    </row>
    <row r="557" customFormat="false" ht="15" hidden="false" customHeight="false" outlineLevel="0" collapsed="false">
      <c r="A557" s="22" t="n">
        <f aca="false">IF(40&lt;=NW,WEEK_ONE+277,"")</f>
        <v>46295</v>
      </c>
      <c r="B557" s="23" t="str">
        <f aca="false">IF(A557="","",CHOOSE(WEEKDAY(A557,1),"الأحد","الاثنين","الثلاثاء","الأربعاء","الخميس","الجمعة","السبت"))</f>
        <v>الأربعاء</v>
      </c>
      <c r="C557" s="24"/>
      <c r="D557" s="24"/>
      <c r="E557" s="25" t="str">
        <f aca="false">IF(OR(M557=0,K557="",L557=""),"",MOD(L557-K557,1))</f>
        <v/>
      </c>
      <c r="F557" s="26" t="str">
        <f aca="false">IF(OR(E557="",M557=0),"",IF(ROUND_MODE="للأعلى",CEILING(ROUND((E557*24*$N$551),3),0.25),ROUND((E557*24*$N$551)*4,0)/4))</f>
        <v/>
      </c>
      <c r="G557" s="24"/>
      <c r="H557" s="27"/>
      <c r="K557" s="28" t="str">
        <f aca="false">IF(OR(M557=0,C557=""),"",IF(ISNUMBER(C557),MOD(C557,1),IFERROR(INDEX(القوائم!$B$1:$B$288,MATCH(TRIM(C557),القوائم!$A$1:$A$288,0)),IFERROR(MOD(TIMEVALUE(C557),1),""))))</f>
        <v/>
      </c>
      <c r="L557" s="28" t="str">
        <f aca="false">IF(OR(M557=0,D557=""),"",IF(ISNUMBER(D557),MOD(D557,1),IFERROR(INDEX(القوائم!$B$1:$B$288,MATCH(TRIM(D557),القوائم!$A$1:$A$288,0)),IFERROR(MOD(TIMEVALUE(D557),1),""))))</f>
        <v/>
      </c>
      <c r="M557" s="19" t="n">
        <f aca="false">$M$551</f>
        <v>1</v>
      </c>
      <c r="Q557" s="19" t="n">
        <f aca="false">IF(N(E563)&gt;0,1,0)</f>
        <v>0</v>
      </c>
      <c r="S557" s="0" t="n">
        <v>40</v>
      </c>
    </row>
    <row r="558" customFormat="false" ht="15" hidden="false" customHeight="false" outlineLevel="0" collapsed="false">
      <c r="A558" s="22" t="n">
        <f aca="false">IF(40&lt;=NW,WEEK_ONE+278,"")</f>
        <v>46296</v>
      </c>
      <c r="B558" s="23" t="str">
        <f aca="false">IF(A558="","",CHOOSE(WEEKDAY(A558,1),"الأحد","الاثنين","الثلاثاء","الأربعاء","الخميس","الجمعة","السبت"))</f>
        <v>الخميس</v>
      </c>
      <c r="C558" s="24"/>
      <c r="D558" s="24"/>
      <c r="E558" s="25" t="str">
        <f aca="false">IF(OR(M558=0,K558="",L558=""),"",MOD(L558-K558,1))</f>
        <v/>
      </c>
      <c r="F558" s="26" t="str">
        <f aca="false">IF(OR(E558="",M558=0),"",IF(ROUND_MODE="للأعلى",CEILING(ROUND((E558*24*$N$551),3),0.25),ROUND((E558*24*$N$551)*4,0)/4))</f>
        <v/>
      </c>
      <c r="G558" s="24"/>
      <c r="H558" s="27"/>
      <c r="K558" s="28" t="str">
        <f aca="false">IF(OR(M558=0,C558=""),"",IF(ISNUMBER(C558),MOD(C558,1),IFERROR(INDEX(القوائم!$B$1:$B$288,MATCH(TRIM(C558),القوائم!$A$1:$A$288,0)),IFERROR(MOD(TIMEVALUE(C558),1),""))))</f>
        <v/>
      </c>
      <c r="L558" s="28" t="str">
        <f aca="false">IF(OR(M558=0,D558=""),"",IF(ISNUMBER(D558),MOD(D558,1),IFERROR(INDEX(القوائم!$B$1:$B$288,MATCH(TRIM(D558),القوائم!$A$1:$A$288,0)),IFERROR(MOD(TIMEVALUE(D558),1),""))))</f>
        <v/>
      </c>
      <c r="M558" s="19" t="n">
        <f aca="false">$M$551</f>
        <v>1</v>
      </c>
      <c r="Q558" s="19" t="n">
        <f aca="false">IF(N(E563)&gt;0,1,0)</f>
        <v>0</v>
      </c>
      <c r="S558" s="0" t="n">
        <v>40</v>
      </c>
    </row>
    <row r="559" customFormat="false" ht="15" hidden="false" customHeight="false" outlineLevel="0" collapsed="false">
      <c r="A559" s="29" t="n">
        <f aca="false">IF(40&lt;=NW,WEEK_ONE+279,"")</f>
        <v>46297</v>
      </c>
      <c r="B559" s="30" t="str">
        <f aca="false">IF(A559="","",CHOOSE(WEEKDAY(A559,1),"الأحد","الاثنين","الثلاثاء","الأربعاء","الخميس","الجمعة","السبت"))</f>
        <v>الجمعة</v>
      </c>
      <c r="C559" s="24"/>
      <c r="D559" s="24"/>
      <c r="E559" s="25" t="str">
        <f aca="false">IF(OR(M559=0,K559="",L559=""),"",MOD(L559-K559,1))</f>
        <v/>
      </c>
      <c r="F559" s="26" t="str">
        <f aca="false">IF(OR(E559="",M559=0),"",IF(ROUND_MODE="للأعلى",CEILING(ROUND((E559*24*$N$551),3),0.25),ROUND((E559*24*$N$551)*4,0)/4))</f>
        <v/>
      </c>
      <c r="G559" s="24"/>
      <c r="H559" s="27"/>
      <c r="K559" s="28" t="str">
        <f aca="false">IF(OR(M559=0,C559=""),"",IF(ISNUMBER(C559),MOD(C559,1),IFERROR(INDEX(القوائم!$B$1:$B$288,MATCH(TRIM(C559),القوائم!$A$1:$A$288,0)),IFERROR(MOD(TIMEVALUE(C559),1),""))))</f>
        <v/>
      </c>
      <c r="L559" s="28" t="str">
        <f aca="false">IF(OR(M559=0,D559=""),"",IF(ISNUMBER(D559),MOD(D559,1),IFERROR(INDEX(القوائم!$B$1:$B$288,MATCH(TRIM(D559),القوائم!$A$1:$A$288,0)),IFERROR(MOD(TIMEVALUE(D559),1),""))))</f>
        <v/>
      </c>
      <c r="M559" s="19" t="n">
        <f aca="false">$M$551</f>
        <v>1</v>
      </c>
      <c r="Q559" s="19" t="n">
        <f aca="false">IF(N(E563)&gt;0,1,0)</f>
        <v>0</v>
      </c>
      <c r="S559" s="0" t="n">
        <v>40</v>
      </c>
    </row>
    <row r="560" customFormat="false" ht="15" hidden="false" customHeight="false" outlineLevel="0" collapsed="false">
      <c r="A560" s="31" t="str">
        <f aca="false">IF(M551=1,"ساعات تحميل الجبسمبورد بهالأسبوع ←","")</f>
        <v>ساعات تحميل الجبسمبورد بهالأسبوع ←</v>
      </c>
      <c r="B560" s="31"/>
      <c r="C560" s="31"/>
      <c r="D560" s="31"/>
      <c r="E560" s="32"/>
      <c r="F560" s="33" t="str">
        <f aca="false">IF(M551=1,"كل ساعة تحميل = "&amp;TEXT($P$551,"0.000")&amp;" دينار (منها "&amp;TEXT($N$551,"0.000")&amp;" محسوبة أصلاً بساعات اليوم)","")</f>
        <v>كل ساعة تحميل = 2.500 دينار (منها 1.000 محسوبة أصلاً بساعات اليوم)</v>
      </c>
      <c r="G560" s="33"/>
      <c r="H560" s="33"/>
      <c r="M560" s="19" t="n">
        <f aca="false">$M$551</f>
        <v>1</v>
      </c>
      <c r="Q560" s="19" t="n">
        <f aca="false">IF(N(E563)&gt;0,1,0)</f>
        <v>0</v>
      </c>
      <c r="S560" s="0" t="n">
        <v>40</v>
      </c>
    </row>
    <row r="561" customFormat="false" ht="15" hidden="false" customHeight="false" outlineLevel="0" collapsed="false">
      <c r="A561" s="31" t="str">
        <f aca="false">IF(M551=1,"إكرامية الأسبوع (دينار) ←","")</f>
        <v>إكرامية الأسبوع (دينار) ←</v>
      </c>
      <c r="B561" s="31"/>
      <c r="C561" s="31"/>
      <c r="D561" s="31"/>
      <c r="E561" s="34"/>
      <c r="F561" s="35"/>
      <c r="G561" s="35"/>
      <c r="H561" s="35"/>
      <c r="M561" s="19" t="n">
        <f aca="false">$M$551</f>
        <v>1</v>
      </c>
      <c r="Q561" s="19" t="n">
        <f aca="false">IF(N(E563)&gt;0,1,0)</f>
        <v>0</v>
      </c>
      <c r="S561" s="0" t="n">
        <v>40</v>
      </c>
    </row>
    <row r="562" customFormat="false" ht="36" hidden="false" customHeight="true" outlineLevel="0" collapsed="false">
      <c r="A562" s="36" t="str">
        <f aca="false">IF(M551=1,"المستحق النهائي للأسبوع","")</f>
        <v>المستحق النهائي للأسبوع</v>
      </c>
      <c r="B562" s="36"/>
      <c r="C562" s="36"/>
      <c r="D562" s="36"/>
      <c r="E562" s="36"/>
      <c r="F562" s="11" t="n">
        <f aca="false">IF(M551=1,ROUND(N($V$551)+N(E560)*($P$551-$N$551)+N(E561),3),"")</f>
        <v>0</v>
      </c>
      <c r="G562" s="35"/>
      <c r="H562" s="35"/>
      <c r="M562" s="19" t="n">
        <f aca="false">$M$551</f>
        <v>1</v>
      </c>
      <c r="Q562" s="19" t="n">
        <f aca="false">IF(N(E563)&gt;0,1,0)</f>
        <v>0</v>
      </c>
      <c r="S562" s="0" t="n">
        <v>40</v>
      </c>
      <c r="T562" s="0" t="n">
        <v>1</v>
      </c>
    </row>
    <row r="563" customFormat="false" ht="25.5" hidden="false" customHeight="true" outlineLevel="0" collapsed="false">
      <c r="A563" s="31" t="str">
        <f aca="false">IF(M551=1,"المدفوع (دينار) ←","")</f>
        <v>المدفوع (دينار) ←</v>
      </c>
      <c r="B563" s="31"/>
      <c r="C563" s="31"/>
      <c r="D563" s="31"/>
      <c r="E563" s="34"/>
      <c r="F563" s="38" t="str">
        <f aca="false">IF(M551=1,IF(N(E563)&gt;0,"✔ انقبض — الأسبوع مقفول","⏳ لسا ما انقبض"),"")</f>
        <v>⏳ لسا ما انقبض</v>
      </c>
      <c r="G563" s="38"/>
      <c r="H563" s="38"/>
      <c r="M563" s="19" t="n">
        <f aca="false">$M$551</f>
        <v>1</v>
      </c>
      <c r="Q563" s="19" t="n">
        <f aca="false">IF(N(E563)&gt;0,1,0)</f>
        <v>0</v>
      </c>
      <c r="S563" s="0" t="n">
        <v>40</v>
      </c>
    </row>
    <row r="564" customFormat="false" ht="9.75" hidden="false" customHeight="true" outlineLevel="0" collapsed="false">
      <c r="M564" s="19" t="n">
        <f aca="false">$M$551</f>
        <v>1</v>
      </c>
      <c r="Q564" s="19" t="n">
        <f aca="false">IF(N(E563)&gt;0,1,0)</f>
        <v>0</v>
      </c>
      <c r="S564" s="0" t="n">
        <v>40</v>
      </c>
      <c r="T564" s="0" t="n">
        <v>2</v>
      </c>
    </row>
    <row r="565" customFormat="false" ht="33.75" hidden="false" customHeight="true" outlineLevel="0" collapsed="false">
      <c r="A565" s="17" t="str">
        <f aca="false">IF(41&lt;=NW,TEXT(DAY(WEEK_ONE+280),"00")&amp;"/"&amp;TEXT(MONTH(WEEK_ONE+280),"00")&amp;"/"&amp;YEAR(WEEK_ONE+280)&amp;"  -  "&amp;TEXT(DAY(WEEK_ONE+286),"00")&amp;"/"&amp;TEXT(MONTH(WEEK_ONE+286),"00")&amp;"/"&amp;YEAR(WEEK_ONE+286)&amp;"   ·   الأسبوع 41"&amp;IF(41&lt;START_Z,"   (قبل أسبوع البداية — ما بينحسب)",""),"ما في أسبوع 41 هالسنة")</f>
        <v>03/10/2026  -  09/10/2026   ·   الأسبوع 41</v>
      </c>
      <c r="B565" s="17"/>
      <c r="C565" s="17"/>
      <c r="D565" s="17"/>
      <c r="E565" s="17"/>
      <c r="F565" s="17"/>
      <c r="G565" s="17"/>
      <c r="H565" s="17"/>
      <c r="L565" s="18" t="n">
        <f aca="false">IF(41&lt;=NW,WEEK_ONE+286,"")</f>
        <v>46304</v>
      </c>
      <c r="M565" s="19" t="n">
        <f aca="false">IF(AND(41&lt;=NW,41&gt;=START_Z),1,0)</f>
        <v>1</v>
      </c>
      <c r="N565" s="20" t="n">
        <f aca="false">IFERROR(INDEX(RT_AZZ,MATCH(L565,RT_K,1)),INDEX(RT_AZZ,1))</f>
        <v>1</v>
      </c>
      <c r="P565" s="20" t="n">
        <f aca="false">IFERROR(INDEX(RT_GYP,MATCH(L565,RT_K,1)),INDEX(RT_GYP,1))</f>
        <v>2.5</v>
      </c>
      <c r="Q565" s="19" t="n">
        <f aca="false">IF(N(E577)&gt;0,1,0)</f>
        <v>0</v>
      </c>
      <c r="R565" s="0" t="n">
        <v>41</v>
      </c>
      <c r="S565" s="0" t="n">
        <v>41</v>
      </c>
      <c r="U565" s="39" t="n">
        <f aca="false">IF(M565=1,SUM(E567:E573),0)</f>
        <v>0</v>
      </c>
      <c r="V565" s="19" t="n">
        <f aca="false">SUM(F567:F573)</f>
        <v>0</v>
      </c>
      <c r="W565" s="19" t="n">
        <f aca="false">IF(M565=1,SUMIFS(F567:F573,G567:G573,"نعم"),0)</f>
        <v>0</v>
      </c>
    </row>
    <row r="566" customFormat="false" ht="39.75" hidden="false" customHeight="true" outlineLevel="0" collapsed="false">
      <c r="A566" s="21" t="s">
        <v>18</v>
      </c>
      <c r="B566" s="21" t="s">
        <v>19</v>
      </c>
      <c r="C566" s="21" t="s">
        <v>20</v>
      </c>
      <c r="D566" s="21" t="s">
        <v>21</v>
      </c>
      <c r="E566" s="21" t="s">
        <v>22</v>
      </c>
      <c r="F566" s="21" t="s">
        <v>29</v>
      </c>
      <c r="G566" s="21" t="s">
        <v>30</v>
      </c>
      <c r="H566" s="21" t="s">
        <v>26</v>
      </c>
      <c r="M566" s="19" t="n">
        <f aca="false">$M$565</f>
        <v>1</v>
      </c>
      <c r="Q566" s="19" t="n">
        <f aca="false">IF(N(E577)&gt;0,1,0)</f>
        <v>0</v>
      </c>
      <c r="S566" s="0" t="n">
        <v>41</v>
      </c>
    </row>
    <row r="567" customFormat="false" ht="15" hidden="false" customHeight="false" outlineLevel="0" collapsed="false">
      <c r="A567" s="22" t="n">
        <f aca="false">IF(41&lt;=NW,WEEK_ONE+280,"")</f>
        <v>46298</v>
      </c>
      <c r="B567" s="23" t="str">
        <f aca="false">IF(A567="","",CHOOSE(WEEKDAY(A567,1),"الأحد","الاثنين","الثلاثاء","الأربعاء","الخميس","الجمعة","السبت"))</f>
        <v>السبت</v>
      </c>
      <c r="C567" s="24"/>
      <c r="D567" s="24"/>
      <c r="E567" s="25" t="str">
        <f aca="false">IF(OR(M567=0,K567="",L567=""),"",MOD(L567-K567,1))</f>
        <v/>
      </c>
      <c r="F567" s="26" t="str">
        <f aca="false">IF(OR(E567="",M567=0),"",IF(ROUND_MODE="للأعلى",CEILING(ROUND((E567*24*$N$565),3),0.25),ROUND((E567*24*$N$565)*4,0)/4))</f>
        <v/>
      </c>
      <c r="G567" s="24"/>
      <c r="H567" s="27"/>
      <c r="K567" s="28" t="str">
        <f aca="false">IF(OR(M567=0,C567=""),"",IF(ISNUMBER(C567),MOD(C567,1),IFERROR(INDEX(القوائم!$B$1:$B$288,MATCH(TRIM(C567),القوائم!$A$1:$A$288,0)),IFERROR(MOD(TIMEVALUE(C567),1),""))))</f>
        <v/>
      </c>
      <c r="L567" s="28" t="str">
        <f aca="false">IF(OR(M567=0,D567=""),"",IF(ISNUMBER(D567),MOD(D567,1),IFERROR(INDEX(القوائم!$B$1:$B$288,MATCH(TRIM(D567),القوائم!$A$1:$A$288,0)),IFERROR(MOD(TIMEVALUE(D567),1),""))))</f>
        <v/>
      </c>
      <c r="M567" s="19" t="n">
        <f aca="false">$M$565</f>
        <v>1</v>
      </c>
      <c r="Q567" s="19" t="n">
        <f aca="false">IF(N(E577)&gt;0,1,0)</f>
        <v>0</v>
      </c>
      <c r="S567" s="0" t="n">
        <v>41</v>
      </c>
    </row>
    <row r="568" customFormat="false" ht="15" hidden="false" customHeight="false" outlineLevel="0" collapsed="false">
      <c r="A568" s="22" t="n">
        <f aca="false">IF(41&lt;=NW,WEEK_ONE+281,"")</f>
        <v>46299</v>
      </c>
      <c r="B568" s="23" t="str">
        <f aca="false">IF(A568="","",CHOOSE(WEEKDAY(A568,1),"الأحد","الاثنين","الثلاثاء","الأربعاء","الخميس","الجمعة","السبت"))</f>
        <v>الأحد</v>
      </c>
      <c r="C568" s="24"/>
      <c r="D568" s="24"/>
      <c r="E568" s="25" t="str">
        <f aca="false">IF(OR(M568=0,K568="",L568=""),"",MOD(L568-K568,1))</f>
        <v/>
      </c>
      <c r="F568" s="26" t="str">
        <f aca="false">IF(OR(E568="",M568=0),"",IF(ROUND_MODE="للأعلى",CEILING(ROUND((E568*24*$N$565),3),0.25),ROUND((E568*24*$N$565)*4,0)/4))</f>
        <v/>
      </c>
      <c r="G568" s="24"/>
      <c r="H568" s="27"/>
      <c r="K568" s="28" t="str">
        <f aca="false">IF(OR(M568=0,C568=""),"",IF(ISNUMBER(C568),MOD(C568,1),IFERROR(INDEX(القوائم!$B$1:$B$288,MATCH(TRIM(C568),القوائم!$A$1:$A$288,0)),IFERROR(MOD(TIMEVALUE(C568),1),""))))</f>
        <v/>
      </c>
      <c r="L568" s="28" t="str">
        <f aca="false">IF(OR(M568=0,D568=""),"",IF(ISNUMBER(D568),MOD(D568,1),IFERROR(INDEX(القوائم!$B$1:$B$288,MATCH(TRIM(D568),القوائم!$A$1:$A$288,0)),IFERROR(MOD(TIMEVALUE(D568),1),""))))</f>
        <v/>
      </c>
      <c r="M568" s="19" t="n">
        <f aca="false">$M$565</f>
        <v>1</v>
      </c>
      <c r="Q568" s="19" t="n">
        <f aca="false">IF(N(E577)&gt;0,1,0)</f>
        <v>0</v>
      </c>
      <c r="S568" s="0" t="n">
        <v>41</v>
      </c>
    </row>
    <row r="569" customFormat="false" ht="15" hidden="false" customHeight="false" outlineLevel="0" collapsed="false">
      <c r="A569" s="22" t="n">
        <f aca="false">IF(41&lt;=NW,WEEK_ONE+282,"")</f>
        <v>46300</v>
      </c>
      <c r="B569" s="23" t="str">
        <f aca="false">IF(A569="","",CHOOSE(WEEKDAY(A569,1),"الأحد","الاثنين","الثلاثاء","الأربعاء","الخميس","الجمعة","السبت"))</f>
        <v>الاثنين</v>
      </c>
      <c r="C569" s="24"/>
      <c r="D569" s="24"/>
      <c r="E569" s="25" t="str">
        <f aca="false">IF(OR(M569=0,K569="",L569=""),"",MOD(L569-K569,1))</f>
        <v/>
      </c>
      <c r="F569" s="26" t="str">
        <f aca="false">IF(OR(E569="",M569=0),"",IF(ROUND_MODE="للأعلى",CEILING(ROUND((E569*24*$N$565),3),0.25),ROUND((E569*24*$N$565)*4,0)/4))</f>
        <v/>
      </c>
      <c r="G569" s="24"/>
      <c r="H569" s="27"/>
      <c r="K569" s="28" t="str">
        <f aca="false">IF(OR(M569=0,C569=""),"",IF(ISNUMBER(C569),MOD(C569,1),IFERROR(INDEX(القوائم!$B$1:$B$288,MATCH(TRIM(C569),القوائم!$A$1:$A$288,0)),IFERROR(MOD(TIMEVALUE(C569),1),""))))</f>
        <v/>
      </c>
      <c r="L569" s="28" t="str">
        <f aca="false">IF(OR(M569=0,D569=""),"",IF(ISNUMBER(D569),MOD(D569,1),IFERROR(INDEX(القوائم!$B$1:$B$288,MATCH(TRIM(D569),القوائم!$A$1:$A$288,0)),IFERROR(MOD(TIMEVALUE(D569),1),""))))</f>
        <v/>
      </c>
      <c r="M569" s="19" t="n">
        <f aca="false">$M$565</f>
        <v>1</v>
      </c>
      <c r="Q569" s="19" t="n">
        <f aca="false">IF(N(E577)&gt;0,1,0)</f>
        <v>0</v>
      </c>
      <c r="S569" s="0" t="n">
        <v>41</v>
      </c>
    </row>
    <row r="570" customFormat="false" ht="15" hidden="false" customHeight="false" outlineLevel="0" collapsed="false">
      <c r="A570" s="22" t="n">
        <f aca="false">IF(41&lt;=NW,WEEK_ONE+283,"")</f>
        <v>46301</v>
      </c>
      <c r="B570" s="23" t="str">
        <f aca="false">IF(A570="","",CHOOSE(WEEKDAY(A570,1),"الأحد","الاثنين","الثلاثاء","الأربعاء","الخميس","الجمعة","السبت"))</f>
        <v>الثلاثاء</v>
      </c>
      <c r="C570" s="24"/>
      <c r="D570" s="24"/>
      <c r="E570" s="25" t="str">
        <f aca="false">IF(OR(M570=0,K570="",L570=""),"",MOD(L570-K570,1))</f>
        <v/>
      </c>
      <c r="F570" s="26" t="str">
        <f aca="false">IF(OR(E570="",M570=0),"",IF(ROUND_MODE="للأعلى",CEILING(ROUND((E570*24*$N$565),3),0.25),ROUND((E570*24*$N$565)*4,0)/4))</f>
        <v/>
      </c>
      <c r="G570" s="24"/>
      <c r="H570" s="27"/>
      <c r="K570" s="28" t="str">
        <f aca="false">IF(OR(M570=0,C570=""),"",IF(ISNUMBER(C570),MOD(C570,1),IFERROR(INDEX(القوائم!$B$1:$B$288,MATCH(TRIM(C570),القوائم!$A$1:$A$288,0)),IFERROR(MOD(TIMEVALUE(C570),1),""))))</f>
        <v/>
      </c>
      <c r="L570" s="28" t="str">
        <f aca="false">IF(OR(M570=0,D570=""),"",IF(ISNUMBER(D570),MOD(D570,1),IFERROR(INDEX(القوائم!$B$1:$B$288,MATCH(TRIM(D570),القوائم!$A$1:$A$288,0)),IFERROR(MOD(TIMEVALUE(D570),1),""))))</f>
        <v/>
      </c>
      <c r="M570" s="19" t="n">
        <f aca="false">$M$565</f>
        <v>1</v>
      </c>
      <c r="Q570" s="19" t="n">
        <f aca="false">IF(N(E577)&gt;0,1,0)</f>
        <v>0</v>
      </c>
      <c r="S570" s="0" t="n">
        <v>41</v>
      </c>
    </row>
    <row r="571" customFormat="false" ht="15" hidden="false" customHeight="false" outlineLevel="0" collapsed="false">
      <c r="A571" s="22" t="n">
        <f aca="false">IF(41&lt;=NW,WEEK_ONE+284,"")</f>
        <v>46302</v>
      </c>
      <c r="B571" s="23" t="str">
        <f aca="false">IF(A571="","",CHOOSE(WEEKDAY(A571,1),"الأحد","الاثنين","الثلاثاء","الأربعاء","الخميس","الجمعة","السبت"))</f>
        <v>الأربعاء</v>
      </c>
      <c r="C571" s="24"/>
      <c r="D571" s="24"/>
      <c r="E571" s="25" t="str">
        <f aca="false">IF(OR(M571=0,K571="",L571=""),"",MOD(L571-K571,1))</f>
        <v/>
      </c>
      <c r="F571" s="26" t="str">
        <f aca="false">IF(OR(E571="",M571=0),"",IF(ROUND_MODE="للأعلى",CEILING(ROUND((E571*24*$N$565),3),0.25),ROUND((E571*24*$N$565)*4,0)/4))</f>
        <v/>
      </c>
      <c r="G571" s="24"/>
      <c r="H571" s="27"/>
      <c r="K571" s="28" t="str">
        <f aca="false">IF(OR(M571=0,C571=""),"",IF(ISNUMBER(C571),MOD(C571,1),IFERROR(INDEX(القوائم!$B$1:$B$288,MATCH(TRIM(C571),القوائم!$A$1:$A$288,0)),IFERROR(MOD(TIMEVALUE(C571),1),""))))</f>
        <v/>
      </c>
      <c r="L571" s="28" t="str">
        <f aca="false">IF(OR(M571=0,D571=""),"",IF(ISNUMBER(D571),MOD(D571,1),IFERROR(INDEX(القوائم!$B$1:$B$288,MATCH(TRIM(D571),القوائم!$A$1:$A$288,0)),IFERROR(MOD(TIMEVALUE(D571),1),""))))</f>
        <v/>
      </c>
      <c r="M571" s="19" t="n">
        <f aca="false">$M$565</f>
        <v>1</v>
      </c>
      <c r="Q571" s="19" t="n">
        <f aca="false">IF(N(E577)&gt;0,1,0)</f>
        <v>0</v>
      </c>
      <c r="S571" s="0" t="n">
        <v>41</v>
      </c>
    </row>
    <row r="572" customFormat="false" ht="15" hidden="false" customHeight="false" outlineLevel="0" collapsed="false">
      <c r="A572" s="22" t="n">
        <f aca="false">IF(41&lt;=NW,WEEK_ONE+285,"")</f>
        <v>46303</v>
      </c>
      <c r="B572" s="23" t="str">
        <f aca="false">IF(A572="","",CHOOSE(WEEKDAY(A572,1),"الأحد","الاثنين","الثلاثاء","الأربعاء","الخميس","الجمعة","السبت"))</f>
        <v>الخميس</v>
      </c>
      <c r="C572" s="24"/>
      <c r="D572" s="24"/>
      <c r="E572" s="25" t="str">
        <f aca="false">IF(OR(M572=0,K572="",L572=""),"",MOD(L572-K572,1))</f>
        <v/>
      </c>
      <c r="F572" s="26" t="str">
        <f aca="false">IF(OR(E572="",M572=0),"",IF(ROUND_MODE="للأعلى",CEILING(ROUND((E572*24*$N$565),3),0.25),ROUND((E572*24*$N$565)*4,0)/4))</f>
        <v/>
      </c>
      <c r="G572" s="24"/>
      <c r="H572" s="27"/>
      <c r="K572" s="28" t="str">
        <f aca="false">IF(OR(M572=0,C572=""),"",IF(ISNUMBER(C572),MOD(C572,1),IFERROR(INDEX(القوائم!$B$1:$B$288,MATCH(TRIM(C572),القوائم!$A$1:$A$288,0)),IFERROR(MOD(TIMEVALUE(C572),1),""))))</f>
        <v/>
      </c>
      <c r="L572" s="28" t="str">
        <f aca="false">IF(OR(M572=0,D572=""),"",IF(ISNUMBER(D572),MOD(D572,1),IFERROR(INDEX(القوائم!$B$1:$B$288,MATCH(TRIM(D572),القوائم!$A$1:$A$288,0)),IFERROR(MOD(TIMEVALUE(D572),1),""))))</f>
        <v/>
      </c>
      <c r="M572" s="19" t="n">
        <f aca="false">$M$565</f>
        <v>1</v>
      </c>
      <c r="Q572" s="19" t="n">
        <f aca="false">IF(N(E577)&gt;0,1,0)</f>
        <v>0</v>
      </c>
      <c r="S572" s="0" t="n">
        <v>41</v>
      </c>
    </row>
    <row r="573" customFormat="false" ht="15" hidden="false" customHeight="false" outlineLevel="0" collapsed="false">
      <c r="A573" s="29" t="n">
        <f aca="false">IF(41&lt;=NW,WEEK_ONE+286,"")</f>
        <v>46304</v>
      </c>
      <c r="B573" s="30" t="str">
        <f aca="false">IF(A573="","",CHOOSE(WEEKDAY(A573,1),"الأحد","الاثنين","الثلاثاء","الأربعاء","الخميس","الجمعة","السبت"))</f>
        <v>الجمعة</v>
      </c>
      <c r="C573" s="24"/>
      <c r="D573" s="24"/>
      <c r="E573" s="25" t="str">
        <f aca="false">IF(OR(M573=0,K573="",L573=""),"",MOD(L573-K573,1))</f>
        <v/>
      </c>
      <c r="F573" s="26" t="str">
        <f aca="false">IF(OR(E573="",M573=0),"",IF(ROUND_MODE="للأعلى",CEILING(ROUND((E573*24*$N$565),3),0.25),ROUND((E573*24*$N$565)*4,0)/4))</f>
        <v/>
      </c>
      <c r="G573" s="24"/>
      <c r="H573" s="27"/>
      <c r="K573" s="28" t="str">
        <f aca="false">IF(OR(M573=0,C573=""),"",IF(ISNUMBER(C573),MOD(C573,1),IFERROR(INDEX(القوائم!$B$1:$B$288,MATCH(TRIM(C573),القوائم!$A$1:$A$288,0)),IFERROR(MOD(TIMEVALUE(C573),1),""))))</f>
        <v/>
      </c>
      <c r="L573" s="28" t="str">
        <f aca="false">IF(OR(M573=0,D573=""),"",IF(ISNUMBER(D573),MOD(D573,1),IFERROR(INDEX(القوائم!$B$1:$B$288,MATCH(TRIM(D573),القوائم!$A$1:$A$288,0)),IFERROR(MOD(TIMEVALUE(D573),1),""))))</f>
        <v/>
      </c>
      <c r="M573" s="19" t="n">
        <f aca="false">$M$565</f>
        <v>1</v>
      </c>
      <c r="Q573" s="19" t="n">
        <f aca="false">IF(N(E577)&gt;0,1,0)</f>
        <v>0</v>
      </c>
      <c r="S573" s="0" t="n">
        <v>41</v>
      </c>
    </row>
    <row r="574" customFormat="false" ht="15" hidden="false" customHeight="false" outlineLevel="0" collapsed="false">
      <c r="A574" s="31" t="str">
        <f aca="false">IF(M565=1,"ساعات تحميل الجبسمبورد بهالأسبوع ←","")</f>
        <v>ساعات تحميل الجبسمبورد بهالأسبوع ←</v>
      </c>
      <c r="B574" s="31"/>
      <c r="C574" s="31"/>
      <c r="D574" s="31"/>
      <c r="E574" s="32"/>
      <c r="F574" s="33" t="str">
        <f aca="false">IF(M565=1,"كل ساعة تحميل = "&amp;TEXT($P$565,"0.000")&amp;" دينار (منها "&amp;TEXT($N$565,"0.000")&amp;" محسوبة أصلاً بساعات اليوم)","")</f>
        <v>كل ساعة تحميل = 2.500 دينار (منها 1.000 محسوبة أصلاً بساعات اليوم)</v>
      </c>
      <c r="G574" s="33"/>
      <c r="H574" s="33"/>
      <c r="M574" s="19" t="n">
        <f aca="false">$M$565</f>
        <v>1</v>
      </c>
      <c r="Q574" s="19" t="n">
        <f aca="false">IF(N(E577)&gt;0,1,0)</f>
        <v>0</v>
      </c>
      <c r="S574" s="0" t="n">
        <v>41</v>
      </c>
    </row>
    <row r="575" customFormat="false" ht="15" hidden="false" customHeight="false" outlineLevel="0" collapsed="false">
      <c r="A575" s="31" t="str">
        <f aca="false">IF(M565=1,"إكرامية الأسبوع (دينار) ←","")</f>
        <v>إكرامية الأسبوع (دينار) ←</v>
      </c>
      <c r="B575" s="31"/>
      <c r="C575" s="31"/>
      <c r="D575" s="31"/>
      <c r="E575" s="34"/>
      <c r="F575" s="35"/>
      <c r="G575" s="35"/>
      <c r="H575" s="35"/>
      <c r="M575" s="19" t="n">
        <f aca="false">$M$565</f>
        <v>1</v>
      </c>
      <c r="Q575" s="19" t="n">
        <f aca="false">IF(N(E577)&gt;0,1,0)</f>
        <v>0</v>
      </c>
      <c r="S575" s="0" t="n">
        <v>41</v>
      </c>
    </row>
    <row r="576" customFormat="false" ht="36" hidden="false" customHeight="true" outlineLevel="0" collapsed="false">
      <c r="A576" s="36" t="str">
        <f aca="false">IF(M565=1,"المستحق النهائي للأسبوع","")</f>
        <v>المستحق النهائي للأسبوع</v>
      </c>
      <c r="B576" s="36"/>
      <c r="C576" s="36"/>
      <c r="D576" s="36"/>
      <c r="E576" s="36"/>
      <c r="F576" s="11" t="n">
        <f aca="false">IF(M565=1,ROUND(N($V$565)+N(E574)*($P$565-$N$565)+N(E575),3),"")</f>
        <v>0</v>
      </c>
      <c r="G576" s="35"/>
      <c r="H576" s="35"/>
      <c r="M576" s="19" t="n">
        <f aca="false">$M$565</f>
        <v>1</v>
      </c>
      <c r="Q576" s="19" t="n">
        <f aca="false">IF(N(E577)&gt;0,1,0)</f>
        <v>0</v>
      </c>
      <c r="S576" s="0" t="n">
        <v>41</v>
      </c>
      <c r="T576" s="0" t="n">
        <v>1</v>
      </c>
    </row>
    <row r="577" customFormat="false" ht="25.5" hidden="false" customHeight="true" outlineLevel="0" collapsed="false">
      <c r="A577" s="31" t="str">
        <f aca="false">IF(M565=1,"المدفوع (دينار) ←","")</f>
        <v>المدفوع (دينار) ←</v>
      </c>
      <c r="B577" s="31"/>
      <c r="C577" s="31"/>
      <c r="D577" s="31"/>
      <c r="E577" s="34"/>
      <c r="F577" s="38" t="str">
        <f aca="false">IF(M565=1,IF(N(E577)&gt;0,"✔ انقبض — الأسبوع مقفول","⏳ لسا ما انقبض"),"")</f>
        <v>⏳ لسا ما انقبض</v>
      </c>
      <c r="G577" s="38"/>
      <c r="H577" s="38"/>
      <c r="M577" s="19" t="n">
        <f aca="false">$M$565</f>
        <v>1</v>
      </c>
      <c r="Q577" s="19" t="n">
        <f aca="false">IF(N(E577)&gt;0,1,0)</f>
        <v>0</v>
      </c>
      <c r="S577" s="0" t="n">
        <v>41</v>
      </c>
    </row>
    <row r="578" customFormat="false" ht="9.75" hidden="false" customHeight="true" outlineLevel="0" collapsed="false">
      <c r="M578" s="19" t="n">
        <f aca="false">$M$565</f>
        <v>1</v>
      </c>
      <c r="Q578" s="19" t="n">
        <f aca="false">IF(N(E577)&gt;0,1,0)</f>
        <v>0</v>
      </c>
      <c r="S578" s="0" t="n">
        <v>41</v>
      </c>
      <c r="T578" s="0" t="n">
        <v>2</v>
      </c>
    </row>
    <row r="579" customFormat="false" ht="33.75" hidden="false" customHeight="true" outlineLevel="0" collapsed="false">
      <c r="A579" s="17" t="str">
        <f aca="false">IF(42&lt;=NW,TEXT(DAY(WEEK_ONE+287),"00")&amp;"/"&amp;TEXT(MONTH(WEEK_ONE+287),"00")&amp;"/"&amp;YEAR(WEEK_ONE+287)&amp;"  -  "&amp;TEXT(DAY(WEEK_ONE+293),"00")&amp;"/"&amp;TEXT(MONTH(WEEK_ONE+293),"00")&amp;"/"&amp;YEAR(WEEK_ONE+293)&amp;"   ·   الأسبوع 42"&amp;IF(42&lt;START_Z,"   (قبل أسبوع البداية — ما بينحسب)",""),"ما في أسبوع 42 هالسنة")</f>
        <v>10/10/2026  -  16/10/2026   ·   الأسبوع 42</v>
      </c>
      <c r="B579" s="17"/>
      <c r="C579" s="17"/>
      <c r="D579" s="17"/>
      <c r="E579" s="17"/>
      <c r="F579" s="17"/>
      <c r="G579" s="17"/>
      <c r="H579" s="17"/>
      <c r="L579" s="18" t="n">
        <f aca="false">IF(42&lt;=NW,WEEK_ONE+293,"")</f>
        <v>46311</v>
      </c>
      <c r="M579" s="19" t="n">
        <f aca="false">IF(AND(42&lt;=NW,42&gt;=START_Z),1,0)</f>
        <v>1</v>
      </c>
      <c r="N579" s="20" t="n">
        <f aca="false">IFERROR(INDEX(RT_AZZ,MATCH(L579,RT_K,1)),INDEX(RT_AZZ,1))</f>
        <v>1</v>
      </c>
      <c r="P579" s="20" t="n">
        <f aca="false">IFERROR(INDEX(RT_GYP,MATCH(L579,RT_K,1)),INDEX(RT_GYP,1))</f>
        <v>2.5</v>
      </c>
      <c r="Q579" s="19" t="n">
        <f aca="false">IF(N(E591)&gt;0,1,0)</f>
        <v>0</v>
      </c>
      <c r="R579" s="0" t="n">
        <v>42</v>
      </c>
      <c r="S579" s="0" t="n">
        <v>42</v>
      </c>
      <c r="U579" s="39" t="n">
        <f aca="false">IF(M579=1,SUM(E581:E587),0)</f>
        <v>0</v>
      </c>
      <c r="V579" s="19" t="n">
        <f aca="false">SUM(F581:F587)</f>
        <v>0</v>
      </c>
      <c r="W579" s="19" t="n">
        <f aca="false">IF(M579=1,SUMIFS(F581:F587,G581:G587,"نعم"),0)</f>
        <v>0</v>
      </c>
    </row>
    <row r="580" customFormat="false" ht="39.75" hidden="false" customHeight="true" outlineLevel="0" collapsed="false">
      <c r="A580" s="21" t="s">
        <v>18</v>
      </c>
      <c r="B580" s="21" t="s">
        <v>19</v>
      </c>
      <c r="C580" s="21" t="s">
        <v>20</v>
      </c>
      <c r="D580" s="21" t="s">
        <v>21</v>
      </c>
      <c r="E580" s="21" t="s">
        <v>22</v>
      </c>
      <c r="F580" s="21" t="s">
        <v>29</v>
      </c>
      <c r="G580" s="21" t="s">
        <v>30</v>
      </c>
      <c r="H580" s="21" t="s">
        <v>26</v>
      </c>
      <c r="M580" s="19" t="n">
        <f aca="false">$M$579</f>
        <v>1</v>
      </c>
      <c r="Q580" s="19" t="n">
        <f aca="false">IF(N(E591)&gt;0,1,0)</f>
        <v>0</v>
      </c>
      <c r="S580" s="0" t="n">
        <v>42</v>
      </c>
    </row>
    <row r="581" customFormat="false" ht="15" hidden="false" customHeight="false" outlineLevel="0" collapsed="false">
      <c r="A581" s="22" t="n">
        <f aca="false">IF(42&lt;=NW,WEEK_ONE+287,"")</f>
        <v>46305</v>
      </c>
      <c r="B581" s="23" t="str">
        <f aca="false">IF(A581="","",CHOOSE(WEEKDAY(A581,1),"الأحد","الاثنين","الثلاثاء","الأربعاء","الخميس","الجمعة","السبت"))</f>
        <v>السبت</v>
      </c>
      <c r="C581" s="24"/>
      <c r="D581" s="24"/>
      <c r="E581" s="25" t="str">
        <f aca="false">IF(OR(M581=0,K581="",L581=""),"",MOD(L581-K581,1))</f>
        <v/>
      </c>
      <c r="F581" s="26" t="str">
        <f aca="false">IF(OR(E581="",M581=0),"",IF(ROUND_MODE="للأعلى",CEILING(ROUND((E581*24*$N$579),3),0.25),ROUND((E581*24*$N$579)*4,0)/4))</f>
        <v/>
      </c>
      <c r="G581" s="24"/>
      <c r="H581" s="27"/>
      <c r="K581" s="28" t="str">
        <f aca="false">IF(OR(M581=0,C581=""),"",IF(ISNUMBER(C581),MOD(C581,1),IFERROR(INDEX(القوائم!$B$1:$B$288,MATCH(TRIM(C581),القوائم!$A$1:$A$288,0)),IFERROR(MOD(TIMEVALUE(C581),1),""))))</f>
        <v/>
      </c>
      <c r="L581" s="28" t="str">
        <f aca="false">IF(OR(M581=0,D581=""),"",IF(ISNUMBER(D581),MOD(D581,1),IFERROR(INDEX(القوائم!$B$1:$B$288,MATCH(TRIM(D581),القوائم!$A$1:$A$288,0)),IFERROR(MOD(TIMEVALUE(D581),1),""))))</f>
        <v/>
      </c>
      <c r="M581" s="19" t="n">
        <f aca="false">$M$579</f>
        <v>1</v>
      </c>
      <c r="Q581" s="19" t="n">
        <f aca="false">IF(N(E591)&gt;0,1,0)</f>
        <v>0</v>
      </c>
      <c r="S581" s="0" t="n">
        <v>42</v>
      </c>
    </row>
    <row r="582" customFormat="false" ht="15" hidden="false" customHeight="false" outlineLevel="0" collapsed="false">
      <c r="A582" s="22" t="n">
        <f aca="false">IF(42&lt;=NW,WEEK_ONE+288,"")</f>
        <v>46306</v>
      </c>
      <c r="B582" s="23" t="str">
        <f aca="false">IF(A582="","",CHOOSE(WEEKDAY(A582,1),"الأحد","الاثنين","الثلاثاء","الأربعاء","الخميس","الجمعة","السبت"))</f>
        <v>الأحد</v>
      </c>
      <c r="C582" s="24"/>
      <c r="D582" s="24"/>
      <c r="E582" s="25" t="str">
        <f aca="false">IF(OR(M582=0,K582="",L582=""),"",MOD(L582-K582,1))</f>
        <v/>
      </c>
      <c r="F582" s="26" t="str">
        <f aca="false">IF(OR(E582="",M582=0),"",IF(ROUND_MODE="للأعلى",CEILING(ROUND((E582*24*$N$579),3),0.25),ROUND((E582*24*$N$579)*4,0)/4))</f>
        <v/>
      </c>
      <c r="G582" s="24"/>
      <c r="H582" s="27"/>
      <c r="K582" s="28" t="str">
        <f aca="false">IF(OR(M582=0,C582=""),"",IF(ISNUMBER(C582),MOD(C582,1),IFERROR(INDEX(القوائم!$B$1:$B$288,MATCH(TRIM(C582),القوائم!$A$1:$A$288,0)),IFERROR(MOD(TIMEVALUE(C582),1),""))))</f>
        <v/>
      </c>
      <c r="L582" s="28" t="str">
        <f aca="false">IF(OR(M582=0,D582=""),"",IF(ISNUMBER(D582),MOD(D582,1),IFERROR(INDEX(القوائم!$B$1:$B$288,MATCH(TRIM(D582),القوائم!$A$1:$A$288,0)),IFERROR(MOD(TIMEVALUE(D582),1),""))))</f>
        <v/>
      </c>
      <c r="M582" s="19" t="n">
        <f aca="false">$M$579</f>
        <v>1</v>
      </c>
      <c r="Q582" s="19" t="n">
        <f aca="false">IF(N(E591)&gt;0,1,0)</f>
        <v>0</v>
      </c>
      <c r="S582" s="0" t="n">
        <v>42</v>
      </c>
    </row>
    <row r="583" customFormat="false" ht="15" hidden="false" customHeight="false" outlineLevel="0" collapsed="false">
      <c r="A583" s="22" t="n">
        <f aca="false">IF(42&lt;=NW,WEEK_ONE+289,"")</f>
        <v>46307</v>
      </c>
      <c r="B583" s="23" t="str">
        <f aca="false">IF(A583="","",CHOOSE(WEEKDAY(A583,1),"الأحد","الاثنين","الثلاثاء","الأربعاء","الخميس","الجمعة","السبت"))</f>
        <v>الاثنين</v>
      </c>
      <c r="C583" s="24"/>
      <c r="D583" s="24"/>
      <c r="E583" s="25" t="str">
        <f aca="false">IF(OR(M583=0,K583="",L583=""),"",MOD(L583-K583,1))</f>
        <v/>
      </c>
      <c r="F583" s="26" t="str">
        <f aca="false">IF(OR(E583="",M583=0),"",IF(ROUND_MODE="للأعلى",CEILING(ROUND((E583*24*$N$579),3),0.25),ROUND((E583*24*$N$579)*4,0)/4))</f>
        <v/>
      </c>
      <c r="G583" s="24"/>
      <c r="H583" s="27"/>
      <c r="K583" s="28" t="str">
        <f aca="false">IF(OR(M583=0,C583=""),"",IF(ISNUMBER(C583),MOD(C583,1),IFERROR(INDEX(القوائم!$B$1:$B$288,MATCH(TRIM(C583),القوائم!$A$1:$A$288,0)),IFERROR(MOD(TIMEVALUE(C583),1),""))))</f>
        <v/>
      </c>
      <c r="L583" s="28" t="str">
        <f aca="false">IF(OR(M583=0,D583=""),"",IF(ISNUMBER(D583),MOD(D583,1),IFERROR(INDEX(القوائم!$B$1:$B$288,MATCH(TRIM(D583),القوائم!$A$1:$A$288,0)),IFERROR(MOD(TIMEVALUE(D583),1),""))))</f>
        <v/>
      </c>
      <c r="M583" s="19" t="n">
        <f aca="false">$M$579</f>
        <v>1</v>
      </c>
      <c r="Q583" s="19" t="n">
        <f aca="false">IF(N(E591)&gt;0,1,0)</f>
        <v>0</v>
      </c>
      <c r="S583" s="0" t="n">
        <v>42</v>
      </c>
    </row>
    <row r="584" customFormat="false" ht="15" hidden="false" customHeight="false" outlineLevel="0" collapsed="false">
      <c r="A584" s="22" t="n">
        <f aca="false">IF(42&lt;=NW,WEEK_ONE+290,"")</f>
        <v>46308</v>
      </c>
      <c r="B584" s="23" t="str">
        <f aca="false">IF(A584="","",CHOOSE(WEEKDAY(A584,1),"الأحد","الاثنين","الثلاثاء","الأربعاء","الخميس","الجمعة","السبت"))</f>
        <v>الثلاثاء</v>
      </c>
      <c r="C584" s="24"/>
      <c r="D584" s="24"/>
      <c r="E584" s="25" t="str">
        <f aca="false">IF(OR(M584=0,K584="",L584=""),"",MOD(L584-K584,1))</f>
        <v/>
      </c>
      <c r="F584" s="26" t="str">
        <f aca="false">IF(OR(E584="",M584=0),"",IF(ROUND_MODE="للأعلى",CEILING(ROUND((E584*24*$N$579),3),0.25),ROUND((E584*24*$N$579)*4,0)/4))</f>
        <v/>
      </c>
      <c r="G584" s="24"/>
      <c r="H584" s="27"/>
      <c r="K584" s="28" t="str">
        <f aca="false">IF(OR(M584=0,C584=""),"",IF(ISNUMBER(C584),MOD(C584,1),IFERROR(INDEX(القوائم!$B$1:$B$288,MATCH(TRIM(C584),القوائم!$A$1:$A$288,0)),IFERROR(MOD(TIMEVALUE(C584),1),""))))</f>
        <v/>
      </c>
      <c r="L584" s="28" t="str">
        <f aca="false">IF(OR(M584=0,D584=""),"",IF(ISNUMBER(D584),MOD(D584,1),IFERROR(INDEX(القوائم!$B$1:$B$288,MATCH(TRIM(D584),القوائم!$A$1:$A$288,0)),IFERROR(MOD(TIMEVALUE(D584),1),""))))</f>
        <v/>
      </c>
      <c r="M584" s="19" t="n">
        <f aca="false">$M$579</f>
        <v>1</v>
      </c>
      <c r="Q584" s="19" t="n">
        <f aca="false">IF(N(E591)&gt;0,1,0)</f>
        <v>0</v>
      </c>
      <c r="S584" s="0" t="n">
        <v>42</v>
      </c>
    </row>
    <row r="585" customFormat="false" ht="15" hidden="false" customHeight="false" outlineLevel="0" collapsed="false">
      <c r="A585" s="22" t="n">
        <f aca="false">IF(42&lt;=NW,WEEK_ONE+291,"")</f>
        <v>46309</v>
      </c>
      <c r="B585" s="23" t="str">
        <f aca="false">IF(A585="","",CHOOSE(WEEKDAY(A585,1),"الأحد","الاثنين","الثلاثاء","الأربعاء","الخميس","الجمعة","السبت"))</f>
        <v>الأربعاء</v>
      </c>
      <c r="C585" s="24"/>
      <c r="D585" s="24"/>
      <c r="E585" s="25" t="str">
        <f aca="false">IF(OR(M585=0,K585="",L585=""),"",MOD(L585-K585,1))</f>
        <v/>
      </c>
      <c r="F585" s="26" t="str">
        <f aca="false">IF(OR(E585="",M585=0),"",IF(ROUND_MODE="للأعلى",CEILING(ROUND((E585*24*$N$579),3),0.25),ROUND((E585*24*$N$579)*4,0)/4))</f>
        <v/>
      </c>
      <c r="G585" s="24"/>
      <c r="H585" s="27"/>
      <c r="K585" s="28" t="str">
        <f aca="false">IF(OR(M585=0,C585=""),"",IF(ISNUMBER(C585),MOD(C585,1),IFERROR(INDEX(القوائم!$B$1:$B$288,MATCH(TRIM(C585),القوائم!$A$1:$A$288,0)),IFERROR(MOD(TIMEVALUE(C585),1),""))))</f>
        <v/>
      </c>
      <c r="L585" s="28" t="str">
        <f aca="false">IF(OR(M585=0,D585=""),"",IF(ISNUMBER(D585),MOD(D585,1),IFERROR(INDEX(القوائم!$B$1:$B$288,MATCH(TRIM(D585),القوائم!$A$1:$A$288,0)),IFERROR(MOD(TIMEVALUE(D585),1),""))))</f>
        <v/>
      </c>
      <c r="M585" s="19" t="n">
        <f aca="false">$M$579</f>
        <v>1</v>
      </c>
      <c r="Q585" s="19" t="n">
        <f aca="false">IF(N(E591)&gt;0,1,0)</f>
        <v>0</v>
      </c>
      <c r="S585" s="0" t="n">
        <v>42</v>
      </c>
    </row>
    <row r="586" customFormat="false" ht="15" hidden="false" customHeight="false" outlineLevel="0" collapsed="false">
      <c r="A586" s="22" t="n">
        <f aca="false">IF(42&lt;=NW,WEEK_ONE+292,"")</f>
        <v>46310</v>
      </c>
      <c r="B586" s="23" t="str">
        <f aca="false">IF(A586="","",CHOOSE(WEEKDAY(A586,1),"الأحد","الاثنين","الثلاثاء","الأربعاء","الخميس","الجمعة","السبت"))</f>
        <v>الخميس</v>
      </c>
      <c r="C586" s="24"/>
      <c r="D586" s="24"/>
      <c r="E586" s="25" t="str">
        <f aca="false">IF(OR(M586=0,K586="",L586=""),"",MOD(L586-K586,1))</f>
        <v/>
      </c>
      <c r="F586" s="26" t="str">
        <f aca="false">IF(OR(E586="",M586=0),"",IF(ROUND_MODE="للأعلى",CEILING(ROUND((E586*24*$N$579),3),0.25),ROUND((E586*24*$N$579)*4,0)/4))</f>
        <v/>
      </c>
      <c r="G586" s="24"/>
      <c r="H586" s="27"/>
      <c r="K586" s="28" t="str">
        <f aca="false">IF(OR(M586=0,C586=""),"",IF(ISNUMBER(C586),MOD(C586,1),IFERROR(INDEX(القوائم!$B$1:$B$288,MATCH(TRIM(C586),القوائم!$A$1:$A$288,0)),IFERROR(MOD(TIMEVALUE(C586),1),""))))</f>
        <v/>
      </c>
      <c r="L586" s="28" t="str">
        <f aca="false">IF(OR(M586=0,D586=""),"",IF(ISNUMBER(D586),MOD(D586,1),IFERROR(INDEX(القوائم!$B$1:$B$288,MATCH(TRIM(D586),القوائم!$A$1:$A$288,0)),IFERROR(MOD(TIMEVALUE(D586),1),""))))</f>
        <v/>
      </c>
      <c r="M586" s="19" t="n">
        <f aca="false">$M$579</f>
        <v>1</v>
      </c>
      <c r="Q586" s="19" t="n">
        <f aca="false">IF(N(E591)&gt;0,1,0)</f>
        <v>0</v>
      </c>
      <c r="S586" s="0" t="n">
        <v>42</v>
      </c>
    </row>
    <row r="587" customFormat="false" ht="15" hidden="false" customHeight="false" outlineLevel="0" collapsed="false">
      <c r="A587" s="29" t="n">
        <f aca="false">IF(42&lt;=NW,WEEK_ONE+293,"")</f>
        <v>46311</v>
      </c>
      <c r="B587" s="30" t="str">
        <f aca="false">IF(A587="","",CHOOSE(WEEKDAY(A587,1),"الأحد","الاثنين","الثلاثاء","الأربعاء","الخميس","الجمعة","السبت"))</f>
        <v>الجمعة</v>
      </c>
      <c r="C587" s="24"/>
      <c r="D587" s="24"/>
      <c r="E587" s="25" t="str">
        <f aca="false">IF(OR(M587=0,K587="",L587=""),"",MOD(L587-K587,1))</f>
        <v/>
      </c>
      <c r="F587" s="26" t="str">
        <f aca="false">IF(OR(E587="",M587=0),"",IF(ROUND_MODE="للأعلى",CEILING(ROUND((E587*24*$N$579),3),0.25),ROUND((E587*24*$N$579)*4,0)/4))</f>
        <v/>
      </c>
      <c r="G587" s="24"/>
      <c r="H587" s="27"/>
      <c r="K587" s="28" t="str">
        <f aca="false">IF(OR(M587=0,C587=""),"",IF(ISNUMBER(C587),MOD(C587,1),IFERROR(INDEX(القوائم!$B$1:$B$288,MATCH(TRIM(C587),القوائم!$A$1:$A$288,0)),IFERROR(MOD(TIMEVALUE(C587),1),""))))</f>
        <v/>
      </c>
      <c r="L587" s="28" t="str">
        <f aca="false">IF(OR(M587=0,D587=""),"",IF(ISNUMBER(D587),MOD(D587,1),IFERROR(INDEX(القوائم!$B$1:$B$288,MATCH(TRIM(D587),القوائم!$A$1:$A$288,0)),IFERROR(MOD(TIMEVALUE(D587),1),""))))</f>
        <v/>
      </c>
      <c r="M587" s="19" t="n">
        <f aca="false">$M$579</f>
        <v>1</v>
      </c>
      <c r="Q587" s="19" t="n">
        <f aca="false">IF(N(E591)&gt;0,1,0)</f>
        <v>0</v>
      </c>
      <c r="S587" s="0" t="n">
        <v>42</v>
      </c>
    </row>
    <row r="588" customFormat="false" ht="15" hidden="false" customHeight="false" outlineLevel="0" collapsed="false">
      <c r="A588" s="31" t="str">
        <f aca="false">IF(M579=1,"ساعات تحميل الجبسمبورد بهالأسبوع ←","")</f>
        <v>ساعات تحميل الجبسمبورد بهالأسبوع ←</v>
      </c>
      <c r="B588" s="31"/>
      <c r="C588" s="31"/>
      <c r="D588" s="31"/>
      <c r="E588" s="32"/>
      <c r="F588" s="33" t="str">
        <f aca="false">IF(M579=1,"كل ساعة تحميل = "&amp;TEXT($P$579,"0.000")&amp;" دينار (منها "&amp;TEXT($N$579,"0.000")&amp;" محسوبة أصلاً بساعات اليوم)","")</f>
        <v>كل ساعة تحميل = 2.500 دينار (منها 1.000 محسوبة أصلاً بساعات اليوم)</v>
      </c>
      <c r="G588" s="33"/>
      <c r="H588" s="33"/>
      <c r="M588" s="19" t="n">
        <f aca="false">$M$579</f>
        <v>1</v>
      </c>
      <c r="Q588" s="19" t="n">
        <f aca="false">IF(N(E591)&gt;0,1,0)</f>
        <v>0</v>
      </c>
      <c r="S588" s="0" t="n">
        <v>42</v>
      </c>
    </row>
    <row r="589" customFormat="false" ht="15" hidden="false" customHeight="false" outlineLevel="0" collapsed="false">
      <c r="A589" s="31" t="str">
        <f aca="false">IF(M579=1,"إكرامية الأسبوع (دينار) ←","")</f>
        <v>إكرامية الأسبوع (دينار) ←</v>
      </c>
      <c r="B589" s="31"/>
      <c r="C589" s="31"/>
      <c r="D589" s="31"/>
      <c r="E589" s="34"/>
      <c r="F589" s="35"/>
      <c r="G589" s="35"/>
      <c r="H589" s="35"/>
      <c r="M589" s="19" t="n">
        <f aca="false">$M$579</f>
        <v>1</v>
      </c>
      <c r="Q589" s="19" t="n">
        <f aca="false">IF(N(E591)&gt;0,1,0)</f>
        <v>0</v>
      </c>
      <c r="S589" s="0" t="n">
        <v>42</v>
      </c>
    </row>
    <row r="590" customFormat="false" ht="36" hidden="false" customHeight="true" outlineLevel="0" collapsed="false">
      <c r="A590" s="36" t="str">
        <f aca="false">IF(M579=1,"المستحق النهائي للأسبوع","")</f>
        <v>المستحق النهائي للأسبوع</v>
      </c>
      <c r="B590" s="36"/>
      <c r="C590" s="36"/>
      <c r="D590" s="36"/>
      <c r="E590" s="36"/>
      <c r="F590" s="11" t="n">
        <f aca="false">IF(M579=1,ROUND(N($V$579)+N(E588)*($P$579-$N$579)+N(E589),3),"")</f>
        <v>0</v>
      </c>
      <c r="G590" s="35"/>
      <c r="H590" s="35"/>
      <c r="M590" s="19" t="n">
        <f aca="false">$M$579</f>
        <v>1</v>
      </c>
      <c r="Q590" s="19" t="n">
        <f aca="false">IF(N(E591)&gt;0,1,0)</f>
        <v>0</v>
      </c>
      <c r="S590" s="0" t="n">
        <v>42</v>
      </c>
      <c r="T590" s="0" t="n">
        <v>1</v>
      </c>
    </row>
    <row r="591" customFormat="false" ht="25.5" hidden="false" customHeight="true" outlineLevel="0" collapsed="false">
      <c r="A591" s="31" t="str">
        <f aca="false">IF(M579=1,"المدفوع (دينار) ←","")</f>
        <v>المدفوع (دينار) ←</v>
      </c>
      <c r="B591" s="31"/>
      <c r="C591" s="31"/>
      <c r="D591" s="31"/>
      <c r="E591" s="34"/>
      <c r="F591" s="38" t="str">
        <f aca="false">IF(M579=1,IF(N(E591)&gt;0,"✔ انقبض — الأسبوع مقفول","⏳ لسا ما انقبض"),"")</f>
        <v>⏳ لسا ما انقبض</v>
      </c>
      <c r="G591" s="38"/>
      <c r="H591" s="38"/>
      <c r="M591" s="19" t="n">
        <f aca="false">$M$579</f>
        <v>1</v>
      </c>
      <c r="Q591" s="19" t="n">
        <f aca="false">IF(N(E591)&gt;0,1,0)</f>
        <v>0</v>
      </c>
      <c r="S591" s="0" t="n">
        <v>42</v>
      </c>
    </row>
    <row r="592" customFormat="false" ht="9.75" hidden="false" customHeight="true" outlineLevel="0" collapsed="false">
      <c r="M592" s="19" t="n">
        <f aca="false">$M$579</f>
        <v>1</v>
      </c>
      <c r="Q592" s="19" t="n">
        <f aca="false">IF(N(E591)&gt;0,1,0)</f>
        <v>0</v>
      </c>
      <c r="S592" s="0" t="n">
        <v>42</v>
      </c>
      <c r="T592" s="0" t="n">
        <v>2</v>
      </c>
    </row>
    <row r="593" customFormat="false" ht="33.75" hidden="false" customHeight="true" outlineLevel="0" collapsed="false">
      <c r="A593" s="17" t="str">
        <f aca="false">IF(43&lt;=NW,TEXT(DAY(WEEK_ONE+294),"00")&amp;"/"&amp;TEXT(MONTH(WEEK_ONE+294),"00")&amp;"/"&amp;YEAR(WEEK_ONE+294)&amp;"  -  "&amp;TEXT(DAY(WEEK_ONE+300),"00")&amp;"/"&amp;TEXT(MONTH(WEEK_ONE+300),"00")&amp;"/"&amp;YEAR(WEEK_ONE+300)&amp;"   ·   الأسبوع 43"&amp;IF(43&lt;START_Z,"   (قبل أسبوع البداية — ما بينحسب)",""),"ما في أسبوع 43 هالسنة")</f>
        <v>17/10/2026  -  23/10/2026   ·   الأسبوع 43</v>
      </c>
      <c r="B593" s="17"/>
      <c r="C593" s="17"/>
      <c r="D593" s="17"/>
      <c r="E593" s="17"/>
      <c r="F593" s="17"/>
      <c r="G593" s="17"/>
      <c r="H593" s="17"/>
      <c r="L593" s="18" t="n">
        <f aca="false">IF(43&lt;=NW,WEEK_ONE+300,"")</f>
        <v>46318</v>
      </c>
      <c r="M593" s="19" t="n">
        <f aca="false">IF(AND(43&lt;=NW,43&gt;=START_Z),1,0)</f>
        <v>1</v>
      </c>
      <c r="N593" s="20" t="n">
        <f aca="false">IFERROR(INDEX(RT_AZZ,MATCH(L593,RT_K,1)),INDEX(RT_AZZ,1))</f>
        <v>1</v>
      </c>
      <c r="P593" s="20" t="n">
        <f aca="false">IFERROR(INDEX(RT_GYP,MATCH(L593,RT_K,1)),INDEX(RT_GYP,1))</f>
        <v>2.5</v>
      </c>
      <c r="Q593" s="19" t="n">
        <f aca="false">IF(N(E605)&gt;0,1,0)</f>
        <v>0</v>
      </c>
      <c r="R593" s="0" t="n">
        <v>43</v>
      </c>
      <c r="S593" s="0" t="n">
        <v>43</v>
      </c>
      <c r="U593" s="39" t="n">
        <f aca="false">IF(M593=1,SUM(E595:E601),0)</f>
        <v>0</v>
      </c>
      <c r="V593" s="19" t="n">
        <f aca="false">SUM(F595:F601)</f>
        <v>0</v>
      </c>
      <c r="W593" s="19" t="n">
        <f aca="false">IF(M593=1,SUMIFS(F595:F601,G595:G601,"نعم"),0)</f>
        <v>0</v>
      </c>
    </row>
    <row r="594" customFormat="false" ht="39.75" hidden="false" customHeight="true" outlineLevel="0" collapsed="false">
      <c r="A594" s="21" t="s">
        <v>18</v>
      </c>
      <c r="B594" s="21" t="s">
        <v>19</v>
      </c>
      <c r="C594" s="21" t="s">
        <v>20</v>
      </c>
      <c r="D594" s="21" t="s">
        <v>21</v>
      </c>
      <c r="E594" s="21" t="s">
        <v>22</v>
      </c>
      <c r="F594" s="21" t="s">
        <v>29</v>
      </c>
      <c r="G594" s="21" t="s">
        <v>30</v>
      </c>
      <c r="H594" s="21" t="s">
        <v>26</v>
      </c>
      <c r="M594" s="19" t="n">
        <f aca="false">$M$593</f>
        <v>1</v>
      </c>
      <c r="Q594" s="19" t="n">
        <f aca="false">IF(N(E605)&gt;0,1,0)</f>
        <v>0</v>
      </c>
      <c r="S594" s="0" t="n">
        <v>43</v>
      </c>
    </row>
    <row r="595" customFormat="false" ht="15" hidden="false" customHeight="false" outlineLevel="0" collapsed="false">
      <c r="A595" s="22" t="n">
        <f aca="false">IF(43&lt;=NW,WEEK_ONE+294,"")</f>
        <v>46312</v>
      </c>
      <c r="B595" s="23" t="str">
        <f aca="false">IF(A595="","",CHOOSE(WEEKDAY(A595,1),"الأحد","الاثنين","الثلاثاء","الأربعاء","الخميس","الجمعة","السبت"))</f>
        <v>السبت</v>
      </c>
      <c r="C595" s="24"/>
      <c r="D595" s="24"/>
      <c r="E595" s="25" t="str">
        <f aca="false">IF(OR(M595=0,K595="",L595=""),"",MOD(L595-K595,1))</f>
        <v/>
      </c>
      <c r="F595" s="26" t="str">
        <f aca="false">IF(OR(E595="",M595=0),"",IF(ROUND_MODE="للأعلى",CEILING(ROUND((E595*24*$N$593),3),0.25),ROUND((E595*24*$N$593)*4,0)/4))</f>
        <v/>
      </c>
      <c r="G595" s="24"/>
      <c r="H595" s="27"/>
      <c r="K595" s="28" t="str">
        <f aca="false">IF(OR(M595=0,C595=""),"",IF(ISNUMBER(C595),MOD(C595,1),IFERROR(INDEX(القوائم!$B$1:$B$288,MATCH(TRIM(C595),القوائم!$A$1:$A$288,0)),IFERROR(MOD(TIMEVALUE(C595),1),""))))</f>
        <v/>
      </c>
      <c r="L595" s="28" t="str">
        <f aca="false">IF(OR(M595=0,D595=""),"",IF(ISNUMBER(D595),MOD(D595,1),IFERROR(INDEX(القوائم!$B$1:$B$288,MATCH(TRIM(D595),القوائم!$A$1:$A$288,0)),IFERROR(MOD(TIMEVALUE(D595),1),""))))</f>
        <v/>
      </c>
      <c r="M595" s="19" t="n">
        <f aca="false">$M$593</f>
        <v>1</v>
      </c>
      <c r="Q595" s="19" t="n">
        <f aca="false">IF(N(E605)&gt;0,1,0)</f>
        <v>0</v>
      </c>
      <c r="S595" s="0" t="n">
        <v>43</v>
      </c>
    </row>
    <row r="596" customFormat="false" ht="15" hidden="false" customHeight="false" outlineLevel="0" collapsed="false">
      <c r="A596" s="22" t="n">
        <f aca="false">IF(43&lt;=NW,WEEK_ONE+295,"")</f>
        <v>46313</v>
      </c>
      <c r="B596" s="23" t="str">
        <f aca="false">IF(A596="","",CHOOSE(WEEKDAY(A596,1),"الأحد","الاثنين","الثلاثاء","الأربعاء","الخميس","الجمعة","السبت"))</f>
        <v>الأحد</v>
      </c>
      <c r="C596" s="24"/>
      <c r="D596" s="24"/>
      <c r="E596" s="25" t="str">
        <f aca="false">IF(OR(M596=0,K596="",L596=""),"",MOD(L596-K596,1))</f>
        <v/>
      </c>
      <c r="F596" s="26" t="str">
        <f aca="false">IF(OR(E596="",M596=0),"",IF(ROUND_MODE="للأعلى",CEILING(ROUND((E596*24*$N$593),3),0.25),ROUND((E596*24*$N$593)*4,0)/4))</f>
        <v/>
      </c>
      <c r="G596" s="24"/>
      <c r="H596" s="27"/>
      <c r="K596" s="28" t="str">
        <f aca="false">IF(OR(M596=0,C596=""),"",IF(ISNUMBER(C596),MOD(C596,1),IFERROR(INDEX(القوائم!$B$1:$B$288,MATCH(TRIM(C596),القوائم!$A$1:$A$288,0)),IFERROR(MOD(TIMEVALUE(C596),1),""))))</f>
        <v/>
      </c>
      <c r="L596" s="28" t="str">
        <f aca="false">IF(OR(M596=0,D596=""),"",IF(ISNUMBER(D596),MOD(D596,1),IFERROR(INDEX(القوائم!$B$1:$B$288,MATCH(TRIM(D596),القوائم!$A$1:$A$288,0)),IFERROR(MOD(TIMEVALUE(D596),1),""))))</f>
        <v/>
      </c>
      <c r="M596" s="19" t="n">
        <f aca="false">$M$593</f>
        <v>1</v>
      </c>
      <c r="Q596" s="19" t="n">
        <f aca="false">IF(N(E605)&gt;0,1,0)</f>
        <v>0</v>
      </c>
      <c r="S596" s="0" t="n">
        <v>43</v>
      </c>
    </row>
    <row r="597" customFormat="false" ht="15" hidden="false" customHeight="false" outlineLevel="0" collapsed="false">
      <c r="A597" s="22" t="n">
        <f aca="false">IF(43&lt;=NW,WEEK_ONE+296,"")</f>
        <v>46314</v>
      </c>
      <c r="B597" s="23" t="str">
        <f aca="false">IF(A597="","",CHOOSE(WEEKDAY(A597,1),"الأحد","الاثنين","الثلاثاء","الأربعاء","الخميس","الجمعة","السبت"))</f>
        <v>الاثنين</v>
      </c>
      <c r="C597" s="24"/>
      <c r="D597" s="24"/>
      <c r="E597" s="25" t="str">
        <f aca="false">IF(OR(M597=0,K597="",L597=""),"",MOD(L597-K597,1))</f>
        <v/>
      </c>
      <c r="F597" s="26" t="str">
        <f aca="false">IF(OR(E597="",M597=0),"",IF(ROUND_MODE="للأعلى",CEILING(ROUND((E597*24*$N$593),3),0.25),ROUND((E597*24*$N$593)*4,0)/4))</f>
        <v/>
      </c>
      <c r="G597" s="24"/>
      <c r="H597" s="27"/>
      <c r="K597" s="28" t="str">
        <f aca="false">IF(OR(M597=0,C597=""),"",IF(ISNUMBER(C597),MOD(C597,1),IFERROR(INDEX(القوائم!$B$1:$B$288,MATCH(TRIM(C597),القوائم!$A$1:$A$288,0)),IFERROR(MOD(TIMEVALUE(C597),1),""))))</f>
        <v/>
      </c>
      <c r="L597" s="28" t="str">
        <f aca="false">IF(OR(M597=0,D597=""),"",IF(ISNUMBER(D597),MOD(D597,1),IFERROR(INDEX(القوائم!$B$1:$B$288,MATCH(TRIM(D597),القوائم!$A$1:$A$288,0)),IFERROR(MOD(TIMEVALUE(D597),1),""))))</f>
        <v/>
      </c>
      <c r="M597" s="19" t="n">
        <f aca="false">$M$593</f>
        <v>1</v>
      </c>
      <c r="Q597" s="19" t="n">
        <f aca="false">IF(N(E605)&gt;0,1,0)</f>
        <v>0</v>
      </c>
      <c r="S597" s="0" t="n">
        <v>43</v>
      </c>
    </row>
    <row r="598" customFormat="false" ht="15" hidden="false" customHeight="false" outlineLevel="0" collapsed="false">
      <c r="A598" s="22" t="n">
        <f aca="false">IF(43&lt;=NW,WEEK_ONE+297,"")</f>
        <v>46315</v>
      </c>
      <c r="B598" s="23" t="str">
        <f aca="false">IF(A598="","",CHOOSE(WEEKDAY(A598,1),"الأحد","الاثنين","الثلاثاء","الأربعاء","الخميس","الجمعة","السبت"))</f>
        <v>الثلاثاء</v>
      </c>
      <c r="C598" s="24"/>
      <c r="D598" s="24"/>
      <c r="E598" s="25" t="str">
        <f aca="false">IF(OR(M598=0,K598="",L598=""),"",MOD(L598-K598,1))</f>
        <v/>
      </c>
      <c r="F598" s="26" t="str">
        <f aca="false">IF(OR(E598="",M598=0),"",IF(ROUND_MODE="للأعلى",CEILING(ROUND((E598*24*$N$593),3),0.25),ROUND((E598*24*$N$593)*4,0)/4))</f>
        <v/>
      </c>
      <c r="G598" s="24"/>
      <c r="H598" s="27"/>
      <c r="K598" s="28" t="str">
        <f aca="false">IF(OR(M598=0,C598=""),"",IF(ISNUMBER(C598),MOD(C598,1),IFERROR(INDEX(القوائم!$B$1:$B$288,MATCH(TRIM(C598),القوائم!$A$1:$A$288,0)),IFERROR(MOD(TIMEVALUE(C598),1),""))))</f>
        <v/>
      </c>
      <c r="L598" s="28" t="str">
        <f aca="false">IF(OR(M598=0,D598=""),"",IF(ISNUMBER(D598),MOD(D598,1),IFERROR(INDEX(القوائم!$B$1:$B$288,MATCH(TRIM(D598),القوائم!$A$1:$A$288,0)),IFERROR(MOD(TIMEVALUE(D598),1),""))))</f>
        <v/>
      </c>
      <c r="M598" s="19" t="n">
        <f aca="false">$M$593</f>
        <v>1</v>
      </c>
      <c r="Q598" s="19" t="n">
        <f aca="false">IF(N(E605)&gt;0,1,0)</f>
        <v>0</v>
      </c>
      <c r="S598" s="0" t="n">
        <v>43</v>
      </c>
    </row>
    <row r="599" customFormat="false" ht="15" hidden="false" customHeight="false" outlineLevel="0" collapsed="false">
      <c r="A599" s="22" t="n">
        <f aca="false">IF(43&lt;=NW,WEEK_ONE+298,"")</f>
        <v>46316</v>
      </c>
      <c r="B599" s="23" t="str">
        <f aca="false">IF(A599="","",CHOOSE(WEEKDAY(A599,1),"الأحد","الاثنين","الثلاثاء","الأربعاء","الخميس","الجمعة","السبت"))</f>
        <v>الأربعاء</v>
      </c>
      <c r="C599" s="24"/>
      <c r="D599" s="24"/>
      <c r="E599" s="25" t="str">
        <f aca="false">IF(OR(M599=0,K599="",L599=""),"",MOD(L599-K599,1))</f>
        <v/>
      </c>
      <c r="F599" s="26" t="str">
        <f aca="false">IF(OR(E599="",M599=0),"",IF(ROUND_MODE="للأعلى",CEILING(ROUND((E599*24*$N$593),3),0.25),ROUND((E599*24*$N$593)*4,0)/4))</f>
        <v/>
      </c>
      <c r="G599" s="24"/>
      <c r="H599" s="27"/>
      <c r="K599" s="28" t="str">
        <f aca="false">IF(OR(M599=0,C599=""),"",IF(ISNUMBER(C599),MOD(C599,1),IFERROR(INDEX(القوائم!$B$1:$B$288,MATCH(TRIM(C599),القوائم!$A$1:$A$288,0)),IFERROR(MOD(TIMEVALUE(C599),1),""))))</f>
        <v/>
      </c>
      <c r="L599" s="28" t="str">
        <f aca="false">IF(OR(M599=0,D599=""),"",IF(ISNUMBER(D599),MOD(D599,1),IFERROR(INDEX(القوائم!$B$1:$B$288,MATCH(TRIM(D599),القوائم!$A$1:$A$288,0)),IFERROR(MOD(TIMEVALUE(D599),1),""))))</f>
        <v/>
      </c>
      <c r="M599" s="19" t="n">
        <f aca="false">$M$593</f>
        <v>1</v>
      </c>
      <c r="Q599" s="19" t="n">
        <f aca="false">IF(N(E605)&gt;0,1,0)</f>
        <v>0</v>
      </c>
      <c r="S599" s="0" t="n">
        <v>43</v>
      </c>
    </row>
    <row r="600" customFormat="false" ht="15" hidden="false" customHeight="false" outlineLevel="0" collapsed="false">
      <c r="A600" s="22" t="n">
        <f aca="false">IF(43&lt;=NW,WEEK_ONE+299,"")</f>
        <v>46317</v>
      </c>
      <c r="B600" s="23" t="str">
        <f aca="false">IF(A600="","",CHOOSE(WEEKDAY(A600,1),"الأحد","الاثنين","الثلاثاء","الأربعاء","الخميس","الجمعة","السبت"))</f>
        <v>الخميس</v>
      </c>
      <c r="C600" s="24"/>
      <c r="D600" s="24"/>
      <c r="E600" s="25" t="str">
        <f aca="false">IF(OR(M600=0,K600="",L600=""),"",MOD(L600-K600,1))</f>
        <v/>
      </c>
      <c r="F600" s="26" t="str">
        <f aca="false">IF(OR(E600="",M600=0),"",IF(ROUND_MODE="للأعلى",CEILING(ROUND((E600*24*$N$593),3),0.25),ROUND((E600*24*$N$593)*4,0)/4))</f>
        <v/>
      </c>
      <c r="G600" s="24"/>
      <c r="H600" s="27"/>
      <c r="K600" s="28" t="str">
        <f aca="false">IF(OR(M600=0,C600=""),"",IF(ISNUMBER(C600),MOD(C600,1),IFERROR(INDEX(القوائم!$B$1:$B$288,MATCH(TRIM(C600),القوائم!$A$1:$A$288,0)),IFERROR(MOD(TIMEVALUE(C600),1),""))))</f>
        <v/>
      </c>
      <c r="L600" s="28" t="str">
        <f aca="false">IF(OR(M600=0,D600=""),"",IF(ISNUMBER(D600),MOD(D600,1),IFERROR(INDEX(القوائم!$B$1:$B$288,MATCH(TRIM(D600),القوائم!$A$1:$A$288,0)),IFERROR(MOD(TIMEVALUE(D600),1),""))))</f>
        <v/>
      </c>
      <c r="M600" s="19" t="n">
        <f aca="false">$M$593</f>
        <v>1</v>
      </c>
      <c r="Q600" s="19" t="n">
        <f aca="false">IF(N(E605)&gt;0,1,0)</f>
        <v>0</v>
      </c>
      <c r="S600" s="0" t="n">
        <v>43</v>
      </c>
    </row>
    <row r="601" customFormat="false" ht="15" hidden="false" customHeight="false" outlineLevel="0" collapsed="false">
      <c r="A601" s="29" t="n">
        <f aca="false">IF(43&lt;=NW,WEEK_ONE+300,"")</f>
        <v>46318</v>
      </c>
      <c r="B601" s="30" t="str">
        <f aca="false">IF(A601="","",CHOOSE(WEEKDAY(A601,1),"الأحد","الاثنين","الثلاثاء","الأربعاء","الخميس","الجمعة","السبت"))</f>
        <v>الجمعة</v>
      </c>
      <c r="C601" s="24"/>
      <c r="D601" s="24"/>
      <c r="E601" s="25" t="str">
        <f aca="false">IF(OR(M601=0,K601="",L601=""),"",MOD(L601-K601,1))</f>
        <v/>
      </c>
      <c r="F601" s="26" t="str">
        <f aca="false">IF(OR(E601="",M601=0),"",IF(ROUND_MODE="للأعلى",CEILING(ROUND((E601*24*$N$593),3),0.25),ROUND((E601*24*$N$593)*4,0)/4))</f>
        <v/>
      </c>
      <c r="G601" s="24"/>
      <c r="H601" s="27"/>
      <c r="K601" s="28" t="str">
        <f aca="false">IF(OR(M601=0,C601=""),"",IF(ISNUMBER(C601),MOD(C601,1),IFERROR(INDEX(القوائم!$B$1:$B$288,MATCH(TRIM(C601),القوائم!$A$1:$A$288,0)),IFERROR(MOD(TIMEVALUE(C601),1),""))))</f>
        <v/>
      </c>
      <c r="L601" s="28" t="str">
        <f aca="false">IF(OR(M601=0,D601=""),"",IF(ISNUMBER(D601),MOD(D601,1),IFERROR(INDEX(القوائم!$B$1:$B$288,MATCH(TRIM(D601),القوائم!$A$1:$A$288,0)),IFERROR(MOD(TIMEVALUE(D601),1),""))))</f>
        <v/>
      </c>
      <c r="M601" s="19" t="n">
        <f aca="false">$M$593</f>
        <v>1</v>
      </c>
      <c r="Q601" s="19" t="n">
        <f aca="false">IF(N(E605)&gt;0,1,0)</f>
        <v>0</v>
      </c>
      <c r="S601" s="0" t="n">
        <v>43</v>
      </c>
    </row>
    <row r="602" customFormat="false" ht="15" hidden="false" customHeight="false" outlineLevel="0" collapsed="false">
      <c r="A602" s="31" t="str">
        <f aca="false">IF(M593=1,"ساعات تحميل الجبسمبورد بهالأسبوع ←","")</f>
        <v>ساعات تحميل الجبسمبورد بهالأسبوع ←</v>
      </c>
      <c r="B602" s="31"/>
      <c r="C602" s="31"/>
      <c r="D602" s="31"/>
      <c r="E602" s="32"/>
      <c r="F602" s="33" t="str">
        <f aca="false">IF(M593=1,"كل ساعة تحميل = "&amp;TEXT($P$593,"0.000")&amp;" دينار (منها "&amp;TEXT($N$593,"0.000")&amp;" محسوبة أصلاً بساعات اليوم)","")</f>
        <v>كل ساعة تحميل = 2.500 دينار (منها 1.000 محسوبة أصلاً بساعات اليوم)</v>
      </c>
      <c r="G602" s="33"/>
      <c r="H602" s="33"/>
      <c r="M602" s="19" t="n">
        <f aca="false">$M$593</f>
        <v>1</v>
      </c>
      <c r="Q602" s="19" t="n">
        <f aca="false">IF(N(E605)&gt;0,1,0)</f>
        <v>0</v>
      </c>
      <c r="S602" s="0" t="n">
        <v>43</v>
      </c>
    </row>
    <row r="603" customFormat="false" ht="15" hidden="false" customHeight="false" outlineLevel="0" collapsed="false">
      <c r="A603" s="31" t="str">
        <f aca="false">IF(M593=1,"إكرامية الأسبوع (دينار) ←","")</f>
        <v>إكرامية الأسبوع (دينار) ←</v>
      </c>
      <c r="B603" s="31"/>
      <c r="C603" s="31"/>
      <c r="D603" s="31"/>
      <c r="E603" s="34"/>
      <c r="F603" s="35"/>
      <c r="G603" s="35"/>
      <c r="H603" s="35"/>
      <c r="M603" s="19" t="n">
        <f aca="false">$M$593</f>
        <v>1</v>
      </c>
      <c r="Q603" s="19" t="n">
        <f aca="false">IF(N(E605)&gt;0,1,0)</f>
        <v>0</v>
      </c>
      <c r="S603" s="0" t="n">
        <v>43</v>
      </c>
    </row>
    <row r="604" customFormat="false" ht="36" hidden="false" customHeight="true" outlineLevel="0" collapsed="false">
      <c r="A604" s="36" t="str">
        <f aca="false">IF(M593=1,"المستحق النهائي للأسبوع","")</f>
        <v>المستحق النهائي للأسبوع</v>
      </c>
      <c r="B604" s="36"/>
      <c r="C604" s="36"/>
      <c r="D604" s="36"/>
      <c r="E604" s="36"/>
      <c r="F604" s="11" t="n">
        <f aca="false">IF(M593=1,ROUND(N($V$593)+N(E602)*($P$593-$N$593)+N(E603),3),"")</f>
        <v>0</v>
      </c>
      <c r="G604" s="35"/>
      <c r="H604" s="35"/>
      <c r="M604" s="19" t="n">
        <f aca="false">$M$593</f>
        <v>1</v>
      </c>
      <c r="Q604" s="19" t="n">
        <f aca="false">IF(N(E605)&gt;0,1,0)</f>
        <v>0</v>
      </c>
      <c r="S604" s="0" t="n">
        <v>43</v>
      </c>
      <c r="T604" s="0" t="n">
        <v>1</v>
      </c>
    </row>
    <row r="605" customFormat="false" ht="25.5" hidden="false" customHeight="true" outlineLevel="0" collapsed="false">
      <c r="A605" s="31" t="str">
        <f aca="false">IF(M593=1,"المدفوع (دينار) ←","")</f>
        <v>المدفوع (دينار) ←</v>
      </c>
      <c r="B605" s="31"/>
      <c r="C605" s="31"/>
      <c r="D605" s="31"/>
      <c r="E605" s="34"/>
      <c r="F605" s="38" t="str">
        <f aca="false">IF(M593=1,IF(N(E605)&gt;0,"✔ انقبض — الأسبوع مقفول","⏳ لسا ما انقبض"),"")</f>
        <v>⏳ لسا ما انقبض</v>
      </c>
      <c r="G605" s="38"/>
      <c r="H605" s="38"/>
      <c r="M605" s="19" t="n">
        <f aca="false">$M$593</f>
        <v>1</v>
      </c>
      <c r="Q605" s="19" t="n">
        <f aca="false">IF(N(E605)&gt;0,1,0)</f>
        <v>0</v>
      </c>
      <c r="S605" s="0" t="n">
        <v>43</v>
      </c>
    </row>
    <row r="606" customFormat="false" ht="9.75" hidden="false" customHeight="true" outlineLevel="0" collapsed="false">
      <c r="M606" s="19" t="n">
        <f aca="false">$M$593</f>
        <v>1</v>
      </c>
      <c r="Q606" s="19" t="n">
        <f aca="false">IF(N(E605)&gt;0,1,0)</f>
        <v>0</v>
      </c>
      <c r="S606" s="0" t="n">
        <v>43</v>
      </c>
      <c r="T606" s="0" t="n">
        <v>2</v>
      </c>
    </row>
    <row r="607" customFormat="false" ht="33.75" hidden="false" customHeight="true" outlineLevel="0" collapsed="false">
      <c r="A607" s="17" t="str">
        <f aca="false">IF(44&lt;=NW,TEXT(DAY(WEEK_ONE+301),"00")&amp;"/"&amp;TEXT(MONTH(WEEK_ONE+301),"00")&amp;"/"&amp;YEAR(WEEK_ONE+301)&amp;"  -  "&amp;TEXT(DAY(WEEK_ONE+307),"00")&amp;"/"&amp;TEXT(MONTH(WEEK_ONE+307),"00")&amp;"/"&amp;YEAR(WEEK_ONE+307)&amp;"   ·   الأسبوع 44"&amp;IF(44&lt;START_Z,"   (قبل أسبوع البداية — ما بينحسب)",""),"ما في أسبوع 44 هالسنة")</f>
        <v>24/10/2026  -  30/10/2026   ·   الأسبوع 44</v>
      </c>
      <c r="B607" s="17"/>
      <c r="C607" s="17"/>
      <c r="D607" s="17"/>
      <c r="E607" s="17"/>
      <c r="F607" s="17"/>
      <c r="G607" s="17"/>
      <c r="H607" s="17"/>
      <c r="L607" s="18" t="n">
        <f aca="false">IF(44&lt;=NW,WEEK_ONE+307,"")</f>
        <v>46325</v>
      </c>
      <c r="M607" s="19" t="n">
        <f aca="false">IF(AND(44&lt;=NW,44&gt;=START_Z),1,0)</f>
        <v>1</v>
      </c>
      <c r="N607" s="20" t="n">
        <f aca="false">IFERROR(INDEX(RT_AZZ,MATCH(L607,RT_K,1)),INDEX(RT_AZZ,1))</f>
        <v>1</v>
      </c>
      <c r="P607" s="20" t="n">
        <f aca="false">IFERROR(INDEX(RT_GYP,MATCH(L607,RT_K,1)),INDEX(RT_GYP,1))</f>
        <v>2.5</v>
      </c>
      <c r="Q607" s="19" t="n">
        <f aca="false">IF(N(E619)&gt;0,1,0)</f>
        <v>0</v>
      </c>
      <c r="R607" s="0" t="n">
        <v>44</v>
      </c>
      <c r="S607" s="0" t="n">
        <v>44</v>
      </c>
      <c r="U607" s="39" t="n">
        <f aca="false">IF(M607=1,SUM(E609:E615),0)</f>
        <v>0</v>
      </c>
      <c r="V607" s="19" t="n">
        <f aca="false">SUM(F609:F615)</f>
        <v>0</v>
      </c>
      <c r="W607" s="19" t="n">
        <f aca="false">IF(M607=1,SUMIFS(F609:F615,G609:G615,"نعم"),0)</f>
        <v>0</v>
      </c>
    </row>
    <row r="608" customFormat="false" ht="39.75" hidden="false" customHeight="true" outlineLevel="0" collapsed="false">
      <c r="A608" s="21" t="s">
        <v>18</v>
      </c>
      <c r="B608" s="21" t="s">
        <v>19</v>
      </c>
      <c r="C608" s="21" t="s">
        <v>20</v>
      </c>
      <c r="D608" s="21" t="s">
        <v>21</v>
      </c>
      <c r="E608" s="21" t="s">
        <v>22</v>
      </c>
      <c r="F608" s="21" t="s">
        <v>29</v>
      </c>
      <c r="G608" s="21" t="s">
        <v>30</v>
      </c>
      <c r="H608" s="21" t="s">
        <v>26</v>
      </c>
      <c r="M608" s="19" t="n">
        <f aca="false">$M$607</f>
        <v>1</v>
      </c>
      <c r="Q608" s="19" t="n">
        <f aca="false">IF(N(E619)&gt;0,1,0)</f>
        <v>0</v>
      </c>
      <c r="S608" s="0" t="n">
        <v>44</v>
      </c>
    </row>
    <row r="609" customFormat="false" ht="15" hidden="false" customHeight="false" outlineLevel="0" collapsed="false">
      <c r="A609" s="22" t="n">
        <f aca="false">IF(44&lt;=NW,WEEK_ONE+301,"")</f>
        <v>46319</v>
      </c>
      <c r="B609" s="23" t="str">
        <f aca="false">IF(A609="","",CHOOSE(WEEKDAY(A609,1),"الأحد","الاثنين","الثلاثاء","الأربعاء","الخميس","الجمعة","السبت"))</f>
        <v>السبت</v>
      </c>
      <c r="C609" s="24"/>
      <c r="D609" s="24"/>
      <c r="E609" s="25" t="str">
        <f aca="false">IF(OR(M609=0,K609="",L609=""),"",MOD(L609-K609,1))</f>
        <v/>
      </c>
      <c r="F609" s="26" t="str">
        <f aca="false">IF(OR(E609="",M609=0),"",IF(ROUND_MODE="للأعلى",CEILING(ROUND((E609*24*$N$607),3),0.25),ROUND((E609*24*$N$607)*4,0)/4))</f>
        <v/>
      </c>
      <c r="G609" s="24"/>
      <c r="H609" s="27"/>
      <c r="K609" s="28" t="str">
        <f aca="false">IF(OR(M609=0,C609=""),"",IF(ISNUMBER(C609),MOD(C609,1),IFERROR(INDEX(القوائم!$B$1:$B$288,MATCH(TRIM(C609),القوائم!$A$1:$A$288,0)),IFERROR(MOD(TIMEVALUE(C609),1),""))))</f>
        <v/>
      </c>
      <c r="L609" s="28" t="str">
        <f aca="false">IF(OR(M609=0,D609=""),"",IF(ISNUMBER(D609),MOD(D609,1),IFERROR(INDEX(القوائم!$B$1:$B$288,MATCH(TRIM(D609),القوائم!$A$1:$A$288,0)),IFERROR(MOD(TIMEVALUE(D609),1),""))))</f>
        <v/>
      </c>
      <c r="M609" s="19" t="n">
        <f aca="false">$M$607</f>
        <v>1</v>
      </c>
      <c r="Q609" s="19" t="n">
        <f aca="false">IF(N(E619)&gt;0,1,0)</f>
        <v>0</v>
      </c>
      <c r="S609" s="0" t="n">
        <v>44</v>
      </c>
    </row>
    <row r="610" customFormat="false" ht="15" hidden="false" customHeight="false" outlineLevel="0" collapsed="false">
      <c r="A610" s="22" t="n">
        <f aca="false">IF(44&lt;=NW,WEEK_ONE+302,"")</f>
        <v>46320</v>
      </c>
      <c r="B610" s="23" t="str">
        <f aca="false">IF(A610="","",CHOOSE(WEEKDAY(A610,1),"الأحد","الاثنين","الثلاثاء","الأربعاء","الخميس","الجمعة","السبت"))</f>
        <v>الأحد</v>
      </c>
      <c r="C610" s="24"/>
      <c r="D610" s="24"/>
      <c r="E610" s="25" t="str">
        <f aca="false">IF(OR(M610=0,K610="",L610=""),"",MOD(L610-K610,1))</f>
        <v/>
      </c>
      <c r="F610" s="26" t="str">
        <f aca="false">IF(OR(E610="",M610=0),"",IF(ROUND_MODE="للأعلى",CEILING(ROUND((E610*24*$N$607),3),0.25),ROUND((E610*24*$N$607)*4,0)/4))</f>
        <v/>
      </c>
      <c r="G610" s="24"/>
      <c r="H610" s="27"/>
      <c r="K610" s="28" t="str">
        <f aca="false">IF(OR(M610=0,C610=""),"",IF(ISNUMBER(C610),MOD(C610,1),IFERROR(INDEX(القوائم!$B$1:$B$288,MATCH(TRIM(C610),القوائم!$A$1:$A$288,0)),IFERROR(MOD(TIMEVALUE(C610),1),""))))</f>
        <v/>
      </c>
      <c r="L610" s="28" t="str">
        <f aca="false">IF(OR(M610=0,D610=""),"",IF(ISNUMBER(D610),MOD(D610,1),IFERROR(INDEX(القوائم!$B$1:$B$288,MATCH(TRIM(D610),القوائم!$A$1:$A$288,0)),IFERROR(MOD(TIMEVALUE(D610),1),""))))</f>
        <v/>
      </c>
      <c r="M610" s="19" t="n">
        <f aca="false">$M$607</f>
        <v>1</v>
      </c>
      <c r="Q610" s="19" t="n">
        <f aca="false">IF(N(E619)&gt;0,1,0)</f>
        <v>0</v>
      </c>
      <c r="S610" s="0" t="n">
        <v>44</v>
      </c>
    </row>
    <row r="611" customFormat="false" ht="15" hidden="false" customHeight="false" outlineLevel="0" collapsed="false">
      <c r="A611" s="22" t="n">
        <f aca="false">IF(44&lt;=NW,WEEK_ONE+303,"")</f>
        <v>46321</v>
      </c>
      <c r="B611" s="23" t="str">
        <f aca="false">IF(A611="","",CHOOSE(WEEKDAY(A611,1),"الأحد","الاثنين","الثلاثاء","الأربعاء","الخميس","الجمعة","السبت"))</f>
        <v>الاثنين</v>
      </c>
      <c r="C611" s="24"/>
      <c r="D611" s="24"/>
      <c r="E611" s="25" t="str">
        <f aca="false">IF(OR(M611=0,K611="",L611=""),"",MOD(L611-K611,1))</f>
        <v/>
      </c>
      <c r="F611" s="26" t="str">
        <f aca="false">IF(OR(E611="",M611=0),"",IF(ROUND_MODE="للأعلى",CEILING(ROUND((E611*24*$N$607),3),0.25),ROUND((E611*24*$N$607)*4,0)/4))</f>
        <v/>
      </c>
      <c r="G611" s="24"/>
      <c r="H611" s="27"/>
      <c r="K611" s="28" t="str">
        <f aca="false">IF(OR(M611=0,C611=""),"",IF(ISNUMBER(C611),MOD(C611,1),IFERROR(INDEX(القوائم!$B$1:$B$288,MATCH(TRIM(C611),القوائم!$A$1:$A$288,0)),IFERROR(MOD(TIMEVALUE(C611),1),""))))</f>
        <v/>
      </c>
      <c r="L611" s="28" t="str">
        <f aca="false">IF(OR(M611=0,D611=""),"",IF(ISNUMBER(D611),MOD(D611,1),IFERROR(INDEX(القوائم!$B$1:$B$288,MATCH(TRIM(D611),القوائم!$A$1:$A$288,0)),IFERROR(MOD(TIMEVALUE(D611),1),""))))</f>
        <v/>
      </c>
      <c r="M611" s="19" t="n">
        <f aca="false">$M$607</f>
        <v>1</v>
      </c>
      <c r="Q611" s="19" t="n">
        <f aca="false">IF(N(E619)&gt;0,1,0)</f>
        <v>0</v>
      </c>
      <c r="S611" s="0" t="n">
        <v>44</v>
      </c>
    </row>
    <row r="612" customFormat="false" ht="15" hidden="false" customHeight="false" outlineLevel="0" collapsed="false">
      <c r="A612" s="22" t="n">
        <f aca="false">IF(44&lt;=NW,WEEK_ONE+304,"")</f>
        <v>46322</v>
      </c>
      <c r="B612" s="23" t="str">
        <f aca="false">IF(A612="","",CHOOSE(WEEKDAY(A612,1),"الأحد","الاثنين","الثلاثاء","الأربعاء","الخميس","الجمعة","السبت"))</f>
        <v>الثلاثاء</v>
      </c>
      <c r="C612" s="24"/>
      <c r="D612" s="24"/>
      <c r="E612" s="25" t="str">
        <f aca="false">IF(OR(M612=0,K612="",L612=""),"",MOD(L612-K612,1))</f>
        <v/>
      </c>
      <c r="F612" s="26" t="str">
        <f aca="false">IF(OR(E612="",M612=0),"",IF(ROUND_MODE="للأعلى",CEILING(ROUND((E612*24*$N$607),3),0.25),ROUND((E612*24*$N$607)*4,0)/4))</f>
        <v/>
      </c>
      <c r="G612" s="24"/>
      <c r="H612" s="27"/>
      <c r="K612" s="28" t="str">
        <f aca="false">IF(OR(M612=0,C612=""),"",IF(ISNUMBER(C612),MOD(C612,1),IFERROR(INDEX(القوائم!$B$1:$B$288,MATCH(TRIM(C612),القوائم!$A$1:$A$288,0)),IFERROR(MOD(TIMEVALUE(C612),1),""))))</f>
        <v/>
      </c>
      <c r="L612" s="28" t="str">
        <f aca="false">IF(OR(M612=0,D612=""),"",IF(ISNUMBER(D612),MOD(D612,1),IFERROR(INDEX(القوائم!$B$1:$B$288,MATCH(TRIM(D612),القوائم!$A$1:$A$288,0)),IFERROR(MOD(TIMEVALUE(D612),1),""))))</f>
        <v/>
      </c>
      <c r="M612" s="19" t="n">
        <f aca="false">$M$607</f>
        <v>1</v>
      </c>
      <c r="Q612" s="19" t="n">
        <f aca="false">IF(N(E619)&gt;0,1,0)</f>
        <v>0</v>
      </c>
      <c r="S612" s="0" t="n">
        <v>44</v>
      </c>
    </row>
    <row r="613" customFormat="false" ht="15" hidden="false" customHeight="false" outlineLevel="0" collapsed="false">
      <c r="A613" s="22" t="n">
        <f aca="false">IF(44&lt;=NW,WEEK_ONE+305,"")</f>
        <v>46323</v>
      </c>
      <c r="B613" s="23" t="str">
        <f aca="false">IF(A613="","",CHOOSE(WEEKDAY(A613,1),"الأحد","الاثنين","الثلاثاء","الأربعاء","الخميس","الجمعة","السبت"))</f>
        <v>الأربعاء</v>
      </c>
      <c r="C613" s="24"/>
      <c r="D613" s="24"/>
      <c r="E613" s="25" t="str">
        <f aca="false">IF(OR(M613=0,K613="",L613=""),"",MOD(L613-K613,1))</f>
        <v/>
      </c>
      <c r="F613" s="26" t="str">
        <f aca="false">IF(OR(E613="",M613=0),"",IF(ROUND_MODE="للأعلى",CEILING(ROUND((E613*24*$N$607),3),0.25),ROUND((E613*24*$N$607)*4,0)/4))</f>
        <v/>
      </c>
      <c r="G613" s="24"/>
      <c r="H613" s="27"/>
      <c r="K613" s="28" t="str">
        <f aca="false">IF(OR(M613=0,C613=""),"",IF(ISNUMBER(C613),MOD(C613,1),IFERROR(INDEX(القوائم!$B$1:$B$288,MATCH(TRIM(C613),القوائم!$A$1:$A$288,0)),IFERROR(MOD(TIMEVALUE(C613),1),""))))</f>
        <v/>
      </c>
      <c r="L613" s="28" t="str">
        <f aca="false">IF(OR(M613=0,D613=""),"",IF(ISNUMBER(D613),MOD(D613,1),IFERROR(INDEX(القوائم!$B$1:$B$288,MATCH(TRIM(D613),القوائم!$A$1:$A$288,0)),IFERROR(MOD(TIMEVALUE(D613),1),""))))</f>
        <v/>
      </c>
      <c r="M613" s="19" t="n">
        <f aca="false">$M$607</f>
        <v>1</v>
      </c>
      <c r="Q613" s="19" t="n">
        <f aca="false">IF(N(E619)&gt;0,1,0)</f>
        <v>0</v>
      </c>
      <c r="S613" s="0" t="n">
        <v>44</v>
      </c>
    </row>
    <row r="614" customFormat="false" ht="15" hidden="false" customHeight="false" outlineLevel="0" collapsed="false">
      <c r="A614" s="22" t="n">
        <f aca="false">IF(44&lt;=NW,WEEK_ONE+306,"")</f>
        <v>46324</v>
      </c>
      <c r="B614" s="23" t="str">
        <f aca="false">IF(A614="","",CHOOSE(WEEKDAY(A614,1),"الأحد","الاثنين","الثلاثاء","الأربعاء","الخميس","الجمعة","السبت"))</f>
        <v>الخميس</v>
      </c>
      <c r="C614" s="24"/>
      <c r="D614" s="24"/>
      <c r="E614" s="25" t="str">
        <f aca="false">IF(OR(M614=0,K614="",L614=""),"",MOD(L614-K614,1))</f>
        <v/>
      </c>
      <c r="F614" s="26" t="str">
        <f aca="false">IF(OR(E614="",M614=0),"",IF(ROUND_MODE="للأعلى",CEILING(ROUND((E614*24*$N$607),3),0.25),ROUND((E614*24*$N$607)*4,0)/4))</f>
        <v/>
      </c>
      <c r="G614" s="24"/>
      <c r="H614" s="27"/>
      <c r="K614" s="28" t="str">
        <f aca="false">IF(OR(M614=0,C614=""),"",IF(ISNUMBER(C614),MOD(C614,1),IFERROR(INDEX(القوائم!$B$1:$B$288,MATCH(TRIM(C614),القوائم!$A$1:$A$288,0)),IFERROR(MOD(TIMEVALUE(C614),1),""))))</f>
        <v/>
      </c>
      <c r="L614" s="28" t="str">
        <f aca="false">IF(OR(M614=0,D614=""),"",IF(ISNUMBER(D614),MOD(D614,1),IFERROR(INDEX(القوائم!$B$1:$B$288,MATCH(TRIM(D614),القوائم!$A$1:$A$288,0)),IFERROR(MOD(TIMEVALUE(D614),1),""))))</f>
        <v/>
      </c>
      <c r="M614" s="19" t="n">
        <f aca="false">$M$607</f>
        <v>1</v>
      </c>
      <c r="Q614" s="19" t="n">
        <f aca="false">IF(N(E619)&gt;0,1,0)</f>
        <v>0</v>
      </c>
      <c r="S614" s="0" t="n">
        <v>44</v>
      </c>
    </row>
    <row r="615" customFormat="false" ht="15" hidden="false" customHeight="false" outlineLevel="0" collapsed="false">
      <c r="A615" s="29" t="n">
        <f aca="false">IF(44&lt;=NW,WEEK_ONE+307,"")</f>
        <v>46325</v>
      </c>
      <c r="B615" s="30" t="str">
        <f aca="false">IF(A615="","",CHOOSE(WEEKDAY(A615,1),"الأحد","الاثنين","الثلاثاء","الأربعاء","الخميس","الجمعة","السبت"))</f>
        <v>الجمعة</v>
      </c>
      <c r="C615" s="24"/>
      <c r="D615" s="24"/>
      <c r="E615" s="25" t="str">
        <f aca="false">IF(OR(M615=0,K615="",L615=""),"",MOD(L615-K615,1))</f>
        <v/>
      </c>
      <c r="F615" s="26" t="str">
        <f aca="false">IF(OR(E615="",M615=0),"",IF(ROUND_MODE="للأعلى",CEILING(ROUND((E615*24*$N$607),3),0.25),ROUND((E615*24*$N$607)*4,0)/4))</f>
        <v/>
      </c>
      <c r="G615" s="24"/>
      <c r="H615" s="27"/>
      <c r="K615" s="28" t="str">
        <f aca="false">IF(OR(M615=0,C615=""),"",IF(ISNUMBER(C615),MOD(C615,1),IFERROR(INDEX(القوائم!$B$1:$B$288,MATCH(TRIM(C615),القوائم!$A$1:$A$288,0)),IFERROR(MOD(TIMEVALUE(C615),1),""))))</f>
        <v/>
      </c>
      <c r="L615" s="28" t="str">
        <f aca="false">IF(OR(M615=0,D615=""),"",IF(ISNUMBER(D615),MOD(D615,1),IFERROR(INDEX(القوائم!$B$1:$B$288,MATCH(TRIM(D615),القوائم!$A$1:$A$288,0)),IFERROR(MOD(TIMEVALUE(D615),1),""))))</f>
        <v/>
      </c>
      <c r="M615" s="19" t="n">
        <f aca="false">$M$607</f>
        <v>1</v>
      </c>
      <c r="Q615" s="19" t="n">
        <f aca="false">IF(N(E619)&gt;0,1,0)</f>
        <v>0</v>
      </c>
      <c r="S615" s="0" t="n">
        <v>44</v>
      </c>
    </row>
    <row r="616" customFormat="false" ht="15" hidden="false" customHeight="false" outlineLevel="0" collapsed="false">
      <c r="A616" s="31" t="str">
        <f aca="false">IF(M607=1,"ساعات تحميل الجبسمبورد بهالأسبوع ←","")</f>
        <v>ساعات تحميل الجبسمبورد بهالأسبوع ←</v>
      </c>
      <c r="B616" s="31"/>
      <c r="C616" s="31"/>
      <c r="D616" s="31"/>
      <c r="E616" s="32"/>
      <c r="F616" s="33" t="str">
        <f aca="false">IF(M607=1,"كل ساعة تحميل = "&amp;TEXT($P$607,"0.000")&amp;" دينار (منها "&amp;TEXT($N$607,"0.000")&amp;" محسوبة أصلاً بساعات اليوم)","")</f>
        <v>كل ساعة تحميل = 2.500 دينار (منها 1.000 محسوبة أصلاً بساعات اليوم)</v>
      </c>
      <c r="G616" s="33"/>
      <c r="H616" s="33"/>
      <c r="M616" s="19" t="n">
        <f aca="false">$M$607</f>
        <v>1</v>
      </c>
      <c r="Q616" s="19" t="n">
        <f aca="false">IF(N(E619)&gt;0,1,0)</f>
        <v>0</v>
      </c>
      <c r="S616" s="0" t="n">
        <v>44</v>
      </c>
    </row>
    <row r="617" customFormat="false" ht="15" hidden="false" customHeight="false" outlineLevel="0" collapsed="false">
      <c r="A617" s="31" t="str">
        <f aca="false">IF(M607=1,"إكرامية الأسبوع (دينار) ←","")</f>
        <v>إكرامية الأسبوع (دينار) ←</v>
      </c>
      <c r="B617" s="31"/>
      <c r="C617" s="31"/>
      <c r="D617" s="31"/>
      <c r="E617" s="34"/>
      <c r="F617" s="35"/>
      <c r="G617" s="35"/>
      <c r="H617" s="35"/>
      <c r="M617" s="19" t="n">
        <f aca="false">$M$607</f>
        <v>1</v>
      </c>
      <c r="Q617" s="19" t="n">
        <f aca="false">IF(N(E619)&gt;0,1,0)</f>
        <v>0</v>
      </c>
      <c r="S617" s="0" t="n">
        <v>44</v>
      </c>
    </row>
    <row r="618" customFormat="false" ht="36" hidden="false" customHeight="true" outlineLevel="0" collapsed="false">
      <c r="A618" s="36" t="str">
        <f aca="false">IF(M607=1,"المستحق النهائي للأسبوع","")</f>
        <v>المستحق النهائي للأسبوع</v>
      </c>
      <c r="B618" s="36"/>
      <c r="C618" s="36"/>
      <c r="D618" s="36"/>
      <c r="E618" s="36"/>
      <c r="F618" s="11" t="n">
        <f aca="false">IF(M607=1,ROUND(N($V$607)+N(E616)*($P$607-$N$607)+N(E617),3),"")</f>
        <v>0</v>
      </c>
      <c r="G618" s="35"/>
      <c r="H618" s="35"/>
      <c r="M618" s="19" t="n">
        <f aca="false">$M$607</f>
        <v>1</v>
      </c>
      <c r="Q618" s="19" t="n">
        <f aca="false">IF(N(E619)&gt;0,1,0)</f>
        <v>0</v>
      </c>
      <c r="S618" s="0" t="n">
        <v>44</v>
      </c>
      <c r="T618" s="0" t="n">
        <v>1</v>
      </c>
    </row>
    <row r="619" customFormat="false" ht="25.5" hidden="false" customHeight="true" outlineLevel="0" collapsed="false">
      <c r="A619" s="31" t="str">
        <f aca="false">IF(M607=1,"المدفوع (دينار) ←","")</f>
        <v>المدفوع (دينار) ←</v>
      </c>
      <c r="B619" s="31"/>
      <c r="C619" s="31"/>
      <c r="D619" s="31"/>
      <c r="E619" s="34"/>
      <c r="F619" s="38" t="str">
        <f aca="false">IF(M607=1,IF(N(E619)&gt;0,"✔ انقبض — الأسبوع مقفول","⏳ لسا ما انقبض"),"")</f>
        <v>⏳ لسا ما انقبض</v>
      </c>
      <c r="G619" s="38"/>
      <c r="H619" s="38"/>
      <c r="M619" s="19" t="n">
        <f aca="false">$M$607</f>
        <v>1</v>
      </c>
      <c r="Q619" s="19" t="n">
        <f aca="false">IF(N(E619)&gt;0,1,0)</f>
        <v>0</v>
      </c>
      <c r="S619" s="0" t="n">
        <v>44</v>
      </c>
    </row>
    <row r="620" customFormat="false" ht="9.75" hidden="false" customHeight="true" outlineLevel="0" collapsed="false">
      <c r="M620" s="19" t="n">
        <f aca="false">$M$607</f>
        <v>1</v>
      </c>
      <c r="Q620" s="19" t="n">
        <f aca="false">IF(N(E619)&gt;0,1,0)</f>
        <v>0</v>
      </c>
      <c r="S620" s="0" t="n">
        <v>44</v>
      </c>
      <c r="T620" s="0" t="n">
        <v>2</v>
      </c>
    </row>
    <row r="621" customFormat="false" ht="33.75" hidden="false" customHeight="true" outlineLevel="0" collapsed="false">
      <c r="A621" s="17" t="str">
        <f aca="false">IF(45&lt;=NW,TEXT(DAY(WEEK_ONE+308),"00")&amp;"/"&amp;TEXT(MONTH(WEEK_ONE+308),"00")&amp;"/"&amp;YEAR(WEEK_ONE+308)&amp;"  -  "&amp;TEXT(DAY(WEEK_ONE+314),"00")&amp;"/"&amp;TEXT(MONTH(WEEK_ONE+314),"00")&amp;"/"&amp;YEAR(WEEK_ONE+314)&amp;"   ·   الأسبوع 45"&amp;IF(45&lt;START_Z,"   (قبل أسبوع البداية — ما بينحسب)",""),"ما في أسبوع 45 هالسنة")</f>
        <v>31/10/2026  -  06/11/2026   ·   الأسبوع 45</v>
      </c>
      <c r="B621" s="17"/>
      <c r="C621" s="17"/>
      <c r="D621" s="17"/>
      <c r="E621" s="17"/>
      <c r="F621" s="17"/>
      <c r="G621" s="17"/>
      <c r="H621" s="17"/>
      <c r="L621" s="18" t="n">
        <f aca="false">IF(45&lt;=NW,WEEK_ONE+314,"")</f>
        <v>46332</v>
      </c>
      <c r="M621" s="19" t="n">
        <f aca="false">IF(AND(45&lt;=NW,45&gt;=START_Z),1,0)</f>
        <v>1</v>
      </c>
      <c r="N621" s="20" t="n">
        <f aca="false">IFERROR(INDEX(RT_AZZ,MATCH(L621,RT_K,1)),INDEX(RT_AZZ,1))</f>
        <v>1</v>
      </c>
      <c r="P621" s="20" t="n">
        <f aca="false">IFERROR(INDEX(RT_GYP,MATCH(L621,RT_K,1)),INDEX(RT_GYP,1))</f>
        <v>2.5</v>
      </c>
      <c r="Q621" s="19" t="n">
        <f aca="false">IF(N(E633)&gt;0,1,0)</f>
        <v>0</v>
      </c>
      <c r="R621" s="0" t="n">
        <v>45</v>
      </c>
      <c r="S621" s="0" t="n">
        <v>45</v>
      </c>
      <c r="U621" s="39" t="n">
        <f aca="false">IF(M621=1,SUM(E623:E629),0)</f>
        <v>0</v>
      </c>
      <c r="V621" s="19" t="n">
        <f aca="false">SUM(F623:F629)</f>
        <v>0</v>
      </c>
      <c r="W621" s="19" t="n">
        <f aca="false">IF(M621=1,SUMIFS(F623:F629,G623:G629,"نعم"),0)</f>
        <v>0</v>
      </c>
    </row>
    <row r="622" customFormat="false" ht="39.75" hidden="false" customHeight="true" outlineLevel="0" collapsed="false">
      <c r="A622" s="21" t="s">
        <v>18</v>
      </c>
      <c r="B622" s="21" t="s">
        <v>19</v>
      </c>
      <c r="C622" s="21" t="s">
        <v>20</v>
      </c>
      <c r="D622" s="21" t="s">
        <v>21</v>
      </c>
      <c r="E622" s="21" t="s">
        <v>22</v>
      </c>
      <c r="F622" s="21" t="s">
        <v>29</v>
      </c>
      <c r="G622" s="21" t="s">
        <v>30</v>
      </c>
      <c r="H622" s="21" t="s">
        <v>26</v>
      </c>
      <c r="M622" s="19" t="n">
        <f aca="false">$M$621</f>
        <v>1</v>
      </c>
      <c r="Q622" s="19" t="n">
        <f aca="false">IF(N(E633)&gt;0,1,0)</f>
        <v>0</v>
      </c>
      <c r="S622" s="0" t="n">
        <v>45</v>
      </c>
    </row>
    <row r="623" customFormat="false" ht="15" hidden="false" customHeight="false" outlineLevel="0" collapsed="false">
      <c r="A623" s="22" t="n">
        <f aca="false">IF(45&lt;=NW,WEEK_ONE+308,"")</f>
        <v>46326</v>
      </c>
      <c r="B623" s="23" t="str">
        <f aca="false">IF(A623="","",CHOOSE(WEEKDAY(A623,1),"الأحد","الاثنين","الثلاثاء","الأربعاء","الخميس","الجمعة","السبت"))</f>
        <v>السبت</v>
      </c>
      <c r="C623" s="24"/>
      <c r="D623" s="24"/>
      <c r="E623" s="25" t="str">
        <f aca="false">IF(OR(M623=0,K623="",L623=""),"",MOD(L623-K623,1))</f>
        <v/>
      </c>
      <c r="F623" s="26" t="str">
        <f aca="false">IF(OR(E623="",M623=0),"",IF(ROUND_MODE="للأعلى",CEILING(ROUND((E623*24*$N$621),3),0.25),ROUND((E623*24*$N$621)*4,0)/4))</f>
        <v/>
      </c>
      <c r="G623" s="24"/>
      <c r="H623" s="27"/>
      <c r="K623" s="28" t="str">
        <f aca="false">IF(OR(M623=0,C623=""),"",IF(ISNUMBER(C623),MOD(C623,1),IFERROR(INDEX(القوائم!$B$1:$B$288,MATCH(TRIM(C623),القوائم!$A$1:$A$288,0)),IFERROR(MOD(TIMEVALUE(C623),1),""))))</f>
        <v/>
      </c>
      <c r="L623" s="28" t="str">
        <f aca="false">IF(OR(M623=0,D623=""),"",IF(ISNUMBER(D623),MOD(D623,1),IFERROR(INDEX(القوائم!$B$1:$B$288,MATCH(TRIM(D623),القوائم!$A$1:$A$288,0)),IFERROR(MOD(TIMEVALUE(D623),1),""))))</f>
        <v/>
      </c>
      <c r="M623" s="19" t="n">
        <f aca="false">$M$621</f>
        <v>1</v>
      </c>
      <c r="Q623" s="19" t="n">
        <f aca="false">IF(N(E633)&gt;0,1,0)</f>
        <v>0</v>
      </c>
      <c r="S623" s="0" t="n">
        <v>45</v>
      </c>
    </row>
    <row r="624" customFormat="false" ht="15" hidden="false" customHeight="false" outlineLevel="0" collapsed="false">
      <c r="A624" s="22" t="n">
        <f aca="false">IF(45&lt;=NW,WEEK_ONE+309,"")</f>
        <v>46327</v>
      </c>
      <c r="B624" s="23" t="str">
        <f aca="false">IF(A624="","",CHOOSE(WEEKDAY(A624,1),"الأحد","الاثنين","الثلاثاء","الأربعاء","الخميس","الجمعة","السبت"))</f>
        <v>الأحد</v>
      </c>
      <c r="C624" s="24"/>
      <c r="D624" s="24"/>
      <c r="E624" s="25" t="str">
        <f aca="false">IF(OR(M624=0,K624="",L624=""),"",MOD(L624-K624,1))</f>
        <v/>
      </c>
      <c r="F624" s="26" t="str">
        <f aca="false">IF(OR(E624="",M624=0),"",IF(ROUND_MODE="للأعلى",CEILING(ROUND((E624*24*$N$621),3),0.25),ROUND((E624*24*$N$621)*4,0)/4))</f>
        <v/>
      </c>
      <c r="G624" s="24"/>
      <c r="H624" s="27"/>
      <c r="K624" s="28" t="str">
        <f aca="false">IF(OR(M624=0,C624=""),"",IF(ISNUMBER(C624),MOD(C624,1),IFERROR(INDEX(القوائم!$B$1:$B$288,MATCH(TRIM(C624),القوائم!$A$1:$A$288,0)),IFERROR(MOD(TIMEVALUE(C624),1),""))))</f>
        <v/>
      </c>
      <c r="L624" s="28" t="str">
        <f aca="false">IF(OR(M624=0,D624=""),"",IF(ISNUMBER(D624),MOD(D624,1),IFERROR(INDEX(القوائم!$B$1:$B$288,MATCH(TRIM(D624),القوائم!$A$1:$A$288,0)),IFERROR(MOD(TIMEVALUE(D624),1),""))))</f>
        <v/>
      </c>
      <c r="M624" s="19" t="n">
        <f aca="false">$M$621</f>
        <v>1</v>
      </c>
      <c r="Q624" s="19" t="n">
        <f aca="false">IF(N(E633)&gt;0,1,0)</f>
        <v>0</v>
      </c>
      <c r="S624" s="0" t="n">
        <v>45</v>
      </c>
    </row>
    <row r="625" customFormat="false" ht="15" hidden="false" customHeight="false" outlineLevel="0" collapsed="false">
      <c r="A625" s="22" t="n">
        <f aca="false">IF(45&lt;=NW,WEEK_ONE+310,"")</f>
        <v>46328</v>
      </c>
      <c r="B625" s="23" t="str">
        <f aca="false">IF(A625="","",CHOOSE(WEEKDAY(A625,1),"الأحد","الاثنين","الثلاثاء","الأربعاء","الخميس","الجمعة","السبت"))</f>
        <v>الاثنين</v>
      </c>
      <c r="C625" s="24"/>
      <c r="D625" s="24"/>
      <c r="E625" s="25" t="str">
        <f aca="false">IF(OR(M625=0,K625="",L625=""),"",MOD(L625-K625,1))</f>
        <v/>
      </c>
      <c r="F625" s="26" t="str">
        <f aca="false">IF(OR(E625="",M625=0),"",IF(ROUND_MODE="للأعلى",CEILING(ROUND((E625*24*$N$621),3),0.25),ROUND((E625*24*$N$621)*4,0)/4))</f>
        <v/>
      </c>
      <c r="G625" s="24"/>
      <c r="H625" s="27"/>
      <c r="K625" s="28" t="str">
        <f aca="false">IF(OR(M625=0,C625=""),"",IF(ISNUMBER(C625),MOD(C625,1),IFERROR(INDEX(القوائم!$B$1:$B$288,MATCH(TRIM(C625),القوائم!$A$1:$A$288,0)),IFERROR(MOD(TIMEVALUE(C625),1),""))))</f>
        <v/>
      </c>
      <c r="L625" s="28" t="str">
        <f aca="false">IF(OR(M625=0,D625=""),"",IF(ISNUMBER(D625),MOD(D625,1),IFERROR(INDEX(القوائم!$B$1:$B$288,MATCH(TRIM(D625),القوائم!$A$1:$A$288,0)),IFERROR(MOD(TIMEVALUE(D625),1),""))))</f>
        <v/>
      </c>
      <c r="M625" s="19" t="n">
        <f aca="false">$M$621</f>
        <v>1</v>
      </c>
      <c r="Q625" s="19" t="n">
        <f aca="false">IF(N(E633)&gt;0,1,0)</f>
        <v>0</v>
      </c>
      <c r="S625" s="0" t="n">
        <v>45</v>
      </c>
    </row>
    <row r="626" customFormat="false" ht="15" hidden="false" customHeight="false" outlineLevel="0" collapsed="false">
      <c r="A626" s="22" t="n">
        <f aca="false">IF(45&lt;=NW,WEEK_ONE+311,"")</f>
        <v>46329</v>
      </c>
      <c r="B626" s="23" t="str">
        <f aca="false">IF(A626="","",CHOOSE(WEEKDAY(A626,1),"الأحد","الاثنين","الثلاثاء","الأربعاء","الخميس","الجمعة","السبت"))</f>
        <v>الثلاثاء</v>
      </c>
      <c r="C626" s="24"/>
      <c r="D626" s="24"/>
      <c r="E626" s="25" t="str">
        <f aca="false">IF(OR(M626=0,K626="",L626=""),"",MOD(L626-K626,1))</f>
        <v/>
      </c>
      <c r="F626" s="26" t="str">
        <f aca="false">IF(OR(E626="",M626=0),"",IF(ROUND_MODE="للأعلى",CEILING(ROUND((E626*24*$N$621),3),0.25),ROUND((E626*24*$N$621)*4,0)/4))</f>
        <v/>
      </c>
      <c r="G626" s="24"/>
      <c r="H626" s="27"/>
      <c r="K626" s="28" t="str">
        <f aca="false">IF(OR(M626=0,C626=""),"",IF(ISNUMBER(C626),MOD(C626,1),IFERROR(INDEX(القوائم!$B$1:$B$288,MATCH(TRIM(C626),القوائم!$A$1:$A$288,0)),IFERROR(MOD(TIMEVALUE(C626),1),""))))</f>
        <v/>
      </c>
      <c r="L626" s="28" t="str">
        <f aca="false">IF(OR(M626=0,D626=""),"",IF(ISNUMBER(D626),MOD(D626,1),IFERROR(INDEX(القوائم!$B$1:$B$288,MATCH(TRIM(D626),القوائم!$A$1:$A$288,0)),IFERROR(MOD(TIMEVALUE(D626),1),""))))</f>
        <v/>
      </c>
      <c r="M626" s="19" t="n">
        <f aca="false">$M$621</f>
        <v>1</v>
      </c>
      <c r="Q626" s="19" t="n">
        <f aca="false">IF(N(E633)&gt;0,1,0)</f>
        <v>0</v>
      </c>
      <c r="S626" s="0" t="n">
        <v>45</v>
      </c>
    </row>
    <row r="627" customFormat="false" ht="15" hidden="false" customHeight="false" outlineLevel="0" collapsed="false">
      <c r="A627" s="22" t="n">
        <f aca="false">IF(45&lt;=NW,WEEK_ONE+312,"")</f>
        <v>46330</v>
      </c>
      <c r="B627" s="23" t="str">
        <f aca="false">IF(A627="","",CHOOSE(WEEKDAY(A627,1),"الأحد","الاثنين","الثلاثاء","الأربعاء","الخميس","الجمعة","السبت"))</f>
        <v>الأربعاء</v>
      </c>
      <c r="C627" s="24"/>
      <c r="D627" s="24"/>
      <c r="E627" s="25" t="str">
        <f aca="false">IF(OR(M627=0,K627="",L627=""),"",MOD(L627-K627,1))</f>
        <v/>
      </c>
      <c r="F627" s="26" t="str">
        <f aca="false">IF(OR(E627="",M627=0),"",IF(ROUND_MODE="للأعلى",CEILING(ROUND((E627*24*$N$621),3),0.25),ROUND((E627*24*$N$621)*4,0)/4))</f>
        <v/>
      </c>
      <c r="G627" s="24"/>
      <c r="H627" s="27"/>
      <c r="K627" s="28" t="str">
        <f aca="false">IF(OR(M627=0,C627=""),"",IF(ISNUMBER(C627),MOD(C627,1),IFERROR(INDEX(القوائم!$B$1:$B$288,MATCH(TRIM(C627),القوائم!$A$1:$A$288,0)),IFERROR(MOD(TIMEVALUE(C627),1),""))))</f>
        <v/>
      </c>
      <c r="L627" s="28" t="str">
        <f aca="false">IF(OR(M627=0,D627=""),"",IF(ISNUMBER(D627),MOD(D627,1),IFERROR(INDEX(القوائم!$B$1:$B$288,MATCH(TRIM(D627),القوائم!$A$1:$A$288,0)),IFERROR(MOD(TIMEVALUE(D627),1),""))))</f>
        <v/>
      </c>
      <c r="M627" s="19" t="n">
        <f aca="false">$M$621</f>
        <v>1</v>
      </c>
      <c r="Q627" s="19" t="n">
        <f aca="false">IF(N(E633)&gt;0,1,0)</f>
        <v>0</v>
      </c>
      <c r="S627" s="0" t="n">
        <v>45</v>
      </c>
    </row>
    <row r="628" customFormat="false" ht="15" hidden="false" customHeight="false" outlineLevel="0" collapsed="false">
      <c r="A628" s="22" t="n">
        <f aca="false">IF(45&lt;=NW,WEEK_ONE+313,"")</f>
        <v>46331</v>
      </c>
      <c r="B628" s="23" t="str">
        <f aca="false">IF(A628="","",CHOOSE(WEEKDAY(A628,1),"الأحد","الاثنين","الثلاثاء","الأربعاء","الخميس","الجمعة","السبت"))</f>
        <v>الخميس</v>
      </c>
      <c r="C628" s="24"/>
      <c r="D628" s="24"/>
      <c r="E628" s="25" t="str">
        <f aca="false">IF(OR(M628=0,K628="",L628=""),"",MOD(L628-K628,1))</f>
        <v/>
      </c>
      <c r="F628" s="26" t="str">
        <f aca="false">IF(OR(E628="",M628=0),"",IF(ROUND_MODE="للأعلى",CEILING(ROUND((E628*24*$N$621),3),0.25),ROUND((E628*24*$N$621)*4,0)/4))</f>
        <v/>
      </c>
      <c r="G628" s="24"/>
      <c r="H628" s="27"/>
      <c r="K628" s="28" t="str">
        <f aca="false">IF(OR(M628=0,C628=""),"",IF(ISNUMBER(C628),MOD(C628,1),IFERROR(INDEX(القوائم!$B$1:$B$288,MATCH(TRIM(C628),القوائم!$A$1:$A$288,0)),IFERROR(MOD(TIMEVALUE(C628),1),""))))</f>
        <v/>
      </c>
      <c r="L628" s="28" t="str">
        <f aca="false">IF(OR(M628=0,D628=""),"",IF(ISNUMBER(D628),MOD(D628,1),IFERROR(INDEX(القوائم!$B$1:$B$288,MATCH(TRIM(D628),القوائم!$A$1:$A$288,0)),IFERROR(MOD(TIMEVALUE(D628),1),""))))</f>
        <v/>
      </c>
      <c r="M628" s="19" t="n">
        <f aca="false">$M$621</f>
        <v>1</v>
      </c>
      <c r="Q628" s="19" t="n">
        <f aca="false">IF(N(E633)&gt;0,1,0)</f>
        <v>0</v>
      </c>
      <c r="S628" s="0" t="n">
        <v>45</v>
      </c>
    </row>
    <row r="629" customFormat="false" ht="15" hidden="false" customHeight="false" outlineLevel="0" collapsed="false">
      <c r="A629" s="29" t="n">
        <f aca="false">IF(45&lt;=NW,WEEK_ONE+314,"")</f>
        <v>46332</v>
      </c>
      <c r="B629" s="30" t="str">
        <f aca="false">IF(A629="","",CHOOSE(WEEKDAY(A629,1),"الأحد","الاثنين","الثلاثاء","الأربعاء","الخميس","الجمعة","السبت"))</f>
        <v>الجمعة</v>
      </c>
      <c r="C629" s="24"/>
      <c r="D629" s="24"/>
      <c r="E629" s="25" t="str">
        <f aca="false">IF(OR(M629=0,K629="",L629=""),"",MOD(L629-K629,1))</f>
        <v/>
      </c>
      <c r="F629" s="26" t="str">
        <f aca="false">IF(OR(E629="",M629=0),"",IF(ROUND_MODE="للأعلى",CEILING(ROUND((E629*24*$N$621),3),0.25),ROUND((E629*24*$N$621)*4,0)/4))</f>
        <v/>
      </c>
      <c r="G629" s="24"/>
      <c r="H629" s="27"/>
      <c r="K629" s="28" t="str">
        <f aca="false">IF(OR(M629=0,C629=""),"",IF(ISNUMBER(C629),MOD(C629,1),IFERROR(INDEX(القوائم!$B$1:$B$288,MATCH(TRIM(C629),القوائم!$A$1:$A$288,0)),IFERROR(MOD(TIMEVALUE(C629),1),""))))</f>
        <v/>
      </c>
      <c r="L629" s="28" t="str">
        <f aca="false">IF(OR(M629=0,D629=""),"",IF(ISNUMBER(D629),MOD(D629,1),IFERROR(INDEX(القوائم!$B$1:$B$288,MATCH(TRIM(D629),القوائم!$A$1:$A$288,0)),IFERROR(MOD(TIMEVALUE(D629),1),""))))</f>
        <v/>
      </c>
      <c r="M629" s="19" t="n">
        <f aca="false">$M$621</f>
        <v>1</v>
      </c>
      <c r="Q629" s="19" t="n">
        <f aca="false">IF(N(E633)&gt;0,1,0)</f>
        <v>0</v>
      </c>
      <c r="S629" s="0" t="n">
        <v>45</v>
      </c>
    </row>
    <row r="630" customFormat="false" ht="15" hidden="false" customHeight="false" outlineLevel="0" collapsed="false">
      <c r="A630" s="31" t="str">
        <f aca="false">IF(M621=1,"ساعات تحميل الجبسمبورد بهالأسبوع ←","")</f>
        <v>ساعات تحميل الجبسمبورد بهالأسبوع ←</v>
      </c>
      <c r="B630" s="31"/>
      <c r="C630" s="31"/>
      <c r="D630" s="31"/>
      <c r="E630" s="32"/>
      <c r="F630" s="33" t="str">
        <f aca="false">IF(M621=1,"كل ساعة تحميل = "&amp;TEXT($P$621,"0.000")&amp;" دينار (منها "&amp;TEXT($N$621,"0.000")&amp;" محسوبة أصلاً بساعات اليوم)","")</f>
        <v>كل ساعة تحميل = 2.500 دينار (منها 1.000 محسوبة أصلاً بساعات اليوم)</v>
      </c>
      <c r="G630" s="33"/>
      <c r="H630" s="33"/>
      <c r="M630" s="19" t="n">
        <f aca="false">$M$621</f>
        <v>1</v>
      </c>
      <c r="Q630" s="19" t="n">
        <f aca="false">IF(N(E633)&gt;0,1,0)</f>
        <v>0</v>
      </c>
      <c r="S630" s="0" t="n">
        <v>45</v>
      </c>
    </row>
    <row r="631" customFormat="false" ht="15" hidden="false" customHeight="false" outlineLevel="0" collapsed="false">
      <c r="A631" s="31" t="str">
        <f aca="false">IF(M621=1,"إكرامية الأسبوع (دينار) ←","")</f>
        <v>إكرامية الأسبوع (دينار) ←</v>
      </c>
      <c r="B631" s="31"/>
      <c r="C631" s="31"/>
      <c r="D631" s="31"/>
      <c r="E631" s="34"/>
      <c r="F631" s="35"/>
      <c r="G631" s="35"/>
      <c r="H631" s="35"/>
      <c r="M631" s="19" t="n">
        <f aca="false">$M$621</f>
        <v>1</v>
      </c>
      <c r="Q631" s="19" t="n">
        <f aca="false">IF(N(E633)&gt;0,1,0)</f>
        <v>0</v>
      </c>
      <c r="S631" s="0" t="n">
        <v>45</v>
      </c>
    </row>
    <row r="632" customFormat="false" ht="36" hidden="false" customHeight="true" outlineLevel="0" collapsed="false">
      <c r="A632" s="36" t="str">
        <f aca="false">IF(M621=1,"المستحق النهائي للأسبوع","")</f>
        <v>المستحق النهائي للأسبوع</v>
      </c>
      <c r="B632" s="36"/>
      <c r="C632" s="36"/>
      <c r="D632" s="36"/>
      <c r="E632" s="36"/>
      <c r="F632" s="11" t="n">
        <f aca="false">IF(M621=1,ROUND(N($V$621)+N(E630)*($P$621-$N$621)+N(E631),3),"")</f>
        <v>0</v>
      </c>
      <c r="G632" s="35"/>
      <c r="H632" s="35"/>
      <c r="M632" s="19" t="n">
        <f aca="false">$M$621</f>
        <v>1</v>
      </c>
      <c r="Q632" s="19" t="n">
        <f aca="false">IF(N(E633)&gt;0,1,0)</f>
        <v>0</v>
      </c>
      <c r="S632" s="0" t="n">
        <v>45</v>
      </c>
      <c r="T632" s="0" t="n">
        <v>1</v>
      </c>
    </row>
    <row r="633" customFormat="false" ht="25.5" hidden="false" customHeight="true" outlineLevel="0" collapsed="false">
      <c r="A633" s="31" t="str">
        <f aca="false">IF(M621=1,"المدفوع (دينار) ←","")</f>
        <v>المدفوع (دينار) ←</v>
      </c>
      <c r="B633" s="31"/>
      <c r="C633" s="31"/>
      <c r="D633" s="31"/>
      <c r="E633" s="34"/>
      <c r="F633" s="38" t="str">
        <f aca="false">IF(M621=1,IF(N(E633)&gt;0,"✔ انقبض — الأسبوع مقفول","⏳ لسا ما انقبض"),"")</f>
        <v>⏳ لسا ما انقبض</v>
      </c>
      <c r="G633" s="38"/>
      <c r="H633" s="38"/>
      <c r="M633" s="19" t="n">
        <f aca="false">$M$621</f>
        <v>1</v>
      </c>
      <c r="Q633" s="19" t="n">
        <f aca="false">IF(N(E633)&gt;0,1,0)</f>
        <v>0</v>
      </c>
      <c r="S633" s="0" t="n">
        <v>45</v>
      </c>
    </row>
    <row r="634" customFormat="false" ht="9.75" hidden="false" customHeight="true" outlineLevel="0" collapsed="false">
      <c r="M634" s="19" t="n">
        <f aca="false">$M$621</f>
        <v>1</v>
      </c>
      <c r="Q634" s="19" t="n">
        <f aca="false">IF(N(E633)&gt;0,1,0)</f>
        <v>0</v>
      </c>
      <c r="S634" s="0" t="n">
        <v>45</v>
      </c>
      <c r="T634" s="0" t="n">
        <v>2</v>
      </c>
    </row>
    <row r="635" customFormat="false" ht="33.75" hidden="false" customHeight="true" outlineLevel="0" collapsed="false">
      <c r="A635" s="17" t="str">
        <f aca="false">IF(46&lt;=NW,TEXT(DAY(WEEK_ONE+315),"00")&amp;"/"&amp;TEXT(MONTH(WEEK_ONE+315),"00")&amp;"/"&amp;YEAR(WEEK_ONE+315)&amp;"  -  "&amp;TEXT(DAY(WEEK_ONE+321),"00")&amp;"/"&amp;TEXT(MONTH(WEEK_ONE+321),"00")&amp;"/"&amp;YEAR(WEEK_ONE+321)&amp;"   ·   الأسبوع 46"&amp;IF(46&lt;START_Z,"   (قبل أسبوع البداية — ما بينحسب)",""),"ما في أسبوع 46 هالسنة")</f>
        <v>07/11/2026  -  13/11/2026   ·   الأسبوع 46</v>
      </c>
      <c r="B635" s="17"/>
      <c r="C635" s="17"/>
      <c r="D635" s="17"/>
      <c r="E635" s="17"/>
      <c r="F635" s="17"/>
      <c r="G635" s="17"/>
      <c r="H635" s="17"/>
      <c r="L635" s="18" t="n">
        <f aca="false">IF(46&lt;=NW,WEEK_ONE+321,"")</f>
        <v>46339</v>
      </c>
      <c r="M635" s="19" t="n">
        <f aca="false">IF(AND(46&lt;=NW,46&gt;=START_Z),1,0)</f>
        <v>1</v>
      </c>
      <c r="N635" s="20" t="n">
        <f aca="false">IFERROR(INDEX(RT_AZZ,MATCH(L635,RT_K,1)),INDEX(RT_AZZ,1))</f>
        <v>1</v>
      </c>
      <c r="P635" s="20" t="n">
        <f aca="false">IFERROR(INDEX(RT_GYP,MATCH(L635,RT_K,1)),INDEX(RT_GYP,1))</f>
        <v>2.5</v>
      </c>
      <c r="Q635" s="19" t="n">
        <f aca="false">IF(N(E647)&gt;0,1,0)</f>
        <v>0</v>
      </c>
      <c r="R635" s="0" t="n">
        <v>46</v>
      </c>
      <c r="S635" s="0" t="n">
        <v>46</v>
      </c>
      <c r="U635" s="39" t="n">
        <f aca="false">IF(M635=1,SUM(E637:E643),0)</f>
        <v>0</v>
      </c>
      <c r="V635" s="19" t="n">
        <f aca="false">SUM(F637:F643)</f>
        <v>0</v>
      </c>
      <c r="W635" s="19" t="n">
        <f aca="false">IF(M635=1,SUMIFS(F637:F643,G637:G643,"نعم"),0)</f>
        <v>0</v>
      </c>
    </row>
    <row r="636" customFormat="false" ht="39.75" hidden="false" customHeight="true" outlineLevel="0" collapsed="false">
      <c r="A636" s="21" t="s">
        <v>18</v>
      </c>
      <c r="B636" s="21" t="s">
        <v>19</v>
      </c>
      <c r="C636" s="21" t="s">
        <v>20</v>
      </c>
      <c r="D636" s="21" t="s">
        <v>21</v>
      </c>
      <c r="E636" s="21" t="s">
        <v>22</v>
      </c>
      <c r="F636" s="21" t="s">
        <v>29</v>
      </c>
      <c r="G636" s="21" t="s">
        <v>30</v>
      </c>
      <c r="H636" s="21" t="s">
        <v>26</v>
      </c>
      <c r="M636" s="19" t="n">
        <f aca="false">$M$635</f>
        <v>1</v>
      </c>
      <c r="Q636" s="19" t="n">
        <f aca="false">IF(N(E647)&gt;0,1,0)</f>
        <v>0</v>
      </c>
      <c r="S636" s="0" t="n">
        <v>46</v>
      </c>
    </row>
    <row r="637" customFormat="false" ht="15" hidden="false" customHeight="false" outlineLevel="0" collapsed="false">
      <c r="A637" s="22" t="n">
        <f aca="false">IF(46&lt;=NW,WEEK_ONE+315,"")</f>
        <v>46333</v>
      </c>
      <c r="B637" s="23" t="str">
        <f aca="false">IF(A637="","",CHOOSE(WEEKDAY(A637,1),"الأحد","الاثنين","الثلاثاء","الأربعاء","الخميس","الجمعة","السبت"))</f>
        <v>السبت</v>
      </c>
      <c r="C637" s="24"/>
      <c r="D637" s="24"/>
      <c r="E637" s="25" t="str">
        <f aca="false">IF(OR(M637=0,K637="",L637=""),"",MOD(L637-K637,1))</f>
        <v/>
      </c>
      <c r="F637" s="26" t="str">
        <f aca="false">IF(OR(E637="",M637=0),"",IF(ROUND_MODE="للأعلى",CEILING(ROUND((E637*24*$N$635),3),0.25),ROUND((E637*24*$N$635)*4,0)/4))</f>
        <v/>
      </c>
      <c r="G637" s="24"/>
      <c r="H637" s="27"/>
      <c r="K637" s="28" t="str">
        <f aca="false">IF(OR(M637=0,C637=""),"",IF(ISNUMBER(C637),MOD(C637,1),IFERROR(INDEX(القوائم!$B$1:$B$288,MATCH(TRIM(C637),القوائم!$A$1:$A$288,0)),IFERROR(MOD(TIMEVALUE(C637),1),""))))</f>
        <v/>
      </c>
      <c r="L637" s="28" t="str">
        <f aca="false">IF(OR(M637=0,D637=""),"",IF(ISNUMBER(D637),MOD(D637,1),IFERROR(INDEX(القوائم!$B$1:$B$288,MATCH(TRIM(D637),القوائم!$A$1:$A$288,0)),IFERROR(MOD(TIMEVALUE(D637),1),""))))</f>
        <v/>
      </c>
      <c r="M637" s="19" t="n">
        <f aca="false">$M$635</f>
        <v>1</v>
      </c>
      <c r="Q637" s="19" t="n">
        <f aca="false">IF(N(E647)&gt;0,1,0)</f>
        <v>0</v>
      </c>
      <c r="S637" s="0" t="n">
        <v>46</v>
      </c>
    </row>
    <row r="638" customFormat="false" ht="15" hidden="false" customHeight="false" outlineLevel="0" collapsed="false">
      <c r="A638" s="22" t="n">
        <f aca="false">IF(46&lt;=NW,WEEK_ONE+316,"")</f>
        <v>46334</v>
      </c>
      <c r="B638" s="23" t="str">
        <f aca="false">IF(A638="","",CHOOSE(WEEKDAY(A638,1),"الأحد","الاثنين","الثلاثاء","الأربعاء","الخميس","الجمعة","السبت"))</f>
        <v>الأحد</v>
      </c>
      <c r="C638" s="24"/>
      <c r="D638" s="24"/>
      <c r="E638" s="25" t="str">
        <f aca="false">IF(OR(M638=0,K638="",L638=""),"",MOD(L638-K638,1))</f>
        <v/>
      </c>
      <c r="F638" s="26" t="str">
        <f aca="false">IF(OR(E638="",M638=0),"",IF(ROUND_MODE="للأعلى",CEILING(ROUND((E638*24*$N$635),3),0.25),ROUND((E638*24*$N$635)*4,0)/4))</f>
        <v/>
      </c>
      <c r="G638" s="24"/>
      <c r="H638" s="27"/>
      <c r="K638" s="28" t="str">
        <f aca="false">IF(OR(M638=0,C638=""),"",IF(ISNUMBER(C638),MOD(C638,1),IFERROR(INDEX(القوائم!$B$1:$B$288,MATCH(TRIM(C638),القوائم!$A$1:$A$288,0)),IFERROR(MOD(TIMEVALUE(C638),1),""))))</f>
        <v/>
      </c>
      <c r="L638" s="28" t="str">
        <f aca="false">IF(OR(M638=0,D638=""),"",IF(ISNUMBER(D638),MOD(D638,1),IFERROR(INDEX(القوائم!$B$1:$B$288,MATCH(TRIM(D638),القوائم!$A$1:$A$288,0)),IFERROR(MOD(TIMEVALUE(D638),1),""))))</f>
        <v/>
      </c>
      <c r="M638" s="19" t="n">
        <f aca="false">$M$635</f>
        <v>1</v>
      </c>
      <c r="Q638" s="19" t="n">
        <f aca="false">IF(N(E647)&gt;0,1,0)</f>
        <v>0</v>
      </c>
      <c r="S638" s="0" t="n">
        <v>46</v>
      </c>
    </row>
    <row r="639" customFormat="false" ht="15" hidden="false" customHeight="false" outlineLevel="0" collapsed="false">
      <c r="A639" s="22" t="n">
        <f aca="false">IF(46&lt;=NW,WEEK_ONE+317,"")</f>
        <v>46335</v>
      </c>
      <c r="B639" s="23" t="str">
        <f aca="false">IF(A639="","",CHOOSE(WEEKDAY(A639,1),"الأحد","الاثنين","الثلاثاء","الأربعاء","الخميس","الجمعة","السبت"))</f>
        <v>الاثنين</v>
      </c>
      <c r="C639" s="24"/>
      <c r="D639" s="24"/>
      <c r="E639" s="25" t="str">
        <f aca="false">IF(OR(M639=0,K639="",L639=""),"",MOD(L639-K639,1))</f>
        <v/>
      </c>
      <c r="F639" s="26" t="str">
        <f aca="false">IF(OR(E639="",M639=0),"",IF(ROUND_MODE="للأعلى",CEILING(ROUND((E639*24*$N$635),3),0.25),ROUND((E639*24*$N$635)*4,0)/4))</f>
        <v/>
      </c>
      <c r="G639" s="24"/>
      <c r="H639" s="27"/>
      <c r="K639" s="28" t="str">
        <f aca="false">IF(OR(M639=0,C639=""),"",IF(ISNUMBER(C639),MOD(C639,1),IFERROR(INDEX(القوائم!$B$1:$B$288,MATCH(TRIM(C639),القوائم!$A$1:$A$288,0)),IFERROR(MOD(TIMEVALUE(C639),1),""))))</f>
        <v/>
      </c>
      <c r="L639" s="28" t="str">
        <f aca="false">IF(OR(M639=0,D639=""),"",IF(ISNUMBER(D639),MOD(D639,1),IFERROR(INDEX(القوائم!$B$1:$B$288,MATCH(TRIM(D639),القوائم!$A$1:$A$288,0)),IFERROR(MOD(TIMEVALUE(D639),1),""))))</f>
        <v/>
      </c>
      <c r="M639" s="19" t="n">
        <f aca="false">$M$635</f>
        <v>1</v>
      </c>
      <c r="Q639" s="19" t="n">
        <f aca="false">IF(N(E647)&gt;0,1,0)</f>
        <v>0</v>
      </c>
      <c r="S639" s="0" t="n">
        <v>46</v>
      </c>
    </row>
    <row r="640" customFormat="false" ht="15" hidden="false" customHeight="false" outlineLevel="0" collapsed="false">
      <c r="A640" s="22" t="n">
        <f aca="false">IF(46&lt;=NW,WEEK_ONE+318,"")</f>
        <v>46336</v>
      </c>
      <c r="B640" s="23" t="str">
        <f aca="false">IF(A640="","",CHOOSE(WEEKDAY(A640,1),"الأحد","الاثنين","الثلاثاء","الأربعاء","الخميس","الجمعة","السبت"))</f>
        <v>الثلاثاء</v>
      </c>
      <c r="C640" s="24"/>
      <c r="D640" s="24"/>
      <c r="E640" s="25" t="str">
        <f aca="false">IF(OR(M640=0,K640="",L640=""),"",MOD(L640-K640,1))</f>
        <v/>
      </c>
      <c r="F640" s="26" t="str">
        <f aca="false">IF(OR(E640="",M640=0),"",IF(ROUND_MODE="للأعلى",CEILING(ROUND((E640*24*$N$635),3),0.25),ROUND((E640*24*$N$635)*4,0)/4))</f>
        <v/>
      </c>
      <c r="G640" s="24"/>
      <c r="H640" s="27"/>
      <c r="K640" s="28" t="str">
        <f aca="false">IF(OR(M640=0,C640=""),"",IF(ISNUMBER(C640),MOD(C640,1),IFERROR(INDEX(القوائم!$B$1:$B$288,MATCH(TRIM(C640),القوائم!$A$1:$A$288,0)),IFERROR(MOD(TIMEVALUE(C640),1),""))))</f>
        <v/>
      </c>
      <c r="L640" s="28" t="str">
        <f aca="false">IF(OR(M640=0,D640=""),"",IF(ISNUMBER(D640),MOD(D640,1),IFERROR(INDEX(القوائم!$B$1:$B$288,MATCH(TRIM(D640),القوائم!$A$1:$A$288,0)),IFERROR(MOD(TIMEVALUE(D640),1),""))))</f>
        <v/>
      </c>
      <c r="M640" s="19" t="n">
        <f aca="false">$M$635</f>
        <v>1</v>
      </c>
      <c r="Q640" s="19" t="n">
        <f aca="false">IF(N(E647)&gt;0,1,0)</f>
        <v>0</v>
      </c>
      <c r="S640" s="0" t="n">
        <v>46</v>
      </c>
    </row>
    <row r="641" customFormat="false" ht="15" hidden="false" customHeight="false" outlineLevel="0" collapsed="false">
      <c r="A641" s="22" t="n">
        <f aca="false">IF(46&lt;=NW,WEEK_ONE+319,"")</f>
        <v>46337</v>
      </c>
      <c r="B641" s="23" t="str">
        <f aca="false">IF(A641="","",CHOOSE(WEEKDAY(A641,1),"الأحد","الاثنين","الثلاثاء","الأربعاء","الخميس","الجمعة","السبت"))</f>
        <v>الأربعاء</v>
      </c>
      <c r="C641" s="24"/>
      <c r="D641" s="24"/>
      <c r="E641" s="25" t="str">
        <f aca="false">IF(OR(M641=0,K641="",L641=""),"",MOD(L641-K641,1))</f>
        <v/>
      </c>
      <c r="F641" s="26" t="str">
        <f aca="false">IF(OR(E641="",M641=0),"",IF(ROUND_MODE="للأعلى",CEILING(ROUND((E641*24*$N$635),3),0.25),ROUND((E641*24*$N$635)*4,0)/4))</f>
        <v/>
      </c>
      <c r="G641" s="24"/>
      <c r="H641" s="27"/>
      <c r="K641" s="28" t="str">
        <f aca="false">IF(OR(M641=0,C641=""),"",IF(ISNUMBER(C641),MOD(C641,1),IFERROR(INDEX(القوائم!$B$1:$B$288,MATCH(TRIM(C641),القوائم!$A$1:$A$288,0)),IFERROR(MOD(TIMEVALUE(C641),1),""))))</f>
        <v/>
      </c>
      <c r="L641" s="28" t="str">
        <f aca="false">IF(OR(M641=0,D641=""),"",IF(ISNUMBER(D641),MOD(D641,1),IFERROR(INDEX(القوائم!$B$1:$B$288,MATCH(TRIM(D641),القوائم!$A$1:$A$288,0)),IFERROR(MOD(TIMEVALUE(D641),1),""))))</f>
        <v/>
      </c>
      <c r="M641" s="19" t="n">
        <f aca="false">$M$635</f>
        <v>1</v>
      </c>
      <c r="Q641" s="19" t="n">
        <f aca="false">IF(N(E647)&gt;0,1,0)</f>
        <v>0</v>
      </c>
      <c r="S641" s="0" t="n">
        <v>46</v>
      </c>
    </row>
    <row r="642" customFormat="false" ht="15" hidden="false" customHeight="false" outlineLevel="0" collapsed="false">
      <c r="A642" s="22" t="n">
        <f aca="false">IF(46&lt;=NW,WEEK_ONE+320,"")</f>
        <v>46338</v>
      </c>
      <c r="B642" s="23" t="str">
        <f aca="false">IF(A642="","",CHOOSE(WEEKDAY(A642,1),"الأحد","الاثنين","الثلاثاء","الأربعاء","الخميس","الجمعة","السبت"))</f>
        <v>الخميس</v>
      </c>
      <c r="C642" s="24"/>
      <c r="D642" s="24"/>
      <c r="E642" s="25" t="str">
        <f aca="false">IF(OR(M642=0,K642="",L642=""),"",MOD(L642-K642,1))</f>
        <v/>
      </c>
      <c r="F642" s="26" t="str">
        <f aca="false">IF(OR(E642="",M642=0),"",IF(ROUND_MODE="للأعلى",CEILING(ROUND((E642*24*$N$635),3),0.25),ROUND((E642*24*$N$635)*4,0)/4))</f>
        <v/>
      </c>
      <c r="G642" s="24"/>
      <c r="H642" s="27"/>
      <c r="K642" s="28" t="str">
        <f aca="false">IF(OR(M642=0,C642=""),"",IF(ISNUMBER(C642),MOD(C642,1),IFERROR(INDEX(القوائم!$B$1:$B$288,MATCH(TRIM(C642),القوائم!$A$1:$A$288,0)),IFERROR(MOD(TIMEVALUE(C642),1),""))))</f>
        <v/>
      </c>
      <c r="L642" s="28" t="str">
        <f aca="false">IF(OR(M642=0,D642=""),"",IF(ISNUMBER(D642),MOD(D642,1),IFERROR(INDEX(القوائم!$B$1:$B$288,MATCH(TRIM(D642),القوائم!$A$1:$A$288,0)),IFERROR(MOD(TIMEVALUE(D642),1),""))))</f>
        <v/>
      </c>
      <c r="M642" s="19" t="n">
        <f aca="false">$M$635</f>
        <v>1</v>
      </c>
      <c r="Q642" s="19" t="n">
        <f aca="false">IF(N(E647)&gt;0,1,0)</f>
        <v>0</v>
      </c>
      <c r="S642" s="0" t="n">
        <v>46</v>
      </c>
    </row>
    <row r="643" customFormat="false" ht="15" hidden="false" customHeight="false" outlineLevel="0" collapsed="false">
      <c r="A643" s="29" t="n">
        <f aca="false">IF(46&lt;=NW,WEEK_ONE+321,"")</f>
        <v>46339</v>
      </c>
      <c r="B643" s="30" t="str">
        <f aca="false">IF(A643="","",CHOOSE(WEEKDAY(A643,1),"الأحد","الاثنين","الثلاثاء","الأربعاء","الخميس","الجمعة","السبت"))</f>
        <v>الجمعة</v>
      </c>
      <c r="C643" s="24"/>
      <c r="D643" s="24"/>
      <c r="E643" s="25" t="str">
        <f aca="false">IF(OR(M643=0,K643="",L643=""),"",MOD(L643-K643,1))</f>
        <v/>
      </c>
      <c r="F643" s="26" t="str">
        <f aca="false">IF(OR(E643="",M643=0),"",IF(ROUND_MODE="للأعلى",CEILING(ROUND((E643*24*$N$635),3),0.25),ROUND((E643*24*$N$635)*4,0)/4))</f>
        <v/>
      </c>
      <c r="G643" s="24"/>
      <c r="H643" s="27"/>
      <c r="K643" s="28" t="str">
        <f aca="false">IF(OR(M643=0,C643=""),"",IF(ISNUMBER(C643),MOD(C643,1),IFERROR(INDEX(القوائم!$B$1:$B$288,MATCH(TRIM(C643),القوائم!$A$1:$A$288,0)),IFERROR(MOD(TIMEVALUE(C643),1),""))))</f>
        <v/>
      </c>
      <c r="L643" s="28" t="str">
        <f aca="false">IF(OR(M643=0,D643=""),"",IF(ISNUMBER(D643),MOD(D643,1),IFERROR(INDEX(القوائم!$B$1:$B$288,MATCH(TRIM(D643),القوائم!$A$1:$A$288,0)),IFERROR(MOD(TIMEVALUE(D643),1),""))))</f>
        <v/>
      </c>
      <c r="M643" s="19" t="n">
        <f aca="false">$M$635</f>
        <v>1</v>
      </c>
      <c r="Q643" s="19" t="n">
        <f aca="false">IF(N(E647)&gt;0,1,0)</f>
        <v>0</v>
      </c>
      <c r="S643" s="0" t="n">
        <v>46</v>
      </c>
    </row>
    <row r="644" customFormat="false" ht="15" hidden="false" customHeight="false" outlineLevel="0" collapsed="false">
      <c r="A644" s="31" t="str">
        <f aca="false">IF(M635=1,"ساعات تحميل الجبسمبورد بهالأسبوع ←","")</f>
        <v>ساعات تحميل الجبسمبورد بهالأسبوع ←</v>
      </c>
      <c r="B644" s="31"/>
      <c r="C644" s="31"/>
      <c r="D644" s="31"/>
      <c r="E644" s="32"/>
      <c r="F644" s="33" t="str">
        <f aca="false">IF(M635=1,"كل ساعة تحميل = "&amp;TEXT($P$635,"0.000")&amp;" دينار (منها "&amp;TEXT($N$635,"0.000")&amp;" محسوبة أصلاً بساعات اليوم)","")</f>
        <v>كل ساعة تحميل = 2.500 دينار (منها 1.000 محسوبة أصلاً بساعات اليوم)</v>
      </c>
      <c r="G644" s="33"/>
      <c r="H644" s="33"/>
      <c r="M644" s="19" t="n">
        <f aca="false">$M$635</f>
        <v>1</v>
      </c>
      <c r="Q644" s="19" t="n">
        <f aca="false">IF(N(E647)&gt;0,1,0)</f>
        <v>0</v>
      </c>
      <c r="S644" s="0" t="n">
        <v>46</v>
      </c>
    </row>
    <row r="645" customFormat="false" ht="15" hidden="false" customHeight="false" outlineLevel="0" collapsed="false">
      <c r="A645" s="31" t="str">
        <f aca="false">IF(M635=1,"إكرامية الأسبوع (دينار) ←","")</f>
        <v>إكرامية الأسبوع (دينار) ←</v>
      </c>
      <c r="B645" s="31"/>
      <c r="C645" s="31"/>
      <c r="D645" s="31"/>
      <c r="E645" s="34"/>
      <c r="F645" s="35"/>
      <c r="G645" s="35"/>
      <c r="H645" s="35"/>
      <c r="M645" s="19" t="n">
        <f aca="false">$M$635</f>
        <v>1</v>
      </c>
      <c r="Q645" s="19" t="n">
        <f aca="false">IF(N(E647)&gt;0,1,0)</f>
        <v>0</v>
      </c>
      <c r="S645" s="0" t="n">
        <v>46</v>
      </c>
    </row>
    <row r="646" customFormat="false" ht="36" hidden="false" customHeight="true" outlineLevel="0" collapsed="false">
      <c r="A646" s="36" t="str">
        <f aca="false">IF(M635=1,"المستحق النهائي للأسبوع","")</f>
        <v>المستحق النهائي للأسبوع</v>
      </c>
      <c r="B646" s="36"/>
      <c r="C646" s="36"/>
      <c r="D646" s="36"/>
      <c r="E646" s="36"/>
      <c r="F646" s="11" t="n">
        <f aca="false">IF(M635=1,ROUND(N($V$635)+N(E644)*($P$635-$N$635)+N(E645),3),"")</f>
        <v>0</v>
      </c>
      <c r="G646" s="35"/>
      <c r="H646" s="35"/>
      <c r="M646" s="19" t="n">
        <f aca="false">$M$635</f>
        <v>1</v>
      </c>
      <c r="Q646" s="19" t="n">
        <f aca="false">IF(N(E647)&gt;0,1,0)</f>
        <v>0</v>
      </c>
      <c r="S646" s="0" t="n">
        <v>46</v>
      </c>
      <c r="T646" s="0" t="n">
        <v>1</v>
      </c>
    </row>
    <row r="647" customFormat="false" ht="25.5" hidden="false" customHeight="true" outlineLevel="0" collapsed="false">
      <c r="A647" s="31" t="str">
        <f aca="false">IF(M635=1,"المدفوع (دينار) ←","")</f>
        <v>المدفوع (دينار) ←</v>
      </c>
      <c r="B647" s="31"/>
      <c r="C647" s="31"/>
      <c r="D647" s="31"/>
      <c r="E647" s="34"/>
      <c r="F647" s="38" t="str">
        <f aca="false">IF(M635=1,IF(N(E647)&gt;0,"✔ انقبض — الأسبوع مقفول","⏳ لسا ما انقبض"),"")</f>
        <v>⏳ لسا ما انقبض</v>
      </c>
      <c r="G647" s="38"/>
      <c r="H647" s="38"/>
      <c r="M647" s="19" t="n">
        <f aca="false">$M$635</f>
        <v>1</v>
      </c>
      <c r="Q647" s="19" t="n">
        <f aca="false">IF(N(E647)&gt;0,1,0)</f>
        <v>0</v>
      </c>
      <c r="S647" s="0" t="n">
        <v>46</v>
      </c>
    </row>
    <row r="648" customFormat="false" ht="9.75" hidden="false" customHeight="true" outlineLevel="0" collapsed="false">
      <c r="M648" s="19" t="n">
        <f aca="false">$M$635</f>
        <v>1</v>
      </c>
      <c r="Q648" s="19" t="n">
        <f aca="false">IF(N(E647)&gt;0,1,0)</f>
        <v>0</v>
      </c>
      <c r="S648" s="0" t="n">
        <v>46</v>
      </c>
      <c r="T648" s="0" t="n">
        <v>2</v>
      </c>
    </row>
    <row r="649" customFormat="false" ht="33.75" hidden="false" customHeight="true" outlineLevel="0" collapsed="false">
      <c r="A649" s="17" t="str">
        <f aca="false">IF(47&lt;=NW,TEXT(DAY(WEEK_ONE+322),"00")&amp;"/"&amp;TEXT(MONTH(WEEK_ONE+322),"00")&amp;"/"&amp;YEAR(WEEK_ONE+322)&amp;"  -  "&amp;TEXT(DAY(WEEK_ONE+328),"00")&amp;"/"&amp;TEXT(MONTH(WEEK_ONE+328),"00")&amp;"/"&amp;YEAR(WEEK_ONE+328)&amp;"   ·   الأسبوع 47"&amp;IF(47&lt;START_Z,"   (قبل أسبوع البداية — ما بينحسب)",""),"ما في أسبوع 47 هالسنة")</f>
        <v>14/11/2026  -  20/11/2026   ·   الأسبوع 47</v>
      </c>
      <c r="B649" s="17"/>
      <c r="C649" s="17"/>
      <c r="D649" s="17"/>
      <c r="E649" s="17"/>
      <c r="F649" s="17"/>
      <c r="G649" s="17"/>
      <c r="H649" s="17"/>
      <c r="L649" s="18" t="n">
        <f aca="false">IF(47&lt;=NW,WEEK_ONE+328,"")</f>
        <v>46346</v>
      </c>
      <c r="M649" s="19" t="n">
        <f aca="false">IF(AND(47&lt;=NW,47&gt;=START_Z),1,0)</f>
        <v>1</v>
      </c>
      <c r="N649" s="20" t="n">
        <f aca="false">IFERROR(INDEX(RT_AZZ,MATCH(L649,RT_K,1)),INDEX(RT_AZZ,1))</f>
        <v>1</v>
      </c>
      <c r="P649" s="20" t="n">
        <f aca="false">IFERROR(INDEX(RT_GYP,MATCH(L649,RT_K,1)),INDEX(RT_GYP,1))</f>
        <v>2.5</v>
      </c>
      <c r="Q649" s="19" t="n">
        <f aca="false">IF(N(E661)&gt;0,1,0)</f>
        <v>0</v>
      </c>
      <c r="R649" s="0" t="n">
        <v>47</v>
      </c>
      <c r="S649" s="0" t="n">
        <v>47</v>
      </c>
      <c r="U649" s="39" t="n">
        <f aca="false">IF(M649=1,SUM(E651:E657),0)</f>
        <v>0</v>
      </c>
      <c r="V649" s="19" t="n">
        <f aca="false">SUM(F651:F657)</f>
        <v>0</v>
      </c>
      <c r="W649" s="19" t="n">
        <f aca="false">IF(M649=1,SUMIFS(F651:F657,G651:G657,"نعم"),0)</f>
        <v>0</v>
      </c>
    </row>
    <row r="650" customFormat="false" ht="39.75" hidden="false" customHeight="true" outlineLevel="0" collapsed="false">
      <c r="A650" s="21" t="s">
        <v>18</v>
      </c>
      <c r="B650" s="21" t="s">
        <v>19</v>
      </c>
      <c r="C650" s="21" t="s">
        <v>20</v>
      </c>
      <c r="D650" s="21" t="s">
        <v>21</v>
      </c>
      <c r="E650" s="21" t="s">
        <v>22</v>
      </c>
      <c r="F650" s="21" t="s">
        <v>29</v>
      </c>
      <c r="G650" s="21" t="s">
        <v>30</v>
      </c>
      <c r="H650" s="21" t="s">
        <v>26</v>
      </c>
      <c r="M650" s="19" t="n">
        <f aca="false">$M$649</f>
        <v>1</v>
      </c>
      <c r="Q650" s="19" t="n">
        <f aca="false">IF(N(E661)&gt;0,1,0)</f>
        <v>0</v>
      </c>
      <c r="S650" s="0" t="n">
        <v>47</v>
      </c>
    </row>
    <row r="651" customFormat="false" ht="15" hidden="false" customHeight="false" outlineLevel="0" collapsed="false">
      <c r="A651" s="22" t="n">
        <f aca="false">IF(47&lt;=NW,WEEK_ONE+322,"")</f>
        <v>46340</v>
      </c>
      <c r="B651" s="23" t="str">
        <f aca="false">IF(A651="","",CHOOSE(WEEKDAY(A651,1),"الأحد","الاثنين","الثلاثاء","الأربعاء","الخميس","الجمعة","السبت"))</f>
        <v>السبت</v>
      </c>
      <c r="C651" s="24"/>
      <c r="D651" s="24"/>
      <c r="E651" s="25" t="str">
        <f aca="false">IF(OR(M651=0,K651="",L651=""),"",MOD(L651-K651,1))</f>
        <v/>
      </c>
      <c r="F651" s="26" t="str">
        <f aca="false">IF(OR(E651="",M651=0),"",IF(ROUND_MODE="للأعلى",CEILING(ROUND((E651*24*$N$649),3),0.25),ROUND((E651*24*$N$649)*4,0)/4))</f>
        <v/>
      </c>
      <c r="G651" s="24"/>
      <c r="H651" s="27"/>
      <c r="K651" s="28" t="str">
        <f aca="false">IF(OR(M651=0,C651=""),"",IF(ISNUMBER(C651),MOD(C651,1),IFERROR(INDEX(القوائم!$B$1:$B$288,MATCH(TRIM(C651),القوائم!$A$1:$A$288,0)),IFERROR(MOD(TIMEVALUE(C651),1),""))))</f>
        <v/>
      </c>
      <c r="L651" s="28" t="str">
        <f aca="false">IF(OR(M651=0,D651=""),"",IF(ISNUMBER(D651),MOD(D651,1),IFERROR(INDEX(القوائم!$B$1:$B$288,MATCH(TRIM(D651),القوائم!$A$1:$A$288,0)),IFERROR(MOD(TIMEVALUE(D651),1),""))))</f>
        <v/>
      </c>
      <c r="M651" s="19" t="n">
        <f aca="false">$M$649</f>
        <v>1</v>
      </c>
      <c r="Q651" s="19" t="n">
        <f aca="false">IF(N(E661)&gt;0,1,0)</f>
        <v>0</v>
      </c>
      <c r="S651" s="0" t="n">
        <v>47</v>
      </c>
    </row>
    <row r="652" customFormat="false" ht="15" hidden="false" customHeight="false" outlineLevel="0" collapsed="false">
      <c r="A652" s="22" t="n">
        <f aca="false">IF(47&lt;=NW,WEEK_ONE+323,"")</f>
        <v>46341</v>
      </c>
      <c r="B652" s="23" t="str">
        <f aca="false">IF(A652="","",CHOOSE(WEEKDAY(A652,1),"الأحد","الاثنين","الثلاثاء","الأربعاء","الخميس","الجمعة","السبت"))</f>
        <v>الأحد</v>
      </c>
      <c r="C652" s="24"/>
      <c r="D652" s="24"/>
      <c r="E652" s="25" t="str">
        <f aca="false">IF(OR(M652=0,K652="",L652=""),"",MOD(L652-K652,1))</f>
        <v/>
      </c>
      <c r="F652" s="26" t="str">
        <f aca="false">IF(OR(E652="",M652=0),"",IF(ROUND_MODE="للأعلى",CEILING(ROUND((E652*24*$N$649),3),0.25),ROUND((E652*24*$N$649)*4,0)/4))</f>
        <v/>
      </c>
      <c r="G652" s="24"/>
      <c r="H652" s="27"/>
      <c r="K652" s="28" t="str">
        <f aca="false">IF(OR(M652=0,C652=""),"",IF(ISNUMBER(C652),MOD(C652,1),IFERROR(INDEX(القوائم!$B$1:$B$288,MATCH(TRIM(C652),القوائم!$A$1:$A$288,0)),IFERROR(MOD(TIMEVALUE(C652),1),""))))</f>
        <v/>
      </c>
      <c r="L652" s="28" t="str">
        <f aca="false">IF(OR(M652=0,D652=""),"",IF(ISNUMBER(D652),MOD(D652,1),IFERROR(INDEX(القوائم!$B$1:$B$288,MATCH(TRIM(D652),القوائم!$A$1:$A$288,0)),IFERROR(MOD(TIMEVALUE(D652),1),""))))</f>
        <v/>
      </c>
      <c r="M652" s="19" t="n">
        <f aca="false">$M$649</f>
        <v>1</v>
      </c>
      <c r="Q652" s="19" t="n">
        <f aca="false">IF(N(E661)&gt;0,1,0)</f>
        <v>0</v>
      </c>
      <c r="S652" s="0" t="n">
        <v>47</v>
      </c>
    </row>
    <row r="653" customFormat="false" ht="15" hidden="false" customHeight="false" outlineLevel="0" collapsed="false">
      <c r="A653" s="22" t="n">
        <f aca="false">IF(47&lt;=NW,WEEK_ONE+324,"")</f>
        <v>46342</v>
      </c>
      <c r="B653" s="23" t="str">
        <f aca="false">IF(A653="","",CHOOSE(WEEKDAY(A653,1),"الأحد","الاثنين","الثلاثاء","الأربعاء","الخميس","الجمعة","السبت"))</f>
        <v>الاثنين</v>
      </c>
      <c r="C653" s="24"/>
      <c r="D653" s="24"/>
      <c r="E653" s="25" t="str">
        <f aca="false">IF(OR(M653=0,K653="",L653=""),"",MOD(L653-K653,1))</f>
        <v/>
      </c>
      <c r="F653" s="26" t="str">
        <f aca="false">IF(OR(E653="",M653=0),"",IF(ROUND_MODE="للأعلى",CEILING(ROUND((E653*24*$N$649),3),0.25),ROUND((E653*24*$N$649)*4,0)/4))</f>
        <v/>
      </c>
      <c r="G653" s="24"/>
      <c r="H653" s="27"/>
      <c r="K653" s="28" t="str">
        <f aca="false">IF(OR(M653=0,C653=""),"",IF(ISNUMBER(C653),MOD(C653,1),IFERROR(INDEX(القوائم!$B$1:$B$288,MATCH(TRIM(C653),القوائم!$A$1:$A$288,0)),IFERROR(MOD(TIMEVALUE(C653),1),""))))</f>
        <v/>
      </c>
      <c r="L653" s="28" t="str">
        <f aca="false">IF(OR(M653=0,D653=""),"",IF(ISNUMBER(D653),MOD(D653,1),IFERROR(INDEX(القوائم!$B$1:$B$288,MATCH(TRIM(D653),القوائم!$A$1:$A$288,0)),IFERROR(MOD(TIMEVALUE(D653),1),""))))</f>
        <v/>
      </c>
      <c r="M653" s="19" t="n">
        <f aca="false">$M$649</f>
        <v>1</v>
      </c>
      <c r="Q653" s="19" t="n">
        <f aca="false">IF(N(E661)&gt;0,1,0)</f>
        <v>0</v>
      </c>
      <c r="S653" s="0" t="n">
        <v>47</v>
      </c>
    </row>
    <row r="654" customFormat="false" ht="15" hidden="false" customHeight="false" outlineLevel="0" collapsed="false">
      <c r="A654" s="22" t="n">
        <f aca="false">IF(47&lt;=NW,WEEK_ONE+325,"")</f>
        <v>46343</v>
      </c>
      <c r="B654" s="23" t="str">
        <f aca="false">IF(A654="","",CHOOSE(WEEKDAY(A654,1),"الأحد","الاثنين","الثلاثاء","الأربعاء","الخميس","الجمعة","السبت"))</f>
        <v>الثلاثاء</v>
      </c>
      <c r="C654" s="24"/>
      <c r="D654" s="24"/>
      <c r="E654" s="25" t="str">
        <f aca="false">IF(OR(M654=0,K654="",L654=""),"",MOD(L654-K654,1))</f>
        <v/>
      </c>
      <c r="F654" s="26" t="str">
        <f aca="false">IF(OR(E654="",M654=0),"",IF(ROUND_MODE="للأعلى",CEILING(ROUND((E654*24*$N$649),3),0.25),ROUND((E654*24*$N$649)*4,0)/4))</f>
        <v/>
      </c>
      <c r="G654" s="24"/>
      <c r="H654" s="27"/>
      <c r="K654" s="28" t="str">
        <f aca="false">IF(OR(M654=0,C654=""),"",IF(ISNUMBER(C654),MOD(C654,1),IFERROR(INDEX(القوائم!$B$1:$B$288,MATCH(TRIM(C654),القوائم!$A$1:$A$288,0)),IFERROR(MOD(TIMEVALUE(C654),1),""))))</f>
        <v/>
      </c>
      <c r="L654" s="28" t="str">
        <f aca="false">IF(OR(M654=0,D654=""),"",IF(ISNUMBER(D654),MOD(D654,1),IFERROR(INDEX(القوائم!$B$1:$B$288,MATCH(TRIM(D654),القوائم!$A$1:$A$288,0)),IFERROR(MOD(TIMEVALUE(D654),1),""))))</f>
        <v/>
      </c>
      <c r="M654" s="19" t="n">
        <f aca="false">$M$649</f>
        <v>1</v>
      </c>
      <c r="Q654" s="19" t="n">
        <f aca="false">IF(N(E661)&gt;0,1,0)</f>
        <v>0</v>
      </c>
      <c r="S654" s="0" t="n">
        <v>47</v>
      </c>
    </row>
    <row r="655" customFormat="false" ht="15" hidden="false" customHeight="false" outlineLevel="0" collapsed="false">
      <c r="A655" s="22" t="n">
        <f aca="false">IF(47&lt;=NW,WEEK_ONE+326,"")</f>
        <v>46344</v>
      </c>
      <c r="B655" s="23" t="str">
        <f aca="false">IF(A655="","",CHOOSE(WEEKDAY(A655,1),"الأحد","الاثنين","الثلاثاء","الأربعاء","الخميس","الجمعة","السبت"))</f>
        <v>الأربعاء</v>
      </c>
      <c r="C655" s="24"/>
      <c r="D655" s="24"/>
      <c r="E655" s="25" t="str">
        <f aca="false">IF(OR(M655=0,K655="",L655=""),"",MOD(L655-K655,1))</f>
        <v/>
      </c>
      <c r="F655" s="26" t="str">
        <f aca="false">IF(OR(E655="",M655=0),"",IF(ROUND_MODE="للأعلى",CEILING(ROUND((E655*24*$N$649),3),0.25),ROUND((E655*24*$N$649)*4,0)/4))</f>
        <v/>
      </c>
      <c r="G655" s="24"/>
      <c r="H655" s="27"/>
      <c r="K655" s="28" t="str">
        <f aca="false">IF(OR(M655=0,C655=""),"",IF(ISNUMBER(C655),MOD(C655,1),IFERROR(INDEX(القوائم!$B$1:$B$288,MATCH(TRIM(C655),القوائم!$A$1:$A$288,0)),IFERROR(MOD(TIMEVALUE(C655),1),""))))</f>
        <v/>
      </c>
      <c r="L655" s="28" t="str">
        <f aca="false">IF(OR(M655=0,D655=""),"",IF(ISNUMBER(D655),MOD(D655,1),IFERROR(INDEX(القوائم!$B$1:$B$288,MATCH(TRIM(D655),القوائم!$A$1:$A$288,0)),IFERROR(MOD(TIMEVALUE(D655),1),""))))</f>
        <v/>
      </c>
      <c r="M655" s="19" t="n">
        <f aca="false">$M$649</f>
        <v>1</v>
      </c>
      <c r="Q655" s="19" t="n">
        <f aca="false">IF(N(E661)&gt;0,1,0)</f>
        <v>0</v>
      </c>
      <c r="S655" s="0" t="n">
        <v>47</v>
      </c>
    </row>
    <row r="656" customFormat="false" ht="15" hidden="false" customHeight="false" outlineLevel="0" collapsed="false">
      <c r="A656" s="22" t="n">
        <f aca="false">IF(47&lt;=NW,WEEK_ONE+327,"")</f>
        <v>46345</v>
      </c>
      <c r="B656" s="23" t="str">
        <f aca="false">IF(A656="","",CHOOSE(WEEKDAY(A656,1),"الأحد","الاثنين","الثلاثاء","الأربعاء","الخميس","الجمعة","السبت"))</f>
        <v>الخميس</v>
      </c>
      <c r="C656" s="24"/>
      <c r="D656" s="24"/>
      <c r="E656" s="25" t="str">
        <f aca="false">IF(OR(M656=0,K656="",L656=""),"",MOD(L656-K656,1))</f>
        <v/>
      </c>
      <c r="F656" s="26" t="str">
        <f aca="false">IF(OR(E656="",M656=0),"",IF(ROUND_MODE="للأعلى",CEILING(ROUND((E656*24*$N$649),3),0.25),ROUND((E656*24*$N$649)*4,0)/4))</f>
        <v/>
      </c>
      <c r="G656" s="24"/>
      <c r="H656" s="27"/>
      <c r="K656" s="28" t="str">
        <f aca="false">IF(OR(M656=0,C656=""),"",IF(ISNUMBER(C656),MOD(C656,1),IFERROR(INDEX(القوائم!$B$1:$B$288,MATCH(TRIM(C656),القوائم!$A$1:$A$288,0)),IFERROR(MOD(TIMEVALUE(C656),1),""))))</f>
        <v/>
      </c>
      <c r="L656" s="28" t="str">
        <f aca="false">IF(OR(M656=0,D656=""),"",IF(ISNUMBER(D656),MOD(D656,1),IFERROR(INDEX(القوائم!$B$1:$B$288,MATCH(TRIM(D656),القوائم!$A$1:$A$288,0)),IFERROR(MOD(TIMEVALUE(D656),1),""))))</f>
        <v/>
      </c>
      <c r="M656" s="19" t="n">
        <f aca="false">$M$649</f>
        <v>1</v>
      </c>
      <c r="Q656" s="19" t="n">
        <f aca="false">IF(N(E661)&gt;0,1,0)</f>
        <v>0</v>
      </c>
      <c r="S656" s="0" t="n">
        <v>47</v>
      </c>
    </row>
    <row r="657" customFormat="false" ht="15" hidden="false" customHeight="false" outlineLevel="0" collapsed="false">
      <c r="A657" s="29" t="n">
        <f aca="false">IF(47&lt;=NW,WEEK_ONE+328,"")</f>
        <v>46346</v>
      </c>
      <c r="B657" s="30" t="str">
        <f aca="false">IF(A657="","",CHOOSE(WEEKDAY(A657,1),"الأحد","الاثنين","الثلاثاء","الأربعاء","الخميس","الجمعة","السبت"))</f>
        <v>الجمعة</v>
      </c>
      <c r="C657" s="24"/>
      <c r="D657" s="24"/>
      <c r="E657" s="25" t="str">
        <f aca="false">IF(OR(M657=0,K657="",L657=""),"",MOD(L657-K657,1))</f>
        <v/>
      </c>
      <c r="F657" s="26" t="str">
        <f aca="false">IF(OR(E657="",M657=0),"",IF(ROUND_MODE="للأعلى",CEILING(ROUND((E657*24*$N$649),3),0.25),ROUND((E657*24*$N$649)*4,0)/4))</f>
        <v/>
      </c>
      <c r="G657" s="24"/>
      <c r="H657" s="27"/>
      <c r="K657" s="28" t="str">
        <f aca="false">IF(OR(M657=0,C657=""),"",IF(ISNUMBER(C657),MOD(C657,1),IFERROR(INDEX(القوائم!$B$1:$B$288,MATCH(TRIM(C657),القوائم!$A$1:$A$288,0)),IFERROR(MOD(TIMEVALUE(C657),1),""))))</f>
        <v/>
      </c>
      <c r="L657" s="28" t="str">
        <f aca="false">IF(OR(M657=0,D657=""),"",IF(ISNUMBER(D657),MOD(D657,1),IFERROR(INDEX(القوائم!$B$1:$B$288,MATCH(TRIM(D657),القوائم!$A$1:$A$288,0)),IFERROR(MOD(TIMEVALUE(D657),1),""))))</f>
        <v/>
      </c>
      <c r="M657" s="19" t="n">
        <f aca="false">$M$649</f>
        <v>1</v>
      </c>
      <c r="Q657" s="19" t="n">
        <f aca="false">IF(N(E661)&gt;0,1,0)</f>
        <v>0</v>
      </c>
      <c r="S657" s="0" t="n">
        <v>47</v>
      </c>
    </row>
    <row r="658" customFormat="false" ht="15" hidden="false" customHeight="false" outlineLevel="0" collapsed="false">
      <c r="A658" s="31" t="str">
        <f aca="false">IF(M649=1,"ساعات تحميل الجبسمبورد بهالأسبوع ←","")</f>
        <v>ساعات تحميل الجبسمبورد بهالأسبوع ←</v>
      </c>
      <c r="B658" s="31"/>
      <c r="C658" s="31"/>
      <c r="D658" s="31"/>
      <c r="E658" s="32"/>
      <c r="F658" s="33" t="str">
        <f aca="false">IF(M649=1,"كل ساعة تحميل = "&amp;TEXT($P$649,"0.000")&amp;" دينار (منها "&amp;TEXT($N$649,"0.000")&amp;" محسوبة أصلاً بساعات اليوم)","")</f>
        <v>كل ساعة تحميل = 2.500 دينار (منها 1.000 محسوبة أصلاً بساعات اليوم)</v>
      </c>
      <c r="G658" s="33"/>
      <c r="H658" s="33"/>
      <c r="M658" s="19" t="n">
        <f aca="false">$M$649</f>
        <v>1</v>
      </c>
      <c r="Q658" s="19" t="n">
        <f aca="false">IF(N(E661)&gt;0,1,0)</f>
        <v>0</v>
      </c>
      <c r="S658" s="0" t="n">
        <v>47</v>
      </c>
    </row>
    <row r="659" customFormat="false" ht="15" hidden="false" customHeight="false" outlineLevel="0" collapsed="false">
      <c r="A659" s="31" t="str">
        <f aca="false">IF(M649=1,"إكرامية الأسبوع (دينار) ←","")</f>
        <v>إكرامية الأسبوع (دينار) ←</v>
      </c>
      <c r="B659" s="31"/>
      <c r="C659" s="31"/>
      <c r="D659" s="31"/>
      <c r="E659" s="34"/>
      <c r="F659" s="35"/>
      <c r="G659" s="35"/>
      <c r="H659" s="35"/>
      <c r="M659" s="19" t="n">
        <f aca="false">$M$649</f>
        <v>1</v>
      </c>
      <c r="Q659" s="19" t="n">
        <f aca="false">IF(N(E661)&gt;0,1,0)</f>
        <v>0</v>
      </c>
      <c r="S659" s="0" t="n">
        <v>47</v>
      </c>
    </row>
    <row r="660" customFormat="false" ht="36" hidden="false" customHeight="true" outlineLevel="0" collapsed="false">
      <c r="A660" s="36" t="str">
        <f aca="false">IF(M649=1,"المستحق النهائي للأسبوع","")</f>
        <v>المستحق النهائي للأسبوع</v>
      </c>
      <c r="B660" s="36"/>
      <c r="C660" s="36"/>
      <c r="D660" s="36"/>
      <c r="E660" s="36"/>
      <c r="F660" s="11" t="n">
        <f aca="false">IF(M649=1,ROUND(N($V$649)+N(E658)*($P$649-$N$649)+N(E659),3),"")</f>
        <v>0</v>
      </c>
      <c r="G660" s="35"/>
      <c r="H660" s="35"/>
      <c r="M660" s="19" t="n">
        <f aca="false">$M$649</f>
        <v>1</v>
      </c>
      <c r="Q660" s="19" t="n">
        <f aca="false">IF(N(E661)&gt;0,1,0)</f>
        <v>0</v>
      </c>
      <c r="S660" s="0" t="n">
        <v>47</v>
      </c>
      <c r="T660" s="0" t="n">
        <v>1</v>
      </c>
    </row>
    <row r="661" customFormat="false" ht="25.5" hidden="false" customHeight="true" outlineLevel="0" collapsed="false">
      <c r="A661" s="31" t="str">
        <f aca="false">IF(M649=1,"المدفوع (دينار) ←","")</f>
        <v>المدفوع (دينار) ←</v>
      </c>
      <c r="B661" s="31"/>
      <c r="C661" s="31"/>
      <c r="D661" s="31"/>
      <c r="E661" s="34"/>
      <c r="F661" s="38" t="str">
        <f aca="false">IF(M649=1,IF(N(E661)&gt;0,"✔ انقبض — الأسبوع مقفول","⏳ لسا ما انقبض"),"")</f>
        <v>⏳ لسا ما انقبض</v>
      </c>
      <c r="G661" s="38"/>
      <c r="H661" s="38"/>
      <c r="M661" s="19" t="n">
        <f aca="false">$M$649</f>
        <v>1</v>
      </c>
      <c r="Q661" s="19" t="n">
        <f aca="false">IF(N(E661)&gt;0,1,0)</f>
        <v>0</v>
      </c>
      <c r="S661" s="0" t="n">
        <v>47</v>
      </c>
    </row>
    <row r="662" customFormat="false" ht="9.75" hidden="false" customHeight="true" outlineLevel="0" collapsed="false">
      <c r="M662" s="19" t="n">
        <f aca="false">$M$649</f>
        <v>1</v>
      </c>
      <c r="Q662" s="19" t="n">
        <f aca="false">IF(N(E661)&gt;0,1,0)</f>
        <v>0</v>
      </c>
      <c r="S662" s="0" t="n">
        <v>47</v>
      </c>
      <c r="T662" s="0" t="n">
        <v>2</v>
      </c>
    </row>
    <row r="663" customFormat="false" ht="33.75" hidden="false" customHeight="true" outlineLevel="0" collapsed="false">
      <c r="A663" s="17" t="str">
        <f aca="false">IF(48&lt;=NW,TEXT(DAY(WEEK_ONE+329),"00")&amp;"/"&amp;TEXT(MONTH(WEEK_ONE+329),"00")&amp;"/"&amp;YEAR(WEEK_ONE+329)&amp;"  -  "&amp;TEXT(DAY(WEEK_ONE+335),"00")&amp;"/"&amp;TEXT(MONTH(WEEK_ONE+335),"00")&amp;"/"&amp;YEAR(WEEK_ONE+335)&amp;"   ·   الأسبوع 48"&amp;IF(48&lt;START_Z,"   (قبل أسبوع البداية — ما بينحسب)",""),"ما في أسبوع 48 هالسنة")</f>
        <v>21/11/2026  -  27/11/2026   ·   الأسبوع 48</v>
      </c>
      <c r="B663" s="17"/>
      <c r="C663" s="17"/>
      <c r="D663" s="17"/>
      <c r="E663" s="17"/>
      <c r="F663" s="17"/>
      <c r="G663" s="17"/>
      <c r="H663" s="17"/>
      <c r="L663" s="18" t="n">
        <f aca="false">IF(48&lt;=NW,WEEK_ONE+335,"")</f>
        <v>46353</v>
      </c>
      <c r="M663" s="19" t="n">
        <f aca="false">IF(AND(48&lt;=NW,48&gt;=START_Z),1,0)</f>
        <v>1</v>
      </c>
      <c r="N663" s="20" t="n">
        <f aca="false">IFERROR(INDEX(RT_AZZ,MATCH(L663,RT_K,1)),INDEX(RT_AZZ,1))</f>
        <v>1</v>
      </c>
      <c r="P663" s="20" t="n">
        <f aca="false">IFERROR(INDEX(RT_GYP,MATCH(L663,RT_K,1)),INDEX(RT_GYP,1))</f>
        <v>2.5</v>
      </c>
      <c r="Q663" s="19" t="n">
        <f aca="false">IF(N(E675)&gt;0,1,0)</f>
        <v>0</v>
      </c>
      <c r="R663" s="0" t="n">
        <v>48</v>
      </c>
      <c r="S663" s="0" t="n">
        <v>48</v>
      </c>
      <c r="U663" s="39" t="n">
        <f aca="false">IF(M663=1,SUM(E665:E671),0)</f>
        <v>0</v>
      </c>
      <c r="V663" s="19" t="n">
        <f aca="false">SUM(F665:F671)</f>
        <v>0</v>
      </c>
      <c r="W663" s="19" t="n">
        <f aca="false">IF(M663=1,SUMIFS(F665:F671,G665:G671,"نعم"),0)</f>
        <v>0</v>
      </c>
    </row>
    <row r="664" customFormat="false" ht="39.75" hidden="false" customHeight="true" outlineLevel="0" collapsed="false">
      <c r="A664" s="21" t="s">
        <v>18</v>
      </c>
      <c r="B664" s="21" t="s">
        <v>19</v>
      </c>
      <c r="C664" s="21" t="s">
        <v>20</v>
      </c>
      <c r="D664" s="21" t="s">
        <v>21</v>
      </c>
      <c r="E664" s="21" t="s">
        <v>22</v>
      </c>
      <c r="F664" s="21" t="s">
        <v>29</v>
      </c>
      <c r="G664" s="21" t="s">
        <v>30</v>
      </c>
      <c r="H664" s="21" t="s">
        <v>26</v>
      </c>
      <c r="M664" s="19" t="n">
        <f aca="false">$M$663</f>
        <v>1</v>
      </c>
      <c r="Q664" s="19" t="n">
        <f aca="false">IF(N(E675)&gt;0,1,0)</f>
        <v>0</v>
      </c>
      <c r="S664" s="0" t="n">
        <v>48</v>
      </c>
    </row>
    <row r="665" customFormat="false" ht="15" hidden="false" customHeight="false" outlineLevel="0" collapsed="false">
      <c r="A665" s="22" t="n">
        <f aca="false">IF(48&lt;=NW,WEEK_ONE+329,"")</f>
        <v>46347</v>
      </c>
      <c r="B665" s="23" t="str">
        <f aca="false">IF(A665="","",CHOOSE(WEEKDAY(A665,1),"الأحد","الاثنين","الثلاثاء","الأربعاء","الخميس","الجمعة","السبت"))</f>
        <v>السبت</v>
      </c>
      <c r="C665" s="24"/>
      <c r="D665" s="24"/>
      <c r="E665" s="25" t="str">
        <f aca="false">IF(OR(M665=0,K665="",L665=""),"",MOD(L665-K665,1))</f>
        <v/>
      </c>
      <c r="F665" s="26" t="str">
        <f aca="false">IF(OR(E665="",M665=0),"",IF(ROUND_MODE="للأعلى",CEILING(ROUND((E665*24*$N$663),3),0.25),ROUND((E665*24*$N$663)*4,0)/4))</f>
        <v/>
      </c>
      <c r="G665" s="24"/>
      <c r="H665" s="27"/>
      <c r="K665" s="28" t="str">
        <f aca="false">IF(OR(M665=0,C665=""),"",IF(ISNUMBER(C665),MOD(C665,1),IFERROR(INDEX(القوائم!$B$1:$B$288,MATCH(TRIM(C665),القوائم!$A$1:$A$288,0)),IFERROR(MOD(TIMEVALUE(C665),1),""))))</f>
        <v/>
      </c>
      <c r="L665" s="28" t="str">
        <f aca="false">IF(OR(M665=0,D665=""),"",IF(ISNUMBER(D665),MOD(D665,1),IFERROR(INDEX(القوائم!$B$1:$B$288,MATCH(TRIM(D665),القوائم!$A$1:$A$288,0)),IFERROR(MOD(TIMEVALUE(D665),1),""))))</f>
        <v/>
      </c>
      <c r="M665" s="19" t="n">
        <f aca="false">$M$663</f>
        <v>1</v>
      </c>
      <c r="Q665" s="19" t="n">
        <f aca="false">IF(N(E675)&gt;0,1,0)</f>
        <v>0</v>
      </c>
      <c r="S665" s="0" t="n">
        <v>48</v>
      </c>
    </row>
    <row r="666" customFormat="false" ht="15" hidden="false" customHeight="false" outlineLevel="0" collapsed="false">
      <c r="A666" s="22" t="n">
        <f aca="false">IF(48&lt;=NW,WEEK_ONE+330,"")</f>
        <v>46348</v>
      </c>
      <c r="B666" s="23" t="str">
        <f aca="false">IF(A666="","",CHOOSE(WEEKDAY(A666,1),"الأحد","الاثنين","الثلاثاء","الأربعاء","الخميس","الجمعة","السبت"))</f>
        <v>الأحد</v>
      </c>
      <c r="C666" s="24"/>
      <c r="D666" s="24"/>
      <c r="E666" s="25" t="str">
        <f aca="false">IF(OR(M666=0,K666="",L666=""),"",MOD(L666-K666,1))</f>
        <v/>
      </c>
      <c r="F666" s="26" t="str">
        <f aca="false">IF(OR(E666="",M666=0),"",IF(ROUND_MODE="للأعلى",CEILING(ROUND((E666*24*$N$663),3),0.25),ROUND((E666*24*$N$663)*4,0)/4))</f>
        <v/>
      </c>
      <c r="G666" s="24"/>
      <c r="H666" s="27"/>
      <c r="K666" s="28" t="str">
        <f aca="false">IF(OR(M666=0,C666=""),"",IF(ISNUMBER(C666),MOD(C666,1),IFERROR(INDEX(القوائم!$B$1:$B$288,MATCH(TRIM(C666),القوائم!$A$1:$A$288,0)),IFERROR(MOD(TIMEVALUE(C666),1),""))))</f>
        <v/>
      </c>
      <c r="L666" s="28" t="str">
        <f aca="false">IF(OR(M666=0,D666=""),"",IF(ISNUMBER(D666),MOD(D666,1),IFERROR(INDEX(القوائم!$B$1:$B$288,MATCH(TRIM(D666),القوائم!$A$1:$A$288,0)),IFERROR(MOD(TIMEVALUE(D666),1),""))))</f>
        <v/>
      </c>
      <c r="M666" s="19" t="n">
        <f aca="false">$M$663</f>
        <v>1</v>
      </c>
      <c r="Q666" s="19" t="n">
        <f aca="false">IF(N(E675)&gt;0,1,0)</f>
        <v>0</v>
      </c>
      <c r="S666" s="0" t="n">
        <v>48</v>
      </c>
    </row>
    <row r="667" customFormat="false" ht="15" hidden="false" customHeight="false" outlineLevel="0" collapsed="false">
      <c r="A667" s="22" t="n">
        <f aca="false">IF(48&lt;=NW,WEEK_ONE+331,"")</f>
        <v>46349</v>
      </c>
      <c r="B667" s="23" t="str">
        <f aca="false">IF(A667="","",CHOOSE(WEEKDAY(A667,1),"الأحد","الاثنين","الثلاثاء","الأربعاء","الخميس","الجمعة","السبت"))</f>
        <v>الاثنين</v>
      </c>
      <c r="C667" s="24"/>
      <c r="D667" s="24"/>
      <c r="E667" s="25" t="str">
        <f aca="false">IF(OR(M667=0,K667="",L667=""),"",MOD(L667-K667,1))</f>
        <v/>
      </c>
      <c r="F667" s="26" t="str">
        <f aca="false">IF(OR(E667="",M667=0),"",IF(ROUND_MODE="للأعلى",CEILING(ROUND((E667*24*$N$663),3),0.25),ROUND((E667*24*$N$663)*4,0)/4))</f>
        <v/>
      </c>
      <c r="G667" s="24"/>
      <c r="H667" s="27"/>
      <c r="K667" s="28" t="str">
        <f aca="false">IF(OR(M667=0,C667=""),"",IF(ISNUMBER(C667),MOD(C667,1),IFERROR(INDEX(القوائم!$B$1:$B$288,MATCH(TRIM(C667),القوائم!$A$1:$A$288,0)),IFERROR(MOD(TIMEVALUE(C667),1),""))))</f>
        <v/>
      </c>
      <c r="L667" s="28" t="str">
        <f aca="false">IF(OR(M667=0,D667=""),"",IF(ISNUMBER(D667),MOD(D667,1),IFERROR(INDEX(القوائم!$B$1:$B$288,MATCH(TRIM(D667),القوائم!$A$1:$A$288,0)),IFERROR(MOD(TIMEVALUE(D667),1),""))))</f>
        <v/>
      </c>
      <c r="M667" s="19" t="n">
        <f aca="false">$M$663</f>
        <v>1</v>
      </c>
      <c r="Q667" s="19" t="n">
        <f aca="false">IF(N(E675)&gt;0,1,0)</f>
        <v>0</v>
      </c>
      <c r="S667" s="0" t="n">
        <v>48</v>
      </c>
    </row>
    <row r="668" customFormat="false" ht="15" hidden="false" customHeight="false" outlineLevel="0" collapsed="false">
      <c r="A668" s="22" t="n">
        <f aca="false">IF(48&lt;=NW,WEEK_ONE+332,"")</f>
        <v>46350</v>
      </c>
      <c r="B668" s="23" t="str">
        <f aca="false">IF(A668="","",CHOOSE(WEEKDAY(A668,1),"الأحد","الاثنين","الثلاثاء","الأربعاء","الخميس","الجمعة","السبت"))</f>
        <v>الثلاثاء</v>
      </c>
      <c r="C668" s="24"/>
      <c r="D668" s="24"/>
      <c r="E668" s="25" t="str">
        <f aca="false">IF(OR(M668=0,K668="",L668=""),"",MOD(L668-K668,1))</f>
        <v/>
      </c>
      <c r="F668" s="26" t="str">
        <f aca="false">IF(OR(E668="",M668=0),"",IF(ROUND_MODE="للأعلى",CEILING(ROUND((E668*24*$N$663),3),0.25),ROUND((E668*24*$N$663)*4,0)/4))</f>
        <v/>
      </c>
      <c r="G668" s="24"/>
      <c r="H668" s="27"/>
      <c r="K668" s="28" t="str">
        <f aca="false">IF(OR(M668=0,C668=""),"",IF(ISNUMBER(C668),MOD(C668,1),IFERROR(INDEX(القوائم!$B$1:$B$288,MATCH(TRIM(C668),القوائم!$A$1:$A$288,0)),IFERROR(MOD(TIMEVALUE(C668),1),""))))</f>
        <v/>
      </c>
      <c r="L668" s="28" t="str">
        <f aca="false">IF(OR(M668=0,D668=""),"",IF(ISNUMBER(D668),MOD(D668,1),IFERROR(INDEX(القوائم!$B$1:$B$288,MATCH(TRIM(D668),القوائم!$A$1:$A$288,0)),IFERROR(MOD(TIMEVALUE(D668),1),""))))</f>
        <v/>
      </c>
      <c r="M668" s="19" t="n">
        <f aca="false">$M$663</f>
        <v>1</v>
      </c>
      <c r="Q668" s="19" t="n">
        <f aca="false">IF(N(E675)&gt;0,1,0)</f>
        <v>0</v>
      </c>
      <c r="S668" s="0" t="n">
        <v>48</v>
      </c>
    </row>
    <row r="669" customFormat="false" ht="15" hidden="false" customHeight="false" outlineLevel="0" collapsed="false">
      <c r="A669" s="22" t="n">
        <f aca="false">IF(48&lt;=NW,WEEK_ONE+333,"")</f>
        <v>46351</v>
      </c>
      <c r="B669" s="23" t="str">
        <f aca="false">IF(A669="","",CHOOSE(WEEKDAY(A669,1),"الأحد","الاثنين","الثلاثاء","الأربعاء","الخميس","الجمعة","السبت"))</f>
        <v>الأربعاء</v>
      </c>
      <c r="C669" s="24"/>
      <c r="D669" s="24"/>
      <c r="E669" s="25" t="str">
        <f aca="false">IF(OR(M669=0,K669="",L669=""),"",MOD(L669-K669,1))</f>
        <v/>
      </c>
      <c r="F669" s="26" t="str">
        <f aca="false">IF(OR(E669="",M669=0),"",IF(ROUND_MODE="للأعلى",CEILING(ROUND((E669*24*$N$663),3),0.25),ROUND((E669*24*$N$663)*4,0)/4))</f>
        <v/>
      </c>
      <c r="G669" s="24"/>
      <c r="H669" s="27"/>
      <c r="K669" s="28" t="str">
        <f aca="false">IF(OR(M669=0,C669=""),"",IF(ISNUMBER(C669),MOD(C669,1),IFERROR(INDEX(القوائم!$B$1:$B$288,MATCH(TRIM(C669),القوائم!$A$1:$A$288,0)),IFERROR(MOD(TIMEVALUE(C669),1),""))))</f>
        <v/>
      </c>
      <c r="L669" s="28" t="str">
        <f aca="false">IF(OR(M669=0,D669=""),"",IF(ISNUMBER(D669),MOD(D669,1),IFERROR(INDEX(القوائم!$B$1:$B$288,MATCH(TRIM(D669),القوائم!$A$1:$A$288,0)),IFERROR(MOD(TIMEVALUE(D669),1),""))))</f>
        <v/>
      </c>
      <c r="M669" s="19" t="n">
        <f aca="false">$M$663</f>
        <v>1</v>
      </c>
      <c r="Q669" s="19" t="n">
        <f aca="false">IF(N(E675)&gt;0,1,0)</f>
        <v>0</v>
      </c>
      <c r="S669" s="0" t="n">
        <v>48</v>
      </c>
    </row>
    <row r="670" customFormat="false" ht="15" hidden="false" customHeight="false" outlineLevel="0" collapsed="false">
      <c r="A670" s="22" t="n">
        <f aca="false">IF(48&lt;=NW,WEEK_ONE+334,"")</f>
        <v>46352</v>
      </c>
      <c r="B670" s="23" t="str">
        <f aca="false">IF(A670="","",CHOOSE(WEEKDAY(A670,1),"الأحد","الاثنين","الثلاثاء","الأربعاء","الخميس","الجمعة","السبت"))</f>
        <v>الخميس</v>
      </c>
      <c r="C670" s="24"/>
      <c r="D670" s="24"/>
      <c r="E670" s="25" t="str">
        <f aca="false">IF(OR(M670=0,K670="",L670=""),"",MOD(L670-K670,1))</f>
        <v/>
      </c>
      <c r="F670" s="26" t="str">
        <f aca="false">IF(OR(E670="",M670=0),"",IF(ROUND_MODE="للأعلى",CEILING(ROUND((E670*24*$N$663),3),0.25),ROUND((E670*24*$N$663)*4,0)/4))</f>
        <v/>
      </c>
      <c r="G670" s="24"/>
      <c r="H670" s="27"/>
      <c r="K670" s="28" t="str">
        <f aca="false">IF(OR(M670=0,C670=""),"",IF(ISNUMBER(C670),MOD(C670,1),IFERROR(INDEX(القوائم!$B$1:$B$288,MATCH(TRIM(C670),القوائم!$A$1:$A$288,0)),IFERROR(MOD(TIMEVALUE(C670),1),""))))</f>
        <v/>
      </c>
      <c r="L670" s="28" t="str">
        <f aca="false">IF(OR(M670=0,D670=""),"",IF(ISNUMBER(D670),MOD(D670,1),IFERROR(INDEX(القوائم!$B$1:$B$288,MATCH(TRIM(D670),القوائم!$A$1:$A$288,0)),IFERROR(MOD(TIMEVALUE(D670),1),""))))</f>
        <v/>
      </c>
      <c r="M670" s="19" t="n">
        <f aca="false">$M$663</f>
        <v>1</v>
      </c>
      <c r="Q670" s="19" t="n">
        <f aca="false">IF(N(E675)&gt;0,1,0)</f>
        <v>0</v>
      </c>
      <c r="S670" s="0" t="n">
        <v>48</v>
      </c>
    </row>
    <row r="671" customFormat="false" ht="15" hidden="false" customHeight="false" outlineLevel="0" collapsed="false">
      <c r="A671" s="29" t="n">
        <f aca="false">IF(48&lt;=NW,WEEK_ONE+335,"")</f>
        <v>46353</v>
      </c>
      <c r="B671" s="30" t="str">
        <f aca="false">IF(A671="","",CHOOSE(WEEKDAY(A671,1),"الأحد","الاثنين","الثلاثاء","الأربعاء","الخميس","الجمعة","السبت"))</f>
        <v>الجمعة</v>
      </c>
      <c r="C671" s="24"/>
      <c r="D671" s="24"/>
      <c r="E671" s="25" t="str">
        <f aca="false">IF(OR(M671=0,K671="",L671=""),"",MOD(L671-K671,1))</f>
        <v/>
      </c>
      <c r="F671" s="26" t="str">
        <f aca="false">IF(OR(E671="",M671=0),"",IF(ROUND_MODE="للأعلى",CEILING(ROUND((E671*24*$N$663),3),0.25),ROUND((E671*24*$N$663)*4,0)/4))</f>
        <v/>
      </c>
      <c r="G671" s="24"/>
      <c r="H671" s="27"/>
      <c r="K671" s="28" t="str">
        <f aca="false">IF(OR(M671=0,C671=""),"",IF(ISNUMBER(C671),MOD(C671,1),IFERROR(INDEX(القوائم!$B$1:$B$288,MATCH(TRIM(C671),القوائم!$A$1:$A$288,0)),IFERROR(MOD(TIMEVALUE(C671),1),""))))</f>
        <v/>
      </c>
      <c r="L671" s="28" t="str">
        <f aca="false">IF(OR(M671=0,D671=""),"",IF(ISNUMBER(D671),MOD(D671,1),IFERROR(INDEX(القوائم!$B$1:$B$288,MATCH(TRIM(D671),القوائم!$A$1:$A$288,0)),IFERROR(MOD(TIMEVALUE(D671),1),""))))</f>
        <v/>
      </c>
      <c r="M671" s="19" t="n">
        <f aca="false">$M$663</f>
        <v>1</v>
      </c>
      <c r="Q671" s="19" t="n">
        <f aca="false">IF(N(E675)&gt;0,1,0)</f>
        <v>0</v>
      </c>
      <c r="S671" s="0" t="n">
        <v>48</v>
      </c>
    </row>
    <row r="672" customFormat="false" ht="15" hidden="false" customHeight="false" outlineLevel="0" collapsed="false">
      <c r="A672" s="31" t="str">
        <f aca="false">IF(M663=1,"ساعات تحميل الجبسمبورد بهالأسبوع ←","")</f>
        <v>ساعات تحميل الجبسمبورد بهالأسبوع ←</v>
      </c>
      <c r="B672" s="31"/>
      <c r="C672" s="31"/>
      <c r="D672" s="31"/>
      <c r="E672" s="32"/>
      <c r="F672" s="33" t="str">
        <f aca="false">IF(M663=1,"كل ساعة تحميل = "&amp;TEXT($P$663,"0.000")&amp;" دينار (منها "&amp;TEXT($N$663,"0.000")&amp;" محسوبة أصلاً بساعات اليوم)","")</f>
        <v>كل ساعة تحميل = 2.500 دينار (منها 1.000 محسوبة أصلاً بساعات اليوم)</v>
      </c>
      <c r="G672" s="33"/>
      <c r="H672" s="33"/>
      <c r="M672" s="19" t="n">
        <f aca="false">$M$663</f>
        <v>1</v>
      </c>
      <c r="Q672" s="19" t="n">
        <f aca="false">IF(N(E675)&gt;0,1,0)</f>
        <v>0</v>
      </c>
      <c r="S672" s="0" t="n">
        <v>48</v>
      </c>
    </row>
    <row r="673" customFormat="false" ht="15" hidden="false" customHeight="false" outlineLevel="0" collapsed="false">
      <c r="A673" s="31" t="str">
        <f aca="false">IF(M663=1,"إكرامية الأسبوع (دينار) ←","")</f>
        <v>إكرامية الأسبوع (دينار) ←</v>
      </c>
      <c r="B673" s="31"/>
      <c r="C673" s="31"/>
      <c r="D673" s="31"/>
      <c r="E673" s="34"/>
      <c r="F673" s="35"/>
      <c r="G673" s="35"/>
      <c r="H673" s="35"/>
      <c r="M673" s="19" t="n">
        <f aca="false">$M$663</f>
        <v>1</v>
      </c>
      <c r="Q673" s="19" t="n">
        <f aca="false">IF(N(E675)&gt;0,1,0)</f>
        <v>0</v>
      </c>
      <c r="S673" s="0" t="n">
        <v>48</v>
      </c>
    </row>
    <row r="674" customFormat="false" ht="36" hidden="false" customHeight="true" outlineLevel="0" collapsed="false">
      <c r="A674" s="36" t="str">
        <f aca="false">IF(M663=1,"المستحق النهائي للأسبوع","")</f>
        <v>المستحق النهائي للأسبوع</v>
      </c>
      <c r="B674" s="36"/>
      <c r="C674" s="36"/>
      <c r="D674" s="36"/>
      <c r="E674" s="36"/>
      <c r="F674" s="11" t="n">
        <f aca="false">IF(M663=1,ROUND(N($V$663)+N(E672)*($P$663-$N$663)+N(E673),3),"")</f>
        <v>0</v>
      </c>
      <c r="G674" s="35"/>
      <c r="H674" s="35"/>
      <c r="M674" s="19" t="n">
        <f aca="false">$M$663</f>
        <v>1</v>
      </c>
      <c r="Q674" s="19" t="n">
        <f aca="false">IF(N(E675)&gt;0,1,0)</f>
        <v>0</v>
      </c>
      <c r="S674" s="0" t="n">
        <v>48</v>
      </c>
      <c r="T674" s="0" t="n">
        <v>1</v>
      </c>
    </row>
    <row r="675" customFormat="false" ht="25.5" hidden="false" customHeight="true" outlineLevel="0" collapsed="false">
      <c r="A675" s="31" t="str">
        <f aca="false">IF(M663=1,"المدفوع (دينار) ←","")</f>
        <v>المدفوع (دينار) ←</v>
      </c>
      <c r="B675" s="31"/>
      <c r="C675" s="31"/>
      <c r="D675" s="31"/>
      <c r="E675" s="34"/>
      <c r="F675" s="38" t="str">
        <f aca="false">IF(M663=1,IF(N(E675)&gt;0,"✔ انقبض — الأسبوع مقفول","⏳ لسا ما انقبض"),"")</f>
        <v>⏳ لسا ما انقبض</v>
      </c>
      <c r="G675" s="38"/>
      <c r="H675" s="38"/>
      <c r="M675" s="19" t="n">
        <f aca="false">$M$663</f>
        <v>1</v>
      </c>
      <c r="Q675" s="19" t="n">
        <f aca="false">IF(N(E675)&gt;0,1,0)</f>
        <v>0</v>
      </c>
      <c r="S675" s="0" t="n">
        <v>48</v>
      </c>
    </row>
    <row r="676" customFormat="false" ht="9.75" hidden="false" customHeight="true" outlineLevel="0" collapsed="false">
      <c r="M676" s="19" t="n">
        <f aca="false">$M$663</f>
        <v>1</v>
      </c>
      <c r="Q676" s="19" t="n">
        <f aca="false">IF(N(E675)&gt;0,1,0)</f>
        <v>0</v>
      </c>
      <c r="S676" s="0" t="n">
        <v>48</v>
      </c>
      <c r="T676" s="0" t="n">
        <v>2</v>
      </c>
    </row>
    <row r="677" customFormat="false" ht="33.75" hidden="false" customHeight="true" outlineLevel="0" collapsed="false">
      <c r="A677" s="17" t="str">
        <f aca="false">IF(49&lt;=NW,TEXT(DAY(WEEK_ONE+336),"00")&amp;"/"&amp;TEXT(MONTH(WEEK_ONE+336),"00")&amp;"/"&amp;YEAR(WEEK_ONE+336)&amp;"  -  "&amp;TEXT(DAY(WEEK_ONE+342),"00")&amp;"/"&amp;TEXT(MONTH(WEEK_ONE+342),"00")&amp;"/"&amp;YEAR(WEEK_ONE+342)&amp;"   ·   الأسبوع 49"&amp;IF(49&lt;START_Z,"   (قبل أسبوع البداية — ما بينحسب)",""),"ما في أسبوع 49 هالسنة")</f>
        <v>28/11/2026  -  04/12/2026   ·   الأسبوع 49</v>
      </c>
      <c r="B677" s="17"/>
      <c r="C677" s="17"/>
      <c r="D677" s="17"/>
      <c r="E677" s="17"/>
      <c r="F677" s="17"/>
      <c r="G677" s="17"/>
      <c r="H677" s="17"/>
      <c r="L677" s="18" t="n">
        <f aca="false">IF(49&lt;=NW,WEEK_ONE+342,"")</f>
        <v>46360</v>
      </c>
      <c r="M677" s="19" t="n">
        <f aca="false">IF(AND(49&lt;=NW,49&gt;=START_Z),1,0)</f>
        <v>1</v>
      </c>
      <c r="N677" s="20" t="n">
        <f aca="false">IFERROR(INDEX(RT_AZZ,MATCH(L677,RT_K,1)),INDEX(RT_AZZ,1))</f>
        <v>1</v>
      </c>
      <c r="P677" s="20" t="n">
        <f aca="false">IFERROR(INDEX(RT_GYP,MATCH(L677,RT_K,1)),INDEX(RT_GYP,1))</f>
        <v>2.5</v>
      </c>
      <c r="Q677" s="19" t="n">
        <f aca="false">IF(N(E689)&gt;0,1,0)</f>
        <v>0</v>
      </c>
      <c r="R677" s="0" t="n">
        <v>49</v>
      </c>
      <c r="S677" s="0" t="n">
        <v>49</v>
      </c>
      <c r="U677" s="39" t="n">
        <f aca="false">IF(M677=1,SUM(E679:E685),0)</f>
        <v>0</v>
      </c>
      <c r="V677" s="19" t="n">
        <f aca="false">SUM(F679:F685)</f>
        <v>0</v>
      </c>
      <c r="W677" s="19" t="n">
        <f aca="false">IF(M677=1,SUMIFS(F679:F685,G679:G685,"نعم"),0)</f>
        <v>0</v>
      </c>
    </row>
    <row r="678" customFormat="false" ht="39.75" hidden="false" customHeight="true" outlineLevel="0" collapsed="false">
      <c r="A678" s="21" t="s">
        <v>18</v>
      </c>
      <c r="B678" s="21" t="s">
        <v>19</v>
      </c>
      <c r="C678" s="21" t="s">
        <v>20</v>
      </c>
      <c r="D678" s="21" t="s">
        <v>21</v>
      </c>
      <c r="E678" s="21" t="s">
        <v>22</v>
      </c>
      <c r="F678" s="21" t="s">
        <v>29</v>
      </c>
      <c r="G678" s="21" t="s">
        <v>30</v>
      </c>
      <c r="H678" s="21" t="s">
        <v>26</v>
      </c>
      <c r="M678" s="19" t="n">
        <f aca="false">$M$677</f>
        <v>1</v>
      </c>
      <c r="Q678" s="19" t="n">
        <f aca="false">IF(N(E689)&gt;0,1,0)</f>
        <v>0</v>
      </c>
      <c r="S678" s="0" t="n">
        <v>49</v>
      </c>
    </row>
    <row r="679" customFormat="false" ht="15" hidden="false" customHeight="false" outlineLevel="0" collapsed="false">
      <c r="A679" s="22" t="n">
        <f aca="false">IF(49&lt;=NW,WEEK_ONE+336,"")</f>
        <v>46354</v>
      </c>
      <c r="B679" s="23" t="str">
        <f aca="false">IF(A679="","",CHOOSE(WEEKDAY(A679,1),"الأحد","الاثنين","الثلاثاء","الأربعاء","الخميس","الجمعة","السبت"))</f>
        <v>السبت</v>
      </c>
      <c r="C679" s="24"/>
      <c r="D679" s="24"/>
      <c r="E679" s="25" t="str">
        <f aca="false">IF(OR(M679=0,K679="",L679=""),"",MOD(L679-K679,1))</f>
        <v/>
      </c>
      <c r="F679" s="26" t="str">
        <f aca="false">IF(OR(E679="",M679=0),"",IF(ROUND_MODE="للأعلى",CEILING(ROUND((E679*24*$N$677),3),0.25),ROUND((E679*24*$N$677)*4,0)/4))</f>
        <v/>
      </c>
      <c r="G679" s="24"/>
      <c r="H679" s="27"/>
      <c r="K679" s="28" t="str">
        <f aca="false">IF(OR(M679=0,C679=""),"",IF(ISNUMBER(C679),MOD(C679,1),IFERROR(INDEX(القوائم!$B$1:$B$288,MATCH(TRIM(C679),القوائم!$A$1:$A$288,0)),IFERROR(MOD(TIMEVALUE(C679),1),""))))</f>
        <v/>
      </c>
      <c r="L679" s="28" t="str">
        <f aca="false">IF(OR(M679=0,D679=""),"",IF(ISNUMBER(D679),MOD(D679,1),IFERROR(INDEX(القوائم!$B$1:$B$288,MATCH(TRIM(D679),القوائم!$A$1:$A$288,0)),IFERROR(MOD(TIMEVALUE(D679),1),""))))</f>
        <v/>
      </c>
      <c r="M679" s="19" t="n">
        <f aca="false">$M$677</f>
        <v>1</v>
      </c>
      <c r="Q679" s="19" t="n">
        <f aca="false">IF(N(E689)&gt;0,1,0)</f>
        <v>0</v>
      </c>
      <c r="S679" s="0" t="n">
        <v>49</v>
      </c>
    </row>
    <row r="680" customFormat="false" ht="15" hidden="false" customHeight="false" outlineLevel="0" collapsed="false">
      <c r="A680" s="22" t="n">
        <f aca="false">IF(49&lt;=NW,WEEK_ONE+337,"")</f>
        <v>46355</v>
      </c>
      <c r="B680" s="23" t="str">
        <f aca="false">IF(A680="","",CHOOSE(WEEKDAY(A680,1),"الأحد","الاثنين","الثلاثاء","الأربعاء","الخميس","الجمعة","السبت"))</f>
        <v>الأحد</v>
      </c>
      <c r="C680" s="24"/>
      <c r="D680" s="24"/>
      <c r="E680" s="25" t="str">
        <f aca="false">IF(OR(M680=0,K680="",L680=""),"",MOD(L680-K680,1))</f>
        <v/>
      </c>
      <c r="F680" s="26" t="str">
        <f aca="false">IF(OR(E680="",M680=0),"",IF(ROUND_MODE="للأعلى",CEILING(ROUND((E680*24*$N$677),3),0.25),ROUND((E680*24*$N$677)*4,0)/4))</f>
        <v/>
      </c>
      <c r="G680" s="24"/>
      <c r="H680" s="27"/>
      <c r="K680" s="28" t="str">
        <f aca="false">IF(OR(M680=0,C680=""),"",IF(ISNUMBER(C680),MOD(C680,1),IFERROR(INDEX(القوائم!$B$1:$B$288,MATCH(TRIM(C680),القوائم!$A$1:$A$288,0)),IFERROR(MOD(TIMEVALUE(C680),1),""))))</f>
        <v/>
      </c>
      <c r="L680" s="28" t="str">
        <f aca="false">IF(OR(M680=0,D680=""),"",IF(ISNUMBER(D680),MOD(D680,1),IFERROR(INDEX(القوائم!$B$1:$B$288,MATCH(TRIM(D680),القوائم!$A$1:$A$288,0)),IFERROR(MOD(TIMEVALUE(D680),1),""))))</f>
        <v/>
      </c>
      <c r="M680" s="19" t="n">
        <f aca="false">$M$677</f>
        <v>1</v>
      </c>
      <c r="Q680" s="19" t="n">
        <f aca="false">IF(N(E689)&gt;0,1,0)</f>
        <v>0</v>
      </c>
      <c r="S680" s="0" t="n">
        <v>49</v>
      </c>
    </row>
    <row r="681" customFormat="false" ht="15" hidden="false" customHeight="false" outlineLevel="0" collapsed="false">
      <c r="A681" s="22" t="n">
        <f aca="false">IF(49&lt;=NW,WEEK_ONE+338,"")</f>
        <v>46356</v>
      </c>
      <c r="B681" s="23" t="str">
        <f aca="false">IF(A681="","",CHOOSE(WEEKDAY(A681,1),"الأحد","الاثنين","الثلاثاء","الأربعاء","الخميس","الجمعة","السبت"))</f>
        <v>الاثنين</v>
      </c>
      <c r="C681" s="24"/>
      <c r="D681" s="24"/>
      <c r="E681" s="25" t="str">
        <f aca="false">IF(OR(M681=0,K681="",L681=""),"",MOD(L681-K681,1))</f>
        <v/>
      </c>
      <c r="F681" s="26" t="str">
        <f aca="false">IF(OR(E681="",M681=0),"",IF(ROUND_MODE="للأعلى",CEILING(ROUND((E681*24*$N$677),3),0.25),ROUND((E681*24*$N$677)*4,0)/4))</f>
        <v/>
      </c>
      <c r="G681" s="24"/>
      <c r="H681" s="27"/>
      <c r="K681" s="28" t="str">
        <f aca="false">IF(OR(M681=0,C681=""),"",IF(ISNUMBER(C681),MOD(C681,1),IFERROR(INDEX(القوائم!$B$1:$B$288,MATCH(TRIM(C681),القوائم!$A$1:$A$288,0)),IFERROR(MOD(TIMEVALUE(C681),1),""))))</f>
        <v/>
      </c>
      <c r="L681" s="28" t="str">
        <f aca="false">IF(OR(M681=0,D681=""),"",IF(ISNUMBER(D681),MOD(D681,1),IFERROR(INDEX(القوائم!$B$1:$B$288,MATCH(TRIM(D681),القوائم!$A$1:$A$288,0)),IFERROR(MOD(TIMEVALUE(D681),1),""))))</f>
        <v/>
      </c>
      <c r="M681" s="19" t="n">
        <f aca="false">$M$677</f>
        <v>1</v>
      </c>
      <c r="Q681" s="19" t="n">
        <f aca="false">IF(N(E689)&gt;0,1,0)</f>
        <v>0</v>
      </c>
      <c r="S681" s="0" t="n">
        <v>49</v>
      </c>
    </row>
    <row r="682" customFormat="false" ht="15" hidden="false" customHeight="false" outlineLevel="0" collapsed="false">
      <c r="A682" s="22" t="n">
        <f aca="false">IF(49&lt;=NW,WEEK_ONE+339,"")</f>
        <v>46357</v>
      </c>
      <c r="B682" s="23" t="str">
        <f aca="false">IF(A682="","",CHOOSE(WEEKDAY(A682,1),"الأحد","الاثنين","الثلاثاء","الأربعاء","الخميس","الجمعة","السبت"))</f>
        <v>الثلاثاء</v>
      </c>
      <c r="C682" s="24"/>
      <c r="D682" s="24"/>
      <c r="E682" s="25" t="str">
        <f aca="false">IF(OR(M682=0,K682="",L682=""),"",MOD(L682-K682,1))</f>
        <v/>
      </c>
      <c r="F682" s="26" t="str">
        <f aca="false">IF(OR(E682="",M682=0),"",IF(ROUND_MODE="للأعلى",CEILING(ROUND((E682*24*$N$677),3),0.25),ROUND((E682*24*$N$677)*4,0)/4))</f>
        <v/>
      </c>
      <c r="G682" s="24"/>
      <c r="H682" s="27"/>
      <c r="K682" s="28" t="str">
        <f aca="false">IF(OR(M682=0,C682=""),"",IF(ISNUMBER(C682),MOD(C682,1),IFERROR(INDEX(القوائم!$B$1:$B$288,MATCH(TRIM(C682),القوائم!$A$1:$A$288,0)),IFERROR(MOD(TIMEVALUE(C682),1),""))))</f>
        <v/>
      </c>
      <c r="L682" s="28" t="str">
        <f aca="false">IF(OR(M682=0,D682=""),"",IF(ISNUMBER(D682),MOD(D682,1),IFERROR(INDEX(القوائم!$B$1:$B$288,MATCH(TRIM(D682),القوائم!$A$1:$A$288,0)),IFERROR(MOD(TIMEVALUE(D682),1),""))))</f>
        <v/>
      </c>
      <c r="M682" s="19" t="n">
        <f aca="false">$M$677</f>
        <v>1</v>
      </c>
      <c r="Q682" s="19" t="n">
        <f aca="false">IF(N(E689)&gt;0,1,0)</f>
        <v>0</v>
      </c>
      <c r="S682" s="0" t="n">
        <v>49</v>
      </c>
    </row>
    <row r="683" customFormat="false" ht="15" hidden="false" customHeight="false" outlineLevel="0" collapsed="false">
      <c r="A683" s="22" t="n">
        <f aca="false">IF(49&lt;=NW,WEEK_ONE+340,"")</f>
        <v>46358</v>
      </c>
      <c r="B683" s="23" t="str">
        <f aca="false">IF(A683="","",CHOOSE(WEEKDAY(A683,1),"الأحد","الاثنين","الثلاثاء","الأربعاء","الخميس","الجمعة","السبت"))</f>
        <v>الأربعاء</v>
      </c>
      <c r="C683" s="24"/>
      <c r="D683" s="24"/>
      <c r="E683" s="25" t="str">
        <f aca="false">IF(OR(M683=0,K683="",L683=""),"",MOD(L683-K683,1))</f>
        <v/>
      </c>
      <c r="F683" s="26" t="str">
        <f aca="false">IF(OR(E683="",M683=0),"",IF(ROUND_MODE="للأعلى",CEILING(ROUND((E683*24*$N$677),3),0.25),ROUND((E683*24*$N$677)*4,0)/4))</f>
        <v/>
      </c>
      <c r="G683" s="24"/>
      <c r="H683" s="27"/>
      <c r="K683" s="28" t="str">
        <f aca="false">IF(OR(M683=0,C683=""),"",IF(ISNUMBER(C683),MOD(C683,1),IFERROR(INDEX(القوائم!$B$1:$B$288,MATCH(TRIM(C683),القوائم!$A$1:$A$288,0)),IFERROR(MOD(TIMEVALUE(C683),1),""))))</f>
        <v/>
      </c>
      <c r="L683" s="28" t="str">
        <f aca="false">IF(OR(M683=0,D683=""),"",IF(ISNUMBER(D683),MOD(D683,1),IFERROR(INDEX(القوائم!$B$1:$B$288,MATCH(TRIM(D683),القوائم!$A$1:$A$288,0)),IFERROR(MOD(TIMEVALUE(D683),1),""))))</f>
        <v/>
      </c>
      <c r="M683" s="19" t="n">
        <f aca="false">$M$677</f>
        <v>1</v>
      </c>
      <c r="Q683" s="19" t="n">
        <f aca="false">IF(N(E689)&gt;0,1,0)</f>
        <v>0</v>
      </c>
      <c r="S683" s="0" t="n">
        <v>49</v>
      </c>
    </row>
    <row r="684" customFormat="false" ht="15" hidden="false" customHeight="false" outlineLevel="0" collapsed="false">
      <c r="A684" s="22" t="n">
        <f aca="false">IF(49&lt;=NW,WEEK_ONE+341,"")</f>
        <v>46359</v>
      </c>
      <c r="B684" s="23" t="str">
        <f aca="false">IF(A684="","",CHOOSE(WEEKDAY(A684,1),"الأحد","الاثنين","الثلاثاء","الأربعاء","الخميس","الجمعة","السبت"))</f>
        <v>الخميس</v>
      </c>
      <c r="C684" s="24"/>
      <c r="D684" s="24"/>
      <c r="E684" s="25" t="str">
        <f aca="false">IF(OR(M684=0,K684="",L684=""),"",MOD(L684-K684,1))</f>
        <v/>
      </c>
      <c r="F684" s="26" t="str">
        <f aca="false">IF(OR(E684="",M684=0),"",IF(ROUND_MODE="للأعلى",CEILING(ROUND((E684*24*$N$677),3),0.25),ROUND((E684*24*$N$677)*4,0)/4))</f>
        <v/>
      </c>
      <c r="G684" s="24"/>
      <c r="H684" s="27"/>
      <c r="K684" s="28" t="str">
        <f aca="false">IF(OR(M684=0,C684=""),"",IF(ISNUMBER(C684),MOD(C684,1),IFERROR(INDEX(القوائم!$B$1:$B$288,MATCH(TRIM(C684),القوائم!$A$1:$A$288,0)),IFERROR(MOD(TIMEVALUE(C684),1),""))))</f>
        <v/>
      </c>
      <c r="L684" s="28" t="str">
        <f aca="false">IF(OR(M684=0,D684=""),"",IF(ISNUMBER(D684),MOD(D684,1),IFERROR(INDEX(القوائم!$B$1:$B$288,MATCH(TRIM(D684),القوائم!$A$1:$A$288,0)),IFERROR(MOD(TIMEVALUE(D684),1),""))))</f>
        <v/>
      </c>
      <c r="M684" s="19" t="n">
        <f aca="false">$M$677</f>
        <v>1</v>
      </c>
      <c r="Q684" s="19" t="n">
        <f aca="false">IF(N(E689)&gt;0,1,0)</f>
        <v>0</v>
      </c>
      <c r="S684" s="0" t="n">
        <v>49</v>
      </c>
    </row>
    <row r="685" customFormat="false" ht="15" hidden="false" customHeight="false" outlineLevel="0" collapsed="false">
      <c r="A685" s="29" t="n">
        <f aca="false">IF(49&lt;=NW,WEEK_ONE+342,"")</f>
        <v>46360</v>
      </c>
      <c r="B685" s="30" t="str">
        <f aca="false">IF(A685="","",CHOOSE(WEEKDAY(A685,1),"الأحد","الاثنين","الثلاثاء","الأربعاء","الخميس","الجمعة","السبت"))</f>
        <v>الجمعة</v>
      </c>
      <c r="C685" s="24"/>
      <c r="D685" s="24"/>
      <c r="E685" s="25" t="str">
        <f aca="false">IF(OR(M685=0,K685="",L685=""),"",MOD(L685-K685,1))</f>
        <v/>
      </c>
      <c r="F685" s="26" t="str">
        <f aca="false">IF(OR(E685="",M685=0),"",IF(ROUND_MODE="للأعلى",CEILING(ROUND((E685*24*$N$677),3),0.25),ROUND((E685*24*$N$677)*4,0)/4))</f>
        <v/>
      </c>
      <c r="G685" s="24"/>
      <c r="H685" s="27"/>
      <c r="K685" s="28" t="str">
        <f aca="false">IF(OR(M685=0,C685=""),"",IF(ISNUMBER(C685),MOD(C685,1),IFERROR(INDEX(القوائم!$B$1:$B$288,MATCH(TRIM(C685),القوائم!$A$1:$A$288,0)),IFERROR(MOD(TIMEVALUE(C685),1),""))))</f>
        <v/>
      </c>
      <c r="L685" s="28" t="str">
        <f aca="false">IF(OR(M685=0,D685=""),"",IF(ISNUMBER(D685),MOD(D685,1),IFERROR(INDEX(القوائم!$B$1:$B$288,MATCH(TRIM(D685),القوائم!$A$1:$A$288,0)),IFERROR(MOD(TIMEVALUE(D685),1),""))))</f>
        <v/>
      </c>
      <c r="M685" s="19" t="n">
        <f aca="false">$M$677</f>
        <v>1</v>
      </c>
      <c r="Q685" s="19" t="n">
        <f aca="false">IF(N(E689)&gt;0,1,0)</f>
        <v>0</v>
      </c>
      <c r="S685" s="0" t="n">
        <v>49</v>
      </c>
    </row>
    <row r="686" customFormat="false" ht="15" hidden="false" customHeight="false" outlineLevel="0" collapsed="false">
      <c r="A686" s="31" t="str">
        <f aca="false">IF(M677=1,"ساعات تحميل الجبسمبورد بهالأسبوع ←","")</f>
        <v>ساعات تحميل الجبسمبورد بهالأسبوع ←</v>
      </c>
      <c r="B686" s="31"/>
      <c r="C686" s="31"/>
      <c r="D686" s="31"/>
      <c r="E686" s="32"/>
      <c r="F686" s="33" t="str">
        <f aca="false">IF(M677=1,"كل ساعة تحميل = "&amp;TEXT($P$677,"0.000")&amp;" دينار (منها "&amp;TEXT($N$677,"0.000")&amp;" محسوبة أصلاً بساعات اليوم)","")</f>
        <v>كل ساعة تحميل = 2.500 دينار (منها 1.000 محسوبة أصلاً بساعات اليوم)</v>
      </c>
      <c r="G686" s="33"/>
      <c r="H686" s="33"/>
      <c r="M686" s="19" t="n">
        <f aca="false">$M$677</f>
        <v>1</v>
      </c>
      <c r="Q686" s="19" t="n">
        <f aca="false">IF(N(E689)&gt;0,1,0)</f>
        <v>0</v>
      </c>
      <c r="S686" s="0" t="n">
        <v>49</v>
      </c>
    </row>
    <row r="687" customFormat="false" ht="15" hidden="false" customHeight="false" outlineLevel="0" collapsed="false">
      <c r="A687" s="31" t="str">
        <f aca="false">IF(M677=1,"إكرامية الأسبوع (دينار) ←","")</f>
        <v>إكرامية الأسبوع (دينار) ←</v>
      </c>
      <c r="B687" s="31"/>
      <c r="C687" s="31"/>
      <c r="D687" s="31"/>
      <c r="E687" s="34"/>
      <c r="F687" s="35"/>
      <c r="G687" s="35"/>
      <c r="H687" s="35"/>
      <c r="M687" s="19" t="n">
        <f aca="false">$M$677</f>
        <v>1</v>
      </c>
      <c r="Q687" s="19" t="n">
        <f aca="false">IF(N(E689)&gt;0,1,0)</f>
        <v>0</v>
      </c>
      <c r="S687" s="0" t="n">
        <v>49</v>
      </c>
    </row>
    <row r="688" customFormat="false" ht="36" hidden="false" customHeight="true" outlineLevel="0" collapsed="false">
      <c r="A688" s="36" t="str">
        <f aca="false">IF(M677=1,"المستحق النهائي للأسبوع","")</f>
        <v>المستحق النهائي للأسبوع</v>
      </c>
      <c r="B688" s="36"/>
      <c r="C688" s="36"/>
      <c r="D688" s="36"/>
      <c r="E688" s="36"/>
      <c r="F688" s="11" t="n">
        <f aca="false">IF(M677=1,ROUND(N($V$677)+N(E686)*($P$677-$N$677)+N(E687),3),"")</f>
        <v>0</v>
      </c>
      <c r="G688" s="35"/>
      <c r="H688" s="35"/>
      <c r="M688" s="19" t="n">
        <f aca="false">$M$677</f>
        <v>1</v>
      </c>
      <c r="Q688" s="19" t="n">
        <f aca="false">IF(N(E689)&gt;0,1,0)</f>
        <v>0</v>
      </c>
      <c r="S688" s="0" t="n">
        <v>49</v>
      </c>
      <c r="T688" s="0" t="n">
        <v>1</v>
      </c>
    </row>
    <row r="689" customFormat="false" ht="25.5" hidden="false" customHeight="true" outlineLevel="0" collapsed="false">
      <c r="A689" s="31" t="str">
        <f aca="false">IF(M677=1,"المدفوع (دينار) ←","")</f>
        <v>المدفوع (دينار) ←</v>
      </c>
      <c r="B689" s="31"/>
      <c r="C689" s="31"/>
      <c r="D689" s="31"/>
      <c r="E689" s="34"/>
      <c r="F689" s="38" t="str">
        <f aca="false">IF(M677=1,IF(N(E689)&gt;0,"✔ انقبض — الأسبوع مقفول","⏳ لسا ما انقبض"),"")</f>
        <v>⏳ لسا ما انقبض</v>
      </c>
      <c r="G689" s="38"/>
      <c r="H689" s="38"/>
      <c r="M689" s="19" t="n">
        <f aca="false">$M$677</f>
        <v>1</v>
      </c>
      <c r="Q689" s="19" t="n">
        <f aca="false">IF(N(E689)&gt;0,1,0)</f>
        <v>0</v>
      </c>
      <c r="S689" s="0" t="n">
        <v>49</v>
      </c>
    </row>
    <row r="690" customFormat="false" ht="9.75" hidden="false" customHeight="true" outlineLevel="0" collapsed="false">
      <c r="M690" s="19" t="n">
        <f aca="false">$M$677</f>
        <v>1</v>
      </c>
      <c r="Q690" s="19" t="n">
        <f aca="false">IF(N(E689)&gt;0,1,0)</f>
        <v>0</v>
      </c>
      <c r="S690" s="0" t="n">
        <v>49</v>
      </c>
      <c r="T690" s="0" t="n">
        <v>2</v>
      </c>
    </row>
    <row r="691" customFormat="false" ht="33.75" hidden="false" customHeight="true" outlineLevel="0" collapsed="false">
      <c r="A691" s="17" t="str">
        <f aca="false">IF(50&lt;=NW,TEXT(DAY(WEEK_ONE+343),"00")&amp;"/"&amp;TEXT(MONTH(WEEK_ONE+343),"00")&amp;"/"&amp;YEAR(WEEK_ONE+343)&amp;"  -  "&amp;TEXT(DAY(WEEK_ONE+349),"00")&amp;"/"&amp;TEXT(MONTH(WEEK_ONE+349),"00")&amp;"/"&amp;YEAR(WEEK_ONE+349)&amp;"   ·   الأسبوع 50"&amp;IF(50&lt;START_Z,"   (قبل أسبوع البداية — ما بينحسب)",""),"ما في أسبوع 50 هالسنة")</f>
        <v>05/12/2026  -  11/12/2026   ·   الأسبوع 50</v>
      </c>
      <c r="B691" s="17"/>
      <c r="C691" s="17"/>
      <c r="D691" s="17"/>
      <c r="E691" s="17"/>
      <c r="F691" s="17"/>
      <c r="G691" s="17"/>
      <c r="H691" s="17"/>
      <c r="L691" s="18" t="n">
        <f aca="false">IF(50&lt;=NW,WEEK_ONE+349,"")</f>
        <v>46367</v>
      </c>
      <c r="M691" s="19" t="n">
        <f aca="false">IF(AND(50&lt;=NW,50&gt;=START_Z),1,0)</f>
        <v>1</v>
      </c>
      <c r="N691" s="20" t="n">
        <f aca="false">IFERROR(INDEX(RT_AZZ,MATCH(L691,RT_K,1)),INDEX(RT_AZZ,1))</f>
        <v>1</v>
      </c>
      <c r="P691" s="20" t="n">
        <f aca="false">IFERROR(INDEX(RT_GYP,MATCH(L691,RT_K,1)),INDEX(RT_GYP,1))</f>
        <v>2.5</v>
      </c>
      <c r="Q691" s="19" t="n">
        <f aca="false">IF(N(E703)&gt;0,1,0)</f>
        <v>0</v>
      </c>
      <c r="R691" s="0" t="n">
        <v>50</v>
      </c>
      <c r="S691" s="0" t="n">
        <v>50</v>
      </c>
      <c r="U691" s="39" t="n">
        <f aca="false">IF(M691=1,SUM(E693:E699),0)</f>
        <v>0</v>
      </c>
      <c r="V691" s="19" t="n">
        <f aca="false">SUM(F693:F699)</f>
        <v>0</v>
      </c>
      <c r="W691" s="19" t="n">
        <f aca="false">IF(M691=1,SUMIFS(F693:F699,G693:G699,"نعم"),0)</f>
        <v>0</v>
      </c>
    </row>
    <row r="692" customFormat="false" ht="39.75" hidden="false" customHeight="true" outlineLevel="0" collapsed="false">
      <c r="A692" s="21" t="s">
        <v>18</v>
      </c>
      <c r="B692" s="21" t="s">
        <v>19</v>
      </c>
      <c r="C692" s="21" t="s">
        <v>20</v>
      </c>
      <c r="D692" s="21" t="s">
        <v>21</v>
      </c>
      <c r="E692" s="21" t="s">
        <v>22</v>
      </c>
      <c r="F692" s="21" t="s">
        <v>29</v>
      </c>
      <c r="G692" s="21" t="s">
        <v>30</v>
      </c>
      <c r="H692" s="21" t="s">
        <v>26</v>
      </c>
      <c r="M692" s="19" t="n">
        <f aca="false">$M$691</f>
        <v>1</v>
      </c>
      <c r="Q692" s="19" t="n">
        <f aca="false">IF(N(E703)&gt;0,1,0)</f>
        <v>0</v>
      </c>
      <c r="S692" s="0" t="n">
        <v>50</v>
      </c>
    </row>
    <row r="693" customFormat="false" ht="15" hidden="false" customHeight="false" outlineLevel="0" collapsed="false">
      <c r="A693" s="22" t="n">
        <f aca="false">IF(50&lt;=NW,WEEK_ONE+343,"")</f>
        <v>46361</v>
      </c>
      <c r="B693" s="23" t="str">
        <f aca="false">IF(A693="","",CHOOSE(WEEKDAY(A693,1),"الأحد","الاثنين","الثلاثاء","الأربعاء","الخميس","الجمعة","السبت"))</f>
        <v>السبت</v>
      </c>
      <c r="C693" s="24"/>
      <c r="D693" s="24"/>
      <c r="E693" s="25" t="str">
        <f aca="false">IF(OR(M693=0,K693="",L693=""),"",MOD(L693-K693,1))</f>
        <v/>
      </c>
      <c r="F693" s="26" t="str">
        <f aca="false">IF(OR(E693="",M693=0),"",IF(ROUND_MODE="للأعلى",CEILING(ROUND((E693*24*$N$691),3),0.25),ROUND((E693*24*$N$691)*4,0)/4))</f>
        <v/>
      </c>
      <c r="G693" s="24"/>
      <c r="H693" s="27"/>
      <c r="K693" s="28" t="str">
        <f aca="false">IF(OR(M693=0,C693=""),"",IF(ISNUMBER(C693),MOD(C693,1),IFERROR(INDEX(القوائم!$B$1:$B$288,MATCH(TRIM(C693),القوائم!$A$1:$A$288,0)),IFERROR(MOD(TIMEVALUE(C693),1),""))))</f>
        <v/>
      </c>
      <c r="L693" s="28" t="str">
        <f aca="false">IF(OR(M693=0,D693=""),"",IF(ISNUMBER(D693),MOD(D693,1),IFERROR(INDEX(القوائم!$B$1:$B$288,MATCH(TRIM(D693),القوائم!$A$1:$A$288,0)),IFERROR(MOD(TIMEVALUE(D693),1),""))))</f>
        <v/>
      </c>
      <c r="M693" s="19" t="n">
        <f aca="false">$M$691</f>
        <v>1</v>
      </c>
      <c r="Q693" s="19" t="n">
        <f aca="false">IF(N(E703)&gt;0,1,0)</f>
        <v>0</v>
      </c>
      <c r="S693" s="0" t="n">
        <v>50</v>
      </c>
    </row>
    <row r="694" customFormat="false" ht="15" hidden="false" customHeight="false" outlineLevel="0" collapsed="false">
      <c r="A694" s="22" t="n">
        <f aca="false">IF(50&lt;=NW,WEEK_ONE+344,"")</f>
        <v>46362</v>
      </c>
      <c r="B694" s="23" t="str">
        <f aca="false">IF(A694="","",CHOOSE(WEEKDAY(A694,1),"الأحد","الاثنين","الثلاثاء","الأربعاء","الخميس","الجمعة","السبت"))</f>
        <v>الأحد</v>
      </c>
      <c r="C694" s="24"/>
      <c r="D694" s="24"/>
      <c r="E694" s="25" t="str">
        <f aca="false">IF(OR(M694=0,K694="",L694=""),"",MOD(L694-K694,1))</f>
        <v/>
      </c>
      <c r="F694" s="26" t="str">
        <f aca="false">IF(OR(E694="",M694=0),"",IF(ROUND_MODE="للأعلى",CEILING(ROUND((E694*24*$N$691),3),0.25),ROUND((E694*24*$N$691)*4,0)/4))</f>
        <v/>
      </c>
      <c r="G694" s="24"/>
      <c r="H694" s="27"/>
      <c r="K694" s="28" t="str">
        <f aca="false">IF(OR(M694=0,C694=""),"",IF(ISNUMBER(C694),MOD(C694,1),IFERROR(INDEX(القوائم!$B$1:$B$288,MATCH(TRIM(C694),القوائم!$A$1:$A$288,0)),IFERROR(MOD(TIMEVALUE(C694),1),""))))</f>
        <v/>
      </c>
      <c r="L694" s="28" t="str">
        <f aca="false">IF(OR(M694=0,D694=""),"",IF(ISNUMBER(D694),MOD(D694,1),IFERROR(INDEX(القوائم!$B$1:$B$288,MATCH(TRIM(D694),القوائم!$A$1:$A$288,0)),IFERROR(MOD(TIMEVALUE(D694),1),""))))</f>
        <v/>
      </c>
      <c r="M694" s="19" t="n">
        <f aca="false">$M$691</f>
        <v>1</v>
      </c>
      <c r="Q694" s="19" t="n">
        <f aca="false">IF(N(E703)&gt;0,1,0)</f>
        <v>0</v>
      </c>
      <c r="S694" s="0" t="n">
        <v>50</v>
      </c>
    </row>
    <row r="695" customFormat="false" ht="15" hidden="false" customHeight="false" outlineLevel="0" collapsed="false">
      <c r="A695" s="22" t="n">
        <f aca="false">IF(50&lt;=NW,WEEK_ONE+345,"")</f>
        <v>46363</v>
      </c>
      <c r="B695" s="23" t="str">
        <f aca="false">IF(A695="","",CHOOSE(WEEKDAY(A695,1),"الأحد","الاثنين","الثلاثاء","الأربعاء","الخميس","الجمعة","السبت"))</f>
        <v>الاثنين</v>
      </c>
      <c r="C695" s="24"/>
      <c r="D695" s="24"/>
      <c r="E695" s="25" t="str">
        <f aca="false">IF(OR(M695=0,K695="",L695=""),"",MOD(L695-K695,1))</f>
        <v/>
      </c>
      <c r="F695" s="26" t="str">
        <f aca="false">IF(OR(E695="",M695=0),"",IF(ROUND_MODE="للأعلى",CEILING(ROUND((E695*24*$N$691),3),0.25),ROUND((E695*24*$N$691)*4,0)/4))</f>
        <v/>
      </c>
      <c r="G695" s="24"/>
      <c r="H695" s="27"/>
      <c r="K695" s="28" t="str">
        <f aca="false">IF(OR(M695=0,C695=""),"",IF(ISNUMBER(C695),MOD(C695,1),IFERROR(INDEX(القوائم!$B$1:$B$288,MATCH(TRIM(C695),القوائم!$A$1:$A$288,0)),IFERROR(MOD(TIMEVALUE(C695),1),""))))</f>
        <v/>
      </c>
      <c r="L695" s="28" t="str">
        <f aca="false">IF(OR(M695=0,D695=""),"",IF(ISNUMBER(D695),MOD(D695,1),IFERROR(INDEX(القوائم!$B$1:$B$288,MATCH(TRIM(D695),القوائم!$A$1:$A$288,0)),IFERROR(MOD(TIMEVALUE(D695),1),""))))</f>
        <v/>
      </c>
      <c r="M695" s="19" t="n">
        <f aca="false">$M$691</f>
        <v>1</v>
      </c>
      <c r="Q695" s="19" t="n">
        <f aca="false">IF(N(E703)&gt;0,1,0)</f>
        <v>0</v>
      </c>
      <c r="S695" s="0" t="n">
        <v>50</v>
      </c>
    </row>
    <row r="696" customFormat="false" ht="15" hidden="false" customHeight="false" outlineLevel="0" collapsed="false">
      <c r="A696" s="22" t="n">
        <f aca="false">IF(50&lt;=NW,WEEK_ONE+346,"")</f>
        <v>46364</v>
      </c>
      <c r="B696" s="23" t="str">
        <f aca="false">IF(A696="","",CHOOSE(WEEKDAY(A696,1),"الأحد","الاثنين","الثلاثاء","الأربعاء","الخميس","الجمعة","السبت"))</f>
        <v>الثلاثاء</v>
      </c>
      <c r="C696" s="24"/>
      <c r="D696" s="24"/>
      <c r="E696" s="25" t="str">
        <f aca="false">IF(OR(M696=0,K696="",L696=""),"",MOD(L696-K696,1))</f>
        <v/>
      </c>
      <c r="F696" s="26" t="str">
        <f aca="false">IF(OR(E696="",M696=0),"",IF(ROUND_MODE="للأعلى",CEILING(ROUND((E696*24*$N$691),3),0.25),ROUND((E696*24*$N$691)*4,0)/4))</f>
        <v/>
      </c>
      <c r="G696" s="24"/>
      <c r="H696" s="27"/>
      <c r="K696" s="28" t="str">
        <f aca="false">IF(OR(M696=0,C696=""),"",IF(ISNUMBER(C696),MOD(C696,1),IFERROR(INDEX(القوائم!$B$1:$B$288,MATCH(TRIM(C696),القوائم!$A$1:$A$288,0)),IFERROR(MOD(TIMEVALUE(C696),1),""))))</f>
        <v/>
      </c>
      <c r="L696" s="28" t="str">
        <f aca="false">IF(OR(M696=0,D696=""),"",IF(ISNUMBER(D696),MOD(D696,1),IFERROR(INDEX(القوائم!$B$1:$B$288,MATCH(TRIM(D696),القوائم!$A$1:$A$288,0)),IFERROR(MOD(TIMEVALUE(D696),1),""))))</f>
        <v/>
      </c>
      <c r="M696" s="19" t="n">
        <f aca="false">$M$691</f>
        <v>1</v>
      </c>
      <c r="Q696" s="19" t="n">
        <f aca="false">IF(N(E703)&gt;0,1,0)</f>
        <v>0</v>
      </c>
      <c r="S696" s="0" t="n">
        <v>50</v>
      </c>
    </row>
    <row r="697" customFormat="false" ht="15" hidden="false" customHeight="false" outlineLevel="0" collapsed="false">
      <c r="A697" s="22" t="n">
        <f aca="false">IF(50&lt;=NW,WEEK_ONE+347,"")</f>
        <v>46365</v>
      </c>
      <c r="B697" s="23" t="str">
        <f aca="false">IF(A697="","",CHOOSE(WEEKDAY(A697,1),"الأحد","الاثنين","الثلاثاء","الأربعاء","الخميس","الجمعة","السبت"))</f>
        <v>الأربعاء</v>
      </c>
      <c r="C697" s="24"/>
      <c r="D697" s="24"/>
      <c r="E697" s="25" t="str">
        <f aca="false">IF(OR(M697=0,K697="",L697=""),"",MOD(L697-K697,1))</f>
        <v/>
      </c>
      <c r="F697" s="26" t="str">
        <f aca="false">IF(OR(E697="",M697=0),"",IF(ROUND_MODE="للأعلى",CEILING(ROUND((E697*24*$N$691),3),0.25),ROUND((E697*24*$N$691)*4,0)/4))</f>
        <v/>
      </c>
      <c r="G697" s="24"/>
      <c r="H697" s="27"/>
      <c r="K697" s="28" t="str">
        <f aca="false">IF(OR(M697=0,C697=""),"",IF(ISNUMBER(C697),MOD(C697,1),IFERROR(INDEX(القوائم!$B$1:$B$288,MATCH(TRIM(C697),القوائم!$A$1:$A$288,0)),IFERROR(MOD(TIMEVALUE(C697),1),""))))</f>
        <v/>
      </c>
      <c r="L697" s="28" t="str">
        <f aca="false">IF(OR(M697=0,D697=""),"",IF(ISNUMBER(D697),MOD(D697,1),IFERROR(INDEX(القوائم!$B$1:$B$288,MATCH(TRIM(D697),القوائم!$A$1:$A$288,0)),IFERROR(MOD(TIMEVALUE(D697),1),""))))</f>
        <v/>
      </c>
      <c r="M697" s="19" t="n">
        <f aca="false">$M$691</f>
        <v>1</v>
      </c>
      <c r="Q697" s="19" t="n">
        <f aca="false">IF(N(E703)&gt;0,1,0)</f>
        <v>0</v>
      </c>
      <c r="S697" s="0" t="n">
        <v>50</v>
      </c>
    </row>
    <row r="698" customFormat="false" ht="15" hidden="false" customHeight="false" outlineLevel="0" collapsed="false">
      <c r="A698" s="22" t="n">
        <f aca="false">IF(50&lt;=NW,WEEK_ONE+348,"")</f>
        <v>46366</v>
      </c>
      <c r="B698" s="23" t="str">
        <f aca="false">IF(A698="","",CHOOSE(WEEKDAY(A698,1),"الأحد","الاثنين","الثلاثاء","الأربعاء","الخميس","الجمعة","السبت"))</f>
        <v>الخميس</v>
      </c>
      <c r="C698" s="24"/>
      <c r="D698" s="24"/>
      <c r="E698" s="25" t="str">
        <f aca="false">IF(OR(M698=0,K698="",L698=""),"",MOD(L698-K698,1))</f>
        <v/>
      </c>
      <c r="F698" s="26" t="str">
        <f aca="false">IF(OR(E698="",M698=0),"",IF(ROUND_MODE="للأعلى",CEILING(ROUND((E698*24*$N$691),3),0.25),ROUND((E698*24*$N$691)*4,0)/4))</f>
        <v/>
      </c>
      <c r="G698" s="24"/>
      <c r="H698" s="27"/>
      <c r="K698" s="28" t="str">
        <f aca="false">IF(OR(M698=0,C698=""),"",IF(ISNUMBER(C698),MOD(C698,1),IFERROR(INDEX(القوائم!$B$1:$B$288,MATCH(TRIM(C698),القوائم!$A$1:$A$288,0)),IFERROR(MOD(TIMEVALUE(C698),1),""))))</f>
        <v/>
      </c>
      <c r="L698" s="28" t="str">
        <f aca="false">IF(OR(M698=0,D698=""),"",IF(ISNUMBER(D698),MOD(D698,1),IFERROR(INDEX(القوائم!$B$1:$B$288,MATCH(TRIM(D698),القوائم!$A$1:$A$288,0)),IFERROR(MOD(TIMEVALUE(D698),1),""))))</f>
        <v/>
      </c>
      <c r="M698" s="19" t="n">
        <f aca="false">$M$691</f>
        <v>1</v>
      </c>
      <c r="Q698" s="19" t="n">
        <f aca="false">IF(N(E703)&gt;0,1,0)</f>
        <v>0</v>
      </c>
      <c r="S698" s="0" t="n">
        <v>50</v>
      </c>
    </row>
    <row r="699" customFormat="false" ht="15" hidden="false" customHeight="false" outlineLevel="0" collapsed="false">
      <c r="A699" s="29" t="n">
        <f aca="false">IF(50&lt;=NW,WEEK_ONE+349,"")</f>
        <v>46367</v>
      </c>
      <c r="B699" s="30" t="str">
        <f aca="false">IF(A699="","",CHOOSE(WEEKDAY(A699,1),"الأحد","الاثنين","الثلاثاء","الأربعاء","الخميس","الجمعة","السبت"))</f>
        <v>الجمعة</v>
      </c>
      <c r="C699" s="24"/>
      <c r="D699" s="24"/>
      <c r="E699" s="25" t="str">
        <f aca="false">IF(OR(M699=0,K699="",L699=""),"",MOD(L699-K699,1))</f>
        <v/>
      </c>
      <c r="F699" s="26" t="str">
        <f aca="false">IF(OR(E699="",M699=0),"",IF(ROUND_MODE="للأعلى",CEILING(ROUND((E699*24*$N$691),3),0.25),ROUND((E699*24*$N$691)*4,0)/4))</f>
        <v/>
      </c>
      <c r="G699" s="24"/>
      <c r="H699" s="27"/>
      <c r="K699" s="28" t="str">
        <f aca="false">IF(OR(M699=0,C699=""),"",IF(ISNUMBER(C699),MOD(C699,1),IFERROR(INDEX(القوائم!$B$1:$B$288,MATCH(TRIM(C699),القوائم!$A$1:$A$288,0)),IFERROR(MOD(TIMEVALUE(C699),1),""))))</f>
        <v/>
      </c>
      <c r="L699" s="28" t="str">
        <f aca="false">IF(OR(M699=0,D699=""),"",IF(ISNUMBER(D699),MOD(D699,1),IFERROR(INDEX(القوائم!$B$1:$B$288,MATCH(TRIM(D699),القوائم!$A$1:$A$288,0)),IFERROR(MOD(TIMEVALUE(D699),1),""))))</f>
        <v/>
      </c>
      <c r="M699" s="19" t="n">
        <f aca="false">$M$691</f>
        <v>1</v>
      </c>
      <c r="Q699" s="19" t="n">
        <f aca="false">IF(N(E703)&gt;0,1,0)</f>
        <v>0</v>
      </c>
      <c r="S699" s="0" t="n">
        <v>50</v>
      </c>
    </row>
    <row r="700" customFormat="false" ht="15" hidden="false" customHeight="false" outlineLevel="0" collapsed="false">
      <c r="A700" s="31" t="str">
        <f aca="false">IF(M691=1,"ساعات تحميل الجبسمبورد بهالأسبوع ←","")</f>
        <v>ساعات تحميل الجبسمبورد بهالأسبوع ←</v>
      </c>
      <c r="B700" s="31"/>
      <c r="C700" s="31"/>
      <c r="D700" s="31"/>
      <c r="E700" s="32"/>
      <c r="F700" s="33" t="str">
        <f aca="false">IF(M691=1,"كل ساعة تحميل = "&amp;TEXT($P$691,"0.000")&amp;" دينار (منها "&amp;TEXT($N$691,"0.000")&amp;" محسوبة أصلاً بساعات اليوم)","")</f>
        <v>كل ساعة تحميل = 2.500 دينار (منها 1.000 محسوبة أصلاً بساعات اليوم)</v>
      </c>
      <c r="G700" s="33"/>
      <c r="H700" s="33"/>
      <c r="M700" s="19" t="n">
        <f aca="false">$M$691</f>
        <v>1</v>
      </c>
      <c r="Q700" s="19" t="n">
        <f aca="false">IF(N(E703)&gt;0,1,0)</f>
        <v>0</v>
      </c>
      <c r="S700" s="0" t="n">
        <v>50</v>
      </c>
    </row>
    <row r="701" customFormat="false" ht="15" hidden="false" customHeight="false" outlineLevel="0" collapsed="false">
      <c r="A701" s="31" t="str">
        <f aca="false">IF(M691=1,"إكرامية الأسبوع (دينار) ←","")</f>
        <v>إكرامية الأسبوع (دينار) ←</v>
      </c>
      <c r="B701" s="31"/>
      <c r="C701" s="31"/>
      <c r="D701" s="31"/>
      <c r="E701" s="34"/>
      <c r="F701" s="35"/>
      <c r="G701" s="35"/>
      <c r="H701" s="35"/>
      <c r="M701" s="19" t="n">
        <f aca="false">$M$691</f>
        <v>1</v>
      </c>
      <c r="Q701" s="19" t="n">
        <f aca="false">IF(N(E703)&gt;0,1,0)</f>
        <v>0</v>
      </c>
      <c r="S701" s="0" t="n">
        <v>50</v>
      </c>
    </row>
    <row r="702" customFormat="false" ht="36" hidden="false" customHeight="true" outlineLevel="0" collapsed="false">
      <c r="A702" s="36" t="str">
        <f aca="false">IF(M691=1,"المستحق النهائي للأسبوع","")</f>
        <v>المستحق النهائي للأسبوع</v>
      </c>
      <c r="B702" s="36"/>
      <c r="C702" s="36"/>
      <c r="D702" s="36"/>
      <c r="E702" s="36"/>
      <c r="F702" s="11" t="n">
        <f aca="false">IF(M691=1,ROUND(N($V$691)+N(E700)*($P$691-$N$691)+N(E701),3),"")</f>
        <v>0</v>
      </c>
      <c r="G702" s="35"/>
      <c r="H702" s="35"/>
      <c r="M702" s="19" t="n">
        <f aca="false">$M$691</f>
        <v>1</v>
      </c>
      <c r="Q702" s="19" t="n">
        <f aca="false">IF(N(E703)&gt;0,1,0)</f>
        <v>0</v>
      </c>
      <c r="S702" s="0" t="n">
        <v>50</v>
      </c>
      <c r="T702" s="0" t="n">
        <v>1</v>
      </c>
    </row>
    <row r="703" customFormat="false" ht="25.5" hidden="false" customHeight="true" outlineLevel="0" collapsed="false">
      <c r="A703" s="31" t="str">
        <f aca="false">IF(M691=1,"المدفوع (دينار) ←","")</f>
        <v>المدفوع (دينار) ←</v>
      </c>
      <c r="B703" s="31"/>
      <c r="C703" s="31"/>
      <c r="D703" s="31"/>
      <c r="E703" s="34"/>
      <c r="F703" s="38" t="str">
        <f aca="false">IF(M691=1,IF(N(E703)&gt;0,"✔ انقبض — الأسبوع مقفول","⏳ لسا ما انقبض"),"")</f>
        <v>⏳ لسا ما انقبض</v>
      </c>
      <c r="G703" s="38"/>
      <c r="H703" s="38"/>
      <c r="M703" s="19" t="n">
        <f aca="false">$M$691</f>
        <v>1</v>
      </c>
      <c r="Q703" s="19" t="n">
        <f aca="false">IF(N(E703)&gt;0,1,0)</f>
        <v>0</v>
      </c>
      <c r="S703" s="0" t="n">
        <v>50</v>
      </c>
    </row>
    <row r="704" customFormat="false" ht="9.75" hidden="false" customHeight="true" outlineLevel="0" collapsed="false">
      <c r="M704" s="19" t="n">
        <f aca="false">$M$691</f>
        <v>1</v>
      </c>
      <c r="Q704" s="19" t="n">
        <f aca="false">IF(N(E703)&gt;0,1,0)</f>
        <v>0</v>
      </c>
      <c r="S704" s="0" t="n">
        <v>50</v>
      </c>
      <c r="T704" s="0" t="n">
        <v>2</v>
      </c>
    </row>
    <row r="705" customFormat="false" ht="33.75" hidden="false" customHeight="true" outlineLevel="0" collapsed="false">
      <c r="A705" s="17" t="str">
        <f aca="false">IF(51&lt;=NW,TEXT(DAY(WEEK_ONE+350),"00")&amp;"/"&amp;TEXT(MONTH(WEEK_ONE+350),"00")&amp;"/"&amp;YEAR(WEEK_ONE+350)&amp;"  -  "&amp;TEXT(DAY(WEEK_ONE+356),"00")&amp;"/"&amp;TEXT(MONTH(WEEK_ONE+356),"00")&amp;"/"&amp;YEAR(WEEK_ONE+356)&amp;"   ·   الأسبوع 51"&amp;IF(51&lt;START_Z,"   (قبل أسبوع البداية — ما بينحسب)",""),"ما في أسبوع 51 هالسنة")</f>
        <v>12/12/2026  -  18/12/2026   ·   الأسبوع 51</v>
      </c>
      <c r="B705" s="17"/>
      <c r="C705" s="17"/>
      <c r="D705" s="17"/>
      <c r="E705" s="17"/>
      <c r="F705" s="17"/>
      <c r="G705" s="17"/>
      <c r="H705" s="17"/>
      <c r="L705" s="18" t="n">
        <f aca="false">IF(51&lt;=NW,WEEK_ONE+356,"")</f>
        <v>46374</v>
      </c>
      <c r="M705" s="19" t="n">
        <f aca="false">IF(AND(51&lt;=NW,51&gt;=START_Z),1,0)</f>
        <v>1</v>
      </c>
      <c r="N705" s="20" t="n">
        <f aca="false">IFERROR(INDEX(RT_AZZ,MATCH(L705,RT_K,1)),INDEX(RT_AZZ,1))</f>
        <v>1</v>
      </c>
      <c r="P705" s="20" t="n">
        <f aca="false">IFERROR(INDEX(RT_GYP,MATCH(L705,RT_K,1)),INDEX(RT_GYP,1))</f>
        <v>2.5</v>
      </c>
      <c r="Q705" s="19" t="n">
        <f aca="false">IF(N(E717)&gt;0,1,0)</f>
        <v>0</v>
      </c>
      <c r="R705" s="0" t="n">
        <v>51</v>
      </c>
      <c r="S705" s="0" t="n">
        <v>51</v>
      </c>
      <c r="U705" s="39" t="n">
        <f aca="false">IF(M705=1,SUM(E707:E713),0)</f>
        <v>0</v>
      </c>
      <c r="V705" s="19" t="n">
        <f aca="false">SUM(F707:F713)</f>
        <v>0</v>
      </c>
      <c r="W705" s="19" t="n">
        <f aca="false">IF(M705=1,SUMIFS(F707:F713,G707:G713,"نعم"),0)</f>
        <v>0</v>
      </c>
    </row>
    <row r="706" customFormat="false" ht="39.75" hidden="false" customHeight="true" outlineLevel="0" collapsed="false">
      <c r="A706" s="21" t="s">
        <v>18</v>
      </c>
      <c r="B706" s="21" t="s">
        <v>19</v>
      </c>
      <c r="C706" s="21" t="s">
        <v>20</v>
      </c>
      <c r="D706" s="21" t="s">
        <v>21</v>
      </c>
      <c r="E706" s="21" t="s">
        <v>22</v>
      </c>
      <c r="F706" s="21" t="s">
        <v>29</v>
      </c>
      <c r="G706" s="21" t="s">
        <v>30</v>
      </c>
      <c r="H706" s="21" t="s">
        <v>26</v>
      </c>
      <c r="M706" s="19" t="n">
        <f aca="false">$M$705</f>
        <v>1</v>
      </c>
      <c r="Q706" s="19" t="n">
        <f aca="false">IF(N(E717)&gt;0,1,0)</f>
        <v>0</v>
      </c>
      <c r="S706" s="0" t="n">
        <v>51</v>
      </c>
    </row>
    <row r="707" customFormat="false" ht="15" hidden="false" customHeight="false" outlineLevel="0" collapsed="false">
      <c r="A707" s="22" t="n">
        <f aca="false">IF(51&lt;=NW,WEEK_ONE+350,"")</f>
        <v>46368</v>
      </c>
      <c r="B707" s="23" t="str">
        <f aca="false">IF(A707="","",CHOOSE(WEEKDAY(A707,1),"الأحد","الاثنين","الثلاثاء","الأربعاء","الخميس","الجمعة","السبت"))</f>
        <v>السبت</v>
      </c>
      <c r="C707" s="24"/>
      <c r="D707" s="24"/>
      <c r="E707" s="25" t="str">
        <f aca="false">IF(OR(M707=0,K707="",L707=""),"",MOD(L707-K707,1))</f>
        <v/>
      </c>
      <c r="F707" s="26" t="str">
        <f aca="false">IF(OR(E707="",M707=0),"",IF(ROUND_MODE="للأعلى",CEILING(ROUND((E707*24*$N$705),3),0.25),ROUND((E707*24*$N$705)*4,0)/4))</f>
        <v/>
      </c>
      <c r="G707" s="24"/>
      <c r="H707" s="27"/>
      <c r="K707" s="28" t="str">
        <f aca="false">IF(OR(M707=0,C707=""),"",IF(ISNUMBER(C707),MOD(C707,1),IFERROR(INDEX(القوائم!$B$1:$B$288,MATCH(TRIM(C707),القوائم!$A$1:$A$288,0)),IFERROR(MOD(TIMEVALUE(C707),1),""))))</f>
        <v/>
      </c>
      <c r="L707" s="28" t="str">
        <f aca="false">IF(OR(M707=0,D707=""),"",IF(ISNUMBER(D707),MOD(D707,1),IFERROR(INDEX(القوائم!$B$1:$B$288,MATCH(TRIM(D707),القوائم!$A$1:$A$288,0)),IFERROR(MOD(TIMEVALUE(D707),1),""))))</f>
        <v/>
      </c>
      <c r="M707" s="19" t="n">
        <f aca="false">$M$705</f>
        <v>1</v>
      </c>
      <c r="Q707" s="19" t="n">
        <f aca="false">IF(N(E717)&gt;0,1,0)</f>
        <v>0</v>
      </c>
      <c r="S707" s="0" t="n">
        <v>51</v>
      </c>
    </row>
    <row r="708" customFormat="false" ht="15" hidden="false" customHeight="false" outlineLevel="0" collapsed="false">
      <c r="A708" s="22" t="n">
        <f aca="false">IF(51&lt;=NW,WEEK_ONE+351,"")</f>
        <v>46369</v>
      </c>
      <c r="B708" s="23" t="str">
        <f aca="false">IF(A708="","",CHOOSE(WEEKDAY(A708,1),"الأحد","الاثنين","الثلاثاء","الأربعاء","الخميس","الجمعة","السبت"))</f>
        <v>الأحد</v>
      </c>
      <c r="C708" s="24"/>
      <c r="D708" s="24"/>
      <c r="E708" s="25" t="str">
        <f aca="false">IF(OR(M708=0,K708="",L708=""),"",MOD(L708-K708,1))</f>
        <v/>
      </c>
      <c r="F708" s="26" t="str">
        <f aca="false">IF(OR(E708="",M708=0),"",IF(ROUND_MODE="للأعلى",CEILING(ROUND((E708*24*$N$705),3),0.25),ROUND((E708*24*$N$705)*4,0)/4))</f>
        <v/>
      </c>
      <c r="G708" s="24"/>
      <c r="H708" s="27"/>
      <c r="K708" s="28" t="str">
        <f aca="false">IF(OR(M708=0,C708=""),"",IF(ISNUMBER(C708),MOD(C708,1),IFERROR(INDEX(القوائم!$B$1:$B$288,MATCH(TRIM(C708),القوائم!$A$1:$A$288,0)),IFERROR(MOD(TIMEVALUE(C708),1),""))))</f>
        <v/>
      </c>
      <c r="L708" s="28" t="str">
        <f aca="false">IF(OR(M708=0,D708=""),"",IF(ISNUMBER(D708),MOD(D708,1),IFERROR(INDEX(القوائم!$B$1:$B$288,MATCH(TRIM(D708),القوائم!$A$1:$A$288,0)),IFERROR(MOD(TIMEVALUE(D708),1),""))))</f>
        <v/>
      </c>
      <c r="M708" s="19" t="n">
        <f aca="false">$M$705</f>
        <v>1</v>
      </c>
      <c r="Q708" s="19" t="n">
        <f aca="false">IF(N(E717)&gt;0,1,0)</f>
        <v>0</v>
      </c>
      <c r="S708" s="0" t="n">
        <v>51</v>
      </c>
    </row>
    <row r="709" customFormat="false" ht="15" hidden="false" customHeight="false" outlineLevel="0" collapsed="false">
      <c r="A709" s="22" t="n">
        <f aca="false">IF(51&lt;=NW,WEEK_ONE+352,"")</f>
        <v>46370</v>
      </c>
      <c r="B709" s="23" t="str">
        <f aca="false">IF(A709="","",CHOOSE(WEEKDAY(A709,1),"الأحد","الاثنين","الثلاثاء","الأربعاء","الخميس","الجمعة","السبت"))</f>
        <v>الاثنين</v>
      </c>
      <c r="C709" s="24"/>
      <c r="D709" s="24"/>
      <c r="E709" s="25" t="str">
        <f aca="false">IF(OR(M709=0,K709="",L709=""),"",MOD(L709-K709,1))</f>
        <v/>
      </c>
      <c r="F709" s="26" t="str">
        <f aca="false">IF(OR(E709="",M709=0),"",IF(ROUND_MODE="للأعلى",CEILING(ROUND((E709*24*$N$705),3),0.25),ROUND((E709*24*$N$705)*4,0)/4))</f>
        <v/>
      </c>
      <c r="G709" s="24"/>
      <c r="H709" s="27"/>
      <c r="K709" s="28" t="str">
        <f aca="false">IF(OR(M709=0,C709=""),"",IF(ISNUMBER(C709),MOD(C709,1),IFERROR(INDEX(القوائم!$B$1:$B$288,MATCH(TRIM(C709),القوائم!$A$1:$A$288,0)),IFERROR(MOD(TIMEVALUE(C709),1),""))))</f>
        <v/>
      </c>
      <c r="L709" s="28" t="str">
        <f aca="false">IF(OR(M709=0,D709=""),"",IF(ISNUMBER(D709),MOD(D709,1),IFERROR(INDEX(القوائم!$B$1:$B$288,MATCH(TRIM(D709),القوائم!$A$1:$A$288,0)),IFERROR(MOD(TIMEVALUE(D709),1),""))))</f>
        <v/>
      </c>
      <c r="M709" s="19" t="n">
        <f aca="false">$M$705</f>
        <v>1</v>
      </c>
      <c r="Q709" s="19" t="n">
        <f aca="false">IF(N(E717)&gt;0,1,0)</f>
        <v>0</v>
      </c>
      <c r="S709" s="0" t="n">
        <v>51</v>
      </c>
    </row>
    <row r="710" customFormat="false" ht="15" hidden="false" customHeight="false" outlineLevel="0" collapsed="false">
      <c r="A710" s="22" t="n">
        <f aca="false">IF(51&lt;=NW,WEEK_ONE+353,"")</f>
        <v>46371</v>
      </c>
      <c r="B710" s="23" t="str">
        <f aca="false">IF(A710="","",CHOOSE(WEEKDAY(A710,1),"الأحد","الاثنين","الثلاثاء","الأربعاء","الخميس","الجمعة","السبت"))</f>
        <v>الثلاثاء</v>
      </c>
      <c r="C710" s="24"/>
      <c r="D710" s="24"/>
      <c r="E710" s="25" t="str">
        <f aca="false">IF(OR(M710=0,K710="",L710=""),"",MOD(L710-K710,1))</f>
        <v/>
      </c>
      <c r="F710" s="26" t="str">
        <f aca="false">IF(OR(E710="",M710=0),"",IF(ROUND_MODE="للأعلى",CEILING(ROUND((E710*24*$N$705),3),0.25),ROUND((E710*24*$N$705)*4,0)/4))</f>
        <v/>
      </c>
      <c r="G710" s="24"/>
      <c r="H710" s="27"/>
      <c r="K710" s="28" t="str">
        <f aca="false">IF(OR(M710=0,C710=""),"",IF(ISNUMBER(C710),MOD(C710,1),IFERROR(INDEX(القوائم!$B$1:$B$288,MATCH(TRIM(C710),القوائم!$A$1:$A$288,0)),IFERROR(MOD(TIMEVALUE(C710),1),""))))</f>
        <v/>
      </c>
      <c r="L710" s="28" t="str">
        <f aca="false">IF(OR(M710=0,D710=""),"",IF(ISNUMBER(D710),MOD(D710,1),IFERROR(INDEX(القوائم!$B$1:$B$288,MATCH(TRIM(D710),القوائم!$A$1:$A$288,0)),IFERROR(MOD(TIMEVALUE(D710),1),""))))</f>
        <v/>
      </c>
      <c r="M710" s="19" t="n">
        <f aca="false">$M$705</f>
        <v>1</v>
      </c>
      <c r="Q710" s="19" t="n">
        <f aca="false">IF(N(E717)&gt;0,1,0)</f>
        <v>0</v>
      </c>
      <c r="S710" s="0" t="n">
        <v>51</v>
      </c>
    </row>
    <row r="711" customFormat="false" ht="15" hidden="false" customHeight="false" outlineLevel="0" collapsed="false">
      <c r="A711" s="22" t="n">
        <f aca="false">IF(51&lt;=NW,WEEK_ONE+354,"")</f>
        <v>46372</v>
      </c>
      <c r="B711" s="23" t="str">
        <f aca="false">IF(A711="","",CHOOSE(WEEKDAY(A711,1),"الأحد","الاثنين","الثلاثاء","الأربعاء","الخميس","الجمعة","السبت"))</f>
        <v>الأربعاء</v>
      </c>
      <c r="C711" s="24"/>
      <c r="D711" s="24"/>
      <c r="E711" s="25" t="str">
        <f aca="false">IF(OR(M711=0,K711="",L711=""),"",MOD(L711-K711,1))</f>
        <v/>
      </c>
      <c r="F711" s="26" t="str">
        <f aca="false">IF(OR(E711="",M711=0),"",IF(ROUND_MODE="للأعلى",CEILING(ROUND((E711*24*$N$705),3),0.25),ROUND((E711*24*$N$705)*4,0)/4))</f>
        <v/>
      </c>
      <c r="G711" s="24"/>
      <c r="H711" s="27"/>
      <c r="K711" s="28" t="str">
        <f aca="false">IF(OR(M711=0,C711=""),"",IF(ISNUMBER(C711),MOD(C711,1),IFERROR(INDEX(القوائم!$B$1:$B$288,MATCH(TRIM(C711),القوائم!$A$1:$A$288,0)),IFERROR(MOD(TIMEVALUE(C711),1),""))))</f>
        <v/>
      </c>
      <c r="L711" s="28" t="str">
        <f aca="false">IF(OR(M711=0,D711=""),"",IF(ISNUMBER(D711),MOD(D711,1),IFERROR(INDEX(القوائم!$B$1:$B$288,MATCH(TRIM(D711),القوائم!$A$1:$A$288,0)),IFERROR(MOD(TIMEVALUE(D711),1),""))))</f>
        <v/>
      </c>
      <c r="M711" s="19" t="n">
        <f aca="false">$M$705</f>
        <v>1</v>
      </c>
      <c r="Q711" s="19" t="n">
        <f aca="false">IF(N(E717)&gt;0,1,0)</f>
        <v>0</v>
      </c>
      <c r="S711" s="0" t="n">
        <v>51</v>
      </c>
    </row>
    <row r="712" customFormat="false" ht="15" hidden="false" customHeight="false" outlineLevel="0" collapsed="false">
      <c r="A712" s="22" t="n">
        <f aca="false">IF(51&lt;=NW,WEEK_ONE+355,"")</f>
        <v>46373</v>
      </c>
      <c r="B712" s="23" t="str">
        <f aca="false">IF(A712="","",CHOOSE(WEEKDAY(A712,1),"الأحد","الاثنين","الثلاثاء","الأربعاء","الخميس","الجمعة","السبت"))</f>
        <v>الخميس</v>
      </c>
      <c r="C712" s="24"/>
      <c r="D712" s="24"/>
      <c r="E712" s="25" t="str">
        <f aca="false">IF(OR(M712=0,K712="",L712=""),"",MOD(L712-K712,1))</f>
        <v/>
      </c>
      <c r="F712" s="26" t="str">
        <f aca="false">IF(OR(E712="",M712=0),"",IF(ROUND_MODE="للأعلى",CEILING(ROUND((E712*24*$N$705),3),0.25),ROUND((E712*24*$N$705)*4,0)/4))</f>
        <v/>
      </c>
      <c r="G712" s="24"/>
      <c r="H712" s="27"/>
      <c r="K712" s="28" t="str">
        <f aca="false">IF(OR(M712=0,C712=""),"",IF(ISNUMBER(C712),MOD(C712,1),IFERROR(INDEX(القوائم!$B$1:$B$288,MATCH(TRIM(C712),القوائم!$A$1:$A$288,0)),IFERROR(MOD(TIMEVALUE(C712),1),""))))</f>
        <v/>
      </c>
      <c r="L712" s="28" t="str">
        <f aca="false">IF(OR(M712=0,D712=""),"",IF(ISNUMBER(D712),MOD(D712,1),IFERROR(INDEX(القوائم!$B$1:$B$288,MATCH(TRIM(D712),القوائم!$A$1:$A$288,0)),IFERROR(MOD(TIMEVALUE(D712),1),""))))</f>
        <v/>
      </c>
      <c r="M712" s="19" t="n">
        <f aca="false">$M$705</f>
        <v>1</v>
      </c>
      <c r="Q712" s="19" t="n">
        <f aca="false">IF(N(E717)&gt;0,1,0)</f>
        <v>0</v>
      </c>
      <c r="S712" s="0" t="n">
        <v>51</v>
      </c>
    </row>
    <row r="713" customFormat="false" ht="15" hidden="false" customHeight="false" outlineLevel="0" collapsed="false">
      <c r="A713" s="29" t="n">
        <f aca="false">IF(51&lt;=NW,WEEK_ONE+356,"")</f>
        <v>46374</v>
      </c>
      <c r="B713" s="30" t="str">
        <f aca="false">IF(A713="","",CHOOSE(WEEKDAY(A713,1),"الأحد","الاثنين","الثلاثاء","الأربعاء","الخميس","الجمعة","السبت"))</f>
        <v>الجمعة</v>
      </c>
      <c r="C713" s="24"/>
      <c r="D713" s="24"/>
      <c r="E713" s="25" t="str">
        <f aca="false">IF(OR(M713=0,K713="",L713=""),"",MOD(L713-K713,1))</f>
        <v/>
      </c>
      <c r="F713" s="26" t="str">
        <f aca="false">IF(OR(E713="",M713=0),"",IF(ROUND_MODE="للأعلى",CEILING(ROUND((E713*24*$N$705),3),0.25),ROUND((E713*24*$N$705)*4,0)/4))</f>
        <v/>
      </c>
      <c r="G713" s="24"/>
      <c r="H713" s="27"/>
      <c r="K713" s="28" t="str">
        <f aca="false">IF(OR(M713=0,C713=""),"",IF(ISNUMBER(C713),MOD(C713,1),IFERROR(INDEX(القوائم!$B$1:$B$288,MATCH(TRIM(C713),القوائم!$A$1:$A$288,0)),IFERROR(MOD(TIMEVALUE(C713),1),""))))</f>
        <v/>
      </c>
      <c r="L713" s="28" t="str">
        <f aca="false">IF(OR(M713=0,D713=""),"",IF(ISNUMBER(D713),MOD(D713,1),IFERROR(INDEX(القوائم!$B$1:$B$288,MATCH(TRIM(D713),القوائم!$A$1:$A$288,0)),IFERROR(MOD(TIMEVALUE(D713),1),""))))</f>
        <v/>
      </c>
      <c r="M713" s="19" t="n">
        <f aca="false">$M$705</f>
        <v>1</v>
      </c>
      <c r="Q713" s="19" t="n">
        <f aca="false">IF(N(E717)&gt;0,1,0)</f>
        <v>0</v>
      </c>
      <c r="S713" s="0" t="n">
        <v>51</v>
      </c>
    </row>
    <row r="714" customFormat="false" ht="15" hidden="false" customHeight="false" outlineLevel="0" collapsed="false">
      <c r="A714" s="31" t="str">
        <f aca="false">IF(M705=1,"ساعات تحميل الجبسمبورد بهالأسبوع ←","")</f>
        <v>ساعات تحميل الجبسمبورد بهالأسبوع ←</v>
      </c>
      <c r="B714" s="31"/>
      <c r="C714" s="31"/>
      <c r="D714" s="31"/>
      <c r="E714" s="32"/>
      <c r="F714" s="33" t="str">
        <f aca="false">IF(M705=1,"كل ساعة تحميل = "&amp;TEXT($P$705,"0.000")&amp;" دينار (منها "&amp;TEXT($N$705,"0.000")&amp;" محسوبة أصلاً بساعات اليوم)","")</f>
        <v>كل ساعة تحميل = 2.500 دينار (منها 1.000 محسوبة أصلاً بساعات اليوم)</v>
      </c>
      <c r="G714" s="33"/>
      <c r="H714" s="33"/>
      <c r="M714" s="19" t="n">
        <f aca="false">$M$705</f>
        <v>1</v>
      </c>
      <c r="Q714" s="19" t="n">
        <f aca="false">IF(N(E717)&gt;0,1,0)</f>
        <v>0</v>
      </c>
      <c r="S714" s="0" t="n">
        <v>51</v>
      </c>
    </row>
    <row r="715" customFormat="false" ht="15" hidden="false" customHeight="false" outlineLevel="0" collapsed="false">
      <c r="A715" s="31" t="str">
        <f aca="false">IF(M705=1,"إكرامية الأسبوع (دينار) ←","")</f>
        <v>إكرامية الأسبوع (دينار) ←</v>
      </c>
      <c r="B715" s="31"/>
      <c r="C715" s="31"/>
      <c r="D715" s="31"/>
      <c r="E715" s="34"/>
      <c r="F715" s="35"/>
      <c r="G715" s="35"/>
      <c r="H715" s="35"/>
      <c r="M715" s="19" t="n">
        <f aca="false">$M$705</f>
        <v>1</v>
      </c>
      <c r="Q715" s="19" t="n">
        <f aca="false">IF(N(E717)&gt;0,1,0)</f>
        <v>0</v>
      </c>
      <c r="S715" s="0" t="n">
        <v>51</v>
      </c>
    </row>
    <row r="716" customFormat="false" ht="36" hidden="false" customHeight="true" outlineLevel="0" collapsed="false">
      <c r="A716" s="36" t="str">
        <f aca="false">IF(M705=1,"المستحق النهائي للأسبوع","")</f>
        <v>المستحق النهائي للأسبوع</v>
      </c>
      <c r="B716" s="36"/>
      <c r="C716" s="36"/>
      <c r="D716" s="36"/>
      <c r="E716" s="36"/>
      <c r="F716" s="11" t="n">
        <f aca="false">IF(M705=1,ROUND(N($V$705)+N(E714)*($P$705-$N$705)+N(E715),3),"")</f>
        <v>0</v>
      </c>
      <c r="G716" s="35"/>
      <c r="H716" s="35"/>
      <c r="M716" s="19" t="n">
        <f aca="false">$M$705</f>
        <v>1</v>
      </c>
      <c r="Q716" s="19" t="n">
        <f aca="false">IF(N(E717)&gt;0,1,0)</f>
        <v>0</v>
      </c>
      <c r="S716" s="0" t="n">
        <v>51</v>
      </c>
      <c r="T716" s="0" t="n">
        <v>1</v>
      </c>
    </row>
    <row r="717" customFormat="false" ht="25.5" hidden="false" customHeight="true" outlineLevel="0" collapsed="false">
      <c r="A717" s="31" t="str">
        <f aca="false">IF(M705=1,"المدفوع (دينار) ←","")</f>
        <v>المدفوع (دينار) ←</v>
      </c>
      <c r="B717" s="31"/>
      <c r="C717" s="31"/>
      <c r="D717" s="31"/>
      <c r="E717" s="34"/>
      <c r="F717" s="38" t="str">
        <f aca="false">IF(M705=1,IF(N(E717)&gt;0,"✔ انقبض — الأسبوع مقفول","⏳ لسا ما انقبض"),"")</f>
        <v>⏳ لسا ما انقبض</v>
      </c>
      <c r="G717" s="38"/>
      <c r="H717" s="38"/>
      <c r="M717" s="19" t="n">
        <f aca="false">$M$705</f>
        <v>1</v>
      </c>
      <c r="Q717" s="19" t="n">
        <f aca="false">IF(N(E717)&gt;0,1,0)</f>
        <v>0</v>
      </c>
      <c r="S717" s="0" t="n">
        <v>51</v>
      </c>
    </row>
    <row r="718" customFormat="false" ht="9.75" hidden="false" customHeight="true" outlineLevel="0" collapsed="false">
      <c r="M718" s="19" t="n">
        <f aca="false">$M$705</f>
        <v>1</v>
      </c>
      <c r="Q718" s="19" t="n">
        <f aca="false">IF(N(E717)&gt;0,1,0)</f>
        <v>0</v>
      </c>
      <c r="S718" s="0" t="n">
        <v>51</v>
      </c>
      <c r="T718" s="0" t="n">
        <v>2</v>
      </c>
    </row>
    <row r="719" customFormat="false" ht="33.75" hidden="false" customHeight="true" outlineLevel="0" collapsed="false">
      <c r="A719" s="17" t="str">
        <f aca="false">IF(52&lt;=NW,TEXT(DAY(WEEK_ONE+357),"00")&amp;"/"&amp;TEXT(MONTH(WEEK_ONE+357),"00")&amp;"/"&amp;YEAR(WEEK_ONE+357)&amp;"  -  "&amp;TEXT(DAY(WEEK_ONE+363),"00")&amp;"/"&amp;TEXT(MONTH(WEEK_ONE+363),"00")&amp;"/"&amp;YEAR(WEEK_ONE+363)&amp;"   ·   الأسبوع 52"&amp;IF(52&lt;START_Z,"   (قبل أسبوع البداية — ما بينحسب)",""),"ما في أسبوع 52 هالسنة")</f>
        <v>19/12/2026  -  25/12/2026   ·   الأسبوع 52</v>
      </c>
      <c r="B719" s="17"/>
      <c r="C719" s="17"/>
      <c r="D719" s="17"/>
      <c r="E719" s="17"/>
      <c r="F719" s="17"/>
      <c r="G719" s="17"/>
      <c r="H719" s="17"/>
      <c r="L719" s="18" t="n">
        <f aca="false">IF(52&lt;=NW,WEEK_ONE+363,"")</f>
        <v>46381</v>
      </c>
      <c r="M719" s="19" t="n">
        <f aca="false">IF(AND(52&lt;=NW,52&gt;=START_Z),1,0)</f>
        <v>1</v>
      </c>
      <c r="N719" s="20" t="n">
        <f aca="false">IFERROR(INDEX(RT_AZZ,MATCH(L719,RT_K,1)),INDEX(RT_AZZ,1))</f>
        <v>1</v>
      </c>
      <c r="P719" s="20" t="n">
        <f aca="false">IFERROR(INDEX(RT_GYP,MATCH(L719,RT_K,1)),INDEX(RT_GYP,1))</f>
        <v>2.5</v>
      </c>
      <c r="Q719" s="19" t="n">
        <f aca="false">IF(N(E731)&gt;0,1,0)</f>
        <v>0</v>
      </c>
      <c r="R719" s="0" t="n">
        <v>52</v>
      </c>
      <c r="S719" s="0" t="n">
        <v>52</v>
      </c>
      <c r="U719" s="39" t="n">
        <f aca="false">IF(M719=1,SUM(E721:E727),0)</f>
        <v>0</v>
      </c>
      <c r="V719" s="19" t="n">
        <f aca="false">SUM(F721:F727)</f>
        <v>0</v>
      </c>
      <c r="W719" s="19" t="n">
        <f aca="false">IF(M719=1,SUMIFS(F721:F727,G721:G727,"نعم"),0)</f>
        <v>0</v>
      </c>
    </row>
    <row r="720" customFormat="false" ht="39.75" hidden="false" customHeight="true" outlineLevel="0" collapsed="false">
      <c r="A720" s="21" t="s">
        <v>18</v>
      </c>
      <c r="B720" s="21" t="s">
        <v>19</v>
      </c>
      <c r="C720" s="21" t="s">
        <v>20</v>
      </c>
      <c r="D720" s="21" t="s">
        <v>21</v>
      </c>
      <c r="E720" s="21" t="s">
        <v>22</v>
      </c>
      <c r="F720" s="21" t="s">
        <v>29</v>
      </c>
      <c r="G720" s="21" t="s">
        <v>30</v>
      </c>
      <c r="H720" s="21" t="s">
        <v>26</v>
      </c>
      <c r="M720" s="19" t="n">
        <f aca="false">$M$719</f>
        <v>1</v>
      </c>
      <c r="Q720" s="19" t="n">
        <f aca="false">IF(N(E731)&gt;0,1,0)</f>
        <v>0</v>
      </c>
      <c r="S720" s="0" t="n">
        <v>52</v>
      </c>
    </row>
    <row r="721" customFormat="false" ht="15" hidden="false" customHeight="false" outlineLevel="0" collapsed="false">
      <c r="A721" s="22" t="n">
        <f aca="false">IF(52&lt;=NW,WEEK_ONE+357,"")</f>
        <v>46375</v>
      </c>
      <c r="B721" s="23" t="str">
        <f aca="false">IF(A721="","",CHOOSE(WEEKDAY(A721,1),"الأحد","الاثنين","الثلاثاء","الأربعاء","الخميس","الجمعة","السبت"))</f>
        <v>السبت</v>
      </c>
      <c r="C721" s="24"/>
      <c r="D721" s="24"/>
      <c r="E721" s="25" t="str">
        <f aca="false">IF(OR(M721=0,K721="",L721=""),"",MOD(L721-K721,1))</f>
        <v/>
      </c>
      <c r="F721" s="26" t="str">
        <f aca="false">IF(OR(E721="",M721=0),"",IF(ROUND_MODE="للأعلى",CEILING(ROUND((E721*24*$N$719),3),0.25),ROUND((E721*24*$N$719)*4,0)/4))</f>
        <v/>
      </c>
      <c r="G721" s="24"/>
      <c r="H721" s="27"/>
      <c r="K721" s="28" t="str">
        <f aca="false">IF(OR(M721=0,C721=""),"",IF(ISNUMBER(C721),MOD(C721,1),IFERROR(INDEX(القوائم!$B$1:$B$288,MATCH(TRIM(C721),القوائم!$A$1:$A$288,0)),IFERROR(MOD(TIMEVALUE(C721),1),""))))</f>
        <v/>
      </c>
      <c r="L721" s="28" t="str">
        <f aca="false">IF(OR(M721=0,D721=""),"",IF(ISNUMBER(D721),MOD(D721,1),IFERROR(INDEX(القوائم!$B$1:$B$288,MATCH(TRIM(D721),القوائم!$A$1:$A$288,0)),IFERROR(MOD(TIMEVALUE(D721),1),""))))</f>
        <v/>
      </c>
      <c r="M721" s="19" t="n">
        <f aca="false">$M$719</f>
        <v>1</v>
      </c>
      <c r="Q721" s="19" t="n">
        <f aca="false">IF(N(E731)&gt;0,1,0)</f>
        <v>0</v>
      </c>
      <c r="S721" s="0" t="n">
        <v>52</v>
      </c>
    </row>
    <row r="722" customFormat="false" ht="15" hidden="false" customHeight="false" outlineLevel="0" collapsed="false">
      <c r="A722" s="22" t="n">
        <f aca="false">IF(52&lt;=NW,WEEK_ONE+358,"")</f>
        <v>46376</v>
      </c>
      <c r="B722" s="23" t="str">
        <f aca="false">IF(A722="","",CHOOSE(WEEKDAY(A722,1),"الأحد","الاثنين","الثلاثاء","الأربعاء","الخميس","الجمعة","السبت"))</f>
        <v>الأحد</v>
      </c>
      <c r="C722" s="24"/>
      <c r="D722" s="24"/>
      <c r="E722" s="25" t="str">
        <f aca="false">IF(OR(M722=0,K722="",L722=""),"",MOD(L722-K722,1))</f>
        <v/>
      </c>
      <c r="F722" s="26" t="str">
        <f aca="false">IF(OR(E722="",M722=0),"",IF(ROUND_MODE="للأعلى",CEILING(ROUND((E722*24*$N$719),3),0.25),ROUND((E722*24*$N$719)*4,0)/4))</f>
        <v/>
      </c>
      <c r="G722" s="24"/>
      <c r="H722" s="27"/>
      <c r="K722" s="28" t="str">
        <f aca="false">IF(OR(M722=0,C722=""),"",IF(ISNUMBER(C722),MOD(C722,1),IFERROR(INDEX(القوائم!$B$1:$B$288,MATCH(TRIM(C722),القوائم!$A$1:$A$288,0)),IFERROR(MOD(TIMEVALUE(C722),1),""))))</f>
        <v/>
      </c>
      <c r="L722" s="28" t="str">
        <f aca="false">IF(OR(M722=0,D722=""),"",IF(ISNUMBER(D722),MOD(D722,1),IFERROR(INDEX(القوائم!$B$1:$B$288,MATCH(TRIM(D722),القوائم!$A$1:$A$288,0)),IFERROR(MOD(TIMEVALUE(D722),1),""))))</f>
        <v/>
      </c>
      <c r="M722" s="19" t="n">
        <f aca="false">$M$719</f>
        <v>1</v>
      </c>
      <c r="Q722" s="19" t="n">
        <f aca="false">IF(N(E731)&gt;0,1,0)</f>
        <v>0</v>
      </c>
      <c r="S722" s="0" t="n">
        <v>52</v>
      </c>
    </row>
    <row r="723" customFormat="false" ht="15" hidden="false" customHeight="false" outlineLevel="0" collapsed="false">
      <c r="A723" s="22" t="n">
        <f aca="false">IF(52&lt;=NW,WEEK_ONE+359,"")</f>
        <v>46377</v>
      </c>
      <c r="B723" s="23" t="str">
        <f aca="false">IF(A723="","",CHOOSE(WEEKDAY(A723,1),"الأحد","الاثنين","الثلاثاء","الأربعاء","الخميس","الجمعة","السبت"))</f>
        <v>الاثنين</v>
      </c>
      <c r="C723" s="24"/>
      <c r="D723" s="24"/>
      <c r="E723" s="25" t="str">
        <f aca="false">IF(OR(M723=0,K723="",L723=""),"",MOD(L723-K723,1))</f>
        <v/>
      </c>
      <c r="F723" s="26" t="str">
        <f aca="false">IF(OR(E723="",M723=0),"",IF(ROUND_MODE="للأعلى",CEILING(ROUND((E723*24*$N$719),3),0.25),ROUND((E723*24*$N$719)*4,0)/4))</f>
        <v/>
      </c>
      <c r="G723" s="24"/>
      <c r="H723" s="27"/>
      <c r="K723" s="28" t="str">
        <f aca="false">IF(OR(M723=0,C723=""),"",IF(ISNUMBER(C723),MOD(C723,1),IFERROR(INDEX(القوائم!$B$1:$B$288,MATCH(TRIM(C723),القوائم!$A$1:$A$288,0)),IFERROR(MOD(TIMEVALUE(C723),1),""))))</f>
        <v/>
      </c>
      <c r="L723" s="28" t="str">
        <f aca="false">IF(OR(M723=0,D723=""),"",IF(ISNUMBER(D723),MOD(D723,1),IFERROR(INDEX(القوائم!$B$1:$B$288,MATCH(TRIM(D723),القوائم!$A$1:$A$288,0)),IFERROR(MOD(TIMEVALUE(D723),1),""))))</f>
        <v/>
      </c>
      <c r="M723" s="19" t="n">
        <f aca="false">$M$719</f>
        <v>1</v>
      </c>
      <c r="Q723" s="19" t="n">
        <f aca="false">IF(N(E731)&gt;0,1,0)</f>
        <v>0</v>
      </c>
      <c r="S723" s="0" t="n">
        <v>52</v>
      </c>
    </row>
    <row r="724" customFormat="false" ht="15" hidden="false" customHeight="false" outlineLevel="0" collapsed="false">
      <c r="A724" s="22" t="n">
        <f aca="false">IF(52&lt;=NW,WEEK_ONE+360,"")</f>
        <v>46378</v>
      </c>
      <c r="B724" s="23" t="str">
        <f aca="false">IF(A724="","",CHOOSE(WEEKDAY(A724,1),"الأحد","الاثنين","الثلاثاء","الأربعاء","الخميس","الجمعة","السبت"))</f>
        <v>الثلاثاء</v>
      </c>
      <c r="C724" s="24"/>
      <c r="D724" s="24"/>
      <c r="E724" s="25" t="str">
        <f aca="false">IF(OR(M724=0,K724="",L724=""),"",MOD(L724-K724,1))</f>
        <v/>
      </c>
      <c r="F724" s="26" t="str">
        <f aca="false">IF(OR(E724="",M724=0),"",IF(ROUND_MODE="للأعلى",CEILING(ROUND((E724*24*$N$719),3),0.25),ROUND((E724*24*$N$719)*4,0)/4))</f>
        <v/>
      </c>
      <c r="G724" s="24"/>
      <c r="H724" s="27"/>
      <c r="K724" s="28" t="str">
        <f aca="false">IF(OR(M724=0,C724=""),"",IF(ISNUMBER(C724),MOD(C724,1),IFERROR(INDEX(القوائم!$B$1:$B$288,MATCH(TRIM(C724),القوائم!$A$1:$A$288,0)),IFERROR(MOD(TIMEVALUE(C724),1),""))))</f>
        <v/>
      </c>
      <c r="L724" s="28" t="str">
        <f aca="false">IF(OR(M724=0,D724=""),"",IF(ISNUMBER(D724),MOD(D724,1),IFERROR(INDEX(القوائم!$B$1:$B$288,MATCH(TRIM(D724),القوائم!$A$1:$A$288,0)),IFERROR(MOD(TIMEVALUE(D724),1),""))))</f>
        <v/>
      </c>
      <c r="M724" s="19" t="n">
        <f aca="false">$M$719</f>
        <v>1</v>
      </c>
      <c r="Q724" s="19" t="n">
        <f aca="false">IF(N(E731)&gt;0,1,0)</f>
        <v>0</v>
      </c>
      <c r="S724" s="0" t="n">
        <v>52</v>
      </c>
    </row>
    <row r="725" customFormat="false" ht="15" hidden="false" customHeight="false" outlineLevel="0" collapsed="false">
      <c r="A725" s="22" t="n">
        <f aca="false">IF(52&lt;=NW,WEEK_ONE+361,"")</f>
        <v>46379</v>
      </c>
      <c r="B725" s="23" t="str">
        <f aca="false">IF(A725="","",CHOOSE(WEEKDAY(A725,1),"الأحد","الاثنين","الثلاثاء","الأربعاء","الخميس","الجمعة","السبت"))</f>
        <v>الأربعاء</v>
      </c>
      <c r="C725" s="24"/>
      <c r="D725" s="24"/>
      <c r="E725" s="25" t="str">
        <f aca="false">IF(OR(M725=0,K725="",L725=""),"",MOD(L725-K725,1))</f>
        <v/>
      </c>
      <c r="F725" s="26" t="str">
        <f aca="false">IF(OR(E725="",M725=0),"",IF(ROUND_MODE="للأعلى",CEILING(ROUND((E725*24*$N$719),3),0.25),ROUND((E725*24*$N$719)*4,0)/4))</f>
        <v/>
      </c>
      <c r="G725" s="24"/>
      <c r="H725" s="27"/>
      <c r="K725" s="28" t="str">
        <f aca="false">IF(OR(M725=0,C725=""),"",IF(ISNUMBER(C725),MOD(C725,1),IFERROR(INDEX(القوائم!$B$1:$B$288,MATCH(TRIM(C725),القوائم!$A$1:$A$288,0)),IFERROR(MOD(TIMEVALUE(C725),1),""))))</f>
        <v/>
      </c>
      <c r="L725" s="28" t="str">
        <f aca="false">IF(OR(M725=0,D725=""),"",IF(ISNUMBER(D725),MOD(D725,1),IFERROR(INDEX(القوائم!$B$1:$B$288,MATCH(TRIM(D725),القوائم!$A$1:$A$288,0)),IFERROR(MOD(TIMEVALUE(D725),1),""))))</f>
        <v/>
      </c>
      <c r="M725" s="19" t="n">
        <f aca="false">$M$719</f>
        <v>1</v>
      </c>
      <c r="Q725" s="19" t="n">
        <f aca="false">IF(N(E731)&gt;0,1,0)</f>
        <v>0</v>
      </c>
      <c r="S725" s="0" t="n">
        <v>52</v>
      </c>
    </row>
    <row r="726" customFormat="false" ht="15" hidden="false" customHeight="false" outlineLevel="0" collapsed="false">
      <c r="A726" s="22" t="n">
        <f aca="false">IF(52&lt;=NW,WEEK_ONE+362,"")</f>
        <v>46380</v>
      </c>
      <c r="B726" s="23" t="str">
        <f aca="false">IF(A726="","",CHOOSE(WEEKDAY(A726,1),"الأحد","الاثنين","الثلاثاء","الأربعاء","الخميس","الجمعة","السبت"))</f>
        <v>الخميس</v>
      </c>
      <c r="C726" s="24"/>
      <c r="D726" s="24"/>
      <c r="E726" s="25" t="str">
        <f aca="false">IF(OR(M726=0,K726="",L726=""),"",MOD(L726-K726,1))</f>
        <v/>
      </c>
      <c r="F726" s="26" t="str">
        <f aca="false">IF(OR(E726="",M726=0),"",IF(ROUND_MODE="للأعلى",CEILING(ROUND((E726*24*$N$719),3),0.25),ROUND((E726*24*$N$719)*4,0)/4))</f>
        <v/>
      </c>
      <c r="G726" s="24"/>
      <c r="H726" s="27"/>
      <c r="K726" s="28" t="str">
        <f aca="false">IF(OR(M726=0,C726=""),"",IF(ISNUMBER(C726),MOD(C726,1),IFERROR(INDEX(القوائم!$B$1:$B$288,MATCH(TRIM(C726),القوائم!$A$1:$A$288,0)),IFERROR(MOD(TIMEVALUE(C726),1),""))))</f>
        <v/>
      </c>
      <c r="L726" s="28" t="str">
        <f aca="false">IF(OR(M726=0,D726=""),"",IF(ISNUMBER(D726),MOD(D726,1),IFERROR(INDEX(القوائم!$B$1:$B$288,MATCH(TRIM(D726),القوائم!$A$1:$A$288,0)),IFERROR(MOD(TIMEVALUE(D726),1),""))))</f>
        <v/>
      </c>
      <c r="M726" s="19" t="n">
        <f aca="false">$M$719</f>
        <v>1</v>
      </c>
      <c r="Q726" s="19" t="n">
        <f aca="false">IF(N(E731)&gt;0,1,0)</f>
        <v>0</v>
      </c>
      <c r="S726" s="0" t="n">
        <v>52</v>
      </c>
    </row>
    <row r="727" customFormat="false" ht="15" hidden="false" customHeight="false" outlineLevel="0" collapsed="false">
      <c r="A727" s="29" t="n">
        <f aca="false">IF(52&lt;=NW,WEEK_ONE+363,"")</f>
        <v>46381</v>
      </c>
      <c r="B727" s="30" t="str">
        <f aca="false">IF(A727="","",CHOOSE(WEEKDAY(A727,1),"الأحد","الاثنين","الثلاثاء","الأربعاء","الخميس","الجمعة","السبت"))</f>
        <v>الجمعة</v>
      </c>
      <c r="C727" s="24"/>
      <c r="D727" s="24"/>
      <c r="E727" s="25" t="str">
        <f aca="false">IF(OR(M727=0,K727="",L727=""),"",MOD(L727-K727,1))</f>
        <v/>
      </c>
      <c r="F727" s="26" t="str">
        <f aca="false">IF(OR(E727="",M727=0),"",IF(ROUND_MODE="للأعلى",CEILING(ROUND((E727*24*$N$719),3),0.25),ROUND((E727*24*$N$719)*4,0)/4))</f>
        <v/>
      </c>
      <c r="G727" s="24"/>
      <c r="H727" s="27"/>
      <c r="K727" s="28" t="str">
        <f aca="false">IF(OR(M727=0,C727=""),"",IF(ISNUMBER(C727),MOD(C727,1),IFERROR(INDEX(القوائم!$B$1:$B$288,MATCH(TRIM(C727),القوائم!$A$1:$A$288,0)),IFERROR(MOD(TIMEVALUE(C727),1),""))))</f>
        <v/>
      </c>
      <c r="L727" s="28" t="str">
        <f aca="false">IF(OR(M727=0,D727=""),"",IF(ISNUMBER(D727),MOD(D727,1),IFERROR(INDEX(القوائم!$B$1:$B$288,MATCH(TRIM(D727),القوائم!$A$1:$A$288,0)),IFERROR(MOD(TIMEVALUE(D727),1),""))))</f>
        <v/>
      </c>
      <c r="M727" s="19" t="n">
        <f aca="false">$M$719</f>
        <v>1</v>
      </c>
      <c r="Q727" s="19" t="n">
        <f aca="false">IF(N(E731)&gt;0,1,0)</f>
        <v>0</v>
      </c>
      <c r="S727" s="0" t="n">
        <v>52</v>
      </c>
    </row>
    <row r="728" customFormat="false" ht="15" hidden="false" customHeight="false" outlineLevel="0" collapsed="false">
      <c r="A728" s="31" t="str">
        <f aca="false">IF(M719=1,"ساعات تحميل الجبسمبورد بهالأسبوع ←","")</f>
        <v>ساعات تحميل الجبسمبورد بهالأسبوع ←</v>
      </c>
      <c r="B728" s="31"/>
      <c r="C728" s="31"/>
      <c r="D728" s="31"/>
      <c r="E728" s="32"/>
      <c r="F728" s="33" t="str">
        <f aca="false">IF(M719=1,"كل ساعة تحميل = "&amp;TEXT($P$719,"0.000")&amp;" دينار (منها "&amp;TEXT($N$719,"0.000")&amp;" محسوبة أصلاً بساعات اليوم)","")</f>
        <v>كل ساعة تحميل = 2.500 دينار (منها 1.000 محسوبة أصلاً بساعات اليوم)</v>
      </c>
      <c r="G728" s="33"/>
      <c r="H728" s="33"/>
      <c r="M728" s="19" t="n">
        <f aca="false">$M$719</f>
        <v>1</v>
      </c>
      <c r="Q728" s="19" t="n">
        <f aca="false">IF(N(E731)&gt;0,1,0)</f>
        <v>0</v>
      </c>
      <c r="S728" s="0" t="n">
        <v>52</v>
      </c>
    </row>
    <row r="729" customFormat="false" ht="15" hidden="false" customHeight="false" outlineLevel="0" collapsed="false">
      <c r="A729" s="31" t="str">
        <f aca="false">IF(M719=1,"إكرامية الأسبوع (دينار) ←","")</f>
        <v>إكرامية الأسبوع (دينار) ←</v>
      </c>
      <c r="B729" s="31"/>
      <c r="C729" s="31"/>
      <c r="D729" s="31"/>
      <c r="E729" s="34"/>
      <c r="F729" s="35"/>
      <c r="G729" s="35"/>
      <c r="H729" s="35"/>
      <c r="M729" s="19" t="n">
        <f aca="false">$M$719</f>
        <v>1</v>
      </c>
      <c r="Q729" s="19" t="n">
        <f aca="false">IF(N(E731)&gt;0,1,0)</f>
        <v>0</v>
      </c>
      <c r="S729" s="0" t="n">
        <v>52</v>
      </c>
    </row>
    <row r="730" customFormat="false" ht="36" hidden="false" customHeight="true" outlineLevel="0" collapsed="false">
      <c r="A730" s="36" t="str">
        <f aca="false">IF(M719=1,"المستحق النهائي للأسبوع","")</f>
        <v>المستحق النهائي للأسبوع</v>
      </c>
      <c r="B730" s="36"/>
      <c r="C730" s="36"/>
      <c r="D730" s="36"/>
      <c r="E730" s="36"/>
      <c r="F730" s="11" t="n">
        <f aca="false">IF(M719=1,ROUND(N($V$719)+N(E728)*($P$719-$N$719)+N(E729),3),"")</f>
        <v>0</v>
      </c>
      <c r="G730" s="35"/>
      <c r="H730" s="35"/>
      <c r="M730" s="19" t="n">
        <f aca="false">$M$719</f>
        <v>1</v>
      </c>
      <c r="Q730" s="19" t="n">
        <f aca="false">IF(N(E731)&gt;0,1,0)</f>
        <v>0</v>
      </c>
      <c r="S730" s="0" t="n">
        <v>52</v>
      </c>
      <c r="T730" s="0" t="n">
        <v>1</v>
      </c>
    </row>
    <row r="731" customFormat="false" ht="25.5" hidden="false" customHeight="true" outlineLevel="0" collapsed="false">
      <c r="A731" s="31" t="str">
        <f aca="false">IF(M719=1,"المدفوع (دينار) ←","")</f>
        <v>المدفوع (دينار) ←</v>
      </c>
      <c r="B731" s="31"/>
      <c r="C731" s="31"/>
      <c r="D731" s="31"/>
      <c r="E731" s="34"/>
      <c r="F731" s="38" t="str">
        <f aca="false">IF(M719=1,IF(N(E731)&gt;0,"✔ انقبض — الأسبوع مقفول","⏳ لسا ما انقبض"),"")</f>
        <v>⏳ لسا ما انقبض</v>
      </c>
      <c r="G731" s="38"/>
      <c r="H731" s="38"/>
      <c r="M731" s="19" t="n">
        <f aca="false">$M$719</f>
        <v>1</v>
      </c>
      <c r="Q731" s="19" t="n">
        <f aca="false">IF(N(E731)&gt;0,1,0)</f>
        <v>0</v>
      </c>
      <c r="S731" s="0" t="n">
        <v>52</v>
      </c>
    </row>
    <row r="732" customFormat="false" ht="9.75" hidden="false" customHeight="true" outlineLevel="0" collapsed="false">
      <c r="M732" s="19" t="n">
        <f aca="false">$M$719</f>
        <v>1</v>
      </c>
      <c r="Q732" s="19" t="n">
        <f aca="false">IF(N(E731)&gt;0,1,0)</f>
        <v>0</v>
      </c>
      <c r="S732" s="0" t="n">
        <v>52</v>
      </c>
      <c r="T732" s="0" t="n">
        <v>2</v>
      </c>
    </row>
    <row r="733" customFormat="false" ht="33.75" hidden="false" customHeight="true" outlineLevel="0" collapsed="false">
      <c r="A733" s="17" t="str">
        <f aca="false">IF(53&lt;=NW,TEXT(DAY(WEEK_ONE+364),"00")&amp;"/"&amp;TEXT(MONTH(WEEK_ONE+364),"00")&amp;"/"&amp;YEAR(WEEK_ONE+364)&amp;"  -  "&amp;TEXT(DAY(WEEK_ONE+370),"00")&amp;"/"&amp;TEXT(MONTH(WEEK_ONE+370),"00")&amp;"/"&amp;YEAR(WEEK_ONE+370)&amp;"   ·   الأسبوع 53"&amp;IF(53&lt;START_Z,"   (قبل أسبوع البداية — ما بينحسب)",""),"ما في أسبوع 53 هالسنة")</f>
        <v>ما في أسبوع 53 هالسنة</v>
      </c>
      <c r="B733" s="17"/>
      <c r="C733" s="17"/>
      <c r="D733" s="17"/>
      <c r="E733" s="17"/>
      <c r="F733" s="17"/>
      <c r="G733" s="17"/>
      <c r="H733" s="17"/>
      <c r="L733" s="18" t="str">
        <f aca="false">IF(53&lt;=NW,WEEK_ONE+370,"")</f>
        <v/>
      </c>
      <c r="M733" s="19" t="n">
        <f aca="false">IF(AND(53&lt;=NW,53&gt;=START_Z),1,0)</f>
        <v>0</v>
      </c>
      <c r="N733" s="20" t="n">
        <f aca="false">IFERROR(INDEX(RT_AZZ,MATCH(L733,RT_K,1)),INDEX(RT_AZZ,1))</f>
        <v>1</v>
      </c>
      <c r="P733" s="20" t="n">
        <f aca="false">IFERROR(INDEX(RT_GYP,MATCH(L733,RT_K,1)),INDEX(RT_GYP,1))</f>
        <v>2.5</v>
      </c>
      <c r="Q733" s="19" t="n">
        <f aca="false">IF(N(E745)&gt;0,1,0)</f>
        <v>0</v>
      </c>
      <c r="R733" s="0" t="n">
        <v>53</v>
      </c>
      <c r="S733" s="0" t="n">
        <v>53</v>
      </c>
      <c r="U733" s="19" t="n">
        <f aca="false">IF(M733=1,SUM(E735:E741),0)</f>
        <v>0</v>
      </c>
      <c r="V733" s="19" t="n">
        <f aca="false">SUM(F735:F741)</f>
        <v>0</v>
      </c>
      <c r="W733" s="19" t="n">
        <f aca="false">IF(M733=1,SUMIFS(F735:F741,G735:G741,"نعم"),0)</f>
        <v>0</v>
      </c>
    </row>
    <row r="734" customFormat="false" ht="39.75" hidden="false" customHeight="true" outlineLevel="0" collapsed="false">
      <c r="A734" s="21" t="s">
        <v>18</v>
      </c>
      <c r="B734" s="21" t="s">
        <v>19</v>
      </c>
      <c r="C734" s="21" t="s">
        <v>20</v>
      </c>
      <c r="D734" s="21" t="s">
        <v>21</v>
      </c>
      <c r="E734" s="21" t="s">
        <v>22</v>
      </c>
      <c r="F734" s="21" t="s">
        <v>29</v>
      </c>
      <c r="G734" s="21" t="s">
        <v>30</v>
      </c>
      <c r="H734" s="21" t="s">
        <v>26</v>
      </c>
      <c r="M734" s="19" t="n">
        <f aca="false">$M$733</f>
        <v>0</v>
      </c>
      <c r="Q734" s="19" t="n">
        <f aca="false">IF(N(E745)&gt;0,1,0)</f>
        <v>0</v>
      </c>
      <c r="S734" s="0" t="n">
        <v>53</v>
      </c>
    </row>
    <row r="735" customFormat="false" ht="15" hidden="false" customHeight="false" outlineLevel="0" collapsed="false">
      <c r="A735" s="22" t="str">
        <f aca="false">IF(53&lt;=NW,WEEK_ONE+364,"")</f>
        <v/>
      </c>
      <c r="B735" s="23" t="str">
        <f aca="false">IF(A735="","",CHOOSE(WEEKDAY(A735,1),"الأحد","الاثنين","الثلاثاء","الأربعاء","الخميس","الجمعة","السبت"))</f>
        <v/>
      </c>
      <c r="C735" s="24"/>
      <c r="D735" s="24"/>
      <c r="E735" s="25" t="str">
        <f aca="false">IF(OR(M735=0,K735="",L735=""),"",MOD(L735-K735,1))</f>
        <v/>
      </c>
      <c r="F735" s="26" t="str">
        <f aca="false">IF(OR(E735="",M735=0),"",IF(ROUND_MODE="للأعلى",CEILING(ROUND((E735*24*$N$733),3),0.25),ROUND((E735*24*$N$733)*4,0)/4))</f>
        <v/>
      </c>
      <c r="G735" s="24"/>
      <c r="H735" s="27"/>
      <c r="K735" s="28" t="str">
        <f aca="false">IF(OR(M735=0,C735=""),"",IF(ISNUMBER(C735),MOD(C735,1),IFERROR(INDEX(القوائم!$B$1:$B$288,MATCH(TRIM(C735),القوائم!$A$1:$A$288,0)),IFERROR(MOD(TIMEVALUE(C735),1),""))))</f>
        <v/>
      </c>
      <c r="L735" s="28" t="str">
        <f aca="false">IF(OR(M735=0,D735=""),"",IF(ISNUMBER(D735),MOD(D735,1),IFERROR(INDEX(القوائم!$B$1:$B$288,MATCH(TRIM(D735),القوائم!$A$1:$A$288,0)),IFERROR(MOD(TIMEVALUE(D735),1),""))))</f>
        <v/>
      </c>
      <c r="M735" s="19" t="n">
        <f aca="false">$M$733</f>
        <v>0</v>
      </c>
      <c r="Q735" s="19" t="n">
        <f aca="false">IF(N(E745)&gt;0,1,0)</f>
        <v>0</v>
      </c>
      <c r="S735" s="0" t="n">
        <v>53</v>
      </c>
    </row>
    <row r="736" customFormat="false" ht="15" hidden="false" customHeight="false" outlineLevel="0" collapsed="false">
      <c r="A736" s="22" t="str">
        <f aca="false">IF(53&lt;=NW,WEEK_ONE+365,"")</f>
        <v/>
      </c>
      <c r="B736" s="23" t="str">
        <f aca="false">IF(A736="","",CHOOSE(WEEKDAY(A736,1),"الأحد","الاثنين","الثلاثاء","الأربعاء","الخميس","الجمعة","السبت"))</f>
        <v/>
      </c>
      <c r="C736" s="24"/>
      <c r="D736" s="24"/>
      <c r="E736" s="25" t="str">
        <f aca="false">IF(OR(M736=0,K736="",L736=""),"",MOD(L736-K736,1))</f>
        <v/>
      </c>
      <c r="F736" s="26" t="str">
        <f aca="false">IF(OR(E736="",M736=0),"",IF(ROUND_MODE="للأعلى",CEILING(ROUND((E736*24*$N$733),3),0.25),ROUND((E736*24*$N$733)*4,0)/4))</f>
        <v/>
      </c>
      <c r="G736" s="24"/>
      <c r="H736" s="27"/>
      <c r="K736" s="28" t="str">
        <f aca="false">IF(OR(M736=0,C736=""),"",IF(ISNUMBER(C736),MOD(C736,1),IFERROR(INDEX(القوائم!$B$1:$B$288,MATCH(TRIM(C736),القوائم!$A$1:$A$288,0)),IFERROR(MOD(TIMEVALUE(C736),1),""))))</f>
        <v/>
      </c>
      <c r="L736" s="28" t="str">
        <f aca="false">IF(OR(M736=0,D736=""),"",IF(ISNUMBER(D736),MOD(D736,1),IFERROR(INDEX(القوائم!$B$1:$B$288,MATCH(TRIM(D736),القوائم!$A$1:$A$288,0)),IFERROR(MOD(TIMEVALUE(D736),1),""))))</f>
        <v/>
      </c>
      <c r="M736" s="19" t="n">
        <f aca="false">$M$733</f>
        <v>0</v>
      </c>
      <c r="Q736" s="19" t="n">
        <f aca="false">IF(N(E745)&gt;0,1,0)</f>
        <v>0</v>
      </c>
      <c r="S736" s="0" t="n">
        <v>53</v>
      </c>
    </row>
    <row r="737" customFormat="false" ht="15" hidden="false" customHeight="false" outlineLevel="0" collapsed="false">
      <c r="A737" s="22" t="str">
        <f aca="false">IF(53&lt;=NW,WEEK_ONE+366,"")</f>
        <v/>
      </c>
      <c r="B737" s="23" t="str">
        <f aca="false">IF(A737="","",CHOOSE(WEEKDAY(A737,1),"الأحد","الاثنين","الثلاثاء","الأربعاء","الخميس","الجمعة","السبت"))</f>
        <v/>
      </c>
      <c r="C737" s="24"/>
      <c r="D737" s="24"/>
      <c r="E737" s="25" t="str">
        <f aca="false">IF(OR(M737=0,K737="",L737=""),"",MOD(L737-K737,1))</f>
        <v/>
      </c>
      <c r="F737" s="26" t="str">
        <f aca="false">IF(OR(E737="",M737=0),"",IF(ROUND_MODE="للأعلى",CEILING(ROUND((E737*24*$N$733),3),0.25),ROUND((E737*24*$N$733)*4,0)/4))</f>
        <v/>
      </c>
      <c r="G737" s="24"/>
      <c r="H737" s="27"/>
      <c r="K737" s="28" t="str">
        <f aca="false">IF(OR(M737=0,C737=""),"",IF(ISNUMBER(C737),MOD(C737,1),IFERROR(INDEX(القوائم!$B$1:$B$288,MATCH(TRIM(C737),القوائم!$A$1:$A$288,0)),IFERROR(MOD(TIMEVALUE(C737),1),""))))</f>
        <v/>
      </c>
      <c r="L737" s="28" t="str">
        <f aca="false">IF(OR(M737=0,D737=""),"",IF(ISNUMBER(D737),MOD(D737,1),IFERROR(INDEX(القوائم!$B$1:$B$288,MATCH(TRIM(D737),القوائم!$A$1:$A$288,0)),IFERROR(MOD(TIMEVALUE(D737),1),""))))</f>
        <v/>
      </c>
      <c r="M737" s="19" t="n">
        <f aca="false">$M$733</f>
        <v>0</v>
      </c>
      <c r="Q737" s="19" t="n">
        <f aca="false">IF(N(E745)&gt;0,1,0)</f>
        <v>0</v>
      </c>
      <c r="S737" s="0" t="n">
        <v>53</v>
      </c>
    </row>
    <row r="738" customFormat="false" ht="15" hidden="false" customHeight="false" outlineLevel="0" collapsed="false">
      <c r="A738" s="22" t="str">
        <f aca="false">IF(53&lt;=NW,WEEK_ONE+367,"")</f>
        <v/>
      </c>
      <c r="B738" s="23" t="str">
        <f aca="false">IF(A738="","",CHOOSE(WEEKDAY(A738,1),"الأحد","الاثنين","الثلاثاء","الأربعاء","الخميس","الجمعة","السبت"))</f>
        <v/>
      </c>
      <c r="C738" s="24"/>
      <c r="D738" s="24"/>
      <c r="E738" s="25" t="str">
        <f aca="false">IF(OR(M738=0,K738="",L738=""),"",MOD(L738-K738,1))</f>
        <v/>
      </c>
      <c r="F738" s="26" t="str">
        <f aca="false">IF(OR(E738="",M738=0),"",IF(ROUND_MODE="للأعلى",CEILING(ROUND((E738*24*$N$733),3),0.25),ROUND((E738*24*$N$733)*4,0)/4))</f>
        <v/>
      </c>
      <c r="G738" s="24"/>
      <c r="H738" s="27"/>
      <c r="K738" s="28" t="str">
        <f aca="false">IF(OR(M738=0,C738=""),"",IF(ISNUMBER(C738),MOD(C738,1),IFERROR(INDEX(القوائم!$B$1:$B$288,MATCH(TRIM(C738),القوائم!$A$1:$A$288,0)),IFERROR(MOD(TIMEVALUE(C738),1),""))))</f>
        <v/>
      </c>
      <c r="L738" s="28" t="str">
        <f aca="false">IF(OR(M738=0,D738=""),"",IF(ISNUMBER(D738),MOD(D738,1),IFERROR(INDEX(القوائم!$B$1:$B$288,MATCH(TRIM(D738),القوائم!$A$1:$A$288,0)),IFERROR(MOD(TIMEVALUE(D738),1),""))))</f>
        <v/>
      </c>
      <c r="M738" s="19" t="n">
        <f aca="false">$M$733</f>
        <v>0</v>
      </c>
      <c r="Q738" s="19" t="n">
        <f aca="false">IF(N(E745)&gt;0,1,0)</f>
        <v>0</v>
      </c>
      <c r="S738" s="0" t="n">
        <v>53</v>
      </c>
    </row>
    <row r="739" customFormat="false" ht="15" hidden="false" customHeight="false" outlineLevel="0" collapsed="false">
      <c r="A739" s="22" t="str">
        <f aca="false">IF(53&lt;=NW,WEEK_ONE+368,"")</f>
        <v/>
      </c>
      <c r="B739" s="23" t="str">
        <f aca="false">IF(A739="","",CHOOSE(WEEKDAY(A739,1),"الأحد","الاثنين","الثلاثاء","الأربعاء","الخميس","الجمعة","السبت"))</f>
        <v/>
      </c>
      <c r="C739" s="24"/>
      <c r="D739" s="24"/>
      <c r="E739" s="25" t="str">
        <f aca="false">IF(OR(M739=0,K739="",L739=""),"",MOD(L739-K739,1))</f>
        <v/>
      </c>
      <c r="F739" s="26" t="str">
        <f aca="false">IF(OR(E739="",M739=0),"",IF(ROUND_MODE="للأعلى",CEILING(ROUND((E739*24*$N$733),3),0.25),ROUND((E739*24*$N$733)*4,0)/4))</f>
        <v/>
      </c>
      <c r="G739" s="24"/>
      <c r="H739" s="27"/>
      <c r="K739" s="28" t="str">
        <f aca="false">IF(OR(M739=0,C739=""),"",IF(ISNUMBER(C739),MOD(C739,1),IFERROR(INDEX(القوائم!$B$1:$B$288,MATCH(TRIM(C739),القوائم!$A$1:$A$288,0)),IFERROR(MOD(TIMEVALUE(C739),1),""))))</f>
        <v/>
      </c>
      <c r="L739" s="28" t="str">
        <f aca="false">IF(OR(M739=0,D739=""),"",IF(ISNUMBER(D739),MOD(D739,1),IFERROR(INDEX(القوائم!$B$1:$B$288,MATCH(TRIM(D739),القوائم!$A$1:$A$288,0)),IFERROR(MOD(TIMEVALUE(D739),1),""))))</f>
        <v/>
      </c>
      <c r="M739" s="19" t="n">
        <f aca="false">$M$733</f>
        <v>0</v>
      </c>
      <c r="Q739" s="19" t="n">
        <f aca="false">IF(N(E745)&gt;0,1,0)</f>
        <v>0</v>
      </c>
      <c r="S739" s="0" t="n">
        <v>53</v>
      </c>
    </row>
    <row r="740" customFormat="false" ht="15" hidden="false" customHeight="false" outlineLevel="0" collapsed="false">
      <c r="A740" s="22" t="str">
        <f aca="false">IF(53&lt;=NW,WEEK_ONE+369,"")</f>
        <v/>
      </c>
      <c r="B740" s="23" t="str">
        <f aca="false">IF(A740="","",CHOOSE(WEEKDAY(A740,1),"الأحد","الاثنين","الثلاثاء","الأربعاء","الخميس","الجمعة","السبت"))</f>
        <v/>
      </c>
      <c r="C740" s="24"/>
      <c r="D740" s="24"/>
      <c r="E740" s="25" t="str">
        <f aca="false">IF(OR(M740=0,K740="",L740=""),"",MOD(L740-K740,1))</f>
        <v/>
      </c>
      <c r="F740" s="26" t="str">
        <f aca="false">IF(OR(E740="",M740=0),"",IF(ROUND_MODE="للأعلى",CEILING(ROUND((E740*24*$N$733),3),0.25),ROUND((E740*24*$N$733)*4,0)/4))</f>
        <v/>
      </c>
      <c r="G740" s="24"/>
      <c r="H740" s="27"/>
      <c r="K740" s="28" t="str">
        <f aca="false">IF(OR(M740=0,C740=""),"",IF(ISNUMBER(C740),MOD(C740,1),IFERROR(INDEX(القوائم!$B$1:$B$288,MATCH(TRIM(C740),القوائم!$A$1:$A$288,0)),IFERROR(MOD(TIMEVALUE(C740),1),""))))</f>
        <v/>
      </c>
      <c r="L740" s="28" t="str">
        <f aca="false">IF(OR(M740=0,D740=""),"",IF(ISNUMBER(D740),MOD(D740,1),IFERROR(INDEX(القوائم!$B$1:$B$288,MATCH(TRIM(D740),القوائم!$A$1:$A$288,0)),IFERROR(MOD(TIMEVALUE(D740),1),""))))</f>
        <v/>
      </c>
      <c r="M740" s="19" t="n">
        <f aca="false">$M$733</f>
        <v>0</v>
      </c>
      <c r="Q740" s="19" t="n">
        <f aca="false">IF(N(E745)&gt;0,1,0)</f>
        <v>0</v>
      </c>
      <c r="S740" s="0" t="n">
        <v>53</v>
      </c>
    </row>
    <row r="741" customFormat="false" ht="15" hidden="false" customHeight="false" outlineLevel="0" collapsed="false">
      <c r="A741" s="29" t="str">
        <f aca="false">IF(53&lt;=NW,WEEK_ONE+370,"")</f>
        <v/>
      </c>
      <c r="B741" s="30" t="str">
        <f aca="false">IF(A741="","",CHOOSE(WEEKDAY(A741,1),"الأحد","الاثنين","الثلاثاء","الأربعاء","الخميس","الجمعة","السبت"))</f>
        <v/>
      </c>
      <c r="C741" s="24"/>
      <c r="D741" s="24"/>
      <c r="E741" s="25" t="str">
        <f aca="false">IF(OR(M741=0,K741="",L741=""),"",MOD(L741-K741,1))</f>
        <v/>
      </c>
      <c r="F741" s="26" t="str">
        <f aca="false">IF(OR(E741="",M741=0),"",IF(ROUND_MODE="للأعلى",CEILING(ROUND((E741*24*$N$733),3),0.25),ROUND((E741*24*$N$733)*4,0)/4))</f>
        <v/>
      </c>
      <c r="G741" s="24"/>
      <c r="H741" s="27"/>
      <c r="K741" s="28" t="str">
        <f aca="false">IF(OR(M741=0,C741=""),"",IF(ISNUMBER(C741),MOD(C741,1),IFERROR(INDEX(القوائم!$B$1:$B$288,MATCH(TRIM(C741),القوائم!$A$1:$A$288,0)),IFERROR(MOD(TIMEVALUE(C741),1),""))))</f>
        <v/>
      </c>
      <c r="L741" s="28" t="str">
        <f aca="false">IF(OR(M741=0,D741=""),"",IF(ISNUMBER(D741),MOD(D741,1),IFERROR(INDEX(القوائم!$B$1:$B$288,MATCH(TRIM(D741),القوائم!$A$1:$A$288,0)),IFERROR(MOD(TIMEVALUE(D741),1),""))))</f>
        <v/>
      </c>
      <c r="M741" s="19" t="n">
        <f aca="false">$M$733</f>
        <v>0</v>
      </c>
      <c r="Q741" s="19" t="n">
        <f aca="false">IF(N(E745)&gt;0,1,0)</f>
        <v>0</v>
      </c>
      <c r="S741" s="0" t="n">
        <v>53</v>
      </c>
    </row>
    <row r="742" customFormat="false" ht="15" hidden="false" customHeight="false" outlineLevel="0" collapsed="false">
      <c r="A742" s="31" t="str">
        <f aca="false">IF(M733=1,"ساعات تحميل الجبسمبورد بهالأسبوع ←","")</f>
        <v/>
      </c>
      <c r="B742" s="31"/>
      <c r="C742" s="31"/>
      <c r="D742" s="31"/>
      <c r="E742" s="32"/>
      <c r="F742" s="33" t="str">
        <f aca="false">IF(M733=1,"كل ساعة تحميل = "&amp;TEXT($P$733,"0.000")&amp;" دينار (منها "&amp;TEXT($N$733,"0.000")&amp;" محسوبة أصلاً بساعات اليوم)","")</f>
        <v/>
      </c>
      <c r="G742" s="33"/>
      <c r="H742" s="33"/>
      <c r="M742" s="19" t="n">
        <f aca="false">$M$733</f>
        <v>0</v>
      </c>
      <c r="Q742" s="19" t="n">
        <f aca="false">IF(N(E745)&gt;0,1,0)</f>
        <v>0</v>
      </c>
      <c r="S742" s="0" t="n">
        <v>53</v>
      </c>
    </row>
    <row r="743" customFormat="false" ht="15" hidden="false" customHeight="false" outlineLevel="0" collapsed="false">
      <c r="A743" s="31" t="str">
        <f aca="false">IF(M733=1,"إكرامية الأسبوع (دينار) ←","")</f>
        <v/>
      </c>
      <c r="B743" s="31"/>
      <c r="C743" s="31"/>
      <c r="D743" s="31"/>
      <c r="E743" s="34"/>
      <c r="F743" s="35"/>
      <c r="G743" s="35"/>
      <c r="H743" s="35"/>
      <c r="M743" s="19" t="n">
        <f aca="false">$M$733</f>
        <v>0</v>
      </c>
      <c r="Q743" s="19" t="n">
        <f aca="false">IF(N(E745)&gt;0,1,0)</f>
        <v>0</v>
      </c>
      <c r="S743" s="0" t="n">
        <v>53</v>
      </c>
    </row>
    <row r="744" customFormat="false" ht="36" hidden="false" customHeight="true" outlineLevel="0" collapsed="false">
      <c r="A744" s="36" t="str">
        <f aca="false">IF(M733=1,"المستحق النهائي للأسبوع","")</f>
        <v/>
      </c>
      <c r="B744" s="36"/>
      <c r="C744" s="36"/>
      <c r="D744" s="36"/>
      <c r="E744" s="36"/>
      <c r="F744" s="11" t="str">
        <f aca="false">IF(M733=1,ROUND(N($V$733)+N(E742)*($P$733-$N$733)+N(E743),3),"")</f>
        <v/>
      </c>
      <c r="G744" s="35"/>
      <c r="H744" s="35"/>
      <c r="M744" s="19" t="n">
        <f aca="false">$M$733</f>
        <v>0</v>
      </c>
      <c r="Q744" s="19" t="n">
        <f aca="false">IF(N(E745)&gt;0,1,0)</f>
        <v>0</v>
      </c>
      <c r="S744" s="0" t="n">
        <v>53</v>
      </c>
      <c r="T744" s="0" t="n">
        <v>1</v>
      </c>
    </row>
    <row r="745" customFormat="false" ht="25.5" hidden="false" customHeight="true" outlineLevel="0" collapsed="false">
      <c r="A745" s="31" t="str">
        <f aca="false">IF(M733=1,"المدفوع (دينار) ←","")</f>
        <v/>
      </c>
      <c r="B745" s="31"/>
      <c r="C745" s="31"/>
      <c r="D745" s="31"/>
      <c r="E745" s="34"/>
      <c r="F745" s="38" t="str">
        <f aca="false">IF(M733=1,IF(N(E745)&gt;0,"✔ انقبض — الأسبوع مقفول","⏳ لسا ما انقبض"),"")</f>
        <v/>
      </c>
      <c r="G745" s="38"/>
      <c r="H745" s="38"/>
      <c r="M745" s="19" t="n">
        <f aca="false">$M$733</f>
        <v>0</v>
      </c>
      <c r="Q745" s="19" t="n">
        <f aca="false">IF(N(E745)&gt;0,1,0)</f>
        <v>0</v>
      </c>
      <c r="S745" s="0" t="n">
        <v>53</v>
      </c>
    </row>
    <row r="746" customFormat="false" ht="9.75" hidden="false" customHeight="true" outlineLevel="0" collapsed="false">
      <c r="M746" s="19" t="n">
        <f aca="false">$M$733</f>
        <v>0</v>
      </c>
      <c r="Q746" s="19" t="n">
        <f aca="false">IF(N(E745)&gt;0,1,0)</f>
        <v>0</v>
      </c>
      <c r="S746" s="0" t="n">
        <v>53</v>
      </c>
      <c r="T746" s="0" t="n">
        <v>2</v>
      </c>
    </row>
  </sheetData>
  <sheetProtection sheet="true" formatColumns="false" formatRows="false"/>
  <mergeCells count="479">
    <mergeCell ref="A1:H1"/>
    <mergeCell ref="A3:H3"/>
    <mergeCell ref="A5:H5"/>
    <mergeCell ref="A14:D14"/>
    <mergeCell ref="F14:H14"/>
    <mergeCell ref="A15:D15"/>
    <mergeCell ref="F15:H15"/>
    <mergeCell ref="A16:E16"/>
    <mergeCell ref="G16:H16"/>
    <mergeCell ref="A17:D17"/>
    <mergeCell ref="F17:H17"/>
    <mergeCell ref="A19:H19"/>
    <mergeCell ref="A28:D28"/>
    <mergeCell ref="F28:H28"/>
    <mergeCell ref="A29:D29"/>
    <mergeCell ref="F29:H29"/>
    <mergeCell ref="A30:E30"/>
    <mergeCell ref="G30:H30"/>
    <mergeCell ref="A31:D31"/>
    <mergeCell ref="F31:H31"/>
    <mergeCell ref="A33:H33"/>
    <mergeCell ref="A42:D42"/>
    <mergeCell ref="F42:H42"/>
    <mergeCell ref="A43:D43"/>
    <mergeCell ref="F43:H43"/>
    <mergeCell ref="A44:E44"/>
    <mergeCell ref="G44:H44"/>
    <mergeCell ref="A45:D45"/>
    <mergeCell ref="F45:H45"/>
    <mergeCell ref="A47:H47"/>
    <mergeCell ref="A56:D56"/>
    <mergeCell ref="F56:H56"/>
    <mergeCell ref="A57:D57"/>
    <mergeCell ref="F57:H57"/>
    <mergeCell ref="A58:E58"/>
    <mergeCell ref="G58:H58"/>
    <mergeCell ref="A59:D59"/>
    <mergeCell ref="F59:H59"/>
    <mergeCell ref="A61:H61"/>
    <mergeCell ref="A70:D70"/>
    <mergeCell ref="F70:H70"/>
    <mergeCell ref="A71:D71"/>
    <mergeCell ref="F71:H71"/>
    <mergeCell ref="A72:E72"/>
    <mergeCell ref="G72:H72"/>
    <mergeCell ref="A73:D73"/>
    <mergeCell ref="F73:H73"/>
    <mergeCell ref="A75:H75"/>
    <mergeCell ref="A84:D84"/>
    <mergeCell ref="F84:H84"/>
    <mergeCell ref="A85:D85"/>
    <mergeCell ref="F85:H85"/>
    <mergeCell ref="A86:E86"/>
    <mergeCell ref="G86:H86"/>
    <mergeCell ref="A87:D87"/>
    <mergeCell ref="F87:H87"/>
    <mergeCell ref="A89:H89"/>
    <mergeCell ref="A98:D98"/>
    <mergeCell ref="F98:H98"/>
    <mergeCell ref="A99:D99"/>
    <mergeCell ref="F99:H99"/>
    <mergeCell ref="A100:E100"/>
    <mergeCell ref="G100:H100"/>
    <mergeCell ref="A101:D101"/>
    <mergeCell ref="F101:H101"/>
    <mergeCell ref="A103:H103"/>
    <mergeCell ref="A112:D112"/>
    <mergeCell ref="F112:H112"/>
    <mergeCell ref="A113:D113"/>
    <mergeCell ref="F113:H113"/>
    <mergeCell ref="A114:E114"/>
    <mergeCell ref="G114:H114"/>
    <mergeCell ref="A115:D115"/>
    <mergeCell ref="F115:H115"/>
    <mergeCell ref="A117:H117"/>
    <mergeCell ref="A126:D126"/>
    <mergeCell ref="F126:H126"/>
    <mergeCell ref="A127:D127"/>
    <mergeCell ref="F127:H127"/>
    <mergeCell ref="A128:E128"/>
    <mergeCell ref="G128:H128"/>
    <mergeCell ref="A129:D129"/>
    <mergeCell ref="F129:H129"/>
    <mergeCell ref="A131:H131"/>
    <mergeCell ref="A140:D140"/>
    <mergeCell ref="F140:H140"/>
    <mergeCell ref="A141:D141"/>
    <mergeCell ref="F141:H141"/>
    <mergeCell ref="A142:E142"/>
    <mergeCell ref="G142:H142"/>
    <mergeCell ref="A143:D143"/>
    <mergeCell ref="F143:H143"/>
    <mergeCell ref="A145:H145"/>
    <mergeCell ref="A154:D154"/>
    <mergeCell ref="F154:H154"/>
    <mergeCell ref="A155:D155"/>
    <mergeCell ref="F155:H155"/>
    <mergeCell ref="A156:E156"/>
    <mergeCell ref="G156:H156"/>
    <mergeCell ref="A157:D157"/>
    <mergeCell ref="F157:H157"/>
    <mergeCell ref="A159:H159"/>
    <mergeCell ref="A168:D168"/>
    <mergeCell ref="F168:H168"/>
    <mergeCell ref="A169:D169"/>
    <mergeCell ref="F169:H169"/>
    <mergeCell ref="A170:E170"/>
    <mergeCell ref="G170:H170"/>
    <mergeCell ref="A171:D171"/>
    <mergeCell ref="F171:H171"/>
    <mergeCell ref="A173:H173"/>
    <mergeCell ref="A182:D182"/>
    <mergeCell ref="F182:H182"/>
    <mergeCell ref="A183:D183"/>
    <mergeCell ref="F183:H183"/>
    <mergeCell ref="A184:E184"/>
    <mergeCell ref="G184:H184"/>
    <mergeCell ref="A185:D185"/>
    <mergeCell ref="F185:H185"/>
    <mergeCell ref="A187:H187"/>
    <mergeCell ref="A196:D196"/>
    <mergeCell ref="F196:H196"/>
    <mergeCell ref="A197:D197"/>
    <mergeCell ref="F197:H197"/>
    <mergeCell ref="A198:E198"/>
    <mergeCell ref="G198:H198"/>
    <mergeCell ref="A199:D199"/>
    <mergeCell ref="F199:H199"/>
    <mergeCell ref="A201:H201"/>
    <mergeCell ref="A210:D210"/>
    <mergeCell ref="F210:H210"/>
    <mergeCell ref="A211:D211"/>
    <mergeCell ref="F211:H211"/>
    <mergeCell ref="A212:E212"/>
    <mergeCell ref="G212:H212"/>
    <mergeCell ref="A213:D213"/>
    <mergeCell ref="F213:H213"/>
    <mergeCell ref="A215:H215"/>
    <mergeCell ref="A224:D224"/>
    <mergeCell ref="F224:H224"/>
    <mergeCell ref="A225:D225"/>
    <mergeCell ref="F225:H225"/>
    <mergeCell ref="A226:E226"/>
    <mergeCell ref="G226:H226"/>
    <mergeCell ref="A227:D227"/>
    <mergeCell ref="F227:H227"/>
    <mergeCell ref="A229:H229"/>
    <mergeCell ref="A238:D238"/>
    <mergeCell ref="F238:H238"/>
    <mergeCell ref="A239:D239"/>
    <mergeCell ref="F239:H239"/>
    <mergeCell ref="A240:E240"/>
    <mergeCell ref="G240:H240"/>
    <mergeCell ref="A241:D241"/>
    <mergeCell ref="F241:H241"/>
    <mergeCell ref="A243:H243"/>
    <mergeCell ref="A252:D252"/>
    <mergeCell ref="F252:H252"/>
    <mergeCell ref="A253:D253"/>
    <mergeCell ref="F253:H253"/>
    <mergeCell ref="A254:E254"/>
    <mergeCell ref="G254:H254"/>
    <mergeCell ref="A255:D255"/>
    <mergeCell ref="F255:H255"/>
    <mergeCell ref="A257:H257"/>
    <mergeCell ref="A266:D266"/>
    <mergeCell ref="F266:H266"/>
    <mergeCell ref="A267:D267"/>
    <mergeCell ref="F267:H267"/>
    <mergeCell ref="A268:E268"/>
    <mergeCell ref="G268:H268"/>
    <mergeCell ref="A269:D269"/>
    <mergeCell ref="F269:H269"/>
    <mergeCell ref="A271:H271"/>
    <mergeCell ref="A280:D280"/>
    <mergeCell ref="F280:H280"/>
    <mergeCell ref="A281:D281"/>
    <mergeCell ref="F281:H281"/>
    <mergeCell ref="A282:E282"/>
    <mergeCell ref="G282:H282"/>
    <mergeCell ref="A283:D283"/>
    <mergeCell ref="F283:H283"/>
    <mergeCell ref="A285:H285"/>
    <mergeCell ref="A294:D294"/>
    <mergeCell ref="F294:H294"/>
    <mergeCell ref="A295:D295"/>
    <mergeCell ref="F295:H295"/>
    <mergeCell ref="A296:E296"/>
    <mergeCell ref="G296:H296"/>
    <mergeCell ref="A297:D297"/>
    <mergeCell ref="F297:H297"/>
    <mergeCell ref="A299:H299"/>
    <mergeCell ref="A308:D308"/>
    <mergeCell ref="F308:H308"/>
    <mergeCell ref="A309:D309"/>
    <mergeCell ref="F309:H309"/>
    <mergeCell ref="A310:E310"/>
    <mergeCell ref="G310:H310"/>
    <mergeCell ref="A311:D311"/>
    <mergeCell ref="F311:H311"/>
    <mergeCell ref="A313:H313"/>
    <mergeCell ref="A322:D322"/>
    <mergeCell ref="F322:H322"/>
    <mergeCell ref="A323:D323"/>
    <mergeCell ref="F323:H323"/>
    <mergeCell ref="A324:E324"/>
    <mergeCell ref="G324:H324"/>
    <mergeCell ref="A325:D325"/>
    <mergeCell ref="F325:H325"/>
    <mergeCell ref="A327:H327"/>
    <mergeCell ref="A336:D336"/>
    <mergeCell ref="F336:H336"/>
    <mergeCell ref="A337:D337"/>
    <mergeCell ref="F337:H337"/>
    <mergeCell ref="A338:E338"/>
    <mergeCell ref="G338:H338"/>
    <mergeCell ref="A339:D339"/>
    <mergeCell ref="F339:H339"/>
    <mergeCell ref="A341:H341"/>
    <mergeCell ref="A350:D350"/>
    <mergeCell ref="F350:H350"/>
    <mergeCell ref="A351:D351"/>
    <mergeCell ref="F351:H351"/>
    <mergeCell ref="A352:E352"/>
    <mergeCell ref="G352:H352"/>
    <mergeCell ref="A353:D353"/>
    <mergeCell ref="F353:H353"/>
    <mergeCell ref="A355:H355"/>
    <mergeCell ref="A364:D364"/>
    <mergeCell ref="F364:H364"/>
    <mergeCell ref="A365:D365"/>
    <mergeCell ref="F365:H365"/>
    <mergeCell ref="A366:E366"/>
    <mergeCell ref="G366:H366"/>
    <mergeCell ref="A367:D367"/>
    <mergeCell ref="F367:H367"/>
    <mergeCell ref="A369:H369"/>
    <mergeCell ref="A378:D378"/>
    <mergeCell ref="F378:H378"/>
    <mergeCell ref="A379:D379"/>
    <mergeCell ref="F379:H379"/>
    <mergeCell ref="A380:E380"/>
    <mergeCell ref="G380:H380"/>
    <mergeCell ref="A381:D381"/>
    <mergeCell ref="F381:H381"/>
    <mergeCell ref="A383:H383"/>
    <mergeCell ref="A392:D392"/>
    <mergeCell ref="F392:H392"/>
    <mergeCell ref="A393:D393"/>
    <mergeCell ref="F393:H393"/>
    <mergeCell ref="A394:E394"/>
    <mergeCell ref="G394:H394"/>
    <mergeCell ref="A395:D395"/>
    <mergeCell ref="F395:H395"/>
    <mergeCell ref="A397:H397"/>
    <mergeCell ref="A406:D406"/>
    <mergeCell ref="F406:H406"/>
    <mergeCell ref="A407:D407"/>
    <mergeCell ref="F407:H407"/>
    <mergeCell ref="A408:E408"/>
    <mergeCell ref="G408:H408"/>
    <mergeCell ref="A409:D409"/>
    <mergeCell ref="F409:H409"/>
    <mergeCell ref="A411:H411"/>
    <mergeCell ref="A420:D420"/>
    <mergeCell ref="F420:H420"/>
    <mergeCell ref="A421:D421"/>
    <mergeCell ref="F421:H421"/>
    <mergeCell ref="A422:E422"/>
    <mergeCell ref="G422:H422"/>
    <mergeCell ref="A423:D423"/>
    <mergeCell ref="F423:H423"/>
    <mergeCell ref="A425:H425"/>
    <mergeCell ref="A434:D434"/>
    <mergeCell ref="F434:H434"/>
    <mergeCell ref="A435:D435"/>
    <mergeCell ref="F435:H435"/>
    <mergeCell ref="A436:E436"/>
    <mergeCell ref="G436:H436"/>
    <mergeCell ref="A437:D437"/>
    <mergeCell ref="F437:H437"/>
    <mergeCell ref="A439:H439"/>
    <mergeCell ref="A448:D448"/>
    <mergeCell ref="F448:H448"/>
    <mergeCell ref="A449:D449"/>
    <mergeCell ref="F449:H449"/>
    <mergeCell ref="A450:E450"/>
    <mergeCell ref="G450:H450"/>
    <mergeCell ref="A451:D451"/>
    <mergeCell ref="F451:H451"/>
    <mergeCell ref="A453:H453"/>
    <mergeCell ref="A462:D462"/>
    <mergeCell ref="F462:H462"/>
    <mergeCell ref="A463:D463"/>
    <mergeCell ref="F463:H463"/>
    <mergeCell ref="A464:E464"/>
    <mergeCell ref="G464:H464"/>
    <mergeCell ref="A465:D465"/>
    <mergeCell ref="F465:H465"/>
    <mergeCell ref="A467:H467"/>
    <mergeCell ref="A476:D476"/>
    <mergeCell ref="F476:H476"/>
    <mergeCell ref="A477:D477"/>
    <mergeCell ref="F477:H477"/>
    <mergeCell ref="A478:E478"/>
    <mergeCell ref="G478:H478"/>
    <mergeCell ref="A479:D479"/>
    <mergeCell ref="F479:H479"/>
    <mergeCell ref="A481:H481"/>
    <mergeCell ref="A490:D490"/>
    <mergeCell ref="F490:H490"/>
    <mergeCell ref="A491:D491"/>
    <mergeCell ref="F491:H491"/>
    <mergeCell ref="A492:E492"/>
    <mergeCell ref="G492:H492"/>
    <mergeCell ref="A493:D493"/>
    <mergeCell ref="F493:H493"/>
    <mergeCell ref="A495:H495"/>
    <mergeCell ref="A504:D504"/>
    <mergeCell ref="F504:H504"/>
    <mergeCell ref="A505:D505"/>
    <mergeCell ref="F505:H505"/>
    <mergeCell ref="A506:E506"/>
    <mergeCell ref="G506:H506"/>
    <mergeCell ref="A507:D507"/>
    <mergeCell ref="F507:H507"/>
    <mergeCell ref="A509:H509"/>
    <mergeCell ref="A518:D518"/>
    <mergeCell ref="F518:H518"/>
    <mergeCell ref="A519:D519"/>
    <mergeCell ref="F519:H519"/>
    <mergeCell ref="A520:E520"/>
    <mergeCell ref="G520:H520"/>
    <mergeCell ref="A521:D521"/>
    <mergeCell ref="F521:H521"/>
    <mergeCell ref="A523:H523"/>
    <mergeCell ref="A532:D532"/>
    <mergeCell ref="F532:H532"/>
    <mergeCell ref="A533:D533"/>
    <mergeCell ref="F533:H533"/>
    <mergeCell ref="A534:E534"/>
    <mergeCell ref="G534:H534"/>
    <mergeCell ref="A535:D535"/>
    <mergeCell ref="F535:H535"/>
    <mergeCell ref="A537:H537"/>
    <mergeCell ref="A546:D546"/>
    <mergeCell ref="F546:H546"/>
    <mergeCell ref="A547:D547"/>
    <mergeCell ref="F547:H547"/>
    <mergeCell ref="A548:E548"/>
    <mergeCell ref="G548:H548"/>
    <mergeCell ref="A549:D549"/>
    <mergeCell ref="F549:H549"/>
    <mergeCell ref="A551:H551"/>
    <mergeCell ref="A560:D560"/>
    <mergeCell ref="F560:H560"/>
    <mergeCell ref="A561:D561"/>
    <mergeCell ref="F561:H561"/>
    <mergeCell ref="A562:E562"/>
    <mergeCell ref="G562:H562"/>
    <mergeCell ref="A563:D563"/>
    <mergeCell ref="F563:H563"/>
    <mergeCell ref="A565:H565"/>
    <mergeCell ref="A574:D574"/>
    <mergeCell ref="F574:H574"/>
    <mergeCell ref="A575:D575"/>
    <mergeCell ref="F575:H575"/>
    <mergeCell ref="A576:E576"/>
    <mergeCell ref="G576:H576"/>
    <mergeCell ref="A577:D577"/>
    <mergeCell ref="F577:H577"/>
    <mergeCell ref="A579:H579"/>
    <mergeCell ref="A588:D588"/>
    <mergeCell ref="F588:H588"/>
    <mergeCell ref="A589:D589"/>
    <mergeCell ref="F589:H589"/>
    <mergeCell ref="A590:E590"/>
    <mergeCell ref="G590:H590"/>
    <mergeCell ref="A591:D591"/>
    <mergeCell ref="F591:H591"/>
    <mergeCell ref="A593:H593"/>
    <mergeCell ref="A602:D602"/>
    <mergeCell ref="F602:H602"/>
    <mergeCell ref="A603:D603"/>
    <mergeCell ref="F603:H603"/>
    <mergeCell ref="A604:E604"/>
    <mergeCell ref="G604:H604"/>
    <mergeCell ref="A605:D605"/>
    <mergeCell ref="F605:H605"/>
    <mergeCell ref="A607:H607"/>
    <mergeCell ref="A616:D616"/>
    <mergeCell ref="F616:H616"/>
    <mergeCell ref="A617:D617"/>
    <mergeCell ref="F617:H617"/>
    <mergeCell ref="A618:E618"/>
    <mergeCell ref="G618:H618"/>
    <mergeCell ref="A619:D619"/>
    <mergeCell ref="F619:H619"/>
    <mergeCell ref="A621:H621"/>
    <mergeCell ref="A630:D630"/>
    <mergeCell ref="F630:H630"/>
    <mergeCell ref="A631:D631"/>
    <mergeCell ref="F631:H631"/>
    <mergeCell ref="A632:E632"/>
    <mergeCell ref="G632:H632"/>
    <mergeCell ref="A633:D633"/>
    <mergeCell ref="F633:H633"/>
    <mergeCell ref="A635:H635"/>
    <mergeCell ref="A644:D644"/>
    <mergeCell ref="F644:H644"/>
    <mergeCell ref="A645:D645"/>
    <mergeCell ref="F645:H645"/>
    <mergeCell ref="A646:E646"/>
    <mergeCell ref="G646:H646"/>
    <mergeCell ref="A647:D647"/>
    <mergeCell ref="F647:H647"/>
    <mergeCell ref="A649:H649"/>
    <mergeCell ref="A658:D658"/>
    <mergeCell ref="F658:H658"/>
    <mergeCell ref="A659:D659"/>
    <mergeCell ref="F659:H659"/>
    <mergeCell ref="A660:E660"/>
    <mergeCell ref="G660:H660"/>
    <mergeCell ref="A661:D661"/>
    <mergeCell ref="F661:H661"/>
    <mergeCell ref="A663:H663"/>
    <mergeCell ref="A672:D672"/>
    <mergeCell ref="F672:H672"/>
    <mergeCell ref="A673:D673"/>
    <mergeCell ref="F673:H673"/>
    <mergeCell ref="A674:E674"/>
    <mergeCell ref="G674:H674"/>
    <mergeCell ref="A675:D675"/>
    <mergeCell ref="F675:H675"/>
    <mergeCell ref="A677:H677"/>
    <mergeCell ref="A686:D686"/>
    <mergeCell ref="F686:H686"/>
    <mergeCell ref="A687:D687"/>
    <mergeCell ref="F687:H687"/>
    <mergeCell ref="A688:E688"/>
    <mergeCell ref="G688:H688"/>
    <mergeCell ref="A689:D689"/>
    <mergeCell ref="F689:H689"/>
    <mergeCell ref="A691:H691"/>
    <mergeCell ref="A700:D700"/>
    <mergeCell ref="F700:H700"/>
    <mergeCell ref="A701:D701"/>
    <mergeCell ref="F701:H701"/>
    <mergeCell ref="A702:E702"/>
    <mergeCell ref="G702:H702"/>
    <mergeCell ref="A703:D703"/>
    <mergeCell ref="F703:H703"/>
    <mergeCell ref="A705:H705"/>
    <mergeCell ref="A714:D714"/>
    <mergeCell ref="F714:H714"/>
    <mergeCell ref="A715:D715"/>
    <mergeCell ref="F715:H715"/>
    <mergeCell ref="A716:E716"/>
    <mergeCell ref="G716:H716"/>
    <mergeCell ref="A717:D717"/>
    <mergeCell ref="F717:H717"/>
    <mergeCell ref="A719:H719"/>
    <mergeCell ref="A728:D728"/>
    <mergeCell ref="F728:H728"/>
    <mergeCell ref="A729:D729"/>
    <mergeCell ref="F729:H729"/>
    <mergeCell ref="A730:E730"/>
    <mergeCell ref="G730:H730"/>
    <mergeCell ref="A731:D731"/>
    <mergeCell ref="F731:H731"/>
    <mergeCell ref="A733:H733"/>
    <mergeCell ref="A742:D742"/>
    <mergeCell ref="F742:H742"/>
    <mergeCell ref="A743:D743"/>
    <mergeCell ref="F743:H743"/>
    <mergeCell ref="A744:E744"/>
    <mergeCell ref="G744:H744"/>
    <mergeCell ref="A745:D745"/>
    <mergeCell ref="F745:H745"/>
  </mergeCells>
  <conditionalFormatting sqref="A5:H746">
    <cfRule type="expression" priority="2" aboveAverage="0" equalAverage="0" bottom="0" percent="0" rank="0" text="" dxfId="1">
      <formula>AND($M5=0,N($T5)&lt;&gt;2)</formula>
    </cfRule>
    <cfRule type="expression" priority="3" aboveAverage="0" equalAverage="0" bottom="0" percent="0" rank="0" text="" dxfId="2">
      <formula>AND($R5=CURWK,$Q5=0)</formula>
    </cfRule>
    <cfRule type="expression" priority="4" aboveAverage="0" equalAverage="0" bottom="0" percent="0" rank="0" text="" dxfId="3">
      <formula>AND($Q5=1,N($T5)=0)</formula>
    </cfRule>
  </conditionalFormatting>
  <conditionalFormatting sqref="A5:B746">
    <cfRule type="expression" priority="5" aboveAverage="0" equalAverage="0" bottom="0" percent="0" rank="0" text="" dxfId="4">
      <formula>AND($S5=CURWK,$R5&lt;&gt;CURWK,ISNUMBER($A5))</formula>
    </cfRule>
  </conditionalFormatting>
  <dataValidations count="2">
    <dataValidation allowBlank="true" errorStyle="stop" operator="between" showDropDown="false" showErrorMessage="false" showInputMessage="false" sqref="C7:D13 C21:D27 C35:D41 C49:D55 C63:D69 C77:D83 C91:D97 C105:D111 C119:D125 C133:D139 C147:D153 C161:D167 C175:D181 C189:D195 C203:D209 C217:D223 C231:D237 C245:D251 C259:D265 C273:D279 C287:D293 C301:D307 C315:D321 C329:D335 C343:D349 C357:D363 C371:D377 C385:D391 C399:D405 C413:D419 C427:D433 C441:D447 C455:D461 C469:D475 C483:D489 C497:D503 C511:D517 C525:D531 C539:D545 C553:D559 C567:D573 C581:D587 C595:D601 C609:D615 C623:D629 C637:D643 C651:D657 C665:D671 C679:D685 C693:D699 C707:D713 C721:D727 C735:D741" type="list">
      <formula1>القوائم!$A$1:$A$288</formula1>
      <formula2>0</formula2>
    </dataValidation>
    <dataValidation allowBlank="true" errorStyle="stop" operator="between" showDropDown="false" showErrorMessage="false" showInputMessage="false" sqref="G7:G13 G21:G27 G35:G41 G49:G55 G63:G69 G77:G83 G91:G97 G105:G111 G119:G125 G133:G139 G147:G153 G161:G167 G175:G181 G189:G195 G203:G209 G217:G223 G231:G237 G245:G251 G259:G265 G273:G279 G287:G293 G301:G307 G315:G321 G329:G335 G343:G349 G357:G363 G371:G377 G385:G391 G399:G405 G413:G419 G427:G433 G441:G447 G455:G461 G469:G475 G483:G489 G497:G503 G511:G517 G525:G531 G539:G545 G553:G559 G567:G573 G581:G587 G595:G601 G609:G615 G623:G629 G637:G643 G651:G657 G665:G671 G679:G685 G693:G699 G707:G713 G721:G727 G735:G741" type="list">
      <formula1>"نعم,لا"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11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3"/>
    <col collapsed="false" customWidth="true" hidden="false" outlineLevel="0" max="3" min="3" style="0" width="16"/>
    <col collapsed="false" customWidth="true" hidden="false" outlineLevel="0" max="4" min="4" style="0" width="15"/>
    <col collapsed="false" customWidth="true" hidden="false" outlineLevel="0" max="5" min="5" style="0" width="34"/>
    <col collapsed="false" customWidth="true" hidden="false" outlineLevel="0" max="6" min="6" style="0" width="30"/>
    <col collapsed="false" customWidth="true" hidden="true" outlineLevel="0" max="10" min="7" style="0" width="13"/>
  </cols>
  <sheetData>
    <row r="1" customFormat="false" ht="39.75" hidden="false" customHeight="true" outlineLevel="0" collapsed="false">
      <c r="A1" s="41" t="s">
        <v>31</v>
      </c>
      <c r="B1" s="41"/>
      <c r="C1" s="41"/>
      <c r="D1" s="41"/>
      <c r="E1" s="41"/>
      <c r="F1" s="41"/>
    </row>
    <row r="3" customFormat="false" ht="45.75" hidden="false" customHeight="true" outlineLevel="0" collapsed="false">
      <c r="A3" s="21" t="s">
        <v>3</v>
      </c>
      <c r="B3" s="21" t="s">
        <v>32</v>
      </c>
      <c r="C3" s="21" t="s">
        <v>33</v>
      </c>
      <c r="D3" s="21"/>
      <c r="E3" s="21"/>
      <c r="F3" s="21"/>
    </row>
    <row r="4" customFormat="false" ht="15" hidden="false" customHeight="false" outlineLevel="0" collapsed="false">
      <c r="A4" s="9" t="s">
        <v>12</v>
      </c>
      <c r="B4" s="42" t="n">
        <f aca="false">SUMIFS(ADV_AMT,ADV_E,A4)</f>
        <v>0</v>
      </c>
      <c r="C4" s="42" t="n">
        <f aca="false">SUMIFS(ADV_AMT,ADV_E,A4,ADV_W,WK)</f>
        <v>0</v>
      </c>
    </row>
    <row r="5" customFormat="false" ht="15" hidden="false" customHeight="false" outlineLevel="0" collapsed="false">
      <c r="A5" s="9" t="s">
        <v>13</v>
      </c>
      <c r="B5" s="42" t="n">
        <f aca="false">SUMIFS(ADV_AMT,ADV_E,A5)</f>
        <v>0</v>
      </c>
      <c r="C5" s="42" t="n">
        <f aca="false">SUMIFS(ADV_AMT,ADV_E,A5,ADV_W,WK)</f>
        <v>0</v>
      </c>
    </row>
    <row r="7" customFormat="false" ht="33.75" hidden="false" customHeight="true" outlineLevel="0" collapsed="false">
      <c r="A7" s="4" t="s">
        <v>34</v>
      </c>
      <c r="B7" s="4"/>
      <c r="C7" s="4"/>
      <c r="D7" s="4"/>
      <c r="E7" s="4"/>
      <c r="F7" s="4"/>
    </row>
    <row r="9" customFormat="false" ht="43.5" hidden="false" customHeight="true" outlineLevel="0" collapsed="false">
      <c r="A9" s="8" t="s">
        <v>18</v>
      </c>
      <c r="B9" s="8" t="s">
        <v>19</v>
      </c>
      <c r="C9" s="8" t="s">
        <v>3</v>
      </c>
      <c r="D9" s="8" t="s">
        <v>35</v>
      </c>
      <c r="E9" s="8" t="s">
        <v>36</v>
      </c>
      <c r="F9" s="8" t="s">
        <v>37</v>
      </c>
    </row>
    <row r="10" customFormat="false" ht="15" hidden="false" customHeight="false" outlineLevel="0" collapsed="false">
      <c r="A10" s="43"/>
      <c r="B10" s="23" t="str">
        <f aca="false">IF(G10="","",CHOOSE(WEEKDAY(G10,1),"الأحد","الاثنين","الثلاثاء","الأربعاء","الخميس","الجمعة","السبت")&amp;IF(OR(ISNUMBER(A10),LEN(TRIM(A10))&gt;=10),"","  "&amp;TEXT(DAY(G10),"00")&amp;"/"&amp;TEXT(MONTH(G10),"00")&amp;"/"&amp;YEAR(G10)))</f>
        <v/>
      </c>
      <c r="C10" s="24"/>
      <c r="D10" s="44"/>
      <c r="E10" s="27"/>
      <c r="F10" s="45" t="str">
        <f aca="false">IF(A10="","",IF(G10="","⛔ التاريخ غلط — اختاره من القائمة أو اكتبه كامل 05/10/2026",IF(OR(H10&lt;1,H10&gt;NW),"⛔ التاريخ برّا السنة",IF(AND(N(D10)&gt;0,N(J10)&gt;0,D10&gt;ADV_CAP*J10),"⚠️ أكثر من "&amp;TEXT(ADV_CAP,"0%")&amp;" من شغله ("&amp;TEXT(J10,"0.000")&amp;")",""))))</f>
        <v/>
      </c>
      <c r="G10" s="0" t="str">
        <f aca="true">IF(A10="","",IF(ISNUMBER(A10),IF(A10&gt;=36526,A10,""),IFERROR(DATE(VALUE(RIGHT(RIGHT(TRIM(A10),10),4)),VALUE(MID(RIGHT(TRIM(A10),10),4,2)),VALUE(LEFT(RIGHT(TRIM(A10),10),2))),IFERROR(TODAY()-MOD(WEEKDAY(TODAY(),1)-MATCH(TRIM(A10),{"الأحد","الاثنين","الثلاثاء","الأربعاء","الخميس","الجمعة","السبت"},0),7),IFERROR(DATEVALUE(A10),"")))))</f>
        <v/>
      </c>
      <c r="H10" s="0" t="str">
        <f aca="false">IF(G10="","",INT((G10-WEEK_ONE)/7)+1)</f>
        <v/>
      </c>
      <c r="I10" s="0" t="str">
        <f aca="false">IF(H10="","",IF(OR(H10&lt;1,H10&gt;NW),"",INDEX(WMON,H10)))</f>
        <v/>
      </c>
      <c r="J10" s="0" t="str">
        <f aca="false">IF(OR(G10="",H10="",C10=""),"",IF(C10="عمر المصري",SUMIFS('ساعات عمر'!$H$5:$H$746,'ساعات عمر'!$A$5:$A$746,"&gt;="&amp;(WEEK_ONE+7*(H10-1)),'ساعات عمر'!$A$5:$A$746,"&lt;="&amp;G10),SUMIFS('ساعات عبدالعزيز'!$F$5:$F$746,'ساعات عبدالعزيز'!$A$5:$A$746,"&gt;="&amp;(WEEK_ONE+7*(H10-1)),'ساعات عبدالعزيز'!$A$5:$A$746,"&lt;="&amp;G10)))</f>
        <v/>
      </c>
    </row>
    <row r="11" customFormat="false" ht="15" hidden="false" customHeight="false" outlineLevel="0" collapsed="false">
      <c r="A11" s="43"/>
      <c r="B11" s="23" t="str">
        <f aca="false">IF(G11="","",CHOOSE(WEEKDAY(G11,1),"الأحد","الاثنين","الثلاثاء","الأربعاء","الخميس","الجمعة","السبت")&amp;IF(OR(ISNUMBER(A11),LEN(TRIM(A11))&gt;=10),"","  "&amp;TEXT(DAY(G11),"00")&amp;"/"&amp;TEXT(MONTH(G11),"00")&amp;"/"&amp;YEAR(G11)))</f>
        <v/>
      </c>
      <c r="C11" s="24"/>
      <c r="D11" s="44"/>
      <c r="E11" s="27"/>
      <c r="F11" s="45" t="str">
        <f aca="false">IF(A11="","",IF(G11="","⛔ التاريخ غلط — اختاره من القائمة أو اكتبه كامل 05/10/2026",IF(OR(H11&lt;1,H11&gt;NW),"⛔ التاريخ برّا السنة",IF(AND(N(D11)&gt;0,N(J11)&gt;0,D11&gt;ADV_CAP*J11),"⚠️ أكثر من "&amp;TEXT(ADV_CAP,"0%")&amp;" من شغله ("&amp;TEXT(J11,"0.000")&amp;")",""))))</f>
        <v/>
      </c>
      <c r="G11" s="0" t="str">
        <f aca="true">IF(A11="","",IF(ISNUMBER(A11),IF(A11&gt;=36526,A11,""),IFERROR(DATE(VALUE(RIGHT(RIGHT(TRIM(A11),10),4)),VALUE(MID(RIGHT(TRIM(A11),10),4,2)),VALUE(LEFT(RIGHT(TRIM(A11),10),2))),IFERROR(TODAY()-MOD(WEEKDAY(TODAY(),1)-MATCH(TRIM(A11),{"الأحد","الاثنين","الثلاثاء","الأربعاء","الخميس","الجمعة","السبت"},0),7),IFERROR(DATEVALUE(A11),"")))))</f>
        <v/>
      </c>
      <c r="H11" s="0" t="str">
        <f aca="false">IF(G11="","",INT((G11-WEEK_ONE)/7)+1)</f>
        <v/>
      </c>
      <c r="I11" s="0" t="str">
        <f aca="false">IF(H11="","",IF(OR(H11&lt;1,H11&gt;NW),"",INDEX(WMON,H11)))</f>
        <v/>
      </c>
      <c r="J11" s="0" t="str">
        <f aca="false">IF(OR(G11="",H11="",C11=""),"",IF(C11="عمر المصري",SUMIFS('ساعات عمر'!$H$5:$H$746,'ساعات عمر'!$A$5:$A$746,"&gt;="&amp;(WEEK_ONE+7*(H11-1)),'ساعات عمر'!$A$5:$A$746,"&lt;="&amp;G11),SUMIFS('ساعات عبدالعزيز'!$F$5:$F$746,'ساعات عبدالعزيز'!$A$5:$A$746,"&gt;="&amp;(WEEK_ONE+7*(H11-1)),'ساعات عبدالعزيز'!$A$5:$A$746,"&lt;="&amp;G11)))</f>
        <v/>
      </c>
    </row>
    <row r="12" customFormat="false" ht="15" hidden="false" customHeight="false" outlineLevel="0" collapsed="false">
      <c r="A12" s="43"/>
      <c r="B12" s="23" t="str">
        <f aca="false">IF(G12="","",CHOOSE(WEEKDAY(G12,1),"الأحد","الاثنين","الثلاثاء","الأربعاء","الخميس","الجمعة","السبت")&amp;IF(OR(ISNUMBER(A12),LEN(TRIM(A12))&gt;=10),"","  "&amp;TEXT(DAY(G12),"00")&amp;"/"&amp;TEXT(MONTH(G12),"00")&amp;"/"&amp;YEAR(G12)))</f>
        <v/>
      </c>
      <c r="C12" s="24"/>
      <c r="D12" s="44"/>
      <c r="E12" s="27"/>
      <c r="F12" s="45" t="str">
        <f aca="false">IF(A12="","",IF(G12="","⛔ التاريخ غلط — اختاره من القائمة أو اكتبه كامل 05/10/2026",IF(OR(H12&lt;1,H12&gt;NW),"⛔ التاريخ برّا السنة",IF(AND(N(D12)&gt;0,N(J12)&gt;0,D12&gt;ADV_CAP*J12),"⚠️ أكثر من "&amp;TEXT(ADV_CAP,"0%")&amp;" من شغله ("&amp;TEXT(J12,"0.000")&amp;")",""))))</f>
        <v/>
      </c>
      <c r="G12" s="0" t="str">
        <f aca="true">IF(A12="","",IF(ISNUMBER(A12),IF(A12&gt;=36526,A12,""),IFERROR(DATE(VALUE(RIGHT(RIGHT(TRIM(A12),10),4)),VALUE(MID(RIGHT(TRIM(A12),10),4,2)),VALUE(LEFT(RIGHT(TRIM(A12),10),2))),IFERROR(TODAY()-MOD(WEEKDAY(TODAY(),1)-MATCH(TRIM(A12),{"الأحد","الاثنين","الثلاثاء","الأربعاء","الخميس","الجمعة","السبت"},0),7),IFERROR(DATEVALUE(A12),"")))))</f>
        <v/>
      </c>
      <c r="H12" s="0" t="str">
        <f aca="false">IF(G12="","",INT((G12-WEEK_ONE)/7)+1)</f>
        <v/>
      </c>
      <c r="I12" s="0" t="str">
        <f aca="false">IF(H12="","",IF(OR(H12&lt;1,H12&gt;NW),"",INDEX(WMON,H12)))</f>
        <v/>
      </c>
      <c r="J12" s="0" t="str">
        <f aca="false">IF(OR(G12="",H12="",C12=""),"",IF(C12="عمر المصري",SUMIFS('ساعات عمر'!$H$5:$H$746,'ساعات عمر'!$A$5:$A$746,"&gt;="&amp;(WEEK_ONE+7*(H12-1)),'ساعات عمر'!$A$5:$A$746,"&lt;="&amp;G12),SUMIFS('ساعات عبدالعزيز'!$F$5:$F$746,'ساعات عبدالعزيز'!$A$5:$A$746,"&gt;="&amp;(WEEK_ONE+7*(H12-1)),'ساعات عبدالعزيز'!$A$5:$A$746,"&lt;="&amp;G12)))</f>
        <v/>
      </c>
    </row>
    <row r="13" customFormat="false" ht="15" hidden="false" customHeight="false" outlineLevel="0" collapsed="false">
      <c r="A13" s="43"/>
      <c r="B13" s="23" t="str">
        <f aca="false">IF(G13="","",CHOOSE(WEEKDAY(G13,1),"الأحد","الاثنين","الثلاثاء","الأربعاء","الخميس","الجمعة","السبت")&amp;IF(OR(ISNUMBER(A13),LEN(TRIM(A13))&gt;=10),"","  "&amp;TEXT(DAY(G13),"00")&amp;"/"&amp;TEXT(MONTH(G13),"00")&amp;"/"&amp;YEAR(G13)))</f>
        <v/>
      </c>
      <c r="C13" s="24"/>
      <c r="D13" s="44"/>
      <c r="E13" s="27"/>
      <c r="F13" s="45" t="str">
        <f aca="false">IF(A13="","",IF(G13="","⛔ التاريخ غلط — اختاره من القائمة أو اكتبه كامل 05/10/2026",IF(OR(H13&lt;1,H13&gt;NW),"⛔ التاريخ برّا السنة",IF(AND(N(D13)&gt;0,N(J13)&gt;0,D13&gt;ADV_CAP*J13),"⚠️ أكثر من "&amp;TEXT(ADV_CAP,"0%")&amp;" من شغله ("&amp;TEXT(J13,"0.000")&amp;")",""))))</f>
        <v/>
      </c>
      <c r="G13" s="0" t="str">
        <f aca="true">IF(A13="","",IF(ISNUMBER(A13),IF(A13&gt;=36526,A13,""),IFERROR(DATE(VALUE(RIGHT(RIGHT(TRIM(A13),10),4)),VALUE(MID(RIGHT(TRIM(A13),10),4,2)),VALUE(LEFT(RIGHT(TRIM(A13),10),2))),IFERROR(TODAY()-MOD(WEEKDAY(TODAY(),1)-MATCH(TRIM(A13),{"الأحد","الاثنين","الثلاثاء","الأربعاء","الخميس","الجمعة","السبت"},0),7),IFERROR(DATEVALUE(A13),"")))))</f>
        <v/>
      </c>
      <c r="H13" s="0" t="str">
        <f aca="false">IF(G13="","",INT((G13-WEEK_ONE)/7)+1)</f>
        <v/>
      </c>
      <c r="I13" s="0" t="str">
        <f aca="false">IF(H13="","",IF(OR(H13&lt;1,H13&gt;NW),"",INDEX(WMON,H13)))</f>
        <v/>
      </c>
      <c r="J13" s="0" t="str">
        <f aca="false">IF(OR(G13="",H13="",C13=""),"",IF(C13="عمر المصري",SUMIFS('ساعات عمر'!$H$5:$H$746,'ساعات عمر'!$A$5:$A$746,"&gt;="&amp;(WEEK_ONE+7*(H13-1)),'ساعات عمر'!$A$5:$A$746,"&lt;="&amp;G13),SUMIFS('ساعات عبدالعزيز'!$F$5:$F$746,'ساعات عبدالعزيز'!$A$5:$A$746,"&gt;="&amp;(WEEK_ONE+7*(H13-1)),'ساعات عبدالعزيز'!$A$5:$A$746,"&lt;="&amp;G13)))</f>
        <v/>
      </c>
    </row>
    <row r="14" customFormat="false" ht="15" hidden="false" customHeight="false" outlineLevel="0" collapsed="false">
      <c r="A14" s="43"/>
      <c r="B14" s="23" t="str">
        <f aca="false">IF(G14="","",CHOOSE(WEEKDAY(G14,1),"الأحد","الاثنين","الثلاثاء","الأربعاء","الخميس","الجمعة","السبت")&amp;IF(OR(ISNUMBER(A14),LEN(TRIM(A14))&gt;=10),"","  "&amp;TEXT(DAY(G14),"00")&amp;"/"&amp;TEXT(MONTH(G14),"00")&amp;"/"&amp;YEAR(G14)))</f>
        <v/>
      </c>
      <c r="C14" s="24"/>
      <c r="D14" s="44"/>
      <c r="E14" s="27"/>
      <c r="F14" s="45" t="str">
        <f aca="false">IF(A14="","",IF(G14="","⛔ التاريخ غلط — اختاره من القائمة أو اكتبه كامل 05/10/2026",IF(OR(H14&lt;1,H14&gt;NW),"⛔ التاريخ برّا السنة",IF(AND(N(D14)&gt;0,N(J14)&gt;0,D14&gt;ADV_CAP*J14),"⚠️ أكثر من "&amp;TEXT(ADV_CAP,"0%")&amp;" من شغله ("&amp;TEXT(J14,"0.000")&amp;")",""))))</f>
        <v/>
      </c>
      <c r="G14" s="0" t="str">
        <f aca="true">IF(A14="","",IF(ISNUMBER(A14),IF(A14&gt;=36526,A14,""),IFERROR(DATE(VALUE(RIGHT(RIGHT(TRIM(A14),10),4)),VALUE(MID(RIGHT(TRIM(A14),10),4,2)),VALUE(LEFT(RIGHT(TRIM(A14),10),2))),IFERROR(TODAY()-MOD(WEEKDAY(TODAY(),1)-MATCH(TRIM(A14),{"الأحد","الاثنين","الثلاثاء","الأربعاء","الخميس","الجمعة","السبت"},0),7),IFERROR(DATEVALUE(A14),"")))))</f>
        <v/>
      </c>
      <c r="H14" s="0" t="str">
        <f aca="false">IF(G14="","",INT((G14-WEEK_ONE)/7)+1)</f>
        <v/>
      </c>
      <c r="I14" s="0" t="str">
        <f aca="false">IF(H14="","",IF(OR(H14&lt;1,H14&gt;NW),"",INDEX(WMON,H14)))</f>
        <v/>
      </c>
      <c r="J14" s="0" t="str">
        <f aca="false">IF(OR(G14="",H14="",C14=""),"",IF(C14="عمر المصري",SUMIFS('ساعات عمر'!$H$5:$H$746,'ساعات عمر'!$A$5:$A$746,"&gt;="&amp;(WEEK_ONE+7*(H14-1)),'ساعات عمر'!$A$5:$A$746,"&lt;="&amp;G14),SUMIFS('ساعات عبدالعزيز'!$F$5:$F$746,'ساعات عبدالعزيز'!$A$5:$A$746,"&gt;="&amp;(WEEK_ONE+7*(H14-1)),'ساعات عبدالعزيز'!$A$5:$A$746,"&lt;="&amp;G14)))</f>
        <v/>
      </c>
    </row>
    <row r="15" customFormat="false" ht="15" hidden="false" customHeight="false" outlineLevel="0" collapsed="false">
      <c r="A15" s="43"/>
      <c r="B15" s="23" t="str">
        <f aca="false">IF(G15="","",CHOOSE(WEEKDAY(G15,1),"الأحد","الاثنين","الثلاثاء","الأربعاء","الخميس","الجمعة","السبت")&amp;IF(OR(ISNUMBER(A15),LEN(TRIM(A15))&gt;=10),"","  "&amp;TEXT(DAY(G15),"00")&amp;"/"&amp;TEXT(MONTH(G15),"00")&amp;"/"&amp;YEAR(G15)))</f>
        <v/>
      </c>
      <c r="C15" s="24"/>
      <c r="D15" s="44"/>
      <c r="E15" s="27"/>
      <c r="F15" s="45" t="str">
        <f aca="false">IF(A15="","",IF(G15="","⛔ التاريخ غلط — اختاره من القائمة أو اكتبه كامل 05/10/2026",IF(OR(H15&lt;1,H15&gt;NW),"⛔ التاريخ برّا السنة",IF(AND(N(D15)&gt;0,N(J15)&gt;0,D15&gt;ADV_CAP*J15),"⚠️ أكثر من "&amp;TEXT(ADV_CAP,"0%")&amp;" من شغله ("&amp;TEXT(J15,"0.000")&amp;")",""))))</f>
        <v/>
      </c>
      <c r="G15" s="0" t="str">
        <f aca="true">IF(A15="","",IF(ISNUMBER(A15),IF(A15&gt;=36526,A15,""),IFERROR(DATE(VALUE(RIGHT(RIGHT(TRIM(A15),10),4)),VALUE(MID(RIGHT(TRIM(A15),10),4,2)),VALUE(LEFT(RIGHT(TRIM(A15),10),2))),IFERROR(TODAY()-MOD(WEEKDAY(TODAY(),1)-MATCH(TRIM(A15),{"الأحد","الاثنين","الثلاثاء","الأربعاء","الخميس","الجمعة","السبت"},0),7),IFERROR(DATEVALUE(A15),"")))))</f>
        <v/>
      </c>
      <c r="H15" s="0" t="str">
        <f aca="false">IF(G15="","",INT((G15-WEEK_ONE)/7)+1)</f>
        <v/>
      </c>
      <c r="I15" s="0" t="str">
        <f aca="false">IF(H15="","",IF(OR(H15&lt;1,H15&gt;NW),"",INDEX(WMON,H15)))</f>
        <v/>
      </c>
      <c r="J15" s="0" t="str">
        <f aca="false">IF(OR(G15="",H15="",C15=""),"",IF(C15="عمر المصري",SUMIFS('ساعات عمر'!$H$5:$H$746,'ساعات عمر'!$A$5:$A$746,"&gt;="&amp;(WEEK_ONE+7*(H15-1)),'ساعات عمر'!$A$5:$A$746,"&lt;="&amp;G15),SUMIFS('ساعات عبدالعزيز'!$F$5:$F$746,'ساعات عبدالعزيز'!$A$5:$A$746,"&gt;="&amp;(WEEK_ONE+7*(H15-1)),'ساعات عبدالعزيز'!$A$5:$A$746,"&lt;="&amp;G15)))</f>
        <v/>
      </c>
    </row>
    <row r="16" customFormat="false" ht="15" hidden="false" customHeight="false" outlineLevel="0" collapsed="false">
      <c r="A16" s="43"/>
      <c r="B16" s="23" t="str">
        <f aca="false">IF(G16="","",CHOOSE(WEEKDAY(G16,1),"الأحد","الاثنين","الثلاثاء","الأربعاء","الخميس","الجمعة","السبت")&amp;IF(OR(ISNUMBER(A16),LEN(TRIM(A16))&gt;=10),"","  "&amp;TEXT(DAY(G16),"00")&amp;"/"&amp;TEXT(MONTH(G16),"00")&amp;"/"&amp;YEAR(G16)))</f>
        <v/>
      </c>
      <c r="C16" s="24"/>
      <c r="D16" s="44"/>
      <c r="E16" s="27"/>
      <c r="F16" s="45" t="str">
        <f aca="false">IF(A16="","",IF(G16="","⛔ التاريخ غلط — اختاره من القائمة أو اكتبه كامل 05/10/2026",IF(OR(H16&lt;1,H16&gt;NW),"⛔ التاريخ برّا السنة",IF(AND(N(D16)&gt;0,N(J16)&gt;0,D16&gt;ADV_CAP*J16),"⚠️ أكثر من "&amp;TEXT(ADV_CAP,"0%")&amp;" من شغله ("&amp;TEXT(J16,"0.000")&amp;")",""))))</f>
        <v/>
      </c>
      <c r="G16" s="0" t="str">
        <f aca="true">IF(A16="","",IF(ISNUMBER(A16),IF(A16&gt;=36526,A16,""),IFERROR(DATE(VALUE(RIGHT(RIGHT(TRIM(A16),10),4)),VALUE(MID(RIGHT(TRIM(A16),10),4,2)),VALUE(LEFT(RIGHT(TRIM(A16),10),2))),IFERROR(TODAY()-MOD(WEEKDAY(TODAY(),1)-MATCH(TRIM(A16),{"الأحد","الاثنين","الثلاثاء","الأربعاء","الخميس","الجمعة","السبت"},0),7),IFERROR(DATEVALUE(A16),"")))))</f>
        <v/>
      </c>
      <c r="H16" s="0" t="str">
        <f aca="false">IF(G16="","",INT((G16-WEEK_ONE)/7)+1)</f>
        <v/>
      </c>
      <c r="I16" s="0" t="str">
        <f aca="false">IF(H16="","",IF(OR(H16&lt;1,H16&gt;NW),"",INDEX(WMON,H16)))</f>
        <v/>
      </c>
      <c r="J16" s="0" t="str">
        <f aca="false">IF(OR(G16="",H16="",C16=""),"",IF(C16="عمر المصري",SUMIFS('ساعات عمر'!$H$5:$H$746,'ساعات عمر'!$A$5:$A$746,"&gt;="&amp;(WEEK_ONE+7*(H16-1)),'ساعات عمر'!$A$5:$A$746,"&lt;="&amp;G16),SUMIFS('ساعات عبدالعزيز'!$F$5:$F$746,'ساعات عبدالعزيز'!$A$5:$A$746,"&gt;="&amp;(WEEK_ONE+7*(H16-1)),'ساعات عبدالعزيز'!$A$5:$A$746,"&lt;="&amp;G16)))</f>
        <v/>
      </c>
    </row>
    <row r="17" customFormat="false" ht="15" hidden="false" customHeight="false" outlineLevel="0" collapsed="false">
      <c r="A17" s="43"/>
      <c r="B17" s="23" t="str">
        <f aca="false">IF(G17="","",CHOOSE(WEEKDAY(G17,1),"الأحد","الاثنين","الثلاثاء","الأربعاء","الخميس","الجمعة","السبت")&amp;IF(OR(ISNUMBER(A17),LEN(TRIM(A17))&gt;=10),"","  "&amp;TEXT(DAY(G17),"00")&amp;"/"&amp;TEXT(MONTH(G17),"00")&amp;"/"&amp;YEAR(G17)))</f>
        <v/>
      </c>
      <c r="C17" s="24"/>
      <c r="D17" s="44"/>
      <c r="E17" s="27"/>
      <c r="F17" s="45" t="str">
        <f aca="false">IF(A17="","",IF(G17="","⛔ التاريخ غلط — اختاره من القائمة أو اكتبه كامل 05/10/2026",IF(OR(H17&lt;1,H17&gt;NW),"⛔ التاريخ برّا السنة",IF(AND(N(D17)&gt;0,N(J17)&gt;0,D17&gt;ADV_CAP*J17),"⚠️ أكثر من "&amp;TEXT(ADV_CAP,"0%")&amp;" من شغله ("&amp;TEXT(J17,"0.000")&amp;")",""))))</f>
        <v/>
      </c>
      <c r="G17" s="0" t="str">
        <f aca="true">IF(A17="","",IF(ISNUMBER(A17),IF(A17&gt;=36526,A17,""),IFERROR(DATE(VALUE(RIGHT(RIGHT(TRIM(A17),10),4)),VALUE(MID(RIGHT(TRIM(A17),10),4,2)),VALUE(LEFT(RIGHT(TRIM(A17),10),2))),IFERROR(TODAY()-MOD(WEEKDAY(TODAY(),1)-MATCH(TRIM(A17),{"الأحد","الاثنين","الثلاثاء","الأربعاء","الخميس","الجمعة","السبت"},0),7),IFERROR(DATEVALUE(A17),"")))))</f>
        <v/>
      </c>
      <c r="H17" s="0" t="str">
        <f aca="false">IF(G17="","",INT((G17-WEEK_ONE)/7)+1)</f>
        <v/>
      </c>
      <c r="I17" s="0" t="str">
        <f aca="false">IF(H17="","",IF(OR(H17&lt;1,H17&gt;NW),"",INDEX(WMON,H17)))</f>
        <v/>
      </c>
      <c r="J17" s="0" t="str">
        <f aca="false">IF(OR(G17="",H17="",C17=""),"",IF(C17="عمر المصري",SUMIFS('ساعات عمر'!$H$5:$H$746,'ساعات عمر'!$A$5:$A$746,"&gt;="&amp;(WEEK_ONE+7*(H17-1)),'ساعات عمر'!$A$5:$A$746,"&lt;="&amp;G17),SUMIFS('ساعات عبدالعزيز'!$F$5:$F$746,'ساعات عبدالعزيز'!$A$5:$A$746,"&gt;="&amp;(WEEK_ONE+7*(H17-1)),'ساعات عبدالعزيز'!$A$5:$A$746,"&lt;="&amp;G17)))</f>
        <v/>
      </c>
    </row>
    <row r="18" customFormat="false" ht="15" hidden="false" customHeight="false" outlineLevel="0" collapsed="false">
      <c r="A18" s="43"/>
      <c r="B18" s="23" t="str">
        <f aca="false">IF(G18="","",CHOOSE(WEEKDAY(G18,1),"الأحد","الاثنين","الثلاثاء","الأربعاء","الخميس","الجمعة","السبت")&amp;IF(OR(ISNUMBER(A18),LEN(TRIM(A18))&gt;=10),"","  "&amp;TEXT(DAY(G18),"00")&amp;"/"&amp;TEXT(MONTH(G18),"00")&amp;"/"&amp;YEAR(G18)))</f>
        <v/>
      </c>
      <c r="C18" s="24"/>
      <c r="D18" s="44"/>
      <c r="E18" s="27"/>
      <c r="F18" s="45" t="str">
        <f aca="false">IF(A18="","",IF(G18="","⛔ التاريخ غلط — اختاره من القائمة أو اكتبه كامل 05/10/2026",IF(OR(H18&lt;1,H18&gt;NW),"⛔ التاريخ برّا السنة",IF(AND(N(D18)&gt;0,N(J18)&gt;0,D18&gt;ADV_CAP*J18),"⚠️ أكثر من "&amp;TEXT(ADV_CAP,"0%")&amp;" من شغله ("&amp;TEXT(J18,"0.000")&amp;")",""))))</f>
        <v/>
      </c>
      <c r="G18" s="0" t="str">
        <f aca="true">IF(A18="","",IF(ISNUMBER(A18),IF(A18&gt;=36526,A18,""),IFERROR(DATE(VALUE(RIGHT(RIGHT(TRIM(A18),10),4)),VALUE(MID(RIGHT(TRIM(A18),10),4,2)),VALUE(LEFT(RIGHT(TRIM(A18),10),2))),IFERROR(TODAY()-MOD(WEEKDAY(TODAY(),1)-MATCH(TRIM(A18),{"الأحد","الاثنين","الثلاثاء","الأربعاء","الخميس","الجمعة","السبت"},0),7),IFERROR(DATEVALUE(A18),"")))))</f>
        <v/>
      </c>
      <c r="H18" s="0" t="str">
        <f aca="false">IF(G18="","",INT((G18-WEEK_ONE)/7)+1)</f>
        <v/>
      </c>
      <c r="I18" s="0" t="str">
        <f aca="false">IF(H18="","",IF(OR(H18&lt;1,H18&gt;NW),"",INDEX(WMON,H18)))</f>
        <v/>
      </c>
      <c r="J18" s="0" t="str">
        <f aca="false">IF(OR(G18="",H18="",C18=""),"",IF(C18="عمر المصري",SUMIFS('ساعات عمر'!$H$5:$H$746,'ساعات عمر'!$A$5:$A$746,"&gt;="&amp;(WEEK_ONE+7*(H18-1)),'ساعات عمر'!$A$5:$A$746,"&lt;="&amp;G18),SUMIFS('ساعات عبدالعزيز'!$F$5:$F$746,'ساعات عبدالعزيز'!$A$5:$A$746,"&gt;="&amp;(WEEK_ONE+7*(H18-1)),'ساعات عبدالعزيز'!$A$5:$A$746,"&lt;="&amp;G18)))</f>
        <v/>
      </c>
    </row>
    <row r="19" customFormat="false" ht="15" hidden="false" customHeight="false" outlineLevel="0" collapsed="false">
      <c r="A19" s="43"/>
      <c r="B19" s="23" t="str">
        <f aca="false">IF(G19="","",CHOOSE(WEEKDAY(G19,1),"الأحد","الاثنين","الثلاثاء","الأربعاء","الخميس","الجمعة","السبت")&amp;IF(OR(ISNUMBER(A19),LEN(TRIM(A19))&gt;=10),"","  "&amp;TEXT(DAY(G19),"00")&amp;"/"&amp;TEXT(MONTH(G19),"00")&amp;"/"&amp;YEAR(G19)))</f>
        <v/>
      </c>
      <c r="C19" s="24"/>
      <c r="D19" s="44"/>
      <c r="E19" s="27"/>
      <c r="F19" s="45" t="str">
        <f aca="false">IF(A19="","",IF(G19="","⛔ التاريخ غلط — اختاره من القائمة أو اكتبه كامل 05/10/2026",IF(OR(H19&lt;1,H19&gt;NW),"⛔ التاريخ برّا السنة",IF(AND(N(D19)&gt;0,N(J19)&gt;0,D19&gt;ADV_CAP*J19),"⚠️ أكثر من "&amp;TEXT(ADV_CAP,"0%")&amp;" من شغله ("&amp;TEXT(J19,"0.000")&amp;")",""))))</f>
        <v/>
      </c>
      <c r="G19" s="0" t="str">
        <f aca="true">IF(A19="","",IF(ISNUMBER(A19),IF(A19&gt;=36526,A19,""),IFERROR(DATE(VALUE(RIGHT(RIGHT(TRIM(A19),10),4)),VALUE(MID(RIGHT(TRIM(A19),10),4,2)),VALUE(LEFT(RIGHT(TRIM(A19),10),2))),IFERROR(TODAY()-MOD(WEEKDAY(TODAY(),1)-MATCH(TRIM(A19),{"الأحد","الاثنين","الثلاثاء","الأربعاء","الخميس","الجمعة","السبت"},0),7),IFERROR(DATEVALUE(A19),"")))))</f>
        <v/>
      </c>
      <c r="H19" s="0" t="str">
        <f aca="false">IF(G19="","",INT((G19-WEEK_ONE)/7)+1)</f>
        <v/>
      </c>
      <c r="I19" s="0" t="str">
        <f aca="false">IF(H19="","",IF(OR(H19&lt;1,H19&gt;NW),"",INDEX(WMON,H19)))</f>
        <v/>
      </c>
      <c r="J19" s="0" t="str">
        <f aca="false">IF(OR(G19="",H19="",C19=""),"",IF(C19="عمر المصري",SUMIFS('ساعات عمر'!$H$5:$H$746,'ساعات عمر'!$A$5:$A$746,"&gt;="&amp;(WEEK_ONE+7*(H19-1)),'ساعات عمر'!$A$5:$A$746,"&lt;="&amp;G19),SUMIFS('ساعات عبدالعزيز'!$F$5:$F$746,'ساعات عبدالعزيز'!$A$5:$A$746,"&gt;="&amp;(WEEK_ONE+7*(H19-1)),'ساعات عبدالعزيز'!$A$5:$A$746,"&lt;="&amp;G19)))</f>
        <v/>
      </c>
    </row>
    <row r="20" customFormat="false" ht="15" hidden="false" customHeight="false" outlineLevel="0" collapsed="false">
      <c r="A20" s="43"/>
      <c r="B20" s="23" t="str">
        <f aca="false">IF(G20="","",CHOOSE(WEEKDAY(G20,1),"الأحد","الاثنين","الثلاثاء","الأربعاء","الخميس","الجمعة","السبت")&amp;IF(OR(ISNUMBER(A20),LEN(TRIM(A20))&gt;=10),"","  "&amp;TEXT(DAY(G20),"00")&amp;"/"&amp;TEXT(MONTH(G20),"00")&amp;"/"&amp;YEAR(G20)))</f>
        <v/>
      </c>
      <c r="C20" s="24"/>
      <c r="D20" s="44"/>
      <c r="E20" s="27"/>
      <c r="F20" s="45" t="str">
        <f aca="false">IF(A20="","",IF(G20="","⛔ التاريخ غلط — اختاره من القائمة أو اكتبه كامل 05/10/2026",IF(OR(H20&lt;1,H20&gt;NW),"⛔ التاريخ برّا السنة",IF(AND(N(D20)&gt;0,N(J20)&gt;0,D20&gt;ADV_CAP*J20),"⚠️ أكثر من "&amp;TEXT(ADV_CAP,"0%")&amp;" من شغله ("&amp;TEXT(J20,"0.000")&amp;")",""))))</f>
        <v/>
      </c>
      <c r="G20" s="0" t="str">
        <f aca="true">IF(A20="","",IF(ISNUMBER(A20),IF(A20&gt;=36526,A20,""),IFERROR(DATE(VALUE(RIGHT(RIGHT(TRIM(A20),10),4)),VALUE(MID(RIGHT(TRIM(A20),10),4,2)),VALUE(LEFT(RIGHT(TRIM(A20),10),2))),IFERROR(TODAY()-MOD(WEEKDAY(TODAY(),1)-MATCH(TRIM(A20),{"الأحد","الاثنين","الثلاثاء","الأربعاء","الخميس","الجمعة","السبت"},0),7),IFERROR(DATEVALUE(A20),"")))))</f>
        <v/>
      </c>
      <c r="H20" s="0" t="str">
        <f aca="false">IF(G20="","",INT((G20-WEEK_ONE)/7)+1)</f>
        <v/>
      </c>
      <c r="I20" s="0" t="str">
        <f aca="false">IF(H20="","",IF(OR(H20&lt;1,H20&gt;NW),"",INDEX(WMON,H20)))</f>
        <v/>
      </c>
      <c r="J20" s="0" t="str">
        <f aca="false">IF(OR(G20="",H20="",C20=""),"",IF(C20="عمر المصري",SUMIFS('ساعات عمر'!$H$5:$H$746,'ساعات عمر'!$A$5:$A$746,"&gt;="&amp;(WEEK_ONE+7*(H20-1)),'ساعات عمر'!$A$5:$A$746,"&lt;="&amp;G20),SUMIFS('ساعات عبدالعزيز'!$F$5:$F$746,'ساعات عبدالعزيز'!$A$5:$A$746,"&gt;="&amp;(WEEK_ONE+7*(H20-1)),'ساعات عبدالعزيز'!$A$5:$A$746,"&lt;="&amp;G20)))</f>
        <v/>
      </c>
    </row>
    <row r="21" customFormat="false" ht="15" hidden="false" customHeight="false" outlineLevel="0" collapsed="false">
      <c r="A21" s="43"/>
      <c r="B21" s="23" t="str">
        <f aca="false">IF(G21="","",CHOOSE(WEEKDAY(G21,1),"الأحد","الاثنين","الثلاثاء","الأربعاء","الخميس","الجمعة","السبت")&amp;IF(OR(ISNUMBER(A21),LEN(TRIM(A21))&gt;=10),"","  "&amp;TEXT(DAY(G21),"00")&amp;"/"&amp;TEXT(MONTH(G21),"00")&amp;"/"&amp;YEAR(G21)))</f>
        <v/>
      </c>
      <c r="C21" s="24"/>
      <c r="D21" s="44"/>
      <c r="E21" s="27"/>
      <c r="F21" s="45" t="str">
        <f aca="false">IF(A21="","",IF(G21="","⛔ التاريخ غلط — اختاره من القائمة أو اكتبه كامل 05/10/2026",IF(OR(H21&lt;1,H21&gt;NW),"⛔ التاريخ برّا السنة",IF(AND(N(D21)&gt;0,N(J21)&gt;0,D21&gt;ADV_CAP*J21),"⚠️ أكثر من "&amp;TEXT(ADV_CAP,"0%")&amp;" من شغله ("&amp;TEXT(J21,"0.000")&amp;")",""))))</f>
        <v/>
      </c>
      <c r="G21" s="0" t="str">
        <f aca="true">IF(A21="","",IF(ISNUMBER(A21),IF(A21&gt;=36526,A21,""),IFERROR(DATE(VALUE(RIGHT(RIGHT(TRIM(A21),10),4)),VALUE(MID(RIGHT(TRIM(A21),10),4,2)),VALUE(LEFT(RIGHT(TRIM(A21),10),2))),IFERROR(TODAY()-MOD(WEEKDAY(TODAY(),1)-MATCH(TRIM(A21),{"الأحد","الاثنين","الثلاثاء","الأربعاء","الخميس","الجمعة","السبت"},0),7),IFERROR(DATEVALUE(A21),"")))))</f>
        <v/>
      </c>
      <c r="H21" s="0" t="str">
        <f aca="false">IF(G21="","",INT((G21-WEEK_ONE)/7)+1)</f>
        <v/>
      </c>
      <c r="I21" s="0" t="str">
        <f aca="false">IF(H21="","",IF(OR(H21&lt;1,H21&gt;NW),"",INDEX(WMON,H21)))</f>
        <v/>
      </c>
      <c r="J21" s="0" t="str">
        <f aca="false">IF(OR(G21="",H21="",C21=""),"",IF(C21="عمر المصري",SUMIFS('ساعات عمر'!$H$5:$H$746,'ساعات عمر'!$A$5:$A$746,"&gt;="&amp;(WEEK_ONE+7*(H21-1)),'ساعات عمر'!$A$5:$A$746,"&lt;="&amp;G21),SUMIFS('ساعات عبدالعزيز'!$F$5:$F$746,'ساعات عبدالعزيز'!$A$5:$A$746,"&gt;="&amp;(WEEK_ONE+7*(H21-1)),'ساعات عبدالعزيز'!$A$5:$A$746,"&lt;="&amp;G21)))</f>
        <v/>
      </c>
    </row>
    <row r="22" customFormat="false" ht="15" hidden="false" customHeight="false" outlineLevel="0" collapsed="false">
      <c r="A22" s="43"/>
      <c r="B22" s="23" t="str">
        <f aca="false">IF(G22="","",CHOOSE(WEEKDAY(G22,1),"الأحد","الاثنين","الثلاثاء","الأربعاء","الخميس","الجمعة","السبت")&amp;IF(OR(ISNUMBER(A22),LEN(TRIM(A22))&gt;=10),"","  "&amp;TEXT(DAY(G22),"00")&amp;"/"&amp;TEXT(MONTH(G22),"00")&amp;"/"&amp;YEAR(G22)))</f>
        <v/>
      </c>
      <c r="C22" s="24"/>
      <c r="D22" s="44"/>
      <c r="E22" s="27"/>
      <c r="F22" s="45" t="str">
        <f aca="false">IF(A22="","",IF(G22="","⛔ التاريخ غلط — اختاره من القائمة أو اكتبه كامل 05/10/2026",IF(OR(H22&lt;1,H22&gt;NW),"⛔ التاريخ برّا السنة",IF(AND(N(D22)&gt;0,N(J22)&gt;0,D22&gt;ADV_CAP*J22),"⚠️ أكثر من "&amp;TEXT(ADV_CAP,"0%")&amp;" من شغله ("&amp;TEXT(J22,"0.000")&amp;")",""))))</f>
        <v/>
      </c>
      <c r="G22" s="0" t="str">
        <f aca="true">IF(A22="","",IF(ISNUMBER(A22),IF(A22&gt;=36526,A22,""),IFERROR(DATE(VALUE(RIGHT(RIGHT(TRIM(A22),10),4)),VALUE(MID(RIGHT(TRIM(A22),10),4,2)),VALUE(LEFT(RIGHT(TRIM(A22),10),2))),IFERROR(TODAY()-MOD(WEEKDAY(TODAY(),1)-MATCH(TRIM(A22),{"الأحد","الاثنين","الثلاثاء","الأربعاء","الخميس","الجمعة","السبت"},0),7),IFERROR(DATEVALUE(A22),"")))))</f>
        <v/>
      </c>
      <c r="H22" s="0" t="str">
        <f aca="false">IF(G22="","",INT((G22-WEEK_ONE)/7)+1)</f>
        <v/>
      </c>
      <c r="I22" s="0" t="str">
        <f aca="false">IF(H22="","",IF(OR(H22&lt;1,H22&gt;NW),"",INDEX(WMON,H22)))</f>
        <v/>
      </c>
      <c r="J22" s="0" t="str">
        <f aca="false">IF(OR(G22="",H22="",C22=""),"",IF(C22="عمر المصري",SUMIFS('ساعات عمر'!$H$5:$H$746,'ساعات عمر'!$A$5:$A$746,"&gt;="&amp;(WEEK_ONE+7*(H22-1)),'ساعات عمر'!$A$5:$A$746,"&lt;="&amp;G22),SUMIFS('ساعات عبدالعزيز'!$F$5:$F$746,'ساعات عبدالعزيز'!$A$5:$A$746,"&gt;="&amp;(WEEK_ONE+7*(H22-1)),'ساعات عبدالعزيز'!$A$5:$A$746,"&lt;="&amp;G22)))</f>
        <v/>
      </c>
    </row>
    <row r="23" customFormat="false" ht="15" hidden="false" customHeight="false" outlineLevel="0" collapsed="false">
      <c r="A23" s="43"/>
      <c r="B23" s="23" t="str">
        <f aca="false">IF(G23="","",CHOOSE(WEEKDAY(G23,1),"الأحد","الاثنين","الثلاثاء","الأربعاء","الخميس","الجمعة","السبت")&amp;IF(OR(ISNUMBER(A23),LEN(TRIM(A23))&gt;=10),"","  "&amp;TEXT(DAY(G23),"00")&amp;"/"&amp;TEXT(MONTH(G23),"00")&amp;"/"&amp;YEAR(G23)))</f>
        <v/>
      </c>
      <c r="C23" s="24"/>
      <c r="D23" s="44"/>
      <c r="E23" s="27"/>
      <c r="F23" s="45" t="str">
        <f aca="false">IF(A23="","",IF(G23="","⛔ التاريخ غلط — اختاره من القائمة أو اكتبه كامل 05/10/2026",IF(OR(H23&lt;1,H23&gt;NW),"⛔ التاريخ برّا السنة",IF(AND(N(D23)&gt;0,N(J23)&gt;0,D23&gt;ADV_CAP*J23),"⚠️ أكثر من "&amp;TEXT(ADV_CAP,"0%")&amp;" من شغله ("&amp;TEXT(J23,"0.000")&amp;")",""))))</f>
        <v/>
      </c>
      <c r="G23" s="0" t="str">
        <f aca="true">IF(A23="","",IF(ISNUMBER(A23),IF(A23&gt;=36526,A23,""),IFERROR(DATE(VALUE(RIGHT(RIGHT(TRIM(A23),10),4)),VALUE(MID(RIGHT(TRIM(A23),10),4,2)),VALUE(LEFT(RIGHT(TRIM(A23),10),2))),IFERROR(TODAY()-MOD(WEEKDAY(TODAY(),1)-MATCH(TRIM(A23),{"الأحد","الاثنين","الثلاثاء","الأربعاء","الخميس","الجمعة","السبت"},0),7),IFERROR(DATEVALUE(A23),"")))))</f>
        <v/>
      </c>
      <c r="H23" s="0" t="str">
        <f aca="false">IF(G23="","",INT((G23-WEEK_ONE)/7)+1)</f>
        <v/>
      </c>
      <c r="I23" s="0" t="str">
        <f aca="false">IF(H23="","",IF(OR(H23&lt;1,H23&gt;NW),"",INDEX(WMON,H23)))</f>
        <v/>
      </c>
      <c r="J23" s="0" t="str">
        <f aca="false">IF(OR(G23="",H23="",C23=""),"",IF(C23="عمر المصري",SUMIFS('ساعات عمر'!$H$5:$H$746,'ساعات عمر'!$A$5:$A$746,"&gt;="&amp;(WEEK_ONE+7*(H23-1)),'ساعات عمر'!$A$5:$A$746,"&lt;="&amp;G23),SUMIFS('ساعات عبدالعزيز'!$F$5:$F$746,'ساعات عبدالعزيز'!$A$5:$A$746,"&gt;="&amp;(WEEK_ONE+7*(H23-1)),'ساعات عبدالعزيز'!$A$5:$A$746,"&lt;="&amp;G23)))</f>
        <v/>
      </c>
    </row>
    <row r="24" customFormat="false" ht="15" hidden="false" customHeight="false" outlineLevel="0" collapsed="false">
      <c r="A24" s="43"/>
      <c r="B24" s="23" t="str">
        <f aca="false">IF(G24="","",CHOOSE(WEEKDAY(G24,1),"الأحد","الاثنين","الثلاثاء","الأربعاء","الخميس","الجمعة","السبت")&amp;IF(OR(ISNUMBER(A24),LEN(TRIM(A24))&gt;=10),"","  "&amp;TEXT(DAY(G24),"00")&amp;"/"&amp;TEXT(MONTH(G24),"00")&amp;"/"&amp;YEAR(G24)))</f>
        <v/>
      </c>
      <c r="C24" s="24"/>
      <c r="D24" s="44"/>
      <c r="E24" s="27"/>
      <c r="F24" s="45" t="str">
        <f aca="false">IF(A24="","",IF(G24="","⛔ التاريخ غلط — اختاره من القائمة أو اكتبه كامل 05/10/2026",IF(OR(H24&lt;1,H24&gt;NW),"⛔ التاريخ برّا السنة",IF(AND(N(D24)&gt;0,N(J24)&gt;0,D24&gt;ADV_CAP*J24),"⚠️ أكثر من "&amp;TEXT(ADV_CAP,"0%")&amp;" من شغله ("&amp;TEXT(J24,"0.000")&amp;")",""))))</f>
        <v/>
      </c>
      <c r="G24" s="0" t="str">
        <f aca="true">IF(A24="","",IF(ISNUMBER(A24),IF(A24&gt;=36526,A24,""),IFERROR(DATE(VALUE(RIGHT(RIGHT(TRIM(A24),10),4)),VALUE(MID(RIGHT(TRIM(A24),10),4,2)),VALUE(LEFT(RIGHT(TRIM(A24),10),2))),IFERROR(TODAY()-MOD(WEEKDAY(TODAY(),1)-MATCH(TRIM(A24),{"الأحد","الاثنين","الثلاثاء","الأربعاء","الخميس","الجمعة","السبت"},0),7),IFERROR(DATEVALUE(A24),"")))))</f>
        <v/>
      </c>
      <c r="H24" s="0" t="str">
        <f aca="false">IF(G24="","",INT((G24-WEEK_ONE)/7)+1)</f>
        <v/>
      </c>
      <c r="I24" s="0" t="str">
        <f aca="false">IF(H24="","",IF(OR(H24&lt;1,H24&gt;NW),"",INDEX(WMON,H24)))</f>
        <v/>
      </c>
      <c r="J24" s="0" t="str">
        <f aca="false">IF(OR(G24="",H24="",C24=""),"",IF(C24="عمر المصري",SUMIFS('ساعات عمر'!$H$5:$H$746,'ساعات عمر'!$A$5:$A$746,"&gt;="&amp;(WEEK_ONE+7*(H24-1)),'ساعات عمر'!$A$5:$A$746,"&lt;="&amp;G24),SUMIFS('ساعات عبدالعزيز'!$F$5:$F$746,'ساعات عبدالعزيز'!$A$5:$A$746,"&gt;="&amp;(WEEK_ONE+7*(H24-1)),'ساعات عبدالعزيز'!$A$5:$A$746,"&lt;="&amp;G24)))</f>
        <v/>
      </c>
    </row>
    <row r="25" customFormat="false" ht="15" hidden="false" customHeight="false" outlineLevel="0" collapsed="false">
      <c r="A25" s="43"/>
      <c r="B25" s="23" t="str">
        <f aca="false">IF(G25="","",CHOOSE(WEEKDAY(G25,1),"الأحد","الاثنين","الثلاثاء","الأربعاء","الخميس","الجمعة","السبت")&amp;IF(OR(ISNUMBER(A25),LEN(TRIM(A25))&gt;=10),"","  "&amp;TEXT(DAY(G25),"00")&amp;"/"&amp;TEXT(MONTH(G25),"00")&amp;"/"&amp;YEAR(G25)))</f>
        <v/>
      </c>
      <c r="C25" s="24"/>
      <c r="D25" s="44"/>
      <c r="E25" s="27"/>
      <c r="F25" s="45" t="str">
        <f aca="false">IF(A25="","",IF(G25="","⛔ التاريخ غلط — اختاره من القائمة أو اكتبه كامل 05/10/2026",IF(OR(H25&lt;1,H25&gt;NW),"⛔ التاريخ برّا السنة",IF(AND(N(D25)&gt;0,N(J25)&gt;0,D25&gt;ADV_CAP*J25),"⚠️ أكثر من "&amp;TEXT(ADV_CAP,"0%")&amp;" من شغله ("&amp;TEXT(J25,"0.000")&amp;")",""))))</f>
        <v/>
      </c>
      <c r="G25" s="0" t="str">
        <f aca="true">IF(A25="","",IF(ISNUMBER(A25),IF(A25&gt;=36526,A25,""),IFERROR(DATE(VALUE(RIGHT(RIGHT(TRIM(A25),10),4)),VALUE(MID(RIGHT(TRIM(A25),10),4,2)),VALUE(LEFT(RIGHT(TRIM(A25),10),2))),IFERROR(TODAY()-MOD(WEEKDAY(TODAY(),1)-MATCH(TRIM(A25),{"الأحد","الاثنين","الثلاثاء","الأربعاء","الخميس","الجمعة","السبت"},0),7),IFERROR(DATEVALUE(A25),"")))))</f>
        <v/>
      </c>
      <c r="H25" s="0" t="str">
        <f aca="false">IF(G25="","",INT((G25-WEEK_ONE)/7)+1)</f>
        <v/>
      </c>
      <c r="I25" s="0" t="str">
        <f aca="false">IF(H25="","",IF(OR(H25&lt;1,H25&gt;NW),"",INDEX(WMON,H25)))</f>
        <v/>
      </c>
      <c r="J25" s="0" t="str">
        <f aca="false">IF(OR(G25="",H25="",C25=""),"",IF(C25="عمر المصري",SUMIFS('ساعات عمر'!$H$5:$H$746,'ساعات عمر'!$A$5:$A$746,"&gt;="&amp;(WEEK_ONE+7*(H25-1)),'ساعات عمر'!$A$5:$A$746,"&lt;="&amp;G25),SUMIFS('ساعات عبدالعزيز'!$F$5:$F$746,'ساعات عبدالعزيز'!$A$5:$A$746,"&gt;="&amp;(WEEK_ONE+7*(H25-1)),'ساعات عبدالعزيز'!$A$5:$A$746,"&lt;="&amp;G25)))</f>
        <v/>
      </c>
    </row>
    <row r="26" customFormat="false" ht="15" hidden="false" customHeight="false" outlineLevel="0" collapsed="false">
      <c r="A26" s="43"/>
      <c r="B26" s="23" t="str">
        <f aca="false">IF(G26="","",CHOOSE(WEEKDAY(G26,1),"الأحد","الاثنين","الثلاثاء","الأربعاء","الخميس","الجمعة","السبت")&amp;IF(OR(ISNUMBER(A26),LEN(TRIM(A26))&gt;=10),"","  "&amp;TEXT(DAY(G26),"00")&amp;"/"&amp;TEXT(MONTH(G26),"00")&amp;"/"&amp;YEAR(G26)))</f>
        <v/>
      </c>
      <c r="C26" s="24"/>
      <c r="D26" s="44"/>
      <c r="E26" s="27"/>
      <c r="F26" s="45" t="str">
        <f aca="false">IF(A26="","",IF(G26="","⛔ التاريخ غلط — اختاره من القائمة أو اكتبه كامل 05/10/2026",IF(OR(H26&lt;1,H26&gt;NW),"⛔ التاريخ برّا السنة",IF(AND(N(D26)&gt;0,N(J26)&gt;0,D26&gt;ADV_CAP*J26),"⚠️ أكثر من "&amp;TEXT(ADV_CAP,"0%")&amp;" من شغله ("&amp;TEXT(J26,"0.000")&amp;")",""))))</f>
        <v/>
      </c>
      <c r="G26" s="0" t="str">
        <f aca="true">IF(A26="","",IF(ISNUMBER(A26),IF(A26&gt;=36526,A26,""),IFERROR(DATE(VALUE(RIGHT(RIGHT(TRIM(A26),10),4)),VALUE(MID(RIGHT(TRIM(A26),10),4,2)),VALUE(LEFT(RIGHT(TRIM(A26),10),2))),IFERROR(TODAY()-MOD(WEEKDAY(TODAY(),1)-MATCH(TRIM(A26),{"الأحد","الاثنين","الثلاثاء","الأربعاء","الخميس","الجمعة","السبت"},0),7),IFERROR(DATEVALUE(A26),"")))))</f>
        <v/>
      </c>
      <c r="H26" s="0" t="str">
        <f aca="false">IF(G26="","",INT((G26-WEEK_ONE)/7)+1)</f>
        <v/>
      </c>
      <c r="I26" s="0" t="str">
        <f aca="false">IF(H26="","",IF(OR(H26&lt;1,H26&gt;NW),"",INDEX(WMON,H26)))</f>
        <v/>
      </c>
      <c r="J26" s="0" t="str">
        <f aca="false">IF(OR(G26="",H26="",C26=""),"",IF(C26="عمر المصري",SUMIFS('ساعات عمر'!$H$5:$H$746,'ساعات عمر'!$A$5:$A$746,"&gt;="&amp;(WEEK_ONE+7*(H26-1)),'ساعات عمر'!$A$5:$A$746,"&lt;="&amp;G26),SUMIFS('ساعات عبدالعزيز'!$F$5:$F$746,'ساعات عبدالعزيز'!$A$5:$A$746,"&gt;="&amp;(WEEK_ONE+7*(H26-1)),'ساعات عبدالعزيز'!$A$5:$A$746,"&lt;="&amp;G26)))</f>
        <v/>
      </c>
    </row>
    <row r="27" customFormat="false" ht="15" hidden="false" customHeight="false" outlineLevel="0" collapsed="false">
      <c r="A27" s="43"/>
      <c r="B27" s="23" t="str">
        <f aca="false">IF(G27="","",CHOOSE(WEEKDAY(G27,1),"الأحد","الاثنين","الثلاثاء","الأربعاء","الخميس","الجمعة","السبت")&amp;IF(OR(ISNUMBER(A27),LEN(TRIM(A27))&gt;=10),"","  "&amp;TEXT(DAY(G27),"00")&amp;"/"&amp;TEXT(MONTH(G27),"00")&amp;"/"&amp;YEAR(G27)))</f>
        <v/>
      </c>
      <c r="C27" s="24"/>
      <c r="D27" s="44"/>
      <c r="E27" s="27"/>
      <c r="F27" s="45" t="str">
        <f aca="false">IF(A27="","",IF(G27="","⛔ التاريخ غلط — اختاره من القائمة أو اكتبه كامل 05/10/2026",IF(OR(H27&lt;1,H27&gt;NW),"⛔ التاريخ برّا السنة",IF(AND(N(D27)&gt;0,N(J27)&gt;0,D27&gt;ADV_CAP*J27),"⚠️ أكثر من "&amp;TEXT(ADV_CAP,"0%")&amp;" من شغله ("&amp;TEXT(J27,"0.000")&amp;")",""))))</f>
        <v/>
      </c>
      <c r="G27" s="0" t="str">
        <f aca="true">IF(A27="","",IF(ISNUMBER(A27),IF(A27&gt;=36526,A27,""),IFERROR(DATE(VALUE(RIGHT(RIGHT(TRIM(A27),10),4)),VALUE(MID(RIGHT(TRIM(A27),10),4,2)),VALUE(LEFT(RIGHT(TRIM(A27),10),2))),IFERROR(TODAY()-MOD(WEEKDAY(TODAY(),1)-MATCH(TRIM(A27),{"الأحد","الاثنين","الثلاثاء","الأربعاء","الخميس","الجمعة","السبت"},0),7),IFERROR(DATEVALUE(A27),"")))))</f>
        <v/>
      </c>
      <c r="H27" s="0" t="str">
        <f aca="false">IF(G27="","",INT((G27-WEEK_ONE)/7)+1)</f>
        <v/>
      </c>
      <c r="I27" s="0" t="str">
        <f aca="false">IF(H27="","",IF(OR(H27&lt;1,H27&gt;NW),"",INDEX(WMON,H27)))</f>
        <v/>
      </c>
      <c r="J27" s="0" t="str">
        <f aca="false">IF(OR(G27="",H27="",C27=""),"",IF(C27="عمر المصري",SUMIFS('ساعات عمر'!$H$5:$H$746,'ساعات عمر'!$A$5:$A$746,"&gt;="&amp;(WEEK_ONE+7*(H27-1)),'ساعات عمر'!$A$5:$A$746,"&lt;="&amp;G27),SUMIFS('ساعات عبدالعزيز'!$F$5:$F$746,'ساعات عبدالعزيز'!$A$5:$A$746,"&gt;="&amp;(WEEK_ONE+7*(H27-1)),'ساعات عبدالعزيز'!$A$5:$A$746,"&lt;="&amp;G27)))</f>
        <v/>
      </c>
    </row>
    <row r="28" customFormat="false" ht="15" hidden="false" customHeight="false" outlineLevel="0" collapsed="false">
      <c r="A28" s="43"/>
      <c r="B28" s="23" t="str">
        <f aca="false">IF(G28="","",CHOOSE(WEEKDAY(G28,1),"الأحد","الاثنين","الثلاثاء","الأربعاء","الخميس","الجمعة","السبت")&amp;IF(OR(ISNUMBER(A28),LEN(TRIM(A28))&gt;=10),"","  "&amp;TEXT(DAY(G28),"00")&amp;"/"&amp;TEXT(MONTH(G28),"00")&amp;"/"&amp;YEAR(G28)))</f>
        <v/>
      </c>
      <c r="C28" s="24"/>
      <c r="D28" s="44"/>
      <c r="E28" s="27"/>
      <c r="F28" s="45" t="str">
        <f aca="false">IF(A28="","",IF(G28="","⛔ التاريخ غلط — اختاره من القائمة أو اكتبه كامل 05/10/2026",IF(OR(H28&lt;1,H28&gt;NW),"⛔ التاريخ برّا السنة",IF(AND(N(D28)&gt;0,N(J28)&gt;0,D28&gt;ADV_CAP*J28),"⚠️ أكثر من "&amp;TEXT(ADV_CAP,"0%")&amp;" من شغله ("&amp;TEXT(J28,"0.000")&amp;")",""))))</f>
        <v/>
      </c>
      <c r="G28" s="0" t="str">
        <f aca="true">IF(A28="","",IF(ISNUMBER(A28),IF(A28&gt;=36526,A28,""),IFERROR(DATE(VALUE(RIGHT(RIGHT(TRIM(A28),10),4)),VALUE(MID(RIGHT(TRIM(A28),10),4,2)),VALUE(LEFT(RIGHT(TRIM(A28),10),2))),IFERROR(TODAY()-MOD(WEEKDAY(TODAY(),1)-MATCH(TRIM(A28),{"الأحد","الاثنين","الثلاثاء","الأربعاء","الخميس","الجمعة","السبت"},0),7),IFERROR(DATEVALUE(A28),"")))))</f>
        <v/>
      </c>
      <c r="H28" s="0" t="str">
        <f aca="false">IF(G28="","",INT((G28-WEEK_ONE)/7)+1)</f>
        <v/>
      </c>
      <c r="I28" s="0" t="str">
        <f aca="false">IF(H28="","",IF(OR(H28&lt;1,H28&gt;NW),"",INDEX(WMON,H28)))</f>
        <v/>
      </c>
      <c r="J28" s="0" t="str">
        <f aca="false">IF(OR(G28="",H28="",C28=""),"",IF(C28="عمر المصري",SUMIFS('ساعات عمر'!$H$5:$H$746,'ساعات عمر'!$A$5:$A$746,"&gt;="&amp;(WEEK_ONE+7*(H28-1)),'ساعات عمر'!$A$5:$A$746,"&lt;="&amp;G28),SUMIFS('ساعات عبدالعزيز'!$F$5:$F$746,'ساعات عبدالعزيز'!$A$5:$A$746,"&gt;="&amp;(WEEK_ONE+7*(H28-1)),'ساعات عبدالعزيز'!$A$5:$A$746,"&lt;="&amp;G28)))</f>
        <v/>
      </c>
    </row>
    <row r="29" customFormat="false" ht="15" hidden="false" customHeight="false" outlineLevel="0" collapsed="false">
      <c r="A29" s="43"/>
      <c r="B29" s="23" t="str">
        <f aca="false">IF(G29="","",CHOOSE(WEEKDAY(G29,1),"الأحد","الاثنين","الثلاثاء","الأربعاء","الخميس","الجمعة","السبت")&amp;IF(OR(ISNUMBER(A29),LEN(TRIM(A29))&gt;=10),"","  "&amp;TEXT(DAY(G29),"00")&amp;"/"&amp;TEXT(MONTH(G29),"00")&amp;"/"&amp;YEAR(G29)))</f>
        <v/>
      </c>
      <c r="C29" s="24"/>
      <c r="D29" s="44"/>
      <c r="E29" s="27"/>
      <c r="F29" s="45" t="str">
        <f aca="false">IF(A29="","",IF(G29="","⛔ التاريخ غلط — اختاره من القائمة أو اكتبه كامل 05/10/2026",IF(OR(H29&lt;1,H29&gt;NW),"⛔ التاريخ برّا السنة",IF(AND(N(D29)&gt;0,N(J29)&gt;0,D29&gt;ADV_CAP*J29),"⚠️ أكثر من "&amp;TEXT(ADV_CAP,"0%")&amp;" من شغله ("&amp;TEXT(J29,"0.000")&amp;")",""))))</f>
        <v/>
      </c>
      <c r="G29" s="0" t="str">
        <f aca="true">IF(A29="","",IF(ISNUMBER(A29),IF(A29&gt;=36526,A29,""),IFERROR(DATE(VALUE(RIGHT(RIGHT(TRIM(A29),10),4)),VALUE(MID(RIGHT(TRIM(A29),10),4,2)),VALUE(LEFT(RIGHT(TRIM(A29),10),2))),IFERROR(TODAY()-MOD(WEEKDAY(TODAY(),1)-MATCH(TRIM(A29),{"الأحد","الاثنين","الثلاثاء","الأربعاء","الخميس","الجمعة","السبت"},0),7),IFERROR(DATEVALUE(A29),"")))))</f>
        <v/>
      </c>
      <c r="H29" s="0" t="str">
        <f aca="false">IF(G29="","",INT((G29-WEEK_ONE)/7)+1)</f>
        <v/>
      </c>
      <c r="I29" s="0" t="str">
        <f aca="false">IF(H29="","",IF(OR(H29&lt;1,H29&gt;NW),"",INDEX(WMON,H29)))</f>
        <v/>
      </c>
      <c r="J29" s="0" t="str">
        <f aca="false">IF(OR(G29="",H29="",C29=""),"",IF(C29="عمر المصري",SUMIFS('ساعات عمر'!$H$5:$H$746,'ساعات عمر'!$A$5:$A$746,"&gt;="&amp;(WEEK_ONE+7*(H29-1)),'ساعات عمر'!$A$5:$A$746,"&lt;="&amp;G29),SUMIFS('ساعات عبدالعزيز'!$F$5:$F$746,'ساعات عبدالعزيز'!$A$5:$A$746,"&gt;="&amp;(WEEK_ONE+7*(H29-1)),'ساعات عبدالعزيز'!$A$5:$A$746,"&lt;="&amp;G29)))</f>
        <v/>
      </c>
    </row>
    <row r="30" customFormat="false" ht="15" hidden="false" customHeight="false" outlineLevel="0" collapsed="false">
      <c r="A30" s="43"/>
      <c r="B30" s="23" t="str">
        <f aca="false">IF(G30="","",CHOOSE(WEEKDAY(G30,1),"الأحد","الاثنين","الثلاثاء","الأربعاء","الخميس","الجمعة","السبت")&amp;IF(OR(ISNUMBER(A30),LEN(TRIM(A30))&gt;=10),"","  "&amp;TEXT(DAY(G30),"00")&amp;"/"&amp;TEXT(MONTH(G30),"00")&amp;"/"&amp;YEAR(G30)))</f>
        <v/>
      </c>
      <c r="C30" s="24"/>
      <c r="D30" s="44"/>
      <c r="E30" s="27"/>
      <c r="F30" s="45" t="str">
        <f aca="false">IF(A30="","",IF(G30="","⛔ التاريخ غلط — اختاره من القائمة أو اكتبه كامل 05/10/2026",IF(OR(H30&lt;1,H30&gt;NW),"⛔ التاريخ برّا السنة",IF(AND(N(D30)&gt;0,N(J30)&gt;0,D30&gt;ADV_CAP*J30),"⚠️ أكثر من "&amp;TEXT(ADV_CAP,"0%")&amp;" من شغله ("&amp;TEXT(J30,"0.000")&amp;")",""))))</f>
        <v/>
      </c>
      <c r="G30" s="0" t="str">
        <f aca="true">IF(A30="","",IF(ISNUMBER(A30),IF(A30&gt;=36526,A30,""),IFERROR(DATE(VALUE(RIGHT(RIGHT(TRIM(A30),10),4)),VALUE(MID(RIGHT(TRIM(A30),10),4,2)),VALUE(LEFT(RIGHT(TRIM(A30),10),2))),IFERROR(TODAY()-MOD(WEEKDAY(TODAY(),1)-MATCH(TRIM(A30),{"الأحد","الاثنين","الثلاثاء","الأربعاء","الخميس","الجمعة","السبت"},0),7),IFERROR(DATEVALUE(A30),"")))))</f>
        <v/>
      </c>
      <c r="H30" s="0" t="str">
        <f aca="false">IF(G30="","",INT((G30-WEEK_ONE)/7)+1)</f>
        <v/>
      </c>
      <c r="I30" s="0" t="str">
        <f aca="false">IF(H30="","",IF(OR(H30&lt;1,H30&gt;NW),"",INDEX(WMON,H30)))</f>
        <v/>
      </c>
      <c r="J30" s="0" t="str">
        <f aca="false">IF(OR(G30="",H30="",C30=""),"",IF(C30="عمر المصري",SUMIFS('ساعات عمر'!$H$5:$H$746,'ساعات عمر'!$A$5:$A$746,"&gt;="&amp;(WEEK_ONE+7*(H30-1)),'ساعات عمر'!$A$5:$A$746,"&lt;="&amp;G30),SUMIFS('ساعات عبدالعزيز'!$F$5:$F$746,'ساعات عبدالعزيز'!$A$5:$A$746,"&gt;="&amp;(WEEK_ONE+7*(H30-1)),'ساعات عبدالعزيز'!$A$5:$A$746,"&lt;="&amp;G30)))</f>
        <v/>
      </c>
    </row>
    <row r="31" customFormat="false" ht="15" hidden="false" customHeight="false" outlineLevel="0" collapsed="false">
      <c r="A31" s="43"/>
      <c r="B31" s="23" t="str">
        <f aca="false">IF(G31="","",CHOOSE(WEEKDAY(G31,1),"الأحد","الاثنين","الثلاثاء","الأربعاء","الخميس","الجمعة","السبت")&amp;IF(OR(ISNUMBER(A31),LEN(TRIM(A31))&gt;=10),"","  "&amp;TEXT(DAY(G31),"00")&amp;"/"&amp;TEXT(MONTH(G31),"00")&amp;"/"&amp;YEAR(G31)))</f>
        <v/>
      </c>
      <c r="C31" s="24"/>
      <c r="D31" s="44"/>
      <c r="E31" s="27"/>
      <c r="F31" s="45" t="str">
        <f aca="false">IF(A31="","",IF(G31="","⛔ التاريخ غلط — اختاره من القائمة أو اكتبه كامل 05/10/2026",IF(OR(H31&lt;1,H31&gt;NW),"⛔ التاريخ برّا السنة",IF(AND(N(D31)&gt;0,N(J31)&gt;0,D31&gt;ADV_CAP*J31),"⚠️ أكثر من "&amp;TEXT(ADV_CAP,"0%")&amp;" من شغله ("&amp;TEXT(J31,"0.000")&amp;")",""))))</f>
        <v/>
      </c>
      <c r="G31" s="0" t="str">
        <f aca="true">IF(A31="","",IF(ISNUMBER(A31),IF(A31&gt;=36526,A31,""),IFERROR(DATE(VALUE(RIGHT(RIGHT(TRIM(A31),10),4)),VALUE(MID(RIGHT(TRIM(A31),10),4,2)),VALUE(LEFT(RIGHT(TRIM(A31),10),2))),IFERROR(TODAY()-MOD(WEEKDAY(TODAY(),1)-MATCH(TRIM(A31),{"الأحد","الاثنين","الثلاثاء","الأربعاء","الخميس","الجمعة","السبت"},0),7),IFERROR(DATEVALUE(A31),"")))))</f>
        <v/>
      </c>
      <c r="H31" s="0" t="str">
        <f aca="false">IF(G31="","",INT((G31-WEEK_ONE)/7)+1)</f>
        <v/>
      </c>
      <c r="I31" s="0" t="str">
        <f aca="false">IF(H31="","",IF(OR(H31&lt;1,H31&gt;NW),"",INDEX(WMON,H31)))</f>
        <v/>
      </c>
      <c r="J31" s="0" t="str">
        <f aca="false">IF(OR(G31="",H31="",C31=""),"",IF(C31="عمر المصري",SUMIFS('ساعات عمر'!$H$5:$H$746,'ساعات عمر'!$A$5:$A$746,"&gt;="&amp;(WEEK_ONE+7*(H31-1)),'ساعات عمر'!$A$5:$A$746,"&lt;="&amp;G31),SUMIFS('ساعات عبدالعزيز'!$F$5:$F$746,'ساعات عبدالعزيز'!$A$5:$A$746,"&gt;="&amp;(WEEK_ONE+7*(H31-1)),'ساعات عبدالعزيز'!$A$5:$A$746,"&lt;="&amp;G31)))</f>
        <v/>
      </c>
    </row>
    <row r="32" customFormat="false" ht="15" hidden="false" customHeight="false" outlineLevel="0" collapsed="false">
      <c r="A32" s="43"/>
      <c r="B32" s="23" t="str">
        <f aca="false">IF(G32="","",CHOOSE(WEEKDAY(G32,1),"الأحد","الاثنين","الثلاثاء","الأربعاء","الخميس","الجمعة","السبت")&amp;IF(OR(ISNUMBER(A32),LEN(TRIM(A32))&gt;=10),"","  "&amp;TEXT(DAY(G32),"00")&amp;"/"&amp;TEXT(MONTH(G32),"00")&amp;"/"&amp;YEAR(G32)))</f>
        <v/>
      </c>
      <c r="C32" s="24"/>
      <c r="D32" s="44"/>
      <c r="E32" s="27"/>
      <c r="F32" s="45" t="str">
        <f aca="false">IF(A32="","",IF(G32="","⛔ التاريخ غلط — اختاره من القائمة أو اكتبه كامل 05/10/2026",IF(OR(H32&lt;1,H32&gt;NW),"⛔ التاريخ برّا السنة",IF(AND(N(D32)&gt;0,N(J32)&gt;0,D32&gt;ADV_CAP*J32),"⚠️ أكثر من "&amp;TEXT(ADV_CAP,"0%")&amp;" من شغله ("&amp;TEXT(J32,"0.000")&amp;")",""))))</f>
        <v/>
      </c>
      <c r="G32" s="0" t="str">
        <f aca="true">IF(A32="","",IF(ISNUMBER(A32),IF(A32&gt;=36526,A32,""),IFERROR(DATE(VALUE(RIGHT(RIGHT(TRIM(A32),10),4)),VALUE(MID(RIGHT(TRIM(A32),10),4,2)),VALUE(LEFT(RIGHT(TRIM(A32),10),2))),IFERROR(TODAY()-MOD(WEEKDAY(TODAY(),1)-MATCH(TRIM(A32),{"الأحد","الاثنين","الثلاثاء","الأربعاء","الخميس","الجمعة","السبت"},0),7),IFERROR(DATEVALUE(A32),"")))))</f>
        <v/>
      </c>
      <c r="H32" s="0" t="str">
        <f aca="false">IF(G32="","",INT((G32-WEEK_ONE)/7)+1)</f>
        <v/>
      </c>
      <c r="I32" s="0" t="str">
        <f aca="false">IF(H32="","",IF(OR(H32&lt;1,H32&gt;NW),"",INDEX(WMON,H32)))</f>
        <v/>
      </c>
      <c r="J32" s="0" t="str">
        <f aca="false">IF(OR(G32="",H32="",C32=""),"",IF(C32="عمر المصري",SUMIFS('ساعات عمر'!$H$5:$H$746,'ساعات عمر'!$A$5:$A$746,"&gt;="&amp;(WEEK_ONE+7*(H32-1)),'ساعات عمر'!$A$5:$A$746,"&lt;="&amp;G32),SUMIFS('ساعات عبدالعزيز'!$F$5:$F$746,'ساعات عبدالعزيز'!$A$5:$A$746,"&gt;="&amp;(WEEK_ONE+7*(H32-1)),'ساعات عبدالعزيز'!$A$5:$A$746,"&lt;="&amp;G32)))</f>
        <v/>
      </c>
    </row>
    <row r="33" customFormat="false" ht="15" hidden="false" customHeight="false" outlineLevel="0" collapsed="false">
      <c r="A33" s="43"/>
      <c r="B33" s="23" t="str">
        <f aca="false">IF(G33="","",CHOOSE(WEEKDAY(G33,1),"الأحد","الاثنين","الثلاثاء","الأربعاء","الخميس","الجمعة","السبت")&amp;IF(OR(ISNUMBER(A33),LEN(TRIM(A33))&gt;=10),"","  "&amp;TEXT(DAY(G33),"00")&amp;"/"&amp;TEXT(MONTH(G33),"00")&amp;"/"&amp;YEAR(G33)))</f>
        <v/>
      </c>
      <c r="C33" s="24"/>
      <c r="D33" s="44"/>
      <c r="E33" s="27"/>
      <c r="F33" s="45" t="str">
        <f aca="false">IF(A33="","",IF(G33="","⛔ التاريخ غلط — اختاره من القائمة أو اكتبه كامل 05/10/2026",IF(OR(H33&lt;1,H33&gt;NW),"⛔ التاريخ برّا السنة",IF(AND(N(D33)&gt;0,N(J33)&gt;0,D33&gt;ADV_CAP*J33),"⚠️ أكثر من "&amp;TEXT(ADV_CAP,"0%")&amp;" من شغله ("&amp;TEXT(J33,"0.000")&amp;")",""))))</f>
        <v/>
      </c>
      <c r="G33" s="0" t="str">
        <f aca="true">IF(A33="","",IF(ISNUMBER(A33),IF(A33&gt;=36526,A33,""),IFERROR(DATE(VALUE(RIGHT(RIGHT(TRIM(A33),10),4)),VALUE(MID(RIGHT(TRIM(A33),10),4,2)),VALUE(LEFT(RIGHT(TRIM(A33),10),2))),IFERROR(TODAY()-MOD(WEEKDAY(TODAY(),1)-MATCH(TRIM(A33),{"الأحد","الاثنين","الثلاثاء","الأربعاء","الخميس","الجمعة","السبت"},0),7),IFERROR(DATEVALUE(A33),"")))))</f>
        <v/>
      </c>
      <c r="H33" s="0" t="str">
        <f aca="false">IF(G33="","",INT((G33-WEEK_ONE)/7)+1)</f>
        <v/>
      </c>
      <c r="I33" s="0" t="str">
        <f aca="false">IF(H33="","",IF(OR(H33&lt;1,H33&gt;NW),"",INDEX(WMON,H33)))</f>
        <v/>
      </c>
      <c r="J33" s="0" t="str">
        <f aca="false">IF(OR(G33="",H33="",C33=""),"",IF(C33="عمر المصري",SUMIFS('ساعات عمر'!$H$5:$H$746,'ساعات عمر'!$A$5:$A$746,"&gt;="&amp;(WEEK_ONE+7*(H33-1)),'ساعات عمر'!$A$5:$A$746,"&lt;="&amp;G33),SUMIFS('ساعات عبدالعزيز'!$F$5:$F$746,'ساعات عبدالعزيز'!$A$5:$A$746,"&gt;="&amp;(WEEK_ONE+7*(H33-1)),'ساعات عبدالعزيز'!$A$5:$A$746,"&lt;="&amp;G33)))</f>
        <v/>
      </c>
    </row>
    <row r="34" customFormat="false" ht="15" hidden="false" customHeight="false" outlineLevel="0" collapsed="false">
      <c r="A34" s="43"/>
      <c r="B34" s="23" t="str">
        <f aca="false">IF(G34="","",CHOOSE(WEEKDAY(G34,1),"الأحد","الاثنين","الثلاثاء","الأربعاء","الخميس","الجمعة","السبت")&amp;IF(OR(ISNUMBER(A34),LEN(TRIM(A34))&gt;=10),"","  "&amp;TEXT(DAY(G34),"00")&amp;"/"&amp;TEXT(MONTH(G34),"00")&amp;"/"&amp;YEAR(G34)))</f>
        <v/>
      </c>
      <c r="C34" s="24"/>
      <c r="D34" s="44"/>
      <c r="E34" s="27"/>
      <c r="F34" s="45" t="str">
        <f aca="false">IF(A34="","",IF(G34="","⛔ التاريخ غلط — اختاره من القائمة أو اكتبه كامل 05/10/2026",IF(OR(H34&lt;1,H34&gt;NW),"⛔ التاريخ برّا السنة",IF(AND(N(D34)&gt;0,N(J34)&gt;0,D34&gt;ADV_CAP*J34),"⚠️ أكثر من "&amp;TEXT(ADV_CAP,"0%")&amp;" من شغله ("&amp;TEXT(J34,"0.000")&amp;")",""))))</f>
        <v/>
      </c>
      <c r="G34" s="0" t="str">
        <f aca="true">IF(A34="","",IF(ISNUMBER(A34),IF(A34&gt;=36526,A34,""),IFERROR(DATE(VALUE(RIGHT(RIGHT(TRIM(A34),10),4)),VALUE(MID(RIGHT(TRIM(A34),10),4,2)),VALUE(LEFT(RIGHT(TRIM(A34),10),2))),IFERROR(TODAY()-MOD(WEEKDAY(TODAY(),1)-MATCH(TRIM(A34),{"الأحد","الاثنين","الثلاثاء","الأربعاء","الخميس","الجمعة","السبت"},0),7),IFERROR(DATEVALUE(A34),"")))))</f>
        <v/>
      </c>
      <c r="H34" s="0" t="str">
        <f aca="false">IF(G34="","",INT((G34-WEEK_ONE)/7)+1)</f>
        <v/>
      </c>
      <c r="I34" s="0" t="str">
        <f aca="false">IF(H34="","",IF(OR(H34&lt;1,H34&gt;NW),"",INDEX(WMON,H34)))</f>
        <v/>
      </c>
      <c r="J34" s="0" t="str">
        <f aca="false">IF(OR(G34="",H34="",C34=""),"",IF(C34="عمر المصري",SUMIFS('ساعات عمر'!$H$5:$H$746,'ساعات عمر'!$A$5:$A$746,"&gt;="&amp;(WEEK_ONE+7*(H34-1)),'ساعات عمر'!$A$5:$A$746,"&lt;="&amp;G34),SUMIFS('ساعات عبدالعزيز'!$F$5:$F$746,'ساعات عبدالعزيز'!$A$5:$A$746,"&gt;="&amp;(WEEK_ONE+7*(H34-1)),'ساعات عبدالعزيز'!$A$5:$A$746,"&lt;="&amp;G34)))</f>
        <v/>
      </c>
    </row>
    <row r="35" customFormat="false" ht="15" hidden="false" customHeight="false" outlineLevel="0" collapsed="false">
      <c r="A35" s="43"/>
      <c r="B35" s="23" t="str">
        <f aca="false">IF(G35="","",CHOOSE(WEEKDAY(G35,1),"الأحد","الاثنين","الثلاثاء","الأربعاء","الخميس","الجمعة","السبت")&amp;IF(OR(ISNUMBER(A35),LEN(TRIM(A35))&gt;=10),"","  "&amp;TEXT(DAY(G35),"00")&amp;"/"&amp;TEXT(MONTH(G35),"00")&amp;"/"&amp;YEAR(G35)))</f>
        <v/>
      </c>
      <c r="C35" s="24"/>
      <c r="D35" s="44"/>
      <c r="E35" s="27"/>
      <c r="F35" s="45" t="str">
        <f aca="false">IF(A35="","",IF(G35="","⛔ التاريخ غلط — اختاره من القائمة أو اكتبه كامل 05/10/2026",IF(OR(H35&lt;1,H35&gt;NW),"⛔ التاريخ برّا السنة",IF(AND(N(D35)&gt;0,N(J35)&gt;0,D35&gt;ADV_CAP*J35),"⚠️ أكثر من "&amp;TEXT(ADV_CAP,"0%")&amp;" من شغله ("&amp;TEXT(J35,"0.000")&amp;")",""))))</f>
        <v/>
      </c>
      <c r="G35" s="0" t="str">
        <f aca="true">IF(A35="","",IF(ISNUMBER(A35),IF(A35&gt;=36526,A35,""),IFERROR(DATE(VALUE(RIGHT(RIGHT(TRIM(A35),10),4)),VALUE(MID(RIGHT(TRIM(A35),10),4,2)),VALUE(LEFT(RIGHT(TRIM(A35),10),2))),IFERROR(TODAY()-MOD(WEEKDAY(TODAY(),1)-MATCH(TRIM(A35),{"الأحد","الاثنين","الثلاثاء","الأربعاء","الخميس","الجمعة","السبت"},0),7),IFERROR(DATEVALUE(A35),"")))))</f>
        <v/>
      </c>
      <c r="H35" s="0" t="str">
        <f aca="false">IF(G35="","",INT((G35-WEEK_ONE)/7)+1)</f>
        <v/>
      </c>
      <c r="I35" s="0" t="str">
        <f aca="false">IF(H35="","",IF(OR(H35&lt;1,H35&gt;NW),"",INDEX(WMON,H35)))</f>
        <v/>
      </c>
      <c r="J35" s="0" t="str">
        <f aca="false">IF(OR(G35="",H35="",C35=""),"",IF(C35="عمر المصري",SUMIFS('ساعات عمر'!$H$5:$H$746,'ساعات عمر'!$A$5:$A$746,"&gt;="&amp;(WEEK_ONE+7*(H35-1)),'ساعات عمر'!$A$5:$A$746,"&lt;="&amp;G35),SUMIFS('ساعات عبدالعزيز'!$F$5:$F$746,'ساعات عبدالعزيز'!$A$5:$A$746,"&gt;="&amp;(WEEK_ONE+7*(H35-1)),'ساعات عبدالعزيز'!$A$5:$A$746,"&lt;="&amp;G35)))</f>
        <v/>
      </c>
    </row>
    <row r="36" customFormat="false" ht="15" hidden="false" customHeight="false" outlineLevel="0" collapsed="false">
      <c r="A36" s="43"/>
      <c r="B36" s="23" t="str">
        <f aca="false">IF(G36="","",CHOOSE(WEEKDAY(G36,1),"الأحد","الاثنين","الثلاثاء","الأربعاء","الخميس","الجمعة","السبت")&amp;IF(OR(ISNUMBER(A36),LEN(TRIM(A36))&gt;=10),"","  "&amp;TEXT(DAY(G36),"00")&amp;"/"&amp;TEXT(MONTH(G36),"00")&amp;"/"&amp;YEAR(G36)))</f>
        <v/>
      </c>
      <c r="C36" s="24"/>
      <c r="D36" s="44"/>
      <c r="E36" s="27"/>
      <c r="F36" s="45" t="str">
        <f aca="false">IF(A36="","",IF(G36="","⛔ التاريخ غلط — اختاره من القائمة أو اكتبه كامل 05/10/2026",IF(OR(H36&lt;1,H36&gt;NW),"⛔ التاريخ برّا السنة",IF(AND(N(D36)&gt;0,N(J36)&gt;0,D36&gt;ADV_CAP*J36),"⚠️ أكثر من "&amp;TEXT(ADV_CAP,"0%")&amp;" من شغله ("&amp;TEXT(J36,"0.000")&amp;")",""))))</f>
        <v/>
      </c>
      <c r="G36" s="0" t="str">
        <f aca="true">IF(A36="","",IF(ISNUMBER(A36),IF(A36&gt;=36526,A36,""),IFERROR(DATE(VALUE(RIGHT(RIGHT(TRIM(A36),10),4)),VALUE(MID(RIGHT(TRIM(A36),10),4,2)),VALUE(LEFT(RIGHT(TRIM(A36),10),2))),IFERROR(TODAY()-MOD(WEEKDAY(TODAY(),1)-MATCH(TRIM(A36),{"الأحد","الاثنين","الثلاثاء","الأربعاء","الخميس","الجمعة","السبت"},0),7),IFERROR(DATEVALUE(A36),"")))))</f>
        <v/>
      </c>
      <c r="H36" s="0" t="str">
        <f aca="false">IF(G36="","",INT((G36-WEEK_ONE)/7)+1)</f>
        <v/>
      </c>
      <c r="I36" s="0" t="str">
        <f aca="false">IF(H36="","",IF(OR(H36&lt;1,H36&gt;NW),"",INDEX(WMON,H36)))</f>
        <v/>
      </c>
      <c r="J36" s="0" t="str">
        <f aca="false">IF(OR(G36="",H36="",C36=""),"",IF(C36="عمر المصري",SUMIFS('ساعات عمر'!$H$5:$H$746,'ساعات عمر'!$A$5:$A$746,"&gt;="&amp;(WEEK_ONE+7*(H36-1)),'ساعات عمر'!$A$5:$A$746,"&lt;="&amp;G36),SUMIFS('ساعات عبدالعزيز'!$F$5:$F$746,'ساعات عبدالعزيز'!$A$5:$A$746,"&gt;="&amp;(WEEK_ONE+7*(H36-1)),'ساعات عبدالعزيز'!$A$5:$A$746,"&lt;="&amp;G36)))</f>
        <v/>
      </c>
    </row>
    <row r="37" customFormat="false" ht="15" hidden="false" customHeight="false" outlineLevel="0" collapsed="false">
      <c r="A37" s="43"/>
      <c r="B37" s="23" t="str">
        <f aca="false">IF(G37="","",CHOOSE(WEEKDAY(G37,1),"الأحد","الاثنين","الثلاثاء","الأربعاء","الخميس","الجمعة","السبت")&amp;IF(OR(ISNUMBER(A37),LEN(TRIM(A37))&gt;=10),"","  "&amp;TEXT(DAY(G37),"00")&amp;"/"&amp;TEXT(MONTH(G37),"00")&amp;"/"&amp;YEAR(G37)))</f>
        <v/>
      </c>
      <c r="C37" s="24"/>
      <c r="D37" s="44"/>
      <c r="E37" s="27"/>
      <c r="F37" s="45" t="str">
        <f aca="false">IF(A37="","",IF(G37="","⛔ التاريخ غلط — اختاره من القائمة أو اكتبه كامل 05/10/2026",IF(OR(H37&lt;1,H37&gt;NW),"⛔ التاريخ برّا السنة",IF(AND(N(D37)&gt;0,N(J37)&gt;0,D37&gt;ADV_CAP*J37),"⚠️ أكثر من "&amp;TEXT(ADV_CAP,"0%")&amp;" من شغله ("&amp;TEXT(J37,"0.000")&amp;")",""))))</f>
        <v/>
      </c>
      <c r="G37" s="0" t="str">
        <f aca="true">IF(A37="","",IF(ISNUMBER(A37),IF(A37&gt;=36526,A37,""),IFERROR(DATE(VALUE(RIGHT(RIGHT(TRIM(A37),10),4)),VALUE(MID(RIGHT(TRIM(A37),10),4,2)),VALUE(LEFT(RIGHT(TRIM(A37),10),2))),IFERROR(TODAY()-MOD(WEEKDAY(TODAY(),1)-MATCH(TRIM(A37),{"الأحد","الاثنين","الثلاثاء","الأربعاء","الخميس","الجمعة","السبت"},0),7),IFERROR(DATEVALUE(A37),"")))))</f>
        <v/>
      </c>
      <c r="H37" s="0" t="str">
        <f aca="false">IF(G37="","",INT((G37-WEEK_ONE)/7)+1)</f>
        <v/>
      </c>
      <c r="I37" s="0" t="str">
        <f aca="false">IF(H37="","",IF(OR(H37&lt;1,H37&gt;NW),"",INDEX(WMON,H37)))</f>
        <v/>
      </c>
      <c r="J37" s="0" t="str">
        <f aca="false">IF(OR(G37="",H37="",C37=""),"",IF(C37="عمر المصري",SUMIFS('ساعات عمر'!$H$5:$H$746,'ساعات عمر'!$A$5:$A$746,"&gt;="&amp;(WEEK_ONE+7*(H37-1)),'ساعات عمر'!$A$5:$A$746,"&lt;="&amp;G37),SUMIFS('ساعات عبدالعزيز'!$F$5:$F$746,'ساعات عبدالعزيز'!$A$5:$A$746,"&gt;="&amp;(WEEK_ONE+7*(H37-1)),'ساعات عبدالعزيز'!$A$5:$A$746,"&lt;="&amp;G37)))</f>
        <v/>
      </c>
    </row>
    <row r="38" customFormat="false" ht="15" hidden="false" customHeight="false" outlineLevel="0" collapsed="false">
      <c r="A38" s="43"/>
      <c r="B38" s="23" t="str">
        <f aca="false">IF(G38="","",CHOOSE(WEEKDAY(G38,1),"الأحد","الاثنين","الثلاثاء","الأربعاء","الخميس","الجمعة","السبت")&amp;IF(OR(ISNUMBER(A38),LEN(TRIM(A38))&gt;=10),"","  "&amp;TEXT(DAY(G38),"00")&amp;"/"&amp;TEXT(MONTH(G38),"00")&amp;"/"&amp;YEAR(G38)))</f>
        <v/>
      </c>
      <c r="C38" s="24"/>
      <c r="D38" s="44"/>
      <c r="E38" s="27"/>
      <c r="F38" s="45" t="str">
        <f aca="false">IF(A38="","",IF(G38="","⛔ التاريخ غلط — اختاره من القائمة أو اكتبه كامل 05/10/2026",IF(OR(H38&lt;1,H38&gt;NW),"⛔ التاريخ برّا السنة",IF(AND(N(D38)&gt;0,N(J38)&gt;0,D38&gt;ADV_CAP*J38),"⚠️ أكثر من "&amp;TEXT(ADV_CAP,"0%")&amp;" من شغله ("&amp;TEXT(J38,"0.000")&amp;")",""))))</f>
        <v/>
      </c>
      <c r="G38" s="0" t="str">
        <f aca="true">IF(A38="","",IF(ISNUMBER(A38),IF(A38&gt;=36526,A38,""),IFERROR(DATE(VALUE(RIGHT(RIGHT(TRIM(A38),10),4)),VALUE(MID(RIGHT(TRIM(A38),10),4,2)),VALUE(LEFT(RIGHT(TRIM(A38),10),2))),IFERROR(TODAY()-MOD(WEEKDAY(TODAY(),1)-MATCH(TRIM(A38),{"الأحد","الاثنين","الثلاثاء","الأربعاء","الخميس","الجمعة","السبت"},0),7),IFERROR(DATEVALUE(A38),"")))))</f>
        <v/>
      </c>
      <c r="H38" s="0" t="str">
        <f aca="false">IF(G38="","",INT((G38-WEEK_ONE)/7)+1)</f>
        <v/>
      </c>
      <c r="I38" s="0" t="str">
        <f aca="false">IF(H38="","",IF(OR(H38&lt;1,H38&gt;NW),"",INDEX(WMON,H38)))</f>
        <v/>
      </c>
      <c r="J38" s="0" t="str">
        <f aca="false">IF(OR(G38="",H38="",C38=""),"",IF(C38="عمر المصري",SUMIFS('ساعات عمر'!$H$5:$H$746,'ساعات عمر'!$A$5:$A$746,"&gt;="&amp;(WEEK_ONE+7*(H38-1)),'ساعات عمر'!$A$5:$A$746,"&lt;="&amp;G38),SUMIFS('ساعات عبدالعزيز'!$F$5:$F$746,'ساعات عبدالعزيز'!$A$5:$A$746,"&gt;="&amp;(WEEK_ONE+7*(H38-1)),'ساعات عبدالعزيز'!$A$5:$A$746,"&lt;="&amp;G38)))</f>
        <v/>
      </c>
    </row>
    <row r="39" customFormat="false" ht="15" hidden="false" customHeight="false" outlineLevel="0" collapsed="false">
      <c r="A39" s="43"/>
      <c r="B39" s="23" t="str">
        <f aca="false">IF(G39="","",CHOOSE(WEEKDAY(G39,1),"الأحد","الاثنين","الثلاثاء","الأربعاء","الخميس","الجمعة","السبت")&amp;IF(OR(ISNUMBER(A39),LEN(TRIM(A39))&gt;=10),"","  "&amp;TEXT(DAY(G39),"00")&amp;"/"&amp;TEXT(MONTH(G39),"00")&amp;"/"&amp;YEAR(G39)))</f>
        <v/>
      </c>
      <c r="C39" s="24"/>
      <c r="D39" s="44"/>
      <c r="E39" s="27"/>
      <c r="F39" s="45" t="str">
        <f aca="false">IF(A39="","",IF(G39="","⛔ التاريخ غلط — اختاره من القائمة أو اكتبه كامل 05/10/2026",IF(OR(H39&lt;1,H39&gt;NW),"⛔ التاريخ برّا السنة",IF(AND(N(D39)&gt;0,N(J39)&gt;0,D39&gt;ADV_CAP*J39),"⚠️ أكثر من "&amp;TEXT(ADV_CAP,"0%")&amp;" من شغله ("&amp;TEXT(J39,"0.000")&amp;")",""))))</f>
        <v/>
      </c>
      <c r="G39" s="0" t="str">
        <f aca="true">IF(A39="","",IF(ISNUMBER(A39),IF(A39&gt;=36526,A39,""),IFERROR(DATE(VALUE(RIGHT(RIGHT(TRIM(A39),10),4)),VALUE(MID(RIGHT(TRIM(A39),10),4,2)),VALUE(LEFT(RIGHT(TRIM(A39),10),2))),IFERROR(TODAY()-MOD(WEEKDAY(TODAY(),1)-MATCH(TRIM(A39),{"الأحد","الاثنين","الثلاثاء","الأربعاء","الخميس","الجمعة","السبت"},0),7),IFERROR(DATEVALUE(A39),"")))))</f>
        <v/>
      </c>
      <c r="H39" s="0" t="str">
        <f aca="false">IF(G39="","",INT((G39-WEEK_ONE)/7)+1)</f>
        <v/>
      </c>
      <c r="I39" s="0" t="str">
        <f aca="false">IF(H39="","",IF(OR(H39&lt;1,H39&gt;NW),"",INDEX(WMON,H39)))</f>
        <v/>
      </c>
      <c r="J39" s="0" t="str">
        <f aca="false">IF(OR(G39="",H39="",C39=""),"",IF(C39="عمر المصري",SUMIFS('ساعات عمر'!$H$5:$H$746,'ساعات عمر'!$A$5:$A$746,"&gt;="&amp;(WEEK_ONE+7*(H39-1)),'ساعات عمر'!$A$5:$A$746,"&lt;="&amp;G39),SUMIFS('ساعات عبدالعزيز'!$F$5:$F$746,'ساعات عبدالعزيز'!$A$5:$A$746,"&gt;="&amp;(WEEK_ONE+7*(H39-1)),'ساعات عبدالعزيز'!$A$5:$A$746,"&lt;="&amp;G39)))</f>
        <v/>
      </c>
    </row>
    <row r="40" customFormat="false" ht="15" hidden="false" customHeight="false" outlineLevel="0" collapsed="false">
      <c r="A40" s="43"/>
      <c r="B40" s="23" t="str">
        <f aca="false">IF(G40="","",CHOOSE(WEEKDAY(G40,1),"الأحد","الاثنين","الثلاثاء","الأربعاء","الخميس","الجمعة","السبت")&amp;IF(OR(ISNUMBER(A40),LEN(TRIM(A40))&gt;=10),"","  "&amp;TEXT(DAY(G40),"00")&amp;"/"&amp;TEXT(MONTH(G40),"00")&amp;"/"&amp;YEAR(G40)))</f>
        <v/>
      </c>
      <c r="C40" s="24"/>
      <c r="D40" s="44"/>
      <c r="E40" s="27"/>
      <c r="F40" s="45" t="str">
        <f aca="false">IF(A40="","",IF(G40="","⛔ التاريخ غلط — اختاره من القائمة أو اكتبه كامل 05/10/2026",IF(OR(H40&lt;1,H40&gt;NW),"⛔ التاريخ برّا السنة",IF(AND(N(D40)&gt;0,N(J40)&gt;0,D40&gt;ADV_CAP*J40),"⚠️ أكثر من "&amp;TEXT(ADV_CAP,"0%")&amp;" من شغله ("&amp;TEXT(J40,"0.000")&amp;")",""))))</f>
        <v/>
      </c>
      <c r="G40" s="0" t="str">
        <f aca="true">IF(A40="","",IF(ISNUMBER(A40),IF(A40&gt;=36526,A40,""),IFERROR(DATE(VALUE(RIGHT(RIGHT(TRIM(A40),10),4)),VALUE(MID(RIGHT(TRIM(A40),10),4,2)),VALUE(LEFT(RIGHT(TRIM(A40),10),2))),IFERROR(TODAY()-MOD(WEEKDAY(TODAY(),1)-MATCH(TRIM(A40),{"الأحد","الاثنين","الثلاثاء","الأربعاء","الخميس","الجمعة","السبت"},0),7),IFERROR(DATEVALUE(A40),"")))))</f>
        <v/>
      </c>
      <c r="H40" s="0" t="str">
        <f aca="false">IF(G40="","",INT((G40-WEEK_ONE)/7)+1)</f>
        <v/>
      </c>
      <c r="I40" s="0" t="str">
        <f aca="false">IF(H40="","",IF(OR(H40&lt;1,H40&gt;NW),"",INDEX(WMON,H40)))</f>
        <v/>
      </c>
      <c r="J40" s="0" t="str">
        <f aca="false">IF(OR(G40="",H40="",C40=""),"",IF(C40="عمر المصري",SUMIFS('ساعات عمر'!$H$5:$H$746,'ساعات عمر'!$A$5:$A$746,"&gt;="&amp;(WEEK_ONE+7*(H40-1)),'ساعات عمر'!$A$5:$A$746,"&lt;="&amp;G40),SUMIFS('ساعات عبدالعزيز'!$F$5:$F$746,'ساعات عبدالعزيز'!$A$5:$A$746,"&gt;="&amp;(WEEK_ONE+7*(H40-1)),'ساعات عبدالعزيز'!$A$5:$A$746,"&lt;="&amp;G40)))</f>
        <v/>
      </c>
    </row>
    <row r="41" customFormat="false" ht="15" hidden="false" customHeight="false" outlineLevel="0" collapsed="false">
      <c r="A41" s="43"/>
      <c r="B41" s="23" t="str">
        <f aca="false">IF(G41="","",CHOOSE(WEEKDAY(G41,1),"الأحد","الاثنين","الثلاثاء","الأربعاء","الخميس","الجمعة","السبت")&amp;IF(OR(ISNUMBER(A41),LEN(TRIM(A41))&gt;=10),"","  "&amp;TEXT(DAY(G41),"00")&amp;"/"&amp;TEXT(MONTH(G41),"00")&amp;"/"&amp;YEAR(G41)))</f>
        <v/>
      </c>
      <c r="C41" s="24"/>
      <c r="D41" s="44"/>
      <c r="E41" s="27"/>
      <c r="F41" s="45" t="str">
        <f aca="false">IF(A41="","",IF(G41="","⛔ التاريخ غلط — اختاره من القائمة أو اكتبه كامل 05/10/2026",IF(OR(H41&lt;1,H41&gt;NW),"⛔ التاريخ برّا السنة",IF(AND(N(D41)&gt;0,N(J41)&gt;0,D41&gt;ADV_CAP*J41),"⚠️ أكثر من "&amp;TEXT(ADV_CAP,"0%")&amp;" من شغله ("&amp;TEXT(J41,"0.000")&amp;")",""))))</f>
        <v/>
      </c>
      <c r="G41" s="0" t="str">
        <f aca="true">IF(A41="","",IF(ISNUMBER(A41),IF(A41&gt;=36526,A41,""),IFERROR(DATE(VALUE(RIGHT(RIGHT(TRIM(A41),10),4)),VALUE(MID(RIGHT(TRIM(A41),10),4,2)),VALUE(LEFT(RIGHT(TRIM(A41),10),2))),IFERROR(TODAY()-MOD(WEEKDAY(TODAY(),1)-MATCH(TRIM(A41),{"الأحد","الاثنين","الثلاثاء","الأربعاء","الخميس","الجمعة","السبت"},0),7),IFERROR(DATEVALUE(A41),"")))))</f>
        <v/>
      </c>
      <c r="H41" s="0" t="str">
        <f aca="false">IF(G41="","",INT((G41-WEEK_ONE)/7)+1)</f>
        <v/>
      </c>
      <c r="I41" s="0" t="str">
        <f aca="false">IF(H41="","",IF(OR(H41&lt;1,H41&gt;NW),"",INDEX(WMON,H41)))</f>
        <v/>
      </c>
      <c r="J41" s="0" t="str">
        <f aca="false">IF(OR(G41="",H41="",C41=""),"",IF(C41="عمر المصري",SUMIFS('ساعات عمر'!$H$5:$H$746,'ساعات عمر'!$A$5:$A$746,"&gt;="&amp;(WEEK_ONE+7*(H41-1)),'ساعات عمر'!$A$5:$A$746,"&lt;="&amp;G41),SUMIFS('ساعات عبدالعزيز'!$F$5:$F$746,'ساعات عبدالعزيز'!$A$5:$A$746,"&gt;="&amp;(WEEK_ONE+7*(H41-1)),'ساعات عبدالعزيز'!$A$5:$A$746,"&lt;="&amp;G41)))</f>
        <v/>
      </c>
    </row>
    <row r="42" customFormat="false" ht="15" hidden="false" customHeight="false" outlineLevel="0" collapsed="false">
      <c r="A42" s="43"/>
      <c r="B42" s="23" t="str">
        <f aca="false">IF(G42="","",CHOOSE(WEEKDAY(G42,1),"الأحد","الاثنين","الثلاثاء","الأربعاء","الخميس","الجمعة","السبت")&amp;IF(OR(ISNUMBER(A42),LEN(TRIM(A42))&gt;=10),"","  "&amp;TEXT(DAY(G42),"00")&amp;"/"&amp;TEXT(MONTH(G42),"00")&amp;"/"&amp;YEAR(G42)))</f>
        <v/>
      </c>
      <c r="C42" s="24"/>
      <c r="D42" s="44"/>
      <c r="E42" s="27"/>
      <c r="F42" s="45" t="str">
        <f aca="false">IF(A42="","",IF(G42="","⛔ التاريخ غلط — اختاره من القائمة أو اكتبه كامل 05/10/2026",IF(OR(H42&lt;1,H42&gt;NW),"⛔ التاريخ برّا السنة",IF(AND(N(D42)&gt;0,N(J42)&gt;0,D42&gt;ADV_CAP*J42),"⚠️ أكثر من "&amp;TEXT(ADV_CAP,"0%")&amp;" من شغله ("&amp;TEXT(J42,"0.000")&amp;")",""))))</f>
        <v/>
      </c>
      <c r="G42" s="0" t="str">
        <f aca="true">IF(A42="","",IF(ISNUMBER(A42),IF(A42&gt;=36526,A42,""),IFERROR(DATE(VALUE(RIGHT(RIGHT(TRIM(A42),10),4)),VALUE(MID(RIGHT(TRIM(A42),10),4,2)),VALUE(LEFT(RIGHT(TRIM(A42),10),2))),IFERROR(TODAY()-MOD(WEEKDAY(TODAY(),1)-MATCH(TRIM(A42),{"الأحد","الاثنين","الثلاثاء","الأربعاء","الخميس","الجمعة","السبت"},0),7),IFERROR(DATEVALUE(A42),"")))))</f>
        <v/>
      </c>
      <c r="H42" s="0" t="str">
        <f aca="false">IF(G42="","",INT((G42-WEEK_ONE)/7)+1)</f>
        <v/>
      </c>
      <c r="I42" s="0" t="str">
        <f aca="false">IF(H42="","",IF(OR(H42&lt;1,H42&gt;NW),"",INDEX(WMON,H42)))</f>
        <v/>
      </c>
      <c r="J42" s="0" t="str">
        <f aca="false">IF(OR(G42="",H42="",C42=""),"",IF(C42="عمر المصري",SUMIFS('ساعات عمر'!$H$5:$H$746,'ساعات عمر'!$A$5:$A$746,"&gt;="&amp;(WEEK_ONE+7*(H42-1)),'ساعات عمر'!$A$5:$A$746,"&lt;="&amp;G42),SUMIFS('ساعات عبدالعزيز'!$F$5:$F$746,'ساعات عبدالعزيز'!$A$5:$A$746,"&gt;="&amp;(WEEK_ONE+7*(H42-1)),'ساعات عبدالعزيز'!$A$5:$A$746,"&lt;="&amp;G42)))</f>
        <v/>
      </c>
    </row>
    <row r="43" customFormat="false" ht="15" hidden="false" customHeight="false" outlineLevel="0" collapsed="false">
      <c r="A43" s="43"/>
      <c r="B43" s="23" t="str">
        <f aca="false">IF(G43="","",CHOOSE(WEEKDAY(G43,1),"الأحد","الاثنين","الثلاثاء","الأربعاء","الخميس","الجمعة","السبت")&amp;IF(OR(ISNUMBER(A43),LEN(TRIM(A43))&gt;=10),"","  "&amp;TEXT(DAY(G43),"00")&amp;"/"&amp;TEXT(MONTH(G43),"00")&amp;"/"&amp;YEAR(G43)))</f>
        <v/>
      </c>
      <c r="C43" s="24"/>
      <c r="D43" s="44"/>
      <c r="E43" s="27"/>
      <c r="F43" s="45" t="str">
        <f aca="false">IF(A43="","",IF(G43="","⛔ التاريخ غلط — اختاره من القائمة أو اكتبه كامل 05/10/2026",IF(OR(H43&lt;1,H43&gt;NW),"⛔ التاريخ برّا السنة",IF(AND(N(D43)&gt;0,N(J43)&gt;0,D43&gt;ADV_CAP*J43),"⚠️ أكثر من "&amp;TEXT(ADV_CAP,"0%")&amp;" من شغله ("&amp;TEXT(J43,"0.000")&amp;")",""))))</f>
        <v/>
      </c>
      <c r="G43" s="0" t="str">
        <f aca="true">IF(A43="","",IF(ISNUMBER(A43),IF(A43&gt;=36526,A43,""),IFERROR(DATE(VALUE(RIGHT(RIGHT(TRIM(A43),10),4)),VALUE(MID(RIGHT(TRIM(A43),10),4,2)),VALUE(LEFT(RIGHT(TRIM(A43),10),2))),IFERROR(TODAY()-MOD(WEEKDAY(TODAY(),1)-MATCH(TRIM(A43),{"الأحد","الاثنين","الثلاثاء","الأربعاء","الخميس","الجمعة","السبت"},0),7),IFERROR(DATEVALUE(A43),"")))))</f>
        <v/>
      </c>
      <c r="H43" s="0" t="str">
        <f aca="false">IF(G43="","",INT((G43-WEEK_ONE)/7)+1)</f>
        <v/>
      </c>
      <c r="I43" s="0" t="str">
        <f aca="false">IF(H43="","",IF(OR(H43&lt;1,H43&gt;NW),"",INDEX(WMON,H43)))</f>
        <v/>
      </c>
      <c r="J43" s="0" t="str">
        <f aca="false">IF(OR(G43="",H43="",C43=""),"",IF(C43="عمر المصري",SUMIFS('ساعات عمر'!$H$5:$H$746,'ساعات عمر'!$A$5:$A$746,"&gt;="&amp;(WEEK_ONE+7*(H43-1)),'ساعات عمر'!$A$5:$A$746,"&lt;="&amp;G43),SUMIFS('ساعات عبدالعزيز'!$F$5:$F$746,'ساعات عبدالعزيز'!$A$5:$A$746,"&gt;="&amp;(WEEK_ONE+7*(H43-1)),'ساعات عبدالعزيز'!$A$5:$A$746,"&lt;="&amp;G43)))</f>
        <v/>
      </c>
    </row>
    <row r="44" customFormat="false" ht="15" hidden="false" customHeight="false" outlineLevel="0" collapsed="false">
      <c r="A44" s="43"/>
      <c r="B44" s="23" t="str">
        <f aca="false">IF(G44="","",CHOOSE(WEEKDAY(G44,1),"الأحد","الاثنين","الثلاثاء","الأربعاء","الخميس","الجمعة","السبت")&amp;IF(OR(ISNUMBER(A44),LEN(TRIM(A44))&gt;=10),"","  "&amp;TEXT(DAY(G44),"00")&amp;"/"&amp;TEXT(MONTH(G44),"00")&amp;"/"&amp;YEAR(G44)))</f>
        <v/>
      </c>
      <c r="C44" s="24"/>
      <c r="D44" s="44"/>
      <c r="E44" s="27"/>
      <c r="F44" s="45" t="str">
        <f aca="false">IF(A44="","",IF(G44="","⛔ التاريخ غلط — اختاره من القائمة أو اكتبه كامل 05/10/2026",IF(OR(H44&lt;1,H44&gt;NW),"⛔ التاريخ برّا السنة",IF(AND(N(D44)&gt;0,N(J44)&gt;0,D44&gt;ADV_CAP*J44),"⚠️ أكثر من "&amp;TEXT(ADV_CAP,"0%")&amp;" من شغله ("&amp;TEXT(J44,"0.000")&amp;")",""))))</f>
        <v/>
      </c>
      <c r="G44" s="0" t="str">
        <f aca="true">IF(A44="","",IF(ISNUMBER(A44),IF(A44&gt;=36526,A44,""),IFERROR(DATE(VALUE(RIGHT(RIGHT(TRIM(A44),10),4)),VALUE(MID(RIGHT(TRIM(A44),10),4,2)),VALUE(LEFT(RIGHT(TRIM(A44),10),2))),IFERROR(TODAY()-MOD(WEEKDAY(TODAY(),1)-MATCH(TRIM(A44),{"الأحد","الاثنين","الثلاثاء","الأربعاء","الخميس","الجمعة","السبت"},0),7),IFERROR(DATEVALUE(A44),"")))))</f>
        <v/>
      </c>
      <c r="H44" s="0" t="str">
        <f aca="false">IF(G44="","",INT((G44-WEEK_ONE)/7)+1)</f>
        <v/>
      </c>
      <c r="I44" s="0" t="str">
        <f aca="false">IF(H44="","",IF(OR(H44&lt;1,H44&gt;NW),"",INDEX(WMON,H44)))</f>
        <v/>
      </c>
      <c r="J44" s="0" t="str">
        <f aca="false">IF(OR(G44="",H44="",C44=""),"",IF(C44="عمر المصري",SUMIFS('ساعات عمر'!$H$5:$H$746,'ساعات عمر'!$A$5:$A$746,"&gt;="&amp;(WEEK_ONE+7*(H44-1)),'ساعات عمر'!$A$5:$A$746,"&lt;="&amp;G44),SUMIFS('ساعات عبدالعزيز'!$F$5:$F$746,'ساعات عبدالعزيز'!$A$5:$A$746,"&gt;="&amp;(WEEK_ONE+7*(H44-1)),'ساعات عبدالعزيز'!$A$5:$A$746,"&lt;="&amp;G44)))</f>
        <v/>
      </c>
    </row>
    <row r="45" customFormat="false" ht="15" hidden="false" customHeight="false" outlineLevel="0" collapsed="false">
      <c r="A45" s="43"/>
      <c r="B45" s="23" t="str">
        <f aca="false">IF(G45="","",CHOOSE(WEEKDAY(G45,1),"الأحد","الاثنين","الثلاثاء","الأربعاء","الخميس","الجمعة","السبت")&amp;IF(OR(ISNUMBER(A45),LEN(TRIM(A45))&gt;=10),"","  "&amp;TEXT(DAY(G45),"00")&amp;"/"&amp;TEXT(MONTH(G45),"00")&amp;"/"&amp;YEAR(G45)))</f>
        <v/>
      </c>
      <c r="C45" s="24"/>
      <c r="D45" s="44"/>
      <c r="E45" s="27"/>
      <c r="F45" s="45" t="str">
        <f aca="false">IF(A45="","",IF(G45="","⛔ التاريخ غلط — اختاره من القائمة أو اكتبه كامل 05/10/2026",IF(OR(H45&lt;1,H45&gt;NW),"⛔ التاريخ برّا السنة",IF(AND(N(D45)&gt;0,N(J45)&gt;0,D45&gt;ADV_CAP*J45),"⚠️ أكثر من "&amp;TEXT(ADV_CAP,"0%")&amp;" من شغله ("&amp;TEXT(J45,"0.000")&amp;")",""))))</f>
        <v/>
      </c>
      <c r="G45" s="0" t="str">
        <f aca="true">IF(A45="","",IF(ISNUMBER(A45),IF(A45&gt;=36526,A45,""),IFERROR(DATE(VALUE(RIGHT(RIGHT(TRIM(A45),10),4)),VALUE(MID(RIGHT(TRIM(A45),10),4,2)),VALUE(LEFT(RIGHT(TRIM(A45),10),2))),IFERROR(TODAY()-MOD(WEEKDAY(TODAY(),1)-MATCH(TRIM(A45),{"الأحد","الاثنين","الثلاثاء","الأربعاء","الخميس","الجمعة","السبت"},0),7),IFERROR(DATEVALUE(A45),"")))))</f>
        <v/>
      </c>
      <c r="H45" s="0" t="str">
        <f aca="false">IF(G45="","",INT((G45-WEEK_ONE)/7)+1)</f>
        <v/>
      </c>
      <c r="I45" s="0" t="str">
        <f aca="false">IF(H45="","",IF(OR(H45&lt;1,H45&gt;NW),"",INDEX(WMON,H45)))</f>
        <v/>
      </c>
      <c r="J45" s="0" t="str">
        <f aca="false">IF(OR(G45="",H45="",C45=""),"",IF(C45="عمر المصري",SUMIFS('ساعات عمر'!$H$5:$H$746,'ساعات عمر'!$A$5:$A$746,"&gt;="&amp;(WEEK_ONE+7*(H45-1)),'ساعات عمر'!$A$5:$A$746,"&lt;="&amp;G45),SUMIFS('ساعات عبدالعزيز'!$F$5:$F$746,'ساعات عبدالعزيز'!$A$5:$A$746,"&gt;="&amp;(WEEK_ONE+7*(H45-1)),'ساعات عبدالعزيز'!$A$5:$A$746,"&lt;="&amp;G45)))</f>
        <v/>
      </c>
    </row>
    <row r="46" customFormat="false" ht="15" hidden="false" customHeight="false" outlineLevel="0" collapsed="false">
      <c r="A46" s="43"/>
      <c r="B46" s="23" t="str">
        <f aca="false">IF(G46="","",CHOOSE(WEEKDAY(G46,1),"الأحد","الاثنين","الثلاثاء","الأربعاء","الخميس","الجمعة","السبت")&amp;IF(OR(ISNUMBER(A46),LEN(TRIM(A46))&gt;=10),"","  "&amp;TEXT(DAY(G46),"00")&amp;"/"&amp;TEXT(MONTH(G46),"00")&amp;"/"&amp;YEAR(G46)))</f>
        <v/>
      </c>
      <c r="C46" s="24"/>
      <c r="D46" s="44"/>
      <c r="E46" s="27"/>
      <c r="F46" s="45" t="str">
        <f aca="false">IF(A46="","",IF(G46="","⛔ التاريخ غلط — اختاره من القائمة أو اكتبه كامل 05/10/2026",IF(OR(H46&lt;1,H46&gt;NW),"⛔ التاريخ برّا السنة",IF(AND(N(D46)&gt;0,N(J46)&gt;0,D46&gt;ADV_CAP*J46),"⚠️ أكثر من "&amp;TEXT(ADV_CAP,"0%")&amp;" من شغله ("&amp;TEXT(J46,"0.000")&amp;")",""))))</f>
        <v/>
      </c>
      <c r="G46" s="0" t="str">
        <f aca="true">IF(A46="","",IF(ISNUMBER(A46),IF(A46&gt;=36526,A46,""),IFERROR(DATE(VALUE(RIGHT(RIGHT(TRIM(A46),10),4)),VALUE(MID(RIGHT(TRIM(A46),10),4,2)),VALUE(LEFT(RIGHT(TRIM(A46),10),2))),IFERROR(TODAY()-MOD(WEEKDAY(TODAY(),1)-MATCH(TRIM(A46),{"الأحد","الاثنين","الثلاثاء","الأربعاء","الخميس","الجمعة","السبت"},0),7),IFERROR(DATEVALUE(A46),"")))))</f>
        <v/>
      </c>
      <c r="H46" s="0" t="str">
        <f aca="false">IF(G46="","",INT((G46-WEEK_ONE)/7)+1)</f>
        <v/>
      </c>
      <c r="I46" s="0" t="str">
        <f aca="false">IF(H46="","",IF(OR(H46&lt;1,H46&gt;NW),"",INDEX(WMON,H46)))</f>
        <v/>
      </c>
      <c r="J46" s="0" t="str">
        <f aca="false">IF(OR(G46="",H46="",C46=""),"",IF(C46="عمر المصري",SUMIFS('ساعات عمر'!$H$5:$H$746,'ساعات عمر'!$A$5:$A$746,"&gt;="&amp;(WEEK_ONE+7*(H46-1)),'ساعات عمر'!$A$5:$A$746,"&lt;="&amp;G46),SUMIFS('ساعات عبدالعزيز'!$F$5:$F$746,'ساعات عبدالعزيز'!$A$5:$A$746,"&gt;="&amp;(WEEK_ONE+7*(H46-1)),'ساعات عبدالعزيز'!$A$5:$A$746,"&lt;="&amp;G46)))</f>
        <v/>
      </c>
    </row>
    <row r="47" customFormat="false" ht="15" hidden="false" customHeight="false" outlineLevel="0" collapsed="false">
      <c r="A47" s="43"/>
      <c r="B47" s="23" t="str">
        <f aca="false">IF(G47="","",CHOOSE(WEEKDAY(G47,1),"الأحد","الاثنين","الثلاثاء","الأربعاء","الخميس","الجمعة","السبت")&amp;IF(OR(ISNUMBER(A47),LEN(TRIM(A47))&gt;=10),"","  "&amp;TEXT(DAY(G47),"00")&amp;"/"&amp;TEXT(MONTH(G47),"00")&amp;"/"&amp;YEAR(G47)))</f>
        <v/>
      </c>
      <c r="C47" s="24"/>
      <c r="D47" s="44"/>
      <c r="E47" s="27"/>
      <c r="F47" s="45" t="str">
        <f aca="false">IF(A47="","",IF(G47="","⛔ التاريخ غلط — اختاره من القائمة أو اكتبه كامل 05/10/2026",IF(OR(H47&lt;1,H47&gt;NW),"⛔ التاريخ برّا السنة",IF(AND(N(D47)&gt;0,N(J47)&gt;0,D47&gt;ADV_CAP*J47),"⚠️ أكثر من "&amp;TEXT(ADV_CAP,"0%")&amp;" من شغله ("&amp;TEXT(J47,"0.000")&amp;")",""))))</f>
        <v/>
      </c>
      <c r="G47" s="0" t="str">
        <f aca="true">IF(A47="","",IF(ISNUMBER(A47),IF(A47&gt;=36526,A47,""),IFERROR(DATE(VALUE(RIGHT(RIGHT(TRIM(A47),10),4)),VALUE(MID(RIGHT(TRIM(A47),10),4,2)),VALUE(LEFT(RIGHT(TRIM(A47),10),2))),IFERROR(TODAY()-MOD(WEEKDAY(TODAY(),1)-MATCH(TRIM(A47),{"الأحد","الاثنين","الثلاثاء","الأربعاء","الخميس","الجمعة","السبت"},0),7),IFERROR(DATEVALUE(A47),"")))))</f>
        <v/>
      </c>
      <c r="H47" s="0" t="str">
        <f aca="false">IF(G47="","",INT((G47-WEEK_ONE)/7)+1)</f>
        <v/>
      </c>
      <c r="I47" s="0" t="str">
        <f aca="false">IF(H47="","",IF(OR(H47&lt;1,H47&gt;NW),"",INDEX(WMON,H47)))</f>
        <v/>
      </c>
      <c r="J47" s="0" t="str">
        <f aca="false">IF(OR(G47="",H47="",C47=""),"",IF(C47="عمر المصري",SUMIFS('ساعات عمر'!$H$5:$H$746,'ساعات عمر'!$A$5:$A$746,"&gt;="&amp;(WEEK_ONE+7*(H47-1)),'ساعات عمر'!$A$5:$A$746,"&lt;="&amp;G47),SUMIFS('ساعات عبدالعزيز'!$F$5:$F$746,'ساعات عبدالعزيز'!$A$5:$A$746,"&gt;="&amp;(WEEK_ONE+7*(H47-1)),'ساعات عبدالعزيز'!$A$5:$A$746,"&lt;="&amp;G47)))</f>
        <v/>
      </c>
    </row>
    <row r="48" customFormat="false" ht="15" hidden="false" customHeight="false" outlineLevel="0" collapsed="false">
      <c r="A48" s="43"/>
      <c r="B48" s="23" t="str">
        <f aca="false">IF(G48="","",CHOOSE(WEEKDAY(G48,1),"الأحد","الاثنين","الثلاثاء","الأربعاء","الخميس","الجمعة","السبت")&amp;IF(OR(ISNUMBER(A48),LEN(TRIM(A48))&gt;=10),"","  "&amp;TEXT(DAY(G48),"00")&amp;"/"&amp;TEXT(MONTH(G48),"00")&amp;"/"&amp;YEAR(G48)))</f>
        <v/>
      </c>
      <c r="C48" s="24"/>
      <c r="D48" s="44"/>
      <c r="E48" s="27"/>
      <c r="F48" s="45" t="str">
        <f aca="false">IF(A48="","",IF(G48="","⛔ التاريخ غلط — اختاره من القائمة أو اكتبه كامل 05/10/2026",IF(OR(H48&lt;1,H48&gt;NW),"⛔ التاريخ برّا السنة",IF(AND(N(D48)&gt;0,N(J48)&gt;0,D48&gt;ADV_CAP*J48),"⚠️ أكثر من "&amp;TEXT(ADV_CAP,"0%")&amp;" من شغله ("&amp;TEXT(J48,"0.000")&amp;")",""))))</f>
        <v/>
      </c>
      <c r="G48" s="0" t="str">
        <f aca="true">IF(A48="","",IF(ISNUMBER(A48),IF(A48&gt;=36526,A48,""),IFERROR(DATE(VALUE(RIGHT(RIGHT(TRIM(A48),10),4)),VALUE(MID(RIGHT(TRIM(A48),10),4,2)),VALUE(LEFT(RIGHT(TRIM(A48),10),2))),IFERROR(TODAY()-MOD(WEEKDAY(TODAY(),1)-MATCH(TRIM(A48),{"الأحد","الاثنين","الثلاثاء","الأربعاء","الخميس","الجمعة","السبت"},0),7),IFERROR(DATEVALUE(A48),"")))))</f>
        <v/>
      </c>
      <c r="H48" s="0" t="str">
        <f aca="false">IF(G48="","",INT((G48-WEEK_ONE)/7)+1)</f>
        <v/>
      </c>
      <c r="I48" s="0" t="str">
        <f aca="false">IF(H48="","",IF(OR(H48&lt;1,H48&gt;NW),"",INDEX(WMON,H48)))</f>
        <v/>
      </c>
      <c r="J48" s="0" t="str">
        <f aca="false">IF(OR(G48="",H48="",C48=""),"",IF(C48="عمر المصري",SUMIFS('ساعات عمر'!$H$5:$H$746,'ساعات عمر'!$A$5:$A$746,"&gt;="&amp;(WEEK_ONE+7*(H48-1)),'ساعات عمر'!$A$5:$A$746,"&lt;="&amp;G48),SUMIFS('ساعات عبدالعزيز'!$F$5:$F$746,'ساعات عبدالعزيز'!$A$5:$A$746,"&gt;="&amp;(WEEK_ONE+7*(H48-1)),'ساعات عبدالعزيز'!$A$5:$A$746,"&lt;="&amp;G48)))</f>
        <v/>
      </c>
    </row>
    <row r="49" customFormat="false" ht="15" hidden="false" customHeight="false" outlineLevel="0" collapsed="false">
      <c r="A49" s="43"/>
      <c r="B49" s="23" t="str">
        <f aca="false">IF(G49="","",CHOOSE(WEEKDAY(G49,1),"الأحد","الاثنين","الثلاثاء","الأربعاء","الخميس","الجمعة","السبت")&amp;IF(OR(ISNUMBER(A49),LEN(TRIM(A49))&gt;=10),"","  "&amp;TEXT(DAY(G49),"00")&amp;"/"&amp;TEXT(MONTH(G49),"00")&amp;"/"&amp;YEAR(G49)))</f>
        <v/>
      </c>
      <c r="C49" s="24"/>
      <c r="D49" s="44"/>
      <c r="E49" s="27"/>
      <c r="F49" s="45" t="str">
        <f aca="false">IF(A49="","",IF(G49="","⛔ التاريخ غلط — اختاره من القائمة أو اكتبه كامل 05/10/2026",IF(OR(H49&lt;1,H49&gt;NW),"⛔ التاريخ برّا السنة",IF(AND(N(D49)&gt;0,N(J49)&gt;0,D49&gt;ADV_CAP*J49),"⚠️ أكثر من "&amp;TEXT(ADV_CAP,"0%")&amp;" من شغله ("&amp;TEXT(J49,"0.000")&amp;")",""))))</f>
        <v/>
      </c>
      <c r="G49" s="0" t="str">
        <f aca="true">IF(A49="","",IF(ISNUMBER(A49),IF(A49&gt;=36526,A49,""),IFERROR(DATE(VALUE(RIGHT(RIGHT(TRIM(A49),10),4)),VALUE(MID(RIGHT(TRIM(A49),10),4,2)),VALUE(LEFT(RIGHT(TRIM(A49),10),2))),IFERROR(TODAY()-MOD(WEEKDAY(TODAY(),1)-MATCH(TRIM(A49),{"الأحد","الاثنين","الثلاثاء","الأربعاء","الخميس","الجمعة","السبت"},0),7),IFERROR(DATEVALUE(A49),"")))))</f>
        <v/>
      </c>
      <c r="H49" s="0" t="str">
        <f aca="false">IF(G49="","",INT((G49-WEEK_ONE)/7)+1)</f>
        <v/>
      </c>
      <c r="I49" s="0" t="str">
        <f aca="false">IF(H49="","",IF(OR(H49&lt;1,H49&gt;NW),"",INDEX(WMON,H49)))</f>
        <v/>
      </c>
      <c r="J49" s="0" t="str">
        <f aca="false">IF(OR(G49="",H49="",C49=""),"",IF(C49="عمر المصري",SUMIFS('ساعات عمر'!$H$5:$H$746,'ساعات عمر'!$A$5:$A$746,"&gt;="&amp;(WEEK_ONE+7*(H49-1)),'ساعات عمر'!$A$5:$A$746,"&lt;="&amp;G49),SUMIFS('ساعات عبدالعزيز'!$F$5:$F$746,'ساعات عبدالعزيز'!$A$5:$A$746,"&gt;="&amp;(WEEK_ONE+7*(H49-1)),'ساعات عبدالعزيز'!$A$5:$A$746,"&lt;="&amp;G49)))</f>
        <v/>
      </c>
    </row>
    <row r="50" customFormat="false" ht="15" hidden="false" customHeight="false" outlineLevel="0" collapsed="false">
      <c r="A50" s="43"/>
      <c r="B50" s="23" t="str">
        <f aca="false">IF(G50="","",CHOOSE(WEEKDAY(G50,1),"الأحد","الاثنين","الثلاثاء","الأربعاء","الخميس","الجمعة","السبت")&amp;IF(OR(ISNUMBER(A50),LEN(TRIM(A50))&gt;=10),"","  "&amp;TEXT(DAY(G50),"00")&amp;"/"&amp;TEXT(MONTH(G50),"00")&amp;"/"&amp;YEAR(G50)))</f>
        <v/>
      </c>
      <c r="C50" s="24"/>
      <c r="D50" s="44"/>
      <c r="E50" s="27"/>
      <c r="F50" s="45" t="str">
        <f aca="false">IF(A50="","",IF(G50="","⛔ التاريخ غلط — اختاره من القائمة أو اكتبه كامل 05/10/2026",IF(OR(H50&lt;1,H50&gt;NW),"⛔ التاريخ برّا السنة",IF(AND(N(D50)&gt;0,N(J50)&gt;0,D50&gt;ADV_CAP*J50),"⚠️ أكثر من "&amp;TEXT(ADV_CAP,"0%")&amp;" من شغله ("&amp;TEXT(J50,"0.000")&amp;")",""))))</f>
        <v/>
      </c>
      <c r="G50" s="0" t="str">
        <f aca="true">IF(A50="","",IF(ISNUMBER(A50),IF(A50&gt;=36526,A50,""),IFERROR(DATE(VALUE(RIGHT(RIGHT(TRIM(A50),10),4)),VALUE(MID(RIGHT(TRIM(A50),10),4,2)),VALUE(LEFT(RIGHT(TRIM(A50),10),2))),IFERROR(TODAY()-MOD(WEEKDAY(TODAY(),1)-MATCH(TRIM(A50),{"الأحد","الاثنين","الثلاثاء","الأربعاء","الخميس","الجمعة","السبت"},0),7),IFERROR(DATEVALUE(A50),"")))))</f>
        <v/>
      </c>
      <c r="H50" s="0" t="str">
        <f aca="false">IF(G50="","",INT((G50-WEEK_ONE)/7)+1)</f>
        <v/>
      </c>
      <c r="I50" s="0" t="str">
        <f aca="false">IF(H50="","",IF(OR(H50&lt;1,H50&gt;NW),"",INDEX(WMON,H50)))</f>
        <v/>
      </c>
      <c r="J50" s="0" t="str">
        <f aca="false">IF(OR(G50="",H50="",C50=""),"",IF(C50="عمر المصري",SUMIFS('ساعات عمر'!$H$5:$H$746,'ساعات عمر'!$A$5:$A$746,"&gt;="&amp;(WEEK_ONE+7*(H50-1)),'ساعات عمر'!$A$5:$A$746,"&lt;="&amp;G50),SUMIFS('ساعات عبدالعزيز'!$F$5:$F$746,'ساعات عبدالعزيز'!$A$5:$A$746,"&gt;="&amp;(WEEK_ONE+7*(H50-1)),'ساعات عبدالعزيز'!$A$5:$A$746,"&lt;="&amp;G50)))</f>
        <v/>
      </c>
    </row>
    <row r="51" customFormat="false" ht="15" hidden="false" customHeight="false" outlineLevel="0" collapsed="false">
      <c r="A51" s="43"/>
      <c r="B51" s="23" t="str">
        <f aca="false">IF(G51="","",CHOOSE(WEEKDAY(G51,1),"الأحد","الاثنين","الثلاثاء","الأربعاء","الخميس","الجمعة","السبت")&amp;IF(OR(ISNUMBER(A51),LEN(TRIM(A51))&gt;=10),"","  "&amp;TEXT(DAY(G51),"00")&amp;"/"&amp;TEXT(MONTH(G51),"00")&amp;"/"&amp;YEAR(G51)))</f>
        <v/>
      </c>
      <c r="C51" s="24"/>
      <c r="D51" s="44"/>
      <c r="E51" s="27"/>
      <c r="F51" s="45" t="str">
        <f aca="false">IF(A51="","",IF(G51="","⛔ التاريخ غلط — اختاره من القائمة أو اكتبه كامل 05/10/2026",IF(OR(H51&lt;1,H51&gt;NW),"⛔ التاريخ برّا السنة",IF(AND(N(D51)&gt;0,N(J51)&gt;0,D51&gt;ADV_CAP*J51),"⚠️ أكثر من "&amp;TEXT(ADV_CAP,"0%")&amp;" من شغله ("&amp;TEXT(J51,"0.000")&amp;")",""))))</f>
        <v/>
      </c>
      <c r="G51" s="0" t="str">
        <f aca="true">IF(A51="","",IF(ISNUMBER(A51),IF(A51&gt;=36526,A51,""),IFERROR(DATE(VALUE(RIGHT(RIGHT(TRIM(A51),10),4)),VALUE(MID(RIGHT(TRIM(A51),10),4,2)),VALUE(LEFT(RIGHT(TRIM(A51),10),2))),IFERROR(TODAY()-MOD(WEEKDAY(TODAY(),1)-MATCH(TRIM(A51),{"الأحد","الاثنين","الثلاثاء","الأربعاء","الخميس","الجمعة","السبت"},0),7),IFERROR(DATEVALUE(A51),"")))))</f>
        <v/>
      </c>
      <c r="H51" s="0" t="str">
        <f aca="false">IF(G51="","",INT((G51-WEEK_ONE)/7)+1)</f>
        <v/>
      </c>
      <c r="I51" s="0" t="str">
        <f aca="false">IF(H51="","",IF(OR(H51&lt;1,H51&gt;NW),"",INDEX(WMON,H51)))</f>
        <v/>
      </c>
      <c r="J51" s="0" t="str">
        <f aca="false">IF(OR(G51="",H51="",C51=""),"",IF(C51="عمر المصري",SUMIFS('ساعات عمر'!$H$5:$H$746,'ساعات عمر'!$A$5:$A$746,"&gt;="&amp;(WEEK_ONE+7*(H51-1)),'ساعات عمر'!$A$5:$A$746,"&lt;="&amp;G51),SUMIFS('ساعات عبدالعزيز'!$F$5:$F$746,'ساعات عبدالعزيز'!$A$5:$A$746,"&gt;="&amp;(WEEK_ONE+7*(H51-1)),'ساعات عبدالعزيز'!$A$5:$A$746,"&lt;="&amp;G51)))</f>
        <v/>
      </c>
    </row>
    <row r="52" customFormat="false" ht="15" hidden="false" customHeight="false" outlineLevel="0" collapsed="false">
      <c r="A52" s="43"/>
      <c r="B52" s="23" t="str">
        <f aca="false">IF(G52="","",CHOOSE(WEEKDAY(G52,1),"الأحد","الاثنين","الثلاثاء","الأربعاء","الخميس","الجمعة","السبت")&amp;IF(OR(ISNUMBER(A52),LEN(TRIM(A52))&gt;=10),"","  "&amp;TEXT(DAY(G52),"00")&amp;"/"&amp;TEXT(MONTH(G52),"00")&amp;"/"&amp;YEAR(G52)))</f>
        <v/>
      </c>
      <c r="C52" s="24"/>
      <c r="D52" s="44"/>
      <c r="E52" s="27"/>
      <c r="F52" s="45" t="str">
        <f aca="false">IF(A52="","",IF(G52="","⛔ التاريخ غلط — اختاره من القائمة أو اكتبه كامل 05/10/2026",IF(OR(H52&lt;1,H52&gt;NW),"⛔ التاريخ برّا السنة",IF(AND(N(D52)&gt;0,N(J52)&gt;0,D52&gt;ADV_CAP*J52),"⚠️ أكثر من "&amp;TEXT(ADV_CAP,"0%")&amp;" من شغله ("&amp;TEXT(J52,"0.000")&amp;")",""))))</f>
        <v/>
      </c>
      <c r="G52" s="0" t="str">
        <f aca="true">IF(A52="","",IF(ISNUMBER(A52),IF(A52&gt;=36526,A52,""),IFERROR(DATE(VALUE(RIGHT(RIGHT(TRIM(A52),10),4)),VALUE(MID(RIGHT(TRIM(A52),10),4,2)),VALUE(LEFT(RIGHT(TRIM(A52),10),2))),IFERROR(TODAY()-MOD(WEEKDAY(TODAY(),1)-MATCH(TRIM(A52),{"الأحد","الاثنين","الثلاثاء","الأربعاء","الخميس","الجمعة","السبت"},0),7),IFERROR(DATEVALUE(A52),"")))))</f>
        <v/>
      </c>
      <c r="H52" s="0" t="str">
        <f aca="false">IF(G52="","",INT((G52-WEEK_ONE)/7)+1)</f>
        <v/>
      </c>
      <c r="I52" s="0" t="str">
        <f aca="false">IF(H52="","",IF(OR(H52&lt;1,H52&gt;NW),"",INDEX(WMON,H52)))</f>
        <v/>
      </c>
      <c r="J52" s="0" t="str">
        <f aca="false">IF(OR(G52="",H52="",C52=""),"",IF(C52="عمر المصري",SUMIFS('ساعات عمر'!$H$5:$H$746,'ساعات عمر'!$A$5:$A$746,"&gt;="&amp;(WEEK_ONE+7*(H52-1)),'ساعات عمر'!$A$5:$A$746,"&lt;="&amp;G52),SUMIFS('ساعات عبدالعزيز'!$F$5:$F$746,'ساعات عبدالعزيز'!$A$5:$A$746,"&gt;="&amp;(WEEK_ONE+7*(H52-1)),'ساعات عبدالعزيز'!$A$5:$A$746,"&lt;="&amp;G52)))</f>
        <v/>
      </c>
    </row>
    <row r="53" customFormat="false" ht="15" hidden="false" customHeight="false" outlineLevel="0" collapsed="false">
      <c r="A53" s="43"/>
      <c r="B53" s="23" t="str">
        <f aca="false">IF(G53="","",CHOOSE(WEEKDAY(G53,1),"الأحد","الاثنين","الثلاثاء","الأربعاء","الخميس","الجمعة","السبت")&amp;IF(OR(ISNUMBER(A53),LEN(TRIM(A53))&gt;=10),"","  "&amp;TEXT(DAY(G53),"00")&amp;"/"&amp;TEXT(MONTH(G53),"00")&amp;"/"&amp;YEAR(G53)))</f>
        <v/>
      </c>
      <c r="C53" s="24"/>
      <c r="D53" s="44"/>
      <c r="E53" s="27"/>
      <c r="F53" s="45" t="str">
        <f aca="false">IF(A53="","",IF(G53="","⛔ التاريخ غلط — اختاره من القائمة أو اكتبه كامل 05/10/2026",IF(OR(H53&lt;1,H53&gt;NW),"⛔ التاريخ برّا السنة",IF(AND(N(D53)&gt;0,N(J53)&gt;0,D53&gt;ADV_CAP*J53),"⚠️ أكثر من "&amp;TEXT(ADV_CAP,"0%")&amp;" من شغله ("&amp;TEXT(J53,"0.000")&amp;")",""))))</f>
        <v/>
      </c>
      <c r="G53" s="0" t="str">
        <f aca="true">IF(A53="","",IF(ISNUMBER(A53),IF(A53&gt;=36526,A53,""),IFERROR(DATE(VALUE(RIGHT(RIGHT(TRIM(A53),10),4)),VALUE(MID(RIGHT(TRIM(A53),10),4,2)),VALUE(LEFT(RIGHT(TRIM(A53),10),2))),IFERROR(TODAY()-MOD(WEEKDAY(TODAY(),1)-MATCH(TRIM(A53),{"الأحد","الاثنين","الثلاثاء","الأربعاء","الخميس","الجمعة","السبت"},0),7),IFERROR(DATEVALUE(A53),"")))))</f>
        <v/>
      </c>
      <c r="H53" s="0" t="str">
        <f aca="false">IF(G53="","",INT((G53-WEEK_ONE)/7)+1)</f>
        <v/>
      </c>
      <c r="I53" s="0" t="str">
        <f aca="false">IF(H53="","",IF(OR(H53&lt;1,H53&gt;NW),"",INDEX(WMON,H53)))</f>
        <v/>
      </c>
      <c r="J53" s="0" t="str">
        <f aca="false">IF(OR(G53="",H53="",C53=""),"",IF(C53="عمر المصري",SUMIFS('ساعات عمر'!$H$5:$H$746,'ساعات عمر'!$A$5:$A$746,"&gt;="&amp;(WEEK_ONE+7*(H53-1)),'ساعات عمر'!$A$5:$A$746,"&lt;="&amp;G53),SUMIFS('ساعات عبدالعزيز'!$F$5:$F$746,'ساعات عبدالعزيز'!$A$5:$A$746,"&gt;="&amp;(WEEK_ONE+7*(H53-1)),'ساعات عبدالعزيز'!$A$5:$A$746,"&lt;="&amp;G53)))</f>
        <v/>
      </c>
    </row>
    <row r="54" customFormat="false" ht="15" hidden="false" customHeight="false" outlineLevel="0" collapsed="false">
      <c r="A54" s="43"/>
      <c r="B54" s="23" t="str">
        <f aca="false">IF(G54="","",CHOOSE(WEEKDAY(G54,1),"الأحد","الاثنين","الثلاثاء","الأربعاء","الخميس","الجمعة","السبت")&amp;IF(OR(ISNUMBER(A54),LEN(TRIM(A54))&gt;=10),"","  "&amp;TEXT(DAY(G54),"00")&amp;"/"&amp;TEXT(MONTH(G54),"00")&amp;"/"&amp;YEAR(G54)))</f>
        <v/>
      </c>
      <c r="C54" s="24"/>
      <c r="D54" s="44"/>
      <c r="E54" s="27"/>
      <c r="F54" s="45" t="str">
        <f aca="false">IF(A54="","",IF(G54="","⛔ التاريخ غلط — اختاره من القائمة أو اكتبه كامل 05/10/2026",IF(OR(H54&lt;1,H54&gt;NW),"⛔ التاريخ برّا السنة",IF(AND(N(D54)&gt;0,N(J54)&gt;0,D54&gt;ADV_CAP*J54),"⚠️ أكثر من "&amp;TEXT(ADV_CAP,"0%")&amp;" من شغله ("&amp;TEXT(J54,"0.000")&amp;")",""))))</f>
        <v/>
      </c>
      <c r="G54" s="0" t="str">
        <f aca="true">IF(A54="","",IF(ISNUMBER(A54),IF(A54&gt;=36526,A54,""),IFERROR(DATE(VALUE(RIGHT(RIGHT(TRIM(A54),10),4)),VALUE(MID(RIGHT(TRIM(A54),10),4,2)),VALUE(LEFT(RIGHT(TRIM(A54),10),2))),IFERROR(TODAY()-MOD(WEEKDAY(TODAY(),1)-MATCH(TRIM(A54),{"الأحد","الاثنين","الثلاثاء","الأربعاء","الخميس","الجمعة","السبت"},0),7),IFERROR(DATEVALUE(A54),"")))))</f>
        <v/>
      </c>
      <c r="H54" s="0" t="str">
        <f aca="false">IF(G54="","",INT((G54-WEEK_ONE)/7)+1)</f>
        <v/>
      </c>
      <c r="I54" s="0" t="str">
        <f aca="false">IF(H54="","",IF(OR(H54&lt;1,H54&gt;NW),"",INDEX(WMON,H54)))</f>
        <v/>
      </c>
      <c r="J54" s="0" t="str">
        <f aca="false">IF(OR(G54="",H54="",C54=""),"",IF(C54="عمر المصري",SUMIFS('ساعات عمر'!$H$5:$H$746,'ساعات عمر'!$A$5:$A$746,"&gt;="&amp;(WEEK_ONE+7*(H54-1)),'ساعات عمر'!$A$5:$A$746,"&lt;="&amp;G54),SUMIFS('ساعات عبدالعزيز'!$F$5:$F$746,'ساعات عبدالعزيز'!$A$5:$A$746,"&gt;="&amp;(WEEK_ONE+7*(H54-1)),'ساعات عبدالعزيز'!$A$5:$A$746,"&lt;="&amp;G54)))</f>
        <v/>
      </c>
    </row>
    <row r="55" customFormat="false" ht="15" hidden="false" customHeight="false" outlineLevel="0" collapsed="false">
      <c r="A55" s="43"/>
      <c r="B55" s="23" t="str">
        <f aca="false">IF(G55="","",CHOOSE(WEEKDAY(G55,1),"الأحد","الاثنين","الثلاثاء","الأربعاء","الخميس","الجمعة","السبت")&amp;IF(OR(ISNUMBER(A55),LEN(TRIM(A55))&gt;=10),"","  "&amp;TEXT(DAY(G55),"00")&amp;"/"&amp;TEXT(MONTH(G55),"00")&amp;"/"&amp;YEAR(G55)))</f>
        <v/>
      </c>
      <c r="C55" s="24"/>
      <c r="D55" s="44"/>
      <c r="E55" s="27"/>
      <c r="F55" s="45" t="str">
        <f aca="false">IF(A55="","",IF(G55="","⛔ التاريخ غلط — اختاره من القائمة أو اكتبه كامل 05/10/2026",IF(OR(H55&lt;1,H55&gt;NW),"⛔ التاريخ برّا السنة",IF(AND(N(D55)&gt;0,N(J55)&gt;0,D55&gt;ADV_CAP*J55),"⚠️ أكثر من "&amp;TEXT(ADV_CAP,"0%")&amp;" من شغله ("&amp;TEXT(J55,"0.000")&amp;")",""))))</f>
        <v/>
      </c>
      <c r="G55" s="0" t="str">
        <f aca="true">IF(A55="","",IF(ISNUMBER(A55),IF(A55&gt;=36526,A55,""),IFERROR(DATE(VALUE(RIGHT(RIGHT(TRIM(A55),10),4)),VALUE(MID(RIGHT(TRIM(A55),10),4,2)),VALUE(LEFT(RIGHT(TRIM(A55),10),2))),IFERROR(TODAY()-MOD(WEEKDAY(TODAY(),1)-MATCH(TRIM(A55),{"الأحد","الاثنين","الثلاثاء","الأربعاء","الخميس","الجمعة","السبت"},0),7),IFERROR(DATEVALUE(A55),"")))))</f>
        <v/>
      </c>
      <c r="H55" s="0" t="str">
        <f aca="false">IF(G55="","",INT((G55-WEEK_ONE)/7)+1)</f>
        <v/>
      </c>
      <c r="I55" s="0" t="str">
        <f aca="false">IF(H55="","",IF(OR(H55&lt;1,H55&gt;NW),"",INDEX(WMON,H55)))</f>
        <v/>
      </c>
      <c r="J55" s="0" t="str">
        <f aca="false">IF(OR(G55="",H55="",C55=""),"",IF(C55="عمر المصري",SUMIFS('ساعات عمر'!$H$5:$H$746,'ساعات عمر'!$A$5:$A$746,"&gt;="&amp;(WEEK_ONE+7*(H55-1)),'ساعات عمر'!$A$5:$A$746,"&lt;="&amp;G55),SUMIFS('ساعات عبدالعزيز'!$F$5:$F$746,'ساعات عبدالعزيز'!$A$5:$A$746,"&gt;="&amp;(WEEK_ONE+7*(H55-1)),'ساعات عبدالعزيز'!$A$5:$A$746,"&lt;="&amp;G55)))</f>
        <v/>
      </c>
    </row>
    <row r="56" customFormat="false" ht="15" hidden="false" customHeight="false" outlineLevel="0" collapsed="false">
      <c r="A56" s="43"/>
      <c r="B56" s="23" t="str">
        <f aca="false">IF(G56="","",CHOOSE(WEEKDAY(G56,1),"الأحد","الاثنين","الثلاثاء","الأربعاء","الخميس","الجمعة","السبت")&amp;IF(OR(ISNUMBER(A56),LEN(TRIM(A56))&gt;=10),"","  "&amp;TEXT(DAY(G56),"00")&amp;"/"&amp;TEXT(MONTH(G56),"00")&amp;"/"&amp;YEAR(G56)))</f>
        <v/>
      </c>
      <c r="C56" s="24"/>
      <c r="D56" s="44"/>
      <c r="E56" s="27"/>
      <c r="F56" s="45" t="str">
        <f aca="false">IF(A56="","",IF(G56="","⛔ التاريخ غلط — اختاره من القائمة أو اكتبه كامل 05/10/2026",IF(OR(H56&lt;1,H56&gt;NW),"⛔ التاريخ برّا السنة",IF(AND(N(D56)&gt;0,N(J56)&gt;0,D56&gt;ADV_CAP*J56),"⚠️ أكثر من "&amp;TEXT(ADV_CAP,"0%")&amp;" من شغله ("&amp;TEXT(J56,"0.000")&amp;")",""))))</f>
        <v/>
      </c>
      <c r="G56" s="0" t="str">
        <f aca="true">IF(A56="","",IF(ISNUMBER(A56),IF(A56&gt;=36526,A56,""),IFERROR(DATE(VALUE(RIGHT(RIGHT(TRIM(A56),10),4)),VALUE(MID(RIGHT(TRIM(A56),10),4,2)),VALUE(LEFT(RIGHT(TRIM(A56),10),2))),IFERROR(TODAY()-MOD(WEEKDAY(TODAY(),1)-MATCH(TRIM(A56),{"الأحد","الاثنين","الثلاثاء","الأربعاء","الخميس","الجمعة","السبت"},0),7),IFERROR(DATEVALUE(A56),"")))))</f>
        <v/>
      </c>
      <c r="H56" s="0" t="str">
        <f aca="false">IF(G56="","",INT((G56-WEEK_ONE)/7)+1)</f>
        <v/>
      </c>
      <c r="I56" s="0" t="str">
        <f aca="false">IF(H56="","",IF(OR(H56&lt;1,H56&gt;NW),"",INDEX(WMON,H56)))</f>
        <v/>
      </c>
      <c r="J56" s="0" t="str">
        <f aca="false">IF(OR(G56="",H56="",C56=""),"",IF(C56="عمر المصري",SUMIFS('ساعات عمر'!$H$5:$H$746,'ساعات عمر'!$A$5:$A$746,"&gt;="&amp;(WEEK_ONE+7*(H56-1)),'ساعات عمر'!$A$5:$A$746,"&lt;="&amp;G56),SUMIFS('ساعات عبدالعزيز'!$F$5:$F$746,'ساعات عبدالعزيز'!$A$5:$A$746,"&gt;="&amp;(WEEK_ONE+7*(H56-1)),'ساعات عبدالعزيز'!$A$5:$A$746,"&lt;="&amp;G56)))</f>
        <v/>
      </c>
    </row>
    <row r="57" customFormat="false" ht="15" hidden="false" customHeight="false" outlineLevel="0" collapsed="false">
      <c r="A57" s="43"/>
      <c r="B57" s="23" t="str">
        <f aca="false">IF(G57="","",CHOOSE(WEEKDAY(G57,1),"الأحد","الاثنين","الثلاثاء","الأربعاء","الخميس","الجمعة","السبت")&amp;IF(OR(ISNUMBER(A57),LEN(TRIM(A57))&gt;=10),"","  "&amp;TEXT(DAY(G57),"00")&amp;"/"&amp;TEXT(MONTH(G57),"00")&amp;"/"&amp;YEAR(G57)))</f>
        <v/>
      </c>
      <c r="C57" s="24"/>
      <c r="D57" s="44"/>
      <c r="E57" s="27"/>
      <c r="F57" s="45" t="str">
        <f aca="false">IF(A57="","",IF(G57="","⛔ التاريخ غلط — اختاره من القائمة أو اكتبه كامل 05/10/2026",IF(OR(H57&lt;1,H57&gt;NW),"⛔ التاريخ برّا السنة",IF(AND(N(D57)&gt;0,N(J57)&gt;0,D57&gt;ADV_CAP*J57),"⚠️ أكثر من "&amp;TEXT(ADV_CAP,"0%")&amp;" من شغله ("&amp;TEXT(J57,"0.000")&amp;")",""))))</f>
        <v/>
      </c>
      <c r="G57" s="0" t="str">
        <f aca="true">IF(A57="","",IF(ISNUMBER(A57),IF(A57&gt;=36526,A57,""),IFERROR(DATE(VALUE(RIGHT(RIGHT(TRIM(A57),10),4)),VALUE(MID(RIGHT(TRIM(A57),10),4,2)),VALUE(LEFT(RIGHT(TRIM(A57),10),2))),IFERROR(TODAY()-MOD(WEEKDAY(TODAY(),1)-MATCH(TRIM(A57),{"الأحد","الاثنين","الثلاثاء","الأربعاء","الخميس","الجمعة","السبت"},0),7),IFERROR(DATEVALUE(A57),"")))))</f>
        <v/>
      </c>
      <c r="H57" s="0" t="str">
        <f aca="false">IF(G57="","",INT((G57-WEEK_ONE)/7)+1)</f>
        <v/>
      </c>
      <c r="I57" s="0" t="str">
        <f aca="false">IF(H57="","",IF(OR(H57&lt;1,H57&gt;NW),"",INDEX(WMON,H57)))</f>
        <v/>
      </c>
      <c r="J57" s="0" t="str">
        <f aca="false">IF(OR(G57="",H57="",C57=""),"",IF(C57="عمر المصري",SUMIFS('ساعات عمر'!$H$5:$H$746,'ساعات عمر'!$A$5:$A$746,"&gt;="&amp;(WEEK_ONE+7*(H57-1)),'ساعات عمر'!$A$5:$A$746,"&lt;="&amp;G57),SUMIFS('ساعات عبدالعزيز'!$F$5:$F$746,'ساعات عبدالعزيز'!$A$5:$A$746,"&gt;="&amp;(WEEK_ONE+7*(H57-1)),'ساعات عبدالعزيز'!$A$5:$A$746,"&lt;="&amp;G57)))</f>
        <v/>
      </c>
    </row>
    <row r="58" customFormat="false" ht="15" hidden="false" customHeight="false" outlineLevel="0" collapsed="false">
      <c r="A58" s="43"/>
      <c r="B58" s="23" t="str">
        <f aca="false">IF(G58="","",CHOOSE(WEEKDAY(G58,1),"الأحد","الاثنين","الثلاثاء","الأربعاء","الخميس","الجمعة","السبت")&amp;IF(OR(ISNUMBER(A58),LEN(TRIM(A58))&gt;=10),"","  "&amp;TEXT(DAY(G58),"00")&amp;"/"&amp;TEXT(MONTH(G58),"00")&amp;"/"&amp;YEAR(G58)))</f>
        <v/>
      </c>
      <c r="C58" s="24"/>
      <c r="D58" s="44"/>
      <c r="E58" s="27"/>
      <c r="F58" s="45" t="str">
        <f aca="false">IF(A58="","",IF(G58="","⛔ التاريخ غلط — اختاره من القائمة أو اكتبه كامل 05/10/2026",IF(OR(H58&lt;1,H58&gt;NW),"⛔ التاريخ برّا السنة",IF(AND(N(D58)&gt;0,N(J58)&gt;0,D58&gt;ADV_CAP*J58),"⚠️ أكثر من "&amp;TEXT(ADV_CAP,"0%")&amp;" من شغله ("&amp;TEXT(J58,"0.000")&amp;")",""))))</f>
        <v/>
      </c>
      <c r="G58" s="0" t="str">
        <f aca="true">IF(A58="","",IF(ISNUMBER(A58),IF(A58&gt;=36526,A58,""),IFERROR(DATE(VALUE(RIGHT(RIGHT(TRIM(A58),10),4)),VALUE(MID(RIGHT(TRIM(A58),10),4,2)),VALUE(LEFT(RIGHT(TRIM(A58),10),2))),IFERROR(TODAY()-MOD(WEEKDAY(TODAY(),1)-MATCH(TRIM(A58),{"الأحد","الاثنين","الثلاثاء","الأربعاء","الخميس","الجمعة","السبت"},0),7),IFERROR(DATEVALUE(A58),"")))))</f>
        <v/>
      </c>
      <c r="H58" s="0" t="str">
        <f aca="false">IF(G58="","",INT((G58-WEEK_ONE)/7)+1)</f>
        <v/>
      </c>
      <c r="I58" s="0" t="str">
        <f aca="false">IF(H58="","",IF(OR(H58&lt;1,H58&gt;NW),"",INDEX(WMON,H58)))</f>
        <v/>
      </c>
      <c r="J58" s="0" t="str">
        <f aca="false">IF(OR(G58="",H58="",C58=""),"",IF(C58="عمر المصري",SUMIFS('ساعات عمر'!$H$5:$H$746,'ساعات عمر'!$A$5:$A$746,"&gt;="&amp;(WEEK_ONE+7*(H58-1)),'ساعات عمر'!$A$5:$A$746,"&lt;="&amp;G58),SUMIFS('ساعات عبدالعزيز'!$F$5:$F$746,'ساعات عبدالعزيز'!$A$5:$A$746,"&gt;="&amp;(WEEK_ONE+7*(H58-1)),'ساعات عبدالعزيز'!$A$5:$A$746,"&lt;="&amp;G58)))</f>
        <v/>
      </c>
    </row>
    <row r="59" customFormat="false" ht="15" hidden="false" customHeight="false" outlineLevel="0" collapsed="false">
      <c r="A59" s="43"/>
      <c r="B59" s="23" t="str">
        <f aca="false">IF(G59="","",CHOOSE(WEEKDAY(G59,1),"الأحد","الاثنين","الثلاثاء","الأربعاء","الخميس","الجمعة","السبت")&amp;IF(OR(ISNUMBER(A59),LEN(TRIM(A59))&gt;=10),"","  "&amp;TEXT(DAY(G59),"00")&amp;"/"&amp;TEXT(MONTH(G59),"00")&amp;"/"&amp;YEAR(G59)))</f>
        <v/>
      </c>
      <c r="C59" s="24"/>
      <c r="D59" s="44"/>
      <c r="E59" s="27"/>
      <c r="F59" s="45" t="str">
        <f aca="false">IF(A59="","",IF(G59="","⛔ التاريخ غلط — اختاره من القائمة أو اكتبه كامل 05/10/2026",IF(OR(H59&lt;1,H59&gt;NW),"⛔ التاريخ برّا السنة",IF(AND(N(D59)&gt;0,N(J59)&gt;0,D59&gt;ADV_CAP*J59),"⚠️ أكثر من "&amp;TEXT(ADV_CAP,"0%")&amp;" من شغله ("&amp;TEXT(J59,"0.000")&amp;")",""))))</f>
        <v/>
      </c>
      <c r="G59" s="0" t="str">
        <f aca="true">IF(A59="","",IF(ISNUMBER(A59),IF(A59&gt;=36526,A59,""),IFERROR(DATE(VALUE(RIGHT(RIGHT(TRIM(A59),10),4)),VALUE(MID(RIGHT(TRIM(A59),10),4,2)),VALUE(LEFT(RIGHT(TRIM(A59),10),2))),IFERROR(TODAY()-MOD(WEEKDAY(TODAY(),1)-MATCH(TRIM(A59),{"الأحد","الاثنين","الثلاثاء","الأربعاء","الخميس","الجمعة","السبت"},0),7),IFERROR(DATEVALUE(A59),"")))))</f>
        <v/>
      </c>
      <c r="H59" s="0" t="str">
        <f aca="false">IF(G59="","",INT((G59-WEEK_ONE)/7)+1)</f>
        <v/>
      </c>
      <c r="I59" s="0" t="str">
        <f aca="false">IF(H59="","",IF(OR(H59&lt;1,H59&gt;NW),"",INDEX(WMON,H59)))</f>
        <v/>
      </c>
      <c r="J59" s="0" t="str">
        <f aca="false">IF(OR(G59="",H59="",C59=""),"",IF(C59="عمر المصري",SUMIFS('ساعات عمر'!$H$5:$H$746,'ساعات عمر'!$A$5:$A$746,"&gt;="&amp;(WEEK_ONE+7*(H59-1)),'ساعات عمر'!$A$5:$A$746,"&lt;="&amp;G59),SUMIFS('ساعات عبدالعزيز'!$F$5:$F$746,'ساعات عبدالعزيز'!$A$5:$A$746,"&gt;="&amp;(WEEK_ONE+7*(H59-1)),'ساعات عبدالعزيز'!$A$5:$A$746,"&lt;="&amp;G59)))</f>
        <v/>
      </c>
    </row>
    <row r="60" customFormat="false" ht="15" hidden="false" customHeight="false" outlineLevel="0" collapsed="false">
      <c r="A60" s="43"/>
      <c r="B60" s="23" t="str">
        <f aca="false">IF(G60="","",CHOOSE(WEEKDAY(G60,1),"الأحد","الاثنين","الثلاثاء","الأربعاء","الخميس","الجمعة","السبت")&amp;IF(OR(ISNUMBER(A60),LEN(TRIM(A60))&gt;=10),"","  "&amp;TEXT(DAY(G60),"00")&amp;"/"&amp;TEXT(MONTH(G60),"00")&amp;"/"&amp;YEAR(G60)))</f>
        <v/>
      </c>
      <c r="C60" s="24"/>
      <c r="D60" s="44"/>
      <c r="E60" s="27"/>
      <c r="F60" s="45" t="str">
        <f aca="false">IF(A60="","",IF(G60="","⛔ التاريخ غلط — اختاره من القائمة أو اكتبه كامل 05/10/2026",IF(OR(H60&lt;1,H60&gt;NW),"⛔ التاريخ برّا السنة",IF(AND(N(D60)&gt;0,N(J60)&gt;0,D60&gt;ADV_CAP*J60),"⚠️ أكثر من "&amp;TEXT(ADV_CAP,"0%")&amp;" من شغله ("&amp;TEXT(J60,"0.000")&amp;")",""))))</f>
        <v/>
      </c>
      <c r="G60" s="0" t="str">
        <f aca="true">IF(A60="","",IF(ISNUMBER(A60),IF(A60&gt;=36526,A60,""),IFERROR(DATE(VALUE(RIGHT(RIGHT(TRIM(A60),10),4)),VALUE(MID(RIGHT(TRIM(A60),10),4,2)),VALUE(LEFT(RIGHT(TRIM(A60),10),2))),IFERROR(TODAY()-MOD(WEEKDAY(TODAY(),1)-MATCH(TRIM(A60),{"الأحد","الاثنين","الثلاثاء","الأربعاء","الخميس","الجمعة","السبت"},0),7),IFERROR(DATEVALUE(A60),"")))))</f>
        <v/>
      </c>
      <c r="H60" s="0" t="str">
        <f aca="false">IF(G60="","",INT((G60-WEEK_ONE)/7)+1)</f>
        <v/>
      </c>
      <c r="I60" s="0" t="str">
        <f aca="false">IF(H60="","",IF(OR(H60&lt;1,H60&gt;NW),"",INDEX(WMON,H60)))</f>
        <v/>
      </c>
      <c r="J60" s="0" t="str">
        <f aca="false">IF(OR(G60="",H60="",C60=""),"",IF(C60="عمر المصري",SUMIFS('ساعات عمر'!$H$5:$H$746,'ساعات عمر'!$A$5:$A$746,"&gt;="&amp;(WEEK_ONE+7*(H60-1)),'ساعات عمر'!$A$5:$A$746,"&lt;="&amp;G60),SUMIFS('ساعات عبدالعزيز'!$F$5:$F$746,'ساعات عبدالعزيز'!$A$5:$A$746,"&gt;="&amp;(WEEK_ONE+7*(H60-1)),'ساعات عبدالعزيز'!$A$5:$A$746,"&lt;="&amp;G60)))</f>
        <v/>
      </c>
    </row>
    <row r="61" customFormat="false" ht="15" hidden="false" customHeight="false" outlineLevel="0" collapsed="false">
      <c r="A61" s="43"/>
      <c r="B61" s="23" t="str">
        <f aca="false">IF(G61="","",CHOOSE(WEEKDAY(G61,1),"الأحد","الاثنين","الثلاثاء","الأربعاء","الخميس","الجمعة","السبت")&amp;IF(OR(ISNUMBER(A61),LEN(TRIM(A61))&gt;=10),"","  "&amp;TEXT(DAY(G61),"00")&amp;"/"&amp;TEXT(MONTH(G61),"00")&amp;"/"&amp;YEAR(G61)))</f>
        <v/>
      </c>
      <c r="C61" s="24"/>
      <c r="D61" s="44"/>
      <c r="E61" s="27"/>
      <c r="F61" s="45" t="str">
        <f aca="false">IF(A61="","",IF(G61="","⛔ التاريخ غلط — اختاره من القائمة أو اكتبه كامل 05/10/2026",IF(OR(H61&lt;1,H61&gt;NW),"⛔ التاريخ برّا السنة",IF(AND(N(D61)&gt;0,N(J61)&gt;0,D61&gt;ADV_CAP*J61),"⚠️ أكثر من "&amp;TEXT(ADV_CAP,"0%")&amp;" من شغله ("&amp;TEXT(J61,"0.000")&amp;")",""))))</f>
        <v/>
      </c>
      <c r="G61" s="0" t="str">
        <f aca="true">IF(A61="","",IF(ISNUMBER(A61),IF(A61&gt;=36526,A61,""),IFERROR(DATE(VALUE(RIGHT(RIGHT(TRIM(A61),10),4)),VALUE(MID(RIGHT(TRIM(A61),10),4,2)),VALUE(LEFT(RIGHT(TRIM(A61),10),2))),IFERROR(TODAY()-MOD(WEEKDAY(TODAY(),1)-MATCH(TRIM(A61),{"الأحد","الاثنين","الثلاثاء","الأربعاء","الخميس","الجمعة","السبت"},0),7),IFERROR(DATEVALUE(A61),"")))))</f>
        <v/>
      </c>
      <c r="H61" s="0" t="str">
        <f aca="false">IF(G61="","",INT((G61-WEEK_ONE)/7)+1)</f>
        <v/>
      </c>
      <c r="I61" s="0" t="str">
        <f aca="false">IF(H61="","",IF(OR(H61&lt;1,H61&gt;NW),"",INDEX(WMON,H61)))</f>
        <v/>
      </c>
      <c r="J61" s="0" t="str">
        <f aca="false">IF(OR(G61="",H61="",C61=""),"",IF(C61="عمر المصري",SUMIFS('ساعات عمر'!$H$5:$H$746,'ساعات عمر'!$A$5:$A$746,"&gt;="&amp;(WEEK_ONE+7*(H61-1)),'ساعات عمر'!$A$5:$A$746,"&lt;="&amp;G61),SUMIFS('ساعات عبدالعزيز'!$F$5:$F$746,'ساعات عبدالعزيز'!$A$5:$A$746,"&gt;="&amp;(WEEK_ONE+7*(H61-1)),'ساعات عبدالعزيز'!$A$5:$A$746,"&lt;="&amp;G61)))</f>
        <v/>
      </c>
    </row>
    <row r="62" customFormat="false" ht="15" hidden="false" customHeight="false" outlineLevel="0" collapsed="false">
      <c r="A62" s="43"/>
      <c r="B62" s="23" t="str">
        <f aca="false">IF(G62="","",CHOOSE(WEEKDAY(G62,1),"الأحد","الاثنين","الثلاثاء","الأربعاء","الخميس","الجمعة","السبت")&amp;IF(OR(ISNUMBER(A62),LEN(TRIM(A62))&gt;=10),"","  "&amp;TEXT(DAY(G62),"00")&amp;"/"&amp;TEXT(MONTH(G62),"00")&amp;"/"&amp;YEAR(G62)))</f>
        <v/>
      </c>
      <c r="C62" s="24"/>
      <c r="D62" s="44"/>
      <c r="E62" s="27"/>
      <c r="F62" s="45" t="str">
        <f aca="false">IF(A62="","",IF(G62="","⛔ التاريخ غلط — اختاره من القائمة أو اكتبه كامل 05/10/2026",IF(OR(H62&lt;1,H62&gt;NW),"⛔ التاريخ برّا السنة",IF(AND(N(D62)&gt;0,N(J62)&gt;0,D62&gt;ADV_CAP*J62),"⚠️ أكثر من "&amp;TEXT(ADV_CAP,"0%")&amp;" من شغله ("&amp;TEXT(J62,"0.000")&amp;")",""))))</f>
        <v/>
      </c>
      <c r="G62" s="0" t="str">
        <f aca="true">IF(A62="","",IF(ISNUMBER(A62),IF(A62&gt;=36526,A62,""),IFERROR(DATE(VALUE(RIGHT(RIGHT(TRIM(A62),10),4)),VALUE(MID(RIGHT(TRIM(A62),10),4,2)),VALUE(LEFT(RIGHT(TRIM(A62),10),2))),IFERROR(TODAY()-MOD(WEEKDAY(TODAY(),1)-MATCH(TRIM(A62),{"الأحد","الاثنين","الثلاثاء","الأربعاء","الخميس","الجمعة","السبت"},0),7),IFERROR(DATEVALUE(A62),"")))))</f>
        <v/>
      </c>
      <c r="H62" s="0" t="str">
        <f aca="false">IF(G62="","",INT((G62-WEEK_ONE)/7)+1)</f>
        <v/>
      </c>
      <c r="I62" s="0" t="str">
        <f aca="false">IF(H62="","",IF(OR(H62&lt;1,H62&gt;NW),"",INDEX(WMON,H62)))</f>
        <v/>
      </c>
      <c r="J62" s="0" t="str">
        <f aca="false">IF(OR(G62="",H62="",C62=""),"",IF(C62="عمر المصري",SUMIFS('ساعات عمر'!$H$5:$H$746,'ساعات عمر'!$A$5:$A$746,"&gt;="&amp;(WEEK_ONE+7*(H62-1)),'ساعات عمر'!$A$5:$A$746,"&lt;="&amp;G62),SUMIFS('ساعات عبدالعزيز'!$F$5:$F$746,'ساعات عبدالعزيز'!$A$5:$A$746,"&gt;="&amp;(WEEK_ONE+7*(H62-1)),'ساعات عبدالعزيز'!$A$5:$A$746,"&lt;="&amp;G62)))</f>
        <v/>
      </c>
    </row>
    <row r="63" customFormat="false" ht="15" hidden="false" customHeight="false" outlineLevel="0" collapsed="false">
      <c r="A63" s="43"/>
      <c r="B63" s="23" t="str">
        <f aca="false">IF(G63="","",CHOOSE(WEEKDAY(G63,1),"الأحد","الاثنين","الثلاثاء","الأربعاء","الخميس","الجمعة","السبت")&amp;IF(OR(ISNUMBER(A63),LEN(TRIM(A63))&gt;=10),"","  "&amp;TEXT(DAY(G63),"00")&amp;"/"&amp;TEXT(MONTH(G63),"00")&amp;"/"&amp;YEAR(G63)))</f>
        <v/>
      </c>
      <c r="C63" s="24"/>
      <c r="D63" s="44"/>
      <c r="E63" s="27"/>
      <c r="F63" s="45" t="str">
        <f aca="false">IF(A63="","",IF(G63="","⛔ التاريخ غلط — اختاره من القائمة أو اكتبه كامل 05/10/2026",IF(OR(H63&lt;1,H63&gt;NW),"⛔ التاريخ برّا السنة",IF(AND(N(D63)&gt;0,N(J63)&gt;0,D63&gt;ADV_CAP*J63),"⚠️ أكثر من "&amp;TEXT(ADV_CAP,"0%")&amp;" من شغله ("&amp;TEXT(J63,"0.000")&amp;")",""))))</f>
        <v/>
      </c>
      <c r="G63" s="0" t="str">
        <f aca="true">IF(A63="","",IF(ISNUMBER(A63),IF(A63&gt;=36526,A63,""),IFERROR(DATE(VALUE(RIGHT(RIGHT(TRIM(A63),10),4)),VALUE(MID(RIGHT(TRIM(A63),10),4,2)),VALUE(LEFT(RIGHT(TRIM(A63),10),2))),IFERROR(TODAY()-MOD(WEEKDAY(TODAY(),1)-MATCH(TRIM(A63),{"الأحد","الاثنين","الثلاثاء","الأربعاء","الخميس","الجمعة","السبت"},0),7),IFERROR(DATEVALUE(A63),"")))))</f>
        <v/>
      </c>
      <c r="H63" s="0" t="str">
        <f aca="false">IF(G63="","",INT((G63-WEEK_ONE)/7)+1)</f>
        <v/>
      </c>
      <c r="I63" s="0" t="str">
        <f aca="false">IF(H63="","",IF(OR(H63&lt;1,H63&gt;NW),"",INDEX(WMON,H63)))</f>
        <v/>
      </c>
      <c r="J63" s="0" t="str">
        <f aca="false">IF(OR(G63="",H63="",C63=""),"",IF(C63="عمر المصري",SUMIFS('ساعات عمر'!$H$5:$H$746,'ساعات عمر'!$A$5:$A$746,"&gt;="&amp;(WEEK_ONE+7*(H63-1)),'ساعات عمر'!$A$5:$A$746,"&lt;="&amp;G63),SUMIFS('ساعات عبدالعزيز'!$F$5:$F$746,'ساعات عبدالعزيز'!$A$5:$A$746,"&gt;="&amp;(WEEK_ONE+7*(H63-1)),'ساعات عبدالعزيز'!$A$5:$A$746,"&lt;="&amp;G63)))</f>
        <v/>
      </c>
    </row>
    <row r="64" customFormat="false" ht="15" hidden="false" customHeight="false" outlineLevel="0" collapsed="false">
      <c r="A64" s="43"/>
      <c r="B64" s="23" t="str">
        <f aca="false">IF(G64="","",CHOOSE(WEEKDAY(G64,1),"الأحد","الاثنين","الثلاثاء","الأربعاء","الخميس","الجمعة","السبت")&amp;IF(OR(ISNUMBER(A64),LEN(TRIM(A64))&gt;=10),"","  "&amp;TEXT(DAY(G64),"00")&amp;"/"&amp;TEXT(MONTH(G64),"00")&amp;"/"&amp;YEAR(G64)))</f>
        <v/>
      </c>
      <c r="C64" s="24"/>
      <c r="D64" s="44"/>
      <c r="E64" s="27"/>
      <c r="F64" s="45" t="str">
        <f aca="false">IF(A64="","",IF(G64="","⛔ التاريخ غلط — اختاره من القائمة أو اكتبه كامل 05/10/2026",IF(OR(H64&lt;1,H64&gt;NW),"⛔ التاريخ برّا السنة",IF(AND(N(D64)&gt;0,N(J64)&gt;0,D64&gt;ADV_CAP*J64),"⚠️ أكثر من "&amp;TEXT(ADV_CAP,"0%")&amp;" من شغله ("&amp;TEXT(J64,"0.000")&amp;")",""))))</f>
        <v/>
      </c>
      <c r="G64" s="0" t="str">
        <f aca="true">IF(A64="","",IF(ISNUMBER(A64),IF(A64&gt;=36526,A64,""),IFERROR(DATE(VALUE(RIGHT(RIGHT(TRIM(A64),10),4)),VALUE(MID(RIGHT(TRIM(A64),10),4,2)),VALUE(LEFT(RIGHT(TRIM(A64),10),2))),IFERROR(TODAY()-MOD(WEEKDAY(TODAY(),1)-MATCH(TRIM(A64),{"الأحد","الاثنين","الثلاثاء","الأربعاء","الخميس","الجمعة","السبت"},0),7),IFERROR(DATEVALUE(A64),"")))))</f>
        <v/>
      </c>
      <c r="H64" s="0" t="str">
        <f aca="false">IF(G64="","",INT((G64-WEEK_ONE)/7)+1)</f>
        <v/>
      </c>
      <c r="I64" s="0" t="str">
        <f aca="false">IF(H64="","",IF(OR(H64&lt;1,H64&gt;NW),"",INDEX(WMON,H64)))</f>
        <v/>
      </c>
      <c r="J64" s="0" t="str">
        <f aca="false">IF(OR(G64="",H64="",C64=""),"",IF(C64="عمر المصري",SUMIFS('ساعات عمر'!$H$5:$H$746,'ساعات عمر'!$A$5:$A$746,"&gt;="&amp;(WEEK_ONE+7*(H64-1)),'ساعات عمر'!$A$5:$A$746,"&lt;="&amp;G64),SUMIFS('ساعات عبدالعزيز'!$F$5:$F$746,'ساعات عبدالعزيز'!$A$5:$A$746,"&gt;="&amp;(WEEK_ONE+7*(H64-1)),'ساعات عبدالعزيز'!$A$5:$A$746,"&lt;="&amp;G64)))</f>
        <v/>
      </c>
    </row>
    <row r="65" customFormat="false" ht="15" hidden="false" customHeight="false" outlineLevel="0" collapsed="false">
      <c r="A65" s="43"/>
      <c r="B65" s="23" t="str">
        <f aca="false">IF(G65="","",CHOOSE(WEEKDAY(G65,1),"الأحد","الاثنين","الثلاثاء","الأربعاء","الخميس","الجمعة","السبت")&amp;IF(OR(ISNUMBER(A65),LEN(TRIM(A65))&gt;=10),"","  "&amp;TEXT(DAY(G65),"00")&amp;"/"&amp;TEXT(MONTH(G65),"00")&amp;"/"&amp;YEAR(G65)))</f>
        <v/>
      </c>
      <c r="C65" s="24"/>
      <c r="D65" s="44"/>
      <c r="E65" s="27"/>
      <c r="F65" s="45" t="str">
        <f aca="false">IF(A65="","",IF(G65="","⛔ التاريخ غلط — اختاره من القائمة أو اكتبه كامل 05/10/2026",IF(OR(H65&lt;1,H65&gt;NW),"⛔ التاريخ برّا السنة",IF(AND(N(D65)&gt;0,N(J65)&gt;0,D65&gt;ADV_CAP*J65),"⚠️ أكثر من "&amp;TEXT(ADV_CAP,"0%")&amp;" من شغله ("&amp;TEXT(J65,"0.000")&amp;")",""))))</f>
        <v/>
      </c>
      <c r="G65" s="0" t="str">
        <f aca="true">IF(A65="","",IF(ISNUMBER(A65),IF(A65&gt;=36526,A65,""),IFERROR(DATE(VALUE(RIGHT(RIGHT(TRIM(A65),10),4)),VALUE(MID(RIGHT(TRIM(A65),10),4,2)),VALUE(LEFT(RIGHT(TRIM(A65),10),2))),IFERROR(TODAY()-MOD(WEEKDAY(TODAY(),1)-MATCH(TRIM(A65),{"الأحد","الاثنين","الثلاثاء","الأربعاء","الخميس","الجمعة","السبت"},0),7),IFERROR(DATEVALUE(A65),"")))))</f>
        <v/>
      </c>
      <c r="H65" s="0" t="str">
        <f aca="false">IF(G65="","",INT((G65-WEEK_ONE)/7)+1)</f>
        <v/>
      </c>
      <c r="I65" s="0" t="str">
        <f aca="false">IF(H65="","",IF(OR(H65&lt;1,H65&gt;NW),"",INDEX(WMON,H65)))</f>
        <v/>
      </c>
      <c r="J65" s="0" t="str">
        <f aca="false">IF(OR(G65="",H65="",C65=""),"",IF(C65="عمر المصري",SUMIFS('ساعات عمر'!$H$5:$H$746,'ساعات عمر'!$A$5:$A$746,"&gt;="&amp;(WEEK_ONE+7*(H65-1)),'ساعات عمر'!$A$5:$A$746,"&lt;="&amp;G65),SUMIFS('ساعات عبدالعزيز'!$F$5:$F$746,'ساعات عبدالعزيز'!$A$5:$A$746,"&gt;="&amp;(WEEK_ONE+7*(H65-1)),'ساعات عبدالعزيز'!$A$5:$A$746,"&lt;="&amp;G65)))</f>
        <v/>
      </c>
    </row>
    <row r="66" customFormat="false" ht="15" hidden="false" customHeight="false" outlineLevel="0" collapsed="false">
      <c r="A66" s="43"/>
      <c r="B66" s="23" t="str">
        <f aca="false">IF(G66="","",CHOOSE(WEEKDAY(G66,1),"الأحد","الاثنين","الثلاثاء","الأربعاء","الخميس","الجمعة","السبت")&amp;IF(OR(ISNUMBER(A66),LEN(TRIM(A66))&gt;=10),"","  "&amp;TEXT(DAY(G66),"00")&amp;"/"&amp;TEXT(MONTH(G66),"00")&amp;"/"&amp;YEAR(G66)))</f>
        <v/>
      </c>
      <c r="C66" s="24"/>
      <c r="D66" s="44"/>
      <c r="E66" s="27"/>
      <c r="F66" s="45" t="str">
        <f aca="false">IF(A66="","",IF(G66="","⛔ التاريخ غلط — اختاره من القائمة أو اكتبه كامل 05/10/2026",IF(OR(H66&lt;1,H66&gt;NW),"⛔ التاريخ برّا السنة",IF(AND(N(D66)&gt;0,N(J66)&gt;0,D66&gt;ADV_CAP*J66),"⚠️ أكثر من "&amp;TEXT(ADV_CAP,"0%")&amp;" من شغله ("&amp;TEXT(J66,"0.000")&amp;")",""))))</f>
        <v/>
      </c>
      <c r="G66" s="0" t="str">
        <f aca="true">IF(A66="","",IF(ISNUMBER(A66),IF(A66&gt;=36526,A66,""),IFERROR(DATE(VALUE(RIGHT(RIGHT(TRIM(A66),10),4)),VALUE(MID(RIGHT(TRIM(A66),10),4,2)),VALUE(LEFT(RIGHT(TRIM(A66),10),2))),IFERROR(TODAY()-MOD(WEEKDAY(TODAY(),1)-MATCH(TRIM(A66),{"الأحد","الاثنين","الثلاثاء","الأربعاء","الخميس","الجمعة","السبت"},0),7),IFERROR(DATEVALUE(A66),"")))))</f>
        <v/>
      </c>
      <c r="H66" s="0" t="str">
        <f aca="false">IF(G66="","",INT((G66-WEEK_ONE)/7)+1)</f>
        <v/>
      </c>
      <c r="I66" s="0" t="str">
        <f aca="false">IF(H66="","",IF(OR(H66&lt;1,H66&gt;NW),"",INDEX(WMON,H66)))</f>
        <v/>
      </c>
      <c r="J66" s="0" t="str">
        <f aca="false">IF(OR(G66="",H66="",C66=""),"",IF(C66="عمر المصري",SUMIFS('ساعات عمر'!$H$5:$H$746,'ساعات عمر'!$A$5:$A$746,"&gt;="&amp;(WEEK_ONE+7*(H66-1)),'ساعات عمر'!$A$5:$A$746,"&lt;="&amp;G66),SUMIFS('ساعات عبدالعزيز'!$F$5:$F$746,'ساعات عبدالعزيز'!$A$5:$A$746,"&gt;="&amp;(WEEK_ONE+7*(H66-1)),'ساعات عبدالعزيز'!$A$5:$A$746,"&lt;="&amp;G66)))</f>
        <v/>
      </c>
    </row>
    <row r="67" customFormat="false" ht="15" hidden="false" customHeight="false" outlineLevel="0" collapsed="false">
      <c r="A67" s="43"/>
      <c r="B67" s="23" t="str">
        <f aca="false">IF(G67="","",CHOOSE(WEEKDAY(G67,1),"الأحد","الاثنين","الثلاثاء","الأربعاء","الخميس","الجمعة","السبت")&amp;IF(OR(ISNUMBER(A67),LEN(TRIM(A67))&gt;=10),"","  "&amp;TEXT(DAY(G67),"00")&amp;"/"&amp;TEXT(MONTH(G67),"00")&amp;"/"&amp;YEAR(G67)))</f>
        <v/>
      </c>
      <c r="C67" s="24"/>
      <c r="D67" s="44"/>
      <c r="E67" s="27"/>
      <c r="F67" s="45" t="str">
        <f aca="false">IF(A67="","",IF(G67="","⛔ التاريخ غلط — اختاره من القائمة أو اكتبه كامل 05/10/2026",IF(OR(H67&lt;1,H67&gt;NW),"⛔ التاريخ برّا السنة",IF(AND(N(D67)&gt;0,N(J67)&gt;0,D67&gt;ADV_CAP*J67),"⚠️ أكثر من "&amp;TEXT(ADV_CAP,"0%")&amp;" من شغله ("&amp;TEXT(J67,"0.000")&amp;")",""))))</f>
        <v/>
      </c>
      <c r="G67" s="0" t="str">
        <f aca="true">IF(A67="","",IF(ISNUMBER(A67),IF(A67&gt;=36526,A67,""),IFERROR(DATE(VALUE(RIGHT(RIGHT(TRIM(A67),10),4)),VALUE(MID(RIGHT(TRIM(A67),10),4,2)),VALUE(LEFT(RIGHT(TRIM(A67),10),2))),IFERROR(TODAY()-MOD(WEEKDAY(TODAY(),1)-MATCH(TRIM(A67),{"الأحد","الاثنين","الثلاثاء","الأربعاء","الخميس","الجمعة","السبت"},0),7),IFERROR(DATEVALUE(A67),"")))))</f>
        <v/>
      </c>
      <c r="H67" s="0" t="str">
        <f aca="false">IF(G67="","",INT((G67-WEEK_ONE)/7)+1)</f>
        <v/>
      </c>
      <c r="I67" s="0" t="str">
        <f aca="false">IF(H67="","",IF(OR(H67&lt;1,H67&gt;NW),"",INDEX(WMON,H67)))</f>
        <v/>
      </c>
      <c r="J67" s="0" t="str">
        <f aca="false">IF(OR(G67="",H67="",C67=""),"",IF(C67="عمر المصري",SUMIFS('ساعات عمر'!$H$5:$H$746,'ساعات عمر'!$A$5:$A$746,"&gt;="&amp;(WEEK_ONE+7*(H67-1)),'ساعات عمر'!$A$5:$A$746,"&lt;="&amp;G67),SUMIFS('ساعات عبدالعزيز'!$F$5:$F$746,'ساعات عبدالعزيز'!$A$5:$A$746,"&gt;="&amp;(WEEK_ONE+7*(H67-1)),'ساعات عبدالعزيز'!$A$5:$A$746,"&lt;="&amp;G67)))</f>
        <v/>
      </c>
    </row>
    <row r="68" customFormat="false" ht="15" hidden="false" customHeight="false" outlineLevel="0" collapsed="false">
      <c r="A68" s="43"/>
      <c r="B68" s="23" t="str">
        <f aca="false">IF(G68="","",CHOOSE(WEEKDAY(G68,1),"الأحد","الاثنين","الثلاثاء","الأربعاء","الخميس","الجمعة","السبت")&amp;IF(OR(ISNUMBER(A68),LEN(TRIM(A68))&gt;=10),"","  "&amp;TEXT(DAY(G68),"00")&amp;"/"&amp;TEXT(MONTH(G68),"00")&amp;"/"&amp;YEAR(G68)))</f>
        <v/>
      </c>
      <c r="C68" s="24"/>
      <c r="D68" s="44"/>
      <c r="E68" s="27"/>
      <c r="F68" s="45" t="str">
        <f aca="false">IF(A68="","",IF(G68="","⛔ التاريخ غلط — اختاره من القائمة أو اكتبه كامل 05/10/2026",IF(OR(H68&lt;1,H68&gt;NW),"⛔ التاريخ برّا السنة",IF(AND(N(D68)&gt;0,N(J68)&gt;0,D68&gt;ADV_CAP*J68),"⚠️ أكثر من "&amp;TEXT(ADV_CAP,"0%")&amp;" من شغله ("&amp;TEXT(J68,"0.000")&amp;")",""))))</f>
        <v/>
      </c>
      <c r="G68" s="0" t="str">
        <f aca="true">IF(A68="","",IF(ISNUMBER(A68),IF(A68&gt;=36526,A68,""),IFERROR(DATE(VALUE(RIGHT(RIGHT(TRIM(A68),10),4)),VALUE(MID(RIGHT(TRIM(A68),10),4,2)),VALUE(LEFT(RIGHT(TRIM(A68),10),2))),IFERROR(TODAY()-MOD(WEEKDAY(TODAY(),1)-MATCH(TRIM(A68),{"الأحد","الاثنين","الثلاثاء","الأربعاء","الخميس","الجمعة","السبت"},0),7),IFERROR(DATEVALUE(A68),"")))))</f>
        <v/>
      </c>
      <c r="H68" s="0" t="str">
        <f aca="false">IF(G68="","",INT((G68-WEEK_ONE)/7)+1)</f>
        <v/>
      </c>
      <c r="I68" s="0" t="str">
        <f aca="false">IF(H68="","",IF(OR(H68&lt;1,H68&gt;NW),"",INDEX(WMON,H68)))</f>
        <v/>
      </c>
      <c r="J68" s="0" t="str">
        <f aca="false">IF(OR(G68="",H68="",C68=""),"",IF(C68="عمر المصري",SUMIFS('ساعات عمر'!$H$5:$H$746,'ساعات عمر'!$A$5:$A$746,"&gt;="&amp;(WEEK_ONE+7*(H68-1)),'ساعات عمر'!$A$5:$A$746,"&lt;="&amp;G68),SUMIFS('ساعات عبدالعزيز'!$F$5:$F$746,'ساعات عبدالعزيز'!$A$5:$A$746,"&gt;="&amp;(WEEK_ONE+7*(H68-1)),'ساعات عبدالعزيز'!$A$5:$A$746,"&lt;="&amp;G68)))</f>
        <v/>
      </c>
    </row>
    <row r="69" customFormat="false" ht="15" hidden="false" customHeight="false" outlineLevel="0" collapsed="false">
      <c r="A69" s="43"/>
      <c r="B69" s="23" t="str">
        <f aca="false">IF(G69="","",CHOOSE(WEEKDAY(G69,1),"الأحد","الاثنين","الثلاثاء","الأربعاء","الخميس","الجمعة","السبت")&amp;IF(OR(ISNUMBER(A69),LEN(TRIM(A69))&gt;=10),"","  "&amp;TEXT(DAY(G69),"00")&amp;"/"&amp;TEXT(MONTH(G69),"00")&amp;"/"&amp;YEAR(G69)))</f>
        <v/>
      </c>
      <c r="C69" s="24"/>
      <c r="D69" s="44"/>
      <c r="E69" s="27"/>
      <c r="F69" s="45" t="str">
        <f aca="false">IF(A69="","",IF(G69="","⛔ التاريخ غلط — اختاره من القائمة أو اكتبه كامل 05/10/2026",IF(OR(H69&lt;1,H69&gt;NW),"⛔ التاريخ برّا السنة",IF(AND(N(D69)&gt;0,N(J69)&gt;0,D69&gt;ADV_CAP*J69),"⚠️ أكثر من "&amp;TEXT(ADV_CAP,"0%")&amp;" من شغله ("&amp;TEXT(J69,"0.000")&amp;")",""))))</f>
        <v/>
      </c>
      <c r="G69" s="0" t="str">
        <f aca="true">IF(A69="","",IF(ISNUMBER(A69),IF(A69&gt;=36526,A69,""),IFERROR(DATE(VALUE(RIGHT(RIGHT(TRIM(A69),10),4)),VALUE(MID(RIGHT(TRIM(A69),10),4,2)),VALUE(LEFT(RIGHT(TRIM(A69),10),2))),IFERROR(TODAY()-MOD(WEEKDAY(TODAY(),1)-MATCH(TRIM(A69),{"الأحد","الاثنين","الثلاثاء","الأربعاء","الخميس","الجمعة","السبت"},0),7),IFERROR(DATEVALUE(A69),"")))))</f>
        <v/>
      </c>
      <c r="H69" s="0" t="str">
        <f aca="false">IF(G69="","",INT((G69-WEEK_ONE)/7)+1)</f>
        <v/>
      </c>
      <c r="I69" s="0" t="str">
        <f aca="false">IF(H69="","",IF(OR(H69&lt;1,H69&gt;NW),"",INDEX(WMON,H69)))</f>
        <v/>
      </c>
      <c r="J69" s="0" t="str">
        <f aca="false">IF(OR(G69="",H69="",C69=""),"",IF(C69="عمر المصري",SUMIFS('ساعات عمر'!$H$5:$H$746,'ساعات عمر'!$A$5:$A$746,"&gt;="&amp;(WEEK_ONE+7*(H69-1)),'ساعات عمر'!$A$5:$A$746,"&lt;="&amp;G69),SUMIFS('ساعات عبدالعزيز'!$F$5:$F$746,'ساعات عبدالعزيز'!$A$5:$A$746,"&gt;="&amp;(WEEK_ONE+7*(H69-1)),'ساعات عبدالعزيز'!$A$5:$A$746,"&lt;="&amp;G69)))</f>
        <v/>
      </c>
    </row>
    <row r="70" customFormat="false" ht="15" hidden="false" customHeight="false" outlineLevel="0" collapsed="false">
      <c r="A70" s="43"/>
      <c r="B70" s="23" t="str">
        <f aca="false">IF(G70="","",CHOOSE(WEEKDAY(G70,1),"الأحد","الاثنين","الثلاثاء","الأربعاء","الخميس","الجمعة","السبت")&amp;IF(OR(ISNUMBER(A70),LEN(TRIM(A70))&gt;=10),"","  "&amp;TEXT(DAY(G70),"00")&amp;"/"&amp;TEXT(MONTH(G70),"00")&amp;"/"&amp;YEAR(G70)))</f>
        <v/>
      </c>
      <c r="C70" s="24"/>
      <c r="D70" s="44"/>
      <c r="E70" s="27"/>
      <c r="F70" s="45" t="str">
        <f aca="false">IF(A70="","",IF(G70="","⛔ التاريخ غلط — اختاره من القائمة أو اكتبه كامل 05/10/2026",IF(OR(H70&lt;1,H70&gt;NW),"⛔ التاريخ برّا السنة",IF(AND(N(D70)&gt;0,N(J70)&gt;0,D70&gt;ADV_CAP*J70),"⚠️ أكثر من "&amp;TEXT(ADV_CAP,"0%")&amp;" من شغله ("&amp;TEXT(J70,"0.000")&amp;")",""))))</f>
        <v/>
      </c>
      <c r="G70" s="0" t="str">
        <f aca="true">IF(A70="","",IF(ISNUMBER(A70),IF(A70&gt;=36526,A70,""),IFERROR(DATE(VALUE(RIGHT(RIGHT(TRIM(A70),10),4)),VALUE(MID(RIGHT(TRIM(A70),10),4,2)),VALUE(LEFT(RIGHT(TRIM(A70),10),2))),IFERROR(TODAY()-MOD(WEEKDAY(TODAY(),1)-MATCH(TRIM(A70),{"الأحد","الاثنين","الثلاثاء","الأربعاء","الخميس","الجمعة","السبت"},0),7),IFERROR(DATEVALUE(A70),"")))))</f>
        <v/>
      </c>
      <c r="H70" s="0" t="str">
        <f aca="false">IF(G70="","",INT((G70-WEEK_ONE)/7)+1)</f>
        <v/>
      </c>
      <c r="I70" s="0" t="str">
        <f aca="false">IF(H70="","",IF(OR(H70&lt;1,H70&gt;NW),"",INDEX(WMON,H70)))</f>
        <v/>
      </c>
      <c r="J70" s="0" t="str">
        <f aca="false">IF(OR(G70="",H70="",C70=""),"",IF(C70="عمر المصري",SUMIFS('ساعات عمر'!$H$5:$H$746,'ساعات عمر'!$A$5:$A$746,"&gt;="&amp;(WEEK_ONE+7*(H70-1)),'ساعات عمر'!$A$5:$A$746,"&lt;="&amp;G70),SUMIFS('ساعات عبدالعزيز'!$F$5:$F$746,'ساعات عبدالعزيز'!$A$5:$A$746,"&gt;="&amp;(WEEK_ONE+7*(H70-1)),'ساعات عبدالعزيز'!$A$5:$A$746,"&lt;="&amp;G70)))</f>
        <v/>
      </c>
    </row>
    <row r="71" customFormat="false" ht="15" hidden="false" customHeight="false" outlineLevel="0" collapsed="false">
      <c r="A71" s="43"/>
      <c r="B71" s="23" t="str">
        <f aca="false">IF(G71="","",CHOOSE(WEEKDAY(G71,1),"الأحد","الاثنين","الثلاثاء","الأربعاء","الخميس","الجمعة","السبت")&amp;IF(OR(ISNUMBER(A71),LEN(TRIM(A71))&gt;=10),"","  "&amp;TEXT(DAY(G71),"00")&amp;"/"&amp;TEXT(MONTH(G71),"00")&amp;"/"&amp;YEAR(G71)))</f>
        <v/>
      </c>
      <c r="C71" s="24"/>
      <c r="D71" s="44"/>
      <c r="E71" s="27"/>
      <c r="F71" s="45" t="str">
        <f aca="false">IF(A71="","",IF(G71="","⛔ التاريخ غلط — اختاره من القائمة أو اكتبه كامل 05/10/2026",IF(OR(H71&lt;1,H71&gt;NW),"⛔ التاريخ برّا السنة",IF(AND(N(D71)&gt;0,N(J71)&gt;0,D71&gt;ADV_CAP*J71),"⚠️ أكثر من "&amp;TEXT(ADV_CAP,"0%")&amp;" من شغله ("&amp;TEXT(J71,"0.000")&amp;")",""))))</f>
        <v/>
      </c>
      <c r="G71" s="0" t="str">
        <f aca="true">IF(A71="","",IF(ISNUMBER(A71),IF(A71&gt;=36526,A71,""),IFERROR(DATE(VALUE(RIGHT(RIGHT(TRIM(A71),10),4)),VALUE(MID(RIGHT(TRIM(A71),10),4,2)),VALUE(LEFT(RIGHT(TRIM(A71),10),2))),IFERROR(TODAY()-MOD(WEEKDAY(TODAY(),1)-MATCH(TRIM(A71),{"الأحد","الاثنين","الثلاثاء","الأربعاء","الخميس","الجمعة","السبت"},0),7),IFERROR(DATEVALUE(A71),"")))))</f>
        <v/>
      </c>
      <c r="H71" s="0" t="str">
        <f aca="false">IF(G71="","",INT((G71-WEEK_ONE)/7)+1)</f>
        <v/>
      </c>
      <c r="I71" s="0" t="str">
        <f aca="false">IF(H71="","",IF(OR(H71&lt;1,H71&gt;NW),"",INDEX(WMON,H71)))</f>
        <v/>
      </c>
      <c r="J71" s="0" t="str">
        <f aca="false">IF(OR(G71="",H71="",C71=""),"",IF(C71="عمر المصري",SUMIFS('ساعات عمر'!$H$5:$H$746,'ساعات عمر'!$A$5:$A$746,"&gt;="&amp;(WEEK_ONE+7*(H71-1)),'ساعات عمر'!$A$5:$A$746,"&lt;="&amp;G71),SUMIFS('ساعات عبدالعزيز'!$F$5:$F$746,'ساعات عبدالعزيز'!$A$5:$A$746,"&gt;="&amp;(WEEK_ONE+7*(H71-1)),'ساعات عبدالعزيز'!$A$5:$A$746,"&lt;="&amp;G71)))</f>
        <v/>
      </c>
    </row>
    <row r="72" customFormat="false" ht="15" hidden="false" customHeight="false" outlineLevel="0" collapsed="false">
      <c r="A72" s="43"/>
      <c r="B72" s="23" t="str">
        <f aca="false">IF(G72="","",CHOOSE(WEEKDAY(G72,1),"الأحد","الاثنين","الثلاثاء","الأربعاء","الخميس","الجمعة","السبت")&amp;IF(OR(ISNUMBER(A72),LEN(TRIM(A72))&gt;=10),"","  "&amp;TEXT(DAY(G72),"00")&amp;"/"&amp;TEXT(MONTH(G72),"00")&amp;"/"&amp;YEAR(G72)))</f>
        <v/>
      </c>
      <c r="C72" s="24"/>
      <c r="D72" s="44"/>
      <c r="E72" s="27"/>
      <c r="F72" s="45" t="str">
        <f aca="false">IF(A72="","",IF(G72="","⛔ التاريخ غلط — اختاره من القائمة أو اكتبه كامل 05/10/2026",IF(OR(H72&lt;1,H72&gt;NW),"⛔ التاريخ برّا السنة",IF(AND(N(D72)&gt;0,N(J72)&gt;0,D72&gt;ADV_CAP*J72),"⚠️ أكثر من "&amp;TEXT(ADV_CAP,"0%")&amp;" من شغله ("&amp;TEXT(J72,"0.000")&amp;")",""))))</f>
        <v/>
      </c>
      <c r="G72" s="0" t="str">
        <f aca="true">IF(A72="","",IF(ISNUMBER(A72),IF(A72&gt;=36526,A72,""),IFERROR(DATE(VALUE(RIGHT(RIGHT(TRIM(A72),10),4)),VALUE(MID(RIGHT(TRIM(A72),10),4,2)),VALUE(LEFT(RIGHT(TRIM(A72),10),2))),IFERROR(TODAY()-MOD(WEEKDAY(TODAY(),1)-MATCH(TRIM(A72),{"الأحد","الاثنين","الثلاثاء","الأربعاء","الخميس","الجمعة","السبت"},0),7),IFERROR(DATEVALUE(A72),"")))))</f>
        <v/>
      </c>
      <c r="H72" s="0" t="str">
        <f aca="false">IF(G72="","",INT((G72-WEEK_ONE)/7)+1)</f>
        <v/>
      </c>
      <c r="I72" s="0" t="str">
        <f aca="false">IF(H72="","",IF(OR(H72&lt;1,H72&gt;NW),"",INDEX(WMON,H72)))</f>
        <v/>
      </c>
      <c r="J72" s="0" t="str">
        <f aca="false">IF(OR(G72="",H72="",C72=""),"",IF(C72="عمر المصري",SUMIFS('ساعات عمر'!$H$5:$H$746,'ساعات عمر'!$A$5:$A$746,"&gt;="&amp;(WEEK_ONE+7*(H72-1)),'ساعات عمر'!$A$5:$A$746,"&lt;="&amp;G72),SUMIFS('ساعات عبدالعزيز'!$F$5:$F$746,'ساعات عبدالعزيز'!$A$5:$A$746,"&gt;="&amp;(WEEK_ONE+7*(H72-1)),'ساعات عبدالعزيز'!$A$5:$A$746,"&lt;="&amp;G72)))</f>
        <v/>
      </c>
    </row>
    <row r="73" customFormat="false" ht="15" hidden="false" customHeight="false" outlineLevel="0" collapsed="false">
      <c r="A73" s="43"/>
      <c r="B73" s="23" t="str">
        <f aca="false">IF(G73="","",CHOOSE(WEEKDAY(G73,1),"الأحد","الاثنين","الثلاثاء","الأربعاء","الخميس","الجمعة","السبت")&amp;IF(OR(ISNUMBER(A73),LEN(TRIM(A73))&gt;=10),"","  "&amp;TEXT(DAY(G73),"00")&amp;"/"&amp;TEXT(MONTH(G73),"00")&amp;"/"&amp;YEAR(G73)))</f>
        <v/>
      </c>
      <c r="C73" s="24"/>
      <c r="D73" s="44"/>
      <c r="E73" s="27"/>
      <c r="F73" s="45" t="str">
        <f aca="false">IF(A73="","",IF(G73="","⛔ التاريخ غلط — اختاره من القائمة أو اكتبه كامل 05/10/2026",IF(OR(H73&lt;1,H73&gt;NW),"⛔ التاريخ برّا السنة",IF(AND(N(D73)&gt;0,N(J73)&gt;0,D73&gt;ADV_CAP*J73),"⚠️ أكثر من "&amp;TEXT(ADV_CAP,"0%")&amp;" من شغله ("&amp;TEXT(J73,"0.000")&amp;")",""))))</f>
        <v/>
      </c>
      <c r="G73" s="0" t="str">
        <f aca="true">IF(A73="","",IF(ISNUMBER(A73),IF(A73&gt;=36526,A73,""),IFERROR(DATE(VALUE(RIGHT(RIGHT(TRIM(A73),10),4)),VALUE(MID(RIGHT(TRIM(A73),10),4,2)),VALUE(LEFT(RIGHT(TRIM(A73),10),2))),IFERROR(TODAY()-MOD(WEEKDAY(TODAY(),1)-MATCH(TRIM(A73),{"الأحد","الاثنين","الثلاثاء","الأربعاء","الخميس","الجمعة","السبت"},0),7),IFERROR(DATEVALUE(A73),"")))))</f>
        <v/>
      </c>
      <c r="H73" s="0" t="str">
        <f aca="false">IF(G73="","",INT((G73-WEEK_ONE)/7)+1)</f>
        <v/>
      </c>
      <c r="I73" s="0" t="str">
        <f aca="false">IF(H73="","",IF(OR(H73&lt;1,H73&gt;NW),"",INDEX(WMON,H73)))</f>
        <v/>
      </c>
      <c r="J73" s="0" t="str">
        <f aca="false">IF(OR(G73="",H73="",C73=""),"",IF(C73="عمر المصري",SUMIFS('ساعات عمر'!$H$5:$H$746,'ساعات عمر'!$A$5:$A$746,"&gt;="&amp;(WEEK_ONE+7*(H73-1)),'ساعات عمر'!$A$5:$A$746,"&lt;="&amp;G73),SUMIFS('ساعات عبدالعزيز'!$F$5:$F$746,'ساعات عبدالعزيز'!$A$5:$A$746,"&gt;="&amp;(WEEK_ONE+7*(H73-1)),'ساعات عبدالعزيز'!$A$5:$A$746,"&lt;="&amp;G73)))</f>
        <v/>
      </c>
    </row>
    <row r="74" customFormat="false" ht="15" hidden="false" customHeight="false" outlineLevel="0" collapsed="false">
      <c r="A74" s="43"/>
      <c r="B74" s="23" t="str">
        <f aca="false">IF(G74="","",CHOOSE(WEEKDAY(G74,1),"الأحد","الاثنين","الثلاثاء","الأربعاء","الخميس","الجمعة","السبت")&amp;IF(OR(ISNUMBER(A74),LEN(TRIM(A74))&gt;=10),"","  "&amp;TEXT(DAY(G74),"00")&amp;"/"&amp;TEXT(MONTH(G74),"00")&amp;"/"&amp;YEAR(G74)))</f>
        <v/>
      </c>
      <c r="C74" s="24"/>
      <c r="D74" s="44"/>
      <c r="E74" s="27"/>
      <c r="F74" s="45" t="str">
        <f aca="false">IF(A74="","",IF(G74="","⛔ التاريخ غلط — اختاره من القائمة أو اكتبه كامل 05/10/2026",IF(OR(H74&lt;1,H74&gt;NW),"⛔ التاريخ برّا السنة",IF(AND(N(D74)&gt;0,N(J74)&gt;0,D74&gt;ADV_CAP*J74),"⚠️ أكثر من "&amp;TEXT(ADV_CAP,"0%")&amp;" من شغله ("&amp;TEXT(J74,"0.000")&amp;")",""))))</f>
        <v/>
      </c>
      <c r="G74" s="0" t="str">
        <f aca="true">IF(A74="","",IF(ISNUMBER(A74),IF(A74&gt;=36526,A74,""),IFERROR(DATE(VALUE(RIGHT(RIGHT(TRIM(A74),10),4)),VALUE(MID(RIGHT(TRIM(A74),10),4,2)),VALUE(LEFT(RIGHT(TRIM(A74),10),2))),IFERROR(TODAY()-MOD(WEEKDAY(TODAY(),1)-MATCH(TRIM(A74),{"الأحد","الاثنين","الثلاثاء","الأربعاء","الخميس","الجمعة","السبت"},0),7),IFERROR(DATEVALUE(A74),"")))))</f>
        <v/>
      </c>
      <c r="H74" s="0" t="str">
        <f aca="false">IF(G74="","",INT((G74-WEEK_ONE)/7)+1)</f>
        <v/>
      </c>
      <c r="I74" s="0" t="str">
        <f aca="false">IF(H74="","",IF(OR(H74&lt;1,H74&gt;NW),"",INDEX(WMON,H74)))</f>
        <v/>
      </c>
      <c r="J74" s="0" t="str">
        <f aca="false">IF(OR(G74="",H74="",C74=""),"",IF(C74="عمر المصري",SUMIFS('ساعات عمر'!$H$5:$H$746,'ساعات عمر'!$A$5:$A$746,"&gt;="&amp;(WEEK_ONE+7*(H74-1)),'ساعات عمر'!$A$5:$A$746,"&lt;="&amp;G74),SUMIFS('ساعات عبدالعزيز'!$F$5:$F$746,'ساعات عبدالعزيز'!$A$5:$A$746,"&gt;="&amp;(WEEK_ONE+7*(H74-1)),'ساعات عبدالعزيز'!$A$5:$A$746,"&lt;="&amp;G74)))</f>
        <v/>
      </c>
    </row>
    <row r="75" customFormat="false" ht="15" hidden="false" customHeight="false" outlineLevel="0" collapsed="false">
      <c r="A75" s="43"/>
      <c r="B75" s="23" t="str">
        <f aca="false">IF(G75="","",CHOOSE(WEEKDAY(G75,1),"الأحد","الاثنين","الثلاثاء","الأربعاء","الخميس","الجمعة","السبت")&amp;IF(OR(ISNUMBER(A75),LEN(TRIM(A75))&gt;=10),"","  "&amp;TEXT(DAY(G75),"00")&amp;"/"&amp;TEXT(MONTH(G75),"00")&amp;"/"&amp;YEAR(G75)))</f>
        <v/>
      </c>
      <c r="C75" s="24"/>
      <c r="D75" s="44"/>
      <c r="E75" s="27"/>
      <c r="F75" s="45" t="str">
        <f aca="false">IF(A75="","",IF(G75="","⛔ التاريخ غلط — اختاره من القائمة أو اكتبه كامل 05/10/2026",IF(OR(H75&lt;1,H75&gt;NW),"⛔ التاريخ برّا السنة",IF(AND(N(D75)&gt;0,N(J75)&gt;0,D75&gt;ADV_CAP*J75),"⚠️ أكثر من "&amp;TEXT(ADV_CAP,"0%")&amp;" من شغله ("&amp;TEXT(J75,"0.000")&amp;")",""))))</f>
        <v/>
      </c>
      <c r="G75" s="0" t="str">
        <f aca="true">IF(A75="","",IF(ISNUMBER(A75),IF(A75&gt;=36526,A75,""),IFERROR(DATE(VALUE(RIGHT(RIGHT(TRIM(A75),10),4)),VALUE(MID(RIGHT(TRIM(A75),10),4,2)),VALUE(LEFT(RIGHT(TRIM(A75),10),2))),IFERROR(TODAY()-MOD(WEEKDAY(TODAY(),1)-MATCH(TRIM(A75),{"الأحد","الاثنين","الثلاثاء","الأربعاء","الخميس","الجمعة","السبت"},0),7),IFERROR(DATEVALUE(A75),"")))))</f>
        <v/>
      </c>
      <c r="H75" s="0" t="str">
        <f aca="false">IF(G75="","",INT((G75-WEEK_ONE)/7)+1)</f>
        <v/>
      </c>
      <c r="I75" s="0" t="str">
        <f aca="false">IF(H75="","",IF(OR(H75&lt;1,H75&gt;NW),"",INDEX(WMON,H75)))</f>
        <v/>
      </c>
      <c r="J75" s="0" t="str">
        <f aca="false">IF(OR(G75="",H75="",C75=""),"",IF(C75="عمر المصري",SUMIFS('ساعات عمر'!$H$5:$H$746,'ساعات عمر'!$A$5:$A$746,"&gt;="&amp;(WEEK_ONE+7*(H75-1)),'ساعات عمر'!$A$5:$A$746,"&lt;="&amp;G75),SUMIFS('ساعات عبدالعزيز'!$F$5:$F$746,'ساعات عبدالعزيز'!$A$5:$A$746,"&gt;="&amp;(WEEK_ONE+7*(H75-1)),'ساعات عبدالعزيز'!$A$5:$A$746,"&lt;="&amp;G75)))</f>
        <v/>
      </c>
    </row>
    <row r="76" customFormat="false" ht="15" hidden="false" customHeight="false" outlineLevel="0" collapsed="false">
      <c r="A76" s="43"/>
      <c r="B76" s="23" t="str">
        <f aca="false">IF(G76="","",CHOOSE(WEEKDAY(G76,1),"الأحد","الاثنين","الثلاثاء","الأربعاء","الخميس","الجمعة","السبت")&amp;IF(OR(ISNUMBER(A76),LEN(TRIM(A76))&gt;=10),"","  "&amp;TEXT(DAY(G76),"00")&amp;"/"&amp;TEXT(MONTH(G76),"00")&amp;"/"&amp;YEAR(G76)))</f>
        <v/>
      </c>
      <c r="C76" s="24"/>
      <c r="D76" s="44"/>
      <c r="E76" s="27"/>
      <c r="F76" s="45" t="str">
        <f aca="false">IF(A76="","",IF(G76="","⛔ التاريخ غلط — اختاره من القائمة أو اكتبه كامل 05/10/2026",IF(OR(H76&lt;1,H76&gt;NW),"⛔ التاريخ برّا السنة",IF(AND(N(D76)&gt;0,N(J76)&gt;0,D76&gt;ADV_CAP*J76),"⚠️ أكثر من "&amp;TEXT(ADV_CAP,"0%")&amp;" من شغله ("&amp;TEXT(J76,"0.000")&amp;")",""))))</f>
        <v/>
      </c>
      <c r="G76" s="0" t="str">
        <f aca="true">IF(A76="","",IF(ISNUMBER(A76),IF(A76&gt;=36526,A76,""),IFERROR(DATE(VALUE(RIGHT(RIGHT(TRIM(A76),10),4)),VALUE(MID(RIGHT(TRIM(A76),10),4,2)),VALUE(LEFT(RIGHT(TRIM(A76),10),2))),IFERROR(TODAY()-MOD(WEEKDAY(TODAY(),1)-MATCH(TRIM(A76),{"الأحد","الاثنين","الثلاثاء","الأربعاء","الخميس","الجمعة","السبت"},0),7),IFERROR(DATEVALUE(A76),"")))))</f>
        <v/>
      </c>
      <c r="H76" s="0" t="str">
        <f aca="false">IF(G76="","",INT((G76-WEEK_ONE)/7)+1)</f>
        <v/>
      </c>
      <c r="I76" s="0" t="str">
        <f aca="false">IF(H76="","",IF(OR(H76&lt;1,H76&gt;NW),"",INDEX(WMON,H76)))</f>
        <v/>
      </c>
      <c r="J76" s="0" t="str">
        <f aca="false">IF(OR(G76="",H76="",C76=""),"",IF(C76="عمر المصري",SUMIFS('ساعات عمر'!$H$5:$H$746,'ساعات عمر'!$A$5:$A$746,"&gt;="&amp;(WEEK_ONE+7*(H76-1)),'ساعات عمر'!$A$5:$A$746,"&lt;="&amp;G76),SUMIFS('ساعات عبدالعزيز'!$F$5:$F$746,'ساعات عبدالعزيز'!$A$5:$A$746,"&gt;="&amp;(WEEK_ONE+7*(H76-1)),'ساعات عبدالعزيز'!$A$5:$A$746,"&lt;="&amp;G76)))</f>
        <v/>
      </c>
    </row>
    <row r="77" customFormat="false" ht="15" hidden="false" customHeight="false" outlineLevel="0" collapsed="false">
      <c r="A77" s="43"/>
      <c r="B77" s="23" t="str">
        <f aca="false">IF(G77="","",CHOOSE(WEEKDAY(G77,1),"الأحد","الاثنين","الثلاثاء","الأربعاء","الخميس","الجمعة","السبت")&amp;IF(OR(ISNUMBER(A77),LEN(TRIM(A77))&gt;=10),"","  "&amp;TEXT(DAY(G77),"00")&amp;"/"&amp;TEXT(MONTH(G77),"00")&amp;"/"&amp;YEAR(G77)))</f>
        <v/>
      </c>
      <c r="C77" s="24"/>
      <c r="D77" s="44"/>
      <c r="E77" s="27"/>
      <c r="F77" s="45" t="str">
        <f aca="false">IF(A77="","",IF(G77="","⛔ التاريخ غلط — اختاره من القائمة أو اكتبه كامل 05/10/2026",IF(OR(H77&lt;1,H77&gt;NW),"⛔ التاريخ برّا السنة",IF(AND(N(D77)&gt;0,N(J77)&gt;0,D77&gt;ADV_CAP*J77),"⚠️ أكثر من "&amp;TEXT(ADV_CAP,"0%")&amp;" من شغله ("&amp;TEXT(J77,"0.000")&amp;")",""))))</f>
        <v/>
      </c>
      <c r="G77" s="0" t="str">
        <f aca="true">IF(A77="","",IF(ISNUMBER(A77),IF(A77&gt;=36526,A77,""),IFERROR(DATE(VALUE(RIGHT(RIGHT(TRIM(A77),10),4)),VALUE(MID(RIGHT(TRIM(A77),10),4,2)),VALUE(LEFT(RIGHT(TRIM(A77),10),2))),IFERROR(TODAY()-MOD(WEEKDAY(TODAY(),1)-MATCH(TRIM(A77),{"الأحد","الاثنين","الثلاثاء","الأربعاء","الخميس","الجمعة","السبت"},0),7),IFERROR(DATEVALUE(A77),"")))))</f>
        <v/>
      </c>
      <c r="H77" s="0" t="str">
        <f aca="false">IF(G77="","",INT((G77-WEEK_ONE)/7)+1)</f>
        <v/>
      </c>
      <c r="I77" s="0" t="str">
        <f aca="false">IF(H77="","",IF(OR(H77&lt;1,H77&gt;NW),"",INDEX(WMON,H77)))</f>
        <v/>
      </c>
      <c r="J77" s="0" t="str">
        <f aca="false">IF(OR(G77="",H77="",C77=""),"",IF(C77="عمر المصري",SUMIFS('ساعات عمر'!$H$5:$H$746,'ساعات عمر'!$A$5:$A$746,"&gt;="&amp;(WEEK_ONE+7*(H77-1)),'ساعات عمر'!$A$5:$A$746,"&lt;="&amp;G77),SUMIFS('ساعات عبدالعزيز'!$F$5:$F$746,'ساعات عبدالعزيز'!$A$5:$A$746,"&gt;="&amp;(WEEK_ONE+7*(H77-1)),'ساعات عبدالعزيز'!$A$5:$A$746,"&lt;="&amp;G77)))</f>
        <v/>
      </c>
    </row>
    <row r="78" customFormat="false" ht="15" hidden="false" customHeight="false" outlineLevel="0" collapsed="false">
      <c r="A78" s="43"/>
      <c r="B78" s="23" t="str">
        <f aca="false">IF(G78="","",CHOOSE(WEEKDAY(G78,1),"الأحد","الاثنين","الثلاثاء","الأربعاء","الخميس","الجمعة","السبت")&amp;IF(OR(ISNUMBER(A78),LEN(TRIM(A78))&gt;=10),"","  "&amp;TEXT(DAY(G78),"00")&amp;"/"&amp;TEXT(MONTH(G78),"00")&amp;"/"&amp;YEAR(G78)))</f>
        <v/>
      </c>
      <c r="C78" s="24"/>
      <c r="D78" s="44"/>
      <c r="E78" s="27"/>
      <c r="F78" s="45" t="str">
        <f aca="false">IF(A78="","",IF(G78="","⛔ التاريخ غلط — اختاره من القائمة أو اكتبه كامل 05/10/2026",IF(OR(H78&lt;1,H78&gt;NW),"⛔ التاريخ برّا السنة",IF(AND(N(D78)&gt;0,N(J78)&gt;0,D78&gt;ADV_CAP*J78),"⚠️ أكثر من "&amp;TEXT(ADV_CAP,"0%")&amp;" من شغله ("&amp;TEXT(J78,"0.000")&amp;")",""))))</f>
        <v/>
      </c>
      <c r="G78" s="0" t="str">
        <f aca="true">IF(A78="","",IF(ISNUMBER(A78),IF(A78&gt;=36526,A78,""),IFERROR(DATE(VALUE(RIGHT(RIGHT(TRIM(A78),10),4)),VALUE(MID(RIGHT(TRIM(A78),10),4,2)),VALUE(LEFT(RIGHT(TRIM(A78),10),2))),IFERROR(TODAY()-MOD(WEEKDAY(TODAY(),1)-MATCH(TRIM(A78),{"الأحد","الاثنين","الثلاثاء","الأربعاء","الخميس","الجمعة","السبت"},0),7),IFERROR(DATEVALUE(A78),"")))))</f>
        <v/>
      </c>
      <c r="H78" s="0" t="str">
        <f aca="false">IF(G78="","",INT((G78-WEEK_ONE)/7)+1)</f>
        <v/>
      </c>
      <c r="I78" s="0" t="str">
        <f aca="false">IF(H78="","",IF(OR(H78&lt;1,H78&gt;NW),"",INDEX(WMON,H78)))</f>
        <v/>
      </c>
      <c r="J78" s="0" t="str">
        <f aca="false">IF(OR(G78="",H78="",C78=""),"",IF(C78="عمر المصري",SUMIFS('ساعات عمر'!$H$5:$H$746,'ساعات عمر'!$A$5:$A$746,"&gt;="&amp;(WEEK_ONE+7*(H78-1)),'ساعات عمر'!$A$5:$A$746,"&lt;="&amp;G78),SUMIFS('ساعات عبدالعزيز'!$F$5:$F$746,'ساعات عبدالعزيز'!$A$5:$A$746,"&gt;="&amp;(WEEK_ONE+7*(H78-1)),'ساعات عبدالعزيز'!$A$5:$A$746,"&lt;="&amp;G78)))</f>
        <v/>
      </c>
    </row>
    <row r="79" customFormat="false" ht="15" hidden="false" customHeight="false" outlineLevel="0" collapsed="false">
      <c r="A79" s="43"/>
      <c r="B79" s="23" t="str">
        <f aca="false">IF(G79="","",CHOOSE(WEEKDAY(G79,1),"الأحد","الاثنين","الثلاثاء","الأربعاء","الخميس","الجمعة","السبت")&amp;IF(OR(ISNUMBER(A79),LEN(TRIM(A79))&gt;=10),"","  "&amp;TEXT(DAY(G79),"00")&amp;"/"&amp;TEXT(MONTH(G79),"00")&amp;"/"&amp;YEAR(G79)))</f>
        <v/>
      </c>
      <c r="C79" s="24"/>
      <c r="D79" s="44"/>
      <c r="E79" s="27"/>
      <c r="F79" s="45" t="str">
        <f aca="false">IF(A79="","",IF(G79="","⛔ التاريخ غلط — اختاره من القائمة أو اكتبه كامل 05/10/2026",IF(OR(H79&lt;1,H79&gt;NW),"⛔ التاريخ برّا السنة",IF(AND(N(D79)&gt;0,N(J79)&gt;0,D79&gt;ADV_CAP*J79),"⚠️ أكثر من "&amp;TEXT(ADV_CAP,"0%")&amp;" من شغله ("&amp;TEXT(J79,"0.000")&amp;")",""))))</f>
        <v/>
      </c>
      <c r="G79" s="0" t="str">
        <f aca="true">IF(A79="","",IF(ISNUMBER(A79),IF(A79&gt;=36526,A79,""),IFERROR(DATE(VALUE(RIGHT(RIGHT(TRIM(A79),10),4)),VALUE(MID(RIGHT(TRIM(A79),10),4,2)),VALUE(LEFT(RIGHT(TRIM(A79),10),2))),IFERROR(TODAY()-MOD(WEEKDAY(TODAY(),1)-MATCH(TRIM(A79),{"الأحد","الاثنين","الثلاثاء","الأربعاء","الخميس","الجمعة","السبت"},0),7),IFERROR(DATEVALUE(A79),"")))))</f>
        <v/>
      </c>
      <c r="H79" s="0" t="str">
        <f aca="false">IF(G79="","",INT((G79-WEEK_ONE)/7)+1)</f>
        <v/>
      </c>
      <c r="I79" s="0" t="str">
        <f aca="false">IF(H79="","",IF(OR(H79&lt;1,H79&gt;NW),"",INDEX(WMON,H79)))</f>
        <v/>
      </c>
      <c r="J79" s="0" t="str">
        <f aca="false">IF(OR(G79="",H79="",C79=""),"",IF(C79="عمر المصري",SUMIFS('ساعات عمر'!$H$5:$H$746,'ساعات عمر'!$A$5:$A$746,"&gt;="&amp;(WEEK_ONE+7*(H79-1)),'ساعات عمر'!$A$5:$A$746,"&lt;="&amp;G79),SUMIFS('ساعات عبدالعزيز'!$F$5:$F$746,'ساعات عبدالعزيز'!$A$5:$A$746,"&gt;="&amp;(WEEK_ONE+7*(H79-1)),'ساعات عبدالعزيز'!$A$5:$A$746,"&lt;="&amp;G79)))</f>
        <v/>
      </c>
    </row>
    <row r="80" customFormat="false" ht="15" hidden="false" customHeight="false" outlineLevel="0" collapsed="false">
      <c r="A80" s="43"/>
      <c r="B80" s="23" t="str">
        <f aca="false">IF(G80="","",CHOOSE(WEEKDAY(G80,1),"الأحد","الاثنين","الثلاثاء","الأربعاء","الخميس","الجمعة","السبت")&amp;IF(OR(ISNUMBER(A80),LEN(TRIM(A80))&gt;=10),"","  "&amp;TEXT(DAY(G80),"00")&amp;"/"&amp;TEXT(MONTH(G80),"00")&amp;"/"&amp;YEAR(G80)))</f>
        <v/>
      </c>
      <c r="C80" s="24"/>
      <c r="D80" s="44"/>
      <c r="E80" s="27"/>
      <c r="F80" s="45" t="str">
        <f aca="false">IF(A80="","",IF(G80="","⛔ التاريخ غلط — اختاره من القائمة أو اكتبه كامل 05/10/2026",IF(OR(H80&lt;1,H80&gt;NW),"⛔ التاريخ برّا السنة",IF(AND(N(D80)&gt;0,N(J80)&gt;0,D80&gt;ADV_CAP*J80),"⚠️ أكثر من "&amp;TEXT(ADV_CAP,"0%")&amp;" من شغله ("&amp;TEXT(J80,"0.000")&amp;")",""))))</f>
        <v/>
      </c>
      <c r="G80" s="0" t="str">
        <f aca="true">IF(A80="","",IF(ISNUMBER(A80),IF(A80&gt;=36526,A80,""),IFERROR(DATE(VALUE(RIGHT(RIGHT(TRIM(A80),10),4)),VALUE(MID(RIGHT(TRIM(A80),10),4,2)),VALUE(LEFT(RIGHT(TRIM(A80),10),2))),IFERROR(TODAY()-MOD(WEEKDAY(TODAY(),1)-MATCH(TRIM(A80),{"الأحد","الاثنين","الثلاثاء","الأربعاء","الخميس","الجمعة","السبت"},0),7),IFERROR(DATEVALUE(A80),"")))))</f>
        <v/>
      </c>
      <c r="H80" s="0" t="str">
        <f aca="false">IF(G80="","",INT((G80-WEEK_ONE)/7)+1)</f>
        <v/>
      </c>
      <c r="I80" s="0" t="str">
        <f aca="false">IF(H80="","",IF(OR(H80&lt;1,H80&gt;NW),"",INDEX(WMON,H80)))</f>
        <v/>
      </c>
      <c r="J80" s="0" t="str">
        <f aca="false">IF(OR(G80="",H80="",C80=""),"",IF(C80="عمر المصري",SUMIFS('ساعات عمر'!$H$5:$H$746,'ساعات عمر'!$A$5:$A$746,"&gt;="&amp;(WEEK_ONE+7*(H80-1)),'ساعات عمر'!$A$5:$A$746,"&lt;="&amp;G80),SUMIFS('ساعات عبدالعزيز'!$F$5:$F$746,'ساعات عبدالعزيز'!$A$5:$A$746,"&gt;="&amp;(WEEK_ONE+7*(H80-1)),'ساعات عبدالعزيز'!$A$5:$A$746,"&lt;="&amp;G80)))</f>
        <v/>
      </c>
    </row>
    <row r="81" customFormat="false" ht="15" hidden="false" customHeight="false" outlineLevel="0" collapsed="false">
      <c r="A81" s="43"/>
      <c r="B81" s="23" t="str">
        <f aca="false">IF(G81="","",CHOOSE(WEEKDAY(G81,1),"الأحد","الاثنين","الثلاثاء","الأربعاء","الخميس","الجمعة","السبت")&amp;IF(OR(ISNUMBER(A81),LEN(TRIM(A81))&gt;=10),"","  "&amp;TEXT(DAY(G81),"00")&amp;"/"&amp;TEXT(MONTH(G81),"00")&amp;"/"&amp;YEAR(G81)))</f>
        <v/>
      </c>
      <c r="C81" s="24"/>
      <c r="D81" s="44"/>
      <c r="E81" s="27"/>
      <c r="F81" s="45" t="str">
        <f aca="false">IF(A81="","",IF(G81="","⛔ التاريخ غلط — اختاره من القائمة أو اكتبه كامل 05/10/2026",IF(OR(H81&lt;1,H81&gt;NW),"⛔ التاريخ برّا السنة",IF(AND(N(D81)&gt;0,N(J81)&gt;0,D81&gt;ADV_CAP*J81),"⚠️ أكثر من "&amp;TEXT(ADV_CAP,"0%")&amp;" من شغله ("&amp;TEXT(J81,"0.000")&amp;")",""))))</f>
        <v/>
      </c>
      <c r="G81" s="0" t="str">
        <f aca="true">IF(A81="","",IF(ISNUMBER(A81),IF(A81&gt;=36526,A81,""),IFERROR(DATE(VALUE(RIGHT(RIGHT(TRIM(A81),10),4)),VALUE(MID(RIGHT(TRIM(A81),10),4,2)),VALUE(LEFT(RIGHT(TRIM(A81),10),2))),IFERROR(TODAY()-MOD(WEEKDAY(TODAY(),1)-MATCH(TRIM(A81),{"الأحد","الاثنين","الثلاثاء","الأربعاء","الخميس","الجمعة","السبت"},0),7),IFERROR(DATEVALUE(A81),"")))))</f>
        <v/>
      </c>
      <c r="H81" s="0" t="str">
        <f aca="false">IF(G81="","",INT((G81-WEEK_ONE)/7)+1)</f>
        <v/>
      </c>
      <c r="I81" s="0" t="str">
        <f aca="false">IF(H81="","",IF(OR(H81&lt;1,H81&gt;NW),"",INDEX(WMON,H81)))</f>
        <v/>
      </c>
      <c r="J81" s="0" t="str">
        <f aca="false">IF(OR(G81="",H81="",C81=""),"",IF(C81="عمر المصري",SUMIFS('ساعات عمر'!$H$5:$H$746,'ساعات عمر'!$A$5:$A$746,"&gt;="&amp;(WEEK_ONE+7*(H81-1)),'ساعات عمر'!$A$5:$A$746,"&lt;="&amp;G81),SUMIFS('ساعات عبدالعزيز'!$F$5:$F$746,'ساعات عبدالعزيز'!$A$5:$A$746,"&gt;="&amp;(WEEK_ONE+7*(H81-1)),'ساعات عبدالعزيز'!$A$5:$A$746,"&lt;="&amp;G81)))</f>
        <v/>
      </c>
    </row>
    <row r="82" customFormat="false" ht="15" hidden="false" customHeight="false" outlineLevel="0" collapsed="false">
      <c r="A82" s="43"/>
      <c r="B82" s="23" t="str">
        <f aca="false">IF(G82="","",CHOOSE(WEEKDAY(G82,1),"الأحد","الاثنين","الثلاثاء","الأربعاء","الخميس","الجمعة","السبت")&amp;IF(OR(ISNUMBER(A82),LEN(TRIM(A82))&gt;=10),"","  "&amp;TEXT(DAY(G82),"00")&amp;"/"&amp;TEXT(MONTH(G82),"00")&amp;"/"&amp;YEAR(G82)))</f>
        <v/>
      </c>
      <c r="C82" s="24"/>
      <c r="D82" s="44"/>
      <c r="E82" s="27"/>
      <c r="F82" s="45" t="str">
        <f aca="false">IF(A82="","",IF(G82="","⛔ التاريخ غلط — اختاره من القائمة أو اكتبه كامل 05/10/2026",IF(OR(H82&lt;1,H82&gt;NW),"⛔ التاريخ برّا السنة",IF(AND(N(D82)&gt;0,N(J82)&gt;0,D82&gt;ADV_CAP*J82),"⚠️ أكثر من "&amp;TEXT(ADV_CAP,"0%")&amp;" من شغله ("&amp;TEXT(J82,"0.000")&amp;")",""))))</f>
        <v/>
      </c>
      <c r="G82" s="0" t="str">
        <f aca="true">IF(A82="","",IF(ISNUMBER(A82),IF(A82&gt;=36526,A82,""),IFERROR(DATE(VALUE(RIGHT(RIGHT(TRIM(A82),10),4)),VALUE(MID(RIGHT(TRIM(A82),10),4,2)),VALUE(LEFT(RIGHT(TRIM(A82),10),2))),IFERROR(TODAY()-MOD(WEEKDAY(TODAY(),1)-MATCH(TRIM(A82),{"الأحد","الاثنين","الثلاثاء","الأربعاء","الخميس","الجمعة","السبت"},0),7),IFERROR(DATEVALUE(A82),"")))))</f>
        <v/>
      </c>
      <c r="H82" s="0" t="str">
        <f aca="false">IF(G82="","",INT((G82-WEEK_ONE)/7)+1)</f>
        <v/>
      </c>
      <c r="I82" s="0" t="str">
        <f aca="false">IF(H82="","",IF(OR(H82&lt;1,H82&gt;NW),"",INDEX(WMON,H82)))</f>
        <v/>
      </c>
      <c r="J82" s="0" t="str">
        <f aca="false">IF(OR(G82="",H82="",C82=""),"",IF(C82="عمر المصري",SUMIFS('ساعات عمر'!$H$5:$H$746,'ساعات عمر'!$A$5:$A$746,"&gt;="&amp;(WEEK_ONE+7*(H82-1)),'ساعات عمر'!$A$5:$A$746,"&lt;="&amp;G82),SUMIFS('ساعات عبدالعزيز'!$F$5:$F$746,'ساعات عبدالعزيز'!$A$5:$A$746,"&gt;="&amp;(WEEK_ONE+7*(H82-1)),'ساعات عبدالعزيز'!$A$5:$A$746,"&lt;="&amp;G82)))</f>
        <v/>
      </c>
    </row>
    <row r="83" customFormat="false" ht="15" hidden="false" customHeight="false" outlineLevel="0" collapsed="false">
      <c r="A83" s="43"/>
      <c r="B83" s="23" t="str">
        <f aca="false">IF(G83="","",CHOOSE(WEEKDAY(G83,1),"الأحد","الاثنين","الثلاثاء","الأربعاء","الخميس","الجمعة","السبت")&amp;IF(OR(ISNUMBER(A83),LEN(TRIM(A83))&gt;=10),"","  "&amp;TEXT(DAY(G83),"00")&amp;"/"&amp;TEXT(MONTH(G83),"00")&amp;"/"&amp;YEAR(G83)))</f>
        <v/>
      </c>
      <c r="C83" s="24"/>
      <c r="D83" s="44"/>
      <c r="E83" s="27"/>
      <c r="F83" s="45" t="str">
        <f aca="false">IF(A83="","",IF(G83="","⛔ التاريخ غلط — اختاره من القائمة أو اكتبه كامل 05/10/2026",IF(OR(H83&lt;1,H83&gt;NW),"⛔ التاريخ برّا السنة",IF(AND(N(D83)&gt;0,N(J83)&gt;0,D83&gt;ADV_CAP*J83),"⚠️ أكثر من "&amp;TEXT(ADV_CAP,"0%")&amp;" من شغله ("&amp;TEXT(J83,"0.000")&amp;")",""))))</f>
        <v/>
      </c>
      <c r="G83" s="0" t="str">
        <f aca="true">IF(A83="","",IF(ISNUMBER(A83),IF(A83&gt;=36526,A83,""),IFERROR(DATE(VALUE(RIGHT(RIGHT(TRIM(A83),10),4)),VALUE(MID(RIGHT(TRIM(A83),10),4,2)),VALUE(LEFT(RIGHT(TRIM(A83),10),2))),IFERROR(TODAY()-MOD(WEEKDAY(TODAY(),1)-MATCH(TRIM(A83),{"الأحد","الاثنين","الثلاثاء","الأربعاء","الخميس","الجمعة","السبت"},0),7),IFERROR(DATEVALUE(A83),"")))))</f>
        <v/>
      </c>
      <c r="H83" s="0" t="str">
        <f aca="false">IF(G83="","",INT((G83-WEEK_ONE)/7)+1)</f>
        <v/>
      </c>
      <c r="I83" s="0" t="str">
        <f aca="false">IF(H83="","",IF(OR(H83&lt;1,H83&gt;NW),"",INDEX(WMON,H83)))</f>
        <v/>
      </c>
      <c r="J83" s="0" t="str">
        <f aca="false">IF(OR(G83="",H83="",C83=""),"",IF(C83="عمر المصري",SUMIFS('ساعات عمر'!$H$5:$H$746,'ساعات عمر'!$A$5:$A$746,"&gt;="&amp;(WEEK_ONE+7*(H83-1)),'ساعات عمر'!$A$5:$A$746,"&lt;="&amp;G83),SUMIFS('ساعات عبدالعزيز'!$F$5:$F$746,'ساعات عبدالعزيز'!$A$5:$A$746,"&gt;="&amp;(WEEK_ONE+7*(H83-1)),'ساعات عبدالعزيز'!$A$5:$A$746,"&lt;="&amp;G83)))</f>
        <v/>
      </c>
    </row>
    <row r="84" customFormat="false" ht="15" hidden="false" customHeight="false" outlineLevel="0" collapsed="false">
      <c r="A84" s="43"/>
      <c r="B84" s="23" t="str">
        <f aca="false">IF(G84="","",CHOOSE(WEEKDAY(G84,1),"الأحد","الاثنين","الثلاثاء","الأربعاء","الخميس","الجمعة","السبت")&amp;IF(OR(ISNUMBER(A84),LEN(TRIM(A84))&gt;=10),"","  "&amp;TEXT(DAY(G84),"00")&amp;"/"&amp;TEXT(MONTH(G84),"00")&amp;"/"&amp;YEAR(G84)))</f>
        <v/>
      </c>
      <c r="C84" s="24"/>
      <c r="D84" s="44"/>
      <c r="E84" s="27"/>
      <c r="F84" s="45" t="str">
        <f aca="false">IF(A84="","",IF(G84="","⛔ التاريخ غلط — اختاره من القائمة أو اكتبه كامل 05/10/2026",IF(OR(H84&lt;1,H84&gt;NW),"⛔ التاريخ برّا السنة",IF(AND(N(D84)&gt;0,N(J84)&gt;0,D84&gt;ADV_CAP*J84),"⚠️ أكثر من "&amp;TEXT(ADV_CAP,"0%")&amp;" من شغله ("&amp;TEXT(J84,"0.000")&amp;")",""))))</f>
        <v/>
      </c>
      <c r="G84" s="0" t="str">
        <f aca="true">IF(A84="","",IF(ISNUMBER(A84),IF(A84&gt;=36526,A84,""),IFERROR(DATE(VALUE(RIGHT(RIGHT(TRIM(A84),10),4)),VALUE(MID(RIGHT(TRIM(A84),10),4,2)),VALUE(LEFT(RIGHT(TRIM(A84),10),2))),IFERROR(TODAY()-MOD(WEEKDAY(TODAY(),1)-MATCH(TRIM(A84),{"الأحد","الاثنين","الثلاثاء","الأربعاء","الخميس","الجمعة","السبت"},0),7),IFERROR(DATEVALUE(A84),"")))))</f>
        <v/>
      </c>
      <c r="H84" s="0" t="str">
        <f aca="false">IF(G84="","",INT((G84-WEEK_ONE)/7)+1)</f>
        <v/>
      </c>
      <c r="I84" s="0" t="str">
        <f aca="false">IF(H84="","",IF(OR(H84&lt;1,H84&gt;NW),"",INDEX(WMON,H84)))</f>
        <v/>
      </c>
      <c r="J84" s="0" t="str">
        <f aca="false">IF(OR(G84="",H84="",C84=""),"",IF(C84="عمر المصري",SUMIFS('ساعات عمر'!$H$5:$H$746,'ساعات عمر'!$A$5:$A$746,"&gt;="&amp;(WEEK_ONE+7*(H84-1)),'ساعات عمر'!$A$5:$A$746,"&lt;="&amp;G84),SUMIFS('ساعات عبدالعزيز'!$F$5:$F$746,'ساعات عبدالعزيز'!$A$5:$A$746,"&gt;="&amp;(WEEK_ONE+7*(H84-1)),'ساعات عبدالعزيز'!$A$5:$A$746,"&lt;="&amp;G84)))</f>
        <v/>
      </c>
    </row>
    <row r="85" customFormat="false" ht="15" hidden="false" customHeight="false" outlineLevel="0" collapsed="false">
      <c r="A85" s="43"/>
      <c r="B85" s="23" t="str">
        <f aca="false">IF(G85="","",CHOOSE(WEEKDAY(G85,1),"الأحد","الاثنين","الثلاثاء","الأربعاء","الخميس","الجمعة","السبت")&amp;IF(OR(ISNUMBER(A85),LEN(TRIM(A85))&gt;=10),"","  "&amp;TEXT(DAY(G85),"00")&amp;"/"&amp;TEXT(MONTH(G85),"00")&amp;"/"&amp;YEAR(G85)))</f>
        <v/>
      </c>
      <c r="C85" s="24"/>
      <c r="D85" s="44"/>
      <c r="E85" s="27"/>
      <c r="F85" s="45" t="str">
        <f aca="false">IF(A85="","",IF(G85="","⛔ التاريخ غلط — اختاره من القائمة أو اكتبه كامل 05/10/2026",IF(OR(H85&lt;1,H85&gt;NW),"⛔ التاريخ برّا السنة",IF(AND(N(D85)&gt;0,N(J85)&gt;0,D85&gt;ADV_CAP*J85),"⚠️ أكثر من "&amp;TEXT(ADV_CAP,"0%")&amp;" من شغله ("&amp;TEXT(J85,"0.000")&amp;")",""))))</f>
        <v/>
      </c>
      <c r="G85" s="0" t="str">
        <f aca="true">IF(A85="","",IF(ISNUMBER(A85),IF(A85&gt;=36526,A85,""),IFERROR(DATE(VALUE(RIGHT(RIGHT(TRIM(A85),10),4)),VALUE(MID(RIGHT(TRIM(A85),10),4,2)),VALUE(LEFT(RIGHT(TRIM(A85),10),2))),IFERROR(TODAY()-MOD(WEEKDAY(TODAY(),1)-MATCH(TRIM(A85),{"الأحد","الاثنين","الثلاثاء","الأربعاء","الخميس","الجمعة","السبت"},0),7),IFERROR(DATEVALUE(A85),"")))))</f>
        <v/>
      </c>
      <c r="H85" s="0" t="str">
        <f aca="false">IF(G85="","",INT((G85-WEEK_ONE)/7)+1)</f>
        <v/>
      </c>
      <c r="I85" s="0" t="str">
        <f aca="false">IF(H85="","",IF(OR(H85&lt;1,H85&gt;NW),"",INDEX(WMON,H85)))</f>
        <v/>
      </c>
      <c r="J85" s="0" t="str">
        <f aca="false">IF(OR(G85="",H85="",C85=""),"",IF(C85="عمر المصري",SUMIFS('ساعات عمر'!$H$5:$H$746,'ساعات عمر'!$A$5:$A$746,"&gt;="&amp;(WEEK_ONE+7*(H85-1)),'ساعات عمر'!$A$5:$A$746,"&lt;="&amp;G85),SUMIFS('ساعات عبدالعزيز'!$F$5:$F$746,'ساعات عبدالعزيز'!$A$5:$A$746,"&gt;="&amp;(WEEK_ONE+7*(H85-1)),'ساعات عبدالعزيز'!$A$5:$A$746,"&lt;="&amp;G85)))</f>
        <v/>
      </c>
    </row>
    <row r="86" customFormat="false" ht="15" hidden="false" customHeight="false" outlineLevel="0" collapsed="false">
      <c r="A86" s="43"/>
      <c r="B86" s="23" t="str">
        <f aca="false">IF(G86="","",CHOOSE(WEEKDAY(G86,1),"الأحد","الاثنين","الثلاثاء","الأربعاء","الخميس","الجمعة","السبت")&amp;IF(OR(ISNUMBER(A86),LEN(TRIM(A86))&gt;=10),"","  "&amp;TEXT(DAY(G86),"00")&amp;"/"&amp;TEXT(MONTH(G86),"00")&amp;"/"&amp;YEAR(G86)))</f>
        <v/>
      </c>
      <c r="C86" s="24"/>
      <c r="D86" s="44"/>
      <c r="E86" s="27"/>
      <c r="F86" s="45" t="str">
        <f aca="false">IF(A86="","",IF(G86="","⛔ التاريخ غلط — اختاره من القائمة أو اكتبه كامل 05/10/2026",IF(OR(H86&lt;1,H86&gt;NW),"⛔ التاريخ برّا السنة",IF(AND(N(D86)&gt;0,N(J86)&gt;0,D86&gt;ADV_CAP*J86),"⚠️ أكثر من "&amp;TEXT(ADV_CAP,"0%")&amp;" من شغله ("&amp;TEXT(J86,"0.000")&amp;")",""))))</f>
        <v/>
      </c>
      <c r="G86" s="0" t="str">
        <f aca="true">IF(A86="","",IF(ISNUMBER(A86),IF(A86&gt;=36526,A86,""),IFERROR(DATE(VALUE(RIGHT(RIGHT(TRIM(A86),10),4)),VALUE(MID(RIGHT(TRIM(A86),10),4,2)),VALUE(LEFT(RIGHT(TRIM(A86),10),2))),IFERROR(TODAY()-MOD(WEEKDAY(TODAY(),1)-MATCH(TRIM(A86),{"الأحد","الاثنين","الثلاثاء","الأربعاء","الخميس","الجمعة","السبت"},0),7),IFERROR(DATEVALUE(A86),"")))))</f>
        <v/>
      </c>
      <c r="H86" s="0" t="str">
        <f aca="false">IF(G86="","",INT((G86-WEEK_ONE)/7)+1)</f>
        <v/>
      </c>
      <c r="I86" s="0" t="str">
        <f aca="false">IF(H86="","",IF(OR(H86&lt;1,H86&gt;NW),"",INDEX(WMON,H86)))</f>
        <v/>
      </c>
      <c r="J86" s="0" t="str">
        <f aca="false">IF(OR(G86="",H86="",C86=""),"",IF(C86="عمر المصري",SUMIFS('ساعات عمر'!$H$5:$H$746,'ساعات عمر'!$A$5:$A$746,"&gt;="&amp;(WEEK_ONE+7*(H86-1)),'ساعات عمر'!$A$5:$A$746,"&lt;="&amp;G86),SUMIFS('ساعات عبدالعزيز'!$F$5:$F$746,'ساعات عبدالعزيز'!$A$5:$A$746,"&gt;="&amp;(WEEK_ONE+7*(H86-1)),'ساعات عبدالعزيز'!$A$5:$A$746,"&lt;="&amp;G86)))</f>
        <v/>
      </c>
    </row>
    <row r="87" customFormat="false" ht="15" hidden="false" customHeight="false" outlineLevel="0" collapsed="false">
      <c r="A87" s="43"/>
      <c r="B87" s="23" t="str">
        <f aca="false">IF(G87="","",CHOOSE(WEEKDAY(G87,1),"الأحد","الاثنين","الثلاثاء","الأربعاء","الخميس","الجمعة","السبت")&amp;IF(OR(ISNUMBER(A87),LEN(TRIM(A87))&gt;=10),"","  "&amp;TEXT(DAY(G87),"00")&amp;"/"&amp;TEXT(MONTH(G87),"00")&amp;"/"&amp;YEAR(G87)))</f>
        <v/>
      </c>
      <c r="C87" s="24"/>
      <c r="D87" s="44"/>
      <c r="E87" s="27"/>
      <c r="F87" s="45" t="str">
        <f aca="false">IF(A87="","",IF(G87="","⛔ التاريخ غلط — اختاره من القائمة أو اكتبه كامل 05/10/2026",IF(OR(H87&lt;1,H87&gt;NW),"⛔ التاريخ برّا السنة",IF(AND(N(D87)&gt;0,N(J87)&gt;0,D87&gt;ADV_CAP*J87),"⚠️ أكثر من "&amp;TEXT(ADV_CAP,"0%")&amp;" من شغله ("&amp;TEXT(J87,"0.000")&amp;")",""))))</f>
        <v/>
      </c>
      <c r="G87" s="0" t="str">
        <f aca="true">IF(A87="","",IF(ISNUMBER(A87),IF(A87&gt;=36526,A87,""),IFERROR(DATE(VALUE(RIGHT(RIGHT(TRIM(A87),10),4)),VALUE(MID(RIGHT(TRIM(A87),10),4,2)),VALUE(LEFT(RIGHT(TRIM(A87),10),2))),IFERROR(TODAY()-MOD(WEEKDAY(TODAY(),1)-MATCH(TRIM(A87),{"الأحد","الاثنين","الثلاثاء","الأربعاء","الخميس","الجمعة","السبت"},0),7),IFERROR(DATEVALUE(A87),"")))))</f>
        <v/>
      </c>
      <c r="H87" s="0" t="str">
        <f aca="false">IF(G87="","",INT((G87-WEEK_ONE)/7)+1)</f>
        <v/>
      </c>
      <c r="I87" s="0" t="str">
        <f aca="false">IF(H87="","",IF(OR(H87&lt;1,H87&gt;NW),"",INDEX(WMON,H87)))</f>
        <v/>
      </c>
      <c r="J87" s="0" t="str">
        <f aca="false">IF(OR(G87="",H87="",C87=""),"",IF(C87="عمر المصري",SUMIFS('ساعات عمر'!$H$5:$H$746,'ساعات عمر'!$A$5:$A$746,"&gt;="&amp;(WEEK_ONE+7*(H87-1)),'ساعات عمر'!$A$5:$A$746,"&lt;="&amp;G87),SUMIFS('ساعات عبدالعزيز'!$F$5:$F$746,'ساعات عبدالعزيز'!$A$5:$A$746,"&gt;="&amp;(WEEK_ONE+7*(H87-1)),'ساعات عبدالعزيز'!$A$5:$A$746,"&lt;="&amp;G87)))</f>
        <v/>
      </c>
    </row>
    <row r="88" customFormat="false" ht="15" hidden="false" customHeight="false" outlineLevel="0" collapsed="false">
      <c r="A88" s="43"/>
      <c r="B88" s="23" t="str">
        <f aca="false">IF(G88="","",CHOOSE(WEEKDAY(G88,1),"الأحد","الاثنين","الثلاثاء","الأربعاء","الخميس","الجمعة","السبت")&amp;IF(OR(ISNUMBER(A88),LEN(TRIM(A88))&gt;=10),"","  "&amp;TEXT(DAY(G88),"00")&amp;"/"&amp;TEXT(MONTH(G88),"00")&amp;"/"&amp;YEAR(G88)))</f>
        <v/>
      </c>
      <c r="C88" s="24"/>
      <c r="D88" s="44"/>
      <c r="E88" s="27"/>
      <c r="F88" s="45" t="str">
        <f aca="false">IF(A88="","",IF(G88="","⛔ التاريخ غلط — اختاره من القائمة أو اكتبه كامل 05/10/2026",IF(OR(H88&lt;1,H88&gt;NW),"⛔ التاريخ برّا السنة",IF(AND(N(D88)&gt;0,N(J88)&gt;0,D88&gt;ADV_CAP*J88),"⚠️ أكثر من "&amp;TEXT(ADV_CAP,"0%")&amp;" من شغله ("&amp;TEXT(J88,"0.000")&amp;")",""))))</f>
        <v/>
      </c>
      <c r="G88" s="0" t="str">
        <f aca="true">IF(A88="","",IF(ISNUMBER(A88),IF(A88&gt;=36526,A88,""),IFERROR(DATE(VALUE(RIGHT(RIGHT(TRIM(A88),10),4)),VALUE(MID(RIGHT(TRIM(A88),10),4,2)),VALUE(LEFT(RIGHT(TRIM(A88),10),2))),IFERROR(TODAY()-MOD(WEEKDAY(TODAY(),1)-MATCH(TRIM(A88),{"الأحد","الاثنين","الثلاثاء","الأربعاء","الخميس","الجمعة","السبت"},0),7),IFERROR(DATEVALUE(A88),"")))))</f>
        <v/>
      </c>
      <c r="H88" s="0" t="str">
        <f aca="false">IF(G88="","",INT((G88-WEEK_ONE)/7)+1)</f>
        <v/>
      </c>
      <c r="I88" s="0" t="str">
        <f aca="false">IF(H88="","",IF(OR(H88&lt;1,H88&gt;NW),"",INDEX(WMON,H88)))</f>
        <v/>
      </c>
      <c r="J88" s="0" t="str">
        <f aca="false">IF(OR(G88="",H88="",C88=""),"",IF(C88="عمر المصري",SUMIFS('ساعات عمر'!$H$5:$H$746,'ساعات عمر'!$A$5:$A$746,"&gt;="&amp;(WEEK_ONE+7*(H88-1)),'ساعات عمر'!$A$5:$A$746,"&lt;="&amp;G88),SUMIFS('ساعات عبدالعزيز'!$F$5:$F$746,'ساعات عبدالعزيز'!$A$5:$A$746,"&gt;="&amp;(WEEK_ONE+7*(H88-1)),'ساعات عبدالعزيز'!$A$5:$A$746,"&lt;="&amp;G88)))</f>
        <v/>
      </c>
    </row>
    <row r="89" customFormat="false" ht="15" hidden="false" customHeight="false" outlineLevel="0" collapsed="false">
      <c r="A89" s="43"/>
      <c r="B89" s="23" t="str">
        <f aca="false">IF(G89="","",CHOOSE(WEEKDAY(G89,1),"الأحد","الاثنين","الثلاثاء","الأربعاء","الخميس","الجمعة","السبت")&amp;IF(OR(ISNUMBER(A89),LEN(TRIM(A89))&gt;=10),"","  "&amp;TEXT(DAY(G89),"00")&amp;"/"&amp;TEXT(MONTH(G89),"00")&amp;"/"&amp;YEAR(G89)))</f>
        <v/>
      </c>
      <c r="C89" s="24"/>
      <c r="D89" s="44"/>
      <c r="E89" s="27"/>
      <c r="F89" s="45" t="str">
        <f aca="false">IF(A89="","",IF(G89="","⛔ التاريخ غلط — اختاره من القائمة أو اكتبه كامل 05/10/2026",IF(OR(H89&lt;1,H89&gt;NW),"⛔ التاريخ برّا السنة",IF(AND(N(D89)&gt;0,N(J89)&gt;0,D89&gt;ADV_CAP*J89),"⚠️ أكثر من "&amp;TEXT(ADV_CAP,"0%")&amp;" من شغله ("&amp;TEXT(J89,"0.000")&amp;")",""))))</f>
        <v/>
      </c>
      <c r="G89" s="0" t="str">
        <f aca="true">IF(A89="","",IF(ISNUMBER(A89),IF(A89&gt;=36526,A89,""),IFERROR(DATE(VALUE(RIGHT(RIGHT(TRIM(A89),10),4)),VALUE(MID(RIGHT(TRIM(A89),10),4,2)),VALUE(LEFT(RIGHT(TRIM(A89),10),2))),IFERROR(TODAY()-MOD(WEEKDAY(TODAY(),1)-MATCH(TRIM(A89),{"الأحد","الاثنين","الثلاثاء","الأربعاء","الخميس","الجمعة","السبت"},0),7),IFERROR(DATEVALUE(A89),"")))))</f>
        <v/>
      </c>
      <c r="H89" s="0" t="str">
        <f aca="false">IF(G89="","",INT((G89-WEEK_ONE)/7)+1)</f>
        <v/>
      </c>
      <c r="I89" s="0" t="str">
        <f aca="false">IF(H89="","",IF(OR(H89&lt;1,H89&gt;NW),"",INDEX(WMON,H89)))</f>
        <v/>
      </c>
      <c r="J89" s="0" t="str">
        <f aca="false">IF(OR(G89="",H89="",C89=""),"",IF(C89="عمر المصري",SUMIFS('ساعات عمر'!$H$5:$H$746,'ساعات عمر'!$A$5:$A$746,"&gt;="&amp;(WEEK_ONE+7*(H89-1)),'ساعات عمر'!$A$5:$A$746,"&lt;="&amp;G89),SUMIFS('ساعات عبدالعزيز'!$F$5:$F$746,'ساعات عبدالعزيز'!$A$5:$A$746,"&gt;="&amp;(WEEK_ONE+7*(H89-1)),'ساعات عبدالعزيز'!$A$5:$A$746,"&lt;="&amp;G89)))</f>
        <v/>
      </c>
    </row>
    <row r="90" customFormat="false" ht="15" hidden="false" customHeight="false" outlineLevel="0" collapsed="false">
      <c r="A90" s="43"/>
      <c r="B90" s="23" t="str">
        <f aca="false">IF(G90="","",CHOOSE(WEEKDAY(G90,1),"الأحد","الاثنين","الثلاثاء","الأربعاء","الخميس","الجمعة","السبت")&amp;IF(OR(ISNUMBER(A90),LEN(TRIM(A90))&gt;=10),"","  "&amp;TEXT(DAY(G90),"00")&amp;"/"&amp;TEXT(MONTH(G90),"00")&amp;"/"&amp;YEAR(G90)))</f>
        <v/>
      </c>
      <c r="C90" s="24"/>
      <c r="D90" s="44"/>
      <c r="E90" s="27"/>
      <c r="F90" s="45" t="str">
        <f aca="false">IF(A90="","",IF(G90="","⛔ التاريخ غلط — اختاره من القائمة أو اكتبه كامل 05/10/2026",IF(OR(H90&lt;1,H90&gt;NW),"⛔ التاريخ برّا السنة",IF(AND(N(D90)&gt;0,N(J90)&gt;0,D90&gt;ADV_CAP*J90),"⚠️ أكثر من "&amp;TEXT(ADV_CAP,"0%")&amp;" من شغله ("&amp;TEXT(J90,"0.000")&amp;")",""))))</f>
        <v/>
      </c>
      <c r="G90" s="0" t="str">
        <f aca="true">IF(A90="","",IF(ISNUMBER(A90),IF(A90&gt;=36526,A90,""),IFERROR(DATE(VALUE(RIGHT(RIGHT(TRIM(A90),10),4)),VALUE(MID(RIGHT(TRIM(A90),10),4,2)),VALUE(LEFT(RIGHT(TRIM(A90),10),2))),IFERROR(TODAY()-MOD(WEEKDAY(TODAY(),1)-MATCH(TRIM(A90),{"الأحد","الاثنين","الثلاثاء","الأربعاء","الخميس","الجمعة","السبت"},0),7),IFERROR(DATEVALUE(A90),"")))))</f>
        <v/>
      </c>
      <c r="H90" s="0" t="str">
        <f aca="false">IF(G90="","",INT((G90-WEEK_ONE)/7)+1)</f>
        <v/>
      </c>
      <c r="I90" s="0" t="str">
        <f aca="false">IF(H90="","",IF(OR(H90&lt;1,H90&gt;NW),"",INDEX(WMON,H90)))</f>
        <v/>
      </c>
      <c r="J90" s="0" t="str">
        <f aca="false">IF(OR(G90="",H90="",C90=""),"",IF(C90="عمر المصري",SUMIFS('ساعات عمر'!$H$5:$H$746,'ساعات عمر'!$A$5:$A$746,"&gt;="&amp;(WEEK_ONE+7*(H90-1)),'ساعات عمر'!$A$5:$A$746,"&lt;="&amp;G90),SUMIFS('ساعات عبدالعزيز'!$F$5:$F$746,'ساعات عبدالعزيز'!$A$5:$A$746,"&gt;="&amp;(WEEK_ONE+7*(H90-1)),'ساعات عبدالعزيز'!$A$5:$A$746,"&lt;="&amp;G90)))</f>
        <v/>
      </c>
    </row>
    <row r="91" customFormat="false" ht="15" hidden="false" customHeight="false" outlineLevel="0" collapsed="false">
      <c r="A91" s="43"/>
      <c r="B91" s="23" t="str">
        <f aca="false">IF(G91="","",CHOOSE(WEEKDAY(G91,1),"الأحد","الاثنين","الثلاثاء","الأربعاء","الخميس","الجمعة","السبت")&amp;IF(OR(ISNUMBER(A91),LEN(TRIM(A91))&gt;=10),"","  "&amp;TEXT(DAY(G91),"00")&amp;"/"&amp;TEXT(MONTH(G91),"00")&amp;"/"&amp;YEAR(G91)))</f>
        <v/>
      </c>
      <c r="C91" s="24"/>
      <c r="D91" s="44"/>
      <c r="E91" s="27"/>
      <c r="F91" s="45" t="str">
        <f aca="false">IF(A91="","",IF(G91="","⛔ التاريخ غلط — اختاره من القائمة أو اكتبه كامل 05/10/2026",IF(OR(H91&lt;1,H91&gt;NW),"⛔ التاريخ برّا السنة",IF(AND(N(D91)&gt;0,N(J91)&gt;0,D91&gt;ADV_CAP*J91),"⚠️ أكثر من "&amp;TEXT(ADV_CAP,"0%")&amp;" من شغله ("&amp;TEXT(J91,"0.000")&amp;")",""))))</f>
        <v/>
      </c>
      <c r="G91" s="0" t="str">
        <f aca="true">IF(A91="","",IF(ISNUMBER(A91),IF(A91&gt;=36526,A91,""),IFERROR(DATE(VALUE(RIGHT(RIGHT(TRIM(A91),10),4)),VALUE(MID(RIGHT(TRIM(A91),10),4,2)),VALUE(LEFT(RIGHT(TRIM(A91),10),2))),IFERROR(TODAY()-MOD(WEEKDAY(TODAY(),1)-MATCH(TRIM(A91),{"الأحد","الاثنين","الثلاثاء","الأربعاء","الخميس","الجمعة","السبت"},0),7),IFERROR(DATEVALUE(A91),"")))))</f>
        <v/>
      </c>
      <c r="H91" s="0" t="str">
        <f aca="false">IF(G91="","",INT((G91-WEEK_ONE)/7)+1)</f>
        <v/>
      </c>
      <c r="I91" s="0" t="str">
        <f aca="false">IF(H91="","",IF(OR(H91&lt;1,H91&gt;NW),"",INDEX(WMON,H91)))</f>
        <v/>
      </c>
      <c r="J91" s="0" t="str">
        <f aca="false">IF(OR(G91="",H91="",C91=""),"",IF(C91="عمر المصري",SUMIFS('ساعات عمر'!$H$5:$H$746,'ساعات عمر'!$A$5:$A$746,"&gt;="&amp;(WEEK_ONE+7*(H91-1)),'ساعات عمر'!$A$5:$A$746,"&lt;="&amp;G91),SUMIFS('ساعات عبدالعزيز'!$F$5:$F$746,'ساعات عبدالعزيز'!$A$5:$A$746,"&gt;="&amp;(WEEK_ONE+7*(H91-1)),'ساعات عبدالعزيز'!$A$5:$A$746,"&lt;="&amp;G91)))</f>
        <v/>
      </c>
    </row>
    <row r="92" customFormat="false" ht="15" hidden="false" customHeight="false" outlineLevel="0" collapsed="false">
      <c r="A92" s="43"/>
      <c r="B92" s="23" t="str">
        <f aca="false">IF(G92="","",CHOOSE(WEEKDAY(G92,1),"الأحد","الاثنين","الثلاثاء","الأربعاء","الخميس","الجمعة","السبت")&amp;IF(OR(ISNUMBER(A92),LEN(TRIM(A92))&gt;=10),"","  "&amp;TEXT(DAY(G92),"00")&amp;"/"&amp;TEXT(MONTH(G92),"00")&amp;"/"&amp;YEAR(G92)))</f>
        <v/>
      </c>
      <c r="C92" s="24"/>
      <c r="D92" s="44"/>
      <c r="E92" s="27"/>
      <c r="F92" s="45" t="str">
        <f aca="false">IF(A92="","",IF(G92="","⛔ التاريخ غلط — اختاره من القائمة أو اكتبه كامل 05/10/2026",IF(OR(H92&lt;1,H92&gt;NW),"⛔ التاريخ برّا السنة",IF(AND(N(D92)&gt;0,N(J92)&gt;0,D92&gt;ADV_CAP*J92),"⚠️ أكثر من "&amp;TEXT(ADV_CAP,"0%")&amp;" من شغله ("&amp;TEXT(J92,"0.000")&amp;")",""))))</f>
        <v/>
      </c>
      <c r="G92" s="0" t="str">
        <f aca="true">IF(A92="","",IF(ISNUMBER(A92),IF(A92&gt;=36526,A92,""),IFERROR(DATE(VALUE(RIGHT(RIGHT(TRIM(A92),10),4)),VALUE(MID(RIGHT(TRIM(A92),10),4,2)),VALUE(LEFT(RIGHT(TRIM(A92),10),2))),IFERROR(TODAY()-MOD(WEEKDAY(TODAY(),1)-MATCH(TRIM(A92),{"الأحد","الاثنين","الثلاثاء","الأربعاء","الخميس","الجمعة","السبت"},0),7),IFERROR(DATEVALUE(A92),"")))))</f>
        <v/>
      </c>
      <c r="H92" s="0" t="str">
        <f aca="false">IF(G92="","",INT((G92-WEEK_ONE)/7)+1)</f>
        <v/>
      </c>
      <c r="I92" s="0" t="str">
        <f aca="false">IF(H92="","",IF(OR(H92&lt;1,H92&gt;NW),"",INDEX(WMON,H92)))</f>
        <v/>
      </c>
      <c r="J92" s="0" t="str">
        <f aca="false">IF(OR(G92="",H92="",C92=""),"",IF(C92="عمر المصري",SUMIFS('ساعات عمر'!$H$5:$H$746,'ساعات عمر'!$A$5:$A$746,"&gt;="&amp;(WEEK_ONE+7*(H92-1)),'ساعات عمر'!$A$5:$A$746,"&lt;="&amp;G92),SUMIFS('ساعات عبدالعزيز'!$F$5:$F$746,'ساعات عبدالعزيز'!$A$5:$A$746,"&gt;="&amp;(WEEK_ONE+7*(H92-1)),'ساعات عبدالعزيز'!$A$5:$A$746,"&lt;="&amp;G92)))</f>
        <v/>
      </c>
    </row>
    <row r="93" customFormat="false" ht="15" hidden="false" customHeight="false" outlineLevel="0" collapsed="false">
      <c r="A93" s="43"/>
      <c r="B93" s="23" t="str">
        <f aca="false">IF(G93="","",CHOOSE(WEEKDAY(G93,1),"الأحد","الاثنين","الثلاثاء","الأربعاء","الخميس","الجمعة","السبت")&amp;IF(OR(ISNUMBER(A93),LEN(TRIM(A93))&gt;=10),"","  "&amp;TEXT(DAY(G93),"00")&amp;"/"&amp;TEXT(MONTH(G93),"00")&amp;"/"&amp;YEAR(G93)))</f>
        <v/>
      </c>
      <c r="C93" s="24"/>
      <c r="D93" s="44"/>
      <c r="E93" s="27"/>
      <c r="F93" s="45" t="str">
        <f aca="false">IF(A93="","",IF(G93="","⛔ التاريخ غلط — اختاره من القائمة أو اكتبه كامل 05/10/2026",IF(OR(H93&lt;1,H93&gt;NW),"⛔ التاريخ برّا السنة",IF(AND(N(D93)&gt;0,N(J93)&gt;0,D93&gt;ADV_CAP*J93),"⚠️ أكثر من "&amp;TEXT(ADV_CAP,"0%")&amp;" من شغله ("&amp;TEXT(J93,"0.000")&amp;")",""))))</f>
        <v/>
      </c>
      <c r="G93" s="0" t="str">
        <f aca="true">IF(A93="","",IF(ISNUMBER(A93),IF(A93&gt;=36526,A93,""),IFERROR(DATE(VALUE(RIGHT(RIGHT(TRIM(A93),10),4)),VALUE(MID(RIGHT(TRIM(A93),10),4,2)),VALUE(LEFT(RIGHT(TRIM(A93),10),2))),IFERROR(TODAY()-MOD(WEEKDAY(TODAY(),1)-MATCH(TRIM(A93),{"الأحد","الاثنين","الثلاثاء","الأربعاء","الخميس","الجمعة","السبت"},0),7),IFERROR(DATEVALUE(A93),"")))))</f>
        <v/>
      </c>
      <c r="H93" s="0" t="str">
        <f aca="false">IF(G93="","",INT((G93-WEEK_ONE)/7)+1)</f>
        <v/>
      </c>
      <c r="I93" s="0" t="str">
        <f aca="false">IF(H93="","",IF(OR(H93&lt;1,H93&gt;NW),"",INDEX(WMON,H93)))</f>
        <v/>
      </c>
      <c r="J93" s="0" t="str">
        <f aca="false">IF(OR(G93="",H93="",C93=""),"",IF(C93="عمر المصري",SUMIFS('ساعات عمر'!$H$5:$H$746,'ساعات عمر'!$A$5:$A$746,"&gt;="&amp;(WEEK_ONE+7*(H93-1)),'ساعات عمر'!$A$5:$A$746,"&lt;="&amp;G93),SUMIFS('ساعات عبدالعزيز'!$F$5:$F$746,'ساعات عبدالعزيز'!$A$5:$A$746,"&gt;="&amp;(WEEK_ONE+7*(H93-1)),'ساعات عبدالعزيز'!$A$5:$A$746,"&lt;="&amp;G93)))</f>
        <v/>
      </c>
    </row>
    <row r="94" customFormat="false" ht="15" hidden="false" customHeight="false" outlineLevel="0" collapsed="false">
      <c r="A94" s="43"/>
      <c r="B94" s="23" t="str">
        <f aca="false">IF(G94="","",CHOOSE(WEEKDAY(G94,1),"الأحد","الاثنين","الثلاثاء","الأربعاء","الخميس","الجمعة","السبت")&amp;IF(OR(ISNUMBER(A94),LEN(TRIM(A94))&gt;=10),"","  "&amp;TEXT(DAY(G94),"00")&amp;"/"&amp;TEXT(MONTH(G94),"00")&amp;"/"&amp;YEAR(G94)))</f>
        <v/>
      </c>
      <c r="C94" s="24"/>
      <c r="D94" s="44"/>
      <c r="E94" s="27"/>
      <c r="F94" s="45" t="str">
        <f aca="false">IF(A94="","",IF(G94="","⛔ التاريخ غلط — اختاره من القائمة أو اكتبه كامل 05/10/2026",IF(OR(H94&lt;1,H94&gt;NW),"⛔ التاريخ برّا السنة",IF(AND(N(D94)&gt;0,N(J94)&gt;0,D94&gt;ADV_CAP*J94),"⚠️ أكثر من "&amp;TEXT(ADV_CAP,"0%")&amp;" من شغله ("&amp;TEXT(J94,"0.000")&amp;")",""))))</f>
        <v/>
      </c>
      <c r="G94" s="0" t="str">
        <f aca="true">IF(A94="","",IF(ISNUMBER(A94),IF(A94&gt;=36526,A94,""),IFERROR(DATE(VALUE(RIGHT(RIGHT(TRIM(A94),10),4)),VALUE(MID(RIGHT(TRIM(A94),10),4,2)),VALUE(LEFT(RIGHT(TRIM(A94),10),2))),IFERROR(TODAY()-MOD(WEEKDAY(TODAY(),1)-MATCH(TRIM(A94),{"الأحد","الاثنين","الثلاثاء","الأربعاء","الخميس","الجمعة","السبت"},0),7),IFERROR(DATEVALUE(A94),"")))))</f>
        <v/>
      </c>
      <c r="H94" s="0" t="str">
        <f aca="false">IF(G94="","",INT((G94-WEEK_ONE)/7)+1)</f>
        <v/>
      </c>
      <c r="I94" s="0" t="str">
        <f aca="false">IF(H94="","",IF(OR(H94&lt;1,H94&gt;NW),"",INDEX(WMON,H94)))</f>
        <v/>
      </c>
      <c r="J94" s="0" t="str">
        <f aca="false">IF(OR(G94="",H94="",C94=""),"",IF(C94="عمر المصري",SUMIFS('ساعات عمر'!$H$5:$H$746,'ساعات عمر'!$A$5:$A$746,"&gt;="&amp;(WEEK_ONE+7*(H94-1)),'ساعات عمر'!$A$5:$A$746,"&lt;="&amp;G94),SUMIFS('ساعات عبدالعزيز'!$F$5:$F$746,'ساعات عبدالعزيز'!$A$5:$A$746,"&gt;="&amp;(WEEK_ONE+7*(H94-1)),'ساعات عبدالعزيز'!$A$5:$A$746,"&lt;="&amp;G94)))</f>
        <v/>
      </c>
    </row>
    <row r="95" customFormat="false" ht="15" hidden="false" customHeight="false" outlineLevel="0" collapsed="false">
      <c r="A95" s="43"/>
      <c r="B95" s="23" t="str">
        <f aca="false">IF(G95="","",CHOOSE(WEEKDAY(G95,1),"الأحد","الاثنين","الثلاثاء","الأربعاء","الخميس","الجمعة","السبت")&amp;IF(OR(ISNUMBER(A95),LEN(TRIM(A95))&gt;=10),"","  "&amp;TEXT(DAY(G95),"00")&amp;"/"&amp;TEXT(MONTH(G95),"00")&amp;"/"&amp;YEAR(G95)))</f>
        <v/>
      </c>
      <c r="C95" s="24"/>
      <c r="D95" s="44"/>
      <c r="E95" s="27"/>
      <c r="F95" s="45" t="str">
        <f aca="false">IF(A95="","",IF(G95="","⛔ التاريخ غلط — اختاره من القائمة أو اكتبه كامل 05/10/2026",IF(OR(H95&lt;1,H95&gt;NW),"⛔ التاريخ برّا السنة",IF(AND(N(D95)&gt;0,N(J95)&gt;0,D95&gt;ADV_CAP*J95),"⚠️ أكثر من "&amp;TEXT(ADV_CAP,"0%")&amp;" من شغله ("&amp;TEXT(J95,"0.000")&amp;")",""))))</f>
        <v/>
      </c>
      <c r="G95" s="0" t="str">
        <f aca="true">IF(A95="","",IF(ISNUMBER(A95),IF(A95&gt;=36526,A95,""),IFERROR(DATE(VALUE(RIGHT(RIGHT(TRIM(A95),10),4)),VALUE(MID(RIGHT(TRIM(A95),10),4,2)),VALUE(LEFT(RIGHT(TRIM(A95),10),2))),IFERROR(TODAY()-MOD(WEEKDAY(TODAY(),1)-MATCH(TRIM(A95),{"الأحد","الاثنين","الثلاثاء","الأربعاء","الخميس","الجمعة","السبت"},0),7),IFERROR(DATEVALUE(A95),"")))))</f>
        <v/>
      </c>
      <c r="H95" s="0" t="str">
        <f aca="false">IF(G95="","",INT((G95-WEEK_ONE)/7)+1)</f>
        <v/>
      </c>
      <c r="I95" s="0" t="str">
        <f aca="false">IF(H95="","",IF(OR(H95&lt;1,H95&gt;NW),"",INDEX(WMON,H95)))</f>
        <v/>
      </c>
      <c r="J95" s="0" t="str">
        <f aca="false">IF(OR(G95="",H95="",C95=""),"",IF(C95="عمر المصري",SUMIFS('ساعات عمر'!$H$5:$H$746,'ساعات عمر'!$A$5:$A$746,"&gt;="&amp;(WEEK_ONE+7*(H95-1)),'ساعات عمر'!$A$5:$A$746,"&lt;="&amp;G95),SUMIFS('ساعات عبدالعزيز'!$F$5:$F$746,'ساعات عبدالعزيز'!$A$5:$A$746,"&gt;="&amp;(WEEK_ONE+7*(H95-1)),'ساعات عبدالعزيز'!$A$5:$A$746,"&lt;="&amp;G95)))</f>
        <v/>
      </c>
    </row>
    <row r="96" customFormat="false" ht="15" hidden="false" customHeight="false" outlineLevel="0" collapsed="false">
      <c r="A96" s="43"/>
      <c r="B96" s="23" t="str">
        <f aca="false">IF(G96="","",CHOOSE(WEEKDAY(G96,1),"الأحد","الاثنين","الثلاثاء","الأربعاء","الخميس","الجمعة","السبت")&amp;IF(OR(ISNUMBER(A96),LEN(TRIM(A96))&gt;=10),"","  "&amp;TEXT(DAY(G96),"00")&amp;"/"&amp;TEXT(MONTH(G96),"00")&amp;"/"&amp;YEAR(G96)))</f>
        <v/>
      </c>
      <c r="C96" s="24"/>
      <c r="D96" s="44"/>
      <c r="E96" s="27"/>
      <c r="F96" s="45" t="str">
        <f aca="false">IF(A96="","",IF(G96="","⛔ التاريخ غلط — اختاره من القائمة أو اكتبه كامل 05/10/2026",IF(OR(H96&lt;1,H96&gt;NW),"⛔ التاريخ برّا السنة",IF(AND(N(D96)&gt;0,N(J96)&gt;0,D96&gt;ADV_CAP*J96),"⚠️ أكثر من "&amp;TEXT(ADV_CAP,"0%")&amp;" من شغله ("&amp;TEXT(J96,"0.000")&amp;")",""))))</f>
        <v/>
      </c>
      <c r="G96" s="0" t="str">
        <f aca="true">IF(A96="","",IF(ISNUMBER(A96),IF(A96&gt;=36526,A96,""),IFERROR(DATE(VALUE(RIGHT(RIGHT(TRIM(A96),10),4)),VALUE(MID(RIGHT(TRIM(A96),10),4,2)),VALUE(LEFT(RIGHT(TRIM(A96),10),2))),IFERROR(TODAY()-MOD(WEEKDAY(TODAY(),1)-MATCH(TRIM(A96),{"الأحد","الاثنين","الثلاثاء","الأربعاء","الخميس","الجمعة","السبت"},0),7),IFERROR(DATEVALUE(A96),"")))))</f>
        <v/>
      </c>
      <c r="H96" s="0" t="str">
        <f aca="false">IF(G96="","",INT((G96-WEEK_ONE)/7)+1)</f>
        <v/>
      </c>
      <c r="I96" s="0" t="str">
        <f aca="false">IF(H96="","",IF(OR(H96&lt;1,H96&gt;NW),"",INDEX(WMON,H96)))</f>
        <v/>
      </c>
      <c r="J96" s="0" t="str">
        <f aca="false">IF(OR(G96="",H96="",C96=""),"",IF(C96="عمر المصري",SUMIFS('ساعات عمر'!$H$5:$H$746,'ساعات عمر'!$A$5:$A$746,"&gt;="&amp;(WEEK_ONE+7*(H96-1)),'ساعات عمر'!$A$5:$A$746,"&lt;="&amp;G96),SUMIFS('ساعات عبدالعزيز'!$F$5:$F$746,'ساعات عبدالعزيز'!$A$5:$A$746,"&gt;="&amp;(WEEK_ONE+7*(H96-1)),'ساعات عبدالعزيز'!$A$5:$A$746,"&lt;="&amp;G96)))</f>
        <v/>
      </c>
    </row>
    <row r="97" customFormat="false" ht="15" hidden="false" customHeight="false" outlineLevel="0" collapsed="false">
      <c r="A97" s="43"/>
      <c r="B97" s="23" t="str">
        <f aca="false">IF(G97="","",CHOOSE(WEEKDAY(G97,1),"الأحد","الاثنين","الثلاثاء","الأربعاء","الخميس","الجمعة","السبت")&amp;IF(OR(ISNUMBER(A97),LEN(TRIM(A97))&gt;=10),"","  "&amp;TEXT(DAY(G97),"00")&amp;"/"&amp;TEXT(MONTH(G97),"00")&amp;"/"&amp;YEAR(G97)))</f>
        <v/>
      </c>
      <c r="C97" s="24"/>
      <c r="D97" s="44"/>
      <c r="E97" s="27"/>
      <c r="F97" s="45" t="str">
        <f aca="false">IF(A97="","",IF(G97="","⛔ التاريخ غلط — اختاره من القائمة أو اكتبه كامل 05/10/2026",IF(OR(H97&lt;1,H97&gt;NW),"⛔ التاريخ برّا السنة",IF(AND(N(D97)&gt;0,N(J97)&gt;0,D97&gt;ADV_CAP*J97),"⚠️ أكثر من "&amp;TEXT(ADV_CAP,"0%")&amp;" من شغله ("&amp;TEXT(J97,"0.000")&amp;")",""))))</f>
        <v/>
      </c>
      <c r="G97" s="0" t="str">
        <f aca="true">IF(A97="","",IF(ISNUMBER(A97),IF(A97&gt;=36526,A97,""),IFERROR(DATE(VALUE(RIGHT(RIGHT(TRIM(A97),10),4)),VALUE(MID(RIGHT(TRIM(A97),10),4,2)),VALUE(LEFT(RIGHT(TRIM(A97),10),2))),IFERROR(TODAY()-MOD(WEEKDAY(TODAY(),1)-MATCH(TRIM(A97),{"الأحد","الاثنين","الثلاثاء","الأربعاء","الخميس","الجمعة","السبت"},0),7),IFERROR(DATEVALUE(A97),"")))))</f>
        <v/>
      </c>
      <c r="H97" s="0" t="str">
        <f aca="false">IF(G97="","",INT((G97-WEEK_ONE)/7)+1)</f>
        <v/>
      </c>
      <c r="I97" s="0" t="str">
        <f aca="false">IF(H97="","",IF(OR(H97&lt;1,H97&gt;NW),"",INDEX(WMON,H97)))</f>
        <v/>
      </c>
      <c r="J97" s="0" t="str">
        <f aca="false">IF(OR(G97="",H97="",C97=""),"",IF(C97="عمر المصري",SUMIFS('ساعات عمر'!$H$5:$H$746,'ساعات عمر'!$A$5:$A$746,"&gt;="&amp;(WEEK_ONE+7*(H97-1)),'ساعات عمر'!$A$5:$A$746,"&lt;="&amp;G97),SUMIFS('ساعات عبدالعزيز'!$F$5:$F$746,'ساعات عبدالعزيز'!$A$5:$A$746,"&gt;="&amp;(WEEK_ONE+7*(H97-1)),'ساعات عبدالعزيز'!$A$5:$A$746,"&lt;="&amp;G97)))</f>
        <v/>
      </c>
    </row>
    <row r="98" customFormat="false" ht="15" hidden="false" customHeight="false" outlineLevel="0" collapsed="false">
      <c r="A98" s="43"/>
      <c r="B98" s="23" t="str">
        <f aca="false">IF(G98="","",CHOOSE(WEEKDAY(G98,1),"الأحد","الاثنين","الثلاثاء","الأربعاء","الخميس","الجمعة","السبت")&amp;IF(OR(ISNUMBER(A98),LEN(TRIM(A98))&gt;=10),"","  "&amp;TEXT(DAY(G98),"00")&amp;"/"&amp;TEXT(MONTH(G98),"00")&amp;"/"&amp;YEAR(G98)))</f>
        <v/>
      </c>
      <c r="C98" s="24"/>
      <c r="D98" s="44"/>
      <c r="E98" s="27"/>
      <c r="F98" s="45" t="str">
        <f aca="false">IF(A98="","",IF(G98="","⛔ التاريخ غلط — اختاره من القائمة أو اكتبه كامل 05/10/2026",IF(OR(H98&lt;1,H98&gt;NW),"⛔ التاريخ برّا السنة",IF(AND(N(D98)&gt;0,N(J98)&gt;0,D98&gt;ADV_CAP*J98),"⚠️ أكثر من "&amp;TEXT(ADV_CAP,"0%")&amp;" من شغله ("&amp;TEXT(J98,"0.000")&amp;")",""))))</f>
        <v/>
      </c>
      <c r="G98" s="0" t="str">
        <f aca="true">IF(A98="","",IF(ISNUMBER(A98),IF(A98&gt;=36526,A98,""),IFERROR(DATE(VALUE(RIGHT(RIGHT(TRIM(A98),10),4)),VALUE(MID(RIGHT(TRIM(A98),10),4,2)),VALUE(LEFT(RIGHT(TRIM(A98),10),2))),IFERROR(TODAY()-MOD(WEEKDAY(TODAY(),1)-MATCH(TRIM(A98),{"الأحد","الاثنين","الثلاثاء","الأربعاء","الخميس","الجمعة","السبت"},0),7),IFERROR(DATEVALUE(A98),"")))))</f>
        <v/>
      </c>
      <c r="H98" s="0" t="str">
        <f aca="false">IF(G98="","",INT((G98-WEEK_ONE)/7)+1)</f>
        <v/>
      </c>
      <c r="I98" s="0" t="str">
        <f aca="false">IF(H98="","",IF(OR(H98&lt;1,H98&gt;NW),"",INDEX(WMON,H98)))</f>
        <v/>
      </c>
      <c r="J98" s="0" t="str">
        <f aca="false">IF(OR(G98="",H98="",C98=""),"",IF(C98="عمر المصري",SUMIFS('ساعات عمر'!$H$5:$H$746,'ساعات عمر'!$A$5:$A$746,"&gt;="&amp;(WEEK_ONE+7*(H98-1)),'ساعات عمر'!$A$5:$A$746,"&lt;="&amp;G98),SUMIFS('ساعات عبدالعزيز'!$F$5:$F$746,'ساعات عبدالعزيز'!$A$5:$A$746,"&gt;="&amp;(WEEK_ONE+7*(H98-1)),'ساعات عبدالعزيز'!$A$5:$A$746,"&lt;="&amp;G98)))</f>
        <v/>
      </c>
    </row>
    <row r="99" customFormat="false" ht="15" hidden="false" customHeight="false" outlineLevel="0" collapsed="false">
      <c r="A99" s="43"/>
      <c r="B99" s="23" t="str">
        <f aca="false">IF(G99="","",CHOOSE(WEEKDAY(G99,1),"الأحد","الاثنين","الثلاثاء","الأربعاء","الخميس","الجمعة","السبت")&amp;IF(OR(ISNUMBER(A99),LEN(TRIM(A99))&gt;=10),"","  "&amp;TEXT(DAY(G99),"00")&amp;"/"&amp;TEXT(MONTH(G99),"00")&amp;"/"&amp;YEAR(G99)))</f>
        <v/>
      </c>
      <c r="C99" s="24"/>
      <c r="D99" s="44"/>
      <c r="E99" s="27"/>
      <c r="F99" s="45" t="str">
        <f aca="false">IF(A99="","",IF(G99="","⛔ التاريخ غلط — اختاره من القائمة أو اكتبه كامل 05/10/2026",IF(OR(H99&lt;1,H99&gt;NW),"⛔ التاريخ برّا السنة",IF(AND(N(D99)&gt;0,N(J99)&gt;0,D99&gt;ADV_CAP*J99),"⚠️ أكثر من "&amp;TEXT(ADV_CAP,"0%")&amp;" من شغله ("&amp;TEXT(J99,"0.000")&amp;")",""))))</f>
        <v/>
      </c>
      <c r="G99" s="0" t="str">
        <f aca="true">IF(A99="","",IF(ISNUMBER(A99),IF(A99&gt;=36526,A99,""),IFERROR(DATE(VALUE(RIGHT(RIGHT(TRIM(A99),10),4)),VALUE(MID(RIGHT(TRIM(A99),10),4,2)),VALUE(LEFT(RIGHT(TRIM(A99),10),2))),IFERROR(TODAY()-MOD(WEEKDAY(TODAY(),1)-MATCH(TRIM(A99),{"الأحد","الاثنين","الثلاثاء","الأربعاء","الخميس","الجمعة","السبت"},0),7),IFERROR(DATEVALUE(A99),"")))))</f>
        <v/>
      </c>
      <c r="H99" s="0" t="str">
        <f aca="false">IF(G99="","",INT((G99-WEEK_ONE)/7)+1)</f>
        <v/>
      </c>
      <c r="I99" s="0" t="str">
        <f aca="false">IF(H99="","",IF(OR(H99&lt;1,H99&gt;NW),"",INDEX(WMON,H99)))</f>
        <v/>
      </c>
      <c r="J99" s="0" t="str">
        <f aca="false">IF(OR(G99="",H99="",C99=""),"",IF(C99="عمر المصري",SUMIFS('ساعات عمر'!$H$5:$H$746,'ساعات عمر'!$A$5:$A$746,"&gt;="&amp;(WEEK_ONE+7*(H99-1)),'ساعات عمر'!$A$5:$A$746,"&lt;="&amp;G99),SUMIFS('ساعات عبدالعزيز'!$F$5:$F$746,'ساعات عبدالعزيز'!$A$5:$A$746,"&gt;="&amp;(WEEK_ONE+7*(H99-1)),'ساعات عبدالعزيز'!$A$5:$A$746,"&lt;="&amp;G99)))</f>
        <v/>
      </c>
    </row>
    <row r="100" customFormat="false" ht="15" hidden="false" customHeight="false" outlineLevel="0" collapsed="false">
      <c r="A100" s="43"/>
      <c r="B100" s="23" t="str">
        <f aca="false">IF(G100="","",CHOOSE(WEEKDAY(G100,1),"الأحد","الاثنين","الثلاثاء","الأربعاء","الخميس","الجمعة","السبت")&amp;IF(OR(ISNUMBER(A100),LEN(TRIM(A100))&gt;=10),"","  "&amp;TEXT(DAY(G100),"00")&amp;"/"&amp;TEXT(MONTH(G100),"00")&amp;"/"&amp;YEAR(G100)))</f>
        <v/>
      </c>
      <c r="C100" s="24"/>
      <c r="D100" s="44"/>
      <c r="E100" s="27"/>
      <c r="F100" s="45" t="str">
        <f aca="false">IF(A100="","",IF(G100="","⛔ التاريخ غلط — اختاره من القائمة أو اكتبه كامل 05/10/2026",IF(OR(H100&lt;1,H100&gt;NW),"⛔ التاريخ برّا السنة",IF(AND(N(D100)&gt;0,N(J100)&gt;0,D100&gt;ADV_CAP*J100),"⚠️ أكثر من "&amp;TEXT(ADV_CAP,"0%")&amp;" من شغله ("&amp;TEXT(J100,"0.000")&amp;")",""))))</f>
        <v/>
      </c>
      <c r="G100" s="0" t="str">
        <f aca="true">IF(A100="","",IF(ISNUMBER(A100),IF(A100&gt;=36526,A100,""),IFERROR(DATE(VALUE(RIGHT(RIGHT(TRIM(A100),10),4)),VALUE(MID(RIGHT(TRIM(A100),10),4,2)),VALUE(LEFT(RIGHT(TRIM(A100),10),2))),IFERROR(TODAY()-MOD(WEEKDAY(TODAY(),1)-MATCH(TRIM(A100),{"الأحد","الاثنين","الثلاثاء","الأربعاء","الخميس","الجمعة","السبت"},0),7),IFERROR(DATEVALUE(A100),"")))))</f>
        <v/>
      </c>
      <c r="H100" s="0" t="str">
        <f aca="false">IF(G100="","",INT((G100-WEEK_ONE)/7)+1)</f>
        <v/>
      </c>
      <c r="I100" s="0" t="str">
        <f aca="false">IF(H100="","",IF(OR(H100&lt;1,H100&gt;NW),"",INDEX(WMON,H100)))</f>
        <v/>
      </c>
      <c r="J100" s="0" t="str">
        <f aca="false">IF(OR(G100="",H100="",C100=""),"",IF(C100="عمر المصري",SUMIFS('ساعات عمر'!$H$5:$H$746,'ساعات عمر'!$A$5:$A$746,"&gt;="&amp;(WEEK_ONE+7*(H100-1)),'ساعات عمر'!$A$5:$A$746,"&lt;="&amp;G100),SUMIFS('ساعات عبدالعزيز'!$F$5:$F$746,'ساعات عبدالعزيز'!$A$5:$A$746,"&gt;="&amp;(WEEK_ONE+7*(H100-1)),'ساعات عبدالعزيز'!$A$5:$A$746,"&lt;="&amp;G100)))</f>
        <v/>
      </c>
    </row>
    <row r="101" customFormat="false" ht="15" hidden="false" customHeight="false" outlineLevel="0" collapsed="false">
      <c r="A101" s="43"/>
      <c r="B101" s="23" t="str">
        <f aca="false">IF(G101="","",CHOOSE(WEEKDAY(G101,1),"الأحد","الاثنين","الثلاثاء","الأربعاء","الخميس","الجمعة","السبت")&amp;IF(OR(ISNUMBER(A101),LEN(TRIM(A101))&gt;=10),"","  "&amp;TEXT(DAY(G101),"00")&amp;"/"&amp;TEXT(MONTH(G101),"00")&amp;"/"&amp;YEAR(G101)))</f>
        <v/>
      </c>
      <c r="C101" s="24"/>
      <c r="D101" s="44"/>
      <c r="E101" s="27"/>
      <c r="F101" s="45" t="str">
        <f aca="false">IF(A101="","",IF(G101="","⛔ التاريخ غلط — اختاره من القائمة أو اكتبه كامل 05/10/2026",IF(OR(H101&lt;1,H101&gt;NW),"⛔ التاريخ برّا السنة",IF(AND(N(D101)&gt;0,N(J101)&gt;0,D101&gt;ADV_CAP*J101),"⚠️ أكثر من "&amp;TEXT(ADV_CAP,"0%")&amp;" من شغله ("&amp;TEXT(J101,"0.000")&amp;")",""))))</f>
        <v/>
      </c>
      <c r="G101" s="0" t="str">
        <f aca="true">IF(A101="","",IF(ISNUMBER(A101),IF(A101&gt;=36526,A101,""),IFERROR(DATE(VALUE(RIGHT(RIGHT(TRIM(A101),10),4)),VALUE(MID(RIGHT(TRIM(A101),10),4,2)),VALUE(LEFT(RIGHT(TRIM(A101),10),2))),IFERROR(TODAY()-MOD(WEEKDAY(TODAY(),1)-MATCH(TRIM(A101),{"الأحد","الاثنين","الثلاثاء","الأربعاء","الخميس","الجمعة","السبت"},0),7),IFERROR(DATEVALUE(A101),"")))))</f>
        <v/>
      </c>
      <c r="H101" s="0" t="str">
        <f aca="false">IF(G101="","",INT((G101-WEEK_ONE)/7)+1)</f>
        <v/>
      </c>
      <c r="I101" s="0" t="str">
        <f aca="false">IF(H101="","",IF(OR(H101&lt;1,H101&gt;NW),"",INDEX(WMON,H101)))</f>
        <v/>
      </c>
      <c r="J101" s="0" t="str">
        <f aca="false">IF(OR(G101="",H101="",C101=""),"",IF(C101="عمر المصري",SUMIFS('ساعات عمر'!$H$5:$H$746,'ساعات عمر'!$A$5:$A$746,"&gt;="&amp;(WEEK_ONE+7*(H101-1)),'ساعات عمر'!$A$5:$A$746,"&lt;="&amp;G101),SUMIFS('ساعات عبدالعزيز'!$F$5:$F$746,'ساعات عبدالعزيز'!$A$5:$A$746,"&gt;="&amp;(WEEK_ONE+7*(H101-1)),'ساعات عبدالعزيز'!$A$5:$A$746,"&lt;="&amp;G101)))</f>
        <v/>
      </c>
    </row>
    <row r="102" customFormat="false" ht="15" hidden="false" customHeight="false" outlineLevel="0" collapsed="false">
      <c r="A102" s="43"/>
      <c r="B102" s="23" t="str">
        <f aca="false">IF(G102="","",CHOOSE(WEEKDAY(G102,1),"الأحد","الاثنين","الثلاثاء","الأربعاء","الخميس","الجمعة","السبت")&amp;IF(OR(ISNUMBER(A102),LEN(TRIM(A102))&gt;=10),"","  "&amp;TEXT(DAY(G102),"00")&amp;"/"&amp;TEXT(MONTH(G102),"00")&amp;"/"&amp;YEAR(G102)))</f>
        <v/>
      </c>
      <c r="C102" s="24"/>
      <c r="D102" s="44"/>
      <c r="E102" s="27"/>
      <c r="F102" s="45" t="str">
        <f aca="false">IF(A102="","",IF(G102="","⛔ التاريخ غلط — اختاره من القائمة أو اكتبه كامل 05/10/2026",IF(OR(H102&lt;1,H102&gt;NW),"⛔ التاريخ برّا السنة",IF(AND(N(D102)&gt;0,N(J102)&gt;0,D102&gt;ADV_CAP*J102),"⚠️ أكثر من "&amp;TEXT(ADV_CAP,"0%")&amp;" من شغله ("&amp;TEXT(J102,"0.000")&amp;")",""))))</f>
        <v/>
      </c>
      <c r="G102" s="0" t="str">
        <f aca="true">IF(A102="","",IF(ISNUMBER(A102),IF(A102&gt;=36526,A102,""),IFERROR(DATE(VALUE(RIGHT(RIGHT(TRIM(A102),10),4)),VALUE(MID(RIGHT(TRIM(A102),10),4,2)),VALUE(LEFT(RIGHT(TRIM(A102),10),2))),IFERROR(TODAY()-MOD(WEEKDAY(TODAY(),1)-MATCH(TRIM(A102),{"الأحد","الاثنين","الثلاثاء","الأربعاء","الخميس","الجمعة","السبت"},0),7),IFERROR(DATEVALUE(A102),"")))))</f>
        <v/>
      </c>
      <c r="H102" s="0" t="str">
        <f aca="false">IF(G102="","",INT((G102-WEEK_ONE)/7)+1)</f>
        <v/>
      </c>
      <c r="I102" s="0" t="str">
        <f aca="false">IF(H102="","",IF(OR(H102&lt;1,H102&gt;NW),"",INDEX(WMON,H102)))</f>
        <v/>
      </c>
      <c r="J102" s="0" t="str">
        <f aca="false">IF(OR(G102="",H102="",C102=""),"",IF(C102="عمر المصري",SUMIFS('ساعات عمر'!$H$5:$H$746,'ساعات عمر'!$A$5:$A$746,"&gt;="&amp;(WEEK_ONE+7*(H102-1)),'ساعات عمر'!$A$5:$A$746,"&lt;="&amp;G102),SUMIFS('ساعات عبدالعزيز'!$F$5:$F$746,'ساعات عبدالعزيز'!$A$5:$A$746,"&gt;="&amp;(WEEK_ONE+7*(H102-1)),'ساعات عبدالعزيز'!$A$5:$A$746,"&lt;="&amp;G102)))</f>
        <v/>
      </c>
    </row>
    <row r="103" customFormat="false" ht="15" hidden="false" customHeight="false" outlineLevel="0" collapsed="false">
      <c r="A103" s="43"/>
      <c r="B103" s="23" t="str">
        <f aca="false">IF(G103="","",CHOOSE(WEEKDAY(G103,1),"الأحد","الاثنين","الثلاثاء","الأربعاء","الخميس","الجمعة","السبت")&amp;IF(OR(ISNUMBER(A103),LEN(TRIM(A103))&gt;=10),"","  "&amp;TEXT(DAY(G103),"00")&amp;"/"&amp;TEXT(MONTH(G103),"00")&amp;"/"&amp;YEAR(G103)))</f>
        <v/>
      </c>
      <c r="C103" s="24"/>
      <c r="D103" s="44"/>
      <c r="E103" s="27"/>
      <c r="F103" s="45" t="str">
        <f aca="false">IF(A103="","",IF(G103="","⛔ التاريخ غلط — اختاره من القائمة أو اكتبه كامل 05/10/2026",IF(OR(H103&lt;1,H103&gt;NW),"⛔ التاريخ برّا السنة",IF(AND(N(D103)&gt;0,N(J103)&gt;0,D103&gt;ADV_CAP*J103),"⚠️ أكثر من "&amp;TEXT(ADV_CAP,"0%")&amp;" من شغله ("&amp;TEXT(J103,"0.000")&amp;")",""))))</f>
        <v/>
      </c>
      <c r="G103" s="0" t="str">
        <f aca="true">IF(A103="","",IF(ISNUMBER(A103),IF(A103&gt;=36526,A103,""),IFERROR(DATE(VALUE(RIGHT(RIGHT(TRIM(A103),10),4)),VALUE(MID(RIGHT(TRIM(A103),10),4,2)),VALUE(LEFT(RIGHT(TRIM(A103),10),2))),IFERROR(TODAY()-MOD(WEEKDAY(TODAY(),1)-MATCH(TRIM(A103),{"الأحد","الاثنين","الثلاثاء","الأربعاء","الخميس","الجمعة","السبت"},0),7),IFERROR(DATEVALUE(A103),"")))))</f>
        <v/>
      </c>
      <c r="H103" s="0" t="str">
        <f aca="false">IF(G103="","",INT((G103-WEEK_ONE)/7)+1)</f>
        <v/>
      </c>
      <c r="I103" s="0" t="str">
        <f aca="false">IF(H103="","",IF(OR(H103&lt;1,H103&gt;NW),"",INDEX(WMON,H103)))</f>
        <v/>
      </c>
      <c r="J103" s="0" t="str">
        <f aca="false">IF(OR(G103="",H103="",C103=""),"",IF(C103="عمر المصري",SUMIFS('ساعات عمر'!$H$5:$H$746,'ساعات عمر'!$A$5:$A$746,"&gt;="&amp;(WEEK_ONE+7*(H103-1)),'ساعات عمر'!$A$5:$A$746,"&lt;="&amp;G103),SUMIFS('ساعات عبدالعزيز'!$F$5:$F$746,'ساعات عبدالعزيز'!$A$5:$A$746,"&gt;="&amp;(WEEK_ONE+7*(H103-1)),'ساعات عبدالعزيز'!$A$5:$A$746,"&lt;="&amp;G103)))</f>
        <v/>
      </c>
    </row>
    <row r="104" customFormat="false" ht="15" hidden="false" customHeight="false" outlineLevel="0" collapsed="false">
      <c r="A104" s="43"/>
      <c r="B104" s="23" t="str">
        <f aca="false">IF(G104="","",CHOOSE(WEEKDAY(G104,1),"الأحد","الاثنين","الثلاثاء","الأربعاء","الخميس","الجمعة","السبت")&amp;IF(OR(ISNUMBER(A104),LEN(TRIM(A104))&gt;=10),"","  "&amp;TEXT(DAY(G104),"00")&amp;"/"&amp;TEXT(MONTH(G104),"00")&amp;"/"&amp;YEAR(G104)))</f>
        <v/>
      </c>
      <c r="C104" s="24"/>
      <c r="D104" s="44"/>
      <c r="E104" s="27"/>
      <c r="F104" s="45" t="str">
        <f aca="false">IF(A104="","",IF(G104="","⛔ التاريخ غلط — اختاره من القائمة أو اكتبه كامل 05/10/2026",IF(OR(H104&lt;1,H104&gt;NW),"⛔ التاريخ برّا السنة",IF(AND(N(D104)&gt;0,N(J104)&gt;0,D104&gt;ADV_CAP*J104),"⚠️ أكثر من "&amp;TEXT(ADV_CAP,"0%")&amp;" من شغله ("&amp;TEXT(J104,"0.000")&amp;")",""))))</f>
        <v/>
      </c>
      <c r="G104" s="0" t="str">
        <f aca="true">IF(A104="","",IF(ISNUMBER(A104),IF(A104&gt;=36526,A104,""),IFERROR(DATE(VALUE(RIGHT(RIGHT(TRIM(A104),10),4)),VALUE(MID(RIGHT(TRIM(A104),10),4,2)),VALUE(LEFT(RIGHT(TRIM(A104),10),2))),IFERROR(TODAY()-MOD(WEEKDAY(TODAY(),1)-MATCH(TRIM(A104),{"الأحد","الاثنين","الثلاثاء","الأربعاء","الخميس","الجمعة","السبت"},0),7),IFERROR(DATEVALUE(A104),"")))))</f>
        <v/>
      </c>
      <c r="H104" s="0" t="str">
        <f aca="false">IF(G104="","",INT((G104-WEEK_ONE)/7)+1)</f>
        <v/>
      </c>
      <c r="I104" s="0" t="str">
        <f aca="false">IF(H104="","",IF(OR(H104&lt;1,H104&gt;NW),"",INDEX(WMON,H104)))</f>
        <v/>
      </c>
      <c r="J104" s="0" t="str">
        <f aca="false">IF(OR(G104="",H104="",C104=""),"",IF(C104="عمر المصري",SUMIFS('ساعات عمر'!$H$5:$H$746,'ساعات عمر'!$A$5:$A$746,"&gt;="&amp;(WEEK_ONE+7*(H104-1)),'ساعات عمر'!$A$5:$A$746,"&lt;="&amp;G104),SUMIFS('ساعات عبدالعزيز'!$F$5:$F$746,'ساعات عبدالعزيز'!$A$5:$A$746,"&gt;="&amp;(WEEK_ONE+7*(H104-1)),'ساعات عبدالعزيز'!$A$5:$A$746,"&lt;="&amp;G104)))</f>
        <v/>
      </c>
    </row>
    <row r="105" customFormat="false" ht="15" hidden="false" customHeight="false" outlineLevel="0" collapsed="false">
      <c r="A105" s="43"/>
      <c r="B105" s="23" t="str">
        <f aca="false">IF(G105="","",CHOOSE(WEEKDAY(G105,1),"الأحد","الاثنين","الثلاثاء","الأربعاء","الخميس","الجمعة","السبت")&amp;IF(OR(ISNUMBER(A105),LEN(TRIM(A105))&gt;=10),"","  "&amp;TEXT(DAY(G105),"00")&amp;"/"&amp;TEXT(MONTH(G105),"00")&amp;"/"&amp;YEAR(G105)))</f>
        <v/>
      </c>
      <c r="C105" s="24"/>
      <c r="D105" s="44"/>
      <c r="E105" s="27"/>
      <c r="F105" s="45" t="str">
        <f aca="false">IF(A105="","",IF(G105="","⛔ التاريخ غلط — اختاره من القائمة أو اكتبه كامل 05/10/2026",IF(OR(H105&lt;1,H105&gt;NW),"⛔ التاريخ برّا السنة",IF(AND(N(D105)&gt;0,N(J105)&gt;0,D105&gt;ADV_CAP*J105),"⚠️ أكثر من "&amp;TEXT(ADV_CAP,"0%")&amp;" من شغله ("&amp;TEXT(J105,"0.000")&amp;")",""))))</f>
        <v/>
      </c>
      <c r="G105" s="0" t="str">
        <f aca="true">IF(A105="","",IF(ISNUMBER(A105),IF(A105&gt;=36526,A105,""),IFERROR(DATE(VALUE(RIGHT(RIGHT(TRIM(A105),10),4)),VALUE(MID(RIGHT(TRIM(A105),10),4,2)),VALUE(LEFT(RIGHT(TRIM(A105),10),2))),IFERROR(TODAY()-MOD(WEEKDAY(TODAY(),1)-MATCH(TRIM(A105),{"الأحد","الاثنين","الثلاثاء","الأربعاء","الخميس","الجمعة","السبت"},0),7),IFERROR(DATEVALUE(A105),"")))))</f>
        <v/>
      </c>
      <c r="H105" s="0" t="str">
        <f aca="false">IF(G105="","",INT((G105-WEEK_ONE)/7)+1)</f>
        <v/>
      </c>
      <c r="I105" s="0" t="str">
        <f aca="false">IF(H105="","",IF(OR(H105&lt;1,H105&gt;NW),"",INDEX(WMON,H105)))</f>
        <v/>
      </c>
      <c r="J105" s="0" t="str">
        <f aca="false">IF(OR(G105="",H105="",C105=""),"",IF(C105="عمر المصري",SUMIFS('ساعات عمر'!$H$5:$H$746,'ساعات عمر'!$A$5:$A$746,"&gt;="&amp;(WEEK_ONE+7*(H105-1)),'ساعات عمر'!$A$5:$A$746,"&lt;="&amp;G105),SUMIFS('ساعات عبدالعزيز'!$F$5:$F$746,'ساعات عبدالعزيز'!$A$5:$A$746,"&gt;="&amp;(WEEK_ONE+7*(H105-1)),'ساعات عبدالعزيز'!$A$5:$A$746,"&lt;="&amp;G105)))</f>
        <v/>
      </c>
    </row>
    <row r="106" customFormat="false" ht="15" hidden="false" customHeight="false" outlineLevel="0" collapsed="false">
      <c r="A106" s="43"/>
      <c r="B106" s="23" t="str">
        <f aca="false">IF(G106="","",CHOOSE(WEEKDAY(G106,1),"الأحد","الاثنين","الثلاثاء","الأربعاء","الخميس","الجمعة","السبت")&amp;IF(OR(ISNUMBER(A106),LEN(TRIM(A106))&gt;=10),"","  "&amp;TEXT(DAY(G106),"00")&amp;"/"&amp;TEXT(MONTH(G106),"00")&amp;"/"&amp;YEAR(G106)))</f>
        <v/>
      </c>
      <c r="C106" s="24"/>
      <c r="D106" s="44"/>
      <c r="E106" s="27"/>
      <c r="F106" s="45" t="str">
        <f aca="false">IF(A106="","",IF(G106="","⛔ التاريخ غلط — اختاره من القائمة أو اكتبه كامل 05/10/2026",IF(OR(H106&lt;1,H106&gt;NW),"⛔ التاريخ برّا السنة",IF(AND(N(D106)&gt;0,N(J106)&gt;0,D106&gt;ADV_CAP*J106),"⚠️ أكثر من "&amp;TEXT(ADV_CAP,"0%")&amp;" من شغله ("&amp;TEXT(J106,"0.000")&amp;")",""))))</f>
        <v/>
      </c>
      <c r="G106" s="0" t="str">
        <f aca="true">IF(A106="","",IF(ISNUMBER(A106),IF(A106&gt;=36526,A106,""),IFERROR(DATE(VALUE(RIGHT(RIGHT(TRIM(A106),10),4)),VALUE(MID(RIGHT(TRIM(A106),10),4,2)),VALUE(LEFT(RIGHT(TRIM(A106),10),2))),IFERROR(TODAY()-MOD(WEEKDAY(TODAY(),1)-MATCH(TRIM(A106),{"الأحد","الاثنين","الثلاثاء","الأربعاء","الخميس","الجمعة","السبت"},0),7),IFERROR(DATEVALUE(A106),"")))))</f>
        <v/>
      </c>
      <c r="H106" s="0" t="str">
        <f aca="false">IF(G106="","",INT((G106-WEEK_ONE)/7)+1)</f>
        <v/>
      </c>
      <c r="I106" s="0" t="str">
        <f aca="false">IF(H106="","",IF(OR(H106&lt;1,H106&gt;NW),"",INDEX(WMON,H106)))</f>
        <v/>
      </c>
      <c r="J106" s="0" t="str">
        <f aca="false">IF(OR(G106="",H106="",C106=""),"",IF(C106="عمر المصري",SUMIFS('ساعات عمر'!$H$5:$H$746,'ساعات عمر'!$A$5:$A$746,"&gt;="&amp;(WEEK_ONE+7*(H106-1)),'ساعات عمر'!$A$5:$A$746,"&lt;="&amp;G106),SUMIFS('ساعات عبدالعزيز'!$F$5:$F$746,'ساعات عبدالعزيز'!$A$5:$A$746,"&gt;="&amp;(WEEK_ONE+7*(H106-1)),'ساعات عبدالعزيز'!$A$5:$A$746,"&lt;="&amp;G106)))</f>
        <v/>
      </c>
    </row>
    <row r="107" customFormat="false" ht="15" hidden="false" customHeight="false" outlineLevel="0" collapsed="false">
      <c r="A107" s="43"/>
      <c r="B107" s="23" t="str">
        <f aca="false">IF(G107="","",CHOOSE(WEEKDAY(G107,1),"الأحد","الاثنين","الثلاثاء","الأربعاء","الخميس","الجمعة","السبت")&amp;IF(OR(ISNUMBER(A107),LEN(TRIM(A107))&gt;=10),"","  "&amp;TEXT(DAY(G107),"00")&amp;"/"&amp;TEXT(MONTH(G107),"00")&amp;"/"&amp;YEAR(G107)))</f>
        <v/>
      </c>
      <c r="C107" s="24"/>
      <c r="D107" s="44"/>
      <c r="E107" s="27"/>
      <c r="F107" s="45" t="str">
        <f aca="false">IF(A107="","",IF(G107="","⛔ التاريخ غلط — اختاره من القائمة أو اكتبه كامل 05/10/2026",IF(OR(H107&lt;1,H107&gt;NW),"⛔ التاريخ برّا السنة",IF(AND(N(D107)&gt;0,N(J107)&gt;0,D107&gt;ADV_CAP*J107),"⚠️ أكثر من "&amp;TEXT(ADV_CAP,"0%")&amp;" من شغله ("&amp;TEXT(J107,"0.000")&amp;")",""))))</f>
        <v/>
      </c>
      <c r="G107" s="0" t="str">
        <f aca="true">IF(A107="","",IF(ISNUMBER(A107),IF(A107&gt;=36526,A107,""),IFERROR(DATE(VALUE(RIGHT(RIGHT(TRIM(A107),10),4)),VALUE(MID(RIGHT(TRIM(A107),10),4,2)),VALUE(LEFT(RIGHT(TRIM(A107),10),2))),IFERROR(TODAY()-MOD(WEEKDAY(TODAY(),1)-MATCH(TRIM(A107),{"الأحد","الاثنين","الثلاثاء","الأربعاء","الخميس","الجمعة","السبت"},0),7),IFERROR(DATEVALUE(A107),"")))))</f>
        <v/>
      </c>
      <c r="H107" s="0" t="str">
        <f aca="false">IF(G107="","",INT((G107-WEEK_ONE)/7)+1)</f>
        <v/>
      </c>
      <c r="I107" s="0" t="str">
        <f aca="false">IF(H107="","",IF(OR(H107&lt;1,H107&gt;NW),"",INDEX(WMON,H107)))</f>
        <v/>
      </c>
      <c r="J107" s="0" t="str">
        <f aca="false">IF(OR(G107="",H107="",C107=""),"",IF(C107="عمر المصري",SUMIFS('ساعات عمر'!$H$5:$H$746,'ساعات عمر'!$A$5:$A$746,"&gt;="&amp;(WEEK_ONE+7*(H107-1)),'ساعات عمر'!$A$5:$A$746,"&lt;="&amp;G107),SUMIFS('ساعات عبدالعزيز'!$F$5:$F$746,'ساعات عبدالعزيز'!$A$5:$A$746,"&gt;="&amp;(WEEK_ONE+7*(H107-1)),'ساعات عبدالعزيز'!$A$5:$A$746,"&lt;="&amp;G107)))</f>
        <v/>
      </c>
    </row>
    <row r="108" customFormat="false" ht="15" hidden="false" customHeight="false" outlineLevel="0" collapsed="false">
      <c r="A108" s="43"/>
      <c r="B108" s="23" t="str">
        <f aca="false">IF(G108="","",CHOOSE(WEEKDAY(G108,1),"الأحد","الاثنين","الثلاثاء","الأربعاء","الخميس","الجمعة","السبت")&amp;IF(OR(ISNUMBER(A108),LEN(TRIM(A108))&gt;=10),"","  "&amp;TEXT(DAY(G108),"00")&amp;"/"&amp;TEXT(MONTH(G108),"00")&amp;"/"&amp;YEAR(G108)))</f>
        <v/>
      </c>
      <c r="C108" s="24"/>
      <c r="D108" s="44"/>
      <c r="E108" s="27"/>
      <c r="F108" s="45" t="str">
        <f aca="false">IF(A108="","",IF(G108="","⛔ التاريخ غلط — اختاره من القائمة أو اكتبه كامل 05/10/2026",IF(OR(H108&lt;1,H108&gt;NW),"⛔ التاريخ برّا السنة",IF(AND(N(D108)&gt;0,N(J108)&gt;0,D108&gt;ADV_CAP*J108),"⚠️ أكثر من "&amp;TEXT(ADV_CAP,"0%")&amp;" من شغله ("&amp;TEXT(J108,"0.000")&amp;")",""))))</f>
        <v/>
      </c>
      <c r="G108" s="0" t="str">
        <f aca="true">IF(A108="","",IF(ISNUMBER(A108),IF(A108&gt;=36526,A108,""),IFERROR(DATE(VALUE(RIGHT(RIGHT(TRIM(A108),10),4)),VALUE(MID(RIGHT(TRIM(A108),10),4,2)),VALUE(LEFT(RIGHT(TRIM(A108),10),2))),IFERROR(TODAY()-MOD(WEEKDAY(TODAY(),1)-MATCH(TRIM(A108),{"الأحد","الاثنين","الثلاثاء","الأربعاء","الخميس","الجمعة","السبت"},0),7),IFERROR(DATEVALUE(A108),"")))))</f>
        <v/>
      </c>
      <c r="H108" s="0" t="str">
        <f aca="false">IF(G108="","",INT((G108-WEEK_ONE)/7)+1)</f>
        <v/>
      </c>
      <c r="I108" s="0" t="str">
        <f aca="false">IF(H108="","",IF(OR(H108&lt;1,H108&gt;NW),"",INDEX(WMON,H108)))</f>
        <v/>
      </c>
      <c r="J108" s="0" t="str">
        <f aca="false">IF(OR(G108="",H108="",C108=""),"",IF(C108="عمر المصري",SUMIFS('ساعات عمر'!$H$5:$H$746,'ساعات عمر'!$A$5:$A$746,"&gt;="&amp;(WEEK_ONE+7*(H108-1)),'ساعات عمر'!$A$5:$A$746,"&lt;="&amp;G108),SUMIFS('ساعات عبدالعزيز'!$F$5:$F$746,'ساعات عبدالعزيز'!$A$5:$A$746,"&gt;="&amp;(WEEK_ONE+7*(H108-1)),'ساعات عبدالعزيز'!$A$5:$A$746,"&lt;="&amp;G108)))</f>
        <v/>
      </c>
    </row>
    <row r="109" customFormat="false" ht="15" hidden="false" customHeight="false" outlineLevel="0" collapsed="false">
      <c r="A109" s="43"/>
      <c r="B109" s="23" t="str">
        <f aca="false">IF(G109="","",CHOOSE(WEEKDAY(G109,1),"الأحد","الاثنين","الثلاثاء","الأربعاء","الخميس","الجمعة","السبت")&amp;IF(OR(ISNUMBER(A109),LEN(TRIM(A109))&gt;=10),"","  "&amp;TEXT(DAY(G109),"00")&amp;"/"&amp;TEXT(MONTH(G109),"00")&amp;"/"&amp;YEAR(G109)))</f>
        <v/>
      </c>
      <c r="C109" s="24"/>
      <c r="D109" s="44"/>
      <c r="E109" s="27"/>
      <c r="F109" s="45" t="str">
        <f aca="false">IF(A109="","",IF(G109="","⛔ التاريخ غلط — اختاره من القائمة أو اكتبه كامل 05/10/2026",IF(OR(H109&lt;1,H109&gt;NW),"⛔ التاريخ برّا السنة",IF(AND(N(D109)&gt;0,N(J109)&gt;0,D109&gt;ADV_CAP*J109),"⚠️ أكثر من "&amp;TEXT(ADV_CAP,"0%")&amp;" من شغله ("&amp;TEXT(J109,"0.000")&amp;")",""))))</f>
        <v/>
      </c>
      <c r="G109" s="0" t="str">
        <f aca="true">IF(A109="","",IF(ISNUMBER(A109),IF(A109&gt;=36526,A109,""),IFERROR(DATE(VALUE(RIGHT(RIGHT(TRIM(A109),10),4)),VALUE(MID(RIGHT(TRIM(A109),10),4,2)),VALUE(LEFT(RIGHT(TRIM(A109),10),2))),IFERROR(TODAY()-MOD(WEEKDAY(TODAY(),1)-MATCH(TRIM(A109),{"الأحد","الاثنين","الثلاثاء","الأربعاء","الخميس","الجمعة","السبت"},0),7),IFERROR(DATEVALUE(A109),"")))))</f>
        <v/>
      </c>
      <c r="H109" s="0" t="str">
        <f aca="false">IF(G109="","",INT((G109-WEEK_ONE)/7)+1)</f>
        <v/>
      </c>
      <c r="I109" s="0" t="str">
        <f aca="false">IF(H109="","",IF(OR(H109&lt;1,H109&gt;NW),"",INDEX(WMON,H109)))</f>
        <v/>
      </c>
      <c r="J109" s="0" t="str">
        <f aca="false">IF(OR(G109="",H109="",C109=""),"",IF(C109="عمر المصري",SUMIFS('ساعات عمر'!$H$5:$H$746,'ساعات عمر'!$A$5:$A$746,"&gt;="&amp;(WEEK_ONE+7*(H109-1)),'ساعات عمر'!$A$5:$A$746,"&lt;="&amp;G109),SUMIFS('ساعات عبدالعزيز'!$F$5:$F$746,'ساعات عبدالعزيز'!$A$5:$A$746,"&gt;="&amp;(WEEK_ONE+7*(H109-1)),'ساعات عبدالعزيز'!$A$5:$A$746,"&lt;="&amp;G109)))</f>
        <v/>
      </c>
    </row>
    <row r="110" customFormat="false" ht="15" hidden="false" customHeight="false" outlineLevel="0" collapsed="false">
      <c r="A110" s="43"/>
      <c r="B110" s="23" t="str">
        <f aca="false">IF(G110="","",CHOOSE(WEEKDAY(G110,1),"الأحد","الاثنين","الثلاثاء","الأربعاء","الخميس","الجمعة","السبت")&amp;IF(OR(ISNUMBER(A110),LEN(TRIM(A110))&gt;=10),"","  "&amp;TEXT(DAY(G110),"00")&amp;"/"&amp;TEXT(MONTH(G110),"00")&amp;"/"&amp;YEAR(G110)))</f>
        <v/>
      </c>
      <c r="C110" s="24"/>
      <c r="D110" s="44"/>
      <c r="E110" s="27"/>
      <c r="F110" s="45" t="str">
        <f aca="false">IF(A110="","",IF(G110="","⛔ التاريخ غلط — اختاره من القائمة أو اكتبه كامل 05/10/2026",IF(OR(H110&lt;1,H110&gt;NW),"⛔ التاريخ برّا السنة",IF(AND(N(D110)&gt;0,N(J110)&gt;0,D110&gt;ADV_CAP*J110),"⚠️ أكثر من "&amp;TEXT(ADV_CAP,"0%")&amp;" من شغله ("&amp;TEXT(J110,"0.000")&amp;")",""))))</f>
        <v/>
      </c>
      <c r="G110" s="0" t="str">
        <f aca="true">IF(A110="","",IF(ISNUMBER(A110),IF(A110&gt;=36526,A110,""),IFERROR(DATE(VALUE(RIGHT(RIGHT(TRIM(A110),10),4)),VALUE(MID(RIGHT(TRIM(A110),10),4,2)),VALUE(LEFT(RIGHT(TRIM(A110),10),2))),IFERROR(TODAY()-MOD(WEEKDAY(TODAY(),1)-MATCH(TRIM(A110),{"الأحد","الاثنين","الثلاثاء","الأربعاء","الخميس","الجمعة","السبت"},0),7),IFERROR(DATEVALUE(A110),"")))))</f>
        <v/>
      </c>
      <c r="H110" s="0" t="str">
        <f aca="false">IF(G110="","",INT((G110-WEEK_ONE)/7)+1)</f>
        <v/>
      </c>
      <c r="I110" s="0" t="str">
        <f aca="false">IF(H110="","",IF(OR(H110&lt;1,H110&gt;NW),"",INDEX(WMON,H110)))</f>
        <v/>
      </c>
      <c r="J110" s="0" t="str">
        <f aca="false">IF(OR(G110="",H110="",C110=""),"",IF(C110="عمر المصري",SUMIFS('ساعات عمر'!$H$5:$H$746,'ساعات عمر'!$A$5:$A$746,"&gt;="&amp;(WEEK_ONE+7*(H110-1)),'ساعات عمر'!$A$5:$A$746,"&lt;="&amp;G110),SUMIFS('ساعات عبدالعزيز'!$F$5:$F$746,'ساعات عبدالعزيز'!$A$5:$A$746,"&gt;="&amp;(WEEK_ONE+7*(H110-1)),'ساعات عبدالعزيز'!$A$5:$A$746,"&lt;="&amp;G110)))</f>
        <v/>
      </c>
    </row>
    <row r="111" customFormat="false" ht="15" hidden="false" customHeight="false" outlineLevel="0" collapsed="false">
      <c r="A111" s="43"/>
      <c r="B111" s="23" t="str">
        <f aca="false">IF(G111="","",CHOOSE(WEEKDAY(G111,1),"الأحد","الاثنين","الثلاثاء","الأربعاء","الخميس","الجمعة","السبت")&amp;IF(OR(ISNUMBER(A111),LEN(TRIM(A111))&gt;=10),"","  "&amp;TEXT(DAY(G111),"00")&amp;"/"&amp;TEXT(MONTH(G111),"00")&amp;"/"&amp;YEAR(G111)))</f>
        <v/>
      </c>
      <c r="C111" s="24"/>
      <c r="D111" s="44"/>
      <c r="E111" s="27"/>
      <c r="F111" s="45" t="str">
        <f aca="false">IF(A111="","",IF(G111="","⛔ التاريخ غلط — اختاره من القائمة أو اكتبه كامل 05/10/2026",IF(OR(H111&lt;1,H111&gt;NW),"⛔ التاريخ برّا السنة",IF(AND(N(D111)&gt;0,N(J111)&gt;0,D111&gt;ADV_CAP*J111),"⚠️ أكثر من "&amp;TEXT(ADV_CAP,"0%")&amp;" من شغله ("&amp;TEXT(J111,"0.000")&amp;")",""))))</f>
        <v/>
      </c>
      <c r="G111" s="0" t="str">
        <f aca="true">IF(A111="","",IF(ISNUMBER(A111),IF(A111&gt;=36526,A111,""),IFERROR(DATE(VALUE(RIGHT(RIGHT(TRIM(A111),10),4)),VALUE(MID(RIGHT(TRIM(A111),10),4,2)),VALUE(LEFT(RIGHT(TRIM(A111),10),2))),IFERROR(TODAY()-MOD(WEEKDAY(TODAY(),1)-MATCH(TRIM(A111),{"الأحد","الاثنين","الثلاثاء","الأربعاء","الخميس","الجمعة","السبت"},0),7),IFERROR(DATEVALUE(A111),"")))))</f>
        <v/>
      </c>
      <c r="H111" s="0" t="str">
        <f aca="false">IF(G111="","",INT((G111-WEEK_ONE)/7)+1)</f>
        <v/>
      </c>
      <c r="I111" s="0" t="str">
        <f aca="false">IF(H111="","",IF(OR(H111&lt;1,H111&gt;NW),"",INDEX(WMON,H111)))</f>
        <v/>
      </c>
      <c r="J111" s="0" t="str">
        <f aca="false">IF(OR(G111="",H111="",C111=""),"",IF(C111="عمر المصري",SUMIFS('ساعات عمر'!$H$5:$H$746,'ساعات عمر'!$A$5:$A$746,"&gt;="&amp;(WEEK_ONE+7*(H111-1)),'ساعات عمر'!$A$5:$A$746,"&lt;="&amp;G111),SUMIFS('ساعات عبدالعزيز'!$F$5:$F$746,'ساعات عبدالعزيز'!$A$5:$A$746,"&gt;="&amp;(WEEK_ONE+7*(H111-1)),'ساعات عبدالعزيز'!$A$5:$A$746,"&lt;="&amp;G111)))</f>
        <v/>
      </c>
    </row>
    <row r="112" customFormat="false" ht="15" hidden="false" customHeight="false" outlineLevel="0" collapsed="false">
      <c r="A112" s="43"/>
      <c r="B112" s="23" t="str">
        <f aca="false">IF(G112="","",CHOOSE(WEEKDAY(G112,1),"الأحد","الاثنين","الثلاثاء","الأربعاء","الخميس","الجمعة","السبت")&amp;IF(OR(ISNUMBER(A112),LEN(TRIM(A112))&gt;=10),"","  "&amp;TEXT(DAY(G112),"00")&amp;"/"&amp;TEXT(MONTH(G112),"00")&amp;"/"&amp;YEAR(G112)))</f>
        <v/>
      </c>
      <c r="C112" s="24"/>
      <c r="D112" s="44"/>
      <c r="E112" s="27"/>
      <c r="F112" s="45" t="str">
        <f aca="false">IF(A112="","",IF(G112="","⛔ التاريخ غلط — اختاره من القائمة أو اكتبه كامل 05/10/2026",IF(OR(H112&lt;1,H112&gt;NW),"⛔ التاريخ برّا السنة",IF(AND(N(D112)&gt;0,N(J112)&gt;0,D112&gt;ADV_CAP*J112),"⚠️ أكثر من "&amp;TEXT(ADV_CAP,"0%")&amp;" من شغله ("&amp;TEXT(J112,"0.000")&amp;")",""))))</f>
        <v/>
      </c>
      <c r="G112" s="0" t="str">
        <f aca="true">IF(A112="","",IF(ISNUMBER(A112),IF(A112&gt;=36526,A112,""),IFERROR(DATE(VALUE(RIGHT(RIGHT(TRIM(A112),10),4)),VALUE(MID(RIGHT(TRIM(A112),10),4,2)),VALUE(LEFT(RIGHT(TRIM(A112),10),2))),IFERROR(TODAY()-MOD(WEEKDAY(TODAY(),1)-MATCH(TRIM(A112),{"الأحد","الاثنين","الثلاثاء","الأربعاء","الخميس","الجمعة","السبت"},0),7),IFERROR(DATEVALUE(A112),"")))))</f>
        <v/>
      </c>
      <c r="H112" s="0" t="str">
        <f aca="false">IF(G112="","",INT((G112-WEEK_ONE)/7)+1)</f>
        <v/>
      </c>
      <c r="I112" s="0" t="str">
        <f aca="false">IF(H112="","",IF(OR(H112&lt;1,H112&gt;NW),"",INDEX(WMON,H112)))</f>
        <v/>
      </c>
      <c r="J112" s="0" t="str">
        <f aca="false">IF(OR(G112="",H112="",C112=""),"",IF(C112="عمر المصري",SUMIFS('ساعات عمر'!$H$5:$H$746,'ساعات عمر'!$A$5:$A$746,"&gt;="&amp;(WEEK_ONE+7*(H112-1)),'ساعات عمر'!$A$5:$A$746,"&lt;="&amp;G112),SUMIFS('ساعات عبدالعزيز'!$F$5:$F$746,'ساعات عبدالعزيز'!$A$5:$A$746,"&gt;="&amp;(WEEK_ONE+7*(H112-1)),'ساعات عبدالعزيز'!$A$5:$A$746,"&lt;="&amp;G112)))</f>
        <v/>
      </c>
    </row>
    <row r="113" customFormat="false" ht="15" hidden="false" customHeight="false" outlineLevel="0" collapsed="false">
      <c r="A113" s="43"/>
      <c r="B113" s="23" t="str">
        <f aca="false">IF(G113="","",CHOOSE(WEEKDAY(G113,1),"الأحد","الاثنين","الثلاثاء","الأربعاء","الخميس","الجمعة","السبت")&amp;IF(OR(ISNUMBER(A113),LEN(TRIM(A113))&gt;=10),"","  "&amp;TEXT(DAY(G113),"00")&amp;"/"&amp;TEXT(MONTH(G113),"00")&amp;"/"&amp;YEAR(G113)))</f>
        <v/>
      </c>
      <c r="C113" s="24"/>
      <c r="D113" s="44"/>
      <c r="E113" s="27"/>
      <c r="F113" s="45" t="str">
        <f aca="false">IF(A113="","",IF(G113="","⛔ التاريخ غلط — اختاره من القائمة أو اكتبه كامل 05/10/2026",IF(OR(H113&lt;1,H113&gt;NW),"⛔ التاريخ برّا السنة",IF(AND(N(D113)&gt;0,N(J113)&gt;0,D113&gt;ADV_CAP*J113),"⚠️ أكثر من "&amp;TEXT(ADV_CAP,"0%")&amp;" من شغله ("&amp;TEXT(J113,"0.000")&amp;")",""))))</f>
        <v/>
      </c>
      <c r="G113" s="0" t="str">
        <f aca="true">IF(A113="","",IF(ISNUMBER(A113),IF(A113&gt;=36526,A113,""),IFERROR(DATE(VALUE(RIGHT(RIGHT(TRIM(A113),10),4)),VALUE(MID(RIGHT(TRIM(A113),10),4,2)),VALUE(LEFT(RIGHT(TRIM(A113),10),2))),IFERROR(TODAY()-MOD(WEEKDAY(TODAY(),1)-MATCH(TRIM(A113),{"الأحد","الاثنين","الثلاثاء","الأربعاء","الخميس","الجمعة","السبت"},0),7),IFERROR(DATEVALUE(A113),"")))))</f>
        <v/>
      </c>
      <c r="H113" s="0" t="str">
        <f aca="false">IF(G113="","",INT((G113-WEEK_ONE)/7)+1)</f>
        <v/>
      </c>
      <c r="I113" s="0" t="str">
        <f aca="false">IF(H113="","",IF(OR(H113&lt;1,H113&gt;NW),"",INDEX(WMON,H113)))</f>
        <v/>
      </c>
      <c r="J113" s="0" t="str">
        <f aca="false">IF(OR(G113="",H113="",C113=""),"",IF(C113="عمر المصري",SUMIFS('ساعات عمر'!$H$5:$H$746,'ساعات عمر'!$A$5:$A$746,"&gt;="&amp;(WEEK_ONE+7*(H113-1)),'ساعات عمر'!$A$5:$A$746,"&lt;="&amp;G113),SUMIFS('ساعات عبدالعزيز'!$F$5:$F$746,'ساعات عبدالعزيز'!$A$5:$A$746,"&gt;="&amp;(WEEK_ONE+7*(H113-1)),'ساعات عبدالعزيز'!$A$5:$A$746,"&lt;="&amp;G113)))</f>
        <v/>
      </c>
    </row>
    <row r="114" customFormat="false" ht="15" hidden="false" customHeight="false" outlineLevel="0" collapsed="false">
      <c r="A114" s="43"/>
      <c r="B114" s="23" t="str">
        <f aca="false">IF(G114="","",CHOOSE(WEEKDAY(G114,1),"الأحد","الاثنين","الثلاثاء","الأربعاء","الخميس","الجمعة","السبت")&amp;IF(OR(ISNUMBER(A114),LEN(TRIM(A114))&gt;=10),"","  "&amp;TEXT(DAY(G114),"00")&amp;"/"&amp;TEXT(MONTH(G114),"00")&amp;"/"&amp;YEAR(G114)))</f>
        <v/>
      </c>
      <c r="C114" s="24"/>
      <c r="D114" s="44"/>
      <c r="E114" s="27"/>
      <c r="F114" s="45" t="str">
        <f aca="false">IF(A114="","",IF(G114="","⛔ التاريخ غلط — اختاره من القائمة أو اكتبه كامل 05/10/2026",IF(OR(H114&lt;1,H114&gt;NW),"⛔ التاريخ برّا السنة",IF(AND(N(D114)&gt;0,N(J114)&gt;0,D114&gt;ADV_CAP*J114),"⚠️ أكثر من "&amp;TEXT(ADV_CAP,"0%")&amp;" من شغله ("&amp;TEXT(J114,"0.000")&amp;")",""))))</f>
        <v/>
      </c>
      <c r="G114" s="0" t="str">
        <f aca="true">IF(A114="","",IF(ISNUMBER(A114),IF(A114&gt;=36526,A114,""),IFERROR(DATE(VALUE(RIGHT(RIGHT(TRIM(A114),10),4)),VALUE(MID(RIGHT(TRIM(A114),10),4,2)),VALUE(LEFT(RIGHT(TRIM(A114),10),2))),IFERROR(TODAY()-MOD(WEEKDAY(TODAY(),1)-MATCH(TRIM(A114),{"الأحد","الاثنين","الثلاثاء","الأربعاء","الخميس","الجمعة","السبت"},0),7),IFERROR(DATEVALUE(A114),"")))))</f>
        <v/>
      </c>
      <c r="H114" s="0" t="str">
        <f aca="false">IF(G114="","",INT((G114-WEEK_ONE)/7)+1)</f>
        <v/>
      </c>
      <c r="I114" s="0" t="str">
        <f aca="false">IF(H114="","",IF(OR(H114&lt;1,H114&gt;NW),"",INDEX(WMON,H114)))</f>
        <v/>
      </c>
      <c r="J114" s="0" t="str">
        <f aca="false">IF(OR(G114="",H114="",C114=""),"",IF(C114="عمر المصري",SUMIFS('ساعات عمر'!$H$5:$H$746,'ساعات عمر'!$A$5:$A$746,"&gt;="&amp;(WEEK_ONE+7*(H114-1)),'ساعات عمر'!$A$5:$A$746,"&lt;="&amp;G114),SUMIFS('ساعات عبدالعزيز'!$F$5:$F$746,'ساعات عبدالعزيز'!$A$5:$A$746,"&gt;="&amp;(WEEK_ONE+7*(H114-1)),'ساعات عبدالعزيز'!$A$5:$A$746,"&lt;="&amp;G114)))</f>
        <v/>
      </c>
    </row>
    <row r="115" customFormat="false" ht="15" hidden="false" customHeight="false" outlineLevel="0" collapsed="false">
      <c r="A115" s="43"/>
      <c r="B115" s="23" t="str">
        <f aca="false">IF(G115="","",CHOOSE(WEEKDAY(G115,1),"الأحد","الاثنين","الثلاثاء","الأربعاء","الخميس","الجمعة","السبت")&amp;IF(OR(ISNUMBER(A115),LEN(TRIM(A115))&gt;=10),"","  "&amp;TEXT(DAY(G115),"00")&amp;"/"&amp;TEXT(MONTH(G115),"00")&amp;"/"&amp;YEAR(G115)))</f>
        <v/>
      </c>
      <c r="C115" s="24"/>
      <c r="D115" s="44"/>
      <c r="E115" s="27"/>
      <c r="F115" s="45" t="str">
        <f aca="false">IF(A115="","",IF(G115="","⛔ التاريخ غلط — اختاره من القائمة أو اكتبه كامل 05/10/2026",IF(OR(H115&lt;1,H115&gt;NW),"⛔ التاريخ برّا السنة",IF(AND(N(D115)&gt;0,N(J115)&gt;0,D115&gt;ADV_CAP*J115),"⚠️ أكثر من "&amp;TEXT(ADV_CAP,"0%")&amp;" من شغله ("&amp;TEXT(J115,"0.000")&amp;")",""))))</f>
        <v/>
      </c>
      <c r="G115" s="0" t="str">
        <f aca="true">IF(A115="","",IF(ISNUMBER(A115),IF(A115&gt;=36526,A115,""),IFERROR(DATE(VALUE(RIGHT(RIGHT(TRIM(A115),10),4)),VALUE(MID(RIGHT(TRIM(A115),10),4,2)),VALUE(LEFT(RIGHT(TRIM(A115),10),2))),IFERROR(TODAY()-MOD(WEEKDAY(TODAY(),1)-MATCH(TRIM(A115),{"الأحد","الاثنين","الثلاثاء","الأربعاء","الخميس","الجمعة","السبت"},0),7),IFERROR(DATEVALUE(A115),"")))))</f>
        <v/>
      </c>
      <c r="H115" s="0" t="str">
        <f aca="false">IF(G115="","",INT((G115-WEEK_ONE)/7)+1)</f>
        <v/>
      </c>
      <c r="I115" s="0" t="str">
        <f aca="false">IF(H115="","",IF(OR(H115&lt;1,H115&gt;NW),"",INDEX(WMON,H115)))</f>
        <v/>
      </c>
      <c r="J115" s="0" t="str">
        <f aca="false">IF(OR(G115="",H115="",C115=""),"",IF(C115="عمر المصري",SUMIFS('ساعات عمر'!$H$5:$H$746,'ساعات عمر'!$A$5:$A$746,"&gt;="&amp;(WEEK_ONE+7*(H115-1)),'ساعات عمر'!$A$5:$A$746,"&lt;="&amp;G115),SUMIFS('ساعات عبدالعزيز'!$F$5:$F$746,'ساعات عبدالعزيز'!$A$5:$A$746,"&gt;="&amp;(WEEK_ONE+7*(H115-1)),'ساعات عبدالعزيز'!$A$5:$A$746,"&lt;="&amp;G115)))</f>
        <v/>
      </c>
    </row>
    <row r="116" customFormat="false" ht="15" hidden="false" customHeight="false" outlineLevel="0" collapsed="false">
      <c r="A116" s="43"/>
      <c r="B116" s="23" t="str">
        <f aca="false">IF(G116="","",CHOOSE(WEEKDAY(G116,1),"الأحد","الاثنين","الثلاثاء","الأربعاء","الخميس","الجمعة","السبت")&amp;IF(OR(ISNUMBER(A116),LEN(TRIM(A116))&gt;=10),"","  "&amp;TEXT(DAY(G116),"00")&amp;"/"&amp;TEXT(MONTH(G116),"00")&amp;"/"&amp;YEAR(G116)))</f>
        <v/>
      </c>
      <c r="C116" s="24"/>
      <c r="D116" s="44"/>
      <c r="E116" s="27"/>
      <c r="F116" s="45" t="str">
        <f aca="false">IF(A116="","",IF(G116="","⛔ التاريخ غلط — اختاره من القائمة أو اكتبه كامل 05/10/2026",IF(OR(H116&lt;1,H116&gt;NW),"⛔ التاريخ برّا السنة",IF(AND(N(D116)&gt;0,N(J116)&gt;0,D116&gt;ADV_CAP*J116),"⚠️ أكثر من "&amp;TEXT(ADV_CAP,"0%")&amp;" من شغله ("&amp;TEXT(J116,"0.000")&amp;")",""))))</f>
        <v/>
      </c>
      <c r="G116" s="0" t="str">
        <f aca="true">IF(A116="","",IF(ISNUMBER(A116),IF(A116&gt;=36526,A116,""),IFERROR(DATE(VALUE(RIGHT(RIGHT(TRIM(A116),10),4)),VALUE(MID(RIGHT(TRIM(A116),10),4,2)),VALUE(LEFT(RIGHT(TRIM(A116),10),2))),IFERROR(TODAY()-MOD(WEEKDAY(TODAY(),1)-MATCH(TRIM(A116),{"الأحد","الاثنين","الثلاثاء","الأربعاء","الخميس","الجمعة","السبت"},0),7),IFERROR(DATEVALUE(A116),"")))))</f>
        <v/>
      </c>
      <c r="H116" s="0" t="str">
        <f aca="false">IF(G116="","",INT((G116-WEEK_ONE)/7)+1)</f>
        <v/>
      </c>
      <c r="I116" s="0" t="str">
        <f aca="false">IF(H116="","",IF(OR(H116&lt;1,H116&gt;NW),"",INDEX(WMON,H116)))</f>
        <v/>
      </c>
      <c r="J116" s="0" t="str">
        <f aca="false">IF(OR(G116="",H116="",C116=""),"",IF(C116="عمر المصري",SUMIFS('ساعات عمر'!$H$5:$H$746,'ساعات عمر'!$A$5:$A$746,"&gt;="&amp;(WEEK_ONE+7*(H116-1)),'ساعات عمر'!$A$5:$A$746,"&lt;="&amp;G116),SUMIFS('ساعات عبدالعزيز'!$F$5:$F$746,'ساعات عبدالعزيز'!$A$5:$A$746,"&gt;="&amp;(WEEK_ONE+7*(H116-1)),'ساعات عبدالعزيز'!$A$5:$A$746,"&lt;="&amp;G116)))</f>
        <v/>
      </c>
    </row>
    <row r="117" customFormat="false" ht="15" hidden="false" customHeight="false" outlineLevel="0" collapsed="false">
      <c r="A117" s="43"/>
      <c r="B117" s="23" t="str">
        <f aca="false">IF(G117="","",CHOOSE(WEEKDAY(G117,1),"الأحد","الاثنين","الثلاثاء","الأربعاء","الخميس","الجمعة","السبت")&amp;IF(OR(ISNUMBER(A117),LEN(TRIM(A117))&gt;=10),"","  "&amp;TEXT(DAY(G117),"00")&amp;"/"&amp;TEXT(MONTH(G117),"00")&amp;"/"&amp;YEAR(G117)))</f>
        <v/>
      </c>
      <c r="C117" s="24"/>
      <c r="D117" s="44"/>
      <c r="E117" s="27"/>
      <c r="F117" s="45" t="str">
        <f aca="false">IF(A117="","",IF(G117="","⛔ التاريخ غلط — اختاره من القائمة أو اكتبه كامل 05/10/2026",IF(OR(H117&lt;1,H117&gt;NW),"⛔ التاريخ برّا السنة",IF(AND(N(D117)&gt;0,N(J117)&gt;0,D117&gt;ADV_CAP*J117),"⚠️ أكثر من "&amp;TEXT(ADV_CAP,"0%")&amp;" من شغله ("&amp;TEXT(J117,"0.000")&amp;")",""))))</f>
        <v/>
      </c>
      <c r="G117" s="0" t="str">
        <f aca="true">IF(A117="","",IF(ISNUMBER(A117),IF(A117&gt;=36526,A117,""),IFERROR(DATE(VALUE(RIGHT(RIGHT(TRIM(A117),10),4)),VALUE(MID(RIGHT(TRIM(A117),10),4,2)),VALUE(LEFT(RIGHT(TRIM(A117),10),2))),IFERROR(TODAY()-MOD(WEEKDAY(TODAY(),1)-MATCH(TRIM(A117),{"الأحد","الاثنين","الثلاثاء","الأربعاء","الخميس","الجمعة","السبت"},0),7),IFERROR(DATEVALUE(A117),"")))))</f>
        <v/>
      </c>
      <c r="H117" s="0" t="str">
        <f aca="false">IF(G117="","",INT((G117-WEEK_ONE)/7)+1)</f>
        <v/>
      </c>
      <c r="I117" s="0" t="str">
        <f aca="false">IF(H117="","",IF(OR(H117&lt;1,H117&gt;NW),"",INDEX(WMON,H117)))</f>
        <v/>
      </c>
      <c r="J117" s="0" t="str">
        <f aca="false">IF(OR(G117="",H117="",C117=""),"",IF(C117="عمر المصري",SUMIFS('ساعات عمر'!$H$5:$H$746,'ساعات عمر'!$A$5:$A$746,"&gt;="&amp;(WEEK_ONE+7*(H117-1)),'ساعات عمر'!$A$5:$A$746,"&lt;="&amp;G117),SUMIFS('ساعات عبدالعزيز'!$F$5:$F$746,'ساعات عبدالعزيز'!$A$5:$A$746,"&gt;="&amp;(WEEK_ONE+7*(H117-1)),'ساعات عبدالعزيز'!$A$5:$A$746,"&lt;="&amp;G117)))</f>
        <v/>
      </c>
    </row>
    <row r="118" customFormat="false" ht="15" hidden="false" customHeight="false" outlineLevel="0" collapsed="false">
      <c r="A118" s="43"/>
      <c r="B118" s="23" t="str">
        <f aca="false">IF(G118="","",CHOOSE(WEEKDAY(G118,1),"الأحد","الاثنين","الثلاثاء","الأربعاء","الخميس","الجمعة","السبت")&amp;IF(OR(ISNUMBER(A118),LEN(TRIM(A118))&gt;=10),"","  "&amp;TEXT(DAY(G118),"00")&amp;"/"&amp;TEXT(MONTH(G118),"00")&amp;"/"&amp;YEAR(G118)))</f>
        <v/>
      </c>
      <c r="C118" s="24"/>
      <c r="D118" s="44"/>
      <c r="E118" s="27"/>
      <c r="F118" s="45" t="str">
        <f aca="false">IF(A118="","",IF(G118="","⛔ التاريخ غلط — اختاره من القائمة أو اكتبه كامل 05/10/2026",IF(OR(H118&lt;1,H118&gt;NW),"⛔ التاريخ برّا السنة",IF(AND(N(D118)&gt;0,N(J118)&gt;0,D118&gt;ADV_CAP*J118),"⚠️ أكثر من "&amp;TEXT(ADV_CAP,"0%")&amp;" من شغله ("&amp;TEXT(J118,"0.000")&amp;")",""))))</f>
        <v/>
      </c>
      <c r="G118" s="0" t="str">
        <f aca="true">IF(A118="","",IF(ISNUMBER(A118),IF(A118&gt;=36526,A118,""),IFERROR(DATE(VALUE(RIGHT(RIGHT(TRIM(A118),10),4)),VALUE(MID(RIGHT(TRIM(A118),10),4,2)),VALUE(LEFT(RIGHT(TRIM(A118),10),2))),IFERROR(TODAY()-MOD(WEEKDAY(TODAY(),1)-MATCH(TRIM(A118),{"الأحد","الاثنين","الثلاثاء","الأربعاء","الخميس","الجمعة","السبت"},0),7),IFERROR(DATEVALUE(A118),"")))))</f>
        <v/>
      </c>
      <c r="H118" s="0" t="str">
        <f aca="false">IF(G118="","",INT((G118-WEEK_ONE)/7)+1)</f>
        <v/>
      </c>
      <c r="I118" s="0" t="str">
        <f aca="false">IF(H118="","",IF(OR(H118&lt;1,H118&gt;NW),"",INDEX(WMON,H118)))</f>
        <v/>
      </c>
      <c r="J118" s="0" t="str">
        <f aca="false">IF(OR(G118="",H118="",C118=""),"",IF(C118="عمر المصري",SUMIFS('ساعات عمر'!$H$5:$H$746,'ساعات عمر'!$A$5:$A$746,"&gt;="&amp;(WEEK_ONE+7*(H118-1)),'ساعات عمر'!$A$5:$A$746,"&lt;="&amp;G118),SUMIFS('ساعات عبدالعزيز'!$F$5:$F$746,'ساعات عبدالعزيز'!$A$5:$A$746,"&gt;="&amp;(WEEK_ONE+7*(H118-1)),'ساعات عبدالعزيز'!$A$5:$A$746,"&lt;="&amp;G118)))</f>
        <v/>
      </c>
    </row>
    <row r="119" customFormat="false" ht="15" hidden="false" customHeight="false" outlineLevel="0" collapsed="false">
      <c r="A119" s="43"/>
      <c r="B119" s="23" t="str">
        <f aca="false">IF(G119="","",CHOOSE(WEEKDAY(G119,1),"الأحد","الاثنين","الثلاثاء","الأربعاء","الخميس","الجمعة","السبت")&amp;IF(OR(ISNUMBER(A119),LEN(TRIM(A119))&gt;=10),"","  "&amp;TEXT(DAY(G119),"00")&amp;"/"&amp;TEXT(MONTH(G119),"00")&amp;"/"&amp;YEAR(G119)))</f>
        <v/>
      </c>
      <c r="C119" s="24"/>
      <c r="D119" s="44"/>
      <c r="E119" s="27"/>
      <c r="F119" s="45" t="str">
        <f aca="false">IF(A119="","",IF(G119="","⛔ التاريخ غلط — اختاره من القائمة أو اكتبه كامل 05/10/2026",IF(OR(H119&lt;1,H119&gt;NW),"⛔ التاريخ برّا السنة",IF(AND(N(D119)&gt;0,N(J119)&gt;0,D119&gt;ADV_CAP*J119),"⚠️ أكثر من "&amp;TEXT(ADV_CAP,"0%")&amp;" من شغله ("&amp;TEXT(J119,"0.000")&amp;")",""))))</f>
        <v/>
      </c>
      <c r="G119" s="0" t="str">
        <f aca="true">IF(A119="","",IF(ISNUMBER(A119),IF(A119&gt;=36526,A119,""),IFERROR(DATE(VALUE(RIGHT(RIGHT(TRIM(A119),10),4)),VALUE(MID(RIGHT(TRIM(A119),10),4,2)),VALUE(LEFT(RIGHT(TRIM(A119),10),2))),IFERROR(TODAY()-MOD(WEEKDAY(TODAY(),1)-MATCH(TRIM(A119),{"الأحد","الاثنين","الثلاثاء","الأربعاء","الخميس","الجمعة","السبت"},0),7),IFERROR(DATEVALUE(A119),"")))))</f>
        <v/>
      </c>
      <c r="H119" s="0" t="str">
        <f aca="false">IF(G119="","",INT((G119-WEEK_ONE)/7)+1)</f>
        <v/>
      </c>
      <c r="I119" s="0" t="str">
        <f aca="false">IF(H119="","",IF(OR(H119&lt;1,H119&gt;NW),"",INDEX(WMON,H119)))</f>
        <v/>
      </c>
      <c r="J119" s="0" t="str">
        <f aca="false">IF(OR(G119="",H119="",C119=""),"",IF(C119="عمر المصري",SUMIFS('ساعات عمر'!$H$5:$H$746,'ساعات عمر'!$A$5:$A$746,"&gt;="&amp;(WEEK_ONE+7*(H119-1)),'ساعات عمر'!$A$5:$A$746,"&lt;="&amp;G119),SUMIFS('ساعات عبدالعزيز'!$F$5:$F$746,'ساعات عبدالعزيز'!$A$5:$A$746,"&gt;="&amp;(WEEK_ONE+7*(H119-1)),'ساعات عبدالعزيز'!$A$5:$A$746,"&lt;="&amp;G119)))</f>
        <v/>
      </c>
    </row>
    <row r="120" customFormat="false" ht="15" hidden="false" customHeight="false" outlineLevel="0" collapsed="false">
      <c r="A120" s="43"/>
      <c r="B120" s="23" t="str">
        <f aca="false">IF(G120="","",CHOOSE(WEEKDAY(G120,1),"الأحد","الاثنين","الثلاثاء","الأربعاء","الخميس","الجمعة","السبت")&amp;IF(OR(ISNUMBER(A120),LEN(TRIM(A120))&gt;=10),"","  "&amp;TEXT(DAY(G120),"00")&amp;"/"&amp;TEXT(MONTH(G120),"00")&amp;"/"&amp;YEAR(G120)))</f>
        <v/>
      </c>
      <c r="C120" s="24"/>
      <c r="D120" s="44"/>
      <c r="E120" s="27"/>
      <c r="F120" s="45" t="str">
        <f aca="false">IF(A120="","",IF(G120="","⛔ التاريخ غلط — اختاره من القائمة أو اكتبه كامل 05/10/2026",IF(OR(H120&lt;1,H120&gt;NW),"⛔ التاريخ برّا السنة",IF(AND(N(D120)&gt;0,N(J120)&gt;0,D120&gt;ADV_CAP*J120),"⚠️ أكثر من "&amp;TEXT(ADV_CAP,"0%")&amp;" من شغله ("&amp;TEXT(J120,"0.000")&amp;")",""))))</f>
        <v/>
      </c>
      <c r="G120" s="0" t="str">
        <f aca="true">IF(A120="","",IF(ISNUMBER(A120),IF(A120&gt;=36526,A120,""),IFERROR(DATE(VALUE(RIGHT(RIGHT(TRIM(A120),10),4)),VALUE(MID(RIGHT(TRIM(A120),10),4,2)),VALUE(LEFT(RIGHT(TRIM(A120),10),2))),IFERROR(TODAY()-MOD(WEEKDAY(TODAY(),1)-MATCH(TRIM(A120),{"الأحد","الاثنين","الثلاثاء","الأربعاء","الخميس","الجمعة","السبت"},0),7),IFERROR(DATEVALUE(A120),"")))))</f>
        <v/>
      </c>
      <c r="H120" s="0" t="str">
        <f aca="false">IF(G120="","",INT((G120-WEEK_ONE)/7)+1)</f>
        <v/>
      </c>
      <c r="I120" s="0" t="str">
        <f aca="false">IF(H120="","",IF(OR(H120&lt;1,H120&gt;NW),"",INDEX(WMON,H120)))</f>
        <v/>
      </c>
      <c r="J120" s="0" t="str">
        <f aca="false">IF(OR(G120="",H120="",C120=""),"",IF(C120="عمر المصري",SUMIFS('ساعات عمر'!$H$5:$H$746,'ساعات عمر'!$A$5:$A$746,"&gt;="&amp;(WEEK_ONE+7*(H120-1)),'ساعات عمر'!$A$5:$A$746,"&lt;="&amp;G120),SUMIFS('ساعات عبدالعزيز'!$F$5:$F$746,'ساعات عبدالعزيز'!$A$5:$A$746,"&gt;="&amp;(WEEK_ONE+7*(H120-1)),'ساعات عبدالعزيز'!$A$5:$A$746,"&lt;="&amp;G120)))</f>
        <v/>
      </c>
    </row>
    <row r="121" customFormat="false" ht="15" hidden="false" customHeight="false" outlineLevel="0" collapsed="false">
      <c r="A121" s="43"/>
      <c r="B121" s="23" t="str">
        <f aca="false">IF(G121="","",CHOOSE(WEEKDAY(G121,1),"الأحد","الاثنين","الثلاثاء","الأربعاء","الخميس","الجمعة","السبت")&amp;IF(OR(ISNUMBER(A121),LEN(TRIM(A121))&gt;=10),"","  "&amp;TEXT(DAY(G121),"00")&amp;"/"&amp;TEXT(MONTH(G121),"00")&amp;"/"&amp;YEAR(G121)))</f>
        <v/>
      </c>
      <c r="C121" s="24"/>
      <c r="D121" s="44"/>
      <c r="E121" s="27"/>
      <c r="F121" s="45" t="str">
        <f aca="false">IF(A121="","",IF(G121="","⛔ التاريخ غلط — اختاره من القائمة أو اكتبه كامل 05/10/2026",IF(OR(H121&lt;1,H121&gt;NW),"⛔ التاريخ برّا السنة",IF(AND(N(D121)&gt;0,N(J121)&gt;0,D121&gt;ADV_CAP*J121),"⚠️ أكثر من "&amp;TEXT(ADV_CAP,"0%")&amp;" من شغله ("&amp;TEXT(J121,"0.000")&amp;")",""))))</f>
        <v/>
      </c>
      <c r="G121" s="0" t="str">
        <f aca="true">IF(A121="","",IF(ISNUMBER(A121),IF(A121&gt;=36526,A121,""),IFERROR(DATE(VALUE(RIGHT(RIGHT(TRIM(A121),10),4)),VALUE(MID(RIGHT(TRIM(A121),10),4,2)),VALUE(LEFT(RIGHT(TRIM(A121),10),2))),IFERROR(TODAY()-MOD(WEEKDAY(TODAY(),1)-MATCH(TRIM(A121),{"الأحد","الاثنين","الثلاثاء","الأربعاء","الخميس","الجمعة","السبت"},0),7),IFERROR(DATEVALUE(A121),"")))))</f>
        <v/>
      </c>
      <c r="H121" s="0" t="str">
        <f aca="false">IF(G121="","",INT((G121-WEEK_ONE)/7)+1)</f>
        <v/>
      </c>
      <c r="I121" s="0" t="str">
        <f aca="false">IF(H121="","",IF(OR(H121&lt;1,H121&gt;NW),"",INDEX(WMON,H121)))</f>
        <v/>
      </c>
      <c r="J121" s="0" t="str">
        <f aca="false">IF(OR(G121="",H121="",C121=""),"",IF(C121="عمر المصري",SUMIFS('ساعات عمر'!$H$5:$H$746,'ساعات عمر'!$A$5:$A$746,"&gt;="&amp;(WEEK_ONE+7*(H121-1)),'ساعات عمر'!$A$5:$A$746,"&lt;="&amp;G121),SUMIFS('ساعات عبدالعزيز'!$F$5:$F$746,'ساعات عبدالعزيز'!$A$5:$A$746,"&gt;="&amp;(WEEK_ONE+7*(H121-1)),'ساعات عبدالعزيز'!$A$5:$A$746,"&lt;="&amp;G121)))</f>
        <v/>
      </c>
    </row>
    <row r="122" customFormat="false" ht="15" hidden="false" customHeight="false" outlineLevel="0" collapsed="false">
      <c r="A122" s="43"/>
      <c r="B122" s="23" t="str">
        <f aca="false">IF(G122="","",CHOOSE(WEEKDAY(G122,1),"الأحد","الاثنين","الثلاثاء","الأربعاء","الخميس","الجمعة","السبت")&amp;IF(OR(ISNUMBER(A122),LEN(TRIM(A122))&gt;=10),"","  "&amp;TEXT(DAY(G122),"00")&amp;"/"&amp;TEXT(MONTH(G122),"00")&amp;"/"&amp;YEAR(G122)))</f>
        <v/>
      </c>
      <c r="C122" s="24"/>
      <c r="D122" s="44"/>
      <c r="E122" s="27"/>
      <c r="F122" s="45" t="str">
        <f aca="false">IF(A122="","",IF(G122="","⛔ التاريخ غلط — اختاره من القائمة أو اكتبه كامل 05/10/2026",IF(OR(H122&lt;1,H122&gt;NW),"⛔ التاريخ برّا السنة",IF(AND(N(D122)&gt;0,N(J122)&gt;0,D122&gt;ADV_CAP*J122),"⚠️ أكثر من "&amp;TEXT(ADV_CAP,"0%")&amp;" من شغله ("&amp;TEXT(J122,"0.000")&amp;")",""))))</f>
        <v/>
      </c>
      <c r="G122" s="0" t="str">
        <f aca="true">IF(A122="","",IF(ISNUMBER(A122),IF(A122&gt;=36526,A122,""),IFERROR(DATE(VALUE(RIGHT(RIGHT(TRIM(A122),10),4)),VALUE(MID(RIGHT(TRIM(A122),10),4,2)),VALUE(LEFT(RIGHT(TRIM(A122),10),2))),IFERROR(TODAY()-MOD(WEEKDAY(TODAY(),1)-MATCH(TRIM(A122),{"الأحد","الاثنين","الثلاثاء","الأربعاء","الخميس","الجمعة","السبت"},0),7),IFERROR(DATEVALUE(A122),"")))))</f>
        <v/>
      </c>
      <c r="H122" s="0" t="str">
        <f aca="false">IF(G122="","",INT((G122-WEEK_ONE)/7)+1)</f>
        <v/>
      </c>
      <c r="I122" s="0" t="str">
        <f aca="false">IF(H122="","",IF(OR(H122&lt;1,H122&gt;NW),"",INDEX(WMON,H122)))</f>
        <v/>
      </c>
      <c r="J122" s="0" t="str">
        <f aca="false">IF(OR(G122="",H122="",C122=""),"",IF(C122="عمر المصري",SUMIFS('ساعات عمر'!$H$5:$H$746,'ساعات عمر'!$A$5:$A$746,"&gt;="&amp;(WEEK_ONE+7*(H122-1)),'ساعات عمر'!$A$5:$A$746,"&lt;="&amp;G122),SUMIFS('ساعات عبدالعزيز'!$F$5:$F$746,'ساعات عبدالعزيز'!$A$5:$A$746,"&gt;="&amp;(WEEK_ONE+7*(H122-1)),'ساعات عبدالعزيز'!$A$5:$A$746,"&lt;="&amp;G122)))</f>
        <v/>
      </c>
    </row>
    <row r="123" customFormat="false" ht="15" hidden="false" customHeight="false" outlineLevel="0" collapsed="false">
      <c r="A123" s="43"/>
      <c r="B123" s="23" t="str">
        <f aca="false">IF(G123="","",CHOOSE(WEEKDAY(G123,1),"الأحد","الاثنين","الثلاثاء","الأربعاء","الخميس","الجمعة","السبت")&amp;IF(OR(ISNUMBER(A123),LEN(TRIM(A123))&gt;=10),"","  "&amp;TEXT(DAY(G123),"00")&amp;"/"&amp;TEXT(MONTH(G123),"00")&amp;"/"&amp;YEAR(G123)))</f>
        <v/>
      </c>
      <c r="C123" s="24"/>
      <c r="D123" s="44"/>
      <c r="E123" s="27"/>
      <c r="F123" s="45" t="str">
        <f aca="false">IF(A123="","",IF(G123="","⛔ التاريخ غلط — اختاره من القائمة أو اكتبه كامل 05/10/2026",IF(OR(H123&lt;1,H123&gt;NW),"⛔ التاريخ برّا السنة",IF(AND(N(D123)&gt;0,N(J123)&gt;0,D123&gt;ADV_CAP*J123),"⚠️ أكثر من "&amp;TEXT(ADV_CAP,"0%")&amp;" من شغله ("&amp;TEXT(J123,"0.000")&amp;")",""))))</f>
        <v/>
      </c>
      <c r="G123" s="0" t="str">
        <f aca="true">IF(A123="","",IF(ISNUMBER(A123),IF(A123&gt;=36526,A123,""),IFERROR(DATE(VALUE(RIGHT(RIGHT(TRIM(A123),10),4)),VALUE(MID(RIGHT(TRIM(A123),10),4,2)),VALUE(LEFT(RIGHT(TRIM(A123),10),2))),IFERROR(TODAY()-MOD(WEEKDAY(TODAY(),1)-MATCH(TRIM(A123),{"الأحد","الاثنين","الثلاثاء","الأربعاء","الخميس","الجمعة","السبت"},0),7),IFERROR(DATEVALUE(A123),"")))))</f>
        <v/>
      </c>
      <c r="H123" s="0" t="str">
        <f aca="false">IF(G123="","",INT((G123-WEEK_ONE)/7)+1)</f>
        <v/>
      </c>
      <c r="I123" s="0" t="str">
        <f aca="false">IF(H123="","",IF(OR(H123&lt;1,H123&gt;NW),"",INDEX(WMON,H123)))</f>
        <v/>
      </c>
      <c r="J123" s="0" t="str">
        <f aca="false">IF(OR(G123="",H123="",C123=""),"",IF(C123="عمر المصري",SUMIFS('ساعات عمر'!$H$5:$H$746,'ساعات عمر'!$A$5:$A$746,"&gt;="&amp;(WEEK_ONE+7*(H123-1)),'ساعات عمر'!$A$5:$A$746,"&lt;="&amp;G123),SUMIFS('ساعات عبدالعزيز'!$F$5:$F$746,'ساعات عبدالعزيز'!$A$5:$A$746,"&gt;="&amp;(WEEK_ONE+7*(H123-1)),'ساعات عبدالعزيز'!$A$5:$A$746,"&lt;="&amp;G123)))</f>
        <v/>
      </c>
    </row>
    <row r="124" customFormat="false" ht="15" hidden="false" customHeight="false" outlineLevel="0" collapsed="false">
      <c r="A124" s="43"/>
      <c r="B124" s="23" t="str">
        <f aca="false">IF(G124="","",CHOOSE(WEEKDAY(G124,1),"الأحد","الاثنين","الثلاثاء","الأربعاء","الخميس","الجمعة","السبت")&amp;IF(OR(ISNUMBER(A124),LEN(TRIM(A124))&gt;=10),"","  "&amp;TEXT(DAY(G124),"00")&amp;"/"&amp;TEXT(MONTH(G124),"00")&amp;"/"&amp;YEAR(G124)))</f>
        <v/>
      </c>
      <c r="C124" s="24"/>
      <c r="D124" s="44"/>
      <c r="E124" s="27"/>
      <c r="F124" s="45" t="str">
        <f aca="false">IF(A124="","",IF(G124="","⛔ التاريخ غلط — اختاره من القائمة أو اكتبه كامل 05/10/2026",IF(OR(H124&lt;1,H124&gt;NW),"⛔ التاريخ برّا السنة",IF(AND(N(D124)&gt;0,N(J124)&gt;0,D124&gt;ADV_CAP*J124),"⚠️ أكثر من "&amp;TEXT(ADV_CAP,"0%")&amp;" من شغله ("&amp;TEXT(J124,"0.000")&amp;")",""))))</f>
        <v/>
      </c>
      <c r="G124" s="0" t="str">
        <f aca="true">IF(A124="","",IF(ISNUMBER(A124),IF(A124&gt;=36526,A124,""),IFERROR(DATE(VALUE(RIGHT(RIGHT(TRIM(A124),10),4)),VALUE(MID(RIGHT(TRIM(A124),10),4,2)),VALUE(LEFT(RIGHT(TRIM(A124),10),2))),IFERROR(TODAY()-MOD(WEEKDAY(TODAY(),1)-MATCH(TRIM(A124),{"الأحد","الاثنين","الثلاثاء","الأربعاء","الخميس","الجمعة","السبت"},0),7),IFERROR(DATEVALUE(A124),"")))))</f>
        <v/>
      </c>
      <c r="H124" s="0" t="str">
        <f aca="false">IF(G124="","",INT((G124-WEEK_ONE)/7)+1)</f>
        <v/>
      </c>
      <c r="I124" s="0" t="str">
        <f aca="false">IF(H124="","",IF(OR(H124&lt;1,H124&gt;NW),"",INDEX(WMON,H124)))</f>
        <v/>
      </c>
      <c r="J124" s="0" t="str">
        <f aca="false">IF(OR(G124="",H124="",C124=""),"",IF(C124="عمر المصري",SUMIFS('ساعات عمر'!$H$5:$H$746,'ساعات عمر'!$A$5:$A$746,"&gt;="&amp;(WEEK_ONE+7*(H124-1)),'ساعات عمر'!$A$5:$A$746,"&lt;="&amp;G124),SUMIFS('ساعات عبدالعزيز'!$F$5:$F$746,'ساعات عبدالعزيز'!$A$5:$A$746,"&gt;="&amp;(WEEK_ONE+7*(H124-1)),'ساعات عبدالعزيز'!$A$5:$A$746,"&lt;="&amp;G124)))</f>
        <v/>
      </c>
    </row>
    <row r="125" customFormat="false" ht="15" hidden="false" customHeight="false" outlineLevel="0" collapsed="false">
      <c r="A125" s="43"/>
      <c r="B125" s="23" t="str">
        <f aca="false">IF(G125="","",CHOOSE(WEEKDAY(G125,1),"الأحد","الاثنين","الثلاثاء","الأربعاء","الخميس","الجمعة","السبت")&amp;IF(OR(ISNUMBER(A125),LEN(TRIM(A125))&gt;=10),"","  "&amp;TEXT(DAY(G125),"00")&amp;"/"&amp;TEXT(MONTH(G125),"00")&amp;"/"&amp;YEAR(G125)))</f>
        <v/>
      </c>
      <c r="C125" s="24"/>
      <c r="D125" s="44"/>
      <c r="E125" s="27"/>
      <c r="F125" s="45" t="str">
        <f aca="false">IF(A125="","",IF(G125="","⛔ التاريخ غلط — اختاره من القائمة أو اكتبه كامل 05/10/2026",IF(OR(H125&lt;1,H125&gt;NW),"⛔ التاريخ برّا السنة",IF(AND(N(D125)&gt;0,N(J125)&gt;0,D125&gt;ADV_CAP*J125),"⚠️ أكثر من "&amp;TEXT(ADV_CAP,"0%")&amp;" من شغله ("&amp;TEXT(J125,"0.000")&amp;")",""))))</f>
        <v/>
      </c>
      <c r="G125" s="0" t="str">
        <f aca="true">IF(A125="","",IF(ISNUMBER(A125),IF(A125&gt;=36526,A125,""),IFERROR(DATE(VALUE(RIGHT(RIGHT(TRIM(A125),10),4)),VALUE(MID(RIGHT(TRIM(A125),10),4,2)),VALUE(LEFT(RIGHT(TRIM(A125),10),2))),IFERROR(TODAY()-MOD(WEEKDAY(TODAY(),1)-MATCH(TRIM(A125),{"الأحد","الاثنين","الثلاثاء","الأربعاء","الخميس","الجمعة","السبت"},0),7),IFERROR(DATEVALUE(A125),"")))))</f>
        <v/>
      </c>
      <c r="H125" s="0" t="str">
        <f aca="false">IF(G125="","",INT((G125-WEEK_ONE)/7)+1)</f>
        <v/>
      </c>
      <c r="I125" s="0" t="str">
        <f aca="false">IF(H125="","",IF(OR(H125&lt;1,H125&gt;NW),"",INDEX(WMON,H125)))</f>
        <v/>
      </c>
      <c r="J125" s="0" t="str">
        <f aca="false">IF(OR(G125="",H125="",C125=""),"",IF(C125="عمر المصري",SUMIFS('ساعات عمر'!$H$5:$H$746,'ساعات عمر'!$A$5:$A$746,"&gt;="&amp;(WEEK_ONE+7*(H125-1)),'ساعات عمر'!$A$5:$A$746,"&lt;="&amp;G125),SUMIFS('ساعات عبدالعزيز'!$F$5:$F$746,'ساعات عبدالعزيز'!$A$5:$A$746,"&gt;="&amp;(WEEK_ONE+7*(H125-1)),'ساعات عبدالعزيز'!$A$5:$A$746,"&lt;="&amp;G125)))</f>
        <v/>
      </c>
    </row>
    <row r="126" customFormat="false" ht="15" hidden="false" customHeight="false" outlineLevel="0" collapsed="false">
      <c r="A126" s="43"/>
      <c r="B126" s="23" t="str">
        <f aca="false">IF(G126="","",CHOOSE(WEEKDAY(G126,1),"الأحد","الاثنين","الثلاثاء","الأربعاء","الخميس","الجمعة","السبت")&amp;IF(OR(ISNUMBER(A126),LEN(TRIM(A126))&gt;=10),"","  "&amp;TEXT(DAY(G126),"00")&amp;"/"&amp;TEXT(MONTH(G126),"00")&amp;"/"&amp;YEAR(G126)))</f>
        <v/>
      </c>
      <c r="C126" s="24"/>
      <c r="D126" s="44"/>
      <c r="E126" s="27"/>
      <c r="F126" s="45" t="str">
        <f aca="false">IF(A126="","",IF(G126="","⛔ التاريخ غلط — اختاره من القائمة أو اكتبه كامل 05/10/2026",IF(OR(H126&lt;1,H126&gt;NW),"⛔ التاريخ برّا السنة",IF(AND(N(D126)&gt;0,N(J126)&gt;0,D126&gt;ADV_CAP*J126),"⚠️ أكثر من "&amp;TEXT(ADV_CAP,"0%")&amp;" من شغله ("&amp;TEXT(J126,"0.000")&amp;")",""))))</f>
        <v/>
      </c>
      <c r="G126" s="0" t="str">
        <f aca="true">IF(A126="","",IF(ISNUMBER(A126),IF(A126&gt;=36526,A126,""),IFERROR(DATE(VALUE(RIGHT(RIGHT(TRIM(A126),10),4)),VALUE(MID(RIGHT(TRIM(A126),10),4,2)),VALUE(LEFT(RIGHT(TRIM(A126),10),2))),IFERROR(TODAY()-MOD(WEEKDAY(TODAY(),1)-MATCH(TRIM(A126),{"الأحد","الاثنين","الثلاثاء","الأربعاء","الخميس","الجمعة","السبت"},0),7),IFERROR(DATEVALUE(A126),"")))))</f>
        <v/>
      </c>
      <c r="H126" s="0" t="str">
        <f aca="false">IF(G126="","",INT((G126-WEEK_ONE)/7)+1)</f>
        <v/>
      </c>
      <c r="I126" s="0" t="str">
        <f aca="false">IF(H126="","",IF(OR(H126&lt;1,H126&gt;NW),"",INDEX(WMON,H126)))</f>
        <v/>
      </c>
      <c r="J126" s="0" t="str">
        <f aca="false">IF(OR(G126="",H126="",C126=""),"",IF(C126="عمر المصري",SUMIFS('ساعات عمر'!$H$5:$H$746,'ساعات عمر'!$A$5:$A$746,"&gt;="&amp;(WEEK_ONE+7*(H126-1)),'ساعات عمر'!$A$5:$A$746,"&lt;="&amp;G126),SUMIFS('ساعات عبدالعزيز'!$F$5:$F$746,'ساعات عبدالعزيز'!$A$5:$A$746,"&gt;="&amp;(WEEK_ONE+7*(H126-1)),'ساعات عبدالعزيز'!$A$5:$A$746,"&lt;="&amp;G126)))</f>
        <v/>
      </c>
    </row>
    <row r="127" customFormat="false" ht="15" hidden="false" customHeight="false" outlineLevel="0" collapsed="false">
      <c r="A127" s="43"/>
      <c r="B127" s="23" t="str">
        <f aca="false">IF(G127="","",CHOOSE(WEEKDAY(G127,1),"الأحد","الاثنين","الثلاثاء","الأربعاء","الخميس","الجمعة","السبت")&amp;IF(OR(ISNUMBER(A127),LEN(TRIM(A127))&gt;=10),"","  "&amp;TEXT(DAY(G127),"00")&amp;"/"&amp;TEXT(MONTH(G127),"00")&amp;"/"&amp;YEAR(G127)))</f>
        <v/>
      </c>
      <c r="C127" s="24"/>
      <c r="D127" s="44"/>
      <c r="E127" s="27"/>
      <c r="F127" s="45" t="str">
        <f aca="false">IF(A127="","",IF(G127="","⛔ التاريخ غلط — اختاره من القائمة أو اكتبه كامل 05/10/2026",IF(OR(H127&lt;1,H127&gt;NW),"⛔ التاريخ برّا السنة",IF(AND(N(D127)&gt;0,N(J127)&gt;0,D127&gt;ADV_CAP*J127),"⚠️ أكثر من "&amp;TEXT(ADV_CAP,"0%")&amp;" من شغله ("&amp;TEXT(J127,"0.000")&amp;")",""))))</f>
        <v/>
      </c>
      <c r="G127" s="0" t="str">
        <f aca="true">IF(A127="","",IF(ISNUMBER(A127),IF(A127&gt;=36526,A127,""),IFERROR(DATE(VALUE(RIGHT(RIGHT(TRIM(A127),10),4)),VALUE(MID(RIGHT(TRIM(A127),10),4,2)),VALUE(LEFT(RIGHT(TRIM(A127),10),2))),IFERROR(TODAY()-MOD(WEEKDAY(TODAY(),1)-MATCH(TRIM(A127),{"الأحد","الاثنين","الثلاثاء","الأربعاء","الخميس","الجمعة","السبت"},0),7),IFERROR(DATEVALUE(A127),"")))))</f>
        <v/>
      </c>
      <c r="H127" s="0" t="str">
        <f aca="false">IF(G127="","",INT((G127-WEEK_ONE)/7)+1)</f>
        <v/>
      </c>
      <c r="I127" s="0" t="str">
        <f aca="false">IF(H127="","",IF(OR(H127&lt;1,H127&gt;NW),"",INDEX(WMON,H127)))</f>
        <v/>
      </c>
      <c r="J127" s="0" t="str">
        <f aca="false">IF(OR(G127="",H127="",C127=""),"",IF(C127="عمر المصري",SUMIFS('ساعات عمر'!$H$5:$H$746,'ساعات عمر'!$A$5:$A$746,"&gt;="&amp;(WEEK_ONE+7*(H127-1)),'ساعات عمر'!$A$5:$A$746,"&lt;="&amp;G127),SUMIFS('ساعات عبدالعزيز'!$F$5:$F$746,'ساعات عبدالعزيز'!$A$5:$A$746,"&gt;="&amp;(WEEK_ONE+7*(H127-1)),'ساعات عبدالعزيز'!$A$5:$A$746,"&lt;="&amp;G127)))</f>
        <v/>
      </c>
    </row>
    <row r="128" customFormat="false" ht="15" hidden="false" customHeight="false" outlineLevel="0" collapsed="false">
      <c r="A128" s="43"/>
      <c r="B128" s="23" t="str">
        <f aca="false">IF(G128="","",CHOOSE(WEEKDAY(G128,1),"الأحد","الاثنين","الثلاثاء","الأربعاء","الخميس","الجمعة","السبت")&amp;IF(OR(ISNUMBER(A128),LEN(TRIM(A128))&gt;=10),"","  "&amp;TEXT(DAY(G128),"00")&amp;"/"&amp;TEXT(MONTH(G128),"00")&amp;"/"&amp;YEAR(G128)))</f>
        <v/>
      </c>
      <c r="C128" s="24"/>
      <c r="D128" s="44"/>
      <c r="E128" s="27"/>
      <c r="F128" s="45" t="str">
        <f aca="false">IF(A128="","",IF(G128="","⛔ التاريخ غلط — اختاره من القائمة أو اكتبه كامل 05/10/2026",IF(OR(H128&lt;1,H128&gt;NW),"⛔ التاريخ برّا السنة",IF(AND(N(D128)&gt;0,N(J128)&gt;0,D128&gt;ADV_CAP*J128),"⚠️ أكثر من "&amp;TEXT(ADV_CAP,"0%")&amp;" من شغله ("&amp;TEXT(J128,"0.000")&amp;")",""))))</f>
        <v/>
      </c>
      <c r="G128" s="0" t="str">
        <f aca="true">IF(A128="","",IF(ISNUMBER(A128),IF(A128&gt;=36526,A128,""),IFERROR(DATE(VALUE(RIGHT(RIGHT(TRIM(A128),10),4)),VALUE(MID(RIGHT(TRIM(A128),10),4,2)),VALUE(LEFT(RIGHT(TRIM(A128),10),2))),IFERROR(TODAY()-MOD(WEEKDAY(TODAY(),1)-MATCH(TRIM(A128),{"الأحد","الاثنين","الثلاثاء","الأربعاء","الخميس","الجمعة","السبت"},0),7),IFERROR(DATEVALUE(A128),"")))))</f>
        <v/>
      </c>
      <c r="H128" s="0" t="str">
        <f aca="false">IF(G128="","",INT((G128-WEEK_ONE)/7)+1)</f>
        <v/>
      </c>
      <c r="I128" s="0" t="str">
        <f aca="false">IF(H128="","",IF(OR(H128&lt;1,H128&gt;NW),"",INDEX(WMON,H128)))</f>
        <v/>
      </c>
      <c r="J128" s="0" t="str">
        <f aca="false">IF(OR(G128="",H128="",C128=""),"",IF(C128="عمر المصري",SUMIFS('ساعات عمر'!$H$5:$H$746,'ساعات عمر'!$A$5:$A$746,"&gt;="&amp;(WEEK_ONE+7*(H128-1)),'ساعات عمر'!$A$5:$A$746,"&lt;="&amp;G128),SUMIFS('ساعات عبدالعزيز'!$F$5:$F$746,'ساعات عبدالعزيز'!$A$5:$A$746,"&gt;="&amp;(WEEK_ONE+7*(H128-1)),'ساعات عبدالعزيز'!$A$5:$A$746,"&lt;="&amp;G128)))</f>
        <v/>
      </c>
    </row>
    <row r="129" customFormat="false" ht="15" hidden="false" customHeight="false" outlineLevel="0" collapsed="false">
      <c r="A129" s="43"/>
      <c r="B129" s="23" t="str">
        <f aca="false">IF(G129="","",CHOOSE(WEEKDAY(G129,1),"الأحد","الاثنين","الثلاثاء","الأربعاء","الخميس","الجمعة","السبت")&amp;IF(OR(ISNUMBER(A129),LEN(TRIM(A129))&gt;=10),"","  "&amp;TEXT(DAY(G129),"00")&amp;"/"&amp;TEXT(MONTH(G129),"00")&amp;"/"&amp;YEAR(G129)))</f>
        <v/>
      </c>
      <c r="C129" s="24"/>
      <c r="D129" s="44"/>
      <c r="E129" s="27"/>
      <c r="F129" s="45" t="str">
        <f aca="false">IF(A129="","",IF(G129="","⛔ التاريخ غلط — اختاره من القائمة أو اكتبه كامل 05/10/2026",IF(OR(H129&lt;1,H129&gt;NW),"⛔ التاريخ برّا السنة",IF(AND(N(D129)&gt;0,N(J129)&gt;0,D129&gt;ADV_CAP*J129),"⚠️ أكثر من "&amp;TEXT(ADV_CAP,"0%")&amp;" من شغله ("&amp;TEXT(J129,"0.000")&amp;")",""))))</f>
        <v/>
      </c>
      <c r="G129" s="0" t="str">
        <f aca="true">IF(A129="","",IF(ISNUMBER(A129),IF(A129&gt;=36526,A129,""),IFERROR(DATE(VALUE(RIGHT(RIGHT(TRIM(A129),10),4)),VALUE(MID(RIGHT(TRIM(A129),10),4,2)),VALUE(LEFT(RIGHT(TRIM(A129),10),2))),IFERROR(TODAY()-MOD(WEEKDAY(TODAY(),1)-MATCH(TRIM(A129),{"الأحد","الاثنين","الثلاثاء","الأربعاء","الخميس","الجمعة","السبت"},0),7),IFERROR(DATEVALUE(A129),"")))))</f>
        <v/>
      </c>
      <c r="H129" s="0" t="str">
        <f aca="false">IF(G129="","",INT((G129-WEEK_ONE)/7)+1)</f>
        <v/>
      </c>
      <c r="I129" s="0" t="str">
        <f aca="false">IF(H129="","",IF(OR(H129&lt;1,H129&gt;NW),"",INDEX(WMON,H129)))</f>
        <v/>
      </c>
      <c r="J129" s="0" t="str">
        <f aca="false">IF(OR(G129="",H129="",C129=""),"",IF(C129="عمر المصري",SUMIFS('ساعات عمر'!$H$5:$H$746,'ساعات عمر'!$A$5:$A$746,"&gt;="&amp;(WEEK_ONE+7*(H129-1)),'ساعات عمر'!$A$5:$A$746,"&lt;="&amp;G129),SUMIFS('ساعات عبدالعزيز'!$F$5:$F$746,'ساعات عبدالعزيز'!$A$5:$A$746,"&gt;="&amp;(WEEK_ONE+7*(H129-1)),'ساعات عبدالعزيز'!$A$5:$A$746,"&lt;="&amp;G129)))</f>
        <v/>
      </c>
    </row>
    <row r="130" customFormat="false" ht="15" hidden="false" customHeight="false" outlineLevel="0" collapsed="false">
      <c r="A130" s="43"/>
      <c r="B130" s="23" t="str">
        <f aca="false">IF(G130="","",CHOOSE(WEEKDAY(G130,1),"الأحد","الاثنين","الثلاثاء","الأربعاء","الخميس","الجمعة","السبت")&amp;IF(OR(ISNUMBER(A130),LEN(TRIM(A130))&gt;=10),"","  "&amp;TEXT(DAY(G130),"00")&amp;"/"&amp;TEXT(MONTH(G130),"00")&amp;"/"&amp;YEAR(G130)))</f>
        <v/>
      </c>
      <c r="C130" s="24"/>
      <c r="D130" s="44"/>
      <c r="E130" s="27"/>
      <c r="F130" s="45" t="str">
        <f aca="false">IF(A130="","",IF(G130="","⛔ التاريخ غلط — اختاره من القائمة أو اكتبه كامل 05/10/2026",IF(OR(H130&lt;1,H130&gt;NW),"⛔ التاريخ برّا السنة",IF(AND(N(D130)&gt;0,N(J130)&gt;0,D130&gt;ADV_CAP*J130),"⚠️ أكثر من "&amp;TEXT(ADV_CAP,"0%")&amp;" من شغله ("&amp;TEXT(J130,"0.000")&amp;")",""))))</f>
        <v/>
      </c>
      <c r="G130" s="0" t="str">
        <f aca="true">IF(A130="","",IF(ISNUMBER(A130),IF(A130&gt;=36526,A130,""),IFERROR(DATE(VALUE(RIGHT(RIGHT(TRIM(A130),10),4)),VALUE(MID(RIGHT(TRIM(A130),10),4,2)),VALUE(LEFT(RIGHT(TRIM(A130),10),2))),IFERROR(TODAY()-MOD(WEEKDAY(TODAY(),1)-MATCH(TRIM(A130),{"الأحد","الاثنين","الثلاثاء","الأربعاء","الخميس","الجمعة","السبت"},0),7),IFERROR(DATEVALUE(A130),"")))))</f>
        <v/>
      </c>
      <c r="H130" s="0" t="str">
        <f aca="false">IF(G130="","",INT((G130-WEEK_ONE)/7)+1)</f>
        <v/>
      </c>
      <c r="I130" s="0" t="str">
        <f aca="false">IF(H130="","",IF(OR(H130&lt;1,H130&gt;NW),"",INDEX(WMON,H130)))</f>
        <v/>
      </c>
      <c r="J130" s="0" t="str">
        <f aca="false">IF(OR(G130="",H130="",C130=""),"",IF(C130="عمر المصري",SUMIFS('ساعات عمر'!$H$5:$H$746,'ساعات عمر'!$A$5:$A$746,"&gt;="&amp;(WEEK_ONE+7*(H130-1)),'ساعات عمر'!$A$5:$A$746,"&lt;="&amp;G130),SUMIFS('ساعات عبدالعزيز'!$F$5:$F$746,'ساعات عبدالعزيز'!$A$5:$A$746,"&gt;="&amp;(WEEK_ONE+7*(H130-1)),'ساعات عبدالعزيز'!$A$5:$A$746,"&lt;="&amp;G130)))</f>
        <v/>
      </c>
    </row>
    <row r="131" customFormat="false" ht="15" hidden="false" customHeight="false" outlineLevel="0" collapsed="false">
      <c r="A131" s="43"/>
      <c r="B131" s="23" t="str">
        <f aca="false">IF(G131="","",CHOOSE(WEEKDAY(G131,1),"الأحد","الاثنين","الثلاثاء","الأربعاء","الخميس","الجمعة","السبت")&amp;IF(OR(ISNUMBER(A131),LEN(TRIM(A131))&gt;=10),"","  "&amp;TEXT(DAY(G131),"00")&amp;"/"&amp;TEXT(MONTH(G131),"00")&amp;"/"&amp;YEAR(G131)))</f>
        <v/>
      </c>
      <c r="C131" s="24"/>
      <c r="D131" s="44"/>
      <c r="E131" s="27"/>
      <c r="F131" s="45" t="str">
        <f aca="false">IF(A131="","",IF(G131="","⛔ التاريخ غلط — اختاره من القائمة أو اكتبه كامل 05/10/2026",IF(OR(H131&lt;1,H131&gt;NW),"⛔ التاريخ برّا السنة",IF(AND(N(D131)&gt;0,N(J131)&gt;0,D131&gt;ADV_CAP*J131),"⚠️ أكثر من "&amp;TEXT(ADV_CAP,"0%")&amp;" من شغله ("&amp;TEXT(J131,"0.000")&amp;")",""))))</f>
        <v/>
      </c>
      <c r="G131" s="0" t="str">
        <f aca="true">IF(A131="","",IF(ISNUMBER(A131),IF(A131&gt;=36526,A131,""),IFERROR(DATE(VALUE(RIGHT(RIGHT(TRIM(A131),10),4)),VALUE(MID(RIGHT(TRIM(A131),10),4,2)),VALUE(LEFT(RIGHT(TRIM(A131),10),2))),IFERROR(TODAY()-MOD(WEEKDAY(TODAY(),1)-MATCH(TRIM(A131),{"الأحد","الاثنين","الثلاثاء","الأربعاء","الخميس","الجمعة","السبت"},0),7),IFERROR(DATEVALUE(A131),"")))))</f>
        <v/>
      </c>
      <c r="H131" s="0" t="str">
        <f aca="false">IF(G131="","",INT((G131-WEEK_ONE)/7)+1)</f>
        <v/>
      </c>
      <c r="I131" s="0" t="str">
        <f aca="false">IF(H131="","",IF(OR(H131&lt;1,H131&gt;NW),"",INDEX(WMON,H131)))</f>
        <v/>
      </c>
      <c r="J131" s="0" t="str">
        <f aca="false">IF(OR(G131="",H131="",C131=""),"",IF(C131="عمر المصري",SUMIFS('ساعات عمر'!$H$5:$H$746,'ساعات عمر'!$A$5:$A$746,"&gt;="&amp;(WEEK_ONE+7*(H131-1)),'ساعات عمر'!$A$5:$A$746,"&lt;="&amp;G131),SUMIFS('ساعات عبدالعزيز'!$F$5:$F$746,'ساعات عبدالعزيز'!$A$5:$A$746,"&gt;="&amp;(WEEK_ONE+7*(H131-1)),'ساعات عبدالعزيز'!$A$5:$A$746,"&lt;="&amp;G131)))</f>
        <v/>
      </c>
    </row>
    <row r="132" customFormat="false" ht="15" hidden="false" customHeight="false" outlineLevel="0" collapsed="false">
      <c r="A132" s="43"/>
      <c r="B132" s="23" t="str">
        <f aca="false">IF(G132="","",CHOOSE(WEEKDAY(G132,1),"الأحد","الاثنين","الثلاثاء","الأربعاء","الخميس","الجمعة","السبت")&amp;IF(OR(ISNUMBER(A132),LEN(TRIM(A132))&gt;=10),"","  "&amp;TEXT(DAY(G132),"00")&amp;"/"&amp;TEXT(MONTH(G132),"00")&amp;"/"&amp;YEAR(G132)))</f>
        <v/>
      </c>
      <c r="C132" s="24"/>
      <c r="D132" s="44"/>
      <c r="E132" s="27"/>
      <c r="F132" s="45" t="str">
        <f aca="false">IF(A132="","",IF(G132="","⛔ التاريخ غلط — اختاره من القائمة أو اكتبه كامل 05/10/2026",IF(OR(H132&lt;1,H132&gt;NW),"⛔ التاريخ برّا السنة",IF(AND(N(D132)&gt;0,N(J132)&gt;0,D132&gt;ADV_CAP*J132),"⚠️ أكثر من "&amp;TEXT(ADV_CAP,"0%")&amp;" من شغله ("&amp;TEXT(J132,"0.000")&amp;")",""))))</f>
        <v/>
      </c>
      <c r="G132" s="0" t="str">
        <f aca="true">IF(A132="","",IF(ISNUMBER(A132),IF(A132&gt;=36526,A132,""),IFERROR(DATE(VALUE(RIGHT(RIGHT(TRIM(A132),10),4)),VALUE(MID(RIGHT(TRIM(A132),10),4,2)),VALUE(LEFT(RIGHT(TRIM(A132),10),2))),IFERROR(TODAY()-MOD(WEEKDAY(TODAY(),1)-MATCH(TRIM(A132),{"الأحد","الاثنين","الثلاثاء","الأربعاء","الخميس","الجمعة","السبت"},0),7),IFERROR(DATEVALUE(A132),"")))))</f>
        <v/>
      </c>
      <c r="H132" s="0" t="str">
        <f aca="false">IF(G132="","",INT((G132-WEEK_ONE)/7)+1)</f>
        <v/>
      </c>
      <c r="I132" s="0" t="str">
        <f aca="false">IF(H132="","",IF(OR(H132&lt;1,H132&gt;NW),"",INDEX(WMON,H132)))</f>
        <v/>
      </c>
      <c r="J132" s="0" t="str">
        <f aca="false">IF(OR(G132="",H132="",C132=""),"",IF(C132="عمر المصري",SUMIFS('ساعات عمر'!$H$5:$H$746,'ساعات عمر'!$A$5:$A$746,"&gt;="&amp;(WEEK_ONE+7*(H132-1)),'ساعات عمر'!$A$5:$A$746,"&lt;="&amp;G132),SUMIFS('ساعات عبدالعزيز'!$F$5:$F$746,'ساعات عبدالعزيز'!$A$5:$A$746,"&gt;="&amp;(WEEK_ONE+7*(H132-1)),'ساعات عبدالعزيز'!$A$5:$A$746,"&lt;="&amp;G132)))</f>
        <v/>
      </c>
    </row>
    <row r="133" customFormat="false" ht="15" hidden="false" customHeight="false" outlineLevel="0" collapsed="false">
      <c r="A133" s="43"/>
      <c r="B133" s="23" t="str">
        <f aca="false">IF(G133="","",CHOOSE(WEEKDAY(G133,1),"الأحد","الاثنين","الثلاثاء","الأربعاء","الخميس","الجمعة","السبت")&amp;IF(OR(ISNUMBER(A133),LEN(TRIM(A133))&gt;=10),"","  "&amp;TEXT(DAY(G133),"00")&amp;"/"&amp;TEXT(MONTH(G133),"00")&amp;"/"&amp;YEAR(G133)))</f>
        <v/>
      </c>
      <c r="C133" s="24"/>
      <c r="D133" s="44"/>
      <c r="E133" s="27"/>
      <c r="F133" s="45" t="str">
        <f aca="false">IF(A133="","",IF(G133="","⛔ التاريخ غلط — اختاره من القائمة أو اكتبه كامل 05/10/2026",IF(OR(H133&lt;1,H133&gt;NW),"⛔ التاريخ برّا السنة",IF(AND(N(D133)&gt;0,N(J133)&gt;0,D133&gt;ADV_CAP*J133),"⚠️ أكثر من "&amp;TEXT(ADV_CAP,"0%")&amp;" من شغله ("&amp;TEXT(J133,"0.000")&amp;")",""))))</f>
        <v/>
      </c>
      <c r="G133" s="0" t="str">
        <f aca="true">IF(A133="","",IF(ISNUMBER(A133),IF(A133&gt;=36526,A133,""),IFERROR(DATE(VALUE(RIGHT(RIGHT(TRIM(A133),10),4)),VALUE(MID(RIGHT(TRIM(A133),10),4,2)),VALUE(LEFT(RIGHT(TRIM(A133),10),2))),IFERROR(TODAY()-MOD(WEEKDAY(TODAY(),1)-MATCH(TRIM(A133),{"الأحد","الاثنين","الثلاثاء","الأربعاء","الخميس","الجمعة","السبت"},0),7),IFERROR(DATEVALUE(A133),"")))))</f>
        <v/>
      </c>
      <c r="H133" s="0" t="str">
        <f aca="false">IF(G133="","",INT((G133-WEEK_ONE)/7)+1)</f>
        <v/>
      </c>
      <c r="I133" s="0" t="str">
        <f aca="false">IF(H133="","",IF(OR(H133&lt;1,H133&gt;NW),"",INDEX(WMON,H133)))</f>
        <v/>
      </c>
      <c r="J133" s="0" t="str">
        <f aca="false">IF(OR(G133="",H133="",C133=""),"",IF(C133="عمر المصري",SUMIFS('ساعات عمر'!$H$5:$H$746,'ساعات عمر'!$A$5:$A$746,"&gt;="&amp;(WEEK_ONE+7*(H133-1)),'ساعات عمر'!$A$5:$A$746,"&lt;="&amp;G133),SUMIFS('ساعات عبدالعزيز'!$F$5:$F$746,'ساعات عبدالعزيز'!$A$5:$A$746,"&gt;="&amp;(WEEK_ONE+7*(H133-1)),'ساعات عبدالعزيز'!$A$5:$A$746,"&lt;="&amp;G133)))</f>
        <v/>
      </c>
    </row>
    <row r="134" customFormat="false" ht="15" hidden="false" customHeight="false" outlineLevel="0" collapsed="false">
      <c r="A134" s="43"/>
      <c r="B134" s="23" t="str">
        <f aca="false">IF(G134="","",CHOOSE(WEEKDAY(G134,1),"الأحد","الاثنين","الثلاثاء","الأربعاء","الخميس","الجمعة","السبت")&amp;IF(OR(ISNUMBER(A134),LEN(TRIM(A134))&gt;=10),"","  "&amp;TEXT(DAY(G134),"00")&amp;"/"&amp;TEXT(MONTH(G134),"00")&amp;"/"&amp;YEAR(G134)))</f>
        <v/>
      </c>
      <c r="C134" s="24"/>
      <c r="D134" s="44"/>
      <c r="E134" s="27"/>
      <c r="F134" s="45" t="str">
        <f aca="false">IF(A134="","",IF(G134="","⛔ التاريخ غلط — اختاره من القائمة أو اكتبه كامل 05/10/2026",IF(OR(H134&lt;1,H134&gt;NW),"⛔ التاريخ برّا السنة",IF(AND(N(D134)&gt;0,N(J134)&gt;0,D134&gt;ADV_CAP*J134),"⚠️ أكثر من "&amp;TEXT(ADV_CAP,"0%")&amp;" من شغله ("&amp;TEXT(J134,"0.000")&amp;")",""))))</f>
        <v/>
      </c>
      <c r="G134" s="0" t="str">
        <f aca="true">IF(A134="","",IF(ISNUMBER(A134),IF(A134&gt;=36526,A134,""),IFERROR(DATE(VALUE(RIGHT(RIGHT(TRIM(A134),10),4)),VALUE(MID(RIGHT(TRIM(A134),10),4,2)),VALUE(LEFT(RIGHT(TRIM(A134),10),2))),IFERROR(TODAY()-MOD(WEEKDAY(TODAY(),1)-MATCH(TRIM(A134),{"الأحد","الاثنين","الثلاثاء","الأربعاء","الخميس","الجمعة","السبت"},0),7),IFERROR(DATEVALUE(A134),"")))))</f>
        <v/>
      </c>
      <c r="H134" s="0" t="str">
        <f aca="false">IF(G134="","",INT((G134-WEEK_ONE)/7)+1)</f>
        <v/>
      </c>
      <c r="I134" s="0" t="str">
        <f aca="false">IF(H134="","",IF(OR(H134&lt;1,H134&gt;NW),"",INDEX(WMON,H134)))</f>
        <v/>
      </c>
      <c r="J134" s="0" t="str">
        <f aca="false">IF(OR(G134="",H134="",C134=""),"",IF(C134="عمر المصري",SUMIFS('ساعات عمر'!$H$5:$H$746,'ساعات عمر'!$A$5:$A$746,"&gt;="&amp;(WEEK_ONE+7*(H134-1)),'ساعات عمر'!$A$5:$A$746,"&lt;="&amp;G134),SUMIFS('ساعات عبدالعزيز'!$F$5:$F$746,'ساعات عبدالعزيز'!$A$5:$A$746,"&gt;="&amp;(WEEK_ONE+7*(H134-1)),'ساعات عبدالعزيز'!$A$5:$A$746,"&lt;="&amp;G134)))</f>
        <v/>
      </c>
    </row>
    <row r="135" customFormat="false" ht="15" hidden="false" customHeight="false" outlineLevel="0" collapsed="false">
      <c r="A135" s="43"/>
      <c r="B135" s="23" t="str">
        <f aca="false">IF(G135="","",CHOOSE(WEEKDAY(G135,1),"الأحد","الاثنين","الثلاثاء","الأربعاء","الخميس","الجمعة","السبت")&amp;IF(OR(ISNUMBER(A135),LEN(TRIM(A135))&gt;=10),"","  "&amp;TEXT(DAY(G135),"00")&amp;"/"&amp;TEXT(MONTH(G135),"00")&amp;"/"&amp;YEAR(G135)))</f>
        <v/>
      </c>
      <c r="C135" s="24"/>
      <c r="D135" s="44"/>
      <c r="E135" s="27"/>
      <c r="F135" s="45" t="str">
        <f aca="false">IF(A135="","",IF(G135="","⛔ التاريخ غلط — اختاره من القائمة أو اكتبه كامل 05/10/2026",IF(OR(H135&lt;1,H135&gt;NW),"⛔ التاريخ برّا السنة",IF(AND(N(D135)&gt;0,N(J135)&gt;0,D135&gt;ADV_CAP*J135),"⚠️ أكثر من "&amp;TEXT(ADV_CAP,"0%")&amp;" من شغله ("&amp;TEXT(J135,"0.000")&amp;")",""))))</f>
        <v/>
      </c>
      <c r="G135" s="0" t="str">
        <f aca="true">IF(A135="","",IF(ISNUMBER(A135),IF(A135&gt;=36526,A135,""),IFERROR(DATE(VALUE(RIGHT(RIGHT(TRIM(A135),10),4)),VALUE(MID(RIGHT(TRIM(A135),10),4,2)),VALUE(LEFT(RIGHT(TRIM(A135),10),2))),IFERROR(TODAY()-MOD(WEEKDAY(TODAY(),1)-MATCH(TRIM(A135),{"الأحد","الاثنين","الثلاثاء","الأربعاء","الخميس","الجمعة","السبت"},0),7),IFERROR(DATEVALUE(A135),"")))))</f>
        <v/>
      </c>
      <c r="H135" s="0" t="str">
        <f aca="false">IF(G135="","",INT((G135-WEEK_ONE)/7)+1)</f>
        <v/>
      </c>
      <c r="I135" s="0" t="str">
        <f aca="false">IF(H135="","",IF(OR(H135&lt;1,H135&gt;NW),"",INDEX(WMON,H135)))</f>
        <v/>
      </c>
      <c r="J135" s="0" t="str">
        <f aca="false">IF(OR(G135="",H135="",C135=""),"",IF(C135="عمر المصري",SUMIFS('ساعات عمر'!$H$5:$H$746,'ساعات عمر'!$A$5:$A$746,"&gt;="&amp;(WEEK_ONE+7*(H135-1)),'ساعات عمر'!$A$5:$A$746,"&lt;="&amp;G135),SUMIFS('ساعات عبدالعزيز'!$F$5:$F$746,'ساعات عبدالعزيز'!$A$5:$A$746,"&gt;="&amp;(WEEK_ONE+7*(H135-1)),'ساعات عبدالعزيز'!$A$5:$A$746,"&lt;="&amp;G135)))</f>
        <v/>
      </c>
    </row>
    <row r="136" customFormat="false" ht="15" hidden="false" customHeight="false" outlineLevel="0" collapsed="false">
      <c r="A136" s="43"/>
      <c r="B136" s="23" t="str">
        <f aca="false">IF(G136="","",CHOOSE(WEEKDAY(G136,1),"الأحد","الاثنين","الثلاثاء","الأربعاء","الخميس","الجمعة","السبت")&amp;IF(OR(ISNUMBER(A136),LEN(TRIM(A136))&gt;=10),"","  "&amp;TEXT(DAY(G136),"00")&amp;"/"&amp;TEXT(MONTH(G136),"00")&amp;"/"&amp;YEAR(G136)))</f>
        <v/>
      </c>
      <c r="C136" s="24"/>
      <c r="D136" s="44"/>
      <c r="E136" s="27"/>
      <c r="F136" s="45" t="str">
        <f aca="false">IF(A136="","",IF(G136="","⛔ التاريخ غلط — اختاره من القائمة أو اكتبه كامل 05/10/2026",IF(OR(H136&lt;1,H136&gt;NW),"⛔ التاريخ برّا السنة",IF(AND(N(D136)&gt;0,N(J136)&gt;0,D136&gt;ADV_CAP*J136),"⚠️ أكثر من "&amp;TEXT(ADV_CAP,"0%")&amp;" من شغله ("&amp;TEXT(J136,"0.000")&amp;")",""))))</f>
        <v/>
      </c>
      <c r="G136" s="0" t="str">
        <f aca="true">IF(A136="","",IF(ISNUMBER(A136),IF(A136&gt;=36526,A136,""),IFERROR(DATE(VALUE(RIGHT(RIGHT(TRIM(A136),10),4)),VALUE(MID(RIGHT(TRIM(A136),10),4,2)),VALUE(LEFT(RIGHT(TRIM(A136),10),2))),IFERROR(TODAY()-MOD(WEEKDAY(TODAY(),1)-MATCH(TRIM(A136),{"الأحد","الاثنين","الثلاثاء","الأربعاء","الخميس","الجمعة","السبت"},0),7),IFERROR(DATEVALUE(A136),"")))))</f>
        <v/>
      </c>
      <c r="H136" s="0" t="str">
        <f aca="false">IF(G136="","",INT((G136-WEEK_ONE)/7)+1)</f>
        <v/>
      </c>
      <c r="I136" s="0" t="str">
        <f aca="false">IF(H136="","",IF(OR(H136&lt;1,H136&gt;NW),"",INDEX(WMON,H136)))</f>
        <v/>
      </c>
      <c r="J136" s="0" t="str">
        <f aca="false">IF(OR(G136="",H136="",C136=""),"",IF(C136="عمر المصري",SUMIFS('ساعات عمر'!$H$5:$H$746,'ساعات عمر'!$A$5:$A$746,"&gt;="&amp;(WEEK_ONE+7*(H136-1)),'ساعات عمر'!$A$5:$A$746,"&lt;="&amp;G136),SUMIFS('ساعات عبدالعزيز'!$F$5:$F$746,'ساعات عبدالعزيز'!$A$5:$A$746,"&gt;="&amp;(WEEK_ONE+7*(H136-1)),'ساعات عبدالعزيز'!$A$5:$A$746,"&lt;="&amp;G136)))</f>
        <v/>
      </c>
    </row>
    <row r="137" customFormat="false" ht="15" hidden="false" customHeight="false" outlineLevel="0" collapsed="false">
      <c r="A137" s="43"/>
      <c r="B137" s="23" t="str">
        <f aca="false">IF(G137="","",CHOOSE(WEEKDAY(G137,1),"الأحد","الاثنين","الثلاثاء","الأربعاء","الخميس","الجمعة","السبت")&amp;IF(OR(ISNUMBER(A137),LEN(TRIM(A137))&gt;=10),"","  "&amp;TEXT(DAY(G137),"00")&amp;"/"&amp;TEXT(MONTH(G137),"00")&amp;"/"&amp;YEAR(G137)))</f>
        <v/>
      </c>
      <c r="C137" s="24"/>
      <c r="D137" s="44"/>
      <c r="E137" s="27"/>
      <c r="F137" s="45" t="str">
        <f aca="false">IF(A137="","",IF(G137="","⛔ التاريخ غلط — اختاره من القائمة أو اكتبه كامل 05/10/2026",IF(OR(H137&lt;1,H137&gt;NW),"⛔ التاريخ برّا السنة",IF(AND(N(D137)&gt;0,N(J137)&gt;0,D137&gt;ADV_CAP*J137),"⚠️ أكثر من "&amp;TEXT(ADV_CAP,"0%")&amp;" من شغله ("&amp;TEXT(J137,"0.000")&amp;")",""))))</f>
        <v/>
      </c>
      <c r="G137" s="0" t="str">
        <f aca="true">IF(A137="","",IF(ISNUMBER(A137),IF(A137&gt;=36526,A137,""),IFERROR(DATE(VALUE(RIGHT(RIGHT(TRIM(A137),10),4)),VALUE(MID(RIGHT(TRIM(A137),10),4,2)),VALUE(LEFT(RIGHT(TRIM(A137),10),2))),IFERROR(TODAY()-MOD(WEEKDAY(TODAY(),1)-MATCH(TRIM(A137),{"الأحد","الاثنين","الثلاثاء","الأربعاء","الخميس","الجمعة","السبت"},0),7),IFERROR(DATEVALUE(A137),"")))))</f>
        <v/>
      </c>
      <c r="H137" s="0" t="str">
        <f aca="false">IF(G137="","",INT((G137-WEEK_ONE)/7)+1)</f>
        <v/>
      </c>
      <c r="I137" s="0" t="str">
        <f aca="false">IF(H137="","",IF(OR(H137&lt;1,H137&gt;NW),"",INDEX(WMON,H137)))</f>
        <v/>
      </c>
      <c r="J137" s="0" t="str">
        <f aca="false">IF(OR(G137="",H137="",C137=""),"",IF(C137="عمر المصري",SUMIFS('ساعات عمر'!$H$5:$H$746,'ساعات عمر'!$A$5:$A$746,"&gt;="&amp;(WEEK_ONE+7*(H137-1)),'ساعات عمر'!$A$5:$A$746,"&lt;="&amp;G137),SUMIFS('ساعات عبدالعزيز'!$F$5:$F$746,'ساعات عبدالعزيز'!$A$5:$A$746,"&gt;="&amp;(WEEK_ONE+7*(H137-1)),'ساعات عبدالعزيز'!$A$5:$A$746,"&lt;="&amp;G137)))</f>
        <v/>
      </c>
    </row>
    <row r="138" customFormat="false" ht="15" hidden="false" customHeight="false" outlineLevel="0" collapsed="false">
      <c r="A138" s="43"/>
      <c r="B138" s="23" t="str">
        <f aca="false">IF(G138="","",CHOOSE(WEEKDAY(G138,1),"الأحد","الاثنين","الثلاثاء","الأربعاء","الخميس","الجمعة","السبت")&amp;IF(OR(ISNUMBER(A138),LEN(TRIM(A138))&gt;=10),"","  "&amp;TEXT(DAY(G138),"00")&amp;"/"&amp;TEXT(MONTH(G138),"00")&amp;"/"&amp;YEAR(G138)))</f>
        <v/>
      </c>
      <c r="C138" s="24"/>
      <c r="D138" s="44"/>
      <c r="E138" s="27"/>
      <c r="F138" s="45" t="str">
        <f aca="false">IF(A138="","",IF(G138="","⛔ التاريخ غلط — اختاره من القائمة أو اكتبه كامل 05/10/2026",IF(OR(H138&lt;1,H138&gt;NW),"⛔ التاريخ برّا السنة",IF(AND(N(D138)&gt;0,N(J138)&gt;0,D138&gt;ADV_CAP*J138),"⚠️ أكثر من "&amp;TEXT(ADV_CAP,"0%")&amp;" من شغله ("&amp;TEXT(J138,"0.000")&amp;")",""))))</f>
        <v/>
      </c>
      <c r="G138" s="0" t="str">
        <f aca="true">IF(A138="","",IF(ISNUMBER(A138),IF(A138&gt;=36526,A138,""),IFERROR(DATE(VALUE(RIGHT(RIGHT(TRIM(A138),10),4)),VALUE(MID(RIGHT(TRIM(A138),10),4,2)),VALUE(LEFT(RIGHT(TRIM(A138),10),2))),IFERROR(TODAY()-MOD(WEEKDAY(TODAY(),1)-MATCH(TRIM(A138),{"الأحد","الاثنين","الثلاثاء","الأربعاء","الخميس","الجمعة","السبت"},0),7),IFERROR(DATEVALUE(A138),"")))))</f>
        <v/>
      </c>
      <c r="H138" s="0" t="str">
        <f aca="false">IF(G138="","",INT((G138-WEEK_ONE)/7)+1)</f>
        <v/>
      </c>
      <c r="I138" s="0" t="str">
        <f aca="false">IF(H138="","",IF(OR(H138&lt;1,H138&gt;NW),"",INDEX(WMON,H138)))</f>
        <v/>
      </c>
      <c r="J138" s="0" t="str">
        <f aca="false">IF(OR(G138="",H138="",C138=""),"",IF(C138="عمر المصري",SUMIFS('ساعات عمر'!$H$5:$H$746,'ساعات عمر'!$A$5:$A$746,"&gt;="&amp;(WEEK_ONE+7*(H138-1)),'ساعات عمر'!$A$5:$A$746,"&lt;="&amp;G138),SUMIFS('ساعات عبدالعزيز'!$F$5:$F$746,'ساعات عبدالعزيز'!$A$5:$A$746,"&gt;="&amp;(WEEK_ONE+7*(H138-1)),'ساعات عبدالعزيز'!$A$5:$A$746,"&lt;="&amp;G138)))</f>
        <v/>
      </c>
    </row>
    <row r="139" customFormat="false" ht="15" hidden="false" customHeight="false" outlineLevel="0" collapsed="false">
      <c r="A139" s="43"/>
      <c r="B139" s="23" t="str">
        <f aca="false">IF(G139="","",CHOOSE(WEEKDAY(G139,1),"الأحد","الاثنين","الثلاثاء","الأربعاء","الخميس","الجمعة","السبت")&amp;IF(OR(ISNUMBER(A139),LEN(TRIM(A139))&gt;=10),"","  "&amp;TEXT(DAY(G139),"00")&amp;"/"&amp;TEXT(MONTH(G139),"00")&amp;"/"&amp;YEAR(G139)))</f>
        <v/>
      </c>
      <c r="C139" s="24"/>
      <c r="D139" s="44"/>
      <c r="E139" s="27"/>
      <c r="F139" s="45" t="str">
        <f aca="false">IF(A139="","",IF(G139="","⛔ التاريخ غلط — اختاره من القائمة أو اكتبه كامل 05/10/2026",IF(OR(H139&lt;1,H139&gt;NW),"⛔ التاريخ برّا السنة",IF(AND(N(D139)&gt;0,N(J139)&gt;0,D139&gt;ADV_CAP*J139),"⚠️ أكثر من "&amp;TEXT(ADV_CAP,"0%")&amp;" من شغله ("&amp;TEXT(J139,"0.000")&amp;")",""))))</f>
        <v/>
      </c>
      <c r="G139" s="0" t="str">
        <f aca="true">IF(A139="","",IF(ISNUMBER(A139),IF(A139&gt;=36526,A139,""),IFERROR(DATE(VALUE(RIGHT(RIGHT(TRIM(A139),10),4)),VALUE(MID(RIGHT(TRIM(A139),10),4,2)),VALUE(LEFT(RIGHT(TRIM(A139),10),2))),IFERROR(TODAY()-MOD(WEEKDAY(TODAY(),1)-MATCH(TRIM(A139),{"الأحد","الاثنين","الثلاثاء","الأربعاء","الخميس","الجمعة","السبت"},0),7),IFERROR(DATEVALUE(A139),"")))))</f>
        <v/>
      </c>
      <c r="H139" s="0" t="str">
        <f aca="false">IF(G139="","",INT((G139-WEEK_ONE)/7)+1)</f>
        <v/>
      </c>
      <c r="I139" s="0" t="str">
        <f aca="false">IF(H139="","",IF(OR(H139&lt;1,H139&gt;NW),"",INDEX(WMON,H139)))</f>
        <v/>
      </c>
      <c r="J139" s="0" t="str">
        <f aca="false">IF(OR(G139="",H139="",C139=""),"",IF(C139="عمر المصري",SUMIFS('ساعات عمر'!$H$5:$H$746,'ساعات عمر'!$A$5:$A$746,"&gt;="&amp;(WEEK_ONE+7*(H139-1)),'ساعات عمر'!$A$5:$A$746,"&lt;="&amp;G139),SUMIFS('ساعات عبدالعزيز'!$F$5:$F$746,'ساعات عبدالعزيز'!$A$5:$A$746,"&gt;="&amp;(WEEK_ONE+7*(H139-1)),'ساعات عبدالعزيز'!$A$5:$A$746,"&lt;="&amp;G139)))</f>
        <v/>
      </c>
    </row>
    <row r="140" customFormat="false" ht="15" hidden="false" customHeight="false" outlineLevel="0" collapsed="false">
      <c r="A140" s="43"/>
      <c r="B140" s="23" t="str">
        <f aca="false">IF(G140="","",CHOOSE(WEEKDAY(G140,1),"الأحد","الاثنين","الثلاثاء","الأربعاء","الخميس","الجمعة","السبت")&amp;IF(OR(ISNUMBER(A140),LEN(TRIM(A140))&gt;=10),"","  "&amp;TEXT(DAY(G140),"00")&amp;"/"&amp;TEXT(MONTH(G140),"00")&amp;"/"&amp;YEAR(G140)))</f>
        <v/>
      </c>
      <c r="C140" s="24"/>
      <c r="D140" s="44"/>
      <c r="E140" s="27"/>
      <c r="F140" s="45" t="str">
        <f aca="false">IF(A140="","",IF(G140="","⛔ التاريخ غلط — اختاره من القائمة أو اكتبه كامل 05/10/2026",IF(OR(H140&lt;1,H140&gt;NW),"⛔ التاريخ برّا السنة",IF(AND(N(D140)&gt;0,N(J140)&gt;0,D140&gt;ADV_CAP*J140),"⚠️ أكثر من "&amp;TEXT(ADV_CAP,"0%")&amp;" من شغله ("&amp;TEXT(J140,"0.000")&amp;")",""))))</f>
        <v/>
      </c>
      <c r="G140" s="0" t="str">
        <f aca="true">IF(A140="","",IF(ISNUMBER(A140),IF(A140&gt;=36526,A140,""),IFERROR(DATE(VALUE(RIGHT(RIGHT(TRIM(A140),10),4)),VALUE(MID(RIGHT(TRIM(A140),10),4,2)),VALUE(LEFT(RIGHT(TRIM(A140),10),2))),IFERROR(TODAY()-MOD(WEEKDAY(TODAY(),1)-MATCH(TRIM(A140),{"الأحد","الاثنين","الثلاثاء","الأربعاء","الخميس","الجمعة","السبت"},0),7),IFERROR(DATEVALUE(A140),"")))))</f>
        <v/>
      </c>
      <c r="H140" s="0" t="str">
        <f aca="false">IF(G140="","",INT((G140-WEEK_ONE)/7)+1)</f>
        <v/>
      </c>
      <c r="I140" s="0" t="str">
        <f aca="false">IF(H140="","",IF(OR(H140&lt;1,H140&gt;NW),"",INDEX(WMON,H140)))</f>
        <v/>
      </c>
      <c r="J140" s="0" t="str">
        <f aca="false">IF(OR(G140="",H140="",C140=""),"",IF(C140="عمر المصري",SUMIFS('ساعات عمر'!$H$5:$H$746,'ساعات عمر'!$A$5:$A$746,"&gt;="&amp;(WEEK_ONE+7*(H140-1)),'ساعات عمر'!$A$5:$A$746,"&lt;="&amp;G140),SUMIFS('ساعات عبدالعزيز'!$F$5:$F$746,'ساعات عبدالعزيز'!$A$5:$A$746,"&gt;="&amp;(WEEK_ONE+7*(H140-1)),'ساعات عبدالعزيز'!$A$5:$A$746,"&lt;="&amp;G140)))</f>
        <v/>
      </c>
    </row>
    <row r="141" customFormat="false" ht="15" hidden="false" customHeight="false" outlineLevel="0" collapsed="false">
      <c r="A141" s="43"/>
      <c r="B141" s="23" t="str">
        <f aca="false">IF(G141="","",CHOOSE(WEEKDAY(G141,1),"الأحد","الاثنين","الثلاثاء","الأربعاء","الخميس","الجمعة","السبت")&amp;IF(OR(ISNUMBER(A141),LEN(TRIM(A141))&gt;=10),"","  "&amp;TEXT(DAY(G141),"00")&amp;"/"&amp;TEXT(MONTH(G141),"00")&amp;"/"&amp;YEAR(G141)))</f>
        <v/>
      </c>
      <c r="C141" s="24"/>
      <c r="D141" s="44"/>
      <c r="E141" s="27"/>
      <c r="F141" s="45" t="str">
        <f aca="false">IF(A141="","",IF(G141="","⛔ التاريخ غلط — اختاره من القائمة أو اكتبه كامل 05/10/2026",IF(OR(H141&lt;1,H141&gt;NW),"⛔ التاريخ برّا السنة",IF(AND(N(D141)&gt;0,N(J141)&gt;0,D141&gt;ADV_CAP*J141),"⚠️ أكثر من "&amp;TEXT(ADV_CAP,"0%")&amp;" من شغله ("&amp;TEXT(J141,"0.000")&amp;")",""))))</f>
        <v/>
      </c>
      <c r="G141" s="0" t="str">
        <f aca="true">IF(A141="","",IF(ISNUMBER(A141),IF(A141&gt;=36526,A141,""),IFERROR(DATE(VALUE(RIGHT(RIGHT(TRIM(A141),10),4)),VALUE(MID(RIGHT(TRIM(A141),10),4,2)),VALUE(LEFT(RIGHT(TRIM(A141),10),2))),IFERROR(TODAY()-MOD(WEEKDAY(TODAY(),1)-MATCH(TRIM(A141),{"الأحد","الاثنين","الثلاثاء","الأربعاء","الخميس","الجمعة","السبت"},0),7),IFERROR(DATEVALUE(A141),"")))))</f>
        <v/>
      </c>
      <c r="H141" s="0" t="str">
        <f aca="false">IF(G141="","",INT((G141-WEEK_ONE)/7)+1)</f>
        <v/>
      </c>
      <c r="I141" s="0" t="str">
        <f aca="false">IF(H141="","",IF(OR(H141&lt;1,H141&gt;NW),"",INDEX(WMON,H141)))</f>
        <v/>
      </c>
      <c r="J141" s="0" t="str">
        <f aca="false">IF(OR(G141="",H141="",C141=""),"",IF(C141="عمر المصري",SUMIFS('ساعات عمر'!$H$5:$H$746,'ساعات عمر'!$A$5:$A$746,"&gt;="&amp;(WEEK_ONE+7*(H141-1)),'ساعات عمر'!$A$5:$A$746,"&lt;="&amp;G141),SUMIFS('ساعات عبدالعزيز'!$F$5:$F$746,'ساعات عبدالعزيز'!$A$5:$A$746,"&gt;="&amp;(WEEK_ONE+7*(H141-1)),'ساعات عبدالعزيز'!$A$5:$A$746,"&lt;="&amp;G141)))</f>
        <v/>
      </c>
    </row>
    <row r="142" customFormat="false" ht="15" hidden="false" customHeight="false" outlineLevel="0" collapsed="false">
      <c r="A142" s="43"/>
      <c r="B142" s="23" t="str">
        <f aca="false">IF(G142="","",CHOOSE(WEEKDAY(G142,1),"الأحد","الاثنين","الثلاثاء","الأربعاء","الخميس","الجمعة","السبت")&amp;IF(OR(ISNUMBER(A142),LEN(TRIM(A142))&gt;=10),"","  "&amp;TEXT(DAY(G142),"00")&amp;"/"&amp;TEXT(MONTH(G142),"00")&amp;"/"&amp;YEAR(G142)))</f>
        <v/>
      </c>
      <c r="C142" s="24"/>
      <c r="D142" s="44"/>
      <c r="E142" s="27"/>
      <c r="F142" s="45" t="str">
        <f aca="false">IF(A142="","",IF(G142="","⛔ التاريخ غلط — اختاره من القائمة أو اكتبه كامل 05/10/2026",IF(OR(H142&lt;1,H142&gt;NW),"⛔ التاريخ برّا السنة",IF(AND(N(D142)&gt;0,N(J142)&gt;0,D142&gt;ADV_CAP*J142),"⚠️ أكثر من "&amp;TEXT(ADV_CAP,"0%")&amp;" من شغله ("&amp;TEXT(J142,"0.000")&amp;")",""))))</f>
        <v/>
      </c>
      <c r="G142" s="0" t="str">
        <f aca="true">IF(A142="","",IF(ISNUMBER(A142),IF(A142&gt;=36526,A142,""),IFERROR(DATE(VALUE(RIGHT(RIGHT(TRIM(A142),10),4)),VALUE(MID(RIGHT(TRIM(A142),10),4,2)),VALUE(LEFT(RIGHT(TRIM(A142),10),2))),IFERROR(TODAY()-MOD(WEEKDAY(TODAY(),1)-MATCH(TRIM(A142),{"الأحد","الاثنين","الثلاثاء","الأربعاء","الخميس","الجمعة","السبت"},0),7),IFERROR(DATEVALUE(A142),"")))))</f>
        <v/>
      </c>
      <c r="H142" s="0" t="str">
        <f aca="false">IF(G142="","",INT((G142-WEEK_ONE)/7)+1)</f>
        <v/>
      </c>
      <c r="I142" s="0" t="str">
        <f aca="false">IF(H142="","",IF(OR(H142&lt;1,H142&gt;NW),"",INDEX(WMON,H142)))</f>
        <v/>
      </c>
      <c r="J142" s="0" t="str">
        <f aca="false">IF(OR(G142="",H142="",C142=""),"",IF(C142="عمر المصري",SUMIFS('ساعات عمر'!$H$5:$H$746,'ساعات عمر'!$A$5:$A$746,"&gt;="&amp;(WEEK_ONE+7*(H142-1)),'ساعات عمر'!$A$5:$A$746,"&lt;="&amp;G142),SUMIFS('ساعات عبدالعزيز'!$F$5:$F$746,'ساعات عبدالعزيز'!$A$5:$A$746,"&gt;="&amp;(WEEK_ONE+7*(H142-1)),'ساعات عبدالعزيز'!$A$5:$A$746,"&lt;="&amp;G142)))</f>
        <v/>
      </c>
    </row>
    <row r="143" customFormat="false" ht="15" hidden="false" customHeight="false" outlineLevel="0" collapsed="false">
      <c r="A143" s="43"/>
      <c r="B143" s="23" t="str">
        <f aca="false">IF(G143="","",CHOOSE(WEEKDAY(G143,1),"الأحد","الاثنين","الثلاثاء","الأربعاء","الخميس","الجمعة","السبت")&amp;IF(OR(ISNUMBER(A143),LEN(TRIM(A143))&gt;=10),"","  "&amp;TEXT(DAY(G143),"00")&amp;"/"&amp;TEXT(MONTH(G143),"00")&amp;"/"&amp;YEAR(G143)))</f>
        <v/>
      </c>
      <c r="C143" s="24"/>
      <c r="D143" s="44"/>
      <c r="E143" s="27"/>
      <c r="F143" s="45" t="str">
        <f aca="false">IF(A143="","",IF(G143="","⛔ التاريخ غلط — اختاره من القائمة أو اكتبه كامل 05/10/2026",IF(OR(H143&lt;1,H143&gt;NW),"⛔ التاريخ برّا السنة",IF(AND(N(D143)&gt;0,N(J143)&gt;0,D143&gt;ADV_CAP*J143),"⚠️ أكثر من "&amp;TEXT(ADV_CAP,"0%")&amp;" من شغله ("&amp;TEXT(J143,"0.000")&amp;")",""))))</f>
        <v/>
      </c>
      <c r="G143" s="0" t="str">
        <f aca="true">IF(A143="","",IF(ISNUMBER(A143),IF(A143&gt;=36526,A143,""),IFERROR(DATE(VALUE(RIGHT(RIGHT(TRIM(A143),10),4)),VALUE(MID(RIGHT(TRIM(A143),10),4,2)),VALUE(LEFT(RIGHT(TRIM(A143),10),2))),IFERROR(TODAY()-MOD(WEEKDAY(TODAY(),1)-MATCH(TRIM(A143),{"الأحد","الاثنين","الثلاثاء","الأربعاء","الخميس","الجمعة","السبت"},0),7),IFERROR(DATEVALUE(A143),"")))))</f>
        <v/>
      </c>
      <c r="H143" s="0" t="str">
        <f aca="false">IF(G143="","",INT((G143-WEEK_ONE)/7)+1)</f>
        <v/>
      </c>
      <c r="I143" s="0" t="str">
        <f aca="false">IF(H143="","",IF(OR(H143&lt;1,H143&gt;NW),"",INDEX(WMON,H143)))</f>
        <v/>
      </c>
      <c r="J143" s="0" t="str">
        <f aca="false">IF(OR(G143="",H143="",C143=""),"",IF(C143="عمر المصري",SUMIFS('ساعات عمر'!$H$5:$H$746,'ساعات عمر'!$A$5:$A$746,"&gt;="&amp;(WEEK_ONE+7*(H143-1)),'ساعات عمر'!$A$5:$A$746,"&lt;="&amp;G143),SUMIFS('ساعات عبدالعزيز'!$F$5:$F$746,'ساعات عبدالعزيز'!$A$5:$A$746,"&gt;="&amp;(WEEK_ONE+7*(H143-1)),'ساعات عبدالعزيز'!$A$5:$A$746,"&lt;="&amp;G143)))</f>
        <v/>
      </c>
    </row>
    <row r="144" customFormat="false" ht="15" hidden="false" customHeight="false" outlineLevel="0" collapsed="false">
      <c r="A144" s="43"/>
      <c r="B144" s="23" t="str">
        <f aca="false">IF(G144="","",CHOOSE(WEEKDAY(G144,1),"الأحد","الاثنين","الثلاثاء","الأربعاء","الخميس","الجمعة","السبت")&amp;IF(OR(ISNUMBER(A144),LEN(TRIM(A144))&gt;=10),"","  "&amp;TEXT(DAY(G144),"00")&amp;"/"&amp;TEXT(MONTH(G144),"00")&amp;"/"&amp;YEAR(G144)))</f>
        <v/>
      </c>
      <c r="C144" s="24"/>
      <c r="D144" s="44"/>
      <c r="E144" s="27"/>
      <c r="F144" s="45" t="str">
        <f aca="false">IF(A144="","",IF(G144="","⛔ التاريخ غلط — اختاره من القائمة أو اكتبه كامل 05/10/2026",IF(OR(H144&lt;1,H144&gt;NW),"⛔ التاريخ برّا السنة",IF(AND(N(D144)&gt;0,N(J144)&gt;0,D144&gt;ADV_CAP*J144),"⚠️ أكثر من "&amp;TEXT(ADV_CAP,"0%")&amp;" من شغله ("&amp;TEXT(J144,"0.000")&amp;")",""))))</f>
        <v/>
      </c>
      <c r="G144" s="0" t="str">
        <f aca="true">IF(A144="","",IF(ISNUMBER(A144),IF(A144&gt;=36526,A144,""),IFERROR(DATE(VALUE(RIGHT(RIGHT(TRIM(A144),10),4)),VALUE(MID(RIGHT(TRIM(A144),10),4,2)),VALUE(LEFT(RIGHT(TRIM(A144),10),2))),IFERROR(TODAY()-MOD(WEEKDAY(TODAY(),1)-MATCH(TRIM(A144),{"الأحد","الاثنين","الثلاثاء","الأربعاء","الخميس","الجمعة","السبت"},0),7),IFERROR(DATEVALUE(A144),"")))))</f>
        <v/>
      </c>
      <c r="H144" s="0" t="str">
        <f aca="false">IF(G144="","",INT((G144-WEEK_ONE)/7)+1)</f>
        <v/>
      </c>
      <c r="I144" s="0" t="str">
        <f aca="false">IF(H144="","",IF(OR(H144&lt;1,H144&gt;NW),"",INDEX(WMON,H144)))</f>
        <v/>
      </c>
      <c r="J144" s="0" t="str">
        <f aca="false">IF(OR(G144="",H144="",C144=""),"",IF(C144="عمر المصري",SUMIFS('ساعات عمر'!$H$5:$H$746,'ساعات عمر'!$A$5:$A$746,"&gt;="&amp;(WEEK_ONE+7*(H144-1)),'ساعات عمر'!$A$5:$A$746,"&lt;="&amp;G144),SUMIFS('ساعات عبدالعزيز'!$F$5:$F$746,'ساعات عبدالعزيز'!$A$5:$A$746,"&gt;="&amp;(WEEK_ONE+7*(H144-1)),'ساعات عبدالعزيز'!$A$5:$A$746,"&lt;="&amp;G144)))</f>
        <v/>
      </c>
    </row>
    <row r="145" customFormat="false" ht="15" hidden="false" customHeight="false" outlineLevel="0" collapsed="false">
      <c r="A145" s="43"/>
      <c r="B145" s="23" t="str">
        <f aca="false">IF(G145="","",CHOOSE(WEEKDAY(G145,1),"الأحد","الاثنين","الثلاثاء","الأربعاء","الخميس","الجمعة","السبت")&amp;IF(OR(ISNUMBER(A145),LEN(TRIM(A145))&gt;=10),"","  "&amp;TEXT(DAY(G145),"00")&amp;"/"&amp;TEXT(MONTH(G145),"00")&amp;"/"&amp;YEAR(G145)))</f>
        <v/>
      </c>
      <c r="C145" s="24"/>
      <c r="D145" s="44"/>
      <c r="E145" s="27"/>
      <c r="F145" s="45" t="str">
        <f aca="false">IF(A145="","",IF(G145="","⛔ التاريخ غلط — اختاره من القائمة أو اكتبه كامل 05/10/2026",IF(OR(H145&lt;1,H145&gt;NW),"⛔ التاريخ برّا السنة",IF(AND(N(D145)&gt;0,N(J145)&gt;0,D145&gt;ADV_CAP*J145),"⚠️ أكثر من "&amp;TEXT(ADV_CAP,"0%")&amp;" من شغله ("&amp;TEXT(J145,"0.000")&amp;")",""))))</f>
        <v/>
      </c>
      <c r="G145" s="0" t="str">
        <f aca="true">IF(A145="","",IF(ISNUMBER(A145),IF(A145&gt;=36526,A145,""),IFERROR(DATE(VALUE(RIGHT(RIGHT(TRIM(A145),10),4)),VALUE(MID(RIGHT(TRIM(A145),10),4,2)),VALUE(LEFT(RIGHT(TRIM(A145),10),2))),IFERROR(TODAY()-MOD(WEEKDAY(TODAY(),1)-MATCH(TRIM(A145),{"الأحد","الاثنين","الثلاثاء","الأربعاء","الخميس","الجمعة","السبت"},0),7),IFERROR(DATEVALUE(A145),"")))))</f>
        <v/>
      </c>
      <c r="H145" s="0" t="str">
        <f aca="false">IF(G145="","",INT((G145-WEEK_ONE)/7)+1)</f>
        <v/>
      </c>
      <c r="I145" s="0" t="str">
        <f aca="false">IF(H145="","",IF(OR(H145&lt;1,H145&gt;NW),"",INDEX(WMON,H145)))</f>
        <v/>
      </c>
      <c r="J145" s="0" t="str">
        <f aca="false">IF(OR(G145="",H145="",C145=""),"",IF(C145="عمر المصري",SUMIFS('ساعات عمر'!$H$5:$H$746,'ساعات عمر'!$A$5:$A$746,"&gt;="&amp;(WEEK_ONE+7*(H145-1)),'ساعات عمر'!$A$5:$A$746,"&lt;="&amp;G145),SUMIFS('ساعات عبدالعزيز'!$F$5:$F$746,'ساعات عبدالعزيز'!$A$5:$A$746,"&gt;="&amp;(WEEK_ONE+7*(H145-1)),'ساعات عبدالعزيز'!$A$5:$A$746,"&lt;="&amp;G145)))</f>
        <v/>
      </c>
    </row>
    <row r="146" customFormat="false" ht="15" hidden="false" customHeight="false" outlineLevel="0" collapsed="false">
      <c r="A146" s="43"/>
      <c r="B146" s="23" t="str">
        <f aca="false">IF(G146="","",CHOOSE(WEEKDAY(G146,1),"الأحد","الاثنين","الثلاثاء","الأربعاء","الخميس","الجمعة","السبت")&amp;IF(OR(ISNUMBER(A146),LEN(TRIM(A146))&gt;=10),"","  "&amp;TEXT(DAY(G146),"00")&amp;"/"&amp;TEXT(MONTH(G146),"00")&amp;"/"&amp;YEAR(G146)))</f>
        <v/>
      </c>
      <c r="C146" s="24"/>
      <c r="D146" s="44"/>
      <c r="E146" s="27"/>
      <c r="F146" s="45" t="str">
        <f aca="false">IF(A146="","",IF(G146="","⛔ التاريخ غلط — اختاره من القائمة أو اكتبه كامل 05/10/2026",IF(OR(H146&lt;1,H146&gt;NW),"⛔ التاريخ برّا السنة",IF(AND(N(D146)&gt;0,N(J146)&gt;0,D146&gt;ADV_CAP*J146),"⚠️ أكثر من "&amp;TEXT(ADV_CAP,"0%")&amp;" من شغله ("&amp;TEXT(J146,"0.000")&amp;")",""))))</f>
        <v/>
      </c>
      <c r="G146" s="0" t="str">
        <f aca="true">IF(A146="","",IF(ISNUMBER(A146),IF(A146&gt;=36526,A146,""),IFERROR(DATE(VALUE(RIGHT(RIGHT(TRIM(A146),10),4)),VALUE(MID(RIGHT(TRIM(A146),10),4,2)),VALUE(LEFT(RIGHT(TRIM(A146),10),2))),IFERROR(TODAY()-MOD(WEEKDAY(TODAY(),1)-MATCH(TRIM(A146),{"الأحد","الاثنين","الثلاثاء","الأربعاء","الخميس","الجمعة","السبت"},0),7),IFERROR(DATEVALUE(A146),"")))))</f>
        <v/>
      </c>
      <c r="H146" s="0" t="str">
        <f aca="false">IF(G146="","",INT((G146-WEEK_ONE)/7)+1)</f>
        <v/>
      </c>
      <c r="I146" s="0" t="str">
        <f aca="false">IF(H146="","",IF(OR(H146&lt;1,H146&gt;NW),"",INDEX(WMON,H146)))</f>
        <v/>
      </c>
      <c r="J146" s="0" t="str">
        <f aca="false">IF(OR(G146="",H146="",C146=""),"",IF(C146="عمر المصري",SUMIFS('ساعات عمر'!$H$5:$H$746,'ساعات عمر'!$A$5:$A$746,"&gt;="&amp;(WEEK_ONE+7*(H146-1)),'ساعات عمر'!$A$5:$A$746,"&lt;="&amp;G146),SUMIFS('ساعات عبدالعزيز'!$F$5:$F$746,'ساعات عبدالعزيز'!$A$5:$A$746,"&gt;="&amp;(WEEK_ONE+7*(H146-1)),'ساعات عبدالعزيز'!$A$5:$A$746,"&lt;="&amp;G146)))</f>
        <v/>
      </c>
    </row>
    <row r="147" customFormat="false" ht="15" hidden="false" customHeight="false" outlineLevel="0" collapsed="false">
      <c r="A147" s="43"/>
      <c r="B147" s="23" t="str">
        <f aca="false">IF(G147="","",CHOOSE(WEEKDAY(G147,1),"الأحد","الاثنين","الثلاثاء","الأربعاء","الخميس","الجمعة","السبت")&amp;IF(OR(ISNUMBER(A147),LEN(TRIM(A147))&gt;=10),"","  "&amp;TEXT(DAY(G147),"00")&amp;"/"&amp;TEXT(MONTH(G147),"00")&amp;"/"&amp;YEAR(G147)))</f>
        <v/>
      </c>
      <c r="C147" s="24"/>
      <c r="D147" s="44"/>
      <c r="E147" s="27"/>
      <c r="F147" s="45" t="str">
        <f aca="false">IF(A147="","",IF(G147="","⛔ التاريخ غلط — اختاره من القائمة أو اكتبه كامل 05/10/2026",IF(OR(H147&lt;1,H147&gt;NW),"⛔ التاريخ برّا السنة",IF(AND(N(D147)&gt;0,N(J147)&gt;0,D147&gt;ADV_CAP*J147),"⚠️ أكثر من "&amp;TEXT(ADV_CAP,"0%")&amp;" من شغله ("&amp;TEXT(J147,"0.000")&amp;")",""))))</f>
        <v/>
      </c>
      <c r="G147" s="0" t="str">
        <f aca="true">IF(A147="","",IF(ISNUMBER(A147),IF(A147&gt;=36526,A147,""),IFERROR(DATE(VALUE(RIGHT(RIGHT(TRIM(A147),10),4)),VALUE(MID(RIGHT(TRIM(A147),10),4,2)),VALUE(LEFT(RIGHT(TRIM(A147),10),2))),IFERROR(TODAY()-MOD(WEEKDAY(TODAY(),1)-MATCH(TRIM(A147),{"الأحد","الاثنين","الثلاثاء","الأربعاء","الخميس","الجمعة","السبت"},0),7),IFERROR(DATEVALUE(A147),"")))))</f>
        <v/>
      </c>
      <c r="H147" s="0" t="str">
        <f aca="false">IF(G147="","",INT((G147-WEEK_ONE)/7)+1)</f>
        <v/>
      </c>
      <c r="I147" s="0" t="str">
        <f aca="false">IF(H147="","",IF(OR(H147&lt;1,H147&gt;NW),"",INDEX(WMON,H147)))</f>
        <v/>
      </c>
      <c r="J147" s="0" t="str">
        <f aca="false">IF(OR(G147="",H147="",C147=""),"",IF(C147="عمر المصري",SUMIFS('ساعات عمر'!$H$5:$H$746,'ساعات عمر'!$A$5:$A$746,"&gt;="&amp;(WEEK_ONE+7*(H147-1)),'ساعات عمر'!$A$5:$A$746,"&lt;="&amp;G147),SUMIFS('ساعات عبدالعزيز'!$F$5:$F$746,'ساعات عبدالعزيز'!$A$5:$A$746,"&gt;="&amp;(WEEK_ONE+7*(H147-1)),'ساعات عبدالعزيز'!$A$5:$A$746,"&lt;="&amp;G147)))</f>
        <v/>
      </c>
    </row>
    <row r="148" customFormat="false" ht="15" hidden="false" customHeight="false" outlineLevel="0" collapsed="false">
      <c r="A148" s="43"/>
      <c r="B148" s="23" t="str">
        <f aca="false">IF(G148="","",CHOOSE(WEEKDAY(G148,1),"الأحد","الاثنين","الثلاثاء","الأربعاء","الخميس","الجمعة","السبت")&amp;IF(OR(ISNUMBER(A148),LEN(TRIM(A148))&gt;=10),"","  "&amp;TEXT(DAY(G148),"00")&amp;"/"&amp;TEXT(MONTH(G148),"00")&amp;"/"&amp;YEAR(G148)))</f>
        <v/>
      </c>
      <c r="C148" s="24"/>
      <c r="D148" s="44"/>
      <c r="E148" s="27"/>
      <c r="F148" s="45" t="str">
        <f aca="false">IF(A148="","",IF(G148="","⛔ التاريخ غلط — اختاره من القائمة أو اكتبه كامل 05/10/2026",IF(OR(H148&lt;1,H148&gt;NW),"⛔ التاريخ برّا السنة",IF(AND(N(D148)&gt;0,N(J148)&gt;0,D148&gt;ADV_CAP*J148),"⚠️ أكثر من "&amp;TEXT(ADV_CAP,"0%")&amp;" من شغله ("&amp;TEXT(J148,"0.000")&amp;")",""))))</f>
        <v/>
      </c>
      <c r="G148" s="0" t="str">
        <f aca="true">IF(A148="","",IF(ISNUMBER(A148),IF(A148&gt;=36526,A148,""),IFERROR(DATE(VALUE(RIGHT(RIGHT(TRIM(A148),10),4)),VALUE(MID(RIGHT(TRIM(A148),10),4,2)),VALUE(LEFT(RIGHT(TRIM(A148),10),2))),IFERROR(TODAY()-MOD(WEEKDAY(TODAY(),1)-MATCH(TRIM(A148),{"الأحد","الاثنين","الثلاثاء","الأربعاء","الخميس","الجمعة","السبت"},0),7),IFERROR(DATEVALUE(A148),"")))))</f>
        <v/>
      </c>
      <c r="H148" s="0" t="str">
        <f aca="false">IF(G148="","",INT((G148-WEEK_ONE)/7)+1)</f>
        <v/>
      </c>
      <c r="I148" s="0" t="str">
        <f aca="false">IF(H148="","",IF(OR(H148&lt;1,H148&gt;NW),"",INDEX(WMON,H148)))</f>
        <v/>
      </c>
      <c r="J148" s="0" t="str">
        <f aca="false">IF(OR(G148="",H148="",C148=""),"",IF(C148="عمر المصري",SUMIFS('ساعات عمر'!$H$5:$H$746,'ساعات عمر'!$A$5:$A$746,"&gt;="&amp;(WEEK_ONE+7*(H148-1)),'ساعات عمر'!$A$5:$A$746,"&lt;="&amp;G148),SUMIFS('ساعات عبدالعزيز'!$F$5:$F$746,'ساعات عبدالعزيز'!$A$5:$A$746,"&gt;="&amp;(WEEK_ONE+7*(H148-1)),'ساعات عبدالعزيز'!$A$5:$A$746,"&lt;="&amp;G148)))</f>
        <v/>
      </c>
    </row>
    <row r="149" customFormat="false" ht="15" hidden="false" customHeight="false" outlineLevel="0" collapsed="false">
      <c r="A149" s="43"/>
      <c r="B149" s="23" t="str">
        <f aca="false">IF(G149="","",CHOOSE(WEEKDAY(G149,1),"الأحد","الاثنين","الثلاثاء","الأربعاء","الخميس","الجمعة","السبت")&amp;IF(OR(ISNUMBER(A149),LEN(TRIM(A149))&gt;=10),"","  "&amp;TEXT(DAY(G149),"00")&amp;"/"&amp;TEXT(MONTH(G149),"00")&amp;"/"&amp;YEAR(G149)))</f>
        <v/>
      </c>
      <c r="C149" s="24"/>
      <c r="D149" s="44"/>
      <c r="E149" s="27"/>
      <c r="F149" s="45" t="str">
        <f aca="false">IF(A149="","",IF(G149="","⛔ التاريخ غلط — اختاره من القائمة أو اكتبه كامل 05/10/2026",IF(OR(H149&lt;1,H149&gt;NW),"⛔ التاريخ برّا السنة",IF(AND(N(D149)&gt;0,N(J149)&gt;0,D149&gt;ADV_CAP*J149),"⚠️ أكثر من "&amp;TEXT(ADV_CAP,"0%")&amp;" من شغله ("&amp;TEXT(J149,"0.000")&amp;")",""))))</f>
        <v/>
      </c>
      <c r="G149" s="0" t="str">
        <f aca="true">IF(A149="","",IF(ISNUMBER(A149),IF(A149&gt;=36526,A149,""),IFERROR(DATE(VALUE(RIGHT(RIGHT(TRIM(A149),10),4)),VALUE(MID(RIGHT(TRIM(A149),10),4,2)),VALUE(LEFT(RIGHT(TRIM(A149),10),2))),IFERROR(TODAY()-MOD(WEEKDAY(TODAY(),1)-MATCH(TRIM(A149),{"الأحد","الاثنين","الثلاثاء","الأربعاء","الخميس","الجمعة","السبت"},0),7),IFERROR(DATEVALUE(A149),"")))))</f>
        <v/>
      </c>
      <c r="H149" s="0" t="str">
        <f aca="false">IF(G149="","",INT((G149-WEEK_ONE)/7)+1)</f>
        <v/>
      </c>
      <c r="I149" s="0" t="str">
        <f aca="false">IF(H149="","",IF(OR(H149&lt;1,H149&gt;NW),"",INDEX(WMON,H149)))</f>
        <v/>
      </c>
      <c r="J149" s="0" t="str">
        <f aca="false">IF(OR(G149="",H149="",C149=""),"",IF(C149="عمر المصري",SUMIFS('ساعات عمر'!$H$5:$H$746,'ساعات عمر'!$A$5:$A$746,"&gt;="&amp;(WEEK_ONE+7*(H149-1)),'ساعات عمر'!$A$5:$A$746,"&lt;="&amp;G149),SUMIFS('ساعات عبدالعزيز'!$F$5:$F$746,'ساعات عبدالعزيز'!$A$5:$A$746,"&gt;="&amp;(WEEK_ONE+7*(H149-1)),'ساعات عبدالعزيز'!$A$5:$A$746,"&lt;="&amp;G149)))</f>
        <v/>
      </c>
    </row>
    <row r="150" customFormat="false" ht="15" hidden="false" customHeight="false" outlineLevel="0" collapsed="false">
      <c r="A150" s="43"/>
      <c r="B150" s="23" t="str">
        <f aca="false">IF(G150="","",CHOOSE(WEEKDAY(G150,1),"الأحد","الاثنين","الثلاثاء","الأربعاء","الخميس","الجمعة","السبت")&amp;IF(OR(ISNUMBER(A150),LEN(TRIM(A150))&gt;=10),"","  "&amp;TEXT(DAY(G150),"00")&amp;"/"&amp;TEXT(MONTH(G150),"00")&amp;"/"&amp;YEAR(G150)))</f>
        <v/>
      </c>
      <c r="C150" s="24"/>
      <c r="D150" s="44"/>
      <c r="E150" s="27"/>
      <c r="F150" s="45" t="str">
        <f aca="false">IF(A150="","",IF(G150="","⛔ التاريخ غلط — اختاره من القائمة أو اكتبه كامل 05/10/2026",IF(OR(H150&lt;1,H150&gt;NW),"⛔ التاريخ برّا السنة",IF(AND(N(D150)&gt;0,N(J150)&gt;0,D150&gt;ADV_CAP*J150),"⚠️ أكثر من "&amp;TEXT(ADV_CAP,"0%")&amp;" من شغله ("&amp;TEXT(J150,"0.000")&amp;")",""))))</f>
        <v/>
      </c>
      <c r="G150" s="0" t="str">
        <f aca="true">IF(A150="","",IF(ISNUMBER(A150),IF(A150&gt;=36526,A150,""),IFERROR(DATE(VALUE(RIGHT(RIGHT(TRIM(A150),10),4)),VALUE(MID(RIGHT(TRIM(A150),10),4,2)),VALUE(LEFT(RIGHT(TRIM(A150),10),2))),IFERROR(TODAY()-MOD(WEEKDAY(TODAY(),1)-MATCH(TRIM(A150),{"الأحد","الاثنين","الثلاثاء","الأربعاء","الخميس","الجمعة","السبت"},0),7),IFERROR(DATEVALUE(A150),"")))))</f>
        <v/>
      </c>
      <c r="H150" s="0" t="str">
        <f aca="false">IF(G150="","",INT((G150-WEEK_ONE)/7)+1)</f>
        <v/>
      </c>
      <c r="I150" s="0" t="str">
        <f aca="false">IF(H150="","",IF(OR(H150&lt;1,H150&gt;NW),"",INDEX(WMON,H150)))</f>
        <v/>
      </c>
      <c r="J150" s="0" t="str">
        <f aca="false">IF(OR(G150="",H150="",C150=""),"",IF(C150="عمر المصري",SUMIFS('ساعات عمر'!$H$5:$H$746,'ساعات عمر'!$A$5:$A$746,"&gt;="&amp;(WEEK_ONE+7*(H150-1)),'ساعات عمر'!$A$5:$A$746,"&lt;="&amp;G150),SUMIFS('ساعات عبدالعزيز'!$F$5:$F$746,'ساعات عبدالعزيز'!$A$5:$A$746,"&gt;="&amp;(WEEK_ONE+7*(H150-1)),'ساعات عبدالعزيز'!$A$5:$A$746,"&lt;="&amp;G150)))</f>
        <v/>
      </c>
    </row>
    <row r="151" customFormat="false" ht="15" hidden="false" customHeight="false" outlineLevel="0" collapsed="false">
      <c r="A151" s="43"/>
      <c r="B151" s="23" t="str">
        <f aca="false">IF(G151="","",CHOOSE(WEEKDAY(G151,1),"الأحد","الاثنين","الثلاثاء","الأربعاء","الخميس","الجمعة","السبت")&amp;IF(OR(ISNUMBER(A151),LEN(TRIM(A151))&gt;=10),"","  "&amp;TEXT(DAY(G151),"00")&amp;"/"&amp;TEXT(MONTH(G151),"00")&amp;"/"&amp;YEAR(G151)))</f>
        <v/>
      </c>
      <c r="C151" s="24"/>
      <c r="D151" s="44"/>
      <c r="E151" s="27"/>
      <c r="F151" s="45" t="str">
        <f aca="false">IF(A151="","",IF(G151="","⛔ التاريخ غلط — اختاره من القائمة أو اكتبه كامل 05/10/2026",IF(OR(H151&lt;1,H151&gt;NW),"⛔ التاريخ برّا السنة",IF(AND(N(D151)&gt;0,N(J151)&gt;0,D151&gt;ADV_CAP*J151),"⚠️ أكثر من "&amp;TEXT(ADV_CAP,"0%")&amp;" من شغله ("&amp;TEXT(J151,"0.000")&amp;")",""))))</f>
        <v/>
      </c>
      <c r="G151" s="0" t="str">
        <f aca="true">IF(A151="","",IF(ISNUMBER(A151),IF(A151&gt;=36526,A151,""),IFERROR(DATE(VALUE(RIGHT(RIGHT(TRIM(A151),10),4)),VALUE(MID(RIGHT(TRIM(A151),10),4,2)),VALUE(LEFT(RIGHT(TRIM(A151),10),2))),IFERROR(TODAY()-MOD(WEEKDAY(TODAY(),1)-MATCH(TRIM(A151),{"الأحد","الاثنين","الثلاثاء","الأربعاء","الخميس","الجمعة","السبت"},0),7),IFERROR(DATEVALUE(A151),"")))))</f>
        <v/>
      </c>
      <c r="H151" s="0" t="str">
        <f aca="false">IF(G151="","",INT((G151-WEEK_ONE)/7)+1)</f>
        <v/>
      </c>
      <c r="I151" s="0" t="str">
        <f aca="false">IF(H151="","",IF(OR(H151&lt;1,H151&gt;NW),"",INDEX(WMON,H151)))</f>
        <v/>
      </c>
      <c r="J151" s="0" t="str">
        <f aca="false">IF(OR(G151="",H151="",C151=""),"",IF(C151="عمر المصري",SUMIFS('ساعات عمر'!$H$5:$H$746,'ساعات عمر'!$A$5:$A$746,"&gt;="&amp;(WEEK_ONE+7*(H151-1)),'ساعات عمر'!$A$5:$A$746,"&lt;="&amp;G151),SUMIFS('ساعات عبدالعزيز'!$F$5:$F$746,'ساعات عبدالعزيز'!$A$5:$A$746,"&gt;="&amp;(WEEK_ONE+7*(H151-1)),'ساعات عبدالعزيز'!$A$5:$A$746,"&lt;="&amp;G151)))</f>
        <v/>
      </c>
    </row>
    <row r="152" customFormat="false" ht="15" hidden="false" customHeight="false" outlineLevel="0" collapsed="false">
      <c r="A152" s="43"/>
      <c r="B152" s="23" t="str">
        <f aca="false">IF(G152="","",CHOOSE(WEEKDAY(G152,1),"الأحد","الاثنين","الثلاثاء","الأربعاء","الخميس","الجمعة","السبت")&amp;IF(OR(ISNUMBER(A152),LEN(TRIM(A152))&gt;=10),"","  "&amp;TEXT(DAY(G152),"00")&amp;"/"&amp;TEXT(MONTH(G152),"00")&amp;"/"&amp;YEAR(G152)))</f>
        <v/>
      </c>
      <c r="C152" s="24"/>
      <c r="D152" s="44"/>
      <c r="E152" s="27"/>
      <c r="F152" s="45" t="str">
        <f aca="false">IF(A152="","",IF(G152="","⛔ التاريخ غلط — اختاره من القائمة أو اكتبه كامل 05/10/2026",IF(OR(H152&lt;1,H152&gt;NW),"⛔ التاريخ برّا السنة",IF(AND(N(D152)&gt;0,N(J152)&gt;0,D152&gt;ADV_CAP*J152),"⚠️ أكثر من "&amp;TEXT(ADV_CAP,"0%")&amp;" من شغله ("&amp;TEXT(J152,"0.000")&amp;")",""))))</f>
        <v/>
      </c>
      <c r="G152" s="0" t="str">
        <f aca="true">IF(A152="","",IF(ISNUMBER(A152),IF(A152&gt;=36526,A152,""),IFERROR(DATE(VALUE(RIGHT(RIGHT(TRIM(A152),10),4)),VALUE(MID(RIGHT(TRIM(A152),10),4,2)),VALUE(LEFT(RIGHT(TRIM(A152),10),2))),IFERROR(TODAY()-MOD(WEEKDAY(TODAY(),1)-MATCH(TRIM(A152),{"الأحد","الاثنين","الثلاثاء","الأربعاء","الخميس","الجمعة","السبت"},0),7),IFERROR(DATEVALUE(A152),"")))))</f>
        <v/>
      </c>
      <c r="H152" s="0" t="str">
        <f aca="false">IF(G152="","",INT((G152-WEEK_ONE)/7)+1)</f>
        <v/>
      </c>
      <c r="I152" s="0" t="str">
        <f aca="false">IF(H152="","",IF(OR(H152&lt;1,H152&gt;NW),"",INDEX(WMON,H152)))</f>
        <v/>
      </c>
      <c r="J152" s="0" t="str">
        <f aca="false">IF(OR(G152="",H152="",C152=""),"",IF(C152="عمر المصري",SUMIFS('ساعات عمر'!$H$5:$H$746,'ساعات عمر'!$A$5:$A$746,"&gt;="&amp;(WEEK_ONE+7*(H152-1)),'ساعات عمر'!$A$5:$A$746,"&lt;="&amp;G152),SUMIFS('ساعات عبدالعزيز'!$F$5:$F$746,'ساعات عبدالعزيز'!$A$5:$A$746,"&gt;="&amp;(WEEK_ONE+7*(H152-1)),'ساعات عبدالعزيز'!$A$5:$A$746,"&lt;="&amp;G152)))</f>
        <v/>
      </c>
    </row>
    <row r="153" customFormat="false" ht="15" hidden="false" customHeight="false" outlineLevel="0" collapsed="false">
      <c r="A153" s="43"/>
      <c r="B153" s="23" t="str">
        <f aca="false">IF(G153="","",CHOOSE(WEEKDAY(G153,1),"الأحد","الاثنين","الثلاثاء","الأربعاء","الخميس","الجمعة","السبت")&amp;IF(OR(ISNUMBER(A153),LEN(TRIM(A153))&gt;=10),"","  "&amp;TEXT(DAY(G153),"00")&amp;"/"&amp;TEXT(MONTH(G153),"00")&amp;"/"&amp;YEAR(G153)))</f>
        <v/>
      </c>
      <c r="C153" s="24"/>
      <c r="D153" s="44"/>
      <c r="E153" s="27"/>
      <c r="F153" s="45" t="str">
        <f aca="false">IF(A153="","",IF(G153="","⛔ التاريخ غلط — اختاره من القائمة أو اكتبه كامل 05/10/2026",IF(OR(H153&lt;1,H153&gt;NW),"⛔ التاريخ برّا السنة",IF(AND(N(D153)&gt;0,N(J153)&gt;0,D153&gt;ADV_CAP*J153),"⚠️ أكثر من "&amp;TEXT(ADV_CAP,"0%")&amp;" من شغله ("&amp;TEXT(J153,"0.000")&amp;")",""))))</f>
        <v/>
      </c>
      <c r="G153" s="0" t="str">
        <f aca="true">IF(A153="","",IF(ISNUMBER(A153),IF(A153&gt;=36526,A153,""),IFERROR(DATE(VALUE(RIGHT(RIGHT(TRIM(A153),10),4)),VALUE(MID(RIGHT(TRIM(A153),10),4,2)),VALUE(LEFT(RIGHT(TRIM(A153),10),2))),IFERROR(TODAY()-MOD(WEEKDAY(TODAY(),1)-MATCH(TRIM(A153),{"الأحد","الاثنين","الثلاثاء","الأربعاء","الخميس","الجمعة","السبت"},0),7),IFERROR(DATEVALUE(A153),"")))))</f>
        <v/>
      </c>
      <c r="H153" s="0" t="str">
        <f aca="false">IF(G153="","",INT((G153-WEEK_ONE)/7)+1)</f>
        <v/>
      </c>
      <c r="I153" s="0" t="str">
        <f aca="false">IF(H153="","",IF(OR(H153&lt;1,H153&gt;NW),"",INDEX(WMON,H153)))</f>
        <v/>
      </c>
      <c r="J153" s="0" t="str">
        <f aca="false">IF(OR(G153="",H153="",C153=""),"",IF(C153="عمر المصري",SUMIFS('ساعات عمر'!$H$5:$H$746,'ساعات عمر'!$A$5:$A$746,"&gt;="&amp;(WEEK_ONE+7*(H153-1)),'ساعات عمر'!$A$5:$A$746,"&lt;="&amp;G153),SUMIFS('ساعات عبدالعزيز'!$F$5:$F$746,'ساعات عبدالعزيز'!$A$5:$A$746,"&gt;="&amp;(WEEK_ONE+7*(H153-1)),'ساعات عبدالعزيز'!$A$5:$A$746,"&lt;="&amp;G153)))</f>
        <v/>
      </c>
    </row>
    <row r="154" customFormat="false" ht="15" hidden="false" customHeight="false" outlineLevel="0" collapsed="false">
      <c r="A154" s="43"/>
      <c r="B154" s="23" t="str">
        <f aca="false">IF(G154="","",CHOOSE(WEEKDAY(G154,1),"الأحد","الاثنين","الثلاثاء","الأربعاء","الخميس","الجمعة","السبت")&amp;IF(OR(ISNUMBER(A154),LEN(TRIM(A154))&gt;=10),"","  "&amp;TEXT(DAY(G154),"00")&amp;"/"&amp;TEXT(MONTH(G154),"00")&amp;"/"&amp;YEAR(G154)))</f>
        <v/>
      </c>
      <c r="C154" s="24"/>
      <c r="D154" s="44"/>
      <c r="E154" s="27"/>
      <c r="F154" s="45" t="str">
        <f aca="false">IF(A154="","",IF(G154="","⛔ التاريخ غلط — اختاره من القائمة أو اكتبه كامل 05/10/2026",IF(OR(H154&lt;1,H154&gt;NW),"⛔ التاريخ برّا السنة",IF(AND(N(D154)&gt;0,N(J154)&gt;0,D154&gt;ADV_CAP*J154),"⚠️ أكثر من "&amp;TEXT(ADV_CAP,"0%")&amp;" من شغله ("&amp;TEXT(J154,"0.000")&amp;")",""))))</f>
        <v/>
      </c>
      <c r="G154" s="0" t="str">
        <f aca="true">IF(A154="","",IF(ISNUMBER(A154),IF(A154&gt;=36526,A154,""),IFERROR(DATE(VALUE(RIGHT(RIGHT(TRIM(A154),10),4)),VALUE(MID(RIGHT(TRIM(A154),10),4,2)),VALUE(LEFT(RIGHT(TRIM(A154),10),2))),IFERROR(TODAY()-MOD(WEEKDAY(TODAY(),1)-MATCH(TRIM(A154),{"الأحد","الاثنين","الثلاثاء","الأربعاء","الخميس","الجمعة","السبت"},0),7),IFERROR(DATEVALUE(A154),"")))))</f>
        <v/>
      </c>
      <c r="H154" s="0" t="str">
        <f aca="false">IF(G154="","",INT((G154-WEEK_ONE)/7)+1)</f>
        <v/>
      </c>
      <c r="I154" s="0" t="str">
        <f aca="false">IF(H154="","",IF(OR(H154&lt;1,H154&gt;NW),"",INDEX(WMON,H154)))</f>
        <v/>
      </c>
      <c r="J154" s="0" t="str">
        <f aca="false">IF(OR(G154="",H154="",C154=""),"",IF(C154="عمر المصري",SUMIFS('ساعات عمر'!$H$5:$H$746,'ساعات عمر'!$A$5:$A$746,"&gt;="&amp;(WEEK_ONE+7*(H154-1)),'ساعات عمر'!$A$5:$A$746,"&lt;="&amp;G154),SUMIFS('ساعات عبدالعزيز'!$F$5:$F$746,'ساعات عبدالعزيز'!$A$5:$A$746,"&gt;="&amp;(WEEK_ONE+7*(H154-1)),'ساعات عبدالعزيز'!$A$5:$A$746,"&lt;="&amp;G154)))</f>
        <v/>
      </c>
    </row>
    <row r="155" customFormat="false" ht="15" hidden="false" customHeight="false" outlineLevel="0" collapsed="false">
      <c r="A155" s="43"/>
      <c r="B155" s="23" t="str">
        <f aca="false">IF(G155="","",CHOOSE(WEEKDAY(G155,1),"الأحد","الاثنين","الثلاثاء","الأربعاء","الخميس","الجمعة","السبت")&amp;IF(OR(ISNUMBER(A155),LEN(TRIM(A155))&gt;=10),"","  "&amp;TEXT(DAY(G155),"00")&amp;"/"&amp;TEXT(MONTH(G155),"00")&amp;"/"&amp;YEAR(G155)))</f>
        <v/>
      </c>
      <c r="C155" s="24"/>
      <c r="D155" s="44"/>
      <c r="E155" s="27"/>
      <c r="F155" s="45" t="str">
        <f aca="false">IF(A155="","",IF(G155="","⛔ التاريخ غلط — اختاره من القائمة أو اكتبه كامل 05/10/2026",IF(OR(H155&lt;1,H155&gt;NW),"⛔ التاريخ برّا السنة",IF(AND(N(D155)&gt;0,N(J155)&gt;0,D155&gt;ADV_CAP*J155),"⚠️ أكثر من "&amp;TEXT(ADV_CAP,"0%")&amp;" من شغله ("&amp;TEXT(J155,"0.000")&amp;")",""))))</f>
        <v/>
      </c>
      <c r="G155" s="0" t="str">
        <f aca="true">IF(A155="","",IF(ISNUMBER(A155),IF(A155&gt;=36526,A155,""),IFERROR(DATE(VALUE(RIGHT(RIGHT(TRIM(A155),10),4)),VALUE(MID(RIGHT(TRIM(A155),10),4,2)),VALUE(LEFT(RIGHT(TRIM(A155),10),2))),IFERROR(TODAY()-MOD(WEEKDAY(TODAY(),1)-MATCH(TRIM(A155),{"الأحد","الاثنين","الثلاثاء","الأربعاء","الخميس","الجمعة","السبت"},0),7),IFERROR(DATEVALUE(A155),"")))))</f>
        <v/>
      </c>
      <c r="H155" s="0" t="str">
        <f aca="false">IF(G155="","",INT((G155-WEEK_ONE)/7)+1)</f>
        <v/>
      </c>
      <c r="I155" s="0" t="str">
        <f aca="false">IF(H155="","",IF(OR(H155&lt;1,H155&gt;NW),"",INDEX(WMON,H155)))</f>
        <v/>
      </c>
      <c r="J155" s="0" t="str">
        <f aca="false">IF(OR(G155="",H155="",C155=""),"",IF(C155="عمر المصري",SUMIFS('ساعات عمر'!$H$5:$H$746,'ساعات عمر'!$A$5:$A$746,"&gt;="&amp;(WEEK_ONE+7*(H155-1)),'ساعات عمر'!$A$5:$A$746,"&lt;="&amp;G155),SUMIFS('ساعات عبدالعزيز'!$F$5:$F$746,'ساعات عبدالعزيز'!$A$5:$A$746,"&gt;="&amp;(WEEK_ONE+7*(H155-1)),'ساعات عبدالعزيز'!$A$5:$A$746,"&lt;="&amp;G155)))</f>
        <v/>
      </c>
    </row>
    <row r="156" customFormat="false" ht="15" hidden="false" customHeight="false" outlineLevel="0" collapsed="false">
      <c r="A156" s="43"/>
      <c r="B156" s="23" t="str">
        <f aca="false">IF(G156="","",CHOOSE(WEEKDAY(G156,1),"الأحد","الاثنين","الثلاثاء","الأربعاء","الخميس","الجمعة","السبت")&amp;IF(OR(ISNUMBER(A156),LEN(TRIM(A156))&gt;=10),"","  "&amp;TEXT(DAY(G156),"00")&amp;"/"&amp;TEXT(MONTH(G156),"00")&amp;"/"&amp;YEAR(G156)))</f>
        <v/>
      </c>
      <c r="C156" s="24"/>
      <c r="D156" s="44"/>
      <c r="E156" s="27"/>
      <c r="F156" s="45" t="str">
        <f aca="false">IF(A156="","",IF(G156="","⛔ التاريخ غلط — اختاره من القائمة أو اكتبه كامل 05/10/2026",IF(OR(H156&lt;1,H156&gt;NW),"⛔ التاريخ برّا السنة",IF(AND(N(D156)&gt;0,N(J156)&gt;0,D156&gt;ADV_CAP*J156),"⚠️ أكثر من "&amp;TEXT(ADV_CAP,"0%")&amp;" من شغله ("&amp;TEXT(J156,"0.000")&amp;")",""))))</f>
        <v/>
      </c>
      <c r="G156" s="0" t="str">
        <f aca="true">IF(A156="","",IF(ISNUMBER(A156),IF(A156&gt;=36526,A156,""),IFERROR(DATE(VALUE(RIGHT(RIGHT(TRIM(A156),10),4)),VALUE(MID(RIGHT(TRIM(A156),10),4,2)),VALUE(LEFT(RIGHT(TRIM(A156),10),2))),IFERROR(TODAY()-MOD(WEEKDAY(TODAY(),1)-MATCH(TRIM(A156),{"الأحد","الاثنين","الثلاثاء","الأربعاء","الخميس","الجمعة","السبت"},0),7),IFERROR(DATEVALUE(A156),"")))))</f>
        <v/>
      </c>
      <c r="H156" s="0" t="str">
        <f aca="false">IF(G156="","",INT((G156-WEEK_ONE)/7)+1)</f>
        <v/>
      </c>
      <c r="I156" s="0" t="str">
        <f aca="false">IF(H156="","",IF(OR(H156&lt;1,H156&gt;NW),"",INDEX(WMON,H156)))</f>
        <v/>
      </c>
      <c r="J156" s="0" t="str">
        <f aca="false">IF(OR(G156="",H156="",C156=""),"",IF(C156="عمر المصري",SUMIFS('ساعات عمر'!$H$5:$H$746,'ساعات عمر'!$A$5:$A$746,"&gt;="&amp;(WEEK_ONE+7*(H156-1)),'ساعات عمر'!$A$5:$A$746,"&lt;="&amp;G156),SUMIFS('ساعات عبدالعزيز'!$F$5:$F$746,'ساعات عبدالعزيز'!$A$5:$A$746,"&gt;="&amp;(WEEK_ONE+7*(H156-1)),'ساعات عبدالعزيز'!$A$5:$A$746,"&lt;="&amp;G156)))</f>
        <v/>
      </c>
    </row>
    <row r="157" customFormat="false" ht="15" hidden="false" customHeight="false" outlineLevel="0" collapsed="false">
      <c r="A157" s="43"/>
      <c r="B157" s="23" t="str">
        <f aca="false">IF(G157="","",CHOOSE(WEEKDAY(G157,1),"الأحد","الاثنين","الثلاثاء","الأربعاء","الخميس","الجمعة","السبت")&amp;IF(OR(ISNUMBER(A157),LEN(TRIM(A157))&gt;=10),"","  "&amp;TEXT(DAY(G157),"00")&amp;"/"&amp;TEXT(MONTH(G157),"00")&amp;"/"&amp;YEAR(G157)))</f>
        <v/>
      </c>
      <c r="C157" s="24"/>
      <c r="D157" s="44"/>
      <c r="E157" s="27"/>
      <c r="F157" s="45" t="str">
        <f aca="false">IF(A157="","",IF(G157="","⛔ التاريخ غلط — اختاره من القائمة أو اكتبه كامل 05/10/2026",IF(OR(H157&lt;1,H157&gt;NW),"⛔ التاريخ برّا السنة",IF(AND(N(D157)&gt;0,N(J157)&gt;0,D157&gt;ADV_CAP*J157),"⚠️ أكثر من "&amp;TEXT(ADV_CAP,"0%")&amp;" من شغله ("&amp;TEXT(J157,"0.000")&amp;")",""))))</f>
        <v/>
      </c>
      <c r="G157" s="0" t="str">
        <f aca="true">IF(A157="","",IF(ISNUMBER(A157),IF(A157&gt;=36526,A157,""),IFERROR(DATE(VALUE(RIGHT(RIGHT(TRIM(A157),10),4)),VALUE(MID(RIGHT(TRIM(A157),10),4,2)),VALUE(LEFT(RIGHT(TRIM(A157),10),2))),IFERROR(TODAY()-MOD(WEEKDAY(TODAY(),1)-MATCH(TRIM(A157),{"الأحد","الاثنين","الثلاثاء","الأربعاء","الخميس","الجمعة","السبت"},0),7),IFERROR(DATEVALUE(A157),"")))))</f>
        <v/>
      </c>
      <c r="H157" s="0" t="str">
        <f aca="false">IF(G157="","",INT((G157-WEEK_ONE)/7)+1)</f>
        <v/>
      </c>
      <c r="I157" s="0" t="str">
        <f aca="false">IF(H157="","",IF(OR(H157&lt;1,H157&gt;NW),"",INDEX(WMON,H157)))</f>
        <v/>
      </c>
      <c r="J157" s="0" t="str">
        <f aca="false">IF(OR(G157="",H157="",C157=""),"",IF(C157="عمر المصري",SUMIFS('ساعات عمر'!$H$5:$H$746,'ساعات عمر'!$A$5:$A$746,"&gt;="&amp;(WEEK_ONE+7*(H157-1)),'ساعات عمر'!$A$5:$A$746,"&lt;="&amp;G157),SUMIFS('ساعات عبدالعزيز'!$F$5:$F$746,'ساعات عبدالعزيز'!$A$5:$A$746,"&gt;="&amp;(WEEK_ONE+7*(H157-1)),'ساعات عبدالعزيز'!$A$5:$A$746,"&lt;="&amp;G157)))</f>
        <v/>
      </c>
    </row>
    <row r="158" customFormat="false" ht="15" hidden="false" customHeight="false" outlineLevel="0" collapsed="false">
      <c r="A158" s="43"/>
      <c r="B158" s="23" t="str">
        <f aca="false">IF(G158="","",CHOOSE(WEEKDAY(G158,1),"الأحد","الاثنين","الثلاثاء","الأربعاء","الخميس","الجمعة","السبت")&amp;IF(OR(ISNUMBER(A158),LEN(TRIM(A158))&gt;=10),"","  "&amp;TEXT(DAY(G158),"00")&amp;"/"&amp;TEXT(MONTH(G158),"00")&amp;"/"&amp;YEAR(G158)))</f>
        <v/>
      </c>
      <c r="C158" s="24"/>
      <c r="D158" s="44"/>
      <c r="E158" s="27"/>
      <c r="F158" s="45" t="str">
        <f aca="false">IF(A158="","",IF(G158="","⛔ التاريخ غلط — اختاره من القائمة أو اكتبه كامل 05/10/2026",IF(OR(H158&lt;1,H158&gt;NW),"⛔ التاريخ برّا السنة",IF(AND(N(D158)&gt;0,N(J158)&gt;0,D158&gt;ADV_CAP*J158),"⚠️ أكثر من "&amp;TEXT(ADV_CAP,"0%")&amp;" من شغله ("&amp;TEXT(J158,"0.000")&amp;")",""))))</f>
        <v/>
      </c>
      <c r="G158" s="0" t="str">
        <f aca="true">IF(A158="","",IF(ISNUMBER(A158),IF(A158&gt;=36526,A158,""),IFERROR(DATE(VALUE(RIGHT(RIGHT(TRIM(A158),10),4)),VALUE(MID(RIGHT(TRIM(A158),10),4,2)),VALUE(LEFT(RIGHT(TRIM(A158),10),2))),IFERROR(TODAY()-MOD(WEEKDAY(TODAY(),1)-MATCH(TRIM(A158),{"الأحد","الاثنين","الثلاثاء","الأربعاء","الخميس","الجمعة","السبت"},0),7),IFERROR(DATEVALUE(A158),"")))))</f>
        <v/>
      </c>
      <c r="H158" s="0" t="str">
        <f aca="false">IF(G158="","",INT((G158-WEEK_ONE)/7)+1)</f>
        <v/>
      </c>
      <c r="I158" s="0" t="str">
        <f aca="false">IF(H158="","",IF(OR(H158&lt;1,H158&gt;NW),"",INDEX(WMON,H158)))</f>
        <v/>
      </c>
      <c r="J158" s="0" t="str">
        <f aca="false">IF(OR(G158="",H158="",C158=""),"",IF(C158="عمر المصري",SUMIFS('ساعات عمر'!$H$5:$H$746,'ساعات عمر'!$A$5:$A$746,"&gt;="&amp;(WEEK_ONE+7*(H158-1)),'ساعات عمر'!$A$5:$A$746,"&lt;="&amp;G158),SUMIFS('ساعات عبدالعزيز'!$F$5:$F$746,'ساعات عبدالعزيز'!$A$5:$A$746,"&gt;="&amp;(WEEK_ONE+7*(H158-1)),'ساعات عبدالعزيز'!$A$5:$A$746,"&lt;="&amp;G158)))</f>
        <v/>
      </c>
    </row>
    <row r="159" customFormat="false" ht="15" hidden="false" customHeight="false" outlineLevel="0" collapsed="false">
      <c r="A159" s="43"/>
      <c r="B159" s="23" t="str">
        <f aca="false">IF(G159="","",CHOOSE(WEEKDAY(G159,1),"الأحد","الاثنين","الثلاثاء","الأربعاء","الخميس","الجمعة","السبت")&amp;IF(OR(ISNUMBER(A159),LEN(TRIM(A159))&gt;=10),"","  "&amp;TEXT(DAY(G159),"00")&amp;"/"&amp;TEXT(MONTH(G159),"00")&amp;"/"&amp;YEAR(G159)))</f>
        <v/>
      </c>
      <c r="C159" s="24"/>
      <c r="D159" s="44"/>
      <c r="E159" s="27"/>
      <c r="F159" s="45" t="str">
        <f aca="false">IF(A159="","",IF(G159="","⛔ التاريخ غلط — اختاره من القائمة أو اكتبه كامل 05/10/2026",IF(OR(H159&lt;1,H159&gt;NW),"⛔ التاريخ برّا السنة",IF(AND(N(D159)&gt;0,N(J159)&gt;0,D159&gt;ADV_CAP*J159),"⚠️ أكثر من "&amp;TEXT(ADV_CAP,"0%")&amp;" من شغله ("&amp;TEXT(J159,"0.000")&amp;")",""))))</f>
        <v/>
      </c>
      <c r="G159" s="0" t="str">
        <f aca="true">IF(A159="","",IF(ISNUMBER(A159),IF(A159&gt;=36526,A159,""),IFERROR(DATE(VALUE(RIGHT(RIGHT(TRIM(A159),10),4)),VALUE(MID(RIGHT(TRIM(A159),10),4,2)),VALUE(LEFT(RIGHT(TRIM(A159),10),2))),IFERROR(TODAY()-MOD(WEEKDAY(TODAY(),1)-MATCH(TRIM(A159),{"الأحد","الاثنين","الثلاثاء","الأربعاء","الخميس","الجمعة","السبت"},0),7),IFERROR(DATEVALUE(A159),"")))))</f>
        <v/>
      </c>
      <c r="H159" s="0" t="str">
        <f aca="false">IF(G159="","",INT((G159-WEEK_ONE)/7)+1)</f>
        <v/>
      </c>
      <c r="I159" s="0" t="str">
        <f aca="false">IF(H159="","",IF(OR(H159&lt;1,H159&gt;NW),"",INDEX(WMON,H159)))</f>
        <v/>
      </c>
      <c r="J159" s="0" t="str">
        <f aca="false">IF(OR(G159="",H159="",C159=""),"",IF(C159="عمر المصري",SUMIFS('ساعات عمر'!$H$5:$H$746,'ساعات عمر'!$A$5:$A$746,"&gt;="&amp;(WEEK_ONE+7*(H159-1)),'ساعات عمر'!$A$5:$A$746,"&lt;="&amp;G159),SUMIFS('ساعات عبدالعزيز'!$F$5:$F$746,'ساعات عبدالعزيز'!$A$5:$A$746,"&gt;="&amp;(WEEK_ONE+7*(H159-1)),'ساعات عبدالعزيز'!$A$5:$A$746,"&lt;="&amp;G159)))</f>
        <v/>
      </c>
    </row>
    <row r="160" customFormat="false" ht="15" hidden="false" customHeight="false" outlineLevel="0" collapsed="false">
      <c r="A160" s="43"/>
      <c r="B160" s="23" t="str">
        <f aca="false">IF(G160="","",CHOOSE(WEEKDAY(G160,1),"الأحد","الاثنين","الثلاثاء","الأربعاء","الخميس","الجمعة","السبت")&amp;IF(OR(ISNUMBER(A160),LEN(TRIM(A160))&gt;=10),"","  "&amp;TEXT(DAY(G160),"00")&amp;"/"&amp;TEXT(MONTH(G160),"00")&amp;"/"&amp;YEAR(G160)))</f>
        <v/>
      </c>
      <c r="C160" s="24"/>
      <c r="D160" s="44"/>
      <c r="E160" s="27"/>
      <c r="F160" s="45" t="str">
        <f aca="false">IF(A160="","",IF(G160="","⛔ التاريخ غلط — اختاره من القائمة أو اكتبه كامل 05/10/2026",IF(OR(H160&lt;1,H160&gt;NW),"⛔ التاريخ برّا السنة",IF(AND(N(D160)&gt;0,N(J160)&gt;0,D160&gt;ADV_CAP*J160),"⚠️ أكثر من "&amp;TEXT(ADV_CAP,"0%")&amp;" من شغله ("&amp;TEXT(J160,"0.000")&amp;")",""))))</f>
        <v/>
      </c>
      <c r="G160" s="0" t="str">
        <f aca="true">IF(A160="","",IF(ISNUMBER(A160),IF(A160&gt;=36526,A160,""),IFERROR(DATE(VALUE(RIGHT(RIGHT(TRIM(A160),10),4)),VALUE(MID(RIGHT(TRIM(A160),10),4,2)),VALUE(LEFT(RIGHT(TRIM(A160),10),2))),IFERROR(TODAY()-MOD(WEEKDAY(TODAY(),1)-MATCH(TRIM(A160),{"الأحد","الاثنين","الثلاثاء","الأربعاء","الخميس","الجمعة","السبت"},0),7),IFERROR(DATEVALUE(A160),"")))))</f>
        <v/>
      </c>
      <c r="H160" s="0" t="str">
        <f aca="false">IF(G160="","",INT((G160-WEEK_ONE)/7)+1)</f>
        <v/>
      </c>
      <c r="I160" s="0" t="str">
        <f aca="false">IF(H160="","",IF(OR(H160&lt;1,H160&gt;NW),"",INDEX(WMON,H160)))</f>
        <v/>
      </c>
      <c r="J160" s="0" t="str">
        <f aca="false">IF(OR(G160="",H160="",C160=""),"",IF(C160="عمر المصري",SUMIFS('ساعات عمر'!$H$5:$H$746,'ساعات عمر'!$A$5:$A$746,"&gt;="&amp;(WEEK_ONE+7*(H160-1)),'ساعات عمر'!$A$5:$A$746,"&lt;="&amp;G160),SUMIFS('ساعات عبدالعزيز'!$F$5:$F$746,'ساعات عبدالعزيز'!$A$5:$A$746,"&gt;="&amp;(WEEK_ONE+7*(H160-1)),'ساعات عبدالعزيز'!$A$5:$A$746,"&lt;="&amp;G160)))</f>
        <v/>
      </c>
    </row>
    <row r="161" customFormat="false" ht="15" hidden="false" customHeight="false" outlineLevel="0" collapsed="false">
      <c r="A161" s="43"/>
      <c r="B161" s="23" t="str">
        <f aca="false">IF(G161="","",CHOOSE(WEEKDAY(G161,1),"الأحد","الاثنين","الثلاثاء","الأربعاء","الخميس","الجمعة","السبت")&amp;IF(OR(ISNUMBER(A161),LEN(TRIM(A161))&gt;=10),"","  "&amp;TEXT(DAY(G161),"00")&amp;"/"&amp;TEXT(MONTH(G161),"00")&amp;"/"&amp;YEAR(G161)))</f>
        <v/>
      </c>
      <c r="C161" s="24"/>
      <c r="D161" s="44"/>
      <c r="E161" s="27"/>
      <c r="F161" s="45" t="str">
        <f aca="false">IF(A161="","",IF(G161="","⛔ التاريخ غلط — اختاره من القائمة أو اكتبه كامل 05/10/2026",IF(OR(H161&lt;1,H161&gt;NW),"⛔ التاريخ برّا السنة",IF(AND(N(D161)&gt;0,N(J161)&gt;0,D161&gt;ADV_CAP*J161),"⚠️ أكثر من "&amp;TEXT(ADV_CAP,"0%")&amp;" من شغله ("&amp;TEXT(J161,"0.000")&amp;")",""))))</f>
        <v/>
      </c>
      <c r="G161" s="0" t="str">
        <f aca="true">IF(A161="","",IF(ISNUMBER(A161),IF(A161&gt;=36526,A161,""),IFERROR(DATE(VALUE(RIGHT(RIGHT(TRIM(A161),10),4)),VALUE(MID(RIGHT(TRIM(A161),10),4,2)),VALUE(LEFT(RIGHT(TRIM(A161),10),2))),IFERROR(TODAY()-MOD(WEEKDAY(TODAY(),1)-MATCH(TRIM(A161),{"الأحد","الاثنين","الثلاثاء","الأربعاء","الخميس","الجمعة","السبت"},0),7),IFERROR(DATEVALUE(A161),"")))))</f>
        <v/>
      </c>
      <c r="H161" s="0" t="str">
        <f aca="false">IF(G161="","",INT((G161-WEEK_ONE)/7)+1)</f>
        <v/>
      </c>
      <c r="I161" s="0" t="str">
        <f aca="false">IF(H161="","",IF(OR(H161&lt;1,H161&gt;NW),"",INDEX(WMON,H161)))</f>
        <v/>
      </c>
      <c r="J161" s="0" t="str">
        <f aca="false">IF(OR(G161="",H161="",C161=""),"",IF(C161="عمر المصري",SUMIFS('ساعات عمر'!$H$5:$H$746,'ساعات عمر'!$A$5:$A$746,"&gt;="&amp;(WEEK_ONE+7*(H161-1)),'ساعات عمر'!$A$5:$A$746,"&lt;="&amp;G161),SUMIFS('ساعات عبدالعزيز'!$F$5:$F$746,'ساعات عبدالعزيز'!$A$5:$A$746,"&gt;="&amp;(WEEK_ONE+7*(H161-1)),'ساعات عبدالعزيز'!$A$5:$A$746,"&lt;="&amp;G161)))</f>
        <v/>
      </c>
    </row>
    <row r="162" customFormat="false" ht="15" hidden="false" customHeight="false" outlineLevel="0" collapsed="false">
      <c r="A162" s="43"/>
      <c r="B162" s="23" t="str">
        <f aca="false">IF(G162="","",CHOOSE(WEEKDAY(G162,1),"الأحد","الاثنين","الثلاثاء","الأربعاء","الخميس","الجمعة","السبت")&amp;IF(OR(ISNUMBER(A162),LEN(TRIM(A162))&gt;=10),"","  "&amp;TEXT(DAY(G162),"00")&amp;"/"&amp;TEXT(MONTH(G162),"00")&amp;"/"&amp;YEAR(G162)))</f>
        <v/>
      </c>
      <c r="C162" s="24"/>
      <c r="D162" s="44"/>
      <c r="E162" s="27"/>
      <c r="F162" s="45" t="str">
        <f aca="false">IF(A162="","",IF(G162="","⛔ التاريخ غلط — اختاره من القائمة أو اكتبه كامل 05/10/2026",IF(OR(H162&lt;1,H162&gt;NW),"⛔ التاريخ برّا السنة",IF(AND(N(D162)&gt;0,N(J162)&gt;0,D162&gt;ADV_CAP*J162),"⚠️ أكثر من "&amp;TEXT(ADV_CAP,"0%")&amp;" من شغله ("&amp;TEXT(J162,"0.000")&amp;")",""))))</f>
        <v/>
      </c>
      <c r="G162" s="0" t="str">
        <f aca="true">IF(A162="","",IF(ISNUMBER(A162),IF(A162&gt;=36526,A162,""),IFERROR(DATE(VALUE(RIGHT(RIGHT(TRIM(A162),10),4)),VALUE(MID(RIGHT(TRIM(A162),10),4,2)),VALUE(LEFT(RIGHT(TRIM(A162),10),2))),IFERROR(TODAY()-MOD(WEEKDAY(TODAY(),1)-MATCH(TRIM(A162),{"الأحد","الاثنين","الثلاثاء","الأربعاء","الخميس","الجمعة","السبت"},0),7),IFERROR(DATEVALUE(A162),"")))))</f>
        <v/>
      </c>
      <c r="H162" s="0" t="str">
        <f aca="false">IF(G162="","",INT((G162-WEEK_ONE)/7)+1)</f>
        <v/>
      </c>
      <c r="I162" s="0" t="str">
        <f aca="false">IF(H162="","",IF(OR(H162&lt;1,H162&gt;NW),"",INDEX(WMON,H162)))</f>
        <v/>
      </c>
      <c r="J162" s="0" t="str">
        <f aca="false">IF(OR(G162="",H162="",C162=""),"",IF(C162="عمر المصري",SUMIFS('ساعات عمر'!$H$5:$H$746,'ساعات عمر'!$A$5:$A$746,"&gt;="&amp;(WEEK_ONE+7*(H162-1)),'ساعات عمر'!$A$5:$A$746,"&lt;="&amp;G162),SUMIFS('ساعات عبدالعزيز'!$F$5:$F$746,'ساعات عبدالعزيز'!$A$5:$A$746,"&gt;="&amp;(WEEK_ONE+7*(H162-1)),'ساعات عبدالعزيز'!$A$5:$A$746,"&lt;="&amp;G162)))</f>
        <v/>
      </c>
    </row>
    <row r="163" customFormat="false" ht="15" hidden="false" customHeight="false" outlineLevel="0" collapsed="false">
      <c r="A163" s="43"/>
      <c r="B163" s="23" t="str">
        <f aca="false">IF(G163="","",CHOOSE(WEEKDAY(G163,1),"الأحد","الاثنين","الثلاثاء","الأربعاء","الخميس","الجمعة","السبت")&amp;IF(OR(ISNUMBER(A163),LEN(TRIM(A163))&gt;=10),"","  "&amp;TEXT(DAY(G163),"00")&amp;"/"&amp;TEXT(MONTH(G163),"00")&amp;"/"&amp;YEAR(G163)))</f>
        <v/>
      </c>
      <c r="C163" s="24"/>
      <c r="D163" s="44"/>
      <c r="E163" s="27"/>
      <c r="F163" s="45" t="str">
        <f aca="false">IF(A163="","",IF(G163="","⛔ التاريخ غلط — اختاره من القائمة أو اكتبه كامل 05/10/2026",IF(OR(H163&lt;1,H163&gt;NW),"⛔ التاريخ برّا السنة",IF(AND(N(D163)&gt;0,N(J163)&gt;0,D163&gt;ADV_CAP*J163),"⚠️ أكثر من "&amp;TEXT(ADV_CAP,"0%")&amp;" من شغله ("&amp;TEXT(J163,"0.000")&amp;")",""))))</f>
        <v/>
      </c>
      <c r="G163" s="0" t="str">
        <f aca="true">IF(A163="","",IF(ISNUMBER(A163),IF(A163&gt;=36526,A163,""),IFERROR(DATE(VALUE(RIGHT(RIGHT(TRIM(A163),10),4)),VALUE(MID(RIGHT(TRIM(A163),10),4,2)),VALUE(LEFT(RIGHT(TRIM(A163),10),2))),IFERROR(TODAY()-MOD(WEEKDAY(TODAY(),1)-MATCH(TRIM(A163),{"الأحد","الاثنين","الثلاثاء","الأربعاء","الخميس","الجمعة","السبت"},0),7),IFERROR(DATEVALUE(A163),"")))))</f>
        <v/>
      </c>
      <c r="H163" s="0" t="str">
        <f aca="false">IF(G163="","",INT((G163-WEEK_ONE)/7)+1)</f>
        <v/>
      </c>
      <c r="I163" s="0" t="str">
        <f aca="false">IF(H163="","",IF(OR(H163&lt;1,H163&gt;NW),"",INDEX(WMON,H163)))</f>
        <v/>
      </c>
      <c r="J163" s="0" t="str">
        <f aca="false">IF(OR(G163="",H163="",C163=""),"",IF(C163="عمر المصري",SUMIFS('ساعات عمر'!$H$5:$H$746,'ساعات عمر'!$A$5:$A$746,"&gt;="&amp;(WEEK_ONE+7*(H163-1)),'ساعات عمر'!$A$5:$A$746,"&lt;="&amp;G163),SUMIFS('ساعات عبدالعزيز'!$F$5:$F$746,'ساعات عبدالعزيز'!$A$5:$A$746,"&gt;="&amp;(WEEK_ONE+7*(H163-1)),'ساعات عبدالعزيز'!$A$5:$A$746,"&lt;="&amp;G163)))</f>
        <v/>
      </c>
    </row>
    <row r="164" customFormat="false" ht="15" hidden="false" customHeight="false" outlineLevel="0" collapsed="false">
      <c r="A164" s="43"/>
      <c r="B164" s="23" t="str">
        <f aca="false">IF(G164="","",CHOOSE(WEEKDAY(G164,1),"الأحد","الاثنين","الثلاثاء","الأربعاء","الخميس","الجمعة","السبت")&amp;IF(OR(ISNUMBER(A164),LEN(TRIM(A164))&gt;=10),"","  "&amp;TEXT(DAY(G164),"00")&amp;"/"&amp;TEXT(MONTH(G164),"00")&amp;"/"&amp;YEAR(G164)))</f>
        <v/>
      </c>
      <c r="C164" s="24"/>
      <c r="D164" s="44"/>
      <c r="E164" s="27"/>
      <c r="F164" s="45" t="str">
        <f aca="false">IF(A164="","",IF(G164="","⛔ التاريخ غلط — اختاره من القائمة أو اكتبه كامل 05/10/2026",IF(OR(H164&lt;1,H164&gt;NW),"⛔ التاريخ برّا السنة",IF(AND(N(D164)&gt;0,N(J164)&gt;0,D164&gt;ADV_CAP*J164),"⚠️ أكثر من "&amp;TEXT(ADV_CAP,"0%")&amp;" من شغله ("&amp;TEXT(J164,"0.000")&amp;")",""))))</f>
        <v/>
      </c>
      <c r="G164" s="0" t="str">
        <f aca="true">IF(A164="","",IF(ISNUMBER(A164),IF(A164&gt;=36526,A164,""),IFERROR(DATE(VALUE(RIGHT(RIGHT(TRIM(A164),10),4)),VALUE(MID(RIGHT(TRIM(A164),10),4,2)),VALUE(LEFT(RIGHT(TRIM(A164),10),2))),IFERROR(TODAY()-MOD(WEEKDAY(TODAY(),1)-MATCH(TRIM(A164),{"الأحد","الاثنين","الثلاثاء","الأربعاء","الخميس","الجمعة","السبت"},0),7),IFERROR(DATEVALUE(A164),"")))))</f>
        <v/>
      </c>
      <c r="H164" s="0" t="str">
        <f aca="false">IF(G164="","",INT((G164-WEEK_ONE)/7)+1)</f>
        <v/>
      </c>
      <c r="I164" s="0" t="str">
        <f aca="false">IF(H164="","",IF(OR(H164&lt;1,H164&gt;NW),"",INDEX(WMON,H164)))</f>
        <v/>
      </c>
      <c r="J164" s="0" t="str">
        <f aca="false">IF(OR(G164="",H164="",C164=""),"",IF(C164="عمر المصري",SUMIFS('ساعات عمر'!$H$5:$H$746,'ساعات عمر'!$A$5:$A$746,"&gt;="&amp;(WEEK_ONE+7*(H164-1)),'ساعات عمر'!$A$5:$A$746,"&lt;="&amp;G164),SUMIFS('ساعات عبدالعزيز'!$F$5:$F$746,'ساعات عبدالعزيز'!$A$5:$A$746,"&gt;="&amp;(WEEK_ONE+7*(H164-1)),'ساعات عبدالعزيز'!$A$5:$A$746,"&lt;="&amp;G164)))</f>
        <v/>
      </c>
    </row>
    <row r="165" customFormat="false" ht="15" hidden="false" customHeight="false" outlineLevel="0" collapsed="false">
      <c r="A165" s="43"/>
      <c r="B165" s="23" t="str">
        <f aca="false">IF(G165="","",CHOOSE(WEEKDAY(G165,1),"الأحد","الاثنين","الثلاثاء","الأربعاء","الخميس","الجمعة","السبت")&amp;IF(OR(ISNUMBER(A165),LEN(TRIM(A165))&gt;=10),"","  "&amp;TEXT(DAY(G165),"00")&amp;"/"&amp;TEXT(MONTH(G165),"00")&amp;"/"&amp;YEAR(G165)))</f>
        <v/>
      </c>
      <c r="C165" s="24"/>
      <c r="D165" s="44"/>
      <c r="E165" s="27"/>
      <c r="F165" s="45" t="str">
        <f aca="false">IF(A165="","",IF(G165="","⛔ التاريخ غلط — اختاره من القائمة أو اكتبه كامل 05/10/2026",IF(OR(H165&lt;1,H165&gt;NW),"⛔ التاريخ برّا السنة",IF(AND(N(D165)&gt;0,N(J165)&gt;0,D165&gt;ADV_CAP*J165),"⚠️ أكثر من "&amp;TEXT(ADV_CAP,"0%")&amp;" من شغله ("&amp;TEXT(J165,"0.000")&amp;")",""))))</f>
        <v/>
      </c>
      <c r="G165" s="0" t="str">
        <f aca="true">IF(A165="","",IF(ISNUMBER(A165),IF(A165&gt;=36526,A165,""),IFERROR(DATE(VALUE(RIGHT(RIGHT(TRIM(A165),10),4)),VALUE(MID(RIGHT(TRIM(A165),10),4,2)),VALUE(LEFT(RIGHT(TRIM(A165),10),2))),IFERROR(TODAY()-MOD(WEEKDAY(TODAY(),1)-MATCH(TRIM(A165),{"الأحد","الاثنين","الثلاثاء","الأربعاء","الخميس","الجمعة","السبت"},0),7),IFERROR(DATEVALUE(A165),"")))))</f>
        <v/>
      </c>
      <c r="H165" s="0" t="str">
        <f aca="false">IF(G165="","",INT((G165-WEEK_ONE)/7)+1)</f>
        <v/>
      </c>
      <c r="I165" s="0" t="str">
        <f aca="false">IF(H165="","",IF(OR(H165&lt;1,H165&gt;NW),"",INDEX(WMON,H165)))</f>
        <v/>
      </c>
      <c r="J165" s="0" t="str">
        <f aca="false">IF(OR(G165="",H165="",C165=""),"",IF(C165="عمر المصري",SUMIFS('ساعات عمر'!$H$5:$H$746,'ساعات عمر'!$A$5:$A$746,"&gt;="&amp;(WEEK_ONE+7*(H165-1)),'ساعات عمر'!$A$5:$A$746,"&lt;="&amp;G165),SUMIFS('ساعات عبدالعزيز'!$F$5:$F$746,'ساعات عبدالعزيز'!$A$5:$A$746,"&gt;="&amp;(WEEK_ONE+7*(H165-1)),'ساعات عبدالعزيز'!$A$5:$A$746,"&lt;="&amp;G165)))</f>
        <v/>
      </c>
    </row>
    <row r="166" customFormat="false" ht="15" hidden="false" customHeight="false" outlineLevel="0" collapsed="false">
      <c r="A166" s="43"/>
      <c r="B166" s="23" t="str">
        <f aca="false">IF(G166="","",CHOOSE(WEEKDAY(G166,1),"الأحد","الاثنين","الثلاثاء","الأربعاء","الخميس","الجمعة","السبت")&amp;IF(OR(ISNUMBER(A166),LEN(TRIM(A166))&gt;=10),"","  "&amp;TEXT(DAY(G166),"00")&amp;"/"&amp;TEXT(MONTH(G166),"00")&amp;"/"&amp;YEAR(G166)))</f>
        <v/>
      </c>
      <c r="C166" s="24"/>
      <c r="D166" s="44"/>
      <c r="E166" s="27"/>
      <c r="F166" s="45" t="str">
        <f aca="false">IF(A166="","",IF(G166="","⛔ التاريخ غلط — اختاره من القائمة أو اكتبه كامل 05/10/2026",IF(OR(H166&lt;1,H166&gt;NW),"⛔ التاريخ برّا السنة",IF(AND(N(D166)&gt;0,N(J166)&gt;0,D166&gt;ADV_CAP*J166),"⚠️ أكثر من "&amp;TEXT(ADV_CAP,"0%")&amp;" من شغله ("&amp;TEXT(J166,"0.000")&amp;")",""))))</f>
        <v/>
      </c>
      <c r="G166" s="0" t="str">
        <f aca="true">IF(A166="","",IF(ISNUMBER(A166),IF(A166&gt;=36526,A166,""),IFERROR(DATE(VALUE(RIGHT(RIGHT(TRIM(A166),10),4)),VALUE(MID(RIGHT(TRIM(A166),10),4,2)),VALUE(LEFT(RIGHT(TRIM(A166),10),2))),IFERROR(TODAY()-MOD(WEEKDAY(TODAY(),1)-MATCH(TRIM(A166),{"الأحد","الاثنين","الثلاثاء","الأربعاء","الخميس","الجمعة","السبت"},0),7),IFERROR(DATEVALUE(A166),"")))))</f>
        <v/>
      </c>
      <c r="H166" s="0" t="str">
        <f aca="false">IF(G166="","",INT((G166-WEEK_ONE)/7)+1)</f>
        <v/>
      </c>
      <c r="I166" s="0" t="str">
        <f aca="false">IF(H166="","",IF(OR(H166&lt;1,H166&gt;NW),"",INDEX(WMON,H166)))</f>
        <v/>
      </c>
      <c r="J166" s="0" t="str">
        <f aca="false">IF(OR(G166="",H166="",C166=""),"",IF(C166="عمر المصري",SUMIFS('ساعات عمر'!$H$5:$H$746,'ساعات عمر'!$A$5:$A$746,"&gt;="&amp;(WEEK_ONE+7*(H166-1)),'ساعات عمر'!$A$5:$A$746,"&lt;="&amp;G166),SUMIFS('ساعات عبدالعزيز'!$F$5:$F$746,'ساعات عبدالعزيز'!$A$5:$A$746,"&gt;="&amp;(WEEK_ONE+7*(H166-1)),'ساعات عبدالعزيز'!$A$5:$A$746,"&lt;="&amp;G166)))</f>
        <v/>
      </c>
    </row>
    <row r="167" customFormat="false" ht="15" hidden="false" customHeight="false" outlineLevel="0" collapsed="false">
      <c r="A167" s="43"/>
      <c r="B167" s="23" t="str">
        <f aca="false">IF(G167="","",CHOOSE(WEEKDAY(G167,1),"الأحد","الاثنين","الثلاثاء","الأربعاء","الخميس","الجمعة","السبت")&amp;IF(OR(ISNUMBER(A167),LEN(TRIM(A167))&gt;=10),"","  "&amp;TEXT(DAY(G167),"00")&amp;"/"&amp;TEXT(MONTH(G167),"00")&amp;"/"&amp;YEAR(G167)))</f>
        <v/>
      </c>
      <c r="C167" s="24"/>
      <c r="D167" s="44"/>
      <c r="E167" s="27"/>
      <c r="F167" s="45" t="str">
        <f aca="false">IF(A167="","",IF(G167="","⛔ التاريخ غلط — اختاره من القائمة أو اكتبه كامل 05/10/2026",IF(OR(H167&lt;1,H167&gt;NW),"⛔ التاريخ برّا السنة",IF(AND(N(D167)&gt;0,N(J167)&gt;0,D167&gt;ADV_CAP*J167),"⚠️ أكثر من "&amp;TEXT(ADV_CAP,"0%")&amp;" من شغله ("&amp;TEXT(J167,"0.000")&amp;")",""))))</f>
        <v/>
      </c>
      <c r="G167" s="0" t="str">
        <f aca="true">IF(A167="","",IF(ISNUMBER(A167),IF(A167&gt;=36526,A167,""),IFERROR(DATE(VALUE(RIGHT(RIGHT(TRIM(A167),10),4)),VALUE(MID(RIGHT(TRIM(A167),10),4,2)),VALUE(LEFT(RIGHT(TRIM(A167),10),2))),IFERROR(TODAY()-MOD(WEEKDAY(TODAY(),1)-MATCH(TRIM(A167),{"الأحد","الاثنين","الثلاثاء","الأربعاء","الخميس","الجمعة","السبت"},0),7),IFERROR(DATEVALUE(A167),"")))))</f>
        <v/>
      </c>
      <c r="H167" s="0" t="str">
        <f aca="false">IF(G167="","",INT((G167-WEEK_ONE)/7)+1)</f>
        <v/>
      </c>
      <c r="I167" s="0" t="str">
        <f aca="false">IF(H167="","",IF(OR(H167&lt;1,H167&gt;NW),"",INDEX(WMON,H167)))</f>
        <v/>
      </c>
      <c r="J167" s="0" t="str">
        <f aca="false">IF(OR(G167="",H167="",C167=""),"",IF(C167="عمر المصري",SUMIFS('ساعات عمر'!$H$5:$H$746,'ساعات عمر'!$A$5:$A$746,"&gt;="&amp;(WEEK_ONE+7*(H167-1)),'ساعات عمر'!$A$5:$A$746,"&lt;="&amp;G167),SUMIFS('ساعات عبدالعزيز'!$F$5:$F$746,'ساعات عبدالعزيز'!$A$5:$A$746,"&gt;="&amp;(WEEK_ONE+7*(H167-1)),'ساعات عبدالعزيز'!$A$5:$A$746,"&lt;="&amp;G167)))</f>
        <v/>
      </c>
    </row>
    <row r="168" customFormat="false" ht="15" hidden="false" customHeight="false" outlineLevel="0" collapsed="false">
      <c r="A168" s="43"/>
      <c r="B168" s="23" t="str">
        <f aca="false">IF(G168="","",CHOOSE(WEEKDAY(G168,1),"الأحد","الاثنين","الثلاثاء","الأربعاء","الخميس","الجمعة","السبت")&amp;IF(OR(ISNUMBER(A168),LEN(TRIM(A168))&gt;=10),"","  "&amp;TEXT(DAY(G168),"00")&amp;"/"&amp;TEXT(MONTH(G168),"00")&amp;"/"&amp;YEAR(G168)))</f>
        <v/>
      </c>
      <c r="C168" s="24"/>
      <c r="D168" s="44"/>
      <c r="E168" s="27"/>
      <c r="F168" s="45" t="str">
        <f aca="false">IF(A168="","",IF(G168="","⛔ التاريخ غلط — اختاره من القائمة أو اكتبه كامل 05/10/2026",IF(OR(H168&lt;1,H168&gt;NW),"⛔ التاريخ برّا السنة",IF(AND(N(D168)&gt;0,N(J168)&gt;0,D168&gt;ADV_CAP*J168),"⚠️ أكثر من "&amp;TEXT(ADV_CAP,"0%")&amp;" من شغله ("&amp;TEXT(J168,"0.000")&amp;")",""))))</f>
        <v/>
      </c>
      <c r="G168" s="0" t="str">
        <f aca="true">IF(A168="","",IF(ISNUMBER(A168),IF(A168&gt;=36526,A168,""),IFERROR(DATE(VALUE(RIGHT(RIGHT(TRIM(A168),10),4)),VALUE(MID(RIGHT(TRIM(A168),10),4,2)),VALUE(LEFT(RIGHT(TRIM(A168),10),2))),IFERROR(TODAY()-MOD(WEEKDAY(TODAY(),1)-MATCH(TRIM(A168),{"الأحد","الاثنين","الثلاثاء","الأربعاء","الخميس","الجمعة","السبت"},0),7),IFERROR(DATEVALUE(A168),"")))))</f>
        <v/>
      </c>
      <c r="H168" s="0" t="str">
        <f aca="false">IF(G168="","",INT((G168-WEEK_ONE)/7)+1)</f>
        <v/>
      </c>
      <c r="I168" s="0" t="str">
        <f aca="false">IF(H168="","",IF(OR(H168&lt;1,H168&gt;NW),"",INDEX(WMON,H168)))</f>
        <v/>
      </c>
      <c r="J168" s="0" t="str">
        <f aca="false">IF(OR(G168="",H168="",C168=""),"",IF(C168="عمر المصري",SUMIFS('ساعات عمر'!$H$5:$H$746,'ساعات عمر'!$A$5:$A$746,"&gt;="&amp;(WEEK_ONE+7*(H168-1)),'ساعات عمر'!$A$5:$A$746,"&lt;="&amp;G168),SUMIFS('ساعات عبدالعزيز'!$F$5:$F$746,'ساعات عبدالعزيز'!$A$5:$A$746,"&gt;="&amp;(WEEK_ONE+7*(H168-1)),'ساعات عبدالعزيز'!$A$5:$A$746,"&lt;="&amp;G168)))</f>
        <v/>
      </c>
    </row>
    <row r="169" customFormat="false" ht="15" hidden="false" customHeight="false" outlineLevel="0" collapsed="false">
      <c r="A169" s="43"/>
      <c r="B169" s="23" t="str">
        <f aca="false">IF(G169="","",CHOOSE(WEEKDAY(G169,1),"الأحد","الاثنين","الثلاثاء","الأربعاء","الخميس","الجمعة","السبت")&amp;IF(OR(ISNUMBER(A169),LEN(TRIM(A169))&gt;=10),"","  "&amp;TEXT(DAY(G169),"00")&amp;"/"&amp;TEXT(MONTH(G169),"00")&amp;"/"&amp;YEAR(G169)))</f>
        <v/>
      </c>
      <c r="C169" s="24"/>
      <c r="D169" s="44"/>
      <c r="E169" s="27"/>
      <c r="F169" s="45" t="str">
        <f aca="false">IF(A169="","",IF(G169="","⛔ التاريخ غلط — اختاره من القائمة أو اكتبه كامل 05/10/2026",IF(OR(H169&lt;1,H169&gt;NW),"⛔ التاريخ برّا السنة",IF(AND(N(D169)&gt;0,N(J169)&gt;0,D169&gt;ADV_CAP*J169),"⚠️ أكثر من "&amp;TEXT(ADV_CAP,"0%")&amp;" من شغله ("&amp;TEXT(J169,"0.000")&amp;")",""))))</f>
        <v/>
      </c>
      <c r="G169" s="0" t="str">
        <f aca="true">IF(A169="","",IF(ISNUMBER(A169),IF(A169&gt;=36526,A169,""),IFERROR(DATE(VALUE(RIGHT(RIGHT(TRIM(A169),10),4)),VALUE(MID(RIGHT(TRIM(A169),10),4,2)),VALUE(LEFT(RIGHT(TRIM(A169),10),2))),IFERROR(TODAY()-MOD(WEEKDAY(TODAY(),1)-MATCH(TRIM(A169),{"الأحد","الاثنين","الثلاثاء","الأربعاء","الخميس","الجمعة","السبت"},0),7),IFERROR(DATEVALUE(A169),"")))))</f>
        <v/>
      </c>
      <c r="H169" s="0" t="str">
        <f aca="false">IF(G169="","",INT((G169-WEEK_ONE)/7)+1)</f>
        <v/>
      </c>
      <c r="I169" s="0" t="str">
        <f aca="false">IF(H169="","",IF(OR(H169&lt;1,H169&gt;NW),"",INDEX(WMON,H169)))</f>
        <v/>
      </c>
      <c r="J169" s="0" t="str">
        <f aca="false">IF(OR(G169="",H169="",C169=""),"",IF(C169="عمر المصري",SUMIFS('ساعات عمر'!$H$5:$H$746,'ساعات عمر'!$A$5:$A$746,"&gt;="&amp;(WEEK_ONE+7*(H169-1)),'ساعات عمر'!$A$5:$A$746,"&lt;="&amp;G169),SUMIFS('ساعات عبدالعزيز'!$F$5:$F$746,'ساعات عبدالعزيز'!$A$5:$A$746,"&gt;="&amp;(WEEK_ONE+7*(H169-1)),'ساعات عبدالعزيز'!$A$5:$A$746,"&lt;="&amp;G169)))</f>
        <v/>
      </c>
    </row>
    <row r="170" customFormat="false" ht="15" hidden="false" customHeight="false" outlineLevel="0" collapsed="false">
      <c r="A170" s="43"/>
      <c r="B170" s="23" t="str">
        <f aca="false">IF(G170="","",CHOOSE(WEEKDAY(G170,1),"الأحد","الاثنين","الثلاثاء","الأربعاء","الخميس","الجمعة","السبت")&amp;IF(OR(ISNUMBER(A170),LEN(TRIM(A170))&gt;=10),"","  "&amp;TEXT(DAY(G170),"00")&amp;"/"&amp;TEXT(MONTH(G170),"00")&amp;"/"&amp;YEAR(G170)))</f>
        <v/>
      </c>
      <c r="C170" s="24"/>
      <c r="D170" s="44"/>
      <c r="E170" s="27"/>
      <c r="F170" s="45" t="str">
        <f aca="false">IF(A170="","",IF(G170="","⛔ التاريخ غلط — اختاره من القائمة أو اكتبه كامل 05/10/2026",IF(OR(H170&lt;1,H170&gt;NW),"⛔ التاريخ برّا السنة",IF(AND(N(D170)&gt;0,N(J170)&gt;0,D170&gt;ADV_CAP*J170),"⚠️ أكثر من "&amp;TEXT(ADV_CAP,"0%")&amp;" من شغله ("&amp;TEXT(J170,"0.000")&amp;")",""))))</f>
        <v/>
      </c>
      <c r="G170" s="0" t="str">
        <f aca="true">IF(A170="","",IF(ISNUMBER(A170),IF(A170&gt;=36526,A170,""),IFERROR(DATE(VALUE(RIGHT(RIGHT(TRIM(A170),10),4)),VALUE(MID(RIGHT(TRIM(A170),10),4,2)),VALUE(LEFT(RIGHT(TRIM(A170),10),2))),IFERROR(TODAY()-MOD(WEEKDAY(TODAY(),1)-MATCH(TRIM(A170),{"الأحد","الاثنين","الثلاثاء","الأربعاء","الخميس","الجمعة","السبت"},0),7),IFERROR(DATEVALUE(A170),"")))))</f>
        <v/>
      </c>
      <c r="H170" s="0" t="str">
        <f aca="false">IF(G170="","",INT((G170-WEEK_ONE)/7)+1)</f>
        <v/>
      </c>
      <c r="I170" s="0" t="str">
        <f aca="false">IF(H170="","",IF(OR(H170&lt;1,H170&gt;NW),"",INDEX(WMON,H170)))</f>
        <v/>
      </c>
      <c r="J170" s="0" t="str">
        <f aca="false">IF(OR(G170="",H170="",C170=""),"",IF(C170="عمر المصري",SUMIFS('ساعات عمر'!$H$5:$H$746,'ساعات عمر'!$A$5:$A$746,"&gt;="&amp;(WEEK_ONE+7*(H170-1)),'ساعات عمر'!$A$5:$A$746,"&lt;="&amp;G170),SUMIFS('ساعات عبدالعزيز'!$F$5:$F$746,'ساعات عبدالعزيز'!$A$5:$A$746,"&gt;="&amp;(WEEK_ONE+7*(H170-1)),'ساعات عبدالعزيز'!$A$5:$A$746,"&lt;="&amp;G170)))</f>
        <v/>
      </c>
    </row>
    <row r="171" customFormat="false" ht="15" hidden="false" customHeight="false" outlineLevel="0" collapsed="false">
      <c r="A171" s="43"/>
      <c r="B171" s="23" t="str">
        <f aca="false">IF(G171="","",CHOOSE(WEEKDAY(G171,1),"الأحد","الاثنين","الثلاثاء","الأربعاء","الخميس","الجمعة","السبت")&amp;IF(OR(ISNUMBER(A171),LEN(TRIM(A171))&gt;=10),"","  "&amp;TEXT(DAY(G171),"00")&amp;"/"&amp;TEXT(MONTH(G171),"00")&amp;"/"&amp;YEAR(G171)))</f>
        <v/>
      </c>
      <c r="C171" s="24"/>
      <c r="D171" s="44"/>
      <c r="E171" s="27"/>
      <c r="F171" s="45" t="str">
        <f aca="false">IF(A171="","",IF(G171="","⛔ التاريخ غلط — اختاره من القائمة أو اكتبه كامل 05/10/2026",IF(OR(H171&lt;1,H171&gt;NW),"⛔ التاريخ برّا السنة",IF(AND(N(D171)&gt;0,N(J171)&gt;0,D171&gt;ADV_CAP*J171),"⚠️ أكثر من "&amp;TEXT(ADV_CAP,"0%")&amp;" من شغله ("&amp;TEXT(J171,"0.000")&amp;")",""))))</f>
        <v/>
      </c>
      <c r="G171" s="0" t="str">
        <f aca="true">IF(A171="","",IF(ISNUMBER(A171),IF(A171&gt;=36526,A171,""),IFERROR(DATE(VALUE(RIGHT(RIGHT(TRIM(A171),10),4)),VALUE(MID(RIGHT(TRIM(A171),10),4,2)),VALUE(LEFT(RIGHT(TRIM(A171),10),2))),IFERROR(TODAY()-MOD(WEEKDAY(TODAY(),1)-MATCH(TRIM(A171),{"الأحد","الاثنين","الثلاثاء","الأربعاء","الخميس","الجمعة","السبت"},0),7),IFERROR(DATEVALUE(A171),"")))))</f>
        <v/>
      </c>
      <c r="H171" s="0" t="str">
        <f aca="false">IF(G171="","",INT((G171-WEEK_ONE)/7)+1)</f>
        <v/>
      </c>
      <c r="I171" s="0" t="str">
        <f aca="false">IF(H171="","",IF(OR(H171&lt;1,H171&gt;NW),"",INDEX(WMON,H171)))</f>
        <v/>
      </c>
      <c r="J171" s="0" t="str">
        <f aca="false">IF(OR(G171="",H171="",C171=""),"",IF(C171="عمر المصري",SUMIFS('ساعات عمر'!$H$5:$H$746,'ساعات عمر'!$A$5:$A$746,"&gt;="&amp;(WEEK_ONE+7*(H171-1)),'ساعات عمر'!$A$5:$A$746,"&lt;="&amp;G171),SUMIFS('ساعات عبدالعزيز'!$F$5:$F$746,'ساعات عبدالعزيز'!$A$5:$A$746,"&gt;="&amp;(WEEK_ONE+7*(H171-1)),'ساعات عبدالعزيز'!$A$5:$A$746,"&lt;="&amp;G171)))</f>
        <v/>
      </c>
    </row>
    <row r="172" customFormat="false" ht="15" hidden="false" customHeight="false" outlineLevel="0" collapsed="false">
      <c r="A172" s="43"/>
      <c r="B172" s="23" t="str">
        <f aca="false">IF(G172="","",CHOOSE(WEEKDAY(G172,1),"الأحد","الاثنين","الثلاثاء","الأربعاء","الخميس","الجمعة","السبت")&amp;IF(OR(ISNUMBER(A172),LEN(TRIM(A172))&gt;=10),"","  "&amp;TEXT(DAY(G172),"00")&amp;"/"&amp;TEXT(MONTH(G172),"00")&amp;"/"&amp;YEAR(G172)))</f>
        <v/>
      </c>
      <c r="C172" s="24"/>
      <c r="D172" s="44"/>
      <c r="E172" s="27"/>
      <c r="F172" s="45" t="str">
        <f aca="false">IF(A172="","",IF(G172="","⛔ التاريخ غلط — اختاره من القائمة أو اكتبه كامل 05/10/2026",IF(OR(H172&lt;1,H172&gt;NW),"⛔ التاريخ برّا السنة",IF(AND(N(D172)&gt;0,N(J172)&gt;0,D172&gt;ADV_CAP*J172),"⚠️ أكثر من "&amp;TEXT(ADV_CAP,"0%")&amp;" من شغله ("&amp;TEXT(J172,"0.000")&amp;")",""))))</f>
        <v/>
      </c>
      <c r="G172" s="0" t="str">
        <f aca="true">IF(A172="","",IF(ISNUMBER(A172),IF(A172&gt;=36526,A172,""),IFERROR(DATE(VALUE(RIGHT(RIGHT(TRIM(A172),10),4)),VALUE(MID(RIGHT(TRIM(A172),10),4,2)),VALUE(LEFT(RIGHT(TRIM(A172),10),2))),IFERROR(TODAY()-MOD(WEEKDAY(TODAY(),1)-MATCH(TRIM(A172),{"الأحد","الاثنين","الثلاثاء","الأربعاء","الخميس","الجمعة","السبت"},0),7),IFERROR(DATEVALUE(A172),"")))))</f>
        <v/>
      </c>
      <c r="H172" s="0" t="str">
        <f aca="false">IF(G172="","",INT((G172-WEEK_ONE)/7)+1)</f>
        <v/>
      </c>
      <c r="I172" s="0" t="str">
        <f aca="false">IF(H172="","",IF(OR(H172&lt;1,H172&gt;NW),"",INDEX(WMON,H172)))</f>
        <v/>
      </c>
      <c r="J172" s="0" t="str">
        <f aca="false">IF(OR(G172="",H172="",C172=""),"",IF(C172="عمر المصري",SUMIFS('ساعات عمر'!$H$5:$H$746,'ساعات عمر'!$A$5:$A$746,"&gt;="&amp;(WEEK_ONE+7*(H172-1)),'ساعات عمر'!$A$5:$A$746,"&lt;="&amp;G172),SUMIFS('ساعات عبدالعزيز'!$F$5:$F$746,'ساعات عبدالعزيز'!$A$5:$A$746,"&gt;="&amp;(WEEK_ONE+7*(H172-1)),'ساعات عبدالعزيز'!$A$5:$A$746,"&lt;="&amp;G172)))</f>
        <v/>
      </c>
    </row>
    <row r="173" customFormat="false" ht="15" hidden="false" customHeight="false" outlineLevel="0" collapsed="false">
      <c r="A173" s="43"/>
      <c r="B173" s="23" t="str">
        <f aca="false">IF(G173="","",CHOOSE(WEEKDAY(G173,1),"الأحد","الاثنين","الثلاثاء","الأربعاء","الخميس","الجمعة","السبت")&amp;IF(OR(ISNUMBER(A173),LEN(TRIM(A173))&gt;=10),"","  "&amp;TEXT(DAY(G173),"00")&amp;"/"&amp;TEXT(MONTH(G173),"00")&amp;"/"&amp;YEAR(G173)))</f>
        <v/>
      </c>
      <c r="C173" s="24"/>
      <c r="D173" s="44"/>
      <c r="E173" s="27"/>
      <c r="F173" s="45" t="str">
        <f aca="false">IF(A173="","",IF(G173="","⛔ التاريخ غلط — اختاره من القائمة أو اكتبه كامل 05/10/2026",IF(OR(H173&lt;1,H173&gt;NW),"⛔ التاريخ برّا السنة",IF(AND(N(D173)&gt;0,N(J173)&gt;0,D173&gt;ADV_CAP*J173),"⚠️ أكثر من "&amp;TEXT(ADV_CAP,"0%")&amp;" من شغله ("&amp;TEXT(J173,"0.000")&amp;")",""))))</f>
        <v/>
      </c>
      <c r="G173" s="0" t="str">
        <f aca="true">IF(A173="","",IF(ISNUMBER(A173),IF(A173&gt;=36526,A173,""),IFERROR(DATE(VALUE(RIGHT(RIGHT(TRIM(A173),10),4)),VALUE(MID(RIGHT(TRIM(A173),10),4,2)),VALUE(LEFT(RIGHT(TRIM(A173),10),2))),IFERROR(TODAY()-MOD(WEEKDAY(TODAY(),1)-MATCH(TRIM(A173),{"الأحد","الاثنين","الثلاثاء","الأربعاء","الخميس","الجمعة","السبت"},0),7),IFERROR(DATEVALUE(A173),"")))))</f>
        <v/>
      </c>
      <c r="H173" s="0" t="str">
        <f aca="false">IF(G173="","",INT((G173-WEEK_ONE)/7)+1)</f>
        <v/>
      </c>
      <c r="I173" s="0" t="str">
        <f aca="false">IF(H173="","",IF(OR(H173&lt;1,H173&gt;NW),"",INDEX(WMON,H173)))</f>
        <v/>
      </c>
      <c r="J173" s="0" t="str">
        <f aca="false">IF(OR(G173="",H173="",C173=""),"",IF(C173="عمر المصري",SUMIFS('ساعات عمر'!$H$5:$H$746,'ساعات عمر'!$A$5:$A$746,"&gt;="&amp;(WEEK_ONE+7*(H173-1)),'ساعات عمر'!$A$5:$A$746,"&lt;="&amp;G173),SUMIFS('ساعات عبدالعزيز'!$F$5:$F$746,'ساعات عبدالعزيز'!$A$5:$A$746,"&gt;="&amp;(WEEK_ONE+7*(H173-1)),'ساعات عبدالعزيز'!$A$5:$A$746,"&lt;="&amp;G173)))</f>
        <v/>
      </c>
    </row>
    <row r="174" customFormat="false" ht="15" hidden="false" customHeight="false" outlineLevel="0" collapsed="false">
      <c r="A174" s="43"/>
      <c r="B174" s="23" t="str">
        <f aca="false">IF(G174="","",CHOOSE(WEEKDAY(G174,1),"الأحد","الاثنين","الثلاثاء","الأربعاء","الخميس","الجمعة","السبت")&amp;IF(OR(ISNUMBER(A174),LEN(TRIM(A174))&gt;=10),"","  "&amp;TEXT(DAY(G174),"00")&amp;"/"&amp;TEXT(MONTH(G174),"00")&amp;"/"&amp;YEAR(G174)))</f>
        <v/>
      </c>
      <c r="C174" s="24"/>
      <c r="D174" s="44"/>
      <c r="E174" s="27"/>
      <c r="F174" s="45" t="str">
        <f aca="false">IF(A174="","",IF(G174="","⛔ التاريخ غلط — اختاره من القائمة أو اكتبه كامل 05/10/2026",IF(OR(H174&lt;1,H174&gt;NW),"⛔ التاريخ برّا السنة",IF(AND(N(D174)&gt;0,N(J174)&gt;0,D174&gt;ADV_CAP*J174),"⚠️ أكثر من "&amp;TEXT(ADV_CAP,"0%")&amp;" من شغله ("&amp;TEXT(J174,"0.000")&amp;")",""))))</f>
        <v/>
      </c>
      <c r="G174" s="0" t="str">
        <f aca="true">IF(A174="","",IF(ISNUMBER(A174),IF(A174&gt;=36526,A174,""),IFERROR(DATE(VALUE(RIGHT(RIGHT(TRIM(A174),10),4)),VALUE(MID(RIGHT(TRIM(A174),10),4,2)),VALUE(LEFT(RIGHT(TRIM(A174),10),2))),IFERROR(TODAY()-MOD(WEEKDAY(TODAY(),1)-MATCH(TRIM(A174),{"الأحد","الاثنين","الثلاثاء","الأربعاء","الخميس","الجمعة","السبت"},0),7),IFERROR(DATEVALUE(A174),"")))))</f>
        <v/>
      </c>
      <c r="H174" s="0" t="str">
        <f aca="false">IF(G174="","",INT((G174-WEEK_ONE)/7)+1)</f>
        <v/>
      </c>
      <c r="I174" s="0" t="str">
        <f aca="false">IF(H174="","",IF(OR(H174&lt;1,H174&gt;NW),"",INDEX(WMON,H174)))</f>
        <v/>
      </c>
      <c r="J174" s="0" t="str">
        <f aca="false">IF(OR(G174="",H174="",C174=""),"",IF(C174="عمر المصري",SUMIFS('ساعات عمر'!$H$5:$H$746,'ساعات عمر'!$A$5:$A$746,"&gt;="&amp;(WEEK_ONE+7*(H174-1)),'ساعات عمر'!$A$5:$A$746,"&lt;="&amp;G174),SUMIFS('ساعات عبدالعزيز'!$F$5:$F$746,'ساعات عبدالعزيز'!$A$5:$A$746,"&gt;="&amp;(WEEK_ONE+7*(H174-1)),'ساعات عبدالعزيز'!$A$5:$A$746,"&lt;="&amp;G174)))</f>
        <v/>
      </c>
    </row>
    <row r="175" customFormat="false" ht="15" hidden="false" customHeight="false" outlineLevel="0" collapsed="false">
      <c r="A175" s="43"/>
      <c r="B175" s="23" t="str">
        <f aca="false">IF(G175="","",CHOOSE(WEEKDAY(G175,1),"الأحد","الاثنين","الثلاثاء","الأربعاء","الخميس","الجمعة","السبت")&amp;IF(OR(ISNUMBER(A175),LEN(TRIM(A175))&gt;=10),"","  "&amp;TEXT(DAY(G175),"00")&amp;"/"&amp;TEXT(MONTH(G175),"00")&amp;"/"&amp;YEAR(G175)))</f>
        <v/>
      </c>
      <c r="C175" s="24"/>
      <c r="D175" s="44"/>
      <c r="E175" s="27"/>
      <c r="F175" s="45" t="str">
        <f aca="false">IF(A175="","",IF(G175="","⛔ التاريخ غلط — اختاره من القائمة أو اكتبه كامل 05/10/2026",IF(OR(H175&lt;1,H175&gt;NW),"⛔ التاريخ برّا السنة",IF(AND(N(D175)&gt;0,N(J175)&gt;0,D175&gt;ADV_CAP*J175),"⚠️ أكثر من "&amp;TEXT(ADV_CAP,"0%")&amp;" من شغله ("&amp;TEXT(J175,"0.000")&amp;")",""))))</f>
        <v/>
      </c>
      <c r="G175" s="0" t="str">
        <f aca="true">IF(A175="","",IF(ISNUMBER(A175),IF(A175&gt;=36526,A175,""),IFERROR(DATE(VALUE(RIGHT(RIGHT(TRIM(A175),10),4)),VALUE(MID(RIGHT(TRIM(A175),10),4,2)),VALUE(LEFT(RIGHT(TRIM(A175),10),2))),IFERROR(TODAY()-MOD(WEEKDAY(TODAY(),1)-MATCH(TRIM(A175),{"الأحد","الاثنين","الثلاثاء","الأربعاء","الخميس","الجمعة","السبت"},0),7),IFERROR(DATEVALUE(A175),"")))))</f>
        <v/>
      </c>
      <c r="H175" s="0" t="str">
        <f aca="false">IF(G175="","",INT((G175-WEEK_ONE)/7)+1)</f>
        <v/>
      </c>
      <c r="I175" s="0" t="str">
        <f aca="false">IF(H175="","",IF(OR(H175&lt;1,H175&gt;NW),"",INDEX(WMON,H175)))</f>
        <v/>
      </c>
      <c r="J175" s="0" t="str">
        <f aca="false">IF(OR(G175="",H175="",C175=""),"",IF(C175="عمر المصري",SUMIFS('ساعات عمر'!$H$5:$H$746,'ساعات عمر'!$A$5:$A$746,"&gt;="&amp;(WEEK_ONE+7*(H175-1)),'ساعات عمر'!$A$5:$A$746,"&lt;="&amp;G175),SUMIFS('ساعات عبدالعزيز'!$F$5:$F$746,'ساعات عبدالعزيز'!$A$5:$A$746,"&gt;="&amp;(WEEK_ONE+7*(H175-1)),'ساعات عبدالعزيز'!$A$5:$A$746,"&lt;="&amp;G175)))</f>
        <v/>
      </c>
    </row>
    <row r="176" customFormat="false" ht="15" hidden="false" customHeight="false" outlineLevel="0" collapsed="false">
      <c r="A176" s="43"/>
      <c r="B176" s="23" t="str">
        <f aca="false">IF(G176="","",CHOOSE(WEEKDAY(G176,1),"الأحد","الاثنين","الثلاثاء","الأربعاء","الخميس","الجمعة","السبت")&amp;IF(OR(ISNUMBER(A176),LEN(TRIM(A176))&gt;=10),"","  "&amp;TEXT(DAY(G176),"00")&amp;"/"&amp;TEXT(MONTH(G176),"00")&amp;"/"&amp;YEAR(G176)))</f>
        <v/>
      </c>
      <c r="C176" s="24"/>
      <c r="D176" s="44"/>
      <c r="E176" s="27"/>
      <c r="F176" s="45" t="str">
        <f aca="false">IF(A176="","",IF(G176="","⛔ التاريخ غلط — اختاره من القائمة أو اكتبه كامل 05/10/2026",IF(OR(H176&lt;1,H176&gt;NW),"⛔ التاريخ برّا السنة",IF(AND(N(D176)&gt;0,N(J176)&gt;0,D176&gt;ADV_CAP*J176),"⚠️ أكثر من "&amp;TEXT(ADV_CAP,"0%")&amp;" من شغله ("&amp;TEXT(J176,"0.000")&amp;")",""))))</f>
        <v/>
      </c>
      <c r="G176" s="0" t="str">
        <f aca="true">IF(A176="","",IF(ISNUMBER(A176),IF(A176&gt;=36526,A176,""),IFERROR(DATE(VALUE(RIGHT(RIGHT(TRIM(A176),10),4)),VALUE(MID(RIGHT(TRIM(A176),10),4,2)),VALUE(LEFT(RIGHT(TRIM(A176),10),2))),IFERROR(TODAY()-MOD(WEEKDAY(TODAY(),1)-MATCH(TRIM(A176),{"الأحد","الاثنين","الثلاثاء","الأربعاء","الخميس","الجمعة","السبت"},0),7),IFERROR(DATEVALUE(A176),"")))))</f>
        <v/>
      </c>
      <c r="H176" s="0" t="str">
        <f aca="false">IF(G176="","",INT((G176-WEEK_ONE)/7)+1)</f>
        <v/>
      </c>
      <c r="I176" s="0" t="str">
        <f aca="false">IF(H176="","",IF(OR(H176&lt;1,H176&gt;NW),"",INDEX(WMON,H176)))</f>
        <v/>
      </c>
      <c r="J176" s="0" t="str">
        <f aca="false">IF(OR(G176="",H176="",C176=""),"",IF(C176="عمر المصري",SUMIFS('ساعات عمر'!$H$5:$H$746,'ساعات عمر'!$A$5:$A$746,"&gt;="&amp;(WEEK_ONE+7*(H176-1)),'ساعات عمر'!$A$5:$A$746,"&lt;="&amp;G176),SUMIFS('ساعات عبدالعزيز'!$F$5:$F$746,'ساعات عبدالعزيز'!$A$5:$A$746,"&gt;="&amp;(WEEK_ONE+7*(H176-1)),'ساعات عبدالعزيز'!$A$5:$A$746,"&lt;="&amp;G176)))</f>
        <v/>
      </c>
    </row>
    <row r="177" customFormat="false" ht="15" hidden="false" customHeight="false" outlineLevel="0" collapsed="false">
      <c r="A177" s="43"/>
      <c r="B177" s="23" t="str">
        <f aca="false">IF(G177="","",CHOOSE(WEEKDAY(G177,1),"الأحد","الاثنين","الثلاثاء","الأربعاء","الخميس","الجمعة","السبت")&amp;IF(OR(ISNUMBER(A177),LEN(TRIM(A177))&gt;=10),"","  "&amp;TEXT(DAY(G177),"00")&amp;"/"&amp;TEXT(MONTH(G177),"00")&amp;"/"&amp;YEAR(G177)))</f>
        <v/>
      </c>
      <c r="C177" s="24"/>
      <c r="D177" s="44"/>
      <c r="E177" s="27"/>
      <c r="F177" s="45" t="str">
        <f aca="false">IF(A177="","",IF(G177="","⛔ التاريخ غلط — اختاره من القائمة أو اكتبه كامل 05/10/2026",IF(OR(H177&lt;1,H177&gt;NW),"⛔ التاريخ برّا السنة",IF(AND(N(D177)&gt;0,N(J177)&gt;0,D177&gt;ADV_CAP*J177),"⚠️ أكثر من "&amp;TEXT(ADV_CAP,"0%")&amp;" من شغله ("&amp;TEXT(J177,"0.000")&amp;")",""))))</f>
        <v/>
      </c>
      <c r="G177" s="0" t="str">
        <f aca="true">IF(A177="","",IF(ISNUMBER(A177),IF(A177&gt;=36526,A177,""),IFERROR(DATE(VALUE(RIGHT(RIGHT(TRIM(A177),10),4)),VALUE(MID(RIGHT(TRIM(A177),10),4,2)),VALUE(LEFT(RIGHT(TRIM(A177),10),2))),IFERROR(TODAY()-MOD(WEEKDAY(TODAY(),1)-MATCH(TRIM(A177),{"الأحد","الاثنين","الثلاثاء","الأربعاء","الخميس","الجمعة","السبت"},0),7),IFERROR(DATEVALUE(A177),"")))))</f>
        <v/>
      </c>
      <c r="H177" s="0" t="str">
        <f aca="false">IF(G177="","",INT((G177-WEEK_ONE)/7)+1)</f>
        <v/>
      </c>
      <c r="I177" s="0" t="str">
        <f aca="false">IF(H177="","",IF(OR(H177&lt;1,H177&gt;NW),"",INDEX(WMON,H177)))</f>
        <v/>
      </c>
      <c r="J177" s="0" t="str">
        <f aca="false">IF(OR(G177="",H177="",C177=""),"",IF(C177="عمر المصري",SUMIFS('ساعات عمر'!$H$5:$H$746,'ساعات عمر'!$A$5:$A$746,"&gt;="&amp;(WEEK_ONE+7*(H177-1)),'ساعات عمر'!$A$5:$A$746,"&lt;="&amp;G177),SUMIFS('ساعات عبدالعزيز'!$F$5:$F$746,'ساعات عبدالعزيز'!$A$5:$A$746,"&gt;="&amp;(WEEK_ONE+7*(H177-1)),'ساعات عبدالعزيز'!$A$5:$A$746,"&lt;="&amp;G177)))</f>
        <v/>
      </c>
    </row>
    <row r="178" customFormat="false" ht="15" hidden="false" customHeight="false" outlineLevel="0" collapsed="false">
      <c r="A178" s="43"/>
      <c r="B178" s="23" t="str">
        <f aca="false">IF(G178="","",CHOOSE(WEEKDAY(G178,1),"الأحد","الاثنين","الثلاثاء","الأربعاء","الخميس","الجمعة","السبت")&amp;IF(OR(ISNUMBER(A178),LEN(TRIM(A178))&gt;=10),"","  "&amp;TEXT(DAY(G178),"00")&amp;"/"&amp;TEXT(MONTH(G178),"00")&amp;"/"&amp;YEAR(G178)))</f>
        <v/>
      </c>
      <c r="C178" s="24"/>
      <c r="D178" s="44"/>
      <c r="E178" s="27"/>
      <c r="F178" s="45" t="str">
        <f aca="false">IF(A178="","",IF(G178="","⛔ التاريخ غلط — اختاره من القائمة أو اكتبه كامل 05/10/2026",IF(OR(H178&lt;1,H178&gt;NW),"⛔ التاريخ برّا السنة",IF(AND(N(D178)&gt;0,N(J178)&gt;0,D178&gt;ADV_CAP*J178),"⚠️ أكثر من "&amp;TEXT(ADV_CAP,"0%")&amp;" من شغله ("&amp;TEXT(J178,"0.000")&amp;")",""))))</f>
        <v/>
      </c>
      <c r="G178" s="0" t="str">
        <f aca="true">IF(A178="","",IF(ISNUMBER(A178),IF(A178&gt;=36526,A178,""),IFERROR(DATE(VALUE(RIGHT(RIGHT(TRIM(A178),10),4)),VALUE(MID(RIGHT(TRIM(A178),10),4,2)),VALUE(LEFT(RIGHT(TRIM(A178),10),2))),IFERROR(TODAY()-MOD(WEEKDAY(TODAY(),1)-MATCH(TRIM(A178),{"الأحد","الاثنين","الثلاثاء","الأربعاء","الخميس","الجمعة","السبت"},0),7),IFERROR(DATEVALUE(A178),"")))))</f>
        <v/>
      </c>
      <c r="H178" s="0" t="str">
        <f aca="false">IF(G178="","",INT((G178-WEEK_ONE)/7)+1)</f>
        <v/>
      </c>
      <c r="I178" s="0" t="str">
        <f aca="false">IF(H178="","",IF(OR(H178&lt;1,H178&gt;NW),"",INDEX(WMON,H178)))</f>
        <v/>
      </c>
      <c r="J178" s="0" t="str">
        <f aca="false">IF(OR(G178="",H178="",C178=""),"",IF(C178="عمر المصري",SUMIFS('ساعات عمر'!$H$5:$H$746,'ساعات عمر'!$A$5:$A$746,"&gt;="&amp;(WEEK_ONE+7*(H178-1)),'ساعات عمر'!$A$5:$A$746,"&lt;="&amp;G178),SUMIFS('ساعات عبدالعزيز'!$F$5:$F$746,'ساعات عبدالعزيز'!$A$5:$A$746,"&gt;="&amp;(WEEK_ONE+7*(H178-1)),'ساعات عبدالعزيز'!$A$5:$A$746,"&lt;="&amp;G178)))</f>
        <v/>
      </c>
    </row>
    <row r="179" customFormat="false" ht="15" hidden="false" customHeight="false" outlineLevel="0" collapsed="false">
      <c r="A179" s="43"/>
      <c r="B179" s="23" t="str">
        <f aca="false">IF(G179="","",CHOOSE(WEEKDAY(G179,1),"الأحد","الاثنين","الثلاثاء","الأربعاء","الخميس","الجمعة","السبت")&amp;IF(OR(ISNUMBER(A179),LEN(TRIM(A179))&gt;=10),"","  "&amp;TEXT(DAY(G179),"00")&amp;"/"&amp;TEXT(MONTH(G179),"00")&amp;"/"&amp;YEAR(G179)))</f>
        <v/>
      </c>
      <c r="C179" s="24"/>
      <c r="D179" s="44"/>
      <c r="E179" s="27"/>
      <c r="F179" s="45" t="str">
        <f aca="false">IF(A179="","",IF(G179="","⛔ التاريخ غلط — اختاره من القائمة أو اكتبه كامل 05/10/2026",IF(OR(H179&lt;1,H179&gt;NW),"⛔ التاريخ برّا السنة",IF(AND(N(D179)&gt;0,N(J179)&gt;0,D179&gt;ADV_CAP*J179),"⚠️ أكثر من "&amp;TEXT(ADV_CAP,"0%")&amp;" من شغله ("&amp;TEXT(J179,"0.000")&amp;")",""))))</f>
        <v/>
      </c>
      <c r="G179" s="0" t="str">
        <f aca="true">IF(A179="","",IF(ISNUMBER(A179),IF(A179&gt;=36526,A179,""),IFERROR(DATE(VALUE(RIGHT(RIGHT(TRIM(A179),10),4)),VALUE(MID(RIGHT(TRIM(A179),10),4,2)),VALUE(LEFT(RIGHT(TRIM(A179),10),2))),IFERROR(TODAY()-MOD(WEEKDAY(TODAY(),1)-MATCH(TRIM(A179),{"الأحد","الاثنين","الثلاثاء","الأربعاء","الخميس","الجمعة","السبت"},0),7),IFERROR(DATEVALUE(A179),"")))))</f>
        <v/>
      </c>
      <c r="H179" s="0" t="str">
        <f aca="false">IF(G179="","",INT((G179-WEEK_ONE)/7)+1)</f>
        <v/>
      </c>
      <c r="I179" s="0" t="str">
        <f aca="false">IF(H179="","",IF(OR(H179&lt;1,H179&gt;NW),"",INDEX(WMON,H179)))</f>
        <v/>
      </c>
      <c r="J179" s="0" t="str">
        <f aca="false">IF(OR(G179="",H179="",C179=""),"",IF(C179="عمر المصري",SUMIFS('ساعات عمر'!$H$5:$H$746,'ساعات عمر'!$A$5:$A$746,"&gt;="&amp;(WEEK_ONE+7*(H179-1)),'ساعات عمر'!$A$5:$A$746,"&lt;="&amp;G179),SUMIFS('ساعات عبدالعزيز'!$F$5:$F$746,'ساعات عبدالعزيز'!$A$5:$A$746,"&gt;="&amp;(WEEK_ONE+7*(H179-1)),'ساعات عبدالعزيز'!$A$5:$A$746,"&lt;="&amp;G179)))</f>
        <v/>
      </c>
    </row>
    <row r="180" customFormat="false" ht="15" hidden="false" customHeight="false" outlineLevel="0" collapsed="false">
      <c r="A180" s="43"/>
      <c r="B180" s="23" t="str">
        <f aca="false">IF(G180="","",CHOOSE(WEEKDAY(G180,1),"الأحد","الاثنين","الثلاثاء","الأربعاء","الخميس","الجمعة","السبت")&amp;IF(OR(ISNUMBER(A180),LEN(TRIM(A180))&gt;=10),"","  "&amp;TEXT(DAY(G180),"00")&amp;"/"&amp;TEXT(MONTH(G180),"00")&amp;"/"&amp;YEAR(G180)))</f>
        <v/>
      </c>
      <c r="C180" s="24"/>
      <c r="D180" s="44"/>
      <c r="E180" s="27"/>
      <c r="F180" s="45" t="str">
        <f aca="false">IF(A180="","",IF(G180="","⛔ التاريخ غلط — اختاره من القائمة أو اكتبه كامل 05/10/2026",IF(OR(H180&lt;1,H180&gt;NW),"⛔ التاريخ برّا السنة",IF(AND(N(D180)&gt;0,N(J180)&gt;0,D180&gt;ADV_CAP*J180),"⚠️ أكثر من "&amp;TEXT(ADV_CAP,"0%")&amp;" من شغله ("&amp;TEXT(J180,"0.000")&amp;")",""))))</f>
        <v/>
      </c>
      <c r="G180" s="0" t="str">
        <f aca="true">IF(A180="","",IF(ISNUMBER(A180),IF(A180&gt;=36526,A180,""),IFERROR(DATE(VALUE(RIGHT(RIGHT(TRIM(A180),10),4)),VALUE(MID(RIGHT(TRIM(A180),10),4,2)),VALUE(LEFT(RIGHT(TRIM(A180),10),2))),IFERROR(TODAY()-MOD(WEEKDAY(TODAY(),1)-MATCH(TRIM(A180),{"الأحد","الاثنين","الثلاثاء","الأربعاء","الخميس","الجمعة","السبت"},0),7),IFERROR(DATEVALUE(A180),"")))))</f>
        <v/>
      </c>
      <c r="H180" s="0" t="str">
        <f aca="false">IF(G180="","",INT((G180-WEEK_ONE)/7)+1)</f>
        <v/>
      </c>
      <c r="I180" s="0" t="str">
        <f aca="false">IF(H180="","",IF(OR(H180&lt;1,H180&gt;NW),"",INDEX(WMON,H180)))</f>
        <v/>
      </c>
      <c r="J180" s="0" t="str">
        <f aca="false">IF(OR(G180="",H180="",C180=""),"",IF(C180="عمر المصري",SUMIFS('ساعات عمر'!$H$5:$H$746,'ساعات عمر'!$A$5:$A$746,"&gt;="&amp;(WEEK_ONE+7*(H180-1)),'ساعات عمر'!$A$5:$A$746,"&lt;="&amp;G180),SUMIFS('ساعات عبدالعزيز'!$F$5:$F$746,'ساعات عبدالعزيز'!$A$5:$A$746,"&gt;="&amp;(WEEK_ONE+7*(H180-1)),'ساعات عبدالعزيز'!$A$5:$A$746,"&lt;="&amp;G180)))</f>
        <v/>
      </c>
    </row>
    <row r="181" customFormat="false" ht="15" hidden="false" customHeight="false" outlineLevel="0" collapsed="false">
      <c r="A181" s="43"/>
      <c r="B181" s="23" t="str">
        <f aca="false">IF(G181="","",CHOOSE(WEEKDAY(G181,1),"الأحد","الاثنين","الثلاثاء","الأربعاء","الخميس","الجمعة","السبت")&amp;IF(OR(ISNUMBER(A181),LEN(TRIM(A181))&gt;=10),"","  "&amp;TEXT(DAY(G181),"00")&amp;"/"&amp;TEXT(MONTH(G181),"00")&amp;"/"&amp;YEAR(G181)))</f>
        <v/>
      </c>
      <c r="C181" s="24"/>
      <c r="D181" s="44"/>
      <c r="E181" s="27"/>
      <c r="F181" s="45" t="str">
        <f aca="false">IF(A181="","",IF(G181="","⛔ التاريخ غلط — اختاره من القائمة أو اكتبه كامل 05/10/2026",IF(OR(H181&lt;1,H181&gt;NW),"⛔ التاريخ برّا السنة",IF(AND(N(D181)&gt;0,N(J181)&gt;0,D181&gt;ADV_CAP*J181),"⚠️ أكثر من "&amp;TEXT(ADV_CAP,"0%")&amp;" من شغله ("&amp;TEXT(J181,"0.000")&amp;")",""))))</f>
        <v/>
      </c>
      <c r="G181" s="0" t="str">
        <f aca="true">IF(A181="","",IF(ISNUMBER(A181),IF(A181&gt;=36526,A181,""),IFERROR(DATE(VALUE(RIGHT(RIGHT(TRIM(A181),10),4)),VALUE(MID(RIGHT(TRIM(A181),10),4,2)),VALUE(LEFT(RIGHT(TRIM(A181),10),2))),IFERROR(TODAY()-MOD(WEEKDAY(TODAY(),1)-MATCH(TRIM(A181),{"الأحد","الاثنين","الثلاثاء","الأربعاء","الخميس","الجمعة","السبت"},0),7),IFERROR(DATEVALUE(A181),"")))))</f>
        <v/>
      </c>
      <c r="H181" s="0" t="str">
        <f aca="false">IF(G181="","",INT((G181-WEEK_ONE)/7)+1)</f>
        <v/>
      </c>
      <c r="I181" s="0" t="str">
        <f aca="false">IF(H181="","",IF(OR(H181&lt;1,H181&gt;NW),"",INDEX(WMON,H181)))</f>
        <v/>
      </c>
      <c r="J181" s="0" t="str">
        <f aca="false">IF(OR(G181="",H181="",C181=""),"",IF(C181="عمر المصري",SUMIFS('ساعات عمر'!$H$5:$H$746,'ساعات عمر'!$A$5:$A$746,"&gt;="&amp;(WEEK_ONE+7*(H181-1)),'ساعات عمر'!$A$5:$A$746,"&lt;="&amp;G181),SUMIFS('ساعات عبدالعزيز'!$F$5:$F$746,'ساعات عبدالعزيز'!$A$5:$A$746,"&gt;="&amp;(WEEK_ONE+7*(H181-1)),'ساعات عبدالعزيز'!$A$5:$A$746,"&lt;="&amp;G181)))</f>
        <v/>
      </c>
    </row>
    <row r="182" customFormat="false" ht="15" hidden="false" customHeight="false" outlineLevel="0" collapsed="false">
      <c r="A182" s="43"/>
      <c r="B182" s="23" t="str">
        <f aca="false">IF(G182="","",CHOOSE(WEEKDAY(G182,1),"الأحد","الاثنين","الثلاثاء","الأربعاء","الخميس","الجمعة","السبت")&amp;IF(OR(ISNUMBER(A182),LEN(TRIM(A182))&gt;=10),"","  "&amp;TEXT(DAY(G182),"00")&amp;"/"&amp;TEXT(MONTH(G182),"00")&amp;"/"&amp;YEAR(G182)))</f>
        <v/>
      </c>
      <c r="C182" s="24"/>
      <c r="D182" s="44"/>
      <c r="E182" s="27"/>
      <c r="F182" s="45" t="str">
        <f aca="false">IF(A182="","",IF(G182="","⛔ التاريخ غلط — اختاره من القائمة أو اكتبه كامل 05/10/2026",IF(OR(H182&lt;1,H182&gt;NW),"⛔ التاريخ برّا السنة",IF(AND(N(D182)&gt;0,N(J182)&gt;0,D182&gt;ADV_CAP*J182),"⚠️ أكثر من "&amp;TEXT(ADV_CAP,"0%")&amp;" من شغله ("&amp;TEXT(J182,"0.000")&amp;")",""))))</f>
        <v/>
      </c>
      <c r="G182" s="0" t="str">
        <f aca="true">IF(A182="","",IF(ISNUMBER(A182),IF(A182&gt;=36526,A182,""),IFERROR(DATE(VALUE(RIGHT(RIGHT(TRIM(A182),10),4)),VALUE(MID(RIGHT(TRIM(A182),10),4,2)),VALUE(LEFT(RIGHT(TRIM(A182),10),2))),IFERROR(TODAY()-MOD(WEEKDAY(TODAY(),1)-MATCH(TRIM(A182),{"الأحد","الاثنين","الثلاثاء","الأربعاء","الخميس","الجمعة","السبت"},0),7),IFERROR(DATEVALUE(A182),"")))))</f>
        <v/>
      </c>
      <c r="H182" s="0" t="str">
        <f aca="false">IF(G182="","",INT((G182-WEEK_ONE)/7)+1)</f>
        <v/>
      </c>
      <c r="I182" s="0" t="str">
        <f aca="false">IF(H182="","",IF(OR(H182&lt;1,H182&gt;NW),"",INDEX(WMON,H182)))</f>
        <v/>
      </c>
      <c r="J182" s="0" t="str">
        <f aca="false">IF(OR(G182="",H182="",C182=""),"",IF(C182="عمر المصري",SUMIFS('ساعات عمر'!$H$5:$H$746,'ساعات عمر'!$A$5:$A$746,"&gt;="&amp;(WEEK_ONE+7*(H182-1)),'ساعات عمر'!$A$5:$A$746,"&lt;="&amp;G182),SUMIFS('ساعات عبدالعزيز'!$F$5:$F$746,'ساعات عبدالعزيز'!$A$5:$A$746,"&gt;="&amp;(WEEK_ONE+7*(H182-1)),'ساعات عبدالعزيز'!$A$5:$A$746,"&lt;="&amp;G182)))</f>
        <v/>
      </c>
    </row>
    <row r="183" customFormat="false" ht="15" hidden="false" customHeight="false" outlineLevel="0" collapsed="false">
      <c r="A183" s="43"/>
      <c r="B183" s="23" t="str">
        <f aca="false">IF(G183="","",CHOOSE(WEEKDAY(G183,1),"الأحد","الاثنين","الثلاثاء","الأربعاء","الخميس","الجمعة","السبت")&amp;IF(OR(ISNUMBER(A183),LEN(TRIM(A183))&gt;=10),"","  "&amp;TEXT(DAY(G183),"00")&amp;"/"&amp;TEXT(MONTH(G183),"00")&amp;"/"&amp;YEAR(G183)))</f>
        <v/>
      </c>
      <c r="C183" s="24"/>
      <c r="D183" s="44"/>
      <c r="E183" s="27"/>
      <c r="F183" s="45" t="str">
        <f aca="false">IF(A183="","",IF(G183="","⛔ التاريخ غلط — اختاره من القائمة أو اكتبه كامل 05/10/2026",IF(OR(H183&lt;1,H183&gt;NW),"⛔ التاريخ برّا السنة",IF(AND(N(D183)&gt;0,N(J183)&gt;0,D183&gt;ADV_CAP*J183),"⚠️ أكثر من "&amp;TEXT(ADV_CAP,"0%")&amp;" من شغله ("&amp;TEXT(J183,"0.000")&amp;")",""))))</f>
        <v/>
      </c>
      <c r="G183" s="0" t="str">
        <f aca="true">IF(A183="","",IF(ISNUMBER(A183),IF(A183&gt;=36526,A183,""),IFERROR(DATE(VALUE(RIGHT(RIGHT(TRIM(A183),10),4)),VALUE(MID(RIGHT(TRIM(A183),10),4,2)),VALUE(LEFT(RIGHT(TRIM(A183),10),2))),IFERROR(TODAY()-MOD(WEEKDAY(TODAY(),1)-MATCH(TRIM(A183),{"الأحد","الاثنين","الثلاثاء","الأربعاء","الخميس","الجمعة","السبت"},0),7),IFERROR(DATEVALUE(A183),"")))))</f>
        <v/>
      </c>
      <c r="H183" s="0" t="str">
        <f aca="false">IF(G183="","",INT((G183-WEEK_ONE)/7)+1)</f>
        <v/>
      </c>
      <c r="I183" s="0" t="str">
        <f aca="false">IF(H183="","",IF(OR(H183&lt;1,H183&gt;NW),"",INDEX(WMON,H183)))</f>
        <v/>
      </c>
      <c r="J183" s="0" t="str">
        <f aca="false">IF(OR(G183="",H183="",C183=""),"",IF(C183="عمر المصري",SUMIFS('ساعات عمر'!$H$5:$H$746,'ساعات عمر'!$A$5:$A$746,"&gt;="&amp;(WEEK_ONE+7*(H183-1)),'ساعات عمر'!$A$5:$A$746,"&lt;="&amp;G183),SUMIFS('ساعات عبدالعزيز'!$F$5:$F$746,'ساعات عبدالعزيز'!$A$5:$A$746,"&gt;="&amp;(WEEK_ONE+7*(H183-1)),'ساعات عبدالعزيز'!$A$5:$A$746,"&lt;="&amp;G183)))</f>
        <v/>
      </c>
    </row>
    <row r="184" customFormat="false" ht="15" hidden="false" customHeight="false" outlineLevel="0" collapsed="false">
      <c r="A184" s="43"/>
      <c r="B184" s="23" t="str">
        <f aca="false">IF(G184="","",CHOOSE(WEEKDAY(G184,1),"الأحد","الاثنين","الثلاثاء","الأربعاء","الخميس","الجمعة","السبت")&amp;IF(OR(ISNUMBER(A184),LEN(TRIM(A184))&gt;=10),"","  "&amp;TEXT(DAY(G184),"00")&amp;"/"&amp;TEXT(MONTH(G184),"00")&amp;"/"&amp;YEAR(G184)))</f>
        <v/>
      </c>
      <c r="C184" s="24"/>
      <c r="D184" s="44"/>
      <c r="E184" s="27"/>
      <c r="F184" s="45" t="str">
        <f aca="false">IF(A184="","",IF(G184="","⛔ التاريخ غلط — اختاره من القائمة أو اكتبه كامل 05/10/2026",IF(OR(H184&lt;1,H184&gt;NW),"⛔ التاريخ برّا السنة",IF(AND(N(D184)&gt;0,N(J184)&gt;0,D184&gt;ADV_CAP*J184),"⚠️ أكثر من "&amp;TEXT(ADV_CAP,"0%")&amp;" من شغله ("&amp;TEXT(J184,"0.000")&amp;")",""))))</f>
        <v/>
      </c>
      <c r="G184" s="0" t="str">
        <f aca="true">IF(A184="","",IF(ISNUMBER(A184),IF(A184&gt;=36526,A184,""),IFERROR(DATE(VALUE(RIGHT(RIGHT(TRIM(A184),10),4)),VALUE(MID(RIGHT(TRIM(A184),10),4,2)),VALUE(LEFT(RIGHT(TRIM(A184),10),2))),IFERROR(TODAY()-MOD(WEEKDAY(TODAY(),1)-MATCH(TRIM(A184),{"الأحد","الاثنين","الثلاثاء","الأربعاء","الخميس","الجمعة","السبت"},0),7),IFERROR(DATEVALUE(A184),"")))))</f>
        <v/>
      </c>
      <c r="H184" s="0" t="str">
        <f aca="false">IF(G184="","",INT((G184-WEEK_ONE)/7)+1)</f>
        <v/>
      </c>
      <c r="I184" s="0" t="str">
        <f aca="false">IF(H184="","",IF(OR(H184&lt;1,H184&gt;NW),"",INDEX(WMON,H184)))</f>
        <v/>
      </c>
      <c r="J184" s="0" t="str">
        <f aca="false">IF(OR(G184="",H184="",C184=""),"",IF(C184="عمر المصري",SUMIFS('ساعات عمر'!$H$5:$H$746,'ساعات عمر'!$A$5:$A$746,"&gt;="&amp;(WEEK_ONE+7*(H184-1)),'ساعات عمر'!$A$5:$A$746,"&lt;="&amp;G184),SUMIFS('ساعات عبدالعزيز'!$F$5:$F$746,'ساعات عبدالعزيز'!$A$5:$A$746,"&gt;="&amp;(WEEK_ONE+7*(H184-1)),'ساعات عبدالعزيز'!$A$5:$A$746,"&lt;="&amp;G184)))</f>
        <v/>
      </c>
    </row>
    <row r="185" customFormat="false" ht="15" hidden="false" customHeight="false" outlineLevel="0" collapsed="false">
      <c r="A185" s="43"/>
      <c r="B185" s="23" t="str">
        <f aca="false">IF(G185="","",CHOOSE(WEEKDAY(G185,1),"الأحد","الاثنين","الثلاثاء","الأربعاء","الخميس","الجمعة","السبت")&amp;IF(OR(ISNUMBER(A185),LEN(TRIM(A185))&gt;=10),"","  "&amp;TEXT(DAY(G185),"00")&amp;"/"&amp;TEXT(MONTH(G185),"00")&amp;"/"&amp;YEAR(G185)))</f>
        <v/>
      </c>
      <c r="C185" s="24"/>
      <c r="D185" s="44"/>
      <c r="E185" s="27"/>
      <c r="F185" s="45" t="str">
        <f aca="false">IF(A185="","",IF(G185="","⛔ التاريخ غلط — اختاره من القائمة أو اكتبه كامل 05/10/2026",IF(OR(H185&lt;1,H185&gt;NW),"⛔ التاريخ برّا السنة",IF(AND(N(D185)&gt;0,N(J185)&gt;0,D185&gt;ADV_CAP*J185),"⚠️ أكثر من "&amp;TEXT(ADV_CAP,"0%")&amp;" من شغله ("&amp;TEXT(J185,"0.000")&amp;")",""))))</f>
        <v/>
      </c>
      <c r="G185" s="0" t="str">
        <f aca="true">IF(A185="","",IF(ISNUMBER(A185),IF(A185&gt;=36526,A185,""),IFERROR(DATE(VALUE(RIGHT(RIGHT(TRIM(A185),10),4)),VALUE(MID(RIGHT(TRIM(A185),10),4,2)),VALUE(LEFT(RIGHT(TRIM(A185),10),2))),IFERROR(TODAY()-MOD(WEEKDAY(TODAY(),1)-MATCH(TRIM(A185),{"الأحد","الاثنين","الثلاثاء","الأربعاء","الخميس","الجمعة","السبت"},0),7),IFERROR(DATEVALUE(A185),"")))))</f>
        <v/>
      </c>
      <c r="H185" s="0" t="str">
        <f aca="false">IF(G185="","",INT((G185-WEEK_ONE)/7)+1)</f>
        <v/>
      </c>
      <c r="I185" s="0" t="str">
        <f aca="false">IF(H185="","",IF(OR(H185&lt;1,H185&gt;NW),"",INDEX(WMON,H185)))</f>
        <v/>
      </c>
      <c r="J185" s="0" t="str">
        <f aca="false">IF(OR(G185="",H185="",C185=""),"",IF(C185="عمر المصري",SUMIFS('ساعات عمر'!$H$5:$H$746,'ساعات عمر'!$A$5:$A$746,"&gt;="&amp;(WEEK_ONE+7*(H185-1)),'ساعات عمر'!$A$5:$A$746,"&lt;="&amp;G185),SUMIFS('ساعات عبدالعزيز'!$F$5:$F$746,'ساعات عبدالعزيز'!$A$5:$A$746,"&gt;="&amp;(WEEK_ONE+7*(H185-1)),'ساعات عبدالعزيز'!$A$5:$A$746,"&lt;="&amp;G185)))</f>
        <v/>
      </c>
    </row>
    <row r="186" customFormat="false" ht="15" hidden="false" customHeight="false" outlineLevel="0" collapsed="false">
      <c r="A186" s="43"/>
      <c r="B186" s="23" t="str">
        <f aca="false">IF(G186="","",CHOOSE(WEEKDAY(G186,1),"الأحد","الاثنين","الثلاثاء","الأربعاء","الخميس","الجمعة","السبت")&amp;IF(OR(ISNUMBER(A186),LEN(TRIM(A186))&gt;=10),"","  "&amp;TEXT(DAY(G186),"00")&amp;"/"&amp;TEXT(MONTH(G186),"00")&amp;"/"&amp;YEAR(G186)))</f>
        <v/>
      </c>
      <c r="C186" s="24"/>
      <c r="D186" s="44"/>
      <c r="E186" s="27"/>
      <c r="F186" s="45" t="str">
        <f aca="false">IF(A186="","",IF(G186="","⛔ التاريخ غلط — اختاره من القائمة أو اكتبه كامل 05/10/2026",IF(OR(H186&lt;1,H186&gt;NW),"⛔ التاريخ برّا السنة",IF(AND(N(D186)&gt;0,N(J186)&gt;0,D186&gt;ADV_CAP*J186),"⚠️ أكثر من "&amp;TEXT(ADV_CAP,"0%")&amp;" من شغله ("&amp;TEXT(J186,"0.000")&amp;")",""))))</f>
        <v/>
      </c>
      <c r="G186" s="0" t="str">
        <f aca="true">IF(A186="","",IF(ISNUMBER(A186),IF(A186&gt;=36526,A186,""),IFERROR(DATE(VALUE(RIGHT(RIGHT(TRIM(A186),10),4)),VALUE(MID(RIGHT(TRIM(A186),10),4,2)),VALUE(LEFT(RIGHT(TRIM(A186),10),2))),IFERROR(TODAY()-MOD(WEEKDAY(TODAY(),1)-MATCH(TRIM(A186),{"الأحد","الاثنين","الثلاثاء","الأربعاء","الخميس","الجمعة","السبت"},0),7),IFERROR(DATEVALUE(A186),"")))))</f>
        <v/>
      </c>
      <c r="H186" s="0" t="str">
        <f aca="false">IF(G186="","",INT((G186-WEEK_ONE)/7)+1)</f>
        <v/>
      </c>
      <c r="I186" s="0" t="str">
        <f aca="false">IF(H186="","",IF(OR(H186&lt;1,H186&gt;NW),"",INDEX(WMON,H186)))</f>
        <v/>
      </c>
      <c r="J186" s="0" t="str">
        <f aca="false">IF(OR(G186="",H186="",C186=""),"",IF(C186="عمر المصري",SUMIFS('ساعات عمر'!$H$5:$H$746,'ساعات عمر'!$A$5:$A$746,"&gt;="&amp;(WEEK_ONE+7*(H186-1)),'ساعات عمر'!$A$5:$A$746,"&lt;="&amp;G186),SUMIFS('ساعات عبدالعزيز'!$F$5:$F$746,'ساعات عبدالعزيز'!$A$5:$A$746,"&gt;="&amp;(WEEK_ONE+7*(H186-1)),'ساعات عبدالعزيز'!$A$5:$A$746,"&lt;="&amp;G186)))</f>
        <v/>
      </c>
    </row>
    <row r="187" customFormat="false" ht="15" hidden="false" customHeight="false" outlineLevel="0" collapsed="false">
      <c r="A187" s="43"/>
      <c r="B187" s="23" t="str">
        <f aca="false">IF(G187="","",CHOOSE(WEEKDAY(G187,1),"الأحد","الاثنين","الثلاثاء","الأربعاء","الخميس","الجمعة","السبت")&amp;IF(OR(ISNUMBER(A187),LEN(TRIM(A187))&gt;=10),"","  "&amp;TEXT(DAY(G187),"00")&amp;"/"&amp;TEXT(MONTH(G187),"00")&amp;"/"&amp;YEAR(G187)))</f>
        <v/>
      </c>
      <c r="C187" s="24"/>
      <c r="D187" s="44"/>
      <c r="E187" s="27"/>
      <c r="F187" s="45" t="str">
        <f aca="false">IF(A187="","",IF(G187="","⛔ التاريخ غلط — اختاره من القائمة أو اكتبه كامل 05/10/2026",IF(OR(H187&lt;1,H187&gt;NW),"⛔ التاريخ برّا السنة",IF(AND(N(D187)&gt;0,N(J187)&gt;0,D187&gt;ADV_CAP*J187),"⚠️ أكثر من "&amp;TEXT(ADV_CAP,"0%")&amp;" من شغله ("&amp;TEXT(J187,"0.000")&amp;")",""))))</f>
        <v/>
      </c>
      <c r="G187" s="0" t="str">
        <f aca="true">IF(A187="","",IF(ISNUMBER(A187),IF(A187&gt;=36526,A187,""),IFERROR(DATE(VALUE(RIGHT(RIGHT(TRIM(A187),10),4)),VALUE(MID(RIGHT(TRIM(A187),10),4,2)),VALUE(LEFT(RIGHT(TRIM(A187),10),2))),IFERROR(TODAY()-MOD(WEEKDAY(TODAY(),1)-MATCH(TRIM(A187),{"الأحد","الاثنين","الثلاثاء","الأربعاء","الخميس","الجمعة","السبت"},0),7),IFERROR(DATEVALUE(A187),"")))))</f>
        <v/>
      </c>
      <c r="H187" s="0" t="str">
        <f aca="false">IF(G187="","",INT((G187-WEEK_ONE)/7)+1)</f>
        <v/>
      </c>
      <c r="I187" s="0" t="str">
        <f aca="false">IF(H187="","",IF(OR(H187&lt;1,H187&gt;NW),"",INDEX(WMON,H187)))</f>
        <v/>
      </c>
      <c r="J187" s="0" t="str">
        <f aca="false">IF(OR(G187="",H187="",C187=""),"",IF(C187="عمر المصري",SUMIFS('ساعات عمر'!$H$5:$H$746,'ساعات عمر'!$A$5:$A$746,"&gt;="&amp;(WEEK_ONE+7*(H187-1)),'ساعات عمر'!$A$5:$A$746,"&lt;="&amp;G187),SUMIFS('ساعات عبدالعزيز'!$F$5:$F$746,'ساعات عبدالعزيز'!$A$5:$A$746,"&gt;="&amp;(WEEK_ONE+7*(H187-1)),'ساعات عبدالعزيز'!$A$5:$A$746,"&lt;="&amp;G187)))</f>
        <v/>
      </c>
    </row>
    <row r="188" customFormat="false" ht="15" hidden="false" customHeight="false" outlineLevel="0" collapsed="false">
      <c r="A188" s="43"/>
      <c r="B188" s="23" t="str">
        <f aca="false">IF(G188="","",CHOOSE(WEEKDAY(G188,1),"الأحد","الاثنين","الثلاثاء","الأربعاء","الخميس","الجمعة","السبت")&amp;IF(OR(ISNUMBER(A188),LEN(TRIM(A188))&gt;=10),"","  "&amp;TEXT(DAY(G188),"00")&amp;"/"&amp;TEXT(MONTH(G188),"00")&amp;"/"&amp;YEAR(G188)))</f>
        <v/>
      </c>
      <c r="C188" s="24"/>
      <c r="D188" s="44"/>
      <c r="E188" s="27"/>
      <c r="F188" s="45" t="str">
        <f aca="false">IF(A188="","",IF(G188="","⛔ التاريخ غلط — اختاره من القائمة أو اكتبه كامل 05/10/2026",IF(OR(H188&lt;1,H188&gt;NW),"⛔ التاريخ برّا السنة",IF(AND(N(D188)&gt;0,N(J188)&gt;0,D188&gt;ADV_CAP*J188),"⚠️ أكثر من "&amp;TEXT(ADV_CAP,"0%")&amp;" من شغله ("&amp;TEXT(J188,"0.000")&amp;")",""))))</f>
        <v/>
      </c>
      <c r="G188" s="0" t="str">
        <f aca="true">IF(A188="","",IF(ISNUMBER(A188),IF(A188&gt;=36526,A188,""),IFERROR(DATE(VALUE(RIGHT(RIGHT(TRIM(A188),10),4)),VALUE(MID(RIGHT(TRIM(A188),10),4,2)),VALUE(LEFT(RIGHT(TRIM(A188),10),2))),IFERROR(TODAY()-MOD(WEEKDAY(TODAY(),1)-MATCH(TRIM(A188),{"الأحد","الاثنين","الثلاثاء","الأربعاء","الخميس","الجمعة","السبت"},0),7),IFERROR(DATEVALUE(A188),"")))))</f>
        <v/>
      </c>
      <c r="H188" s="0" t="str">
        <f aca="false">IF(G188="","",INT((G188-WEEK_ONE)/7)+1)</f>
        <v/>
      </c>
      <c r="I188" s="0" t="str">
        <f aca="false">IF(H188="","",IF(OR(H188&lt;1,H188&gt;NW),"",INDEX(WMON,H188)))</f>
        <v/>
      </c>
      <c r="J188" s="0" t="str">
        <f aca="false">IF(OR(G188="",H188="",C188=""),"",IF(C188="عمر المصري",SUMIFS('ساعات عمر'!$H$5:$H$746,'ساعات عمر'!$A$5:$A$746,"&gt;="&amp;(WEEK_ONE+7*(H188-1)),'ساعات عمر'!$A$5:$A$746,"&lt;="&amp;G188),SUMIFS('ساعات عبدالعزيز'!$F$5:$F$746,'ساعات عبدالعزيز'!$A$5:$A$746,"&gt;="&amp;(WEEK_ONE+7*(H188-1)),'ساعات عبدالعزيز'!$A$5:$A$746,"&lt;="&amp;G188)))</f>
        <v/>
      </c>
    </row>
    <row r="189" customFormat="false" ht="15" hidden="false" customHeight="false" outlineLevel="0" collapsed="false">
      <c r="A189" s="43"/>
      <c r="B189" s="23" t="str">
        <f aca="false">IF(G189="","",CHOOSE(WEEKDAY(G189,1),"الأحد","الاثنين","الثلاثاء","الأربعاء","الخميس","الجمعة","السبت")&amp;IF(OR(ISNUMBER(A189),LEN(TRIM(A189))&gt;=10),"","  "&amp;TEXT(DAY(G189),"00")&amp;"/"&amp;TEXT(MONTH(G189),"00")&amp;"/"&amp;YEAR(G189)))</f>
        <v/>
      </c>
      <c r="C189" s="24"/>
      <c r="D189" s="44"/>
      <c r="E189" s="27"/>
      <c r="F189" s="45" t="str">
        <f aca="false">IF(A189="","",IF(G189="","⛔ التاريخ غلط — اختاره من القائمة أو اكتبه كامل 05/10/2026",IF(OR(H189&lt;1,H189&gt;NW),"⛔ التاريخ برّا السنة",IF(AND(N(D189)&gt;0,N(J189)&gt;0,D189&gt;ADV_CAP*J189),"⚠️ أكثر من "&amp;TEXT(ADV_CAP,"0%")&amp;" من شغله ("&amp;TEXT(J189,"0.000")&amp;")",""))))</f>
        <v/>
      </c>
      <c r="G189" s="0" t="str">
        <f aca="true">IF(A189="","",IF(ISNUMBER(A189),IF(A189&gt;=36526,A189,""),IFERROR(DATE(VALUE(RIGHT(RIGHT(TRIM(A189),10),4)),VALUE(MID(RIGHT(TRIM(A189),10),4,2)),VALUE(LEFT(RIGHT(TRIM(A189),10),2))),IFERROR(TODAY()-MOD(WEEKDAY(TODAY(),1)-MATCH(TRIM(A189),{"الأحد","الاثنين","الثلاثاء","الأربعاء","الخميس","الجمعة","السبت"},0),7),IFERROR(DATEVALUE(A189),"")))))</f>
        <v/>
      </c>
      <c r="H189" s="0" t="str">
        <f aca="false">IF(G189="","",INT((G189-WEEK_ONE)/7)+1)</f>
        <v/>
      </c>
      <c r="I189" s="0" t="str">
        <f aca="false">IF(H189="","",IF(OR(H189&lt;1,H189&gt;NW),"",INDEX(WMON,H189)))</f>
        <v/>
      </c>
      <c r="J189" s="0" t="str">
        <f aca="false">IF(OR(G189="",H189="",C189=""),"",IF(C189="عمر المصري",SUMIFS('ساعات عمر'!$H$5:$H$746,'ساعات عمر'!$A$5:$A$746,"&gt;="&amp;(WEEK_ONE+7*(H189-1)),'ساعات عمر'!$A$5:$A$746,"&lt;="&amp;G189),SUMIFS('ساعات عبدالعزيز'!$F$5:$F$746,'ساعات عبدالعزيز'!$A$5:$A$746,"&gt;="&amp;(WEEK_ONE+7*(H189-1)),'ساعات عبدالعزيز'!$A$5:$A$746,"&lt;="&amp;G189)))</f>
        <v/>
      </c>
    </row>
    <row r="190" customFormat="false" ht="15" hidden="false" customHeight="false" outlineLevel="0" collapsed="false">
      <c r="A190" s="43"/>
      <c r="B190" s="23" t="str">
        <f aca="false">IF(G190="","",CHOOSE(WEEKDAY(G190,1),"الأحد","الاثنين","الثلاثاء","الأربعاء","الخميس","الجمعة","السبت")&amp;IF(OR(ISNUMBER(A190),LEN(TRIM(A190))&gt;=10),"","  "&amp;TEXT(DAY(G190),"00")&amp;"/"&amp;TEXT(MONTH(G190),"00")&amp;"/"&amp;YEAR(G190)))</f>
        <v/>
      </c>
      <c r="C190" s="24"/>
      <c r="D190" s="44"/>
      <c r="E190" s="27"/>
      <c r="F190" s="45" t="str">
        <f aca="false">IF(A190="","",IF(G190="","⛔ التاريخ غلط — اختاره من القائمة أو اكتبه كامل 05/10/2026",IF(OR(H190&lt;1,H190&gt;NW),"⛔ التاريخ برّا السنة",IF(AND(N(D190)&gt;0,N(J190)&gt;0,D190&gt;ADV_CAP*J190),"⚠️ أكثر من "&amp;TEXT(ADV_CAP,"0%")&amp;" من شغله ("&amp;TEXT(J190,"0.000")&amp;")",""))))</f>
        <v/>
      </c>
      <c r="G190" s="0" t="str">
        <f aca="true">IF(A190="","",IF(ISNUMBER(A190),IF(A190&gt;=36526,A190,""),IFERROR(DATE(VALUE(RIGHT(RIGHT(TRIM(A190),10),4)),VALUE(MID(RIGHT(TRIM(A190),10),4,2)),VALUE(LEFT(RIGHT(TRIM(A190),10),2))),IFERROR(TODAY()-MOD(WEEKDAY(TODAY(),1)-MATCH(TRIM(A190),{"الأحد","الاثنين","الثلاثاء","الأربعاء","الخميس","الجمعة","السبت"},0),7),IFERROR(DATEVALUE(A190),"")))))</f>
        <v/>
      </c>
      <c r="H190" s="0" t="str">
        <f aca="false">IF(G190="","",INT((G190-WEEK_ONE)/7)+1)</f>
        <v/>
      </c>
      <c r="I190" s="0" t="str">
        <f aca="false">IF(H190="","",IF(OR(H190&lt;1,H190&gt;NW),"",INDEX(WMON,H190)))</f>
        <v/>
      </c>
      <c r="J190" s="0" t="str">
        <f aca="false">IF(OR(G190="",H190="",C190=""),"",IF(C190="عمر المصري",SUMIFS('ساعات عمر'!$H$5:$H$746,'ساعات عمر'!$A$5:$A$746,"&gt;="&amp;(WEEK_ONE+7*(H190-1)),'ساعات عمر'!$A$5:$A$746,"&lt;="&amp;G190),SUMIFS('ساعات عبدالعزيز'!$F$5:$F$746,'ساعات عبدالعزيز'!$A$5:$A$746,"&gt;="&amp;(WEEK_ONE+7*(H190-1)),'ساعات عبدالعزيز'!$A$5:$A$746,"&lt;="&amp;G190)))</f>
        <v/>
      </c>
    </row>
    <row r="191" customFormat="false" ht="15" hidden="false" customHeight="false" outlineLevel="0" collapsed="false">
      <c r="A191" s="43"/>
      <c r="B191" s="23" t="str">
        <f aca="false">IF(G191="","",CHOOSE(WEEKDAY(G191,1),"الأحد","الاثنين","الثلاثاء","الأربعاء","الخميس","الجمعة","السبت")&amp;IF(OR(ISNUMBER(A191),LEN(TRIM(A191))&gt;=10),"","  "&amp;TEXT(DAY(G191),"00")&amp;"/"&amp;TEXT(MONTH(G191),"00")&amp;"/"&amp;YEAR(G191)))</f>
        <v/>
      </c>
      <c r="C191" s="24"/>
      <c r="D191" s="44"/>
      <c r="E191" s="27"/>
      <c r="F191" s="45" t="str">
        <f aca="false">IF(A191="","",IF(G191="","⛔ التاريخ غلط — اختاره من القائمة أو اكتبه كامل 05/10/2026",IF(OR(H191&lt;1,H191&gt;NW),"⛔ التاريخ برّا السنة",IF(AND(N(D191)&gt;0,N(J191)&gt;0,D191&gt;ADV_CAP*J191),"⚠️ أكثر من "&amp;TEXT(ADV_CAP,"0%")&amp;" من شغله ("&amp;TEXT(J191,"0.000")&amp;")",""))))</f>
        <v/>
      </c>
      <c r="G191" s="0" t="str">
        <f aca="true">IF(A191="","",IF(ISNUMBER(A191),IF(A191&gt;=36526,A191,""),IFERROR(DATE(VALUE(RIGHT(RIGHT(TRIM(A191),10),4)),VALUE(MID(RIGHT(TRIM(A191),10),4,2)),VALUE(LEFT(RIGHT(TRIM(A191),10),2))),IFERROR(TODAY()-MOD(WEEKDAY(TODAY(),1)-MATCH(TRIM(A191),{"الأحد","الاثنين","الثلاثاء","الأربعاء","الخميس","الجمعة","السبت"},0),7),IFERROR(DATEVALUE(A191),"")))))</f>
        <v/>
      </c>
      <c r="H191" s="0" t="str">
        <f aca="false">IF(G191="","",INT((G191-WEEK_ONE)/7)+1)</f>
        <v/>
      </c>
      <c r="I191" s="0" t="str">
        <f aca="false">IF(H191="","",IF(OR(H191&lt;1,H191&gt;NW),"",INDEX(WMON,H191)))</f>
        <v/>
      </c>
      <c r="J191" s="0" t="str">
        <f aca="false">IF(OR(G191="",H191="",C191=""),"",IF(C191="عمر المصري",SUMIFS('ساعات عمر'!$H$5:$H$746,'ساعات عمر'!$A$5:$A$746,"&gt;="&amp;(WEEK_ONE+7*(H191-1)),'ساعات عمر'!$A$5:$A$746,"&lt;="&amp;G191),SUMIFS('ساعات عبدالعزيز'!$F$5:$F$746,'ساعات عبدالعزيز'!$A$5:$A$746,"&gt;="&amp;(WEEK_ONE+7*(H191-1)),'ساعات عبدالعزيز'!$A$5:$A$746,"&lt;="&amp;G191)))</f>
        <v/>
      </c>
    </row>
    <row r="192" customFormat="false" ht="15" hidden="false" customHeight="false" outlineLevel="0" collapsed="false">
      <c r="A192" s="43"/>
      <c r="B192" s="23" t="str">
        <f aca="false">IF(G192="","",CHOOSE(WEEKDAY(G192,1),"الأحد","الاثنين","الثلاثاء","الأربعاء","الخميس","الجمعة","السبت")&amp;IF(OR(ISNUMBER(A192),LEN(TRIM(A192))&gt;=10),"","  "&amp;TEXT(DAY(G192),"00")&amp;"/"&amp;TEXT(MONTH(G192),"00")&amp;"/"&amp;YEAR(G192)))</f>
        <v/>
      </c>
      <c r="C192" s="24"/>
      <c r="D192" s="44"/>
      <c r="E192" s="27"/>
      <c r="F192" s="45" t="str">
        <f aca="false">IF(A192="","",IF(G192="","⛔ التاريخ غلط — اختاره من القائمة أو اكتبه كامل 05/10/2026",IF(OR(H192&lt;1,H192&gt;NW),"⛔ التاريخ برّا السنة",IF(AND(N(D192)&gt;0,N(J192)&gt;0,D192&gt;ADV_CAP*J192),"⚠️ أكثر من "&amp;TEXT(ADV_CAP,"0%")&amp;" من شغله ("&amp;TEXT(J192,"0.000")&amp;")",""))))</f>
        <v/>
      </c>
      <c r="G192" s="0" t="str">
        <f aca="true">IF(A192="","",IF(ISNUMBER(A192),IF(A192&gt;=36526,A192,""),IFERROR(DATE(VALUE(RIGHT(RIGHT(TRIM(A192),10),4)),VALUE(MID(RIGHT(TRIM(A192),10),4,2)),VALUE(LEFT(RIGHT(TRIM(A192),10),2))),IFERROR(TODAY()-MOD(WEEKDAY(TODAY(),1)-MATCH(TRIM(A192),{"الأحد","الاثنين","الثلاثاء","الأربعاء","الخميس","الجمعة","السبت"},0),7),IFERROR(DATEVALUE(A192),"")))))</f>
        <v/>
      </c>
      <c r="H192" s="0" t="str">
        <f aca="false">IF(G192="","",INT((G192-WEEK_ONE)/7)+1)</f>
        <v/>
      </c>
      <c r="I192" s="0" t="str">
        <f aca="false">IF(H192="","",IF(OR(H192&lt;1,H192&gt;NW),"",INDEX(WMON,H192)))</f>
        <v/>
      </c>
      <c r="J192" s="0" t="str">
        <f aca="false">IF(OR(G192="",H192="",C192=""),"",IF(C192="عمر المصري",SUMIFS('ساعات عمر'!$H$5:$H$746,'ساعات عمر'!$A$5:$A$746,"&gt;="&amp;(WEEK_ONE+7*(H192-1)),'ساعات عمر'!$A$5:$A$746,"&lt;="&amp;G192),SUMIFS('ساعات عبدالعزيز'!$F$5:$F$746,'ساعات عبدالعزيز'!$A$5:$A$746,"&gt;="&amp;(WEEK_ONE+7*(H192-1)),'ساعات عبدالعزيز'!$A$5:$A$746,"&lt;="&amp;G192)))</f>
        <v/>
      </c>
    </row>
    <row r="193" customFormat="false" ht="15" hidden="false" customHeight="false" outlineLevel="0" collapsed="false">
      <c r="A193" s="43"/>
      <c r="B193" s="23" t="str">
        <f aca="false">IF(G193="","",CHOOSE(WEEKDAY(G193,1),"الأحد","الاثنين","الثلاثاء","الأربعاء","الخميس","الجمعة","السبت")&amp;IF(OR(ISNUMBER(A193),LEN(TRIM(A193))&gt;=10),"","  "&amp;TEXT(DAY(G193),"00")&amp;"/"&amp;TEXT(MONTH(G193),"00")&amp;"/"&amp;YEAR(G193)))</f>
        <v/>
      </c>
      <c r="C193" s="24"/>
      <c r="D193" s="44"/>
      <c r="E193" s="27"/>
      <c r="F193" s="45" t="str">
        <f aca="false">IF(A193="","",IF(G193="","⛔ التاريخ غلط — اختاره من القائمة أو اكتبه كامل 05/10/2026",IF(OR(H193&lt;1,H193&gt;NW),"⛔ التاريخ برّا السنة",IF(AND(N(D193)&gt;0,N(J193)&gt;0,D193&gt;ADV_CAP*J193),"⚠️ أكثر من "&amp;TEXT(ADV_CAP,"0%")&amp;" من شغله ("&amp;TEXT(J193,"0.000")&amp;")",""))))</f>
        <v/>
      </c>
      <c r="G193" s="0" t="str">
        <f aca="true">IF(A193="","",IF(ISNUMBER(A193),IF(A193&gt;=36526,A193,""),IFERROR(DATE(VALUE(RIGHT(RIGHT(TRIM(A193),10),4)),VALUE(MID(RIGHT(TRIM(A193),10),4,2)),VALUE(LEFT(RIGHT(TRIM(A193),10),2))),IFERROR(TODAY()-MOD(WEEKDAY(TODAY(),1)-MATCH(TRIM(A193),{"الأحد","الاثنين","الثلاثاء","الأربعاء","الخميس","الجمعة","السبت"},0),7),IFERROR(DATEVALUE(A193),"")))))</f>
        <v/>
      </c>
      <c r="H193" s="0" t="str">
        <f aca="false">IF(G193="","",INT((G193-WEEK_ONE)/7)+1)</f>
        <v/>
      </c>
      <c r="I193" s="0" t="str">
        <f aca="false">IF(H193="","",IF(OR(H193&lt;1,H193&gt;NW),"",INDEX(WMON,H193)))</f>
        <v/>
      </c>
      <c r="J193" s="0" t="str">
        <f aca="false">IF(OR(G193="",H193="",C193=""),"",IF(C193="عمر المصري",SUMIFS('ساعات عمر'!$H$5:$H$746,'ساعات عمر'!$A$5:$A$746,"&gt;="&amp;(WEEK_ONE+7*(H193-1)),'ساعات عمر'!$A$5:$A$746,"&lt;="&amp;G193),SUMIFS('ساعات عبدالعزيز'!$F$5:$F$746,'ساعات عبدالعزيز'!$A$5:$A$746,"&gt;="&amp;(WEEK_ONE+7*(H193-1)),'ساعات عبدالعزيز'!$A$5:$A$746,"&lt;="&amp;G193)))</f>
        <v/>
      </c>
    </row>
    <row r="194" customFormat="false" ht="15" hidden="false" customHeight="false" outlineLevel="0" collapsed="false">
      <c r="A194" s="43"/>
      <c r="B194" s="23" t="str">
        <f aca="false">IF(G194="","",CHOOSE(WEEKDAY(G194,1),"الأحد","الاثنين","الثلاثاء","الأربعاء","الخميس","الجمعة","السبت")&amp;IF(OR(ISNUMBER(A194),LEN(TRIM(A194))&gt;=10),"","  "&amp;TEXT(DAY(G194),"00")&amp;"/"&amp;TEXT(MONTH(G194),"00")&amp;"/"&amp;YEAR(G194)))</f>
        <v/>
      </c>
      <c r="C194" s="24"/>
      <c r="D194" s="44"/>
      <c r="E194" s="27"/>
      <c r="F194" s="45" t="str">
        <f aca="false">IF(A194="","",IF(G194="","⛔ التاريخ غلط — اختاره من القائمة أو اكتبه كامل 05/10/2026",IF(OR(H194&lt;1,H194&gt;NW),"⛔ التاريخ برّا السنة",IF(AND(N(D194)&gt;0,N(J194)&gt;0,D194&gt;ADV_CAP*J194),"⚠️ أكثر من "&amp;TEXT(ADV_CAP,"0%")&amp;" من شغله ("&amp;TEXT(J194,"0.000")&amp;")",""))))</f>
        <v/>
      </c>
      <c r="G194" s="0" t="str">
        <f aca="true">IF(A194="","",IF(ISNUMBER(A194),IF(A194&gt;=36526,A194,""),IFERROR(DATE(VALUE(RIGHT(RIGHT(TRIM(A194),10),4)),VALUE(MID(RIGHT(TRIM(A194),10),4,2)),VALUE(LEFT(RIGHT(TRIM(A194),10),2))),IFERROR(TODAY()-MOD(WEEKDAY(TODAY(),1)-MATCH(TRIM(A194),{"الأحد","الاثنين","الثلاثاء","الأربعاء","الخميس","الجمعة","السبت"},0),7),IFERROR(DATEVALUE(A194),"")))))</f>
        <v/>
      </c>
      <c r="H194" s="0" t="str">
        <f aca="false">IF(G194="","",INT((G194-WEEK_ONE)/7)+1)</f>
        <v/>
      </c>
      <c r="I194" s="0" t="str">
        <f aca="false">IF(H194="","",IF(OR(H194&lt;1,H194&gt;NW),"",INDEX(WMON,H194)))</f>
        <v/>
      </c>
      <c r="J194" s="0" t="str">
        <f aca="false">IF(OR(G194="",H194="",C194=""),"",IF(C194="عمر المصري",SUMIFS('ساعات عمر'!$H$5:$H$746,'ساعات عمر'!$A$5:$A$746,"&gt;="&amp;(WEEK_ONE+7*(H194-1)),'ساعات عمر'!$A$5:$A$746,"&lt;="&amp;G194),SUMIFS('ساعات عبدالعزيز'!$F$5:$F$746,'ساعات عبدالعزيز'!$A$5:$A$746,"&gt;="&amp;(WEEK_ONE+7*(H194-1)),'ساعات عبدالعزيز'!$A$5:$A$746,"&lt;="&amp;G194)))</f>
        <v/>
      </c>
    </row>
    <row r="195" customFormat="false" ht="15" hidden="false" customHeight="false" outlineLevel="0" collapsed="false">
      <c r="A195" s="43"/>
      <c r="B195" s="23" t="str">
        <f aca="false">IF(G195="","",CHOOSE(WEEKDAY(G195,1),"الأحد","الاثنين","الثلاثاء","الأربعاء","الخميس","الجمعة","السبت")&amp;IF(OR(ISNUMBER(A195),LEN(TRIM(A195))&gt;=10),"","  "&amp;TEXT(DAY(G195),"00")&amp;"/"&amp;TEXT(MONTH(G195),"00")&amp;"/"&amp;YEAR(G195)))</f>
        <v/>
      </c>
      <c r="C195" s="24"/>
      <c r="D195" s="44"/>
      <c r="E195" s="27"/>
      <c r="F195" s="45" t="str">
        <f aca="false">IF(A195="","",IF(G195="","⛔ التاريخ غلط — اختاره من القائمة أو اكتبه كامل 05/10/2026",IF(OR(H195&lt;1,H195&gt;NW),"⛔ التاريخ برّا السنة",IF(AND(N(D195)&gt;0,N(J195)&gt;0,D195&gt;ADV_CAP*J195),"⚠️ أكثر من "&amp;TEXT(ADV_CAP,"0%")&amp;" من شغله ("&amp;TEXT(J195,"0.000")&amp;")",""))))</f>
        <v/>
      </c>
      <c r="G195" s="0" t="str">
        <f aca="true">IF(A195="","",IF(ISNUMBER(A195),IF(A195&gt;=36526,A195,""),IFERROR(DATE(VALUE(RIGHT(RIGHT(TRIM(A195),10),4)),VALUE(MID(RIGHT(TRIM(A195),10),4,2)),VALUE(LEFT(RIGHT(TRIM(A195),10),2))),IFERROR(TODAY()-MOD(WEEKDAY(TODAY(),1)-MATCH(TRIM(A195),{"الأحد","الاثنين","الثلاثاء","الأربعاء","الخميس","الجمعة","السبت"},0),7),IFERROR(DATEVALUE(A195),"")))))</f>
        <v/>
      </c>
      <c r="H195" s="0" t="str">
        <f aca="false">IF(G195="","",INT((G195-WEEK_ONE)/7)+1)</f>
        <v/>
      </c>
      <c r="I195" s="0" t="str">
        <f aca="false">IF(H195="","",IF(OR(H195&lt;1,H195&gt;NW),"",INDEX(WMON,H195)))</f>
        <v/>
      </c>
      <c r="J195" s="0" t="str">
        <f aca="false">IF(OR(G195="",H195="",C195=""),"",IF(C195="عمر المصري",SUMIFS('ساعات عمر'!$H$5:$H$746,'ساعات عمر'!$A$5:$A$746,"&gt;="&amp;(WEEK_ONE+7*(H195-1)),'ساعات عمر'!$A$5:$A$746,"&lt;="&amp;G195),SUMIFS('ساعات عبدالعزيز'!$F$5:$F$746,'ساعات عبدالعزيز'!$A$5:$A$746,"&gt;="&amp;(WEEK_ONE+7*(H195-1)),'ساعات عبدالعزيز'!$A$5:$A$746,"&lt;="&amp;G195)))</f>
        <v/>
      </c>
    </row>
    <row r="196" customFormat="false" ht="15" hidden="false" customHeight="false" outlineLevel="0" collapsed="false">
      <c r="A196" s="43"/>
      <c r="B196" s="23" t="str">
        <f aca="false">IF(G196="","",CHOOSE(WEEKDAY(G196,1),"الأحد","الاثنين","الثلاثاء","الأربعاء","الخميس","الجمعة","السبت")&amp;IF(OR(ISNUMBER(A196),LEN(TRIM(A196))&gt;=10),"","  "&amp;TEXT(DAY(G196),"00")&amp;"/"&amp;TEXT(MONTH(G196),"00")&amp;"/"&amp;YEAR(G196)))</f>
        <v/>
      </c>
      <c r="C196" s="24"/>
      <c r="D196" s="44"/>
      <c r="E196" s="27"/>
      <c r="F196" s="45" t="str">
        <f aca="false">IF(A196="","",IF(G196="","⛔ التاريخ غلط — اختاره من القائمة أو اكتبه كامل 05/10/2026",IF(OR(H196&lt;1,H196&gt;NW),"⛔ التاريخ برّا السنة",IF(AND(N(D196)&gt;0,N(J196)&gt;0,D196&gt;ADV_CAP*J196),"⚠️ أكثر من "&amp;TEXT(ADV_CAP,"0%")&amp;" من شغله ("&amp;TEXT(J196,"0.000")&amp;")",""))))</f>
        <v/>
      </c>
      <c r="G196" s="0" t="str">
        <f aca="true">IF(A196="","",IF(ISNUMBER(A196),IF(A196&gt;=36526,A196,""),IFERROR(DATE(VALUE(RIGHT(RIGHT(TRIM(A196),10),4)),VALUE(MID(RIGHT(TRIM(A196),10),4,2)),VALUE(LEFT(RIGHT(TRIM(A196),10),2))),IFERROR(TODAY()-MOD(WEEKDAY(TODAY(),1)-MATCH(TRIM(A196),{"الأحد","الاثنين","الثلاثاء","الأربعاء","الخميس","الجمعة","السبت"},0),7),IFERROR(DATEVALUE(A196),"")))))</f>
        <v/>
      </c>
      <c r="H196" s="0" t="str">
        <f aca="false">IF(G196="","",INT((G196-WEEK_ONE)/7)+1)</f>
        <v/>
      </c>
      <c r="I196" s="0" t="str">
        <f aca="false">IF(H196="","",IF(OR(H196&lt;1,H196&gt;NW),"",INDEX(WMON,H196)))</f>
        <v/>
      </c>
      <c r="J196" s="0" t="str">
        <f aca="false">IF(OR(G196="",H196="",C196=""),"",IF(C196="عمر المصري",SUMIFS('ساعات عمر'!$H$5:$H$746,'ساعات عمر'!$A$5:$A$746,"&gt;="&amp;(WEEK_ONE+7*(H196-1)),'ساعات عمر'!$A$5:$A$746,"&lt;="&amp;G196),SUMIFS('ساعات عبدالعزيز'!$F$5:$F$746,'ساعات عبدالعزيز'!$A$5:$A$746,"&gt;="&amp;(WEEK_ONE+7*(H196-1)),'ساعات عبدالعزيز'!$A$5:$A$746,"&lt;="&amp;G196)))</f>
        <v/>
      </c>
    </row>
    <row r="197" customFormat="false" ht="15" hidden="false" customHeight="false" outlineLevel="0" collapsed="false">
      <c r="A197" s="43"/>
      <c r="B197" s="23" t="str">
        <f aca="false">IF(G197="","",CHOOSE(WEEKDAY(G197,1),"الأحد","الاثنين","الثلاثاء","الأربعاء","الخميس","الجمعة","السبت")&amp;IF(OR(ISNUMBER(A197),LEN(TRIM(A197))&gt;=10),"","  "&amp;TEXT(DAY(G197),"00")&amp;"/"&amp;TEXT(MONTH(G197),"00")&amp;"/"&amp;YEAR(G197)))</f>
        <v/>
      </c>
      <c r="C197" s="24"/>
      <c r="D197" s="44"/>
      <c r="E197" s="27"/>
      <c r="F197" s="45" t="str">
        <f aca="false">IF(A197="","",IF(G197="","⛔ التاريخ غلط — اختاره من القائمة أو اكتبه كامل 05/10/2026",IF(OR(H197&lt;1,H197&gt;NW),"⛔ التاريخ برّا السنة",IF(AND(N(D197)&gt;0,N(J197)&gt;0,D197&gt;ADV_CAP*J197),"⚠️ أكثر من "&amp;TEXT(ADV_CAP,"0%")&amp;" من شغله ("&amp;TEXT(J197,"0.000")&amp;")",""))))</f>
        <v/>
      </c>
      <c r="G197" s="0" t="str">
        <f aca="true">IF(A197="","",IF(ISNUMBER(A197),IF(A197&gt;=36526,A197,""),IFERROR(DATE(VALUE(RIGHT(RIGHT(TRIM(A197),10),4)),VALUE(MID(RIGHT(TRIM(A197),10),4,2)),VALUE(LEFT(RIGHT(TRIM(A197),10),2))),IFERROR(TODAY()-MOD(WEEKDAY(TODAY(),1)-MATCH(TRIM(A197),{"الأحد","الاثنين","الثلاثاء","الأربعاء","الخميس","الجمعة","السبت"},0),7),IFERROR(DATEVALUE(A197),"")))))</f>
        <v/>
      </c>
      <c r="H197" s="0" t="str">
        <f aca="false">IF(G197="","",INT((G197-WEEK_ONE)/7)+1)</f>
        <v/>
      </c>
      <c r="I197" s="0" t="str">
        <f aca="false">IF(H197="","",IF(OR(H197&lt;1,H197&gt;NW),"",INDEX(WMON,H197)))</f>
        <v/>
      </c>
      <c r="J197" s="0" t="str">
        <f aca="false">IF(OR(G197="",H197="",C197=""),"",IF(C197="عمر المصري",SUMIFS('ساعات عمر'!$H$5:$H$746,'ساعات عمر'!$A$5:$A$746,"&gt;="&amp;(WEEK_ONE+7*(H197-1)),'ساعات عمر'!$A$5:$A$746,"&lt;="&amp;G197),SUMIFS('ساعات عبدالعزيز'!$F$5:$F$746,'ساعات عبدالعزيز'!$A$5:$A$746,"&gt;="&amp;(WEEK_ONE+7*(H197-1)),'ساعات عبدالعزيز'!$A$5:$A$746,"&lt;="&amp;G197)))</f>
        <v/>
      </c>
    </row>
    <row r="198" customFormat="false" ht="15" hidden="false" customHeight="false" outlineLevel="0" collapsed="false">
      <c r="A198" s="43"/>
      <c r="B198" s="23" t="str">
        <f aca="false">IF(G198="","",CHOOSE(WEEKDAY(G198,1),"الأحد","الاثنين","الثلاثاء","الأربعاء","الخميس","الجمعة","السبت")&amp;IF(OR(ISNUMBER(A198),LEN(TRIM(A198))&gt;=10),"","  "&amp;TEXT(DAY(G198),"00")&amp;"/"&amp;TEXT(MONTH(G198),"00")&amp;"/"&amp;YEAR(G198)))</f>
        <v/>
      </c>
      <c r="C198" s="24"/>
      <c r="D198" s="44"/>
      <c r="E198" s="27"/>
      <c r="F198" s="45" t="str">
        <f aca="false">IF(A198="","",IF(G198="","⛔ التاريخ غلط — اختاره من القائمة أو اكتبه كامل 05/10/2026",IF(OR(H198&lt;1,H198&gt;NW),"⛔ التاريخ برّا السنة",IF(AND(N(D198)&gt;0,N(J198)&gt;0,D198&gt;ADV_CAP*J198),"⚠️ أكثر من "&amp;TEXT(ADV_CAP,"0%")&amp;" من شغله ("&amp;TEXT(J198,"0.000")&amp;")",""))))</f>
        <v/>
      </c>
      <c r="G198" s="0" t="str">
        <f aca="true">IF(A198="","",IF(ISNUMBER(A198),IF(A198&gt;=36526,A198,""),IFERROR(DATE(VALUE(RIGHT(RIGHT(TRIM(A198),10),4)),VALUE(MID(RIGHT(TRIM(A198),10),4,2)),VALUE(LEFT(RIGHT(TRIM(A198),10),2))),IFERROR(TODAY()-MOD(WEEKDAY(TODAY(),1)-MATCH(TRIM(A198),{"الأحد","الاثنين","الثلاثاء","الأربعاء","الخميس","الجمعة","السبت"},0),7),IFERROR(DATEVALUE(A198),"")))))</f>
        <v/>
      </c>
      <c r="H198" s="0" t="str">
        <f aca="false">IF(G198="","",INT((G198-WEEK_ONE)/7)+1)</f>
        <v/>
      </c>
      <c r="I198" s="0" t="str">
        <f aca="false">IF(H198="","",IF(OR(H198&lt;1,H198&gt;NW),"",INDEX(WMON,H198)))</f>
        <v/>
      </c>
      <c r="J198" s="0" t="str">
        <f aca="false">IF(OR(G198="",H198="",C198=""),"",IF(C198="عمر المصري",SUMIFS('ساعات عمر'!$H$5:$H$746,'ساعات عمر'!$A$5:$A$746,"&gt;="&amp;(WEEK_ONE+7*(H198-1)),'ساعات عمر'!$A$5:$A$746,"&lt;="&amp;G198),SUMIFS('ساعات عبدالعزيز'!$F$5:$F$746,'ساعات عبدالعزيز'!$A$5:$A$746,"&gt;="&amp;(WEEK_ONE+7*(H198-1)),'ساعات عبدالعزيز'!$A$5:$A$746,"&lt;="&amp;G198)))</f>
        <v/>
      </c>
    </row>
    <row r="199" customFormat="false" ht="15" hidden="false" customHeight="false" outlineLevel="0" collapsed="false">
      <c r="A199" s="43"/>
      <c r="B199" s="23" t="str">
        <f aca="false">IF(G199="","",CHOOSE(WEEKDAY(G199,1),"الأحد","الاثنين","الثلاثاء","الأربعاء","الخميس","الجمعة","السبت")&amp;IF(OR(ISNUMBER(A199),LEN(TRIM(A199))&gt;=10),"","  "&amp;TEXT(DAY(G199),"00")&amp;"/"&amp;TEXT(MONTH(G199),"00")&amp;"/"&amp;YEAR(G199)))</f>
        <v/>
      </c>
      <c r="C199" s="24"/>
      <c r="D199" s="44"/>
      <c r="E199" s="27"/>
      <c r="F199" s="45" t="str">
        <f aca="false">IF(A199="","",IF(G199="","⛔ التاريخ غلط — اختاره من القائمة أو اكتبه كامل 05/10/2026",IF(OR(H199&lt;1,H199&gt;NW),"⛔ التاريخ برّا السنة",IF(AND(N(D199)&gt;0,N(J199)&gt;0,D199&gt;ADV_CAP*J199),"⚠️ أكثر من "&amp;TEXT(ADV_CAP,"0%")&amp;" من شغله ("&amp;TEXT(J199,"0.000")&amp;")",""))))</f>
        <v/>
      </c>
      <c r="G199" s="0" t="str">
        <f aca="true">IF(A199="","",IF(ISNUMBER(A199),IF(A199&gt;=36526,A199,""),IFERROR(DATE(VALUE(RIGHT(RIGHT(TRIM(A199),10),4)),VALUE(MID(RIGHT(TRIM(A199),10),4,2)),VALUE(LEFT(RIGHT(TRIM(A199),10),2))),IFERROR(TODAY()-MOD(WEEKDAY(TODAY(),1)-MATCH(TRIM(A199),{"الأحد","الاثنين","الثلاثاء","الأربعاء","الخميس","الجمعة","السبت"},0),7),IFERROR(DATEVALUE(A199),"")))))</f>
        <v/>
      </c>
      <c r="H199" s="0" t="str">
        <f aca="false">IF(G199="","",INT((G199-WEEK_ONE)/7)+1)</f>
        <v/>
      </c>
      <c r="I199" s="0" t="str">
        <f aca="false">IF(H199="","",IF(OR(H199&lt;1,H199&gt;NW),"",INDEX(WMON,H199)))</f>
        <v/>
      </c>
      <c r="J199" s="0" t="str">
        <f aca="false">IF(OR(G199="",H199="",C199=""),"",IF(C199="عمر المصري",SUMIFS('ساعات عمر'!$H$5:$H$746,'ساعات عمر'!$A$5:$A$746,"&gt;="&amp;(WEEK_ONE+7*(H199-1)),'ساعات عمر'!$A$5:$A$746,"&lt;="&amp;G199),SUMIFS('ساعات عبدالعزيز'!$F$5:$F$746,'ساعات عبدالعزيز'!$A$5:$A$746,"&gt;="&amp;(WEEK_ONE+7*(H199-1)),'ساعات عبدالعزيز'!$A$5:$A$746,"&lt;="&amp;G199)))</f>
        <v/>
      </c>
    </row>
    <row r="200" customFormat="false" ht="15" hidden="false" customHeight="false" outlineLevel="0" collapsed="false">
      <c r="A200" s="43"/>
      <c r="B200" s="23" t="str">
        <f aca="false">IF(G200="","",CHOOSE(WEEKDAY(G200,1),"الأحد","الاثنين","الثلاثاء","الأربعاء","الخميس","الجمعة","السبت")&amp;IF(OR(ISNUMBER(A200),LEN(TRIM(A200))&gt;=10),"","  "&amp;TEXT(DAY(G200),"00")&amp;"/"&amp;TEXT(MONTH(G200),"00")&amp;"/"&amp;YEAR(G200)))</f>
        <v/>
      </c>
      <c r="C200" s="24"/>
      <c r="D200" s="44"/>
      <c r="E200" s="27"/>
      <c r="F200" s="45" t="str">
        <f aca="false">IF(A200="","",IF(G200="","⛔ التاريخ غلط — اختاره من القائمة أو اكتبه كامل 05/10/2026",IF(OR(H200&lt;1,H200&gt;NW),"⛔ التاريخ برّا السنة",IF(AND(N(D200)&gt;0,N(J200)&gt;0,D200&gt;ADV_CAP*J200),"⚠️ أكثر من "&amp;TEXT(ADV_CAP,"0%")&amp;" من شغله ("&amp;TEXT(J200,"0.000")&amp;")",""))))</f>
        <v/>
      </c>
      <c r="G200" s="0" t="str">
        <f aca="true">IF(A200="","",IF(ISNUMBER(A200),IF(A200&gt;=36526,A200,""),IFERROR(DATE(VALUE(RIGHT(RIGHT(TRIM(A200),10),4)),VALUE(MID(RIGHT(TRIM(A200),10),4,2)),VALUE(LEFT(RIGHT(TRIM(A200),10),2))),IFERROR(TODAY()-MOD(WEEKDAY(TODAY(),1)-MATCH(TRIM(A200),{"الأحد","الاثنين","الثلاثاء","الأربعاء","الخميس","الجمعة","السبت"},0),7),IFERROR(DATEVALUE(A200),"")))))</f>
        <v/>
      </c>
      <c r="H200" s="0" t="str">
        <f aca="false">IF(G200="","",INT((G200-WEEK_ONE)/7)+1)</f>
        <v/>
      </c>
      <c r="I200" s="0" t="str">
        <f aca="false">IF(H200="","",IF(OR(H200&lt;1,H200&gt;NW),"",INDEX(WMON,H200)))</f>
        <v/>
      </c>
      <c r="J200" s="0" t="str">
        <f aca="false">IF(OR(G200="",H200="",C200=""),"",IF(C200="عمر المصري",SUMIFS('ساعات عمر'!$H$5:$H$746,'ساعات عمر'!$A$5:$A$746,"&gt;="&amp;(WEEK_ONE+7*(H200-1)),'ساعات عمر'!$A$5:$A$746,"&lt;="&amp;G200),SUMIFS('ساعات عبدالعزيز'!$F$5:$F$746,'ساعات عبدالعزيز'!$A$5:$A$746,"&gt;="&amp;(WEEK_ONE+7*(H200-1)),'ساعات عبدالعزيز'!$A$5:$A$746,"&lt;="&amp;G200)))</f>
        <v/>
      </c>
    </row>
    <row r="201" customFormat="false" ht="15" hidden="false" customHeight="false" outlineLevel="0" collapsed="false">
      <c r="A201" s="43"/>
      <c r="B201" s="23" t="str">
        <f aca="false">IF(G201="","",CHOOSE(WEEKDAY(G201,1),"الأحد","الاثنين","الثلاثاء","الأربعاء","الخميس","الجمعة","السبت")&amp;IF(OR(ISNUMBER(A201),LEN(TRIM(A201))&gt;=10),"","  "&amp;TEXT(DAY(G201),"00")&amp;"/"&amp;TEXT(MONTH(G201),"00")&amp;"/"&amp;YEAR(G201)))</f>
        <v/>
      </c>
      <c r="C201" s="24"/>
      <c r="D201" s="44"/>
      <c r="E201" s="27"/>
      <c r="F201" s="45" t="str">
        <f aca="false">IF(A201="","",IF(G201="","⛔ التاريخ غلط — اختاره من القائمة أو اكتبه كامل 05/10/2026",IF(OR(H201&lt;1,H201&gt;NW),"⛔ التاريخ برّا السنة",IF(AND(N(D201)&gt;0,N(J201)&gt;0,D201&gt;ADV_CAP*J201),"⚠️ أكثر من "&amp;TEXT(ADV_CAP,"0%")&amp;" من شغله ("&amp;TEXT(J201,"0.000")&amp;")",""))))</f>
        <v/>
      </c>
      <c r="G201" s="0" t="str">
        <f aca="true">IF(A201="","",IF(ISNUMBER(A201),IF(A201&gt;=36526,A201,""),IFERROR(DATE(VALUE(RIGHT(RIGHT(TRIM(A201),10),4)),VALUE(MID(RIGHT(TRIM(A201),10),4,2)),VALUE(LEFT(RIGHT(TRIM(A201),10),2))),IFERROR(TODAY()-MOD(WEEKDAY(TODAY(),1)-MATCH(TRIM(A201),{"الأحد","الاثنين","الثلاثاء","الأربعاء","الخميس","الجمعة","السبت"},0),7),IFERROR(DATEVALUE(A201),"")))))</f>
        <v/>
      </c>
      <c r="H201" s="0" t="str">
        <f aca="false">IF(G201="","",INT((G201-WEEK_ONE)/7)+1)</f>
        <v/>
      </c>
      <c r="I201" s="0" t="str">
        <f aca="false">IF(H201="","",IF(OR(H201&lt;1,H201&gt;NW),"",INDEX(WMON,H201)))</f>
        <v/>
      </c>
      <c r="J201" s="0" t="str">
        <f aca="false">IF(OR(G201="",H201="",C201=""),"",IF(C201="عمر المصري",SUMIFS('ساعات عمر'!$H$5:$H$746,'ساعات عمر'!$A$5:$A$746,"&gt;="&amp;(WEEK_ONE+7*(H201-1)),'ساعات عمر'!$A$5:$A$746,"&lt;="&amp;G201),SUMIFS('ساعات عبدالعزيز'!$F$5:$F$746,'ساعات عبدالعزيز'!$A$5:$A$746,"&gt;="&amp;(WEEK_ONE+7*(H201-1)),'ساعات عبدالعزيز'!$A$5:$A$746,"&lt;="&amp;G201)))</f>
        <v/>
      </c>
    </row>
    <row r="202" customFormat="false" ht="15" hidden="false" customHeight="false" outlineLevel="0" collapsed="false">
      <c r="A202" s="43"/>
      <c r="B202" s="23" t="str">
        <f aca="false">IF(G202="","",CHOOSE(WEEKDAY(G202,1),"الأحد","الاثنين","الثلاثاء","الأربعاء","الخميس","الجمعة","السبت")&amp;IF(OR(ISNUMBER(A202),LEN(TRIM(A202))&gt;=10),"","  "&amp;TEXT(DAY(G202),"00")&amp;"/"&amp;TEXT(MONTH(G202),"00")&amp;"/"&amp;YEAR(G202)))</f>
        <v/>
      </c>
      <c r="C202" s="24"/>
      <c r="D202" s="44"/>
      <c r="E202" s="27"/>
      <c r="F202" s="45" t="str">
        <f aca="false">IF(A202="","",IF(G202="","⛔ التاريخ غلط — اختاره من القائمة أو اكتبه كامل 05/10/2026",IF(OR(H202&lt;1,H202&gt;NW),"⛔ التاريخ برّا السنة",IF(AND(N(D202)&gt;0,N(J202)&gt;0,D202&gt;ADV_CAP*J202),"⚠️ أكثر من "&amp;TEXT(ADV_CAP,"0%")&amp;" من شغله ("&amp;TEXT(J202,"0.000")&amp;")",""))))</f>
        <v/>
      </c>
      <c r="G202" s="0" t="str">
        <f aca="true">IF(A202="","",IF(ISNUMBER(A202),IF(A202&gt;=36526,A202,""),IFERROR(DATE(VALUE(RIGHT(RIGHT(TRIM(A202),10),4)),VALUE(MID(RIGHT(TRIM(A202),10),4,2)),VALUE(LEFT(RIGHT(TRIM(A202),10),2))),IFERROR(TODAY()-MOD(WEEKDAY(TODAY(),1)-MATCH(TRIM(A202),{"الأحد","الاثنين","الثلاثاء","الأربعاء","الخميس","الجمعة","السبت"},0),7),IFERROR(DATEVALUE(A202),"")))))</f>
        <v/>
      </c>
      <c r="H202" s="0" t="str">
        <f aca="false">IF(G202="","",INT((G202-WEEK_ONE)/7)+1)</f>
        <v/>
      </c>
      <c r="I202" s="0" t="str">
        <f aca="false">IF(H202="","",IF(OR(H202&lt;1,H202&gt;NW),"",INDEX(WMON,H202)))</f>
        <v/>
      </c>
      <c r="J202" s="0" t="str">
        <f aca="false">IF(OR(G202="",H202="",C202=""),"",IF(C202="عمر المصري",SUMIFS('ساعات عمر'!$H$5:$H$746,'ساعات عمر'!$A$5:$A$746,"&gt;="&amp;(WEEK_ONE+7*(H202-1)),'ساعات عمر'!$A$5:$A$746,"&lt;="&amp;G202),SUMIFS('ساعات عبدالعزيز'!$F$5:$F$746,'ساعات عبدالعزيز'!$A$5:$A$746,"&gt;="&amp;(WEEK_ONE+7*(H202-1)),'ساعات عبدالعزيز'!$A$5:$A$746,"&lt;="&amp;G202)))</f>
        <v/>
      </c>
    </row>
    <row r="203" customFormat="false" ht="15" hidden="false" customHeight="false" outlineLevel="0" collapsed="false">
      <c r="A203" s="43"/>
      <c r="B203" s="23" t="str">
        <f aca="false">IF(G203="","",CHOOSE(WEEKDAY(G203,1),"الأحد","الاثنين","الثلاثاء","الأربعاء","الخميس","الجمعة","السبت")&amp;IF(OR(ISNUMBER(A203),LEN(TRIM(A203))&gt;=10),"","  "&amp;TEXT(DAY(G203),"00")&amp;"/"&amp;TEXT(MONTH(G203),"00")&amp;"/"&amp;YEAR(G203)))</f>
        <v/>
      </c>
      <c r="C203" s="24"/>
      <c r="D203" s="44"/>
      <c r="E203" s="27"/>
      <c r="F203" s="45" t="str">
        <f aca="false">IF(A203="","",IF(G203="","⛔ التاريخ غلط — اختاره من القائمة أو اكتبه كامل 05/10/2026",IF(OR(H203&lt;1,H203&gt;NW),"⛔ التاريخ برّا السنة",IF(AND(N(D203)&gt;0,N(J203)&gt;0,D203&gt;ADV_CAP*J203),"⚠️ أكثر من "&amp;TEXT(ADV_CAP,"0%")&amp;" من شغله ("&amp;TEXT(J203,"0.000")&amp;")",""))))</f>
        <v/>
      </c>
      <c r="G203" s="0" t="str">
        <f aca="true">IF(A203="","",IF(ISNUMBER(A203),IF(A203&gt;=36526,A203,""),IFERROR(DATE(VALUE(RIGHT(RIGHT(TRIM(A203),10),4)),VALUE(MID(RIGHT(TRIM(A203),10),4,2)),VALUE(LEFT(RIGHT(TRIM(A203),10),2))),IFERROR(TODAY()-MOD(WEEKDAY(TODAY(),1)-MATCH(TRIM(A203),{"الأحد","الاثنين","الثلاثاء","الأربعاء","الخميس","الجمعة","السبت"},0),7),IFERROR(DATEVALUE(A203),"")))))</f>
        <v/>
      </c>
      <c r="H203" s="0" t="str">
        <f aca="false">IF(G203="","",INT((G203-WEEK_ONE)/7)+1)</f>
        <v/>
      </c>
      <c r="I203" s="0" t="str">
        <f aca="false">IF(H203="","",IF(OR(H203&lt;1,H203&gt;NW),"",INDEX(WMON,H203)))</f>
        <v/>
      </c>
      <c r="J203" s="0" t="str">
        <f aca="false">IF(OR(G203="",H203="",C203=""),"",IF(C203="عمر المصري",SUMIFS('ساعات عمر'!$H$5:$H$746,'ساعات عمر'!$A$5:$A$746,"&gt;="&amp;(WEEK_ONE+7*(H203-1)),'ساعات عمر'!$A$5:$A$746,"&lt;="&amp;G203),SUMIFS('ساعات عبدالعزيز'!$F$5:$F$746,'ساعات عبدالعزيز'!$A$5:$A$746,"&gt;="&amp;(WEEK_ONE+7*(H203-1)),'ساعات عبدالعزيز'!$A$5:$A$746,"&lt;="&amp;G203)))</f>
        <v/>
      </c>
    </row>
    <row r="204" customFormat="false" ht="15" hidden="false" customHeight="false" outlineLevel="0" collapsed="false">
      <c r="A204" s="43"/>
      <c r="B204" s="23" t="str">
        <f aca="false">IF(G204="","",CHOOSE(WEEKDAY(G204,1),"الأحد","الاثنين","الثلاثاء","الأربعاء","الخميس","الجمعة","السبت")&amp;IF(OR(ISNUMBER(A204),LEN(TRIM(A204))&gt;=10),"","  "&amp;TEXT(DAY(G204),"00")&amp;"/"&amp;TEXT(MONTH(G204),"00")&amp;"/"&amp;YEAR(G204)))</f>
        <v/>
      </c>
      <c r="C204" s="24"/>
      <c r="D204" s="44"/>
      <c r="E204" s="27"/>
      <c r="F204" s="45" t="str">
        <f aca="false">IF(A204="","",IF(G204="","⛔ التاريخ غلط — اختاره من القائمة أو اكتبه كامل 05/10/2026",IF(OR(H204&lt;1,H204&gt;NW),"⛔ التاريخ برّا السنة",IF(AND(N(D204)&gt;0,N(J204)&gt;0,D204&gt;ADV_CAP*J204),"⚠️ أكثر من "&amp;TEXT(ADV_CAP,"0%")&amp;" من شغله ("&amp;TEXT(J204,"0.000")&amp;")",""))))</f>
        <v/>
      </c>
      <c r="G204" s="0" t="str">
        <f aca="true">IF(A204="","",IF(ISNUMBER(A204),IF(A204&gt;=36526,A204,""),IFERROR(DATE(VALUE(RIGHT(RIGHT(TRIM(A204),10),4)),VALUE(MID(RIGHT(TRIM(A204),10),4,2)),VALUE(LEFT(RIGHT(TRIM(A204),10),2))),IFERROR(TODAY()-MOD(WEEKDAY(TODAY(),1)-MATCH(TRIM(A204),{"الأحد","الاثنين","الثلاثاء","الأربعاء","الخميس","الجمعة","السبت"},0),7),IFERROR(DATEVALUE(A204),"")))))</f>
        <v/>
      </c>
      <c r="H204" s="0" t="str">
        <f aca="false">IF(G204="","",INT((G204-WEEK_ONE)/7)+1)</f>
        <v/>
      </c>
      <c r="I204" s="0" t="str">
        <f aca="false">IF(H204="","",IF(OR(H204&lt;1,H204&gt;NW),"",INDEX(WMON,H204)))</f>
        <v/>
      </c>
      <c r="J204" s="0" t="str">
        <f aca="false">IF(OR(G204="",H204="",C204=""),"",IF(C204="عمر المصري",SUMIFS('ساعات عمر'!$H$5:$H$746,'ساعات عمر'!$A$5:$A$746,"&gt;="&amp;(WEEK_ONE+7*(H204-1)),'ساعات عمر'!$A$5:$A$746,"&lt;="&amp;G204),SUMIFS('ساعات عبدالعزيز'!$F$5:$F$746,'ساعات عبدالعزيز'!$A$5:$A$746,"&gt;="&amp;(WEEK_ONE+7*(H204-1)),'ساعات عبدالعزيز'!$A$5:$A$746,"&lt;="&amp;G204)))</f>
        <v/>
      </c>
    </row>
    <row r="205" customFormat="false" ht="15" hidden="false" customHeight="false" outlineLevel="0" collapsed="false">
      <c r="A205" s="43"/>
      <c r="B205" s="23" t="str">
        <f aca="false">IF(G205="","",CHOOSE(WEEKDAY(G205,1),"الأحد","الاثنين","الثلاثاء","الأربعاء","الخميس","الجمعة","السبت")&amp;IF(OR(ISNUMBER(A205),LEN(TRIM(A205))&gt;=10),"","  "&amp;TEXT(DAY(G205),"00")&amp;"/"&amp;TEXT(MONTH(G205),"00")&amp;"/"&amp;YEAR(G205)))</f>
        <v/>
      </c>
      <c r="C205" s="24"/>
      <c r="D205" s="44"/>
      <c r="E205" s="27"/>
      <c r="F205" s="45" t="str">
        <f aca="false">IF(A205="","",IF(G205="","⛔ التاريخ غلط — اختاره من القائمة أو اكتبه كامل 05/10/2026",IF(OR(H205&lt;1,H205&gt;NW),"⛔ التاريخ برّا السنة",IF(AND(N(D205)&gt;0,N(J205)&gt;0,D205&gt;ADV_CAP*J205),"⚠️ أكثر من "&amp;TEXT(ADV_CAP,"0%")&amp;" من شغله ("&amp;TEXT(J205,"0.000")&amp;")",""))))</f>
        <v/>
      </c>
      <c r="G205" s="0" t="str">
        <f aca="true">IF(A205="","",IF(ISNUMBER(A205),IF(A205&gt;=36526,A205,""),IFERROR(DATE(VALUE(RIGHT(RIGHT(TRIM(A205),10),4)),VALUE(MID(RIGHT(TRIM(A205),10),4,2)),VALUE(LEFT(RIGHT(TRIM(A205),10),2))),IFERROR(TODAY()-MOD(WEEKDAY(TODAY(),1)-MATCH(TRIM(A205),{"الأحد","الاثنين","الثلاثاء","الأربعاء","الخميس","الجمعة","السبت"},0),7),IFERROR(DATEVALUE(A205),"")))))</f>
        <v/>
      </c>
      <c r="H205" s="0" t="str">
        <f aca="false">IF(G205="","",INT((G205-WEEK_ONE)/7)+1)</f>
        <v/>
      </c>
      <c r="I205" s="0" t="str">
        <f aca="false">IF(H205="","",IF(OR(H205&lt;1,H205&gt;NW),"",INDEX(WMON,H205)))</f>
        <v/>
      </c>
      <c r="J205" s="0" t="str">
        <f aca="false">IF(OR(G205="",H205="",C205=""),"",IF(C205="عمر المصري",SUMIFS('ساعات عمر'!$H$5:$H$746,'ساعات عمر'!$A$5:$A$746,"&gt;="&amp;(WEEK_ONE+7*(H205-1)),'ساعات عمر'!$A$5:$A$746,"&lt;="&amp;G205),SUMIFS('ساعات عبدالعزيز'!$F$5:$F$746,'ساعات عبدالعزيز'!$A$5:$A$746,"&gt;="&amp;(WEEK_ONE+7*(H205-1)),'ساعات عبدالعزيز'!$A$5:$A$746,"&lt;="&amp;G205)))</f>
        <v/>
      </c>
    </row>
    <row r="206" customFormat="false" ht="15" hidden="false" customHeight="false" outlineLevel="0" collapsed="false">
      <c r="A206" s="43"/>
      <c r="B206" s="23" t="str">
        <f aca="false">IF(G206="","",CHOOSE(WEEKDAY(G206,1),"الأحد","الاثنين","الثلاثاء","الأربعاء","الخميس","الجمعة","السبت")&amp;IF(OR(ISNUMBER(A206),LEN(TRIM(A206))&gt;=10),"","  "&amp;TEXT(DAY(G206),"00")&amp;"/"&amp;TEXT(MONTH(G206),"00")&amp;"/"&amp;YEAR(G206)))</f>
        <v/>
      </c>
      <c r="C206" s="24"/>
      <c r="D206" s="44"/>
      <c r="E206" s="27"/>
      <c r="F206" s="45" t="str">
        <f aca="false">IF(A206="","",IF(G206="","⛔ التاريخ غلط — اختاره من القائمة أو اكتبه كامل 05/10/2026",IF(OR(H206&lt;1,H206&gt;NW),"⛔ التاريخ برّا السنة",IF(AND(N(D206)&gt;0,N(J206)&gt;0,D206&gt;ADV_CAP*J206),"⚠️ أكثر من "&amp;TEXT(ADV_CAP,"0%")&amp;" من شغله ("&amp;TEXT(J206,"0.000")&amp;")",""))))</f>
        <v/>
      </c>
      <c r="G206" s="0" t="str">
        <f aca="true">IF(A206="","",IF(ISNUMBER(A206),IF(A206&gt;=36526,A206,""),IFERROR(DATE(VALUE(RIGHT(RIGHT(TRIM(A206),10),4)),VALUE(MID(RIGHT(TRIM(A206),10),4,2)),VALUE(LEFT(RIGHT(TRIM(A206),10),2))),IFERROR(TODAY()-MOD(WEEKDAY(TODAY(),1)-MATCH(TRIM(A206),{"الأحد","الاثنين","الثلاثاء","الأربعاء","الخميس","الجمعة","السبت"},0),7),IFERROR(DATEVALUE(A206),"")))))</f>
        <v/>
      </c>
      <c r="H206" s="0" t="str">
        <f aca="false">IF(G206="","",INT((G206-WEEK_ONE)/7)+1)</f>
        <v/>
      </c>
      <c r="I206" s="0" t="str">
        <f aca="false">IF(H206="","",IF(OR(H206&lt;1,H206&gt;NW),"",INDEX(WMON,H206)))</f>
        <v/>
      </c>
      <c r="J206" s="0" t="str">
        <f aca="false">IF(OR(G206="",H206="",C206=""),"",IF(C206="عمر المصري",SUMIFS('ساعات عمر'!$H$5:$H$746,'ساعات عمر'!$A$5:$A$746,"&gt;="&amp;(WEEK_ONE+7*(H206-1)),'ساعات عمر'!$A$5:$A$746,"&lt;="&amp;G206),SUMIFS('ساعات عبدالعزيز'!$F$5:$F$746,'ساعات عبدالعزيز'!$A$5:$A$746,"&gt;="&amp;(WEEK_ONE+7*(H206-1)),'ساعات عبدالعزيز'!$A$5:$A$746,"&lt;="&amp;G206)))</f>
        <v/>
      </c>
    </row>
    <row r="207" customFormat="false" ht="15" hidden="false" customHeight="false" outlineLevel="0" collapsed="false">
      <c r="A207" s="43"/>
      <c r="B207" s="23" t="str">
        <f aca="false">IF(G207="","",CHOOSE(WEEKDAY(G207,1),"الأحد","الاثنين","الثلاثاء","الأربعاء","الخميس","الجمعة","السبت")&amp;IF(OR(ISNUMBER(A207),LEN(TRIM(A207))&gt;=10),"","  "&amp;TEXT(DAY(G207),"00")&amp;"/"&amp;TEXT(MONTH(G207),"00")&amp;"/"&amp;YEAR(G207)))</f>
        <v/>
      </c>
      <c r="C207" s="24"/>
      <c r="D207" s="44"/>
      <c r="E207" s="27"/>
      <c r="F207" s="45" t="str">
        <f aca="false">IF(A207="","",IF(G207="","⛔ التاريخ غلط — اختاره من القائمة أو اكتبه كامل 05/10/2026",IF(OR(H207&lt;1,H207&gt;NW),"⛔ التاريخ برّا السنة",IF(AND(N(D207)&gt;0,N(J207)&gt;0,D207&gt;ADV_CAP*J207),"⚠️ أكثر من "&amp;TEXT(ADV_CAP,"0%")&amp;" من شغله ("&amp;TEXT(J207,"0.000")&amp;")",""))))</f>
        <v/>
      </c>
      <c r="G207" s="0" t="str">
        <f aca="true">IF(A207="","",IF(ISNUMBER(A207),IF(A207&gt;=36526,A207,""),IFERROR(DATE(VALUE(RIGHT(RIGHT(TRIM(A207),10),4)),VALUE(MID(RIGHT(TRIM(A207),10),4,2)),VALUE(LEFT(RIGHT(TRIM(A207),10),2))),IFERROR(TODAY()-MOD(WEEKDAY(TODAY(),1)-MATCH(TRIM(A207),{"الأحد","الاثنين","الثلاثاء","الأربعاء","الخميس","الجمعة","السبت"},0),7),IFERROR(DATEVALUE(A207),"")))))</f>
        <v/>
      </c>
      <c r="H207" s="0" t="str">
        <f aca="false">IF(G207="","",INT((G207-WEEK_ONE)/7)+1)</f>
        <v/>
      </c>
      <c r="I207" s="0" t="str">
        <f aca="false">IF(H207="","",IF(OR(H207&lt;1,H207&gt;NW),"",INDEX(WMON,H207)))</f>
        <v/>
      </c>
      <c r="J207" s="0" t="str">
        <f aca="false">IF(OR(G207="",H207="",C207=""),"",IF(C207="عمر المصري",SUMIFS('ساعات عمر'!$H$5:$H$746,'ساعات عمر'!$A$5:$A$746,"&gt;="&amp;(WEEK_ONE+7*(H207-1)),'ساعات عمر'!$A$5:$A$746,"&lt;="&amp;G207),SUMIFS('ساعات عبدالعزيز'!$F$5:$F$746,'ساعات عبدالعزيز'!$A$5:$A$746,"&gt;="&amp;(WEEK_ONE+7*(H207-1)),'ساعات عبدالعزيز'!$A$5:$A$746,"&lt;="&amp;G207)))</f>
        <v/>
      </c>
    </row>
    <row r="208" customFormat="false" ht="15" hidden="false" customHeight="false" outlineLevel="0" collapsed="false">
      <c r="A208" s="43"/>
      <c r="B208" s="23" t="str">
        <f aca="false">IF(G208="","",CHOOSE(WEEKDAY(G208,1),"الأحد","الاثنين","الثلاثاء","الأربعاء","الخميس","الجمعة","السبت")&amp;IF(OR(ISNUMBER(A208),LEN(TRIM(A208))&gt;=10),"","  "&amp;TEXT(DAY(G208),"00")&amp;"/"&amp;TEXT(MONTH(G208),"00")&amp;"/"&amp;YEAR(G208)))</f>
        <v/>
      </c>
      <c r="C208" s="24"/>
      <c r="D208" s="44"/>
      <c r="E208" s="27"/>
      <c r="F208" s="45" t="str">
        <f aca="false">IF(A208="","",IF(G208="","⛔ التاريخ غلط — اختاره من القائمة أو اكتبه كامل 05/10/2026",IF(OR(H208&lt;1,H208&gt;NW),"⛔ التاريخ برّا السنة",IF(AND(N(D208)&gt;0,N(J208)&gt;0,D208&gt;ADV_CAP*J208),"⚠️ أكثر من "&amp;TEXT(ADV_CAP,"0%")&amp;" من شغله ("&amp;TEXT(J208,"0.000")&amp;")",""))))</f>
        <v/>
      </c>
      <c r="G208" s="0" t="str">
        <f aca="true">IF(A208="","",IF(ISNUMBER(A208),IF(A208&gt;=36526,A208,""),IFERROR(DATE(VALUE(RIGHT(RIGHT(TRIM(A208),10),4)),VALUE(MID(RIGHT(TRIM(A208),10),4,2)),VALUE(LEFT(RIGHT(TRIM(A208),10),2))),IFERROR(TODAY()-MOD(WEEKDAY(TODAY(),1)-MATCH(TRIM(A208),{"الأحد","الاثنين","الثلاثاء","الأربعاء","الخميس","الجمعة","السبت"},0),7),IFERROR(DATEVALUE(A208),"")))))</f>
        <v/>
      </c>
      <c r="H208" s="0" t="str">
        <f aca="false">IF(G208="","",INT((G208-WEEK_ONE)/7)+1)</f>
        <v/>
      </c>
      <c r="I208" s="0" t="str">
        <f aca="false">IF(H208="","",IF(OR(H208&lt;1,H208&gt;NW),"",INDEX(WMON,H208)))</f>
        <v/>
      </c>
      <c r="J208" s="0" t="str">
        <f aca="false">IF(OR(G208="",H208="",C208=""),"",IF(C208="عمر المصري",SUMIFS('ساعات عمر'!$H$5:$H$746,'ساعات عمر'!$A$5:$A$746,"&gt;="&amp;(WEEK_ONE+7*(H208-1)),'ساعات عمر'!$A$5:$A$746,"&lt;="&amp;G208),SUMIFS('ساعات عبدالعزيز'!$F$5:$F$746,'ساعات عبدالعزيز'!$A$5:$A$746,"&gt;="&amp;(WEEK_ONE+7*(H208-1)),'ساعات عبدالعزيز'!$A$5:$A$746,"&lt;="&amp;G208)))</f>
        <v/>
      </c>
    </row>
    <row r="209" customFormat="false" ht="15" hidden="false" customHeight="false" outlineLevel="0" collapsed="false">
      <c r="A209" s="43"/>
      <c r="B209" s="23" t="str">
        <f aca="false">IF(G209="","",CHOOSE(WEEKDAY(G209,1),"الأحد","الاثنين","الثلاثاء","الأربعاء","الخميس","الجمعة","السبت")&amp;IF(OR(ISNUMBER(A209),LEN(TRIM(A209))&gt;=10),"","  "&amp;TEXT(DAY(G209),"00")&amp;"/"&amp;TEXT(MONTH(G209),"00")&amp;"/"&amp;YEAR(G209)))</f>
        <v/>
      </c>
      <c r="C209" s="24"/>
      <c r="D209" s="44"/>
      <c r="E209" s="27"/>
      <c r="F209" s="45" t="str">
        <f aca="false">IF(A209="","",IF(G209="","⛔ التاريخ غلط — اختاره من القائمة أو اكتبه كامل 05/10/2026",IF(OR(H209&lt;1,H209&gt;NW),"⛔ التاريخ برّا السنة",IF(AND(N(D209)&gt;0,N(J209)&gt;0,D209&gt;ADV_CAP*J209),"⚠️ أكثر من "&amp;TEXT(ADV_CAP,"0%")&amp;" من شغله ("&amp;TEXT(J209,"0.000")&amp;")",""))))</f>
        <v/>
      </c>
      <c r="G209" s="0" t="str">
        <f aca="true">IF(A209="","",IF(ISNUMBER(A209),IF(A209&gt;=36526,A209,""),IFERROR(DATE(VALUE(RIGHT(RIGHT(TRIM(A209),10),4)),VALUE(MID(RIGHT(TRIM(A209),10),4,2)),VALUE(LEFT(RIGHT(TRIM(A209),10),2))),IFERROR(TODAY()-MOD(WEEKDAY(TODAY(),1)-MATCH(TRIM(A209),{"الأحد","الاثنين","الثلاثاء","الأربعاء","الخميس","الجمعة","السبت"},0),7),IFERROR(DATEVALUE(A209),"")))))</f>
        <v/>
      </c>
      <c r="H209" s="0" t="str">
        <f aca="false">IF(G209="","",INT((G209-WEEK_ONE)/7)+1)</f>
        <v/>
      </c>
      <c r="I209" s="0" t="str">
        <f aca="false">IF(H209="","",IF(OR(H209&lt;1,H209&gt;NW),"",INDEX(WMON,H209)))</f>
        <v/>
      </c>
      <c r="J209" s="0" t="str">
        <f aca="false">IF(OR(G209="",H209="",C209=""),"",IF(C209="عمر المصري",SUMIFS('ساعات عمر'!$H$5:$H$746,'ساعات عمر'!$A$5:$A$746,"&gt;="&amp;(WEEK_ONE+7*(H209-1)),'ساعات عمر'!$A$5:$A$746,"&lt;="&amp;G209),SUMIFS('ساعات عبدالعزيز'!$F$5:$F$746,'ساعات عبدالعزيز'!$A$5:$A$746,"&gt;="&amp;(WEEK_ONE+7*(H209-1)),'ساعات عبدالعزيز'!$A$5:$A$746,"&lt;="&amp;G209)))</f>
        <v/>
      </c>
    </row>
    <row r="210" customFormat="false" ht="15" hidden="false" customHeight="false" outlineLevel="0" collapsed="false">
      <c r="A210" s="43"/>
      <c r="B210" s="23" t="str">
        <f aca="false">IF(G210="","",CHOOSE(WEEKDAY(G210,1),"الأحد","الاثنين","الثلاثاء","الأربعاء","الخميس","الجمعة","السبت")&amp;IF(OR(ISNUMBER(A210),LEN(TRIM(A210))&gt;=10),"","  "&amp;TEXT(DAY(G210),"00")&amp;"/"&amp;TEXT(MONTH(G210),"00")&amp;"/"&amp;YEAR(G210)))</f>
        <v/>
      </c>
      <c r="C210" s="24"/>
      <c r="D210" s="44"/>
      <c r="E210" s="27"/>
      <c r="F210" s="45" t="str">
        <f aca="false">IF(A210="","",IF(G210="","⛔ التاريخ غلط — اختاره من القائمة أو اكتبه كامل 05/10/2026",IF(OR(H210&lt;1,H210&gt;NW),"⛔ التاريخ برّا السنة",IF(AND(N(D210)&gt;0,N(J210)&gt;0,D210&gt;ADV_CAP*J210),"⚠️ أكثر من "&amp;TEXT(ADV_CAP,"0%")&amp;" من شغله ("&amp;TEXT(J210,"0.000")&amp;")",""))))</f>
        <v/>
      </c>
      <c r="G210" s="0" t="str">
        <f aca="true">IF(A210="","",IF(ISNUMBER(A210),IF(A210&gt;=36526,A210,""),IFERROR(DATE(VALUE(RIGHT(RIGHT(TRIM(A210),10),4)),VALUE(MID(RIGHT(TRIM(A210),10),4,2)),VALUE(LEFT(RIGHT(TRIM(A210),10),2))),IFERROR(TODAY()-MOD(WEEKDAY(TODAY(),1)-MATCH(TRIM(A210),{"الأحد","الاثنين","الثلاثاء","الأربعاء","الخميس","الجمعة","السبت"},0),7),IFERROR(DATEVALUE(A210),"")))))</f>
        <v/>
      </c>
      <c r="H210" s="0" t="str">
        <f aca="false">IF(G210="","",INT((G210-WEEK_ONE)/7)+1)</f>
        <v/>
      </c>
      <c r="I210" s="0" t="str">
        <f aca="false">IF(H210="","",IF(OR(H210&lt;1,H210&gt;NW),"",INDEX(WMON,H210)))</f>
        <v/>
      </c>
      <c r="J210" s="0" t="str">
        <f aca="false">IF(OR(G210="",H210="",C210=""),"",IF(C210="عمر المصري",SUMIFS('ساعات عمر'!$H$5:$H$746,'ساعات عمر'!$A$5:$A$746,"&gt;="&amp;(WEEK_ONE+7*(H210-1)),'ساعات عمر'!$A$5:$A$746,"&lt;="&amp;G210),SUMIFS('ساعات عبدالعزيز'!$F$5:$F$746,'ساعات عبدالعزيز'!$A$5:$A$746,"&gt;="&amp;(WEEK_ONE+7*(H210-1)),'ساعات عبدالعزيز'!$A$5:$A$746,"&lt;="&amp;G210)))</f>
        <v/>
      </c>
    </row>
    <row r="211" customFormat="false" ht="15" hidden="false" customHeight="false" outlineLevel="0" collapsed="false">
      <c r="A211" s="43"/>
      <c r="B211" s="23" t="str">
        <f aca="false">IF(G211="","",CHOOSE(WEEKDAY(G211,1),"الأحد","الاثنين","الثلاثاء","الأربعاء","الخميس","الجمعة","السبت")&amp;IF(OR(ISNUMBER(A211),LEN(TRIM(A211))&gt;=10),"","  "&amp;TEXT(DAY(G211),"00")&amp;"/"&amp;TEXT(MONTH(G211),"00")&amp;"/"&amp;YEAR(G211)))</f>
        <v/>
      </c>
      <c r="C211" s="24"/>
      <c r="D211" s="44"/>
      <c r="E211" s="27"/>
      <c r="F211" s="45" t="str">
        <f aca="false">IF(A211="","",IF(G211="","⛔ التاريخ غلط — اختاره من القائمة أو اكتبه كامل 05/10/2026",IF(OR(H211&lt;1,H211&gt;NW),"⛔ التاريخ برّا السنة",IF(AND(N(D211)&gt;0,N(J211)&gt;0,D211&gt;ADV_CAP*J211),"⚠️ أكثر من "&amp;TEXT(ADV_CAP,"0%")&amp;" من شغله ("&amp;TEXT(J211,"0.000")&amp;")",""))))</f>
        <v/>
      </c>
      <c r="G211" s="0" t="str">
        <f aca="true">IF(A211="","",IF(ISNUMBER(A211),IF(A211&gt;=36526,A211,""),IFERROR(DATE(VALUE(RIGHT(RIGHT(TRIM(A211),10),4)),VALUE(MID(RIGHT(TRIM(A211),10),4,2)),VALUE(LEFT(RIGHT(TRIM(A211),10),2))),IFERROR(TODAY()-MOD(WEEKDAY(TODAY(),1)-MATCH(TRIM(A211),{"الأحد","الاثنين","الثلاثاء","الأربعاء","الخميس","الجمعة","السبت"},0),7),IFERROR(DATEVALUE(A211),"")))))</f>
        <v/>
      </c>
      <c r="H211" s="0" t="str">
        <f aca="false">IF(G211="","",INT((G211-WEEK_ONE)/7)+1)</f>
        <v/>
      </c>
      <c r="I211" s="0" t="str">
        <f aca="false">IF(H211="","",IF(OR(H211&lt;1,H211&gt;NW),"",INDEX(WMON,H211)))</f>
        <v/>
      </c>
      <c r="J211" s="0" t="str">
        <f aca="false">IF(OR(G211="",H211="",C211=""),"",IF(C211="عمر المصري",SUMIFS('ساعات عمر'!$H$5:$H$746,'ساعات عمر'!$A$5:$A$746,"&gt;="&amp;(WEEK_ONE+7*(H211-1)),'ساعات عمر'!$A$5:$A$746,"&lt;="&amp;G211),SUMIFS('ساعات عبدالعزيز'!$F$5:$F$746,'ساعات عبدالعزيز'!$A$5:$A$746,"&gt;="&amp;(WEEK_ONE+7*(H211-1)),'ساعات عبدالعزيز'!$A$5:$A$746,"&lt;="&amp;G211)))</f>
        <v/>
      </c>
    </row>
    <row r="212" customFormat="false" ht="15" hidden="false" customHeight="false" outlineLevel="0" collapsed="false">
      <c r="A212" s="43"/>
      <c r="B212" s="23" t="str">
        <f aca="false">IF(G212="","",CHOOSE(WEEKDAY(G212,1),"الأحد","الاثنين","الثلاثاء","الأربعاء","الخميس","الجمعة","السبت")&amp;IF(OR(ISNUMBER(A212),LEN(TRIM(A212))&gt;=10),"","  "&amp;TEXT(DAY(G212),"00")&amp;"/"&amp;TEXT(MONTH(G212),"00")&amp;"/"&amp;YEAR(G212)))</f>
        <v/>
      </c>
      <c r="C212" s="24"/>
      <c r="D212" s="44"/>
      <c r="E212" s="27"/>
      <c r="F212" s="45" t="str">
        <f aca="false">IF(A212="","",IF(G212="","⛔ التاريخ غلط — اختاره من القائمة أو اكتبه كامل 05/10/2026",IF(OR(H212&lt;1,H212&gt;NW),"⛔ التاريخ برّا السنة",IF(AND(N(D212)&gt;0,N(J212)&gt;0,D212&gt;ADV_CAP*J212),"⚠️ أكثر من "&amp;TEXT(ADV_CAP,"0%")&amp;" من شغله ("&amp;TEXT(J212,"0.000")&amp;")",""))))</f>
        <v/>
      </c>
      <c r="G212" s="0" t="str">
        <f aca="true">IF(A212="","",IF(ISNUMBER(A212),IF(A212&gt;=36526,A212,""),IFERROR(DATE(VALUE(RIGHT(RIGHT(TRIM(A212),10),4)),VALUE(MID(RIGHT(TRIM(A212),10),4,2)),VALUE(LEFT(RIGHT(TRIM(A212),10),2))),IFERROR(TODAY()-MOD(WEEKDAY(TODAY(),1)-MATCH(TRIM(A212),{"الأحد","الاثنين","الثلاثاء","الأربعاء","الخميس","الجمعة","السبت"},0),7),IFERROR(DATEVALUE(A212),"")))))</f>
        <v/>
      </c>
      <c r="H212" s="0" t="str">
        <f aca="false">IF(G212="","",INT((G212-WEEK_ONE)/7)+1)</f>
        <v/>
      </c>
      <c r="I212" s="0" t="str">
        <f aca="false">IF(H212="","",IF(OR(H212&lt;1,H212&gt;NW),"",INDEX(WMON,H212)))</f>
        <v/>
      </c>
      <c r="J212" s="0" t="str">
        <f aca="false">IF(OR(G212="",H212="",C212=""),"",IF(C212="عمر المصري",SUMIFS('ساعات عمر'!$H$5:$H$746,'ساعات عمر'!$A$5:$A$746,"&gt;="&amp;(WEEK_ONE+7*(H212-1)),'ساعات عمر'!$A$5:$A$746,"&lt;="&amp;G212),SUMIFS('ساعات عبدالعزيز'!$F$5:$F$746,'ساعات عبدالعزيز'!$A$5:$A$746,"&gt;="&amp;(WEEK_ONE+7*(H212-1)),'ساعات عبدالعزيز'!$A$5:$A$746,"&lt;="&amp;G212)))</f>
        <v/>
      </c>
    </row>
    <row r="213" customFormat="false" ht="15" hidden="false" customHeight="false" outlineLevel="0" collapsed="false">
      <c r="A213" s="43"/>
      <c r="B213" s="23" t="str">
        <f aca="false">IF(G213="","",CHOOSE(WEEKDAY(G213,1),"الأحد","الاثنين","الثلاثاء","الأربعاء","الخميس","الجمعة","السبت")&amp;IF(OR(ISNUMBER(A213),LEN(TRIM(A213))&gt;=10),"","  "&amp;TEXT(DAY(G213),"00")&amp;"/"&amp;TEXT(MONTH(G213),"00")&amp;"/"&amp;YEAR(G213)))</f>
        <v/>
      </c>
      <c r="C213" s="24"/>
      <c r="D213" s="44"/>
      <c r="E213" s="27"/>
      <c r="F213" s="45" t="str">
        <f aca="false">IF(A213="","",IF(G213="","⛔ التاريخ غلط — اختاره من القائمة أو اكتبه كامل 05/10/2026",IF(OR(H213&lt;1,H213&gt;NW),"⛔ التاريخ برّا السنة",IF(AND(N(D213)&gt;0,N(J213)&gt;0,D213&gt;ADV_CAP*J213),"⚠️ أكثر من "&amp;TEXT(ADV_CAP,"0%")&amp;" من شغله ("&amp;TEXT(J213,"0.000")&amp;")",""))))</f>
        <v/>
      </c>
      <c r="G213" s="0" t="str">
        <f aca="true">IF(A213="","",IF(ISNUMBER(A213),IF(A213&gt;=36526,A213,""),IFERROR(DATE(VALUE(RIGHT(RIGHT(TRIM(A213),10),4)),VALUE(MID(RIGHT(TRIM(A213),10),4,2)),VALUE(LEFT(RIGHT(TRIM(A213),10),2))),IFERROR(TODAY()-MOD(WEEKDAY(TODAY(),1)-MATCH(TRIM(A213),{"الأحد","الاثنين","الثلاثاء","الأربعاء","الخميس","الجمعة","السبت"},0),7),IFERROR(DATEVALUE(A213),"")))))</f>
        <v/>
      </c>
      <c r="H213" s="0" t="str">
        <f aca="false">IF(G213="","",INT((G213-WEEK_ONE)/7)+1)</f>
        <v/>
      </c>
      <c r="I213" s="0" t="str">
        <f aca="false">IF(H213="","",IF(OR(H213&lt;1,H213&gt;NW),"",INDEX(WMON,H213)))</f>
        <v/>
      </c>
      <c r="J213" s="0" t="str">
        <f aca="false">IF(OR(G213="",H213="",C213=""),"",IF(C213="عمر المصري",SUMIFS('ساعات عمر'!$H$5:$H$746,'ساعات عمر'!$A$5:$A$746,"&gt;="&amp;(WEEK_ONE+7*(H213-1)),'ساعات عمر'!$A$5:$A$746,"&lt;="&amp;G213),SUMIFS('ساعات عبدالعزيز'!$F$5:$F$746,'ساعات عبدالعزيز'!$A$5:$A$746,"&gt;="&amp;(WEEK_ONE+7*(H213-1)),'ساعات عبدالعزيز'!$A$5:$A$746,"&lt;="&amp;G213)))</f>
        <v/>
      </c>
    </row>
    <row r="214" customFormat="false" ht="15" hidden="false" customHeight="false" outlineLevel="0" collapsed="false">
      <c r="A214" s="43"/>
      <c r="B214" s="23" t="str">
        <f aca="false">IF(G214="","",CHOOSE(WEEKDAY(G214,1),"الأحد","الاثنين","الثلاثاء","الأربعاء","الخميس","الجمعة","السبت")&amp;IF(OR(ISNUMBER(A214),LEN(TRIM(A214))&gt;=10),"","  "&amp;TEXT(DAY(G214),"00")&amp;"/"&amp;TEXT(MONTH(G214),"00")&amp;"/"&amp;YEAR(G214)))</f>
        <v/>
      </c>
      <c r="C214" s="24"/>
      <c r="D214" s="44"/>
      <c r="E214" s="27"/>
      <c r="F214" s="45" t="str">
        <f aca="false">IF(A214="","",IF(G214="","⛔ التاريخ غلط — اختاره من القائمة أو اكتبه كامل 05/10/2026",IF(OR(H214&lt;1,H214&gt;NW),"⛔ التاريخ برّا السنة",IF(AND(N(D214)&gt;0,N(J214)&gt;0,D214&gt;ADV_CAP*J214),"⚠️ أكثر من "&amp;TEXT(ADV_CAP,"0%")&amp;" من شغله ("&amp;TEXT(J214,"0.000")&amp;")",""))))</f>
        <v/>
      </c>
      <c r="G214" s="0" t="str">
        <f aca="true">IF(A214="","",IF(ISNUMBER(A214),IF(A214&gt;=36526,A214,""),IFERROR(DATE(VALUE(RIGHT(RIGHT(TRIM(A214),10),4)),VALUE(MID(RIGHT(TRIM(A214),10),4,2)),VALUE(LEFT(RIGHT(TRIM(A214),10),2))),IFERROR(TODAY()-MOD(WEEKDAY(TODAY(),1)-MATCH(TRIM(A214),{"الأحد","الاثنين","الثلاثاء","الأربعاء","الخميس","الجمعة","السبت"},0),7),IFERROR(DATEVALUE(A214),"")))))</f>
        <v/>
      </c>
      <c r="H214" s="0" t="str">
        <f aca="false">IF(G214="","",INT((G214-WEEK_ONE)/7)+1)</f>
        <v/>
      </c>
      <c r="I214" s="0" t="str">
        <f aca="false">IF(H214="","",IF(OR(H214&lt;1,H214&gt;NW),"",INDEX(WMON,H214)))</f>
        <v/>
      </c>
      <c r="J214" s="0" t="str">
        <f aca="false">IF(OR(G214="",H214="",C214=""),"",IF(C214="عمر المصري",SUMIFS('ساعات عمر'!$H$5:$H$746,'ساعات عمر'!$A$5:$A$746,"&gt;="&amp;(WEEK_ONE+7*(H214-1)),'ساعات عمر'!$A$5:$A$746,"&lt;="&amp;G214),SUMIFS('ساعات عبدالعزيز'!$F$5:$F$746,'ساعات عبدالعزيز'!$A$5:$A$746,"&gt;="&amp;(WEEK_ONE+7*(H214-1)),'ساعات عبدالعزيز'!$A$5:$A$746,"&lt;="&amp;G214)))</f>
        <v/>
      </c>
    </row>
    <row r="215" customFormat="false" ht="15" hidden="false" customHeight="false" outlineLevel="0" collapsed="false">
      <c r="A215" s="43"/>
      <c r="B215" s="23" t="str">
        <f aca="false">IF(G215="","",CHOOSE(WEEKDAY(G215,1),"الأحد","الاثنين","الثلاثاء","الأربعاء","الخميس","الجمعة","السبت")&amp;IF(OR(ISNUMBER(A215),LEN(TRIM(A215))&gt;=10),"","  "&amp;TEXT(DAY(G215),"00")&amp;"/"&amp;TEXT(MONTH(G215),"00")&amp;"/"&amp;YEAR(G215)))</f>
        <v/>
      </c>
      <c r="C215" s="24"/>
      <c r="D215" s="44"/>
      <c r="E215" s="27"/>
      <c r="F215" s="45" t="str">
        <f aca="false">IF(A215="","",IF(G215="","⛔ التاريخ غلط — اختاره من القائمة أو اكتبه كامل 05/10/2026",IF(OR(H215&lt;1,H215&gt;NW),"⛔ التاريخ برّا السنة",IF(AND(N(D215)&gt;0,N(J215)&gt;0,D215&gt;ADV_CAP*J215),"⚠️ أكثر من "&amp;TEXT(ADV_CAP,"0%")&amp;" من شغله ("&amp;TEXT(J215,"0.000")&amp;")",""))))</f>
        <v/>
      </c>
      <c r="G215" s="0" t="str">
        <f aca="true">IF(A215="","",IF(ISNUMBER(A215),IF(A215&gt;=36526,A215,""),IFERROR(DATE(VALUE(RIGHT(RIGHT(TRIM(A215),10),4)),VALUE(MID(RIGHT(TRIM(A215),10),4,2)),VALUE(LEFT(RIGHT(TRIM(A215),10),2))),IFERROR(TODAY()-MOD(WEEKDAY(TODAY(),1)-MATCH(TRIM(A215),{"الأحد","الاثنين","الثلاثاء","الأربعاء","الخميس","الجمعة","السبت"},0),7),IFERROR(DATEVALUE(A215),"")))))</f>
        <v/>
      </c>
      <c r="H215" s="0" t="str">
        <f aca="false">IF(G215="","",INT((G215-WEEK_ONE)/7)+1)</f>
        <v/>
      </c>
      <c r="I215" s="0" t="str">
        <f aca="false">IF(H215="","",IF(OR(H215&lt;1,H215&gt;NW),"",INDEX(WMON,H215)))</f>
        <v/>
      </c>
      <c r="J215" s="0" t="str">
        <f aca="false">IF(OR(G215="",H215="",C215=""),"",IF(C215="عمر المصري",SUMIFS('ساعات عمر'!$H$5:$H$746,'ساعات عمر'!$A$5:$A$746,"&gt;="&amp;(WEEK_ONE+7*(H215-1)),'ساعات عمر'!$A$5:$A$746,"&lt;="&amp;G215),SUMIFS('ساعات عبدالعزيز'!$F$5:$F$746,'ساعات عبدالعزيز'!$A$5:$A$746,"&gt;="&amp;(WEEK_ONE+7*(H215-1)),'ساعات عبدالعزيز'!$A$5:$A$746,"&lt;="&amp;G215)))</f>
        <v/>
      </c>
    </row>
    <row r="216" customFormat="false" ht="15" hidden="false" customHeight="false" outlineLevel="0" collapsed="false">
      <c r="A216" s="43"/>
      <c r="B216" s="23" t="str">
        <f aca="false">IF(G216="","",CHOOSE(WEEKDAY(G216,1),"الأحد","الاثنين","الثلاثاء","الأربعاء","الخميس","الجمعة","السبت")&amp;IF(OR(ISNUMBER(A216),LEN(TRIM(A216))&gt;=10),"","  "&amp;TEXT(DAY(G216),"00")&amp;"/"&amp;TEXT(MONTH(G216),"00")&amp;"/"&amp;YEAR(G216)))</f>
        <v/>
      </c>
      <c r="C216" s="24"/>
      <c r="D216" s="44"/>
      <c r="E216" s="27"/>
      <c r="F216" s="45" t="str">
        <f aca="false">IF(A216="","",IF(G216="","⛔ التاريخ غلط — اختاره من القائمة أو اكتبه كامل 05/10/2026",IF(OR(H216&lt;1,H216&gt;NW),"⛔ التاريخ برّا السنة",IF(AND(N(D216)&gt;0,N(J216)&gt;0,D216&gt;ADV_CAP*J216),"⚠️ أكثر من "&amp;TEXT(ADV_CAP,"0%")&amp;" من شغله ("&amp;TEXT(J216,"0.000")&amp;")",""))))</f>
        <v/>
      </c>
      <c r="G216" s="0" t="str">
        <f aca="true">IF(A216="","",IF(ISNUMBER(A216),IF(A216&gt;=36526,A216,""),IFERROR(DATE(VALUE(RIGHT(RIGHT(TRIM(A216),10),4)),VALUE(MID(RIGHT(TRIM(A216),10),4,2)),VALUE(LEFT(RIGHT(TRIM(A216),10),2))),IFERROR(TODAY()-MOD(WEEKDAY(TODAY(),1)-MATCH(TRIM(A216),{"الأحد","الاثنين","الثلاثاء","الأربعاء","الخميس","الجمعة","السبت"},0),7),IFERROR(DATEVALUE(A216),"")))))</f>
        <v/>
      </c>
      <c r="H216" s="0" t="str">
        <f aca="false">IF(G216="","",INT((G216-WEEK_ONE)/7)+1)</f>
        <v/>
      </c>
      <c r="I216" s="0" t="str">
        <f aca="false">IF(H216="","",IF(OR(H216&lt;1,H216&gt;NW),"",INDEX(WMON,H216)))</f>
        <v/>
      </c>
      <c r="J216" s="0" t="str">
        <f aca="false">IF(OR(G216="",H216="",C216=""),"",IF(C216="عمر المصري",SUMIFS('ساعات عمر'!$H$5:$H$746,'ساعات عمر'!$A$5:$A$746,"&gt;="&amp;(WEEK_ONE+7*(H216-1)),'ساعات عمر'!$A$5:$A$746,"&lt;="&amp;G216),SUMIFS('ساعات عبدالعزيز'!$F$5:$F$746,'ساعات عبدالعزيز'!$A$5:$A$746,"&gt;="&amp;(WEEK_ONE+7*(H216-1)),'ساعات عبدالعزيز'!$A$5:$A$746,"&lt;="&amp;G216)))</f>
        <v/>
      </c>
    </row>
    <row r="217" customFormat="false" ht="15" hidden="false" customHeight="false" outlineLevel="0" collapsed="false">
      <c r="A217" s="43"/>
      <c r="B217" s="23" t="str">
        <f aca="false">IF(G217="","",CHOOSE(WEEKDAY(G217,1),"الأحد","الاثنين","الثلاثاء","الأربعاء","الخميس","الجمعة","السبت")&amp;IF(OR(ISNUMBER(A217),LEN(TRIM(A217))&gt;=10),"","  "&amp;TEXT(DAY(G217),"00")&amp;"/"&amp;TEXT(MONTH(G217),"00")&amp;"/"&amp;YEAR(G217)))</f>
        <v/>
      </c>
      <c r="C217" s="24"/>
      <c r="D217" s="44"/>
      <c r="E217" s="27"/>
      <c r="F217" s="45" t="str">
        <f aca="false">IF(A217="","",IF(G217="","⛔ التاريخ غلط — اختاره من القائمة أو اكتبه كامل 05/10/2026",IF(OR(H217&lt;1,H217&gt;NW),"⛔ التاريخ برّا السنة",IF(AND(N(D217)&gt;0,N(J217)&gt;0,D217&gt;ADV_CAP*J217),"⚠️ أكثر من "&amp;TEXT(ADV_CAP,"0%")&amp;" من شغله ("&amp;TEXT(J217,"0.000")&amp;")",""))))</f>
        <v/>
      </c>
      <c r="G217" s="0" t="str">
        <f aca="true">IF(A217="","",IF(ISNUMBER(A217),IF(A217&gt;=36526,A217,""),IFERROR(DATE(VALUE(RIGHT(RIGHT(TRIM(A217),10),4)),VALUE(MID(RIGHT(TRIM(A217),10),4,2)),VALUE(LEFT(RIGHT(TRIM(A217),10),2))),IFERROR(TODAY()-MOD(WEEKDAY(TODAY(),1)-MATCH(TRIM(A217),{"الأحد","الاثنين","الثلاثاء","الأربعاء","الخميس","الجمعة","السبت"},0),7),IFERROR(DATEVALUE(A217),"")))))</f>
        <v/>
      </c>
      <c r="H217" s="0" t="str">
        <f aca="false">IF(G217="","",INT((G217-WEEK_ONE)/7)+1)</f>
        <v/>
      </c>
      <c r="I217" s="0" t="str">
        <f aca="false">IF(H217="","",IF(OR(H217&lt;1,H217&gt;NW),"",INDEX(WMON,H217)))</f>
        <v/>
      </c>
      <c r="J217" s="0" t="str">
        <f aca="false">IF(OR(G217="",H217="",C217=""),"",IF(C217="عمر المصري",SUMIFS('ساعات عمر'!$H$5:$H$746,'ساعات عمر'!$A$5:$A$746,"&gt;="&amp;(WEEK_ONE+7*(H217-1)),'ساعات عمر'!$A$5:$A$746,"&lt;="&amp;G217),SUMIFS('ساعات عبدالعزيز'!$F$5:$F$746,'ساعات عبدالعزيز'!$A$5:$A$746,"&gt;="&amp;(WEEK_ONE+7*(H217-1)),'ساعات عبدالعزيز'!$A$5:$A$746,"&lt;="&amp;G217)))</f>
        <v/>
      </c>
    </row>
    <row r="218" customFormat="false" ht="15" hidden="false" customHeight="false" outlineLevel="0" collapsed="false">
      <c r="A218" s="43"/>
      <c r="B218" s="23" t="str">
        <f aca="false">IF(G218="","",CHOOSE(WEEKDAY(G218,1),"الأحد","الاثنين","الثلاثاء","الأربعاء","الخميس","الجمعة","السبت")&amp;IF(OR(ISNUMBER(A218),LEN(TRIM(A218))&gt;=10),"","  "&amp;TEXT(DAY(G218),"00")&amp;"/"&amp;TEXT(MONTH(G218),"00")&amp;"/"&amp;YEAR(G218)))</f>
        <v/>
      </c>
      <c r="C218" s="24"/>
      <c r="D218" s="44"/>
      <c r="E218" s="27"/>
      <c r="F218" s="45" t="str">
        <f aca="false">IF(A218="","",IF(G218="","⛔ التاريخ غلط — اختاره من القائمة أو اكتبه كامل 05/10/2026",IF(OR(H218&lt;1,H218&gt;NW),"⛔ التاريخ برّا السنة",IF(AND(N(D218)&gt;0,N(J218)&gt;0,D218&gt;ADV_CAP*J218),"⚠️ أكثر من "&amp;TEXT(ADV_CAP,"0%")&amp;" من شغله ("&amp;TEXT(J218,"0.000")&amp;")",""))))</f>
        <v/>
      </c>
      <c r="G218" s="0" t="str">
        <f aca="true">IF(A218="","",IF(ISNUMBER(A218),IF(A218&gt;=36526,A218,""),IFERROR(DATE(VALUE(RIGHT(RIGHT(TRIM(A218),10),4)),VALUE(MID(RIGHT(TRIM(A218),10),4,2)),VALUE(LEFT(RIGHT(TRIM(A218),10),2))),IFERROR(TODAY()-MOD(WEEKDAY(TODAY(),1)-MATCH(TRIM(A218),{"الأحد","الاثنين","الثلاثاء","الأربعاء","الخميس","الجمعة","السبت"},0),7),IFERROR(DATEVALUE(A218),"")))))</f>
        <v/>
      </c>
      <c r="H218" s="0" t="str">
        <f aca="false">IF(G218="","",INT((G218-WEEK_ONE)/7)+1)</f>
        <v/>
      </c>
      <c r="I218" s="0" t="str">
        <f aca="false">IF(H218="","",IF(OR(H218&lt;1,H218&gt;NW),"",INDEX(WMON,H218)))</f>
        <v/>
      </c>
      <c r="J218" s="0" t="str">
        <f aca="false">IF(OR(G218="",H218="",C218=""),"",IF(C218="عمر المصري",SUMIFS('ساعات عمر'!$H$5:$H$746,'ساعات عمر'!$A$5:$A$746,"&gt;="&amp;(WEEK_ONE+7*(H218-1)),'ساعات عمر'!$A$5:$A$746,"&lt;="&amp;G218),SUMIFS('ساعات عبدالعزيز'!$F$5:$F$746,'ساعات عبدالعزيز'!$A$5:$A$746,"&gt;="&amp;(WEEK_ONE+7*(H218-1)),'ساعات عبدالعزيز'!$A$5:$A$746,"&lt;="&amp;G218)))</f>
        <v/>
      </c>
    </row>
    <row r="219" customFormat="false" ht="15" hidden="false" customHeight="false" outlineLevel="0" collapsed="false">
      <c r="A219" s="43"/>
      <c r="B219" s="23" t="str">
        <f aca="false">IF(G219="","",CHOOSE(WEEKDAY(G219,1),"الأحد","الاثنين","الثلاثاء","الأربعاء","الخميس","الجمعة","السبت")&amp;IF(OR(ISNUMBER(A219),LEN(TRIM(A219))&gt;=10),"","  "&amp;TEXT(DAY(G219),"00")&amp;"/"&amp;TEXT(MONTH(G219),"00")&amp;"/"&amp;YEAR(G219)))</f>
        <v/>
      </c>
      <c r="C219" s="24"/>
      <c r="D219" s="44"/>
      <c r="E219" s="27"/>
      <c r="F219" s="45" t="str">
        <f aca="false">IF(A219="","",IF(G219="","⛔ التاريخ غلط — اختاره من القائمة أو اكتبه كامل 05/10/2026",IF(OR(H219&lt;1,H219&gt;NW),"⛔ التاريخ برّا السنة",IF(AND(N(D219)&gt;0,N(J219)&gt;0,D219&gt;ADV_CAP*J219),"⚠️ أكثر من "&amp;TEXT(ADV_CAP,"0%")&amp;" من شغله ("&amp;TEXT(J219,"0.000")&amp;")",""))))</f>
        <v/>
      </c>
      <c r="G219" s="0" t="str">
        <f aca="true">IF(A219="","",IF(ISNUMBER(A219),IF(A219&gt;=36526,A219,""),IFERROR(DATE(VALUE(RIGHT(RIGHT(TRIM(A219),10),4)),VALUE(MID(RIGHT(TRIM(A219),10),4,2)),VALUE(LEFT(RIGHT(TRIM(A219),10),2))),IFERROR(TODAY()-MOD(WEEKDAY(TODAY(),1)-MATCH(TRIM(A219),{"الأحد","الاثنين","الثلاثاء","الأربعاء","الخميس","الجمعة","السبت"},0),7),IFERROR(DATEVALUE(A219),"")))))</f>
        <v/>
      </c>
      <c r="H219" s="0" t="str">
        <f aca="false">IF(G219="","",INT((G219-WEEK_ONE)/7)+1)</f>
        <v/>
      </c>
      <c r="I219" s="0" t="str">
        <f aca="false">IF(H219="","",IF(OR(H219&lt;1,H219&gt;NW),"",INDEX(WMON,H219)))</f>
        <v/>
      </c>
      <c r="J219" s="0" t="str">
        <f aca="false">IF(OR(G219="",H219="",C219=""),"",IF(C219="عمر المصري",SUMIFS('ساعات عمر'!$H$5:$H$746,'ساعات عمر'!$A$5:$A$746,"&gt;="&amp;(WEEK_ONE+7*(H219-1)),'ساعات عمر'!$A$5:$A$746,"&lt;="&amp;G219),SUMIFS('ساعات عبدالعزيز'!$F$5:$F$746,'ساعات عبدالعزيز'!$A$5:$A$746,"&gt;="&amp;(WEEK_ONE+7*(H219-1)),'ساعات عبدالعزيز'!$A$5:$A$746,"&lt;="&amp;G219)))</f>
        <v/>
      </c>
    </row>
    <row r="220" customFormat="false" ht="15" hidden="false" customHeight="false" outlineLevel="0" collapsed="false">
      <c r="A220" s="43"/>
      <c r="B220" s="23" t="str">
        <f aca="false">IF(G220="","",CHOOSE(WEEKDAY(G220,1),"الأحد","الاثنين","الثلاثاء","الأربعاء","الخميس","الجمعة","السبت")&amp;IF(OR(ISNUMBER(A220),LEN(TRIM(A220))&gt;=10),"","  "&amp;TEXT(DAY(G220),"00")&amp;"/"&amp;TEXT(MONTH(G220),"00")&amp;"/"&amp;YEAR(G220)))</f>
        <v/>
      </c>
      <c r="C220" s="24"/>
      <c r="D220" s="44"/>
      <c r="E220" s="27"/>
      <c r="F220" s="45" t="str">
        <f aca="false">IF(A220="","",IF(G220="","⛔ التاريخ غلط — اختاره من القائمة أو اكتبه كامل 05/10/2026",IF(OR(H220&lt;1,H220&gt;NW),"⛔ التاريخ برّا السنة",IF(AND(N(D220)&gt;0,N(J220)&gt;0,D220&gt;ADV_CAP*J220),"⚠️ أكثر من "&amp;TEXT(ADV_CAP,"0%")&amp;" من شغله ("&amp;TEXT(J220,"0.000")&amp;")",""))))</f>
        <v/>
      </c>
      <c r="G220" s="0" t="str">
        <f aca="true">IF(A220="","",IF(ISNUMBER(A220),IF(A220&gt;=36526,A220,""),IFERROR(DATE(VALUE(RIGHT(RIGHT(TRIM(A220),10),4)),VALUE(MID(RIGHT(TRIM(A220),10),4,2)),VALUE(LEFT(RIGHT(TRIM(A220),10),2))),IFERROR(TODAY()-MOD(WEEKDAY(TODAY(),1)-MATCH(TRIM(A220),{"الأحد","الاثنين","الثلاثاء","الأربعاء","الخميس","الجمعة","السبت"},0),7),IFERROR(DATEVALUE(A220),"")))))</f>
        <v/>
      </c>
      <c r="H220" s="0" t="str">
        <f aca="false">IF(G220="","",INT((G220-WEEK_ONE)/7)+1)</f>
        <v/>
      </c>
      <c r="I220" s="0" t="str">
        <f aca="false">IF(H220="","",IF(OR(H220&lt;1,H220&gt;NW),"",INDEX(WMON,H220)))</f>
        <v/>
      </c>
      <c r="J220" s="0" t="str">
        <f aca="false">IF(OR(G220="",H220="",C220=""),"",IF(C220="عمر المصري",SUMIFS('ساعات عمر'!$H$5:$H$746,'ساعات عمر'!$A$5:$A$746,"&gt;="&amp;(WEEK_ONE+7*(H220-1)),'ساعات عمر'!$A$5:$A$746,"&lt;="&amp;G220),SUMIFS('ساعات عبدالعزيز'!$F$5:$F$746,'ساعات عبدالعزيز'!$A$5:$A$746,"&gt;="&amp;(WEEK_ONE+7*(H220-1)),'ساعات عبدالعزيز'!$A$5:$A$746,"&lt;="&amp;G220)))</f>
        <v/>
      </c>
    </row>
    <row r="221" customFormat="false" ht="15" hidden="false" customHeight="false" outlineLevel="0" collapsed="false">
      <c r="A221" s="43"/>
      <c r="B221" s="23" t="str">
        <f aca="false">IF(G221="","",CHOOSE(WEEKDAY(G221,1),"الأحد","الاثنين","الثلاثاء","الأربعاء","الخميس","الجمعة","السبت")&amp;IF(OR(ISNUMBER(A221),LEN(TRIM(A221))&gt;=10),"","  "&amp;TEXT(DAY(G221),"00")&amp;"/"&amp;TEXT(MONTH(G221),"00")&amp;"/"&amp;YEAR(G221)))</f>
        <v/>
      </c>
      <c r="C221" s="24"/>
      <c r="D221" s="44"/>
      <c r="E221" s="27"/>
      <c r="F221" s="45" t="str">
        <f aca="false">IF(A221="","",IF(G221="","⛔ التاريخ غلط — اختاره من القائمة أو اكتبه كامل 05/10/2026",IF(OR(H221&lt;1,H221&gt;NW),"⛔ التاريخ برّا السنة",IF(AND(N(D221)&gt;0,N(J221)&gt;0,D221&gt;ADV_CAP*J221),"⚠️ أكثر من "&amp;TEXT(ADV_CAP,"0%")&amp;" من شغله ("&amp;TEXT(J221,"0.000")&amp;")",""))))</f>
        <v/>
      </c>
      <c r="G221" s="0" t="str">
        <f aca="true">IF(A221="","",IF(ISNUMBER(A221),IF(A221&gt;=36526,A221,""),IFERROR(DATE(VALUE(RIGHT(RIGHT(TRIM(A221),10),4)),VALUE(MID(RIGHT(TRIM(A221),10),4,2)),VALUE(LEFT(RIGHT(TRIM(A221),10),2))),IFERROR(TODAY()-MOD(WEEKDAY(TODAY(),1)-MATCH(TRIM(A221),{"الأحد","الاثنين","الثلاثاء","الأربعاء","الخميس","الجمعة","السبت"},0),7),IFERROR(DATEVALUE(A221),"")))))</f>
        <v/>
      </c>
      <c r="H221" s="0" t="str">
        <f aca="false">IF(G221="","",INT((G221-WEEK_ONE)/7)+1)</f>
        <v/>
      </c>
      <c r="I221" s="0" t="str">
        <f aca="false">IF(H221="","",IF(OR(H221&lt;1,H221&gt;NW),"",INDEX(WMON,H221)))</f>
        <v/>
      </c>
      <c r="J221" s="0" t="str">
        <f aca="false">IF(OR(G221="",H221="",C221=""),"",IF(C221="عمر المصري",SUMIFS('ساعات عمر'!$H$5:$H$746,'ساعات عمر'!$A$5:$A$746,"&gt;="&amp;(WEEK_ONE+7*(H221-1)),'ساعات عمر'!$A$5:$A$746,"&lt;="&amp;G221),SUMIFS('ساعات عبدالعزيز'!$F$5:$F$746,'ساعات عبدالعزيز'!$A$5:$A$746,"&gt;="&amp;(WEEK_ONE+7*(H221-1)),'ساعات عبدالعزيز'!$A$5:$A$746,"&lt;="&amp;G221)))</f>
        <v/>
      </c>
    </row>
    <row r="222" customFormat="false" ht="15" hidden="false" customHeight="false" outlineLevel="0" collapsed="false">
      <c r="A222" s="43"/>
      <c r="B222" s="23" t="str">
        <f aca="false">IF(G222="","",CHOOSE(WEEKDAY(G222,1),"الأحد","الاثنين","الثلاثاء","الأربعاء","الخميس","الجمعة","السبت")&amp;IF(OR(ISNUMBER(A222),LEN(TRIM(A222))&gt;=10),"","  "&amp;TEXT(DAY(G222),"00")&amp;"/"&amp;TEXT(MONTH(G222),"00")&amp;"/"&amp;YEAR(G222)))</f>
        <v/>
      </c>
      <c r="C222" s="24"/>
      <c r="D222" s="44"/>
      <c r="E222" s="27"/>
      <c r="F222" s="45" t="str">
        <f aca="false">IF(A222="","",IF(G222="","⛔ التاريخ غلط — اختاره من القائمة أو اكتبه كامل 05/10/2026",IF(OR(H222&lt;1,H222&gt;NW),"⛔ التاريخ برّا السنة",IF(AND(N(D222)&gt;0,N(J222)&gt;0,D222&gt;ADV_CAP*J222),"⚠️ أكثر من "&amp;TEXT(ADV_CAP,"0%")&amp;" من شغله ("&amp;TEXT(J222,"0.000")&amp;")",""))))</f>
        <v/>
      </c>
      <c r="G222" s="0" t="str">
        <f aca="true">IF(A222="","",IF(ISNUMBER(A222),IF(A222&gt;=36526,A222,""),IFERROR(DATE(VALUE(RIGHT(RIGHT(TRIM(A222),10),4)),VALUE(MID(RIGHT(TRIM(A222),10),4,2)),VALUE(LEFT(RIGHT(TRIM(A222),10),2))),IFERROR(TODAY()-MOD(WEEKDAY(TODAY(),1)-MATCH(TRIM(A222),{"الأحد","الاثنين","الثلاثاء","الأربعاء","الخميس","الجمعة","السبت"},0),7),IFERROR(DATEVALUE(A222),"")))))</f>
        <v/>
      </c>
      <c r="H222" s="0" t="str">
        <f aca="false">IF(G222="","",INT((G222-WEEK_ONE)/7)+1)</f>
        <v/>
      </c>
      <c r="I222" s="0" t="str">
        <f aca="false">IF(H222="","",IF(OR(H222&lt;1,H222&gt;NW),"",INDEX(WMON,H222)))</f>
        <v/>
      </c>
      <c r="J222" s="0" t="str">
        <f aca="false">IF(OR(G222="",H222="",C222=""),"",IF(C222="عمر المصري",SUMIFS('ساعات عمر'!$H$5:$H$746,'ساعات عمر'!$A$5:$A$746,"&gt;="&amp;(WEEK_ONE+7*(H222-1)),'ساعات عمر'!$A$5:$A$746,"&lt;="&amp;G222),SUMIFS('ساعات عبدالعزيز'!$F$5:$F$746,'ساعات عبدالعزيز'!$A$5:$A$746,"&gt;="&amp;(WEEK_ONE+7*(H222-1)),'ساعات عبدالعزيز'!$A$5:$A$746,"&lt;="&amp;G222)))</f>
        <v/>
      </c>
    </row>
    <row r="223" customFormat="false" ht="15" hidden="false" customHeight="false" outlineLevel="0" collapsed="false">
      <c r="A223" s="43"/>
      <c r="B223" s="23" t="str">
        <f aca="false">IF(G223="","",CHOOSE(WEEKDAY(G223,1),"الأحد","الاثنين","الثلاثاء","الأربعاء","الخميس","الجمعة","السبت")&amp;IF(OR(ISNUMBER(A223),LEN(TRIM(A223))&gt;=10),"","  "&amp;TEXT(DAY(G223),"00")&amp;"/"&amp;TEXT(MONTH(G223),"00")&amp;"/"&amp;YEAR(G223)))</f>
        <v/>
      </c>
      <c r="C223" s="24"/>
      <c r="D223" s="44"/>
      <c r="E223" s="27"/>
      <c r="F223" s="45" t="str">
        <f aca="false">IF(A223="","",IF(G223="","⛔ التاريخ غلط — اختاره من القائمة أو اكتبه كامل 05/10/2026",IF(OR(H223&lt;1,H223&gt;NW),"⛔ التاريخ برّا السنة",IF(AND(N(D223)&gt;0,N(J223)&gt;0,D223&gt;ADV_CAP*J223),"⚠️ أكثر من "&amp;TEXT(ADV_CAP,"0%")&amp;" من شغله ("&amp;TEXT(J223,"0.000")&amp;")",""))))</f>
        <v/>
      </c>
      <c r="G223" s="0" t="str">
        <f aca="true">IF(A223="","",IF(ISNUMBER(A223),IF(A223&gt;=36526,A223,""),IFERROR(DATE(VALUE(RIGHT(RIGHT(TRIM(A223),10),4)),VALUE(MID(RIGHT(TRIM(A223),10),4,2)),VALUE(LEFT(RIGHT(TRIM(A223),10),2))),IFERROR(TODAY()-MOD(WEEKDAY(TODAY(),1)-MATCH(TRIM(A223),{"الأحد","الاثنين","الثلاثاء","الأربعاء","الخميس","الجمعة","السبت"},0),7),IFERROR(DATEVALUE(A223),"")))))</f>
        <v/>
      </c>
      <c r="H223" s="0" t="str">
        <f aca="false">IF(G223="","",INT((G223-WEEK_ONE)/7)+1)</f>
        <v/>
      </c>
      <c r="I223" s="0" t="str">
        <f aca="false">IF(H223="","",IF(OR(H223&lt;1,H223&gt;NW),"",INDEX(WMON,H223)))</f>
        <v/>
      </c>
      <c r="J223" s="0" t="str">
        <f aca="false">IF(OR(G223="",H223="",C223=""),"",IF(C223="عمر المصري",SUMIFS('ساعات عمر'!$H$5:$H$746,'ساعات عمر'!$A$5:$A$746,"&gt;="&amp;(WEEK_ONE+7*(H223-1)),'ساعات عمر'!$A$5:$A$746,"&lt;="&amp;G223),SUMIFS('ساعات عبدالعزيز'!$F$5:$F$746,'ساعات عبدالعزيز'!$A$5:$A$746,"&gt;="&amp;(WEEK_ONE+7*(H223-1)),'ساعات عبدالعزيز'!$A$5:$A$746,"&lt;="&amp;G223)))</f>
        <v/>
      </c>
    </row>
    <row r="224" customFormat="false" ht="15" hidden="false" customHeight="false" outlineLevel="0" collapsed="false">
      <c r="A224" s="43"/>
      <c r="B224" s="23" t="str">
        <f aca="false">IF(G224="","",CHOOSE(WEEKDAY(G224,1),"الأحد","الاثنين","الثلاثاء","الأربعاء","الخميس","الجمعة","السبت")&amp;IF(OR(ISNUMBER(A224),LEN(TRIM(A224))&gt;=10),"","  "&amp;TEXT(DAY(G224),"00")&amp;"/"&amp;TEXT(MONTH(G224),"00")&amp;"/"&amp;YEAR(G224)))</f>
        <v/>
      </c>
      <c r="C224" s="24"/>
      <c r="D224" s="44"/>
      <c r="E224" s="27"/>
      <c r="F224" s="45" t="str">
        <f aca="false">IF(A224="","",IF(G224="","⛔ التاريخ غلط — اختاره من القائمة أو اكتبه كامل 05/10/2026",IF(OR(H224&lt;1,H224&gt;NW),"⛔ التاريخ برّا السنة",IF(AND(N(D224)&gt;0,N(J224)&gt;0,D224&gt;ADV_CAP*J224),"⚠️ أكثر من "&amp;TEXT(ADV_CAP,"0%")&amp;" من شغله ("&amp;TEXT(J224,"0.000")&amp;")",""))))</f>
        <v/>
      </c>
      <c r="G224" s="0" t="str">
        <f aca="true">IF(A224="","",IF(ISNUMBER(A224),IF(A224&gt;=36526,A224,""),IFERROR(DATE(VALUE(RIGHT(RIGHT(TRIM(A224),10),4)),VALUE(MID(RIGHT(TRIM(A224),10),4,2)),VALUE(LEFT(RIGHT(TRIM(A224),10),2))),IFERROR(TODAY()-MOD(WEEKDAY(TODAY(),1)-MATCH(TRIM(A224),{"الأحد","الاثنين","الثلاثاء","الأربعاء","الخميس","الجمعة","السبت"},0),7),IFERROR(DATEVALUE(A224),"")))))</f>
        <v/>
      </c>
      <c r="H224" s="0" t="str">
        <f aca="false">IF(G224="","",INT((G224-WEEK_ONE)/7)+1)</f>
        <v/>
      </c>
      <c r="I224" s="0" t="str">
        <f aca="false">IF(H224="","",IF(OR(H224&lt;1,H224&gt;NW),"",INDEX(WMON,H224)))</f>
        <v/>
      </c>
      <c r="J224" s="0" t="str">
        <f aca="false">IF(OR(G224="",H224="",C224=""),"",IF(C224="عمر المصري",SUMIFS('ساعات عمر'!$H$5:$H$746,'ساعات عمر'!$A$5:$A$746,"&gt;="&amp;(WEEK_ONE+7*(H224-1)),'ساعات عمر'!$A$5:$A$746,"&lt;="&amp;G224),SUMIFS('ساعات عبدالعزيز'!$F$5:$F$746,'ساعات عبدالعزيز'!$A$5:$A$746,"&gt;="&amp;(WEEK_ONE+7*(H224-1)),'ساعات عبدالعزيز'!$A$5:$A$746,"&lt;="&amp;G224)))</f>
        <v/>
      </c>
    </row>
    <row r="225" customFormat="false" ht="15" hidden="false" customHeight="false" outlineLevel="0" collapsed="false">
      <c r="A225" s="43"/>
      <c r="B225" s="23" t="str">
        <f aca="false">IF(G225="","",CHOOSE(WEEKDAY(G225,1),"الأحد","الاثنين","الثلاثاء","الأربعاء","الخميس","الجمعة","السبت")&amp;IF(OR(ISNUMBER(A225),LEN(TRIM(A225))&gt;=10),"","  "&amp;TEXT(DAY(G225),"00")&amp;"/"&amp;TEXT(MONTH(G225),"00")&amp;"/"&amp;YEAR(G225)))</f>
        <v/>
      </c>
      <c r="C225" s="24"/>
      <c r="D225" s="44"/>
      <c r="E225" s="27"/>
      <c r="F225" s="45" t="str">
        <f aca="false">IF(A225="","",IF(G225="","⛔ التاريخ غلط — اختاره من القائمة أو اكتبه كامل 05/10/2026",IF(OR(H225&lt;1,H225&gt;NW),"⛔ التاريخ برّا السنة",IF(AND(N(D225)&gt;0,N(J225)&gt;0,D225&gt;ADV_CAP*J225),"⚠️ أكثر من "&amp;TEXT(ADV_CAP,"0%")&amp;" من شغله ("&amp;TEXT(J225,"0.000")&amp;")",""))))</f>
        <v/>
      </c>
      <c r="G225" s="0" t="str">
        <f aca="true">IF(A225="","",IF(ISNUMBER(A225),IF(A225&gt;=36526,A225,""),IFERROR(DATE(VALUE(RIGHT(RIGHT(TRIM(A225),10),4)),VALUE(MID(RIGHT(TRIM(A225),10),4,2)),VALUE(LEFT(RIGHT(TRIM(A225),10),2))),IFERROR(TODAY()-MOD(WEEKDAY(TODAY(),1)-MATCH(TRIM(A225),{"الأحد","الاثنين","الثلاثاء","الأربعاء","الخميس","الجمعة","السبت"},0),7),IFERROR(DATEVALUE(A225),"")))))</f>
        <v/>
      </c>
      <c r="H225" s="0" t="str">
        <f aca="false">IF(G225="","",INT((G225-WEEK_ONE)/7)+1)</f>
        <v/>
      </c>
      <c r="I225" s="0" t="str">
        <f aca="false">IF(H225="","",IF(OR(H225&lt;1,H225&gt;NW),"",INDEX(WMON,H225)))</f>
        <v/>
      </c>
      <c r="J225" s="0" t="str">
        <f aca="false">IF(OR(G225="",H225="",C225=""),"",IF(C225="عمر المصري",SUMIFS('ساعات عمر'!$H$5:$H$746,'ساعات عمر'!$A$5:$A$746,"&gt;="&amp;(WEEK_ONE+7*(H225-1)),'ساعات عمر'!$A$5:$A$746,"&lt;="&amp;G225),SUMIFS('ساعات عبدالعزيز'!$F$5:$F$746,'ساعات عبدالعزيز'!$A$5:$A$746,"&gt;="&amp;(WEEK_ONE+7*(H225-1)),'ساعات عبدالعزيز'!$A$5:$A$746,"&lt;="&amp;G225)))</f>
        <v/>
      </c>
    </row>
    <row r="226" customFormat="false" ht="15" hidden="false" customHeight="false" outlineLevel="0" collapsed="false">
      <c r="A226" s="43"/>
      <c r="B226" s="23" t="str">
        <f aca="false">IF(G226="","",CHOOSE(WEEKDAY(G226,1),"الأحد","الاثنين","الثلاثاء","الأربعاء","الخميس","الجمعة","السبت")&amp;IF(OR(ISNUMBER(A226),LEN(TRIM(A226))&gt;=10),"","  "&amp;TEXT(DAY(G226),"00")&amp;"/"&amp;TEXT(MONTH(G226),"00")&amp;"/"&amp;YEAR(G226)))</f>
        <v/>
      </c>
      <c r="C226" s="24"/>
      <c r="D226" s="44"/>
      <c r="E226" s="27"/>
      <c r="F226" s="45" t="str">
        <f aca="false">IF(A226="","",IF(G226="","⛔ التاريخ غلط — اختاره من القائمة أو اكتبه كامل 05/10/2026",IF(OR(H226&lt;1,H226&gt;NW),"⛔ التاريخ برّا السنة",IF(AND(N(D226)&gt;0,N(J226)&gt;0,D226&gt;ADV_CAP*J226),"⚠️ أكثر من "&amp;TEXT(ADV_CAP,"0%")&amp;" من شغله ("&amp;TEXT(J226,"0.000")&amp;")",""))))</f>
        <v/>
      </c>
      <c r="G226" s="0" t="str">
        <f aca="true">IF(A226="","",IF(ISNUMBER(A226),IF(A226&gt;=36526,A226,""),IFERROR(DATE(VALUE(RIGHT(RIGHT(TRIM(A226),10),4)),VALUE(MID(RIGHT(TRIM(A226),10),4,2)),VALUE(LEFT(RIGHT(TRIM(A226),10),2))),IFERROR(TODAY()-MOD(WEEKDAY(TODAY(),1)-MATCH(TRIM(A226),{"الأحد","الاثنين","الثلاثاء","الأربعاء","الخميس","الجمعة","السبت"},0),7),IFERROR(DATEVALUE(A226),"")))))</f>
        <v/>
      </c>
      <c r="H226" s="0" t="str">
        <f aca="false">IF(G226="","",INT((G226-WEEK_ONE)/7)+1)</f>
        <v/>
      </c>
      <c r="I226" s="0" t="str">
        <f aca="false">IF(H226="","",IF(OR(H226&lt;1,H226&gt;NW),"",INDEX(WMON,H226)))</f>
        <v/>
      </c>
      <c r="J226" s="0" t="str">
        <f aca="false">IF(OR(G226="",H226="",C226=""),"",IF(C226="عمر المصري",SUMIFS('ساعات عمر'!$H$5:$H$746,'ساعات عمر'!$A$5:$A$746,"&gt;="&amp;(WEEK_ONE+7*(H226-1)),'ساعات عمر'!$A$5:$A$746,"&lt;="&amp;G226),SUMIFS('ساعات عبدالعزيز'!$F$5:$F$746,'ساعات عبدالعزيز'!$A$5:$A$746,"&gt;="&amp;(WEEK_ONE+7*(H226-1)),'ساعات عبدالعزيز'!$A$5:$A$746,"&lt;="&amp;G226)))</f>
        <v/>
      </c>
    </row>
    <row r="227" customFormat="false" ht="15" hidden="false" customHeight="false" outlineLevel="0" collapsed="false">
      <c r="A227" s="43"/>
      <c r="B227" s="23" t="str">
        <f aca="false">IF(G227="","",CHOOSE(WEEKDAY(G227,1),"الأحد","الاثنين","الثلاثاء","الأربعاء","الخميس","الجمعة","السبت")&amp;IF(OR(ISNUMBER(A227),LEN(TRIM(A227))&gt;=10),"","  "&amp;TEXT(DAY(G227),"00")&amp;"/"&amp;TEXT(MONTH(G227),"00")&amp;"/"&amp;YEAR(G227)))</f>
        <v/>
      </c>
      <c r="C227" s="24"/>
      <c r="D227" s="44"/>
      <c r="E227" s="27"/>
      <c r="F227" s="45" t="str">
        <f aca="false">IF(A227="","",IF(G227="","⛔ التاريخ غلط — اختاره من القائمة أو اكتبه كامل 05/10/2026",IF(OR(H227&lt;1,H227&gt;NW),"⛔ التاريخ برّا السنة",IF(AND(N(D227)&gt;0,N(J227)&gt;0,D227&gt;ADV_CAP*J227),"⚠️ أكثر من "&amp;TEXT(ADV_CAP,"0%")&amp;" من شغله ("&amp;TEXT(J227,"0.000")&amp;")",""))))</f>
        <v/>
      </c>
      <c r="G227" s="0" t="str">
        <f aca="true">IF(A227="","",IF(ISNUMBER(A227),IF(A227&gt;=36526,A227,""),IFERROR(DATE(VALUE(RIGHT(RIGHT(TRIM(A227),10),4)),VALUE(MID(RIGHT(TRIM(A227),10),4,2)),VALUE(LEFT(RIGHT(TRIM(A227),10),2))),IFERROR(TODAY()-MOD(WEEKDAY(TODAY(),1)-MATCH(TRIM(A227),{"الأحد","الاثنين","الثلاثاء","الأربعاء","الخميس","الجمعة","السبت"},0),7),IFERROR(DATEVALUE(A227),"")))))</f>
        <v/>
      </c>
      <c r="H227" s="0" t="str">
        <f aca="false">IF(G227="","",INT((G227-WEEK_ONE)/7)+1)</f>
        <v/>
      </c>
      <c r="I227" s="0" t="str">
        <f aca="false">IF(H227="","",IF(OR(H227&lt;1,H227&gt;NW),"",INDEX(WMON,H227)))</f>
        <v/>
      </c>
      <c r="J227" s="0" t="str">
        <f aca="false">IF(OR(G227="",H227="",C227=""),"",IF(C227="عمر المصري",SUMIFS('ساعات عمر'!$H$5:$H$746,'ساعات عمر'!$A$5:$A$746,"&gt;="&amp;(WEEK_ONE+7*(H227-1)),'ساعات عمر'!$A$5:$A$746,"&lt;="&amp;G227),SUMIFS('ساعات عبدالعزيز'!$F$5:$F$746,'ساعات عبدالعزيز'!$A$5:$A$746,"&gt;="&amp;(WEEK_ONE+7*(H227-1)),'ساعات عبدالعزيز'!$A$5:$A$746,"&lt;="&amp;G227)))</f>
        <v/>
      </c>
    </row>
    <row r="228" customFormat="false" ht="15" hidden="false" customHeight="false" outlineLevel="0" collapsed="false">
      <c r="A228" s="43"/>
      <c r="B228" s="23" t="str">
        <f aca="false">IF(G228="","",CHOOSE(WEEKDAY(G228,1),"الأحد","الاثنين","الثلاثاء","الأربعاء","الخميس","الجمعة","السبت")&amp;IF(OR(ISNUMBER(A228),LEN(TRIM(A228))&gt;=10),"","  "&amp;TEXT(DAY(G228),"00")&amp;"/"&amp;TEXT(MONTH(G228),"00")&amp;"/"&amp;YEAR(G228)))</f>
        <v/>
      </c>
      <c r="C228" s="24"/>
      <c r="D228" s="44"/>
      <c r="E228" s="27"/>
      <c r="F228" s="45" t="str">
        <f aca="false">IF(A228="","",IF(G228="","⛔ التاريخ غلط — اختاره من القائمة أو اكتبه كامل 05/10/2026",IF(OR(H228&lt;1,H228&gt;NW),"⛔ التاريخ برّا السنة",IF(AND(N(D228)&gt;0,N(J228)&gt;0,D228&gt;ADV_CAP*J228),"⚠️ أكثر من "&amp;TEXT(ADV_CAP,"0%")&amp;" من شغله ("&amp;TEXT(J228,"0.000")&amp;")",""))))</f>
        <v/>
      </c>
      <c r="G228" s="0" t="str">
        <f aca="true">IF(A228="","",IF(ISNUMBER(A228),IF(A228&gt;=36526,A228,""),IFERROR(DATE(VALUE(RIGHT(RIGHT(TRIM(A228),10),4)),VALUE(MID(RIGHT(TRIM(A228),10),4,2)),VALUE(LEFT(RIGHT(TRIM(A228),10),2))),IFERROR(TODAY()-MOD(WEEKDAY(TODAY(),1)-MATCH(TRIM(A228),{"الأحد","الاثنين","الثلاثاء","الأربعاء","الخميس","الجمعة","السبت"},0),7),IFERROR(DATEVALUE(A228),"")))))</f>
        <v/>
      </c>
      <c r="H228" s="0" t="str">
        <f aca="false">IF(G228="","",INT((G228-WEEK_ONE)/7)+1)</f>
        <v/>
      </c>
      <c r="I228" s="0" t="str">
        <f aca="false">IF(H228="","",IF(OR(H228&lt;1,H228&gt;NW),"",INDEX(WMON,H228)))</f>
        <v/>
      </c>
      <c r="J228" s="0" t="str">
        <f aca="false">IF(OR(G228="",H228="",C228=""),"",IF(C228="عمر المصري",SUMIFS('ساعات عمر'!$H$5:$H$746,'ساعات عمر'!$A$5:$A$746,"&gt;="&amp;(WEEK_ONE+7*(H228-1)),'ساعات عمر'!$A$5:$A$746,"&lt;="&amp;G228),SUMIFS('ساعات عبدالعزيز'!$F$5:$F$746,'ساعات عبدالعزيز'!$A$5:$A$746,"&gt;="&amp;(WEEK_ONE+7*(H228-1)),'ساعات عبدالعزيز'!$A$5:$A$746,"&lt;="&amp;G228)))</f>
        <v/>
      </c>
    </row>
    <row r="229" customFormat="false" ht="15" hidden="false" customHeight="false" outlineLevel="0" collapsed="false">
      <c r="A229" s="43"/>
      <c r="B229" s="23" t="str">
        <f aca="false">IF(G229="","",CHOOSE(WEEKDAY(G229,1),"الأحد","الاثنين","الثلاثاء","الأربعاء","الخميس","الجمعة","السبت")&amp;IF(OR(ISNUMBER(A229),LEN(TRIM(A229))&gt;=10),"","  "&amp;TEXT(DAY(G229),"00")&amp;"/"&amp;TEXT(MONTH(G229),"00")&amp;"/"&amp;YEAR(G229)))</f>
        <v/>
      </c>
      <c r="C229" s="24"/>
      <c r="D229" s="44"/>
      <c r="E229" s="27"/>
      <c r="F229" s="45" t="str">
        <f aca="false">IF(A229="","",IF(G229="","⛔ التاريخ غلط — اختاره من القائمة أو اكتبه كامل 05/10/2026",IF(OR(H229&lt;1,H229&gt;NW),"⛔ التاريخ برّا السنة",IF(AND(N(D229)&gt;0,N(J229)&gt;0,D229&gt;ADV_CAP*J229),"⚠️ أكثر من "&amp;TEXT(ADV_CAP,"0%")&amp;" من شغله ("&amp;TEXT(J229,"0.000")&amp;")",""))))</f>
        <v/>
      </c>
      <c r="G229" s="0" t="str">
        <f aca="true">IF(A229="","",IF(ISNUMBER(A229),IF(A229&gt;=36526,A229,""),IFERROR(DATE(VALUE(RIGHT(RIGHT(TRIM(A229),10),4)),VALUE(MID(RIGHT(TRIM(A229),10),4,2)),VALUE(LEFT(RIGHT(TRIM(A229),10),2))),IFERROR(TODAY()-MOD(WEEKDAY(TODAY(),1)-MATCH(TRIM(A229),{"الأحد","الاثنين","الثلاثاء","الأربعاء","الخميس","الجمعة","السبت"},0),7),IFERROR(DATEVALUE(A229),"")))))</f>
        <v/>
      </c>
      <c r="H229" s="0" t="str">
        <f aca="false">IF(G229="","",INT((G229-WEEK_ONE)/7)+1)</f>
        <v/>
      </c>
      <c r="I229" s="0" t="str">
        <f aca="false">IF(H229="","",IF(OR(H229&lt;1,H229&gt;NW),"",INDEX(WMON,H229)))</f>
        <v/>
      </c>
      <c r="J229" s="0" t="str">
        <f aca="false">IF(OR(G229="",H229="",C229=""),"",IF(C229="عمر المصري",SUMIFS('ساعات عمر'!$H$5:$H$746,'ساعات عمر'!$A$5:$A$746,"&gt;="&amp;(WEEK_ONE+7*(H229-1)),'ساعات عمر'!$A$5:$A$746,"&lt;="&amp;G229),SUMIFS('ساعات عبدالعزيز'!$F$5:$F$746,'ساعات عبدالعزيز'!$A$5:$A$746,"&gt;="&amp;(WEEK_ONE+7*(H229-1)),'ساعات عبدالعزيز'!$A$5:$A$746,"&lt;="&amp;G229)))</f>
        <v/>
      </c>
    </row>
    <row r="230" customFormat="false" ht="15" hidden="false" customHeight="false" outlineLevel="0" collapsed="false">
      <c r="A230" s="43"/>
      <c r="B230" s="23" t="str">
        <f aca="false">IF(G230="","",CHOOSE(WEEKDAY(G230,1),"الأحد","الاثنين","الثلاثاء","الأربعاء","الخميس","الجمعة","السبت")&amp;IF(OR(ISNUMBER(A230),LEN(TRIM(A230))&gt;=10),"","  "&amp;TEXT(DAY(G230),"00")&amp;"/"&amp;TEXT(MONTH(G230),"00")&amp;"/"&amp;YEAR(G230)))</f>
        <v/>
      </c>
      <c r="C230" s="24"/>
      <c r="D230" s="44"/>
      <c r="E230" s="27"/>
      <c r="F230" s="45" t="str">
        <f aca="false">IF(A230="","",IF(G230="","⛔ التاريخ غلط — اختاره من القائمة أو اكتبه كامل 05/10/2026",IF(OR(H230&lt;1,H230&gt;NW),"⛔ التاريخ برّا السنة",IF(AND(N(D230)&gt;0,N(J230)&gt;0,D230&gt;ADV_CAP*J230),"⚠️ أكثر من "&amp;TEXT(ADV_CAP,"0%")&amp;" من شغله ("&amp;TEXT(J230,"0.000")&amp;")",""))))</f>
        <v/>
      </c>
      <c r="G230" s="0" t="str">
        <f aca="true">IF(A230="","",IF(ISNUMBER(A230),IF(A230&gt;=36526,A230,""),IFERROR(DATE(VALUE(RIGHT(RIGHT(TRIM(A230),10),4)),VALUE(MID(RIGHT(TRIM(A230),10),4,2)),VALUE(LEFT(RIGHT(TRIM(A230),10),2))),IFERROR(TODAY()-MOD(WEEKDAY(TODAY(),1)-MATCH(TRIM(A230),{"الأحد","الاثنين","الثلاثاء","الأربعاء","الخميس","الجمعة","السبت"},0),7),IFERROR(DATEVALUE(A230),"")))))</f>
        <v/>
      </c>
      <c r="H230" s="0" t="str">
        <f aca="false">IF(G230="","",INT((G230-WEEK_ONE)/7)+1)</f>
        <v/>
      </c>
      <c r="I230" s="0" t="str">
        <f aca="false">IF(H230="","",IF(OR(H230&lt;1,H230&gt;NW),"",INDEX(WMON,H230)))</f>
        <v/>
      </c>
      <c r="J230" s="0" t="str">
        <f aca="false">IF(OR(G230="",H230="",C230=""),"",IF(C230="عمر المصري",SUMIFS('ساعات عمر'!$H$5:$H$746,'ساعات عمر'!$A$5:$A$746,"&gt;="&amp;(WEEK_ONE+7*(H230-1)),'ساعات عمر'!$A$5:$A$746,"&lt;="&amp;G230),SUMIFS('ساعات عبدالعزيز'!$F$5:$F$746,'ساعات عبدالعزيز'!$A$5:$A$746,"&gt;="&amp;(WEEK_ONE+7*(H230-1)),'ساعات عبدالعزيز'!$A$5:$A$746,"&lt;="&amp;G230)))</f>
        <v/>
      </c>
    </row>
    <row r="231" customFormat="false" ht="15" hidden="false" customHeight="false" outlineLevel="0" collapsed="false">
      <c r="A231" s="43"/>
      <c r="B231" s="23" t="str">
        <f aca="false">IF(G231="","",CHOOSE(WEEKDAY(G231,1),"الأحد","الاثنين","الثلاثاء","الأربعاء","الخميس","الجمعة","السبت")&amp;IF(OR(ISNUMBER(A231),LEN(TRIM(A231))&gt;=10),"","  "&amp;TEXT(DAY(G231),"00")&amp;"/"&amp;TEXT(MONTH(G231),"00")&amp;"/"&amp;YEAR(G231)))</f>
        <v/>
      </c>
      <c r="C231" s="24"/>
      <c r="D231" s="44"/>
      <c r="E231" s="27"/>
      <c r="F231" s="45" t="str">
        <f aca="false">IF(A231="","",IF(G231="","⛔ التاريخ غلط — اختاره من القائمة أو اكتبه كامل 05/10/2026",IF(OR(H231&lt;1,H231&gt;NW),"⛔ التاريخ برّا السنة",IF(AND(N(D231)&gt;0,N(J231)&gt;0,D231&gt;ADV_CAP*J231),"⚠️ أكثر من "&amp;TEXT(ADV_CAP,"0%")&amp;" من شغله ("&amp;TEXT(J231,"0.000")&amp;")",""))))</f>
        <v/>
      </c>
      <c r="G231" s="0" t="str">
        <f aca="true">IF(A231="","",IF(ISNUMBER(A231),IF(A231&gt;=36526,A231,""),IFERROR(DATE(VALUE(RIGHT(RIGHT(TRIM(A231),10),4)),VALUE(MID(RIGHT(TRIM(A231),10),4,2)),VALUE(LEFT(RIGHT(TRIM(A231),10),2))),IFERROR(TODAY()-MOD(WEEKDAY(TODAY(),1)-MATCH(TRIM(A231),{"الأحد","الاثنين","الثلاثاء","الأربعاء","الخميس","الجمعة","السبت"},0),7),IFERROR(DATEVALUE(A231),"")))))</f>
        <v/>
      </c>
      <c r="H231" s="0" t="str">
        <f aca="false">IF(G231="","",INT((G231-WEEK_ONE)/7)+1)</f>
        <v/>
      </c>
      <c r="I231" s="0" t="str">
        <f aca="false">IF(H231="","",IF(OR(H231&lt;1,H231&gt;NW),"",INDEX(WMON,H231)))</f>
        <v/>
      </c>
      <c r="J231" s="0" t="str">
        <f aca="false">IF(OR(G231="",H231="",C231=""),"",IF(C231="عمر المصري",SUMIFS('ساعات عمر'!$H$5:$H$746,'ساعات عمر'!$A$5:$A$746,"&gt;="&amp;(WEEK_ONE+7*(H231-1)),'ساعات عمر'!$A$5:$A$746,"&lt;="&amp;G231),SUMIFS('ساعات عبدالعزيز'!$F$5:$F$746,'ساعات عبدالعزيز'!$A$5:$A$746,"&gt;="&amp;(WEEK_ONE+7*(H231-1)),'ساعات عبدالعزيز'!$A$5:$A$746,"&lt;="&amp;G231)))</f>
        <v/>
      </c>
    </row>
    <row r="232" customFormat="false" ht="15" hidden="false" customHeight="false" outlineLevel="0" collapsed="false">
      <c r="A232" s="43"/>
      <c r="B232" s="23" t="str">
        <f aca="false">IF(G232="","",CHOOSE(WEEKDAY(G232,1),"الأحد","الاثنين","الثلاثاء","الأربعاء","الخميس","الجمعة","السبت")&amp;IF(OR(ISNUMBER(A232),LEN(TRIM(A232))&gt;=10),"","  "&amp;TEXT(DAY(G232),"00")&amp;"/"&amp;TEXT(MONTH(G232),"00")&amp;"/"&amp;YEAR(G232)))</f>
        <v/>
      </c>
      <c r="C232" s="24"/>
      <c r="D232" s="44"/>
      <c r="E232" s="27"/>
      <c r="F232" s="45" t="str">
        <f aca="false">IF(A232="","",IF(G232="","⛔ التاريخ غلط — اختاره من القائمة أو اكتبه كامل 05/10/2026",IF(OR(H232&lt;1,H232&gt;NW),"⛔ التاريخ برّا السنة",IF(AND(N(D232)&gt;0,N(J232)&gt;0,D232&gt;ADV_CAP*J232),"⚠️ أكثر من "&amp;TEXT(ADV_CAP,"0%")&amp;" من شغله ("&amp;TEXT(J232,"0.000")&amp;")",""))))</f>
        <v/>
      </c>
      <c r="G232" s="0" t="str">
        <f aca="true">IF(A232="","",IF(ISNUMBER(A232),IF(A232&gt;=36526,A232,""),IFERROR(DATE(VALUE(RIGHT(RIGHT(TRIM(A232),10),4)),VALUE(MID(RIGHT(TRIM(A232),10),4,2)),VALUE(LEFT(RIGHT(TRIM(A232),10),2))),IFERROR(TODAY()-MOD(WEEKDAY(TODAY(),1)-MATCH(TRIM(A232),{"الأحد","الاثنين","الثلاثاء","الأربعاء","الخميس","الجمعة","السبت"},0),7),IFERROR(DATEVALUE(A232),"")))))</f>
        <v/>
      </c>
      <c r="H232" s="0" t="str">
        <f aca="false">IF(G232="","",INT((G232-WEEK_ONE)/7)+1)</f>
        <v/>
      </c>
      <c r="I232" s="0" t="str">
        <f aca="false">IF(H232="","",IF(OR(H232&lt;1,H232&gt;NW),"",INDEX(WMON,H232)))</f>
        <v/>
      </c>
      <c r="J232" s="0" t="str">
        <f aca="false">IF(OR(G232="",H232="",C232=""),"",IF(C232="عمر المصري",SUMIFS('ساعات عمر'!$H$5:$H$746,'ساعات عمر'!$A$5:$A$746,"&gt;="&amp;(WEEK_ONE+7*(H232-1)),'ساعات عمر'!$A$5:$A$746,"&lt;="&amp;G232),SUMIFS('ساعات عبدالعزيز'!$F$5:$F$746,'ساعات عبدالعزيز'!$A$5:$A$746,"&gt;="&amp;(WEEK_ONE+7*(H232-1)),'ساعات عبدالعزيز'!$A$5:$A$746,"&lt;="&amp;G232)))</f>
        <v/>
      </c>
    </row>
    <row r="233" customFormat="false" ht="15" hidden="false" customHeight="false" outlineLevel="0" collapsed="false">
      <c r="A233" s="43"/>
      <c r="B233" s="23" t="str">
        <f aca="false">IF(G233="","",CHOOSE(WEEKDAY(G233,1),"الأحد","الاثنين","الثلاثاء","الأربعاء","الخميس","الجمعة","السبت")&amp;IF(OR(ISNUMBER(A233),LEN(TRIM(A233))&gt;=10),"","  "&amp;TEXT(DAY(G233),"00")&amp;"/"&amp;TEXT(MONTH(G233),"00")&amp;"/"&amp;YEAR(G233)))</f>
        <v/>
      </c>
      <c r="C233" s="24"/>
      <c r="D233" s="44"/>
      <c r="E233" s="27"/>
      <c r="F233" s="45" t="str">
        <f aca="false">IF(A233="","",IF(G233="","⛔ التاريخ غلط — اختاره من القائمة أو اكتبه كامل 05/10/2026",IF(OR(H233&lt;1,H233&gt;NW),"⛔ التاريخ برّا السنة",IF(AND(N(D233)&gt;0,N(J233)&gt;0,D233&gt;ADV_CAP*J233),"⚠️ أكثر من "&amp;TEXT(ADV_CAP,"0%")&amp;" من شغله ("&amp;TEXT(J233,"0.000")&amp;")",""))))</f>
        <v/>
      </c>
      <c r="G233" s="0" t="str">
        <f aca="true">IF(A233="","",IF(ISNUMBER(A233),IF(A233&gt;=36526,A233,""),IFERROR(DATE(VALUE(RIGHT(RIGHT(TRIM(A233),10),4)),VALUE(MID(RIGHT(TRIM(A233),10),4,2)),VALUE(LEFT(RIGHT(TRIM(A233),10),2))),IFERROR(TODAY()-MOD(WEEKDAY(TODAY(),1)-MATCH(TRIM(A233),{"الأحد","الاثنين","الثلاثاء","الأربعاء","الخميس","الجمعة","السبت"},0),7),IFERROR(DATEVALUE(A233),"")))))</f>
        <v/>
      </c>
      <c r="H233" s="0" t="str">
        <f aca="false">IF(G233="","",INT((G233-WEEK_ONE)/7)+1)</f>
        <v/>
      </c>
      <c r="I233" s="0" t="str">
        <f aca="false">IF(H233="","",IF(OR(H233&lt;1,H233&gt;NW),"",INDEX(WMON,H233)))</f>
        <v/>
      </c>
      <c r="J233" s="0" t="str">
        <f aca="false">IF(OR(G233="",H233="",C233=""),"",IF(C233="عمر المصري",SUMIFS('ساعات عمر'!$H$5:$H$746,'ساعات عمر'!$A$5:$A$746,"&gt;="&amp;(WEEK_ONE+7*(H233-1)),'ساعات عمر'!$A$5:$A$746,"&lt;="&amp;G233),SUMIFS('ساعات عبدالعزيز'!$F$5:$F$746,'ساعات عبدالعزيز'!$A$5:$A$746,"&gt;="&amp;(WEEK_ONE+7*(H233-1)),'ساعات عبدالعزيز'!$A$5:$A$746,"&lt;="&amp;G233)))</f>
        <v/>
      </c>
    </row>
    <row r="234" customFormat="false" ht="15" hidden="false" customHeight="false" outlineLevel="0" collapsed="false">
      <c r="A234" s="43"/>
      <c r="B234" s="23" t="str">
        <f aca="false">IF(G234="","",CHOOSE(WEEKDAY(G234,1),"الأحد","الاثنين","الثلاثاء","الأربعاء","الخميس","الجمعة","السبت")&amp;IF(OR(ISNUMBER(A234),LEN(TRIM(A234))&gt;=10),"","  "&amp;TEXT(DAY(G234),"00")&amp;"/"&amp;TEXT(MONTH(G234),"00")&amp;"/"&amp;YEAR(G234)))</f>
        <v/>
      </c>
      <c r="C234" s="24"/>
      <c r="D234" s="44"/>
      <c r="E234" s="27"/>
      <c r="F234" s="45" t="str">
        <f aca="false">IF(A234="","",IF(G234="","⛔ التاريخ غلط — اختاره من القائمة أو اكتبه كامل 05/10/2026",IF(OR(H234&lt;1,H234&gt;NW),"⛔ التاريخ برّا السنة",IF(AND(N(D234)&gt;0,N(J234)&gt;0,D234&gt;ADV_CAP*J234),"⚠️ أكثر من "&amp;TEXT(ADV_CAP,"0%")&amp;" من شغله ("&amp;TEXT(J234,"0.000")&amp;")",""))))</f>
        <v/>
      </c>
      <c r="G234" s="0" t="str">
        <f aca="true">IF(A234="","",IF(ISNUMBER(A234),IF(A234&gt;=36526,A234,""),IFERROR(DATE(VALUE(RIGHT(RIGHT(TRIM(A234),10),4)),VALUE(MID(RIGHT(TRIM(A234),10),4,2)),VALUE(LEFT(RIGHT(TRIM(A234),10),2))),IFERROR(TODAY()-MOD(WEEKDAY(TODAY(),1)-MATCH(TRIM(A234),{"الأحد","الاثنين","الثلاثاء","الأربعاء","الخميس","الجمعة","السبت"},0),7),IFERROR(DATEVALUE(A234),"")))))</f>
        <v/>
      </c>
      <c r="H234" s="0" t="str">
        <f aca="false">IF(G234="","",INT((G234-WEEK_ONE)/7)+1)</f>
        <v/>
      </c>
      <c r="I234" s="0" t="str">
        <f aca="false">IF(H234="","",IF(OR(H234&lt;1,H234&gt;NW),"",INDEX(WMON,H234)))</f>
        <v/>
      </c>
      <c r="J234" s="0" t="str">
        <f aca="false">IF(OR(G234="",H234="",C234=""),"",IF(C234="عمر المصري",SUMIFS('ساعات عمر'!$H$5:$H$746,'ساعات عمر'!$A$5:$A$746,"&gt;="&amp;(WEEK_ONE+7*(H234-1)),'ساعات عمر'!$A$5:$A$746,"&lt;="&amp;G234),SUMIFS('ساعات عبدالعزيز'!$F$5:$F$746,'ساعات عبدالعزيز'!$A$5:$A$746,"&gt;="&amp;(WEEK_ONE+7*(H234-1)),'ساعات عبدالعزيز'!$A$5:$A$746,"&lt;="&amp;G234)))</f>
        <v/>
      </c>
    </row>
    <row r="235" customFormat="false" ht="15" hidden="false" customHeight="false" outlineLevel="0" collapsed="false">
      <c r="A235" s="43"/>
      <c r="B235" s="23" t="str">
        <f aca="false">IF(G235="","",CHOOSE(WEEKDAY(G235,1),"الأحد","الاثنين","الثلاثاء","الأربعاء","الخميس","الجمعة","السبت")&amp;IF(OR(ISNUMBER(A235),LEN(TRIM(A235))&gt;=10),"","  "&amp;TEXT(DAY(G235),"00")&amp;"/"&amp;TEXT(MONTH(G235),"00")&amp;"/"&amp;YEAR(G235)))</f>
        <v/>
      </c>
      <c r="C235" s="24"/>
      <c r="D235" s="44"/>
      <c r="E235" s="27"/>
      <c r="F235" s="45" t="str">
        <f aca="false">IF(A235="","",IF(G235="","⛔ التاريخ غلط — اختاره من القائمة أو اكتبه كامل 05/10/2026",IF(OR(H235&lt;1,H235&gt;NW),"⛔ التاريخ برّا السنة",IF(AND(N(D235)&gt;0,N(J235)&gt;0,D235&gt;ADV_CAP*J235),"⚠️ أكثر من "&amp;TEXT(ADV_CAP,"0%")&amp;" من شغله ("&amp;TEXT(J235,"0.000")&amp;")",""))))</f>
        <v/>
      </c>
      <c r="G235" s="0" t="str">
        <f aca="true">IF(A235="","",IF(ISNUMBER(A235),IF(A235&gt;=36526,A235,""),IFERROR(DATE(VALUE(RIGHT(RIGHT(TRIM(A235),10),4)),VALUE(MID(RIGHT(TRIM(A235),10),4,2)),VALUE(LEFT(RIGHT(TRIM(A235),10),2))),IFERROR(TODAY()-MOD(WEEKDAY(TODAY(),1)-MATCH(TRIM(A235),{"الأحد","الاثنين","الثلاثاء","الأربعاء","الخميس","الجمعة","السبت"},0),7),IFERROR(DATEVALUE(A235),"")))))</f>
        <v/>
      </c>
      <c r="H235" s="0" t="str">
        <f aca="false">IF(G235="","",INT((G235-WEEK_ONE)/7)+1)</f>
        <v/>
      </c>
      <c r="I235" s="0" t="str">
        <f aca="false">IF(H235="","",IF(OR(H235&lt;1,H235&gt;NW),"",INDEX(WMON,H235)))</f>
        <v/>
      </c>
      <c r="J235" s="0" t="str">
        <f aca="false">IF(OR(G235="",H235="",C235=""),"",IF(C235="عمر المصري",SUMIFS('ساعات عمر'!$H$5:$H$746,'ساعات عمر'!$A$5:$A$746,"&gt;="&amp;(WEEK_ONE+7*(H235-1)),'ساعات عمر'!$A$5:$A$746,"&lt;="&amp;G235),SUMIFS('ساعات عبدالعزيز'!$F$5:$F$746,'ساعات عبدالعزيز'!$A$5:$A$746,"&gt;="&amp;(WEEK_ONE+7*(H235-1)),'ساعات عبدالعزيز'!$A$5:$A$746,"&lt;="&amp;G235)))</f>
        <v/>
      </c>
    </row>
    <row r="236" customFormat="false" ht="15" hidden="false" customHeight="false" outlineLevel="0" collapsed="false">
      <c r="A236" s="43"/>
      <c r="B236" s="23" t="str">
        <f aca="false">IF(G236="","",CHOOSE(WEEKDAY(G236,1),"الأحد","الاثنين","الثلاثاء","الأربعاء","الخميس","الجمعة","السبت")&amp;IF(OR(ISNUMBER(A236),LEN(TRIM(A236))&gt;=10),"","  "&amp;TEXT(DAY(G236),"00")&amp;"/"&amp;TEXT(MONTH(G236),"00")&amp;"/"&amp;YEAR(G236)))</f>
        <v/>
      </c>
      <c r="C236" s="24"/>
      <c r="D236" s="44"/>
      <c r="E236" s="27"/>
      <c r="F236" s="45" t="str">
        <f aca="false">IF(A236="","",IF(G236="","⛔ التاريخ غلط — اختاره من القائمة أو اكتبه كامل 05/10/2026",IF(OR(H236&lt;1,H236&gt;NW),"⛔ التاريخ برّا السنة",IF(AND(N(D236)&gt;0,N(J236)&gt;0,D236&gt;ADV_CAP*J236),"⚠️ أكثر من "&amp;TEXT(ADV_CAP,"0%")&amp;" من شغله ("&amp;TEXT(J236,"0.000")&amp;")",""))))</f>
        <v/>
      </c>
      <c r="G236" s="0" t="str">
        <f aca="true">IF(A236="","",IF(ISNUMBER(A236),IF(A236&gt;=36526,A236,""),IFERROR(DATE(VALUE(RIGHT(RIGHT(TRIM(A236),10),4)),VALUE(MID(RIGHT(TRIM(A236),10),4,2)),VALUE(LEFT(RIGHT(TRIM(A236),10),2))),IFERROR(TODAY()-MOD(WEEKDAY(TODAY(),1)-MATCH(TRIM(A236),{"الأحد","الاثنين","الثلاثاء","الأربعاء","الخميس","الجمعة","السبت"},0),7),IFERROR(DATEVALUE(A236),"")))))</f>
        <v/>
      </c>
      <c r="H236" s="0" t="str">
        <f aca="false">IF(G236="","",INT((G236-WEEK_ONE)/7)+1)</f>
        <v/>
      </c>
      <c r="I236" s="0" t="str">
        <f aca="false">IF(H236="","",IF(OR(H236&lt;1,H236&gt;NW),"",INDEX(WMON,H236)))</f>
        <v/>
      </c>
      <c r="J236" s="0" t="str">
        <f aca="false">IF(OR(G236="",H236="",C236=""),"",IF(C236="عمر المصري",SUMIFS('ساعات عمر'!$H$5:$H$746,'ساعات عمر'!$A$5:$A$746,"&gt;="&amp;(WEEK_ONE+7*(H236-1)),'ساعات عمر'!$A$5:$A$746,"&lt;="&amp;G236),SUMIFS('ساعات عبدالعزيز'!$F$5:$F$746,'ساعات عبدالعزيز'!$A$5:$A$746,"&gt;="&amp;(WEEK_ONE+7*(H236-1)),'ساعات عبدالعزيز'!$A$5:$A$746,"&lt;="&amp;G236)))</f>
        <v/>
      </c>
    </row>
    <row r="237" customFormat="false" ht="15" hidden="false" customHeight="false" outlineLevel="0" collapsed="false">
      <c r="A237" s="43"/>
      <c r="B237" s="23" t="str">
        <f aca="false">IF(G237="","",CHOOSE(WEEKDAY(G237,1),"الأحد","الاثنين","الثلاثاء","الأربعاء","الخميس","الجمعة","السبت")&amp;IF(OR(ISNUMBER(A237),LEN(TRIM(A237))&gt;=10),"","  "&amp;TEXT(DAY(G237),"00")&amp;"/"&amp;TEXT(MONTH(G237),"00")&amp;"/"&amp;YEAR(G237)))</f>
        <v/>
      </c>
      <c r="C237" s="24"/>
      <c r="D237" s="44"/>
      <c r="E237" s="27"/>
      <c r="F237" s="45" t="str">
        <f aca="false">IF(A237="","",IF(G237="","⛔ التاريخ غلط — اختاره من القائمة أو اكتبه كامل 05/10/2026",IF(OR(H237&lt;1,H237&gt;NW),"⛔ التاريخ برّا السنة",IF(AND(N(D237)&gt;0,N(J237)&gt;0,D237&gt;ADV_CAP*J237),"⚠️ أكثر من "&amp;TEXT(ADV_CAP,"0%")&amp;" من شغله ("&amp;TEXT(J237,"0.000")&amp;")",""))))</f>
        <v/>
      </c>
      <c r="G237" s="0" t="str">
        <f aca="true">IF(A237="","",IF(ISNUMBER(A237),IF(A237&gt;=36526,A237,""),IFERROR(DATE(VALUE(RIGHT(RIGHT(TRIM(A237),10),4)),VALUE(MID(RIGHT(TRIM(A237),10),4,2)),VALUE(LEFT(RIGHT(TRIM(A237),10),2))),IFERROR(TODAY()-MOD(WEEKDAY(TODAY(),1)-MATCH(TRIM(A237),{"الأحد","الاثنين","الثلاثاء","الأربعاء","الخميس","الجمعة","السبت"},0),7),IFERROR(DATEVALUE(A237),"")))))</f>
        <v/>
      </c>
      <c r="H237" s="0" t="str">
        <f aca="false">IF(G237="","",INT((G237-WEEK_ONE)/7)+1)</f>
        <v/>
      </c>
      <c r="I237" s="0" t="str">
        <f aca="false">IF(H237="","",IF(OR(H237&lt;1,H237&gt;NW),"",INDEX(WMON,H237)))</f>
        <v/>
      </c>
      <c r="J237" s="0" t="str">
        <f aca="false">IF(OR(G237="",H237="",C237=""),"",IF(C237="عمر المصري",SUMIFS('ساعات عمر'!$H$5:$H$746,'ساعات عمر'!$A$5:$A$746,"&gt;="&amp;(WEEK_ONE+7*(H237-1)),'ساعات عمر'!$A$5:$A$746,"&lt;="&amp;G237),SUMIFS('ساعات عبدالعزيز'!$F$5:$F$746,'ساعات عبدالعزيز'!$A$5:$A$746,"&gt;="&amp;(WEEK_ONE+7*(H237-1)),'ساعات عبدالعزيز'!$A$5:$A$746,"&lt;="&amp;G237)))</f>
        <v/>
      </c>
    </row>
    <row r="238" customFormat="false" ht="15" hidden="false" customHeight="false" outlineLevel="0" collapsed="false">
      <c r="A238" s="43"/>
      <c r="B238" s="23" t="str">
        <f aca="false">IF(G238="","",CHOOSE(WEEKDAY(G238,1),"الأحد","الاثنين","الثلاثاء","الأربعاء","الخميس","الجمعة","السبت")&amp;IF(OR(ISNUMBER(A238),LEN(TRIM(A238))&gt;=10),"","  "&amp;TEXT(DAY(G238),"00")&amp;"/"&amp;TEXT(MONTH(G238),"00")&amp;"/"&amp;YEAR(G238)))</f>
        <v/>
      </c>
      <c r="C238" s="24"/>
      <c r="D238" s="44"/>
      <c r="E238" s="27"/>
      <c r="F238" s="45" t="str">
        <f aca="false">IF(A238="","",IF(G238="","⛔ التاريخ غلط — اختاره من القائمة أو اكتبه كامل 05/10/2026",IF(OR(H238&lt;1,H238&gt;NW),"⛔ التاريخ برّا السنة",IF(AND(N(D238)&gt;0,N(J238)&gt;0,D238&gt;ADV_CAP*J238),"⚠️ أكثر من "&amp;TEXT(ADV_CAP,"0%")&amp;" من شغله ("&amp;TEXT(J238,"0.000")&amp;")",""))))</f>
        <v/>
      </c>
      <c r="G238" s="0" t="str">
        <f aca="true">IF(A238="","",IF(ISNUMBER(A238),IF(A238&gt;=36526,A238,""),IFERROR(DATE(VALUE(RIGHT(RIGHT(TRIM(A238),10),4)),VALUE(MID(RIGHT(TRIM(A238),10),4,2)),VALUE(LEFT(RIGHT(TRIM(A238),10),2))),IFERROR(TODAY()-MOD(WEEKDAY(TODAY(),1)-MATCH(TRIM(A238),{"الأحد","الاثنين","الثلاثاء","الأربعاء","الخميس","الجمعة","السبت"},0),7),IFERROR(DATEVALUE(A238),"")))))</f>
        <v/>
      </c>
      <c r="H238" s="0" t="str">
        <f aca="false">IF(G238="","",INT((G238-WEEK_ONE)/7)+1)</f>
        <v/>
      </c>
      <c r="I238" s="0" t="str">
        <f aca="false">IF(H238="","",IF(OR(H238&lt;1,H238&gt;NW),"",INDEX(WMON,H238)))</f>
        <v/>
      </c>
      <c r="J238" s="0" t="str">
        <f aca="false">IF(OR(G238="",H238="",C238=""),"",IF(C238="عمر المصري",SUMIFS('ساعات عمر'!$H$5:$H$746,'ساعات عمر'!$A$5:$A$746,"&gt;="&amp;(WEEK_ONE+7*(H238-1)),'ساعات عمر'!$A$5:$A$746,"&lt;="&amp;G238),SUMIFS('ساعات عبدالعزيز'!$F$5:$F$746,'ساعات عبدالعزيز'!$A$5:$A$746,"&gt;="&amp;(WEEK_ONE+7*(H238-1)),'ساعات عبدالعزيز'!$A$5:$A$746,"&lt;="&amp;G238)))</f>
        <v/>
      </c>
    </row>
    <row r="239" customFormat="false" ht="15" hidden="false" customHeight="false" outlineLevel="0" collapsed="false">
      <c r="A239" s="43"/>
      <c r="B239" s="23" t="str">
        <f aca="false">IF(G239="","",CHOOSE(WEEKDAY(G239,1),"الأحد","الاثنين","الثلاثاء","الأربعاء","الخميس","الجمعة","السبت")&amp;IF(OR(ISNUMBER(A239),LEN(TRIM(A239))&gt;=10),"","  "&amp;TEXT(DAY(G239),"00")&amp;"/"&amp;TEXT(MONTH(G239),"00")&amp;"/"&amp;YEAR(G239)))</f>
        <v/>
      </c>
      <c r="C239" s="24"/>
      <c r="D239" s="44"/>
      <c r="E239" s="27"/>
      <c r="F239" s="45" t="str">
        <f aca="false">IF(A239="","",IF(G239="","⛔ التاريخ غلط — اختاره من القائمة أو اكتبه كامل 05/10/2026",IF(OR(H239&lt;1,H239&gt;NW),"⛔ التاريخ برّا السنة",IF(AND(N(D239)&gt;0,N(J239)&gt;0,D239&gt;ADV_CAP*J239),"⚠️ أكثر من "&amp;TEXT(ADV_CAP,"0%")&amp;" من شغله ("&amp;TEXT(J239,"0.000")&amp;")",""))))</f>
        <v/>
      </c>
      <c r="G239" s="0" t="str">
        <f aca="true">IF(A239="","",IF(ISNUMBER(A239),IF(A239&gt;=36526,A239,""),IFERROR(DATE(VALUE(RIGHT(RIGHT(TRIM(A239),10),4)),VALUE(MID(RIGHT(TRIM(A239),10),4,2)),VALUE(LEFT(RIGHT(TRIM(A239),10),2))),IFERROR(TODAY()-MOD(WEEKDAY(TODAY(),1)-MATCH(TRIM(A239),{"الأحد","الاثنين","الثلاثاء","الأربعاء","الخميس","الجمعة","السبت"},0),7),IFERROR(DATEVALUE(A239),"")))))</f>
        <v/>
      </c>
      <c r="H239" s="0" t="str">
        <f aca="false">IF(G239="","",INT((G239-WEEK_ONE)/7)+1)</f>
        <v/>
      </c>
      <c r="I239" s="0" t="str">
        <f aca="false">IF(H239="","",IF(OR(H239&lt;1,H239&gt;NW),"",INDEX(WMON,H239)))</f>
        <v/>
      </c>
      <c r="J239" s="0" t="str">
        <f aca="false">IF(OR(G239="",H239="",C239=""),"",IF(C239="عمر المصري",SUMIFS('ساعات عمر'!$H$5:$H$746,'ساعات عمر'!$A$5:$A$746,"&gt;="&amp;(WEEK_ONE+7*(H239-1)),'ساعات عمر'!$A$5:$A$746,"&lt;="&amp;G239),SUMIFS('ساعات عبدالعزيز'!$F$5:$F$746,'ساعات عبدالعزيز'!$A$5:$A$746,"&gt;="&amp;(WEEK_ONE+7*(H239-1)),'ساعات عبدالعزيز'!$A$5:$A$746,"&lt;="&amp;G239)))</f>
        <v/>
      </c>
    </row>
    <row r="240" customFormat="false" ht="15" hidden="false" customHeight="false" outlineLevel="0" collapsed="false">
      <c r="A240" s="43"/>
      <c r="B240" s="23" t="str">
        <f aca="false">IF(G240="","",CHOOSE(WEEKDAY(G240,1),"الأحد","الاثنين","الثلاثاء","الأربعاء","الخميس","الجمعة","السبت")&amp;IF(OR(ISNUMBER(A240),LEN(TRIM(A240))&gt;=10),"","  "&amp;TEXT(DAY(G240),"00")&amp;"/"&amp;TEXT(MONTH(G240),"00")&amp;"/"&amp;YEAR(G240)))</f>
        <v/>
      </c>
      <c r="C240" s="24"/>
      <c r="D240" s="44"/>
      <c r="E240" s="27"/>
      <c r="F240" s="45" t="str">
        <f aca="false">IF(A240="","",IF(G240="","⛔ التاريخ غلط — اختاره من القائمة أو اكتبه كامل 05/10/2026",IF(OR(H240&lt;1,H240&gt;NW),"⛔ التاريخ برّا السنة",IF(AND(N(D240)&gt;0,N(J240)&gt;0,D240&gt;ADV_CAP*J240),"⚠️ أكثر من "&amp;TEXT(ADV_CAP,"0%")&amp;" من شغله ("&amp;TEXT(J240,"0.000")&amp;")",""))))</f>
        <v/>
      </c>
      <c r="G240" s="0" t="str">
        <f aca="true">IF(A240="","",IF(ISNUMBER(A240),IF(A240&gt;=36526,A240,""),IFERROR(DATE(VALUE(RIGHT(RIGHT(TRIM(A240),10),4)),VALUE(MID(RIGHT(TRIM(A240),10),4,2)),VALUE(LEFT(RIGHT(TRIM(A240),10),2))),IFERROR(TODAY()-MOD(WEEKDAY(TODAY(),1)-MATCH(TRIM(A240),{"الأحد","الاثنين","الثلاثاء","الأربعاء","الخميس","الجمعة","السبت"},0),7),IFERROR(DATEVALUE(A240),"")))))</f>
        <v/>
      </c>
      <c r="H240" s="0" t="str">
        <f aca="false">IF(G240="","",INT((G240-WEEK_ONE)/7)+1)</f>
        <v/>
      </c>
      <c r="I240" s="0" t="str">
        <f aca="false">IF(H240="","",IF(OR(H240&lt;1,H240&gt;NW),"",INDEX(WMON,H240)))</f>
        <v/>
      </c>
      <c r="J240" s="0" t="str">
        <f aca="false">IF(OR(G240="",H240="",C240=""),"",IF(C240="عمر المصري",SUMIFS('ساعات عمر'!$H$5:$H$746,'ساعات عمر'!$A$5:$A$746,"&gt;="&amp;(WEEK_ONE+7*(H240-1)),'ساعات عمر'!$A$5:$A$746,"&lt;="&amp;G240),SUMIFS('ساعات عبدالعزيز'!$F$5:$F$746,'ساعات عبدالعزيز'!$A$5:$A$746,"&gt;="&amp;(WEEK_ONE+7*(H240-1)),'ساعات عبدالعزيز'!$A$5:$A$746,"&lt;="&amp;G240)))</f>
        <v/>
      </c>
    </row>
    <row r="241" customFormat="false" ht="15" hidden="false" customHeight="false" outlineLevel="0" collapsed="false">
      <c r="A241" s="43"/>
      <c r="B241" s="23" t="str">
        <f aca="false">IF(G241="","",CHOOSE(WEEKDAY(G241,1),"الأحد","الاثنين","الثلاثاء","الأربعاء","الخميس","الجمعة","السبت")&amp;IF(OR(ISNUMBER(A241),LEN(TRIM(A241))&gt;=10),"","  "&amp;TEXT(DAY(G241),"00")&amp;"/"&amp;TEXT(MONTH(G241),"00")&amp;"/"&amp;YEAR(G241)))</f>
        <v/>
      </c>
      <c r="C241" s="24"/>
      <c r="D241" s="44"/>
      <c r="E241" s="27"/>
      <c r="F241" s="45" t="str">
        <f aca="false">IF(A241="","",IF(G241="","⛔ التاريخ غلط — اختاره من القائمة أو اكتبه كامل 05/10/2026",IF(OR(H241&lt;1,H241&gt;NW),"⛔ التاريخ برّا السنة",IF(AND(N(D241)&gt;0,N(J241)&gt;0,D241&gt;ADV_CAP*J241),"⚠️ أكثر من "&amp;TEXT(ADV_CAP,"0%")&amp;" من شغله ("&amp;TEXT(J241,"0.000")&amp;")",""))))</f>
        <v/>
      </c>
      <c r="G241" s="0" t="str">
        <f aca="true">IF(A241="","",IF(ISNUMBER(A241),IF(A241&gt;=36526,A241,""),IFERROR(DATE(VALUE(RIGHT(RIGHT(TRIM(A241),10),4)),VALUE(MID(RIGHT(TRIM(A241),10),4,2)),VALUE(LEFT(RIGHT(TRIM(A241),10),2))),IFERROR(TODAY()-MOD(WEEKDAY(TODAY(),1)-MATCH(TRIM(A241),{"الأحد","الاثنين","الثلاثاء","الأربعاء","الخميس","الجمعة","السبت"},0),7),IFERROR(DATEVALUE(A241),"")))))</f>
        <v/>
      </c>
      <c r="H241" s="0" t="str">
        <f aca="false">IF(G241="","",INT((G241-WEEK_ONE)/7)+1)</f>
        <v/>
      </c>
      <c r="I241" s="0" t="str">
        <f aca="false">IF(H241="","",IF(OR(H241&lt;1,H241&gt;NW),"",INDEX(WMON,H241)))</f>
        <v/>
      </c>
      <c r="J241" s="0" t="str">
        <f aca="false">IF(OR(G241="",H241="",C241=""),"",IF(C241="عمر المصري",SUMIFS('ساعات عمر'!$H$5:$H$746,'ساعات عمر'!$A$5:$A$746,"&gt;="&amp;(WEEK_ONE+7*(H241-1)),'ساعات عمر'!$A$5:$A$746,"&lt;="&amp;G241),SUMIFS('ساعات عبدالعزيز'!$F$5:$F$746,'ساعات عبدالعزيز'!$A$5:$A$746,"&gt;="&amp;(WEEK_ONE+7*(H241-1)),'ساعات عبدالعزيز'!$A$5:$A$746,"&lt;="&amp;G241)))</f>
        <v/>
      </c>
    </row>
    <row r="242" customFormat="false" ht="15" hidden="false" customHeight="false" outlineLevel="0" collapsed="false">
      <c r="A242" s="43"/>
      <c r="B242" s="23" t="str">
        <f aca="false">IF(G242="","",CHOOSE(WEEKDAY(G242,1),"الأحد","الاثنين","الثلاثاء","الأربعاء","الخميس","الجمعة","السبت")&amp;IF(OR(ISNUMBER(A242),LEN(TRIM(A242))&gt;=10),"","  "&amp;TEXT(DAY(G242),"00")&amp;"/"&amp;TEXT(MONTH(G242),"00")&amp;"/"&amp;YEAR(G242)))</f>
        <v/>
      </c>
      <c r="C242" s="24"/>
      <c r="D242" s="44"/>
      <c r="E242" s="27"/>
      <c r="F242" s="45" t="str">
        <f aca="false">IF(A242="","",IF(G242="","⛔ التاريخ غلط — اختاره من القائمة أو اكتبه كامل 05/10/2026",IF(OR(H242&lt;1,H242&gt;NW),"⛔ التاريخ برّا السنة",IF(AND(N(D242)&gt;0,N(J242)&gt;0,D242&gt;ADV_CAP*J242),"⚠️ أكثر من "&amp;TEXT(ADV_CAP,"0%")&amp;" من شغله ("&amp;TEXT(J242,"0.000")&amp;")",""))))</f>
        <v/>
      </c>
      <c r="G242" s="0" t="str">
        <f aca="true">IF(A242="","",IF(ISNUMBER(A242),IF(A242&gt;=36526,A242,""),IFERROR(DATE(VALUE(RIGHT(RIGHT(TRIM(A242),10),4)),VALUE(MID(RIGHT(TRIM(A242),10),4,2)),VALUE(LEFT(RIGHT(TRIM(A242),10),2))),IFERROR(TODAY()-MOD(WEEKDAY(TODAY(),1)-MATCH(TRIM(A242),{"الأحد","الاثنين","الثلاثاء","الأربعاء","الخميس","الجمعة","السبت"},0),7),IFERROR(DATEVALUE(A242),"")))))</f>
        <v/>
      </c>
      <c r="H242" s="0" t="str">
        <f aca="false">IF(G242="","",INT((G242-WEEK_ONE)/7)+1)</f>
        <v/>
      </c>
      <c r="I242" s="0" t="str">
        <f aca="false">IF(H242="","",IF(OR(H242&lt;1,H242&gt;NW),"",INDEX(WMON,H242)))</f>
        <v/>
      </c>
      <c r="J242" s="0" t="str">
        <f aca="false">IF(OR(G242="",H242="",C242=""),"",IF(C242="عمر المصري",SUMIFS('ساعات عمر'!$H$5:$H$746,'ساعات عمر'!$A$5:$A$746,"&gt;="&amp;(WEEK_ONE+7*(H242-1)),'ساعات عمر'!$A$5:$A$746,"&lt;="&amp;G242),SUMIFS('ساعات عبدالعزيز'!$F$5:$F$746,'ساعات عبدالعزيز'!$A$5:$A$746,"&gt;="&amp;(WEEK_ONE+7*(H242-1)),'ساعات عبدالعزيز'!$A$5:$A$746,"&lt;="&amp;G242)))</f>
        <v/>
      </c>
    </row>
    <row r="243" customFormat="false" ht="15" hidden="false" customHeight="false" outlineLevel="0" collapsed="false">
      <c r="A243" s="43"/>
      <c r="B243" s="23" t="str">
        <f aca="false">IF(G243="","",CHOOSE(WEEKDAY(G243,1),"الأحد","الاثنين","الثلاثاء","الأربعاء","الخميس","الجمعة","السبت")&amp;IF(OR(ISNUMBER(A243),LEN(TRIM(A243))&gt;=10),"","  "&amp;TEXT(DAY(G243),"00")&amp;"/"&amp;TEXT(MONTH(G243),"00")&amp;"/"&amp;YEAR(G243)))</f>
        <v/>
      </c>
      <c r="C243" s="24"/>
      <c r="D243" s="44"/>
      <c r="E243" s="27"/>
      <c r="F243" s="45" t="str">
        <f aca="false">IF(A243="","",IF(G243="","⛔ التاريخ غلط — اختاره من القائمة أو اكتبه كامل 05/10/2026",IF(OR(H243&lt;1,H243&gt;NW),"⛔ التاريخ برّا السنة",IF(AND(N(D243)&gt;0,N(J243)&gt;0,D243&gt;ADV_CAP*J243),"⚠️ أكثر من "&amp;TEXT(ADV_CAP,"0%")&amp;" من شغله ("&amp;TEXT(J243,"0.000")&amp;")",""))))</f>
        <v/>
      </c>
      <c r="G243" s="0" t="str">
        <f aca="true">IF(A243="","",IF(ISNUMBER(A243),IF(A243&gt;=36526,A243,""),IFERROR(DATE(VALUE(RIGHT(RIGHT(TRIM(A243),10),4)),VALUE(MID(RIGHT(TRIM(A243),10),4,2)),VALUE(LEFT(RIGHT(TRIM(A243),10),2))),IFERROR(TODAY()-MOD(WEEKDAY(TODAY(),1)-MATCH(TRIM(A243),{"الأحد","الاثنين","الثلاثاء","الأربعاء","الخميس","الجمعة","السبت"},0),7),IFERROR(DATEVALUE(A243),"")))))</f>
        <v/>
      </c>
      <c r="H243" s="0" t="str">
        <f aca="false">IF(G243="","",INT((G243-WEEK_ONE)/7)+1)</f>
        <v/>
      </c>
      <c r="I243" s="0" t="str">
        <f aca="false">IF(H243="","",IF(OR(H243&lt;1,H243&gt;NW),"",INDEX(WMON,H243)))</f>
        <v/>
      </c>
      <c r="J243" s="0" t="str">
        <f aca="false">IF(OR(G243="",H243="",C243=""),"",IF(C243="عمر المصري",SUMIFS('ساعات عمر'!$H$5:$H$746,'ساعات عمر'!$A$5:$A$746,"&gt;="&amp;(WEEK_ONE+7*(H243-1)),'ساعات عمر'!$A$5:$A$746,"&lt;="&amp;G243),SUMIFS('ساعات عبدالعزيز'!$F$5:$F$746,'ساعات عبدالعزيز'!$A$5:$A$746,"&gt;="&amp;(WEEK_ONE+7*(H243-1)),'ساعات عبدالعزيز'!$A$5:$A$746,"&lt;="&amp;G243)))</f>
        <v/>
      </c>
    </row>
    <row r="244" customFormat="false" ht="15" hidden="false" customHeight="false" outlineLevel="0" collapsed="false">
      <c r="A244" s="43"/>
      <c r="B244" s="23" t="str">
        <f aca="false">IF(G244="","",CHOOSE(WEEKDAY(G244,1),"الأحد","الاثنين","الثلاثاء","الأربعاء","الخميس","الجمعة","السبت")&amp;IF(OR(ISNUMBER(A244),LEN(TRIM(A244))&gt;=10),"","  "&amp;TEXT(DAY(G244),"00")&amp;"/"&amp;TEXT(MONTH(G244),"00")&amp;"/"&amp;YEAR(G244)))</f>
        <v/>
      </c>
      <c r="C244" s="24"/>
      <c r="D244" s="44"/>
      <c r="E244" s="27"/>
      <c r="F244" s="45" t="str">
        <f aca="false">IF(A244="","",IF(G244="","⛔ التاريخ غلط — اختاره من القائمة أو اكتبه كامل 05/10/2026",IF(OR(H244&lt;1,H244&gt;NW),"⛔ التاريخ برّا السنة",IF(AND(N(D244)&gt;0,N(J244)&gt;0,D244&gt;ADV_CAP*J244),"⚠️ أكثر من "&amp;TEXT(ADV_CAP,"0%")&amp;" من شغله ("&amp;TEXT(J244,"0.000")&amp;")",""))))</f>
        <v/>
      </c>
      <c r="G244" s="0" t="str">
        <f aca="true">IF(A244="","",IF(ISNUMBER(A244),IF(A244&gt;=36526,A244,""),IFERROR(DATE(VALUE(RIGHT(RIGHT(TRIM(A244),10),4)),VALUE(MID(RIGHT(TRIM(A244),10),4,2)),VALUE(LEFT(RIGHT(TRIM(A244),10),2))),IFERROR(TODAY()-MOD(WEEKDAY(TODAY(),1)-MATCH(TRIM(A244),{"الأحد","الاثنين","الثلاثاء","الأربعاء","الخميس","الجمعة","السبت"},0),7),IFERROR(DATEVALUE(A244),"")))))</f>
        <v/>
      </c>
      <c r="H244" s="0" t="str">
        <f aca="false">IF(G244="","",INT((G244-WEEK_ONE)/7)+1)</f>
        <v/>
      </c>
      <c r="I244" s="0" t="str">
        <f aca="false">IF(H244="","",IF(OR(H244&lt;1,H244&gt;NW),"",INDEX(WMON,H244)))</f>
        <v/>
      </c>
      <c r="J244" s="0" t="str">
        <f aca="false">IF(OR(G244="",H244="",C244=""),"",IF(C244="عمر المصري",SUMIFS('ساعات عمر'!$H$5:$H$746,'ساعات عمر'!$A$5:$A$746,"&gt;="&amp;(WEEK_ONE+7*(H244-1)),'ساعات عمر'!$A$5:$A$746,"&lt;="&amp;G244),SUMIFS('ساعات عبدالعزيز'!$F$5:$F$746,'ساعات عبدالعزيز'!$A$5:$A$746,"&gt;="&amp;(WEEK_ONE+7*(H244-1)),'ساعات عبدالعزيز'!$A$5:$A$746,"&lt;="&amp;G244)))</f>
        <v/>
      </c>
    </row>
    <row r="245" customFormat="false" ht="15" hidden="false" customHeight="false" outlineLevel="0" collapsed="false">
      <c r="A245" s="43"/>
      <c r="B245" s="23" t="str">
        <f aca="false">IF(G245="","",CHOOSE(WEEKDAY(G245,1),"الأحد","الاثنين","الثلاثاء","الأربعاء","الخميس","الجمعة","السبت")&amp;IF(OR(ISNUMBER(A245),LEN(TRIM(A245))&gt;=10),"","  "&amp;TEXT(DAY(G245),"00")&amp;"/"&amp;TEXT(MONTH(G245),"00")&amp;"/"&amp;YEAR(G245)))</f>
        <v/>
      </c>
      <c r="C245" s="24"/>
      <c r="D245" s="44"/>
      <c r="E245" s="27"/>
      <c r="F245" s="45" t="str">
        <f aca="false">IF(A245="","",IF(G245="","⛔ التاريخ غلط — اختاره من القائمة أو اكتبه كامل 05/10/2026",IF(OR(H245&lt;1,H245&gt;NW),"⛔ التاريخ برّا السنة",IF(AND(N(D245)&gt;0,N(J245)&gt;0,D245&gt;ADV_CAP*J245),"⚠️ أكثر من "&amp;TEXT(ADV_CAP,"0%")&amp;" من شغله ("&amp;TEXT(J245,"0.000")&amp;")",""))))</f>
        <v/>
      </c>
      <c r="G245" s="0" t="str">
        <f aca="true">IF(A245="","",IF(ISNUMBER(A245),IF(A245&gt;=36526,A245,""),IFERROR(DATE(VALUE(RIGHT(RIGHT(TRIM(A245),10),4)),VALUE(MID(RIGHT(TRIM(A245),10),4,2)),VALUE(LEFT(RIGHT(TRIM(A245),10),2))),IFERROR(TODAY()-MOD(WEEKDAY(TODAY(),1)-MATCH(TRIM(A245),{"الأحد","الاثنين","الثلاثاء","الأربعاء","الخميس","الجمعة","السبت"},0),7),IFERROR(DATEVALUE(A245),"")))))</f>
        <v/>
      </c>
      <c r="H245" s="0" t="str">
        <f aca="false">IF(G245="","",INT((G245-WEEK_ONE)/7)+1)</f>
        <v/>
      </c>
      <c r="I245" s="0" t="str">
        <f aca="false">IF(H245="","",IF(OR(H245&lt;1,H245&gt;NW),"",INDEX(WMON,H245)))</f>
        <v/>
      </c>
      <c r="J245" s="0" t="str">
        <f aca="false">IF(OR(G245="",H245="",C245=""),"",IF(C245="عمر المصري",SUMIFS('ساعات عمر'!$H$5:$H$746,'ساعات عمر'!$A$5:$A$746,"&gt;="&amp;(WEEK_ONE+7*(H245-1)),'ساعات عمر'!$A$5:$A$746,"&lt;="&amp;G245),SUMIFS('ساعات عبدالعزيز'!$F$5:$F$746,'ساعات عبدالعزيز'!$A$5:$A$746,"&gt;="&amp;(WEEK_ONE+7*(H245-1)),'ساعات عبدالعزيز'!$A$5:$A$746,"&lt;="&amp;G245)))</f>
        <v/>
      </c>
    </row>
    <row r="246" customFormat="false" ht="15" hidden="false" customHeight="false" outlineLevel="0" collapsed="false">
      <c r="A246" s="43"/>
      <c r="B246" s="23" t="str">
        <f aca="false">IF(G246="","",CHOOSE(WEEKDAY(G246,1),"الأحد","الاثنين","الثلاثاء","الأربعاء","الخميس","الجمعة","السبت")&amp;IF(OR(ISNUMBER(A246),LEN(TRIM(A246))&gt;=10),"","  "&amp;TEXT(DAY(G246),"00")&amp;"/"&amp;TEXT(MONTH(G246),"00")&amp;"/"&amp;YEAR(G246)))</f>
        <v/>
      </c>
      <c r="C246" s="24"/>
      <c r="D246" s="44"/>
      <c r="E246" s="27"/>
      <c r="F246" s="45" t="str">
        <f aca="false">IF(A246="","",IF(G246="","⛔ التاريخ غلط — اختاره من القائمة أو اكتبه كامل 05/10/2026",IF(OR(H246&lt;1,H246&gt;NW),"⛔ التاريخ برّا السنة",IF(AND(N(D246)&gt;0,N(J246)&gt;0,D246&gt;ADV_CAP*J246),"⚠️ أكثر من "&amp;TEXT(ADV_CAP,"0%")&amp;" من شغله ("&amp;TEXT(J246,"0.000")&amp;")",""))))</f>
        <v/>
      </c>
      <c r="G246" s="0" t="str">
        <f aca="true">IF(A246="","",IF(ISNUMBER(A246),IF(A246&gt;=36526,A246,""),IFERROR(DATE(VALUE(RIGHT(RIGHT(TRIM(A246),10),4)),VALUE(MID(RIGHT(TRIM(A246),10),4,2)),VALUE(LEFT(RIGHT(TRIM(A246),10),2))),IFERROR(TODAY()-MOD(WEEKDAY(TODAY(),1)-MATCH(TRIM(A246),{"الأحد","الاثنين","الثلاثاء","الأربعاء","الخميس","الجمعة","السبت"},0),7),IFERROR(DATEVALUE(A246),"")))))</f>
        <v/>
      </c>
      <c r="H246" s="0" t="str">
        <f aca="false">IF(G246="","",INT((G246-WEEK_ONE)/7)+1)</f>
        <v/>
      </c>
      <c r="I246" s="0" t="str">
        <f aca="false">IF(H246="","",IF(OR(H246&lt;1,H246&gt;NW),"",INDEX(WMON,H246)))</f>
        <v/>
      </c>
      <c r="J246" s="0" t="str">
        <f aca="false">IF(OR(G246="",H246="",C246=""),"",IF(C246="عمر المصري",SUMIFS('ساعات عمر'!$H$5:$H$746,'ساعات عمر'!$A$5:$A$746,"&gt;="&amp;(WEEK_ONE+7*(H246-1)),'ساعات عمر'!$A$5:$A$746,"&lt;="&amp;G246),SUMIFS('ساعات عبدالعزيز'!$F$5:$F$746,'ساعات عبدالعزيز'!$A$5:$A$746,"&gt;="&amp;(WEEK_ONE+7*(H246-1)),'ساعات عبدالعزيز'!$A$5:$A$746,"&lt;="&amp;G246)))</f>
        <v/>
      </c>
    </row>
    <row r="247" customFormat="false" ht="15" hidden="false" customHeight="false" outlineLevel="0" collapsed="false">
      <c r="A247" s="43"/>
      <c r="B247" s="23" t="str">
        <f aca="false">IF(G247="","",CHOOSE(WEEKDAY(G247,1),"الأحد","الاثنين","الثلاثاء","الأربعاء","الخميس","الجمعة","السبت")&amp;IF(OR(ISNUMBER(A247),LEN(TRIM(A247))&gt;=10),"","  "&amp;TEXT(DAY(G247),"00")&amp;"/"&amp;TEXT(MONTH(G247),"00")&amp;"/"&amp;YEAR(G247)))</f>
        <v/>
      </c>
      <c r="C247" s="24"/>
      <c r="D247" s="44"/>
      <c r="E247" s="27"/>
      <c r="F247" s="45" t="str">
        <f aca="false">IF(A247="","",IF(G247="","⛔ التاريخ غلط — اختاره من القائمة أو اكتبه كامل 05/10/2026",IF(OR(H247&lt;1,H247&gt;NW),"⛔ التاريخ برّا السنة",IF(AND(N(D247)&gt;0,N(J247)&gt;0,D247&gt;ADV_CAP*J247),"⚠️ أكثر من "&amp;TEXT(ADV_CAP,"0%")&amp;" من شغله ("&amp;TEXT(J247,"0.000")&amp;")",""))))</f>
        <v/>
      </c>
      <c r="G247" s="0" t="str">
        <f aca="true">IF(A247="","",IF(ISNUMBER(A247),IF(A247&gt;=36526,A247,""),IFERROR(DATE(VALUE(RIGHT(RIGHT(TRIM(A247),10),4)),VALUE(MID(RIGHT(TRIM(A247),10),4,2)),VALUE(LEFT(RIGHT(TRIM(A247),10),2))),IFERROR(TODAY()-MOD(WEEKDAY(TODAY(),1)-MATCH(TRIM(A247),{"الأحد","الاثنين","الثلاثاء","الأربعاء","الخميس","الجمعة","السبت"},0),7),IFERROR(DATEVALUE(A247),"")))))</f>
        <v/>
      </c>
      <c r="H247" s="0" t="str">
        <f aca="false">IF(G247="","",INT((G247-WEEK_ONE)/7)+1)</f>
        <v/>
      </c>
      <c r="I247" s="0" t="str">
        <f aca="false">IF(H247="","",IF(OR(H247&lt;1,H247&gt;NW),"",INDEX(WMON,H247)))</f>
        <v/>
      </c>
      <c r="J247" s="0" t="str">
        <f aca="false">IF(OR(G247="",H247="",C247=""),"",IF(C247="عمر المصري",SUMIFS('ساعات عمر'!$H$5:$H$746,'ساعات عمر'!$A$5:$A$746,"&gt;="&amp;(WEEK_ONE+7*(H247-1)),'ساعات عمر'!$A$5:$A$746,"&lt;="&amp;G247),SUMIFS('ساعات عبدالعزيز'!$F$5:$F$746,'ساعات عبدالعزيز'!$A$5:$A$746,"&gt;="&amp;(WEEK_ONE+7*(H247-1)),'ساعات عبدالعزيز'!$A$5:$A$746,"&lt;="&amp;G247)))</f>
        <v/>
      </c>
    </row>
    <row r="248" customFormat="false" ht="15" hidden="false" customHeight="false" outlineLevel="0" collapsed="false">
      <c r="A248" s="43"/>
      <c r="B248" s="23" t="str">
        <f aca="false">IF(G248="","",CHOOSE(WEEKDAY(G248,1),"الأحد","الاثنين","الثلاثاء","الأربعاء","الخميس","الجمعة","السبت")&amp;IF(OR(ISNUMBER(A248),LEN(TRIM(A248))&gt;=10),"","  "&amp;TEXT(DAY(G248),"00")&amp;"/"&amp;TEXT(MONTH(G248),"00")&amp;"/"&amp;YEAR(G248)))</f>
        <v/>
      </c>
      <c r="C248" s="24"/>
      <c r="D248" s="44"/>
      <c r="E248" s="27"/>
      <c r="F248" s="45" t="str">
        <f aca="false">IF(A248="","",IF(G248="","⛔ التاريخ غلط — اختاره من القائمة أو اكتبه كامل 05/10/2026",IF(OR(H248&lt;1,H248&gt;NW),"⛔ التاريخ برّا السنة",IF(AND(N(D248)&gt;0,N(J248)&gt;0,D248&gt;ADV_CAP*J248),"⚠️ أكثر من "&amp;TEXT(ADV_CAP,"0%")&amp;" من شغله ("&amp;TEXT(J248,"0.000")&amp;")",""))))</f>
        <v/>
      </c>
      <c r="G248" s="0" t="str">
        <f aca="true">IF(A248="","",IF(ISNUMBER(A248),IF(A248&gt;=36526,A248,""),IFERROR(DATE(VALUE(RIGHT(RIGHT(TRIM(A248),10),4)),VALUE(MID(RIGHT(TRIM(A248),10),4,2)),VALUE(LEFT(RIGHT(TRIM(A248),10),2))),IFERROR(TODAY()-MOD(WEEKDAY(TODAY(),1)-MATCH(TRIM(A248),{"الأحد","الاثنين","الثلاثاء","الأربعاء","الخميس","الجمعة","السبت"},0),7),IFERROR(DATEVALUE(A248),"")))))</f>
        <v/>
      </c>
      <c r="H248" s="0" t="str">
        <f aca="false">IF(G248="","",INT((G248-WEEK_ONE)/7)+1)</f>
        <v/>
      </c>
      <c r="I248" s="0" t="str">
        <f aca="false">IF(H248="","",IF(OR(H248&lt;1,H248&gt;NW),"",INDEX(WMON,H248)))</f>
        <v/>
      </c>
      <c r="J248" s="0" t="str">
        <f aca="false">IF(OR(G248="",H248="",C248=""),"",IF(C248="عمر المصري",SUMIFS('ساعات عمر'!$H$5:$H$746,'ساعات عمر'!$A$5:$A$746,"&gt;="&amp;(WEEK_ONE+7*(H248-1)),'ساعات عمر'!$A$5:$A$746,"&lt;="&amp;G248),SUMIFS('ساعات عبدالعزيز'!$F$5:$F$746,'ساعات عبدالعزيز'!$A$5:$A$746,"&gt;="&amp;(WEEK_ONE+7*(H248-1)),'ساعات عبدالعزيز'!$A$5:$A$746,"&lt;="&amp;G248)))</f>
        <v/>
      </c>
    </row>
    <row r="249" customFormat="false" ht="15" hidden="false" customHeight="false" outlineLevel="0" collapsed="false">
      <c r="A249" s="43"/>
      <c r="B249" s="23" t="str">
        <f aca="false">IF(G249="","",CHOOSE(WEEKDAY(G249,1),"الأحد","الاثنين","الثلاثاء","الأربعاء","الخميس","الجمعة","السبت")&amp;IF(OR(ISNUMBER(A249),LEN(TRIM(A249))&gt;=10),"","  "&amp;TEXT(DAY(G249),"00")&amp;"/"&amp;TEXT(MONTH(G249),"00")&amp;"/"&amp;YEAR(G249)))</f>
        <v/>
      </c>
      <c r="C249" s="24"/>
      <c r="D249" s="44"/>
      <c r="E249" s="27"/>
      <c r="F249" s="45" t="str">
        <f aca="false">IF(A249="","",IF(G249="","⛔ التاريخ غلط — اختاره من القائمة أو اكتبه كامل 05/10/2026",IF(OR(H249&lt;1,H249&gt;NW),"⛔ التاريخ برّا السنة",IF(AND(N(D249)&gt;0,N(J249)&gt;0,D249&gt;ADV_CAP*J249),"⚠️ أكثر من "&amp;TEXT(ADV_CAP,"0%")&amp;" من شغله ("&amp;TEXT(J249,"0.000")&amp;")",""))))</f>
        <v/>
      </c>
      <c r="G249" s="0" t="str">
        <f aca="true">IF(A249="","",IF(ISNUMBER(A249),IF(A249&gt;=36526,A249,""),IFERROR(DATE(VALUE(RIGHT(RIGHT(TRIM(A249),10),4)),VALUE(MID(RIGHT(TRIM(A249),10),4,2)),VALUE(LEFT(RIGHT(TRIM(A249),10),2))),IFERROR(TODAY()-MOD(WEEKDAY(TODAY(),1)-MATCH(TRIM(A249),{"الأحد","الاثنين","الثلاثاء","الأربعاء","الخميس","الجمعة","السبت"},0),7),IFERROR(DATEVALUE(A249),"")))))</f>
        <v/>
      </c>
      <c r="H249" s="0" t="str">
        <f aca="false">IF(G249="","",INT((G249-WEEK_ONE)/7)+1)</f>
        <v/>
      </c>
      <c r="I249" s="0" t="str">
        <f aca="false">IF(H249="","",IF(OR(H249&lt;1,H249&gt;NW),"",INDEX(WMON,H249)))</f>
        <v/>
      </c>
      <c r="J249" s="0" t="str">
        <f aca="false">IF(OR(G249="",H249="",C249=""),"",IF(C249="عمر المصري",SUMIFS('ساعات عمر'!$H$5:$H$746,'ساعات عمر'!$A$5:$A$746,"&gt;="&amp;(WEEK_ONE+7*(H249-1)),'ساعات عمر'!$A$5:$A$746,"&lt;="&amp;G249),SUMIFS('ساعات عبدالعزيز'!$F$5:$F$746,'ساعات عبدالعزيز'!$A$5:$A$746,"&gt;="&amp;(WEEK_ONE+7*(H249-1)),'ساعات عبدالعزيز'!$A$5:$A$746,"&lt;="&amp;G249)))</f>
        <v/>
      </c>
    </row>
    <row r="250" customFormat="false" ht="15" hidden="false" customHeight="false" outlineLevel="0" collapsed="false">
      <c r="A250" s="43"/>
      <c r="B250" s="23" t="str">
        <f aca="false">IF(G250="","",CHOOSE(WEEKDAY(G250,1),"الأحد","الاثنين","الثلاثاء","الأربعاء","الخميس","الجمعة","السبت")&amp;IF(OR(ISNUMBER(A250),LEN(TRIM(A250))&gt;=10),"","  "&amp;TEXT(DAY(G250),"00")&amp;"/"&amp;TEXT(MONTH(G250),"00")&amp;"/"&amp;YEAR(G250)))</f>
        <v/>
      </c>
      <c r="C250" s="24"/>
      <c r="D250" s="44"/>
      <c r="E250" s="27"/>
      <c r="F250" s="45" t="str">
        <f aca="false">IF(A250="","",IF(G250="","⛔ التاريخ غلط — اختاره من القائمة أو اكتبه كامل 05/10/2026",IF(OR(H250&lt;1,H250&gt;NW),"⛔ التاريخ برّا السنة",IF(AND(N(D250)&gt;0,N(J250)&gt;0,D250&gt;ADV_CAP*J250),"⚠️ أكثر من "&amp;TEXT(ADV_CAP,"0%")&amp;" من شغله ("&amp;TEXT(J250,"0.000")&amp;")",""))))</f>
        <v/>
      </c>
      <c r="G250" s="0" t="str">
        <f aca="true">IF(A250="","",IF(ISNUMBER(A250),IF(A250&gt;=36526,A250,""),IFERROR(DATE(VALUE(RIGHT(RIGHT(TRIM(A250),10),4)),VALUE(MID(RIGHT(TRIM(A250),10),4,2)),VALUE(LEFT(RIGHT(TRIM(A250),10),2))),IFERROR(TODAY()-MOD(WEEKDAY(TODAY(),1)-MATCH(TRIM(A250),{"الأحد","الاثنين","الثلاثاء","الأربعاء","الخميس","الجمعة","السبت"},0),7),IFERROR(DATEVALUE(A250),"")))))</f>
        <v/>
      </c>
      <c r="H250" s="0" t="str">
        <f aca="false">IF(G250="","",INT((G250-WEEK_ONE)/7)+1)</f>
        <v/>
      </c>
      <c r="I250" s="0" t="str">
        <f aca="false">IF(H250="","",IF(OR(H250&lt;1,H250&gt;NW),"",INDEX(WMON,H250)))</f>
        <v/>
      </c>
      <c r="J250" s="0" t="str">
        <f aca="false">IF(OR(G250="",H250="",C250=""),"",IF(C250="عمر المصري",SUMIFS('ساعات عمر'!$H$5:$H$746,'ساعات عمر'!$A$5:$A$746,"&gt;="&amp;(WEEK_ONE+7*(H250-1)),'ساعات عمر'!$A$5:$A$746,"&lt;="&amp;G250),SUMIFS('ساعات عبدالعزيز'!$F$5:$F$746,'ساعات عبدالعزيز'!$A$5:$A$746,"&gt;="&amp;(WEEK_ONE+7*(H250-1)),'ساعات عبدالعزيز'!$A$5:$A$746,"&lt;="&amp;G250)))</f>
        <v/>
      </c>
    </row>
    <row r="251" customFormat="false" ht="15" hidden="false" customHeight="false" outlineLevel="0" collapsed="false">
      <c r="A251" s="43"/>
      <c r="B251" s="23" t="str">
        <f aca="false">IF(G251="","",CHOOSE(WEEKDAY(G251,1),"الأحد","الاثنين","الثلاثاء","الأربعاء","الخميس","الجمعة","السبت")&amp;IF(OR(ISNUMBER(A251),LEN(TRIM(A251))&gt;=10),"","  "&amp;TEXT(DAY(G251),"00")&amp;"/"&amp;TEXT(MONTH(G251),"00")&amp;"/"&amp;YEAR(G251)))</f>
        <v/>
      </c>
      <c r="C251" s="24"/>
      <c r="D251" s="44"/>
      <c r="E251" s="27"/>
      <c r="F251" s="45" t="str">
        <f aca="false">IF(A251="","",IF(G251="","⛔ التاريخ غلط — اختاره من القائمة أو اكتبه كامل 05/10/2026",IF(OR(H251&lt;1,H251&gt;NW),"⛔ التاريخ برّا السنة",IF(AND(N(D251)&gt;0,N(J251)&gt;0,D251&gt;ADV_CAP*J251),"⚠️ أكثر من "&amp;TEXT(ADV_CAP,"0%")&amp;" من شغله ("&amp;TEXT(J251,"0.000")&amp;")",""))))</f>
        <v/>
      </c>
      <c r="G251" s="0" t="str">
        <f aca="true">IF(A251="","",IF(ISNUMBER(A251),IF(A251&gt;=36526,A251,""),IFERROR(DATE(VALUE(RIGHT(RIGHT(TRIM(A251),10),4)),VALUE(MID(RIGHT(TRIM(A251),10),4,2)),VALUE(LEFT(RIGHT(TRIM(A251),10),2))),IFERROR(TODAY()-MOD(WEEKDAY(TODAY(),1)-MATCH(TRIM(A251),{"الأحد","الاثنين","الثلاثاء","الأربعاء","الخميس","الجمعة","السبت"},0),7),IFERROR(DATEVALUE(A251),"")))))</f>
        <v/>
      </c>
      <c r="H251" s="0" t="str">
        <f aca="false">IF(G251="","",INT((G251-WEEK_ONE)/7)+1)</f>
        <v/>
      </c>
      <c r="I251" s="0" t="str">
        <f aca="false">IF(H251="","",IF(OR(H251&lt;1,H251&gt;NW),"",INDEX(WMON,H251)))</f>
        <v/>
      </c>
      <c r="J251" s="0" t="str">
        <f aca="false">IF(OR(G251="",H251="",C251=""),"",IF(C251="عمر المصري",SUMIFS('ساعات عمر'!$H$5:$H$746,'ساعات عمر'!$A$5:$A$746,"&gt;="&amp;(WEEK_ONE+7*(H251-1)),'ساعات عمر'!$A$5:$A$746,"&lt;="&amp;G251),SUMIFS('ساعات عبدالعزيز'!$F$5:$F$746,'ساعات عبدالعزيز'!$A$5:$A$746,"&gt;="&amp;(WEEK_ONE+7*(H251-1)),'ساعات عبدالعزيز'!$A$5:$A$746,"&lt;="&amp;G251)))</f>
        <v/>
      </c>
    </row>
    <row r="252" customFormat="false" ht="15" hidden="false" customHeight="false" outlineLevel="0" collapsed="false">
      <c r="A252" s="43"/>
      <c r="B252" s="23" t="str">
        <f aca="false">IF(G252="","",CHOOSE(WEEKDAY(G252,1),"الأحد","الاثنين","الثلاثاء","الأربعاء","الخميس","الجمعة","السبت")&amp;IF(OR(ISNUMBER(A252),LEN(TRIM(A252))&gt;=10),"","  "&amp;TEXT(DAY(G252),"00")&amp;"/"&amp;TEXT(MONTH(G252),"00")&amp;"/"&amp;YEAR(G252)))</f>
        <v/>
      </c>
      <c r="C252" s="24"/>
      <c r="D252" s="44"/>
      <c r="E252" s="27"/>
      <c r="F252" s="45" t="str">
        <f aca="false">IF(A252="","",IF(G252="","⛔ التاريخ غلط — اختاره من القائمة أو اكتبه كامل 05/10/2026",IF(OR(H252&lt;1,H252&gt;NW),"⛔ التاريخ برّا السنة",IF(AND(N(D252)&gt;0,N(J252)&gt;0,D252&gt;ADV_CAP*J252),"⚠️ أكثر من "&amp;TEXT(ADV_CAP,"0%")&amp;" من شغله ("&amp;TEXT(J252,"0.000")&amp;")",""))))</f>
        <v/>
      </c>
      <c r="G252" s="0" t="str">
        <f aca="true">IF(A252="","",IF(ISNUMBER(A252),IF(A252&gt;=36526,A252,""),IFERROR(DATE(VALUE(RIGHT(RIGHT(TRIM(A252),10),4)),VALUE(MID(RIGHT(TRIM(A252),10),4,2)),VALUE(LEFT(RIGHT(TRIM(A252),10),2))),IFERROR(TODAY()-MOD(WEEKDAY(TODAY(),1)-MATCH(TRIM(A252),{"الأحد","الاثنين","الثلاثاء","الأربعاء","الخميس","الجمعة","السبت"},0),7),IFERROR(DATEVALUE(A252),"")))))</f>
        <v/>
      </c>
      <c r="H252" s="0" t="str">
        <f aca="false">IF(G252="","",INT((G252-WEEK_ONE)/7)+1)</f>
        <v/>
      </c>
      <c r="I252" s="0" t="str">
        <f aca="false">IF(H252="","",IF(OR(H252&lt;1,H252&gt;NW),"",INDEX(WMON,H252)))</f>
        <v/>
      </c>
      <c r="J252" s="0" t="str">
        <f aca="false">IF(OR(G252="",H252="",C252=""),"",IF(C252="عمر المصري",SUMIFS('ساعات عمر'!$H$5:$H$746,'ساعات عمر'!$A$5:$A$746,"&gt;="&amp;(WEEK_ONE+7*(H252-1)),'ساعات عمر'!$A$5:$A$746,"&lt;="&amp;G252),SUMIFS('ساعات عبدالعزيز'!$F$5:$F$746,'ساعات عبدالعزيز'!$A$5:$A$746,"&gt;="&amp;(WEEK_ONE+7*(H252-1)),'ساعات عبدالعزيز'!$A$5:$A$746,"&lt;="&amp;G252)))</f>
        <v/>
      </c>
    </row>
    <row r="253" customFormat="false" ht="15" hidden="false" customHeight="false" outlineLevel="0" collapsed="false">
      <c r="A253" s="43"/>
      <c r="B253" s="23" t="str">
        <f aca="false">IF(G253="","",CHOOSE(WEEKDAY(G253,1),"الأحد","الاثنين","الثلاثاء","الأربعاء","الخميس","الجمعة","السبت")&amp;IF(OR(ISNUMBER(A253),LEN(TRIM(A253))&gt;=10),"","  "&amp;TEXT(DAY(G253),"00")&amp;"/"&amp;TEXT(MONTH(G253),"00")&amp;"/"&amp;YEAR(G253)))</f>
        <v/>
      </c>
      <c r="C253" s="24"/>
      <c r="D253" s="44"/>
      <c r="E253" s="27"/>
      <c r="F253" s="45" t="str">
        <f aca="false">IF(A253="","",IF(G253="","⛔ التاريخ غلط — اختاره من القائمة أو اكتبه كامل 05/10/2026",IF(OR(H253&lt;1,H253&gt;NW),"⛔ التاريخ برّا السنة",IF(AND(N(D253)&gt;0,N(J253)&gt;0,D253&gt;ADV_CAP*J253),"⚠️ أكثر من "&amp;TEXT(ADV_CAP,"0%")&amp;" من شغله ("&amp;TEXT(J253,"0.000")&amp;")",""))))</f>
        <v/>
      </c>
      <c r="G253" s="0" t="str">
        <f aca="true">IF(A253="","",IF(ISNUMBER(A253),IF(A253&gt;=36526,A253,""),IFERROR(DATE(VALUE(RIGHT(RIGHT(TRIM(A253),10),4)),VALUE(MID(RIGHT(TRIM(A253),10),4,2)),VALUE(LEFT(RIGHT(TRIM(A253),10),2))),IFERROR(TODAY()-MOD(WEEKDAY(TODAY(),1)-MATCH(TRIM(A253),{"الأحد","الاثنين","الثلاثاء","الأربعاء","الخميس","الجمعة","السبت"},0),7),IFERROR(DATEVALUE(A253),"")))))</f>
        <v/>
      </c>
      <c r="H253" s="0" t="str">
        <f aca="false">IF(G253="","",INT((G253-WEEK_ONE)/7)+1)</f>
        <v/>
      </c>
      <c r="I253" s="0" t="str">
        <f aca="false">IF(H253="","",IF(OR(H253&lt;1,H253&gt;NW),"",INDEX(WMON,H253)))</f>
        <v/>
      </c>
      <c r="J253" s="0" t="str">
        <f aca="false">IF(OR(G253="",H253="",C253=""),"",IF(C253="عمر المصري",SUMIFS('ساعات عمر'!$H$5:$H$746,'ساعات عمر'!$A$5:$A$746,"&gt;="&amp;(WEEK_ONE+7*(H253-1)),'ساعات عمر'!$A$5:$A$746,"&lt;="&amp;G253),SUMIFS('ساعات عبدالعزيز'!$F$5:$F$746,'ساعات عبدالعزيز'!$A$5:$A$746,"&gt;="&amp;(WEEK_ONE+7*(H253-1)),'ساعات عبدالعزيز'!$A$5:$A$746,"&lt;="&amp;G253)))</f>
        <v/>
      </c>
    </row>
    <row r="254" customFormat="false" ht="15" hidden="false" customHeight="false" outlineLevel="0" collapsed="false">
      <c r="A254" s="43"/>
      <c r="B254" s="23" t="str">
        <f aca="false">IF(G254="","",CHOOSE(WEEKDAY(G254,1),"الأحد","الاثنين","الثلاثاء","الأربعاء","الخميس","الجمعة","السبت")&amp;IF(OR(ISNUMBER(A254),LEN(TRIM(A254))&gt;=10),"","  "&amp;TEXT(DAY(G254),"00")&amp;"/"&amp;TEXT(MONTH(G254),"00")&amp;"/"&amp;YEAR(G254)))</f>
        <v/>
      </c>
      <c r="C254" s="24"/>
      <c r="D254" s="44"/>
      <c r="E254" s="27"/>
      <c r="F254" s="45" t="str">
        <f aca="false">IF(A254="","",IF(G254="","⛔ التاريخ غلط — اختاره من القائمة أو اكتبه كامل 05/10/2026",IF(OR(H254&lt;1,H254&gt;NW),"⛔ التاريخ برّا السنة",IF(AND(N(D254)&gt;0,N(J254)&gt;0,D254&gt;ADV_CAP*J254),"⚠️ أكثر من "&amp;TEXT(ADV_CAP,"0%")&amp;" من شغله ("&amp;TEXT(J254,"0.000")&amp;")",""))))</f>
        <v/>
      </c>
      <c r="G254" s="0" t="str">
        <f aca="true">IF(A254="","",IF(ISNUMBER(A254),IF(A254&gt;=36526,A254,""),IFERROR(DATE(VALUE(RIGHT(RIGHT(TRIM(A254),10),4)),VALUE(MID(RIGHT(TRIM(A254),10),4,2)),VALUE(LEFT(RIGHT(TRIM(A254),10),2))),IFERROR(TODAY()-MOD(WEEKDAY(TODAY(),1)-MATCH(TRIM(A254),{"الأحد","الاثنين","الثلاثاء","الأربعاء","الخميس","الجمعة","السبت"},0),7),IFERROR(DATEVALUE(A254),"")))))</f>
        <v/>
      </c>
      <c r="H254" s="0" t="str">
        <f aca="false">IF(G254="","",INT((G254-WEEK_ONE)/7)+1)</f>
        <v/>
      </c>
      <c r="I254" s="0" t="str">
        <f aca="false">IF(H254="","",IF(OR(H254&lt;1,H254&gt;NW),"",INDEX(WMON,H254)))</f>
        <v/>
      </c>
      <c r="J254" s="0" t="str">
        <f aca="false">IF(OR(G254="",H254="",C254=""),"",IF(C254="عمر المصري",SUMIFS('ساعات عمر'!$H$5:$H$746,'ساعات عمر'!$A$5:$A$746,"&gt;="&amp;(WEEK_ONE+7*(H254-1)),'ساعات عمر'!$A$5:$A$746,"&lt;="&amp;G254),SUMIFS('ساعات عبدالعزيز'!$F$5:$F$746,'ساعات عبدالعزيز'!$A$5:$A$746,"&gt;="&amp;(WEEK_ONE+7*(H254-1)),'ساعات عبدالعزيز'!$A$5:$A$746,"&lt;="&amp;G254)))</f>
        <v/>
      </c>
    </row>
    <row r="255" customFormat="false" ht="15" hidden="false" customHeight="false" outlineLevel="0" collapsed="false">
      <c r="A255" s="43"/>
      <c r="B255" s="23" t="str">
        <f aca="false">IF(G255="","",CHOOSE(WEEKDAY(G255,1),"الأحد","الاثنين","الثلاثاء","الأربعاء","الخميس","الجمعة","السبت")&amp;IF(OR(ISNUMBER(A255),LEN(TRIM(A255))&gt;=10),"","  "&amp;TEXT(DAY(G255),"00")&amp;"/"&amp;TEXT(MONTH(G255),"00")&amp;"/"&amp;YEAR(G255)))</f>
        <v/>
      </c>
      <c r="C255" s="24"/>
      <c r="D255" s="44"/>
      <c r="E255" s="27"/>
      <c r="F255" s="45" t="str">
        <f aca="false">IF(A255="","",IF(G255="","⛔ التاريخ غلط — اختاره من القائمة أو اكتبه كامل 05/10/2026",IF(OR(H255&lt;1,H255&gt;NW),"⛔ التاريخ برّا السنة",IF(AND(N(D255)&gt;0,N(J255)&gt;0,D255&gt;ADV_CAP*J255),"⚠️ أكثر من "&amp;TEXT(ADV_CAP,"0%")&amp;" من شغله ("&amp;TEXT(J255,"0.000")&amp;")",""))))</f>
        <v/>
      </c>
      <c r="G255" s="0" t="str">
        <f aca="true">IF(A255="","",IF(ISNUMBER(A255),IF(A255&gt;=36526,A255,""),IFERROR(DATE(VALUE(RIGHT(RIGHT(TRIM(A255),10),4)),VALUE(MID(RIGHT(TRIM(A255),10),4,2)),VALUE(LEFT(RIGHT(TRIM(A255),10),2))),IFERROR(TODAY()-MOD(WEEKDAY(TODAY(),1)-MATCH(TRIM(A255),{"الأحد","الاثنين","الثلاثاء","الأربعاء","الخميس","الجمعة","السبت"},0),7),IFERROR(DATEVALUE(A255),"")))))</f>
        <v/>
      </c>
      <c r="H255" s="0" t="str">
        <f aca="false">IF(G255="","",INT((G255-WEEK_ONE)/7)+1)</f>
        <v/>
      </c>
      <c r="I255" s="0" t="str">
        <f aca="false">IF(H255="","",IF(OR(H255&lt;1,H255&gt;NW),"",INDEX(WMON,H255)))</f>
        <v/>
      </c>
      <c r="J255" s="0" t="str">
        <f aca="false">IF(OR(G255="",H255="",C255=""),"",IF(C255="عمر المصري",SUMIFS('ساعات عمر'!$H$5:$H$746,'ساعات عمر'!$A$5:$A$746,"&gt;="&amp;(WEEK_ONE+7*(H255-1)),'ساعات عمر'!$A$5:$A$746,"&lt;="&amp;G255),SUMIFS('ساعات عبدالعزيز'!$F$5:$F$746,'ساعات عبدالعزيز'!$A$5:$A$746,"&gt;="&amp;(WEEK_ONE+7*(H255-1)),'ساعات عبدالعزيز'!$A$5:$A$746,"&lt;="&amp;G255)))</f>
        <v/>
      </c>
    </row>
    <row r="256" customFormat="false" ht="15" hidden="false" customHeight="false" outlineLevel="0" collapsed="false">
      <c r="A256" s="43"/>
      <c r="B256" s="23" t="str">
        <f aca="false">IF(G256="","",CHOOSE(WEEKDAY(G256,1),"الأحد","الاثنين","الثلاثاء","الأربعاء","الخميس","الجمعة","السبت")&amp;IF(OR(ISNUMBER(A256),LEN(TRIM(A256))&gt;=10),"","  "&amp;TEXT(DAY(G256),"00")&amp;"/"&amp;TEXT(MONTH(G256),"00")&amp;"/"&amp;YEAR(G256)))</f>
        <v/>
      </c>
      <c r="C256" s="24"/>
      <c r="D256" s="44"/>
      <c r="E256" s="27"/>
      <c r="F256" s="45" t="str">
        <f aca="false">IF(A256="","",IF(G256="","⛔ التاريخ غلط — اختاره من القائمة أو اكتبه كامل 05/10/2026",IF(OR(H256&lt;1,H256&gt;NW),"⛔ التاريخ برّا السنة",IF(AND(N(D256)&gt;0,N(J256)&gt;0,D256&gt;ADV_CAP*J256),"⚠️ أكثر من "&amp;TEXT(ADV_CAP,"0%")&amp;" من شغله ("&amp;TEXT(J256,"0.000")&amp;")",""))))</f>
        <v/>
      </c>
      <c r="G256" s="0" t="str">
        <f aca="true">IF(A256="","",IF(ISNUMBER(A256),IF(A256&gt;=36526,A256,""),IFERROR(DATE(VALUE(RIGHT(RIGHT(TRIM(A256),10),4)),VALUE(MID(RIGHT(TRIM(A256),10),4,2)),VALUE(LEFT(RIGHT(TRIM(A256),10),2))),IFERROR(TODAY()-MOD(WEEKDAY(TODAY(),1)-MATCH(TRIM(A256),{"الأحد","الاثنين","الثلاثاء","الأربعاء","الخميس","الجمعة","السبت"},0),7),IFERROR(DATEVALUE(A256),"")))))</f>
        <v/>
      </c>
      <c r="H256" s="0" t="str">
        <f aca="false">IF(G256="","",INT((G256-WEEK_ONE)/7)+1)</f>
        <v/>
      </c>
      <c r="I256" s="0" t="str">
        <f aca="false">IF(H256="","",IF(OR(H256&lt;1,H256&gt;NW),"",INDEX(WMON,H256)))</f>
        <v/>
      </c>
      <c r="J256" s="0" t="str">
        <f aca="false">IF(OR(G256="",H256="",C256=""),"",IF(C256="عمر المصري",SUMIFS('ساعات عمر'!$H$5:$H$746,'ساعات عمر'!$A$5:$A$746,"&gt;="&amp;(WEEK_ONE+7*(H256-1)),'ساعات عمر'!$A$5:$A$746,"&lt;="&amp;G256),SUMIFS('ساعات عبدالعزيز'!$F$5:$F$746,'ساعات عبدالعزيز'!$A$5:$A$746,"&gt;="&amp;(WEEK_ONE+7*(H256-1)),'ساعات عبدالعزيز'!$A$5:$A$746,"&lt;="&amp;G256)))</f>
        <v/>
      </c>
    </row>
    <row r="257" customFormat="false" ht="15" hidden="false" customHeight="false" outlineLevel="0" collapsed="false">
      <c r="A257" s="43"/>
      <c r="B257" s="23" t="str">
        <f aca="false">IF(G257="","",CHOOSE(WEEKDAY(G257,1),"الأحد","الاثنين","الثلاثاء","الأربعاء","الخميس","الجمعة","السبت")&amp;IF(OR(ISNUMBER(A257),LEN(TRIM(A257))&gt;=10),"","  "&amp;TEXT(DAY(G257),"00")&amp;"/"&amp;TEXT(MONTH(G257),"00")&amp;"/"&amp;YEAR(G257)))</f>
        <v/>
      </c>
      <c r="C257" s="24"/>
      <c r="D257" s="44"/>
      <c r="E257" s="27"/>
      <c r="F257" s="45" t="str">
        <f aca="false">IF(A257="","",IF(G257="","⛔ التاريخ غلط — اختاره من القائمة أو اكتبه كامل 05/10/2026",IF(OR(H257&lt;1,H257&gt;NW),"⛔ التاريخ برّا السنة",IF(AND(N(D257)&gt;0,N(J257)&gt;0,D257&gt;ADV_CAP*J257),"⚠️ أكثر من "&amp;TEXT(ADV_CAP,"0%")&amp;" من شغله ("&amp;TEXT(J257,"0.000")&amp;")",""))))</f>
        <v/>
      </c>
      <c r="G257" s="0" t="str">
        <f aca="true">IF(A257="","",IF(ISNUMBER(A257),IF(A257&gt;=36526,A257,""),IFERROR(DATE(VALUE(RIGHT(RIGHT(TRIM(A257),10),4)),VALUE(MID(RIGHT(TRIM(A257),10),4,2)),VALUE(LEFT(RIGHT(TRIM(A257),10),2))),IFERROR(TODAY()-MOD(WEEKDAY(TODAY(),1)-MATCH(TRIM(A257),{"الأحد","الاثنين","الثلاثاء","الأربعاء","الخميس","الجمعة","السبت"},0),7),IFERROR(DATEVALUE(A257),"")))))</f>
        <v/>
      </c>
      <c r="H257" s="0" t="str">
        <f aca="false">IF(G257="","",INT((G257-WEEK_ONE)/7)+1)</f>
        <v/>
      </c>
      <c r="I257" s="0" t="str">
        <f aca="false">IF(H257="","",IF(OR(H257&lt;1,H257&gt;NW),"",INDEX(WMON,H257)))</f>
        <v/>
      </c>
      <c r="J257" s="0" t="str">
        <f aca="false">IF(OR(G257="",H257="",C257=""),"",IF(C257="عمر المصري",SUMIFS('ساعات عمر'!$H$5:$H$746,'ساعات عمر'!$A$5:$A$746,"&gt;="&amp;(WEEK_ONE+7*(H257-1)),'ساعات عمر'!$A$5:$A$746,"&lt;="&amp;G257),SUMIFS('ساعات عبدالعزيز'!$F$5:$F$746,'ساعات عبدالعزيز'!$A$5:$A$746,"&gt;="&amp;(WEEK_ONE+7*(H257-1)),'ساعات عبدالعزيز'!$A$5:$A$746,"&lt;="&amp;G257)))</f>
        <v/>
      </c>
    </row>
    <row r="258" customFormat="false" ht="15" hidden="false" customHeight="false" outlineLevel="0" collapsed="false">
      <c r="A258" s="43"/>
      <c r="B258" s="23" t="str">
        <f aca="false">IF(G258="","",CHOOSE(WEEKDAY(G258,1),"الأحد","الاثنين","الثلاثاء","الأربعاء","الخميس","الجمعة","السبت")&amp;IF(OR(ISNUMBER(A258),LEN(TRIM(A258))&gt;=10),"","  "&amp;TEXT(DAY(G258),"00")&amp;"/"&amp;TEXT(MONTH(G258),"00")&amp;"/"&amp;YEAR(G258)))</f>
        <v/>
      </c>
      <c r="C258" s="24"/>
      <c r="D258" s="44"/>
      <c r="E258" s="27"/>
      <c r="F258" s="45" t="str">
        <f aca="false">IF(A258="","",IF(G258="","⛔ التاريخ غلط — اختاره من القائمة أو اكتبه كامل 05/10/2026",IF(OR(H258&lt;1,H258&gt;NW),"⛔ التاريخ برّا السنة",IF(AND(N(D258)&gt;0,N(J258)&gt;0,D258&gt;ADV_CAP*J258),"⚠️ أكثر من "&amp;TEXT(ADV_CAP,"0%")&amp;" من شغله ("&amp;TEXT(J258,"0.000")&amp;")",""))))</f>
        <v/>
      </c>
      <c r="G258" s="0" t="str">
        <f aca="true">IF(A258="","",IF(ISNUMBER(A258),IF(A258&gt;=36526,A258,""),IFERROR(DATE(VALUE(RIGHT(RIGHT(TRIM(A258),10),4)),VALUE(MID(RIGHT(TRIM(A258),10),4,2)),VALUE(LEFT(RIGHT(TRIM(A258),10),2))),IFERROR(TODAY()-MOD(WEEKDAY(TODAY(),1)-MATCH(TRIM(A258),{"الأحد","الاثنين","الثلاثاء","الأربعاء","الخميس","الجمعة","السبت"},0),7),IFERROR(DATEVALUE(A258),"")))))</f>
        <v/>
      </c>
      <c r="H258" s="0" t="str">
        <f aca="false">IF(G258="","",INT((G258-WEEK_ONE)/7)+1)</f>
        <v/>
      </c>
      <c r="I258" s="0" t="str">
        <f aca="false">IF(H258="","",IF(OR(H258&lt;1,H258&gt;NW),"",INDEX(WMON,H258)))</f>
        <v/>
      </c>
      <c r="J258" s="0" t="str">
        <f aca="false">IF(OR(G258="",H258="",C258=""),"",IF(C258="عمر المصري",SUMIFS('ساعات عمر'!$H$5:$H$746,'ساعات عمر'!$A$5:$A$746,"&gt;="&amp;(WEEK_ONE+7*(H258-1)),'ساعات عمر'!$A$5:$A$746,"&lt;="&amp;G258),SUMIFS('ساعات عبدالعزيز'!$F$5:$F$746,'ساعات عبدالعزيز'!$A$5:$A$746,"&gt;="&amp;(WEEK_ONE+7*(H258-1)),'ساعات عبدالعزيز'!$A$5:$A$746,"&lt;="&amp;G258)))</f>
        <v/>
      </c>
    </row>
    <row r="259" customFormat="false" ht="15" hidden="false" customHeight="false" outlineLevel="0" collapsed="false">
      <c r="A259" s="43"/>
      <c r="B259" s="23" t="str">
        <f aca="false">IF(G259="","",CHOOSE(WEEKDAY(G259,1),"الأحد","الاثنين","الثلاثاء","الأربعاء","الخميس","الجمعة","السبت")&amp;IF(OR(ISNUMBER(A259),LEN(TRIM(A259))&gt;=10),"","  "&amp;TEXT(DAY(G259),"00")&amp;"/"&amp;TEXT(MONTH(G259),"00")&amp;"/"&amp;YEAR(G259)))</f>
        <v/>
      </c>
      <c r="C259" s="24"/>
      <c r="D259" s="44"/>
      <c r="E259" s="27"/>
      <c r="F259" s="45" t="str">
        <f aca="false">IF(A259="","",IF(G259="","⛔ التاريخ غلط — اختاره من القائمة أو اكتبه كامل 05/10/2026",IF(OR(H259&lt;1,H259&gt;NW),"⛔ التاريخ برّا السنة",IF(AND(N(D259)&gt;0,N(J259)&gt;0,D259&gt;ADV_CAP*J259),"⚠️ أكثر من "&amp;TEXT(ADV_CAP,"0%")&amp;" من شغله ("&amp;TEXT(J259,"0.000")&amp;")",""))))</f>
        <v/>
      </c>
      <c r="G259" s="0" t="str">
        <f aca="true">IF(A259="","",IF(ISNUMBER(A259),IF(A259&gt;=36526,A259,""),IFERROR(DATE(VALUE(RIGHT(RIGHT(TRIM(A259),10),4)),VALUE(MID(RIGHT(TRIM(A259),10),4,2)),VALUE(LEFT(RIGHT(TRIM(A259),10),2))),IFERROR(TODAY()-MOD(WEEKDAY(TODAY(),1)-MATCH(TRIM(A259),{"الأحد","الاثنين","الثلاثاء","الأربعاء","الخميس","الجمعة","السبت"},0),7),IFERROR(DATEVALUE(A259),"")))))</f>
        <v/>
      </c>
      <c r="H259" s="0" t="str">
        <f aca="false">IF(G259="","",INT((G259-WEEK_ONE)/7)+1)</f>
        <v/>
      </c>
      <c r="I259" s="0" t="str">
        <f aca="false">IF(H259="","",IF(OR(H259&lt;1,H259&gt;NW),"",INDEX(WMON,H259)))</f>
        <v/>
      </c>
      <c r="J259" s="0" t="str">
        <f aca="false">IF(OR(G259="",H259="",C259=""),"",IF(C259="عمر المصري",SUMIFS('ساعات عمر'!$H$5:$H$746,'ساعات عمر'!$A$5:$A$746,"&gt;="&amp;(WEEK_ONE+7*(H259-1)),'ساعات عمر'!$A$5:$A$746,"&lt;="&amp;G259),SUMIFS('ساعات عبدالعزيز'!$F$5:$F$746,'ساعات عبدالعزيز'!$A$5:$A$746,"&gt;="&amp;(WEEK_ONE+7*(H259-1)),'ساعات عبدالعزيز'!$A$5:$A$746,"&lt;="&amp;G259)))</f>
        <v/>
      </c>
    </row>
    <row r="260" customFormat="false" ht="15" hidden="false" customHeight="false" outlineLevel="0" collapsed="false">
      <c r="A260" s="43"/>
      <c r="B260" s="23" t="str">
        <f aca="false">IF(G260="","",CHOOSE(WEEKDAY(G260,1),"الأحد","الاثنين","الثلاثاء","الأربعاء","الخميس","الجمعة","السبت")&amp;IF(OR(ISNUMBER(A260),LEN(TRIM(A260))&gt;=10),"","  "&amp;TEXT(DAY(G260),"00")&amp;"/"&amp;TEXT(MONTH(G260),"00")&amp;"/"&amp;YEAR(G260)))</f>
        <v/>
      </c>
      <c r="C260" s="24"/>
      <c r="D260" s="44"/>
      <c r="E260" s="27"/>
      <c r="F260" s="45" t="str">
        <f aca="false">IF(A260="","",IF(G260="","⛔ التاريخ غلط — اختاره من القائمة أو اكتبه كامل 05/10/2026",IF(OR(H260&lt;1,H260&gt;NW),"⛔ التاريخ برّا السنة",IF(AND(N(D260)&gt;0,N(J260)&gt;0,D260&gt;ADV_CAP*J260),"⚠️ أكثر من "&amp;TEXT(ADV_CAP,"0%")&amp;" من شغله ("&amp;TEXT(J260,"0.000")&amp;")",""))))</f>
        <v/>
      </c>
      <c r="G260" s="0" t="str">
        <f aca="true">IF(A260="","",IF(ISNUMBER(A260),IF(A260&gt;=36526,A260,""),IFERROR(DATE(VALUE(RIGHT(RIGHT(TRIM(A260),10),4)),VALUE(MID(RIGHT(TRIM(A260),10),4,2)),VALUE(LEFT(RIGHT(TRIM(A260),10),2))),IFERROR(TODAY()-MOD(WEEKDAY(TODAY(),1)-MATCH(TRIM(A260),{"الأحد","الاثنين","الثلاثاء","الأربعاء","الخميس","الجمعة","السبت"},0),7),IFERROR(DATEVALUE(A260),"")))))</f>
        <v/>
      </c>
      <c r="H260" s="0" t="str">
        <f aca="false">IF(G260="","",INT((G260-WEEK_ONE)/7)+1)</f>
        <v/>
      </c>
      <c r="I260" s="0" t="str">
        <f aca="false">IF(H260="","",IF(OR(H260&lt;1,H260&gt;NW),"",INDEX(WMON,H260)))</f>
        <v/>
      </c>
      <c r="J260" s="0" t="str">
        <f aca="false">IF(OR(G260="",H260="",C260=""),"",IF(C260="عمر المصري",SUMIFS('ساعات عمر'!$H$5:$H$746,'ساعات عمر'!$A$5:$A$746,"&gt;="&amp;(WEEK_ONE+7*(H260-1)),'ساعات عمر'!$A$5:$A$746,"&lt;="&amp;G260),SUMIFS('ساعات عبدالعزيز'!$F$5:$F$746,'ساعات عبدالعزيز'!$A$5:$A$746,"&gt;="&amp;(WEEK_ONE+7*(H260-1)),'ساعات عبدالعزيز'!$A$5:$A$746,"&lt;="&amp;G260)))</f>
        <v/>
      </c>
    </row>
    <row r="261" customFormat="false" ht="15" hidden="false" customHeight="false" outlineLevel="0" collapsed="false">
      <c r="A261" s="43"/>
      <c r="B261" s="23" t="str">
        <f aca="false">IF(G261="","",CHOOSE(WEEKDAY(G261,1),"الأحد","الاثنين","الثلاثاء","الأربعاء","الخميس","الجمعة","السبت")&amp;IF(OR(ISNUMBER(A261),LEN(TRIM(A261))&gt;=10),"","  "&amp;TEXT(DAY(G261),"00")&amp;"/"&amp;TEXT(MONTH(G261),"00")&amp;"/"&amp;YEAR(G261)))</f>
        <v/>
      </c>
      <c r="C261" s="24"/>
      <c r="D261" s="44"/>
      <c r="E261" s="27"/>
      <c r="F261" s="45" t="str">
        <f aca="false">IF(A261="","",IF(G261="","⛔ التاريخ غلط — اختاره من القائمة أو اكتبه كامل 05/10/2026",IF(OR(H261&lt;1,H261&gt;NW),"⛔ التاريخ برّا السنة",IF(AND(N(D261)&gt;0,N(J261)&gt;0,D261&gt;ADV_CAP*J261),"⚠️ أكثر من "&amp;TEXT(ADV_CAP,"0%")&amp;" من شغله ("&amp;TEXT(J261,"0.000")&amp;")",""))))</f>
        <v/>
      </c>
      <c r="G261" s="0" t="str">
        <f aca="true">IF(A261="","",IF(ISNUMBER(A261),IF(A261&gt;=36526,A261,""),IFERROR(DATE(VALUE(RIGHT(RIGHT(TRIM(A261),10),4)),VALUE(MID(RIGHT(TRIM(A261),10),4,2)),VALUE(LEFT(RIGHT(TRIM(A261),10),2))),IFERROR(TODAY()-MOD(WEEKDAY(TODAY(),1)-MATCH(TRIM(A261),{"الأحد","الاثنين","الثلاثاء","الأربعاء","الخميس","الجمعة","السبت"},0),7),IFERROR(DATEVALUE(A261),"")))))</f>
        <v/>
      </c>
      <c r="H261" s="0" t="str">
        <f aca="false">IF(G261="","",INT((G261-WEEK_ONE)/7)+1)</f>
        <v/>
      </c>
      <c r="I261" s="0" t="str">
        <f aca="false">IF(H261="","",IF(OR(H261&lt;1,H261&gt;NW),"",INDEX(WMON,H261)))</f>
        <v/>
      </c>
      <c r="J261" s="0" t="str">
        <f aca="false">IF(OR(G261="",H261="",C261=""),"",IF(C261="عمر المصري",SUMIFS('ساعات عمر'!$H$5:$H$746,'ساعات عمر'!$A$5:$A$746,"&gt;="&amp;(WEEK_ONE+7*(H261-1)),'ساعات عمر'!$A$5:$A$746,"&lt;="&amp;G261),SUMIFS('ساعات عبدالعزيز'!$F$5:$F$746,'ساعات عبدالعزيز'!$A$5:$A$746,"&gt;="&amp;(WEEK_ONE+7*(H261-1)),'ساعات عبدالعزيز'!$A$5:$A$746,"&lt;="&amp;G261)))</f>
        <v/>
      </c>
    </row>
    <row r="262" customFormat="false" ht="15" hidden="false" customHeight="false" outlineLevel="0" collapsed="false">
      <c r="A262" s="43"/>
      <c r="B262" s="23" t="str">
        <f aca="false">IF(G262="","",CHOOSE(WEEKDAY(G262,1),"الأحد","الاثنين","الثلاثاء","الأربعاء","الخميس","الجمعة","السبت")&amp;IF(OR(ISNUMBER(A262),LEN(TRIM(A262))&gt;=10),"","  "&amp;TEXT(DAY(G262),"00")&amp;"/"&amp;TEXT(MONTH(G262),"00")&amp;"/"&amp;YEAR(G262)))</f>
        <v/>
      </c>
      <c r="C262" s="24"/>
      <c r="D262" s="44"/>
      <c r="E262" s="27"/>
      <c r="F262" s="45" t="str">
        <f aca="false">IF(A262="","",IF(G262="","⛔ التاريخ غلط — اختاره من القائمة أو اكتبه كامل 05/10/2026",IF(OR(H262&lt;1,H262&gt;NW),"⛔ التاريخ برّا السنة",IF(AND(N(D262)&gt;0,N(J262)&gt;0,D262&gt;ADV_CAP*J262),"⚠️ أكثر من "&amp;TEXT(ADV_CAP,"0%")&amp;" من شغله ("&amp;TEXT(J262,"0.000")&amp;")",""))))</f>
        <v/>
      </c>
      <c r="G262" s="0" t="str">
        <f aca="true">IF(A262="","",IF(ISNUMBER(A262),IF(A262&gt;=36526,A262,""),IFERROR(DATE(VALUE(RIGHT(RIGHT(TRIM(A262),10),4)),VALUE(MID(RIGHT(TRIM(A262),10),4,2)),VALUE(LEFT(RIGHT(TRIM(A262),10),2))),IFERROR(TODAY()-MOD(WEEKDAY(TODAY(),1)-MATCH(TRIM(A262),{"الأحد","الاثنين","الثلاثاء","الأربعاء","الخميس","الجمعة","السبت"},0),7),IFERROR(DATEVALUE(A262),"")))))</f>
        <v/>
      </c>
      <c r="H262" s="0" t="str">
        <f aca="false">IF(G262="","",INT((G262-WEEK_ONE)/7)+1)</f>
        <v/>
      </c>
      <c r="I262" s="0" t="str">
        <f aca="false">IF(H262="","",IF(OR(H262&lt;1,H262&gt;NW),"",INDEX(WMON,H262)))</f>
        <v/>
      </c>
      <c r="J262" s="0" t="str">
        <f aca="false">IF(OR(G262="",H262="",C262=""),"",IF(C262="عمر المصري",SUMIFS('ساعات عمر'!$H$5:$H$746,'ساعات عمر'!$A$5:$A$746,"&gt;="&amp;(WEEK_ONE+7*(H262-1)),'ساعات عمر'!$A$5:$A$746,"&lt;="&amp;G262),SUMIFS('ساعات عبدالعزيز'!$F$5:$F$746,'ساعات عبدالعزيز'!$A$5:$A$746,"&gt;="&amp;(WEEK_ONE+7*(H262-1)),'ساعات عبدالعزيز'!$A$5:$A$746,"&lt;="&amp;G262)))</f>
        <v/>
      </c>
    </row>
    <row r="263" customFormat="false" ht="15" hidden="false" customHeight="false" outlineLevel="0" collapsed="false">
      <c r="A263" s="43"/>
      <c r="B263" s="23" t="str">
        <f aca="false">IF(G263="","",CHOOSE(WEEKDAY(G263,1),"الأحد","الاثنين","الثلاثاء","الأربعاء","الخميس","الجمعة","السبت")&amp;IF(OR(ISNUMBER(A263),LEN(TRIM(A263))&gt;=10),"","  "&amp;TEXT(DAY(G263),"00")&amp;"/"&amp;TEXT(MONTH(G263),"00")&amp;"/"&amp;YEAR(G263)))</f>
        <v/>
      </c>
      <c r="C263" s="24"/>
      <c r="D263" s="44"/>
      <c r="E263" s="27"/>
      <c r="F263" s="45" t="str">
        <f aca="false">IF(A263="","",IF(G263="","⛔ التاريخ غلط — اختاره من القائمة أو اكتبه كامل 05/10/2026",IF(OR(H263&lt;1,H263&gt;NW),"⛔ التاريخ برّا السنة",IF(AND(N(D263)&gt;0,N(J263)&gt;0,D263&gt;ADV_CAP*J263),"⚠️ أكثر من "&amp;TEXT(ADV_CAP,"0%")&amp;" من شغله ("&amp;TEXT(J263,"0.000")&amp;")",""))))</f>
        <v/>
      </c>
      <c r="G263" s="0" t="str">
        <f aca="true">IF(A263="","",IF(ISNUMBER(A263),IF(A263&gt;=36526,A263,""),IFERROR(DATE(VALUE(RIGHT(RIGHT(TRIM(A263),10),4)),VALUE(MID(RIGHT(TRIM(A263),10),4,2)),VALUE(LEFT(RIGHT(TRIM(A263),10),2))),IFERROR(TODAY()-MOD(WEEKDAY(TODAY(),1)-MATCH(TRIM(A263),{"الأحد","الاثنين","الثلاثاء","الأربعاء","الخميس","الجمعة","السبت"},0),7),IFERROR(DATEVALUE(A263),"")))))</f>
        <v/>
      </c>
      <c r="H263" s="0" t="str">
        <f aca="false">IF(G263="","",INT((G263-WEEK_ONE)/7)+1)</f>
        <v/>
      </c>
      <c r="I263" s="0" t="str">
        <f aca="false">IF(H263="","",IF(OR(H263&lt;1,H263&gt;NW),"",INDEX(WMON,H263)))</f>
        <v/>
      </c>
      <c r="J263" s="0" t="str">
        <f aca="false">IF(OR(G263="",H263="",C263=""),"",IF(C263="عمر المصري",SUMIFS('ساعات عمر'!$H$5:$H$746,'ساعات عمر'!$A$5:$A$746,"&gt;="&amp;(WEEK_ONE+7*(H263-1)),'ساعات عمر'!$A$5:$A$746,"&lt;="&amp;G263),SUMIFS('ساعات عبدالعزيز'!$F$5:$F$746,'ساعات عبدالعزيز'!$A$5:$A$746,"&gt;="&amp;(WEEK_ONE+7*(H263-1)),'ساعات عبدالعزيز'!$A$5:$A$746,"&lt;="&amp;G263)))</f>
        <v/>
      </c>
    </row>
    <row r="264" customFormat="false" ht="15" hidden="false" customHeight="false" outlineLevel="0" collapsed="false">
      <c r="A264" s="43"/>
      <c r="B264" s="23" t="str">
        <f aca="false">IF(G264="","",CHOOSE(WEEKDAY(G264,1),"الأحد","الاثنين","الثلاثاء","الأربعاء","الخميس","الجمعة","السبت")&amp;IF(OR(ISNUMBER(A264),LEN(TRIM(A264))&gt;=10),"","  "&amp;TEXT(DAY(G264),"00")&amp;"/"&amp;TEXT(MONTH(G264),"00")&amp;"/"&amp;YEAR(G264)))</f>
        <v/>
      </c>
      <c r="C264" s="24"/>
      <c r="D264" s="44"/>
      <c r="E264" s="27"/>
      <c r="F264" s="45" t="str">
        <f aca="false">IF(A264="","",IF(G264="","⛔ التاريخ غلط — اختاره من القائمة أو اكتبه كامل 05/10/2026",IF(OR(H264&lt;1,H264&gt;NW),"⛔ التاريخ برّا السنة",IF(AND(N(D264)&gt;0,N(J264)&gt;0,D264&gt;ADV_CAP*J264),"⚠️ أكثر من "&amp;TEXT(ADV_CAP,"0%")&amp;" من شغله ("&amp;TEXT(J264,"0.000")&amp;")",""))))</f>
        <v/>
      </c>
      <c r="G264" s="0" t="str">
        <f aca="true">IF(A264="","",IF(ISNUMBER(A264),IF(A264&gt;=36526,A264,""),IFERROR(DATE(VALUE(RIGHT(RIGHT(TRIM(A264),10),4)),VALUE(MID(RIGHT(TRIM(A264),10),4,2)),VALUE(LEFT(RIGHT(TRIM(A264),10),2))),IFERROR(TODAY()-MOD(WEEKDAY(TODAY(),1)-MATCH(TRIM(A264),{"الأحد","الاثنين","الثلاثاء","الأربعاء","الخميس","الجمعة","السبت"},0),7),IFERROR(DATEVALUE(A264),"")))))</f>
        <v/>
      </c>
      <c r="H264" s="0" t="str">
        <f aca="false">IF(G264="","",INT((G264-WEEK_ONE)/7)+1)</f>
        <v/>
      </c>
      <c r="I264" s="0" t="str">
        <f aca="false">IF(H264="","",IF(OR(H264&lt;1,H264&gt;NW),"",INDEX(WMON,H264)))</f>
        <v/>
      </c>
      <c r="J264" s="0" t="str">
        <f aca="false">IF(OR(G264="",H264="",C264=""),"",IF(C264="عمر المصري",SUMIFS('ساعات عمر'!$H$5:$H$746,'ساعات عمر'!$A$5:$A$746,"&gt;="&amp;(WEEK_ONE+7*(H264-1)),'ساعات عمر'!$A$5:$A$746,"&lt;="&amp;G264),SUMIFS('ساعات عبدالعزيز'!$F$5:$F$746,'ساعات عبدالعزيز'!$A$5:$A$746,"&gt;="&amp;(WEEK_ONE+7*(H264-1)),'ساعات عبدالعزيز'!$A$5:$A$746,"&lt;="&amp;G264)))</f>
        <v/>
      </c>
    </row>
    <row r="265" customFormat="false" ht="15" hidden="false" customHeight="false" outlineLevel="0" collapsed="false">
      <c r="A265" s="43"/>
      <c r="B265" s="23" t="str">
        <f aca="false">IF(G265="","",CHOOSE(WEEKDAY(G265,1),"الأحد","الاثنين","الثلاثاء","الأربعاء","الخميس","الجمعة","السبت")&amp;IF(OR(ISNUMBER(A265),LEN(TRIM(A265))&gt;=10),"","  "&amp;TEXT(DAY(G265),"00")&amp;"/"&amp;TEXT(MONTH(G265),"00")&amp;"/"&amp;YEAR(G265)))</f>
        <v/>
      </c>
      <c r="C265" s="24"/>
      <c r="D265" s="44"/>
      <c r="E265" s="27"/>
      <c r="F265" s="45" t="str">
        <f aca="false">IF(A265="","",IF(G265="","⛔ التاريخ غلط — اختاره من القائمة أو اكتبه كامل 05/10/2026",IF(OR(H265&lt;1,H265&gt;NW),"⛔ التاريخ برّا السنة",IF(AND(N(D265)&gt;0,N(J265)&gt;0,D265&gt;ADV_CAP*J265),"⚠️ أكثر من "&amp;TEXT(ADV_CAP,"0%")&amp;" من شغله ("&amp;TEXT(J265,"0.000")&amp;")",""))))</f>
        <v/>
      </c>
      <c r="G265" s="0" t="str">
        <f aca="true">IF(A265="","",IF(ISNUMBER(A265),IF(A265&gt;=36526,A265,""),IFERROR(DATE(VALUE(RIGHT(RIGHT(TRIM(A265),10),4)),VALUE(MID(RIGHT(TRIM(A265),10),4,2)),VALUE(LEFT(RIGHT(TRIM(A265),10),2))),IFERROR(TODAY()-MOD(WEEKDAY(TODAY(),1)-MATCH(TRIM(A265),{"الأحد","الاثنين","الثلاثاء","الأربعاء","الخميس","الجمعة","السبت"},0),7),IFERROR(DATEVALUE(A265),"")))))</f>
        <v/>
      </c>
      <c r="H265" s="0" t="str">
        <f aca="false">IF(G265="","",INT((G265-WEEK_ONE)/7)+1)</f>
        <v/>
      </c>
      <c r="I265" s="0" t="str">
        <f aca="false">IF(H265="","",IF(OR(H265&lt;1,H265&gt;NW),"",INDEX(WMON,H265)))</f>
        <v/>
      </c>
      <c r="J265" s="0" t="str">
        <f aca="false">IF(OR(G265="",H265="",C265=""),"",IF(C265="عمر المصري",SUMIFS('ساعات عمر'!$H$5:$H$746,'ساعات عمر'!$A$5:$A$746,"&gt;="&amp;(WEEK_ONE+7*(H265-1)),'ساعات عمر'!$A$5:$A$746,"&lt;="&amp;G265),SUMIFS('ساعات عبدالعزيز'!$F$5:$F$746,'ساعات عبدالعزيز'!$A$5:$A$746,"&gt;="&amp;(WEEK_ONE+7*(H265-1)),'ساعات عبدالعزيز'!$A$5:$A$746,"&lt;="&amp;G265)))</f>
        <v/>
      </c>
    </row>
    <row r="266" customFormat="false" ht="15" hidden="false" customHeight="false" outlineLevel="0" collapsed="false">
      <c r="A266" s="43"/>
      <c r="B266" s="23" t="str">
        <f aca="false">IF(G266="","",CHOOSE(WEEKDAY(G266,1),"الأحد","الاثنين","الثلاثاء","الأربعاء","الخميس","الجمعة","السبت")&amp;IF(OR(ISNUMBER(A266),LEN(TRIM(A266))&gt;=10),"","  "&amp;TEXT(DAY(G266),"00")&amp;"/"&amp;TEXT(MONTH(G266),"00")&amp;"/"&amp;YEAR(G266)))</f>
        <v/>
      </c>
      <c r="C266" s="24"/>
      <c r="D266" s="44"/>
      <c r="E266" s="27"/>
      <c r="F266" s="45" t="str">
        <f aca="false">IF(A266="","",IF(G266="","⛔ التاريخ غلط — اختاره من القائمة أو اكتبه كامل 05/10/2026",IF(OR(H266&lt;1,H266&gt;NW),"⛔ التاريخ برّا السنة",IF(AND(N(D266)&gt;0,N(J266)&gt;0,D266&gt;ADV_CAP*J266),"⚠️ أكثر من "&amp;TEXT(ADV_CAP,"0%")&amp;" من شغله ("&amp;TEXT(J266,"0.000")&amp;")",""))))</f>
        <v/>
      </c>
      <c r="G266" s="0" t="str">
        <f aca="true">IF(A266="","",IF(ISNUMBER(A266),IF(A266&gt;=36526,A266,""),IFERROR(DATE(VALUE(RIGHT(RIGHT(TRIM(A266),10),4)),VALUE(MID(RIGHT(TRIM(A266),10),4,2)),VALUE(LEFT(RIGHT(TRIM(A266),10),2))),IFERROR(TODAY()-MOD(WEEKDAY(TODAY(),1)-MATCH(TRIM(A266),{"الأحد","الاثنين","الثلاثاء","الأربعاء","الخميس","الجمعة","السبت"},0),7),IFERROR(DATEVALUE(A266),"")))))</f>
        <v/>
      </c>
      <c r="H266" s="0" t="str">
        <f aca="false">IF(G266="","",INT((G266-WEEK_ONE)/7)+1)</f>
        <v/>
      </c>
      <c r="I266" s="0" t="str">
        <f aca="false">IF(H266="","",IF(OR(H266&lt;1,H266&gt;NW),"",INDEX(WMON,H266)))</f>
        <v/>
      </c>
      <c r="J266" s="0" t="str">
        <f aca="false">IF(OR(G266="",H266="",C266=""),"",IF(C266="عمر المصري",SUMIFS('ساعات عمر'!$H$5:$H$746,'ساعات عمر'!$A$5:$A$746,"&gt;="&amp;(WEEK_ONE+7*(H266-1)),'ساعات عمر'!$A$5:$A$746,"&lt;="&amp;G266),SUMIFS('ساعات عبدالعزيز'!$F$5:$F$746,'ساعات عبدالعزيز'!$A$5:$A$746,"&gt;="&amp;(WEEK_ONE+7*(H266-1)),'ساعات عبدالعزيز'!$A$5:$A$746,"&lt;="&amp;G266)))</f>
        <v/>
      </c>
    </row>
    <row r="267" customFormat="false" ht="15" hidden="false" customHeight="false" outlineLevel="0" collapsed="false">
      <c r="A267" s="43"/>
      <c r="B267" s="23" t="str">
        <f aca="false">IF(G267="","",CHOOSE(WEEKDAY(G267,1),"الأحد","الاثنين","الثلاثاء","الأربعاء","الخميس","الجمعة","السبت")&amp;IF(OR(ISNUMBER(A267),LEN(TRIM(A267))&gt;=10),"","  "&amp;TEXT(DAY(G267),"00")&amp;"/"&amp;TEXT(MONTH(G267),"00")&amp;"/"&amp;YEAR(G267)))</f>
        <v/>
      </c>
      <c r="C267" s="24"/>
      <c r="D267" s="44"/>
      <c r="E267" s="27"/>
      <c r="F267" s="45" t="str">
        <f aca="false">IF(A267="","",IF(G267="","⛔ التاريخ غلط — اختاره من القائمة أو اكتبه كامل 05/10/2026",IF(OR(H267&lt;1,H267&gt;NW),"⛔ التاريخ برّا السنة",IF(AND(N(D267)&gt;0,N(J267)&gt;0,D267&gt;ADV_CAP*J267),"⚠️ أكثر من "&amp;TEXT(ADV_CAP,"0%")&amp;" من شغله ("&amp;TEXT(J267,"0.000")&amp;")",""))))</f>
        <v/>
      </c>
      <c r="G267" s="0" t="str">
        <f aca="true">IF(A267="","",IF(ISNUMBER(A267),IF(A267&gt;=36526,A267,""),IFERROR(DATE(VALUE(RIGHT(RIGHT(TRIM(A267),10),4)),VALUE(MID(RIGHT(TRIM(A267),10),4,2)),VALUE(LEFT(RIGHT(TRIM(A267),10),2))),IFERROR(TODAY()-MOD(WEEKDAY(TODAY(),1)-MATCH(TRIM(A267),{"الأحد","الاثنين","الثلاثاء","الأربعاء","الخميس","الجمعة","السبت"},0),7),IFERROR(DATEVALUE(A267),"")))))</f>
        <v/>
      </c>
      <c r="H267" s="0" t="str">
        <f aca="false">IF(G267="","",INT((G267-WEEK_ONE)/7)+1)</f>
        <v/>
      </c>
      <c r="I267" s="0" t="str">
        <f aca="false">IF(H267="","",IF(OR(H267&lt;1,H267&gt;NW),"",INDEX(WMON,H267)))</f>
        <v/>
      </c>
      <c r="J267" s="0" t="str">
        <f aca="false">IF(OR(G267="",H267="",C267=""),"",IF(C267="عمر المصري",SUMIFS('ساعات عمر'!$H$5:$H$746,'ساعات عمر'!$A$5:$A$746,"&gt;="&amp;(WEEK_ONE+7*(H267-1)),'ساعات عمر'!$A$5:$A$746,"&lt;="&amp;G267),SUMIFS('ساعات عبدالعزيز'!$F$5:$F$746,'ساعات عبدالعزيز'!$A$5:$A$746,"&gt;="&amp;(WEEK_ONE+7*(H267-1)),'ساعات عبدالعزيز'!$A$5:$A$746,"&lt;="&amp;G267)))</f>
        <v/>
      </c>
    </row>
    <row r="268" customFormat="false" ht="15" hidden="false" customHeight="false" outlineLevel="0" collapsed="false">
      <c r="A268" s="43"/>
      <c r="B268" s="23" t="str">
        <f aca="false">IF(G268="","",CHOOSE(WEEKDAY(G268,1),"الأحد","الاثنين","الثلاثاء","الأربعاء","الخميس","الجمعة","السبت")&amp;IF(OR(ISNUMBER(A268),LEN(TRIM(A268))&gt;=10),"","  "&amp;TEXT(DAY(G268),"00")&amp;"/"&amp;TEXT(MONTH(G268),"00")&amp;"/"&amp;YEAR(G268)))</f>
        <v/>
      </c>
      <c r="C268" s="24"/>
      <c r="D268" s="44"/>
      <c r="E268" s="27"/>
      <c r="F268" s="45" t="str">
        <f aca="false">IF(A268="","",IF(G268="","⛔ التاريخ غلط — اختاره من القائمة أو اكتبه كامل 05/10/2026",IF(OR(H268&lt;1,H268&gt;NW),"⛔ التاريخ برّا السنة",IF(AND(N(D268)&gt;0,N(J268)&gt;0,D268&gt;ADV_CAP*J268),"⚠️ أكثر من "&amp;TEXT(ADV_CAP,"0%")&amp;" من شغله ("&amp;TEXT(J268,"0.000")&amp;")",""))))</f>
        <v/>
      </c>
      <c r="G268" s="0" t="str">
        <f aca="true">IF(A268="","",IF(ISNUMBER(A268),IF(A268&gt;=36526,A268,""),IFERROR(DATE(VALUE(RIGHT(RIGHT(TRIM(A268),10),4)),VALUE(MID(RIGHT(TRIM(A268),10),4,2)),VALUE(LEFT(RIGHT(TRIM(A268),10),2))),IFERROR(TODAY()-MOD(WEEKDAY(TODAY(),1)-MATCH(TRIM(A268),{"الأحد","الاثنين","الثلاثاء","الأربعاء","الخميس","الجمعة","السبت"},0),7),IFERROR(DATEVALUE(A268),"")))))</f>
        <v/>
      </c>
      <c r="H268" s="0" t="str">
        <f aca="false">IF(G268="","",INT((G268-WEEK_ONE)/7)+1)</f>
        <v/>
      </c>
      <c r="I268" s="0" t="str">
        <f aca="false">IF(H268="","",IF(OR(H268&lt;1,H268&gt;NW),"",INDEX(WMON,H268)))</f>
        <v/>
      </c>
      <c r="J268" s="0" t="str">
        <f aca="false">IF(OR(G268="",H268="",C268=""),"",IF(C268="عمر المصري",SUMIFS('ساعات عمر'!$H$5:$H$746,'ساعات عمر'!$A$5:$A$746,"&gt;="&amp;(WEEK_ONE+7*(H268-1)),'ساعات عمر'!$A$5:$A$746,"&lt;="&amp;G268),SUMIFS('ساعات عبدالعزيز'!$F$5:$F$746,'ساعات عبدالعزيز'!$A$5:$A$746,"&gt;="&amp;(WEEK_ONE+7*(H268-1)),'ساعات عبدالعزيز'!$A$5:$A$746,"&lt;="&amp;G268)))</f>
        <v/>
      </c>
    </row>
    <row r="269" customFormat="false" ht="15" hidden="false" customHeight="false" outlineLevel="0" collapsed="false">
      <c r="A269" s="43"/>
      <c r="B269" s="23" t="str">
        <f aca="false">IF(G269="","",CHOOSE(WEEKDAY(G269,1),"الأحد","الاثنين","الثلاثاء","الأربعاء","الخميس","الجمعة","السبت")&amp;IF(OR(ISNUMBER(A269),LEN(TRIM(A269))&gt;=10),"","  "&amp;TEXT(DAY(G269),"00")&amp;"/"&amp;TEXT(MONTH(G269),"00")&amp;"/"&amp;YEAR(G269)))</f>
        <v/>
      </c>
      <c r="C269" s="24"/>
      <c r="D269" s="44"/>
      <c r="E269" s="27"/>
      <c r="F269" s="45" t="str">
        <f aca="false">IF(A269="","",IF(G269="","⛔ التاريخ غلط — اختاره من القائمة أو اكتبه كامل 05/10/2026",IF(OR(H269&lt;1,H269&gt;NW),"⛔ التاريخ برّا السنة",IF(AND(N(D269)&gt;0,N(J269)&gt;0,D269&gt;ADV_CAP*J269),"⚠️ أكثر من "&amp;TEXT(ADV_CAP,"0%")&amp;" من شغله ("&amp;TEXT(J269,"0.000")&amp;")",""))))</f>
        <v/>
      </c>
      <c r="G269" s="0" t="str">
        <f aca="true">IF(A269="","",IF(ISNUMBER(A269),IF(A269&gt;=36526,A269,""),IFERROR(DATE(VALUE(RIGHT(RIGHT(TRIM(A269),10),4)),VALUE(MID(RIGHT(TRIM(A269),10),4,2)),VALUE(LEFT(RIGHT(TRIM(A269),10),2))),IFERROR(TODAY()-MOD(WEEKDAY(TODAY(),1)-MATCH(TRIM(A269),{"الأحد","الاثنين","الثلاثاء","الأربعاء","الخميس","الجمعة","السبت"},0),7),IFERROR(DATEVALUE(A269),"")))))</f>
        <v/>
      </c>
      <c r="H269" s="0" t="str">
        <f aca="false">IF(G269="","",INT((G269-WEEK_ONE)/7)+1)</f>
        <v/>
      </c>
      <c r="I269" s="0" t="str">
        <f aca="false">IF(H269="","",IF(OR(H269&lt;1,H269&gt;NW),"",INDEX(WMON,H269)))</f>
        <v/>
      </c>
      <c r="J269" s="0" t="str">
        <f aca="false">IF(OR(G269="",H269="",C269=""),"",IF(C269="عمر المصري",SUMIFS('ساعات عمر'!$H$5:$H$746,'ساعات عمر'!$A$5:$A$746,"&gt;="&amp;(WEEK_ONE+7*(H269-1)),'ساعات عمر'!$A$5:$A$746,"&lt;="&amp;G269),SUMIFS('ساعات عبدالعزيز'!$F$5:$F$746,'ساعات عبدالعزيز'!$A$5:$A$746,"&gt;="&amp;(WEEK_ONE+7*(H269-1)),'ساعات عبدالعزيز'!$A$5:$A$746,"&lt;="&amp;G269)))</f>
        <v/>
      </c>
    </row>
    <row r="270" customFormat="false" ht="15" hidden="false" customHeight="false" outlineLevel="0" collapsed="false">
      <c r="A270" s="43"/>
      <c r="B270" s="23" t="str">
        <f aca="false">IF(G270="","",CHOOSE(WEEKDAY(G270,1),"الأحد","الاثنين","الثلاثاء","الأربعاء","الخميس","الجمعة","السبت")&amp;IF(OR(ISNUMBER(A270),LEN(TRIM(A270))&gt;=10),"","  "&amp;TEXT(DAY(G270),"00")&amp;"/"&amp;TEXT(MONTH(G270),"00")&amp;"/"&amp;YEAR(G270)))</f>
        <v/>
      </c>
      <c r="C270" s="24"/>
      <c r="D270" s="44"/>
      <c r="E270" s="27"/>
      <c r="F270" s="45" t="str">
        <f aca="false">IF(A270="","",IF(G270="","⛔ التاريخ غلط — اختاره من القائمة أو اكتبه كامل 05/10/2026",IF(OR(H270&lt;1,H270&gt;NW),"⛔ التاريخ برّا السنة",IF(AND(N(D270)&gt;0,N(J270)&gt;0,D270&gt;ADV_CAP*J270),"⚠️ أكثر من "&amp;TEXT(ADV_CAP,"0%")&amp;" من شغله ("&amp;TEXT(J270,"0.000")&amp;")",""))))</f>
        <v/>
      </c>
      <c r="G270" s="0" t="str">
        <f aca="true">IF(A270="","",IF(ISNUMBER(A270),IF(A270&gt;=36526,A270,""),IFERROR(DATE(VALUE(RIGHT(RIGHT(TRIM(A270),10),4)),VALUE(MID(RIGHT(TRIM(A270),10),4,2)),VALUE(LEFT(RIGHT(TRIM(A270),10),2))),IFERROR(TODAY()-MOD(WEEKDAY(TODAY(),1)-MATCH(TRIM(A270),{"الأحد","الاثنين","الثلاثاء","الأربعاء","الخميس","الجمعة","السبت"},0),7),IFERROR(DATEVALUE(A270),"")))))</f>
        <v/>
      </c>
      <c r="H270" s="0" t="str">
        <f aca="false">IF(G270="","",INT((G270-WEEK_ONE)/7)+1)</f>
        <v/>
      </c>
      <c r="I270" s="0" t="str">
        <f aca="false">IF(H270="","",IF(OR(H270&lt;1,H270&gt;NW),"",INDEX(WMON,H270)))</f>
        <v/>
      </c>
      <c r="J270" s="0" t="str">
        <f aca="false">IF(OR(G270="",H270="",C270=""),"",IF(C270="عمر المصري",SUMIFS('ساعات عمر'!$H$5:$H$746,'ساعات عمر'!$A$5:$A$746,"&gt;="&amp;(WEEK_ONE+7*(H270-1)),'ساعات عمر'!$A$5:$A$746,"&lt;="&amp;G270),SUMIFS('ساعات عبدالعزيز'!$F$5:$F$746,'ساعات عبدالعزيز'!$A$5:$A$746,"&gt;="&amp;(WEEK_ONE+7*(H270-1)),'ساعات عبدالعزيز'!$A$5:$A$746,"&lt;="&amp;G270)))</f>
        <v/>
      </c>
    </row>
    <row r="271" customFormat="false" ht="15" hidden="false" customHeight="false" outlineLevel="0" collapsed="false">
      <c r="A271" s="43"/>
      <c r="B271" s="23" t="str">
        <f aca="false">IF(G271="","",CHOOSE(WEEKDAY(G271,1),"الأحد","الاثنين","الثلاثاء","الأربعاء","الخميس","الجمعة","السبت")&amp;IF(OR(ISNUMBER(A271),LEN(TRIM(A271))&gt;=10),"","  "&amp;TEXT(DAY(G271),"00")&amp;"/"&amp;TEXT(MONTH(G271),"00")&amp;"/"&amp;YEAR(G271)))</f>
        <v/>
      </c>
      <c r="C271" s="24"/>
      <c r="D271" s="44"/>
      <c r="E271" s="27"/>
      <c r="F271" s="45" t="str">
        <f aca="false">IF(A271="","",IF(G271="","⛔ التاريخ غلط — اختاره من القائمة أو اكتبه كامل 05/10/2026",IF(OR(H271&lt;1,H271&gt;NW),"⛔ التاريخ برّا السنة",IF(AND(N(D271)&gt;0,N(J271)&gt;0,D271&gt;ADV_CAP*J271),"⚠️ أكثر من "&amp;TEXT(ADV_CAP,"0%")&amp;" من شغله ("&amp;TEXT(J271,"0.000")&amp;")",""))))</f>
        <v/>
      </c>
      <c r="G271" s="0" t="str">
        <f aca="true">IF(A271="","",IF(ISNUMBER(A271),IF(A271&gt;=36526,A271,""),IFERROR(DATE(VALUE(RIGHT(RIGHT(TRIM(A271),10),4)),VALUE(MID(RIGHT(TRIM(A271),10),4,2)),VALUE(LEFT(RIGHT(TRIM(A271),10),2))),IFERROR(TODAY()-MOD(WEEKDAY(TODAY(),1)-MATCH(TRIM(A271),{"الأحد","الاثنين","الثلاثاء","الأربعاء","الخميس","الجمعة","السبت"},0),7),IFERROR(DATEVALUE(A271),"")))))</f>
        <v/>
      </c>
      <c r="H271" s="0" t="str">
        <f aca="false">IF(G271="","",INT((G271-WEEK_ONE)/7)+1)</f>
        <v/>
      </c>
      <c r="I271" s="0" t="str">
        <f aca="false">IF(H271="","",IF(OR(H271&lt;1,H271&gt;NW),"",INDEX(WMON,H271)))</f>
        <v/>
      </c>
      <c r="J271" s="0" t="str">
        <f aca="false">IF(OR(G271="",H271="",C271=""),"",IF(C271="عمر المصري",SUMIFS('ساعات عمر'!$H$5:$H$746,'ساعات عمر'!$A$5:$A$746,"&gt;="&amp;(WEEK_ONE+7*(H271-1)),'ساعات عمر'!$A$5:$A$746,"&lt;="&amp;G271),SUMIFS('ساعات عبدالعزيز'!$F$5:$F$746,'ساعات عبدالعزيز'!$A$5:$A$746,"&gt;="&amp;(WEEK_ONE+7*(H271-1)),'ساعات عبدالعزيز'!$A$5:$A$746,"&lt;="&amp;G271)))</f>
        <v/>
      </c>
    </row>
    <row r="272" customFormat="false" ht="15" hidden="false" customHeight="false" outlineLevel="0" collapsed="false">
      <c r="A272" s="43"/>
      <c r="B272" s="23" t="str">
        <f aca="false">IF(G272="","",CHOOSE(WEEKDAY(G272,1),"الأحد","الاثنين","الثلاثاء","الأربعاء","الخميس","الجمعة","السبت")&amp;IF(OR(ISNUMBER(A272),LEN(TRIM(A272))&gt;=10),"","  "&amp;TEXT(DAY(G272),"00")&amp;"/"&amp;TEXT(MONTH(G272),"00")&amp;"/"&amp;YEAR(G272)))</f>
        <v/>
      </c>
      <c r="C272" s="24"/>
      <c r="D272" s="44"/>
      <c r="E272" s="27"/>
      <c r="F272" s="45" t="str">
        <f aca="false">IF(A272="","",IF(G272="","⛔ التاريخ غلط — اختاره من القائمة أو اكتبه كامل 05/10/2026",IF(OR(H272&lt;1,H272&gt;NW),"⛔ التاريخ برّا السنة",IF(AND(N(D272)&gt;0,N(J272)&gt;0,D272&gt;ADV_CAP*J272),"⚠️ أكثر من "&amp;TEXT(ADV_CAP,"0%")&amp;" من شغله ("&amp;TEXT(J272,"0.000")&amp;")",""))))</f>
        <v/>
      </c>
      <c r="G272" s="0" t="str">
        <f aca="true">IF(A272="","",IF(ISNUMBER(A272),IF(A272&gt;=36526,A272,""),IFERROR(DATE(VALUE(RIGHT(RIGHT(TRIM(A272),10),4)),VALUE(MID(RIGHT(TRIM(A272),10),4,2)),VALUE(LEFT(RIGHT(TRIM(A272),10),2))),IFERROR(TODAY()-MOD(WEEKDAY(TODAY(),1)-MATCH(TRIM(A272),{"الأحد","الاثنين","الثلاثاء","الأربعاء","الخميس","الجمعة","السبت"},0),7),IFERROR(DATEVALUE(A272),"")))))</f>
        <v/>
      </c>
      <c r="H272" s="0" t="str">
        <f aca="false">IF(G272="","",INT((G272-WEEK_ONE)/7)+1)</f>
        <v/>
      </c>
      <c r="I272" s="0" t="str">
        <f aca="false">IF(H272="","",IF(OR(H272&lt;1,H272&gt;NW),"",INDEX(WMON,H272)))</f>
        <v/>
      </c>
      <c r="J272" s="0" t="str">
        <f aca="false">IF(OR(G272="",H272="",C272=""),"",IF(C272="عمر المصري",SUMIFS('ساعات عمر'!$H$5:$H$746,'ساعات عمر'!$A$5:$A$746,"&gt;="&amp;(WEEK_ONE+7*(H272-1)),'ساعات عمر'!$A$5:$A$746,"&lt;="&amp;G272),SUMIFS('ساعات عبدالعزيز'!$F$5:$F$746,'ساعات عبدالعزيز'!$A$5:$A$746,"&gt;="&amp;(WEEK_ONE+7*(H272-1)),'ساعات عبدالعزيز'!$A$5:$A$746,"&lt;="&amp;G272)))</f>
        <v/>
      </c>
    </row>
    <row r="273" customFormat="false" ht="15" hidden="false" customHeight="false" outlineLevel="0" collapsed="false">
      <c r="A273" s="43"/>
      <c r="B273" s="23" t="str">
        <f aca="false">IF(G273="","",CHOOSE(WEEKDAY(G273,1),"الأحد","الاثنين","الثلاثاء","الأربعاء","الخميس","الجمعة","السبت")&amp;IF(OR(ISNUMBER(A273),LEN(TRIM(A273))&gt;=10),"","  "&amp;TEXT(DAY(G273),"00")&amp;"/"&amp;TEXT(MONTH(G273),"00")&amp;"/"&amp;YEAR(G273)))</f>
        <v/>
      </c>
      <c r="C273" s="24"/>
      <c r="D273" s="44"/>
      <c r="E273" s="27"/>
      <c r="F273" s="45" t="str">
        <f aca="false">IF(A273="","",IF(G273="","⛔ التاريخ غلط — اختاره من القائمة أو اكتبه كامل 05/10/2026",IF(OR(H273&lt;1,H273&gt;NW),"⛔ التاريخ برّا السنة",IF(AND(N(D273)&gt;0,N(J273)&gt;0,D273&gt;ADV_CAP*J273),"⚠️ أكثر من "&amp;TEXT(ADV_CAP,"0%")&amp;" من شغله ("&amp;TEXT(J273,"0.000")&amp;")",""))))</f>
        <v/>
      </c>
      <c r="G273" s="0" t="str">
        <f aca="true">IF(A273="","",IF(ISNUMBER(A273),IF(A273&gt;=36526,A273,""),IFERROR(DATE(VALUE(RIGHT(RIGHT(TRIM(A273),10),4)),VALUE(MID(RIGHT(TRIM(A273),10),4,2)),VALUE(LEFT(RIGHT(TRIM(A273),10),2))),IFERROR(TODAY()-MOD(WEEKDAY(TODAY(),1)-MATCH(TRIM(A273),{"الأحد","الاثنين","الثلاثاء","الأربعاء","الخميس","الجمعة","السبت"},0),7),IFERROR(DATEVALUE(A273),"")))))</f>
        <v/>
      </c>
      <c r="H273" s="0" t="str">
        <f aca="false">IF(G273="","",INT((G273-WEEK_ONE)/7)+1)</f>
        <v/>
      </c>
      <c r="I273" s="0" t="str">
        <f aca="false">IF(H273="","",IF(OR(H273&lt;1,H273&gt;NW),"",INDEX(WMON,H273)))</f>
        <v/>
      </c>
      <c r="J273" s="0" t="str">
        <f aca="false">IF(OR(G273="",H273="",C273=""),"",IF(C273="عمر المصري",SUMIFS('ساعات عمر'!$H$5:$H$746,'ساعات عمر'!$A$5:$A$746,"&gt;="&amp;(WEEK_ONE+7*(H273-1)),'ساعات عمر'!$A$5:$A$746,"&lt;="&amp;G273),SUMIFS('ساعات عبدالعزيز'!$F$5:$F$746,'ساعات عبدالعزيز'!$A$5:$A$746,"&gt;="&amp;(WEEK_ONE+7*(H273-1)),'ساعات عبدالعزيز'!$A$5:$A$746,"&lt;="&amp;G273)))</f>
        <v/>
      </c>
    </row>
    <row r="274" customFormat="false" ht="15" hidden="false" customHeight="false" outlineLevel="0" collapsed="false">
      <c r="A274" s="43"/>
      <c r="B274" s="23" t="str">
        <f aca="false">IF(G274="","",CHOOSE(WEEKDAY(G274,1),"الأحد","الاثنين","الثلاثاء","الأربعاء","الخميس","الجمعة","السبت")&amp;IF(OR(ISNUMBER(A274),LEN(TRIM(A274))&gt;=10),"","  "&amp;TEXT(DAY(G274),"00")&amp;"/"&amp;TEXT(MONTH(G274),"00")&amp;"/"&amp;YEAR(G274)))</f>
        <v/>
      </c>
      <c r="C274" s="24"/>
      <c r="D274" s="44"/>
      <c r="E274" s="27"/>
      <c r="F274" s="45" t="str">
        <f aca="false">IF(A274="","",IF(G274="","⛔ التاريخ غلط — اختاره من القائمة أو اكتبه كامل 05/10/2026",IF(OR(H274&lt;1,H274&gt;NW),"⛔ التاريخ برّا السنة",IF(AND(N(D274)&gt;0,N(J274)&gt;0,D274&gt;ADV_CAP*J274),"⚠️ أكثر من "&amp;TEXT(ADV_CAP,"0%")&amp;" من شغله ("&amp;TEXT(J274,"0.000")&amp;")",""))))</f>
        <v/>
      </c>
      <c r="G274" s="0" t="str">
        <f aca="true">IF(A274="","",IF(ISNUMBER(A274),IF(A274&gt;=36526,A274,""),IFERROR(DATE(VALUE(RIGHT(RIGHT(TRIM(A274),10),4)),VALUE(MID(RIGHT(TRIM(A274),10),4,2)),VALUE(LEFT(RIGHT(TRIM(A274),10),2))),IFERROR(TODAY()-MOD(WEEKDAY(TODAY(),1)-MATCH(TRIM(A274),{"الأحد","الاثنين","الثلاثاء","الأربعاء","الخميس","الجمعة","السبت"},0),7),IFERROR(DATEVALUE(A274),"")))))</f>
        <v/>
      </c>
      <c r="H274" s="0" t="str">
        <f aca="false">IF(G274="","",INT((G274-WEEK_ONE)/7)+1)</f>
        <v/>
      </c>
      <c r="I274" s="0" t="str">
        <f aca="false">IF(H274="","",IF(OR(H274&lt;1,H274&gt;NW),"",INDEX(WMON,H274)))</f>
        <v/>
      </c>
      <c r="J274" s="0" t="str">
        <f aca="false">IF(OR(G274="",H274="",C274=""),"",IF(C274="عمر المصري",SUMIFS('ساعات عمر'!$H$5:$H$746,'ساعات عمر'!$A$5:$A$746,"&gt;="&amp;(WEEK_ONE+7*(H274-1)),'ساعات عمر'!$A$5:$A$746,"&lt;="&amp;G274),SUMIFS('ساعات عبدالعزيز'!$F$5:$F$746,'ساعات عبدالعزيز'!$A$5:$A$746,"&gt;="&amp;(WEEK_ONE+7*(H274-1)),'ساعات عبدالعزيز'!$A$5:$A$746,"&lt;="&amp;G274)))</f>
        <v/>
      </c>
    </row>
    <row r="275" customFormat="false" ht="15" hidden="false" customHeight="false" outlineLevel="0" collapsed="false">
      <c r="A275" s="43"/>
      <c r="B275" s="23" t="str">
        <f aca="false">IF(G275="","",CHOOSE(WEEKDAY(G275,1),"الأحد","الاثنين","الثلاثاء","الأربعاء","الخميس","الجمعة","السبت")&amp;IF(OR(ISNUMBER(A275),LEN(TRIM(A275))&gt;=10),"","  "&amp;TEXT(DAY(G275),"00")&amp;"/"&amp;TEXT(MONTH(G275),"00")&amp;"/"&amp;YEAR(G275)))</f>
        <v/>
      </c>
      <c r="C275" s="24"/>
      <c r="D275" s="44"/>
      <c r="E275" s="27"/>
      <c r="F275" s="45" t="str">
        <f aca="false">IF(A275="","",IF(G275="","⛔ التاريخ غلط — اختاره من القائمة أو اكتبه كامل 05/10/2026",IF(OR(H275&lt;1,H275&gt;NW),"⛔ التاريخ برّا السنة",IF(AND(N(D275)&gt;0,N(J275)&gt;0,D275&gt;ADV_CAP*J275),"⚠️ أكثر من "&amp;TEXT(ADV_CAP,"0%")&amp;" من شغله ("&amp;TEXT(J275,"0.000")&amp;")",""))))</f>
        <v/>
      </c>
      <c r="G275" s="0" t="str">
        <f aca="true">IF(A275="","",IF(ISNUMBER(A275),IF(A275&gt;=36526,A275,""),IFERROR(DATE(VALUE(RIGHT(RIGHT(TRIM(A275),10),4)),VALUE(MID(RIGHT(TRIM(A275),10),4,2)),VALUE(LEFT(RIGHT(TRIM(A275),10),2))),IFERROR(TODAY()-MOD(WEEKDAY(TODAY(),1)-MATCH(TRIM(A275),{"الأحد","الاثنين","الثلاثاء","الأربعاء","الخميس","الجمعة","السبت"},0),7),IFERROR(DATEVALUE(A275),"")))))</f>
        <v/>
      </c>
      <c r="H275" s="0" t="str">
        <f aca="false">IF(G275="","",INT((G275-WEEK_ONE)/7)+1)</f>
        <v/>
      </c>
      <c r="I275" s="0" t="str">
        <f aca="false">IF(H275="","",IF(OR(H275&lt;1,H275&gt;NW),"",INDEX(WMON,H275)))</f>
        <v/>
      </c>
      <c r="J275" s="0" t="str">
        <f aca="false">IF(OR(G275="",H275="",C275=""),"",IF(C275="عمر المصري",SUMIFS('ساعات عمر'!$H$5:$H$746,'ساعات عمر'!$A$5:$A$746,"&gt;="&amp;(WEEK_ONE+7*(H275-1)),'ساعات عمر'!$A$5:$A$746,"&lt;="&amp;G275),SUMIFS('ساعات عبدالعزيز'!$F$5:$F$746,'ساعات عبدالعزيز'!$A$5:$A$746,"&gt;="&amp;(WEEK_ONE+7*(H275-1)),'ساعات عبدالعزيز'!$A$5:$A$746,"&lt;="&amp;G275)))</f>
        <v/>
      </c>
    </row>
    <row r="276" customFormat="false" ht="15" hidden="false" customHeight="false" outlineLevel="0" collapsed="false">
      <c r="A276" s="43"/>
      <c r="B276" s="23" t="str">
        <f aca="false">IF(G276="","",CHOOSE(WEEKDAY(G276,1),"الأحد","الاثنين","الثلاثاء","الأربعاء","الخميس","الجمعة","السبت")&amp;IF(OR(ISNUMBER(A276),LEN(TRIM(A276))&gt;=10),"","  "&amp;TEXT(DAY(G276),"00")&amp;"/"&amp;TEXT(MONTH(G276),"00")&amp;"/"&amp;YEAR(G276)))</f>
        <v/>
      </c>
      <c r="C276" s="24"/>
      <c r="D276" s="44"/>
      <c r="E276" s="27"/>
      <c r="F276" s="45" t="str">
        <f aca="false">IF(A276="","",IF(G276="","⛔ التاريخ غلط — اختاره من القائمة أو اكتبه كامل 05/10/2026",IF(OR(H276&lt;1,H276&gt;NW),"⛔ التاريخ برّا السنة",IF(AND(N(D276)&gt;0,N(J276)&gt;0,D276&gt;ADV_CAP*J276),"⚠️ أكثر من "&amp;TEXT(ADV_CAP,"0%")&amp;" من شغله ("&amp;TEXT(J276,"0.000")&amp;")",""))))</f>
        <v/>
      </c>
      <c r="G276" s="0" t="str">
        <f aca="true">IF(A276="","",IF(ISNUMBER(A276),IF(A276&gt;=36526,A276,""),IFERROR(DATE(VALUE(RIGHT(RIGHT(TRIM(A276),10),4)),VALUE(MID(RIGHT(TRIM(A276),10),4,2)),VALUE(LEFT(RIGHT(TRIM(A276),10),2))),IFERROR(TODAY()-MOD(WEEKDAY(TODAY(),1)-MATCH(TRIM(A276),{"الأحد","الاثنين","الثلاثاء","الأربعاء","الخميس","الجمعة","السبت"},0),7),IFERROR(DATEVALUE(A276),"")))))</f>
        <v/>
      </c>
      <c r="H276" s="0" t="str">
        <f aca="false">IF(G276="","",INT((G276-WEEK_ONE)/7)+1)</f>
        <v/>
      </c>
      <c r="I276" s="0" t="str">
        <f aca="false">IF(H276="","",IF(OR(H276&lt;1,H276&gt;NW),"",INDEX(WMON,H276)))</f>
        <v/>
      </c>
      <c r="J276" s="0" t="str">
        <f aca="false">IF(OR(G276="",H276="",C276=""),"",IF(C276="عمر المصري",SUMIFS('ساعات عمر'!$H$5:$H$746,'ساعات عمر'!$A$5:$A$746,"&gt;="&amp;(WEEK_ONE+7*(H276-1)),'ساعات عمر'!$A$5:$A$746,"&lt;="&amp;G276),SUMIFS('ساعات عبدالعزيز'!$F$5:$F$746,'ساعات عبدالعزيز'!$A$5:$A$746,"&gt;="&amp;(WEEK_ONE+7*(H276-1)),'ساعات عبدالعزيز'!$A$5:$A$746,"&lt;="&amp;G276)))</f>
        <v/>
      </c>
    </row>
    <row r="277" customFormat="false" ht="15" hidden="false" customHeight="false" outlineLevel="0" collapsed="false">
      <c r="A277" s="43"/>
      <c r="B277" s="23" t="str">
        <f aca="false">IF(G277="","",CHOOSE(WEEKDAY(G277,1),"الأحد","الاثنين","الثلاثاء","الأربعاء","الخميس","الجمعة","السبت")&amp;IF(OR(ISNUMBER(A277),LEN(TRIM(A277))&gt;=10),"","  "&amp;TEXT(DAY(G277),"00")&amp;"/"&amp;TEXT(MONTH(G277),"00")&amp;"/"&amp;YEAR(G277)))</f>
        <v/>
      </c>
      <c r="C277" s="24"/>
      <c r="D277" s="44"/>
      <c r="E277" s="27"/>
      <c r="F277" s="45" t="str">
        <f aca="false">IF(A277="","",IF(G277="","⛔ التاريخ غلط — اختاره من القائمة أو اكتبه كامل 05/10/2026",IF(OR(H277&lt;1,H277&gt;NW),"⛔ التاريخ برّا السنة",IF(AND(N(D277)&gt;0,N(J277)&gt;0,D277&gt;ADV_CAP*J277),"⚠️ أكثر من "&amp;TEXT(ADV_CAP,"0%")&amp;" من شغله ("&amp;TEXT(J277,"0.000")&amp;")",""))))</f>
        <v/>
      </c>
      <c r="G277" s="0" t="str">
        <f aca="true">IF(A277="","",IF(ISNUMBER(A277),IF(A277&gt;=36526,A277,""),IFERROR(DATE(VALUE(RIGHT(RIGHT(TRIM(A277),10),4)),VALUE(MID(RIGHT(TRIM(A277),10),4,2)),VALUE(LEFT(RIGHT(TRIM(A277),10),2))),IFERROR(TODAY()-MOD(WEEKDAY(TODAY(),1)-MATCH(TRIM(A277),{"الأحد","الاثنين","الثلاثاء","الأربعاء","الخميس","الجمعة","السبت"},0),7),IFERROR(DATEVALUE(A277),"")))))</f>
        <v/>
      </c>
      <c r="H277" s="0" t="str">
        <f aca="false">IF(G277="","",INT((G277-WEEK_ONE)/7)+1)</f>
        <v/>
      </c>
      <c r="I277" s="0" t="str">
        <f aca="false">IF(H277="","",IF(OR(H277&lt;1,H277&gt;NW),"",INDEX(WMON,H277)))</f>
        <v/>
      </c>
      <c r="J277" s="0" t="str">
        <f aca="false">IF(OR(G277="",H277="",C277=""),"",IF(C277="عمر المصري",SUMIFS('ساعات عمر'!$H$5:$H$746,'ساعات عمر'!$A$5:$A$746,"&gt;="&amp;(WEEK_ONE+7*(H277-1)),'ساعات عمر'!$A$5:$A$746,"&lt;="&amp;G277),SUMIFS('ساعات عبدالعزيز'!$F$5:$F$746,'ساعات عبدالعزيز'!$A$5:$A$746,"&gt;="&amp;(WEEK_ONE+7*(H277-1)),'ساعات عبدالعزيز'!$A$5:$A$746,"&lt;="&amp;G277)))</f>
        <v/>
      </c>
    </row>
    <row r="278" customFormat="false" ht="15" hidden="false" customHeight="false" outlineLevel="0" collapsed="false">
      <c r="A278" s="43"/>
      <c r="B278" s="23" t="str">
        <f aca="false">IF(G278="","",CHOOSE(WEEKDAY(G278,1),"الأحد","الاثنين","الثلاثاء","الأربعاء","الخميس","الجمعة","السبت")&amp;IF(OR(ISNUMBER(A278),LEN(TRIM(A278))&gt;=10),"","  "&amp;TEXT(DAY(G278),"00")&amp;"/"&amp;TEXT(MONTH(G278),"00")&amp;"/"&amp;YEAR(G278)))</f>
        <v/>
      </c>
      <c r="C278" s="24"/>
      <c r="D278" s="44"/>
      <c r="E278" s="27"/>
      <c r="F278" s="45" t="str">
        <f aca="false">IF(A278="","",IF(G278="","⛔ التاريخ غلط — اختاره من القائمة أو اكتبه كامل 05/10/2026",IF(OR(H278&lt;1,H278&gt;NW),"⛔ التاريخ برّا السنة",IF(AND(N(D278)&gt;0,N(J278)&gt;0,D278&gt;ADV_CAP*J278),"⚠️ أكثر من "&amp;TEXT(ADV_CAP,"0%")&amp;" من شغله ("&amp;TEXT(J278,"0.000")&amp;")",""))))</f>
        <v/>
      </c>
      <c r="G278" s="0" t="str">
        <f aca="true">IF(A278="","",IF(ISNUMBER(A278),IF(A278&gt;=36526,A278,""),IFERROR(DATE(VALUE(RIGHT(RIGHT(TRIM(A278),10),4)),VALUE(MID(RIGHT(TRIM(A278),10),4,2)),VALUE(LEFT(RIGHT(TRIM(A278),10),2))),IFERROR(TODAY()-MOD(WEEKDAY(TODAY(),1)-MATCH(TRIM(A278),{"الأحد","الاثنين","الثلاثاء","الأربعاء","الخميس","الجمعة","السبت"},0),7),IFERROR(DATEVALUE(A278),"")))))</f>
        <v/>
      </c>
      <c r="H278" s="0" t="str">
        <f aca="false">IF(G278="","",INT((G278-WEEK_ONE)/7)+1)</f>
        <v/>
      </c>
      <c r="I278" s="0" t="str">
        <f aca="false">IF(H278="","",IF(OR(H278&lt;1,H278&gt;NW),"",INDEX(WMON,H278)))</f>
        <v/>
      </c>
      <c r="J278" s="0" t="str">
        <f aca="false">IF(OR(G278="",H278="",C278=""),"",IF(C278="عمر المصري",SUMIFS('ساعات عمر'!$H$5:$H$746,'ساعات عمر'!$A$5:$A$746,"&gt;="&amp;(WEEK_ONE+7*(H278-1)),'ساعات عمر'!$A$5:$A$746,"&lt;="&amp;G278),SUMIFS('ساعات عبدالعزيز'!$F$5:$F$746,'ساعات عبدالعزيز'!$A$5:$A$746,"&gt;="&amp;(WEEK_ONE+7*(H278-1)),'ساعات عبدالعزيز'!$A$5:$A$746,"&lt;="&amp;G278)))</f>
        <v/>
      </c>
    </row>
    <row r="279" customFormat="false" ht="15" hidden="false" customHeight="false" outlineLevel="0" collapsed="false">
      <c r="A279" s="43"/>
      <c r="B279" s="23" t="str">
        <f aca="false">IF(G279="","",CHOOSE(WEEKDAY(G279,1),"الأحد","الاثنين","الثلاثاء","الأربعاء","الخميس","الجمعة","السبت")&amp;IF(OR(ISNUMBER(A279),LEN(TRIM(A279))&gt;=10),"","  "&amp;TEXT(DAY(G279),"00")&amp;"/"&amp;TEXT(MONTH(G279),"00")&amp;"/"&amp;YEAR(G279)))</f>
        <v/>
      </c>
      <c r="C279" s="24"/>
      <c r="D279" s="44"/>
      <c r="E279" s="27"/>
      <c r="F279" s="45" t="str">
        <f aca="false">IF(A279="","",IF(G279="","⛔ التاريخ غلط — اختاره من القائمة أو اكتبه كامل 05/10/2026",IF(OR(H279&lt;1,H279&gt;NW),"⛔ التاريخ برّا السنة",IF(AND(N(D279)&gt;0,N(J279)&gt;0,D279&gt;ADV_CAP*J279),"⚠️ أكثر من "&amp;TEXT(ADV_CAP,"0%")&amp;" من شغله ("&amp;TEXT(J279,"0.000")&amp;")",""))))</f>
        <v/>
      </c>
      <c r="G279" s="0" t="str">
        <f aca="true">IF(A279="","",IF(ISNUMBER(A279),IF(A279&gt;=36526,A279,""),IFERROR(DATE(VALUE(RIGHT(RIGHT(TRIM(A279),10),4)),VALUE(MID(RIGHT(TRIM(A279),10),4,2)),VALUE(LEFT(RIGHT(TRIM(A279),10),2))),IFERROR(TODAY()-MOD(WEEKDAY(TODAY(),1)-MATCH(TRIM(A279),{"الأحد","الاثنين","الثلاثاء","الأربعاء","الخميس","الجمعة","السبت"},0),7),IFERROR(DATEVALUE(A279),"")))))</f>
        <v/>
      </c>
      <c r="H279" s="0" t="str">
        <f aca="false">IF(G279="","",INT((G279-WEEK_ONE)/7)+1)</f>
        <v/>
      </c>
      <c r="I279" s="0" t="str">
        <f aca="false">IF(H279="","",IF(OR(H279&lt;1,H279&gt;NW),"",INDEX(WMON,H279)))</f>
        <v/>
      </c>
      <c r="J279" s="0" t="str">
        <f aca="false">IF(OR(G279="",H279="",C279=""),"",IF(C279="عمر المصري",SUMIFS('ساعات عمر'!$H$5:$H$746,'ساعات عمر'!$A$5:$A$746,"&gt;="&amp;(WEEK_ONE+7*(H279-1)),'ساعات عمر'!$A$5:$A$746,"&lt;="&amp;G279),SUMIFS('ساعات عبدالعزيز'!$F$5:$F$746,'ساعات عبدالعزيز'!$A$5:$A$746,"&gt;="&amp;(WEEK_ONE+7*(H279-1)),'ساعات عبدالعزيز'!$A$5:$A$746,"&lt;="&amp;G279)))</f>
        <v/>
      </c>
    </row>
    <row r="280" customFormat="false" ht="15" hidden="false" customHeight="false" outlineLevel="0" collapsed="false">
      <c r="A280" s="43"/>
      <c r="B280" s="23" t="str">
        <f aca="false">IF(G280="","",CHOOSE(WEEKDAY(G280,1),"الأحد","الاثنين","الثلاثاء","الأربعاء","الخميس","الجمعة","السبت")&amp;IF(OR(ISNUMBER(A280),LEN(TRIM(A280))&gt;=10),"","  "&amp;TEXT(DAY(G280),"00")&amp;"/"&amp;TEXT(MONTH(G280),"00")&amp;"/"&amp;YEAR(G280)))</f>
        <v/>
      </c>
      <c r="C280" s="24"/>
      <c r="D280" s="44"/>
      <c r="E280" s="27"/>
      <c r="F280" s="45" t="str">
        <f aca="false">IF(A280="","",IF(G280="","⛔ التاريخ غلط — اختاره من القائمة أو اكتبه كامل 05/10/2026",IF(OR(H280&lt;1,H280&gt;NW),"⛔ التاريخ برّا السنة",IF(AND(N(D280)&gt;0,N(J280)&gt;0,D280&gt;ADV_CAP*J280),"⚠️ أكثر من "&amp;TEXT(ADV_CAP,"0%")&amp;" من شغله ("&amp;TEXT(J280,"0.000")&amp;")",""))))</f>
        <v/>
      </c>
      <c r="G280" s="0" t="str">
        <f aca="true">IF(A280="","",IF(ISNUMBER(A280),IF(A280&gt;=36526,A280,""),IFERROR(DATE(VALUE(RIGHT(RIGHT(TRIM(A280),10),4)),VALUE(MID(RIGHT(TRIM(A280),10),4,2)),VALUE(LEFT(RIGHT(TRIM(A280),10),2))),IFERROR(TODAY()-MOD(WEEKDAY(TODAY(),1)-MATCH(TRIM(A280),{"الأحد","الاثنين","الثلاثاء","الأربعاء","الخميس","الجمعة","السبت"},0),7),IFERROR(DATEVALUE(A280),"")))))</f>
        <v/>
      </c>
      <c r="H280" s="0" t="str">
        <f aca="false">IF(G280="","",INT((G280-WEEK_ONE)/7)+1)</f>
        <v/>
      </c>
      <c r="I280" s="0" t="str">
        <f aca="false">IF(H280="","",IF(OR(H280&lt;1,H280&gt;NW),"",INDEX(WMON,H280)))</f>
        <v/>
      </c>
      <c r="J280" s="0" t="str">
        <f aca="false">IF(OR(G280="",H280="",C280=""),"",IF(C280="عمر المصري",SUMIFS('ساعات عمر'!$H$5:$H$746,'ساعات عمر'!$A$5:$A$746,"&gt;="&amp;(WEEK_ONE+7*(H280-1)),'ساعات عمر'!$A$5:$A$746,"&lt;="&amp;G280),SUMIFS('ساعات عبدالعزيز'!$F$5:$F$746,'ساعات عبدالعزيز'!$A$5:$A$746,"&gt;="&amp;(WEEK_ONE+7*(H280-1)),'ساعات عبدالعزيز'!$A$5:$A$746,"&lt;="&amp;G280)))</f>
        <v/>
      </c>
    </row>
    <row r="281" customFormat="false" ht="15" hidden="false" customHeight="false" outlineLevel="0" collapsed="false">
      <c r="A281" s="43"/>
      <c r="B281" s="23" t="str">
        <f aca="false">IF(G281="","",CHOOSE(WEEKDAY(G281,1),"الأحد","الاثنين","الثلاثاء","الأربعاء","الخميس","الجمعة","السبت")&amp;IF(OR(ISNUMBER(A281),LEN(TRIM(A281))&gt;=10),"","  "&amp;TEXT(DAY(G281),"00")&amp;"/"&amp;TEXT(MONTH(G281),"00")&amp;"/"&amp;YEAR(G281)))</f>
        <v/>
      </c>
      <c r="C281" s="24"/>
      <c r="D281" s="44"/>
      <c r="E281" s="27"/>
      <c r="F281" s="45" t="str">
        <f aca="false">IF(A281="","",IF(G281="","⛔ التاريخ غلط — اختاره من القائمة أو اكتبه كامل 05/10/2026",IF(OR(H281&lt;1,H281&gt;NW),"⛔ التاريخ برّا السنة",IF(AND(N(D281)&gt;0,N(J281)&gt;0,D281&gt;ADV_CAP*J281),"⚠️ أكثر من "&amp;TEXT(ADV_CAP,"0%")&amp;" من شغله ("&amp;TEXT(J281,"0.000")&amp;")",""))))</f>
        <v/>
      </c>
      <c r="G281" s="0" t="str">
        <f aca="true">IF(A281="","",IF(ISNUMBER(A281),IF(A281&gt;=36526,A281,""),IFERROR(DATE(VALUE(RIGHT(RIGHT(TRIM(A281),10),4)),VALUE(MID(RIGHT(TRIM(A281),10),4,2)),VALUE(LEFT(RIGHT(TRIM(A281),10),2))),IFERROR(TODAY()-MOD(WEEKDAY(TODAY(),1)-MATCH(TRIM(A281),{"الأحد","الاثنين","الثلاثاء","الأربعاء","الخميس","الجمعة","السبت"},0),7),IFERROR(DATEVALUE(A281),"")))))</f>
        <v/>
      </c>
      <c r="H281" s="0" t="str">
        <f aca="false">IF(G281="","",INT((G281-WEEK_ONE)/7)+1)</f>
        <v/>
      </c>
      <c r="I281" s="0" t="str">
        <f aca="false">IF(H281="","",IF(OR(H281&lt;1,H281&gt;NW),"",INDEX(WMON,H281)))</f>
        <v/>
      </c>
      <c r="J281" s="0" t="str">
        <f aca="false">IF(OR(G281="",H281="",C281=""),"",IF(C281="عمر المصري",SUMIFS('ساعات عمر'!$H$5:$H$746,'ساعات عمر'!$A$5:$A$746,"&gt;="&amp;(WEEK_ONE+7*(H281-1)),'ساعات عمر'!$A$5:$A$746,"&lt;="&amp;G281),SUMIFS('ساعات عبدالعزيز'!$F$5:$F$746,'ساعات عبدالعزيز'!$A$5:$A$746,"&gt;="&amp;(WEEK_ONE+7*(H281-1)),'ساعات عبدالعزيز'!$A$5:$A$746,"&lt;="&amp;G281)))</f>
        <v/>
      </c>
    </row>
    <row r="282" customFormat="false" ht="15" hidden="false" customHeight="false" outlineLevel="0" collapsed="false">
      <c r="A282" s="43"/>
      <c r="B282" s="23" t="str">
        <f aca="false">IF(G282="","",CHOOSE(WEEKDAY(G282,1),"الأحد","الاثنين","الثلاثاء","الأربعاء","الخميس","الجمعة","السبت")&amp;IF(OR(ISNUMBER(A282),LEN(TRIM(A282))&gt;=10),"","  "&amp;TEXT(DAY(G282),"00")&amp;"/"&amp;TEXT(MONTH(G282),"00")&amp;"/"&amp;YEAR(G282)))</f>
        <v/>
      </c>
      <c r="C282" s="24"/>
      <c r="D282" s="44"/>
      <c r="E282" s="27"/>
      <c r="F282" s="45" t="str">
        <f aca="false">IF(A282="","",IF(G282="","⛔ التاريخ غلط — اختاره من القائمة أو اكتبه كامل 05/10/2026",IF(OR(H282&lt;1,H282&gt;NW),"⛔ التاريخ برّا السنة",IF(AND(N(D282)&gt;0,N(J282)&gt;0,D282&gt;ADV_CAP*J282),"⚠️ أكثر من "&amp;TEXT(ADV_CAP,"0%")&amp;" من شغله ("&amp;TEXT(J282,"0.000")&amp;")",""))))</f>
        <v/>
      </c>
      <c r="G282" s="0" t="str">
        <f aca="true">IF(A282="","",IF(ISNUMBER(A282),IF(A282&gt;=36526,A282,""),IFERROR(DATE(VALUE(RIGHT(RIGHT(TRIM(A282),10),4)),VALUE(MID(RIGHT(TRIM(A282),10),4,2)),VALUE(LEFT(RIGHT(TRIM(A282),10),2))),IFERROR(TODAY()-MOD(WEEKDAY(TODAY(),1)-MATCH(TRIM(A282),{"الأحد","الاثنين","الثلاثاء","الأربعاء","الخميس","الجمعة","السبت"},0),7),IFERROR(DATEVALUE(A282),"")))))</f>
        <v/>
      </c>
      <c r="H282" s="0" t="str">
        <f aca="false">IF(G282="","",INT((G282-WEEK_ONE)/7)+1)</f>
        <v/>
      </c>
      <c r="I282" s="0" t="str">
        <f aca="false">IF(H282="","",IF(OR(H282&lt;1,H282&gt;NW),"",INDEX(WMON,H282)))</f>
        <v/>
      </c>
      <c r="J282" s="0" t="str">
        <f aca="false">IF(OR(G282="",H282="",C282=""),"",IF(C282="عمر المصري",SUMIFS('ساعات عمر'!$H$5:$H$746,'ساعات عمر'!$A$5:$A$746,"&gt;="&amp;(WEEK_ONE+7*(H282-1)),'ساعات عمر'!$A$5:$A$746,"&lt;="&amp;G282),SUMIFS('ساعات عبدالعزيز'!$F$5:$F$746,'ساعات عبدالعزيز'!$A$5:$A$746,"&gt;="&amp;(WEEK_ONE+7*(H282-1)),'ساعات عبدالعزيز'!$A$5:$A$746,"&lt;="&amp;G282)))</f>
        <v/>
      </c>
    </row>
    <row r="283" customFormat="false" ht="15" hidden="false" customHeight="false" outlineLevel="0" collapsed="false">
      <c r="A283" s="43"/>
      <c r="B283" s="23" t="str">
        <f aca="false">IF(G283="","",CHOOSE(WEEKDAY(G283,1),"الأحد","الاثنين","الثلاثاء","الأربعاء","الخميس","الجمعة","السبت")&amp;IF(OR(ISNUMBER(A283),LEN(TRIM(A283))&gt;=10),"","  "&amp;TEXT(DAY(G283),"00")&amp;"/"&amp;TEXT(MONTH(G283),"00")&amp;"/"&amp;YEAR(G283)))</f>
        <v/>
      </c>
      <c r="C283" s="24"/>
      <c r="D283" s="44"/>
      <c r="E283" s="27"/>
      <c r="F283" s="45" t="str">
        <f aca="false">IF(A283="","",IF(G283="","⛔ التاريخ غلط — اختاره من القائمة أو اكتبه كامل 05/10/2026",IF(OR(H283&lt;1,H283&gt;NW),"⛔ التاريخ برّا السنة",IF(AND(N(D283)&gt;0,N(J283)&gt;0,D283&gt;ADV_CAP*J283),"⚠️ أكثر من "&amp;TEXT(ADV_CAP,"0%")&amp;" من شغله ("&amp;TEXT(J283,"0.000")&amp;")",""))))</f>
        <v/>
      </c>
      <c r="G283" s="0" t="str">
        <f aca="true">IF(A283="","",IF(ISNUMBER(A283),IF(A283&gt;=36526,A283,""),IFERROR(DATE(VALUE(RIGHT(RIGHT(TRIM(A283),10),4)),VALUE(MID(RIGHT(TRIM(A283),10),4,2)),VALUE(LEFT(RIGHT(TRIM(A283),10),2))),IFERROR(TODAY()-MOD(WEEKDAY(TODAY(),1)-MATCH(TRIM(A283),{"الأحد","الاثنين","الثلاثاء","الأربعاء","الخميس","الجمعة","السبت"},0),7),IFERROR(DATEVALUE(A283),"")))))</f>
        <v/>
      </c>
      <c r="H283" s="0" t="str">
        <f aca="false">IF(G283="","",INT((G283-WEEK_ONE)/7)+1)</f>
        <v/>
      </c>
      <c r="I283" s="0" t="str">
        <f aca="false">IF(H283="","",IF(OR(H283&lt;1,H283&gt;NW),"",INDEX(WMON,H283)))</f>
        <v/>
      </c>
      <c r="J283" s="0" t="str">
        <f aca="false">IF(OR(G283="",H283="",C283=""),"",IF(C283="عمر المصري",SUMIFS('ساعات عمر'!$H$5:$H$746,'ساعات عمر'!$A$5:$A$746,"&gt;="&amp;(WEEK_ONE+7*(H283-1)),'ساعات عمر'!$A$5:$A$746,"&lt;="&amp;G283),SUMIFS('ساعات عبدالعزيز'!$F$5:$F$746,'ساعات عبدالعزيز'!$A$5:$A$746,"&gt;="&amp;(WEEK_ONE+7*(H283-1)),'ساعات عبدالعزيز'!$A$5:$A$746,"&lt;="&amp;G283)))</f>
        <v/>
      </c>
    </row>
    <row r="284" customFormat="false" ht="15" hidden="false" customHeight="false" outlineLevel="0" collapsed="false">
      <c r="A284" s="43"/>
      <c r="B284" s="23" t="str">
        <f aca="false">IF(G284="","",CHOOSE(WEEKDAY(G284,1),"الأحد","الاثنين","الثلاثاء","الأربعاء","الخميس","الجمعة","السبت")&amp;IF(OR(ISNUMBER(A284),LEN(TRIM(A284))&gt;=10),"","  "&amp;TEXT(DAY(G284),"00")&amp;"/"&amp;TEXT(MONTH(G284),"00")&amp;"/"&amp;YEAR(G284)))</f>
        <v/>
      </c>
      <c r="C284" s="24"/>
      <c r="D284" s="44"/>
      <c r="E284" s="27"/>
      <c r="F284" s="45" t="str">
        <f aca="false">IF(A284="","",IF(G284="","⛔ التاريخ غلط — اختاره من القائمة أو اكتبه كامل 05/10/2026",IF(OR(H284&lt;1,H284&gt;NW),"⛔ التاريخ برّا السنة",IF(AND(N(D284)&gt;0,N(J284)&gt;0,D284&gt;ADV_CAP*J284),"⚠️ أكثر من "&amp;TEXT(ADV_CAP,"0%")&amp;" من شغله ("&amp;TEXT(J284,"0.000")&amp;")",""))))</f>
        <v/>
      </c>
      <c r="G284" s="0" t="str">
        <f aca="true">IF(A284="","",IF(ISNUMBER(A284),IF(A284&gt;=36526,A284,""),IFERROR(DATE(VALUE(RIGHT(RIGHT(TRIM(A284),10),4)),VALUE(MID(RIGHT(TRIM(A284),10),4,2)),VALUE(LEFT(RIGHT(TRIM(A284),10),2))),IFERROR(TODAY()-MOD(WEEKDAY(TODAY(),1)-MATCH(TRIM(A284),{"الأحد","الاثنين","الثلاثاء","الأربعاء","الخميس","الجمعة","السبت"},0),7),IFERROR(DATEVALUE(A284),"")))))</f>
        <v/>
      </c>
      <c r="H284" s="0" t="str">
        <f aca="false">IF(G284="","",INT((G284-WEEK_ONE)/7)+1)</f>
        <v/>
      </c>
      <c r="I284" s="0" t="str">
        <f aca="false">IF(H284="","",IF(OR(H284&lt;1,H284&gt;NW),"",INDEX(WMON,H284)))</f>
        <v/>
      </c>
      <c r="J284" s="0" t="str">
        <f aca="false">IF(OR(G284="",H284="",C284=""),"",IF(C284="عمر المصري",SUMIFS('ساعات عمر'!$H$5:$H$746,'ساعات عمر'!$A$5:$A$746,"&gt;="&amp;(WEEK_ONE+7*(H284-1)),'ساعات عمر'!$A$5:$A$746,"&lt;="&amp;G284),SUMIFS('ساعات عبدالعزيز'!$F$5:$F$746,'ساعات عبدالعزيز'!$A$5:$A$746,"&gt;="&amp;(WEEK_ONE+7*(H284-1)),'ساعات عبدالعزيز'!$A$5:$A$746,"&lt;="&amp;G284)))</f>
        <v/>
      </c>
    </row>
    <row r="285" customFormat="false" ht="15" hidden="false" customHeight="false" outlineLevel="0" collapsed="false">
      <c r="A285" s="43"/>
      <c r="B285" s="23" t="str">
        <f aca="false">IF(G285="","",CHOOSE(WEEKDAY(G285,1),"الأحد","الاثنين","الثلاثاء","الأربعاء","الخميس","الجمعة","السبت")&amp;IF(OR(ISNUMBER(A285),LEN(TRIM(A285))&gt;=10),"","  "&amp;TEXT(DAY(G285),"00")&amp;"/"&amp;TEXT(MONTH(G285),"00")&amp;"/"&amp;YEAR(G285)))</f>
        <v/>
      </c>
      <c r="C285" s="24"/>
      <c r="D285" s="44"/>
      <c r="E285" s="27"/>
      <c r="F285" s="45" t="str">
        <f aca="false">IF(A285="","",IF(G285="","⛔ التاريخ غلط — اختاره من القائمة أو اكتبه كامل 05/10/2026",IF(OR(H285&lt;1,H285&gt;NW),"⛔ التاريخ برّا السنة",IF(AND(N(D285)&gt;0,N(J285)&gt;0,D285&gt;ADV_CAP*J285),"⚠️ أكثر من "&amp;TEXT(ADV_CAP,"0%")&amp;" من شغله ("&amp;TEXT(J285,"0.000")&amp;")",""))))</f>
        <v/>
      </c>
      <c r="G285" s="0" t="str">
        <f aca="true">IF(A285="","",IF(ISNUMBER(A285),IF(A285&gt;=36526,A285,""),IFERROR(DATE(VALUE(RIGHT(RIGHT(TRIM(A285),10),4)),VALUE(MID(RIGHT(TRIM(A285),10),4,2)),VALUE(LEFT(RIGHT(TRIM(A285),10),2))),IFERROR(TODAY()-MOD(WEEKDAY(TODAY(),1)-MATCH(TRIM(A285),{"الأحد","الاثنين","الثلاثاء","الأربعاء","الخميس","الجمعة","السبت"},0),7),IFERROR(DATEVALUE(A285),"")))))</f>
        <v/>
      </c>
      <c r="H285" s="0" t="str">
        <f aca="false">IF(G285="","",INT((G285-WEEK_ONE)/7)+1)</f>
        <v/>
      </c>
      <c r="I285" s="0" t="str">
        <f aca="false">IF(H285="","",IF(OR(H285&lt;1,H285&gt;NW),"",INDEX(WMON,H285)))</f>
        <v/>
      </c>
      <c r="J285" s="0" t="str">
        <f aca="false">IF(OR(G285="",H285="",C285=""),"",IF(C285="عمر المصري",SUMIFS('ساعات عمر'!$H$5:$H$746,'ساعات عمر'!$A$5:$A$746,"&gt;="&amp;(WEEK_ONE+7*(H285-1)),'ساعات عمر'!$A$5:$A$746,"&lt;="&amp;G285),SUMIFS('ساعات عبدالعزيز'!$F$5:$F$746,'ساعات عبدالعزيز'!$A$5:$A$746,"&gt;="&amp;(WEEK_ONE+7*(H285-1)),'ساعات عبدالعزيز'!$A$5:$A$746,"&lt;="&amp;G285)))</f>
        <v/>
      </c>
    </row>
    <row r="286" customFormat="false" ht="15" hidden="false" customHeight="false" outlineLevel="0" collapsed="false">
      <c r="A286" s="43"/>
      <c r="B286" s="23" t="str">
        <f aca="false">IF(G286="","",CHOOSE(WEEKDAY(G286,1),"الأحد","الاثنين","الثلاثاء","الأربعاء","الخميس","الجمعة","السبت")&amp;IF(OR(ISNUMBER(A286),LEN(TRIM(A286))&gt;=10),"","  "&amp;TEXT(DAY(G286),"00")&amp;"/"&amp;TEXT(MONTH(G286),"00")&amp;"/"&amp;YEAR(G286)))</f>
        <v/>
      </c>
      <c r="C286" s="24"/>
      <c r="D286" s="44"/>
      <c r="E286" s="27"/>
      <c r="F286" s="45" t="str">
        <f aca="false">IF(A286="","",IF(G286="","⛔ التاريخ غلط — اختاره من القائمة أو اكتبه كامل 05/10/2026",IF(OR(H286&lt;1,H286&gt;NW),"⛔ التاريخ برّا السنة",IF(AND(N(D286)&gt;0,N(J286)&gt;0,D286&gt;ADV_CAP*J286),"⚠️ أكثر من "&amp;TEXT(ADV_CAP,"0%")&amp;" من شغله ("&amp;TEXT(J286,"0.000")&amp;")",""))))</f>
        <v/>
      </c>
      <c r="G286" s="0" t="str">
        <f aca="true">IF(A286="","",IF(ISNUMBER(A286),IF(A286&gt;=36526,A286,""),IFERROR(DATE(VALUE(RIGHT(RIGHT(TRIM(A286),10),4)),VALUE(MID(RIGHT(TRIM(A286),10),4,2)),VALUE(LEFT(RIGHT(TRIM(A286),10),2))),IFERROR(TODAY()-MOD(WEEKDAY(TODAY(),1)-MATCH(TRIM(A286),{"الأحد","الاثنين","الثلاثاء","الأربعاء","الخميس","الجمعة","السبت"},0),7),IFERROR(DATEVALUE(A286),"")))))</f>
        <v/>
      </c>
      <c r="H286" s="0" t="str">
        <f aca="false">IF(G286="","",INT((G286-WEEK_ONE)/7)+1)</f>
        <v/>
      </c>
      <c r="I286" s="0" t="str">
        <f aca="false">IF(H286="","",IF(OR(H286&lt;1,H286&gt;NW),"",INDEX(WMON,H286)))</f>
        <v/>
      </c>
      <c r="J286" s="0" t="str">
        <f aca="false">IF(OR(G286="",H286="",C286=""),"",IF(C286="عمر المصري",SUMIFS('ساعات عمر'!$H$5:$H$746,'ساعات عمر'!$A$5:$A$746,"&gt;="&amp;(WEEK_ONE+7*(H286-1)),'ساعات عمر'!$A$5:$A$746,"&lt;="&amp;G286),SUMIFS('ساعات عبدالعزيز'!$F$5:$F$746,'ساعات عبدالعزيز'!$A$5:$A$746,"&gt;="&amp;(WEEK_ONE+7*(H286-1)),'ساعات عبدالعزيز'!$A$5:$A$746,"&lt;="&amp;G286)))</f>
        <v/>
      </c>
    </row>
    <row r="287" customFormat="false" ht="15" hidden="false" customHeight="false" outlineLevel="0" collapsed="false">
      <c r="A287" s="43"/>
      <c r="B287" s="23" t="str">
        <f aca="false">IF(G287="","",CHOOSE(WEEKDAY(G287,1),"الأحد","الاثنين","الثلاثاء","الأربعاء","الخميس","الجمعة","السبت")&amp;IF(OR(ISNUMBER(A287),LEN(TRIM(A287))&gt;=10),"","  "&amp;TEXT(DAY(G287),"00")&amp;"/"&amp;TEXT(MONTH(G287),"00")&amp;"/"&amp;YEAR(G287)))</f>
        <v/>
      </c>
      <c r="C287" s="24"/>
      <c r="D287" s="44"/>
      <c r="E287" s="27"/>
      <c r="F287" s="45" t="str">
        <f aca="false">IF(A287="","",IF(G287="","⛔ التاريخ غلط — اختاره من القائمة أو اكتبه كامل 05/10/2026",IF(OR(H287&lt;1,H287&gt;NW),"⛔ التاريخ برّا السنة",IF(AND(N(D287)&gt;0,N(J287)&gt;0,D287&gt;ADV_CAP*J287),"⚠️ أكثر من "&amp;TEXT(ADV_CAP,"0%")&amp;" من شغله ("&amp;TEXT(J287,"0.000")&amp;")",""))))</f>
        <v/>
      </c>
      <c r="G287" s="0" t="str">
        <f aca="true">IF(A287="","",IF(ISNUMBER(A287),IF(A287&gt;=36526,A287,""),IFERROR(DATE(VALUE(RIGHT(RIGHT(TRIM(A287),10),4)),VALUE(MID(RIGHT(TRIM(A287),10),4,2)),VALUE(LEFT(RIGHT(TRIM(A287),10),2))),IFERROR(TODAY()-MOD(WEEKDAY(TODAY(),1)-MATCH(TRIM(A287),{"الأحد","الاثنين","الثلاثاء","الأربعاء","الخميس","الجمعة","السبت"},0),7),IFERROR(DATEVALUE(A287),"")))))</f>
        <v/>
      </c>
      <c r="H287" s="0" t="str">
        <f aca="false">IF(G287="","",INT((G287-WEEK_ONE)/7)+1)</f>
        <v/>
      </c>
      <c r="I287" s="0" t="str">
        <f aca="false">IF(H287="","",IF(OR(H287&lt;1,H287&gt;NW),"",INDEX(WMON,H287)))</f>
        <v/>
      </c>
      <c r="J287" s="0" t="str">
        <f aca="false">IF(OR(G287="",H287="",C287=""),"",IF(C287="عمر المصري",SUMIFS('ساعات عمر'!$H$5:$H$746,'ساعات عمر'!$A$5:$A$746,"&gt;="&amp;(WEEK_ONE+7*(H287-1)),'ساعات عمر'!$A$5:$A$746,"&lt;="&amp;G287),SUMIFS('ساعات عبدالعزيز'!$F$5:$F$746,'ساعات عبدالعزيز'!$A$5:$A$746,"&gt;="&amp;(WEEK_ONE+7*(H287-1)),'ساعات عبدالعزيز'!$A$5:$A$746,"&lt;="&amp;G287)))</f>
        <v/>
      </c>
    </row>
    <row r="288" customFormat="false" ht="15" hidden="false" customHeight="false" outlineLevel="0" collapsed="false">
      <c r="A288" s="43"/>
      <c r="B288" s="23" t="str">
        <f aca="false">IF(G288="","",CHOOSE(WEEKDAY(G288,1),"الأحد","الاثنين","الثلاثاء","الأربعاء","الخميس","الجمعة","السبت")&amp;IF(OR(ISNUMBER(A288),LEN(TRIM(A288))&gt;=10),"","  "&amp;TEXT(DAY(G288),"00")&amp;"/"&amp;TEXT(MONTH(G288),"00")&amp;"/"&amp;YEAR(G288)))</f>
        <v/>
      </c>
      <c r="C288" s="24"/>
      <c r="D288" s="44"/>
      <c r="E288" s="27"/>
      <c r="F288" s="45" t="str">
        <f aca="false">IF(A288="","",IF(G288="","⛔ التاريخ غلط — اختاره من القائمة أو اكتبه كامل 05/10/2026",IF(OR(H288&lt;1,H288&gt;NW),"⛔ التاريخ برّا السنة",IF(AND(N(D288)&gt;0,N(J288)&gt;0,D288&gt;ADV_CAP*J288),"⚠️ أكثر من "&amp;TEXT(ADV_CAP,"0%")&amp;" من شغله ("&amp;TEXT(J288,"0.000")&amp;")",""))))</f>
        <v/>
      </c>
      <c r="G288" s="0" t="str">
        <f aca="true">IF(A288="","",IF(ISNUMBER(A288),IF(A288&gt;=36526,A288,""),IFERROR(DATE(VALUE(RIGHT(RIGHT(TRIM(A288),10),4)),VALUE(MID(RIGHT(TRIM(A288),10),4,2)),VALUE(LEFT(RIGHT(TRIM(A288),10),2))),IFERROR(TODAY()-MOD(WEEKDAY(TODAY(),1)-MATCH(TRIM(A288),{"الأحد","الاثنين","الثلاثاء","الأربعاء","الخميس","الجمعة","السبت"},0),7),IFERROR(DATEVALUE(A288),"")))))</f>
        <v/>
      </c>
      <c r="H288" s="0" t="str">
        <f aca="false">IF(G288="","",INT((G288-WEEK_ONE)/7)+1)</f>
        <v/>
      </c>
      <c r="I288" s="0" t="str">
        <f aca="false">IF(H288="","",IF(OR(H288&lt;1,H288&gt;NW),"",INDEX(WMON,H288)))</f>
        <v/>
      </c>
      <c r="J288" s="0" t="str">
        <f aca="false">IF(OR(G288="",H288="",C288=""),"",IF(C288="عمر المصري",SUMIFS('ساعات عمر'!$H$5:$H$746,'ساعات عمر'!$A$5:$A$746,"&gt;="&amp;(WEEK_ONE+7*(H288-1)),'ساعات عمر'!$A$5:$A$746,"&lt;="&amp;G288),SUMIFS('ساعات عبدالعزيز'!$F$5:$F$746,'ساعات عبدالعزيز'!$A$5:$A$746,"&gt;="&amp;(WEEK_ONE+7*(H288-1)),'ساعات عبدالعزيز'!$A$5:$A$746,"&lt;="&amp;G288)))</f>
        <v/>
      </c>
    </row>
    <row r="289" customFormat="false" ht="15" hidden="false" customHeight="false" outlineLevel="0" collapsed="false">
      <c r="A289" s="43"/>
      <c r="B289" s="23" t="str">
        <f aca="false">IF(G289="","",CHOOSE(WEEKDAY(G289,1),"الأحد","الاثنين","الثلاثاء","الأربعاء","الخميس","الجمعة","السبت")&amp;IF(OR(ISNUMBER(A289),LEN(TRIM(A289))&gt;=10),"","  "&amp;TEXT(DAY(G289),"00")&amp;"/"&amp;TEXT(MONTH(G289),"00")&amp;"/"&amp;YEAR(G289)))</f>
        <v/>
      </c>
      <c r="C289" s="24"/>
      <c r="D289" s="44"/>
      <c r="E289" s="27"/>
      <c r="F289" s="45" t="str">
        <f aca="false">IF(A289="","",IF(G289="","⛔ التاريخ غلط — اختاره من القائمة أو اكتبه كامل 05/10/2026",IF(OR(H289&lt;1,H289&gt;NW),"⛔ التاريخ برّا السنة",IF(AND(N(D289)&gt;0,N(J289)&gt;0,D289&gt;ADV_CAP*J289),"⚠️ أكثر من "&amp;TEXT(ADV_CAP,"0%")&amp;" من شغله ("&amp;TEXT(J289,"0.000")&amp;")",""))))</f>
        <v/>
      </c>
      <c r="G289" s="0" t="str">
        <f aca="true">IF(A289="","",IF(ISNUMBER(A289),IF(A289&gt;=36526,A289,""),IFERROR(DATE(VALUE(RIGHT(RIGHT(TRIM(A289),10),4)),VALUE(MID(RIGHT(TRIM(A289),10),4,2)),VALUE(LEFT(RIGHT(TRIM(A289),10),2))),IFERROR(TODAY()-MOD(WEEKDAY(TODAY(),1)-MATCH(TRIM(A289),{"الأحد","الاثنين","الثلاثاء","الأربعاء","الخميس","الجمعة","السبت"},0),7),IFERROR(DATEVALUE(A289),"")))))</f>
        <v/>
      </c>
      <c r="H289" s="0" t="str">
        <f aca="false">IF(G289="","",INT((G289-WEEK_ONE)/7)+1)</f>
        <v/>
      </c>
      <c r="I289" s="0" t="str">
        <f aca="false">IF(H289="","",IF(OR(H289&lt;1,H289&gt;NW),"",INDEX(WMON,H289)))</f>
        <v/>
      </c>
      <c r="J289" s="0" t="str">
        <f aca="false">IF(OR(G289="",H289="",C289=""),"",IF(C289="عمر المصري",SUMIFS('ساعات عمر'!$H$5:$H$746,'ساعات عمر'!$A$5:$A$746,"&gt;="&amp;(WEEK_ONE+7*(H289-1)),'ساعات عمر'!$A$5:$A$746,"&lt;="&amp;G289),SUMIFS('ساعات عبدالعزيز'!$F$5:$F$746,'ساعات عبدالعزيز'!$A$5:$A$746,"&gt;="&amp;(WEEK_ONE+7*(H289-1)),'ساعات عبدالعزيز'!$A$5:$A$746,"&lt;="&amp;G289)))</f>
        <v/>
      </c>
    </row>
    <row r="290" customFormat="false" ht="15" hidden="false" customHeight="false" outlineLevel="0" collapsed="false">
      <c r="A290" s="43"/>
      <c r="B290" s="23" t="str">
        <f aca="false">IF(G290="","",CHOOSE(WEEKDAY(G290,1),"الأحد","الاثنين","الثلاثاء","الأربعاء","الخميس","الجمعة","السبت")&amp;IF(OR(ISNUMBER(A290),LEN(TRIM(A290))&gt;=10),"","  "&amp;TEXT(DAY(G290),"00")&amp;"/"&amp;TEXT(MONTH(G290),"00")&amp;"/"&amp;YEAR(G290)))</f>
        <v/>
      </c>
      <c r="C290" s="24"/>
      <c r="D290" s="44"/>
      <c r="E290" s="27"/>
      <c r="F290" s="45" t="str">
        <f aca="false">IF(A290="","",IF(G290="","⛔ التاريخ غلط — اختاره من القائمة أو اكتبه كامل 05/10/2026",IF(OR(H290&lt;1,H290&gt;NW),"⛔ التاريخ برّا السنة",IF(AND(N(D290)&gt;0,N(J290)&gt;0,D290&gt;ADV_CAP*J290),"⚠️ أكثر من "&amp;TEXT(ADV_CAP,"0%")&amp;" من شغله ("&amp;TEXT(J290,"0.000")&amp;")",""))))</f>
        <v/>
      </c>
      <c r="G290" s="0" t="str">
        <f aca="true">IF(A290="","",IF(ISNUMBER(A290),IF(A290&gt;=36526,A290,""),IFERROR(DATE(VALUE(RIGHT(RIGHT(TRIM(A290),10),4)),VALUE(MID(RIGHT(TRIM(A290),10),4,2)),VALUE(LEFT(RIGHT(TRIM(A290),10),2))),IFERROR(TODAY()-MOD(WEEKDAY(TODAY(),1)-MATCH(TRIM(A290),{"الأحد","الاثنين","الثلاثاء","الأربعاء","الخميس","الجمعة","السبت"},0),7),IFERROR(DATEVALUE(A290),"")))))</f>
        <v/>
      </c>
      <c r="H290" s="0" t="str">
        <f aca="false">IF(G290="","",INT((G290-WEEK_ONE)/7)+1)</f>
        <v/>
      </c>
      <c r="I290" s="0" t="str">
        <f aca="false">IF(H290="","",IF(OR(H290&lt;1,H290&gt;NW),"",INDEX(WMON,H290)))</f>
        <v/>
      </c>
      <c r="J290" s="0" t="str">
        <f aca="false">IF(OR(G290="",H290="",C290=""),"",IF(C290="عمر المصري",SUMIFS('ساعات عمر'!$H$5:$H$746,'ساعات عمر'!$A$5:$A$746,"&gt;="&amp;(WEEK_ONE+7*(H290-1)),'ساعات عمر'!$A$5:$A$746,"&lt;="&amp;G290),SUMIFS('ساعات عبدالعزيز'!$F$5:$F$746,'ساعات عبدالعزيز'!$A$5:$A$746,"&gt;="&amp;(WEEK_ONE+7*(H290-1)),'ساعات عبدالعزيز'!$A$5:$A$746,"&lt;="&amp;G290)))</f>
        <v/>
      </c>
    </row>
    <row r="291" customFormat="false" ht="15" hidden="false" customHeight="false" outlineLevel="0" collapsed="false">
      <c r="A291" s="43"/>
      <c r="B291" s="23" t="str">
        <f aca="false">IF(G291="","",CHOOSE(WEEKDAY(G291,1),"الأحد","الاثنين","الثلاثاء","الأربعاء","الخميس","الجمعة","السبت")&amp;IF(OR(ISNUMBER(A291),LEN(TRIM(A291))&gt;=10),"","  "&amp;TEXT(DAY(G291),"00")&amp;"/"&amp;TEXT(MONTH(G291),"00")&amp;"/"&amp;YEAR(G291)))</f>
        <v/>
      </c>
      <c r="C291" s="24"/>
      <c r="D291" s="44"/>
      <c r="E291" s="27"/>
      <c r="F291" s="45" t="str">
        <f aca="false">IF(A291="","",IF(G291="","⛔ التاريخ غلط — اختاره من القائمة أو اكتبه كامل 05/10/2026",IF(OR(H291&lt;1,H291&gt;NW),"⛔ التاريخ برّا السنة",IF(AND(N(D291)&gt;0,N(J291)&gt;0,D291&gt;ADV_CAP*J291),"⚠️ أكثر من "&amp;TEXT(ADV_CAP,"0%")&amp;" من شغله ("&amp;TEXT(J291,"0.000")&amp;")",""))))</f>
        <v/>
      </c>
      <c r="G291" s="0" t="str">
        <f aca="true">IF(A291="","",IF(ISNUMBER(A291),IF(A291&gt;=36526,A291,""),IFERROR(DATE(VALUE(RIGHT(RIGHT(TRIM(A291),10),4)),VALUE(MID(RIGHT(TRIM(A291),10),4,2)),VALUE(LEFT(RIGHT(TRIM(A291),10),2))),IFERROR(TODAY()-MOD(WEEKDAY(TODAY(),1)-MATCH(TRIM(A291),{"الأحد","الاثنين","الثلاثاء","الأربعاء","الخميس","الجمعة","السبت"},0),7),IFERROR(DATEVALUE(A291),"")))))</f>
        <v/>
      </c>
      <c r="H291" s="0" t="str">
        <f aca="false">IF(G291="","",INT((G291-WEEK_ONE)/7)+1)</f>
        <v/>
      </c>
      <c r="I291" s="0" t="str">
        <f aca="false">IF(H291="","",IF(OR(H291&lt;1,H291&gt;NW),"",INDEX(WMON,H291)))</f>
        <v/>
      </c>
      <c r="J291" s="0" t="str">
        <f aca="false">IF(OR(G291="",H291="",C291=""),"",IF(C291="عمر المصري",SUMIFS('ساعات عمر'!$H$5:$H$746,'ساعات عمر'!$A$5:$A$746,"&gt;="&amp;(WEEK_ONE+7*(H291-1)),'ساعات عمر'!$A$5:$A$746,"&lt;="&amp;G291),SUMIFS('ساعات عبدالعزيز'!$F$5:$F$746,'ساعات عبدالعزيز'!$A$5:$A$746,"&gt;="&amp;(WEEK_ONE+7*(H291-1)),'ساعات عبدالعزيز'!$A$5:$A$746,"&lt;="&amp;G291)))</f>
        <v/>
      </c>
    </row>
    <row r="292" customFormat="false" ht="15" hidden="false" customHeight="false" outlineLevel="0" collapsed="false">
      <c r="A292" s="43"/>
      <c r="B292" s="23" t="str">
        <f aca="false">IF(G292="","",CHOOSE(WEEKDAY(G292,1),"الأحد","الاثنين","الثلاثاء","الأربعاء","الخميس","الجمعة","السبت")&amp;IF(OR(ISNUMBER(A292),LEN(TRIM(A292))&gt;=10),"","  "&amp;TEXT(DAY(G292),"00")&amp;"/"&amp;TEXT(MONTH(G292),"00")&amp;"/"&amp;YEAR(G292)))</f>
        <v/>
      </c>
      <c r="C292" s="24"/>
      <c r="D292" s="44"/>
      <c r="E292" s="27"/>
      <c r="F292" s="45" t="str">
        <f aca="false">IF(A292="","",IF(G292="","⛔ التاريخ غلط — اختاره من القائمة أو اكتبه كامل 05/10/2026",IF(OR(H292&lt;1,H292&gt;NW),"⛔ التاريخ برّا السنة",IF(AND(N(D292)&gt;0,N(J292)&gt;0,D292&gt;ADV_CAP*J292),"⚠️ أكثر من "&amp;TEXT(ADV_CAP,"0%")&amp;" من شغله ("&amp;TEXT(J292,"0.000")&amp;")",""))))</f>
        <v/>
      </c>
      <c r="G292" s="0" t="str">
        <f aca="true">IF(A292="","",IF(ISNUMBER(A292),IF(A292&gt;=36526,A292,""),IFERROR(DATE(VALUE(RIGHT(RIGHT(TRIM(A292),10),4)),VALUE(MID(RIGHT(TRIM(A292),10),4,2)),VALUE(LEFT(RIGHT(TRIM(A292),10),2))),IFERROR(TODAY()-MOD(WEEKDAY(TODAY(),1)-MATCH(TRIM(A292),{"الأحد","الاثنين","الثلاثاء","الأربعاء","الخميس","الجمعة","السبت"},0),7),IFERROR(DATEVALUE(A292),"")))))</f>
        <v/>
      </c>
      <c r="H292" s="0" t="str">
        <f aca="false">IF(G292="","",INT((G292-WEEK_ONE)/7)+1)</f>
        <v/>
      </c>
      <c r="I292" s="0" t="str">
        <f aca="false">IF(H292="","",IF(OR(H292&lt;1,H292&gt;NW),"",INDEX(WMON,H292)))</f>
        <v/>
      </c>
      <c r="J292" s="0" t="str">
        <f aca="false">IF(OR(G292="",H292="",C292=""),"",IF(C292="عمر المصري",SUMIFS('ساعات عمر'!$H$5:$H$746,'ساعات عمر'!$A$5:$A$746,"&gt;="&amp;(WEEK_ONE+7*(H292-1)),'ساعات عمر'!$A$5:$A$746,"&lt;="&amp;G292),SUMIFS('ساعات عبدالعزيز'!$F$5:$F$746,'ساعات عبدالعزيز'!$A$5:$A$746,"&gt;="&amp;(WEEK_ONE+7*(H292-1)),'ساعات عبدالعزيز'!$A$5:$A$746,"&lt;="&amp;G292)))</f>
        <v/>
      </c>
    </row>
    <row r="293" customFormat="false" ht="15" hidden="false" customHeight="false" outlineLevel="0" collapsed="false">
      <c r="A293" s="43"/>
      <c r="B293" s="23" t="str">
        <f aca="false">IF(G293="","",CHOOSE(WEEKDAY(G293,1),"الأحد","الاثنين","الثلاثاء","الأربعاء","الخميس","الجمعة","السبت")&amp;IF(OR(ISNUMBER(A293),LEN(TRIM(A293))&gt;=10),"","  "&amp;TEXT(DAY(G293),"00")&amp;"/"&amp;TEXT(MONTH(G293),"00")&amp;"/"&amp;YEAR(G293)))</f>
        <v/>
      </c>
      <c r="C293" s="24"/>
      <c r="D293" s="44"/>
      <c r="E293" s="27"/>
      <c r="F293" s="45" t="str">
        <f aca="false">IF(A293="","",IF(G293="","⛔ التاريخ غلط — اختاره من القائمة أو اكتبه كامل 05/10/2026",IF(OR(H293&lt;1,H293&gt;NW),"⛔ التاريخ برّا السنة",IF(AND(N(D293)&gt;0,N(J293)&gt;0,D293&gt;ADV_CAP*J293),"⚠️ أكثر من "&amp;TEXT(ADV_CAP,"0%")&amp;" من شغله ("&amp;TEXT(J293,"0.000")&amp;")",""))))</f>
        <v/>
      </c>
      <c r="G293" s="0" t="str">
        <f aca="true">IF(A293="","",IF(ISNUMBER(A293),IF(A293&gt;=36526,A293,""),IFERROR(DATE(VALUE(RIGHT(RIGHT(TRIM(A293),10),4)),VALUE(MID(RIGHT(TRIM(A293),10),4,2)),VALUE(LEFT(RIGHT(TRIM(A293),10),2))),IFERROR(TODAY()-MOD(WEEKDAY(TODAY(),1)-MATCH(TRIM(A293),{"الأحد","الاثنين","الثلاثاء","الأربعاء","الخميس","الجمعة","السبت"},0),7),IFERROR(DATEVALUE(A293),"")))))</f>
        <v/>
      </c>
      <c r="H293" s="0" t="str">
        <f aca="false">IF(G293="","",INT((G293-WEEK_ONE)/7)+1)</f>
        <v/>
      </c>
      <c r="I293" s="0" t="str">
        <f aca="false">IF(H293="","",IF(OR(H293&lt;1,H293&gt;NW),"",INDEX(WMON,H293)))</f>
        <v/>
      </c>
      <c r="J293" s="0" t="str">
        <f aca="false">IF(OR(G293="",H293="",C293=""),"",IF(C293="عمر المصري",SUMIFS('ساعات عمر'!$H$5:$H$746,'ساعات عمر'!$A$5:$A$746,"&gt;="&amp;(WEEK_ONE+7*(H293-1)),'ساعات عمر'!$A$5:$A$746,"&lt;="&amp;G293),SUMIFS('ساعات عبدالعزيز'!$F$5:$F$746,'ساعات عبدالعزيز'!$A$5:$A$746,"&gt;="&amp;(WEEK_ONE+7*(H293-1)),'ساعات عبدالعزيز'!$A$5:$A$746,"&lt;="&amp;G293)))</f>
        <v/>
      </c>
    </row>
    <row r="294" customFormat="false" ht="15" hidden="false" customHeight="false" outlineLevel="0" collapsed="false">
      <c r="A294" s="43"/>
      <c r="B294" s="23" t="str">
        <f aca="false">IF(G294="","",CHOOSE(WEEKDAY(G294,1),"الأحد","الاثنين","الثلاثاء","الأربعاء","الخميس","الجمعة","السبت")&amp;IF(OR(ISNUMBER(A294),LEN(TRIM(A294))&gt;=10),"","  "&amp;TEXT(DAY(G294),"00")&amp;"/"&amp;TEXT(MONTH(G294),"00")&amp;"/"&amp;YEAR(G294)))</f>
        <v/>
      </c>
      <c r="C294" s="24"/>
      <c r="D294" s="44"/>
      <c r="E294" s="27"/>
      <c r="F294" s="45" t="str">
        <f aca="false">IF(A294="","",IF(G294="","⛔ التاريخ غلط — اختاره من القائمة أو اكتبه كامل 05/10/2026",IF(OR(H294&lt;1,H294&gt;NW),"⛔ التاريخ برّا السنة",IF(AND(N(D294)&gt;0,N(J294)&gt;0,D294&gt;ADV_CAP*J294),"⚠️ أكثر من "&amp;TEXT(ADV_CAP,"0%")&amp;" من شغله ("&amp;TEXT(J294,"0.000")&amp;")",""))))</f>
        <v/>
      </c>
      <c r="G294" s="0" t="str">
        <f aca="true">IF(A294="","",IF(ISNUMBER(A294),IF(A294&gt;=36526,A294,""),IFERROR(DATE(VALUE(RIGHT(RIGHT(TRIM(A294),10),4)),VALUE(MID(RIGHT(TRIM(A294),10),4,2)),VALUE(LEFT(RIGHT(TRIM(A294),10),2))),IFERROR(TODAY()-MOD(WEEKDAY(TODAY(),1)-MATCH(TRIM(A294),{"الأحد","الاثنين","الثلاثاء","الأربعاء","الخميس","الجمعة","السبت"},0),7),IFERROR(DATEVALUE(A294),"")))))</f>
        <v/>
      </c>
      <c r="H294" s="0" t="str">
        <f aca="false">IF(G294="","",INT((G294-WEEK_ONE)/7)+1)</f>
        <v/>
      </c>
      <c r="I294" s="0" t="str">
        <f aca="false">IF(H294="","",IF(OR(H294&lt;1,H294&gt;NW),"",INDEX(WMON,H294)))</f>
        <v/>
      </c>
      <c r="J294" s="0" t="str">
        <f aca="false">IF(OR(G294="",H294="",C294=""),"",IF(C294="عمر المصري",SUMIFS('ساعات عمر'!$H$5:$H$746,'ساعات عمر'!$A$5:$A$746,"&gt;="&amp;(WEEK_ONE+7*(H294-1)),'ساعات عمر'!$A$5:$A$746,"&lt;="&amp;G294),SUMIFS('ساعات عبدالعزيز'!$F$5:$F$746,'ساعات عبدالعزيز'!$A$5:$A$746,"&gt;="&amp;(WEEK_ONE+7*(H294-1)),'ساعات عبدالعزيز'!$A$5:$A$746,"&lt;="&amp;G294)))</f>
        <v/>
      </c>
    </row>
    <row r="295" customFormat="false" ht="15" hidden="false" customHeight="false" outlineLevel="0" collapsed="false">
      <c r="A295" s="43"/>
      <c r="B295" s="23" t="str">
        <f aca="false">IF(G295="","",CHOOSE(WEEKDAY(G295,1),"الأحد","الاثنين","الثلاثاء","الأربعاء","الخميس","الجمعة","السبت")&amp;IF(OR(ISNUMBER(A295),LEN(TRIM(A295))&gt;=10),"","  "&amp;TEXT(DAY(G295),"00")&amp;"/"&amp;TEXT(MONTH(G295),"00")&amp;"/"&amp;YEAR(G295)))</f>
        <v/>
      </c>
      <c r="C295" s="24"/>
      <c r="D295" s="44"/>
      <c r="E295" s="27"/>
      <c r="F295" s="45" t="str">
        <f aca="false">IF(A295="","",IF(G295="","⛔ التاريخ غلط — اختاره من القائمة أو اكتبه كامل 05/10/2026",IF(OR(H295&lt;1,H295&gt;NW),"⛔ التاريخ برّا السنة",IF(AND(N(D295)&gt;0,N(J295)&gt;0,D295&gt;ADV_CAP*J295),"⚠️ أكثر من "&amp;TEXT(ADV_CAP,"0%")&amp;" من شغله ("&amp;TEXT(J295,"0.000")&amp;")",""))))</f>
        <v/>
      </c>
      <c r="G295" s="0" t="str">
        <f aca="true">IF(A295="","",IF(ISNUMBER(A295),IF(A295&gt;=36526,A295,""),IFERROR(DATE(VALUE(RIGHT(RIGHT(TRIM(A295),10),4)),VALUE(MID(RIGHT(TRIM(A295),10),4,2)),VALUE(LEFT(RIGHT(TRIM(A295),10),2))),IFERROR(TODAY()-MOD(WEEKDAY(TODAY(),1)-MATCH(TRIM(A295),{"الأحد","الاثنين","الثلاثاء","الأربعاء","الخميس","الجمعة","السبت"},0),7),IFERROR(DATEVALUE(A295),"")))))</f>
        <v/>
      </c>
      <c r="H295" s="0" t="str">
        <f aca="false">IF(G295="","",INT((G295-WEEK_ONE)/7)+1)</f>
        <v/>
      </c>
      <c r="I295" s="0" t="str">
        <f aca="false">IF(H295="","",IF(OR(H295&lt;1,H295&gt;NW),"",INDEX(WMON,H295)))</f>
        <v/>
      </c>
      <c r="J295" s="0" t="str">
        <f aca="false">IF(OR(G295="",H295="",C295=""),"",IF(C295="عمر المصري",SUMIFS('ساعات عمر'!$H$5:$H$746,'ساعات عمر'!$A$5:$A$746,"&gt;="&amp;(WEEK_ONE+7*(H295-1)),'ساعات عمر'!$A$5:$A$746,"&lt;="&amp;G295),SUMIFS('ساعات عبدالعزيز'!$F$5:$F$746,'ساعات عبدالعزيز'!$A$5:$A$746,"&gt;="&amp;(WEEK_ONE+7*(H295-1)),'ساعات عبدالعزيز'!$A$5:$A$746,"&lt;="&amp;G295)))</f>
        <v/>
      </c>
    </row>
    <row r="296" customFormat="false" ht="15" hidden="false" customHeight="false" outlineLevel="0" collapsed="false">
      <c r="A296" s="43"/>
      <c r="B296" s="23" t="str">
        <f aca="false">IF(G296="","",CHOOSE(WEEKDAY(G296,1),"الأحد","الاثنين","الثلاثاء","الأربعاء","الخميس","الجمعة","السبت")&amp;IF(OR(ISNUMBER(A296),LEN(TRIM(A296))&gt;=10),"","  "&amp;TEXT(DAY(G296),"00")&amp;"/"&amp;TEXT(MONTH(G296),"00")&amp;"/"&amp;YEAR(G296)))</f>
        <v/>
      </c>
      <c r="C296" s="24"/>
      <c r="D296" s="44"/>
      <c r="E296" s="27"/>
      <c r="F296" s="45" t="str">
        <f aca="false">IF(A296="","",IF(G296="","⛔ التاريخ غلط — اختاره من القائمة أو اكتبه كامل 05/10/2026",IF(OR(H296&lt;1,H296&gt;NW),"⛔ التاريخ برّا السنة",IF(AND(N(D296)&gt;0,N(J296)&gt;0,D296&gt;ADV_CAP*J296),"⚠️ أكثر من "&amp;TEXT(ADV_CAP,"0%")&amp;" من شغله ("&amp;TEXT(J296,"0.000")&amp;")",""))))</f>
        <v/>
      </c>
      <c r="G296" s="0" t="str">
        <f aca="true">IF(A296="","",IF(ISNUMBER(A296),IF(A296&gt;=36526,A296,""),IFERROR(DATE(VALUE(RIGHT(RIGHT(TRIM(A296),10),4)),VALUE(MID(RIGHT(TRIM(A296),10),4,2)),VALUE(LEFT(RIGHT(TRIM(A296),10),2))),IFERROR(TODAY()-MOD(WEEKDAY(TODAY(),1)-MATCH(TRIM(A296),{"الأحد","الاثنين","الثلاثاء","الأربعاء","الخميس","الجمعة","السبت"},0),7),IFERROR(DATEVALUE(A296),"")))))</f>
        <v/>
      </c>
      <c r="H296" s="0" t="str">
        <f aca="false">IF(G296="","",INT((G296-WEEK_ONE)/7)+1)</f>
        <v/>
      </c>
      <c r="I296" s="0" t="str">
        <f aca="false">IF(H296="","",IF(OR(H296&lt;1,H296&gt;NW),"",INDEX(WMON,H296)))</f>
        <v/>
      </c>
      <c r="J296" s="0" t="str">
        <f aca="false">IF(OR(G296="",H296="",C296=""),"",IF(C296="عمر المصري",SUMIFS('ساعات عمر'!$H$5:$H$746,'ساعات عمر'!$A$5:$A$746,"&gt;="&amp;(WEEK_ONE+7*(H296-1)),'ساعات عمر'!$A$5:$A$746,"&lt;="&amp;G296),SUMIFS('ساعات عبدالعزيز'!$F$5:$F$746,'ساعات عبدالعزيز'!$A$5:$A$746,"&gt;="&amp;(WEEK_ONE+7*(H296-1)),'ساعات عبدالعزيز'!$A$5:$A$746,"&lt;="&amp;G296)))</f>
        <v/>
      </c>
    </row>
    <row r="297" customFormat="false" ht="15" hidden="false" customHeight="false" outlineLevel="0" collapsed="false">
      <c r="A297" s="43"/>
      <c r="B297" s="23" t="str">
        <f aca="false">IF(G297="","",CHOOSE(WEEKDAY(G297,1),"الأحد","الاثنين","الثلاثاء","الأربعاء","الخميس","الجمعة","السبت")&amp;IF(OR(ISNUMBER(A297),LEN(TRIM(A297))&gt;=10),"","  "&amp;TEXT(DAY(G297),"00")&amp;"/"&amp;TEXT(MONTH(G297),"00")&amp;"/"&amp;YEAR(G297)))</f>
        <v/>
      </c>
      <c r="C297" s="24"/>
      <c r="D297" s="44"/>
      <c r="E297" s="27"/>
      <c r="F297" s="45" t="str">
        <f aca="false">IF(A297="","",IF(G297="","⛔ التاريخ غلط — اختاره من القائمة أو اكتبه كامل 05/10/2026",IF(OR(H297&lt;1,H297&gt;NW),"⛔ التاريخ برّا السنة",IF(AND(N(D297)&gt;0,N(J297)&gt;0,D297&gt;ADV_CAP*J297),"⚠️ أكثر من "&amp;TEXT(ADV_CAP,"0%")&amp;" من شغله ("&amp;TEXT(J297,"0.000")&amp;")",""))))</f>
        <v/>
      </c>
      <c r="G297" s="0" t="str">
        <f aca="true">IF(A297="","",IF(ISNUMBER(A297),IF(A297&gt;=36526,A297,""),IFERROR(DATE(VALUE(RIGHT(RIGHT(TRIM(A297),10),4)),VALUE(MID(RIGHT(TRIM(A297),10),4,2)),VALUE(LEFT(RIGHT(TRIM(A297),10),2))),IFERROR(TODAY()-MOD(WEEKDAY(TODAY(),1)-MATCH(TRIM(A297),{"الأحد","الاثنين","الثلاثاء","الأربعاء","الخميس","الجمعة","السبت"},0),7),IFERROR(DATEVALUE(A297),"")))))</f>
        <v/>
      </c>
      <c r="H297" s="0" t="str">
        <f aca="false">IF(G297="","",INT((G297-WEEK_ONE)/7)+1)</f>
        <v/>
      </c>
      <c r="I297" s="0" t="str">
        <f aca="false">IF(H297="","",IF(OR(H297&lt;1,H297&gt;NW),"",INDEX(WMON,H297)))</f>
        <v/>
      </c>
      <c r="J297" s="0" t="str">
        <f aca="false">IF(OR(G297="",H297="",C297=""),"",IF(C297="عمر المصري",SUMIFS('ساعات عمر'!$H$5:$H$746,'ساعات عمر'!$A$5:$A$746,"&gt;="&amp;(WEEK_ONE+7*(H297-1)),'ساعات عمر'!$A$5:$A$746,"&lt;="&amp;G297),SUMIFS('ساعات عبدالعزيز'!$F$5:$F$746,'ساعات عبدالعزيز'!$A$5:$A$746,"&gt;="&amp;(WEEK_ONE+7*(H297-1)),'ساعات عبدالعزيز'!$A$5:$A$746,"&lt;="&amp;G297)))</f>
        <v/>
      </c>
    </row>
    <row r="298" customFormat="false" ht="15" hidden="false" customHeight="false" outlineLevel="0" collapsed="false">
      <c r="A298" s="43"/>
      <c r="B298" s="23" t="str">
        <f aca="false">IF(G298="","",CHOOSE(WEEKDAY(G298,1),"الأحد","الاثنين","الثلاثاء","الأربعاء","الخميس","الجمعة","السبت")&amp;IF(OR(ISNUMBER(A298),LEN(TRIM(A298))&gt;=10),"","  "&amp;TEXT(DAY(G298),"00")&amp;"/"&amp;TEXT(MONTH(G298),"00")&amp;"/"&amp;YEAR(G298)))</f>
        <v/>
      </c>
      <c r="C298" s="24"/>
      <c r="D298" s="44"/>
      <c r="E298" s="27"/>
      <c r="F298" s="45" t="str">
        <f aca="false">IF(A298="","",IF(G298="","⛔ التاريخ غلط — اختاره من القائمة أو اكتبه كامل 05/10/2026",IF(OR(H298&lt;1,H298&gt;NW),"⛔ التاريخ برّا السنة",IF(AND(N(D298)&gt;0,N(J298)&gt;0,D298&gt;ADV_CAP*J298),"⚠️ أكثر من "&amp;TEXT(ADV_CAP,"0%")&amp;" من شغله ("&amp;TEXT(J298,"0.000")&amp;")",""))))</f>
        <v/>
      </c>
      <c r="G298" s="0" t="str">
        <f aca="true">IF(A298="","",IF(ISNUMBER(A298),IF(A298&gt;=36526,A298,""),IFERROR(DATE(VALUE(RIGHT(RIGHT(TRIM(A298),10),4)),VALUE(MID(RIGHT(TRIM(A298),10),4,2)),VALUE(LEFT(RIGHT(TRIM(A298),10),2))),IFERROR(TODAY()-MOD(WEEKDAY(TODAY(),1)-MATCH(TRIM(A298),{"الأحد","الاثنين","الثلاثاء","الأربعاء","الخميس","الجمعة","السبت"},0),7),IFERROR(DATEVALUE(A298),"")))))</f>
        <v/>
      </c>
      <c r="H298" s="0" t="str">
        <f aca="false">IF(G298="","",INT((G298-WEEK_ONE)/7)+1)</f>
        <v/>
      </c>
      <c r="I298" s="0" t="str">
        <f aca="false">IF(H298="","",IF(OR(H298&lt;1,H298&gt;NW),"",INDEX(WMON,H298)))</f>
        <v/>
      </c>
      <c r="J298" s="0" t="str">
        <f aca="false">IF(OR(G298="",H298="",C298=""),"",IF(C298="عمر المصري",SUMIFS('ساعات عمر'!$H$5:$H$746,'ساعات عمر'!$A$5:$A$746,"&gt;="&amp;(WEEK_ONE+7*(H298-1)),'ساعات عمر'!$A$5:$A$746,"&lt;="&amp;G298),SUMIFS('ساعات عبدالعزيز'!$F$5:$F$746,'ساعات عبدالعزيز'!$A$5:$A$746,"&gt;="&amp;(WEEK_ONE+7*(H298-1)),'ساعات عبدالعزيز'!$A$5:$A$746,"&lt;="&amp;G298)))</f>
        <v/>
      </c>
    </row>
    <row r="299" customFormat="false" ht="15" hidden="false" customHeight="false" outlineLevel="0" collapsed="false">
      <c r="A299" s="43"/>
      <c r="B299" s="23" t="str">
        <f aca="false">IF(G299="","",CHOOSE(WEEKDAY(G299,1),"الأحد","الاثنين","الثلاثاء","الأربعاء","الخميس","الجمعة","السبت")&amp;IF(OR(ISNUMBER(A299),LEN(TRIM(A299))&gt;=10),"","  "&amp;TEXT(DAY(G299),"00")&amp;"/"&amp;TEXT(MONTH(G299),"00")&amp;"/"&amp;YEAR(G299)))</f>
        <v/>
      </c>
      <c r="C299" s="24"/>
      <c r="D299" s="44"/>
      <c r="E299" s="27"/>
      <c r="F299" s="45" t="str">
        <f aca="false">IF(A299="","",IF(G299="","⛔ التاريخ غلط — اختاره من القائمة أو اكتبه كامل 05/10/2026",IF(OR(H299&lt;1,H299&gt;NW),"⛔ التاريخ برّا السنة",IF(AND(N(D299)&gt;0,N(J299)&gt;0,D299&gt;ADV_CAP*J299),"⚠️ أكثر من "&amp;TEXT(ADV_CAP,"0%")&amp;" من شغله ("&amp;TEXT(J299,"0.000")&amp;")",""))))</f>
        <v/>
      </c>
      <c r="G299" s="0" t="str">
        <f aca="true">IF(A299="","",IF(ISNUMBER(A299),IF(A299&gt;=36526,A299,""),IFERROR(DATE(VALUE(RIGHT(RIGHT(TRIM(A299),10),4)),VALUE(MID(RIGHT(TRIM(A299),10),4,2)),VALUE(LEFT(RIGHT(TRIM(A299),10),2))),IFERROR(TODAY()-MOD(WEEKDAY(TODAY(),1)-MATCH(TRIM(A299),{"الأحد","الاثنين","الثلاثاء","الأربعاء","الخميس","الجمعة","السبت"},0),7),IFERROR(DATEVALUE(A299),"")))))</f>
        <v/>
      </c>
      <c r="H299" s="0" t="str">
        <f aca="false">IF(G299="","",INT((G299-WEEK_ONE)/7)+1)</f>
        <v/>
      </c>
      <c r="I299" s="0" t="str">
        <f aca="false">IF(H299="","",IF(OR(H299&lt;1,H299&gt;NW),"",INDEX(WMON,H299)))</f>
        <v/>
      </c>
      <c r="J299" s="0" t="str">
        <f aca="false">IF(OR(G299="",H299="",C299=""),"",IF(C299="عمر المصري",SUMIFS('ساعات عمر'!$H$5:$H$746,'ساعات عمر'!$A$5:$A$746,"&gt;="&amp;(WEEK_ONE+7*(H299-1)),'ساعات عمر'!$A$5:$A$746,"&lt;="&amp;G299),SUMIFS('ساعات عبدالعزيز'!$F$5:$F$746,'ساعات عبدالعزيز'!$A$5:$A$746,"&gt;="&amp;(WEEK_ONE+7*(H299-1)),'ساعات عبدالعزيز'!$A$5:$A$746,"&lt;="&amp;G299)))</f>
        <v/>
      </c>
    </row>
    <row r="300" customFormat="false" ht="15" hidden="false" customHeight="false" outlineLevel="0" collapsed="false">
      <c r="A300" s="43"/>
      <c r="B300" s="23" t="str">
        <f aca="false">IF(G300="","",CHOOSE(WEEKDAY(G300,1),"الأحد","الاثنين","الثلاثاء","الأربعاء","الخميس","الجمعة","السبت")&amp;IF(OR(ISNUMBER(A300),LEN(TRIM(A300))&gt;=10),"","  "&amp;TEXT(DAY(G300),"00")&amp;"/"&amp;TEXT(MONTH(G300),"00")&amp;"/"&amp;YEAR(G300)))</f>
        <v/>
      </c>
      <c r="C300" s="24"/>
      <c r="D300" s="44"/>
      <c r="E300" s="27"/>
      <c r="F300" s="45" t="str">
        <f aca="false">IF(A300="","",IF(G300="","⛔ التاريخ غلط — اختاره من القائمة أو اكتبه كامل 05/10/2026",IF(OR(H300&lt;1,H300&gt;NW),"⛔ التاريخ برّا السنة",IF(AND(N(D300)&gt;0,N(J300)&gt;0,D300&gt;ADV_CAP*J300),"⚠️ أكثر من "&amp;TEXT(ADV_CAP,"0%")&amp;" من شغله ("&amp;TEXT(J300,"0.000")&amp;")",""))))</f>
        <v/>
      </c>
      <c r="G300" s="0" t="str">
        <f aca="true">IF(A300="","",IF(ISNUMBER(A300),IF(A300&gt;=36526,A300,""),IFERROR(DATE(VALUE(RIGHT(RIGHT(TRIM(A300),10),4)),VALUE(MID(RIGHT(TRIM(A300),10),4,2)),VALUE(LEFT(RIGHT(TRIM(A300),10),2))),IFERROR(TODAY()-MOD(WEEKDAY(TODAY(),1)-MATCH(TRIM(A300),{"الأحد","الاثنين","الثلاثاء","الأربعاء","الخميس","الجمعة","السبت"},0),7),IFERROR(DATEVALUE(A300),"")))))</f>
        <v/>
      </c>
      <c r="H300" s="0" t="str">
        <f aca="false">IF(G300="","",INT((G300-WEEK_ONE)/7)+1)</f>
        <v/>
      </c>
      <c r="I300" s="0" t="str">
        <f aca="false">IF(H300="","",IF(OR(H300&lt;1,H300&gt;NW),"",INDEX(WMON,H300)))</f>
        <v/>
      </c>
      <c r="J300" s="0" t="str">
        <f aca="false">IF(OR(G300="",H300="",C300=""),"",IF(C300="عمر المصري",SUMIFS('ساعات عمر'!$H$5:$H$746,'ساعات عمر'!$A$5:$A$746,"&gt;="&amp;(WEEK_ONE+7*(H300-1)),'ساعات عمر'!$A$5:$A$746,"&lt;="&amp;G300),SUMIFS('ساعات عبدالعزيز'!$F$5:$F$746,'ساعات عبدالعزيز'!$A$5:$A$746,"&gt;="&amp;(WEEK_ONE+7*(H300-1)),'ساعات عبدالعزيز'!$A$5:$A$746,"&lt;="&amp;G300)))</f>
        <v/>
      </c>
    </row>
    <row r="301" customFormat="false" ht="15" hidden="false" customHeight="false" outlineLevel="0" collapsed="false">
      <c r="A301" s="43"/>
      <c r="B301" s="23" t="str">
        <f aca="false">IF(G301="","",CHOOSE(WEEKDAY(G301,1),"الأحد","الاثنين","الثلاثاء","الأربعاء","الخميس","الجمعة","السبت")&amp;IF(OR(ISNUMBER(A301),LEN(TRIM(A301))&gt;=10),"","  "&amp;TEXT(DAY(G301),"00")&amp;"/"&amp;TEXT(MONTH(G301),"00")&amp;"/"&amp;YEAR(G301)))</f>
        <v/>
      </c>
      <c r="C301" s="24"/>
      <c r="D301" s="44"/>
      <c r="E301" s="27"/>
      <c r="F301" s="45" t="str">
        <f aca="false">IF(A301="","",IF(G301="","⛔ التاريخ غلط — اختاره من القائمة أو اكتبه كامل 05/10/2026",IF(OR(H301&lt;1,H301&gt;NW),"⛔ التاريخ برّا السنة",IF(AND(N(D301)&gt;0,N(J301)&gt;0,D301&gt;ADV_CAP*J301),"⚠️ أكثر من "&amp;TEXT(ADV_CAP,"0%")&amp;" من شغله ("&amp;TEXT(J301,"0.000")&amp;")",""))))</f>
        <v/>
      </c>
      <c r="G301" s="0" t="str">
        <f aca="true">IF(A301="","",IF(ISNUMBER(A301),IF(A301&gt;=36526,A301,""),IFERROR(DATE(VALUE(RIGHT(RIGHT(TRIM(A301),10),4)),VALUE(MID(RIGHT(TRIM(A301),10),4,2)),VALUE(LEFT(RIGHT(TRIM(A301),10),2))),IFERROR(TODAY()-MOD(WEEKDAY(TODAY(),1)-MATCH(TRIM(A301),{"الأحد","الاثنين","الثلاثاء","الأربعاء","الخميس","الجمعة","السبت"},0),7),IFERROR(DATEVALUE(A301),"")))))</f>
        <v/>
      </c>
      <c r="H301" s="0" t="str">
        <f aca="false">IF(G301="","",INT((G301-WEEK_ONE)/7)+1)</f>
        <v/>
      </c>
      <c r="I301" s="0" t="str">
        <f aca="false">IF(H301="","",IF(OR(H301&lt;1,H301&gt;NW),"",INDEX(WMON,H301)))</f>
        <v/>
      </c>
      <c r="J301" s="0" t="str">
        <f aca="false">IF(OR(G301="",H301="",C301=""),"",IF(C301="عمر المصري",SUMIFS('ساعات عمر'!$H$5:$H$746,'ساعات عمر'!$A$5:$A$746,"&gt;="&amp;(WEEK_ONE+7*(H301-1)),'ساعات عمر'!$A$5:$A$746,"&lt;="&amp;G301),SUMIFS('ساعات عبدالعزيز'!$F$5:$F$746,'ساعات عبدالعزيز'!$A$5:$A$746,"&gt;="&amp;(WEEK_ONE+7*(H301-1)),'ساعات عبدالعزيز'!$A$5:$A$746,"&lt;="&amp;G301)))</f>
        <v/>
      </c>
    </row>
    <row r="302" customFormat="false" ht="15" hidden="false" customHeight="false" outlineLevel="0" collapsed="false">
      <c r="A302" s="43"/>
      <c r="B302" s="23" t="str">
        <f aca="false">IF(G302="","",CHOOSE(WEEKDAY(G302,1),"الأحد","الاثنين","الثلاثاء","الأربعاء","الخميس","الجمعة","السبت")&amp;IF(OR(ISNUMBER(A302),LEN(TRIM(A302))&gt;=10),"","  "&amp;TEXT(DAY(G302),"00")&amp;"/"&amp;TEXT(MONTH(G302),"00")&amp;"/"&amp;YEAR(G302)))</f>
        <v/>
      </c>
      <c r="C302" s="24"/>
      <c r="D302" s="44"/>
      <c r="E302" s="27"/>
      <c r="F302" s="45" t="str">
        <f aca="false">IF(A302="","",IF(G302="","⛔ التاريخ غلط — اختاره من القائمة أو اكتبه كامل 05/10/2026",IF(OR(H302&lt;1,H302&gt;NW),"⛔ التاريخ برّا السنة",IF(AND(N(D302)&gt;0,N(J302)&gt;0,D302&gt;ADV_CAP*J302),"⚠️ أكثر من "&amp;TEXT(ADV_CAP,"0%")&amp;" من شغله ("&amp;TEXT(J302,"0.000")&amp;")",""))))</f>
        <v/>
      </c>
      <c r="G302" s="0" t="str">
        <f aca="true">IF(A302="","",IF(ISNUMBER(A302),IF(A302&gt;=36526,A302,""),IFERROR(DATE(VALUE(RIGHT(RIGHT(TRIM(A302),10),4)),VALUE(MID(RIGHT(TRIM(A302),10),4,2)),VALUE(LEFT(RIGHT(TRIM(A302),10),2))),IFERROR(TODAY()-MOD(WEEKDAY(TODAY(),1)-MATCH(TRIM(A302),{"الأحد","الاثنين","الثلاثاء","الأربعاء","الخميس","الجمعة","السبت"},0),7),IFERROR(DATEVALUE(A302),"")))))</f>
        <v/>
      </c>
      <c r="H302" s="0" t="str">
        <f aca="false">IF(G302="","",INT((G302-WEEK_ONE)/7)+1)</f>
        <v/>
      </c>
      <c r="I302" s="0" t="str">
        <f aca="false">IF(H302="","",IF(OR(H302&lt;1,H302&gt;NW),"",INDEX(WMON,H302)))</f>
        <v/>
      </c>
      <c r="J302" s="0" t="str">
        <f aca="false">IF(OR(G302="",H302="",C302=""),"",IF(C302="عمر المصري",SUMIFS('ساعات عمر'!$H$5:$H$746,'ساعات عمر'!$A$5:$A$746,"&gt;="&amp;(WEEK_ONE+7*(H302-1)),'ساعات عمر'!$A$5:$A$746,"&lt;="&amp;G302),SUMIFS('ساعات عبدالعزيز'!$F$5:$F$746,'ساعات عبدالعزيز'!$A$5:$A$746,"&gt;="&amp;(WEEK_ONE+7*(H302-1)),'ساعات عبدالعزيز'!$A$5:$A$746,"&lt;="&amp;G302)))</f>
        <v/>
      </c>
    </row>
    <row r="303" customFormat="false" ht="15" hidden="false" customHeight="false" outlineLevel="0" collapsed="false">
      <c r="A303" s="43"/>
      <c r="B303" s="23" t="str">
        <f aca="false">IF(G303="","",CHOOSE(WEEKDAY(G303,1),"الأحد","الاثنين","الثلاثاء","الأربعاء","الخميس","الجمعة","السبت")&amp;IF(OR(ISNUMBER(A303),LEN(TRIM(A303))&gt;=10),"","  "&amp;TEXT(DAY(G303),"00")&amp;"/"&amp;TEXT(MONTH(G303),"00")&amp;"/"&amp;YEAR(G303)))</f>
        <v/>
      </c>
      <c r="C303" s="24"/>
      <c r="D303" s="44"/>
      <c r="E303" s="27"/>
      <c r="F303" s="45" t="str">
        <f aca="false">IF(A303="","",IF(G303="","⛔ التاريخ غلط — اختاره من القائمة أو اكتبه كامل 05/10/2026",IF(OR(H303&lt;1,H303&gt;NW),"⛔ التاريخ برّا السنة",IF(AND(N(D303)&gt;0,N(J303)&gt;0,D303&gt;ADV_CAP*J303),"⚠️ أكثر من "&amp;TEXT(ADV_CAP,"0%")&amp;" من شغله ("&amp;TEXT(J303,"0.000")&amp;")",""))))</f>
        <v/>
      </c>
      <c r="G303" s="0" t="str">
        <f aca="true">IF(A303="","",IF(ISNUMBER(A303),IF(A303&gt;=36526,A303,""),IFERROR(DATE(VALUE(RIGHT(RIGHT(TRIM(A303),10),4)),VALUE(MID(RIGHT(TRIM(A303),10),4,2)),VALUE(LEFT(RIGHT(TRIM(A303),10),2))),IFERROR(TODAY()-MOD(WEEKDAY(TODAY(),1)-MATCH(TRIM(A303),{"الأحد","الاثنين","الثلاثاء","الأربعاء","الخميس","الجمعة","السبت"},0),7),IFERROR(DATEVALUE(A303),"")))))</f>
        <v/>
      </c>
      <c r="H303" s="0" t="str">
        <f aca="false">IF(G303="","",INT((G303-WEEK_ONE)/7)+1)</f>
        <v/>
      </c>
      <c r="I303" s="0" t="str">
        <f aca="false">IF(H303="","",IF(OR(H303&lt;1,H303&gt;NW),"",INDEX(WMON,H303)))</f>
        <v/>
      </c>
      <c r="J303" s="0" t="str">
        <f aca="false">IF(OR(G303="",H303="",C303=""),"",IF(C303="عمر المصري",SUMIFS('ساعات عمر'!$H$5:$H$746,'ساعات عمر'!$A$5:$A$746,"&gt;="&amp;(WEEK_ONE+7*(H303-1)),'ساعات عمر'!$A$5:$A$746,"&lt;="&amp;G303),SUMIFS('ساعات عبدالعزيز'!$F$5:$F$746,'ساعات عبدالعزيز'!$A$5:$A$746,"&gt;="&amp;(WEEK_ONE+7*(H303-1)),'ساعات عبدالعزيز'!$A$5:$A$746,"&lt;="&amp;G303)))</f>
        <v/>
      </c>
    </row>
    <row r="304" customFormat="false" ht="15" hidden="false" customHeight="false" outlineLevel="0" collapsed="false">
      <c r="A304" s="43"/>
      <c r="B304" s="23" t="str">
        <f aca="false">IF(G304="","",CHOOSE(WEEKDAY(G304,1),"الأحد","الاثنين","الثلاثاء","الأربعاء","الخميس","الجمعة","السبت")&amp;IF(OR(ISNUMBER(A304),LEN(TRIM(A304))&gt;=10),"","  "&amp;TEXT(DAY(G304),"00")&amp;"/"&amp;TEXT(MONTH(G304),"00")&amp;"/"&amp;YEAR(G304)))</f>
        <v/>
      </c>
      <c r="C304" s="24"/>
      <c r="D304" s="44"/>
      <c r="E304" s="27"/>
      <c r="F304" s="45" t="str">
        <f aca="false">IF(A304="","",IF(G304="","⛔ التاريخ غلط — اختاره من القائمة أو اكتبه كامل 05/10/2026",IF(OR(H304&lt;1,H304&gt;NW),"⛔ التاريخ برّا السنة",IF(AND(N(D304)&gt;0,N(J304)&gt;0,D304&gt;ADV_CAP*J304),"⚠️ أكثر من "&amp;TEXT(ADV_CAP,"0%")&amp;" من شغله ("&amp;TEXT(J304,"0.000")&amp;")",""))))</f>
        <v/>
      </c>
      <c r="G304" s="0" t="str">
        <f aca="true">IF(A304="","",IF(ISNUMBER(A304),IF(A304&gt;=36526,A304,""),IFERROR(DATE(VALUE(RIGHT(RIGHT(TRIM(A304),10),4)),VALUE(MID(RIGHT(TRIM(A304),10),4,2)),VALUE(LEFT(RIGHT(TRIM(A304),10),2))),IFERROR(TODAY()-MOD(WEEKDAY(TODAY(),1)-MATCH(TRIM(A304),{"الأحد","الاثنين","الثلاثاء","الأربعاء","الخميس","الجمعة","السبت"},0),7),IFERROR(DATEVALUE(A304),"")))))</f>
        <v/>
      </c>
      <c r="H304" s="0" t="str">
        <f aca="false">IF(G304="","",INT((G304-WEEK_ONE)/7)+1)</f>
        <v/>
      </c>
      <c r="I304" s="0" t="str">
        <f aca="false">IF(H304="","",IF(OR(H304&lt;1,H304&gt;NW),"",INDEX(WMON,H304)))</f>
        <v/>
      </c>
      <c r="J304" s="0" t="str">
        <f aca="false">IF(OR(G304="",H304="",C304=""),"",IF(C304="عمر المصري",SUMIFS('ساعات عمر'!$H$5:$H$746,'ساعات عمر'!$A$5:$A$746,"&gt;="&amp;(WEEK_ONE+7*(H304-1)),'ساعات عمر'!$A$5:$A$746,"&lt;="&amp;G304),SUMIFS('ساعات عبدالعزيز'!$F$5:$F$746,'ساعات عبدالعزيز'!$A$5:$A$746,"&gt;="&amp;(WEEK_ONE+7*(H304-1)),'ساعات عبدالعزيز'!$A$5:$A$746,"&lt;="&amp;G304)))</f>
        <v/>
      </c>
    </row>
    <row r="305" customFormat="false" ht="15" hidden="false" customHeight="false" outlineLevel="0" collapsed="false">
      <c r="A305" s="43"/>
      <c r="B305" s="23" t="str">
        <f aca="false">IF(G305="","",CHOOSE(WEEKDAY(G305,1),"الأحد","الاثنين","الثلاثاء","الأربعاء","الخميس","الجمعة","السبت")&amp;IF(OR(ISNUMBER(A305),LEN(TRIM(A305))&gt;=10),"","  "&amp;TEXT(DAY(G305),"00")&amp;"/"&amp;TEXT(MONTH(G305),"00")&amp;"/"&amp;YEAR(G305)))</f>
        <v/>
      </c>
      <c r="C305" s="24"/>
      <c r="D305" s="44"/>
      <c r="E305" s="27"/>
      <c r="F305" s="45" t="str">
        <f aca="false">IF(A305="","",IF(G305="","⛔ التاريخ غلط — اختاره من القائمة أو اكتبه كامل 05/10/2026",IF(OR(H305&lt;1,H305&gt;NW),"⛔ التاريخ برّا السنة",IF(AND(N(D305)&gt;0,N(J305)&gt;0,D305&gt;ADV_CAP*J305),"⚠️ أكثر من "&amp;TEXT(ADV_CAP,"0%")&amp;" من شغله ("&amp;TEXT(J305,"0.000")&amp;")",""))))</f>
        <v/>
      </c>
      <c r="G305" s="0" t="str">
        <f aca="true">IF(A305="","",IF(ISNUMBER(A305),IF(A305&gt;=36526,A305,""),IFERROR(DATE(VALUE(RIGHT(RIGHT(TRIM(A305),10),4)),VALUE(MID(RIGHT(TRIM(A305),10),4,2)),VALUE(LEFT(RIGHT(TRIM(A305),10),2))),IFERROR(TODAY()-MOD(WEEKDAY(TODAY(),1)-MATCH(TRIM(A305),{"الأحد","الاثنين","الثلاثاء","الأربعاء","الخميس","الجمعة","السبت"},0),7),IFERROR(DATEVALUE(A305),"")))))</f>
        <v/>
      </c>
      <c r="H305" s="0" t="str">
        <f aca="false">IF(G305="","",INT((G305-WEEK_ONE)/7)+1)</f>
        <v/>
      </c>
      <c r="I305" s="0" t="str">
        <f aca="false">IF(H305="","",IF(OR(H305&lt;1,H305&gt;NW),"",INDEX(WMON,H305)))</f>
        <v/>
      </c>
      <c r="J305" s="0" t="str">
        <f aca="false">IF(OR(G305="",H305="",C305=""),"",IF(C305="عمر المصري",SUMIFS('ساعات عمر'!$H$5:$H$746,'ساعات عمر'!$A$5:$A$746,"&gt;="&amp;(WEEK_ONE+7*(H305-1)),'ساعات عمر'!$A$5:$A$746,"&lt;="&amp;G305),SUMIFS('ساعات عبدالعزيز'!$F$5:$F$746,'ساعات عبدالعزيز'!$A$5:$A$746,"&gt;="&amp;(WEEK_ONE+7*(H305-1)),'ساعات عبدالعزيز'!$A$5:$A$746,"&lt;="&amp;G305)))</f>
        <v/>
      </c>
    </row>
    <row r="306" customFormat="false" ht="15" hidden="false" customHeight="false" outlineLevel="0" collapsed="false">
      <c r="A306" s="43"/>
      <c r="B306" s="23" t="str">
        <f aca="false">IF(G306="","",CHOOSE(WEEKDAY(G306,1),"الأحد","الاثنين","الثلاثاء","الأربعاء","الخميس","الجمعة","السبت")&amp;IF(OR(ISNUMBER(A306),LEN(TRIM(A306))&gt;=10),"","  "&amp;TEXT(DAY(G306),"00")&amp;"/"&amp;TEXT(MONTH(G306),"00")&amp;"/"&amp;YEAR(G306)))</f>
        <v/>
      </c>
      <c r="C306" s="24"/>
      <c r="D306" s="44"/>
      <c r="E306" s="27"/>
      <c r="F306" s="45" t="str">
        <f aca="false">IF(A306="","",IF(G306="","⛔ التاريخ غلط — اختاره من القائمة أو اكتبه كامل 05/10/2026",IF(OR(H306&lt;1,H306&gt;NW),"⛔ التاريخ برّا السنة",IF(AND(N(D306)&gt;0,N(J306)&gt;0,D306&gt;ADV_CAP*J306),"⚠️ أكثر من "&amp;TEXT(ADV_CAP,"0%")&amp;" من شغله ("&amp;TEXT(J306,"0.000")&amp;")",""))))</f>
        <v/>
      </c>
      <c r="G306" s="0" t="str">
        <f aca="true">IF(A306="","",IF(ISNUMBER(A306),IF(A306&gt;=36526,A306,""),IFERROR(DATE(VALUE(RIGHT(RIGHT(TRIM(A306),10),4)),VALUE(MID(RIGHT(TRIM(A306),10),4,2)),VALUE(LEFT(RIGHT(TRIM(A306),10),2))),IFERROR(TODAY()-MOD(WEEKDAY(TODAY(),1)-MATCH(TRIM(A306),{"الأحد","الاثنين","الثلاثاء","الأربعاء","الخميس","الجمعة","السبت"},0),7),IFERROR(DATEVALUE(A306),"")))))</f>
        <v/>
      </c>
      <c r="H306" s="0" t="str">
        <f aca="false">IF(G306="","",INT((G306-WEEK_ONE)/7)+1)</f>
        <v/>
      </c>
      <c r="I306" s="0" t="str">
        <f aca="false">IF(H306="","",IF(OR(H306&lt;1,H306&gt;NW),"",INDEX(WMON,H306)))</f>
        <v/>
      </c>
      <c r="J306" s="0" t="str">
        <f aca="false">IF(OR(G306="",H306="",C306=""),"",IF(C306="عمر المصري",SUMIFS('ساعات عمر'!$H$5:$H$746,'ساعات عمر'!$A$5:$A$746,"&gt;="&amp;(WEEK_ONE+7*(H306-1)),'ساعات عمر'!$A$5:$A$746,"&lt;="&amp;G306),SUMIFS('ساعات عبدالعزيز'!$F$5:$F$746,'ساعات عبدالعزيز'!$A$5:$A$746,"&gt;="&amp;(WEEK_ONE+7*(H306-1)),'ساعات عبدالعزيز'!$A$5:$A$746,"&lt;="&amp;G306)))</f>
        <v/>
      </c>
    </row>
    <row r="307" customFormat="false" ht="15" hidden="false" customHeight="false" outlineLevel="0" collapsed="false">
      <c r="A307" s="43"/>
      <c r="B307" s="23" t="str">
        <f aca="false">IF(G307="","",CHOOSE(WEEKDAY(G307,1),"الأحد","الاثنين","الثلاثاء","الأربعاء","الخميس","الجمعة","السبت")&amp;IF(OR(ISNUMBER(A307),LEN(TRIM(A307))&gt;=10),"","  "&amp;TEXT(DAY(G307),"00")&amp;"/"&amp;TEXT(MONTH(G307),"00")&amp;"/"&amp;YEAR(G307)))</f>
        <v/>
      </c>
      <c r="C307" s="24"/>
      <c r="D307" s="44"/>
      <c r="E307" s="27"/>
      <c r="F307" s="45" t="str">
        <f aca="false">IF(A307="","",IF(G307="","⛔ التاريخ غلط — اختاره من القائمة أو اكتبه كامل 05/10/2026",IF(OR(H307&lt;1,H307&gt;NW),"⛔ التاريخ برّا السنة",IF(AND(N(D307)&gt;0,N(J307)&gt;0,D307&gt;ADV_CAP*J307),"⚠️ أكثر من "&amp;TEXT(ADV_CAP,"0%")&amp;" من شغله ("&amp;TEXT(J307,"0.000")&amp;")",""))))</f>
        <v/>
      </c>
      <c r="G307" s="0" t="str">
        <f aca="true">IF(A307="","",IF(ISNUMBER(A307),IF(A307&gt;=36526,A307,""),IFERROR(DATE(VALUE(RIGHT(RIGHT(TRIM(A307),10),4)),VALUE(MID(RIGHT(TRIM(A307),10),4,2)),VALUE(LEFT(RIGHT(TRIM(A307),10),2))),IFERROR(TODAY()-MOD(WEEKDAY(TODAY(),1)-MATCH(TRIM(A307),{"الأحد","الاثنين","الثلاثاء","الأربعاء","الخميس","الجمعة","السبت"},0),7),IFERROR(DATEVALUE(A307),"")))))</f>
        <v/>
      </c>
      <c r="H307" s="0" t="str">
        <f aca="false">IF(G307="","",INT((G307-WEEK_ONE)/7)+1)</f>
        <v/>
      </c>
      <c r="I307" s="0" t="str">
        <f aca="false">IF(H307="","",IF(OR(H307&lt;1,H307&gt;NW),"",INDEX(WMON,H307)))</f>
        <v/>
      </c>
      <c r="J307" s="0" t="str">
        <f aca="false">IF(OR(G307="",H307="",C307=""),"",IF(C307="عمر المصري",SUMIFS('ساعات عمر'!$H$5:$H$746,'ساعات عمر'!$A$5:$A$746,"&gt;="&amp;(WEEK_ONE+7*(H307-1)),'ساعات عمر'!$A$5:$A$746,"&lt;="&amp;G307),SUMIFS('ساعات عبدالعزيز'!$F$5:$F$746,'ساعات عبدالعزيز'!$A$5:$A$746,"&gt;="&amp;(WEEK_ONE+7*(H307-1)),'ساعات عبدالعزيز'!$A$5:$A$746,"&lt;="&amp;G307)))</f>
        <v/>
      </c>
    </row>
    <row r="308" customFormat="false" ht="15" hidden="false" customHeight="false" outlineLevel="0" collapsed="false">
      <c r="A308" s="43"/>
      <c r="B308" s="23" t="str">
        <f aca="false">IF(G308="","",CHOOSE(WEEKDAY(G308,1),"الأحد","الاثنين","الثلاثاء","الأربعاء","الخميس","الجمعة","السبت")&amp;IF(OR(ISNUMBER(A308),LEN(TRIM(A308))&gt;=10),"","  "&amp;TEXT(DAY(G308),"00")&amp;"/"&amp;TEXT(MONTH(G308),"00")&amp;"/"&amp;YEAR(G308)))</f>
        <v/>
      </c>
      <c r="C308" s="24"/>
      <c r="D308" s="44"/>
      <c r="E308" s="27"/>
      <c r="F308" s="45" t="str">
        <f aca="false">IF(A308="","",IF(G308="","⛔ التاريخ غلط — اختاره من القائمة أو اكتبه كامل 05/10/2026",IF(OR(H308&lt;1,H308&gt;NW),"⛔ التاريخ برّا السنة",IF(AND(N(D308)&gt;0,N(J308)&gt;0,D308&gt;ADV_CAP*J308),"⚠️ أكثر من "&amp;TEXT(ADV_CAP,"0%")&amp;" من شغله ("&amp;TEXT(J308,"0.000")&amp;")",""))))</f>
        <v/>
      </c>
      <c r="G308" s="0" t="str">
        <f aca="true">IF(A308="","",IF(ISNUMBER(A308),IF(A308&gt;=36526,A308,""),IFERROR(DATE(VALUE(RIGHT(RIGHT(TRIM(A308),10),4)),VALUE(MID(RIGHT(TRIM(A308),10),4,2)),VALUE(LEFT(RIGHT(TRIM(A308),10),2))),IFERROR(TODAY()-MOD(WEEKDAY(TODAY(),1)-MATCH(TRIM(A308),{"الأحد","الاثنين","الثلاثاء","الأربعاء","الخميس","الجمعة","السبت"},0),7),IFERROR(DATEVALUE(A308),"")))))</f>
        <v/>
      </c>
      <c r="H308" s="0" t="str">
        <f aca="false">IF(G308="","",INT((G308-WEEK_ONE)/7)+1)</f>
        <v/>
      </c>
      <c r="I308" s="0" t="str">
        <f aca="false">IF(H308="","",IF(OR(H308&lt;1,H308&gt;NW),"",INDEX(WMON,H308)))</f>
        <v/>
      </c>
      <c r="J308" s="0" t="str">
        <f aca="false">IF(OR(G308="",H308="",C308=""),"",IF(C308="عمر المصري",SUMIFS('ساعات عمر'!$H$5:$H$746,'ساعات عمر'!$A$5:$A$746,"&gt;="&amp;(WEEK_ONE+7*(H308-1)),'ساعات عمر'!$A$5:$A$746,"&lt;="&amp;G308),SUMIFS('ساعات عبدالعزيز'!$F$5:$F$746,'ساعات عبدالعزيز'!$A$5:$A$746,"&gt;="&amp;(WEEK_ONE+7*(H308-1)),'ساعات عبدالعزيز'!$A$5:$A$746,"&lt;="&amp;G308)))</f>
        <v/>
      </c>
    </row>
    <row r="309" customFormat="false" ht="15" hidden="false" customHeight="false" outlineLevel="0" collapsed="false">
      <c r="A309" s="43"/>
      <c r="B309" s="23" t="str">
        <f aca="false">IF(G309="","",CHOOSE(WEEKDAY(G309,1),"الأحد","الاثنين","الثلاثاء","الأربعاء","الخميس","الجمعة","السبت")&amp;IF(OR(ISNUMBER(A309),LEN(TRIM(A309))&gt;=10),"","  "&amp;TEXT(DAY(G309),"00")&amp;"/"&amp;TEXT(MONTH(G309),"00")&amp;"/"&amp;YEAR(G309)))</f>
        <v/>
      </c>
      <c r="C309" s="24"/>
      <c r="D309" s="44"/>
      <c r="E309" s="27"/>
      <c r="F309" s="45" t="str">
        <f aca="false">IF(A309="","",IF(G309="","⛔ التاريخ غلط — اختاره من القائمة أو اكتبه كامل 05/10/2026",IF(OR(H309&lt;1,H309&gt;NW),"⛔ التاريخ برّا السنة",IF(AND(N(D309)&gt;0,N(J309)&gt;0,D309&gt;ADV_CAP*J309),"⚠️ أكثر من "&amp;TEXT(ADV_CAP,"0%")&amp;" من شغله ("&amp;TEXT(J309,"0.000")&amp;")",""))))</f>
        <v/>
      </c>
      <c r="G309" s="0" t="str">
        <f aca="true">IF(A309="","",IF(ISNUMBER(A309),IF(A309&gt;=36526,A309,""),IFERROR(DATE(VALUE(RIGHT(RIGHT(TRIM(A309),10),4)),VALUE(MID(RIGHT(TRIM(A309),10),4,2)),VALUE(LEFT(RIGHT(TRIM(A309),10),2))),IFERROR(TODAY()-MOD(WEEKDAY(TODAY(),1)-MATCH(TRIM(A309),{"الأحد","الاثنين","الثلاثاء","الأربعاء","الخميس","الجمعة","السبت"},0),7),IFERROR(DATEVALUE(A309),"")))))</f>
        <v/>
      </c>
      <c r="H309" s="0" t="str">
        <f aca="false">IF(G309="","",INT((G309-WEEK_ONE)/7)+1)</f>
        <v/>
      </c>
      <c r="I309" s="0" t="str">
        <f aca="false">IF(H309="","",IF(OR(H309&lt;1,H309&gt;NW),"",INDEX(WMON,H309)))</f>
        <v/>
      </c>
      <c r="J309" s="0" t="str">
        <f aca="false">IF(OR(G309="",H309="",C309=""),"",IF(C309="عمر المصري",SUMIFS('ساعات عمر'!$H$5:$H$746,'ساعات عمر'!$A$5:$A$746,"&gt;="&amp;(WEEK_ONE+7*(H309-1)),'ساعات عمر'!$A$5:$A$746,"&lt;="&amp;G309),SUMIFS('ساعات عبدالعزيز'!$F$5:$F$746,'ساعات عبدالعزيز'!$A$5:$A$746,"&gt;="&amp;(WEEK_ONE+7*(H309-1)),'ساعات عبدالعزيز'!$A$5:$A$746,"&lt;="&amp;G309)))</f>
        <v/>
      </c>
    </row>
    <row r="310" customFormat="false" ht="15" hidden="false" customHeight="false" outlineLevel="0" collapsed="false">
      <c r="A310" s="43"/>
      <c r="B310" s="23" t="str">
        <f aca="false">IF(G310="","",CHOOSE(WEEKDAY(G310,1),"الأحد","الاثنين","الثلاثاء","الأربعاء","الخميس","الجمعة","السبت")&amp;IF(OR(ISNUMBER(A310),LEN(TRIM(A310))&gt;=10),"","  "&amp;TEXT(DAY(G310),"00")&amp;"/"&amp;TEXT(MONTH(G310),"00")&amp;"/"&amp;YEAR(G310)))</f>
        <v/>
      </c>
      <c r="C310" s="24"/>
      <c r="D310" s="44"/>
      <c r="E310" s="27"/>
      <c r="F310" s="45" t="str">
        <f aca="false">IF(A310="","",IF(G310="","⛔ التاريخ غلط — اختاره من القائمة أو اكتبه كامل 05/10/2026",IF(OR(H310&lt;1,H310&gt;NW),"⛔ التاريخ برّا السنة",IF(AND(N(D310)&gt;0,N(J310)&gt;0,D310&gt;ADV_CAP*J310),"⚠️ أكثر من "&amp;TEXT(ADV_CAP,"0%")&amp;" من شغله ("&amp;TEXT(J310,"0.000")&amp;")",""))))</f>
        <v/>
      </c>
      <c r="G310" s="0" t="str">
        <f aca="true">IF(A310="","",IF(ISNUMBER(A310),IF(A310&gt;=36526,A310,""),IFERROR(DATE(VALUE(RIGHT(RIGHT(TRIM(A310),10),4)),VALUE(MID(RIGHT(TRIM(A310),10),4,2)),VALUE(LEFT(RIGHT(TRIM(A310),10),2))),IFERROR(TODAY()-MOD(WEEKDAY(TODAY(),1)-MATCH(TRIM(A310),{"الأحد","الاثنين","الثلاثاء","الأربعاء","الخميس","الجمعة","السبت"},0),7),IFERROR(DATEVALUE(A310),"")))))</f>
        <v/>
      </c>
      <c r="H310" s="0" t="str">
        <f aca="false">IF(G310="","",INT((G310-WEEK_ONE)/7)+1)</f>
        <v/>
      </c>
      <c r="I310" s="0" t="str">
        <f aca="false">IF(H310="","",IF(OR(H310&lt;1,H310&gt;NW),"",INDEX(WMON,H310)))</f>
        <v/>
      </c>
      <c r="J310" s="0" t="str">
        <f aca="false">IF(OR(G310="",H310="",C310=""),"",IF(C310="عمر المصري",SUMIFS('ساعات عمر'!$H$5:$H$746,'ساعات عمر'!$A$5:$A$746,"&gt;="&amp;(WEEK_ONE+7*(H310-1)),'ساعات عمر'!$A$5:$A$746,"&lt;="&amp;G310),SUMIFS('ساعات عبدالعزيز'!$F$5:$F$746,'ساعات عبدالعزيز'!$A$5:$A$746,"&gt;="&amp;(WEEK_ONE+7*(H310-1)),'ساعات عبدالعزيز'!$A$5:$A$746,"&lt;="&amp;G310)))</f>
        <v/>
      </c>
    </row>
    <row r="311" customFormat="false" ht="15" hidden="false" customHeight="false" outlineLevel="0" collapsed="false">
      <c r="A311" s="43"/>
      <c r="B311" s="23" t="str">
        <f aca="false">IF(G311="","",CHOOSE(WEEKDAY(G311,1),"الأحد","الاثنين","الثلاثاء","الأربعاء","الخميس","الجمعة","السبت")&amp;IF(OR(ISNUMBER(A311),LEN(TRIM(A311))&gt;=10),"","  "&amp;TEXT(DAY(G311),"00")&amp;"/"&amp;TEXT(MONTH(G311),"00")&amp;"/"&amp;YEAR(G311)))</f>
        <v/>
      </c>
      <c r="C311" s="24"/>
      <c r="D311" s="44"/>
      <c r="E311" s="27"/>
      <c r="F311" s="45" t="str">
        <f aca="false">IF(A311="","",IF(G311="","⛔ التاريخ غلط — اختاره من القائمة أو اكتبه كامل 05/10/2026",IF(OR(H311&lt;1,H311&gt;NW),"⛔ التاريخ برّا السنة",IF(AND(N(D311)&gt;0,N(J311)&gt;0,D311&gt;ADV_CAP*J311),"⚠️ أكثر من "&amp;TEXT(ADV_CAP,"0%")&amp;" من شغله ("&amp;TEXT(J311,"0.000")&amp;")",""))))</f>
        <v/>
      </c>
      <c r="G311" s="0" t="str">
        <f aca="true">IF(A311="","",IF(ISNUMBER(A311),IF(A311&gt;=36526,A311,""),IFERROR(DATE(VALUE(RIGHT(RIGHT(TRIM(A311),10),4)),VALUE(MID(RIGHT(TRIM(A311),10),4,2)),VALUE(LEFT(RIGHT(TRIM(A311),10),2))),IFERROR(TODAY()-MOD(WEEKDAY(TODAY(),1)-MATCH(TRIM(A311),{"الأحد","الاثنين","الثلاثاء","الأربعاء","الخميس","الجمعة","السبت"},0),7),IFERROR(DATEVALUE(A311),"")))))</f>
        <v/>
      </c>
      <c r="H311" s="0" t="str">
        <f aca="false">IF(G311="","",INT((G311-WEEK_ONE)/7)+1)</f>
        <v/>
      </c>
      <c r="I311" s="0" t="str">
        <f aca="false">IF(H311="","",IF(OR(H311&lt;1,H311&gt;NW),"",INDEX(WMON,H311)))</f>
        <v/>
      </c>
      <c r="J311" s="0" t="str">
        <f aca="false">IF(OR(G311="",H311="",C311=""),"",IF(C311="عمر المصري",SUMIFS('ساعات عمر'!$H$5:$H$746,'ساعات عمر'!$A$5:$A$746,"&gt;="&amp;(WEEK_ONE+7*(H311-1)),'ساعات عمر'!$A$5:$A$746,"&lt;="&amp;G311),SUMIFS('ساعات عبدالعزيز'!$F$5:$F$746,'ساعات عبدالعزيز'!$A$5:$A$746,"&gt;="&amp;(WEEK_ONE+7*(H311-1)),'ساعات عبدالعزيز'!$A$5:$A$746,"&lt;="&amp;G311)))</f>
        <v/>
      </c>
    </row>
    <row r="312" customFormat="false" ht="15" hidden="false" customHeight="false" outlineLevel="0" collapsed="false">
      <c r="A312" s="43"/>
      <c r="B312" s="23" t="str">
        <f aca="false">IF(G312="","",CHOOSE(WEEKDAY(G312,1),"الأحد","الاثنين","الثلاثاء","الأربعاء","الخميس","الجمعة","السبت")&amp;IF(OR(ISNUMBER(A312),LEN(TRIM(A312))&gt;=10),"","  "&amp;TEXT(DAY(G312),"00")&amp;"/"&amp;TEXT(MONTH(G312),"00")&amp;"/"&amp;YEAR(G312)))</f>
        <v/>
      </c>
      <c r="C312" s="24"/>
      <c r="D312" s="44"/>
      <c r="E312" s="27"/>
      <c r="F312" s="45" t="str">
        <f aca="false">IF(A312="","",IF(G312="","⛔ التاريخ غلط — اختاره من القائمة أو اكتبه كامل 05/10/2026",IF(OR(H312&lt;1,H312&gt;NW),"⛔ التاريخ برّا السنة",IF(AND(N(D312)&gt;0,N(J312)&gt;0,D312&gt;ADV_CAP*J312),"⚠️ أكثر من "&amp;TEXT(ADV_CAP,"0%")&amp;" من شغله ("&amp;TEXT(J312,"0.000")&amp;")",""))))</f>
        <v/>
      </c>
      <c r="G312" s="0" t="str">
        <f aca="true">IF(A312="","",IF(ISNUMBER(A312),IF(A312&gt;=36526,A312,""),IFERROR(DATE(VALUE(RIGHT(RIGHT(TRIM(A312),10),4)),VALUE(MID(RIGHT(TRIM(A312),10),4,2)),VALUE(LEFT(RIGHT(TRIM(A312),10),2))),IFERROR(TODAY()-MOD(WEEKDAY(TODAY(),1)-MATCH(TRIM(A312),{"الأحد","الاثنين","الثلاثاء","الأربعاء","الخميس","الجمعة","السبت"},0),7),IFERROR(DATEVALUE(A312),"")))))</f>
        <v/>
      </c>
      <c r="H312" s="0" t="str">
        <f aca="false">IF(G312="","",INT((G312-WEEK_ONE)/7)+1)</f>
        <v/>
      </c>
      <c r="I312" s="0" t="str">
        <f aca="false">IF(H312="","",IF(OR(H312&lt;1,H312&gt;NW),"",INDEX(WMON,H312)))</f>
        <v/>
      </c>
      <c r="J312" s="0" t="str">
        <f aca="false">IF(OR(G312="",H312="",C312=""),"",IF(C312="عمر المصري",SUMIFS('ساعات عمر'!$H$5:$H$746,'ساعات عمر'!$A$5:$A$746,"&gt;="&amp;(WEEK_ONE+7*(H312-1)),'ساعات عمر'!$A$5:$A$746,"&lt;="&amp;G312),SUMIFS('ساعات عبدالعزيز'!$F$5:$F$746,'ساعات عبدالعزيز'!$A$5:$A$746,"&gt;="&amp;(WEEK_ONE+7*(H312-1)),'ساعات عبدالعزيز'!$A$5:$A$746,"&lt;="&amp;G312)))</f>
        <v/>
      </c>
    </row>
    <row r="313" customFormat="false" ht="15" hidden="false" customHeight="false" outlineLevel="0" collapsed="false">
      <c r="A313" s="43"/>
      <c r="B313" s="23" t="str">
        <f aca="false">IF(G313="","",CHOOSE(WEEKDAY(G313,1),"الأحد","الاثنين","الثلاثاء","الأربعاء","الخميس","الجمعة","السبت")&amp;IF(OR(ISNUMBER(A313),LEN(TRIM(A313))&gt;=10),"","  "&amp;TEXT(DAY(G313),"00")&amp;"/"&amp;TEXT(MONTH(G313),"00")&amp;"/"&amp;YEAR(G313)))</f>
        <v/>
      </c>
      <c r="C313" s="24"/>
      <c r="D313" s="44"/>
      <c r="E313" s="27"/>
      <c r="F313" s="45" t="str">
        <f aca="false">IF(A313="","",IF(G313="","⛔ التاريخ غلط — اختاره من القائمة أو اكتبه كامل 05/10/2026",IF(OR(H313&lt;1,H313&gt;NW),"⛔ التاريخ برّا السنة",IF(AND(N(D313)&gt;0,N(J313)&gt;0,D313&gt;ADV_CAP*J313),"⚠️ أكثر من "&amp;TEXT(ADV_CAP,"0%")&amp;" من شغله ("&amp;TEXT(J313,"0.000")&amp;")",""))))</f>
        <v/>
      </c>
      <c r="G313" s="0" t="str">
        <f aca="true">IF(A313="","",IF(ISNUMBER(A313),IF(A313&gt;=36526,A313,""),IFERROR(DATE(VALUE(RIGHT(RIGHT(TRIM(A313),10),4)),VALUE(MID(RIGHT(TRIM(A313),10),4,2)),VALUE(LEFT(RIGHT(TRIM(A313),10),2))),IFERROR(TODAY()-MOD(WEEKDAY(TODAY(),1)-MATCH(TRIM(A313),{"الأحد","الاثنين","الثلاثاء","الأربعاء","الخميس","الجمعة","السبت"},0),7),IFERROR(DATEVALUE(A313),"")))))</f>
        <v/>
      </c>
      <c r="H313" s="0" t="str">
        <f aca="false">IF(G313="","",INT((G313-WEEK_ONE)/7)+1)</f>
        <v/>
      </c>
      <c r="I313" s="0" t="str">
        <f aca="false">IF(H313="","",IF(OR(H313&lt;1,H313&gt;NW),"",INDEX(WMON,H313)))</f>
        <v/>
      </c>
      <c r="J313" s="0" t="str">
        <f aca="false">IF(OR(G313="",H313="",C313=""),"",IF(C313="عمر المصري",SUMIFS('ساعات عمر'!$H$5:$H$746,'ساعات عمر'!$A$5:$A$746,"&gt;="&amp;(WEEK_ONE+7*(H313-1)),'ساعات عمر'!$A$5:$A$746,"&lt;="&amp;G313),SUMIFS('ساعات عبدالعزيز'!$F$5:$F$746,'ساعات عبدالعزيز'!$A$5:$A$746,"&gt;="&amp;(WEEK_ONE+7*(H313-1)),'ساعات عبدالعزيز'!$A$5:$A$746,"&lt;="&amp;G313)))</f>
        <v/>
      </c>
    </row>
    <row r="314" customFormat="false" ht="15" hidden="false" customHeight="false" outlineLevel="0" collapsed="false">
      <c r="A314" s="43"/>
      <c r="B314" s="23" t="str">
        <f aca="false">IF(G314="","",CHOOSE(WEEKDAY(G314,1),"الأحد","الاثنين","الثلاثاء","الأربعاء","الخميس","الجمعة","السبت")&amp;IF(OR(ISNUMBER(A314),LEN(TRIM(A314))&gt;=10),"","  "&amp;TEXT(DAY(G314),"00")&amp;"/"&amp;TEXT(MONTH(G314),"00")&amp;"/"&amp;YEAR(G314)))</f>
        <v/>
      </c>
      <c r="C314" s="24"/>
      <c r="D314" s="44"/>
      <c r="E314" s="27"/>
      <c r="F314" s="45" t="str">
        <f aca="false">IF(A314="","",IF(G314="","⛔ التاريخ غلط — اختاره من القائمة أو اكتبه كامل 05/10/2026",IF(OR(H314&lt;1,H314&gt;NW),"⛔ التاريخ برّا السنة",IF(AND(N(D314)&gt;0,N(J314)&gt;0,D314&gt;ADV_CAP*J314),"⚠️ أكثر من "&amp;TEXT(ADV_CAP,"0%")&amp;" من شغله ("&amp;TEXT(J314,"0.000")&amp;")",""))))</f>
        <v/>
      </c>
      <c r="G314" s="0" t="str">
        <f aca="true">IF(A314="","",IF(ISNUMBER(A314),IF(A314&gt;=36526,A314,""),IFERROR(DATE(VALUE(RIGHT(RIGHT(TRIM(A314),10),4)),VALUE(MID(RIGHT(TRIM(A314),10),4,2)),VALUE(LEFT(RIGHT(TRIM(A314),10),2))),IFERROR(TODAY()-MOD(WEEKDAY(TODAY(),1)-MATCH(TRIM(A314),{"الأحد","الاثنين","الثلاثاء","الأربعاء","الخميس","الجمعة","السبت"},0),7),IFERROR(DATEVALUE(A314),"")))))</f>
        <v/>
      </c>
      <c r="H314" s="0" t="str">
        <f aca="false">IF(G314="","",INT((G314-WEEK_ONE)/7)+1)</f>
        <v/>
      </c>
      <c r="I314" s="0" t="str">
        <f aca="false">IF(H314="","",IF(OR(H314&lt;1,H314&gt;NW),"",INDEX(WMON,H314)))</f>
        <v/>
      </c>
      <c r="J314" s="0" t="str">
        <f aca="false">IF(OR(G314="",H314="",C314=""),"",IF(C314="عمر المصري",SUMIFS('ساعات عمر'!$H$5:$H$746,'ساعات عمر'!$A$5:$A$746,"&gt;="&amp;(WEEK_ONE+7*(H314-1)),'ساعات عمر'!$A$5:$A$746,"&lt;="&amp;G314),SUMIFS('ساعات عبدالعزيز'!$F$5:$F$746,'ساعات عبدالعزيز'!$A$5:$A$746,"&gt;="&amp;(WEEK_ONE+7*(H314-1)),'ساعات عبدالعزيز'!$A$5:$A$746,"&lt;="&amp;G314)))</f>
        <v/>
      </c>
    </row>
    <row r="315" customFormat="false" ht="15" hidden="false" customHeight="false" outlineLevel="0" collapsed="false">
      <c r="A315" s="43"/>
      <c r="B315" s="23" t="str">
        <f aca="false">IF(G315="","",CHOOSE(WEEKDAY(G315,1),"الأحد","الاثنين","الثلاثاء","الأربعاء","الخميس","الجمعة","السبت")&amp;IF(OR(ISNUMBER(A315),LEN(TRIM(A315))&gt;=10),"","  "&amp;TEXT(DAY(G315),"00")&amp;"/"&amp;TEXT(MONTH(G315),"00")&amp;"/"&amp;YEAR(G315)))</f>
        <v/>
      </c>
      <c r="C315" s="24"/>
      <c r="D315" s="44"/>
      <c r="E315" s="27"/>
      <c r="F315" s="45" t="str">
        <f aca="false">IF(A315="","",IF(G315="","⛔ التاريخ غلط — اختاره من القائمة أو اكتبه كامل 05/10/2026",IF(OR(H315&lt;1,H315&gt;NW),"⛔ التاريخ برّا السنة",IF(AND(N(D315)&gt;0,N(J315)&gt;0,D315&gt;ADV_CAP*J315),"⚠️ أكثر من "&amp;TEXT(ADV_CAP,"0%")&amp;" من شغله ("&amp;TEXT(J315,"0.000")&amp;")",""))))</f>
        <v/>
      </c>
      <c r="G315" s="0" t="str">
        <f aca="true">IF(A315="","",IF(ISNUMBER(A315),IF(A315&gt;=36526,A315,""),IFERROR(DATE(VALUE(RIGHT(RIGHT(TRIM(A315),10),4)),VALUE(MID(RIGHT(TRIM(A315),10),4,2)),VALUE(LEFT(RIGHT(TRIM(A315),10),2))),IFERROR(TODAY()-MOD(WEEKDAY(TODAY(),1)-MATCH(TRIM(A315),{"الأحد","الاثنين","الثلاثاء","الأربعاء","الخميس","الجمعة","السبت"},0),7),IFERROR(DATEVALUE(A315),"")))))</f>
        <v/>
      </c>
      <c r="H315" s="0" t="str">
        <f aca="false">IF(G315="","",INT((G315-WEEK_ONE)/7)+1)</f>
        <v/>
      </c>
      <c r="I315" s="0" t="str">
        <f aca="false">IF(H315="","",IF(OR(H315&lt;1,H315&gt;NW),"",INDEX(WMON,H315)))</f>
        <v/>
      </c>
      <c r="J315" s="0" t="str">
        <f aca="false">IF(OR(G315="",H315="",C315=""),"",IF(C315="عمر المصري",SUMIFS('ساعات عمر'!$H$5:$H$746,'ساعات عمر'!$A$5:$A$746,"&gt;="&amp;(WEEK_ONE+7*(H315-1)),'ساعات عمر'!$A$5:$A$746,"&lt;="&amp;G315),SUMIFS('ساعات عبدالعزيز'!$F$5:$F$746,'ساعات عبدالعزيز'!$A$5:$A$746,"&gt;="&amp;(WEEK_ONE+7*(H315-1)),'ساعات عبدالعزيز'!$A$5:$A$746,"&lt;="&amp;G315)))</f>
        <v/>
      </c>
    </row>
    <row r="316" customFormat="false" ht="15" hidden="false" customHeight="false" outlineLevel="0" collapsed="false">
      <c r="A316" s="43"/>
      <c r="B316" s="23" t="str">
        <f aca="false">IF(G316="","",CHOOSE(WEEKDAY(G316,1),"الأحد","الاثنين","الثلاثاء","الأربعاء","الخميس","الجمعة","السبت")&amp;IF(OR(ISNUMBER(A316),LEN(TRIM(A316))&gt;=10),"","  "&amp;TEXT(DAY(G316),"00")&amp;"/"&amp;TEXT(MONTH(G316),"00")&amp;"/"&amp;YEAR(G316)))</f>
        <v/>
      </c>
      <c r="C316" s="24"/>
      <c r="D316" s="44"/>
      <c r="E316" s="27"/>
      <c r="F316" s="45" t="str">
        <f aca="false">IF(A316="","",IF(G316="","⛔ التاريخ غلط — اختاره من القائمة أو اكتبه كامل 05/10/2026",IF(OR(H316&lt;1,H316&gt;NW),"⛔ التاريخ برّا السنة",IF(AND(N(D316)&gt;0,N(J316)&gt;0,D316&gt;ADV_CAP*J316),"⚠️ أكثر من "&amp;TEXT(ADV_CAP,"0%")&amp;" من شغله ("&amp;TEXT(J316,"0.000")&amp;")",""))))</f>
        <v/>
      </c>
      <c r="G316" s="0" t="str">
        <f aca="true">IF(A316="","",IF(ISNUMBER(A316),IF(A316&gt;=36526,A316,""),IFERROR(DATE(VALUE(RIGHT(RIGHT(TRIM(A316),10),4)),VALUE(MID(RIGHT(TRIM(A316),10),4,2)),VALUE(LEFT(RIGHT(TRIM(A316),10),2))),IFERROR(TODAY()-MOD(WEEKDAY(TODAY(),1)-MATCH(TRIM(A316),{"الأحد","الاثنين","الثلاثاء","الأربعاء","الخميس","الجمعة","السبت"},0),7),IFERROR(DATEVALUE(A316),"")))))</f>
        <v/>
      </c>
      <c r="H316" s="0" t="str">
        <f aca="false">IF(G316="","",INT((G316-WEEK_ONE)/7)+1)</f>
        <v/>
      </c>
      <c r="I316" s="0" t="str">
        <f aca="false">IF(H316="","",IF(OR(H316&lt;1,H316&gt;NW),"",INDEX(WMON,H316)))</f>
        <v/>
      </c>
      <c r="J316" s="0" t="str">
        <f aca="false">IF(OR(G316="",H316="",C316=""),"",IF(C316="عمر المصري",SUMIFS('ساعات عمر'!$H$5:$H$746,'ساعات عمر'!$A$5:$A$746,"&gt;="&amp;(WEEK_ONE+7*(H316-1)),'ساعات عمر'!$A$5:$A$746,"&lt;="&amp;G316),SUMIFS('ساعات عبدالعزيز'!$F$5:$F$746,'ساعات عبدالعزيز'!$A$5:$A$746,"&gt;="&amp;(WEEK_ONE+7*(H316-1)),'ساعات عبدالعزيز'!$A$5:$A$746,"&lt;="&amp;G316)))</f>
        <v/>
      </c>
    </row>
    <row r="317" customFormat="false" ht="15" hidden="false" customHeight="false" outlineLevel="0" collapsed="false">
      <c r="A317" s="43"/>
      <c r="B317" s="23" t="str">
        <f aca="false">IF(G317="","",CHOOSE(WEEKDAY(G317,1),"الأحد","الاثنين","الثلاثاء","الأربعاء","الخميس","الجمعة","السبت")&amp;IF(OR(ISNUMBER(A317),LEN(TRIM(A317))&gt;=10),"","  "&amp;TEXT(DAY(G317),"00")&amp;"/"&amp;TEXT(MONTH(G317),"00")&amp;"/"&amp;YEAR(G317)))</f>
        <v/>
      </c>
      <c r="C317" s="24"/>
      <c r="D317" s="44"/>
      <c r="E317" s="27"/>
      <c r="F317" s="45" t="str">
        <f aca="false">IF(A317="","",IF(G317="","⛔ التاريخ غلط — اختاره من القائمة أو اكتبه كامل 05/10/2026",IF(OR(H317&lt;1,H317&gt;NW),"⛔ التاريخ برّا السنة",IF(AND(N(D317)&gt;0,N(J317)&gt;0,D317&gt;ADV_CAP*J317),"⚠️ أكثر من "&amp;TEXT(ADV_CAP,"0%")&amp;" من شغله ("&amp;TEXT(J317,"0.000")&amp;")",""))))</f>
        <v/>
      </c>
      <c r="G317" s="0" t="str">
        <f aca="true">IF(A317="","",IF(ISNUMBER(A317),IF(A317&gt;=36526,A317,""),IFERROR(DATE(VALUE(RIGHT(RIGHT(TRIM(A317),10),4)),VALUE(MID(RIGHT(TRIM(A317),10),4,2)),VALUE(LEFT(RIGHT(TRIM(A317),10),2))),IFERROR(TODAY()-MOD(WEEKDAY(TODAY(),1)-MATCH(TRIM(A317),{"الأحد","الاثنين","الثلاثاء","الأربعاء","الخميس","الجمعة","السبت"},0),7),IFERROR(DATEVALUE(A317),"")))))</f>
        <v/>
      </c>
      <c r="H317" s="0" t="str">
        <f aca="false">IF(G317="","",INT((G317-WEEK_ONE)/7)+1)</f>
        <v/>
      </c>
      <c r="I317" s="0" t="str">
        <f aca="false">IF(H317="","",IF(OR(H317&lt;1,H317&gt;NW),"",INDEX(WMON,H317)))</f>
        <v/>
      </c>
      <c r="J317" s="0" t="str">
        <f aca="false">IF(OR(G317="",H317="",C317=""),"",IF(C317="عمر المصري",SUMIFS('ساعات عمر'!$H$5:$H$746,'ساعات عمر'!$A$5:$A$746,"&gt;="&amp;(WEEK_ONE+7*(H317-1)),'ساعات عمر'!$A$5:$A$746,"&lt;="&amp;G317),SUMIFS('ساعات عبدالعزيز'!$F$5:$F$746,'ساعات عبدالعزيز'!$A$5:$A$746,"&gt;="&amp;(WEEK_ONE+7*(H317-1)),'ساعات عبدالعزيز'!$A$5:$A$746,"&lt;="&amp;G317)))</f>
        <v/>
      </c>
    </row>
    <row r="318" customFormat="false" ht="15" hidden="false" customHeight="false" outlineLevel="0" collapsed="false">
      <c r="A318" s="43"/>
      <c r="B318" s="23" t="str">
        <f aca="false">IF(G318="","",CHOOSE(WEEKDAY(G318,1),"الأحد","الاثنين","الثلاثاء","الأربعاء","الخميس","الجمعة","السبت")&amp;IF(OR(ISNUMBER(A318),LEN(TRIM(A318))&gt;=10),"","  "&amp;TEXT(DAY(G318),"00")&amp;"/"&amp;TEXT(MONTH(G318),"00")&amp;"/"&amp;YEAR(G318)))</f>
        <v/>
      </c>
      <c r="C318" s="24"/>
      <c r="D318" s="44"/>
      <c r="E318" s="27"/>
      <c r="F318" s="45" t="str">
        <f aca="false">IF(A318="","",IF(G318="","⛔ التاريخ غلط — اختاره من القائمة أو اكتبه كامل 05/10/2026",IF(OR(H318&lt;1,H318&gt;NW),"⛔ التاريخ برّا السنة",IF(AND(N(D318)&gt;0,N(J318)&gt;0,D318&gt;ADV_CAP*J318),"⚠️ أكثر من "&amp;TEXT(ADV_CAP,"0%")&amp;" من شغله ("&amp;TEXT(J318,"0.000")&amp;")",""))))</f>
        <v/>
      </c>
      <c r="G318" s="0" t="str">
        <f aca="true">IF(A318="","",IF(ISNUMBER(A318),IF(A318&gt;=36526,A318,""),IFERROR(DATE(VALUE(RIGHT(RIGHT(TRIM(A318),10),4)),VALUE(MID(RIGHT(TRIM(A318),10),4,2)),VALUE(LEFT(RIGHT(TRIM(A318),10),2))),IFERROR(TODAY()-MOD(WEEKDAY(TODAY(),1)-MATCH(TRIM(A318),{"الأحد","الاثنين","الثلاثاء","الأربعاء","الخميس","الجمعة","السبت"},0),7),IFERROR(DATEVALUE(A318),"")))))</f>
        <v/>
      </c>
      <c r="H318" s="0" t="str">
        <f aca="false">IF(G318="","",INT((G318-WEEK_ONE)/7)+1)</f>
        <v/>
      </c>
      <c r="I318" s="0" t="str">
        <f aca="false">IF(H318="","",IF(OR(H318&lt;1,H318&gt;NW),"",INDEX(WMON,H318)))</f>
        <v/>
      </c>
      <c r="J318" s="0" t="str">
        <f aca="false">IF(OR(G318="",H318="",C318=""),"",IF(C318="عمر المصري",SUMIFS('ساعات عمر'!$H$5:$H$746,'ساعات عمر'!$A$5:$A$746,"&gt;="&amp;(WEEK_ONE+7*(H318-1)),'ساعات عمر'!$A$5:$A$746,"&lt;="&amp;G318),SUMIFS('ساعات عبدالعزيز'!$F$5:$F$746,'ساعات عبدالعزيز'!$A$5:$A$746,"&gt;="&amp;(WEEK_ONE+7*(H318-1)),'ساعات عبدالعزيز'!$A$5:$A$746,"&lt;="&amp;G318)))</f>
        <v/>
      </c>
    </row>
    <row r="319" customFormat="false" ht="15" hidden="false" customHeight="false" outlineLevel="0" collapsed="false">
      <c r="A319" s="43"/>
      <c r="B319" s="23" t="str">
        <f aca="false">IF(G319="","",CHOOSE(WEEKDAY(G319,1),"الأحد","الاثنين","الثلاثاء","الأربعاء","الخميس","الجمعة","السبت")&amp;IF(OR(ISNUMBER(A319),LEN(TRIM(A319))&gt;=10),"","  "&amp;TEXT(DAY(G319),"00")&amp;"/"&amp;TEXT(MONTH(G319),"00")&amp;"/"&amp;YEAR(G319)))</f>
        <v/>
      </c>
      <c r="C319" s="24"/>
      <c r="D319" s="44"/>
      <c r="E319" s="27"/>
      <c r="F319" s="45" t="str">
        <f aca="false">IF(A319="","",IF(G319="","⛔ التاريخ غلط — اختاره من القائمة أو اكتبه كامل 05/10/2026",IF(OR(H319&lt;1,H319&gt;NW),"⛔ التاريخ برّا السنة",IF(AND(N(D319)&gt;0,N(J319)&gt;0,D319&gt;ADV_CAP*J319),"⚠️ أكثر من "&amp;TEXT(ADV_CAP,"0%")&amp;" من شغله ("&amp;TEXT(J319,"0.000")&amp;")",""))))</f>
        <v/>
      </c>
      <c r="G319" s="0" t="str">
        <f aca="true">IF(A319="","",IF(ISNUMBER(A319),IF(A319&gt;=36526,A319,""),IFERROR(DATE(VALUE(RIGHT(RIGHT(TRIM(A319),10),4)),VALUE(MID(RIGHT(TRIM(A319),10),4,2)),VALUE(LEFT(RIGHT(TRIM(A319),10),2))),IFERROR(TODAY()-MOD(WEEKDAY(TODAY(),1)-MATCH(TRIM(A319),{"الأحد","الاثنين","الثلاثاء","الأربعاء","الخميس","الجمعة","السبت"},0),7),IFERROR(DATEVALUE(A319),"")))))</f>
        <v/>
      </c>
      <c r="H319" s="0" t="str">
        <f aca="false">IF(G319="","",INT((G319-WEEK_ONE)/7)+1)</f>
        <v/>
      </c>
      <c r="I319" s="0" t="str">
        <f aca="false">IF(H319="","",IF(OR(H319&lt;1,H319&gt;NW),"",INDEX(WMON,H319)))</f>
        <v/>
      </c>
      <c r="J319" s="0" t="str">
        <f aca="false">IF(OR(G319="",H319="",C319=""),"",IF(C319="عمر المصري",SUMIFS('ساعات عمر'!$H$5:$H$746,'ساعات عمر'!$A$5:$A$746,"&gt;="&amp;(WEEK_ONE+7*(H319-1)),'ساعات عمر'!$A$5:$A$746,"&lt;="&amp;G319),SUMIFS('ساعات عبدالعزيز'!$F$5:$F$746,'ساعات عبدالعزيز'!$A$5:$A$746,"&gt;="&amp;(WEEK_ONE+7*(H319-1)),'ساعات عبدالعزيز'!$A$5:$A$746,"&lt;="&amp;G319)))</f>
        <v/>
      </c>
    </row>
    <row r="320" customFormat="false" ht="15" hidden="false" customHeight="false" outlineLevel="0" collapsed="false">
      <c r="A320" s="43"/>
      <c r="B320" s="23" t="str">
        <f aca="false">IF(G320="","",CHOOSE(WEEKDAY(G320,1),"الأحد","الاثنين","الثلاثاء","الأربعاء","الخميس","الجمعة","السبت")&amp;IF(OR(ISNUMBER(A320),LEN(TRIM(A320))&gt;=10),"","  "&amp;TEXT(DAY(G320),"00")&amp;"/"&amp;TEXT(MONTH(G320),"00")&amp;"/"&amp;YEAR(G320)))</f>
        <v/>
      </c>
      <c r="C320" s="24"/>
      <c r="D320" s="44"/>
      <c r="E320" s="27"/>
      <c r="F320" s="45" t="str">
        <f aca="false">IF(A320="","",IF(G320="","⛔ التاريخ غلط — اختاره من القائمة أو اكتبه كامل 05/10/2026",IF(OR(H320&lt;1,H320&gt;NW),"⛔ التاريخ برّا السنة",IF(AND(N(D320)&gt;0,N(J320)&gt;0,D320&gt;ADV_CAP*J320),"⚠️ أكثر من "&amp;TEXT(ADV_CAP,"0%")&amp;" من شغله ("&amp;TEXT(J320,"0.000")&amp;")",""))))</f>
        <v/>
      </c>
      <c r="G320" s="0" t="str">
        <f aca="true">IF(A320="","",IF(ISNUMBER(A320),IF(A320&gt;=36526,A320,""),IFERROR(DATE(VALUE(RIGHT(RIGHT(TRIM(A320),10),4)),VALUE(MID(RIGHT(TRIM(A320),10),4,2)),VALUE(LEFT(RIGHT(TRIM(A320),10),2))),IFERROR(TODAY()-MOD(WEEKDAY(TODAY(),1)-MATCH(TRIM(A320),{"الأحد","الاثنين","الثلاثاء","الأربعاء","الخميس","الجمعة","السبت"},0),7),IFERROR(DATEVALUE(A320),"")))))</f>
        <v/>
      </c>
      <c r="H320" s="0" t="str">
        <f aca="false">IF(G320="","",INT((G320-WEEK_ONE)/7)+1)</f>
        <v/>
      </c>
      <c r="I320" s="0" t="str">
        <f aca="false">IF(H320="","",IF(OR(H320&lt;1,H320&gt;NW),"",INDEX(WMON,H320)))</f>
        <v/>
      </c>
      <c r="J320" s="0" t="str">
        <f aca="false">IF(OR(G320="",H320="",C320=""),"",IF(C320="عمر المصري",SUMIFS('ساعات عمر'!$H$5:$H$746,'ساعات عمر'!$A$5:$A$746,"&gt;="&amp;(WEEK_ONE+7*(H320-1)),'ساعات عمر'!$A$5:$A$746,"&lt;="&amp;G320),SUMIFS('ساعات عبدالعزيز'!$F$5:$F$746,'ساعات عبدالعزيز'!$A$5:$A$746,"&gt;="&amp;(WEEK_ONE+7*(H320-1)),'ساعات عبدالعزيز'!$A$5:$A$746,"&lt;="&amp;G320)))</f>
        <v/>
      </c>
    </row>
    <row r="321" customFormat="false" ht="15" hidden="false" customHeight="false" outlineLevel="0" collapsed="false">
      <c r="A321" s="43"/>
      <c r="B321" s="23" t="str">
        <f aca="false">IF(G321="","",CHOOSE(WEEKDAY(G321,1),"الأحد","الاثنين","الثلاثاء","الأربعاء","الخميس","الجمعة","السبت")&amp;IF(OR(ISNUMBER(A321),LEN(TRIM(A321))&gt;=10),"","  "&amp;TEXT(DAY(G321),"00")&amp;"/"&amp;TEXT(MONTH(G321),"00")&amp;"/"&amp;YEAR(G321)))</f>
        <v/>
      </c>
      <c r="C321" s="24"/>
      <c r="D321" s="44"/>
      <c r="E321" s="27"/>
      <c r="F321" s="45" t="str">
        <f aca="false">IF(A321="","",IF(G321="","⛔ التاريخ غلط — اختاره من القائمة أو اكتبه كامل 05/10/2026",IF(OR(H321&lt;1,H321&gt;NW),"⛔ التاريخ برّا السنة",IF(AND(N(D321)&gt;0,N(J321)&gt;0,D321&gt;ADV_CAP*J321),"⚠️ أكثر من "&amp;TEXT(ADV_CAP,"0%")&amp;" من شغله ("&amp;TEXT(J321,"0.000")&amp;")",""))))</f>
        <v/>
      </c>
      <c r="G321" s="0" t="str">
        <f aca="true">IF(A321="","",IF(ISNUMBER(A321),IF(A321&gt;=36526,A321,""),IFERROR(DATE(VALUE(RIGHT(RIGHT(TRIM(A321),10),4)),VALUE(MID(RIGHT(TRIM(A321),10),4,2)),VALUE(LEFT(RIGHT(TRIM(A321),10),2))),IFERROR(TODAY()-MOD(WEEKDAY(TODAY(),1)-MATCH(TRIM(A321),{"الأحد","الاثنين","الثلاثاء","الأربعاء","الخميس","الجمعة","السبت"},0),7),IFERROR(DATEVALUE(A321),"")))))</f>
        <v/>
      </c>
      <c r="H321" s="0" t="str">
        <f aca="false">IF(G321="","",INT((G321-WEEK_ONE)/7)+1)</f>
        <v/>
      </c>
      <c r="I321" s="0" t="str">
        <f aca="false">IF(H321="","",IF(OR(H321&lt;1,H321&gt;NW),"",INDEX(WMON,H321)))</f>
        <v/>
      </c>
      <c r="J321" s="0" t="str">
        <f aca="false">IF(OR(G321="",H321="",C321=""),"",IF(C321="عمر المصري",SUMIFS('ساعات عمر'!$H$5:$H$746,'ساعات عمر'!$A$5:$A$746,"&gt;="&amp;(WEEK_ONE+7*(H321-1)),'ساعات عمر'!$A$5:$A$746,"&lt;="&amp;G321),SUMIFS('ساعات عبدالعزيز'!$F$5:$F$746,'ساعات عبدالعزيز'!$A$5:$A$746,"&gt;="&amp;(WEEK_ONE+7*(H321-1)),'ساعات عبدالعزيز'!$A$5:$A$746,"&lt;="&amp;G321)))</f>
        <v/>
      </c>
    </row>
    <row r="322" customFormat="false" ht="15" hidden="false" customHeight="false" outlineLevel="0" collapsed="false">
      <c r="A322" s="43"/>
      <c r="B322" s="23" t="str">
        <f aca="false">IF(G322="","",CHOOSE(WEEKDAY(G322,1),"الأحد","الاثنين","الثلاثاء","الأربعاء","الخميس","الجمعة","السبت")&amp;IF(OR(ISNUMBER(A322),LEN(TRIM(A322))&gt;=10),"","  "&amp;TEXT(DAY(G322),"00")&amp;"/"&amp;TEXT(MONTH(G322),"00")&amp;"/"&amp;YEAR(G322)))</f>
        <v/>
      </c>
      <c r="C322" s="24"/>
      <c r="D322" s="44"/>
      <c r="E322" s="27"/>
      <c r="F322" s="45" t="str">
        <f aca="false">IF(A322="","",IF(G322="","⛔ التاريخ غلط — اختاره من القائمة أو اكتبه كامل 05/10/2026",IF(OR(H322&lt;1,H322&gt;NW),"⛔ التاريخ برّا السنة",IF(AND(N(D322)&gt;0,N(J322)&gt;0,D322&gt;ADV_CAP*J322),"⚠️ أكثر من "&amp;TEXT(ADV_CAP,"0%")&amp;" من شغله ("&amp;TEXT(J322,"0.000")&amp;")",""))))</f>
        <v/>
      </c>
      <c r="G322" s="0" t="str">
        <f aca="true">IF(A322="","",IF(ISNUMBER(A322),IF(A322&gt;=36526,A322,""),IFERROR(DATE(VALUE(RIGHT(RIGHT(TRIM(A322),10),4)),VALUE(MID(RIGHT(TRIM(A322),10),4,2)),VALUE(LEFT(RIGHT(TRIM(A322),10),2))),IFERROR(TODAY()-MOD(WEEKDAY(TODAY(),1)-MATCH(TRIM(A322),{"الأحد","الاثنين","الثلاثاء","الأربعاء","الخميس","الجمعة","السبت"},0),7),IFERROR(DATEVALUE(A322),"")))))</f>
        <v/>
      </c>
      <c r="H322" s="0" t="str">
        <f aca="false">IF(G322="","",INT((G322-WEEK_ONE)/7)+1)</f>
        <v/>
      </c>
      <c r="I322" s="0" t="str">
        <f aca="false">IF(H322="","",IF(OR(H322&lt;1,H322&gt;NW),"",INDEX(WMON,H322)))</f>
        <v/>
      </c>
      <c r="J322" s="0" t="str">
        <f aca="false">IF(OR(G322="",H322="",C322=""),"",IF(C322="عمر المصري",SUMIFS('ساعات عمر'!$H$5:$H$746,'ساعات عمر'!$A$5:$A$746,"&gt;="&amp;(WEEK_ONE+7*(H322-1)),'ساعات عمر'!$A$5:$A$746,"&lt;="&amp;G322),SUMIFS('ساعات عبدالعزيز'!$F$5:$F$746,'ساعات عبدالعزيز'!$A$5:$A$746,"&gt;="&amp;(WEEK_ONE+7*(H322-1)),'ساعات عبدالعزيز'!$A$5:$A$746,"&lt;="&amp;G322)))</f>
        <v/>
      </c>
    </row>
    <row r="323" customFormat="false" ht="15" hidden="false" customHeight="false" outlineLevel="0" collapsed="false">
      <c r="A323" s="43"/>
      <c r="B323" s="23" t="str">
        <f aca="false">IF(G323="","",CHOOSE(WEEKDAY(G323,1),"الأحد","الاثنين","الثلاثاء","الأربعاء","الخميس","الجمعة","السبت")&amp;IF(OR(ISNUMBER(A323),LEN(TRIM(A323))&gt;=10),"","  "&amp;TEXT(DAY(G323),"00")&amp;"/"&amp;TEXT(MONTH(G323),"00")&amp;"/"&amp;YEAR(G323)))</f>
        <v/>
      </c>
      <c r="C323" s="24"/>
      <c r="D323" s="44"/>
      <c r="E323" s="27"/>
      <c r="F323" s="45" t="str">
        <f aca="false">IF(A323="","",IF(G323="","⛔ التاريخ غلط — اختاره من القائمة أو اكتبه كامل 05/10/2026",IF(OR(H323&lt;1,H323&gt;NW),"⛔ التاريخ برّا السنة",IF(AND(N(D323)&gt;0,N(J323)&gt;0,D323&gt;ADV_CAP*J323),"⚠️ أكثر من "&amp;TEXT(ADV_CAP,"0%")&amp;" من شغله ("&amp;TEXT(J323,"0.000")&amp;")",""))))</f>
        <v/>
      </c>
      <c r="G323" s="0" t="str">
        <f aca="true">IF(A323="","",IF(ISNUMBER(A323),IF(A323&gt;=36526,A323,""),IFERROR(DATE(VALUE(RIGHT(RIGHT(TRIM(A323),10),4)),VALUE(MID(RIGHT(TRIM(A323),10),4,2)),VALUE(LEFT(RIGHT(TRIM(A323),10),2))),IFERROR(TODAY()-MOD(WEEKDAY(TODAY(),1)-MATCH(TRIM(A323),{"الأحد","الاثنين","الثلاثاء","الأربعاء","الخميس","الجمعة","السبت"},0),7),IFERROR(DATEVALUE(A323),"")))))</f>
        <v/>
      </c>
      <c r="H323" s="0" t="str">
        <f aca="false">IF(G323="","",INT((G323-WEEK_ONE)/7)+1)</f>
        <v/>
      </c>
      <c r="I323" s="0" t="str">
        <f aca="false">IF(H323="","",IF(OR(H323&lt;1,H323&gt;NW),"",INDEX(WMON,H323)))</f>
        <v/>
      </c>
      <c r="J323" s="0" t="str">
        <f aca="false">IF(OR(G323="",H323="",C323=""),"",IF(C323="عمر المصري",SUMIFS('ساعات عمر'!$H$5:$H$746,'ساعات عمر'!$A$5:$A$746,"&gt;="&amp;(WEEK_ONE+7*(H323-1)),'ساعات عمر'!$A$5:$A$746,"&lt;="&amp;G323),SUMIFS('ساعات عبدالعزيز'!$F$5:$F$746,'ساعات عبدالعزيز'!$A$5:$A$746,"&gt;="&amp;(WEEK_ONE+7*(H323-1)),'ساعات عبدالعزيز'!$A$5:$A$746,"&lt;="&amp;G323)))</f>
        <v/>
      </c>
    </row>
    <row r="324" customFormat="false" ht="15" hidden="false" customHeight="false" outlineLevel="0" collapsed="false">
      <c r="A324" s="43"/>
      <c r="B324" s="23" t="str">
        <f aca="false">IF(G324="","",CHOOSE(WEEKDAY(G324,1),"الأحد","الاثنين","الثلاثاء","الأربعاء","الخميس","الجمعة","السبت")&amp;IF(OR(ISNUMBER(A324),LEN(TRIM(A324))&gt;=10),"","  "&amp;TEXT(DAY(G324),"00")&amp;"/"&amp;TEXT(MONTH(G324),"00")&amp;"/"&amp;YEAR(G324)))</f>
        <v/>
      </c>
      <c r="C324" s="24"/>
      <c r="D324" s="44"/>
      <c r="E324" s="27"/>
      <c r="F324" s="45" t="str">
        <f aca="false">IF(A324="","",IF(G324="","⛔ التاريخ غلط — اختاره من القائمة أو اكتبه كامل 05/10/2026",IF(OR(H324&lt;1,H324&gt;NW),"⛔ التاريخ برّا السنة",IF(AND(N(D324)&gt;0,N(J324)&gt;0,D324&gt;ADV_CAP*J324),"⚠️ أكثر من "&amp;TEXT(ADV_CAP,"0%")&amp;" من شغله ("&amp;TEXT(J324,"0.000")&amp;")",""))))</f>
        <v/>
      </c>
      <c r="G324" s="0" t="str">
        <f aca="true">IF(A324="","",IF(ISNUMBER(A324),IF(A324&gt;=36526,A324,""),IFERROR(DATE(VALUE(RIGHT(RIGHT(TRIM(A324),10),4)),VALUE(MID(RIGHT(TRIM(A324),10),4,2)),VALUE(LEFT(RIGHT(TRIM(A324),10),2))),IFERROR(TODAY()-MOD(WEEKDAY(TODAY(),1)-MATCH(TRIM(A324),{"الأحد","الاثنين","الثلاثاء","الأربعاء","الخميس","الجمعة","السبت"},0),7),IFERROR(DATEVALUE(A324),"")))))</f>
        <v/>
      </c>
      <c r="H324" s="0" t="str">
        <f aca="false">IF(G324="","",INT((G324-WEEK_ONE)/7)+1)</f>
        <v/>
      </c>
      <c r="I324" s="0" t="str">
        <f aca="false">IF(H324="","",IF(OR(H324&lt;1,H324&gt;NW),"",INDEX(WMON,H324)))</f>
        <v/>
      </c>
      <c r="J324" s="0" t="str">
        <f aca="false">IF(OR(G324="",H324="",C324=""),"",IF(C324="عمر المصري",SUMIFS('ساعات عمر'!$H$5:$H$746,'ساعات عمر'!$A$5:$A$746,"&gt;="&amp;(WEEK_ONE+7*(H324-1)),'ساعات عمر'!$A$5:$A$746,"&lt;="&amp;G324),SUMIFS('ساعات عبدالعزيز'!$F$5:$F$746,'ساعات عبدالعزيز'!$A$5:$A$746,"&gt;="&amp;(WEEK_ONE+7*(H324-1)),'ساعات عبدالعزيز'!$A$5:$A$746,"&lt;="&amp;G324)))</f>
        <v/>
      </c>
    </row>
    <row r="325" customFormat="false" ht="15" hidden="false" customHeight="false" outlineLevel="0" collapsed="false">
      <c r="A325" s="43"/>
      <c r="B325" s="23" t="str">
        <f aca="false">IF(G325="","",CHOOSE(WEEKDAY(G325,1),"الأحد","الاثنين","الثلاثاء","الأربعاء","الخميس","الجمعة","السبت")&amp;IF(OR(ISNUMBER(A325),LEN(TRIM(A325))&gt;=10),"","  "&amp;TEXT(DAY(G325),"00")&amp;"/"&amp;TEXT(MONTH(G325),"00")&amp;"/"&amp;YEAR(G325)))</f>
        <v/>
      </c>
      <c r="C325" s="24"/>
      <c r="D325" s="44"/>
      <c r="E325" s="27"/>
      <c r="F325" s="45" t="str">
        <f aca="false">IF(A325="","",IF(G325="","⛔ التاريخ غلط — اختاره من القائمة أو اكتبه كامل 05/10/2026",IF(OR(H325&lt;1,H325&gt;NW),"⛔ التاريخ برّا السنة",IF(AND(N(D325)&gt;0,N(J325)&gt;0,D325&gt;ADV_CAP*J325),"⚠️ أكثر من "&amp;TEXT(ADV_CAP,"0%")&amp;" من شغله ("&amp;TEXT(J325,"0.000")&amp;")",""))))</f>
        <v/>
      </c>
      <c r="G325" s="0" t="str">
        <f aca="true">IF(A325="","",IF(ISNUMBER(A325),IF(A325&gt;=36526,A325,""),IFERROR(DATE(VALUE(RIGHT(RIGHT(TRIM(A325),10),4)),VALUE(MID(RIGHT(TRIM(A325),10),4,2)),VALUE(LEFT(RIGHT(TRIM(A325),10),2))),IFERROR(TODAY()-MOD(WEEKDAY(TODAY(),1)-MATCH(TRIM(A325),{"الأحد","الاثنين","الثلاثاء","الأربعاء","الخميس","الجمعة","السبت"},0),7),IFERROR(DATEVALUE(A325),"")))))</f>
        <v/>
      </c>
      <c r="H325" s="0" t="str">
        <f aca="false">IF(G325="","",INT((G325-WEEK_ONE)/7)+1)</f>
        <v/>
      </c>
      <c r="I325" s="0" t="str">
        <f aca="false">IF(H325="","",IF(OR(H325&lt;1,H325&gt;NW),"",INDEX(WMON,H325)))</f>
        <v/>
      </c>
      <c r="J325" s="0" t="str">
        <f aca="false">IF(OR(G325="",H325="",C325=""),"",IF(C325="عمر المصري",SUMIFS('ساعات عمر'!$H$5:$H$746,'ساعات عمر'!$A$5:$A$746,"&gt;="&amp;(WEEK_ONE+7*(H325-1)),'ساعات عمر'!$A$5:$A$746,"&lt;="&amp;G325),SUMIFS('ساعات عبدالعزيز'!$F$5:$F$746,'ساعات عبدالعزيز'!$A$5:$A$746,"&gt;="&amp;(WEEK_ONE+7*(H325-1)),'ساعات عبدالعزيز'!$A$5:$A$746,"&lt;="&amp;G325)))</f>
        <v/>
      </c>
    </row>
    <row r="326" customFormat="false" ht="15" hidden="false" customHeight="false" outlineLevel="0" collapsed="false">
      <c r="A326" s="43"/>
      <c r="B326" s="23" t="str">
        <f aca="false">IF(G326="","",CHOOSE(WEEKDAY(G326,1),"الأحد","الاثنين","الثلاثاء","الأربعاء","الخميس","الجمعة","السبت")&amp;IF(OR(ISNUMBER(A326),LEN(TRIM(A326))&gt;=10),"","  "&amp;TEXT(DAY(G326),"00")&amp;"/"&amp;TEXT(MONTH(G326),"00")&amp;"/"&amp;YEAR(G326)))</f>
        <v/>
      </c>
      <c r="C326" s="24"/>
      <c r="D326" s="44"/>
      <c r="E326" s="27"/>
      <c r="F326" s="45" t="str">
        <f aca="false">IF(A326="","",IF(G326="","⛔ التاريخ غلط — اختاره من القائمة أو اكتبه كامل 05/10/2026",IF(OR(H326&lt;1,H326&gt;NW),"⛔ التاريخ برّا السنة",IF(AND(N(D326)&gt;0,N(J326)&gt;0,D326&gt;ADV_CAP*J326),"⚠️ أكثر من "&amp;TEXT(ADV_CAP,"0%")&amp;" من شغله ("&amp;TEXT(J326,"0.000")&amp;")",""))))</f>
        <v/>
      </c>
      <c r="G326" s="0" t="str">
        <f aca="true">IF(A326="","",IF(ISNUMBER(A326),IF(A326&gt;=36526,A326,""),IFERROR(DATE(VALUE(RIGHT(RIGHT(TRIM(A326),10),4)),VALUE(MID(RIGHT(TRIM(A326),10),4,2)),VALUE(LEFT(RIGHT(TRIM(A326),10),2))),IFERROR(TODAY()-MOD(WEEKDAY(TODAY(),1)-MATCH(TRIM(A326),{"الأحد","الاثنين","الثلاثاء","الأربعاء","الخميس","الجمعة","السبت"},0),7),IFERROR(DATEVALUE(A326),"")))))</f>
        <v/>
      </c>
      <c r="H326" s="0" t="str">
        <f aca="false">IF(G326="","",INT((G326-WEEK_ONE)/7)+1)</f>
        <v/>
      </c>
      <c r="I326" s="0" t="str">
        <f aca="false">IF(H326="","",IF(OR(H326&lt;1,H326&gt;NW),"",INDEX(WMON,H326)))</f>
        <v/>
      </c>
      <c r="J326" s="0" t="str">
        <f aca="false">IF(OR(G326="",H326="",C326=""),"",IF(C326="عمر المصري",SUMIFS('ساعات عمر'!$H$5:$H$746,'ساعات عمر'!$A$5:$A$746,"&gt;="&amp;(WEEK_ONE+7*(H326-1)),'ساعات عمر'!$A$5:$A$746,"&lt;="&amp;G326),SUMIFS('ساعات عبدالعزيز'!$F$5:$F$746,'ساعات عبدالعزيز'!$A$5:$A$746,"&gt;="&amp;(WEEK_ONE+7*(H326-1)),'ساعات عبدالعزيز'!$A$5:$A$746,"&lt;="&amp;G326)))</f>
        <v/>
      </c>
    </row>
    <row r="327" customFormat="false" ht="15" hidden="false" customHeight="false" outlineLevel="0" collapsed="false">
      <c r="A327" s="43"/>
      <c r="B327" s="23" t="str">
        <f aca="false">IF(G327="","",CHOOSE(WEEKDAY(G327,1),"الأحد","الاثنين","الثلاثاء","الأربعاء","الخميس","الجمعة","السبت")&amp;IF(OR(ISNUMBER(A327),LEN(TRIM(A327))&gt;=10),"","  "&amp;TEXT(DAY(G327),"00")&amp;"/"&amp;TEXT(MONTH(G327),"00")&amp;"/"&amp;YEAR(G327)))</f>
        <v/>
      </c>
      <c r="C327" s="24"/>
      <c r="D327" s="44"/>
      <c r="E327" s="27"/>
      <c r="F327" s="45" t="str">
        <f aca="false">IF(A327="","",IF(G327="","⛔ التاريخ غلط — اختاره من القائمة أو اكتبه كامل 05/10/2026",IF(OR(H327&lt;1,H327&gt;NW),"⛔ التاريخ برّا السنة",IF(AND(N(D327)&gt;0,N(J327)&gt;0,D327&gt;ADV_CAP*J327),"⚠️ أكثر من "&amp;TEXT(ADV_CAP,"0%")&amp;" من شغله ("&amp;TEXT(J327,"0.000")&amp;")",""))))</f>
        <v/>
      </c>
      <c r="G327" s="0" t="str">
        <f aca="true">IF(A327="","",IF(ISNUMBER(A327),IF(A327&gt;=36526,A327,""),IFERROR(DATE(VALUE(RIGHT(RIGHT(TRIM(A327),10),4)),VALUE(MID(RIGHT(TRIM(A327),10),4,2)),VALUE(LEFT(RIGHT(TRIM(A327),10),2))),IFERROR(TODAY()-MOD(WEEKDAY(TODAY(),1)-MATCH(TRIM(A327),{"الأحد","الاثنين","الثلاثاء","الأربعاء","الخميس","الجمعة","السبت"},0),7),IFERROR(DATEVALUE(A327),"")))))</f>
        <v/>
      </c>
      <c r="H327" s="0" t="str">
        <f aca="false">IF(G327="","",INT((G327-WEEK_ONE)/7)+1)</f>
        <v/>
      </c>
      <c r="I327" s="0" t="str">
        <f aca="false">IF(H327="","",IF(OR(H327&lt;1,H327&gt;NW),"",INDEX(WMON,H327)))</f>
        <v/>
      </c>
      <c r="J327" s="0" t="str">
        <f aca="false">IF(OR(G327="",H327="",C327=""),"",IF(C327="عمر المصري",SUMIFS('ساعات عمر'!$H$5:$H$746,'ساعات عمر'!$A$5:$A$746,"&gt;="&amp;(WEEK_ONE+7*(H327-1)),'ساعات عمر'!$A$5:$A$746,"&lt;="&amp;G327),SUMIFS('ساعات عبدالعزيز'!$F$5:$F$746,'ساعات عبدالعزيز'!$A$5:$A$746,"&gt;="&amp;(WEEK_ONE+7*(H327-1)),'ساعات عبدالعزيز'!$A$5:$A$746,"&lt;="&amp;G327)))</f>
        <v/>
      </c>
    </row>
    <row r="328" customFormat="false" ht="15" hidden="false" customHeight="false" outlineLevel="0" collapsed="false">
      <c r="A328" s="43"/>
      <c r="B328" s="23" t="str">
        <f aca="false">IF(G328="","",CHOOSE(WEEKDAY(G328,1),"الأحد","الاثنين","الثلاثاء","الأربعاء","الخميس","الجمعة","السبت")&amp;IF(OR(ISNUMBER(A328),LEN(TRIM(A328))&gt;=10),"","  "&amp;TEXT(DAY(G328),"00")&amp;"/"&amp;TEXT(MONTH(G328),"00")&amp;"/"&amp;YEAR(G328)))</f>
        <v/>
      </c>
      <c r="C328" s="24"/>
      <c r="D328" s="44"/>
      <c r="E328" s="27"/>
      <c r="F328" s="45" t="str">
        <f aca="false">IF(A328="","",IF(G328="","⛔ التاريخ غلط — اختاره من القائمة أو اكتبه كامل 05/10/2026",IF(OR(H328&lt;1,H328&gt;NW),"⛔ التاريخ برّا السنة",IF(AND(N(D328)&gt;0,N(J328)&gt;0,D328&gt;ADV_CAP*J328),"⚠️ أكثر من "&amp;TEXT(ADV_CAP,"0%")&amp;" من شغله ("&amp;TEXT(J328,"0.000")&amp;")",""))))</f>
        <v/>
      </c>
      <c r="G328" s="0" t="str">
        <f aca="true">IF(A328="","",IF(ISNUMBER(A328),IF(A328&gt;=36526,A328,""),IFERROR(DATE(VALUE(RIGHT(RIGHT(TRIM(A328),10),4)),VALUE(MID(RIGHT(TRIM(A328),10),4,2)),VALUE(LEFT(RIGHT(TRIM(A328),10),2))),IFERROR(TODAY()-MOD(WEEKDAY(TODAY(),1)-MATCH(TRIM(A328),{"الأحد","الاثنين","الثلاثاء","الأربعاء","الخميس","الجمعة","السبت"},0),7),IFERROR(DATEVALUE(A328),"")))))</f>
        <v/>
      </c>
      <c r="H328" s="0" t="str">
        <f aca="false">IF(G328="","",INT((G328-WEEK_ONE)/7)+1)</f>
        <v/>
      </c>
      <c r="I328" s="0" t="str">
        <f aca="false">IF(H328="","",IF(OR(H328&lt;1,H328&gt;NW),"",INDEX(WMON,H328)))</f>
        <v/>
      </c>
      <c r="J328" s="0" t="str">
        <f aca="false">IF(OR(G328="",H328="",C328=""),"",IF(C328="عمر المصري",SUMIFS('ساعات عمر'!$H$5:$H$746,'ساعات عمر'!$A$5:$A$746,"&gt;="&amp;(WEEK_ONE+7*(H328-1)),'ساعات عمر'!$A$5:$A$746,"&lt;="&amp;G328),SUMIFS('ساعات عبدالعزيز'!$F$5:$F$746,'ساعات عبدالعزيز'!$A$5:$A$746,"&gt;="&amp;(WEEK_ONE+7*(H328-1)),'ساعات عبدالعزيز'!$A$5:$A$746,"&lt;="&amp;G328)))</f>
        <v/>
      </c>
    </row>
    <row r="329" customFormat="false" ht="15" hidden="false" customHeight="false" outlineLevel="0" collapsed="false">
      <c r="A329" s="43"/>
      <c r="B329" s="23" t="str">
        <f aca="false">IF(G329="","",CHOOSE(WEEKDAY(G329,1),"الأحد","الاثنين","الثلاثاء","الأربعاء","الخميس","الجمعة","السبت")&amp;IF(OR(ISNUMBER(A329),LEN(TRIM(A329))&gt;=10),"","  "&amp;TEXT(DAY(G329),"00")&amp;"/"&amp;TEXT(MONTH(G329),"00")&amp;"/"&amp;YEAR(G329)))</f>
        <v/>
      </c>
      <c r="C329" s="24"/>
      <c r="D329" s="44"/>
      <c r="E329" s="27"/>
      <c r="F329" s="45" t="str">
        <f aca="false">IF(A329="","",IF(G329="","⛔ التاريخ غلط — اختاره من القائمة أو اكتبه كامل 05/10/2026",IF(OR(H329&lt;1,H329&gt;NW),"⛔ التاريخ برّا السنة",IF(AND(N(D329)&gt;0,N(J329)&gt;0,D329&gt;ADV_CAP*J329),"⚠️ أكثر من "&amp;TEXT(ADV_CAP,"0%")&amp;" من شغله ("&amp;TEXT(J329,"0.000")&amp;")",""))))</f>
        <v/>
      </c>
      <c r="G329" s="0" t="str">
        <f aca="true">IF(A329="","",IF(ISNUMBER(A329),IF(A329&gt;=36526,A329,""),IFERROR(DATE(VALUE(RIGHT(RIGHT(TRIM(A329),10),4)),VALUE(MID(RIGHT(TRIM(A329),10),4,2)),VALUE(LEFT(RIGHT(TRIM(A329),10),2))),IFERROR(TODAY()-MOD(WEEKDAY(TODAY(),1)-MATCH(TRIM(A329),{"الأحد","الاثنين","الثلاثاء","الأربعاء","الخميس","الجمعة","السبت"},0),7),IFERROR(DATEVALUE(A329),"")))))</f>
        <v/>
      </c>
      <c r="H329" s="0" t="str">
        <f aca="false">IF(G329="","",INT((G329-WEEK_ONE)/7)+1)</f>
        <v/>
      </c>
      <c r="I329" s="0" t="str">
        <f aca="false">IF(H329="","",IF(OR(H329&lt;1,H329&gt;NW),"",INDEX(WMON,H329)))</f>
        <v/>
      </c>
      <c r="J329" s="0" t="str">
        <f aca="false">IF(OR(G329="",H329="",C329=""),"",IF(C329="عمر المصري",SUMIFS('ساعات عمر'!$H$5:$H$746,'ساعات عمر'!$A$5:$A$746,"&gt;="&amp;(WEEK_ONE+7*(H329-1)),'ساعات عمر'!$A$5:$A$746,"&lt;="&amp;G329),SUMIFS('ساعات عبدالعزيز'!$F$5:$F$746,'ساعات عبدالعزيز'!$A$5:$A$746,"&gt;="&amp;(WEEK_ONE+7*(H329-1)),'ساعات عبدالعزيز'!$A$5:$A$746,"&lt;="&amp;G329)))</f>
        <v/>
      </c>
    </row>
    <row r="330" customFormat="false" ht="15" hidden="false" customHeight="false" outlineLevel="0" collapsed="false">
      <c r="A330" s="43"/>
      <c r="B330" s="23" t="str">
        <f aca="false">IF(G330="","",CHOOSE(WEEKDAY(G330,1),"الأحد","الاثنين","الثلاثاء","الأربعاء","الخميس","الجمعة","السبت")&amp;IF(OR(ISNUMBER(A330),LEN(TRIM(A330))&gt;=10),"","  "&amp;TEXT(DAY(G330),"00")&amp;"/"&amp;TEXT(MONTH(G330),"00")&amp;"/"&amp;YEAR(G330)))</f>
        <v/>
      </c>
      <c r="C330" s="24"/>
      <c r="D330" s="44"/>
      <c r="E330" s="27"/>
      <c r="F330" s="45" t="str">
        <f aca="false">IF(A330="","",IF(G330="","⛔ التاريخ غلط — اختاره من القائمة أو اكتبه كامل 05/10/2026",IF(OR(H330&lt;1,H330&gt;NW),"⛔ التاريخ برّا السنة",IF(AND(N(D330)&gt;0,N(J330)&gt;0,D330&gt;ADV_CAP*J330),"⚠️ أكثر من "&amp;TEXT(ADV_CAP,"0%")&amp;" من شغله ("&amp;TEXT(J330,"0.000")&amp;")",""))))</f>
        <v/>
      </c>
      <c r="G330" s="0" t="str">
        <f aca="true">IF(A330="","",IF(ISNUMBER(A330),IF(A330&gt;=36526,A330,""),IFERROR(DATE(VALUE(RIGHT(RIGHT(TRIM(A330),10),4)),VALUE(MID(RIGHT(TRIM(A330),10),4,2)),VALUE(LEFT(RIGHT(TRIM(A330),10),2))),IFERROR(TODAY()-MOD(WEEKDAY(TODAY(),1)-MATCH(TRIM(A330),{"الأحد","الاثنين","الثلاثاء","الأربعاء","الخميس","الجمعة","السبت"},0),7),IFERROR(DATEVALUE(A330),"")))))</f>
        <v/>
      </c>
      <c r="H330" s="0" t="str">
        <f aca="false">IF(G330="","",INT((G330-WEEK_ONE)/7)+1)</f>
        <v/>
      </c>
      <c r="I330" s="0" t="str">
        <f aca="false">IF(H330="","",IF(OR(H330&lt;1,H330&gt;NW),"",INDEX(WMON,H330)))</f>
        <v/>
      </c>
      <c r="J330" s="0" t="str">
        <f aca="false">IF(OR(G330="",H330="",C330=""),"",IF(C330="عمر المصري",SUMIFS('ساعات عمر'!$H$5:$H$746,'ساعات عمر'!$A$5:$A$746,"&gt;="&amp;(WEEK_ONE+7*(H330-1)),'ساعات عمر'!$A$5:$A$746,"&lt;="&amp;G330),SUMIFS('ساعات عبدالعزيز'!$F$5:$F$746,'ساعات عبدالعزيز'!$A$5:$A$746,"&gt;="&amp;(WEEK_ONE+7*(H330-1)),'ساعات عبدالعزيز'!$A$5:$A$746,"&lt;="&amp;G330)))</f>
        <v/>
      </c>
    </row>
    <row r="331" customFormat="false" ht="15" hidden="false" customHeight="false" outlineLevel="0" collapsed="false">
      <c r="A331" s="43"/>
      <c r="B331" s="23" t="str">
        <f aca="false">IF(G331="","",CHOOSE(WEEKDAY(G331,1),"الأحد","الاثنين","الثلاثاء","الأربعاء","الخميس","الجمعة","السبت")&amp;IF(OR(ISNUMBER(A331),LEN(TRIM(A331))&gt;=10),"","  "&amp;TEXT(DAY(G331),"00")&amp;"/"&amp;TEXT(MONTH(G331),"00")&amp;"/"&amp;YEAR(G331)))</f>
        <v/>
      </c>
      <c r="C331" s="24"/>
      <c r="D331" s="44"/>
      <c r="E331" s="27"/>
      <c r="F331" s="45" t="str">
        <f aca="false">IF(A331="","",IF(G331="","⛔ التاريخ غلط — اختاره من القائمة أو اكتبه كامل 05/10/2026",IF(OR(H331&lt;1,H331&gt;NW),"⛔ التاريخ برّا السنة",IF(AND(N(D331)&gt;0,N(J331)&gt;0,D331&gt;ADV_CAP*J331),"⚠️ أكثر من "&amp;TEXT(ADV_CAP,"0%")&amp;" من شغله ("&amp;TEXT(J331,"0.000")&amp;")",""))))</f>
        <v/>
      </c>
      <c r="G331" s="0" t="str">
        <f aca="true">IF(A331="","",IF(ISNUMBER(A331),IF(A331&gt;=36526,A331,""),IFERROR(DATE(VALUE(RIGHT(RIGHT(TRIM(A331),10),4)),VALUE(MID(RIGHT(TRIM(A331),10),4,2)),VALUE(LEFT(RIGHT(TRIM(A331),10),2))),IFERROR(TODAY()-MOD(WEEKDAY(TODAY(),1)-MATCH(TRIM(A331),{"الأحد","الاثنين","الثلاثاء","الأربعاء","الخميس","الجمعة","السبت"},0),7),IFERROR(DATEVALUE(A331),"")))))</f>
        <v/>
      </c>
      <c r="H331" s="0" t="str">
        <f aca="false">IF(G331="","",INT((G331-WEEK_ONE)/7)+1)</f>
        <v/>
      </c>
      <c r="I331" s="0" t="str">
        <f aca="false">IF(H331="","",IF(OR(H331&lt;1,H331&gt;NW),"",INDEX(WMON,H331)))</f>
        <v/>
      </c>
      <c r="J331" s="0" t="str">
        <f aca="false">IF(OR(G331="",H331="",C331=""),"",IF(C331="عمر المصري",SUMIFS('ساعات عمر'!$H$5:$H$746,'ساعات عمر'!$A$5:$A$746,"&gt;="&amp;(WEEK_ONE+7*(H331-1)),'ساعات عمر'!$A$5:$A$746,"&lt;="&amp;G331),SUMIFS('ساعات عبدالعزيز'!$F$5:$F$746,'ساعات عبدالعزيز'!$A$5:$A$746,"&gt;="&amp;(WEEK_ONE+7*(H331-1)),'ساعات عبدالعزيز'!$A$5:$A$746,"&lt;="&amp;G331)))</f>
        <v/>
      </c>
    </row>
    <row r="332" customFormat="false" ht="15" hidden="false" customHeight="false" outlineLevel="0" collapsed="false">
      <c r="A332" s="43"/>
      <c r="B332" s="23" t="str">
        <f aca="false">IF(G332="","",CHOOSE(WEEKDAY(G332,1),"الأحد","الاثنين","الثلاثاء","الأربعاء","الخميس","الجمعة","السبت")&amp;IF(OR(ISNUMBER(A332),LEN(TRIM(A332))&gt;=10),"","  "&amp;TEXT(DAY(G332),"00")&amp;"/"&amp;TEXT(MONTH(G332),"00")&amp;"/"&amp;YEAR(G332)))</f>
        <v/>
      </c>
      <c r="C332" s="24"/>
      <c r="D332" s="44"/>
      <c r="E332" s="27"/>
      <c r="F332" s="45" t="str">
        <f aca="false">IF(A332="","",IF(G332="","⛔ التاريخ غلط — اختاره من القائمة أو اكتبه كامل 05/10/2026",IF(OR(H332&lt;1,H332&gt;NW),"⛔ التاريخ برّا السنة",IF(AND(N(D332)&gt;0,N(J332)&gt;0,D332&gt;ADV_CAP*J332),"⚠️ أكثر من "&amp;TEXT(ADV_CAP,"0%")&amp;" من شغله ("&amp;TEXT(J332,"0.000")&amp;")",""))))</f>
        <v/>
      </c>
      <c r="G332" s="0" t="str">
        <f aca="true">IF(A332="","",IF(ISNUMBER(A332),IF(A332&gt;=36526,A332,""),IFERROR(DATE(VALUE(RIGHT(RIGHT(TRIM(A332),10),4)),VALUE(MID(RIGHT(TRIM(A332),10),4,2)),VALUE(LEFT(RIGHT(TRIM(A332),10),2))),IFERROR(TODAY()-MOD(WEEKDAY(TODAY(),1)-MATCH(TRIM(A332),{"الأحد","الاثنين","الثلاثاء","الأربعاء","الخميس","الجمعة","السبت"},0),7),IFERROR(DATEVALUE(A332),"")))))</f>
        <v/>
      </c>
      <c r="H332" s="0" t="str">
        <f aca="false">IF(G332="","",INT((G332-WEEK_ONE)/7)+1)</f>
        <v/>
      </c>
      <c r="I332" s="0" t="str">
        <f aca="false">IF(H332="","",IF(OR(H332&lt;1,H332&gt;NW),"",INDEX(WMON,H332)))</f>
        <v/>
      </c>
      <c r="J332" s="0" t="str">
        <f aca="false">IF(OR(G332="",H332="",C332=""),"",IF(C332="عمر المصري",SUMIFS('ساعات عمر'!$H$5:$H$746,'ساعات عمر'!$A$5:$A$746,"&gt;="&amp;(WEEK_ONE+7*(H332-1)),'ساعات عمر'!$A$5:$A$746,"&lt;="&amp;G332),SUMIFS('ساعات عبدالعزيز'!$F$5:$F$746,'ساعات عبدالعزيز'!$A$5:$A$746,"&gt;="&amp;(WEEK_ONE+7*(H332-1)),'ساعات عبدالعزيز'!$A$5:$A$746,"&lt;="&amp;G332)))</f>
        <v/>
      </c>
    </row>
    <row r="333" customFormat="false" ht="15" hidden="false" customHeight="false" outlineLevel="0" collapsed="false">
      <c r="A333" s="43"/>
      <c r="B333" s="23" t="str">
        <f aca="false">IF(G333="","",CHOOSE(WEEKDAY(G333,1),"الأحد","الاثنين","الثلاثاء","الأربعاء","الخميس","الجمعة","السبت")&amp;IF(OR(ISNUMBER(A333),LEN(TRIM(A333))&gt;=10),"","  "&amp;TEXT(DAY(G333),"00")&amp;"/"&amp;TEXT(MONTH(G333),"00")&amp;"/"&amp;YEAR(G333)))</f>
        <v/>
      </c>
      <c r="C333" s="24"/>
      <c r="D333" s="44"/>
      <c r="E333" s="27"/>
      <c r="F333" s="45" t="str">
        <f aca="false">IF(A333="","",IF(G333="","⛔ التاريخ غلط — اختاره من القائمة أو اكتبه كامل 05/10/2026",IF(OR(H333&lt;1,H333&gt;NW),"⛔ التاريخ برّا السنة",IF(AND(N(D333)&gt;0,N(J333)&gt;0,D333&gt;ADV_CAP*J333),"⚠️ أكثر من "&amp;TEXT(ADV_CAP,"0%")&amp;" من شغله ("&amp;TEXT(J333,"0.000")&amp;")",""))))</f>
        <v/>
      </c>
      <c r="G333" s="0" t="str">
        <f aca="true">IF(A333="","",IF(ISNUMBER(A333),IF(A333&gt;=36526,A333,""),IFERROR(DATE(VALUE(RIGHT(RIGHT(TRIM(A333),10),4)),VALUE(MID(RIGHT(TRIM(A333),10),4,2)),VALUE(LEFT(RIGHT(TRIM(A333),10),2))),IFERROR(TODAY()-MOD(WEEKDAY(TODAY(),1)-MATCH(TRIM(A333),{"الأحد","الاثنين","الثلاثاء","الأربعاء","الخميس","الجمعة","السبت"},0),7),IFERROR(DATEVALUE(A333),"")))))</f>
        <v/>
      </c>
      <c r="H333" s="0" t="str">
        <f aca="false">IF(G333="","",INT((G333-WEEK_ONE)/7)+1)</f>
        <v/>
      </c>
      <c r="I333" s="0" t="str">
        <f aca="false">IF(H333="","",IF(OR(H333&lt;1,H333&gt;NW),"",INDEX(WMON,H333)))</f>
        <v/>
      </c>
      <c r="J333" s="0" t="str">
        <f aca="false">IF(OR(G333="",H333="",C333=""),"",IF(C333="عمر المصري",SUMIFS('ساعات عمر'!$H$5:$H$746,'ساعات عمر'!$A$5:$A$746,"&gt;="&amp;(WEEK_ONE+7*(H333-1)),'ساعات عمر'!$A$5:$A$746,"&lt;="&amp;G333),SUMIFS('ساعات عبدالعزيز'!$F$5:$F$746,'ساعات عبدالعزيز'!$A$5:$A$746,"&gt;="&amp;(WEEK_ONE+7*(H333-1)),'ساعات عبدالعزيز'!$A$5:$A$746,"&lt;="&amp;G333)))</f>
        <v/>
      </c>
    </row>
    <row r="334" customFormat="false" ht="15" hidden="false" customHeight="false" outlineLevel="0" collapsed="false">
      <c r="A334" s="43"/>
      <c r="B334" s="23" t="str">
        <f aca="false">IF(G334="","",CHOOSE(WEEKDAY(G334,1),"الأحد","الاثنين","الثلاثاء","الأربعاء","الخميس","الجمعة","السبت")&amp;IF(OR(ISNUMBER(A334),LEN(TRIM(A334))&gt;=10),"","  "&amp;TEXT(DAY(G334),"00")&amp;"/"&amp;TEXT(MONTH(G334),"00")&amp;"/"&amp;YEAR(G334)))</f>
        <v/>
      </c>
      <c r="C334" s="24"/>
      <c r="D334" s="44"/>
      <c r="E334" s="27"/>
      <c r="F334" s="45" t="str">
        <f aca="false">IF(A334="","",IF(G334="","⛔ التاريخ غلط — اختاره من القائمة أو اكتبه كامل 05/10/2026",IF(OR(H334&lt;1,H334&gt;NW),"⛔ التاريخ برّا السنة",IF(AND(N(D334)&gt;0,N(J334)&gt;0,D334&gt;ADV_CAP*J334),"⚠️ أكثر من "&amp;TEXT(ADV_CAP,"0%")&amp;" من شغله ("&amp;TEXT(J334,"0.000")&amp;")",""))))</f>
        <v/>
      </c>
      <c r="G334" s="0" t="str">
        <f aca="true">IF(A334="","",IF(ISNUMBER(A334),IF(A334&gt;=36526,A334,""),IFERROR(DATE(VALUE(RIGHT(RIGHT(TRIM(A334),10),4)),VALUE(MID(RIGHT(TRIM(A334),10),4,2)),VALUE(LEFT(RIGHT(TRIM(A334),10),2))),IFERROR(TODAY()-MOD(WEEKDAY(TODAY(),1)-MATCH(TRIM(A334),{"الأحد","الاثنين","الثلاثاء","الأربعاء","الخميس","الجمعة","السبت"},0),7),IFERROR(DATEVALUE(A334),"")))))</f>
        <v/>
      </c>
      <c r="H334" s="0" t="str">
        <f aca="false">IF(G334="","",INT((G334-WEEK_ONE)/7)+1)</f>
        <v/>
      </c>
      <c r="I334" s="0" t="str">
        <f aca="false">IF(H334="","",IF(OR(H334&lt;1,H334&gt;NW),"",INDEX(WMON,H334)))</f>
        <v/>
      </c>
      <c r="J334" s="0" t="str">
        <f aca="false">IF(OR(G334="",H334="",C334=""),"",IF(C334="عمر المصري",SUMIFS('ساعات عمر'!$H$5:$H$746,'ساعات عمر'!$A$5:$A$746,"&gt;="&amp;(WEEK_ONE+7*(H334-1)),'ساعات عمر'!$A$5:$A$746,"&lt;="&amp;G334),SUMIFS('ساعات عبدالعزيز'!$F$5:$F$746,'ساعات عبدالعزيز'!$A$5:$A$746,"&gt;="&amp;(WEEK_ONE+7*(H334-1)),'ساعات عبدالعزيز'!$A$5:$A$746,"&lt;="&amp;G334)))</f>
        <v/>
      </c>
    </row>
    <row r="335" customFormat="false" ht="15" hidden="false" customHeight="false" outlineLevel="0" collapsed="false">
      <c r="A335" s="43"/>
      <c r="B335" s="23" t="str">
        <f aca="false">IF(G335="","",CHOOSE(WEEKDAY(G335,1),"الأحد","الاثنين","الثلاثاء","الأربعاء","الخميس","الجمعة","السبت")&amp;IF(OR(ISNUMBER(A335),LEN(TRIM(A335))&gt;=10),"","  "&amp;TEXT(DAY(G335),"00")&amp;"/"&amp;TEXT(MONTH(G335),"00")&amp;"/"&amp;YEAR(G335)))</f>
        <v/>
      </c>
      <c r="C335" s="24"/>
      <c r="D335" s="44"/>
      <c r="E335" s="27"/>
      <c r="F335" s="45" t="str">
        <f aca="false">IF(A335="","",IF(G335="","⛔ التاريخ غلط — اختاره من القائمة أو اكتبه كامل 05/10/2026",IF(OR(H335&lt;1,H335&gt;NW),"⛔ التاريخ برّا السنة",IF(AND(N(D335)&gt;0,N(J335)&gt;0,D335&gt;ADV_CAP*J335),"⚠️ أكثر من "&amp;TEXT(ADV_CAP,"0%")&amp;" من شغله ("&amp;TEXT(J335,"0.000")&amp;")",""))))</f>
        <v/>
      </c>
      <c r="G335" s="0" t="str">
        <f aca="true">IF(A335="","",IF(ISNUMBER(A335),IF(A335&gt;=36526,A335,""),IFERROR(DATE(VALUE(RIGHT(RIGHT(TRIM(A335),10),4)),VALUE(MID(RIGHT(TRIM(A335),10),4,2)),VALUE(LEFT(RIGHT(TRIM(A335),10),2))),IFERROR(TODAY()-MOD(WEEKDAY(TODAY(),1)-MATCH(TRIM(A335),{"الأحد","الاثنين","الثلاثاء","الأربعاء","الخميس","الجمعة","السبت"},0),7),IFERROR(DATEVALUE(A335),"")))))</f>
        <v/>
      </c>
      <c r="H335" s="0" t="str">
        <f aca="false">IF(G335="","",INT((G335-WEEK_ONE)/7)+1)</f>
        <v/>
      </c>
      <c r="I335" s="0" t="str">
        <f aca="false">IF(H335="","",IF(OR(H335&lt;1,H335&gt;NW),"",INDEX(WMON,H335)))</f>
        <v/>
      </c>
      <c r="J335" s="0" t="str">
        <f aca="false">IF(OR(G335="",H335="",C335=""),"",IF(C335="عمر المصري",SUMIFS('ساعات عمر'!$H$5:$H$746,'ساعات عمر'!$A$5:$A$746,"&gt;="&amp;(WEEK_ONE+7*(H335-1)),'ساعات عمر'!$A$5:$A$746,"&lt;="&amp;G335),SUMIFS('ساعات عبدالعزيز'!$F$5:$F$746,'ساعات عبدالعزيز'!$A$5:$A$746,"&gt;="&amp;(WEEK_ONE+7*(H335-1)),'ساعات عبدالعزيز'!$A$5:$A$746,"&lt;="&amp;G335)))</f>
        <v/>
      </c>
    </row>
    <row r="336" customFormat="false" ht="15" hidden="false" customHeight="false" outlineLevel="0" collapsed="false">
      <c r="A336" s="43"/>
      <c r="B336" s="23" t="str">
        <f aca="false">IF(G336="","",CHOOSE(WEEKDAY(G336,1),"الأحد","الاثنين","الثلاثاء","الأربعاء","الخميس","الجمعة","السبت")&amp;IF(OR(ISNUMBER(A336),LEN(TRIM(A336))&gt;=10),"","  "&amp;TEXT(DAY(G336),"00")&amp;"/"&amp;TEXT(MONTH(G336),"00")&amp;"/"&amp;YEAR(G336)))</f>
        <v/>
      </c>
      <c r="C336" s="24"/>
      <c r="D336" s="44"/>
      <c r="E336" s="27"/>
      <c r="F336" s="45" t="str">
        <f aca="false">IF(A336="","",IF(G336="","⛔ التاريخ غلط — اختاره من القائمة أو اكتبه كامل 05/10/2026",IF(OR(H336&lt;1,H336&gt;NW),"⛔ التاريخ برّا السنة",IF(AND(N(D336)&gt;0,N(J336)&gt;0,D336&gt;ADV_CAP*J336),"⚠️ أكثر من "&amp;TEXT(ADV_CAP,"0%")&amp;" من شغله ("&amp;TEXT(J336,"0.000")&amp;")",""))))</f>
        <v/>
      </c>
      <c r="G336" s="0" t="str">
        <f aca="true">IF(A336="","",IF(ISNUMBER(A336),IF(A336&gt;=36526,A336,""),IFERROR(DATE(VALUE(RIGHT(RIGHT(TRIM(A336),10),4)),VALUE(MID(RIGHT(TRIM(A336),10),4,2)),VALUE(LEFT(RIGHT(TRIM(A336),10),2))),IFERROR(TODAY()-MOD(WEEKDAY(TODAY(),1)-MATCH(TRIM(A336),{"الأحد","الاثنين","الثلاثاء","الأربعاء","الخميس","الجمعة","السبت"},0),7),IFERROR(DATEVALUE(A336),"")))))</f>
        <v/>
      </c>
      <c r="H336" s="0" t="str">
        <f aca="false">IF(G336="","",INT((G336-WEEK_ONE)/7)+1)</f>
        <v/>
      </c>
      <c r="I336" s="0" t="str">
        <f aca="false">IF(H336="","",IF(OR(H336&lt;1,H336&gt;NW),"",INDEX(WMON,H336)))</f>
        <v/>
      </c>
      <c r="J336" s="0" t="str">
        <f aca="false">IF(OR(G336="",H336="",C336=""),"",IF(C336="عمر المصري",SUMIFS('ساعات عمر'!$H$5:$H$746,'ساعات عمر'!$A$5:$A$746,"&gt;="&amp;(WEEK_ONE+7*(H336-1)),'ساعات عمر'!$A$5:$A$746,"&lt;="&amp;G336),SUMIFS('ساعات عبدالعزيز'!$F$5:$F$746,'ساعات عبدالعزيز'!$A$5:$A$746,"&gt;="&amp;(WEEK_ONE+7*(H336-1)),'ساعات عبدالعزيز'!$A$5:$A$746,"&lt;="&amp;G336)))</f>
        <v/>
      </c>
    </row>
    <row r="337" customFormat="false" ht="15" hidden="false" customHeight="false" outlineLevel="0" collapsed="false">
      <c r="A337" s="43"/>
      <c r="B337" s="23" t="str">
        <f aca="false">IF(G337="","",CHOOSE(WEEKDAY(G337,1),"الأحد","الاثنين","الثلاثاء","الأربعاء","الخميس","الجمعة","السبت")&amp;IF(OR(ISNUMBER(A337),LEN(TRIM(A337))&gt;=10),"","  "&amp;TEXT(DAY(G337),"00")&amp;"/"&amp;TEXT(MONTH(G337),"00")&amp;"/"&amp;YEAR(G337)))</f>
        <v/>
      </c>
      <c r="C337" s="24"/>
      <c r="D337" s="44"/>
      <c r="E337" s="27"/>
      <c r="F337" s="45" t="str">
        <f aca="false">IF(A337="","",IF(G337="","⛔ التاريخ غلط — اختاره من القائمة أو اكتبه كامل 05/10/2026",IF(OR(H337&lt;1,H337&gt;NW),"⛔ التاريخ برّا السنة",IF(AND(N(D337)&gt;0,N(J337)&gt;0,D337&gt;ADV_CAP*J337),"⚠️ أكثر من "&amp;TEXT(ADV_CAP,"0%")&amp;" من شغله ("&amp;TEXT(J337,"0.000")&amp;")",""))))</f>
        <v/>
      </c>
      <c r="G337" s="0" t="str">
        <f aca="true">IF(A337="","",IF(ISNUMBER(A337),IF(A337&gt;=36526,A337,""),IFERROR(DATE(VALUE(RIGHT(RIGHT(TRIM(A337),10),4)),VALUE(MID(RIGHT(TRIM(A337),10),4,2)),VALUE(LEFT(RIGHT(TRIM(A337),10),2))),IFERROR(TODAY()-MOD(WEEKDAY(TODAY(),1)-MATCH(TRIM(A337),{"الأحد","الاثنين","الثلاثاء","الأربعاء","الخميس","الجمعة","السبت"},0),7),IFERROR(DATEVALUE(A337),"")))))</f>
        <v/>
      </c>
      <c r="H337" s="0" t="str">
        <f aca="false">IF(G337="","",INT((G337-WEEK_ONE)/7)+1)</f>
        <v/>
      </c>
      <c r="I337" s="0" t="str">
        <f aca="false">IF(H337="","",IF(OR(H337&lt;1,H337&gt;NW),"",INDEX(WMON,H337)))</f>
        <v/>
      </c>
      <c r="J337" s="0" t="str">
        <f aca="false">IF(OR(G337="",H337="",C337=""),"",IF(C337="عمر المصري",SUMIFS('ساعات عمر'!$H$5:$H$746,'ساعات عمر'!$A$5:$A$746,"&gt;="&amp;(WEEK_ONE+7*(H337-1)),'ساعات عمر'!$A$5:$A$746,"&lt;="&amp;G337),SUMIFS('ساعات عبدالعزيز'!$F$5:$F$746,'ساعات عبدالعزيز'!$A$5:$A$746,"&gt;="&amp;(WEEK_ONE+7*(H337-1)),'ساعات عبدالعزيز'!$A$5:$A$746,"&lt;="&amp;G337)))</f>
        <v/>
      </c>
    </row>
    <row r="338" customFormat="false" ht="15" hidden="false" customHeight="false" outlineLevel="0" collapsed="false">
      <c r="A338" s="43"/>
      <c r="B338" s="23" t="str">
        <f aca="false">IF(G338="","",CHOOSE(WEEKDAY(G338,1),"الأحد","الاثنين","الثلاثاء","الأربعاء","الخميس","الجمعة","السبت")&amp;IF(OR(ISNUMBER(A338),LEN(TRIM(A338))&gt;=10),"","  "&amp;TEXT(DAY(G338),"00")&amp;"/"&amp;TEXT(MONTH(G338),"00")&amp;"/"&amp;YEAR(G338)))</f>
        <v/>
      </c>
      <c r="C338" s="24"/>
      <c r="D338" s="44"/>
      <c r="E338" s="27"/>
      <c r="F338" s="45" t="str">
        <f aca="false">IF(A338="","",IF(G338="","⛔ التاريخ غلط — اختاره من القائمة أو اكتبه كامل 05/10/2026",IF(OR(H338&lt;1,H338&gt;NW),"⛔ التاريخ برّا السنة",IF(AND(N(D338)&gt;0,N(J338)&gt;0,D338&gt;ADV_CAP*J338),"⚠️ أكثر من "&amp;TEXT(ADV_CAP,"0%")&amp;" من شغله ("&amp;TEXT(J338,"0.000")&amp;")",""))))</f>
        <v/>
      </c>
      <c r="G338" s="0" t="str">
        <f aca="true">IF(A338="","",IF(ISNUMBER(A338),IF(A338&gt;=36526,A338,""),IFERROR(DATE(VALUE(RIGHT(RIGHT(TRIM(A338),10),4)),VALUE(MID(RIGHT(TRIM(A338),10),4,2)),VALUE(LEFT(RIGHT(TRIM(A338),10),2))),IFERROR(TODAY()-MOD(WEEKDAY(TODAY(),1)-MATCH(TRIM(A338),{"الأحد","الاثنين","الثلاثاء","الأربعاء","الخميس","الجمعة","السبت"},0),7),IFERROR(DATEVALUE(A338),"")))))</f>
        <v/>
      </c>
      <c r="H338" s="0" t="str">
        <f aca="false">IF(G338="","",INT((G338-WEEK_ONE)/7)+1)</f>
        <v/>
      </c>
      <c r="I338" s="0" t="str">
        <f aca="false">IF(H338="","",IF(OR(H338&lt;1,H338&gt;NW),"",INDEX(WMON,H338)))</f>
        <v/>
      </c>
      <c r="J338" s="0" t="str">
        <f aca="false">IF(OR(G338="",H338="",C338=""),"",IF(C338="عمر المصري",SUMIFS('ساعات عمر'!$H$5:$H$746,'ساعات عمر'!$A$5:$A$746,"&gt;="&amp;(WEEK_ONE+7*(H338-1)),'ساعات عمر'!$A$5:$A$746,"&lt;="&amp;G338),SUMIFS('ساعات عبدالعزيز'!$F$5:$F$746,'ساعات عبدالعزيز'!$A$5:$A$746,"&gt;="&amp;(WEEK_ONE+7*(H338-1)),'ساعات عبدالعزيز'!$A$5:$A$746,"&lt;="&amp;G338)))</f>
        <v/>
      </c>
    </row>
    <row r="339" customFormat="false" ht="15" hidden="false" customHeight="false" outlineLevel="0" collapsed="false">
      <c r="A339" s="43"/>
      <c r="B339" s="23" t="str">
        <f aca="false">IF(G339="","",CHOOSE(WEEKDAY(G339,1),"الأحد","الاثنين","الثلاثاء","الأربعاء","الخميس","الجمعة","السبت")&amp;IF(OR(ISNUMBER(A339),LEN(TRIM(A339))&gt;=10),"","  "&amp;TEXT(DAY(G339),"00")&amp;"/"&amp;TEXT(MONTH(G339),"00")&amp;"/"&amp;YEAR(G339)))</f>
        <v/>
      </c>
      <c r="C339" s="24"/>
      <c r="D339" s="44"/>
      <c r="E339" s="27"/>
      <c r="F339" s="45" t="str">
        <f aca="false">IF(A339="","",IF(G339="","⛔ التاريخ غلط — اختاره من القائمة أو اكتبه كامل 05/10/2026",IF(OR(H339&lt;1,H339&gt;NW),"⛔ التاريخ برّا السنة",IF(AND(N(D339)&gt;0,N(J339)&gt;0,D339&gt;ADV_CAP*J339),"⚠️ أكثر من "&amp;TEXT(ADV_CAP,"0%")&amp;" من شغله ("&amp;TEXT(J339,"0.000")&amp;")",""))))</f>
        <v/>
      </c>
      <c r="G339" s="0" t="str">
        <f aca="true">IF(A339="","",IF(ISNUMBER(A339),IF(A339&gt;=36526,A339,""),IFERROR(DATE(VALUE(RIGHT(RIGHT(TRIM(A339),10),4)),VALUE(MID(RIGHT(TRIM(A339),10),4,2)),VALUE(LEFT(RIGHT(TRIM(A339),10),2))),IFERROR(TODAY()-MOD(WEEKDAY(TODAY(),1)-MATCH(TRIM(A339),{"الأحد","الاثنين","الثلاثاء","الأربعاء","الخميس","الجمعة","السبت"},0),7),IFERROR(DATEVALUE(A339),"")))))</f>
        <v/>
      </c>
      <c r="H339" s="0" t="str">
        <f aca="false">IF(G339="","",INT((G339-WEEK_ONE)/7)+1)</f>
        <v/>
      </c>
      <c r="I339" s="0" t="str">
        <f aca="false">IF(H339="","",IF(OR(H339&lt;1,H339&gt;NW),"",INDEX(WMON,H339)))</f>
        <v/>
      </c>
      <c r="J339" s="0" t="str">
        <f aca="false">IF(OR(G339="",H339="",C339=""),"",IF(C339="عمر المصري",SUMIFS('ساعات عمر'!$H$5:$H$746,'ساعات عمر'!$A$5:$A$746,"&gt;="&amp;(WEEK_ONE+7*(H339-1)),'ساعات عمر'!$A$5:$A$746,"&lt;="&amp;G339),SUMIFS('ساعات عبدالعزيز'!$F$5:$F$746,'ساعات عبدالعزيز'!$A$5:$A$746,"&gt;="&amp;(WEEK_ONE+7*(H339-1)),'ساعات عبدالعزيز'!$A$5:$A$746,"&lt;="&amp;G339)))</f>
        <v/>
      </c>
    </row>
    <row r="340" customFormat="false" ht="15" hidden="false" customHeight="false" outlineLevel="0" collapsed="false">
      <c r="A340" s="43"/>
      <c r="B340" s="23" t="str">
        <f aca="false">IF(G340="","",CHOOSE(WEEKDAY(G340,1),"الأحد","الاثنين","الثلاثاء","الأربعاء","الخميس","الجمعة","السبت")&amp;IF(OR(ISNUMBER(A340),LEN(TRIM(A340))&gt;=10),"","  "&amp;TEXT(DAY(G340),"00")&amp;"/"&amp;TEXT(MONTH(G340),"00")&amp;"/"&amp;YEAR(G340)))</f>
        <v/>
      </c>
      <c r="C340" s="24"/>
      <c r="D340" s="44"/>
      <c r="E340" s="27"/>
      <c r="F340" s="45" t="str">
        <f aca="false">IF(A340="","",IF(G340="","⛔ التاريخ غلط — اختاره من القائمة أو اكتبه كامل 05/10/2026",IF(OR(H340&lt;1,H340&gt;NW),"⛔ التاريخ برّا السنة",IF(AND(N(D340)&gt;0,N(J340)&gt;0,D340&gt;ADV_CAP*J340),"⚠️ أكثر من "&amp;TEXT(ADV_CAP,"0%")&amp;" من شغله ("&amp;TEXT(J340,"0.000")&amp;")",""))))</f>
        <v/>
      </c>
      <c r="G340" s="0" t="str">
        <f aca="true">IF(A340="","",IF(ISNUMBER(A340),IF(A340&gt;=36526,A340,""),IFERROR(DATE(VALUE(RIGHT(RIGHT(TRIM(A340),10),4)),VALUE(MID(RIGHT(TRIM(A340),10),4,2)),VALUE(LEFT(RIGHT(TRIM(A340),10),2))),IFERROR(TODAY()-MOD(WEEKDAY(TODAY(),1)-MATCH(TRIM(A340),{"الأحد","الاثنين","الثلاثاء","الأربعاء","الخميس","الجمعة","السبت"},0),7),IFERROR(DATEVALUE(A340),"")))))</f>
        <v/>
      </c>
      <c r="H340" s="0" t="str">
        <f aca="false">IF(G340="","",INT((G340-WEEK_ONE)/7)+1)</f>
        <v/>
      </c>
      <c r="I340" s="0" t="str">
        <f aca="false">IF(H340="","",IF(OR(H340&lt;1,H340&gt;NW),"",INDEX(WMON,H340)))</f>
        <v/>
      </c>
      <c r="J340" s="0" t="str">
        <f aca="false">IF(OR(G340="",H340="",C340=""),"",IF(C340="عمر المصري",SUMIFS('ساعات عمر'!$H$5:$H$746,'ساعات عمر'!$A$5:$A$746,"&gt;="&amp;(WEEK_ONE+7*(H340-1)),'ساعات عمر'!$A$5:$A$746,"&lt;="&amp;G340),SUMIFS('ساعات عبدالعزيز'!$F$5:$F$746,'ساعات عبدالعزيز'!$A$5:$A$746,"&gt;="&amp;(WEEK_ONE+7*(H340-1)),'ساعات عبدالعزيز'!$A$5:$A$746,"&lt;="&amp;G340)))</f>
        <v/>
      </c>
    </row>
    <row r="341" customFormat="false" ht="15" hidden="false" customHeight="false" outlineLevel="0" collapsed="false">
      <c r="A341" s="43"/>
      <c r="B341" s="23" t="str">
        <f aca="false">IF(G341="","",CHOOSE(WEEKDAY(G341,1),"الأحد","الاثنين","الثلاثاء","الأربعاء","الخميس","الجمعة","السبت")&amp;IF(OR(ISNUMBER(A341),LEN(TRIM(A341))&gt;=10),"","  "&amp;TEXT(DAY(G341),"00")&amp;"/"&amp;TEXT(MONTH(G341),"00")&amp;"/"&amp;YEAR(G341)))</f>
        <v/>
      </c>
      <c r="C341" s="24"/>
      <c r="D341" s="44"/>
      <c r="E341" s="27"/>
      <c r="F341" s="45" t="str">
        <f aca="false">IF(A341="","",IF(G341="","⛔ التاريخ غلط — اختاره من القائمة أو اكتبه كامل 05/10/2026",IF(OR(H341&lt;1,H341&gt;NW),"⛔ التاريخ برّا السنة",IF(AND(N(D341)&gt;0,N(J341)&gt;0,D341&gt;ADV_CAP*J341),"⚠️ أكثر من "&amp;TEXT(ADV_CAP,"0%")&amp;" من شغله ("&amp;TEXT(J341,"0.000")&amp;")",""))))</f>
        <v/>
      </c>
      <c r="G341" s="0" t="str">
        <f aca="true">IF(A341="","",IF(ISNUMBER(A341),IF(A341&gt;=36526,A341,""),IFERROR(DATE(VALUE(RIGHT(RIGHT(TRIM(A341),10),4)),VALUE(MID(RIGHT(TRIM(A341),10),4,2)),VALUE(LEFT(RIGHT(TRIM(A341),10),2))),IFERROR(TODAY()-MOD(WEEKDAY(TODAY(),1)-MATCH(TRIM(A341),{"الأحد","الاثنين","الثلاثاء","الأربعاء","الخميس","الجمعة","السبت"},0),7),IFERROR(DATEVALUE(A341),"")))))</f>
        <v/>
      </c>
      <c r="H341" s="0" t="str">
        <f aca="false">IF(G341="","",INT((G341-WEEK_ONE)/7)+1)</f>
        <v/>
      </c>
      <c r="I341" s="0" t="str">
        <f aca="false">IF(H341="","",IF(OR(H341&lt;1,H341&gt;NW),"",INDEX(WMON,H341)))</f>
        <v/>
      </c>
      <c r="J341" s="0" t="str">
        <f aca="false">IF(OR(G341="",H341="",C341=""),"",IF(C341="عمر المصري",SUMIFS('ساعات عمر'!$H$5:$H$746,'ساعات عمر'!$A$5:$A$746,"&gt;="&amp;(WEEK_ONE+7*(H341-1)),'ساعات عمر'!$A$5:$A$746,"&lt;="&amp;G341),SUMIFS('ساعات عبدالعزيز'!$F$5:$F$746,'ساعات عبدالعزيز'!$A$5:$A$746,"&gt;="&amp;(WEEK_ONE+7*(H341-1)),'ساعات عبدالعزيز'!$A$5:$A$746,"&lt;="&amp;G341)))</f>
        <v/>
      </c>
    </row>
    <row r="342" customFormat="false" ht="15" hidden="false" customHeight="false" outlineLevel="0" collapsed="false">
      <c r="A342" s="43"/>
      <c r="B342" s="23" t="str">
        <f aca="false">IF(G342="","",CHOOSE(WEEKDAY(G342,1),"الأحد","الاثنين","الثلاثاء","الأربعاء","الخميس","الجمعة","السبت")&amp;IF(OR(ISNUMBER(A342),LEN(TRIM(A342))&gt;=10),"","  "&amp;TEXT(DAY(G342),"00")&amp;"/"&amp;TEXT(MONTH(G342),"00")&amp;"/"&amp;YEAR(G342)))</f>
        <v/>
      </c>
      <c r="C342" s="24"/>
      <c r="D342" s="44"/>
      <c r="E342" s="27"/>
      <c r="F342" s="45" t="str">
        <f aca="false">IF(A342="","",IF(G342="","⛔ التاريخ غلط — اختاره من القائمة أو اكتبه كامل 05/10/2026",IF(OR(H342&lt;1,H342&gt;NW),"⛔ التاريخ برّا السنة",IF(AND(N(D342)&gt;0,N(J342)&gt;0,D342&gt;ADV_CAP*J342),"⚠️ أكثر من "&amp;TEXT(ADV_CAP,"0%")&amp;" من شغله ("&amp;TEXT(J342,"0.000")&amp;")",""))))</f>
        <v/>
      </c>
      <c r="G342" s="0" t="str">
        <f aca="true">IF(A342="","",IF(ISNUMBER(A342),IF(A342&gt;=36526,A342,""),IFERROR(DATE(VALUE(RIGHT(RIGHT(TRIM(A342),10),4)),VALUE(MID(RIGHT(TRIM(A342),10),4,2)),VALUE(LEFT(RIGHT(TRIM(A342),10),2))),IFERROR(TODAY()-MOD(WEEKDAY(TODAY(),1)-MATCH(TRIM(A342),{"الأحد","الاثنين","الثلاثاء","الأربعاء","الخميس","الجمعة","السبت"},0),7),IFERROR(DATEVALUE(A342),"")))))</f>
        <v/>
      </c>
      <c r="H342" s="0" t="str">
        <f aca="false">IF(G342="","",INT((G342-WEEK_ONE)/7)+1)</f>
        <v/>
      </c>
      <c r="I342" s="0" t="str">
        <f aca="false">IF(H342="","",IF(OR(H342&lt;1,H342&gt;NW),"",INDEX(WMON,H342)))</f>
        <v/>
      </c>
      <c r="J342" s="0" t="str">
        <f aca="false">IF(OR(G342="",H342="",C342=""),"",IF(C342="عمر المصري",SUMIFS('ساعات عمر'!$H$5:$H$746,'ساعات عمر'!$A$5:$A$746,"&gt;="&amp;(WEEK_ONE+7*(H342-1)),'ساعات عمر'!$A$5:$A$746,"&lt;="&amp;G342),SUMIFS('ساعات عبدالعزيز'!$F$5:$F$746,'ساعات عبدالعزيز'!$A$5:$A$746,"&gt;="&amp;(WEEK_ONE+7*(H342-1)),'ساعات عبدالعزيز'!$A$5:$A$746,"&lt;="&amp;G342)))</f>
        <v/>
      </c>
    </row>
    <row r="343" customFormat="false" ht="15" hidden="false" customHeight="false" outlineLevel="0" collapsed="false">
      <c r="A343" s="43"/>
      <c r="B343" s="23" t="str">
        <f aca="false">IF(G343="","",CHOOSE(WEEKDAY(G343,1),"الأحد","الاثنين","الثلاثاء","الأربعاء","الخميس","الجمعة","السبت")&amp;IF(OR(ISNUMBER(A343),LEN(TRIM(A343))&gt;=10),"","  "&amp;TEXT(DAY(G343),"00")&amp;"/"&amp;TEXT(MONTH(G343),"00")&amp;"/"&amp;YEAR(G343)))</f>
        <v/>
      </c>
      <c r="C343" s="24"/>
      <c r="D343" s="44"/>
      <c r="E343" s="27"/>
      <c r="F343" s="45" t="str">
        <f aca="false">IF(A343="","",IF(G343="","⛔ التاريخ غلط — اختاره من القائمة أو اكتبه كامل 05/10/2026",IF(OR(H343&lt;1,H343&gt;NW),"⛔ التاريخ برّا السنة",IF(AND(N(D343)&gt;0,N(J343)&gt;0,D343&gt;ADV_CAP*J343),"⚠️ أكثر من "&amp;TEXT(ADV_CAP,"0%")&amp;" من شغله ("&amp;TEXT(J343,"0.000")&amp;")",""))))</f>
        <v/>
      </c>
      <c r="G343" s="0" t="str">
        <f aca="true">IF(A343="","",IF(ISNUMBER(A343),IF(A343&gt;=36526,A343,""),IFERROR(DATE(VALUE(RIGHT(RIGHT(TRIM(A343),10),4)),VALUE(MID(RIGHT(TRIM(A343),10),4,2)),VALUE(LEFT(RIGHT(TRIM(A343),10),2))),IFERROR(TODAY()-MOD(WEEKDAY(TODAY(),1)-MATCH(TRIM(A343),{"الأحد","الاثنين","الثلاثاء","الأربعاء","الخميس","الجمعة","السبت"},0),7),IFERROR(DATEVALUE(A343),"")))))</f>
        <v/>
      </c>
      <c r="H343" s="0" t="str">
        <f aca="false">IF(G343="","",INT((G343-WEEK_ONE)/7)+1)</f>
        <v/>
      </c>
      <c r="I343" s="0" t="str">
        <f aca="false">IF(H343="","",IF(OR(H343&lt;1,H343&gt;NW),"",INDEX(WMON,H343)))</f>
        <v/>
      </c>
      <c r="J343" s="0" t="str">
        <f aca="false">IF(OR(G343="",H343="",C343=""),"",IF(C343="عمر المصري",SUMIFS('ساعات عمر'!$H$5:$H$746,'ساعات عمر'!$A$5:$A$746,"&gt;="&amp;(WEEK_ONE+7*(H343-1)),'ساعات عمر'!$A$5:$A$746,"&lt;="&amp;G343),SUMIFS('ساعات عبدالعزيز'!$F$5:$F$746,'ساعات عبدالعزيز'!$A$5:$A$746,"&gt;="&amp;(WEEK_ONE+7*(H343-1)),'ساعات عبدالعزيز'!$A$5:$A$746,"&lt;="&amp;G343)))</f>
        <v/>
      </c>
    </row>
    <row r="344" customFormat="false" ht="15" hidden="false" customHeight="false" outlineLevel="0" collapsed="false">
      <c r="A344" s="43"/>
      <c r="B344" s="23" t="str">
        <f aca="false">IF(G344="","",CHOOSE(WEEKDAY(G344,1),"الأحد","الاثنين","الثلاثاء","الأربعاء","الخميس","الجمعة","السبت")&amp;IF(OR(ISNUMBER(A344),LEN(TRIM(A344))&gt;=10),"","  "&amp;TEXT(DAY(G344),"00")&amp;"/"&amp;TEXT(MONTH(G344),"00")&amp;"/"&amp;YEAR(G344)))</f>
        <v/>
      </c>
      <c r="C344" s="24"/>
      <c r="D344" s="44"/>
      <c r="E344" s="27"/>
      <c r="F344" s="45" t="str">
        <f aca="false">IF(A344="","",IF(G344="","⛔ التاريخ غلط — اختاره من القائمة أو اكتبه كامل 05/10/2026",IF(OR(H344&lt;1,H344&gt;NW),"⛔ التاريخ برّا السنة",IF(AND(N(D344)&gt;0,N(J344)&gt;0,D344&gt;ADV_CAP*J344),"⚠️ أكثر من "&amp;TEXT(ADV_CAP,"0%")&amp;" من شغله ("&amp;TEXT(J344,"0.000")&amp;")",""))))</f>
        <v/>
      </c>
      <c r="G344" s="0" t="str">
        <f aca="true">IF(A344="","",IF(ISNUMBER(A344),IF(A344&gt;=36526,A344,""),IFERROR(DATE(VALUE(RIGHT(RIGHT(TRIM(A344),10),4)),VALUE(MID(RIGHT(TRIM(A344),10),4,2)),VALUE(LEFT(RIGHT(TRIM(A344),10),2))),IFERROR(TODAY()-MOD(WEEKDAY(TODAY(),1)-MATCH(TRIM(A344),{"الأحد","الاثنين","الثلاثاء","الأربعاء","الخميس","الجمعة","السبت"},0),7),IFERROR(DATEVALUE(A344),"")))))</f>
        <v/>
      </c>
      <c r="H344" s="0" t="str">
        <f aca="false">IF(G344="","",INT((G344-WEEK_ONE)/7)+1)</f>
        <v/>
      </c>
      <c r="I344" s="0" t="str">
        <f aca="false">IF(H344="","",IF(OR(H344&lt;1,H344&gt;NW),"",INDEX(WMON,H344)))</f>
        <v/>
      </c>
      <c r="J344" s="0" t="str">
        <f aca="false">IF(OR(G344="",H344="",C344=""),"",IF(C344="عمر المصري",SUMIFS('ساعات عمر'!$H$5:$H$746,'ساعات عمر'!$A$5:$A$746,"&gt;="&amp;(WEEK_ONE+7*(H344-1)),'ساعات عمر'!$A$5:$A$746,"&lt;="&amp;G344),SUMIFS('ساعات عبدالعزيز'!$F$5:$F$746,'ساعات عبدالعزيز'!$A$5:$A$746,"&gt;="&amp;(WEEK_ONE+7*(H344-1)),'ساعات عبدالعزيز'!$A$5:$A$746,"&lt;="&amp;G344)))</f>
        <v/>
      </c>
    </row>
    <row r="345" customFormat="false" ht="15" hidden="false" customHeight="false" outlineLevel="0" collapsed="false">
      <c r="A345" s="43"/>
      <c r="B345" s="23" t="str">
        <f aca="false">IF(G345="","",CHOOSE(WEEKDAY(G345,1),"الأحد","الاثنين","الثلاثاء","الأربعاء","الخميس","الجمعة","السبت")&amp;IF(OR(ISNUMBER(A345),LEN(TRIM(A345))&gt;=10),"","  "&amp;TEXT(DAY(G345),"00")&amp;"/"&amp;TEXT(MONTH(G345),"00")&amp;"/"&amp;YEAR(G345)))</f>
        <v/>
      </c>
      <c r="C345" s="24"/>
      <c r="D345" s="44"/>
      <c r="E345" s="27"/>
      <c r="F345" s="45" t="str">
        <f aca="false">IF(A345="","",IF(G345="","⛔ التاريخ غلط — اختاره من القائمة أو اكتبه كامل 05/10/2026",IF(OR(H345&lt;1,H345&gt;NW),"⛔ التاريخ برّا السنة",IF(AND(N(D345)&gt;0,N(J345)&gt;0,D345&gt;ADV_CAP*J345),"⚠️ أكثر من "&amp;TEXT(ADV_CAP,"0%")&amp;" من شغله ("&amp;TEXT(J345,"0.000")&amp;")",""))))</f>
        <v/>
      </c>
      <c r="G345" s="0" t="str">
        <f aca="true">IF(A345="","",IF(ISNUMBER(A345),IF(A345&gt;=36526,A345,""),IFERROR(DATE(VALUE(RIGHT(RIGHT(TRIM(A345),10),4)),VALUE(MID(RIGHT(TRIM(A345),10),4,2)),VALUE(LEFT(RIGHT(TRIM(A345),10),2))),IFERROR(TODAY()-MOD(WEEKDAY(TODAY(),1)-MATCH(TRIM(A345),{"الأحد","الاثنين","الثلاثاء","الأربعاء","الخميس","الجمعة","السبت"},0),7),IFERROR(DATEVALUE(A345),"")))))</f>
        <v/>
      </c>
      <c r="H345" s="0" t="str">
        <f aca="false">IF(G345="","",INT((G345-WEEK_ONE)/7)+1)</f>
        <v/>
      </c>
      <c r="I345" s="0" t="str">
        <f aca="false">IF(H345="","",IF(OR(H345&lt;1,H345&gt;NW),"",INDEX(WMON,H345)))</f>
        <v/>
      </c>
      <c r="J345" s="0" t="str">
        <f aca="false">IF(OR(G345="",H345="",C345=""),"",IF(C345="عمر المصري",SUMIFS('ساعات عمر'!$H$5:$H$746,'ساعات عمر'!$A$5:$A$746,"&gt;="&amp;(WEEK_ONE+7*(H345-1)),'ساعات عمر'!$A$5:$A$746,"&lt;="&amp;G345),SUMIFS('ساعات عبدالعزيز'!$F$5:$F$746,'ساعات عبدالعزيز'!$A$5:$A$746,"&gt;="&amp;(WEEK_ONE+7*(H345-1)),'ساعات عبدالعزيز'!$A$5:$A$746,"&lt;="&amp;G345)))</f>
        <v/>
      </c>
    </row>
    <row r="346" customFormat="false" ht="15" hidden="false" customHeight="false" outlineLevel="0" collapsed="false">
      <c r="A346" s="43"/>
      <c r="B346" s="23" t="str">
        <f aca="false">IF(G346="","",CHOOSE(WEEKDAY(G346,1),"الأحد","الاثنين","الثلاثاء","الأربعاء","الخميس","الجمعة","السبت")&amp;IF(OR(ISNUMBER(A346),LEN(TRIM(A346))&gt;=10),"","  "&amp;TEXT(DAY(G346),"00")&amp;"/"&amp;TEXT(MONTH(G346),"00")&amp;"/"&amp;YEAR(G346)))</f>
        <v/>
      </c>
      <c r="C346" s="24"/>
      <c r="D346" s="44"/>
      <c r="E346" s="27"/>
      <c r="F346" s="45" t="str">
        <f aca="false">IF(A346="","",IF(G346="","⛔ التاريخ غلط — اختاره من القائمة أو اكتبه كامل 05/10/2026",IF(OR(H346&lt;1,H346&gt;NW),"⛔ التاريخ برّا السنة",IF(AND(N(D346)&gt;0,N(J346)&gt;0,D346&gt;ADV_CAP*J346),"⚠️ أكثر من "&amp;TEXT(ADV_CAP,"0%")&amp;" من شغله ("&amp;TEXT(J346,"0.000")&amp;")",""))))</f>
        <v/>
      </c>
      <c r="G346" s="0" t="str">
        <f aca="true">IF(A346="","",IF(ISNUMBER(A346),IF(A346&gt;=36526,A346,""),IFERROR(DATE(VALUE(RIGHT(RIGHT(TRIM(A346),10),4)),VALUE(MID(RIGHT(TRIM(A346),10),4,2)),VALUE(LEFT(RIGHT(TRIM(A346),10),2))),IFERROR(TODAY()-MOD(WEEKDAY(TODAY(),1)-MATCH(TRIM(A346),{"الأحد","الاثنين","الثلاثاء","الأربعاء","الخميس","الجمعة","السبت"},0),7),IFERROR(DATEVALUE(A346),"")))))</f>
        <v/>
      </c>
      <c r="H346" s="0" t="str">
        <f aca="false">IF(G346="","",INT((G346-WEEK_ONE)/7)+1)</f>
        <v/>
      </c>
      <c r="I346" s="0" t="str">
        <f aca="false">IF(H346="","",IF(OR(H346&lt;1,H346&gt;NW),"",INDEX(WMON,H346)))</f>
        <v/>
      </c>
      <c r="J346" s="0" t="str">
        <f aca="false">IF(OR(G346="",H346="",C346=""),"",IF(C346="عمر المصري",SUMIFS('ساعات عمر'!$H$5:$H$746,'ساعات عمر'!$A$5:$A$746,"&gt;="&amp;(WEEK_ONE+7*(H346-1)),'ساعات عمر'!$A$5:$A$746,"&lt;="&amp;G346),SUMIFS('ساعات عبدالعزيز'!$F$5:$F$746,'ساعات عبدالعزيز'!$A$5:$A$746,"&gt;="&amp;(WEEK_ONE+7*(H346-1)),'ساعات عبدالعزيز'!$A$5:$A$746,"&lt;="&amp;G346)))</f>
        <v/>
      </c>
    </row>
    <row r="347" customFormat="false" ht="15" hidden="false" customHeight="false" outlineLevel="0" collapsed="false">
      <c r="A347" s="43"/>
      <c r="B347" s="23" t="str">
        <f aca="false">IF(G347="","",CHOOSE(WEEKDAY(G347,1),"الأحد","الاثنين","الثلاثاء","الأربعاء","الخميس","الجمعة","السبت")&amp;IF(OR(ISNUMBER(A347),LEN(TRIM(A347))&gt;=10),"","  "&amp;TEXT(DAY(G347),"00")&amp;"/"&amp;TEXT(MONTH(G347),"00")&amp;"/"&amp;YEAR(G347)))</f>
        <v/>
      </c>
      <c r="C347" s="24"/>
      <c r="D347" s="44"/>
      <c r="E347" s="27"/>
      <c r="F347" s="45" t="str">
        <f aca="false">IF(A347="","",IF(G347="","⛔ التاريخ غلط — اختاره من القائمة أو اكتبه كامل 05/10/2026",IF(OR(H347&lt;1,H347&gt;NW),"⛔ التاريخ برّا السنة",IF(AND(N(D347)&gt;0,N(J347)&gt;0,D347&gt;ADV_CAP*J347),"⚠️ أكثر من "&amp;TEXT(ADV_CAP,"0%")&amp;" من شغله ("&amp;TEXT(J347,"0.000")&amp;")",""))))</f>
        <v/>
      </c>
      <c r="G347" s="0" t="str">
        <f aca="true">IF(A347="","",IF(ISNUMBER(A347),IF(A347&gt;=36526,A347,""),IFERROR(DATE(VALUE(RIGHT(RIGHT(TRIM(A347),10),4)),VALUE(MID(RIGHT(TRIM(A347),10),4,2)),VALUE(LEFT(RIGHT(TRIM(A347),10),2))),IFERROR(TODAY()-MOD(WEEKDAY(TODAY(),1)-MATCH(TRIM(A347),{"الأحد","الاثنين","الثلاثاء","الأربعاء","الخميس","الجمعة","السبت"},0),7),IFERROR(DATEVALUE(A347),"")))))</f>
        <v/>
      </c>
      <c r="H347" s="0" t="str">
        <f aca="false">IF(G347="","",INT((G347-WEEK_ONE)/7)+1)</f>
        <v/>
      </c>
      <c r="I347" s="0" t="str">
        <f aca="false">IF(H347="","",IF(OR(H347&lt;1,H347&gt;NW),"",INDEX(WMON,H347)))</f>
        <v/>
      </c>
      <c r="J347" s="0" t="str">
        <f aca="false">IF(OR(G347="",H347="",C347=""),"",IF(C347="عمر المصري",SUMIFS('ساعات عمر'!$H$5:$H$746,'ساعات عمر'!$A$5:$A$746,"&gt;="&amp;(WEEK_ONE+7*(H347-1)),'ساعات عمر'!$A$5:$A$746,"&lt;="&amp;G347),SUMIFS('ساعات عبدالعزيز'!$F$5:$F$746,'ساعات عبدالعزيز'!$A$5:$A$746,"&gt;="&amp;(WEEK_ONE+7*(H347-1)),'ساعات عبدالعزيز'!$A$5:$A$746,"&lt;="&amp;G347)))</f>
        <v/>
      </c>
    </row>
    <row r="348" customFormat="false" ht="15" hidden="false" customHeight="false" outlineLevel="0" collapsed="false">
      <c r="A348" s="43"/>
      <c r="B348" s="23" t="str">
        <f aca="false">IF(G348="","",CHOOSE(WEEKDAY(G348,1),"الأحد","الاثنين","الثلاثاء","الأربعاء","الخميس","الجمعة","السبت")&amp;IF(OR(ISNUMBER(A348),LEN(TRIM(A348))&gt;=10),"","  "&amp;TEXT(DAY(G348),"00")&amp;"/"&amp;TEXT(MONTH(G348),"00")&amp;"/"&amp;YEAR(G348)))</f>
        <v/>
      </c>
      <c r="C348" s="24"/>
      <c r="D348" s="44"/>
      <c r="E348" s="27"/>
      <c r="F348" s="45" t="str">
        <f aca="false">IF(A348="","",IF(G348="","⛔ التاريخ غلط — اختاره من القائمة أو اكتبه كامل 05/10/2026",IF(OR(H348&lt;1,H348&gt;NW),"⛔ التاريخ برّا السنة",IF(AND(N(D348)&gt;0,N(J348)&gt;0,D348&gt;ADV_CAP*J348),"⚠️ أكثر من "&amp;TEXT(ADV_CAP,"0%")&amp;" من شغله ("&amp;TEXT(J348,"0.000")&amp;")",""))))</f>
        <v/>
      </c>
      <c r="G348" s="0" t="str">
        <f aca="true">IF(A348="","",IF(ISNUMBER(A348),IF(A348&gt;=36526,A348,""),IFERROR(DATE(VALUE(RIGHT(RIGHT(TRIM(A348),10),4)),VALUE(MID(RIGHT(TRIM(A348),10),4,2)),VALUE(LEFT(RIGHT(TRIM(A348),10),2))),IFERROR(TODAY()-MOD(WEEKDAY(TODAY(),1)-MATCH(TRIM(A348),{"الأحد","الاثنين","الثلاثاء","الأربعاء","الخميس","الجمعة","السبت"},0),7),IFERROR(DATEVALUE(A348),"")))))</f>
        <v/>
      </c>
      <c r="H348" s="0" t="str">
        <f aca="false">IF(G348="","",INT((G348-WEEK_ONE)/7)+1)</f>
        <v/>
      </c>
      <c r="I348" s="0" t="str">
        <f aca="false">IF(H348="","",IF(OR(H348&lt;1,H348&gt;NW),"",INDEX(WMON,H348)))</f>
        <v/>
      </c>
      <c r="J348" s="0" t="str">
        <f aca="false">IF(OR(G348="",H348="",C348=""),"",IF(C348="عمر المصري",SUMIFS('ساعات عمر'!$H$5:$H$746,'ساعات عمر'!$A$5:$A$746,"&gt;="&amp;(WEEK_ONE+7*(H348-1)),'ساعات عمر'!$A$5:$A$746,"&lt;="&amp;G348),SUMIFS('ساعات عبدالعزيز'!$F$5:$F$746,'ساعات عبدالعزيز'!$A$5:$A$746,"&gt;="&amp;(WEEK_ONE+7*(H348-1)),'ساعات عبدالعزيز'!$A$5:$A$746,"&lt;="&amp;G348)))</f>
        <v/>
      </c>
    </row>
    <row r="349" customFormat="false" ht="15" hidden="false" customHeight="false" outlineLevel="0" collapsed="false">
      <c r="A349" s="43"/>
      <c r="B349" s="23" t="str">
        <f aca="false">IF(G349="","",CHOOSE(WEEKDAY(G349,1),"الأحد","الاثنين","الثلاثاء","الأربعاء","الخميس","الجمعة","السبت")&amp;IF(OR(ISNUMBER(A349),LEN(TRIM(A349))&gt;=10),"","  "&amp;TEXT(DAY(G349),"00")&amp;"/"&amp;TEXT(MONTH(G349),"00")&amp;"/"&amp;YEAR(G349)))</f>
        <v/>
      </c>
      <c r="C349" s="24"/>
      <c r="D349" s="44"/>
      <c r="E349" s="27"/>
      <c r="F349" s="45" t="str">
        <f aca="false">IF(A349="","",IF(G349="","⛔ التاريخ غلط — اختاره من القائمة أو اكتبه كامل 05/10/2026",IF(OR(H349&lt;1,H349&gt;NW),"⛔ التاريخ برّا السنة",IF(AND(N(D349)&gt;0,N(J349)&gt;0,D349&gt;ADV_CAP*J349),"⚠️ أكثر من "&amp;TEXT(ADV_CAP,"0%")&amp;" من شغله ("&amp;TEXT(J349,"0.000")&amp;")",""))))</f>
        <v/>
      </c>
      <c r="G349" s="0" t="str">
        <f aca="true">IF(A349="","",IF(ISNUMBER(A349),IF(A349&gt;=36526,A349,""),IFERROR(DATE(VALUE(RIGHT(RIGHT(TRIM(A349),10),4)),VALUE(MID(RIGHT(TRIM(A349),10),4,2)),VALUE(LEFT(RIGHT(TRIM(A349),10),2))),IFERROR(TODAY()-MOD(WEEKDAY(TODAY(),1)-MATCH(TRIM(A349),{"الأحد","الاثنين","الثلاثاء","الأربعاء","الخميس","الجمعة","السبت"},0),7),IFERROR(DATEVALUE(A349),"")))))</f>
        <v/>
      </c>
      <c r="H349" s="0" t="str">
        <f aca="false">IF(G349="","",INT((G349-WEEK_ONE)/7)+1)</f>
        <v/>
      </c>
      <c r="I349" s="0" t="str">
        <f aca="false">IF(H349="","",IF(OR(H349&lt;1,H349&gt;NW),"",INDEX(WMON,H349)))</f>
        <v/>
      </c>
      <c r="J349" s="0" t="str">
        <f aca="false">IF(OR(G349="",H349="",C349=""),"",IF(C349="عمر المصري",SUMIFS('ساعات عمر'!$H$5:$H$746,'ساعات عمر'!$A$5:$A$746,"&gt;="&amp;(WEEK_ONE+7*(H349-1)),'ساعات عمر'!$A$5:$A$746,"&lt;="&amp;G349),SUMIFS('ساعات عبدالعزيز'!$F$5:$F$746,'ساعات عبدالعزيز'!$A$5:$A$746,"&gt;="&amp;(WEEK_ONE+7*(H349-1)),'ساعات عبدالعزيز'!$A$5:$A$746,"&lt;="&amp;G349)))</f>
        <v/>
      </c>
    </row>
    <row r="350" customFormat="false" ht="15" hidden="false" customHeight="false" outlineLevel="0" collapsed="false">
      <c r="A350" s="43"/>
      <c r="B350" s="23" t="str">
        <f aca="false">IF(G350="","",CHOOSE(WEEKDAY(G350,1),"الأحد","الاثنين","الثلاثاء","الأربعاء","الخميس","الجمعة","السبت")&amp;IF(OR(ISNUMBER(A350),LEN(TRIM(A350))&gt;=10),"","  "&amp;TEXT(DAY(G350),"00")&amp;"/"&amp;TEXT(MONTH(G350),"00")&amp;"/"&amp;YEAR(G350)))</f>
        <v/>
      </c>
      <c r="C350" s="24"/>
      <c r="D350" s="44"/>
      <c r="E350" s="27"/>
      <c r="F350" s="45" t="str">
        <f aca="false">IF(A350="","",IF(G350="","⛔ التاريخ غلط — اختاره من القائمة أو اكتبه كامل 05/10/2026",IF(OR(H350&lt;1,H350&gt;NW),"⛔ التاريخ برّا السنة",IF(AND(N(D350)&gt;0,N(J350)&gt;0,D350&gt;ADV_CAP*J350),"⚠️ أكثر من "&amp;TEXT(ADV_CAP,"0%")&amp;" من شغله ("&amp;TEXT(J350,"0.000")&amp;")",""))))</f>
        <v/>
      </c>
      <c r="G350" s="0" t="str">
        <f aca="true">IF(A350="","",IF(ISNUMBER(A350),IF(A350&gt;=36526,A350,""),IFERROR(DATE(VALUE(RIGHT(RIGHT(TRIM(A350),10),4)),VALUE(MID(RIGHT(TRIM(A350),10),4,2)),VALUE(LEFT(RIGHT(TRIM(A350),10),2))),IFERROR(TODAY()-MOD(WEEKDAY(TODAY(),1)-MATCH(TRIM(A350),{"الأحد","الاثنين","الثلاثاء","الأربعاء","الخميس","الجمعة","السبت"},0),7),IFERROR(DATEVALUE(A350),"")))))</f>
        <v/>
      </c>
      <c r="H350" s="0" t="str">
        <f aca="false">IF(G350="","",INT((G350-WEEK_ONE)/7)+1)</f>
        <v/>
      </c>
      <c r="I350" s="0" t="str">
        <f aca="false">IF(H350="","",IF(OR(H350&lt;1,H350&gt;NW),"",INDEX(WMON,H350)))</f>
        <v/>
      </c>
      <c r="J350" s="0" t="str">
        <f aca="false">IF(OR(G350="",H350="",C350=""),"",IF(C350="عمر المصري",SUMIFS('ساعات عمر'!$H$5:$H$746,'ساعات عمر'!$A$5:$A$746,"&gt;="&amp;(WEEK_ONE+7*(H350-1)),'ساعات عمر'!$A$5:$A$746,"&lt;="&amp;G350),SUMIFS('ساعات عبدالعزيز'!$F$5:$F$746,'ساعات عبدالعزيز'!$A$5:$A$746,"&gt;="&amp;(WEEK_ONE+7*(H350-1)),'ساعات عبدالعزيز'!$A$5:$A$746,"&lt;="&amp;G350)))</f>
        <v/>
      </c>
    </row>
    <row r="351" customFormat="false" ht="15" hidden="false" customHeight="false" outlineLevel="0" collapsed="false">
      <c r="A351" s="43"/>
      <c r="B351" s="23" t="str">
        <f aca="false">IF(G351="","",CHOOSE(WEEKDAY(G351,1),"الأحد","الاثنين","الثلاثاء","الأربعاء","الخميس","الجمعة","السبت")&amp;IF(OR(ISNUMBER(A351),LEN(TRIM(A351))&gt;=10),"","  "&amp;TEXT(DAY(G351),"00")&amp;"/"&amp;TEXT(MONTH(G351),"00")&amp;"/"&amp;YEAR(G351)))</f>
        <v/>
      </c>
      <c r="C351" s="24"/>
      <c r="D351" s="44"/>
      <c r="E351" s="27"/>
      <c r="F351" s="45" t="str">
        <f aca="false">IF(A351="","",IF(G351="","⛔ التاريخ غلط — اختاره من القائمة أو اكتبه كامل 05/10/2026",IF(OR(H351&lt;1,H351&gt;NW),"⛔ التاريخ برّا السنة",IF(AND(N(D351)&gt;0,N(J351)&gt;0,D351&gt;ADV_CAP*J351),"⚠️ أكثر من "&amp;TEXT(ADV_CAP,"0%")&amp;" من شغله ("&amp;TEXT(J351,"0.000")&amp;")",""))))</f>
        <v/>
      </c>
      <c r="G351" s="0" t="str">
        <f aca="true">IF(A351="","",IF(ISNUMBER(A351),IF(A351&gt;=36526,A351,""),IFERROR(DATE(VALUE(RIGHT(RIGHT(TRIM(A351),10),4)),VALUE(MID(RIGHT(TRIM(A351),10),4,2)),VALUE(LEFT(RIGHT(TRIM(A351),10),2))),IFERROR(TODAY()-MOD(WEEKDAY(TODAY(),1)-MATCH(TRIM(A351),{"الأحد","الاثنين","الثلاثاء","الأربعاء","الخميس","الجمعة","السبت"},0),7),IFERROR(DATEVALUE(A351),"")))))</f>
        <v/>
      </c>
      <c r="H351" s="0" t="str">
        <f aca="false">IF(G351="","",INT((G351-WEEK_ONE)/7)+1)</f>
        <v/>
      </c>
      <c r="I351" s="0" t="str">
        <f aca="false">IF(H351="","",IF(OR(H351&lt;1,H351&gt;NW),"",INDEX(WMON,H351)))</f>
        <v/>
      </c>
      <c r="J351" s="0" t="str">
        <f aca="false">IF(OR(G351="",H351="",C351=""),"",IF(C351="عمر المصري",SUMIFS('ساعات عمر'!$H$5:$H$746,'ساعات عمر'!$A$5:$A$746,"&gt;="&amp;(WEEK_ONE+7*(H351-1)),'ساعات عمر'!$A$5:$A$746,"&lt;="&amp;G351),SUMIFS('ساعات عبدالعزيز'!$F$5:$F$746,'ساعات عبدالعزيز'!$A$5:$A$746,"&gt;="&amp;(WEEK_ONE+7*(H351-1)),'ساعات عبدالعزيز'!$A$5:$A$746,"&lt;="&amp;G351)))</f>
        <v/>
      </c>
    </row>
    <row r="352" customFormat="false" ht="15" hidden="false" customHeight="false" outlineLevel="0" collapsed="false">
      <c r="A352" s="43"/>
      <c r="B352" s="23" t="str">
        <f aca="false">IF(G352="","",CHOOSE(WEEKDAY(G352,1),"الأحد","الاثنين","الثلاثاء","الأربعاء","الخميس","الجمعة","السبت")&amp;IF(OR(ISNUMBER(A352),LEN(TRIM(A352))&gt;=10),"","  "&amp;TEXT(DAY(G352),"00")&amp;"/"&amp;TEXT(MONTH(G352),"00")&amp;"/"&amp;YEAR(G352)))</f>
        <v/>
      </c>
      <c r="C352" s="24"/>
      <c r="D352" s="44"/>
      <c r="E352" s="27"/>
      <c r="F352" s="45" t="str">
        <f aca="false">IF(A352="","",IF(G352="","⛔ التاريخ غلط — اختاره من القائمة أو اكتبه كامل 05/10/2026",IF(OR(H352&lt;1,H352&gt;NW),"⛔ التاريخ برّا السنة",IF(AND(N(D352)&gt;0,N(J352)&gt;0,D352&gt;ADV_CAP*J352),"⚠️ أكثر من "&amp;TEXT(ADV_CAP,"0%")&amp;" من شغله ("&amp;TEXT(J352,"0.000")&amp;")",""))))</f>
        <v/>
      </c>
      <c r="G352" s="0" t="str">
        <f aca="true">IF(A352="","",IF(ISNUMBER(A352),IF(A352&gt;=36526,A352,""),IFERROR(DATE(VALUE(RIGHT(RIGHT(TRIM(A352),10),4)),VALUE(MID(RIGHT(TRIM(A352),10),4,2)),VALUE(LEFT(RIGHT(TRIM(A352),10),2))),IFERROR(TODAY()-MOD(WEEKDAY(TODAY(),1)-MATCH(TRIM(A352),{"الأحد","الاثنين","الثلاثاء","الأربعاء","الخميس","الجمعة","السبت"},0),7),IFERROR(DATEVALUE(A352),"")))))</f>
        <v/>
      </c>
      <c r="H352" s="0" t="str">
        <f aca="false">IF(G352="","",INT((G352-WEEK_ONE)/7)+1)</f>
        <v/>
      </c>
      <c r="I352" s="0" t="str">
        <f aca="false">IF(H352="","",IF(OR(H352&lt;1,H352&gt;NW),"",INDEX(WMON,H352)))</f>
        <v/>
      </c>
      <c r="J352" s="0" t="str">
        <f aca="false">IF(OR(G352="",H352="",C352=""),"",IF(C352="عمر المصري",SUMIFS('ساعات عمر'!$H$5:$H$746,'ساعات عمر'!$A$5:$A$746,"&gt;="&amp;(WEEK_ONE+7*(H352-1)),'ساعات عمر'!$A$5:$A$746,"&lt;="&amp;G352),SUMIFS('ساعات عبدالعزيز'!$F$5:$F$746,'ساعات عبدالعزيز'!$A$5:$A$746,"&gt;="&amp;(WEEK_ONE+7*(H352-1)),'ساعات عبدالعزيز'!$A$5:$A$746,"&lt;="&amp;G352)))</f>
        <v/>
      </c>
    </row>
    <row r="353" customFormat="false" ht="15" hidden="false" customHeight="false" outlineLevel="0" collapsed="false">
      <c r="A353" s="43"/>
      <c r="B353" s="23" t="str">
        <f aca="false">IF(G353="","",CHOOSE(WEEKDAY(G353,1),"الأحد","الاثنين","الثلاثاء","الأربعاء","الخميس","الجمعة","السبت")&amp;IF(OR(ISNUMBER(A353),LEN(TRIM(A353))&gt;=10),"","  "&amp;TEXT(DAY(G353),"00")&amp;"/"&amp;TEXT(MONTH(G353),"00")&amp;"/"&amp;YEAR(G353)))</f>
        <v/>
      </c>
      <c r="C353" s="24"/>
      <c r="D353" s="44"/>
      <c r="E353" s="27"/>
      <c r="F353" s="45" t="str">
        <f aca="false">IF(A353="","",IF(G353="","⛔ التاريخ غلط — اختاره من القائمة أو اكتبه كامل 05/10/2026",IF(OR(H353&lt;1,H353&gt;NW),"⛔ التاريخ برّا السنة",IF(AND(N(D353)&gt;0,N(J353)&gt;0,D353&gt;ADV_CAP*J353),"⚠️ أكثر من "&amp;TEXT(ADV_CAP,"0%")&amp;" من شغله ("&amp;TEXT(J353,"0.000")&amp;")",""))))</f>
        <v/>
      </c>
      <c r="G353" s="0" t="str">
        <f aca="true">IF(A353="","",IF(ISNUMBER(A353),IF(A353&gt;=36526,A353,""),IFERROR(DATE(VALUE(RIGHT(RIGHT(TRIM(A353),10),4)),VALUE(MID(RIGHT(TRIM(A353),10),4,2)),VALUE(LEFT(RIGHT(TRIM(A353),10),2))),IFERROR(TODAY()-MOD(WEEKDAY(TODAY(),1)-MATCH(TRIM(A353),{"الأحد","الاثنين","الثلاثاء","الأربعاء","الخميس","الجمعة","السبت"},0),7),IFERROR(DATEVALUE(A353),"")))))</f>
        <v/>
      </c>
      <c r="H353" s="0" t="str">
        <f aca="false">IF(G353="","",INT((G353-WEEK_ONE)/7)+1)</f>
        <v/>
      </c>
      <c r="I353" s="0" t="str">
        <f aca="false">IF(H353="","",IF(OR(H353&lt;1,H353&gt;NW),"",INDEX(WMON,H353)))</f>
        <v/>
      </c>
      <c r="J353" s="0" t="str">
        <f aca="false">IF(OR(G353="",H353="",C353=""),"",IF(C353="عمر المصري",SUMIFS('ساعات عمر'!$H$5:$H$746,'ساعات عمر'!$A$5:$A$746,"&gt;="&amp;(WEEK_ONE+7*(H353-1)),'ساعات عمر'!$A$5:$A$746,"&lt;="&amp;G353),SUMIFS('ساعات عبدالعزيز'!$F$5:$F$746,'ساعات عبدالعزيز'!$A$5:$A$746,"&gt;="&amp;(WEEK_ONE+7*(H353-1)),'ساعات عبدالعزيز'!$A$5:$A$746,"&lt;="&amp;G353)))</f>
        <v/>
      </c>
    </row>
    <row r="354" customFormat="false" ht="15" hidden="false" customHeight="false" outlineLevel="0" collapsed="false">
      <c r="A354" s="43"/>
      <c r="B354" s="23" t="str">
        <f aca="false">IF(G354="","",CHOOSE(WEEKDAY(G354,1),"الأحد","الاثنين","الثلاثاء","الأربعاء","الخميس","الجمعة","السبت")&amp;IF(OR(ISNUMBER(A354),LEN(TRIM(A354))&gt;=10),"","  "&amp;TEXT(DAY(G354),"00")&amp;"/"&amp;TEXT(MONTH(G354),"00")&amp;"/"&amp;YEAR(G354)))</f>
        <v/>
      </c>
      <c r="C354" s="24"/>
      <c r="D354" s="44"/>
      <c r="E354" s="27"/>
      <c r="F354" s="45" t="str">
        <f aca="false">IF(A354="","",IF(G354="","⛔ التاريخ غلط — اختاره من القائمة أو اكتبه كامل 05/10/2026",IF(OR(H354&lt;1,H354&gt;NW),"⛔ التاريخ برّا السنة",IF(AND(N(D354)&gt;0,N(J354)&gt;0,D354&gt;ADV_CAP*J354),"⚠️ أكثر من "&amp;TEXT(ADV_CAP,"0%")&amp;" من شغله ("&amp;TEXT(J354,"0.000")&amp;")",""))))</f>
        <v/>
      </c>
      <c r="G354" s="0" t="str">
        <f aca="true">IF(A354="","",IF(ISNUMBER(A354),IF(A354&gt;=36526,A354,""),IFERROR(DATE(VALUE(RIGHT(RIGHT(TRIM(A354),10),4)),VALUE(MID(RIGHT(TRIM(A354),10),4,2)),VALUE(LEFT(RIGHT(TRIM(A354),10),2))),IFERROR(TODAY()-MOD(WEEKDAY(TODAY(),1)-MATCH(TRIM(A354),{"الأحد","الاثنين","الثلاثاء","الأربعاء","الخميس","الجمعة","السبت"},0),7),IFERROR(DATEVALUE(A354),"")))))</f>
        <v/>
      </c>
      <c r="H354" s="0" t="str">
        <f aca="false">IF(G354="","",INT((G354-WEEK_ONE)/7)+1)</f>
        <v/>
      </c>
      <c r="I354" s="0" t="str">
        <f aca="false">IF(H354="","",IF(OR(H354&lt;1,H354&gt;NW),"",INDEX(WMON,H354)))</f>
        <v/>
      </c>
      <c r="J354" s="0" t="str">
        <f aca="false">IF(OR(G354="",H354="",C354=""),"",IF(C354="عمر المصري",SUMIFS('ساعات عمر'!$H$5:$H$746,'ساعات عمر'!$A$5:$A$746,"&gt;="&amp;(WEEK_ONE+7*(H354-1)),'ساعات عمر'!$A$5:$A$746,"&lt;="&amp;G354),SUMIFS('ساعات عبدالعزيز'!$F$5:$F$746,'ساعات عبدالعزيز'!$A$5:$A$746,"&gt;="&amp;(WEEK_ONE+7*(H354-1)),'ساعات عبدالعزيز'!$A$5:$A$746,"&lt;="&amp;G354)))</f>
        <v/>
      </c>
    </row>
    <row r="355" customFormat="false" ht="15" hidden="false" customHeight="false" outlineLevel="0" collapsed="false">
      <c r="A355" s="43"/>
      <c r="B355" s="23" t="str">
        <f aca="false">IF(G355="","",CHOOSE(WEEKDAY(G355,1),"الأحد","الاثنين","الثلاثاء","الأربعاء","الخميس","الجمعة","السبت")&amp;IF(OR(ISNUMBER(A355),LEN(TRIM(A355))&gt;=10),"","  "&amp;TEXT(DAY(G355),"00")&amp;"/"&amp;TEXT(MONTH(G355),"00")&amp;"/"&amp;YEAR(G355)))</f>
        <v/>
      </c>
      <c r="C355" s="24"/>
      <c r="D355" s="44"/>
      <c r="E355" s="27"/>
      <c r="F355" s="45" t="str">
        <f aca="false">IF(A355="","",IF(G355="","⛔ التاريخ غلط — اختاره من القائمة أو اكتبه كامل 05/10/2026",IF(OR(H355&lt;1,H355&gt;NW),"⛔ التاريخ برّا السنة",IF(AND(N(D355)&gt;0,N(J355)&gt;0,D355&gt;ADV_CAP*J355),"⚠️ أكثر من "&amp;TEXT(ADV_CAP,"0%")&amp;" من شغله ("&amp;TEXT(J355,"0.000")&amp;")",""))))</f>
        <v/>
      </c>
      <c r="G355" s="0" t="str">
        <f aca="true">IF(A355="","",IF(ISNUMBER(A355),IF(A355&gt;=36526,A355,""),IFERROR(DATE(VALUE(RIGHT(RIGHT(TRIM(A355),10),4)),VALUE(MID(RIGHT(TRIM(A355),10),4,2)),VALUE(LEFT(RIGHT(TRIM(A355),10),2))),IFERROR(TODAY()-MOD(WEEKDAY(TODAY(),1)-MATCH(TRIM(A355),{"الأحد","الاثنين","الثلاثاء","الأربعاء","الخميس","الجمعة","السبت"},0),7),IFERROR(DATEVALUE(A355),"")))))</f>
        <v/>
      </c>
      <c r="H355" s="0" t="str">
        <f aca="false">IF(G355="","",INT((G355-WEEK_ONE)/7)+1)</f>
        <v/>
      </c>
      <c r="I355" s="0" t="str">
        <f aca="false">IF(H355="","",IF(OR(H355&lt;1,H355&gt;NW),"",INDEX(WMON,H355)))</f>
        <v/>
      </c>
      <c r="J355" s="0" t="str">
        <f aca="false">IF(OR(G355="",H355="",C355=""),"",IF(C355="عمر المصري",SUMIFS('ساعات عمر'!$H$5:$H$746,'ساعات عمر'!$A$5:$A$746,"&gt;="&amp;(WEEK_ONE+7*(H355-1)),'ساعات عمر'!$A$5:$A$746,"&lt;="&amp;G355),SUMIFS('ساعات عبدالعزيز'!$F$5:$F$746,'ساعات عبدالعزيز'!$A$5:$A$746,"&gt;="&amp;(WEEK_ONE+7*(H355-1)),'ساعات عبدالعزيز'!$A$5:$A$746,"&lt;="&amp;G355)))</f>
        <v/>
      </c>
    </row>
    <row r="356" customFormat="false" ht="15" hidden="false" customHeight="false" outlineLevel="0" collapsed="false">
      <c r="A356" s="43"/>
      <c r="B356" s="23" t="str">
        <f aca="false">IF(G356="","",CHOOSE(WEEKDAY(G356,1),"الأحد","الاثنين","الثلاثاء","الأربعاء","الخميس","الجمعة","السبت")&amp;IF(OR(ISNUMBER(A356),LEN(TRIM(A356))&gt;=10),"","  "&amp;TEXT(DAY(G356),"00")&amp;"/"&amp;TEXT(MONTH(G356),"00")&amp;"/"&amp;YEAR(G356)))</f>
        <v/>
      </c>
      <c r="C356" s="24"/>
      <c r="D356" s="44"/>
      <c r="E356" s="27"/>
      <c r="F356" s="45" t="str">
        <f aca="false">IF(A356="","",IF(G356="","⛔ التاريخ غلط — اختاره من القائمة أو اكتبه كامل 05/10/2026",IF(OR(H356&lt;1,H356&gt;NW),"⛔ التاريخ برّا السنة",IF(AND(N(D356)&gt;0,N(J356)&gt;0,D356&gt;ADV_CAP*J356),"⚠️ أكثر من "&amp;TEXT(ADV_CAP,"0%")&amp;" من شغله ("&amp;TEXT(J356,"0.000")&amp;")",""))))</f>
        <v/>
      </c>
      <c r="G356" s="0" t="str">
        <f aca="true">IF(A356="","",IF(ISNUMBER(A356),IF(A356&gt;=36526,A356,""),IFERROR(DATE(VALUE(RIGHT(RIGHT(TRIM(A356),10),4)),VALUE(MID(RIGHT(TRIM(A356),10),4,2)),VALUE(LEFT(RIGHT(TRIM(A356),10),2))),IFERROR(TODAY()-MOD(WEEKDAY(TODAY(),1)-MATCH(TRIM(A356),{"الأحد","الاثنين","الثلاثاء","الأربعاء","الخميس","الجمعة","السبت"},0),7),IFERROR(DATEVALUE(A356),"")))))</f>
        <v/>
      </c>
      <c r="H356" s="0" t="str">
        <f aca="false">IF(G356="","",INT((G356-WEEK_ONE)/7)+1)</f>
        <v/>
      </c>
      <c r="I356" s="0" t="str">
        <f aca="false">IF(H356="","",IF(OR(H356&lt;1,H356&gt;NW),"",INDEX(WMON,H356)))</f>
        <v/>
      </c>
      <c r="J356" s="0" t="str">
        <f aca="false">IF(OR(G356="",H356="",C356=""),"",IF(C356="عمر المصري",SUMIFS('ساعات عمر'!$H$5:$H$746,'ساعات عمر'!$A$5:$A$746,"&gt;="&amp;(WEEK_ONE+7*(H356-1)),'ساعات عمر'!$A$5:$A$746,"&lt;="&amp;G356),SUMIFS('ساعات عبدالعزيز'!$F$5:$F$746,'ساعات عبدالعزيز'!$A$5:$A$746,"&gt;="&amp;(WEEK_ONE+7*(H356-1)),'ساعات عبدالعزيز'!$A$5:$A$746,"&lt;="&amp;G356)))</f>
        <v/>
      </c>
    </row>
    <row r="357" customFormat="false" ht="15" hidden="false" customHeight="false" outlineLevel="0" collapsed="false">
      <c r="A357" s="43"/>
      <c r="B357" s="23" t="str">
        <f aca="false">IF(G357="","",CHOOSE(WEEKDAY(G357,1),"الأحد","الاثنين","الثلاثاء","الأربعاء","الخميس","الجمعة","السبت")&amp;IF(OR(ISNUMBER(A357),LEN(TRIM(A357))&gt;=10),"","  "&amp;TEXT(DAY(G357),"00")&amp;"/"&amp;TEXT(MONTH(G357),"00")&amp;"/"&amp;YEAR(G357)))</f>
        <v/>
      </c>
      <c r="C357" s="24"/>
      <c r="D357" s="44"/>
      <c r="E357" s="27"/>
      <c r="F357" s="45" t="str">
        <f aca="false">IF(A357="","",IF(G357="","⛔ التاريخ غلط — اختاره من القائمة أو اكتبه كامل 05/10/2026",IF(OR(H357&lt;1,H357&gt;NW),"⛔ التاريخ برّا السنة",IF(AND(N(D357)&gt;0,N(J357)&gt;0,D357&gt;ADV_CAP*J357),"⚠️ أكثر من "&amp;TEXT(ADV_CAP,"0%")&amp;" من شغله ("&amp;TEXT(J357,"0.000")&amp;")",""))))</f>
        <v/>
      </c>
      <c r="G357" s="0" t="str">
        <f aca="true">IF(A357="","",IF(ISNUMBER(A357),IF(A357&gt;=36526,A357,""),IFERROR(DATE(VALUE(RIGHT(RIGHT(TRIM(A357),10),4)),VALUE(MID(RIGHT(TRIM(A357),10),4,2)),VALUE(LEFT(RIGHT(TRIM(A357),10),2))),IFERROR(TODAY()-MOD(WEEKDAY(TODAY(),1)-MATCH(TRIM(A357),{"الأحد","الاثنين","الثلاثاء","الأربعاء","الخميس","الجمعة","السبت"},0),7),IFERROR(DATEVALUE(A357),"")))))</f>
        <v/>
      </c>
      <c r="H357" s="0" t="str">
        <f aca="false">IF(G357="","",INT((G357-WEEK_ONE)/7)+1)</f>
        <v/>
      </c>
      <c r="I357" s="0" t="str">
        <f aca="false">IF(H357="","",IF(OR(H357&lt;1,H357&gt;NW),"",INDEX(WMON,H357)))</f>
        <v/>
      </c>
      <c r="J357" s="0" t="str">
        <f aca="false">IF(OR(G357="",H357="",C357=""),"",IF(C357="عمر المصري",SUMIFS('ساعات عمر'!$H$5:$H$746,'ساعات عمر'!$A$5:$A$746,"&gt;="&amp;(WEEK_ONE+7*(H357-1)),'ساعات عمر'!$A$5:$A$746,"&lt;="&amp;G357),SUMIFS('ساعات عبدالعزيز'!$F$5:$F$746,'ساعات عبدالعزيز'!$A$5:$A$746,"&gt;="&amp;(WEEK_ONE+7*(H357-1)),'ساعات عبدالعزيز'!$A$5:$A$746,"&lt;="&amp;G357)))</f>
        <v/>
      </c>
    </row>
    <row r="358" customFormat="false" ht="15" hidden="false" customHeight="false" outlineLevel="0" collapsed="false">
      <c r="A358" s="43"/>
      <c r="B358" s="23" t="str">
        <f aca="false">IF(G358="","",CHOOSE(WEEKDAY(G358,1),"الأحد","الاثنين","الثلاثاء","الأربعاء","الخميس","الجمعة","السبت")&amp;IF(OR(ISNUMBER(A358),LEN(TRIM(A358))&gt;=10),"","  "&amp;TEXT(DAY(G358),"00")&amp;"/"&amp;TEXT(MONTH(G358),"00")&amp;"/"&amp;YEAR(G358)))</f>
        <v/>
      </c>
      <c r="C358" s="24"/>
      <c r="D358" s="44"/>
      <c r="E358" s="27"/>
      <c r="F358" s="45" t="str">
        <f aca="false">IF(A358="","",IF(G358="","⛔ التاريخ غلط — اختاره من القائمة أو اكتبه كامل 05/10/2026",IF(OR(H358&lt;1,H358&gt;NW),"⛔ التاريخ برّا السنة",IF(AND(N(D358)&gt;0,N(J358)&gt;0,D358&gt;ADV_CAP*J358),"⚠️ أكثر من "&amp;TEXT(ADV_CAP,"0%")&amp;" من شغله ("&amp;TEXT(J358,"0.000")&amp;")",""))))</f>
        <v/>
      </c>
      <c r="G358" s="0" t="str">
        <f aca="true">IF(A358="","",IF(ISNUMBER(A358),IF(A358&gt;=36526,A358,""),IFERROR(DATE(VALUE(RIGHT(RIGHT(TRIM(A358),10),4)),VALUE(MID(RIGHT(TRIM(A358),10),4,2)),VALUE(LEFT(RIGHT(TRIM(A358),10),2))),IFERROR(TODAY()-MOD(WEEKDAY(TODAY(),1)-MATCH(TRIM(A358),{"الأحد","الاثنين","الثلاثاء","الأربعاء","الخميس","الجمعة","السبت"},0),7),IFERROR(DATEVALUE(A358),"")))))</f>
        <v/>
      </c>
      <c r="H358" s="0" t="str">
        <f aca="false">IF(G358="","",INT((G358-WEEK_ONE)/7)+1)</f>
        <v/>
      </c>
      <c r="I358" s="0" t="str">
        <f aca="false">IF(H358="","",IF(OR(H358&lt;1,H358&gt;NW),"",INDEX(WMON,H358)))</f>
        <v/>
      </c>
      <c r="J358" s="0" t="str">
        <f aca="false">IF(OR(G358="",H358="",C358=""),"",IF(C358="عمر المصري",SUMIFS('ساعات عمر'!$H$5:$H$746,'ساعات عمر'!$A$5:$A$746,"&gt;="&amp;(WEEK_ONE+7*(H358-1)),'ساعات عمر'!$A$5:$A$746,"&lt;="&amp;G358),SUMIFS('ساعات عبدالعزيز'!$F$5:$F$746,'ساعات عبدالعزيز'!$A$5:$A$746,"&gt;="&amp;(WEEK_ONE+7*(H358-1)),'ساعات عبدالعزيز'!$A$5:$A$746,"&lt;="&amp;G358)))</f>
        <v/>
      </c>
    </row>
    <row r="359" customFormat="false" ht="15" hidden="false" customHeight="false" outlineLevel="0" collapsed="false">
      <c r="A359" s="43"/>
      <c r="B359" s="23" t="str">
        <f aca="false">IF(G359="","",CHOOSE(WEEKDAY(G359,1),"الأحد","الاثنين","الثلاثاء","الأربعاء","الخميس","الجمعة","السبت")&amp;IF(OR(ISNUMBER(A359),LEN(TRIM(A359))&gt;=10),"","  "&amp;TEXT(DAY(G359),"00")&amp;"/"&amp;TEXT(MONTH(G359),"00")&amp;"/"&amp;YEAR(G359)))</f>
        <v/>
      </c>
      <c r="C359" s="24"/>
      <c r="D359" s="44"/>
      <c r="E359" s="27"/>
      <c r="F359" s="45" t="str">
        <f aca="false">IF(A359="","",IF(G359="","⛔ التاريخ غلط — اختاره من القائمة أو اكتبه كامل 05/10/2026",IF(OR(H359&lt;1,H359&gt;NW),"⛔ التاريخ برّا السنة",IF(AND(N(D359)&gt;0,N(J359)&gt;0,D359&gt;ADV_CAP*J359),"⚠️ أكثر من "&amp;TEXT(ADV_CAP,"0%")&amp;" من شغله ("&amp;TEXT(J359,"0.000")&amp;")",""))))</f>
        <v/>
      </c>
      <c r="G359" s="0" t="str">
        <f aca="true">IF(A359="","",IF(ISNUMBER(A359),IF(A359&gt;=36526,A359,""),IFERROR(DATE(VALUE(RIGHT(RIGHT(TRIM(A359),10),4)),VALUE(MID(RIGHT(TRIM(A359),10),4,2)),VALUE(LEFT(RIGHT(TRIM(A359),10),2))),IFERROR(TODAY()-MOD(WEEKDAY(TODAY(),1)-MATCH(TRIM(A359),{"الأحد","الاثنين","الثلاثاء","الأربعاء","الخميس","الجمعة","السبت"},0),7),IFERROR(DATEVALUE(A359),"")))))</f>
        <v/>
      </c>
      <c r="H359" s="0" t="str">
        <f aca="false">IF(G359="","",INT((G359-WEEK_ONE)/7)+1)</f>
        <v/>
      </c>
      <c r="I359" s="0" t="str">
        <f aca="false">IF(H359="","",IF(OR(H359&lt;1,H359&gt;NW),"",INDEX(WMON,H359)))</f>
        <v/>
      </c>
      <c r="J359" s="0" t="str">
        <f aca="false">IF(OR(G359="",H359="",C359=""),"",IF(C359="عمر المصري",SUMIFS('ساعات عمر'!$H$5:$H$746,'ساعات عمر'!$A$5:$A$746,"&gt;="&amp;(WEEK_ONE+7*(H359-1)),'ساعات عمر'!$A$5:$A$746,"&lt;="&amp;G359),SUMIFS('ساعات عبدالعزيز'!$F$5:$F$746,'ساعات عبدالعزيز'!$A$5:$A$746,"&gt;="&amp;(WEEK_ONE+7*(H359-1)),'ساعات عبدالعزيز'!$A$5:$A$746,"&lt;="&amp;G359)))</f>
        <v/>
      </c>
    </row>
    <row r="360" customFormat="false" ht="15" hidden="false" customHeight="false" outlineLevel="0" collapsed="false">
      <c r="A360" s="43"/>
      <c r="B360" s="23" t="str">
        <f aca="false">IF(G360="","",CHOOSE(WEEKDAY(G360,1),"الأحد","الاثنين","الثلاثاء","الأربعاء","الخميس","الجمعة","السبت")&amp;IF(OR(ISNUMBER(A360),LEN(TRIM(A360))&gt;=10),"","  "&amp;TEXT(DAY(G360),"00")&amp;"/"&amp;TEXT(MONTH(G360),"00")&amp;"/"&amp;YEAR(G360)))</f>
        <v/>
      </c>
      <c r="C360" s="24"/>
      <c r="D360" s="44"/>
      <c r="E360" s="27"/>
      <c r="F360" s="45" t="str">
        <f aca="false">IF(A360="","",IF(G360="","⛔ التاريخ غلط — اختاره من القائمة أو اكتبه كامل 05/10/2026",IF(OR(H360&lt;1,H360&gt;NW),"⛔ التاريخ برّا السنة",IF(AND(N(D360)&gt;0,N(J360)&gt;0,D360&gt;ADV_CAP*J360),"⚠️ أكثر من "&amp;TEXT(ADV_CAP,"0%")&amp;" من شغله ("&amp;TEXT(J360,"0.000")&amp;")",""))))</f>
        <v/>
      </c>
      <c r="G360" s="0" t="str">
        <f aca="true">IF(A360="","",IF(ISNUMBER(A360),IF(A360&gt;=36526,A360,""),IFERROR(DATE(VALUE(RIGHT(RIGHT(TRIM(A360),10),4)),VALUE(MID(RIGHT(TRIM(A360),10),4,2)),VALUE(LEFT(RIGHT(TRIM(A360),10),2))),IFERROR(TODAY()-MOD(WEEKDAY(TODAY(),1)-MATCH(TRIM(A360),{"الأحد","الاثنين","الثلاثاء","الأربعاء","الخميس","الجمعة","السبت"},0),7),IFERROR(DATEVALUE(A360),"")))))</f>
        <v/>
      </c>
      <c r="H360" s="0" t="str">
        <f aca="false">IF(G360="","",INT((G360-WEEK_ONE)/7)+1)</f>
        <v/>
      </c>
      <c r="I360" s="0" t="str">
        <f aca="false">IF(H360="","",IF(OR(H360&lt;1,H360&gt;NW),"",INDEX(WMON,H360)))</f>
        <v/>
      </c>
      <c r="J360" s="0" t="str">
        <f aca="false">IF(OR(G360="",H360="",C360=""),"",IF(C360="عمر المصري",SUMIFS('ساعات عمر'!$H$5:$H$746,'ساعات عمر'!$A$5:$A$746,"&gt;="&amp;(WEEK_ONE+7*(H360-1)),'ساعات عمر'!$A$5:$A$746,"&lt;="&amp;G360),SUMIFS('ساعات عبدالعزيز'!$F$5:$F$746,'ساعات عبدالعزيز'!$A$5:$A$746,"&gt;="&amp;(WEEK_ONE+7*(H360-1)),'ساعات عبدالعزيز'!$A$5:$A$746,"&lt;="&amp;G360)))</f>
        <v/>
      </c>
    </row>
    <row r="361" customFormat="false" ht="15" hidden="false" customHeight="false" outlineLevel="0" collapsed="false">
      <c r="A361" s="43"/>
      <c r="B361" s="23" t="str">
        <f aca="false">IF(G361="","",CHOOSE(WEEKDAY(G361,1),"الأحد","الاثنين","الثلاثاء","الأربعاء","الخميس","الجمعة","السبت")&amp;IF(OR(ISNUMBER(A361),LEN(TRIM(A361))&gt;=10),"","  "&amp;TEXT(DAY(G361),"00")&amp;"/"&amp;TEXT(MONTH(G361),"00")&amp;"/"&amp;YEAR(G361)))</f>
        <v/>
      </c>
      <c r="C361" s="24"/>
      <c r="D361" s="44"/>
      <c r="E361" s="27"/>
      <c r="F361" s="45" t="str">
        <f aca="false">IF(A361="","",IF(G361="","⛔ التاريخ غلط — اختاره من القائمة أو اكتبه كامل 05/10/2026",IF(OR(H361&lt;1,H361&gt;NW),"⛔ التاريخ برّا السنة",IF(AND(N(D361)&gt;0,N(J361)&gt;0,D361&gt;ADV_CAP*J361),"⚠️ أكثر من "&amp;TEXT(ADV_CAP,"0%")&amp;" من شغله ("&amp;TEXT(J361,"0.000")&amp;")",""))))</f>
        <v/>
      </c>
      <c r="G361" s="0" t="str">
        <f aca="true">IF(A361="","",IF(ISNUMBER(A361),IF(A361&gt;=36526,A361,""),IFERROR(DATE(VALUE(RIGHT(RIGHT(TRIM(A361),10),4)),VALUE(MID(RIGHT(TRIM(A361),10),4,2)),VALUE(LEFT(RIGHT(TRIM(A361),10),2))),IFERROR(TODAY()-MOD(WEEKDAY(TODAY(),1)-MATCH(TRIM(A361),{"الأحد","الاثنين","الثلاثاء","الأربعاء","الخميس","الجمعة","السبت"},0),7),IFERROR(DATEVALUE(A361),"")))))</f>
        <v/>
      </c>
      <c r="H361" s="0" t="str">
        <f aca="false">IF(G361="","",INT((G361-WEEK_ONE)/7)+1)</f>
        <v/>
      </c>
      <c r="I361" s="0" t="str">
        <f aca="false">IF(H361="","",IF(OR(H361&lt;1,H361&gt;NW),"",INDEX(WMON,H361)))</f>
        <v/>
      </c>
      <c r="J361" s="0" t="str">
        <f aca="false">IF(OR(G361="",H361="",C361=""),"",IF(C361="عمر المصري",SUMIFS('ساعات عمر'!$H$5:$H$746,'ساعات عمر'!$A$5:$A$746,"&gt;="&amp;(WEEK_ONE+7*(H361-1)),'ساعات عمر'!$A$5:$A$746,"&lt;="&amp;G361),SUMIFS('ساعات عبدالعزيز'!$F$5:$F$746,'ساعات عبدالعزيز'!$A$5:$A$746,"&gt;="&amp;(WEEK_ONE+7*(H361-1)),'ساعات عبدالعزيز'!$A$5:$A$746,"&lt;="&amp;G361)))</f>
        <v/>
      </c>
    </row>
    <row r="362" customFormat="false" ht="15" hidden="false" customHeight="false" outlineLevel="0" collapsed="false">
      <c r="A362" s="43"/>
      <c r="B362" s="23" t="str">
        <f aca="false">IF(G362="","",CHOOSE(WEEKDAY(G362,1),"الأحد","الاثنين","الثلاثاء","الأربعاء","الخميس","الجمعة","السبت")&amp;IF(OR(ISNUMBER(A362),LEN(TRIM(A362))&gt;=10),"","  "&amp;TEXT(DAY(G362),"00")&amp;"/"&amp;TEXT(MONTH(G362),"00")&amp;"/"&amp;YEAR(G362)))</f>
        <v/>
      </c>
      <c r="C362" s="24"/>
      <c r="D362" s="44"/>
      <c r="E362" s="27"/>
      <c r="F362" s="45" t="str">
        <f aca="false">IF(A362="","",IF(G362="","⛔ التاريخ غلط — اختاره من القائمة أو اكتبه كامل 05/10/2026",IF(OR(H362&lt;1,H362&gt;NW),"⛔ التاريخ برّا السنة",IF(AND(N(D362)&gt;0,N(J362)&gt;0,D362&gt;ADV_CAP*J362),"⚠️ أكثر من "&amp;TEXT(ADV_CAP,"0%")&amp;" من شغله ("&amp;TEXT(J362,"0.000")&amp;")",""))))</f>
        <v/>
      </c>
      <c r="G362" s="0" t="str">
        <f aca="true">IF(A362="","",IF(ISNUMBER(A362),IF(A362&gt;=36526,A362,""),IFERROR(DATE(VALUE(RIGHT(RIGHT(TRIM(A362),10),4)),VALUE(MID(RIGHT(TRIM(A362),10),4,2)),VALUE(LEFT(RIGHT(TRIM(A362),10),2))),IFERROR(TODAY()-MOD(WEEKDAY(TODAY(),1)-MATCH(TRIM(A362),{"الأحد","الاثنين","الثلاثاء","الأربعاء","الخميس","الجمعة","السبت"},0),7),IFERROR(DATEVALUE(A362),"")))))</f>
        <v/>
      </c>
      <c r="H362" s="0" t="str">
        <f aca="false">IF(G362="","",INT((G362-WEEK_ONE)/7)+1)</f>
        <v/>
      </c>
      <c r="I362" s="0" t="str">
        <f aca="false">IF(H362="","",IF(OR(H362&lt;1,H362&gt;NW),"",INDEX(WMON,H362)))</f>
        <v/>
      </c>
      <c r="J362" s="0" t="str">
        <f aca="false">IF(OR(G362="",H362="",C362=""),"",IF(C362="عمر المصري",SUMIFS('ساعات عمر'!$H$5:$H$746,'ساعات عمر'!$A$5:$A$746,"&gt;="&amp;(WEEK_ONE+7*(H362-1)),'ساعات عمر'!$A$5:$A$746,"&lt;="&amp;G362),SUMIFS('ساعات عبدالعزيز'!$F$5:$F$746,'ساعات عبدالعزيز'!$A$5:$A$746,"&gt;="&amp;(WEEK_ONE+7*(H362-1)),'ساعات عبدالعزيز'!$A$5:$A$746,"&lt;="&amp;G362)))</f>
        <v/>
      </c>
    </row>
    <row r="363" customFormat="false" ht="15" hidden="false" customHeight="false" outlineLevel="0" collapsed="false">
      <c r="A363" s="43"/>
      <c r="B363" s="23" t="str">
        <f aca="false">IF(G363="","",CHOOSE(WEEKDAY(G363,1),"الأحد","الاثنين","الثلاثاء","الأربعاء","الخميس","الجمعة","السبت")&amp;IF(OR(ISNUMBER(A363),LEN(TRIM(A363))&gt;=10),"","  "&amp;TEXT(DAY(G363),"00")&amp;"/"&amp;TEXT(MONTH(G363),"00")&amp;"/"&amp;YEAR(G363)))</f>
        <v/>
      </c>
      <c r="C363" s="24"/>
      <c r="D363" s="44"/>
      <c r="E363" s="27"/>
      <c r="F363" s="45" t="str">
        <f aca="false">IF(A363="","",IF(G363="","⛔ التاريخ غلط — اختاره من القائمة أو اكتبه كامل 05/10/2026",IF(OR(H363&lt;1,H363&gt;NW),"⛔ التاريخ برّا السنة",IF(AND(N(D363)&gt;0,N(J363)&gt;0,D363&gt;ADV_CAP*J363),"⚠️ أكثر من "&amp;TEXT(ADV_CAP,"0%")&amp;" من شغله ("&amp;TEXT(J363,"0.000")&amp;")",""))))</f>
        <v/>
      </c>
      <c r="G363" s="0" t="str">
        <f aca="true">IF(A363="","",IF(ISNUMBER(A363),IF(A363&gt;=36526,A363,""),IFERROR(DATE(VALUE(RIGHT(RIGHT(TRIM(A363),10),4)),VALUE(MID(RIGHT(TRIM(A363),10),4,2)),VALUE(LEFT(RIGHT(TRIM(A363),10),2))),IFERROR(TODAY()-MOD(WEEKDAY(TODAY(),1)-MATCH(TRIM(A363),{"الأحد","الاثنين","الثلاثاء","الأربعاء","الخميس","الجمعة","السبت"},0),7),IFERROR(DATEVALUE(A363),"")))))</f>
        <v/>
      </c>
      <c r="H363" s="0" t="str">
        <f aca="false">IF(G363="","",INT((G363-WEEK_ONE)/7)+1)</f>
        <v/>
      </c>
      <c r="I363" s="0" t="str">
        <f aca="false">IF(H363="","",IF(OR(H363&lt;1,H363&gt;NW),"",INDEX(WMON,H363)))</f>
        <v/>
      </c>
      <c r="J363" s="0" t="str">
        <f aca="false">IF(OR(G363="",H363="",C363=""),"",IF(C363="عمر المصري",SUMIFS('ساعات عمر'!$H$5:$H$746,'ساعات عمر'!$A$5:$A$746,"&gt;="&amp;(WEEK_ONE+7*(H363-1)),'ساعات عمر'!$A$5:$A$746,"&lt;="&amp;G363),SUMIFS('ساعات عبدالعزيز'!$F$5:$F$746,'ساعات عبدالعزيز'!$A$5:$A$746,"&gt;="&amp;(WEEK_ONE+7*(H363-1)),'ساعات عبدالعزيز'!$A$5:$A$746,"&lt;="&amp;G363)))</f>
        <v/>
      </c>
    </row>
    <row r="364" customFormat="false" ht="15" hidden="false" customHeight="false" outlineLevel="0" collapsed="false">
      <c r="A364" s="43"/>
      <c r="B364" s="23" t="str">
        <f aca="false">IF(G364="","",CHOOSE(WEEKDAY(G364,1),"الأحد","الاثنين","الثلاثاء","الأربعاء","الخميس","الجمعة","السبت")&amp;IF(OR(ISNUMBER(A364),LEN(TRIM(A364))&gt;=10),"","  "&amp;TEXT(DAY(G364),"00")&amp;"/"&amp;TEXT(MONTH(G364),"00")&amp;"/"&amp;YEAR(G364)))</f>
        <v/>
      </c>
      <c r="C364" s="24"/>
      <c r="D364" s="44"/>
      <c r="E364" s="27"/>
      <c r="F364" s="45" t="str">
        <f aca="false">IF(A364="","",IF(G364="","⛔ التاريخ غلط — اختاره من القائمة أو اكتبه كامل 05/10/2026",IF(OR(H364&lt;1,H364&gt;NW),"⛔ التاريخ برّا السنة",IF(AND(N(D364)&gt;0,N(J364)&gt;0,D364&gt;ADV_CAP*J364),"⚠️ أكثر من "&amp;TEXT(ADV_CAP,"0%")&amp;" من شغله ("&amp;TEXT(J364,"0.000")&amp;")",""))))</f>
        <v/>
      </c>
      <c r="G364" s="0" t="str">
        <f aca="true">IF(A364="","",IF(ISNUMBER(A364),IF(A364&gt;=36526,A364,""),IFERROR(DATE(VALUE(RIGHT(RIGHT(TRIM(A364),10),4)),VALUE(MID(RIGHT(TRIM(A364),10),4,2)),VALUE(LEFT(RIGHT(TRIM(A364),10),2))),IFERROR(TODAY()-MOD(WEEKDAY(TODAY(),1)-MATCH(TRIM(A364),{"الأحد","الاثنين","الثلاثاء","الأربعاء","الخميس","الجمعة","السبت"},0),7),IFERROR(DATEVALUE(A364),"")))))</f>
        <v/>
      </c>
      <c r="H364" s="0" t="str">
        <f aca="false">IF(G364="","",INT((G364-WEEK_ONE)/7)+1)</f>
        <v/>
      </c>
      <c r="I364" s="0" t="str">
        <f aca="false">IF(H364="","",IF(OR(H364&lt;1,H364&gt;NW),"",INDEX(WMON,H364)))</f>
        <v/>
      </c>
      <c r="J364" s="0" t="str">
        <f aca="false">IF(OR(G364="",H364="",C364=""),"",IF(C364="عمر المصري",SUMIFS('ساعات عمر'!$H$5:$H$746,'ساعات عمر'!$A$5:$A$746,"&gt;="&amp;(WEEK_ONE+7*(H364-1)),'ساعات عمر'!$A$5:$A$746,"&lt;="&amp;G364),SUMIFS('ساعات عبدالعزيز'!$F$5:$F$746,'ساعات عبدالعزيز'!$A$5:$A$746,"&gt;="&amp;(WEEK_ONE+7*(H364-1)),'ساعات عبدالعزيز'!$A$5:$A$746,"&lt;="&amp;G364)))</f>
        <v/>
      </c>
    </row>
    <row r="365" customFormat="false" ht="15" hidden="false" customHeight="false" outlineLevel="0" collapsed="false">
      <c r="A365" s="43"/>
      <c r="B365" s="23" t="str">
        <f aca="false">IF(G365="","",CHOOSE(WEEKDAY(G365,1),"الأحد","الاثنين","الثلاثاء","الأربعاء","الخميس","الجمعة","السبت")&amp;IF(OR(ISNUMBER(A365),LEN(TRIM(A365))&gt;=10),"","  "&amp;TEXT(DAY(G365),"00")&amp;"/"&amp;TEXT(MONTH(G365),"00")&amp;"/"&amp;YEAR(G365)))</f>
        <v/>
      </c>
      <c r="C365" s="24"/>
      <c r="D365" s="44"/>
      <c r="E365" s="27"/>
      <c r="F365" s="45" t="str">
        <f aca="false">IF(A365="","",IF(G365="","⛔ التاريخ غلط — اختاره من القائمة أو اكتبه كامل 05/10/2026",IF(OR(H365&lt;1,H365&gt;NW),"⛔ التاريخ برّا السنة",IF(AND(N(D365)&gt;0,N(J365)&gt;0,D365&gt;ADV_CAP*J365),"⚠️ أكثر من "&amp;TEXT(ADV_CAP,"0%")&amp;" من شغله ("&amp;TEXT(J365,"0.000")&amp;")",""))))</f>
        <v/>
      </c>
      <c r="G365" s="0" t="str">
        <f aca="true">IF(A365="","",IF(ISNUMBER(A365),IF(A365&gt;=36526,A365,""),IFERROR(DATE(VALUE(RIGHT(RIGHT(TRIM(A365),10),4)),VALUE(MID(RIGHT(TRIM(A365),10),4,2)),VALUE(LEFT(RIGHT(TRIM(A365),10),2))),IFERROR(TODAY()-MOD(WEEKDAY(TODAY(),1)-MATCH(TRIM(A365),{"الأحد","الاثنين","الثلاثاء","الأربعاء","الخميس","الجمعة","السبت"},0),7),IFERROR(DATEVALUE(A365),"")))))</f>
        <v/>
      </c>
      <c r="H365" s="0" t="str">
        <f aca="false">IF(G365="","",INT((G365-WEEK_ONE)/7)+1)</f>
        <v/>
      </c>
      <c r="I365" s="0" t="str">
        <f aca="false">IF(H365="","",IF(OR(H365&lt;1,H365&gt;NW),"",INDEX(WMON,H365)))</f>
        <v/>
      </c>
      <c r="J365" s="0" t="str">
        <f aca="false">IF(OR(G365="",H365="",C365=""),"",IF(C365="عمر المصري",SUMIFS('ساعات عمر'!$H$5:$H$746,'ساعات عمر'!$A$5:$A$746,"&gt;="&amp;(WEEK_ONE+7*(H365-1)),'ساعات عمر'!$A$5:$A$746,"&lt;="&amp;G365),SUMIFS('ساعات عبدالعزيز'!$F$5:$F$746,'ساعات عبدالعزيز'!$A$5:$A$746,"&gt;="&amp;(WEEK_ONE+7*(H365-1)),'ساعات عبدالعزيز'!$A$5:$A$746,"&lt;="&amp;G365)))</f>
        <v/>
      </c>
    </row>
    <row r="366" customFormat="false" ht="15" hidden="false" customHeight="false" outlineLevel="0" collapsed="false">
      <c r="A366" s="43"/>
      <c r="B366" s="23" t="str">
        <f aca="false">IF(G366="","",CHOOSE(WEEKDAY(G366,1),"الأحد","الاثنين","الثلاثاء","الأربعاء","الخميس","الجمعة","السبت")&amp;IF(OR(ISNUMBER(A366),LEN(TRIM(A366))&gt;=10),"","  "&amp;TEXT(DAY(G366),"00")&amp;"/"&amp;TEXT(MONTH(G366),"00")&amp;"/"&amp;YEAR(G366)))</f>
        <v/>
      </c>
      <c r="C366" s="24"/>
      <c r="D366" s="44"/>
      <c r="E366" s="27"/>
      <c r="F366" s="45" t="str">
        <f aca="false">IF(A366="","",IF(G366="","⛔ التاريخ غلط — اختاره من القائمة أو اكتبه كامل 05/10/2026",IF(OR(H366&lt;1,H366&gt;NW),"⛔ التاريخ برّا السنة",IF(AND(N(D366)&gt;0,N(J366)&gt;0,D366&gt;ADV_CAP*J366),"⚠️ أكثر من "&amp;TEXT(ADV_CAP,"0%")&amp;" من شغله ("&amp;TEXT(J366,"0.000")&amp;")",""))))</f>
        <v/>
      </c>
      <c r="G366" s="0" t="str">
        <f aca="true">IF(A366="","",IF(ISNUMBER(A366),IF(A366&gt;=36526,A366,""),IFERROR(DATE(VALUE(RIGHT(RIGHT(TRIM(A366),10),4)),VALUE(MID(RIGHT(TRIM(A366),10),4,2)),VALUE(LEFT(RIGHT(TRIM(A366),10),2))),IFERROR(TODAY()-MOD(WEEKDAY(TODAY(),1)-MATCH(TRIM(A366),{"الأحد","الاثنين","الثلاثاء","الأربعاء","الخميس","الجمعة","السبت"},0),7),IFERROR(DATEVALUE(A366),"")))))</f>
        <v/>
      </c>
      <c r="H366" s="0" t="str">
        <f aca="false">IF(G366="","",INT((G366-WEEK_ONE)/7)+1)</f>
        <v/>
      </c>
      <c r="I366" s="0" t="str">
        <f aca="false">IF(H366="","",IF(OR(H366&lt;1,H366&gt;NW),"",INDEX(WMON,H366)))</f>
        <v/>
      </c>
      <c r="J366" s="0" t="str">
        <f aca="false">IF(OR(G366="",H366="",C366=""),"",IF(C366="عمر المصري",SUMIFS('ساعات عمر'!$H$5:$H$746,'ساعات عمر'!$A$5:$A$746,"&gt;="&amp;(WEEK_ONE+7*(H366-1)),'ساعات عمر'!$A$5:$A$746,"&lt;="&amp;G366),SUMIFS('ساعات عبدالعزيز'!$F$5:$F$746,'ساعات عبدالعزيز'!$A$5:$A$746,"&gt;="&amp;(WEEK_ONE+7*(H366-1)),'ساعات عبدالعزيز'!$A$5:$A$746,"&lt;="&amp;G366)))</f>
        <v/>
      </c>
    </row>
    <row r="367" customFormat="false" ht="15" hidden="false" customHeight="false" outlineLevel="0" collapsed="false">
      <c r="A367" s="43"/>
      <c r="B367" s="23" t="str">
        <f aca="false">IF(G367="","",CHOOSE(WEEKDAY(G367,1),"الأحد","الاثنين","الثلاثاء","الأربعاء","الخميس","الجمعة","السبت")&amp;IF(OR(ISNUMBER(A367),LEN(TRIM(A367))&gt;=10),"","  "&amp;TEXT(DAY(G367),"00")&amp;"/"&amp;TEXT(MONTH(G367),"00")&amp;"/"&amp;YEAR(G367)))</f>
        <v/>
      </c>
      <c r="C367" s="24"/>
      <c r="D367" s="44"/>
      <c r="E367" s="27"/>
      <c r="F367" s="45" t="str">
        <f aca="false">IF(A367="","",IF(G367="","⛔ التاريخ غلط — اختاره من القائمة أو اكتبه كامل 05/10/2026",IF(OR(H367&lt;1,H367&gt;NW),"⛔ التاريخ برّا السنة",IF(AND(N(D367)&gt;0,N(J367)&gt;0,D367&gt;ADV_CAP*J367),"⚠️ أكثر من "&amp;TEXT(ADV_CAP,"0%")&amp;" من شغله ("&amp;TEXT(J367,"0.000")&amp;")",""))))</f>
        <v/>
      </c>
      <c r="G367" s="0" t="str">
        <f aca="true">IF(A367="","",IF(ISNUMBER(A367),IF(A367&gt;=36526,A367,""),IFERROR(DATE(VALUE(RIGHT(RIGHT(TRIM(A367),10),4)),VALUE(MID(RIGHT(TRIM(A367),10),4,2)),VALUE(LEFT(RIGHT(TRIM(A367),10),2))),IFERROR(TODAY()-MOD(WEEKDAY(TODAY(),1)-MATCH(TRIM(A367),{"الأحد","الاثنين","الثلاثاء","الأربعاء","الخميس","الجمعة","السبت"},0),7),IFERROR(DATEVALUE(A367),"")))))</f>
        <v/>
      </c>
      <c r="H367" s="0" t="str">
        <f aca="false">IF(G367="","",INT((G367-WEEK_ONE)/7)+1)</f>
        <v/>
      </c>
      <c r="I367" s="0" t="str">
        <f aca="false">IF(H367="","",IF(OR(H367&lt;1,H367&gt;NW),"",INDEX(WMON,H367)))</f>
        <v/>
      </c>
      <c r="J367" s="0" t="str">
        <f aca="false">IF(OR(G367="",H367="",C367=""),"",IF(C367="عمر المصري",SUMIFS('ساعات عمر'!$H$5:$H$746,'ساعات عمر'!$A$5:$A$746,"&gt;="&amp;(WEEK_ONE+7*(H367-1)),'ساعات عمر'!$A$5:$A$746,"&lt;="&amp;G367),SUMIFS('ساعات عبدالعزيز'!$F$5:$F$746,'ساعات عبدالعزيز'!$A$5:$A$746,"&gt;="&amp;(WEEK_ONE+7*(H367-1)),'ساعات عبدالعزيز'!$A$5:$A$746,"&lt;="&amp;G367)))</f>
        <v/>
      </c>
    </row>
    <row r="368" customFormat="false" ht="15" hidden="false" customHeight="false" outlineLevel="0" collapsed="false">
      <c r="A368" s="43"/>
      <c r="B368" s="23" t="str">
        <f aca="false">IF(G368="","",CHOOSE(WEEKDAY(G368,1),"الأحد","الاثنين","الثلاثاء","الأربعاء","الخميس","الجمعة","السبت")&amp;IF(OR(ISNUMBER(A368),LEN(TRIM(A368))&gt;=10),"","  "&amp;TEXT(DAY(G368),"00")&amp;"/"&amp;TEXT(MONTH(G368),"00")&amp;"/"&amp;YEAR(G368)))</f>
        <v/>
      </c>
      <c r="C368" s="24"/>
      <c r="D368" s="44"/>
      <c r="E368" s="27"/>
      <c r="F368" s="45" t="str">
        <f aca="false">IF(A368="","",IF(G368="","⛔ التاريخ غلط — اختاره من القائمة أو اكتبه كامل 05/10/2026",IF(OR(H368&lt;1,H368&gt;NW),"⛔ التاريخ برّا السنة",IF(AND(N(D368)&gt;0,N(J368)&gt;0,D368&gt;ADV_CAP*J368),"⚠️ أكثر من "&amp;TEXT(ADV_CAP,"0%")&amp;" من شغله ("&amp;TEXT(J368,"0.000")&amp;")",""))))</f>
        <v/>
      </c>
      <c r="G368" s="0" t="str">
        <f aca="true">IF(A368="","",IF(ISNUMBER(A368),IF(A368&gt;=36526,A368,""),IFERROR(DATE(VALUE(RIGHT(RIGHT(TRIM(A368),10),4)),VALUE(MID(RIGHT(TRIM(A368),10),4,2)),VALUE(LEFT(RIGHT(TRIM(A368),10),2))),IFERROR(TODAY()-MOD(WEEKDAY(TODAY(),1)-MATCH(TRIM(A368),{"الأحد","الاثنين","الثلاثاء","الأربعاء","الخميس","الجمعة","السبت"},0),7),IFERROR(DATEVALUE(A368),"")))))</f>
        <v/>
      </c>
      <c r="H368" s="0" t="str">
        <f aca="false">IF(G368="","",INT((G368-WEEK_ONE)/7)+1)</f>
        <v/>
      </c>
      <c r="I368" s="0" t="str">
        <f aca="false">IF(H368="","",IF(OR(H368&lt;1,H368&gt;NW),"",INDEX(WMON,H368)))</f>
        <v/>
      </c>
      <c r="J368" s="0" t="str">
        <f aca="false">IF(OR(G368="",H368="",C368=""),"",IF(C368="عمر المصري",SUMIFS('ساعات عمر'!$H$5:$H$746,'ساعات عمر'!$A$5:$A$746,"&gt;="&amp;(WEEK_ONE+7*(H368-1)),'ساعات عمر'!$A$5:$A$746,"&lt;="&amp;G368),SUMIFS('ساعات عبدالعزيز'!$F$5:$F$746,'ساعات عبدالعزيز'!$A$5:$A$746,"&gt;="&amp;(WEEK_ONE+7*(H368-1)),'ساعات عبدالعزيز'!$A$5:$A$746,"&lt;="&amp;G368)))</f>
        <v/>
      </c>
    </row>
    <row r="369" customFormat="false" ht="15" hidden="false" customHeight="false" outlineLevel="0" collapsed="false">
      <c r="A369" s="43"/>
      <c r="B369" s="23" t="str">
        <f aca="false">IF(G369="","",CHOOSE(WEEKDAY(G369,1),"الأحد","الاثنين","الثلاثاء","الأربعاء","الخميس","الجمعة","السبت")&amp;IF(OR(ISNUMBER(A369),LEN(TRIM(A369))&gt;=10),"","  "&amp;TEXT(DAY(G369),"00")&amp;"/"&amp;TEXT(MONTH(G369),"00")&amp;"/"&amp;YEAR(G369)))</f>
        <v/>
      </c>
      <c r="C369" s="24"/>
      <c r="D369" s="44"/>
      <c r="E369" s="27"/>
      <c r="F369" s="45" t="str">
        <f aca="false">IF(A369="","",IF(G369="","⛔ التاريخ غلط — اختاره من القائمة أو اكتبه كامل 05/10/2026",IF(OR(H369&lt;1,H369&gt;NW),"⛔ التاريخ برّا السنة",IF(AND(N(D369)&gt;0,N(J369)&gt;0,D369&gt;ADV_CAP*J369),"⚠️ أكثر من "&amp;TEXT(ADV_CAP,"0%")&amp;" من شغله ("&amp;TEXT(J369,"0.000")&amp;")",""))))</f>
        <v/>
      </c>
      <c r="G369" s="0" t="str">
        <f aca="true">IF(A369="","",IF(ISNUMBER(A369),IF(A369&gt;=36526,A369,""),IFERROR(DATE(VALUE(RIGHT(RIGHT(TRIM(A369),10),4)),VALUE(MID(RIGHT(TRIM(A369),10),4,2)),VALUE(LEFT(RIGHT(TRIM(A369),10),2))),IFERROR(TODAY()-MOD(WEEKDAY(TODAY(),1)-MATCH(TRIM(A369),{"الأحد","الاثنين","الثلاثاء","الأربعاء","الخميس","الجمعة","السبت"},0),7),IFERROR(DATEVALUE(A369),"")))))</f>
        <v/>
      </c>
      <c r="H369" s="0" t="str">
        <f aca="false">IF(G369="","",INT((G369-WEEK_ONE)/7)+1)</f>
        <v/>
      </c>
      <c r="I369" s="0" t="str">
        <f aca="false">IF(H369="","",IF(OR(H369&lt;1,H369&gt;NW),"",INDEX(WMON,H369)))</f>
        <v/>
      </c>
      <c r="J369" s="0" t="str">
        <f aca="false">IF(OR(G369="",H369="",C369=""),"",IF(C369="عمر المصري",SUMIFS('ساعات عمر'!$H$5:$H$746,'ساعات عمر'!$A$5:$A$746,"&gt;="&amp;(WEEK_ONE+7*(H369-1)),'ساعات عمر'!$A$5:$A$746,"&lt;="&amp;G369),SUMIFS('ساعات عبدالعزيز'!$F$5:$F$746,'ساعات عبدالعزيز'!$A$5:$A$746,"&gt;="&amp;(WEEK_ONE+7*(H369-1)),'ساعات عبدالعزيز'!$A$5:$A$746,"&lt;="&amp;G369)))</f>
        <v/>
      </c>
    </row>
    <row r="370" customFormat="false" ht="15" hidden="false" customHeight="false" outlineLevel="0" collapsed="false">
      <c r="A370" s="43"/>
      <c r="B370" s="23" t="str">
        <f aca="false">IF(G370="","",CHOOSE(WEEKDAY(G370,1),"الأحد","الاثنين","الثلاثاء","الأربعاء","الخميس","الجمعة","السبت")&amp;IF(OR(ISNUMBER(A370),LEN(TRIM(A370))&gt;=10),"","  "&amp;TEXT(DAY(G370),"00")&amp;"/"&amp;TEXT(MONTH(G370),"00")&amp;"/"&amp;YEAR(G370)))</f>
        <v/>
      </c>
      <c r="C370" s="24"/>
      <c r="D370" s="44"/>
      <c r="E370" s="27"/>
      <c r="F370" s="45" t="str">
        <f aca="false">IF(A370="","",IF(G370="","⛔ التاريخ غلط — اختاره من القائمة أو اكتبه كامل 05/10/2026",IF(OR(H370&lt;1,H370&gt;NW),"⛔ التاريخ برّا السنة",IF(AND(N(D370)&gt;0,N(J370)&gt;0,D370&gt;ADV_CAP*J370),"⚠️ أكثر من "&amp;TEXT(ADV_CAP,"0%")&amp;" من شغله ("&amp;TEXT(J370,"0.000")&amp;")",""))))</f>
        <v/>
      </c>
      <c r="G370" s="0" t="str">
        <f aca="true">IF(A370="","",IF(ISNUMBER(A370),IF(A370&gt;=36526,A370,""),IFERROR(DATE(VALUE(RIGHT(RIGHT(TRIM(A370),10),4)),VALUE(MID(RIGHT(TRIM(A370),10),4,2)),VALUE(LEFT(RIGHT(TRIM(A370),10),2))),IFERROR(TODAY()-MOD(WEEKDAY(TODAY(),1)-MATCH(TRIM(A370),{"الأحد","الاثنين","الثلاثاء","الأربعاء","الخميس","الجمعة","السبت"},0),7),IFERROR(DATEVALUE(A370),"")))))</f>
        <v/>
      </c>
      <c r="H370" s="0" t="str">
        <f aca="false">IF(G370="","",INT((G370-WEEK_ONE)/7)+1)</f>
        <v/>
      </c>
      <c r="I370" s="0" t="str">
        <f aca="false">IF(H370="","",IF(OR(H370&lt;1,H370&gt;NW),"",INDEX(WMON,H370)))</f>
        <v/>
      </c>
      <c r="J370" s="0" t="str">
        <f aca="false">IF(OR(G370="",H370="",C370=""),"",IF(C370="عمر المصري",SUMIFS('ساعات عمر'!$H$5:$H$746,'ساعات عمر'!$A$5:$A$746,"&gt;="&amp;(WEEK_ONE+7*(H370-1)),'ساعات عمر'!$A$5:$A$746,"&lt;="&amp;G370),SUMIFS('ساعات عبدالعزيز'!$F$5:$F$746,'ساعات عبدالعزيز'!$A$5:$A$746,"&gt;="&amp;(WEEK_ONE+7*(H370-1)),'ساعات عبدالعزيز'!$A$5:$A$746,"&lt;="&amp;G370)))</f>
        <v/>
      </c>
    </row>
    <row r="371" customFormat="false" ht="15" hidden="false" customHeight="false" outlineLevel="0" collapsed="false">
      <c r="A371" s="43"/>
      <c r="B371" s="23" t="str">
        <f aca="false">IF(G371="","",CHOOSE(WEEKDAY(G371,1),"الأحد","الاثنين","الثلاثاء","الأربعاء","الخميس","الجمعة","السبت")&amp;IF(OR(ISNUMBER(A371),LEN(TRIM(A371))&gt;=10),"","  "&amp;TEXT(DAY(G371),"00")&amp;"/"&amp;TEXT(MONTH(G371),"00")&amp;"/"&amp;YEAR(G371)))</f>
        <v/>
      </c>
      <c r="C371" s="24"/>
      <c r="D371" s="44"/>
      <c r="E371" s="27"/>
      <c r="F371" s="45" t="str">
        <f aca="false">IF(A371="","",IF(G371="","⛔ التاريخ غلط — اختاره من القائمة أو اكتبه كامل 05/10/2026",IF(OR(H371&lt;1,H371&gt;NW),"⛔ التاريخ برّا السنة",IF(AND(N(D371)&gt;0,N(J371)&gt;0,D371&gt;ADV_CAP*J371),"⚠️ أكثر من "&amp;TEXT(ADV_CAP,"0%")&amp;" من شغله ("&amp;TEXT(J371,"0.000")&amp;")",""))))</f>
        <v/>
      </c>
      <c r="G371" s="0" t="str">
        <f aca="true">IF(A371="","",IF(ISNUMBER(A371),IF(A371&gt;=36526,A371,""),IFERROR(DATE(VALUE(RIGHT(RIGHT(TRIM(A371),10),4)),VALUE(MID(RIGHT(TRIM(A371),10),4,2)),VALUE(LEFT(RIGHT(TRIM(A371),10),2))),IFERROR(TODAY()-MOD(WEEKDAY(TODAY(),1)-MATCH(TRIM(A371),{"الأحد","الاثنين","الثلاثاء","الأربعاء","الخميس","الجمعة","السبت"},0),7),IFERROR(DATEVALUE(A371),"")))))</f>
        <v/>
      </c>
      <c r="H371" s="0" t="str">
        <f aca="false">IF(G371="","",INT((G371-WEEK_ONE)/7)+1)</f>
        <v/>
      </c>
      <c r="I371" s="0" t="str">
        <f aca="false">IF(H371="","",IF(OR(H371&lt;1,H371&gt;NW),"",INDEX(WMON,H371)))</f>
        <v/>
      </c>
      <c r="J371" s="0" t="str">
        <f aca="false">IF(OR(G371="",H371="",C371=""),"",IF(C371="عمر المصري",SUMIFS('ساعات عمر'!$H$5:$H$746,'ساعات عمر'!$A$5:$A$746,"&gt;="&amp;(WEEK_ONE+7*(H371-1)),'ساعات عمر'!$A$5:$A$746,"&lt;="&amp;G371),SUMIFS('ساعات عبدالعزيز'!$F$5:$F$746,'ساعات عبدالعزيز'!$A$5:$A$746,"&gt;="&amp;(WEEK_ONE+7*(H371-1)),'ساعات عبدالعزيز'!$A$5:$A$746,"&lt;="&amp;G371)))</f>
        <v/>
      </c>
    </row>
    <row r="372" customFormat="false" ht="15" hidden="false" customHeight="false" outlineLevel="0" collapsed="false">
      <c r="A372" s="43"/>
      <c r="B372" s="23" t="str">
        <f aca="false">IF(G372="","",CHOOSE(WEEKDAY(G372,1),"الأحد","الاثنين","الثلاثاء","الأربعاء","الخميس","الجمعة","السبت")&amp;IF(OR(ISNUMBER(A372),LEN(TRIM(A372))&gt;=10),"","  "&amp;TEXT(DAY(G372),"00")&amp;"/"&amp;TEXT(MONTH(G372),"00")&amp;"/"&amp;YEAR(G372)))</f>
        <v/>
      </c>
      <c r="C372" s="24"/>
      <c r="D372" s="44"/>
      <c r="E372" s="27"/>
      <c r="F372" s="45" t="str">
        <f aca="false">IF(A372="","",IF(G372="","⛔ التاريخ غلط — اختاره من القائمة أو اكتبه كامل 05/10/2026",IF(OR(H372&lt;1,H372&gt;NW),"⛔ التاريخ برّا السنة",IF(AND(N(D372)&gt;0,N(J372)&gt;0,D372&gt;ADV_CAP*J372),"⚠️ أكثر من "&amp;TEXT(ADV_CAP,"0%")&amp;" من شغله ("&amp;TEXT(J372,"0.000")&amp;")",""))))</f>
        <v/>
      </c>
      <c r="G372" s="0" t="str">
        <f aca="true">IF(A372="","",IF(ISNUMBER(A372),IF(A372&gt;=36526,A372,""),IFERROR(DATE(VALUE(RIGHT(RIGHT(TRIM(A372),10),4)),VALUE(MID(RIGHT(TRIM(A372),10),4,2)),VALUE(LEFT(RIGHT(TRIM(A372),10),2))),IFERROR(TODAY()-MOD(WEEKDAY(TODAY(),1)-MATCH(TRIM(A372),{"الأحد","الاثنين","الثلاثاء","الأربعاء","الخميس","الجمعة","السبت"},0),7),IFERROR(DATEVALUE(A372),"")))))</f>
        <v/>
      </c>
      <c r="H372" s="0" t="str">
        <f aca="false">IF(G372="","",INT((G372-WEEK_ONE)/7)+1)</f>
        <v/>
      </c>
      <c r="I372" s="0" t="str">
        <f aca="false">IF(H372="","",IF(OR(H372&lt;1,H372&gt;NW),"",INDEX(WMON,H372)))</f>
        <v/>
      </c>
      <c r="J372" s="0" t="str">
        <f aca="false">IF(OR(G372="",H372="",C372=""),"",IF(C372="عمر المصري",SUMIFS('ساعات عمر'!$H$5:$H$746,'ساعات عمر'!$A$5:$A$746,"&gt;="&amp;(WEEK_ONE+7*(H372-1)),'ساعات عمر'!$A$5:$A$746,"&lt;="&amp;G372),SUMIFS('ساعات عبدالعزيز'!$F$5:$F$746,'ساعات عبدالعزيز'!$A$5:$A$746,"&gt;="&amp;(WEEK_ONE+7*(H372-1)),'ساعات عبدالعزيز'!$A$5:$A$746,"&lt;="&amp;G372)))</f>
        <v/>
      </c>
    </row>
    <row r="373" customFormat="false" ht="15" hidden="false" customHeight="false" outlineLevel="0" collapsed="false">
      <c r="A373" s="43"/>
      <c r="B373" s="23" t="str">
        <f aca="false">IF(G373="","",CHOOSE(WEEKDAY(G373,1),"الأحد","الاثنين","الثلاثاء","الأربعاء","الخميس","الجمعة","السبت")&amp;IF(OR(ISNUMBER(A373),LEN(TRIM(A373))&gt;=10),"","  "&amp;TEXT(DAY(G373),"00")&amp;"/"&amp;TEXT(MONTH(G373),"00")&amp;"/"&amp;YEAR(G373)))</f>
        <v/>
      </c>
      <c r="C373" s="24"/>
      <c r="D373" s="44"/>
      <c r="E373" s="27"/>
      <c r="F373" s="45" t="str">
        <f aca="false">IF(A373="","",IF(G373="","⛔ التاريخ غلط — اختاره من القائمة أو اكتبه كامل 05/10/2026",IF(OR(H373&lt;1,H373&gt;NW),"⛔ التاريخ برّا السنة",IF(AND(N(D373)&gt;0,N(J373)&gt;0,D373&gt;ADV_CAP*J373),"⚠️ أكثر من "&amp;TEXT(ADV_CAP,"0%")&amp;" من شغله ("&amp;TEXT(J373,"0.000")&amp;")",""))))</f>
        <v/>
      </c>
      <c r="G373" s="0" t="str">
        <f aca="true">IF(A373="","",IF(ISNUMBER(A373),IF(A373&gt;=36526,A373,""),IFERROR(DATE(VALUE(RIGHT(RIGHT(TRIM(A373),10),4)),VALUE(MID(RIGHT(TRIM(A373),10),4,2)),VALUE(LEFT(RIGHT(TRIM(A373),10),2))),IFERROR(TODAY()-MOD(WEEKDAY(TODAY(),1)-MATCH(TRIM(A373),{"الأحد","الاثنين","الثلاثاء","الأربعاء","الخميس","الجمعة","السبت"},0),7),IFERROR(DATEVALUE(A373),"")))))</f>
        <v/>
      </c>
      <c r="H373" s="0" t="str">
        <f aca="false">IF(G373="","",INT((G373-WEEK_ONE)/7)+1)</f>
        <v/>
      </c>
      <c r="I373" s="0" t="str">
        <f aca="false">IF(H373="","",IF(OR(H373&lt;1,H373&gt;NW),"",INDEX(WMON,H373)))</f>
        <v/>
      </c>
      <c r="J373" s="0" t="str">
        <f aca="false">IF(OR(G373="",H373="",C373=""),"",IF(C373="عمر المصري",SUMIFS('ساعات عمر'!$H$5:$H$746,'ساعات عمر'!$A$5:$A$746,"&gt;="&amp;(WEEK_ONE+7*(H373-1)),'ساعات عمر'!$A$5:$A$746,"&lt;="&amp;G373),SUMIFS('ساعات عبدالعزيز'!$F$5:$F$746,'ساعات عبدالعزيز'!$A$5:$A$746,"&gt;="&amp;(WEEK_ONE+7*(H373-1)),'ساعات عبدالعزيز'!$A$5:$A$746,"&lt;="&amp;G373)))</f>
        <v/>
      </c>
    </row>
    <row r="374" customFormat="false" ht="15" hidden="false" customHeight="false" outlineLevel="0" collapsed="false">
      <c r="A374" s="43"/>
      <c r="B374" s="23" t="str">
        <f aca="false">IF(G374="","",CHOOSE(WEEKDAY(G374,1),"الأحد","الاثنين","الثلاثاء","الأربعاء","الخميس","الجمعة","السبت")&amp;IF(OR(ISNUMBER(A374),LEN(TRIM(A374))&gt;=10),"","  "&amp;TEXT(DAY(G374),"00")&amp;"/"&amp;TEXT(MONTH(G374),"00")&amp;"/"&amp;YEAR(G374)))</f>
        <v/>
      </c>
      <c r="C374" s="24"/>
      <c r="D374" s="44"/>
      <c r="E374" s="27"/>
      <c r="F374" s="45" t="str">
        <f aca="false">IF(A374="","",IF(G374="","⛔ التاريخ غلط — اختاره من القائمة أو اكتبه كامل 05/10/2026",IF(OR(H374&lt;1,H374&gt;NW),"⛔ التاريخ برّا السنة",IF(AND(N(D374)&gt;0,N(J374)&gt;0,D374&gt;ADV_CAP*J374),"⚠️ أكثر من "&amp;TEXT(ADV_CAP,"0%")&amp;" من شغله ("&amp;TEXT(J374,"0.000")&amp;")",""))))</f>
        <v/>
      </c>
      <c r="G374" s="0" t="str">
        <f aca="true">IF(A374="","",IF(ISNUMBER(A374),IF(A374&gt;=36526,A374,""),IFERROR(DATE(VALUE(RIGHT(RIGHT(TRIM(A374),10),4)),VALUE(MID(RIGHT(TRIM(A374),10),4,2)),VALUE(LEFT(RIGHT(TRIM(A374),10),2))),IFERROR(TODAY()-MOD(WEEKDAY(TODAY(),1)-MATCH(TRIM(A374),{"الأحد","الاثنين","الثلاثاء","الأربعاء","الخميس","الجمعة","السبت"},0),7),IFERROR(DATEVALUE(A374),"")))))</f>
        <v/>
      </c>
      <c r="H374" s="0" t="str">
        <f aca="false">IF(G374="","",INT((G374-WEEK_ONE)/7)+1)</f>
        <v/>
      </c>
      <c r="I374" s="0" t="str">
        <f aca="false">IF(H374="","",IF(OR(H374&lt;1,H374&gt;NW),"",INDEX(WMON,H374)))</f>
        <v/>
      </c>
      <c r="J374" s="0" t="str">
        <f aca="false">IF(OR(G374="",H374="",C374=""),"",IF(C374="عمر المصري",SUMIFS('ساعات عمر'!$H$5:$H$746,'ساعات عمر'!$A$5:$A$746,"&gt;="&amp;(WEEK_ONE+7*(H374-1)),'ساعات عمر'!$A$5:$A$746,"&lt;="&amp;G374),SUMIFS('ساعات عبدالعزيز'!$F$5:$F$746,'ساعات عبدالعزيز'!$A$5:$A$746,"&gt;="&amp;(WEEK_ONE+7*(H374-1)),'ساعات عبدالعزيز'!$A$5:$A$746,"&lt;="&amp;G374)))</f>
        <v/>
      </c>
    </row>
    <row r="375" customFormat="false" ht="15" hidden="false" customHeight="false" outlineLevel="0" collapsed="false">
      <c r="A375" s="43"/>
      <c r="B375" s="23" t="str">
        <f aca="false">IF(G375="","",CHOOSE(WEEKDAY(G375,1),"الأحد","الاثنين","الثلاثاء","الأربعاء","الخميس","الجمعة","السبت")&amp;IF(OR(ISNUMBER(A375),LEN(TRIM(A375))&gt;=10),"","  "&amp;TEXT(DAY(G375),"00")&amp;"/"&amp;TEXT(MONTH(G375),"00")&amp;"/"&amp;YEAR(G375)))</f>
        <v/>
      </c>
      <c r="C375" s="24"/>
      <c r="D375" s="44"/>
      <c r="E375" s="27"/>
      <c r="F375" s="45" t="str">
        <f aca="false">IF(A375="","",IF(G375="","⛔ التاريخ غلط — اختاره من القائمة أو اكتبه كامل 05/10/2026",IF(OR(H375&lt;1,H375&gt;NW),"⛔ التاريخ برّا السنة",IF(AND(N(D375)&gt;0,N(J375)&gt;0,D375&gt;ADV_CAP*J375),"⚠️ أكثر من "&amp;TEXT(ADV_CAP,"0%")&amp;" من شغله ("&amp;TEXT(J375,"0.000")&amp;")",""))))</f>
        <v/>
      </c>
      <c r="G375" s="0" t="str">
        <f aca="true">IF(A375="","",IF(ISNUMBER(A375),IF(A375&gt;=36526,A375,""),IFERROR(DATE(VALUE(RIGHT(RIGHT(TRIM(A375),10),4)),VALUE(MID(RIGHT(TRIM(A375),10),4,2)),VALUE(LEFT(RIGHT(TRIM(A375),10),2))),IFERROR(TODAY()-MOD(WEEKDAY(TODAY(),1)-MATCH(TRIM(A375),{"الأحد","الاثنين","الثلاثاء","الأربعاء","الخميس","الجمعة","السبت"},0),7),IFERROR(DATEVALUE(A375),"")))))</f>
        <v/>
      </c>
      <c r="H375" s="0" t="str">
        <f aca="false">IF(G375="","",INT((G375-WEEK_ONE)/7)+1)</f>
        <v/>
      </c>
      <c r="I375" s="0" t="str">
        <f aca="false">IF(H375="","",IF(OR(H375&lt;1,H375&gt;NW),"",INDEX(WMON,H375)))</f>
        <v/>
      </c>
      <c r="J375" s="0" t="str">
        <f aca="false">IF(OR(G375="",H375="",C375=""),"",IF(C375="عمر المصري",SUMIFS('ساعات عمر'!$H$5:$H$746,'ساعات عمر'!$A$5:$A$746,"&gt;="&amp;(WEEK_ONE+7*(H375-1)),'ساعات عمر'!$A$5:$A$746,"&lt;="&amp;G375),SUMIFS('ساعات عبدالعزيز'!$F$5:$F$746,'ساعات عبدالعزيز'!$A$5:$A$746,"&gt;="&amp;(WEEK_ONE+7*(H375-1)),'ساعات عبدالعزيز'!$A$5:$A$746,"&lt;="&amp;G375)))</f>
        <v/>
      </c>
    </row>
    <row r="376" customFormat="false" ht="15" hidden="false" customHeight="false" outlineLevel="0" collapsed="false">
      <c r="A376" s="43"/>
      <c r="B376" s="23" t="str">
        <f aca="false">IF(G376="","",CHOOSE(WEEKDAY(G376,1),"الأحد","الاثنين","الثلاثاء","الأربعاء","الخميس","الجمعة","السبت")&amp;IF(OR(ISNUMBER(A376),LEN(TRIM(A376))&gt;=10),"","  "&amp;TEXT(DAY(G376),"00")&amp;"/"&amp;TEXT(MONTH(G376),"00")&amp;"/"&amp;YEAR(G376)))</f>
        <v/>
      </c>
      <c r="C376" s="24"/>
      <c r="D376" s="44"/>
      <c r="E376" s="27"/>
      <c r="F376" s="45" t="str">
        <f aca="false">IF(A376="","",IF(G376="","⛔ التاريخ غلط — اختاره من القائمة أو اكتبه كامل 05/10/2026",IF(OR(H376&lt;1,H376&gt;NW),"⛔ التاريخ برّا السنة",IF(AND(N(D376)&gt;0,N(J376)&gt;0,D376&gt;ADV_CAP*J376),"⚠️ أكثر من "&amp;TEXT(ADV_CAP,"0%")&amp;" من شغله ("&amp;TEXT(J376,"0.000")&amp;")",""))))</f>
        <v/>
      </c>
      <c r="G376" s="0" t="str">
        <f aca="true">IF(A376="","",IF(ISNUMBER(A376),IF(A376&gt;=36526,A376,""),IFERROR(DATE(VALUE(RIGHT(RIGHT(TRIM(A376),10),4)),VALUE(MID(RIGHT(TRIM(A376),10),4,2)),VALUE(LEFT(RIGHT(TRIM(A376),10),2))),IFERROR(TODAY()-MOD(WEEKDAY(TODAY(),1)-MATCH(TRIM(A376),{"الأحد","الاثنين","الثلاثاء","الأربعاء","الخميس","الجمعة","السبت"},0),7),IFERROR(DATEVALUE(A376),"")))))</f>
        <v/>
      </c>
      <c r="H376" s="0" t="str">
        <f aca="false">IF(G376="","",INT((G376-WEEK_ONE)/7)+1)</f>
        <v/>
      </c>
      <c r="I376" s="0" t="str">
        <f aca="false">IF(H376="","",IF(OR(H376&lt;1,H376&gt;NW),"",INDEX(WMON,H376)))</f>
        <v/>
      </c>
      <c r="J376" s="0" t="str">
        <f aca="false">IF(OR(G376="",H376="",C376=""),"",IF(C376="عمر المصري",SUMIFS('ساعات عمر'!$H$5:$H$746,'ساعات عمر'!$A$5:$A$746,"&gt;="&amp;(WEEK_ONE+7*(H376-1)),'ساعات عمر'!$A$5:$A$746,"&lt;="&amp;G376),SUMIFS('ساعات عبدالعزيز'!$F$5:$F$746,'ساعات عبدالعزيز'!$A$5:$A$746,"&gt;="&amp;(WEEK_ONE+7*(H376-1)),'ساعات عبدالعزيز'!$A$5:$A$746,"&lt;="&amp;G376)))</f>
        <v/>
      </c>
    </row>
    <row r="377" customFormat="false" ht="15" hidden="false" customHeight="false" outlineLevel="0" collapsed="false">
      <c r="A377" s="43"/>
      <c r="B377" s="23" t="str">
        <f aca="false">IF(G377="","",CHOOSE(WEEKDAY(G377,1),"الأحد","الاثنين","الثلاثاء","الأربعاء","الخميس","الجمعة","السبت")&amp;IF(OR(ISNUMBER(A377),LEN(TRIM(A377))&gt;=10),"","  "&amp;TEXT(DAY(G377),"00")&amp;"/"&amp;TEXT(MONTH(G377),"00")&amp;"/"&amp;YEAR(G377)))</f>
        <v/>
      </c>
      <c r="C377" s="24"/>
      <c r="D377" s="44"/>
      <c r="E377" s="27"/>
      <c r="F377" s="45" t="str">
        <f aca="false">IF(A377="","",IF(G377="","⛔ التاريخ غلط — اختاره من القائمة أو اكتبه كامل 05/10/2026",IF(OR(H377&lt;1,H377&gt;NW),"⛔ التاريخ برّا السنة",IF(AND(N(D377)&gt;0,N(J377)&gt;0,D377&gt;ADV_CAP*J377),"⚠️ أكثر من "&amp;TEXT(ADV_CAP,"0%")&amp;" من شغله ("&amp;TEXT(J377,"0.000")&amp;")",""))))</f>
        <v/>
      </c>
      <c r="G377" s="0" t="str">
        <f aca="true">IF(A377="","",IF(ISNUMBER(A377),IF(A377&gt;=36526,A377,""),IFERROR(DATE(VALUE(RIGHT(RIGHT(TRIM(A377),10),4)),VALUE(MID(RIGHT(TRIM(A377),10),4,2)),VALUE(LEFT(RIGHT(TRIM(A377),10),2))),IFERROR(TODAY()-MOD(WEEKDAY(TODAY(),1)-MATCH(TRIM(A377),{"الأحد","الاثنين","الثلاثاء","الأربعاء","الخميس","الجمعة","السبت"},0),7),IFERROR(DATEVALUE(A377),"")))))</f>
        <v/>
      </c>
      <c r="H377" s="0" t="str">
        <f aca="false">IF(G377="","",INT((G377-WEEK_ONE)/7)+1)</f>
        <v/>
      </c>
      <c r="I377" s="0" t="str">
        <f aca="false">IF(H377="","",IF(OR(H377&lt;1,H377&gt;NW),"",INDEX(WMON,H377)))</f>
        <v/>
      </c>
      <c r="J377" s="0" t="str">
        <f aca="false">IF(OR(G377="",H377="",C377=""),"",IF(C377="عمر المصري",SUMIFS('ساعات عمر'!$H$5:$H$746,'ساعات عمر'!$A$5:$A$746,"&gt;="&amp;(WEEK_ONE+7*(H377-1)),'ساعات عمر'!$A$5:$A$746,"&lt;="&amp;G377),SUMIFS('ساعات عبدالعزيز'!$F$5:$F$746,'ساعات عبدالعزيز'!$A$5:$A$746,"&gt;="&amp;(WEEK_ONE+7*(H377-1)),'ساعات عبدالعزيز'!$A$5:$A$746,"&lt;="&amp;G377)))</f>
        <v/>
      </c>
    </row>
    <row r="378" customFormat="false" ht="15" hidden="false" customHeight="false" outlineLevel="0" collapsed="false">
      <c r="A378" s="43"/>
      <c r="B378" s="23" t="str">
        <f aca="false">IF(G378="","",CHOOSE(WEEKDAY(G378,1),"الأحد","الاثنين","الثلاثاء","الأربعاء","الخميس","الجمعة","السبت")&amp;IF(OR(ISNUMBER(A378),LEN(TRIM(A378))&gt;=10),"","  "&amp;TEXT(DAY(G378),"00")&amp;"/"&amp;TEXT(MONTH(G378),"00")&amp;"/"&amp;YEAR(G378)))</f>
        <v/>
      </c>
      <c r="C378" s="24"/>
      <c r="D378" s="44"/>
      <c r="E378" s="27"/>
      <c r="F378" s="45" t="str">
        <f aca="false">IF(A378="","",IF(G378="","⛔ التاريخ غلط — اختاره من القائمة أو اكتبه كامل 05/10/2026",IF(OR(H378&lt;1,H378&gt;NW),"⛔ التاريخ برّا السنة",IF(AND(N(D378)&gt;0,N(J378)&gt;0,D378&gt;ADV_CAP*J378),"⚠️ أكثر من "&amp;TEXT(ADV_CAP,"0%")&amp;" من شغله ("&amp;TEXT(J378,"0.000")&amp;")",""))))</f>
        <v/>
      </c>
      <c r="G378" s="0" t="str">
        <f aca="true">IF(A378="","",IF(ISNUMBER(A378),IF(A378&gt;=36526,A378,""),IFERROR(DATE(VALUE(RIGHT(RIGHT(TRIM(A378),10),4)),VALUE(MID(RIGHT(TRIM(A378),10),4,2)),VALUE(LEFT(RIGHT(TRIM(A378),10),2))),IFERROR(TODAY()-MOD(WEEKDAY(TODAY(),1)-MATCH(TRIM(A378),{"الأحد","الاثنين","الثلاثاء","الأربعاء","الخميس","الجمعة","السبت"},0),7),IFERROR(DATEVALUE(A378),"")))))</f>
        <v/>
      </c>
      <c r="H378" s="0" t="str">
        <f aca="false">IF(G378="","",INT((G378-WEEK_ONE)/7)+1)</f>
        <v/>
      </c>
      <c r="I378" s="0" t="str">
        <f aca="false">IF(H378="","",IF(OR(H378&lt;1,H378&gt;NW),"",INDEX(WMON,H378)))</f>
        <v/>
      </c>
      <c r="J378" s="0" t="str">
        <f aca="false">IF(OR(G378="",H378="",C378=""),"",IF(C378="عمر المصري",SUMIFS('ساعات عمر'!$H$5:$H$746,'ساعات عمر'!$A$5:$A$746,"&gt;="&amp;(WEEK_ONE+7*(H378-1)),'ساعات عمر'!$A$5:$A$746,"&lt;="&amp;G378),SUMIFS('ساعات عبدالعزيز'!$F$5:$F$746,'ساعات عبدالعزيز'!$A$5:$A$746,"&gt;="&amp;(WEEK_ONE+7*(H378-1)),'ساعات عبدالعزيز'!$A$5:$A$746,"&lt;="&amp;G378)))</f>
        <v/>
      </c>
    </row>
    <row r="379" customFormat="false" ht="15" hidden="false" customHeight="false" outlineLevel="0" collapsed="false">
      <c r="A379" s="43"/>
      <c r="B379" s="23" t="str">
        <f aca="false">IF(G379="","",CHOOSE(WEEKDAY(G379,1),"الأحد","الاثنين","الثلاثاء","الأربعاء","الخميس","الجمعة","السبت")&amp;IF(OR(ISNUMBER(A379),LEN(TRIM(A379))&gt;=10),"","  "&amp;TEXT(DAY(G379),"00")&amp;"/"&amp;TEXT(MONTH(G379),"00")&amp;"/"&amp;YEAR(G379)))</f>
        <v/>
      </c>
      <c r="C379" s="24"/>
      <c r="D379" s="44"/>
      <c r="E379" s="27"/>
      <c r="F379" s="45" t="str">
        <f aca="false">IF(A379="","",IF(G379="","⛔ التاريخ غلط — اختاره من القائمة أو اكتبه كامل 05/10/2026",IF(OR(H379&lt;1,H379&gt;NW),"⛔ التاريخ برّا السنة",IF(AND(N(D379)&gt;0,N(J379)&gt;0,D379&gt;ADV_CAP*J379),"⚠️ أكثر من "&amp;TEXT(ADV_CAP,"0%")&amp;" من شغله ("&amp;TEXT(J379,"0.000")&amp;")",""))))</f>
        <v/>
      </c>
      <c r="G379" s="0" t="str">
        <f aca="true">IF(A379="","",IF(ISNUMBER(A379),IF(A379&gt;=36526,A379,""),IFERROR(DATE(VALUE(RIGHT(RIGHT(TRIM(A379),10),4)),VALUE(MID(RIGHT(TRIM(A379),10),4,2)),VALUE(LEFT(RIGHT(TRIM(A379),10),2))),IFERROR(TODAY()-MOD(WEEKDAY(TODAY(),1)-MATCH(TRIM(A379),{"الأحد","الاثنين","الثلاثاء","الأربعاء","الخميس","الجمعة","السبت"},0),7),IFERROR(DATEVALUE(A379),"")))))</f>
        <v/>
      </c>
      <c r="H379" s="0" t="str">
        <f aca="false">IF(G379="","",INT((G379-WEEK_ONE)/7)+1)</f>
        <v/>
      </c>
      <c r="I379" s="0" t="str">
        <f aca="false">IF(H379="","",IF(OR(H379&lt;1,H379&gt;NW),"",INDEX(WMON,H379)))</f>
        <v/>
      </c>
      <c r="J379" s="0" t="str">
        <f aca="false">IF(OR(G379="",H379="",C379=""),"",IF(C379="عمر المصري",SUMIFS('ساعات عمر'!$H$5:$H$746,'ساعات عمر'!$A$5:$A$746,"&gt;="&amp;(WEEK_ONE+7*(H379-1)),'ساعات عمر'!$A$5:$A$746,"&lt;="&amp;G379),SUMIFS('ساعات عبدالعزيز'!$F$5:$F$746,'ساعات عبدالعزيز'!$A$5:$A$746,"&gt;="&amp;(WEEK_ONE+7*(H379-1)),'ساعات عبدالعزيز'!$A$5:$A$746,"&lt;="&amp;G379)))</f>
        <v/>
      </c>
    </row>
    <row r="380" customFormat="false" ht="15" hidden="false" customHeight="false" outlineLevel="0" collapsed="false">
      <c r="A380" s="43"/>
      <c r="B380" s="23" t="str">
        <f aca="false">IF(G380="","",CHOOSE(WEEKDAY(G380,1),"الأحد","الاثنين","الثلاثاء","الأربعاء","الخميس","الجمعة","السبت")&amp;IF(OR(ISNUMBER(A380),LEN(TRIM(A380))&gt;=10),"","  "&amp;TEXT(DAY(G380),"00")&amp;"/"&amp;TEXT(MONTH(G380),"00")&amp;"/"&amp;YEAR(G380)))</f>
        <v/>
      </c>
      <c r="C380" s="24"/>
      <c r="D380" s="44"/>
      <c r="E380" s="27"/>
      <c r="F380" s="45" t="str">
        <f aca="false">IF(A380="","",IF(G380="","⛔ التاريخ غلط — اختاره من القائمة أو اكتبه كامل 05/10/2026",IF(OR(H380&lt;1,H380&gt;NW),"⛔ التاريخ برّا السنة",IF(AND(N(D380)&gt;0,N(J380)&gt;0,D380&gt;ADV_CAP*J380),"⚠️ أكثر من "&amp;TEXT(ADV_CAP,"0%")&amp;" من شغله ("&amp;TEXT(J380,"0.000")&amp;")",""))))</f>
        <v/>
      </c>
      <c r="G380" s="0" t="str">
        <f aca="true">IF(A380="","",IF(ISNUMBER(A380),IF(A380&gt;=36526,A380,""),IFERROR(DATE(VALUE(RIGHT(RIGHT(TRIM(A380),10),4)),VALUE(MID(RIGHT(TRIM(A380),10),4,2)),VALUE(LEFT(RIGHT(TRIM(A380),10),2))),IFERROR(TODAY()-MOD(WEEKDAY(TODAY(),1)-MATCH(TRIM(A380),{"الأحد","الاثنين","الثلاثاء","الأربعاء","الخميس","الجمعة","السبت"},0),7),IFERROR(DATEVALUE(A380),"")))))</f>
        <v/>
      </c>
      <c r="H380" s="0" t="str">
        <f aca="false">IF(G380="","",INT((G380-WEEK_ONE)/7)+1)</f>
        <v/>
      </c>
      <c r="I380" s="0" t="str">
        <f aca="false">IF(H380="","",IF(OR(H380&lt;1,H380&gt;NW),"",INDEX(WMON,H380)))</f>
        <v/>
      </c>
      <c r="J380" s="0" t="str">
        <f aca="false">IF(OR(G380="",H380="",C380=""),"",IF(C380="عمر المصري",SUMIFS('ساعات عمر'!$H$5:$H$746,'ساعات عمر'!$A$5:$A$746,"&gt;="&amp;(WEEK_ONE+7*(H380-1)),'ساعات عمر'!$A$5:$A$746,"&lt;="&amp;G380),SUMIFS('ساعات عبدالعزيز'!$F$5:$F$746,'ساعات عبدالعزيز'!$A$5:$A$746,"&gt;="&amp;(WEEK_ONE+7*(H380-1)),'ساعات عبدالعزيز'!$A$5:$A$746,"&lt;="&amp;G380)))</f>
        <v/>
      </c>
    </row>
    <row r="381" customFormat="false" ht="15" hidden="false" customHeight="false" outlineLevel="0" collapsed="false">
      <c r="A381" s="43"/>
      <c r="B381" s="23" t="str">
        <f aca="false">IF(G381="","",CHOOSE(WEEKDAY(G381,1),"الأحد","الاثنين","الثلاثاء","الأربعاء","الخميس","الجمعة","السبت")&amp;IF(OR(ISNUMBER(A381),LEN(TRIM(A381))&gt;=10),"","  "&amp;TEXT(DAY(G381),"00")&amp;"/"&amp;TEXT(MONTH(G381),"00")&amp;"/"&amp;YEAR(G381)))</f>
        <v/>
      </c>
      <c r="C381" s="24"/>
      <c r="D381" s="44"/>
      <c r="E381" s="27"/>
      <c r="F381" s="45" t="str">
        <f aca="false">IF(A381="","",IF(G381="","⛔ التاريخ غلط — اختاره من القائمة أو اكتبه كامل 05/10/2026",IF(OR(H381&lt;1,H381&gt;NW),"⛔ التاريخ برّا السنة",IF(AND(N(D381)&gt;0,N(J381)&gt;0,D381&gt;ADV_CAP*J381),"⚠️ أكثر من "&amp;TEXT(ADV_CAP,"0%")&amp;" من شغله ("&amp;TEXT(J381,"0.000")&amp;")",""))))</f>
        <v/>
      </c>
      <c r="G381" s="0" t="str">
        <f aca="true">IF(A381="","",IF(ISNUMBER(A381),IF(A381&gt;=36526,A381,""),IFERROR(DATE(VALUE(RIGHT(RIGHT(TRIM(A381),10),4)),VALUE(MID(RIGHT(TRIM(A381),10),4,2)),VALUE(LEFT(RIGHT(TRIM(A381),10),2))),IFERROR(TODAY()-MOD(WEEKDAY(TODAY(),1)-MATCH(TRIM(A381),{"الأحد","الاثنين","الثلاثاء","الأربعاء","الخميس","الجمعة","السبت"},0),7),IFERROR(DATEVALUE(A381),"")))))</f>
        <v/>
      </c>
      <c r="H381" s="0" t="str">
        <f aca="false">IF(G381="","",INT((G381-WEEK_ONE)/7)+1)</f>
        <v/>
      </c>
      <c r="I381" s="0" t="str">
        <f aca="false">IF(H381="","",IF(OR(H381&lt;1,H381&gt;NW),"",INDEX(WMON,H381)))</f>
        <v/>
      </c>
      <c r="J381" s="0" t="str">
        <f aca="false">IF(OR(G381="",H381="",C381=""),"",IF(C381="عمر المصري",SUMIFS('ساعات عمر'!$H$5:$H$746,'ساعات عمر'!$A$5:$A$746,"&gt;="&amp;(WEEK_ONE+7*(H381-1)),'ساعات عمر'!$A$5:$A$746,"&lt;="&amp;G381),SUMIFS('ساعات عبدالعزيز'!$F$5:$F$746,'ساعات عبدالعزيز'!$A$5:$A$746,"&gt;="&amp;(WEEK_ONE+7*(H381-1)),'ساعات عبدالعزيز'!$A$5:$A$746,"&lt;="&amp;G381)))</f>
        <v/>
      </c>
    </row>
    <row r="382" customFormat="false" ht="15" hidden="false" customHeight="false" outlineLevel="0" collapsed="false">
      <c r="A382" s="43"/>
      <c r="B382" s="23" t="str">
        <f aca="false">IF(G382="","",CHOOSE(WEEKDAY(G382,1),"الأحد","الاثنين","الثلاثاء","الأربعاء","الخميس","الجمعة","السبت")&amp;IF(OR(ISNUMBER(A382),LEN(TRIM(A382))&gt;=10),"","  "&amp;TEXT(DAY(G382),"00")&amp;"/"&amp;TEXT(MONTH(G382),"00")&amp;"/"&amp;YEAR(G382)))</f>
        <v/>
      </c>
      <c r="C382" s="24"/>
      <c r="D382" s="44"/>
      <c r="E382" s="27"/>
      <c r="F382" s="45" t="str">
        <f aca="false">IF(A382="","",IF(G382="","⛔ التاريخ غلط — اختاره من القائمة أو اكتبه كامل 05/10/2026",IF(OR(H382&lt;1,H382&gt;NW),"⛔ التاريخ برّا السنة",IF(AND(N(D382)&gt;0,N(J382)&gt;0,D382&gt;ADV_CAP*J382),"⚠️ أكثر من "&amp;TEXT(ADV_CAP,"0%")&amp;" من شغله ("&amp;TEXT(J382,"0.000")&amp;")",""))))</f>
        <v/>
      </c>
      <c r="G382" s="0" t="str">
        <f aca="true">IF(A382="","",IF(ISNUMBER(A382),IF(A382&gt;=36526,A382,""),IFERROR(DATE(VALUE(RIGHT(RIGHT(TRIM(A382),10),4)),VALUE(MID(RIGHT(TRIM(A382),10),4,2)),VALUE(LEFT(RIGHT(TRIM(A382),10),2))),IFERROR(TODAY()-MOD(WEEKDAY(TODAY(),1)-MATCH(TRIM(A382),{"الأحد","الاثنين","الثلاثاء","الأربعاء","الخميس","الجمعة","السبت"},0),7),IFERROR(DATEVALUE(A382),"")))))</f>
        <v/>
      </c>
      <c r="H382" s="0" t="str">
        <f aca="false">IF(G382="","",INT((G382-WEEK_ONE)/7)+1)</f>
        <v/>
      </c>
      <c r="I382" s="0" t="str">
        <f aca="false">IF(H382="","",IF(OR(H382&lt;1,H382&gt;NW),"",INDEX(WMON,H382)))</f>
        <v/>
      </c>
      <c r="J382" s="0" t="str">
        <f aca="false">IF(OR(G382="",H382="",C382=""),"",IF(C382="عمر المصري",SUMIFS('ساعات عمر'!$H$5:$H$746,'ساعات عمر'!$A$5:$A$746,"&gt;="&amp;(WEEK_ONE+7*(H382-1)),'ساعات عمر'!$A$5:$A$746,"&lt;="&amp;G382),SUMIFS('ساعات عبدالعزيز'!$F$5:$F$746,'ساعات عبدالعزيز'!$A$5:$A$746,"&gt;="&amp;(WEEK_ONE+7*(H382-1)),'ساعات عبدالعزيز'!$A$5:$A$746,"&lt;="&amp;G382)))</f>
        <v/>
      </c>
    </row>
    <row r="383" customFormat="false" ht="15" hidden="false" customHeight="false" outlineLevel="0" collapsed="false">
      <c r="A383" s="43"/>
      <c r="B383" s="23" t="str">
        <f aca="false">IF(G383="","",CHOOSE(WEEKDAY(G383,1),"الأحد","الاثنين","الثلاثاء","الأربعاء","الخميس","الجمعة","السبت")&amp;IF(OR(ISNUMBER(A383),LEN(TRIM(A383))&gt;=10),"","  "&amp;TEXT(DAY(G383),"00")&amp;"/"&amp;TEXT(MONTH(G383),"00")&amp;"/"&amp;YEAR(G383)))</f>
        <v/>
      </c>
      <c r="C383" s="24"/>
      <c r="D383" s="44"/>
      <c r="E383" s="27"/>
      <c r="F383" s="45" t="str">
        <f aca="false">IF(A383="","",IF(G383="","⛔ التاريخ غلط — اختاره من القائمة أو اكتبه كامل 05/10/2026",IF(OR(H383&lt;1,H383&gt;NW),"⛔ التاريخ برّا السنة",IF(AND(N(D383)&gt;0,N(J383)&gt;0,D383&gt;ADV_CAP*J383),"⚠️ أكثر من "&amp;TEXT(ADV_CAP,"0%")&amp;" من شغله ("&amp;TEXT(J383,"0.000")&amp;")",""))))</f>
        <v/>
      </c>
      <c r="G383" s="0" t="str">
        <f aca="true">IF(A383="","",IF(ISNUMBER(A383),IF(A383&gt;=36526,A383,""),IFERROR(DATE(VALUE(RIGHT(RIGHT(TRIM(A383),10),4)),VALUE(MID(RIGHT(TRIM(A383),10),4,2)),VALUE(LEFT(RIGHT(TRIM(A383),10),2))),IFERROR(TODAY()-MOD(WEEKDAY(TODAY(),1)-MATCH(TRIM(A383),{"الأحد","الاثنين","الثلاثاء","الأربعاء","الخميس","الجمعة","السبت"},0),7),IFERROR(DATEVALUE(A383),"")))))</f>
        <v/>
      </c>
      <c r="H383" s="0" t="str">
        <f aca="false">IF(G383="","",INT((G383-WEEK_ONE)/7)+1)</f>
        <v/>
      </c>
      <c r="I383" s="0" t="str">
        <f aca="false">IF(H383="","",IF(OR(H383&lt;1,H383&gt;NW),"",INDEX(WMON,H383)))</f>
        <v/>
      </c>
      <c r="J383" s="0" t="str">
        <f aca="false">IF(OR(G383="",H383="",C383=""),"",IF(C383="عمر المصري",SUMIFS('ساعات عمر'!$H$5:$H$746,'ساعات عمر'!$A$5:$A$746,"&gt;="&amp;(WEEK_ONE+7*(H383-1)),'ساعات عمر'!$A$5:$A$746,"&lt;="&amp;G383),SUMIFS('ساعات عبدالعزيز'!$F$5:$F$746,'ساعات عبدالعزيز'!$A$5:$A$746,"&gt;="&amp;(WEEK_ONE+7*(H383-1)),'ساعات عبدالعزيز'!$A$5:$A$746,"&lt;="&amp;G383)))</f>
        <v/>
      </c>
    </row>
    <row r="384" customFormat="false" ht="15" hidden="false" customHeight="false" outlineLevel="0" collapsed="false">
      <c r="A384" s="43"/>
      <c r="B384" s="23" t="str">
        <f aca="false">IF(G384="","",CHOOSE(WEEKDAY(G384,1),"الأحد","الاثنين","الثلاثاء","الأربعاء","الخميس","الجمعة","السبت")&amp;IF(OR(ISNUMBER(A384),LEN(TRIM(A384))&gt;=10),"","  "&amp;TEXT(DAY(G384),"00")&amp;"/"&amp;TEXT(MONTH(G384),"00")&amp;"/"&amp;YEAR(G384)))</f>
        <v/>
      </c>
      <c r="C384" s="24"/>
      <c r="D384" s="44"/>
      <c r="E384" s="27"/>
      <c r="F384" s="45" t="str">
        <f aca="false">IF(A384="","",IF(G384="","⛔ التاريخ غلط — اختاره من القائمة أو اكتبه كامل 05/10/2026",IF(OR(H384&lt;1,H384&gt;NW),"⛔ التاريخ برّا السنة",IF(AND(N(D384)&gt;0,N(J384)&gt;0,D384&gt;ADV_CAP*J384),"⚠️ أكثر من "&amp;TEXT(ADV_CAP,"0%")&amp;" من شغله ("&amp;TEXT(J384,"0.000")&amp;")",""))))</f>
        <v/>
      </c>
      <c r="G384" s="0" t="str">
        <f aca="true">IF(A384="","",IF(ISNUMBER(A384),IF(A384&gt;=36526,A384,""),IFERROR(DATE(VALUE(RIGHT(RIGHT(TRIM(A384),10),4)),VALUE(MID(RIGHT(TRIM(A384),10),4,2)),VALUE(LEFT(RIGHT(TRIM(A384),10),2))),IFERROR(TODAY()-MOD(WEEKDAY(TODAY(),1)-MATCH(TRIM(A384),{"الأحد","الاثنين","الثلاثاء","الأربعاء","الخميس","الجمعة","السبت"},0),7),IFERROR(DATEVALUE(A384),"")))))</f>
        <v/>
      </c>
      <c r="H384" s="0" t="str">
        <f aca="false">IF(G384="","",INT((G384-WEEK_ONE)/7)+1)</f>
        <v/>
      </c>
      <c r="I384" s="0" t="str">
        <f aca="false">IF(H384="","",IF(OR(H384&lt;1,H384&gt;NW),"",INDEX(WMON,H384)))</f>
        <v/>
      </c>
      <c r="J384" s="0" t="str">
        <f aca="false">IF(OR(G384="",H384="",C384=""),"",IF(C384="عمر المصري",SUMIFS('ساعات عمر'!$H$5:$H$746,'ساعات عمر'!$A$5:$A$746,"&gt;="&amp;(WEEK_ONE+7*(H384-1)),'ساعات عمر'!$A$5:$A$746,"&lt;="&amp;G384),SUMIFS('ساعات عبدالعزيز'!$F$5:$F$746,'ساعات عبدالعزيز'!$A$5:$A$746,"&gt;="&amp;(WEEK_ONE+7*(H384-1)),'ساعات عبدالعزيز'!$A$5:$A$746,"&lt;="&amp;G384)))</f>
        <v/>
      </c>
    </row>
    <row r="385" customFormat="false" ht="15" hidden="false" customHeight="false" outlineLevel="0" collapsed="false">
      <c r="A385" s="43"/>
      <c r="B385" s="23" t="str">
        <f aca="false">IF(G385="","",CHOOSE(WEEKDAY(G385,1),"الأحد","الاثنين","الثلاثاء","الأربعاء","الخميس","الجمعة","السبت")&amp;IF(OR(ISNUMBER(A385),LEN(TRIM(A385))&gt;=10),"","  "&amp;TEXT(DAY(G385),"00")&amp;"/"&amp;TEXT(MONTH(G385),"00")&amp;"/"&amp;YEAR(G385)))</f>
        <v/>
      </c>
      <c r="C385" s="24"/>
      <c r="D385" s="44"/>
      <c r="E385" s="27"/>
      <c r="F385" s="45" t="str">
        <f aca="false">IF(A385="","",IF(G385="","⛔ التاريخ غلط — اختاره من القائمة أو اكتبه كامل 05/10/2026",IF(OR(H385&lt;1,H385&gt;NW),"⛔ التاريخ برّا السنة",IF(AND(N(D385)&gt;0,N(J385)&gt;0,D385&gt;ADV_CAP*J385),"⚠️ أكثر من "&amp;TEXT(ADV_CAP,"0%")&amp;" من شغله ("&amp;TEXT(J385,"0.000")&amp;")",""))))</f>
        <v/>
      </c>
      <c r="G385" s="0" t="str">
        <f aca="true">IF(A385="","",IF(ISNUMBER(A385),IF(A385&gt;=36526,A385,""),IFERROR(DATE(VALUE(RIGHT(RIGHT(TRIM(A385),10),4)),VALUE(MID(RIGHT(TRIM(A385),10),4,2)),VALUE(LEFT(RIGHT(TRIM(A385),10),2))),IFERROR(TODAY()-MOD(WEEKDAY(TODAY(),1)-MATCH(TRIM(A385),{"الأحد","الاثنين","الثلاثاء","الأربعاء","الخميس","الجمعة","السبت"},0),7),IFERROR(DATEVALUE(A385),"")))))</f>
        <v/>
      </c>
      <c r="H385" s="0" t="str">
        <f aca="false">IF(G385="","",INT((G385-WEEK_ONE)/7)+1)</f>
        <v/>
      </c>
      <c r="I385" s="0" t="str">
        <f aca="false">IF(H385="","",IF(OR(H385&lt;1,H385&gt;NW),"",INDEX(WMON,H385)))</f>
        <v/>
      </c>
      <c r="J385" s="0" t="str">
        <f aca="false">IF(OR(G385="",H385="",C385=""),"",IF(C385="عمر المصري",SUMIFS('ساعات عمر'!$H$5:$H$746,'ساعات عمر'!$A$5:$A$746,"&gt;="&amp;(WEEK_ONE+7*(H385-1)),'ساعات عمر'!$A$5:$A$746,"&lt;="&amp;G385),SUMIFS('ساعات عبدالعزيز'!$F$5:$F$746,'ساعات عبدالعزيز'!$A$5:$A$746,"&gt;="&amp;(WEEK_ONE+7*(H385-1)),'ساعات عبدالعزيز'!$A$5:$A$746,"&lt;="&amp;G385)))</f>
        <v/>
      </c>
    </row>
    <row r="386" customFormat="false" ht="15" hidden="false" customHeight="false" outlineLevel="0" collapsed="false">
      <c r="A386" s="43"/>
      <c r="B386" s="23" t="str">
        <f aca="false">IF(G386="","",CHOOSE(WEEKDAY(G386,1),"الأحد","الاثنين","الثلاثاء","الأربعاء","الخميس","الجمعة","السبت")&amp;IF(OR(ISNUMBER(A386),LEN(TRIM(A386))&gt;=10),"","  "&amp;TEXT(DAY(G386),"00")&amp;"/"&amp;TEXT(MONTH(G386),"00")&amp;"/"&amp;YEAR(G386)))</f>
        <v/>
      </c>
      <c r="C386" s="24"/>
      <c r="D386" s="44"/>
      <c r="E386" s="27"/>
      <c r="F386" s="45" t="str">
        <f aca="false">IF(A386="","",IF(G386="","⛔ التاريخ غلط — اختاره من القائمة أو اكتبه كامل 05/10/2026",IF(OR(H386&lt;1,H386&gt;NW),"⛔ التاريخ برّا السنة",IF(AND(N(D386)&gt;0,N(J386)&gt;0,D386&gt;ADV_CAP*J386),"⚠️ أكثر من "&amp;TEXT(ADV_CAP,"0%")&amp;" من شغله ("&amp;TEXT(J386,"0.000")&amp;")",""))))</f>
        <v/>
      </c>
      <c r="G386" s="0" t="str">
        <f aca="true">IF(A386="","",IF(ISNUMBER(A386),IF(A386&gt;=36526,A386,""),IFERROR(DATE(VALUE(RIGHT(RIGHT(TRIM(A386),10),4)),VALUE(MID(RIGHT(TRIM(A386),10),4,2)),VALUE(LEFT(RIGHT(TRIM(A386),10),2))),IFERROR(TODAY()-MOD(WEEKDAY(TODAY(),1)-MATCH(TRIM(A386),{"الأحد","الاثنين","الثلاثاء","الأربعاء","الخميس","الجمعة","السبت"},0),7),IFERROR(DATEVALUE(A386),"")))))</f>
        <v/>
      </c>
      <c r="H386" s="0" t="str">
        <f aca="false">IF(G386="","",INT((G386-WEEK_ONE)/7)+1)</f>
        <v/>
      </c>
      <c r="I386" s="0" t="str">
        <f aca="false">IF(H386="","",IF(OR(H386&lt;1,H386&gt;NW),"",INDEX(WMON,H386)))</f>
        <v/>
      </c>
      <c r="J386" s="0" t="str">
        <f aca="false">IF(OR(G386="",H386="",C386=""),"",IF(C386="عمر المصري",SUMIFS('ساعات عمر'!$H$5:$H$746,'ساعات عمر'!$A$5:$A$746,"&gt;="&amp;(WEEK_ONE+7*(H386-1)),'ساعات عمر'!$A$5:$A$746,"&lt;="&amp;G386),SUMIFS('ساعات عبدالعزيز'!$F$5:$F$746,'ساعات عبدالعزيز'!$A$5:$A$746,"&gt;="&amp;(WEEK_ONE+7*(H386-1)),'ساعات عبدالعزيز'!$A$5:$A$746,"&lt;="&amp;G386)))</f>
        <v/>
      </c>
    </row>
    <row r="387" customFormat="false" ht="15" hidden="false" customHeight="false" outlineLevel="0" collapsed="false">
      <c r="A387" s="43"/>
      <c r="B387" s="23" t="str">
        <f aca="false">IF(G387="","",CHOOSE(WEEKDAY(G387,1),"الأحد","الاثنين","الثلاثاء","الأربعاء","الخميس","الجمعة","السبت")&amp;IF(OR(ISNUMBER(A387),LEN(TRIM(A387))&gt;=10),"","  "&amp;TEXT(DAY(G387),"00")&amp;"/"&amp;TEXT(MONTH(G387),"00")&amp;"/"&amp;YEAR(G387)))</f>
        <v/>
      </c>
      <c r="C387" s="24"/>
      <c r="D387" s="44"/>
      <c r="E387" s="27"/>
      <c r="F387" s="45" t="str">
        <f aca="false">IF(A387="","",IF(G387="","⛔ التاريخ غلط — اختاره من القائمة أو اكتبه كامل 05/10/2026",IF(OR(H387&lt;1,H387&gt;NW),"⛔ التاريخ برّا السنة",IF(AND(N(D387)&gt;0,N(J387)&gt;0,D387&gt;ADV_CAP*J387),"⚠️ أكثر من "&amp;TEXT(ADV_CAP,"0%")&amp;" من شغله ("&amp;TEXT(J387,"0.000")&amp;")",""))))</f>
        <v/>
      </c>
      <c r="G387" s="0" t="str">
        <f aca="true">IF(A387="","",IF(ISNUMBER(A387),IF(A387&gt;=36526,A387,""),IFERROR(DATE(VALUE(RIGHT(RIGHT(TRIM(A387),10),4)),VALUE(MID(RIGHT(TRIM(A387),10),4,2)),VALUE(LEFT(RIGHT(TRIM(A387),10),2))),IFERROR(TODAY()-MOD(WEEKDAY(TODAY(),1)-MATCH(TRIM(A387),{"الأحد","الاثنين","الثلاثاء","الأربعاء","الخميس","الجمعة","السبت"},0),7),IFERROR(DATEVALUE(A387),"")))))</f>
        <v/>
      </c>
      <c r="H387" s="0" t="str">
        <f aca="false">IF(G387="","",INT((G387-WEEK_ONE)/7)+1)</f>
        <v/>
      </c>
      <c r="I387" s="0" t="str">
        <f aca="false">IF(H387="","",IF(OR(H387&lt;1,H387&gt;NW),"",INDEX(WMON,H387)))</f>
        <v/>
      </c>
      <c r="J387" s="0" t="str">
        <f aca="false">IF(OR(G387="",H387="",C387=""),"",IF(C387="عمر المصري",SUMIFS('ساعات عمر'!$H$5:$H$746,'ساعات عمر'!$A$5:$A$746,"&gt;="&amp;(WEEK_ONE+7*(H387-1)),'ساعات عمر'!$A$5:$A$746,"&lt;="&amp;G387),SUMIFS('ساعات عبدالعزيز'!$F$5:$F$746,'ساعات عبدالعزيز'!$A$5:$A$746,"&gt;="&amp;(WEEK_ONE+7*(H387-1)),'ساعات عبدالعزيز'!$A$5:$A$746,"&lt;="&amp;G387)))</f>
        <v/>
      </c>
    </row>
    <row r="388" customFormat="false" ht="15" hidden="false" customHeight="false" outlineLevel="0" collapsed="false">
      <c r="A388" s="43"/>
      <c r="B388" s="23" t="str">
        <f aca="false">IF(G388="","",CHOOSE(WEEKDAY(G388,1),"الأحد","الاثنين","الثلاثاء","الأربعاء","الخميس","الجمعة","السبت")&amp;IF(OR(ISNUMBER(A388),LEN(TRIM(A388))&gt;=10),"","  "&amp;TEXT(DAY(G388),"00")&amp;"/"&amp;TEXT(MONTH(G388),"00")&amp;"/"&amp;YEAR(G388)))</f>
        <v/>
      </c>
      <c r="C388" s="24"/>
      <c r="D388" s="44"/>
      <c r="E388" s="27"/>
      <c r="F388" s="45" t="str">
        <f aca="false">IF(A388="","",IF(G388="","⛔ التاريخ غلط — اختاره من القائمة أو اكتبه كامل 05/10/2026",IF(OR(H388&lt;1,H388&gt;NW),"⛔ التاريخ برّا السنة",IF(AND(N(D388)&gt;0,N(J388)&gt;0,D388&gt;ADV_CAP*J388),"⚠️ أكثر من "&amp;TEXT(ADV_CAP,"0%")&amp;" من شغله ("&amp;TEXT(J388,"0.000")&amp;")",""))))</f>
        <v/>
      </c>
      <c r="G388" s="0" t="str">
        <f aca="true">IF(A388="","",IF(ISNUMBER(A388),IF(A388&gt;=36526,A388,""),IFERROR(DATE(VALUE(RIGHT(RIGHT(TRIM(A388),10),4)),VALUE(MID(RIGHT(TRIM(A388),10),4,2)),VALUE(LEFT(RIGHT(TRIM(A388),10),2))),IFERROR(TODAY()-MOD(WEEKDAY(TODAY(),1)-MATCH(TRIM(A388),{"الأحد","الاثنين","الثلاثاء","الأربعاء","الخميس","الجمعة","السبت"},0),7),IFERROR(DATEVALUE(A388),"")))))</f>
        <v/>
      </c>
      <c r="H388" s="0" t="str">
        <f aca="false">IF(G388="","",INT((G388-WEEK_ONE)/7)+1)</f>
        <v/>
      </c>
      <c r="I388" s="0" t="str">
        <f aca="false">IF(H388="","",IF(OR(H388&lt;1,H388&gt;NW),"",INDEX(WMON,H388)))</f>
        <v/>
      </c>
      <c r="J388" s="0" t="str">
        <f aca="false">IF(OR(G388="",H388="",C388=""),"",IF(C388="عمر المصري",SUMIFS('ساعات عمر'!$H$5:$H$746,'ساعات عمر'!$A$5:$A$746,"&gt;="&amp;(WEEK_ONE+7*(H388-1)),'ساعات عمر'!$A$5:$A$746,"&lt;="&amp;G388),SUMIFS('ساعات عبدالعزيز'!$F$5:$F$746,'ساعات عبدالعزيز'!$A$5:$A$746,"&gt;="&amp;(WEEK_ONE+7*(H388-1)),'ساعات عبدالعزيز'!$A$5:$A$746,"&lt;="&amp;G388)))</f>
        <v/>
      </c>
    </row>
    <row r="389" customFormat="false" ht="15" hidden="false" customHeight="false" outlineLevel="0" collapsed="false">
      <c r="A389" s="43"/>
      <c r="B389" s="23" t="str">
        <f aca="false">IF(G389="","",CHOOSE(WEEKDAY(G389,1),"الأحد","الاثنين","الثلاثاء","الأربعاء","الخميس","الجمعة","السبت")&amp;IF(OR(ISNUMBER(A389),LEN(TRIM(A389))&gt;=10),"","  "&amp;TEXT(DAY(G389),"00")&amp;"/"&amp;TEXT(MONTH(G389),"00")&amp;"/"&amp;YEAR(G389)))</f>
        <v/>
      </c>
      <c r="C389" s="24"/>
      <c r="D389" s="44"/>
      <c r="E389" s="27"/>
      <c r="F389" s="45" t="str">
        <f aca="false">IF(A389="","",IF(G389="","⛔ التاريخ غلط — اختاره من القائمة أو اكتبه كامل 05/10/2026",IF(OR(H389&lt;1,H389&gt;NW),"⛔ التاريخ برّا السنة",IF(AND(N(D389)&gt;0,N(J389)&gt;0,D389&gt;ADV_CAP*J389),"⚠️ أكثر من "&amp;TEXT(ADV_CAP,"0%")&amp;" من شغله ("&amp;TEXT(J389,"0.000")&amp;")",""))))</f>
        <v/>
      </c>
      <c r="G389" s="0" t="str">
        <f aca="true">IF(A389="","",IF(ISNUMBER(A389),IF(A389&gt;=36526,A389,""),IFERROR(DATE(VALUE(RIGHT(RIGHT(TRIM(A389),10),4)),VALUE(MID(RIGHT(TRIM(A389),10),4,2)),VALUE(LEFT(RIGHT(TRIM(A389),10),2))),IFERROR(TODAY()-MOD(WEEKDAY(TODAY(),1)-MATCH(TRIM(A389),{"الأحد","الاثنين","الثلاثاء","الأربعاء","الخميس","الجمعة","السبت"},0),7),IFERROR(DATEVALUE(A389),"")))))</f>
        <v/>
      </c>
      <c r="H389" s="0" t="str">
        <f aca="false">IF(G389="","",INT((G389-WEEK_ONE)/7)+1)</f>
        <v/>
      </c>
      <c r="I389" s="0" t="str">
        <f aca="false">IF(H389="","",IF(OR(H389&lt;1,H389&gt;NW),"",INDEX(WMON,H389)))</f>
        <v/>
      </c>
      <c r="J389" s="0" t="str">
        <f aca="false">IF(OR(G389="",H389="",C389=""),"",IF(C389="عمر المصري",SUMIFS('ساعات عمر'!$H$5:$H$746,'ساعات عمر'!$A$5:$A$746,"&gt;="&amp;(WEEK_ONE+7*(H389-1)),'ساعات عمر'!$A$5:$A$746,"&lt;="&amp;G389),SUMIFS('ساعات عبدالعزيز'!$F$5:$F$746,'ساعات عبدالعزيز'!$A$5:$A$746,"&gt;="&amp;(WEEK_ONE+7*(H389-1)),'ساعات عبدالعزيز'!$A$5:$A$746,"&lt;="&amp;G389)))</f>
        <v/>
      </c>
    </row>
    <row r="390" customFormat="false" ht="15" hidden="false" customHeight="false" outlineLevel="0" collapsed="false">
      <c r="A390" s="43"/>
      <c r="B390" s="23" t="str">
        <f aca="false">IF(G390="","",CHOOSE(WEEKDAY(G390,1),"الأحد","الاثنين","الثلاثاء","الأربعاء","الخميس","الجمعة","السبت")&amp;IF(OR(ISNUMBER(A390),LEN(TRIM(A390))&gt;=10),"","  "&amp;TEXT(DAY(G390),"00")&amp;"/"&amp;TEXT(MONTH(G390),"00")&amp;"/"&amp;YEAR(G390)))</f>
        <v/>
      </c>
      <c r="C390" s="24"/>
      <c r="D390" s="44"/>
      <c r="E390" s="27"/>
      <c r="F390" s="45" t="str">
        <f aca="false">IF(A390="","",IF(G390="","⛔ التاريخ غلط — اختاره من القائمة أو اكتبه كامل 05/10/2026",IF(OR(H390&lt;1,H390&gt;NW),"⛔ التاريخ برّا السنة",IF(AND(N(D390)&gt;0,N(J390)&gt;0,D390&gt;ADV_CAP*J390),"⚠️ أكثر من "&amp;TEXT(ADV_CAP,"0%")&amp;" من شغله ("&amp;TEXT(J390,"0.000")&amp;")",""))))</f>
        <v/>
      </c>
      <c r="G390" s="0" t="str">
        <f aca="true">IF(A390="","",IF(ISNUMBER(A390),IF(A390&gt;=36526,A390,""),IFERROR(DATE(VALUE(RIGHT(RIGHT(TRIM(A390),10),4)),VALUE(MID(RIGHT(TRIM(A390),10),4,2)),VALUE(LEFT(RIGHT(TRIM(A390),10),2))),IFERROR(TODAY()-MOD(WEEKDAY(TODAY(),1)-MATCH(TRIM(A390),{"الأحد","الاثنين","الثلاثاء","الأربعاء","الخميس","الجمعة","السبت"},0),7),IFERROR(DATEVALUE(A390),"")))))</f>
        <v/>
      </c>
      <c r="H390" s="0" t="str">
        <f aca="false">IF(G390="","",INT((G390-WEEK_ONE)/7)+1)</f>
        <v/>
      </c>
      <c r="I390" s="0" t="str">
        <f aca="false">IF(H390="","",IF(OR(H390&lt;1,H390&gt;NW),"",INDEX(WMON,H390)))</f>
        <v/>
      </c>
      <c r="J390" s="0" t="str">
        <f aca="false">IF(OR(G390="",H390="",C390=""),"",IF(C390="عمر المصري",SUMIFS('ساعات عمر'!$H$5:$H$746,'ساعات عمر'!$A$5:$A$746,"&gt;="&amp;(WEEK_ONE+7*(H390-1)),'ساعات عمر'!$A$5:$A$746,"&lt;="&amp;G390),SUMIFS('ساعات عبدالعزيز'!$F$5:$F$746,'ساعات عبدالعزيز'!$A$5:$A$746,"&gt;="&amp;(WEEK_ONE+7*(H390-1)),'ساعات عبدالعزيز'!$A$5:$A$746,"&lt;="&amp;G390)))</f>
        <v/>
      </c>
    </row>
    <row r="391" customFormat="false" ht="15" hidden="false" customHeight="false" outlineLevel="0" collapsed="false">
      <c r="A391" s="43"/>
      <c r="B391" s="23" t="str">
        <f aca="false">IF(G391="","",CHOOSE(WEEKDAY(G391,1),"الأحد","الاثنين","الثلاثاء","الأربعاء","الخميس","الجمعة","السبت")&amp;IF(OR(ISNUMBER(A391),LEN(TRIM(A391))&gt;=10),"","  "&amp;TEXT(DAY(G391),"00")&amp;"/"&amp;TEXT(MONTH(G391),"00")&amp;"/"&amp;YEAR(G391)))</f>
        <v/>
      </c>
      <c r="C391" s="24"/>
      <c r="D391" s="44"/>
      <c r="E391" s="27"/>
      <c r="F391" s="45" t="str">
        <f aca="false">IF(A391="","",IF(G391="","⛔ التاريخ غلط — اختاره من القائمة أو اكتبه كامل 05/10/2026",IF(OR(H391&lt;1,H391&gt;NW),"⛔ التاريخ برّا السنة",IF(AND(N(D391)&gt;0,N(J391)&gt;0,D391&gt;ADV_CAP*J391),"⚠️ أكثر من "&amp;TEXT(ADV_CAP,"0%")&amp;" من شغله ("&amp;TEXT(J391,"0.000")&amp;")",""))))</f>
        <v/>
      </c>
      <c r="G391" s="0" t="str">
        <f aca="true">IF(A391="","",IF(ISNUMBER(A391),IF(A391&gt;=36526,A391,""),IFERROR(DATE(VALUE(RIGHT(RIGHT(TRIM(A391),10),4)),VALUE(MID(RIGHT(TRIM(A391),10),4,2)),VALUE(LEFT(RIGHT(TRIM(A391),10),2))),IFERROR(TODAY()-MOD(WEEKDAY(TODAY(),1)-MATCH(TRIM(A391),{"الأحد","الاثنين","الثلاثاء","الأربعاء","الخميس","الجمعة","السبت"},0),7),IFERROR(DATEVALUE(A391),"")))))</f>
        <v/>
      </c>
      <c r="H391" s="0" t="str">
        <f aca="false">IF(G391="","",INT((G391-WEEK_ONE)/7)+1)</f>
        <v/>
      </c>
      <c r="I391" s="0" t="str">
        <f aca="false">IF(H391="","",IF(OR(H391&lt;1,H391&gt;NW),"",INDEX(WMON,H391)))</f>
        <v/>
      </c>
      <c r="J391" s="0" t="str">
        <f aca="false">IF(OR(G391="",H391="",C391=""),"",IF(C391="عمر المصري",SUMIFS('ساعات عمر'!$H$5:$H$746,'ساعات عمر'!$A$5:$A$746,"&gt;="&amp;(WEEK_ONE+7*(H391-1)),'ساعات عمر'!$A$5:$A$746,"&lt;="&amp;G391),SUMIFS('ساعات عبدالعزيز'!$F$5:$F$746,'ساعات عبدالعزيز'!$A$5:$A$746,"&gt;="&amp;(WEEK_ONE+7*(H391-1)),'ساعات عبدالعزيز'!$A$5:$A$746,"&lt;="&amp;G391)))</f>
        <v/>
      </c>
    </row>
    <row r="392" customFormat="false" ht="15" hidden="false" customHeight="false" outlineLevel="0" collapsed="false">
      <c r="A392" s="43"/>
      <c r="B392" s="23" t="str">
        <f aca="false">IF(G392="","",CHOOSE(WEEKDAY(G392,1),"الأحد","الاثنين","الثلاثاء","الأربعاء","الخميس","الجمعة","السبت")&amp;IF(OR(ISNUMBER(A392),LEN(TRIM(A392))&gt;=10),"","  "&amp;TEXT(DAY(G392),"00")&amp;"/"&amp;TEXT(MONTH(G392),"00")&amp;"/"&amp;YEAR(G392)))</f>
        <v/>
      </c>
      <c r="C392" s="24"/>
      <c r="D392" s="44"/>
      <c r="E392" s="27"/>
      <c r="F392" s="45" t="str">
        <f aca="false">IF(A392="","",IF(G392="","⛔ التاريخ غلط — اختاره من القائمة أو اكتبه كامل 05/10/2026",IF(OR(H392&lt;1,H392&gt;NW),"⛔ التاريخ برّا السنة",IF(AND(N(D392)&gt;0,N(J392)&gt;0,D392&gt;ADV_CAP*J392),"⚠️ أكثر من "&amp;TEXT(ADV_CAP,"0%")&amp;" من شغله ("&amp;TEXT(J392,"0.000")&amp;")",""))))</f>
        <v/>
      </c>
      <c r="G392" s="0" t="str">
        <f aca="true">IF(A392="","",IF(ISNUMBER(A392),IF(A392&gt;=36526,A392,""),IFERROR(DATE(VALUE(RIGHT(RIGHT(TRIM(A392),10),4)),VALUE(MID(RIGHT(TRIM(A392),10),4,2)),VALUE(LEFT(RIGHT(TRIM(A392),10),2))),IFERROR(TODAY()-MOD(WEEKDAY(TODAY(),1)-MATCH(TRIM(A392),{"الأحد","الاثنين","الثلاثاء","الأربعاء","الخميس","الجمعة","السبت"},0),7),IFERROR(DATEVALUE(A392),"")))))</f>
        <v/>
      </c>
      <c r="H392" s="0" t="str">
        <f aca="false">IF(G392="","",INT((G392-WEEK_ONE)/7)+1)</f>
        <v/>
      </c>
      <c r="I392" s="0" t="str">
        <f aca="false">IF(H392="","",IF(OR(H392&lt;1,H392&gt;NW),"",INDEX(WMON,H392)))</f>
        <v/>
      </c>
      <c r="J392" s="0" t="str">
        <f aca="false">IF(OR(G392="",H392="",C392=""),"",IF(C392="عمر المصري",SUMIFS('ساعات عمر'!$H$5:$H$746,'ساعات عمر'!$A$5:$A$746,"&gt;="&amp;(WEEK_ONE+7*(H392-1)),'ساعات عمر'!$A$5:$A$746,"&lt;="&amp;G392),SUMIFS('ساعات عبدالعزيز'!$F$5:$F$746,'ساعات عبدالعزيز'!$A$5:$A$746,"&gt;="&amp;(WEEK_ONE+7*(H392-1)),'ساعات عبدالعزيز'!$A$5:$A$746,"&lt;="&amp;G392)))</f>
        <v/>
      </c>
    </row>
    <row r="393" customFormat="false" ht="15" hidden="false" customHeight="false" outlineLevel="0" collapsed="false">
      <c r="A393" s="43"/>
      <c r="B393" s="23" t="str">
        <f aca="false">IF(G393="","",CHOOSE(WEEKDAY(G393,1),"الأحد","الاثنين","الثلاثاء","الأربعاء","الخميس","الجمعة","السبت")&amp;IF(OR(ISNUMBER(A393),LEN(TRIM(A393))&gt;=10),"","  "&amp;TEXT(DAY(G393),"00")&amp;"/"&amp;TEXT(MONTH(G393),"00")&amp;"/"&amp;YEAR(G393)))</f>
        <v/>
      </c>
      <c r="C393" s="24"/>
      <c r="D393" s="44"/>
      <c r="E393" s="27"/>
      <c r="F393" s="45" t="str">
        <f aca="false">IF(A393="","",IF(G393="","⛔ التاريخ غلط — اختاره من القائمة أو اكتبه كامل 05/10/2026",IF(OR(H393&lt;1,H393&gt;NW),"⛔ التاريخ برّا السنة",IF(AND(N(D393)&gt;0,N(J393)&gt;0,D393&gt;ADV_CAP*J393),"⚠️ أكثر من "&amp;TEXT(ADV_CAP,"0%")&amp;" من شغله ("&amp;TEXT(J393,"0.000")&amp;")",""))))</f>
        <v/>
      </c>
      <c r="G393" s="0" t="str">
        <f aca="true">IF(A393="","",IF(ISNUMBER(A393),IF(A393&gt;=36526,A393,""),IFERROR(DATE(VALUE(RIGHT(RIGHT(TRIM(A393),10),4)),VALUE(MID(RIGHT(TRIM(A393),10),4,2)),VALUE(LEFT(RIGHT(TRIM(A393),10),2))),IFERROR(TODAY()-MOD(WEEKDAY(TODAY(),1)-MATCH(TRIM(A393),{"الأحد","الاثنين","الثلاثاء","الأربعاء","الخميس","الجمعة","السبت"},0),7),IFERROR(DATEVALUE(A393),"")))))</f>
        <v/>
      </c>
      <c r="H393" s="0" t="str">
        <f aca="false">IF(G393="","",INT((G393-WEEK_ONE)/7)+1)</f>
        <v/>
      </c>
      <c r="I393" s="0" t="str">
        <f aca="false">IF(H393="","",IF(OR(H393&lt;1,H393&gt;NW),"",INDEX(WMON,H393)))</f>
        <v/>
      </c>
      <c r="J393" s="0" t="str">
        <f aca="false">IF(OR(G393="",H393="",C393=""),"",IF(C393="عمر المصري",SUMIFS('ساعات عمر'!$H$5:$H$746,'ساعات عمر'!$A$5:$A$746,"&gt;="&amp;(WEEK_ONE+7*(H393-1)),'ساعات عمر'!$A$5:$A$746,"&lt;="&amp;G393),SUMIFS('ساعات عبدالعزيز'!$F$5:$F$746,'ساعات عبدالعزيز'!$A$5:$A$746,"&gt;="&amp;(WEEK_ONE+7*(H393-1)),'ساعات عبدالعزيز'!$A$5:$A$746,"&lt;="&amp;G393)))</f>
        <v/>
      </c>
    </row>
    <row r="394" customFormat="false" ht="15" hidden="false" customHeight="false" outlineLevel="0" collapsed="false">
      <c r="A394" s="43"/>
      <c r="B394" s="23" t="str">
        <f aca="false">IF(G394="","",CHOOSE(WEEKDAY(G394,1),"الأحد","الاثنين","الثلاثاء","الأربعاء","الخميس","الجمعة","السبت")&amp;IF(OR(ISNUMBER(A394),LEN(TRIM(A394))&gt;=10),"","  "&amp;TEXT(DAY(G394),"00")&amp;"/"&amp;TEXT(MONTH(G394),"00")&amp;"/"&amp;YEAR(G394)))</f>
        <v/>
      </c>
      <c r="C394" s="24"/>
      <c r="D394" s="44"/>
      <c r="E394" s="27"/>
      <c r="F394" s="45" t="str">
        <f aca="false">IF(A394="","",IF(G394="","⛔ التاريخ غلط — اختاره من القائمة أو اكتبه كامل 05/10/2026",IF(OR(H394&lt;1,H394&gt;NW),"⛔ التاريخ برّا السنة",IF(AND(N(D394)&gt;0,N(J394)&gt;0,D394&gt;ADV_CAP*J394),"⚠️ أكثر من "&amp;TEXT(ADV_CAP,"0%")&amp;" من شغله ("&amp;TEXT(J394,"0.000")&amp;")",""))))</f>
        <v/>
      </c>
      <c r="G394" s="0" t="str">
        <f aca="true">IF(A394="","",IF(ISNUMBER(A394),IF(A394&gt;=36526,A394,""),IFERROR(DATE(VALUE(RIGHT(RIGHT(TRIM(A394),10),4)),VALUE(MID(RIGHT(TRIM(A394),10),4,2)),VALUE(LEFT(RIGHT(TRIM(A394),10),2))),IFERROR(TODAY()-MOD(WEEKDAY(TODAY(),1)-MATCH(TRIM(A394),{"الأحد","الاثنين","الثلاثاء","الأربعاء","الخميس","الجمعة","السبت"},0),7),IFERROR(DATEVALUE(A394),"")))))</f>
        <v/>
      </c>
      <c r="H394" s="0" t="str">
        <f aca="false">IF(G394="","",INT((G394-WEEK_ONE)/7)+1)</f>
        <v/>
      </c>
      <c r="I394" s="0" t="str">
        <f aca="false">IF(H394="","",IF(OR(H394&lt;1,H394&gt;NW),"",INDEX(WMON,H394)))</f>
        <v/>
      </c>
      <c r="J394" s="0" t="str">
        <f aca="false">IF(OR(G394="",H394="",C394=""),"",IF(C394="عمر المصري",SUMIFS('ساعات عمر'!$H$5:$H$746,'ساعات عمر'!$A$5:$A$746,"&gt;="&amp;(WEEK_ONE+7*(H394-1)),'ساعات عمر'!$A$5:$A$746,"&lt;="&amp;G394),SUMIFS('ساعات عبدالعزيز'!$F$5:$F$746,'ساعات عبدالعزيز'!$A$5:$A$746,"&gt;="&amp;(WEEK_ONE+7*(H394-1)),'ساعات عبدالعزيز'!$A$5:$A$746,"&lt;="&amp;G394)))</f>
        <v/>
      </c>
    </row>
    <row r="395" customFormat="false" ht="15" hidden="false" customHeight="false" outlineLevel="0" collapsed="false">
      <c r="A395" s="43"/>
      <c r="B395" s="23" t="str">
        <f aca="false">IF(G395="","",CHOOSE(WEEKDAY(G395,1),"الأحد","الاثنين","الثلاثاء","الأربعاء","الخميس","الجمعة","السبت")&amp;IF(OR(ISNUMBER(A395),LEN(TRIM(A395))&gt;=10),"","  "&amp;TEXT(DAY(G395),"00")&amp;"/"&amp;TEXT(MONTH(G395),"00")&amp;"/"&amp;YEAR(G395)))</f>
        <v/>
      </c>
      <c r="C395" s="24"/>
      <c r="D395" s="44"/>
      <c r="E395" s="27"/>
      <c r="F395" s="45" t="str">
        <f aca="false">IF(A395="","",IF(G395="","⛔ التاريخ غلط — اختاره من القائمة أو اكتبه كامل 05/10/2026",IF(OR(H395&lt;1,H395&gt;NW),"⛔ التاريخ برّا السنة",IF(AND(N(D395)&gt;0,N(J395)&gt;0,D395&gt;ADV_CAP*J395),"⚠️ أكثر من "&amp;TEXT(ADV_CAP,"0%")&amp;" من شغله ("&amp;TEXT(J395,"0.000")&amp;")",""))))</f>
        <v/>
      </c>
      <c r="G395" s="0" t="str">
        <f aca="true">IF(A395="","",IF(ISNUMBER(A395),IF(A395&gt;=36526,A395,""),IFERROR(DATE(VALUE(RIGHT(RIGHT(TRIM(A395),10),4)),VALUE(MID(RIGHT(TRIM(A395),10),4,2)),VALUE(LEFT(RIGHT(TRIM(A395),10),2))),IFERROR(TODAY()-MOD(WEEKDAY(TODAY(),1)-MATCH(TRIM(A395),{"الأحد","الاثنين","الثلاثاء","الأربعاء","الخميس","الجمعة","السبت"},0),7),IFERROR(DATEVALUE(A395),"")))))</f>
        <v/>
      </c>
      <c r="H395" s="0" t="str">
        <f aca="false">IF(G395="","",INT((G395-WEEK_ONE)/7)+1)</f>
        <v/>
      </c>
      <c r="I395" s="0" t="str">
        <f aca="false">IF(H395="","",IF(OR(H395&lt;1,H395&gt;NW),"",INDEX(WMON,H395)))</f>
        <v/>
      </c>
      <c r="J395" s="0" t="str">
        <f aca="false">IF(OR(G395="",H395="",C395=""),"",IF(C395="عمر المصري",SUMIFS('ساعات عمر'!$H$5:$H$746,'ساعات عمر'!$A$5:$A$746,"&gt;="&amp;(WEEK_ONE+7*(H395-1)),'ساعات عمر'!$A$5:$A$746,"&lt;="&amp;G395),SUMIFS('ساعات عبدالعزيز'!$F$5:$F$746,'ساعات عبدالعزيز'!$A$5:$A$746,"&gt;="&amp;(WEEK_ONE+7*(H395-1)),'ساعات عبدالعزيز'!$A$5:$A$746,"&lt;="&amp;G395)))</f>
        <v/>
      </c>
    </row>
    <row r="396" customFormat="false" ht="15" hidden="false" customHeight="false" outlineLevel="0" collapsed="false">
      <c r="A396" s="43"/>
      <c r="B396" s="23" t="str">
        <f aca="false">IF(G396="","",CHOOSE(WEEKDAY(G396,1),"الأحد","الاثنين","الثلاثاء","الأربعاء","الخميس","الجمعة","السبت")&amp;IF(OR(ISNUMBER(A396),LEN(TRIM(A396))&gt;=10),"","  "&amp;TEXT(DAY(G396),"00")&amp;"/"&amp;TEXT(MONTH(G396),"00")&amp;"/"&amp;YEAR(G396)))</f>
        <v/>
      </c>
      <c r="C396" s="24"/>
      <c r="D396" s="44"/>
      <c r="E396" s="27"/>
      <c r="F396" s="45" t="str">
        <f aca="false">IF(A396="","",IF(G396="","⛔ التاريخ غلط — اختاره من القائمة أو اكتبه كامل 05/10/2026",IF(OR(H396&lt;1,H396&gt;NW),"⛔ التاريخ برّا السنة",IF(AND(N(D396)&gt;0,N(J396)&gt;0,D396&gt;ADV_CAP*J396),"⚠️ أكثر من "&amp;TEXT(ADV_CAP,"0%")&amp;" من شغله ("&amp;TEXT(J396,"0.000")&amp;")",""))))</f>
        <v/>
      </c>
      <c r="G396" s="0" t="str">
        <f aca="true">IF(A396="","",IF(ISNUMBER(A396),IF(A396&gt;=36526,A396,""),IFERROR(DATE(VALUE(RIGHT(RIGHT(TRIM(A396),10),4)),VALUE(MID(RIGHT(TRIM(A396),10),4,2)),VALUE(LEFT(RIGHT(TRIM(A396),10),2))),IFERROR(TODAY()-MOD(WEEKDAY(TODAY(),1)-MATCH(TRIM(A396),{"الأحد","الاثنين","الثلاثاء","الأربعاء","الخميس","الجمعة","السبت"},0),7),IFERROR(DATEVALUE(A396),"")))))</f>
        <v/>
      </c>
      <c r="H396" s="0" t="str">
        <f aca="false">IF(G396="","",INT((G396-WEEK_ONE)/7)+1)</f>
        <v/>
      </c>
      <c r="I396" s="0" t="str">
        <f aca="false">IF(H396="","",IF(OR(H396&lt;1,H396&gt;NW),"",INDEX(WMON,H396)))</f>
        <v/>
      </c>
      <c r="J396" s="0" t="str">
        <f aca="false">IF(OR(G396="",H396="",C396=""),"",IF(C396="عمر المصري",SUMIFS('ساعات عمر'!$H$5:$H$746,'ساعات عمر'!$A$5:$A$746,"&gt;="&amp;(WEEK_ONE+7*(H396-1)),'ساعات عمر'!$A$5:$A$746,"&lt;="&amp;G396),SUMIFS('ساعات عبدالعزيز'!$F$5:$F$746,'ساعات عبدالعزيز'!$A$5:$A$746,"&gt;="&amp;(WEEK_ONE+7*(H396-1)),'ساعات عبدالعزيز'!$A$5:$A$746,"&lt;="&amp;G396)))</f>
        <v/>
      </c>
    </row>
    <row r="397" customFormat="false" ht="15" hidden="false" customHeight="false" outlineLevel="0" collapsed="false">
      <c r="A397" s="43"/>
      <c r="B397" s="23" t="str">
        <f aca="false">IF(G397="","",CHOOSE(WEEKDAY(G397,1),"الأحد","الاثنين","الثلاثاء","الأربعاء","الخميس","الجمعة","السبت")&amp;IF(OR(ISNUMBER(A397),LEN(TRIM(A397))&gt;=10),"","  "&amp;TEXT(DAY(G397),"00")&amp;"/"&amp;TEXT(MONTH(G397),"00")&amp;"/"&amp;YEAR(G397)))</f>
        <v/>
      </c>
      <c r="C397" s="24"/>
      <c r="D397" s="44"/>
      <c r="E397" s="27"/>
      <c r="F397" s="45" t="str">
        <f aca="false">IF(A397="","",IF(G397="","⛔ التاريخ غلط — اختاره من القائمة أو اكتبه كامل 05/10/2026",IF(OR(H397&lt;1,H397&gt;NW),"⛔ التاريخ برّا السنة",IF(AND(N(D397)&gt;0,N(J397)&gt;0,D397&gt;ADV_CAP*J397),"⚠️ أكثر من "&amp;TEXT(ADV_CAP,"0%")&amp;" من شغله ("&amp;TEXT(J397,"0.000")&amp;")",""))))</f>
        <v/>
      </c>
      <c r="G397" s="0" t="str">
        <f aca="true">IF(A397="","",IF(ISNUMBER(A397),IF(A397&gt;=36526,A397,""),IFERROR(DATE(VALUE(RIGHT(RIGHT(TRIM(A397),10),4)),VALUE(MID(RIGHT(TRIM(A397),10),4,2)),VALUE(LEFT(RIGHT(TRIM(A397),10),2))),IFERROR(TODAY()-MOD(WEEKDAY(TODAY(),1)-MATCH(TRIM(A397),{"الأحد","الاثنين","الثلاثاء","الأربعاء","الخميس","الجمعة","السبت"},0),7),IFERROR(DATEVALUE(A397),"")))))</f>
        <v/>
      </c>
      <c r="H397" s="0" t="str">
        <f aca="false">IF(G397="","",INT((G397-WEEK_ONE)/7)+1)</f>
        <v/>
      </c>
      <c r="I397" s="0" t="str">
        <f aca="false">IF(H397="","",IF(OR(H397&lt;1,H397&gt;NW),"",INDEX(WMON,H397)))</f>
        <v/>
      </c>
      <c r="J397" s="0" t="str">
        <f aca="false">IF(OR(G397="",H397="",C397=""),"",IF(C397="عمر المصري",SUMIFS('ساعات عمر'!$H$5:$H$746,'ساعات عمر'!$A$5:$A$746,"&gt;="&amp;(WEEK_ONE+7*(H397-1)),'ساعات عمر'!$A$5:$A$746,"&lt;="&amp;G397),SUMIFS('ساعات عبدالعزيز'!$F$5:$F$746,'ساعات عبدالعزيز'!$A$5:$A$746,"&gt;="&amp;(WEEK_ONE+7*(H397-1)),'ساعات عبدالعزيز'!$A$5:$A$746,"&lt;="&amp;G397)))</f>
        <v/>
      </c>
    </row>
    <row r="398" customFormat="false" ht="15" hidden="false" customHeight="false" outlineLevel="0" collapsed="false">
      <c r="A398" s="43"/>
      <c r="B398" s="23" t="str">
        <f aca="false">IF(G398="","",CHOOSE(WEEKDAY(G398,1),"الأحد","الاثنين","الثلاثاء","الأربعاء","الخميس","الجمعة","السبت")&amp;IF(OR(ISNUMBER(A398),LEN(TRIM(A398))&gt;=10),"","  "&amp;TEXT(DAY(G398),"00")&amp;"/"&amp;TEXT(MONTH(G398),"00")&amp;"/"&amp;YEAR(G398)))</f>
        <v/>
      </c>
      <c r="C398" s="24"/>
      <c r="D398" s="44"/>
      <c r="E398" s="27"/>
      <c r="F398" s="45" t="str">
        <f aca="false">IF(A398="","",IF(G398="","⛔ التاريخ غلط — اختاره من القائمة أو اكتبه كامل 05/10/2026",IF(OR(H398&lt;1,H398&gt;NW),"⛔ التاريخ برّا السنة",IF(AND(N(D398)&gt;0,N(J398)&gt;0,D398&gt;ADV_CAP*J398),"⚠️ أكثر من "&amp;TEXT(ADV_CAP,"0%")&amp;" من شغله ("&amp;TEXT(J398,"0.000")&amp;")",""))))</f>
        <v/>
      </c>
      <c r="G398" s="0" t="str">
        <f aca="true">IF(A398="","",IF(ISNUMBER(A398),IF(A398&gt;=36526,A398,""),IFERROR(DATE(VALUE(RIGHT(RIGHT(TRIM(A398),10),4)),VALUE(MID(RIGHT(TRIM(A398),10),4,2)),VALUE(LEFT(RIGHT(TRIM(A398),10),2))),IFERROR(TODAY()-MOD(WEEKDAY(TODAY(),1)-MATCH(TRIM(A398),{"الأحد","الاثنين","الثلاثاء","الأربعاء","الخميس","الجمعة","السبت"},0),7),IFERROR(DATEVALUE(A398),"")))))</f>
        <v/>
      </c>
      <c r="H398" s="0" t="str">
        <f aca="false">IF(G398="","",INT((G398-WEEK_ONE)/7)+1)</f>
        <v/>
      </c>
      <c r="I398" s="0" t="str">
        <f aca="false">IF(H398="","",IF(OR(H398&lt;1,H398&gt;NW),"",INDEX(WMON,H398)))</f>
        <v/>
      </c>
      <c r="J398" s="0" t="str">
        <f aca="false">IF(OR(G398="",H398="",C398=""),"",IF(C398="عمر المصري",SUMIFS('ساعات عمر'!$H$5:$H$746,'ساعات عمر'!$A$5:$A$746,"&gt;="&amp;(WEEK_ONE+7*(H398-1)),'ساعات عمر'!$A$5:$A$746,"&lt;="&amp;G398),SUMIFS('ساعات عبدالعزيز'!$F$5:$F$746,'ساعات عبدالعزيز'!$A$5:$A$746,"&gt;="&amp;(WEEK_ONE+7*(H398-1)),'ساعات عبدالعزيز'!$A$5:$A$746,"&lt;="&amp;G398)))</f>
        <v/>
      </c>
    </row>
    <row r="399" customFormat="false" ht="15" hidden="false" customHeight="false" outlineLevel="0" collapsed="false">
      <c r="A399" s="43"/>
      <c r="B399" s="23" t="str">
        <f aca="false">IF(G399="","",CHOOSE(WEEKDAY(G399,1),"الأحد","الاثنين","الثلاثاء","الأربعاء","الخميس","الجمعة","السبت")&amp;IF(OR(ISNUMBER(A399),LEN(TRIM(A399))&gt;=10),"","  "&amp;TEXT(DAY(G399),"00")&amp;"/"&amp;TEXT(MONTH(G399),"00")&amp;"/"&amp;YEAR(G399)))</f>
        <v/>
      </c>
      <c r="C399" s="24"/>
      <c r="D399" s="44"/>
      <c r="E399" s="27"/>
      <c r="F399" s="45" t="str">
        <f aca="false">IF(A399="","",IF(G399="","⛔ التاريخ غلط — اختاره من القائمة أو اكتبه كامل 05/10/2026",IF(OR(H399&lt;1,H399&gt;NW),"⛔ التاريخ برّا السنة",IF(AND(N(D399)&gt;0,N(J399)&gt;0,D399&gt;ADV_CAP*J399),"⚠️ أكثر من "&amp;TEXT(ADV_CAP,"0%")&amp;" من شغله ("&amp;TEXT(J399,"0.000")&amp;")",""))))</f>
        <v/>
      </c>
      <c r="G399" s="0" t="str">
        <f aca="true">IF(A399="","",IF(ISNUMBER(A399),IF(A399&gt;=36526,A399,""),IFERROR(DATE(VALUE(RIGHT(RIGHT(TRIM(A399),10),4)),VALUE(MID(RIGHT(TRIM(A399),10),4,2)),VALUE(LEFT(RIGHT(TRIM(A399),10),2))),IFERROR(TODAY()-MOD(WEEKDAY(TODAY(),1)-MATCH(TRIM(A399),{"الأحد","الاثنين","الثلاثاء","الأربعاء","الخميس","الجمعة","السبت"},0),7),IFERROR(DATEVALUE(A399),"")))))</f>
        <v/>
      </c>
      <c r="H399" s="0" t="str">
        <f aca="false">IF(G399="","",INT((G399-WEEK_ONE)/7)+1)</f>
        <v/>
      </c>
      <c r="I399" s="0" t="str">
        <f aca="false">IF(H399="","",IF(OR(H399&lt;1,H399&gt;NW),"",INDEX(WMON,H399)))</f>
        <v/>
      </c>
      <c r="J399" s="0" t="str">
        <f aca="false">IF(OR(G399="",H399="",C399=""),"",IF(C399="عمر المصري",SUMIFS('ساعات عمر'!$H$5:$H$746,'ساعات عمر'!$A$5:$A$746,"&gt;="&amp;(WEEK_ONE+7*(H399-1)),'ساعات عمر'!$A$5:$A$746,"&lt;="&amp;G399),SUMIFS('ساعات عبدالعزيز'!$F$5:$F$746,'ساعات عبدالعزيز'!$A$5:$A$746,"&gt;="&amp;(WEEK_ONE+7*(H399-1)),'ساعات عبدالعزيز'!$A$5:$A$746,"&lt;="&amp;G399)))</f>
        <v/>
      </c>
    </row>
    <row r="400" customFormat="false" ht="15" hidden="false" customHeight="false" outlineLevel="0" collapsed="false">
      <c r="A400" s="43"/>
      <c r="B400" s="23" t="str">
        <f aca="false">IF(G400="","",CHOOSE(WEEKDAY(G400,1),"الأحد","الاثنين","الثلاثاء","الأربعاء","الخميس","الجمعة","السبت")&amp;IF(OR(ISNUMBER(A400),LEN(TRIM(A400))&gt;=10),"","  "&amp;TEXT(DAY(G400),"00")&amp;"/"&amp;TEXT(MONTH(G400),"00")&amp;"/"&amp;YEAR(G400)))</f>
        <v/>
      </c>
      <c r="C400" s="24"/>
      <c r="D400" s="44"/>
      <c r="E400" s="27"/>
      <c r="F400" s="45" t="str">
        <f aca="false">IF(A400="","",IF(G400="","⛔ التاريخ غلط — اختاره من القائمة أو اكتبه كامل 05/10/2026",IF(OR(H400&lt;1,H400&gt;NW),"⛔ التاريخ برّا السنة",IF(AND(N(D400)&gt;0,N(J400)&gt;0,D400&gt;ADV_CAP*J400),"⚠️ أكثر من "&amp;TEXT(ADV_CAP,"0%")&amp;" من شغله ("&amp;TEXT(J400,"0.000")&amp;")",""))))</f>
        <v/>
      </c>
      <c r="G400" s="0" t="str">
        <f aca="true">IF(A400="","",IF(ISNUMBER(A400),IF(A400&gt;=36526,A400,""),IFERROR(DATE(VALUE(RIGHT(RIGHT(TRIM(A400),10),4)),VALUE(MID(RIGHT(TRIM(A400),10),4,2)),VALUE(LEFT(RIGHT(TRIM(A400),10),2))),IFERROR(TODAY()-MOD(WEEKDAY(TODAY(),1)-MATCH(TRIM(A400),{"الأحد","الاثنين","الثلاثاء","الأربعاء","الخميس","الجمعة","السبت"},0),7),IFERROR(DATEVALUE(A400),"")))))</f>
        <v/>
      </c>
      <c r="H400" s="0" t="str">
        <f aca="false">IF(G400="","",INT((G400-WEEK_ONE)/7)+1)</f>
        <v/>
      </c>
      <c r="I400" s="0" t="str">
        <f aca="false">IF(H400="","",IF(OR(H400&lt;1,H400&gt;NW),"",INDEX(WMON,H400)))</f>
        <v/>
      </c>
      <c r="J400" s="0" t="str">
        <f aca="false">IF(OR(G400="",H400="",C400=""),"",IF(C400="عمر المصري",SUMIFS('ساعات عمر'!$H$5:$H$746,'ساعات عمر'!$A$5:$A$746,"&gt;="&amp;(WEEK_ONE+7*(H400-1)),'ساعات عمر'!$A$5:$A$746,"&lt;="&amp;G400),SUMIFS('ساعات عبدالعزيز'!$F$5:$F$746,'ساعات عبدالعزيز'!$A$5:$A$746,"&gt;="&amp;(WEEK_ONE+7*(H400-1)),'ساعات عبدالعزيز'!$A$5:$A$746,"&lt;="&amp;G400)))</f>
        <v/>
      </c>
    </row>
    <row r="401" customFormat="false" ht="15" hidden="false" customHeight="false" outlineLevel="0" collapsed="false">
      <c r="A401" s="43"/>
      <c r="B401" s="23" t="str">
        <f aca="false">IF(G401="","",CHOOSE(WEEKDAY(G401,1),"الأحد","الاثنين","الثلاثاء","الأربعاء","الخميس","الجمعة","السبت")&amp;IF(OR(ISNUMBER(A401),LEN(TRIM(A401))&gt;=10),"","  "&amp;TEXT(DAY(G401),"00")&amp;"/"&amp;TEXT(MONTH(G401),"00")&amp;"/"&amp;YEAR(G401)))</f>
        <v/>
      </c>
      <c r="C401" s="24"/>
      <c r="D401" s="44"/>
      <c r="E401" s="27"/>
      <c r="F401" s="45" t="str">
        <f aca="false">IF(A401="","",IF(G401="","⛔ التاريخ غلط — اختاره من القائمة أو اكتبه كامل 05/10/2026",IF(OR(H401&lt;1,H401&gt;NW),"⛔ التاريخ برّا السنة",IF(AND(N(D401)&gt;0,N(J401)&gt;0,D401&gt;ADV_CAP*J401),"⚠️ أكثر من "&amp;TEXT(ADV_CAP,"0%")&amp;" من شغله ("&amp;TEXT(J401,"0.000")&amp;")",""))))</f>
        <v/>
      </c>
      <c r="G401" s="0" t="str">
        <f aca="true">IF(A401="","",IF(ISNUMBER(A401),IF(A401&gt;=36526,A401,""),IFERROR(DATE(VALUE(RIGHT(RIGHT(TRIM(A401),10),4)),VALUE(MID(RIGHT(TRIM(A401),10),4,2)),VALUE(LEFT(RIGHT(TRIM(A401),10),2))),IFERROR(TODAY()-MOD(WEEKDAY(TODAY(),1)-MATCH(TRIM(A401),{"الأحد","الاثنين","الثلاثاء","الأربعاء","الخميس","الجمعة","السبت"},0),7),IFERROR(DATEVALUE(A401),"")))))</f>
        <v/>
      </c>
      <c r="H401" s="0" t="str">
        <f aca="false">IF(G401="","",INT((G401-WEEK_ONE)/7)+1)</f>
        <v/>
      </c>
      <c r="I401" s="0" t="str">
        <f aca="false">IF(H401="","",IF(OR(H401&lt;1,H401&gt;NW),"",INDEX(WMON,H401)))</f>
        <v/>
      </c>
      <c r="J401" s="0" t="str">
        <f aca="false">IF(OR(G401="",H401="",C401=""),"",IF(C401="عمر المصري",SUMIFS('ساعات عمر'!$H$5:$H$746,'ساعات عمر'!$A$5:$A$746,"&gt;="&amp;(WEEK_ONE+7*(H401-1)),'ساعات عمر'!$A$5:$A$746,"&lt;="&amp;G401),SUMIFS('ساعات عبدالعزيز'!$F$5:$F$746,'ساعات عبدالعزيز'!$A$5:$A$746,"&gt;="&amp;(WEEK_ONE+7*(H401-1)),'ساعات عبدالعزيز'!$A$5:$A$746,"&lt;="&amp;G401)))</f>
        <v/>
      </c>
    </row>
    <row r="402" customFormat="false" ht="15" hidden="false" customHeight="false" outlineLevel="0" collapsed="false">
      <c r="A402" s="43"/>
      <c r="B402" s="23" t="str">
        <f aca="false">IF(G402="","",CHOOSE(WEEKDAY(G402,1),"الأحد","الاثنين","الثلاثاء","الأربعاء","الخميس","الجمعة","السبت")&amp;IF(OR(ISNUMBER(A402),LEN(TRIM(A402))&gt;=10),"","  "&amp;TEXT(DAY(G402),"00")&amp;"/"&amp;TEXT(MONTH(G402),"00")&amp;"/"&amp;YEAR(G402)))</f>
        <v/>
      </c>
      <c r="C402" s="24"/>
      <c r="D402" s="44"/>
      <c r="E402" s="27"/>
      <c r="F402" s="45" t="str">
        <f aca="false">IF(A402="","",IF(G402="","⛔ التاريخ غلط — اختاره من القائمة أو اكتبه كامل 05/10/2026",IF(OR(H402&lt;1,H402&gt;NW),"⛔ التاريخ برّا السنة",IF(AND(N(D402)&gt;0,N(J402)&gt;0,D402&gt;ADV_CAP*J402),"⚠️ أكثر من "&amp;TEXT(ADV_CAP,"0%")&amp;" من شغله ("&amp;TEXT(J402,"0.000")&amp;")",""))))</f>
        <v/>
      </c>
      <c r="G402" s="0" t="str">
        <f aca="true">IF(A402="","",IF(ISNUMBER(A402),IF(A402&gt;=36526,A402,""),IFERROR(DATE(VALUE(RIGHT(RIGHT(TRIM(A402),10),4)),VALUE(MID(RIGHT(TRIM(A402),10),4,2)),VALUE(LEFT(RIGHT(TRIM(A402),10),2))),IFERROR(TODAY()-MOD(WEEKDAY(TODAY(),1)-MATCH(TRIM(A402),{"الأحد","الاثنين","الثلاثاء","الأربعاء","الخميس","الجمعة","السبت"},0),7),IFERROR(DATEVALUE(A402),"")))))</f>
        <v/>
      </c>
      <c r="H402" s="0" t="str">
        <f aca="false">IF(G402="","",INT((G402-WEEK_ONE)/7)+1)</f>
        <v/>
      </c>
      <c r="I402" s="0" t="str">
        <f aca="false">IF(H402="","",IF(OR(H402&lt;1,H402&gt;NW),"",INDEX(WMON,H402)))</f>
        <v/>
      </c>
      <c r="J402" s="0" t="str">
        <f aca="false">IF(OR(G402="",H402="",C402=""),"",IF(C402="عمر المصري",SUMIFS('ساعات عمر'!$H$5:$H$746,'ساعات عمر'!$A$5:$A$746,"&gt;="&amp;(WEEK_ONE+7*(H402-1)),'ساعات عمر'!$A$5:$A$746,"&lt;="&amp;G402),SUMIFS('ساعات عبدالعزيز'!$F$5:$F$746,'ساعات عبدالعزيز'!$A$5:$A$746,"&gt;="&amp;(WEEK_ONE+7*(H402-1)),'ساعات عبدالعزيز'!$A$5:$A$746,"&lt;="&amp;G402)))</f>
        <v/>
      </c>
    </row>
    <row r="403" customFormat="false" ht="15" hidden="false" customHeight="false" outlineLevel="0" collapsed="false">
      <c r="A403" s="43"/>
      <c r="B403" s="23" t="str">
        <f aca="false">IF(G403="","",CHOOSE(WEEKDAY(G403,1),"الأحد","الاثنين","الثلاثاء","الأربعاء","الخميس","الجمعة","السبت")&amp;IF(OR(ISNUMBER(A403),LEN(TRIM(A403))&gt;=10),"","  "&amp;TEXT(DAY(G403),"00")&amp;"/"&amp;TEXT(MONTH(G403),"00")&amp;"/"&amp;YEAR(G403)))</f>
        <v/>
      </c>
      <c r="C403" s="24"/>
      <c r="D403" s="44"/>
      <c r="E403" s="27"/>
      <c r="F403" s="45" t="str">
        <f aca="false">IF(A403="","",IF(G403="","⛔ التاريخ غلط — اختاره من القائمة أو اكتبه كامل 05/10/2026",IF(OR(H403&lt;1,H403&gt;NW),"⛔ التاريخ برّا السنة",IF(AND(N(D403)&gt;0,N(J403)&gt;0,D403&gt;ADV_CAP*J403),"⚠️ أكثر من "&amp;TEXT(ADV_CAP,"0%")&amp;" من شغله ("&amp;TEXT(J403,"0.000")&amp;")",""))))</f>
        <v/>
      </c>
      <c r="G403" s="0" t="str">
        <f aca="true">IF(A403="","",IF(ISNUMBER(A403),IF(A403&gt;=36526,A403,""),IFERROR(DATE(VALUE(RIGHT(RIGHT(TRIM(A403),10),4)),VALUE(MID(RIGHT(TRIM(A403),10),4,2)),VALUE(LEFT(RIGHT(TRIM(A403),10),2))),IFERROR(TODAY()-MOD(WEEKDAY(TODAY(),1)-MATCH(TRIM(A403),{"الأحد","الاثنين","الثلاثاء","الأربعاء","الخميس","الجمعة","السبت"},0),7),IFERROR(DATEVALUE(A403),"")))))</f>
        <v/>
      </c>
      <c r="H403" s="0" t="str">
        <f aca="false">IF(G403="","",INT((G403-WEEK_ONE)/7)+1)</f>
        <v/>
      </c>
      <c r="I403" s="0" t="str">
        <f aca="false">IF(H403="","",IF(OR(H403&lt;1,H403&gt;NW),"",INDEX(WMON,H403)))</f>
        <v/>
      </c>
      <c r="J403" s="0" t="str">
        <f aca="false">IF(OR(G403="",H403="",C403=""),"",IF(C403="عمر المصري",SUMIFS('ساعات عمر'!$H$5:$H$746,'ساعات عمر'!$A$5:$A$746,"&gt;="&amp;(WEEK_ONE+7*(H403-1)),'ساعات عمر'!$A$5:$A$746,"&lt;="&amp;G403),SUMIFS('ساعات عبدالعزيز'!$F$5:$F$746,'ساعات عبدالعزيز'!$A$5:$A$746,"&gt;="&amp;(WEEK_ONE+7*(H403-1)),'ساعات عبدالعزيز'!$A$5:$A$746,"&lt;="&amp;G403)))</f>
        <v/>
      </c>
    </row>
    <row r="404" customFormat="false" ht="15" hidden="false" customHeight="false" outlineLevel="0" collapsed="false">
      <c r="A404" s="43"/>
      <c r="B404" s="23" t="str">
        <f aca="false">IF(G404="","",CHOOSE(WEEKDAY(G404,1),"الأحد","الاثنين","الثلاثاء","الأربعاء","الخميس","الجمعة","السبت")&amp;IF(OR(ISNUMBER(A404),LEN(TRIM(A404))&gt;=10),"","  "&amp;TEXT(DAY(G404),"00")&amp;"/"&amp;TEXT(MONTH(G404),"00")&amp;"/"&amp;YEAR(G404)))</f>
        <v/>
      </c>
      <c r="C404" s="24"/>
      <c r="D404" s="44"/>
      <c r="E404" s="27"/>
      <c r="F404" s="45" t="str">
        <f aca="false">IF(A404="","",IF(G404="","⛔ التاريخ غلط — اختاره من القائمة أو اكتبه كامل 05/10/2026",IF(OR(H404&lt;1,H404&gt;NW),"⛔ التاريخ برّا السنة",IF(AND(N(D404)&gt;0,N(J404)&gt;0,D404&gt;ADV_CAP*J404),"⚠️ أكثر من "&amp;TEXT(ADV_CAP,"0%")&amp;" من شغله ("&amp;TEXT(J404,"0.000")&amp;")",""))))</f>
        <v/>
      </c>
      <c r="G404" s="0" t="str">
        <f aca="true">IF(A404="","",IF(ISNUMBER(A404),IF(A404&gt;=36526,A404,""),IFERROR(DATE(VALUE(RIGHT(RIGHT(TRIM(A404),10),4)),VALUE(MID(RIGHT(TRIM(A404),10),4,2)),VALUE(LEFT(RIGHT(TRIM(A404),10),2))),IFERROR(TODAY()-MOD(WEEKDAY(TODAY(),1)-MATCH(TRIM(A404),{"الأحد","الاثنين","الثلاثاء","الأربعاء","الخميس","الجمعة","السبت"},0),7),IFERROR(DATEVALUE(A404),"")))))</f>
        <v/>
      </c>
      <c r="H404" s="0" t="str">
        <f aca="false">IF(G404="","",INT((G404-WEEK_ONE)/7)+1)</f>
        <v/>
      </c>
      <c r="I404" s="0" t="str">
        <f aca="false">IF(H404="","",IF(OR(H404&lt;1,H404&gt;NW),"",INDEX(WMON,H404)))</f>
        <v/>
      </c>
      <c r="J404" s="0" t="str">
        <f aca="false">IF(OR(G404="",H404="",C404=""),"",IF(C404="عمر المصري",SUMIFS('ساعات عمر'!$H$5:$H$746,'ساعات عمر'!$A$5:$A$746,"&gt;="&amp;(WEEK_ONE+7*(H404-1)),'ساعات عمر'!$A$5:$A$746,"&lt;="&amp;G404),SUMIFS('ساعات عبدالعزيز'!$F$5:$F$746,'ساعات عبدالعزيز'!$A$5:$A$746,"&gt;="&amp;(WEEK_ONE+7*(H404-1)),'ساعات عبدالعزيز'!$A$5:$A$746,"&lt;="&amp;G404)))</f>
        <v/>
      </c>
    </row>
    <row r="405" customFormat="false" ht="15" hidden="false" customHeight="false" outlineLevel="0" collapsed="false">
      <c r="A405" s="43"/>
      <c r="B405" s="23" t="str">
        <f aca="false">IF(G405="","",CHOOSE(WEEKDAY(G405,1),"الأحد","الاثنين","الثلاثاء","الأربعاء","الخميس","الجمعة","السبت")&amp;IF(OR(ISNUMBER(A405),LEN(TRIM(A405))&gt;=10),"","  "&amp;TEXT(DAY(G405),"00")&amp;"/"&amp;TEXT(MONTH(G405),"00")&amp;"/"&amp;YEAR(G405)))</f>
        <v/>
      </c>
      <c r="C405" s="24"/>
      <c r="D405" s="44"/>
      <c r="E405" s="27"/>
      <c r="F405" s="45" t="str">
        <f aca="false">IF(A405="","",IF(G405="","⛔ التاريخ غلط — اختاره من القائمة أو اكتبه كامل 05/10/2026",IF(OR(H405&lt;1,H405&gt;NW),"⛔ التاريخ برّا السنة",IF(AND(N(D405)&gt;0,N(J405)&gt;0,D405&gt;ADV_CAP*J405),"⚠️ أكثر من "&amp;TEXT(ADV_CAP,"0%")&amp;" من شغله ("&amp;TEXT(J405,"0.000")&amp;")",""))))</f>
        <v/>
      </c>
      <c r="G405" s="0" t="str">
        <f aca="true">IF(A405="","",IF(ISNUMBER(A405),IF(A405&gt;=36526,A405,""),IFERROR(DATE(VALUE(RIGHT(RIGHT(TRIM(A405),10),4)),VALUE(MID(RIGHT(TRIM(A405),10),4,2)),VALUE(LEFT(RIGHT(TRIM(A405),10),2))),IFERROR(TODAY()-MOD(WEEKDAY(TODAY(),1)-MATCH(TRIM(A405),{"الأحد","الاثنين","الثلاثاء","الأربعاء","الخميس","الجمعة","السبت"},0),7),IFERROR(DATEVALUE(A405),"")))))</f>
        <v/>
      </c>
      <c r="H405" s="0" t="str">
        <f aca="false">IF(G405="","",INT((G405-WEEK_ONE)/7)+1)</f>
        <v/>
      </c>
      <c r="I405" s="0" t="str">
        <f aca="false">IF(H405="","",IF(OR(H405&lt;1,H405&gt;NW),"",INDEX(WMON,H405)))</f>
        <v/>
      </c>
      <c r="J405" s="0" t="str">
        <f aca="false">IF(OR(G405="",H405="",C405=""),"",IF(C405="عمر المصري",SUMIFS('ساعات عمر'!$H$5:$H$746,'ساعات عمر'!$A$5:$A$746,"&gt;="&amp;(WEEK_ONE+7*(H405-1)),'ساعات عمر'!$A$5:$A$746,"&lt;="&amp;G405),SUMIFS('ساعات عبدالعزيز'!$F$5:$F$746,'ساعات عبدالعزيز'!$A$5:$A$746,"&gt;="&amp;(WEEK_ONE+7*(H405-1)),'ساعات عبدالعزيز'!$A$5:$A$746,"&lt;="&amp;G405)))</f>
        <v/>
      </c>
    </row>
    <row r="406" customFormat="false" ht="15" hidden="false" customHeight="false" outlineLevel="0" collapsed="false">
      <c r="A406" s="43"/>
      <c r="B406" s="23" t="str">
        <f aca="false">IF(G406="","",CHOOSE(WEEKDAY(G406,1),"الأحد","الاثنين","الثلاثاء","الأربعاء","الخميس","الجمعة","السبت")&amp;IF(OR(ISNUMBER(A406),LEN(TRIM(A406))&gt;=10),"","  "&amp;TEXT(DAY(G406),"00")&amp;"/"&amp;TEXT(MONTH(G406),"00")&amp;"/"&amp;YEAR(G406)))</f>
        <v/>
      </c>
      <c r="C406" s="24"/>
      <c r="D406" s="44"/>
      <c r="E406" s="27"/>
      <c r="F406" s="45" t="str">
        <f aca="false">IF(A406="","",IF(G406="","⛔ التاريخ غلط — اختاره من القائمة أو اكتبه كامل 05/10/2026",IF(OR(H406&lt;1,H406&gt;NW),"⛔ التاريخ برّا السنة",IF(AND(N(D406)&gt;0,N(J406)&gt;0,D406&gt;ADV_CAP*J406),"⚠️ أكثر من "&amp;TEXT(ADV_CAP,"0%")&amp;" من شغله ("&amp;TEXT(J406,"0.000")&amp;")",""))))</f>
        <v/>
      </c>
      <c r="G406" s="0" t="str">
        <f aca="true">IF(A406="","",IF(ISNUMBER(A406),IF(A406&gt;=36526,A406,""),IFERROR(DATE(VALUE(RIGHT(RIGHT(TRIM(A406),10),4)),VALUE(MID(RIGHT(TRIM(A406),10),4,2)),VALUE(LEFT(RIGHT(TRIM(A406),10),2))),IFERROR(TODAY()-MOD(WEEKDAY(TODAY(),1)-MATCH(TRIM(A406),{"الأحد","الاثنين","الثلاثاء","الأربعاء","الخميس","الجمعة","السبت"},0),7),IFERROR(DATEVALUE(A406),"")))))</f>
        <v/>
      </c>
      <c r="H406" s="0" t="str">
        <f aca="false">IF(G406="","",INT((G406-WEEK_ONE)/7)+1)</f>
        <v/>
      </c>
      <c r="I406" s="0" t="str">
        <f aca="false">IF(H406="","",IF(OR(H406&lt;1,H406&gt;NW),"",INDEX(WMON,H406)))</f>
        <v/>
      </c>
      <c r="J406" s="0" t="str">
        <f aca="false">IF(OR(G406="",H406="",C406=""),"",IF(C406="عمر المصري",SUMIFS('ساعات عمر'!$H$5:$H$746,'ساعات عمر'!$A$5:$A$746,"&gt;="&amp;(WEEK_ONE+7*(H406-1)),'ساعات عمر'!$A$5:$A$746,"&lt;="&amp;G406),SUMIFS('ساعات عبدالعزيز'!$F$5:$F$746,'ساعات عبدالعزيز'!$A$5:$A$746,"&gt;="&amp;(WEEK_ONE+7*(H406-1)),'ساعات عبدالعزيز'!$A$5:$A$746,"&lt;="&amp;G406)))</f>
        <v/>
      </c>
    </row>
    <row r="407" customFormat="false" ht="15" hidden="false" customHeight="false" outlineLevel="0" collapsed="false">
      <c r="A407" s="43"/>
      <c r="B407" s="23" t="str">
        <f aca="false">IF(G407="","",CHOOSE(WEEKDAY(G407,1),"الأحد","الاثنين","الثلاثاء","الأربعاء","الخميس","الجمعة","السبت")&amp;IF(OR(ISNUMBER(A407),LEN(TRIM(A407))&gt;=10),"","  "&amp;TEXT(DAY(G407),"00")&amp;"/"&amp;TEXT(MONTH(G407),"00")&amp;"/"&amp;YEAR(G407)))</f>
        <v/>
      </c>
      <c r="C407" s="24"/>
      <c r="D407" s="44"/>
      <c r="E407" s="27"/>
      <c r="F407" s="45" t="str">
        <f aca="false">IF(A407="","",IF(G407="","⛔ التاريخ غلط — اختاره من القائمة أو اكتبه كامل 05/10/2026",IF(OR(H407&lt;1,H407&gt;NW),"⛔ التاريخ برّا السنة",IF(AND(N(D407)&gt;0,N(J407)&gt;0,D407&gt;ADV_CAP*J407),"⚠️ أكثر من "&amp;TEXT(ADV_CAP,"0%")&amp;" من شغله ("&amp;TEXT(J407,"0.000")&amp;")",""))))</f>
        <v/>
      </c>
      <c r="G407" s="0" t="str">
        <f aca="true">IF(A407="","",IF(ISNUMBER(A407),IF(A407&gt;=36526,A407,""),IFERROR(DATE(VALUE(RIGHT(RIGHT(TRIM(A407),10),4)),VALUE(MID(RIGHT(TRIM(A407),10),4,2)),VALUE(LEFT(RIGHT(TRIM(A407),10),2))),IFERROR(TODAY()-MOD(WEEKDAY(TODAY(),1)-MATCH(TRIM(A407),{"الأحد","الاثنين","الثلاثاء","الأربعاء","الخميس","الجمعة","السبت"},0),7),IFERROR(DATEVALUE(A407),"")))))</f>
        <v/>
      </c>
      <c r="H407" s="0" t="str">
        <f aca="false">IF(G407="","",INT((G407-WEEK_ONE)/7)+1)</f>
        <v/>
      </c>
      <c r="I407" s="0" t="str">
        <f aca="false">IF(H407="","",IF(OR(H407&lt;1,H407&gt;NW),"",INDEX(WMON,H407)))</f>
        <v/>
      </c>
      <c r="J407" s="0" t="str">
        <f aca="false">IF(OR(G407="",H407="",C407=""),"",IF(C407="عمر المصري",SUMIFS('ساعات عمر'!$H$5:$H$746,'ساعات عمر'!$A$5:$A$746,"&gt;="&amp;(WEEK_ONE+7*(H407-1)),'ساعات عمر'!$A$5:$A$746,"&lt;="&amp;G407),SUMIFS('ساعات عبدالعزيز'!$F$5:$F$746,'ساعات عبدالعزيز'!$A$5:$A$746,"&gt;="&amp;(WEEK_ONE+7*(H407-1)),'ساعات عبدالعزيز'!$A$5:$A$746,"&lt;="&amp;G407)))</f>
        <v/>
      </c>
    </row>
    <row r="408" customFormat="false" ht="15" hidden="false" customHeight="false" outlineLevel="0" collapsed="false">
      <c r="A408" s="43"/>
      <c r="B408" s="23" t="str">
        <f aca="false">IF(G408="","",CHOOSE(WEEKDAY(G408,1),"الأحد","الاثنين","الثلاثاء","الأربعاء","الخميس","الجمعة","السبت")&amp;IF(OR(ISNUMBER(A408),LEN(TRIM(A408))&gt;=10),"","  "&amp;TEXT(DAY(G408),"00")&amp;"/"&amp;TEXT(MONTH(G408),"00")&amp;"/"&amp;YEAR(G408)))</f>
        <v/>
      </c>
      <c r="C408" s="24"/>
      <c r="D408" s="44"/>
      <c r="E408" s="27"/>
      <c r="F408" s="45" t="str">
        <f aca="false">IF(A408="","",IF(G408="","⛔ التاريخ غلط — اختاره من القائمة أو اكتبه كامل 05/10/2026",IF(OR(H408&lt;1,H408&gt;NW),"⛔ التاريخ برّا السنة",IF(AND(N(D408)&gt;0,N(J408)&gt;0,D408&gt;ADV_CAP*J408),"⚠️ أكثر من "&amp;TEXT(ADV_CAP,"0%")&amp;" من شغله ("&amp;TEXT(J408,"0.000")&amp;")",""))))</f>
        <v/>
      </c>
      <c r="G408" s="0" t="str">
        <f aca="true">IF(A408="","",IF(ISNUMBER(A408),IF(A408&gt;=36526,A408,""),IFERROR(DATE(VALUE(RIGHT(RIGHT(TRIM(A408),10),4)),VALUE(MID(RIGHT(TRIM(A408),10),4,2)),VALUE(LEFT(RIGHT(TRIM(A408),10),2))),IFERROR(TODAY()-MOD(WEEKDAY(TODAY(),1)-MATCH(TRIM(A408),{"الأحد","الاثنين","الثلاثاء","الأربعاء","الخميس","الجمعة","السبت"},0),7),IFERROR(DATEVALUE(A408),"")))))</f>
        <v/>
      </c>
      <c r="H408" s="0" t="str">
        <f aca="false">IF(G408="","",INT((G408-WEEK_ONE)/7)+1)</f>
        <v/>
      </c>
      <c r="I408" s="0" t="str">
        <f aca="false">IF(H408="","",IF(OR(H408&lt;1,H408&gt;NW),"",INDEX(WMON,H408)))</f>
        <v/>
      </c>
      <c r="J408" s="0" t="str">
        <f aca="false">IF(OR(G408="",H408="",C408=""),"",IF(C408="عمر المصري",SUMIFS('ساعات عمر'!$H$5:$H$746,'ساعات عمر'!$A$5:$A$746,"&gt;="&amp;(WEEK_ONE+7*(H408-1)),'ساعات عمر'!$A$5:$A$746,"&lt;="&amp;G408),SUMIFS('ساعات عبدالعزيز'!$F$5:$F$746,'ساعات عبدالعزيز'!$A$5:$A$746,"&gt;="&amp;(WEEK_ONE+7*(H408-1)),'ساعات عبدالعزيز'!$A$5:$A$746,"&lt;="&amp;G408)))</f>
        <v/>
      </c>
    </row>
    <row r="409" customFormat="false" ht="15" hidden="false" customHeight="false" outlineLevel="0" collapsed="false">
      <c r="A409" s="43"/>
      <c r="B409" s="23" t="str">
        <f aca="false">IF(G409="","",CHOOSE(WEEKDAY(G409,1),"الأحد","الاثنين","الثلاثاء","الأربعاء","الخميس","الجمعة","السبت")&amp;IF(OR(ISNUMBER(A409),LEN(TRIM(A409))&gt;=10),"","  "&amp;TEXT(DAY(G409),"00")&amp;"/"&amp;TEXT(MONTH(G409),"00")&amp;"/"&amp;YEAR(G409)))</f>
        <v/>
      </c>
      <c r="C409" s="24"/>
      <c r="D409" s="44"/>
      <c r="E409" s="27"/>
      <c r="F409" s="45" t="str">
        <f aca="false">IF(A409="","",IF(G409="","⛔ التاريخ غلط — اختاره من القائمة أو اكتبه كامل 05/10/2026",IF(OR(H409&lt;1,H409&gt;NW),"⛔ التاريخ برّا السنة",IF(AND(N(D409)&gt;0,N(J409)&gt;0,D409&gt;ADV_CAP*J409),"⚠️ أكثر من "&amp;TEXT(ADV_CAP,"0%")&amp;" من شغله ("&amp;TEXT(J409,"0.000")&amp;")",""))))</f>
        <v/>
      </c>
      <c r="G409" s="0" t="str">
        <f aca="true">IF(A409="","",IF(ISNUMBER(A409),IF(A409&gt;=36526,A409,""),IFERROR(DATE(VALUE(RIGHT(RIGHT(TRIM(A409),10),4)),VALUE(MID(RIGHT(TRIM(A409),10),4,2)),VALUE(LEFT(RIGHT(TRIM(A409),10),2))),IFERROR(TODAY()-MOD(WEEKDAY(TODAY(),1)-MATCH(TRIM(A409),{"الأحد","الاثنين","الثلاثاء","الأربعاء","الخميس","الجمعة","السبت"},0),7),IFERROR(DATEVALUE(A409),"")))))</f>
        <v/>
      </c>
      <c r="H409" s="0" t="str">
        <f aca="false">IF(G409="","",INT((G409-WEEK_ONE)/7)+1)</f>
        <v/>
      </c>
      <c r="I409" s="0" t="str">
        <f aca="false">IF(H409="","",IF(OR(H409&lt;1,H409&gt;NW),"",INDEX(WMON,H409)))</f>
        <v/>
      </c>
      <c r="J409" s="0" t="str">
        <f aca="false">IF(OR(G409="",H409="",C409=""),"",IF(C409="عمر المصري",SUMIFS('ساعات عمر'!$H$5:$H$746,'ساعات عمر'!$A$5:$A$746,"&gt;="&amp;(WEEK_ONE+7*(H409-1)),'ساعات عمر'!$A$5:$A$746,"&lt;="&amp;G409),SUMIFS('ساعات عبدالعزيز'!$F$5:$F$746,'ساعات عبدالعزيز'!$A$5:$A$746,"&gt;="&amp;(WEEK_ONE+7*(H409-1)),'ساعات عبدالعزيز'!$A$5:$A$746,"&lt;="&amp;G409)))</f>
        <v/>
      </c>
    </row>
    <row r="411" customFormat="false" ht="15" hidden="false" customHeight="false" outlineLevel="0" collapsed="false">
      <c r="A411" s="46" t="str">
        <f aca="false">"ضل "&amp;COUNTBLANK(A10:A409)&amp;" سطر فاضي بالسجل"</f>
        <v>ضل 400 سطر فاضي بالسجل</v>
      </c>
    </row>
  </sheetData>
  <sheetProtection sheet="true" formatColumns="false" formatRows="false"/>
  <mergeCells count="2">
    <mergeCell ref="A1:F1"/>
    <mergeCell ref="A7:F7"/>
  </mergeCells>
  <conditionalFormatting sqref="A10:F409">
    <cfRule type="expression" priority="2" aboveAverage="0" equalAverage="0" bottom="0" percent="0" rank="0" text="" dxfId="5">
      <formula>LEFT($F10,1)="⛔"</formula>
    </cfRule>
    <cfRule type="expression" priority="3" aboveAverage="0" equalAverage="0" bottom="0" percent="0" rank="0" text="" dxfId="6">
      <formula>LEFT($F10,1)="⚠"</formula>
    </cfRule>
  </conditionalFormatting>
  <dataValidations count="2">
    <dataValidation allowBlank="true" errorStyle="stop" operator="between" showDropDown="false" showErrorMessage="false" showInputMessage="false" sqref="C10:C409" type="list">
      <formula1>"عمر المصري,عبدالعزيز"</formula1>
      <formula2>0</formula2>
    </dataValidation>
    <dataValidation allowBlank="true" errorStyle="stop" operator="between" prompt="اختار اليوم من القائمة، أو اكتب التاريخ كامل 05/10/2026، أو اسم اليوم بس" promptTitle="التاريخ" showDropDown="false" showErrorMessage="false" showInputMessage="true" sqref="A10:A409" type="list">
      <formula1>القوائم!$N$1:$N$14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1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3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6" min="5" style="0" width="15"/>
    <col collapsed="false" customWidth="true" hidden="false" outlineLevel="0" max="7" min="7" style="0" width="16"/>
    <col collapsed="false" customWidth="true" hidden="false" outlineLevel="0" max="8" min="8" style="0" width="38"/>
    <col collapsed="false" customWidth="true" hidden="true" outlineLevel="0" max="13" min="10" style="0" width="13"/>
  </cols>
  <sheetData>
    <row r="1" customFormat="false" ht="39.75" hidden="false" customHeight="true" outlineLevel="0" collapsed="false">
      <c r="A1" s="41" t="s">
        <v>38</v>
      </c>
      <c r="B1" s="41"/>
      <c r="C1" s="41"/>
      <c r="D1" s="41"/>
      <c r="E1" s="41"/>
      <c r="F1" s="41"/>
      <c r="G1" s="41"/>
      <c r="H1" s="41"/>
    </row>
    <row r="3" customFormat="false" ht="48" hidden="false" customHeight="true" outlineLevel="0" collapsed="false">
      <c r="A3" s="21" t="s">
        <v>3</v>
      </c>
      <c r="B3" s="21" t="s">
        <v>39</v>
      </c>
      <c r="C3" s="21" t="s">
        <v>40</v>
      </c>
      <c r="D3" s="21" t="s">
        <v>41</v>
      </c>
      <c r="E3" s="21" t="s">
        <v>10</v>
      </c>
      <c r="F3" s="21" t="s">
        <v>42</v>
      </c>
      <c r="G3" s="21" t="s">
        <v>43</v>
      </c>
      <c r="H3" s="21"/>
    </row>
    <row r="4" customFormat="false" ht="24" hidden="false" customHeight="true" outlineLevel="0" collapsed="false">
      <c r="A4" s="47" t="s">
        <v>12</v>
      </c>
      <c r="B4" s="48" t="n">
        <f aca="false">السنة!$D$6+SUMIFS(LG_DEBT,LG_E,A4,LG_W,"&lt;="&amp;WK)</f>
        <v>0</v>
      </c>
      <c r="C4" s="48" t="n">
        <f aca="false">SUMIFS(LO_INST,LO_WK,"&lt;="&amp;WK)</f>
        <v>0</v>
      </c>
      <c r="D4" s="48" t="n">
        <f aca="false">SUMIFS(LG_REP,LG_E,A4,LG_W,"&lt;="&amp;WK)</f>
        <v>0</v>
      </c>
      <c r="E4" s="49" t="n">
        <f aca="false">MAX(0,B4-C4-D4)</f>
        <v>0</v>
      </c>
      <c r="F4" s="48" t="n">
        <f aca="false">IF(E4&gt;0,IF(SUMPRODUCT(MAX((LG_E="عمر المصري")*(LG_INST&lt;&gt;"")*(LG_D&lt;=INDEX(WFRI,WK))*LG_IDX))=0,السنة!$E$6,INDEX(LG_INST,SUMPRODUCT(MAX((LG_E="عمر المصري")*(LG_INST&lt;&gt;"")*(LG_D&lt;=INDEX(WFRI,WK))*LG_IDX)))),0)</f>
        <v>0</v>
      </c>
      <c r="G4" s="47" t="str">
        <f aca="false">IF(E4&lt;0.0005,"✔ ما عليه شي",IF(F4&gt;0,ROUNDUP(E4/F4,0)&amp;" أسبوع تقريباً","⚠️ حدّد القسط"))</f>
        <v>✔ ما عليه شي</v>
      </c>
    </row>
    <row r="5" customFormat="false" ht="24" hidden="false" customHeight="true" outlineLevel="0" collapsed="false">
      <c r="A5" s="47" t="s">
        <v>13</v>
      </c>
      <c r="B5" s="48" t="n">
        <f aca="false">السنة!$D$7+SUMIFS(LG_DEBT,LG_E,A5,LG_W,"&lt;="&amp;WK)</f>
        <v>0</v>
      </c>
      <c r="C5" s="48" t="n">
        <f aca="false">SUMIFS(LZ_INST,LZ_WK,"&lt;="&amp;WK)</f>
        <v>0</v>
      </c>
      <c r="D5" s="48" t="n">
        <f aca="false">SUMIFS(LG_REP,LG_E,A5,LG_W,"&lt;="&amp;WK)</f>
        <v>0</v>
      </c>
      <c r="E5" s="49" t="n">
        <f aca="false">MAX(0,B5-C5-D5)</f>
        <v>0</v>
      </c>
      <c r="F5" s="48" t="n">
        <f aca="false">IF(E5&gt;0,IF(SUMPRODUCT(MAX((LG_E="عبدالعزيز")*(LG_INST&lt;&gt;"")*(LG_D&lt;=INDEX(WFRI,WK))*LG_IDX))=0,السنة!$E$7,INDEX(LG_INST,SUMPRODUCT(MAX((LG_E="عبدالعزيز")*(LG_INST&lt;&gt;"")*(LG_D&lt;=INDEX(WFRI,WK))*LG_IDX)))),0)</f>
        <v>0</v>
      </c>
      <c r="G5" s="47" t="str">
        <f aca="false">IF(E5&lt;0.0005,"✔ ما عليه شي",IF(F5&gt;0,ROUNDUP(E5/F5,0)&amp;" أسبوع تقريباً","⚠️ حدّد القسط"))</f>
        <v>✔ ما عليه شي</v>
      </c>
    </row>
    <row r="7" customFormat="false" ht="33.75" hidden="false" customHeight="true" outlineLevel="0" collapsed="false">
      <c r="A7" s="4" t="s">
        <v>44</v>
      </c>
      <c r="B7" s="4"/>
      <c r="C7" s="4"/>
      <c r="D7" s="4"/>
      <c r="E7" s="4"/>
      <c r="F7" s="4"/>
      <c r="G7" s="4"/>
      <c r="H7" s="4"/>
    </row>
    <row r="9" customFormat="false" ht="48" hidden="false" customHeight="true" outlineLevel="0" collapsed="false">
      <c r="A9" s="8" t="s">
        <v>18</v>
      </c>
      <c r="B9" s="8" t="s">
        <v>19</v>
      </c>
      <c r="C9" s="8" t="s">
        <v>3</v>
      </c>
      <c r="D9" s="8" t="s">
        <v>45</v>
      </c>
      <c r="E9" s="8" t="s">
        <v>35</v>
      </c>
      <c r="F9" s="8" t="s">
        <v>46</v>
      </c>
      <c r="G9" s="8" t="s">
        <v>47</v>
      </c>
      <c r="H9" s="8" t="s">
        <v>48</v>
      </c>
    </row>
    <row r="10" customFormat="false" ht="15" hidden="false" customHeight="false" outlineLevel="0" collapsed="false">
      <c r="A10" s="43"/>
      <c r="B10" s="23" t="str">
        <f aca="false">IF(K10="","",CHOOSE(WEEKDAY(K10,1),"الأحد","الاثنين","الثلاثاء","الأربعاء","الخميس","الجمعة","السبت")&amp;IF(OR(ISNUMBER(A10),LEN(TRIM(A10))&gt;=10),"","  "&amp;TEXT(DAY(K10),"00")&amp;"/"&amp;TEXT(MONTH(K10),"00")&amp;"/"&amp;YEAR(K10)))</f>
        <v/>
      </c>
      <c r="C10" s="24"/>
      <c r="D10" s="24"/>
      <c r="E10" s="44"/>
      <c r="F10" s="44"/>
      <c r="G10" s="44"/>
      <c r="H10" s="27"/>
      <c r="J10" s="0" t="n">
        <v>1</v>
      </c>
      <c r="K10" s="0" t="str">
        <f aca="true">IF(A10="","",IF(ISNUMBER(A10),IF(A10&gt;=36526,A10,""),IFERROR(DATE(VALUE(RIGHT(RIGHT(TRIM(A10),10),4)),VALUE(MID(RIGHT(TRIM(A10),10),4,2)),VALUE(LEFT(RIGHT(TRIM(A10),10),2))),IFERROR(TODAY()-MOD(WEEKDAY(TODAY(),1)-MATCH(TRIM(A10),{"الأحد","الاثنين","الثلاثاء","الأربعاء","الخميس","الجمعة","السبت"},0),7),IFERROR(DATEVALUE(A10),"")))))</f>
        <v/>
      </c>
      <c r="L10" s="0" t="str">
        <f aca="false">IF(K10="","",INT((K10-WEEK_ONE)/7)+1)</f>
        <v/>
      </c>
      <c r="M10" s="0" t="str">
        <f aca="false">IF(L10="","",IF(OR(L10&lt;1,L10&gt;NW),"",INDEX(WMON,L10)))</f>
        <v/>
      </c>
    </row>
    <row r="11" customFormat="false" ht="15" hidden="false" customHeight="false" outlineLevel="0" collapsed="false">
      <c r="A11" s="43"/>
      <c r="B11" s="23" t="str">
        <f aca="false">IF(K11="","",CHOOSE(WEEKDAY(K11,1),"الأحد","الاثنين","الثلاثاء","الأربعاء","الخميس","الجمعة","السبت")&amp;IF(OR(ISNUMBER(A11),LEN(TRIM(A11))&gt;=10),"","  "&amp;TEXT(DAY(K11),"00")&amp;"/"&amp;TEXT(MONTH(K11),"00")&amp;"/"&amp;YEAR(K11)))</f>
        <v/>
      </c>
      <c r="C11" s="24"/>
      <c r="D11" s="24"/>
      <c r="E11" s="44"/>
      <c r="F11" s="44"/>
      <c r="G11" s="44"/>
      <c r="H11" s="27"/>
      <c r="J11" s="0" t="n">
        <v>2</v>
      </c>
      <c r="K11" s="0" t="str">
        <f aca="true">IF(A11="","",IF(ISNUMBER(A11),IF(A11&gt;=36526,A11,""),IFERROR(DATE(VALUE(RIGHT(RIGHT(TRIM(A11),10),4)),VALUE(MID(RIGHT(TRIM(A11),10),4,2)),VALUE(LEFT(RIGHT(TRIM(A11),10),2))),IFERROR(TODAY()-MOD(WEEKDAY(TODAY(),1)-MATCH(TRIM(A11),{"الأحد","الاثنين","الثلاثاء","الأربعاء","الخميس","الجمعة","السبت"},0),7),IFERROR(DATEVALUE(A11),"")))))</f>
        <v/>
      </c>
      <c r="L11" s="0" t="str">
        <f aca="false">IF(K11="","",INT((K11-WEEK_ONE)/7)+1)</f>
        <v/>
      </c>
      <c r="M11" s="0" t="str">
        <f aca="false">IF(L11="","",IF(OR(L11&lt;1,L11&gt;NW),"",INDEX(WMON,L11)))</f>
        <v/>
      </c>
    </row>
    <row r="12" customFormat="false" ht="15" hidden="false" customHeight="false" outlineLevel="0" collapsed="false">
      <c r="A12" s="43"/>
      <c r="B12" s="23" t="str">
        <f aca="false">IF(K12="","",CHOOSE(WEEKDAY(K12,1),"الأحد","الاثنين","الثلاثاء","الأربعاء","الخميس","الجمعة","السبت")&amp;IF(OR(ISNUMBER(A12),LEN(TRIM(A12))&gt;=10),"","  "&amp;TEXT(DAY(K12),"00")&amp;"/"&amp;TEXT(MONTH(K12),"00")&amp;"/"&amp;YEAR(K12)))</f>
        <v/>
      </c>
      <c r="C12" s="24"/>
      <c r="D12" s="24"/>
      <c r="E12" s="44"/>
      <c r="F12" s="44"/>
      <c r="G12" s="44"/>
      <c r="H12" s="27"/>
      <c r="J12" s="0" t="n">
        <v>3</v>
      </c>
      <c r="K12" s="0" t="str">
        <f aca="true">IF(A12="","",IF(ISNUMBER(A12),IF(A12&gt;=36526,A12,""),IFERROR(DATE(VALUE(RIGHT(RIGHT(TRIM(A12),10),4)),VALUE(MID(RIGHT(TRIM(A12),10),4,2)),VALUE(LEFT(RIGHT(TRIM(A12),10),2))),IFERROR(TODAY()-MOD(WEEKDAY(TODAY(),1)-MATCH(TRIM(A12),{"الأحد","الاثنين","الثلاثاء","الأربعاء","الخميس","الجمعة","السبت"},0),7),IFERROR(DATEVALUE(A12),"")))))</f>
        <v/>
      </c>
      <c r="L12" s="0" t="str">
        <f aca="false">IF(K12="","",INT((K12-WEEK_ONE)/7)+1)</f>
        <v/>
      </c>
      <c r="M12" s="0" t="str">
        <f aca="false">IF(L12="","",IF(OR(L12&lt;1,L12&gt;NW),"",INDEX(WMON,L12)))</f>
        <v/>
      </c>
    </row>
    <row r="13" customFormat="false" ht="15" hidden="false" customHeight="false" outlineLevel="0" collapsed="false">
      <c r="A13" s="43"/>
      <c r="B13" s="23" t="str">
        <f aca="false">IF(K13="","",CHOOSE(WEEKDAY(K13,1),"الأحد","الاثنين","الثلاثاء","الأربعاء","الخميس","الجمعة","السبت")&amp;IF(OR(ISNUMBER(A13),LEN(TRIM(A13))&gt;=10),"","  "&amp;TEXT(DAY(K13),"00")&amp;"/"&amp;TEXT(MONTH(K13),"00")&amp;"/"&amp;YEAR(K13)))</f>
        <v/>
      </c>
      <c r="C13" s="24"/>
      <c r="D13" s="24"/>
      <c r="E13" s="44"/>
      <c r="F13" s="44"/>
      <c r="G13" s="44"/>
      <c r="H13" s="27"/>
      <c r="J13" s="0" t="n">
        <v>4</v>
      </c>
      <c r="K13" s="0" t="str">
        <f aca="true">IF(A13="","",IF(ISNUMBER(A13),IF(A13&gt;=36526,A13,""),IFERROR(DATE(VALUE(RIGHT(RIGHT(TRIM(A13),10),4)),VALUE(MID(RIGHT(TRIM(A13),10),4,2)),VALUE(LEFT(RIGHT(TRIM(A13),10),2))),IFERROR(TODAY()-MOD(WEEKDAY(TODAY(),1)-MATCH(TRIM(A13),{"الأحد","الاثنين","الثلاثاء","الأربعاء","الخميس","الجمعة","السبت"},0),7),IFERROR(DATEVALUE(A13),"")))))</f>
        <v/>
      </c>
      <c r="L13" s="0" t="str">
        <f aca="false">IF(K13="","",INT((K13-WEEK_ONE)/7)+1)</f>
        <v/>
      </c>
      <c r="M13" s="0" t="str">
        <f aca="false">IF(L13="","",IF(OR(L13&lt;1,L13&gt;NW),"",INDEX(WMON,L13)))</f>
        <v/>
      </c>
    </row>
    <row r="14" customFormat="false" ht="15" hidden="false" customHeight="false" outlineLevel="0" collapsed="false">
      <c r="A14" s="43"/>
      <c r="B14" s="23" t="str">
        <f aca="false">IF(K14="","",CHOOSE(WEEKDAY(K14,1),"الأحد","الاثنين","الثلاثاء","الأربعاء","الخميس","الجمعة","السبت")&amp;IF(OR(ISNUMBER(A14),LEN(TRIM(A14))&gt;=10),"","  "&amp;TEXT(DAY(K14),"00")&amp;"/"&amp;TEXT(MONTH(K14),"00")&amp;"/"&amp;YEAR(K14)))</f>
        <v/>
      </c>
      <c r="C14" s="24"/>
      <c r="D14" s="24"/>
      <c r="E14" s="44"/>
      <c r="F14" s="44"/>
      <c r="G14" s="44"/>
      <c r="H14" s="27"/>
      <c r="J14" s="0" t="n">
        <v>5</v>
      </c>
      <c r="K14" s="0" t="str">
        <f aca="true">IF(A14="","",IF(ISNUMBER(A14),IF(A14&gt;=36526,A14,""),IFERROR(DATE(VALUE(RIGHT(RIGHT(TRIM(A14),10),4)),VALUE(MID(RIGHT(TRIM(A14),10),4,2)),VALUE(LEFT(RIGHT(TRIM(A14),10),2))),IFERROR(TODAY()-MOD(WEEKDAY(TODAY(),1)-MATCH(TRIM(A14),{"الأحد","الاثنين","الثلاثاء","الأربعاء","الخميس","الجمعة","السبت"},0),7),IFERROR(DATEVALUE(A14),"")))))</f>
        <v/>
      </c>
      <c r="L14" s="0" t="str">
        <f aca="false">IF(K14="","",INT((K14-WEEK_ONE)/7)+1)</f>
        <v/>
      </c>
      <c r="M14" s="0" t="str">
        <f aca="false">IF(L14="","",IF(OR(L14&lt;1,L14&gt;NW),"",INDEX(WMON,L14)))</f>
        <v/>
      </c>
    </row>
    <row r="15" customFormat="false" ht="15" hidden="false" customHeight="false" outlineLevel="0" collapsed="false">
      <c r="A15" s="43"/>
      <c r="B15" s="23" t="str">
        <f aca="false">IF(K15="","",CHOOSE(WEEKDAY(K15,1),"الأحد","الاثنين","الثلاثاء","الأربعاء","الخميس","الجمعة","السبت")&amp;IF(OR(ISNUMBER(A15),LEN(TRIM(A15))&gt;=10),"","  "&amp;TEXT(DAY(K15),"00")&amp;"/"&amp;TEXT(MONTH(K15),"00")&amp;"/"&amp;YEAR(K15)))</f>
        <v/>
      </c>
      <c r="C15" s="24"/>
      <c r="D15" s="24"/>
      <c r="E15" s="44"/>
      <c r="F15" s="44"/>
      <c r="G15" s="44"/>
      <c r="H15" s="27"/>
      <c r="J15" s="0" t="n">
        <v>6</v>
      </c>
      <c r="K15" s="0" t="str">
        <f aca="true">IF(A15="","",IF(ISNUMBER(A15),IF(A15&gt;=36526,A15,""),IFERROR(DATE(VALUE(RIGHT(RIGHT(TRIM(A15),10),4)),VALUE(MID(RIGHT(TRIM(A15),10),4,2)),VALUE(LEFT(RIGHT(TRIM(A15),10),2))),IFERROR(TODAY()-MOD(WEEKDAY(TODAY(),1)-MATCH(TRIM(A15),{"الأحد","الاثنين","الثلاثاء","الأربعاء","الخميس","الجمعة","السبت"},0),7),IFERROR(DATEVALUE(A15),"")))))</f>
        <v/>
      </c>
      <c r="L15" s="0" t="str">
        <f aca="false">IF(K15="","",INT((K15-WEEK_ONE)/7)+1)</f>
        <v/>
      </c>
      <c r="M15" s="0" t="str">
        <f aca="false">IF(L15="","",IF(OR(L15&lt;1,L15&gt;NW),"",INDEX(WMON,L15)))</f>
        <v/>
      </c>
    </row>
    <row r="16" customFormat="false" ht="15" hidden="false" customHeight="false" outlineLevel="0" collapsed="false">
      <c r="A16" s="43"/>
      <c r="B16" s="23" t="str">
        <f aca="false">IF(K16="","",CHOOSE(WEEKDAY(K16,1),"الأحد","الاثنين","الثلاثاء","الأربعاء","الخميس","الجمعة","السبت")&amp;IF(OR(ISNUMBER(A16),LEN(TRIM(A16))&gt;=10),"","  "&amp;TEXT(DAY(K16),"00")&amp;"/"&amp;TEXT(MONTH(K16),"00")&amp;"/"&amp;YEAR(K16)))</f>
        <v/>
      </c>
      <c r="C16" s="24"/>
      <c r="D16" s="24"/>
      <c r="E16" s="44"/>
      <c r="F16" s="44"/>
      <c r="G16" s="44"/>
      <c r="H16" s="27"/>
      <c r="J16" s="0" t="n">
        <v>7</v>
      </c>
      <c r="K16" s="0" t="str">
        <f aca="true">IF(A16="","",IF(ISNUMBER(A16),IF(A16&gt;=36526,A16,""),IFERROR(DATE(VALUE(RIGHT(RIGHT(TRIM(A16),10),4)),VALUE(MID(RIGHT(TRIM(A16),10),4,2)),VALUE(LEFT(RIGHT(TRIM(A16),10),2))),IFERROR(TODAY()-MOD(WEEKDAY(TODAY(),1)-MATCH(TRIM(A16),{"الأحد","الاثنين","الثلاثاء","الأربعاء","الخميس","الجمعة","السبت"},0),7),IFERROR(DATEVALUE(A16),"")))))</f>
        <v/>
      </c>
      <c r="L16" s="0" t="str">
        <f aca="false">IF(K16="","",INT((K16-WEEK_ONE)/7)+1)</f>
        <v/>
      </c>
      <c r="M16" s="0" t="str">
        <f aca="false">IF(L16="","",IF(OR(L16&lt;1,L16&gt;NW),"",INDEX(WMON,L16)))</f>
        <v/>
      </c>
    </row>
    <row r="17" customFormat="false" ht="15" hidden="false" customHeight="false" outlineLevel="0" collapsed="false">
      <c r="A17" s="43"/>
      <c r="B17" s="23" t="str">
        <f aca="false">IF(K17="","",CHOOSE(WEEKDAY(K17,1),"الأحد","الاثنين","الثلاثاء","الأربعاء","الخميس","الجمعة","السبت")&amp;IF(OR(ISNUMBER(A17),LEN(TRIM(A17))&gt;=10),"","  "&amp;TEXT(DAY(K17),"00")&amp;"/"&amp;TEXT(MONTH(K17),"00")&amp;"/"&amp;YEAR(K17)))</f>
        <v/>
      </c>
      <c r="C17" s="24"/>
      <c r="D17" s="24"/>
      <c r="E17" s="44"/>
      <c r="F17" s="44"/>
      <c r="G17" s="44"/>
      <c r="H17" s="27"/>
      <c r="J17" s="0" t="n">
        <v>8</v>
      </c>
      <c r="K17" s="0" t="str">
        <f aca="true">IF(A17="","",IF(ISNUMBER(A17),IF(A17&gt;=36526,A17,""),IFERROR(DATE(VALUE(RIGHT(RIGHT(TRIM(A17),10),4)),VALUE(MID(RIGHT(TRIM(A17),10),4,2)),VALUE(LEFT(RIGHT(TRIM(A17),10),2))),IFERROR(TODAY()-MOD(WEEKDAY(TODAY(),1)-MATCH(TRIM(A17),{"الأحد","الاثنين","الثلاثاء","الأربعاء","الخميس","الجمعة","السبت"},0),7),IFERROR(DATEVALUE(A17),"")))))</f>
        <v/>
      </c>
      <c r="L17" s="0" t="str">
        <f aca="false">IF(K17="","",INT((K17-WEEK_ONE)/7)+1)</f>
        <v/>
      </c>
      <c r="M17" s="0" t="str">
        <f aca="false">IF(L17="","",IF(OR(L17&lt;1,L17&gt;NW),"",INDEX(WMON,L17)))</f>
        <v/>
      </c>
    </row>
    <row r="18" customFormat="false" ht="15" hidden="false" customHeight="false" outlineLevel="0" collapsed="false">
      <c r="A18" s="43"/>
      <c r="B18" s="23" t="str">
        <f aca="false">IF(K18="","",CHOOSE(WEEKDAY(K18,1),"الأحد","الاثنين","الثلاثاء","الأربعاء","الخميس","الجمعة","السبت")&amp;IF(OR(ISNUMBER(A18),LEN(TRIM(A18))&gt;=10),"","  "&amp;TEXT(DAY(K18),"00")&amp;"/"&amp;TEXT(MONTH(K18),"00")&amp;"/"&amp;YEAR(K18)))</f>
        <v/>
      </c>
      <c r="C18" s="24"/>
      <c r="D18" s="24"/>
      <c r="E18" s="44"/>
      <c r="F18" s="44"/>
      <c r="G18" s="44"/>
      <c r="H18" s="27"/>
      <c r="J18" s="0" t="n">
        <v>9</v>
      </c>
      <c r="K18" s="0" t="str">
        <f aca="true">IF(A18="","",IF(ISNUMBER(A18),IF(A18&gt;=36526,A18,""),IFERROR(DATE(VALUE(RIGHT(RIGHT(TRIM(A18),10),4)),VALUE(MID(RIGHT(TRIM(A18),10),4,2)),VALUE(LEFT(RIGHT(TRIM(A18),10),2))),IFERROR(TODAY()-MOD(WEEKDAY(TODAY(),1)-MATCH(TRIM(A18),{"الأحد","الاثنين","الثلاثاء","الأربعاء","الخميس","الجمعة","السبت"},0),7),IFERROR(DATEVALUE(A18),"")))))</f>
        <v/>
      </c>
      <c r="L18" s="0" t="str">
        <f aca="false">IF(K18="","",INT((K18-WEEK_ONE)/7)+1)</f>
        <v/>
      </c>
      <c r="M18" s="0" t="str">
        <f aca="false">IF(L18="","",IF(OR(L18&lt;1,L18&gt;NW),"",INDEX(WMON,L18)))</f>
        <v/>
      </c>
    </row>
    <row r="19" customFormat="false" ht="15" hidden="false" customHeight="false" outlineLevel="0" collapsed="false">
      <c r="A19" s="43"/>
      <c r="B19" s="23" t="str">
        <f aca="false">IF(K19="","",CHOOSE(WEEKDAY(K19,1),"الأحد","الاثنين","الثلاثاء","الأربعاء","الخميس","الجمعة","السبت")&amp;IF(OR(ISNUMBER(A19),LEN(TRIM(A19))&gt;=10),"","  "&amp;TEXT(DAY(K19),"00")&amp;"/"&amp;TEXT(MONTH(K19),"00")&amp;"/"&amp;YEAR(K19)))</f>
        <v/>
      </c>
      <c r="C19" s="24"/>
      <c r="D19" s="24"/>
      <c r="E19" s="44"/>
      <c r="F19" s="44"/>
      <c r="G19" s="44"/>
      <c r="H19" s="27"/>
      <c r="J19" s="0" t="n">
        <v>10</v>
      </c>
      <c r="K19" s="0" t="str">
        <f aca="true">IF(A19="","",IF(ISNUMBER(A19),IF(A19&gt;=36526,A19,""),IFERROR(DATE(VALUE(RIGHT(RIGHT(TRIM(A19),10),4)),VALUE(MID(RIGHT(TRIM(A19),10),4,2)),VALUE(LEFT(RIGHT(TRIM(A19),10),2))),IFERROR(TODAY()-MOD(WEEKDAY(TODAY(),1)-MATCH(TRIM(A19),{"الأحد","الاثنين","الثلاثاء","الأربعاء","الخميس","الجمعة","السبت"},0),7),IFERROR(DATEVALUE(A19),"")))))</f>
        <v/>
      </c>
      <c r="L19" s="0" t="str">
        <f aca="false">IF(K19="","",INT((K19-WEEK_ONE)/7)+1)</f>
        <v/>
      </c>
      <c r="M19" s="0" t="str">
        <f aca="false">IF(L19="","",IF(OR(L19&lt;1,L19&gt;NW),"",INDEX(WMON,L19)))</f>
        <v/>
      </c>
    </row>
    <row r="20" customFormat="false" ht="15" hidden="false" customHeight="false" outlineLevel="0" collapsed="false">
      <c r="A20" s="43"/>
      <c r="B20" s="23" t="str">
        <f aca="false">IF(K20="","",CHOOSE(WEEKDAY(K20,1),"الأحد","الاثنين","الثلاثاء","الأربعاء","الخميس","الجمعة","السبت")&amp;IF(OR(ISNUMBER(A20),LEN(TRIM(A20))&gt;=10),"","  "&amp;TEXT(DAY(K20),"00")&amp;"/"&amp;TEXT(MONTH(K20),"00")&amp;"/"&amp;YEAR(K20)))</f>
        <v/>
      </c>
      <c r="C20" s="24"/>
      <c r="D20" s="24"/>
      <c r="E20" s="44"/>
      <c r="F20" s="44"/>
      <c r="G20" s="44"/>
      <c r="H20" s="27"/>
      <c r="J20" s="0" t="n">
        <v>11</v>
      </c>
      <c r="K20" s="0" t="str">
        <f aca="true">IF(A20="","",IF(ISNUMBER(A20),IF(A20&gt;=36526,A20,""),IFERROR(DATE(VALUE(RIGHT(RIGHT(TRIM(A20),10),4)),VALUE(MID(RIGHT(TRIM(A20),10),4,2)),VALUE(LEFT(RIGHT(TRIM(A20),10),2))),IFERROR(TODAY()-MOD(WEEKDAY(TODAY(),1)-MATCH(TRIM(A20),{"الأحد","الاثنين","الثلاثاء","الأربعاء","الخميس","الجمعة","السبت"},0),7),IFERROR(DATEVALUE(A20),"")))))</f>
        <v/>
      </c>
      <c r="L20" s="0" t="str">
        <f aca="false">IF(K20="","",INT((K20-WEEK_ONE)/7)+1)</f>
        <v/>
      </c>
      <c r="M20" s="0" t="str">
        <f aca="false">IF(L20="","",IF(OR(L20&lt;1,L20&gt;NW),"",INDEX(WMON,L20)))</f>
        <v/>
      </c>
    </row>
    <row r="21" customFormat="false" ht="15" hidden="false" customHeight="false" outlineLevel="0" collapsed="false">
      <c r="A21" s="43"/>
      <c r="B21" s="23" t="str">
        <f aca="false">IF(K21="","",CHOOSE(WEEKDAY(K21,1),"الأحد","الاثنين","الثلاثاء","الأربعاء","الخميس","الجمعة","السبت")&amp;IF(OR(ISNUMBER(A21),LEN(TRIM(A21))&gt;=10),"","  "&amp;TEXT(DAY(K21),"00")&amp;"/"&amp;TEXT(MONTH(K21),"00")&amp;"/"&amp;YEAR(K21)))</f>
        <v/>
      </c>
      <c r="C21" s="24"/>
      <c r="D21" s="24"/>
      <c r="E21" s="44"/>
      <c r="F21" s="44"/>
      <c r="G21" s="44"/>
      <c r="H21" s="27"/>
      <c r="J21" s="0" t="n">
        <v>12</v>
      </c>
      <c r="K21" s="0" t="str">
        <f aca="true">IF(A21="","",IF(ISNUMBER(A21),IF(A21&gt;=36526,A21,""),IFERROR(DATE(VALUE(RIGHT(RIGHT(TRIM(A21),10),4)),VALUE(MID(RIGHT(TRIM(A21),10),4,2)),VALUE(LEFT(RIGHT(TRIM(A21),10),2))),IFERROR(TODAY()-MOD(WEEKDAY(TODAY(),1)-MATCH(TRIM(A21),{"الأحد","الاثنين","الثلاثاء","الأربعاء","الخميس","الجمعة","السبت"},0),7),IFERROR(DATEVALUE(A21),"")))))</f>
        <v/>
      </c>
      <c r="L21" s="0" t="str">
        <f aca="false">IF(K21="","",INT((K21-WEEK_ONE)/7)+1)</f>
        <v/>
      </c>
      <c r="M21" s="0" t="str">
        <f aca="false">IF(L21="","",IF(OR(L21&lt;1,L21&gt;NW),"",INDEX(WMON,L21)))</f>
        <v/>
      </c>
    </row>
    <row r="22" customFormat="false" ht="15" hidden="false" customHeight="false" outlineLevel="0" collapsed="false">
      <c r="A22" s="43"/>
      <c r="B22" s="23" t="str">
        <f aca="false">IF(K22="","",CHOOSE(WEEKDAY(K22,1),"الأحد","الاثنين","الثلاثاء","الأربعاء","الخميس","الجمعة","السبت")&amp;IF(OR(ISNUMBER(A22),LEN(TRIM(A22))&gt;=10),"","  "&amp;TEXT(DAY(K22),"00")&amp;"/"&amp;TEXT(MONTH(K22),"00")&amp;"/"&amp;YEAR(K22)))</f>
        <v/>
      </c>
      <c r="C22" s="24"/>
      <c r="D22" s="24"/>
      <c r="E22" s="44"/>
      <c r="F22" s="44"/>
      <c r="G22" s="44"/>
      <c r="H22" s="27"/>
      <c r="J22" s="0" t="n">
        <v>13</v>
      </c>
      <c r="K22" s="0" t="str">
        <f aca="true">IF(A22="","",IF(ISNUMBER(A22),IF(A22&gt;=36526,A22,""),IFERROR(DATE(VALUE(RIGHT(RIGHT(TRIM(A22),10),4)),VALUE(MID(RIGHT(TRIM(A22),10),4,2)),VALUE(LEFT(RIGHT(TRIM(A22),10),2))),IFERROR(TODAY()-MOD(WEEKDAY(TODAY(),1)-MATCH(TRIM(A22),{"الأحد","الاثنين","الثلاثاء","الأربعاء","الخميس","الجمعة","السبت"},0),7),IFERROR(DATEVALUE(A22),"")))))</f>
        <v/>
      </c>
      <c r="L22" s="0" t="str">
        <f aca="false">IF(K22="","",INT((K22-WEEK_ONE)/7)+1)</f>
        <v/>
      </c>
      <c r="M22" s="0" t="str">
        <f aca="false">IF(L22="","",IF(OR(L22&lt;1,L22&gt;NW),"",INDEX(WMON,L22)))</f>
        <v/>
      </c>
    </row>
    <row r="23" customFormat="false" ht="15" hidden="false" customHeight="false" outlineLevel="0" collapsed="false">
      <c r="A23" s="43"/>
      <c r="B23" s="23" t="str">
        <f aca="false">IF(K23="","",CHOOSE(WEEKDAY(K23,1),"الأحد","الاثنين","الثلاثاء","الأربعاء","الخميس","الجمعة","السبت")&amp;IF(OR(ISNUMBER(A23),LEN(TRIM(A23))&gt;=10),"","  "&amp;TEXT(DAY(K23),"00")&amp;"/"&amp;TEXT(MONTH(K23),"00")&amp;"/"&amp;YEAR(K23)))</f>
        <v/>
      </c>
      <c r="C23" s="24"/>
      <c r="D23" s="24"/>
      <c r="E23" s="44"/>
      <c r="F23" s="44"/>
      <c r="G23" s="44"/>
      <c r="H23" s="27"/>
      <c r="J23" s="0" t="n">
        <v>14</v>
      </c>
      <c r="K23" s="0" t="str">
        <f aca="true">IF(A23="","",IF(ISNUMBER(A23),IF(A23&gt;=36526,A23,""),IFERROR(DATE(VALUE(RIGHT(RIGHT(TRIM(A23),10),4)),VALUE(MID(RIGHT(TRIM(A23),10),4,2)),VALUE(LEFT(RIGHT(TRIM(A23),10),2))),IFERROR(TODAY()-MOD(WEEKDAY(TODAY(),1)-MATCH(TRIM(A23),{"الأحد","الاثنين","الثلاثاء","الأربعاء","الخميس","الجمعة","السبت"},0),7),IFERROR(DATEVALUE(A23),"")))))</f>
        <v/>
      </c>
      <c r="L23" s="0" t="str">
        <f aca="false">IF(K23="","",INT((K23-WEEK_ONE)/7)+1)</f>
        <v/>
      </c>
      <c r="M23" s="0" t="str">
        <f aca="false">IF(L23="","",IF(OR(L23&lt;1,L23&gt;NW),"",INDEX(WMON,L23)))</f>
        <v/>
      </c>
    </row>
    <row r="24" customFormat="false" ht="15" hidden="false" customHeight="false" outlineLevel="0" collapsed="false">
      <c r="A24" s="43"/>
      <c r="B24" s="23" t="str">
        <f aca="false">IF(K24="","",CHOOSE(WEEKDAY(K24,1),"الأحد","الاثنين","الثلاثاء","الأربعاء","الخميس","الجمعة","السبت")&amp;IF(OR(ISNUMBER(A24),LEN(TRIM(A24))&gt;=10),"","  "&amp;TEXT(DAY(K24),"00")&amp;"/"&amp;TEXT(MONTH(K24),"00")&amp;"/"&amp;YEAR(K24)))</f>
        <v/>
      </c>
      <c r="C24" s="24"/>
      <c r="D24" s="24"/>
      <c r="E24" s="44"/>
      <c r="F24" s="44"/>
      <c r="G24" s="44"/>
      <c r="H24" s="27"/>
      <c r="J24" s="0" t="n">
        <v>15</v>
      </c>
      <c r="K24" s="0" t="str">
        <f aca="true">IF(A24="","",IF(ISNUMBER(A24),IF(A24&gt;=36526,A24,""),IFERROR(DATE(VALUE(RIGHT(RIGHT(TRIM(A24),10),4)),VALUE(MID(RIGHT(TRIM(A24),10),4,2)),VALUE(LEFT(RIGHT(TRIM(A24),10),2))),IFERROR(TODAY()-MOD(WEEKDAY(TODAY(),1)-MATCH(TRIM(A24),{"الأحد","الاثنين","الثلاثاء","الأربعاء","الخميس","الجمعة","السبت"},0),7),IFERROR(DATEVALUE(A24),"")))))</f>
        <v/>
      </c>
      <c r="L24" s="0" t="str">
        <f aca="false">IF(K24="","",INT((K24-WEEK_ONE)/7)+1)</f>
        <v/>
      </c>
      <c r="M24" s="0" t="str">
        <f aca="false">IF(L24="","",IF(OR(L24&lt;1,L24&gt;NW),"",INDEX(WMON,L24)))</f>
        <v/>
      </c>
    </row>
    <row r="25" customFormat="false" ht="15" hidden="false" customHeight="false" outlineLevel="0" collapsed="false">
      <c r="A25" s="43"/>
      <c r="B25" s="23" t="str">
        <f aca="false">IF(K25="","",CHOOSE(WEEKDAY(K25,1),"الأحد","الاثنين","الثلاثاء","الأربعاء","الخميس","الجمعة","السبت")&amp;IF(OR(ISNUMBER(A25),LEN(TRIM(A25))&gt;=10),"","  "&amp;TEXT(DAY(K25),"00")&amp;"/"&amp;TEXT(MONTH(K25),"00")&amp;"/"&amp;YEAR(K25)))</f>
        <v/>
      </c>
      <c r="C25" s="24"/>
      <c r="D25" s="24"/>
      <c r="E25" s="44"/>
      <c r="F25" s="44"/>
      <c r="G25" s="44"/>
      <c r="H25" s="27"/>
      <c r="J25" s="0" t="n">
        <v>16</v>
      </c>
      <c r="K25" s="0" t="str">
        <f aca="true">IF(A25="","",IF(ISNUMBER(A25),IF(A25&gt;=36526,A25,""),IFERROR(DATE(VALUE(RIGHT(RIGHT(TRIM(A25),10),4)),VALUE(MID(RIGHT(TRIM(A25),10),4,2)),VALUE(LEFT(RIGHT(TRIM(A25),10),2))),IFERROR(TODAY()-MOD(WEEKDAY(TODAY(),1)-MATCH(TRIM(A25),{"الأحد","الاثنين","الثلاثاء","الأربعاء","الخميس","الجمعة","السبت"},0),7),IFERROR(DATEVALUE(A25),"")))))</f>
        <v/>
      </c>
      <c r="L25" s="0" t="str">
        <f aca="false">IF(K25="","",INT((K25-WEEK_ONE)/7)+1)</f>
        <v/>
      </c>
      <c r="M25" s="0" t="str">
        <f aca="false">IF(L25="","",IF(OR(L25&lt;1,L25&gt;NW),"",INDEX(WMON,L25)))</f>
        <v/>
      </c>
    </row>
    <row r="26" customFormat="false" ht="15" hidden="false" customHeight="false" outlineLevel="0" collapsed="false">
      <c r="A26" s="43"/>
      <c r="B26" s="23" t="str">
        <f aca="false">IF(K26="","",CHOOSE(WEEKDAY(K26,1),"الأحد","الاثنين","الثلاثاء","الأربعاء","الخميس","الجمعة","السبت")&amp;IF(OR(ISNUMBER(A26),LEN(TRIM(A26))&gt;=10),"","  "&amp;TEXT(DAY(K26),"00")&amp;"/"&amp;TEXT(MONTH(K26),"00")&amp;"/"&amp;YEAR(K26)))</f>
        <v/>
      </c>
      <c r="C26" s="24"/>
      <c r="D26" s="24"/>
      <c r="E26" s="44"/>
      <c r="F26" s="44"/>
      <c r="G26" s="44"/>
      <c r="H26" s="27"/>
      <c r="J26" s="0" t="n">
        <v>17</v>
      </c>
      <c r="K26" s="0" t="str">
        <f aca="true">IF(A26="","",IF(ISNUMBER(A26),IF(A26&gt;=36526,A26,""),IFERROR(DATE(VALUE(RIGHT(RIGHT(TRIM(A26),10),4)),VALUE(MID(RIGHT(TRIM(A26),10),4,2)),VALUE(LEFT(RIGHT(TRIM(A26),10),2))),IFERROR(TODAY()-MOD(WEEKDAY(TODAY(),1)-MATCH(TRIM(A26),{"الأحد","الاثنين","الثلاثاء","الأربعاء","الخميس","الجمعة","السبت"},0),7),IFERROR(DATEVALUE(A26),"")))))</f>
        <v/>
      </c>
      <c r="L26" s="0" t="str">
        <f aca="false">IF(K26="","",INT((K26-WEEK_ONE)/7)+1)</f>
        <v/>
      </c>
      <c r="M26" s="0" t="str">
        <f aca="false">IF(L26="","",IF(OR(L26&lt;1,L26&gt;NW),"",INDEX(WMON,L26)))</f>
        <v/>
      </c>
    </row>
    <row r="27" customFormat="false" ht="15" hidden="false" customHeight="false" outlineLevel="0" collapsed="false">
      <c r="A27" s="43"/>
      <c r="B27" s="23" t="str">
        <f aca="false">IF(K27="","",CHOOSE(WEEKDAY(K27,1),"الأحد","الاثنين","الثلاثاء","الأربعاء","الخميس","الجمعة","السبت")&amp;IF(OR(ISNUMBER(A27),LEN(TRIM(A27))&gt;=10),"","  "&amp;TEXT(DAY(K27),"00")&amp;"/"&amp;TEXT(MONTH(K27),"00")&amp;"/"&amp;YEAR(K27)))</f>
        <v/>
      </c>
      <c r="C27" s="24"/>
      <c r="D27" s="24"/>
      <c r="E27" s="44"/>
      <c r="F27" s="44"/>
      <c r="G27" s="44"/>
      <c r="H27" s="27"/>
      <c r="J27" s="0" t="n">
        <v>18</v>
      </c>
      <c r="K27" s="0" t="str">
        <f aca="true">IF(A27="","",IF(ISNUMBER(A27),IF(A27&gt;=36526,A27,""),IFERROR(DATE(VALUE(RIGHT(RIGHT(TRIM(A27),10),4)),VALUE(MID(RIGHT(TRIM(A27),10),4,2)),VALUE(LEFT(RIGHT(TRIM(A27),10),2))),IFERROR(TODAY()-MOD(WEEKDAY(TODAY(),1)-MATCH(TRIM(A27),{"الأحد","الاثنين","الثلاثاء","الأربعاء","الخميس","الجمعة","السبت"},0),7),IFERROR(DATEVALUE(A27),"")))))</f>
        <v/>
      </c>
      <c r="L27" s="0" t="str">
        <f aca="false">IF(K27="","",INT((K27-WEEK_ONE)/7)+1)</f>
        <v/>
      </c>
      <c r="M27" s="0" t="str">
        <f aca="false">IF(L27="","",IF(OR(L27&lt;1,L27&gt;NW),"",INDEX(WMON,L27)))</f>
        <v/>
      </c>
    </row>
    <row r="28" customFormat="false" ht="15" hidden="false" customHeight="false" outlineLevel="0" collapsed="false">
      <c r="A28" s="43"/>
      <c r="B28" s="23" t="str">
        <f aca="false">IF(K28="","",CHOOSE(WEEKDAY(K28,1),"الأحد","الاثنين","الثلاثاء","الأربعاء","الخميس","الجمعة","السبت")&amp;IF(OR(ISNUMBER(A28),LEN(TRIM(A28))&gt;=10),"","  "&amp;TEXT(DAY(K28),"00")&amp;"/"&amp;TEXT(MONTH(K28),"00")&amp;"/"&amp;YEAR(K28)))</f>
        <v/>
      </c>
      <c r="C28" s="24"/>
      <c r="D28" s="24"/>
      <c r="E28" s="44"/>
      <c r="F28" s="44"/>
      <c r="G28" s="44"/>
      <c r="H28" s="27"/>
      <c r="J28" s="0" t="n">
        <v>19</v>
      </c>
      <c r="K28" s="0" t="str">
        <f aca="true">IF(A28="","",IF(ISNUMBER(A28),IF(A28&gt;=36526,A28,""),IFERROR(DATE(VALUE(RIGHT(RIGHT(TRIM(A28),10),4)),VALUE(MID(RIGHT(TRIM(A28),10),4,2)),VALUE(LEFT(RIGHT(TRIM(A28),10),2))),IFERROR(TODAY()-MOD(WEEKDAY(TODAY(),1)-MATCH(TRIM(A28),{"الأحد","الاثنين","الثلاثاء","الأربعاء","الخميس","الجمعة","السبت"},0),7),IFERROR(DATEVALUE(A28),"")))))</f>
        <v/>
      </c>
      <c r="L28" s="0" t="str">
        <f aca="false">IF(K28="","",INT((K28-WEEK_ONE)/7)+1)</f>
        <v/>
      </c>
      <c r="M28" s="0" t="str">
        <f aca="false">IF(L28="","",IF(OR(L28&lt;1,L28&gt;NW),"",INDEX(WMON,L28)))</f>
        <v/>
      </c>
    </row>
    <row r="29" customFormat="false" ht="15" hidden="false" customHeight="false" outlineLevel="0" collapsed="false">
      <c r="A29" s="43"/>
      <c r="B29" s="23" t="str">
        <f aca="false">IF(K29="","",CHOOSE(WEEKDAY(K29,1),"الأحد","الاثنين","الثلاثاء","الأربعاء","الخميس","الجمعة","السبت")&amp;IF(OR(ISNUMBER(A29),LEN(TRIM(A29))&gt;=10),"","  "&amp;TEXT(DAY(K29),"00")&amp;"/"&amp;TEXT(MONTH(K29),"00")&amp;"/"&amp;YEAR(K29)))</f>
        <v/>
      </c>
      <c r="C29" s="24"/>
      <c r="D29" s="24"/>
      <c r="E29" s="44"/>
      <c r="F29" s="44"/>
      <c r="G29" s="44"/>
      <c r="H29" s="27"/>
      <c r="J29" s="0" t="n">
        <v>20</v>
      </c>
      <c r="K29" s="0" t="str">
        <f aca="true">IF(A29="","",IF(ISNUMBER(A29),IF(A29&gt;=36526,A29,""),IFERROR(DATE(VALUE(RIGHT(RIGHT(TRIM(A29),10),4)),VALUE(MID(RIGHT(TRIM(A29),10),4,2)),VALUE(LEFT(RIGHT(TRIM(A29),10),2))),IFERROR(TODAY()-MOD(WEEKDAY(TODAY(),1)-MATCH(TRIM(A29),{"الأحد","الاثنين","الثلاثاء","الأربعاء","الخميس","الجمعة","السبت"},0),7),IFERROR(DATEVALUE(A29),"")))))</f>
        <v/>
      </c>
      <c r="L29" s="0" t="str">
        <f aca="false">IF(K29="","",INT((K29-WEEK_ONE)/7)+1)</f>
        <v/>
      </c>
      <c r="M29" s="0" t="str">
        <f aca="false">IF(L29="","",IF(OR(L29&lt;1,L29&gt;NW),"",INDEX(WMON,L29)))</f>
        <v/>
      </c>
    </row>
    <row r="30" customFormat="false" ht="15" hidden="false" customHeight="false" outlineLevel="0" collapsed="false">
      <c r="A30" s="43"/>
      <c r="B30" s="23" t="str">
        <f aca="false">IF(K30="","",CHOOSE(WEEKDAY(K30,1),"الأحد","الاثنين","الثلاثاء","الأربعاء","الخميس","الجمعة","السبت")&amp;IF(OR(ISNUMBER(A30),LEN(TRIM(A30))&gt;=10),"","  "&amp;TEXT(DAY(K30),"00")&amp;"/"&amp;TEXT(MONTH(K30),"00")&amp;"/"&amp;YEAR(K30)))</f>
        <v/>
      </c>
      <c r="C30" s="24"/>
      <c r="D30" s="24"/>
      <c r="E30" s="44"/>
      <c r="F30" s="44"/>
      <c r="G30" s="44"/>
      <c r="H30" s="27"/>
      <c r="J30" s="0" t="n">
        <v>21</v>
      </c>
      <c r="K30" s="0" t="str">
        <f aca="true">IF(A30="","",IF(ISNUMBER(A30),IF(A30&gt;=36526,A30,""),IFERROR(DATE(VALUE(RIGHT(RIGHT(TRIM(A30),10),4)),VALUE(MID(RIGHT(TRIM(A30),10),4,2)),VALUE(LEFT(RIGHT(TRIM(A30),10),2))),IFERROR(TODAY()-MOD(WEEKDAY(TODAY(),1)-MATCH(TRIM(A30),{"الأحد","الاثنين","الثلاثاء","الأربعاء","الخميس","الجمعة","السبت"},0),7),IFERROR(DATEVALUE(A30),"")))))</f>
        <v/>
      </c>
      <c r="L30" s="0" t="str">
        <f aca="false">IF(K30="","",INT((K30-WEEK_ONE)/7)+1)</f>
        <v/>
      </c>
      <c r="M30" s="0" t="str">
        <f aca="false">IF(L30="","",IF(OR(L30&lt;1,L30&gt;NW),"",INDEX(WMON,L30)))</f>
        <v/>
      </c>
    </row>
    <row r="31" customFormat="false" ht="15" hidden="false" customHeight="false" outlineLevel="0" collapsed="false">
      <c r="A31" s="43"/>
      <c r="B31" s="23" t="str">
        <f aca="false">IF(K31="","",CHOOSE(WEEKDAY(K31,1),"الأحد","الاثنين","الثلاثاء","الأربعاء","الخميس","الجمعة","السبت")&amp;IF(OR(ISNUMBER(A31),LEN(TRIM(A31))&gt;=10),"","  "&amp;TEXT(DAY(K31),"00")&amp;"/"&amp;TEXT(MONTH(K31),"00")&amp;"/"&amp;YEAR(K31)))</f>
        <v/>
      </c>
      <c r="C31" s="24"/>
      <c r="D31" s="24"/>
      <c r="E31" s="44"/>
      <c r="F31" s="44"/>
      <c r="G31" s="44"/>
      <c r="H31" s="27"/>
      <c r="J31" s="0" t="n">
        <v>22</v>
      </c>
      <c r="K31" s="0" t="str">
        <f aca="true">IF(A31="","",IF(ISNUMBER(A31),IF(A31&gt;=36526,A31,""),IFERROR(DATE(VALUE(RIGHT(RIGHT(TRIM(A31),10),4)),VALUE(MID(RIGHT(TRIM(A31),10),4,2)),VALUE(LEFT(RIGHT(TRIM(A31),10),2))),IFERROR(TODAY()-MOD(WEEKDAY(TODAY(),1)-MATCH(TRIM(A31),{"الأحد","الاثنين","الثلاثاء","الأربعاء","الخميس","الجمعة","السبت"},0),7),IFERROR(DATEVALUE(A31),"")))))</f>
        <v/>
      </c>
      <c r="L31" s="0" t="str">
        <f aca="false">IF(K31="","",INT((K31-WEEK_ONE)/7)+1)</f>
        <v/>
      </c>
      <c r="M31" s="0" t="str">
        <f aca="false">IF(L31="","",IF(OR(L31&lt;1,L31&gt;NW),"",INDEX(WMON,L31)))</f>
        <v/>
      </c>
    </row>
    <row r="32" customFormat="false" ht="15" hidden="false" customHeight="false" outlineLevel="0" collapsed="false">
      <c r="A32" s="43"/>
      <c r="B32" s="23" t="str">
        <f aca="false">IF(K32="","",CHOOSE(WEEKDAY(K32,1),"الأحد","الاثنين","الثلاثاء","الأربعاء","الخميس","الجمعة","السبت")&amp;IF(OR(ISNUMBER(A32),LEN(TRIM(A32))&gt;=10),"","  "&amp;TEXT(DAY(K32),"00")&amp;"/"&amp;TEXT(MONTH(K32),"00")&amp;"/"&amp;YEAR(K32)))</f>
        <v/>
      </c>
      <c r="C32" s="24"/>
      <c r="D32" s="24"/>
      <c r="E32" s="44"/>
      <c r="F32" s="44"/>
      <c r="G32" s="44"/>
      <c r="H32" s="27"/>
      <c r="J32" s="0" t="n">
        <v>23</v>
      </c>
      <c r="K32" s="0" t="str">
        <f aca="true">IF(A32="","",IF(ISNUMBER(A32),IF(A32&gt;=36526,A32,""),IFERROR(DATE(VALUE(RIGHT(RIGHT(TRIM(A32),10),4)),VALUE(MID(RIGHT(TRIM(A32),10),4,2)),VALUE(LEFT(RIGHT(TRIM(A32),10),2))),IFERROR(TODAY()-MOD(WEEKDAY(TODAY(),1)-MATCH(TRIM(A32),{"الأحد","الاثنين","الثلاثاء","الأربعاء","الخميس","الجمعة","السبت"},0),7),IFERROR(DATEVALUE(A32),"")))))</f>
        <v/>
      </c>
      <c r="L32" s="0" t="str">
        <f aca="false">IF(K32="","",INT((K32-WEEK_ONE)/7)+1)</f>
        <v/>
      </c>
      <c r="M32" s="0" t="str">
        <f aca="false">IF(L32="","",IF(OR(L32&lt;1,L32&gt;NW),"",INDEX(WMON,L32)))</f>
        <v/>
      </c>
    </row>
    <row r="33" customFormat="false" ht="15" hidden="false" customHeight="false" outlineLevel="0" collapsed="false">
      <c r="A33" s="43"/>
      <c r="B33" s="23" t="str">
        <f aca="false">IF(K33="","",CHOOSE(WEEKDAY(K33,1),"الأحد","الاثنين","الثلاثاء","الأربعاء","الخميس","الجمعة","السبت")&amp;IF(OR(ISNUMBER(A33),LEN(TRIM(A33))&gt;=10),"","  "&amp;TEXT(DAY(K33),"00")&amp;"/"&amp;TEXT(MONTH(K33),"00")&amp;"/"&amp;YEAR(K33)))</f>
        <v/>
      </c>
      <c r="C33" s="24"/>
      <c r="D33" s="24"/>
      <c r="E33" s="44"/>
      <c r="F33" s="44"/>
      <c r="G33" s="44"/>
      <c r="H33" s="27"/>
      <c r="J33" s="0" t="n">
        <v>24</v>
      </c>
      <c r="K33" s="0" t="str">
        <f aca="true">IF(A33="","",IF(ISNUMBER(A33),IF(A33&gt;=36526,A33,""),IFERROR(DATE(VALUE(RIGHT(RIGHT(TRIM(A33),10),4)),VALUE(MID(RIGHT(TRIM(A33),10),4,2)),VALUE(LEFT(RIGHT(TRIM(A33),10),2))),IFERROR(TODAY()-MOD(WEEKDAY(TODAY(),1)-MATCH(TRIM(A33),{"الأحد","الاثنين","الثلاثاء","الأربعاء","الخميس","الجمعة","السبت"},0),7),IFERROR(DATEVALUE(A33),"")))))</f>
        <v/>
      </c>
      <c r="L33" s="0" t="str">
        <f aca="false">IF(K33="","",INT((K33-WEEK_ONE)/7)+1)</f>
        <v/>
      </c>
      <c r="M33" s="0" t="str">
        <f aca="false">IF(L33="","",IF(OR(L33&lt;1,L33&gt;NW),"",INDEX(WMON,L33)))</f>
        <v/>
      </c>
    </row>
    <row r="34" customFormat="false" ht="15" hidden="false" customHeight="false" outlineLevel="0" collapsed="false">
      <c r="A34" s="43"/>
      <c r="B34" s="23" t="str">
        <f aca="false">IF(K34="","",CHOOSE(WEEKDAY(K34,1),"الأحد","الاثنين","الثلاثاء","الأربعاء","الخميس","الجمعة","السبت")&amp;IF(OR(ISNUMBER(A34),LEN(TRIM(A34))&gt;=10),"","  "&amp;TEXT(DAY(K34),"00")&amp;"/"&amp;TEXT(MONTH(K34),"00")&amp;"/"&amp;YEAR(K34)))</f>
        <v/>
      </c>
      <c r="C34" s="24"/>
      <c r="D34" s="24"/>
      <c r="E34" s="44"/>
      <c r="F34" s="44"/>
      <c r="G34" s="44"/>
      <c r="H34" s="27"/>
      <c r="J34" s="0" t="n">
        <v>25</v>
      </c>
      <c r="K34" s="0" t="str">
        <f aca="true">IF(A34="","",IF(ISNUMBER(A34),IF(A34&gt;=36526,A34,""),IFERROR(DATE(VALUE(RIGHT(RIGHT(TRIM(A34),10),4)),VALUE(MID(RIGHT(TRIM(A34),10),4,2)),VALUE(LEFT(RIGHT(TRIM(A34),10),2))),IFERROR(TODAY()-MOD(WEEKDAY(TODAY(),1)-MATCH(TRIM(A34),{"الأحد","الاثنين","الثلاثاء","الأربعاء","الخميس","الجمعة","السبت"},0),7),IFERROR(DATEVALUE(A34),"")))))</f>
        <v/>
      </c>
      <c r="L34" s="0" t="str">
        <f aca="false">IF(K34="","",INT((K34-WEEK_ONE)/7)+1)</f>
        <v/>
      </c>
      <c r="M34" s="0" t="str">
        <f aca="false">IF(L34="","",IF(OR(L34&lt;1,L34&gt;NW),"",INDEX(WMON,L34)))</f>
        <v/>
      </c>
    </row>
    <row r="35" customFormat="false" ht="15" hidden="false" customHeight="false" outlineLevel="0" collapsed="false">
      <c r="A35" s="43"/>
      <c r="B35" s="23" t="str">
        <f aca="false">IF(K35="","",CHOOSE(WEEKDAY(K35,1),"الأحد","الاثنين","الثلاثاء","الأربعاء","الخميس","الجمعة","السبت")&amp;IF(OR(ISNUMBER(A35),LEN(TRIM(A35))&gt;=10),"","  "&amp;TEXT(DAY(K35),"00")&amp;"/"&amp;TEXT(MONTH(K35),"00")&amp;"/"&amp;YEAR(K35)))</f>
        <v/>
      </c>
      <c r="C35" s="24"/>
      <c r="D35" s="24"/>
      <c r="E35" s="44"/>
      <c r="F35" s="44"/>
      <c r="G35" s="44"/>
      <c r="H35" s="27"/>
      <c r="J35" s="0" t="n">
        <v>26</v>
      </c>
      <c r="K35" s="0" t="str">
        <f aca="true">IF(A35="","",IF(ISNUMBER(A35),IF(A35&gt;=36526,A35,""),IFERROR(DATE(VALUE(RIGHT(RIGHT(TRIM(A35),10),4)),VALUE(MID(RIGHT(TRIM(A35),10),4,2)),VALUE(LEFT(RIGHT(TRIM(A35),10),2))),IFERROR(TODAY()-MOD(WEEKDAY(TODAY(),1)-MATCH(TRIM(A35),{"الأحد","الاثنين","الثلاثاء","الأربعاء","الخميس","الجمعة","السبت"},0),7),IFERROR(DATEVALUE(A35),"")))))</f>
        <v/>
      </c>
      <c r="L35" s="0" t="str">
        <f aca="false">IF(K35="","",INT((K35-WEEK_ONE)/7)+1)</f>
        <v/>
      </c>
      <c r="M35" s="0" t="str">
        <f aca="false">IF(L35="","",IF(OR(L35&lt;1,L35&gt;NW),"",INDEX(WMON,L35)))</f>
        <v/>
      </c>
    </row>
    <row r="36" customFormat="false" ht="15" hidden="false" customHeight="false" outlineLevel="0" collapsed="false">
      <c r="A36" s="43"/>
      <c r="B36" s="23" t="str">
        <f aca="false">IF(K36="","",CHOOSE(WEEKDAY(K36,1),"الأحد","الاثنين","الثلاثاء","الأربعاء","الخميس","الجمعة","السبت")&amp;IF(OR(ISNUMBER(A36),LEN(TRIM(A36))&gt;=10),"","  "&amp;TEXT(DAY(K36),"00")&amp;"/"&amp;TEXT(MONTH(K36),"00")&amp;"/"&amp;YEAR(K36)))</f>
        <v/>
      </c>
      <c r="C36" s="24"/>
      <c r="D36" s="24"/>
      <c r="E36" s="44"/>
      <c r="F36" s="44"/>
      <c r="G36" s="44"/>
      <c r="H36" s="27"/>
      <c r="J36" s="0" t="n">
        <v>27</v>
      </c>
      <c r="K36" s="0" t="str">
        <f aca="true">IF(A36="","",IF(ISNUMBER(A36),IF(A36&gt;=36526,A36,""),IFERROR(DATE(VALUE(RIGHT(RIGHT(TRIM(A36),10),4)),VALUE(MID(RIGHT(TRIM(A36),10),4,2)),VALUE(LEFT(RIGHT(TRIM(A36),10),2))),IFERROR(TODAY()-MOD(WEEKDAY(TODAY(),1)-MATCH(TRIM(A36),{"الأحد","الاثنين","الثلاثاء","الأربعاء","الخميس","الجمعة","السبت"},0),7),IFERROR(DATEVALUE(A36),"")))))</f>
        <v/>
      </c>
      <c r="L36" s="0" t="str">
        <f aca="false">IF(K36="","",INT((K36-WEEK_ONE)/7)+1)</f>
        <v/>
      </c>
      <c r="M36" s="0" t="str">
        <f aca="false">IF(L36="","",IF(OR(L36&lt;1,L36&gt;NW),"",INDEX(WMON,L36)))</f>
        <v/>
      </c>
    </row>
    <row r="37" customFormat="false" ht="15" hidden="false" customHeight="false" outlineLevel="0" collapsed="false">
      <c r="A37" s="43"/>
      <c r="B37" s="23" t="str">
        <f aca="false">IF(K37="","",CHOOSE(WEEKDAY(K37,1),"الأحد","الاثنين","الثلاثاء","الأربعاء","الخميس","الجمعة","السبت")&amp;IF(OR(ISNUMBER(A37),LEN(TRIM(A37))&gt;=10),"","  "&amp;TEXT(DAY(K37),"00")&amp;"/"&amp;TEXT(MONTH(K37),"00")&amp;"/"&amp;YEAR(K37)))</f>
        <v/>
      </c>
      <c r="C37" s="24"/>
      <c r="D37" s="24"/>
      <c r="E37" s="44"/>
      <c r="F37" s="44"/>
      <c r="G37" s="44"/>
      <c r="H37" s="27"/>
      <c r="J37" s="0" t="n">
        <v>28</v>
      </c>
      <c r="K37" s="0" t="str">
        <f aca="true">IF(A37="","",IF(ISNUMBER(A37),IF(A37&gt;=36526,A37,""),IFERROR(DATE(VALUE(RIGHT(RIGHT(TRIM(A37),10),4)),VALUE(MID(RIGHT(TRIM(A37),10),4,2)),VALUE(LEFT(RIGHT(TRIM(A37),10),2))),IFERROR(TODAY()-MOD(WEEKDAY(TODAY(),1)-MATCH(TRIM(A37),{"الأحد","الاثنين","الثلاثاء","الأربعاء","الخميس","الجمعة","السبت"},0),7),IFERROR(DATEVALUE(A37),"")))))</f>
        <v/>
      </c>
      <c r="L37" s="0" t="str">
        <f aca="false">IF(K37="","",INT((K37-WEEK_ONE)/7)+1)</f>
        <v/>
      </c>
      <c r="M37" s="0" t="str">
        <f aca="false">IF(L37="","",IF(OR(L37&lt;1,L37&gt;NW),"",INDEX(WMON,L37)))</f>
        <v/>
      </c>
    </row>
    <row r="38" customFormat="false" ht="15" hidden="false" customHeight="false" outlineLevel="0" collapsed="false">
      <c r="A38" s="43"/>
      <c r="B38" s="23" t="str">
        <f aca="false">IF(K38="","",CHOOSE(WEEKDAY(K38,1),"الأحد","الاثنين","الثلاثاء","الأربعاء","الخميس","الجمعة","السبت")&amp;IF(OR(ISNUMBER(A38),LEN(TRIM(A38))&gt;=10),"","  "&amp;TEXT(DAY(K38),"00")&amp;"/"&amp;TEXT(MONTH(K38),"00")&amp;"/"&amp;YEAR(K38)))</f>
        <v/>
      </c>
      <c r="C38" s="24"/>
      <c r="D38" s="24"/>
      <c r="E38" s="44"/>
      <c r="F38" s="44"/>
      <c r="G38" s="44"/>
      <c r="H38" s="27"/>
      <c r="J38" s="0" t="n">
        <v>29</v>
      </c>
      <c r="K38" s="0" t="str">
        <f aca="true">IF(A38="","",IF(ISNUMBER(A38),IF(A38&gt;=36526,A38,""),IFERROR(DATE(VALUE(RIGHT(RIGHT(TRIM(A38),10),4)),VALUE(MID(RIGHT(TRIM(A38),10),4,2)),VALUE(LEFT(RIGHT(TRIM(A38),10),2))),IFERROR(TODAY()-MOD(WEEKDAY(TODAY(),1)-MATCH(TRIM(A38),{"الأحد","الاثنين","الثلاثاء","الأربعاء","الخميس","الجمعة","السبت"},0),7),IFERROR(DATEVALUE(A38),"")))))</f>
        <v/>
      </c>
      <c r="L38" s="0" t="str">
        <f aca="false">IF(K38="","",INT((K38-WEEK_ONE)/7)+1)</f>
        <v/>
      </c>
      <c r="M38" s="0" t="str">
        <f aca="false">IF(L38="","",IF(OR(L38&lt;1,L38&gt;NW),"",INDEX(WMON,L38)))</f>
        <v/>
      </c>
    </row>
    <row r="39" customFormat="false" ht="15" hidden="false" customHeight="false" outlineLevel="0" collapsed="false">
      <c r="A39" s="43"/>
      <c r="B39" s="23" t="str">
        <f aca="false">IF(K39="","",CHOOSE(WEEKDAY(K39,1),"الأحد","الاثنين","الثلاثاء","الأربعاء","الخميس","الجمعة","السبت")&amp;IF(OR(ISNUMBER(A39),LEN(TRIM(A39))&gt;=10),"","  "&amp;TEXT(DAY(K39),"00")&amp;"/"&amp;TEXT(MONTH(K39),"00")&amp;"/"&amp;YEAR(K39)))</f>
        <v/>
      </c>
      <c r="C39" s="24"/>
      <c r="D39" s="24"/>
      <c r="E39" s="44"/>
      <c r="F39" s="44"/>
      <c r="G39" s="44"/>
      <c r="H39" s="27"/>
      <c r="J39" s="0" t="n">
        <v>30</v>
      </c>
      <c r="K39" s="0" t="str">
        <f aca="true">IF(A39="","",IF(ISNUMBER(A39),IF(A39&gt;=36526,A39,""),IFERROR(DATE(VALUE(RIGHT(RIGHT(TRIM(A39),10),4)),VALUE(MID(RIGHT(TRIM(A39),10),4,2)),VALUE(LEFT(RIGHT(TRIM(A39),10),2))),IFERROR(TODAY()-MOD(WEEKDAY(TODAY(),1)-MATCH(TRIM(A39),{"الأحد","الاثنين","الثلاثاء","الأربعاء","الخميس","الجمعة","السبت"},0),7),IFERROR(DATEVALUE(A39),"")))))</f>
        <v/>
      </c>
      <c r="L39" s="0" t="str">
        <f aca="false">IF(K39="","",INT((K39-WEEK_ONE)/7)+1)</f>
        <v/>
      </c>
      <c r="M39" s="0" t="str">
        <f aca="false">IF(L39="","",IF(OR(L39&lt;1,L39&gt;NW),"",INDEX(WMON,L39)))</f>
        <v/>
      </c>
    </row>
    <row r="40" customFormat="false" ht="15" hidden="false" customHeight="false" outlineLevel="0" collapsed="false">
      <c r="A40" s="43"/>
      <c r="B40" s="23" t="str">
        <f aca="false">IF(K40="","",CHOOSE(WEEKDAY(K40,1),"الأحد","الاثنين","الثلاثاء","الأربعاء","الخميس","الجمعة","السبت")&amp;IF(OR(ISNUMBER(A40),LEN(TRIM(A40))&gt;=10),"","  "&amp;TEXT(DAY(K40),"00")&amp;"/"&amp;TEXT(MONTH(K40),"00")&amp;"/"&amp;YEAR(K40)))</f>
        <v/>
      </c>
      <c r="C40" s="24"/>
      <c r="D40" s="24"/>
      <c r="E40" s="44"/>
      <c r="F40" s="44"/>
      <c r="G40" s="44"/>
      <c r="H40" s="27"/>
      <c r="J40" s="0" t="n">
        <v>31</v>
      </c>
      <c r="K40" s="0" t="str">
        <f aca="true">IF(A40="","",IF(ISNUMBER(A40),IF(A40&gt;=36526,A40,""),IFERROR(DATE(VALUE(RIGHT(RIGHT(TRIM(A40),10),4)),VALUE(MID(RIGHT(TRIM(A40),10),4,2)),VALUE(LEFT(RIGHT(TRIM(A40),10),2))),IFERROR(TODAY()-MOD(WEEKDAY(TODAY(),1)-MATCH(TRIM(A40),{"الأحد","الاثنين","الثلاثاء","الأربعاء","الخميس","الجمعة","السبت"},0),7),IFERROR(DATEVALUE(A40),"")))))</f>
        <v/>
      </c>
      <c r="L40" s="0" t="str">
        <f aca="false">IF(K40="","",INT((K40-WEEK_ONE)/7)+1)</f>
        <v/>
      </c>
      <c r="M40" s="0" t="str">
        <f aca="false">IF(L40="","",IF(OR(L40&lt;1,L40&gt;NW),"",INDEX(WMON,L40)))</f>
        <v/>
      </c>
    </row>
    <row r="41" customFormat="false" ht="15" hidden="false" customHeight="false" outlineLevel="0" collapsed="false">
      <c r="A41" s="43"/>
      <c r="B41" s="23" t="str">
        <f aca="false">IF(K41="","",CHOOSE(WEEKDAY(K41,1),"الأحد","الاثنين","الثلاثاء","الأربعاء","الخميس","الجمعة","السبت")&amp;IF(OR(ISNUMBER(A41),LEN(TRIM(A41))&gt;=10),"","  "&amp;TEXT(DAY(K41),"00")&amp;"/"&amp;TEXT(MONTH(K41),"00")&amp;"/"&amp;YEAR(K41)))</f>
        <v/>
      </c>
      <c r="C41" s="24"/>
      <c r="D41" s="24"/>
      <c r="E41" s="44"/>
      <c r="F41" s="44"/>
      <c r="G41" s="44"/>
      <c r="H41" s="27"/>
      <c r="J41" s="0" t="n">
        <v>32</v>
      </c>
      <c r="K41" s="0" t="str">
        <f aca="true">IF(A41="","",IF(ISNUMBER(A41),IF(A41&gt;=36526,A41,""),IFERROR(DATE(VALUE(RIGHT(RIGHT(TRIM(A41),10),4)),VALUE(MID(RIGHT(TRIM(A41),10),4,2)),VALUE(LEFT(RIGHT(TRIM(A41),10),2))),IFERROR(TODAY()-MOD(WEEKDAY(TODAY(),1)-MATCH(TRIM(A41),{"الأحد","الاثنين","الثلاثاء","الأربعاء","الخميس","الجمعة","السبت"},0),7),IFERROR(DATEVALUE(A41),"")))))</f>
        <v/>
      </c>
      <c r="L41" s="0" t="str">
        <f aca="false">IF(K41="","",INT((K41-WEEK_ONE)/7)+1)</f>
        <v/>
      </c>
      <c r="M41" s="0" t="str">
        <f aca="false">IF(L41="","",IF(OR(L41&lt;1,L41&gt;NW),"",INDEX(WMON,L41)))</f>
        <v/>
      </c>
    </row>
    <row r="42" customFormat="false" ht="15" hidden="false" customHeight="false" outlineLevel="0" collapsed="false">
      <c r="A42" s="43"/>
      <c r="B42" s="23" t="str">
        <f aca="false">IF(K42="","",CHOOSE(WEEKDAY(K42,1),"الأحد","الاثنين","الثلاثاء","الأربعاء","الخميس","الجمعة","السبت")&amp;IF(OR(ISNUMBER(A42),LEN(TRIM(A42))&gt;=10),"","  "&amp;TEXT(DAY(K42),"00")&amp;"/"&amp;TEXT(MONTH(K42),"00")&amp;"/"&amp;YEAR(K42)))</f>
        <v/>
      </c>
      <c r="C42" s="24"/>
      <c r="D42" s="24"/>
      <c r="E42" s="44"/>
      <c r="F42" s="44"/>
      <c r="G42" s="44"/>
      <c r="H42" s="27"/>
      <c r="J42" s="0" t="n">
        <v>33</v>
      </c>
      <c r="K42" s="0" t="str">
        <f aca="true">IF(A42="","",IF(ISNUMBER(A42),IF(A42&gt;=36526,A42,""),IFERROR(DATE(VALUE(RIGHT(RIGHT(TRIM(A42),10),4)),VALUE(MID(RIGHT(TRIM(A42),10),4,2)),VALUE(LEFT(RIGHT(TRIM(A42),10),2))),IFERROR(TODAY()-MOD(WEEKDAY(TODAY(),1)-MATCH(TRIM(A42),{"الأحد","الاثنين","الثلاثاء","الأربعاء","الخميس","الجمعة","السبت"},0),7),IFERROR(DATEVALUE(A42),"")))))</f>
        <v/>
      </c>
      <c r="L42" s="0" t="str">
        <f aca="false">IF(K42="","",INT((K42-WEEK_ONE)/7)+1)</f>
        <v/>
      </c>
      <c r="M42" s="0" t="str">
        <f aca="false">IF(L42="","",IF(OR(L42&lt;1,L42&gt;NW),"",INDEX(WMON,L42)))</f>
        <v/>
      </c>
    </row>
    <row r="43" customFormat="false" ht="15" hidden="false" customHeight="false" outlineLevel="0" collapsed="false">
      <c r="A43" s="43"/>
      <c r="B43" s="23" t="str">
        <f aca="false">IF(K43="","",CHOOSE(WEEKDAY(K43,1),"الأحد","الاثنين","الثلاثاء","الأربعاء","الخميس","الجمعة","السبت")&amp;IF(OR(ISNUMBER(A43),LEN(TRIM(A43))&gt;=10),"","  "&amp;TEXT(DAY(K43),"00")&amp;"/"&amp;TEXT(MONTH(K43),"00")&amp;"/"&amp;YEAR(K43)))</f>
        <v/>
      </c>
      <c r="C43" s="24"/>
      <c r="D43" s="24"/>
      <c r="E43" s="44"/>
      <c r="F43" s="44"/>
      <c r="G43" s="44"/>
      <c r="H43" s="27"/>
      <c r="J43" s="0" t="n">
        <v>34</v>
      </c>
      <c r="K43" s="0" t="str">
        <f aca="true">IF(A43="","",IF(ISNUMBER(A43),IF(A43&gt;=36526,A43,""),IFERROR(DATE(VALUE(RIGHT(RIGHT(TRIM(A43),10),4)),VALUE(MID(RIGHT(TRIM(A43),10),4,2)),VALUE(LEFT(RIGHT(TRIM(A43),10),2))),IFERROR(TODAY()-MOD(WEEKDAY(TODAY(),1)-MATCH(TRIM(A43),{"الأحد","الاثنين","الثلاثاء","الأربعاء","الخميس","الجمعة","السبت"},0),7),IFERROR(DATEVALUE(A43),"")))))</f>
        <v/>
      </c>
      <c r="L43" s="0" t="str">
        <f aca="false">IF(K43="","",INT((K43-WEEK_ONE)/7)+1)</f>
        <v/>
      </c>
      <c r="M43" s="0" t="str">
        <f aca="false">IF(L43="","",IF(OR(L43&lt;1,L43&gt;NW),"",INDEX(WMON,L43)))</f>
        <v/>
      </c>
    </row>
    <row r="44" customFormat="false" ht="15" hidden="false" customHeight="false" outlineLevel="0" collapsed="false">
      <c r="A44" s="43"/>
      <c r="B44" s="23" t="str">
        <f aca="false">IF(K44="","",CHOOSE(WEEKDAY(K44,1),"الأحد","الاثنين","الثلاثاء","الأربعاء","الخميس","الجمعة","السبت")&amp;IF(OR(ISNUMBER(A44),LEN(TRIM(A44))&gt;=10),"","  "&amp;TEXT(DAY(K44),"00")&amp;"/"&amp;TEXT(MONTH(K44),"00")&amp;"/"&amp;YEAR(K44)))</f>
        <v/>
      </c>
      <c r="C44" s="24"/>
      <c r="D44" s="24"/>
      <c r="E44" s="44"/>
      <c r="F44" s="44"/>
      <c r="G44" s="44"/>
      <c r="H44" s="27"/>
      <c r="J44" s="0" t="n">
        <v>35</v>
      </c>
      <c r="K44" s="0" t="str">
        <f aca="true">IF(A44="","",IF(ISNUMBER(A44),IF(A44&gt;=36526,A44,""),IFERROR(DATE(VALUE(RIGHT(RIGHT(TRIM(A44),10),4)),VALUE(MID(RIGHT(TRIM(A44),10),4,2)),VALUE(LEFT(RIGHT(TRIM(A44),10),2))),IFERROR(TODAY()-MOD(WEEKDAY(TODAY(),1)-MATCH(TRIM(A44),{"الأحد","الاثنين","الثلاثاء","الأربعاء","الخميس","الجمعة","السبت"},0),7),IFERROR(DATEVALUE(A44),"")))))</f>
        <v/>
      </c>
      <c r="L44" s="0" t="str">
        <f aca="false">IF(K44="","",INT((K44-WEEK_ONE)/7)+1)</f>
        <v/>
      </c>
      <c r="M44" s="0" t="str">
        <f aca="false">IF(L44="","",IF(OR(L44&lt;1,L44&gt;NW),"",INDEX(WMON,L44)))</f>
        <v/>
      </c>
    </row>
    <row r="45" customFormat="false" ht="15" hidden="false" customHeight="false" outlineLevel="0" collapsed="false">
      <c r="A45" s="43"/>
      <c r="B45" s="23" t="str">
        <f aca="false">IF(K45="","",CHOOSE(WEEKDAY(K45,1),"الأحد","الاثنين","الثلاثاء","الأربعاء","الخميس","الجمعة","السبت")&amp;IF(OR(ISNUMBER(A45),LEN(TRIM(A45))&gt;=10),"","  "&amp;TEXT(DAY(K45),"00")&amp;"/"&amp;TEXT(MONTH(K45),"00")&amp;"/"&amp;YEAR(K45)))</f>
        <v/>
      </c>
      <c r="C45" s="24"/>
      <c r="D45" s="24"/>
      <c r="E45" s="44"/>
      <c r="F45" s="44"/>
      <c r="G45" s="44"/>
      <c r="H45" s="27"/>
      <c r="J45" s="0" t="n">
        <v>36</v>
      </c>
      <c r="K45" s="0" t="str">
        <f aca="true">IF(A45="","",IF(ISNUMBER(A45),IF(A45&gt;=36526,A45,""),IFERROR(DATE(VALUE(RIGHT(RIGHT(TRIM(A45),10),4)),VALUE(MID(RIGHT(TRIM(A45),10),4,2)),VALUE(LEFT(RIGHT(TRIM(A45),10),2))),IFERROR(TODAY()-MOD(WEEKDAY(TODAY(),1)-MATCH(TRIM(A45),{"الأحد","الاثنين","الثلاثاء","الأربعاء","الخميس","الجمعة","السبت"},0),7),IFERROR(DATEVALUE(A45),"")))))</f>
        <v/>
      </c>
      <c r="L45" s="0" t="str">
        <f aca="false">IF(K45="","",INT((K45-WEEK_ONE)/7)+1)</f>
        <v/>
      </c>
      <c r="M45" s="0" t="str">
        <f aca="false">IF(L45="","",IF(OR(L45&lt;1,L45&gt;NW),"",INDEX(WMON,L45)))</f>
        <v/>
      </c>
    </row>
    <row r="46" customFormat="false" ht="15" hidden="false" customHeight="false" outlineLevel="0" collapsed="false">
      <c r="A46" s="43"/>
      <c r="B46" s="23" t="str">
        <f aca="false">IF(K46="","",CHOOSE(WEEKDAY(K46,1),"الأحد","الاثنين","الثلاثاء","الأربعاء","الخميس","الجمعة","السبت")&amp;IF(OR(ISNUMBER(A46),LEN(TRIM(A46))&gt;=10),"","  "&amp;TEXT(DAY(K46),"00")&amp;"/"&amp;TEXT(MONTH(K46),"00")&amp;"/"&amp;YEAR(K46)))</f>
        <v/>
      </c>
      <c r="C46" s="24"/>
      <c r="D46" s="24"/>
      <c r="E46" s="44"/>
      <c r="F46" s="44"/>
      <c r="G46" s="44"/>
      <c r="H46" s="27"/>
      <c r="J46" s="0" t="n">
        <v>37</v>
      </c>
      <c r="K46" s="0" t="str">
        <f aca="true">IF(A46="","",IF(ISNUMBER(A46),IF(A46&gt;=36526,A46,""),IFERROR(DATE(VALUE(RIGHT(RIGHT(TRIM(A46),10),4)),VALUE(MID(RIGHT(TRIM(A46),10),4,2)),VALUE(LEFT(RIGHT(TRIM(A46),10),2))),IFERROR(TODAY()-MOD(WEEKDAY(TODAY(),1)-MATCH(TRIM(A46),{"الأحد","الاثنين","الثلاثاء","الأربعاء","الخميس","الجمعة","السبت"},0),7),IFERROR(DATEVALUE(A46),"")))))</f>
        <v/>
      </c>
      <c r="L46" s="0" t="str">
        <f aca="false">IF(K46="","",INT((K46-WEEK_ONE)/7)+1)</f>
        <v/>
      </c>
      <c r="M46" s="0" t="str">
        <f aca="false">IF(L46="","",IF(OR(L46&lt;1,L46&gt;NW),"",INDEX(WMON,L46)))</f>
        <v/>
      </c>
    </row>
    <row r="47" customFormat="false" ht="15" hidden="false" customHeight="false" outlineLevel="0" collapsed="false">
      <c r="A47" s="43"/>
      <c r="B47" s="23" t="str">
        <f aca="false">IF(K47="","",CHOOSE(WEEKDAY(K47,1),"الأحد","الاثنين","الثلاثاء","الأربعاء","الخميس","الجمعة","السبت")&amp;IF(OR(ISNUMBER(A47),LEN(TRIM(A47))&gt;=10),"","  "&amp;TEXT(DAY(K47),"00")&amp;"/"&amp;TEXT(MONTH(K47),"00")&amp;"/"&amp;YEAR(K47)))</f>
        <v/>
      </c>
      <c r="C47" s="24"/>
      <c r="D47" s="24"/>
      <c r="E47" s="44"/>
      <c r="F47" s="44"/>
      <c r="G47" s="44"/>
      <c r="H47" s="27"/>
      <c r="J47" s="0" t="n">
        <v>38</v>
      </c>
      <c r="K47" s="0" t="str">
        <f aca="true">IF(A47="","",IF(ISNUMBER(A47),IF(A47&gt;=36526,A47,""),IFERROR(DATE(VALUE(RIGHT(RIGHT(TRIM(A47),10),4)),VALUE(MID(RIGHT(TRIM(A47),10),4,2)),VALUE(LEFT(RIGHT(TRIM(A47),10),2))),IFERROR(TODAY()-MOD(WEEKDAY(TODAY(),1)-MATCH(TRIM(A47),{"الأحد","الاثنين","الثلاثاء","الأربعاء","الخميس","الجمعة","السبت"},0),7),IFERROR(DATEVALUE(A47),"")))))</f>
        <v/>
      </c>
      <c r="L47" s="0" t="str">
        <f aca="false">IF(K47="","",INT((K47-WEEK_ONE)/7)+1)</f>
        <v/>
      </c>
      <c r="M47" s="0" t="str">
        <f aca="false">IF(L47="","",IF(OR(L47&lt;1,L47&gt;NW),"",INDEX(WMON,L47)))</f>
        <v/>
      </c>
    </row>
    <row r="48" customFormat="false" ht="15" hidden="false" customHeight="false" outlineLevel="0" collapsed="false">
      <c r="A48" s="43"/>
      <c r="B48" s="23" t="str">
        <f aca="false">IF(K48="","",CHOOSE(WEEKDAY(K48,1),"الأحد","الاثنين","الثلاثاء","الأربعاء","الخميس","الجمعة","السبت")&amp;IF(OR(ISNUMBER(A48),LEN(TRIM(A48))&gt;=10),"","  "&amp;TEXT(DAY(K48),"00")&amp;"/"&amp;TEXT(MONTH(K48),"00")&amp;"/"&amp;YEAR(K48)))</f>
        <v/>
      </c>
      <c r="C48" s="24"/>
      <c r="D48" s="24"/>
      <c r="E48" s="44"/>
      <c r="F48" s="44"/>
      <c r="G48" s="44"/>
      <c r="H48" s="27"/>
      <c r="J48" s="0" t="n">
        <v>39</v>
      </c>
      <c r="K48" s="0" t="str">
        <f aca="true">IF(A48="","",IF(ISNUMBER(A48),IF(A48&gt;=36526,A48,""),IFERROR(DATE(VALUE(RIGHT(RIGHT(TRIM(A48),10),4)),VALUE(MID(RIGHT(TRIM(A48),10),4,2)),VALUE(LEFT(RIGHT(TRIM(A48),10),2))),IFERROR(TODAY()-MOD(WEEKDAY(TODAY(),1)-MATCH(TRIM(A48),{"الأحد","الاثنين","الثلاثاء","الأربعاء","الخميس","الجمعة","السبت"},0),7),IFERROR(DATEVALUE(A48),"")))))</f>
        <v/>
      </c>
      <c r="L48" s="0" t="str">
        <f aca="false">IF(K48="","",INT((K48-WEEK_ONE)/7)+1)</f>
        <v/>
      </c>
      <c r="M48" s="0" t="str">
        <f aca="false">IF(L48="","",IF(OR(L48&lt;1,L48&gt;NW),"",INDEX(WMON,L48)))</f>
        <v/>
      </c>
    </row>
    <row r="49" customFormat="false" ht="15" hidden="false" customHeight="false" outlineLevel="0" collapsed="false">
      <c r="A49" s="43"/>
      <c r="B49" s="23" t="str">
        <f aca="false">IF(K49="","",CHOOSE(WEEKDAY(K49,1),"الأحد","الاثنين","الثلاثاء","الأربعاء","الخميس","الجمعة","السبت")&amp;IF(OR(ISNUMBER(A49),LEN(TRIM(A49))&gt;=10),"","  "&amp;TEXT(DAY(K49),"00")&amp;"/"&amp;TEXT(MONTH(K49),"00")&amp;"/"&amp;YEAR(K49)))</f>
        <v/>
      </c>
      <c r="C49" s="24"/>
      <c r="D49" s="24"/>
      <c r="E49" s="44"/>
      <c r="F49" s="44"/>
      <c r="G49" s="44"/>
      <c r="H49" s="27"/>
      <c r="J49" s="0" t="n">
        <v>40</v>
      </c>
      <c r="K49" s="0" t="str">
        <f aca="true">IF(A49="","",IF(ISNUMBER(A49),IF(A49&gt;=36526,A49,""),IFERROR(DATE(VALUE(RIGHT(RIGHT(TRIM(A49),10),4)),VALUE(MID(RIGHT(TRIM(A49),10),4,2)),VALUE(LEFT(RIGHT(TRIM(A49),10),2))),IFERROR(TODAY()-MOD(WEEKDAY(TODAY(),1)-MATCH(TRIM(A49),{"الأحد","الاثنين","الثلاثاء","الأربعاء","الخميس","الجمعة","السبت"},0),7),IFERROR(DATEVALUE(A49),"")))))</f>
        <v/>
      </c>
      <c r="L49" s="0" t="str">
        <f aca="false">IF(K49="","",INT((K49-WEEK_ONE)/7)+1)</f>
        <v/>
      </c>
      <c r="M49" s="0" t="str">
        <f aca="false">IF(L49="","",IF(OR(L49&lt;1,L49&gt;NW),"",INDEX(WMON,L49)))</f>
        <v/>
      </c>
    </row>
    <row r="50" customFormat="false" ht="15" hidden="false" customHeight="false" outlineLevel="0" collapsed="false">
      <c r="A50" s="43"/>
      <c r="B50" s="23" t="str">
        <f aca="false">IF(K50="","",CHOOSE(WEEKDAY(K50,1),"الأحد","الاثنين","الثلاثاء","الأربعاء","الخميس","الجمعة","السبت")&amp;IF(OR(ISNUMBER(A50),LEN(TRIM(A50))&gt;=10),"","  "&amp;TEXT(DAY(K50),"00")&amp;"/"&amp;TEXT(MONTH(K50),"00")&amp;"/"&amp;YEAR(K50)))</f>
        <v/>
      </c>
      <c r="C50" s="24"/>
      <c r="D50" s="24"/>
      <c r="E50" s="44"/>
      <c r="F50" s="44"/>
      <c r="G50" s="44"/>
      <c r="H50" s="27"/>
      <c r="J50" s="0" t="n">
        <v>41</v>
      </c>
      <c r="K50" s="0" t="str">
        <f aca="true">IF(A50="","",IF(ISNUMBER(A50),IF(A50&gt;=36526,A50,""),IFERROR(DATE(VALUE(RIGHT(RIGHT(TRIM(A50),10),4)),VALUE(MID(RIGHT(TRIM(A50),10),4,2)),VALUE(LEFT(RIGHT(TRIM(A50),10),2))),IFERROR(TODAY()-MOD(WEEKDAY(TODAY(),1)-MATCH(TRIM(A50),{"الأحد","الاثنين","الثلاثاء","الأربعاء","الخميس","الجمعة","السبت"},0),7),IFERROR(DATEVALUE(A50),"")))))</f>
        <v/>
      </c>
      <c r="L50" s="0" t="str">
        <f aca="false">IF(K50="","",INT((K50-WEEK_ONE)/7)+1)</f>
        <v/>
      </c>
      <c r="M50" s="0" t="str">
        <f aca="false">IF(L50="","",IF(OR(L50&lt;1,L50&gt;NW),"",INDEX(WMON,L50)))</f>
        <v/>
      </c>
    </row>
    <row r="51" customFormat="false" ht="15" hidden="false" customHeight="false" outlineLevel="0" collapsed="false">
      <c r="A51" s="43"/>
      <c r="B51" s="23" t="str">
        <f aca="false">IF(K51="","",CHOOSE(WEEKDAY(K51,1),"الأحد","الاثنين","الثلاثاء","الأربعاء","الخميس","الجمعة","السبت")&amp;IF(OR(ISNUMBER(A51),LEN(TRIM(A51))&gt;=10),"","  "&amp;TEXT(DAY(K51),"00")&amp;"/"&amp;TEXT(MONTH(K51),"00")&amp;"/"&amp;YEAR(K51)))</f>
        <v/>
      </c>
      <c r="C51" s="24"/>
      <c r="D51" s="24"/>
      <c r="E51" s="44"/>
      <c r="F51" s="44"/>
      <c r="G51" s="44"/>
      <c r="H51" s="27"/>
      <c r="J51" s="0" t="n">
        <v>42</v>
      </c>
      <c r="K51" s="0" t="str">
        <f aca="true">IF(A51="","",IF(ISNUMBER(A51),IF(A51&gt;=36526,A51,""),IFERROR(DATE(VALUE(RIGHT(RIGHT(TRIM(A51),10),4)),VALUE(MID(RIGHT(TRIM(A51),10),4,2)),VALUE(LEFT(RIGHT(TRIM(A51),10),2))),IFERROR(TODAY()-MOD(WEEKDAY(TODAY(),1)-MATCH(TRIM(A51),{"الأحد","الاثنين","الثلاثاء","الأربعاء","الخميس","الجمعة","السبت"},0),7),IFERROR(DATEVALUE(A51),"")))))</f>
        <v/>
      </c>
      <c r="L51" s="0" t="str">
        <f aca="false">IF(K51="","",INT((K51-WEEK_ONE)/7)+1)</f>
        <v/>
      </c>
      <c r="M51" s="0" t="str">
        <f aca="false">IF(L51="","",IF(OR(L51&lt;1,L51&gt;NW),"",INDEX(WMON,L51)))</f>
        <v/>
      </c>
    </row>
    <row r="52" customFormat="false" ht="15" hidden="false" customHeight="false" outlineLevel="0" collapsed="false">
      <c r="A52" s="43"/>
      <c r="B52" s="23" t="str">
        <f aca="false">IF(K52="","",CHOOSE(WEEKDAY(K52,1),"الأحد","الاثنين","الثلاثاء","الأربعاء","الخميس","الجمعة","السبت")&amp;IF(OR(ISNUMBER(A52),LEN(TRIM(A52))&gt;=10),"","  "&amp;TEXT(DAY(K52),"00")&amp;"/"&amp;TEXT(MONTH(K52),"00")&amp;"/"&amp;YEAR(K52)))</f>
        <v/>
      </c>
      <c r="C52" s="24"/>
      <c r="D52" s="24"/>
      <c r="E52" s="44"/>
      <c r="F52" s="44"/>
      <c r="G52" s="44"/>
      <c r="H52" s="27"/>
      <c r="J52" s="0" t="n">
        <v>43</v>
      </c>
      <c r="K52" s="0" t="str">
        <f aca="true">IF(A52="","",IF(ISNUMBER(A52),IF(A52&gt;=36526,A52,""),IFERROR(DATE(VALUE(RIGHT(RIGHT(TRIM(A52),10),4)),VALUE(MID(RIGHT(TRIM(A52),10),4,2)),VALUE(LEFT(RIGHT(TRIM(A52),10),2))),IFERROR(TODAY()-MOD(WEEKDAY(TODAY(),1)-MATCH(TRIM(A52),{"الأحد","الاثنين","الثلاثاء","الأربعاء","الخميس","الجمعة","السبت"},0),7),IFERROR(DATEVALUE(A52),"")))))</f>
        <v/>
      </c>
      <c r="L52" s="0" t="str">
        <f aca="false">IF(K52="","",INT((K52-WEEK_ONE)/7)+1)</f>
        <v/>
      </c>
      <c r="M52" s="0" t="str">
        <f aca="false">IF(L52="","",IF(OR(L52&lt;1,L52&gt;NW),"",INDEX(WMON,L52)))</f>
        <v/>
      </c>
    </row>
    <row r="53" customFormat="false" ht="15" hidden="false" customHeight="false" outlineLevel="0" collapsed="false">
      <c r="A53" s="43"/>
      <c r="B53" s="23" t="str">
        <f aca="false">IF(K53="","",CHOOSE(WEEKDAY(K53,1),"الأحد","الاثنين","الثلاثاء","الأربعاء","الخميس","الجمعة","السبت")&amp;IF(OR(ISNUMBER(A53),LEN(TRIM(A53))&gt;=10),"","  "&amp;TEXT(DAY(K53),"00")&amp;"/"&amp;TEXT(MONTH(K53),"00")&amp;"/"&amp;YEAR(K53)))</f>
        <v/>
      </c>
      <c r="C53" s="24"/>
      <c r="D53" s="24"/>
      <c r="E53" s="44"/>
      <c r="F53" s="44"/>
      <c r="G53" s="44"/>
      <c r="H53" s="27"/>
      <c r="J53" s="0" t="n">
        <v>44</v>
      </c>
      <c r="K53" s="0" t="str">
        <f aca="true">IF(A53="","",IF(ISNUMBER(A53),IF(A53&gt;=36526,A53,""),IFERROR(DATE(VALUE(RIGHT(RIGHT(TRIM(A53),10),4)),VALUE(MID(RIGHT(TRIM(A53),10),4,2)),VALUE(LEFT(RIGHT(TRIM(A53),10),2))),IFERROR(TODAY()-MOD(WEEKDAY(TODAY(),1)-MATCH(TRIM(A53),{"الأحد","الاثنين","الثلاثاء","الأربعاء","الخميس","الجمعة","السبت"},0),7),IFERROR(DATEVALUE(A53),"")))))</f>
        <v/>
      </c>
      <c r="L53" s="0" t="str">
        <f aca="false">IF(K53="","",INT((K53-WEEK_ONE)/7)+1)</f>
        <v/>
      </c>
      <c r="M53" s="0" t="str">
        <f aca="false">IF(L53="","",IF(OR(L53&lt;1,L53&gt;NW),"",INDEX(WMON,L53)))</f>
        <v/>
      </c>
    </row>
    <row r="54" customFormat="false" ht="15" hidden="false" customHeight="false" outlineLevel="0" collapsed="false">
      <c r="A54" s="43"/>
      <c r="B54" s="23" t="str">
        <f aca="false">IF(K54="","",CHOOSE(WEEKDAY(K54,1),"الأحد","الاثنين","الثلاثاء","الأربعاء","الخميس","الجمعة","السبت")&amp;IF(OR(ISNUMBER(A54),LEN(TRIM(A54))&gt;=10),"","  "&amp;TEXT(DAY(K54),"00")&amp;"/"&amp;TEXT(MONTH(K54),"00")&amp;"/"&amp;YEAR(K54)))</f>
        <v/>
      </c>
      <c r="C54" s="24"/>
      <c r="D54" s="24"/>
      <c r="E54" s="44"/>
      <c r="F54" s="44"/>
      <c r="G54" s="44"/>
      <c r="H54" s="27"/>
      <c r="J54" s="0" t="n">
        <v>45</v>
      </c>
      <c r="K54" s="0" t="str">
        <f aca="true">IF(A54="","",IF(ISNUMBER(A54),IF(A54&gt;=36526,A54,""),IFERROR(DATE(VALUE(RIGHT(RIGHT(TRIM(A54),10),4)),VALUE(MID(RIGHT(TRIM(A54),10),4,2)),VALUE(LEFT(RIGHT(TRIM(A54),10),2))),IFERROR(TODAY()-MOD(WEEKDAY(TODAY(),1)-MATCH(TRIM(A54),{"الأحد","الاثنين","الثلاثاء","الأربعاء","الخميس","الجمعة","السبت"},0),7),IFERROR(DATEVALUE(A54),"")))))</f>
        <v/>
      </c>
      <c r="L54" s="0" t="str">
        <f aca="false">IF(K54="","",INT((K54-WEEK_ONE)/7)+1)</f>
        <v/>
      </c>
      <c r="M54" s="0" t="str">
        <f aca="false">IF(L54="","",IF(OR(L54&lt;1,L54&gt;NW),"",INDEX(WMON,L54)))</f>
        <v/>
      </c>
    </row>
    <row r="55" customFormat="false" ht="15" hidden="false" customHeight="false" outlineLevel="0" collapsed="false">
      <c r="A55" s="43"/>
      <c r="B55" s="23" t="str">
        <f aca="false">IF(K55="","",CHOOSE(WEEKDAY(K55,1),"الأحد","الاثنين","الثلاثاء","الأربعاء","الخميس","الجمعة","السبت")&amp;IF(OR(ISNUMBER(A55),LEN(TRIM(A55))&gt;=10),"","  "&amp;TEXT(DAY(K55),"00")&amp;"/"&amp;TEXT(MONTH(K55),"00")&amp;"/"&amp;YEAR(K55)))</f>
        <v/>
      </c>
      <c r="C55" s="24"/>
      <c r="D55" s="24"/>
      <c r="E55" s="44"/>
      <c r="F55" s="44"/>
      <c r="G55" s="44"/>
      <c r="H55" s="27"/>
      <c r="J55" s="0" t="n">
        <v>46</v>
      </c>
      <c r="K55" s="0" t="str">
        <f aca="true">IF(A55="","",IF(ISNUMBER(A55),IF(A55&gt;=36526,A55,""),IFERROR(DATE(VALUE(RIGHT(RIGHT(TRIM(A55),10),4)),VALUE(MID(RIGHT(TRIM(A55),10),4,2)),VALUE(LEFT(RIGHT(TRIM(A55),10),2))),IFERROR(TODAY()-MOD(WEEKDAY(TODAY(),1)-MATCH(TRIM(A55),{"الأحد","الاثنين","الثلاثاء","الأربعاء","الخميس","الجمعة","السبت"},0),7),IFERROR(DATEVALUE(A55),"")))))</f>
        <v/>
      </c>
      <c r="L55" s="0" t="str">
        <f aca="false">IF(K55="","",INT((K55-WEEK_ONE)/7)+1)</f>
        <v/>
      </c>
      <c r="M55" s="0" t="str">
        <f aca="false">IF(L55="","",IF(OR(L55&lt;1,L55&gt;NW),"",INDEX(WMON,L55)))</f>
        <v/>
      </c>
    </row>
    <row r="56" customFormat="false" ht="15" hidden="false" customHeight="false" outlineLevel="0" collapsed="false">
      <c r="A56" s="43"/>
      <c r="B56" s="23" t="str">
        <f aca="false">IF(K56="","",CHOOSE(WEEKDAY(K56,1),"الأحد","الاثنين","الثلاثاء","الأربعاء","الخميس","الجمعة","السبت")&amp;IF(OR(ISNUMBER(A56),LEN(TRIM(A56))&gt;=10),"","  "&amp;TEXT(DAY(K56),"00")&amp;"/"&amp;TEXT(MONTH(K56),"00")&amp;"/"&amp;YEAR(K56)))</f>
        <v/>
      </c>
      <c r="C56" s="24"/>
      <c r="D56" s="24"/>
      <c r="E56" s="44"/>
      <c r="F56" s="44"/>
      <c r="G56" s="44"/>
      <c r="H56" s="27"/>
      <c r="J56" s="0" t="n">
        <v>47</v>
      </c>
      <c r="K56" s="0" t="str">
        <f aca="true">IF(A56="","",IF(ISNUMBER(A56),IF(A56&gt;=36526,A56,""),IFERROR(DATE(VALUE(RIGHT(RIGHT(TRIM(A56),10),4)),VALUE(MID(RIGHT(TRIM(A56),10),4,2)),VALUE(LEFT(RIGHT(TRIM(A56),10),2))),IFERROR(TODAY()-MOD(WEEKDAY(TODAY(),1)-MATCH(TRIM(A56),{"الأحد","الاثنين","الثلاثاء","الأربعاء","الخميس","الجمعة","السبت"},0),7),IFERROR(DATEVALUE(A56),"")))))</f>
        <v/>
      </c>
      <c r="L56" s="0" t="str">
        <f aca="false">IF(K56="","",INT((K56-WEEK_ONE)/7)+1)</f>
        <v/>
      </c>
      <c r="M56" s="0" t="str">
        <f aca="false">IF(L56="","",IF(OR(L56&lt;1,L56&gt;NW),"",INDEX(WMON,L56)))</f>
        <v/>
      </c>
    </row>
    <row r="57" customFormat="false" ht="15" hidden="false" customHeight="false" outlineLevel="0" collapsed="false">
      <c r="A57" s="43"/>
      <c r="B57" s="23" t="str">
        <f aca="false">IF(K57="","",CHOOSE(WEEKDAY(K57,1),"الأحد","الاثنين","الثلاثاء","الأربعاء","الخميس","الجمعة","السبت")&amp;IF(OR(ISNUMBER(A57),LEN(TRIM(A57))&gt;=10),"","  "&amp;TEXT(DAY(K57),"00")&amp;"/"&amp;TEXT(MONTH(K57),"00")&amp;"/"&amp;YEAR(K57)))</f>
        <v/>
      </c>
      <c r="C57" s="24"/>
      <c r="D57" s="24"/>
      <c r="E57" s="44"/>
      <c r="F57" s="44"/>
      <c r="G57" s="44"/>
      <c r="H57" s="27"/>
      <c r="J57" s="0" t="n">
        <v>48</v>
      </c>
      <c r="K57" s="0" t="str">
        <f aca="true">IF(A57="","",IF(ISNUMBER(A57),IF(A57&gt;=36526,A57,""),IFERROR(DATE(VALUE(RIGHT(RIGHT(TRIM(A57),10),4)),VALUE(MID(RIGHT(TRIM(A57),10),4,2)),VALUE(LEFT(RIGHT(TRIM(A57),10),2))),IFERROR(TODAY()-MOD(WEEKDAY(TODAY(),1)-MATCH(TRIM(A57),{"الأحد","الاثنين","الثلاثاء","الأربعاء","الخميس","الجمعة","السبت"},0),7),IFERROR(DATEVALUE(A57),"")))))</f>
        <v/>
      </c>
      <c r="L57" s="0" t="str">
        <f aca="false">IF(K57="","",INT((K57-WEEK_ONE)/7)+1)</f>
        <v/>
      </c>
      <c r="M57" s="0" t="str">
        <f aca="false">IF(L57="","",IF(OR(L57&lt;1,L57&gt;NW),"",INDEX(WMON,L57)))</f>
        <v/>
      </c>
    </row>
    <row r="58" customFormat="false" ht="15" hidden="false" customHeight="false" outlineLevel="0" collapsed="false">
      <c r="A58" s="43"/>
      <c r="B58" s="23" t="str">
        <f aca="false">IF(K58="","",CHOOSE(WEEKDAY(K58,1),"الأحد","الاثنين","الثلاثاء","الأربعاء","الخميس","الجمعة","السبت")&amp;IF(OR(ISNUMBER(A58),LEN(TRIM(A58))&gt;=10),"","  "&amp;TEXT(DAY(K58),"00")&amp;"/"&amp;TEXT(MONTH(K58),"00")&amp;"/"&amp;YEAR(K58)))</f>
        <v/>
      </c>
      <c r="C58" s="24"/>
      <c r="D58" s="24"/>
      <c r="E58" s="44"/>
      <c r="F58" s="44"/>
      <c r="G58" s="44"/>
      <c r="H58" s="27"/>
      <c r="J58" s="0" t="n">
        <v>49</v>
      </c>
      <c r="K58" s="0" t="str">
        <f aca="true">IF(A58="","",IF(ISNUMBER(A58),IF(A58&gt;=36526,A58,""),IFERROR(DATE(VALUE(RIGHT(RIGHT(TRIM(A58),10),4)),VALUE(MID(RIGHT(TRIM(A58),10),4,2)),VALUE(LEFT(RIGHT(TRIM(A58),10),2))),IFERROR(TODAY()-MOD(WEEKDAY(TODAY(),1)-MATCH(TRIM(A58),{"الأحد","الاثنين","الثلاثاء","الأربعاء","الخميس","الجمعة","السبت"},0),7),IFERROR(DATEVALUE(A58),"")))))</f>
        <v/>
      </c>
      <c r="L58" s="0" t="str">
        <f aca="false">IF(K58="","",INT((K58-WEEK_ONE)/7)+1)</f>
        <v/>
      </c>
      <c r="M58" s="0" t="str">
        <f aca="false">IF(L58="","",IF(OR(L58&lt;1,L58&gt;NW),"",INDEX(WMON,L58)))</f>
        <v/>
      </c>
    </row>
    <row r="59" customFormat="false" ht="15" hidden="false" customHeight="false" outlineLevel="0" collapsed="false">
      <c r="A59" s="43"/>
      <c r="B59" s="23" t="str">
        <f aca="false">IF(K59="","",CHOOSE(WEEKDAY(K59,1),"الأحد","الاثنين","الثلاثاء","الأربعاء","الخميس","الجمعة","السبت")&amp;IF(OR(ISNUMBER(A59),LEN(TRIM(A59))&gt;=10),"","  "&amp;TEXT(DAY(K59),"00")&amp;"/"&amp;TEXT(MONTH(K59),"00")&amp;"/"&amp;YEAR(K59)))</f>
        <v/>
      </c>
      <c r="C59" s="24"/>
      <c r="D59" s="24"/>
      <c r="E59" s="44"/>
      <c r="F59" s="44"/>
      <c r="G59" s="44"/>
      <c r="H59" s="27"/>
      <c r="J59" s="0" t="n">
        <v>50</v>
      </c>
      <c r="K59" s="0" t="str">
        <f aca="true">IF(A59="","",IF(ISNUMBER(A59),IF(A59&gt;=36526,A59,""),IFERROR(DATE(VALUE(RIGHT(RIGHT(TRIM(A59),10),4)),VALUE(MID(RIGHT(TRIM(A59),10),4,2)),VALUE(LEFT(RIGHT(TRIM(A59),10),2))),IFERROR(TODAY()-MOD(WEEKDAY(TODAY(),1)-MATCH(TRIM(A59),{"الأحد","الاثنين","الثلاثاء","الأربعاء","الخميس","الجمعة","السبت"},0),7),IFERROR(DATEVALUE(A59),"")))))</f>
        <v/>
      </c>
      <c r="L59" s="0" t="str">
        <f aca="false">IF(K59="","",INT((K59-WEEK_ONE)/7)+1)</f>
        <v/>
      </c>
      <c r="M59" s="0" t="str">
        <f aca="false">IF(L59="","",IF(OR(L59&lt;1,L59&gt;NW),"",INDEX(WMON,L59)))</f>
        <v/>
      </c>
    </row>
    <row r="60" customFormat="false" ht="15" hidden="false" customHeight="false" outlineLevel="0" collapsed="false">
      <c r="A60" s="43"/>
      <c r="B60" s="23" t="str">
        <f aca="false">IF(K60="","",CHOOSE(WEEKDAY(K60,1),"الأحد","الاثنين","الثلاثاء","الأربعاء","الخميس","الجمعة","السبت")&amp;IF(OR(ISNUMBER(A60),LEN(TRIM(A60))&gt;=10),"","  "&amp;TEXT(DAY(K60),"00")&amp;"/"&amp;TEXT(MONTH(K60),"00")&amp;"/"&amp;YEAR(K60)))</f>
        <v/>
      </c>
      <c r="C60" s="24"/>
      <c r="D60" s="24"/>
      <c r="E60" s="44"/>
      <c r="F60" s="44"/>
      <c r="G60" s="44"/>
      <c r="H60" s="27"/>
      <c r="J60" s="0" t="n">
        <v>51</v>
      </c>
      <c r="K60" s="0" t="str">
        <f aca="true">IF(A60="","",IF(ISNUMBER(A60),IF(A60&gt;=36526,A60,""),IFERROR(DATE(VALUE(RIGHT(RIGHT(TRIM(A60),10),4)),VALUE(MID(RIGHT(TRIM(A60),10),4,2)),VALUE(LEFT(RIGHT(TRIM(A60),10),2))),IFERROR(TODAY()-MOD(WEEKDAY(TODAY(),1)-MATCH(TRIM(A60),{"الأحد","الاثنين","الثلاثاء","الأربعاء","الخميس","الجمعة","السبت"},0),7),IFERROR(DATEVALUE(A60),"")))))</f>
        <v/>
      </c>
      <c r="L60" s="0" t="str">
        <f aca="false">IF(K60="","",INT((K60-WEEK_ONE)/7)+1)</f>
        <v/>
      </c>
      <c r="M60" s="0" t="str">
        <f aca="false">IF(L60="","",IF(OR(L60&lt;1,L60&gt;NW),"",INDEX(WMON,L60)))</f>
        <v/>
      </c>
    </row>
    <row r="61" customFormat="false" ht="15" hidden="false" customHeight="false" outlineLevel="0" collapsed="false">
      <c r="A61" s="43"/>
      <c r="B61" s="23" t="str">
        <f aca="false">IF(K61="","",CHOOSE(WEEKDAY(K61,1),"الأحد","الاثنين","الثلاثاء","الأربعاء","الخميس","الجمعة","السبت")&amp;IF(OR(ISNUMBER(A61),LEN(TRIM(A61))&gt;=10),"","  "&amp;TEXT(DAY(K61),"00")&amp;"/"&amp;TEXT(MONTH(K61),"00")&amp;"/"&amp;YEAR(K61)))</f>
        <v/>
      </c>
      <c r="C61" s="24"/>
      <c r="D61" s="24"/>
      <c r="E61" s="44"/>
      <c r="F61" s="44"/>
      <c r="G61" s="44"/>
      <c r="H61" s="27"/>
      <c r="J61" s="0" t="n">
        <v>52</v>
      </c>
      <c r="K61" s="0" t="str">
        <f aca="true">IF(A61="","",IF(ISNUMBER(A61),IF(A61&gt;=36526,A61,""),IFERROR(DATE(VALUE(RIGHT(RIGHT(TRIM(A61),10),4)),VALUE(MID(RIGHT(TRIM(A61),10),4,2)),VALUE(LEFT(RIGHT(TRIM(A61),10),2))),IFERROR(TODAY()-MOD(WEEKDAY(TODAY(),1)-MATCH(TRIM(A61),{"الأحد","الاثنين","الثلاثاء","الأربعاء","الخميس","الجمعة","السبت"},0),7),IFERROR(DATEVALUE(A61),"")))))</f>
        <v/>
      </c>
      <c r="L61" s="0" t="str">
        <f aca="false">IF(K61="","",INT((K61-WEEK_ONE)/7)+1)</f>
        <v/>
      </c>
      <c r="M61" s="0" t="str">
        <f aca="false">IF(L61="","",IF(OR(L61&lt;1,L61&gt;NW),"",INDEX(WMON,L61)))</f>
        <v/>
      </c>
    </row>
    <row r="62" customFormat="false" ht="15" hidden="false" customHeight="false" outlineLevel="0" collapsed="false">
      <c r="A62" s="43"/>
      <c r="B62" s="23" t="str">
        <f aca="false">IF(K62="","",CHOOSE(WEEKDAY(K62,1),"الأحد","الاثنين","الثلاثاء","الأربعاء","الخميس","الجمعة","السبت")&amp;IF(OR(ISNUMBER(A62),LEN(TRIM(A62))&gt;=10),"","  "&amp;TEXT(DAY(K62),"00")&amp;"/"&amp;TEXT(MONTH(K62),"00")&amp;"/"&amp;YEAR(K62)))</f>
        <v/>
      </c>
      <c r="C62" s="24"/>
      <c r="D62" s="24"/>
      <c r="E62" s="44"/>
      <c r="F62" s="44"/>
      <c r="G62" s="44"/>
      <c r="H62" s="27"/>
      <c r="J62" s="0" t="n">
        <v>53</v>
      </c>
      <c r="K62" s="0" t="str">
        <f aca="true">IF(A62="","",IF(ISNUMBER(A62),IF(A62&gt;=36526,A62,""),IFERROR(DATE(VALUE(RIGHT(RIGHT(TRIM(A62),10),4)),VALUE(MID(RIGHT(TRIM(A62),10),4,2)),VALUE(LEFT(RIGHT(TRIM(A62),10),2))),IFERROR(TODAY()-MOD(WEEKDAY(TODAY(),1)-MATCH(TRIM(A62),{"الأحد","الاثنين","الثلاثاء","الأربعاء","الخميس","الجمعة","السبت"},0),7),IFERROR(DATEVALUE(A62),"")))))</f>
        <v/>
      </c>
      <c r="L62" s="0" t="str">
        <f aca="false">IF(K62="","",INT((K62-WEEK_ONE)/7)+1)</f>
        <v/>
      </c>
      <c r="M62" s="0" t="str">
        <f aca="false">IF(L62="","",IF(OR(L62&lt;1,L62&gt;NW),"",INDEX(WMON,L62)))</f>
        <v/>
      </c>
    </row>
    <row r="63" customFormat="false" ht="15" hidden="false" customHeight="false" outlineLevel="0" collapsed="false">
      <c r="A63" s="43"/>
      <c r="B63" s="23" t="str">
        <f aca="false">IF(K63="","",CHOOSE(WEEKDAY(K63,1),"الأحد","الاثنين","الثلاثاء","الأربعاء","الخميس","الجمعة","السبت")&amp;IF(OR(ISNUMBER(A63),LEN(TRIM(A63))&gt;=10),"","  "&amp;TEXT(DAY(K63),"00")&amp;"/"&amp;TEXT(MONTH(K63),"00")&amp;"/"&amp;YEAR(K63)))</f>
        <v/>
      </c>
      <c r="C63" s="24"/>
      <c r="D63" s="24"/>
      <c r="E63" s="44"/>
      <c r="F63" s="44"/>
      <c r="G63" s="44"/>
      <c r="H63" s="27"/>
      <c r="J63" s="0" t="n">
        <v>54</v>
      </c>
      <c r="K63" s="0" t="str">
        <f aca="true">IF(A63="","",IF(ISNUMBER(A63),IF(A63&gt;=36526,A63,""),IFERROR(DATE(VALUE(RIGHT(RIGHT(TRIM(A63),10),4)),VALUE(MID(RIGHT(TRIM(A63),10),4,2)),VALUE(LEFT(RIGHT(TRIM(A63),10),2))),IFERROR(TODAY()-MOD(WEEKDAY(TODAY(),1)-MATCH(TRIM(A63),{"الأحد","الاثنين","الثلاثاء","الأربعاء","الخميس","الجمعة","السبت"},0),7),IFERROR(DATEVALUE(A63),"")))))</f>
        <v/>
      </c>
      <c r="L63" s="0" t="str">
        <f aca="false">IF(K63="","",INT((K63-WEEK_ONE)/7)+1)</f>
        <v/>
      </c>
      <c r="M63" s="0" t="str">
        <f aca="false">IF(L63="","",IF(OR(L63&lt;1,L63&gt;NW),"",INDEX(WMON,L63)))</f>
        <v/>
      </c>
    </row>
    <row r="64" customFormat="false" ht="15" hidden="false" customHeight="false" outlineLevel="0" collapsed="false">
      <c r="A64" s="43"/>
      <c r="B64" s="23" t="str">
        <f aca="false">IF(K64="","",CHOOSE(WEEKDAY(K64,1),"الأحد","الاثنين","الثلاثاء","الأربعاء","الخميس","الجمعة","السبت")&amp;IF(OR(ISNUMBER(A64),LEN(TRIM(A64))&gt;=10),"","  "&amp;TEXT(DAY(K64),"00")&amp;"/"&amp;TEXT(MONTH(K64),"00")&amp;"/"&amp;YEAR(K64)))</f>
        <v/>
      </c>
      <c r="C64" s="24"/>
      <c r="D64" s="24"/>
      <c r="E64" s="44"/>
      <c r="F64" s="44"/>
      <c r="G64" s="44"/>
      <c r="H64" s="27"/>
      <c r="J64" s="0" t="n">
        <v>55</v>
      </c>
      <c r="K64" s="0" t="str">
        <f aca="true">IF(A64="","",IF(ISNUMBER(A64),IF(A64&gt;=36526,A64,""),IFERROR(DATE(VALUE(RIGHT(RIGHT(TRIM(A64),10),4)),VALUE(MID(RIGHT(TRIM(A64),10),4,2)),VALUE(LEFT(RIGHT(TRIM(A64),10),2))),IFERROR(TODAY()-MOD(WEEKDAY(TODAY(),1)-MATCH(TRIM(A64),{"الأحد","الاثنين","الثلاثاء","الأربعاء","الخميس","الجمعة","السبت"},0),7),IFERROR(DATEVALUE(A64),"")))))</f>
        <v/>
      </c>
      <c r="L64" s="0" t="str">
        <f aca="false">IF(K64="","",INT((K64-WEEK_ONE)/7)+1)</f>
        <v/>
      </c>
      <c r="M64" s="0" t="str">
        <f aca="false">IF(L64="","",IF(OR(L64&lt;1,L64&gt;NW),"",INDEX(WMON,L64)))</f>
        <v/>
      </c>
    </row>
    <row r="65" customFormat="false" ht="15" hidden="false" customHeight="false" outlineLevel="0" collapsed="false">
      <c r="A65" s="43"/>
      <c r="B65" s="23" t="str">
        <f aca="false">IF(K65="","",CHOOSE(WEEKDAY(K65,1),"الأحد","الاثنين","الثلاثاء","الأربعاء","الخميس","الجمعة","السبت")&amp;IF(OR(ISNUMBER(A65),LEN(TRIM(A65))&gt;=10),"","  "&amp;TEXT(DAY(K65),"00")&amp;"/"&amp;TEXT(MONTH(K65),"00")&amp;"/"&amp;YEAR(K65)))</f>
        <v/>
      </c>
      <c r="C65" s="24"/>
      <c r="D65" s="24"/>
      <c r="E65" s="44"/>
      <c r="F65" s="44"/>
      <c r="G65" s="44"/>
      <c r="H65" s="27"/>
      <c r="J65" s="0" t="n">
        <v>56</v>
      </c>
      <c r="K65" s="0" t="str">
        <f aca="true">IF(A65="","",IF(ISNUMBER(A65),IF(A65&gt;=36526,A65,""),IFERROR(DATE(VALUE(RIGHT(RIGHT(TRIM(A65),10),4)),VALUE(MID(RIGHT(TRIM(A65),10),4,2)),VALUE(LEFT(RIGHT(TRIM(A65),10),2))),IFERROR(TODAY()-MOD(WEEKDAY(TODAY(),1)-MATCH(TRIM(A65),{"الأحد","الاثنين","الثلاثاء","الأربعاء","الخميس","الجمعة","السبت"},0),7),IFERROR(DATEVALUE(A65),"")))))</f>
        <v/>
      </c>
      <c r="L65" s="0" t="str">
        <f aca="false">IF(K65="","",INT((K65-WEEK_ONE)/7)+1)</f>
        <v/>
      </c>
      <c r="M65" s="0" t="str">
        <f aca="false">IF(L65="","",IF(OR(L65&lt;1,L65&gt;NW),"",INDEX(WMON,L65)))</f>
        <v/>
      </c>
    </row>
    <row r="66" customFormat="false" ht="15" hidden="false" customHeight="false" outlineLevel="0" collapsed="false">
      <c r="A66" s="43"/>
      <c r="B66" s="23" t="str">
        <f aca="false">IF(K66="","",CHOOSE(WEEKDAY(K66,1),"الأحد","الاثنين","الثلاثاء","الأربعاء","الخميس","الجمعة","السبت")&amp;IF(OR(ISNUMBER(A66),LEN(TRIM(A66))&gt;=10),"","  "&amp;TEXT(DAY(K66),"00")&amp;"/"&amp;TEXT(MONTH(K66),"00")&amp;"/"&amp;YEAR(K66)))</f>
        <v/>
      </c>
      <c r="C66" s="24"/>
      <c r="D66" s="24"/>
      <c r="E66" s="44"/>
      <c r="F66" s="44"/>
      <c r="G66" s="44"/>
      <c r="H66" s="27"/>
      <c r="J66" s="0" t="n">
        <v>57</v>
      </c>
      <c r="K66" s="0" t="str">
        <f aca="true">IF(A66="","",IF(ISNUMBER(A66),IF(A66&gt;=36526,A66,""),IFERROR(DATE(VALUE(RIGHT(RIGHT(TRIM(A66),10),4)),VALUE(MID(RIGHT(TRIM(A66),10),4,2)),VALUE(LEFT(RIGHT(TRIM(A66),10),2))),IFERROR(TODAY()-MOD(WEEKDAY(TODAY(),1)-MATCH(TRIM(A66),{"الأحد","الاثنين","الثلاثاء","الأربعاء","الخميس","الجمعة","السبت"},0),7),IFERROR(DATEVALUE(A66),"")))))</f>
        <v/>
      </c>
      <c r="L66" s="0" t="str">
        <f aca="false">IF(K66="","",INT((K66-WEEK_ONE)/7)+1)</f>
        <v/>
      </c>
      <c r="M66" s="0" t="str">
        <f aca="false">IF(L66="","",IF(OR(L66&lt;1,L66&gt;NW),"",INDEX(WMON,L66)))</f>
        <v/>
      </c>
    </row>
    <row r="67" customFormat="false" ht="15" hidden="false" customHeight="false" outlineLevel="0" collapsed="false">
      <c r="A67" s="43"/>
      <c r="B67" s="23" t="str">
        <f aca="false">IF(K67="","",CHOOSE(WEEKDAY(K67,1),"الأحد","الاثنين","الثلاثاء","الأربعاء","الخميس","الجمعة","السبت")&amp;IF(OR(ISNUMBER(A67),LEN(TRIM(A67))&gt;=10),"","  "&amp;TEXT(DAY(K67),"00")&amp;"/"&amp;TEXT(MONTH(K67),"00")&amp;"/"&amp;YEAR(K67)))</f>
        <v/>
      </c>
      <c r="C67" s="24"/>
      <c r="D67" s="24"/>
      <c r="E67" s="44"/>
      <c r="F67" s="44"/>
      <c r="G67" s="44"/>
      <c r="H67" s="27"/>
      <c r="J67" s="0" t="n">
        <v>58</v>
      </c>
      <c r="K67" s="0" t="str">
        <f aca="true">IF(A67="","",IF(ISNUMBER(A67),IF(A67&gt;=36526,A67,""),IFERROR(DATE(VALUE(RIGHT(RIGHT(TRIM(A67),10),4)),VALUE(MID(RIGHT(TRIM(A67),10),4,2)),VALUE(LEFT(RIGHT(TRIM(A67),10),2))),IFERROR(TODAY()-MOD(WEEKDAY(TODAY(),1)-MATCH(TRIM(A67),{"الأحد","الاثنين","الثلاثاء","الأربعاء","الخميس","الجمعة","السبت"},0),7),IFERROR(DATEVALUE(A67),"")))))</f>
        <v/>
      </c>
      <c r="L67" s="0" t="str">
        <f aca="false">IF(K67="","",INT((K67-WEEK_ONE)/7)+1)</f>
        <v/>
      </c>
      <c r="M67" s="0" t="str">
        <f aca="false">IF(L67="","",IF(OR(L67&lt;1,L67&gt;NW),"",INDEX(WMON,L67)))</f>
        <v/>
      </c>
    </row>
    <row r="68" customFormat="false" ht="15" hidden="false" customHeight="false" outlineLevel="0" collapsed="false">
      <c r="A68" s="43"/>
      <c r="B68" s="23" t="str">
        <f aca="false">IF(K68="","",CHOOSE(WEEKDAY(K68,1),"الأحد","الاثنين","الثلاثاء","الأربعاء","الخميس","الجمعة","السبت")&amp;IF(OR(ISNUMBER(A68),LEN(TRIM(A68))&gt;=10),"","  "&amp;TEXT(DAY(K68),"00")&amp;"/"&amp;TEXT(MONTH(K68),"00")&amp;"/"&amp;YEAR(K68)))</f>
        <v/>
      </c>
      <c r="C68" s="24"/>
      <c r="D68" s="24"/>
      <c r="E68" s="44"/>
      <c r="F68" s="44"/>
      <c r="G68" s="44"/>
      <c r="H68" s="27"/>
      <c r="J68" s="0" t="n">
        <v>59</v>
      </c>
      <c r="K68" s="0" t="str">
        <f aca="true">IF(A68="","",IF(ISNUMBER(A68),IF(A68&gt;=36526,A68,""),IFERROR(DATE(VALUE(RIGHT(RIGHT(TRIM(A68),10),4)),VALUE(MID(RIGHT(TRIM(A68),10),4,2)),VALUE(LEFT(RIGHT(TRIM(A68),10),2))),IFERROR(TODAY()-MOD(WEEKDAY(TODAY(),1)-MATCH(TRIM(A68),{"الأحد","الاثنين","الثلاثاء","الأربعاء","الخميس","الجمعة","السبت"},0),7),IFERROR(DATEVALUE(A68),"")))))</f>
        <v/>
      </c>
      <c r="L68" s="0" t="str">
        <f aca="false">IF(K68="","",INT((K68-WEEK_ONE)/7)+1)</f>
        <v/>
      </c>
      <c r="M68" s="0" t="str">
        <f aca="false">IF(L68="","",IF(OR(L68&lt;1,L68&gt;NW),"",INDEX(WMON,L68)))</f>
        <v/>
      </c>
    </row>
    <row r="69" customFormat="false" ht="15" hidden="false" customHeight="false" outlineLevel="0" collapsed="false">
      <c r="A69" s="43"/>
      <c r="B69" s="23" t="str">
        <f aca="false">IF(K69="","",CHOOSE(WEEKDAY(K69,1),"الأحد","الاثنين","الثلاثاء","الأربعاء","الخميس","الجمعة","السبت")&amp;IF(OR(ISNUMBER(A69),LEN(TRIM(A69))&gt;=10),"","  "&amp;TEXT(DAY(K69),"00")&amp;"/"&amp;TEXT(MONTH(K69),"00")&amp;"/"&amp;YEAR(K69)))</f>
        <v/>
      </c>
      <c r="C69" s="24"/>
      <c r="D69" s="24"/>
      <c r="E69" s="44"/>
      <c r="F69" s="44"/>
      <c r="G69" s="44"/>
      <c r="H69" s="27"/>
      <c r="J69" s="0" t="n">
        <v>60</v>
      </c>
      <c r="K69" s="0" t="str">
        <f aca="true">IF(A69="","",IF(ISNUMBER(A69),IF(A69&gt;=36526,A69,""),IFERROR(DATE(VALUE(RIGHT(RIGHT(TRIM(A69),10),4)),VALUE(MID(RIGHT(TRIM(A69),10),4,2)),VALUE(LEFT(RIGHT(TRIM(A69),10),2))),IFERROR(TODAY()-MOD(WEEKDAY(TODAY(),1)-MATCH(TRIM(A69),{"الأحد","الاثنين","الثلاثاء","الأربعاء","الخميس","الجمعة","السبت"},0),7),IFERROR(DATEVALUE(A69),"")))))</f>
        <v/>
      </c>
      <c r="L69" s="0" t="str">
        <f aca="false">IF(K69="","",INT((K69-WEEK_ONE)/7)+1)</f>
        <v/>
      </c>
      <c r="M69" s="0" t="str">
        <f aca="false">IF(L69="","",IF(OR(L69&lt;1,L69&gt;NW),"",INDEX(WMON,L69)))</f>
        <v/>
      </c>
    </row>
    <row r="70" customFormat="false" ht="15" hidden="false" customHeight="false" outlineLevel="0" collapsed="false">
      <c r="A70" s="43"/>
      <c r="B70" s="23" t="str">
        <f aca="false">IF(K70="","",CHOOSE(WEEKDAY(K70,1),"الأحد","الاثنين","الثلاثاء","الأربعاء","الخميس","الجمعة","السبت")&amp;IF(OR(ISNUMBER(A70),LEN(TRIM(A70))&gt;=10),"","  "&amp;TEXT(DAY(K70),"00")&amp;"/"&amp;TEXT(MONTH(K70),"00")&amp;"/"&amp;YEAR(K70)))</f>
        <v/>
      </c>
      <c r="C70" s="24"/>
      <c r="D70" s="24"/>
      <c r="E70" s="44"/>
      <c r="F70" s="44"/>
      <c r="G70" s="44"/>
      <c r="H70" s="27"/>
      <c r="J70" s="0" t="n">
        <v>61</v>
      </c>
      <c r="K70" s="0" t="str">
        <f aca="true">IF(A70="","",IF(ISNUMBER(A70),IF(A70&gt;=36526,A70,""),IFERROR(DATE(VALUE(RIGHT(RIGHT(TRIM(A70),10),4)),VALUE(MID(RIGHT(TRIM(A70),10),4,2)),VALUE(LEFT(RIGHT(TRIM(A70),10),2))),IFERROR(TODAY()-MOD(WEEKDAY(TODAY(),1)-MATCH(TRIM(A70),{"الأحد","الاثنين","الثلاثاء","الأربعاء","الخميس","الجمعة","السبت"},0),7),IFERROR(DATEVALUE(A70),"")))))</f>
        <v/>
      </c>
      <c r="L70" s="0" t="str">
        <f aca="false">IF(K70="","",INT((K70-WEEK_ONE)/7)+1)</f>
        <v/>
      </c>
      <c r="M70" s="0" t="str">
        <f aca="false">IF(L70="","",IF(OR(L70&lt;1,L70&gt;NW),"",INDEX(WMON,L70)))</f>
        <v/>
      </c>
    </row>
    <row r="71" customFormat="false" ht="15" hidden="false" customHeight="false" outlineLevel="0" collapsed="false">
      <c r="A71" s="43"/>
      <c r="B71" s="23" t="str">
        <f aca="false">IF(K71="","",CHOOSE(WEEKDAY(K71,1),"الأحد","الاثنين","الثلاثاء","الأربعاء","الخميس","الجمعة","السبت")&amp;IF(OR(ISNUMBER(A71),LEN(TRIM(A71))&gt;=10),"","  "&amp;TEXT(DAY(K71),"00")&amp;"/"&amp;TEXT(MONTH(K71),"00")&amp;"/"&amp;YEAR(K71)))</f>
        <v/>
      </c>
      <c r="C71" s="24"/>
      <c r="D71" s="24"/>
      <c r="E71" s="44"/>
      <c r="F71" s="44"/>
      <c r="G71" s="44"/>
      <c r="H71" s="27"/>
      <c r="J71" s="0" t="n">
        <v>62</v>
      </c>
      <c r="K71" s="0" t="str">
        <f aca="true">IF(A71="","",IF(ISNUMBER(A71),IF(A71&gt;=36526,A71,""),IFERROR(DATE(VALUE(RIGHT(RIGHT(TRIM(A71),10),4)),VALUE(MID(RIGHT(TRIM(A71),10),4,2)),VALUE(LEFT(RIGHT(TRIM(A71),10),2))),IFERROR(TODAY()-MOD(WEEKDAY(TODAY(),1)-MATCH(TRIM(A71),{"الأحد","الاثنين","الثلاثاء","الأربعاء","الخميس","الجمعة","السبت"},0),7),IFERROR(DATEVALUE(A71),"")))))</f>
        <v/>
      </c>
      <c r="L71" s="0" t="str">
        <f aca="false">IF(K71="","",INT((K71-WEEK_ONE)/7)+1)</f>
        <v/>
      </c>
      <c r="M71" s="0" t="str">
        <f aca="false">IF(L71="","",IF(OR(L71&lt;1,L71&gt;NW),"",INDEX(WMON,L71)))</f>
        <v/>
      </c>
    </row>
    <row r="72" customFormat="false" ht="15" hidden="false" customHeight="false" outlineLevel="0" collapsed="false">
      <c r="A72" s="43"/>
      <c r="B72" s="23" t="str">
        <f aca="false">IF(K72="","",CHOOSE(WEEKDAY(K72,1),"الأحد","الاثنين","الثلاثاء","الأربعاء","الخميس","الجمعة","السبت")&amp;IF(OR(ISNUMBER(A72),LEN(TRIM(A72))&gt;=10),"","  "&amp;TEXT(DAY(K72),"00")&amp;"/"&amp;TEXT(MONTH(K72),"00")&amp;"/"&amp;YEAR(K72)))</f>
        <v/>
      </c>
      <c r="C72" s="24"/>
      <c r="D72" s="24"/>
      <c r="E72" s="44"/>
      <c r="F72" s="44"/>
      <c r="G72" s="44"/>
      <c r="H72" s="27"/>
      <c r="J72" s="0" t="n">
        <v>63</v>
      </c>
      <c r="K72" s="0" t="str">
        <f aca="true">IF(A72="","",IF(ISNUMBER(A72),IF(A72&gt;=36526,A72,""),IFERROR(DATE(VALUE(RIGHT(RIGHT(TRIM(A72),10),4)),VALUE(MID(RIGHT(TRIM(A72),10),4,2)),VALUE(LEFT(RIGHT(TRIM(A72),10),2))),IFERROR(TODAY()-MOD(WEEKDAY(TODAY(),1)-MATCH(TRIM(A72),{"الأحد","الاثنين","الثلاثاء","الأربعاء","الخميس","الجمعة","السبت"},0),7),IFERROR(DATEVALUE(A72),"")))))</f>
        <v/>
      </c>
      <c r="L72" s="0" t="str">
        <f aca="false">IF(K72="","",INT((K72-WEEK_ONE)/7)+1)</f>
        <v/>
      </c>
      <c r="M72" s="0" t="str">
        <f aca="false">IF(L72="","",IF(OR(L72&lt;1,L72&gt;NW),"",INDEX(WMON,L72)))</f>
        <v/>
      </c>
    </row>
    <row r="73" customFormat="false" ht="15" hidden="false" customHeight="false" outlineLevel="0" collapsed="false">
      <c r="A73" s="43"/>
      <c r="B73" s="23" t="str">
        <f aca="false">IF(K73="","",CHOOSE(WEEKDAY(K73,1),"الأحد","الاثنين","الثلاثاء","الأربعاء","الخميس","الجمعة","السبت")&amp;IF(OR(ISNUMBER(A73),LEN(TRIM(A73))&gt;=10),"","  "&amp;TEXT(DAY(K73),"00")&amp;"/"&amp;TEXT(MONTH(K73),"00")&amp;"/"&amp;YEAR(K73)))</f>
        <v/>
      </c>
      <c r="C73" s="24"/>
      <c r="D73" s="24"/>
      <c r="E73" s="44"/>
      <c r="F73" s="44"/>
      <c r="G73" s="44"/>
      <c r="H73" s="27"/>
      <c r="J73" s="0" t="n">
        <v>64</v>
      </c>
      <c r="K73" s="0" t="str">
        <f aca="true">IF(A73="","",IF(ISNUMBER(A73),IF(A73&gt;=36526,A73,""),IFERROR(DATE(VALUE(RIGHT(RIGHT(TRIM(A73),10),4)),VALUE(MID(RIGHT(TRIM(A73),10),4,2)),VALUE(LEFT(RIGHT(TRIM(A73),10),2))),IFERROR(TODAY()-MOD(WEEKDAY(TODAY(),1)-MATCH(TRIM(A73),{"الأحد","الاثنين","الثلاثاء","الأربعاء","الخميس","الجمعة","السبت"},0),7),IFERROR(DATEVALUE(A73),"")))))</f>
        <v/>
      </c>
      <c r="L73" s="0" t="str">
        <f aca="false">IF(K73="","",INT((K73-WEEK_ONE)/7)+1)</f>
        <v/>
      </c>
      <c r="M73" s="0" t="str">
        <f aca="false">IF(L73="","",IF(OR(L73&lt;1,L73&gt;NW),"",INDEX(WMON,L73)))</f>
        <v/>
      </c>
    </row>
    <row r="74" customFormat="false" ht="15" hidden="false" customHeight="false" outlineLevel="0" collapsed="false">
      <c r="A74" s="43"/>
      <c r="B74" s="23" t="str">
        <f aca="false">IF(K74="","",CHOOSE(WEEKDAY(K74,1),"الأحد","الاثنين","الثلاثاء","الأربعاء","الخميس","الجمعة","السبت")&amp;IF(OR(ISNUMBER(A74),LEN(TRIM(A74))&gt;=10),"","  "&amp;TEXT(DAY(K74),"00")&amp;"/"&amp;TEXT(MONTH(K74),"00")&amp;"/"&amp;YEAR(K74)))</f>
        <v/>
      </c>
      <c r="C74" s="24"/>
      <c r="D74" s="24"/>
      <c r="E74" s="44"/>
      <c r="F74" s="44"/>
      <c r="G74" s="44"/>
      <c r="H74" s="27"/>
      <c r="J74" s="0" t="n">
        <v>65</v>
      </c>
      <c r="K74" s="0" t="str">
        <f aca="true">IF(A74="","",IF(ISNUMBER(A74),IF(A74&gt;=36526,A74,""),IFERROR(DATE(VALUE(RIGHT(RIGHT(TRIM(A74),10),4)),VALUE(MID(RIGHT(TRIM(A74),10),4,2)),VALUE(LEFT(RIGHT(TRIM(A74),10),2))),IFERROR(TODAY()-MOD(WEEKDAY(TODAY(),1)-MATCH(TRIM(A74),{"الأحد","الاثنين","الثلاثاء","الأربعاء","الخميس","الجمعة","السبت"},0),7),IFERROR(DATEVALUE(A74),"")))))</f>
        <v/>
      </c>
      <c r="L74" s="0" t="str">
        <f aca="false">IF(K74="","",INT((K74-WEEK_ONE)/7)+1)</f>
        <v/>
      </c>
      <c r="M74" s="0" t="str">
        <f aca="false">IF(L74="","",IF(OR(L74&lt;1,L74&gt;NW),"",INDEX(WMON,L74)))</f>
        <v/>
      </c>
    </row>
    <row r="75" customFormat="false" ht="15" hidden="false" customHeight="false" outlineLevel="0" collapsed="false">
      <c r="A75" s="43"/>
      <c r="B75" s="23" t="str">
        <f aca="false">IF(K75="","",CHOOSE(WEEKDAY(K75,1),"الأحد","الاثنين","الثلاثاء","الأربعاء","الخميس","الجمعة","السبت")&amp;IF(OR(ISNUMBER(A75),LEN(TRIM(A75))&gt;=10),"","  "&amp;TEXT(DAY(K75),"00")&amp;"/"&amp;TEXT(MONTH(K75),"00")&amp;"/"&amp;YEAR(K75)))</f>
        <v/>
      </c>
      <c r="C75" s="24"/>
      <c r="D75" s="24"/>
      <c r="E75" s="44"/>
      <c r="F75" s="44"/>
      <c r="G75" s="44"/>
      <c r="H75" s="27"/>
      <c r="J75" s="0" t="n">
        <v>66</v>
      </c>
      <c r="K75" s="0" t="str">
        <f aca="true">IF(A75="","",IF(ISNUMBER(A75),IF(A75&gt;=36526,A75,""),IFERROR(DATE(VALUE(RIGHT(RIGHT(TRIM(A75),10),4)),VALUE(MID(RIGHT(TRIM(A75),10),4,2)),VALUE(LEFT(RIGHT(TRIM(A75),10),2))),IFERROR(TODAY()-MOD(WEEKDAY(TODAY(),1)-MATCH(TRIM(A75),{"الأحد","الاثنين","الثلاثاء","الأربعاء","الخميس","الجمعة","السبت"},0),7),IFERROR(DATEVALUE(A75),"")))))</f>
        <v/>
      </c>
      <c r="L75" s="0" t="str">
        <f aca="false">IF(K75="","",INT((K75-WEEK_ONE)/7)+1)</f>
        <v/>
      </c>
      <c r="M75" s="0" t="str">
        <f aca="false">IF(L75="","",IF(OR(L75&lt;1,L75&gt;NW),"",INDEX(WMON,L75)))</f>
        <v/>
      </c>
    </row>
    <row r="76" customFormat="false" ht="15" hidden="false" customHeight="false" outlineLevel="0" collapsed="false">
      <c r="A76" s="43"/>
      <c r="B76" s="23" t="str">
        <f aca="false">IF(K76="","",CHOOSE(WEEKDAY(K76,1),"الأحد","الاثنين","الثلاثاء","الأربعاء","الخميس","الجمعة","السبت")&amp;IF(OR(ISNUMBER(A76),LEN(TRIM(A76))&gt;=10),"","  "&amp;TEXT(DAY(K76),"00")&amp;"/"&amp;TEXT(MONTH(K76),"00")&amp;"/"&amp;YEAR(K76)))</f>
        <v/>
      </c>
      <c r="C76" s="24"/>
      <c r="D76" s="24"/>
      <c r="E76" s="44"/>
      <c r="F76" s="44"/>
      <c r="G76" s="44"/>
      <c r="H76" s="27"/>
      <c r="J76" s="0" t="n">
        <v>67</v>
      </c>
      <c r="K76" s="0" t="str">
        <f aca="true">IF(A76="","",IF(ISNUMBER(A76),IF(A76&gt;=36526,A76,""),IFERROR(DATE(VALUE(RIGHT(RIGHT(TRIM(A76),10),4)),VALUE(MID(RIGHT(TRIM(A76),10),4,2)),VALUE(LEFT(RIGHT(TRIM(A76),10),2))),IFERROR(TODAY()-MOD(WEEKDAY(TODAY(),1)-MATCH(TRIM(A76),{"الأحد","الاثنين","الثلاثاء","الأربعاء","الخميس","الجمعة","السبت"},0),7),IFERROR(DATEVALUE(A76),"")))))</f>
        <v/>
      </c>
      <c r="L76" s="0" t="str">
        <f aca="false">IF(K76="","",INT((K76-WEEK_ONE)/7)+1)</f>
        <v/>
      </c>
      <c r="M76" s="0" t="str">
        <f aca="false">IF(L76="","",IF(OR(L76&lt;1,L76&gt;NW),"",INDEX(WMON,L76)))</f>
        <v/>
      </c>
    </row>
    <row r="77" customFormat="false" ht="15" hidden="false" customHeight="false" outlineLevel="0" collapsed="false">
      <c r="A77" s="43"/>
      <c r="B77" s="23" t="str">
        <f aca="false">IF(K77="","",CHOOSE(WEEKDAY(K77,1),"الأحد","الاثنين","الثلاثاء","الأربعاء","الخميس","الجمعة","السبت")&amp;IF(OR(ISNUMBER(A77),LEN(TRIM(A77))&gt;=10),"","  "&amp;TEXT(DAY(K77),"00")&amp;"/"&amp;TEXT(MONTH(K77),"00")&amp;"/"&amp;YEAR(K77)))</f>
        <v/>
      </c>
      <c r="C77" s="24"/>
      <c r="D77" s="24"/>
      <c r="E77" s="44"/>
      <c r="F77" s="44"/>
      <c r="G77" s="44"/>
      <c r="H77" s="27"/>
      <c r="J77" s="0" t="n">
        <v>68</v>
      </c>
      <c r="K77" s="0" t="str">
        <f aca="true">IF(A77="","",IF(ISNUMBER(A77),IF(A77&gt;=36526,A77,""),IFERROR(DATE(VALUE(RIGHT(RIGHT(TRIM(A77),10),4)),VALUE(MID(RIGHT(TRIM(A77),10),4,2)),VALUE(LEFT(RIGHT(TRIM(A77),10),2))),IFERROR(TODAY()-MOD(WEEKDAY(TODAY(),1)-MATCH(TRIM(A77),{"الأحد","الاثنين","الثلاثاء","الأربعاء","الخميس","الجمعة","السبت"},0),7),IFERROR(DATEVALUE(A77),"")))))</f>
        <v/>
      </c>
      <c r="L77" s="0" t="str">
        <f aca="false">IF(K77="","",INT((K77-WEEK_ONE)/7)+1)</f>
        <v/>
      </c>
      <c r="M77" s="0" t="str">
        <f aca="false">IF(L77="","",IF(OR(L77&lt;1,L77&gt;NW),"",INDEX(WMON,L77)))</f>
        <v/>
      </c>
    </row>
    <row r="78" customFormat="false" ht="15" hidden="false" customHeight="false" outlineLevel="0" collapsed="false">
      <c r="A78" s="43"/>
      <c r="B78" s="23" t="str">
        <f aca="false">IF(K78="","",CHOOSE(WEEKDAY(K78,1),"الأحد","الاثنين","الثلاثاء","الأربعاء","الخميس","الجمعة","السبت")&amp;IF(OR(ISNUMBER(A78),LEN(TRIM(A78))&gt;=10),"","  "&amp;TEXT(DAY(K78),"00")&amp;"/"&amp;TEXT(MONTH(K78),"00")&amp;"/"&amp;YEAR(K78)))</f>
        <v/>
      </c>
      <c r="C78" s="24"/>
      <c r="D78" s="24"/>
      <c r="E78" s="44"/>
      <c r="F78" s="44"/>
      <c r="G78" s="44"/>
      <c r="H78" s="27"/>
      <c r="J78" s="0" t="n">
        <v>69</v>
      </c>
      <c r="K78" s="0" t="str">
        <f aca="true">IF(A78="","",IF(ISNUMBER(A78),IF(A78&gt;=36526,A78,""),IFERROR(DATE(VALUE(RIGHT(RIGHT(TRIM(A78),10),4)),VALUE(MID(RIGHT(TRIM(A78),10),4,2)),VALUE(LEFT(RIGHT(TRIM(A78),10),2))),IFERROR(TODAY()-MOD(WEEKDAY(TODAY(),1)-MATCH(TRIM(A78),{"الأحد","الاثنين","الثلاثاء","الأربعاء","الخميس","الجمعة","السبت"},0),7),IFERROR(DATEVALUE(A78),"")))))</f>
        <v/>
      </c>
      <c r="L78" s="0" t="str">
        <f aca="false">IF(K78="","",INT((K78-WEEK_ONE)/7)+1)</f>
        <v/>
      </c>
      <c r="M78" s="0" t="str">
        <f aca="false">IF(L78="","",IF(OR(L78&lt;1,L78&gt;NW),"",INDEX(WMON,L78)))</f>
        <v/>
      </c>
    </row>
    <row r="79" customFormat="false" ht="15" hidden="false" customHeight="false" outlineLevel="0" collapsed="false">
      <c r="A79" s="43"/>
      <c r="B79" s="23" t="str">
        <f aca="false">IF(K79="","",CHOOSE(WEEKDAY(K79,1),"الأحد","الاثنين","الثلاثاء","الأربعاء","الخميس","الجمعة","السبت")&amp;IF(OR(ISNUMBER(A79),LEN(TRIM(A79))&gt;=10),"","  "&amp;TEXT(DAY(K79),"00")&amp;"/"&amp;TEXT(MONTH(K79),"00")&amp;"/"&amp;YEAR(K79)))</f>
        <v/>
      </c>
      <c r="C79" s="24"/>
      <c r="D79" s="24"/>
      <c r="E79" s="44"/>
      <c r="F79" s="44"/>
      <c r="G79" s="44"/>
      <c r="H79" s="27"/>
      <c r="J79" s="0" t="n">
        <v>70</v>
      </c>
      <c r="K79" s="0" t="str">
        <f aca="true">IF(A79="","",IF(ISNUMBER(A79),IF(A79&gt;=36526,A79,""),IFERROR(DATE(VALUE(RIGHT(RIGHT(TRIM(A79),10),4)),VALUE(MID(RIGHT(TRIM(A79),10),4,2)),VALUE(LEFT(RIGHT(TRIM(A79),10),2))),IFERROR(TODAY()-MOD(WEEKDAY(TODAY(),1)-MATCH(TRIM(A79),{"الأحد","الاثنين","الثلاثاء","الأربعاء","الخميس","الجمعة","السبت"},0),7),IFERROR(DATEVALUE(A79),"")))))</f>
        <v/>
      </c>
      <c r="L79" s="0" t="str">
        <f aca="false">IF(K79="","",INT((K79-WEEK_ONE)/7)+1)</f>
        <v/>
      </c>
      <c r="M79" s="0" t="str">
        <f aca="false">IF(L79="","",IF(OR(L79&lt;1,L79&gt;NW),"",INDEX(WMON,L79)))</f>
        <v/>
      </c>
    </row>
    <row r="80" customFormat="false" ht="15" hidden="false" customHeight="false" outlineLevel="0" collapsed="false">
      <c r="A80" s="43"/>
      <c r="B80" s="23" t="str">
        <f aca="false">IF(K80="","",CHOOSE(WEEKDAY(K80,1),"الأحد","الاثنين","الثلاثاء","الأربعاء","الخميس","الجمعة","السبت")&amp;IF(OR(ISNUMBER(A80),LEN(TRIM(A80))&gt;=10),"","  "&amp;TEXT(DAY(K80),"00")&amp;"/"&amp;TEXT(MONTH(K80),"00")&amp;"/"&amp;YEAR(K80)))</f>
        <v/>
      </c>
      <c r="C80" s="24"/>
      <c r="D80" s="24"/>
      <c r="E80" s="44"/>
      <c r="F80" s="44"/>
      <c r="G80" s="44"/>
      <c r="H80" s="27"/>
      <c r="J80" s="0" t="n">
        <v>71</v>
      </c>
      <c r="K80" s="0" t="str">
        <f aca="true">IF(A80="","",IF(ISNUMBER(A80),IF(A80&gt;=36526,A80,""),IFERROR(DATE(VALUE(RIGHT(RIGHT(TRIM(A80),10),4)),VALUE(MID(RIGHT(TRIM(A80),10),4,2)),VALUE(LEFT(RIGHT(TRIM(A80),10),2))),IFERROR(TODAY()-MOD(WEEKDAY(TODAY(),1)-MATCH(TRIM(A80),{"الأحد","الاثنين","الثلاثاء","الأربعاء","الخميس","الجمعة","السبت"},0),7),IFERROR(DATEVALUE(A80),"")))))</f>
        <v/>
      </c>
      <c r="L80" s="0" t="str">
        <f aca="false">IF(K80="","",INT((K80-WEEK_ONE)/7)+1)</f>
        <v/>
      </c>
      <c r="M80" s="0" t="str">
        <f aca="false">IF(L80="","",IF(OR(L80&lt;1,L80&gt;NW),"",INDEX(WMON,L80)))</f>
        <v/>
      </c>
    </row>
    <row r="81" customFormat="false" ht="15" hidden="false" customHeight="false" outlineLevel="0" collapsed="false">
      <c r="A81" s="43"/>
      <c r="B81" s="23" t="str">
        <f aca="false">IF(K81="","",CHOOSE(WEEKDAY(K81,1),"الأحد","الاثنين","الثلاثاء","الأربعاء","الخميس","الجمعة","السبت")&amp;IF(OR(ISNUMBER(A81),LEN(TRIM(A81))&gt;=10),"","  "&amp;TEXT(DAY(K81),"00")&amp;"/"&amp;TEXT(MONTH(K81),"00")&amp;"/"&amp;YEAR(K81)))</f>
        <v/>
      </c>
      <c r="C81" s="24"/>
      <c r="D81" s="24"/>
      <c r="E81" s="44"/>
      <c r="F81" s="44"/>
      <c r="G81" s="44"/>
      <c r="H81" s="27"/>
      <c r="J81" s="0" t="n">
        <v>72</v>
      </c>
      <c r="K81" s="0" t="str">
        <f aca="true">IF(A81="","",IF(ISNUMBER(A81),IF(A81&gt;=36526,A81,""),IFERROR(DATE(VALUE(RIGHT(RIGHT(TRIM(A81),10),4)),VALUE(MID(RIGHT(TRIM(A81),10),4,2)),VALUE(LEFT(RIGHT(TRIM(A81),10),2))),IFERROR(TODAY()-MOD(WEEKDAY(TODAY(),1)-MATCH(TRIM(A81),{"الأحد","الاثنين","الثلاثاء","الأربعاء","الخميس","الجمعة","السبت"},0),7),IFERROR(DATEVALUE(A81),"")))))</f>
        <v/>
      </c>
      <c r="L81" s="0" t="str">
        <f aca="false">IF(K81="","",INT((K81-WEEK_ONE)/7)+1)</f>
        <v/>
      </c>
      <c r="M81" s="0" t="str">
        <f aca="false">IF(L81="","",IF(OR(L81&lt;1,L81&gt;NW),"",INDEX(WMON,L81)))</f>
        <v/>
      </c>
    </row>
    <row r="82" customFormat="false" ht="15" hidden="false" customHeight="false" outlineLevel="0" collapsed="false">
      <c r="A82" s="43"/>
      <c r="B82" s="23" t="str">
        <f aca="false">IF(K82="","",CHOOSE(WEEKDAY(K82,1),"الأحد","الاثنين","الثلاثاء","الأربعاء","الخميس","الجمعة","السبت")&amp;IF(OR(ISNUMBER(A82),LEN(TRIM(A82))&gt;=10),"","  "&amp;TEXT(DAY(K82),"00")&amp;"/"&amp;TEXT(MONTH(K82),"00")&amp;"/"&amp;YEAR(K82)))</f>
        <v/>
      </c>
      <c r="C82" s="24"/>
      <c r="D82" s="24"/>
      <c r="E82" s="44"/>
      <c r="F82" s="44"/>
      <c r="G82" s="44"/>
      <c r="H82" s="27"/>
      <c r="J82" s="0" t="n">
        <v>73</v>
      </c>
      <c r="K82" s="0" t="str">
        <f aca="true">IF(A82="","",IF(ISNUMBER(A82),IF(A82&gt;=36526,A82,""),IFERROR(DATE(VALUE(RIGHT(RIGHT(TRIM(A82),10),4)),VALUE(MID(RIGHT(TRIM(A82),10),4,2)),VALUE(LEFT(RIGHT(TRIM(A82),10),2))),IFERROR(TODAY()-MOD(WEEKDAY(TODAY(),1)-MATCH(TRIM(A82),{"الأحد","الاثنين","الثلاثاء","الأربعاء","الخميس","الجمعة","السبت"},0),7),IFERROR(DATEVALUE(A82),"")))))</f>
        <v/>
      </c>
      <c r="L82" s="0" t="str">
        <f aca="false">IF(K82="","",INT((K82-WEEK_ONE)/7)+1)</f>
        <v/>
      </c>
      <c r="M82" s="0" t="str">
        <f aca="false">IF(L82="","",IF(OR(L82&lt;1,L82&gt;NW),"",INDEX(WMON,L82)))</f>
        <v/>
      </c>
    </row>
    <row r="83" customFormat="false" ht="15" hidden="false" customHeight="false" outlineLevel="0" collapsed="false">
      <c r="A83" s="43"/>
      <c r="B83" s="23" t="str">
        <f aca="false">IF(K83="","",CHOOSE(WEEKDAY(K83,1),"الأحد","الاثنين","الثلاثاء","الأربعاء","الخميس","الجمعة","السبت")&amp;IF(OR(ISNUMBER(A83),LEN(TRIM(A83))&gt;=10),"","  "&amp;TEXT(DAY(K83),"00")&amp;"/"&amp;TEXT(MONTH(K83),"00")&amp;"/"&amp;YEAR(K83)))</f>
        <v/>
      </c>
      <c r="C83" s="24"/>
      <c r="D83" s="24"/>
      <c r="E83" s="44"/>
      <c r="F83" s="44"/>
      <c r="G83" s="44"/>
      <c r="H83" s="27"/>
      <c r="J83" s="0" t="n">
        <v>74</v>
      </c>
      <c r="K83" s="0" t="str">
        <f aca="true">IF(A83="","",IF(ISNUMBER(A83),IF(A83&gt;=36526,A83,""),IFERROR(DATE(VALUE(RIGHT(RIGHT(TRIM(A83),10),4)),VALUE(MID(RIGHT(TRIM(A83),10),4,2)),VALUE(LEFT(RIGHT(TRIM(A83),10),2))),IFERROR(TODAY()-MOD(WEEKDAY(TODAY(),1)-MATCH(TRIM(A83),{"الأحد","الاثنين","الثلاثاء","الأربعاء","الخميس","الجمعة","السبت"},0),7),IFERROR(DATEVALUE(A83),"")))))</f>
        <v/>
      </c>
      <c r="L83" s="0" t="str">
        <f aca="false">IF(K83="","",INT((K83-WEEK_ONE)/7)+1)</f>
        <v/>
      </c>
      <c r="M83" s="0" t="str">
        <f aca="false">IF(L83="","",IF(OR(L83&lt;1,L83&gt;NW),"",INDEX(WMON,L83)))</f>
        <v/>
      </c>
    </row>
    <row r="84" customFormat="false" ht="15" hidden="false" customHeight="false" outlineLevel="0" collapsed="false">
      <c r="A84" s="43"/>
      <c r="B84" s="23" t="str">
        <f aca="false">IF(K84="","",CHOOSE(WEEKDAY(K84,1),"الأحد","الاثنين","الثلاثاء","الأربعاء","الخميس","الجمعة","السبت")&amp;IF(OR(ISNUMBER(A84),LEN(TRIM(A84))&gt;=10),"","  "&amp;TEXT(DAY(K84),"00")&amp;"/"&amp;TEXT(MONTH(K84),"00")&amp;"/"&amp;YEAR(K84)))</f>
        <v/>
      </c>
      <c r="C84" s="24"/>
      <c r="D84" s="24"/>
      <c r="E84" s="44"/>
      <c r="F84" s="44"/>
      <c r="G84" s="44"/>
      <c r="H84" s="27"/>
      <c r="J84" s="0" t="n">
        <v>75</v>
      </c>
      <c r="K84" s="0" t="str">
        <f aca="true">IF(A84="","",IF(ISNUMBER(A84),IF(A84&gt;=36526,A84,""),IFERROR(DATE(VALUE(RIGHT(RIGHT(TRIM(A84),10),4)),VALUE(MID(RIGHT(TRIM(A84),10),4,2)),VALUE(LEFT(RIGHT(TRIM(A84),10),2))),IFERROR(TODAY()-MOD(WEEKDAY(TODAY(),1)-MATCH(TRIM(A84),{"الأحد","الاثنين","الثلاثاء","الأربعاء","الخميس","الجمعة","السبت"},0),7),IFERROR(DATEVALUE(A84),"")))))</f>
        <v/>
      </c>
      <c r="L84" s="0" t="str">
        <f aca="false">IF(K84="","",INT((K84-WEEK_ONE)/7)+1)</f>
        <v/>
      </c>
      <c r="M84" s="0" t="str">
        <f aca="false">IF(L84="","",IF(OR(L84&lt;1,L84&gt;NW),"",INDEX(WMON,L84)))</f>
        <v/>
      </c>
    </row>
    <row r="85" customFormat="false" ht="15" hidden="false" customHeight="false" outlineLevel="0" collapsed="false">
      <c r="A85" s="43"/>
      <c r="B85" s="23" t="str">
        <f aca="false">IF(K85="","",CHOOSE(WEEKDAY(K85,1),"الأحد","الاثنين","الثلاثاء","الأربعاء","الخميس","الجمعة","السبت")&amp;IF(OR(ISNUMBER(A85),LEN(TRIM(A85))&gt;=10),"","  "&amp;TEXT(DAY(K85),"00")&amp;"/"&amp;TEXT(MONTH(K85),"00")&amp;"/"&amp;YEAR(K85)))</f>
        <v/>
      </c>
      <c r="C85" s="24"/>
      <c r="D85" s="24"/>
      <c r="E85" s="44"/>
      <c r="F85" s="44"/>
      <c r="G85" s="44"/>
      <c r="H85" s="27"/>
      <c r="J85" s="0" t="n">
        <v>76</v>
      </c>
      <c r="K85" s="0" t="str">
        <f aca="true">IF(A85="","",IF(ISNUMBER(A85),IF(A85&gt;=36526,A85,""),IFERROR(DATE(VALUE(RIGHT(RIGHT(TRIM(A85),10),4)),VALUE(MID(RIGHT(TRIM(A85),10),4,2)),VALUE(LEFT(RIGHT(TRIM(A85),10),2))),IFERROR(TODAY()-MOD(WEEKDAY(TODAY(),1)-MATCH(TRIM(A85),{"الأحد","الاثنين","الثلاثاء","الأربعاء","الخميس","الجمعة","السبت"},0),7),IFERROR(DATEVALUE(A85),"")))))</f>
        <v/>
      </c>
      <c r="L85" s="0" t="str">
        <f aca="false">IF(K85="","",INT((K85-WEEK_ONE)/7)+1)</f>
        <v/>
      </c>
      <c r="M85" s="0" t="str">
        <f aca="false">IF(L85="","",IF(OR(L85&lt;1,L85&gt;NW),"",INDEX(WMON,L85)))</f>
        <v/>
      </c>
    </row>
    <row r="86" customFormat="false" ht="15" hidden="false" customHeight="false" outlineLevel="0" collapsed="false">
      <c r="A86" s="43"/>
      <c r="B86" s="23" t="str">
        <f aca="false">IF(K86="","",CHOOSE(WEEKDAY(K86,1),"الأحد","الاثنين","الثلاثاء","الأربعاء","الخميس","الجمعة","السبت")&amp;IF(OR(ISNUMBER(A86),LEN(TRIM(A86))&gt;=10),"","  "&amp;TEXT(DAY(K86),"00")&amp;"/"&amp;TEXT(MONTH(K86),"00")&amp;"/"&amp;YEAR(K86)))</f>
        <v/>
      </c>
      <c r="C86" s="24"/>
      <c r="D86" s="24"/>
      <c r="E86" s="44"/>
      <c r="F86" s="44"/>
      <c r="G86" s="44"/>
      <c r="H86" s="27"/>
      <c r="J86" s="0" t="n">
        <v>77</v>
      </c>
      <c r="K86" s="0" t="str">
        <f aca="true">IF(A86="","",IF(ISNUMBER(A86),IF(A86&gt;=36526,A86,""),IFERROR(DATE(VALUE(RIGHT(RIGHT(TRIM(A86),10),4)),VALUE(MID(RIGHT(TRIM(A86),10),4,2)),VALUE(LEFT(RIGHT(TRIM(A86),10),2))),IFERROR(TODAY()-MOD(WEEKDAY(TODAY(),1)-MATCH(TRIM(A86),{"الأحد","الاثنين","الثلاثاء","الأربعاء","الخميس","الجمعة","السبت"},0),7),IFERROR(DATEVALUE(A86),"")))))</f>
        <v/>
      </c>
      <c r="L86" s="0" t="str">
        <f aca="false">IF(K86="","",INT((K86-WEEK_ONE)/7)+1)</f>
        <v/>
      </c>
      <c r="M86" s="0" t="str">
        <f aca="false">IF(L86="","",IF(OR(L86&lt;1,L86&gt;NW),"",INDEX(WMON,L86)))</f>
        <v/>
      </c>
    </row>
    <row r="87" customFormat="false" ht="15" hidden="false" customHeight="false" outlineLevel="0" collapsed="false">
      <c r="A87" s="43"/>
      <c r="B87" s="23" t="str">
        <f aca="false">IF(K87="","",CHOOSE(WEEKDAY(K87,1),"الأحد","الاثنين","الثلاثاء","الأربعاء","الخميس","الجمعة","السبت")&amp;IF(OR(ISNUMBER(A87),LEN(TRIM(A87))&gt;=10),"","  "&amp;TEXT(DAY(K87),"00")&amp;"/"&amp;TEXT(MONTH(K87),"00")&amp;"/"&amp;YEAR(K87)))</f>
        <v/>
      </c>
      <c r="C87" s="24"/>
      <c r="D87" s="24"/>
      <c r="E87" s="44"/>
      <c r="F87" s="44"/>
      <c r="G87" s="44"/>
      <c r="H87" s="27"/>
      <c r="J87" s="0" t="n">
        <v>78</v>
      </c>
      <c r="K87" s="0" t="str">
        <f aca="true">IF(A87="","",IF(ISNUMBER(A87),IF(A87&gt;=36526,A87,""),IFERROR(DATE(VALUE(RIGHT(RIGHT(TRIM(A87),10),4)),VALUE(MID(RIGHT(TRIM(A87),10),4,2)),VALUE(LEFT(RIGHT(TRIM(A87),10),2))),IFERROR(TODAY()-MOD(WEEKDAY(TODAY(),1)-MATCH(TRIM(A87),{"الأحد","الاثنين","الثلاثاء","الأربعاء","الخميس","الجمعة","السبت"},0),7),IFERROR(DATEVALUE(A87),"")))))</f>
        <v/>
      </c>
      <c r="L87" s="0" t="str">
        <f aca="false">IF(K87="","",INT((K87-WEEK_ONE)/7)+1)</f>
        <v/>
      </c>
      <c r="M87" s="0" t="str">
        <f aca="false">IF(L87="","",IF(OR(L87&lt;1,L87&gt;NW),"",INDEX(WMON,L87)))</f>
        <v/>
      </c>
    </row>
    <row r="88" customFormat="false" ht="15" hidden="false" customHeight="false" outlineLevel="0" collapsed="false">
      <c r="A88" s="43"/>
      <c r="B88" s="23" t="str">
        <f aca="false">IF(K88="","",CHOOSE(WEEKDAY(K88,1),"الأحد","الاثنين","الثلاثاء","الأربعاء","الخميس","الجمعة","السبت")&amp;IF(OR(ISNUMBER(A88),LEN(TRIM(A88))&gt;=10),"","  "&amp;TEXT(DAY(K88),"00")&amp;"/"&amp;TEXT(MONTH(K88),"00")&amp;"/"&amp;YEAR(K88)))</f>
        <v/>
      </c>
      <c r="C88" s="24"/>
      <c r="D88" s="24"/>
      <c r="E88" s="44"/>
      <c r="F88" s="44"/>
      <c r="G88" s="44"/>
      <c r="H88" s="27"/>
      <c r="J88" s="0" t="n">
        <v>79</v>
      </c>
      <c r="K88" s="0" t="str">
        <f aca="true">IF(A88="","",IF(ISNUMBER(A88),IF(A88&gt;=36526,A88,""),IFERROR(DATE(VALUE(RIGHT(RIGHT(TRIM(A88),10),4)),VALUE(MID(RIGHT(TRIM(A88),10),4,2)),VALUE(LEFT(RIGHT(TRIM(A88),10),2))),IFERROR(TODAY()-MOD(WEEKDAY(TODAY(),1)-MATCH(TRIM(A88),{"الأحد","الاثنين","الثلاثاء","الأربعاء","الخميس","الجمعة","السبت"},0),7),IFERROR(DATEVALUE(A88),"")))))</f>
        <v/>
      </c>
      <c r="L88" s="0" t="str">
        <f aca="false">IF(K88="","",INT((K88-WEEK_ONE)/7)+1)</f>
        <v/>
      </c>
      <c r="M88" s="0" t="str">
        <f aca="false">IF(L88="","",IF(OR(L88&lt;1,L88&gt;NW),"",INDEX(WMON,L88)))</f>
        <v/>
      </c>
    </row>
    <row r="89" customFormat="false" ht="15" hidden="false" customHeight="false" outlineLevel="0" collapsed="false">
      <c r="A89" s="43"/>
      <c r="B89" s="23" t="str">
        <f aca="false">IF(K89="","",CHOOSE(WEEKDAY(K89,1),"الأحد","الاثنين","الثلاثاء","الأربعاء","الخميس","الجمعة","السبت")&amp;IF(OR(ISNUMBER(A89),LEN(TRIM(A89))&gt;=10),"","  "&amp;TEXT(DAY(K89),"00")&amp;"/"&amp;TEXT(MONTH(K89),"00")&amp;"/"&amp;YEAR(K89)))</f>
        <v/>
      </c>
      <c r="C89" s="24"/>
      <c r="D89" s="24"/>
      <c r="E89" s="44"/>
      <c r="F89" s="44"/>
      <c r="G89" s="44"/>
      <c r="H89" s="27"/>
      <c r="J89" s="0" t="n">
        <v>80</v>
      </c>
      <c r="K89" s="0" t="str">
        <f aca="true">IF(A89="","",IF(ISNUMBER(A89),IF(A89&gt;=36526,A89,""),IFERROR(DATE(VALUE(RIGHT(RIGHT(TRIM(A89),10),4)),VALUE(MID(RIGHT(TRIM(A89),10),4,2)),VALUE(LEFT(RIGHT(TRIM(A89),10),2))),IFERROR(TODAY()-MOD(WEEKDAY(TODAY(),1)-MATCH(TRIM(A89),{"الأحد","الاثنين","الثلاثاء","الأربعاء","الخميس","الجمعة","السبت"},0),7),IFERROR(DATEVALUE(A89),"")))))</f>
        <v/>
      </c>
      <c r="L89" s="0" t="str">
        <f aca="false">IF(K89="","",INT((K89-WEEK_ONE)/7)+1)</f>
        <v/>
      </c>
      <c r="M89" s="0" t="str">
        <f aca="false">IF(L89="","",IF(OR(L89&lt;1,L89&gt;NW),"",INDEX(WMON,L89)))</f>
        <v/>
      </c>
    </row>
    <row r="90" customFormat="false" ht="15" hidden="false" customHeight="false" outlineLevel="0" collapsed="false">
      <c r="A90" s="43"/>
      <c r="B90" s="23" t="str">
        <f aca="false">IF(K90="","",CHOOSE(WEEKDAY(K90,1),"الأحد","الاثنين","الثلاثاء","الأربعاء","الخميس","الجمعة","السبت")&amp;IF(OR(ISNUMBER(A90),LEN(TRIM(A90))&gt;=10),"","  "&amp;TEXT(DAY(K90),"00")&amp;"/"&amp;TEXT(MONTH(K90),"00")&amp;"/"&amp;YEAR(K90)))</f>
        <v/>
      </c>
      <c r="C90" s="24"/>
      <c r="D90" s="24"/>
      <c r="E90" s="44"/>
      <c r="F90" s="44"/>
      <c r="G90" s="44"/>
      <c r="H90" s="27"/>
      <c r="J90" s="0" t="n">
        <v>81</v>
      </c>
      <c r="K90" s="0" t="str">
        <f aca="true">IF(A90="","",IF(ISNUMBER(A90),IF(A90&gt;=36526,A90,""),IFERROR(DATE(VALUE(RIGHT(RIGHT(TRIM(A90),10),4)),VALUE(MID(RIGHT(TRIM(A90),10),4,2)),VALUE(LEFT(RIGHT(TRIM(A90),10),2))),IFERROR(TODAY()-MOD(WEEKDAY(TODAY(),1)-MATCH(TRIM(A90),{"الأحد","الاثنين","الثلاثاء","الأربعاء","الخميس","الجمعة","السبت"},0),7),IFERROR(DATEVALUE(A90),"")))))</f>
        <v/>
      </c>
      <c r="L90" s="0" t="str">
        <f aca="false">IF(K90="","",INT((K90-WEEK_ONE)/7)+1)</f>
        <v/>
      </c>
      <c r="M90" s="0" t="str">
        <f aca="false">IF(L90="","",IF(OR(L90&lt;1,L90&gt;NW),"",INDEX(WMON,L90)))</f>
        <v/>
      </c>
    </row>
    <row r="91" customFormat="false" ht="15" hidden="false" customHeight="false" outlineLevel="0" collapsed="false">
      <c r="A91" s="43"/>
      <c r="B91" s="23" t="str">
        <f aca="false">IF(K91="","",CHOOSE(WEEKDAY(K91,1),"الأحد","الاثنين","الثلاثاء","الأربعاء","الخميس","الجمعة","السبت")&amp;IF(OR(ISNUMBER(A91),LEN(TRIM(A91))&gt;=10),"","  "&amp;TEXT(DAY(K91),"00")&amp;"/"&amp;TEXT(MONTH(K91),"00")&amp;"/"&amp;YEAR(K91)))</f>
        <v/>
      </c>
      <c r="C91" s="24"/>
      <c r="D91" s="24"/>
      <c r="E91" s="44"/>
      <c r="F91" s="44"/>
      <c r="G91" s="44"/>
      <c r="H91" s="27"/>
      <c r="J91" s="0" t="n">
        <v>82</v>
      </c>
      <c r="K91" s="0" t="str">
        <f aca="true">IF(A91="","",IF(ISNUMBER(A91),IF(A91&gt;=36526,A91,""),IFERROR(DATE(VALUE(RIGHT(RIGHT(TRIM(A91),10),4)),VALUE(MID(RIGHT(TRIM(A91),10),4,2)),VALUE(LEFT(RIGHT(TRIM(A91),10),2))),IFERROR(TODAY()-MOD(WEEKDAY(TODAY(),1)-MATCH(TRIM(A91),{"الأحد","الاثنين","الثلاثاء","الأربعاء","الخميس","الجمعة","السبت"},0),7),IFERROR(DATEVALUE(A91),"")))))</f>
        <v/>
      </c>
      <c r="L91" s="0" t="str">
        <f aca="false">IF(K91="","",INT((K91-WEEK_ONE)/7)+1)</f>
        <v/>
      </c>
      <c r="M91" s="0" t="str">
        <f aca="false">IF(L91="","",IF(OR(L91&lt;1,L91&gt;NW),"",INDEX(WMON,L91)))</f>
        <v/>
      </c>
    </row>
    <row r="92" customFormat="false" ht="15" hidden="false" customHeight="false" outlineLevel="0" collapsed="false">
      <c r="A92" s="43"/>
      <c r="B92" s="23" t="str">
        <f aca="false">IF(K92="","",CHOOSE(WEEKDAY(K92,1),"الأحد","الاثنين","الثلاثاء","الأربعاء","الخميس","الجمعة","السبت")&amp;IF(OR(ISNUMBER(A92),LEN(TRIM(A92))&gt;=10),"","  "&amp;TEXT(DAY(K92),"00")&amp;"/"&amp;TEXT(MONTH(K92),"00")&amp;"/"&amp;YEAR(K92)))</f>
        <v/>
      </c>
      <c r="C92" s="24"/>
      <c r="D92" s="24"/>
      <c r="E92" s="44"/>
      <c r="F92" s="44"/>
      <c r="G92" s="44"/>
      <c r="H92" s="27"/>
      <c r="J92" s="0" t="n">
        <v>83</v>
      </c>
      <c r="K92" s="0" t="str">
        <f aca="true">IF(A92="","",IF(ISNUMBER(A92),IF(A92&gt;=36526,A92,""),IFERROR(DATE(VALUE(RIGHT(RIGHT(TRIM(A92),10),4)),VALUE(MID(RIGHT(TRIM(A92),10),4,2)),VALUE(LEFT(RIGHT(TRIM(A92),10),2))),IFERROR(TODAY()-MOD(WEEKDAY(TODAY(),1)-MATCH(TRIM(A92),{"الأحد","الاثنين","الثلاثاء","الأربعاء","الخميس","الجمعة","السبت"},0),7),IFERROR(DATEVALUE(A92),"")))))</f>
        <v/>
      </c>
      <c r="L92" s="0" t="str">
        <f aca="false">IF(K92="","",INT((K92-WEEK_ONE)/7)+1)</f>
        <v/>
      </c>
      <c r="M92" s="0" t="str">
        <f aca="false">IF(L92="","",IF(OR(L92&lt;1,L92&gt;NW),"",INDEX(WMON,L92)))</f>
        <v/>
      </c>
    </row>
    <row r="93" customFormat="false" ht="15" hidden="false" customHeight="false" outlineLevel="0" collapsed="false">
      <c r="A93" s="43"/>
      <c r="B93" s="23" t="str">
        <f aca="false">IF(K93="","",CHOOSE(WEEKDAY(K93,1),"الأحد","الاثنين","الثلاثاء","الأربعاء","الخميس","الجمعة","السبت")&amp;IF(OR(ISNUMBER(A93),LEN(TRIM(A93))&gt;=10),"","  "&amp;TEXT(DAY(K93),"00")&amp;"/"&amp;TEXT(MONTH(K93),"00")&amp;"/"&amp;YEAR(K93)))</f>
        <v/>
      </c>
      <c r="C93" s="24"/>
      <c r="D93" s="24"/>
      <c r="E93" s="44"/>
      <c r="F93" s="44"/>
      <c r="G93" s="44"/>
      <c r="H93" s="27"/>
      <c r="J93" s="0" t="n">
        <v>84</v>
      </c>
      <c r="K93" s="0" t="str">
        <f aca="true">IF(A93="","",IF(ISNUMBER(A93),IF(A93&gt;=36526,A93,""),IFERROR(DATE(VALUE(RIGHT(RIGHT(TRIM(A93),10),4)),VALUE(MID(RIGHT(TRIM(A93),10),4,2)),VALUE(LEFT(RIGHT(TRIM(A93),10),2))),IFERROR(TODAY()-MOD(WEEKDAY(TODAY(),1)-MATCH(TRIM(A93),{"الأحد","الاثنين","الثلاثاء","الأربعاء","الخميس","الجمعة","السبت"},0),7),IFERROR(DATEVALUE(A93),"")))))</f>
        <v/>
      </c>
      <c r="L93" s="0" t="str">
        <f aca="false">IF(K93="","",INT((K93-WEEK_ONE)/7)+1)</f>
        <v/>
      </c>
      <c r="M93" s="0" t="str">
        <f aca="false">IF(L93="","",IF(OR(L93&lt;1,L93&gt;NW),"",INDEX(WMON,L93)))</f>
        <v/>
      </c>
    </row>
    <row r="94" customFormat="false" ht="15" hidden="false" customHeight="false" outlineLevel="0" collapsed="false">
      <c r="A94" s="43"/>
      <c r="B94" s="23" t="str">
        <f aca="false">IF(K94="","",CHOOSE(WEEKDAY(K94,1),"الأحد","الاثنين","الثلاثاء","الأربعاء","الخميس","الجمعة","السبت")&amp;IF(OR(ISNUMBER(A94),LEN(TRIM(A94))&gt;=10),"","  "&amp;TEXT(DAY(K94),"00")&amp;"/"&amp;TEXT(MONTH(K94),"00")&amp;"/"&amp;YEAR(K94)))</f>
        <v/>
      </c>
      <c r="C94" s="24"/>
      <c r="D94" s="24"/>
      <c r="E94" s="44"/>
      <c r="F94" s="44"/>
      <c r="G94" s="44"/>
      <c r="H94" s="27"/>
      <c r="J94" s="0" t="n">
        <v>85</v>
      </c>
      <c r="K94" s="0" t="str">
        <f aca="true">IF(A94="","",IF(ISNUMBER(A94),IF(A94&gt;=36526,A94,""),IFERROR(DATE(VALUE(RIGHT(RIGHT(TRIM(A94),10),4)),VALUE(MID(RIGHT(TRIM(A94),10),4,2)),VALUE(LEFT(RIGHT(TRIM(A94),10),2))),IFERROR(TODAY()-MOD(WEEKDAY(TODAY(),1)-MATCH(TRIM(A94),{"الأحد","الاثنين","الثلاثاء","الأربعاء","الخميس","الجمعة","السبت"},0),7),IFERROR(DATEVALUE(A94),"")))))</f>
        <v/>
      </c>
      <c r="L94" s="0" t="str">
        <f aca="false">IF(K94="","",INT((K94-WEEK_ONE)/7)+1)</f>
        <v/>
      </c>
      <c r="M94" s="0" t="str">
        <f aca="false">IF(L94="","",IF(OR(L94&lt;1,L94&gt;NW),"",INDEX(WMON,L94)))</f>
        <v/>
      </c>
    </row>
    <row r="95" customFormat="false" ht="15" hidden="false" customHeight="false" outlineLevel="0" collapsed="false">
      <c r="A95" s="43"/>
      <c r="B95" s="23" t="str">
        <f aca="false">IF(K95="","",CHOOSE(WEEKDAY(K95,1),"الأحد","الاثنين","الثلاثاء","الأربعاء","الخميس","الجمعة","السبت")&amp;IF(OR(ISNUMBER(A95),LEN(TRIM(A95))&gt;=10),"","  "&amp;TEXT(DAY(K95),"00")&amp;"/"&amp;TEXT(MONTH(K95),"00")&amp;"/"&amp;YEAR(K95)))</f>
        <v/>
      </c>
      <c r="C95" s="24"/>
      <c r="D95" s="24"/>
      <c r="E95" s="44"/>
      <c r="F95" s="44"/>
      <c r="G95" s="44"/>
      <c r="H95" s="27"/>
      <c r="J95" s="0" t="n">
        <v>86</v>
      </c>
      <c r="K95" s="0" t="str">
        <f aca="true">IF(A95="","",IF(ISNUMBER(A95),IF(A95&gt;=36526,A95,""),IFERROR(DATE(VALUE(RIGHT(RIGHT(TRIM(A95),10),4)),VALUE(MID(RIGHT(TRIM(A95),10),4,2)),VALUE(LEFT(RIGHT(TRIM(A95),10),2))),IFERROR(TODAY()-MOD(WEEKDAY(TODAY(),1)-MATCH(TRIM(A95),{"الأحد","الاثنين","الثلاثاء","الأربعاء","الخميس","الجمعة","السبت"},0),7),IFERROR(DATEVALUE(A95),"")))))</f>
        <v/>
      </c>
      <c r="L95" s="0" t="str">
        <f aca="false">IF(K95="","",INT((K95-WEEK_ONE)/7)+1)</f>
        <v/>
      </c>
      <c r="M95" s="0" t="str">
        <f aca="false">IF(L95="","",IF(OR(L95&lt;1,L95&gt;NW),"",INDEX(WMON,L95)))</f>
        <v/>
      </c>
    </row>
    <row r="96" customFormat="false" ht="15" hidden="false" customHeight="false" outlineLevel="0" collapsed="false">
      <c r="A96" s="43"/>
      <c r="B96" s="23" t="str">
        <f aca="false">IF(K96="","",CHOOSE(WEEKDAY(K96,1),"الأحد","الاثنين","الثلاثاء","الأربعاء","الخميس","الجمعة","السبت")&amp;IF(OR(ISNUMBER(A96),LEN(TRIM(A96))&gt;=10),"","  "&amp;TEXT(DAY(K96),"00")&amp;"/"&amp;TEXT(MONTH(K96),"00")&amp;"/"&amp;YEAR(K96)))</f>
        <v/>
      </c>
      <c r="C96" s="24"/>
      <c r="D96" s="24"/>
      <c r="E96" s="44"/>
      <c r="F96" s="44"/>
      <c r="G96" s="44"/>
      <c r="H96" s="27"/>
      <c r="J96" s="0" t="n">
        <v>87</v>
      </c>
      <c r="K96" s="0" t="str">
        <f aca="true">IF(A96="","",IF(ISNUMBER(A96),IF(A96&gt;=36526,A96,""),IFERROR(DATE(VALUE(RIGHT(RIGHT(TRIM(A96),10),4)),VALUE(MID(RIGHT(TRIM(A96),10),4,2)),VALUE(LEFT(RIGHT(TRIM(A96),10),2))),IFERROR(TODAY()-MOD(WEEKDAY(TODAY(),1)-MATCH(TRIM(A96),{"الأحد","الاثنين","الثلاثاء","الأربعاء","الخميس","الجمعة","السبت"},0),7),IFERROR(DATEVALUE(A96),"")))))</f>
        <v/>
      </c>
      <c r="L96" s="0" t="str">
        <f aca="false">IF(K96="","",INT((K96-WEEK_ONE)/7)+1)</f>
        <v/>
      </c>
      <c r="M96" s="0" t="str">
        <f aca="false">IF(L96="","",IF(OR(L96&lt;1,L96&gt;NW),"",INDEX(WMON,L96)))</f>
        <v/>
      </c>
    </row>
    <row r="97" customFormat="false" ht="15" hidden="false" customHeight="false" outlineLevel="0" collapsed="false">
      <c r="A97" s="43"/>
      <c r="B97" s="23" t="str">
        <f aca="false">IF(K97="","",CHOOSE(WEEKDAY(K97,1),"الأحد","الاثنين","الثلاثاء","الأربعاء","الخميس","الجمعة","السبت")&amp;IF(OR(ISNUMBER(A97),LEN(TRIM(A97))&gt;=10),"","  "&amp;TEXT(DAY(K97),"00")&amp;"/"&amp;TEXT(MONTH(K97),"00")&amp;"/"&amp;YEAR(K97)))</f>
        <v/>
      </c>
      <c r="C97" s="24"/>
      <c r="D97" s="24"/>
      <c r="E97" s="44"/>
      <c r="F97" s="44"/>
      <c r="G97" s="44"/>
      <c r="H97" s="27"/>
      <c r="J97" s="0" t="n">
        <v>88</v>
      </c>
      <c r="K97" s="0" t="str">
        <f aca="true">IF(A97="","",IF(ISNUMBER(A97),IF(A97&gt;=36526,A97,""),IFERROR(DATE(VALUE(RIGHT(RIGHT(TRIM(A97),10),4)),VALUE(MID(RIGHT(TRIM(A97),10),4,2)),VALUE(LEFT(RIGHT(TRIM(A97),10),2))),IFERROR(TODAY()-MOD(WEEKDAY(TODAY(),1)-MATCH(TRIM(A97),{"الأحد","الاثنين","الثلاثاء","الأربعاء","الخميس","الجمعة","السبت"},0),7),IFERROR(DATEVALUE(A97),"")))))</f>
        <v/>
      </c>
      <c r="L97" s="0" t="str">
        <f aca="false">IF(K97="","",INT((K97-WEEK_ONE)/7)+1)</f>
        <v/>
      </c>
      <c r="M97" s="0" t="str">
        <f aca="false">IF(L97="","",IF(OR(L97&lt;1,L97&gt;NW),"",INDEX(WMON,L97)))</f>
        <v/>
      </c>
    </row>
    <row r="98" customFormat="false" ht="15" hidden="false" customHeight="false" outlineLevel="0" collapsed="false">
      <c r="A98" s="43"/>
      <c r="B98" s="23" t="str">
        <f aca="false">IF(K98="","",CHOOSE(WEEKDAY(K98,1),"الأحد","الاثنين","الثلاثاء","الأربعاء","الخميس","الجمعة","السبت")&amp;IF(OR(ISNUMBER(A98),LEN(TRIM(A98))&gt;=10),"","  "&amp;TEXT(DAY(K98),"00")&amp;"/"&amp;TEXT(MONTH(K98),"00")&amp;"/"&amp;YEAR(K98)))</f>
        <v/>
      </c>
      <c r="C98" s="24"/>
      <c r="D98" s="24"/>
      <c r="E98" s="44"/>
      <c r="F98" s="44"/>
      <c r="G98" s="44"/>
      <c r="H98" s="27"/>
      <c r="J98" s="0" t="n">
        <v>89</v>
      </c>
      <c r="K98" s="0" t="str">
        <f aca="true">IF(A98="","",IF(ISNUMBER(A98),IF(A98&gt;=36526,A98,""),IFERROR(DATE(VALUE(RIGHT(RIGHT(TRIM(A98),10),4)),VALUE(MID(RIGHT(TRIM(A98),10),4,2)),VALUE(LEFT(RIGHT(TRIM(A98),10),2))),IFERROR(TODAY()-MOD(WEEKDAY(TODAY(),1)-MATCH(TRIM(A98),{"الأحد","الاثنين","الثلاثاء","الأربعاء","الخميس","الجمعة","السبت"},0),7),IFERROR(DATEVALUE(A98),"")))))</f>
        <v/>
      </c>
      <c r="L98" s="0" t="str">
        <f aca="false">IF(K98="","",INT((K98-WEEK_ONE)/7)+1)</f>
        <v/>
      </c>
      <c r="M98" s="0" t="str">
        <f aca="false">IF(L98="","",IF(OR(L98&lt;1,L98&gt;NW),"",INDEX(WMON,L98)))</f>
        <v/>
      </c>
    </row>
    <row r="99" customFormat="false" ht="15" hidden="false" customHeight="false" outlineLevel="0" collapsed="false">
      <c r="A99" s="43"/>
      <c r="B99" s="23" t="str">
        <f aca="false">IF(K99="","",CHOOSE(WEEKDAY(K99,1),"الأحد","الاثنين","الثلاثاء","الأربعاء","الخميس","الجمعة","السبت")&amp;IF(OR(ISNUMBER(A99),LEN(TRIM(A99))&gt;=10),"","  "&amp;TEXT(DAY(K99),"00")&amp;"/"&amp;TEXT(MONTH(K99),"00")&amp;"/"&amp;YEAR(K99)))</f>
        <v/>
      </c>
      <c r="C99" s="24"/>
      <c r="D99" s="24"/>
      <c r="E99" s="44"/>
      <c r="F99" s="44"/>
      <c r="G99" s="44"/>
      <c r="H99" s="27"/>
      <c r="J99" s="0" t="n">
        <v>90</v>
      </c>
      <c r="K99" s="0" t="str">
        <f aca="true">IF(A99="","",IF(ISNUMBER(A99),IF(A99&gt;=36526,A99,""),IFERROR(DATE(VALUE(RIGHT(RIGHT(TRIM(A99),10),4)),VALUE(MID(RIGHT(TRIM(A99),10),4,2)),VALUE(LEFT(RIGHT(TRIM(A99),10),2))),IFERROR(TODAY()-MOD(WEEKDAY(TODAY(),1)-MATCH(TRIM(A99),{"الأحد","الاثنين","الثلاثاء","الأربعاء","الخميس","الجمعة","السبت"},0),7),IFERROR(DATEVALUE(A99),"")))))</f>
        <v/>
      </c>
      <c r="L99" s="0" t="str">
        <f aca="false">IF(K99="","",INT((K99-WEEK_ONE)/7)+1)</f>
        <v/>
      </c>
      <c r="M99" s="0" t="str">
        <f aca="false">IF(L99="","",IF(OR(L99&lt;1,L99&gt;NW),"",INDEX(WMON,L99)))</f>
        <v/>
      </c>
    </row>
    <row r="100" customFormat="false" ht="15" hidden="false" customHeight="false" outlineLevel="0" collapsed="false">
      <c r="A100" s="43"/>
      <c r="B100" s="23" t="str">
        <f aca="false">IF(K100="","",CHOOSE(WEEKDAY(K100,1),"الأحد","الاثنين","الثلاثاء","الأربعاء","الخميس","الجمعة","السبت")&amp;IF(OR(ISNUMBER(A100),LEN(TRIM(A100))&gt;=10),"","  "&amp;TEXT(DAY(K100),"00")&amp;"/"&amp;TEXT(MONTH(K100),"00")&amp;"/"&amp;YEAR(K100)))</f>
        <v/>
      </c>
      <c r="C100" s="24"/>
      <c r="D100" s="24"/>
      <c r="E100" s="44"/>
      <c r="F100" s="44"/>
      <c r="G100" s="44"/>
      <c r="H100" s="27"/>
      <c r="J100" s="0" t="n">
        <v>91</v>
      </c>
      <c r="K100" s="0" t="str">
        <f aca="true">IF(A100="","",IF(ISNUMBER(A100),IF(A100&gt;=36526,A100,""),IFERROR(DATE(VALUE(RIGHT(RIGHT(TRIM(A100),10),4)),VALUE(MID(RIGHT(TRIM(A100),10),4,2)),VALUE(LEFT(RIGHT(TRIM(A100),10),2))),IFERROR(TODAY()-MOD(WEEKDAY(TODAY(),1)-MATCH(TRIM(A100),{"الأحد","الاثنين","الثلاثاء","الأربعاء","الخميس","الجمعة","السبت"},0),7),IFERROR(DATEVALUE(A100),"")))))</f>
        <v/>
      </c>
      <c r="L100" s="0" t="str">
        <f aca="false">IF(K100="","",INT((K100-WEEK_ONE)/7)+1)</f>
        <v/>
      </c>
      <c r="M100" s="0" t="str">
        <f aca="false">IF(L100="","",IF(OR(L100&lt;1,L100&gt;NW),"",INDEX(WMON,L100)))</f>
        <v/>
      </c>
    </row>
    <row r="101" customFormat="false" ht="15" hidden="false" customHeight="false" outlineLevel="0" collapsed="false">
      <c r="A101" s="43"/>
      <c r="B101" s="23" t="str">
        <f aca="false">IF(K101="","",CHOOSE(WEEKDAY(K101,1),"الأحد","الاثنين","الثلاثاء","الأربعاء","الخميس","الجمعة","السبت")&amp;IF(OR(ISNUMBER(A101),LEN(TRIM(A101))&gt;=10),"","  "&amp;TEXT(DAY(K101),"00")&amp;"/"&amp;TEXT(MONTH(K101),"00")&amp;"/"&amp;YEAR(K101)))</f>
        <v/>
      </c>
      <c r="C101" s="24"/>
      <c r="D101" s="24"/>
      <c r="E101" s="44"/>
      <c r="F101" s="44"/>
      <c r="G101" s="44"/>
      <c r="H101" s="27"/>
      <c r="J101" s="0" t="n">
        <v>92</v>
      </c>
      <c r="K101" s="0" t="str">
        <f aca="true">IF(A101="","",IF(ISNUMBER(A101),IF(A101&gt;=36526,A101,""),IFERROR(DATE(VALUE(RIGHT(RIGHT(TRIM(A101),10),4)),VALUE(MID(RIGHT(TRIM(A101),10),4,2)),VALUE(LEFT(RIGHT(TRIM(A101),10),2))),IFERROR(TODAY()-MOD(WEEKDAY(TODAY(),1)-MATCH(TRIM(A101),{"الأحد","الاثنين","الثلاثاء","الأربعاء","الخميس","الجمعة","السبت"},0),7),IFERROR(DATEVALUE(A101),"")))))</f>
        <v/>
      </c>
      <c r="L101" s="0" t="str">
        <f aca="false">IF(K101="","",INT((K101-WEEK_ONE)/7)+1)</f>
        <v/>
      </c>
      <c r="M101" s="0" t="str">
        <f aca="false">IF(L101="","",IF(OR(L101&lt;1,L101&gt;NW),"",INDEX(WMON,L101)))</f>
        <v/>
      </c>
    </row>
    <row r="102" customFormat="false" ht="15" hidden="false" customHeight="false" outlineLevel="0" collapsed="false">
      <c r="A102" s="43"/>
      <c r="B102" s="23" t="str">
        <f aca="false">IF(K102="","",CHOOSE(WEEKDAY(K102,1),"الأحد","الاثنين","الثلاثاء","الأربعاء","الخميس","الجمعة","السبت")&amp;IF(OR(ISNUMBER(A102),LEN(TRIM(A102))&gt;=10),"","  "&amp;TEXT(DAY(K102),"00")&amp;"/"&amp;TEXT(MONTH(K102),"00")&amp;"/"&amp;YEAR(K102)))</f>
        <v/>
      </c>
      <c r="C102" s="24"/>
      <c r="D102" s="24"/>
      <c r="E102" s="44"/>
      <c r="F102" s="44"/>
      <c r="G102" s="44"/>
      <c r="H102" s="27"/>
      <c r="J102" s="0" t="n">
        <v>93</v>
      </c>
      <c r="K102" s="0" t="str">
        <f aca="true">IF(A102="","",IF(ISNUMBER(A102),IF(A102&gt;=36526,A102,""),IFERROR(DATE(VALUE(RIGHT(RIGHT(TRIM(A102),10),4)),VALUE(MID(RIGHT(TRIM(A102),10),4,2)),VALUE(LEFT(RIGHT(TRIM(A102),10),2))),IFERROR(TODAY()-MOD(WEEKDAY(TODAY(),1)-MATCH(TRIM(A102),{"الأحد","الاثنين","الثلاثاء","الأربعاء","الخميس","الجمعة","السبت"},0),7),IFERROR(DATEVALUE(A102),"")))))</f>
        <v/>
      </c>
      <c r="L102" s="0" t="str">
        <f aca="false">IF(K102="","",INT((K102-WEEK_ONE)/7)+1)</f>
        <v/>
      </c>
      <c r="M102" s="0" t="str">
        <f aca="false">IF(L102="","",IF(OR(L102&lt;1,L102&gt;NW),"",INDEX(WMON,L102)))</f>
        <v/>
      </c>
    </row>
    <row r="103" customFormat="false" ht="15" hidden="false" customHeight="false" outlineLevel="0" collapsed="false">
      <c r="A103" s="43"/>
      <c r="B103" s="23" t="str">
        <f aca="false">IF(K103="","",CHOOSE(WEEKDAY(K103,1),"الأحد","الاثنين","الثلاثاء","الأربعاء","الخميس","الجمعة","السبت")&amp;IF(OR(ISNUMBER(A103),LEN(TRIM(A103))&gt;=10),"","  "&amp;TEXT(DAY(K103),"00")&amp;"/"&amp;TEXT(MONTH(K103),"00")&amp;"/"&amp;YEAR(K103)))</f>
        <v/>
      </c>
      <c r="C103" s="24"/>
      <c r="D103" s="24"/>
      <c r="E103" s="44"/>
      <c r="F103" s="44"/>
      <c r="G103" s="44"/>
      <c r="H103" s="27"/>
      <c r="J103" s="0" t="n">
        <v>94</v>
      </c>
      <c r="K103" s="0" t="str">
        <f aca="true">IF(A103="","",IF(ISNUMBER(A103),IF(A103&gt;=36526,A103,""),IFERROR(DATE(VALUE(RIGHT(RIGHT(TRIM(A103),10),4)),VALUE(MID(RIGHT(TRIM(A103),10),4,2)),VALUE(LEFT(RIGHT(TRIM(A103),10),2))),IFERROR(TODAY()-MOD(WEEKDAY(TODAY(),1)-MATCH(TRIM(A103),{"الأحد","الاثنين","الثلاثاء","الأربعاء","الخميس","الجمعة","السبت"},0),7),IFERROR(DATEVALUE(A103),"")))))</f>
        <v/>
      </c>
      <c r="L103" s="0" t="str">
        <f aca="false">IF(K103="","",INT((K103-WEEK_ONE)/7)+1)</f>
        <v/>
      </c>
      <c r="M103" s="0" t="str">
        <f aca="false">IF(L103="","",IF(OR(L103&lt;1,L103&gt;NW),"",INDEX(WMON,L103)))</f>
        <v/>
      </c>
    </row>
    <row r="104" customFormat="false" ht="15" hidden="false" customHeight="false" outlineLevel="0" collapsed="false">
      <c r="A104" s="43"/>
      <c r="B104" s="23" t="str">
        <f aca="false">IF(K104="","",CHOOSE(WEEKDAY(K104,1),"الأحد","الاثنين","الثلاثاء","الأربعاء","الخميس","الجمعة","السبت")&amp;IF(OR(ISNUMBER(A104),LEN(TRIM(A104))&gt;=10),"","  "&amp;TEXT(DAY(K104),"00")&amp;"/"&amp;TEXT(MONTH(K104),"00")&amp;"/"&amp;YEAR(K104)))</f>
        <v/>
      </c>
      <c r="C104" s="24"/>
      <c r="D104" s="24"/>
      <c r="E104" s="44"/>
      <c r="F104" s="44"/>
      <c r="G104" s="44"/>
      <c r="H104" s="27"/>
      <c r="J104" s="0" t="n">
        <v>95</v>
      </c>
      <c r="K104" s="0" t="str">
        <f aca="true">IF(A104="","",IF(ISNUMBER(A104),IF(A104&gt;=36526,A104,""),IFERROR(DATE(VALUE(RIGHT(RIGHT(TRIM(A104),10),4)),VALUE(MID(RIGHT(TRIM(A104),10),4,2)),VALUE(LEFT(RIGHT(TRIM(A104),10),2))),IFERROR(TODAY()-MOD(WEEKDAY(TODAY(),1)-MATCH(TRIM(A104),{"الأحد","الاثنين","الثلاثاء","الأربعاء","الخميس","الجمعة","السبت"},0),7),IFERROR(DATEVALUE(A104),"")))))</f>
        <v/>
      </c>
      <c r="L104" s="0" t="str">
        <f aca="false">IF(K104="","",INT((K104-WEEK_ONE)/7)+1)</f>
        <v/>
      </c>
      <c r="M104" s="0" t="str">
        <f aca="false">IF(L104="","",IF(OR(L104&lt;1,L104&gt;NW),"",INDEX(WMON,L104)))</f>
        <v/>
      </c>
    </row>
    <row r="105" customFormat="false" ht="15" hidden="false" customHeight="false" outlineLevel="0" collapsed="false">
      <c r="A105" s="43"/>
      <c r="B105" s="23" t="str">
        <f aca="false">IF(K105="","",CHOOSE(WEEKDAY(K105,1),"الأحد","الاثنين","الثلاثاء","الأربعاء","الخميس","الجمعة","السبت")&amp;IF(OR(ISNUMBER(A105),LEN(TRIM(A105))&gt;=10),"","  "&amp;TEXT(DAY(K105),"00")&amp;"/"&amp;TEXT(MONTH(K105),"00")&amp;"/"&amp;YEAR(K105)))</f>
        <v/>
      </c>
      <c r="C105" s="24"/>
      <c r="D105" s="24"/>
      <c r="E105" s="44"/>
      <c r="F105" s="44"/>
      <c r="G105" s="44"/>
      <c r="H105" s="27"/>
      <c r="J105" s="0" t="n">
        <v>96</v>
      </c>
      <c r="K105" s="0" t="str">
        <f aca="true">IF(A105="","",IF(ISNUMBER(A105),IF(A105&gt;=36526,A105,""),IFERROR(DATE(VALUE(RIGHT(RIGHT(TRIM(A105),10),4)),VALUE(MID(RIGHT(TRIM(A105),10),4,2)),VALUE(LEFT(RIGHT(TRIM(A105),10),2))),IFERROR(TODAY()-MOD(WEEKDAY(TODAY(),1)-MATCH(TRIM(A105),{"الأحد","الاثنين","الثلاثاء","الأربعاء","الخميس","الجمعة","السبت"},0),7),IFERROR(DATEVALUE(A105),"")))))</f>
        <v/>
      </c>
      <c r="L105" s="0" t="str">
        <f aca="false">IF(K105="","",INT((K105-WEEK_ONE)/7)+1)</f>
        <v/>
      </c>
      <c r="M105" s="0" t="str">
        <f aca="false">IF(L105="","",IF(OR(L105&lt;1,L105&gt;NW),"",INDEX(WMON,L105)))</f>
        <v/>
      </c>
    </row>
    <row r="106" customFormat="false" ht="15" hidden="false" customHeight="false" outlineLevel="0" collapsed="false">
      <c r="A106" s="43"/>
      <c r="B106" s="23" t="str">
        <f aca="false">IF(K106="","",CHOOSE(WEEKDAY(K106,1),"الأحد","الاثنين","الثلاثاء","الأربعاء","الخميس","الجمعة","السبت")&amp;IF(OR(ISNUMBER(A106),LEN(TRIM(A106))&gt;=10),"","  "&amp;TEXT(DAY(K106),"00")&amp;"/"&amp;TEXT(MONTH(K106),"00")&amp;"/"&amp;YEAR(K106)))</f>
        <v/>
      </c>
      <c r="C106" s="24"/>
      <c r="D106" s="24"/>
      <c r="E106" s="44"/>
      <c r="F106" s="44"/>
      <c r="G106" s="44"/>
      <c r="H106" s="27"/>
      <c r="J106" s="0" t="n">
        <v>97</v>
      </c>
      <c r="K106" s="0" t="str">
        <f aca="true">IF(A106="","",IF(ISNUMBER(A106),IF(A106&gt;=36526,A106,""),IFERROR(DATE(VALUE(RIGHT(RIGHT(TRIM(A106),10),4)),VALUE(MID(RIGHT(TRIM(A106),10),4,2)),VALUE(LEFT(RIGHT(TRIM(A106),10),2))),IFERROR(TODAY()-MOD(WEEKDAY(TODAY(),1)-MATCH(TRIM(A106),{"الأحد","الاثنين","الثلاثاء","الأربعاء","الخميس","الجمعة","السبت"},0),7),IFERROR(DATEVALUE(A106),"")))))</f>
        <v/>
      </c>
      <c r="L106" s="0" t="str">
        <f aca="false">IF(K106="","",INT((K106-WEEK_ONE)/7)+1)</f>
        <v/>
      </c>
      <c r="M106" s="0" t="str">
        <f aca="false">IF(L106="","",IF(OR(L106&lt;1,L106&gt;NW),"",INDEX(WMON,L106)))</f>
        <v/>
      </c>
    </row>
    <row r="107" customFormat="false" ht="15" hidden="false" customHeight="false" outlineLevel="0" collapsed="false">
      <c r="A107" s="43"/>
      <c r="B107" s="23" t="str">
        <f aca="false">IF(K107="","",CHOOSE(WEEKDAY(K107,1),"الأحد","الاثنين","الثلاثاء","الأربعاء","الخميس","الجمعة","السبت")&amp;IF(OR(ISNUMBER(A107),LEN(TRIM(A107))&gt;=10),"","  "&amp;TEXT(DAY(K107),"00")&amp;"/"&amp;TEXT(MONTH(K107),"00")&amp;"/"&amp;YEAR(K107)))</f>
        <v/>
      </c>
      <c r="C107" s="24"/>
      <c r="D107" s="24"/>
      <c r="E107" s="44"/>
      <c r="F107" s="44"/>
      <c r="G107" s="44"/>
      <c r="H107" s="27"/>
      <c r="J107" s="0" t="n">
        <v>98</v>
      </c>
      <c r="K107" s="0" t="str">
        <f aca="true">IF(A107="","",IF(ISNUMBER(A107),IF(A107&gt;=36526,A107,""),IFERROR(DATE(VALUE(RIGHT(RIGHT(TRIM(A107),10),4)),VALUE(MID(RIGHT(TRIM(A107),10),4,2)),VALUE(LEFT(RIGHT(TRIM(A107),10),2))),IFERROR(TODAY()-MOD(WEEKDAY(TODAY(),1)-MATCH(TRIM(A107),{"الأحد","الاثنين","الثلاثاء","الأربعاء","الخميس","الجمعة","السبت"},0),7),IFERROR(DATEVALUE(A107),"")))))</f>
        <v/>
      </c>
      <c r="L107" s="0" t="str">
        <f aca="false">IF(K107="","",INT((K107-WEEK_ONE)/7)+1)</f>
        <v/>
      </c>
      <c r="M107" s="0" t="str">
        <f aca="false">IF(L107="","",IF(OR(L107&lt;1,L107&gt;NW),"",INDEX(WMON,L107)))</f>
        <v/>
      </c>
    </row>
    <row r="108" customFormat="false" ht="15" hidden="false" customHeight="false" outlineLevel="0" collapsed="false">
      <c r="A108" s="43"/>
      <c r="B108" s="23" t="str">
        <f aca="false">IF(K108="","",CHOOSE(WEEKDAY(K108,1),"الأحد","الاثنين","الثلاثاء","الأربعاء","الخميس","الجمعة","السبت")&amp;IF(OR(ISNUMBER(A108),LEN(TRIM(A108))&gt;=10),"","  "&amp;TEXT(DAY(K108),"00")&amp;"/"&amp;TEXT(MONTH(K108),"00")&amp;"/"&amp;YEAR(K108)))</f>
        <v/>
      </c>
      <c r="C108" s="24"/>
      <c r="D108" s="24"/>
      <c r="E108" s="44"/>
      <c r="F108" s="44"/>
      <c r="G108" s="44"/>
      <c r="H108" s="27"/>
      <c r="J108" s="0" t="n">
        <v>99</v>
      </c>
      <c r="K108" s="0" t="str">
        <f aca="true">IF(A108="","",IF(ISNUMBER(A108),IF(A108&gt;=36526,A108,""),IFERROR(DATE(VALUE(RIGHT(RIGHT(TRIM(A108),10),4)),VALUE(MID(RIGHT(TRIM(A108),10),4,2)),VALUE(LEFT(RIGHT(TRIM(A108),10),2))),IFERROR(TODAY()-MOD(WEEKDAY(TODAY(),1)-MATCH(TRIM(A108),{"الأحد","الاثنين","الثلاثاء","الأربعاء","الخميس","الجمعة","السبت"},0),7),IFERROR(DATEVALUE(A108),"")))))</f>
        <v/>
      </c>
      <c r="L108" s="0" t="str">
        <f aca="false">IF(K108="","",INT((K108-WEEK_ONE)/7)+1)</f>
        <v/>
      </c>
      <c r="M108" s="0" t="str">
        <f aca="false">IF(L108="","",IF(OR(L108&lt;1,L108&gt;NW),"",INDEX(WMON,L108)))</f>
        <v/>
      </c>
    </row>
    <row r="109" customFormat="false" ht="15" hidden="false" customHeight="false" outlineLevel="0" collapsed="false">
      <c r="A109" s="43"/>
      <c r="B109" s="23" t="str">
        <f aca="false">IF(K109="","",CHOOSE(WEEKDAY(K109,1),"الأحد","الاثنين","الثلاثاء","الأربعاء","الخميس","الجمعة","السبت")&amp;IF(OR(ISNUMBER(A109),LEN(TRIM(A109))&gt;=10),"","  "&amp;TEXT(DAY(K109),"00")&amp;"/"&amp;TEXT(MONTH(K109),"00")&amp;"/"&amp;YEAR(K109)))</f>
        <v/>
      </c>
      <c r="C109" s="24"/>
      <c r="D109" s="24"/>
      <c r="E109" s="44"/>
      <c r="F109" s="44"/>
      <c r="G109" s="44"/>
      <c r="H109" s="27"/>
      <c r="J109" s="0" t="n">
        <v>100</v>
      </c>
      <c r="K109" s="0" t="str">
        <f aca="true">IF(A109="","",IF(ISNUMBER(A109),IF(A109&gt;=36526,A109,""),IFERROR(DATE(VALUE(RIGHT(RIGHT(TRIM(A109),10),4)),VALUE(MID(RIGHT(TRIM(A109),10),4,2)),VALUE(LEFT(RIGHT(TRIM(A109),10),2))),IFERROR(TODAY()-MOD(WEEKDAY(TODAY(),1)-MATCH(TRIM(A109),{"الأحد","الاثنين","الثلاثاء","الأربعاء","الخميس","الجمعة","السبت"},0),7),IFERROR(DATEVALUE(A109),"")))))</f>
        <v/>
      </c>
      <c r="L109" s="0" t="str">
        <f aca="false">IF(K109="","",INT((K109-WEEK_ONE)/7)+1)</f>
        <v/>
      </c>
      <c r="M109" s="0" t="str">
        <f aca="false">IF(L109="","",IF(OR(L109&lt;1,L109&gt;NW),"",INDEX(WMON,L109)))</f>
        <v/>
      </c>
    </row>
    <row r="110" customFormat="false" ht="15" hidden="false" customHeight="false" outlineLevel="0" collapsed="false">
      <c r="A110" s="43"/>
      <c r="B110" s="23" t="str">
        <f aca="false">IF(K110="","",CHOOSE(WEEKDAY(K110,1),"الأحد","الاثنين","الثلاثاء","الأربعاء","الخميس","الجمعة","السبت")&amp;IF(OR(ISNUMBER(A110),LEN(TRIM(A110))&gt;=10),"","  "&amp;TEXT(DAY(K110),"00")&amp;"/"&amp;TEXT(MONTH(K110),"00")&amp;"/"&amp;YEAR(K110)))</f>
        <v/>
      </c>
      <c r="C110" s="24"/>
      <c r="D110" s="24"/>
      <c r="E110" s="44"/>
      <c r="F110" s="44"/>
      <c r="G110" s="44"/>
      <c r="H110" s="27"/>
      <c r="J110" s="0" t="n">
        <v>101</v>
      </c>
      <c r="K110" s="0" t="str">
        <f aca="true">IF(A110="","",IF(ISNUMBER(A110),IF(A110&gt;=36526,A110,""),IFERROR(DATE(VALUE(RIGHT(RIGHT(TRIM(A110),10),4)),VALUE(MID(RIGHT(TRIM(A110),10),4,2)),VALUE(LEFT(RIGHT(TRIM(A110),10),2))),IFERROR(TODAY()-MOD(WEEKDAY(TODAY(),1)-MATCH(TRIM(A110),{"الأحد","الاثنين","الثلاثاء","الأربعاء","الخميس","الجمعة","السبت"},0),7),IFERROR(DATEVALUE(A110),"")))))</f>
        <v/>
      </c>
      <c r="L110" s="0" t="str">
        <f aca="false">IF(K110="","",INT((K110-WEEK_ONE)/7)+1)</f>
        <v/>
      </c>
      <c r="M110" s="0" t="str">
        <f aca="false">IF(L110="","",IF(OR(L110&lt;1,L110&gt;NW),"",INDEX(WMON,L110)))</f>
        <v/>
      </c>
    </row>
    <row r="111" customFormat="false" ht="15" hidden="false" customHeight="false" outlineLevel="0" collapsed="false">
      <c r="A111" s="43"/>
      <c r="B111" s="23" t="str">
        <f aca="false">IF(K111="","",CHOOSE(WEEKDAY(K111,1),"الأحد","الاثنين","الثلاثاء","الأربعاء","الخميس","الجمعة","السبت")&amp;IF(OR(ISNUMBER(A111),LEN(TRIM(A111))&gt;=10),"","  "&amp;TEXT(DAY(K111),"00")&amp;"/"&amp;TEXT(MONTH(K111),"00")&amp;"/"&amp;YEAR(K111)))</f>
        <v/>
      </c>
      <c r="C111" s="24"/>
      <c r="D111" s="24"/>
      <c r="E111" s="44"/>
      <c r="F111" s="44"/>
      <c r="G111" s="44"/>
      <c r="H111" s="27"/>
      <c r="J111" s="0" t="n">
        <v>102</v>
      </c>
      <c r="K111" s="0" t="str">
        <f aca="true">IF(A111="","",IF(ISNUMBER(A111),IF(A111&gt;=36526,A111,""),IFERROR(DATE(VALUE(RIGHT(RIGHT(TRIM(A111),10),4)),VALUE(MID(RIGHT(TRIM(A111),10),4,2)),VALUE(LEFT(RIGHT(TRIM(A111),10),2))),IFERROR(TODAY()-MOD(WEEKDAY(TODAY(),1)-MATCH(TRIM(A111),{"الأحد","الاثنين","الثلاثاء","الأربعاء","الخميس","الجمعة","السبت"},0),7),IFERROR(DATEVALUE(A111),"")))))</f>
        <v/>
      </c>
      <c r="L111" s="0" t="str">
        <f aca="false">IF(K111="","",INT((K111-WEEK_ONE)/7)+1)</f>
        <v/>
      </c>
      <c r="M111" s="0" t="str">
        <f aca="false">IF(L111="","",IF(OR(L111&lt;1,L111&gt;NW),"",INDEX(WMON,L111)))</f>
        <v/>
      </c>
    </row>
    <row r="112" customFormat="false" ht="15" hidden="false" customHeight="false" outlineLevel="0" collapsed="false">
      <c r="A112" s="43"/>
      <c r="B112" s="23" t="str">
        <f aca="false">IF(K112="","",CHOOSE(WEEKDAY(K112,1),"الأحد","الاثنين","الثلاثاء","الأربعاء","الخميس","الجمعة","السبت")&amp;IF(OR(ISNUMBER(A112),LEN(TRIM(A112))&gt;=10),"","  "&amp;TEXT(DAY(K112),"00")&amp;"/"&amp;TEXT(MONTH(K112),"00")&amp;"/"&amp;YEAR(K112)))</f>
        <v/>
      </c>
      <c r="C112" s="24"/>
      <c r="D112" s="24"/>
      <c r="E112" s="44"/>
      <c r="F112" s="44"/>
      <c r="G112" s="44"/>
      <c r="H112" s="27"/>
      <c r="J112" s="0" t="n">
        <v>103</v>
      </c>
      <c r="K112" s="0" t="str">
        <f aca="true">IF(A112="","",IF(ISNUMBER(A112),IF(A112&gt;=36526,A112,""),IFERROR(DATE(VALUE(RIGHT(RIGHT(TRIM(A112),10),4)),VALUE(MID(RIGHT(TRIM(A112),10),4,2)),VALUE(LEFT(RIGHT(TRIM(A112),10),2))),IFERROR(TODAY()-MOD(WEEKDAY(TODAY(),1)-MATCH(TRIM(A112),{"الأحد","الاثنين","الثلاثاء","الأربعاء","الخميس","الجمعة","السبت"},0),7),IFERROR(DATEVALUE(A112),"")))))</f>
        <v/>
      </c>
      <c r="L112" s="0" t="str">
        <f aca="false">IF(K112="","",INT((K112-WEEK_ONE)/7)+1)</f>
        <v/>
      </c>
      <c r="M112" s="0" t="str">
        <f aca="false">IF(L112="","",IF(OR(L112&lt;1,L112&gt;NW),"",INDEX(WMON,L112)))</f>
        <v/>
      </c>
    </row>
    <row r="113" customFormat="false" ht="15" hidden="false" customHeight="false" outlineLevel="0" collapsed="false">
      <c r="A113" s="43"/>
      <c r="B113" s="23" t="str">
        <f aca="false">IF(K113="","",CHOOSE(WEEKDAY(K113,1),"الأحد","الاثنين","الثلاثاء","الأربعاء","الخميس","الجمعة","السبت")&amp;IF(OR(ISNUMBER(A113),LEN(TRIM(A113))&gt;=10),"","  "&amp;TEXT(DAY(K113),"00")&amp;"/"&amp;TEXT(MONTH(K113),"00")&amp;"/"&amp;YEAR(K113)))</f>
        <v/>
      </c>
      <c r="C113" s="24"/>
      <c r="D113" s="24"/>
      <c r="E113" s="44"/>
      <c r="F113" s="44"/>
      <c r="G113" s="44"/>
      <c r="H113" s="27"/>
      <c r="J113" s="0" t="n">
        <v>104</v>
      </c>
      <c r="K113" s="0" t="str">
        <f aca="true">IF(A113="","",IF(ISNUMBER(A113),IF(A113&gt;=36526,A113,""),IFERROR(DATE(VALUE(RIGHT(RIGHT(TRIM(A113),10),4)),VALUE(MID(RIGHT(TRIM(A113),10),4,2)),VALUE(LEFT(RIGHT(TRIM(A113),10),2))),IFERROR(TODAY()-MOD(WEEKDAY(TODAY(),1)-MATCH(TRIM(A113),{"الأحد","الاثنين","الثلاثاء","الأربعاء","الخميس","الجمعة","السبت"},0),7),IFERROR(DATEVALUE(A113),"")))))</f>
        <v/>
      </c>
      <c r="L113" s="0" t="str">
        <f aca="false">IF(K113="","",INT((K113-WEEK_ONE)/7)+1)</f>
        <v/>
      </c>
      <c r="M113" s="0" t="str">
        <f aca="false">IF(L113="","",IF(OR(L113&lt;1,L113&gt;NW),"",INDEX(WMON,L113)))</f>
        <v/>
      </c>
    </row>
    <row r="114" customFormat="false" ht="15" hidden="false" customHeight="false" outlineLevel="0" collapsed="false">
      <c r="A114" s="43"/>
      <c r="B114" s="23" t="str">
        <f aca="false">IF(K114="","",CHOOSE(WEEKDAY(K114,1),"الأحد","الاثنين","الثلاثاء","الأربعاء","الخميس","الجمعة","السبت")&amp;IF(OR(ISNUMBER(A114),LEN(TRIM(A114))&gt;=10),"","  "&amp;TEXT(DAY(K114),"00")&amp;"/"&amp;TEXT(MONTH(K114),"00")&amp;"/"&amp;YEAR(K114)))</f>
        <v/>
      </c>
      <c r="C114" s="24"/>
      <c r="D114" s="24"/>
      <c r="E114" s="44"/>
      <c r="F114" s="44"/>
      <c r="G114" s="44"/>
      <c r="H114" s="27"/>
      <c r="J114" s="0" t="n">
        <v>105</v>
      </c>
      <c r="K114" s="0" t="str">
        <f aca="true">IF(A114="","",IF(ISNUMBER(A114),IF(A114&gt;=36526,A114,""),IFERROR(DATE(VALUE(RIGHT(RIGHT(TRIM(A114),10),4)),VALUE(MID(RIGHT(TRIM(A114),10),4,2)),VALUE(LEFT(RIGHT(TRIM(A114),10),2))),IFERROR(TODAY()-MOD(WEEKDAY(TODAY(),1)-MATCH(TRIM(A114),{"الأحد","الاثنين","الثلاثاء","الأربعاء","الخميس","الجمعة","السبت"},0),7),IFERROR(DATEVALUE(A114),"")))))</f>
        <v/>
      </c>
      <c r="L114" s="0" t="str">
        <f aca="false">IF(K114="","",INT((K114-WEEK_ONE)/7)+1)</f>
        <v/>
      </c>
      <c r="M114" s="0" t="str">
        <f aca="false">IF(L114="","",IF(OR(L114&lt;1,L114&gt;NW),"",INDEX(WMON,L114)))</f>
        <v/>
      </c>
    </row>
    <row r="115" customFormat="false" ht="15" hidden="false" customHeight="false" outlineLevel="0" collapsed="false">
      <c r="A115" s="43"/>
      <c r="B115" s="23" t="str">
        <f aca="false">IF(K115="","",CHOOSE(WEEKDAY(K115,1),"الأحد","الاثنين","الثلاثاء","الأربعاء","الخميس","الجمعة","السبت")&amp;IF(OR(ISNUMBER(A115),LEN(TRIM(A115))&gt;=10),"","  "&amp;TEXT(DAY(K115),"00")&amp;"/"&amp;TEXT(MONTH(K115),"00")&amp;"/"&amp;YEAR(K115)))</f>
        <v/>
      </c>
      <c r="C115" s="24"/>
      <c r="D115" s="24"/>
      <c r="E115" s="44"/>
      <c r="F115" s="44"/>
      <c r="G115" s="44"/>
      <c r="H115" s="27"/>
      <c r="J115" s="0" t="n">
        <v>106</v>
      </c>
      <c r="K115" s="0" t="str">
        <f aca="true">IF(A115="","",IF(ISNUMBER(A115),IF(A115&gt;=36526,A115,""),IFERROR(DATE(VALUE(RIGHT(RIGHT(TRIM(A115),10),4)),VALUE(MID(RIGHT(TRIM(A115),10),4,2)),VALUE(LEFT(RIGHT(TRIM(A115),10),2))),IFERROR(TODAY()-MOD(WEEKDAY(TODAY(),1)-MATCH(TRIM(A115),{"الأحد","الاثنين","الثلاثاء","الأربعاء","الخميس","الجمعة","السبت"},0),7),IFERROR(DATEVALUE(A115),"")))))</f>
        <v/>
      </c>
      <c r="L115" s="0" t="str">
        <f aca="false">IF(K115="","",INT((K115-WEEK_ONE)/7)+1)</f>
        <v/>
      </c>
      <c r="M115" s="0" t="str">
        <f aca="false">IF(L115="","",IF(OR(L115&lt;1,L115&gt;NW),"",INDEX(WMON,L115)))</f>
        <v/>
      </c>
    </row>
    <row r="116" customFormat="false" ht="15" hidden="false" customHeight="false" outlineLevel="0" collapsed="false">
      <c r="A116" s="43"/>
      <c r="B116" s="23" t="str">
        <f aca="false">IF(K116="","",CHOOSE(WEEKDAY(K116,1),"الأحد","الاثنين","الثلاثاء","الأربعاء","الخميس","الجمعة","السبت")&amp;IF(OR(ISNUMBER(A116),LEN(TRIM(A116))&gt;=10),"","  "&amp;TEXT(DAY(K116),"00")&amp;"/"&amp;TEXT(MONTH(K116),"00")&amp;"/"&amp;YEAR(K116)))</f>
        <v/>
      </c>
      <c r="C116" s="24"/>
      <c r="D116" s="24"/>
      <c r="E116" s="44"/>
      <c r="F116" s="44"/>
      <c r="G116" s="44"/>
      <c r="H116" s="27"/>
      <c r="J116" s="0" t="n">
        <v>107</v>
      </c>
      <c r="K116" s="0" t="str">
        <f aca="true">IF(A116="","",IF(ISNUMBER(A116),IF(A116&gt;=36526,A116,""),IFERROR(DATE(VALUE(RIGHT(RIGHT(TRIM(A116),10),4)),VALUE(MID(RIGHT(TRIM(A116),10),4,2)),VALUE(LEFT(RIGHT(TRIM(A116),10),2))),IFERROR(TODAY()-MOD(WEEKDAY(TODAY(),1)-MATCH(TRIM(A116),{"الأحد","الاثنين","الثلاثاء","الأربعاء","الخميس","الجمعة","السبت"},0),7),IFERROR(DATEVALUE(A116),"")))))</f>
        <v/>
      </c>
      <c r="L116" s="0" t="str">
        <f aca="false">IF(K116="","",INT((K116-WEEK_ONE)/7)+1)</f>
        <v/>
      </c>
      <c r="M116" s="0" t="str">
        <f aca="false">IF(L116="","",IF(OR(L116&lt;1,L116&gt;NW),"",INDEX(WMON,L116)))</f>
        <v/>
      </c>
    </row>
    <row r="117" customFormat="false" ht="15" hidden="false" customHeight="false" outlineLevel="0" collapsed="false">
      <c r="A117" s="43"/>
      <c r="B117" s="23" t="str">
        <f aca="false">IF(K117="","",CHOOSE(WEEKDAY(K117,1),"الأحد","الاثنين","الثلاثاء","الأربعاء","الخميس","الجمعة","السبت")&amp;IF(OR(ISNUMBER(A117),LEN(TRIM(A117))&gt;=10),"","  "&amp;TEXT(DAY(K117),"00")&amp;"/"&amp;TEXT(MONTH(K117),"00")&amp;"/"&amp;YEAR(K117)))</f>
        <v/>
      </c>
      <c r="C117" s="24"/>
      <c r="D117" s="24"/>
      <c r="E117" s="44"/>
      <c r="F117" s="44"/>
      <c r="G117" s="44"/>
      <c r="H117" s="27"/>
      <c r="J117" s="0" t="n">
        <v>108</v>
      </c>
      <c r="K117" s="0" t="str">
        <f aca="true">IF(A117="","",IF(ISNUMBER(A117),IF(A117&gt;=36526,A117,""),IFERROR(DATE(VALUE(RIGHT(RIGHT(TRIM(A117),10),4)),VALUE(MID(RIGHT(TRIM(A117),10),4,2)),VALUE(LEFT(RIGHT(TRIM(A117),10),2))),IFERROR(TODAY()-MOD(WEEKDAY(TODAY(),1)-MATCH(TRIM(A117),{"الأحد","الاثنين","الثلاثاء","الأربعاء","الخميس","الجمعة","السبت"},0),7),IFERROR(DATEVALUE(A117),"")))))</f>
        <v/>
      </c>
      <c r="L117" s="0" t="str">
        <f aca="false">IF(K117="","",INT((K117-WEEK_ONE)/7)+1)</f>
        <v/>
      </c>
      <c r="M117" s="0" t="str">
        <f aca="false">IF(L117="","",IF(OR(L117&lt;1,L117&gt;NW),"",INDEX(WMON,L117)))</f>
        <v/>
      </c>
    </row>
    <row r="118" customFormat="false" ht="15" hidden="false" customHeight="false" outlineLevel="0" collapsed="false">
      <c r="A118" s="43"/>
      <c r="B118" s="23" t="str">
        <f aca="false">IF(K118="","",CHOOSE(WEEKDAY(K118,1),"الأحد","الاثنين","الثلاثاء","الأربعاء","الخميس","الجمعة","السبت")&amp;IF(OR(ISNUMBER(A118),LEN(TRIM(A118))&gt;=10),"","  "&amp;TEXT(DAY(K118),"00")&amp;"/"&amp;TEXT(MONTH(K118),"00")&amp;"/"&amp;YEAR(K118)))</f>
        <v/>
      </c>
      <c r="C118" s="24"/>
      <c r="D118" s="24"/>
      <c r="E118" s="44"/>
      <c r="F118" s="44"/>
      <c r="G118" s="44"/>
      <c r="H118" s="27"/>
      <c r="J118" s="0" t="n">
        <v>109</v>
      </c>
      <c r="K118" s="0" t="str">
        <f aca="true">IF(A118="","",IF(ISNUMBER(A118),IF(A118&gt;=36526,A118,""),IFERROR(DATE(VALUE(RIGHT(RIGHT(TRIM(A118),10),4)),VALUE(MID(RIGHT(TRIM(A118),10),4,2)),VALUE(LEFT(RIGHT(TRIM(A118),10),2))),IFERROR(TODAY()-MOD(WEEKDAY(TODAY(),1)-MATCH(TRIM(A118),{"الأحد","الاثنين","الثلاثاء","الأربعاء","الخميس","الجمعة","السبت"},0),7),IFERROR(DATEVALUE(A118),"")))))</f>
        <v/>
      </c>
      <c r="L118" s="0" t="str">
        <f aca="false">IF(K118="","",INT((K118-WEEK_ONE)/7)+1)</f>
        <v/>
      </c>
      <c r="M118" s="0" t="str">
        <f aca="false">IF(L118="","",IF(OR(L118&lt;1,L118&gt;NW),"",INDEX(WMON,L118)))</f>
        <v/>
      </c>
    </row>
    <row r="119" customFormat="false" ht="15" hidden="false" customHeight="false" outlineLevel="0" collapsed="false">
      <c r="A119" s="43"/>
      <c r="B119" s="23" t="str">
        <f aca="false">IF(K119="","",CHOOSE(WEEKDAY(K119,1),"الأحد","الاثنين","الثلاثاء","الأربعاء","الخميس","الجمعة","السبت")&amp;IF(OR(ISNUMBER(A119),LEN(TRIM(A119))&gt;=10),"","  "&amp;TEXT(DAY(K119),"00")&amp;"/"&amp;TEXT(MONTH(K119),"00")&amp;"/"&amp;YEAR(K119)))</f>
        <v/>
      </c>
      <c r="C119" s="24"/>
      <c r="D119" s="24"/>
      <c r="E119" s="44"/>
      <c r="F119" s="44"/>
      <c r="G119" s="44"/>
      <c r="H119" s="27"/>
      <c r="J119" s="0" t="n">
        <v>110</v>
      </c>
      <c r="K119" s="0" t="str">
        <f aca="true">IF(A119="","",IF(ISNUMBER(A119),IF(A119&gt;=36526,A119,""),IFERROR(DATE(VALUE(RIGHT(RIGHT(TRIM(A119),10),4)),VALUE(MID(RIGHT(TRIM(A119),10),4,2)),VALUE(LEFT(RIGHT(TRIM(A119),10),2))),IFERROR(TODAY()-MOD(WEEKDAY(TODAY(),1)-MATCH(TRIM(A119),{"الأحد","الاثنين","الثلاثاء","الأربعاء","الخميس","الجمعة","السبت"},0),7),IFERROR(DATEVALUE(A119),"")))))</f>
        <v/>
      </c>
      <c r="L119" s="0" t="str">
        <f aca="false">IF(K119="","",INT((K119-WEEK_ONE)/7)+1)</f>
        <v/>
      </c>
      <c r="M119" s="0" t="str">
        <f aca="false">IF(L119="","",IF(OR(L119&lt;1,L119&gt;NW),"",INDEX(WMON,L119)))</f>
        <v/>
      </c>
    </row>
    <row r="120" customFormat="false" ht="15" hidden="false" customHeight="false" outlineLevel="0" collapsed="false">
      <c r="A120" s="43"/>
      <c r="B120" s="23" t="str">
        <f aca="false">IF(K120="","",CHOOSE(WEEKDAY(K120,1),"الأحد","الاثنين","الثلاثاء","الأربعاء","الخميس","الجمعة","السبت")&amp;IF(OR(ISNUMBER(A120),LEN(TRIM(A120))&gt;=10),"","  "&amp;TEXT(DAY(K120),"00")&amp;"/"&amp;TEXT(MONTH(K120),"00")&amp;"/"&amp;YEAR(K120)))</f>
        <v/>
      </c>
      <c r="C120" s="24"/>
      <c r="D120" s="24"/>
      <c r="E120" s="44"/>
      <c r="F120" s="44"/>
      <c r="G120" s="44"/>
      <c r="H120" s="27"/>
      <c r="J120" s="0" t="n">
        <v>111</v>
      </c>
      <c r="K120" s="0" t="str">
        <f aca="true">IF(A120="","",IF(ISNUMBER(A120),IF(A120&gt;=36526,A120,""),IFERROR(DATE(VALUE(RIGHT(RIGHT(TRIM(A120),10),4)),VALUE(MID(RIGHT(TRIM(A120),10),4,2)),VALUE(LEFT(RIGHT(TRIM(A120),10),2))),IFERROR(TODAY()-MOD(WEEKDAY(TODAY(),1)-MATCH(TRIM(A120),{"الأحد","الاثنين","الثلاثاء","الأربعاء","الخميس","الجمعة","السبت"},0),7),IFERROR(DATEVALUE(A120),"")))))</f>
        <v/>
      </c>
      <c r="L120" s="0" t="str">
        <f aca="false">IF(K120="","",INT((K120-WEEK_ONE)/7)+1)</f>
        <v/>
      </c>
      <c r="M120" s="0" t="str">
        <f aca="false">IF(L120="","",IF(OR(L120&lt;1,L120&gt;NW),"",INDEX(WMON,L120)))</f>
        <v/>
      </c>
    </row>
    <row r="121" customFormat="false" ht="15" hidden="false" customHeight="false" outlineLevel="0" collapsed="false">
      <c r="A121" s="43"/>
      <c r="B121" s="23" t="str">
        <f aca="false">IF(K121="","",CHOOSE(WEEKDAY(K121,1),"الأحد","الاثنين","الثلاثاء","الأربعاء","الخميس","الجمعة","السبت")&amp;IF(OR(ISNUMBER(A121),LEN(TRIM(A121))&gt;=10),"","  "&amp;TEXT(DAY(K121),"00")&amp;"/"&amp;TEXT(MONTH(K121),"00")&amp;"/"&amp;YEAR(K121)))</f>
        <v/>
      </c>
      <c r="C121" s="24"/>
      <c r="D121" s="24"/>
      <c r="E121" s="44"/>
      <c r="F121" s="44"/>
      <c r="G121" s="44"/>
      <c r="H121" s="27"/>
      <c r="J121" s="0" t="n">
        <v>112</v>
      </c>
      <c r="K121" s="0" t="str">
        <f aca="true">IF(A121="","",IF(ISNUMBER(A121),IF(A121&gt;=36526,A121,""),IFERROR(DATE(VALUE(RIGHT(RIGHT(TRIM(A121),10),4)),VALUE(MID(RIGHT(TRIM(A121),10),4,2)),VALUE(LEFT(RIGHT(TRIM(A121),10),2))),IFERROR(TODAY()-MOD(WEEKDAY(TODAY(),1)-MATCH(TRIM(A121),{"الأحد","الاثنين","الثلاثاء","الأربعاء","الخميس","الجمعة","السبت"},0),7),IFERROR(DATEVALUE(A121),"")))))</f>
        <v/>
      </c>
      <c r="L121" s="0" t="str">
        <f aca="false">IF(K121="","",INT((K121-WEEK_ONE)/7)+1)</f>
        <v/>
      </c>
      <c r="M121" s="0" t="str">
        <f aca="false">IF(L121="","",IF(OR(L121&lt;1,L121&gt;NW),"",INDEX(WMON,L121)))</f>
        <v/>
      </c>
    </row>
    <row r="122" customFormat="false" ht="15" hidden="false" customHeight="false" outlineLevel="0" collapsed="false">
      <c r="A122" s="43"/>
      <c r="B122" s="23" t="str">
        <f aca="false">IF(K122="","",CHOOSE(WEEKDAY(K122,1),"الأحد","الاثنين","الثلاثاء","الأربعاء","الخميس","الجمعة","السبت")&amp;IF(OR(ISNUMBER(A122),LEN(TRIM(A122))&gt;=10),"","  "&amp;TEXT(DAY(K122),"00")&amp;"/"&amp;TEXT(MONTH(K122),"00")&amp;"/"&amp;YEAR(K122)))</f>
        <v/>
      </c>
      <c r="C122" s="24"/>
      <c r="D122" s="24"/>
      <c r="E122" s="44"/>
      <c r="F122" s="44"/>
      <c r="G122" s="44"/>
      <c r="H122" s="27"/>
      <c r="J122" s="0" t="n">
        <v>113</v>
      </c>
      <c r="K122" s="0" t="str">
        <f aca="true">IF(A122="","",IF(ISNUMBER(A122),IF(A122&gt;=36526,A122,""),IFERROR(DATE(VALUE(RIGHT(RIGHT(TRIM(A122),10),4)),VALUE(MID(RIGHT(TRIM(A122),10),4,2)),VALUE(LEFT(RIGHT(TRIM(A122),10),2))),IFERROR(TODAY()-MOD(WEEKDAY(TODAY(),1)-MATCH(TRIM(A122),{"الأحد","الاثنين","الثلاثاء","الأربعاء","الخميس","الجمعة","السبت"},0),7),IFERROR(DATEVALUE(A122),"")))))</f>
        <v/>
      </c>
      <c r="L122" s="0" t="str">
        <f aca="false">IF(K122="","",INT((K122-WEEK_ONE)/7)+1)</f>
        <v/>
      </c>
      <c r="M122" s="0" t="str">
        <f aca="false">IF(L122="","",IF(OR(L122&lt;1,L122&gt;NW),"",INDEX(WMON,L122)))</f>
        <v/>
      </c>
    </row>
    <row r="123" customFormat="false" ht="15" hidden="false" customHeight="false" outlineLevel="0" collapsed="false">
      <c r="A123" s="43"/>
      <c r="B123" s="23" t="str">
        <f aca="false">IF(K123="","",CHOOSE(WEEKDAY(K123,1),"الأحد","الاثنين","الثلاثاء","الأربعاء","الخميس","الجمعة","السبت")&amp;IF(OR(ISNUMBER(A123),LEN(TRIM(A123))&gt;=10),"","  "&amp;TEXT(DAY(K123),"00")&amp;"/"&amp;TEXT(MONTH(K123),"00")&amp;"/"&amp;YEAR(K123)))</f>
        <v/>
      </c>
      <c r="C123" s="24"/>
      <c r="D123" s="24"/>
      <c r="E123" s="44"/>
      <c r="F123" s="44"/>
      <c r="G123" s="44"/>
      <c r="H123" s="27"/>
      <c r="J123" s="0" t="n">
        <v>114</v>
      </c>
      <c r="K123" s="0" t="str">
        <f aca="true">IF(A123="","",IF(ISNUMBER(A123),IF(A123&gt;=36526,A123,""),IFERROR(DATE(VALUE(RIGHT(RIGHT(TRIM(A123),10),4)),VALUE(MID(RIGHT(TRIM(A123),10),4,2)),VALUE(LEFT(RIGHT(TRIM(A123),10),2))),IFERROR(TODAY()-MOD(WEEKDAY(TODAY(),1)-MATCH(TRIM(A123),{"الأحد","الاثنين","الثلاثاء","الأربعاء","الخميس","الجمعة","السبت"},0),7),IFERROR(DATEVALUE(A123),"")))))</f>
        <v/>
      </c>
      <c r="L123" s="0" t="str">
        <f aca="false">IF(K123="","",INT((K123-WEEK_ONE)/7)+1)</f>
        <v/>
      </c>
      <c r="M123" s="0" t="str">
        <f aca="false">IF(L123="","",IF(OR(L123&lt;1,L123&gt;NW),"",INDEX(WMON,L123)))</f>
        <v/>
      </c>
    </row>
    <row r="124" customFormat="false" ht="15" hidden="false" customHeight="false" outlineLevel="0" collapsed="false">
      <c r="A124" s="43"/>
      <c r="B124" s="23" t="str">
        <f aca="false">IF(K124="","",CHOOSE(WEEKDAY(K124,1),"الأحد","الاثنين","الثلاثاء","الأربعاء","الخميس","الجمعة","السبت")&amp;IF(OR(ISNUMBER(A124),LEN(TRIM(A124))&gt;=10),"","  "&amp;TEXT(DAY(K124),"00")&amp;"/"&amp;TEXT(MONTH(K124),"00")&amp;"/"&amp;YEAR(K124)))</f>
        <v/>
      </c>
      <c r="C124" s="24"/>
      <c r="D124" s="24"/>
      <c r="E124" s="44"/>
      <c r="F124" s="44"/>
      <c r="G124" s="44"/>
      <c r="H124" s="27"/>
      <c r="J124" s="0" t="n">
        <v>115</v>
      </c>
      <c r="K124" s="0" t="str">
        <f aca="true">IF(A124="","",IF(ISNUMBER(A124),IF(A124&gt;=36526,A124,""),IFERROR(DATE(VALUE(RIGHT(RIGHT(TRIM(A124),10),4)),VALUE(MID(RIGHT(TRIM(A124),10),4,2)),VALUE(LEFT(RIGHT(TRIM(A124),10),2))),IFERROR(TODAY()-MOD(WEEKDAY(TODAY(),1)-MATCH(TRIM(A124),{"الأحد","الاثنين","الثلاثاء","الأربعاء","الخميس","الجمعة","السبت"},0),7),IFERROR(DATEVALUE(A124),"")))))</f>
        <v/>
      </c>
      <c r="L124" s="0" t="str">
        <f aca="false">IF(K124="","",INT((K124-WEEK_ONE)/7)+1)</f>
        <v/>
      </c>
      <c r="M124" s="0" t="str">
        <f aca="false">IF(L124="","",IF(OR(L124&lt;1,L124&gt;NW),"",INDEX(WMON,L124)))</f>
        <v/>
      </c>
    </row>
    <row r="125" customFormat="false" ht="15" hidden="false" customHeight="false" outlineLevel="0" collapsed="false">
      <c r="A125" s="43"/>
      <c r="B125" s="23" t="str">
        <f aca="false">IF(K125="","",CHOOSE(WEEKDAY(K125,1),"الأحد","الاثنين","الثلاثاء","الأربعاء","الخميس","الجمعة","السبت")&amp;IF(OR(ISNUMBER(A125),LEN(TRIM(A125))&gt;=10),"","  "&amp;TEXT(DAY(K125),"00")&amp;"/"&amp;TEXT(MONTH(K125),"00")&amp;"/"&amp;YEAR(K125)))</f>
        <v/>
      </c>
      <c r="C125" s="24"/>
      <c r="D125" s="24"/>
      <c r="E125" s="44"/>
      <c r="F125" s="44"/>
      <c r="G125" s="44"/>
      <c r="H125" s="27"/>
      <c r="J125" s="0" t="n">
        <v>116</v>
      </c>
      <c r="K125" s="0" t="str">
        <f aca="true">IF(A125="","",IF(ISNUMBER(A125),IF(A125&gt;=36526,A125,""),IFERROR(DATE(VALUE(RIGHT(RIGHT(TRIM(A125),10),4)),VALUE(MID(RIGHT(TRIM(A125),10),4,2)),VALUE(LEFT(RIGHT(TRIM(A125),10),2))),IFERROR(TODAY()-MOD(WEEKDAY(TODAY(),1)-MATCH(TRIM(A125),{"الأحد","الاثنين","الثلاثاء","الأربعاء","الخميس","الجمعة","السبت"},0),7),IFERROR(DATEVALUE(A125),"")))))</f>
        <v/>
      </c>
      <c r="L125" s="0" t="str">
        <f aca="false">IF(K125="","",INT((K125-WEEK_ONE)/7)+1)</f>
        <v/>
      </c>
      <c r="M125" s="0" t="str">
        <f aca="false">IF(L125="","",IF(OR(L125&lt;1,L125&gt;NW),"",INDEX(WMON,L125)))</f>
        <v/>
      </c>
    </row>
    <row r="126" customFormat="false" ht="15" hidden="false" customHeight="false" outlineLevel="0" collapsed="false">
      <c r="A126" s="43"/>
      <c r="B126" s="23" t="str">
        <f aca="false">IF(K126="","",CHOOSE(WEEKDAY(K126,1),"الأحد","الاثنين","الثلاثاء","الأربعاء","الخميس","الجمعة","السبت")&amp;IF(OR(ISNUMBER(A126),LEN(TRIM(A126))&gt;=10),"","  "&amp;TEXT(DAY(K126),"00")&amp;"/"&amp;TEXT(MONTH(K126),"00")&amp;"/"&amp;YEAR(K126)))</f>
        <v/>
      </c>
      <c r="C126" s="24"/>
      <c r="D126" s="24"/>
      <c r="E126" s="44"/>
      <c r="F126" s="44"/>
      <c r="G126" s="44"/>
      <c r="H126" s="27"/>
      <c r="J126" s="0" t="n">
        <v>117</v>
      </c>
      <c r="K126" s="0" t="str">
        <f aca="true">IF(A126="","",IF(ISNUMBER(A126),IF(A126&gt;=36526,A126,""),IFERROR(DATE(VALUE(RIGHT(RIGHT(TRIM(A126),10),4)),VALUE(MID(RIGHT(TRIM(A126),10),4,2)),VALUE(LEFT(RIGHT(TRIM(A126),10),2))),IFERROR(TODAY()-MOD(WEEKDAY(TODAY(),1)-MATCH(TRIM(A126),{"الأحد","الاثنين","الثلاثاء","الأربعاء","الخميس","الجمعة","السبت"},0),7),IFERROR(DATEVALUE(A126),"")))))</f>
        <v/>
      </c>
      <c r="L126" s="0" t="str">
        <f aca="false">IF(K126="","",INT((K126-WEEK_ONE)/7)+1)</f>
        <v/>
      </c>
      <c r="M126" s="0" t="str">
        <f aca="false">IF(L126="","",IF(OR(L126&lt;1,L126&gt;NW),"",INDEX(WMON,L126)))</f>
        <v/>
      </c>
    </row>
    <row r="127" customFormat="false" ht="15" hidden="false" customHeight="false" outlineLevel="0" collapsed="false">
      <c r="A127" s="43"/>
      <c r="B127" s="23" t="str">
        <f aca="false">IF(K127="","",CHOOSE(WEEKDAY(K127,1),"الأحد","الاثنين","الثلاثاء","الأربعاء","الخميس","الجمعة","السبت")&amp;IF(OR(ISNUMBER(A127),LEN(TRIM(A127))&gt;=10),"","  "&amp;TEXT(DAY(K127),"00")&amp;"/"&amp;TEXT(MONTH(K127),"00")&amp;"/"&amp;YEAR(K127)))</f>
        <v/>
      </c>
      <c r="C127" s="24"/>
      <c r="D127" s="24"/>
      <c r="E127" s="44"/>
      <c r="F127" s="44"/>
      <c r="G127" s="44"/>
      <c r="H127" s="27"/>
      <c r="J127" s="0" t="n">
        <v>118</v>
      </c>
      <c r="K127" s="0" t="str">
        <f aca="true">IF(A127="","",IF(ISNUMBER(A127),IF(A127&gt;=36526,A127,""),IFERROR(DATE(VALUE(RIGHT(RIGHT(TRIM(A127),10),4)),VALUE(MID(RIGHT(TRIM(A127),10),4,2)),VALUE(LEFT(RIGHT(TRIM(A127),10),2))),IFERROR(TODAY()-MOD(WEEKDAY(TODAY(),1)-MATCH(TRIM(A127),{"الأحد","الاثنين","الثلاثاء","الأربعاء","الخميس","الجمعة","السبت"},0),7),IFERROR(DATEVALUE(A127),"")))))</f>
        <v/>
      </c>
      <c r="L127" s="0" t="str">
        <f aca="false">IF(K127="","",INT((K127-WEEK_ONE)/7)+1)</f>
        <v/>
      </c>
      <c r="M127" s="0" t="str">
        <f aca="false">IF(L127="","",IF(OR(L127&lt;1,L127&gt;NW),"",INDEX(WMON,L127)))</f>
        <v/>
      </c>
    </row>
    <row r="128" customFormat="false" ht="15" hidden="false" customHeight="false" outlineLevel="0" collapsed="false">
      <c r="A128" s="43"/>
      <c r="B128" s="23" t="str">
        <f aca="false">IF(K128="","",CHOOSE(WEEKDAY(K128,1),"الأحد","الاثنين","الثلاثاء","الأربعاء","الخميس","الجمعة","السبت")&amp;IF(OR(ISNUMBER(A128),LEN(TRIM(A128))&gt;=10),"","  "&amp;TEXT(DAY(K128),"00")&amp;"/"&amp;TEXT(MONTH(K128),"00")&amp;"/"&amp;YEAR(K128)))</f>
        <v/>
      </c>
      <c r="C128" s="24"/>
      <c r="D128" s="24"/>
      <c r="E128" s="44"/>
      <c r="F128" s="44"/>
      <c r="G128" s="44"/>
      <c r="H128" s="27"/>
      <c r="J128" s="0" t="n">
        <v>119</v>
      </c>
      <c r="K128" s="0" t="str">
        <f aca="true">IF(A128="","",IF(ISNUMBER(A128),IF(A128&gt;=36526,A128,""),IFERROR(DATE(VALUE(RIGHT(RIGHT(TRIM(A128),10),4)),VALUE(MID(RIGHT(TRIM(A128),10),4,2)),VALUE(LEFT(RIGHT(TRIM(A128),10),2))),IFERROR(TODAY()-MOD(WEEKDAY(TODAY(),1)-MATCH(TRIM(A128),{"الأحد","الاثنين","الثلاثاء","الأربعاء","الخميس","الجمعة","السبت"},0),7),IFERROR(DATEVALUE(A128),"")))))</f>
        <v/>
      </c>
      <c r="L128" s="0" t="str">
        <f aca="false">IF(K128="","",INT((K128-WEEK_ONE)/7)+1)</f>
        <v/>
      </c>
      <c r="M128" s="0" t="str">
        <f aca="false">IF(L128="","",IF(OR(L128&lt;1,L128&gt;NW),"",INDEX(WMON,L128)))</f>
        <v/>
      </c>
    </row>
    <row r="129" customFormat="false" ht="15" hidden="false" customHeight="false" outlineLevel="0" collapsed="false">
      <c r="A129" s="43"/>
      <c r="B129" s="23" t="str">
        <f aca="false">IF(K129="","",CHOOSE(WEEKDAY(K129,1),"الأحد","الاثنين","الثلاثاء","الأربعاء","الخميس","الجمعة","السبت")&amp;IF(OR(ISNUMBER(A129),LEN(TRIM(A129))&gt;=10),"","  "&amp;TEXT(DAY(K129),"00")&amp;"/"&amp;TEXT(MONTH(K129),"00")&amp;"/"&amp;YEAR(K129)))</f>
        <v/>
      </c>
      <c r="C129" s="24"/>
      <c r="D129" s="24"/>
      <c r="E129" s="44"/>
      <c r="F129" s="44"/>
      <c r="G129" s="44"/>
      <c r="H129" s="27"/>
      <c r="J129" s="0" t="n">
        <v>120</v>
      </c>
      <c r="K129" s="0" t="str">
        <f aca="true">IF(A129="","",IF(ISNUMBER(A129),IF(A129&gt;=36526,A129,""),IFERROR(DATE(VALUE(RIGHT(RIGHT(TRIM(A129),10),4)),VALUE(MID(RIGHT(TRIM(A129),10),4,2)),VALUE(LEFT(RIGHT(TRIM(A129),10),2))),IFERROR(TODAY()-MOD(WEEKDAY(TODAY(),1)-MATCH(TRIM(A129),{"الأحد","الاثنين","الثلاثاء","الأربعاء","الخميس","الجمعة","السبت"},0),7),IFERROR(DATEVALUE(A129),"")))))</f>
        <v/>
      </c>
      <c r="L129" s="0" t="str">
        <f aca="false">IF(K129="","",INT((K129-WEEK_ONE)/7)+1)</f>
        <v/>
      </c>
      <c r="M129" s="0" t="str">
        <f aca="false">IF(L129="","",IF(OR(L129&lt;1,L129&gt;NW),"",INDEX(WMON,L129)))</f>
        <v/>
      </c>
    </row>
    <row r="130" customFormat="false" ht="15" hidden="false" customHeight="false" outlineLevel="0" collapsed="false">
      <c r="A130" s="43"/>
      <c r="B130" s="23" t="str">
        <f aca="false">IF(K130="","",CHOOSE(WEEKDAY(K130,1),"الأحد","الاثنين","الثلاثاء","الأربعاء","الخميس","الجمعة","السبت")&amp;IF(OR(ISNUMBER(A130),LEN(TRIM(A130))&gt;=10),"","  "&amp;TEXT(DAY(K130),"00")&amp;"/"&amp;TEXT(MONTH(K130),"00")&amp;"/"&amp;YEAR(K130)))</f>
        <v/>
      </c>
      <c r="C130" s="24"/>
      <c r="D130" s="24"/>
      <c r="E130" s="44"/>
      <c r="F130" s="44"/>
      <c r="G130" s="44"/>
      <c r="H130" s="27"/>
      <c r="J130" s="0" t="n">
        <v>121</v>
      </c>
      <c r="K130" s="0" t="str">
        <f aca="true">IF(A130="","",IF(ISNUMBER(A130),IF(A130&gt;=36526,A130,""),IFERROR(DATE(VALUE(RIGHT(RIGHT(TRIM(A130),10),4)),VALUE(MID(RIGHT(TRIM(A130),10),4,2)),VALUE(LEFT(RIGHT(TRIM(A130),10),2))),IFERROR(TODAY()-MOD(WEEKDAY(TODAY(),1)-MATCH(TRIM(A130),{"الأحد","الاثنين","الثلاثاء","الأربعاء","الخميس","الجمعة","السبت"},0),7),IFERROR(DATEVALUE(A130),"")))))</f>
        <v/>
      </c>
      <c r="L130" s="0" t="str">
        <f aca="false">IF(K130="","",INT((K130-WEEK_ONE)/7)+1)</f>
        <v/>
      </c>
      <c r="M130" s="0" t="str">
        <f aca="false">IF(L130="","",IF(OR(L130&lt;1,L130&gt;NW),"",INDEX(WMON,L130)))</f>
        <v/>
      </c>
    </row>
    <row r="131" customFormat="false" ht="15" hidden="false" customHeight="false" outlineLevel="0" collapsed="false">
      <c r="A131" s="43"/>
      <c r="B131" s="23" t="str">
        <f aca="false">IF(K131="","",CHOOSE(WEEKDAY(K131,1),"الأحد","الاثنين","الثلاثاء","الأربعاء","الخميس","الجمعة","السبت")&amp;IF(OR(ISNUMBER(A131),LEN(TRIM(A131))&gt;=10),"","  "&amp;TEXT(DAY(K131),"00")&amp;"/"&amp;TEXT(MONTH(K131),"00")&amp;"/"&amp;YEAR(K131)))</f>
        <v/>
      </c>
      <c r="C131" s="24"/>
      <c r="D131" s="24"/>
      <c r="E131" s="44"/>
      <c r="F131" s="44"/>
      <c r="G131" s="44"/>
      <c r="H131" s="27"/>
      <c r="J131" s="0" t="n">
        <v>122</v>
      </c>
      <c r="K131" s="0" t="str">
        <f aca="true">IF(A131="","",IF(ISNUMBER(A131),IF(A131&gt;=36526,A131,""),IFERROR(DATE(VALUE(RIGHT(RIGHT(TRIM(A131),10),4)),VALUE(MID(RIGHT(TRIM(A131),10),4,2)),VALUE(LEFT(RIGHT(TRIM(A131),10),2))),IFERROR(TODAY()-MOD(WEEKDAY(TODAY(),1)-MATCH(TRIM(A131),{"الأحد","الاثنين","الثلاثاء","الأربعاء","الخميس","الجمعة","السبت"},0),7),IFERROR(DATEVALUE(A131),"")))))</f>
        <v/>
      </c>
      <c r="L131" s="0" t="str">
        <f aca="false">IF(K131="","",INT((K131-WEEK_ONE)/7)+1)</f>
        <v/>
      </c>
      <c r="M131" s="0" t="str">
        <f aca="false">IF(L131="","",IF(OR(L131&lt;1,L131&gt;NW),"",INDEX(WMON,L131)))</f>
        <v/>
      </c>
    </row>
    <row r="132" customFormat="false" ht="15" hidden="false" customHeight="false" outlineLevel="0" collapsed="false">
      <c r="A132" s="43"/>
      <c r="B132" s="23" t="str">
        <f aca="false">IF(K132="","",CHOOSE(WEEKDAY(K132,1),"الأحد","الاثنين","الثلاثاء","الأربعاء","الخميس","الجمعة","السبت")&amp;IF(OR(ISNUMBER(A132),LEN(TRIM(A132))&gt;=10),"","  "&amp;TEXT(DAY(K132),"00")&amp;"/"&amp;TEXT(MONTH(K132),"00")&amp;"/"&amp;YEAR(K132)))</f>
        <v/>
      </c>
      <c r="C132" s="24"/>
      <c r="D132" s="24"/>
      <c r="E132" s="44"/>
      <c r="F132" s="44"/>
      <c r="G132" s="44"/>
      <c r="H132" s="27"/>
      <c r="J132" s="0" t="n">
        <v>123</v>
      </c>
      <c r="K132" s="0" t="str">
        <f aca="true">IF(A132="","",IF(ISNUMBER(A132),IF(A132&gt;=36526,A132,""),IFERROR(DATE(VALUE(RIGHT(RIGHT(TRIM(A132),10),4)),VALUE(MID(RIGHT(TRIM(A132),10),4,2)),VALUE(LEFT(RIGHT(TRIM(A132),10),2))),IFERROR(TODAY()-MOD(WEEKDAY(TODAY(),1)-MATCH(TRIM(A132),{"الأحد","الاثنين","الثلاثاء","الأربعاء","الخميس","الجمعة","السبت"},0),7),IFERROR(DATEVALUE(A132),"")))))</f>
        <v/>
      </c>
      <c r="L132" s="0" t="str">
        <f aca="false">IF(K132="","",INT((K132-WEEK_ONE)/7)+1)</f>
        <v/>
      </c>
      <c r="M132" s="0" t="str">
        <f aca="false">IF(L132="","",IF(OR(L132&lt;1,L132&gt;NW),"",INDEX(WMON,L132)))</f>
        <v/>
      </c>
    </row>
    <row r="133" customFormat="false" ht="15" hidden="false" customHeight="false" outlineLevel="0" collapsed="false">
      <c r="A133" s="43"/>
      <c r="B133" s="23" t="str">
        <f aca="false">IF(K133="","",CHOOSE(WEEKDAY(K133,1),"الأحد","الاثنين","الثلاثاء","الأربعاء","الخميس","الجمعة","السبت")&amp;IF(OR(ISNUMBER(A133),LEN(TRIM(A133))&gt;=10),"","  "&amp;TEXT(DAY(K133),"00")&amp;"/"&amp;TEXT(MONTH(K133),"00")&amp;"/"&amp;YEAR(K133)))</f>
        <v/>
      </c>
      <c r="C133" s="24"/>
      <c r="D133" s="24"/>
      <c r="E133" s="44"/>
      <c r="F133" s="44"/>
      <c r="G133" s="44"/>
      <c r="H133" s="27"/>
      <c r="J133" s="0" t="n">
        <v>124</v>
      </c>
      <c r="K133" s="0" t="str">
        <f aca="true">IF(A133="","",IF(ISNUMBER(A133),IF(A133&gt;=36526,A133,""),IFERROR(DATE(VALUE(RIGHT(RIGHT(TRIM(A133),10),4)),VALUE(MID(RIGHT(TRIM(A133),10),4,2)),VALUE(LEFT(RIGHT(TRIM(A133),10),2))),IFERROR(TODAY()-MOD(WEEKDAY(TODAY(),1)-MATCH(TRIM(A133),{"الأحد","الاثنين","الثلاثاء","الأربعاء","الخميس","الجمعة","السبت"},0),7),IFERROR(DATEVALUE(A133),"")))))</f>
        <v/>
      </c>
      <c r="L133" s="0" t="str">
        <f aca="false">IF(K133="","",INT((K133-WEEK_ONE)/7)+1)</f>
        <v/>
      </c>
      <c r="M133" s="0" t="str">
        <f aca="false">IF(L133="","",IF(OR(L133&lt;1,L133&gt;NW),"",INDEX(WMON,L133)))</f>
        <v/>
      </c>
    </row>
    <row r="134" customFormat="false" ht="15" hidden="false" customHeight="false" outlineLevel="0" collapsed="false">
      <c r="A134" s="43"/>
      <c r="B134" s="23" t="str">
        <f aca="false">IF(K134="","",CHOOSE(WEEKDAY(K134,1),"الأحد","الاثنين","الثلاثاء","الأربعاء","الخميس","الجمعة","السبت")&amp;IF(OR(ISNUMBER(A134),LEN(TRIM(A134))&gt;=10),"","  "&amp;TEXT(DAY(K134),"00")&amp;"/"&amp;TEXT(MONTH(K134),"00")&amp;"/"&amp;YEAR(K134)))</f>
        <v/>
      </c>
      <c r="C134" s="24"/>
      <c r="D134" s="24"/>
      <c r="E134" s="44"/>
      <c r="F134" s="44"/>
      <c r="G134" s="44"/>
      <c r="H134" s="27"/>
      <c r="J134" s="0" t="n">
        <v>125</v>
      </c>
      <c r="K134" s="0" t="str">
        <f aca="true">IF(A134="","",IF(ISNUMBER(A134),IF(A134&gt;=36526,A134,""),IFERROR(DATE(VALUE(RIGHT(RIGHT(TRIM(A134),10),4)),VALUE(MID(RIGHT(TRIM(A134),10),4,2)),VALUE(LEFT(RIGHT(TRIM(A134),10),2))),IFERROR(TODAY()-MOD(WEEKDAY(TODAY(),1)-MATCH(TRIM(A134),{"الأحد","الاثنين","الثلاثاء","الأربعاء","الخميس","الجمعة","السبت"},0),7),IFERROR(DATEVALUE(A134),"")))))</f>
        <v/>
      </c>
      <c r="L134" s="0" t="str">
        <f aca="false">IF(K134="","",INT((K134-WEEK_ONE)/7)+1)</f>
        <v/>
      </c>
      <c r="M134" s="0" t="str">
        <f aca="false">IF(L134="","",IF(OR(L134&lt;1,L134&gt;NW),"",INDEX(WMON,L134)))</f>
        <v/>
      </c>
    </row>
    <row r="135" customFormat="false" ht="15" hidden="false" customHeight="false" outlineLevel="0" collapsed="false">
      <c r="A135" s="43"/>
      <c r="B135" s="23" t="str">
        <f aca="false">IF(K135="","",CHOOSE(WEEKDAY(K135,1),"الأحد","الاثنين","الثلاثاء","الأربعاء","الخميس","الجمعة","السبت")&amp;IF(OR(ISNUMBER(A135),LEN(TRIM(A135))&gt;=10),"","  "&amp;TEXT(DAY(K135),"00")&amp;"/"&amp;TEXT(MONTH(K135),"00")&amp;"/"&amp;YEAR(K135)))</f>
        <v/>
      </c>
      <c r="C135" s="24"/>
      <c r="D135" s="24"/>
      <c r="E135" s="44"/>
      <c r="F135" s="44"/>
      <c r="G135" s="44"/>
      <c r="H135" s="27"/>
      <c r="J135" s="0" t="n">
        <v>126</v>
      </c>
      <c r="K135" s="0" t="str">
        <f aca="true">IF(A135="","",IF(ISNUMBER(A135),IF(A135&gt;=36526,A135,""),IFERROR(DATE(VALUE(RIGHT(RIGHT(TRIM(A135),10),4)),VALUE(MID(RIGHT(TRIM(A135),10),4,2)),VALUE(LEFT(RIGHT(TRIM(A135),10),2))),IFERROR(TODAY()-MOD(WEEKDAY(TODAY(),1)-MATCH(TRIM(A135),{"الأحد","الاثنين","الثلاثاء","الأربعاء","الخميس","الجمعة","السبت"},0),7),IFERROR(DATEVALUE(A135),"")))))</f>
        <v/>
      </c>
      <c r="L135" s="0" t="str">
        <f aca="false">IF(K135="","",INT((K135-WEEK_ONE)/7)+1)</f>
        <v/>
      </c>
      <c r="M135" s="0" t="str">
        <f aca="false">IF(L135="","",IF(OR(L135&lt;1,L135&gt;NW),"",INDEX(WMON,L135)))</f>
        <v/>
      </c>
    </row>
    <row r="136" customFormat="false" ht="15" hidden="false" customHeight="false" outlineLevel="0" collapsed="false">
      <c r="A136" s="43"/>
      <c r="B136" s="23" t="str">
        <f aca="false">IF(K136="","",CHOOSE(WEEKDAY(K136,1),"الأحد","الاثنين","الثلاثاء","الأربعاء","الخميس","الجمعة","السبت")&amp;IF(OR(ISNUMBER(A136),LEN(TRIM(A136))&gt;=10),"","  "&amp;TEXT(DAY(K136),"00")&amp;"/"&amp;TEXT(MONTH(K136),"00")&amp;"/"&amp;YEAR(K136)))</f>
        <v/>
      </c>
      <c r="C136" s="24"/>
      <c r="D136" s="24"/>
      <c r="E136" s="44"/>
      <c r="F136" s="44"/>
      <c r="G136" s="44"/>
      <c r="H136" s="27"/>
      <c r="J136" s="0" t="n">
        <v>127</v>
      </c>
      <c r="K136" s="0" t="str">
        <f aca="true">IF(A136="","",IF(ISNUMBER(A136),IF(A136&gt;=36526,A136,""),IFERROR(DATE(VALUE(RIGHT(RIGHT(TRIM(A136),10),4)),VALUE(MID(RIGHT(TRIM(A136),10),4,2)),VALUE(LEFT(RIGHT(TRIM(A136),10),2))),IFERROR(TODAY()-MOD(WEEKDAY(TODAY(),1)-MATCH(TRIM(A136),{"الأحد","الاثنين","الثلاثاء","الأربعاء","الخميس","الجمعة","السبت"},0),7),IFERROR(DATEVALUE(A136),"")))))</f>
        <v/>
      </c>
      <c r="L136" s="0" t="str">
        <f aca="false">IF(K136="","",INT((K136-WEEK_ONE)/7)+1)</f>
        <v/>
      </c>
      <c r="M136" s="0" t="str">
        <f aca="false">IF(L136="","",IF(OR(L136&lt;1,L136&gt;NW),"",INDEX(WMON,L136)))</f>
        <v/>
      </c>
    </row>
    <row r="137" customFormat="false" ht="15" hidden="false" customHeight="false" outlineLevel="0" collapsed="false">
      <c r="A137" s="43"/>
      <c r="B137" s="23" t="str">
        <f aca="false">IF(K137="","",CHOOSE(WEEKDAY(K137,1),"الأحد","الاثنين","الثلاثاء","الأربعاء","الخميس","الجمعة","السبت")&amp;IF(OR(ISNUMBER(A137),LEN(TRIM(A137))&gt;=10),"","  "&amp;TEXT(DAY(K137),"00")&amp;"/"&amp;TEXT(MONTH(K137),"00")&amp;"/"&amp;YEAR(K137)))</f>
        <v/>
      </c>
      <c r="C137" s="24"/>
      <c r="D137" s="24"/>
      <c r="E137" s="44"/>
      <c r="F137" s="44"/>
      <c r="G137" s="44"/>
      <c r="H137" s="27"/>
      <c r="J137" s="0" t="n">
        <v>128</v>
      </c>
      <c r="K137" s="0" t="str">
        <f aca="true">IF(A137="","",IF(ISNUMBER(A137),IF(A137&gt;=36526,A137,""),IFERROR(DATE(VALUE(RIGHT(RIGHT(TRIM(A137),10),4)),VALUE(MID(RIGHT(TRIM(A137),10),4,2)),VALUE(LEFT(RIGHT(TRIM(A137),10),2))),IFERROR(TODAY()-MOD(WEEKDAY(TODAY(),1)-MATCH(TRIM(A137),{"الأحد","الاثنين","الثلاثاء","الأربعاء","الخميس","الجمعة","السبت"},0),7),IFERROR(DATEVALUE(A137),"")))))</f>
        <v/>
      </c>
      <c r="L137" s="0" t="str">
        <f aca="false">IF(K137="","",INT((K137-WEEK_ONE)/7)+1)</f>
        <v/>
      </c>
      <c r="M137" s="0" t="str">
        <f aca="false">IF(L137="","",IF(OR(L137&lt;1,L137&gt;NW),"",INDEX(WMON,L137)))</f>
        <v/>
      </c>
    </row>
    <row r="138" customFormat="false" ht="15" hidden="false" customHeight="false" outlineLevel="0" collapsed="false">
      <c r="A138" s="43"/>
      <c r="B138" s="23" t="str">
        <f aca="false">IF(K138="","",CHOOSE(WEEKDAY(K138,1),"الأحد","الاثنين","الثلاثاء","الأربعاء","الخميس","الجمعة","السبت")&amp;IF(OR(ISNUMBER(A138),LEN(TRIM(A138))&gt;=10),"","  "&amp;TEXT(DAY(K138),"00")&amp;"/"&amp;TEXT(MONTH(K138),"00")&amp;"/"&amp;YEAR(K138)))</f>
        <v/>
      </c>
      <c r="C138" s="24"/>
      <c r="D138" s="24"/>
      <c r="E138" s="44"/>
      <c r="F138" s="44"/>
      <c r="G138" s="44"/>
      <c r="H138" s="27"/>
      <c r="J138" s="0" t="n">
        <v>129</v>
      </c>
      <c r="K138" s="0" t="str">
        <f aca="true">IF(A138="","",IF(ISNUMBER(A138),IF(A138&gt;=36526,A138,""),IFERROR(DATE(VALUE(RIGHT(RIGHT(TRIM(A138),10),4)),VALUE(MID(RIGHT(TRIM(A138),10),4,2)),VALUE(LEFT(RIGHT(TRIM(A138),10),2))),IFERROR(TODAY()-MOD(WEEKDAY(TODAY(),1)-MATCH(TRIM(A138),{"الأحد","الاثنين","الثلاثاء","الأربعاء","الخميس","الجمعة","السبت"},0),7),IFERROR(DATEVALUE(A138),"")))))</f>
        <v/>
      </c>
      <c r="L138" s="0" t="str">
        <f aca="false">IF(K138="","",INT((K138-WEEK_ONE)/7)+1)</f>
        <v/>
      </c>
      <c r="M138" s="0" t="str">
        <f aca="false">IF(L138="","",IF(OR(L138&lt;1,L138&gt;NW),"",INDEX(WMON,L138)))</f>
        <v/>
      </c>
    </row>
    <row r="139" customFormat="false" ht="15" hidden="false" customHeight="false" outlineLevel="0" collapsed="false">
      <c r="A139" s="43"/>
      <c r="B139" s="23" t="str">
        <f aca="false">IF(K139="","",CHOOSE(WEEKDAY(K139,1),"الأحد","الاثنين","الثلاثاء","الأربعاء","الخميس","الجمعة","السبت")&amp;IF(OR(ISNUMBER(A139),LEN(TRIM(A139))&gt;=10),"","  "&amp;TEXT(DAY(K139),"00")&amp;"/"&amp;TEXT(MONTH(K139),"00")&amp;"/"&amp;YEAR(K139)))</f>
        <v/>
      </c>
      <c r="C139" s="24"/>
      <c r="D139" s="24"/>
      <c r="E139" s="44"/>
      <c r="F139" s="44"/>
      <c r="G139" s="44"/>
      <c r="H139" s="27"/>
      <c r="J139" s="0" t="n">
        <v>130</v>
      </c>
      <c r="K139" s="0" t="str">
        <f aca="true">IF(A139="","",IF(ISNUMBER(A139),IF(A139&gt;=36526,A139,""),IFERROR(DATE(VALUE(RIGHT(RIGHT(TRIM(A139),10),4)),VALUE(MID(RIGHT(TRIM(A139),10),4,2)),VALUE(LEFT(RIGHT(TRIM(A139),10),2))),IFERROR(TODAY()-MOD(WEEKDAY(TODAY(),1)-MATCH(TRIM(A139),{"الأحد","الاثنين","الثلاثاء","الأربعاء","الخميس","الجمعة","السبت"},0),7),IFERROR(DATEVALUE(A139),"")))))</f>
        <v/>
      </c>
      <c r="L139" s="0" t="str">
        <f aca="false">IF(K139="","",INT((K139-WEEK_ONE)/7)+1)</f>
        <v/>
      </c>
      <c r="M139" s="0" t="str">
        <f aca="false">IF(L139="","",IF(OR(L139&lt;1,L139&gt;NW),"",INDEX(WMON,L139)))</f>
        <v/>
      </c>
    </row>
    <row r="140" customFormat="false" ht="15" hidden="false" customHeight="false" outlineLevel="0" collapsed="false">
      <c r="A140" s="43"/>
      <c r="B140" s="23" t="str">
        <f aca="false">IF(K140="","",CHOOSE(WEEKDAY(K140,1),"الأحد","الاثنين","الثلاثاء","الأربعاء","الخميس","الجمعة","السبت")&amp;IF(OR(ISNUMBER(A140),LEN(TRIM(A140))&gt;=10),"","  "&amp;TEXT(DAY(K140),"00")&amp;"/"&amp;TEXT(MONTH(K140),"00")&amp;"/"&amp;YEAR(K140)))</f>
        <v/>
      </c>
      <c r="C140" s="24"/>
      <c r="D140" s="24"/>
      <c r="E140" s="44"/>
      <c r="F140" s="44"/>
      <c r="G140" s="44"/>
      <c r="H140" s="27"/>
      <c r="J140" s="0" t="n">
        <v>131</v>
      </c>
      <c r="K140" s="0" t="str">
        <f aca="true">IF(A140="","",IF(ISNUMBER(A140),IF(A140&gt;=36526,A140,""),IFERROR(DATE(VALUE(RIGHT(RIGHT(TRIM(A140),10),4)),VALUE(MID(RIGHT(TRIM(A140),10),4,2)),VALUE(LEFT(RIGHT(TRIM(A140),10),2))),IFERROR(TODAY()-MOD(WEEKDAY(TODAY(),1)-MATCH(TRIM(A140),{"الأحد","الاثنين","الثلاثاء","الأربعاء","الخميس","الجمعة","السبت"},0),7),IFERROR(DATEVALUE(A140),"")))))</f>
        <v/>
      </c>
      <c r="L140" s="0" t="str">
        <f aca="false">IF(K140="","",INT((K140-WEEK_ONE)/7)+1)</f>
        <v/>
      </c>
      <c r="M140" s="0" t="str">
        <f aca="false">IF(L140="","",IF(OR(L140&lt;1,L140&gt;NW),"",INDEX(WMON,L140)))</f>
        <v/>
      </c>
    </row>
    <row r="141" customFormat="false" ht="15" hidden="false" customHeight="false" outlineLevel="0" collapsed="false">
      <c r="A141" s="43"/>
      <c r="B141" s="23" t="str">
        <f aca="false">IF(K141="","",CHOOSE(WEEKDAY(K141,1),"الأحد","الاثنين","الثلاثاء","الأربعاء","الخميس","الجمعة","السبت")&amp;IF(OR(ISNUMBER(A141),LEN(TRIM(A141))&gt;=10),"","  "&amp;TEXT(DAY(K141),"00")&amp;"/"&amp;TEXT(MONTH(K141),"00")&amp;"/"&amp;YEAR(K141)))</f>
        <v/>
      </c>
      <c r="C141" s="24"/>
      <c r="D141" s="24"/>
      <c r="E141" s="44"/>
      <c r="F141" s="44"/>
      <c r="G141" s="44"/>
      <c r="H141" s="27"/>
      <c r="J141" s="0" t="n">
        <v>132</v>
      </c>
      <c r="K141" s="0" t="str">
        <f aca="true">IF(A141="","",IF(ISNUMBER(A141),IF(A141&gt;=36526,A141,""),IFERROR(DATE(VALUE(RIGHT(RIGHT(TRIM(A141),10),4)),VALUE(MID(RIGHT(TRIM(A141),10),4,2)),VALUE(LEFT(RIGHT(TRIM(A141),10),2))),IFERROR(TODAY()-MOD(WEEKDAY(TODAY(),1)-MATCH(TRIM(A141),{"الأحد","الاثنين","الثلاثاء","الأربعاء","الخميس","الجمعة","السبت"},0),7),IFERROR(DATEVALUE(A141),"")))))</f>
        <v/>
      </c>
      <c r="L141" s="0" t="str">
        <f aca="false">IF(K141="","",INT((K141-WEEK_ONE)/7)+1)</f>
        <v/>
      </c>
      <c r="M141" s="0" t="str">
        <f aca="false">IF(L141="","",IF(OR(L141&lt;1,L141&gt;NW),"",INDEX(WMON,L141)))</f>
        <v/>
      </c>
    </row>
    <row r="142" customFormat="false" ht="15" hidden="false" customHeight="false" outlineLevel="0" collapsed="false">
      <c r="A142" s="43"/>
      <c r="B142" s="23" t="str">
        <f aca="false">IF(K142="","",CHOOSE(WEEKDAY(K142,1),"الأحد","الاثنين","الثلاثاء","الأربعاء","الخميس","الجمعة","السبت")&amp;IF(OR(ISNUMBER(A142),LEN(TRIM(A142))&gt;=10),"","  "&amp;TEXT(DAY(K142),"00")&amp;"/"&amp;TEXT(MONTH(K142),"00")&amp;"/"&amp;YEAR(K142)))</f>
        <v/>
      </c>
      <c r="C142" s="24"/>
      <c r="D142" s="24"/>
      <c r="E142" s="44"/>
      <c r="F142" s="44"/>
      <c r="G142" s="44"/>
      <c r="H142" s="27"/>
      <c r="J142" s="0" t="n">
        <v>133</v>
      </c>
      <c r="K142" s="0" t="str">
        <f aca="true">IF(A142="","",IF(ISNUMBER(A142),IF(A142&gt;=36526,A142,""),IFERROR(DATE(VALUE(RIGHT(RIGHT(TRIM(A142),10),4)),VALUE(MID(RIGHT(TRIM(A142),10),4,2)),VALUE(LEFT(RIGHT(TRIM(A142),10),2))),IFERROR(TODAY()-MOD(WEEKDAY(TODAY(),1)-MATCH(TRIM(A142),{"الأحد","الاثنين","الثلاثاء","الأربعاء","الخميس","الجمعة","السبت"},0),7),IFERROR(DATEVALUE(A142),"")))))</f>
        <v/>
      </c>
      <c r="L142" s="0" t="str">
        <f aca="false">IF(K142="","",INT((K142-WEEK_ONE)/7)+1)</f>
        <v/>
      </c>
      <c r="M142" s="0" t="str">
        <f aca="false">IF(L142="","",IF(OR(L142&lt;1,L142&gt;NW),"",INDEX(WMON,L142)))</f>
        <v/>
      </c>
    </row>
    <row r="143" customFormat="false" ht="15" hidden="false" customHeight="false" outlineLevel="0" collapsed="false">
      <c r="A143" s="43"/>
      <c r="B143" s="23" t="str">
        <f aca="false">IF(K143="","",CHOOSE(WEEKDAY(K143,1),"الأحد","الاثنين","الثلاثاء","الأربعاء","الخميس","الجمعة","السبت")&amp;IF(OR(ISNUMBER(A143),LEN(TRIM(A143))&gt;=10),"","  "&amp;TEXT(DAY(K143),"00")&amp;"/"&amp;TEXT(MONTH(K143),"00")&amp;"/"&amp;YEAR(K143)))</f>
        <v/>
      </c>
      <c r="C143" s="24"/>
      <c r="D143" s="24"/>
      <c r="E143" s="44"/>
      <c r="F143" s="44"/>
      <c r="G143" s="44"/>
      <c r="H143" s="27"/>
      <c r="J143" s="0" t="n">
        <v>134</v>
      </c>
      <c r="K143" s="0" t="str">
        <f aca="true">IF(A143="","",IF(ISNUMBER(A143),IF(A143&gt;=36526,A143,""),IFERROR(DATE(VALUE(RIGHT(RIGHT(TRIM(A143),10),4)),VALUE(MID(RIGHT(TRIM(A143),10),4,2)),VALUE(LEFT(RIGHT(TRIM(A143),10),2))),IFERROR(TODAY()-MOD(WEEKDAY(TODAY(),1)-MATCH(TRIM(A143),{"الأحد","الاثنين","الثلاثاء","الأربعاء","الخميس","الجمعة","السبت"},0),7),IFERROR(DATEVALUE(A143),"")))))</f>
        <v/>
      </c>
      <c r="L143" s="0" t="str">
        <f aca="false">IF(K143="","",INT((K143-WEEK_ONE)/7)+1)</f>
        <v/>
      </c>
      <c r="M143" s="0" t="str">
        <f aca="false">IF(L143="","",IF(OR(L143&lt;1,L143&gt;NW),"",INDEX(WMON,L143)))</f>
        <v/>
      </c>
    </row>
    <row r="144" customFormat="false" ht="15" hidden="false" customHeight="false" outlineLevel="0" collapsed="false">
      <c r="A144" s="43"/>
      <c r="B144" s="23" t="str">
        <f aca="false">IF(K144="","",CHOOSE(WEEKDAY(K144,1),"الأحد","الاثنين","الثلاثاء","الأربعاء","الخميس","الجمعة","السبت")&amp;IF(OR(ISNUMBER(A144),LEN(TRIM(A144))&gt;=10),"","  "&amp;TEXT(DAY(K144),"00")&amp;"/"&amp;TEXT(MONTH(K144),"00")&amp;"/"&amp;YEAR(K144)))</f>
        <v/>
      </c>
      <c r="C144" s="24"/>
      <c r="D144" s="24"/>
      <c r="E144" s="44"/>
      <c r="F144" s="44"/>
      <c r="G144" s="44"/>
      <c r="H144" s="27"/>
      <c r="J144" s="0" t="n">
        <v>135</v>
      </c>
      <c r="K144" s="0" t="str">
        <f aca="true">IF(A144="","",IF(ISNUMBER(A144),IF(A144&gt;=36526,A144,""),IFERROR(DATE(VALUE(RIGHT(RIGHT(TRIM(A144),10),4)),VALUE(MID(RIGHT(TRIM(A144),10),4,2)),VALUE(LEFT(RIGHT(TRIM(A144),10),2))),IFERROR(TODAY()-MOD(WEEKDAY(TODAY(),1)-MATCH(TRIM(A144),{"الأحد","الاثنين","الثلاثاء","الأربعاء","الخميس","الجمعة","السبت"},0),7),IFERROR(DATEVALUE(A144),"")))))</f>
        <v/>
      </c>
      <c r="L144" s="0" t="str">
        <f aca="false">IF(K144="","",INT((K144-WEEK_ONE)/7)+1)</f>
        <v/>
      </c>
      <c r="M144" s="0" t="str">
        <f aca="false">IF(L144="","",IF(OR(L144&lt;1,L144&gt;NW),"",INDEX(WMON,L144)))</f>
        <v/>
      </c>
    </row>
    <row r="145" customFormat="false" ht="15" hidden="false" customHeight="false" outlineLevel="0" collapsed="false">
      <c r="A145" s="43"/>
      <c r="B145" s="23" t="str">
        <f aca="false">IF(K145="","",CHOOSE(WEEKDAY(K145,1),"الأحد","الاثنين","الثلاثاء","الأربعاء","الخميس","الجمعة","السبت")&amp;IF(OR(ISNUMBER(A145),LEN(TRIM(A145))&gt;=10),"","  "&amp;TEXT(DAY(K145),"00")&amp;"/"&amp;TEXT(MONTH(K145),"00")&amp;"/"&amp;YEAR(K145)))</f>
        <v/>
      </c>
      <c r="C145" s="24"/>
      <c r="D145" s="24"/>
      <c r="E145" s="44"/>
      <c r="F145" s="44"/>
      <c r="G145" s="44"/>
      <c r="H145" s="27"/>
      <c r="J145" s="0" t="n">
        <v>136</v>
      </c>
      <c r="K145" s="0" t="str">
        <f aca="true">IF(A145="","",IF(ISNUMBER(A145),IF(A145&gt;=36526,A145,""),IFERROR(DATE(VALUE(RIGHT(RIGHT(TRIM(A145),10),4)),VALUE(MID(RIGHT(TRIM(A145),10),4,2)),VALUE(LEFT(RIGHT(TRIM(A145),10),2))),IFERROR(TODAY()-MOD(WEEKDAY(TODAY(),1)-MATCH(TRIM(A145),{"الأحد","الاثنين","الثلاثاء","الأربعاء","الخميس","الجمعة","السبت"},0),7),IFERROR(DATEVALUE(A145),"")))))</f>
        <v/>
      </c>
      <c r="L145" s="0" t="str">
        <f aca="false">IF(K145="","",INT((K145-WEEK_ONE)/7)+1)</f>
        <v/>
      </c>
      <c r="M145" s="0" t="str">
        <f aca="false">IF(L145="","",IF(OR(L145&lt;1,L145&gt;NW),"",INDEX(WMON,L145)))</f>
        <v/>
      </c>
    </row>
    <row r="146" customFormat="false" ht="15" hidden="false" customHeight="false" outlineLevel="0" collapsed="false">
      <c r="A146" s="43"/>
      <c r="B146" s="23" t="str">
        <f aca="false">IF(K146="","",CHOOSE(WEEKDAY(K146,1),"الأحد","الاثنين","الثلاثاء","الأربعاء","الخميس","الجمعة","السبت")&amp;IF(OR(ISNUMBER(A146),LEN(TRIM(A146))&gt;=10),"","  "&amp;TEXT(DAY(K146),"00")&amp;"/"&amp;TEXT(MONTH(K146),"00")&amp;"/"&amp;YEAR(K146)))</f>
        <v/>
      </c>
      <c r="C146" s="24"/>
      <c r="D146" s="24"/>
      <c r="E146" s="44"/>
      <c r="F146" s="44"/>
      <c r="G146" s="44"/>
      <c r="H146" s="27"/>
      <c r="J146" s="0" t="n">
        <v>137</v>
      </c>
      <c r="K146" s="0" t="str">
        <f aca="true">IF(A146="","",IF(ISNUMBER(A146),IF(A146&gt;=36526,A146,""),IFERROR(DATE(VALUE(RIGHT(RIGHT(TRIM(A146),10),4)),VALUE(MID(RIGHT(TRIM(A146),10),4,2)),VALUE(LEFT(RIGHT(TRIM(A146),10),2))),IFERROR(TODAY()-MOD(WEEKDAY(TODAY(),1)-MATCH(TRIM(A146),{"الأحد","الاثنين","الثلاثاء","الأربعاء","الخميس","الجمعة","السبت"},0),7),IFERROR(DATEVALUE(A146),"")))))</f>
        <v/>
      </c>
      <c r="L146" s="0" t="str">
        <f aca="false">IF(K146="","",INT((K146-WEEK_ONE)/7)+1)</f>
        <v/>
      </c>
      <c r="M146" s="0" t="str">
        <f aca="false">IF(L146="","",IF(OR(L146&lt;1,L146&gt;NW),"",INDEX(WMON,L146)))</f>
        <v/>
      </c>
    </row>
    <row r="147" customFormat="false" ht="15" hidden="false" customHeight="false" outlineLevel="0" collapsed="false">
      <c r="A147" s="43"/>
      <c r="B147" s="23" t="str">
        <f aca="false">IF(K147="","",CHOOSE(WEEKDAY(K147,1),"الأحد","الاثنين","الثلاثاء","الأربعاء","الخميس","الجمعة","السبت")&amp;IF(OR(ISNUMBER(A147),LEN(TRIM(A147))&gt;=10),"","  "&amp;TEXT(DAY(K147),"00")&amp;"/"&amp;TEXT(MONTH(K147),"00")&amp;"/"&amp;YEAR(K147)))</f>
        <v/>
      </c>
      <c r="C147" s="24"/>
      <c r="D147" s="24"/>
      <c r="E147" s="44"/>
      <c r="F147" s="44"/>
      <c r="G147" s="44"/>
      <c r="H147" s="27"/>
      <c r="J147" s="0" t="n">
        <v>138</v>
      </c>
      <c r="K147" s="0" t="str">
        <f aca="true">IF(A147="","",IF(ISNUMBER(A147),IF(A147&gt;=36526,A147,""),IFERROR(DATE(VALUE(RIGHT(RIGHT(TRIM(A147),10),4)),VALUE(MID(RIGHT(TRIM(A147),10),4,2)),VALUE(LEFT(RIGHT(TRIM(A147),10),2))),IFERROR(TODAY()-MOD(WEEKDAY(TODAY(),1)-MATCH(TRIM(A147),{"الأحد","الاثنين","الثلاثاء","الأربعاء","الخميس","الجمعة","السبت"},0),7),IFERROR(DATEVALUE(A147),"")))))</f>
        <v/>
      </c>
      <c r="L147" s="0" t="str">
        <f aca="false">IF(K147="","",INT((K147-WEEK_ONE)/7)+1)</f>
        <v/>
      </c>
      <c r="M147" s="0" t="str">
        <f aca="false">IF(L147="","",IF(OR(L147&lt;1,L147&gt;NW),"",INDEX(WMON,L147)))</f>
        <v/>
      </c>
    </row>
    <row r="148" customFormat="false" ht="15" hidden="false" customHeight="false" outlineLevel="0" collapsed="false">
      <c r="A148" s="43"/>
      <c r="B148" s="23" t="str">
        <f aca="false">IF(K148="","",CHOOSE(WEEKDAY(K148,1),"الأحد","الاثنين","الثلاثاء","الأربعاء","الخميس","الجمعة","السبت")&amp;IF(OR(ISNUMBER(A148),LEN(TRIM(A148))&gt;=10),"","  "&amp;TEXT(DAY(K148),"00")&amp;"/"&amp;TEXT(MONTH(K148),"00")&amp;"/"&amp;YEAR(K148)))</f>
        <v/>
      </c>
      <c r="C148" s="24"/>
      <c r="D148" s="24"/>
      <c r="E148" s="44"/>
      <c r="F148" s="44"/>
      <c r="G148" s="44"/>
      <c r="H148" s="27"/>
      <c r="J148" s="0" t="n">
        <v>139</v>
      </c>
      <c r="K148" s="0" t="str">
        <f aca="true">IF(A148="","",IF(ISNUMBER(A148),IF(A148&gt;=36526,A148,""),IFERROR(DATE(VALUE(RIGHT(RIGHT(TRIM(A148),10),4)),VALUE(MID(RIGHT(TRIM(A148),10),4,2)),VALUE(LEFT(RIGHT(TRIM(A148),10),2))),IFERROR(TODAY()-MOD(WEEKDAY(TODAY(),1)-MATCH(TRIM(A148),{"الأحد","الاثنين","الثلاثاء","الأربعاء","الخميس","الجمعة","السبت"},0),7),IFERROR(DATEVALUE(A148),"")))))</f>
        <v/>
      </c>
      <c r="L148" s="0" t="str">
        <f aca="false">IF(K148="","",INT((K148-WEEK_ONE)/7)+1)</f>
        <v/>
      </c>
      <c r="M148" s="0" t="str">
        <f aca="false">IF(L148="","",IF(OR(L148&lt;1,L148&gt;NW),"",INDEX(WMON,L148)))</f>
        <v/>
      </c>
    </row>
    <row r="149" customFormat="false" ht="15" hidden="false" customHeight="false" outlineLevel="0" collapsed="false">
      <c r="A149" s="43"/>
      <c r="B149" s="23" t="str">
        <f aca="false">IF(K149="","",CHOOSE(WEEKDAY(K149,1),"الأحد","الاثنين","الثلاثاء","الأربعاء","الخميس","الجمعة","السبت")&amp;IF(OR(ISNUMBER(A149),LEN(TRIM(A149))&gt;=10),"","  "&amp;TEXT(DAY(K149),"00")&amp;"/"&amp;TEXT(MONTH(K149),"00")&amp;"/"&amp;YEAR(K149)))</f>
        <v/>
      </c>
      <c r="C149" s="24"/>
      <c r="D149" s="24"/>
      <c r="E149" s="44"/>
      <c r="F149" s="44"/>
      <c r="G149" s="44"/>
      <c r="H149" s="27"/>
      <c r="J149" s="0" t="n">
        <v>140</v>
      </c>
      <c r="K149" s="0" t="str">
        <f aca="true">IF(A149="","",IF(ISNUMBER(A149),IF(A149&gt;=36526,A149,""),IFERROR(DATE(VALUE(RIGHT(RIGHT(TRIM(A149),10),4)),VALUE(MID(RIGHT(TRIM(A149),10),4,2)),VALUE(LEFT(RIGHT(TRIM(A149),10),2))),IFERROR(TODAY()-MOD(WEEKDAY(TODAY(),1)-MATCH(TRIM(A149),{"الأحد","الاثنين","الثلاثاء","الأربعاء","الخميس","الجمعة","السبت"},0),7),IFERROR(DATEVALUE(A149),"")))))</f>
        <v/>
      </c>
      <c r="L149" s="0" t="str">
        <f aca="false">IF(K149="","",INT((K149-WEEK_ONE)/7)+1)</f>
        <v/>
      </c>
      <c r="M149" s="0" t="str">
        <f aca="false">IF(L149="","",IF(OR(L149&lt;1,L149&gt;NW),"",INDEX(WMON,L149)))</f>
        <v/>
      </c>
    </row>
    <row r="150" customFormat="false" ht="15" hidden="false" customHeight="false" outlineLevel="0" collapsed="false">
      <c r="A150" s="43"/>
      <c r="B150" s="23" t="str">
        <f aca="false">IF(K150="","",CHOOSE(WEEKDAY(K150,1),"الأحد","الاثنين","الثلاثاء","الأربعاء","الخميس","الجمعة","السبت")&amp;IF(OR(ISNUMBER(A150),LEN(TRIM(A150))&gt;=10),"","  "&amp;TEXT(DAY(K150),"00")&amp;"/"&amp;TEXT(MONTH(K150),"00")&amp;"/"&amp;YEAR(K150)))</f>
        <v/>
      </c>
      <c r="C150" s="24"/>
      <c r="D150" s="24"/>
      <c r="E150" s="44"/>
      <c r="F150" s="44"/>
      <c r="G150" s="44"/>
      <c r="H150" s="27"/>
      <c r="J150" s="0" t="n">
        <v>141</v>
      </c>
      <c r="K150" s="0" t="str">
        <f aca="true">IF(A150="","",IF(ISNUMBER(A150),IF(A150&gt;=36526,A150,""),IFERROR(DATE(VALUE(RIGHT(RIGHT(TRIM(A150),10),4)),VALUE(MID(RIGHT(TRIM(A150),10),4,2)),VALUE(LEFT(RIGHT(TRIM(A150),10),2))),IFERROR(TODAY()-MOD(WEEKDAY(TODAY(),1)-MATCH(TRIM(A150),{"الأحد","الاثنين","الثلاثاء","الأربعاء","الخميس","الجمعة","السبت"},0),7),IFERROR(DATEVALUE(A150),"")))))</f>
        <v/>
      </c>
      <c r="L150" s="0" t="str">
        <f aca="false">IF(K150="","",INT((K150-WEEK_ONE)/7)+1)</f>
        <v/>
      </c>
      <c r="M150" s="0" t="str">
        <f aca="false">IF(L150="","",IF(OR(L150&lt;1,L150&gt;NW),"",INDEX(WMON,L150)))</f>
        <v/>
      </c>
    </row>
    <row r="151" customFormat="false" ht="15" hidden="false" customHeight="false" outlineLevel="0" collapsed="false">
      <c r="A151" s="43"/>
      <c r="B151" s="23" t="str">
        <f aca="false">IF(K151="","",CHOOSE(WEEKDAY(K151,1),"الأحد","الاثنين","الثلاثاء","الأربعاء","الخميس","الجمعة","السبت")&amp;IF(OR(ISNUMBER(A151),LEN(TRIM(A151))&gt;=10),"","  "&amp;TEXT(DAY(K151),"00")&amp;"/"&amp;TEXT(MONTH(K151),"00")&amp;"/"&amp;YEAR(K151)))</f>
        <v/>
      </c>
      <c r="C151" s="24"/>
      <c r="D151" s="24"/>
      <c r="E151" s="44"/>
      <c r="F151" s="44"/>
      <c r="G151" s="44"/>
      <c r="H151" s="27"/>
      <c r="J151" s="0" t="n">
        <v>142</v>
      </c>
      <c r="K151" s="0" t="str">
        <f aca="true">IF(A151="","",IF(ISNUMBER(A151),IF(A151&gt;=36526,A151,""),IFERROR(DATE(VALUE(RIGHT(RIGHT(TRIM(A151),10),4)),VALUE(MID(RIGHT(TRIM(A151),10),4,2)),VALUE(LEFT(RIGHT(TRIM(A151),10),2))),IFERROR(TODAY()-MOD(WEEKDAY(TODAY(),1)-MATCH(TRIM(A151),{"الأحد","الاثنين","الثلاثاء","الأربعاء","الخميس","الجمعة","السبت"},0),7),IFERROR(DATEVALUE(A151),"")))))</f>
        <v/>
      </c>
      <c r="L151" s="0" t="str">
        <f aca="false">IF(K151="","",INT((K151-WEEK_ONE)/7)+1)</f>
        <v/>
      </c>
      <c r="M151" s="0" t="str">
        <f aca="false">IF(L151="","",IF(OR(L151&lt;1,L151&gt;NW),"",INDEX(WMON,L151)))</f>
        <v/>
      </c>
    </row>
    <row r="152" customFormat="false" ht="15" hidden="false" customHeight="false" outlineLevel="0" collapsed="false">
      <c r="A152" s="43"/>
      <c r="B152" s="23" t="str">
        <f aca="false">IF(K152="","",CHOOSE(WEEKDAY(K152,1),"الأحد","الاثنين","الثلاثاء","الأربعاء","الخميس","الجمعة","السبت")&amp;IF(OR(ISNUMBER(A152),LEN(TRIM(A152))&gt;=10),"","  "&amp;TEXT(DAY(K152),"00")&amp;"/"&amp;TEXT(MONTH(K152),"00")&amp;"/"&amp;YEAR(K152)))</f>
        <v/>
      </c>
      <c r="C152" s="24"/>
      <c r="D152" s="24"/>
      <c r="E152" s="44"/>
      <c r="F152" s="44"/>
      <c r="G152" s="44"/>
      <c r="H152" s="27"/>
      <c r="J152" s="0" t="n">
        <v>143</v>
      </c>
      <c r="K152" s="0" t="str">
        <f aca="true">IF(A152="","",IF(ISNUMBER(A152),IF(A152&gt;=36526,A152,""),IFERROR(DATE(VALUE(RIGHT(RIGHT(TRIM(A152),10),4)),VALUE(MID(RIGHT(TRIM(A152),10),4,2)),VALUE(LEFT(RIGHT(TRIM(A152),10),2))),IFERROR(TODAY()-MOD(WEEKDAY(TODAY(),1)-MATCH(TRIM(A152),{"الأحد","الاثنين","الثلاثاء","الأربعاء","الخميس","الجمعة","السبت"},0),7),IFERROR(DATEVALUE(A152),"")))))</f>
        <v/>
      </c>
      <c r="L152" s="0" t="str">
        <f aca="false">IF(K152="","",INT((K152-WEEK_ONE)/7)+1)</f>
        <v/>
      </c>
      <c r="M152" s="0" t="str">
        <f aca="false">IF(L152="","",IF(OR(L152&lt;1,L152&gt;NW),"",INDEX(WMON,L152)))</f>
        <v/>
      </c>
    </row>
    <row r="153" customFormat="false" ht="15" hidden="false" customHeight="false" outlineLevel="0" collapsed="false">
      <c r="A153" s="43"/>
      <c r="B153" s="23" t="str">
        <f aca="false">IF(K153="","",CHOOSE(WEEKDAY(K153,1),"الأحد","الاثنين","الثلاثاء","الأربعاء","الخميس","الجمعة","السبت")&amp;IF(OR(ISNUMBER(A153),LEN(TRIM(A153))&gt;=10),"","  "&amp;TEXT(DAY(K153),"00")&amp;"/"&amp;TEXT(MONTH(K153),"00")&amp;"/"&amp;YEAR(K153)))</f>
        <v/>
      </c>
      <c r="C153" s="24"/>
      <c r="D153" s="24"/>
      <c r="E153" s="44"/>
      <c r="F153" s="44"/>
      <c r="G153" s="44"/>
      <c r="H153" s="27"/>
      <c r="J153" s="0" t="n">
        <v>144</v>
      </c>
      <c r="K153" s="0" t="str">
        <f aca="true">IF(A153="","",IF(ISNUMBER(A153),IF(A153&gt;=36526,A153,""),IFERROR(DATE(VALUE(RIGHT(RIGHT(TRIM(A153),10),4)),VALUE(MID(RIGHT(TRIM(A153),10),4,2)),VALUE(LEFT(RIGHT(TRIM(A153),10),2))),IFERROR(TODAY()-MOD(WEEKDAY(TODAY(),1)-MATCH(TRIM(A153),{"الأحد","الاثنين","الثلاثاء","الأربعاء","الخميس","الجمعة","السبت"},0),7),IFERROR(DATEVALUE(A153),"")))))</f>
        <v/>
      </c>
      <c r="L153" s="0" t="str">
        <f aca="false">IF(K153="","",INT((K153-WEEK_ONE)/7)+1)</f>
        <v/>
      </c>
      <c r="M153" s="0" t="str">
        <f aca="false">IF(L153="","",IF(OR(L153&lt;1,L153&gt;NW),"",INDEX(WMON,L153)))</f>
        <v/>
      </c>
    </row>
    <row r="154" customFormat="false" ht="15" hidden="false" customHeight="false" outlineLevel="0" collapsed="false">
      <c r="A154" s="43"/>
      <c r="B154" s="23" t="str">
        <f aca="false">IF(K154="","",CHOOSE(WEEKDAY(K154,1),"الأحد","الاثنين","الثلاثاء","الأربعاء","الخميس","الجمعة","السبت")&amp;IF(OR(ISNUMBER(A154),LEN(TRIM(A154))&gt;=10),"","  "&amp;TEXT(DAY(K154),"00")&amp;"/"&amp;TEXT(MONTH(K154),"00")&amp;"/"&amp;YEAR(K154)))</f>
        <v/>
      </c>
      <c r="C154" s="24"/>
      <c r="D154" s="24"/>
      <c r="E154" s="44"/>
      <c r="F154" s="44"/>
      <c r="G154" s="44"/>
      <c r="H154" s="27"/>
      <c r="J154" s="0" t="n">
        <v>145</v>
      </c>
      <c r="K154" s="0" t="str">
        <f aca="true">IF(A154="","",IF(ISNUMBER(A154),IF(A154&gt;=36526,A154,""),IFERROR(DATE(VALUE(RIGHT(RIGHT(TRIM(A154),10),4)),VALUE(MID(RIGHT(TRIM(A154),10),4,2)),VALUE(LEFT(RIGHT(TRIM(A154),10),2))),IFERROR(TODAY()-MOD(WEEKDAY(TODAY(),1)-MATCH(TRIM(A154),{"الأحد","الاثنين","الثلاثاء","الأربعاء","الخميس","الجمعة","السبت"},0),7),IFERROR(DATEVALUE(A154),"")))))</f>
        <v/>
      </c>
      <c r="L154" s="0" t="str">
        <f aca="false">IF(K154="","",INT((K154-WEEK_ONE)/7)+1)</f>
        <v/>
      </c>
      <c r="M154" s="0" t="str">
        <f aca="false">IF(L154="","",IF(OR(L154&lt;1,L154&gt;NW),"",INDEX(WMON,L154)))</f>
        <v/>
      </c>
    </row>
    <row r="155" customFormat="false" ht="15" hidden="false" customHeight="false" outlineLevel="0" collapsed="false">
      <c r="A155" s="43"/>
      <c r="B155" s="23" t="str">
        <f aca="false">IF(K155="","",CHOOSE(WEEKDAY(K155,1),"الأحد","الاثنين","الثلاثاء","الأربعاء","الخميس","الجمعة","السبت")&amp;IF(OR(ISNUMBER(A155),LEN(TRIM(A155))&gt;=10),"","  "&amp;TEXT(DAY(K155),"00")&amp;"/"&amp;TEXT(MONTH(K155),"00")&amp;"/"&amp;YEAR(K155)))</f>
        <v/>
      </c>
      <c r="C155" s="24"/>
      <c r="D155" s="24"/>
      <c r="E155" s="44"/>
      <c r="F155" s="44"/>
      <c r="G155" s="44"/>
      <c r="H155" s="27"/>
      <c r="J155" s="0" t="n">
        <v>146</v>
      </c>
      <c r="K155" s="0" t="str">
        <f aca="true">IF(A155="","",IF(ISNUMBER(A155),IF(A155&gt;=36526,A155,""),IFERROR(DATE(VALUE(RIGHT(RIGHT(TRIM(A155),10),4)),VALUE(MID(RIGHT(TRIM(A155),10),4,2)),VALUE(LEFT(RIGHT(TRIM(A155),10),2))),IFERROR(TODAY()-MOD(WEEKDAY(TODAY(),1)-MATCH(TRIM(A155),{"الأحد","الاثنين","الثلاثاء","الأربعاء","الخميس","الجمعة","السبت"},0),7),IFERROR(DATEVALUE(A155),"")))))</f>
        <v/>
      </c>
      <c r="L155" s="0" t="str">
        <f aca="false">IF(K155="","",INT((K155-WEEK_ONE)/7)+1)</f>
        <v/>
      </c>
      <c r="M155" s="0" t="str">
        <f aca="false">IF(L155="","",IF(OR(L155&lt;1,L155&gt;NW),"",INDEX(WMON,L155)))</f>
        <v/>
      </c>
    </row>
    <row r="156" customFormat="false" ht="15" hidden="false" customHeight="false" outlineLevel="0" collapsed="false">
      <c r="A156" s="43"/>
      <c r="B156" s="23" t="str">
        <f aca="false">IF(K156="","",CHOOSE(WEEKDAY(K156,1),"الأحد","الاثنين","الثلاثاء","الأربعاء","الخميس","الجمعة","السبت")&amp;IF(OR(ISNUMBER(A156),LEN(TRIM(A156))&gt;=10),"","  "&amp;TEXT(DAY(K156),"00")&amp;"/"&amp;TEXT(MONTH(K156),"00")&amp;"/"&amp;YEAR(K156)))</f>
        <v/>
      </c>
      <c r="C156" s="24"/>
      <c r="D156" s="24"/>
      <c r="E156" s="44"/>
      <c r="F156" s="44"/>
      <c r="G156" s="44"/>
      <c r="H156" s="27"/>
      <c r="J156" s="0" t="n">
        <v>147</v>
      </c>
      <c r="K156" s="0" t="str">
        <f aca="true">IF(A156="","",IF(ISNUMBER(A156),IF(A156&gt;=36526,A156,""),IFERROR(DATE(VALUE(RIGHT(RIGHT(TRIM(A156),10),4)),VALUE(MID(RIGHT(TRIM(A156),10),4,2)),VALUE(LEFT(RIGHT(TRIM(A156),10),2))),IFERROR(TODAY()-MOD(WEEKDAY(TODAY(),1)-MATCH(TRIM(A156),{"الأحد","الاثنين","الثلاثاء","الأربعاء","الخميس","الجمعة","السبت"},0),7),IFERROR(DATEVALUE(A156),"")))))</f>
        <v/>
      </c>
      <c r="L156" s="0" t="str">
        <f aca="false">IF(K156="","",INT((K156-WEEK_ONE)/7)+1)</f>
        <v/>
      </c>
      <c r="M156" s="0" t="str">
        <f aca="false">IF(L156="","",IF(OR(L156&lt;1,L156&gt;NW),"",INDEX(WMON,L156)))</f>
        <v/>
      </c>
    </row>
    <row r="157" customFormat="false" ht="15" hidden="false" customHeight="false" outlineLevel="0" collapsed="false">
      <c r="A157" s="43"/>
      <c r="B157" s="23" t="str">
        <f aca="false">IF(K157="","",CHOOSE(WEEKDAY(K157,1),"الأحد","الاثنين","الثلاثاء","الأربعاء","الخميس","الجمعة","السبت")&amp;IF(OR(ISNUMBER(A157),LEN(TRIM(A157))&gt;=10),"","  "&amp;TEXT(DAY(K157),"00")&amp;"/"&amp;TEXT(MONTH(K157),"00")&amp;"/"&amp;YEAR(K157)))</f>
        <v/>
      </c>
      <c r="C157" s="24"/>
      <c r="D157" s="24"/>
      <c r="E157" s="44"/>
      <c r="F157" s="44"/>
      <c r="G157" s="44"/>
      <c r="H157" s="27"/>
      <c r="J157" s="0" t="n">
        <v>148</v>
      </c>
      <c r="K157" s="0" t="str">
        <f aca="true">IF(A157="","",IF(ISNUMBER(A157),IF(A157&gt;=36526,A157,""),IFERROR(DATE(VALUE(RIGHT(RIGHT(TRIM(A157),10),4)),VALUE(MID(RIGHT(TRIM(A157),10),4,2)),VALUE(LEFT(RIGHT(TRIM(A157),10),2))),IFERROR(TODAY()-MOD(WEEKDAY(TODAY(),1)-MATCH(TRIM(A157),{"الأحد","الاثنين","الثلاثاء","الأربعاء","الخميس","الجمعة","السبت"},0),7),IFERROR(DATEVALUE(A157),"")))))</f>
        <v/>
      </c>
      <c r="L157" s="0" t="str">
        <f aca="false">IF(K157="","",INT((K157-WEEK_ONE)/7)+1)</f>
        <v/>
      </c>
      <c r="M157" s="0" t="str">
        <f aca="false">IF(L157="","",IF(OR(L157&lt;1,L157&gt;NW),"",INDEX(WMON,L157)))</f>
        <v/>
      </c>
    </row>
    <row r="158" customFormat="false" ht="15" hidden="false" customHeight="false" outlineLevel="0" collapsed="false">
      <c r="A158" s="43"/>
      <c r="B158" s="23" t="str">
        <f aca="false">IF(K158="","",CHOOSE(WEEKDAY(K158,1),"الأحد","الاثنين","الثلاثاء","الأربعاء","الخميس","الجمعة","السبت")&amp;IF(OR(ISNUMBER(A158),LEN(TRIM(A158))&gt;=10),"","  "&amp;TEXT(DAY(K158),"00")&amp;"/"&amp;TEXT(MONTH(K158),"00")&amp;"/"&amp;YEAR(K158)))</f>
        <v/>
      </c>
      <c r="C158" s="24"/>
      <c r="D158" s="24"/>
      <c r="E158" s="44"/>
      <c r="F158" s="44"/>
      <c r="G158" s="44"/>
      <c r="H158" s="27"/>
      <c r="J158" s="0" t="n">
        <v>149</v>
      </c>
      <c r="K158" s="0" t="str">
        <f aca="true">IF(A158="","",IF(ISNUMBER(A158),IF(A158&gt;=36526,A158,""),IFERROR(DATE(VALUE(RIGHT(RIGHT(TRIM(A158),10),4)),VALUE(MID(RIGHT(TRIM(A158),10),4,2)),VALUE(LEFT(RIGHT(TRIM(A158),10),2))),IFERROR(TODAY()-MOD(WEEKDAY(TODAY(),1)-MATCH(TRIM(A158),{"الأحد","الاثنين","الثلاثاء","الأربعاء","الخميس","الجمعة","السبت"},0),7),IFERROR(DATEVALUE(A158),"")))))</f>
        <v/>
      </c>
      <c r="L158" s="0" t="str">
        <f aca="false">IF(K158="","",INT((K158-WEEK_ONE)/7)+1)</f>
        <v/>
      </c>
      <c r="M158" s="0" t="str">
        <f aca="false">IF(L158="","",IF(OR(L158&lt;1,L158&gt;NW),"",INDEX(WMON,L158)))</f>
        <v/>
      </c>
    </row>
    <row r="159" customFormat="false" ht="15" hidden="false" customHeight="false" outlineLevel="0" collapsed="false">
      <c r="A159" s="43"/>
      <c r="B159" s="23" t="str">
        <f aca="false">IF(K159="","",CHOOSE(WEEKDAY(K159,1),"الأحد","الاثنين","الثلاثاء","الأربعاء","الخميس","الجمعة","السبت")&amp;IF(OR(ISNUMBER(A159),LEN(TRIM(A159))&gt;=10),"","  "&amp;TEXT(DAY(K159),"00")&amp;"/"&amp;TEXT(MONTH(K159),"00")&amp;"/"&amp;YEAR(K159)))</f>
        <v/>
      </c>
      <c r="C159" s="24"/>
      <c r="D159" s="24"/>
      <c r="E159" s="44"/>
      <c r="F159" s="44"/>
      <c r="G159" s="44"/>
      <c r="H159" s="27"/>
      <c r="J159" s="0" t="n">
        <v>150</v>
      </c>
      <c r="K159" s="0" t="str">
        <f aca="true">IF(A159="","",IF(ISNUMBER(A159),IF(A159&gt;=36526,A159,""),IFERROR(DATE(VALUE(RIGHT(RIGHT(TRIM(A159),10),4)),VALUE(MID(RIGHT(TRIM(A159),10),4,2)),VALUE(LEFT(RIGHT(TRIM(A159),10),2))),IFERROR(TODAY()-MOD(WEEKDAY(TODAY(),1)-MATCH(TRIM(A159),{"الأحد","الاثنين","الثلاثاء","الأربعاء","الخميس","الجمعة","السبت"},0),7),IFERROR(DATEVALUE(A159),"")))))</f>
        <v/>
      </c>
      <c r="L159" s="0" t="str">
        <f aca="false">IF(K159="","",INT((K159-WEEK_ONE)/7)+1)</f>
        <v/>
      </c>
      <c r="M159" s="0" t="str">
        <f aca="false">IF(L159="","",IF(OR(L159&lt;1,L159&gt;NW),"",INDEX(WMON,L159)))</f>
        <v/>
      </c>
    </row>
    <row r="160" customFormat="false" ht="15" hidden="false" customHeight="false" outlineLevel="0" collapsed="false">
      <c r="A160" s="43"/>
      <c r="B160" s="23" t="str">
        <f aca="false">IF(K160="","",CHOOSE(WEEKDAY(K160,1),"الأحد","الاثنين","الثلاثاء","الأربعاء","الخميس","الجمعة","السبت")&amp;IF(OR(ISNUMBER(A160),LEN(TRIM(A160))&gt;=10),"","  "&amp;TEXT(DAY(K160),"00")&amp;"/"&amp;TEXT(MONTH(K160),"00")&amp;"/"&amp;YEAR(K160)))</f>
        <v/>
      </c>
      <c r="C160" s="24"/>
      <c r="D160" s="24"/>
      <c r="E160" s="44"/>
      <c r="F160" s="44"/>
      <c r="G160" s="44"/>
      <c r="H160" s="27"/>
      <c r="J160" s="0" t="n">
        <v>151</v>
      </c>
      <c r="K160" s="0" t="str">
        <f aca="true">IF(A160="","",IF(ISNUMBER(A160),IF(A160&gt;=36526,A160,""),IFERROR(DATE(VALUE(RIGHT(RIGHT(TRIM(A160),10),4)),VALUE(MID(RIGHT(TRIM(A160),10),4,2)),VALUE(LEFT(RIGHT(TRIM(A160),10),2))),IFERROR(TODAY()-MOD(WEEKDAY(TODAY(),1)-MATCH(TRIM(A160),{"الأحد","الاثنين","الثلاثاء","الأربعاء","الخميس","الجمعة","السبت"},0),7),IFERROR(DATEVALUE(A160),"")))))</f>
        <v/>
      </c>
      <c r="L160" s="0" t="str">
        <f aca="false">IF(K160="","",INT((K160-WEEK_ONE)/7)+1)</f>
        <v/>
      </c>
      <c r="M160" s="0" t="str">
        <f aca="false">IF(L160="","",IF(OR(L160&lt;1,L160&gt;NW),"",INDEX(WMON,L160)))</f>
        <v/>
      </c>
    </row>
    <row r="161" customFormat="false" ht="15" hidden="false" customHeight="false" outlineLevel="0" collapsed="false">
      <c r="A161" s="43"/>
      <c r="B161" s="23" t="str">
        <f aca="false">IF(K161="","",CHOOSE(WEEKDAY(K161,1),"الأحد","الاثنين","الثلاثاء","الأربعاء","الخميس","الجمعة","السبت")&amp;IF(OR(ISNUMBER(A161),LEN(TRIM(A161))&gt;=10),"","  "&amp;TEXT(DAY(K161),"00")&amp;"/"&amp;TEXT(MONTH(K161),"00")&amp;"/"&amp;YEAR(K161)))</f>
        <v/>
      </c>
      <c r="C161" s="24"/>
      <c r="D161" s="24"/>
      <c r="E161" s="44"/>
      <c r="F161" s="44"/>
      <c r="G161" s="44"/>
      <c r="H161" s="27"/>
      <c r="J161" s="0" t="n">
        <v>152</v>
      </c>
      <c r="K161" s="0" t="str">
        <f aca="true">IF(A161="","",IF(ISNUMBER(A161),IF(A161&gt;=36526,A161,""),IFERROR(DATE(VALUE(RIGHT(RIGHT(TRIM(A161),10),4)),VALUE(MID(RIGHT(TRIM(A161),10),4,2)),VALUE(LEFT(RIGHT(TRIM(A161),10),2))),IFERROR(TODAY()-MOD(WEEKDAY(TODAY(),1)-MATCH(TRIM(A161),{"الأحد","الاثنين","الثلاثاء","الأربعاء","الخميس","الجمعة","السبت"},0),7),IFERROR(DATEVALUE(A161),"")))))</f>
        <v/>
      </c>
      <c r="L161" s="0" t="str">
        <f aca="false">IF(K161="","",INT((K161-WEEK_ONE)/7)+1)</f>
        <v/>
      </c>
      <c r="M161" s="0" t="str">
        <f aca="false">IF(L161="","",IF(OR(L161&lt;1,L161&gt;NW),"",INDEX(WMON,L161)))</f>
        <v/>
      </c>
    </row>
    <row r="162" customFormat="false" ht="15" hidden="false" customHeight="false" outlineLevel="0" collapsed="false">
      <c r="A162" s="43"/>
      <c r="B162" s="23" t="str">
        <f aca="false">IF(K162="","",CHOOSE(WEEKDAY(K162,1),"الأحد","الاثنين","الثلاثاء","الأربعاء","الخميس","الجمعة","السبت")&amp;IF(OR(ISNUMBER(A162),LEN(TRIM(A162))&gt;=10),"","  "&amp;TEXT(DAY(K162),"00")&amp;"/"&amp;TEXT(MONTH(K162),"00")&amp;"/"&amp;YEAR(K162)))</f>
        <v/>
      </c>
      <c r="C162" s="24"/>
      <c r="D162" s="24"/>
      <c r="E162" s="44"/>
      <c r="F162" s="44"/>
      <c r="G162" s="44"/>
      <c r="H162" s="27"/>
      <c r="J162" s="0" t="n">
        <v>153</v>
      </c>
      <c r="K162" s="0" t="str">
        <f aca="true">IF(A162="","",IF(ISNUMBER(A162),IF(A162&gt;=36526,A162,""),IFERROR(DATE(VALUE(RIGHT(RIGHT(TRIM(A162),10),4)),VALUE(MID(RIGHT(TRIM(A162),10),4,2)),VALUE(LEFT(RIGHT(TRIM(A162),10),2))),IFERROR(TODAY()-MOD(WEEKDAY(TODAY(),1)-MATCH(TRIM(A162),{"الأحد","الاثنين","الثلاثاء","الأربعاء","الخميس","الجمعة","السبت"},0),7),IFERROR(DATEVALUE(A162),"")))))</f>
        <v/>
      </c>
      <c r="L162" s="0" t="str">
        <f aca="false">IF(K162="","",INT((K162-WEEK_ONE)/7)+1)</f>
        <v/>
      </c>
      <c r="M162" s="0" t="str">
        <f aca="false">IF(L162="","",IF(OR(L162&lt;1,L162&gt;NW),"",INDEX(WMON,L162)))</f>
        <v/>
      </c>
    </row>
    <row r="163" customFormat="false" ht="15" hidden="false" customHeight="false" outlineLevel="0" collapsed="false">
      <c r="A163" s="43"/>
      <c r="B163" s="23" t="str">
        <f aca="false">IF(K163="","",CHOOSE(WEEKDAY(K163,1),"الأحد","الاثنين","الثلاثاء","الأربعاء","الخميس","الجمعة","السبت")&amp;IF(OR(ISNUMBER(A163),LEN(TRIM(A163))&gt;=10),"","  "&amp;TEXT(DAY(K163),"00")&amp;"/"&amp;TEXT(MONTH(K163),"00")&amp;"/"&amp;YEAR(K163)))</f>
        <v/>
      </c>
      <c r="C163" s="24"/>
      <c r="D163" s="24"/>
      <c r="E163" s="44"/>
      <c r="F163" s="44"/>
      <c r="G163" s="44"/>
      <c r="H163" s="27"/>
      <c r="J163" s="0" t="n">
        <v>154</v>
      </c>
      <c r="K163" s="0" t="str">
        <f aca="true">IF(A163="","",IF(ISNUMBER(A163),IF(A163&gt;=36526,A163,""),IFERROR(DATE(VALUE(RIGHT(RIGHT(TRIM(A163),10),4)),VALUE(MID(RIGHT(TRIM(A163),10),4,2)),VALUE(LEFT(RIGHT(TRIM(A163),10),2))),IFERROR(TODAY()-MOD(WEEKDAY(TODAY(),1)-MATCH(TRIM(A163),{"الأحد","الاثنين","الثلاثاء","الأربعاء","الخميس","الجمعة","السبت"},0),7),IFERROR(DATEVALUE(A163),"")))))</f>
        <v/>
      </c>
      <c r="L163" s="0" t="str">
        <f aca="false">IF(K163="","",INT((K163-WEEK_ONE)/7)+1)</f>
        <v/>
      </c>
      <c r="M163" s="0" t="str">
        <f aca="false">IF(L163="","",IF(OR(L163&lt;1,L163&gt;NW),"",INDEX(WMON,L163)))</f>
        <v/>
      </c>
    </row>
    <row r="164" customFormat="false" ht="15" hidden="false" customHeight="false" outlineLevel="0" collapsed="false">
      <c r="A164" s="43"/>
      <c r="B164" s="23" t="str">
        <f aca="false">IF(K164="","",CHOOSE(WEEKDAY(K164,1),"الأحد","الاثنين","الثلاثاء","الأربعاء","الخميس","الجمعة","السبت")&amp;IF(OR(ISNUMBER(A164),LEN(TRIM(A164))&gt;=10),"","  "&amp;TEXT(DAY(K164),"00")&amp;"/"&amp;TEXT(MONTH(K164),"00")&amp;"/"&amp;YEAR(K164)))</f>
        <v/>
      </c>
      <c r="C164" s="24"/>
      <c r="D164" s="24"/>
      <c r="E164" s="44"/>
      <c r="F164" s="44"/>
      <c r="G164" s="44"/>
      <c r="H164" s="27"/>
      <c r="J164" s="0" t="n">
        <v>155</v>
      </c>
      <c r="K164" s="0" t="str">
        <f aca="true">IF(A164="","",IF(ISNUMBER(A164),IF(A164&gt;=36526,A164,""),IFERROR(DATE(VALUE(RIGHT(RIGHT(TRIM(A164),10),4)),VALUE(MID(RIGHT(TRIM(A164),10),4,2)),VALUE(LEFT(RIGHT(TRIM(A164),10),2))),IFERROR(TODAY()-MOD(WEEKDAY(TODAY(),1)-MATCH(TRIM(A164),{"الأحد","الاثنين","الثلاثاء","الأربعاء","الخميس","الجمعة","السبت"},0),7),IFERROR(DATEVALUE(A164),"")))))</f>
        <v/>
      </c>
      <c r="L164" s="0" t="str">
        <f aca="false">IF(K164="","",INT((K164-WEEK_ONE)/7)+1)</f>
        <v/>
      </c>
      <c r="M164" s="0" t="str">
        <f aca="false">IF(L164="","",IF(OR(L164&lt;1,L164&gt;NW),"",INDEX(WMON,L164)))</f>
        <v/>
      </c>
    </row>
    <row r="165" customFormat="false" ht="15" hidden="false" customHeight="false" outlineLevel="0" collapsed="false">
      <c r="A165" s="43"/>
      <c r="B165" s="23" t="str">
        <f aca="false">IF(K165="","",CHOOSE(WEEKDAY(K165,1),"الأحد","الاثنين","الثلاثاء","الأربعاء","الخميس","الجمعة","السبت")&amp;IF(OR(ISNUMBER(A165),LEN(TRIM(A165))&gt;=10),"","  "&amp;TEXT(DAY(K165),"00")&amp;"/"&amp;TEXT(MONTH(K165),"00")&amp;"/"&amp;YEAR(K165)))</f>
        <v/>
      </c>
      <c r="C165" s="24"/>
      <c r="D165" s="24"/>
      <c r="E165" s="44"/>
      <c r="F165" s="44"/>
      <c r="G165" s="44"/>
      <c r="H165" s="27"/>
      <c r="J165" s="0" t="n">
        <v>156</v>
      </c>
      <c r="K165" s="0" t="str">
        <f aca="true">IF(A165="","",IF(ISNUMBER(A165),IF(A165&gt;=36526,A165,""),IFERROR(DATE(VALUE(RIGHT(RIGHT(TRIM(A165),10),4)),VALUE(MID(RIGHT(TRIM(A165),10),4,2)),VALUE(LEFT(RIGHT(TRIM(A165),10),2))),IFERROR(TODAY()-MOD(WEEKDAY(TODAY(),1)-MATCH(TRIM(A165),{"الأحد","الاثنين","الثلاثاء","الأربعاء","الخميس","الجمعة","السبت"},0),7),IFERROR(DATEVALUE(A165),"")))))</f>
        <v/>
      </c>
      <c r="L165" s="0" t="str">
        <f aca="false">IF(K165="","",INT((K165-WEEK_ONE)/7)+1)</f>
        <v/>
      </c>
      <c r="M165" s="0" t="str">
        <f aca="false">IF(L165="","",IF(OR(L165&lt;1,L165&gt;NW),"",INDEX(WMON,L165)))</f>
        <v/>
      </c>
    </row>
    <row r="166" customFormat="false" ht="15" hidden="false" customHeight="false" outlineLevel="0" collapsed="false">
      <c r="A166" s="43"/>
      <c r="B166" s="23" t="str">
        <f aca="false">IF(K166="","",CHOOSE(WEEKDAY(K166,1),"الأحد","الاثنين","الثلاثاء","الأربعاء","الخميس","الجمعة","السبت")&amp;IF(OR(ISNUMBER(A166),LEN(TRIM(A166))&gt;=10),"","  "&amp;TEXT(DAY(K166),"00")&amp;"/"&amp;TEXT(MONTH(K166),"00")&amp;"/"&amp;YEAR(K166)))</f>
        <v/>
      </c>
      <c r="C166" s="24"/>
      <c r="D166" s="24"/>
      <c r="E166" s="44"/>
      <c r="F166" s="44"/>
      <c r="G166" s="44"/>
      <c r="H166" s="27"/>
      <c r="J166" s="0" t="n">
        <v>157</v>
      </c>
      <c r="K166" s="0" t="str">
        <f aca="true">IF(A166="","",IF(ISNUMBER(A166),IF(A166&gt;=36526,A166,""),IFERROR(DATE(VALUE(RIGHT(RIGHT(TRIM(A166),10),4)),VALUE(MID(RIGHT(TRIM(A166),10),4,2)),VALUE(LEFT(RIGHT(TRIM(A166),10),2))),IFERROR(TODAY()-MOD(WEEKDAY(TODAY(),1)-MATCH(TRIM(A166),{"الأحد","الاثنين","الثلاثاء","الأربعاء","الخميس","الجمعة","السبت"},0),7),IFERROR(DATEVALUE(A166),"")))))</f>
        <v/>
      </c>
      <c r="L166" s="0" t="str">
        <f aca="false">IF(K166="","",INT((K166-WEEK_ONE)/7)+1)</f>
        <v/>
      </c>
      <c r="M166" s="0" t="str">
        <f aca="false">IF(L166="","",IF(OR(L166&lt;1,L166&gt;NW),"",INDEX(WMON,L166)))</f>
        <v/>
      </c>
    </row>
    <row r="167" customFormat="false" ht="15" hidden="false" customHeight="false" outlineLevel="0" collapsed="false">
      <c r="A167" s="43"/>
      <c r="B167" s="23" t="str">
        <f aca="false">IF(K167="","",CHOOSE(WEEKDAY(K167,1),"الأحد","الاثنين","الثلاثاء","الأربعاء","الخميس","الجمعة","السبت")&amp;IF(OR(ISNUMBER(A167),LEN(TRIM(A167))&gt;=10),"","  "&amp;TEXT(DAY(K167),"00")&amp;"/"&amp;TEXT(MONTH(K167),"00")&amp;"/"&amp;YEAR(K167)))</f>
        <v/>
      </c>
      <c r="C167" s="24"/>
      <c r="D167" s="24"/>
      <c r="E167" s="44"/>
      <c r="F167" s="44"/>
      <c r="G167" s="44"/>
      <c r="H167" s="27"/>
      <c r="J167" s="0" t="n">
        <v>158</v>
      </c>
      <c r="K167" s="0" t="str">
        <f aca="true">IF(A167="","",IF(ISNUMBER(A167),IF(A167&gt;=36526,A167,""),IFERROR(DATE(VALUE(RIGHT(RIGHT(TRIM(A167),10),4)),VALUE(MID(RIGHT(TRIM(A167),10),4,2)),VALUE(LEFT(RIGHT(TRIM(A167),10),2))),IFERROR(TODAY()-MOD(WEEKDAY(TODAY(),1)-MATCH(TRIM(A167),{"الأحد","الاثنين","الثلاثاء","الأربعاء","الخميس","الجمعة","السبت"},0),7),IFERROR(DATEVALUE(A167),"")))))</f>
        <v/>
      </c>
      <c r="L167" s="0" t="str">
        <f aca="false">IF(K167="","",INT((K167-WEEK_ONE)/7)+1)</f>
        <v/>
      </c>
      <c r="M167" s="0" t="str">
        <f aca="false">IF(L167="","",IF(OR(L167&lt;1,L167&gt;NW),"",INDEX(WMON,L167)))</f>
        <v/>
      </c>
    </row>
    <row r="168" customFormat="false" ht="15" hidden="false" customHeight="false" outlineLevel="0" collapsed="false">
      <c r="A168" s="43"/>
      <c r="B168" s="23" t="str">
        <f aca="false">IF(K168="","",CHOOSE(WEEKDAY(K168,1),"الأحد","الاثنين","الثلاثاء","الأربعاء","الخميس","الجمعة","السبت")&amp;IF(OR(ISNUMBER(A168),LEN(TRIM(A168))&gt;=10),"","  "&amp;TEXT(DAY(K168),"00")&amp;"/"&amp;TEXT(MONTH(K168),"00")&amp;"/"&amp;YEAR(K168)))</f>
        <v/>
      </c>
      <c r="C168" s="24"/>
      <c r="D168" s="24"/>
      <c r="E168" s="44"/>
      <c r="F168" s="44"/>
      <c r="G168" s="44"/>
      <c r="H168" s="27"/>
      <c r="J168" s="0" t="n">
        <v>159</v>
      </c>
      <c r="K168" s="0" t="str">
        <f aca="true">IF(A168="","",IF(ISNUMBER(A168),IF(A168&gt;=36526,A168,""),IFERROR(DATE(VALUE(RIGHT(RIGHT(TRIM(A168),10),4)),VALUE(MID(RIGHT(TRIM(A168),10),4,2)),VALUE(LEFT(RIGHT(TRIM(A168),10),2))),IFERROR(TODAY()-MOD(WEEKDAY(TODAY(),1)-MATCH(TRIM(A168),{"الأحد","الاثنين","الثلاثاء","الأربعاء","الخميس","الجمعة","السبت"},0),7),IFERROR(DATEVALUE(A168),"")))))</f>
        <v/>
      </c>
      <c r="L168" s="0" t="str">
        <f aca="false">IF(K168="","",INT((K168-WEEK_ONE)/7)+1)</f>
        <v/>
      </c>
      <c r="M168" s="0" t="str">
        <f aca="false">IF(L168="","",IF(OR(L168&lt;1,L168&gt;NW),"",INDEX(WMON,L168)))</f>
        <v/>
      </c>
    </row>
    <row r="169" customFormat="false" ht="15" hidden="false" customHeight="false" outlineLevel="0" collapsed="false">
      <c r="A169" s="43"/>
      <c r="B169" s="23" t="str">
        <f aca="false">IF(K169="","",CHOOSE(WEEKDAY(K169,1),"الأحد","الاثنين","الثلاثاء","الأربعاء","الخميس","الجمعة","السبت")&amp;IF(OR(ISNUMBER(A169),LEN(TRIM(A169))&gt;=10),"","  "&amp;TEXT(DAY(K169),"00")&amp;"/"&amp;TEXT(MONTH(K169),"00")&amp;"/"&amp;YEAR(K169)))</f>
        <v/>
      </c>
      <c r="C169" s="24"/>
      <c r="D169" s="24"/>
      <c r="E169" s="44"/>
      <c r="F169" s="44"/>
      <c r="G169" s="44"/>
      <c r="H169" s="27"/>
      <c r="J169" s="0" t="n">
        <v>160</v>
      </c>
      <c r="K169" s="0" t="str">
        <f aca="true">IF(A169="","",IF(ISNUMBER(A169),IF(A169&gt;=36526,A169,""),IFERROR(DATE(VALUE(RIGHT(RIGHT(TRIM(A169),10),4)),VALUE(MID(RIGHT(TRIM(A169),10),4,2)),VALUE(LEFT(RIGHT(TRIM(A169),10),2))),IFERROR(TODAY()-MOD(WEEKDAY(TODAY(),1)-MATCH(TRIM(A169),{"الأحد","الاثنين","الثلاثاء","الأربعاء","الخميس","الجمعة","السبت"},0),7),IFERROR(DATEVALUE(A169),"")))))</f>
        <v/>
      </c>
      <c r="L169" s="0" t="str">
        <f aca="false">IF(K169="","",INT((K169-WEEK_ONE)/7)+1)</f>
        <v/>
      </c>
      <c r="M169" s="0" t="str">
        <f aca="false">IF(L169="","",IF(OR(L169&lt;1,L169&gt;NW),"",INDEX(WMON,L169)))</f>
        <v/>
      </c>
    </row>
    <row r="170" customFormat="false" ht="15" hidden="false" customHeight="false" outlineLevel="0" collapsed="false">
      <c r="A170" s="43"/>
      <c r="B170" s="23" t="str">
        <f aca="false">IF(K170="","",CHOOSE(WEEKDAY(K170,1),"الأحد","الاثنين","الثلاثاء","الأربعاء","الخميس","الجمعة","السبت")&amp;IF(OR(ISNUMBER(A170),LEN(TRIM(A170))&gt;=10),"","  "&amp;TEXT(DAY(K170),"00")&amp;"/"&amp;TEXT(MONTH(K170),"00")&amp;"/"&amp;YEAR(K170)))</f>
        <v/>
      </c>
      <c r="C170" s="24"/>
      <c r="D170" s="24"/>
      <c r="E170" s="44"/>
      <c r="F170" s="44"/>
      <c r="G170" s="44"/>
      <c r="H170" s="27"/>
      <c r="J170" s="0" t="n">
        <v>161</v>
      </c>
      <c r="K170" s="0" t="str">
        <f aca="true">IF(A170="","",IF(ISNUMBER(A170),IF(A170&gt;=36526,A170,""),IFERROR(DATE(VALUE(RIGHT(RIGHT(TRIM(A170),10),4)),VALUE(MID(RIGHT(TRIM(A170),10),4,2)),VALUE(LEFT(RIGHT(TRIM(A170),10),2))),IFERROR(TODAY()-MOD(WEEKDAY(TODAY(),1)-MATCH(TRIM(A170),{"الأحد","الاثنين","الثلاثاء","الأربعاء","الخميس","الجمعة","السبت"},0),7),IFERROR(DATEVALUE(A170),"")))))</f>
        <v/>
      </c>
      <c r="L170" s="0" t="str">
        <f aca="false">IF(K170="","",INT((K170-WEEK_ONE)/7)+1)</f>
        <v/>
      </c>
      <c r="M170" s="0" t="str">
        <f aca="false">IF(L170="","",IF(OR(L170&lt;1,L170&gt;NW),"",INDEX(WMON,L170)))</f>
        <v/>
      </c>
    </row>
    <row r="171" customFormat="false" ht="15" hidden="false" customHeight="false" outlineLevel="0" collapsed="false">
      <c r="A171" s="43"/>
      <c r="B171" s="23" t="str">
        <f aca="false">IF(K171="","",CHOOSE(WEEKDAY(K171,1),"الأحد","الاثنين","الثلاثاء","الأربعاء","الخميس","الجمعة","السبت")&amp;IF(OR(ISNUMBER(A171),LEN(TRIM(A171))&gt;=10),"","  "&amp;TEXT(DAY(K171),"00")&amp;"/"&amp;TEXT(MONTH(K171),"00")&amp;"/"&amp;YEAR(K171)))</f>
        <v/>
      </c>
      <c r="C171" s="24"/>
      <c r="D171" s="24"/>
      <c r="E171" s="44"/>
      <c r="F171" s="44"/>
      <c r="G171" s="44"/>
      <c r="H171" s="27"/>
      <c r="J171" s="0" t="n">
        <v>162</v>
      </c>
      <c r="K171" s="0" t="str">
        <f aca="true">IF(A171="","",IF(ISNUMBER(A171),IF(A171&gt;=36526,A171,""),IFERROR(DATE(VALUE(RIGHT(RIGHT(TRIM(A171),10),4)),VALUE(MID(RIGHT(TRIM(A171),10),4,2)),VALUE(LEFT(RIGHT(TRIM(A171),10),2))),IFERROR(TODAY()-MOD(WEEKDAY(TODAY(),1)-MATCH(TRIM(A171),{"الأحد","الاثنين","الثلاثاء","الأربعاء","الخميس","الجمعة","السبت"},0),7),IFERROR(DATEVALUE(A171),"")))))</f>
        <v/>
      </c>
      <c r="L171" s="0" t="str">
        <f aca="false">IF(K171="","",INT((K171-WEEK_ONE)/7)+1)</f>
        <v/>
      </c>
      <c r="M171" s="0" t="str">
        <f aca="false">IF(L171="","",IF(OR(L171&lt;1,L171&gt;NW),"",INDEX(WMON,L171)))</f>
        <v/>
      </c>
    </row>
    <row r="172" customFormat="false" ht="15" hidden="false" customHeight="false" outlineLevel="0" collapsed="false">
      <c r="A172" s="43"/>
      <c r="B172" s="23" t="str">
        <f aca="false">IF(K172="","",CHOOSE(WEEKDAY(K172,1),"الأحد","الاثنين","الثلاثاء","الأربعاء","الخميس","الجمعة","السبت")&amp;IF(OR(ISNUMBER(A172),LEN(TRIM(A172))&gt;=10),"","  "&amp;TEXT(DAY(K172),"00")&amp;"/"&amp;TEXT(MONTH(K172),"00")&amp;"/"&amp;YEAR(K172)))</f>
        <v/>
      </c>
      <c r="C172" s="24"/>
      <c r="D172" s="24"/>
      <c r="E172" s="44"/>
      <c r="F172" s="44"/>
      <c r="G172" s="44"/>
      <c r="H172" s="27"/>
      <c r="J172" s="0" t="n">
        <v>163</v>
      </c>
      <c r="K172" s="0" t="str">
        <f aca="true">IF(A172="","",IF(ISNUMBER(A172),IF(A172&gt;=36526,A172,""),IFERROR(DATE(VALUE(RIGHT(RIGHT(TRIM(A172),10),4)),VALUE(MID(RIGHT(TRIM(A172),10),4,2)),VALUE(LEFT(RIGHT(TRIM(A172),10),2))),IFERROR(TODAY()-MOD(WEEKDAY(TODAY(),1)-MATCH(TRIM(A172),{"الأحد","الاثنين","الثلاثاء","الأربعاء","الخميس","الجمعة","السبت"},0),7),IFERROR(DATEVALUE(A172),"")))))</f>
        <v/>
      </c>
      <c r="L172" s="0" t="str">
        <f aca="false">IF(K172="","",INT((K172-WEEK_ONE)/7)+1)</f>
        <v/>
      </c>
      <c r="M172" s="0" t="str">
        <f aca="false">IF(L172="","",IF(OR(L172&lt;1,L172&gt;NW),"",INDEX(WMON,L172)))</f>
        <v/>
      </c>
    </row>
    <row r="173" customFormat="false" ht="15" hidden="false" customHeight="false" outlineLevel="0" collapsed="false">
      <c r="A173" s="43"/>
      <c r="B173" s="23" t="str">
        <f aca="false">IF(K173="","",CHOOSE(WEEKDAY(K173,1),"الأحد","الاثنين","الثلاثاء","الأربعاء","الخميس","الجمعة","السبت")&amp;IF(OR(ISNUMBER(A173),LEN(TRIM(A173))&gt;=10),"","  "&amp;TEXT(DAY(K173),"00")&amp;"/"&amp;TEXT(MONTH(K173),"00")&amp;"/"&amp;YEAR(K173)))</f>
        <v/>
      </c>
      <c r="C173" s="24"/>
      <c r="D173" s="24"/>
      <c r="E173" s="44"/>
      <c r="F173" s="44"/>
      <c r="G173" s="44"/>
      <c r="H173" s="27"/>
      <c r="J173" s="0" t="n">
        <v>164</v>
      </c>
      <c r="K173" s="0" t="str">
        <f aca="true">IF(A173="","",IF(ISNUMBER(A173),IF(A173&gt;=36526,A173,""),IFERROR(DATE(VALUE(RIGHT(RIGHT(TRIM(A173),10),4)),VALUE(MID(RIGHT(TRIM(A173),10),4,2)),VALUE(LEFT(RIGHT(TRIM(A173),10),2))),IFERROR(TODAY()-MOD(WEEKDAY(TODAY(),1)-MATCH(TRIM(A173),{"الأحد","الاثنين","الثلاثاء","الأربعاء","الخميس","الجمعة","السبت"},0),7),IFERROR(DATEVALUE(A173),"")))))</f>
        <v/>
      </c>
      <c r="L173" s="0" t="str">
        <f aca="false">IF(K173="","",INT((K173-WEEK_ONE)/7)+1)</f>
        <v/>
      </c>
      <c r="M173" s="0" t="str">
        <f aca="false">IF(L173="","",IF(OR(L173&lt;1,L173&gt;NW),"",INDEX(WMON,L173)))</f>
        <v/>
      </c>
    </row>
    <row r="174" customFormat="false" ht="15" hidden="false" customHeight="false" outlineLevel="0" collapsed="false">
      <c r="A174" s="43"/>
      <c r="B174" s="23" t="str">
        <f aca="false">IF(K174="","",CHOOSE(WEEKDAY(K174,1),"الأحد","الاثنين","الثلاثاء","الأربعاء","الخميس","الجمعة","السبت")&amp;IF(OR(ISNUMBER(A174),LEN(TRIM(A174))&gt;=10),"","  "&amp;TEXT(DAY(K174),"00")&amp;"/"&amp;TEXT(MONTH(K174),"00")&amp;"/"&amp;YEAR(K174)))</f>
        <v/>
      </c>
      <c r="C174" s="24"/>
      <c r="D174" s="24"/>
      <c r="E174" s="44"/>
      <c r="F174" s="44"/>
      <c r="G174" s="44"/>
      <c r="H174" s="27"/>
      <c r="J174" s="0" t="n">
        <v>165</v>
      </c>
      <c r="K174" s="0" t="str">
        <f aca="true">IF(A174="","",IF(ISNUMBER(A174),IF(A174&gt;=36526,A174,""),IFERROR(DATE(VALUE(RIGHT(RIGHT(TRIM(A174),10),4)),VALUE(MID(RIGHT(TRIM(A174),10),4,2)),VALUE(LEFT(RIGHT(TRIM(A174),10),2))),IFERROR(TODAY()-MOD(WEEKDAY(TODAY(),1)-MATCH(TRIM(A174),{"الأحد","الاثنين","الثلاثاء","الأربعاء","الخميس","الجمعة","السبت"},0),7),IFERROR(DATEVALUE(A174),"")))))</f>
        <v/>
      </c>
      <c r="L174" s="0" t="str">
        <f aca="false">IF(K174="","",INT((K174-WEEK_ONE)/7)+1)</f>
        <v/>
      </c>
      <c r="M174" s="0" t="str">
        <f aca="false">IF(L174="","",IF(OR(L174&lt;1,L174&gt;NW),"",INDEX(WMON,L174)))</f>
        <v/>
      </c>
    </row>
    <row r="175" customFormat="false" ht="15" hidden="false" customHeight="false" outlineLevel="0" collapsed="false">
      <c r="A175" s="43"/>
      <c r="B175" s="23" t="str">
        <f aca="false">IF(K175="","",CHOOSE(WEEKDAY(K175,1),"الأحد","الاثنين","الثلاثاء","الأربعاء","الخميس","الجمعة","السبت")&amp;IF(OR(ISNUMBER(A175),LEN(TRIM(A175))&gt;=10),"","  "&amp;TEXT(DAY(K175),"00")&amp;"/"&amp;TEXT(MONTH(K175),"00")&amp;"/"&amp;YEAR(K175)))</f>
        <v/>
      </c>
      <c r="C175" s="24"/>
      <c r="D175" s="24"/>
      <c r="E175" s="44"/>
      <c r="F175" s="44"/>
      <c r="G175" s="44"/>
      <c r="H175" s="27"/>
      <c r="J175" s="0" t="n">
        <v>166</v>
      </c>
      <c r="K175" s="0" t="str">
        <f aca="true">IF(A175="","",IF(ISNUMBER(A175),IF(A175&gt;=36526,A175,""),IFERROR(DATE(VALUE(RIGHT(RIGHT(TRIM(A175),10),4)),VALUE(MID(RIGHT(TRIM(A175),10),4,2)),VALUE(LEFT(RIGHT(TRIM(A175),10),2))),IFERROR(TODAY()-MOD(WEEKDAY(TODAY(),1)-MATCH(TRIM(A175),{"الأحد","الاثنين","الثلاثاء","الأربعاء","الخميس","الجمعة","السبت"},0),7),IFERROR(DATEVALUE(A175),"")))))</f>
        <v/>
      </c>
      <c r="L175" s="0" t="str">
        <f aca="false">IF(K175="","",INT((K175-WEEK_ONE)/7)+1)</f>
        <v/>
      </c>
      <c r="M175" s="0" t="str">
        <f aca="false">IF(L175="","",IF(OR(L175&lt;1,L175&gt;NW),"",INDEX(WMON,L175)))</f>
        <v/>
      </c>
    </row>
    <row r="176" customFormat="false" ht="15" hidden="false" customHeight="false" outlineLevel="0" collapsed="false">
      <c r="A176" s="43"/>
      <c r="B176" s="23" t="str">
        <f aca="false">IF(K176="","",CHOOSE(WEEKDAY(K176,1),"الأحد","الاثنين","الثلاثاء","الأربعاء","الخميس","الجمعة","السبت")&amp;IF(OR(ISNUMBER(A176),LEN(TRIM(A176))&gt;=10),"","  "&amp;TEXT(DAY(K176),"00")&amp;"/"&amp;TEXT(MONTH(K176),"00")&amp;"/"&amp;YEAR(K176)))</f>
        <v/>
      </c>
      <c r="C176" s="24"/>
      <c r="D176" s="24"/>
      <c r="E176" s="44"/>
      <c r="F176" s="44"/>
      <c r="G176" s="44"/>
      <c r="H176" s="27"/>
      <c r="J176" s="0" t="n">
        <v>167</v>
      </c>
      <c r="K176" s="0" t="str">
        <f aca="true">IF(A176="","",IF(ISNUMBER(A176),IF(A176&gt;=36526,A176,""),IFERROR(DATE(VALUE(RIGHT(RIGHT(TRIM(A176),10),4)),VALUE(MID(RIGHT(TRIM(A176),10),4,2)),VALUE(LEFT(RIGHT(TRIM(A176),10),2))),IFERROR(TODAY()-MOD(WEEKDAY(TODAY(),1)-MATCH(TRIM(A176),{"الأحد","الاثنين","الثلاثاء","الأربعاء","الخميس","الجمعة","السبت"},0),7),IFERROR(DATEVALUE(A176),"")))))</f>
        <v/>
      </c>
      <c r="L176" s="0" t="str">
        <f aca="false">IF(K176="","",INT((K176-WEEK_ONE)/7)+1)</f>
        <v/>
      </c>
      <c r="M176" s="0" t="str">
        <f aca="false">IF(L176="","",IF(OR(L176&lt;1,L176&gt;NW),"",INDEX(WMON,L176)))</f>
        <v/>
      </c>
    </row>
    <row r="177" customFormat="false" ht="15" hidden="false" customHeight="false" outlineLevel="0" collapsed="false">
      <c r="A177" s="43"/>
      <c r="B177" s="23" t="str">
        <f aca="false">IF(K177="","",CHOOSE(WEEKDAY(K177,1),"الأحد","الاثنين","الثلاثاء","الأربعاء","الخميس","الجمعة","السبت")&amp;IF(OR(ISNUMBER(A177),LEN(TRIM(A177))&gt;=10),"","  "&amp;TEXT(DAY(K177),"00")&amp;"/"&amp;TEXT(MONTH(K177),"00")&amp;"/"&amp;YEAR(K177)))</f>
        <v/>
      </c>
      <c r="C177" s="24"/>
      <c r="D177" s="24"/>
      <c r="E177" s="44"/>
      <c r="F177" s="44"/>
      <c r="G177" s="44"/>
      <c r="H177" s="27"/>
      <c r="J177" s="0" t="n">
        <v>168</v>
      </c>
      <c r="K177" s="0" t="str">
        <f aca="true">IF(A177="","",IF(ISNUMBER(A177),IF(A177&gt;=36526,A177,""),IFERROR(DATE(VALUE(RIGHT(RIGHT(TRIM(A177),10),4)),VALUE(MID(RIGHT(TRIM(A177),10),4,2)),VALUE(LEFT(RIGHT(TRIM(A177),10),2))),IFERROR(TODAY()-MOD(WEEKDAY(TODAY(),1)-MATCH(TRIM(A177),{"الأحد","الاثنين","الثلاثاء","الأربعاء","الخميس","الجمعة","السبت"},0),7),IFERROR(DATEVALUE(A177),"")))))</f>
        <v/>
      </c>
      <c r="L177" s="0" t="str">
        <f aca="false">IF(K177="","",INT((K177-WEEK_ONE)/7)+1)</f>
        <v/>
      </c>
      <c r="M177" s="0" t="str">
        <f aca="false">IF(L177="","",IF(OR(L177&lt;1,L177&gt;NW),"",INDEX(WMON,L177)))</f>
        <v/>
      </c>
    </row>
    <row r="178" customFormat="false" ht="15" hidden="false" customHeight="false" outlineLevel="0" collapsed="false">
      <c r="A178" s="43"/>
      <c r="B178" s="23" t="str">
        <f aca="false">IF(K178="","",CHOOSE(WEEKDAY(K178,1),"الأحد","الاثنين","الثلاثاء","الأربعاء","الخميس","الجمعة","السبت")&amp;IF(OR(ISNUMBER(A178),LEN(TRIM(A178))&gt;=10),"","  "&amp;TEXT(DAY(K178),"00")&amp;"/"&amp;TEXT(MONTH(K178),"00")&amp;"/"&amp;YEAR(K178)))</f>
        <v/>
      </c>
      <c r="C178" s="24"/>
      <c r="D178" s="24"/>
      <c r="E178" s="44"/>
      <c r="F178" s="44"/>
      <c r="G178" s="44"/>
      <c r="H178" s="27"/>
      <c r="J178" s="0" t="n">
        <v>169</v>
      </c>
      <c r="K178" s="0" t="str">
        <f aca="true">IF(A178="","",IF(ISNUMBER(A178),IF(A178&gt;=36526,A178,""),IFERROR(DATE(VALUE(RIGHT(RIGHT(TRIM(A178),10),4)),VALUE(MID(RIGHT(TRIM(A178),10),4,2)),VALUE(LEFT(RIGHT(TRIM(A178),10),2))),IFERROR(TODAY()-MOD(WEEKDAY(TODAY(),1)-MATCH(TRIM(A178),{"الأحد","الاثنين","الثلاثاء","الأربعاء","الخميس","الجمعة","السبت"},0),7),IFERROR(DATEVALUE(A178),"")))))</f>
        <v/>
      </c>
      <c r="L178" s="0" t="str">
        <f aca="false">IF(K178="","",INT((K178-WEEK_ONE)/7)+1)</f>
        <v/>
      </c>
      <c r="M178" s="0" t="str">
        <f aca="false">IF(L178="","",IF(OR(L178&lt;1,L178&gt;NW),"",INDEX(WMON,L178)))</f>
        <v/>
      </c>
    </row>
    <row r="179" customFormat="false" ht="15" hidden="false" customHeight="false" outlineLevel="0" collapsed="false">
      <c r="A179" s="43"/>
      <c r="B179" s="23" t="str">
        <f aca="false">IF(K179="","",CHOOSE(WEEKDAY(K179,1),"الأحد","الاثنين","الثلاثاء","الأربعاء","الخميس","الجمعة","السبت")&amp;IF(OR(ISNUMBER(A179),LEN(TRIM(A179))&gt;=10),"","  "&amp;TEXT(DAY(K179),"00")&amp;"/"&amp;TEXT(MONTH(K179),"00")&amp;"/"&amp;YEAR(K179)))</f>
        <v/>
      </c>
      <c r="C179" s="24"/>
      <c r="D179" s="24"/>
      <c r="E179" s="44"/>
      <c r="F179" s="44"/>
      <c r="G179" s="44"/>
      <c r="H179" s="27"/>
      <c r="J179" s="0" t="n">
        <v>170</v>
      </c>
      <c r="K179" s="0" t="str">
        <f aca="true">IF(A179="","",IF(ISNUMBER(A179),IF(A179&gt;=36526,A179,""),IFERROR(DATE(VALUE(RIGHT(RIGHT(TRIM(A179),10),4)),VALUE(MID(RIGHT(TRIM(A179),10),4,2)),VALUE(LEFT(RIGHT(TRIM(A179),10),2))),IFERROR(TODAY()-MOD(WEEKDAY(TODAY(),1)-MATCH(TRIM(A179),{"الأحد","الاثنين","الثلاثاء","الأربعاء","الخميس","الجمعة","السبت"},0),7),IFERROR(DATEVALUE(A179),"")))))</f>
        <v/>
      </c>
      <c r="L179" s="0" t="str">
        <f aca="false">IF(K179="","",INT((K179-WEEK_ONE)/7)+1)</f>
        <v/>
      </c>
      <c r="M179" s="0" t="str">
        <f aca="false">IF(L179="","",IF(OR(L179&lt;1,L179&gt;NW),"",INDEX(WMON,L179)))</f>
        <v/>
      </c>
    </row>
    <row r="180" customFormat="false" ht="15" hidden="false" customHeight="false" outlineLevel="0" collapsed="false">
      <c r="A180" s="43"/>
      <c r="B180" s="23" t="str">
        <f aca="false">IF(K180="","",CHOOSE(WEEKDAY(K180,1),"الأحد","الاثنين","الثلاثاء","الأربعاء","الخميس","الجمعة","السبت")&amp;IF(OR(ISNUMBER(A180),LEN(TRIM(A180))&gt;=10),"","  "&amp;TEXT(DAY(K180),"00")&amp;"/"&amp;TEXT(MONTH(K180),"00")&amp;"/"&amp;YEAR(K180)))</f>
        <v/>
      </c>
      <c r="C180" s="24"/>
      <c r="D180" s="24"/>
      <c r="E180" s="44"/>
      <c r="F180" s="44"/>
      <c r="G180" s="44"/>
      <c r="H180" s="27"/>
      <c r="J180" s="0" t="n">
        <v>171</v>
      </c>
      <c r="K180" s="0" t="str">
        <f aca="true">IF(A180="","",IF(ISNUMBER(A180),IF(A180&gt;=36526,A180,""),IFERROR(DATE(VALUE(RIGHT(RIGHT(TRIM(A180),10),4)),VALUE(MID(RIGHT(TRIM(A180),10),4,2)),VALUE(LEFT(RIGHT(TRIM(A180),10),2))),IFERROR(TODAY()-MOD(WEEKDAY(TODAY(),1)-MATCH(TRIM(A180),{"الأحد","الاثنين","الثلاثاء","الأربعاء","الخميس","الجمعة","السبت"},0),7),IFERROR(DATEVALUE(A180),"")))))</f>
        <v/>
      </c>
      <c r="L180" s="0" t="str">
        <f aca="false">IF(K180="","",INT((K180-WEEK_ONE)/7)+1)</f>
        <v/>
      </c>
      <c r="M180" s="0" t="str">
        <f aca="false">IF(L180="","",IF(OR(L180&lt;1,L180&gt;NW),"",INDEX(WMON,L180)))</f>
        <v/>
      </c>
    </row>
    <row r="181" customFormat="false" ht="15" hidden="false" customHeight="false" outlineLevel="0" collapsed="false">
      <c r="A181" s="43"/>
      <c r="B181" s="23" t="str">
        <f aca="false">IF(K181="","",CHOOSE(WEEKDAY(K181,1),"الأحد","الاثنين","الثلاثاء","الأربعاء","الخميس","الجمعة","السبت")&amp;IF(OR(ISNUMBER(A181),LEN(TRIM(A181))&gt;=10),"","  "&amp;TEXT(DAY(K181),"00")&amp;"/"&amp;TEXT(MONTH(K181),"00")&amp;"/"&amp;YEAR(K181)))</f>
        <v/>
      </c>
      <c r="C181" s="24"/>
      <c r="D181" s="24"/>
      <c r="E181" s="44"/>
      <c r="F181" s="44"/>
      <c r="G181" s="44"/>
      <c r="H181" s="27"/>
      <c r="J181" s="0" t="n">
        <v>172</v>
      </c>
      <c r="K181" s="0" t="str">
        <f aca="true">IF(A181="","",IF(ISNUMBER(A181),IF(A181&gt;=36526,A181,""),IFERROR(DATE(VALUE(RIGHT(RIGHT(TRIM(A181),10),4)),VALUE(MID(RIGHT(TRIM(A181),10),4,2)),VALUE(LEFT(RIGHT(TRIM(A181),10),2))),IFERROR(TODAY()-MOD(WEEKDAY(TODAY(),1)-MATCH(TRIM(A181),{"الأحد","الاثنين","الثلاثاء","الأربعاء","الخميس","الجمعة","السبت"},0),7),IFERROR(DATEVALUE(A181),"")))))</f>
        <v/>
      </c>
      <c r="L181" s="0" t="str">
        <f aca="false">IF(K181="","",INT((K181-WEEK_ONE)/7)+1)</f>
        <v/>
      </c>
      <c r="M181" s="0" t="str">
        <f aca="false">IF(L181="","",IF(OR(L181&lt;1,L181&gt;NW),"",INDEX(WMON,L181)))</f>
        <v/>
      </c>
    </row>
    <row r="182" customFormat="false" ht="15" hidden="false" customHeight="false" outlineLevel="0" collapsed="false">
      <c r="A182" s="43"/>
      <c r="B182" s="23" t="str">
        <f aca="false">IF(K182="","",CHOOSE(WEEKDAY(K182,1),"الأحد","الاثنين","الثلاثاء","الأربعاء","الخميس","الجمعة","السبت")&amp;IF(OR(ISNUMBER(A182),LEN(TRIM(A182))&gt;=10),"","  "&amp;TEXT(DAY(K182),"00")&amp;"/"&amp;TEXT(MONTH(K182),"00")&amp;"/"&amp;YEAR(K182)))</f>
        <v/>
      </c>
      <c r="C182" s="24"/>
      <c r="D182" s="24"/>
      <c r="E182" s="44"/>
      <c r="F182" s="44"/>
      <c r="G182" s="44"/>
      <c r="H182" s="27"/>
      <c r="J182" s="0" t="n">
        <v>173</v>
      </c>
      <c r="K182" s="0" t="str">
        <f aca="true">IF(A182="","",IF(ISNUMBER(A182),IF(A182&gt;=36526,A182,""),IFERROR(DATE(VALUE(RIGHT(RIGHT(TRIM(A182),10),4)),VALUE(MID(RIGHT(TRIM(A182),10),4,2)),VALUE(LEFT(RIGHT(TRIM(A182),10),2))),IFERROR(TODAY()-MOD(WEEKDAY(TODAY(),1)-MATCH(TRIM(A182),{"الأحد","الاثنين","الثلاثاء","الأربعاء","الخميس","الجمعة","السبت"},0),7),IFERROR(DATEVALUE(A182),"")))))</f>
        <v/>
      </c>
      <c r="L182" s="0" t="str">
        <f aca="false">IF(K182="","",INT((K182-WEEK_ONE)/7)+1)</f>
        <v/>
      </c>
      <c r="M182" s="0" t="str">
        <f aca="false">IF(L182="","",IF(OR(L182&lt;1,L182&gt;NW),"",INDEX(WMON,L182)))</f>
        <v/>
      </c>
    </row>
    <row r="183" customFormat="false" ht="15" hidden="false" customHeight="false" outlineLevel="0" collapsed="false">
      <c r="A183" s="43"/>
      <c r="B183" s="23" t="str">
        <f aca="false">IF(K183="","",CHOOSE(WEEKDAY(K183,1),"الأحد","الاثنين","الثلاثاء","الأربعاء","الخميس","الجمعة","السبت")&amp;IF(OR(ISNUMBER(A183),LEN(TRIM(A183))&gt;=10),"","  "&amp;TEXT(DAY(K183),"00")&amp;"/"&amp;TEXT(MONTH(K183),"00")&amp;"/"&amp;YEAR(K183)))</f>
        <v/>
      </c>
      <c r="C183" s="24"/>
      <c r="D183" s="24"/>
      <c r="E183" s="44"/>
      <c r="F183" s="44"/>
      <c r="G183" s="44"/>
      <c r="H183" s="27"/>
      <c r="J183" s="0" t="n">
        <v>174</v>
      </c>
      <c r="K183" s="0" t="str">
        <f aca="true">IF(A183="","",IF(ISNUMBER(A183),IF(A183&gt;=36526,A183,""),IFERROR(DATE(VALUE(RIGHT(RIGHT(TRIM(A183),10),4)),VALUE(MID(RIGHT(TRIM(A183),10),4,2)),VALUE(LEFT(RIGHT(TRIM(A183),10),2))),IFERROR(TODAY()-MOD(WEEKDAY(TODAY(),1)-MATCH(TRIM(A183),{"الأحد","الاثنين","الثلاثاء","الأربعاء","الخميس","الجمعة","السبت"},0),7),IFERROR(DATEVALUE(A183),"")))))</f>
        <v/>
      </c>
      <c r="L183" s="0" t="str">
        <f aca="false">IF(K183="","",INT((K183-WEEK_ONE)/7)+1)</f>
        <v/>
      </c>
      <c r="M183" s="0" t="str">
        <f aca="false">IF(L183="","",IF(OR(L183&lt;1,L183&gt;NW),"",INDEX(WMON,L183)))</f>
        <v/>
      </c>
    </row>
    <row r="184" customFormat="false" ht="15" hidden="false" customHeight="false" outlineLevel="0" collapsed="false">
      <c r="A184" s="43"/>
      <c r="B184" s="23" t="str">
        <f aca="false">IF(K184="","",CHOOSE(WEEKDAY(K184,1),"الأحد","الاثنين","الثلاثاء","الأربعاء","الخميس","الجمعة","السبت")&amp;IF(OR(ISNUMBER(A184),LEN(TRIM(A184))&gt;=10),"","  "&amp;TEXT(DAY(K184),"00")&amp;"/"&amp;TEXT(MONTH(K184),"00")&amp;"/"&amp;YEAR(K184)))</f>
        <v/>
      </c>
      <c r="C184" s="24"/>
      <c r="D184" s="24"/>
      <c r="E184" s="44"/>
      <c r="F184" s="44"/>
      <c r="G184" s="44"/>
      <c r="H184" s="27"/>
      <c r="J184" s="0" t="n">
        <v>175</v>
      </c>
      <c r="K184" s="0" t="str">
        <f aca="true">IF(A184="","",IF(ISNUMBER(A184),IF(A184&gt;=36526,A184,""),IFERROR(DATE(VALUE(RIGHT(RIGHT(TRIM(A184),10),4)),VALUE(MID(RIGHT(TRIM(A184),10),4,2)),VALUE(LEFT(RIGHT(TRIM(A184),10),2))),IFERROR(TODAY()-MOD(WEEKDAY(TODAY(),1)-MATCH(TRIM(A184),{"الأحد","الاثنين","الثلاثاء","الأربعاء","الخميس","الجمعة","السبت"},0),7),IFERROR(DATEVALUE(A184),"")))))</f>
        <v/>
      </c>
      <c r="L184" s="0" t="str">
        <f aca="false">IF(K184="","",INT((K184-WEEK_ONE)/7)+1)</f>
        <v/>
      </c>
      <c r="M184" s="0" t="str">
        <f aca="false">IF(L184="","",IF(OR(L184&lt;1,L184&gt;NW),"",INDEX(WMON,L184)))</f>
        <v/>
      </c>
    </row>
    <row r="185" customFormat="false" ht="15" hidden="false" customHeight="false" outlineLevel="0" collapsed="false">
      <c r="A185" s="43"/>
      <c r="B185" s="23" t="str">
        <f aca="false">IF(K185="","",CHOOSE(WEEKDAY(K185,1),"الأحد","الاثنين","الثلاثاء","الأربعاء","الخميس","الجمعة","السبت")&amp;IF(OR(ISNUMBER(A185),LEN(TRIM(A185))&gt;=10),"","  "&amp;TEXT(DAY(K185),"00")&amp;"/"&amp;TEXT(MONTH(K185),"00")&amp;"/"&amp;YEAR(K185)))</f>
        <v/>
      </c>
      <c r="C185" s="24"/>
      <c r="D185" s="24"/>
      <c r="E185" s="44"/>
      <c r="F185" s="44"/>
      <c r="G185" s="44"/>
      <c r="H185" s="27"/>
      <c r="J185" s="0" t="n">
        <v>176</v>
      </c>
      <c r="K185" s="0" t="str">
        <f aca="true">IF(A185="","",IF(ISNUMBER(A185),IF(A185&gt;=36526,A185,""),IFERROR(DATE(VALUE(RIGHT(RIGHT(TRIM(A185),10),4)),VALUE(MID(RIGHT(TRIM(A185),10),4,2)),VALUE(LEFT(RIGHT(TRIM(A185),10),2))),IFERROR(TODAY()-MOD(WEEKDAY(TODAY(),1)-MATCH(TRIM(A185),{"الأحد","الاثنين","الثلاثاء","الأربعاء","الخميس","الجمعة","السبت"},0),7),IFERROR(DATEVALUE(A185),"")))))</f>
        <v/>
      </c>
      <c r="L185" s="0" t="str">
        <f aca="false">IF(K185="","",INT((K185-WEEK_ONE)/7)+1)</f>
        <v/>
      </c>
      <c r="M185" s="0" t="str">
        <f aca="false">IF(L185="","",IF(OR(L185&lt;1,L185&gt;NW),"",INDEX(WMON,L185)))</f>
        <v/>
      </c>
    </row>
    <row r="186" customFormat="false" ht="15" hidden="false" customHeight="false" outlineLevel="0" collapsed="false">
      <c r="A186" s="43"/>
      <c r="B186" s="23" t="str">
        <f aca="false">IF(K186="","",CHOOSE(WEEKDAY(K186,1),"الأحد","الاثنين","الثلاثاء","الأربعاء","الخميس","الجمعة","السبت")&amp;IF(OR(ISNUMBER(A186),LEN(TRIM(A186))&gt;=10),"","  "&amp;TEXT(DAY(K186),"00")&amp;"/"&amp;TEXT(MONTH(K186),"00")&amp;"/"&amp;YEAR(K186)))</f>
        <v/>
      </c>
      <c r="C186" s="24"/>
      <c r="D186" s="24"/>
      <c r="E186" s="44"/>
      <c r="F186" s="44"/>
      <c r="G186" s="44"/>
      <c r="H186" s="27"/>
      <c r="J186" s="0" t="n">
        <v>177</v>
      </c>
      <c r="K186" s="0" t="str">
        <f aca="true">IF(A186="","",IF(ISNUMBER(A186),IF(A186&gt;=36526,A186,""),IFERROR(DATE(VALUE(RIGHT(RIGHT(TRIM(A186),10),4)),VALUE(MID(RIGHT(TRIM(A186),10),4,2)),VALUE(LEFT(RIGHT(TRIM(A186),10),2))),IFERROR(TODAY()-MOD(WEEKDAY(TODAY(),1)-MATCH(TRIM(A186),{"الأحد","الاثنين","الثلاثاء","الأربعاء","الخميس","الجمعة","السبت"},0),7),IFERROR(DATEVALUE(A186),"")))))</f>
        <v/>
      </c>
      <c r="L186" s="0" t="str">
        <f aca="false">IF(K186="","",INT((K186-WEEK_ONE)/7)+1)</f>
        <v/>
      </c>
      <c r="M186" s="0" t="str">
        <f aca="false">IF(L186="","",IF(OR(L186&lt;1,L186&gt;NW),"",INDEX(WMON,L186)))</f>
        <v/>
      </c>
    </row>
    <row r="187" customFormat="false" ht="15" hidden="false" customHeight="false" outlineLevel="0" collapsed="false">
      <c r="A187" s="43"/>
      <c r="B187" s="23" t="str">
        <f aca="false">IF(K187="","",CHOOSE(WEEKDAY(K187,1),"الأحد","الاثنين","الثلاثاء","الأربعاء","الخميس","الجمعة","السبت")&amp;IF(OR(ISNUMBER(A187),LEN(TRIM(A187))&gt;=10),"","  "&amp;TEXT(DAY(K187),"00")&amp;"/"&amp;TEXT(MONTH(K187),"00")&amp;"/"&amp;YEAR(K187)))</f>
        <v/>
      </c>
      <c r="C187" s="24"/>
      <c r="D187" s="24"/>
      <c r="E187" s="44"/>
      <c r="F187" s="44"/>
      <c r="G187" s="44"/>
      <c r="H187" s="27"/>
      <c r="J187" s="0" t="n">
        <v>178</v>
      </c>
      <c r="K187" s="0" t="str">
        <f aca="true">IF(A187="","",IF(ISNUMBER(A187),IF(A187&gt;=36526,A187,""),IFERROR(DATE(VALUE(RIGHT(RIGHT(TRIM(A187),10),4)),VALUE(MID(RIGHT(TRIM(A187),10),4,2)),VALUE(LEFT(RIGHT(TRIM(A187),10),2))),IFERROR(TODAY()-MOD(WEEKDAY(TODAY(),1)-MATCH(TRIM(A187),{"الأحد","الاثنين","الثلاثاء","الأربعاء","الخميس","الجمعة","السبت"},0),7),IFERROR(DATEVALUE(A187),"")))))</f>
        <v/>
      </c>
      <c r="L187" s="0" t="str">
        <f aca="false">IF(K187="","",INT((K187-WEEK_ONE)/7)+1)</f>
        <v/>
      </c>
      <c r="M187" s="0" t="str">
        <f aca="false">IF(L187="","",IF(OR(L187&lt;1,L187&gt;NW),"",INDEX(WMON,L187)))</f>
        <v/>
      </c>
    </row>
    <row r="188" customFormat="false" ht="15" hidden="false" customHeight="false" outlineLevel="0" collapsed="false">
      <c r="A188" s="43"/>
      <c r="B188" s="23" t="str">
        <f aca="false">IF(K188="","",CHOOSE(WEEKDAY(K188,1),"الأحد","الاثنين","الثلاثاء","الأربعاء","الخميس","الجمعة","السبت")&amp;IF(OR(ISNUMBER(A188),LEN(TRIM(A188))&gt;=10),"","  "&amp;TEXT(DAY(K188),"00")&amp;"/"&amp;TEXT(MONTH(K188),"00")&amp;"/"&amp;YEAR(K188)))</f>
        <v/>
      </c>
      <c r="C188" s="24"/>
      <c r="D188" s="24"/>
      <c r="E188" s="44"/>
      <c r="F188" s="44"/>
      <c r="G188" s="44"/>
      <c r="H188" s="27"/>
      <c r="J188" s="0" t="n">
        <v>179</v>
      </c>
      <c r="K188" s="0" t="str">
        <f aca="true">IF(A188="","",IF(ISNUMBER(A188),IF(A188&gt;=36526,A188,""),IFERROR(DATE(VALUE(RIGHT(RIGHT(TRIM(A188),10),4)),VALUE(MID(RIGHT(TRIM(A188),10),4,2)),VALUE(LEFT(RIGHT(TRIM(A188),10),2))),IFERROR(TODAY()-MOD(WEEKDAY(TODAY(),1)-MATCH(TRIM(A188),{"الأحد","الاثنين","الثلاثاء","الأربعاء","الخميس","الجمعة","السبت"},0),7),IFERROR(DATEVALUE(A188),"")))))</f>
        <v/>
      </c>
      <c r="L188" s="0" t="str">
        <f aca="false">IF(K188="","",INT((K188-WEEK_ONE)/7)+1)</f>
        <v/>
      </c>
      <c r="M188" s="0" t="str">
        <f aca="false">IF(L188="","",IF(OR(L188&lt;1,L188&gt;NW),"",INDEX(WMON,L188)))</f>
        <v/>
      </c>
    </row>
    <row r="189" customFormat="false" ht="15" hidden="false" customHeight="false" outlineLevel="0" collapsed="false">
      <c r="A189" s="43"/>
      <c r="B189" s="23" t="str">
        <f aca="false">IF(K189="","",CHOOSE(WEEKDAY(K189,1),"الأحد","الاثنين","الثلاثاء","الأربعاء","الخميس","الجمعة","السبت")&amp;IF(OR(ISNUMBER(A189),LEN(TRIM(A189))&gt;=10),"","  "&amp;TEXT(DAY(K189),"00")&amp;"/"&amp;TEXT(MONTH(K189),"00")&amp;"/"&amp;YEAR(K189)))</f>
        <v/>
      </c>
      <c r="C189" s="24"/>
      <c r="D189" s="24"/>
      <c r="E189" s="44"/>
      <c r="F189" s="44"/>
      <c r="G189" s="44"/>
      <c r="H189" s="27"/>
      <c r="J189" s="0" t="n">
        <v>180</v>
      </c>
      <c r="K189" s="0" t="str">
        <f aca="true">IF(A189="","",IF(ISNUMBER(A189),IF(A189&gt;=36526,A189,""),IFERROR(DATE(VALUE(RIGHT(RIGHT(TRIM(A189),10),4)),VALUE(MID(RIGHT(TRIM(A189),10),4,2)),VALUE(LEFT(RIGHT(TRIM(A189),10),2))),IFERROR(TODAY()-MOD(WEEKDAY(TODAY(),1)-MATCH(TRIM(A189),{"الأحد","الاثنين","الثلاثاء","الأربعاء","الخميس","الجمعة","السبت"},0),7),IFERROR(DATEVALUE(A189),"")))))</f>
        <v/>
      </c>
      <c r="L189" s="0" t="str">
        <f aca="false">IF(K189="","",INT((K189-WEEK_ONE)/7)+1)</f>
        <v/>
      </c>
      <c r="M189" s="0" t="str">
        <f aca="false">IF(L189="","",IF(OR(L189&lt;1,L189&gt;NW),"",INDEX(WMON,L189)))</f>
        <v/>
      </c>
    </row>
    <row r="190" customFormat="false" ht="15" hidden="false" customHeight="false" outlineLevel="0" collapsed="false">
      <c r="A190" s="43"/>
      <c r="B190" s="23" t="str">
        <f aca="false">IF(K190="","",CHOOSE(WEEKDAY(K190,1),"الأحد","الاثنين","الثلاثاء","الأربعاء","الخميس","الجمعة","السبت")&amp;IF(OR(ISNUMBER(A190),LEN(TRIM(A190))&gt;=10),"","  "&amp;TEXT(DAY(K190),"00")&amp;"/"&amp;TEXT(MONTH(K190),"00")&amp;"/"&amp;YEAR(K190)))</f>
        <v/>
      </c>
      <c r="C190" s="24"/>
      <c r="D190" s="24"/>
      <c r="E190" s="44"/>
      <c r="F190" s="44"/>
      <c r="G190" s="44"/>
      <c r="H190" s="27"/>
      <c r="J190" s="0" t="n">
        <v>181</v>
      </c>
      <c r="K190" s="0" t="str">
        <f aca="true">IF(A190="","",IF(ISNUMBER(A190),IF(A190&gt;=36526,A190,""),IFERROR(DATE(VALUE(RIGHT(RIGHT(TRIM(A190),10),4)),VALUE(MID(RIGHT(TRIM(A190),10),4,2)),VALUE(LEFT(RIGHT(TRIM(A190),10),2))),IFERROR(TODAY()-MOD(WEEKDAY(TODAY(),1)-MATCH(TRIM(A190),{"الأحد","الاثنين","الثلاثاء","الأربعاء","الخميس","الجمعة","السبت"},0),7),IFERROR(DATEVALUE(A190),"")))))</f>
        <v/>
      </c>
      <c r="L190" s="0" t="str">
        <f aca="false">IF(K190="","",INT((K190-WEEK_ONE)/7)+1)</f>
        <v/>
      </c>
      <c r="M190" s="0" t="str">
        <f aca="false">IF(L190="","",IF(OR(L190&lt;1,L190&gt;NW),"",INDEX(WMON,L190)))</f>
        <v/>
      </c>
    </row>
    <row r="191" customFormat="false" ht="15" hidden="false" customHeight="false" outlineLevel="0" collapsed="false">
      <c r="A191" s="43"/>
      <c r="B191" s="23" t="str">
        <f aca="false">IF(K191="","",CHOOSE(WEEKDAY(K191,1),"الأحد","الاثنين","الثلاثاء","الأربعاء","الخميس","الجمعة","السبت")&amp;IF(OR(ISNUMBER(A191),LEN(TRIM(A191))&gt;=10),"","  "&amp;TEXT(DAY(K191),"00")&amp;"/"&amp;TEXT(MONTH(K191),"00")&amp;"/"&amp;YEAR(K191)))</f>
        <v/>
      </c>
      <c r="C191" s="24"/>
      <c r="D191" s="24"/>
      <c r="E191" s="44"/>
      <c r="F191" s="44"/>
      <c r="G191" s="44"/>
      <c r="H191" s="27"/>
      <c r="J191" s="0" t="n">
        <v>182</v>
      </c>
      <c r="K191" s="0" t="str">
        <f aca="true">IF(A191="","",IF(ISNUMBER(A191),IF(A191&gt;=36526,A191,""),IFERROR(DATE(VALUE(RIGHT(RIGHT(TRIM(A191),10),4)),VALUE(MID(RIGHT(TRIM(A191),10),4,2)),VALUE(LEFT(RIGHT(TRIM(A191),10),2))),IFERROR(TODAY()-MOD(WEEKDAY(TODAY(),1)-MATCH(TRIM(A191),{"الأحد","الاثنين","الثلاثاء","الأربعاء","الخميس","الجمعة","السبت"},0),7),IFERROR(DATEVALUE(A191),"")))))</f>
        <v/>
      </c>
      <c r="L191" s="0" t="str">
        <f aca="false">IF(K191="","",INT((K191-WEEK_ONE)/7)+1)</f>
        <v/>
      </c>
      <c r="M191" s="0" t="str">
        <f aca="false">IF(L191="","",IF(OR(L191&lt;1,L191&gt;NW),"",INDEX(WMON,L191)))</f>
        <v/>
      </c>
    </row>
    <row r="192" customFormat="false" ht="15" hidden="false" customHeight="false" outlineLevel="0" collapsed="false">
      <c r="A192" s="43"/>
      <c r="B192" s="23" t="str">
        <f aca="false">IF(K192="","",CHOOSE(WEEKDAY(K192,1),"الأحد","الاثنين","الثلاثاء","الأربعاء","الخميس","الجمعة","السبت")&amp;IF(OR(ISNUMBER(A192),LEN(TRIM(A192))&gt;=10),"","  "&amp;TEXT(DAY(K192),"00")&amp;"/"&amp;TEXT(MONTH(K192),"00")&amp;"/"&amp;YEAR(K192)))</f>
        <v/>
      </c>
      <c r="C192" s="24"/>
      <c r="D192" s="24"/>
      <c r="E192" s="44"/>
      <c r="F192" s="44"/>
      <c r="G192" s="44"/>
      <c r="H192" s="27"/>
      <c r="J192" s="0" t="n">
        <v>183</v>
      </c>
      <c r="K192" s="0" t="str">
        <f aca="true">IF(A192="","",IF(ISNUMBER(A192),IF(A192&gt;=36526,A192,""),IFERROR(DATE(VALUE(RIGHT(RIGHT(TRIM(A192),10),4)),VALUE(MID(RIGHT(TRIM(A192),10),4,2)),VALUE(LEFT(RIGHT(TRIM(A192),10),2))),IFERROR(TODAY()-MOD(WEEKDAY(TODAY(),1)-MATCH(TRIM(A192),{"الأحد","الاثنين","الثلاثاء","الأربعاء","الخميس","الجمعة","السبت"},0),7),IFERROR(DATEVALUE(A192),"")))))</f>
        <v/>
      </c>
      <c r="L192" s="0" t="str">
        <f aca="false">IF(K192="","",INT((K192-WEEK_ONE)/7)+1)</f>
        <v/>
      </c>
      <c r="M192" s="0" t="str">
        <f aca="false">IF(L192="","",IF(OR(L192&lt;1,L192&gt;NW),"",INDEX(WMON,L192)))</f>
        <v/>
      </c>
    </row>
    <row r="193" customFormat="false" ht="15" hidden="false" customHeight="false" outlineLevel="0" collapsed="false">
      <c r="A193" s="43"/>
      <c r="B193" s="23" t="str">
        <f aca="false">IF(K193="","",CHOOSE(WEEKDAY(K193,1),"الأحد","الاثنين","الثلاثاء","الأربعاء","الخميس","الجمعة","السبت")&amp;IF(OR(ISNUMBER(A193),LEN(TRIM(A193))&gt;=10),"","  "&amp;TEXT(DAY(K193),"00")&amp;"/"&amp;TEXT(MONTH(K193),"00")&amp;"/"&amp;YEAR(K193)))</f>
        <v/>
      </c>
      <c r="C193" s="24"/>
      <c r="D193" s="24"/>
      <c r="E193" s="44"/>
      <c r="F193" s="44"/>
      <c r="G193" s="44"/>
      <c r="H193" s="27"/>
      <c r="J193" s="0" t="n">
        <v>184</v>
      </c>
      <c r="K193" s="0" t="str">
        <f aca="true">IF(A193="","",IF(ISNUMBER(A193),IF(A193&gt;=36526,A193,""),IFERROR(DATE(VALUE(RIGHT(RIGHT(TRIM(A193),10),4)),VALUE(MID(RIGHT(TRIM(A193),10),4,2)),VALUE(LEFT(RIGHT(TRIM(A193),10),2))),IFERROR(TODAY()-MOD(WEEKDAY(TODAY(),1)-MATCH(TRIM(A193),{"الأحد","الاثنين","الثلاثاء","الأربعاء","الخميس","الجمعة","السبت"},0),7),IFERROR(DATEVALUE(A193),"")))))</f>
        <v/>
      </c>
      <c r="L193" s="0" t="str">
        <f aca="false">IF(K193="","",INT((K193-WEEK_ONE)/7)+1)</f>
        <v/>
      </c>
      <c r="M193" s="0" t="str">
        <f aca="false">IF(L193="","",IF(OR(L193&lt;1,L193&gt;NW),"",INDEX(WMON,L193)))</f>
        <v/>
      </c>
    </row>
    <row r="194" customFormat="false" ht="15" hidden="false" customHeight="false" outlineLevel="0" collapsed="false">
      <c r="A194" s="43"/>
      <c r="B194" s="23" t="str">
        <f aca="false">IF(K194="","",CHOOSE(WEEKDAY(K194,1),"الأحد","الاثنين","الثلاثاء","الأربعاء","الخميس","الجمعة","السبت")&amp;IF(OR(ISNUMBER(A194),LEN(TRIM(A194))&gt;=10),"","  "&amp;TEXT(DAY(K194),"00")&amp;"/"&amp;TEXT(MONTH(K194),"00")&amp;"/"&amp;YEAR(K194)))</f>
        <v/>
      </c>
      <c r="C194" s="24"/>
      <c r="D194" s="24"/>
      <c r="E194" s="44"/>
      <c r="F194" s="44"/>
      <c r="G194" s="44"/>
      <c r="H194" s="27"/>
      <c r="J194" s="0" t="n">
        <v>185</v>
      </c>
      <c r="K194" s="0" t="str">
        <f aca="true">IF(A194="","",IF(ISNUMBER(A194),IF(A194&gt;=36526,A194,""),IFERROR(DATE(VALUE(RIGHT(RIGHT(TRIM(A194),10),4)),VALUE(MID(RIGHT(TRIM(A194),10),4,2)),VALUE(LEFT(RIGHT(TRIM(A194),10),2))),IFERROR(TODAY()-MOD(WEEKDAY(TODAY(),1)-MATCH(TRIM(A194),{"الأحد","الاثنين","الثلاثاء","الأربعاء","الخميس","الجمعة","السبت"},0),7),IFERROR(DATEVALUE(A194),"")))))</f>
        <v/>
      </c>
      <c r="L194" s="0" t="str">
        <f aca="false">IF(K194="","",INT((K194-WEEK_ONE)/7)+1)</f>
        <v/>
      </c>
      <c r="M194" s="0" t="str">
        <f aca="false">IF(L194="","",IF(OR(L194&lt;1,L194&gt;NW),"",INDEX(WMON,L194)))</f>
        <v/>
      </c>
    </row>
    <row r="195" customFormat="false" ht="15" hidden="false" customHeight="false" outlineLevel="0" collapsed="false">
      <c r="A195" s="43"/>
      <c r="B195" s="23" t="str">
        <f aca="false">IF(K195="","",CHOOSE(WEEKDAY(K195,1),"الأحد","الاثنين","الثلاثاء","الأربعاء","الخميس","الجمعة","السبت")&amp;IF(OR(ISNUMBER(A195),LEN(TRIM(A195))&gt;=10),"","  "&amp;TEXT(DAY(K195),"00")&amp;"/"&amp;TEXT(MONTH(K195),"00")&amp;"/"&amp;YEAR(K195)))</f>
        <v/>
      </c>
      <c r="C195" s="24"/>
      <c r="D195" s="24"/>
      <c r="E195" s="44"/>
      <c r="F195" s="44"/>
      <c r="G195" s="44"/>
      <c r="H195" s="27"/>
      <c r="J195" s="0" t="n">
        <v>186</v>
      </c>
      <c r="K195" s="0" t="str">
        <f aca="true">IF(A195="","",IF(ISNUMBER(A195),IF(A195&gt;=36526,A195,""),IFERROR(DATE(VALUE(RIGHT(RIGHT(TRIM(A195),10),4)),VALUE(MID(RIGHT(TRIM(A195),10),4,2)),VALUE(LEFT(RIGHT(TRIM(A195),10),2))),IFERROR(TODAY()-MOD(WEEKDAY(TODAY(),1)-MATCH(TRIM(A195),{"الأحد","الاثنين","الثلاثاء","الأربعاء","الخميس","الجمعة","السبت"},0),7),IFERROR(DATEVALUE(A195),"")))))</f>
        <v/>
      </c>
      <c r="L195" s="0" t="str">
        <f aca="false">IF(K195="","",INT((K195-WEEK_ONE)/7)+1)</f>
        <v/>
      </c>
      <c r="M195" s="0" t="str">
        <f aca="false">IF(L195="","",IF(OR(L195&lt;1,L195&gt;NW),"",INDEX(WMON,L195)))</f>
        <v/>
      </c>
    </row>
    <row r="196" customFormat="false" ht="15" hidden="false" customHeight="false" outlineLevel="0" collapsed="false">
      <c r="A196" s="43"/>
      <c r="B196" s="23" t="str">
        <f aca="false">IF(K196="","",CHOOSE(WEEKDAY(K196,1),"الأحد","الاثنين","الثلاثاء","الأربعاء","الخميس","الجمعة","السبت")&amp;IF(OR(ISNUMBER(A196),LEN(TRIM(A196))&gt;=10),"","  "&amp;TEXT(DAY(K196),"00")&amp;"/"&amp;TEXT(MONTH(K196),"00")&amp;"/"&amp;YEAR(K196)))</f>
        <v/>
      </c>
      <c r="C196" s="24"/>
      <c r="D196" s="24"/>
      <c r="E196" s="44"/>
      <c r="F196" s="44"/>
      <c r="G196" s="44"/>
      <c r="H196" s="27"/>
      <c r="J196" s="0" t="n">
        <v>187</v>
      </c>
      <c r="K196" s="0" t="str">
        <f aca="true">IF(A196="","",IF(ISNUMBER(A196),IF(A196&gt;=36526,A196,""),IFERROR(DATE(VALUE(RIGHT(RIGHT(TRIM(A196),10),4)),VALUE(MID(RIGHT(TRIM(A196),10),4,2)),VALUE(LEFT(RIGHT(TRIM(A196),10),2))),IFERROR(TODAY()-MOD(WEEKDAY(TODAY(),1)-MATCH(TRIM(A196),{"الأحد","الاثنين","الثلاثاء","الأربعاء","الخميس","الجمعة","السبت"},0),7),IFERROR(DATEVALUE(A196),"")))))</f>
        <v/>
      </c>
      <c r="L196" s="0" t="str">
        <f aca="false">IF(K196="","",INT((K196-WEEK_ONE)/7)+1)</f>
        <v/>
      </c>
      <c r="M196" s="0" t="str">
        <f aca="false">IF(L196="","",IF(OR(L196&lt;1,L196&gt;NW),"",INDEX(WMON,L196)))</f>
        <v/>
      </c>
    </row>
    <row r="197" customFormat="false" ht="15" hidden="false" customHeight="false" outlineLevel="0" collapsed="false">
      <c r="A197" s="43"/>
      <c r="B197" s="23" t="str">
        <f aca="false">IF(K197="","",CHOOSE(WEEKDAY(K197,1),"الأحد","الاثنين","الثلاثاء","الأربعاء","الخميس","الجمعة","السبت")&amp;IF(OR(ISNUMBER(A197),LEN(TRIM(A197))&gt;=10),"","  "&amp;TEXT(DAY(K197),"00")&amp;"/"&amp;TEXT(MONTH(K197),"00")&amp;"/"&amp;YEAR(K197)))</f>
        <v/>
      </c>
      <c r="C197" s="24"/>
      <c r="D197" s="24"/>
      <c r="E197" s="44"/>
      <c r="F197" s="44"/>
      <c r="G197" s="44"/>
      <c r="H197" s="27"/>
      <c r="J197" s="0" t="n">
        <v>188</v>
      </c>
      <c r="K197" s="0" t="str">
        <f aca="true">IF(A197="","",IF(ISNUMBER(A197),IF(A197&gt;=36526,A197,""),IFERROR(DATE(VALUE(RIGHT(RIGHT(TRIM(A197),10),4)),VALUE(MID(RIGHT(TRIM(A197),10),4,2)),VALUE(LEFT(RIGHT(TRIM(A197),10),2))),IFERROR(TODAY()-MOD(WEEKDAY(TODAY(),1)-MATCH(TRIM(A197),{"الأحد","الاثنين","الثلاثاء","الأربعاء","الخميس","الجمعة","السبت"},0),7),IFERROR(DATEVALUE(A197),"")))))</f>
        <v/>
      </c>
      <c r="L197" s="0" t="str">
        <f aca="false">IF(K197="","",INT((K197-WEEK_ONE)/7)+1)</f>
        <v/>
      </c>
      <c r="M197" s="0" t="str">
        <f aca="false">IF(L197="","",IF(OR(L197&lt;1,L197&gt;NW),"",INDEX(WMON,L197)))</f>
        <v/>
      </c>
    </row>
    <row r="198" customFormat="false" ht="15" hidden="false" customHeight="false" outlineLevel="0" collapsed="false">
      <c r="A198" s="43"/>
      <c r="B198" s="23" t="str">
        <f aca="false">IF(K198="","",CHOOSE(WEEKDAY(K198,1),"الأحد","الاثنين","الثلاثاء","الأربعاء","الخميس","الجمعة","السبت")&amp;IF(OR(ISNUMBER(A198),LEN(TRIM(A198))&gt;=10),"","  "&amp;TEXT(DAY(K198),"00")&amp;"/"&amp;TEXT(MONTH(K198),"00")&amp;"/"&amp;YEAR(K198)))</f>
        <v/>
      </c>
      <c r="C198" s="24"/>
      <c r="D198" s="24"/>
      <c r="E198" s="44"/>
      <c r="F198" s="44"/>
      <c r="G198" s="44"/>
      <c r="H198" s="27"/>
      <c r="J198" s="0" t="n">
        <v>189</v>
      </c>
      <c r="K198" s="0" t="str">
        <f aca="true">IF(A198="","",IF(ISNUMBER(A198),IF(A198&gt;=36526,A198,""),IFERROR(DATE(VALUE(RIGHT(RIGHT(TRIM(A198),10),4)),VALUE(MID(RIGHT(TRIM(A198),10),4,2)),VALUE(LEFT(RIGHT(TRIM(A198),10),2))),IFERROR(TODAY()-MOD(WEEKDAY(TODAY(),1)-MATCH(TRIM(A198),{"الأحد","الاثنين","الثلاثاء","الأربعاء","الخميس","الجمعة","السبت"},0),7),IFERROR(DATEVALUE(A198),"")))))</f>
        <v/>
      </c>
      <c r="L198" s="0" t="str">
        <f aca="false">IF(K198="","",INT((K198-WEEK_ONE)/7)+1)</f>
        <v/>
      </c>
      <c r="M198" s="0" t="str">
        <f aca="false">IF(L198="","",IF(OR(L198&lt;1,L198&gt;NW),"",INDEX(WMON,L198)))</f>
        <v/>
      </c>
    </row>
    <row r="199" customFormat="false" ht="15" hidden="false" customHeight="false" outlineLevel="0" collapsed="false">
      <c r="A199" s="43"/>
      <c r="B199" s="23" t="str">
        <f aca="false">IF(K199="","",CHOOSE(WEEKDAY(K199,1),"الأحد","الاثنين","الثلاثاء","الأربعاء","الخميس","الجمعة","السبت")&amp;IF(OR(ISNUMBER(A199),LEN(TRIM(A199))&gt;=10),"","  "&amp;TEXT(DAY(K199),"00")&amp;"/"&amp;TEXT(MONTH(K199),"00")&amp;"/"&amp;YEAR(K199)))</f>
        <v/>
      </c>
      <c r="C199" s="24"/>
      <c r="D199" s="24"/>
      <c r="E199" s="44"/>
      <c r="F199" s="44"/>
      <c r="G199" s="44"/>
      <c r="H199" s="27"/>
      <c r="J199" s="0" t="n">
        <v>190</v>
      </c>
      <c r="K199" s="0" t="str">
        <f aca="true">IF(A199="","",IF(ISNUMBER(A199),IF(A199&gt;=36526,A199,""),IFERROR(DATE(VALUE(RIGHT(RIGHT(TRIM(A199),10),4)),VALUE(MID(RIGHT(TRIM(A199),10),4,2)),VALUE(LEFT(RIGHT(TRIM(A199),10),2))),IFERROR(TODAY()-MOD(WEEKDAY(TODAY(),1)-MATCH(TRIM(A199),{"الأحد","الاثنين","الثلاثاء","الأربعاء","الخميس","الجمعة","السبت"},0),7),IFERROR(DATEVALUE(A199),"")))))</f>
        <v/>
      </c>
      <c r="L199" s="0" t="str">
        <f aca="false">IF(K199="","",INT((K199-WEEK_ONE)/7)+1)</f>
        <v/>
      </c>
      <c r="M199" s="0" t="str">
        <f aca="false">IF(L199="","",IF(OR(L199&lt;1,L199&gt;NW),"",INDEX(WMON,L199)))</f>
        <v/>
      </c>
    </row>
    <row r="200" customFormat="false" ht="15" hidden="false" customHeight="false" outlineLevel="0" collapsed="false">
      <c r="A200" s="43"/>
      <c r="B200" s="23" t="str">
        <f aca="false">IF(K200="","",CHOOSE(WEEKDAY(K200,1),"الأحد","الاثنين","الثلاثاء","الأربعاء","الخميس","الجمعة","السبت")&amp;IF(OR(ISNUMBER(A200),LEN(TRIM(A200))&gt;=10),"","  "&amp;TEXT(DAY(K200),"00")&amp;"/"&amp;TEXT(MONTH(K200),"00")&amp;"/"&amp;YEAR(K200)))</f>
        <v/>
      </c>
      <c r="C200" s="24"/>
      <c r="D200" s="24"/>
      <c r="E200" s="44"/>
      <c r="F200" s="44"/>
      <c r="G200" s="44"/>
      <c r="H200" s="27"/>
      <c r="J200" s="0" t="n">
        <v>191</v>
      </c>
      <c r="K200" s="0" t="str">
        <f aca="true">IF(A200="","",IF(ISNUMBER(A200),IF(A200&gt;=36526,A200,""),IFERROR(DATE(VALUE(RIGHT(RIGHT(TRIM(A200),10),4)),VALUE(MID(RIGHT(TRIM(A200),10),4,2)),VALUE(LEFT(RIGHT(TRIM(A200),10),2))),IFERROR(TODAY()-MOD(WEEKDAY(TODAY(),1)-MATCH(TRIM(A200),{"الأحد","الاثنين","الثلاثاء","الأربعاء","الخميس","الجمعة","السبت"},0),7),IFERROR(DATEVALUE(A200),"")))))</f>
        <v/>
      </c>
      <c r="L200" s="0" t="str">
        <f aca="false">IF(K200="","",INT((K200-WEEK_ONE)/7)+1)</f>
        <v/>
      </c>
      <c r="M200" s="0" t="str">
        <f aca="false">IF(L200="","",IF(OR(L200&lt;1,L200&gt;NW),"",INDEX(WMON,L200)))</f>
        <v/>
      </c>
    </row>
    <row r="201" customFormat="false" ht="15" hidden="false" customHeight="false" outlineLevel="0" collapsed="false">
      <c r="A201" s="43"/>
      <c r="B201" s="23" t="str">
        <f aca="false">IF(K201="","",CHOOSE(WEEKDAY(K201,1),"الأحد","الاثنين","الثلاثاء","الأربعاء","الخميس","الجمعة","السبت")&amp;IF(OR(ISNUMBER(A201),LEN(TRIM(A201))&gt;=10),"","  "&amp;TEXT(DAY(K201),"00")&amp;"/"&amp;TEXT(MONTH(K201),"00")&amp;"/"&amp;YEAR(K201)))</f>
        <v/>
      </c>
      <c r="C201" s="24"/>
      <c r="D201" s="24"/>
      <c r="E201" s="44"/>
      <c r="F201" s="44"/>
      <c r="G201" s="44"/>
      <c r="H201" s="27"/>
      <c r="J201" s="0" t="n">
        <v>192</v>
      </c>
      <c r="K201" s="0" t="str">
        <f aca="true">IF(A201="","",IF(ISNUMBER(A201),IF(A201&gt;=36526,A201,""),IFERROR(DATE(VALUE(RIGHT(RIGHT(TRIM(A201),10),4)),VALUE(MID(RIGHT(TRIM(A201),10),4,2)),VALUE(LEFT(RIGHT(TRIM(A201),10),2))),IFERROR(TODAY()-MOD(WEEKDAY(TODAY(),1)-MATCH(TRIM(A201),{"الأحد","الاثنين","الثلاثاء","الأربعاء","الخميس","الجمعة","السبت"},0),7),IFERROR(DATEVALUE(A201),"")))))</f>
        <v/>
      </c>
      <c r="L201" s="0" t="str">
        <f aca="false">IF(K201="","",INT((K201-WEEK_ONE)/7)+1)</f>
        <v/>
      </c>
      <c r="M201" s="0" t="str">
        <f aca="false">IF(L201="","",IF(OR(L201&lt;1,L201&gt;NW),"",INDEX(WMON,L201)))</f>
        <v/>
      </c>
    </row>
    <row r="202" customFormat="false" ht="15" hidden="false" customHeight="false" outlineLevel="0" collapsed="false">
      <c r="A202" s="43"/>
      <c r="B202" s="23" t="str">
        <f aca="false">IF(K202="","",CHOOSE(WEEKDAY(K202,1),"الأحد","الاثنين","الثلاثاء","الأربعاء","الخميس","الجمعة","السبت")&amp;IF(OR(ISNUMBER(A202),LEN(TRIM(A202))&gt;=10),"","  "&amp;TEXT(DAY(K202),"00")&amp;"/"&amp;TEXT(MONTH(K202),"00")&amp;"/"&amp;YEAR(K202)))</f>
        <v/>
      </c>
      <c r="C202" s="24"/>
      <c r="D202" s="24"/>
      <c r="E202" s="44"/>
      <c r="F202" s="44"/>
      <c r="G202" s="44"/>
      <c r="H202" s="27"/>
      <c r="J202" s="0" t="n">
        <v>193</v>
      </c>
      <c r="K202" s="0" t="str">
        <f aca="true">IF(A202="","",IF(ISNUMBER(A202),IF(A202&gt;=36526,A202,""),IFERROR(DATE(VALUE(RIGHT(RIGHT(TRIM(A202),10),4)),VALUE(MID(RIGHT(TRIM(A202),10),4,2)),VALUE(LEFT(RIGHT(TRIM(A202),10),2))),IFERROR(TODAY()-MOD(WEEKDAY(TODAY(),1)-MATCH(TRIM(A202),{"الأحد","الاثنين","الثلاثاء","الأربعاء","الخميس","الجمعة","السبت"},0),7),IFERROR(DATEVALUE(A202),"")))))</f>
        <v/>
      </c>
      <c r="L202" s="0" t="str">
        <f aca="false">IF(K202="","",INT((K202-WEEK_ONE)/7)+1)</f>
        <v/>
      </c>
      <c r="M202" s="0" t="str">
        <f aca="false">IF(L202="","",IF(OR(L202&lt;1,L202&gt;NW),"",INDEX(WMON,L202)))</f>
        <v/>
      </c>
    </row>
    <row r="203" customFormat="false" ht="15" hidden="false" customHeight="false" outlineLevel="0" collapsed="false">
      <c r="A203" s="43"/>
      <c r="B203" s="23" t="str">
        <f aca="false">IF(K203="","",CHOOSE(WEEKDAY(K203,1),"الأحد","الاثنين","الثلاثاء","الأربعاء","الخميس","الجمعة","السبت")&amp;IF(OR(ISNUMBER(A203),LEN(TRIM(A203))&gt;=10),"","  "&amp;TEXT(DAY(K203),"00")&amp;"/"&amp;TEXT(MONTH(K203),"00")&amp;"/"&amp;YEAR(K203)))</f>
        <v/>
      </c>
      <c r="C203" s="24"/>
      <c r="D203" s="24"/>
      <c r="E203" s="44"/>
      <c r="F203" s="44"/>
      <c r="G203" s="44"/>
      <c r="H203" s="27"/>
      <c r="J203" s="0" t="n">
        <v>194</v>
      </c>
      <c r="K203" s="0" t="str">
        <f aca="true">IF(A203="","",IF(ISNUMBER(A203),IF(A203&gt;=36526,A203,""),IFERROR(DATE(VALUE(RIGHT(RIGHT(TRIM(A203),10),4)),VALUE(MID(RIGHT(TRIM(A203),10),4,2)),VALUE(LEFT(RIGHT(TRIM(A203),10),2))),IFERROR(TODAY()-MOD(WEEKDAY(TODAY(),1)-MATCH(TRIM(A203),{"الأحد","الاثنين","الثلاثاء","الأربعاء","الخميس","الجمعة","السبت"},0),7),IFERROR(DATEVALUE(A203),"")))))</f>
        <v/>
      </c>
      <c r="L203" s="0" t="str">
        <f aca="false">IF(K203="","",INT((K203-WEEK_ONE)/7)+1)</f>
        <v/>
      </c>
      <c r="M203" s="0" t="str">
        <f aca="false">IF(L203="","",IF(OR(L203&lt;1,L203&gt;NW),"",INDEX(WMON,L203)))</f>
        <v/>
      </c>
    </row>
    <row r="204" customFormat="false" ht="15" hidden="false" customHeight="false" outlineLevel="0" collapsed="false">
      <c r="A204" s="43"/>
      <c r="B204" s="23" t="str">
        <f aca="false">IF(K204="","",CHOOSE(WEEKDAY(K204,1),"الأحد","الاثنين","الثلاثاء","الأربعاء","الخميس","الجمعة","السبت")&amp;IF(OR(ISNUMBER(A204),LEN(TRIM(A204))&gt;=10),"","  "&amp;TEXT(DAY(K204),"00")&amp;"/"&amp;TEXT(MONTH(K204),"00")&amp;"/"&amp;YEAR(K204)))</f>
        <v/>
      </c>
      <c r="C204" s="24"/>
      <c r="D204" s="24"/>
      <c r="E204" s="44"/>
      <c r="F204" s="44"/>
      <c r="G204" s="44"/>
      <c r="H204" s="27"/>
      <c r="J204" s="0" t="n">
        <v>195</v>
      </c>
      <c r="K204" s="0" t="str">
        <f aca="true">IF(A204="","",IF(ISNUMBER(A204),IF(A204&gt;=36526,A204,""),IFERROR(DATE(VALUE(RIGHT(RIGHT(TRIM(A204),10),4)),VALUE(MID(RIGHT(TRIM(A204),10),4,2)),VALUE(LEFT(RIGHT(TRIM(A204),10),2))),IFERROR(TODAY()-MOD(WEEKDAY(TODAY(),1)-MATCH(TRIM(A204),{"الأحد","الاثنين","الثلاثاء","الأربعاء","الخميس","الجمعة","السبت"},0),7),IFERROR(DATEVALUE(A204),"")))))</f>
        <v/>
      </c>
      <c r="L204" s="0" t="str">
        <f aca="false">IF(K204="","",INT((K204-WEEK_ONE)/7)+1)</f>
        <v/>
      </c>
      <c r="M204" s="0" t="str">
        <f aca="false">IF(L204="","",IF(OR(L204&lt;1,L204&gt;NW),"",INDEX(WMON,L204)))</f>
        <v/>
      </c>
    </row>
    <row r="205" customFormat="false" ht="15" hidden="false" customHeight="false" outlineLevel="0" collapsed="false">
      <c r="A205" s="43"/>
      <c r="B205" s="23" t="str">
        <f aca="false">IF(K205="","",CHOOSE(WEEKDAY(K205,1),"الأحد","الاثنين","الثلاثاء","الأربعاء","الخميس","الجمعة","السبت")&amp;IF(OR(ISNUMBER(A205),LEN(TRIM(A205))&gt;=10),"","  "&amp;TEXT(DAY(K205),"00")&amp;"/"&amp;TEXT(MONTH(K205),"00")&amp;"/"&amp;YEAR(K205)))</f>
        <v/>
      </c>
      <c r="C205" s="24"/>
      <c r="D205" s="24"/>
      <c r="E205" s="44"/>
      <c r="F205" s="44"/>
      <c r="G205" s="44"/>
      <c r="H205" s="27"/>
      <c r="J205" s="0" t="n">
        <v>196</v>
      </c>
      <c r="K205" s="0" t="str">
        <f aca="true">IF(A205="","",IF(ISNUMBER(A205),IF(A205&gt;=36526,A205,""),IFERROR(DATE(VALUE(RIGHT(RIGHT(TRIM(A205),10),4)),VALUE(MID(RIGHT(TRIM(A205),10),4,2)),VALUE(LEFT(RIGHT(TRIM(A205),10),2))),IFERROR(TODAY()-MOD(WEEKDAY(TODAY(),1)-MATCH(TRIM(A205),{"الأحد","الاثنين","الثلاثاء","الأربعاء","الخميس","الجمعة","السبت"},0),7),IFERROR(DATEVALUE(A205),"")))))</f>
        <v/>
      </c>
      <c r="L205" s="0" t="str">
        <f aca="false">IF(K205="","",INT((K205-WEEK_ONE)/7)+1)</f>
        <v/>
      </c>
      <c r="M205" s="0" t="str">
        <f aca="false">IF(L205="","",IF(OR(L205&lt;1,L205&gt;NW),"",INDEX(WMON,L205)))</f>
        <v/>
      </c>
    </row>
    <row r="206" customFormat="false" ht="15" hidden="false" customHeight="false" outlineLevel="0" collapsed="false">
      <c r="A206" s="43"/>
      <c r="B206" s="23" t="str">
        <f aca="false">IF(K206="","",CHOOSE(WEEKDAY(K206,1),"الأحد","الاثنين","الثلاثاء","الأربعاء","الخميس","الجمعة","السبت")&amp;IF(OR(ISNUMBER(A206),LEN(TRIM(A206))&gt;=10),"","  "&amp;TEXT(DAY(K206),"00")&amp;"/"&amp;TEXT(MONTH(K206),"00")&amp;"/"&amp;YEAR(K206)))</f>
        <v/>
      </c>
      <c r="C206" s="24"/>
      <c r="D206" s="24"/>
      <c r="E206" s="44"/>
      <c r="F206" s="44"/>
      <c r="G206" s="44"/>
      <c r="H206" s="27"/>
      <c r="J206" s="0" t="n">
        <v>197</v>
      </c>
      <c r="K206" s="0" t="str">
        <f aca="true">IF(A206="","",IF(ISNUMBER(A206),IF(A206&gt;=36526,A206,""),IFERROR(DATE(VALUE(RIGHT(RIGHT(TRIM(A206),10),4)),VALUE(MID(RIGHT(TRIM(A206),10),4,2)),VALUE(LEFT(RIGHT(TRIM(A206),10),2))),IFERROR(TODAY()-MOD(WEEKDAY(TODAY(),1)-MATCH(TRIM(A206),{"الأحد","الاثنين","الثلاثاء","الأربعاء","الخميس","الجمعة","السبت"},0),7),IFERROR(DATEVALUE(A206),"")))))</f>
        <v/>
      </c>
      <c r="L206" s="0" t="str">
        <f aca="false">IF(K206="","",INT((K206-WEEK_ONE)/7)+1)</f>
        <v/>
      </c>
      <c r="M206" s="0" t="str">
        <f aca="false">IF(L206="","",IF(OR(L206&lt;1,L206&gt;NW),"",INDEX(WMON,L206)))</f>
        <v/>
      </c>
    </row>
    <row r="207" customFormat="false" ht="15" hidden="false" customHeight="false" outlineLevel="0" collapsed="false">
      <c r="A207" s="43"/>
      <c r="B207" s="23" t="str">
        <f aca="false">IF(K207="","",CHOOSE(WEEKDAY(K207,1),"الأحد","الاثنين","الثلاثاء","الأربعاء","الخميس","الجمعة","السبت")&amp;IF(OR(ISNUMBER(A207),LEN(TRIM(A207))&gt;=10),"","  "&amp;TEXT(DAY(K207),"00")&amp;"/"&amp;TEXT(MONTH(K207),"00")&amp;"/"&amp;YEAR(K207)))</f>
        <v/>
      </c>
      <c r="C207" s="24"/>
      <c r="D207" s="24"/>
      <c r="E207" s="44"/>
      <c r="F207" s="44"/>
      <c r="G207" s="44"/>
      <c r="H207" s="27"/>
      <c r="J207" s="0" t="n">
        <v>198</v>
      </c>
      <c r="K207" s="0" t="str">
        <f aca="true">IF(A207="","",IF(ISNUMBER(A207),IF(A207&gt;=36526,A207,""),IFERROR(DATE(VALUE(RIGHT(RIGHT(TRIM(A207),10),4)),VALUE(MID(RIGHT(TRIM(A207),10),4,2)),VALUE(LEFT(RIGHT(TRIM(A207),10),2))),IFERROR(TODAY()-MOD(WEEKDAY(TODAY(),1)-MATCH(TRIM(A207),{"الأحد","الاثنين","الثلاثاء","الأربعاء","الخميس","الجمعة","السبت"},0),7),IFERROR(DATEVALUE(A207),"")))))</f>
        <v/>
      </c>
      <c r="L207" s="0" t="str">
        <f aca="false">IF(K207="","",INT((K207-WEEK_ONE)/7)+1)</f>
        <v/>
      </c>
      <c r="M207" s="0" t="str">
        <f aca="false">IF(L207="","",IF(OR(L207&lt;1,L207&gt;NW),"",INDEX(WMON,L207)))</f>
        <v/>
      </c>
    </row>
    <row r="208" customFormat="false" ht="15" hidden="false" customHeight="false" outlineLevel="0" collapsed="false">
      <c r="A208" s="43"/>
      <c r="B208" s="23" t="str">
        <f aca="false">IF(K208="","",CHOOSE(WEEKDAY(K208,1),"الأحد","الاثنين","الثلاثاء","الأربعاء","الخميس","الجمعة","السبت")&amp;IF(OR(ISNUMBER(A208),LEN(TRIM(A208))&gt;=10),"","  "&amp;TEXT(DAY(K208),"00")&amp;"/"&amp;TEXT(MONTH(K208),"00")&amp;"/"&amp;YEAR(K208)))</f>
        <v/>
      </c>
      <c r="C208" s="24"/>
      <c r="D208" s="24"/>
      <c r="E208" s="44"/>
      <c r="F208" s="44"/>
      <c r="G208" s="44"/>
      <c r="H208" s="27"/>
      <c r="J208" s="0" t="n">
        <v>199</v>
      </c>
      <c r="K208" s="0" t="str">
        <f aca="true">IF(A208="","",IF(ISNUMBER(A208),IF(A208&gt;=36526,A208,""),IFERROR(DATE(VALUE(RIGHT(RIGHT(TRIM(A208),10),4)),VALUE(MID(RIGHT(TRIM(A208),10),4,2)),VALUE(LEFT(RIGHT(TRIM(A208),10),2))),IFERROR(TODAY()-MOD(WEEKDAY(TODAY(),1)-MATCH(TRIM(A208),{"الأحد","الاثنين","الثلاثاء","الأربعاء","الخميس","الجمعة","السبت"},0),7),IFERROR(DATEVALUE(A208),"")))))</f>
        <v/>
      </c>
      <c r="L208" s="0" t="str">
        <f aca="false">IF(K208="","",INT((K208-WEEK_ONE)/7)+1)</f>
        <v/>
      </c>
      <c r="M208" s="0" t="str">
        <f aca="false">IF(L208="","",IF(OR(L208&lt;1,L208&gt;NW),"",INDEX(WMON,L208)))</f>
        <v/>
      </c>
    </row>
    <row r="209" customFormat="false" ht="15" hidden="false" customHeight="false" outlineLevel="0" collapsed="false">
      <c r="A209" s="43"/>
      <c r="B209" s="23" t="str">
        <f aca="false">IF(K209="","",CHOOSE(WEEKDAY(K209,1),"الأحد","الاثنين","الثلاثاء","الأربعاء","الخميس","الجمعة","السبت")&amp;IF(OR(ISNUMBER(A209),LEN(TRIM(A209))&gt;=10),"","  "&amp;TEXT(DAY(K209),"00")&amp;"/"&amp;TEXT(MONTH(K209),"00")&amp;"/"&amp;YEAR(K209)))</f>
        <v/>
      </c>
      <c r="C209" s="24"/>
      <c r="D209" s="24"/>
      <c r="E209" s="44"/>
      <c r="F209" s="44"/>
      <c r="G209" s="44"/>
      <c r="H209" s="27"/>
      <c r="J209" s="0" t="n">
        <v>200</v>
      </c>
      <c r="K209" s="0" t="str">
        <f aca="true">IF(A209="","",IF(ISNUMBER(A209),IF(A209&gt;=36526,A209,""),IFERROR(DATE(VALUE(RIGHT(RIGHT(TRIM(A209),10),4)),VALUE(MID(RIGHT(TRIM(A209),10),4,2)),VALUE(LEFT(RIGHT(TRIM(A209),10),2))),IFERROR(TODAY()-MOD(WEEKDAY(TODAY(),1)-MATCH(TRIM(A209),{"الأحد","الاثنين","الثلاثاء","الأربعاء","الخميس","الجمعة","السبت"},0),7),IFERROR(DATEVALUE(A209),"")))))</f>
        <v/>
      </c>
      <c r="L209" s="0" t="str">
        <f aca="false">IF(K209="","",INT((K209-WEEK_ONE)/7)+1)</f>
        <v/>
      </c>
      <c r="M209" s="0" t="str">
        <f aca="false">IF(L209="","",IF(OR(L209&lt;1,L209&gt;NW),"",INDEX(WMON,L209)))</f>
        <v/>
      </c>
    </row>
    <row r="211" customFormat="false" ht="15" hidden="false" customHeight="false" outlineLevel="0" collapsed="false">
      <c r="A211" s="46" t="str">
        <f aca="false">"ضل "&amp;COUNTBLANK(A10:A209)&amp;" سطر فاضي بالسجل"</f>
        <v>ضل 200 سطر فاضي بالسجل</v>
      </c>
    </row>
  </sheetData>
  <sheetProtection sheet="true" formatColumns="false" formatRows="false"/>
  <mergeCells count="2">
    <mergeCell ref="A1:H1"/>
    <mergeCell ref="A7:H7"/>
  </mergeCells>
  <conditionalFormatting sqref="A10:H209">
    <cfRule type="expression" priority="2" aboveAverage="0" equalAverage="0" bottom="0" percent="0" rank="0" text="" dxfId="5">
      <formula>AND($A10&lt;&gt;"",$K10="")</formula>
    </cfRule>
  </conditionalFormatting>
  <conditionalFormatting sqref="D10:D209">
    <cfRule type="expression" priority="3" aboveAverage="0" equalAverage="0" bottom="0" percent="0" rank="0" text="" dxfId="0">
      <formula>AND($E10&lt;&gt;"",$D10="")</formula>
    </cfRule>
  </conditionalFormatting>
  <conditionalFormatting sqref="H10:H209">
    <cfRule type="expression" priority="4" aboveAverage="0" equalAverage="0" bottom="0" percent="0" rank="0" text="" dxfId="0">
      <formula>AND($D10="بضاعة",$H10="")</formula>
    </cfRule>
  </conditionalFormatting>
  <dataValidations count="3">
    <dataValidation allowBlank="true" errorStyle="stop" operator="between" showDropDown="false" showErrorMessage="false" showInputMessage="false" sqref="C10:C209" type="list">
      <formula1>"عمر المصري,عبدالعزيز"</formula1>
      <formula2>0</formula2>
    </dataValidation>
    <dataValidation allowBlank="true" errorStyle="stop" operator="between" prompt="اختار اليوم من القائمة، أو اكتب التاريخ كامل 05/10/2026، أو اسم اليوم بس" promptTitle="التاريخ" showDropDown="false" showErrorMessage="false" showInputMessage="true" sqref="A10:A209" type="list">
      <formula1>القوائم!$N$1:$N$14</formula1>
      <formula2>0</formula2>
    </dataValidation>
    <dataValidation allowBlank="true" errorStyle="stop" operator="between" prompt="بضاعة · قرض كاش · دين قديم" showDropDown="false" showErrorMessage="false" showInputMessage="true" sqref="D10:D209" type="list">
      <formula1>"بضاعة,قرض كاش,دين قديم"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08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3"/>
    <col collapsed="false" customWidth="true" hidden="false" outlineLevel="0" max="3" min="3" style="0" width="20"/>
    <col collapsed="false" customWidth="true" hidden="false" outlineLevel="0" max="4" min="4" style="0" width="38"/>
    <col collapsed="false" customWidth="true" hidden="false" outlineLevel="0" max="5" min="5" style="0" width="16"/>
    <col collapsed="false" customWidth="true" hidden="false" outlineLevel="0" max="6" min="6" style="0" width="28"/>
    <col collapsed="false" customWidth="true" hidden="true" outlineLevel="0" max="10" min="7" style="0" width="13"/>
  </cols>
  <sheetData>
    <row r="1" customFormat="false" ht="39.75" hidden="false" customHeight="true" outlineLevel="0" collapsed="false">
      <c r="A1" s="50" t="s">
        <v>49</v>
      </c>
      <c r="B1" s="50"/>
      <c r="C1" s="50"/>
      <c r="D1" s="50"/>
      <c r="E1" s="50"/>
      <c r="F1" s="50"/>
    </row>
    <row r="3" customFormat="false" ht="30" hidden="false" customHeight="true" outlineLevel="0" collapsed="false">
      <c r="A3" s="4" t="s">
        <v>50</v>
      </c>
      <c r="B3" s="4"/>
      <c r="C3" s="4"/>
      <c r="D3" s="4"/>
      <c r="E3" s="4"/>
      <c r="F3" s="4"/>
    </row>
    <row r="5" customFormat="false" ht="43.5" hidden="false" customHeight="true" outlineLevel="0" collapsed="false">
      <c r="A5" s="8" t="s">
        <v>18</v>
      </c>
      <c r="B5" s="8" t="s">
        <v>19</v>
      </c>
      <c r="C5" s="8" t="s">
        <v>51</v>
      </c>
      <c r="D5" s="8" t="s">
        <v>52</v>
      </c>
      <c r="E5" s="8" t="s">
        <v>53</v>
      </c>
      <c r="F5" s="8" t="s">
        <v>26</v>
      </c>
    </row>
    <row r="6" customFormat="false" ht="15" hidden="false" customHeight="false" outlineLevel="0" collapsed="false">
      <c r="A6" s="43"/>
      <c r="B6" s="23" t="str">
        <f aca="false">IF(H6="","",CHOOSE(WEEKDAY(H6,1),"الأحد","الاثنين","الثلاثاء","الأربعاء","الخميس","الجمعة","السبت")&amp;IF(OR(ISNUMBER(A6),LEN(TRIM(A6))&gt;=10),"","  "&amp;TEXT(DAY(H6),"00")&amp;"/"&amp;TEXT(MONTH(H6),"00")&amp;"/"&amp;YEAR(H6)))</f>
        <v/>
      </c>
      <c r="C6" s="24"/>
      <c r="D6" s="27"/>
      <c r="E6" s="44"/>
      <c r="F6" s="27"/>
      <c r="G6" s="0" t="str">
        <f aca="false">IF(AND(C6&lt;&gt;"",COUNTIF(C$6:C6,C6)=1),MAX(G$5:G5)+1,"")</f>
        <v/>
      </c>
      <c r="H6" s="0" t="str">
        <f aca="true">IF(A6="","",IF(ISNUMBER(A6),IF(A6&gt;=36526,A6,""),IFERROR(DATE(VALUE(RIGHT(RIGHT(TRIM(A6),10),4)),VALUE(MID(RIGHT(TRIM(A6),10),4,2)),VALUE(LEFT(RIGHT(TRIM(A6),10),2))),IFERROR(TODAY()-MOD(WEEKDAY(TODAY(),1)-MATCH(TRIM(A6),{"الأحد","الاثنين","الثلاثاء","الأربعاء","الخميس","الجمعة","السبت"},0),7),IFERROR(DATEVALUE(A6),"")))))</f>
        <v/>
      </c>
      <c r="I6" s="0" t="str">
        <f aca="false">IF(H6="","",INT((H6-WEEK_ONE)/7)+1)</f>
        <v/>
      </c>
      <c r="J6" s="0" t="str">
        <f aca="false">IF(I6="","",IF(OR(I6&lt;1,I6&gt;NW),"",INDEX(WMON,I6)))</f>
        <v/>
      </c>
    </row>
    <row r="7" customFormat="false" ht="15" hidden="false" customHeight="false" outlineLevel="0" collapsed="false">
      <c r="A7" s="43"/>
      <c r="B7" s="23" t="str">
        <f aca="false">IF(H7="","",CHOOSE(WEEKDAY(H7,1),"الأحد","الاثنين","الثلاثاء","الأربعاء","الخميس","الجمعة","السبت")&amp;IF(OR(ISNUMBER(A7),LEN(TRIM(A7))&gt;=10),"","  "&amp;TEXT(DAY(H7),"00")&amp;"/"&amp;TEXT(MONTH(H7),"00")&amp;"/"&amp;YEAR(H7)))</f>
        <v/>
      </c>
      <c r="C7" s="24"/>
      <c r="D7" s="27"/>
      <c r="E7" s="44"/>
      <c r="F7" s="27"/>
      <c r="G7" s="0" t="str">
        <f aca="false">IF(AND(C7&lt;&gt;"",COUNTIF(C$6:C7,C7)=1),MAX(G$5:G6)+1,"")</f>
        <v/>
      </c>
      <c r="H7" s="0" t="str">
        <f aca="true">IF(A7="","",IF(ISNUMBER(A7),IF(A7&gt;=36526,A7,""),IFERROR(DATE(VALUE(RIGHT(RIGHT(TRIM(A7),10),4)),VALUE(MID(RIGHT(TRIM(A7),10),4,2)),VALUE(LEFT(RIGHT(TRIM(A7),10),2))),IFERROR(TODAY()-MOD(WEEKDAY(TODAY(),1)-MATCH(TRIM(A7),{"الأحد","الاثنين","الثلاثاء","الأربعاء","الخميس","الجمعة","السبت"},0),7),IFERROR(DATEVALUE(A7),"")))))</f>
        <v/>
      </c>
      <c r="I7" s="0" t="str">
        <f aca="false">IF(H7="","",INT((H7-WEEK_ONE)/7)+1)</f>
        <v/>
      </c>
      <c r="J7" s="0" t="str">
        <f aca="false">IF(I7="","",IF(OR(I7&lt;1,I7&gt;NW),"",INDEX(WMON,I7)))</f>
        <v/>
      </c>
    </row>
    <row r="8" customFormat="false" ht="15" hidden="false" customHeight="false" outlineLevel="0" collapsed="false">
      <c r="A8" s="43"/>
      <c r="B8" s="23" t="str">
        <f aca="false">IF(H8="","",CHOOSE(WEEKDAY(H8,1),"الأحد","الاثنين","الثلاثاء","الأربعاء","الخميس","الجمعة","السبت")&amp;IF(OR(ISNUMBER(A8),LEN(TRIM(A8))&gt;=10),"","  "&amp;TEXT(DAY(H8),"00")&amp;"/"&amp;TEXT(MONTH(H8),"00")&amp;"/"&amp;YEAR(H8)))</f>
        <v/>
      </c>
      <c r="C8" s="24"/>
      <c r="D8" s="27"/>
      <c r="E8" s="44"/>
      <c r="F8" s="27"/>
      <c r="G8" s="0" t="str">
        <f aca="false">IF(AND(C8&lt;&gt;"",COUNTIF(C$6:C8,C8)=1),MAX(G$5:G7)+1,"")</f>
        <v/>
      </c>
      <c r="H8" s="0" t="str">
        <f aca="true">IF(A8="","",IF(ISNUMBER(A8),IF(A8&gt;=36526,A8,""),IFERROR(DATE(VALUE(RIGHT(RIGHT(TRIM(A8),10),4)),VALUE(MID(RIGHT(TRIM(A8),10),4,2)),VALUE(LEFT(RIGHT(TRIM(A8),10),2))),IFERROR(TODAY()-MOD(WEEKDAY(TODAY(),1)-MATCH(TRIM(A8),{"الأحد","الاثنين","الثلاثاء","الأربعاء","الخميس","الجمعة","السبت"},0),7),IFERROR(DATEVALUE(A8),"")))))</f>
        <v/>
      </c>
      <c r="I8" s="0" t="str">
        <f aca="false">IF(H8="","",INT((H8-WEEK_ONE)/7)+1)</f>
        <v/>
      </c>
      <c r="J8" s="0" t="str">
        <f aca="false">IF(I8="","",IF(OR(I8&lt;1,I8&gt;NW),"",INDEX(WMON,I8)))</f>
        <v/>
      </c>
    </row>
    <row r="9" customFormat="false" ht="15" hidden="false" customHeight="false" outlineLevel="0" collapsed="false">
      <c r="A9" s="43"/>
      <c r="B9" s="23" t="str">
        <f aca="false">IF(H9="","",CHOOSE(WEEKDAY(H9,1),"الأحد","الاثنين","الثلاثاء","الأربعاء","الخميس","الجمعة","السبت")&amp;IF(OR(ISNUMBER(A9),LEN(TRIM(A9))&gt;=10),"","  "&amp;TEXT(DAY(H9),"00")&amp;"/"&amp;TEXT(MONTH(H9),"00")&amp;"/"&amp;YEAR(H9)))</f>
        <v/>
      </c>
      <c r="C9" s="24"/>
      <c r="D9" s="27"/>
      <c r="E9" s="44"/>
      <c r="F9" s="27"/>
      <c r="G9" s="0" t="str">
        <f aca="false">IF(AND(C9&lt;&gt;"",COUNTIF(C$6:C9,C9)=1),MAX(G$5:G8)+1,"")</f>
        <v/>
      </c>
      <c r="H9" s="0" t="str">
        <f aca="true">IF(A9="","",IF(ISNUMBER(A9),IF(A9&gt;=36526,A9,""),IFERROR(DATE(VALUE(RIGHT(RIGHT(TRIM(A9),10),4)),VALUE(MID(RIGHT(TRIM(A9),10),4,2)),VALUE(LEFT(RIGHT(TRIM(A9),10),2))),IFERROR(TODAY()-MOD(WEEKDAY(TODAY(),1)-MATCH(TRIM(A9),{"الأحد","الاثنين","الثلاثاء","الأربعاء","الخميس","الجمعة","السبت"},0),7),IFERROR(DATEVALUE(A9),"")))))</f>
        <v/>
      </c>
      <c r="I9" s="0" t="str">
        <f aca="false">IF(H9="","",INT((H9-WEEK_ONE)/7)+1)</f>
        <v/>
      </c>
      <c r="J9" s="0" t="str">
        <f aca="false">IF(I9="","",IF(OR(I9&lt;1,I9&gt;NW),"",INDEX(WMON,I9)))</f>
        <v/>
      </c>
    </row>
    <row r="10" customFormat="false" ht="15" hidden="false" customHeight="false" outlineLevel="0" collapsed="false">
      <c r="A10" s="43"/>
      <c r="B10" s="23" t="str">
        <f aca="false">IF(H10="","",CHOOSE(WEEKDAY(H10,1),"الأحد","الاثنين","الثلاثاء","الأربعاء","الخميس","الجمعة","السبت")&amp;IF(OR(ISNUMBER(A10),LEN(TRIM(A10))&gt;=10),"","  "&amp;TEXT(DAY(H10),"00")&amp;"/"&amp;TEXT(MONTH(H10),"00")&amp;"/"&amp;YEAR(H10)))</f>
        <v/>
      </c>
      <c r="C10" s="24"/>
      <c r="D10" s="27"/>
      <c r="E10" s="44"/>
      <c r="F10" s="27"/>
      <c r="G10" s="0" t="str">
        <f aca="false">IF(AND(C10&lt;&gt;"",COUNTIF(C$6:C10,C10)=1),MAX(G$5:G9)+1,"")</f>
        <v/>
      </c>
      <c r="H10" s="0" t="str">
        <f aca="true">IF(A10="","",IF(ISNUMBER(A10),IF(A10&gt;=36526,A10,""),IFERROR(DATE(VALUE(RIGHT(RIGHT(TRIM(A10),10),4)),VALUE(MID(RIGHT(TRIM(A10),10),4,2)),VALUE(LEFT(RIGHT(TRIM(A10),10),2))),IFERROR(TODAY()-MOD(WEEKDAY(TODAY(),1)-MATCH(TRIM(A10),{"الأحد","الاثنين","الثلاثاء","الأربعاء","الخميس","الجمعة","السبت"},0),7),IFERROR(DATEVALUE(A10),"")))))</f>
        <v/>
      </c>
      <c r="I10" s="0" t="str">
        <f aca="false">IF(H10="","",INT((H10-WEEK_ONE)/7)+1)</f>
        <v/>
      </c>
      <c r="J10" s="0" t="str">
        <f aca="false">IF(I10="","",IF(OR(I10&lt;1,I10&gt;NW),"",INDEX(WMON,I10)))</f>
        <v/>
      </c>
    </row>
    <row r="11" customFormat="false" ht="15" hidden="false" customHeight="false" outlineLevel="0" collapsed="false">
      <c r="A11" s="43"/>
      <c r="B11" s="23" t="str">
        <f aca="false">IF(H11="","",CHOOSE(WEEKDAY(H11,1),"الأحد","الاثنين","الثلاثاء","الأربعاء","الخميس","الجمعة","السبت")&amp;IF(OR(ISNUMBER(A11),LEN(TRIM(A11))&gt;=10),"","  "&amp;TEXT(DAY(H11),"00")&amp;"/"&amp;TEXT(MONTH(H11),"00")&amp;"/"&amp;YEAR(H11)))</f>
        <v/>
      </c>
      <c r="C11" s="24"/>
      <c r="D11" s="27"/>
      <c r="E11" s="44"/>
      <c r="F11" s="27"/>
      <c r="G11" s="0" t="str">
        <f aca="false">IF(AND(C11&lt;&gt;"",COUNTIF(C$6:C11,C11)=1),MAX(G$5:G10)+1,"")</f>
        <v/>
      </c>
      <c r="H11" s="0" t="str">
        <f aca="true">IF(A11="","",IF(ISNUMBER(A11),IF(A11&gt;=36526,A11,""),IFERROR(DATE(VALUE(RIGHT(RIGHT(TRIM(A11),10),4)),VALUE(MID(RIGHT(TRIM(A11),10),4,2)),VALUE(LEFT(RIGHT(TRIM(A11),10),2))),IFERROR(TODAY()-MOD(WEEKDAY(TODAY(),1)-MATCH(TRIM(A11),{"الأحد","الاثنين","الثلاثاء","الأربعاء","الخميس","الجمعة","السبت"},0),7),IFERROR(DATEVALUE(A11),"")))))</f>
        <v/>
      </c>
      <c r="I11" s="0" t="str">
        <f aca="false">IF(H11="","",INT((H11-WEEK_ONE)/7)+1)</f>
        <v/>
      </c>
      <c r="J11" s="0" t="str">
        <f aca="false">IF(I11="","",IF(OR(I11&lt;1,I11&gt;NW),"",INDEX(WMON,I11)))</f>
        <v/>
      </c>
    </row>
    <row r="12" customFormat="false" ht="15" hidden="false" customHeight="false" outlineLevel="0" collapsed="false">
      <c r="A12" s="43"/>
      <c r="B12" s="23" t="str">
        <f aca="false">IF(H12="","",CHOOSE(WEEKDAY(H12,1),"الأحد","الاثنين","الثلاثاء","الأربعاء","الخميس","الجمعة","السبت")&amp;IF(OR(ISNUMBER(A12),LEN(TRIM(A12))&gt;=10),"","  "&amp;TEXT(DAY(H12),"00")&amp;"/"&amp;TEXT(MONTH(H12),"00")&amp;"/"&amp;YEAR(H12)))</f>
        <v/>
      </c>
      <c r="C12" s="24"/>
      <c r="D12" s="27"/>
      <c r="E12" s="44"/>
      <c r="F12" s="27"/>
      <c r="G12" s="0" t="str">
        <f aca="false">IF(AND(C12&lt;&gt;"",COUNTIF(C$6:C12,C12)=1),MAX(G$5:G11)+1,"")</f>
        <v/>
      </c>
      <c r="H12" s="0" t="str">
        <f aca="true">IF(A12="","",IF(ISNUMBER(A12),IF(A12&gt;=36526,A12,""),IFERROR(DATE(VALUE(RIGHT(RIGHT(TRIM(A12),10),4)),VALUE(MID(RIGHT(TRIM(A12),10),4,2)),VALUE(LEFT(RIGHT(TRIM(A12),10),2))),IFERROR(TODAY()-MOD(WEEKDAY(TODAY(),1)-MATCH(TRIM(A12),{"الأحد","الاثنين","الثلاثاء","الأربعاء","الخميس","الجمعة","السبت"},0),7),IFERROR(DATEVALUE(A12),"")))))</f>
        <v/>
      </c>
      <c r="I12" s="0" t="str">
        <f aca="false">IF(H12="","",INT((H12-WEEK_ONE)/7)+1)</f>
        <v/>
      </c>
      <c r="J12" s="0" t="str">
        <f aca="false">IF(I12="","",IF(OR(I12&lt;1,I12&gt;NW),"",INDEX(WMON,I12)))</f>
        <v/>
      </c>
    </row>
    <row r="13" customFormat="false" ht="15" hidden="false" customHeight="false" outlineLevel="0" collapsed="false">
      <c r="A13" s="43"/>
      <c r="B13" s="23" t="str">
        <f aca="false">IF(H13="","",CHOOSE(WEEKDAY(H13,1),"الأحد","الاثنين","الثلاثاء","الأربعاء","الخميس","الجمعة","السبت")&amp;IF(OR(ISNUMBER(A13),LEN(TRIM(A13))&gt;=10),"","  "&amp;TEXT(DAY(H13),"00")&amp;"/"&amp;TEXT(MONTH(H13),"00")&amp;"/"&amp;YEAR(H13)))</f>
        <v/>
      </c>
      <c r="C13" s="24"/>
      <c r="D13" s="27"/>
      <c r="E13" s="44"/>
      <c r="F13" s="27"/>
      <c r="G13" s="0" t="str">
        <f aca="false">IF(AND(C13&lt;&gt;"",COUNTIF(C$6:C13,C13)=1),MAX(G$5:G12)+1,"")</f>
        <v/>
      </c>
      <c r="H13" s="0" t="str">
        <f aca="true">IF(A13="","",IF(ISNUMBER(A13),IF(A13&gt;=36526,A13,""),IFERROR(DATE(VALUE(RIGHT(RIGHT(TRIM(A13),10),4)),VALUE(MID(RIGHT(TRIM(A13),10),4,2)),VALUE(LEFT(RIGHT(TRIM(A13),10),2))),IFERROR(TODAY()-MOD(WEEKDAY(TODAY(),1)-MATCH(TRIM(A13),{"الأحد","الاثنين","الثلاثاء","الأربعاء","الخميس","الجمعة","السبت"},0),7),IFERROR(DATEVALUE(A13),"")))))</f>
        <v/>
      </c>
      <c r="I13" s="0" t="str">
        <f aca="false">IF(H13="","",INT((H13-WEEK_ONE)/7)+1)</f>
        <v/>
      </c>
      <c r="J13" s="0" t="str">
        <f aca="false">IF(I13="","",IF(OR(I13&lt;1,I13&gt;NW),"",INDEX(WMON,I13)))</f>
        <v/>
      </c>
    </row>
    <row r="14" customFormat="false" ht="15" hidden="false" customHeight="false" outlineLevel="0" collapsed="false">
      <c r="A14" s="43"/>
      <c r="B14" s="23" t="str">
        <f aca="false">IF(H14="","",CHOOSE(WEEKDAY(H14,1),"الأحد","الاثنين","الثلاثاء","الأربعاء","الخميس","الجمعة","السبت")&amp;IF(OR(ISNUMBER(A14),LEN(TRIM(A14))&gt;=10),"","  "&amp;TEXT(DAY(H14),"00")&amp;"/"&amp;TEXT(MONTH(H14),"00")&amp;"/"&amp;YEAR(H14)))</f>
        <v/>
      </c>
      <c r="C14" s="24"/>
      <c r="D14" s="27"/>
      <c r="E14" s="44"/>
      <c r="F14" s="27"/>
      <c r="G14" s="0" t="str">
        <f aca="false">IF(AND(C14&lt;&gt;"",COUNTIF(C$6:C14,C14)=1),MAX(G$5:G13)+1,"")</f>
        <v/>
      </c>
      <c r="H14" s="0" t="str">
        <f aca="true">IF(A14="","",IF(ISNUMBER(A14),IF(A14&gt;=36526,A14,""),IFERROR(DATE(VALUE(RIGHT(RIGHT(TRIM(A14),10),4)),VALUE(MID(RIGHT(TRIM(A14),10),4,2)),VALUE(LEFT(RIGHT(TRIM(A14),10),2))),IFERROR(TODAY()-MOD(WEEKDAY(TODAY(),1)-MATCH(TRIM(A14),{"الأحد","الاثنين","الثلاثاء","الأربعاء","الخميس","الجمعة","السبت"},0),7),IFERROR(DATEVALUE(A14),"")))))</f>
        <v/>
      </c>
      <c r="I14" s="0" t="str">
        <f aca="false">IF(H14="","",INT((H14-WEEK_ONE)/7)+1)</f>
        <v/>
      </c>
      <c r="J14" s="0" t="str">
        <f aca="false">IF(I14="","",IF(OR(I14&lt;1,I14&gt;NW),"",INDEX(WMON,I14)))</f>
        <v/>
      </c>
    </row>
    <row r="15" customFormat="false" ht="15" hidden="false" customHeight="false" outlineLevel="0" collapsed="false">
      <c r="A15" s="43"/>
      <c r="B15" s="23" t="str">
        <f aca="false">IF(H15="","",CHOOSE(WEEKDAY(H15,1),"الأحد","الاثنين","الثلاثاء","الأربعاء","الخميس","الجمعة","السبت")&amp;IF(OR(ISNUMBER(A15),LEN(TRIM(A15))&gt;=10),"","  "&amp;TEXT(DAY(H15),"00")&amp;"/"&amp;TEXT(MONTH(H15),"00")&amp;"/"&amp;YEAR(H15)))</f>
        <v/>
      </c>
      <c r="C15" s="24"/>
      <c r="D15" s="27"/>
      <c r="E15" s="44"/>
      <c r="F15" s="27"/>
      <c r="G15" s="0" t="str">
        <f aca="false">IF(AND(C15&lt;&gt;"",COUNTIF(C$6:C15,C15)=1),MAX(G$5:G14)+1,"")</f>
        <v/>
      </c>
      <c r="H15" s="0" t="str">
        <f aca="true">IF(A15="","",IF(ISNUMBER(A15),IF(A15&gt;=36526,A15,""),IFERROR(DATE(VALUE(RIGHT(RIGHT(TRIM(A15),10),4)),VALUE(MID(RIGHT(TRIM(A15),10),4,2)),VALUE(LEFT(RIGHT(TRIM(A15),10),2))),IFERROR(TODAY()-MOD(WEEKDAY(TODAY(),1)-MATCH(TRIM(A15),{"الأحد","الاثنين","الثلاثاء","الأربعاء","الخميس","الجمعة","السبت"},0),7),IFERROR(DATEVALUE(A15),"")))))</f>
        <v/>
      </c>
      <c r="I15" s="0" t="str">
        <f aca="false">IF(H15="","",INT((H15-WEEK_ONE)/7)+1)</f>
        <v/>
      </c>
      <c r="J15" s="0" t="str">
        <f aca="false">IF(I15="","",IF(OR(I15&lt;1,I15&gt;NW),"",INDEX(WMON,I15)))</f>
        <v/>
      </c>
    </row>
    <row r="16" customFormat="false" ht="15" hidden="false" customHeight="false" outlineLevel="0" collapsed="false">
      <c r="A16" s="43"/>
      <c r="B16" s="23" t="str">
        <f aca="false">IF(H16="","",CHOOSE(WEEKDAY(H16,1),"الأحد","الاثنين","الثلاثاء","الأربعاء","الخميس","الجمعة","السبت")&amp;IF(OR(ISNUMBER(A16),LEN(TRIM(A16))&gt;=10),"","  "&amp;TEXT(DAY(H16),"00")&amp;"/"&amp;TEXT(MONTH(H16),"00")&amp;"/"&amp;YEAR(H16)))</f>
        <v/>
      </c>
      <c r="C16" s="24"/>
      <c r="D16" s="27"/>
      <c r="E16" s="44"/>
      <c r="F16" s="27"/>
      <c r="G16" s="0" t="str">
        <f aca="false">IF(AND(C16&lt;&gt;"",COUNTIF(C$6:C16,C16)=1),MAX(G$5:G15)+1,"")</f>
        <v/>
      </c>
      <c r="H16" s="0" t="str">
        <f aca="true">IF(A16="","",IF(ISNUMBER(A16),IF(A16&gt;=36526,A16,""),IFERROR(DATE(VALUE(RIGHT(RIGHT(TRIM(A16),10),4)),VALUE(MID(RIGHT(TRIM(A16),10),4,2)),VALUE(LEFT(RIGHT(TRIM(A16),10),2))),IFERROR(TODAY()-MOD(WEEKDAY(TODAY(),1)-MATCH(TRIM(A16),{"الأحد","الاثنين","الثلاثاء","الأربعاء","الخميس","الجمعة","السبت"},0),7),IFERROR(DATEVALUE(A16),"")))))</f>
        <v/>
      </c>
      <c r="I16" s="0" t="str">
        <f aca="false">IF(H16="","",INT((H16-WEEK_ONE)/7)+1)</f>
        <v/>
      </c>
      <c r="J16" s="0" t="str">
        <f aca="false">IF(I16="","",IF(OR(I16&lt;1,I16&gt;NW),"",INDEX(WMON,I16)))</f>
        <v/>
      </c>
    </row>
    <row r="17" customFormat="false" ht="15" hidden="false" customHeight="false" outlineLevel="0" collapsed="false">
      <c r="A17" s="43"/>
      <c r="B17" s="23" t="str">
        <f aca="false">IF(H17="","",CHOOSE(WEEKDAY(H17,1),"الأحد","الاثنين","الثلاثاء","الأربعاء","الخميس","الجمعة","السبت")&amp;IF(OR(ISNUMBER(A17),LEN(TRIM(A17))&gt;=10),"","  "&amp;TEXT(DAY(H17),"00")&amp;"/"&amp;TEXT(MONTH(H17),"00")&amp;"/"&amp;YEAR(H17)))</f>
        <v/>
      </c>
      <c r="C17" s="24"/>
      <c r="D17" s="27"/>
      <c r="E17" s="44"/>
      <c r="F17" s="27"/>
      <c r="G17" s="0" t="str">
        <f aca="false">IF(AND(C17&lt;&gt;"",COUNTIF(C$6:C17,C17)=1),MAX(G$5:G16)+1,"")</f>
        <v/>
      </c>
      <c r="H17" s="0" t="str">
        <f aca="true">IF(A17="","",IF(ISNUMBER(A17),IF(A17&gt;=36526,A17,""),IFERROR(DATE(VALUE(RIGHT(RIGHT(TRIM(A17),10),4)),VALUE(MID(RIGHT(TRIM(A17),10),4,2)),VALUE(LEFT(RIGHT(TRIM(A17),10),2))),IFERROR(TODAY()-MOD(WEEKDAY(TODAY(),1)-MATCH(TRIM(A17),{"الأحد","الاثنين","الثلاثاء","الأربعاء","الخميس","الجمعة","السبت"},0),7),IFERROR(DATEVALUE(A17),"")))))</f>
        <v/>
      </c>
      <c r="I17" s="0" t="str">
        <f aca="false">IF(H17="","",INT((H17-WEEK_ONE)/7)+1)</f>
        <v/>
      </c>
      <c r="J17" s="0" t="str">
        <f aca="false">IF(I17="","",IF(OR(I17&lt;1,I17&gt;NW),"",INDEX(WMON,I17)))</f>
        <v/>
      </c>
    </row>
    <row r="18" customFormat="false" ht="15" hidden="false" customHeight="false" outlineLevel="0" collapsed="false">
      <c r="A18" s="43"/>
      <c r="B18" s="23" t="str">
        <f aca="false">IF(H18="","",CHOOSE(WEEKDAY(H18,1),"الأحد","الاثنين","الثلاثاء","الأربعاء","الخميس","الجمعة","السبت")&amp;IF(OR(ISNUMBER(A18),LEN(TRIM(A18))&gt;=10),"","  "&amp;TEXT(DAY(H18),"00")&amp;"/"&amp;TEXT(MONTH(H18),"00")&amp;"/"&amp;YEAR(H18)))</f>
        <v/>
      </c>
      <c r="C18" s="24"/>
      <c r="D18" s="27"/>
      <c r="E18" s="44"/>
      <c r="F18" s="27"/>
      <c r="G18" s="0" t="str">
        <f aca="false">IF(AND(C18&lt;&gt;"",COUNTIF(C$6:C18,C18)=1),MAX(G$5:G17)+1,"")</f>
        <v/>
      </c>
      <c r="H18" s="0" t="str">
        <f aca="true">IF(A18="","",IF(ISNUMBER(A18),IF(A18&gt;=36526,A18,""),IFERROR(DATE(VALUE(RIGHT(RIGHT(TRIM(A18),10),4)),VALUE(MID(RIGHT(TRIM(A18),10),4,2)),VALUE(LEFT(RIGHT(TRIM(A18),10),2))),IFERROR(TODAY()-MOD(WEEKDAY(TODAY(),1)-MATCH(TRIM(A18),{"الأحد","الاثنين","الثلاثاء","الأربعاء","الخميس","الجمعة","السبت"},0),7),IFERROR(DATEVALUE(A18),"")))))</f>
        <v/>
      </c>
      <c r="I18" s="0" t="str">
        <f aca="false">IF(H18="","",INT((H18-WEEK_ONE)/7)+1)</f>
        <v/>
      </c>
      <c r="J18" s="0" t="str">
        <f aca="false">IF(I18="","",IF(OR(I18&lt;1,I18&gt;NW),"",INDEX(WMON,I18)))</f>
        <v/>
      </c>
    </row>
    <row r="19" customFormat="false" ht="15" hidden="false" customHeight="false" outlineLevel="0" collapsed="false">
      <c r="A19" s="43"/>
      <c r="B19" s="23" t="str">
        <f aca="false">IF(H19="","",CHOOSE(WEEKDAY(H19,1),"الأحد","الاثنين","الثلاثاء","الأربعاء","الخميس","الجمعة","السبت")&amp;IF(OR(ISNUMBER(A19),LEN(TRIM(A19))&gt;=10),"","  "&amp;TEXT(DAY(H19),"00")&amp;"/"&amp;TEXT(MONTH(H19),"00")&amp;"/"&amp;YEAR(H19)))</f>
        <v/>
      </c>
      <c r="C19" s="24"/>
      <c r="D19" s="27"/>
      <c r="E19" s="44"/>
      <c r="F19" s="27"/>
      <c r="G19" s="0" t="str">
        <f aca="false">IF(AND(C19&lt;&gt;"",COUNTIF(C$6:C19,C19)=1),MAX(G$5:G18)+1,"")</f>
        <v/>
      </c>
      <c r="H19" s="0" t="str">
        <f aca="true">IF(A19="","",IF(ISNUMBER(A19),IF(A19&gt;=36526,A19,""),IFERROR(DATE(VALUE(RIGHT(RIGHT(TRIM(A19),10),4)),VALUE(MID(RIGHT(TRIM(A19),10),4,2)),VALUE(LEFT(RIGHT(TRIM(A19),10),2))),IFERROR(TODAY()-MOD(WEEKDAY(TODAY(),1)-MATCH(TRIM(A19),{"الأحد","الاثنين","الثلاثاء","الأربعاء","الخميس","الجمعة","السبت"},0),7),IFERROR(DATEVALUE(A19),"")))))</f>
        <v/>
      </c>
      <c r="I19" s="0" t="str">
        <f aca="false">IF(H19="","",INT((H19-WEEK_ONE)/7)+1)</f>
        <v/>
      </c>
      <c r="J19" s="0" t="str">
        <f aca="false">IF(I19="","",IF(OR(I19&lt;1,I19&gt;NW),"",INDEX(WMON,I19)))</f>
        <v/>
      </c>
    </row>
    <row r="20" customFormat="false" ht="15" hidden="false" customHeight="false" outlineLevel="0" collapsed="false">
      <c r="A20" s="43"/>
      <c r="B20" s="23" t="str">
        <f aca="false">IF(H20="","",CHOOSE(WEEKDAY(H20,1),"الأحد","الاثنين","الثلاثاء","الأربعاء","الخميس","الجمعة","السبت")&amp;IF(OR(ISNUMBER(A20),LEN(TRIM(A20))&gt;=10),"","  "&amp;TEXT(DAY(H20),"00")&amp;"/"&amp;TEXT(MONTH(H20),"00")&amp;"/"&amp;YEAR(H20)))</f>
        <v/>
      </c>
      <c r="C20" s="24"/>
      <c r="D20" s="27"/>
      <c r="E20" s="44"/>
      <c r="F20" s="27"/>
      <c r="G20" s="0" t="str">
        <f aca="false">IF(AND(C20&lt;&gt;"",COUNTIF(C$6:C20,C20)=1),MAX(G$5:G19)+1,"")</f>
        <v/>
      </c>
      <c r="H20" s="0" t="str">
        <f aca="true">IF(A20="","",IF(ISNUMBER(A20),IF(A20&gt;=36526,A20,""),IFERROR(DATE(VALUE(RIGHT(RIGHT(TRIM(A20),10),4)),VALUE(MID(RIGHT(TRIM(A20),10),4,2)),VALUE(LEFT(RIGHT(TRIM(A20),10),2))),IFERROR(TODAY()-MOD(WEEKDAY(TODAY(),1)-MATCH(TRIM(A20),{"الأحد","الاثنين","الثلاثاء","الأربعاء","الخميس","الجمعة","السبت"},0),7),IFERROR(DATEVALUE(A20),"")))))</f>
        <v/>
      </c>
      <c r="I20" s="0" t="str">
        <f aca="false">IF(H20="","",INT((H20-WEEK_ONE)/7)+1)</f>
        <v/>
      </c>
      <c r="J20" s="0" t="str">
        <f aca="false">IF(I20="","",IF(OR(I20&lt;1,I20&gt;NW),"",INDEX(WMON,I20)))</f>
        <v/>
      </c>
    </row>
    <row r="21" customFormat="false" ht="15" hidden="false" customHeight="false" outlineLevel="0" collapsed="false">
      <c r="A21" s="43"/>
      <c r="B21" s="23" t="str">
        <f aca="false">IF(H21="","",CHOOSE(WEEKDAY(H21,1),"الأحد","الاثنين","الثلاثاء","الأربعاء","الخميس","الجمعة","السبت")&amp;IF(OR(ISNUMBER(A21),LEN(TRIM(A21))&gt;=10),"","  "&amp;TEXT(DAY(H21),"00")&amp;"/"&amp;TEXT(MONTH(H21),"00")&amp;"/"&amp;YEAR(H21)))</f>
        <v/>
      </c>
      <c r="C21" s="24"/>
      <c r="D21" s="27"/>
      <c r="E21" s="44"/>
      <c r="F21" s="27"/>
      <c r="G21" s="0" t="str">
        <f aca="false">IF(AND(C21&lt;&gt;"",COUNTIF(C$6:C21,C21)=1),MAX(G$5:G20)+1,"")</f>
        <v/>
      </c>
      <c r="H21" s="0" t="str">
        <f aca="true">IF(A21="","",IF(ISNUMBER(A21),IF(A21&gt;=36526,A21,""),IFERROR(DATE(VALUE(RIGHT(RIGHT(TRIM(A21),10),4)),VALUE(MID(RIGHT(TRIM(A21),10),4,2)),VALUE(LEFT(RIGHT(TRIM(A21),10),2))),IFERROR(TODAY()-MOD(WEEKDAY(TODAY(),1)-MATCH(TRIM(A21),{"الأحد","الاثنين","الثلاثاء","الأربعاء","الخميس","الجمعة","السبت"},0),7),IFERROR(DATEVALUE(A21),"")))))</f>
        <v/>
      </c>
      <c r="I21" s="0" t="str">
        <f aca="false">IF(H21="","",INT((H21-WEEK_ONE)/7)+1)</f>
        <v/>
      </c>
      <c r="J21" s="0" t="str">
        <f aca="false">IF(I21="","",IF(OR(I21&lt;1,I21&gt;NW),"",INDEX(WMON,I21)))</f>
        <v/>
      </c>
    </row>
    <row r="22" customFormat="false" ht="15" hidden="false" customHeight="false" outlineLevel="0" collapsed="false">
      <c r="A22" s="43"/>
      <c r="B22" s="23" t="str">
        <f aca="false">IF(H22="","",CHOOSE(WEEKDAY(H22,1),"الأحد","الاثنين","الثلاثاء","الأربعاء","الخميس","الجمعة","السبت")&amp;IF(OR(ISNUMBER(A22),LEN(TRIM(A22))&gt;=10),"","  "&amp;TEXT(DAY(H22),"00")&amp;"/"&amp;TEXT(MONTH(H22),"00")&amp;"/"&amp;YEAR(H22)))</f>
        <v/>
      </c>
      <c r="C22" s="24"/>
      <c r="D22" s="27"/>
      <c r="E22" s="44"/>
      <c r="F22" s="27"/>
      <c r="G22" s="0" t="str">
        <f aca="false">IF(AND(C22&lt;&gt;"",COUNTIF(C$6:C22,C22)=1),MAX(G$5:G21)+1,"")</f>
        <v/>
      </c>
      <c r="H22" s="0" t="str">
        <f aca="true">IF(A22="","",IF(ISNUMBER(A22),IF(A22&gt;=36526,A22,""),IFERROR(DATE(VALUE(RIGHT(RIGHT(TRIM(A22),10),4)),VALUE(MID(RIGHT(TRIM(A22),10),4,2)),VALUE(LEFT(RIGHT(TRIM(A22),10),2))),IFERROR(TODAY()-MOD(WEEKDAY(TODAY(),1)-MATCH(TRIM(A22),{"الأحد","الاثنين","الثلاثاء","الأربعاء","الخميس","الجمعة","السبت"},0),7),IFERROR(DATEVALUE(A22),"")))))</f>
        <v/>
      </c>
      <c r="I22" s="0" t="str">
        <f aca="false">IF(H22="","",INT((H22-WEEK_ONE)/7)+1)</f>
        <v/>
      </c>
      <c r="J22" s="0" t="str">
        <f aca="false">IF(I22="","",IF(OR(I22&lt;1,I22&gt;NW),"",INDEX(WMON,I22)))</f>
        <v/>
      </c>
    </row>
    <row r="23" customFormat="false" ht="15" hidden="false" customHeight="false" outlineLevel="0" collapsed="false">
      <c r="A23" s="43"/>
      <c r="B23" s="23" t="str">
        <f aca="false">IF(H23="","",CHOOSE(WEEKDAY(H23,1),"الأحد","الاثنين","الثلاثاء","الأربعاء","الخميس","الجمعة","السبت")&amp;IF(OR(ISNUMBER(A23),LEN(TRIM(A23))&gt;=10),"","  "&amp;TEXT(DAY(H23),"00")&amp;"/"&amp;TEXT(MONTH(H23),"00")&amp;"/"&amp;YEAR(H23)))</f>
        <v/>
      </c>
      <c r="C23" s="24"/>
      <c r="D23" s="27"/>
      <c r="E23" s="44"/>
      <c r="F23" s="27"/>
      <c r="G23" s="0" t="str">
        <f aca="false">IF(AND(C23&lt;&gt;"",COUNTIF(C$6:C23,C23)=1),MAX(G$5:G22)+1,"")</f>
        <v/>
      </c>
      <c r="H23" s="0" t="str">
        <f aca="true">IF(A23="","",IF(ISNUMBER(A23),IF(A23&gt;=36526,A23,""),IFERROR(DATE(VALUE(RIGHT(RIGHT(TRIM(A23),10),4)),VALUE(MID(RIGHT(TRIM(A23),10),4,2)),VALUE(LEFT(RIGHT(TRIM(A23),10),2))),IFERROR(TODAY()-MOD(WEEKDAY(TODAY(),1)-MATCH(TRIM(A23),{"الأحد","الاثنين","الثلاثاء","الأربعاء","الخميس","الجمعة","السبت"},0),7),IFERROR(DATEVALUE(A23),"")))))</f>
        <v/>
      </c>
      <c r="I23" s="0" t="str">
        <f aca="false">IF(H23="","",INT((H23-WEEK_ONE)/7)+1)</f>
        <v/>
      </c>
      <c r="J23" s="0" t="str">
        <f aca="false">IF(I23="","",IF(OR(I23&lt;1,I23&gt;NW),"",INDEX(WMON,I23)))</f>
        <v/>
      </c>
    </row>
    <row r="24" customFormat="false" ht="15" hidden="false" customHeight="false" outlineLevel="0" collapsed="false">
      <c r="A24" s="43"/>
      <c r="B24" s="23" t="str">
        <f aca="false">IF(H24="","",CHOOSE(WEEKDAY(H24,1),"الأحد","الاثنين","الثلاثاء","الأربعاء","الخميس","الجمعة","السبت")&amp;IF(OR(ISNUMBER(A24),LEN(TRIM(A24))&gt;=10),"","  "&amp;TEXT(DAY(H24),"00")&amp;"/"&amp;TEXT(MONTH(H24),"00")&amp;"/"&amp;YEAR(H24)))</f>
        <v/>
      </c>
      <c r="C24" s="24"/>
      <c r="D24" s="27"/>
      <c r="E24" s="44"/>
      <c r="F24" s="27"/>
      <c r="G24" s="0" t="str">
        <f aca="false">IF(AND(C24&lt;&gt;"",COUNTIF(C$6:C24,C24)=1),MAX(G$5:G23)+1,"")</f>
        <v/>
      </c>
      <c r="H24" s="0" t="str">
        <f aca="true">IF(A24="","",IF(ISNUMBER(A24),IF(A24&gt;=36526,A24,""),IFERROR(DATE(VALUE(RIGHT(RIGHT(TRIM(A24),10),4)),VALUE(MID(RIGHT(TRIM(A24),10),4,2)),VALUE(LEFT(RIGHT(TRIM(A24),10),2))),IFERROR(TODAY()-MOD(WEEKDAY(TODAY(),1)-MATCH(TRIM(A24),{"الأحد","الاثنين","الثلاثاء","الأربعاء","الخميس","الجمعة","السبت"},0),7),IFERROR(DATEVALUE(A24),"")))))</f>
        <v/>
      </c>
      <c r="I24" s="0" t="str">
        <f aca="false">IF(H24="","",INT((H24-WEEK_ONE)/7)+1)</f>
        <v/>
      </c>
      <c r="J24" s="0" t="str">
        <f aca="false">IF(I24="","",IF(OR(I24&lt;1,I24&gt;NW),"",INDEX(WMON,I24)))</f>
        <v/>
      </c>
    </row>
    <row r="25" customFormat="false" ht="15" hidden="false" customHeight="false" outlineLevel="0" collapsed="false">
      <c r="A25" s="43"/>
      <c r="B25" s="23" t="str">
        <f aca="false">IF(H25="","",CHOOSE(WEEKDAY(H25,1),"الأحد","الاثنين","الثلاثاء","الأربعاء","الخميس","الجمعة","السبت")&amp;IF(OR(ISNUMBER(A25),LEN(TRIM(A25))&gt;=10),"","  "&amp;TEXT(DAY(H25),"00")&amp;"/"&amp;TEXT(MONTH(H25),"00")&amp;"/"&amp;YEAR(H25)))</f>
        <v/>
      </c>
      <c r="C25" s="24"/>
      <c r="D25" s="27"/>
      <c r="E25" s="44"/>
      <c r="F25" s="27"/>
      <c r="G25" s="0" t="str">
        <f aca="false">IF(AND(C25&lt;&gt;"",COUNTIF(C$6:C25,C25)=1),MAX(G$5:G24)+1,"")</f>
        <v/>
      </c>
      <c r="H25" s="0" t="str">
        <f aca="true">IF(A25="","",IF(ISNUMBER(A25),IF(A25&gt;=36526,A25,""),IFERROR(DATE(VALUE(RIGHT(RIGHT(TRIM(A25),10),4)),VALUE(MID(RIGHT(TRIM(A25),10),4,2)),VALUE(LEFT(RIGHT(TRIM(A25),10),2))),IFERROR(TODAY()-MOD(WEEKDAY(TODAY(),1)-MATCH(TRIM(A25),{"الأحد","الاثنين","الثلاثاء","الأربعاء","الخميس","الجمعة","السبت"},0),7),IFERROR(DATEVALUE(A25),"")))))</f>
        <v/>
      </c>
      <c r="I25" s="0" t="str">
        <f aca="false">IF(H25="","",INT((H25-WEEK_ONE)/7)+1)</f>
        <v/>
      </c>
      <c r="J25" s="0" t="str">
        <f aca="false">IF(I25="","",IF(OR(I25&lt;1,I25&gt;NW),"",INDEX(WMON,I25)))</f>
        <v/>
      </c>
    </row>
    <row r="26" customFormat="false" ht="15" hidden="false" customHeight="false" outlineLevel="0" collapsed="false">
      <c r="A26" s="43"/>
      <c r="B26" s="23" t="str">
        <f aca="false">IF(H26="","",CHOOSE(WEEKDAY(H26,1),"الأحد","الاثنين","الثلاثاء","الأربعاء","الخميس","الجمعة","السبت")&amp;IF(OR(ISNUMBER(A26),LEN(TRIM(A26))&gt;=10),"","  "&amp;TEXT(DAY(H26),"00")&amp;"/"&amp;TEXT(MONTH(H26),"00")&amp;"/"&amp;YEAR(H26)))</f>
        <v/>
      </c>
      <c r="C26" s="24"/>
      <c r="D26" s="27"/>
      <c r="E26" s="44"/>
      <c r="F26" s="27"/>
      <c r="G26" s="0" t="str">
        <f aca="false">IF(AND(C26&lt;&gt;"",COUNTIF(C$6:C26,C26)=1),MAX(G$5:G25)+1,"")</f>
        <v/>
      </c>
      <c r="H26" s="0" t="str">
        <f aca="true">IF(A26="","",IF(ISNUMBER(A26),IF(A26&gt;=36526,A26,""),IFERROR(DATE(VALUE(RIGHT(RIGHT(TRIM(A26),10),4)),VALUE(MID(RIGHT(TRIM(A26),10),4,2)),VALUE(LEFT(RIGHT(TRIM(A26),10),2))),IFERROR(TODAY()-MOD(WEEKDAY(TODAY(),1)-MATCH(TRIM(A26),{"الأحد","الاثنين","الثلاثاء","الأربعاء","الخميس","الجمعة","السبت"},0),7),IFERROR(DATEVALUE(A26),"")))))</f>
        <v/>
      </c>
      <c r="I26" s="0" t="str">
        <f aca="false">IF(H26="","",INT((H26-WEEK_ONE)/7)+1)</f>
        <v/>
      </c>
      <c r="J26" s="0" t="str">
        <f aca="false">IF(I26="","",IF(OR(I26&lt;1,I26&gt;NW),"",INDEX(WMON,I26)))</f>
        <v/>
      </c>
    </row>
    <row r="27" customFormat="false" ht="15" hidden="false" customHeight="false" outlineLevel="0" collapsed="false">
      <c r="A27" s="43"/>
      <c r="B27" s="23" t="str">
        <f aca="false">IF(H27="","",CHOOSE(WEEKDAY(H27,1),"الأحد","الاثنين","الثلاثاء","الأربعاء","الخميس","الجمعة","السبت")&amp;IF(OR(ISNUMBER(A27),LEN(TRIM(A27))&gt;=10),"","  "&amp;TEXT(DAY(H27),"00")&amp;"/"&amp;TEXT(MONTH(H27),"00")&amp;"/"&amp;YEAR(H27)))</f>
        <v/>
      </c>
      <c r="C27" s="24"/>
      <c r="D27" s="27"/>
      <c r="E27" s="44"/>
      <c r="F27" s="27"/>
      <c r="G27" s="0" t="str">
        <f aca="false">IF(AND(C27&lt;&gt;"",COUNTIF(C$6:C27,C27)=1),MAX(G$5:G26)+1,"")</f>
        <v/>
      </c>
      <c r="H27" s="0" t="str">
        <f aca="true">IF(A27="","",IF(ISNUMBER(A27),IF(A27&gt;=36526,A27,""),IFERROR(DATE(VALUE(RIGHT(RIGHT(TRIM(A27),10),4)),VALUE(MID(RIGHT(TRIM(A27),10),4,2)),VALUE(LEFT(RIGHT(TRIM(A27),10),2))),IFERROR(TODAY()-MOD(WEEKDAY(TODAY(),1)-MATCH(TRIM(A27),{"الأحد","الاثنين","الثلاثاء","الأربعاء","الخميس","الجمعة","السبت"},0),7),IFERROR(DATEVALUE(A27),"")))))</f>
        <v/>
      </c>
      <c r="I27" s="0" t="str">
        <f aca="false">IF(H27="","",INT((H27-WEEK_ONE)/7)+1)</f>
        <v/>
      </c>
      <c r="J27" s="0" t="str">
        <f aca="false">IF(I27="","",IF(OR(I27&lt;1,I27&gt;NW),"",INDEX(WMON,I27)))</f>
        <v/>
      </c>
    </row>
    <row r="28" customFormat="false" ht="15" hidden="false" customHeight="false" outlineLevel="0" collapsed="false">
      <c r="A28" s="43"/>
      <c r="B28" s="23" t="str">
        <f aca="false">IF(H28="","",CHOOSE(WEEKDAY(H28,1),"الأحد","الاثنين","الثلاثاء","الأربعاء","الخميس","الجمعة","السبت")&amp;IF(OR(ISNUMBER(A28),LEN(TRIM(A28))&gt;=10),"","  "&amp;TEXT(DAY(H28),"00")&amp;"/"&amp;TEXT(MONTH(H28),"00")&amp;"/"&amp;YEAR(H28)))</f>
        <v/>
      </c>
      <c r="C28" s="24"/>
      <c r="D28" s="27"/>
      <c r="E28" s="44"/>
      <c r="F28" s="27"/>
      <c r="G28" s="0" t="str">
        <f aca="false">IF(AND(C28&lt;&gt;"",COUNTIF(C$6:C28,C28)=1),MAX(G$5:G27)+1,"")</f>
        <v/>
      </c>
      <c r="H28" s="0" t="str">
        <f aca="true">IF(A28="","",IF(ISNUMBER(A28),IF(A28&gt;=36526,A28,""),IFERROR(DATE(VALUE(RIGHT(RIGHT(TRIM(A28),10),4)),VALUE(MID(RIGHT(TRIM(A28),10),4,2)),VALUE(LEFT(RIGHT(TRIM(A28),10),2))),IFERROR(TODAY()-MOD(WEEKDAY(TODAY(),1)-MATCH(TRIM(A28),{"الأحد","الاثنين","الثلاثاء","الأربعاء","الخميس","الجمعة","السبت"},0),7),IFERROR(DATEVALUE(A28),"")))))</f>
        <v/>
      </c>
      <c r="I28" s="0" t="str">
        <f aca="false">IF(H28="","",INT((H28-WEEK_ONE)/7)+1)</f>
        <v/>
      </c>
      <c r="J28" s="0" t="str">
        <f aca="false">IF(I28="","",IF(OR(I28&lt;1,I28&gt;NW),"",INDEX(WMON,I28)))</f>
        <v/>
      </c>
    </row>
    <row r="29" customFormat="false" ht="15" hidden="false" customHeight="false" outlineLevel="0" collapsed="false">
      <c r="A29" s="43"/>
      <c r="B29" s="23" t="str">
        <f aca="false">IF(H29="","",CHOOSE(WEEKDAY(H29,1),"الأحد","الاثنين","الثلاثاء","الأربعاء","الخميس","الجمعة","السبت")&amp;IF(OR(ISNUMBER(A29),LEN(TRIM(A29))&gt;=10),"","  "&amp;TEXT(DAY(H29),"00")&amp;"/"&amp;TEXT(MONTH(H29),"00")&amp;"/"&amp;YEAR(H29)))</f>
        <v/>
      </c>
      <c r="C29" s="24"/>
      <c r="D29" s="27"/>
      <c r="E29" s="44"/>
      <c r="F29" s="27"/>
      <c r="G29" s="0" t="str">
        <f aca="false">IF(AND(C29&lt;&gt;"",COUNTIF(C$6:C29,C29)=1),MAX(G$5:G28)+1,"")</f>
        <v/>
      </c>
      <c r="H29" s="0" t="str">
        <f aca="true">IF(A29="","",IF(ISNUMBER(A29),IF(A29&gt;=36526,A29,""),IFERROR(DATE(VALUE(RIGHT(RIGHT(TRIM(A29),10),4)),VALUE(MID(RIGHT(TRIM(A29),10),4,2)),VALUE(LEFT(RIGHT(TRIM(A29),10),2))),IFERROR(TODAY()-MOD(WEEKDAY(TODAY(),1)-MATCH(TRIM(A29),{"الأحد","الاثنين","الثلاثاء","الأربعاء","الخميس","الجمعة","السبت"},0),7),IFERROR(DATEVALUE(A29),"")))))</f>
        <v/>
      </c>
      <c r="I29" s="0" t="str">
        <f aca="false">IF(H29="","",INT((H29-WEEK_ONE)/7)+1)</f>
        <v/>
      </c>
      <c r="J29" s="0" t="str">
        <f aca="false">IF(I29="","",IF(OR(I29&lt;1,I29&gt;NW),"",INDEX(WMON,I29)))</f>
        <v/>
      </c>
    </row>
    <row r="30" customFormat="false" ht="15" hidden="false" customHeight="false" outlineLevel="0" collapsed="false">
      <c r="A30" s="43"/>
      <c r="B30" s="23" t="str">
        <f aca="false">IF(H30="","",CHOOSE(WEEKDAY(H30,1),"الأحد","الاثنين","الثلاثاء","الأربعاء","الخميس","الجمعة","السبت")&amp;IF(OR(ISNUMBER(A30),LEN(TRIM(A30))&gt;=10),"","  "&amp;TEXT(DAY(H30),"00")&amp;"/"&amp;TEXT(MONTH(H30),"00")&amp;"/"&amp;YEAR(H30)))</f>
        <v/>
      </c>
      <c r="C30" s="24"/>
      <c r="D30" s="27"/>
      <c r="E30" s="44"/>
      <c r="F30" s="27"/>
      <c r="G30" s="0" t="str">
        <f aca="false">IF(AND(C30&lt;&gt;"",COUNTIF(C$6:C30,C30)=1),MAX(G$5:G29)+1,"")</f>
        <v/>
      </c>
      <c r="H30" s="0" t="str">
        <f aca="true">IF(A30="","",IF(ISNUMBER(A30),IF(A30&gt;=36526,A30,""),IFERROR(DATE(VALUE(RIGHT(RIGHT(TRIM(A30),10),4)),VALUE(MID(RIGHT(TRIM(A30),10),4,2)),VALUE(LEFT(RIGHT(TRIM(A30),10),2))),IFERROR(TODAY()-MOD(WEEKDAY(TODAY(),1)-MATCH(TRIM(A30),{"الأحد","الاثنين","الثلاثاء","الأربعاء","الخميس","الجمعة","السبت"},0),7),IFERROR(DATEVALUE(A30),"")))))</f>
        <v/>
      </c>
      <c r="I30" s="0" t="str">
        <f aca="false">IF(H30="","",INT((H30-WEEK_ONE)/7)+1)</f>
        <v/>
      </c>
      <c r="J30" s="0" t="str">
        <f aca="false">IF(I30="","",IF(OR(I30&lt;1,I30&gt;NW),"",INDEX(WMON,I30)))</f>
        <v/>
      </c>
    </row>
    <row r="31" customFormat="false" ht="15" hidden="false" customHeight="false" outlineLevel="0" collapsed="false">
      <c r="A31" s="43"/>
      <c r="B31" s="23" t="str">
        <f aca="false">IF(H31="","",CHOOSE(WEEKDAY(H31,1),"الأحد","الاثنين","الثلاثاء","الأربعاء","الخميس","الجمعة","السبت")&amp;IF(OR(ISNUMBER(A31),LEN(TRIM(A31))&gt;=10),"","  "&amp;TEXT(DAY(H31),"00")&amp;"/"&amp;TEXT(MONTH(H31),"00")&amp;"/"&amp;YEAR(H31)))</f>
        <v/>
      </c>
      <c r="C31" s="24"/>
      <c r="D31" s="27"/>
      <c r="E31" s="44"/>
      <c r="F31" s="27"/>
      <c r="G31" s="0" t="str">
        <f aca="false">IF(AND(C31&lt;&gt;"",COUNTIF(C$6:C31,C31)=1),MAX(G$5:G30)+1,"")</f>
        <v/>
      </c>
      <c r="H31" s="0" t="str">
        <f aca="true">IF(A31="","",IF(ISNUMBER(A31),IF(A31&gt;=36526,A31,""),IFERROR(DATE(VALUE(RIGHT(RIGHT(TRIM(A31),10),4)),VALUE(MID(RIGHT(TRIM(A31),10),4,2)),VALUE(LEFT(RIGHT(TRIM(A31),10),2))),IFERROR(TODAY()-MOD(WEEKDAY(TODAY(),1)-MATCH(TRIM(A31),{"الأحد","الاثنين","الثلاثاء","الأربعاء","الخميس","الجمعة","السبت"},0),7),IFERROR(DATEVALUE(A31),"")))))</f>
        <v/>
      </c>
      <c r="I31" s="0" t="str">
        <f aca="false">IF(H31="","",INT((H31-WEEK_ONE)/7)+1)</f>
        <v/>
      </c>
      <c r="J31" s="0" t="str">
        <f aca="false">IF(I31="","",IF(OR(I31&lt;1,I31&gt;NW),"",INDEX(WMON,I31)))</f>
        <v/>
      </c>
    </row>
    <row r="32" customFormat="false" ht="15" hidden="false" customHeight="false" outlineLevel="0" collapsed="false">
      <c r="A32" s="43"/>
      <c r="B32" s="23" t="str">
        <f aca="false">IF(H32="","",CHOOSE(WEEKDAY(H32,1),"الأحد","الاثنين","الثلاثاء","الأربعاء","الخميس","الجمعة","السبت")&amp;IF(OR(ISNUMBER(A32),LEN(TRIM(A32))&gt;=10),"","  "&amp;TEXT(DAY(H32),"00")&amp;"/"&amp;TEXT(MONTH(H32),"00")&amp;"/"&amp;YEAR(H32)))</f>
        <v/>
      </c>
      <c r="C32" s="24"/>
      <c r="D32" s="27"/>
      <c r="E32" s="44"/>
      <c r="F32" s="27"/>
      <c r="G32" s="0" t="str">
        <f aca="false">IF(AND(C32&lt;&gt;"",COUNTIF(C$6:C32,C32)=1),MAX(G$5:G31)+1,"")</f>
        <v/>
      </c>
      <c r="H32" s="0" t="str">
        <f aca="true">IF(A32="","",IF(ISNUMBER(A32),IF(A32&gt;=36526,A32,""),IFERROR(DATE(VALUE(RIGHT(RIGHT(TRIM(A32),10),4)),VALUE(MID(RIGHT(TRIM(A32),10),4,2)),VALUE(LEFT(RIGHT(TRIM(A32),10),2))),IFERROR(TODAY()-MOD(WEEKDAY(TODAY(),1)-MATCH(TRIM(A32),{"الأحد","الاثنين","الثلاثاء","الأربعاء","الخميس","الجمعة","السبت"},0),7),IFERROR(DATEVALUE(A32),"")))))</f>
        <v/>
      </c>
      <c r="I32" s="0" t="str">
        <f aca="false">IF(H32="","",INT((H32-WEEK_ONE)/7)+1)</f>
        <v/>
      </c>
      <c r="J32" s="0" t="str">
        <f aca="false">IF(I32="","",IF(OR(I32&lt;1,I32&gt;NW),"",INDEX(WMON,I32)))</f>
        <v/>
      </c>
    </row>
    <row r="33" customFormat="false" ht="15" hidden="false" customHeight="false" outlineLevel="0" collapsed="false">
      <c r="A33" s="43"/>
      <c r="B33" s="23" t="str">
        <f aca="false">IF(H33="","",CHOOSE(WEEKDAY(H33,1),"الأحد","الاثنين","الثلاثاء","الأربعاء","الخميس","الجمعة","السبت")&amp;IF(OR(ISNUMBER(A33),LEN(TRIM(A33))&gt;=10),"","  "&amp;TEXT(DAY(H33),"00")&amp;"/"&amp;TEXT(MONTH(H33),"00")&amp;"/"&amp;YEAR(H33)))</f>
        <v/>
      </c>
      <c r="C33" s="24"/>
      <c r="D33" s="27"/>
      <c r="E33" s="44"/>
      <c r="F33" s="27"/>
      <c r="G33" s="0" t="str">
        <f aca="false">IF(AND(C33&lt;&gt;"",COUNTIF(C$6:C33,C33)=1),MAX(G$5:G32)+1,"")</f>
        <v/>
      </c>
      <c r="H33" s="0" t="str">
        <f aca="true">IF(A33="","",IF(ISNUMBER(A33),IF(A33&gt;=36526,A33,""),IFERROR(DATE(VALUE(RIGHT(RIGHT(TRIM(A33),10),4)),VALUE(MID(RIGHT(TRIM(A33),10),4,2)),VALUE(LEFT(RIGHT(TRIM(A33),10),2))),IFERROR(TODAY()-MOD(WEEKDAY(TODAY(),1)-MATCH(TRIM(A33),{"الأحد","الاثنين","الثلاثاء","الأربعاء","الخميس","الجمعة","السبت"},0),7),IFERROR(DATEVALUE(A33),"")))))</f>
        <v/>
      </c>
      <c r="I33" s="0" t="str">
        <f aca="false">IF(H33="","",INT((H33-WEEK_ONE)/7)+1)</f>
        <v/>
      </c>
      <c r="J33" s="0" t="str">
        <f aca="false">IF(I33="","",IF(OR(I33&lt;1,I33&gt;NW),"",INDEX(WMON,I33)))</f>
        <v/>
      </c>
    </row>
    <row r="34" customFormat="false" ht="15" hidden="false" customHeight="false" outlineLevel="0" collapsed="false">
      <c r="A34" s="43"/>
      <c r="B34" s="23" t="str">
        <f aca="false">IF(H34="","",CHOOSE(WEEKDAY(H34,1),"الأحد","الاثنين","الثلاثاء","الأربعاء","الخميس","الجمعة","السبت")&amp;IF(OR(ISNUMBER(A34),LEN(TRIM(A34))&gt;=10),"","  "&amp;TEXT(DAY(H34),"00")&amp;"/"&amp;TEXT(MONTH(H34),"00")&amp;"/"&amp;YEAR(H34)))</f>
        <v/>
      </c>
      <c r="C34" s="24"/>
      <c r="D34" s="27"/>
      <c r="E34" s="44"/>
      <c r="F34" s="27"/>
      <c r="G34" s="0" t="str">
        <f aca="false">IF(AND(C34&lt;&gt;"",COUNTIF(C$6:C34,C34)=1),MAX(G$5:G33)+1,"")</f>
        <v/>
      </c>
      <c r="H34" s="0" t="str">
        <f aca="true">IF(A34="","",IF(ISNUMBER(A34),IF(A34&gt;=36526,A34,""),IFERROR(DATE(VALUE(RIGHT(RIGHT(TRIM(A34),10),4)),VALUE(MID(RIGHT(TRIM(A34),10),4,2)),VALUE(LEFT(RIGHT(TRIM(A34),10),2))),IFERROR(TODAY()-MOD(WEEKDAY(TODAY(),1)-MATCH(TRIM(A34),{"الأحد","الاثنين","الثلاثاء","الأربعاء","الخميس","الجمعة","السبت"},0),7),IFERROR(DATEVALUE(A34),"")))))</f>
        <v/>
      </c>
      <c r="I34" s="0" t="str">
        <f aca="false">IF(H34="","",INT((H34-WEEK_ONE)/7)+1)</f>
        <v/>
      </c>
      <c r="J34" s="0" t="str">
        <f aca="false">IF(I34="","",IF(OR(I34&lt;1,I34&gt;NW),"",INDEX(WMON,I34)))</f>
        <v/>
      </c>
    </row>
    <row r="35" customFormat="false" ht="15" hidden="false" customHeight="false" outlineLevel="0" collapsed="false">
      <c r="A35" s="43"/>
      <c r="B35" s="23" t="str">
        <f aca="false">IF(H35="","",CHOOSE(WEEKDAY(H35,1),"الأحد","الاثنين","الثلاثاء","الأربعاء","الخميس","الجمعة","السبت")&amp;IF(OR(ISNUMBER(A35),LEN(TRIM(A35))&gt;=10),"","  "&amp;TEXT(DAY(H35),"00")&amp;"/"&amp;TEXT(MONTH(H35),"00")&amp;"/"&amp;YEAR(H35)))</f>
        <v/>
      </c>
      <c r="C35" s="24"/>
      <c r="D35" s="27"/>
      <c r="E35" s="44"/>
      <c r="F35" s="27"/>
      <c r="G35" s="0" t="str">
        <f aca="false">IF(AND(C35&lt;&gt;"",COUNTIF(C$6:C35,C35)=1),MAX(G$5:G34)+1,"")</f>
        <v/>
      </c>
      <c r="H35" s="0" t="str">
        <f aca="true">IF(A35="","",IF(ISNUMBER(A35),IF(A35&gt;=36526,A35,""),IFERROR(DATE(VALUE(RIGHT(RIGHT(TRIM(A35),10),4)),VALUE(MID(RIGHT(TRIM(A35),10),4,2)),VALUE(LEFT(RIGHT(TRIM(A35),10),2))),IFERROR(TODAY()-MOD(WEEKDAY(TODAY(),1)-MATCH(TRIM(A35),{"الأحد","الاثنين","الثلاثاء","الأربعاء","الخميس","الجمعة","السبت"},0),7),IFERROR(DATEVALUE(A35),"")))))</f>
        <v/>
      </c>
      <c r="I35" s="0" t="str">
        <f aca="false">IF(H35="","",INT((H35-WEEK_ONE)/7)+1)</f>
        <v/>
      </c>
      <c r="J35" s="0" t="str">
        <f aca="false">IF(I35="","",IF(OR(I35&lt;1,I35&gt;NW),"",INDEX(WMON,I35)))</f>
        <v/>
      </c>
    </row>
    <row r="36" customFormat="false" ht="15" hidden="false" customHeight="false" outlineLevel="0" collapsed="false">
      <c r="A36" s="43"/>
      <c r="B36" s="23" t="str">
        <f aca="false">IF(H36="","",CHOOSE(WEEKDAY(H36,1),"الأحد","الاثنين","الثلاثاء","الأربعاء","الخميس","الجمعة","السبت")&amp;IF(OR(ISNUMBER(A36),LEN(TRIM(A36))&gt;=10),"","  "&amp;TEXT(DAY(H36),"00")&amp;"/"&amp;TEXT(MONTH(H36),"00")&amp;"/"&amp;YEAR(H36)))</f>
        <v/>
      </c>
      <c r="C36" s="24"/>
      <c r="D36" s="27"/>
      <c r="E36" s="44"/>
      <c r="F36" s="27"/>
      <c r="G36" s="0" t="str">
        <f aca="false">IF(AND(C36&lt;&gt;"",COUNTIF(C$6:C36,C36)=1),MAX(G$5:G35)+1,"")</f>
        <v/>
      </c>
      <c r="H36" s="0" t="str">
        <f aca="true">IF(A36="","",IF(ISNUMBER(A36),IF(A36&gt;=36526,A36,""),IFERROR(DATE(VALUE(RIGHT(RIGHT(TRIM(A36),10),4)),VALUE(MID(RIGHT(TRIM(A36),10),4,2)),VALUE(LEFT(RIGHT(TRIM(A36),10),2))),IFERROR(TODAY()-MOD(WEEKDAY(TODAY(),1)-MATCH(TRIM(A36),{"الأحد","الاثنين","الثلاثاء","الأربعاء","الخميس","الجمعة","السبت"},0),7),IFERROR(DATEVALUE(A36),"")))))</f>
        <v/>
      </c>
      <c r="I36" s="0" t="str">
        <f aca="false">IF(H36="","",INT((H36-WEEK_ONE)/7)+1)</f>
        <v/>
      </c>
      <c r="J36" s="0" t="str">
        <f aca="false">IF(I36="","",IF(OR(I36&lt;1,I36&gt;NW),"",INDEX(WMON,I36)))</f>
        <v/>
      </c>
    </row>
    <row r="37" customFormat="false" ht="15" hidden="false" customHeight="false" outlineLevel="0" collapsed="false">
      <c r="A37" s="43"/>
      <c r="B37" s="23" t="str">
        <f aca="false">IF(H37="","",CHOOSE(WEEKDAY(H37,1),"الأحد","الاثنين","الثلاثاء","الأربعاء","الخميس","الجمعة","السبت")&amp;IF(OR(ISNUMBER(A37),LEN(TRIM(A37))&gt;=10),"","  "&amp;TEXT(DAY(H37),"00")&amp;"/"&amp;TEXT(MONTH(H37),"00")&amp;"/"&amp;YEAR(H37)))</f>
        <v/>
      </c>
      <c r="C37" s="24"/>
      <c r="D37" s="27"/>
      <c r="E37" s="44"/>
      <c r="F37" s="27"/>
      <c r="G37" s="0" t="str">
        <f aca="false">IF(AND(C37&lt;&gt;"",COUNTIF(C$6:C37,C37)=1),MAX(G$5:G36)+1,"")</f>
        <v/>
      </c>
      <c r="H37" s="0" t="str">
        <f aca="true">IF(A37="","",IF(ISNUMBER(A37),IF(A37&gt;=36526,A37,""),IFERROR(DATE(VALUE(RIGHT(RIGHT(TRIM(A37),10),4)),VALUE(MID(RIGHT(TRIM(A37),10),4,2)),VALUE(LEFT(RIGHT(TRIM(A37),10),2))),IFERROR(TODAY()-MOD(WEEKDAY(TODAY(),1)-MATCH(TRIM(A37),{"الأحد","الاثنين","الثلاثاء","الأربعاء","الخميس","الجمعة","السبت"},0),7),IFERROR(DATEVALUE(A37),"")))))</f>
        <v/>
      </c>
      <c r="I37" s="0" t="str">
        <f aca="false">IF(H37="","",INT((H37-WEEK_ONE)/7)+1)</f>
        <v/>
      </c>
      <c r="J37" s="0" t="str">
        <f aca="false">IF(I37="","",IF(OR(I37&lt;1,I37&gt;NW),"",INDEX(WMON,I37)))</f>
        <v/>
      </c>
    </row>
    <row r="38" customFormat="false" ht="15" hidden="false" customHeight="false" outlineLevel="0" collapsed="false">
      <c r="A38" s="43"/>
      <c r="B38" s="23" t="str">
        <f aca="false">IF(H38="","",CHOOSE(WEEKDAY(H38,1),"الأحد","الاثنين","الثلاثاء","الأربعاء","الخميس","الجمعة","السبت")&amp;IF(OR(ISNUMBER(A38),LEN(TRIM(A38))&gt;=10),"","  "&amp;TEXT(DAY(H38),"00")&amp;"/"&amp;TEXT(MONTH(H38),"00")&amp;"/"&amp;YEAR(H38)))</f>
        <v/>
      </c>
      <c r="C38" s="24"/>
      <c r="D38" s="27"/>
      <c r="E38" s="44"/>
      <c r="F38" s="27"/>
      <c r="G38" s="0" t="str">
        <f aca="false">IF(AND(C38&lt;&gt;"",COUNTIF(C$6:C38,C38)=1),MAX(G$5:G37)+1,"")</f>
        <v/>
      </c>
      <c r="H38" s="0" t="str">
        <f aca="true">IF(A38="","",IF(ISNUMBER(A38),IF(A38&gt;=36526,A38,""),IFERROR(DATE(VALUE(RIGHT(RIGHT(TRIM(A38),10),4)),VALUE(MID(RIGHT(TRIM(A38),10),4,2)),VALUE(LEFT(RIGHT(TRIM(A38),10),2))),IFERROR(TODAY()-MOD(WEEKDAY(TODAY(),1)-MATCH(TRIM(A38),{"الأحد","الاثنين","الثلاثاء","الأربعاء","الخميس","الجمعة","السبت"},0),7),IFERROR(DATEVALUE(A38),"")))))</f>
        <v/>
      </c>
      <c r="I38" s="0" t="str">
        <f aca="false">IF(H38="","",INT((H38-WEEK_ONE)/7)+1)</f>
        <v/>
      </c>
      <c r="J38" s="0" t="str">
        <f aca="false">IF(I38="","",IF(OR(I38&lt;1,I38&gt;NW),"",INDEX(WMON,I38)))</f>
        <v/>
      </c>
    </row>
    <row r="39" customFormat="false" ht="15" hidden="false" customHeight="false" outlineLevel="0" collapsed="false">
      <c r="A39" s="43"/>
      <c r="B39" s="23" t="str">
        <f aca="false">IF(H39="","",CHOOSE(WEEKDAY(H39,1),"الأحد","الاثنين","الثلاثاء","الأربعاء","الخميس","الجمعة","السبت")&amp;IF(OR(ISNUMBER(A39),LEN(TRIM(A39))&gt;=10),"","  "&amp;TEXT(DAY(H39),"00")&amp;"/"&amp;TEXT(MONTH(H39),"00")&amp;"/"&amp;YEAR(H39)))</f>
        <v/>
      </c>
      <c r="C39" s="24"/>
      <c r="D39" s="27"/>
      <c r="E39" s="44"/>
      <c r="F39" s="27"/>
      <c r="G39" s="0" t="str">
        <f aca="false">IF(AND(C39&lt;&gt;"",COUNTIF(C$6:C39,C39)=1),MAX(G$5:G38)+1,"")</f>
        <v/>
      </c>
      <c r="H39" s="0" t="str">
        <f aca="true">IF(A39="","",IF(ISNUMBER(A39),IF(A39&gt;=36526,A39,""),IFERROR(DATE(VALUE(RIGHT(RIGHT(TRIM(A39),10),4)),VALUE(MID(RIGHT(TRIM(A39),10),4,2)),VALUE(LEFT(RIGHT(TRIM(A39),10),2))),IFERROR(TODAY()-MOD(WEEKDAY(TODAY(),1)-MATCH(TRIM(A39),{"الأحد","الاثنين","الثلاثاء","الأربعاء","الخميس","الجمعة","السبت"},0),7),IFERROR(DATEVALUE(A39),"")))))</f>
        <v/>
      </c>
      <c r="I39" s="0" t="str">
        <f aca="false">IF(H39="","",INT((H39-WEEK_ONE)/7)+1)</f>
        <v/>
      </c>
      <c r="J39" s="0" t="str">
        <f aca="false">IF(I39="","",IF(OR(I39&lt;1,I39&gt;NW),"",INDEX(WMON,I39)))</f>
        <v/>
      </c>
    </row>
    <row r="40" customFormat="false" ht="15" hidden="false" customHeight="false" outlineLevel="0" collapsed="false">
      <c r="A40" s="43"/>
      <c r="B40" s="23" t="str">
        <f aca="false">IF(H40="","",CHOOSE(WEEKDAY(H40,1),"الأحد","الاثنين","الثلاثاء","الأربعاء","الخميس","الجمعة","السبت")&amp;IF(OR(ISNUMBER(A40),LEN(TRIM(A40))&gt;=10),"","  "&amp;TEXT(DAY(H40),"00")&amp;"/"&amp;TEXT(MONTH(H40),"00")&amp;"/"&amp;YEAR(H40)))</f>
        <v/>
      </c>
      <c r="C40" s="24"/>
      <c r="D40" s="27"/>
      <c r="E40" s="44"/>
      <c r="F40" s="27"/>
      <c r="G40" s="0" t="str">
        <f aca="false">IF(AND(C40&lt;&gt;"",COUNTIF(C$6:C40,C40)=1),MAX(G$5:G39)+1,"")</f>
        <v/>
      </c>
      <c r="H40" s="0" t="str">
        <f aca="true">IF(A40="","",IF(ISNUMBER(A40),IF(A40&gt;=36526,A40,""),IFERROR(DATE(VALUE(RIGHT(RIGHT(TRIM(A40),10),4)),VALUE(MID(RIGHT(TRIM(A40),10),4,2)),VALUE(LEFT(RIGHT(TRIM(A40),10),2))),IFERROR(TODAY()-MOD(WEEKDAY(TODAY(),1)-MATCH(TRIM(A40),{"الأحد","الاثنين","الثلاثاء","الأربعاء","الخميس","الجمعة","السبت"},0),7),IFERROR(DATEVALUE(A40),"")))))</f>
        <v/>
      </c>
      <c r="I40" s="0" t="str">
        <f aca="false">IF(H40="","",INT((H40-WEEK_ONE)/7)+1)</f>
        <v/>
      </c>
      <c r="J40" s="0" t="str">
        <f aca="false">IF(I40="","",IF(OR(I40&lt;1,I40&gt;NW),"",INDEX(WMON,I40)))</f>
        <v/>
      </c>
    </row>
    <row r="41" customFormat="false" ht="15" hidden="false" customHeight="false" outlineLevel="0" collapsed="false">
      <c r="A41" s="43"/>
      <c r="B41" s="23" t="str">
        <f aca="false">IF(H41="","",CHOOSE(WEEKDAY(H41,1),"الأحد","الاثنين","الثلاثاء","الأربعاء","الخميس","الجمعة","السبت")&amp;IF(OR(ISNUMBER(A41),LEN(TRIM(A41))&gt;=10),"","  "&amp;TEXT(DAY(H41),"00")&amp;"/"&amp;TEXT(MONTH(H41),"00")&amp;"/"&amp;YEAR(H41)))</f>
        <v/>
      </c>
      <c r="C41" s="24"/>
      <c r="D41" s="27"/>
      <c r="E41" s="44"/>
      <c r="F41" s="27"/>
      <c r="G41" s="0" t="str">
        <f aca="false">IF(AND(C41&lt;&gt;"",COUNTIF(C$6:C41,C41)=1),MAX(G$5:G40)+1,"")</f>
        <v/>
      </c>
      <c r="H41" s="0" t="str">
        <f aca="true">IF(A41="","",IF(ISNUMBER(A41),IF(A41&gt;=36526,A41,""),IFERROR(DATE(VALUE(RIGHT(RIGHT(TRIM(A41),10),4)),VALUE(MID(RIGHT(TRIM(A41),10),4,2)),VALUE(LEFT(RIGHT(TRIM(A41),10),2))),IFERROR(TODAY()-MOD(WEEKDAY(TODAY(),1)-MATCH(TRIM(A41),{"الأحد","الاثنين","الثلاثاء","الأربعاء","الخميس","الجمعة","السبت"},0),7),IFERROR(DATEVALUE(A41),"")))))</f>
        <v/>
      </c>
      <c r="I41" s="0" t="str">
        <f aca="false">IF(H41="","",INT((H41-WEEK_ONE)/7)+1)</f>
        <v/>
      </c>
      <c r="J41" s="0" t="str">
        <f aca="false">IF(I41="","",IF(OR(I41&lt;1,I41&gt;NW),"",INDEX(WMON,I41)))</f>
        <v/>
      </c>
    </row>
    <row r="42" customFormat="false" ht="15" hidden="false" customHeight="false" outlineLevel="0" collapsed="false">
      <c r="A42" s="43"/>
      <c r="B42" s="23" t="str">
        <f aca="false">IF(H42="","",CHOOSE(WEEKDAY(H42,1),"الأحد","الاثنين","الثلاثاء","الأربعاء","الخميس","الجمعة","السبت")&amp;IF(OR(ISNUMBER(A42),LEN(TRIM(A42))&gt;=10),"","  "&amp;TEXT(DAY(H42),"00")&amp;"/"&amp;TEXT(MONTH(H42),"00")&amp;"/"&amp;YEAR(H42)))</f>
        <v/>
      </c>
      <c r="C42" s="24"/>
      <c r="D42" s="27"/>
      <c r="E42" s="44"/>
      <c r="F42" s="27"/>
      <c r="G42" s="0" t="str">
        <f aca="false">IF(AND(C42&lt;&gt;"",COUNTIF(C$6:C42,C42)=1),MAX(G$5:G41)+1,"")</f>
        <v/>
      </c>
      <c r="H42" s="0" t="str">
        <f aca="true">IF(A42="","",IF(ISNUMBER(A42),IF(A42&gt;=36526,A42,""),IFERROR(DATE(VALUE(RIGHT(RIGHT(TRIM(A42),10),4)),VALUE(MID(RIGHT(TRIM(A42),10),4,2)),VALUE(LEFT(RIGHT(TRIM(A42),10),2))),IFERROR(TODAY()-MOD(WEEKDAY(TODAY(),1)-MATCH(TRIM(A42),{"الأحد","الاثنين","الثلاثاء","الأربعاء","الخميس","الجمعة","السبت"},0),7),IFERROR(DATEVALUE(A42),"")))))</f>
        <v/>
      </c>
      <c r="I42" s="0" t="str">
        <f aca="false">IF(H42="","",INT((H42-WEEK_ONE)/7)+1)</f>
        <v/>
      </c>
      <c r="J42" s="0" t="str">
        <f aca="false">IF(I42="","",IF(OR(I42&lt;1,I42&gt;NW),"",INDEX(WMON,I42)))</f>
        <v/>
      </c>
    </row>
    <row r="43" customFormat="false" ht="15" hidden="false" customHeight="false" outlineLevel="0" collapsed="false">
      <c r="A43" s="43"/>
      <c r="B43" s="23" t="str">
        <f aca="false">IF(H43="","",CHOOSE(WEEKDAY(H43,1),"الأحد","الاثنين","الثلاثاء","الأربعاء","الخميس","الجمعة","السبت")&amp;IF(OR(ISNUMBER(A43),LEN(TRIM(A43))&gt;=10),"","  "&amp;TEXT(DAY(H43),"00")&amp;"/"&amp;TEXT(MONTH(H43),"00")&amp;"/"&amp;YEAR(H43)))</f>
        <v/>
      </c>
      <c r="C43" s="24"/>
      <c r="D43" s="27"/>
      <c r="E43" s="44"/>
      <c r="F43" s="27"/>
      <c r="G43" s="0" t="str">
        <f aca="false">IF(AND(C43&lt;&gt;"",COUNTIF(C$6:C43,C43)=1),MAX(G$5:G42)+1,"")</f>
        <v/>
      </c>
      <c r="H43" s="0" t="str">
        <f aca="true">IF(A43="","",IF(ISNUMBER(A43),IF(A43&gt;=36526,A43,""),IFERROR(DATE(VALUE(RIGHT(RIGHT(TRIM(A43),10),4)),VALUE(MID(RIGHT(TRIM(A43),10),4,2)),VALUE(LEFT(RIGHT(TRIM(A43),10),2))),IFERROR(TODAY()-MOD(WEEKDAY(TODAY(),1)-MATCH(TRIM(A43),{"الأحد","الاثنين","الثلاثاء","الأربعاء","الخميس","الجمعة","السبت"},0),7),IFERROR(DATEVALUE(A43),"")))))</f>
        <v/>
      </c>
      <c r="I43" s="0" t="str">
        <f aca="false">IF(H43="","",INT((H43-WEEK_ONE)/7)+1)</f>
        <v/>
      </c>
      <c r="J43" s="0" t="str">
        <f aca="false">IF(I43="","",IF(OR(I43&lt;1,I43&gt;NW),"",INDEX(WMON,I43)))</f>
        <v/>
      </c>
    </row>
    <row r="44" customFormat="false" ht="15" hidden="false" customHeight="false" outlineLevel="0" collapsed="false">
      <c r="A44" s="43"/>
      <c r="B44" s="23" t="str">
        <f aca="false">IF(H44="","",CHOOSE(WEEKDAY(H44,1),"الأحد","الاثنين","الثلاثاء","الأربعاء","الخميس","الجمعة","السبت")&amp;IF(OR(ISNUMBER(A44),LEN(TRIM(A44))&gt;=10),"","  "&amp;TEXT(DAY(H44),"00")&amp;"/"&amp;TEXT(MONTH(H44),"00")&amp;"/"&amp;YEAR(H44)))</f>
        <v/>
      </c>
      <c r="C44" s="24"/>
      <c r="D44" s="27"/>
      <c r="E44" s="44"/>
      <c r="F44" s="27"/>
      <c r="G44" s="0" t="str">
        <f aca="false">IF(AND(C44&lt;&gt;"",COUNTIF(C$6:C44,C44)=1),MAX(G$5:G43)+1,"")</f>
        <v/>
      </c>
      <c r="H44" s="0" t="str">
        <f aca="true">IF(A44="","",IF(ISNUMBER(A44),IF(A44&gt;=36526,A44,""),IFERROR(DATE(VALUE(RIGHT(RIGHT(TRIM(A44),10),4)),VALUE(MID(RIGHT(TRIM(A44),10),4,2)),VALUE(LEFT(RIGHT(TRIM(A44),10),2))),IFERROR(TODAY()-MOD(WEEKDAY(TODAY(),1)-MATCH(TRIM(A44),{"الأحد","الاثنين","الثلاثاء","الأربعاء","الخميس","الجمعة","السبت"},0),7),IFERROR(DATEVALUE(A44),"")))))</f>
        <v/>
      </c>
      <c r="I44" s="0" t="str">
        <f aca="false">IF(H44="","",INT((H44-WEEK_ONE)/7)+1)</f>
        <v/>
      </c>
      <c r="J44" s="0" t="str">
        <f aca="false">IF(I44="","",IF(OR(I44&lt;1,I44&gt;NW),"",INDEX(WMON,I44)))</f>
        <v/>
      </c>
    </row>
    <row r="45" customFormat="false" ht="15" hidden="false" customHeight="false" outlineLevel="0" collapsed="false">
      <c r="A45" s="43"/>
      <c r="B45" s="23" t="str">
        <f aca="false">IF(H45="","",CHOOSE(WEEKDAY(H45,1),"الأحد","الاثنين","الثلاثاء","الأربعاء","الخميس","الجمعة","السبت")&amp;IF(OR(ISNUMBER(A45),LEN(TRIM(A45))&gt;=10),"","  "&amp;TEXT(DAY(H45),"00")&amp;"/"&amp;TEXT(MONTH(H45),"00")&amp;"/"&amp;YEAR(H45)))</f>
        <v/>
      </c>
      <c r="C45" s="24"/>
      <c r="D45" s="27"/>
      <c r="E45" s="44"/>
      <c r="F45" s="27"/>
      <c r="G45" s="0" t="str">
        <f aca="false">IF(AND(C45&lt;&gt;"",COUNTIF(C$6:C45,C45)=1),MAX(G$5:G44)+1,"")</f>
        <v/>
      </c>
      <c r="H45" s="0" t="str">
        <f aca="true">IF(A45="","",IF(ISNUMBER(A45),IF(A45&gt;=36526,A45,""),IFERROR(DATE(VALUE(RIGHT(RIGHT(TRIM(A45),10),4)),VALUE(MID(RIGHT(TRIM(A45),10),4,2)),VALUE(LEFT(RIGHT(TRIM(A45),10),2))),IFERROR(TODAY()-MOD(WEEKDAY(TODAY(),1)-MATCH(TRIM(A45),{"الأحد","الاثنين","الثلاثاء","الأربعاء","الخميس","الجمعة","السبت"},0),7),IFERROR(DATEVALUE(A45),"")))))</f>
        <v/>
      </c>
      <c r="I45" s="0" t="str">
        <f aca="false">IF(H45="","",INT((H45-WEEK_ONE)/7)+1)</f>
        <v/>
      </c>
      <c r="J45" s="0" t="str">
        <f aca="false">IF(I45="","",IF(OR(I45&lt;1,I45&gt;NW),"",INDEX(WMON,I45)))</f>
        <v/>
      </c>
    </row>
    <row r="46" customFormat="false" ht="15" hidden="false" customHeight="false" outlineLevel="0" collapsed="false">
      <c r="A46" s="43"/>
      <c r="B46" s="23" t="str">
        <f aca="false">IF(H46="","",CHOOSE(WEEKDAY(H46,1),"الأحد","الاثنين","الثلاثاء","الأربعاء","الخميس","الجمعة","السبت")&amp;IF(OR(ISNUMBER(A46),LEN(TRIM(A46))&gt;=10),"","  "&amp;TEXT(DAY(H46),"00")&amp;"/"&amp;TEXT(MONTH(H46),"00")&amp;"/"&amp;YEAR(H46)))</f>
        <v/>
      </c>
      <c r="C46" s="24"/>
      <c r="D46" s="27"/>
      <c r="E46" s="44"/>
      <c r="F46" s="27"/>
      <c r="G46" s="0" t="str">
        <f aca="false">IF(AND(C46&lt;&gt;"",COUNTIF(C$6:C46,C46)=1),MAX(G$5:G45)+1,"")</f>
        <v/>
      </c>
      <c r="H46" s="0" t="str">
        <f aca="true">IF(A46="","",IF(ISNUMBER(A46),IF(A46&gt;=36526,A46,""),IFERROR(DATE(VALUE(RIGHT(RIGHT(TRIM(A46),10),4)),VALUE(MID(RIGHT(TRIM(A46),10),4,2)),VALUE(LEFT(RIGHT(TRIM(A46),10),2))),IFERROR(TODAY()-MOD(WEEKDAY(TODAY(),1)-MATCH(TRIM(A46),{"الأحد","الاثنين","الثلاثاء","الأربعاء","الخميس","الجمعة","السبت"},0),7),IFERROR(DATEVALUE(A46),"")))))</f>
        <v/>
      </c>
      <c r="I46" s="0" t="str">
        <f aca="false">IF(H46="","",INT((H46-WEEK_ONE)/7)+1)</f>
        <v/>
      </c>
      <c r="J46" s="0" t="str">
        <f aca="false">IF(I46="","",IF(OR(I46&lt;1,I46&gt;NW),"",INDEX(WMON,I46)))</f>
        <v/>
      </c>
    </row>
    <row r="47" customFormat="false" ht="15" hidden="false" customHeight="false" outlineLevel="0" collapsed="false">
      <c r="A47" s="43"/>
      <c r="B47" s="23" t="str">
        <f aca="false">IF(H47="","",CHOOSE(WEEKDAY(H47,1),"الأحد","الاثنين","الثلاثاء","الأربعاء","الخميس","الجمعة","السبت")&amp;IF(OR(ISNUMBER(A47),LEN(TRIM(A47))&gt;=10),"","  "&amp;TEXT(DAY(H47),"00")&amp;"/"&amp;TEXT(MONTH(H47),"00")&amp;"/"&amp;YEAR(H47)))</f>
        <v/>
      </c>
      <c r="C47" s="24"/>
      <c r="D47" s="27"/>
      <c r="E47" s="44"/>
      <c r="F47" s="27"/>
      <c r="G47" s="0" t="str">
        <f aca="false">IF(AND(C47&lt;&gt;"",COUNTIF(C$6:C47,C47)=1),MAX(G$5:G46)+1,"")</f>
        <v/>
      </c>
      <c r="H47" s="0" t="str">
        <f aca="true">IF(A47="","",IF(ISNUMBER(A47),IF(A47&gt;=36526,A47,""),IFERROR(DATE(VALUE(RIGHT(RIGHT(TRIM(A47),10),4)),VALUE(MID(RIGHT(TRIM(A47),10),4,2)),VALUE(LEFT(RIGHT(TRIM(A47),10),2))),IFERROR(TODAY()-MOD(WEEKDAY(TODAY(),1)-MATCH(TRIM(A47),{"الأحد","الاثنين","الثلاثاء","الأربعاء","الخميس","الجمعة","السبت"},0),7),IFERROR(DATEVALUE(A47),"")))))</f>
        <v/>
      </c>
      <c r="I47" s="0" t="str">
        <f aca="false">IF(H47="","",INT((H47-WEEK_ONE)/7)+1)</f>
        <v/>
      </c>
      <c r="J47" s="0" t="str">
        <f aca="false">IF(I47="","",IF(OR(I47&lt;1,I47&gt;NW),"",INDEX(WMON,I47)))</f>
        <v/>
      </c>
    </row>
    <row r="48" customFormat="false" ht="15" hidden="false" customHeight="false" outlineLevel="0" collapsed="false">
      <c r="A48" s="43"/>
      <c r="B48" s="23" t="str">
        <f aca="false">IF(H48="","",CHOOSE(WEEKDAY(H48,1),"الأحد","الاثنين","الثلاثاء","الأربعاء","الخميس","الجمعة","السبت")&amp;IF(OR(ISNUMBER(A48),LEN(TRIM(A48))&gt;=10),"","  "&amp;TEXT(DAY(H48),"00")&amp;"/"&amp;TEXT(MONTH(H48),"00")&amp;"/"&amp;YEAR(H48)))</f>
        <v/>
      </c>
      <c r="C48" s="24"/>
      <c r="D48" s="27"/>
      <c r="E48" s="44"/>
      <c r="F48" s="27"/>
      <c r="G48" s="0" t="str">
        <f aca="false">IF(AND(C48&lt;&gt;"",COUNTIF(C$6:C48,C48)=1),MAX(G$5:G47)+1,"")</f>
        <v/>
      </c>
      <c r="H48" s="0" t="str">
        <f aca="true">IF(A48="","",IF(ISNUMBER(A48),IF(A48&gt;=36526,A48,""),IFERROR(DATE(VALUE(RIGHT(RIGHT(TRIM(A48),10),4)),VALUE(MID(RIGHT(TRIM(A48),10),4,2)),VALUE(LEFT(RIGHT(TRIM(A48),10),2))),IFERROR(TODAY()-MOD(WEEKDAY(TODAY(),1)-MATCH(TRIM(A48),{"الأحد","الاثنين","الثلاثاء","الأربعاء","الخميس","الجمعة","السبت"},0),7),IFERROR(DATEVALUE(A48),"")))))</f>
        <v/>
      </c>
      <c r="I48" s="0" t="str">
        <f aca="false">IF(H48="","",INT((H48-WEEK_ONE)/7)+1)</f>
        <v/>
      </c>
      <c r="J48" s="0" t="str">
        <f aca="false">IF(I48="","",IF(OR(I48&lt;1,I48&gt;NW),"",INDEX(WMON,I48)))</f>
        <v/>
      </c>
    </row>
    <row r="49" customFormat="false" ht="15" hidden="false" customHeight="false" outlineLevel="0" collapsed="false">
      <c r="A49" s="43"/>
      <c r="B49" s="23" t="str">
        <f aca="false">IF(H49="","",CHOOSE(WEEKDAY(H49,1),"الأحد","الاثنين","الثلاثاء","الأربعاء","الخميس","الجمعة","السبت")&amp;IF(OR(ISNUMBER(A49),LEN(TRIM(A49))&gt;=10),"","  "&amp;TEXT(DAY(H49),"00")&amp;"/"&amp;TEXT(MONTH(H49),"00")&amp;"/"&amp;YEAR(H49)))</f>
        <v/>
      </c>
      <c r="C49" s="24"/>
      <c r="D49" s="27"/>
      <c r="E49" s="44"/>
      <c r="F49" s="27"/>
      <c r="G49" s="0" t="str">
        <f aca="false">IF(AND(C49&lt;&gt;"",COUNTIF(C$6:C49,C49)=1),MAX(G$5:G48)+1,"")</f>
        <v/>
      </c>
      <c r="H49" s="0" t="str">
        <f aca="true">IF(A49="","",IF(ISNUMBER(A49),IF(A49&gt;=36526,A49,""),IFERROR(DATE(VALUE(RIGHT(RIGHT(TRIM(A49),10),4)),VALUE(MID(RIGHT(TRIM(A49),10),4,2)),VALUE(LEFT(RIGHT(TRIM(A49),10),2))),IFERROR(TODAY()-MOD(WEEKDAY(TODAY(),1)-MATCH(TRIM(A49),{"الأحد","الاثنين","الثلاثاء","الأربعاء","الخميس","الجمعة","السبت"},0),7),IFERROR(DATEVALUE(A49),"")))))</f>
        <v/>
      </c>
      <c r="I49" s="0" t="str">
        <f aca="false">IF(H49="","",INT((H49-WEEK_ONE)/7)+1)</f>
        <v/>
      </c>
      <c r="J49" s="0" t="str">
        <f aca="false">IF(I49="","",IF(OR(I49&lt;1,I49&gt;NW),"",INDEX(WMON,I49)))</f>
        <v/>
      </c>
    </row>
    <row r="50" customFormat="false" ht="15" hidden="false" customHeight="false" outlineLevel="0" collapsed="false">
      <c r="A50" s="43"/>
      <c r="B50" s="23" t="str">
        <f aca="false">IF(H50="","",CHOOSE(WEEKDAY(H50,1),"الأحد","الاثنين","الثلاثاء","الأربعاء","الخميس","الجمعة","السبت")&amp;IF(OR(ISNUMBER(A50),LEN(TRIM(A50))&gt;=10),"","  "&amp;TEXT(DAY(H50),"00")&amp;"/"&amp;TEXT(MONTH(H50),"00")&amp;"/"&amp;YEAR(H50)))</f>
        <v/>
      </c>
      <c r="C50" s="24"/>
      <c r="D50" s="27"/>
      <c r="E50" s="44"/>
      <c r="F50" s="27"/>
      <c r="G50" s="0" t="str">
        <f aca="false">IF(AND(C50&lt;&gt;"",COUNTIF(C$6:C50,C50)=1),MAX(G$5:G49)+1,"")</f>
        <v/>
      </c>
      <c r="H50" s="0" t="str">
        <f aca="true">IF(A50="","",IF(ISNUMBER(A50),IF(A50&gt;=36526,A50,""),IFERROR(DATE(VALUE(RIGHT(RIGHT(TRIM(A50),10),4)),VALUE(MID(RIGHT(TRIM(A50),10),4,2)),VALUE(LEFT(RIGHT(TRIM(A50),10),2))),IFERROR(TODAY()-MOD(WEEKDAY(TODAY(),1)-MATCH(TRIM(A50),{"الأحد","الاثنين","الثلاثاء","الأربعاء","الخميس","الجمعة","السبت"},0),7),IFERROR(DATEVALUE(A50),"")))))</f>
        <v/>
      </c>
      <c r="I50" s="0" t="str">
        <f aca="false">IF(H50="","",INT((H50-WEEK_ONE)/7)+1)</f>
        <v/>
      </c>
      <c r="J50" s="0" t="str">
        <f aca="false">IF(I50="","",IF(OR(I50&lt;1,I50&gt;NW),"",INDEX(WMON,I50)))</f>
        <v/>
      </c>
    </row>
    <row r="51" customFormat="false" ht="15" hidden="false" customHeight="false" outlineLevel="0" collapsed="false">
      <c r="A51" s="43"/>
      <c r="B51" s="23" t="str">
        <f aca="false">IF(H51="","",CHOOSE(WEEKDAY(H51,1),"الأحد","الاثنين","الثلاثاء","الأربعاء","الخميس","الجمعة","السبت")&amp;IF(OR(ISNUMBER(A51),LEN(TRIM(A51))&gt;=10),"","  "&amp;TEXT(DAY(H51),"00")&amp;"/"&amp;TEXT(MONTH(H51),"00")&amp;"/"&amp;YEAR(H51)))</f>
        <v/>
      </c>
      <c r="C51" s="24"/>
      <c r="D51" s="27"/>
      <c r="E51" s="44"/>
      <c r="F51" s="27"/>
      <c r="G51" s="0" t="str">
        <f aca="false">IF(AND(C51&lt;&gt;"",COUNTIF(C$6:C51,C51)=1),MAX(G$5:G50)+1,"")</f>
        <v/>
      </c>
      <c r="H51" s="0" t="str">
        <f aca="true">IF(A51="","",IF(ISNUMBER(A51),IF(A51&gt;=36526,A51,""),IFERROR(DATE(VALUE(RIGHT(RIGHT(TRIM(A51),10),4)),VALUE(MID(RIGHT(TRIM(A51),10),4,2)),VALUE(LEFT(RIGHT(TRIM(A51),10),2))),IFERROR(TODAY()-MOD(WEEKDAY(TODAY(),1)-MATCH(TRIM(A51),{"الأحد","الاثنين","الثلاثاء","الأربعاء","الخميس","الجمعة","السبت"},0),7),IFERROR(DATEVALUE(A51),"")))))</f>
        <v/>
      </c>
      <c r="I51" s="0" t="str">
        <f aca="false">IF(H51="","",INT((H51-WEEK_ONE)/7)+1)</f>
        <v/>
      </c>
      <c r="J51" s="0" t="str">
        <f aca="false">IF(I51="","",IF(OR(I51&lt;1,I51&gt;NW),"",INDEX(WMON,I51)))</f>
        <v/>
      </c>
    </row>
    <row r="52" customFormat="false" ht="15" hidden="false" customHeight="false" outlineLevel="0" collapsed="false">
      <c r="A52" s="43"/>
      <c r="B52" s="23" t="str">
        <f aca="false">IF(H52="","",CHOOSE(WEEKDAY(H52,1),"الأحد","الاثنين","الثلاثاء","الأربعاء","الخميس","الجمعة","السبت")&amp;IF(OR(ISNUMBER(A52),LEN(TRIM(A52))&gt;=10),"","  "&amp;TEXT(DAY(H52),"00")&amp;"/"&amp;TEXT(MONTH(H52),"00")&amp;"/"&amp;YEAR(H52)))</f>
        <v/>
      </c>
      <c r="C52" s="24"/>
      <c r="D52" s="27"/>
      <c r="E52" s="44"/>
      <c r="F52" s="27"/>
      <c r="G52" s="0" t="str">
        <f aca="false">IF(AND(C52&lt;&gt;"",COUNTIF(C$6:C52,C52)=1),MAX(G$5:G51)+1,"")</f>
        <v/>
      </c>
      <c r="H52" s="0" t="str">
        <f aca="true">IF(A52="","",IF(ISNUMBER(A52),IF(A52&gt;=36526,A52,""),IFERROR(DATE(VALUE(RIGHT(RIGHT(TRIM(A52),10),4)),VALUE(MID(RIGHT(TRIM(A52),10),4,2)),VALUE(LEFT(RIGHT(TRIM(A52),10),2))),IFERROR(TODAY()-MOD(WEEKDAY(TODAY(),1)-MATCH(TRIM(A52),{"الأحد","الاثنين","الثلاثاء","الأربعاء","الخميس","الجمعة","السبت"},0),7),IFERROR(DATEVALUE(A52),"")))))</f>
        <v/>
      </c>
      <c r="I52" s="0" t="str">
        <f aca="false">IF(H52="","",INT((H52-WEEK_ONE)/7)+1)</f>
        <v/>
      </c>
      <c r="J52" s="0" t="str">
        <f aca="false">IF(I52="","",IF(OR(I52&lt;1,I52&gt;NW),"",INDEX(WMON,I52)))</f>
        <v/>
      </c>
    </row>
    <row r="53" customFormat="false" ht="15" hidden="false" customHeight="false" outlineLevel="0" collapsed="false">
      <c r="A53" s="43"/>
      <c r="B53" s="23" t="str">
        <f aca="false">IF(H53="","",CHOOSE(WEEKDAY(H53,1),"الأحد","الاثنين","الثلاثاء","الأربعاء","الخميس","الجمعة","السبت")&amp;IF(OR(ISNUMBER(A53),LEN(TRIM(A53))&gt;=10),"","  "&amp;TEXT(DAY(H53),"00")&amp;"/"&amp;TEXT(MONTH(H53),"00")&amp;"/"&amp;YEAR(H53)))</f>
        <v/>
      </c>
      <c r="C53" s="24"/>
      <c r="D53" s="27"/>
      <c r="E53" s="44"/>
      <c r="F53" s="27"/>
      <c r="G53" s="0" t="str">
        <f aca="false">IF(AND(C53&lt;&gt;"",COUNTIF(C$6:C53,C53)=1),MAX(G$5:G52)+1,"")</f>
        <v/>
      </c>
      <c r="H53" s="0" t="str">
        <f aca="true">IF(A53="","",IF(ISNUMBER(A53),IF(A53&gt;=36526,A53,""),IFERROR(DATE(VALUE(RIGHT(RIGHT(TRIM(A53),10),4)),VALUE(MID(RIGHT(TRIM(A53),10),4,2)),VALUE(LEFT(RIGHT(TRIM(A53),10),2))),IFERROR(TODAY()-MOD(WEEKDAY(TODAY(),1)-MATCH(TRIM(A53),{"الأحد","الاثنين","الثلاثاء","الأربعاء","الخميس","الجمعة","السبت"},0),7),IFERROR(DATEVALUE(A53),"")))))</f>
        <v/>
      </c>
      <c r="I53" s="0" t="str">
        <f aca="false">IF(H53="","",INT((H53-WEEK_ONE)/7)+1)</f>
        <v/>
      </c>
      <c r="J53" s="0" t="str">
        <f aca="false">IF(I53="","",IF(OR(I53&lt;1,I53&gt;NW),"",INDEX(WMON,I53)))</f>
        <v/>
      </c>
    </row>
    <row r="54" customFormat="false" ht="15" hidden="false" customHeight="false" outlineLevel="0" collapsed="false">
      <c r="A54" s="43"/>
      <c r="B54" s="23" t="str">
        <f aca="false">IF(H54="","",CHOOSE(WEEKDAY(H54,1),"الأحد","الاثنين","الثلاثاء","الأربعاء","الخميس","الجمعة","السبت")&amp;IF(OR(ISNUMBER(A54),LEN(TRIM(A54))&gt;=10),"","  "&amp;TEXT(DAY(H54),"00")&amp;"/"&amp;TEXT(MONTH(H54),"00")&amp;"/"&amp;YEAR(H54)))</f>
        <v/>
      </c>
      <c r="C54" s="24"/>
      <c r="D54" s="27"/>
      <c r="E54" s="44"/>
      <c r="F54" s="27"/>
      <c r="G54" s="0" t="str">
        <f aca="false">IF(AND(C54&lt;&gt;"",COUNTIF(C$6:C54,C54)=1),MAX(G$5:G53)+1,"")</f>
        <v/>
      </c>
      <c r="H54" s="0" t="str">
        <f aca="true">IF(A54="","",IF(ISNUMBER(A54),IF(A54&gt;=36526,A54,""),IFERROR(DATE(VALUE(RIGHT(RIGHT(TRIM(A54),10),4)),VALUE(MID(RIGHT(TRIM(A54),10),4,2)),VALUE(LEFT(RIGHT(TRIM(A54),10),2))),IFERROR(TODAY()-MOD(WEEKDAY(TODAY(),1)-MATCH(TRIM(A54),{"الأحد","الاثنين","الثلاثاء","الأربعاء","الخميس","الجمعة","السبت"},0),7),IFERROR(DATEVALUE(A54),"")))))</f>
        <v/>
      </c>
      <c r="I54" s="0" t="str">
        <f aca="false">IF(H54="","",INT((H54-WEEK_ONE)/7)+1)</f>
        <v/>
      </c>
      <c r="J54" s="0" t="str">
        <f aca="false">IF(I54="","",IF(OR(I54&lt;1,I54&gt;NW),"",INDEX(WMON,I54)))</f>
        <v/>
      </c>
    </row>
    <row r="55" customFormat="false" ht="15" hidden="false" customHeight="false" outlineLevel="0" collapsed="false">
      <c r="A55" s="43"/>
      <c r="B55" s="23" t="str">
        <f aca="false">IF(H55="","",CHOOSE(WEEKDAY(H55,1),"الأحد","الاثنين","الثلاثاء","الأربعاء","الخميس","الجمعة","السبت")&amp;IF(OR(ISNUMBER(A55),LEN(TRIM(A55))&gt;=10),"","  "&amp;TEXT(DAY(H55),"00")&amp;"/"&amp;TEXT(MONTH(H55),"00")&amp;"/"&amp;YEAR(H55)))</f>
        <v/>
      </c>
      <c r="C55" s="24"/>
      <c r="D55" s="27"/>
      <c r="E55" s="44"/>
      <c r="F55" s="27"/>
      <c r="G55" s="0" t="str">
        <f aca="false">IF(AND(C55&lt;&gt;"",COUNTIF(C$6:C55,C55)=1),MAX(G$5:G54)+1,"")</f>
        <v/>
      </c>
      <c r="H55" s="0" t="str">
        <f aca="true">IF(A55="","",IF(ISNUMBER(A55),IF(A55&gt;=36526,A55,""),IFERROR(DATE(VALUE(RIGHT(RIGHT(TRIM(A55),10),4)),VALUE(MID(RIGHT(TRIM(A55),10),4,2)),VALUE(LEFT(RIGHT(TRIM(A55),10),2))),IFERROR(TODAY()-MOD(WEEKDAY(TODAY(),1)-MATCH(TRIM(A55),{"الأحد","الاثنين","الثلاثاء","الأربعاء","الخميس","الجمعة","السبت"},0),7),IFERROR(DATEVALUE(A55),"")))))</f>
        <v/>
      </c>
      <c r="I55" s="0" t="str">
        <f aca="false">IF(H55="","",INT((H55-WEEK_ONE)/7)+1)</f>
        <v/>
      </c>
      <c r="J55" s="0" t="str">
        <f aca="false">IF(I55="","",IF(OR(I55&lt;1,I55&gt;NW),"",INDEX(WMON,I55)))</f>
        <v/>
      </c>
    </row>
    <row r="56" customFormat="false" ht="15" hidden="false" customHeight="false" outlineLevel="0" collapsed="false">
      <c r="A56" s="43"/>
      <c r="B56" s="23" t="str">
        <f aca="false">IF(H56="","",CHOOSE(WEEKDAY(H56,1),"الأحد","الاثنين","الثلاثاء","الأربعاء","الخميس","الجمعة","السبت")&amp;IF(OR(ISNUMBER(A56),LEN(TRIM(A56))&gt;=10),"","  "&amp;TEXT(DAY(H56),"00")&amp;"/"&amp;TEXT(MONTH(H56),"00")&amp;"/"&amp;YEAR(H56)))</f>
        <v/>
      </c>
      <c r="C56" s="24"/>
      <c r="D56" s="27"/>
      <c r="E56" s="44"/>
      <c r="F56" s="27"/>
      <c r="G56" s="0" t="str">
        <f aca="false">IF(AND(C56&lt;&gt;"",COUNTIF(C$6:C56,C56)=1),MAX(G$5:G55)+1,"")</f>
        <v/>
      </c>
      <c r="H56" s="0" t="str">
        <f aca="true">IF(A56="","",IF(ISNUMBER(A56),IF(A56&gt;=36526,A56,""),IFERROR(DATE(VALUE(RIGHT(RIGHT(TRIM(A56),10),4)),VALUE(MID(RIGHT(TRIM(A56),10),4,2)),VALUE(LEFT(RIGHT(TRIM(A56),10),2))),IFERROR(TODAY()-MOD(WEEKDAY(TODAY(),1)-MATCH(TRIM(A56),{"الأحد","الاثنين","الثلاثاء","الأربعاء","الخميس","الجمعة","السبت"},0),7),IFERROR(DATEVALUE(A56),"")))))</f>
        <v/>
      </c>
      <c r="I56" s="0" t="str">
        <f aca="false">IF(H56="","",INT((H56-WEEK_ONE)/7)+1)</f>
        <v/>
      </c>
      <c r="J56" s="0" t="str">
        <f aca="false">IF(I56="","",IF(OR(I56&lt;1,I56&gt;NW),"",INDEX(WMON,I56)))</f>
        <v/>
      </c>
    </row>
    <row r="57" customFormat="false" ht="15" hidden="false" customHeight="false" outlineLevel="0" collapsed="false">
      <c r="A57" s="43"/>
      <c r="B57" s="23" t="str">
        <f aca="false">IF(H57="","",CHOOSE(WEEKDAY(H57,1),"الأحد","الاثنين","الثلاثاء","الأربعاء","الخميس","الجمعة","السبت")&amp;IF(OR(ISNUMBER(A57),LEN(TRIM(A57))&gt;=10),"","  "&amp;TEXT(DAY(H57),"00")&amp;"/"&amp;TEXT(MONTH(H57),"00")&amp;"/"&amp;YEAR(H57)))</f>
        <v/>
      </c>
      <c r="C57" s="24"/>
      <c r="D57" s="27"/>
      <c r="E57" s="44"/>
      <c r="F57" s="27"/>
      <c r="G57" s="0" t="str">
        <f aca="false">IF(AND(C57&lt;&gt;"",COUNTIF(C$6:C57,C57)=1),MAX(G$5:G56)+1,"")</f>
        <v/>
      </c>
      <c r="H57" s="0" t="str">
        <f aca="true">IF(A57="","",IF(ISNUMBER(A57),IF(A57&gt;=36526,A57,""),IFERROR(DATE(VALUE(RIGHT(RIGHT(TRIM(A57),10),4)),VALUE(MID(RIGHT(TRIM(A57),10),4,2)),VALUE(LEFT(RIGHT(TRIM(A57),10),2))),IFERROR(TODAY()-MOD(WEEKDAY(TODAY(),1)-MATCH(TRIM(A57),{"الأحد","الاثنين","الثلاثاء","الأربعاء","الخميس","الجمعة","السبت"},0),7),IFERROR(DATEVALUE(A57),"")))))</f>
        <v/>
      </c>
      <c r="I57" s="0" t="str">
        <f aca="false">IF(H57="","",INT((H57-WEEK_ONE)/7)+1)</f>
        <v/>
      </c>
      <c r="J57" s="0" t="str">
        <f aca="false">IF(I57="","",IF(OR(I57&lt;1,I57&gt;NW),"",INDEX(WMON,I57)))</f>
        <v/>
      </c>
    </row>
    <row r="58" customFormat="false" ht="15" hidden="false" customHeight="false" outlineLevel="0" collapsed="false">
      <c r="A58" s="43"/>
      <c r="B58" s="23" t="str">
        <f aca="false">IF(H58="","",CHOOSE(WEEKDAY(H58,1),"الأحد","الاثنين","الثلاثاء","الأربعاء","الخميس","الجمعة","السبت")&amp;IF(OR(ISNUMBER(A58),LEN(TRIM(A58))&gt;=10),"","  "&amp;TEXT(DAY(H58),"00")&amp;"/"&amp;TEXT(MONTH(H58),"00")&amp;"/"&amp;YEAR(H58)))</f>
        <v/>
      </c>
      <c r="C58" s="24"/>
      <c r="D58" s="27"/>
      <c r="E58" s="44"/>
      <c r="F58" s="27"/>
      <c r="G58" s="0" t="str">
        <f aca="false">IF(AND(C58&lt;&gt;"",COUNTIF(C$6:C58,C58)=1),MAX(G$5:G57)+1,"")</f>
        <v/>
      </c>
      <c r="H58" s="0" t="str">
        <f aca="true">IF(A58="","",IF(ISNUMBER(A58),IF(A58&gt;=36526,A58,""),IFERROR(DATE(VALUE(RIGHT(RIGHT(TRIM(A58),10),4)),VALUE(MID(RIGHT(TRIM(A58),10),4,2)),VALUE(LEFT(RIGHT(TRIM(A58),10),2))),IFERROR(TODAY()-MOD(WEEKDAY(TODAY(),1)-MATCH(TRIM(A58),{"الأحد","الاثنين","الثلاثاء","الأربعاء","الخميس","الجمعة","السبت"},0),7),IFERROR(DATEVALUE(A58),"")))))</f>
        <v/>
      </c>
      <c r="I58" s="0" t="str">
        <f aca="false">IF(H58="","",INT((H58-WEEK_ONE)/7)+1)</f>
        <v/>
      </c>
      <c r="J58" s="0" t="str">
        <f aca="false">IF(I58="","",IF(OR(I58&lt;1,I58&gt;NW),"",INDEX(WMON,I58)))</f>
        <v/>
      </c>
    </row>
    <row r="59" customFormat="false" ht="15" hidden="false" customHeight="false" outlineLevel="0" collapsed="false">
      <c r="A59" s="43"/>
      <c r="B59" s="23" t="str">
        <f aca="false">IF(H59="","",CHOOSE(WEEKDAY(H59,1),"الأحد","الاثنين","الثلاثاء","الأربعاء","الخميس","الجمعة","السبت")&amp;IF(OR(ISNUMBER(A59),LEN(TRIM(A59))&gt;=10),"","  "&amp;TEXT(DAY(H59),"00")&amp;"/"&amp;TEXT(MONTH(H59),"00")&amp;"/"&amp;YEAR(H59)))</f>
        <v/>
      </c>
      <c r="C59" s="24"/>
      <c r="D59" s="27"/>
      <c r="E59" s="44"/>
      <c r="F59" s="27"/>
      <c r="G59" s="0" t="str">
        <f aca="false">IF(AND(C59&lt;&gt;"",COUNTIF(C$6:C59,C59)=1),MAX(G$5:G58)+1,"")</f>
        <v/>
      </c>
      <c r="H59" s="0" t="str">
        <f aca="true">IF(A59="","",IF(ISNUMBER(A59),IF(A59&gt;=36526,A59,""),IFERROR(DATE(VALUE(RIGHT(RIGHT(TRIM(A59),10),4)),VALUE(MID(RIGHT(TRIM(A59),10),4,2)),VALUE(LEFT(RIGHT(TRIM(A59),10),2))),IFERROR(TODAY()-MOD(WEEKDAY(TODAY(),1)-MATCH(TRIM(A59),{"الأحد","الاثنين","الثلاثاء","الأربعاء","الخميس","الجمعة","السبت"},0),7),IFERROR(DATEVALUE(A59),"")))))</f>
        <v/>
      </c>
      <c r="I59" s="0" t="str">
        <f aca="false">IF(H59="","",INT((H59-WEEK_ONE)/7)+1)</f>
        <v/>
      </c>
      <c r="J59" s="0" t="str">
        <f aca="false">IF(I59="","",IF(OR(I59&lt;1,I59&gt;NW),"",INDEX(WMON,I59)))</f>
        <v/>
      </c>
    </row>
    <row r="60" customFormat="false" ht="15" hidden="false" customHeight="false" outlineLevel="0" collapsed="false">
      <c r="A60" s="43"/>
      <c r="B60" s="23" t="str">
        <f aca="false">IF(H60="","",CHOOSE(WEEKDAY(H60,1),"الأحد","الاثنين","الثلاثاء","الأربعاء","الخميس","الجمعة","السبت")&amp;IF(OR(ISNUMBER(A60),LEN(TRIM(A60))&gt;=10),"","  "&amp;TEXT(DAY(H60),"00")&amp;"/"&amp;TEXT(MONTH(H60),"00")&amp;"/"&amp;YEAR(H60)))</f>
        <v/>
      </c>
      <c r="C60" s="24"/>
      <c r="D60" s="27"/>
      <c r="E60" s="44"/>
      <c r="F60" s="27"/>
      <c r="G60" s="0" t="str">
        <f aca="false">IF(AND(C60&lt;&gt;"",COUNTIF(C$6:C60,C60)=1),MAX(G$5:G59)+1,"")</f>
        <v/>
      </c>
      <c r="H60" s="0" t="str">
        <f aca="true">IF(A60="","",IF(ISNUMBER(A60),IF(A60&gt;=36526,A60,""),IFERROR(DATE(VALUE(RIGHT(RIGHT(TRIM(A60),10),4)),VALUE(MID(RIGHT(TRIM(A60),10),4,2)),VALUE(LEFT(RIGHT(TRIM(A60),10),2))),IFERROR(TODAY()-MOD(WEEKDAY(TODAY(),1)-MATCH(TRIM(A60),{"الأحد","الاثنين","الثلاثاء","الأربعاء","الخميس","الجمعة","السبت"},0),7),IFERROR(DATEVALUE(A60),"")))))</f>
        <v/>
      </c>
      <c r="I60" s="0" t="str">
        <f aca="false">IF(H60="","",INT((H60-WEEK_ONE)/7)+1)</f>
        <v/>
      </c>
      <c r="J60" s="0" t="str">
        <f aca="false">IF(I60="","",IF(OR(I60&lt;1,I60&gt;NW),"",INDEX(WMON,I60)))</f>
        <v/>
      </c>
    </row>
    <row r="61" customFormat="false" ht="15" hidden="false" customHeight="false" outlineLevel="0" collapsed="false">
      <c r="A61" s="43"/>
      <c r="B61" s="23" t="str">
        <f aca="false">IF(H61="","",CHOOSE(WEEKDAY(H61,1),"الأحد","الاثنين","الثلاثاء","الأربعاء","الخميس","الجمعة","السبت")&amp;IF(OR(ISNUMBER(A61),LEN(TRIM(A61))&gt;=10),"","  "&amp;TEXT(DAY(H61),"00")&amp;"/"&amp;TEXT(MONTH(H61),"00")&amp;"/"&amp;YEAR(H61)))</f>
        <v/>
      </c>
      <c r="C61" s="24"/>
      <c r="D61" s="27"/>
      <c r="E61" s="44"/>
      <c r="F61" s="27"/>
      <c r="G61" s="0" t="str">
        <f aca="false">IF(AND(C61&lt;&gt;"",COUNTIF(C$6:C61,C61)=1),MAX(G$5:G60)+1,"")</f>
        <v/>
      </c>
      <c r="H61" s="0" t="str">
        <f aca="true">IF(A61="","",IF(ISNUMBER(A61),IF(A61&gt;=36526,A61,""),IFERROR(DATE(VALUE(RIGHT(RIGHT(TRIM(A61),10),4)),VALUE(MID(RIGHT(TRIM(A61),10),4,2)),VALUE(LEFT(RIGHT(TRIM(A61),10),2))),IFERROR(TODAY()-MOD(WEEKDAY(TODAY(),1)-MATCH(TRIM(A61),{"الأحد","الاثنين","الثلاثاء","الأربعاء","الخميس","الجمعة","السبت"},0),7),IFERROR(DATEVALUE(A61),"")))))</f>
        <v/>
      </c>
      <c r="I61" s="0" t="str">
        <f aca="false">IF(H61="","",INT((H61-WEEK_ONE)/7)+1)</f>
        <v/>
      </c>
      <c r="J61" s="0" t="str">
        <f aca="false">IF(I61="","",IF(OR(I61&lt;1,I61&gt;NW),"",INDEX(WMON,I61)))</f>
        <v/>
      </c>
    </row>
    <row r="62" customFormat="false" ht="15" hidden="false" customHeight="false" outlineLevel="0" collapsed="false">
      <c r="A62" s="43"/>
      <c r="B62" s="23" t="str">
        <f aca="false">IF(H62="","",CHOOSE(WEEKDAY(H62,1),"الأحد","الاثنين","الثلاثاء","الأربعاء","الخميس","الجمعة","السبت")&amp;IF(OR(ISNUMBER(A62),LEN(TRIM(A62))&gt;=10),"","  "&amp;TEXT(DAY(H62),"00")&amp;"/"&amp;TEXT(MONTH(H62),"00")&amp;"/"&amp;YEAR(H62)))</f>
        <v/>
      </c>
      <c r="C62" s="24"/>
      <c r="D62" s="27"/>
      <c r="E62" s="44"/>
      <c r="F62" s="27"/>
      <c r="G62" s="0" t="str">
        <f aca="false">IF(AND(C62&lt;&gt;"",COUNTIF(C$6:C62,C62)=1),MAX(G$5:G61)+1,"")</f>
        <v/>
      </c>
      <c r="H62" s="0" t="str">
        <f aca="true">IF(A62="","",IF(ISNUMBER(A62),IF(A62&gt;=36526,A62,""),IFERROR(DATE(VALUE(RIGHT(RIGHT(TRIM(A62),10),4)),VALUE(MID(RIGHT(TRIM(A62),10),4,2)),VALUE(LEFT(RIGHT(TRIM(A62),10),2))),IFERROR(TODAY()-MOD(WEEKDAY(TODAY(),1)-MATCH(TRIM(A62),{"الأحد","الاثنين","الثلاثاء","الأربعاء","الخميس","الجمعة","السبت"},0),7),IFERROR(DATEVALUE(A62),"")))))</f>
        <v/>
      </c>
      <c r="I62" s="0" t="str">
        <f aca="false">IF(H62="","",INT((H62-WEEK_ONE)/7)+1)</f>
        <v/>
      </c>
      <c r="J62" s="0" t="str">
        <f aca="false">IF(I62="","",IF(OR(I62&lt;1,I62&gt;NW),"",INDEX(WMON,I62)))</f>
        <v/>
      </c>
    </row>
    <row r="63" customFormat="false" ht="15" hidden="false" customHeight="false" outlineLevel="0" collapsed="false">
      <c r="A63" s="43"/>
      <c r="B63" s="23" t="str">
        <f aca="false">IF(H63="","",CHOOSE(WEEKDAY(H63,1),"الأحد","الاثنين","الثلاثاء","الأربعاء","الخميس","الجمعة","السبت")&amp;IF(OR(ISNUMBER(A63),LEN(TRIM(A63))&gt;=10),"","  "&amp;TEXT(DAY(H63),"00")&amp;"/"&amp;TEXT(MONTH(H63),"00")&amp;"/"&amp;YEAR(H63)))</f>
        <v/>
      </c>
      <c r="C63" s="24"/>
      <c r="D63" s="27"/>
      <c r="E63" s="44"/>
      <c r="F63" s="27"/>
      <c r="G63" s="0" t="str">
        <f aca="false">IF(AND(C63&lt;&gt;"",COUNTIF(C$6:C63,C63)=1),MAX(G$5:G62)+1,"")</f>
        <v/>
      </c>
      <c r="H63" s="0" t="str">
        <f aca="true">IF(A63="","",IF(ISNUMBER(A63),IF(A63&gt;=36526,A63,""),IFERROR(DATE(VALUE(RIGHT(RIGHT(TRIM(A63),10),4)),VALUE(MID(RIGHT(TRIM(A63),10),4,2)),VALUE(LEFT(RIGHT(TRIM(A63),10),2))),IFERROR(TODAY()-MOD(WEEKDAY(TODAY(),1)-MATCH(TRIM(A63),{"الأحد","الاثنين","الثلاثاء","الأربعاء","الخميس","الجمعة","السبت"},0),7),IFERROR(DATEVALUE(A63),"")))))</f>
        <v/>
      </c>
      <c r="I63" s="0" t="str">
        <f aca="false">IF(H63="","",INT((H63-WEEK_ONE)/7)+1)</f>
        <v/>
      </c>
      <c r="J63" s="0" t="str">
        <f aca="false">IF(I63="","",IF(OR(I63&lt;1,I63&gt;NW),"",INDEX(WMON,I63)))</f>
        <v/>
      </c>
    </row>
    <row r="64" customFormat="false" ht="15" hidden="false" customHeight="false" outlineLevel="0" collapsed="false">
      <c r="A64" s="43"/>
      <c r="B64" s="23" t="str">
        <f aca="false">IF(H64="","",CHOOSE(WEEKDAY(H64,1),"الأحد","الاثنين","الثلاثاء","الأربعاء","الخميس","الجمعة","السبت")&amp;IF(OR(ISNUMBER(A64),LEN(TRIM(A64))&gt;=10),"","  "&amp;TEXT(DAY(H64),"00")&amp;"/"&amp;TEXT(MONTH(H64),"00")&amp;"/"&amp;YEAR(H64)))</f>
        <v/>
      </c>
      <c r="C64" s="24"/>
      <c r="D64" s="27"/>
      <c r="E64" s="44"/>
      <c r="F64" s="27"/>
      <c r="G64" s="0" t="str">
        <f aca="false">IF(AND(C64&lt;&gt;"",COUNTIF(C$6:C64,C64)=1),MAX(G$5:G63)+1,"")</f>
        <v/>
      </c>
      <c r="H64" s="0" t="str">
        <f aca="true">IF(A64="","",IF(ISNUMBER(A64),IF(A64&gt;=36526,A64,""),IFERROR(DATE(VALUE(RIGHT(RIGHT(TRIM(A64),10),4)),VALUE(MID(RIGHT(TRIM(A64),10),4,2)),VALUE(LEFT(RIGHT(TRIM(A64),10),2))),IFERROR(TODAY()-MOD(WEEKDAY(TODAY(),1)-MATCH(TRIM(A64),{"الأحد","الاثنين","الثلاثاء","الأربعاء","الخميس","الجمعة","السبت"},0),7),IFERROR(DATEVALUE(A64),"")))))</f>
        <v/>
      </c>
      <c r="I64" s="0" t="str">
        <f aca="false">IF(H64="","",INT((H64-WEEK_ONE)/7)+1)</f>
        <v/>
      </c>
      <c r="J64" s="0" t="str">
        <f aca="false">IF(I64="","",IF(OR(I64&lt;1,I64&gt;NW),"",INDEX(WMON,I64)))</f>
        <v/>
      </c>
    </row>
    <row r="65" customFormat="false" ht="15" hidden="false" customHeight="false" outlineLevel="0" collapsed="false">
      <c r="A65" s="43"/>
      <c r="B65" s="23" t="str">
        <f aca="false">IF(H65="","",CHOOSE(WEEKDAY(H65,1),"الأحد","الاثنين","الثلاثاء","الأربعاء","الخميس","الجمعة","السبت")&amp;IF(OR(ISNUMBER(A65),LEN(TRIM(A65))&gt;=10),"","  "&amp;TEXT(DAY(H65),"00")&amp;"/"&amp;TEXT(MONTH(H65),"00")&amp;"/"&amp;YEAR(H65)))</f>
        <v/>
      </c>
      <c r="C65" s="24"/>
      <c r="D65" s="27"/>
      <c r="E65" s="44"/>
      <c r="F65" s="27"/>
      <c r="G65" s="0" t="str">
        <f aca="false">IF(AND(C65&lt;&gt;"",COUNTIF(C$6:C65,C65)=1),MAX(G$5:G64)+1,"")</f>
        <v/>
      </c>
      <c r="H65" s="0" t="str">
        <f aca="true">IF(A65="","",IF(ISNUMBER(A65),IF(A65&gt;=36526,A65,""),IFERROR(DATE(VALUE(RIGHT(RIGHT(TRIM(A65),10),4)),VALUE(MID(RIGHT(TRIM(A65),10),4,2)),VALUE(LEFT(RIGHT(TRIM(A65),10),2))),IFERROR(TODAY()-MOD(WEEKDAY(TODAY(),1)-MATCH(TRIM(A65),{"الأحد","الاثنين","الثلاثاء","الأربعاء","الخميس","الجمعة","السبت"},0),7),IFERROR(DATEVALUE(A65),"")))))</f>
        <v/>
      </c>
      <c r="I65" s="0" t="str">
        <f aca="false">IF(H65="","",INT((H65-WEEK_ONE)/7)+1)</f>
        <v/>
      </c>
      <c r="J65" s="0" t="str">
        <f aca="false">IF(I65="","",IF(OR(I65&lt;1,I65&gt;NW),"",INDEX(WMON,I65)))</f>
        <v/>
      </c>
    </row>
    <row r="66" customFormat="false" ht="15" hidden="false" customHeight="false" outlineLevel="0" collapsed="false">
      <c r="A66" s="43"/>
      <c r="B66" s="23" t="str">
        <f aca="false">IF(H66="","",CHOOSE(WEEKDAY(H66,1),"الأحد","الاثنين","الثلاثاء","الأربعاء","الخميس","الجمعة","السبت")&amp;IF(OR(ISNUMBER(A66),LEN(TRIM(A66))&gt;=10),"","  "&amp;TEXT(DAY(H66),"00")&amp;"/"&amp;TEXT(MONTH(H66),"00")&amp;"/"&amp;YEAR(H66)))</f>
        <v/>
      </c>
      <c r="C66" s="24"/>
      <c r="D66" s="27"/>
      <c r="E66" s="44"/>
      <c r="F66" s="27"/>
      <c r="G66" s="0" t="str">
        <f aca="false">IF(AND(C66&lt;&gt;"",COUNTIF(C$6:C66,C66)=1),MAX(G$5:G65)+1,"")</f>
        <v/>
      </c>
      <c r="H66" s="0" t="str">
        <f aca="true">IF(A66="","",IF(ISNUMBER(A66),IF(A66&gt;=36526,A66,""),IFERROR(DATE(VALUE(RIGHT(RIGHT(TRIM(A66),10),4)),VALUE(MID(RIGHT(TRIM(A66),10),4,2)),VALUE(LEFT(RIGHT(TRIM(A66),10),2))),IFERROR(TODAY()-MOD(WEEKDAY(TODAY(),1)-MATCH(TRIM(A66),{"الأحد","الاثنين","الثلاثاء","الأربعاء","الخميس","الجمعة","السبت"},0),7),IFERROR(DATEVALUE(A66),"")))))</f>
        <v/>
      </c>
      <c r="I66" s="0" t="str">
        <f aca="false">IF(H66="","",INT((H66-WEEK_ONE)/7)+1)</f>
        <v/>
      </c>
      <c r="J66" s="0" t="str">
        <f aca="false">IF(I66="","",IF(OR(I66&lt;1,I66&gt;NW),"",INDEX(WMON,I66)))</f>
        <v/>
      </c>
    </row>
    <row r="67" customFormat="false" ht="15" hidden="false" customHeight="false" outlineLevel="0" collapsed="false">
      <c r="A67" s="43"/>
      <c r="B67" s="23" t="str">
        <f aca="false">IF(H67="","",CHOOSE(WEEKDAY(H67,1),"الأحد","الاثنين","الثلاثاء","الأربعاء","الخميس","الجمعة","السبت")&amp;IF(OR(ISNUMBER(A67),LEN(TRIM(A67))&gt;=10),"","  "&amp;TEXT(DAY(H67),"00")&amp;"/"&amp;TEXT(MONTH(H67),"00")&amp;"/"&amp;YEAR(H67)))</f>
        <v/>
      </c>
      <c r="C67" s="24"/>
      <c r="D67" s="27"/>
      <c r="E67" s="44"/>
      <c r="F67" s="27"/>
      <c r="G67" s="0" t="str">
        <f aca="false">IF(AND(C67&lt;&gt;"",COUNTIF(C$6:C67,C67)=1),MAX(G$5:G66)+1,"")</f>
        <v/>
      </c>
      <c r="H67" s="0" t="str">
        <f aca="true">IF(A67="","",IF(ISNUMBER(A67),IF(A67&gt;=36526,A67,""),IFERROR(DATE(VALUE(RIGHT(RIGHT(TRIM(A67),10),4)),VALUE(MID(RIGHT(TRIM(A67),10),4,2)),VALUE(LEFT(RIGHT(TRIM(A67),10),2))),IFERROR(TODAY()-MOD(WEEKDAY(TODAY(),1)-MATCH(TRIM(A67),{"الأحد","الاثنين","الثلاثاء","الأربعاء","الخميس","الجمعة","السبت"},0),7),IFERROR(DATEVALUE(A67),"")))))</f>
        <v/>
      </c>
      <c r="I67" s="0" t="str">
        <f aca="false">IF(H67="","",INT((H67-WEEK_ONE)/7)+1)</f>
        <v/>
      </c>
      <c r="J67" s="0" t="str">
        <f aca="false">IF(I67="","",IF(OR(I67&lt;1,I67&gt;NW),"",INDEX(WMON,I67)))</f>
        <v/>
      </c>
    </row>
    <row r="68" customFormat="false" ht="15" hidden="false" customHeight="false" outlineLevel="0" collapsed="false">
      <c r="A68" s="43"/>
      <c r="B68" s="23" t="str">
        <f aca="false">IF(H68="","",CHOOSE(WEEKDAY(H68,1),"الأحد","الاثنين","الثلاثاء","الأربعاء","الخميس","الجمعة","السبت")&amp;IF(OR(ISNUMBER(A68),LEN(TRIM(A68))&gt;=10),"","  "&amp;TEXT(DAY(H68),"00")&amp;"/"&amp;TEXT(MONTH(H68),"00")&amp;"/"&amp;YEAR(H68)))</f>
        <v/>
      </c>
      <c r="C68" s="24"/>
      <c r="D68" s="27"/>
      <c r="E68" s="44"/>
      <c r="F68" s="27"/>
      <c r="G68" s="0" t="str">
        <f aca="false">IF(AND(C68&lt;&gt;"",COUNTIF(C$6:C68,C68)=1),MAX(G$5:G67)+1,"")</f>
        <v/>
      </c>
      <c r="H68" s="0" t="str">
        <f aca="true">IF(A68="","",IF(ISNUMBER(A68),IF(A68&gt;=36526,A68,""),IFERROR(DATE(VALUE(RIGHT(RIGHT(TRIM(A68),10),4)),VALUE(MID(RIGHT(TRIM(A68),10),4,2)),VALUE(LEFT(RIGHT(TRIM(A68),10),2))),IFERROR(TODAY()-MOD(WEEKDAY(TODAY(),1)-MATCH(TRIM(A68),{"الأحد","الاثنين","الثلاثاء","الأربعاء","الخميس","الجمعة","السبت"},0),7),IFERROR(DATEVALUE(A68),"")))))</f>
        <v/>
      </c>
      <c r="I68" s="0" t="str">
        <f aca="false">IF(H68="","",INT((H68-WEEK_ONE)/7)+1)</f>
        <v/>
      </c>
      <c r="J68" s="0" t="str">
        <f aca="false">IF(I68="","",IF(OR(I68&lt;1,I68&gt;NW),"",INDEX(WMON,I68)))</f>
        <v/>
      </c>
    </row>
    <row r="69" customFormat="false" ht="15" hidden="false" customHeight="false" outlineLevel="0" collapsed="false">
      <c r="A69" s="43"/>
      <c r="B69" s="23" t="str">
        <f aca="false">IF(H69="","",CHOOSE(WEEKDAY(H69,1),"الأحد","الاثنين","الثلاثاء","الأربعاء","الخميس","الجمعة","السبت")&amp;IF(OR(ISNUMBER(A69),LEN(TRIM(A69))&gt;=10),"","  "&amp;TEXT(DAY(H69),"00")&amp;"/"&amp;TEXT(MONTH(H69),"00")&amp;"/"&amp;YEAR(H69)))</f>
        <v/>
      </c>
      <c r="C69" s="24"/>
      <c r="D69" s="27"/>
      <c r="E69" s="44"/>
      <c r="F69" s="27"/>
      <c r="G69" s="0" t="str">
        <f aca="false">IF(AND(C69&lt;&gt;"",COUNTIF(C$6:C69,C69)=1),MAX(G$5:G68)+1,"")</f>
        <v/>
      </c>
      <c r="H69" s="0" t="str">
        <f aca="true">IF(A69="","",IF(ISNUMBER(A69),IF(A69&gt;=36526,A69,""),IFERROR(DATE(VALUE(RIGHT(RIGHT(TRIM(A69),10),4)),VALUE(MID(RIGHT(TRIM(A69),10),4,2)),VALUE(LEFT(RIGHT(TRIM(A69),10),2))),IFERROR(TODAY()-MOD(WEEKDAY(TODAY(),1)-MATCH(TRIM(A69),{"الأحد","الاثنين","الثلاثاء","الأربعاء","الخميس","الجمعة","السبت"},0),7),IFERROR(DATEVALUE(A69),"")))))</f>
        <v/>
      </c>
      <c r="I69" s="0" t="str">
        <f aca="false">IF(H69="","",INT((H69-WEEK_ONE)/7)+1)</f>
        <v/>
      </c>
      <c r="J69" s="0" t="str">
        <f aca="false">IF(I69="","",IF(OR(I69&lt;1,I69&gt;NW),"",INDEX(WMON,I69)))</f>
        <v/>
      </c>
    </row>
    <row r="70" customFormat="false" ht="15" hidden="false" customHeight="false" outlineLevel="0" collapsed="false">
      <c r="A70" s="43"/>
      <c r="B70" s="23" t="str">
        <f aca="false">IF(H70="","",CHOOSE(WEEKDAY(H70,1),"الأحد","الاثنين","الثلاثاء","الأربعاء","الخميس","الجمعة","السبت")&amp;IF(OR(ISNUMBER(A70),LEN(TRIM(A70))&gt;=10),"","  "&amp;TEXT(DAY(H70),"00")&amp;"/"&amp;TEXT(MONTH(H70),"00")&amp;"/"&amp;YEAR(H70)))</f>
        <v/>
      </c>
      <c r="C70" s="24"/>
      <c r="D70" s="27"/>
      <c r="E70" s="44"/>
      <c r="F70" s="27"/>
      <c r="G70" s="0" t="str">
        <f aca="false">IF(AND(C70&lt;&gt;"",COUNTIF(C$6:C70,C70)=1),MAX(G$5:G69)+1,"")</f>
        <v/>
      </c>
      <c r="H70" s="0" t="str">
        <f aca="true">IF(A70="","",IF(ISNUMBER(A70),IF(A70&gt;=36526,A70,""),IFERROR(DATE(VALUE(RIGHT(RIGHT(TRIM(A70),10),4)),VALUE(MID(RIGHT(TRIM(A70),10),4,2)),VALUE(LEFT(RIGHT(TRIM(A70),10),2))),IFERROR(TODAY()-MOD(WEEKDAY(TODAY(),1)-MATCH(TRIM(A70),{"الأحد","الاثنين","الثلاثاء","الأربعاء","الخميس","الجمعة","السبت"},0),7),IFERROR(DATEVALUE(A70),"")))))</f>
        <v/>
      </c>
      <c r="I70" s="0" t="str">
        <f aca="false">IF(H70="","",INT((H70-WEEK_ONE)/7)+1)</f>
        <v/>
      </c>
      <c r="J70" s="0" t="str">
        <f aca="false">IF(I70="","",IF(OR(I70&lt;1,I70&gt;NW),"",INDEX(WMON,I70)))</f>
        <v/>
      </c>
    </row>
    <row r="71" customFormat="false" ht="15" hidden="false" customHeight="false" outlineLevel="0" collapsed="false">
      <c r="A71" s="43"/>
      <c r="B71" s="23" t="str">
        <f aca="false">IF(H71="","",CHOOSE(WEEKDAY(H71,1),"الأحد","الاثنين","الثلاثاء","الأربعاء","الخميس","الجمعة","السبت")&amp;IF(OR(ISNUMBER(A71),LEN(TRIM(A71))&gt;=10),"","  "&amp;TEXT(DAY(H71),"00")&amp;"/"&amp;TEXT(MONTH(H71),"00")&amp;"/"&amp;YEAR(H71)))</f>
        <v/>
      </c>
      <c r="C71" s="24"/>
      <c r="D71" s="27"/>
      <c r="E71" s="44"/>
      <c r="F71" s="27"/>
      <c r="G71" s="0" t="str">
        <f aca="false">IF(AND(C71&lt;&gt;"",COUNTIF(C$6:C71,C71)=1),MAX(G$5:G70)+1,"")</f>
        <v/>
      </c>
      <c r="H71" s="0" t="str">
        <f aca="true">IF(A71="","",IF(ISNUMBER(A71),IF(A71&gt;=36526,A71,""),IFERROR(DATE(VALUE(RIGHT(RIGHT(TRIM(A71),10),4)),VALUE(MID(RIGHT(TRIM(A71),10),4,2)),VALUE(LEFT(RIGHT(TRIM(A71),10),2))),IFERROR(TODAY()-MOD(WEEKDAY(TODAY(),1)-MATCH(TRIM(A71),{"الأحد","الاثنين","الثلاثاء","الأربعاء","الخميس","الجمعة","السبت"},0),7),IFERROR(DATEVALUE(A71),"")))))</f>
        <v/>
      </c>
      <c r="I71" s="0" t="str">
        <f aca="false">IF(H71="","",INT((H71-WEEK_ONE)/7)+1)</f>
        <v/>
      </c>
      <c r="J71" s="0" t="str">
        <f aca="false">IF(I71="","",IF(OR(I71&lt;1,I71&gt;NW),"",INDEX(WMON,I71)))</f>
        <v/>
      </c>
    </row>
    <row r="72" customFormat="false" ht="15" hidden="false" customHeight="false" outlineLevel="0" collapsed="false">
      <c r="A72" s="43"/>
      <c r="B72" s="23" t="str">
        <f aca="false">IF(H72="","",CHOOSE(WEEKDAY(H72,1),"الأحد","الاثنين","الثلاثاء","الأربعاء","الخميس","الجمعة","السبت")&amp;IF(OR(ISNUMBER(A72),LEN(TRIM(A72))&gt;=10),"","  "&amp;TEXT(DAY(H72),"00")&amp;"/"&amp;TEXT(MONTH(H72),"00")&amp;"/"&amp;YEAR(H72)))</f>
        <v/>
      </c>
      <c r="C72" s="24"/>
      <c r="D72" s="27"/>
      <c r="E72" s="44"/>
      <c r="F72" s="27"/>
      <c r="G72" s="0" t="str">
        <f aca="false">IF(AND(C72&lt;&gt;"",COUNTIF(C$6:C72,C72)=1),MAX(G$5:G71)+1,"")</f>
        <v/>
      </c>
      <c r="H72" s="0" t="str">
        <f aca="true">IF(A72="","",IF(ISNUMBER(A72),IF(A72&gt;=36526,A72,""),IFERROR(DATE(VALUE(RIGHT(RIGHT(TRIM(A72),10),4)),VALUE(MID(RIGHT(TRIM(A72),10),4,2)),VALUE(LEFT(RIGHT(TRIM(A72),10),2))),IFERROR(TODAY()-MOD(WEEKDAY(TODAY(),1)-MATCH(TRIM(A72),{"الأحد","الاثنين","الثلاثاء","الأربعاء","الخميس","الجمعة","السبت"},0),7),IFERROR(DATEVALUE(A72),"")))))</f>
        <v/>
      </c>
      <c r="I72" s="0" t="str">
        <f aca="false">IF(H72="","",INT((H72-WEEK_ONE)/7)+1)</f>
        <v/>
      </c>
      <c r="J72" s="0" t="str">
        <f aca="false">IF(I72="","",IF(OR(I72&lt;1,I72&gt;NW),"",INDEX(WMON,I72)))</f>
        <v/>
      </c>
    </row>
    <row r="73" customFormat="false" ht="15" hidden="false" customHeight="false" outlineLevel="0" collapsed="false">
      <c r="A73" s="43"/>
      <c r="B73" s="23" t="str">
        <f aca="false">IF(H73="","",CHOOSE(WEEKDAY(H73,1),"الأحد","الاثنين","الثلاثاء","الأربعاء","الخميس","الجمعة","السبت")&amp;IF(OR(ISNUMBER(A73),LEN(TRIM(A73))&gt;=10),"","  "&amp;TEXT(DAY(H73),"00")&amp;"/"&amp;TEXT(MONTH(H73),"00")&amp;"/"&amp;YEAR(H73)))</f>
        <v/>
      </c>
      <c r="C73" s="24"/>
      <c r="D73" s="27"/>
      <c r="E73" s="44"/>
      <c r="F73" s="27"/>
      <c r="G73" s="0" t="str">
        <f aca="false">IF(AND(C73&lt;&gt;"",COUNTIF(C$6:C73,C73)=1),MAX(G$5:G72)+1,"")</f>
        <v/>
      </c>
      <c r="H73" s="0" t="str">
        <f aca="true">IF(A73="","",IF(ISNUMBER(A73),IF(A73&gt;=36526,A73,""),IFERROR(DATE(VALUE(RIGHT(RIGHT(TRIM(A73),10),4)),VALUE(MID(RIGHT(TRIM(A73),10),4,2)),VALUE(LEFT(RIGHT(TRIM(A73),10),2))),IFERROR(TODAY()-MOD(WEEKDAY(TODAY(),1)-MATCH(TRIM(A73),{"الأحد","الاثنين","الثلاثاء","الأربعاء","الخميس","الجمعة","السبت"},0),7),IFERROR(DATEVALUE(A73),"")))))</f>
        <v/>
      </c>
      <c r="I73" s="0" t="str">
        <f aca="false">IF(H73="","",INT((H73-WEEK_ONE)/7)+1)</f>
        <v/>
      </c>
      <c r="J73" s="0" t="str">
        <f aca="false">IF(I73="","",IF(OR(I73&lt;1,I73&gt;NW),"",INDEX(WMON,I73)))</f>
        <v/>
      </c>
    </row>
    <row r="74" customFormat="false" ht="15" hidden="false" customHeight="false" outlineLevel="0" collapsed="false">
      <c r="A74" s="43"/>
      <c r="B74" s="23" t="str">
        <f aca="false">IF(H74="","",CHOOSE(WEEKDAY(H74,1),"الأحد","الاثنين","الثلاثاء","الأربعاء","الخميس","الجمعة","السبت")&amp;IF(OR(ISNUMBER(A74),LEN(TRIM(A74))&gt;=10),"","  "&amp;TEXT(DAY(H74),"00")&amp;"/"&amp;TEXT(MONTH(H74),"00")&amp;"/"&amp;YEAR(H74)))</f>
        <v/>
      </c>
      <c r="C74" s="24"/>
      <c r="D74" s="27"/>
      <c r="E74" s="44"/>
      <c r="F74" s="27"/>
      <c r="G74" s="0" t="str">
        <f aca="false">IF(AND(C74&lt;&gt;"",COUNTIF(C$6:C74,C74)=1),MAX(G$5:G73)+1,"")</f>
        <v/>
      </c>
      <c r="H74" s="0" t="str">
        <f aca="true">IF(A74="","",IF(ISNUMBER(A74),IF(A74&gt;=36526,A74,""),IFERROR(DATE(VALUE(RIGHT(RIGHT(TRIM(A74),10),4)),VALUE(MID(RIGHT(TRIM(A74),10),4,2)),VALUE(LEFT(RIGHT(TRIM(A74),10),2))),IFERROR(TODAY()-MOD(WEEKDAY(TODAY(),1)-MATCH(TRIM(A74),{"الأحد","الاثنين","الثلاثاء","الأربعاء","الخميس","الجمعة","السبت"},0),7),IFERROR(DATEVALUE(A74),"")))))</f>
        <v/>
      </c>
      <c r="I74" s="0" t="str">
        <f aca="false">IF(H74="","",INT((H74-WEEK_ONE)/7)+1)</f>
        <v/>
      </c>
      <c r="J74" s="0" t="str">
        <f aca="false">IF(I74="","",IF(OR(I74&lt;1,I74&gt;NW),"",INDEX(WMON,I74)))</f>
        <v/>
      </c>
    </row>
    <row r="75" customFormat="false" ht="15" hidden="false" customHeight="false" outlineLevel="0" collapsed="false">
      <c r="A75" s="43"/>
      <c r="B75" s="23" t="str">
        <f aca="false">IF(H75="","",CHOOSE(WEEKDAY(H75,1),"الأحد","الاثنين","الثلاثاء","الأربعاء","الخميس","الجمعة","السبت")&amp;IF(OR(ISNUMBER(A75),LEN(TRIM(A75))&gt;=10),"","  "&amp;TEXT(DAY(H75),"00")&amp;"/"&amp;TEXT(MONTH(H75),"00")&amp;"/"&amp;YEAR(H75)))</f>
        <v/>
      </c>
      <c r="C75" s="24"/>
      <c r="D75" s="27"/>
      <c r="E75" s="44"/>
      <c r="F75" s="27"/>
      <c r="G75" s="0" t="str">
        <f aca="false">IF(AND(C75&lt;&gt;"",COUNTIF(C$6:C75,C75)=1),MAX(G$5:G74)+1,"")</f>
        <v/>
      </c>
      <c r="H75" s="0" t="str">
        <f aca="true">IF(A75="","",IF(ISNUMBER(A75),IF(A75&gt;=36526,A75,""),IFERROR(DATE(VALUE(RIGHT(RIGHT(TRIM(A75),10),4)),VALUE(MID(RIGHT(TRIM(A75),10),4,2)),VALUE(LEFT(RIGHT(TRIM(A75),10),2))),IFERROR(TODAY()-MOD(WEEKDAY(TODAY(),1)-MATCH(TRIM(A75),{"الأحد","الاثنين","الثلاثاء","الأربعاء","الخميس","الجمعة","السبت"},0),7),IFERROR(DATEVALUE(A75),"")))))</f>
        <v/>
      </c>
      <c r="I75" s="0" t="str">
        <f aca="false">IF(H75="","",INT((H75-WEEK_ONE)/7)+1)</f>
        <v/>
      </c>
      <c r="J75" s="0" t="str">
        <f aca="false">IF(I75="","",IF(OR(I75&lt;1,I75&gt;NW),"",INDEX(WMON,I75)))</f>
        <v/>
      </c>
    </row>
    <row r="76" customFormat="false" ht="15" hidden="false" customHeight="false" outlineLevel="0" collapsed="false">
      <c r="A76" s="43"/>
      <c r="B76" s="23" t="str">
        <f aca="false">IF(H76="","",CHOOSE(WEEKDAY(H76,1),"الأحد","الاثنين","الثلاثاء","الأربعاء","الخميس","الجمعة","السبت")&amp;IF(OR(ISNUMBER(A76),LEN(TRIM(A76))&gt;=10),"","  "&amp;TEXT(DAY(H76),"00")&amp;"/"&amp;TEXT(MONTH(H76),"00")&amp;"/"&amp;YEAR(H76)))</f>
        <v/>
      </c>
      <c r="C76" s="24"/>
      <c r="D76" s="27"/>
      <c r="E76" s="44"/>
      <c r="F76" s="27"/>
      <c r="G76" s="0" t="str">
        <f aca="false">IF(AND(C76&lt;&gt;"",COUNTIF(C$6:C76,C76)=1),MAX(G$5:G75)+1,"")</f>
        <v/>
      </c>
      <c r="H76" s="0" t="str">
        <f aca="true">IF(A76="","",IF(ISNUMBER(A76),IF(A76&gt;=36526,A76,""),IFERROR(DATE(VALUE(RIGHT(RIGHT(TRIM(A76),10),4)),VALUE(MID(RIGHT(TRIM(A76),10),4,2)),VALUE(LEFT(RIGHT(TRIM(A76),10),2))),IFERROR(TODAY()-MOD(WEEKDAY(TODAY(),1)-MATCH(TRIM(A76),{"الأحد","الاثنين","الثلاثاء","الأربعاء","الخميس","الجمعة","السبت"},0),7),IFERROR(DATEVALUE(A76),"")))))</f>
        <v/>
      </c>
      <c r="I76" s="0" t="str">
        <f aca="false">IF(H76="","",INT((H76-WEEK_ONE)/7)+1)</f>
        <v/>
      </c>
      <c r="J76" s="0" t="str">
        <f aca="false">IF(I76="","",IF(OR(I76&lt;1,I76&gt;NW),"",INDEX(WMON,I76)))</f>
        <v/>
      </c>
    </row>
    <row r="77" customFormat="false" ht="15" hidden="false" customHeight="false" outlineLevel="0" collapsed="false">
      <c r="A77" s="43"/>
      <c r="B77" s="23" t="str">
        <f aca="false">IF(H77="","",CHOOSE(WEEKDAY(H77,1),"الأحد","الاثنين","الثلاثاء","الأربعاء","الخميس","الجمعة","السبت")&amp;IF(OR(ISNUMBER(A77),LEN(TRIM(A77))&gt;=10),"","  "&amp;TEXT(DAY(H77),"00")&amp;"/"&amp;TEXT(MONTH(H77),"00")&amp;"/"&amp;YEAR(H77)))</f>
        <v/>
      </c>
      <c r="C77" s="24"/>
      <c r="D77" s="27"/>
      <c r="E77" s="44"/>
      <c r="F77" s="27"/>
      <c r="G77" s="0" t="str">
        <f aca="false">IF(AND(C77&lt;&gt;"",COUNTIF(C$6:C77,C77)=1),MAX(G$5:G76)+1,"")</f>
        <v/>
      </c>
      <c r="H77" s="0" t="str">
        <f aca="true">IF(A77="","",IF(ISNUMBER(A77),IF(A77&gt;=36526,A77,""),IFERROR(DATE(VALUE(RIGHT(RIGHT(TRIM(A77),10),4)),VALUE(MID(RIGHT(TRIM(A77),10),4,2)),VALUE(LEFT(RIGHT(TRIM(A77),10),2))),IFERROR(TODAY()-MOD(WEEKDAY(TODAY(),1)-MATCH(TRIM(A77),{"الأحد","الاثنين","الثلاثاء","الأربعاء","الخميس","الجمعة","السبت"},0),7),IFERROR(DATEVALUE(A77),"")))))</f>
        <v/>
      </c>
      <c r="I77" s="0" t="str">
        <f aca="false">IF(H77="","",INT((H77-WEEK_ONE)/7)+1)</f>
        <v/>
      </c>
      <c r="J77" s="0" t="str">
        <f aca="false">IF(I77="","",IF(OR(I77&lt;1,I77&gt;NW),"",INDEX(WMON,I77)))</f>
        <v/>
      </c>
    </row>
    <row r="78" customFormat="false" ht="15" hidden="false" customHeight="false" outlineLevel="0" collapsed="false">
      <c r="A78" s="43"/>
      <c r="B78" s="23" t="str">
        <f aca="false">IF(H78="","",CHOOSE(WEEKDAY(H78,1),"الأحد","الاثنين","الثلاثاء","الأربعاء","الخميس","الجمعة","السبت")&amp;IF(OR(ISNUMBER(A78),LEN(TRIM(A78))&gt;=10),"","  "&amp;TEXT(DAY(H78),"00")&amp;"/"&amp;TEXT(MONTH(H78),"00")&amp;"/"&amp;YEAR(H78)))</f>
        <v/>
      </c>
      <c r="C78" s="24"/>
      <c r="D78" s="27"/>
      <c r="E78" s="44"/>
      <c r="F78" s="27"/>
      <c r="G78" s="0" t="str">
        <f aca="false">IF(AND(C78&lt;&gt;"",COUNTIF(C$6:C78,C78)=1),MAX(G$5:G77)+1,"")</f>
        <v/>
      </c>
      <c r="H78" s="0" t="str">
        <f aca="true">IF(A78="","",IF(ISNUMBER(A78),IF(A78&gt;=36526,A78,""),IFERROR(DATE(VALUE(RIGHT(RIGHT(TRIM(A78),10),4)),VALUE(MID(RIGHT(TRIM(A78),10),4,2)),VALUE(LEFT(RIGHT(TRIM(A78),10),2))),IFERROR(TODAY()-MOD(WEEKDAY(TODAY(),1)-MATCH(TRIM(A78),{"الأحد","الاثنين","الثلاثاء","الأربعاء","الخميس","الجمعة","السبت"},0),7),IFERROR(DATEVALUE(A78),"")))))</f>
        <v/>
      </c>
      <c r="I78" s="0" t="str">
        <f aca="false">IF(H78="","",INT((H78-WEEK_ONE)/7)+1)</f>
        <v/>
      </c>
      <c r="J78" s="0" t="str">
        <f aca="false">IF(I78="","",IF(OR(I78&lt;1,I78&gt;NW),"",INDEX(WMON,I78)))</f>
        <v/>
      </c>
    </row>
    <row r="79" customFormat="false" ht="15" hidden="false" customHeight="false" outlineLevel="0" collapsed="false">
      <c r="A79" s="43"/>
      <c r="B79" s="23" t="str">
        <f aca="false">IF(H79="","",CHOOSE(WEEKDAY(H79,1),"الأحد","الاثنين","الثلاثاء","الأربعاء","الخميس","الجمعة","السبت")&amp;IF(OR(ISNUMBER(A79),LEN(TRIM(A79))&gt;=10),"","  "&amp;TEXT(DAY(H79),"00")&amp;"/"&amp;TEXT(MONTH(H79),"00")&amp;"/"&amp;YEAR(H79)))</f>
        <v/>
      </c>
      <c r="C79" s="24"/>
      <c r="D79" s="27"/>
      <c r="E79" s="44"/>
      <c r="F79" s="27"/>
      <c r="G79" s="0" t="str">
        <f aca="false">IF(AND(C79&lt;&gt;"",COUNTIF(C$6:C79,C79)=1),MAX(G$5:G78)+1,"")</f>
        <v/>
      </c>
      <c r="H79" s="0" t="str">
        <f aca="true">IF(A79="","",IF(ISNUMBER(A79),IF(A79&gt;=36526,A79,""),IFERROR(DATE(VALUE(RIGHT(RIGHT(TRIM(A79),10),4)),VALUE(MID(RIGHT(TRIM(A79),10),4,2)),VALUE(LEFT(RIGHT(TRIM(A79),10),2))),IFERROR(TODAY()-MOD(WEEKDAY(TODAY(),1)-MATCH(TRIM(A79),{"الأحد","الاثنين","الثلاثاء","الأربعاء","الخميس","الجمعة","السبت"},0),7),IFERROR(DATEVALUE(A79),"")))))</f>
        <v/>
      </c>
      <c r="I79" s="0" t="str">
        <f aca="false">IF(H79="","",INT((H79-WEEK_ONE)/7)+1)</f>
        <v/>
      </c>
      <c r="J79" s="0" t="str">
        <f aca="false">IF(I79="","",IF(OR(I79&lt;1,I79&gt;NW),"",INDEX(WMON,I79)))</f>
        <v/>
      </c>
    </row>
    <row r="80" customFormat="false" ht="15" hidden="false" customHeight="false" outlineLevel="0" collapsed="false">
      <c r="A80" s="43"/>
      <c r="B80" s="23" t="str">
        <f aca="false">IF(H80="","",CHOOSE(WEEKDAY(H80,1),"الأحد","الاثنين","الثلاثاء","الأربعاء","الخميس","الجمعة","السبت")&amp;IF(OR(ISNUMBER(A80),LEN(TRIM(A80))&gt;=10),"","  "&amp;TEXT(DAY(H80),"00")&amp;"/"&amp;TEXT(MONTH(H80),"00")&amp;"/"&amp;YEAR(H80)))</f>
        <v/>
      </c>
      <c r="C80" s="24"/>
      <c r="D80" s="27"/>
      <c r="E80" s="44"/>
      <c r="F80" s="27"/>
      <c r="G80" s="0" t="str">
        <f aca="false">IF(AND(C80&lt;&gt;"",COUNTIF(C$6:C80,C80)=1),MAX(G$5:G79)+1,"")</f>
        <v/>
      </c>
      <c r="H80" s="0" t="str">
        <f aca="true">IF(A80="","",IF(ISNUMBER(A80),IF(A80&gt;=36526,A80,""),IFERROR(DATE(VALUE(RIGHT(RIGHT(TRIM(A80),10),4)),VALUE(MID(RIGHT(TRIM(A80),10),4,2)),VALUE(LEFT(RIGHT(TRIM(A80),10),2))),IFERROR(TODAY()-MOD(WEEKDAY(TODAY(),1)-MATCH(TRIM(A80),{"الأحد","الاثنين","الثلاثاء","الأربعاء","الخميس","الجمعة","السبت"},0),7),IFERROR(DATEVALUE(A80),"")))))</f>
        <v/>
      </c>
      <c r="I80" s="0" t="str">
        <f aca="false">IF(H80="","",INT((H80-WEEK_ONE)/7)+1)</f>
        <v/>
      </c>
      <c r="J80" s="0" t="str">
        <f aca="false">IF(I80="","",IF(OR(I80&lt;1,I80&gt;NW),"",INDEX(WMON,I80)))</f>
        <v/>
      </c>
    </row>
    <row r="81" customFormat="false" ht="15" hidden="false" customHeight="false" outlineLevel="0" collapsed="false">
      <c r="A81" s="43"/>
      <c r="B81" s="23" t="str">
        <f aca="false">IF(H81="","",CHOOSE(WEEKDAY(H81,1),"الأحد","الاثنين","الثلاثاء","الأربعاء","الخميس","الجمعة","السبت")&amp;IF(OR(ISNUMBER(A81),LEN(TRIM(A81))&gt;=10),"","  "&amp;TEXT(DAY(H81),"00")&amp;"/"&amp;TEXT(MONTH(H81),"00")&amp;"/"&amp;YEAR(H81)))</f>
        <v/>
      </c>
      <c r="C81" s="24"/>
      <c r="D81" s="27"/>
      <c r="E81" s="44"/>
      <c r="F81" s="27"/>
      <c r="G81" s="0" t="str">
        <f aca="false">IF(AND(C81&lt;&gt;"",COUNTIF(C$6:C81,C81)=1),MAX(G$5:G80)+1,"")</f>
        <v/>
      </c>
      <c r="H81" s="0" t="str">
        <f aca="true">IF(A81="","",IF(ISNUMBER(A81),IF(A81&gt;=36526,A81,""),IFERROR(DATE(VALUE(RIGHT(RIGHT(TRIM(A81),10),4)),VALUE(MID(RIGHT(TRIM(A81),10),4,2)),VALUE(LEFT(RIGHT(TRIM(A81),10),2))),IFERROR(TODAY()-MOD(WEEKDAY(TODAY(),1)-MATCH(TRIM(A81),{"الأحد","الاثنين","الثلاثاء","الأربعاء","الخميس","الجمعة","السبت"},0),7),IFERROR(DATEVALUE(A81),"")))))</f>
        <v/>
      </c>
      <c r="I81" s="0" t="str">
        <f aca="false">IF(H81="","",INT((H81-WEEK_ONE)/7)+1)</f>
        <v/>
      </c>
      <c r="J81" s="0" t="str">
        <f aca="false">IF(I81="","",IF(OR(I81&lt;1,I81&gt;NW),"",INDEX(WMON,I81)))</f>
        <v/>
      </c>
    </row>
    <row r="82" customFormat="false" ht="15" hidden="false" customHeight="false" outlineLevel="0" collapsed="false">
      <c r="A82" s="43"/>
      <c r="B82" s="23" t="str">
        <f aca="false">IF(H82="","",CHOOSE(WEEKDAY(H82,1),"الأحد","الاثنين","الثلاثاء","الأربعاء","الخميس","الجمعة","السبت")&amp;IF(OR(ISNUMBER(A82),LEN(TRIM(A82))&gt;=10),"","  "&amp;TEXT(DAY(H82),"00")&amp;"/"&amp;TEXT(MONTH(H82),"00")&amp;"/"&amp;YEAR(H82)))</f>
        <v/>
      </c>
      <c r="C82" s="24"/>
      <c r="D82" s="27"/>
      <c r="E82" s="44"/>
      <c r="F82" s="27"/>
      <c r="G82" s="0" t="str">
        <f aca="false">IF(AND(C82&lt;&gt;"",COUNTIF(C$6:C82,C82)=1),MAX(G$5:G81)+1,"")</f>
        <v/>
      </c>
      <c r="H82" s="0" t="str">
        <f aca="true">IF(A82="","",IF(ISNUMBER(A82),IF(A82&gt;=36526,A82,""),IFERROR(DATE(VALUE(RIGHT(RIGHT(TRIM(A82),10),4)),VALUE(MID(RIGHT(TRIM(A82),10),4,2)),VALUE(LEFT(RIGHT(TRIM(A82),10),2))),IFERROR(TODAY()-MOD(WEEKDAY(TODAY(),1)-MATCH(TRIM(A82),{"الأحد","الاثنين","الثلاثاء","الأربعاء","الخميس","الجمعة","السبت"},0),7),IFERROR(DATEVALUE(A82),"")))))</f>
        <v/>
      </c>
      <c r="I82" s="0" t="str">
        <f aca="false">IF(H82="","",INT((H82-WEEK_ONE)/7)+1)</f>
        <v/>
      </c>
      <c r="J82" s="0" t="str">
        <f aca="false">IF(I82="","",IF(OR(I82&lt;1,I82&gt;NW),"",INDEX(WMON,I82)))</f>
        <v/>
      </c>
    </row>
    <row r="83" customFormat="false" ht="15" hidden="false" customHeight="false" outlineLevel="0" collapsed="false">
      <c r="A83" s="43"/>
      <c r="B83" s="23" t="str">
        <f aca="false">IF(H83="","",CHOOSE(WEEKDAY(H83,1),"الأحد","الاثنين","الثلاثاء","الأربعاء","الخميس","الجمعة","السبت")&amp;IF(OR(ISNUMBER(A83),LEN(TRIM(A83))&gt;=10),"","  "&amp;TEXT(DAY(H83),"00")&amp;"/"&amp;TEXT(MONTH(H83),"00")&amp;"/"&amp;YEAR(H83)))</f>
        <v/>
      </c>
      <c r="C83" s="24"/>
      <c r="D83" s="27"/>
      <c r="E83" s="44"/>
      <c r="F83" s="27"/>
      <c r="G83" s="0" t="str">
        <f aca="false">IF(AND(C83&lt;&gt;"",COUNTIF(C$6:C83,C83)=1),MAX(G$5:G82)+1,"")</f>
        <v/>
      </c>
      <c r="H83" s="0" t="str">
        <f aca="true">IF(A83="","",IF(ISNUMBER(A83),IF(A83&gt;=36526,A83,""),IFERROR(DATE(VALUE(RIGHT(RIGHT(TRIM(A83),10),4)),VALUE(MID(RIGHT(TRIM(A83),10),4,2)),VALUE(LEFT(RIGHT(TRIM(A83),10),2))),IFERROR(TODAY()-MOD(WEEKDAY(TODAY(),1)-MATCH(TRIM(A83),{"الأحد","الاثنين","الثلاثاء","الأربعاء","الخميس","الجمعة","السبت"},0),7),IFERROR(DATEVALUE(A83),"")))))</f>
        <v/>
      </c>
      <c r="I83" s="0" t="str">
        <f aca="false">IF(H83="","",INT((H83-WEEK_ONE)/7)+1)</f>
        <v/>
      </c>
      <c r="J83" s="0" t="str">
        <f aca="false">IF(I83="","",IF(OR(I83&lt;1,I83&gt;NW),"",INDEX(WMON,I83)))</f>
        <v/>
      </c>
    </row>
    <row r="84" customFormat="false" ht="15" hidden="false" customHeight="false" outlineLevel="0" collapsed="false">
      <c r="A84" s="43"/>
      <c r="B84" s="23" t="str">
        <f aca="false">IF(H84="","",CHOOSE(WEEKDAY(H84,1),"الأحد","الاثنين","الثلاثاء","الأربعاء","الخميس","الجمعة","السبت")&amp;IF(OR(ISNUMBER(A84),LEN(TRIM(A84))&gt;=10),"","  "&amp;TEXT(DAY(H84),"00")&amp;"/"&amp;TEXT(MONTH(H84),"00")&amp;"/"&amp;YEAR(H84)))</f>
        <v/>
      </c>
      <c r="C84" s="24"/>
      <c r="D84" s="27"/>
      <c r="E84" s="44"/>
      <c r="F84" s="27"/>
      <c r="G84" s="0" t="str">
        <f aca="false">IF(AND(C84&lt;&gt;"",COUNTIF(C$6:C84,C84)=1),MAX(G$5:G83)+1,"")</f>
        <v/>
      </c>
      <c r="H84" s="0" t="str">
        <f aca="true">IF(A84="","",IF(ISNUMBER(A84),IF(A84&gt;=36526,A84,""),IFERROR(DATE(VALUE(RIGHT(RIGHT(TRIM(A84),10),4)),VALUE(MID(RIGHT(TRIM(A84),10),4,2)),VALUE(LEFT(RIGHT(TRIM(A84),10),2))),IFERROR(TODAY()-MOD(WEEKDAY(TODAY(),1)-MATCH(TRIM(A84),{"الأحد","الاثنين","الثلاثاء","الأربعاء","الخميس","الجمعة","السبت"},0),7),IFERROR(DATEVALUE(A84),"")))))</f>
        <v/>
      </c>
      <c r="I84" s="0" t="str">
        <f aca="false">IF(H84="","",INT((H84-WEEK_ONE)/7)+1)</f>
        <v/>
      </c>
      <c r="J84" s="0" t="str">
        <f aca="false">IF(I84="","",IF(OR(I84&lt;1,I84&gt;NW),"",INDEX(WMON,I84)))</f>
        <v/>
      </c>
    </row>
    <row r="85" customFormat="false" ht="15" hidden="false" customHeight="false" outlineLevel="0" collapsed="false">
      <c r="A85" s="43"/>
      <c r="B85" s="23" t="str">
        <f aca="false">IF(H85="","",CHOOSE(WEEKDAY(H85,1),"الأحد","الاثنين","الثلاثاء","الأربعاء","الخميس","الجمعة","السبت")&amp;IF(OR(ISNUMBER(A85),LEN(TRIM(A85))&gt;=10),"","  "&amp;TEXT(DAY(H85),"00")&amp;"/"&amp;TEXT(MONTH(H85),"00")&amp;"/"&amp;YEAR(H85)))</f>
        <v/>
      </c>
      <c r="C85" s="24"/>
      <c r="D85" s="27"/>
      <c r="E85" s="44"/>
      <c r="F85" s="27"/>
      <c r="G85" s="0" t="str">
        <f aca="false">IF(AND(C85&lt;&gt;"",COUNTIF(C$6:C85,C85)=1),MAX(G$5:G84)+1,"")</f>
        <v/>
      </c>
      <c r="H85" s="0" t="str">
        <f aca="true">IF(A85="","",IF(ISNUMBER(A85),IF(A85&gt;=36526,A85,""),IFERROR(DATE(VALUE(RIGHT(RIGHT(TRIM(A85),10),4)),VALUE(MID(RIGHT(TRIM(A85),10),4,2)),VALUE(LEFT(RIGHT(TRIM(A85),10),2))),IFERROR(TODAY()-MOD(WEEKDAY(TODAY(),1)-MATCH(TRIM(A85),{"الأحد","الاثنين","الثلاثاء","الأربعاء","الخميس","الجمعة","السبت"},0),7),IFERROR(DATEVALUE(A85),"")))))</f>
        <v/>
      </c>
      <c r="I85" s="0" t="str">
        <f aca="false">IF(H85="","",INT((H85-WEEK_ONE)/7)+1)</f>
        <v/>
      </c>
      <c r="J85" s="0" t="str">
        <f aca="false">IF(I85="","",IF(OR(I85&lt;1,I85&gt;NW),"",INDEX(WMON,I85)))</f>
        <v/>
      </c>
    </row>
    <row r="86" customFormat="false" ht="15" hidden="false" customHeight="false" outlineLevel="0" collapsed="false">
      <c r="A86" s="43"/>
      <c r="B86" s="23" t="str">
        <f aca="false">IF(H86="","",CHOOSE(WEEKDAY(H86,1),"الأحد","الاثنين","الثلاثاء","الأربعاء","الخميس","الجمعة","السبت")&amp;IF(OR(ISNUMBER(A86),LEN(TRIM(A86))&gt;=10),"","  "&amp;TEXT(DAY(H86),"00")&amp;"/"&amp;TEXT(MONTH(H86),"00")&amp;"/"&amp;YEAR(H86)))</f>
        <v/>
      </c>
      <c r="C86" s="24"/>
      <c r="D86" s="27"/>
      <c r="E86" s="44"/>
      <c r="F86" s="27"/>
      <c r="G86" s="0" t="str">
        <f aca="false">IF(AND(C86&lt;&gt;"",COUNTIF(C$6:C86,C86)=1),MAX(G$5:G85)+1,"")</f>
        <v/>
      </c>
      <c r="H86" s="0" t="str">
        <f aca="true">IF(A86="","",IF(ISNUMBER(A86),IF(A86&gt;=36526,A86,""),IFERROR(DATE(VALUE(RIGHT(RIGHT(TRIM(A86),10),4)),VALUE(MID(RIGHT(TRIM(A86),10),4,2)),VALUE(LEFT(RIGHT(TRIM(A86),10),2))),IFERROR(TODAY()-MOD(WEEKDAY(TODAY(),1)-MATCH(TRIM(A86),{"الأحد","الاثنين","الثلاثاء","الأربعاء","الخميس","الجمعة","السبت"},0),7),IFERROR(DATEVALUE(A86),"")))))</f>
        <v/>
      </c>
      <c r="I86" s="0" t="str">
        <f aca="false">IF(H86="","",INT((H86-WEEK_ONE)/7)+1)</f>
        <v/>
      </c>
      <c r="J86" s="0" t="str">
        <f aca="false">IF(I86="","",IF(OR(I86&lt;1,I86&gt;NW),"",INDEX(WMON,I86)))</f>
        <v/>
      </c>
    </row>
    <row r="87" customFormat="false" ht="15" hidden="false" customHeight="false" outlineLevel="0" collapsed="false">
      <c r="A87" s="43"/>
      <c r="B87" s="23" t="str">
        <f aca="false">IF(H87="","",CHOOSE(WEEKDAY(H87,1),"الأحد","الاثنين","الثلاثاء","الأربعاء","الخميس","الجمعة","السبت")&amp;IF(OR(ISNUMBER(A87),LEN(TRIM(A87))&gt;=10),"","  "&amp;TEXT(DAY(H87),"00")&amp;"/"&amp;TEXT(MONTH(H87),"00")&amp;"/"&amp;YEAR(H87)))</f>
        <v/>
      </c>
      <c r="C87" s="24"/>
      <c r="D87" s="27"/>
      <c r="E87" s="44"/>
      <c r="F87" s="27"/>
      <c r="G87" s="0" t="str">
        <f aca="false">IF(AND(C87&lt;&gt;"",COUNTIF(C$6:C87,C87)=1),MAX(G$5:G86)+1,"")</f>
        <v/>
      </c>
      <c r="H87" s="0" t="str">
        <f aca="true">IF(A87="","",IF(ISNUMBER(A87),IF(A87&gt;=36526,A87,""),IFERROR(DATE(VALUE(RIGHT(RIGHT(TRIM(A87),10),4)),VALUE(MID(RIGHT(TRIM(A87),10),4,2)),VALUE(LEFT(RIGHT(TRIM(A87),10),2))),IFERROR(TODAY()-MOD(WEEKDAY(TODAY(),1)-MATCH(TRIM(A87),{"الأحد","الاثنين","الثلاثاء","الأربعاء","الخميس","الجمعة","السبت"},0),7),IFERROR(DATEVALUE(A87),"")))))</f>
        <v/>
      </c>
      <c r="I87" s="0" t="str">
        <f aca="false">IF(H87="","",INT((H87-WEEK_ONE)/7)+1)</f>
        <v/>
      </c>
      <c r="J87" s="0" t="str">
        <f aca="false">IF(I87="","",IF(OR(I87&lt;1,I87&gt;NW),"",INDEX(WMON,I87)))</f>
        <v/>
      </c>
    </row>
    <row r="88" customFormat="false" ht="15" hidden="false" customHeight="false" outlineLevel="0" collapsed="false">
      <c r="A88" s="43"/>
      <c r="B88" s="23" t="str">
        <f aca="false">IF(H88="","",CHOOSE(WEEKDAY(H88,1),"الأحد","الاثنين","الثلاثاء","الأربعاء","الخميس","الجمعة","السبت")&amp;IF(OR(ISNUMBER(A88),LEN(TRIM(A88))&gt;=10),"","  "&amp;TEXT(DAY(H88),"00")&amp;"/"&amp;TEXT(MONTH(H88),"00")&amp;"/"&amp;YEAR(H88)))</f>
        <v/>
      </c>
      <c r="C88" s="24"/>
      <c r="D88" s="27"/>
      <c r="E88" s="44"/>
      <c r="F88" s="27"/>
      <c r="G88" s="0" t="str">
        <f aca="false">IF(AND(C88&lt;&gt;"",COUNTIF(C$6:C88,C88)=1),MAX(G$5:G87)+1,"")</f>
        <v/>
      </c>
      <c r="H88" s="0" t="str">
        <f aca="true">IF(A88="","",IF(ISNUMBER(A88),IF(A88&gt;=36526,A88,""),IFERROR(DATE(VALUE(RIGHT(RIGHT(TRIM(A88),10),4)),VALUE(MID(RIGHT(TRIM(A88),10),4,2)),VALUE(LEFT(RIGHT(TRIM(A88),10),2))),IFERROR(TODAY()-MOD(WEEKDAY(TODAY(),1)-MATCH(TRIM(A88),{"الأحد","الاثنين","الثلاثاء","الأربعاء","الخميس","الجمعة","السبت"},0),7),IFERROR(DATEVALUE(A88),"")))))</f>
        <v/>
      </c>
      <c r="I88" s="0" t="str">
        <f aca="false">IF(H88="","",INT((H88-WEEK_ONE)/7)+1)</f>
        <v/>
      </c>
      <c r="J88" s="0" t="str">
        <f aca="false">IF(I88="","",IF(OR(I88&lt;1,I88&gt;NW),"",INDEX(WMON,I88)))</f>
        <v/>
      </c>
    </row>
    <row r="89" customFormat="false" ht="15" hidden="false" customHeight="false" outlineLevel="0" collapsed="false">
      <c r="A89" s="43"/>
      <c r="B89" s="23" t="str">
        <f aca="false">IF(H89="","",CHOOSE(WEEKDAY(H89,1),"الأحد","الاثنين","الثلاثاء","الأربعاء","الخميس","الجمعة","السبت")&amp;IF(OR(ISNUMBER(A89),LEN(TRIM(A89))&gt;=10),"","  "&amp;TEXT(DAY(H89),"00")&amp;"/"&amp;TEXT(MONTH(H89),"00")&amp;"/"&amp;YEAR(H89)))</f>
        <v/>
      </c>
      <c r="C89" s="24"/>
      <c r="D89" s="27"/>
      <c r="E89" s="44"/>
      <c r="F89" s="27"/>
      <c r="G89" s="0" t="str">
        <f aca="false">IF(AND(C89&lt;&gt;"",COUNTIF(C$6:C89,C89)=1),MAX(G$5:G88)+1,"")</f>
        <v/>
      </c>
      <c r="H89" s="0" t="str">
        <f aca="true">IF(A89="","",IF(ISNUMBER(A89),IF(A89&gt;=36526,A89,""),IFERROR(DATE(VALUE(RIGHT(RIGHT(TRIM(A89),10),4)),VALUE(MID(RIGHT(TRIM(A89),10),4,2)),VALUE(LEFT(RIGHT(TRIM(A89),10),2))),IFERROR(TODAY()-MOD(WEEKDAY(TODAY(),1)-MATCH(TRIM(A89),{"الأحد","الاثنين","الثلاثاء","الأربعاء","الخميس","الجمعة","السبت"},0),7),IFERROR(DATEVALUE(A89),"")))))</f>
        <v/>
      </c>
      <c r="I89" s="0" t="str">
        <f aca="false">IF(H89="","",INT((H89-WEEK_ONE)/7)+1)</f>
        <v/>
      </c>
      <c r="J89" s="0" t="str">
        <f aca="false">IF(I89="","",IF(OR(I89&lt;1,I89&gt;NW),"",INDEX(WMON,I89)))</f>
        <v/>
      </c>
    </row>
    <row r="90" customFormat="false" ht="15" hidden="false" customHeight="false" outlineLevel="0" collapsed="false">
      <c r="A90" s="43"/>
      <c r="B90" s="23" t="str">
        <f aca="false">IF(H90="","",CHOOSE(WEEKDAY(H90,1),"الأحد","الاثنين","الثلاثاء","الأربعاء","الخميس","الجمعة","السبت")&amp;IF(OR(ISNUMBER(A90),LEN(TRIM(A90))&gt;=10),"","  "&amp;TEXT(DAY(H90),"00")&amp;"/"&amp;TEXT(MONTH(H90),"00")&amp;"/"&amp;YEAR(H90)))</f>
        <v/>
      </c>
      <c r="C90" s="24"/>
      <c r="D90" s="27"/>
      <c r="E90" s="44"/>
      <c r="F90" s="27"/>
      <c r="G90" s="0" t="str">
        <f aca="false">IF(AND(C90&lt;&gt;"",COUNTIF(C$6:C90,C90)=1),MAX(G$5:G89)+1,"")</f>
        <v/>
      </c>
      <c r="H90" s="0" t="str">
        <f aca="true">IF(A90="","",IF(ISNUMBER(A90),IF(A90&gt;=36526,A90,""),IFERROR(DATE(VALUE(RIGHT(RIGHT(TRIM(A90),10),4)),VALUE(MID(RIGHT(TRIM(A90),10),4,2)),VALUE(LEFT(RIGHT(TRIM(A90),10),2))),IFERROR(TODAY()-MOD(WEEKDAY(TODAY(),1)-MATCH(TRIM(A90),{"الأحد","الاثنين","الثلاثاء","الأربعاء","الخميس","الجمعة","السبت"},0),7),IFERROR(DATEVALUE(A90),"")))))</f>
        <v/>
      </c>
      <c r="I90" s="0" t="str">
        <f aca="false">IF(H90="","",INT((H90-WEEK_ONE)/7)+1)</f>
        <v/>
      </c>
      <c r="J90" s="0" t="str">
        <f aca="false">IF(I90="","",IF(OR(I90&lt;1,I90&gt;NW),"",INDEX(WMON,I90)))</f>
        <v/>
      </c>
    </row>
    <row r="91" customFormat="false" ht="15" hidden="false" customHeight="false" outlineLevel="0" collapsed="false">
      <c r="A91" s="43"/>
      <c r="B91" s="23" t="str">
        <f aca="false">IF(H91="","",CHOOSE(WEEKDAY(H91,1),"الأحد","الاثنين","الثلاثاء","الأربعاء","الخميس","الجمعة","السبت")&amp;IF(OR(ISNUMBER(A91),LEN(TRIM(A91))&gt;=10),"","  "&amp;TEXT(DAY(H91),"00")&amp;"/"&amp;TEXT(MONTH(H91),"00")&amp;"/"&amp;YEAR(H91)))</f>
        <v/>
      </c>
      <c r="C91" s="24"/>
      <c r="D91" s="27"/>
      <c r="E91" s="44"/>
      <c r="F91" s="27"/>
      <c r="G91" s="0" t="str">
        <f aca="false">IF(AND(C91&lt;&gt;"",COUNTIF(C$6:C91,C91)=1),MAX(G$5:G90)+1,"")</f>
        <v/>
      </c>
      <c r="H91" s="0" t="str">
        <f aca="true">IF(A91="","",IF(ISNUMBER(A91),IF(A91&gt;=36526,A91,""),IFERROR(DATE(VALUE(RIGHT(RIGHT(TRIM(A91),10),4)),VALUE(MID(RIGHT(TRIM(A91),10),4,2)),VALUE(LEFT(RIGHT(TRIM(A91),10),2))),IFERROR(TODAY()-MOD(WEEKDAY(TODAY(),1)-MATCH(TRIM(A91),{"الأحد","الاثنين","الثلاثاء","الأربعاء","الخميس","الجمعة","السبت"},0),7),IFERROR(DATEVALUE(A91),"")))))</f>
        <v/>
      </c>
      <c r="I91" s="0" t="str">
        <f aca="false">IF(H91="","",INT((H91-WEEK_ONE)/7)+1)</f>
        <v/>
      </c>
      <c r="J91" s="0" t="str">
        <f aca="false">IF(I91="","",IF(OR(I91&lt;1,I91&gt;NW),"",INDEX(WMON,I91)))</f>
        <v/>
      </c>
    </row>
    <row r="92" customFormat="false" ht="15" hidden="false" customHeight="false" outlineLevel="0" collapsed="false">
      <c r="A92" s="43"/>
      <c r="B92" s="23" t="str">
        <f aca="false">IF(H92="","",CHOOSE(WEEKDAY(H92,1),"الأحد","الاثنين","الثلاثاء","الأربعاء","الخميس","الجمعة","السبت")&amp;IF(OR(ISNUMBER(A92),LEN(TRIM(A92))&gt;=10),"","  "&amp;TEXT(DAY(H92),"00")&amp;"/"&amp;TEXT(MONTH(H92),"00")&amp;"/"&amp;YEAR(H92)))</f>
        <v/>
      </c>
      <c r="C92" s="24"/>
      <c r="D92" s="27"/>
      <c r="E92" s="44"/>
      <c r="F92" s="27"/>
      <c r="G92" s="0" t="str">
        <f aca="false">IF(AND(C92&lt;&gt;"",COUNTIF(C$6:C92,C92)=1),MAX(G$5:G91)+1,"")</f>
        <v/>
      </c>
      <c r="H92" s="0" t="str">
        <f aca="true">IF(A92="","",IF(ISNUMBER(A92),IF(A92&gt;=36526,A92,""),IFERROR(DATE(VALUE(RIGHT(RIGHT(TRIM(A92),10),4)),VALUE(MID(RIGHT(TRIM(A92),10),4,2)),VALUE(LEFT(RIGHT(TRIM(A92),10),2))),IFERROR(TODAY()-MOD(WEEKDAY(TODAY(),1)-MATCH(TRIM(A92),{"الأحد","الاثنين","الثلاثاء","الأربعاء","الخميس","الجمعة","السبت"},0),7),IFERROR(DATEVALUE(A92),"")))))</f>
        <v/>
      </c>
      <c r="I92" s="0" t="str">
        <f aca="false">IF(H92="","",INT((H92-WEEK_ONE)/7)+1)</f>
        <v/>
      </c>
      <c r="J92" s="0" t="str">
        <f aca="false">IF(I92="","",IF(OR(I92&lt;1,I92&gt;NW),"",INDEX(WMON,I92)))</f>
        <v/>
      </c>
    </row>
    <row r="93" customFormat="false" ht="15" hidden="false" customHeight="false" outlineLevel="0" collapsed="false">
      <c r="A93" s="43"/>
      <c r="B93" s="23" t="str">
        <f aca="false">IF(H93="","",CHOOSE(WEEKDAY(H93,1),"الأحد","الاثنين","الثلاثاء","الأربعاء","الخميس","الجمعة","السبت")&amp;IF(OR(ISNUMBER(A93),LEN(TRIM(A93))&gt;=10),"","  "&amp;TEXT(DAY(H93),"00")&amp;"/"&amp;TEXT(MONTH(H93),"00")&amp;"/"&amp;YEAR(H93)))</f>
        <v/>
      </c>
      <c r="C93" s="24"/>
      <c r="D93" s="27"/>
      <c r="E93" s="44"/>
      <c r="F93" s="27"/>
      <c r="G93" s="0" t="str">
        <f aca="false">IF(AND(C93&lt;&gt;"",COUNTIF(C$6:C93,C93)=1),MAX(G$5:G92)+1,"")</f>
        <v/>
      </c>
      <c r="H93" s="0" t="str">
        <f aca="true">IF(A93="","",IF(ISNUMBER(A93),IF(A93&gt;=36526,A93,""),IFERROR(DATE(VALUE(RIGHT(RIGHT(TRIM(A93),10),4)),VALUE(MID(RIGHT(TRIM(A93),10),4,2)),VALUE(LEFT(RIGHT(TRIM(A93),10),2))),IFERROR(TODAY()-MOD(WEEKDAY(TODAY(),1)-MATCH(TRIM(A93),{"الأحد","الاثنين","الثلاثاء","الأربعاء","الخميس","الجمعة","السبت"},0),7),IFERROR(DATEVALUE(A93),"")))))</f>
        <v/>
      </c>
      <c r="I93" s="0" t="str">
        <f aca="false">IF(H93="","",INT((H93-WEEK_ONE)/7)+1)</f>
        <v/>
      </c>
      <c r="J93" s="0" t="str">
        <f aca="false">IF(I93="","",IF(OR(I93&lt;1,I93&gt;NW),"",INDEX(WMON,I93)))</f>
        <v/>
      </c>
    </row>
    <row r="94" customFormat="false" ht="15" hidden="false" customHeight="false" outlineLevel="0" collapsed="false">
      <c r="A94" s="43"/>
      <c r="B94" s="23" t="str">
        <f aca="false">IF(H94="","",CHOOSE(WEEKDAY(H94,1),"الأحد","الاثنين","الثلاثاء","الأربعاء","الخميس","الجمعة","السبت")&amp;IF(OR(ISNUMBER(A94),LEN(TRIM(A94))&gt;=10),"","  "&amp;TEXT(DAY(H94),"00")&amp;"/"&amp;TEXT(MONTH(H94),"00")&amp;"/"&amp;YEAR(H94)))</f>
        <v/>
      </c>
      <c r="C94" s="24"/>
      <c r="D94" s="27"/>
      <c r="E94" s="44"/>
      <c r="F94" s="27"/>
      <c r="G94" s="0" t="str">
        <f aca="false">IF(AND(C94&lt;&gt;"",COUNTIF(C$6:C94,C94)=1),MAX(G$5:G93)+1,"")</f>
        <v/>
      </c>
      <c r="H94" s="0" t="str">
        <f aca="true">IF(A94="","",IF(ISNUMBER(A94),IF(A94&gt;=36526,A94,""),IFERROR(DATE(VALUE(RIGHT(RIGHT(TRIM(A94),10),4)),VALUE(MID(RIGHT(TRIM(A94),10),4,2)),VALUE(LEFT(RIGHT(TRIM(A94),10),2))),IFERROR(TODAY()-MOD(WEEKDAY(TODAY(),1)-MATCH(TRIM(A94),{"الأحد","الاثنين","الثلاثاء","الأربعاء","الخميس","الجمعة","السبت"},0),7),IFERROR(DATEVALUE(A94),"")))))</f>
        <v/>
      </c>
      <c r="I94" s="0" t="str">
        <f aca="false">IF(H94="","",INT((H94-WEEK_ONE)/7)+1)</f>
        <v/>
      </c>
      <c r="J94" s="0" t="str">
        <f aca="false">IF(I94="","",IF(OR(I94&lt;1,I94&gt;NW),"",INDEX(WMON,I94)))</f>
        <v/>
      </c>
    </row>
    <row r="95" customFormat="false" ht="15" hidden="false" customHeight="false" outlineLevel="0" collapsed="false">
      <c r="A95" s="43"/>
      <c r="B95" s="23" t="str">
        <f aca="false">IF(H95="","",CHOOSE(WEEKDAY(H95,1),"الأحد","الاثنين","الثلاثاء","الأربعاء","الخميس","الجمعة","السبت")&amp;IF(OR(ISNUMBER(A95),LEN(TRIM(A95))&gt;=10),"","  "&amp;TEXT(DAY(H95),"00")&amp;"/"&amp;TEXT(MONTH(H95),"00")&amp;"/"&amp;YEAR(H95)))</f>
        <v/>
      </c>
      <c r="C95" s="24"/>
      <c r="D95" s="27"/>
      <c r="E95" s="44"/>
      <c r="F95" s="27"/>
      <c r="G95" s="0" t="str">
        <f aca="false">IF(AND(C95&lt;&gt;"",COUNTIF(C$6:C95,C95)=1),MAX(G$5:G94)+1,"")</f>
        <v/>
      </c>
      <c r="H95" s="0" t="str">
        <f aca="true">IF(A95="","",IF(ISNUMBER(A95),IF(A95&gt;=36526,A95,""),IFERROR(DATE(VALUE(RIGHT(RIGHT(TRIM(A95),10),4)),VALUE(MID(RIGHT(TRIM(A95),10),4,2)),VALUE(LEFT(RIGHT(TRIM(A95),10),2))),IFERROR(TODAY()-MOD(WEEKDAY(TODAY(),1)-MATCH(TRIM(A95),{"الأحد","الاثنين","الثلاثاء","الأربعاء","الخميس","الجمعة","السبت"},0),7),IFERROR(DATEVALUE(A95),"")))))</f>
        <v/>
      </c>
      <c r="I95" s="0" t="str">
        <f aca="false">IF(H95="","",INT((H95-WEEK_ONE)/7)+1)</f>
        <v/>
      </c>
      <c r="J95" s="0" t="str">
        <f aca="false">IF(I95="","",IF(OR(I95&lt;1,I95&gt;NW),"",INDEX(WMON,I95)))</f>
        <v/>
      </c>
    </row>
    <row r="96" customFormat="false" ht="15" hidden="false" customHeight="false" outlineLevel="0" collapsed="false">
      <c r="A96" s="43"/>
      <c r="B96" s="23" t="str">
        <f aca="false">IF(H96="","",CHOOSE(WEEKDAY(H96,1),"الأحد","الاثنين","الثلاثاء","الأربعاء","الخميس","الجمعة","السبت")&amp;IF(OR(ISNUMBER(A96),LEN(TRIM(A96))&gt;=10),"","  "&amp;TEXT(DAY(H96),"00")&amp;"/"&amp;TEXT(MONTH(H96),"00")&amp;"/"&amp;YEAR(H96)))</f>
        <v/>
      </c>
      <c r="C96" s="24"/>
      <c r="D96" s="27"/>
      <c r="E96" s="44"/>
      <c r="F96" s="27"/>
      <c r="G96" s="0" t="str">
        <f aca="false">IF(AND(C96&lt;&gt;"",COUNTIF(C$6:C96,C96)=1),MAX(G$5:G95)+1,"")</f>
        <v/>
      </c>
      <c r="H96" s="0" t="str">
        <f aca="true">IF(A96="","",IF(ISNUMBER(A96),IF(A96&gt;=36526,A96,""),IFERROR(DATE(VALUE(RIGHT(RIGHT(TRIM(A96),10),4)),VALUE(MID(RIGHT(TRIM(A96),10),4,2)),VALUE(LEFT(RIGHT(TRIM(A96),10),2))),IFERROR(TODAY()-MOD(WEEKDAY(TODAY(),1)-MATCH(TRIM(A96),{"الأحد","الاثنين","الثلاثاء","الأربعاء","الخميس","الجمعة","السبت"},0),7),IFERROR(DATEVALUE(A96),"")))))</f>
        <v/>
      </c>
      <c r="I96" s="0" t="str">
        <f aca="false">IF(H96="","",INT((H96-WEEK_ONE)/7)+1)</f>
        <v/>
      </c>
      <c r="J96" s="0" t="str">
        <f aca="false">IF(I96="","",IF(OR(I96&lt;1,I96&gt;NW),"",INDEX(WMON,I96)))</f>
        <v/>
      </c>
    </row>
    <row r="97" customFormat="false" ht="15" hidden="false" customHeight="false" outlineLevel="0" collapsed="false">
      <c r="A97" s="43"/>
      <c r="B97" s="23" t="str">
        <f aca="false">IF(H97="","",CHOOSE(WEEKDAY(H97,1),"الأحد","الاثنين","الثلاثاء","الأربعاء","الخميس","الجمعة","السبت")&amp;IF(OR(ISNUMBER(A97),LEN(TRIM(A97))&gt;=10),"","  "&amp;TEXT(DAY(H97),"00")&amp;"/"&amp;TEXT(MONTH(H97),"00")&amp;"/"&amp;YEAR(H97)))</f>
        <v/>
      </c>
      <c r="C97" s="24"/>
      <c r="D97" s="27"/>
      <c r="E97" s="44"/>
      <c r="F97" s="27"/>
      <c r="G97" s="0" t="str">
        <f aca="false">IF(AND(C97&lt;&gt;"",COUNTIF(C$6:C97,C97)=1),MAX(G$5:G96)+1,"")</f>
        <v/>
      </c>
      <c r="H97" s="0" t="str">
        <f aca="true">IF(A97="","",IF(ISNUMBER(A97),IF(A97&gt;=36526,A97,""),IFERROR(DATE(VALUE(RIGHT(RIGHT(TRIM(A97),10),4)),VALUE(MID(RIGHT(TRIM(A97),10),4,2)),VALUE(LEFT(RIGHT(TRIM(A97),10),2))),IFERROR(TODAY()-MOD(WEEKDAY(TODAY(),1)-MATCH(TRIM(A97),{"الأحد","الاثنين","الثلاثاء","الأربعاء","الخميس","الجمعة","السبت"},0),7),IFERROR(DATEVALUE(A97),"")))))</f>
        <v/>
      </c>
      <c r="I97" s="0" t="str">
        <f aca="false">IF(H97="","",INT((H97-WEEK_ONE)/7)+1)</f>
        <v/>
      </c>
      <c r="J97" s="0" t="str">
        <f aca="false">IF(I97="","",IF(OR(I97&lt;1,I97&gt;NW),"",INDEX(WMON,I97)))</f>
        <v/>
      </c>
    </row>
    <row r="98" customFormat="false" ht="15" hidden="false" customHeight="false" outlineLevel="0" collapsed="false">
      <c r="A98" s="43"/>
      <c r="B98" s="23" t="str">
        <f aca="false">IF(H98="","",CHOOSE(WEEKDAY(H98,1),"الأحد","الاثنين","الثلاثاء","الأربعاء","الخميس","الجمعة","السبت")&amp;IF(OR(ISNUMBER(A98),LEN(TRIM(A98))&gt;=10),"","  "&amp;TEXT(DAY(H98),"00")&amp;"/"&amp;TEXT(MONTH(H98),"00")&amp;"/"&amp;YEAR(H98)))</f>
        <v/>
      </c>
      <c r="C98" s="24"/>
      <c r="D98" s="27"/>
      <c r="E98" s="44"/>
      <c r="F98" s="27"/>
      <c r="G98" s="0" t="str">
        <f aca="false">IF(AND(C98&lt;&gt;"",COUNTIF(C$6:C98,C98)=1),MAX(G$5:G97)+1,"")</f>
        <v/>
      </c>
      <c r="H98" s="0" t="str">
        <f aca="true">IF(A98="","",IF(ISNUMBER(A98),IF(A98&gt;=36526,A98,""),IFERROR(DATE(VALUE(RIGHT(RIGHT(TRIM(A98),10),4)),VALUE(MID(RIGHT(TRIM(A98),10),4,2)),VALUE(LEFT(RIGHT(TRIM(A98),10),2))),IFERROR(TODAY()-MOD(WEEKDAY(TODAY(),1)-MATCH(TRIM(A98),{"الأحد","الاثنين","الثلاثاء","الأربعاء","الخميس","الجمعة","السبت"},0),7),IFERROR(DATEVALUE(A98),"")))))</f>
        <v/>
      </c>
      <c r="I98" s="0" t="str">
        <f aca="false">IF(H98="","",INT((H98-WEEK_ONE)/7)+1)</f>
        <v/>
      </c>
      <c r="J98" s="0" t="str">
        <f aca="false">IF(I98="","",IF(OR(I98&lt;1,I98&gt;NW),"",INDEX(WMON,I98)))</f>
        <v/>
      </c>
    </row>
    <row r="99" customFormat="false" ht="15" hidden="false" customHeight="false" outlineLevel="0" collapsed="false">
      <c r="A99" s="43"/>
      <c r="B99" s="23" t="str">
        <f aca="false">IF(H99="","",CHOOSE(WEEKDAY(H99,1),"الأحد","الاثنين","الثلاثاء","الأربعاء","الخميس","الجمعة","السبت")&amp;IF(OR(ISNUMBER(A99),LEN(TRIM(A99))&gt;=10),"","  "&amp;TEXT(DAY(H99),"00")&amp;"/"&amp;TEXT(MONTH(H99),"00")&amp;"/"&amp;YEAR(H99)))</f>
        <v/>
      </c>
      <c r="C99" s="24"/>
      <c r="D99" s="27"/>
      <c r="E99" s="44"/>
      <c r="F99" s="27"/>
      <c r="G99" s="0" t="str">
        <f aca="false">IF(AND(C99&lt;&gt;"",COUNTIF(C$6:C99,C99)=1),MAX(G$5:G98)+1,"")</f>
        <v/>
      </c>
      <c r="H99" s="0" t="str">
        <f aca="true">IF(A99="","",IF(ISNUMBER(A99),IF(A99&gt;=36526,A99,""),IFERROR(DATE(VALUE(RIGHT(RIGHT(TRIM(A99),10),4)),VALUE(MID(RIGHT(TRIM(A99),10),4,2)),VALUE(LEFT(RIGHT(TRIM(A99),10),2))),IFERROR(TODAY()-MOD(WEEKDAY(TODAY(),1)-MATCH(TRIM(A99),{"الأحد","الاثنين","الثلاثاء","الأربعاء","الخميس","الجمعة","السبت"},0),7),IFERROR(DATEVALUE(A99),"")))))</f>
        <v/>
      </c>
      <c r="I99" s="0" t="str">
        <f aca="false">IF(H99="","",INT((H99-WEEK_ONE)/7)+1)</f>
        <v/>
      </c>
      <c r="J99" s="0" t="str">
        <f aca="false">IF(I99="","",IF(OR(I99&lt;1,I99&gt;NW),"",INDEX(WMON,I99)))</f>
        <v/>
      </c>
    </row>
    <row r="100" customFormat="false" ht="15" hidden="false" customHeight="false" outlineLevel="0" collapsed="false">
      <c r="A100" s="43"/>
      <c r="B100" s="23" t="str">
        <f aca="false">IF(H100="","",CHOOSE(WEEKDAY(H100,1),"الأحد","الاثنين","الثلاثاء","الأربعاء","الخميس","الجمعة","السبت")&amp;IF(OR(ISNUMBER(A100),LEN(TRIM(A100))&gt;=10),"","  "&amp;TEXT(DAY(H100),"00")&amp;"/"&amp;TEXT(MONTH(H100),"00")&amp;"/"&amp;YEAR(H100)))</f>
        <v/>
      </c>
      <c r="C100" s="24"/>
      <c r="D100" s="27"/>
      <c r="E100" s="44"/>
      <c r="F100" s="27"/>
      <c r="G100" s="0" t="str">
        <f aca="false">IF(AND(C100&lt;&gt;"",COUNTIF(C$6:C100,C100)=1),MAX(G$5:G99)+1,"")</f>
        <v/>
      </c>
      <c r="H100" s="0" t="str">
        <f aca="true">IF(A100="","",IF(ISNUMBER(A100),IF(A100&gt;=36526,A100,""),IFERROR(DATE(VALUE(RIGHT(RIGHT(TRIM(A100),10),4)),VALUE(MID(RIGHT(TRIM(A100),10),4,2)),VALUE(LEFT(RIGHT(TRIM(A100),10),2))),IFERROR(TODAY()-MOD(WEEKDAY(TODAY(),1)-MATCH(TRIM(A100),{"الأحد","الاثنين","الثلاثاء","الأربعاء","الخميس","الجمعة","السبت"},0),7),IFERROR(DATEVALUE(A100),"")))))</f>
        <v/>
      </c>
      <c r="I100" s="0" t="str">
        <f aca="false">IF(H100="","",INT((H100-WEEK_ONE)/7)+1)</f>
        <v/>
      </c>
      <c r="J100" s="0" t="str">
        <f aca="false">IF(I100="","",IF(OR(I100&lt;1,I100&gt;NW),"",INDEX(WMON,I100)))</f>
        <v/>
      </c>
    </row>
    <row r="101" customFormat="false" ht="15" hidden="false" customHeight="false" outlineLevel="0" collapsed="false">
      <c r="A101" s="43"/>
      <c r="B101" s="23" t="str">
        <f aca="false">IF(H101="","",CHOOSE(WEEKDAY(H101,1),"الأحد","الاثنين","الثلاثاء","الأربعاء","الخميس","الجمعة","السبت")&amp;IF(OR(ISNUMBER(A101),LEN(TRIM(A101))&gt;=10),"","  "&amp;TEXT(DAY(H101),"00")&amp;"/"&amp;TEXT(MONTH(H101),"00")&amp;"/"&amp;YEAR(H101)))</f>
        <v/>
      </c>
      <c r="C101" s="24"/>
      <c r="D101" s="27"/>
      <c r="E101" s="44"/>
      <c r="F101" s="27"/>
      <c r="G101" s="0" t="str">
        <f aca="false">IF(AND(C101&lt;&gt;"",COUNTIF(C$6:C101,C101)=1),MAX(G$5:G100)+1,"")</f>
        <v/>
      </c>
      <c r="H101" s="0" t="str">
        <f aca="true">IF(A101="","",IF(ISNUMBER(A101),IF(A101&gt;=36526,A101,""),IFERROR(DATE(VALUE(RIGHT(RIGHT(TRIM(A101),10),4)),VALUE(MID(RIGHT(TRIM(A101),10),4,2)),VALUE(LEFT(RIGHT(TRIM(A101),10),2))),IFERROR(TODAY()-MOD(WEEKDAY(TODAY(),1)-MATCH(TRIM(A101),{"الأحد","الاثنين","الثلاثاء","الأربعاء","الخميس","الجمعة","السبت"},0),7),IFERROR(DATEVALUE(A101),"")))))</f>
        <v/>
      </c>
      <c r="I101" s="0" t="str">
        <f aca="false">IF(H101="","",INT((H101-WEEK_ONE)/7)+1)</f>
        <v/>
      </c>
      <c r="J101" s="0" t="str">
        <f aca="false">IF(I101="","",IF(OR(I101&lt;1,I101&gt;NW),"",INDEX(WMON,I101)))</f>
        <v/>
      </c>
    </row>
    <row r="102" customFormat="false" ht="15" hidden="false" customHeight="false" outlineLevel="0" collapsed="false">
      <c r="A102" s="43"/>
      <c r="B102" s="23" t="str">
        <f aca="false">IF(H102="","",CHOOSE(WEEKDAY(H102,1),"الأحد","الاثنين","الثلاثاء","الأربعاء","الخميس","الجمعة","السبت")&amp;IF(OR(ISNUMBER(A102),LEN(TRIM(A102))&gt;=10),"","  "&amp;TEXT(DAY(H102),"00")&amp;"/"&amp;TEXT(MONTH(H102),"00")&amp;"/"&amp;YEAR(H102)))</f>
        <v/>
      </c>
      <c r="C102" s="24"/>
      <c r="D102" s="27"/>
      <c r="E102" s="44"/>
      <c r="F102" s="27"/>
      <c r="G102" s="0" t="str">
        <f aca="false">IF(AND(C102&lt;&gt;"",COUNTIF(C$6:C102,C102)=1),MAX(G$5:G101)+1,"")</f>
        <v/>
      </c>
      <c r="H102" s="0" t="str">
        <f aca="true">IF(A102="","",IF(ISNUMBER(A102),IF(A102&gt;=36526,A102,""),IFERROR(DATE(VALUE(RIGHT(RIGHT(TRIM(A102),10),4)),VALUE(MID(RIGHT(TRIM(A102),10),4,2)),VALUE(LEFT(RIGHT(TRIM(A102),10),2))),IFERROR(TODAY()-MOD(WEEKDAY(TODAY(),1)-MATCH(TRIM(A102),{"الأحد","الاثنين","الثلاثاء","الأربعاء","الخميس","الجمعة","السبت"},0),7),IFERROR(DATEVALUE(A102),"")))))</f>
        <v/>
      </c>
      <c r="I102" s="0" t="str">
        <f aca="false">IF(H102="","",INT((H102-WEEK_ONE)/7)+1)</f>
        <v/>
      </c>
      <c r="J102" s="0" t="str">
        <f aca="false">IF(I102="","",IF(OR(I102&lt;1,I102&gt;NW),"",INDEX(WMON,I102)))</f>
        <v/>
      </c>
    </row>
    <row r="103" customFormat="false" ht="15" hidden="false" customHeight="false" outlineLevel="0" collapsed="false">
      <c r="A103" s="43"/>
      <c r="B103" s="23" t="str">
        <f aca="false">IF(H103="","",CHOOSE(WEEKDAY(H103,1),"الأحد","الاثنين","الثلاثاء","الأربعاء","الخميس","الجمعة","السبت")&amp;IF(OR(ISNUMBER(A103),LEN(TRIM(A103))&gt;=10),"","  "&amp;TEXT(DAY(H103),"00")&amp;"/"&amp;TEXT(MONTH(H103),"00")&amp;"/"&amp;YEAR(H103)))</f>
        <v/>
      </c>
      <c r="C103" s="24"/>
      <c r="D103" s="27"/>
      <c r="E103" s="44"/>
      <c r="F103" s="27"/>
      <c r="G103" s="0" t="str">
        <f aca="false">IF(AND(C103&lt;&gt;"",COUNTIF(C$6:C103,C103)=1),MAX(G$5:G102)+1,"")</f>
        <v/>
      </c>
      <c r="H103" s="0" t="str">
        <f aca="true">IF(A103="","",IF(ISNUMBER(A103),IF(A103&gt;=36526,A103,""),IFERROR(DATE(VALUE(RIGHT(RIGHT(TRIM(A103),10),4)),VALUE(MID(RIGHT(TRIM(A103),10),4,2)),VALUE(LEFT(RIGHT(TRIM(A103),10),2))),IFERROR(TODAY()-MOD(WEEKDAY(TODAY(),1)-MATCH(TRIM(A103),{"الأحد","الاثنين","الثلاثاء","الأربعاء","الخميس","الجمعة","السبت"},0),7),IFERROR(DATEVALUE(A103),"")))))</f>
        <v/>
      </c>
      <c r="I103" s="0" t="str">
        <f aca="false">IF(H103="","",INT((H103-WEEK_ONE)/7)+1)</f>
        <v/>
      </c>
      <c r="J103" s="0" t="str">
        <f aca="false">IF(I103="","",IF(OR(I103&lt;1,I103&gt;NW),"",INDEX(WMON,I103)))</f>
        <v/>
      </c>
    </row>
    <row r="104" customFormat="false" ht="15" hidden="false" customHeight="false" outlineLevel="0" collapsed="false">
      <c r="A104" s="43"/>
      <c r="B104" s="23" t="str">
        <f aca="false">IF(H104="","",CHOOSE(WEEKDAY(H104,1),"الأحد","الاثنين","الثلاثاء","الأربعاء","الخميس","الجمعة","السبت")&amp;IF(OR(ISNUMBER(A104),LEN(TRIM(A104))&gt;=10),"","  "&amp;TEXT(DAY(H104),"00")&amp;"/"&amp;TEXT(MONTH(H104),"00")&amp;"/"&amp;YEAR(H104)))</f>
        <v/>
      </c>
      <c r="C104" s="24"/>
      <c r="D104" s="27"/>
      <c r="E104" s="44"/>
      <c r="F104" s="27"/>
      <c r="G104" s="0" t="str">
        <f aca="false">IF(AND(C104&lt;&gt;"",COUNTIF(C$6:C104,C104)=1),MAX(G$5:G103)+1,"")</f>
        <v/>
      </c>
      <c r="H104" s="0" t="str">
        <f aca="true">IF(A104="","",IF(ISNUMBER(A104),IF(A104&gt;=36526,A104,""),IFERROR(DATE(VALUE(RIGHT(RIGHT(TRIM(A104),10),4)),VALUE(MID(RIGHT(TRIM(A104),10),4,2)),VALUE(LEFT(RIGHT(TRIM(A104),10),2))),IFERROR(TODAY()-MOD(WEEKDAY(TODAY(),1)-MATCH(TRIM(A104),{"الأحد","الاثنين","الثلاثاء","الأربعاء","الخميس","الجمعة","السبت"},0),7),IFERROR(DATEVALUE(A104),"")))))</f>
        <v/>
      </c>
      <c r="I104" s="0" t="str">
        <f aca="false">IF(H104="","",INT((H104-WEEK_ONE)/7)+1)</f>
        <v/>
      </c>
      <c r="J104" s="0" t="str">
        <f aca="false">IF(I104="","",IF(OR(I104&lt;1,I104&gt;NW),"",INDEX(WMON,I104)))</f>
        <v/>
      </c>
    </row>
    <row r="105" customFormat="false" ht="15" hidden="false" customHeight="false" outlineLevel="0" collapsed="false">
      <c r="A105" s="43"/>
      <c r="B105" s="23" t="str">
        <f aca="false">IF(H105="","",CHOOSE(WEEKDAY(H105,1),"الأحد","الاثنين","الثلاثاء","الأربعاء","الخميس","الجمعة","السبت")&amp;IF(OR(ISNUMBER(A105),LEN(TRIM(A105))&gt;=10),"","  "&amp;TEXT(DAY(H105),"00")&amp;"/"&amp;TEXT(MONTH(H105),"00")&amp;"/"&amp;YEAR(H105)))</f>
        <v/>
      </c>
      <c r="C105" s="24"/>
      <c r="D105" s="27"/>
      <c r="E105" s="44"/>
      <c r="F105" s="27"/>
      <c r="G105" s="0" t="str">
        <f aca="false">IF(AND(C105&lt;&gt;"",COUNTIF(C$6:C105,C105)=1),MAX(G$5:G104)+1,"")</f>
        <v/>
      </c>
      <c r="H105" s="0" t="str">
        <f aca="true">IF(A105="","",IF(ISNUMBER(A105),IF(A105&gt;=36526,A105,""),IFERROR(DATE(VALUE(RIGHT(RIGHT(TRIM(A105),10),4)),VALUE(MID(RIGHT(TRIM(A105),10),4,2)),VALUE(LEFT(RIGHT(TRIM(A105),10),2))),IFERROR(TODAY()-MOD(WEEKDAY(TODAY(),1)-MATCH(TRIM(A105),{"الأحد","الاثنين","الثلاثاء","الأربعاء","الخميس","الجمعة","السبت"},0),7),IFERROR(DATEVALUE(A105),"")))))</f>
        <v/>
      </c>
      <c r="I105" s="0" t="str">
        <f aca="false">IF(H105="","",INT((H105-WEEK_ONE)/7)+1)</f>
        <v/>
      </c>
      <c r="J105" s="0" t="str">
        <f aca="false">IF(I105="","",IF(OR(I105&lt;1,I105&gt;NW),"",INDEX(WMON,I105)))</f>
        <v/>
      </c>
    </row>
    <row r="106" customFormat="false" ht="15" hidden="false" customHeight="false" outlineLevel="0" collapsed="false">
      <c r="A106" s="43"/>
      <c r="B106" s="23" t="str">
        <f aca="false">IF(H106="","",CHOOSE(WEEKDAY(H106,1),"الأحد","الاثنين","الثلاثاء","الأربعاء","الخميس","الجمعة","السبت")&amp;IF(OR(ISNUMBER(A106),LEN(TRIM(A106))&gt;=10),"","  "&amp;TEXT(DAY(H106),"00")&amp;"/"&amp;TEXT(MONTH(H106),"00")&amp;"/"&amp;YEAR(H106)))</f>
        <v/>
      </c>
      <c r="C106" s="24"/>
      <c r="D106" s="27"/>
      <c r="E106" s="44"/>
      <c r="F106" s="27"/>
      <c r="G106" s="0" t="str">
        <f aca="false">IF(AND(C106&lt;&gt;"",COUNTIF(C$6:C106,C106)=1),MAX(G$5:G105)+1,"")</f>
        <v/>
      </c>
      <c r="H106" s="0" t="str">
        <f aca="true">IF(A106="","",IF(ISNUMBER(A106),IF(A106&gt;=36526,A106,""),IFERROR(DATE(VALUE(RIGHT(RIGHT(TRIM(A106),10),4)),VALUE(MID(RIGHT(TRIM(A106),10),4,2)),VALUE(LEFT(RIGHT(TRIM(A106),10),2))),IFERROR(TODAY()-MOD(WEEKDAY(TODAY(),1)-MATCH(TRIM(A106),{"الأحد","الاثنين","الثلاثاء","الأربعاء","الخميس","الجمعة","السبت"},0),7),IFERROR(DATEVALUE(A106),"")))))</f>
        <v/>
      </c>
      <c r="I106" s="0" t="str">
        <f aca="false">IF(H106="","",INT((H106-WEEK_ONE)/7)+1)</f>
        <v/>
      </c>
      <c r="J106" s="0" t="str">
        <f aca="false">IF(I106="","",IF(OR(I106&lt;1,I106&gt;NW),"",INDEX(WMON,I106)))</f>
        <v/>
      </c>
    </row>
    <row r="107" customFormat="false" ht="15" hidden="false" customHeight="false" outlineLevel="0" collapsed="false">
      <c r="A107" s="43"/>
      <c r="B107" s="23" t="str">
        <f aca="false">IF(H107="","",CHOOSE(WEEKDAY(H107,1),"الأحد","الاثنين","الثلاثاء","الأربعاء","الخميس","الجمعة","السبت")&amp;IF(OR(ISNUMBER(A107),LEN(TRIM(A107))&gt;=10),"","  "&amp;TEXT(DAY(H107),"00")&amp;"/"&amp;TEXT(MONTH(H107),"00")&amp;"/"&amp;YEAR(H107)))</f>
        <v/>
      </c>
      <c r="C107" s="24"/>
      <c r="D107" s="27"/>
      <c r="E107" s="44"/>
      <c r="F107" s="27"/>
      <c r="G107" s="0" t="str">
        <f aca="false">IF(AND(C107&lt;&gt;"",COUNTIF(C$6:C107,C107)=1),MAX(G$5:G106)+1,"")</f>
        <v/>
      </c>
      <c r="H107" s="0" t="str">
        <f aca="true">IF(A107="","",IF(ISNUMBER(A107),IF(A107&gt;=36526,A107,""),IFERROR(DATE(VALUE(RIGHT(RIGHT(TRIM(A107),10),4)),VALUE(MID(RIGHT(TRIM(A107),10),4,2)),VALUE(LEFT(RIGHT(TRIM(A107),10),2))),IFERROR(TODAY()-MOD(WEEKDAY(TODAY(),1)-MATCH(TRIM(A107),{"الأحد","الاثنين","الثلاثاء","الأربعاء","الخميس","الجمعة","السبت"},0),7),IFERROR(DATEVALUE(A107),"")))))</f>
        <v/>
      </c>
      <c r="I107" s="0" t="str">
        <f aca="false">IF(H107="","",INT((H107-WEEK_ONE)/7)+1)</f>
        <v/>
      </c>
      <c r="J107" s="0" t="str">
        <f aca="false">IF(I107="","",IF(OR(I107&lt;1,I107&gt;NW),"",INDEX(WMON,I107)))</f>
        <v/>
      </c>
    </row>
    <row r="108" customFormat="false" ht="15" hidden="false" customHeight="false" outlineLevel="0" collapsed="false">
      <c r="A108" s="43"/>
      <c r="B108" s="23" t="str">
        <f aca="false">IF(H108="","",CHOOSE(WEEKDAY(H108,1),"الأحد","الاثنين","الثلاثاء","الأربعاء","الخميس","الجمعة","السبت")&amp;IF(OR(ISNUMBER(A108),LEN(TRIM(A108))&gt;=10),"","  "&amp;TEXT(DAY(H108),"00")&amp;"/"&amp;TEXT(MONTH(H108),"00")&amp;"/"&amp;YEAR(H108)))</f>
        <v/>
      </c>
      <c r="C108" s="24"/>
      <c r="D108" s="27"/>
      <c r="E108" s="44"/>
      <c r="F108" s="27"/>
      <c r="G108" s="0" t="str">
        <f aca="false">IF(AND(C108&lt;&gt;"",COUNTIF(C$6:C108,C108)=1),MAX(G$5:G107)+1,"")</f>
        <v/>
      </c>
      <c r="H108" s="0" t="str">
        <f aca="true">IF(A108="","",IF(ISNUMBER(A108),IF(A108&gt;=36526,A108,""),IFERROR(DATE(VALUE(RIGHT(RIGHT(TRIM(A108),10),4)),VALUE(MID(RIGHT(TRIM(A108),10),4,2)),VALUE(LEFT(RIGHT(TRIM(A108),10),2))),IFERROR(TODAY()-MOD(WEEKDAY(TODAY(),1)-MATCH(TRIM(A108),{"الأحد","الاثنين","الثلاثاء","الأربعاء","الخميس","الجمعة","السبت"},0),7),IFERROR(DATEVALUE(A108),"")))))</f>
        <v/>
      </c>
      <c r="I108" s="0" t="str">
        <f aca="false">IF(H108="","",INT((H108-WEEK_ONE)/7)+1)</f>
        <v/>
      </c>
      <c r="J108" s="0" t="str">
        <f aca="false">IF(I108="","",IF(OR(I108&lt;1,I108&gt;NW),"",INDEX(WMON,I108)))</f>
        <v/>
      </c>
    </row>
    <row r="109" customFormat="false" ht="15" hidden="false" customHeight="false" outlineLevel="0" collapsed="false">
      <c r="A109" s="43"/>
      <c r="B109" s="23" t="str">
        <f aca="false">IF(H109="","",CHOOSE(WEEKDAY(H109,1),"الأحد","الاثنين","الثلاثاء","الأربعاء","الخميس","الجمعة","السبت")&amp;IF(OR(ISNUMBER(A109),LEN(TRIM(A109))&gt;=10),"","  "&amp;TEXT(DAY(H109),"00")&amp;"/"&amp;TEXT(MONTH(H109),"00")&amp;"/"&amp;YEAR(H109)))</f>
        <v/>
      </c>
      <c r="C109" s="24"/>
      <c r="D109" s="27"/>
      <c r="E109" s="44"/>
      <c r="F109" s="27"/>
      <c r="G109" s="0" t="str">
        <f aca="false">IF(AND(C109&lt;&gt;"",COUNTIF(C$6:C109,C109)=1),MAX(G$5:G108)+1,"")</f>
        <v/>
      </c>
      <c r="H109" s="0" t="str">
        <f aca="true">IF(A109="","",IF(ISNUMBER(A109),IF(A109&gt;=36526,A109,""),IFERROR(DATE(VALUE(RIGHT(RIGHT(TRIM(A109),10),4)),VALUE(MID(RIGHT(TRIM(A109),10),4,2)),VALUE(LEFT(RIGHT(TRIM(A109),10),2))),IFERROR(TODAY()-MOD(WEEKDAY(TODAY(),1)-MATCH(TRIM(A109),{"الأحد","الاثنين","الثلاثاء","الأربعاء","الخميس","الجمعة","السبت"},0),7),IFERROR(DATEVALUE(A109),"")))))</f>
        <v/>
      </c>
      <c r="I109" s="0" t="str">
        <f aca="false">IF(H109="","",INT((H109-WEEK_ONE)/7)+1)</f>
        <v/>
      </c>
      <c r="J109" s="0" t="str">
        <f aca="false">IF(I109="","",IF(OR(I109&lt;1,I109&gt;NW),"",INDEX(WMON,I109)))</f>
        <v/>
      </c>
    </row>
    <row r="110" customFormat="false" ht="15" hidden="false" customHeight="false" outlineLevel="0" collapsed="false">
      <c r="A110" s="43"/>
      <c r="B110" s="23" t="str">
        <f aca="false">IF(H110="","",CHOOSE(WEEKDAY(H110,1),"الأحد","الاثنين","الثلاثاء","الأربعاء","الخميس","الجمعة","السبت")&amp;IF(OR(ISNUMBER(A110),LEN(TRIM(A110))&gt;=10),"","  "&amp;TEXT(DAY(H110),"00")&amp;"/"&amp;TEXT(MONTH(H110),"00")&amp;"/"&amp;YEAR(H110)))</f>
        <v/>
      </c>
      <c r="C110" s="24"/>
      <c r="D110" s="27"/>
      <c r="E110" s="44"/>
      <c r="F110" s="27"/>
      <c r="G110" s="0" t="str">
        <f aca="false">IF(AND(C110&lt;&gt;"",COUNTIF(C$6:C110,C110)=1),MAX(G$5:G109)+1,"")</f>
        <v/>
      </c>
      <c r="H110" s="0" t="str">
        <f aca="true">IF(A110="","",IF(ISNUMBER(A110),IF(A110&gt;=36526,A110,""),IFERROR(DATE(VALUE(RIGHT(RIGHT(TRIM(A110),10),4)),VALUE(MID(RIGHT(TRIM(A110),10),4,2)),VALUE(LEFT(RIGHT(TRIM(A110),10),2))),IFERROR(TODAY()-MOD(WEEKDAY(TODAY(),1)-MATCH(TRIM(A110),{"الأحد","الاثنين","الثلاثاء","الأربعاء","الخميس","الجمعة","السبت"},0),7),IFERROR(DATEVALUE(A110),"")))))</f>
        <v/>
      </c>
      <c r="I110" s="0" t="str">
        <f aca="false">IF(H110="","",INT((H110-WEEK_ONE)/7)+1)</f>
        <v/>
      </c>
      <c r="J110" s="0" t="str">
        <f aca="false">IF(I110="","",IF(OR(I110&lt;1,I110&gt;NW),"",INDEX(WMON,I110)))</f>
        <v/>
      </c>
    </row>
    <row r="111" customFormat="false" ht="15" hidden="false" customHeight="false" outlineLevel="0" collapsed="false">
      <c r="A111" s="43"/>
      <c r="B111" s="23" t="str">
        <f aca="false">IF(H111="","",CHOOSE(WEEKDAY(H111,1),"الأحد","الاثنين","الثلاثاء","الأربعاء","الخميس","الجمعة","السبت")&amp;IF(OR(ISNUMBER(A111),LEN(TRIM(A111))&gt;=10),"","  "&amp;TEXT(DAY(H111),"00")&amp;"/"&amp;TEXT(MONTH(H111),"00")&amp;"/"&amp;YEAR(H111)))</f>
        <v/>
      </c>
      <c r="C111" s="24"/>
      <c r="D111" s="27"/>
      <c r="E111" s="44"/>
      <c r="F111" s="27"/>
      <c r="G111" s="0" t="str">
        <f aca="false">IF(AND(C111&lt;&gt;"",COUNTIF(C$6:C111,C111)=1),MAX(G$5:G110)+1,"")</f>
        <v/>
      </c>
      <c r="H111" s="0" t="str">
        <f aca="true">IF(A111="","",IF(ISNUMBER(A111),IF(A111&gt;=36526,A111,""),IFERROR(DATE(VALUE(RIGHT(RIGHT(TRIM(A111),10),4)),VALUE(MID(RIGHT(TRIM(A111),10),4,2)),VALUE(LEFT(RIGHT(TRIM(A111),10),2))),IFERROR(TODAY()-MOD(WEEKDAY(TODAY(),1)-MATCH(TRIM(A111),{"الأحد","الاثنين","الثلاثاء","الأربعاء","الخميس","الجمعة","السبت"},0),7),IFERROR(DATEVALUE(A111),"")))))</f>
        <v/>
      </c>
      <c r="I111" s="0" t="str">
        <f aca="false">IF(H111="","",INT((H111-WEEK_ONE)/7)+1)</f>
        <v/>
      </c>
      <c r="J111" s="0" t="str">
        <f aca="false">IF(I111="","",IF(OR(I111&lt;1,I111&gt;NW),"",INDEX(WMON,I111)))</f>
        <v/>
      </c>
    </row>
    <row r="112" customFormat="false" ht="15" hidden="false" customHeight="false" outlineLevel="0" collapsed="false">
      <c r="A112" s="43"/>
      <c r="B112" s="23" t="str">
        <f aca="false">IF(H112="","",CHOOSE(WEEKDAY(H112,1),"الأحد","الاثنين","الثلاثاء","الأربعاء","الخميس","الجمعة","السبت")&amp;IF(OR(ISNUMBER(A112),LEN(TRIM(A112))&gt;=10),"","  "&amp;TEXT(DAY(H112),"00")&amp;"/"&amp;TEXT(MONTH(H112),"00")&amp;"/"&amp;YEAR(H112)))</f>
        <v/>
      </c>
      <c r="C112" s="24"/>
      <c r="D112" s="27"/>
      <c r="E112" s="44"/>
      <c r="F112" s="27"/>
      <c r="G112" s="0" t="str">
        <f aca="false">IF(AND(C112&lt;&gt;"",COUNTIF(C$6:C112,C112)=1),MAX(G$5:G111)+1,"")</f>
        <v/>
      </c>
      <c r="H112" s="0" t="str">
        <f aca="true">IF(A112="","",IF(ISNUMBER(A112),IF(A112&gt;=36526,A112,""),IFERROR(DATE(VALUE(RIGHT(RIGHT(TRIM(A112),10),4)),VALUE(MID(RIGHT(TRIM(A112),10),4,2)),VALUE(LEFT(RIGHT(TRIM(A112),10),2))),IFERROR(TODAY()-MOD(WEEKDAY(TODAY(),1)-MATCH(TRIM(A112),{"الأحد","الاثنين","الثلاثاء","الأربعاء","الخميس","الجمعة","السبت"},0),7),IFERROR(DATEVALUE(A112),"")))))</f>
        <v/>
      </c>
      <c r="I112" s="0" t="str">
        <f aca="false">IF(H112="","",INT((H112-WEEK_ONE)/7)+1)</f>
        <v/>
      </c>
      <c r="J112" s="0" t="str">
        <f aca="false">IF(I112="","",IF(OR(I112&lt;1,I112&gt;NW),"",INDEX(WMON,I112)))</f>
        <v/>
      </c>
    </row>
    <row r="113" customFormat="false" ht="15" hidden="false" customHeight="false" outlineLevel="0" collapsed="false">
      <c r="A113" s="43"/>
      <c r="B113" s="23" t="str">
        <f aca="false">IF(H113="","",CHOOSE(WEEKDAY(H113,1),"الأحد","الاثنين","الثلاثاء","الأربعاء","الخميس","الجمعة","السبت")&amp;IF(OR(ISNUMBER(A113),LEN(TRIM(A113))&gt;=10),"","  "&amp;TEXT(DAY(H113),"00")&amp;"/"&amp;TEXT(MONTH(H113),"00")&amp;"/"&amp;YEAR(H113)))</f>
        <v/>
      </c>
      <c r="C113" s="24"/>
      <c r="D113" s="27"/>
      <c r="E113" s="44"/>
      <c r="F113" s="27"/>
      <c r="G113" s="0" t="str">
        <f aca="false">IF(AND(C113&lt;&gt;"",COUNTIF(C$6:C113,C113)=1),MAX(G$5:G112)+1,"")</f>
        <v/>
      </c>
      <c r="H113" s="0" t="str">
        <f aca="true">IF(A113="","",IF(ISNUMBER(A113),IF(A113&gt;=36526,A113,""),IFERROR(DATE(VALUE(RIGHT(RIGHT(TRIM(A113),10),4)),VALUE(MID(RIGHT(TRIM(A113),10),4,2)),VALUE(LEFT(RIGHT(TRIM(A113),10),2))),IFERROR(TODAY()-MOD(WEEKDAY(TODAY(),1)-MATCH(TRIM(A113),{"الأحد","الاثنين","الثلاثاء","الأربعاء","الخميس","الجمعة","السبت"},0),7),IFERROR(DATEVALUE(A113),"")))))</f>
        <v/>
      </c>
      <c r="I113" s="0" t="str">
        <f aca="false">IF(H113="","",INT((H113-WEEK_ONE)/7)+1)</f>
        <v/>
      </c>
      <c r="J113" s="0" t="str">
        <f aca="false">IF(I113="","",IF(OR(I113&lt;1,I113&gt;NW),"",INDEX(WMON,I113)))</f>
        <v/>
      </c>
    </row>
    <row r="114" customFormat="false" ht="15" hidden="false" customHeight="false" outlineLevel="0" collapsed="false">
      <c r="A114" s="43"/>
      <c r="B114" s="23" t="str">
        <f aca="false">IF(H114="","",CHOOSE(WEEKDAY(H114,1),"الأحد","الاثنين","الثلاثاء","الأربعاء","الخميس","الجمعة","السبت")&amp;IF(OR(ISNUMBER(A114),LEN(TRIM(A114))&gt;=10),"","  "&amp;TEXT(DAY(H114),"00")&amp;"/"&amp;TEXT(MONTH(H114),"00")&amp;"/"&amp;YEAR(H114)))</f>
        <v/>
      </c>
      <c r="C114" s="24"/>
      <c r="D114" s="27"/>
      <c r="E114" s="44"/>
      <c r="F114" s="27"/>
      <c r="G114" s="0" t="str">
        <f aca="false">IF(AND(C114&lt;&gt;"",COUNTIF(C$6:C114,C114)=1),MAX(G$5:G113)+1,"")</f>
        <v/>
      </c>
      <c r="H114" s="0" t="str">
        <f aca="true">IF(A114="","",IF(ISNUMBER(A114),IF(A114&gt;=36526,A114,""),IFERROR(DATE(VALUE(RIGHT(RIGHT(TRIM(A114),10),4)),VALUE(MID(RIGHT(TRIM(A114),10),4,2)),VALUE(LEFT(RIGHT(TRIM(A114),10),2))),IFERROR(TODAY()-MOD(WEEKDAY(TODAY(),1)-MATCH(TRIM(A114),{"الأحد","الاثنين","الثلاثاء","الأربعاء","الخميس","الجمعة","السبت"},0),7),IFERROR(DATEVALUE(A114),"")))))</f>
        <v/>
      </c>
      <c r="I114" s="0" t="str">
        <f aca="false">IF(H114="","",INT((H114-WEEK_ONE)/7)+1)</f>
        <v/>
      </c>
      <c r="J114" s="0" t="str">
        <f aca="false">IF(I114="","",IF(OR(I114&lt;1,I114&gt;NW),"",INDEX(WMON,I114)))</f>
        <v/>
      </c>
    </row>
    <row r="115" customFormat="false" ht="15" hidden="false" customHeight="false" outlineLevel="0" collapsed="false">
      <c r="A115" s="43"/>
      <c r="B115" s="23" t="str">
        <f aca="false">IF(H115="","",CHOOSE(WEEKDAY(H115,1),"الأحد","الاثنين","الثلاثاء","الأربعاء","الخميس","الجمعة","السبت")&amp;IF(OR(ISNUMBER(A115),LEN(TRIM(A115))&gt;=10),"","  "&amp;TEXT(DAY(H115),"00")&amp;"/"&amp;TEXT(MONTH(H115),"00")&amp;"/"&amp;YEAR(H115)))</f>
        <v/>
      </c>
      <c r="C115" s="24"/>
      <c r="D115" s="27"/>
      <c r="E115" s="44"/>
      <c r="F115" s="27"/>
      <c r="G115" s="0" t="str">
        <f aca="false">IF(AND(C115&lt;&gt;"",COUNTIF(C$6:C115,C115)=1),MAX(G$5:G114)+1,"")</f>
        <v/>
      </c>
      <c r="H115" s="0" t="str">
        <f aca="true">IF(A115="","",IF(ISNUMBER(A115),IF(A115&gt;=36526,A115,""),IFERROR(DATE(VALUE(RIGHT(RIGHT(TRIM(A115),10),4)),VALUE(MID(RIGHT(TRIM(A115),10),4,2)),VALUE(LEFT(RIGHT(TRIM(A115),10),2))),IFERROR(TODAY()-MOD(WEEKDAY(TODAY(),1)-MATCH(TRIM(A115),{"الأحد","الاثنين","الثلاثاء","الأربعاء","الخميس","الجمعة","السبت"},0),7),IFERROR(DATEVALUE(A115),"")))))</f>
        <v/>
      </c>
      <c r="I115" s="0" t="str">
        <f aca="false">IF(H115="","",INT((H115-WEEK_ONE)/7)+1)</f>
        <v/>
      </c>
      <c r="J115" s="0" t="str">
        <f aca="false">IF(I115="","",IF(OR(I115&lt;1,I115&gt;NW),"",INDEX(WMON,I115)))</f>
        <v/>
      </c>
    </row>
    <row r="116" customFormat="false" ht="15" hidden="false" customHeight="false" outlineLevel="0" collapsed="false">
      <c r="A116" s="43"/>
      <c r="B116" s="23" t="str">
        <f aca="false">IF(H116="","",CHOOSE(WEEKDAY(H116,1),"الأحد","الاثنين","الثلاثاء","الأربعاء","الخميس","الجمعة","السبت")&amp;IF(OR(ISNUMBER(A116),LEN(TRIM(A116))&gt;=10),"","  "&amp;TEXT(DAY(H116),"00")&amp;"/"&amp;TEXT(MONTH(H116),"00")&amp;"/"&amp;YEAR(H116)))</f>
        <v/>
      </c>
      <c r="C116" s="24"/>
      <c r="D116" s="27"/>
      <c r="E116" s="44"/>
      <c r="F116" s="27"/>
      <c r="G116" s="0" t="str">
        <f aca="false">IF(AND(C116&lt;&gt;"",COUNTIF(C$6:C116,C116)=1),MAX(G$5:G115)+1,"")</f>
        <v/>
      </c>
      <c r="H116" s="0" t="str">
        <f aca="true">IF(A116="","",IF(ISNUMBER(A116),IF(A116&gt;=36526,A116,""),IFERROR(DATE(VALUE(RIGHT(RIGHT(TRIM(A116),10),4)),VALUE(MID(RIGHT(TRIM(A116),10),4,2)),VALUE(LEFT(RIGHT(TRIM(A116),10),2))),IFERROR(TODAY()-MOD(WEEKDAY(TODAY(),1)-MATCH(TRIM(A116),{"الأحد","الاثنين","الثلاثاء","الأربعاء","الخميس","الجمعة","السبت"},0),7),IFERROR(DATEVALUE(A116),"")))))</f>
        <v/>
      </c>
      <c r="I116" s="0" t="str">
        <f aca="false">IF(H116="","",INT((H116-WEEK_ONE)/7)+1)</f>
        <v/>
      </c>
      <c r="J116" s="0" t="str">
        <f aca="false">IF(I116="","",IF(OR(I116&lt;1,I116&gt;NW),"",INDEX(WMON,I116)))</f>
        <v/>
      </c>
    </row>
    <row r="117" customFormat="false" ht="15" hidden="false" customHeight="false" outlineLevel="0" collapsed="false">
      <c r="A117" s="43"/>
      <c r="B117" s="23" t="str">
        <f aca="false">IF(H117="","",CHOOSE(WEEKDAY(H117,1),"الأحد","الاثنين","الثلاثاء","الأربعاء","الخميس","الجمعة","السبت")&amp;IF(OR(ISNUMBER(A117),LEN(TRIM(A117))&gt;=10),"","  "&amp;TEXT(DAY(H117),"00")&amp;"/"&amp;TEXT(MONTH(H117),"00")&amp;"/"&amp;YEAR(H117)))</f>
        <v/>
      </c>
      <c r="C117" s="24"/>
      <c r="D117" s="27"/>
      <c r="E117" s="44"/>
      <c r="F117" s="27"/>
      <c r="G117" s="0" t="str">
        <f aca="false">IF(AND(C117&lt;&gt;"",COUNTIF(C$6:C117,C117)=1),MAX(G$5:G116)+1,"")</f>
        <v/>
      </c>
      <c r="H117" s="0" t="str">
        <f aca="true">IF(A117="","",IF(ISNUMBER(A117),IF(A117&gt;=36526,A117,""),IFERROR(DATE(VALUE(RIGHT(RIGHT(TRIM(A117),10),4)),VALUE(MID(RIGHT(TRIM(A117),10),4,2)),VALUE(LEFT(RIGHT(TRIM(A117),10),2))),IFERROR(TODAY()-MOD(WEEKDAY(TODAY(),1)-MATCH(TRIM(A117),{"الأحد","الاثنين","الثلاثاء","الأربعاء","الخميس","الجمعة","السبت"},0),7),IFERROR(DATEVALUE(A117),"")))))</f>
        <v/>
      </c>
      <c r="I117" s="0" t="str">
        <f aca="false">IF(H117="","",INT((H117-WEEK_ONE)/7)+1)</f>
        <v/>
      </c>
      <c r="J117" s="0" t="str">
        <f aca="false">IF(I117="","",IF(OR(I117&lt;1,I117&gt;NW),"",INDEX(WMON,I117)))</f>
        <v/>
      </c>
    </row>
    <row r="118" customFormat="false" ht="15" hidden="false" customHeight="false" outlineLevel="0" collapsed="false">
      <c r="A118" s="43"/>
      <c r="B118" s="23" t="str">
        <f aca="false">IF(H118="","",CHOOSE(WEEKDAY(H118,1),"الأحد","الاثنين","الثلاثاء","الأربعاء","الخميس","الجمعة","السبت")&amp;IF(OR(ISNUMBER(A118),LEN(TRIM(A118))&gt;=10),"","  "&amp;TEXT(DAY(H118),"00")&amp;"/"&amp;TEXT(MONTH(H118),"00")&amp;"/"&amp;YEAR(H118)))</f>
        <v/>
      </c>
      <c r="C118" s="24"/>
      <c r="D118" s="27"/>
      <c r="E118" s="44"/>
      <c r="F118" s="27"/>
      <c r="G118" s="0" t="str">
        <f aca="false">IF(AND(C118&lt;&gt;"",COUNTIF(C$6:C118,C118)=1),MAX(G$5:G117)+1,"")</f>
        <v/>
      </c>
      <c r="H118" s="0" t="str">
        <f aca="true">IF(A118="","",IF(ISNUMBER(A118),IF(A118&gt;=36526,A118,""),IFERROR(DATE(VALUE(RIGHT(RIGHT(TRIM(A118),10),4)),VALUE(MID(RIGHT(TRIM(A118),10),4,2)),VALUE(LEFT(RIGHT(TRIM(A118),10),2))),IFERROR(TODAY()-MOD(WEEKDAY(TODAY(),1)-MATCH(TRIM(A118),{"الأحد","الاثنين","الثلاثاء","الأربعاء","الخميس","الجمعة","السبت"},0),7),IFERROR(DATEVALUE(A118),"")))))</f>
        <v/>
      </c>
      <c r="I118" s="0" t="str">
        <f aca="false">IF(H118="","",INT((H118-WEEK_ONE)/7)+1)</f>
        <v/>
      </c>
      <c r="J118" s="0" t="str">
        <f aca="false">IF(I118="","",IF(OR(I118&lt;1,I118&gt;NW),"",INDEX(WMON,I118)))</f>
        <v/>
      </c>
    </row>
    <row r="119" customFormat="false" ht="15" hidden="false" customHeight="false" outlineLevel="0" collapsed="false">
      <c r="A119" s="43"/>
      <c r="B119" s="23" t="str">
        <f aca="false">IF(H119="","",CHOOSE(WEEKDAY(H119,1),"الأحد","الاثنين","الثلاثاء","الأربعاء","الخميس","الجمعة","السبت")&amp;IF(OR(ISNUMBER(A119),LEN(TRIM(A119))&gt;=10),"","  "&amp;TEXT(DAY(H119),"00")&amp;"/"&amp;TEXT(MONTH(H119),"00")&amp;"/"&amp;YEAR(H119)))</f>
        <v/>
      </c>
      <c r="C119" s="24"/>
      <c r="D119" s="27"/>
      <c r="E119" s="44"/>
      <c r="F119" s="27"/>
      <c r="G119" s="0" t="str">
        <f aca="false">IF(AND(C119&lt;&gt;"",COUNTIF(C$6:C119,C119)=1),MAX(G$5:G118)+1,"")</f>
        <v/>
      </c>
      <c r="H119" s="0" t="str">
        <f aca="true">IF(A119="","",IF(ISNUMBER(A119),IF(A119&gt;=36526,A119,""),IFERROR(DATE(VALUE(RIGHT(RIGHT(TRIM(A119),10),4)),VALUE(MID(RIGHT(TRIM(A119),10),4,2)),VALUE(LEFT(RIGHT(TRIM(A119),10),2))),IFERROR(TODAY()-MOD(WEEKDAY(TODAY(),1)-MATCH(TRIM(A119),{"الأحد","الاثنين","الثلاثاء","الأربعاء","الخميس","الجمعة","السبت"},0),7),IFERROR(DATEVALUE(A119),"")))))</f>
        <v/>
      </c>
      <c r="I119" s="0" t="str">
        <f aca="false">IF(H119="","",INT((H119-WEEK_ONE)/7)+1)</f>
        <v/>
      </c>
      <c r="J119" s="0" t="str">
        <f aca="false">IF(I119="","",IF(OR(I119&lt;1,I119&gt;NW),"",INDEX(WMON,I119)))</f>
        <v/>
      </c>
    </row>
    <row r="120" customFormat="false" ht="15" hidden="false" customHeight="false" outlineLevel="0" collapsed="false">
      <c r="A120" s="43"/>
      <c r="B120" s="23" t="str">
        <f aca="false">IF(H120="","",CHOOSE(WEEKDAY(H120,1),"الأحد","الاثنين","الثلاثاء","الأربعاء","الخميس","الجمعة","السبت")&amp;IF(OR(ISNUMBER(A120),LEN(TRIM(A120))&gt;=10),"","  "&amp;TEXT(DAY(H120),"00")&amp;"/"&amp;TEXT(MONTH(H120),"00")&amp;"/"&amp;YEAR(H120)))</f>
        <v/>
      </c>
      <c r="C120" s="24"/>
      <c r="D120" s="27"/>
      <c r="E120" s="44"/>
      <c r="F120" s="27"/>
      <c r="G120" s="0" t="str">
        <f aca="false">IF(AND(C120&lt;&gt;"",COUNTIF(C$6:C120,C120)=1),MAX(G$5:G119)+1,"")</f>
        <v/>
      </c>
      <c r="H120" s="0" t="str">
        <f aca="true">IF(A120="","",IF(ISNUMBER(A120),IF(A120&gt;=36526,A120,""),IFERROR(DATE(VALUE(RIGHT(RIGHT(TRIM(A120),10),4)),VALUE(MID(RIGHT(TRIM(A120),10),4,2)),VALUE(LEFT(RIGHT(TRIM(A120),10),2))),IFERROR(TODAY()-MOD(WEEKDAY(TODAY(),1)-MATCH(TRIM(A120),{"الأحد","الاثنين","الثلاثاء","الأربعاء","الخميس","الجمعة","السبت"},0),7),IFERROR(DATEVALUE(A120),"")))))</f>
        <v/>
      </c>
      <c r="I120" s="0" t="str">
        <f aca="false">IF(H120="","",INT((H120-WEEK_ONE)/7)+1)</f>
        <v/>
      </c>
      <c r="J120" s="0" t="str">
        <f aca="false">IF(I120="","",IF(OR(I120&lt;1,I120&gt;NW),"",INDEX(WMON,I120)))</f>
        <v/>
      </c>
    </row>
    <row r="121" customFormat="false" ht="15" hidden="false" customHeight="false" outlineLevel="0" collapsed="false">
      <c r="A121" s="43"/>
      <c r="B121" s="23" t="str">
        <f aca="false">IF(H121="","",CHOOSE(WEEKDAY(H121,1),"الأحد","الاثنين","الثلاثاء","الأربعاء","الخميس","الجمعة","السبت")&amp;IF(OR(ISNUMBER(A121),LEN(TRIM(A121))&gt;=10),"","  "&amp;TEXT(DAY(H121),"00")&amp;"/"&amp;TEXT(MONTH(H121),"00")&amp;"/"&amp;YEAR(H121)))</f>
        <v/>
      </c>
      <c r="C121" s="24"/>
      <c r="D121" s="27"/>
      <c r="E121" s="44"/>
      <c r="F121" s="27"/>
      <c r="G121" s="0" t="str">
        <f aca="false">IF(AND(C121&lt;&gt;"",COUNTIF(C$6:C121,C121)=1),MAX(G$5:G120)+1,"")</f>
        <v/>
      </c>
      <c r="H121" s="0" t="str">
        <f aca="true">IF(A121="","",IF(ISNUMBER(A121),IF(A121&gt;=36526,A121,""),IFERROR(DATE(VALUE(RIGHT(RIGHT(TRIM(A121),10),4)),VALUE(MID(RIGHT(TRIM(A121),10),4,2)),VALUE(LEFT(RIGHT(TRIM(A121),10),2))),IFERROR(TODAY()-MOD(WEEKDAY(TODAY(),1)-MATCH(TRIM(A121),{"الأحد","الاثنين","الثلاثاء","الأربعاء","الخميس","الجمعة","السبت"},0),7),IFERROR(DATEVALUE(A121),"")))))</f>
        <v/>
      </c>
      <c r="I121" s="0" t="str">
        <f aca="false">IF(H121="","",INT((H121-WEEK_ONE)/7)+1)</f>
        <v/>
      </c>
      <c r="J121" s="0" t="str">
        <f aca="false">IF(I121="","",IF(OR(I121&lt;1,I121&gt;NW),"",INDEX(WMON,I121)))</f>
        <v/>
      </c>
    </row>
    <row r="122" customFormat="false" ht="15" hidden="false" customHeight="false" outlineLevel="0" collapsed="false">
      <c r="A122" s="43"/>
      <c r="B122" s="23" t="str">
        <f aca="false">IF(H122="","",CHOOSE(WEEKDAY(H122,1),"الأحد","الاثنين","الثلاثاء","الأربعاء","الخميس","الجمعة","السبت")&amp;IF(OR(ISNUMBER(A122),LEN(TRIM(A122))&gt;=10),"","  "&amp;TEXT(DAY(H122),"00")&amp;"/"&amp;TEXT(MONTH(H122),"00")&amp;"/"&amp;YEAR(H122)))</f>
        <v/>
      </c>
      <c r="C122" s="24"/>
      <c r="D122" s="27"/>
      <c r="E122" s="44"/>
      <c r="F122" s="27"/>
      <c r="G122" s="0" t="str">
        <f aca="false">IF(AND(C122&lt;&gt;"",COUNTIF(C$6:C122,C122)=1),MAX(G$5:G121)+1,"")</f>
        <v/>
      </c>
      <c r="H122" s="0" t="str">
        <f aca="true">IF(A122="","",IF(ISNUMBER(A122),IF(A122&gt;=36526,A122,""),IFERROR(DATE(VALUE(RIGHT(RIGHT(TRIM(A122),10),4)),VALUE(MID(RIGHT(TRIM(A122),10),4,2)),VALUE(LEFT(RIGHT(TRIM(A122),10),2))),IFERROR(TODAY()-MOD(WEEKDAY(TODAY(),1)-MATCH(TRIM(A122),{"الأحد","الاثنين","الثلاثاء","الأربعاء","الخميس","الجمعة","السبت"},0),7),IFERROR(DATEVALUE(A122),"")))))</f>
        <v/>
      </c>
      <c r="I122" s="0" t="str">
        <f aca="false">IF(H122="","",INT((H122-WEEK_ONE)/7)+1)</f>
        <v/>
      </c>
      <c r="J122" s="0" t="str">
        <f aca="false">IF(I122="","",IF(OR(I122&lt;1,I122&gt;NW),"",INDEX(WMON,I122)))</f>
        <v/>
      </c>
    </row>
    <row r="123" customFormat="false" ht="15" hidden="false" customHeight="false" outlineLevel="0" collapsed="false">
      <c r="A123" s="43"/>
      <c r="B123" s="23" t="str">
        <f aca="false">IF(H123="","",CHOOSE(WEEKDAY(H123,1),"الأحد","الاثنين","الثلاثاء","الأربعاء","الخميس","الجمعة","السبت")&amp;IF(OR(ISNUMBER(A123),LEN(TRIM(A123))&gt;=10),"","  "&amp;TEXT(DAY(H123),"00")&amp;"/"&amp;TEXT(MONTH(H123),"00")&amp;"/"&amp;YEAR(H123)))</f>
        <v/>
      </c>
      <c r="C123" s="24"/>
      <c r="D123" s="27"/>
      <c r="E123" s="44"/>
      <c r="F123" s="27"/>
      <c r="G123" s="0" t="str">
        <f aca="false">IF(AND(C123&lt;&gt;"",COUNTIF(C$6:C123,C123)=1),MAX(G$5:G122)+1,"")</f>
        <v/>
      </c>
      <c r="H123" s="0" t="str">
        <f aca="true">IF(A123="","",IF(ISNUMBER(A123),IF(A123&gt;=36526,A123,""),IFERROR(DATE(VALUE(RIGHT(RIGHT(TRIM(A123),10),4)),VALUE(MID(RIGHT(TRIM(A123),10),4,2)),VALUE(LEFT(RIGHT(TRIM(A123),10),2))),IFERROR(TODAY()-MOD(WEEKDAY(TODAY(),1)-MATCH(TRIM(A123),{"الأحد","الاثنين","الثلاثاء","الأربعاء","الخميس","الجمعة","السبت"},0),7),IFERROR(DATEVALUE(A123),"")))))</f>
        <v/>
      </c>
      <c r="I123" s="0" t="str">
        <f aca="false">IF(H123="","",INT((H123-WEEK_ONE)/7)+1)</f>
        <v/>
      </c>
      <c r="J123" s="0" t="str">
        <f aca="false">IF(I123="","",IF(OR(I123&lt;1,I123&gt;NW),"",INDEX(WMON,I123)))</f>
        <v/>
      </c>
    </row>
    <row r="124" customFormat="false" ht="15" hidden="false" customHeight="false" outlineLevel="0" collapsed="false">
      <c r="A124" s="43"/>
      <c r="B124" s="23" t="str">
        <f aca="false">IF(H124="","",CHOOSE(WEEKDAY(H124,1),"الأحد","الاثنين","الثلاثاء","الأربعاء","الخميس","الجمعة","السبت")&amp;IF(OR(ISNUMBER(A124),LEN(TRIM(A124))&gt;=10),"","  "&amp;TEXT(DAY(H124),"00")&amp;"/"&amp;TEXT(MONTH(H124),"00")&amp;"/"&amp;YEAR(H124)))</f>
        <v/>
      </c>
      <c r="C124" s="24"/>
      <c r="D124" s="27"/>
      <c r="E124" s="44"/>
      <c r="F124" s="27"/>
      <c r="G124" s="0" t="str">
        <f aca="false">IF(AND(C124&lt;&gt;"",COUNTIF(C$6:C124,C124)=1),MAX(G$5:G123)+1,"")</f>
        <v/>
      </c>
      <c r="H124" s="0" t="str">
        <f aca="true">IF(A124="","",IF(ISNUMBER(A124),IF(A124&gt;=36526,A124,""),IFERROR(DATE(VALUE(RIGHT(RIGHT(TRIM(A124),10),4)),VALUE(MID(RIGHT(TRIM(A124),10),4,2)),VALUE(LEFT(RIGHT(TRIM(A124),10),2))),IFERROR(TODAY()-MOD(WEEKDAY(TODAY(),1)-MATCH(TRIM(A124),{"الأحد","الاثنين","الثلاثاء","الأربعاء","الخميس","الجمعة","السبت"},0),7),IFERROR(DATEVALUE(A124),"")))))</f>
        <v/>
      </c>
      <c r="I124" s="0" t="str">
        <f aca="false">IF(H124="","",INT((H124-WEEK_ONE)/7)+1)</f>
        <v/>
      </c>
      <c r="J124" s="0" t="str">
        <f aca="false">IF(I124="","",IF(OR(I124&lt;1,I124&gt;NW),"",INDEX(WMON,I124)))</f>
        <v/>
      </c>
    </row>
    <row r="125" customFormat="false" ht="15" hidden="false" customHeight="false" outlineLevel="0" collapsed="false">
      <c r="A125" s="43"/>
      <c r="B125" s="23" t="str">
        <f aca="false">IF(H125="","",CHOOSE(WEEKDAY(H125,1),"الأحد","الاثنين","الثلاثاء","الأربعاء","الخميس","الجمعة","السبت")&amp;IF(OR(ISNUMBER(A125),LEN(TRIM(A125))&gt;=10),"","  "&amp;TEXT(DAY(H125),"00")&amp;"/"&amp;TEXT(MONTH(H125),"00")&amp;"/"&amp;YEAR(H125)))</f>
        <v/>
      </c>
      <c r="C125" s="24"/>
      <c r="D125" s="27"/>
      <c r="E125" s="44"/>
      <c r="F125" s="27"/>
      <c r="G125" s="0" t="str">
        <f aca="false">IF(AND(C125&lt;&gt;"",COUNTIF(C$6:C125,C125)=1),MAX(G$5:G124)+1,"")</f>
        <v/>
      </c>
      <c r="H125" s="0" t="str">
        <f aca="true">IF(A125="","",IF(ISNUMBER(A125),IF(A125&gt;=36526,A125,""),IFERROR(DATE(VALUE(RIGHT(RIGHT(TRIM(A125),10),4)),VALUE(MID(RIGHT(TRIM(A125),10),4,2)),VALUE(LEFT(RIGHT(TRIM(A125),10),2))),IFERROR(TODAY()-MOD(WEEKDAY(TODAY(),1)-MATCH(TRIM(A125),{"الأحد","الاثنين","الثلاثاء","الأربعاء","الخميس","الجمعة","السبت"},0),7),IFERROR(DATEVALUE(A125),"")))))</f>
        <v/>
      </c>
      <c r="I125" s="0" t="str">
        <f aca="false">IF(H125="","",INT((H125-WEEK_ONE)/7)+1)</f>
        <v/>
      </c>
      <c r="J125" s="0" t="str">
        <f aca="false">IF(I125="","",IF(OR(I125&lt;1,I125&gt;NW),"",INDEX(WMON,I125)))</f>
        <v/>
      </c>
    </row>
    <row r="126" customFormat="false" ht="15" hidden="false" customHeight="false" outlineLevel="0" collapsed="false">
      <c r="A126" s="43"/>
      <c r="B126" s="23" t="str">
        <f aca="false">IF(H126="","",CHOOSE(WEEKDAY(H126,1),"الأحد","الاثنين","الثلاثاء","الأربعاء","الخميس","الجمعة","السبت")&amp;IF(OR(ISNUMBER(A126),LEN(TRIM(A126))&gt;=10),"","  "&amp;TEXT(DAY(H126),"00")&amp;"/"&amp;TEXT(MONTH(H126),"00")&amp;"/"&amp;YEAR(H126)))</f>
        <v/>
      </c>
      <c r="C126" s="24"/>
      <c r="D126" s="27"/>
      <c r="E126" s="44"/>
      <c r="F126" s="27"/>
      <c r="G126" s="0" t="str">
        <f aca="false">IF(AND(C126&lt;&gt;"",COUNTIF(C$6:C126,C126)=1),MAX(G$5:G125)+1,"")</f>
        <v/>
      </c>
      <c r="H126" s="0" t="str">
        <f aca="true">IF(A126="","",IF(ISNUMBER(A126),IF(A126&gt;=36526,A126,""),IFERROR(DATE(VALUE(RIGHT(RIGHT(TRIM(A126),10),4)),VALUE(MID(RIGHT(TRIM(A126),10),4,2)),VALUE(LEFT(RIGHT(TRIM(A126),10),2))),IFERROR(TODAY()-MOD(WEEKDAY(TODAY(),1)-MATCH(TRIM(A126),{"الأحد","الاثنين","الثلاثاء","الأربعاء","الخميس","الجمعة","السبت"},0),7),IFERROR(DATEVALUE(A126),"")))))</f>
        <v/>
      </c>
      <c r="I126" s="0" t="str">
        <f aca="false">IF(H126="","",INT((H126-WEEK_ONE)/7)+1)</f>
        <v/>
      </c>
      <c r="J126" s="0" t="str">
        <f aca="false">IF(I126="","",IF(OR(I126&lt;1,I126&gt;NW),"",INDEX(WMON,I126)))</f>
        <v/>
      </c>
    </row>
    <row r="127" customFormat="false" ht="15" hidden="false" customHeight="false" outlineLevel="0" collapsed="false">
      <c r="A127" s="43"/>
      <c r="B127" s="23" t="str">
        <f aca="false">IF(H127="","",CHOOSE(WEEKDAY(H127,1),"الأحد","الاثنين","الثلاثاء","الأربعاء","الخميس","الجمعة","السبت")&amp;IF(OR(ISNUMBER(A127),LEN(TRIM(A127))&gt;=10),"","  "&amp;TEXT(DAY(H127),"00")&amp;"/"&amp;TEXT(MONTH(H127),"00")&amp;"/"&amp;YEAR(H127)))</f>
        <v/>
      </c>
      <c r="C127" s="24"/>
      <c r="D127" s="27"/>
      <c r="E127" s="44"/>
      <c r="F127" s="27"/>
      <c r="G127" s="0" t="str">
        <f aca="false">IF(AND(C127&lt;&gt;"",COUNTIF(C$6:C127,C127)=1),MAX(G$5:G126)+1,"")</f>
        <v/>
      </c>
      <c r="H127" s="0" t="str">
        <f aca="true">IF(A127="","",IF(ISNUMBER(A127),IF(A127&gt;=36526,A127,""),IFERROR(DATE(VALUE(RIGHT(RIGHT(TRIM(A127),10),4)),VALUE(MID(RIGHT(TRIM(A127),10),4,2)),VALUE(LEFT(RIGHT(TRIM(A127),10),2))),IFERROR(TODAY()-MOD(WEEKDAY(TODAY(),1)-MATCH(TRIM(A127),{"الأحد","الاثنين","الثلاثاء","الأربعاء","الخميس","الجمعة","السبت"},0),7),IFERROR(DATEVALUE(A127),"")))))</f>
        <v/>
      </c>
      <c r="I127" s="0" t="str">
        <f aca="false">IF(H127="","",INT((H127-WEEK_ONE)/7)+1)</f>
        <v/>
      </c>
      <c r="J127" s="0" t="str">
        <f aca="false">IF(I127="","",IF(OR(I127&lt;1,I127&gt;NW),"",INDEX(WMON,I127)))</f>
        <v/>
      </c>
    </row>
    <row r="128" customFormat="false" ht="15" hidden="false" customHeight="false" outlineLevel="0" collapsed="false">
      <c r="A128" s="43"/>
      <c r="B128" s="23" t="str">
        <f aca="false">IF(H128="","",CHOOSE(WEEKDAY(H128,1),"الأحد","الاثنين","الثلاثاء","الأربعاء","الخميس","الجمعة","السبت")&amp;IF(OR(ISNUMBER(A128),LEN(TRIM(A128))&gt;=10),"","  "&amp;TEXT(DAY(H128),"00")&amp;"/"&amp;TEXT(MONTH(H128),"00")&amp;"/"&amp;YEAR(H128)))</f>
        <v/>
      </c>
      <c r="C128" s="24"/>
      <c r="D128" s="27"/>
      <c r="E128" s="44"/>
      <c r="F128" s="27"/>
      <c r="G128" s="0" t="str">
        <f aca="false">IF(AND(C128&lt;&gt;"",COUNTIF(C$6:C128,C128)=1),MAX(G$5:G127)+1,"")</f>
        <v/>
      </c>
      <c r="H128" s="0" t="str">
        <f aca="true">IF(A128="","",IF(ISNUMBER(A128),IF(A128&gt;=36526,A128,""),IFERROR(DATE(VALUE(RIGHT(RIGHT(TRIM(A128),10),4)),VALUE(MID(RIGHT(TRIM(A128),10),4,2)),VALUE(LEFT(RIGHT(TRIM(A128),10),2))),IFERROR(TODAY()-MOD(WEEKDAY(TODAY(),1)-MATCH(TRIM(A128),{"الأحد","الاثنين","الثلاثاء","الأربعاء","الخميس","الجمعة","السبت"},0),7),IFERROR(DATEVALUE(A128),"")))))</f>
        <v/>
      </c>
      <c r="I128" s="0" t="str">
        <f aca="false">IF(H128="","",INT((H128-WEEK_ONE)/7)+1)</f>
        <v/>
      </c>
      <c r="J128" s="0" t="str">
        <f aca="false">IF(I128="","",IF(OR(I128&lt;1,I128&gt;NW),"",INDEX(WMON,I128)))</f>
        <v/>
      </c>
    </row>
    <row r="129" customFormat="false" ht="15" hidden="false" customHeight="false" outlineLevel="0" collapsed="false">
      <c r="A129" s="43"/>
      <c r="B129" s="23" t="str">
        <f aca="false">IF(H129="","",CHOOSE(WEEKDAY(H129,1),"الأحد","الاثنين","الثلاثاء","الأربعاء","الخميس","الجمعة","السبت")&amp;IF(OR(ISNUMBER(A129),LEN(TRIM(A129))&gt;=10),"","  "&amp;TEXT(DAY(H129),"00")&amp;"/"&amp;TEXT(MONTH(H129),"00")&amp;"/"&amp;YEAR(H129)))</f>
        <v/>
      </c>
      <c r="C129" s="24"/>
      <c r="D129" s="27"/>
      <c r="E129" s="44"/>
      <c r="F129" s="27"/>
      <c r="G129" s="0" t="str">
        <f aca="false">IF(AND(C129&lt;&gt;"",COUNTIF(C$6:C129,C129)=1),MAX(G$5:G128)+1,"")</f>
        <v/>
      </c>
      <c r="H129" s="0" t="str">
        <f aca="true">IF(A129="","",IF(ISNUMBER(A129),IF(A129&gt;=36526,A129,""),IFERROR(DATE(VALUE(RIGHT(RIGHT(TRIM(A129),10),4)),VALUE(MID(RIGHT(TRIM(A129),10),4,2)),VALUE(LEFT(RIGHT(TRIM(A129),10),2))),IFERROR(TODAY()-MOD(WEEKDAY(TODAY(),1)-MATCH(TRIM(A129),{"الأحد","الاثنين","الثلاثاء","الأربعاء","الخميس","الجمعة","السبت"},0),7),IFERROR(DATEVALUE(A129),"")))))</f>
        <v/>
      </c>
      <c r="I129" s="0" t="str">
        <f aca="false">IF(H129="","",INT((H129-WEEK_ONE)/7)+1)</f>
        <v/>
      </c>
      <c r="J129" s="0" t="str">
        <f aca="false">IF(I129="","",IF(OR(I129&lt;1,I129&gt;NW),"",INDEX(WMON,I129)))</f>
        <v/>
      </c>
    </row>
    <row r="130" customFormat="false" ht="15" hidden="false" customHeight="false" outlineLevel="0" collapsed="false">
      <c r="A130" s="43"/>
      <c r="B130" s="23" t="str">
        <f aca="false">IF(H130="","",CHOOSE(WEEKDAY(H130,1),"الأحد","الاثنين","الثلاثاء","الأربعاء","الخميس","الجمعة","السبت")&amp;IF(OR(ISNUMBER(A130),LEN(TRIM(A130))&gt;=10),"","  "&amp;TEXT(DAY(H130),"00")&amp;"/"&amp;TEXT(MONTH(H130),"00")&amp;"/"&amp;YEAR(H130)))</f>
        <v/>
      </c>
      <c r="C130" s="24"/>
      <c r="D130" s="27"/>
      <c r="E130" s="44"/>
      <c r="F130" s="27"/>
      <c r="G130" s="0" t="str">
        <f aca="false">IF(AND(C130&lt;&gt;"",COUNTIF(C$6:C130,C130)=1),MAX(G$5:G129)+1,"")</f>
        <v/>
      </c>
      <c r="H130" s="0" t="str">
        <f aca="true">IF(A130="","",IF(ISNUMBER(A130),IF(A130&gt;=36526,A130,""),IFERROR(DATE(VALUE(RIGHT(RIGHT(TRIM(A130),10),4)),VALUE(MID(RIGHT(TRIM(A130),10),4,2)),VALUE(LEFT(RIGHT(TRIM(A130),10),2))),IFERROR(TODAY()-MOD(WEEKDAY(TODAY(),1)-MATCH(TRIM(A130),{"الأحد","الاثنين","الثلاثاء","الأربعاء","الخميس","الجمعة","السبت"},0),7),IFERROR(DATEVALUE(A130),"")))))</f>
        <v/>
      </c>
      <c r="I130" s="0" t="str">
        <f aca="false">IF(H130="","",INT((H130-WEEK_ONE)/7)+1)</f>
        <v/>
      </c>
      <c r="J130" s="0" t="str">
        <f aca="false">IF(I130="","",IF(OR(I130&lt;1,I130&gt;NW),"",INDEX(WMON,I130)))</f>
        <v/>
      </c>
    </row>
    <row r="131" customFormat="false" ht="15" hidden="false" customHeight="false" outlineLevel="0" collapsed="false">
      <c r="A131" s="43"/>
      <c r="B131" s="23" t="str">
        <f aca="false">IF(H131="","",CHOOSE(WEEKDAY(H131,1),"الأحد","الاثنين","الثلاثاء","الأربعاء","الخميس","الجمعة","السبت")&amp;IF(OR(ISNUMBER(A131),LEN(TRIM(A131))&gt;=10),"","  "&amp;TEXT(DAY(H131),"00")&amp;"/"&amp;TEXT(MONTH(H131),"00")&amp;"/"&amp;YEAR(H131)))</f>
        <v/>
      </c>
      <c r="C131" s="24"/>
      <c r="D131" s="27"/>
      <c r="E131" s="44"/>
      <c r="F131" s="27"/>
      <c r="G131" s="0" t="str">
        <f aca="false">IF(AND(C131&lt;&gt;"",COUNTIF(C$6:C131,C131)=1),MAX(G$5:G130)+1,"")</f>
        <v/>
      </c>
      <c r="H131" s="0" t="str">
        <f aca="true">IF(A131="","",IF(ISNUMBER(A131),IF(A131&gt;=36526,A131,""),IFERROR(DATE(VALUE(RIGHT(RIGHT(TRIM(A131),10),4)),VALUE(MID(RIGHT(TRIM(A131),10),4,2)),VALUE(LEFT(RIGHT(TRIM(A131),10),2))),IFERROR(TODAY()-MOD(WEEKDAY(TODAY(),1)-MATCH(TRIM(A131),{"الأحد","الاثنين","الثلاثاء","الأربعاء","الخميس","الجمعة","السبت"},0),7),IFERROR(DATEVALUE(A131),"")))))</f>
        <v/>
      </c>
      <c r="I131" s="0" t="str">
        <f aca="false">IF(H131="","",INT((H131-WEEK_ONE)/7)+1)</f>
        <v/>
      </c>
      <c r="J131" s="0" t="str">
        <f aca="false">IF(I131="","",IF(OR(I131&lt;1,I131&gt;NW),"",INDEX(WMON,I131)))</f>
        <v/>
      </c>
    </row>
    <row r="132" customFormat="false" ht="15" hidden="false" customHeight="false" outlineLevel="0" collapsed="false">
      <c r="A132" s="43"/>
      <c r="B132" s="23" t="str">
        <f aca="false">IF(H132="","",CHOOSE(WEEKDAY(H132,1),"الأحد","الاثنين","الثلاثاء","الأربعاء","الخميس","الجمعة","السبت")&amp;IF(OR(ISNUMBER(A132),LEN(TRIM(A132))&gt;=10),"","  "&amp;TEXT(DAY(H132),"00")&amp;"/"&amp;TEXT(MONTH(H132),"00")&amp;"/"&amp;YEAR(H132)))</f>
        <v/>
      </c>
      <c r="C132" s="24"/>
      <c r="D132" s="27"/>
      <c r="E132" s="44"/>
      <c r="F132" s="27"/>
      <c r="G132" s="0" t="str">
        <f aca="false">IF(AND(C132&lt;&gt;"",COUNTIF(C$6:C132,C132)=1),MAX(G$5:G131)+1,"")</f>
        <v/>
      </c>
      <c r="H132" s="0" t="str">
        <f aca="true">IF(A132="","",IF(ISNUMBER(A132),IF(A132&gt;=36526,A132,""),IFERROR(DATE(VALUE(RIGHT(RIGHT(TRIM(A132),10),4)),VALUE(MID(RIGHT(TRIM(A132),10),4,2)),VALUE(LEFT(RIGHT(TRIM(A132),10),2))),IFERROR(TODAY()-MOD(WEEKDAY(TODAY(),1)-MATCH(TRIM(A132),{"الأحد","الاثنين","الثلاثاء","الأربعاء","الخميس","الجمعة","السبت"},0),7),IFERROR(DATEVALUE(A132),"")))))</f>
        <v/>
      </c>
      <c r="I132" s="0" t="str">
        <f aca="false">IF(H132="","",INT((H132-WEEK_ONE)/7)+1)</f>
        <v/>
      </c>
      <c r="J132" s="0" t="str">
        <f aca="false">IF(I132="","",IF(OR(I132&lt;1,I132&gt;NW),"",INDEX(WMON,I132)))</f>
        <v/>
      </c>
    </row>
    <row r="133" customFormat="false" ht="15" hidden="false" customHeight="false" outlineLevel="0" collapsed="false">
      <c r="A133" s="43"/>
      <c r="B133" s="23" t="str">
        <f aca="false">IF(H133="","",CHOOSE(WEEKDAY(H133,1),"الأحد","الاثنين","الثلاثاء","الأربعاء","الخميس","الجمعة","السبت")&amp;IF(OR(ISNUMBER(A133),LEN(TRIM(A133))&gt;=10),"","  "&amp;TEXT(DAY(H133),"00")&amp;"/"&amp;TEXT(MONTH(H133),"00")&amp;"/"&amp;YEAR(H133)))</f>
        <v/>
      </c>
      <c r="C133" s="24"/>
      <c r="D133" s="27"/>
      <c r="E133" s="44"/>
      <c r="F133" s="27"/>
      <c r="G133" s="0" t="str">
        <f aca="false">IF(AND(C133&lt;&gt;"",COUNTIF(C$6:C133,C133)=1),MAX(G$5:G132)+1,"")</f>
        <v/>
      </c>
      <c r="H133" s="0" t="str">
        <f aca="true">IF(A133="","",IF(ISNUMBER(A133),IF(A133&gt;=36526,A133,""),IFERROR(DATE(VALUE(RIGHT(RIGHT(TRIM(A133),10),4)),VALUE(MID(RIGHT(TRIM(A133),10),4,2)),VALUE(LEFT(RIGHT(TRIM(A133),10),2))),IFERROR(TODAY()-MOD(WEEKDAY(TODAY(),1)-MATCH(TRIM(A133),{"الأحد","الاثنين","الثلاثاء","الأربعاء","الخميس","الجمعة","السبت"},0),7),IFERROR(DATEVALUE(A133),"")))))</f>
        <v/>
      </c>
      <c r="I133" s="0" t="str">
        <f aca="false">IF(H133="","",INT((H133-WEEK_ONE)/7)+1)</f>
        <v/>
      </c>
      <c r="J133" s="0" t="str">
        <f aca="false">IF(I133="","",IF(OR(I133&lt;1,I133&gt;NW),"",INDEX(WMON,I133)))</f>
        <v/>
      </c>
    </row>
    <row r="134" customFormat="false" ht="15" hidden="false" customHeight="false" outlineLevel="0" collapsed="false">
      <c r="A134" s="43"/>
      <c r="B134" s="23" t="str">
        <f aca="false">IF(H134="","",CHOOSE(WEEKDAY(H134,1),"الأحد","الاثنين","الثلاثاء","الأربعاء","الخميس","الجمعة","السبت")&amp;IF(OR(ISNUMBER(A134),LEN(TRIM(A134))&gt;=10),"","  "&amp;TEXT(DAY(H134),"00")&amp;"/"&amp;TEXT(MONTH(H134),"00")&amp;"/"&amp;YEAR(H134)))</f>
        <v/>
      </c>
      <c r="C134" s="24"/>
      <c r="D134" s="27"/>
      <c r="E134" s="44"/>
      <c r="F134" s="27"/>
      <c r="G134" s="0" t="str">
        <f aca="false">IF(AND(C134&lt;&gt;"",COUNTIF(C$6:C134,C134)=1),MAX(G$5:G133)+1,"")</f>
        <v/>
      </c>
      <c r="H134" s="0" t="str">
        <f aca="true">IF(A134="","",IF(ISNUMBER(A134),IF(A134&gt;=36526,A134,""),IFERROR(DATE(VALUE(RIGHT(RIGHT(TRIM(A134),10),4)),VALUE(MID(RIGHT(TRIM(A134),10),4,2)),VALUE(LEFT(RIGHT(TRIM(A134),10),2))),IFERROR(TODAY()-MOD(WEEKDAY(TODAY(),1)-MATCH(TRIM(A134),{"الأحد","الاثنين","الثلاثاء","الأربعاء","الخميس","الجمعة","السبت"},0),7),IFERROR(DATEVALUE(A134),"")))))</f>
        <v/>
      </c>
      <c r="I134" s="0" t="str">
        <f aca="false">IF(H134="","",INT((H134-WEEK_ONE)/7)+1)</f>
        <v/>
      </c>
      <c r="J134" s="0" t="str">
        <f aca="false">IF(I134="","",IF(OR(I134&lt;1,I134&gt;NW),"",INDEX(WMON,I134)))</f>
        <v/>
      </c>
    </row>
    <row r="135" customFormat="false" ht="15" hidden="false" customHeight="false" outlineLevel="0" collapsed="false">
      <c r="A135" s="43"/>
      <c r="B135" s="23" t="str">
        <f aca="false">IF(H135="","",CHOOSE(WEEKDAY(H135,1),"الأحد","الاثنين","الثلاثاء","الأربعاء","الخميس","الجمعة","السبت")&amp;IF(OR(ISNUMBER(A135),LEN(TRIM(A135))&gt;=10),"","  "&amp;TEXT(DAY(H135),"00")&amp;"/"&amp;TEXT(MONTH(H135),"00")&amp;"/"&amp;YEAR(H135)))</f>
        <v/>
      </c>
      <c r="C135" s="24"/>
      <c r="D135" s="27"/>
      <c r="E135" s="44"/>
      <c r="F135" s="27"/>
      <c r="G135" s="0" t="str">
        <f aca="false">IF(AND(C135&lt;&gt;"",COUNTIF(C$6:C135,C135)=1),MAX(G$5:G134)+1,"")</f>
        <v/>
      </c>
      <c r="H135" s="0" t="str">
        <f aca="true">IF(A135="","",IF(ISNUMBER(A135),IF(A135&gt;=36526,A135,""),IFERROR(DATE(VALUE(RIGHT(RIGHT(TRIM(A135),10),4)),VALUE(MID(RIGHT(TRIM(A135),10),4,2)),VALUE(LEFT(RIGHT(TRIM(A135),10),2))),IFERROR(TODAY()-MOD(WEEKDAY(TODAY(),1)-MATCH(TRIM(A135),{"الأحد","الاثنين","الثلاثاء","الأربعاء","الخميس","الجمعة","السبت"},0),7),IFERROR(DATEVALUE(A135),"")))))</f>
        <v/>
      </c>
      <c r="I135" s="0" t="str">
        <f aca="false">IF(H135="","",INT((H135-WEEK_ONE)/7)+1)</f>
        <v/>
      </c>
      <c r="J135" s="0" t="str">
        <f aca="false">IF(I135="","",IF(OR(I135&lt;1,I135&gt;NW),"",INDEX(WMON,I135)))</f>
        <v/>
      </c>
    </row>
    <row r="136" customFormat="false" ht="15" hidden="false" customHeight="false" outlineLevel="0" collapsed="false">
      <c r="A136" s="43"/>
      <c r="B136" s="23" t="str">
        <f aca="false">IF(H136="","",CHOOSE(WEEKDAY(H136,1),"الأحد","الاثنين","الثلاثاء","الأربعاء","الخميس","الجمعة","السبت")&amp;IF(OR(ISNUMBER(A136),LEN(TRIM(A136))&gt;=10),"","  "&amp;TEXT(DAY(H136),"00")&amp;"/"&amp;TEXT(MONTH(H136),"00")&amp;"/"&amp;YEAR(H136)))</f>
        <v/>
      </c>
      <c r="C136" s="24"/>
      <c r="D136" s="27"/>
      <c r="E136" s="44"/>
      <c r="F136" s="27"/>
      <c r="G136" s="0" t="str">
        <f aca="false">IF(AND(C136&lt;&gt;"",COUNTIF(C$6:C136,C136)=1),MAX(G$5:G135)+1,"")</f>
        <v/>
      </c>
      <c r="H136" s="0" t="str">
        <f aca="true">IF(A136="","",IF(ISNUMBER(A136),IF(A136&gt;=36526,A136,""),IFERROR(DATE(VALUE(RIGHT(RIGHT(TRIM(A136),10),4)),VALUE(MID(RIGHT(TRIM(A136),10),4,2)),VALUE(LEFT(RIGHT(TRIM(A136),10),2))),IFERROR(TODAY()-MOD(WEEKDAY(TODAY(),1)-MATCH(TRIM(A136),{"الأحد","الاثنين","الثلاثاء","الأربعاء","الخميس","الجمعة","السبت"},0),7),IFERROR(DATEVALUE(A136),"")))))</f>
        <v/>
      </c>
      <c r="I136" s="0" t="str">
        <f aca="false">IF(H136="","",INT((H136-WEEK_ONE)/7)+1)</f>
        <v/>
      </c>
      <c r="J136" s="0" t="str">
        <f aca="false">IF(I136="","",IF(OR(I136&lt;1,I136&gt;NW),"",INDEX(WMON,I136)))</f>
        <v/>
      </c>
    </row>
    <row r="137" customFormat="false" ht="15" hidden="false" customHeight="false" outlineLevel="0" collapsed="false">
      <c r="A137" s="43"/>
      <c r="B137" s="23" t="str">
        <f aca="false">IF(H137="","",CHOOSE(WEEKDAY(H137,1),"الأحد","الاثنين","الثلاثاء","الأربعاء","الخميس","الجمعة","السبت")&amp;IF(OR(ISNUMBER(A137),LEN(TRIM(A137))&gt;=10),"","  "&amp;TEXT(DAY(H137),"00")&amp;"/"&amp;TEXT(MONTH(H137),"00")&amp;"/"&amp;YEAR(H137)))</f>
        <v/>
      </c>
      <c r="C137" s="24"/>
      <c r="D137" s="27"/>
      <c r="E137" s="44"/>
      <c r="F137" s="27"/>
      <c r="G137" s="0" t="str">
        <f aca="false">IF(AND(C137&lt;&gt;"",COUNTIF(C$6:C137,C137)=1),MAX(G$5:G136)+1,"")</f>
        <v/>
      </c>
      <c r="H137" s="0" t="str">
        <f aca="true">IF(A137="","",IF(ISNUMBER(A137),IF(A137&gt;=36526,A137,""),IFERROR(DATE(VALUE(RIGHT(RIGHT(TRIM(A137),10),4)),VALUE(MID(RIGHT(TRIM(A137),10),4,2)),VALUE(LEFT(RIGHT(TRIM(A137),10),2))),IFERROR(TODAY()-MOD(WEEKDAY(TODAY(),1)-MATCH(TRIM(A137),{"الأحد","الاثنين","الثلاثاء","الأربعاء","الخميس","الجمعة","السبت"},0),7),IFERROR(DATEVALUE(A137),"")))))</f>
        <v/>
      </c>
      <c r="I137" s="0" t="str">
        <f aca="false">IF(H137="","",INT((H137-WEEK_ONE)/7)+1)</f>
        <v/>
      </c>
      <c r="J137" s="0" t="str">
        <f aca="false">IF(I137="","",IF(OR(I137&lt;1,I137&gt;NW),"",INDEX(WMON,I137)))</f>
        <v/>
      </c>
    </row>
    <row r="138" customFormat="false" ht="15" hidden="false" customHeight="false" outlineLevel="0" collapsed="false">
      <c r="A138" s="43"/>
      <c r="B138" s="23" t="str">
        <f aca="false">IF(H138="","",CHOOSE(WEEKDAY(H138,1),"الأحد","الاثنين","الثلاثاء","الأربعاء","الخميس","الجمعة","السبت")&amp;IF(OR(ISNUMBER(A138),LEN(TRIM(A138))&gt;=10),"","  "&amp;TEXT(DAY(H138),"00")&amp;"/"&amp;TEXT(MONTH(H138),"00")&amp;"/"&amp;YEAR(H138)))</f>
        <v/>
      </c>
      <c r="C138" s="24"/>
      <c r="D138" s="27"/>
      <c r="E138" s="44"/>
      <c r="F138" s="27"/>
      <c r="G138" s="0" t="str">
        <f aca="false">IF(AND(C138&lt;&gt;"",COUNTIF(C$6:C138,C138)=1),MAX(G$5:G137)+1,"")</f>
        <v/>
      </c>
      <c r="H138" s="0" t="str">
        <f aca="true">IF(A138="","",IF(ISNUMBER(A138),IF(A138&gt;=36526,A138,""),IFERROR(DATE(VALUE(RIGHT(RIGHT(TRIM(A138),10),4)),VALUE(MID(RIGHT(TRIM(A138),10),4,2)),VALUE(LEFT(RIGHT(TRIM(A138),10),2))),IFERROR(TODAY()-MOD(WEEKDAY(TODAY(),1)-MATCH(TRIM(A138),{"الأحد","الاثنين","الثلاثاء","الأربعاء","الخميس","الجمعة","السبت"},0),7),IFERROR(DATEVALUE(A138),"")))))</f>
        <v/>
      </c>
      <c r="I138" s="0" t="str">
        <f aca="false">IF(H138="","",INT((H138-WEEK_ONE)/7)+1)</f>
        <v/>
      </c>
      <c r="J138" s="0" t="str">
        <f aca="false">IF(I138="","",IF(OR(I138&lt;1,I138&gt;NW),"",INDEX(WMON,I138)))</f>
        <v/>
      </c>
    </row>
    <row r="139" customFormat="false" ht="15" hidden="false" customHeight="false" outlineLevel="0" collapsed="false">
      <c r="A139" s="43"/>
      <c r="B139" s="23" t="str">
        <f aca="false">IF(H139="","",CHOOSE(WEEKDAY(H139,1),"الأحد","الاثنين","الثلاثاء","الأربعاء","الخميس","الجمعة","السبت")&amp;IF(OR(ISNUMBER(A139),LEN(TRIM(A139))&gt;=10),"","  "&amp;TEXT(DAY(H139),"00")&amp;"/"&amp;TEXT(MONTH(H139),"00")&amp;"/"&amp;YEAR(H139)))</f>
        <v/>
      </c>
      <c r="C139" s="24"/>
      <c r="D139" s="27"/>
      <c r="E139" s="44"/>
      <c r="F139" s="27"/>
      <c r="G139" s="0" t="str">
        <f aca="false">IF(AND(C139&lt;&gt;"",COUNTIF(C$6:C139,C139)=1),MAX(G$5:G138)+1,"")</f>
        <v/>
      </c>
      <c r="H139" s="0" t="str">
        <f aca="true">IF(A139="","",IF(ISNUMBER(A139),IF(A139&gt;=36526,A139,""),IFERROR(DATE(VALUE(RIGHT(RIGHT(TRIM(A139),10),4)),VALUE(MID(RIGHT(TRIM(A139),10),4,2)),VALUE(LEFT(RIGHT(TRIM(A139),10),2))),IFERROR(TODAY()-MOD(WEEKDAY(TODAY(),1)-MATCH(TRIM(A139),{"الأحد","الاثنين","الثلاثاء","الأربعاء","الخميس","الجمعة","السبت"},0),7),IFERROR(DATEVALUE(A139),"")))))</f>
        <v/>
      </c>
      <c r="I139" s="0" t="str">
        <f aca="false">IF(H139="","",INT((H139-WEEK_ONE)/7)+1)</f>
        <v/>
      </c>
      <c r="J139" s="0" t="str">
        <f aca="false">IF(I139="","",IF(OR(I139&lt;1,I139&gt;NW),"",INDEX(WMON,I139)))</f>
        <v/>
      </c>
    </row>
    <row r="140" customFormat="false" ht="15" hidden="false" customHeight="false" outlineLevel="0" collapsed="false">
      <c r="A140" s="43"/>
      <c r="B140" s="23" t="str">
        <f aca="false">IF(H140="","",CHOOSE(WEEKDAY(H140,1),"الأحد","الاثنين","الثلاثاء","الأربعاء","الخميس","الجمعة","السبت")&amp;IF(OR(ISNUMBER(A140),LEN(TRIM(A140))&gt;=10),"","  "&amp;TEXT(DAY(H140),"00")&amp;"/"&amp;TEXT(MONTH(H140),"00")&amp;"/"&amp;YEAR(H140)))</f>
        <v/>
      </c>
      <c r="C140" s="24"/>
      <c r="D140" s="27"/>
      <c r="E140" s="44"/>
      <c r="F140" s="27"/>
      <c r="G140" s="0" t="str">
        <f aca="false">IF(AND(C140&lt;&gt;"",COUNTIF(C$6:C140,C140)=1),MAX(G$5:G139)+1,"")</f>
        <v/>
      </c>
      <c r="H140" s="0" t="str">
        <f aca="true">IF(A140="","",IF(ISNUMBER(A140),IF(A140&gt;=36526,A140,""),IFERROR(DATE(VALUE(RIGHT(RIGHT(TRIM(A140),10),4)),VALUE(MID(RIGHT(TRIM(A140),10),4,2)),VALUE(LEFT(RIGHT(TRIM(A140),10),2))),IFERROR(TODAY()-MOD(WEEKDAY(TODAY(),1)-MATCH(TRIM(A140),{"الأحد","الاثنين","الثلاثاء","الأربعاء","الخميس","الجمعة","السبت"},0),7),IFERROR(DATEVALUE(A140),"")))))</f>
        <v/>
      </c>
      <c r="I140" s="0" t="str">
        <f aca="false">IF(H140="","",INT((H140-WEEK_ONE)/7)+1)</f>
        <v/>
      </c>
      <c r="J140" s="0" t="str">
        <f aca="false">IF(I140="","",IF(OR(I140&lt;1,I140&gt;NW),"",INDEX(WMON,I140)))</f>
        <v/>
      </c>
    </row>
    <row r="141" customFormat="false" ht="15" hidden="false" customHeight="false" outlineLevel="0" collapsed="false">
      <c r="A141" s="43"/>
      <c r="B141" s="23" t="str">
        <f aca="false">IF(H141="","",CHOOSE(WEEKDAY(H141,1),"الأحد","الاثنين","الثلاثاء","الأربعاء","الخميس","الجمعة","السبت")&amp;IF(OR(ISNUMBER(A141),LEN(TRIM(A141))&gt;=10),"","  "&amp;TEXT(DAY(H141),"00")&amp;"/"&amp;TEXT(MONTH(H141),"00")&amp;"/"&amp;YEAR(H141)))</f>
        <v/>
      </c>
      <c r="C141" s="24"/>
      <c r="D141" s="27"/>
      <c r="E141" s="44"/>
      <c r="F141" s="27"/>
      <c r="G141" s="0" t="str">
        <f aca="false">IF(AND(C141&lt;&gt;"",COUNTIF(C$6:C141,C141)=1),MAX(G$5:G140)+1,"")</f>
        <v/>
      </c>
      <c r="H141" s="0" t="str">
        <f aca="true">IF(A141="","",IF(ISNUMBER(A141),IF(A141&gt;=36526,A141,""),IFERROR(DATE(VALUE(RIGHT(RIGHT(TRIM(A141),10),4)),VALUE(MID(RIGHT(TRIM(A141),10),4,2)),VALUE(LEFT(RIGHT(TRIM(A141),10),2))),IFERROR(TODAY()-MOD(WEEKDAY(TODAY(),1)-MATCH(TRIM(A141),{"الأحد","الاثنين","الثلاثاء","الأربعاء","الخميس","الجمعة","السبت"},0),7),IFERROR(DATEVALUE(A141),"")))))</f>
        <v/>
      </c>
      <c r="I141" s="0" t="str">
        <f aca="false">IF(H141="","",INT((H141-WEEK_ONE)/7)+1)</f>
        <v/>
      </c>
      <c r="J141" s="0" t="str">
        <f aca="false">IF(I141="","",IF(OR(I141&lt;1,I141&gt;NW),"",INDEX(WMON,I141)))</f>
        <v/>
      </c>
    </row>
    <row r="142" customFormat="false" ht="15" hidden="false" customHeight="false" outlineLevel="0" collapsed="false">
      <c r="A142" s="43"/>
      <c r="B142" s="23" t="str">
        <f aca="false">IF(H142="","",CHOOSE(WEEKDAY(H142,1),"الأحد","الاثنين","الثلاثاء","الأربعاء","الخميس","الجمعة","السبت")&amp;IF(OR(ISNUMBER(A142),LEN(TRIM(A142))&gt;=10),"","  "&amp;TEXT(DAY(H142),"00")&amp;"/"&amp;TEXT(MONTH(H142),"00")&amp;"/"&amp;YEAR(H142)))</f>
        <v/>
      </c>
      <c r="C142" s="24"/>
      <c r="D142" s="27"/>
      <c r="E142" s="44"/>
      <c r="F142" s="27"/>
      <c r="G142" s="0" t="str">
        <f aca="false">IF(AND(C142&lt;&gt;"",COUNTIF(C$6:C142,C142)=1),MAX(G$5:G141)+1,"")</f>
        <v/>
      </c>
      <c r="H142" s="0" t="str">
        <f aca="true">IF(A142="","",IF(ISNUMBER(A142),IF(A142&gt;=36526,A142,""),IFERROR(DATE(VALUE(RIGHT(RIGHT(TRIM(A142),10),4)),VALUE(MID(RIGHT(TRIM(A142),10),4,2)),VALUE(LEFT(RIGHT(TRIM(A142),10),2))),IFERROR(TODAY()-MOD(WEEKDAY(TODAY(),1)-MATCH(TRIM(A142),{"الأحد","الاثنين","الثلاثاء","الأربعاء","الخميس","الجمعة","السبت"},0),7),IFERROR(DATEVALUE(A142),"")))))</f>
        <v/>
      </c>
      <c r="I142" s="0" t="str">
        <f aca="false">IF(H142="","",INT((H142-WEEK_ONE)/7)+1)</f>
        <v/>
      </c>
      <c r="J142" s="0" t="str">
        <f aca="false">IF(I142="","",IF(OR(I142&lt;1,I142&gt;NW),"",INDEX(WMON,I142)))</f>
        <v/>
      </c>
    </row>
    <row r="143" customFormat="false" ht="15" hidden="false" customHeight="false" outlineLevel="0" collapsed="false">
      <c r="A143" s="43"/>
      <c r="B143" s="23" t="str">
        <f aca="false">IF(H143="","",CHOOSE(WEEKDAY(H143,1),"الأحد","الاثنين","الثلاثاء","الأربعاء","الخميس","الجمعة","السبت")&amp;IF(OR(ISNUMBER(A143),LEN(TRIM(A143))&gt;=10),"","  "&amp;TEXT(DAY(H143),"00")&amp;"/"&amp;TEXT(MONTH(H143),"00")&amp;"/"&amp;YEAR(H143)))</f>
        <v/>
      </c>
      <c r="C143" s="24"/>
      <c r="D143" s="27"/>
      <c r="E143" s="44"/>
      <c r="F143" s="27"/>
      <c r="G143" s="0" t="str">
        <f aca="false">IF(AND(C143&lt;&gt;"",COUNTIF(C$6:C143,C143)=1),MAX(G$5:G142)+1,"")</f>
        <v/>
      </c>
      <c r="H143" s="0" t="str">
        <f aca="true">IF(A143="","",IF(ISNUMBER(A143),IF(A143&gt;=36526,A143,""),IFERROR(DATE(VALUE(RIGHT(RIGHT(TRIM(A143),10),4)),VALUE(MID(RIGHT(TRIM(A143),10),4,2)),VALUE(LEFT(RIGHT(TRIM(A143),10),2))),IFERROR(TODAY()-MOD(WEEKDAY(TODAY(),1)-MATCH(TRIM(A143),{"الأحد","الاثنين","الثلاثاء","الأربعاء","الخميس","الجمعة","السبت"},0),7),IFERROR(DATEVALUE(A143),"")))))</f>
        <v/>
      </c>
      <c r="I143" s="0" t="str">
        <f aca="false">IF(H143="","",INT((H143-WEEK_ONE)/7)+1)</f>
        <v/>
      </c>
      <c r="J143" s="0" t="str">
        <f aca="false">IF(I143="","",IF(OR(I143&lt;1,I143&gt;NW),"",INDEX(WMON,I143)))</f>
        <v/>
      </c>
    </row>
    <row r="144" customFormat="false" ht="15" hidden="false" customHeight="false" outlineLevel="0" collapsed="false">
      <c r="A144" s="43"/>
      <c r="B144" s="23" t="str">
        <f aca="false">IF(H144="","",CHOOSE(WEEKDAY(H144,1),"الأحد","الاثنين","الثلاثاء","الأربعاء","الخميس","الجمعة","السبت")&amp;IF(OR(ISNUMBER(A144),LEN(TRIM(A144))&gt;=10),"","  "&amp;TEXT(DAY(H144),"00")&amp;"/"&amp;TEXT(MONTH(H144),"00")&amp;"/"&amp;YEAR(H144)))</f>
        <v/>
      </c>
      <c r="C144" s="24"/>
      <c r="D144" s="27"/>
      <c r="E144" s="44"/>
      <c r="F144" s="27"/>
      <c r="G144" s="0" t="str">
        <f aca="false">IF(AND(C144&lt;&gt;"",COUNTIF(C$6:C144,C144)=1),MAX(G$5:G143)+1,"")</f>
        <v/>
      </c>
      <c r="H144" s="0" t="str">
        <f aca="true">IF(A144="","",IF(ISNUMBER(A144),IF(A144&gt;=36526,A144,""),IFERROR(DATE(VALUE(RIGHT(RIGHT(TRIM(A144),10),4)),VALUE(MID(RIGHT(TRIM(A144),10),4,2)),VALUE(LEFT(RIGHT(TRIM(A144),10),2))),IFERROR(TODAY()-MOD(WEEKDAY(TODAY(),1)-MATCH(TRIM(A144),{"الأحد","الاثنين","الثلاثاء","الأربعاء","الخميس","الجمعة","السبت"},0),7),IFERROR(DATEVALUE(A144),"")))))</f>
        <v/>
      </c>
      <c r="I144" s="0" t="str">
        <f aca="false">IF(H144="","",INT((H144-WEEK_ONE)/7)+1)</f>
        <v/>
      </c>
      <c r="J144" s="0" t="str">
        <f aca="false">IF(I144="","",IF(OR(I144&lt;1,I144&gt;NW),"",INDEX(WMON,I144)))</f>
        <v/>
      </c>
    </row>
    <row r="145" customFormat="false" ht="15" hidden="false" customHeight="false" outlineLevel="0" collapsed="false">
      <c r="A145" s="43"/>
      <c r="B145" s="23" t="str">
        <f aca="false">IF(H145="","",CHOOSE(WEEKDAY(H145,1),"الأحد","الاثنين","الثلاثاء","الأربعاء","الخميس","الجمعة","السبت")&amp;IF(OR(ISNUMBER(A145),LEN(TRIM(A145))&gt;=10),"","  "&amp;TEXT(DAY(H145),"00")&amp;"/"&amp;TEXT(MONTH(H145),"00")&amp;"/"&amp;YEAR(H145)))</f>
        <v/>
      </c>
      <c r="C145" s="24"/>
      <c r="D145" s="27"/>
      <c r="E145" s="44"/>
      <c r="F145" s="27"/>
      <c r="G145" s="0" t="str">
        <f aca="false">IF(AND(C145&lt;&gt;"",COUNTIF(C$6:C145,C145)=1),MAX(G$5:G144)+1,"")</f>
        <v/>
      </c>
      <c r="H145" s="0" t="str">
        <f aca="true">IF(A145="","",IF(ISNUMBER(A145),IF(A145&gt;=36526,A145,""),IFERROR(DATE(VALUE(RIGHT(RIGHT(TRIM(A145),10),4)),VALUE(MID(RIGHT(TRIM(A145),10),4,2)),VALUE(LEFT(RIGHT(TRIM(A145),10),2))),IFERROR(TODAY()-MOD(WEEKDAY(TODAY(),1)-MATCH(TRIM(A145),{"الأحد","الاثنين","الثلاثاء","الأربعاء","الخميس","الجمعة","السبت"},0),7),IFERROR(DATEVALUE(A145),"")))))</f>
        <v/>
      </c>
      <c r="I145" s="0" t="str">
        <f aca="false">IF(H145="","",INT((H145-WEEK_ONE)/7)+1)</f>
        <v/>
      </c>
      <c r="J145" s="0" t="str">
        <f aca="false">IF(I145="","",IF(OR(I145&lt;1,I145&gt;NW),"",INDEX(WMON,I145)))</f>
        <v/>
      </c>
    </row>
    <row r="146" customFormat="false" ht="15" hidden="false" customHeight="false" outlineLevel="0" collapsed="false">
      <c r="A146" s="43"/>
      <c r="B146" s="23" t="str">
        <f aca="false">IF(H146="","",CHOOSE(WEEKDAY(H146,1),"الأحد","الاثنين","الثلاثاء","الأربعاء","الخميس","الجمعة","السبت")&amp;IF(OR(ISNUMBER(A146),LEN(TRIM(A146))&gt;=10),"","  "&amp;TEXT(DAY(H146),"00")&amp;"/"&amp;TEXT(MONTH(H146),"00")&amp;"/"&amp;YEAR(H146)))</f>
        <v/>
      </c>
      <c r="C146" s="24"/>
      <c r="D146" s="27"/>
      <c r="E146" s="44"/>
      <c r="F146" s="27"/>
      <c r="G146" s="0" t="str">
        <f aca="false">IF(AND(C146&lt;&gt;"",COUNTIF(C$6:C146,C146)=1),MAX(G$5:G145)+1,"")</f>
        <v/>
      </c>
      <c r="H146" s="0" t="str">
        <f aca="true">IF(A146="","",IF(ISNUMBER(A146),IF(A146&gt;=36526,A146,""),IFERROR(DATE(VALUE(RIGHT(RIGHT(TRIM(A146),10),4)),VALUE(MID(RIGHT(TRIM(A146),10),4,2)),VALUE(LEFT(RIGHT(TRIM(A146),10),2))),IFERROR(TODAY()-MOD(WEEKDAY(TODAY(),1)-MATCH(TRIM(A146),{"الأحد","الاثنين","الثلاثاء","الأربعاء","الخميس","الجمعة","السبت"},0),7),IFERROR(DATEVALUE(A146),"")))))</f>
        <v/>
      </c>
      <c r="I146" s="0" t="str">
        <f aca="false">IF(H146="","",INT((H146-WEEK_ONE)/7)+1)</f>
        <v/>
      </c>
      <c r="J146" s="0" t="str">
        <f aca="false">IF(I146="","",IF(OR(I146&lt;1,I146&gt;NW),"",INDEX(WMON,I146)))</f>
        <v/>
      </c>
    </row>
    <row r="147" customFormat="false" ht="15" hidden="false" customHeight="false" outlineLevel="0" collapsed="false">
      <c r="A147" s="43"/>
      <c r="B147" s="23" t="str">
        <f aca="false">IF(H147="","",CHOOSE(WEEKDAY(H147,1),"الأحد","الاثنين","الثلاثاء","الأربعاء","الخميس","الجمعة","السبت")&amp;IF(OR(ISNUMBER(A147),LEN(TRIM(A147))&gt;=10),"","  "&amp;TEXT(DAY(H147),"00")&amp;"/"&amp;TEXT(MONTH(H147),"00")&amp;"/"&amp;YEAR(H147)))</f>
        <v/>
      </c>
      <c r="C147" s="24"/>
      <c r="D147" s="27"/>
      <c r="E147" s="44"/>
      <c r="F147" s="27"/>
      <c r="G147" s="0" t="str">
        <f aca="false">IF(AND(C147&lt;&gt;"",COUNTIF(C$6:C147,C147)=1),MAX(G$5:G146)+1,"")</f>
        <v/>
      </c>
      <c r="H147" s="0" t="str">
        <f aca="true">IF(A147="","",IF(ISNUMBER(A147),IF(A147&gt;=36526,A147,""),IFERROR(DATE(VALUE(RIGHT(RIGHT(TRIM(A147),10),4)),VALUE(MID(RIGHT(TRIM(A147),10),4,2)),VALUE(LEFT(RIGHT(TRIM(A147),10),2))),IFERROR(TODAY()-MOD(WEEKDAY(TODAY(),1)-MATCH(TRIM(A147),{"الأحد","الاثنين","الثلاثاء","الأربعاء","الخميس","الجمعة","السبت"},0),7),IFERROR(DATEVALUE(A147),"")))))</f>
        <v/>
      </c>
      <c r="I147" s="0" t="str">
        <f aca="false">IF(H147="","",INT((H147-WEEK_ONE)/7)+1)</f>
        <v/>
      </c>
      <c r="J147" s="0" t="str">
        <f aca="false">IF(I147="","",IF(OR(I147&lt;1,I147&gt;NW),"",INDEX(WMON,I147)))</f>
        <v/>
      </c>
    </row>
    <row r="148" customFormat="false" ht="15" hidden="false" customHeight="false" outlineLevel="0" collapsed="false">
      <c r="A148" s="43"/>
      <c r="B148" s="23" t="str">
        <f aca="false">IF(H148="","",CHOOSE(WEEKDAY(H148,1),"الأحد","الاثنين","الثلاثاء","الأربعاء","الخميس","الجمعة","السبت")&amp;IF(OR(ISNUMBER(A148),LEN(TRIM(A148))&gt;=10),"","  "&amp;TEXT(DAY(H148),"00")&amp;"/"&amp;TEXT(MONTH(H148),"00")&amp;"/"&amp;YEAR(H148)))</f>
        <v/>
      </c>
      <c r="C148" s="24"/>
      <c r="D148" s="27"/>
      <c r="E148" s="44"/>
      <c r="F148" s="27"/>
      <c r="G148" s="0" t="str">
        <f aca="false">IF(AND(C148&lt;&gt;"",COUNTIF(C$6:C148,C148)=1),MAX(G$5:G147)+1,"")</f>
        <v/>
      </c>
      <c r="H148" s="0" t="str">
        <f aca="true">IF(A148="","",IF(ISNUMBER(A148),IF(A148&gt;=36526,A148,""),IFERROR(DATE(VALUE(RIGHT(RIGHT(TRIM(A148),10),4)),VALUE(MID(RIGHT(TRIM(A148),10),4,2)),VALUE(LEFT(RIGHT(TRIM(A148),10),2))),IFERROR(TODAY()-MOD(WEEKDAY(TODAY(),1)-MATCH(TRIM(A148),{"الأحد","الاثنين","الثلاثاء","الأربعاء","الخميس","الجمعة","السبت"},0),7),IFERROR(DATEVALUE(A148),"")))))</f>
        <v/>
      </c>
      <c r="I148" s="0" t="str">
        <f aca="false">IF(H148="","",INT((H148-WEEK_ONE)/7)+1)</f>
        <v/>
      </c>
      <c r="J148" s="0" t="str">
        <f aca="false">IF(I148="","",IF(OR(I148&lt;1,I148&gt;NW),"",INDEX(WMON,I148)))</f>
        <v/>
      </c>
    </row>
    <row r="149" customFormat="false" ht="15" hidden="false" customHeight="false" outlineLevel="0" collapsed="false">
      <c r="A149" s="43"/>
      <c r="B149" s="23" t="str">
        <f aca="false">IF(H149="","",CHOOSE(WEEKDAY(H149,1),"الأحد","الاثنين","الثلاثاء","الأربعاء","الخميس","الجمعة","السبت")&amp;IF(OR(ISNUMBER(A149),LEN(TRIM(A149))&gt;=10),"","  "&amp;TEXT(DAY(H149),"00")&amp;"/"&amp;TEXT(MONTH(H149),"00")&amp;"/"&amp;YEAR(H149)))</f>
        <v/>
      </c>
      <c r="C149" s="24"/>
      <c r="D149" s="27"/>
      <c r="E149" s="44"/>
      <c r="F149" s="27"/>
      <c r="G149" s="0" t="str">
        <f aca="false">IF(AND(C149&lt;&gt;"",COUNTIF(C$6:C149,C149)=1),MAX(G$5:G148)+1,"")</f>
        <v/>
      </c>
      <c r="H149" s="0" t="str">
        <f aca="true">IF(A149="","",IF(ISNUMBER(A149),IF(A149&gt;=36526,A149,""),IFERROR(DATE(VALUE(RIGHT(RIGHT(TRIM(A149),10),4)),VALUE(MID(RIGHT(TRIM(A149),10),4,2)),VALUE(LEFT(RIGHT(TRIM(A149),10),2))),IFERROR(TODAY()-MOD(WEEKDAY(TODAY(),1)-MATCH(TRIM(A149),{"الأحد","الاثنين","الثلاثاء","الأربعاء","الخميس","الجمعة","السبت"},0),7),IFERROR(DATEVALUE(A149),"")))))</f>
        <v/>
      </c>
      <c r="I149" s="0" t="str">
        <f aca="false">IF(H149="","",INT((H149-WEEK_ONE)/7)+1)</f>
        <v/>
      </c>
      <c r="J149" s="0" t="str">
        <f aca="false">IF(I149="","",IF(OR(I149&lt;1,I149&gt;NW),"",INDEX(WMON,I149)))</f>
        <v/>
      </c>
    </row>
    <row r="150" customFormat="false" ht="15" hidden="false" customHeight="false" outlineLevel="0" collapsed="false">
      <c r="A150" s="43"/>
      <c r="B150" s="23" t="str">
        <f aca="false">IF(H150="","",CHOOSE(WEEKDAY(H150,1),"الأحد","الاثنين","الثلاثاء","الأربعاء","الخميس","الجمعة","السبت")&amp;IF(OR(ISNUMBER(A150),LEN(TRIM(A150))&gt;=10),"","  "&amp;TEXT(DAY(H150),"00")&amp;"/"&amp;TEXT(MONTH(H150),"00")&amp;"/"&amp;YEAR(H150)))</f>
        <v/>
      </c>
      <c r="C150" s="24"/>
      <c r="D150" s="27"/>
      <c r="E150" s="44"/>
      <c r="F150" s="27"/>
      <c r="G150" s="0" t="str">
        <f aca="false">IF(AND(C150&lt;&gt;"",COUNTIF(C$6:C150,C150)=1),MAX(G$5:G149)+1,"")</f>
        <v/>
      </c>
      <c r="H150" s="0" t="str">
        <f aca="true">IF(A150="","",IF(ISNUMBER(A150),IF(A150&gt;=36526,A150,""),IFERROR(DATE(VALUE(RIGHT(RIGHT(TRIM(A150),10),4)),VALUE(MID(RIGHT(TRIM(A150),10),4,2)),VALUE(LEFT(RIGHT(TRIM(A150),10),2))),IFERROR(TODAY()-MOD(WEEKDAY(TODAY(),1)-MATCH(TRIM(A150),{"الأحد","الاثنين","الثلاثاء","الأربعاء","الخميس","الجمعة","السبت"},0),7),IFERROR(DATEVALUE(A150),"")))))</f>
        <v/>
      </c>
      <c r="I150" s="0" t="str">
        <f aca="false">IF(H150="","",INT((H150-WEEK_ONE)/7)+1)</f>
        <v/>
      </c>
      <c r="J150" s="0" t="str">
        <f aca="false">IF(I150="","",IF(OR(I150&lt;1,I150&gt;NW),"",INDEX(WMON,I150)))</f>
        <v/>
      </c>
    </row>
    <row r="151" customFormat="false" ht="15" hidden="false" customHeight="false" outlineLevel="0" collapsed="false">
      <c r="A151" s="43"/>
      <c r="B151" s="23" t="str">
        <f aca="false">IF(H151="","",CHOOSE(WEEKDAY(H151,1),"الأحد","الاثنين","الثلاثاء","الأربعاء","الخميس","الجمعة","السبت")&amp;IF(OR(ISNUMBER(A151),LEN(TRIM(A151))&gt;=10),"","  "&amp;TEXT(DAY(H151),"00")&amp;"/"&amp;TEXT(MONTH(H151),"00")&amp;"/"&amp;YEAR(H151)))</f>
        <v/>
      </c>
      <c r="C151" s="24"/>
      <c r="D151" s="27"/>
      <c r="E151" s="44"/>
      <c r="F151" s="27"/>
      <c r="G151" s="0" t="str">
        <f aca="false">IF(AND(C151&lt;&gt;"",COUNTIF(C$6:C151,C151)=1),MAX(G$5:G150)+1,"")</f>
        <v/>
      </c>
      <c r="H151" s="0" t="str">
        <f aca="true">IF(A151="","",IF(ISNUMBER(A151),IF(A151&gt;=36526,A151,""),IFERROR(DATE(VALUE(RIGHT(RIGHT(TRIM(A151),10),4)),VALUE(MID(RIGHT(TRIM(A151),10),4,2)),VALUE(LEFT(RIGHT(TRIM(A151),10),2))),IFERROR(TODAY()-MOD(WEEKDAY(TODAY(),1)-MATCH(TRIM(A151),{"الأحد","الاثنين","الثلاثاء","الأربعاء","الخميس","الجمعة","السبت"},0),7),IFERROR(DATEVALUE(A151),"")))))</f>
        <v/>
      </c>
      <c r="I151" s="0" t="str">
        <f aca="false">IF(H151="","",INT((H151-WEEK_ONE)/7)+1)</f>
        <v/>
      </c>
      <c r="J151" s="0" t="str">
        <f aca="false">IF(I151="","",IF(OR(I151&lt;1,I151&gt;NW),"",INDEX(WMON,I151)))</f>
        <v/>
      </c>
    </row>
    <row r="152" customFormat="false" ht="15" hidden="false" customHeight="false" outlineLevel="0" collapsed="false">
      <c r="A152" s="43"/>
      <c r="B152" s="23" t="str">
        <f aca="false">IF(H152="","",CHOOSE(WEEKDAY(H152,1),"الأحد","الاثنين","الثلاثاء","الأربعاء","الخميس","الجمعة","السبت")&amp;IF(OR(ISNUMBER(A152),LEN(TRIM(A152))&gt;=10),"","  "&amp;TEXT(DAY(H152),"00")&amp;"/"&amp;TEXT(MONTH(H152),"00")&amp;"/"&amp;YEAR(H152)))</f>
        <v/>
      </c>
      <c r="C152" s="24"/>
      <c r="D152" s="27"/>
      <c r="E152" s="44"/>
      <c r="F152" s="27"/>
      <c r="G152" s="0" t="str">
        <f aca="false">IF(AND(C152&lt;&gt;"",COUNTIF(C$6:C152,C152)=1),MAX(G$5:G151)+1,"")</f>
        <v/>
      </c>
      <c r="H152" s="0" t="str">
        <f aca="true">IF(A152="","",IF(ISNUMBER(A152),IF(A152&gt;=36526,A152,""),IFERROR(DATE(VALUE(RIGHT(RIGHT(TRIM(A152),10),4)),VALUE(MID(RIGHT(TRIM(A152),10),4,2)),VALUE(LEFT(RIGHT(TRIM(A152),10),2))),IFERROR(TODAY()-MOD(WEEKDAY(TODAY(),1)-MATCH(TRIM(A152),{"الأحد","الاثنين","الثلاثاء","الأربعاء","الخميس","الجمعة","السبت"},0),7),IFERROR(DATEVALUE(A152),"")))))</f>
        <v/>
      </c>
      <c r="I152" s="0" t="str">
        <f aca="false">IF(H152="","",INT((H152-WEEK_ONE)/7)+1)</f>
        <v/>
      </c>
      <c r="J152" s="0" t="str">
        <f aca="false">IF(I152="","",IF(OR(I152&lt;1,I152&gt;NW),"",INDEX(WMON,I152)))</f>
        <v/>
      </c>
    </row>
    <row r="153" customFormat="false" ht="15" hidden="false" customHeight="false" outlineLevel="0" collapsed="false">
      <c r="A153" s="43"/>
      <c r="B153" s="23" t="str">
        <f aca="false">IF(H153="","",CHOOSE(WEEKDAY(H153,1),"الأحد","الاثنين","الثلاثاء","الأربعاء","الخميس","الجمعة","السبت")&amp;IF(OR(ISNUMBER(A153),LEN(TRIM(A153))&gt;=10),"","  "&amp;TEXT(DAY(H153),"00")&amp;"/"&amp;TEXT(MONTH(H153),"00")&amp;"/"&amp;YEAR(H153)))</f>
        <v/>
      </c>
      <c r="C153" s="24"/>
      <c r="D153" s="27"/>
      <c r="E153" s="44"/>
      <c r="F153" s="27"/>
      <c r="G153" s="0" t="str">
        <f aca="false">IF(AND(C153&lt;&gt;"",COUNTIF(C$6:C153,C153)=1),MAX(G$5:G152)+1,"")</f>
        <v/>
      </c>
      <c r="H153" s="0" t="str">
        <f aca="true">IF(A153="","",IF(ISNUMBER(A153),IF(A153&gt;=36526,A153,""),IFERROR(DATE(VALUE(RIGHT(RIGHT(TRIM(A153),10),4)),VALUE(MID(RIGHT(TRIM(A153),10),4,2)),VALUE(LEFT(RIGHT(TRIM(A153),10),2))),IFERROR(TODAY()-MOD(WEEKDAY(TODAY(),1)-MATCH(TRIM(A153),{"الأحد","الاثنين","الثلاثاء","الأربعاء","الخميس","الجمعة","السبت"},0),7),IFERROR(DATEVALUE(A153),"")))))</f>
        <v/>
      </c>
      <c r="I153" s="0" t="str">
        <f aca="false">IF(H153="","",INT((H153-WEEK_ONE)/7)+1)</f>
        <v/>
      </c>
      <c r="J153" s="0" t="str">
        <f aca="false">IF(I153="","",IF(OR(I153&lt;1,I153&gt;NW),"",INDEX(WMON,I153)))</f>
        <v/>
      </c>
    </row>
    <row r="154" customFormat="false" ht="15" hidden="false" customHeight="false" outlineLevel="0" collapsed="false">
      <c r="A154" s="43"/>
      <c r="B154" s="23" t="str">
        <f aca="false">IF(H154="","",CHOOSE(WEEKDAY(H154,1),"الأحد","الاثنين","الثلاثاء","الأربعاء","الخميس","الجمعة","السبت")&amp;IF(OR(ISNUMBER(A154),LEN(TRIM(A154))&gt;=10),"","  "&amp;TEXT(DAY(H154),"00")&amp;"/"&amp;TEXT(MONTH(H154),"00")&amp;"/"&amp;YEAR(H154)))</f>
        <v/>
      </c>
      <c r="C154" s="24"/>
      <c r="D154" s="27"/>
      <c r="E154" s="44"/>
      <c r="F154" s="27"/>
      <c r="G154" s="0" t="str">
        <f aca="false">IF(AND(C154&lt;&gt;"",COUNTIF(C$6:C154,C154)=1),MAX(G$5:G153)+1,"")</f>
        <v/>
      </c>
      <c r="H154" s="0" t="str">
        <f aca="true">IF(A154="","",IF(ISNUMBER(A154),IF(A154&gt;=36526,A154,""),IFERROR(DATE(VALUE(RIGHT(RIGHT(TRIM(A154),10),4)),VALUE(MID(RIGHT(TRIM(A154),10),4,2)),VALUE(LEFT(RIGHT(TRIM(A154),10),2))),IFERROR(TODAY()-MOD(WEEKDAY(TODAY(),1)-MATCH(TRIM(A154),{"الأحد","الاثنين","الثلاثاء","الأربعاء","الخميس","الجمعة","السبت"},0),7),IFERROR(DATEVALUE(A154),"")))))</f>
        <v/>
      </c>
      <c r="I154" s="0" t="str">
        <f aca="false">IF(H154="","",INT((H154-WEEK_ONE)/7)+1)</f>
        <v/>
      </c>
      <c r="J154" s="0" t="str">
        <f aca="false">IF(I154="","",IF(OR(I154&lt;1,I154&gt;NW),"",INDEX(WMON,I154)))</f>
        <v/>
      </c>
    </row>
    <row r="155" customFormat="false" ht="15" hidden="false" customHeight="false" outlineLevel="0" collapsed="false">
      <c r="A155" s="43"/>
      <c r="B155" s="23" t="str">
        <f aca="false">IF(H155="","",CHOOSE(WEEKDAY(H155,1),"الأحد","الاثنين","الثلاثاء","الأربعاء","الخميس","الجمعة","السبت")&amp;IF(OR(ISNUMBER(A155),LEN(TRIM(A155))&gt;=10),"","  "&amp;TEXT(DAY(H155),"00")&amp;"/"&amp;TEXT(MONTH(H155),"00")&amp;"/"&amp;YEAR(H155)))</f>
        <v/>
      </c>
      <c r="C155" s="24"/>
      <c r="D155" s="27"/>
      <c r="E155" s="44"/>
      <c r="F155" s="27"/>
      <c r="G155" s="0" t="str">
        <f aca="false">IF(AND(C155&lt;&gt;"",COUNTIF(C$6:C155,C155)=1),MAX(G$5:G154)+1,"")</f>
        <v/>
      </c>
      <c r="H155" s="0" t="str">
        <f aca="true">IF(A155="","",IF(ISNUMBER(A155),IF(A155&gt;=36526,A155,""),IFERROR(DATE(VALUE(RIGHT(RIGHT(TRIM(A155),10),4)),VALUE(MID(RIGHT(TRIM(A155),10),4,2)),VALUE(LEFT(RIGHT(TRIM(A155),10),2))),IFERROR(TODAY()-MOD(WEEKDAY(TODAY(),1)-MATCH(TRIM(A155),{"الأحد","الاثنين","الثلاثاء","الأربعاء","الخميس","الجمعة","السبت"},0),7),IFERROR(DATEVALUE(A155),"")))))</f>
        <v/>
      </c>
      <c r="I155" s="0" t="str">
        <f aca="false">IF(H155="","",INT((H155-WEEK_ONE)/7)+1)</f>
        <v/>
      </c>
      <c r="J155" s="0" t="str">
        <f aca="false">IF(I155="","",IF(OR(I155&lt;1,I155&gt;NW),"",INDEX(WMON,I155)))</f>
        <v/>
      </c>
    </row>
    <row r="156" customFormat="false" ht="15" hidden="false" customHeight="false" outlineLevel="0" collapsed="false">
      <c r="A156" s="43"/>
      <c r="B156" s="23" t="str">
        <f aca="false">IF(H156="","",CHOOSE(WEEKDAY(H156,1),"الأحد","الاثنين","الثلاثاء","الأربعاء","الخميس","الجمعة","السبت")&amp;IF(OR(ISNUMBER(A156),LEN(TRIM(A156))&gt;=10),"","  "&amp;TEXT(DAY(H156),"00")&amp;"/"&amp;TEXT(MONTH(H156),"00")&amp;"/"&amp;YEAR(H156)))</f>
        <v/>
      </c>
      <c r="C156" s="24"/>
      <c r="D156" s="27"/>
      <c r="E156" s="44"/>
      <c r="F156" s="27"/>
      <c r="G156" s="0" t="str">
        <f aca="false">IF(AND(C156&lt;&gt;"",COUNTIF(C$6:C156,C156)=1),MAX(G$5:G155)+1,"")</f>
        <v/>
      </c>
      <c r="H156" s="0" t="str">
        <f aca="true">IF(A156="","",IF(ISNUMBER(A156),IF(A156&gt;=36526,A156,""),IFERROR(DATE(VALUE(RIGHT(RIGHT(TRIM(A156),10),4)),VALUE(MID(RIGHT(TRIM(A156),10),4,2)),VALUE(LEFT(RIGHT(TRIM(A156),10),2))),IFERROR(TODAY()-MOD(WEEKDAY(TODAY(),1)-MATCH(TRIM(A156),{"الأحد","الاثنين","الثلاثاء","الأربعاء","الخميس","الجمعة","السبت"},0),7),IFERROR(DATEVALUE(A156),"")))))</f>
        <v/>
      </c>
      <c r="I156" s="0" t="str">
        <f aca="false">IF(H156="","",INT((H156-WEEK_ONE)/7)+1)</f>
        <v/>
      </c>
      <c r="J156" s="0" t="str">
        <f aca="false">IF(I156="","",IF(OR(I156&lt;1,I156&gt;NW),"",INDEX(WMON,I156)))</f>
        <v/>
      </c>
    </row>
    <row r="157" customFormat="false" ht="15" hidden="false" customHeight="false" outlineLevel="0" collapsed="false">
      <c r="A157" s="43"/>
      <c r="B157" s="23" t="str">
        <f aca="false">IF(H157="","",CHOOSE(WEEKDAY(H157,1),"الأحد","الاثنين","الثلاثاء","الأربعاء","الخميس","الجمعة","السبت")&amp;IF(OR(ISNUMBER(A157),LEN(TRIM(A157))&gt;=10),"","  "&amp;TEXT(DAY(H157),"00")&amp;"/"&amp;TEXT(MONTH(H157),"00")&amp;"/"&amp;YEAR(H157)))</f>
        <v/>
      </c>
      <c r="C157" s="24"/>
      <c r="D157" s="27"/>
      <c r="E157" s="44"/>
      <c r="F157" s="27"/>
      <c r="G157" s="0" t="str">
        <f aca="false">IF(AND(C157&lt;&gt;"",COUNTIF(C$6:C157,C157)=1),MAX(G$5:G156)+1,"")</f>
        <v/>
      </c>
      <c r="H157" s="0" t="str">
        <f aca="true">IF(A157="","",IF(ISNUMBER(A157),IF(A157&gt;=36526,A157,""),IFERROR(DATE(VALUE(RIGHT(RIGHT(TRIM(A157),10),4)),VALUE(MID(RIGHT(TRIM(A157),10),4,2)),VALUE(LEFT(RIGHT(TRIM(A157),10),2))),IFERROR(TODAY()-MOD(WEEKDAY(TODAY(),1)-MATCH(TRIM(A157),{"الأحد","الاثنين","الثلاثاء","الأربعاء","الخميس","الجمعة","السبت"},0),7),IFERROR(DATEVALUE(A157),"")))))</f>
        <v/>
      </c>
      <c r="I157" s="0" t="str">
        <f aca="false">IF(H157="","",INT((H157-WEEK_ONE)/7)+1)</f>
        <v/>
      </c>
      <c r="J157" s="0" t="str">
        <f aca="false">IF(I157="","",IF(OR(I157&lt;1,I157&gt;NW),"",INDEX(WMON,I157)))</f>
        <v/>
      </c>
    </row>
    <row r="158" customFormat="false" ht="15" hidden="false" customHeight="false" outlineLevel="0" collapsed="false">
      <c r="A158" s="43"/>
      <c r="B158" s="23" t="str">
        <f aca="false">IF(H158="","",CHOOSE(WEEKDAY(H158,1),"الأحد","الاثنين","الثلاثاء","الأربعاء","الخميس","الجمعة","السبت")&amp;IF(OR(ISNUMBER(A158),LEN(TRIM(A158))&gt;=10),"","  "&amp;TEXT(DAY(H158),"00")&amp;"/"&amp;TEXT(MONTH(H158),"00")&amp;"/"&amp;YEAR(H158)))</f>
        <v/>
      </c>
      <c r="C158" s="24"/>
      <c r="D158" s="27"/>
      <c r="E158" s="44"/>
      <c r="F158" s="27"/>
      <c r="G158" s="0" t="str">
        <f aca="false">IF(AND(C158&lt;&gt;"",COUNTIF(C$6:C158,C158)=1),MAX(G$5:G157)+1,"")</f>
        <v/>
      </c>
      <c r="H158" s="0" t="str">
        <f aca="true">IF(A158="","",IF(ISNUMBER(A158),IF(A158&gt;=36526,A158,""),IFERROR(DATE(VALUE(RIGHT(RIGHT(TRIM(A158),10),4)),VALUE(MID(RIGHT(TRIM(A158),10),4,2)),VALUE(LEFT(RIGHT(TRIM(A158),10),2))),IFERROR(TODAY()-MOD(WEEKDAY(TODAY(),1)-MATCH(TRIM(A158),{"الأحد","الاثنين","الثلاثاء","الأربعاء","الخميس","الجمعة","السبت"},0),7),IFERROR(DATEVALUE(A158),"")))))</f>
        <v/>
      </c>
      <c r="I158" s="0" t="str">
        <f aca="false">IF(H158="","",INT((H158-WEEK_ONE)/7)+1)</f>
        <v/>
      </c>
      <c r="J158" s="0" t="str">
        <f aca="false">IF(I158="","",IF(OR(I158&lt;1,I158&gt;NW),"",INDEX(WMON,I158)))</f>
        <v/>
      </c>
    </row>
    <row r="159" customFormat="false" ht="15" hidden="false" customHeight="false" outlineLevel="0" collapsed="false">
      <c r="A159" s="43"/>
      <c r="B159" s="23" t="str">
        <f aca="false">IF(H159="","",CHOOSE(WEEKDAY(H159,1),"الأحد","الاثنين","الثلاثاء","الأربعاء","الخميس","الجمعة","السبت")&amp;IF(OR(ISNUMBER(A159),LEN(TRIM(A159))&gt;=10),"","  "&amp;TEXT(DAY(H159),"00")&amp;"/"&amp;TEXT(MONTH(H159),"00")&amp;"/"&amp;YEAR(H159)))</f>
        <v/>
      </c>
      <c r="C159" s="24"/>
      <c r="D159" s="27"/>
      <c r="E159" s="44"/>
      <c r="F159" s="27"/>
      <c r="G159" s="0" t="str">
        <f aca="false">IF(AND(C159&lt;&gt;"",COUNTIF(C$6:C159,C159)=1),MAX(G$5:G158)+1,"")</f>
        <v/>
      </c>
      <c r="H159" s="0" t="str">
        <f aca="true">IF(A159="","",IF(ISNUMBER(A159),IF(A159&gt;=36526,A159,""),IFERROR(DATE(VALUE(RIGHT(RIGHT(TRIM(A159),10),4)),VALUE(MID(RIGHT(TRIM(A159),10),4,2)),VALUE(LEFT(RIGHT(TRIM(A159),10),2))),IFERROR(TODAY()-MOD(WEEKDAY(TODAY(),1)-MATCH(TRIM(A159),{"الأحد","الاثنين","الثلاثاء","الأربعاء","الخميس","الجمعة","السبت"},0),7),IFERROR(DATEVALUE(A159),"")))))</f>
        <v/>
      </c>
      <c r="I159" s="0" t="str">
        <f aca="false">IF(H159="","",INT((H159-WEEK_ONE)/7)+1)</f>
        <v/>
      </c>
      <c r="J159" s="0" t="str">
        <f aca="false">IF(I159="","",IF(OR(I159&lt;1,I159&gt;NW),"",INDEX(WMON,I159)))</f>
        <v/>
      </c>
    </row>
    <row r="160" customFormat="false" ht="15" hidden="false" customHeight="false" outlineLevel="0" collapsed="false">
      <c r="A160" s="43"/>
      <c r="B160" s="23" t="str">
        <f aca="false">IF(H160="","",CHOOSE(WEEKDAY(H160,1),"الأحد","الاثنين","الثلاثاء","الأربعاء","الخميس","الجمعة","السبت")&amp;IF(OR(ISNUMBER(A160),LEN(TRIM(A160))&gt;=10),"","  "&amp;TEXT(DAY(H160),"00")&amp;"/"&amp;TEXT(MONTH(H160),"00")&amp;"/"&amp;YEAR(H160)))</f>
        <v/>
      </c>
      <c r="C160" s="24"/>
      <c r="D160" s="27"/>
      <c r="E160" s="44"/>
      <c r="F160" s="27"/>
      <c r="G160" s="0" t="str">
        <f aca="false">IF(AND(C160&lt;&gt;"",COUNTIF(C$6:C160,C160)=1),MAX(G$5:G159)+1,"")</f>
        <v/>
      </c>
      <c r="H160" s="0" t="str">
        <f aca="true">IF(A160="","",IF(ISNUMBER(A160),IF(A160&gt;=36526,A160,""),IFERROR(DATE(VALUE(RIGHT(RIGHT(TRIM(A160),10),4)),VALUE(MID(RIGHT(TRIM(A160),10),4,2)),VALUE(LEFT(RIGHT(TRIM(A160),10),2))),IFERROR(TODAY()-MOD(WEEKDAY(TODAY(),1)-MATCH(TRIM(A160),{"الأحد","الاثنين","الثلاثاء","الأربعاء","الخميس","الجمعة","السبت"},0),7),IFERROR(DATEVALUE(A160),"")))))</f>
        <v/>
      </c>
      <c r="I160" s="0" t="str">
        <f aca="false">IF(H160="","",INT((H160-WEEK_ONE)/7)+1)</f>
        <v/>
      </c>
      <c r="J160" s="0" t="str">
        <f aca="false">IF(I160="","",IF(OR(I160&lt;1,I160&gt;NW),"",INDEX(WMON,I160)))</f>
        <v/>
      </c>
    </row>
    <row r="161" customFormat="false" ht="15" hidden="false" customHeight="false" outlineLevel="0" collapsed="false">
      <c r="A161" s="43"/>
      <c r="B161" s="23" t="str">
        <f aca="false">IF(H161="","",CHOOSE(WEEKDAY(H161,1),"الأحد","الاثنين","الثلاثاء","الأربعاء","الخميس","الجمعة","السبت")&amp;IF(OR(ISNUMBER(A161),LEN(TRIM(A161))&gt;=10),"","  "&amp;TEXT(DAY(H161),"00")&amp;"/"&amp;TEXT(MONTH(H161),"00")&amp;"/"&amp;YEAR(H161)))</f>
        <v/>
      </c>
      <c r="C161" s="24"/>
      <c r="D161" s="27"/>
      <c r="E161" s="44"/>
      <c r="F161" s="27"/>
      <c r="G161" s="0" t="str">
        <f aca="false">IF(AND(C161&lt;&gt;"",COUNTIF(C$6:C161,C161)=1),MAX(G$5:G160)+1,"")</f>
        <v/>
      </c>
      <c r="H161" s="0" t="str">
        <f aca="true">IF(A161="","",IF(ISNUMBER(A161),IF(A161&gt;=36526,A161,""),IFERROR(DATE(VALUE(RIGHT(RIGHT(TRIM(A161),10),4)),VALUE(MID(RIGHT(TRIM(A161),10),4,2)),VALUE(LEFT(RIGHT(TRIM(A161),10),2))),IFERROR(TODAY()-MOD(WEEKDAY(TODAY(),1)-MATCH(TRIM(A161),{"الأحد","الاثنين","الثلاثاء","الأربعاء","الخميس","الجمعة","السبت"},0),7),IFERROR(DATEVALUE(A161),"")))))</f>
        <v/>
      </c>
      <c r="I161" s="0" t="str">
        <f aca="false">IF(H161="","",INT((H161-WEEK_ONE)/7)+1)</f>
        <v/>
      </c>
      <c r="J161" s="0" t="str">
        <f aca="false">IF(I161="","",IF(OR(I161&lt;1,I161&gt;NW),"",INDEX(WMON,I161)))</f>
        <v/>
      </c>
    </row>
    <row r="162" customFormat="false" ht="15" hidden="false" customHeight="false" outlineLevel="0" collapsed="false">
      <c r="A162" s="43"/>
      <c r="B162" s="23" t="str">
        <f aca="false">IF(H162="","",CHOOSE(WEEKDAY(H162,1),"الأحد","الاثنين","الثلاثاء","الأربعاء","الخميس","الجمعة","السبت")&amp;IF(OR(ISNUMBER(A162),LEN(TRIM(A162))&gt;=10),"","  "&amp;TEXT(DAY(H162),"00")&amp;"/"&amp;TEXT(MONTH(H162),"00")&amp;"/"&amp;YEAR(H162)))</f>
        <v/>
      </c>
      <c r="C162" s="24"/>
      <c r="D162" s="27"/>
      <c r="E162" s="44"/>
      <c r="F162" s="27"/>
      <c r="G162" s="0" t="str">
        <f aca="false">IF(AND(C162&lt;&gt;"",COUNTIF(C$6:C162,C162)=1),MAX(G$5:G161)+1,"")</f>
        <v/>
      </c>
      <c r="H162" s="0" t="str">
        <f aca="true">IF(A162="","",IF(ISNUMBER(A162),IF(A162&gt;=36526,A162,""),IFERROR(DATE(VALUE(RIGHT(RIGHT(TRIM(A162),10),4)),VALUE(MID(RIGHT(TRIM(A162),10),4,2)),VALUE(LEFT(RIGHT(TRIM(A162),10),2))),IFERROR(TODAY()-MOD(WEEKDAY(TODAY(),1)-MATCH(TRIM(A162),{"الأحد","الاثنين","الثلاثاء","الأربعاء","الخميس","الجمعة","السبت"},0),7),IFERROR(DATEVALUE(A162),"")))))</f>
        <v/>
      </c>
      <c r="I162" s="0" t="str">
        <f aca="false">IF(H162="","",INT((H162-WEEK_ONE)/7)+1)</f>
        <v/>
      </c>
      <c r="J162" s="0" t="str">
        <f aca="false">IF(I162="","",IF(OR(I162&lt;1,I162&gt;NW),"",INDEX(WMON,I162)))</f>
        <v/>
      </c>
    </row>
    <row r="163" customFormat="false" ht="15" hidden="false" customHeight="false" outlineLevel="0" collapsed="false">
      <c r="A163" s="43"/>
      <c r="B163" s="23" t="str">
        <f aca="false">IF(H163="","",CHOOSE(WEEKDAY(H163,1),"الأحد","الاثنين","الثلاثاء","الأربعاء","الخميس","الجمعة","السبت")&amp;IF(OR(ISNUMBER(A163),LEN(TRIM(A163))&gt;=10),"","  "&amp;TEXT(DAY(H163),"00")&amp;"/"&amp;TEXT(MONTH(H163),"00")&amp;"/"&amp;YEAR(H163)))</f>
        <v/>
      </c>
      <c r="C163" s="24"/>
      <c r="D163" s="27"/>
      <c r="E163" s="44"/>
      <c r="F163" s="27"/>
      <c r="G163" s="0" t="str">
        <f aca="false">IF(AND(C163&lt;&gt;"",COUNTIF(C$6:C163,C163)=1),MAX(G$5:G162)+1,"")</f>
        <v/>
      </c>
      <c r="H163" s="0" t="str">
        <f aca="true">IF(A163="","",IF(ISNUMBER(A163),IF(A163&gt;=36526,A163,""),IFERROR(DATE(VALUE(RIGHT(RIGHT(TRIM(A163),10),4)),VALUE(MID(RIGHT(TRIM(A163),10),4,2)),VALUE(LEFT(RIGHT(TRIM(A163),10),2))),IFERROR(TODAY()-MOD(WEEKDAY(TODAY(),1)-MATCH(TRIM(A163),{"الأحد","الاثنين","الثلاثاء","الأربعاء","الخميس","الجمعة","السبت"},0),7),IFERROR(DATEVALUE(A163),"")))))</f>
        <v/>
      </c>
      <c r="I163" s="0" t="str">
        <f aca="false">IF(H163="","",INT((H163-WEEK_ONE)/7)+1)</f>
        <v/>
      </c>
      <c r="J163" s="0" t="str">
        <f aca="false">IF(I163="","",IF(OR(I163&lt;1,I163&gt;NW),"",INDEX(WMON,I163)))</f>
        <v/>
      </c>
    </row>
    <row r="164" customFormat="false" ht="15" hidden="false" customHeight="false" outlineLevel="0" collapsed="false">
      <c r="A164" s="43"/>
      <c r="B164" s="23" t="str">
        <f aca="false">IF(H164="","",CHOOSE(WEEKDAY(H164,1),"الأحد","الاثنين","الثلاثاء","الأربعاء","الخميس","الجمعة","السبت")&amp;IF(OR(ISNUMBER(A164),LEN(TRIM(A164))&gt;=10),"","  "&amp;TEXT(DAY(H164),"00")&amp;"/"&amp;TEXT(MONTH(H164),"00")&amp;"/"&amp;YEAR(H164)))</f>
        <v/>
      </c>
      <c r="C164" s="24"/>
      <c r="D164" s="27"/>
      <c r="E164" s="44"/>
      <c r="F164" s="27"/>
      <c r="G164" s="0" t="str">
        <f aca="false">IF(AND(C164&lt;&gt;"",COUNTIF(C$6:C164,C164)=1),MAX(G$5:G163)+1,"")</f>
        <v/>
      </c>
      <c r="H164" s="0" t="str">
        <f aca="true">IF(A164="","",IF(ISNUMBER(A164),IF(A164&gt;=36526,A164,""),IFERROR(DATE(VALUE(RIGHT(RIGHT(TRIM(A164),10),4)),VALUE(MID(RIGHT(TRIM(A164),10),4,2)),VALUE(LEFT(RIGHT(TRIM(A164),10),2))),IFERROR(TODAY()-MOD(WEEKDAY(TODAY(),1)-MATCH(TRIM(A164),{"الأحد","الاثنين","الثلاثاء","الأربعاء","الخميس","الجمعة","السبت"},0),7),IFERROR(DATEVALUE(A164),"")))))</f>
        <v/>
      </c>
      <c r="I164" s="0" t="str">
        <f aca="false">IF(H164="","",INT((H164-WEEK_ONE)/7)+1)</f>
        <v/>
      </c>
      <c r="J164" s="0" t="str">
        <f aca="false">IF(I164="","",IF(OR(I164&lt;1,I164&gt;NW),"",INDEX(WMON,I164)))</f>
        <v/>
      </c>
    </row>
    <row r="165" customFormat="false" ht="15" hidden="false" customHeight="false" outlineLevel="0" collapsed="false">
      <c r="A165" s="43"/>
      <c r="B165" s="23" t="str">
        <f aca="false">IF(H165="","",CHOOSE(WEEKDAY(H165,1),"الأحد","الاثنين","الثلاثاء","الأربعاء","الخميس","الجمعة","السبت")&amp;IF(OR(ISNUMBER(A165),LEN(TRIM(A165))&gt;=10),"","  "&amp;TEXT(DAY(H165),"00")&amp;"/"&amp;TEXT(MONTH(H165),"00")&amp;"/"&amp;YEAR(H165)))</f>
        <v/>
      </c>
      <c r="C165" s="24"/>
      <c r="D165" s="27"/>
      <c r="E165" s="44"/>
      <c r="F165" s="27"/>
      <c r="G165" s="0" t="str">
        <f aca="false">IF(AND(C165&lt;&gt;"",COUNTIF(C$6:C165,C165)=1),MAX(G$5:G164)+1,"")</f>
        <v/>
      </c>
      <c r="H165" s="0" t="str">
        <f aca="true">IF(A165="","",IF(ISNUMBER(A165),IF(A165&gt;=36526,A165,""),IFERROR(DATE(VALUE(RIGHT(RIGHT(TRIM(A165),10),4)),VALUE(MID(RIGHT(TRIM(A165),10),4,2)),VALUE(LEFT(RIGHT(TRIM(A165),10),2))),IFERROR(TODAY()-MOD(WEEKDAY(TODAY(),1)-MATCH(TRIM(A165),{"الأحد","الاثنين","الثلاثاء","الأربعاء","الخميس","الجمعة","السبت"},0),7),IFERROR(DATEVALUE(A165),"")))))</f>
        <v/>
      </c>
      <c r="I165" s="0" t="str">
        <f aca="false">IF(H165="","",INT((H165-WEEK_ONE)/7)+1)</f>
        <v/>
      </c>
      <c r="J165" s="0" t="str">
        <f aca="false">IF(I165="","",IF(OR(I165&lt;1,I165&gt;NW),"",INDEX(WMON,I165)))</f>
        <v/>
      </c>
    </row>
    <row r="166" customFormat="false" ht="15" hidden="false" customHeight="false" outlineLevel="0" collapsed="false">
      <c r="A166" s="43"/>
      <c r="B166" s="23" t="str">
        <f aca="false">IF(H166="","",CHOOSE(WEEKDAY(H166,1),"الأحد","الاثنين","الثلاثاء","الأربعاء","الخميس","الجمعة","السبت")&amp;IF(OR(ISNUMBER(A166),LEN(TRIM(A166))&gt;=10),"","  "&amp;TEXT(DAY(H166),"00")&amp;"/"&amp;TEXT(MONTH(H166),"00")&amp;"/"&amp;YEAR(H166)))</f>
        <v/>
      </c>
      <c r="C166" s="24"/>
      <c r="D166" s="27"/>
      <c r="E166" s="44"/>
      <c r="F166" s="27"/>
      <c r="G166" s="0" t="str">
        <f aca="false">IF(AND(C166&lt;&gt;"",COUNTIF(C$6:C166,C166)=1),MAX(G$5:G165)+1,"")</f>
        <v/>
      </c>
      <c r="H166" s="0" t="str">
        <f aca="true">IF(A166="","",IF(ISNUMBER(A166),IF(A166&gt;=36526,A166,""),IFERROR(DATE(VALUE(RIGHT(RIGHT(TRIM(A166),10),4)),VALUE(MID(RIGHT(TRIM(A166),10),4,2)),VALUE(LEFT(RIGHT(TRIM(A166),10),2))),IFERROR(TODAY()-MOD(WEEKDAY(TODAY(),1)-MATCH(TRIM(A166),{"الأحد","الاثنين","الثلاثاء","الأربعاء","الخميس","الجمعة","السبت"},0),7),IFERROR(DATEVALUE(A166),"")))))</f>
        <v/>
      </c>
      <c r="I166" s="0" t="str">
        <f aca="false">IF(H166="","",INT((H166-WEEK_ONE)/7)+1)</f>
        <v/>
      </c>
      <c r="J166" s="0" t="str">
        <f aca="false">IF(I166="","",IF(OR(I166&lt;1,I166&gt;NW),"",INDEX(WMON,I166)))</f>
        <v/>
      </c>
    </row>
    <row r="167" customFormat="false" ht="15" hidden="false" customHeight="false" outlineLevel="0" collapsed="false">
      <c r="A167" s="43"/>
      <c r="B167" s="23" t="str">
        <f aca="false">IF(H167="","",CHOOSE(WEEKDAY(H167,1),"الأحد","الاثنين","الثلاثاء","الأربعاء","الخميس","الجمعة","السبت")&amp;IF(OR(ISNUMBER(A167),LEN(TRIM(A167))&gt;=10),"","  "&amp;TEXT(DAY(H167),"00")&amp;"/"&amp;TEXT(MONTH(H167),"00")&amp;"/"&amp;YEAR(H167)))</f>
        <v/>
      </c>
      <c r="C167" s="24"/>
      <c r="D167" s="27"/>
      <c r="E167" s="44"/>
      <c r="F167" s="27"/>
      <c r="G167" s="0" t="str">
        <f aca="false">IF(AND(C167&lt;&gt;"",COUNTIF(C$6:C167,C167)=1),MAX(G$5:G166)+1,"")</f>
        <v/>
      </c>
      <c r="H167" s="0" t="str">
        <f aca="true">IF(A167="","",IF(ISNUMBER(A167),IF(A167&gt;=36526,A167,""),IFERROR(DATE(VALUE(RIGHT(RIGHT(TRIM(A167),10),4)),VALUE(MID(RIGHT(TRIM(A167),10),4,2)),VALUE(LEFT(RIGHT(TRIM(A167),10),2))),IFERROR(TODAY()-MOD(WEEKDAY(TODAY(),1)-MATCH(TRIM(A167),{"الأحد","الاثنين","الثلاثاء","الأربعاء","الخميس","الجمعة","السبت"},0),7),IFERROR(DATEVALUE(A167),"")))))</f>
        <v/>
      </c>
      <c r="I167" s="0" t="str">
        <f aca="false">IF(H167="","",INT((H167-WEEK_ONE)/7)+1)</f>
        <v/>
      </c>
      <c r="J167" s="0" t="str">
        <f aca="false">IF(I167="","",IF(OR(I167&lt;1,I167&gt;NW),"",INDEX(WMON,I167)))</f>
        <v/>
      </c>
    </row>
    <row r="168" customFormat="false" ht="15" hidden="false" customHeight="false" outlineLevel="0" collapsed="false">
      <c r="A168" s="43"/>
      <c r="B168" s="23" t="str">
        <f aca="false">IF(H168="","",CHOOSE(WEEKDAY(H168,1),"الأحد","الاثنين","الثلاثاء","الأربعاء","الخميس","الجمعة","السبت")&amp;IF(OR(ISNUMBER(A168),LEN(TRIM(A168))&gt;=10),"","  "&amp;TEXT(DAY(H168),"00")&amp;"/"&amp;TEXT(MONTH(H168),"00")&amp;"/"&amp;YEAR(H168)))</f>
        <v/>
      </c>
      <c r="C168" s="24"/>
      <c r="D168" s="27"/>
      <c r="E168" s="44"/>
      <c r="F168" s="27"/>
      <c r="G168" s="0" t="str">
        <f aca="false">IF(AND(C168&lt;&gt;"",COUNTIF(C$6:C168,C168)=1),MAX(G$5:G167)+1,"")</f>
        <v/>
      </c>
      <c r="H168" s="0" t="str">
        <f aca="true">IF(A168="","",IF(ISNUMBER(A168),IF(A168&gt;=36526,A168,""),IFERROR(DATE(VALUE(RIGHT(RIGHT(TRIM(A168),10),4)),VALUE(MID(RIGHT(TRIM(A168),10),4,2)),VALUE(LEFT(RIGHT(TRIM(A168),10),2))),IFERROR(TODAY()-MOD(WEEKDAY(TODAY(),1)-MATCH(TRIM(A168),{"الأحد","الاثنين","الثلاثاء","الأربعاء","الخميس","الجمعة","السبت"},0),7),IFERROR(DATEVALUE(A168),"")))))</f>
        <v/>
      </c>
      <c r="I168" s="0" t="str">
        <f aca="false">IF(H168="","",INT((H168-WEEK_ONE)/7)+1)</f>
        <v/>
      </c>
      <c r="J168" s="0" t="str">
        <f aca="false">IF(I168="","",IF(OR(I168&lt;1,I168&gt;NW),"",INDEX(WMON,I168)))</f>
        <v/>
      </c>
    </row>
    <row r="169" customFormat="false" ht="15" hidden="false" customHeight="false" outlineLevel="0" collapsed="false">
      <c r="A169" s="43"/>
      <c r="B169" s="23" t="str">
        <f aca="false">IF(H169="","",CHOOSE(WEEKDAY(H169,1),"الأحد","الاثنين","الثلاثاء","الأربعاء","الخميس","الجمعة","السبت")&amp;IF(OR(ISNUMBER(A169),LEN(TRIM(A169))&gt;=10),"","  "&amp;TEXT(DAY(H169),"00")&amp;"/"&amp;TEXT(MONTH(H169),"00")&amp;"/"&amp;YEAR(H169)))</f>
        <v/>
      </c>
      <c r="C169" s="24"/>
      <c r="D169" s="27"/>
      <c r="E169" s="44"/>
      <c r="F169" s="27"/>
      <c r="G169" s="0" t="str">
        <f aca="false">IF(AND(C169&lt;&gt;"",COUNTIF(C$6:C169,C169)=1),MAX(G$5:G168)+1,"")</f>
        <v/>
      </c>
      <c r="H169" s="0" t="str">
        <f aca="true">IF(A169="","",IF(ISNUMBER(A169),IF(A169&gt;=36526,A169,""),IFERROR(DATE(VALUE(RIGHT(RIGHT(TRIM(A169),10),4)),VALUE(MID(RIGHT(TRIM(A169),10),4,2)),VALUE(LEFT(RIGHT(TRIM(A169),10),2))),IFERROR(TODAY()-MOD(WEEKDAY(TODAY(),1)-MATCH(TRIM(A169),{"الأحد","الاثنين","الثلاثاء","الأربعاء","الخميس","الجمعة","السبت"},0),7),IFERROR(DATEVALUE(A169),"")))))</f>
        <v/>
      </c>
      <c r="I169" s="0" t="str">
        <f aca="false">IF(H169="","",INT((H169-WEEK_ONE)/7)+1)</f>
        <v/>
      </c>
      <c r="J169" s="0" t="str">
        <f aca="false">IF(I169="","",IF(OR(I169&lt;1,I169&gt;NW),"",INDEX(WMON,I169)))</f>
        <v/>
      </c>
    </row>
    <row r="170" customFormat="false" ht="15" hidden="false" customHeight="false" outlineLevel="0" collapsed="false">
      <c r="A170" s="43"/>
      <c r="B170" s="23" t="str">
        <f aca="false">IF(H170="","",CHOOSE(WEEKDAY(H170,1),"الأحد","الاثنين","الثلاثاء","الأربعاء","الخميس","الجمعة","السبت")&amp;IF(OR(ISNUMBER(A170),LEN(TRIM(A170))&gt;=10),"","  "&amp;TEXT(DAY(H170),"00")&amp;"/"&amp;TEXT(MONTH(H170),"00")&amp;"/"&amp;YEAR(H170)))</f>
        <v/>
      </c>
      <c r="C170" s="24"/>
      <c r="D170" s="27"/>
      <c r="E170" s="44"/>
      <c r="F170" s="27"/>
      <c r="G170" s="0" t="str">
        <f aca="false">IF(AND(C170&lt;&gt;"",COUNTIF(C$6:C170,C170)=1),MAX(G$5:G169)+1,"")</f>
        <v/>
      </c>
      <c r="H170" s="0" t="str">
        <f aca="true">IF(A170="","",IF(ISNUMBER(A170),IF(A170&gt;=36526,A170,""),IFERROR(DATE(VALUE(RIGHT(RIGHT(TRIM(A170),10),4)),VALUE(MID(RIGHT(TRIM(A170),10),4,2)),VALUE(LEFT(RIGHT(TRIM(A170),10),2))),IFERROR(TODAY()-MOD(WEEKDAY(TODAY(),1)-MATCH(TRIM(A170),{"الأحد","الاثنين","الثلاثاء","الأربعاء","الخميس","الجمعة","السبت"},0),7),IFERROR(DATEVALUE(A170),"")))))</f>
        <v/>
      </c>
      <c r="I170" s="0" t="str">
        <f aca="false">IF(H170="","",INT((H170-WEEK_ONE)/7)+1)</f>
        <v/>
      </c>
      <c r="J170" s="0" t="str">
        <f aca="false">IF(I170="","",IF(OR(I170&lt;1,I170&gt;NW),"",INDEX(WMON,I170)))</f>
        <v/>
      </c>
    </row>
    <row r="171" customFormat="false" ht="15" hidden="false" customHeight="false" outlineLevel="0" collapsed="false">
      <c r="A171" s="43"/>
      <c r="B171" s="23" t="str">
        <f aca="false">IF(H171="","",CHOOSE(WEEKDAY(H171,1),"الأحد","الاثنين","الثلاثاء","الأربعاء","الخميس","الجمعة","السبت")&amp;IF(OR(ISNUMBER(A171),LEN(TRIM(A171))&gt;=10),"","  "&amp;TEXT(DAY(H171),"00")&amp;"/"&amp;TEXT(MONTH(H171),"00")&amp;"/"&amp;YEAR(H171)))</f>
        <v/>
      </c>
      <c r="C171" s="24"/>
      <c r="D171" s="27"/>
      <c r="E171" s="44"/>
      <c r="F171" s="27"/>
      <c r="G171" s="0" t="str">
        <f aca="false">IF(AND(C171&lt;&gt;"",COUNTIF(C$6:C171,C171)=1),MAX(G$5:G170)+1,"")</f>
        <v/>
      </c>
      <c r="H171" s="0" t="str">
        <f aca="true">IF(A171="","",IF(ISNUMBER(A171),IF(A171&gt;=36526,A171,""),IFERROR(DATE(VALUE(RIGHT(RIGHT(TRIM(A171),10),4)),VALUE(MID(RIGHT(TRIM(A171),10),4,2)),VALUE(LEFT(RIGHT(TRIM(A171),10),2))),IFERROR(TODAY()-MOD(WEEKDAY(TODAY(),1)-MATCH(TRIM(A171),{"الأحد","الاثنين","الثلاثاء","الأربعاء","الخميس","الجمعة","السبت"},0),7),IFERROR(DATEVALUE(A171),"")))))</f>
        <v/>
      </c>
      <c r="I171" s="0" t="str">
        <f aca="false">IF(H171="","",INT((H171-WEEK_ONE)/7)+1)</f>
        <v/>
      </c>
      <c r="J171" s="0" t="str">
        <f aca="false">IF(I171="","",IF(OR(I171&lt;1,I171&gt;NW),"",INDEX(WMON,I171)))</f>
        <v/>
      </c>
    </row>
    <row r="172" customFormat="false" ht="15" hidden="false" customHeight="false" outlineLevel="0" collapsed="false">
      <c r="A172" s="43"/>
      <c r="B172" s="23" t="str">
        <f aca="false">IF(H172="","",CHOOSE(WEEKDAY(H172,1),"الأحد","الاثنين","الثلاثاء","الأربعاء","الخميس","الجمعة","السبت")&amp;IF(OR(ISNUMBER(A172),LEN(TRIM(A172))&gt;=10),"","  "&amp;TEXT(DAY(H172),"00")&amp;"/"&amp;TEXT(MONTH(H172),"00")&amp;"/"&amp;YEAR(H172)))</f>
        <v/>
      </c>
      <c r="C172" s="24"/>
      <c r="D172" s="27"/>
      <c r="E172" s="44"/>
      <c r="F172" s="27"/>
      <c r="G172" s="0" t="str">
        <f aca="false">IF(AND(C172&lt;&gt;"",COUNTIF(C$6:C172,C172)=1),MAX(G$5:G171)+1,"")</f>
        <v/>
      </c>
      <c r="H172" s="0" t="str">
        <f aca="true">IF(A172="","",IF(ISNUMBER(A172),IF(A172&gt;=36526,A172,""),IFERROR(DATE(VALUE(RIGHT(RIGHT(TRIM(A172),10),4)),VALUE(MID(RIGHT(TRIM(A172),10),4,2)),VALUE(LEFT(RIGHT(TRIM(A172),10),2))),IFERROR(TODAY()-MOD(WEEKDAY(TODAY(),1)-MATCH(TRIM(A172),{"الأحد","الاثنين","الثلاثاء","الأربعاء","الخميس","الجمعة","السبت"},0),7),IFERROR(DATEVALUE(A172),"")))))</f>
        <v/>
      </c>
      <c r="I172" s="0" t="str">
        <f aca="false">IF(H172="","",INT((H172-WEEK_ONE)/7)+1)</f>
        <v/>
      </c>
      <c r="J172" s="0" t="str">
        <f aca="false">IF(I172="","",IF(OR(I172&lt;1,I172&gt;NW),"",INDEX(WMON,I172)))</f>
        <v/>
      </c>
    </row>
    <row r="173" customFormat="false" ht="15" hidden="false" customHeight="false" outlineLevel="0" collapsed="false">
      <c r="A173" s="43"/>
      <c r="B173" s="23" t="str">
        <f aca="false">IF(H173="","",CHOOSE(WEEKDAY(H173,1),"الأحد","الاثنين","الثلاثاء","الأربعاء","الخميس","الجمعة","السبت")&amp;IF(OR(ISNUMBER(A173),LEN(TRIM(A173))&gt;=10),"","  "&amp;TEXT(DAY(H173),"00")&amp;"/"&amp;TEXT(MONTH(H173),"00")&amp;"/"&amp;YEAR(H173)))</f>
        <v/>
      </c>
      <c r="C173" s="24"/>
      <c r="D173" s="27"/>
      <c r="E173" s="44"/>
      <c r="F173" s="27"/>
      <c r="G173" s="0" t="str">
        <f aca="false">IF(AND(C173&lt;&gt;"",COUNTIF(C$6:C173,C173)=1),MAX(G$5:G172)+1,"")</f>
        <v/>
      </c>
      <c r="H173" s="0" t="str">
        <f aca="true">IF(A173="","",IF(ISNUMBER(A173),IF(A173&gt;=36526,A173,""),IFERROR(DATE(VALUE(RIGHT(RIGHT(TRIM(A173),10),4)),VALUE(MID(RIGHT(TRIM(A173),10),4,2)),VALUE(LEFT(RIGHT(TRIM(A173),10),2))),IFERROR(TODAY()-MOD(WEEKDAY(TODAY(),1)-MATCH(TRIM(A173),{"الأحد","الاثنين","الثلاثاء","الأربعاء","الخميس","الجمعة","السبت"},0),7),IFERROR(DATEVALUE(A173),"")))))</f>
        <v/>
      </c>
      <c r="I173" s="0" t="str">
        <f aca="false">IF(H173="","",INT((H173-WEEK_ONE)/7)+1)</f>
        <v/>
      </c>
      <c r="J173" s="0" t="str">
        <f aca="false">IF(I173="","",IF(OR(I173&lt;1,I173&gt;NW),"",INDEX(WMON,I173)))</f>
        <v/>
      </c>
    </row>
    <row r="174" customFormat="false" ht="15" hidden="false" customHeight="false" outlineLevel="0" collapsed="false">
      <c r="A174" s="43"/>
      <c r="B174" s="23" t="str">
        <f aca="false">IF(H174="","",CHOOSE(WEEKDAY(H174,1),"الأحد","الاثنين","الثلاثاء","الأربعاء","الخميس","الجمعة","السبت")&amp;IF(OR(ISNUMBER(A174),LEN(TRIM(A174))&gt;=10),"","  "&amp;TEXT(DAY(H174),"00")&amp;"/"&amp;TEXT(MONTH(H174),"00")&amp;"/"&amp;YEAR(H174)))</f>
        <v/>
      </c>
      <c r="C174" s="24"/>
      <c r="D174" s="27"/>
      <c r="E174" s="44"/>
      <c r="F174" s="27"/>
      <c r="G174" s="0" t="str">
        <f aca="false">IF(AND(C174&lt;&gt;"",COUNTIF(C$6:C174,C174)=1),MAX(G$5:G173)+1,"")</f>
        <v/>
      </c>
      <c r="H174" s="0" t="str">
        <f aca="true">IF(A174="","",IF(ISNUMBER(A174),IF(A174&gt;=36526,A174,""),IFERROR(DATE(VALUE(RIGHT(RIGHT(TRIM(A174),10),4)),VALUE(MID(RIGHT(TRIM(A174),10),4,2)),VALUE(LEFT(RIGHT(TRIM(A174),10),2))),IFERROR(TODAY()-MOD(WEEKDAY(TODAY(),1)-MATCH(TRIM(A174),{"الأحد","الاثنين","الثلاثاء","الأربعاء","الخميس","الجمعة","السبت"},0),7),IFERROR(DATEVALUE(A174),"")))))</f>
        <v/>
      </c>
      <c r="I174" s="0" t="str">
        <f aca="false">IF(H174="","",INT((H174-WEEK_ONE)/7)+1)</f>
        <v/>
      </c>
      <c r="J174" s="0" t="str">
        <f aca="false">IF(I174="","",IF(OR(I174&lt;1,I174&gt;NW),"",INDEX(WMON,I174)))</f>
        <v/>
      </c>
    </row>
    <row r="175" customFormat="false" ht="15" hidden="false" customHeight="false" outlineLevel="0" collapsed="false">
      <c r="A175" s="43"/>
      <c r="B175" s="23" t="str">
        <f aca="false">IF(H175="","",CHOOSE(WEEKDAY(H175,1),"الأحد","الاثنين","الثلاثاء","الأربعاء","الخميس","الجمعة","السبت")&amp;IF(OR(ISNUMBER(A175),LEN(TRIM(A175))&gt;=10),"","  "&amp;TEXT(DAY(H175),"00")&amp;"/"&amp;TEXT(MONTH(H175),"00")&amp;"/"&amp;YEAR(H175)))</f>
        <v/>
      </c>
      <c r="C175" s="24"/>
      <c r="D175" s="27"/>
      <c r="E175" s="44"/>
      <c r="F175" s="27"/>
      <c r="G175" s="0" t="str">
        <f aca="false">IF(AND(C175&lt;&gt;"",COUNTIF(C$6:C175,C175)=1),MAX(G$5:G174)+1,"")</f>
        <v/>
      </c>
      <c r="H175" s="0" t="str">
        <f aca="true">IF(A175="","",IF(ISNUMBER(A175),IF(A175&gt;=36526,A175,""),IFERROR(DATE(VALUE(RIGHT(RIGHT(TRIM(A175),10),4)),VALUE(MID(RIGHT(TRIM(A175),10),4,2)),VALUE(LEFT(RIGHT(TRIM(A175),10),2))),IFERROR(TODAY()-MOD(WEEKDAY(TODAY(),1)-MATCH(TRIM(A175),{"الأحد","الاثنين","الثلاثاء","الأربعاء","الخميس","الجمعة","السبت"},0),7),IFERROR(DATEVALUE(A175),"")))))</f>
        <v/>
      </c>
      <c r="I175" s="0" t="str">
        <f aca="false">IF(H175="","",INT((H175-WEEK_ONE)/7)+1)</f>
        <v/>
      </c>
      <c r="J175" s="0" t="str">
        <f aca="false">IF(I175="","",IF(OR(I175&lt;1,I175&gt;NW),"",INDEX(WMON,I175)))</f>
        <v/>
      </c>
    </row>
    <row r="176" customFormat="false" ht="15" hidden="false" customHeight="false" outlineLevel="0" collapsed="false">
      <c r="A176" s="43"/>
      <c r="B176" s="23" t="str">
        <f aca="false">IF(H176="","",CHOOSE(WEEKDAY(H176,1),"الأحد","الاثنين","الثلاثاء","الأربعاء","الخميس","الجمعة","السبت")&amp;IF(OR(ISNUMBER(A176),LEN(TRIM(A176))&gt;=10),"","  "&amp;TEXT(DAY(H176),"00")&amp;"/"&amp;TEXT(MONTH(H176),"00")&amp;"/"&amp;YEAR(H176)))</f>
        <v/>
      </c>
      <c r="C176" s="24"/>
      <c r="D176" s="27"/>
      <c r="E176" s="44"/>
      <c r="F176" s="27"/>
      <c r="G176" s="0" t="str">
        <f aca="false">IF(AND(C176&lt;&gt;"",COUNTIF(C$6:C176,C176)=1),MAX(G$5:G175)+1,"")</f>
        <v/>
      </c>
      <c r="H176" s="0" t="str">
        <f aca="true">IF(A176="","",IF(ISNUMBER(A176),IF(A176&gt;=36526,A176,""),IFERROR(DATE(VALUE(RIGHT(RIGHT(TRIM(A176),10),4)),VALUE(MID(RIGHT(TRIM(A176),10),4,2)),VALUE(LEFT(RIGHT(TRIM(A176),10),2))),IFERROR(TODAY()-MOD(WEEKDAY(TODAY(),1)-MATCH(TRIM(A176),{"الأحد","الاثنين","الثلاثاء","الأربعاء","الخميس","الجمعة","السبت"},0),7),IFERROR(DATEVALUE(A176),"")))))</f>
        <v/>
      </c>
      <c r="I176" s="0" t="str">
        <f aca="false">IF(H176="","",INT((H176-WEEK_ONE)/7)+1)</f>
        <v/>
      </c>
      <c r="J176" s="0" t="str">
        <f aca="false">IF(I176="","",IF(OR(I176&lt;1,I176&gt;NW),"",INDEX(WMON,I176)))</f>
        <v/>
      </c>
    </row>
    <row r="177" customFormat="false" ht="15" hidden="false" customHeight="false" outlineLevel="0" collapsed="false">
      <c r="A177" s="43"/>
      <c r="B177" s="23" t="str">
        <f aca="false">IF(H177="","",CHOOSE(WEEKDAY(H177,1),"الأحد","الاثنين","الثلاثاء","الأربعاء","الخميس","الجمعة","السبت")&amp;IF(OR(ISNUMBER(A177),LEN(TRIM(A177))&gt;=10),"","  "&amp;TEXT(DAY(H177),"00")&amp;"/"&amp;TEXT(MONTH(H177),"00")&amp;"/"&amp;YEAR(H177)))</f>
        <v/>
      </c>
      <c r="C177" s="24"/>
      <c r="D177" s="27"/>
      <c r="E177" s="44"/>
      <c r="F177" s="27"/>
      <c r="G177" s="0" t="str">
        <f aca="false">IF(AND(C177&lt;&gt;"",COUNTIF(C$6:C177,C177)=1),MAX(G$5:G176)+1,"")</f>
        <v/>
      </c>
      <c r="H177" s="0" t="str">
        <f aca="true">IF(A177="","",IF(ISNUMBER(A177),IF(A177&gt;=36526,A177,""),IFERROR(DATE(VALUE(RIGHT(RIGHT(TRIM(A177),10),4)),VALUE(MID(RIGHT(TRIM(A177),10),4,2)),VALUE(LEFT(RIGHT(TRIM(A177),10),2))),IFERROR(TODAY()-MOD(WEEKDAY(TODAY(),1)-MATCH(TRIM(A177),{"الأحد","الاثنين","الثلاثاء","الأربعاء","الخميس","الجمعة","السبت"},0),7),IFERROR(DATEVALUE(A177),"")))))</f>
        <v/>
      </c>
      <c r="I177" s="0" t="str">
        <f aca="false">IF(H177="","",INT((H177-WEEK_ONE)/7)+1)</f>
        <v/>
      </c>
      <c r="J177" s="0" t="str">
        <f aca="false">IF(I177="","",IF(OR(I177&lt;1,I177&gt;NW),"",INDEX(WMON,I177)))</f>
        <v/>
      </c>
    </row>
    <row r="178" customFormat="false" ht="15" hidden="false" customHeight="false" outlineLevel="0" collapsed="false">
      <c r="A178" s="43"/>
      <c r="B178" s="23" t="str">
        <f aca="false">IF(H178="","",CHOOSE(WEEKDAY(H178,1),"الأحد","الاثنين","الثلاثاء","الأربعاء","الخميس","الجمعة","السبت")&amp;IF(OR(ISNUMBER(A178),LEN(TRIM(A178))&gt;=10),"","  "&amp;TEXT(DAY(H178),"00")&amp;"/"&amp;TEXT(MONTH(H178),"00")&amp;"/"&amp;YEAR(H178)))</f>
        <v/>
      </c>
      <c r="C178" s="24"/>
      <c r="D178" s="27"/>
      <c r="E178" s="44"/>
      <c r="F178" s="27"/>
      <c r="G178" s="0" t="str">
        <f aca="false">IF(AND(C178&lt;&gt;"",COUNTIF(C$6:C178,C178)=1),MAX(G$5:G177)+1,"")</f>
        <v/>
      </c>
      <c r="H178" s="0" t="str">
        <f aca="true">IF(A178="","",IF(ISNUMBER(A178),IF(A178&gt;=36526,A178,""),IFERROR(DATE(VALUE(RIGHT(RIGHT(TRIM(A178),10),4)),VALUE(MID(RIGHT(TRIM(A178),10),4,2)),VALUE(LEFT(RIGHT(TRIM(A178),10),2))),IFERROR(TODAY()-MOD(WEEKDAY(TODAY(),1)-MATCH(TRIM(A178),{"الأحد","الاثنين","الثلاثاء","الأربعاء","الخميس","الجمعة","السبت"},0),7),IFERROR(DATEVALUE(A178),"")))))</f>
        <v/>
      </c>
      <c r="I178" s="0" t="str">
        <f aca="false">IF(H178="","",INT((H178-WEEK_ONE)/7)+1)</f>
        <v/>
      </c>
      <c r="J178" s="0" t="str">
        <f aca="false">IF(I178="","",IF(OR(I178&lt;1,I178&gt;NW),"",INDEX(WMON,I178)))</f>
        <v/>
      </c>
    </row>
    <row r="179" customFormat="false" ht="15" hidden="false" customHeight="false" outlineLevel="0" collapsed="false">
      <c r="A179" s="43"/>
      <c r="B179" s="23" t="str">
        <f aca="false">IF(H179="","",CHOOSE(WEEKDAY(H179,1),"الأحد","الاثنين","الثلاثاء","الأربعاء","الخميس","الجمعة","السبت")&amp;IF(OR(ISNUMBER(A179),LEN(TRIM(A179))&gt;=10),"","  "&amp;TEXT(DAY(H179),"00")&amp;"/"&amp;TEXT(MONTH(H179),"00")&amp;"/"&amp;YEAR(H179)))</f>
        <v/>
      </c>
      <c r="C179" s="24"/>
      <c r="D179" s="27"/>
      <c r="E179" s="44"/>
      <c r="F179" s="27"/>
      <c r="G179" s="0" t="str">
        <f aca="false">IF(AND(C179&lt;&gt;"",COUNTIF(C$6:C179,C179)=1),MAX(G$5:G178)+1,"")</f>
        <v/>
      </c>
      <c r="H179" s="0" t="str">
        <f aca="true">IF(A179="","",IF(ISNUMBER(A179),IF(A179&gt;=36526,A179,""),IFERROR(DATE(VALUE(RIGHT(RIGHT(TRIM(A179),10),4)),VALUE(MID(RIGHT(TRIM(A179),10),4,2)),VALUE(LEFT(RIGHT(TRIM(A179),10),2))),IFERROR(TODAY()-MOD(WEEKDAY(TODAY(),1)-MATCH(TRIM(A179),{"الأحد","الاثنين","الثلاثاء","الأربعاء","الخميس","الجمعة","السبت"},0),7),IFERROR(DATEVALUE(A179),"")))))</f>
        <v/>
      </c>
      <c r="I179" s="0" t="str">
        <f aca="false">IF(H179="","",INT((H179-WEEK_ONE)/7)+1)</f>
        <v/>
      </c>
      <c r="J179" s="0" t="str">
        <f aca="false">IF(I179="","",IF(OR(I179&lt;1,I179&gt;NW),"",INDEX(WMON,I179)))</f>
        <v/>
      </c>
    </row>
    <row r="180" customFormat="false" ht="15" hidden="false" customHeight="false" outlineLevel="0" collapsed="false">
      <c r="A180" s="43"/>
      <c r="B180" s="23" t="str">
        <f aca="false">IF(H180="","",CHOOSE(WEEKDAY(H180,1),"الأحد","الاثنين","الثلاثاء","الأربعاء","الخميس","الجمعة","السبت")&amp;IF(OR(ISNUMBER(A180),LEN(TRIM(A180))&gt;=10),"","  "&amp;TEXT(DAY(H180),"00")&amp;"/"&amp;TEXT(MONTH(H180),"00")&amp;"/"&amp;YEAR(H180)))</f>
        <v/>
      </c>
      <c r="C180" s="24"/>
      <c r="D180" s="27"/>
      <c r="E180" s="44"/>
      <c r="F180" s="27"/>
      <c r="G180" s="0" t="str">
        <f aca="false">IF(AND(C180&lt;&gt;"",COUNTIF(C$6:C180,C180)=1),MAX(G$5:G179)+1,"")</f>
        <v/>
      </c>
      <c r="H180" s="0" t="str">
        <f aca="true">IF(A180="","",IF(ISNUMBER(A180),IF(A180&gt;=36526,A180,""),IFERROR(DATE(VALUE(RIGHT(RIGHT(TRIM(A180),10),4)),VALUE(MID(RIGHT(TRIM(A180),10),4,2)),VALUE(LEFT(RIGHT(TRIM(A180),10),2))),IFERROR(TODAY()-MOD(WEEKDAY(TODAY(),1)-MATCH(TRIM(A180),{"الأحد","الاثنين","الثلاثاء","الأربعاء","الخميس","الجمعة","السبت"},0),7),IFERROR(DATEVALUE(A180),"")))))</f>
        <v/>
      </c>
      <c r="I180" s="0" t="str">
        <f aca="false">IF(H180="","",INT((H180-WEEK_ONE)/7)+1)</f>
        <v/>
      </c>
      <c r="J180" s="0" t="str">
        <f aca="false">IF(I180="","",IF(OR(I180&lt;1,I180&gt;NW),"",INDEX(WMON,I180)))</f>
        <v/>
      </c>
    </row>
    <row r="181" customFormat="false" ht="15" hidden="false" customHeight="false" outlineLevel="0" collapsed="false">
      <c r="A181" s="43"/>
      <c r="B181" s="23" t="str">
        <f aca="false">IF(H181="","",CHOOSE(WEEKDAY(H181,1),"الأحد","الاثنين","الثلاثاء","الأربعاء","الخميس","الجمعة","السبت")&amp;IF(OR(ISNUMBER(A181),LEN(TRIM(A181))&gt;=10),"","  "&amp;TEXT(DAY(H181),"00")&amp;"/"&amp;TEXT(MONTH(H181),"00")&amp;"/"&amp;YEAR(H181)))</f>
        <v/>
      </c>
      <c r="C181" s="24"/>
      <c r="D181" s="27"/>
      <c r="E181" s="44"/>
      <c r="F181" s="27"/>
      <c r="G181" s="0" t="str">
        <f aca="false">IF(AND(C181&lt;&gt;"",COUNTIF(C$6:C181,C181)=1),MAX(G$5:G180)+1,"")</f>
        <v/>
      </c>
      <c r="H181" s="0" t="str">
        <f aca="true">IF(A181="","",IF(ISNUMBER(A181),IF(A181&gt;=36526,A181,""),IFERROR(DATE(VALUE(RIGHT(RIGHT(TRIM(A181),10),4)),VALUE(MID(RIGHT(TRIM(A181),10),4,2)),VALUE(LEFT(RIGHT(TRIM(A181),10),2))),IFERROR(TODAY()-MOD(WEEKDAY(TODAY(),1)-MATCH(TRIM(A181),{"الأحد","الاثنين","الثلاثاء","الأربعاء","الخميس","الجمعة","السبت"},0),7),IFERROR(DATEVALUE(A181),"")))))</f>
        <v/>
      </c>
      <c r="I181" s="0" t="str">
        <f aca="false">IF(H181="","",INT((H181-WEEK_ONE)/7)+1)</f>
        <v/>
      </c>
      <c r="J181" s="0" t="str">
        <f aca="false">IF(I181="","",IF(OR(I181&lt;1,I181&gt;NW),"",INDEX(WMON,I181)))</f>
        <v/>
      </c>
    </row>
    <row r="182" customFormat="false" ht="15" hidden="false" customHeight="false" outlineLevel="0" collapsed="false">
      <c r="A182" s="43"/>
      <c r="B182" s="23" t="str">
        <f aca="false">IF(H182="","",CHOOSE(WEEKDAY(H182,1),"الأحد","الاثنين","الثلاثاء","الأربعاء","الخميس","الجمعة","السبت")&amp;IF(OR(ISNUMBER(A182),LEN(TRIM(A182))&gt;=10),"","  "&amp;TEXT(DAY(H182),"00")&amp;"/"&amp;TEXT(MONTH(H182),"00")&amp;"/"&amp;YEAR(H182)))</f>
        <v/>
      </c>
      <c r="C182" s="24"/>
      <c r="D182" s="27"/>
      <c r="E182" s="44"/>
      <c r="F182" s="27"/>
      <c r="G182" s="0" t="str">
        <f aca="false">IF(AND(C182&lt;&gt;"",COUNTIF(C$6:C182,C182)=1),MAX(G$5:G181)+1,"")</f>
        <v/>
      </c>
      <c r="H182" s="0" t="str">
        <f aca="true">IF(A182="","",IF(ISNUMBER(A182),IF(A182&gt;=36526,A182,""),IFERROR(DATE(VALUE(RIGHT(RIGHT(TRIM(A182),10),4)),VALUE(MID(RIGHT(TRIM(A182),10),4,2)),VALUE(LEFT(RIGHT(TRIM(A182),10),2))),IFERROR(TODAY()-MOD(WEEKDAY(TODAY(),1)-MATCH(TRIM(A182),{"الأحد","الاثنين","الثلاثاء","الأربعاء","الخميس","الجمعة","السبت"},0),7),IFERROR(DATEVALUE(A182),"")))))</f>
        <v/>
      </c>
      <c r="I182" s="0" t="str">
        <f aca="false">IF(H182="","",INT((H182-WEEK_ONE)/7)+1)</f>
        <v/>
      </c>
      <c r="J182" s="0" t="str">
        <f aca="false">IF(I182="","",IF(OR(I182&lt;1,I182&gt;NW),"",INDEX(WMON,I182)))</f>
        <v/>
      </c>
    </row>
    <row r="183" customFormat="false" ht="15" hidden="false" customHeight="false" outlineLevel="0" collapsed="false">
      <c r="A183" s="43"/>
      <c r="B183" s="23" t="str">
        <f aca="false">IF(H183="","",CHOOSE(WEEKDAY(H183,1),"الأحد","الاثنين","الثلاثاء","الأربعاء","الخميس","الجمعة","السبت")&amp;IF(OR(ISNUMBER(A183),LEN(TRIM(A183))&gt;=10),"","  "&amp;TEXT(DAY(H183),"00")&amp;"/"&amp;TEXT(MONTH(H183),"00")&amp;"/"&amp;YEAR(H183)))</f>
        <v/>
      </c>
      <c r="C183" s="24"/>
      <c r="D183" s="27"/>
      <c r="E183" s="44"/>
      <c r="F183" s="27"/>
      <c r="G183" s="0" t="str">
        <f aca="false">IF(AND(C183&lt;&gt;"",COUNTIF(C$6:C183,C183)=1),MAX(G$5:G182)+1,"")</f>
        <v/>
      </c>
      <c r="H183" s="0" t="str">
        <f aca="true">IF(A183="","",IF(ISNUMBER(A183),IF(A183&gt;=36526,A183,""),IFERROR(DATE(VALUE(RIGHT(RIGHT(TRIM(A183),10),4)),VALUE(MID(RIGHT(TRIM(A183),10),4,2)),VALUE(LEFT(RIGHT(TRIM(A183),10),2))),IFERROR(TODAY()-MOD(WEEKDAY(TODAY(),1)-MATCH(TRIM(A183),{"الأحد","الاثنين","الثلاثاء","الأربعاء","الخميس","الجمعة","السبت"},0),7),IFERROR(DATEVALUE(A183),"")))))</f>
        <v/>
      </c>
      <c r="I183" s="0" t="str">
        <f aca="false">IF(H183="","",INT((H183-WEEK_ONE)/7)+1)</f>
        <v/>
      </c>
      <c r="J183" s="0" t="str">
        <f aca="false">IF(I183="","",IF(OR(I183&lt;1,I183&gt;NW),"",INDEX(WMON,I183)))</f>
        <v/>
      </c>
    </row>
    <row r="184" customFormat="false" ht="15" hidden="false" customHeight="false" outlineLevel="0" collapsed="false">
      <c r="A184" s="43"/>
      <c r="B184" s="23" t="str">
        <f aca="false">IF(H184="","",CHOOSE(WEEKDAY(H184,1),"الأحد","الاثنين","الثلاثاء","الأربعاء","الخميس","الجمعة","السبت")&amp;IF(OR(ISNUMBER(A184),LEN(TRIM(A184))&gt;=10),"","  "&amp;TEXT(DAY(H184),"00")&amp;"/"&amp;TEXT(MONTH(H184),"00")&amp;"/"&amp;YEAR(H184)))</f>
        <v/>
      </c>
      <c r="C184" s="24"/>
      <c r="D184" s="27"/>
      <c r="E184" s="44"/>
      <c r="F184" s="27"/>
      <c r="G184" s="0" t="str">
        <f aca="false">IF(AND(C184&lt;&gt;"",COUNTIF(C$6:C184,C184)=1),MAX(G$5:G183)+1,"")</f>
        <v/>
      </c>
      <c r="H184" s="0" t="str">
        <f aca="true">IF(A184="","",IF(ISNUMBER(A184),IF(A184&gt;=36526,A184,""),IFERROR(DATE(VALUE(RIGHT(RIGHT(TRIM(A184),10),4)),VALUE(MID(RIGHT(TRIM(A184),10),4,2)),VALUE(LEFT(RIGHT(TRIM(A184),10),2))),IFERROR(TODAY()-MOD(WEEKDAY(TODAY(),1)-MATCH(TRIM(A184),{"الأحد","الاثنين","الثلاثاء","الأربعاء","الخميس","الجمعة","السبت"},0),7),IFERROR(DATEVALUE(A184),"")))))</f>
        <v/>
      </c>
      <c r="I184" s="0" t="str">
        <f aca="false">IF(H184="","",INT((H184-WEEK_ONE)/7)+1)</f>
        <v/>
      </c>
      <c r="J184" s="0" t="str">
        <f aca="false">IF(I184="","",IF(OR(I184&lt;1,I184&gt;NW),"",INDEX(WMON,I184)))</f>
        <v/>
      </c>
    </row>
    <row r="185" customFormat="false" ht="15" hidden="false" customHeight="false" outlineLevel="0" collapsed="false">
      <c r="A185" s="43"/>
      <c r="B185" s="23" t="str">
        <f aca="false">IF(H185="","",CHOOSE(WEEKDAY(H185,1),"الأحد","الاثنين","الثلاثاء","الأربعاء","الخميس","الجمعة","السبت")&amp;IF(OR(ISNUMBER(A185),LEN(TRIM(A185))&gt;=10),"","  "&amp;TEXT(DAY(H185),"00")&amp;"/"&amp;TEXT(MONTH(H185),"00")&amp;"/"&amp;YEAR(H185)))</f>
        <v/>
      </c>
      <c r="C185" s="24"/>
      <c r="D185" s="27"/>
      <c r="E185" s="44"/>
      <c r="F185" s="27"/>
      <c r="G185" s="0" t="str">
        <f aca="false">IF(AND(C185&lt;&gt;"",COUNTIF(C$6:C185,C185)=1),MAX(G$5:G184)+1,"")</f>
        <v/>
      </c>
      <c r="H185" s="0" t="str">
        <f aca="true">IF(A185="","",IF(ISNUMBER(A185),IF(A185&gt;=36526,A185,""),IFERROR(DATE(VALUE(RIGHT(RIGHT(TRIM(A185),10),4)),VALUE(MID(RIGHT(TRIM(A185),10),4,2)),VALUE(LEFT(RIGHT(TRIM(A185),10),2))),IFERROR(TODAY()-MOD(WEEKDAY(TODAY(),1)-MATCH(TRIM(A185),{"الأحد","الاثنين","الثلاثاء","الأربعاء","الخميس","الجمعة","السبت"},0),7),IFERROR(DATEVALUE(A185),"")))))</f>
        <v/>
      </c>
      <c r="I185" s="0" t="str">
        <f aca="false">IF(H185="","",INT((H185-WEEK_ONE)/7)+1)</f>
        <v/>
      </c>
      <c r="J185" s="0" t="str">
        <f aca="false">IF(I185="","",IF(OR(I185&lt;1,I185&gt;NW),"",INDEX(WMON,I185)))</f>
        <v/>
      </c>
    </row>
    <row r="186" customFormat="false" ht="15" hidden="false" customHeight="false" outlineLevel="0" collapsed="false">
      <c r="A186" s="43"/>
      <c r="B186" s="23" t="str">
        <f aca="false">IF(H186="","",CHOOSE(WEEKDAY(H186,1),"الأحد","الاثنين","الثلاثاء","الأربعاء","الخميس","الجمعة","السبت")&amp;IF(OR(ISNUMBER(A186),LEN(TRIM(A186))&gt;=10),"","  "&amp;TEXT(DAY(H186),"00")&amp;"/"&amp;TEXT(MONTH(H186),"00")&amp;"/"&amp;YEAR(H186)))</f>
        <v/>
      </c>
      <c r="C186" s="24"/>
      <c r="D186" s="27"/>
      <c r="E186" s="44"/>
      <c r="F186" s="27"/>
      <c r="G186" s="0" t="str">
        <f aca="false">IF(AND(C186&lt;&gt;"",COUNTIF(C$6:C186,C186)=1),MAX(G$5:G185)+1,"")</f>
        <v/>
      </c>
      <c r="H186" s="0" t="str">
        <f aca="true">IF(A186="","",IF(ISNUMBER(A186),IF(A186&gt;=36526,A186,""),IFERROR(DATE(VALUE(RIGHT(RIGHT(TRIM(A186),10),4)),VALUE(MID(RIGHT(TRIM(A186),10),4,2)),VALUE(LEFT(RIGHT(TRIM(A186),10),2))),IFERROR(TODAY()-MOD(WEEKDAY(TODAY(),1)-MATCH(TRIM(A186),{"الأحد","الاثنين","الثلاثاء","الأربعاء","الخميس","الجمعة","السبت"},0),7),IFERROR(DATEVALUE(A186),"")))))</f>
        <v/>
      </c>
      <c r="I186" s="0" t="str">
        <f aca="false">IF(H186="","",INT((H186-WEEK_ONE)/7)+1)</f>
        <v/>
      </c>
      <c r="J186" s="0" t="str">
        <f aca="false">IF(I186="","",IF(OR(I186&lt;1,I186&gt;NW),"",INDEX(WMON,I186)))</f>
        <v/>
      </c>
    </row>
    <row r="187" customFormat="false" ht="15" hidden="false" customHeight="false" outlineLevel="0" collapsed="false">
      <c r="A187" s="43"/>
      <c r="B187" s="23" t="str">
        <f aca="false">IF(H187="","",CHOOSE(WEEKDAY(H187,1),"الأحد","الاثنين","الثلاثاء","الأربعاء","الخميس","الجمعة","السبت")&amp;IF(OR(ISNUMBER(A187),LEN(TRIM(A187))&gt;=10),"","  "&amp;TEXT(DAY(H187),"00")&amp;"/"&amp;TEXT(MONTH(H187),"00")&amp;"/"&amp;YEAR(H187)))</f>
        <v/>
      </c>
      <c r="C187" s="24"/>
      <c r="D187" s="27"/>
      <c r="E187" s="44"/>
      <c r="F187" s="27"/>
      <c r="G187" s="0" t="str">
        <f aca="false">IF(AND(C187&lt;&gt;"",COUNTIF(C$6:C187,C187)=1),MAX(G$5:G186)+1,"")</f>
        <v/>
      </c>
      <c r="H187" s="0" t="str">
        <f aca="true">IF(A187="","",IF(ISNUMBER(A187),IF(A187&gt;=36526,A187,""),IFERROR(DATE(VALUE(RIGHT(RIGHT(TRIM(A187),10),4)),VALUE(MID(RIGHT(TRIM(A187),10),4,2)),VALUE(LEFT(RIGHT(TRIM(A187),10),2))),IFERROR(TODAY()-MOD(WEEKDAY(TODAY(),1)-MATCH(TRIM(A187),{"الأحد","الاثنين","الثلاثاء","الأربعاء","الخميس","الجمعة","السبت"},0),7),IFERROR(DATEVALUE(A187),"")))))</f>
        <v/>
      </c>
      <c r="I187" s="0" t="str">
        <f aca="false">IF(H187="","",INT((H187-WEEK_ONE)/7)+1)</f>
        <v/>
      </c>
      <c r="J187" s="0" t="str">
        <f aca="false">IF(I187="","",IF(OR(I187&lt;1,I187&gt;NW),"",INDEX(WMON,I187)))</f>
        <v/>
      </c>
    </row>
    <row r="188" customFormat="false" ht="15" hidden="false" customHeight="false" outlineLevel="0" collapsed="false">
      <c r="A188" s="43"/>
      <c r="B188" s="23" t="str">
        <f aca="false">IF(H188="","",CHOOSE(WEEKDAY(H188,1),"الأحد","الاثنين","الثلاثاء","الأربعاء","الخميس","الجمعة","السبت")&amp;IF(OR(ISNUMBER(A188),LEN(TRIM(A188))&gt;=10),"","  "&amp;TEXT(DAY(H188),"00")&amp;"/"&amp;TEXT(MONTH(H188),"00")&amp;"/"&amp;YEAR(H188)))</f>
        <v/>
      </c>
      <c r="C188" s="24"/>
      <c r="D188" s="27"/>
      <c r="E188" s="44"/>
      <c r="F188" s="27"/>
      <c r="G188" s="0" t="str">
        <f aca="false">IF(AND(C188&lt;&gt;"",COUNTIF(C$6:C188,C188)=1),MAX(G$5:G187)+1,"")</f>
        <v/>
      </c>
      <c r="H188" s="0" t="str">
        <f aca="true">IF(A188="","",IF(ISNUMBER(A188),IF(A188&gt;=36526,A188,""),IFERROR(DATE(VALUE(RIGHT(RIGHT(TRIM(A188),10),4)),VALUE(MID(RIGHT(TRIM(A188),10),4,2)),VALUE(LEFT(RIGHT(TRIM(A188),10),2))),IFERROR(TODAY()-MOD(WEEKDAY(TODAY(),1)-MATCH(TRIM(A188),{"الأحد","الاثنين","الثلاثاء","الأربعاء","الخميس","الجمعة","السبت"},0),7),IFERROR(DATEVALUE(A188),"")))))</f>
        <v/>
      </c>
      <c r="I188" s="0" t="str">
        <f aca="false">IF(H188="","",INT((H188-WEEK_ONE)/7)+1)</f>
        <v/>
      </c>
      <c r="J188" s="0" t="str">
        <f aca="false">IF(I188="","",IF(OR(I188&lt;1,I188&gt;NW),"",INDEX(WMON,I188)))</f>
        <v/>
      </c>
    </row>
    <row r="189" customFormat="false" ht="15" hidden="false" customHeight="false" outlineLevel="0" collapsed="false">
      <c r="A189" s="43"/>
      <c r="B189" s="23" t="str">
        <f aca="false">IF(H189="","",CHOOSE(WEEKDAY(H189,1),"الأحد","الاثنين","الثلاثاء","الأربعاء","الخميس","الجمعة","السبت")&amp;IF(OR(ISNUMBER(A189),LEN(TRIM(A189))&gt;=10),"","  "&amp;TEXT(DAY(H189),"00")&amp;"/"&amp;TEXT(MONTH(H189),"00")&amp;"/"&amp;YEAR(H189)))</f>
        <v/>
      </c>
      <c r="C189" s="24"/>
      <c r="D189" s="27"/>
      <c r="E189" s="44"/>
      <c r="F189" s="27"/>
      <c r="G189" s="0" t="str">
        <f aca="false">IF(AND(C189&lt;&gt;"",COUNTIF(C$6:C189,C189)=1),MAX(G$5:G188)+1,"")</f>
        <v/>
      </c>
      <c r="H189" s="0" t="str">
        <f aca="true">IF(A189="","",IF(ISNUMBER(A189),IF(A189&gt;=36526,A189,""),IFERROR(DATE(VALUE(RIGHT(RIGHT(TRIM(A189),10),4)),VALUE(MID(RIGHT(TRIM(A189),10),4,2)),VALUE(LEFT(RIGHT(TRIM(A189),10),2))),IFERROR(TODAY()-MOD(WEEKDAY(TODAY(),1)-MATCH(TRIM(A189),{"الأحد","الاثنين","الثلاثاء","الأربعاء","الخميس","الجمعة","السبت"},0),7),IFERROR(DATEVALUE(A189),"")))))</f>
        <v/>
      </c>
      <c r="I189" s="0" t="str">
        <f aca="false">IF(H189="","",INT((H189-WEEK_ONE)/7)+1)</f>
        <v/>
      </c>
      <c r="J189" s="0" t="str">
        <f aca="false">IF(I189="","",IF(OR(I189&lt;1,I189&gt;NW),"",INDEX(WMON,I189)))</f>
        <v/>
      </c>
    </row>
    <row r="190" customFormat="false" ht="15" hidden="false" customHeight="false" outlineLevel="0" collapsed="false">
      <c r="A190" s="43"/>
      <c r="B190" s="23" t="str">
        <f aca="false">IF(H190="","",CHOOSE(WEEKDAY(H190,1),"الأحد","الاثنين","الثلاثاء","الأربعاء","الخميس","الجمعة","السبت")&amp;IF(OR(ISNUMBER(A190),LEN(TRIM(A190))&gt;=10),"","  "&amp;TEXT(DAY(H190),"00")&amp;"/"&amp;TEXT(MONTH(H190),"00")&amp;"/"&amp;YEAR(H190)))</f>
        <v/>
      </c>
      <c r="C190" s="24"/>
      <c r="D190" s="27"/>
      <c r="E190" s="44"/>
      <c r="F190" s="27"/>
      <c r="G190" s="0" t="str">
        <f aca="false">IF(AND(C190&lt;&gt;"",COUNTIF(C$6:C190,C190)=1),MAX(G$5:G189)+1,"")</f>
        <v/>
      </c>
      <c r="H190" s="0" t="str">
        <f aca="true">IF(A190="","",IF(ISNUMBER(A190),IF(A190&gt;=36526,A190,""),IFERROR(DATE(VALUE(RIGHT(RIGHT(TRIM(A190),10),4)),VALUE(MID(RIGHT(TRIM(A190),10),4,2)),VALUE(LEFT(RIGHT(TRIM(A190),10),2))),IFERROR(TODAY()-MOD(WEEKDAY(TODAY(),1)-MATCH(TRIM(A190),{"الأحد","الاثنين","الثلاثاء","الأربعاء","الخميس","الجمعة","السبت"},0),7),IFERROR(DATEVALUE(A190),"")))))</f>
        <v/>
      </c>
      <c r="I190" s="0" t="str">
        <f aca="false">IF(H190="","",INT((H190-WEEK_ONE)/7)+1)</f>
        <v/>
      </c>
      <c r="J190" s="0" t="str">
        <f aca="false">IF(I190="","",IF(OR(I190&lt;1,I190&gt;NW),"",INDEX(WMON,I190)))</f>
        <v/>
      </c>
    </row>
    <row r="191" customFormat="false" ht="15" hidden="false" customHeight="false" outlineLevel="0" collapsed="false">
      <c r="A191" s="43"/>
      <c r="B191" s="23" t="str">
        <f aca="false">IF(H191="","",CHOOSE(WEEKDAY(H191,1),"الأحد","الاثنين","الثلاثاء","الأربعاء","الخميس","الجمعة","السبت")&amp;IF(OR(ISNUMBER(A191),LEN(TRIM(A191))&gt;=10),"","  "&amp;TEXT(DAY(H191),"00")&amp;"/"&amp;TEXT(MONTH(H191),"00")&amp;"/"&amp;YEAR(H191)))</f>
        <v/>
      </c>
      <c r="C191" s="24"/>
      <c r="D191" s="27"/>
      <c r="E191" s="44"/>
      <c r="F191" s="27"/>
      <c r="G191" s="0" t="str">
        <f aca="false">IF(AND(C191&lt;&gt;"",COUNTIF(C$6:C191,C191)=1),MAX(G$5:G190)+1,"")</f>
        <v/>
      </c>
      <c r="H191" s="0" t="str">
        <f aca="true">IF(A191="","",IF(ISNUMBER(A191),IF(A191&gt;=36526,A191,""),IFERROR(DATE(VALUE(RIGHT(RIGHT(TRIM(A191),10),4)),VALUE(MID(RIGHT(TRIM(A191),10),4,2)),VALUE(LEFT(RIGHT(TRIM(A191),10),2))),IFERROR(TODAY()-MOD(WEEKDAY(TODAY(),1)-MATCH(TRIM(A191),{"الأحد","الاثنين","الثلاثاء","الأربعاء","الخميس","الجمعة","السبت"},0),7),IFERROR(DATEVALUE(A191),"")))))</f>
        <v/>
      </c>
      <c r="I191" s="0" t="str">
        <f aca="false">IF(H191="","",INT((H191-WEEK_ONE)/7)+1)</f>
        <v/>
      </c>
      <c r="J191" s="0" t="str">
        <f aca="false">IF(I191="","",IF(OR(I191&lt;1,I191&gt;NW),"",INDEX(WMON,I191)))</f>
        <v/>
      </c>
    </row>
    <row r="192" customFormat="false" ht="15" hidden="false" customHeight="false" outlineLevel="0" collapsed="false">
      <c r="A192" s="43"/>
      <c r="B192" s="23" t="str">
        <f aca="false">IF(H192="","",CHOOSE(WEEKDAY(H192,1),"الأحد","الاثنين","الثلاثاء","الأربعاء","الخميس","الجمعة","السبت")&amp;IF(OR(ISNUMBER(A192),LEN(TRIM(A192))&gt;=10),"","  "&amp;TEXT(DAY(H192),"00")&amp;"/"&amp;TEXT(MONTH(H192),"00")&amp;"/"&amp;YEAR(H192)))</f>
        <v/>
      </c>
      <c r="C192" s="24"/>
      <c r="D192" s="27"/>
      <c r="E192" s="44"/>
      <c r="F192" s="27"/>
      <c r="G192" s="0" t="str">
        <f aca="false">IF(AND(C192&lt;&gt;"",COUNTIF(C$6:C192,C192)=1),MAX(G$5:G191)+1,"")</f>
        <v/>
      </c>
      <c r="H192" s="0" t="str">
        <f aca="true">IF(A192="","",IF(ISNUMBER(A192),IF(A192&gt;=36526,A192,""),IFERROR(DATE(VALUE(RIGHT(RIGHT(TRIM(A192),10),4)),VALUE(MID(RIGHT(TRIM(A192),10),4,2)),VALUE(LEFT(RIGHT(TRIM(A192),10),2))),IFERROR(TODAY()-MOD(WEEKDAY(TODAY(),1)-MATCH(TRIM(A192),{"الأحد","الاثنين","الثلاثاء","الأربعاء","الخميس","الجمعة","السبت"},0),7),IFERROR(DATEVALUE(A192),"")))))</f>
        <v/>
      </c>
      <c r="I192" s="0" t="str">
        <f aca="false">IF(H192="","",INT((H192-WEEK_ONE)/7)+1)</f>
        <v/>
      </c>
      <c r="J192" s="0" t="str">
        <f aca="false">IF(I192="","",IF(OR(I192&lt;1,I192&gt;NW),"",INDEX(WMON,I192)))</f>
        <v/>
      </c>
    </row>
    <row r="193" customFormat="false" ht="15" hidden="false" customHeight="false" outlineLevel="0" collapsed="false">
      <c r="A193" s="43"/>
      <c r="B193" s="23" t="str">
        <f aca="false">IF(H193="","",CHOOSE(WEEKDAY(H193,1),"الأحد","الاثنين","الثلاثاء","الأربعاء","الخميس","الجمعة","السبت")&amp;IF(OR(ISNUMBER(A193),LEN(TRIM(A193))&gt;=10),"","  "&amp;TEXT(DAY(H193),"00")&amp;"/"&amp;TEXT(MONTH(H193),"00")&amp;"/"&amp;YEAR(H193)))</f>
        <v/>
      </c>
      <c r="C193" s="24"/>
      <c r="D193" s="27"/>
      <c r="E193" s="44"/>
      <c r="F193" s="27"/>
      <c r="G193" s="0" t="str">
        <f aca="false">IF(AND(C193&lt;&gt;"",COUNTIF(C$6:C193,C193)=1),MAX(G$5:G192)+1,"")</f>
        <v/>
      </c>
      <c r="H193" s="0" t="str">
        <f aca="true">IF(A193="","",IF(ISNUMBER(A193),IF(A193&gt;=36526,A193,""),IFERROR(DATE(VALUE(RIGHT(RIGHT(TRIM(A193),10),4)),VALUE(MID(RIGHT(TRIM(A193),10),4,2)),VALUE(LEFT(RIGHT(TRIM(A193),10),2))),IFERROR(TODAY()-MOD(WEEKDAY(TODAY(),1)-MATCH(TRIM(A193),{"الأحد","الاثنين","الثلاثاء","الأربعاء","الخميس","الجمعة","السبت"},0),7),IFERROR(DATEVALUE(A193),"")))))</f>
        <v/>
      </c>
      <c r="I193" s="0" t="str">
        <f aca="false">IF(H193="","",INT((H193-WEEK_ONE)/7)+1)</f>
        <v/>
      </c>
      <c r="J193" s="0" t="str">
        <f aca="false">IF(I193="","",IF(OR(I193&lt;1,I193&gt;NW),"",INDEX(WMON,I193)))</f>
        <v/>
      </c>
    </row>
    <row r="194" customFormat="false" ht="15" hidden="false" customHeight="false" outlineLevel="0" collapsed="false">
      <c r="A194" s="43"/>
      <c r="B194" s="23" t="str">
        <f aca="false">IF(H194="","",CHOOSE(WEEKDAY(H194,1),"الأحد","الاثنين","الثلاثاء","الأربعاء","الخميس","الجمعة","السبت")&amp;IF(OR(ISNUMBER(A194),LEN(TRIM(A194))&gt;=10),"","  "&amp;TEXT(DAY(H194),"00")&amp;"/"&amp;TEXT(MONTH(H194),"00")&amp;"/"&amp;YEAR(H194)))</f>
        <v/>
      </c>
      <c r="C194" s="24"/>
      <c r="D194" s="27"/>
      <c r="E194" s="44"/>
      <c r="F194" s="27"/>
      <c r="G194" s="0" t="str">
        <f aca="false">IF(AND(C194&lt;&gt;"",COUNTIF(C$6:C194,C194)=1),MAX(G$5:G193)+1,"")</f>
        <v/>
      </c>
      <c r="H194" s="0" t="str">
        <f aca="true">IF(A194="","",IF(ISNUMBER(A194),IF(A194&gt;=36526,A194,""),IFERROR(DATE(VALUE(RIGHT(RIGHT(TRIM(A194),10),4)),VALUE(MID(RIGHT(TRIM(A194),10),4,2)),VALUE(LEFT(RIGHT(TRIM(A194),10),2))),IFERROR(TODAY()-MOD(WEEKDAY(TODAY(),1)-MATCH(TRIM(A194),{"الأحد","الاثنين","الثلاثاء","الأربعاء","الخميس","الجمعة","السبت"},0),7),IFERROR(DATEVALUE(A194),"")))))</f>
        <v/>
      </c>
      <c r="I194" s="0" t="str">
        <f aca="false">IF(H194="","",INT((H194-WEEK_ONE)/7)+1)</f>
        <v/>
      </c>
      <c r="J194" s="0" t="str">
        <f aca="false">IF(I194="","",IF(OR(I194&lt;1,I194&gt;NW),"",INDEX(WMON,I194)))</f>
        <v/>
      </c>
    </row>
    <row r="195" customFormat="false" ht="15" hidden="false" customHeight="false" outlineLevel="0" collapsed="false">
      <c r="A195" s="43"/>
      <c r="B195" s="23" t="str">
        <f aca="false">IF(H195="","",CHOOSE(WEEKDAY(H195,1),"الأحد","الاثنين","الثلاثاء","الأربعاء","الخميس","الجمعة","السبت")&amp;IF(OR(ISNUMBER(A195),LEN(TRIM(A195))&gt;=10),"","  "&amp;TEXT(DAY(H195),"00")&amp;"/"&amp;TEXT(MONTH(H195),"00")&amp;"/"&amp;YEAR(H195)))</f>
        <v/>
      </c>
      <c r="C195" s="24"/>
      <c r="D195" s="27"/>
      <c r="E195" s="44"/>
      <c r="F195" s="27"/>
      <c r="G195" s="0" t="str">
        <f aca="false">IF(AND(C195&lt;&gt;"",COUNTIF(C$6:C195,C195)=1),MAX(G$5:G194)+1,"")</f>
        <v/>
      </c>
      <c r="H195" s="0" t="str">
        <f aca="true">IF(A195="","",IF(ISNUMBER(A195),IF(A195&gt;=36526,A195,""),IFERROR(DATE(VALUE(RIGHT(RIGHT(TRIM(A195),10),4)),VALUE(MID(RIGHT(TRIM(A195),10),4,2)),VALUE(LEFT(RIGHT(TRIM(A195),10),2))),IFERROR(TODAY()-MOD(WEEKDAY(TODAY(),1)-MATCH(TRIM(A195),{"الأحد","الاثنين","الثلاثاء","الأربعاء","الخميس","الجمعة","السبت"},0),7),IFERROR(DATEVALUE(A195),"")))))</f>
        <v/>
      </c>
      <c r="I195" s="0" t="str">
        <f aca="false">IF(H195="","",INT((H195-WEEK_ONE)/7)+1)</f>
        <v/>
      </c>
      <c r="J195" s="0" t="str">
        <f aca="false">IF(I195="","",IF(OR(I195&lt;1,I195&gt;NW),"",INDEX(WMON,I195)))</f>
        <v/>
      </c>
    </row>
    <row r="196" customFormat="false" ht="15" hidden="false" customHeight="false" outlineLevel="0" collapsed="false">
      <c r="A196" s="43"/>
      <c r="B196" s="23" t="str">
        <f aca="false">IF(H196="","",CHOOSE(WEEKDAY(H196,1),"الأحد","الاثنين","الثلاثاء","الأربعاء","الخميس","الجمعة","السبت")&amp;IF(OR(ISNUMBER(A196),LEN(TRIM(A196))&gt;=10),"","  "&amp;TEXT(DAY(H196),"00")&amp;"/"&amp;TEXT(MONTH(H196),"00")&amp;"/"&amp;YEAR(H196)))</f>
        <v/>
      </c>
      <c r="C196" s="24"/>
      <c r="D196" s="27"/>
      <c r="E196" s="44"/>
      <c r="F196" s="27"/>
      <c r="G196" s="0" t="str">
        <f aca="false">IF(AND(C196&lt;&gt;"",COUNTIF(C$6:C196,C196)=1),MAX(G$5:G195)+1,"")</f>
        <v/>
      </c>
      <c r="H196" s="0" t="str">
        <f aca="true">IF(A196="","",IF(ISNUMBER(A196),IF(A196&gt;=36526,A196,""),IFERROR(DATE(VALUE(RIGHT(RIGHT(TRIM(A196),10),4)),VALUE(MID(RIGHT(TRIM(A196),10),4,2)),VALUE(LEFT(RIGHT(TRIM(A196),10),2))),IFERROR(TODAY()-MOD(WEEKDAY(TODAY(),1)-MATCH(TRIM(A196),{"الأحد","الاثنين","الثلاثاء","الأربعاء","الخميس","الجمعة","السبت"},0),7),IFERROR(DATEVALUE(A196),"")))))</f>
        <v/>
      </c>
      <c r="I196" s="0" t="str">
        <f aca="false">IF(H196="","",INT((H196-WEEK_ONE)/7)+1)</f>
        <v/>
      </c>
      <c r="J196" s="0" t="str">
        <f aca="false">IF(I196="","",IF(OR(I196&lt;1,I196&gt;NW),"",INDEX(WMON,I196)))</f>
        <v/>
      </c>
    </row>
    <row r="197" customFormat="false" ht="15" hidden="false" customHeight="false" outlineLevel="0" collapsed="false">
      <c r="A197" s="43"/>
      <c r="B197" s="23" t="str">
        <f aca="false">IF(H197="","",CHOOSE(WEEKDAY(H197,1),"الأحد","الاثنين","الثلاثاء","الأربعاء","الخميس","الجمعة","السبت")&amp;IF(OR(ISNUMBER(A197),LEN(TRIM(A197))&gt;=10),"","  "&amp;TEXT(DAY(H197),"00")&amp;"/"&amp;TEXT(MONTH(H197),"00")&amp;"/"&amp;YEAR(H197)))</f>
        <v/>
      </c>
      <c r="C197" s="24"/>
      <c r="D197" s="27"/>
      <c r="E197" s="44"/>
      <c r="F197" s="27"/>
      <c r="G197" s="0" t="str">
        <f aca="false">IF(AND(C197&lt;&gt;"",COUNTIF(C$6:C197,C197)=1),MAX(G$5:G196)+1,"")</f>
        <v/>
      </c>
      <c r="H197" s="0" t="str">
        <f aca="true">IF(A197="","",IF(ISNUMBER(A197),IF(A197&gt;=36526,A197,""),IFERROR(DATE(VALUE(RIGHT(RIGHT(TRIM(A197),10),4)),VALUE(MID(RIGHT(TRIM(A197),10),4,2)),VALUE(LEFT(RIGHT(TRIM(A197),10),2))),IFERROR(TODAY()-MOD(WEEKDAY(TODAY(),1)-MATCH(TRIM(A197),{"الأحد","الاثنين","الثلاثاء","الأربعاء","الخميس","الجمعة","السبت"},0),7),IFERROR(DATEVALUE(A197),"")))))</f>
        <v/>
      </c>
      <c r="I197" s="0" t="str">
        <f aca="false">IF(H197="","",INT((H197-WEEK_ONE)/7)+1)</f>
        <v/>
      </c>
      <c r="J197" s="0" t="str">
        <f aca="false">IF(I197="","",IF(OR(I197&lt;1,I197&gt;NW),"",INDEX(WMON,I197)))</f>
        <v/>
      </c>
    </row>
    <row r="198" customFormat="false" ht="15" hidden="false" customHeight="false" outlineLevel="0" collapsed="false">
      <c r="A198" s="43"/>
      <c r="B198" s="23" t="str">
        <f aca="false">IF(H198="","",CHOOSE(WEEKDAY(H198,1),"الأحد","الاثنين","الثلاثاء","الأربعاء","الخميس","الجمعة","السبت")&amp;IF(OR(ISNUMBER(A198),LEN(TRIM(A198))&gt;=10),"","  "&amp;TEXT(DAY(H198),"00")&amp;"/"&amp;TEXT(MONTH(H198),"00")&amp;"/"&amp;YEAR(H198)))</f>
        <v/>
      </c>
      <c r="C198" s="24"/>
      <c r="D198" s="27"/>
      <c r="E198" s="44"/>
      <c r="F198" s="27"/>
      <c r="G198" s="0" t="str">
        <f aca="false">IF(AND(C198&lt;&gt;"",COUNTIF(C$6:C198,C198)=1),MAX(G$5:G197)+1,"")</f>
        <v/>
      </c>
      <c r="H198" s="0" t="str">
        <f aca="true">IF(A198="","",IF(ISNUMBER(A198),IF(A198&gt;=36526,A198,""),IFERROR(DATE(VALUE(RIGHT(RIGHT(TRIM(A198),10),4)),VALUE(MID(RIGHT(TRIM(A198),10),4,2)),VALUE(LEFT(RIGHT(TRIM(A198),10),2))),IFERROR(TODAY()-MOD(WEEKDAY(TODAY(),1)-MATCH(TRIM(A198),{"الأحد","الاثنين","الثلاثاء","الأربعاء","الخميس","الجمعة","السبت"},0),7),IFERROR(DATEVALUE(A198),"")))))</f>
        <v/>
      </c>
      <c r="I198" s="0" t="str">
        <f aca="false">IF(H198="","",INT((H198-WEEK_ONE)/7)+1)</f>
        <v/>
      </c>
      <c r="J198" s="0" t="str">
        <f aca="false">IF(I198="","",IF(OR(I198&lt;1,I198&gt;NW),"",INDEX(WMON,I198)))</f>
        <v/>
      </c>
    </row>
    <row r="199" customFormat="false" ht="15" hidden="false" customHeight="false" outlineLevel="0" collapsed="false">
      <c r="A199" s="43"/>
      <c r="B199" s="23" t="str">
        <f aca="false">IF(H199="","",CHOOSE(WEEKDAY(H199,1),"الأحد","الاثنين","الثلاثاء","الأربعاء","الخميس","الجمعة","السبت")&amp;IF(OR(ISNUMBER(A199),LEN(TRIM(A199))&gt;=10),"","  "&amp;TEXT(DAY(H199),"00")&amp;"/"&amp;TEXT(MONTH(H199),"00")&amp;"/"&amp;YEAR(H199)))</f>
        <v/>
      </c>
      <c r="C199" s="24"/>
      <c r="D199" s="27"/>
      <c r="E199" s="44"/>
      <c r="F199" s="27"/>
      <c r="G199" s="0" t="str">
        <f aca="false">IF(AND(C199&lt;&gt;"",COUNTIF(C$6:C199,C199)=1),MAX(G$5:G198)+1,"")</f>
        <v/>
      </c>
      <c r="H199" s="0" t="str">
        <f aca="true">IF(A199="","",IF(ISNUMBER(A199),IF(A199&gt;=36526,A199,""),IFERROR(DATE(VALUE(RIGHT(RIGHT(TRIM(A199),10),4)),VALUE(MID(RIGHT(TRIM(A199),10),4,2)),VALUE(LEFT(RIGHT(TRIM(A199),10),2))),IFERROR(TODAY()-MOD(WEEKDAY(TODAY(),1)-MATCH(TRIM(A199),{"الأحد","الاثنين","الثلاثاء","الأربعاء","الخميس","الجمعة","السبت"},0),7),IFERROR(DATEVALUE(A199),"")))))</f>
        <v/>
      </c>
      <c r="I199" s="0" t="str">
        <f aca="false">IF(H199="","",INT((H199-WEEK_ONE)/7)+1)</f>
        <v/>
      </c>
      <c r="J199" s="0" t="str">
        <f aca="false">IF(I199="","",IF(OR(I199&lt;1,I199&gt;NW),"",INDEX(WMON,I199)))</f>
        <v/>
      </c>
    </row>
    <row r="200" customFormat="false" ht="15" hidden="false" customHeight="false" outlineLevel="0" collapsed="false">
      <c r="A200" s="43"/>
      <c r="B200" s="23" t="str">
        <f aca="false">IF(H200="","",CHOOSE(WEEKDAY(H200,1),"الأحد","الاثنين","الثلاثاء","الأربعاء","الخميس","الجمعة","السبت")&amp;IF(OR(ISNUMBER(A200),LEN(TRIM(A200))&gt;=10),"","  "&amp;TEXT(DAY(H200),"00")&amp;"/"&amp;TEXT(MONTH(H200),"00")&amp;"/"&amp;YEAR(H200)))</f>
        <v/>
      </c>
      <c r="C200" s="24"/>
      <c r="D200" s="27"/>
      <c r="E200" s="44"/>
      <c r="F200" s="27"/>
      <c r="G200" s="0" t="str">
        <f aca="false">IF(AND(C200&lt;&gt;"",COUNTIF(C$6:C200,C200)=1),MAX(G$5:G199)+1,"")</f>
        <v/>
      </c>
      <c r="H200" s="0" t="str">
        <f aca="true">IF(A200="","",IF(ISNUMBER(A200),IF(A200&gt;=36526,A200,""),IFERROR(DATE(VALUE(RIGHT(RIGHT(TRIM(A200),10),4)),VALUE(MID(RIGHT(TRIM(A200),10),4,2)),VALUE(LEFT(RIGHT(TRIM(A200),10),2))),IFERROR(TODAY()-MOD(WEEKDAY(TODAY(),1)-MATCH(TRIM(A200),{"الأحد","الاثنين","الثلاثاء","الأربعاء","الخميس","الجمعة","السبت"},0),7),IFERROR(DATEVALUE(A200),"")))))</f>
        <v/>
      </c>
      <c r="I200" s="0" t="str">
        <f aca="false">IF(H200="","",INT((H200-WEEK_ONE)/7)+1)</f>
        <v/>
      </c>
      <c r="J200" s="0" t="str">
        <f aca="false">IF(I200="","",IF(OR(I200&lt;1,I200&gt;NW),"",INDEX(WMON,I200)))</f>
        <v/>
      </c>
    </row>
    <row r="201" customFormat="false" ht="15" hidden="false" customHeight="false" outlineLevel="0" collapsed="false">
      <c r="A201" s="43"/>
      <c r="B201" s="23" t="str">
        <f aca="false">IF(H201="","",CHOOSE(WEEKDAY(H201,1),"الأحد","الاثنين","الثلاثاء","الأربعاء","الخميس","الجمعة","السبت")&amp;IF(OR(ISNUMBER(A201),LEN(TRIM(A201))&gt;=10),"","  "&amp;TEXT(DAY(H201),"00")&amp;"/"&amp;TEXT(MONTH(H201),"00")&amp;"/"&amp;YEAR(H201)))</f>
        <v/>
      </c>
      <c r="C201" s="24"/>
      <c r="D201" s="27"/>
      <c r="E201" s="44"/>
      <c r="F201" s="27"/>
      <c r="G201" s="0" t="str">
        <f aca="false">IF(AND(C201&lt;&gt;"",COUNTIF(C$6:C201,C201)=1),MAX(G$5:G200)+1,"")</f>
        <v/>
      </c>
      <c r="H201" s="0" t="str">
        <f aca="true">IF(A201="","",IF(ISNUMBER(A201),IF(A201&gt;=36526,A201,""),IFERROR(DATE(VALUE(RIGHT(RIGHT(TRIM(A201),10),4)),VALUE(MID(RIGHT(TRIM(A201),10),4,2)),VALUE(LEFT(RIGHT(TRIM(A201),10),2))),IFERROR(TODAY()-MOD(WEEKDAY(TODAY(),1)-MATCH(TRIM(A201),{"الأحد","الاثنين","الثلاثاء","الأربعاء","الخميس","الجمعة","السبت"},0),7),IFERROR(DATEVALUE(A201),"")))))</f>
        <v/>
      </c>
      <c r="I201" s="0" t="str">
        <f aca="false">IF(H201="","",INT((H201-WEEK_ONE)/7)+1)</f>
        <v/>
      </c>
      <c r="J201" s="0" t="str">
        <f aca="false">IF(I201="","",IF(OR(I201&lt;1,I201&gt;NW),"",INDEX(WMON,I201)))</f>
        <v/>
      </c>
    </row>
    <row r="202" customFormat="false" ht="15" hidden="false" customHeight="false" outlineLevel="0" collapsed="false">
      <c r="A202" s="43"/>
      <c r="B202" s="23" t="str">
        <f aca="false">IF(H202="","",CHOOSE(WEEKDAY(H202,1),"الأحد","الاثنين","الثلاثاء","الأربعاء","الخميس","الجمعة","السبت")&amp;IF(OR(ISNUMBER(A202),LEN(TRIM(A202))&gt;=10),"","  "&amp;TEXT(DAY(H202),"00")&amp;"/"&amp;TEXT(MONTH(H202),"00")&amp;"/"&amp;YEAR(H202)))</f>
        <v/>
      </c>
      <c r="C202" s="24"/>
      <c r="D202" s="27"/>
      <c r="E202" s="44"/>
      <c r="F202" s="27"/>
      <c r="G202" s="0" t="str">
        <f aca="false">IF(AND(C202&lt;&gt;"",COUNTIF(C$6:C202,C202)=1),MAX(G$5:G201)+1,"")</f>
        <v/>
      </c>
      <c r="H202" s="0" t="str">
        <f aca="true">IF(A202="","",IF(ISNUMBER(A202),IF(A202&gt;=36526,A202,""),IFERROR(DATE(VALUE(RIGHT(RIGHT(TRIM(A202),10),4)),VALUE(MID(RIGHT(TRIM(A202),10),4,2)),VALUE(LEFT(RIGHT(TRIM(A202),10),2))),IFERROR(TODAY()-MOD(WEEKDAY(TODAY(),1)-MATCH(TRIM(A202),{"الأحد","الاثنين","الثلاثاء","الأربعاء","الخميس","الجمعة","السبت"},0),7),IFERROR(DATEVALUE(A202),"")))))</f>
        <v/>
      </c>
      <c r="I202" s="0" t="str">
        <f aca="false">IF(H202="","",INT((H202-WEEK_ONE)/7)+1)</f>
        <v/>
      </c>
      <c r="J202" s="0" t="str">
        <f aca="false">IF(I202="","",IF(OR(I202&lt;1,I202&gt;NW),"",INDEX(WMON,I202)))</f>
        <v/>
      </c>
    </row>
    <row r="203" customFormat="false" ht="15" hidden="false" customHeight="false" outlineLevel="0" collapsed="false">
      <c r="A203" s="43"/>
      <c r="B203" s="23" t="str">
        <f aca="false">IF(H203="","",CHOOSE(WEEKDAY(H203,1),"الأحد","الاثنين","الثلاثاء","الأربعاء","الخميس","الجمعة","السبت")&amp;IF(OR(ISNUMBER(A203),LEN(TRIM(A203))&gt;=10),"","  "&amp;TEXT(DAY(H203),"00")&amp;"/"&amp;TEXT(MONTH(H203),"00")&amp;"/"&amp;YEAR(H203)))</f>
        <v/>
      </c>
      <c r="C203" s="24"/>
      <c r="D203" s="27"/>
      <c r="E203" s="44"/>
      <c r="F203" s="27"/>
      <c r="G203" s="0" t="str">
        <f aca="false">IF(AND(C203&lt;&gt;"",COUNTIF(C$6:C203,C203)=1),MAX(G$5:G202)+1,"")</f>
        <v/>
      </c>
      <c r="H203" s="0" t="str">
        <f aca="true">IF(A203="","",IF(ISNUMBER(A203),IF(A203&gt;=36526,A203,""),IFERROR(DATE(VALUE(RIGHT(RIGHT(TRIM(A203),10),4)),VALUE(MID(RIGHT(TRIM(A203),10),4,2)),VALUE(LEFT(RIGHT(TRIM(A203),10),2))),IFERROR(TODAY()-MOD(WEEKDAY(TODAY(),1)-MATCH(TRIM(A203),{"الأحد","الاثنين","الثلاثاء","الأربعاء","الخميس","الجمعة","السبت"},0),7),IFERROR(DATEVALUE(A203),"")))))</f>
        <v/>
      </c>
      <c r="I203" s="0" t="str">
        <f aca="false">IF(H203="","",INT((H203-WEEK_ONE)/7)+1)</f>
        <v/>
      </c>
      <c r="J203" s="0" t="str">
        <f aca="false">IF(I203="","",IF(OR(I203&lt;1,I203&gt;NW),"",INDEX(WMON,I203)))</f>
        <v/>
      </c>
    </row>
    <row r="204" customFormat="false" ht="15" hidden="false" customHeight="false" outlineLevel="0" collapsed="false">
      <c r="A204" s="43"/>
      <c r="B204" s="23" t="str">
        <f aca="false">IF(H204="","",CHOOSE(WEEKDAY(H204,1),"الأحد","الاثنين","الثلاثاء","الأربعاء","الخميس","الجمعة","السبت")&amp;IF(OR(ISNUMBER(A204),LEN(TRIM(A204))&gt;=10),"","  "&amp;TEXT(DAY(H204),"00")&amp;"/"&amp;TEXT(MONTH(H204),"00")&amp;"/"&amp;YEAR(H204)))</f>
        <v/>
      </c>
      <c r="C204" s="24"/>
      <c r="D204" s="27"/>
      <c r="E204" s="44"/>
      <c r="F204" s="27"/>
      <c r="G204" s="0" t="str">
        <f aca="false">IF(AND(C204&lt;&gt;"",COUNTIF(C$6:C204,C204)=1),MAX(G$5:G203)+1,"")</f>
        <v/>
      </c>
      <c r="H204" s="0" t="str">
        <f aca="true">IF(A204="","",IF(ISNUMBER(A204),IF(A204&gt;=36526,A204,""),IFERROR(DATE(VALUE(RIGHT(RIGHT(TRIM(A204),10),4)),VALUE(MID(RIGHT(TRIM(A204),10),4,2)),VALUE(LEFT(RIGHT(TRIM(A204),10),2))),IFERROR(TODAY()-MOD(WEEKDAY(TODAY(),1)-MATCH(TRIM(A204),{"الأحد","الاثنين","الثلاثاء","الأربعاء","الخميس","الجمعة","السبت"},0),7),IFERROR(DATEVALUE(A204),"")))))</f>
        <v/>
      </c>
      <c r="I204" s="0" t="str">
        <f aca="false">IF(H204="","",INT((H204-WEEK_ONE)/7)+1)</f>
        <v/>
      </c>
      <c r="J204" s="0" t="str">
        <f aca="false">IF(I204="","",IF(OR(I204&lt;1,I204&gt;NW),"",INDEX(WMON,I204)))</f>
        <v/>
      </c>
    </row>
    <row r="205" customFormat="false" ht="15" hidden="false" customHeight="false" outlineLevel="0" collapsed="false">
      <c r="A205" s="43"/>
      <c r="B205" s="23" t="str">
        <f aca="false">IF(H205="","",CHOOSE(WEEKDAY(H205,1),"الأحد","الاثنين","الثلاثاء","الأربعاء","الخميس","الجمعة","السبت")&amp;IF(OR(ISNUMBER(A205),LEN(TRIM(A205))&gt;=10),"","  "&amp;TEXT(DAY(H205),"00")&amp;"/"&amp;TEXT(MONTH(H205),"00")&amp;"/"&amp;YEAR(H205)))</f>
        <v/>
      </c>
      <c r="C205" s="24"/>
      <c r="D205" s="27"/>
      <c r="E205" s="44"/>
      <c r="F205" s="27"/>
      <c r="G205" s="0" t="str">
        <f aca="false">IF(AND(C205&lt;&gt;"",COUNTIF(C$6:C205,C205)=1),MAX(G$5:G204)+1,"")</f>
        <v/>
      </c>
      <c r="H205" s="0" t="str">
        <f aca="true">IF(A205="","",IF(ISNUMBER(A205),IF(A205&gt;=36526,A205,""),IFERROR(DATE(VALUE(RIGHT(RIGHT(TRIM(A205),10),4)),VALUE(MID(RIGHT(TRIM(A205),10),4,2)),VALUE(LEFT(RIGHT(TRIM(A205),10),2))),IFERROR(TODAY()-MOD(WEEKDAY(TODAY(),1)-MATCH(TRIM(A205),{"الأحد","الاثنين","الثلاثاء","الأربعاء","الخميس","الجمعة","السبت"},0),7),IFERROR(DATEVALUE(A205),"")))))</f>
        <v/>
      </c>
      <c r="I205" s="0" t="str">
        <f aca="false">IF(H205="","",INT((H205-WEEK_ONE)/7)+1)</f>
        <v/>
      </c>
      <c r="J205" s="0" t="str">
        <f aca="false">IF(I205="","",IF(OR(I205&lt;1,I205&gt;NW),"",INDEX(WMON,I205)))</f>
        <v/>
      </c>
    </row>
    <row r="206" customFormat="false" ht="15" hidden="false" customHeight="false" outlineLevel="0" collapsed="false">
      <c r="A206" s="43"/>
      <c r="B206" s="23" t="str">
        <f aca="false">IF(H206="","",CHOOSE(WEEKDAY(H206,1),"الأحد","الاثنين","الثلاثاء","الأربعاء","الخميس","الجمعة","السبت")&amp;IF(OR(ISNUMBER(A206),LEN(TRIM(A206))&gt;=10),"","  "&amp;TEXT(DAY(H206),"00")&amp;"/"&amp;TEXT(MONTH(H206),"00")&amp;"/"&amp;YEAR(H206)))</f>
        <v/>
      </c>
      <c r="C206" s="24"/>
      <c r="D206" s="27"/>
      <c r="E206" s="44"/>
      <c r="F206" s="27"/>
      <c r="G206" s="0" t="str">
        <f aca="false">IF(AND(C206&lt;&gt;"",COUNTIF(C$6:C206,C206)=1),MAX(G$5:G205)+1,"")</f>
        <v/>
      </c>
      <c r="H206" s="0" t="str">
        <f aca="true">IF(A206="","",IF(ISNUMBER(A206),IF(A206&gt;=36526,A206,""),IFERROR(DATE(VALUE(RIGHT(RIGHT(TRIM(A206),10),4)),VALUE(MID(RIGHT(TRIM(A206),10),4,2)),VALUE(LEFT(RIGHT(TRIM(A206),10),2))),IFERROR(TODAY()-MOD(WEEKDAY(TODAY(),1)-MATCH(TRIM(A206),{"الأحد","الاثنين","الثلاثاء","الأربعاء","الخميس","الجمعة","السبت"},0),7),IFERROR(DATEVALUE(A206),"")))))</f>
        <v/>
      </c>
      <c r="I206" s="0" t="str">
        <f aca="false">IF(H206="","",INT((H206-WEEK_ONE)/7)+1)</f>
        <v/>
      </c>
      <c r="J206" s="0" t="str">
        <f aca="false">IF(I206="","",IF(OR(I206&lt;1,I206&gt;NW),"",INDEX(WMON,I206)))</f>
        <v/>
      </c>
    </row>
    <row r="207" customFormat="false" ht="15" hidden="false" customHeight="false" outlineLevel="0" collapsed="false">
      <c r="A207" s="43"/>
      <c r="B207" s="23" t="str">
        <f aca="false">IF(H207="","",CHOOSE(WEEKDAY(H207,1),"الأحد","الاثنين","الثلاثاء","الأربعاء","الخميس","الجمعة","السبت")&amp;IF(OR(ISNUMBER(A207),LEN(TRIM(A207))&gt;=10),"","  "&amp;TEXT(DAY(H207),"00")&amp;"/"&amp;TEXT(MONTH(H207),"00")&amp;"/"&amp;YEAR(H207)))</f>
        <v/>
      </c>
      <c r="C207" s="24"/>
      <c r="D207" s="27"/>
      <c r="E207" s="44"/>
      <c r="F207" s="27"/>
      <c r="G207" s="0" t="str">
        <f aca="false">IF(AND(C207&lt;&gt;"",COUNTIF(C$6:C207,C207)=1),MAX(G$5:G206)+1,"")</f>
        <v/>
      </c>
      <c r="H207" s="0" t="str">
        <f aca="true">IF(A207="","",IF(ISNUMBER(A207),IF(A207&gt;=36526,A207,""),IFERROR(DATE(VALUE(RIGHT(RIGHT(TRIM(A207),10),4)),VALUE(MID(RIGHT(TRIM(A207),10),4,2)),VALUE(LEFT(RIGHT(TRIM(A207),10),2))),IFERROR(TODAY()-MOD(WEEKDAY(TODAY(),1)-MATCH(TRIM(A207),{"الأحد","الاثنين","الثلاثاء","الأربعاء","الخميس","الجمعة","السبت"},0),7),IFERROR(DATEVALUE(A207),"")))))</f>
        <v/>
      </c>
      <c r="I207" s="0" t="str">
        <f aca="false">IF(H207="","",INT((H207-WEEK_ONE)/7)+1)</f>
        <v/>
      </c>
      <c r="J207" s="0" t="str">
        <f aca="false">IF(I207="","",IF(OR(I207&lt;1,I207&gt;NW),"",INDEX(WMON,I207)))</f>
        <v/>
      </c>
    </row>
    <row r="208" customFormat="false" ht="15" hidden="false" customHeight="false" outlineLevel="0" collapsed="false">
      <c r="A208" s="43"/>
      <c r="B208" s="23" t="str">
        <f aca="false">IF(H208="","",CHOOSE(WEEKDAY(H208,1),"الأحد","الاثنين","الثلاثاء","الأربعاء","الخميس","الجمعة","السبت")&amp;IF(OR(ISNUMBER(A208),LEN(TRIM(A208))&gt;=10),"","  "&amp;TEXT(DAY(H208),"00")&amp;"/"&amp;TEXT(MONTH(H208),"00")&amp;"/"&amp;YEAR(H208)))</f>
        <v/>
      </c>
      <c r="C208" s="24"/>
      <c r="D208" s="27"/>
      <c r="E208" s="44"/>
      <c r="F208" s="27"/>
      <c r="G208" s="0" t="str">
        <f aca="false">IF(AND(C208&lt;&gt;"",COUNTIF(C$6:C208,C208)=1),MAX(G$5:G207)+1,"")</f>
        <v/>
      </c>
      <c r="H208" s="0" t="str">
        <f aca="true">IF(A208="","",IF(ISNUMBER(A208),IF(A208&gt;=36526,A208,""),IFERROR(DATE(VALUE(RIGHT(RIGHT(TRIM(A208),10),4)),VALUE(MID(RIGHT(TRIM(A208),10),4,2)),VALUE(LEFT(RIGHT(TRIM(A208),10),2))),IFERROR(TODAY()-MOD(WEEKDAY(TODAY(),1)-MATCH(TRIM(A208),{"الأحد","الاثنين","الثلاثاء","الأربعاء","الخميس","الجمعة","السبت"},0),7),IFERROR(DATEVALUE(A208),"")))))</f>
        <v/>
      </c>
      <c r="I208" s="0" t="str">
        <f aca="false">IF(H208="","",INT((H208-WEEK_ONE)/7)+1)</f>
        <v/>
      </c>
      <c r="J208" s="0" t="str">
        <f aca="false">IF(I208="","",IF(OR(I208&lt;1,I208&gt;NW),"",INDEX(WMON,I208)))</f>
        <v/>
      </c>
    </row>
    <row r="209" customFormat="false" ht="15" hidden="false" customHeight="false" outlineLevel="0" collapsed="false">
      <c r="A209" s="43"/>
      <c r="B209" s="23" t="str">
        <f aca="false">IF(H209="","",CHOOSE(WEEKDAY(H209,1),"الأحد","الاثنين","الثلاثاء","الأربعاء","الخميس","الجمعة","السبت")&amp;IF(OR(ISNUMBER(A209),LEN(TRIM(A209))&gt;=10),"","  "&amp;TEXT(DAY(H209),"00")&amp;"/"&amp;TEXT(MONTH(H209),"00")&amp;"/"&amp;YEAR(H209)))</f>
        <v/>
      </c>
      <c r="C209" s="24"/>
      <c r="D209" s="27"/>
      <c r="E209" s="44"/>
      <c r="F209" s="27"/>
      <c r="G209" s="0" t="str">
        <f aca="false">IF(AND(C209&lt;&gt;"",COUNTIF(C$6:C209,C209)=1),MAX(G$5:G208)+1,"")</f>
        <v/>
      </c>
      <c r="H209" s="0" t="str">
        <f aca="true">IF(A209="","",IF(ISNUMBER(A209),IF(A209&gt;=36526,A209,""),IFERROR(DATE(VALUE(RIGHT(RIGHT(TRIM(A209),10),4)),VALUE(MID(RIGHT(TRIM(A209),10),4,2)),VALUE(LEFT(RIGHT(TRIM(A209),10),2))),IFERROR(TODAY()-MOD(WEEKDAY(TODAY(),1)-MATCH(TRIM(A209),{"الأحد","الاثنين","الثلاثاء","الأربعاء","الخميس","الجمعة","السبت"},0),7),IFERROR(DATEVALUE(A209),"")))))</f>
        <v/>
      </c>
      <c r="I209" s="0" t="str">
        <f aca="false">IF(H209="","",INT((H209-WEEK_ONE)/7)+1)</f>
        <v/>
      </c>
      <c r="J209" s="0" t="str">
        <f aca="false">IF(I209="","",IF(OR(I209&lt;1,I209&gt;NW),"",INDEX(WMON,I209)))</f>
        <v/>
      </c>
    </row>
    <row r="210" customFormat="false" ht="15" hidden="false" customHeight="false" outlineLevel="0" collapsed="false">
      <c r="A210" s="43"/>
      <c r="B210" s="23" t="str">
        <f aca="false">IF(H210="","",CHOOSE(WEEKDAY(H210,1),"الأحد","الاثنين","الثلاثاء","الأربعاء","الخميس","الجمعة","السبت")&amp;IF(OR(ISNUMBER(A210),LEN(TRIM(A210))&gt;=10),"","  "&amp;TEXT(DAY(H210),"00")&amp;"/"&amp;TEXT(MONTH(H210),"00")&amp;"/"&amp;YEAR(H210)))</f>
        <v/>
      </c>
      <c r="C210" s="24"/>
      <c r="D210" s="27"/>
      <c r="E210" s="44"/>
      <c r="F210" s="27"/>
      <c r="G210" s="0" t="str">
        <f aca="false">IF(AND(C210&lt;&gt;"",COUNTIF(C$6:C210,C210)=1),MAX(G$5:G209)+1,"")</f>
        <v/>
      </c>
      <c r="H210" s="0" t="str">
        <f aca="true">IF(A210="","",IF(ISNUMBER(A210),IF(A210&gt;=36526,A210,""),IFERROR(DATE(VALUE(RIGHT(RIGHT(TRIM(A210),10),4)),VALUE(MID(RIGHT(TRIM(A210),10),4,2)),VALUE(LEFT(RIGHT(TRIM(A210),10),2))),IFERROR(TODAY()-MOD(WEEKDAY(TODAY(),1)-MATCH(TRIM(A210),{"الأحد","الاثنين","الثلاثاء","الأربعاء","الخميس","الجمعة","السبت"},0),7),IFERROR(DATEVALUE(A210),"")))))</f>
        <v/>
      </c>
      <c r="I210" s="0" t="str">
        <f aca="false">IF(H210="","",INT((H210-WEEK_ONE)/7)+1)</f>
        <v/>
      </c>
      <c r="J210" s="0" t="str">
        <f aca="false">IF(I210="","",IF(OR(I210&lt;1,I210&gt;NW),"",INDEX(WMON,I210)))</f>
        <v/>
      </c>
    </row>
    <row r="211" customFormat="false" ht="15" hidden="false" customHeight="false" outlineLevel="0" collapsed="false">
      <c r="A211" s="43"/>
      <c r="B211" s="23" t="str">
        <f aca="false">IF(H211="","",CHOOSE(WEEKDAY(H211,1),"الأحد","الاثنين","الثلاثاء","الأربعاء","الخميس","الجمعة","السبت")&amp;IF(OR(ISNUMBER(A211),LEN(TRIM(A211))&gt;=10),"","  "&amp;TEXT(DAY(H211),"00")&amp;"/"&amp;TEXT(MONTH(H211),"00")&amp;"/"&amp;YEAR(H211)))</f>
        <v/>
      </c>
      <c r="C211" s="24"/>
      <c r="D211" s="27"/>
      <c r="E211" s="44"/>
      <c r="F211" s="27"/>
      <c r="G211" s="0" t="str">
        <f aca="false">IF(AND(C211&lt;&gt;"",COUNTIF(C$6:C211,C211)=1),MAX(G$5:G210)+1,"")</f>
        <v/>
      </c>
      <c r="H211" s="0" t="str">
        <f aca="true">IF(A211="","",IF(ISNUMBER(A211),IF(A211&gt;=36526,A211,""),IFERROR(DATE(VALUE(RIGHT(RIGHT(TRIM(A211),10),4)),VALUE(MID(RIGHT(TRIM(A211),10),4,2)),VALUE(LEFT(RIGHT(TRIM(A211),10),2))),IFERROR(TODAY()-MOD(WEEKDAY(TODAY(),1)-MATCH(TRIM(A211),{"الأحد","الاثنين","الثلاثاء","الأربعاء","الخميس","الجمعة","السبت"},0),7),IFERROR(DATEVALUE(A211),"")))))</f>
        <v/>
      </c>
      <c r="I211" s="0" t="str">
        <f aca="false">IF(H211="","",INT((H211-WEEK_ONE)/7)+1)</f>
        <v/>
      </c>
      <c r="J211" s="0" t="str">
        <f aca="false">IF(I211="","",IF(OR(I211&lt;1,I211&gt;NW),"",INDEX(WMON,I211)))</f>
        <v/>
      </c>
    </row>
    <row r="212" customFormat="false" ht="15" hidden="false" customHeight="false" outlineLevel="0" collapsed="false">
      <c r="A212" s="43"/>
      <c r="B212" s="23" t="str">
        <f aca="false">IF(H212="","",CHOOSE(WEEKDAY(H212,1),"الأحد","الاثنين","الثلاثاء","الأربعاء","الخميس","الجمعة","السبت")&amp;IF(OR(ISNUMBER(A212),LEN(TRIM(A212))&gt;=10),"","  "&amp;TEXT(DAY(H212),"00")&amp;"/"&amp;TEXT(MONTH(H212),"00")&amp;"/"&amp;YEAR(H212)))</f>
        <v/>
      </c>
      <c r="C212" s="24"/>
      <c r="D212" s="27"/>
      <c r="E212" s="44"/>
      <c r="F212" s="27"/>
      <c r="G212" s="0" t="str">
        <f aca="false">IF(AND(C212&lt;&gt;"",COUNTIF(C$6:C212,C212)=1),MAX(G$5:G211)+1,"")</f>
        <v/>
      </c>
      <c r="H212" s="0" t="str">
        <f aca="true">IF(A212="","",IF(ISNUMBER(A212),IF(A212&gt;=36526,A212,""),IFERROR(DATE(VALUE(RIGHT(RIGHT(TRIM(A212),10),4)),VALUE(MID(RIGHT(TRIM(A212),10),4,2)),VALUE(LEFT(RIGHT(TRIM(A212),10),2))),IFERROR(TODAY()-MOD(WEEKDAY(TODAY(),1)-MATCH(TRIM(A212),{"الأحد","الاثنين","الثلاثاء","الأربعاء","الخميس","الجمعة","السبت"},0),7),IFERROR(DATEVALUE(A212),"")))))</f>
        <v/>
      </c>
      <c r="I212" s="0" t="str">
        <f aca="false">IF(H212="","",INT((H212-WEEK_ONE)/7)+1)</f>
        <v/>
      </c>
      <c r="J212" s="0" t="str">
        <f aca="false">IF(I212="","",IF(OR(I212&lt;1,I212&gt;NW),"",INDEX(WMON,I212)))</f>
        <v/>
      </c>
    </row>
    <row r="213" customFormat="false" ht="15" hidden="false" customHeight="false" outlineLevel="0" collapsed="false">
      <c r="A213" s="43"/>
      <c r="B213" s="23" t="str">
        <f aca="false">IF(H213="","",CHOOSE(WEEKDAY(H213,1),"الأحد","الاثنين","الثلاثاء","الأربعاء","الخميس","الجمعة","السبت")&amp;IF(OR(ISNUMBER(A213),LEN(TRIM(A213))&gt;=10),"","  "&amp;TEXT(DAY(H213),"00")&amp;"/"&amp;TEXT(MONTH(H213),"00")&amp;"/"&amp;YEAR(H213)))</f>
        <v/>
      </c>
      <c r="C213" s="24"/>
      <c r="D213" s="27"/>
      <c r="E213" s="44"/>
      <c r="F213" s="27"/>
      <c r="G213" s="0" t="str">
        <f aca="false">IF(AND(C213&lt;&gt;"",COUNTIF(C$6:C213,C213)=1),MAX(G$5:G212)+1,"")</f>
        <v/>
      </c>
      <c r="H213" s="0" t="str">
        <f aca="true">IF(A213="","",IF(ISNUMBER(A213),IF(A213&gt;=36526,A213,""),IFERROR(DATE(VALUE(RIGHT(RIGHT(TRIM(A213),10),4)),VALUE(MID(RIGHT(TRIM(A213),10),4,2)),VALUE(LEFT(RIGHT(TRIM(A213),10),2))),IFERROR(TODAY()-MOD(WEEKDAY(TODAY(),1)-MATCH(TRIM(A213),{"الأحد","الاثنين","الثلاثاء","الأربعاء","الخميس","الجمعة","السبت"},0),7),IFERROR(DATEVALUE(A213),"")))))</f>
        <v/>
      </c>
      <c r="I213" s="0" t="str">
        <f aca="false">IF(H213="","",INT((H213-WEEK_ONE)/7)+1)</f>
        <v/>
      </c>
      <c r="J213" s="0" t="str">
        <f aca="false">IF(I213="","",IF(OR(I213&lt;1,I213&gt;NW),"",INDEX(WMON,I213)))</f>
        <v/>
      </c>
    </row>
    <row r="214" customFormat="false" ht="15" hidden="false" customHeight="false" outlineLevel="0" collapsed="false">
      <c r="A214" s="43"/>
      <c r="B214" s="23" t="str">
        <f aca="false">IF(H214="","",CHOOSE(WEEKDAY(H214,1),"الأحد","الاثنين","الثلاثاء","الأربعاء","الخميس","الجمعة","السبت")&amp;IF(OR(ISNUMBER(A214),LEN(TRIM(A214))&gt;=10),"","  "&amp;TEXT(DAY(H214),"00")&amp;"/"&amp;TEXT(MONTH(H214),"00")&amp;"/"&amp;YEAR(H214)))</f>
        <v/>
      </c>
      <c r="C214" s="24"/>
      <c r="D214" s="27"/>
      <c r="E214" s="44"/>
      <c r="F214" s="27"/>
      <c r="G214" s="0" t="str">
        <f aca="false">IF(AND(C214&lt;&gt;"",COUNTIF(C$6:C214,C214)=1),MAX(G$5:G213)+1,"")</f>
        <v/>
      </c>
      <c r="H214" s="0" t="str">
        <f aca="true">IF(A214="","",IF(ISNUMBER(A214),IF(A214&gt;=36526,A214,""),IFERROR(DATE(VALUE(RIGHT(RIGHT(TRIM(A214),10),4)),VALUE(MID(RIGHT(TRIM(A214),10),4,2)),VALUE(LEFT(RIGHT(TRIM(A214),10),2))),IFERROR(TODAY()-MOD(WEEKDAY(TODAY(),1)-MATCH(TRIM(A214),{"الأحد","الاثنين","الثلاثاء","الأربعاء","الخميس","الجمعة","السبت"},0),7),IFERROR(DATEVALUE(A214),"")))))</f>
        <v/>
      </c>
      <c r="I214" s="0" t="str">
        <f aca="false">IF(H214="","",INT((H214-WEEK_ONE)/7)+1)</f>
        <v/>
      </c>
      <c r="J214" s="0" t="str">
        <f aca="false">IF(I214="","",IF(OR(I214&lt;1,I214&gt;NW),"",INDEX(WMON,I214)))</f>
        <v/>
      </c>
    </row>
    <row r="215" customFormat="false" ht="15" hidden="false" customHeight="false" outlineLevel="0" collapsed="false">
      <c r="A215" s="43"/>
      <c r="B215" s="23" t="str">
        <f aca="false">IF(H215="","",CHOOSE(WEEKDAY(H215,1),"الأحد","الاثنين","الثلاثاء","الأربعاء","الخميس","الجمعة","السبت")&amp;IF(OR(ISNUMBER(A215),LEN(TRIM(A215))&gt;=10),"","  "&amp;TEXT(DAY(H215),"00")&amp;"/"&amp;TEXT(MONTH(H215),"00")&amp;"/"&amp;YEAR(H215)))</f>
        <v/>
      </c>
      <c r="C215" s="24"/>
      <c r="D215" s="27"/>
      <c r="E215" s="44"/>
      <c r="F215" s="27"/>
      <c r="G215" s="0" t="str">
        <f aca="false">IF(AND(C215&lt;&gt;"",COUNTIF(C$6:C215,C215)=1),MAX(G$5:G214)+1,"")</f>
        <v/>
      </c>
      <c r="H215" s="0" t="str">
        <f aca="true">IF(A215="","",IF(ISNUMBER(A215),IF(A215&gt;=36526,A215,""),IFERROR(DATE(VALUE(RIGHT(RIGHT(TRIM(A215),10),4)),VALUE(MID(RIGHT(TRIM(A215),10),4,2)),VALUE(LEFT(RIGHT(TRIM(A215),10),2))),IFERROR(TODAY()-MOD(WEEKDAY(TODAY(),1)-MATCH(TRIM(A215),{"الأحد","الاثنين","الثلاثاء","الأربعاء","الخميس","الجمعة","السبت"},0),7),IFERROR(DATEVALUE(A215),"")))))</f>
        <v/>
      </c>
      <c r="I215" s="0" t="str">
        <f aca="false">IF(H215="","",INT((H215-WEEK_ONE)/7)+1)</f>
        <v/>
      </c>
      <c r="J215" s="0" t="str">
        <f aca="false">IF(I215="","",IF(OR(I215&lt;1,I215&gt;NW),"",INDEX(WMON,I215)))</f>
        <v/>
      </c>
    </row>
    <row r="216" customFormat="false" ht="15" hidden="false" customHeight="false" outlineLevel="0" collapsed="false">
      <c r="A216" s="43"/>
      <c r="B216" s="23" t="str">
        <f aca="false">IF(H216="","",CHOOSE(WEEKDAY(H216,1),"الأحد","الاثنين","الثلاثاء","الأربعاء","الخميس","الجمعة","السبت")&amp;IF(OR(ISNUMBER(A216),LEN(TRIM(A216))&gt;=10),"","  "&amp;TEXT(DAY(H216),"00")&amp;"/"&amp;TEXT(MONTH(H216),"00")&amp;"/"&amp;YEAR(H216)))</f>
        <v/>
      </c>
      <c r="C216" s="24"/>
      <c r="D216" s="27"/>
      <c r="E216" s="44"/>
      <c r="F216" s="27"/>
      <c r="G216" s="0" t="str">
        <f aca="false">IF(AND(C216&lt;&gt;"",COUNTIF(C$6:C216,C216)=1),MAX(G$5:G215)+1,"")</f>
        <v/>
      </c>
      <c r="H216" s="0" t="str">
        <f aca="true">IF(A216="","",IF(ISNUMBER(A216),IF(A216&gt;=36526,A216,""),IFERROR(DATE(VALUE(RIGHT(RIGHT(TRIM(A216),10),4)),VALUE(MID(RIGHT(TRIM(A216),10),4,2)),VALUE(LEFT(RIGHT(TRIM(A216),10),2))),IFERROR(TODAY()-MOD(WEEKDAY(TODAY(),1)-MATCH(TRIM(A216),{"الأحد","الاثنين","الثلاثاء","الأربعاء","الخميس","الجمعة","السبت"},0),7),IFERROR(DATEVALUE(A216),"")))))</f>
        <v/>
      </c>
      <c r="I216" s="0" t="str">
        <f aca="false">IF(H216="","",INT((H216-WEEK_ONE)/7)+1)</f>
        <v/>
      </c>
      <c r="J216" s="0" t="str">
        <f aca="false">IF(I216="","",IF(OR(I216&lt;1,I216&gt;NW),"",INDEX(WMON,I216)))</f>
        <v/>
      </c>
    </row>
    <row r="217" customFormat="false" ht="15" hidden="false" customHeight="false" outlineLevel="0" collapsed="false">
      <c r="A217" s="43"/>
      <c r="B217" s="23" t="str">
        <f aca="false">IF(H217="","",CHOOSE(WEEKDAY(H217,1),"الأحد","الاثنين","الثلاثاء","الأربعاء","الخميس","الجمعة","السبت")&amp;IF(OR(ISNUMBER(A217),LEN(TRIM(A217))&gt;=10),"","  "&amp;TEXT(DAY(H217),"00")&amp;"/"&amp;TEXT(MONTH(H217),"00")&amp;"/"&amp;YEAR(H217)))</f>
        <v/>
      </c>
      <c r="C217" s="24"/>
      <c r="D217" s="27"/>
      <c r="E217" s="44"/>
      <c r="F217" s="27"/>
      <c r="G217" s="0" t="str">
        <f aca="false">IF(AND(C217&lt;&gt;"",COUNTIF(C$6:C217,C217)=1),MAX(G$5:G216)+1,"")</f>
        <v/>
      </c>
      <c r="H217" s="0" t="str">
        <f aca="true">IF(A217="","",IF(ISNUMBER(A217),IF(A217&gt;=36526,A217,""),IFERROR(DATE(VALUE(RIGHT(RIGHT(TRIM(A217),10),4)),VALUE(MID(RIGHT(TRIM(A217),10),4,2)),VALUE(LEFT(RIGHT(TRIM(A217),10),2))),IFERROR(TODAY()-MOD(WEEKDAY(TODAY(),1)-MATCH(TRIM(A217),{"الأحد","الاثنين","الثلاثاء","الأربعاء","الخميس","الجمعة","السبت"},0),7),IFERROR(DATEVALUE(A217),"")))))</f>
        <v/>
      </c>
      <c r="I217" s="0" t="str">
        <f aca="false">IF(H217="","",INT((H217-WEEK_ONE)/7)+1)</f>
        <v/>
      </c>
      <c r="J217" s="0" t="str">
        <f aca="false">IF(I217="","",IF(OR(I217&lt;1,I217&gt;NW),"",INDEX(WMON,I217)))</f>
        <v/>
      </c>
    </row>
    <row r="218" customFormat="false" ht="15" hidden="false" customHeight="false" outlineLevel="0" collapsed="false">
      <c r="A218" s="43"/>
      <c r="B218" s="23" t="str">
        <f aca="false">IF(H218="","",CHOOSE(WEEKDAY(H218,1),"الأحد","الاثنين","الثلاثاء","الأربعاء","الخميس","الجمعة","السبت")&amp;IF(OR(ISNUMBER(A218),LEN(TRIM(A218))&gt;=10),"","  "&amp;TEXT(DAY(H218),"00")&amp;"/"&amp;TEXT(MONTH(H218),"00")&amp;"/"&amp;YEAR(H218)))</f>
        <v/>
      </c>
      <c r="C218" s="24"/>
      <c r="D218" s="27"/>
      <c r="E218" s="44"/>
      <c r="F218" s="27"/>
      <c r="G218" s="0" t="str">
        <f aca="false">IF(AND(C218&lt;&gt;"",COUNTIF(C$6:C218,C218)=1),MAX(G$5:G217)+1,"")</f>
        <v/>
      </c>
      <c r="H218" s="0" t="str">
        <f aca="true">IF(A218="","",IF(ISNUMBER(A218),IF(A218&gt;=36526,A218,""),IFERROR(DATE(VALUE(RIGHT(RIGHT(TRIM(A218),10),4)),VALUE(MID(RIGHT(TRIM(A218),10),4,2)),VALUE(LEFT(RIGHT(TRIM(A218),10),2))),IFERROR(TODAY()-MOD(WEEKDAY(TODAY(),1)-MATCH(TRIM(A218),{"الأحد","الاثنين","الثلاثاء","الأربعاء","الخميس","الجمعة","السبت"},0),7),IFERROR(DATEVALUE(A218),"")))))</f>
        <v/>
      </c>
      <c r="I218" s="0" t="str">
        <f aca="false">IF(H218="","",INT((H218-WEEK_ONE)/7)+1)</f>
        <v/>
      </c>
      <c r="J218" s="0" t="str">
        <f aca="false">IF(I218="","",IF(OR(I218&lt;1,I218&gt;NW),"",INDEX(WMON,I218)))</f>
        <v/>
      </c>
    </row>
    <row r="219" customFormat="false" ht="15" hidden="false" customHeight="false" outlineLevel="0" collapsed="false">
      <c r="A219" s="43"/>
      <c r="B219" s="23" t="str">
        <f aca="false">IF(H219="","",CHOOSE(WEEKDAY(H219,1),"الأحد","الاثنين","الثلاثاء","الأربعاء","الخميس","الجمعة","السبت")&amp;IF(OR(ISNUMBER(A219),LEN(TRIM(A219))&gt;=10),"","  "&amp;TEXT(DAY(H219),"00")&amp;"/"&amp;TEXT(MONTH(H219),"00")&amp;"/"&amp;YEAR(H219)))</f>
        <v/>
      </c>
      <c r="C219" s="24"/>
      <c r="D219" s="27"/>
      <c r="E219" s="44"/>
      <c r="F219" s="27"/>
      <c r="G219" s="0" t="str">
        <f aca="false">IF(AND(C219&lt;&gt;"",COUNTIF(C$6:C219,C219)=1),MAX(G$5:G218)+1,"")</f>
        <v/>
      </c>
      <c r="H219" s="0" t="str">
        <f aca="true">IF(A219="","",IF(ISNUMBER(A219),IF(A219&gt;=36526,A219,""),IFERROR(DATE(VALUE(RIGHT(RIGHT(TRIM(A219),10),4)),VALUE(MID(RIGHT(TRIM(A219),10),4,2)),VALUE(LEFT(RIGHT(TRIM(A219),10),2))),IFERROR(TODAY()-MOD(WEEKDAY(TODAY(),1)-MATCH(TRIM(A219),{"الأحد","الاثنين","الثلاثاء","الأربعاء","الخميس","الجمعة","السبت"},0),7),IFERROR(DATEVALUE(A219),"")))))</f>
        <v/>
      </c>
      <c r="I219" s="0" t="str">
        <f aca="false">IF(H219="","",INT((H219-WEEK_ONE)/7)+1)</f>
        <v/>
      </c>
      <c r="J219" s="0" t="str">
        <f aca="false">IF(I219="","",IF(OR(I219&lt;1,I219&gt;NW),"",INDEX(WMON,I219)))</f>
        <v/>
      </c>
    </row>
    <row r="220" customFormat="false" ht="15" hidden="false" customHeight="false" outlineLevel="0" collapsed="false">
      <c r="A220" s="43"/>
      <c r="B220" s="23" t="str">
        <f aca="false">IF(H220="","",CHOOSE(WEEKDAY(H220,1),"الأحد","الاثنين","الثلاثاء","الأربعاء","الخميس","الجمعة","السبت")&amp;IF(OR(ISNUMBER(A220),LEN(TRIM(A220))&gt;=10),"","  "&amp;TEXT(DAY(H220),"00")&amp;"/"&amp;TEXT(MONTH(H220),"00")&amp;"/"&amp;YEAR(H220)))</f>
        <v/>
      </c>
      <c r="C220" s="24"/>
      <c r="D220" s="27"/>
      <c r="E220" s="44"/>
      <c r="F220" s="27"/>
      <c r="G220" s="0" t="str">
        <f aca="false">IF(AND(C220&lt;&gt;"",COUNTIF(C$6:C220,C220)=1),MAX(G$5:G219)+1,"")</f>
        <v/>
      </c>
      <c r="H220" s="0" t="str">
        <f aca="true">IF(A220="","",IF(ISNUMBER(A220),IF(A220&gt;=36526,A220,""),IFERROR(DATE(VALUE(RIGHT(RIGHT(TRIM(A220),10),4)),VALUE(MID(RIGHT(TRIM(A220),10),4,2)),VALUE(LEFT(RIGHT(TRIM(A220),10),2))),IFERROR(TODAY()-MOD(WEEKDAY(TODAY(),1)-MATCH(TRIM(A220),{"الأحد","الاثنين","الثلاثاء","الأربعاء","الخميس","الجمعة","السبت"},0),7),IFERROR(DATEVALUE(A220),"")))))</f>
        <v/>
      </c>
      <c r="I220" s="0" t="str">
        <f aca="false">IF(H220="","",INT((H220-WEEK_ONE)/7)+1)</f>
        <v/>
      </c>
      <c r="J220" s="0" t="str">
        <f aca="false">IF(I220="","",IF(OR(I220&lt;1,I220&gt;NW),"",INDEX(WMON,I220)))</f>
        <v/>
      </c>
    </row>
    <row r="221" customFormat="false" ht="15" hidden="false" customHeight="false" outlineLevel="0" collapsed="false">
      <c r="A221" s="43"/>
      <c r="B221" s="23" t="str">
        <f aca="false">IF(H221="","",CHOOSE(WEEKDAY(H221,1),"الأحد","الاثنين","الثلاثاء","الأربعاء","الخميس","الجمعة","السبت")&amp;IF(OR(ISNUMBER(A221),LEN(TRIM(A221))&gt;=10),"","  "&amp;TEXT(DAY(H221),"00")&amp;"/"&amp;TEXT(MONTH(H221),"00")&amp;"/"&amp;YEAR(H221)))</f>
        <v/>
      </c>
      <c r="C221" s="24"/>
      <c r="D221" s="27"/>
      <c r="E221" s="44"/>
      <c r="F221" s="27"/>
      <c r="G221" s="0" t="str">
        <f aca="false">IF(AND(C221&lt;&gt;"",COUNTIF(C$6:C221,C221)=1),MAX(G$5:G220)+1,"")</f>
        <v/>
      </c>
      <c r="H221" s="0" t="str">
        <f aca="true">IF(A221="","",IF(ISNUMBER(A221),IF(A221&gt;=36526,A221,""),IFERROR(DATE(VALUE(RIGHT(RIGHT(TRIM(A221),10),4)),VALUE(MID(RIGHT(TRIM(A221),10),4,2)),VALUE(LEFT(RIGHT(TRIM(A221),10),2))),IFERROR(TODAY()-MOD(WEEKDAY(TODAY(),1)-MATCH(TRIM(A221),{"الأحد","الاثنين","الثلاثاء","الأربعاء","الخميس","الجمعة","السبت"},0),7),IFERROR(DATEVALUE(A221),"")))))</f>
        <v/>
      </c>
      <c r="I221" s="0" t="str">
        <f aca="false">IF(H221="","",INT((H221-WEEK_ONE)/7)+1)</f>
        <v/>
      </c>
      <c r="J221" s="0" t="str">
        <f aca="false">IF(I221="","",IF(OR(I221&lt;1,I221&gt;NW),"",INDEX(WMON,I221)))</f>
        <v/>
      </c>
    </row>
    <row r="222" customFormat="false" ht="15" hidden="false" customHeight="false" outlineLevel="0" collapsed="false">
      <c r="A222" s="43"/>
      <c r="B222" s="23" t="str">
        <f aca="false">IF(H222="","",CHOOSE(WEEKDAY(H222,1),"الأحد","الاثنين","الثلاثاء","الأربعاء","الخميس","الجمعة","السبت")&amp;IF(OR(ISNUMBER(A222),LEN(TRIM(A222))&gt;=10),"","  "&amp;TEXT(DAY(H222),"00")&amp;"/"&amp;TEXT(MONTH(H222),"00")&amp;"/"&amp;YEAR(H222)))</f>
        <v/>
      </c>
      <c r="C222" s="24"/>
      <c r="D222" s="27"/>
      <c r="E222" s="44"/>
      <c r="F222" s="27"/>
      <c r="G222" s="0" t="str">
        <f aca="false">IF(AND(C222&lt;&gt;"",COUNTIF(C$6:C222,C222)=1),MAX(G$5:G221)+1,"")</f>
        <v/>
      </c>
      <c r="H222" s="0" t="str">
        <f aca="true">IF(A222="","",IF(ISNUMBER(A222),IF(A222&gt;=36526,A222,""),IFERROR(DATE(VALUE(RIGHT(RIGHT(TRIM(A222),10),4)),VALUE(MID(RIGHT(TRIM(A222),10),4,2)),VALUE(LEFT(RIGHT(TRIM(A222),10),2))),IFERROR(TODAY()-MOD(WEEKDAY(TODAY(),1)-MATCH(TRIM(A222),{"الأحد","الاثنين","الثلاثاء","الأربعاء","الخميس","الجمعة","السبت"},0),7),IFERROR(DATEVALUE(A222),"")))))</f>
        <v/>
      </c>
      <c r="I222" s="0" t="str">
        <f aca="false">IF(H222="","",INT((H222-WEEK_ONE)/7)+1)</f>
        <v/>
      </c>
      <c r="J222" s="0" t="str">
        <f aca="false">IF(I222="","",IF(OR(I222&lt;1,I222&gt;NW),"",INDEX(WMON,I222)))</f>
        <v/>
      </c>
    </row>
    <row r="223" customFormat="false" ht="15" hidden="false" customHeight="false" outlineLevel="0" collapsed="false">
      <c r="A223" s="43"/>
      <c r="B223" s="23" t="str">
        <f aca="false">IF(H223="","",CHOOSE(WEEKDAY(H223,1),"الأحد","الاثنين","الثلاثاء","الأربعاء","الخميس","الجمعة","السبت")&amp;IF(OR(ISNUMBER(A223),LEN(TRIM(A223))&gt;=10),"","  "&amp;TEXT(DAY(H223),"00")&amp;"/"&amp;TEXT(MONTH(H223),"00")&amp;"/"&amp;YEAR(H223)))</f>
        <v/>
      </c>
      <c r="C223" s="24"/>
      <c r="D223" s="27"/>
      <c r="E223" s="44"/>
      <c r="F223" s="27"/>
      <c r="G223" s="0" t="str">
        <f aca="false">IF(AND(C223&lt;&gt;"",COUNTIF(C$6:C223,C223)=1),MAX(G$5:G222)+1,"")</f>
        <v/>
      </c>
      <c r="H223" s="0" t="str">
        <f aca="true">IF(A223="","",IF(ISNUMBER(A223),IF(A223&gt;=36526,A223,""),IFERROR(DATE(VALUE(RIGHT(RIGHT(TRIM(A223),10),4)),VALUE(MID(RIGHT(TRIM(A223),10),4,2)),VALUE(LEFT(RIGHT(TRIM(A223),10),2))),IFERROR(TODAY()-MOD(WEEKDAY(TODAY(),1)-MATCH(TRIM(A223),{"الأحد","الاثنين","الثلاثاء","الأربعاء","الخميس","الجمعة","السبت"},0),7),IFERROR(DATEVALUE(A223),"")))))</f>
        <v/>
      </c>
      <c r="I223" s="0" t="str">
        <f aca="false">IF(H223="","",INT((H223-WEEK_ONE)/7)+1)</f>
        <v/>
      </c>
      <c r="J223" s="0" t="str">
        <f aca="false">IF(I223="","",IF(OR(I223&lt;1,I223&gt;NW),"",INDEX(WMON,I223)))</f>
        <v/>
      </c>
    </row>
    <row r="224" customFormat="false" ht="15" hidden="false" customHeight="false" outlineLevel="0" collapsed="false">
      <c r="A224" s="43"/>
      <c r="B224" s="23" t="str">
        <f aca="false">IF(H224="","",CHOOSE(WEEKDAY(H224,1),"الأحد","الاثنين","الثلاثاء","الأربعاء","الخميس","الجمعة","السبت")&amp;IF(OR(ISNUMBER(A224),LEN(TRIM(A224))&gt;=10),"","  "&amp;TEXT(DAY(H224),"00")&amp;"/"&amp;TEXT(MONTH(H224),"00")&amp;"/"&amp;YEAR(H224)))</f>
        <v/>
      </c>
      <c r="C224" s="24"/>
      <c r="D224" s="27"/>
      <c r="E224" s="44"/>
      <c r="F224" s="27"/>
      <c r="G224" s="0" t="str">
        <f aca="false">IF(AND(C224&lt;&gt;"",COUNTIF(C$6:C224,C224)=1),MAX(G$5:G223)+1,"")</f>
        <v/>
      </c>
      <c r="H224" s="0" t="str">
        <f aca="true">IF(A224="","",IF(ISNUMBER(A224),IF(A224&gt;=36526,A224,""),IFERROR(DATE(VALUE(RIGHT(RIGHT(TRIM(A224),10),4)),VALUE(MID(RIGHT(TRIM(A224),10),4,2)),VALUE(LEFT(RIGHT(TRIM(A224),10),2))),IFERROR(TODAY()-MOD(WEEKDAY(TODAY(),1)-MATCH(TRIM(A224),{"الأحد","الاثنين","الثلاثاء","الأربعاء","الخميس","الجمعة","السبت"},0),7),IFERROR(DATEVALUE(A224),"")))))</f>
        <v/>
      </c>
      <c r="I224" s="0" t="str">
        <f aca="false">IF(H224="","",INT((H224-WEEK_ONE)/7)+1)</f>
        <v/>
      </c>
      <c r="J224" s="0" t="str">
        <f aca="false">IF(I224="","",IF(OR(I224&lt;1,I224&gt;NW),"",INDEX(WMON,I224)))</f>
        <v/>
      </c>
    </row>
    <row r="225" customFormat="false" ht="15" hidden="false" customHeight="false" outlineLevel="0" collapsed="false">
      <c r="A225" s="43"/>
      <c r="B225" s="23" t="str">
        <f aca="false">IF(H225="","",CHOOSE(WEEKDAY(H225,1),"الأحد","الاثنين","الثلاثاء","الأربعاء","الخميس","الجمعة","السبت")&amp;IF(OR(ISNUMBER(A225),LEN(TRIM(A225))&gt;=10),"","  "&amp;TEXT(DAY(H225),"00")&amp;"/"&amp;TEXT(MONTH(H225),"00")&amp;"/"&amp;YEAR(H225)))</f>
        <v/>
      </c>
      <c r="C225" s="24"/>
      <c r="D225" s="27"/>
      <c r="E225" s="44"/>
      <c r="F225" s="27"/>
      <c r="G225" s="0" t="str">
        <f aca="false">IF(AND(C225&lt;&gt;"",COUNTIF(C$6:C225,C225)=1),MAX(G$5:G224)+1,"")</f>
        <v/>
      </c>
      <c r="H225" s="0" t="str">
        <f aca="true">IF(A225="","",IF(ISNUMBER(A225),IF(A225&gt;=36526,A225,""),IFERROR(DATE(VALUE(RIGHT(RIGHT(TRIM(A225),10),4)),VALUE(MID(RIGHT(TRIM(A225),10),4,2)),VALUE(LEFT(RIGHT(TRIM(A225),10),2))),IFERROR(TODAY()-MOD(WEEKDAY(TODAY(),1)-MATCH(TRIM(A225),{"الأحد","الاثنين","الثلاثاء","الأربعاء","الخميس","الجمعة","السبت"},0),7),IFERROR(DATEVALUE(A225),"")))))</f>
        <v/>
      </c>
      <c r="I225" s="0" t="str">
        <f aca="false">IF(H225="","",INT((H225-WEEK_ONE)/7)+1)</f>
        <v/>
      </c>
      <c r="J225" s="0" t="str">
        <f aca="false">IF(I225="","",IF(OR(I225&lt;1,I225&gt;NW),"",INDEX(WMON,I225)))</f>
        <v/>
      </c>
    </row>
    <row r="226" customFormat="false" ht="15" hidden="false" customHeight="false" outlineLevel="0" collapsed="false">
      <c r="A226" s="43"/>
      <c r="B226" s="23" t="str">
        <f aca="false">IF(H226="","",CHOOSE(WEEKDAY(H226,1),"الأحد","الاثنين","الثلاثاء","الأربعاء","الخميس","الجمعة","السبت")&amp;IF(OR(ISNUMBER(A226),LEN(TRIM(A226))&gt;=10),"","  "&amp;TEXT(DAY(H226),"00")&amp;"/"&amp;TEXT(MONTH(H226),"00")&amp;"/"&amp;YEAR(H226)))</f>
        <v/>
      </c>
      <c r="C226" s="24"/>
      <c r="D226" s="27"/>
      <c r="E226" s="44"/>
      <c r="F226" s="27"/>
      <c r="G226" s="0" t="str">
        <f aca="false">IF(AND(C226&lt;&gt;"",COUNTIF(C$6:C226,C226)=1),MAX(G$5:G225)+1,"")</f>
        <v/>
      </c>
      <c r="H226" s="0" t="str">
        <f aca="true">IF(A226="","",IF(ISNUMBER(A226),IF(A226&gt;=36526,A226,""),IFERROR(DATE(VALUE(RIGHT(RIGHT(TRIM(A226),10),4)),VALUE(MID(RIGHT(TRIM(A226),10),4,2)),VALUE(LEFT(RIGHT(TRIM(A226),10),2))),IFERROR(TODAY()-MOD(WEEKDAY(TODAY(),1)-MATCH(TRIM(A226),{"الأحد","الاثنين","الثلاثاء","الأربعاء","الخميس","الجمعة","السبت"},0),7),IFERROR(DATEVALUE(A226),"")))))</f>
        <v/>
      </c>
      <c r="I226" s="0" t="str">
        <f aca="false">IF(H226="","",INT((H226-WEEK_ONE)/7)+1)</f>
        <v/>
      </c>
      <c r="J226" s="0" t="str">
        <f aca="false">IF(I226="","",IF(OR(I226&lt;1,I226&gt;NW),"",INDEX(WMON,I226)))</f>
        <v/>
      </c>
    </row>
    <row r="227" customFormat="false" ht="15" hidden="false" customHeight="false" outlineLevel="0" collapsed="false">
      <c r="A227" s="43"/>
      <c r="B227" s="23" t="str">
        <f aca="false">IF(H227="","",CHOOSE(WEEKDAY(H227,1),"الأحد","الاثنين","الثلاثاء","الأربعاء","الخميس","الجمعة","السبت")&amp;IF(OR(ISNUMBER(A227),LEN(TRIM(A227))&gt;=10),"","  "&amp;TEXT(DAY(H227),"00")&amp;"/"&amp;TEXT(MONTH(H227),"00")&amp;"/"&amp;YEAR(H227)))</f>
        <v/>
      </c>
      <c r="C227" s="24"/>
      <c r="D227" s="27"/>
      <c r="E227" s="44"/>
      <c r="F227" s="27"/>
      <c r="G227" s="0" t="str">
        <f aca="false">IF(AND(C227&lt;&gt;"",COUNTIF(C$6:C227,C227)=1),MAX(G$5:G226)+1,"")</f>
        <v/>
      </c>
      <c r="H227" s="0" t="str">
        <f aca="true">IF(A227="","",IF(ISNUMBER(A227),IF(A227&gt;=36526,A227,""),IFERROR(DATE(VALUE(RIGHT(RIGHT(TRIM(A227),10),4)),VALUE(MID(RIGHT(TRIM(A227),10),4,2)),VALUE(LEFT(RIGHT(TRIM(A227),10),2))),IFERROR(TODAY()-MOD(WEEKDAY(TODAY(),1)-MATCH(TRIM(A227),{"الأحد","الاثنين","الثلاثاء","الأربعاء","الخميس","الجمعة","السبت"},0),7),IFERROR(DATEVALUE(A227),"")))))</f>
        <v/>
      </c>
      <c r="I227" s="0" t="str">
        <f aca="false">IF(H227="","",INT((H227-WEEK_ONE)/7)+1)</f>
        <v/>
      </c>
      <c r="J227" s="0" t="str">
        <f aca="false">IF(I227="","",IF(OR(I227&lt;1,I227&gt;NW),"",INDEX(WMON,I227)))</f>
        <v/>
      </c>
    </row>
    <row r="228" customFormat="false" ht="15" hidden="false" customHeight="false" outlineLevel="0" collapsed="false">
      <c r="A228" s="43"/>
      <c r="B228" s="23" t="str">
        <f aca="false">IF(H228="","",CHOOSE(WEEKDAY(H228,1),"الأحد","الاثنين","الثلاثاء","الأربعاء","الخميس","الجمعة","السبت")&amp;IF(OR(ISNUMBER(A228),LEN(TRIM(A228))&gt;=10),"","  "&amp;TEXT(DAY(H228),"00")&amp;"/"&amp;TEXT(MONTH(H228),"00")&amp;"/"&amp;YEAR(H228)))</f>
        <v/>
      </c>
      <c r="C228" s="24"/>
      <c r="D228" s="27"/>
      <c r="E228" s="44"/>
      <c r="F228" s="27"/>
      <c r="G228" s="0" t="str">
        <f aca="false">IF(AND(C228&lt;&gt;"",COUNTIF(C$6:C228,C228)=1),MAX(G$5:G227)+1,"")</f>
        <v/>
      </c>
      <c r="H228" s="0" t="str">
        <f aca="true">IF(A228="","",IF(ISNUMBER(A228),IF(A228&gt;=36526,A228,""),IFERROR(DATE(VALUE(RIGHT(RIGHT(TRIM(A228),10),4)),VALUE(MID(RIGHT(TRIM(A228),10),4,2)),VALUE(LEFT(RIGHT(TRIM(A228),10),2))),IFERROR(TODAY()-MOD(WEEKDAY(TODAY(),1)-MATCH(TRIM(A228),{"الأحد","الاثنين","الثلاثاء","الأربعاء","الخميس","الجمعة","السبت"},0),7),IFERROR(DATEVALUE(A228),"")))))</f>
        <v/>
      </c>
      <c r="I228" s="0" t="str">
        <f aca="false">IF(H228="","",INT((H228-WEEK_ONE)/7)+1)</f>
        <v/>
      </c>
      <c r="J228" s="0" t="str">
        <f aca="false">IF(I228="","",IF(OR(I228&lt;1,I228&gt;NW),"",INDEX(WMON,I228)))</f>
        <v/>
      </c>
    </row>
    <row r="229" customFormat="false" ht="15" hidden="false" customHeight="false" outlineLevel="0" collapsed="false">
      <c r="A229" s="43"/>
      <c r="B229" s="23" t="str">
        <f aca="false">IF(H229="","",CHOOSE(WEEKDAY(H229,1),"الأحد","الاثنين","الثلاثاء","الأربعاء","الخميس","الجمعة","السبت")&amp;IF(OR(ISNUMBER(A229),LEN(TRIM(A229))&gt;=10),"","  "&amp;TEXT(DAY(H229),"00")&amp;"/"&amp;TEXT(MONTH(H229),"00")&amp;"/"&amp;YEAR(H229)))</f>
        <v/>
      </c>
      <c r="C229" s="24"/>
      <c r="D229" s="27"/>
      <c r="E229" s="44"/>
      <c r="F229" s="27"/>
      <c r="G229" s="0" t="str">
        <f aca="false">IF(AND(C229&lt;&gt;"",COUNTIF(C$6:C229,C229)=1),MAX(G$5:G228)+1,"")</f>
        <v/>
      </c>
      <c r="H229" s="0" t="str">
        <f aca="true">IF(A229="","",IF(ISNUMBER(A229),IF(A229&gt;=36526,A229,""),IFERROR(DATE(VALUE(RIGHT(RIGHT(TRIM(A229),10),4)),VALUE(MID(RIGHT(TRIM(A229),10),4,2)),VALUE(LEFT(RIGHT(TRIM(A229),10),2))),IFERROR(TODAY()-MOD(WEEKDAY(TODAY(),1)-MATCH(TRIM(A229),{"الأحد","الاثنين","الثلاثاء","الأربعاء","الخميس","الجمعة","السبت"},0),7),IFERROR(DATEVALUE(A229),"")))))</f>
        <v/>
      </c>
      <c r="I229" s="0" t="str">
        <f aca="false">IF(H229="","",INT((H229-WEEK_ONE)/7)+1)</f>
        <v/>
      </c>
      <c r="J229" s="0" t="str">
        <f aca="false">IF(I229="","",IF(OR(I229&lt;1,I229&gt;NW),"",INDEX(WMON,I229)))</f>
        <v/>
      </c>
    </row>
    <row r="230" customFormat="false" ht="15" hidden="false" customHeight="false" outlineLevel="0" collapsed="false">
      <c r="A230" s="43"/>
      <c r="B230" s="23" t="str">
        <f aca="false">IF(H230="","",CHOOSE(WEEKDAY(H230,1),"الأحد","الاثنين","الثلاثاء","الأربعاء","الخميس","الجمعة","السبت")&amp;IF(OR(ISNUMBER(A230),LEN(TRIM(A230))&gt;=10),"","  "&amp;TEXT(DAY(H230),"00")&amp;"/"&amp;TEXT(MONTH(H230),"00")&amp;"/"&amp;YEAR(H230)))</f>
        <v/>
      </c>
      <c r="C230" s="24"/>
      <c r="D230" s="27"/>
      <c r="E230" s="44"/>
      <c r="F230" s="27"/>
      <c r="G230" s="0" t="str">
        <f aca="false">IF(AND(C230&lt;&gt;"",COUNTIF(C$6:C230,C230)=1),MAX(G$5:G229)+1,"")</f>
        <v/>
      </c>
      <c r="H230" s="0" t="str">
        <f aca="true">IF(A230="","",IF(ISNUMBER(A230),IF(A230&gt;=36526,A230,""),IFERROR(DATE(VALUE(RIGHT(RIGHT(TRIM(A230),10),4)),VALUE(MID(RIGHT(TRIM(A230),10),4,2)),VALUE(LEFT(RIGHT(TRIM(A230),10),2))),IFERROR(TODAY()-MOD(WEEKDAY(TODAY(),1)-MATCH(TRIM(A230),{"الأحد","الاثنين","الثلاثاء","الأربعاء","الخميس","الجمعة","السبت"},0),7),IFERROR(DATEVALUE(A230),"")))))</f>
        <v/>
      </c>
      <c r="I230" s="0" t="str">
        <f aca="false">IF(H230="","",INT((H230-WEEK_ONE)/7)+1)</f>
        <v/>
      </c>
      <c r="J230" s="0" t="str">
        <f aca="false">IF(I230="","",IF(OR(I230&lt;1,I230&gt;NW),"",INDEX(WMON,I230)))</f>
        <v/>
      </c>
    </row>
    <row r="231" customFormat="false" ht="15" hidden="false" customHeight="false" outlineLevel="0" collapsed="false">
      <c r="A231" s="43"/>
      <c r="B231" s="23" t="str">
        <f aca="false">IF(H231="","",CHOOSE(WEEKDAY(H231,1),"الأحد","الاثنين","الثلاثاء","الأربعاء","الخميس","الجمعة","السبت")&amp;IF(OR(ISNUMBER(A231),LEN(TRIM(A231))&gt;=10),"","  "&amp;TEXT(DAY(H231),"00")&amp;"/"&amp;TEXT(MONTH(H231),"00")&amp;"/"&amp;YEAR(H231)))</f>
        <v/>
      </c>
      <c r="C231" s="24"/>
      <c r="D231" s="27"/>
      <c r="E231" s="44"/>
      <c r="F231" s="27"/>
      <c r="G231" s="0" t="str">
        <f aca="false">IF(AND(C231&lt;&gt;"",COUNTIF(C$6:C231,C231)=1),MAX(G$5:G230)+1,"")</f>
        <v/>
      </c>
      <c r="H231" s="0" t="str">
        <f aca="true">IF(A231="","",IF(ISNUMBER(A231),IF(A231&gt;=36526,A231,""),IFERROR(DATE(VALUE(RIGHT(RIGHT(TRIM(A231),10),4)),VALUE(MID(RIGHT(TRIM(A231),10),4,2)),VALUE(LEFT(RIGHT(TRIM(A231),10),2))),IFERROR(TODAY()-MOD(WEEKDAY(TODAY(),1)-MATCH(TRIM(A231),{"الأحد","الاثنين","الثلاثاء","الأربعاء","الخميس","الجمعة","السبت"},0),7),IFERROR(DATEVALUE(A231),"")))))</f>
        <v/>
      </c>
      <c r="I231" s="0" t="str">
        <f aca="false">IF(H231="","",INT((H231-WEEK_ONE)/7)+1)</f>
        <v/>
      </c>
      <c r="J231" s="0" t="str">
        <f aca="false">IF(I231="","",IF(OR(I231&lt;1,I231&gt;NW),"",INDEX(WMON,I231)))</f>
        <v/>
      </c>
    </row>
    <row r="232" customFormat="false" ht="15" hidden="false" customHeight="false" outlineLevel="0" collapsed="false">
      <c r="A232" s="43"/>
      <c r="B232" s="23" t="str">
        <f aca="false">IF(H232="","",CHOOSE(WEEKDAY(H232,1),"الأحد","الاثنين","الثلاثاء","الأربعاء","الخميس","الجمعة","السبت")&amp;IF(OR(ISNUMBER(A232),LEN(TRIM(A232))&gt;=10),"","  "&amp;TEXT(DAY(H232),"00")&amp;"/"&amp;TEXT(MONTH(H232),"00")&amp;"/"&amp;YEAR(H232)))</f>
        <v/>
      </c>
      <c r="C232" s="24"/>
      <c r="D232" s="27"/>
      <c r="E232" s="44"/>
      <c r="F232" s="27"/>
      <c r="G232" s="0" t="str">
        <f aca="false">IF(AND(C232&lt;&gt;"",COUNTIF(C$6:C232,C232)=1),MAX(G$5:G231)+1,"")</f>
        <v/>
      </c>
      <c r="H232" s="0" t="str">
        <f aca="true">IF(A232="","",IF(ISNUMBER(A232),IF(A232&gt;=36526,A232,""),IFERROR(DATE(VALUE(RIGHT(RIGHT(TRIM(A232),10),4)),VALUE(MID(RIGHT(TRIM(A232),10),4,2)),VALUE(LEFT(RIGHT(TRIM(A232),10),2))),IFERROR(TODAY()-MOD(WEEKDAY(TODAY(),1)-MATCH(TRIM(A232),{"الأحد","الاثنين","الثلاثاء","الأربعاء","الخميس","الجمعة","السبت"},0),7),IFERROR(DATEVALUE(A232),"")))))</f>
        <v/>
      </c>
      <c r="I232" s="0" t="str">
        <f aca="false">IF(H232="","",INT((H232-WEEK_ONE)/7)+1)</f>
        <v/>
      </c>
      <c r="J232" s="0" t="str">
        <f aca="false">IF(I232="","",IF(OR(I232&lt;1,I232&gt;NW),"",INDEX(WMON,I232)))</f>
        <v/>
      </c>
    </row>
    <row r="233" customFormat="false" ht="15" hidden="false" customHeight="false" outlineLevel="0" collapsed="false">
      <c r="A233" s="43"/>
      <c r="B233" s="23" t="str">
        <f aca="false">IF(H233="","",CHOOSE(WEEKDAY(H233,1),"الأحد","الاثنين","الثلاثاء","الأربعاء","الخميس","الجمعة","السبت")&amp;IF(OR(ISNUMBER(A233),LEN(TRIM(A233))&gt;=10),"","  "&amp;TEXT(DAY(H233),"00")&amp;"/"&amp;TEXT(MONTH(H233),"00")&amp;"/"&amp;YEAR(H233)))</f>
        <v/>
      </c>
      <c r="C233" s="24"/>
      <c r="D233" s="27"/>
      <c r="E233" s="44"/>
      <c r="F233" s="27"/>
      <c r="G233" s="0" t="str">
        <f aca="false">IF(AND(C233&lt;&gt;"",COUNTIF(C$6:C233,C233)=1),MAX(G$5:G232)+1,"")</f>
        <v/>
      </c>
      <c r="H233" s="0" t="str">
        <f aca="true">IF(A233="","",IF(ISNUMBER(A233),IF(A233&gt;=36526,A233,""),IFERROR(DATE(VALUE(RIGHT(RIGHT(TRIM(A233),10),4)),VALUE(MID(RIGHT(TRIM(A233),10),4,2)),VALUE(LEFT(RIGHT(TRIM(A233),10),2))),IFERROR(TODAY()-MOD(WEEKDAY(TODAY(),1)-MATCH(TRIM(A233),{"الأحد","الاثنين","الثلاثاء","الأربعاء","الخميس","الجمعة","السبت"},0),7),IFERROR(DATEVALUE(A233),"")))))</f>
        <v/>
      </c>
      <c r="I233" s="0" t="str">
        <f aca="false">IF(H233="","",INT((H233-WEEK_ONE)/7)+1)</f>
        <v/>
      </c>
      <c r="J233" s="0" t="str">
        <f aca="false">IF(I233="","",IF(OR(I233&lt;1,I233&gt;NW),"",INDEX(WMON,I233)))</f>
        <v/>
      </c>
    </row>
    <row r="234" customFormat="false" ht="15" hidden="false" customHeight="false" outlineLevel="0" collapsed="false">
      <c r="A234" s="43"/>
      <c r="B234" s="23" t="str">
        <f aca="false">IF(H234="","",CHOOSE(WEEKDAY(H234,1),"الأحد","الاثنين","الثلاثاء","الأربعاء","الخميس","الجمعة","السبت")&amp;IF(OR(ISNUMBER(A234),LEN(TRIM(A234))&gt;=10),"","  "&amp;TEXT(DAY(H234),"00")&amp;"/"&amp;TEXT(MONTH(H234),"00")&amp;"/"&amp;YEAR(H234)))</f>
        <v/>
      </c>
      <c r="C234" s="24"/>
      <c r="D234" s="27"/>
      <c r="E234" s="44"/>
      <c r="F234" s="27"/>
      <c r="G234" s="0" t="str">
        <f aca="false">IF(AND(C234&lt;&gt;"",COUNTIF(C$6:C234,C234)=1),MAX(G$5:G233)+1,"")</f>
        <v/>
      </c>
      <c r="H234" s="0" t="str">
        <f aca="true">IF(A234="","",IF(ISNUMBER(A234),IF(A234&gt;=36526,A234,""),IFERROR(DATE(VALUE(RIGHT(RIGHT(TRIM(A234),10),4)),VALUE(MID(RIGHT(TRIM(A234),10),4,2)),VALUE(LEFT(RIGHT(TRIM(A234),10),2))),IFERROR(TODAY()-MOD(WEEKDAY(TODAY(),1)-MATCH(TRIM(A234),{"الأحد","الاثنين","الثلاثاء","الأربعاء","الخميس","الجمعة","السبت"},0),7),IFERROR(DATEVALUE(A234),"")))))</f>
        <v/>
      </c>
      <c r="I234" s="0" t="str">
        <f aca="false">IF(H234="","",INT((H234-WEEK_ONE)/7)+1)</f>
        <v/>
      </c>
      <c r="J234" s="0" t="str">
        <f aca="false">IF(I234="","",IF(OR(I234&lt;1,I234&gt;NW),"",INDEX(WMON,I234)))</f>
        <v/>
      </c>
    </row>
    <row r="235" customFormat="false" ht="15" hidden="false" customHeight="false" outlineLevel="0" collapsed="false">
      <c r="A235" s="43"/>
      <c r="B235" s="23" t="str">
        <f aca="false">IF(H235="","",CHOOSE(WEEKDAY(H235,1),"الأحد","الاثنين","الثلاثاء","الأربعاء","الخميس","الجمعة","السبت")&amp;IF(OR(ISNUMBER(A235),LEN(TRIM(A235))&gt;=10),"","  "&amp;TEXT(DAY(H235),"00")&amp;"/"&amp;TEXT(MONTH(H235),"00")&amp;"/"&amp;YEAR(H235)))</f>
        <v/>
      </c>
      <c r="C235" s="24"/>
      <c r="D235" s="27"/>
      <c r="E235" s="44"/>
      <c r="F235" s="27"/>
      <c r="G235" s="0" t="str">
        <f aca="false">IF(AND(C235&lt;&gt;"",COUNTIF(C$6:C235,C235)=1),MAX(G$5:G234)+1,"")</f>
        <v/>
      </c>
      <c r="H235" s="0" t="str">
        <f aca="true">IF(A235="","",IF(ISNUMBER(A235),IF(A235&gt;=36526,A235,""),IFERROR(DATE(VALUE(RIGHT(RIGHT(TRIM(A235),10),4)),VALUE(MID(RIGHT(TRIM(A235),10),4,2)),VALUE(LEFT(RIGHT(TRIM(A235),10),2))),IFERROR(TODAY()-MOD(WEEKDAY(TODAY(),1)-MATCH(TRIM(A235),{"الأحد","الاثنين","الثلاثاء","الأربعاء","الخميس","الجمعة","السبت"},0),7),IFERROR(DATEVALUE(A235),"")))))</f>
        <v/>
      </c>
      <c r="I235" s="0" t="str">
        <f aca="false">IF(H235="","",INT((H235-WEEK_ONE)/7)+1)</f>
        <v/>
      </c>
      <c r="J235" s="0" t="str">
        <f aca="false">IF(I235="","",IF(OR(I235&lt;1,I235&gt;NW),"",INDEX(WMON,I235)))</f>
        <v/>
      </c>
    </row>
    <row r="236" customFormat="false" ht="15" hidden="false" customHeight="false" outlineLevel="0" collapsed="false">
      <c r="A236" s="43"/>
      <c r="B236" s="23" t="str">
        <f aca="false">IF(H236="","",CHOOSE(WEEKDAY(H236,1),"الأحد","الاثنين","الثلاثاء","الأربعاء","الخميس","الجمعة","السبت")&amp;IF(OR(ISNUMBER(A236),LEN(TRIM(A236))&gt;=10),"","  "&amp;TEXT(DAY(H236),"00")&amp;"/"&amp;TEXT(MONTH(H236),"00")&amp;"/"&amp;YEAR(H236)))</f>
        <v/>
      </c>
      <c r="C236" s="24"/>
      <c r="D236" s="27"/>
      <c r="E236" s="44"/>
      <c r="F236" s="27"/>
      <c r="G236" s="0" t="str">
        <f aca="false">IF(AND(C236&lt;&gt;"",COUNTIF(C$6:C236,C236)=1),MAX(G$5:G235)+1,"")</f>
        <v/>
      </c>
      <c r="H236" s="0" t="str">
        <f aca="true">IF(A236="","",IF(ISNUMBER(A236),IF(A236&gt;=36526,A236,""),IFERROR(DATE(VALUE(RIGHT(RIGHT(TRIM(A236),10),4)),VALUE(MID(RIGHT(TRIM(A236),10),4,2)),VALUE(LEFT(RIGHT(TRIM(A236),10),2))),IFERROR(TODAY()-MOD(WEEKDAY(TODAY(),1)-MATCH(TRIM(A236),{"الأحد","الاثنين","الثلاثاء","الأربعاء","الخميس","الجمعة","السبت"},0),7),IFERROR(DATEVALUE(A236),"")))))</f>
        <v/>
      </c>
      <c r="I236" s="0" t="str">
        <f aca="false">IF(H236="","",INT((H236-WEEK_ONE)/7)+1)</f>
        <v/>
      </c>
      <c r="J236" s="0" t="str">
        <f aca="false">IF(I236="","",IF(OR(I236&lt;1,I236&gt;NW),"",INDEX(WMON,I236)))</f>
        <v/>
      </c>
    </row>
    <row r="237" customFormat="false" ht="15" hidden="false" customHeight="false" outlineLevel="0" collapsed="false">
      <c r="A237" s="43"/>
      <c r="B237" s="23" t="str">
        <f aca="false">IF(H237="","",CHOOSE(WEEKDAY(H237,1),"الأحد","الاثنين","الثلاثاء","الأربعاء","الخميس","الجمعة","السبت")&amp;IF(OR(ISNUMBER(A237),LEN(TRIM(A237))&gt;=10),"","  "&amp;TEXT(DAY(H237),"00")&amp;"/"&amp;TEXT(MONTH(H237),"00")&amp;"/"&amp;YEAR(H237)))</f>
        <v/>
      </c>
      <c r="C237" s="24"/>
      <c r="D237" s="27"/>
      <c r="E237" s="44"/>
      <c r="F237" s="27"/>
      <c r="G237" s="0" t="str">
        <f aca="false">IF(AND(C237&lt;&gt;"",COUNTIF(C$6:C237,C237)=1),MAX(G$5:G236)+1,"")</f>
        <v/>
      </c>
      <c r="H237" s="0" t="str">
        <f aca="true">IF(A237="","",IF(ISNUMBER(A237),IF(A237&gt;=36526,A237,""),IFERROR(DATE(VALUE(RIGHT(RIGHT(TRIM(A237),10),4)),VALUE(MID(RIGHT(TRIM(A237),10),4,2)),VALUE(LEFT(RIGHT(TRIM(A237),10),2))),IFERROR(TODAY()-MOD(WEEKDAY(TODAY(),1)-MATCH(TRIM(A237),{"الأحد","الاثنين","الثلاثاء","الأربعاء","الخميس","الجمعة","السبت"},0),7),IFERROR(DATEVALUE(A237),"")))))</f>
        <v/>
      </c>
      <c r="I237" s="0" t="str">
        <f aca="false">IF(H237="","",INT((H237-WEEK_ONE)/7)+1)</f>
        <v/>
      </c>
      <c r="J237" s="0" t="str">
        <f aca="false">IF(I237="","",IF(OR(I237&lt;1,I237&gt;NW),"",INDEX(WMON,I237)))</f>
        <v/>
      </c>
    </row>
    <row r="238" customFormat="false" ht="15" hidden="false" customHeight="false" outlineLevel="0" collapsed="false">
      <c r="A238" s="43"/>
      <c r="B238" s="23" t="str">
        <f aca="false">IF(H238="","",CHOOSE(WEEKDAY(H238,1),"الأحد","الاثنين","الثلاثاء","الأربعاء","الخميس","الجمعة","السبت")&amp;IF(OR(ISNUMBER(A238),LEN(TRIM(A238))&gt;=10),"","  "&amp;TEXT(DAY(H238),"00")&amp;"/"&amp;TEXT(MONTH(H238),"00")&amp;"/"&amp;YEAR(H238)))</f>
        <v/>
      </c>
      <c r="C238" s="24"/>
      <c r="D238" s="27"/>
      <c r="E238" s="44"/>
      <c r="F238" s="27"/>
      <c r="G238" s="0" t="str">
        <f aca="false">IF(AND(C238&lt;&gt;"",COUNTIF(C$6:C238,C238)=1),MAX(G$5:G237)+1,"")</f>
        <v/>
      </c>
      <c r="H238" s="0" t="str">
        <f aca="true">IF(A238="","",IF(ISNUMBER(A238),IF(A238&gt;=36526,A238,""),IFERROR(DATE(VALUE(RIGHT(RIGHT(TRIM(A238),10),4)),VALUE(MID(RIGHT(TRIM(A238),10),4,2)),VALUE(LEFT(RIGHT(TRIM(A238),10),2))),IFERROR(TODAY()-MOD(WEEKDAY(TODAY(),1)-MATCH(TRIM(A238),{"الأحد","الاثنين","الثلاثاء","الأربعاء","الخميس","الجمعة","السبت"},0),7),IFERROR(DATEVALUE(A238),"")))))</f>
        <v/>
      </c>
      <c r="I238" s="0" t="str">
        <f aca="false">IF(H238="","",INT((H238-WEEK_ONE)/7)+1)</f>
        <v/>
      </c>
      <c r="J238" s="0" t="str">
        <f aca="false">IF(I238="","",IF(OR(I238&lt;1,I238&gt;NW),"",INDEX(WMON,I238)))</f>
        <v/>
      </c>
    </row>
    <row r="239" customFormat="false" ht="15" hidden="false" customHeight="false" outlineLevel="0" collapsed="false">
      <c r="A239" s="43"/>
      <c r="B239" s="23" t="str">
        <f aca="false">IF(H239="","",CHOOSE(WEEKDAY(H239,1),"الأحد","الاثنين","الثلاثاء","الأربعاء","الخميس","الجمعة","السبت")&amp;IF(OR(ISNUMBER(A239),LEN(TRIM(A239))&gt;=10),"","  "&amp;TEXT(DAY(H239),"00")&amp;"/"&amp;TEXT(MONTH(H239),"00")&amp;"/"&amp;YEAR(H239)))</f>
        <v/>
      </c>
      <c r="C239" s="24"/>
      <c r="D239" s="27"/>
      <c r="E239" s="44"/>
      <c r="F239" s="27"/>
      <c r="G239" s="0" t="str">
        <f aca="false">IF(AND(C239&lt;&gt;"",COUNTIF(C$6:C239,C239)=1),MAX(G$5:G238)+1,"")</f>
        <v/>
      </c>
      <c r="H239" s="0" t="str">
        <f aca="true">IF(A239="","",IF(ISNUMBER(A239),IF(A239&gt;=36526,A239,""),IFERROR(DATE(VALUE(RIGHT(RIGHT(TRIM(A239),10),4)),VALUE(MID(RIGHT(TRIM(A239),10),4,2)),VALUE(LEFT(RIGHT(TRIM(A239),10),2))),IFERROR(TODAY()-MOD(WEEKDAY(TODAY(),1)-MATCH(TRIM(A239),{"الأحد","الاثنين","الثلاثاء","الأربعاء","الخميس","الجمعة","السبت"},0),7),IFERROR(DATEVALUE(A239),"")))))</f>
        <v/>
      </c>
      <c r="I239" s="0" t="str">
        <f aca="false">IF(H239="","",INT((H239-WEEK_ONE)/7)+1)</f>
        <v/>
      </c>
      <c r="J239" s="0" t="str">
        <f aca="false">IF(I239="","",IF(OR(I239&lt;1,I239&gt;NW),"",INDEX(WMON,I239)))</f>
        <v/>
      </c>
    </row>
    <row r="240" customFormat="false" ht="15" hidden="false" customHeight="false" outlineLevel="0" collapsed="false">
      <c r="A240" s="43"/>
      <c r="B240" s="23" t="str">
        <f aca="false">IF(H240="","",CHOOSE(WEEKDAY(H240,1),"الأحد","الاثنين","الثلاثاء","الأربعاء","الخميس","الجمعة","السبت")&amp;IF(OR(ISNUMBER(A240),LEN(TRIM(A240))&gt;=10),"","  "&amp;TEXT(DAY(H240),"00")&amp;"/"&amp;TEXT(MONTH(H240),"00")&amp;"/"&amp;YEAR(H240)))</f>
        <v/>
      </c>
      <c r="C240" s="24"/>
      <c r="D240" s="27"/>
      <c r="E240" s="44"/>
      <c r="F240" s="27"/>
      <c r="G240" s="0" t="str">
        <f aca="false">IF(AND(C240&lt;&gt;"",COUNTIF(C$6:C240,C240)=1),MAX(G$5:G239)+1,"")</f>
        <v/>
      </c>
      <c r="H240" s="0" t="str">
        <f aca="true">IF(A240="","",IF(ISNUMBER(A240),IF(A240&gt;=36526,A240,""),IFERROR(DATE(VALUE(RIGHT(RIGHT(TRIM(A240),10),4)),VALUE(MID(RIGHT(TRIM(A240),10),4,2)),VALUE(LEFT(RIGHT(TRIM(A240),10),2))),IFERROR(TODAY()-MOD(WEEKDAY(TODAY(),1)-MATCH(TRIM(A240),{"الأحد","الاثنين","الثلاثاء","الأربعاء","الخميس","الجمعة","السبت"},0),7),IFERROR(DATEVALUE(A240),"")))))</f>
        <v/>
      </c>
      <c r="I240" s="0" t="str">
        <f aca="false">IF(H240="","",INT((H240-WEEK_ONE)/7)+1)</f>
        <v/>
      </c>
      <c r="J240" s="0" t="str">
        <f aca="false">IF(I240="","",IF(OR(I240&lt;1,I240&gt;NW),"",INDEX(WMON,I240)))</f>
        <v/>
      </c>
    </row>
    <row r="241" customFormat="false" ht="15" hidden="false" customHeight="false" outlineLevel="0" collapsed="false">
      <c r="A241" s="43"/>
      <c r="B241" s="23" t="str">
        <f aca="false">IF(H241="","",CHOOSE(WEEKDAY(H241,1),"الأحد","الاثنين","الثلاثاء","الأربعاء","الخميس","الجمعة","السبت")&amp;IF(OR(ISNUMBER(A241),LEN(TRIM(A241))&gt;=10),"","  "&amp;TEXT(DAY(H241),"00")&amp;"/"&amp;TEXT(MONTH(H241),"00")&amp;"/"&amp;YEAR(H241)))</f>
        <v/>
      </c>
      <c r="C241" s="24"/>
      <c r="D241" s="27"/>
      <c r="E241" s="44"/>
      <c r="F241" s="27"/>
      <c r="G241" s="0" t="str">
        <f aca="false">IF(AND(C241&lt;&gt;"",COUNTIF(C$6:C241,C241)=1),MAX(G$5:G240)+1,"")</f>
        <v/>
      </c>
      <c r="H241" s="0" t="str">
        <f aca="true">IF(A241="","",IF(ISNUMBER(A241),IF(A241&gt;=36526,A241,""),IFERROR(DATE(VALUE(RIGHT(RIGHT(TRIM(A241),10),4)),VALUE(MID(RIGHT(TRIM(A241),10),4,2)),VALUE(LEFT(RIGHT(TRIM(A241),10),2))),IFERROR(TODAY()-MOD(WEEKDAY(TODAY(),1)-MATCH(TRIM(A241),{"الأحد","الاثنين","الثلاثاء","الأربعاء","الخميس","الجمعة","السبت"},0),7),IFERROR(DATEVALUE(A241),"")))))</f>
        <v/>
      </c>
      <c r="I241" s="0" t="str">
        <f aca="false">IF(H241="","",INT((H241-WEEK_ONE)/7)+1)</f>
        <v/>
      </c>
      <c r="J241" s="0" t="str">
        <f aca="false">IF(I241="","",IF(OR(I241&lt;1,I241&gt;NW),"",INDEX(WMON,I241)))</f>
        <v/>
      </c>
    </row>
    <row r="242" customFormat="false" ht="15" hidden="false" customHeight="false" outlineLevel="0" collapsed="false">
      <c r="A242" s="43"/>
      <c r="B242" s="23" t="str">
        <f aca="false">IF(H242="","",CHOOSE(WEEKDAY(H242,1),"الأحد","الاثنين","الثلاثاء","الأربعاء","الخميس","الجمعة","السبت")&amp;IF(OR(ISNUMBER(A242),LEN(TRIM(A242))&gt;=10),"","  "&amp;TEXT(DAY(H242),"00")&amp;"/"&amp;TEXT(MONTH(H242),"00")&amp;"/"&amp;YEAR(H242)))</f>
        <v/>
      </c>
      <c r="C242" s="24"/>
      <c r="D242" s="27"/>
      <c r="E242" s="44"/>
      <c r="F242" s="27"/>
      <c r="G242" s="0" t="str">
        <f aca="false">IF(AND(C242&lt;&gt;"",COUNTIF(C$6:C242,C242)=1),MAX(G$5:G241)+1,"")</f>
        <v/>
      </c>
      <c r="H242" s="0" t="str">
        <f aca="true">IF(A242="","",IF(ISNUMBER(A242),IF(A242&gt;=36526,A242,""),IFERROR(DATE(VALUE(RIGHT(RIGHT(TRIM(A242),10),4)),VALUE(MID(RIGHT(TRIM(A242),10),4,2)),VALUE(LEFT(RIGHT(TRIM(A242),10),2))),IFERROR(TODAY()-MOD(WEEKDAY(TODAY(),1)-MATCH(TRIM(A242),{"الأحد","الاثنين","الثلاثاء","الأربعاء","الخميس","الجمعة","السبت"},0),7),IFERROR(DATEVALUE(A242),"")))))</f>
        <v/>
      </c>
      <c r="I242" s="0" t="str">
        <f aca="false">IF(H242="","",INT((H242-WEEK_ONE)/7)+1)</f>
        <v/>
      </c>
      <c r="J242" s="0" t="str">
        <f aca="false">IF(I242="","",IF(OR(I242&lt;1,I242&gt;NW),"",INDEX(WMON,I242)))</f>
        <v/>
      </c>
    </row>
    <row r="243" customFormat="false" ht="15" hidden="false" customHeight="false" outlineLevel="0" collapsed="false">
      <c r="A243" s="43"/>
      <c r="B243" s="23" t="str">
        <f aca="false">IF(H243="","",CHOOSE(WEEKDAY(H243,1),"الأحد","الاثنين","الثلاثاء","الأربعاء","الخميس","الجمعة","السبت")&amp;IF(OR(ISNUMBER(A243),LEN(TRIM(A243))&gt;=10),"","  "&amp;TEXT(DAY(H243),"00")&amp;"/"&amp;TEXT(MONTH(H243),"00")&amp;"/"&amp;YEAR(H243)))</f>
        <v/>
      </c>
      <c r="C243" s="24"/>
      <c r="D243" s="27"/>
      <c r="E243" s="44"/>
      <c r="F243" s="27"/>
      <c r="G243" s="0" t="str">
        <f aca="false">IF(AND(C243&lt;&gt;"",COUNTIF(C$6:C243,C243)=1),MAX(G$5:G242)+1,"")</f>
        <v/>
      </c>
      <c r="H243" s="0" t="str">
        <f aca="true">IF(A243="","",IF(ISNUMBER(A243),IF(A243&gt;=36526,A243,""),IFERROR(DATE(VALUE(RIGHT(RIGHT(TRIM(A243),10),4)),VALUE(MID(RIGHT(TRIM(A243),10),4,2)),VALUE(LEFT(RIGHT(TRIM(A243),10),2))),IFERROR(TODAY()-MOD(WEEKDAY(TODAY(),1)-MATCH(TRIM(A243),{"الأحد","الاثنين","الثلاثاء","الأربعاء","الخميس","الجمعة","السبت"},0),7),IFERROR(DATEVALUE(A243),"")))))</f>
        <v/>
      </c>
      <c r="I243" s="0" t="str">
        <f aca="false">IF(H243="","",INT((H243-WEEK_ONE)/7)+1)</f>
        <v/>
      </c>
      <c r="J243" s="0" t="str">
        <f aca="false">IF(I243="","",IF(OR(I243&lt;1,I243&gt;NW),"",INDEX(WMON,I243)))</f>
        <v/>
      </c>
    </row>
    <row r="244" customFormat="false" ht="15" hidden="false" customHeight="false" outlineLevel="0" collapsed="false">
      <c r="A244" s="43"/>
      <c r="B244" s="23" t="str">
        <f aca="false">IF(H244="","",CHOOSE(WEEKDAY(H244,1),"الأحد","الاثنين","الثلاثاء","الأربعاء","الخميس","الجمعة","السبت")&amp;IF(OR(ISNUMBER(A244),LEN(TRIM(A244))&gt;=10),"","  "&amp;TEXT(DAY(H244),"00")&amp;"/"&amp;TEXT(MONTH(H244),"00")&amp;"/"&amp;YEAR(H244)))</f>
        <v/>
      </c>
      <c r="C244" s="24"/>
      <c r="D244" s="27"/>
      <c r="E244" s="44"/>
      <c r="F244" s="27"/>
      <c r="G244" s="0" t="str">
        <f aca="false">IF(AND(C244&lt;&gt;"",COUNTIF(C$6:C244,C244)=1),MAX(G$5:G243)+1,"")</f>
        <v/>
      </c>
      <c r="H244" s="0" t="str">
        <f aca="true">IF(A244="","",IF(ISNUMBER(A244),IF(A244&gt;=36526,A244,""),IFERROR(DATE(VALUE(RIGHT(RIGHT(TRIM(A244),10),4)),VALUE(MID(RIGHT(TRIM(A244),10),4,2)),VALUE(LEFT(RIGHT(TRIM(A244),10),2))),IFERROR(TODAY()-MOD(WEEKDAY(TODAY(),1)-MATCH(TRIM(A244),{"الأحد","الاثنين","الثلاثاء","الأربعاء","الخميس","الجمعة","السبت"},0),7),IFERROR(DATEVALUE(A244),"")))))</f>
        <v/>
      </c>
      <c r="I244" s="0" t="str">
        <f aca="false">IF(H244="","",INT((H244-WEEK_ONE)/7)+1)</f>
        <v/>
      </c>
      <c r="J244" s="0" t="str">
        <f aca="false">IF(I244="","",IF(OR(I244&lt;1,I244&gt;NW),"",INDEX(WMON,I244)))</f>
        <v/>
      </c>
    </row>
    <row r="245" customFormat="false" ht="15" hidden="false" customHeight="false" outlineLevel="0" collapsed="false">
      <c r="A245" s="43"/>
      <c r="B245" s="23" t="str">
        <f aca="false">IF(H245="","",CHOOSE(WEEKDAY(H245,1),"الأحد","الاثنين","الثلاثاء","الأربعاء","الخميس","الجمعة","السبت")&amp;IF(OR(ISNUMBER(A245),LEN(TRIM(A245))&gt;=10),"","  "&amp;TEXT(DAY(H245),"00")&amp;"/"&amp;TEXT(MONTH(H245),"00")&amp;"/"&amp;YEAR(H245)))</f>
        <v/>
      </c>
      <c r="C245" s="24"/>
      <c r="D245" s="27"/>
      <c r="E245" s="44"/>
      <c r="F245" s="27"/>
      <c r="G245" s="0" t="str">
        <f aca="false">IF(AND(C245&lt;&gt;"",COUNTIF(C$6:C245,C245)=1),MAX(G$5:G244)+1,"")</f>
        <v/>
      </c>
      <c r="H245" s="0" t="str">
        <f aca="true">IF(A245="","",IF(ISNUMBER(A245),IF(A245&gt;=36526,A245,""),IFERROR(DATE(VALUE(RIGHT(RIGHT(TRIM(A245),10),4)),VALUE(MID(RIGHT(TRIM(A245),10),4,2)),VALUE(LEFT(RIGHT(TRIM(A245),10),2))),IFERROR(TODAY()-MOD(WEEKDAY(TODAY(),1)-MATCH(TRIM(A245),{"الأحد","الاثنين","الثلاثاء","الأربعاء","الخميس","الجمعة","السبت"},0),7),IFERROR(DATEVALUE(A245),"")))))</f>
        <v/>
      </c>
      <c r="I245" s="0" t="str">
        <f aca="false">IF(H245="","",INT((H245-WEEK_ONE)/7)+1)</f>
        <v/>
      </c>
      <c r="J245" s="0" t="str">
        <f aca="false">IF(I245="","",IF(OR(I245&lt;1,I245&gt;NW),"",INDEX(WMON,I245)))</f>
        <v/>
      </c>
    </row>
    <row r="246" customFormat="false" ht="15" hidden="false" customHeight="false" outlineLevel="0" collapsed="false">
      <c r="A246" s="43"/>
      <c r="B246" s="23" t="str">
        <f aca="false">IF(H246="","",CHOOSE(WEEKDAY(H246,1),"الأحد","الاثنين","الثلاثاء","الأربعاء","الخميس","الجمعة","السبت")&amp;IF(OR(ISNUMBER(A246),LEN(TRIM(A246))&gt;=10),"","  "&amp;TEXT(DAY(H246),"00")&amp;"/"&amp;TEXT(MONTH(H246),"00")&amp;"/"&amp;YEAR(H246)))</f>
        <v/>
      </c>
      <c r="C246" s="24"/>
      <c r="D246" s="27"/>
      <c r="E246" s="44"/>
      <c r="F246" s="27"/>
      <c r="G246" s="0" t="str">
        <f aca="false">IF(AND(C246&lt;&gt;"",COUNTIF(C$6:C246,C246)=1),MAX(G$5:G245)+1,"")</f>
        <v/>
      </c>
      <c r="H246" s="0" t="str">
        <f aca="true">IF(A246="","",IF(ISNUMBER(A246),IF(A246&gt;=36526,A246,""),IFERROR(DATE(VALUE(RIGHT(RIGHT(TRIM(A246),10),4)),VALUE(MID(RIGHT(TRIM(A246),10),4,2)),VALUE(LEFT(RIGHT(TRIM(A246),10),2))),IFERROR(TODAY()-MOD(WEEKDAY(TODAY(),1)-MATCH(TRIM(A246),{"الأحد","الاثنين","الثلاثاء","الأربعاء","الخميس","الجمعة","السبت"},0),7),IFERROR(DATEVALUE(A246),"")))))</f>
        <v/>
      </c>
      <c r="I246" s="0" t="str">
        <f aca="false">IF(H246="","",INT((H246-WEEK_ONE)/7)+1)</f>
        <v/>
      </c>
      <c r="J246" s="0" t="str">
        <f aca="false">IF(I246="","",IF(OR(I246&lt;1,I246&gt;NW),"",INDEX(WMON,I246)))</f>
        <v/>
      </c>
    </row>
    <row r="247" customFormat="false" ht="15" hidden="false" customHeight="false" outlineLevel="0" collapsed="false">
      <c r="A247" s="43"/>
      <c r="B247" s="23" t="str">
        <f aca="false">IF(H247="","",CHOOSE(WEEKDAY(H247,1),"الأحد","الاثنين","الثلاثاء","الأربعاء","الخميس","الجمعة","السبت")&amp;IF(OR(ISNUMBER(A247),LEN(TRIM(A247))&gt;=10),"","  "&amp;TEXT(DAY(H247),"00")&amp;"/"&amp;TEXT(MONTH(H247),"00")&amp;"/"&amp;YEAR(H247)))</f>
        <v/>
      </c>
      <c r="C247" s="24"/>
      <c r="D247" s="27"/>
      <c r="E247" s="44"/>
      <c r="F247" s="27"/>
      <c r="G247" s="0" t="str">
        <f aca="false">IF(AND(C247&lt;&gt;"",COUNTIF(C$6:C247,C247)=1),MAX(G$5:G246)+1,"")</f>
        <v/>
      </c>
      <c r="H247" s="0" t="str">
        <f aca="true">IF(A247="","",IF(ISNUMBER(A247),IF(A247&gt;=36526,A247,""),IFERROR(DATE(VALUE(RIGHT(RIGHT(TRIM(A247),10),4)),VALUE(MID(RIGHT(TRIM(A247),10),4,2)),VALUE(LEFT(RIGHT(TRIM(A247),10),2))),IFERROR(TODAY()-MOD(WEEKDAY(TODAY(),1)-MATCH(TRIM(A247),{"الأحد","الاثنين","الثلاثاء","الأربعاء","الخميس","الجمعة","السبت"},0),7),IFERROR(DATEVALUE(A247),"")))))</f>
        <v/>
      </c>
      <c r="I247" s="0" t="str">
        <f aca="false">IF(H247="","",INT((H247-WEEK_ONE)/7)+1)</f>
        <v/>
      </c>
      <c r="J247" s="0" t="str">
        <f aca="false">IF(I247="","",IF(OR(I247&lt;1,I247&gt;NW),"",INDEX(WMON,I247)))</f>
        <v/>
      </c>
    </row>
    <row r="248" customFormat="false" ht="15" hidden="false" customHeight="false" outlineLevel="0" collapsed="false">
      <c r="A248" s="43"/>
      <c r="B248" s="23" t="str">
        <f aca="false">IF(H248="","",CHOOSE(WEEKDAY(H248,1),"الأحد","الاثنين","الثلاثاء","الأربعاء","الخميس","الجمعة","السبت")&amp;IF(OR(ISNUMBER(A248),LEN(TRIM(A248))&gt;=10),"","  "&amp;TEXT(DAY(H248),"00")&amp;"/"&amp;TEXT(MONTH(H248),"00")&amp;"/"&amp;YEAR(H248)))</f>
        <v/>
      </c>
      <c r="C248" s="24"/>
      <c r="D248" s="27"/>
      <c r="E248" s="44"/>
      <c r="F248" s="27"/>
      <c r="G248" s="0" t="str">
        <f aca="false">IF(AND(C248&lt;&gt;"",COUNTIF(C$6:C248,C248)=1),MAX(G$5:G247)+1,"")</f>
        <v/>
      </c>
      <c r="H248" s="0" t="str">
        <f aca="true">IF(A248="","",IF(ISNUMBER(A248),IF(A248&gt;=36526,A248,""),IFERROR(DATE(VALUE(RIGHT(RIGHT(TRIM(A248),10),4)),VALUE(MID(RIGHT(TRIM(A248),10),4,2)),VALUE(LEFT(RIGHT(TRIM(A248),10),2))),IFERROR(TODAY()-MOD(WEEKDAY(TODAY(),1)-MATCH(TRIM(A248),{"الأحد","الاثنين","الثلاثاء","الأربعاء","الخميس","الجمعة","السبت"},0),7),IFERROR(DATEVALUE(A248),"")))))</f>
        <v/>
      </c>
      <c r="I248" s="0" t="str">
        <f aca="false">IF(H248="","",INT((H248-WEEK_ONE)/7)+1)</f>
        <v/>
      </c>
      <c r="J248" s="0" t="str">
        <f aca="false">IF(I248="","",IF(OR(I248&lt;1,I248&gt;NW),"",INDEX(WMON,I248)))</f>
        <v/>
      </c>
    </row>
    <row r="249" customFormat="false" ht="15" hidden="false" customHeight="false" outlineLevel="0" collapsed="false">
      <c r="A249" s="43"/>
      <c r="B249" s="23" t="str">
        <f aca="false">IF(H249="","",CHOOSE(WEEKDAY(H249,1),"الأحد","الاثنين","الثلاثاء","الأربعاء","الخميس","الجمعة","السبت")&amp;IF(OR(ISNUMBER(A249),LEN(TRIM(A249))&gt;=10),"","  "&amp;TEXT(DAY(H249),"00")&amp;"/"&amp;TEXT(MONTH(H249),"00")&amp;"/"&amp;YEAR(H249)))</f>
        <v/>
      </c>
      <c r="C249" s="24"/>
      <c r="D249" s="27"/>
      <c r="E249" s="44"/>
      <c r="F249" s="27"/>
      <c r="G249" s="0" t="str">
        <f aca="false">IF(AND(C249&lt;&gt;"",COUNTIF(C$6:C249,C249)=1),MAX(G$5:G248)+1,"")</f>
        <v/>
      </c>
      <c r="H249" s="0" t="str">
        <f aca="true">IF(A249="","",IF(ISNUMBER(A249),IF(A249&gt;=36526,A249,""),IFERROR(DATE(VALUE(RIGHT(RIGHT(TRIM(A249),10),4)),VALUE(MID(RIGHT(TRIM(A249),10),4,2)),VALUE(LEFT(RIGHT(TRIM(A249),10),2))),IFERROR(TODAY()-MOD(WEEKDAY(TODAY(),1)-MATCH(TRIM(A249),{"الأحد","الاثنين","الثلاثاء","الأربعاء","الخميس","الجمعة","السبت"},0),7),IFERROR(DATEVALUE(A249),"")))))</f>
        <v/>
      </c>
      <c r="I249" s="0" t="str">
        <f aca="false">IF(H249="","",INT((H249-WEEK_ONE)/7)+1)</f>
        <v/>
      </c>
      <c r="J249" s="0" t="str">
        <f aca="false">IF(I249="","",IF(OR(I249&lt;1,I249&gt;NW),"",INDEX(WMON,I249)))</f>
        <v/>
      </c>
    </row>
    <row r="250" customFormat="false" ht="15" hidden="false" customHeight="false" outlineLevel="0" collapsed="false">
      <c r="A250" s="43"/>
      <c r="B250" s="23" t="str">
        <f aca="false">IF(H250="","",CHOOSE(WEEKDAY(H250,1),"الأحد","الاثنين","الثلاثاء","الأربعاء","الخميس","الجمعة","السبت")&amp;IF(OR(ISNUMBER(A250),LEN(TRIM(A250))&gt;=10),"","  "&amp;TEXT(DAY(H250),"00")&amp;"/"&amp;TEXT(MONTH(H250),"00")&amp;"/"&amp;YEAR(H250)))</f>
        <v/>
      </c>
      <c r="C250" s="24"/>
      <c r="D250" s="27"/>
      <c r="E250" s="44"/>
      <c r="F250" s="27"/>
      <c r="G250" s="0" t="str">
        <f aca="false">IF(AND(C250&lt;&gt;"",COUNTIF(C$6:C250,C250)=1),MAX(G$5:G249)+1,"")</f>
        <v/>
      </c>
      <c r="H250" s="0" t="str">
        <f aca="true">IF(A250="","",IF(ISNUMBER(A250),IF(A250&gt;=36526,A250,""),IFERROR(DATE(VALUE(RIGHT(RIGHT(TRIM(A250),10),4)),VALUE(MID(RIGHT(TRIM(A250),10),4,2)),VALUE(LEFT(RIGHT(TRIM(A250),10),2))),IFERROR(TODAY()-MOD(WEEKDAY(TODAY(),1)-MATCH(TRIM(A250),{"الأحد","الاثنين","الثلاثاء","الأربعاء","الخميس","الجمعة","السبت"},0),7),IFERROR(DATEVALUE(A250),"")))))</f>
        <v/>
      </c>
      <c r="I250" s="0" t="str">
        <f aca="false">IF(H250="","",INT((H250-WEEK_ONE)/7)+1)</f>
        <v/>
      </c>
      <c r="J250" s="0" t="str">
        <f aca="false">IF(I250="","",IF(OR(I250&lt;1,I250&gt;NW),"",INDEX(WMON,I250)))</f>
        <v/>
      </c>
    </row>
    <row r="251" customFormat="false" ht="15" hidden="false" customHeight="false" outlineLevel="0" collapsed="false">
      <c r="A251" s="43"/>
      <c r="B251" s="23" t="str">
        <f aca="false">IF(H251="","",CHOOSE(WEEKDAY(H251,1),"الأحد","الاثنين","الثلاثاء","الأربعاء","الخميس","الجمعة","السبت")&amp;IF(OR(ISNUMBER(A251),LEN(TRIM(A251))&gt;=10),"","  "&amp;TEXT(DAY(H251),"00")&amp;"/"&amp;TEXT(MONTH(H251),"00")&amp;"/"&amp;YEAR(H251)))</f>
        <v/>
      </c>
      <c r="C251" s="24"/>
      <c r="D251" s="27"/>
      <c r="E251" s="44"/>
      <c r="F251" s="27"/>
      <c r="G251" s="0" t="str">
        <f aca="false">IF(AND(C251&lt;&gt;"",COUNTIF(C$6:C251,C251)=1),MAX(G$5:G250)+1,"")</f>
        <v/>
      </c>
      <c r="H251" s="0" t="str">
        <f aca="true">IF(A251="","",IF(ISNUMBER(A251),IF(A251&gt;=36526,A251,""),IFERROR(DATE(VALUE(RIGHT(RIGHT(TRIM(A251),10),4)),VALUE(MID(RIGHT(TRIM(A251),10),4,2)),VALUE(LEFT(RIGHT(TRIM(A251),10),2))),IFERROR(TODAY()-MOD(WEEKDAY(TODAY(),1)-MATCH(TRIM(A251),{"الأحد","الاثنين","الثلاثاء","الأربعاء","الخميس","الجمعة","السبت"},0),7),IFERROR(DATEVALUE(A251),"")))))</f>
        <v/>
      </c>
      <c r="I251" s="0" t="str">
        <f aca="false">IF(H251="","",INT((H251-WEEK_ONE)/7)+1)</f>
        <v/>
      </c>
      <c r="J251" s="0" t="str">
        <f aca="false">IF(I251="","",IF(OR(I251&lt;1,I251&gt;NW),"",INDEX(WMON,I251)))</f>
        <v/>
      </c>
    </row>
    <row r="252" customFormat="false" ht="15" hidden="false" customHeight="false" outlineLevel="0" collapsed="false">
      <c r="A252" s="43"/>
      <c r="B252" s="23" t="str">
        <f aca="false">IF(H252="","",CHOOSE(WEEKDAY(H252,1),"الأحد","الاثنين","الثلاثاء","الأربعاء","الخميس","الجمعة","السبت")&amp;IF(OR(ISNUMBER(A252),LEN(TRIM(A252))&gt;=10),"","  "&amp;TEXT(DAY(H252),"00")&amp;"/"&amp;TEXT(MONTH(H252),"00")&amp;"/"&amp;YEAR(H252)))</f>
        <v/>
      </c>
      <c r="C252" s="24"/>
      <c r="D252" s="27"/>
      <c r="E252" s="44"/>
      <c r="F252" s="27"/>
      <c r="G252" s="0" t="str">
        <f aca="false">IF(AND(C252&lt;&gt;"",COUNTIF(C$6:C252,C252)=1),MAX(G$5:G251)+1,"")</f>
        <v/>
      </c>
      <c r="H252" s="0" t="str">
        <f aca="true">IF(A252="","",IF(ISNUMBER(A252),IF(A252&gt;=36526,A252,""),IFERROR(DATE(VALUE(RIGHT(RIGHT(TRIM(A252),10),4)),VALUE(MID(RIGHT(TRIM(A252),10),4,2)),VALUE(LEFT(RIGHT(TRIM(A252),10),2))),IFERROR(TODAY()-MOD(WEEKDAY(TODAY(),1)-MATCH(TRIM(A252),{"الأحد","الاثنين","الثلاثاء","الأربعاء","الخميس","الجمعة","السبت"},0),7),IFERROR(DATEVALUE(A252),"")))))</f>
        <v/>
      </c>
      <c r="I252" s="0" t="str">
        <f aca="false">IF(H252="","",INT((H252-WEEK_ONE)/7)+1)</f>
        <v/>
      </c>
      <c r="J252" s="0" t="str">
        <f aca="false">IF(I252="","",IF(OR(I252&lt;1,I252&gt;NW),"",INDEX(WMON,I252)))</f>
        <v/>
      </c>
    </row>
    <row r="253" customFormat="false" ht="15" hidden="false" customHeight="false" outlineLevel="0" collapsed="false">
      <c r="A253" s="43"/>
      <c r="B253" s="23" t="str">
        <f aca="false">IF(H253="","",CHOOSE(WEEKDAY(H253,1),"الأحد","الاثنين","الثلاثاء","الأربعاء","الخميس","الجمعة","السبت")&amp;IF(OR(ISNUMBER(A253),LEN(TRIM(A253))&gt;=10),"","  "&amp;TEXT(DAY(H253),"00")&amp;"/"&amp;TEXT(MONTH(H253),"00")&amp;"/"&amp;YEAR(H253)))</f>
        <v/>
      </c>
      <c r="C253" s="24"/>
      <c r="D253" s="27"/>
      <c r="E253" s="44"/>
      <c r="F253" s="27"/>
      <c r="G253" s="0" t="str">
        <f aca="false">IF(AND(C253&lt;&gt;"",COUNTIF(C$6:C253,C253)=1),MAX(G$5:G252)+1,"")</f>
        <v/>
      </c>
      <c r="H253" s="0" t="str">
        <f aca="true">IF(A253="","",IF(ISNUMBER(A253),IF(A253&gt;=36526,A253,""),IFERROR(DATE(VALUE(RIGHT(RIGHT(TRIM(A253),10),4)),VALUE(MID(RIGHT(TRIM(A253),10),4,2)),VALUE(LEFT(RIGHT(TRIM(A253),10),2))),IFERROR(TODAY()-MOD(WEEKDAY(TODAY(),1)-MATCH(TRIM(A253),{"الأحد","الاثنين","الثلاثاء","الأربعاء","الخميس","الجمعة","السبت"},0),7),IFERROR(DATEVALUE(A253),"")))))</f>
        <v/>
      </c>
      <c r="I253" s="0" t="str">
        <f aca="false">IF(H253="","",INT((H253-WEEK_ONE)/7)+1)</f>
        <v/>
      </c>
      <c r="J253" s="0" t="str">
        <f aca="false">IF(I253="","",IF(OR(I253&lt;1,I253&gt;NW),"",INDEX(WMON,I253)))</f>
        <v/>
      </c>
    </row>
    <row r="254" customFormat="false" ht="15" hidden="false" customHeight="false" outlineLevel="0" collapsed="false">
      <c r="A254" s="43"/>
      <c r="B254" s="23" t="str">
        <f aca="false">IF(H254="","",CHOOSE(WEEKDAY(H254,1),"الأحد","الاثنين","الثلاثاء","الأربعاء","الخميس","الجمعة","السبت")&amp;IF(OR(ISNUMBER(A254),LEN(TRIM(A254))&gt;=10),"","  "&amp;TEXT(DAY(H254),"00")&amp;"/"&amp;TEXT(MONTH(H254),"00")&amp;"/"&amp;YEAR(H254)))</f>
        <v/>
      </c>
      <c r="C254" s="24"/>
      <c r="D254" s="27"/>
      <c r="E254" s="44"/>
      <c r="F254" s="27"/>
      <c r="G254" s="0" t="str">
        <f aca="false">IF(AND(C254&lt;&gt;"",COUNTIF(C$6:C254,C254)=1),MAX(G$5:G253)+1,"")</f>
        <v/>
      </c>
      <c r="H254" s="0" t="str">
        <f aca="true">IF(A254="","",IF(ISNUMBER(A254),IF(A254&gt;=36526,A254,""),IFERROR(DATE(VALUE(RIGHT(RIGHT(TRIM(A254),10),4)),VALUE(MID(RIGHT(TRIM(A254),10),4,2)),VALUE(LEFT(RIGHT(TRIM(A254),10),2))),IFERROR(TODAY()-MOD(WEEKDAY(TODAY(),1)-MATCH(TRIM(A254),{"الأحد","الاثنين","الثلاثاء","الأربعاء","الخميس","الجمعة","السبت"},0),7),IFERROR(DATEVALUE(A254),"")))))</f>
        <v/>
      </c>
      <c r="I254" s="0" t="str">
        <f aca="false">IF(H254="","",INT((H254-WEEK_ONE)/7)+1)</f>
        <v/>
      </c>
      <c r="J254" s="0" t="str">
        <f aca="false">IF(I254="","",IF(OR(I254&lt;1,I254&gt;NW),"",INDEX(WMON,I254)))</f>
        <v/>
      </c>
    </row>
    <row r="255" customFormat="false" ht="15" hidden="false" customHeight="false" outlineLevel="0" collapsed="false">
      <c r="A255" s="43"/>
      <c r="B255" s="23" t="str">
        <f aca="false">IF(H255="","",CHOOSE(WEEKDAY(H255,1),"الأحد","الاثنين","الثلاثاء","الأربعاء","الخميس","الجمعة","السبت")&amp;IF(OR(ISNUMBER(A255),LEN(TRIM(A255))&gt;=10),"","  "&amp;TEXT(DAY(H255),"00")&amp;"/"&amp;TEXT(MONTH(H255),"00")&amp;"/"&amp;YEAR(H255)))</f>
        <v/>
      </c>
      <c r="C255" s="24"/>
      <c r="D255" s="27"/>
      <c r="E255" s="44"/>
      <c r="F255" s="27"/>
      <c r="G255" s="0" t="str">
        <f aca="false">IF(AND(C255&lt;&gt;"",COUNTIF(C$6:C255,C255)=1),MAX(G$5:G254)+1,"")</f>
        <v/>
      </c>
      <c r="H255" s="0" t="str">
        <f aca="true">IF(A255="","",IF(ISNUMBER(A255),IF(A255&gt;=36526,A255,""),IFERROR(DATE(VALUE(RIGHT(RIGHT(TRIM(A255),10),4)),VALUE(MID(RIGHT(TRIM(A255),10),4,2)),VALUE(LEFT(RIGHT(TRIM(A255),10),2))),IFERROR(TODAY()-MOD(WEEKDAY(TODAY(),1)-MATCH(TRIM(A255),{"الأحد","الاثنين","الثلاثاء","الأربعاء","الخميس","الجمعة","السبت"},0),7),IFERROR(DATEVALUE(A255),"")))))</f>
        <v/>
      </c>
      <c r="I255" s="0" t="str">
        <f aca="false">IF(H255="","",INT((H255-WEEK_ONE)/7)+1)</f>
        <v/>
      </c>
      <c r="J255" s="0" t="str">
        <f aca="false">IF(I255="","",IF(OR(I255&lt;1,I255&gt;NW),"",INDEX(WMON,I255)))</f>
        <v/>
      </c>
    </row>
    <row r="256" customFormat="false" ht="15" hidden="false" customHeight="false" outlineLevel="0" collapsed="false">
      <c r="A256" s="43"/>
      <c r="B256" s="23" t="str">
        <f aca="false">IF(H256="","",CHOOSE(WEEKDAY(H256,1),"الأحد","الاثنين","الثلاثاء","الأربعاء","الخميس","الجمعة","السبت")&amp;IF(OR(ISNUMBER(A256),LEN(TRIM(A256))&gt;=10),"","  "&amp;TEXT(DAY(H256),"00")&amp;"/"&amp;TEXT(MONTH(H256),"00")&amp;"/"&amp;YEAR(H256)))</f>
        <v/>
      </c>
      <c r="C256" s="24"/>
      <c r="D256" s="27"/>
      <c r="E256" s="44"/>
      <c r="F256" s="27"/>
      <c r="G256" s="0" t="str">
        <f aca="false">IF(AND(C256&lt;&gt;"",COUNTIF(C$6:C256,C256)=1),MAX(G$5:G255)+1,"")</f>
        <v/>
      </c>
      <c r="H256" s="0" t="str">
        <f aca="true">IF(A256="","",IF(ISNUMBER(A256),IF(A256&gt;=36526,A256,""),IFERROR(DATE(VALUE(RIGHT(RIGHT(TRIM(A256),10),4)),VALUE(MID(RIGHT(TRIM(A256),10),4,2)),VALUE(LEFT(RIGHT(TRIM(A256),10),2))),IFERROR(TODAY()-MOD(WEEKDAY(TODAY(),1)-MATCH(TRIM(A256),{"الأحد","الاثنين","الثلاثاء","الأربعاء","الخميس","الجمعة","السبت"},0),7),IFERROR(DATEVALUE(A256),"")))))</f>
        <v/>
      </c>
      <c r="I256" s="0" t="str">
        <f aca="false">IF(H256="","",INT((H256-WEEK_ONE)/7)+1)</f>
        <v/>
      </c>
      <c r="J256" s="0" t="str">
        <f aca="false">IF(I256="","",IF(OR(I256&lt;1,I256&gt;NW),"",INDEX(WMON,I256)))</f>
        <v/>
      </c>
    </row>
    <row r="257" customFormat="false" ht="15" hidden="false" customHeight="false" outlineLevel="0" collapsed="false">
      <c r="A257" s="43"/>
      <c r="B257" s="23" t="str">
        <f aca="false">IF(H257="","",CHOOSE(WEEKDAY(H257,1),"الأحد","الاثنين","الثلاثاء","الأربعاء","الخميس","الجمعة","السبت")&amp;IF(OR(ISNUMBER(A257),LEN(TRIM(A257))&gt;=10),"","  "&amp;TEXT(DAY(H257),"00")&amp;"/"&amp;TEXT(MONTH(H257),"00")&amp;"/"&amp;YEAR(H257)))</f>
        <v/>
      </c>
      <c r="C257" s="24"/>
      <c r="D257" s="27"/>
      <c r="E257" s="44"/>
      <c r="F257" s="27"/>
      <c r="G257" s="0" t="str">
        <f aca="false">IF(AND(C257&lt;&gt;"",COUNTIF(C$6:C257,C257)=1),MAX(G$5:G256)+1,"")</f>
        <v/>
      </c>
      <c r="H257" s="0" t="str">
        <f aca="true">IF(A257="","",IF(ISNUMBER(A257),IF(A257&gt;=36526,A257,""),IFERROR(DATE(VALUE(RIGHT(RIGHT(TRIM(A257),10),4)),VALUE(MID(RIGHT(TRIM(A257),10),4,2)),VALUE(LEFT(RIGHT(TRIM(A257),10),2))),IFERROR(TODAY()-MOD(WEEKDAY(TODAY(),1)-MATCH(TRIM(A257),{"الأحد","الاثنين","الثلاثاء","الأربعاء","الخميس","الجمعة","السبت"},0),7),IFERROR(DATEVALUE(A257),"")))))</f>
        <v/>
      </c>
      <c r="I257" s="0" t="str">
        <f aca="false">IF(H257="","",INT((H257-WEEK_ONE)/7)+1)</f>
        <v/>
      </c>
      <c r="J257" s="0" t="str">
        <f aca="false">IF(I257="","",IF(OR(I257&lt;1,I257&gt;NW),"",INDEX(WMON,I257)))</f>
        <v/>
      </c>
    </row>
    <row r="258" customFormat="false" ht="15" hidden="false" customHeight="false" outlineLevel="0" collapsed="false">
      <c r="A258" s="43"/>
      <c r="B258" s="23" t="str">
        <f aca="false">IF(H258="","",CHOOSE(WEEKDAY(H258,1),"الأحد","الاثنين","الثلاثاء","الأربعاء","الخميس","الجمعة","السبت")&amp;IF(OR(ISNUMBER(A258),LEN(TRIM(A258))&gt;=10),"","  "&amp;TEXT(DAY(H258),"00")&amp;"/"&amp;TEXT(MONTH(H258),"00")&amp;"/"&amp;YEAR(H258)))</f>
        <v/>
      </c>
      <c r="C258" s="24"/>
      <c r="D258" s="27"/>
      <c r="E258" s="44"/>
      <c r="F258" s="27"/>
      <c r="G258" s="0" t="str">
        <f aca="false">IF(AND(C258&lt;&gt;"",COUNTIF(C$6:C258,C258)=1),MAX(G$5:G257)+1,"")</f>
        <v/>
      </c>
      <c r="H258" s="0" t="str">
        <f aca="true">IF(A258="","",IF(ISNUMBER(A258),IF(A258&gt;=36526,A258,""),IFERROR(DATE(VALUE(RIGHT(RIGHT(TRIM(A258),10),4)),VALUE(MID(RIGHT(TRIM(A258),10),4,2)),VALUE(LEFT(RIGHT(TRIM(A258),10),2))),IFERROR(TODAY()-MOD(WEEKDAY(TODAY(),1)-MATCH(TRIM(A258),{"الأحد","الاثنين","الثلاثاء","الأربعاء","الخميس","الجمعة","السبت"},0),7),IFERROR(DATEVALUE(A258),"")))))</f>
        <v/>
      </c>
      <c r="I258" s="0" t="str">
        <f aca="false">IF(H258="","",INT((H258-WEEK_ONE)/7)+1)</f>
        <v/>
      </c>
      <c r="J258" s="0" t="str">
        <f aca="false">IF(I258="","",IF(OR(I258&lt;1,I258&gt;NW),"",INDEX(WMON,I258)))</f>
        <v/>
      </c>
    </row>
    <row r="259" customFormat="false" ht="15" hidden="false" customHeight="false" outlineLevel="0" collapsed="false">
      <c r="A259" s="43"/>
      <c r="B259" s="23" t="str">
        <f aca="false">IF(H259="","",CHOOSE(WEEKDAY(H259,1),"الأحد","الاثنين","الثلاثاء","الأربعاء","الخميس","الجمعة","السبت")&amp;IF(OR(ISNUMBER(A259),LEN(TRIM(A259))&gt;=10),"","  "&amp;TEXT(DAY(H259),"00")&amp;"/"&amp;TEXT(MONTH(H259),"00")&amp;"/"&amp;YEAR(H259)))</f>
        <v/>
      </c>
      <c r="C259" s="24"/>
      <c r="D259" s="27"/>
      <c r="E259" s="44"/>
      <c r="F259" s="27"/>
      <c r="G259" s="0" t="str">
        <f aca="false">IF(AND(C259&lt;&gt;"",COUNTIF(C$6:C259,C259)=1),MAX(G$5:G258)+1,"")</f>
        <v/>
      </c>
      <c r="H259" s="0" t="str">
        <f aca="true">IF(A259="","",IF(ISNUMBER(A259),IF(A259&gt;=36526,A259,""),IFERROR(DATE(VALUE(RIGHT(RIGHT(TRIM(A259),10),4)),VALUE(MID(RIGHT(TRIM(A259),10),4,2)),VALUE(LEFT(RIGHT(TRIM(A259),10),2))),IFERROR(TODAY()-MOD(WEEKDAY(TODAY(),1)-MATCH(TRIM(A259),{"الأحد","الاثنين","الثلاثاء","الأربعاء","الخميس","الجمعة","السبت"},0),7),IFERROR(DATEVALUE(A259),"")))))</f>
        <v/>
      </c>
      <c r="I259" s="0" t="str">
        <f aca="false">IF(H259="","",INT((H259-WEEK_ONE)/7)+1)</f>
        <v/>
      </c>
      <c r="J259" s="0" t="str">
        <f aca="false">IF(I259="","",IF(OR(I259&lt;1,I259&gt;NW),"",INDEX(WMON,I259)))</f>
        <v/>
      </c>
    </row>
    <row r="260" customFormat="false" ht="15" hidden="false" customHeight="false" outlineLevel="0" collapsed="false">
      <c r="A260" s="43"/>
      <c r="B260" s="23" t="str">
        <f aca="false">IF(H260="","",CHOOSE(WEEKDAY(H260,1),"الأحد","الاثنين","الثلاثاء","الأربعاء","الخميس","الجمعة","السبت")&amp;IF(OR(ISNUMBER(A260),LEN(TRIM(A260))&gt;=10),"","  "&amp;TEXT(DAY(H260),"00")&amp;"/"&amp;TEXT(MONTH(H260),"00")&amp;"/"&amp;YEAR(H260)))</f>
        <v/>
      </c>
      <c r="C260" s="24"/>
      <c r="D260" s="27"/>
      <c r="E260" s="44"/>
      <c r="F260" s="27"/>
      <c r="G260" s="0" t="str">
        <f aca="false">IF(AND(C260&lt;&gt;"",COUNTIF(C$6:C260,C260)=1),MAX(G$5:G259)+1,"")</f>
        <v/>
      </c>
      <c r="H260" s="0" t="str">
        <f aca="true">IF(A260="","",IF(ISNUMBER(A260),IF(A260&gt;=36526,A260,""),IFERROR(DATE(VALUE(RIGHT(RIGHT(TRIM(A260),10),4)),VALUE(MID(RIGHT(TRIM(A260),10),4,2)),VALUE(LEFT(RIGHT(TRIM(A260),10),2))),IFERROR(TODAY()-MOD(WEEKDAY(TODAY(),1)-MATCH(TRIM(A260),{"الأحد","الاثنين","الثلاثاء","الأربعاء","الخميس","الجمعة","السبت"},0),7),IFERROR(DATEVALUE(A260),"")))))</f>
        <v/>
      </c>
      <c r="I260" s="0" t="str">
        <f aca="false">IF(H260="","",INT((H260-WEEK_ONE)/7)+1)</f>
        <v/>
      </c>
      <c r="J260" s="0" t="str">
        <f aca="false">IF(I260="","",IF(OR(I260&lt;1,I260&gt;NW),"",INDEX(WMON,I260)))</f>
        <v/>
      </c>
    </row>
    <row r="261" customFormat="false" ht="15" hidden="false" customHeight="false" outlineLevel="0" collapsed="false">
      <c r="A261" s="43"/>
      <c r="B261" s="23" t="str">
        <f aca="false">IF(H261="","",CHOOSE(WEEKDAY(H261,1),"الأحد","الاثنين","الثلاثاء","الأربعاء","الخميس","الجمعة","السبت")&amp;IF(OR(ISNUMBER(A261),LEN(TRIM(A261))&gt;=10),"","  "&amp;TEXT(DAY(H261),"00")&amp;"/"&amp;TEXT(MONTH(H261),"00")&amp;"/"&amp;YEAR(H261)))</f>
        <v/>
      </c>
      <c r="C261" s="24"/>
      <c r="D261" s="27"/>
      <c r="E261" s="44"/>
      <c r="F261" s="27"/>
      <c r="G261" s="0" t="str">
        <f aca="false">IF(AND(C261&lt;&gt;"",COUNTIF(C$6:C261,C261)=1),MAX(G$5:G260)+1,"")</f>
        <v/>
      </c>
      <c r="H261" s="0" t="str">
        <f aca="true">IF(A261="","",IF(ISNUMBER(A261),IF(A261&gt;=36526,A261,""),IFERROR(DATE(VALUE(RIGHT(RIGHT(TRIM(A261),10),4)),VALUE(MID(RIGHT(TRIM(A261),10),4,2)),VALUE(LEFT(RIGHT(TRIM(A261),10),2))),IFERROR(TODAY()-MOD(WEEKDAY(TODAY(),1)-MATCH(TRIM(A261),{"الأحد","الاثنين","الثلاثاء","الأربعاء","الخميس","الجمعة","السبت"},0),7),IFERROR(DATEVALUE(A261),"")))))</f>
        <v/>
      </c>
      <c r="I261" s="0" t="str">
        <f aca="false">IF(H261="","",INT((H261-WEEK_ONE)/7)+1)</f>
        <v/>
      </c>
      <c r="J261" s="0" t="str">
        <f aca="false">IF(I261="","",IF(OR(I261&lt;1,I261&gt;NW),"",INDEX(WMON,I261)))</f>
        <v/>
      </c>
    </row>
    <row r="262" customFormat="false" ht="15" hidden="false" customHeight="false" outlineLevel="0" collapsed="false">
      <c r="A262" s="43"/>
      <c r="B262" s="23" t="str">
        <f aca="false">IF(H262="","",CHOOSE(WEEKDAY(H262,1),"الأحد","الاثنين","الثلاثاء","الأربعاء","الخميس","الجمعة","السبت")&amp;IF(OR(ISNUMBER(A262),LEN(TRIM(A262))&gt;=10),"","  "&amp;TEXT(DAY(H262),"00")&amp;"/"&amp;TEXT(MONTH(H262),"00")&amp;"/"&amp;YEAR(H262)))</f>
        <v/>
      </c>
      <c r="C262" s="24"/>
      <c r="D262" s="27"/>
      <c r="E262" s="44"/>
      <c r="F262" s="27"/>
      <c r="G262" s="0" t="str">
        <f aca="false">IF(AND(C262&lt;&gt;"",COUNTIF(C$6:C262,C262)=1),MAX(G$5:G261)+1,"")</f>
        <v/>
      </c>
      <c r="H262" s="0" t="str">
        <f aca="true">IF(A262="","",IF(ISNUMBER(A262),IF(A262&gt;=36526,A262,""),IFERROR(DATE(VALUE(RIGHT(RIGHT(TRIM(A262),10),4)),VALUE(MID(RIGHT(TRIM(A262),10),4,2)),VALUE(LEFT(RIGHT(TRIM(A262),10),2))),IFERROR(TODAY()-MOD(WEEKDAY(TODAY(),1)-MATCH(TRIM(A262),{"الأحد","الاثنين","الثلاثاء","الأربعاء","الخميس","الجمعة","السبت"},0),7),IFERROR(DATEVALUE(A262),"")))))</f>
        <v/>
      </c>
      <c r="I262" s="0" t="str">
        <f aca="false">IF(H262="","",INT((H262-WEEK_ONE)/7)+1)</f>
        <v/>
      </c>
      <c r="J262" s="0" t="str">
        <f aca="false">IF(I262="","",IF(OR(I262&lt;1,I262&gt;NW),"",INDEX(WMON,I262)))</f>
        <v/>
      </c>
    </row>
    <row r="263" customFormat="false" ht="15" hidden="false" customHeight="false" outlineLevel="0" collapsed="false">
      <c r="A263" s="43"/>
      <c r="B263" s="23" t="str">
        <f aca="false">IF(H263="","",CHOOSE(WEEKDAY(H263,1),"الأحد","الاثنين","الثلاثاء","الأربعاء","الخميس","الجمعة","السبت")&amp;IF(OR(ISNUMBER(A263),LEN(TRIM(A263))&gt;=10),"","  "&amp;TEXT(DAY(H263),"00")&amp;"/"&amp;TEXT(MONTH(H263),"00")&amp;"/"&amp;YEAR(H263)))</f>
        <v/>
      </c>
      <c r="C263" s="24"/>
      <c r="D263" s="27"/>
      <c r="E263" s="44"/>
      <c r="F263" s="27"/>
      <c r="G263" s="0" t="str">
        <f aca="false">IF(AND(C263&lt;&gt;"",COUNTIF(C$6:C263,C263)=1),MAX(G$5:G262)+1,"")</f>
        <v/>
      </c>
      <c r="H263" s="0" t="str">
        <f aca="true">IF(A263="","",IF(ISNUMBER(A263),IF(A263&gt;=36526,A263,""),IFERROR(DATE(VALUE(RIGHT(RIGHT(TRIM(A263),10),4)),VALUE(MID(RIGHT(TRIM(A263),10),4,2)),VALUE(LEFT(RIGHT(TRIM(A263),10),2))),IFERROR(TODAY()-MOD(WEEKDAY(TODAY(),1)-MATCH(TRIM(A263),{"الأحد","الاثنين","الثلاثاء","الأربعاء","الخميس","الجمعة","السبت"},0),7),IFERROR(DATEVALUE(A263),"")))))</f>
        <v/>
      </c>
      <c r="I263" s="0" t="str">
        <f aca="false">IF(H263="","",INT((H263-WEEK_ONE)/7)+1)</f>
        <v/>
      </c>
      <c r="J263" s="0" t="str">
        <f aca="false">IF(I263="","",IF(OR(I263&lt;1,I263&gt;NW),"",INDEX(WMON,I263)))</f>
        <v/>
      </c>
    </row>
    <row r="264" customFormat="false" ht="15" hidden="false" customHeight="false" outlineLevel="0" collapsed="false">
      <c r="A264" s="43"/>
      <c r="B264" s="23" t="str">
        <f aca="false">IF(H264="","",CHOOSE(WEEKDAY(H264,1),"الأحد","الاثنين","الثلاثاء","الأربعاء","الخميس","الجمعة","السبت")&amp;IF(OR(ISNUMBER(A264),LEN(TRIM(A264))&gt;=10),"","  "&amp;TEXT(DAY(H264),"00")&amp;"/"&amp;TEXT(MONTH(H264),"00")&amp;"/"&amp;YEAR(H264)))</f>
        <v/>
      </c>
      <c r="C264" s="24"/>
      <c r="D264" s="27"/>
      <c r="E264" s="44"/>
      <c r="F264" s="27"/>
      <c r="G264" s="0" t="str">
        <f aca="false">IF(AND(C264&lt;&gt;"",COUNTIF(C$6:C264,C264)=1),MAX(G$5:G263)+1,"")</f>
        <v/>
      </c>
      <c r="H264" s="0" t="str">
        <f aca="true">IF(A264="","",IF(ISNUMBER(A264),IF(A264&gt;=36526,A264,""),IFERROR(DATE(VALUE(RIGHT(RIGHT(TRIM(A264),10),4)),VALUE(MID(RIGHT(TRIM(A264),10),4,2)),VALUE(LEFT(RIGHT(TRIM(A264),10),2))),IFERROR(TODAY()-MOD(WEEKDAY(TODAY(),1)-MATCH(TRIM(A264),{"الأحد","الاثنين","الثلاثاء","الأربعاء","الخميس","الجمعة","السبت"},0),7),IFERROR(DATEVALUE(A264),"")))))</f>
        <v/>
      </c>
      <c r="I264" s="0" t="str">
        <f aca="false">IF(H264="","",INT((H264-WEEK_ONE)/7)+1)</f>
        <v/>
      </c>
      <c r="J264" s="0" t="str">
        <f aca="false">IF(I264="","",IF(OR(I264&lt;1,I264&gt;NW),"",INDEX(WMON,I264)))</f>
        <v/>
      </c>
    </row>
    <row r="265" customFormat="false" ht="15" hidden="false" customHeight="false" outlineLevel="0" collapsed="false">
      <c r="A265" s="43"/>
      <c r="B265" s="23" t="str">
        <f aca="false">IF(H265="","",CHOOSE(WEEKDAY(H265,1),"الأحد","الاثنين","الثلاثاء","الأربعاء","الخميس","الجمعة","السبت")&amp;IF(OR(ISNUMBER(A265),LEN(TRIM(A265))&gt;=10),"","  "&amp;TEXT(DAY(H265),"00")&amp;"/"&amp;TEXT(MONTH(H265),"00")&amp;"/"&amp;YEAR(H265)))</f>
        <v/>
      </c>
      <c r="C265" s="24"/>
      <c r="D265" s="27"/>
      <c r="E265" s="44"/>
      <c r="F265" s="27"/>
      <c r="G265" s="0" t="str">
        <f aca="false">IF(AND(C265&lt;&gt;"",COUNTIF(C$6:C265,C265)=1),MAX(G$5:G264)+1,"")</f>
        <v/>
      </c>
      <c r="H265" s="0" t="str">
        <f aca="true">IF(A265="","",IF(ISNUMBER(A265),IF(A265&gt;=36526,A265,""),IFERROR(DATE(VALUE(RIGHT(RIGHT(TRIM(A265),10),4)),VALUE(MID(RIGHT(TRIM(A265),10),4,2)),VALUE(LEFT(RIGHT(TRIM(A265),10),2))),IFERROR(TODAY()-MOD(WEEKDAY(TODAY(),1)-MATCH(TRIM(A265),{"الأحد","الاثنين","الثلاثاء","الأربعاء","الخميس","الجمعة","السبت"},0),7),IFERROR(DATEVALUE(A265),"")))))</f>
        <v/>
      </c>
      <c r="I265" s="0" t="str">
        <f aca="false">IF(H265="","",INT((H265-WEEK_ONE)/7)+1)</f>
        <v/>
      </c>
      <c r="J265" s="0" t="str">
        <f aca="false">IF(I265="","",IF(OR(I265&lt;1,I265&gt;NW),"",INDEX(WMON,I265)))</f>
        <v/>
      </c>
    </row>
    <row r="266" customFormat="false" ht="15" hidden="false" customHeight="false" outlineLevel="0" collapsed="false">
      <c r="A266" s="43"/>
      <c r="B266" s="23" t="str">
        <f aca="false">IF(H266="","",CHOOSE(WEEKDAY(H266,1),"الأحد","الاثنين","الثلاثاء","الأربعاء","الخميس","الجمعة","السبت")&amp;IF(OR(ISNUMBER(A266),LEN(TRIM(A266))&gt;=10),"","  "&amp;TEXT(DAY(H266),"00")&amp;"/"&amp;TEXT(MONTH(H266),"00")&amp;"/"&amp;YEAR(H266)))</f>
        <v/>
      </c>
      <c r="C266" s="24"/>
      <c r="D266" s="27"/>
      <c r="E266" s="44"/>
      <c r="F266" s="27"/>
      <c r="G266" s="0" t="str">
        <f aca="false">IF(AND(C266&lt;&gt;"",COUNTIF(C$6:C266,C266)=1),MAX(G$5:G265)+1,"")</f>
        <v/>
      </c>
      <c r="H266" s="0" t="str">
        <f aca="true">IF(A266="","",IF(ISNUMBER(A266),IF(A266&gt;=36526,A266,""),IFERROR(DATE(VALUE(RIGHT(RIGHT(TRIM(A266),10),4)),VALUE(MID(RIGHT(TRIM(A266),10),4,2)),VALUE(LEFT(RIGHT(TRIM(A266),10),2))),IFERROR(TODAY()-MOD(WEEKDAY(TODAY(),1)-MATCH(TRIM(A266),{"الأحد","الاثنين","الثلاثاء","الأربعاء","الخميس","الجمعة","السبت"},0),7),IFERROR(DATEVALUE(A266),"")))))</f>
        <v/>
      </c>
      <c r="I266" s="0" t="str">
        <f aca="false">IF(H266="","",INT((H266-WEEK_ONE)/7)+1)</f>
        <v/>
      </c>
      <c r="J266" s="0" t="str">
        <f aca="false">IF(I266="","",IF(OR(I266&lt;1,I266&gt;NW),"",INDEX(WMON,I266)))</f>
        <v/>
      </c>
    </row>
    <row r="267" customFormat="false" ht="15" hidden="false" customHeight="false" outlineLevel="0" collapsed="false">
      <c r="A267" s="43"/>
      <c r="B267" s="23" t="str">
        <f aca="false">IF(H267="","",CHOOSE(WEEKDAY(H267,1),"الأحد","الاثنين","الثلاثاء","الأربعاء","الخميس","الجمعة","السبت")&amp;IF(OR(ISNUMBER(A267),LEN(TRIM(A267))&gt;=10),"","  "&amp;TEXT(DAY(H267),"00")&amp;"/"&amp;TEXT(MONTH(H267),"00")&amp;"/"&amp;YEAR(H267)))</f>
        <v/>
      </c>
      <c r="C267" s="24"/>
      <c r="D267" s="27"/>
      <c r="E267" s="44"/>
      <c r="F267" s="27"/>
      <c r="G267" s="0" t="str">
        <f aca="false">IF(AND(C267&lt;&gt;"",COUNTIF(C$6:C267,C267)=1),MAX(G$5:G266)+1,"")</f>
        <v/>
      </c>
      <c r="H267" s="0" t="str">
        <f aca="true">IF(A267="","",IF(ISNUMBER(A267),IF(A267&gt;=36526,A267,""),IFERROR(DATE(VALUE(RIGHT(RIGHT(TRIM(A267),10),4)),VALUE(MID(RIGHT(TRIM(A267),10),4,2)),VALUE(LEFT(RIGHT(TRIM(A267),10),2))),IFERROR(TODAY()-MOD(WEEKDAY(TODAY(),1)-MATCH(TRIM(A267),{"الأحد","الاثنين","الثلاثاء","الأربعاء","الخميس","الجمعة","السبت"},0),7),IFERROR(DATEVALUE(A267),"")))))</f>
        <v/>
      </c>
      <c r="I267" s="0" t="str">
        <f aca="false">IF(H267="","",INT((H267-WEEK_ONE)/7)+1)</f>
        <v/>
      </c>
      <c r="J267" s="0" t="str">
        <f aca="false">IF(I267="","",IF(OR(I267&lt;1,I267&gt;NW),"",INDEX(WMON,I267)))</f>
        <v/>
      </c>
    </row>
    <row r="268" customFormat="false" ht="15" hidden="false" customHeight="false" outlineLevel="0" collapsed="false">
      <c r="A268" s="43"/>
      <c r="B268" s="23" t="str">
        <f aca="false">IF(H268="","",CHOOSE(WEEKDAY(H268,1),"الأحد","الاثنين","الثلاثاء","الأربعاء","الخميس","الجمعة","السبت")&amp;IF(OR(ISNUMBER(A268),LEN(TRIM(A268))&gt;=10),"","  "&amp;TEXT(DAY(H268),"00")&amp;"/"&amp;TEXT(MONTH(H268),"00")&amp;"/"&amp;YEAR(H268)))</f>
        <v/>
      </c>
      <c r="C268" s="24"/>
      <c r="D268" s="27"/>
      <c r="E268" s="44"/>
      <c r="F268" s="27"/>
      <c r="G268" s="0" t="str">
        <f aca="false">IF(AND(C268&lt;&gt;"",COUNTIF(C$6:C268,C268)=1),MAX(G$5:G267)+1,"")</f>
        <v/>
      </c>
      <c r="H268" s="0" t="str">
        <f aca="true">IF(A268="","",IF(ISNUMBER(A268),IF(A268&gt;=36526,A268,""),IFERROR(DATE(VALUE(RIGHT(RIGHT(TRIM(A268),10),4)),VALUE(MID(RIGHT(TRIM(A268),10),4,2)),VALUE(LEFT(RIGHT(TRIM(A268),10),2))),IFERROR(TODAY()-MOD(WEEKDAY(TODAY(),1)-MATCH(TRIM(A268),{"الأحد","الاثنين","الثلاثاء","الأربعاء","الخميس","الجمعة","السبت"},0),7),IFERROR(DATEVALUE(A268),"")))))</f>
        <v/>
      </c>
      <c r="I268" s="0" t="str">
        <f aca="false">IF(H268="","",INT((H268-WEEK_ONE)/7)+1)</f>
        <v/>
      </c>
      <c r="J268" s="0" t="str">
        <f aca="false">IF(I268="","",IF(OR(I268&lt;1,I268&gt;NW),"",INDEX(WMON,I268)))</f>
        <v/>
      </c>
    </row>
    <row r="269" customFormat="false" ht="15" hidden="false" customHeight="false" outlineLevel="0" collapsed="false">
      <c r="A269" s="43"/>
      <c r="B269" s="23" t="str">
        <f aca="false">IF(H269="","",CHOOSE(WEEKDAY(H269,1),"الأحد","الاثنين","الثلاثاء","الأربعاء","الخميس","الجمعة","السبت")&amp;IF(OR(ISNUMBER(A269),LEN(TRIM(A269))&gt;=10),"","  "&amp;TEXT(DAY(H269),"00")&amp;"/"&amp;TEXT(MONTH(H269),"00")&amp;"/"&amp;YEAR(H269)))</f>
        <v/>
      </c>
      <c r="C269" s="24"/>
      <c r="D269" s="27"/>
      <c r="E269" s="44"/>
      <c r="F269" s="27"/>
      <c r="G269" s="0" t="str">
        <f aca="false">IF(AND(C269&lt;&gt;"",COUNTIF(C$6:C269,C269)=1),MAX(G$5:G268)+1,"")</f>
        <v/>
      </c>
      <c r="H269" s="0" t="str">
        <f aca="true">IF(A269="","",IF(ISNUMBER(A269),IF(A269&gt;=36526,A269,""),IFERROR(DATE(VALUE(RIGHT(RIGHT(TRIM(A269),10),4)),VALUE(MID(RIGHT(TRIM(A269),10),4,2)),VALUE(LEFT(RIGHT(TRIM(A269),10),2))),IFERROR(TODAY()-MOD(WEEKDAY(TODAY(),1)-MATCH(TRIM(A269),{"الأحد","الاثنين","الثلاثاء","الأربعاء","الخميس","الجمعة","السبت"},0),7),IFERROR(DATEVALUE(A269),"")))))</f>
        <v/>
      </c>
      <c r="I269" s="0" t="str">
        <f aca="false">IF(H269="","",INT((H269-WEEK_ONE)/7)+1)</f>
        <v/>
      </c>
      <c r="J269" s="0" t="str">
        <f aca="false">IF(I269="","",IF(OR(I269&lt;1,I269&gt;NW),"",INDEX(WMON,I269)))</f>
        <v/>
      </c>
    </row>
    <row r="270" customFormat="false" ht="15" hidden="false" customHeight="false" outlineLevel="0" collapsed="false">
      <c r="A270" s="43"/>
      <c r="B270" s="23" t="str">
        <f aca="false">IF(H270="","",CHOOSE(WEEKDAY(H270,1),"الأحد","الاثنين","الثلاثاء","الأربعاء","الخميس","الجمعة","السبت")&amp;IF(OR(ISNUMBER(A270),LEN(TRIM(A270))&gt;=10),"","  "&amp;TEXT(DAY(H270),"00")&amp;"/"&amp;TEXT(MONTH(H270),"00")&amp;"/"&amp;YEAR(H270)))</f>
        <v/>
      </c>
      <c r="C270" s="24"/>
      <c r="D270" s="27"/>
      <c r="E270" s="44"/>
      <c r="F270" s="27"/>
      <c r="G270" s="0" t="str">
        <f aca="false">IF(AND(C270&lt;&gt;"",COUNTIF(C$6:C270,C270)=1),MAX(G$5:G269)+1,"")</f>
        <v/>
      </c>
      <c r="H270" s="0" t="str">
        <f aca="true">IF(A270="","",IF(ISNUMBER(A270),IF(A270&gt;=36526,A270,""),IFERROR(DATE(VALUE(RIGHT(RIGHT(TRIM(A270),10),4)),VALUE(MID(RIGHT(TRIM(A270),10),4,2)),VALUE(LEFT(RIGHT(TRIM(A270),10),2))),IFERROR(TODAY()-MOD(WEEKDAY(TODAY(),1)-MATCH(TRIM(A270),{"الأحد","الاثنين","الثلاثاء","الأربعاء","الخميس","الجمعة","السبت"},0),7),IFERROR(DATEVALUE(A270),"")))))</f>
        <v/>
      </c>
      <c r="I270" s="0" t="str">
        <f aca="false">IF(H270="","",INT((H270-WEEK_ONE)/7)+1)</f>
        <v/>
      </c>
      <c r="J270" s="0" t="str">
        <f aca="false">IF(I270="","",IF(OR(I270&lt;1,I270&gt;NW),"",INDEX(WMON,I270)))</f>
        <v/>
      </c>
    </row>
    <row r="271" customFormat="false" ht="15" hidden="false" customHeight="false" outlineLevel="0" collapsed="false">
      <c r="A271" s="43"/>
      <c r="B271" s="23" t="str">
        <f aca="false">IF(H271="","",CHOOSE(WEEKDAY(H271,1),"الأحد","الاثنين","الثلاثاء","الأربعاء","الخميس","الجمعة","السبت")&amp;IF(OR(ISNUMBER(A271),LEN(TRIM(A271))&gt;=10),"","  "&amp;TEXT(DAY(H271),"00")&amp;"/"&amp;TEXT(MONTH(H271),"00")&amp;"/"&amp;YEAR(H271)))</f>
        <v/>
      </c>
      <c r="C271" s="24"/>
      <c r="D271" s="27"/>
      <c r="E271" s="44"/>
      <c r="F271" s="27"/>
      <c r="G271" s="0" t="str">
        <f aca="false">IF(AND(C271&lt;&gt;"",COUNTIF(C$6:C271,C271)=1),MAX(G$5:G270)+1,"")</f>
        <v/>
      </c>
      <c r="H271" s="0" t="str">
        <f aca="true">IF(A271="","",IF(ISNUMBER(A271),IF(A271&gt;=36526,A271,""),IFERROR(DATE(VALUE(RIGHT(RIGHT(TRIM(A271),10),4)),VALUE(MID(RIGHT(TRIM(A271),10),4,2)),VALUE(LEFT(RIGHT(TRIM(A271),10),2))),IFERROR(TODAY()-MOD(WEEKDAY(TODAY(),1)-MATCH(TRIM(A271),{"الأحد","الاثنين","الثلاثاء","الأربعاء","الخميس","الجمعة","السبت"},0),7),IFERROR(DATEVALUE(A271),"")))))</f>
        <v/>
      </c>
      <c r="I271" s="0" t="str">
        <f aca="false">IF(H271="","",INT((H271-WEEK_ONE)/7)+1)</f>
        <v/>
      </c>
      <c r="J271" s="0" t="str">
        <f aca="false">IF(I271="","",IF(OR(I271&lt;1,I271&gt;NW),"",INDEX(WMON,I271)))</f>
        <v/>
      </c>
    </row>
    <row r="272" customFormat="false" ht="15" hidden="false" customHeight="false" outlineLevel="0" collapsed="false">
      <c r="A272" s="43"/>
      <c r="B272" s="23" t="str">
        <f aca="false">IF(H272="","",CHOOSE(WEEKDAY(H272,1),"الأحد","الاثنين","الثلاثاء","الأربعاء","الخميس","الجمعة","السبت")&amp;IF(OR(ISNUMBER(A272),LEN(TRIM(A272))&gt;=10),"","  "&amp;TEXT(DAY(H272),"00")&amp;"/"&amp;TEXT(MONTH(H272),"00")&amp;"/"&amp;YEAR(H272)))</f>
        <v/>
      </c>
      <c r="C272" s="24"/>
      <c r="D272" s="27"/>
      <c r="E272" s="44"/>
      <c r="F272" s="27"/>
      <c r="G272" s="0" t="str">
        <f aca="false">IF(AND(C272&lt;&gt;"",COUNTIF(C$6:C272,C272)=1),MAX(G$5:G271)+1,"")</f>
        <v/>
      </c>
      <c r="H272" s="0" t="str">
        <f aca="true">IF(A272="","",IF(ISNUMBER(A272),IF(A272&gt;=36526,A272,""),IFERROR(DATE(VALUE(RIGHT(RIGHT(TRIM(A272),10),4)),VALUE(MID(RIGHT(TRIM(A272),10),4,2)),VALUE(LEFT(RIGHT(TRIM(A272),10),2))),IFERROR(TODAY()-MOD(WEEKDAY(TODAY(),1)-MATCH(TRIM(A272),{"الأحد","الاثنين","الثلاثاء","الأربعاء","الخميس","الجمعة","السبت"},0),7),IFERROR(DATEVALUE(A272),"")))))</f>
        <v/>
      </c>
      <c r="I272" s="0" t="str">
        <f aca="false">IF(H272="","",INT((H272-WEEK_ONE)/7)+1)</f>
        <v/>
      </c>
      <c r="J272" s="0" t="str">
        <f aca="false">IF(I272="","",IF(OR(I272&lt;1,I272&gt;NW),"",INDEX(WMON,I272)))</f>
        <v/>
      </c>
    </row>
    <row r="273" customFormat="false" ht="15" hidden="false" customHeight="false" outlineLevel="0" collapsed="false">
      <c r="A273" s="43"/>
      <c r="B273" s="23" t="str">
        <f aca="false">IF(H273="","",CHOOSE(WEEKDAY(H273,1),"الأحد","الاثنين","الثلاثاء","الأربعاء","الخميس","الجمعة","السبت")&amp;IF(OR(ISNUMBER(A273),LEN(TRIM(A273))&gt;=10),"","  "&amp;TEXT(DAY(H273),"00")&amp;"/"&amp;TEXT(MONTH(H273),"00")&amp;"/"&amp;YEAR(H273)))</f>
        <v/>
      </c>
      <c r="C273" s="24"/>
      <c r="D273" s="27"/>
      <c r="E273" s="44"/>
      <c r="F273" s="27"/>
      <c r="G273" s="0" t="str">
        <f aca="false">IF(AND(C273&lt;&gt;"",COUNTIF(C$6:C273,C273)=1),MAX(G$5:G272)+1,"")</f>
        <v/>
      </c>
      <c r="H273" s="0" t="str">
        <f aca="true">IF(A273="","",IF(ISNUMBER(A273),IF(A273&gt;=36526,A273,""),IFERROR(DATE(VALUE(RIGHT(RIGHT(TRIM(A273),10),4)),VALUE(MID(RIGHT(TRIM(A273),10),4,2)),VALUE(LEFT(RIGHT(TRIM(A273),10),2))),IFERROR(TODAY()-MOD(WEEKDAY(TODAY(),1)-MATCH(TRIM(A273),{"الأحد","الاثنين","الثلاثاء","الأربعاء","الخميس","الجمعة","السبت"},0),7),IFERROR(DATEVALUE(A273),"")))))</f>
        <v/>
      </c>
      <c r="I273" s="0" t="str">
        <f aca="false">IF(H273="","",INT((H273-WEEK_ONE)/7)+1)</f>
        <v/>
      </c>
      <c r="J273" s="0" t="str">
        <f aca="false">IF(I273="","",IF(OR(I273&lt;1,I273&gt;NW),"",INDEX(WMON,I273)))</f>
        <v/>
      </c>
    </row>
    <row r="274" customFormat="false" ht="15" hidden="false" customHeight="false" outlineLevel="0" collapsed="false">
      <c r="A274" s="43"/>
      <c r="B274" s="23" t="str">
        <f aca="false">IF(H274="","",CHOOSE(WEEKDAY(H274,1),"الأحد","الاثنين","الثلاثاء","الأربعاء","الخميس","الجمعة","السبت")&amp;IF(OR(ISNUMBER(A274),LEN(TRIM(A274))&gt;=10),"","  "&amp;TEXT(DAY(H274),"00")&amp;"/"&amp;TEXT(MONTH(H274),"00")&amp;"/"&amp;YEAR(H274)))</f>
        <v/>
      </c>
      <c r="C274" s="24"/>
      <c r="D274" s="27"/>
      <c r="E274" s="44"/>
      <c r="F274" s="27"/>
      <c r="G274" s="0" t="str">
        <f aca="false">IF(AND(C274&lt;&gt;"",COUNTIF(C$6:C274,C274)=1),MAX(G$5:G273)+1,"")</f>
        <v/>
      </c>
      <c r="H274" s="0" t="str">
        <f aca="true">IF(A274="","",IF(ISNUMBER(A274),IF(A274&gt;=36526,A274,""),IFERROR(DATE(VALUE(RIGHT(RIGHT(TRIM(A274),10),4)),VALUE(MID(RIGHT(TRIM(A274),10),4,2)),VALUE(LEFT(RIGHT(TRIM(A274),10),2))),IFERROR(TODAY()-MOD(WEEKDAY(TODAY(),1)-MATCH(TRIM(A274),{"الأحد","الاثنين","الثلاثاء","الأربعاء","الخميس","الجمعة","السبت"},0),7),IFERROR(DATEVALUE(A274),"")))))</f>
        <v/>
      </c>
      <c r="I274" s="0" t="str">
        <f aca="false">IF(H274="","",INT((H274-WEEK_ONE)/7)+1)</f>
        <v/>
      </c>
      <c r="J274" s="0" t="str">
        <f aca="false">IF(I274="","",IF(OR(I274&lt;1,I274&gt;NW),"",INDEX(WMON,I274)))</f>
        <v/>
      </c>
    </row>
    <row r="275" customFormat="false" ht="15" hidden="false" customHeight="false" outlineLevel="0" collapsed="false">
      <c r="A275" s="43"/>
      <c r="B275" s="23" t="str">
        <f aca="false">IF(H275="","",CHOOSE(WEEKDAY(H275,1),"الأحد","الاثنين","الثلاثاء","الأربعاء","الخميس","الجمعة","السبت")&amp;IF(OR(ISNUMBER(A275),LEN(TRIM(A275))&gt;=10),"","  "&amp;TEXT(DAY(H275),"00")&amp;"/"&amp;TEXT(MONTH(H275),"00")&amp;"/"&amp;YEAR(H275)))</f>
        <v/>
      </c>
      <c r="C275" s="24"/>
      <c r="D275" s="27"/>
      <c r="E275" s="44"/>
      <c r="F275" s="27"/>
      <c r="G275" s="0" t="str">
        <f aca="false">IF(AND(C275&lt;&gt;"",COUNTIF(C$6:C275,C275)=1),MAX(G$5:G274)+1,"")</f>
        <v/>
      </c>
      <c r="H275" s="0" t="str">
        <f aca="true">IF(A275="","",IF(ISNUMBER(A275),IF(A275&gt;=36526,A275,""),IFERROR(DATE(VALUE(RIGHT(RIGHT(TRIM(A275),10),4)),VALUE(MID(RIGHT(TRIM(A275),10),4,2)),VALUE(LEFT(RIGHT(TRIM(A275),10),2))),IFERROR(TODAY()-MOD(WEEKDAY(TODAY(),1)-MATCH(TRIM(A275),{"الأحد","الاثنين","الثلاثاء","الأربعاء","الخميس","الجمعة","السبت"},0),7),IFERROR(DATEVALUE(A275),"")))))</f>
        <v/>
      </c>
      <c r="I275" s="0" t="str">
        <f aca="false">IF(H275="","",INT((H275-WEEK_ONE)/7)+1)</f>
        <v/>
      </c>
      <c r="J275" s="0" t="str">
        <f aca="false">IF(I275="","",IF(OR(I275&lt;1,I275&gt;NW),"",INDEX(WMON,I275)))</f>
        <v/>
      </c>
    </row>
    <row r="276" customFormat="false" ht="15" hidden="false" customHeight="false" outlineLevel="0" collapsed="false">
      <c r="A276" s="43"/>
      <c r="B276" s="23" t="str">
        <f aca="false">IF(H276="","",CHOOSE(WEEKDAY(H276,1),"الأحد","الاثنين","الثلاثاء","الأربعاء","الخميس","الجمعة","السبت")&amp;IF(OR(ISNUMBER(A276),LEN(TRIM(A276))&gt;=10),"","  "&amp;TEXT(DAY(H276),"00")&amp;"/"&amp;TEXT(MONTH(H276),"00")&amp;"/"&amp;YEAR(H276)))</f>
        <v/>
      </c>
      <c r="C276" s="24"/>
      <c r="D276" s="27"/>
      <c r="E276" s="44"/>
      <c r="F276" s="27"/>
      <c r="G276" s="0" t="str">
        <f aca="false">IF(AND(C276&lt;&gt;"",COUNTIF(C$6:C276,C276)=1),MAX(G$5:G275)+1,"")</f>
        <v/>
      </c>
      <c r="H276" s="0" t="str">
        <f aca="true">IF(A276="","",IF(ISNUMBER(A276),IF(A276&gt;=36526,A276,""),IFERROR(DATE(VALUE(RIGHT(RIGHT(TRIM(A276),10),4)),VALUE(MID(RIGHT(TRIM(A276),10),4,2)),VALUE(LEFT(RIGHT(TRIM(A276),10),2))),IFERROR(TODAY()-MOD(WEEKDAY(TODAY(),1)-MATCH(TRIM(A276),{"الأحد","الاثنين","الثلاثاء","الأربعاء","الخميس","الجمعة","السبت"},0),7),IFERROR(DATEVALUE(A276),"")))))</f>
        <v/>
      </c>
      <c r="I276" s="0" t="str">
        <f aca="false">IF(H276="","",INT((H276-WEEK_ONE)/7)+1)</f>
        <v/>
      </c>
      <c r="J276" s="0" t="str">
        <f aca="false">IF(I276="","",IF(OR(I276&lt;1,I276&gt;NW),"",INDEX(WMON,I276)))</f>
        <v/>
      </c>
    </row>
    <row r="277" customFormat="false" ht="15" hidden="false" customHeight="false" outlineLevel="0" collapsed="false">
      <c r="A277" s="43"/>
      <c r="B277" s="23" t="str">
        <f aca="false">IF(H277="","",CHOOSE(WEEKDAY(H277,1),"الأحد","الاثنين","الثلاثاء","الأربعاء","الخميس","الجمعة","السبت")&amp;IF(OR(ISNUMBER(A277),LEN(TRIM(A277))&gt;=10),"","  "&amp;TEXT(DAY(H277),"00")&amp;"/"&amp;TEXT(MONTH(H277),"00")&amp;"/"&amp;YEAR(H277)))</f>
        <v/>
      </c>
      <c r="C277" s="24"/>
      <c r="D277" s="27"/>
      <c r="E277" s="44"/>
      <c r="F277" s="27"/>
      <c r="G277" s="0" t="str">
        <f aca="false">IF(AND(C277&lt;&gt;"",COUNTIF(C$6:C277,C277)=1),MAX(G$5:G276)+1,"")</f>
        <v/>
      </c>
      <c r="H277" s="0" t="str">
        <f aca="true">IF(A277="","",IF(ISNUMBER(A277),IF(A277&gt;=36526,A277,""),IFERROR(DATE(VALUE(RIGHT(RIGHT(TRIM(A277),10),4)),VALUE(MID(RIGHT(TRIM(A277),10),4,2)),VALUE(LEFT(RIGHT(TRIM(A277),10),2))),IFERROR(TODAY()-MOD(WEEKDAY(TODAY(),1)-MATCH(TRIM(A277),{"الأحد","الاثنين","الثلاثاء","الأربعاء","الخميس","الجمعة","السبت"},0),7),IFERROR(DATEVALUE(A277),"")))))</f>
        <v/>
      </c>
      <c r="I277" s="0" t="str">
        <f aca="false">IF(H277="","",INT((H277-WEEK_ONE)/7)+1)</f>
        <v/>
      </c>
      <c r="J277" s="0" t="str">
        <f aca="false">IF(I277="","",IF(OR(I277&lt;1,I277&gt;NW),"",INDEX(WMON,I277)))</f>
        <v/>
      </c>
    </row>
    <row r="278" customFormat="false" ht="15" hidden="false" customHeight="false" outlineLevel="0" collapsed="false">
      <c r="A278" s="43"/>
      <c r="B278" s="23" t="str">
        <f aca="false">IF(H278="","",CHOOSE(WEEKDAY(H278,1),"الأحد","الاثنين","الثلاثاء","الأربعاء","الخميس","الجمعة","السبت")&amp;IF(OR(ISNUMBER(A278),LEN(TRIM(A278))&gt;=10),"","  "&amp;TEXT(DAY(H278),"00")&amp;"/"&amp;TEXT(MONTH(H278),"00")&amp;"/"&amp;YEAR(H278)))</f>
        <v/>
      </c>
      <c r="C278" s="24"/>
      <c r="D278" s="27"/>
      <c r="E278" s="44"/>
      <c r="F278" s="27"/>
      <c r="G278" s="0" t="str">
        <f aca="false">IF(AND(C278&lt;&gt;"",COUNTIF(C$6:C278,C278)=1),MAX(G$5:G277)+1,"")</f>
        <v/>
      </c>
      <c r="H278" s="0" t="str">
        <f aca="true">IF(A278="","",IF(ISNUMBER(A278),IF(A278&gt;=36526,A278,""),IFERROR(DATE(VALUE(RIGHT(RIGHT(TRIM(A278),10),4)),VALUE(MID(RIGHT(TRIM(A278),10),4,2)),VALUE(LEFT(RIGHT(TRIM(A278),10),2))),IFERROR(TODAY()-MOD(WEEKDAY(TODAY(),1)-MATCH(TRIM(A278),{"الأحد","الاثنين","الثلاثاء","الأربعاء","الخميس","الجمعة","السبت"},0),7),IFERROR(DATEVALUE(A278),"")))))</f>
        <v/>
      </c>
      <c r="I278" s="0" t="str">
        <f aca="false">IF(H278="","",INT((H278-WEEK_ONE)/7)+1)</f>
        <v/>
      </c>
      <c r="J278" s="0" t="str">
        <f aca="false">IF(I278="","",IF(OR(I278&lt;1,I278&gt;NW),"",INDEX(WMON,I278)))</f>
        <v/>
      </c>
    </row>
    <row r="279" customFormat="false" ht="15" hidden="false" customHeight="false" outlineLevel="0" collapsed="false">
      <c r="A279" s="43"/>
      <c r="B279" s="23" t="str">
        <f aca="false">IF(H279="","",CHOOSE(WEEKDAY(H279,1),"الأحد","الاثنين","الثلاثاء","الأربعاء","الخميس","الجمعة","السبت")&amp;IF(OR(ISNUMBER(A279),LEN(TRIM(A279))&gt;=10),"","  "&amp;TEXT(DAY(H279),"00")&amp;"/"&amp;TEXT(MONTH(H279),"00")&amp;"/"&amp;YEAR(H279)))</f>
        <v/>
      </c>
      <c r="C279" s="24"/>
      <c r="D279" s="27"/>
      <c r="E279" s="44"/>
      <c r="F279" s="27"/>
      <c r="G279" s="0" t="str">
        <f aca="false">IF(AND(C279&lt;&gt;"",COUNTIF(C$6:C279,C279)=1),MAX(G$5:G278)+1,"")</f>
        <v/>
      </c>
      <c r="H279" s="0" t="str">
        <f aca="true">IF(A279="","",IF(ISNUMBER(A279),IF(A279&gt;=36526,A279,""),IFERROR(DATE(VALUE(RIGHT(RIGHT(TRIM(A279),10),4)),VALUE(MID(RIGHT(TRIM(A279),10),4,2)),VALUE(LEFT(RIGHT(TRIM(A279),10),2))),IFERROR(TODAY()-MOD(WEEKDAY(TODAY(),1)-MATCH(TRIM(A279),{"الأحد","الاثنين","الثلاثاء","الأربعاء","الخميس","الجمعة","السبت"},0),7),IFERROR(DATEVALUE(A279),"")))))</f>
        <v/>
      </c>
      <c r="I279" s="0" t="str">
        <f aca="false">IF(H279="","",INT((H279-WEEK_ONE)/7)+1)</f>
        <v/>
      </c>
      <c r="J279" s="0" t="str">
        <f aca="false">IF(I279="","",IF(OR(I279&lt;1,I279&gt;NW),"",INDEX(WMON,I279)))</f>
        <v/>
      </c>
    </row>
    <row r="280" customFormat="false" ht="15" hidden="false" customHeight="false" outlineLevel="0" collapsed="false">
      <c r="A280" s="43"/>
      <c r="B280" s="23" t="str">
        <f aca="false">IF(H280="","",CHOOSE(WEEKDAY(H280,1),"الأحد","الاثنين","الثلاثاء","الأربعاء","الخميس","الجمعة","السبت")&amp;IF(OR(ISNUMBER(A280),LEN(TRIM(A280))&gt;=10),"","  "&amp;TEXT(DAY(H280),"00")&amp;"/"&amp;TEXT(MONTH(H280),"00")&amp;"/"&amp;YEAR(H280)))</f>
        <v/>
      </c>
      <c r="C280" s="24"/>
      <c r="D280" s="27"/>
      <c r="E280" s="44"/>
      <c r="F280" s="27"/>
      <c r="G280" s="0" t="str">
        <f aca="false">IF(AND(C280&lt;&gt;"",COUNTIF(C$6:C280,C280)=1),MAX(G$5:G279)+1,"")</f>
        <v/>
      </c>
      <c r="H280" s="0" t="str">
        <f aca="true">IF(A280="","",IF(ISNUMBER(A280),IF(A280&gt;=36526,A280,""),IFERROR(DATE(VALUE(RIGHT(RIGHT(TRIM(A280),10),4)),VALUE(MID(RIGHT(TRIM(A280),10),4,2)),VALUE(LEFT(RIGHT(TRIM(A280),10),2))),IFERROR(TODAY()-MOD(WEEKDAY(TODAY(),1)-MATCH(TRIM(A280),{"الأحد","الاثنين","الثلاثاء","الأربعاء","الخميس","الجمعة","السبت"},0),7),IFERROR(DATEVALUE(A280),"")))))</f>
        <v/>
      </c>
      <c r="I280" s="0" t="str">
        <f aca="false">IF(H280="","",INT((H280-WEEK_ONE)/7)+1)</f>
        <v/>
      </c>
      <c r="J280" s="0" t="str">
        <f aca="false">IF(I280="","",IF(OR(I280&lt;1,I280&gt;NW),"",INDEX(WMON,I280)))</f>
        <v/>
      </c>
    </row>
    <row r="281" customFormat="false" ht="15" hidden="false" customHeight="false" outlineLevel="0" collapsed="false">
      <c r="A281" s="43"/>
      <c r="B281" s="23" t="str">
        <f aca="false">IF(H281="","",CHOOSE(WEEKDAY(H281,1),"الأحد","الاثنين","الثلاثاء","الأربعاء","الخميس","الجمعة","السبت")&amp;IF(OR(ISNUMBER(A281),LEN(TRIM(A281))&gt;=10),"","  "&amp;TEXT(DAY(H281),"00")&amp;"/"&amp;TEXT(MONTH(H281),"00")&amp;"/"&amp;YEAR(H281)))</f>
        <v/>
      </c>
      <c r="C281" s="24"/>
      <c r="D281" s="27"/>
      <c r="E281" s="44"/>
      <c r="F281" s="27"/>
      <c r="G281" s="0" t="str">
        <f aca="false">IF(AND(C281&lt;&gt;"",COUNTIF(C$6:C281,C281)=1),MAX(G$5:G280)+1,"")</f>
        <v/>
      </c>
      <c r="H281" s="0" t="str">
        <f aca="true">IF(A281="","",IF(ISNUMBER(A281),IF(A281&gt;=36526,A281,""),IFERROR(DATE(VALUE(RIGHT(RIGHT(TRIM(A281),10),4)),VALUE(MID(RIGHT(TRIM(A281),10),4,2)),VALUE(LEFT(RIGHT(TRIM(A281),10),2))),IFERROR(TODAY()-MOD(WEEKDAY(TODAY(),1)-MATCH(TRIM(A281),{"الأحد","الاثنين","الثلاثاء","الأربعاء","الخميس","الجمعة","السبت"},0),7),IFERROR(DATEVALUE(A281),"")))))</f>
        <v/>
      </c>
      <c r="I281" s="0" t="str">
        <f aca="false">IF(H281="","",INT((H281-WEEK_ONE)/7)+1)</f>
        <v/>
      </c>
      <c r="J281" s="0" t="str">
        <f aca="false">IF(I281="","",IF(OR(I281&lt;1,I281&gt;NW),"",INDEX(WMON,I281)))</f>
        <v/>
      </c>
    </row>
    <row r="282" customFormat="false" ht="15" hidden="false" customHeight="false" outlineLevel="0" collapsed="false">
      <c r="A282" s="43"/>
      <c r="B282" s="23" t="str">
        <f aca="false">IF(H282="","",CHOOSE(WEEKDAY(H282,1),"الأحد","الاثنين","الثلاثاء","الأربعاء","الخميس","الجمعة","السبت")&amp;IF(OR(ISNUMBER(A282),LEN(TRIM(A282))&gt;=10),"","  "&amp;TEXT(DAY(H282),"00")&amp;"/"&amp;TEXT(MONTH(H282),"00")&amp;"/"&amp;YEAR(H282)))</f>
        <v/>
      </c>
      <c r="C282" s="24"/>
      <c r="D282" s="27"/>
      <c r="E282" s="44"/>
      <c r="F282" s="27"/>
      <c r="G282" s="0" t="str">
        <f aca="false">IF(AND(C282&lt;&gt;"",COUNTIF(C$6:C282,C282)=1),MAX(G$5:G281)+1,"")</f>
        <v/>
      </c>
      <c r="H282" s="0" t="str">
        <f aca="true">IF(A282="","",IF(ISNUMBER(A282),IF(A282&gt;=36526,A282,""),IFERROR(DATE(VALUE(RIGHT(RIGHT(TRIM(A282),10),4)),VALUE(MID(RIGHT(TRIM(A282),10),4,2)),VALUE(LEFT(RIGHT(TRIM(A282),10),2))),IFERROR(TODAY()-MOD(WEEKDAY(TODAY(),1)-MATCH(TRIM(A282),{"الأحد","الاثنين","الثلاثاء","الأربعاء","الخميس","الجمعة","السبت"},0),7),IFERROR(DATEVALUE(A282),"")))))</f>
        <v/>
      </c>
      <c r="I282" s="0" t="str">
        <f aca="false">IF(H282="","",INT((H282-WEEK_ONE)/7)+1)</f>
        <v/>
      </c>
      <c r="J282" s="0" t="str">
        <f aca="false">IF(I282="","",IF(OR(I282&lt;1,I282&gt;NW),"",INDEX(WMON,I282)))</f>
        <v/>
      </c>
    </row>
    <row r="283" customFormat="false" ht="15" hidden="false" customHeight="false" outlineLevel="0" collapsed="false">
      <c r="A283" s="43"/>
      <c r="B283" s="23" t="str">
        <f aca="false">IF(H283="","",CHOOSE(WEEKDAY(H283,1),"الأحد","الاثنين","الثلاثاء","الأربعاء","الخميس","الجمعة","السبت")&amp;IF(OR(ISNUMBER(A283),LEN(TRIM(A283))&gt;=10),"","  "&amp;TEXT(DAY(H283),"00")&amp;"/"&amp;TEXT(MONTH(H283),"00")&amp;"/"&amp;YEAR(H283)))</f>
        <v/>
      </c>
      <c r="C283" s="24"/>
      <c r="D283" s="27"/>
      <c r="E283" s="44"/>
      <c r="F283" s="27"/>
      <c r="G283" s="0" t="str">
        <f aca="false">IF(AND(C283&lt;&gt;"",COUNTIF(C$6:C283,C283)=1),MAX(G$5:G282)+1,"")</f>
        <v/>
      </c>
      <c r="H283" s="0" t="str">
        <f aca="true">IF(A283="","",IF(ISNUMBER(A283),IF(A283&gt;=36526,A283,""),IFERROR(DATE(VALUE(RIGHT(RIGHT(TRIM(A283),10),4)),VALUE(MID(RIGHT(TRIM(A283),10),4,2)),VALUE(LEFT(RIGHT(TRIM(A283),10),2))),IFERROR(TODAY()-MOD(WEEKDAY(TODAY(),1)-MATCH(TRIM(A283),{"الأحد","الاثنين","الثلاثاء","الأربعاء","الخميس","الجمعة","السبت"},0),7),IFERROR(DATEVALUE(A283),"")))))</f>
        <v/>
      </c>
      <c r="I283" s="0" t="str">
        <f aca="false">IF(H283="","",INT((H283-WEEK_ONE)/7)+1)</f>
        <v/>
      </c>
      <c r="J283" s="0" t="str">
        <f aca="false">IF(I283="","",IF(OR(I283&lt;1,I283&gt;NW),"",INDEX(WMON,I283)))</f>
        <v/>
      </c>
    </row>
    <row r="284" customFormat="false" ht="15" hidden="false" customHeight="false" outlineLevel="0" collapsed="false">
      <c r="A284" s="43"/>
      <c r="B284" s="23" t="str">
        <f aca="false">IF(H284="","",CHOOSE(WEEKDAY(H284,1),"الأحد","الاثنين","الثلاثاء","الأربعاء","الخميس","الجمعة","السبت")&amp;IF(OR(ISNUMBER(A284),LEN(TRIM(A284))&gt;=10),"","  "&amp;TEXT(DAY(H284),"00")&amp;"/"&amp;TEXT(MONTH(H284),"00")&amp;"/"&amp;YEAR(H284)))</f>
        <v/>
      </c>
      <c r="C284" s="24"/>
      <c r="D284" s="27"/>
      <c r="E284" s="44"/>
      <c r="F284" s="27"/>
      <c r="G284" s="0" t="str">
        <f aca="false">IF(AND(C284&lt;&gt;"",COUNTIF(C$6:C284,C284)=1),MAX(G$5:G283)+1,"")</f>
        <v/>
      </c>
      <c r="H284" s="0" t="str">
        <f aca="true">IF(A284="","",IF(ISNUMBER(A284),IF(A284&gt;=36526,A284,""),IFERROR(DATE(VALUE(RIGHT(RIGHT(TRIM(A284),10),4)),VALUE(MID(RIGHT(TRIM(A284),10),4,2)),VALUE(LEFT(RIGHT(TRIM(A284),10),2))),IFERROR(TODAY()-MOD(WEEKDAY(TODAY(),1)-MATCH(TRIM(A284),{"الأحد","الاثنين","الثلاثاء","الأربعاء","الخميس","الجمعة","السبت"},0),7),IFERROR(DATEVALUE(A284),"")))))</f>
        <v/>
      </c>
      <c r="I284" s="0" t="str">
        <f aca="false">IF(H284="","",INT((H284-WEEK_ONE)/7)+1)</f>
        <v/>
      </c>
      <c r="J284" s="0" t="str">
        <f aca="false">IF(I284="","",IF(OR(I284&lt;1,I284&gt;NW),"",INDEX(WMON,I284)))</f>
        <v/>
      </c>
    </row>
    <row r="285" customFormat="false" ht="15" hidden="false" customHeight="false" outlineLevel="0" collapsed="false">
      <c r="A285" s="43"/>
      <c r="B285" s="23" t="str">
        <f aca="false">IF(H285="","",CHOOSE(WEEKDAY(H285,1),"الأحد","الاثنين","الثلاثاء","الأربعاء","الخميس","الجمعة","السبت")&amp;IF(OR(ISNUMBER(A285),LEN(TRIM(A285))&gt;=10),"","  "&amp;TEXT(DAY(H285),"00")&amp;"/"&amp;TEXT(MONTH(H285),"00")&amp;"/"&amp;YEAR(H285)))</f>
        <v/>
      </c>
      <c r="C285" s="24"/>
      <c r="D285" s="27"/>
      <c r="E285" s="44"/>
      <c r="F285" s="27"/>
      <c r="G285" s="0" t="str">
        <f aca="false">IF(AND(C285&lt;&gt;"",COUNTIF(C$6:C285,C285)=1),MAX(G$5:G284)+1,"")</f>
        <v/>
      </c>
      <c r="H285" s="0" t="str">
        <f aca="true">IF(A285="","",IF(ISNUMBER(A285),IF(A285&gt;=36526,A285,""),IFERROR(DATE(VALUE(RIGHT(RIGHT(TRIM(A285),10),4)),VALUE(MID(RIGHT(TRIM(A285),10),4,2)),VALUE(LEFT(RIGHT(TRIM(A285),10),2))),IFERROR(TODAY()-MOD(WEEKDAY(TODAY(),1)-MATCH(TRIM(A285),{"الأحد","الاثنين","الثلاثاء","الأربعاء","الخميس","الجمعة","السبت"},0),7),IFERROR(DATEVALUE(A285),"")))))</f>
        <v/>
      </c>
      <c r="I285" s="0" t="str">
        <f aca="false">IF(H285="","",INT((H285-WEEK_ONE)/7)+1)</f>
        <v/>
      </c>
      <c r="J285" s="0" t="str">
        <f aca="false">IF(I285="","",IF(OR(I285&lt;1,I285&gt;NW),"",INDEX(WMON,I285)))</f>
        <v/>
      </c>
    </row>
    <row r="286" customFormat="false" ht="15" hidden="false" customHeight="false" outlineLevel="0" collapsed="false">
      <c r="A286" s="43"/>
      <c r="B286" s="23" t="str">
        <f aca="false">IF(H286="","",CHOOSE(WEEKDAY(H286,1),"الأحد","الاثنين","الثلاثاء","الأربعاء","الخميس","الجمعة","السبت")&amp;IF(OR(ISNUMBER(A286),LEN(TRIM(A286))&gt;=10),"","  "&amp;TEXT(DAY(H286),"00")&amp;"/"&amp;TEXT(MONTH(H286),"00")&amp;"/"&amp;YEAR(H286)))</f>
        <v/>
      </c>
      <c r="C286" s="24"/>
      <c r="D286" s="27"/>
      <c r="E286" s="44"/>
      <c r="F286" s="27"/>
      <c r="G286" s="0" t="str">
        <f aca="false">IF(AND(C286&lt;&gt;"",COUNTIF(C$6:C286,C286)=1),MAX(G$5:G285)+1,"")</f>
        <v/>
      </c>
      <c r="H286" s="0" t="str">
        <f aca="true">IF(A286="","",IF(ISNUMBER(A286),IF(A286&gt;=36526,A286,""),IFERROR(DATE(VALUE(RIGHT(RIGHT(TRIM(A286),10),4)),VALUE(MID(RIGHT(TRIM(A286),10),4,2)),VALUE(LEFT(RIGHT(TRIM(A286),10),2))),IFERROR(TODAY()-MOD(WEEKDAY(TODAY(),1)-MATCH(TRIM(A286),{"الأحد","الاثنين","الثلاثاء","الأربعاء","الخميس","الجمعة","السبت"},0),7),IFERROR(DATEVALUE(A286),"")))))</f>
        <v/>
      </c>
      <c r="I286" s="0" t="str">
        <f aca="false">IF(H286="","",INT((H286-WEEK_ONE)/7)+1)</f>
        <v/>
      </c>
      <c r="J286" s="0" t="str">
        <f aca="false">IF(I286="","",IF(OR(I286&lt;1,I286&gt;NW),"",INDEX(WMON,I286)))</f>
        <v/>
      </c>
    </row>
    <row r="287" customFormat="false" ht="15" hidden="false" customHeight="false" outlineLevel="0" collapsed="false">
      <c r="A287" s="43"/>
      <c r="B287" s="23" t="str">
        <f aca="false">IF(H287="","",CHOOSE(WEEKDAY(H287,1),"الأحد","الاثنين","الثلاثاء","الأربعاء","الخميس","الجمعة","السبت")&amp;IF(OR(ISNUMBER(A287),LEN(TRIM(A287))&gt;=10),"","  "&amp;TEXT(DAY(H287),"00")&amp;"/"&amp;TEXT(MONTH(H287),"00")&amp;"/"&amp;YEAR(H287)))</f>
        <v/>
      </c>
      <c r="C287" s="24"/>
      <c r="D287" s="27"/>
      <c r="E287" s="44"/>
      <c r="F287" s="27"/>
      <c r="G287" s="0" t="str">
        <f aca="false">IF(AND(C287&lt;&gt;"",COUNTIF(C$6:C287,C287)=1),MAX(G$5:G286)+1,"")</f>
        <v/>
      </c>
      <c r="H287" s="0" t="str">
        <f aca="true">IF(A287="","",IF(ISNUMBER(A287),IF(A287&gt;=36526,A287,""),IFERROR(DATE(VALUE(RIGHT(RIGHT(TRIM(A287),10),4)),VALUE(MID(RIGHT(TRIM(A287),10),4,2)),VALUE(LEFT(RIGHT(TRIM(A287),10),2))),IFERROR(TODAY()-MOD(WEEKDAY(TODAY(),1)-MATCH(TRIM(A287),{"الأحد","الاثنين","الثلاثاء","الأربعاء","الخميس","الجمعة","السبت"},0),7),IFERROR(DATEVALUE(A287),"")))))</f>
        <v/>
      </c>
      <c r="I287" s="0" t="str">
        <f aca="false">IF(H287="","",INT((H287-WEEK_ONE)/7)+1)</f>
        <v/>
      </c>
      <c r="J287" s="0" t="str">
        <f aca="false">IF(I287="","",IF(OR(I287&lt;1,I287&gt;NW),"",INDEX(WMON,I287)))</f>
        <v/>
      </c>
    </row>
    <row r="288" customFormat="false" ht="15" hidden="false" customHeight="false" outlineLevel="0" collapsed="false">
      <c r="A288" s="43"/>
      <c r="B288" s="23" t="str">
        <f aca="false">IF(H288="","",CHOOSE(WEEKDAY(H288,1),"الأحد","الاثنين","الثلاثاء","الأربعاء","الخميس","الجمعة","السبت")&amp;IF(OR(ISNUMBER(A288),LEN(TRIM(A288))&gt;=10),"","  "&amp;TEXT(DAY(H288),"00")&amp;"/"&amp;TEXT(MONTH(H288),"00")&amp;"/"&amp;YEAR(H288)))</f>
        <v/>
      </c>
      <c r="C288" s="24"/>
      <c r="D288" s="27"/>
      <c r="E288" s="44"/>
      <c r="F288" s="27"/>
      <c r="G288" s="0" t="str">
        <f aca="false">IF(AND(C288&lt;&gt;"",COUNTIF(C$6:C288,C288)=1),MAX(G$5:G287)+1,"")</f>
        <v/>
      </c>
      <c r="H288" s="0" t="str">
        <f aca="true">IF(A288="","",IF(ISNUMBER(A288),IF(A288&gt;=36526,A288,""),IFERROR(DATE(VALUE(RIGHT(RIGHT(TRIM(A288),10),4)),VALUE(MID(RIGHT(TRIM(A288),10),4,2)),VALUE(LEFT(RIGHT(TRIM(A288),10),2))),IFERROR(TODAY()-MOD(WEEKDAY(TODAY(),1)-MATCH(TRIM(A288),{"الأحد","الاثنين","الثلاثاء","الأربعاء","الخميس","الجمعة","السبت"},0),7),IFERROR(DATEVALUE(A288),"")))))</f>
        <v/>
      </c>
      <c r="I288" s="0" t="str">
        <f aca="false">IF(H288="","",INT((H288-WEEK_ONE)/7)+1)</f>
        <v/>
      </c>
      <c r="J288" s="0" t="str">
        <f aca="false">IF(I288="","",IF(OR(I288&lt;1,I288&gt;NW),"",INDEX(WMON,I288)))</f>
        <v/>
      </c>
    </row>
    <row r="289" customFormat="false" ht="15" hidden="false" customHeight="false" outlineLevel="0" collapsed="false">
      <c r="A289" s="43"/>
      <c r="B289" s="23" t="str">
        <f aca="false">IF(H289="","",CHOOSE(WEEKDAY(H289,1),"الأحد","الاثنين","الثلاثاء","الأربعاء","الخميس","الجمعة","السبت")&amp;IF(OR(ISNUMBER(A289),LEN(TRIM(A289))&gt;=10),"","  "&amp;TEXT(DAY(H289),"00")&amp;"/"&amp;TEXT(MONTH(H289),"00")&amp;"/"&amp;YEAR(H289)))</f>
        <v/>
      </c>
      <c r="C289" s="24"/>
      <c r="D289" s="27"/>
      <c r="E289" s="44"/>
      <c r="F289" s="27"/>
      <c r="G289" s="0" t="str">
        <f aca="false">IF(AND(C289&lt;&gt;"",COUNTIF(C$6:C289,C289)=1),MAX(G$5:G288)+1,"")</f>
        <v/>
      </c>
      <c r="H289" s="0" t="str">
        <f aca="true">IF(A289="","",IF(ISNUMBER(A289),IF(A289&gt;=36526,A289,""),IFERROR(DATE(VALUE(RIGHT(RIGHT(TRIM(A289),10),4)),VALUE(MID(RIGHT(TRIM(A289),10),4,2)),VALUE(LEFT(RIGHT(TRIM(A289),10),2))),IFERROR(TODAY()-MOD(WEEKDAY(TODAY(),1)-MATCH(TRIM(A289),{"الأحد","الاثنين","الثلاثاء","الأربعاء","الخميس","الجمعة","السبت"},0),7),IFERROR(DATEVALUE(A289),"")))))</f>
        <v/>
      </c>
      <c r="I289" s="0" t="str">
        <f aca="false">IF(H289="","",INT((H289-WEEK_ONE)/7)+1)</f>
        <v/>
      </c>
      <c r="J289" s="0" t="str">
        <f aca="false">IF(I289="","",IF(OR(I289&lt;1,I289&gt;NW),"",INDEX(WMON,I289)))</f>
        <v/>
      </c>
    </row>
    <row r="290" customFormat="false" ht="15" hidden="false" customHeight="false" outlineLevel="0" collapsed="false">
      <c r="A290" s="43"/>
      <c r="B290" s="23" t="str">
        <f aca="false">IF(H290="","",CHOOSE(WEEKDAY(H290,1),"الأحد","الاثنين","الثلاثاء","الأربعاء","الخميس","الجمعة","السبت")&amp;IF(OR(ISNUMBER(A290),LEN(TRIM(A290))&gt;=10),"","  "&amp;TEXT(DAY(H290),"00")&amp;"/"&amp;TEXT(MONTH(H290),"00")&amp;"/"&amp;YEAR(H290)))</f>
        <v/>
      </c>
      <c r="C290" s="24"/>
      <c r="D290" s="27"/>
      <c r="E290" s="44"/>
      <c r="F290" s="27"/>
      <c r="G290" s="0" t="str">
        <f aca="false">IF(AND(C290&lt;&gt;"",COUNTIF(C$6:C290,C290)=1),MAX(G$5:G289)+1,"")</f>
        <v/>
      </c>
      <c r="H290" s="0" t="str">
        <f aca="true">IF(A290="","",IF(ISNUMBER(A290),IF(A290&gt;=36526,A290,""),IFERROR(DATE(VALUE(RIGHT(RIGHT(TRIM(A290),10),4)),VALUE(MID(RIGHT(TRIM(A290),10),4,2)),VALUE(LEFT(RIGHT(TRIM(A290),10),2))),IFERROR(TODAY()-MOD(WEEKDAY(TODAY(),1)-MATCH(TRIM(A290),{"الأحد","الاثنين","الثلاثاء","الأربعاء","الخميس","الجمعة","السبت"},0),7),IFERROR(DATEVALUE(A290),"")))))</f>
        <v/>
      </c>
      <c r="I290" s="0" t="str">
        <f aca="false">IF(H290="","",INT((H290-WEEK_ONE)/7)+1)</f>
        <v/>
      </c>
      <c r="J290" s="0" t="str">
        <f aca="false">IF(I290="","",IF(OR(I290&lt;1,I290&gt;NW),"",INDEX(WMON,I290)))</f>
        <v/>
      </c>
    </row>
    <row r="291" customFormat="false" ht="15" hidden="false" customHeight="false" outlineLevel="0" collapsed="false">
      <c r="A291" s="43"/>
      <c r="B291" s="23" t="str">
        <f aca="false">IF(H291="","",CHOOSE(WEEKDAY(H291,1),"الأحد","الاثنين","الثلاثاء","الأربعاء","الخميس","الجمعة","السبت")&amp;IF(OR(ISNUMBER(A291),LEN(TRIM(A291))&gt;=10),"","  "&amp;TEXT(DAY(H291),"00")&amp;"/"&amp;TEXT(MONTH(H291),"00")&amp;"/"&amp;YEAR(H291)))</f>
        <v/>
      </c>
      <c r="C291" s="24"/>
      <c r="D291" s="27"/>
      <c r="E291" s="44"/>
      <c r="F291" s="27"/>
      <c r="G291" s="0" t="str">
        <f aca="false">IF(AND(C291&lt;&gt;"",COUNTIF(C$6:C291,C291)=1),MAX(G$5:G290)+1,"")</f>
        <v/>
      </c>
      <c r="H291" s="0" t="str">
        <f aca="true">IF(A291="","",IF(ISNUMBER(A291),IF(A291&gt;=36526,A291,""),IFERROR(DATE(VALUE(RIGHT(RIGHT(TRIM(A291),10),4)),VALUE(MID(RIGHT(TRIM(A291),10),4,2)),VALUE(LEFT(RIGHT(TRIM(A291),10),2))),IFERROR(TODAY()-MOD(WEEKDAY(TODAY(),1)-MATCH(TRIM(A291),{"الأحد","الاثنين","الثلاثاء","الأربعاء","الخميس","الجمعة","السبت"},0),7),IFERROR(DATEVALUE(A291),"")))))</f>
        <v/>
      </c>
      <c r="I291" s="0" t="str">
        <f aca="false">IF(H291="","",INT((H291-WEEK_ONE)/7)+1)</f>
        <v/>
      </c>
      <c r="J291" s="0" t="str">
        <f aca="false">IF(I291="","",IF(OR(I291&lt;1,I291&gt;NW),"",INDEX(WMON,I291)))</f>
        <v/>
      </c>
    </row>
    <row r="292" customFormat="false" ht="15" hidden="false" customHeight="false" outlineLevel="0" collapsed="false">
      <c r="A292" s="43"/>
      <c r="B292" s="23" t="str">
        <f aca="false">IF(H292="","",CHOOSE(WEEKDAY(H292,1),"الأحد","الاثنين","الثلاثاء","الأربعاء","الخميس","الجمعة","السبت")&amp;IF(OR(ISNUMBER(A292),LEN(TRIM(A292))&gt;=10),"","  "&amp;TEXT(DAY(H292),"00")&amp;"/"&amp;TEXT(MONTH(H292),"00")&amp;"/"&amp;YEAR(H292)))</f>
        <v/>
      </c>
      <c r="C292" s="24"/>
      <c r="D292" s="27"/>
      <c r="E292" s="44"/>
      <c r="F292" s="27"/>
      <c r="G292" s="0" t="str">
        <f aca="false">IF(AND(C292&lt;&gt;"",COUNTIF(C$6:C292,C292)=1),MAX(G$5:G291)+1,"")</f>
        <v/>
      </c>
      <c r="H292" s="0" t="str">
        <f aca="true">IF(A292="","",IF(ISNUMBER(A292),IF(A292&gt;=36526,A292,""),IFERROR(DATE(VALUE(RIGHT(RIGHT(TRIM(A292),10),4)),VALUE(MID(RIGHT(TRIM(A292),10),4,2)),VALUE(LEFT(RIGHT(TRIM(A292),10),2))),IFERROR(TODAY()-MOD(WEEKDAY(TODAY(),1)-MATCH(TRIM(A292),{"الأحد","الاثنين","الثلاثاء","الأربعاء","الخميس","الجمعة","السبت"},0),7),IFERROR(DATEVALUE(A292),"")))))</f>
        <v/>
      </c>
      <c r="I292" s="0" t="str">
        <f aca="false">IF(H292="","",INT((H292-WEEK_ONE)/7)+1)</f>
        <v/>
      </c>
      <c r="J292" s="0" t="str">
        <f aca="false">IF(I292="","",IF(OR(I292&lt;1,I292&gt;NW),"",INDEX(WMON,I292)))</f>
        <v/>
      </c>
    </row>
    <row r="293" customFormat="false" ht="15" hidden="false" customHeight="false" outlineLevel="0" collapsed="false">
      <c r="A293" s="43"/>
      <c r="B293" s="23" t="str">
        <f aca="false">IF(H293="","",CHOOSE(WEEKDAY(H293,1),"الأحد","الاثنين","الثلاثاء","الأربعاء","الخميس","الجمعة","السبت")&amp;IF(OR(ISNUMBER(A293),LEN(TRIM(A293))&gt;=10),"","  "&amp;TEXT(DAY(H293),"00")&amp;"/"&amp;TEXT(MONTH(H293),"00")&amp;"/"&amp;YEAR(H293)))</f>
        <v/>
      </c>
      <c r="C293" s="24"/>
      <c r="D293" s="27"/>
      <c r="E293" s="44"/>
      <c r="F293" s="27"/>
      <c r="G293" s="0" t="str">
        <f aca="false">IF(AND(C293&lt;&gt;"",COUNTIF(C$6:C293,C293)=1),MAX(G$5:G292)+1,"")</f>
        <v/>
      </c>
      <c r="H293" s="0" t="str">
        <f aca="true">IF(A293="","",IF(ISNUMBER(A293),IF(A293&gt;=36526,A293,""),IFERROR(DATE(VALUE(RIGHT(RIGHT(TRIM(A293),10),4)),VALUE(MID(RIGHT(TRIM(A293),10),4,2)),VALUE(LEFT(RIGHT(TRIM(A293),10),2))),IFERROR(TODAY()-MOD(WEEKDAY(TODAY(),1)-MATCH(TRIM(A293),{"الأحد","الاثنين","الثلاثاء","الأربعاء","الخميس","الجمعة","السبت"},0),7),IFERROR(DATEVALUE(A293),"")))))</f>
        <v/>
      </c>
      <c r="I293" s="0" t="str">
        <f aca="false">IF(H293="","",INT((H293-WEEK_ONE)/7)+1)</f>
        <v/>
      </c>
      <c r="J293" s="0" t="str">
        <f aca="false">IF(I293="","",IF(OR(I293&lt;1,I293&gt;NW),"",INDEX(WMON,I293)))</f>
        <v/>
      </c>
    </row>
    <row r="294" customFormat="false" ht="15" hidden="false" customHeight="false" outlineLevel="0" collapsed="false">
      <c r="A294" s="43"/>
      <c r="B294" s="23" t="str">
        <f aca="false">IF(H294="","",CHOOSE(WEEKDAY(H294,1),"الأحد","الاثنين","الثلاثاء","الأربعاء","الخميس","الجمعة","السبت")&amp;IF(OR(ISNUMBER(A294),LEN(TRIM(A294))&gt;=10),"","  "&amp;TEXT(DAY(H294),"00")&amp;"/"&amp;TEXT(MONTH(H294),"00")&amp;"/"&amp;YEAR(H294)))</f>
        <v/>
      </c>
      <c r="C294" s="24"/>
      <c r="D294" s="27"/>
      <c r="E294" s="44"/>
      <c r="F294" s="27"/>
      <c r="G294" s="0" t="str">
        <f aca="false">IF(AND(C294&lt;&gt;"",COUNTIF(C$6:C294,C294)=1),MAX(G$5:G293)+1,"")</f>
        <v/>
      </c>
      <c r="H294" s="0" t="str">
        <f aca="true">IF(A294="","",IF(ISNUMBER(A294),IF(A294&gt;=36526,A294,""),IFERROR(DATE(VALUE(RIGHT(RIGHT(TRIM(A294),10),4)),VALUE(MID(RIGHT(TRIM(A294),10),4,2)),VALUE(LEFT(RIGHT(TRIM(A294),10),2))),IFERROR(TODAY()-MOD(WEEKDAY(TODAY(),1)-MATCH(TRIM(A294),{"الأحد","الاثنين","الثلاثاء","الأربعاء","الخميس","الجمعة","السبت"},0),7),IFERROR(DATEVALUE(A294),"")))))</f>
        <v/>
      </c>
      <c r="I294" s="0" t="str">
        <f aca="false">IF(H294="","",INT((H294-WEEK_ONE)/7)+1)</f>
        <v/>
      </c>
      <c r="J294" s="0" t="str">
        <f aca="false">IF(I294="","",IF(OR(I294&lt;1,I294&gt;NW),"",INDEX(WMON,I294)))</f>
        <v/>
      </c>
    </row>
    <row r="295" customFormat="false" ht="15" hidden="false" customHeight="false" outlineLevel="0" collapsed="false">
      <c r="A295" s="43"/>
      <c r="B295" s="23" t="str">
        <f aca="false">IF(H295="","",CHOOSE(WEEKDAY(H295,1),"الأحد","الاثنين","الثلاثاء","الأربعاء","الخميس","الجمعة","السبت")&amp;IF(OR(ISNUMBER(A295),LEN(TRIM(A295))&gt;=10),"","  "&amp;TEXT(DAY(H295),"00")&amp;"/"&amp;TEXT(MONTH(H295),"00")&amp;"/"&amp;YEAR(H295)))</f>
        <v/>
      </c>
      <c r="C295" s="24"/>
      <c r="D295" s="27"/>
      <c r="E295" s="44"/>
      <c r="F295" s="27"/>
      <c r="G295" s="0" t="str">
        <f aca="false">IF(AND(C295&lt;&gt;"",COUNTIF(C$6:C295,C295)=1),MAX(G$5:G294)+1,"")</f>
        <v/>
      </c>
      <c r="H295" s="0" t="str">
        <f aca="true">IF(A295="","",IF(ISNUMBER(A295),IF(A295&gt;=36526,A295,""),IFERROR(DATE(VALUE(RIGHT(RIGHT(TRIM(A295),10),4)),VALUE(MID(RIGHT(TRIM(A295),10),4,2)),VALUE(LEFT(RIGHT(TRIM(A295),10),2))),IFERROR(TODAY()-MOD(WEEKDAY(TODAY(),1)-MATCH(TRIM(A295),{"الأحد","الاثنين","الثلاثاء","الأربعاء","الخميس","الجمعة","السبت"},0),7),IFERROR(DATEVALUE(A295),"")))))</f>
        <v/>
      </c>
      <c r="I295" s="0" t="str">
        <f aca="false">IF(H295="","",INT((H295-WEEK_ONE)/7)+1)</f>
        <v/>
      </c>
      <c r="J295" s="0" t="str">
        <f aca="false">IF(I295="","",IF(OR(I295&lt;1,I295&gt;NW),"",INDEX(WMON,I295)))</f>
        <v/>
      </c>
    </row>
    <row r="296" customFormat="false" ht="15" hidden="false" customHeight="false" outlineLevel="0" collapsed="false">
      <c r="A296" s="43"/>
      <c r="B296" s="23" t="str">
        <f aca="false">IF(H296="","",CHOOSE(WEEKDAY(H296,1),"الأحد","الاثنين","الثلاثاء","الأربعاء","الخميس","الجمعة","السبت")&amp;IF(OR(ISNUMBER(A296),LEN(TRIM(A296))&gt;=10),"","  "&amp;TEXT(DAY(H296),"00")&amp;"/"&amp;TEXT(MONTH(H296),"00")&amp;"/"&amp;YEAR(H296)))</f>
        <v/>
      </c>
      <c r="C296" s="24"/>
      <c r="D296" s="27"/>
      <c r="E296" s="44"/>
      <c r="F296" s="27"/>
      <c r="G296" s="0" t="str">
        <f aca="false">IF(AND(C296&lt;&gt;"",COUNTIF(C$6:C296,C296)=1),MAX(G$5:G295)+1,"")</f>
        <v/>
      </c>
      <c r="H296" s="0" t="str">
        <f aca="true">IF(A296="","",IF(ISNUMBER(A296),IF(A296&gt;=36526,A296,""),IFERROR(DATE(VALUE(RIGHT(RIGHT(TRIM(A296),10),4)),VALUE(MID(RIGHT(TRIM(A296),10),4,2)),VALUE(LEFT(RIGHT(TRIM(A296),10),2))),IFERROR(TODAY()-MOD(WEEKDAY(TODAY(),1)-MATCH(TRIM(A296),{"الأحد","الاثنين","الثلاثاء","الأربعاء","الخميس","الجمعة","السبت"},0),7),IFERROR(DATEVALUE(A296),"")))))</f>
        <v/>
      </c>
      <c r="I296" s="0" t="str">
        <f aca="false">IF(H296="","",INT((H296-WEEK_ONE)/7)+1)</f>
        <v/>
      </c>
      <c r="J296" s="0" t="str">
        <f aca="false">IF(I296="","",IF(OR(I296&lt;1,I296&gt;NW),"",INDEX(WMON,I296)))</f>
        <v/>
      </c>
    </row>
    <row r="297" customFormat="false" ht="15" hidden="false" customHeight="false" outlineLevel="0" collapsed="false">
      <c r="A297" s="43"/>
      <c r="B297" s="23" t="str">
        <f aca="false">IF(H297="","",CHOOSE(WEEKDAY(H297,1),"الأحد","الاثنين","الثلاثاء","الأربعاء","الخميس","الجمعة","السبت")&amp;IF(OR(ISNUMBER(A297),LEN(TRIM(A297))&gt;=10),"","  "&amp;TEXT(DAY(H297),"00")&amp;"/"&amp;TEXT(MONTH(H297),"00")&amp;"/"&amp;YEAR(H297)))</f>
        <v/>
      </c>
      <c r="C297" s="24"/>
      <c r="D297" s="27"/>
      <c r="E297" s="44"/>
      <c r="F297" s="27"/>
      <c r="G297" s="0" t="str">
        <f aca="false">IF(AND(C297&lt;&gt;"",COUNTIF(C$6:C297,C297)=1),MAX(G$5:G296)+1,"")</f>
        <v/>
      </c>
      <c r="H297" s="0" t="str">
        <f aca="true">IF(A297="","",IF(ISNUMBER(A297),IF(A297&gt;=36526,A297,""),IFERROR(DATE(VALUE(RIGHT(RIGHT(TRIM(A297),10),4)),VALUE(MID(RIGHT(TRIM(A297),10),4,2)),VALUE(LEFT(RIGHT(TRIM(A297),10),2))),IFERROR(TODAY()-MOD(WEEKDAY(TODAY(),1)-MATCH(TRIM(A297),{"الأحد","الاثنين","الثلاثاء","الأربعاء","الخميس","الجمعة","السبت"},0),7),IFERROR(DATEVALUE(A297),"")))))</f>
        <v/>
      </c>
      <c r="I297" s="0" t="str">
        <f aca="false">IF(H297="","",INT((H297-WEEK_ONE)/7)+1)</f>
        <v/>
      </c>
      <c r="J297" s="0" t="str">
        <f aca="false">IF(I297="","",IF(OR(I297&lt;1,I297&gt;NW),"",INDEX(WMON,I297)))</f>
        <v/>
      </c>
    </row>
    <row r="298" customFormat="false" ht="15" hidden="false" customHeight="false" outlineLevel="0" collapsed="false">
      <c r="A298" s="43"/>
      <c r="B298" s="23" t="str">
        <f aca="false">IF(H298="","",CHOOSE(WEEKDAY(H298,1),"الأحد","الاثنين","الثلاثاء","الأربعاء","الخميس","الجمعة","السبت")&amp;IF(OR(ISNUMBER(A298),LEN(TRIM(A298))&gt;=10),"","  "&amp;TEXT(DAY(H298),"00")&amp;"/"&amp;TEXT(MONTH(H298),"00")&amp;"/"&amp;YEAR(H298)))</f>
        <v/>
      </c>
      <c r="C298" s="24"/>
      <c r="D298" s="27"/>
      <c r="E298" s="44"/>
      <c r="F298" s="27"/>
      <c r="G298" s="0" t="str">
        <f aca="false">IF(AND(C298&lt;&gt;"",COUNTIF(C$6:C298,C298)=1),MAX(G$5:G297)+1,"")</f>
        <v/>
      </c>
      <c r="H298" s="0" t="str">
        <f aca="true">IF(A298="","",IF(ISNUMBER(A298),IF(A298&gt;=36526,A298,""),IFERROR(DATE(VALUE(RIGHT(RIGHT(TRIM(A298),10),4)),VALUE(MID(RIGHT(TRIM(A298),10),4,2)),VALUE(LEFT(RIGHT(TRIM(A298),10),2))),IFERROR(TODAY()-MOD(WEEKDAY(TODAY(),1)-MATCH(TRIM(A298),{"الأحد","الاثنين","الثلاثاء","الأربعاء","الخميس","الجمعة","السبت"},0),7),IFERROR(DATEVALUE(A298),"")))))</f>
        <v/>
      </c>
      <c r="I298" s="0" t="str">
        <f aca="false">IF(H298="","",INT((H298-WEEK_ONE)/7)+1)</f>
        <v/>
      </c>
      <c r="J298" s="0" t="str">
        <f aca="false">IF(I298="","",IF(OR(I298&lt;1,I298&gt;NW),"",INDEX(WMON,I298)))</f>
        <v/>
      </c>
    </row>
    <row r="299" customFormat="false" ht="15" hidden="false" customHeight="false" outlineLevel="0" collapsed="false">
      <c r="A299" s="43"/>
      <c r="B299" s="23" t="str">
        <f aca="false">IF(H299="","",CHOOSE(WEEKDAY(H299,1),"الأحد","الاثنين","الثلاثاء","الأربعاء","الخميس","الجمعة","السبت")&amp;IF(OR(ISNUMBER(A299),LEN(TRIM(A299))&gt;=10),"","  "&amp;TEXT(DAY(H299),"00")&amp;"/"&amp;TEXT(MONTH(H299),"00")&amp;"/"&amp;YEAR(H299)))</f>
        <v/>
      </c>
      <c r="C299" s="24"/>
      <c r="D299" s="27"/>
      <c r="E299" s="44"/>
      <c r="F299" s="27"/>
      <c r="G299" s="0" t="str">
        <f aca="false">IF(AND(C299&lt;&gt;"",COUNTIF(C$6:C299,C299)=1),MAX(G$5:G298)+1,"")</f>
        <v/>
      </c>
      <c r="H299" s="0" t="str">
        <f aca="true">IF(A299="","",IF(ISNUMBER(A299),IF(A299&gt;=36526,A299,""),IFERROR(DATE(VALUE(RIGHT(RIGHT(TRIM(A299),10),4)),VALUE(MID(RIGHT(TRIM(A299),10),4,2)),VALUE(LEFT(RIGHT(TRIM(A299),10),2))),IFERROR(TODAY()-MOD(WEEKDAY(TODAY(),1)-MATCH(TRIM(A299),{"الأحد","الاثنين","الثلاثاء","الأربعاء","الخميس","الجمعة","السبت"},0),7),IFERROR(DATEVALUE(A299),"")))))</f>
        <v/>
      </c>
      <c r="I299" s="0" t="str">
        <f aca="false">IF(H299="","",INT((H299-WEEK_ONE)/7)+1)</f>
        <v/>
      </c>
      <c r="J299" s="0" t="str">
        <f aca="false">IF(I299="","",IF(OR(I299&lt;1,I299&gt;NW),"",INDEX(WMON,I299)))</f>
        <v/>
      </c>
    </row>
    <row r="300" customFormat="false" ht="15" hidden="false" customHeight="false" outlineLevel="0" collapsed="false">
      <c r="A300" s="43"/>
      <c r="B300" s="23" t="str">
        <f aca="false">IF(H300="","",CHOOSE(WEEKDAY(H300,1),"الأحد","الاثنين","الثلاثاء","الأربعاء","الخميس","الجمعة","السبت")&amp;IF(OR(ISNUMBER(A300),LEN(TRIM(A300))&gt;=10),"","  "&amp;TEXT(DAY(H300),"00")&amp;"/"&amp;TEXT(MONTH(H300),"00")&amp;"/"&amp;YEAR(H300)))</f>
        <v/>
      </c>
      <c r="C300" s="24"/>
      <c r="D300" s="27"/>
      <c r="E300" s="44"/>
      <c r="F300" s="27"/>
      <c r="G300" s="0" t="str">
        <f aca="false">IF(AND(C300&lt;&gt;"",COUNTIF(C$6:C300,C300)=1),MAX(G$5:G299)+1,"")</f>
        <v/>
      </c>
      <c r="H300" s="0" t="str">
        <f aca="true">IF(A300="","",IF(ISNUMBER(A300),IF(A300&gt;=36526,A300,""),IFERROR(DATE(VALUE(RIGHT(RIGHT(TRIM(A300),10),4)),VALUE(MID(RIGHT(TRIM(A300),10),4,2)),VALUE(LEFT(RIGHT(TRIM(A300),10),2))),IFERROR(TODAY()-MOD(WEEKDAY(TODAY(),1)-MATCH(TRIM(A300),{"الأحد","الاثنين","الثلاثاء","الأربعاء","الخميس","الجمعة","السبت"},0),7),IFERROR(DATEVALUE(A300),"")))))</f>
        <v/>
      </c>
      <c r="I300" s="0" t="str">
        <f aca="false">IF(H300="","",INT((H300-WEEK_ONE)/7)+1)</f>
        <v/>
      </c>
      <c r="J300" s="0" t="str">
        <f aca="false">IF(I300="","",IF(OR(I300&lt;1,I300&gt;NW),"",INDEX(WMON,I300)))</f>
        <v/>
      </c>
    </row>
    <row r="301" customFormat="false" ht="15" hidden="false" customHeight="false" outlineLevel="0" collapsed="false">
      <c r="A301" s="43"/>
      <c r="B301" s="23" t="str">
        <f aca="false">IF(H301="","",CHOOSE(WEEKDAY(H301,1),"الأحد","الاثنين","الثلاثاء","الأربعاء","الخميس","الجمعة","السبت")&amp;IF(OR(ISNUMBER(A301),LEN(TRIM(A301))&gt;=10),"","  "&amp;TEXT(DAY(H301),"00")&amp;"/"&amp;TEXT(MONTH(H301),"00")&amp;"/"&amp;YEAR(H301)))</f>
        <v/>
      </c>
      <c r="C301" s="24"/>
      <c r="D301" s="27"/>
      <c r="E301" s="44"/>
      <c r="F301" s="27"/>
      <c r="G301" s="0" t="str">
        <f aca="false">IF(AND(C301&lt;&gt;"",COUNTIF(C$6:C301,C301)=1),MAX(G$5:G300)+1,"")</f>
        <v/>
      </c>
      <c r="H301" s="0" t="str">
        <f aca="true">IF(A301="","",IF(ISNUMBER(A301),IF(A301&gt;=36526,A301,""),IFERROR(DATE(VALUE(RIGHT(RIGHT(TRIM(A301),10),4)),VALUE(MID(RIGHT(TRIM(A301),10),4,2)),VALUE(LEFT(RIGHT(TRIM(A301),10),2))),IFERROR(TODAY()-MOD(WEEKDAY(TODAY(),1)-MATCH(TRIM(A301),{"الأحد","الاثنين","الثلاثاء","الأربعاء","الخميس","الجمعة","السبت"},0),7),IFERROR(DATEVALUE(A301),"")))))</f>
        <v/>
      </c>
      <c r="I301" s="0" t="str">
        <f aca="false">IF(H301="","",INT((H301-WEEK_ONE)/7)+1)</f>
        <v/>
      </c>
      <c r="J301" s="0" t="str">
        <f aca="false">IF(I301="","",IF(OR(I301&lt;1,I301&gt;NW),"",INDEX(WMON,I301)))</f>
        <v/>
      </c>
    </row>
    <row r="302" customFormat="false" ht="15" hidden="false" customHeight="false" outlineLevel="0" collapsed="false">
      <c r="A302" s="43"/>
      <c r="B302" s="23" t="str">
        <f aca="false">IF(H302="","",CHOOSE(WEEKDAY(H302,1),"الأحد","الاثنين","الثلاثاء","الأربعاء","الخميس","الجمعة","السبت")&amp;IF(OR(ISNUMBER(A302),LEN(TRIM(A302))&gt;=10),"","  "&amp;TEXT(DAY(H302),"00")&amp;"/"&amp;TEXT(MONTH(H302),"00")&amp;"/"&amp;YEAR(H302)))</f>
        <v/>
      </c>
      <c r="C302" s="24"/>
      <c r="D302" s="27"/>
      <c r="E302" s="44"/>
      <c r="F302" s="27"/>
      <c r="G302" s="0" t="str">
        <f aca="false">IF(AND(C302&lt;&gt;"",COUNTIF(C$6:C302,C302)=1),MAX(G$5:G301)+1,"")</f>
        <v/>
      </c>
      <c r="H302" s="0" t="str">
        <f aca="true">IF(A302="","",IF(ISNUMBER(A302),IF(A302&gt;=36526,A302,""),IFERROR(DATE(VALUE(RIGHT(RIGHT(TRIM(A302),10),4)),VALUE(MID(RIGHT(TRIM(A302),10),4,2)),VALUE(LEFT(RIGHT(TRIM(A302),10),2))),IFERROR(TODAY()-MOD(WEEKDAY(TODAY(),1)-MATCH(TRIM(A302),{"الأحد","الاثنين","الثلاثاء","الأربعاء","الخميس","الجمعة","السبت"},0),7),IFERROR(DATEVALUE(A302),"")))))</f>
        <v/>
      </c>
      <c r="I302" s="0" t="str">
        <f aca="false">IF(H302="","",INT((H302-WEEK_ONE)/7)+1)</f>
        <v/>
      </c>
      <c r="J302" s="0" t="str">
        <f aca="false">IF(I302="","",IF(OR(I302&lt;1,I302&gt;NW),"",INDEX(WMON,I302)))</f>
        <v/>
      </c>
    </row>
    <row r="303" customFormat="false" ht="15" hidden="false" customHeight="false" outlineLevel="0" collapsed="false">
      <c r="A303" s="43"/>
      <c r="B303" s="23" t="str">
        <f aca="false">IF(H303="","",CHOOSE(WEEKDAY(H303,1),"الأحد","الاثنين","الثلاثاء","الأربعاء","الخميس","الجمعة","السبت")&amp;IF(OR(ISNUMBER(A303),LEN(TRIM(A303))&gt;=10),"","  "&amp;TEXT(DAY(H303),"00")&amp;"/"&amp;TEXT(MONTH(H303),"00")&amp;"/"&amp;YEAR(H303)))</f>
        <v/>
      </c>
      <c r="C303" s="24"/>
      <c r="D303" s="27"/>
      <c r="E303" s="44"/>
      <c r="F303" s="27"/>
      <c r="G303" s="0" t="str">
        <f aca="false">IF(AND(C303&lt;&gt;"",COUNTIF(C$6:C303,C303)=1),MAX(G$5:G302)+1,"")</f>
        <v/>
      </c>
      <c r="H303" s="0" t="str">
        <f aca="true">IF(A303="","",IF(ISNUMBER(A303),IF(A303&gt;=36526,A303,""),IFERROR(DATE(VALUE(RIGHT(RIGHT(TRIM(A303),10),4)),VALUE(MID(RIGHT(TRIM(A303),10),4,2)),VALUE(LEFT(RIGHT(TRIM(A303),10),2))),IFERROR(TODAY()-MOD(WEEKDAY(TODAY(),1)-MATCH(TRIM(A303),{"الأحد","الاثنين","الثلاثاء","الأربعاء","الخميس","الجمعة","السبت"},0),7),IFERROR(DATEVALUE(A303),"")))))</f>
        <v/>
      </c>
      <c r="I303" s="0" t="str">
        <f aca="false">IF(H303="","",INT((H303-WEEK_ONE)/7)+1)</f>
        <v/>
      </c>
      <c r="J303" s="0" t="str">
        <f aca="false">IF(I303="","",IF(OR(I303&lt;1,I303&gt;NW),"",INDEX(WMON,I303)))</f>
        <v/>
      </c>
    </row>
    <row r="304" customFormat="false" ht="15" hidden="false" customHeight="false" outlineLevel="0" collapsed="false">
      <c r="A304" s="43"/>
      <c r="B304" s="23" t="str">
        <f aca="false">IF(H304="","",CHOOSE(WEEKDAY(H304,1),"الأحد","الاثنين","الثلاثاء","الأربعاء","الخميس","الجمعة","السبت")&amp;IF(OR(ISNUMBER(A304),LEN(TRIM(A304))&gt;=10),"","  "&amp;TEXT(DAY(H304),"00")&amp;"/"&amp;TEXT(MONTH(H304),"00")&amp;"/"&amp;YEAR(H304)))</f>
        <v/>
      </c>
      <c r="C304" s="24"/>
      <c r="D304" s="27"/>
      <c r="E304" s="44"/>
      <c r="F304" s="27"/>
      <c r="G304" s="0" t="str">
        <f aca="false">IF(AND(C304&lt;&gt;"",COUNTIF(C$6:C304,C304)=1),MAX(G$5:G303)+1,"")</f>
        <v/>
      </c>
      <c r="H304" s="0" t="str">
        <f aca="true">IF(A304="","",IF(ISNUMBER(A304),IF(A304&gt;=36526,A304,""),IFERROR(DATE(VALUE(RIGHT(RIGHT(TRIM(A304),10),4)),VALUE(MID(RIGHT(TRIM(A304),10),4,2)),VALUE(LEFT(RIGHT(TRIM(A304),10),2))),IFERROR(TODAY()-MOD(WEEKDAY(TODAY(),1)-MATCH(TRIM(A304),{"الأحد","الاثنين","الثلاثاء","الأربعاء","الخميس","الجمعة","السبت"},0),7),IFERROR(DATEVALUE(A304),"")))))</f>
        <v/>
      </c>
      <c r="I304" s="0" t="str">
        <f aca="false">IF(H304="","",INT((H304-WEEK_ONE)/7)+1)</f>
        <v/>
      </c>
      <c r="J304" s="0" t="str">
        <f aca="false">IF(I304="","",IF(OR(I304&lt;1,I304&gt;NW),"",INDEX(WMON,I304)))</f>
        <v/>
      </c>
    </row>
    <row r="305" customFormat="false" ht="15" hidden="false" customHeight="false" outlineLevel="0" collapsed="false">
      <c r="A305" s="43"/>
      <c r="B305" s="23" t="str">
        <f aca="false">IF(H305="","",CHOOSE(WEEKDAY(H305,1),"الأحد","الاثنين","الثلاثاء","الأربعاء","الخميس","الجمعة","السبت")&amp;IF(OR(ISNUMBER(A305),LEN(TRIM(A305))&gt;=10),"","  "&amp;TEXT(DAY(H305),"00")&amp;"/"&amp;TEXT(MONTH(H305),"00")&amp;"/"&amp;YEAR(H305)))</f>
        <v/>
      </c>
      <c r="C305" s="24"/>
      <c r="D305" s="27"/>
      <c r="E305" s="44"/>
      <c r="F305" s="27"/>
      <c r="G305" s="0" t="str">
        <f aca="false">IF(AND(C305&lt;&gt;"",COUNTIF(C$6:C305,C305)=1),MAX(G$5:G304)+1,"")</f>
        <v/>
      </c>
      <c r="H305" s="0" t="str">
        <f aca="true">IF(A305="","",IF(ISNUMBER(A305),IF(A305&gt;=36526,A305,""),IFERROR(DATE(VALUE(RIGHT(RIGHT(TRIM(A305),10),4)),VALUE(MID(RIGHT(TRIM(A305),10),4,2)),VALUE(LEFT(RIGHT(TRIM(A305),10),2))),IFERROR(TODAY()-MOD(WEEKDAY(TODAY(),1)-MATCH(TRIM(A305),{"الأحد","الاثنين","الثلاثاء","الأربعاء","الخميس","الجمعة","السبت"},0),7),IFERROR(DATEVALUE(A305),"")))))</f>
        <v/>
      </c>
      <c r="I305" s="0" t="str">
        <f aca="false">IF(H305="","",INT((H305-WEEK_ONE)/7)+1)</f>
        <v/>
      </c>
      <c r="J305" s="0" t="str">
        <f aca="false">IF(I305="","",IF(OR(I305&lt;1,I305&gt;NW),"",INDEX(WMON,I305)))</f>
        <v/>
      </c>
    </row>
    <row r="306" customFormat="false" ht="15" hidden="false" customHeight="false" outlineLevel="0" collapsed="false">
      <c r="A306" s="43"/>
      <c r="B306" s="23" t="str">
        <f aca="false">IF(H306="","",CHOOSE(WEEKDAY(H306,1),"الأحد","الاثنين","الثلاثاء","الأربعاء","الخميس","الجمعة","السبت")&amp;IF(OR(ISNUMBER(A306),LEN(TRIM(A306))&gt;=10),"","  "&amp;TEXT(DAY(H306),"00")&amp;"/"&amp;TEXT(MONTH(H306),"00")&amp;"/"&amp;YEAR(H306)))</f>
        <v/>
      </c>
      <c r="C306" s="24"/>
      <c r="D306" s="27"/>
      <c r="E306" s="44"/>
      <c r="F306" s="27"/>
      <c r="G306" s="0" t="str">
        <f aca="false">IF(AND(C306&lt;&gt;"",COUNTIF(C$6:C306,C306)=1),MAX(G$5:G305)+1,"")</f>
        <v/>
      </c>
      <c r="H306" s="0" t="str">
        <f aca="true">IF(A306="","",IF(ISNUMBER(A306),IF(A306&gt;=36526,A306,""),IFERROR(DATE(VALUE(RIGHT(RIGHT(TRIM(A306),10),4)),VALUE(MID(RIGHT(TRIM(A306),10),4,2)),VALUE(LEFT(RIGHT(TRIM(A306),10),2))),IFERROR(TODAY()-MOD(WEEKDAY(TODAY(),1)-MATCH(TRIM(A306),{"الأحد","الاثنين","الثلاثاء","الأربعاء","الخميس","الجمعة","السبت"},0),7),IFERROR(DATEVALUE(A306),"")))))</f>
        <v/>
      </c>
      <c r="I306" s="0" t="str">
        <f aca="false">IF(H306="","",INT((H306-WEEK_ONE)/7)+1)</f>
        <v/>
      </c>
      <c r="J306" s="0" t="str">
        <f aca="false">IF(I306="","",IF(OR(I306&lt;1,I306&gt;NW),"",INDEX(WMON,I306)))</f>
        <v/>
      </c>
    </row>
    <row r="307" customFormat="false" ht="15" hidden="false" customHeight="false" outlineLevel="0" collapsed="false">
      <c r="A307" s="43"/>
      <c r="B307" s="23" t="str">
        <f aca="false">IF(H307="","",CHOOSE(WEEKDAY(H307,1),"الأحد","الاثنين","الثلاثاء","الأربعاء","الخميس","الجمعة","السبت")&amp;IF(OR(ISNUMBER(A307),LEN(TRIM(A307))&gt;=10),"","  "&amp;TEXT(DAY(H307),"00")&amp;"/"&amp;TEXT(MONTH(H307),"00")&amp;"/"&amp;YEAR(H307)))</f>
        <v/>
      </c>
      <c r="C307" s="24"/>
      <c r="D307" s="27"/>
      <c r="E307" s="44"/>
      <c r="F307" s="27"/>
      <c r="G307" s="0" t="str">
        <f aca="false">IF(AND(C307&lt;&gt;"",COUNTIF(C$6:C307,C307)=1),MAX(G$5:G306)+1,"")</f>
        <v/>
      </c>
      <c r="H307" s="0" t="str">
        <f aca="true">IF(A307="","",IF(ISNUMBER(A307),IF(A307&gt;=36526,A307,""),IFERROR(DATE(VALUE(RIGHT(RIGHT(TRIM(A307),10),4)),VALUE(MID(RIGHT(TRIM(A307),10),4,2)),VALUE(LEFT(RIGHT(TRIM(A307),10),2))),IFERROR(TODAY()-MOD(WEEKDAY(TODAY(),1)-MATCH(TRIM(A307),{"الأحد","الاثنين","الثلاثاء","الأربعاء","الخميس","الجمعة","السبت"},0),7),IFERROR(DATEVALUE(A307),"")))))</f>
        <v/>
      </c>
      <c r="I307" s="0" t="str">
        <f aca="false">IF(H307="","",INT((H307-WEEK_ONE)/7)+1)</f>
        <v/>
      </c>
      <c r="J307" s="0" t="str">
        <f aca="false">IF(I307="","",IF(OR(I307&lt;1,I307&gt;NW),"",INDEX(WMON,I307)))</f>
        <v/>
      </c>
    </row>
    <row r="308" customFormat="false" ht="15" hidden="false" customHeight="false" outlineLevel="0" collapsed="false">
      <c r="A308" s="43"/>
      <c r="B308" s="23" t="str">
        <f aca="false">IF(H308="","",CHOOSE(WEEKDAY(H308,1),"الأحد","الاثنين","الثلاثاء","الأربعاء","الخميس","الجمعة","السبت")&amp;IF(OR(ISNUMBER(A308),LEN(TRIM(A308))&gt;=10),"","  "&amp;TEXT(DAY(H308),"00")&amp;"/"&amp;TEXT(MONTH(H308),"00")&amp;"/"&amp;YEAR(H308)))</f>
        <v/>
      </c>
      <c r="C308" s="24"/>
      <c r="D308" s="27"/>
      <c r="E308" s="44"/>
      <c r="F308" s="27"/>
      <c r="G308" s="0" t="str">
        <f aca="false">IF(AND(C308&lt;&gt;"",COUNTIF(C$6:C308,C308)=1),MAX(G$5:G307)+1,"")</f>
        <v/>
      </c>
      <c r="H308" s="0" t="str">
        <f aca="true">IF(A308="","",IF(ISNUMBER(A308),IF(A308&gt;=36526,A308,""),IFERROR(DATE(VALUE(RIGHT(RIGHT(TRIM(A308),10),4)),VALUE(MID(RIGHT(TRIM(A308),10),4,2)),VALUE(LEFT(RIGHT(TRIM(A308),10),2))),IFERROR(TODAY()-MOD(WEEKDAY(TODAY(),1)-MATCH(TRIM(A308),{"الأحد","الاثنين","الثلاثاء","الأربعاء","الخميس","الجمعة","السبت"},0),7),IFERROR(DATEVALUE(A308),"")))))</f>
        <v/>
      </c>
      <c r="I308" s="0" t="str">
        <f aca="false">IF(H308="","",INT((H308-WEEK_ONE)/7)+1)</f>
        <v/>
      </c>
      <c r="J308" s="0" t="str">
        <f aca="false">IF(I308="","",IF(OR(I308&lt;1,I308&gt;NW),"",INDEX(WMON,I308)))</f>
        <v/>
      </c>
    </row>
    <row r="309" customFormat="false" ht="15" hidden="false" customHeight="false" outlineLevel="0" collapsed="false">
      <c r="A309" s="43"/>
      <c r="B309" s="23" t="str">
        <f aca="false">IF(H309="","",CHOOSE(WEEKDAY(H309,1),"الأحد","الاثنين","الثلاثاء","الأربعاء","الخميس","الجمعة","السبت")&amp;IF(OR(ISNUMBER(A309),LEN(TRIM(A309))&gt;=10),"","  "&amp;TEXT(DAY(H309),"00")&amp;"/"&amp;TEXT(MONTH(H309),"00")&amp;"/"&amp;YEAR(H309)))</f>
        <v/>
      </c>
      <c r="C309" s="24"/>
      <c r="D309" s="27"/>
      <c r="E309" s="44"/>
      <c r="F309" s="27"/>
      <c r="G309" s="0" t="str">
        <f aca="false">IF(AND(C309&lt;&gt;"",COUNTIF(C$6:C309,C309)=1),MAX(G$5:G308)+1,"")</f>
        <v/>
      </c>
      <c r="H309" s="0" t="str">
        <f aca="true">IF(A309="","",IF(ISNUMBER(A309),IF(A309&gt;=36526,A309,""),IFERROR(DATE(VALUE(RIGHT(RIGHT(TRIM(A309),10),4)),VALUE(MID(RIGHT(TRIM(A309),10),4,2)),VALUE(LEFT(RIGHT(TRIM(A309),10),2))),IFERROR(TODAY()-MOD(WEEKDAY(TODAY(),1)-MATCH(TRIM(A309),{"الأحد","الاثنين","الثلاثاء","الأربعاء","الخميس","الجمعة","السبت"},0),7),IFERROR(DATEVALUE(A309),"")))))</f>
        <v/>
      </c>
      <c r="I309" s="0" t="str">
        <f aca="false">IF(H309="","",INT((H309-WEEK_ONE)/7)+1)</f>
        <v/>
      </c>
      <c r="J309" s="0" t="str">
        <f aca="false">IF(I309="","",IF(OR(I309&lt;1,I309&gt;NW),"",INDEX(WMON,I309)))</f>
        <v/>
      </c>
    </row>
    <row r="310" customFormat="false" ht="15" hidden="false" customHeight="false" outlineLevel="0" collapsed="false">
      <c r="A310" s="43"/>
      <c r="B310" s="23" t="str">
        <f aca="false">IF(H310="","",CHOOSE(WEEKDAY(H310,1),"الأحد","الاثنين","الثلاثاء","الأربعاء","الخميس","الجمعة","السبت")&amp;IF(OR(ISNUMBER(A310),LEN(TRIM(A310))&gt;=10),"","  "&amp;TEXT(DAY(H310),"00")&amp;"/"&amp;TEXT(MONTH(H310),"00")&amp;"/"&amp;YEAR(H310)))</f>
        <v/>
      </c>
      <c r="C310" s="24"/>
      <c r="D310" s="27"/>
      <c r="E310" s="44"/>
      <c r="F310" s="27"/>
      <c r="G310" s="0" t="str">
        <f aca="false">IF(AND(C310&lt;&gt;"",COUNTIF(C$6:C310,C310)=1),MAX(G$5:G309)+1,"")</f>
        <v/>
      </c>
      <c r="H310" s="0" t="str">
        <f aca="true">IF(A310="","",IF(ISNUMBER(A310),IF(A310&gt;=36526,A310,""),IFERROR(DATE(VALUE(RIGHT(RIGHT(TRIM(A310),10),4)),VALUE(MID(RIGHT(TRIM(A310),10),4,2)),VALUE(LEFT(RIGHT(TRIM(A310),10),2))),IFERROR(TODAY()-MOD(WEEKDAY(TODAY(),1)-MATCH(TRIM(A310),{"الأحد","الاثنين","الثلاثاء","الأربعاء","الخميس","الجمعة","السبت"},0),7),IFERROR(DATEVALUE(A310),"")))))</f>
        <v/>
      </c>
      <c r="I310" s="0" t="str">
        <f aca="false">IF(H310="","",INT((H310-WEEK_ONE)/7)+1)</f>
        <v/>
      </c>
      <c r="J310" s="0" t="str">
        <f aca="false">IF(I310="","",IF(OR(I310&lt;1,I310&gt;NW),"",INDEX(WMON,I310)))</f>
        <v/>
      </c>
    </row>
    <row r="311" customFormat="false" ht="15" hidden="false" customHeight="false" outlineLevel="0" collapsed="false">
      <c r="A311" s="43"/>
      <c r="B311" s="23" t="str">
        <f aca="false">IF(H311="","",CHOOSE(WEEKDAY(H311,1),"الأحد","الاثنين","الثلاثاء","الأربعاء","الخميس","الجمعة","السبت")&amp;IF(OR(ISNUMBER(A311),LEN(TRIM(A311))&gt;=10),"","  "&amp;TEXT(DAY(H311),"00")&amp;"/"&amp;TEXT(MONTH(H311),"00")&amp;"/"&amp;YEAR(H311)))</f>
        <v/>
      </c>
      <c r="C311" s="24"/>
      <c r="D311" s="27"/>
      <c r="E311" s="44"/>
      <c r="F311" s="27"/>
      <c r="G311" s="0" t="str">
        <f aca="false">IF(AND(C311&lt;&gt;"",COUNTIF(C$6:C311,C311)=1),MAX(G$5:G310)+1,"")</f>
        <v/>
      </c>
      <c r="H311" s="0" t="str">
        <f aca="true">IF(A311="","",IF(ISNUMBER(A311),IF(A311&gt;=36526,A311,""),IFERROR(DATE(VALUE(RIGHT(RIGHT(TRIM(A311),10),4)),VALUE(MID(RIGHT(TRIM(A311),10),4,2)),VALUE(LEFT(RIGHT(TRIM(A311),10),2))),IFERROR(TODAY()-MOD(WEEKDAY(TODAY(),1)-MATCH(TRIM(A311),{"الأحد","الاثنين","الثلاثاء","الأربعاء","الخميس","الجمعة","السبت"},0),7),IFERROR(DATEVALUE(A311),"")))))</f>
        <v/>
      </c>
      <c r="I311" s="0" t="str">
        <f aca="false">IF(H311="","",INT((H311-WEEK_ONE)/7)+1)</f>
        <v/>
      </c>
      <c r="J311" s="0" t="str">
        <f aca="false">IF(I311="","",IF(OR(I311&lt;1,I311&gt;NW),"",INDEX(WMON,I311)))</f>
        <v/>
      </c>
    </row>
    <row r="312" customFormat="false" ht="15" hidden="false" customHeight="false" outlineLevel="0" collapsed="false">
      <c r="A312" s="43"/>
      <c r="B312" s="23" t="str">
        <f aca="false">IF(H312="","",CHOOSE(WEEKDAY(H312,1),"الأحد","الاثنين","الثلاثاء","الأربعاء","الخميس","الجمعة","السبت")&amp;IF(OR(ISNUMBER(A312),LEN(TRIM(A312))&gt;=10),"","  "&amp;TEXT(DAY(H312),"00")&amp;"/"&amp;TEXT(MONTH(H312),"00")&amp;"/"&amp;YEAR(H312)))</f>
        <v/>
      </c>
      <c r="C312" s="24"/>
      <c r="D312" s="27"/>
      <c r="E312" s="44"/>
      <c r="F312" s="27"/>
      <c r="G312" s="0" t="str">
        <f aca="false">IF(AND(C312&lt;&gt;"",COUNTIF(C$6:C312,C312)=1),MAX(G$5:G311)+1,"")</f>
        <v/>
      </c>
      <c r="H312" s="0" t="str">
        <f aca="true">IF(A312="","",IF(ISNUMBER(A312),IF(A312&gt;=36526,A312,""),IFERROR(DATE(VALUE(RIGHT(RIGHT(TRIM(A312),10),4)),VALUE(MID(RIGHT(TRIM(A312),10),4,2)),VALUE(LEFT(RIGHT(TRIM(A312),10),2))),IFERROR(TODAY()-MOD(WEEKDAY(TODAY(),1)-MATCH(TRIM(A312),{"الأحد","الاثنين","الثلاثاء","الأربعاء","الخميس","الجمعة","السبت"},0),7),IFERROR(DATEVALUE(A312),"")))))</f>
        <v/>
      </c>
      <c r="I312" s="0" t="str">
        <f aca="false">IF(H312="","",INT((H312-WEEK_ONE)/7)+1)</f>
        <v/>
      </c>
      <c r="J312" s="0" t="str">
        <f aca="false">IF(I312="","",IF(OR(I312&lt;1,I312&gt;NW),"",INDEX(WMON,I312)))</f>
        <v/>
      </c>
    </row>
    <row r="313" customFormat="false" ht="15" hidden="false" customHeight="false" outlineLevel="0" collapsed="false">
      <c r="A313" s="43"/>
      <c r="B313" s="23" t="str">
        <f aca="false">IF(H313="","",CHOOSE(WEEKDAY(H313,1),"الأحد","الاثنين","الثلاثاء","الأربعاء","الخميس","الجمعة","السبت")&amp;IF(OR(ISNUMBER(A313),LEN(TRIM(A313))&gt;=10),"","  "&amp;TEXT(DAY(H313),"00")&amp;"/"&amp;TEXT(MONTH(H313),"00")&amp;"/"&amp;YEAR(H313)))</f>
        <v/>
      </c>
      <c r="C313" s="24"/>
      <c r="D313" s="27"/>
      <c r="E313" s="44"/>
      <c r="F313" s="27"/>
      <c r="G313" s="0" t="str">
        <f aca="false">IF(AND(C313&lt;&gt;"",COUNTIF(C$6:C313,C313)=1),MAX(G$5:G312)+1,"")</f>
        <v/>
      </c>
      <c r="H313" s="0" t="str">
        <f aca="true">IF(A313="","",IF(ISNUMBER(A313),IF(A313&gt;=36526,A313,""),IFERROR(DATE(VALUE(RIGHT(RIGHT(TRIM(A313),10),4)),VALUE(MID(RIGHT(TRIM(A313),10),4,2)),VALUE(LEFT(RIGHT(TRIM(A313),10),2))),IFERROR(TODAY()-MOD(WEEKDAY(TODAY(),1)-MATCH(TRIM(A313),{"الأحد","الاثنين","الثلاثاء","الأربعاء","الخميس","الجمعة","السبت"},0),7),IFERROR(DATEVALUE(A313),"")))))</f>
        <v/>
      </c>
      <c r="I313" s="0" t="str">
        <f aca="false">IF(H313="","",INT((H313-WEEK_ONE)/7)+1)</f>
        <v/>
      </c>
      <c r="J313" s="0" t="str">
        <f aca="false">IF(I313="","",IF(OR(I313&lt;1,I313&gt;NW),"",INDEX(WMON,I313)))</f>
        <v/>
      </c>
    </row>
    <row r="314" customFormat="false" ht="15" hidden="false" customHeight="false" outlineLevel="0" collapsed="false">
      <c r="A314" s="43"/>
      <c r="B314" s="23" t="str">
        <f aca="false">IF(H314="","",CHOOSE(WEEKDAY(H314,1),"الأحد","الاثنين","الثلاثاء","الأربعاء","الخميس","الجمعة","السبت")&amp;IF(OR(ISNUMBER(A314),LEN(TRIM(A314))&gt;=10),"","  "&amp;TEXT(DAY(H314),"00")&amp;"/"&amp;TEXT(MONTH(H314),"00")&amp;"/"&amp;YEAR(H314)))</f>
        <v/>
      </c>
      <c r="C314" s="24"/>
      <c r="D314" s="27"/>
      <c r="E314" s="44"/>
      <c r="F314" s="27"/>
      <c r="G314" s="0" t="str">
        <f aca="false">IF(AND(C314&lt;&gt;"",COUNTIF(C$6:C314,C314)=1),MAX(G$5:G313)+1,"")</f>
        <v/>
      </c>
      <c r="H314" s="0" t="str">
        <f aca="true">IF(A314="","",IF(ISNUMBER(A314),IF(A314&gt;=36526,A314,""),IFERROR(DATE(VALUE(RIGHT(RIGHT(TRIM(A314),10),4)),VALUE(MID(RIGHT(TRIM(A314),10),4,2)),VALUE(LEFT(RIGHT(TRIM(A314),10),2))),IFERROR(TODAY()-MOD(WEEKDAY(TODAY(),1)-MATCH(TRIM(A314),{"الأحد","الاثنين","الثلاثاء","الأربعاء","الخميس","الجمعة","السبت"},0),7),IFERROR(DATEVALUE(A314),"")))))</f>
        <v/>
      </c>
      <c r="I314" s="0" t="str">
        <f aca="false">IF(H314="","",INT((H314-WEEK_ONE)/7)+1)</f>
        <v/>
      </c>
      <c r="J314" s="0" t="str">
        <f aca="false">IF(I314="","",IF(OR(I314&lt;1,I314&gt;NW),"",INDEX(WMON,I314)))</f>
        <v/>
      </c>
    </row>
    <row r="315" customFormat="false" ht="15" hidden="false" customHeight="false" outlineLevel="0" collapsed="false">
      <c r="A315" s="43"/>
      <c r="B315" s="23" t="str">
        <f aca="false">IF(H315="","",CHOOSE(WEEKDAY(H315,1),"الأحد","الاثنين","الثلاثاء","الأربعاء","الخميس","الجمعة","السبت")&amp;IF(OR(ISNUMBER(A315),LEN(TRIM(A315))&gt;=10),"","  "&amp;TEXT(DAY(H315),"00")&amp;"/"&amp;TEXT(MONTH(H315),"00")&amp;"/"&amp;YEAR(H315)))</f>
        <v/>
      </c>
      <c r="C315" s="24"/>
      <c r="D315" s="27"/>
      <c r="E315" s="44"/>
      <c r="F315" s="27"/>
      <c r="G315" s="0" t="str">
        <f aca="false">IF(AND(C315&lt;&gt;"",COUNTIF(C$6:C315,C315)=1),MAX(G$5:G314)+1,"")</f>
        <v/>
      </c>
      <c r="H315" s="0" t="str">
        <f aca="true">IF(A315="","",IF(ISNUMBER(A315),IF(A315&gt;=36526,A315,""),IFERROR(DATE(VALUE(RIGHT(RIGHT(TRIM(A315),10),4)),VALUE(MID(RIGHT(TRIM(A315),10),4,2)),VALUE(LEFT(RIGHT(TRIM(A315),10),2))),IFERROR(TODAY()-MOD(WEEKDAY(TODAY(),1)-MATCH(TRIM(A315),{"الأحد","الاثنين","الثلاثاء","الأربعاء","الخميس","الجمعة","السبت"},0),7),IFERROR(DATEVALUE(A315),"")))))</f>
        <v/>
      </c>
      <c r="I315" s="0" t="str">
        <f aca="false">IF(H315="","",INT((H315-WEEK_ONE)/7)+1)</f>
        <v/>
      </c>
      <c r="J315" s="0" t="str">
        <f aca="false">IF(I315="","",IF(OR(I315&lt;1,I315&gt;NW),"",INDEX(WMON,I315)))</f>
        <v/>
      </c>
    </row>
    <row r="316" customFormat="false" ht="15" hidden="false" customHeight="false" outlineLevel="0" collapsed="false">
      <c r="A316" s="43"/>
      <c r="B316" s="23" t="str">
        <f aca="false">IF(H316="","",CHOOSE(WEEKDAY(H316,1),"الأحد","الاثنين","الثلاثاء","الأربعاء","الخميس","الجمعة","السبت")&amp;IF(OR(ISNUMBER(A316),LEN(TRIM(A316))&gt;=10),"","  "&amp;TEXT(DAY(H316),"00")&amp;"/"&amp;TEXT(MONTH(H316),"00")&amp;"/"&amp;YEAR(H316)))</f>
        <v/>
      </c>
      <c r="C316" s="24"/>
      <c r="D316" s="27"/>
      <c r="E316" s="44"/>
      <c r="F316" s="27"/>
      <c r="G316" s="0" t="str">
        <f aca="false">IF(AND(C316&lt;&gt;"",COUNTIF(C$6:C316,C316)=1),MAX(G$5:G315)+1,"")</f>
        <v/>
      </c>
      <c r="H316" s="0" t="str">
        <f aca="true">IF(A316="","",IF(ISNUMBER(A316),IF(A316&gt;=36526,A316,""),IFERROR(DATE(VALUE(RIGHT(RIGHT(TRIM(A316),10),4)),VALUE(MID(RIGHT(TRIM(A316),10),4,2)),VALUE(LEFT(RIGHT(TRIM(A316),10),2))),IFERROR(TODAY()-MOD(WEEKDAY(TODAY(),1)-MATCH(TRIM(A316),{"الأحد","الاثنين","الثلاثاء","الأربعاء","الخميس","الجمعة","السبت"},0),7),IFERROR(DATEVALUE(A316),"")))))</f>
        <v/>
      </c>
      <c r="I316" s="0" t="str">
        <f aca="false">IF(H316="","",INT((H316-WEEK_ONE)/7)+1)</f>
        <v/>
      </c>
      <c r="J316" s="0" t="str">
        <f aca="false">IF(I316="","",IF(OR(I316&lt;1,I316&gt;NW),"",INDEX(WMON,I316)))</f>
        <v/>
      </c>
    </row>
    <row r="317" customFormat="false" ht="15" hidden="false" customHeight="false" outlineLevel="0" collapsed="false">
      <c r="A317" s="43"/>
      <c r="B317" s="23" t="str">
        <f aca="false">IF(H317="","",CHOOSE(WEEKDAY(H317,1),"الأحد","الاثنين","الثلاثاء","الأربعاء","الخميس","الجمعة","السبت")&amp;IF(OR(ISNUMBER(A317),LEN(TRIM(A317))&gt;=10),"","  "&amp;TEXT(DAY(H317),"00")&amp;"/"&amp;TEXT(MONTH(H317),"00")&amp;"/"&amp;YEAR(H317)))</f>
        <v/>
      </c>
      <c r="C317" s="24"/>
      <c r="D317" s="27"/>
      <c r="E317" s="44"/>
      <c r="F317" s="27"/>
      <c r="G317" s="0" t="str">
        <f aca="false">IF(AND(C317&lt;&gt;"",COUNTIF(C$6:C317,C317)=1),MAX(G$5:G316)+1,"")</f>
        <v/>
      </c>
      <c r="H317" s="0" t="str">
        <f aca="true">IF(A317="","",IF(ISNUMBER(A317),IF(A317&gt;=36526,A317,""),IFERROR(DATE(VALUE(RIGHT(RIGHT(TRIM(A317),10),4)),VALUE(MID(RIGHT(TRIM(A317),10),4,2)),VALUE(LEFT(RIGHT(TRIM(A317),10),2))),IFERROR(TODAY()-MOD(WEEKDAY(TODAY(),1)-MATCH(TRIM(A317),{"الأحد","الاثنين","الثلاثاء","الأربعاء","الخميس","الجمعة","السبت"},0),7),IFERROR(DATEVALUE(A317),"")))))</f>
        <v/>
      </c>
      <c r="I317" s="0" t="str">
        <f aca="false">IF(H317="","",INT((H317-WEEK_ONE)/7)+1)</f>
        <v/>
      </c>
      <c r="J317" s="0" t="str">
        <f aca="false">IF(I317="","",IF(OR(I317&lt;1,I317&gt;NW),"",INDEX(WMON,I317)))</f>
        <v/>
      </c>
    </row>
    <row r="318" customFormat="false" ht="15" hidden="false" customHeight="false" outlineLevel="0" collapsed="false">
      <c r="A318" s="43"/>
      <c r="B318" s="23" t="str">
        <f aca="false">IF(H318="","",CHOOSE(WEEKDAY(H318,1),"الأحد","الاثنين","الثلاثاء","الأربعاء","الخميس","الجمعة","السبت")&amp;IF(OR(ISNUMBER(A318),LEN(TRIM(A318))&gt;=10),"","  "&amp;TEXT(DAY(H318),"00")&amp;"/"&amp;TEXT(MONTH(H318),"00")&amp;"/"&amp;YEAR(H318)))</f>
        <v/>
      </c>
      <c r="C318" s="24"/>
      <c r="D318" s="27"/>
      <c r="E318" s="44"/>
      <c r="F318" s="27"/>
      <c r="G318" s="0" t="str">
        <f aca="false">IF(AND(C318&lt;&gt;"",COUNTIF(C$6:C318,C318)=1),MAX(G$5:G317)+1,"")</f>
        <v/>
      </c>
      <c r="H318" s="0" t="str">
        <f aca="true">IF(A318="","",IF(ISNUMBER(A318),IF(A318&gt;=36526,A318,""),IFERROR(DATE(VALUE(RIGHT(RIGHT(TRIM(A318),10),4)),VALUE(MID(RIGHT(TRIM(A318),10),4,2)),VALUE(LEFT(RIGHT(TRIM(A318),10),2))),IFERROR(TODAY()-MOD(WEEKDAY(TODAY(),1)-MATCH(TRIM(A318),{"الأحد","الاثنين","الثلاثاء","الأربعاء","الخميس","الجمعة","السبت"},0),7),IFERROR(DATEVALUE(A318),"")))))</f>
        <v/>
      </c>
      <c r="I318" s="0" t="str">
        <f aca="false">IF(H318="","",INT((H318-WEEK_ONE)/7)+1)</f>
        <v/>
      </c>
      <c r="J318" s="0" t="str">
        <f aca="false">IF(I318="","",IF(OR(I318&lt;1,I318&gt;NW),"",INDEX(WMON,I318)))</f>
        <v/>
      </c>
    </row>
    <row r="319" customFormat="false" ht="15" hidden="false" customHeight="false" outlineLevel="0" collapsed="false">
      <c r="A319" s="43"/>
      <c r="B319" s="23" t="str">
        <f aca="false">IF(H319="","",CHOOSE(WEEKDAY(H319,1),"الأحد","الاثنين","الثلاثاء","الأربعاء","الخميس","الجمعة","السبت")&amp;IF(OR(ISNUMBER(A319),LEN(TRIM(A319))&gt;=10),"","  "&amp;TEXT(DAY(H319),"00")&amp;"/"&amp;TEXT(MONTH(H319),"00")&amp;"/"&amp;YEAR(H319)))</f>
        <v/>
      </c>
      <c r="C319" s="24"/>
      <c r="D319" s="27"/>
      <c r="E319" s="44"/>
      <c r="F319" s="27"/>
      <c r="G319" s="0" t="str">
        <f aca="false">IF(AND(C319&lt;&gt;"",COUNTIF(C$6:C319,C319)=1),MAX(G$5:G318)+1,"")</f>
        <v/>
      </c>
      <c r="H319" s="0" t="str">
        <f aca="true">IF(A319="","",IF(ISNUMBER(A319),IF(A319&gt;=36526,A319,""),IFERROR(DATE(VALUE(RIGHT(RIGHT(TRIM(A319),10),4)),VALUE(MID(RIGHT(TRIM(A319),10),4,2)),VALUE(LEFT(RIGHT(TRIM(A319),10),2))),IFERROR(TODAY()-MOD(WEEKDAY(TODAY(),1)-MATCH(TRIM(A319),{"الأحد","الاثنين","الثلاثاء","الأربعاء","الخميس","الجمعة","السبت"},0),7),IFERROR(DATEVALUE(A319),"")))))</f>
        <v/>
      </c>
      <c r="I319" s="0" t="str">
        <f aca="false">IF(H319="","",INT((H319-WEEK_ONE)/7)+1)</f>
        <v/>
      </c>
      <c r="J319" s="0" t="str">
        <f aca="false">IF(I319="","",IF(OR(I319&lt;1,I319&gt;NW),"",INDEX(WMON,I319)))</f>
        <v/>
      </c>
    </row>
    <row r="320" customFormat="false" ht="15" hidden="false" customHeight="false" outlineLevel="0" collapsed="false">
      <c r="A320" s="43"/>
      <c r="B320" s="23" t="str">
        <f aca="false">IF(H320="","",CHOOSE(WEEKDAY(H320,1),"الأحد","الاثنين","الثلاثاء","الأربعاء","الخميس","الجمعة","السبت")&amp;IF(OR(ISNUMBER(A320),LEN(TRIM(A320))&gt;=10),"","  "&amp;TEXT(DAY(H320),"00")&amp;"/"&amp;TEXT(MONTH(H320),"00")&amp;"/"&amp;YEAR(H320)))</f>
        <v/>
      </c>
      <c r="C320" s="24"/>
      <c r="D320" s="27"/>
      <c r="E320" s="44"/>
      <c r="F320" s="27"/>
      <c r="G320" s="0" t="str">
        <f aca="false">IF(AND(C320&lt;&gt;"",COUNTIF(C$6:C320,C320)=1),MAX(G$5:G319)+1,"")</f>
        <v/>
      </c>
      <c r="H320" s="0" t="str">
        <f aca="true">IF(A320="","",IF(ISNUMBER(A320),IF(A320&gt;=36526,A320,""),IFERROR(DATE(VALUE(RIGHT(RIGHT(TRIM(A320),10),4)),VALUE(MID(RIGHT(TRIM(A320),10),4,2)),VALUE(LEFT(RIGHT(TRIM(A320),10),2))),IFERROR(TODAY()-MOD(WEEKDAY(TODAY(),1)-MATCH(TRIM(A320),{"الأحد","الاثنين","الثلاثاء","الأربعاء","الخميس","الجمعة","السبت"},0),7),IFERROR(DATEVALUE(A320),"")))))</f>
        <v/>
      </c>
      <c r="I320" s="0" t="str">
        <f aca="false">IF(H320="","",INT((H320-WEEK_ONE)/7)+1)</f>
        <v/>
      </c>
      <c r="J320" s="0" t="str">
        <f aca="false">IF(I320="","",IF(OR(I320&lt;1,I320&gt;NW),"",INDEX(WMON,I320)))</f>
        <v/>
      </c>
    </row>
    <row r="321" customFormat="false" ht="15" hidden="false" customHeight="false" outlineLevel="0" collapsed="false">
      <c r="A321" s="43"/>
      <c r="B321" s="23" t="str">
        <f aca="false">IF(H321="","",CHOOSE(WEEKDAY(H321,1),"الأحد","الاثنين","الثلاثاء","الأربعاء","الخميس","الجمعة","السبت")&amp;IF(OR(ISNUMBER(A321),LEN(TRIM(A321))&gt;=10),"","  "&amp;TEXT(DAY(H321),"00")&amp;"/"&amp;TEXT(MONTH(H321),"00")&amp;"/"&amp;YEAR(H321)))</f>
        <v/>
      </c>
      <c r="C321" s="24"/>
      <c r="D321" s="27"/>
      <c r="E321" s="44"/>
      <c r="F321" s="27"/>
      <c r="G321" s="0" t="str">
        <f aca="false">IF(AND(C321&lt;&gt;"",COUNTIF(C$6:C321,C321)=1),MAX(G$5:G320)+1,"")</f>
        <v/>
      </c>
      <c r="H321" s="0" t="str">
        <f aca="true">IF(A321="","",IF(ISNUMBER(A321),IF(A321&gt;=36526,A321,""),IFERROR(DATE(VALUE(RIGHT(RIGHT(TRIM(A321),10),4)),VALUE(MID(RIGHT(TRIM(A321),10),4,2)),VALUE(LEFT(RIGHT(TRIM(A321),10),2))),IFERROR(TODAY()-MOD(WEEKDAY(TODAY(),1)-MATCH(TRIM(A321),{"الأحد","الاثنين","الثلاثاء","الأربعاء","الخميس","الجمعة","السبت"},0),7),IFERROR(DATEVALUE(A321),"")))))</f>
        <v/>
      </c>
      <c r="I321" s="0" t="str">
        <f aca="false">IF(H321="","",INT((H321-WEEK_ONE)/7)+1)</f>
        <v/>
      </c>
      <c r="J321" s="0" t="str">
        <f aca="false">IF(I321="","",IF(OR(I321&lt;1,I321&gt;NW),"",INDEX(WMON,I321)))</f>
        <v/>
      </c>
    </row>
    <row r="322" customFormat="false" ht="15" hidden="false" customHeight="false" outlineLevel="0" collapsed="false">
      <c r="A322" s="43"/>
      <c r="B322" s="23" t="str">
        <f aca="false">IF(H322="","",CHOOSE(WEEKDAY(H322,1),"الأحد","الاثنين","الثلاثاء","الأربعاء","الخميس","الجمعة","السبت")&amp;IF(OR(ISNUMBER(A322),LEN(TRIM(A322))&gt;=10),"","  "&amp;TEXT(DAY(H322),"00")&amp;"/"&amp;TEXT(MONTH(H322),"00")&amp;"/"&amp;YEAR(H322)))</f>
        <v/>
      </c>
      <c r="C322" s="24"/>
      <c r="D322" s="27"/>
      <c r="E322" s="44"/>
      <c r="F322" s="27"/>
      <c r="G322" s="0" t="str">
        <f aca="false">IF(AND(C322&lt;&gt;"",COUNTIF(C$6:C322,C322)=1),MAX(G$5:G321)+1,"")</f>
        <v/>
      </c>
      <c r="H322" s="0" t="str">
        <f aca="true">IF(A322="","",IF(ISNUMBER(A322),IF(A322&gt;=36526,A322,""),IFERROR(DATE(VALUE(RIGHT(RIGHT(TRIM(A322),10),4)),VALUE(MID(RIGHT(TRIM(A322),10),4,2)),VALUE(LEFT(RIGHT(TRIM(A322),10),2))),IFERROR(TODAY()-MOD(WEEKDAY(TODAY(),1)-MATCH(TRIM(A322),{"الأحد","الاثنين","الثلاثاء","الأربعاء","الخميس","الجمعة","السبت"},0),7),IFERROR(DATEVALUE(A322),"")))))</f>
        <v/>
      </c>
      <c r="I322" s="0" t="str">
        <f aca="false">IF(H322="","",INT((H322-WEEK_ONE)/7)+1)</f>
        <v/>
      </c>
      <c r="J322" s="0" t="str">
        <f aca="false">IF(I322="","",IF(OR(I322&lt;1,I322&gt;NW),"",INDEX(WMON,I322)))</f>
        <v/>
      </c>
    </row>
    <row r="323" customFormat="false" ht="15" hidden="false" customHeight="false" outlineLevel="0" collapsed="false">
      <c r="A323" s="43"/>
      <c r="B323" s="23" t="str">
        <f aca="false">IF(H323="","",CHOOSE(WEEKDAY(H323,1),"الأحد","الاثنين","الثلاثاء","الأربعاء","الخميس","الجمعة","السبت")&amp;IF(OR(ISNUMBER(A323),LEN(TRIM(A323))&gt;=10),"","  "&amp;TEXT(DAY(H323),"00")&amp;"/"&amp;TEXT(MONTH(H323),"00")&amp;"/"&amp;YEAR(H323)))</f>
        <v/>
      </c>
      <c r="C323" s="24"/>
      <c r="D323" s="27"/>
      <c r="E323" s="44"/>
      <c r="F323" s="27"/>
      <c r="G323" s="0" t="str">
        <f aca="false">IF(AND(C323&lt;&gt;"",COUNTIF(C$6:C323,C323)=1),MAX(G$5:G322)+1,"")</f>
        <v/>
      </c>
      <c r="H323" s="0" t="str">
        <f aca="true">IF(A323="","",IF(ISNUMBER(A323),IF(A323&gt;=36526,A323,""),IFERROR(DATE(VALUE(RIGHT(RIGHT(TRIM(A323),10),4)),VALUE(MID(RIGHT(TRIM(A323),10),4,2)),VALUE(LEFT(RIGHT(TRIM(A323),10),2))),IFERROR(TODAY()-MOD(WEEKDAY(TODAY(),1)-MATCH(TRIM(A323),{"الأحد","الاثنين","الثلاثاء","الأربعاء","الخميس","الجمعة","السبت"},0),7),IFERROR(DATEVALUE(A323),"")))))</f>
        <v/>
      </c>
      <c r="I323" s="0" t="str">
        <f aca="false">IF(H323="","",INT((H323-WEEK_ONE)/7)+1)</f>
        <v/>
      </c>
      <c r="J323" s="0" t="str">
        <f aca="false">IF(I323="","",IF(OR(I323&lt;1,I323&gt;NW),"",INDEX(WMON,I323)))</f>
        <v/>
      </c>
    </row>
    <row r="324" customFormat="false" ht="15" hidden="false" customHeight="false" outlineLevel="0" collapsed="false">
      <c r="A324" s="43"/>
      <c r="B324" s="23" t="str">
        <f aca="false">IF(H324="","",CHOOSE(WEEKDAY(H324,1),"الأحد","الاثنين","الثلاثاء","الأربعاء","الخميس","الجمعة","السبت")&amp;IF(OR(ISNUMBER(A324),LEN(TRIM(A324))&gt;=10),"","  "&amp;TEXT(DAY(H324),"00")&amp;"/"&amp;TEXT(MONTH(H324),"00")&amp;"/"&amp;YEAR(H324)))</f>
        <v/>
      </c>
      <c r="C324" s="24"/>
      <c r="D324" s="27"/>
      <c r="E324" s="44"/>
      <c r="F324" s="27"/>
      <c r="G324" s="0" t="str">
        <f aca="false">IF(AND(C324&lt;&gt;"",COUNTIF(C$6:C324,C324)=1),MAX(G$5:G323)+1,"")</f>
        <v/>
      </c>
      <c r="H324" s="0" t="str">
        <f aca="true">IF(A324="","",IF(ISNUMBER(A324),IF(A324&gt;=36526,A324,""),IFERROR(DATE(VALUE(RIGHT(RIGHT(TRIM(A324),10),4)),VALUE(MID(RIGHT(TRIM(A324),10),4,2)),VALUE(LEFT(RIGHT(TRIM(A324),10),2))),IFERROR(TODAY()-MOD(WEEKDAY(TODAY(),1)-MATCH(TRIM(A324),{"الأحد","الاثنين","الثلاثاء","الأربعاء","الخميس","الجمعة","السبت"},0),7),IFERROR(DATEVALUE(A324),"")))))</f>
        <v/>
      </c>
      <c r="I324" s="0" t="str">
        <f aca="false">IF(H324="","",INT((H324-WEEK_ONE)/7)+1)</f>
        <v/>
      </c>
      <c r="J324" s="0" t="str">
        <f aca="false">IF(I324="","",IF(OR(I324&lt;1,I324&gt;NW),"",INDEX(WMON,I324)))</f>
        <v/>
      </c>
    </row>
    <row r="325" customFormat="false" ht="15" hidden="false" customHeight="false" outlineLevel="0" collapsed="false">
      <c r="A325" s="43"/>
      <c r="B325" s="23" t="str">
        <f aca="false">IF(H325="","",CHOOSE(WEEKDAY(H325,1),"الأحد","الاثنين","الثلاثاء","الأربعاء","الخميس","الجمعة","السبت")&amp;IF(OR(ISNUMBER(A325),LEN(TRIM(A325))&gt;=10),"","  "&amp;TEXT(DAY(H325),"00")&amp;"/"&amp;TEXT(MONTH(H325),"00")&amp;"/"&amp;YEAR(H325)))</f>
        <v/>
      </c>
      <c r="C325" s="24"/>
      <c r="D325" s="27"/>
      <c r="E325" s="44"/>
      <c r="F325" s="27"/>
      <c r="G325" s="0" t="str">
        <f aca="false">IF(AND(C325&lt;&gt;"",COUNTIF(C$6:C325,C325)=1),MAX(G$5:G324)+1,"")</f>
        <v/>
      </c>
      <c r="H325" s="0" t="str">
        <f aca="true">IF(A325="","",IF(ISNUMBER(A325),IF(A325&gt;=36526,A325,""),IFERROR(DATE(VALUE(RIGHT(RIGHT(TRIM(A325),10),4)),VALUE(MID(RIGHT(TRIM(A325),10),4,2)),VALUE(LEFT(RIGHT(TRIM(A325),10),2))),IFERROR(TODAY()-MOD(WEEKDAY(TODAY(),1)-MATCH(TRIM(A325),{"الأحد","الاثنين","الثلاثاء","الأربعاء","الخميس","الجمعة","السبت"},0),7),IFERROR(DATEVALUE(A325),"")))))</f>
        <v/>
      </c>
      <c r="I325" s="0" t="str">
        <f aca="false">IF(H325="","",INT((H325-WEEK_ONE)/7)+1)</f>
        <v/>
      </c>
      <c r="J325" s="0" t="str">
        <f aca="false">IF(I325="","",IF(OR(I325&lt;1,I325&gt;NW),"",INDEX(WMON,I325)))</f>
        <v/>
      </c>
    </row>
    <row r="326" customFormat="false" ht="15" hidden="false" customHeight="false" outlineLevel="0" collapsed="false">
      <c r="A326" s="43"/>
      <c r="B326" s="23" t="str">
        <f aca="false">IF(H326="","",CHOOSE(WEEKDAY(H326,1),"الأحد","الاثنين","الثلاثاء","الأربعاء","الخميس","الجمعة","السبت")&amp;IF(OR(ISNUMBER(A326),LEN(TRIM(A326))&gt;=10),"","  "&amp;TEXT(DAY(H326),"00")&amp;"/"&amp;TEXT(MONTH(H326),"00")&amp;"/"&amp;YEAR(H326)))</f>
        <v/>
      </c>
      <c r="C326" s="24"/>
      <c r="D326" s="27"/>
      <c r="E326" s="44"/>
      <c r="F326" s="27"/>
      <c r="G326" s="0" t="str">
        <f aca="false">IF(AND(C326&lt;&gt;"",COUNTIF(C$6:C326,C326)=1),MAX(G$5:G325)+1,"")</f>
        <v/>
      </c>
      <c r="H326" s="0" t="str">
        <f aca="true">IF(A326="","",IF(ISNUMBER(A326),IF(A326&gt;=36526,A326,""),IFERROR(DATE(VALUE(RIGHT(RIGHT(TRIM(A326),10),4)),VALUE(MID(RIGHT(TRIM(A326),10),4,2)),VALUE(LEFT(RIGHT(TRIM(A326),10),2))),IFERROR(TODAY()-MOD(WEEKDAY(TODAY(),1)-MATCH(TRIM(A326),{"الأحد","الاثنين","الثلاثاء","الأربعاء","الخميس","الجمعة","السبت"},0),7),IFERROR(DATEVALUE(A326),"")))))</f>
        <v/>
      </c>
      <c r="I326" s="0" t="str">
        <f aca="false">IF(H326="","",INT((H326-WEEK_ONE)/7)+1)</f>
        <v/>
      </c>
      <c r="J326" s="0" t="str">
        <f aca="false">IF(I326="","",IF(OR(I326&lt;1,I326&gt;NW),"",INDEX(WMON,I326)))</f>
        <v/>
      </c>
    </row>
    <row r="327" customFormat="false" ht="15" hidden="false" customHeight="false" outlineLevel="0" collapsed="false">
      <c r="A327" s="43"/>
      <c r="B327" s="23" t="str">
        <f aca="false">IF(H327="","",CHOOSE(WEEKDAY(H327,1),"الأحد","الاثنين","الثلاثاء","الأربعاء","الخميس","الجمعة","السبت")&amp;IF(OR(ISNUMBER(A327),LEN(TRIM(A327))&gt;=10),"","  "&amp;TEXT(DAY(H327),"00")&amp;"/"&amp;TEXT(MONTH(H327),"00")&amp;"/"&amp;YEAR(H327)))</f>
        <v/>
      </c>
      <c r="C327" s="24"/>
      <c r="D327" s="27"/>
      <c r="E327" s="44"/>
      <c r="F327" s="27"/>
      <c r="G327" s="0" t="str">
        <f aca="false">IF(AND(C327&lt;&gt;"",COUNTIF(C$6:C327,C327)=1),MAX(G$5:G326)+1,"")</f>
        <v/>
      </c>
      <c r="H327" s="0" t="str">
        <f aca="true">IF(A327="","",IF(ISNUMBER(A327),IF(A327&gt;=36526,A327,""),IFERROR(DATE(VALUE(RIGHT(RIGHT(TRIM(A327),10),4)),VALUE(MID(RIGHT(TRIM(A327),10),4,2)),VALUE(LEFT(RIGHT(TRIM(A327),10),2))),IFERROR(TODAY()-MOD(WEEKDAY(TODAY(),1)-MATCH(TRIM(A327),{"الأحد","الاثنين","الثلاثاء","الأربعاء","الخميس","الجمعة","السبت"},0),7),IFERROR(DATEVALUE(A327),"")))))</f>
        <v/>
      </c>
      <c r="I327" s="0" t="str">
        <f aca="false">IF(H327="","",INT((H327-WEEK_ONE)/7)+1)</f>
        <v/>
      </c>
      <c r="J327" s="0" t="str">
        <f aca="false">IF(I327="","",IF(OR(I327&lt;1,I327&gt;NW),"",INDEX(WMON,I327)))</f>
        <v/>
      </c>
    </row>
    <row r="328" customFormat="false" ht="15" hidden="false" customHeight="false" outlineLevel="0" collapsed="false">
      <c r="A328" s="43"/>
      <c r="B328" s="23" t="str">
        <f aca="false">IF(H328="","",CHOOSE(WEEKDAY(H328,1),"الأحد","الاثنين","الثلاثاء","الأربعاء","الخميس","الجمعة","السبت")&amp;IF(OR(ISNUMBER(A328),LEN(TRIM(A328))&gt;=10),"","  "&amp;TEXT(DAY(H328),"00")&amp;"/"&amp;TEXT(MONTH(H328),"00")&amp;"/"&amp;YEAR(H328)))</f>
        <v/>
      </c>
      <c r="C328" s="24"/>
      <c r="D328" s="27"/>
      <c r="E328" s="44"/>
      <c r="F328" s="27"/>
      <c r="G328" s="0" t="str">
        <f aca="false">IF(AND(C328&lt;&gt;"",COUNTIF(C$6:C328,C328)=1),MAX(G$5:G327)+1,"")</f>
        <v/>
      </c>
      <c r="H328" s="0" t="str">
        <f aca="true">IF(A328="","",IF(ISNUMBER(A328),IF(A328&gt;=36526,A328,""),IFERROR(DATE(VALUE(RIGHT(RIGHT(TRIM(A328),10),4)),VALUE(MID(RIGHT(TRIM(A328),10),4,2)),VALUE(LEFT(RIGHT(TRIM(A328),10),2))),IFERROR(TODAY()-MOD(WEEKDAY(TODAY(),1)-MATCH(TRIM(A328),{"الأحد","الاثنين","الثلاثاء","الأربعاء","الخميس","الجمعة","السبت"},0),7),IFERROR(DATEVALUE(A328),"")))))</f>
        <v/>
      </c>
      <c r="I328" s="0" t="str">
        <f aca="false">IF(H328="","",INT((H328-WEEK_ONE)/7)+1)</f>
        <v/>
      </c>
      <c r="J328" s="0" t="str">
        <f aca="false">IF(I328="","",IF(OR(I328&lt;1,I328&gt;NW),"",INDEX(WMON,I328)))</f>
        <v/>
      </c>
    </row>
    <row r="329" customFormat="false" ht="15" hidden="false" customHeight="false" outlineLevel="0" collapsed="false">
      <c r="A329" s="43"/>
      <c r="B329" s="23" t="str">
        <f aca="false">IF(H329="","",CHOOSE(WEEKDAY(H329,1),"الأحد","الاثنين","الثلاثاء","الأربعاء","الخميس","الجمعة","السبت")&amp;IF(OR(ISNUMBER(A329),LEN(TRIM(A329))&gt;=10),"","  "&amp;TEXT(DAY(H329),"00")&amp;"/"&amp;TEXT(MONTH(H329),"00")&amp;"/"&amp;YEAR(H329)))</f>
        <v/>
      </c>
      <c r="C329" s="24"/>
      <c r="D329" s="27"/>
      <c r="E329" s="44"/>
      <c r="F329" s="27"/>
      <c r="G329" s="0" t="str">
        <f aca="false">IF(AND(C329&lt;&gt;"",COUNTIF(C$6:C329,C329)=1),MAX(G$5:G328)+1,"")</f>
        <v/>
      </c>
      <c r="H329" s="0" t="str">
        <f aca="true">IF(A329="","",IF(ISNUMBER(A329),IF(A329&gt;=36526,A329,""),IFERROR(DATE(VALUE(RIGHT(RIGHT(TRIM(A329),10),4)),VALUE(MID(RIGHT(TRIM(A329),10),4,2)),VALUE(LEFT(RIGHT(TRIM(A329),10),2))),IFERROR(TODAY()-MOD(WEEKDAY(TODAY(),1)-MATCH(TRIM(A329),{"الأحد","الاثنين","الثلاثاء","الأربعاء","الخميس","الجمعة","السبت"},0),7),IFERROR(DATEVALUE(A329),"")))))</f>
        <v/>
      </c>
      <c r="I329" s="0" t="str">
        <f aca="false">IF(H329="","",INT((H329-WEEK_ONE)/7)+1)</f>
        <v/>
      </c>
      <c r="J329" s="0" t="str">
        <f aca="false">IF(I329="","",IF(OR(I329&lt;1,I329&gt;NW),"",INDEX(WMON,I329)))</f>
        <v/>
      </c>
    </row>
    <row r="330" customFormat="false" ht="15" hidden="false" customHeight="false" outlineLevel="0" collapsed="false">
      <c r="A330" s="43"/>
      <c r="B330" s="23" t="str">
        <f aca="false">IF(H330="","",CHOOSE(WEEKDAY(H330,1),"الأحد","الاثنين","الثلاثاء","الأربعاء","الخميس","الجمعة","السبت")&amp;IF(OR(ISNUMBER(A330),LEN(TRIM(A330))&gt;=10),"","  "&amp;TEXT(DAY(H330),"00")&amp;"/"&amp;TEXT(MONTH(H330),"00")&amp;"/"&amp;YEAR(H330)))</f>
        <v/>
      </c>
      <c r="C330" s="24"/>
      <c r="D330" s="27"/>
      <c r="E330" s="44"/>
      <c r="F330" s="27"/>
      <c r="G330" s="0" t="str">
        <f aca="false">IF(AND(C330&lt;&gt;"",COUNTIF(C$6:C330,C330)=1),MAX(G$5:G329)+1,"")</f>
        <v/>
      </c>
      <c r="H330" s="0" t="str">
        <f aca="true">IF(A330="","",IF(ISNUMBER(A330),IF(A330&gt;=36526,A330,""),IFERROR(DATE(VALUE(RIGHT(RIGHT(TRIM(A330),10),4)),VALUE(MID(RIGHT(TRIM(A330),10),4,2)),VALUE(LEFT(RIGHT(TRIM(A330),10),2))),IFERROR(TODAY()-MOD(WEEKDAY(TODAY(),1)-MATCH(TRIM(A330),{"الأحد","الاثنين","الثلاثاء","الأربعاء","الخميس","الجمعة","السبت"},0),7),IFERROR(DATEVALUE(A330),"")))))</f>
        <v/>
      </c>
      <c r="I330" s="0" t="str">
        <f aca="false">IF(H330="","",INT((H330-WEEK_ONE)/7)+1)</f>
        <v/>
      </c>
      <c r="J330" s="0" t="str">
        <f aca="false">IF(I330="","",IF(OR(I330&lt;1,I330&gt;NW),"",INDEX(WMON,I330)))</f>
        <v/>
      </c>
    </row>
    <row r="331" customFormat="false" ht="15" hidden="false" customHeight="false" outlineLevel="0" collapsed="false">
      <c r="A331" s="43"/>
      <c r="B331" s="23" t="str">
        <f aca="false">IF(H331="","",CHOOSE(WEEKDAY(H331,1),"الأحد","الاثنين","الثلاثاء","الأربعاء","الخميس","الجمعة","السبت")&amp;IF(OR(ISNUMBER(A331),LEN(TRIM(A331))&gt;=10),"","  "&amp;TEXT(DAY(H331),"00")&amp;"/"&amp;TEXT(MONTH(H331),"00")&amp;"/"&amp;YEAR(H331)))</f>
        <v/>
      </c>
      <c r="C331" s="24"/>
      <c r="D331" s="27"/>
      <c r="E331" s="44"/>
      <c r="F331" s="27"/>
      <c r="G331" s="0" t="str">
        <f aca="false">IF(AND(C331&lt;&gt;"",COUNTIF(C$6:C331,C331)=1),MAX(G$5:G330)+1,"")</f>
        <v/>
      </c>
      <c r="H331" s="0" t="str">
        <f aca="true">IF(A331="","",IF(ISNUMBER(A331),IF(A331&gt;=36526,A331,""),IFERROR(DATE(VALUE(RIGHT(RIGHT(TRIM(A331),10),4)),VALUE(MID(RIGHT(TRIM(A331),10),4,2)),VALUE(LEFT(RIGHT(TRIM(A331),10),2))),IFERROR(TODAY()-MOD(WEEKDAY(TODAY(),1)-MATCH(TRIM(A331),{"الأحد","الاثنين","الثلاثاء","الأربعاء","الخميس","الجمعة","السبت"},0),7),IFERROR(DATEVALUE(A331),"")))))</f>
        <v/>
      </c>
      <c r="I331" s="0" t="str">
        <f aca="false">IF(H331="","",INT((H331-WEEK_ONE)/7)+1)</f>
        <v/>
      </c>
      <c r="J331" s="0" t="str">
        <f aca="false">IF(I331="","",IF(OR(I331&lt;1,I331&gt;NW),"",INDEX(WMON,I331)))</f>
        <v/>
      </c>
    </row>
    <row r="332" customFormat="false" ht="15" hidden="false" customHeight="false" outlineLevel="0" collapsed="false">
      <c r="A332" s="43"/>
      <c r="B332" s="23" t="str">
        <f aca="false">IF(H332="","",CHOOSE(WEEKDAY(H332,1),"الأحد","الاثنين","الثلاثاء","الأربعاء","الخميس","الجمعة","السبت")&amp;IF(OR(ISNUMBER(A332),LEN(TRIM(A332))&gt;=10),"","  "&amp;TEXT(DAY(H332),"00")&amp;"/"&amp;TEXT(MONTH(H332),"00")&amp;"/"&amp;YEAR(H332)))</f>
        <v/>
      </c>
      <c r="C332" s="24"/>
      <c r="D332" s="27"/>
      <c r="E332" s="44"/>
      <c r="F332" s="27"/>
      <c r="G332" s="0" t="str">
        <f aca="false">IF(AND(C332&lt;&gt;"",COUNTIF(C$6:C332,C332)=1),MAX(G$5:G331)+1,"")</f>
        <v/>
      </c>
      <c r="H332" s="0" t="str">
        <f aca="true">IF(A332="","",IF(ISNUMBER(A332),IF(A332&gt;=36526,A332,""),IFERROR(DATE(VALUE(RIGHT(RIGHT(TRIM(A332),10),4)),VALUE(MID(RIGHT(TRIM(A332),10),4,2)),VALUE(LEFT(RIGHT(TRIM(A332),10),2))),IFERROR(TODAY()-MOD(WEEKDAY(TODAY(),1)-MATCH(TRIM(A332),{"الأحد","الاثنين","الثلاثاء","الأربعاء","الخميس","الجمعة","السبت"},0),7),IFERROR(DATEVALUE(A332),"")))))</f>
        <v/>
      </c>
      <c r="I332" s="0" t="str">
        <f aca="false">IF(H332="","",INT((H332-WEEK_ONE)/7)+1)</f>
        <v/>
      </c>
      <c r="J332" s="0" t="str">
        <f aca="false">IF(I332="","",IF(OR(I332&lt;1,I332&gt;NW),"",INDEX(WMON,I332)))</f>
        <v/>
      </c>
    </row>
    <row r="333" customFormat="false" ht="15" hidden="false" customHeight="false" outlineLevel="0" collapsed="false">
      <c r="A333" s="43"/>
      <c r="B333" s="23" t="str">
        <f aca="false">IF(H333="","",CHOOSE(WEEKDAY(H333,1),"الأحد","الاثنين","الثلاثاء","الأربعاء","الخميس","الجمعة","السبت")&amp;IF(OR(ISNUMBER(A333),LEN(TRIM(A333))&gt;=10),"","  "&amp;TEXT(DAY(H333),"00")&amp;"/"&amp;TEXT(MONTH(H333),"00")&amp;"/"&amp;YEAR(H333)))</f>
        <v/>
      </c>
      <c r="C333" s="24"/>
      <c r="D333" s="27"/>
      <c r="E333" s="44"/>
      <c r="F333" s="27"/>
      <c r="G333" s="0" t="str">
        <f aca="false">IF(AND(C333&lt;&gt;"",COUNTIF(C$6:C333,C333)=1),MAX(G$5:G332)+1,"")</f>
        <v/>
      </c>
      <c r="H333" s="0" t="str">
        <f aca="true">IF(A333="","",IF(ISNUMBER(A333),IF(A333&gt;=36526,A333,""),IFERROR(DATE(VALUE(RIGHT(RIGHT(TRIM(A333),10),4)),VALUE(MID(RIGHT(TRIM(A333),10),4,2)),VALUE(LEFT(RIGHT(TRIM(A333),10),2))),IFERROR(TODAY()-MOD(WEEKDAY(TODAY(),1)-MATCH(TRIM(A333),{"الأحد","الاثنين","الثلاثاء","الأربعاء","الخميس","الجمعة","السبت"},0),7),IFERROR(DATEVALUE(A333),"")))))</f>
        <v/>
      </c>
      <c r="I333" s="0" t="str">
        <f aca="false">IF(H333="","",INT((H333-WEEK_ONE)/7)+1)</f>
        <v/>
      </c>
      <c r="J333" s="0" t="str">
        <f aca="false">IF(I333="","",IF(OR(I333&lt;1,I333&gt;NW),"",INDEX(WMON,I333)))</f>
        <v/>
      </c>
    </row>
    <row r="334" customFormat="false" ht="15" hidden="false" customHeight="false" outlineLevel="0" collapsed="false">
      <c r="A334" s="43"/>
      <c r="B334" s="23" t="str">
        <f aca="false">IF(H334="","",CHOOSE(WEEKDAY(H334,1),"الأحد","الاثنين","الثلاثاء","الأربعاء","الخميس","الجمعة","السبت")&amp;IF(OR(ISNUMBER(A334),LEN(TRIM(A334))&gt;=10),"","  "&amp;TEXT(DAY(H334),"00")&amp;"/"&amp;TEXT(MONTH(H334),"00")&amp;"/"&amp;YEAR(H334)))</f>
        <v/>
      </c>
      <c r="C334" s="24"/>
      <c r="D334" s="27"/>
      <c r="E334" s="44"/>
      <c r="F334" s="27"/>
      <c r="G334" s="0" t="str">
        <f aca="false">IF(AND(C334&lt;&gt;"",COUNTIF(C$6:C334,C334)=1),MAX(G$5:G333)+1,"")</f>
        <v/>
      </c>
      <c r="H334" s="0" t="str">
        <f aca="true">IF(A334="","",IF(ISNUMBER(A334),IF(A334&gt;=36526,A334,""),IFERROR(DATE(VALUE(RIGHT(RIGHT(TRIM(A334),10),4)),VALUE(MID(RIGHT(TRIM(A334),10),4,2)),VALUE(LEFT(RIGHT(TRIM(A334),10),2))),IFERROR(TODAY()-MOD(WEEKDAY(TODAY(),1)-MATCH(TRIM(A334),{"الأحد","الاثنين","الثلاثاء","الأربعاء","الخميس","الجمعة","السبت"},0),7),IFERROR(DATEVALUE(A334),"")))))</f>
        <v/>
      </c>
      <c r="I334" s="0" t="str">
        <f aca="false">IF(H334="","",INT((H334-WEEK_ONE)/7)+1)</f>
        <v/>
      </c>
      <c r="J334" s="0" t="str">
        <f aca="false">IF(I334="","",IF(OR(I334&lt;1,I334&gt;NW),"",INDEX(WMON,I334)))</f>
        <v/>
      </c>
    </row>
    <row r="335" customFormat="false" ht="15" hidden="false" customHeight="false" outlineLevel="0" collapsed="false">
      <c r="A335" s="43"/>
      <c r="B335" s="23" t="str">
        <f aca="false">IF(H335="","",CHOOSE(WEEKDAY(H335,1),"الأحد","الاثنين","الثلاثاء","الأربعاء","الخميس","الجمعة","السبت")&amp;IF(OR(ISNUMBER(A335),LEN(TRIM(A335))&gt;=10),"","  "&amp;TEXT(DAY(H335),"00")&amp;"/"&amp;TEXT(MONTH(H335),"00")&amp;"/"&amp;YEAR(H335)))</f>
        <v/>
      </c>
      <c r="C335" s="24"/>
      <c r="D335" s="27"/>
      <c r="E335" s="44"/>
      <c r="F335" s="27"/>
      <c r="G335" s="0" t="str">
        <f aca="false">IF(AND(C335&lt;&gt;"",COUNTIF(C$6:C335,C335)=1),MAX(G$5:G334)+1,"")</f>
        <v/>
      </c>
      <c r="H335" s="0" t="str">
        <f aca="true">IF(A335="","",IF(ISNUMBER(A335),IF(A335&gt;=36526,A335,""),IFERROR(DATE(VALUE(RIGHT(RIGHT(TRIM(A335),10),4)),VALUE(MID(RIGHT(TRIM(A335),10),4,2)),VALUE(LEFT(RIGHT(TRIM(A335),10),2))),IFERROR(TODAY()-MOD(WEEKDAY(TODAY(),1)-MATCH(TRIM(A335),{"الأحد","الاثنين","الثلاثاء","الأربعاء","الخميس","الجمعة","السبت"},0),7),IFERROR(DATEVALUE(A335),"")))))</f>
        <v/>
      </c>
      <c r="I335" s="0" t="str">
        <f aca="false">IF(H335="","",INT((H335-WEEK_ONE)/7)+1)</f>
        <v/>
      </c>
      <c r="J335" s="0" t="str">
        <f aca="false">IF(I335="","",IF(OR(I335&lt;1,I335&gt;NW),"",INDEX(WMON,I335)))</f>
        <v/>
      </c>
    </row>
    <row r="336" customFormat="false" ht="15" hidden="false" customHeight="false" outlineLevel="0" collapsed="false">
      <c r="A336" s="43"/>
      <c r="B336" s="23" t="str">
        <f aca="false">IF(H336="","",CHOOSE(WEEKDAY(H336,1),"الأحد","الاثنين","الثلاثاء","الأربعاء","الخميس","الجمعة","السبت")&amp;IF(OR(ISNUMBER(A336),LEN(TRIM(A336))&gt;=10),"","  "&amp;TEXT(DAY(H336),"00")&amp;"/"&amp;TEXT(MONTH(H336),"00")&amp;"/"&amp;YEAR(H336)))</f>
        <v/>
      </c>
      <c r="C336" s="24"/>
      <c r="D336" s="27"/>
      <c r="E336" s="44"/>
      <c r="F336" s="27"/>
      <c r="G336" s="0" t="str">
        <f aca="false">IF(AND(C336&lt;&gt;"",COUNTIF(C$6:C336,C336)=1),MAX(G$5:G335)+1,"")</f>
        <v/>
      </c>
      <c r="H336" s="0" t="str">
        <f aca="true">IF(A336="","",IF(ISNUMBER(A336),IF(A336&gt;=36526,A336,""),IFERROR(DATE(VALUE(RIGHT(RIGHT(TRIM(A336),10),4)),VALUE(MID(RIGHT(TRIM(A336),10),4,2)),VALUE(LEFT(RIGHT(TRIM(A336),10),2))),IFERROR(TODAY()-MOD(WEEKDAY(TODAY(),1)-MATCH(TRIM(A336),{"الأحد","الاثنين","الثلاثاء","الأربعاء","الخميس","الجمعة","السبت"},0),7),IFERROR(DATEVALUE(A336),"")))))</f>
        <v/>
      </c>
      <c r="I336" s="0" t="str">
        <f aca="false">IF(H336="","",INT((H336-WEEK_ONE)/7)+1)</f>
        <v/>
      </c>
      <c r="J336" s="0" t="str">
        <f aca="false">IF(I336="","",IF(OR(I336&lt;1,I336&gt;NW),"",INDEX(WMON,I336)))</f>
        <v/>
      </c>
    </row>
    <row r="337" customFormat="false" ht="15" hidden="false" customHeight="false" outlineLevel="0" collapsed="false">
      <c r="A337" s="43"/>
      <c r="B337" s="23" t="str">
        <f aca="false">IF(H337="","",CHOOSE(WEEKDAY(H337,1),"الأحد","الاثنين","الثلاثاء","الأربعاء","الخميس","الجمعة","السبت")&amp;IF(OR(ISNUMBER(A337),LEN(TRIM(A337))&gt;=10),"","  "&amp;TEXT(DAY(H337),"00")&amp;"/"&amp;TEXT(MONTH(H337),"00")&amp;"/"&amp;YEAR(H337)))</f>
        <v/>
      </c>
      <c r="C337" s="24"/>
      <c r="D337" s="27"/>
      <c r="E337" s="44"/>
      <c r="F337" s="27"/>
      <c r="G337" s="0" t="str">
        <f aca="false">IF(AND(C337&lt;&gt;"",COUNTIF(C$6:C337,C337)=1),MAX(G$5:G336)+1,"")</f>
        <v/>
      </c>
      <c r="H337" s="0" t="str">
        <f aca="true">IF(A337="","",IF(ISNUMBER(A337),IF(A337&gt;=36526,A337,""),IFERROR(DATE(VALUE(RIGHT(RIGHT(TRIM(A337),10),4)),VALUE(MID(RIGHT(TRIM(A337),10),4,2)),VALUE(LEFT(RIGHT(TRIM(A337),10),2))),IFERROR(TODAY()-MOD(WEEKDAY(TODAY(),1)-MATCH(TRIM(A337),{"الأحد","الاثنين","الثلاثاء","الأربعاء","الخميس","الجمعة","السبت"},0),7),IFERROR(DATEVALUE(A337),"")))))</f>
        <v/>
      </c>
      <c r="I337" s="0" t="str">
        <f aca="false">IF(H337="","",INT((H337-WEEK_ONE)/7)+1)</f>
        <v/>
      </c>
      <c r="J337" s="0" t="str">
        <f aca="false">IF(I337="","",IF(OR(I337&lt;1,I337&gt;NW),"",INDEX(WMON,I337)))</f>
        <v/>
      </c>
    </row>
    <row r="338" customFormat="false" ht="15" hidden="false" customHeight="false" outlineLevel="0" collapsed="false">
      <c r="A338" s="43"/>
      <c r="B338" s="23" t="str">
        <f aca="false">IF(H338="","",CHOOSE(WEEKDAY(H338,1),"الأحد","الاثنين","الثلاثاء","الأربعاء","الخميس","الجمعة","السبت")&amp;IF(OR(ISNUMBER(A338),LEN(TRIM(A338))&gt;=10),"","  "&amp;TEXT(DAY(H338),"00")&amp;"/"&amp;TEXT(MONTH(H338),"00")&amp;"/"&amp;YEAR(H338)))</f>
        <v/>
      </c>
      <c r="C338" s="24"/>
      <c r="D338" s="27"/>
      <c r="E338" s="44"/>
      <c r="F338" s="27"/>
      <c r="G338" s="0" t="str">
        <f aca="false">IF(AND(C338&lt;&gt;"",COUNTIF(C$6:C338,C338)=1),MAX(G$5:G337)+1,"")</f>
        <v/>
      </c>
      <c r="H338" s="0" t="str">
        <f aca="true">IF(A338="","",IF(ISNUMBER(A338),IF(A338&gt;=36526,A338,""),IFERROR(DATE(VALUE(RIGHT(RIGHT(TRIM(A338),10),4)),VALUE(MID(RIGHT(TRIM(A338),10),4,2)),VALUE(LEFT(RIGHT(TRIM(A338),10),2))),IFERROR(TODAY()-MOD(WEEKDAY(TODAY(),1)-MATCH(TRIM(A338),{"الأحد","الاثنين","الثلاثاء","الأربعاء","الخميس","الجمعة","السبت"},0),7),IFERROR(DATEVALUE(A338),"")))))</f>
        <v/>
      </c>
      <c r="I338" s="0" t="str">
        <f aca="false">IF(H338="","",INT((H338-WEEK_ONE)/7)+1)</f>
        <v/>
      </c>
      <c r="J338" s="0" t="str">
        <f aca="false">IF(I338="","",IF(OR(I338&lt;1,I338&gt;NW),"",INDEX(WMON,I338)))</f>
        <v/>
      </c>
    </row>
    <row r="339" customFormat="false" ht="15" hidden="false" customHeight="false" outlineLevel="0" collapsed="false">
      <c r="A339" s="43"/>
      <c r="B339" s="23" t="str">
        <f aca="false">IF(H339="","",CHOOSE(WEEKDAY(H339,1),"الأحد","الاثنين","الثلاثاء","الأربعاء","الخميس","الجمعة","السبت")&amp;IF(OR(ISNUMBER(A339),LEN(TRIM(A339))&gt;=10),"","  "&amp;TEXT(DAY(H339),"00")&amp;"/"&amp;TEXT(MONTH(H339),"00")&amp;"/"&amp;YEAR(H339)))</f>
        <v/>
      </c>
      <c r="C339" s="24"/>
      <c r="D339" s="27"/>
      <c r="E339" s="44"/>
      <c r="F339" s="27"/>
      <c r="G339" s="0" t="str">
        <f aca="false">IF(AND(C339&lt;&gt;"",COUNTIF(C$6:C339,C339)=1),MAX(G$5:G338)+1,"")</f>
        <v/>
      </c>
      <c r="H339" s="0" t="str">
        <f aca="true">IF(A339="","",IF(ISNUMBER(A339),IF(A339&gt;=36526,A339,""),IFERROR(DATE(VALUE(RIGHT(RIGHT(TRIM(A339),10),4)),VALUE(MID(RIGHT(TRIM(A339),10),4,2)),VALUE(LEFT(RIGHT(TRIM(A339),10),2))),IFERROR(TODAY()-MOD(WEEKDAY(TODAY(),1)-MATCH(TRIM(A339),{"الأحد","الاثنين","الثلاثاء","الأربعاء","الخميس","الجمعة","السبت"},0),7),IFERROR(DATEVALUE(A339),"")))))</f>
        <v/>
      </c>
      <c r="I339" s="0" t="str">
        <f aca="false">IF(H339="","",INT((H339-WEEK_ONE)/7)+1)</f>
        <v/>
      </c>
      <c r="J339" s="0" t="str">
        <f aca="false">IF(I339="","",IF(OR(I339&lt;1,I339&gt;NW),"",INDEX(WMON,I339)))</f>
        <v/>
      </c>
    </row>
    <row r="340" customFormat="false" ht="15" hidden="false" customHeight="false" outlineLevel="0" collapsed="false">
      <c r="A340" s="43"/>
      <c r="B340" s="23" t="str">
        <f aca="false">IF(H340="","",CHOOSE(WEEKDAY(H340,1),"الأحد","الاثنين","الثلاثاء","الأربعاء","الخميس","الجمعة","السبت")&amp;IF(OR(ISNUMBER(A340),LEN(TRIM(A340))&gt;=10),"","  "&amp;TEXT(DAY(H340),"00")&amp;"/"&amp;TEXT(MONTH(H340),"00")&amp;"/"&amp;YEAR(H340)))</f>
        <v/>
      </c>
      <c r="C340" s="24"/>
      <c r="D340" s="27"/>
      <c r="E340" s="44"/>
      <c r="F340" s="27"/>
      <c r="G340" s="0" t="str">
        <f aca="false">IF(AND(C340&lt;&gt;"",COUNTIF(C$6:C340,C340)=1),MAX(G$5:G339)+1,"")</f>
        <v/>
      </c>
      <c r="H340" s="0" t="str">
        <f aca="true">IF(A340="","",IF(ISNUMBER(A340),IF(A340&gt;=36526,A340,""),IFERROR(DATE(VALUE(RIGHT(RIGHT(TRIM(A340),10),4)),VALUE(MID(RIGHT(TRIM(A340),10),4,2)),VALUE(LEFT(RIGHT(TRIM(A340),10),2))),IFERROR(TODAY()-MOD(WEEKDAY(TODAY(),1)-MATCH(TRIM(A340),{"الأحد","الاثنين","الثلاثاء","الأربعاء","الخميس","الجمعة","السبت"},0),7),IFERROR(DATEVALUE(A340),"")))))</f>
        <v/>
      </c>
      <c r="I340" s="0" t="str">
        <f aca="false">IF(H340="","",INT((H340-WEEK_ONE)/7)+1)</f>
        <v/>
      </c>
      <c r="J340" s="0" t="str">
        <f aca="false">IF(I340="","",IF(OR(I340&lt;1,I340&gt;NW),"",INDEX(WMON,I340)))</f>
        <v/>
      </c>
    </row>
    <row r="341" customFormat="false" ht="15" hidden="false" customHeight="false" outlineLevel="0" collapsed="false">
      <c r="A341" s="43"/>
      <c r="B341" s="23" t="str">
        <f aca="false">IF(H341="","",CHOOSE(WEEKDAY(H341,1),"الأحد","الاثنين","الثلاثاء","الأربعاء","الخميس","الجمعة","السبت")&amp;IF(OR(ISNUMBER(A341),LEN(TRIM(A341))&gt;=10),"","  "&amp;TEXT(DAY(H341),"00")&amp;"/"&amp;TEXT(MONTH(H341),"00")&amp;"/"&amp;YEAR(H341)))</f>
        <v/>
      </c>
      <c r="C341" s="24"/>
      <c r="D341" s="27"/>
      <c r="E341" s="44"/>
      <c r="F341" s="27"/>
      <c r="G341" s="0" t="str">
        <f aca="false">IF(AND(C341&lt;&gt;"",COUNTIF(C$6:C341,C341)=1),MAX(G$5:G340)+1,"")</f>
        <v/>
      </c>
      <c r="H341" s="0" t="str">
        <f aca="true">IF(A341="","",IF(ISNUMBER(A341),IF(A341&gt;=36526,A341,""),IFERROR(DATE(VALUE(RIGHT(RIGHT(TRIM(A341),10),4)),VALUE(MID(RIGHT(TRIM(A341),10),4,2)),VALUE(LEFT(RIGHT(TRIM(A341),10),2))),IFERROR(TODAY()-MOD(WEEKDAY(TODAY(),1)-MATCH(TRIM(A341),{"الأحد","الاثنين","الثلاثاء","الأربعاء","الخميس","الجمعة","السبت"},0),7),IFERROR(DATEVALUE(A341),"")))))</f>
        <v/>
      </c>
      <c r="I341" s="0" t="str">
        <f aca="false">IF(H341="","",INT((H341-WEEK_ONE)/7)+1)</f>
        <v/>
      </c>
      <c r="J341" s="0" t="str">
        <f aca="false">IF(I341="","",IF(OR(I341&lt;1,I341&gt;NW),"",INDEX(WMON,I341)))</f>
        <v/>
      </c>
    </row>
    <row r="342" customFormat="false" ht="15" hidden="false" customHeight="false" outlineLevel="0" collapsed="false">
      <c r="A342" s="43"/>
      <c r="B342" s="23" t="str">
        <f aca="false">IF(H342="","",CHOOSE(WEEKDAY(H342,1),"الأحد","الاثنين","الثلاثاء","الأربعاء","الخميس","الجمعة","السبت")&amp;IF(OR(ISNUMBER(A342),LEN(TRIM(A342))&gt;=10),"","  "&amp;TEXT(DAY(H342),"00")&amp;"/"&amp;TEXT(MONTH(H342),"00")&amp;"/"&amp;YEAR(H342)))</f>
        <v/>
      </c>
      <c r="C342" s="24"/>
      <c r="D342" s="27"/>
      <c r="E342" s="44"/>
      <c r="F342" s="27"/>
      <c r="G342" s="0" t="str">
        <f aca="false">IF(AND(C342&lt;&gt;"",COUNTIF(C$6:C342,C342)=1),MAX(G$5:G341)+1,"")</f>
        <v/>
      </c>
      <c r="H342" s="0" t="str">
        <f aca="true">IF(A342="","",IF(ISNUMBER(A342),IF(A342&gt;=36526,A342,""),IFERROR(DATE(VALUE(RIGHT(RIGHT(TRIM(A342),10),4)),VALUE(MID(RIGHT(TRIM(A342),10),4,2)),VALUE(LEFT(RIGHT(TRIM(A342),10),2))),IFERROR(TODAY()-MOD(WEEKDAY(TODAY(),1)-MATCH(TRIM(A342),{"الأحد","الاثنين","الثلاثاء","الأربعاء","الخميس","الجمعة","السبت"},0),7),IFERROR(DATEVALUE(A342),"")))))</f>
        <v/>
      </c>
      <c r="I342" s="0" t="str">
        <f aca="false">IF(H342="","",INT((H342-WEEK_ONE)/7)+1)</f>
        <v/>
      </c>
      <c r="J342" s="0" t="str">
        <f aca="false">IF(I342="","",IF(OR(I342&lt;1,I342&gt;NW),"",INDEX(WMON,I342)))</f>
        <v/>
      </c>
    </row>
    <row r="343" customFormat="false" ht="15" hidden="false" customHeight="false" outlineLevel="0" collapsed="false">
      <c r="A343" s="43"/>
      <c r="B343" s="23" t="str">
        <f aca="false">IF(H343="","",CHOOSE(WEEKDAY(H343,1),"الأحد","الاثنين","الثلاثاء","الأربعاء","الخميس","الجمعة","السبت")&amp;IF(OR(ISNUMBER(A343),LEN(TRIM(A343))&gt;=10),"","  "&amp;TEXT(DAY(H343),"00")&amp;"/"&amp;TEXT(MONTH(H343),"00")&amp;"/"&amp;YEAR(H343)))</f>
        <v/>
      </c>
      <c r="C343" s="24"/>
      <c r="D343" s="27"/>
      <c r="E343" s="44"/>
      <c r="F343" s="27"/>
      <c r="G343" s="0" t="str">
        <f aca="false">IF(AND(C343&lt;&gt;"",COUNTIF(C$6:C343,C343)=1),MAX(G$5:G342)+1,"")</f>
        <v/>
      </c>
      <c r="H343" s="0" t="str">
        <f aca="true">IF(A343="","",IF(ISNUMBER(A343),IF(A343&gt;=36526,A343,""),IFERROR(DATE(VALUE(RIGHT(RIGHT(TRIM(A343),10),4)),VALUE(MID(RIGHT(TRIM(A343),10),4,2)),VALUE(LEFT(RIGHT(TRIM(A343),10),2))),IFERROR(TODAY()-MOD(WEEKDAY(TODAY(),1)-MATCH(TRIM(A343),{"الأحد","الاثنين","الثلاثاء","الأربعاء","الخميس","الجمعة","السبت"},0),7),IFERROR(DATEVALUE(A343),"")))))</f>
        <v/>
      </c>
      <c r="I343" s="0" t="str">
        <f aca="false">IF(H343="","",INT((H343-WEEK_ONE)/7)+1)</f>
        <v/>
      </c>
      <c r="J343" s="0" t="str">
        <f aca="false">IF(I343="","",IF(OR(I343&lt;1,I343&gt;NW),"",INDEX(WMON,I343)))</f>
        <v/>
      </c>
    </row>
    <row r="344" customFormat="false" ht="15" hidden="false" customHeight="false" outlineLevel="0" collapsed="false">
      <c r="A344" s="43"/>
      <c r="B344" s="23" t="str">
        <f aca="false">IF(H344="","",CHOOSE(WEEKDAY(H344,1),"الأحد","الاثنين","الثلاثاء","الأربعاء","الخميس","الجمعة","السبت")&amp;IF(OR(ISNUMBER(A344),LEN(TRIM(A344))&gt;=10),"","  "&amp;TEXT(DAY(H344),"00")&amp;"/"&amp;TEXT(MONTH(H344),"00")&amp;"/"&amp;YEAR(H344)))</f>
        <v/>
      </c>
      <c r="C344" s="24"/>
      <c r="D344" s="27"/>
      <c r="E344" s="44"/>
      <c r="F344" s="27"/>
      <c r="G344" s="0" t="str">
        <f aca="false">IF(AND(C344&lt;&gt;"",COUNTIF(C$6:C344,C344)=1),MAX(G$5:G343)+1,"")</f>
        <v/>
      </c>
      <c r="H344" s="0" t="str">
        <f aca="true">IF(A344="","",IF(ISNUMBER(A344),IF(A344&gt;=36526,A344,""),IFERROR(DATE(VALUE(RIGHT(RIGHT(TRIM(A344),10),4)),VALUE(MID(RIGHT(TRIM(A344),10),4,2)),VALUE(LEFT(RIGHT(TRIM(A344),10),2))),IFERROR(TODAY()-MOD(WEEKDAY(TODAY(),1)-MATCH(TRIM(A344),{"الأحد","الاثنين","الثلاثاء","الأربعاء","الخميس","الجمعة","السبت"},0),7),IFERROR(DATEVALUE(A344),"")))))</f>
        <v/>
      </c>
      <c r="I344" s="0" t="str">
        <f aca="false">IF(H344="","",INT((H344-WEEK_ONE)/7)+1)</f>
        <v/>
      </c>
      <c r="J344" s="0" t="str">
        <f aca="false">IF(I344="","",IF(OR(I344&lt;1,I344&gt;NW),"",INDEX(WMON,I344)))</f>
        <v/>
      </c>
    </row>
    <row r="345" customFormat="false" ht="15" hidden="false" customHeight="false" outlineLevel="0" collapsed="false">
      <c r="A345" s="43"/>
      <c r="B345" s="23" t="str">
        <f aca="false">IF(H345="","",CHOOSE(WEEKDAY(H345,1),"الأحد","الاثنين","الثلاثاء","الأربعاء","الخميس","الجمعة","السبت")&amp;IF(OR(ISNUMBER(A345),LEN(TRIM(A345))&gt;=10),"","  "&amp;TEXT(DAY(H345),"00")&amp;"/"&amp;TEXT(MONTH(H345),"00")&amp;"/"&amp;YEAR(H345)))</f>
        <v/>
      </c>
      <c r="C345" s="24"/>
      <c r="D345" s="27"/>
      <c r="E345" s="44"/>
      <c r="F345" s="27"/>
      <c r="G345" s="0" t="str">
        <f aca="false">IF(AND(C345&lt;&gt;"",COUNTIF(C$6:C345,C345)=1),MAX(G$5:G344)+1,"")</f>
        <v/>
      </c>
      <c r="H345" s="0" t="str">
        <f aca="true">IF(A345="","",IF(ISNUMBER(A345),IF(A345&gt;=36526,A345,""),IFERROR(DATE(VALUE(RIGHT(RIGHT(TRIM(A345),10),4)),VALUE(MID(RIGHT(TRIM(A345),10),4,2)),VALUE(LEFT(RIGHT(TRIM(A345),10),2))),IFERROR(TODAY()-MOD(WEEKDAY(TODAY(),1)-MATCH(TRIM(A345),{"الأحد","الاثنين","الثلاثاء","الأربعاء","الخميس","الجمعة","السبت"},0),7),IFERROR(DATEVALUE(A345),"")))))</f>
        <v/>
      </c>
      <c r="I345" s="0" t="str">
        <f aca="false">IF(H345="","",INT((H345-WEEK_ONE)/7)+1)</f>
        <v/>
      </c>
      <c r="J345" s="0" t="str">
        <f aca="false">IF(I345="","",IF(OR(I345&lt;1,I345&gt;NW),"",INDEX(WMON,I345)))</f>
        <v/>
      </c>
    </row>
    <row r="346" customFormat="false" ht="15" hidden="false" customHeight="false" outlineLevel="0" collapsed="false">
      <c r="A346" s="43"/>
      <c r="B346" s="23" t="str">
        <f aca="false">IF(H346="","",CHOOSE(WEEKDAY(H346,1),"الأحد","الاثنين","الثلاثاء","الأربعاء","الخميس","الجمعة","السبت")&amp;IF(OR(ISNUMBER(A346),LEN(TRIM(A346))&gt;=10),"","  "&amp;TEXT(DAY(H346),"00")&amp;"/"&amp;TEXT(MONTH(H346),"00")&amp;"/"&amp;YEAR(H346)))</f>
        <v/>
      </c>
      <c r="C346" s="24"/>
      <c r="D346" s="27"/>
      <c r="E346" s="44"/>
      <c r="F346" s="27"/>
      <c r="G346" s="0" t="str">
        <f aca="false">IF(AND(C346&lt;&gt;"",COUNTIF(C$6:C346,C346)=1),MAX(G$5:G345)+1,"")</f>
        <v/>
      </c>
      <c r="H346" s="0" t="str">
        <f aca="true">IF(A346="","",IF(ISNUMBER(A346),IF(A346&gt;=36526,A346,""),IFERROR(DATE(VALUE(RIGHT(RIGHT(TRIM(A346),10),4)),VALUE(MID(RIGHT(TRIM(A346),10),4,2)),VALUE(LEFT(RIGHT(TRIM(A346),10),2))),IFERROR(TODAY()-MOD(WEEKDAY(TODAY(),1)-MATCH(TRIM(A346),{"الأحد","الاثنين","الثلاثاء","الأربعاء","الخميس","الجمعة","السبت"},0),7),IFERROR(DATEVALUE(A346),"")))))</f>
        <v/>
      </c>
      <c r="I346" s="0" t="str">
        <f aca="false">IF(H346="","",INT((H346-WEEK_ONE)/7)+1)</f>
        <v/>
      </c>
      <c r="J346" s="0" t="str">
        <f aca="false">IF(I346="","",IF(OR(I346&lt;1,I346&gt;NW),"",INDEX(WMON,I346)))</f>
        <v/>
      </c>
    </row>
    <row r="347" customFormat="false" ht="15" hidden="false" customHeight="false" outlineLevel="0" collapsed="false">
      <c r="A347" s="43"/>
      <c r="B347" s="23" t="str">
        <f aca="false">IF(H347="","",CHOOSE(WEEKDAY(H347,1),"الأحد","الاثنين","الثلاثاء","الأربعاء","الخميس","الجمعة","السبت")&amp;IF(OR(ISNUMBER(A347),LEN(TRIM(A347))&gt;=10),"","  "&amp;TEXT(DAY(H347),"00")&amp;"/"&amp;TEXT(MONTH(H347),"00")&amp;"/"&amp;YEAR(H347)))</f>
        <v/>
      </c>
      <c r="C347" s="24"/>
      <c r="D347" s="27"/>
      <c r="E347" s="44"/>
      <c r="F347" s="27"/>
      <c r="G347" s="0" t="str">
        <f aca="false">IF(AND(C347&lt;&gt;"",COUNTIF(C$6:C347,C347)=1),MAX(G$5:G346)+1,"")</f>
        <v/>
      </c>
      <c r="H347" s="0" t="str">
        <f aca="true">IF(A347="","",IF(ISNUMBER(A347),IF(A347&gt;=36526,A347,""),IFERROR(DATE(VALUE(RIGHT(RIGHT(TRIM(A347),10),4)),VALUE(MID(RIGHT(TRIM(A347),10),4,2)),VALUE(LEFT(RIGHT(TRIM(A347),10),2))),IFERROR(TODAY()-MOD(WEEKDAY(TODAY(),1)-MATCH(TRIM(A347),{"الأحد","الاثنين","الثلاثاء","الأربعاء","الخميس","الجمعة","السبت"},0),7),IFERROR(DATEVALUE(A347),"")))))</f>
        <v/>
      </c>
      <c r="I347" s="0" t="str">
        <f aca="false">IF(H347="","",INT((H347-WEEK_ONE)/7)+1)</f>
        <v/>
      </c>
      <c r="J347" s="0" t="str">
        <f aca="false">IF(I347="","",IF(OR(I347&lt;1,I347&gt;NW),"",INDEX(WMON,I347)))</f>
        <v/>
      </c>
    </row>
    <row r="348" customFormat="false" ht="15" hidden="false" customHeight="false" outlineLevel="0" collapsed="false">
      <c r="A348" s="43"/>
      <c r="B348" s="23" t="str">
        <f aca="false">IF(H348="","",CHOOSE(WEEKDAY(H348,1),"الأحد","الاثنين","الثلاثاء","الأربعاء","الخميس","الجمعة","السبت")&amp;IF(OR(ISNUMBER(A348),LEN(TRIM(A348))&gt;=10),"","  "&amp;TEXT(DAY(H348),"00")&amp;"/"&amp;TEXT(MONTH(H348),"00")&amp;"/"&amp;YEAR(H348)))</f>
        <v/>
      </c>
      <c r="C348" s="24"/>
      <c r="D348" s="27"/>
      <c r="E348" s="44"/>
      <c r="F348" s="27"/>
      <c r="G348" s="0" t="str">
        <f aca="false">IF(AND(C348&lt;&gt;"",COUNTIF(C$6:C348,C348)=1),MAX(G$5:G347)+1,"")</f>
        <v/>
      </c>
      <c r="H348" s="0" t="str">
        <f aca="true">IF(A348="","",IF(ISNUMBER(A348),IF(A348&gt;=36526,A348,""),IFERROR(DATE(VALUE(RIGHT(RIGHT(TRIM(A348),10),4)),VALUE(MID(RIGHT(TRIM(A348),10),4,2)),VALUE(LEFT(RIGHT(TRIM(A348),10),2))),IFERROR(TODAY()-MOD(WEEKDAY(TODAY(),1)-MATCH(TRIM(A348),{"الأحد","الاثنين","الثلاثاء","الأربعاء","الخميس","الجمعة","السبت"},0),7),IFERROR(DATEVALUE(A348),"")))))</f>
        <v/>
      </c>
      <c r="I348" s="0" t="str">
        <f aca="false">IF(H348="","",INT((H348-WEEK_ONE)/7)+1)</f>
        <v/>
      </c>
      <c r="J348" s="0" t="str">
        <f aca="false">IF(I348="","",IF(OR(I348&lt;1,I348&gt;NW),"",INDEX(WMON,I348)))</f>
        <v/>
      </c>
    </row>
    <row r="349" customFormat="false" ht="15" hidden="false" customHeight="false" outlineLevel="0" collapsed="false">
      <c r="A349" s="43"/>
      <c r="B349" s="23" t="str">
        <f aca="false">IF(H349="","",CHOOSE(WEEKDAY(H349,1),"الأحد","الاثنين","الثلاثاء","الأربعاء","الخميس","الجمعة","السبت")&amp;IF(OR(ISNUMBER(A349),LEN(TRIM(A349))&gt;=10),"","  "&amp;TEXT(DAY(H349),"00")&amp;"/"&amp;TEXT(MONTH(H349),"00")&amp;"/"&amp;YEAR(H349)))</f>
        <v/>
      </c>
      <c r="C349" s="24"/>
      <c r="D349" s="27"/>
      <c r="E349" s="44"/>
      <c r="F349" s="27"/>
      <c r="G349" s="0" t="str">
        <f aca="false">IF(AND(C349&lt;&gt;"",COUNTIF(C$6:C349,C349)=1),MAX(G$5:G348)+1,"")</f>
        <v/>
      </c>
      <c r="H349" s="0" t="str">
        <f aca="true">IF(A349="","",IF(ISNUMBER(A349),IF(A349&gt;=36526,A349,""),IFERROR(DATE(VALUE(RIGHT(RIGHT(TRIM(A349),10),4)),VALUE(MID(RIGHT(TRIM(A349),10),4,2)),VALUE(LEFT(RIGHT(TRIM(A349),10),2))),IFERROR(TODAY()-MOD(WEEKDAY(TODAY(),1)-MATCH(TRIM(A349),{"الأحد","الاثنين","الثلاثاء","الأربعاء","الخميس","الجمعة","السبت"},0),7),IFERROR(DATEVALUE(A349),"")))))</f>
        <v/>
      </c>
      <c r="I349" s="0" t="str">
        <f aca="false">IF(H349="","",INT((H349-WEEK_ONE)/7)+1)</f>
        <v/>
      </c>
      <c r="J349" s="0" t="str">
        <f aca="false">IF(I349="","",IF(OR(I349&lt;1,I349&gt;NW),"",INDEX(WMON,I349)))</f>
        <v/>
      </c>
    </row>
    <row r="350" customFormat="false" ht="15" hidden="false" customHeight="false" outlineLevel="0" collapsed="false">
      <c r="A350" s="43"/>
      <c r="B350" s="23" t="str">
        <f aca="false">IF(H350="","",CHOOSE(WEEKDAY(H350,1),"الأحد","الاثنين","الثلاثاء","الأربعاء","الخميس","الجمعة","السبت")&amp;IF(OR(ISNUMBER(A350),LEN(TRIM(A350))&gt;=10),"","  "&amp;TEXT(DAY(H350),"00")&amp;"/"&amp;TEXT(MONTH(H350),"00")&amp;"/"&amp;YEAR(H350)))</f>
        <v/>
      </c>
      <c r="C350" s="24"/>
      <c r="D350" s="27"/>
      <c r="E350" s="44"/>
      <c r="F350" s="27"/>
      <c r="G350" s="0" t="str">
        <f aca="false">IF(AND(C350&lt;&gt;"",COUNTIF(C$6:C350,C350)=1),MAX(G$5:G349)+1,"")</f>
        <v/>
      </c>
      <c r="H350" s="0" t="str">
        <f aca="true">IF(A350="","",IF(ISNUMBER(A350),IF(A350&gt;=36526,A350,""),IFERROR(DATE(VALUE(RIGHT(RIGHT(TRIM(A350),10),4)),VALUE(MID(RIGHT(TRIM(A350),10),4,2)),VALUE(LEFT(RIGHT(TRIM(A350),10),2))),IFERROR(TODAY()-MOD(WEEKDAY(TODAY(),1)-MATCH(TRIM(A350),{"الأحد","الاثنين","الثلاثاء","الأربعاء","الخميس","الجمعة","السبت"},0),7),IFERROR(DATEVALUE(A350),"")))))</f>
        <v/>
      </c>
      <c r="I350" s="0" t="str">
        <f aca="false">IF(H350="","",INT((H350-WEEK_ONE)/7)+1)</f>
        <v/>
      </c>
      <c r="J350" s="0" t="str">
        <f aca="false">IF(I350="","",IF(OR(I350&lt;1,I350&gt;NW),"",INDEX(WMON,I350)))</f>
        <v/>
      </c>
    </row>
    <row r="351" customFormat="false" ht="15" hidden="false" customHeight="false" outlineLevel="0" collapsed="false">
      <c r="A351" s="43"/>
      <c r="B351" s="23" t="str">
        <f aca="false">IF(H351="","",CHOOSE(WEEKDAY(H351,1),"الأحد","الاثنين","الثلاثاء","الأربعاء","الخميس","الجمعة","السبت")&amp;IF(OR(ISNUMBER(A351),LEN(TRIM(A351))&gt;=10),"","  "&amp;TEXT(DAY(H351),"00")&amp;"/"&amp;TEXT(MONTH(H351),"00")&amp;"/"&amp;YEAR(H351)))</f>
        <v/>
      </c>
      <c r="C351" s="24"/>
      <c r="D351" s="27"/>
      <c r="E351" s="44"/>
      <c r="F351" s="27"/>
      <c r="G351" s="0" t="str">
        <f aca="false">IF(AND(C351&lt;&gt;"",COUNTIF(C$6:C351,C351)=1),MAX(G$5:G350)+1,"")</f>
        <v/>
      </c>
      <c r="H351" s="0" t="str">
        <f aca="true">IF(A351="","",IF(ISNUMBER(A351),IF(A351&gt;=36526,A351,""),IFERROR(DATE(VALUE(RIGHT(RIGHT(TRIM(A351),10),4)),VALUE(MID(RIGHT(TRIM(A351),10),4,2)),VALUE(LEFT(RIGHT(TRIM(A351),10),2))),IFERROR(TODAY()-MOD(WEEKDAY(TODAY(),1)-MATCH(TRIM(A351),{"الأحد","الاثنين","الثلاثاء","الأربعاء","الخميس","الجمعة","السبت"},0),7),IFERROR(DATEVALUE(A351),"")))))</f>
        <v/>
      </c>
      <c r="I351" s="0" t="str">
        <f aca="false">IF(H351="","",INT((H351-WEEK_ONE)/7)+1)</f>
        <v/>
      </c>
      <c r="J351" s="0" t="str">
        <f aca="false">IF(I351="","",IF(OR(I351&lt;1,I351&gt;NW),"",INDEX(WMON,I351)))</f>
        <v/>
      </c>
    </row>
    <row r="352" customFormat="false" ht="15" hidden="false" customHeight="false" outlineLevel="0" collapsed="false">
      <c r="A352" s="43"/>
      <c r="B352" s="23" t="str">
        <f aca="false">IF(H352="","",CHOOSE(WEEKDAY(H352,1),"الأحد","الاثنين","الثلاثاء","الأربعاء","الخميس","الجمعة","السبت")&amp;IF(OR(ISNUMBER(A352),LEN(TRIM(A352))&gt;=10),"","  "&amp;TEXT(DAY(H352),"00")&amp;"/"&amp;TEXT(MONTH(H352),"00")&amp;"/"&amp;YEAR(H352)))</f>
        <v/>
      </c>
      <c r="C352" s="24"/>
      <c r="D352" s="27"/>
      <c r="E352" s="44"/>
      <c r="F352" s="27"/>
      <c r="G352" s="0" t="str">
        <f aca="false">IF(AND(C352&lt;&gt;"",COUNTIF(C$6:C352,C352)=1),MAX(G$5:G351)+1,"")</f>
        <v/>
      </c>
      <c r="H352" s="0" t="str">
        <f aca="true">IF(A352="","",IF(ISNUMBER(A352),IF(A352&gt;=36526,A352,""),IFERROR(DATE(VALUE(RIGHT(RIGHT(TRIM(A352),10),4)),VALUE(MID(RIGHT(TRIM(A352),10),4,2)),VALUE(LEFT(RIGHT(TRIM(A352),10),2))),IFERROR(TODAY()-MOD(WEEKDAY(TODAY(),1)-MATCH(TRIM(A352),{"الأحد","الاثنين","الثلاثاء","الأربعاء","الخميس","الجمعة","السبت"},0),7),IFERROR(DATEVALUE(A352),"")))))</f>
        <v/>
      </c>
      <c r="I352" s="0" t="str">
        <f aca="false">IF(H352="","",INT((H352-WEEK_ONE)/7)+1)</f>
        <v/>
      </c>
      <c r="J352" s="0" t="str">
        <f aca="false">IF(I352="","",IF(OR(I352&lt;1,I352&gt;NW),"",INDEX(WMON,I352)))</f>
        <v/>
      </c>
    </row>
    <row r="353" customFormat="false" ht="15" hidden="false" customHeight="false" outlineLevel="0" collapsed="false">
      <c r="A353" s="43"/>
      <c r="B353" s="23" t="str">
        <f aca="false">IF(H353="","",CHOOSE(WEEKDAY(H353,1),"الأحد","الاثنين","الثلاثاء","الأربعاء","الخميس","الجمعة","السبت")&amp;IF(OR(ISNUMBER(A353),LEN(TRIM(A353))&gt;=10),"","  "&amp;TEXT(DAY(H353),"00")&amp;"/"&amp;TEXT(MONTH(H353),"00")&amp;"/"&amp;YEAR(H353)))</f>
        <v/>
      </c>
      <c r="C353" s="24"/>
      <c r="D353" s="27"/>
      <c r="E353" s="44"/>
      <c r="F353" s="27"/>
      <c r="G353" s="0" t="str">
        <f aca="false">IF(AND(C353&lt;&gt;"",COUNTIF(C$6:C353,C353)=1),MAX(G$5:G352)+1,"")</f>
        <v/>
      </c>
      <c r="H353" s="0" t="str">
        <f aca="true">IF(A353="","",IF(ISNUMBER(A353),IF(A353&gt;=36526,A353,""),IFERROR(DATE(VALUE(RIGHT(RIGHT(TRIM(A353),10),4)),VALUE(MID(RIGHT(TRIM(A353),10),4,2)),VALUE(LEFT(RIGHT(TRIM(A353),10),2))),IFERROR(TODAY()-MOD(WEEKDAY(TODAY(),1)-MATCH(TRIM(A353),{"الأحد","الاثنين","الثلاثاء","الأربعاء","الخميس","الجمعة","السبت"},0),7),IFERROR(DATEVALUE(A353),"")))))</f>
        <v/>
      </c>
      <c r="I353" s="0" t="str">
        <f aca="false">IF(H353="","",INT((H353-WEEK_ONE)/7)+1)</f>
        <v/>
      </c>
      <c r="J353" s="0" t="str">
        <f aca="false">IF(I353="","",IF(OR(I353&lt;1,I353&gt;NW),"",INDEX(WMON,I353)))</f>
        <v/>
      </c>
    </row>
    <row r="354" customFormat="false" ht="15" hidden="false" customHeight="false" outlineLevel="0" collapsed="false">
      <c r="A354" s="43"/>
      <c r="B354" s="23" t="str">
        <f aca="false">IF(H354="","",CHOOSE(WEEKDAY(H354,1),"الأحد","الاثنين","الثلاثاء","الأربعاء","الخميس","الجمعة","السبت")&amp;IF(OR(ISNUMBER(A354),LEN(TRIM(A354))&gt;=10),"","  "&amp;TEXT(DAY(H354),"00")&amp;"/"&amp;TEXT(MONTH(H354),"00")&amp;"/"&amp;YEAR(H354)))</f>
        <v/>
      </c>
      <c r="C354" s="24"/>
      <c r="D354" s="27"/>
      <c r="E354" s="44"/>
      <c r="F354" s="27"/>
      <c r="G354" s="0" t="str">
        <f aca="false">IF(AND(C354&lt;&gt;"",COUNTIF(C$6:C354,C354)=1),MAX(G$5:G353)+1,"")</f>
        <v/>
      </c>
      <c r="H354" s="0" t="str">
        <f aca="true">IF(A354="","",IF(ISNUMBER(A354),IF(A354&gt;=36526,A354,""),IFERROR(DATE(VALUE(RIGHT(RIGHT(TRIM(A354),10),4)),VALUE(MID(RIGHT(TRIM(A354),10),4,2)),VALUE(LEFT(RIGHT(TRIM(A354),10),2))),IFERROR(TODAY()-MOD(WEEKDAY(TODAY(),1)-MATCH(TRIM(A354),{"الأحد","الاثنين","الثلاثاء","الأربعاء","الخميس","الجمعة","السبت"},0),7),IFERROR(DATEVALUE(A354),"")))))</f>
        <v/>
      </c>
      <c r="I354" s="0" t="str">
        <f aca="false">IF(H354="","",INT((H354-WEEK_ONE)/7)+1)</f>
        <v/>
      </c>
      <c r="J354" s="0" t="str">
        <f aca="false">IF(I354="","",IF(OR(I354&lt;1,I354&gt;NW),"",INDEX(WMON,I354)))</f>
        <v/>
      </c>
    </row>
    <row r="355" customFormat="false" ht="15" hidden="false" customHeight="false" outlineLevel="0" collapsed="false">
      <c r="A355" s="43"/>
      <c r="B355" s="23" t="str">
        <f aca="false">IF(H355="","",CHOOSE(WEEKDAY(H355,1),"الأحد","الاثنين","الثلاثاء","الأربعاء","الخميس","الجمعة","السبت")&amp;IF(OR(ISNUMBER(A355),LEN(TRIM(A355))&gt;=10),"","  "&amp;TEXT(DAY(H355),"00")&amp;"/"&amp;TEXT(MONTH(H355),"00")&amp;"/"&amp;YEAR(H355)))</f>
        <v/>
      </c>
      <c r="C355" s="24"/>
      <c r="D355" s="27"/>
      <c r="E355" s="44"/>
      <c r="F355" s="27"/>
      <c r="G355" s="0" t="str">
        <f aca="false">IF(AND(C355&lt;&gt;"",COUNTIF(C$6:C355,C355)=1),MAX(G$5:G354)+1,"")</f>
        <v/>
      </c>
      <c r="H355" s="0" t="str">
        <f aca="true">IF(A355="","",IF(ISNUMBER(A355),IF(A355&gt;=36526,A355,""),IFERROR(DATE(VALUE(RIGHT(RIGHT(TRIM(A355),10),4)),VALUE(MID(RIGHT(TRIM(A355),10),4,2)),VALUE(LEFT(RIGHT(TRIM(A355),10),2))),IFERROR(TODAY()-MOD(WEEKDAY(TODAY(),1)-MATCH(TRIM(A355),{"الأحد","الاثنين","الثلاثاء","الأربعاء","الخميس","الجمعة","السبت"},0),7),IFERROR(DATEVALUE(A355),"")))))</f>
        <v/>
      </c>
      <c r="I355" s="0" t="str">
        <f aca="false">IF(H355="","",INT((H355-WEEK_ONE)/7)+1)</f>
        <v/>
      </c>
      <c r="J355" s="0" t="str">
        <f aca="false">IF(I355="","",IF(OR(I355&lt;1,I355&gt;NW),"",INDEX(WMON,I355)))</f>
        <v/>
      </c>
    </row>
    <row r="356" customFormat="false" ht="15" hidden="false" customHeight="false" outlineLevel="0" collapsed="false">
      <c r="A356" s="43"/>
      <c r="B356" s="23" t="str">
        <f aca="false">IF(H356="","",CHOOSE(WEEKDAY(H356,1),"الأحد","الاثنين","الثلاثاء","الأربعاء","الخميس","الجمعة","السبت")&amp;IF(OR(ISNUMBER(A356),LEN(TRIM(A356))&gt;=10),"","  "&amp;TEXT(DAY(H356),"00")&amp;"/"&amp;TEXT(MONTH(H356),"00")&amp;"/"&amp;YEAR(H356)))</f>
        <v/>
      </c>
      <c r="C356" s="24"/>
      <c r="D356" s="27"/>
      <c r="E356" s="44"/>
      <c r="F356" s="27"/>
      <c r="G356" s="0" t="str">
        <f aca="false">IF(AND(C356&lt;&gt;"",COUNTIF(C$6:C356,C356)=1),MAX(G$5:G355)+1,"")</f>
        <v/>
      </c>
      <c r="H356" s="0" t="str">
        <f aca="true">IF(A356="","",IF(ISNUMBER(A356),IF(A356&gt;=36526,A356,""),IFERROR(DATE(VALUE(RIGHT(RIGHT(TRIM(A356),10),4)),VALUE(MID(RIGHT(TRIM(A356),10),4,2)),VALUE(LEFT(RIGHT(TRIM(A356),10),2))),IFERROR(TODAY()-MOD(WEEKDAY(TODAY(),1)-MATCH(TRIM(A356),{"الأحد","الاثنين","الثلاثاء","الأربعاء","الخميس","الجمعة","السبت"},0),7),IFERROR(DATEVALUE(A356),"")))))</f>
        <v/>
      </c>
      <c r="I356" s="0" t="str">
        <f aca="false">IF(H356="","",INT((H356-WEEK_ONE)/7)+1)</f>
        <v/>
      </c>
      <c r="J356" s="0" t="str">
        <f aca="false">IF(I356="","",IF(OR(I356&lt;1,I356&gt;NW),"",INDEX(WMON,I356)))</f>
        <v/>
      </c>
    </row>
    <row r="357" customFormat="false" ht="15" hidden="false" customHeight="false" outlineLevel="0" collapsed="false">
      <c r="A357" s="43"/>
      <c r="B357" s="23" t="str">
        <f aca="false">IF(H357="","",CHOOSE(WEEKDAY(H357,1),"الأحد","الاثنين","الثلاثاء","الأربعاء","الخميس","الجمعة","السبت")&amp;IF(OR(ISNUMBER(A357),LEN(TRIM(A357))&gt;=10),"","  "&amp;TEXT(DAY(H357),"00")&amp;"/"&amp;TEXT(MONTH(H357),"00")&amp;"/"&amp;YEAR(H357)))</f>
        <v/>
      </c>
      <c r="C357" s="24"/>
      <c r="D357" s="27"/>
      <c r="E357" s="44"/>
      <c r="F357" s="27"/>
      <c r="G357" s="0" t="str">
        <f aca="false">IF(AND(C357&lt;&gt;"",COUNTIF(C$6:C357,C357)=1),MAX(G$5:G356)+1,"")</f>
        <v/>
      </c>
      <c r="H357" s="0" t="str">
        <f aca="true">IF(A357="","",IF(ISNUMBER(A357),IF(A357&gt;=36526,A357,""),IFERROR(DATE(VALUE(RIGHT(RIGHT(TRIM(A357),10),4)),VALUE(MID(RIGHT(TRIM(A357),10),4,2)),VALUE(LEFT(RIGHT(TRIM(A357),10),2))),IFERROR(TODAY()-MOD(WEEKDAY(TODAY(),1)-MATCH(TRIM(A357),{"الأحد","الاثنين","الثلاثاء","الأربعاء","الخميس","الجمعة","السبت"},0),7),IFERROR(DATEVALUE(A357),"")))))</f>
        <v/>
      </c>
      <c r="I357" s="0" t="str">
        <f aca="false">IF(H357="","",INT((H357-WEEK_ONE)/7)+1)</f>
        <v/>
      </c>
      <c r="J357" s="0" t="str">
        <f aca="false">IF(I357="","",IF(OR(I357&lt;1,I357&gt;NW),"",INDEX(WMON,I357)))</f>
        <v/>
      </c>
    </row>
    <row r="358" customFormat="false" ht="15" hidden="false" customHeight="false" outlineLevel="0" collapsed="false">
      <c r="A358" s="43"/>
      <c r="B358" s="23" t="str">
        <f aca="false">IF(H358="","",CHOOSE(WEEKDAY(H358,1),"الأحد","الاثنين","الثلاثاء","الأربعاء","الخميس","الجمعة","السبت")&amp;IF(OR(ISNUMBER(A358),LEN(TRIM(A358))&gt;=10),"","  "&amp;TEXT(DAY(H358),"00")&amp;"/"&amp;TEXT(MONTH(H358),"00")&amp;"/"&amp;YEAR(H358)))</f>
        <v/>
      </c>
      <c r="C358" s="24"/>
      <c r="D358" s="27"/>
      <c r="E358" s="44"/>
      <c r="F358" s="27"/>
      <c r="G358" s="0" t="str">
        <f aca="false">IF(AND(C358&lt;&gt;"",COUNTIF(C$6:C358,C358)=1),MAX(G$5:G357)+1,"")</f>
        <v/>
      </c>
      <c r="H358" s="0" t="str">
        <f aca="true">IF(A358="","",IF(ISNUMBER(A358),IF(A358&gt;=36526,A358,""),IFERROR(DATE(VALUE(RIGHT(RIGHT(TRIM(A358),10),4)),VALUE(MID(RIGHT(TRIM(A358),10),4,2)),VALUE(LEFT(RIGHT(TRIM(A358),10),2))),IFERROR(TODAY()-MOD(WEEKDAY(TODAY(),1)-MATCH(TRIM(A358),{"الأحد","الاثنين","الثلاثاء","الأربعاء","الخميس","الجمعة","السبت"},0),7),IFERROR(DATEVALUE(A358),"")))))</f>
        <v/>
      </c>
      <c r="I358" s="0" t="str">
        <f aca="false">IF(H358="","",INT((H358-WEEK_ONE)/7)+1)</f>
        <v/>
      </c>
      <c r="J358" s="0" t="str">
        <f aca="false">IF(I358="","",IF(OR(I358&lt;1,I358&gt;NW),"",INDEX(WMON,I358)))</f>
        <v/>
      </c>
    </row>
    <row r="359" customFormat="false" ht="15" hidden="false" customHeight="false" outlineLevel="0" collapsed="false">
      <c r="A359" s="43"/>
      <c r="B359" s="23" t="str">
        <f aca="false">IF(H359="","",CHOOSE(WEEKDAY(H359,1),"الأحد","الاثنين","الثلاثاء","الأربعاء","الخميس","الجمعة","السبت")&amp;IF(OR(ISNUMBER(A359),LEN(TRIM(A359))&gt;=10),"","  "&amp;TEXT(DAY(H359),"00")&amp;"/"&amp;TEXT(MONTH(H359),"00")&amp;"/"&amp;YEAR(H359)))</f>
        <v/>
      </c>
      <c r="C359" s="24"/>
      <c r="D359" s="27"/>
      <c r="E359" s="44"/>
      <c r="F359" s="27"/>
      <c r="G359" s="0" t="str">
        <f aca="false">IF(AND(C359&lt;&gt;"",COUNTIF(C$6:C359,C359)=1),MAX(G$5:G358)+1,"")</f>
        <v/>
      </c>
      <c r="H359" s="0" t="str">
        <f aca="true">IF(A359="","",IF(ISNUMBER(A359),IF(A359&gt;=36526,A359,""),IFERROR(DATE(VALUE(RIGHT(RIGHT(TRIM(A359),10),4)),VALUE(MID(RIGHT(TRIM(A359),10),4,2)),VALUE(LEFT(RIGHT(TRIM(A359),10),2))),IFERROR(TODAY()-MOD(WEEKDAY(TODAY(),1)-MATCH(TRIM(A359),{"الأحد","الاثنين","الثلاثاء","الأربعاء","الخميس","الجمعة","السبت"},0),7),IFERROR(DATEVALUE(A359),"")))))</f>
        <v/>
      </c>
      <c r="I359" s="0" t="str">
        <f aca="false">IF(H359="","",INT((H359-WEEK_ONE)/7)+1)</f>
        <v/>
      </c>
      <c r="J359" s="0" t="str">
        <f aca="false">IF(I359="","",IF(OR(I359&lt;1,I359&gt;NW),"",INDEX(WMON,I359)))</f>
        <v/>
      </c>
    </row>
    <row r="360" customFormat="false" ht="15" hidden="false" customHeight="false" outlineLevel="0" collapsed="false">
      <c r="A360" s="43"/>
      <c r="B360" s="23" t="str">
        <f aca="false">IF(H360="","",CHOOSE(WEEKDAY(H360,1),"الأحد","الاثنين","الثلاثاء","الأربعاء","الخميس","الجمعة","السبت")&amp;IF(OR(ISNUMBER(A360),LEN(TRIM(A360))&gt;=10),"","  "&amp;TEXT(DAY(H360),"00")&amp;"/"&amp;TEXT(MONTH(H360),"00")&amp;"/"&amp;YEAR(H360)))</f>
        <v/>
      </c>
      <c r="C360" s="24"/>
      <c r="D360" s="27"/>
      <c r="E360" s="44"/>
      <c r="F360" s="27"/>
      <c r="G360" s="0" t="str">
        <f aca="false">IF(AND(C360&lt;&gt;"",COUNTIF(C$6:C360,C360)=1),MAX(G$5:G359)+1,"")</f>
        <v/>
      </c>
      <c r="H360" s="0" t="str">
        <f aca="true">IF(A360="","",IF(ISNUMBER(A360),IF(A360&gt;=36526,A360,""),IFERROR(DATE(VALUE(RIGHT(RIGHT(TRIM(A360),10),4)),VALUE(MID(RIGHT(TRIM(A360),10),4,2)),VALUE(LEFT(RIGHT(TRIM(A360),10),2))),IFERROR(TODAY()-MOD(WEEKDAY(TODAY(),1)-MATCH(TRIM(A360),{"الأحد","الاثنين","الثلاثاء","الأربعاء","الخميس","الجمعة","السبت"},0),7),IFERROR(DATEVALUE(A360),"")))))</f>
        <v/>
      </c>
      <c r="I360" s="0" t="str">
        <f aca="false">IF(H360="","",INT((H360-WEEK_ONE)/7)+1)</f>
        <v/>
      </c>
      <c r="J360" s="0" t="str">
        <f aca="false">IF(I360="","",IF(OR(I360&lt;1,I360&gt;NW),"",INDEX(WMON,I360)))</f>
        <v/>
      </c>
    </row>
    <row r="361" customFormat="false" ht="15" hidden="false" customHeight="false" outlineLevel="0" collapsed="false">
      <c r="A361" s="43"/>
      <c r="B361" s="23" t="str">
        <f aca="false">IF(H361="","",CHOOSE(WEEKDAY(H361,1),"الأحد","الاثنين","الثلاثاء","الأربعاء","الخميس","الجمعة","السبت")&amp;IF(OR(ISNUMBER(A361),LEN(TRIM(A361))&gt;=10),"","  "&amp;TEXT(DAY(H361),"00")&amp;"/"&amp;TEXT(MONTH(H361),"00")&amp;"/"&amp;YEAR(H361)))</f>
        <v/>
      </c>
      <c r="C361" s="24"/>
      <c r="D361" s="27"/>
      <c r="E361" s="44"/>
      <c r="F361" s="27"/>
      <c r="G361" s="0" t="str">
        <f aca="false">IF(AND(C361&lt;&gt;"",COUNTIF(C$6:C361,C361)=1),MAX(G$5:G360)+1,"")</f>
        <v/>
      </c>
      <c r="H361" s="0" t="str">
        <f aca="true">IF(A361="","",IF(ISNUMBER(A361),IF(A361&gt;=36526,A361,""),IFERROR(DATE(VALUE(RIGHT(RIGHT(TRIM(A361),10),4)),VALUE(MID(RIGHT(TRIM(A361),10),4,2)),VALUE(LEFT(RIGHT(TRIM(A361),10),2))),IFERROR(TODAY()-MOD(WEEKDAY(TODAY(),1)-MATCH(TRIM(A361),{"الأحد","الاثنين","الثلاثاء","الأربعاء","الخميس","الجمعة","السبت"},0),7),IFERROR(DATEVALUE(A361),"")))))</f>
        <v/>
      </c>
      <c r="I361" s="0" t="str">
        <f aca="false">IF(H361="","",INT((H361-WEEK_ONE)/7)+1)</f>
        <v/>
      </c>
      <c r="J361" s="0" t="str">
        <f aca="false">IF(I361="","",IF(OR(I361&lt;1,I361&gt;NW),"",INDEX(WMON,I361)))</f>
        <v/>
      </c>
    </row>
    <row r="362" customFormat="false" ht="15" hidden="false" customHeight="false" outlineLevel="0" collapsed="false">
      <c r="A362" s="43"/>
      <c r="B362" s="23" t="str">
        <f aca="false">IF(H362="","",CHOOSE(WEEKDAY(H362,1),"الأحد","الاثنين","الثلاثاء","الأربعاء","الخميس","الجمعة","السبت")&amp;IF(OR(ISNUMBER(A362),LEN(TRIM(A362))&gt;=10),"","  "&amp;TEXT(DAY(H362),"00")&amp;"/"&amp;TEXT(MONTH(H362),"00")&amp;"/"&amp;YEAR(H362)))</f>
        <v/>
      </c>
      <c r="C362" s="24"/>
      <c r="D362" s="27"/>
      <c r="E362" s="44"/>
      <c r="F362" s="27"/>
      <c r="G362" s="0" t="str">
        <f aca="false">IF(AND(C362&lt;&gt;"",COUNTIF(C$6:C362,C362)=1),MAX(G$5:G361)+1,"")</f>
        <v/>
      </c>
      <c r="H362" s="0" t="str">
        <f aca="true">IF(A362="","",IF(ISNUMBER(A362),IF(A362&gt;=36526,A362,""),IFERROR(DATE(VALUE(RIGHT(RIGHT(TRIM(A362),10),4)),VALUE(MID(RIGHT(TRIM(A362),10),4,2)),VALUE(LEFT(RIGHT(TRIM(A362),10),2))),IFERROR(TODAY()-MOD(WEEKDAY(TODAY(),1)-MATCH(TRIM(A362),{"الأحد","الاثنين","الثلاثاء","الأربعاء","الخميس","الجمعة","السبت"},0),7),IFERROR(DATEVALUE(A362),"")))))</f>
        <v/>
      </c>
      <c r="I362" s="0" t="str">
        <f aca="false">IF(H362="","",INT((H362-WEEK_ONE)/7)+1)</f>
        <v/>
      </c>
      <c r="J362" s="0" t="str">
        <f aca="false">IF(I362="","",IF(OR(I362&lt;1,I362&gt;NW),"",INDEX(WMON,I362)))</f>
        <v/>
      </c>
    </row>
    <row r="363" customFormat="false" ht="15" hidden="false" customHeight="false" outlineLevel="0" collapsed="false">
      <c r="A363" s="43"/>
      <c r="B363" s="23" t="str">
        <f aca="false">IF(H363="","",CHOOSE(WEEKDAY(H363,1),"الأحد","الاثنين","الثلاثاء","الأربعاء","الخميس","الجمعة","السبت")&amp;IF(OR(ISNUMBER(A363),LEN(TRIM(A363))&gt;=10),"","  "&amp;TEXT(DAY(H363),"00")&amp;"/"&amp;TEXT(MONTH(H363),"00")&amp;"/"&amp;YEAR(H363)))</f>
        <v/>
      </c>
      <c r="C363" s="24"/>
      <c r="D363" s="27"/>
      <c r="E363" s="44"/>
      <c r="F363" s="27"/>
      <c r="G363" s="0" t="str">
        <f aca="false">IF(AND(C363&lt;&gt;"",COUNTIF(C$6:C363,C363)=1),MAX(G$5:G362)+1,"")</f>
        <v/>
      </c>
      <c r="H363" s="0" t="str">
        <f aca="true">IF(A363="","",IF(ISNUMBER(A363),IF(A363&gt;=36526,A363,""),IFERROR(DATE(VALUE(RIGHT(RIGHT(TRIM(A363),10),4)),VALUE(MID(RIGHT(TRIM(A363),10),4,2)),VALUE(LEFT(RIGHT(TRIM(A363),10),2))),IFERROR(TODAY()-MOD(WEEKDAY(TODAY(),1)-MATCH(TRIM(A363),{"الأحد","الاثنين","الثلاثاء","الأربعاء","الخميس","الجمعة","السبت"},0),7),IFERROR(DATEVALUE(A363),"")))))</f>
        <v/>
      </c>
      <c r="I363" s="0" t="str">
        <f aca="false">IF(H363="","",INT((H363-WEEK_ONE)/7)+1)</f>
        <v/>
      </c>
      <c r="J363" s="0" t="str">
        <f aca="false">IF(I363="","",IF(OR(I363&lt;1,I363&gt;NW),"",INDEX(WMON,I363)))</f>
        <v/>
      </c>
    </row>
    <row r="364" customFormat="false" ht="15" hidden="false" customHeight="false" outlineLevel="0" collapsed="false">
      <c r="A364" s="43"/>
      <c r="B364" s="23" t="str">
        <f aca="false">IF(H364="","",CHOOSE(WEEKDAY(H364,1),"الأحد","الاثنين","الثلاثاء","الأربعاء","الخميس","الجمعة","السبت")&amp;IF(OR(ISNUMBER(A364),LEN(TRIM(A364))&gt;=10),"","  "&amp;TEXT(DAY(H364),"00")&amp;"/"&amp;TEXT(MONTH(H364),"00")&amp;"/"&amp;YEAR(H364)))</f>
        <v/>
      </c>
      <c r="C364" s="24"/>
      <c r="D364" s="27"/>
      <c r="E364" s="44"/>
      <c r="F364" s="27"/>
      <c r="G364" s="0" t="str">
        <f aca="false">IF(AND(C364&lt;&gt;"",COUNTIF(C$6:C364,C364)=1),MAX(G$5:G363)+1,"")</f>
        <v/>
      </c>
      <c r="H364" s="0" t="str">
        <f aca="true">IF(A364="","",IF(ISNUMBER(A364),IF(A364&gt;=36526,A364,""),IFERROR(DATE(VALUE(RIGHT(RIGHT(TRIM(A364),10),4)),VALUE(MID(RIGHT(TRIM(A364),10),4,2)),VALUE(LEFT(RIGHT(TRIM(A364),10),2))),IFERROR(TODAY()-MOD(WEEKDAY(TODAY(),1)-MATCH(TRIM(A364),{"الأحد","الاثنين","الثلاثاء","الأربعاء","الخميس","الجمعة","السبت"},0),7),IFERROR(DATEVALUE(A364),"")))))</f>
        <v/>
      </c>
      <c r="I364" s="0" t="str">
        <f aca="false">IF(H364="","",INT((H364-WEEK_ONE)/7)+1)</f>
        <v/>
      </c>
      <c r="J364" s="0" t="str">
        <f aca="false">IF(I364="","",IF(OR(I364&lt;1,I364&gt;NW),"",INDEX(WMON,I364)))</f>
        <v/>
      </c>
    </row>
    <row r="365" customFormat="false" ht="15" hidden="false" customHeight="false" outlineLevel="0" collapsed="false">
      <c r="A365" s="43"/>
      <c r="B365" s="23" t="str">
        <f aca="false">IF(H365="","",CHOOSE(WEEKDAY(H365,1),"الأحد","الاثنين","الثلاثاء","الأربعاء","الخميس","الجمعة","السبت")&amp;IF(OR(ISNUMBER(A365),LEN(TRIM(A365))&gt;=10),"","  "&amp;TEXT(DAY(H365),"00")&amp;"/"&amp;TEXT(MONTH(H365),"00")&amp;"/"&amp;YEAR(H365)))</f>
        <v/>
      </c>
      <c r="C365" s="24"/>
      <c r="D365" s="27"/>
      <c r="E365" s="44"/>
      <c r="F365" s="27"/>
      <c r="G365" s="0" t="str">
        <f aca="false">IF(AND(C365&lt;&gt;"",COUNTIF(C$6:C365,C365)=1),MAX(G$5:G364)+1,"")</f>
        <v/>
      </c>
      <c r="H365" s="0" t="str">
        <f aca="true">IF(A365="","",IF(ISNUMBER(A365),IF(A365&gt;=36526,A365,""),IFERROR(DATE(VALUE(RIGHT(RIGHT(TRIM(A365),10),4)),VALUE(MID(RIGHT(TRIM(A365),10),4,2)),VALUE(LEFT(RIGHT(TRIM(A365),10),2))),IFERROR(TODAY()-MOD(WEEKDAY(TODAY(),1)-MATCH(TRIM(A365),{"الأحد","الاثنين","الثلاثاء","الأربعاء","الخميس","الجمعة","السبت"},0),7),IFERROR(DATEVALUE(A365),"")))))</f>
        <v/>
      </c>
      <c r="I365" s="0" t="str">
        <f aca="false">IF(H365="","",INT((H365-WEEK_ONE)/7)+1)</f>
        <v/>
      </c>
      <c r="J365" s="0" t="str">
        <f aca="false">IF(I365="","",IF(OR(I365&lt;1,I365&gt;NW),"",INDEX(WMON,I365)))</f>
        <v/>
      </c>
    </row>
    <row r="366" customFormat="false" ht="15" hidden="false" customHeight="false" outlineLevel="0" collapsed="false">
      <c r="A366" s="43"/>
      <c r="B366" s="23" t="str">
        <f aca="false">IF(H366="","",CHOOSE(WEEKDAY(H366,1),"الأحد","الاثنين","الثلاثاء","الأربعاء","الخميس","الجمعة","السبت")&amp;IF(OR(ISNUMBER(A366),LEN(TRIM(A366))&gt;=10),"","  "&amp;TEXT(DAY(H366),"00")&amp;"/"&amp;TEXT(MONTH(H366),"00")&amp;"/"&amp;YEAR(H366)))</f>
        <v/>
      </c>
      <c r="C366" s="24"/>
      <c r="D366" s="27"/>
      <c r="E366" s="44"/>
      <c r="F366" s="27"/>
      <c r="G366" s="0" t="str">
        <f aca="false">IF(AND(C366&lt;&gt;"",COUNTIF(C$6:C366,C366)=1),MAX(G$5:G365)+1,"")</f>
        <v/>
      </c>
      <c r="H366" s="0" t="str">
        <f aca="true">IF(A366="","",IF(ISNUMBER(A366),IF(A366&gt;=36526,A366,""),IFERROR(DATE(VALUE(RIGHT(RIGHT(TRIM(A366),10),4)),VALUE(MID(RIGHT(TRIM(A366),10),4,2)),VALUE(LEFT(RIGHT(TRIM(A366),10),2))),IFERROR(TODAY()-MOD(WEEKDAY(TODAY(),1)-MATCH(TRIM(A366),{"الأحد","الاثنين","الثلاثاء","الأربعاء","الخميس","الجمعة","السبت"},0),7),IFERROR(DATEVALUE(A366),"")))))</f>
        <v/>
      </c>
      <c r="I366" s="0" t="str">
        <f aca="false">IF(H366="","",INT((H366-WEEK_ONE)/7)+1)</f>
        <v/>
      </c>
      <c r="J366" s="0" t="str">
        <f aca="false">IF(I366="","",IF(OR(I366&lt;1,I366&gt;NW),"",INDEX(WMON,I366)))</f>
        <v/>
      </c>
    </row>
    <row r="367" customFormat="false" ht="15" hidden="false" customHeight="false" outlineLevel="0" collapsed="false">
      <c r="A367" s="43"/>
      <c r="B367" s="23" t="str">
        <f aca="false">IF(H367="","",CHOOSE(WEEKDAY(H367,1),"الأحد","الاثنين","الثلاثاء","الأربعاء","الخميس","الجمعة","السبت")&amp;IF(OR(ISNUMBER(A367),LEN(TRIM(A367))&gt;=10),"","  "&amp;TEXT(DAY(H367),"00")&amp;"/"&amp;TEXT(MONTH(H367),"00")&amp;"/"&amp;YEAR(H367)))</f>
        <v/>
      </c>
      <c r="C367" s="24"/>
      <c r="D367" s="27"/>
      <c r="E367" s="44"/>
      <c r="F367" s="27"/>
      <c r="G367" s="0" t="str">
        <f aca="false">IF(AND(C367&lt;&gt;"",COUNTIF(C$6:C367,C367)=1),MAX(G$5:G366)+1,"")</f>
        <v/>
      </c>
      <c r="H367" s="0" t="str">
        <f aca="true">IF(A367="","",IF(ISNUMBER(A367),IF(A367&gt;=36526,A367,""),IFERROR(DATE(VALUE(RIGHT(RIGHT(TRIM(A367),10),4)),VALUE(MID(RIGHT(TRIM(A367),10),4,2)),VALUE(LEFT(RIGHT(TRIM(A367),10),2))),IFERROR(TODAY()-MOD(WEEKDAY(TODAY(),1)-MATCH(TRIM(A367),{"الأحد","الاثنين","الثلاثاء","الأربعاء","الخميس","الجمعة","السبت"},0),7),IFERROR(DATEVALUE(A367),"")))))</f>
        <v/>
      </c>
      <c r="I367" s="0" t="str">
        <f aca="false">IF(H367="","",INT((H367-WEEK_ONE)/7)+1)</f>
        <v/>
      </c>
      <c r="J367" s="0" t="str">
        <f aca="false">IF(I367="","",IF(OR(I367&lt;1,I367&gt;NW),"",INDEX(WMON,I367)))</f>
        <v/>
      </c>
    </row>
    <row r="368" customFormat="false" ht="15" hidden="false" customHeight="false" outlineLevel="0" collapsed="false">
      <c r="A368" s="43"/>
      <c r="B368" s="23" t="str">
        <f aca="false">IF(H368="","",CHOOSE(WEEKDAY(H368,1),"الأحد","الاثنين","الثلاثاء","الأربعاء","الخميس","الجمعة","السبت")&amp;IF(OR(ISNUMBER(A368),LEN(TRIM(A368))&gt;=10),"","  "&amp;TEXT(DAY(H368),"00")&amp;"/"&amp;TEXT(MONTH(H368),"00")&amp;"/"&amp;YEAR(H368)))</f>
        <v/>
      </c>
      <c r="C368" s="24"/>
      <c r="D368" s="27"/>
      <c r="E368" s="44"/>
      <c r="F368" s="27"/>
      <c r="G368" s="0" t="str">
        <f aca="false">IF(AND(C368&lt;&gt;"",COUNTIF(C$6:C368,C368)=1),MAX(G$5:G367)+1,"")</f>
        <v/>
      </c>
      <c r="H368" s="0" t="str">
        <f aca="true">IF(A368="","",IF(ISNUMBER(A368),IF(A368&gt;=36526,A368,""),IFERROR(DATE(VALUE(RIGHT(RIGHT(TRIM(A368),10),4)),VALUE(MID(RIGHT(TRIM(A368),10),4,2)),VALUE(LEFT(RIGHT(TRIM(A368),10),2))),IFERROR(TODAY()-MOD(WEEKDAY(TODAY(),1)-MATCH(TRIM(A368),{"الأحد","الاثنين","الثلاثاء","الأربعاء","الخميس","الجمعة","السبت"},0),7),IFERROR(DATEVALUE(A368),"")))))</f>
        <v/>
      </c>
      <c r="I368" s="0" t="str">
        <f aca="false">IF(H368="","",INT((H368-WEEK_ONE)/7)+1)</f>
        <v/>
      </c>
      <c r="J368" s="0" t="str">
        <f aca="false">IF(I368="","",IF(OR(I368&lt;1,I368&gt;NW),"",INDEX(WMON,I368)))</f>
        <v/>
      </c>
    </row>
    <row r="369" customFormat="false" ht="15" hidden="false" customHeight="false" outlineLevel="0" collapsed="false">
      <c r="A369" s="43"/>
      <c r="B369" s="23" t="str">
        <f aca="false">IF(H369="","",CHOOSE(WEEKDAY(H369,1),"الأحد","الاثنين","الثلاثاء","الأربعاء","الخميس","الجمعة","السبت")&amp;IF(OR(ISNUMBER(A369),LEN(TRIM(A369))&gt;=10),"","  "&amp;TEXT(DAY(H369),"00")&amp;"/"&amp;TEXT(MONTH(H369),"00")&amp;"/"&amp;YEAR(H369)))</f>
        <v/>
      </c>
      <c r="C369" s="24"/>
      <c r="D369" s="27"/>
      <c r="E369" s="44"/>
      <c r="F369" s="27"/>
      <c r="G369" s="0" t="str">
        <f aca="false">IF(AND(C369&lt;&gt;"",COUNTIF(C$6:C369,C369)=1),MAX(G$5:G368)+1,"")</f>
        <v/>
      </c>
      <c r="H369" s="0" t="str">
        <f aca="true">IF(A369="","",IF(ISNUMBER(A369),IF(A369&gt;=36526,A369,""),IFERROR(DATE(VALUE(RIGHT(RIGHT(TRIM(A369),10),4)),VALUE(MID(RIGHT(TRIM(A369),10),4,2)),VALUE(LEFT(RIGHT(TRIM(A369),10),2))),IFERROR(TODAY()-MOD(WEEKDAY(TODAY(),1)-MATCH(TRIM(A369),{"الأحد","الاثنين","الثلاثاء","الأربعاء","الخميس","الجمعة","السبت"},0),7),IFERROR(DATEVALUE(A369),"")))))</f>
        <v/>
      </c>
      <c r="I369" s="0" t="str">
        <f aca="false">IF(H369="","",INT((H369-WEEK_ONE)/7)+1)</f>
        <v/>
      </c>
      <c r="J369" s="0" t="str">
        <f aca="false">IF(I369="","",IF(OR(I369&lt;1,I369&gt;NW),"",INDEX(WMON,I369)))</f>
        <v/>
      </c>
    </row>
    <row r="370" customFormat="false" ht="15" hidden="false" customHeight="false" outlineLevel="0" collapsed="false">
      <c r="A370" s="43"/>
      <c r="B370" s="23" t="str">
        <f aca="false">IF(H370="","",CHOOSE(WEEKDAY(H370,1),"الأحد","الاثنين","الثلاثاء","الأربعاء","الخميس","الجمعة","السبت")&amp;IF(OR(ISNUMBER(A370),LEN(TRIM(A370))&gt;=10),"","  "&amp;TEXT(DAY(H370),"00")&amp;"/"&amp;TEXT(MONTH(H370),"00")&amp;"/"&amp;YEAR(H370)))</f>
        <v/>
      </c>
      <c r="C370" s="24"/>
      <c r="D370" s="27"/>
      <c r="E370" s="44"/>
      <c r="F370" s="27"/>
      <c r="G370" s="0" t="str">
        <f aca="false">IF(AND(C370&lt;&gt;"",COUNTIF(C$6:C370,C370)=1),MAX(G$5:G369)+1,"")</f>
        <v/>
      </c>
      <c r="H370" s="0" t="str">
        <f aca="true">IF(A370="","",IF(ISNUMBER(A370),IF(A370&gt;=36526,A370,""),IFERROR(DATE(VALUE(RIGHT(RIGHT(TRIM(A370),10),4)),VALUE(MID(RIGHT(TRIM(A370),10),4,2)),VALUE(LEFT(RIGHT(TRIM(A370),10),2))),IFERROR(TODAY()-MOD(WEEKDAY(TODAY(),1)-MATCH(TRIM(A370),{"الأحد","الاثنين","الثلاثاء","الأربعاء","الخميس","الجمعة","السبت"},0),7),IFERROR(DATEVALUE(A370),"")))))</f>
        <v/>
      </c>
      <c r="I370" s="0" t="str">
        <f aca="false">IF(H370="","",INT((H370-WEEK_ONE)/7)+1)</f>
        <v/>
      </c>
      <c r="J370" s="0" t="str">
        <f aca="false">IF(I370="","",IF(OR(I370&lt;1,I370&gt;NW),"",INDEX(WMON,I370)))</f>
        <v/>
      </c>
    </row>
    <row r="371" customFormat="false" ht="15" hidden="false" customHeight="false" outlineLevel="0" collapsed="false">
      <c r="A371" s="43"/>
      <c r="B371" s="23" t="str">
        <f aca="false">IF(H371="","",CHOOSE(WEEKDAY(H371,1),"الأحد","الاثنين","الثلاثاء","الأربعاء","الخميس","الجمعة","السبت")&amp;IF(OR(ISNUMBER(A371),LEN(TRIM(A371))&gt;=10),"","  "&amp;TEXT(DAY(H371),"00")&amp;"/"&amp;TEXT(MONTH(H371),"00")&amp;"/"&amp;YEAR(H371)))</f>
        <v/>
      </c>
      <c r="C371" s="24"/>
      <c r="D371" s="27"/>
      <c r="E371" s="44"/>
      <c r="F371" s="27"/>
      <c r="G371" s="0" t="str">
        <f aca="false">IF(AND(C371&lt;&gt;"",COUNTIF(C$6:C371,C371)=1),MAX(G$5:G370)+1,"")</f>
        <v/>
      </c>
      <c r="H371" s="0" t="str">
        <f aca="true">IF(A371="","",IF(ISNUMBER(A371),IF(A371&gt;=36526,A371,""),IFERROR(DATE(VALUE(RIGHT(RIGHT(TRIM(A371),10),4)),VALUE(MID(RIGHT(TRIM(A371),10),4,2)),VALUE(LEFT(RIGHT(TRIM(A371),10),2))),IFERROR(TODAY()-MOD(WEEKDAY(TODAY(),1)-MATCH(TRIM(A371),{"الأحد","الاثنين","الثلاثاء","الأربعاء","الخميس","الجمعة","السبت"},0),7),IFERROR(DATEVALUE(A371),"")))))</f>
        <v/>
      </c>
      <c r="I371" s="0" t="str">
        <f aca="false">IF(H371="","",INT((H371-WEEK_ONE)/7)+1)</f>
        <v/>
      </c>
      <c r="J371" s="0" t="str">
        <f aca="false">IF(I371="","",IF(OR(I371&lt;1,I371&gt;NW),"",INDEX(WMON,I371)))</f>
        <v/>
      </c>
    </row>
    <row r="372" customFormat="false" ht="15" hidden="false" customHeight="false" outlineLevel="0" collapsed="false">
      <c r="A372" s="43"/>
      <c r="B372" s="23" t="str">
        <f aca="false">IF(H372="","",CHOOSE(WEEKDAY(H372,1),"الأحد","الاثنين","الثلاثاء","الأربعاء","الخميس","الجمعة","السبت")&amp;IF(OR(ISNUMBER(A372),LEN(TRIM(A372))&gt;=10),"","  "&amp;TEXT(DAY(H372),"00")&amp;"/"&amp;TEXT(MONTH(H372),"00")&amp;"/"&amp;YEAR(H372)))</f>
        <v/>
      </c>
      <c r="C372" s="24"/>
      <c r="D372" s="27"/>
      <c r="E372" s="44"/>
      <c r="F372" s="27"/>
      <c r="G372" s="0" t="str">
        <f aca="false">IF(AND(C372&lt;&gt;"",COUNTIF(C$6:C372,C372)=1),MAX(G$5:G371)+1,"")</f>
        <v/>
      </c>
      <c r="H372" s="0" t="str">
        <f aca="true">IF(A372="","",IF(ISNUMBER(A372),IF(A372&gt;=36526,A372,""),IFERROR(DATE(VALUE(RIGHT(RIGHT(TRIM(A372),10),4)),VALUE(MID(RIGHT(TRIM(A372),10),4,2)),VALUE(LEFT(RIGHT(TRIM(A372),10),2))),IFERROR(TODAY()-MOD(WEEKDAY(TODAY(),1)-MATCH(TRIM(A372),{"الأحد","الاثنين","الثلاثاء","الأربعاء","الخميس","الجمعة","السبت"},0),7),IFERROR(DATEVALUE(A372),"")))))</f>
        <v/>
      </c>
      <c r="I372" s="0" t="str">
        <f aca="false">IF(H372="","",INT((H372-WEEK_ONE)/7)+1)</f>
        <v/>
      </c>
      <c r="J372" s="0" t="str">
        <f aca="false">IF(I372="","",IF(OR(I372&lt;1,I372&gt;NW),"",INDEX(WMON,I372)))</f>
        <v/>
      </c>
    </row>
    <row r="373" customFormat="false" ht="15" hidden="false" customHeight="false" outlineLevel="0" collapsed="false">
      <c r="A373" s="43"/>
      <c r="B373" s="23" t="str">
        <f aca="false">IF(H373="","",CHOOSE(WEEKDAY(H373,1),"الأحد","الاثنين","الثلاثاء","الأربعاء","الخميس","الجمعة","السبت")&amp;IF(OR(ISNUMBER(A373),LEN(TRIM(A373))&gt;=10),"","  "&amp;TEXT(DAY(H373),"00")&amp;"/"&amp;TEXT(MONTH(H373),"00")&amp;"/"&amp;YEAR(H373)))</f>
        <v/>
      </c>
      <c r="C373" s="24"/>
      <c r="D373" s="27"/>
      <c r="E373" s="44"/>
      <c r="F373" s="27"/>
      <c r="G373" s="0" t="str">
        <f aca="false">IF(AND(C373&lt;&gt;"",COUNTIF(C$6:C373,C373)=1),MAX(G$5:G372)+1,"")</f>
        <v/>
      </c>
      <c r="H373" s="0" t="str">
        <f aca="true">IF(A373="","",IF(ISNUMBER(A373),IF(A373&gt;=36526,A373,""),IFERROR(DATE(VALUE(RIGHT(RIGHT(TRIM(A373),10),4)),VALUE(MID(RIGHT(TRIM(A373),10),4,2)),VALUE(LEFT(RIGHT(TRIM(A373),10),2))),IFERROR(TODAY()-MOD(WEEKDAY(TODAY(),1)-MATCH(TRIM(A373),{"الأحد","الاثنين","الثلاثاء","الأربعاء","الخميس","الجمعة","السبت"},0),7),IFERROR(DATEVALUE(A373),"")))))</f>
        <v/>
      </c>
      <c r="I373" s="0" t="str">
        <f aca="false">IF(H373="","",INT((H373-WEEK_ONE)/7)+1)</f>
        <v/>
      </c>
      <c r="J373" s="0" t="str">
        <f aca="false">IF(I373="","",IF(OR(I373&lt;1,I373&gt;NW),"",INDEX(WMON,I373)))</f>
        <v/>
      </c>
    </row>
    <row r="374" customFormat="false" ht="15" hidden="false" customHeight="false" outlineLevel="0" collapsed="false">
      <c r="A374" s="43"/>
      <c r="B374" s="23" t="str">
        <f aca="false">IF(H374="","",CHOOSE(WEEKDAY(H374,1),"الأحد","الاثنين","الثلاثاء","الأربعاء","الخميس","الجمعة","السبت")&amp;IF(OR(ISNUMBER(A374),LEN(TRIM(A374))&gt;=10),"","  "&amp;TEXT(DAY(H374),"00")&amp;"/"&amp;TEXT(MONTH(H374),"00")&amp;"/"&amp;YEAR(H374)))</f>
        <v/>
      </c>
      <c r="C374" s="24"/>
      <c r="D374" s="27"/>
      <c r="E374" s="44"/>
      <c r="F374" s="27"/>
      <c r="G374" s="0" t="str">
        <f aca="false">IF(AND(C374&lt;&gt;"",COUNTIF(C$6:C374,C374)=1),MAX(G$5:G373)+1,"")</f>
        <v/>
      </c>
      <c r="H374" s="0" t="str">
        <f aca="true">IF(A374="","",IF(ISNUMBER(A374),IF(A374&gt;=36526,A374,""),IFERROR(DATE(VALUE(RIGHT(RIGHT(TRIM(A374),10),4)),VALUE(MID(RIGHT(TRIM(A374),10),4,2)),VALUE(LEFT(RIGHT(TRIM(A374),10),2))),IFERROR(TODAY()-MOD(WEEKDAY(TODAY(),1)-MATCH(TRIM(A374),{"الأحد","الاثنين","الثلاثاء","الأربعاء","الخميس","الجمعة","السبت"},0),7),IFERROR(DATEVALUE(A374),"")))))</f>
        <v/>
      </c>
      <c r="I374" s="0" t="str">
        <f aca="false">IF(H374="","",INT((H374-WEEK_ONE)/7)+1)</f>
        <v/>
      </c>
      <c r="J374" s="0" t="str">
        <f aca="false">IF(I374="","",IF(OR(I374&lt;1,I374&gt;NW),"",INDEX(WMON,I374)))</f>
        <v/>
      </c>
    </row>
    <row r="375" customFormat="false" ht="15" hidden="false" customHeight="false" outlineLevel="0" collapsed="false">
      <c r="A375" s="43"/>
      <c r="B375" s="23" t="str">
        <f aca="false">IF(H375="","",CHOOSE(WEEKDAY(H375,1),"الأحد","الاثنين","الثلاثاء","الأربعاء","الخميس","الجمعة","السبت")&amp;IF(OR(ISNUMBER(A375),LEN(TRIM(A375))&gt;=10),"","  "&amp;TEXT(DAY(H375),"00")&amp;"/"&amp;TEXT(MONTH(H375),"00")&amp;"/"&amp;YEAR(H375)))</f>
        <v/>
      </c>
      <c r="C375" s="24"/>
      <c r="D375" s="27"/>
      <c r="E375" s="44"/>
      <c r="F375" s="27"/>
      <c r="G375" s="0" t="str">
        <f aca="false">IF(AND(C375&lt;&gt;"",COUNTIF(C$6:C375,C375)=1),MAX(G$5:G374)+1,"")</f>
        <v/>
      </c>
      <c r="H375" s="0" t="str">
        <f aca="true">IF(A375="","",IF(ISNUMBER(A375),IF(A375&gt;=36526,A375,""),IFERROR(DATE(VALUE(RIGHT(RIGHT(TRIM(A375),10),4)),VALUE(MID(RIGHT(TRIM(A375),10),4,2)),VALUE(LEFT(RIGHT(TRIM(A375),10),2))),IFERROR(TODAY()-MOD(WEEKDAY(TODAY(),1)-MATCH(TRIM(A375),{"الأحد","الاثنين","الثلاثاء","الأربعاء","الخميس","الجمعة","السبت"},0),7),IFERROR(DATEVALUE(A375),"")))))</f>
        <v/>
      </c>
      <c r="I375" s="0" t="str">
        <f aca="false">IF(H375="","",INT((H375-WEEK_ONE)/7)+1)</f>
        <v/>
      </c>
      <c r="J375" s="0" t="str">
        <f aca="false">IF(I375="","",IF(OR(I375&lt;1,I375&gt;NW),"",INDEX(WMON,I375)))</f>
        <v/>
      </c>
    </row>
    <row r="376" customFormat="false" ht="15" hidden="false" customHeight="false" outlineLevel="0" collapsed="false">
      <c r="A376" s="43"/>
      <c r="B376" s="23" t="str">
        <f aca="false">IF(H376="","",CHOOSE(WEEKDAY(H376,1),"الأحد","الاثنين","الثلاثاء","الأربعاء","الخميس","الجمعة","السبت")&amp;IF(OR(ISNUMBER(A376),LEN(TRIM(A376))&gt;=10),"","  "&amp;TEXT(DAY(H376),"00")&amp;"/"&amp;TEXT(MONTH(H376),"00")&amp;"/"&amp;YEAR(H376)))</f>
        <v/>
      </c>
      <c r="C376" s="24"/>
      <c r="D376" s="27"/>
      <c r="E376" s="44"/>
      <c r="F376" s="27"/>
      <c r="G376" s="0" t="str">
        <f aca="false">IF(AND(C376&lt;&gt;"",COUNTIF(C$6:C376,C376)=1),MAX(G$5:G375)+1,"")</f>
        <v/>
      </c>
      <c r="H376" s="0" t="str">
        <f aca="true">IF(A376="","",IF(ISNUMBER(A376),IF(A376&gt;=36526,A376,""),IFERROR(DATE(VALUE(RIGHT(RIGHT(TRIM(A376),10),4)),VALUE(MID(RIGHT(TRIM(A376),10),4,2)),VALUE(LEFT(RIGHT(TRIM(A376),10),2))),IFERROR(TODAY()-MOD(WEEKDAY(TODAY(),1)-MATCH(TRIM(A376),{"الأحد","الاثنين","الثلاثاء","الأربعاء","الخميس","الجمعة","السبت"},0),7),IFERROR(DATEVALUE(A376),"")))))</f>
        <v/>
      </c>
      <c r="I376" s="0" t="str">
        <f aca="false">IF(H376="","",INT((H376-WEEK_ONE)/7)+1)</f>
        <v/>
      </c>
      <c r="J376" s="0" t="str">
        <f aca="false">IF(I376="","",IF(OR(I376&lt;1,I376&gt;NW),"",INDEX(WMON,I376)))</f>
        <v/>
      </c>
    </row>
    <row r="377" customFormat="false" ht="15" hidden="false" customHeight="false" outlineLevel="0" collapsed="false">
      <c r="A377" s="43"/>
      <c r="B377" s="23" t="str">
        <f aca="false">IF(H377="","",CHOOSE(WEEKDAY(H377,1),"الأحد","الاثنين","الثلاثاء","الأربعاء","الخميس","الجمعة","السبت")&amp;IF(OR(ISNUMBER(A377),LEN(TRIM(A377))&gt;=10),"","  "&amp;TEXT(DAY(H377),"00")&amp;"/"&amp;TEXT(MONTH(H377),"00")&amp;"/"&amp;YEAR(H377)))</f>
        <v/>
      </c>
      <c r="C377" s="24"/>
      <c r="D377" s="27"/>
      <c r="E377" s="44"/>
      <c r="F377" s="27"/>
      <c r="G377" s="0" t="str">
        <f aca="false">IF(AND(C377&lt;&gt;"",COUNTIF(C$6:C377,C377)=1),MAX(G$5:G376)+1,"")</f>
        <v/>
      </c>
      <c r="H377" s="0" t="str">
        <f aca="true">IF(A377="","",IF(ISNUMBER(A377),IF(A377&gt;=36526,A377,""),IFERROR(DATE(VALUE(RIGHT(RIGHT(TRIM(A377),10),4)),VALUE(MID(RIGHT(TRIM(A377),10),4,2)),VALUE(LEFT(RIGHT(TRIM(A377),10),2))),IFERROR(TODAY()-MOD(WEEKDAY(TODAY(),1)-MATCH(TRIM(A377),{"الأحد","الاثنين","الثلاثاء","الأربعاء","الخميس","الجمعة","السبت"},0),7),IFERROR(DATEVALUE(A377),"")))))</f>
        <v/>
      </c>
      <c r="I377" s="0" t="str">
        <f aca="false">IF(H377="","",INT((H377-WEEK_ONE)/7)+1)</f>
        <v/>
      </c>
      <c r="J377" s="0" t="str">
        <f aca="false">IF(I377="","",IF(OR(I377&lt;1,I377&gt;NW),"",INDEX(WMON,I377)))</f>
        <v/>
      </c>
    </row>
    <row r="378" customFormat="false" ht="15" hidden="false" customHeight="false" outlineLevel="0" collapsed="false">
      <c r="A378" s="43"/>
      <c r="B378" s="23" t="str">
        <f aca="false">IF(H378="","",CHOOSE(WEEKDAY(H378,1),"الأحد","الاثنين","الثلاثاء","الأربعاء","الخميس","الجمعة","السبت")&amp;IF(OR(ISNUMBER(A378),LEN(TRIM(A378))&gt;=10),"","  "&amp;TEXT(DAY(H378),"00")&amp;"/"&amp;TEXT(MONTH(H378),"00")&amp;"/"&amp;YEAR(H378)))</f>
        <v/>
      </c>
      <c r="C378" s="24"/>
      <c r="D378" s="27"/>
      <c r="E378" s="44"/>
      <c r="F378" s="27"/>
      <c r="G378" s="0" t="str">
        <f aca="false">IF(AND(C378&lt;&gt;"",COUNTIF(C$6:C378,C378)=1),MAX(G$5:G377)+1,"")</f>
        <v/>
      </c>
      <c r="H378" s="0" t="str">
        <f aca="true">IF(A378="","",IF(ISNUMBER(A378),IF(A378&gt;=36526,A378,""),IFERROR(DATE(VALUE(RIGHT(RIGHT(TRIM(A378),10),4)),VALUE(MID(RIGHT(TRIM(A378),10),4,2)),VALUE(LEFT(RIGHT(TRIM(A378),10),2))),IFERROR(TODAY()-MOD(WEEKDAY(TODAY(),1)-MATCH(TRIM(A378),{"الأحد","الاثنين","الثلاثاء","الأربعاء","الخميس","الجمعة","السبت"},0),7),IFERROR(DATEVALUE(A378),"")))))</f>
        <v/>
      </c>
      <c r="I378" s="0" t="str">
        <f aca="false">IF(H378="","",INT((H378-WEEK_ONE)/7)+1)</f>
        <v/>
      </c>
      <c r="J378" s="0" t="str">
        <f aca="false">IF(I378="","",IF(OR(I378&lt;1,I378&gt;NW),"",INDEX(WMON,I378)))</f>
        <v/>
      </c>
    </row>
    <row r="379" customFormat="false" ht="15" hidden="false" customHeight="false" outlineLevel="0" collapsed="false">
      <c r="A379" s="43"/>
      <c r="B379" s="23" t="str">
        <f aca="false">IF(H379="","",CHOOSE(WEEKDAY(H379,1),"الأحد","الاثنين","الثلاثاء","الأربعاء","الخميس","الجمعة","السبت")&amp;IF(OR(ISNUMBER(A379),LEN(TRIM(A379))&gt;=10),"","  "&amp;TEXT(DAY(H379),"00")&amp;"/"&amp;TEXT(MONTH(H379),"00")&amp;"/"&amp;YEAR(H379)))</f>
        <v/>
      </c>
      <c r="C379" s="24"/>
      <c r="D379" s="27"/>
      <c r="E379" s="44"/>
      <c r="F379" s="27"/>
      <c r="G379" s="0" t="str">
        <f aca="false">IF(AND(C379&lt;&gt;"",COUNTIF(C$6:C379,C379)=1),MAX(G$5:G378)+1,"")</f>
        <v/>
      </c>
      <c r="H379" s="0" t="str">
        <f aca="true">IF(A379="","",IF(ISNUMBER(A379),IF(A379&gt;=36526,A379,""),IFERROR(DATE(VALUE(RIGHT(RIGHT(TRIM(A379),10),4)),VALUE(MID(RIGHT(TRIM(A379),10),4,2)),VALUE(LEFT(RIGHT(TRIM(A379),10),2))),IFERROR(TODAY()-MOD(WEEKDAY(TODAY(),1)-MATCH(TRIM(A379),{"الأحد","الاثنين","الثلاثاء","الأربعاء","الخميس","الجمعة","السبت"},0),7),IFERROR(DATEVALUE(A379),"")))))</f>
        <v/>
      </c>
      <c r="I379" s="0" t="str">
        <f aca="false">IF(H379="","",INT((H379-WEEK_ONE)/7)+1)</f>
        <v/>
      </c>
      <c r="J379" s="0" t="str">
        <f aca="false">IF(I379="","",IF(OR(I379&lt;1,I379&gt;NW),"",INDEX(WMON,I379)))</f>
        <v/>
      </c>
    </row>
    <row r="380" customFormat="false" ht="15" hidden="false" customHeight="false" outlineLevel="0" collapsed="false">
      <c r="A380" s="43"/>
      <c r="B380" s="23" t="str">
        <f aca="false">IF(H380="","",CHOOSE(WEEKDAY(H380,1),"الأحد","الاثنين","الثلاثاء","الأربعاء","الخميس","الجمعة","السبت")&amp;IF(OR(ISNUMBER(A380),LEN(TRIM(A380))&gt;=10),"","  "&amp;TEXT(DAY(H380),"00")&amp;"/"&amp;TEXT(MONTH(H380),"00")&amp;"/"&amp;YEAR(H380)))</f>
        <v/>
      </c>
      <c r="C380" s="24"/>
      <c r="D380" s="27"/>
      <c r="E380" s="44"/>
      <c r="F380" s="27"/>
      <c r="G380" s="0" t="str">
        <f aca="false">IF(AND(C380&lt;&gt;"",COUNTIF(C$6:C380,C380)=1),MAX(G$5:G379)+1,"")</f>
        <v/>
      </c>
      <c r="H380" s="0" t="str">
        <f aca="true">IF(A380="","",IF(ISNUMBER(A380),IF(A380&gt;=36526,A380,""),IFERROR(DATE(VALUE(RIGHT(RIGHT(TRIM(A380),10),4)),VALUE(MID(RIGHT(TRIM(A380),10),4,2)),VALUE(LEFT(RIGHT(TRIM(A380),10),2))),IFERROR(TODAY()-MOD(WEEKDAY(TODAY(),1)-MATCH(TRIM(A380),{"الأحد","الاثنين","الثلاثاء","الأربعاء","الخميس","الجمعة","السبت"},0),7),IFERROR(DATEVALUE(A380),"")))))</f>
        <v/>
      </c>
      <c r="I380" s="0" t="str">
        <f aca="false">IF(H380="","",INT((H380-WEEK_ONE)/7)+1)</f>
        <v/>
      </c>
      <c r="J380" s="0" t="str">
        <f aca="false">IF(I380="","",IF(OR(I380&lt;1,I380&gt;NW),"",INDEX(WMON,I380)))</f>
        <v/>
      </c>
    </row>
    <row r="381" customFormat="false" ht="15" hidden="false" customHeight="false" outlineLevel="0" collapsed="false">
      <c r="A381" s="43"/>
      <c r="B381" s="23" t="str">
        <f aca="false">IF(H381="","",CHOOSE(WEEKDAY(H381,1),"الأحد","الاثنين","الثلاثاء","الأربعاء","الخميس","الجمعة","السبت")&amp;IF(OR(ISNUMBER(A381),LEN(TRIM(A381))&gt;=10),"","  "&amp;TEXT(DAY(H381),"00")&amp;"/"&amp;TEXT(MONTH(H381),"00")&amp;"/"&amp;YEAR(H381)))</f>
        <v/>
      </c>
      <c r="C381" s="24"/>
      <c r="D381" s="27"/>
      <c r="E381" s="44"/>
      <c r="F381" s="27"/>
      <c r="G381" s="0" t="str">
        <f aca="false">IF(AND(C381&lt;&gt;"",COUNTIF(C$6:C381,C381)=1),MAX(G$5:G380)+1,"")</f>
        <v/>
      </c>
      <c r="H381" s="0" t="str">
        <f aca="true">IF(A381="","",IF(ISNUMBER(A381),IF(A381&gt;=36526,A381,""),IFERROR(DATE(VALUE(RIGHT(RIGHT(TRIM(A381),10),4)),VALUE(MID(RIGHT(TRIM(A381),10),4,2)),VALUE(LEFT(RIGHT(TRIM(A381),10),2))),IFERROR(TODAY()-MOD(WEEKDAY(TODAY(),1)-MATCH(TRIM(A381),{"الأحد","الاثنين","الثلاثاء","الأربعاء","الخميس","الجمعة","السبت"},0),7),IFERROR(DATEVALUE(A381),"")))))</f>
        <v/>
      </c>
      <c r="I381" s="0" t="str">
        <f aca="false">IF(H381="","",INT((H381-WEEK_ONE)/7)+1)</f>
        <v/>
      </c>
      <c r="J381" s="0" t="str">
        <f aca="false">IF(I381="","",IF(OR(I381&lt;1,I381&gt;NW),"",INDEX(WMON,I381)))</f>
        <v/>
      </c>
    </row>
    <row r="382" customFormat="false" ht="15" hidden="false" customHeight="false" outlineLevel="0" collapsed="false">
      <c r="A382" s="43"/>
      <c r="B382" s="23" t="str">
        <f aca="false">IF(H382="","",CHOOSE(WEEKDAY(H382,1),"الأحد","الاثنين","الثلاثاء","الأربعاء","الخميس","الجمعة","السبت")&amp;IF(OR(ISNUMBER(A382),LEN(TRIM(A382))&gt;=10),"","  "&amp;TEXT(DAY(H382),"00")&amp;"/"&amp;TEXT(MONTH(H382),"00")&amp;"/"&amp;YEAR(H382)))</f>
        <v/>
      </c>
      <c r="C382" s="24"/>
      <c r="D382" s="27"/>
      <c r="E382" s="44"/>
      <c r="F382" s="27"/>
      <c r="G382" s="0" t="str">
        <f aca="false">IF(AND(C382&lt;&gt;"",COUNTIF(C$6:C382,C382)=1),MAX(G$5:G381)+1,"")</f>
        <v/>
      </c>
      <c r="H382" s="0" t="str">
        <f aca="true">IF(A382="","",IF(ISNUMBER(A382),IF(A382&gt;=36526,A382,""),IFERROR(DATE(VALUE(RIGHT(RIGHT(TRIM(A382),10),4)),VALUE(MID(RIGHT(TRIM(A382),10),4,2)),VALUE(LEFT(RIGHT(TRIM(A382),10),2))),IFERROR(TODAY()-MOD(WEEKDAY(TODAY(),1)-MATCH(TRIM(A382),{"الأحد","الاثنين","الثلاثاء","الأربعاء","الخميس","الجمعة","السبت"},0),7),IFERROR(DATEVALUE(A382),"")))))</f>
        <v/>
      </c>
      <c r="I382" s="0" t="str">
        <f aca="false">IF(H382="","",INT((H382-WEEK_ONE)/7)+1)</f>
        <v/>
      </c>
      <c r="J382" s="0" t="str">
        <f aca="false">IF(I382="","",IF(OR(I382&lt;1,I382&gt;NW),"",INDEX(WMON,I382)))</f>
        <v/>
      </c>
    </row>
    <row r="383" customFormat="false" ht="15" hidden="false" customHeight="false" outlineLevel="0" collapsed="false">
      <c r="A383" s="43"/>
      <c r="B383" s="23" t="str">
        <f aca="false">IF(H383="","",CHOOSE(WEEKDAY(H383,1),"الأحد","الاثنين","الثلاثاء","الأربعاء","الخميس","الجمعة","السبت")&amp;IF(OR(ISNUMBER(A383),LEN(TRIM(A383))&gt;=10),"","  "&amp;TEXT(DAY(H383),"00")&amp;"/"&amp;TEXT(MONTH(H383),"00")&amp;"/"&amp;YEAR(H383)))</f>
        <v/>
      </c>
      <c r="C383" s="24"/>
      <c r="D383" s="27"/>
      <c r="E383" s="44"/>
      <c r="F383" s="27"/>
      <c r="G383" s="0" t="str">
        <f aca="false">IF(AND(C383&lt;&gt;"",COUNTIF(C$6:C383,C383)=1),MAX(G$5:G382)+1,"")</f>
        <v/>
      </c>
      <c r="H383" s="0" t="str">
        <f aca="true">IF(A383="","",IF(ISNUMBER(A383),IF(A383&gt;=36526,A383,""),IFERROR(DATE(VALUE(RIGHT(RIGHT(TRIM(A383),10),4)),VALUE(MID(RIGHT(TRIM(A383),10),4,2)),VALUE(LEFT(RIGHT(TRIM(A383),10),2))),IFERROR(TODAY()-MOD(WEEKDAY(TODAY(),1)-MATCH(TRIM(A383),{"الأحد","الاثنين","الثلاثاء","الأربعاء","الخميس","الجمعة","السبت"},0),7),IFERROR(DATEVALUE(A383),"")))))</f>
        <v/>
      </c>
      <c r="I383" s="0" t="str">
        <f aca="false">IF(H383="","",INT((H383-WEEK_ONE)/7)+1)</f>
        <v/>
      </c>
      <c r="J383" s="0" t="str">
        <f aca="false">IF(I383="","",IF(OR(I383&lt;1,I383&gt;NW),"",INDEX(WMON,I383)))</f>
        <v/>
      </c>
    </row>
    <row r="384" customFormat="false" ht="15" hidden="false" customHeight="false" outlineLevel="0" collapsed="false">
      <c r="A384" s="43"/>
      <c r="B384" s="23" t="str">
        <f aca="false">IF(H384="","",CHOOSE(WEEKDAY(H384,1),"الأحد","الاثنين","الثلاثاء","الأربعاء","الخميس","الجمعة","السبت")&amp;IF(OR(ISNUMBER(A384),LEN(TRIM(A384))&gt;=10),"","  "&amp;TEXT(DAY(H384),"00")&amp;"/"&amp;TEXT(MONTH(H384),"00")&amp;"/"&amp;YEAR(H384)))</f>
        <v/>
      </c>
      <c r="C384" s="24"/>
      <c r="D384" s="27"/>
      <c r="E384" s="44"/>
      <c r="F384" s="27"/>
      <c r="G384" s="0" t="str">
        <f aca="false">IF(AND(C384&lt;&gt;"",COUNTIF(C$6:C384,C384)=1),MAX(G$5:G383)+1,"")</f>
        <v/>
      </c>
      <c r="H384" s="0" t="str">
        <f aca="true">IF(A384="","",IF(ISNUMBER(A384),IF(A384&gt;=36526,A384,""),IFERROR(DATE(VALUE(RIGHT(RIGHT(TRIM(A384),10),4)),VALUE(MID(RIGHT(TRIM(A384),10),4,2)),VALUE(LEFT(RIGHT(TRIM(A384),10),2))),IFERROR(TODAY()-MOD(WEEKDAY(TODAY(),1)-MATCH(TRIM(A384),{"الأحد","الاثنين","الثلاثاء","الأربعاء","الخميس","الجمعة","السبت"},0),7),IFERROR(DATEVALUE(A384),"")))))</f>
        <v/>
      </c>
      <c r="I384" s="0" t="str">
        <f aca="false">IF(H384="","",INT((H384-WEEK_ONE)/7)+1)</f>
        <v/>
      </c>
      <c r="J384" s="0" t="str">
        <f aca="false">IF(I384="","",IF(OR(I384&lt;1,I384&gt;NW),"",INDEX(WMON,I384)))</f>
        <v/>
      </c>
    </row>
    <row r="385" customFormat="false" ht="15" hidden="false" customHeight="false" outlineLevel="0" collapsed="false">
      <c r="A385" s="43"/>
      <c r="B385" s="23" t="str">
        <f aca="false">IF(H385="","",CHOOSE(WEEKDAY(H385,1),"الأحد","الاثنين","الثلاثاء","الأربعاء","الخميس","الجمعة","السبت")&amp;IF(OR(ISNUMBER(A385),LEN(TRIM(A385))&gt;=10),"","  "&amp;TEXT(DAY(H385),"00")&amp;"/"&amp;TEXT(MONTH(H385),"00")&amp;"/"&amp;YEAR(H385)))</f>
        <v/>
      </c>
      <c r="C385" s="24"/>
      <c r="D385" s="27"/>
      <c r="E385" s="44"/>
      <c r="F385" s="27"/>
      <c r="G385" s="0" t="str">
        <f aca="false">IF(AND(C385&lt;&gt;"",COUNTIF(C$6:C385,C385)=1),MAX(G$5:G384)+1,"")</f>
        <v/>
      </c>
      <c r="H385" s="0" t="str">
        <f aca="true">IF(A385="","",IF(ISNUMBER(A385),IF(A385&gt;=36526,A385,""),IFERROR(DATE(VALUE(RIGHT(RIGHT(TRIM(A385),10),4)),VALUE(MID(RIGHT(TRIM(A385),10),4,2)),VALUE(LEFT(RIGHT(TRIM(A385),10),2))),IFERROR(TODAY()-MOD(WEEKDAY(TODAY(),1)-MATCH(TRIM(A385),{"الأحد","الاثنين","الثلاثاء","الأربعاء","الخميس","الجمعة","السبت"},0),7),IFERROR(DATEVALUE(A385),"")))))</f>
        <v/>
      </c>
      <c r="I385" s="0" t="str">
        <f aca="false">IF(H385="","",INT((H385-WEEK_ONE)/7)+1)</f>
        <v/>
      </c>
      <c r="J385" s="0" t="str">
        <f aca="false">IF(I385="","",IF(OR(I385&lt;1,I385&gt;NW),"",INDEX(WMON,I385)))</f>
        <v/>
      </c>
    </row>
    <row r="386" customFormat="false" ht="15" hidden="false" customHeight="false" outlineLevel="0" collapsed="false">
      <c r="A386" s="43"/>
      <c r="B386" s="23" t="str">
        <f aca="false">IF(H386="","",CHOOSE(WEEKDAY(H386,1),"الأحد","الاثنين","الثلاثاء","الأربعاء","الخميس","الجمعة","السبت")&amp;IF(OR(ISNUMBER(A386),LEN(TRIM(A386))&gt;=10),"","  "&amp;TEXT(DAY(H386),"00")&amp;"/"&amp;TEXT(MONTH(H386),"00")&amp;"/"&amp;YEAR(H386)))</f>
        <v/>
      </c>
      <c r="C386" s="24"/>
      <c r="D386" s="27"/>
      <c r="E386" s="44"/>
      <c r="F386" s="27"/>
      <c r="G386" s="0" t="str">
        <f aca="false">IF(AND(C386&lt;&gt;"",COUNTIF(C$6:C386,C386)=1),MAX(G$5:G385)+1,"")</f>
        <v/>
      </c>
      <c r="H386" s="0" t="str">
        <f aca="true">IF(A386="","",IF(ISNUMBER(A386),IF(A386&gt;=36526,A386,""),IFERROR(DATE(VALUE(RIGHT(RIGHT(TRIM(A386),10),4)),VALUE(MID(RIGHT(TRIM(A386),10),4,2)),VALUE(LEFT(RIGHT(TRIM(A386),10),2))),IFERROR(TODAY()-MOD(WEEKDAY(TODAY(),1)-MATCH(TRIM(A386),{"الأحد","الاثنين","الثلاثاء","الأربعاء","الخميس","الجمعة","السبت"},0),7),IFERROR(DATEVALUE(A386),"")))))</f>
        <v/>
      </c>
      <c r="I386" s="0" t="str">
        <f aca="false">IF(H386="","",INT((H386-WEEK_ONE)/7)+1)</f>
        <v/>
      </c>
      <c r="J386" s="0" t="str">
        <f aca="false">IF(I386="","",IF(OR(I386&lt;1,I386&gt;NW),"",INDEX(WMON,I386)))</f>
        <v/>
      </c>
    </row>
    <row r="387" customFormat="false" ht="15" hidden="false" customHeight="false" outlineLevel="0" collapsed="false">
      <c r="A387" s="43"/>
      <c r="B387" s="23" t="str">
        <f aca="false">IF(H387="","",CHOOSE(WEEKDAY(H387,1),"الأحد","الاثنين","الثلاثاء","الأربعاء","الخميس","الجمعة","السبت")&amp;IF(OR(ISNUMBER(A387),LEN(TRIM(A387))&gt;=10),"","  "&amp;TEXT(DAY(H387),"00")&amp;"/"&amp;TEXT(MONTH(H387),"00")&amp;"/"&amp;YEAR(H387)))</f>
        <v/>
      </c>
      <c r="C387" s="24"/>
      <c r="D387" s="27"/>
      <c r="E387" s="44"/>
      <c r="F387" s="27"/>
      <c r="G387" s="0" t="str">
        <f aca="false">IF(AND(C387&lt;&gt;"",COUNTIF(C$6:C387,C387)=1),MAX(G$5:G386)+1,"")</f>
        <v/>
      </c>
      <c r="H387" s="0" t="str">
        <f aca="true">IF(A387="","",IF(ISNUMBER(A387),IF(A387&gt;=36526,A387,""),IFERROR(DATE(VALUE(RIGHT(RIGHT(TRIM(A387),10),4)),VALUE(MID(RIGHT(TRIM(A387),10),4,2)),VALUE(LEFT(RIGHT(TRIM(A387),10),2))),IFERROR(TODAY()-MOD(WEEKDAY(TODAY(),1)-MATCH(TRIM(A387),{"الأحد","الاثنين","الثلاثاء","الأربعاء","الخميس","الجمعة","السبت"},0),7),IFERROR(DATEVALUE(A387),"")))))</f>
        <v/>
      </c>
      <c r="I387" s="0" t="str">
        <f aca="false">IF(H387="","",INT((H387-WEEK_ONE)/7)+1)</f>
        <v/>
      </c>
      <c r="J387" s="0" t="str">
        <f aca="false">IF(I387="","",IF(OR(I387&lt;1,I387&gt;NW),"",INDEX(WMON,I387)))</f>
        <v/>
      </c>
    </row>
    <row r="388" customFormat="false" ht="15" hidden="false" customHeight="false" outlineLevel="0" collapsed="false">
      <c r="A388" s="43"/>
      <c r="B388" s="23" t="str">
        <f aca="false">IF(H388="","",CHOOSE(WEEKDAY(H388,1),"الأحد","الاثنين","الثلاثاء","الأربعاء","الخميس","الجمعة","السبت")&amp;IF(OR(ISNUMBER(A388),LEN(TRIM(A388))&gt;=10),"","  "&amp;TEXT(DAY(H388),"00")&amp;"/"&amp;TEXT(MONTH(H388),"00")&amp;"/"&amp;YEAR(H388)))</f>
        <v/>
      </c>
      <c r="C388" s="24"/>
      <c r="D388" s="27"/>
      <c r="E388" s="44"/>
      <c r="F388" s="27"/>
      <c r="G388" s="0" t="str">
        <f aca="false">IF(AND(C388&lt;&gt;"",COUNTIF(C$6:C388,C388)=1),MAX(G$5:G387)+1,"")</f>
        <v/>
      </c>
      <c r="H388" s="0" t="str">
        <f aca="true">IF(A388="","",IF(ISNUMBER(A388),IF(A388&gt;=36526,A388,""),IFERROR(DATE(VALUE(RIGHT(RIGHT(TRIM(A388),10),4)),VALUE(MID(RIGHT(TRIM(A388),10),4,2)),VALUE(LEFT(RIGHT(TRIM(A388),10),2))),IFERROR(TODAY()-MOD(WEEKDAY(TODAY(),1)-MATCH(TRIM(A388),{"الأحد","الاثنين","الثلاثاء","الأربعاء","الخميس","الجمعة","السبت"},0),7),IFERROR(DATEVALUE(A388),"")))))</f>
        <v/>
      </c>
      <c r="I388" s="0" t="str">
        <f aca="false">IF(H388="","",INT((H388-WEEK_ONE)/7)+1)</f>
        <v/>
      </c>
      <c r="J388" s="0" t="str">
        <f aca="false">IF(I388="","",IF(OR(I388&lt;1,I388&gt;NW),"",INDEX(WMON,I388)))</f>
        <v/>
      </c>
    </row>
    <row r="389" customFormat="false" ht="15" hidden="false" customHeight="false" outlineLevel="0" collapsed="false">
      <c r="A389" s="43"/>
      <c r="B389" s="23" t="str">
        <f aca="false">IF(H389="","",CHOOSE(WEEKDAY(H389,1),"الأحد","الاثنين","الثلاثاء","الأربعاء","الخميس","الجمعة","السبت")&amp;IF(OR(ISNUMBER(A389),LEN(TRIM(A389))&gt;=10),"","  "&amp;TEXT(DAY(H389),"00")&amp;"/"&amp;TEXT(MONTH(H389),"00")&amp;"/"&amp;YEAR(H389)))</f>
        <v/>
      </c>
      <c r="C389" s="24"/>
      <c r="D389" s="27"/>
      <c r="E389" s="44"/>
      <c r="F389" s="27"/>
      <c r="G389" s="0" t="str">
        <f aca="false">IF(AND(C389&lt;&gt;"",COUNTIF(C$6:C389,C389)=1),MAX(G$5:G388)+1,"")</f>
        <v/>
      </c>
      <c r="H389" s="0" t="str">
        <f aca="true">IF(A389="","",IF(ISNUMBER(A389),IF(A389&gt;=36526,A389,""),IFERROR(DATE(VALUE(RIGHT(RIGHT(TRIM(A389),10),4)),VALUE(MID(RIGHT(TRIM(A389),10),4,2)),VALUE(LEFT(RIGHT(TRIM(A389),10),2))),IFERROR(TODAY()-MOD(WEEKDAY(TODAY(),1)-MATCH(TRIM(A389),{"الأحد","الاثنين","الثلاثاء","الأربعاء","الخميس","الجمعة","السبت"},0),7),IFERROR(DATEVALUE(A389),"")))))</f>
        <v/>
      </c>
      <c r="I389" s="0" t="str">
        <f aca="false">IF(H389="","",INT((H389-WEEK_ONE)/7)+1)</f>
        <v/>
      </c>
      <c r="J389" s="0" t="str">
        <f aca="false">IF(I389="","",IF(OR(I389&lt;1,I389&gt;NW),"",INDEX(WMON,I389)))</f>
        <v/>
      </c>
    </row>
    <row r="390" customFormat="false" ht="15" hidden="false" customHeight="false" outlineLevel="0" collapsed="false">
      <c r="A390" s="43"/>
      <c r="B390" s="23" t="str">
        <f aca="false">IF(H390="","",CHOOSE(WEEKDAY(H390,1),"الأحد","الاثنين","الثلاثاء","الأربعاء","الخميس","الجمعة","السبت")&amp;IF(OR(ISNUMBER(A390),LEN(TRIM(A390))&gt;=10),"","  "&amp;TEXT(DAY(H390),"00")&amp;"/"&amp;TEXT(MONTH(H390),"00")&amp;"/"&amp;YEAR(H390)))</f>
        <v/>
      </c>
      <c r="C390" s="24"/>
      <c r="D390" s="27"/>
      <c r="E390" s="44"/>
      <c r="F390" s="27"/>
      <c r="G390" s="0" t="str">
        <f aca="false">IF(AND(C390&lt;&gt;"",COUNTIF(C$6:C390,C390)=1),MAX(G$5:G389)+1,"")</f>
        <v/>
      </c>
      <c r="H390" s="0" t="str">
        <f aca="true">IF(A390="","",IF(ISNUMBER(A390),IF(A390&gt;=36526,A390,""),IFERROR(DATE(VALUE(RIGHT(RIGHT(TRIM(A390),10),4)),VALUE(MID(RIGHT(TRIM(A390),10),4,2)),VALUE(LEFT(RIGHT(TRIM(A390),10),2))),IFERROR(TODAY()-MOD(WEEKDAY(TODAY(),1)-MATCH(TRIM(A390),{"الأحد","الاثنين","الثلاثاء","الأربعاء","الخميس","الجمعة","السبت"},0),7),IFERROR(DATEVALUE(A390),"")))))</f>
        <v/>
      </c>
      <c r="I390" s="0" t="str">
        <f aca="false">IF(H390="","",INT((H390-WEEK_ONE)/7)+1)</f>
        <v/>
      </c>
      <c r="J390" s="0" t="str">
        <f aca="false">IF(I390="","",IF(OR(I390&lt;1,I390&gt;NW),"",INDEX(WMON,I390)))</f>
        <v/>
      </c>
    </row>
    <row r="391" customFormat="false" ht="15" hidden="false" customHeight="false" outlineLevel="0" collapsed="false">
      <c r="A391" s="43"/>
      <c r="B391" s="23" t="str">
        <f aca="false">IF(H391="","",CHOOSE(WEEKDAY(H391,1),"الأحد","الاثنين","الثلاثاء","الأربعاء","الخميس","الجمعة","السبت")&amp;IF(OR(ISNUMBER(A391),LEN(TRIM(A391))&gt;=10),"","  "&amp;TEXT(DAY(H391),"00")&amp;"/"&amp;TEXT(MONTH(H391),"00")&amp;"/"&amp;YEAR(H391)))</f>
        <v/>
      </c>
      <c r="C391" s="24"/>
      <c r="D391" s="27"/>
      <c r="E391" s="44"/>
      <c r="F391" s="27"/>
      <c r="G391" s="0" t="str">
        <f aca="false">IF(AND(C391&lt;&gt;"",COUNTIF(C$6:C391,C391)=1),MAX(G$5:G390)+1,"")</f>
        <v/>
      </c>
      <c r="H391" s="0" t="str">
        <f aca="true">IF(A391="","",IF(ISNUMBER(A391),IF(A391&gt;=36526,A391,""),IFERROR(DATE(VALUE(RIGHT(RIGHT(TRIM(A391),10),4)),VALUE(MID(RIGHT(TRIM(A391),10),4,2)),VALUE(LEFT(RIGHT(TRIM(A391),10),2))),IFERROR(TODAY()-MOD(WEEKDAY(TODAY(),1)-MATCH(TRIM(A391),{"الأحد","الاثنين","الثلاثاء","الأربعاء","الخميس","الجمعة","السبت"},0),7),IFERROR(DATEVALUE(A391),"")))))</f>
        <v/>
      </c>
      <c r="I391" s="0" t="str">
        <f aca="false">IF(H391="","",INT((H391-WEEK_ONE)/7)+1)</f>
        <v/>
      </c>
      <c r="J391" s="0" t="str">
        <f aca="false">IF(I391="","",IF(OR(I391&lt;1,I391&gt;NW),"",INDEX(WMON,I391)))</f>
        <v/>
      </c>
    </row>
    <row r="392" customFormat="false" ht="15" hidden="false" customHeight="false" outlineLevel="0" collapsed="false">
      <c r="A392" s="43"/>
      <c r="B392" s="23" t="str">
        <f aca="false">IF(H392="","",CHOOSE(WEEKDAY(H392,1),"الأحد","الاثنين","الثلاثاء","الأربعاء","الخميس","الجمعة","السبت")&amp;IF(OR(ISNUMBER(A392),LEN(TRIM(A392))&gt;=10),"","  "&amp;TEXT(DAY(H392),"00")&amp;"/"&amp;TEXT(MONTH(H392),"00")&amp;"/"&amp;YEAR(H392)))</f>
        <v/>
      </c>
      <c r="C392" s="24"/>
      <c r="D392" s="27"/>
      <c r="E392" s="44"/>
      <c r="F392" s="27"/>
      <c r="G392" s="0" t="str">
        <f aca="false">IF(AND(C392&lt;&gt;"",COUNTIF(C$6:C392,C392)=1),MAX(G$5:G391)+1,"")</f>
        <v/>
      </c>
      <c r="H392" s="0" t="str">
        <f aca="true">IF(A392="","",IF(ISNUMBER(A392),IF(A392&gt;=36526,A392,""),IFERROR(DATE(VALUE(RIGHT(RIGHT(TRIM(A392),10),4)),VALUE(MID(RIGHT(TRIM(A392),10),4,2)),VALUE(LEFT(RIGHT(TRIM(A392),10),2))),IFERROR(TODAY()-MOD(WEEKDAY(TODAY(),1)-MATCH(TRIM(A392),{"الأحد","الاثنين","الثلاثاء","الأربعاء","الخميس","الجمعة","السبت"},0),7),IFERROR(DATEVALUE(A392),"")))))</f>
        <v/>
      </c>
      <c r="I392" s="0" t="str">
        <f aca="false">IF(H392="","",INT((H392-WEEK_ONE)/7)+1)</f>
        <v/>
      </c>
      <c r="J392" s="0" t="str">
        <f aca="false">IF(I392="","",IF(OR(I392&lt;1,I392&gt;NW),"",INDEX(WMON,I392)))</f>
        <v/>
      </c>
    </row>
    <row r="393" customFormat="false" ht="15" hidden="false" customHeight="false" outlineLevel="0" collapsed="false">
      <c r="A393" s="43"/>
      <c r="B393" s="23" t="str">
        <f aca="false">IF(H393="","",CHOOSE(WEEKDAY(H393,1),"الأحد","الاثنين","الثلاثاء","الأربعاء","الخميس","الجمعة","السبت")&amp;IF(OR(ISNUMBER(A393),LEN(TRIM(A393))&gt;=10),"","  "&amp;TEXT(DAY(H393),"00")&amp;"/"&amp;TEXT(MONTH(H393),"00")&amp;"/"&amp;YEAR(H393)))</f>
        <v/>
      </c>
      <c r="C393" s="24"/>
      <c r="D393" s="27"/>
      <c r="E393" s="44"/>
      <c r="F393" s="27"/>
      <c r="G393" s="0" t="str">
        <f aca="false">IF(AND(C393&lt;&gt;"",COUNTIF(C$6:C393,C393)=1),MAX(G$5:G392)+1,"")</f>
        <v/>
      </c>
      <c r="H393" s="0" t="str">
        <f aca="true">IF(A393="","",IF(ISNUMBER(A393),IF(A393&gt;=36526,A393,""),IFERROR(DATE(VALUE(RIGHT(RIGHT(TRIM(A393),10),4)),VALUE(MID(RIGHT(TRIM(A393),10),4,2)),VALUE(LEFT(RIGHT(TRIM(A393),10),2))),IFERROR(TODAY()-MOD(WEEKDAY(TODAY(),1)-MATCH(TRIM(A393),{"الأحد","الاثنين","الثلاثاء","الأربعاء","الخميس","الجمعة","السبت"},0),7),IFERROR(DATEVALUE(A393),"")))))</f>
        <v/>
      </c>
      <c r="I393" s="0" t="str">
        <f aca="false">IF(H393="","",INT((H393-WEEK_ONE)/7)+1)</f>
        <v/>
      </c>
      <c r="J393" s="0" t="str">
        <f aca="false">IF(I393="","",IF(OR(I393&lt;1,I393&gt;NW),"",INDEX(WMON,I393)))</f>
        <v/>
      </c>
    </row>
    <row r="394" customFormat="false" ht="15" hidden="false" customHeight="false" outlineLevel="0" collapsed="false">
      <c r="A394" s="43"/>
      <c r="B394" s="23" t="str">
        <f aca="false">IF(H394="","",CHOOSE(WEEKDAY(H394,1),"الأحد","الاثنين","الثلاثاء","الأربعاء","الخميس","الجمعة","السبت")&amp;IF(OR(ISNUMBER(A394),LEN(TRIM(A394))&gt;=10),"","  "&amp;TEXT(DAY(H394),"00")&amp;"/"&amp;TEXT(MONTH(H394),"00")&amp;"/"&amp;YEAR(H394)))</f>
        <v/>
      </c>
      <c r="C394" s="24"/>
      <c r="D394" s="27"/>
      <c r="E394" s="44"/>
      <c r="F394" s="27"/>
      <c r="G394" s="0" t="str">
        <f aca="false">IF(AND(C394&lt;&gt;"",COUNTIF(C$6:C394,C394)=1),MAX(G$5:G393)+1,"")</f>
        <v/>
      </c>
      <c r="H394" s="0" t="str">
        <f aca="true">IF(A394="","",IF(ISNUMBER(A394),IF(A394&gt;=36526,A394,""),IFERROR(DATE(VALUE(RIGHT(RIGHT(TRIM(A394),10),4)),VALUE(MID(RIGHT(TRIM(A394),10),4,2)),VALUE(LEFT(RIGHT(TRIM(A394),10),2))),IFERROR(TODAY()-MOD(WEEKDAY(TODAY(),1)-MATCH(TRIM(A394),{"الأحد","الاثنين","الثلاثاء","الأربعاء","الخميس","الجمعة","السبت"},0),7),IFERROR(DATEVALUE(A394),"")))))</f>
        <v/>
      </c>
      <c r="I394" s="0" t="str">
        <f aca="false">IF(H394="","",INT((H394-WEEK_ONE)/7)+1)</f>
        <v/>
      </c>
      <c r="J394" s="0" t="str">
        <f aca="false">IF(I394="","",IF(OR(I394&lt;1,I394&gt;NW),"",INDEX(WMON,I394)))</f>
        <v/>
      </c>
    </row>
    <row r="395" customFormat="false" ht="15" hidden="false" customHeight="false" outlineLevel="0" collapsed="false">
      <c r="A395" s="43"/>
      <c r="B395" s="23" t="str">
        <f aca="false">IF(H395="","",CHOOSE(WEEKDAY(H395,1),"الأحد","الاثنين","الثلاثاء","الأربعاء","الخميس","الجمعة","السبت")&amp;IF(OR(ISNUMBER(A395),LEN(TRIM(A395))&gt;=10),"","  "&amp;TEXT(DAY(H395),"00")&amp;"/"&amp;TEXT(MONTH(H395),"00")&amp;"/"&amp;YEAR(H395)))</f>
        <v/>
      </c>
      <c r="C395" s="24"/>
      <c r="D395" s="27"/>
      <c r="E395" s="44"/>
      <c r="F395" s="27"/>
      <c r="G395" s="0" t="str">
        <f aca="false">IF(AND(C395&lt;&gt;"",COUNTIF(C$6:C395,C395)=1),MAX(G$5:G394)+1,"")</f>
        <v/>
      </c>
      <c r="H395" s="0" t="str">
        <f aca="true">IF(A395="","",IF(ISNUMBER(A395),IF(A395&gt;=36526,A395,""),IFERROR(DATE(VALUE(RIGHT(RIGHT(TRIM(A395),10),4)),VALUE(MID(RIGHT(TRIM(A395),10),4,2)),VALUE(LEFT(RIGHT(TRIM(A395),10),2))),IFERROR(TODAY()-MOD(WEEKDAY(TODAY(),1)-MATCH(TRIM(A395),{"الأحد","الاثنين","الثلاثاء","الأربعاء","الخميس","الجمعة","السبت"},0),7),IFERROR(DATEVALUE(A395),"")))))</f>
        <v/>
      </c>
      <c r="I395" s="0" t="str">
        <f aca="false">IF(H395="","",INT((H395-WEEK_ONE)/7)+1)</f>
        <v/>
      </c>
      <c r="J395" s="0" t="str">
        <f aca="false">IF(I395="","",IF(OR(I395&lt;1,I395&gt;NW),"",INDEX(WMON,I395)))</f>
        <v/>
      </c>
    </row>
    <row r="396" customFormat="false" ht="15" hidden="false" customHeight="false" outlineLevel="0" collapsed="false">
      <c r="A396" s="43"/>
      <c r="B396" s="23" t="str">
        <f aca="false">IF(H396="","",CHOOSE(WEEKDAY(H396,1),"الأحد","الاثنين","الثلاثاء","الأربعاء","الخميس","الجمعة","السبت")&amp;IF(OR(ISNUMBER(A396),LEN(TRIM(A396))&gt;=10),"","  "&amp;TEXT(DAY(H396),"00")&amp;"/"&amp;TEXT(MONTH(H396),"00")&amp;"/"&amp;YEAR(H396)))</f>
        <v/>
      </c>
      <c r="C396" s="24"/>
      <c r="D396" s="27"/>
      <c r="E396" s="44"/>
      <c r="F396" s="27"/>
      <c r="G396" s="0" t="str">
        <f aca="false">IF(AND(C396&lt;&gt;"",COUNTIF(C$6:C396,C396)=1),MAX(G$5:G395)+1,"")</f>
        <v/>
      </c>
      <c r="H396" s="0" t="str">
        <f aca="true">IF(A396="","",IF(ISNUMBER(A396),IF(A396&gt;=36526,A396,""),IFERROR(DATE(VALUE(RIGHT(RIGHT(TRIM(A396),10),4)),VALUE(MID(RIGHT(TRIM(A396),10),4,2)),VALUE(LEFT(RIGHT(TRIM(A396),10),2))),IFERROR(TODAY()-MOD(WEEKDAY(TODAY(),1)-MATCH(TRIM(A396),{"الأحد","الاثنين","الثلاثاء","الأربعاء","الخميس","الجمعة","السبت"},0),7),IFERROR(DATEVALUE(A396),"")))))</f>
        <v/>
      </c>
      <c r="I396" s="0" t="str">
        <f aca="false">IF(H396="","",INT((H396-WEEK_ONE)/7)+1)</f>
        <v/>
      </c>
      <c r="J396" s="0" t="str">
        <f aca="false">IF(I396="","",IF(OR(I396&lt;1,I396&gt;NW),"",INDEX(WMON,I396)))</f>
        <v/>
      </c>
    </row>
    <row r="397" customFormat="false" ht="15" hidden="false" customHeight="false" outlineLevel="0" collapsed="false">
      <c r="A397" s="43"/>
      <c r="B397" s="23" t="str">
        <f aca="false">IF(H397="","",CHOOSE(WEEKDAY(H397,1),"الأحد","الاثنين","الثلاثاء","الأربعاء","الخميس","الجمعة","السبت")&amp;IF(OR(ISNUMBER(A397),LEN(TRIM(A397))&gt;=10),"","  "&amp;TEXT(DAY(H397),"00")&amp;"/"&amp;TEXT(MONTH(H397),"00")&amp;"/"&amp;YEAR(H397)))</f>
        <v/>
      </c>
      <c r="C397" s="24"/>
      <c r="D397" s="27"/>
      <c r="E397" s="44"/>
      <c r="F397" s="27"/>
      <c r="G397" s="0" t="str">
        <f aca="false">IF(AND(C397&lt;&gt;"",COUNTIF(C$6:C397,C397)=1),MAX(G$5:G396)+1,"")</f>
        <v/>
      </c>
      <c r="H397" s="0" t="str">
        <f aca="true">IF(A397="","",IF(ISNUMBER(A397),IF(A397&gt;=36526,A397,""),IFERROR(DATE(VALUE(RIGHT(RIGHT(TRIM(A397),10),4)),VALUE(MID(RIGHT(TRIM(A397),10),4,2)),VALUE(LEFT(RIGHT(TRIM(A397),10),2))),IFERROR(TODAY()-MOD(WEEKDAY(TODAY(),1)-MATCH(TRIM(A397),{"الأحد","الاثنين","الثلاثاء","الأربعاء","الخميس","الجمعة","السبت"},0),7),IFERROR(DATEVALUE(A397),"")))))</f>
        <v/>
      </c>
      <c r="I397" s="0" t="str">
        <f aca="false">IF(H397="","",INT((H397-WEEK_ONE)/7)+1)</f>
        <v/>
      </c>
      <c r="J397" s="0" t="str">
        <f aca="false">IF(I397="","",IF(OR(I397&lt;1,I397&gt;NW),"",INDEX(WMON,I397)))</f>
        <v/>
      </c>
    </row>
    <row r="398" customFormat="false" ht="15" hidden="false" customHeight="false" outlineLevel="0" collapsed="false">
      <c r="A398" s="43"/>
      <c r="B398" s="23" t="str">
        <f aca="false">IF(H398="","",CHOOSE(WEEKDAY(H398,1),"الأحد","الاثنين","الثلاثاء","الأربعاء","الخميس","الجمعة","السبت")&amp;IF(OR(ISNUMBER(A398),LEN(TRIM(A398))&gt;=10),"","  "&amp;TEXT(DAY(H398),"00")&amp;"/"&amp;TEXT(MONTH(H398),"00")&amp;"/"&amp;YEAR(H398)))</f>
        <v/>
      </c>
      <c r="C398" s="24"/>
      <c r="D398" s="27"/>
      <c r="E398" s="44"/>
      <c r="F398" s="27"/>
      <c r="G398" s="0" t="str">
        <f aca="false">IF(AND(C398&lt;&gt;"",COUNTIF(C$6:C398,C398)=1),MAX(G$5:G397)+1,"")</f>
        <v/>
      </c>
      <c r="H398" s="0" t="str">
        <f aca="true">IF(A398="","",IF(ISNUMBER(A398),IF(A398&gt;=36526,A398,""),IFERROR(DATE(VALUE(RIGHT(RIGHT(TRIM(A398),10),4)),VALUE(MID(RIGHT(TRIM(A398),10),4,2)),VALUE(LEFT(RIGHT(TRIM(A398),10),2))),IFERROR(TODAY()-MOD(WEEKDAY(TODAY(),1)-MATCH(TRIM(A398),{"الأحد","الاثنين","الثلاثاء","الأربعاء","الخميس","الجمعة","السبت"},0),7),IFERROR(DATEVALUE(A398),"")))))</f>
        <v/>
      </c>
      <c r="I398" s="0" t="str">
        <f aca="false">IF(H398="","",INT((H398-WEEK_ONE)/7)+1)</f>
        <v/>
      </c>
      <c r="J398" s="0" t="str">
        <f aca="false">IF(I398="","",IF(OR(I398&lt;1,I398&gt;NW),"",INDEX(WMON,I398)))</f>
        <v/>
      </c>
    </row>
    <row r="399" customFormat="false" ht="15" hidden="false" customHeight="false" outlineLevel="0" collapsed="false">
      <c r="A399" s="43"/>
      <c r="B399" s="23" t="str">
        <f aca="false">IF(H399="","",CHOOSE(WEEKDAY(H399,1),"الأحد","الاثنين","الثلاثاء","الأربعاء","الخميس","الجمعة","السبت")&amp;IF(OR(ISNUMBER(A399),LEN(TRIM(A399))&gt;=10),"","  "&amp;TEXT(DAY(H399),"00")&amp;"/"&amp;TEXT(MONTH(H399),"00")&amp;"/"&amp;YEAR(H399)))</f>
        <v/>
      </c>
      <c r="C399" s="24"/>
      <c r="D399" s="27"/>
      <c r="E399" s="44"/>
      <c r="F399" s="27"/>
      <c r="G399" s="0" t="str">
        <f aca="false">IF(AND(C399&lt;&gt;"",COUNTIF(C$6:C399,C399)=1),MAX(G$5:G398)+1,"")</f>
        <v/>
      </c>
      <c r="H399" s="0" t="str">
        <f aca="true">IF(A399="","",IF(ISNUMBER(A399),IF(A399&gt;=36526,A399,""),IFERROR(DATE(VALUE(RIGHT(RIGHT(TRIM(A399),10),4)),VALUE(MID(RIGHT(TRIM(A399),10),4,2)),VALUE(LEFT(RIGHT(TRIM(A399),10),2))),IFERROR(TODAY()-MOD(WEEKDAY(TODAY(),1)-MATCH(TRIM(A399),{"الأحد","الاثنين","الثلاثاء","الأربعاء","الخميس","الجمعة","السبت"},0),7),IFERROR(DATEVALUE(A399),"")))))</f>
        <v/>
      </c>
      <c r="I399" s="0" t="str">
        <f aca="false">IF(H399="","",INT((H399-WEEK_ONE)/7)+1)</f>
        <v/>
      </c>
      <c r="J399" s="0" t="str">
        <f aca="false">IF(I399="","",IF(OR(I399&lt;1,I399&gt;NW),"",INDEX(WMON,I399)))</f>
        <v/>
      </c>
    </row>
    <row r="400" customFormat="false" ht="15" hidden="false" customHeight="false" outlineLevel="0" collapsed="false">
      <c r="A400" s="43"/>
      <c r="B400" s="23" t="str">
        <f aca="false">IF(H400="","",CHOOSE(WEEKDAY(H400,1),"الأحد","الاثنين","الثلاثاء","الأربعاء","الخميس","الجمعة","السبت")&amp;IF(OR(ISNUMBER(A400),LEN(TRIM(A400))&gt;=10),"","  "&amp;TEXT(DAY(H400),"00")&amp;"/"&amp;TEXT(MONTH(H400),"00")&amp;"/"&amp;YEAR(H400)))</f>
        <v/>
      </c>
      <c r="C400" s="24"/>
      <c r="D400" s="27"/>
      <c r="E400" s="44"/>
      <c r="F400" s="27"/>
      <c r="G400" s="0" t="str">
        <f aca="false">IF(AND(C400&lt;&gt;"",COUNTIF(C$6:C400,C400)=1),MAX(G$5:G399)+1,"")</f>
        <v/>
      </c>
      <c r="H400" s="0" t="str">
        <f aca="true">IF(A400="","",IF(ISNUMBER(A400),IF(A400&gt;=36526,A400,""),IFERROR(DATE(VALUE(RIGHT(RIGHT(TRIM(A400),10),4)),VALUE(MID(RIGHT(TRIM(A400),10),4,2)),VALUE(LEFT(RIGHT(TRIM(A400),10),2))),IFERROR(TODAY()-MOD(WEEKDAY(TODAY(),1)-MATCH(TRIM(A400),{"الأحد","الاثنين","الثلاثاء","الأربعاء","الخميس","الجمعة","السبت"},0),7),IFERROR(DATEVALUE(A400),"")))))</f>
        <v/>
      </c>
      <c r="I400" s="0" t="str">
        <f aca="false">IF(H400="","",INT((H400-WEEK_ONE)/7)+1)</f>
        <v/>
      </c>
      <c r="J400" s="0" t="str">
        <f aca="false">IF(I400="","",IF(OR(I400&lt;1,I400&gt;NW),"",INDEX(WMON,I400)))</f>
        <v/>
      </c>
    </row>
    <row r="401" customFormat="false" ht="15" hidden="false" customHeight="false" outlineLevel="0" collapsed="false">
      <c r="A401" s="43"/>
      <c r="B401" s="23" t="str">
        <f aca="false">IF(H401="","",CHOOSE(WEEKDAY(H401,1),"الأحد","الاثنين","الثلاثاء","الأربعاء","الخميس","الجمعة","السبت")&amp;IF(OR(ISNUMBER(A401),LEN(TRIM(A401))&gt;=10),"","  "&amp;TEXT(DAY(H401),"00")&amp;"/"&amp;TEXT(MONTH(H401),"00")&amp;"/"&amp;YEAR(H401)))</f>
        <v/>
      </c>
      <c r="C401" s="24"/>
      <c r="D401" s="27"/>
      <c r="E401" s="44"/>
      <c r="F401" s="27"/>
      <c r="G401" s="0" t="str">
        <f aca="false">IF(AND(C401&lt;&gt;"",COUNTIF(C$6:C401,C401)=1),MAX(G$5:G400)+1,"")</f>
        <v/>
      </c>
      <c r="H401" s="0" t="str">
        <f aca="true">IF(A401="","",IF(ISNUMBER(A401),IF(A401&gt;=36526,A401,""),IFERROR(DATE(VALUE(RIGHT(RIGHT(TRIM(A401),10),4)),VALUE(MID(RIGHT(TRIM(A401),10),4,2)),VALUE(LEFT(RIGHT(TRIM(A401),10),2))),IFERROR(TODAY()-MOD(WEEKDAY(TODAY(),1)-MATCH(TRIM(A401),{"الأحد","الاثنين","الثلاثاء","الأربعاء","الخميس","الجمعة","السبت"},0),7),IFERROR(DATEVALUE(A401),"")))))</f>
        <v/>
      </c>
      <c r="I401" s="0" t="str">
        <f aca="false">IF(H401="","",INT((H401-WEEK_ONE)/7)+1)</f>
        <v/>
      </c>
      <c r="J401" s="0" t="str">
        <f aca="false">IF(I401="","",IF(OR(I401&lt;1,I401&gt;NW),"",INDEX(WMON,I401)))</f>
        <v/>
      </c>
    </row>
    <row r="402" customFormat="false" ht="15" hidden="false" customHeight="false" outlineLevel="0" collapsed="false">
      <c r="A402" s="43"/>
      <c r="B402" s="23" t="str">
        <f aca="false">IF(H402="","",CHOOSE(WEEKDAY(H402,1),"الأحد","الاثنين","الثلاثاء","الأربعاء","الخميس","الجمعة","السبت")&amp;IF(OR(ISNUMBER(A402),LEN(TRIM(A402))&gt;=10),"","  "&amp;TEXT(DAY(H402),"00")&amp;"/"&amp;TEXT(MONTH(H402),"00")&amp;"/"&amp;YEAR(H402)))</f>
        <v/>
      </c>
      <c r="C402" s="24"/>
      <c r="D402" s="27"/>
      <c r="E402" s="44"/>
      <c r="F402" s="27"/>
      <c r="G402" s="0" t="str">
        <f aca="false">IF(AND(C402&lt;&gt;"",COUNTIF(C$6:C402,C402)=1),MAX(G$5:G401)+1,"")</f>
        <v/>
      </c>
      <c r="H402" s="0" t="str">
        <f aca="true">IF(A402="","",IF(ISNUMBER(A402),IF(A402&gt;=36526,A402,""),IFERROR(DATE(VALUE(RIGHT(RIGHT(TRIM(A402),10),4)),VALUE(MID(RIGHT(TRIM(A402),10),4,2)),VALUE(LEFT(RIGHT(TRIM(A402),10),2))),IFERROR(TODAY()-MOD(WEEKDAY(TODAY(),1)-MATCH(TRIM(A402),{"الأحد","الاثنين","الثلاثاء","الأربعاء","الخميس","الجمعة","السبت"},0),7),IFERROR(DATEVALUE(A402),"")))))</f>
        <v/>
      </c>
      <c r="I402" s="0" t="str">
        <f aca="false">IF(H402="","",INT((H402-WEEK_ONE)/7)+1)</f>
        <v/>
      </c>
      <c r="J402" s="0" t="str">
        <f aca="false">IF(I402="","",IF(OR(I402&lt;1,I402&gt;NW),"",INDEX(WMON,I402)))</f>
        <v/>
      </c>
    </row>
    <row r="403" customFormat="false" ht="15" hidden="false" customHeight="false" outlineLevel="0" collapsed="false">
      <c r="A403" s="43"/>
      <c r="B403" s="23" t="str">
        <f aca="false">IF(H403="","",CHOOSE(WEEKDAY(H403,1),"الأحد","الاثنين","الثلاثاء","الأربعاء","الخميس","الجمعة","السبت")&amp;IF(OR(ISNUMBER(A403),LEN(TRIM(A403))&gt;=10),"","  "&amp;TEXT(DAY(H403),"00")&amp;"/"&amp;TEXT(MONTH(H403),"00")&amp;"/"&amp;YEAR(H403)))</f>
        <v/>
      </c>
      <c r="C403" s="24"/>
      <c r="D403" s="27"/>
      <c r="E403" s="44"/>
      <c r="F403" s="27"/>
      <c r="G403" s="0" t="str">
        <f aca="false">IF(AND(C403&lt;&gt;"",COUNTIF(C$6:C403,C403)=1),MAX(G$5:G402)+1,"")</f>
        <v/>
      </c>
      <c r="H403" s="0" t="str">
        <f aca="true">IF(A403="","",IF(ISNUMBER(A403),IF(A403&gt;=36526,A403,""),IFERROR(DATE(VALUE(RIGHT(RIGHT(TRIM(A403),10),4)),VALUE(MID(RIGHT(TRIM(A403),10),4,2)),VALUE(LEFT(RIGHT(TRIM(A403),10),2))),IFERROR(TODAY()-MOD(WEEKDAY(TODAY(),1)-MATCH(TRIM(A403),{"الأحد","الاثنين","الثلاثاء","الأربعاء","الخميس","الجمعة","السبت"},0),7),IFERROR(DATEVALUE(A403),"")))))</f>
        <v/>
      </c>
      <c r="I403" s="0" t="str">
        <f aca="false">IF(H403="","",INT((H403-WEEK_ONE)/7)+1)</f>
        <v/>
      </c>
      <c r="J403" s="0" t="str">
        <f aca="false">IF(I403="","",IF(OR(I403&lt;1,I403&gt;NW),"",INDEX(WMON,I403)))</f>
        <v/>
      </c>
    </row>
    <row r="404" customFormat="false" ht="15" hidden="false" customHeight="false" outlineLevel="0" collapsed="false">
      <c r="A404" s="43"/>
      <c r="B404" s="23" t="str">
        <f aca="false">IF(H404="","",CHOOSE(WEEKDAY(H404,1),"الأحد","الاثنين","الثلاثاء","الأربعاء","الخميس","الجمعة","السبت")&amp;IF(OR(ISNUMBER(A404),LEN(TRIM(A404))&gt;=10),"","  "&amp;TEXT(DAY(H404),"00")&amp;"/"&amp;TEXT(MONTH(H404),"00")&amp;"/"&amp;YEAR(H404)))</f>
        <v/>
      </c>
      <c r="C404" s="24"/>
      <c r="D404" s="27"/>
      <c r="E404" s="44"/>
      <c r="F404" s="27"/>
      <c r="G404" s="0" t="str">
        <f aca="false">IF(AND(C404&lt;&gt;"",COUNTIF(C$6:C404,C404)=1),MAX(G$5:G403)+1,"")</f>
        <v/>
      </c>
      <c r="H404" s="0" t="str">
        <f aca="true">IF(A404="","",IF(ISNUMBER(A404),IF(A404&gt;=36526,A404,""),IFERROR(DATE(VALUE(RIGHT(RIGHT(TRIM(A404),10),4)),VALUE(MID(RIGHT(TRIM(A404),10),4,2)),VALUE(LEFT(RIGHT(TRIM(A404),10),2))),IFERROR(TODAY()-MOD(WEEKDAY(TODAY(),1)-MATCH(TRIM(A404),{"الأحد","الاثنين","الثلاثاء","الأربعاء","الخميس","الجمعة","السبت"},0),7),IFERROR(DATEVALUE(A404),"")))))</f>
        <v/>
      </c>
      <c r="I404" s="0" t="str">
        <f aca="false">IF(H404="","",INT((H404-WEEK_ONE)/7)+1)</f>
        <v/>
      </c>
      <c r="J404" s="0" t="str">
        <f aca="false">IF(I404="","",IF(OR(I404&lt;1,I404&gt;NW),"",INDEX(WMON,I404)))</f>
        <v/>
      </c>
    </row>
    <row r="405" customFormat="false" ht="15" hidden="false" customHeight="false" outlineLevel="0" collapsed="false">
      <c r="A405" s="43"/>
      <c r="B405" s="23" t="str">
        <f aca="false">IF(H405="","",CHOOSE(WEEKDAY(H405,1),"الأحد","الاثنين","الثلاثاء","الأربعاء","الخميس","الجمعة","السبت")&amp;IF(OR(ISNUMBER(A405),LEN(TRIM(A405))&gt;=10),"","  "&amp;TEXT(DAY(H405),"00")&amp;"/"&amp;TEXT(MONTH(H405),"00")&amp;"/"&amp;YEAR(H405)))</f>
        <v/>
      </c>
      <c r="C405" s="24"/>
      <c r="D405" s="27"/>
      <c r="E405" s="44"/>
      <c r="F405" s="27"/>
      <c r="G405" s="0" t="str">
        <f aca="false">IF(AND(C405&lt;&gt;"",COUNTIF(C$6:C405,C405)=1),MAX(G$5:G404)+1,"")</f>
        <v/>
      </c>
      <c r="H405" s="0" t="str">
        <f aca="true">IF(A405="","",IF(ISNUMBER(A405),IF(A405&gt;=36526,A405,""),IFERROR(DATE(VALUE(RIGHT(RIGHT(TRIM(A405),10),4)),VALUE(MID(RIGHT(TRIM(A405),10),4,2)),VALUE(LEFT(RIGHT(TRIM(A405),10),2))),IFERROR(TODAY()-MOD(WEEKDAY(TODAY(),1)-MATCH(TRIM(A405),{"الأحد","الاثنين","الثلاثاء","الأربعاء","الخميس","الجمعة","السبت"},0),7),IFERROR(DATEVALUE(A405),"")))))</f>
        <v/>
      </c>
      <c r="I405" s="0" t="str">
        <f aca="false">IF(H405="","",INT((H405-WEEK_ONE)/7)+1)</f>
        <v/>
      </c>
      <c r="J405" s="0" t="str">
        <f aca="false">IF(I405="","",IF(OR(I405&lt;1,I405&gt;NW),"",INDEX(WMON,I405)))</f>
        <v/>
      </c>
    </row>
    <row r="406" customFormat="false" ht="15" hidden="false" customHeight="false" outlineLevel="0" collapsed="false">
      <c r="A406" s="43"/>
      <c r="B406" s="23" t="str">
        <f aca="false">IF(H406="","",CHOOSE(WEEKDAY(H406,1),"الأحد","الاثنين","الثلاثاء","الأربعاء","الخميس","الجمعة","السبت")&amp;IF(OR(ISNUMBER(A406),LEN(TRIM(A406))&gt;=10),"","  "&amp;TEXT(DAY(H406),"00")&amp;"/"&amp;TEXT(MONTH(H406),"00")&amp;"/"&amp;YEAR(H406)))</f>
        <v/>
      </c>
      <c r="C406" s="24"/>
      <c r="D406" s="27"/>
      <c r="E406" s="44"/>
      <c r="F406" s="27"/>
      <c r="G406" s="0" t="str">
        <f aca="false">IF(AND(C406&lt;&gt;"",COUNTIF(C$6:C406,C406)=1),MAX(G$5:G405)+1,"")</f>
        <v/>
      </c>
      <c r="H406" s="0" t="str">
        <f aca="true">IF(A406="","",IF(ISNUMBER(A406),IF(A406&gt;=36526,A406,""),IFERROR(DATE(VALUE(RIGHT(RIGHT(TRIM(A406),10),4)),VALUE(MID(RIGHT(TRIM(A406),10),4,2)),VALUE(LEFT(RIGHT(TRIM(A406),10),2))),IFERROR(TODAY()-MOD(WEEKDAY(TODAY(),1)-MATCH(TRIM(A406),{"الأحد","الاثنين","الثلاثاء","الأربعاء","الخميس","الجمعة","السبت"},0),7),IFERROR(DATEVALUE(A406),"")))))</f>
        <v/>
      </c>
      <c r="I406" s="0" t="str">
        <f aca="false">IF(H406="","",INT((H406-WEEK_ONE)/7)+1)</f>
        <v/>
      </c>
      <c r="J406" s="0" t="str">
        <f aca="false">IF(I406="","",IF(OR(I406&lt;1,I406&gt;NW),"",INDEX(WMON,I406)))</f>
        <v/>
      </c>
    </row>
    <row r="407" customFormat="false" ht="15" hidden="false" customHeight="false" outlineLevel="0" collapsed="false">
      <c r="A407" s="43"/>
      <c r="B407" s="23" t="str">
        <f aca="false">IF(H407="","",CHOOSE(WEEKDAY(H407,1),"الأحد","الاثنين","الثلاثاء","الأربعاء","الخميس","الجمعة","السبت")&amp;IF(OR(ISNUMBER(A407),LEN(TRIM(A407))&gt;=10),"","  "&amp;TEXT(DAY(H407),"00")&amp;"/"&amp;TEXT(MONTH(H407),"00")&amp;"/"&amp;YEAR(H407)))</f>
        <v/>
      </c>
      <c r="C407" s="24"/>
      <c r="D407" s="27"/>
      <c r="E407" s="44"/>
      <c r="F407" s="27"/>
      <c r="G407" s="0" t="str">
        <f aca="false">IF(AND(C407&lt;&gt;"",COUNTIF(C$6:C407,C407)=1),MAX(G$5:G406)+1,"")</f>
        <v/>
      </c>
      <c r="H407" s="0" t="str">
        <f aca="true">IF(A407="","",IF(ISNUMBER(A407),IF(A407&gt;=36526,A407,""),IFERROR(DATE(VALUE(RIGHT(RIGHT(TRIM(A407),10),4)),VALUE(MID(RIGHT(TRIM(A407),10),4,2)),VALUE(LEFT(RIGHT(TRIM(A407),10),2))),IFERROR(TODAY()-MOD(WEEKDAY(TODAY(),1)-MATCH(TRIM(A407),{"الأحد","الاثنين","الثلاثاء","الأربعاء","الخميس","الجمعة","السبت"},0),7),IFERROR(DATEVALUE(A407),"")))))</f>
        <v/>
      </c>
      <c r="I407" s="0" t="str">
        <f aca="false">IF(H407="","",INT((H407-WEEK_ONE)/7)+1)</f>
        <v/>
      </c>
      <c r="J407" s="0" t="str">
        <f aca="false">IF(I407="","",IF(OR(I407&lt;1,I407&gt;NW),"",INDEX(WMON,I407)))</f>
        <v/>
      </c>
    </row>
    <row r="408" customFormat="false" ht="15" hidden="false" customHeight="false" outlineLevel="0" collapsed="false">
      <c r="A408" s="43"/>
      <c r="B408" s="23" t="str">
        <f aca="false">IF(H408="","",CHOOSE(WEEKDAY(H408,1),"الأحد","الاثنين","الثلاثاء","الأربعاء","الخميس","الجمعة","السبت")&amp;IF(OR(ISNUMBER(A408),LEN(TRIM(A408))&gt;=10),"","  "&amp;TEXT(DAY(H408),"00")&amp;"/"&amp;TEXT(MONTH(H408),"00")&amp;"/"&amp;YEAR(H408)))</f>
        <v/>
      </c>
      <c r="C408" s="24"/>
      <c r="D408" s="27"/>
      <c r="E408" s="44"/>
      <c r="F408" s="27"/>
      <c r="G408" s="0" t="str">
        <f aca="false">IF(AND(C408&lt;&gt;"",COUNTIF(C$6:C408,C408)=1),MAX(G$5:G407)+1,"")</f>
        <v/>
      </c>
      <c r="H408" s="0" t="str">
        <f aca="true">IF(A408="","",IF(ISNUMBER(A408),IF(A408&gt;=36526,A408,""),IFERROR(DATE(VALUE(RIGHT(RIGHT(TRIM(A408),10),4)),VALUE(MID(RIGHT(TRIM(A408),10),4,2)),VALUE(LEFT(RIGHT(TRIM(A408),10),2))),IFERROR(TODAY()-MOD(WEEKDAY(TODAY(),1)-MATCH(TRIM(A408),{"الأحد","الاثنين","الثلاثاء","الأربعاء","الخميس","الجمعة","السبت"},0),7),IFERROR(DATEVALUE(A408),"")))))</f>
        <v/>
      </c>
      <c r="I408" s="0" t="str">
        <f aca="false">IF(H408="","",INT((H408-WEEK_ONE)/7)+1)</f>
        <v/>
      </c>
      <c r="J408" s="0" t="str">
        <f aca="false">IF(I408="","",IF(OR(I408&lt;1,I408&gt;NW),"",INDEX(WMON,I408)))</f>
        <v/>
      </c>
    </row>
    <row r="409" customFormat="false" ht="15" hidden="false" customHeight="false" outlineLevel="0" collapsed="false">
      <c r="A409" s="43"/>
      <c r="B409" s="23" t="str">
        <f aca="false">IF(H409="","",CHOOSE(WEEKDAY(H409,1),"الأحد","الاثنين","الثلاثاء","الأربعاء","الخميس","الجمعة","السبت")&amp;IF(OR(ISNUMBER(A409),LEN(TRIM(A409))&gt;=10),"","  "&amp;TEXT(DAY(H409),"00")&amp;"/"&amp;TEXT(MONTH(H409),"00")&amp;"/"&amp;YEAR(H409)))</f>
        <v/>
      </c>
      <c r="C409" s="24"/>
      <c r="D409" s="27"/>
      <c r="E409" s="44"/>
      <c r="F409" s="27"/>
      <c r="G409" s="0" t="str">
        <f aca="false">IF(AND(C409&lt;&gt;"",COUNTIF(C$6:C409,C409)=1),MAX(G$5:G408)+1,"")</f>
        <v/>
      </c>
      <c r="H409" s="0" t="str">
        <f aca="true">IF(A409="","",IF(ISNUMBER(A409),IF(A409&gt;=36526,A409,""),IFERROR(DATE(VALUE(RIGHT(RIGHT(TRIM(A409),10),4)),VALUE(MID(RIGHT(TRIM(A409),10),4,2)),VALUE(LEFT(RIGHT(TRIM(A409),10),2))),IFERROR(TODAY()-MOD(WEEKDAY(TODAY(),1)-MATCH(TRIM(A409),{"الأحد","الاثنين","الثلاثاء","الأربعاء","الخميس","الجمعة","السبت"},0),7),IFERROR(DATEVALUE(A409),"")))))</f>
        <v/>
      </c>
      <c r="I409" s="0" t="str">
        <f aca="false">IF(H409="","",INT((H409-WEEK_ONE)/7)+1)</f>
        <v/>
      </c>
      <c r="J409" s="0" t="str">
        <f aca="false">IF(I409="","",IF(OR(I409&lt;1,I409&gt;NW),"",INDEX(WMON,I409)))</f>
        <v/>
      </c>
    </row>
    <row r="410" customFormat="false" ht="15" hidden="false" customHeight="false" outlineLevel="0" collapsed="false">
      <c r="A410" s="43"/>
      <c r="B410" s="23" t="str">
        <f aca="false">IF(H410="","",CHOOSE(WEEKDAY(H410,1),"الأحد","الاثنين","الثلاثاء","الأربعاء","الخميس","الجمعة","السبت")&amp;IF(OR(ISNUMBER(A410),LEN(TRIM(A410))&gt;=10),"","  "&amp;TEXT(DAY(H410),"00")&amp;"/"&amp;TEXT(MONTH(H410),"00")&amp;"/"&amp;YEAR(H410)))</f>
        <v/>
      </c>
      <c r="C410" s="24"/>
      <c r="D410" s="27"/>
      <c r="E410" s="44"/>
      <c r="F410" s="27"/>
      <c r="G410" s="0" t="str">
        <f aca="false">IF(AND(C410&lt;&gt;"",COUNTIF(C$6:C410,C410)=1),MAX(G$5:G409)+1,"")</f>
        <v/>
      </c>
      <c r="H410" s="0" t="str">
        <f aca="true">IF(A410="","",IF(ISNUMBER(A410),IF(A410&gt;=36526,A410,""),IFERROR(DATE(VALUE(RIGHT(RIGHT(TRIM(A410),10),4)),VALUE(MID(RIGHT(TRIM(A410),10),4,2)),VALUE(LEFT(RIGHT(TRIM(A410),10),2))),IFERROR(TODAY()-MOD(WEEKDAY(TODAY(),1)-MATCH(TRIM(A410),{"الأحد","الاثنين","الثلاثاء","الأربعاء","الخميس","الجمعة","السبت"},0),7),IFERROR(DATEVALUE(A410),"")))))</f>
        <v/>
      </c>
      <c r="I410" s="0" t="str">
        <f aca="false">IF(H410="","",INT((H410-WEEK_ONE)/7)+1)</f>
        <v/>
      </c>
      <c r="J410" s="0" t="str">
        <f aca="false">IF(I410="","",IF(OR(I410&lt;1,I410&gt;NW),"",INDEX(WMON,I410)))</f>
        <v/>
      </c>
    </row>
    <row r="411" customFormat="false" ht="15" hidden="false" customHeight="false" outlineLevel="0" collapsed="false">
      <c r="A411" s="43"/>
      <c r="B411" s="23" t="str">
        <f aca="false">IF(H411="","",CHOOSE(WEEKDAY(H411,1),"الأحد","الاثنين","الثلاثاء","الأربعاء","الخميس","الجمعة","السبت")&amp;IF(OR(ISNUMBER(A411),LEN(TRIM(A411))&gt;=10),"","  "&amp;TEXT(DAY(H411),"00")&amp;"/"&amp;TEXT(MONTH(H411),"00")&amp;"/"&amp;YEAR(H411)))</f>
        <v/>
      </c>
      <c r="C411" s="24"/>
      <c r="D411" s="27"/>
      <c r="E411" s="44"/>
      <c r="F411" s="27"/>
      <c r="G411" s="0" t="str">
        <f aca="false">IF(AND(C411&lt;&gt;"",COUNTIF(C$6:C411,C411)=1),MAX(G$5:G410)+1,"")</f>
        <v/>
      </c>
      <c r="H411" s="0" t="str">
        <f aca="true">IF(A411="","",IF(ISNUMBER(A411),IF(A411&gt;=36526,A411,""),IFERROR(DATE(VALUE(RIGHT(RIGHT(TRIM(A411),10),4)),VALUE(MID(RIGHT(TRIM(A411),10),4,2)),VALUE(LEFT(RIGHT(TRIM(A411),10),2))),IFERROR(TODAY()-MOD(WEEKDAY(TODAY(),1)-MATCH(TRIM(A411),{"الأحد","الاثنين","الثلاثاء","الأربعاء","الخميس","الجمعة","السبت"},0),7),IFERROR(DATEVALUE(A411),"")))))</f>
        <v/>
      </c>
      <c r="I411" s="0" t="str">
        <f aca="false">IF(H411="","",INT((H411-WEEK_ONE)/7)+1)</f>
        <v/>
      </c>
      <c r="J411" s="0" t="str">
        <f aca="false">IF(I411="","",IF(OR(I411&lt;1,I411&gt;NW),"",INDEX(WMON,I411)))</f>
        <v/>
      </c>
    </row>
    <row r="412" customFormat="false" ht="15" hidden="false" customHeight="false" outlineLevel="0" collapsed="false">
      <c r="A412" s="43"/>
      <c r="B412" s="23" t="str">
        <f aca="false">IF(H412="","",CHOOSE(WEEKDAY(H412,1),"الأحد","الاثنين","الثلاثاء","الأربعاء","الخميس","الجمعة","السبت")&amp;IF(OR(ISNUMBER(A412),LEN(TRIM(A412))&gt;=10),"","  "&amp;TEXT(DAY(H412),"00")&amp;"/"&amp;TEXT(MONTH(H412),"00")&amp;"/"&amp;YEAR(H412)))</f>
        <v/>
      </c>
      <c r="C412" s="24"/>
      <c r="D412" s="27"/>
      <c r="E412" s="44"/>
      <c r="F412" s="27"/>
      <c r="G412" s="0" t="str">
        <f aca="false">IF(AND(C412&lt;&gt;"",COUNTIF(C$6:C412,C412)=1),MAX(G$5:G411)+1,"")</f>
        <v/>
      </c>
      <c r="H412" s="0" t="str">
        <f aca="true">IF(A412="","",IF(ISNUMBER(A412),IF(A412&gt;=36526,A412,""),IFERROR(DATE(VALUE(RIGHT(RIGHT(TRIM(A412),10),4)),VALUE(MID(RIGHT(TRIM(A412),10),4,2)),VALUE(LEFT(RIGHT(TRIM(A412),10),2))),IFERROR(TODAY()-MOD(WEEKDAY(TODAY(),1)-MATCH(TRIM(A412),{"الأحد","الاثنين","الثلاثاء","الأربعاء","الخميس","الجمعة","السبت"},0),7),IFERROR(DATEVALUE(A412),"")))))</f>
        <v/>
      </c>
      <c r="I412" s="0" t="str">
        <f aca="false">IF(H412="","",INT((H412-WEEK_ONE)/7)+1)</f>
        <v/>
      </c>
      <c r="J412" s="0" t="str">
        <f aca="false">IF(I412="","",IF(OR(I412&lt;1,I412&gt;NW),"",INDEX(WMON,I412)))</f>
        <v/>
      </c>
    </row>
    <row r="413" customFormat="false" ht="15" hidden="false" customHeight="false" outlineLevel="0" collapsed="false">
      <c r="A413" s="43"/>
      <c r="B413" s="23" t="str">
        <f aca="false">IF(H413="","",CHOOSE(WEEKDAY(H413,1),"الأحد","الاثنين","الثلاثاء","الأربعاء","الخميس","الجمعة","السبت")&amp;IF(OR(ISNUMBER(A413),LEN(TRIM(A413))&gt;=10),"","  "&amp;TEXT(DAY(H413),"00")&amp;"/"&amp;TEXT(MONTH(H413),"00")&amp;"/"&amp;YEAR(H413)))</f>
        <v/>
      </c>
      <c r="C413" s="24"/>
      <c r="D413" s="27"/>
      <c r="E413" s="44"/>
      <c r="F413" s="27"/>
      <c r="G413" s="0" t="str">
        <f aca="false">IF(AND(C413&lt;&gt;"",COUNTIF(C$6:C413,C413)=1),MAX(G$5:G412)+1,"")</f>
        <v/>
      </c>
      <c r="H413" s="0" t="str">
        <f aca="true">IF(A413="","",IF(ISNUMBER(A413),IF(A413&gt;=36526,A413,""),IFERROR(DATE(VALUE(RIGHT(RIGHT(TRIM(A413),10),4)),VALUE(MID(RIGHT(TRIM(A413),10),4,2)),VALUE(LEFT(RIGHT(TRIM(A413),10),2))),IFERROR(TODAY()-MOD(WEEKDAY(TODAY(),1)-MATCH(TRIM(A413),{"الأحد","الاثنين","الثلاثاء","الأربعاء","الخميس","الجمعة","السبت"},0),7),IFERROR(DATEVALUE(A413),"")))))</f>
        <v/>
      </c>
      <c r="I413" s="0" t="str">
        <f aca="false">IF(H413="","",INT((H413-WEEK_ONE)/7)+1)</f>
        <v/>
      </c>
      <c r="J413" s="0" t="str">
        <f aca="false">IF(I413="","",IF(OR(I413&lt;1,I413&gt;NW),"",INDEX(WMON,I413)))</f>
        <v/>
      </c>
    </row>
    <row r="414" customFormat="false" ht="15" hidden="false" customHeight="false" outlineLevel="0" collapsed="false">
      <c r="A414" s="43"/>
      <c r="B414" s="23" t="str">
        <f aca="false">IF(H414="","",CHOOSE(WEEKDAY(H414,1),"الأحد","الاثنين","الثلاثاء","الأربعاء","الخميس","الجمعة","السبت")&amp;IF(OR(ISNUMBER(A414),LEN(TRIM(A414))&gt;=10),"","  "&amp;TEXT(DAY(H414),"00")&amp;"/"&amp;TEXT(MONTH(H414),"00")&amp;"/"&amp;YEAR(H414)))</f>
        <v/>
      </c>
      <c r="C414" s="24"/>
      <c r="D414" s="27"/>
      <c r="E414" s="44"/>
      <c r="F414" s="27"/>
      <c r="G414" s="0" t="str">
        <f aca="false">IF(AND(C414&lt;&gt;"",COUNTIF(C$6:C414,C414)=1),MAX(G$5:G413)+1,"")</f>
        <v/>
      </c>
      <c r="H414" s="0" t="str">
        <f aca="true">IF(A414="","",IF(ISNUMBER(A414),IF(A414&gt;=36526,A414,""),IFERROR(DATE(VALUE(RIGHT(RIGHT(TRIM(A414),10),4)),VALUE(MID(RIGHT(TRIM(A414),10),4,2)),VALUE(LEFT(RIGHT(TRIM(A414),10),2))),IFERROR(TODAY()-MOD(WEEKDAY(TODAY(),1)-MATCH(TRIM(A414),{"الأحد","الاثنين","الثلاثاء","الأربعاء","الخميس","الجمعة","السبت"},0),7),IFERROR(DATEVALUE(A414),"")))))</f>
        <v/>
      </c>
      <c r="I414" s="0" t="str">
        <f aca="false">IF(H414="","",INT((H414-WEEK_ONE)/7)+1)</f>
        <v/>
      </c>
      <c r="J414" s="0" t="str">
        <f aca="false">IF(I414="","",IF(OR(I414&lt;1,I414&gt;NW),"",INDEX(WMON,I414)))</f>
        <v/>
      </c>
    </row>
    <row r="415" customFormat="false" ht="15" hidden="false" customHeight="false" outlineLevel="0" collapsed="false">
      <c r="A415" s="43"/>
      <c r="B415" s="23" t="str">
        <f aca="false">IF(H415="","",CHOOSE(WEEKDAY(H415,1),"الأحد","الاثنين","الثلاثاء","الأربعاء","الخميس","الجمعة","السبت")&amp;IF(OR(ISNUMBER(A415),LEN(TRIM(A415))&gt;=10),"","  "&amp;TEXT(DAY(H415),"00")&amp;"/"&amp;TEXT(MONTH(H415),"00")&amp;"/"&amp;YEAR(H415)))</f>
        <v/>
      </c>
      <c r="C415" s="24"/>
      <c r="D415" s="27"/>
      <c r="E415" s="44"/>
      <c r="F415" s="27"/>
      <c r="G415" s="0" t="str">
        <f aca="false">IF(AND(C415&lt;&gt;"",COUNTIF(C$6:C415,C415)=1),MAX(G$5:G414)+1,"")</f>
        <v/>
      </c>
      <c r="H415" s="0" t="str">
        <f aca="true">IF(A415="","",IF(ISNUMBER(A415),IF(A415&gt;=36526,A415,""),IFERROR(DATE(VALUE(RIGHT(RIGHT(TRIM(A415),10),4)),VALUE(MID(RIGHT(TRIM(A415),10),4,2)),VALUE(LEFT(RIGHT(TRIM(A415),10),2))),IFERROR(TODAY()-MOD(WEEKDAY(TODAY(),1)-MATCH(TRIM(A415),{"الأحد","الاثنين","الثلاثاء","الأربعاء","الخميس","الجمعة","السبت"},0),7),IFERROR(DATEVALUE(A415),"")))))</f>
        <v/>
      </c>
      <c r="I415" s="0" t="str">
        <f aca="false">IF(H415="","",INT((H415-WEEK_ONE)/7)+1)</f>
        <v/>
      </c>
      <c r="J415" s="0" t="str">
        <f aca="false">IF(I415="","",IF(OR(I415&lt;1,I415&gt;NW),"",INDEX(WMON,I415)))</f>
        <v/>
      </c>
    </row>
    <row r="416" customFormat="false" ht="15" hidden="false" customHeight="false" outlineLevel="0" collapsed="false">
      <c r="A416" s="43"/>
      <c r="B416" s="23" t="str">
        <f aca="false">IF(H416="","",CHOOSE(WEEKDAY(H416,1),"الأحد","الاثنين","الثلاثاء","الأربعاء","الخميس","الجمعة","السبت")&amp;IF(OR(ISNUMBER(A416),LEN(TRIM(A416))&gt;=10),"","  "&amp;TEXT(DAY(H416),"00")&amp;"/"&amp;TEXT(MONTH(H416),"00")&amp;"/"&amp;YEAR(H416)))</f>
        <v/>
      </c>
      <c r="C416" s="24"/>
      <c r="D416" s="27"/>
      <c r="E416" s="44"/>
      <c r="F416" s="27"/>
      <c r="G416" s="0" t="str">
        <f aca="false">IF(AND(C416&lt;&gt;"",COUNTIF(C$6:C416,C416)=1),MAX(G$5:G415)+1,"")</f>
        <v/>
      </c>
      <c r="H416" s="0" t="str">
        <f aca="true">IF(A416="","",IF(ISNUMBER(A416),IF(A416&gt;=36526,A416,""),IFERROR(DATE(VALUE(RIGHT(RIGHT(TRIM(A416),10),4)),VALUE(MID(RIGHT(TRIM(A416),10),4,2)),VALUE(LEFT(RIGHT(TRIM(A416),10),2))),IFERROR(TODAY()-MOD(WEEKDAY(TODAY(),1)-MATCH(TRIM(A416),{"الأحد","الاثنين","الثلاثاء","الأربعاء","الخميس","الجمعة","السبت"},0),7),IFERROR(DATEVALUE(A416),"")))))</f>
        <v/>
      </c>
      <c r="I416" s="0" t="str">
        <f aca="false">IF(H416="","",INT((H416-WEEK_ONE)/7)+1)</f>
        <v/>
      </c>
      <c r="J416" s="0" t="str">
        <f aca="false">IF(I416="","",IF(OR(I416&lt;1,I416&gt;NW),"",INDEX(WMON,I416)))</f>
        <v/>
      </c>
    </row>
    <row r="417" customFormat="false" ht="15" hidden="false" customHeight="false" outlineLevel="0" collapsed="false">
      <c r="A417" s="43"/>
      <c r="B417" s="23" t="str">
        <f aca="false">IF(H417="","",CHOOSE(WEEKDAY(H417,1),"الأحد","الاثنين","الثلاثاء","الأربعاء","الخميس","الجمعة","السبت")&amp;IF(OR(ISNUMBER(A417),LEN(TRIM(A417))&gt;=10),"","  "&amp;TEXT(DAY(H417),"00")&amp;"/"&amp;TEXT(MONTH(H417),"00")&amp;"/"&amp;YEAR(H417)))</f>
        <v/>
      </c>
      <c r="C417" s="24"/>
      <c r="D417" s="27"/>
      <c r="E417" s="44"/>
      <c r="F417" s="27"/>
      <c r="G417" s="0" t="str">
        <f aca="false">IF(AND(C417&lt;&gt;"",COUNTIF(C$6:C417,C417)=1),MAX(G$5:G416)+1,"")</f>
        <v/>
      </c>
      <c r="H417" s="0" t="str">
        <f aca="true">IF(A417="","",IF(ISNUMBER(A417),IF(A417&gt;=36526,A417,""),IFERROR(DATE(VALUE(RIGHT(RIGHT(TRIM(A417),10),4)),VALUE(MID(RIGHT(TRIM(A417),10),4,2)),VALUE(LEFT(RIGHT(TRIM(A417),10),2))),IFERROR(TODAY()-MOD(WEEKDAY(TODAY(),1)-MATCH(TRIM(A417),{"الأحد","الاثنين","الثلاثاء","الأربعاء","الخميس","الجمعة","السبت"},0),7),IFERROR(DATEVALUE(A417),"")))))</f>
        <v/>
      </c>
      <c r="I417" s="0" t="str">
        <f aca="false">IF(H417="","",INT((H417-WEEK_ONE)/7)+1)</f>
        <v/>
      </c>
      <c r="J417" s="0" t="str">
        <f aca="false">IF(I417="","",IF(OR(I417&lt;1,I417&gt;NW),"",INDEX(WMON,I417)))</f>
        <v/>
      </c>
    </row>
    <row r="418" customFormat="false" ht="15" hidden="false" customHeight="false" outlineLevel="0" collapsed="false">
      <c r="A418" s="43"/>
      <c r="B418" s="23" t="str">
        <f aca="false">IF(H418="","",CHOOSE(WEEKDAY(H418,1),"الأحد","الاثنين","الثلاثاء","الأربعاء","الخميس","الجمعة","السبت")&amp;IF(OR(ISNUMBER(A418),LEN(TRIM(A418))&gt;=10),"","  "&amp;TEXT(DAY(H418),"00")&amp;"/"&amp;TEXT(MONTH(H418),"00")&amp;"/"&amp;YEAR(H418)))</f>
        <v/>
      </c>
      <c r="C418" s="24"/>
      <c r="D418" s="27"/>
      <c r="E418" s="44"/>
      <c r="F418" s="27"/>
      <c r="G418" s="0" t="str">
        <f aca="false">IF(AND(C418&lt;&gt;"",COUNTIF(C$6:C418,C418)=1),MAX(G$5:G417)+1,"")</f>
        <v/>
      </c>
      <c r="H418" s="0" t="str">
        <f aca="true">IF(A418="","",IF(ISNUMBER(A418),IF(A418&gt;=36526,A418,""),IFERROR(DATE(VALUE(RIGHT(RIGHT(TRIM(A418),10),4)),VALUE(MID(RIGHT(TRIM(A418),10),4,2)),VALUE(LEFT(RIGHT(TRIM(A418),10),2))),IFERROR(TODAY()-MOD(WEEKDAY(TODAY(),1)-MATCH(TRIM(A418),{"الأحد","الاثنين","الثلاثاء","الأربعاء","الخميس","الجمعة","السبت"},0),7),IFERROR(DATEVALUE(A418),"")))))</f>
        <v/>
      </c>
      <c r="I418" s="0" t="str">
        <f aca="false">IF(H418="","",INT((H418-WEEK_ONE)/7)+1)</f>
        <v/>
      </c>
      <c r="J418" s="0" t="str">
        <f aca="false">IF(I418="","",IF(OR(I418&lt;1,I418&gt;NW),"",INDEX(WMON,I418)))</f>
        <v/>
      </c>
    </row>
    <row r="419" customFormat="false" ht="15" hidden="false" customHeight="false" outlineLevel="0" collapsed="false">
      <c r="A419" s="43"/>
      <c r="B419" s="23" t="str">
        <f aca="false">IF(H419="","",CHOOSE(WEEKDAY(H419,1),"الأحد","الاثنين","الثلاثاء","الأربعاء","الخميس","الجمعة","السبت")&amp;IF(OR(ISNUMBER(A419),LEN(TRIM(A419))&gt;=10),"","  "&amp;TEXT(DAY(H419),"00")&amp;"/"&amp;TEXT(MONTH(H419),"00")&amp;"/"&amp;YEAR(H419)))</f>
        <v/>
      </c>
      <c r="C419" s="24"/>
      <c r="D419" s="27"/>
      <c r="E419" s="44"/>
      <c r="F419" s="27"/>
      <c r="G419" s="0" t="str">
        <f aca="false">IF(AND(C419&lt;&gt;"",COUNTIF(C$6:C419,C419)=1),MAX(G$5:G418)+1,"")</f>
        <v/>
      </c>
      <c r="H419" s="0" t="str">
        <f aca="true">IF(A419="","",IF(ISNUMBER(A419),IF(A419&gt;=36526,A419,""),IFERROR(DATE(VALUE(RIGHT(RIGHT(TRIM(A419),10),4)),VALUE(MID(RIGHT(TRIM(A419),10),4,2)),VALUE(LEFT(RIGHT(TRIM(A419),10),2))),IFERROR(TODAY()-MOD(WEEKDAY(TODAY(),1)-MATCH(TRIM(A419),{"الأحد","الاثنين","الثلاثاء","الأربعاء","الخميس","الجمعة","السبت"},0),7),IFERROR(DATEVALUE(A419),"")))))</f>
        <v/>
      </c>
      <c r="I419" s="0" t="str">
        <f aca="false">IF(H419="","",INT((H419-WEEK_ONE)/7)+1)</f>
        <v/>
      </c>
      <c r="J419" s="0" t="str">
        <f aca="false">IF(I419="","",IF(OR(I419&lt;1,I419&gt;NW),"",INDEX(WMON,I419)))</f>
        <v/>
      </c>
    </row>
    <row r="420" customFormat="false" ht="15" hidden="false" customHeight="false" outlineLevel="0" collapsed="false">
      <c r="A420" s="43"/>
      <c r="B420" s="23" t="str">
        <f aca="false">IF(H420="","",CHOOSE(WEEKDAY(H420,1),"الأحد","الاثنين","الثلاثاء","الأربعاء","الخميس","الجمعة","السبت")&amp;IF(OR(ISNUMBER(A420),LEN(TRIM(A420))&gt;=10),"","  "&amp;TEXT(DAY(H420),"00")&amp;"/"&amp;TEXT(MONTH(H420),"00")&amp;"/"&amp;YEAR(H420)))</f>
        <v/>
      </c>
      <c r="C420" s="24"/>
      <c r="D420" s="27"/>
      <c r="E420" s="44"/>
      <c r="F420" s="27"/>
      <c r="G420" s="0" t="str">
        <f aca="false">IF(AND(C420&lt;&gt;"",COUNTIF(C$6:C420,C420)=1),MAX(G$5:G419)+1,"")</f>
        <v/>
      </c>
      <c r="H420" s="0" t="str">
        <f aca="true">IF(A420="","",IF(ISNUMBER(A420),IF(A420&gt;=36526,A420,""),IFERROR(DATE(VALUE(RIGHT(RIGHT(TRIM(A420),10),4)),VALUE(MID(RIGHT(TRIM(A420),10),4,2)),VALUE(LEFT(RIGHT(TRIM(A420),10),2))),IFERROR(TODAY()-MOD(WEEKDAY(TODAY(),1)-MATCH(TRIM(A420),{"الأحد","الاثنين","الثلاثاء","الأربعاء","الخميس","الجمعة","السبت"},0),7),IFERROR(DATEVALUE(A420),"")))))</f>
        <v/>
      </c>
      <c r="I420" s="0" t="str">
        <f aca="false">IF(H420="","",INT((H420-WEEK_ONE)/7)+1)</f>
        <v/>
      </c>
      <c r="J420" s="0" t="str">
        <f aca="false">IF(I420="","",IF(OR(I420&lt;1,I420&gt;NW),"",INDEX(WMON,I420)))</f>
        <v/>
      </c>
    </row>
    <row r="421" customFormat="false" ht="15" hidden="false" customHeight="false" outlineLevel="0" collapsed="false">
      <c r="A421" s="43"/>
      <c r="B421" s="23" t="str">
        <f aca="false">IF(H421="","",CHOOSE(WEEKDAY(H421,1),"الأحد","الاثنين","الثلاثاء","الأربعاء","الخميس","الجمعة","السبت")&amp;IF(OR(ISNUMBER(A421),LEN(TRIM(A421))&gt;=10),"","  "&amp;TEXT(DAY(H421),"00")&amp;"/"&amp;TEXT(MONTH(H421),"00")&amp;"/"&amp;YEAR(H421)))</f>
        <v/>
      </c>
      <c r="C421" s="24"/>
      <c r="D421" s="27"/>
      <c r="E421" s="44"/>
      <c r="F421" s="27"/>
      <c r="G421" s="0" t="str">
        <f aca="false">IF(AND(C421&lt;&gt;"",COUNTIF(C$6:C421,C421)=1),MAX(G$5:G420)+1,"")</f>
        <v/>
      </c>
      <c r="H421" s="0" t="str">
        <f aca="true">IF(A421="","",IF(ISNUMBER(A421),IF(A421&gt;=36526,A421,""),IFERROR(DATE(VALUE(RIGHT(RIGHT(TRIM(A421),10),4)),VALUE(MID(RIGHT(TRIM(A421),10),4,2)),VALUE(LEFT(RIGHT(TRIM(A421),10),2))),IFERROR(TODAY()-MOD(WEEKDAY(TODAY(),1)-MATCH(TRIM(A421),{"الأحد","الاثنين","الثلاثاء","الأربعاء","الخميس","الجمعة","السبت"},0),7),IFERROR(DATEVALUE(A421),"")))))</f>
        <v/>
      </c>
      <c r="I421" s="0" t="str">
        <f aca="false">IF(H421="","",INT((H421-WEEK_ONE)/7)+1)</f>
        <v/>
      </c>
      <c r="J421" s="0" t="str">
        <f aca="false">IF(I421="","",IF(OR(I421&lt;1,I421&gt;NW),"",INDEX(WMON,I421)))</f>
        <v/>
      </c>
    </row>
    <row r="422" customFormat="false" ht="15" hidden="false" customHeight="false" outlineLevel="0" collapsed="false">
      <c r="A422" s="43"/>
      <c r="B422" s="23" t="str">
        <f aca="false">IF(H422="","",CHOOSE(WEEKDAY(H422,1),"الأحد","الاثنين","الثلاثاء","الأربعاء","الخميس","الجمعة","السبت")&amp;IF(OR(ISNUMBER(A422),LEN(TRIM(A422))&gt;=10),"","  "&amp;TEXT(DAY(H422),"00")&amp;"/"&amp;TEXT(MONTH(H422),"00")&amp;"/"&amp;YEAR(H422)))</f>
        <v/>
      </c>
      <c r="C422" s="24"/>
      <c r="D422" s="27"/>
      <c r="E422" s="44"/>
      <c r="F422" s="27"/>
      <c r="G422" s="0" t="str">
        <f aca="false">IF(AND(C422&lt;&gt;"",COUNTIF(C$6:C422,C422)=1),MAX(G$5:G421)+1,"")</f>
        <v/>
      </c>
      <c r="H422" s="0" t="str">
        <f aca="true">IF(A422="","",IF(ISNUMBER(A422),IF(A422&gt;=36526,A422,""),IFERROR(DATE(VALUE(RIGHT(RIGHT(TRIM(A422),10),4)),VALUE(MID(RIGHT(TRIM(A422),10),4,2)),VALUE(LEFT(RIGHT(TRIM(A422),10),2))),IFERROR(TODAY()-MOD(WEEKDAY(TODAY(),1)-MATCH(TRIM(A422),{"الأحد","الاثنين","الثلاثاء","الأربعاء","الخميس","الجمعة","السبت"},0),7),IFERROR(DATEVALUE(A422),"")))))</f>
        <v/>
      </c>
      <c r="I422" s="0" t="str">
        <f aca="false">IF(H422="","",INT((H422-WEEK_ONE)/7)+1)</f>
        <v/>
      </c>
      <c r="J422" s="0" t="str">
        <f aca="false">IF(I422="","",IF(OR(I422&lt;1,I422&gt;NW),"",INDEX(WMON,I422)))</f>
        <v/>
      </c>
    </row>
    <row r="423" customFormat="false" ht="15" hidden="false" customHeight="false" outlineLevel="0" collapsed="false">
      <c r="A423" s="43"/>
      <c r="B423" s="23" t="str">
        <f aca="false">IF(H423="","",CHOOSE(WEEKDAY(H423,1),"الأحد","الاثنين","الثلاثاء","الأربعاء","الخميس","الجمعة","السبت")&amp;IF(OR(ISNUMBER(A423),LEN(TRIM(A423))&gt;=10),"","  "&amp;TEXT(DAY(H423),"00")&amp;"/"&amp;TEXT(MONTH(H423),"00")&amp;"/"&amp;YEAR(H423)))</f>
        <v/>
      </c>
      <c r="C423" s="24"/>
      <c r="D423" s="27"/>
      <c r="E423" s="44"/>
      <c r="F423" s="27"/>
      <c r="G423" s="0" t="str">
        <f aca="false">IF(AND(C423&lt;&gt;"",COUNTIF(C$6:C423,C423)=1),MAX(G$5:G422)+1,"")</f>
        <v/>
      </c>
      <c r="H423" s="0" t="str">
        <f aca="true">IF(A423="","",IF(ISNUMBER(A423),IF(A423&gt;=36526,A423,""),IFERROR(DATE(VALUE(RIGHT(RIGHT(TRIM(A423),10),4)),VALUE(MID(RIGHT(TRIM(A423),10),4,2)),VALUE(LEFT(RIGHT(TRIM(A423),10),2))),IFERROR(TODAY()-MOD(WEEKDAY(TODAY(),1)-MATCH(TRIM(A423),{"الأحد","الاثنين","الثلاثاء","الأربعاء","الخميس","الجمعة","السبت"},0),7),IFERROR(DATEVALUE(A423),"")))))</f>
        <v/>
      </c>
      <c r="I423" s="0" t="str">
        <f aca="false">IF(H423="","",INT((H423-WEEK_ONE)/7)+1)</f>
        <v/>
      </c>
      <c r="J423" s="0" t="str">
        <f aca="false">IF(I423="","",IF(OR(I423&lt;1,I423&gt;NW),"",INDEX(WMON,I423)))</f>
        <v/>
      </c>
    </row>
    <row r="424" customFormat="false" ht="15" hidden="false" customHeight="false" outlineLevel="0" collapsed="false">
      <c r="A424" s="43"/>
      <c r="B424" s="23" t="str">
        <f aca="false">IF(H424="","",CHOOSE(WEEKDAY(H424,1),"الأحد","الاثنين","الثلاثاء","الأربعاء","الخميس","الجمعة","السبت")&amp;IF(OR(ISNUMBER(A424),LEN(TRIM(A424))&gt;=10),"","  "&amp;TEXT(DAY(H424),"00")&amp;"/"&amp;TEXT(MONTH(H424),"00")&amp;"/"&amp;YEAR(H424)))</f>
        <v/>
      </c>
      <c r="C424" s="24"/>
      <c r="D424" s="27"/>
      <c r="E424" s="44"/>
      <c r="F424" s="27"/>
      <c r="G424" s="0" t="str">
        <f aca="false">IF(AND(C424&lt;&gt;"",COUNTIF(C$6:C424,C424)=1),MAX(G$5:G423)+1,"")</f>
        <v/>
      </c>
      <c r="H424" s="0" t="str">
        <f aca="true">IF(A424="","",IF(ISNUMBER(A424),IF(A424&gt;=36526,A424,""),IFERROR(DATE(VALUE(RIGHT(RIGHT(TRIM(A424),10),4)),VALUE(MID(RIGHT(TRIM(A424),10),4,2)),VALUE(LEFT(RIGHT(TRIM(A424),10),2))),IFERROR(TODAY()-MOD(WEEKDAY(TODAY(),1)-MATCH(TRIM(A424),{"الأحد","الاثنين","الثلاثاء","الأربعاء","الخميس","الجمعة","السبت"},0),7),IFERROR(DATEVALUE(A424),"")))))</f>
        <v/>
      </c>
      <c r="I424" s="0" t="str">
        <f aca="false">IF(H424="","",INT((H424-WEEK_ONE)/7)+1)</f>
        <v/>
      </c>
      <c r="J424" s="0" t="str">
        <f aca="false">IF(I424="","",IF(OR(I424&lt;1,I424&gt;NW),"",INDEX(WMON,I424)))</f>
        <v/>
      </c>
    </row>
    <row r="425" customFormat="false" ht="15" hidden="false" customHeight="false" outlineLevel="0" collapsed="false">
      <c r="A425" s="43"/>
      <c r="B425" s="23" t="str">
        <f aca="false">IF(H425="","",CHOOSE(WEEKDAY(H425,1),"الأحد","الاثنين","الثلاثاء","الأربعاء","الخميس","الجمعة","السبت")&amp;IF(OR(ISNUMBER(A425),LEN(TRIM(A425))&gt;=10),"","  "&amp;TEXT(DAY(H425),"00")&amp;"/"&amp;TEXT(MONTH(H425),"00")&amp;"/"&amp;YEAR(H425)))</f>
        <v/>
      </c>
      <c r="C425" s="24"/>
      <c r="D425" s="27"/>
      <c r="E425" s="44"/>
      <c r="F425" s="27"/>
      <c r="G425" s="0" t="str">
        <f aca="false">IF(AND(C425&lt;&gt;"",COUNTIF(C$6:C425,C425)=1),MAX(G$5:G424)+1,"")</f>
        <v/>
      </c>
      <c r="H425" s="0" t="str">
        <f aca="true">IF(A425="","",IF(ISNUMBER(A425),IF(A425&gt;=36526,A425,""),IFERROR(DATE(VALUE(RIGHT(RIGHT(TRIM(A425),10),4)),VALUE(MID(RIGHT(TRIM(A425),10),4,2)),VALUE(LEFT(RIGHT(TRIM(A425),10),2))),IFERROR(TODAY()-MOD(WEEKDAY(TODAY(),1)-MATCH(TRIM(A425),{"الأحد","الاثنين","الثلاثاء","الأربعاء","الخميس","الجمعة","السبت"},0),7),IFERROR(DATEVALUE(A425),"")))))</f>
        <v/>
      </c>
      <c r="I425" s="0" t="str">
        <f aca="false">IF(H425="","",INT((H425-WEEK_ONE)/7)+1)</f>
        <v/>
      </c>
      <c r="J425" s="0" t="str">
        <f aca="false">IF(I425="","",IF(OR(I425&lt;1,I425&gt;NW),"",INDEX(WMON,I425)))</f>
        <v/>
      </c>
    </row>
    <row r="426" customFormat="false" ht="15" hidden="false" customHeight="false" outlineLevel="0" collapsed="false">
      <c r="A426" s="43"/>
      <c r="B426" s="23" t="str">
        <f aca="false">IF(H426="","",CHOOSE(WEEKDAY(H426,1),"الأحد","الاثنين","الثلاثاء","الأربعاء","الخميس","الجمعة","السبت")&amp;IF(OR(ISNUMBER(A426),LEN(TRIM(A426))&gt;=10),"","  "&amp;TEXT(DAY(H426),"00")&amp;"/"&amp;TEXT(MONTH(H426),"00")&amp;"/"&amp;YEAR(H426)))</f>
        <v/>
      </c>
      <c r="C426" s="24"/>
      <c r="D426" s="27"/>
      <c r="E426" s="44"/>
      <c r="F426" s="27"/>
      <c r="G426" s="0" t="str">
        <f aca="false">IF(AND(C426&lt;&gt;"",COUNTIF(C$6:C426,C426)=1),MAX(G$5:G425)+1,"")</f>
        <v/>
      </c>
      <c r="H426" s="0" t="str">
        <f aca="true">IF(A426="","",IF(ISNUMBER(A426),IF(A426&gt;=36526,A426,""),IFERROR(DATE(VALUE(RIGHT(RIGHT(TRIM(A426),10),4)),VALUE(MID(RIGHT(TRIM(A426),10),4,2)),VALUE(LEFT(RIGHT(TRIM(A426),10),2))),IFERROR(TODAY()-MOD(WEEKDAY(TODAY(),1)-MATCH(TRIM(A426),{"الأحد","الاثنين","الثلاثاء","الأربعاء","الخميس","الجمعة","السبت"},0),7),IFERROR(DATEVALUE(A426),"")))))</f>
        <v/>
      </c>
      <c r="I426" s="0" t="str">
        <f aca="false">IF(H426="","",INT((H426-WEEK_ONE)/7)+1)</f>
        <v/>
      </c>
      <c r="J426" s="0" t="str">
        <f aca="false">IF(I426="","",IF(OR(I426&lt;1,I426&gt;NW),"",INDEX(WMON,I426)))</f>
        <v/>
      </c>
    </row>
    <row r="427" customFormat="false" ht="15" hidden="false" customHeight="false" outlineLevel="0" collapsed="false">
      <c r="A427" s="43"/>
      <c r="B427" s="23" t="str">
        <f aca="false">IF(H427="","",CHOOSE(WEEKDAY(H427,1),"الأحد","الاثنين","الثلاثاء","الأربعاء","الخميس","الجمعة","السبت")&amp;IF(OR(ISNUMBER(A427),LEN(TRIM(A427))&gt;=10),"","  "&amp;TEXT(DAY(H427),"00")&amp;"/"&amp;TEXT(MONTH(H427),"00")&amp;"/"&amp;YEAR(H427)))</f>
        <v/>
      </c>
      <c r="C427" s="24"/>
      <c r="D427" s="27"/>
      <c r="E427" s="44"/>
      <c r="F427" s="27"/>
      <c r="G427" s="0" t="str">
        <f aca="false">IF(AND(C427&lt;&gt;"",COUNTIF(C$6:C427,C427)=1),MAX(G$5:G426)+1,"")</f>
        <v/>
      </c>
      <c r="H427" s="0" t="str">
        <f aca="true">IF(A427="","",IF(ISNUMBER(A427),IF(A427&gt;=36526,A427,""),IFERROR(DATE(VALUE(RIGHT(RIGHT(TRIM(A427),10),4)),VALUE(MID(RIGHT(TRIM(A427),10),4,2)),VALUE(LEFT(RIGHT(TRIM(A427),10),2))),IFERROR(TODAY()-MOD(WEEKDAY(TODAY(),1)-MATCH(TRIM(A427),{"الأحد","الاثنين","الثلاثاء","الأربعاء","الخميس","الجمعة","السبت"},0),7),IFERROR(DATEVALUE(A427),"")))))</f>
        <v/>
      </c>
      <c r="I427" s="0" t="str">
        <f aca="false">IF(H427="","",INT((H427-WEEK_ONE)/7)+1)</f>
        <v/>
      </c>
      <c r="J427" s="0" t="str">
        <f aca="false">IF(I427="","",IF(OR(I427&lt;1,I427&gt;NW),"",INDEX(WMON,I427)))</f>
        <v/>
      </c>
    </row>
    <row r="428" customFormat="false" ht="15" hidden="false" customHeight="false" outlineLevel="0" collapsed="false">
      <c r="A428" s="43"/>
      <c r="B428" s="23" t="str">
        <f aca="false">IF(H428="","",CHOOSE(WEEKDAY(H428,1),"الأحد","الاثنين","الثلاثاء","الأربعاء","الخميس","الجمعة","السبت")&amp;IF(OR(ISNUMBER(A428),LEN(TRIM(A428))&gt;=10),"","  "&amp;TEXT(DAY(H428),"00")&amp;"/"&amp;TEXT(MONTH(H428),"00")&amp;"/"&amp;YEAR(H428)))</f>
        <v/>
      </c>
      <c r="C428" s="24"/>
      <c r="D428" s="27"/>
      <c r="E428" s="44"/>
      <c r="F428" s="27"/>
      <c r="G428" s="0" t="str">
        <f aca="false">IF(AND(C428&lt;&gt;"",COUNTIF(C$6:C428,C428)=1),MAX(G$5:G427)+1,"")</f>
        <v/>
      </c>
      <c r="H428" s="0" t="str">
        <f aca="true">IF(A428="","",IF(ISNUMBER(A428),IF(A428&gt;=36526,A428,""),IFERROR(DATE(VALUE(RIGHT(RIGHT(TRIM(A428),10),4)),VALUE(MID(RIGHT(TRIM(A428),10),4,2)),VALUE(LEFT(RIGHT(TRIM(A428),10),2))),IFERROR(TODAY()-MOD(WEEKDAY(TODAY(),1)-MATCH(TRIM(A428),{"الأحد","الاثنين","الثلاثاء","الأربعاء","الخميس","الجمعة","السبت"},0),7),IFERROR(DATEVALUE(A428),"")))))</f>
        <v/>
      </c>
      <c r="I428" s="0" t="str">
        <f aca="false">IF(H428="","",INT((H428-WEEK_ONE)/7)+1)</f>
        <v/>
      </c>
      <c r="J428" s="0" t="str">
        <f aca="false">IF(I428="","",IF(OR(I428&lt;1,I428&gt;NW),"",INDEX(WMON,I428)))</f>
        <v/>
      </c>
    </row>
    <row r="429" customFormat="false" ht="15" hidden="false" customHeight="false" outlineLevel="0" collapsed="false">
      <c r="A429" s="43"/>
      <c r="B429" s="23" t="str">
        <f aca="false">IF(H429="","",CHOOSE(WEEKDAY(H429,1),"الأحد","الاثنين","الثلاثاء","الأربعاء","الخميس","الجمعة","السبت")&amp;IF(OR(ISNUMBER(A429),LEN(TRIM(A429))&gt;=10),"","  "&amp;TEXT(DAY(H429),"00")&amp;"/"&amp;TEXT(MONTH(H429),"00")&amp;"/"&amp;YEAR(H429)))</f>
        <v/>
      </c>
      <c r="C429" s="24"/>
      <c r="D429" s="27"/>
      <c r="E429" s="44"/>
      <c r="F429" s="27"/>
      <c r="G429" s="0" t="str">
        <f aca="false">IF(AND(C429&lt;&gt;"",COUNTIF(C$6:C429,C429)=1),MAX(G$5:G428)+1,"")</f>
        <v/>
      </c>
      <c r="H429" s="0" t="str">
        <f aca="true">IF(A429="","",IF(ISNUMBER(A429),IF(A429&gt;=36526,A429,""),IFERROR(DATE(VALUE(RIGHT(RIGHT(TRIM(A429),10),4)),VALUE(MID(RIGHT(TRIM(A429),10),4,2)),VALUE(LEFT(RIGHT(TRIM(A429),10),2))),IFERROR(TODAY()-MOD(WEEKDAY(TODAY(),1)-MATCH(TRIM(A429),{"الأحد","الاثنين","الثلاثاء","الأربعاء","الخميس","الجمعة","السبت"},0),7),IFERROR(DATEVALUE(A429),"")))))</f>
        <v/>
      </c>
      <c r="I429" s="0" t="str">
        <f aca="false">IF(H429="","",INT((H429-WEEK_ONE)/7)+1)</f>
        <v/>
      </c>
      <c r="J429" s="0" t="str">
        <f aca="false">IF(I429="","",IF(OR(I429&lt;1,I429&gt;NW),"",INDEX(WMON,I429)))</f>
        <v/>
      </c>
    </row>
    <row r="430" customFormat="false" ht="15" hidden="false" customHeight="false" outlineLevel="0" collapsed="false">
      <c r="A430" s="43"/>
      <c r="B430" s="23" t="str">
        <f aca="false">IF(H430="","",CHOOSE(WEEKDAY(H430,1),"الأحد","الاثنين","الثلاثاء","الأربعاء","الخميس","الجمعة","السبت")&amp;IF(OR(ISNUMBER(A430),LEN(TRIM(A430))&gt;=10),"","  "&amp;TEXT(DAY(H430),"00")&amp;"/"&amp;TEXT(MONTH(H430),"00")&amp;"/"&amp;YEAR(H430)))</f>
        <v/>
      </c>
      <c r="C430" s="24"/>
      <c r="D430" s="27"/>
      <c r="E430" s="44"/>
      <c r="F430" s="27"/>
      <c r="G430" s="0" t="str">
        <f aca="false">IF(AND(C430&lt;&gt;"",COUNTIF(C$6:C430,C430)=1),MAX(G$5:G429)+1,"")</f>
        <v/>
      </c>
      <c r="H430" s="0" t="str">
        <f aca="true">IF(A430="","",IF(ISNUMBER(A430),IF(A430&gt;=36526,A430,""),IFERROR(DATE(VALUE(RIGHT(RIGHT(TRIM(A430),10),4)),VALUE(MID(RIGHT(TRIM(A430),10),4,2)),VALUE(LEFT(RIGHT(TRIM(A430),10),2))),IFERROR(TODAY()-MOD(WEEKDAY(TODAY(),1)-MATCH(TRIM(A430),{"الأحد","الاثنين","الثلاثاء","الأربعاء","الخميس","الجمعة","السبت"},0),7),IFERROR(DATEVALUE(A430),"")))))</f>
        <v/>
      </c>
      <c r="I430" s="0" t="str">
        <f aca="false">IF(H430="","",INT((H430-WEEK_ONE)/7)+1)</f>
        <v/>
      </c>
      <c r="J430" s="0" t="str">
        <f aca="false">IF(I430="","",IF(OR(I430&lt;1,I430&gt;NW),"",INDEX(WMON,I430)))</f>
        <v/>
      </c>
    </row>
    <row r="431" customFormat="false" ht="15" hidden="false" customHeight="false" outlineLevel="0" collapsed="false">
      <c r="A431" s="43"/>
      <c r="B431" s="23" t="str">
        <f aca="false">IF(H431="","",CHOOSE(WEEKDAY(H431,1),"الأحد","الاثنين","الثلاثاء","الأربعاء","الخميس","الجمعة","السبت")&amp;IF(OR(ISNUMBER(A431),LEN(TRIM(A431))&gt;=10),"","  "&amp;TEXT(DAY(H431),"00")&amp;"/"&amp;TEXT(MONTH(H431),"00")&amp;"/"&amp;YEAR(H431)))</f>
        <v/>
      </c>
      <c r="C431" s="24"/>
      <c r="D431" s="27"/>
      <c r="E431" s="44"/>
      <c r="F431" s="27"/>
      <c r="G431" s="0" t="str">
        <f aca="false">IF(AND(C431&lt;&gt;"",COUNTIF(C$6:C431,C431)=1),MAX(G$5:G430)+1,"")</f>
        <v/>
      </c>
      <c r="H431" s="0" t="str">
        <f aca="true">IF(A431="","",IF(ISNUMBER(A431),IF(A431&gt;=36526,A431,""),IFERROR(DATE(VALUE(RIGHT(RIGHT(TRIM(A431),10),4)),VALUE(MID(RIGHT(TRIM(A431),10),4,2)),VALUE(LEFT(RIGHT(TRIM(A431),10),2))),IFERROR(TODAY()-MOD(WEEKDAY(TODAY(),1)-MATCH(TRIM(A431),{"الأحد","الاثنين","الثلاثاء","الأربعاء","الخميس","الجمعة","السبت"},0),7),IFERROR(DATEVALUE(A431),"")))))</f>
        <v/>
      </c>
      <c r="I431" s="0" t="str">
        <f aca="false">IF(H431="","",INT((H431-WEEK_ONE)/7)+1)</f>
        <v/>
      </c>
      <c r="J431" s="0" t="str">
        <f aca="false">IF(I431="","",IF(OR(I431&lt;1,I431&gt;NW),"",INDEX(WMON,I431)))</f>
        <v/>
      </c>
    </row>
    <row r="432" customFormat="false" ht="15" hidden="false" customHeight="false" outlineLevel="0" collapsed="false">
      <c r="A432" s="43"/>
      <c r="B432" s="23" t="str">
        <f aca="false">IF(H432="","",CHOOSE(WEEKDAY(H432,1),"الأحد","الاثنين","الثلاثاء","الأربعاء","الخميس","الجمعة","السبت")&amp;IF(OR(ISNUMBER(A432),LEN(TRIM(A432))&gt;=10),"","  "&amp;TEXT(DAY(H432),"00")&amp;"/"&amp;TEXT(MONTH(H432),"00")&amp;"/"&amp;YEAR(H432)))</f>
        <v/>
      </c>
      <c r="C432" s="24"/>
      <c r="D432" s="27"/>
      <c r="E432" s="44"/>
      <c r="F432" s="27"/>
      <c r="G432" s="0" t="str">
        <f aca="false">IF(AND(C432&lt;&gt;"",COUNTIF(C$6:C432,C432)=1),MAX(G$5:G431)+1,"")</f>
        <v/>
      </c>
      <c r="H432" s="0" t="str">
        <f aca="true">IF(A432="","",IF(ISNUMBER(A432),IF(A432&gt;=36526,A432,""),IFERROR(DATE(VALUE(RIGHT(RIGHT(TRIM(A432),10),4)),VALUE(MID(RIGHT(TRIM(A432),10),4,2)),VALUE(LEFT(RIGHT(TRIM(A432),10),2))),IFERROR(TODAY()-MOD(WEEKDAY(TODAY(),1)-MATCH(TRIM(A432),{"الأحد","الاثنين","الثلاثاء","الأربعاء","الخميس","الجمعة","السبت"},0),7),IFERROR(DATEVALUE(A432),"")))))</f>
        <v/>
      </c>
      <c r="I432" s="0" t="str">
        <f aca="false">IF(H432="","",INT((H432-WEEK_ONE)/7)+1)</f>
        <v/>
      </c>
      <c r="J432" s="0" t="str">
        <f aca="false">IF(I432="","",IF(OR(I432&lt;1,I432&gt;NW),"",INDEX(WMON,I432)))</f>
        <v/>
      </c>
    </row>
    <row r="433" customFormat="false" ht="15" hidden="false" customHeight="false" outlineLevel="0" collapsed="false">
      <c r="A433" s="43"/>
      <c r="B433" s="23" t="str">
        <f aca="false">IF(H433="","",CHOOSE(WEEKDAY(H433,1),"الأحد","الاثنين","الثلاثاء","الأربعاء","الخميس","الجمعة","السبت")&amp;IF(OR(ISNUMBER(A433),LEN(TRIM(A433))&gt;=10),"","  "&amp;TEXT(DAY(H433),"00")&amp;"/"&amp;TEXT(MONTH(H433),"00")&amp;"/"&amp;YEAR(H433)))</f>
        <v/>
      </c>
      <c r="C433" s="24"/>
      <c r="D433" s="27"/>
      <c r="E433" s="44"/>
      <c r="F433" s="27"/>
      <c r="G433" s="0" t="str">
        <f aca="false">IF(AND(C433&lt;&gt;"",COUNTIF(C$6:C433,C433)=1),MAX(G$5:G432)+1,"")</f>
        <v/>
      </c>
      <c r="H433" s="0" t="str">
        <f aca="true">IF(A433="","",IF(ISNUMBER(A433),IF(A433&gt;=36526,A433,""),IFERROR(DATE(VALUE(RIGHT(RIGHT(TRIM(A433),10),4)),VALUE(MID(RIGHT(TRIM(A433),10),4,2)),VALUE(LEFT(RIGHT(TRIM(A433),10),2))),IFERROR(TODAY()-MOD(WEEKDAY(TODAY(),1)-MATCH(TRIM(A433),{"الأحد","الاثنين","الثلاثاء","الأربعاء","الخميس","الجمعة","السبت"},0),7),IFERROR(DATEVALUE(A433),"")))))</f>
        <v/>
      </c>
      <c r="I433" s="0" t="str">
        <f aca="false">IF(H433="","",INT((H433-WEEK_ONE)/7)+1)</f>
        <v/>
      </c>
      <c r="J433" s="0" t="str">
        <f aca="false">IF(I433="","",IF(OR(I433&lt;1,I433&gt;NW),"",INDEX(WMON,I433)))</f>
        <v/>
      </c>
    </row>
    <row r="434" customFormat="false" ht="15" hidden="false" customHeight="false" outlineLevel="0" collapsed="false">
      <c r="A434" s="43"/>
      <c r="B434" s="23" t="str">
        <f aca="false">IF(H434="","",CHOOSE(WEEKDAY(H434,1),"الأحد","الاثنين","الثلاثاء","الأربعاء","الخميس","الجمعة","السبت")&amp;IF(OR(ISNUMBER(A434),LEN(TRIM(A434))&gt;=10),"","  "&amp;TEXT(DAY(H434),"00")&amp;"/"&amp;TEXT(MONTH(H434),"00")&amp;"/"&amp;YEAR(H434)))</f>
        <v/>
      </c>
      <c r="C434" s="24"/>
      <c r="D434" s="27"/>
      <c r="E434" s="44"/>
      <c r="F434" s="27"/>
      <c r="G434" s="0" t="str">
        <f aca="false">IF(AND(C434&lt;&gt;"",COUNTIF(C$6:C434,C434)=1),MAX(G$5:G433)+1,"")</f>
        <v/>
      </c>
      <c r="H434" s="0" t="str">
        <f aca="true">IF(A434="","",IF(ISNUMBER(A434),IF(A434&gt;=36526,A434,""),IFERROR(DATE(VALUE(RIGHT(RIGHT(TRIM(A434),10),4)),VALUE(MID(RIGHT(TRIM(A434),10),4,2)),VALUE(LEFT(RIGHT(TRIM(A434),10),2))),IFERROR(TODAY()-MOD(WEEKDAY(TODAY(),1)-MATCH(TRIM(A434),{"الأحد","الاثنين","الثلاثاء","الأربعاء","الخميس","الجمعة","السبت"},0),7),IFERROR(DATEVALUE(A434),"")))))</f>
        <v/>
      </c>
      <c r="I434" s="0" t="str">
        <f aca="false">IF(H434="","",INT((H434-WEEK_ONE)/7)+1)</f>
        <v/>
      </c>
      <c r="J434" s="0" t="str">
        <f aca="false">IF(I434="","",IF(OR(I434&lt;1,I434&gt;NW),"",INDEX(WMON,I434)))</f>
        <v/>
      </c>
    </row>
    <row r="435" customFormat="false" ht="15" hidden="false" customHeight="false" outlineLevel="0" collapsed="false">
      <c r="A435" s="43"/>
      <c r="B435" s="23" t="str">
        <f aca="false">IF(H435="","",CHOOSE(WEEKDAY(H435,1),"الأحد","الاثنين","الثلاثاء","الأربعاء","الخميس","الجمعة","السبت")&amp;IF(OR(ISNUMBER(A435),LEN(TRIM(A435))&gt;=10),"","  "&amp;TEXT(DAY(H435),"00")&amp;"/"&amp;TEXT(MONTH(H435),"00")&amp;"/"&amp;YEAR(H435)))</f>
        <v/>
      </c>
      <c r="C435" s="24"/>
      <c r="D435" s="27"/>
      <c r="E435" s="44"/>
      <c r="F435" s="27"/>
      <c r="G435" s="0" t="str">
        <f aca="false">IF(AND(C435&lt;&gt;"",COUNTIF(C$6:C435,C435)=1),MAX(G$5:G434)+1,"")</f>
        <v/>
      </c>
      <c r="H435" s="0" t="str">
        <f aca="true">IF(A435="","",IF(ISNUMBER(A435),IF(A435&gt;=36526,A435,""),IFERROR(DATE(VALUE(RIGHT(RIGHT(TRIM(A435),10),4)),VALUE(MID(RIGHT(TRIM(A435),10),4,2)),VALUE(LEFT(RIGHT(TRIM(A435),10),2))),IFERROR(TODAY()-MOD(WEEKDAY(TODAY(),1)-MATCH(TRIM(A435),{"الأحد","الاثنين","الثلاثاء","الأربعاء","الخميس","الجمعة","السبت"},0),7),IFERROR(DATEVALUE(A435),"")))))</f>
        <v/>
      </c>
      <c r="I435" s="0" t="str">
        <f aca="false">IF(H435="","",INT((H435-WEEK_ONE)/7)+1)</f>
        <v/>
      </c>
      <c r="J435" s="0" t="str">
        <f aca="false">IF(I435="","",IF(OR(I435&lt;1,I435&gt;NW),"",INDEX(WMON,I435)))</f>
        <v/>
      </c>
    </row>
    <row r="436" customFormat="false" ht="15" hidden="false" customHeight="false" outlineLevel="0" collapsed="false">
      <c r="A436" s="43"/>
      <c r="B436" s="23" t="str">
        <f aca="false">IF(H436="","",CHOOSE(WEEKDAY(H436,1),"الأحد","الاثنين","الثلاثاء","الأربعاء","الخميس","الجمعة","السبت")&amp;IF(OR(ISNUMBER(A436),LEN(TRIM(A436))&gt;=10),"","  "&amp;TEXT(DAY(H436),"00")&amp;"/"&amp;TEXT(MONTH(H436),"00")&amp;"/"&amp;YEAR(H436)))</f>
        <v/>
      </c>
      <c r="C436" s="24"/>
      <c r="D436" s="27"/>
      <c r="E436" s="44"/>
      <c r="F436" s="27"/>
      <c r="G436" s="0" t="str">
        <f aca="false">IF(AND(C436&lt;&gt;"",COUNTIF(C$6:C436,C436)=1),MAX(G$5:G435)+1,"")</f>
        <v/>
      </c>
      <c r="H436" s="0" t="str">
        <f aca="true">IF(A436="","",IF(ISNUMBER(A436),IF(A436&gt;=36526,A436,""),IFERROR(DATE(VALUE(RIGHT(RIGHT(TRIM(A436),10),4)),VALUE(MID(RIGHT(TRIM(A436),10),4,2)),VALUE(LEFT(RIGHT(TRIM(A436),10),2))),IFERROR(TODAY()-MOD(WEEKDAY(TODAY(),1)-MATCH(TRIM(A436),{"الأحد","الاثنين","الثلاثاء","الأربعاء","الخميس","الجمعة","السبت"},0),7),IFERROR(DATEVALUE(A436),"")))))</f>
        <v/>
      </c>
      <c r="I436" s="0" t="str">
        <f aca="false">IF(H436="","",INT((H436-WEEK_ONE)/7)+1)</f>
        <v/>
      </c>
      <c r="J436" s="0" t="str">
        <f aca="false">IF(I436="","",IF(OR(I436&lt;1,I436&gt;NW),"",INDEX(WMON,I436)))</f>
        <v/>
      </c>
    </row>
    <row r="437" customFormat="false" ht="15" hidden="false" customHeight="false" outlineLevel="0" collapsed="false">
      <c r="A437" s="43"/>
      <c r="B437" s="23" t="str">
        <f aca="false">IF(H437="","",CHOOSE(WEEKDAY(H437,1),"الأحد","الاثنين","الثلاثاء","الأربعاء","الخميس","الجمعة","السبت")&amp;IF(OR(ISNUMBER(A437),LEN(TRIM(A437))&gt;=10),"","  "&amp;TEXT(DAY(H437),"00")&amp;"/"&amp;TEXT(MONTH(H437),"00")&amp;"/"&amp;YEAR(H437)))</f>
        <v/>
      </c>
      <c r="C437" s="24"/>
      <c r="D437" s="27"/>
      <c r="E437" s="44"/>
      <c r="F437" s="27"/>
      <c r="G437" s="0" t="str">
        <f aca="false">IF(AND(C437&lt;&gt;"",COUNTIF(C$6:C437,C437)=1),MAX(G$5:G436)+1,"")</f>
        <v/>
      </c>
      <c r="H437" s="0" t="str">
        <f aca="true">IF(A437="","",IF(ISNUMBER(A437),IF(A437&gt;=36526,A437,""),IFERROR(DATE(VALUE(RIGHT(RIGHT(TRIM(A437),10),4)),VALUE(MID(RIGHT(TRIM(A437),10),4,2)),VALUE(LEFT(RIGHT(TRIM(A437),10),2))),IFERROR(TODAY()-MOD(WEEKDAY(TODAY(),1)-MATCH(TRIM(A437),{"الأحد","الاثنين","الثلاثاء","الأربعاء","الخميس","الجمعة","السبت"},0),7),IFERROR(DATEVALUE(A437),"")))))</f>
        <v/>
      </c>
      <c r="I437" s="0" t="str">
        <f aca="false">IF(H437="","",INT((H437-WEEK_ONE)/7)+1)</f>
        <v/>
      </c>
      <c r="J437" s="0" t="str">
        <f aca="false">IF(I437="","",IF(OR(I437&lt;1,I437&gt;NW),"",INDEX(WMON,I437)))</f>
        <v/>
      </c>
    </row>
    <row r="438" customFormat="false" ht="15" hidden="false" customHeight="false" outlineLevel="0" collapsed="false">
      <c r="A438" s="43"/>
      <c r="B438" s="23" t="str">
        <f aca="false">IF(H438="","",CHOOSE(WEEKDAY(H438,1),"الأحد","الاثنين","الثلاثاء","الأربعاء","الخميس","الجمعة","السبت")&amp;IF(OR(ISNUMBER(A438),LEN(TRIM(A438))&gt;=10),"","  "&amp;TEXT(DAY(H438),"00")&amp;"/"&amp;TEXT(MONTH(H438),"00")&amp;"/"&amp;YEAR(H438)))</f>
        <v/>
      </c>
      <c r="C438" s="24"/>
      <c r="D438" s="27"/>
      <c r="E438" s="44"/>
      <c r="F438" s="27"/>
      <c r="G438" s="0" t="str">
        <f aca="false">IF(AND(C438&lt;&gt;"",COUNTIF(C$6:C438,C438)=1),MAX(G$5:G437)+1,"")</f>
        <v/>
      </c>
      <c r="H438" s="0" t="str">
        <f aca="true">IF(A438="","",IF(ISNUMBER(A438),IF(A438&gt;=36526,A438,""),IFERROR(DATE(VALUE(RIGHT(RIGHT(TRIM(A438),10),4)),VALUE(MID(RIGHT(TRIM(A438),10),4,2)),VALUE(LEFT(RIGHT(TRIM(A438),10),2))),IFERROR(TODAY()-MOD(WEEKDAY(TODAY(),1)-MATCH(TRIM(A438),{"الأحد","الاثنين","الثلاثاء","الأربعاء","الخميس","الجمعة","السبت"},0),7),IFERROR(DATEVALUE(A438),"")))))</f>
        <v/>
      </c>
      <c r="I438" s="0" t="str">
        <f aca="false">IF(H438="","",INT((H438-WEEK_ONE)/7)+1)</f>
        <v/>
      </c>
      <c r="J438" s="0" t="str">
        <f aca="false">IF(I438="","",IF(OR(I438&lt;1,I438&gt;NW),"",INDEX(WMON,I438)))</f>
        <v/>
      </c>
    </row>
    <row r="439" customFormat="false" ht="15" hidden="false" customHeight="false" outlineLevel="0" collapsed="false">
      <c r="A439" s="43"/>
      <c r="B439" s="23" t="str">
        <f aca="false">IF(H439="","",CHOOSE(WEEKDAY(H439,1),"الأحد","الاثنين","الثلاثاء","الأربعاء","الخميس","الجمعة","السبت")&amp;IF(OR(ISNUMBER(A439),LEN(TRIM(A439))&gt;=10),"","  "&amp;TEXT(DAY(H439),"00")&amp;"/"&amp;TEXT(MONTH(H439),"00")&amp;"/"&amp;YEAR(H439)))</f>
        <v/>
      </c>
      <c r="C439" s="24"/>
      <c r="D439" s="27"/>
      <c r="E439" s="44"/>
      <c r="F439" s="27"/>
      <c r="G439" s="0" t="str">
        <f aca="false">IF(AND(C439&lt;&gt;"",COUNTIF(C$6:C439,C439)=1),MAX(G$5:G438)+1,"")</f>
        <v/>
      </c>
      <c r="H439" s="0" t="str">
        <f aca="true">IF(A439="","",IF(ISNUMBER(A439),IF(A439&gt;=36526,A439,""),IFERROR(DATE(VALUE(RIGHT(RIGHT(TRIM(A439),10),4)),VALUE(MID(RIGHT(TRIM(A439),10),4,2)),VALUE(LEFT(RIGHT(TRIM(A439),10),2))),IFERROR(TODAY()-MOD(WEEKDAY(TODAY(),1)-MATCH(TRIM(A439),{"الأحد","الاثنين","الثلاثاء","الأربعاء","الخميس","الجمعة","السبت"},0),7),IFERROR(DATEVALUE(A439),"")))))</f>
        <v/>
      </c>
      <c r="I439" s="0" t="str">
        <f aca="false">IF(H439="","",INT((H439-WEEK_ONE)/7)+1)</f>
        <v/>
      </c>
      <c r="J439" s="0" t="str">
        <f aca="false">IF(I439="","",IF(OR(I439&lt;1,I439&gt;NW),"",INDEX(WMON,I439)))</f>
        <v/>
      </c>
    </row>
    <row r="440" customFormat="false" ht="15" hidden="false" customHeight="false" outlineLevel="0" collapsed="false">
      <c r="A440" s="43"/>
      <c r="B440" s="23" t="str">
        <f aca="false">IF(H440="","",CHOOSE(WEEKDAY(H440,1),"الأحد","الاثنين","الثلاثاء","الأربعاء","الخميس","الجمعة","السبت")&amp;IF(OR(ISNUMBER(A440),LEN(TRIM(A440))&gt;=10),"","  "&amp;TEXT(DAY(H440),"00")&amp;"/"&amp;TEXT(MONTH(H440),"00")&amp;"/"&amp;YEAR(H440)))</f>
        <v/>
      </c>
      <c r="C440" s="24"/>
      <c r="D440" s="27"/>
      <c r="E440" s="44"/>
      <c r="F440" s="27"/>
      <c r="G440" s="0" t="str">
        <f aca="false">IF(AND(C440&lt;&gt;"",COUNTIF(C$6:C440,C440)=1),MAX(G$5:G439)+1,"")</f>
        <v/>
      </c>
      <c r="H440" s="0" t="str">
        <f aca="true">IF(A440="","",IF(ISNUMBER(A440),IF(A440&gt;=36526,A440,""),IFERROR(DATE(VALUE(RIGHT(RIGHT(TRIM(A440),10),4)),VALUE(MID(RIGHT(TRIM(A440),10),4,2)),VALUE(LEFT(RIGHT(TRIM(A440),10),2))),IFERROR(TODAY()-MOD(WEEKDAY(TODAY(),1)-MATCH(TRIM(A440),{"الأحد","الاثنين","الثلاثاء","الأربعاء","الخميس","الجمعة","السبت"},0),7),IFERROR(DATEVALUE(A440),"")))))</f>
        <v/>
      </c>
      <c r="I440" s="0" t="str">
        <f aca="false">IF(H440="","",INT((H440-WEEK_ONE)/7)+1)</f>
        <v/>
      </c>
      <c r="J440" s="0" t="str">
        <f aca="false">IF(I440="","",IF(OR(I440&lt;1,I440&gt;NW),"",INDEX(WMON,I440)))</f>
        <v/>
      </c>
    </row>
    <row r="441" customFormat="false" ht="15" hidden="false" customHeight="false" outlineLevel="0" collapsed="false">
      <c r="A441" s="43"/>
      <c r="B441" s="23" t="str">
        <f aca="false">IF(H441="","",CHOOSE(WEEKDAY(H441,1),"الأحد","الاثنين","الثلاثاء","الأربعاء","الخميس","الجمعة","السبت")&amp;IF(OR(ISNUMBER(A441),LEN(TRIM(A441))&gt;=10),"","  "&amp;TEXT(DAY(H441),"00")&amp;"/"&amp;TEXT(MONTH(H441),"00")&amp;"/"&amp;YEAR(H441)))</f>
        <v/>
      </c>
      <c r="C441" s="24"/>
      <c r="D441" s="27"/>
      <c r="E441" s="44"/>
      <c r="F441" s="27"/>
      <c r="G441" s="0" t="str">
        <f aca="false">IF(AND(C441&lt;&gt;"",COUNTIF(C$6:C441,C441)=1),MAX(G$5:G440)+1,"")</f>
        <v/>
      </c>
      <c r="H441" s="0" t="str">
        <f aca="true">IF(A441="","",IF(ISNUMBER(A441),IF(A441&gt;=36526,A441,""),IFERROR(DATE(VALUE(RIGHT(RIGHT(TRIM(A441),10),4)),VALUE(MID(RIGHT(TRIM(A441),10),4,2)),VALUE(LEFT(RIGHT(TRIM(A441),10),2))),IFERROR(TODAY()-MOD(WEEKDAY(TODAY(),1)-MATCH(TRIM(A441),{"الأحد","الاثنين","الثلاثاء","الأربعاء","الخميس","الجمعة","السبت"},0),7),IFERROR(DATEVALUE(A441),"")))))</f>
        <v/>
      </c>
      <c r="I441" s="0" t="str">
        <f aca="false">IF(H441="","",INT((H441-WEEK_ONE)/7)+1)</f>
        <v/>
      </c>
      <c r="J441" s="0" t="str">
        <f aca="false">IF(I441="","",IF(OR(I441&lt;1,I441&gt;NW),"",INDEX(WMON,I441)))</f>
        <v/>
      </c>
    </row>
    <row r="442" customFormat="false" ht="15" hidden="false" customHeight="false" outlineLevel="0" collapsed="false">
      <c r="A442" s="43"/>
      <c r="B442" s="23" t="str">
        <f aca="false">IF(H442="","",CHOOSE(WEEKDAY(H442,1),"الأحد","الاثنين","الثلاثاء","الأربعاء","الخميس","الجمعة","السبت")&amp;IF(OR(ISNUMBER(A442),LEN(TRIM(A442))&gt;=10),"","  "&amp;TEXT(DAY(H442),"00")&amp;"/"&amp;TEXT(MONTH(H442),"00")&amp;"/"&amp;YEAR(H442)))</f>
        <v/>
      </c>
      <c r="C442" s="24"/>
      <c r="D442" s="27"/>
      <c r="E442" s="44"/>
      <c r="F442" s="27"/>
      <c r="G442" s="0" t="str">
        <f aca="false">IF(AND(C442&lt;&gt;"",COUNTIF(C$6:C442,C442)=1),MAX(G$5:G441)+1,"")</f>
        <v/>
      </c>
      <c r="H442" s="0" t="str">
        <f aca="true">IF(A442="","",IF(ISNUMBER(A442),IF(A442&gt;=36526,A442,""),IFERROR(DATE(VALUE(RIGHT(RIGHT(TRIM(A442),10),4)),VALUE(MID(RIGHT(TRIM(A442),10),4,2)),VALUE(LEFT(RIGHT(TRIM(A442),10),2))),IFERROR(TODAY()-MOD(WEEKDAY(TODAY(),1)-MATCH(TRIM(A442),{"الأحد","الاثنين","الثلاثاء","الأربعاء","الخميس","الجمعة","السبت"},0),7),IFERROR(DATEVALUE(A442),"")))))</f>
        <v/>
      </c>
      <c r="I442" s="0" t="str">
        <f aca="false">IF(H442="","",INT((H442-WEEK_ONE)/7)+1)</f>
        <v/>
      </c>
      <c r="J442" s="0" t="str">
        <f aca="false">IF(I442="","",IF(OR(I442&lt;1,I442&gt;NW),"",INDEX(WMON,I442)))</f>
        <v/>
      </c>
    </row>
    <row r="443" customFormat="false" ht="15" hidden="false" customHeight="false" outlineLevel="0" collapsed="false">
      <c r="A443" s="43"/>
      <c r="B443" s="23" t="str">
        <f aca="false">IF(H443="","",CHOOSE(WEEKDAY(H443,1),"الأحد","الاثنين","الثلاثاء","الأربعاء","الخميس","الجمعة","السبت")&amp;IF(OR(ISNUMBER(A443),LEN(TRIM(A443))&gt;=10),"","  "&amp;TEXT(DAY(H443),"00")&amp;"/"&amp;TEXT(MONTH(H443),"00")&amp;"/"&amp;YEAR(H443)))</f>
        <v/>
      </c>
      <c r="C443" s="24"/>
      <c r="D443" s="27"/>
      <c r="E443" s="44"/>
      <c r="F443" s="27"/>
      <c r="G443" s="0" t="str">
        <f aca="false">IF(AND(C443&lt;&gt;"",COUNTIF(C$6:C443,C443)=1),MAX(G$5:G442)+1,"")</f>
        <v/>
      </c>
      <c r="H443" s="0" t="str">
        <f aca="true">IF(A443="","",IF(ISNUMBER(A443),IF(A443&gt;=36526,A443,""),IFERROR(DATE(VALUE(RIGHT(RIGHT(TRIM(A443),10),4)),VALUE(MID(RIGHT(TRIM(A443),10),4,2)),VALUE(LEFT(RIGHT(TRIM(A443),10),2))),IFERROR(TODAY()-MOD(WEEKDAY(TODAY(),1)-MATCH(TRIM(A443),{"الأحد","الاثنين","الثلاثاء","الأربعاء","الخميس","الجمعة","السبت"},0),7),IFERROR(DATEVALUE(A443),"")))))</f>
        <v/>
      </c>
      <c r="I443" s="0" t="str">
        <f aca="false">IF(H443="","",INT((H443-WEEK_ONE)/7)+1)</f>
        <v/>
      </c>
      <c r="J443" s="0" t="str">
        <f aca="false">IF(I443="","",IF(OR(I443&lt;1,I443&gt;NW),"",INDEX(WMON,I443)))</f>
        <v/>
      </c>
    </row>
    <row r="444" customFormat="false" ht="15" hidden="false" customHeight="false" outlineLevel="0" collapsed="false">
      <c r="A444" s="43"/>
      <c r="B444" s="23" t="str">
        <f aca="false">IF(H444="","",CHOOSE(WEEKDAY(H444,1),"الأحد","الاثنين","الثلاثاء","الأربعاء","الخميس","الجمعة","السبت")&amp;IF(OR(ISNUMBER(A444),LEN(TRIM(A444))&gt;=10),"","  "&amp;TEXT(DAY(H444),"00")&amp;"/"&amp;TEXT(MONTH(H444),"00")&amp;"/"&amp;YEAR(H444)))</f>
        <v/>
      </c>
      <c r="C444" s="24"/>
      <c r="D444" s="27"/>
      <c r="E444" s="44"/>
      <c r="F444" s="27"/>
      <c r="G444" s="0" t="str">
        <f aca="false">IF(AND(C444&lt;&gt;"",COUNTIF(C$6:C444,C444)=1),MAX(G$5:G443)+1,"")</f>
        <v/>
      </c>
      <c r="H444" s="0" t="str">
        <f aca="true">IF(A444="","",IF(ISNUMBER(A444),IF(A444&gt;=36526,A444,""),IFERROR(DATE(VALUE(RIGHT(RIGHT(TRIM(A444),10),4)),VALUE(MID(RIGHT(TRIM(A444),10),4,2)),VALUE(LEFT(RIGHT(TRIM(A444),10),2))),IFERROR(TODAY()-MOD(WEEKDAY(TODAY(),1)-MATCH(TRIM(A444),{"الأحد","الاثنين","الثلاثاء","الأربعاء","الخميس","الجمعة","السبت"},0),7),IFERROR(DATEVALUE(A444),"")))))</f>
        <v/>
      </c>
      <c r="I444" s="0" t="str">
        <f aca="false">IF(H444="","",INT((H444-WEEK_ONE)/7)+1)</f>
        <v/>
      </c>
      <c r="J444" s="0" t="str">
        <f aca="false">IF(I444="","",IF(OR(I444&lt;1,I444&gt;NW),"",INDEX(WMON,I444)))</f>
        <v/>
      </c>
    </row>
    <row r="445" customFormat="false" ht="15" hidden="false" customHeight="false" outlineLevel="0" collapsed="false">
      <c r="A445" s="43"/>
      <c r="B445" s="23" t="str">
        <f aca="false">IF(H445="","",CHOOSE(WEEKDAY(H445,1),"الأحد","الاثنين","الثلاثاء","الأربعاء","الخميس","الجمعة","السبت")&amp;IF(OR(ISNUMBER(A445),LEN(TRIM(A445))&gt;=10),"","  "&amp;TEXT(DAY(H445),"00")&amp;"/"&amp;TEXT(MONTH(H445),"00")&amp;"/"&amp;YEAR(H445)))</f>
        <v/>
      </c>
      <c r="C445" s="24"/>
      <c r="D445" s="27"/>
      <c r="E445" s="44"/>
      <c r="F445" s="27"/>
      <c r="G445" s="0" t="str">
        <f aca="false">IF(AND(C445&lt;&gt;"",COUNTIF(C$6:C445,C445)=1),MAX(G$5:G444)+1,"")</f>
        <v/>
      </c>
      <c r="H445" s="0" t="str">
        <f aca="true">IF(A445="","",IF(ISNUMBER(A445),IF(A445&gt;=36526,A445,""),IFERROR(DATE(VALUE(RIGHT(RIGHT(TRIM(A445),10),4)),VALUE(MID(RIGHT(TRIM(A445),10),4,2)),VALUE(LEFT(RIGHT(TRIM(A445),10),2))),IFERROR(TODAY()-MOD(WEEKDAY(TODAY(),1)-MATCH(TRIM(A445),{"الأحد","الاثنين","الثلاثاء","الأربعاء","الخميس","الجمعة","السبت"},0),7),IFERROR(DATEVALUE(A445),"")))))</f>
        <v/>
      </c>
      <c r="I445" s="0" t="str">
        <f aca="false">IF(H445="","",INT((H445-WEEK_ONE)/7)+1)</f>
        <v/>
      </c>
      <c r="J445" s="0" t="str">
        <f aca="false">IF(I445="","",IF(OR(I445&lt;1,I445&gt;NW),"",INDEX(WMON,I445)))</f>
        <v/>
      </c>
    </row>
    <row r="446" customFormat="false" ht="15" hidden="false" customHeight="false" outlineLevel="0" collapsed="false">
      <c r="A446" s="43"/>
      <c r="B446" s="23" t="str">
        <f aca="false">IF(H446="","",CHOOSE(WEEKDAY(H446,1),"الأحد","الاثنين","الثلاثاء","الأربعاء","الخميس","الجمعة","السبت")&amp;IF(OR(ISNUMBER(A446),LEN(TRIM(A446))&gt;=10),"","  "&amp;TEXT(DAY(H446),"00")&amp;"/"&amp;TEXT(MONTH(H446),"00")&amp;"/"&amp;YEAR(H446)))</f>
        <v/>
      </c>
      <c r="C446" s="24"/>
      <c r="D446" s="27"/>
      <c r="E446" s="44"/>
      <c r="F446" s="27"/>
      <c r="G446" s="0" t="str">
        <f aca="false">IF(AND(C446&lt;&gt;"",COUNTIF(C$6:C446,C446)=1),MAX(G$5:G445)+1,"")</f>
        <v/>
      </c>
      <c r="H446" s="0" t="str">
        <f aca="true">IF(A446="","",IF(ISNUMBER(A446),IF(A446&gt;=36526,A446,""),IFERROR(DATE(VALUE(RIGHT(RIGHT(TRIM(A446),10),4)),VALUE(MID(RIGHT(TRIM(A446),10),4,2)),VALUE(LEFT(RIGHT(TRIM(A446),10),2))),IFERROR(TODAY()-MOD(WEEKDAY(TODAY(),1)-MATCH(TRIM(A446),{"الأحد","الاثنين","الثلاثاء","الأربعاء","الخميس","الجمعة","السبت"},0),7),IFERROR(DATEVALUE(A446),"")))))</f>
        <v/>
      </c>
      <c r="I446" s="0" t="str">
        <f aca="false">IF(H446="","",INT((H446-WEEK_ONE)/7)+1)</f>
        <v/>
      </c>
      <c r="J446" s="0" t="str">
        <f aca="false">IF(I446="","",IF(OR(I446&lt;1,I446&gt;NW),"",INDEX(WMON,I446)))</f>
        <v/>
      </c>
    </row>
    <row r="447" customFormat="false" ht="15" hidden="false" customHeight="false" outlineLevel="0" collapsed="false">
      <c r="A447" s="43"/>
      <c r="B447" s="23" t="str">
        <f aca="false">IF(H447="","",CHOOSE(WEEKDAY(H447,1),"الأحد","الاثنين","الثلاثاء","الأربعاء","الخميس","الجمعة","السبت")&amp;IF(OR(ISNUMBER(A447),LEN(TRIM(A447))&gt;=10),"","  "&amp;TEXT(DAY(H447),"00")&amp;"/"&amp;TEXT(MONTH(H447),"00")&amp;"/"&amp;YEAR(H447)))</f>
        <v/>
      </c>
      <c r="C447" s="24"/>
      <c r="D447" s="27"/>
      <c r="E447" s="44"/>
      <c r="F447" s="27"/>
      <c r="G447" s="0" t="str">
        <f aca="false">IF(AND(C447&lt;&gt;"",COUNTIF(C$6:C447,C447)=1),MAX(G$5:G446)+1,"")</f>
        <v/>
      </c>
      <c r="H447" s="0" t="str">
        <f aca="true">IF(A447="","",IF(ISNUMBER(A447),IF(A447&gt;=36526,A447,""),IFERROR(DATE(VALUE(RIGHT(RIGHT(TRIM(A447),10),4)),VALUE(MID(RIGHT(TRIM(A447),10),4,2)),VALUE(LEFT(RIGHT(TRIM(A447),10),2))),IFERROR(TODAY()-MOD(WEEKDAY(TODAY(),1)-MATCH(TRIM(A447),{"الأحد","الاثنين","الثلاثاء","الأربعاء","الخميس","الجمعة","السبت"},0),7),IFERROR(DATEVALUE(A447),"")))))</f>
        <v/>
      </c>
      <c r="I447" s="0" t="str">
        <f aca="false">IF(H447="","",INT((H447-WEEK_ONE)/7)+1)</f>
        <v/>
      </c>
      <c r="J447" s="0" t="str">
        <f aca="false">IF(I447="","",IF(OR(I447&lt;1,I447&gt;NW),"",INDEX(WMON,I447)))</f>
        <v/>
      </c>
    </row>
    <row r="448" customFormat="false" ht="15" hidden="false" customHeight="false" outlineLevel="0" collapsed="false">
      <c r="A448" s="43"/>
      <c r="B448" s="23" t="str">
        <f aca="false">IF(H448="","",CHOOSE(WEEKDAY(H448,1),"الأحد","الاثنين","الثلاثاء","الأربعاء","الخميس","الجمعة","السبت")&amp;IF(OR(ISNUMBER(A448),LEN(TRIM(A448))&gt;=10),"","  "&amp;TEXT(DAY(H448),"00")&amp;"/"&amp;TEXT(MONTH(H448),"00")&amp;"/"&amp;YEAR(H448)))</f>
        <v/>
      </c>
      <c r="C448" s="24"/>
      <c r="D448" s="27"/>
      <c r="E448" s="44"/>
      <c r="F448" s="27"/>
      <c r="G448" s="0" t="str">
        <f aca="false">IF(AND(C448&lt;&gt;"",COUNTIF(C$6:C448,C448)=1),MAX(G$5:G447)+1,"")</f>
        <v/>
      </c>
      <c r="H448" s="0" t="str">
        <f aca="true">IF(A448="","",IF(ISNUMBER(A448),IF(A448&gt;=36526,A448,""),IFERROR(DATE(VALUE(RIGHT(RIGHT(TRIM(A448),10),4)),VALUE(MID(RIGHT(TRIM(A448),10),4,2)),VALUE(LEFT(RIGHT(TRIM(A448),10),2))),IFERROR(TODAY()-MOD(WEEKDAY(TODAY(),1)-MATCH(TRIM(A448),{"الأحد","الاثنين","الثلاثاء","الأربعاء","الخميس","الجمعة","السبت"},0),7),IFERROR(DATEVALUE(A448),"")))))</f>
        <v/>
      </c>
      <c r="I448" s="0" t="str">
        <f aca="false">IF(H448="","",INT((H448-WEEK_ONE)/7)+1)</f>
        <v/>
      </c>
      <c r="J448" s="0" t="str">
        <f aca="false">IF(I448="","",IF(OR(I448&lt;1,I448&gt;NW),"",INDEX(WMON,I448)))</f>
        <v/>
      </c>
    </row>
    <row r="449" customFormat="false" ht="15" hidden="false" customHeight="false" outlineLevel="0" collapsed="false">
      <c r="A449" s="43"/>
      <c r="B449" s="23" t="str">
        <f aca="false">IF(H449="","",CHOOSE(WEEKDAY(H449,1),"الأحد","الاثنين","الثلاثاء","الأربعاء","الخميس","الجمعة","السبت")&amp;IF(OR(ISNUMBER(A449),LEN(TRIM(A449))&gt;=10),"","  "&amp;TEXT(DAY(H449),"00")&amp;"/"&amp;TEXT(MONTH(H449),"00")&amp;"/"&amp;YEAR(H449)))</f>
        <v/>
      </c>
      <c r="C449" s="24"/>
      <c r="D449" s="27"/>
      <c r="E449" s="44"/>
      <c r="F449" s="27"/>
      <c r="G449" s="0" t="str">
        <f aca="false">IF(AND(C449&lt;&gt;"",COUNTIF(C$6:C449,C449)=1),MAX(G$5:G448)+1,"")</f>
        <v/>
      </c>
      <c r="H449" s="0" t="str">
        <f aca="true">IF(A449="","",IF(ISNUMBER(A449),IF(A449&gt;=36526,A449,""),IFERROR(DATE(VALUE(RIGHT(RIGHT(TRIM(A449),10),4)),VALUE(MID(RIGHT(TRIM(A449),10),4,2)),VALUE(LEFT(RIGHT(TRIM(A449),10),2))),IFERROR(TODAY()-MOD(WEEKDAY(TODAY(),1)-MATCH(TRIM(A449),{"الأحد","الاثنين","الثلاثاء","الأربعاء","الخميس","الجمعة","السبت"},0),7),IFERROR(DATEVALUE(A449),"")))))</f>
        <v/>
      </c>
      <c r="I449" s="0" t="str">
        <f aca="false">IF(H449="","",INT((H449-WEEK_ONE)/7)+1)</f>
        <v/>
      </c>
      <c r="J449" s="0" t="str">
        <f aca="false">IF(I449="","",IF(OR(I449&lt;1,I449&gt;NW),"",INDEX(WMON,I449)))</f>
        <v/>
      </c>
    </row>
    <row r="450" customFormat="false" ht="15" hidden="false" customHeight="false" outlineLevel="0" collapsed="false">
      <c r="A450" s="43"/>
      <c r="B450" s="23" t="str">
        <f aca="false">IF(H450="","",CHOOSE(WEEKDAY(H450,1),"الأحد","الاثنين","الثلاثاء","الأربعاء","الخميس","الجمعة","السبت")&amp;IF(OR(ISNUMBER(A450),LEN(TRIM(A450))&gt;=10),"","  "&amp;TEXT(DAY(H450),"00")&amp;"/"&amp;TEXT(MONTH(H450),"00")&amp;"/"&amp;YEAR(H450)))</f>
        <v/>
      </c>
      <c r="C450" s="24"/>
      <c r="D450" s="27"/>
      <c r="E450" s="44"/>
      <c r="F450" s="27"/>
      <c r="G450" s="0" t="str">
        <f aca="false">IF(AND(C450&lt;&gt;"",COUNTIF(C$6:C450,C450)=1),MAX(G$5:G449)+1,"")</f>
        <v/>
      </c>
      <c r="H450" s="0" t="str">
        <f aca="true">IF(A450="","",IF(ISNUMBER(A450),IF(A450&gt;=36526,A450,""),IFERROR(DATE(VALUE(RIGHT(RIGHT(TRIM(A450),10),4)),VALUE(MID(RIGHT(TRIM(A450),10),4,2)),VALUE(LEFT(RIGHT(TRIM(A450),10),2))),IFERROR(TODAY()-MOD(WEEKDAY(TODAY(),1)-MATCH(TRIM(A450),{"الأحد","الاثنين","الثلاثاء","الأربعاء","الخميس","الجمعة","السبت"},0),7),IFERROR(DATEVALUE(A450),"")))))</f>
        <v/>
      </c>
      <c r="I450" s="0" t="str">
        <f aca="false">IF(H450="","",INT((H450-WEEK_ONE)/7)+1)</f>
        <v/>
      </c>
      <c r="J450" s="0" t="str">
        <f aca="false">IF(I450="","",IF(OR(I450&lt;1,I450&gt;NW),"",INDEX(WMON,I450)))</f>
        <v/>
      </c>
    </row>
    <row r="451" customFormat="false" ht="15" hidden="false" customHeight="false" outlineLevel="0" collapsed="false">
      <c r="A451" s="43"/>
      <c r="B451" s="23" t="str">
        <f aca="false">IF(H451="","",CHOOSE(WEEKDAY(H451,1),"الأحد","الاثنين","الثلاثاء","الأربعاء","الخميس","الجمعة","السبت")&amp;IF(OR(ISNUMBER(A451),LEN(TRIM(A451))&gt;=10),"","  "&amp;TEXT(DAY(H451),"00")&amp;"/"&amp;TEXT(MONTH(H451),"00")&amp;"/"&amp;YEAR(H451)))</f>
        <v/>
      </c>
      <c r="C451" s="24"/>
      <c r="D451" s="27"/>
      <c r="E451" s="44"/>
      <c r="F451" s="27"/>
      <c r="G451" s="0" t="str">
        <f aca="false">IF(AND(C451&lt;&gt;"",COUNTIF(C$6:C451,C451)=1),MAX(G$5:G450)+1,"")</f>
        <v/>
      </c>
      <c r="H451" s="0" t="str">
        <f aca="true">IF(A451="","",IF(ISNUMBER(A451),IF(A451&gt;=36526,A451,""),IFERROR(DATE(VALUE(RIGHT(RIGHT(TRIM(A451),10),4)),VALUE(MID(RIGHT(TRIM(A451),10),4,2)),VALUE(LEFT(RIGHT(TRIM(A451),10),2))),IFERROR(TODAY()-MOD(WEEKDAY(TODAY(),1)-MATCH(TRIM(A451),{"الأحد","الاثنين","الثلاثاء","الأربعاء","الخميس","الجمعة","السبت"},0),7),IFERROR(DATEVALUE(A451),"")))))</f>
        <v/>
      </c>
      <c r="I451" s="0" t="str">
        <f aca="false">IF(H451="","",INT((H451-WEEK_ONE)/7)+1)</f>
        <v/>
      </c>
      <c r="J451" s="0" t="str">
        <f aca="false">IF(I451="","",IF(OR(I451&lt;1,I451&gt;NW),"",INDEX(WMON,I451)))</f>
        <v/>
      </c>
    </row>
    <row r="452" customFormat="false" ht="15" hidden="false" customHeight="false" outlineLevel="0" collapsed="false">
      <c r="A452" s="43"/>
      <c r="B452" s="23" t="str">
        <f aca="false">IF(H452="","",CHOOSE(WEEKDAY(H452,1),"الأحد","الاثنين","الثلاثاء","الأربعاء","الخميس","الجمعة","السبت")&amp;IF(OR(ISNUMBER(A452),LEN(TRIM(A452))&gt;=10),"","  "&amp;TEXT(DAY(H452),"00")&amp;"/"&amp;TEXT(MONTH(H452),"00")&amp;"/"&amp;YEAR(H452)))</f>
        <v/>
      </c>
      <c r="C452" s="24"/>
      <c r="D452" s="27"/>
      <c r="E452" s="44"/>
      <c r="F452" s="27"/>
      <c r="G452" s="0" t="str">
        <f aca="false">IF(AND(C452&lt;&gt;"",COUNTIF(C$6:C452,C452)=1),MAX(G$5:G451)+1,"")</f>
        <v/>
      </c>
      <c r="H452" s="0" t="str">
        <f aca="true">IF(A452="","",IF(ISNUMBER(A452),IF(A452&gt;=36526,A452,""),IFERROR(DATE(VALUE(RIGHT(RIGHT(TRIM(A452),10),4)),VALUE(MID(RIGHT(TRIM(A452),10),4,2)),VALUE(LEFT(RIGHT(TRIM(A452),10),2))),IFERROR(TODAY()-MOD(WEEKDAY(TODAY(),1)-MATCH(TRIM(A452),{"الأحد","الاثنين","الثلاثاء","الأربعاء","الخميس","الجمعة","السبت"},0),7),IFERROR(DATEVALUE(A452),"")))))</f>
        <v/>
      </c>
      <c r="I452" s="0" t="str">
        <f aca="false">IF(H452="","",INT((H452-WEEK_ONE)/7)+1)</f>
        <v/>
      </c>
      <c r="J452" s="0" t="str">
        <f aca="false">IF(I452="","",IF(OR(I452&lt;1,I452&gt;NW),"",INDEX(WMON,I452)))</f>
        <v/>
      </c>
    </row>
    <row r="453" customFormat="false" ht="15" hidden="false" customHeight="false" outlineLevel="0" collapsed="false">
      <c r="A453" s="43"/>
      <c r="B453" s="23" t="str">
        <f aca="false">IF(H453="","",CHOOSE(WEEKDAY(H453,1),"الأحد","الاثنين","الثلاثاء","الأربعاء","الخميس","الجمعة","السبت")&amp;IF(OR(ISNUMBER(A453),LEN(TRIM(A453))&gt;=10),"","  "&amp;TEXT(DAY(H453),"00")&amp;"/"&amp;TEXT(MONTH(H453),"00")&amp;"/"&amp;YEAR(H453)))</f>
        <v/>
      </c>
      <c r="C453" s="24"/>
      <c r="D453" s="27"/>
      <c r="E453" s="44"/>
      <c r="F453" s="27"/>
      <c r="G453" s="0" t="str">
        <f aca="false">IF(AND(C453&lt;&gt;"",COUNTIF(C$6:C453,C453)=1),MAX(G$5:G452)+1,"")</f>
        <v/>
      </c>
      <c r="H453" s="0" t="str">
        <f aca="true">IF(A453="","",IF(ISNUMBER(A453),IF(A453&gt;=36526,A453,""),IFERROR(DATE(VALUE(RIGHT(RIGHT(TRIM(A453),10),4)),VALUE(MID(RIGHT(TRIM(A453),10),4,2)),VALUE(LEFT(RIGHT(TRIM(A453),10),2))),IFERROR(TODAY()-MOD(WEEKDAY(TODAY(),1)-MATCH(TRIM(A453),{"الأحد","الاثنين","الثلاثاء","الأربعاء","الخميس","الجمعة","السبت"},0),7),IFERROR(DATEVALUE(A453),"")))))</f>
        <v/>
      </c>
      <c r="I453" s="0" t="str">
        <f aca="false">IF(H453="","",INT((H453-WEEK_ONE)/7)+1)</f>
        <v/>
      </c>
      <c r="J453" s="0" t="str">
        <f aca="false">IF(I453="","",IF(OR(I453&lt;1,I453&gt;NW),"",INDEX(WMON,I453)))</f>
        <v/>
      </c>
    </row>
    <row r="454" customFormat="false" ht="15" hidden="false" customHeight="false" outlineLevel="0" collapsed="false">
      <c r="A454" s="43"/>
      <c r="B454" s="23" t="str">
        <f aca="false">IF(H454="","",CHOOSE(WEEKDAY(H454,1),"الأحد","الاثنين","الثلاثاء","الأربعاء","الخميس","الجمعة","السبت")&amp;IF(OR(ISNUMBER(A454),LEN(TRIM(A454))&gt;=10),"","  "&amp;TEXT(DAY(H454),"00")&amp;"/"&amp;TEXT(MONTH(H454),"00")&amp;"/"&amp;YEAR(H454)))</f>
        <v/>
      </c>
      <c r="C454" s="24"/>
      <c r="D454" s="27"/>
      <c r="E454" s="44"/>
      <c r="F454" s="27"/>
      <c r="G454" s="0" t="str">
        <f aca="false">IF(AND(C454&lt;&gt;"",COUNTIF(C$6:C454,C454)=1),MAX(G$5:G453)+1,"")</f>
        <v/>
      </c>
      <c r="H454" s="0" t="str">
        <f aca="true">IF(A454="","",IF(ISNUMBER(A454),IF(A454&gt;=36526,A454,""),IFERROR(DATE(VALUE(RIGHT(RIGHT(TRIM(A454),10),4)),VALUE(MID(RIGHT(TRIM(A454),10),4,2)),VALUE(LEFT(RIGHT(TRIM(A454),10),2))),IFERROR(TODAY()-MOD(WEEKDAY(TODAY(),1)-MATCH(TRIM(A454),{"الأحد","الاثنين","الثلاثاء","الأربعاء","الخميس","الجمعة","السبت"},0),7),IFERROR(DATEVALUE(A454),"")))))</f>
        <v/>
      </c>
      <c r="I454" s="0" t="str">
        <f aca="false">IF(H454="","",INT((H454-WEEK_ONE)/7)+1)</f>
        <v/>
      </c>
      <c r="J454" s="0" t="str">
        <f aca="false">IF(I454="","",IF(OR(I454&lt;1,I454&gt;NW),"",INDEX(WMON,I454)))</f>
        <v/>
      </c>
    </row>
    <row r="455" customFormat="false" ht="15" hidden="false" customHeight="false" outlineLevel="0" collapsed="false">
      <c r="A455" s="43"/>
      <c r="B455" s="23" t="str">
        <f aca="false">IF(H455="","",CHOOSE(WEEKDAY(H455,1),"الأحد","الاثنين","الثلاثاء","الأربعاء","الخميس","الجمعة","السبت")&amp;IF(OR(ISNUMBER(A455),LEN(TRIM(A455))&gt;=10),"","  "&amp;TEXT(DAY(H455),"00")&amp;"/"&amp;TEXT(MONTH(H455),"00")&amp;"/"&amp;YEAR(H455)))</f>
        <v/>
      </c>
      <c r="C455" s="24"/>
      <c r="D455" s="27"/>
      <c r="E455" s="44"/>
      <c r="F455" s="27"/>
      <c r="G455" s="0" t="str">
        <f aca="false">IF(AND(C455&lt;&gt;"",COUNTIF(C$6:C455,C455)=1),MAX(G$5:G454)+1,"")</f>
        <v/>
      </c>
      <c r="H455" s="0" t="str">
        <f aca="true">IF(A455="","",IF(ISNUMBER(A455),IF(A455&gt;=36526,A455,""),IFERROR(DATE(VALUE(RIGHT(RIGHT(TRIM(A455),10),4)),VALUE(MID(RIGHT(TRIM(A455),10),4,2)),VALUE(LEFT(RIGHT(TRIM(A455),10),2))),IFERROR(TODAY()-MOD(WEEKDAY(TODAY(),1)-MATCH(TRIM(A455),{"الأحد","الاثنين","الثلاثاء","الأربعاء","الخميس","الجمعة","السبت"},0),7),IFERROR(DATEVALUE(A455),"")))))</f>
        <v/>
      </c>
      <c r="I455" s="0" t="str">
        <f aca="false">IF(H455="","",INT((H455-WEEK_ONE)/7)+1)</f>
        <v/>
      </c>
      <c r="J455" s="0" t="str">
        <f aca="false">IF(I455="","",IF(OR(I455&lt;1,I455&gt;NW),"",INDEX(WMON,I455)))</f>
        <v/>
      </c>
    </row>
    <row r="456" customFormat="false" ht="15" hidden="false" customHeight="false" outlineLevel="0" collapsed="false">
      <c r="A456" s="43"/>
      <c r="B456" s="23" t="str">
        <f aca="false">IF(H456="","",CHOOSE(WEEKDAY(H456,1),"الأحد","الاثنين","الثلاثاء","الأربعاء","الخميس","الجمعة","السبت")&amp;IF(OR(ISNUMBER(A456),LEN(TRIM(A456))&gt;=10),"","  "&amp;TEXT(DAY(H456),"00")&amp;"/"&amp;TEXT(MONTH(H456),"00")&amp;"/"&amp;YEAR(H456)))</f>
        <v/>
      </c>
      <c r="C456" s="24"/>
      <c r="D456" s="27"/>
      <c r="E456" s="44"/>
      <c r="F456" s="27"/>
      <c r="G456" s="0" t="str">
        <f aca="false">IF(AND(C456&lt;&gt;"",COUNTIF(C$6:C456,C456)=1),MAX(G$5:G455)+1,"")</f>
        <v/>
      </c>
      <c r="H456" s="0" t="str">
        <f aca="true">IF(A456="","",IF(ISNUMBER(A456),IF(A456&gt;=36526,A456,""),IFERROR(DATE(VALUE(RIGHT(RIGHT(TRIM(A456),10),4)),VALUE(MID(RIGHT(TRIM(A456),10),4,2)),VALUE(LEFT(RIGHT(TRIM(A456),10),2))),IFERROR(TODAY()-MOD(WEEKDAY(TODAY(),1)-MATCH(TRIM(A456),{"الأحد","الاثنين","الثلاثاء","الأربعاء","الخميس","الجمعة","السبت"},0),7),IFERROR(DATEVALUE(A456),"")))))</f>
        <v/>
      </c>
      <c r="I456" s="0" t="str">
        <f aca="false">IF(H456="","",INT((H456-WEEK_ONE)/7)+1)</f>
        <v/>
      </c>
      <c r="J456" s="0" t="str">
        <f aca="false">IF(I456="","",IF(OR(I456&lt;1,I456&gt;NW),"",INDEX(WMON,I456)))</f>
        <v/>
      </c>
    </row>
    <row r="457" customFormat="false" ht="15" hidden="false" customHeight="false" outlineLevel="0" collapsed="false">
      <c r="A457" s="43"/>
      <c r="B457" s="23" t="str">
        <f aca="false">IF(H457="","",CHOOSE(WEEKDAY(H457,1),"الأحد","الاثنين","الثلاثاء","الأربعاء","الخميس","الجمعة","السبت")&amp;IF(OR(ISNUMBER(A457),LEN(TRIM(A457))&gt;=10),"","  "&amp;TEXT(DAY(H457),"00")&amp;"/"&amp;TEXT(MONTH(H457),"00")&amp;"/"&amp;YEAR(H457)))</f>
        <v/>
      </c>
      <c r="C457" s="24"/>
      <c r="D457" s="27"/>
      <c r="E457" s="44"/>
      <c r="F457" s="27"/>
      <c r="G457" s="0" t="str">
        <f aca="false">IF(AND(C457&lt;&gt;"",COUNTIF(C$6:C457,C457)=1),MAX(G$5:G456)+1,"")</f>
        <v/>
      </c>
      <c r="H457" s="0" t="str">
        <f aca="true">IF(A457="","",IF(ISNUMBER(A457),IF(A457&gt;=36526,A457,""),IFERROR(DATE(VALUE(RIGHT(RIGHT(TRIM(A457),10),4)),VALUE(MID(RIGHT(TRIM(A457),10),4,2)),VALUE(LEFT(RIGHT(TRIM(A457),10),2))),IFERROR(TODAY()-MOD(WEEKDAY(TODAY(),1)-MATCH(TRIM(A457),{"الأحد","الاثنين","الثلاثاء","الأربعاء","الخميس","الجمعة","السبت"},0),7),IFERROR(DATEVALUE(A457),"")))))</f>
        <v/>
      </c>
      <c r="I457" s="0" t="str">
        <f aca="false">IF(H457="","",INT((H457-WEEK_ONE)/7)+1)</f>
        <v/>
      </c>
      <c r="J457" s="0" t="str">
        <f aca="false">IF(I457="","",IF(OR(I457&lt;1,I457&gt;NW),"",INDEX(WMON,I457)))</f>
        <v/>
      </c>
    </row>
    <row r="458" customFormat="false" ht="15" hidden="false" customHeight="false" outlineLevel="0" collapsed="false">
      <c r="A458" s="43"/>
      <c r="B458" s="23" t="str">
        <f aca="false">IF(H458="","",CHOOSE(WEEKDAY(H458,1),"الأحد","الاثنين","الثلاثاء","الأربعاء","الخميس","الجمعة","السبت")&amp;IF(OR(ISNUMBER(A458),LEN(TRIM(A458))&gt;=10),"","  "&amp;TEXT(DAY(H458),"00")&amp;"/"&amp;TEXT(MONTH(H458),"00")&amp;"/"&amp;YEAR(H458)))</f>
        <v/>
      </c>
      <c r="C458" s="24"/>
      <c r="D458" s="27"/>
      <c r="E458" s="44"/>
      <c r="F458" s="27"/>
      <c r="G458" s="0" t="str">
        <f aca="false">IF(AND(C458&lt;&gt;"",COUNTIF(C$6:C458,C458)=1),MAX(G$5:G457)+1,"")</f>
        <v/>
      </c>
      <c r="H458" s="0" t="str">
        <f aca="true">IF(A458="","",IF(ISNUMBER(A458),IF(A458&gt;=36526,A458,""),IFERROR(DATE(VALUE(RIGHT(RIGHT(TRIM(A458),10),4)),VALUE(MID(RIGHT(TRIM(A458),10),4,2)),VALUE(LEFT(RIGHT(TRIM(A458),10),2))),IFERROR(TODAY()-MOD(WEEKDAY(TODAY(),1)-MATCH(TRIM(A458),{"الأحد","الاثنين","الثلاثاء","الأربعاء","الخميس","الجمعة","السبت"},0),7),IFERROR(DATEVALUE(A458),"")))))</f>
        <v/>
      </c>
      <c r="I458" s="0" t="str">
        <f aca="false">IF(H458="","",INT((H458-WEEK_ONE)/7)+1)</f>
        <v/>
      </c>
      <c r="J458" s="0" t="str">
        <f aca="false">IF(I458="","",IF(OR(I458&lt;1,I458&gt;NW),"",INDEX(WMON,I458)))</f>
        <v/>
      </c>
    </row>
    <row r="459" customFormat="false" ht="15" hidden="false" customHeight="false" outlineLevel="0" collapsed="false">
      <c r="A459" s="43"/>
      <c r="B459" s="23" t="str">
        <f aca="false">IF(H459="","",CHOOSE(WEEKDAY(H459,1),"الأحد","الاثنين","الثلاثاء","الأربعاء","الخميس","الجمعة","السبت")&amp;IF(OR(ISNUMBER(A459),LEN(TRIM(A459))&gt;=10),"","  "&amp;TEXT(DAY(H459),"00")&amp;"/"&amp;TEXT(MONTH(H459),"00")&amp;"/"&amp;YEAR(H459)))</f>
        <v/>
      </c>
      <c r="C459" s="24"/>
      <c r="D459" s="27"/>
      <c r="E459" s="44"/>
      <c r="F459" s="27"/>
      <c r="G459" s="0" t="str">
        <f aca="false">IF(AND(C459&lt;&gt;"",COUNTIF(C$6:C459,C459)=1),MAX(G$5:G458)+1,"")</f>
        <v/>
      </c>
      <c r="H459" s="0" t="str">
        <f aca="true">IF(A459="","",IF(ISNUMBER(A459),IF(A459&gt;=36526,A459,""),IFERROR(DATE(VALUE(RIGHT(RIGHT(TRIM(A459),10),4)),VALUE(MID(RIGHT(TRIM(A459),10),4,2)),VALUE(LEFT(RIGHT(TRIM(A459),10),2))),IFERROR(TODAY()-MOD(WEEKDAY(TODAY(),1)-MATCH(TRIM(A459),{"الأحد","الاثنين","الثلاثاء","الأربعاء","الخميس","الجمعة","السبت"},0),7),IFERROR(DATEVALUE(A459),"")))))</f>
        <v/>
      </c>
      <c r="I459" s="0" t="str">
        <f aca="false">IF(H459="","",INT((H459-WEEK_ONE)/7)+1)</f>
        <v/>
      </c>
      <c r="J459" s="0" t="str">
        <f aca="false">IF(I459="","",IF(OR(I459&lt;1,I459&gt;NW),"",INDEX(WMON,I459)))</f>
        <v/>
      </c>
    </row>
    <row r="460" customFormat="false" ht="15" hidden="false" customHeight="false" outlineLevel="0" collapsed="false">
      <c r="A460" s="43"/>
      <c r="B460" s="23" t="str">
        <f aca="false">IF(H460="","",CHOOSE(WEEKDAY(H460,1),"الأحد","الاثنين","الثلاثاء","الأربعاء","الخميس","الجمعة","السبت")&amp;IF(OR(ISNUMBER(A460),LEN(TRIM(A460))&gt;=10),"","  "&amp;TEXT(DAY(H460),"00")&amp;"/"&amp;TEXT(MONTH(H460),"00")&amp;"/"&amp;YEAR(H460)))</f>
        <v/>
      </c>
      <c r="C460" s="24"/>
      <c r="D460" s="27"/>
      <c r="E460" s="44"/>
      <c r="F460" s="27"/>
      <c r="G460" s="0" t="str">
        <f aca="false">IF(AND(C460&lt;&gt;"",COUNTIF(C$6:C460,C460)=1),MAX(G$5:G459)+1,"")</f>
        <v/>
      </c>
      <c r="H460" s="0" t="str">
        <f aca="true">IF(A460="","",IF(ISNUMBER(A460),IF(A460&gt;=36526,A460,""),IFERROR(DATE(VALUE(RIGHT(RIGHT(TRIM(A460),10),4)),VALUE(MID(RIGHT(TRIM(A460),10),4,2)),VALUE(LEFT(RIGHT(TRIM(A460),10),2))),IFERROR(TODAY()-MOD(WEEKDAY(TODAY(),1)-MATCH(TRIM(A460),{"الأحد","الاثنين","الثلاثاء","الأربعاء","الخميس","الجمعة","السبت"},0),7),IFERROR(DATEVALUE(A460),"")))))</f>
        <v/>
      </c>
      <c r="I460" s="0" t="str">
        <f aca="false">IF(H460="","",INT((H460-WEEK_ONE)/7)+1)</f>
        <v/>
      </c>
      <c r="J460" s="0" t="str">
        <f aca="false">IF(I460="","",IF(OR(I460&lt;1,I460&gt;NW),"",INDEX(WMON,I460)))</f>
        <v/>
      </c>
    </row>
    <row r="461" customFormat="false" ht="15" hidden="false" customHeight="false" outlineLevel="0" collapsed="false">
      <c r="A461" s="43"/>
      <c r="B461" s="23" t="str">
        <f aca="false">IF(H461="","",CHOOSE(WEEKDAY(H461,1),"الأحد","الاثنين","الثلاثاء","الأربعاء","الخميس","الجمعة","السبت")&amp;IF(OR(ISNUMBER(A461),LEN(TRIM(A461))&gt;=10),"","  "&amp;TEXT(DAY(H461),"00")&amp;"/"&amp;TEXT(MONTH(H461),"00")&amp;"/"&amp;YEAR(H461)))</f>
        <v/>
      </c>
      <c r="C461" s="24"/>
      <c r="D461" s="27"/>
      <c r="E461" s="44"/>
      <c r="F461" s="27"/>
      <c r="G461" s="0" t="str">
        <f aca="false">IF(AND(C461&lt;&gt;"",COUNTIF(C$6:C461,C461)=1),MAX(G$5:G460)+1,"")</f>
        <v/>
      </c>
      <c r="H461" s="0" t="str">
        <f aca="true">IF(A461="","",IF(ISNUMBER(A461),IF(A461&gt;=36526,A461,""),IFERROR(DATE(VALUE(RIGHT(RIGHT(TRIM(A461),10),4)),VALUE(MID(RIGHT(TRIM(A461),10),4,2)),VALUE(LEFT(RIGHT(TRIM(A461),10),2))),IFERROR(TODAY()-MOD(WEEKDAY(TODAY(),1)-MATCH(TRIM(A461),{"الأحد","الاثنين","الثلاثاء","الأربعاء","الخميس","الجمعة","السبت"},0),7),IFERROR(DATEVALUE(A461),"")))))</f>
        <v/>
      </c>
      <c r="I461" s="0" t="str">
        <f aca="false">IF(H461="","",INT((H461-WEEK_ONE)/7)+1)</f>
        <v/>
      </c>
      <c r="J461" s="0" t="str">
        <f aca="false">IF(I461="","",IF(OR(I461&lt;1,I461&gt;NW),"",INDEX(WMON,I461)))</f>
        <v/>
      </c>
    </row>
    <row r="462" customFormat="false" ht="15" hidden="false" customHeight="false" outlineLevel="0" collapsed="false">
      <c r="A462" s="43"/>
      <c r="B462" s="23" t="str">
        <f aca="false">IF(H462="","",CHOOSE(WEEKDAY(H462,1),"الأحد","الاثنين","الثلاثاء","الأربعاء","الخميس","الجمعة","السبت")&amp;IF(OR(ISNUMBER(A462),LEN(TRIM(A462))&gt;=10),"","  "&amp;TEXT(DAY(H462),"00")&amp;"/"&amp;TEXT(MONTH(H462),"00")&amp;"/"&amp;YEAR(H462)))</f>
        <v/>
      </c>
      <c r="C462" s="24"/>
      <c r="D462" s="27"/>
      <c r="E462" s="44"/>
      <c r="F462" s="27"/>
      <c r="G462" s="0" t="str">
        <f aca="false">IF(AND(C462&lt;&gt;"",COUNTIF(C$6:C462,C462)=1),MAX(G$5:G461)+1,"")</f>
        <v/>
      </c>
      <c r="H462" s="0" t="str">
        <f aca="true">IF(A462="","",IF(ISNUMBER(A462),IF(A462&gt;=36526,A462,""),IFERROR(DATE(VALUE(RIGHT(RIGHT(TRIM(A462),10),4)),VALUE(MID(RIGHT(TRIM(A462),10),4,2)),VALUE(LEFT(RIGHT(TRIM(A462),10),2))),IFERROR(TODAY()-MOD(WEEKDAY(TODAY(),1)-MATCH(TRIM(A462),{"الأحد","الاثنين","الثلاثاء","الأربعاء","الخميس","الجمعة","السبت"},0),7),IFERROR(DATEVALUE(A462),"")))))</f>
        <v/>
      </c>
      <c r="I462" s="0" t="str">
        <f aca="false">IF(H462="","",INT((H462-WEEK_ONE)/7)+1)</f>
        <v/>
      </c>
      <c r="J462" s="0" t="str">
        <f aca="false">IF(I462="","",IF(OR(I462&lt;1,I462&gt;NW),"",INDEX(WMON,I462)))</f>
        <v/>
      </c>
    </row>
    <row r="463" customFormat="false" ht="15" hidden="false" customHeight="false" outlineLevel="0" collapsed="false">
      <c r="A463" s="43"/>
      <c r="B463" s="23" t="str">
        <f aca="false">IF(H463="","",CHOOSE(WEEKDAY(H463,1),"الأحد","الاثنين","الثلاثاء","الأربعاء","الخميس","الجمعة","السبت")&amp;IF(OR(ISNUMBER(A463),LEN(TRIM(A463))&gt;=10),"","  "&amp;TEXT(DAY(H463),"00")&amp;"/"&amp;TEXT(MONTH(H463),"00")&amp;"/"&amp;YEAR(H463)))</f>
        <v/>
      </c>
      <c r="C463" s="24"/>
      <c r="D463" s="27"/>
      <c r="E463" s="44"/>
      <c r="F463" s="27"/>
      <c r="G463" s="0" t="str">
        <f aca="false">IF(AND(C463&lt;&gt;"",COUNTIF(C$6:C463,C463)=1),MAX(G$5:G462)+1,"")</f>
        <v/>
      </c>
      <c r="H463" s="0" t="str">
        <f aca="true">IF(A463="","",IF(ISNUMBER(A463),IF(A463&gt;=36526,A463,""),IFERROR(DATE(VALUE(RIGHT(RIGHT(TRIM(A463),10),4)),VALUE(MID(RIGHT(TRIM(A463),10),4,2)),VALUE(LEFT(RIGHT(TRIM(A463),10),2))),IFERROR(TODAY()-MOD(WEEKDAY(TODAY(),1)-MATCH(TRIM(A463),{"الأحد","الاثنين","الثلاثاء","الأربعاء","الخميس","الجمعة","السبت"},0),7),IFERROR(DATEVALUE(A463),"")))))</f>
        <v/>
      </c>
      <c r="I463" s="0" t="str">
        <f aca="false">IF(H463="","",INT((H463-WEEK_ONE)/7)+1)</f>
        <v/>
      </c>
      <c r="J463" s="0" t="str">
        <f aca="false">IF(I463="","",IF(OR(I463&lt;1,I463&gt;NW),"",INDEX(WMON,I463)))</f>
        <v/>
      </c>
    </row>
    <row r="464" customFormat="false" ht="15" hidden="false" customHeight="false" outlineLevel="0" collapsed="false">
      <c r="A464" s="43"/>
      <c r="B464" s="23" t="str">
        <f aca="false">IF(H464="","",CHOOSE(WEEKDAY(H464,1),"الأحد","الاثنين","الثلاثاء","الأربعاء","الخميس","الجمعة","السبت")&amp;IF(OR(ISNUMBER(A464),LEN(TRIM(A464))&gt;=10),"","  "&amp;TEXT(DAY(H464),"00")&amp;"/"&amp;TEXT(MONTH(H464),"00")&amp;"/"&amp;YEAR(H464)))</f>
        <v/>
      </c>
      <c r="C464" s="24"/>
      <c r="D464" s="27"/>
      <c r="E464" s="44"/>
      <c r="F464" s="27"/>
      <c r="G464" s="0" t="str">
        <f aca="false">IF(AND(C464&lt;&gt;"",COUNTIF(C$6:C464,C464)=1),MAX(G$5:G463)+1,"")</f>
        <v/>
      </c>
      <c r="H464" s="0" t="str">
        <f aca="true">IF(A464="","",IF(ISNUMBER(A464),IF(A464&gt;=36526,A464,""),IFERROR(DATE(VALUE(RIGHT(RIGHT(TRIM(A464),10),4)),VALUE(MID(RIGHT(TRIM(A464),10),4,2)),VALUE(LEFT(RIGHT(TRIM(A464),10),2))),IFERROR(TODAY()-MOD(WEEKDAY(TODAY(),1)-MATCH(TRIM(A464),{"الأحد","الاثنين","الثلاثاء","الأربعاء","الخميس","الجمعة","السبت"},0),7),IFERROR(DATEVALUE(A464),"")))))</f>
        <v/>
      </c>
      <c r="I464" s="0" t="str">
        <f aca="false">IF(H464="","",INT((H464-WEEK_ONE)/7)+1)</f>
        <v/>
      </c>
      <c r="J464" s="0" t="str">
        <f aca="false">IF(I464="","",IF(OR(I464&lt;1,I464&gt;NW),"",INDEX(WMON,I464)))</f>
        <v/>
      </c>
    </row>
    <row r="465" customFormat="false" ht="15" hidden="false" customHeight="false" outlineLevel="0" collapsed="false">
      <c r="A465" s="43"/>
      <c r="B465" s="23" t="str">
        <f aca="false">IF(H465="","",CHOOSE(WEEKDAY(H465,1),"الأحد","الاثنين","الثلاثاء","الأربعاء","الخميس","الجمعة","السبت")&amp;IF(OR(ISNUMBER(A465),LEN(TRIM(A465))&gt;=10),"","  "&amp;TEXT(DAY(H465),"00")&amp;"/"&amp;TEXT(MONTH(H465),"00")&amp;"/"&amp;YEAR(H465)))</f>
        <v/>
      </c>
      <c r="C465" s="24"/>
      <c r="D465" s="27"/>
      <c r="E465" s="44"/>
      <c r="F465" s="27"/>
      <c r="G465" s="0" t="str">
        <f aca="false">IF(AND(C465&lt;&gt;"",COUNTIF(C$6:C465,C465)=1),MAX(G$5:G464)+1,"")</f>
        <v/>
      </c>
      <c r="H465" s="0" t="str">
        <f aca="true">IF(A465="","",IF(ISNUMBER(A465),IF(A465&gt;=36526,A465,""),IFERROR(DATE(VALUE(RIGHT(RIGHT(TRIM(A465),10),4)),VALUE(MID(RIGHT(TRIM(A465),10),4,2)),VALUE(LEFT(RIGHT(TRIM(A465),10),2))),IFERROR(TODAY()-MOD(WEEKDAY(TODAY(),1)-MATCH(TRIM(A465),{"الأحد","الاثنين","الثلاثاء","الأربعاء","الخميس","الجمعة","السبت"},0),7),IFERROR(DATEVALUE(A465),"")))))</f>
        <v/>
      </c>
      <c r="I465" s="0" t="str">
        <f aca="false">IF(H465="","",INT((H465-WEEK_ONE)/7)+1)</f>
        <v/>
      </c>
      <c r="J465" s="0" t="str">
        <f aca="false">IF(I465="","",IF(OR(I465&lt;1,I465&gt;NW),"",INDEX(WMON,I465)))</f>
        <v/>
      </c>
    </row>
    <row r="466" customFormat="false" ht="15" hidden="false" customHeight="false" outlineLevel="0" collapsed="false">
      <c r="A466" s="43"/>
      <c r="B466" s="23" t="str">
        <f aca="false">IF(H466="","",CHOOSE(WEEKDAY(H466,1),"الأحد","الاثنين","الثلاثاء","الأربعاء","الخميس","الجمعة","السبت")&amp;IF(OR(ISNUMBER(A466),LEN(TRIM(A466))&gt;=10),"","  "&amp;TEXT(DAY(H466),"00")&amp;"/"&amp;TEXT(MONTH(H466),"00")&amp;"/"&amp;YEAR(H466)))</f>
        <v/>
      </c>
      <c r="C466" s="24"/>
      <c r="D466" s="27"/>
      <c r="E466" s="44"/>
      <c r="F466" s="27"/>
      <c r="G466" s="0" t="str">
        <f aca="false">IF(AND(C466&lt;&gt;"",COUNTIF(C$6:C466,C466)=1),MAX(G$5:G465)+1,"")</f>
        <v/>
      </c>
      <c r="H466" s="0" t="str">
        <f aca="true">IF(A466="","",IF(ISNUMBER(A466),IF(A466&gt;=36526,A466,""),IFERROR(DATE(VALUE(RIGHT(RIGHT(TRIM(A466),10),4)),VALUE(MID(RIGHT(TRIM(A466),10),4,2)),VALUE(LEFT(RIGHT(TRIM(A466),10),2))),IFERROR(TODAY()-MOD(WEEKDAY(TODAY(),1)-MATCH(TRIM(A466),{"الأحد","الاثنين","الثلاثاء","الأربعاء","الخميس","الجمعة","السبت"},0),7),IFERROR(DATEVALUE(A466),"")))))</f>
        <v/>
      </c>
      <c r="I466" s="0" t="str">
        <f aca="false">IF(H466="","",INT((H466-WEEK_ONE)/7)+1)</f>
        <v/>
      </c>
      <c r="J466" s="0" t="str">
        <f aca="false">IF(I466="","",IF(OR(I466&lt;1,I466&gt;NW),"",INDEX(WMON,I466)))</f>
        <v/>
      </c>
    </row>
    <row r="467" customFormat="false" ht="15" hidden="false" customHeight="false" outlineLevel="0" collapsed="false">
      <c r="A467" s="43"/>
      <c r="B467" s="23" t="str">
        <f aca="false">IF(H467="","",CHOOSE(WEEKDAY(H467,1),"الأحد","الاثنين","الثلاثاء","الأربعاء","الخميس","الجمعة","السبت")&amp;IF(OR(ISNUMBER(A467),LEN(TRIM(A467))&gt;=10),"","  "&amp;TEXT(DAY(H467),"00")&amp;"/"&amp;TEXT(MONTH(H467),"00")&amp;"/"&amp;YEAR(H467)))</f>
        <v/>
      </c>
      <c r="C467" s="24"/>
      <c r="D467" s="27"/>
      <c r="E467" s="44"/>
      <c r="F467" s="27"/>
      <c r="G467" s="0" t="str">
        <f aca="false">IF(AND(C467&lt;&gt;"",COUNTIF(C$6:C467,C467)=1),MAX(G$5:G466)+1,"")</f>
        <v/>
      </c>
      <c r="H467" s="0" t="str">
        <f aca="true">IF(A467="","",IF(ISNUMBER(A467),IF(A467&gt;=36526,A467,""),IFERROR(DATE(VALUE(RIGHT(RIGHT(TRIM(A467),10),4)),VALUE(MID(RIGHT(TRIM(A467),10),4,2)),VALUE(LEFT(RIGHT(TRIM(A467),10),2))),IFERROR(TODAY()-MOD(WEEKDAY(TODAY(),1)-MATCH(TRIM(A467),{"الأحد","الاثنين","الثلاثاء","الأربعاء","الخميس","الجمعة","السبت"},0),7),IFERROR(DATEVALUE(A467),"")))))</f>
        <v/>
      </c>
      <c r="I467" s="0" t="str">
        <f aca="false">IF(H467="","",INT((H467-WEEK_ONE)/7)+1)</f>
        <v/>
      </c>
      <c r="J467" s="0" t="str">
        <f aca="false">IF(I467="","",IF(OR(I467&lt;1,I467&gt;NW),"",INDEX(WMON,I467)))</f>
        <v/>
      </c>
    </row>
    <row r="468" customFormat="false" ht="15" hidden="false" customHeight="false" outlineLevel="0" collapsed="false">
      <c r="A468" s="43"/>
      <c r="B468" s="23" t="str">
        <f aca="false">IF(H468="","",CHOOSE(WEEKDAY(H468,1),"الأحد","الاثنين","الثلاثاء","الأربعاء","الخميس","الجمعة","السبت")&amp;IF(OR(ISNUMBER(A468),LEN(TRIM(A468))&gt;=10),"","  "&amp;TEXT(DAY(H468),"00")&amp;"/"&amp;TEXT(MONTH(H468),"00")&amp;"/"&amp;YEAR(H468)))</f>
        <v/>
      </c>
      <c r="C468" s="24"/>
      <c r="D468" s="27"/>
      <c r="E468" s="44"/>
      <c r="F468" s="27"/>
      <c r="G468" s="0" t="str">
        <f aca="false">IF(AND(C468&lt;&gt;"",COUNTIF(C$6:C468,C468)=1),MAX(G$5:G467)+1,"")</f>
        <v/>
      </c>
      <c r="H468" s="0" t="str">
        <f aca="true">IF(A468="","",IF(ISNUMBER(A468),IF(A468&gt;=36526,A468,""),IFERROR(DATE(VALUE(RIGHT(RIGHT(TRIM(A468),10),4)),VALUE(MID(RIGHT(TRIM(A468),10),4,2)),VALUE(LEFT(RIGHT(TRIM(A468),10),2))),IFERROR(TODAY()-MOD(WEEKDAY(TODAY(),1)-MATCH(TRIM(A468),{"الأحد","الاثنين","الثلاثاء","الأربعاء","الخميس","الجمعة","السبت"},0),7),IFERROR(DATEVALUE(A468),"")))))</f>
        <v/>
      </c>
      <c r="I468" s="0" t="str">
        <f aca="false">IF(H468="","",INT((H468-WEEK_ONE)/7)+1)</f>
        <v/>
      </c>
      <c r="J468" s="0" t="str">
        <f aca="false">IF(I468="","",IF(OR(I468&lt;1,I468&gt;NW),"",INDEX(WMON,I468)))</f>
        <v/>
      </c>
    </row>
    <row r="469" customFormat="false" ht="15" hidden="false" customHeight="false" outlineLevel="0" collapsed="false">
      <c r="A469" s="43"/>
      <c r="B469" s="23" t="str">
        <f aca="false">IF(H469="","",CHOOSE(WEEKDAY(H469,1),"الأحد","الاثنين","الثلاثاء","الأربعاء","الخميس","الجمعة","السبت")&amp;IF(OR(ISNUMBER(A469),LEN(TRIM(A469))&gt;=10),"","  "&amp;TEXT(DAY(H469),"00")&amp;"/"&amp;TEXT(MONTH(H469),"00")&amp;"/"&amp;YEAR(H469)))</f>
        <v/>
      </c>
      <c r="C469" s="24"/>
      <c r="D469" s="27"/>
      <c r="E469" s="44"/>
      <c r="F469" s="27"/>
      <c r="G469" s="0" t="str">
        <f aca="false">IF(AND(C469&lt;&gt;"",COUNTIF(C$6:C469,C469)=1),MAX(G$5:G468)+1,"")</f>
        <v/>
      </c>
      <c r="H469" s="0" t="str">
        <f aca="true">IF(A469="","",IF(ISNUMBER(A469),IF(A469&gt;=36526,A469,""),IFERROR(DATE(VALUE(RIGHT(RIGHT(TRIM(A469),10),4)),VALUE(MID(RIGHT(TRIM(A469),10),4,2)),VALUE(LEFT(RIGHT(TRIM(A469),10),2))),IFERROR(TODAY()-MOD(WEEKDAY(TODAY(),1)-MATCH(TRIM(A469),{"الأحد","الاثنين","الثلاثاء","الأربعاء","الخميس","الجمعة","السبت"},0),7),IFERROR(DATEVALUE(A469),"")))))</f>
        <v/>
      </c>
      <c r="I469" s="0" t="str">
        <f aca="false">IF(H469="","",INT((H469-WEEK_ONE)/7)+1)</f>
        <v/>
      </c>
      <c r="J469" s="0" t="str">
        <f aca="false">IF(I469="","",IF(OR(I469&lt;1,I469&gt;NW),"",INDEX(WMON,I469)))</f>
        <v/>
      </c>
    </row>
    <row r="470" customFormat="false" ht="15" hidden="false" customHeight="false" outlineLevel="0" collapsed="false">
      <c r="A470" s="43"/>
      <c r="B470" s="23" t="str">
        <f aca="false">IF(H470="","",CHOOSE(WEEKDAY(H470,1),"الأحد","الاثنين","الثلاثاء","الأربعاء","الخميس","الجمعة","السبت")&amp;IF(OR(ISNUMBER(A470),LEN(TRIM(A470))&gt;=10),"","  "&amp;TEXT(DAY(H470),"00")&amp;"/"&amp;TEXT(MONTH(H470),"00")&amp;"/"&amp;YEAR(H470)))</f>
        <v/>
      </c>
      <c r="C470" s="24"/>
      <c r="D470" s="27"/>
      <c r="E470" s="44"/>
      <c r="F470" s="27"/>
      <c r="G470" s="0" t="str">
        <f aca="false">IF(AND(C470&lt;&gt;"",COUNTIF(C$6:C470,C470)=1),MAX(G$5:G469)+1,"")</f>
        <v/>
      </c>
      <c r="H470" s="0" t="str">
        <f aca="true">IF(A470="","",IF(ISNUMBER(A470),IF(A470&gt;=36526,A470,""),IFERROR(DATE(VALUE(RIGHT(RIGHT(TRIM(A470),10),4)),VALUE(MID(RIGHT(TRIM(A470),10),4,2)),VALUE(LEFT(RIGHT(TRIM(A470),10),2))),IFERROR(TODAY()-MOD(WEEKDAY(TODAY(),1)-MATCH(TRIM(A470),{"الأحد","الاثنين","الثلاثاء","الأربعاء","الخميس","الجمعة","السبت"},0),7),IFERROR(DATEVALUE(A470),"")))))</f>
        <v/>
      </c>
      <c r="I470" s="0" t="str">
        <f aca="false">IF(H470="","",INT((H470-WEEK_ONE)/7)+1)</f>
        <v/>
      </c>
      <c r="J470" s="0" t="str">
        <f aca="false">IF(I470="","",IF(OR(I470&lt;1,I470&gt;NW),"",INDEX(WMON,I470)))</f>
        <v/>
      </c>
    </row>
    <row r="471" customFormat="false" ht="15" hidden="false" customHeight="false" outlineLevel="0" collapsed="false">
      <c r="A471" s="43"/>
      <c r="B471" s="23" t="str">
        <f aca="false">IF(H471="","",CHOOSE(WEEKDAY(H471,1),"الأحد","الاثنين","الثلاثاء","الأربعاء","الخميس","الجمعة","السبت")&amp;IF(OR(ISNUMBER(A471),LEN(TRIM(A471))&gt;=10),"","  "&amp;TEXT(DAY(H471),"00")&amp;"/"&amp;TEXT(MONTH(H471),"00")&amp;"/"&amp;YEAR(H471)))</f>
        <v/>
      </c>
      <c r="C471" s="24"/>
      <c r="D471" s="27"/>
      <c r="E471" s="44"/>
      <c r="F471" s="27"/>
      <c r="G471" s="0" t="str">
        <f aca="false">IF(AND(C471&lt;&gt;"",COUNTIF(C$6:C471,C471)=1),MAX(G$5:G470)+1,"")</f>
        <v/>
      </c>
      <c r="H471" s="0" t="str">
        <f aca="true">IF(A471="","",IF(ISNUMBER(A471),IF(A471&gt;=36526,A471,""),IFERROR(DATE(VALUE(RIGHT(RIGHT(TRIM(A471),10),4)),VALUE(MID(RIGHT(TRIM(A471),10),4,2)),VALUE(LEFT(RIGHT(TRIM(A471),10),2))),IFERROR(TODAY()-MOD(WEEKDAY(TODAY(),1)-MATCH(TRIM(A471),{"الأحد","الاثنين","الثلاثاء","الأربعاء","الخميس","الجمعة","السبت"},0),7),IFERROR(DATEVALUE(A471),"")))))</f>
        <v/>
      </c>
      <c r="I471" s="0" t="str">
        <f aca="false">IF(H471="","",INT((H471-WEEK_ONE)/7)+1)</f>
        <v/>
      </c>
      <c r="J471" s="0" t="str">
        <f aca="false">IF(I471="","",IF(OR(I471&lt;1,I471&gt;NW),"",INDEX(WMON,I471)))</f>
        <v/>
      </c>
    </row>
    <row r="472" customFormat="false" ht="15" hidden="false" customHeight="false" outlineLevel="0" collapsed="false">
      <c r="A472" s="43"/>
      <c r="B472" s="23" t="str">
        <f aca="false">IF(H472="","",CHOOSE(WEEKDAY(H472,1),"الأحد","الاثنين","الثلاثاء","الأربعاء","الخميس","الجمعة","السبت")&amp;IF(OR(ISNUMBER(A472),LEN(TRIM(A472))&gt;=10),"","  "&amp;TEXT(DAY(H472),"00")&amp;"/"&amp;TEXT(MONTH(H472),"00")&amp;"/"&amp;YEAR(H472)))</f>
        <v/>
      </c>
      <c r="C472" s="24"/>
      <c r="D472" s="27"/>
      <c r="E472" s="44"/>
      <c r="F472" s="27"/>
      <c r="G472" s="0" t="str">
        <f aca="false">IF(AND(C472&lt;&gt;"",COUNTIF(C$6:C472,C472)=1),MAX(G$5:G471)+1,"")</f>
        <v/>
      </c>
      <c r="H472" s="0" t="str">
        <f aca="true">IF(A472="","",IF(ISNUMBER(A472),IF(A472&gt;=36526,A472,""),IFERROR(DATE(VALUE(RIGHT(RIGHT(TRIM(A472),10),4)),VALUE(MID(RIGHT(TRIM(A472),10),4,2)),VALUE(LEFT(RIGHT(TRIM(A472),10),2))),IFERROR(TODAY()-MOD(WEEKDAY(TODAY(),1)-MATCH(TRIM(A472),{"الأحد","الاثنين","الثلاثاء","الأربعاء","الخميس","الجمعة","السبت"},0),7),IFERROR(DATEVALUE(A472),"")))))</f>
        <v/>
      </c>
      <c r="I472" s="0" t="str">
        <f aca="false">IF(H472="","",INT((H472-WEEK_ONE)/7)+1)</f>
        <v/>
      </c>
      <c r="J472" s="0" t="str">
        <f aca="false">IF(I472="","",IF(OR(I472&lt;1,I472&gt;NW),"",INDEX(WMON,I472)))</f>
        <v/>
      </c>
    </row>
    <row r="473" customFormat="false" ht="15" hidden="false" customHeight="false" outlineLevel="0" collapsed="false">
      <c r="A473" s="43"/>
      <c r="B473" s="23" t="str">
        <f aca="false">IF(H473="","",CHOOSE(WEEKDAY(H473,1),"الأحد","الاثنين","الثلاثاء","الأربعاء","الخميس","الجمعة","السبت")&amp;IF(OR(ISNUMBER(A473),LEN(TRIM(A473))&gt;=10),"","  "&amp;TEXT(DAY(H473),"00")&amp;"/"&amp;TEXT(MONTH(H473),"00")&amp;"/"&amp;YEAR(H473)))</f>
        <v/>
      </c>
      <c r="C473" s="24"/>
      <c r="D473" s="27"/>
      <c r="E473" s="44"/>
      <c r="F473" s="27"/>
      <c r="G473" s="0" t="str">
        <f aca="false">IF(AND(C473&lt;&gt;"",COUNTIF(C$6:C473,C473)=1),MAX(G$5:G472)+1,"")</f>
        <v/>
      </c>
      <c r="H473" s="0" t="str">
        <f aca="true">IF(A473="","",IF(ISNUMBER(A473),IF(A473&gt;=36526,A473,""),IFERROR(DATE(VALUE(RIGHT(RIGHT(TRIM(A473),10),4)),VALUE(MID(RIGHT(TRIM(A473),10),4,2)),VALUE(LEFT(RIGHT(TRIM(A473),10),2))),IFERROR(TODAY()-MOD(WEEKDAY(TODAY(),1)-MATCH(TRIM(A473),{"الأحد","الاثنين","الثلاثاء","الأربعاء","الخميس","الجمعة","السبت"},0),7),IFERROR(DATEVALUE(A473),"")))))</f>
        <v/>
      </c>
      <c r="I473" s="0" t="str">
        <f aca="false">IF(H473="","",INT((H473-WEEK_ONE)/7)+1)</f>
        <v/>
      </c>
      <c r="J473" s="0" t="str">
        <f aca="false">IF(I473="","",IF(OR(I473&lt;1,I473&gt;NW),"",INDEX(WMON,I473)))</f>
        <v/>
      </c>
    </row>
    <row r="474" customFormat="false" ht="15" hidden="false" customHeight="false" outlineLevel="0" collapsed="false">
      <c r="A474" s="43"/>
      <c r="B474" s="23" t="str">
        <f aca="false">IF(H474="","",CHOOSE(WEEKDAY(H474,1),"الأحد","الاثنين","الثلاثاء","الأربعاء","الخميس","الجمعة","السبت")&amp;IF(OR(ISNUMBER(A474),LEN(TRIM(A474))&gt;=10),"","  "&amp;TEXT(DAY(H474),"00")&amp;"/"&amp;TEXT(MONTH(H474),"00")&amp;"/"&amp;YEAR(H474)))</f>
        <v/>
      </c>
      <c r="C474" s="24"/>
      <c r="D474" s="27"/>
      <c r="E474" s="44"/>
      <c r="F474" s="27"/>
      <c r="G474" s="0" t="str">
        <f aca="false">IF(AND(C474&lt;&gt;"",COUNTIF(C$6:C474,C474)=1),MAX(G$5:G473)+1,"")</f>
        <v/>
      </c>
      <c r="H474" s="0" t="str">
        <f aca="true">IF(A474="","",IF(ISNUMBER(A474),IF(A474&gt;=36526,A474,""),IFERROR(DATE(VALUE(RIGHT(RIGHT(TRIM(A474),10),4)),VALUE(MID(RIGHT(TRIM(A474),10),4,2)),VALUE(LEFT(RIGHT(TRIM(A474),10),2))),IFERROR(TODAY()-MOD(WEEKDAY(TODAY(),1)-MATCH(TRIM(A474),{"الأحد","الاثنين","الثلاثاء","الأربعاء","الخميس","الجمعة","السبت"},0),7),IFERROR(DATEVALUE(A474),"")))))</f>
        <v/>
      </c>
      <c r="I474" s="0" t="str">
        <f aca="false">IF(H474="","",INT((H474-WEEK_ONE)/7)+1)</f>
        <v/>
      </c>
      <c r="J474" s="0" t="str">
        <f aca="false">IF(I474="","",IF(OR(I474&lt;1,I474&gt;NW),"",INDEX(WMON,I474)))</f>
        <v/>
      </c>
    </row>
    <row r="475" customFormat="false" ht="15" hidden="false" customHeight="false" outlineLevel="0" collapsed="false">
      <c r="A475" s="43"/>
      <c r="B475" s="23" t="str">
        <f aca="false">IF(H475="","",CHOOSE(WEEKDAY(H475,1),"الأحد","الاثنين","الثلاثاء","الأربعاء","الخميس","الجمعة","السبت")&amp;IF(OR(ISNUMBER(A475),LEN(TRIM(A475))&gt;=10),"","  "&amp;TEXT(DAY(H475),"00")&amp;"/"&amp;TEXT(MONTH(H475),"00")&amp;"/"&amp;YEAR(H475)))</f>
        <v/>
      </c>
      <c r="C475" s="24"/>
      <c r="D475" s="27"/>
      <c r="E475" s="44"/>
      <c r="F475" s="27"/>
      <c r="G475" s="0" t="str">
        <f aca="false">IF(AND(C475&lt;&gt;"",COUNTIF(C$6:C475,C475)=1),MAX(G$5:G474)+1,"")</f>
        <v/>
      </c>
      <c r="H475" s="0" t="str">
        <f aca="true">IF(A475="","",IF(ISNUMBER(A475),IF(A475&gt;=36526,A475,""),IFERROR(DATE(VALUE(RIGHT(RIGHT(TRIM(A475),10),4)),VALUE(MID(RIGHT(TRIM(A475),10),4,2)),VALUE(LEFT(RIGHT(TRIM(A475),10),2))),IFERROR(TODAY()-MOD(WEEKDAY(TODAY(),1)-MATCH(TRIM(A475),{"الأحد","الاثنين","الثلاثاء","الأربعاء","الخميس","الجمعة","السبت"},0),7),IFERROR(DATEVALUE(A475),"")))))</f>
        <v/>
      </c>
      <c r="I475" s="0" t="str">
        <f aca="false">IF(H475="","",INT((H475-WEEK_ONE)/7)+1)</f>
        <v/>
      </c>
      <c r="J475" s="0" t="str">
        <f aca="false">IF(I475="","",IF(OR(I475&lt;1,I475&gt;NW),"",INDEX(WMON,I475)))</f>
        <v/>
      </c>
    </row>
    <row r="476" customFormat="false" ht="15" hidden="false" customHeight="false" outlineLevel="0" collapsed="false">
      <c r="A476" s="43"/>
      <c r="B476" s="23" t="str">
        <f aca="false">IF(H476="","",CHOOSE(WEEKDAY(H476,1),"الأحد","الاثنين","الثلاثاء","الأربعاء","الخميس","الجمعة","السبت")&amp;IF(OR(ISNUMBER(A476),LEN(TRIM(A476))&gt;=10),"","  "&amp;TEXT(DAY(H476),"00")&amp;"/"&amp;TEXT(MONTH(H476),"00")&amp;"/"&amp;YEAR(H476)))</f>
        <v/>
      </c>
      <c r="C476" s="24"/>
      <c r="D476" s="27"/>
      <c r="E476" s="44"/>
      <c r="F476" s="27"/>
      <c r="G476" s="0" t="str">
        <f aca="false">IF(AND(C476&lt;&gt;"",COUNTIF(C$6:C476,C476)=1),MAX(G$5:G475)+1,"")</f>
        <v/>
      </c>
      <c r="H476" s="0" t="str">
        <f aca="true">IF(A476="","",IF(ISNUMBER(A476),IF(A476&gt;=36526,A476,""),IFERROR(DATE(VALUE(RIGHT(RIGHT(TRIM(A476),10),4)),VALUE(MID(RIGHT(TRIM(A476),10),4,2)),VALUE(LEFT(RIGHT(TRIM(A476),10),2))),IFERROR(TODAY()-MOD(WEEKDAY(TODAY(),1)-MATCH(TRIM(A476),{"الأحد","الاثنين","الثلاثاء","الأربعاء","الخميس","الجمعة","السبت"},0),7),IFERROR(DATEVALUE(A476),"")))))</f>
        <v/>
      </c>
      <c r="I476" s="0" t="str">
        <f aca="false">IF(H476="","",INT((H476-WEEK_ONE)/7)+1)</f>
        <v/>
      </c>
      <c r="J476" s="0" t="str">
        <f aca="false">IF(I476="","",IF(OR(I476&lt;1,I476&gt;NW),"",INDEX(WMON,I476)))</f>
        <v/>
      </c>
    </row>
    <row r="477" customFormat="false" ht="15" hidden="false" customHeight="false" outlineLevel="0" collapsed="false">
      <c r="A477" s="43"/>
      <c r="B477" s="23" t="str">
        <f aca="false">IF(H477="","",CHOOSE(WEEKDAY(H477,1),"الأحد","الاثنين","الثلاثاء","الأربعاء","الخميس","الجمعة","السبت")&amp;IF(OR(ISNUMBER(A477),LEN(TRIM(A477))&gt;=10),"","  "&amp;TEXT(DAY(H477),"00")&amp;"/"&amp;TEXT(MONTH(H477),"00")&amp;"/"&amp;YEAR(H477)))</f>
        <v/>
      </c>
      <c r="C477" s="24"/>
      <c r="D477" s="27"/>
      <c r="E477" s="44"/>
      <c r="F477" s="27"/>
      <c r="G477" s="0" t="str">
        <f aca="false">IF(AND(C477&lt;&gt;"",COUNTIF(C$6:C477,C477)=1),MAX(G$5:G476)+1,"")</f>
        <v/>
      </c>
      <c r="H477" s="0" t="str">
        <f aca="true">IF(A477="","",IF(ISNUMBER(A477),IF(A477&gt;=36526,A477,""),IFERROR(DATE(VALUE(RIGHT(RIGHT(TRIM(A477),10),4)),VALUE(MID(RIGHT(TRIM(A477),10),4,2)),VALUE(LEFT(RIGHT(TRIM(A477),10),2))),IFERROR(TODAY()-MOD(WEEKDAY(TODAY(),1)-MATCH(TRIM(A477),{"الأحد","الاثنين","الثلاثاء","الأربعاء","الخميس","الجمعة","السبت"},0),7),IFERROR(DATEVALUE(A477),"")))))</f>
        <v/>
      </c>
      <c r="I477" s="0" t="str">
        <f aca="false">IF(H477="","",INT((H477-WEEK_ONE)/7)+1)</f>
        <v/>
      </c>
      <c r="J477" s="0" t="str">
        <f aca="false">IF(I477="","",IF(OR(I477&lt;1,I477&gt;NW),"",INDEX(WMON,I477)))</f>
        <v/>
      </c>
    </row>
    <row r="478" customFormat="false" ht="15" hidden="false" customHeight="false" outlineLevel="0" collapsed="false">
      <c r="A478" s="43"/>
      <c r="B478" s="23" t="str">
        <f aca="false">IF(H478="","",CHOOSE(WEEKDAY(H478,1),"الأحد","الاثنين","الثلاثاء","الأربعاء","الخميس","الجمعة","السبت")&amp;IF(OR(ISNUMBER(A478),LEN(TRIM(A478))&gt;=10),"","  "&amp;TEXT(DAY(H478),"00")&amp;"/"&amp;TEXT(MONTH(H478),"00")&amp;"/"&amp;YEAR(H478)))</f>
        <v/>
      </c>
      <c r="C478" s="24"/>
      <c r="D478" s="27"/>
      <c r="E478" s="44"/>
      <c r="F478" s="27"/>
      <c r="G478" s="0" t="str">
        <f aca="false">IF(AND(C478&lt;&gt;"",COUNTIF(C$6:C478,C478)=1),MAX(G$5:G477)+1,"")</f>
        <v/>
      </c>
      <c r="H478" s="0" t="str">
        <f aca="true">IF(A478="","",IF(ISNUMBER(A478),IF(A478&gt;=36526,A478,""),IFERROR(DATE(VALUE(RIGHT(RIGHT(TRIM(A478),10),4)),VALUE(MID(RIGHT(TRIM(A478),10),4,2)),VALUE(LEFT(RIGHT(TRIM(A478),10),2))),IFERROR(TODAY()-MOD(WEEKDAY(TODAY(),1)-MATCH(TRIM(A478),{"الأحد","الاثنين","الثلاثاء","الأربعاء","الخميس","الجمعة","السبت"},0),7),IFERROR(DATEVALUE(A478),"")))))</f>
        <v/>
      </c>
      <c r="I478" s="0" t="str">
        <f aca="false">IF(H478="","",INT((H478-WEEK_ONE)/7)+1)</f>
        <v/>
      </c>
      <c r="J478" s="0" t="str">
        <f aca="false">IF(I478="","",IF(OR(I478&lt;1,I478&gt;NW),"",INDEX(WMON,I478)))</f>
        <v/>
      </c>
    </row>
    <row r="479" customFormat="false" ht="15" hidden="false" customHeight="false" outlineLevel="0" collapsed="false">
      <c r="A479" s="43"/>
      <c r="B479" s="23" t="str">
        <f aca="false">IF(H479="","",CHOOSE(WEEKDAY(H479,1),"الأحد","الاثنين","الثلاثاء","الأربعاء","الخميس","الجمعة","السبت")&amp;IF(OR(ISNUMBER(A479),LEN(TRIM(A479))&gt;=10),"","  "&amp;TEXT(DAY(H479),"00")&amp;"/"&amp;TEXT(MONTH(H479),"00")&amp;"/"&amp;YEAR(H479)))</f>
        <v/>
      </c>
      <c r="C479" s="24"/>
      <c r="D479" s="27"/>
      <c r="E479" s="44"/>
      <c r="F479" s="27"/>
      <c r="G479" s="0" t="str">
        <f aca="false">IF(AND(C479&lt;&gt;"",COUNTIF(C$6:C479,C479)=1),MAX(G$5:G478)+1,"")</f>
        <v/>
      </c>
      <c r="H479" s="0" t="str">
        <f aca="true">IF(A479="","",IF(ISNUMBER(A479),IF(A479&gt;=36526,A479,""),IFERROR(DATE(VALUE(RIGHT(RIGHT(TRIM(A479),10),4)),VALUE(MID(RIGHT(TRIM(A479),10),4,2)),VALUE(LEFT(RIGHT(TRIM(A479),10),2))),IFERROR(TODAY()-MOD(WEEKDAY(TODAY(),1)-MATCH(TRIM(A479),{"الأحد","الاثنين","الثلاثاء","الأربعاء","الخميس","الجمعة","السبت"},0),7),IFERROR(DATEVALUE(A479),"")))))</f>
        <v/>
      </c>
      <c r="I479" s="0" t="str">
        <f aca="false">IF(H479="","",INT((H479-WEEK_ONE)/7)+1)</f>
        <v/>
      </c>
      <c r="J479" s="0" t="str">
        <f aca="false">IF(I479="","",IF(OR(I479&lt;1,I479&gt;NW),"",INDEX(WMON,I479)))</f>
        <v/>
      </c>
    </row>
    <row r="480" customFormat="false" ht="15" hidden="false" customHeight="false" outlineLevel="0" collapsed="false">
      <c r="A480" s="43"/>
      <c r="B480" s="23" t="str">
        <f aca="false">IF(H480="","",CHOOSE(WEEKDAY(H480,1),"الأحد","الاثنين","الثلاثاء","الأربعاء","الخميس","الجمعة","السبت")&amp;IF(OR(ISNUMBER(A480),LEN(TRIM(A480))&gt;=10),"","  "&amp;TEXT(DAY(H480),"00")&amp;"/"&amp;TEXT(MONTH(H480),"00")&amp;"/"&amp;YEAR(H480)))</f>
        <v/>
      </c>
      <c r="C480" s="24"/>
      <c r="D480" s="27"/>
      <c r="E480" s="44"/>
      <c r="F480" s="27"/>
      <c r="G480" s="0" t="str">
        <f aca="false">IF(AND(C480&lt;&gt;"",COUNTIF(C$6:C480,C480)=1),MAX(G$5:G479)+1,"")</f>
        <v/>
      </c>
      <c r="H480" s="0" t="str">
        <f aca="true">IF(A480="","",IF(ISNUMBER(A480),IF(A480&gt;=36526,A480,""),IFERROR(DATE(VALUE(RIGHT(RIGHT(TRIM(A480),10),4)),VALUE(MID(RIGHT(TRIM(A480),10),4,2)),VALUE(LEFT(RIGHT(TRIM(A480),10),2))),IFERROR(TODAY()-MOD(WEEKDAY(TODAY(),1)-MATCH(TRIM(A480),{"الأحد","الاثنين","الثلاثاء","الأربعاء","الخميس","الجمعة","السبت"},0),7),IFERROR(DATEVALUE(A480),"")))))</f>
        <v/>
      </c>
      <c r="I480" s="0" t="str">
        <f aca="false">IF(H480="","",INT((H480-WEEK_ONE)/7)+1)</f>
        <v/>
      </c>
      <c r="J480" s="0" t="str">
        <f aca="false">IF(I480="","",IF(OR(I480&lt;1,I480&gt;NW),"",INDEX(WMON,I480)))</f>
        <v/>
      </c>
    </row>
    <row r="481" customFormat="false" ht="15" hidden="false" customHeight="false" outlineLevel="0" collapsed="false">
      <c r="A481" s="43"/>
      <c r="B481" s="23" t="str">
        <f aca="false">IF(H481="","",CHOOSE(WEEKDAY(H481,1),"الأحد","الاثنين","الثلاثاء","الأربعاء","الخميس","الجمعة","السبت")&amp;IF(OR(ISNUMBER(A481),LEN(TRIM(A481))&gt;=10),"","  "&amp;TEXT(DAY(H481),"00")&amp;"/"&amp;TEXT(MONTH(H481),"00")&amp;"/"&amp;YEAR(H481)))</f>
        <v/>
      </c>
      <c r="C481" s="24"/>
      <c r="D481" s="27"/>
      <c r="E481" s="44"/>
      <c r="F481" s="27"/>
      <c r="G481" s="0" t="str">
        <f aca="false">IF(AND(C481&lt;&gt;"",COUNTIF(C$6:C481,C481)=1),MAX(G$5:G480)+1,"")</f>
        <v/>
      </c>
      <c r="H481" s="0" t="str">
        <f aca="true">IF(A481="","",IF(ISNUMBER(A481),IF(A481&gt;=36526,A481,""),IFERROR(DATE(VALUE(RIGHT(RIGHT(TRIM(A481),10),4)),VALUE(MID(RIGHT(TRIM(A481),10),4,2)),VALUE(LEFT(RIGHT(TRIM(A481),10),2))),IFERROR(TODAY()-MOD(WEEKDAY(TODAY(),1)-MATCH(TRIM(A481),{"الأحد","الاثنين","الثلاثاء","الأربعاء","الخميس","الجمعة","السبت"},0),7),IFERROR(DATEVALUE(A481),"")))))</f>
        <v/>
      </c>
      <c r="I481" s="0" t="str">
        <f aca="false">IF(H481="","",INT((H481-WEEK_ONE)/7)+1)</f>
        <v/>
      </c>
      <c r="J481" s="0" t="str">
        <f aca="false">IF(I481="","",IF(OR(I481&lt;1,I481&gt;NW),"",INDEX(WMON,I481)))</f>
        <v/>
      </c>
    </row>
    <row r="482" customFormat="false" ht="15" hidden="false" customHeight="false" outlineLevel="0" collapsed="false">
      <c r="A482" s="43"/>
      <c r="B482" s="23" t="str">
        <f aca="false">IF(H482="","",CHOOSE(WEEKDAY(H482,1),"الأحد","الاثنين","الثلاثاء","الأربعاء","الخميس","الجمعة","السبت")&amp;IF(OR(ISNUMBER(A482),LEN(TRIM(A482))&gt;=10),"","  "&amp;TEXT(DAY(H482),"00")&amp;"/"&amp;TEXT(MONTH(H482),"00")&amp;"/"&amp;YEAR(H482)))</f>
        <v/>
      </c>
      <c r="C482" s="24"/>
      <c r="D482" s="27"/>
      <c r="E482" s="44"/>
      <c r="F482" s="27"/>
      <c r="G482" s="0" t="str">
        <f aca="false">IF(AND(C482&lt;&gt;"",COUNTIF(C$6:C482,C482)=1),MAX(G$5:G481)+1,"")</f>
        <v/>
      </c>
      <c r="H482" s="0" t="str">
        <f aca="true">IF(A482="","",IF(ISNUMBER(A482),IF(A482&gt;=36526,A482,""),IFERROR(DATE(VALUE(RIGHT(RIGHT(TRIM(A482),10),4)),VALUE(MID(RIGHT(TRIM(A482),10),4,2)),VALUE(LEFT(RIGHT(TRIM(A482),10),2))),IFERROR(TODAY()-MOD(WEEKDAY(TODAY(),1)-MATCH(TRIM(A482),{"الأحد","الاثنين","الثلاثاء","الأربعاء","الخميس","الجمعة","السبت"},0),7),IFERROR(DATEVALUE(A482),"")))))</f>
        <v/>
      </c>
      <c r="I482" s="0" t="str">
        <f aca="false">IF(H482="","",INT((H482-WEEK_ONE)/7)+1)</f>
        <v/>
      </c>
      <c r="J482" s="0" t="str">
        <f aca="false">IF(I482="","",IF(OR(I482&lt;1,I482&gt;NW),"",INDEX(WMON,I482)))</f>
        <v/>
      </c>
    </row>
    <row r="483" customFormat="false" ht="15" hidden="false" customHeight="false" outlineLevel="0" collapsed="false">
      <c r="A483" s="43"/>
      <c r="B483" s="23" t="str">
        <f aca="false">IF(H483="","",CHOOSE(WEEKDAY(H483,1),"الأحد","الاثنين","الثلاثاء","الأربعاء","الخميس","الجمعة","السبت")&amp;IF(OR(ISNUMBER(A483),LEN(TRIM(A483))&gt;=10),"","  "&amp;TEXT(DAY(H483),"00")&amp;"/"&amp;TEXT(MONTH(H483),"00")&amp;"/"&amp;YEAR(H483)))</f>
        <v/>
      </c>
      <c r="C483" s="24"/>
      <c r="D483" s="27"/>
      <c r="E483" s="44"/>
      <c r="F483" s="27"/>
      <c r="G483" s="0" t="str">
        <f aca="false">IF(AND(C483&lt;&gt;"",COUNTIF(C$6:C483,C483)=1),MAX(G$5:G482)+1,"")</f>
        <v/>
      </c>
      <c r="H483" s="0" t="str">
        <f aca="true">IF(A483="","",IF(ISNUMBER(A483),IF(A483&gt;=36526,A483,""),IFERROR(DATE(VALUE(RIGHT(RIGHT(TRIM(A483),10),4)),VALUE(MID(RIGHT(TRIM(A483),10),4,2)),VALUE(LEFT(RIGHT(TRIM(A483),10),2))),IFERROR(TODAY()-MOD(WEEKDAY(TODAY(),1)-MATCH(TRIM(A483),{"الأحد","الاثنين","الثلاثاء","الأربعاء","الخميس","الجمعة","السبت"},0),7),IFERROR(DATEVALUE(A483),"")))))</f>
        <v/>
      </c>
      <c r="I483" s="0" t="str">
        <f aca="false">IF(H483="","",INT((H483-WEEK_ONE)/7)+1)</f>
        <v/>
      </c>
      <c r="J483" s="0" t="str">
        <f aca="false">IF(I483="","",IF(OR(I483&lt;1,I483&gt;NW),"",INDEX(WMON,I483)))</f>
        <v/>
      </c>
    </row>
    <row r="484" customFormat="false" ht="15" hidden="false" customHeight="false" outlineLevel="0" collapsed="false">
      <c r="A484" s="43"/>
      <c r="B484" s="23" t="str">
        <f aca="false">IF(H484="","",CHOOSE(WEEKDAY(H484,1),"الأحد","الاثنين","الثلاثاء","الأربعاء","الخميس","الجمعة","السبت")&amp;IF(OR(ISNUMBER(A484),LEN(TRIM(A484))&gt;=10),"","  "&amp;TEXT(DAY(H484),"00")&amp;"/"&amp;TEXT(MONTH(H484),"00")&amp;"/"&amp;YEAR(H484)))</f>
        <v/>
      </c>
      <c r="C484" s="24"/>
      <c r="D484" s="27"/>
      <c r="E484" s="44"/>
      <c r="F484" s="27"/>
      <c r="G484" s="0" t="str">
        <f aca="false">IF(AND(C484&lt;&gt;"",COUNTIF(C$6:C484,C484)=1),MAX(G$5:G483)+1,"")</f>
        <v/>
      </c>
      <c r="H484" s="0" t="str">
        <f aca="true">IF(A484="","",IF(ISNUMBER(A484),IF(A484&gt;=36526,A484,""),IFERROR(DATE(VALUE(RIGHT(RIGHT(TRIM(A484),10),4)),VALUE(MID(RIGHT(TRIM(A484),10),4,2)),VALUE(LEFT(RIGHT(TRIM(A484),10),2))),IFERROR(TODAY()-MOD(WEEKDAY(TODAY(),1)-MATCH(TRIM(A484),{"الأحد","الاثنين","الثلاثاء","الأربعاء","الخميس","الجمعة","السبت"},0),7),IFERROR(DATEVALUE(A484),"")))))</f>
        <v/>
      </c>
      <c r="I484" s="0" t="str">
        <f aca="false">IF(H484="","",INT((H484-WEEK_ONE)/7)+1)</f>
        <v/>
      </c>
      <c r="J484" s="0" t="str">
        <f aca="false">IF(I484="","",IF(OR(I484&lt;1,I484&gt;NW),"",INDEX(WMON,I484)))</f>
        <v/>
      </c>
    </row>
    <row r="485" customFormat="false" ht="15" hidden="false" customHeight="false" outlineLevel="0" collapsed="false">
      <c r="A485" s="43"/>
      <c r="B485" s="23" t="str">
        <f aca="false">IF(H485="","",CHOOSE(WEEKDAY(H485,1),"الأحد","الاثنين","الثلاثاء","الأربعاء","الخميس","الجمعة","السبت")&amp;IF(OR(ISNUMBER(A485),LEN(TRIM(A485))&gt;=10),"","  "&amp;TEXT(DAY(H485),"00")&amp;"/"&amp;TEXT(MONTH(H485),"00")&amp;"/"&amp;YEAR(H485)))</f>
        <v/>
      </c>
      <c r="C485" s="24"/>
      <c r="D485" s="27"/>
      <c r="E485" s="44"/>
      <c r="F485" s="27"/>
      <c r="G485" s="0" t="str">
        <f aca="false">IF(AND(C485&lt;&gt;"",COUNTIF(C$6:C485,C485)=1),MAX(G$5:G484)+1,"")</f>
        <v/>
      </c>
      <c r="H485" s="0" t="str">
        <f aca="true">IF(A485="","",IF(ISNUMBER(A485),IF(A485&gt;=36526,A485,""),IFERROR(DATE(VALUE(RIGHT(RIGHT(TRIM(A485),10),4)),VALUE(MID(RIGHT(TRIM(A485),10),4,2)),VALUE(LEFT(RIGHT(TRIM(A485),10),2))),IFERROR(TODAY()-MOD(WEEKDAY(TODAY(),1)-MATCH(TRIM(A485),{"الأحد","الاثنين","الثلاثاء","الأربعاء","الخميس","الجمعة","السبت"},0),7),IFERROR(DATEVALUE(A485),"")))))</f>
        <v/>
      </c>
      <c r="I485" s="0" t="str">
        <f aca="false">IF(H485="","",INT((H485-WEEK_ONE)/7)+1)</f>
        <v/>
      </c>
      <c r="J485" s="0" t="str">
        <f aca="false">IF(I485="","",IF(OR(I485&lt;1,I485&gt;NW),"",INDEX(WMON,I485)))</f>
        <v/>
      </c>
    </row>
    <row r="486" customFormat="false" ht="15" hidden="false" customHeight="false" outlineLevel="0" collapsed="false">
      <c r="A486" s="43"/>
      <c r="B486" s="23" t="str">
        <f aca="false">IF(H486="","",CHOOSE(WEEKDAY(H486,1),"الأحد","الاثنين","الثلاثاء","الأربعاء","الخميس","الجمعة","السبت")&amp;IF(OR(ISNUMBER(A486),LEN(TRIM(A486))&gt;=10),"","  "&amp;TEXT(DAY(H486),"00")&amp;"/"&amp;TEXT(MONTH(H486),"00")&amp;"/"&amp;YEAR(H486)))</f>
        <v/>
      </c>
      <c r="C486" s="24"/>
      <c r="D486" s="27"/>
      <c r="E486" s="44"/>
      <c r="F486" s="27"/>
      <c r="G486" s="0" t="str">
        <f aca="false">IF(AND(C486&lt;&gt;"",COUNTIF(C$6:C486,C486)=1),MAX(G$5:G485)+1,"")</f>
        <v/>
      </c>
      <c r="H486" s="0" t="str">
        <f aca="true">IF(A486="","",IF(ISNUMBER(A486),IF(A486&gt;=36526,A486,""),IFERROR(DATE(VALUE(RIGHT(RIGHT(TRIM(A486),10),4)),VALUE(MID(RIGHT(TRIM(A486),10),4,2)),VALUE(LEFT(RIGHT(TRIM(A486),10),2))),IFERROR(TODAY()-MOD(WEEKDAY(TODAY(),1)-MATCH(TRIM(A486),{"الأحد","الاثنين","الثلاثاء","الأربعاء","الخميس","الجمعة","السبت"},0),7),IFERROR(DATEVALUE(A486),"")))))</f>
        <v/>
      </c>
      <c r="I486" s="0" t="str">
        <f aca="false">IF(H486="","",INT((H486-WEEK_ONE)/7)+1)</f>
        <v/>
      </c>
      <c r="J486" s="0" t="str">
        <f aca="false">IF(I486="","",IF(OR(I486&lt;1,I486&gt;NW),"",INDEX(WMON,I486)))</f>
        <v/>
      </c>
    </row>
    <row r="487" customFormat="false" ht="15" hidden="false" customHeight="false" outlineLevel="0" collapsed="false">
      <c r="A487" s="43"/>
      <c r="B487" s="23" t="str">
        <f aca="false">IF(H487="","",CHOOSE(WEEKDAY(H487,1),"الأحد","الاثنين","الثلاثاء","الأربعاء","الخميس","الجمعة","السبت")&amp;IF(OR(ISNUMBER(A487),LEN(TRIM(A487))&gt;=10),"","  "&amp;TEXT(DAY(H487),"00")&amp;"/"&amp;TEXT(MONTH(H487),"00")&amp;"/"&amp;YEAR(H487)))</f>
        <v/>
      </c>
      <c r="C487" s="24"/>
      <c r="D487" s="27"/>
      <c r="E487" s="44"/>
      <c r="F487" s="27"/>
      <c r="G487" s="0" t="str">
        <f aca="false">IF(AND(C487&lt;&gt;"",COUNTIF(C$6:C487,C487)=1),MAX(G$5:G486)+1,"")</f>
        <v/>
      </c>
      <c r="H487" s="0" t="str">
        <f aca="true">IF(A487="","",IF(ISNUMBER(A487),IF(A487&gt;=36526,A487,""),IFERROR(DATE(VALUE(RIGHT(RIGHT(TRIM(A487),10),4)),VALUE(MID(RIGHT(TRIM(A487),10),4,2)),VALUE(LEFT(RIGHT(TRIM(A487),10),2))),IFERROR(TODAY()-MOD(WEEKDAY(TODAY(),1)-MATCH(TRIM(A487),{"الأحد","الاثنين","الثلاثاء","الأربعاء","الخميس","الجمعة","السبت"},0),7),IFERROR(DATEVALUE(A487),"")))))</f>
        <v/>
      </c>
      <c r="I487" s="0" t="str">
        <f aca="false">IF(H487="","",INT((H487-WEEK_ONE)/7)+1)</f>
        <v/>
      </c>
      <c r="J487" s="0" t="str">
        <f aca="false">IF(I487="","",IF(OR(I487&lt;1,I487&gt;NW),"",INDEX(WMON,I487)))</f>
        <v/>
      </c>
    </row>
    <row r="488" customFormat="false" ht="15" hidden="false" customHeight="false" outlineLevel="0" collapsed="false">
      <c r="A488" s="43"/>
      <c r="B488" s="23" t="str">
        <f aca="false">IF(H488="","",CHOOSE(WEEKDAY(H488,1),"الأحد","الاثنين","الثلاثاء","الأربعاء","الخميس","الجمعة","السبت")&amp;IF(OR(ISNUMBER(A488),LEN(TRIM(A488))&gt;=10),"","  "&amp;TEXT(DAY(H488),"00")&amp;"/"&amp;TEXT(MONTH(H488),"00")&amp;"/"&amp;YEAR(H488)))</f>
        <v/>
      </c>
      <c r="C488" s="24"/>
      <c r="D488" s="27"/>
      <c r="E488" s="44"/>
      <c r="F488" s="27"/>
      <c r="G488" s="0" t="str">
        <f aca="false">IF(AND(C488&lt;&gt;"",COUNTIF(C$6:C488,C488)=1),MAX(G$5:G487)+1,"")</f>
        <v/>
      </c>
      <c r="H488" s="0" t="str">
        <f aca="true">IF(A488="","",IF(ISNUMBER(A488),IF(A488&gt;=36526,A488,""),IFERROR(DATE(VALUE(RIGHT(RIGHT(TRIM(A488),10),4)),VALUE(MID(RIGHT(TRIM(A488),10),4,2)),VALUE(LEFT(RIGHT(TRIM(A488),10),2))),IFERROR(TODAY()-MOD(WEEKDAY(TODAY(),1)-MATCH(TRIM(A488),{"الأحد","الاثنين","الثلاثاء","الأربعاء","الخميس","الجمعة","السبت"},0),7),IFERROR(DATEVALUE(A488),"")))))</f>
        <v/>
      </c>
      <c r="I488" s="0" t="str">
        <f aca="false">IF(H488="","",INT((H488-WEEK_ONE)/7)+1)</f>
        <v/>
      </c>
      <c r="J488" s="0" t="str">
        <f aca="false">IF(I488="","",IF(OR(I488&lt;1,I488&gt;NW),"",INDEX(WMON,I488)))</f>
        <v/>
      </c>
    </row>
    <row r="489" customFormat="false" ht="15" hidden="false" customHeight="false" outlineLevel="0" collapsed="false">
      <c r="A489" s="43"/>
      <c r="B489" s="23" t="str">
        <f aca="false">IF(H489="","",CHOOSE(WEEKDAY(H489,1),"الأحد","الاثنين","الثلاثاء","الأربعاء","الخميس","الجمعة","السبت")&amp;IF(OR(ISNUMBER(A489),LEN(TRIM(A489))&gt;=10),"","  "&amp;TEXT(DAY(H489),"00")&amp;"/"&amp;TEXT(MONTH(H489),"00")&amp;"/"&amp;YEAR(H489)))</f>
        <v/>
      </c>
      <c r="C489" s="24"/>
      <c r="D489" s="27"/>
      <c r="E489" s="44"/>
      <c r="F489" s="27"/>
      <c r="G489" s="0" t="str">
        <f aca="false">IF(AND(C489&lt;&gt;"",COUNTIF(C$6:C489,C489)=1),MAX(G$5:G488)+1,"")</f>
        <v/>
      </c>
      <c r="H489" s="0" t="str">
        <f aca="true">IF(A489="","",IF(ISNUMBER(A489),IF(A489&gt;=36526,A489,""),IFERROR(DATE(VALUE(RIGHT(RIGHT(TRIM(A489),10),4)),VALUE(MID(RIGHT(TRIM(A489),10),4,2)),VALUE(LEFT(RIGHT(TRIM(A489),10),2))),IFERROR(TODAY()-MOD(WEEKDAY(TODAY(),1)-MATCH(TRIM(A489),{"الأحد","الاثنين","الثلاثاء","الأربعاء","الخميس","الجمعة","السبت"},0),7),IFERROR(DATEVALUE(A489),"")))))</f>
        <v/>
      </c>
      <c r="I489" s="0" t="str">
        <f aca="false">IF(H489="","",INT((H489-WEEK_ONE)/7)+1)</f>
        <v/>
      </c>
      <c r="J489" s="0" t="str">
        <f aca="false">IF(I489="","",IF(OR(I489&lt;1,I489&gt;NW),"",INDEX(WMON,I489)))</f>
        <v/>
      </c>
    </row>
    <row r="490" customFormat="false" ht="15" hidden="false" customHeight="false" outlineLevel="0" collapsed="false">
      <c r="A490" s="43"/>
      <c r="B490" s="23" t="str">
        <f aca="false">IF(H490="","",CHOOSE(WEEKDAY(H490,1),"الأحد","الاثنين","الثلاثاء","الأربعاء","الخميس","الجمعة","السبت")&amp;IF(OR(ISNUMBER(A490),LEN(TRIM(A490))&gt;=10),"","  "&amp;TEXT(DAY(H490),"00")&amp;"/"&amp;TEXT(MONTH(H490),"00")&amp;"/"&amp;YEAR(H490)))</f>
        <v/>
      </c>
      <c r="C490" s="24"/>
      <c r="D490" s="27"/>
      <c r="E490" s="44"/>
      <c r="F490" s="27"/>
      <c r="G490" s="0" t="str">
        <f aca="false">IF(AND(C490&lt;&gt;"",COUNTIF(C$6:C490,C490)=1),MAX(G$5:G489)+1,"")</f>
        <v/>
      </c>
      <c r="H490" s="0" t="str">
        <f aca="true">IF(A490="","",IF(ISNUMBER(A490),IF(A490&gt;=36526,A490,""),IFERROR(DATE(VALUE(RIGHT(RIGHT(TRIM(A490),10),4)),VALUE(MID(RIGHT(TRIM(A490),10),4,2)),VALUE(LEFT(RIGHT(TRIM(A490),10),2))),IFERROR(TODAY()-MOD(WEEKDAY(TODAY(),1)-MATCH(TRIM(A490),{"الأحد","الاثنين","الثلاثاء","الأربعاء","الخميس","الجمعة","السبت"},0),7),IFERROR(DATEVALUE(A490),"")))))</f>
        <v/>
      </c>
      <c r="I490" s="0" t="str">
        <f aca="false">IF(H490="","",INT((H490-WEEK_ONE)/7)+1)</f>
        <v/>
      </c>
      <c r="J490" s="0" t="str">
        <f aca="false">IF(I490="","",IF(OR(I490&lt;1,I490&gt;NW),"",INDEX(WMON,I490)))</f>
        <v/>
      </c>
    </row>
    <row r="491" customFormat="false" ht="15" hidden="false" customHeight="false" outlineLevel="0" collapsed="false">
      <c r="A491" s="43"/>
      <c r="B491" s="23" t="str">
        <f aca="false">IF(H491="","",CHOOSE(WEEKDAY(H491,1),"الأحد","الاثنين","الثلاثاء","الأربعاء","الخميس","الجمعة","السبت")&amp;IF(OR(ISNUMBER(A491),LEN(TRIM(A491))&gt;=10),"","  "&amp;TEXT(DAY(H491),"00")&amp;"/"&amp;TEXT(MONTH(H491),"00")&amp;"/"&amp;YEAR(H491)))</f>
        <v/>
      </c>
      <c r="C491" s="24"/>
      <c r="D491" s="27"/>
      <c r="E491" s="44"/>
      <c r="F491" s="27"/>
      <c r="G491" s="0" t="str">
        <f aca="false">IF(AND(C491&lt;&gt;"",COUNTIF(C$6:C491,C491)=1),MAX(G$5:G490)+1,"")</f>
        <v/>
      </c>
      <c r="H491" s="0" t="str">
        <f aca="true">IF(A491="","",IF(ISNUMBER(A491),IF(A491&gt;=36526,A491,""),IFERROR(DATE(VALUE(RIGHT(RIGHT(TRIM(A491),10),4)),VALUE(MID(RIGHT(TRIM(A491),10),4,2)),VALUE(LEFT(RIGHT(TRIM(A491),10),2))),IFERROR(TODAY()-MOD(WEEKDAY(TODAY(),1)-MATCH(TRIM(A491),{"الأحد","الاثنين","الثلاثاء","الأربعاء","الخميس","الجمعة","السبت"},0),7),IFERROR(DATEVALUE(A491),"")))))</f>
        <v/>
      </c>
      <c r="I491" s="0" t="str">
        <f aca="false">IF(H491="","",INT((H491-WEEK_ONE)/7)+1)</f>
        <v/>
      </c>
      <c r="J491" s="0" t="str">
        <f aca="false">IF(I491="","",IF(OR(I491&lt;1,I491&gt;NW),"",INDEX(WMON,I491)))</f>
        <v/>
      </c>
    </row>
    <row r="492" customFormat="false" ht="15" hidden="false" customHeight="false" outlineLevel="0" collapsed="false">
      <c r="A492" s="43"/>
      <c r="B492" s="23" t="str">
        <f aca="false">IF(H492="","",CHOOSE(WEEKDAY(H492,1),"الأحد","الاثنين","الثلاثاء","الأربعاء","الخميس","الجمعة","السبت")&amp;IF(OR(ISNUMBER(A492),LEN(TRIM(A492))&gt;=10),"","  "&amp;TEXT(DAY(H492),"00")&amp;"/"&amp;TEXT(MONTH(H492),"00")&amp;"/"&amp;YEAR(H492)))</f>
        <v/>
      </c>
      <c r="C492" s="24"/>
      <c r="D492" s="27"/>
      <c r="E492" s="44"/>
      <c r="F492" s="27"/>
      <c r="G492" s="0" t="str">
        <f aca="false">IF(AND(C492&lt;&gt;"",COUNTIF(C$6:C492,C492)=1),MAX(G$5:G491)+1,"")</f>
        <v/>
      </c>
      <c r="H492" s="0" t="str">
        <f aca="true">IF(A492="","",IF(ISNUMBER(A492),IF(A492&gt;=36526,A492,""),IFERROR(DATE(VALUE(RIGHT(RIGHT(TRIM(A492),10),4)),VALUE(MID(RIGHT(TRIM(A492),10),4,2)),VALUE(LEFT(RIGHT(TRIM(A492),10),2))),IFERROR(TODAY()-MOD(WEEKDAY(TODAY(),1)-MATCH(TRIM(A492),{"الأحد","الاثنين","الثلاثاء","الأربعاء","الخميس","الجمعة","السبت"},0),7),IFERROR(DATEVALUE(A492),"")))))</f>
        <v/>
      </c>
      <c r="I492" s="0" t="str">
        <f aca="false">IF(H492="","",INT((H492-WEEK_ONE)/7)+1)</f>
        <v/>
      </c>
      <c r="J492" s="0" t="str">
        <f aca="false">IF(I492="","",IF(OR(I492&lt;1,I492&gt;NW),"",INDEX(WMON,I492)))</f>
        <v/>
      </c>
    </row>
    <row r="493" customFormat="false" ht="15" hidden="false" customHeight="false" outlineLevel="0" collapsed="false">
      <c r="A493" s="43"/>
      <c r="B493" s="23" t="str">
        <f aca="false">IF(H493="","",CHOOSE(WEEKDAY(H493,1),"الأحد","الاثنين","الثلاثاء","الأربعاء","الخميس","الجمعة","السبت")&amp;IF(OR(ISNUMBER(A493),LEN(TRIM(A493))&gt;=10),"","  "&amp;TEXT(DAY(H493),"00")&amp;"/"&amp;TEXT(MONTH(H493),"00")&amp;"/"&amp;YEAR(H493)))</f>
        <v/>
      </c>
      <c r="C493" s="24"/>
      <c r="D493" s="27"/>
      <c r="E493" s="44"/>
      <c r="F493" s="27"/>
      <c r="G493" s="0" t="str">
        <f aca="false">IF(AND(C493&lt;&gt;"",COUNTIF(C$6:C493,C493)=1),MAX(G$5:G492)+1,"")</f>
        <v/>
      </c>
      <c r="H493" s="0" t="str">
        <f aca="true">IF(A493="","",IF(ISNUMBER(A493),IF(A493&gt;=36526,A493,""),IFERROR(DATE(VALUE(RIGHT(RIGHT(TRIM(A493),10),4)),VALUE(MID(RIGHT(TRIM(A493),10),4,2)),VALUE(LEFT(RIGHT(TRIM(A493),10),2))),IFERROR(TODAY()-MOD(WEEKDAY(TODAY(),1)-MATCH(TRIM(A493),{"الأحد","الاثنين","الثلاثاء","الأربعاء","الخميس","الجمعة","السبت"},0),7),IFERROR(DATEVALUE(A493),"")))))</f>
        <v/>
      </c>
      <c r="I493" s="0" t="str">
        <f aca="false">IF(H493="","",INT((H493-WEEK_ONE)/7)+1)</f>
        <v/>
      </c>
      <c r="J493" s="0" t="str">
        <f aca="false">IF(I493="","",IF(OR(I493&lt;1,I493&gt;NW),"",INDEX(WMON,I493)))</f>
        <v/>
      </c>
    </row>
    <row r="494" customFormat="false" ht="15" hidden="false" customHeight="false" outlineLevel="0" collapsed="false">
      <c r="A494" s="43"/>
      <c r="B494" s="23" t="str">
        <f aca="false">IF(H494="","",CHOOSE(WEEKDAY(H494,1),"الأحد","الاثنين","الثلاثاء","الأربعاء","الخميس","الجمعة","السبت")&amp;IF(OR(ISNUMBER(A494),LEN(TRIM(A494))&gt;=10),"","  "&amp;TEXT(DAY(H494),"00")&amp;"/"&amp;TEXT(MONTH(H494),"00")&amp;"/"&amp;YEAR(H494)))</f>
        <v/>
      </c>
      <c r="C494" s="24"/>
      <c r="D494" s="27"/>
      <c r="E494" s="44"/>
      <c r="F494" s="27"/>
      <c r="G494" s="0" t="str">
        <f aca="false">IF(AND(C494&lt;&gt;"",COUNTIF(C$6:C494,C494)=1),MAX(G$5:G493)+1,"")</f>
        <v/>
      </c>
      <c r="H494" s="0" t="str">
        <f aca="true">IF(A494="","",IF(ISNUMBER(A494),IF(A494&gt;=36526,A494,""),IFERROR(DATE(VALUE(RIGHT(RIGHT(TRIM(A494),10),4)),VALUE(MID(RIGHT(TRIM(A494),10),4,2)),VALUE(LEFT(RIGHT(TRIM(A494),10),2))),IFERROR(TODAY()-MOD(WEEKDAY(TODAY(),1)-MATCH(TRIM(A494),{"الأحد","الاثنين","الثلاثاء","الأربعاء","الخميس","الجمعة","السبت"},0),7),IFERROR(DATEVALUE(A494),"")))))</f>
        <v/>
      </c>
      <c r="I494" s="0" t="str">
        <f aca="false">IF(H494="","",INT((H494-WEEK_ONE)/7)+1)</f>
        <v/>
      </c>
      <c r="J494" s="0" t="str">
        <f aca="false">IF(I494="","",IF(OR(I494&lt;1,I494&gt;NW),"",INDEX(WMON,I494)))</f>
        <v/>
      </c>
    </row>
    <row r="495" customFormat="false" ht="15" hidden="false" customHeight="false" outlineLevel="0" collapsed="false">
      <c r="A495" s="43"/>
      <c r="B495" s="23" t="str">
        <f aca="false">IF(H495="","",CHOOSE(WEEKDAY(H495,1),"الأحد","الاثنين","الثلاثاء","الأربعاء","الخميس","الجمعة","السبت")&amp;IF(OR(ISNUMBER(A495),LEN(TRIM(A495))&gt;=10),"","  "&amp;TEXT(DAY(H495),"00")&amp;"/"&amp;TEXT(MONTH(H495),"00")&amp;"/"&amp;YEAR(H495)))</f>
        <v/>
      </c>
      <c r="C495" s="24"/>
      <c r="D495" s="27"/>
      <c r="E495" s="44"/>
      <c r="F495" s="27"/>
      <c r="G495" s="0" t="str">
        <f aca="false">IF(AND(C495&lt;&gt;"",COUNTIF(C$6:C495,C495)=1),MAX(G$5:G494)+1,"")</f>
        <v/>
      </c>
      <c r="H495" s="0" t="str">
        <f aca="true">IF(A495="","",IF(ISNUMBER(A495),IF(A495&gt;=36526,A495,""),IFERROR(DATE(VALUE(RIGHT(RIGHT(TRIM(A495),10),4)),VALUE(MID(RIGHT(TRIM(A495),10),4,2)),VALUE(LEFT(RIGHT(TRIM(A495),10),2))),IFERROR(TODAY()-MOD(WEEKDAY(TODAY(),1)-MATCH(TRIM(A495),{"الأحد","الاثنين","الثلاثاء","الأربعاء","الخميس","الجمعة","السبت"},0),7),IFERROR(DATEVALUE(A495),"")))))</f>
        <v/>
      </c>
      <c r="I495" s="0" t="str">
        <f aca="false">IF(H495="","",INT((H495-WEEK_ONE)/7)+1)</f>
        <v/>
      </c>
      <c r="J495" s="0" t="str">
        <f aca="false">IF(I495="","",IF(OR(I495&lt;1,I495&gt;NW),"",INDEX(WMON,I495)))</f>
        <v/>
      </c>
    </row>
    <row r="496" customFormat="false" ht="15" hidden="false" customHeight="false" outlineLevel="0" collapsed="false">
      <c r="A496" s="43"/>
      <c r="B496" s="23" t="str">
        <f aca="false">IF(H496="","",CHOOSE(WEEKDAY(H496,1),"الأحد","الاثنين","الثلاثاء","الأربعاء","الخميس","الجمعة","السبت")&amp;IF(OR(ISNUMBER(A496),LEN(TRIM(A496))&gt;=10),"","  "&amp;TEXT(DAY(H496),"00")&amp;"/"&amp;TEXT(MONTH(H496),"00")&amp;"/"&amp;YEAR(H496)))</f>
        <v/>
      </c>
      <c r="C496" s="24"/>
      <c r="D496" s="27"/>
      <c r="E496" s="44"/>
      <c r="F496" s="27"/>
      <c r="G496" s="0" t="str">
        <f aca="false">IF(AND(C496&lt;&gt;"",COUNTIF(C$6:C496,C496)=1),MAX(G$5:G495)+1,"")</f>
        <v/>
      </c>
      <c r="H496" s="0" t="str">
        <f aca="true">IF(A496="","",IF(ISNUMBER(A496),IF(A496&gt;=36526,A496,""),IFERROR(DATE(VALUE(RIGHT(RIGHT(TRIM(A496),10),4)),VALUE(MID(RIGHT(TRIM(A496),10),4,2)),VALUE(LEFT(RIGHT(TRIM(A496),10),2))),IFERROR(TODAY()-MOD(WEEKDAY(TODAY(),1)-MATCH(TRIM(A496),{"الأحد","الاثنين","الثلاثاء","الأربعاء","الخميس","الجمعة","السبت"},0),7),IFERROR(DATEVALUE(A496),"")))))</f>
        <v/>
      </c>
      <c r="I496" s="0" t="str">
        <f aca="false">IF(H496="","",INT((H496-WEEK_ONE)/7)+1)</f>
        <v/>
      </c>
      <c r="J496" s="0" t="str">
        <f aca="false">IF(I496="","",IF(OR(I496&lt;1,I496&gt;NW),"",INDEX(WMON,I496)))</f>
        <v/>
      </c>
    </row>
    <row r="497" customFormat="false" ht="15" hidden="false" customHeight="false" outlineLevel="0" collapsed="false">
      <c r="A497" s="43"/>
      <c r="B497" s="23" t="str">
        <f aca="false">IF(H497="","",CHOOSE(WEEKDAY(H497,1),"الأحد","الاثنين","الثلاثاء","الأربعاء","الخميس","الجمعة","السبت")&amp;IF(OR(ISNUMBER(A497),LEN(TRIM(A497))&gt;=10),"","  "&amp;TEXT(DAY(H497),"00")&amp;"/"&amp;TEXT(MONTH(H497),"00")&amp;"/"&amp;YEAR(H497)))</f>
        <v/>
      </c>
      <c r="C497" s="24"/>
      <c r="D497" s="27"/>
      <c r="E497" s="44"/>
      <c r="F497" s="27"/>
      <c r="G497" s="0" t="str">
        <f aca="false">IF(AND(C497&lt;&gt;"",COUNTIF(C$6:C497,C497)=1),MAX(G$5:G496)+1,"")</f>
        <v/>
      </c>
      <c r="H497" s="0" t="str">
        <f aca="true">IF(A497="","",IF(ISNUMBER(A497),IF(A497&gt;=36526,A497,""),IFERROR(DATE(VALUE(RIGHT(RIGHT(TRIM(A497),10),4)),VALUE(MID(RIGHT(TRIM(A497),10),4,2)),VALUE(LEFT(RIGHT(TRIM(A497),10),2))),IFERROR(TODAY()-MOD(WEEKDAY(TODAY(),1)-MATCH(TRIM(A497),{"الأحد","الاثنين","الثلاثاء","الأربعاء","الخميس","الجمعة","السبت"},0),7),IFERROR(DATEVALUE(A497),"")))))</f>
        <v/>
      </c>
      <c r="I497" s="0" t="str">
        <f aca="false">IF(H497="","",INT((H497-WEEK_ONE)/7)+1)</f>
        <v/>
      </c>
      <c r="J497" s="0" t="str">
        <f aca="false">IF(I497="","",IF(OR(I497&lt;1,I497&gt;NW),"",INDEX(WMON,I497)))</f>
        <v/>
      </c>
    </row>
    <row r="498" customFormat="false" ht="15" hidden="false" customHeight="false" outlineLevel="0" collapsed="false">
      <c r="A498" s="43"/>
      <c r="B498" s="23" t="str">
        <f aca="false">IF(H498="","",CHOOSE(WEEKDAY(H498,1),"الأحد","الاثنين","الثلاثاء","الأربعاء","الخميس","الجمعة","السبت")&amp;IF(OR(ISNUMBER(A498),LEN(TRIM(A498))&gt;=10),"","  "&amp;TEXT(DAY(H498),"00")&amp;"/"&amp;TEXT(MONTH(H498),"00")&amp;"/"&amp;YEAR(H498)))</f>
        <v/>
      </c>
      <c r="C498" s="24"/>
      <c r="D498" s="27"/>
      <c r="E498" s="44"/>
      <c r="F498" s="27"/>
      <c r="G498" s="0" t="str">
        <f aca="false">IF(AND(C498&lt;&gt;"",COUNTIF(C$6:C498,C498)=1),MAX(G$5:G497)+1,"")</f>
        <v/>
      </c>
      <c r="H498" s="0" t="str">
        <f aca="true">IF(A498="","",IF(ISNUMBER(A498),IF(A498&gt;=36526,A498,""),IFERROR(DATE(VALUE(RIGHT(RIGHT(TRIM(A498),10),4)),VALUE(MID(RIGHT(TRIM(A498),10),4,2)),VALUE(LEFT(RIGHT(TRIM(A498),10),2))),IFERROR(TODAY()-MOD(WEEKDAY(TODAY(),1)-MATCH(TRIM(A498),{"الأحد","الاثنين","الثلاثاء","الأربعاء","الخميس","الجمعة","السبت"},0),7),IFERROR(DATEVALUE(A498),"")))))</f>
        <v/>
      </c>
      <c r="I498" s="0" t="str">
        <f aca="false">IF(H498="","",INT((H498-WEEK_ONE)/7)+1)</f>
        <v/>
      </c>
      <c r="J498" s="0" t="str">
        <f aca="false">IF(I498="","",IF(OR(I498&lt;1,I498&gt;NW),"",INDEX(WMON,I498)))</f>
        <v/>
      </c>
    </row>
    <row r="499" customFormat="false" ht="15" hidden="false" customHeight="false" outlineLevel="0" collapsed="false">
      <c r="A499" s="43"/>
      <c r="B499" s="23" t="str">
        <f aca="false">IF(H499="","",CHOOSE(WEEKDAY(H499,1),"الأحد","الاثنين","الثلاثاء","الأربعاء","الخميس","الجمعة","السبت")&amp;IF(OR(ISNUMBER(A499),LEN(TRIM(A499))&gt;=10),"","  "&amp;TEXT(DAY(H499),"00")&amp;"/"&amp;TEXT(MONTH(H499),"00")&amp;"/"&amp;YEAR(H499)))</f>
        <v/>
      </c>
      <c r="C499" s="24"/>
      <c r="D499" s="27"/>
      <c r="E499" s="44"/>
      <c r="F499" s="27"/>
      <c r="G499" s="0" t="str">
        <f aca="false">IF(AND(C499&lt;&gt;"",COUNTIF(C$6:C499,C499)=1),MAX(G$5:G498)+1,"")</f>
        <v/>
      </c>
      <c r="H499" s="0" t="str">
        <f aca="true">IF(A499="","",IF(ISNUMBER(A499),IF(A499&gt;=36526,A499,""),IFERROR(DATE(VALUE(RIGHT(RIGHT(TRIM(A499),10),4)),VALUE(MID(RIGHT(TRIM(A499),10),4,2)),VALUE(LEFT(RIGHT(TRIM(A499),10),2))),IFERROR(TODAY()-MOD(WEEKDAY(TODAY(),1)-MATCH(TRIM(A499),{"الأحد","الاثنين","الثلاثاء","الأربعاء","الخميس","الجمعة","السبت"},0),7),IFERROR(DATEVALUE(A499),"")))))</f>
        <v/>
      </c>
      <c r="I499" s="0" t="str">
        <f aca="false">IF(H499="","",INT((H499-WEEK_ONE)/7)+1)</f>
        <v/>
      </c>
      <c r="J499" s="0" t="str">
        <f aca="false">IF(I499="","",IF(OR(I499&lt;1,I499&gt;NW),"",INDEX(WMON,I499)))</f>
        <v/>
      </c>
    </row>
    <row r="500" customFormat="false" ht="15" hidden="false" customHeight="false" outlineLevel="0" collapsed="false">
      <c r="A500" s="43"/>
      <c r="B500" s="23" t="str">
        <f aca="false">IF(H500="","",CHOOSE(WEEKDAY(H500,1),"الأحد","الاثنين","الثلاثاء","الأربعاء","الخميس","الجمعة","السبت")&amp;IF(OR(ISNUMBER(A500),LEN(TRIM(A500))&gt;=10),"","  "&amp;TEXT(DAY(H500),"00")&amp;"/"&amp;TEXT(MONTH(H500),"00")&amp;"/"&amp;YEAR(H500)))</f>
        <v/>
      </c>
      <c r="C500" s="24"/>
      <c r="D500" s="27"/>
      <c r="E500" s="44"/>
      <c r="F500" s="27"/>
      <c r="G500" s="0" t="str">
        <f aca="false">IF(AND(C500&lt;&gt;"",COUNTIF(C$6:C500,C500)=1),MAX(G$5:G499)+1,"")</f>
        <v/>
      </c>
      <c r="H500" s="0" t="str">
        <f aca="true">IF(A500="","",IF(ISNUMBER(A500),IF(A500&gt;=36526,A500,""),IFERROR(DATE(VALUE(RIGHT(RIGHT(TRIM(A500),10),4)),VALUE(MID(RIGHT(TRIM(A500),10),4,2)),VALUE(LEFT(RIGHT(TRIM(A500),10),2))),IFERROR(TODAY()-MOD(WEEKDAY(TODAY(),1)-MATCH(TRIM(A500),{"الأحد","الاثنين","الثلاثاء","الأربعاء","الخميس","الجمعة","السبت"},0),7),IFERROR(DATEVALUE(A500),"")))))</f>
        <v/>
      </c>
      <c r="I500" s="0" t="str">
        <f aca="false">IF(H500="","",INT((H500-WEEK_ONE)/7)+1)</f>
        <v/>
      </c>
      <c r="J500" s="0" t="str">
        <f aca="false">IF(I500="","",IF(OR(I500&lt;1,I500&gt;NW),"",INDEX(WMON,I500)))</f>
        <v/>
      </c>
    </row>
    <row r="501" customFormat="false" ht="15" hidden="false" customHeight="false" outlineLevel="0" collapsed="false">
      <c r="A501" s="43"/>
      <c r="B501" s="23" t="str">
        <f aca="false">IF(H501="","",CHOOSE(WEEKDAY(H501,1),"الأحد","الاثنين","الثلاثاء","الأربعاء","الخميس","الجمعة","السبت")&amp;IF(OR(ISNUMBER(A501),LEN(TRIM(A501))&gt;=10),"","  "&amp;TEXT(DAY(H501),"00")&amp;"/"&amp;TEXT(MONTH(H501),"00")&amp;"/"&amp;YEAR(H501)))</f>
        <v/>
      </c>
      <c r="C501" s="24"/>
      <c r="D501" s="27"/>
      <c r="E501" s="44"/>
      <c r="F501" s="27"/>
      <c r="G501" s="0" t="str">
        <f aca="false">IF(AND(C501&lt;&gt;"",COUNTIF(C$6:C501,C501)=1),MAX(G$5:G500)+1,"")</f>
        <v/>
      </c>
      <c r="H501" s="0" t="str">
        <f aca="true">IF(A501="","",IF(ISNUMBER(A501),IF(A501&gt;=36526,A501,""),IFERROR(DATE(VALUE(RIGHT(RIGHT(TRIM(A501),10),4)),VALUE(MID(RIGHT(TRIM(A501),10),4,2)),VALUE(LEFT(RIGHT(TRIM(A501),10),2))),IFERROR(TODAY()-MOD(WEEKDAY(TODAY(),1)-MATCH(TRIM(A501),{"الأحد","الاثنين","الثلاثاء","الأربعاء","الخميس","الجمعة","السبت"},0),7),IFERROR(DATEVALUE(A501),"")))))</f>
        <v/>
      </c>
      <c r="I501" s="0" t="str">
        <f aca="false">IF(H501="","",INT((H501-WEEK_ONE)/7)+1)</f>
        <v/>
      </c>
      <c r="J501" s="0" t="str">
        <f aca="false">IF(I501="","",IF(OR(I501&lt;1,I501&gt;NW),"",INDEX(WMON,I501)))</f>
        <v/>
      </c>
    </row>
    <row r="502" customFormat="false" ht="15" hidden="false" customHeight="false" outlineLevel="0" collapsed="false">
      <c r="A502" s="43"/>
      <c r="B502" s="23" t="str">
        <f aca="false">IF(H502="","",CHOOSE(WEEKDAY(H502,1),"الأحد","الاثنين","الثلاثاء","الأربعاء","الخميس","الجمعة","السبت")&amp;IF(OR(ISNUMBER(A502),LEN(TRIM(A502))&gt;=10),"","  "&amp;TEXT(DAY(H502),"00")&amp;"/"&amp;TEXT(MONTH(H502),"00")&amp;"/"&amp;YEAR(H502)))</f>
        <v/>
      </c>
      <c r="C502" s="24"/>
      <c r="D502" s="27"/>
      <c r="E502" s="44"/>
      <c r="F502" s="27"/>
      <c r="G502" s="0" t="str">
        <f aca="false">IF(AND(C502&lt;&gt;"",COUNTIF(C$6:C502,C502)=1),MAX(G$5:G501)+1,"")</f>
        <v/>
      </c>
      <c r="H502" s="0" t="str">
        <f aca="true">IF(A502="","",IF(ISNUMBER(A502),IF(A502&gt;=36526,A502,""),IFERROR(DATE(VALUE(RIGHT(RIGHT(TRIM(A502),10),4)),VALUE(MID(RIGHT(TRIM(A502),10),4,2)),VALUE(LEFT(RIGHT(TRIM(A502),10),2))),IFERROR(TODAY()-MOD(WEEKDAY(TODAY(),1)-MATCH(TRIM(A502),{"الأحد","الاثنين","الثلاثاء","الأربعاء","الخميس","الجمعة","السبت"},0),7),IFERROR(DATEVALUE(A502),"")))))</f>
        <v/>
      </c>
      <c r="I502" s="0" t="str">
        <f aca="false">IF(H502="","",INT((H502-WEEK_ONE)/7)+1)</f>
        <v/>
      </c>
      <c r="J502" s="0" t="str">
        <f aca="false">IF(I502="","",IF(OR(I502&lt;1,I502&gt;NW),"",INDEX(WMON,I502)))</f>
        <v/>
      </c>
    </row>
    <row r="503" customFormat="false" ht="15" hidden="false" customHeight="false" outlineLevel="0" collapsed="false">
      <c r="A503" s="43"/>
      <c r="B503" s="23" t="str">
        <f aca="false">IF(H503="","",CHOOSE(WEEKDAY(H503,1),"الأحد","الاثنين","الثلاثاء","الأربعاء","الخميس","الجمعة","السبت")&amp;IF(OR(ISNUMBER(A503),LEN(TRIM(A503))&gt;=10),"","  "&amp;TEXT(DAY(H503),"00")&amp;"/"&amp;TEXT(MONTH(H503),"00")&amp;"/"&amp;YEAR(H503)))</f>
        <v/>
      </c>
      <c r="C503" s="24"/>
      <c r="D503" s="27"/>
      <c r="E503" s="44"/>
      <c r="F503" s="27"/>
      <c r="G503" s="0" t="str">
        <f aca="false">IF(AND(C503&lt;&gt;"",COUNTIF(C$6:C503,C503)=1),MAX(G$5:G502)+1,"")</f>
        <v/>
      </c>
      <c r="H503" s="0" t="str">
        <f aca="true">IF(A503="","",IF(ISNUMBER(A503),IF(A503&gt;=36526,A503,""),IFERROR(DATE(VALUE(RIGHT(RIGHT(TRIM(A503),10),4)),VALUE(MID(RIGHT(TRIM(A503),10),4,2)),VALUE(LEFT(RIGHT(TRIM(A503),10),2))),IFERROR(TODAY()-MOD(WEEKDAY(TODAY(),1)-MATCH(TRIM(A503),{"الأحد","الاثنين","الثلاثاء","الأربعاء","الخميس","الجمعة","السبت"},0),7),IFERROR(DATEVALUE(A503),"")))))</f>
        <v/>
      </c>
      <c r="I503" s="0" t="str">
        <f aca="false">IF(H503="","",INT((H503-WEEK_ONE)/7)+1)</f>
        <v/>
      </c>
      <c r="J503" s="0" t="str">
        <f aca="false">IF(I503="","",IF(OR(I503&lt;1,I503&gt;NW),"",INDEX(WMON,I503)))</f>
        <v/>
      </c>
    </row>
    <row r="504" customFormat="false" ht="15" hidden="false" customHeight="false" outlineLevel="0" collapsed="false">
      <c r="A504" s="43"/>
      <c r="B504" s="23" t="str">
        <f aca="false">IF(H504="","",CHOOSE(WEEKDAY(H504,1),"الأحد","الاثنين","الثلاثاء","الأربعاء","الخميس","الجمعة","السبت")&amp;IF(OR(ISNUMBER(A504),LEN(TRIM(A504))&gt;=10),"","  "&amp;TEXT(DAY(H504),"00")&amp;"/"&amp;TEXT(MONTH(H504),"00")&amp;"/"&amp;YEAR(H504)))</f>
        <v/>
      </c>
      <c r="C504" s="24"/>
      <c r="D504" s="27"/>
      <c r="E504" s="44"/>
      <c r="F504" s="27"/>
      <c r="G504" s="0" t="str">
        <f aca="false">IF(AND(C504&lt;&gt;"",COUNTIF(C$6:C504,C504)=1),MAX(G$5:G503)+1,"")</f>
        <v/>
      </c>
      <c r="H504" s="0" t="str">
        <f aca="true">IF(A504="","",IF(ISNUMBER(A504),IF(A504&gt;=36526,A504,""),IFERROR(DATE(VALUE(RIGHT(RIGHT(TRIM(A504),10),4)),VALUE(MID(RIGHT(TRIM(A504),10),4,2)),VALUE(LEFT(RIGHT(TRIM(A504),10),2))),IFERROR(TODAY()-MOD(WEEKDAY(TODAY(),1)-MATCH(TRIM(A504),{"الأحد","الاثنين","الثلاثاء","الأربعاء","الخميس","الجمعة","السبت"},0),7),IFERROR(DATEVALUE(A504),"")))))</f>
        <v/>
      </c>
      <c r="I504" s="0" t="str">
        <f aca="false">IF(H504="","",INT((H504-WEEK_ONE)/7)+1)</f>
        <v/>
      </c>
      <c r="J504" s="0" t="str">
        <f aca="false">IF(I504="","",IF(OR(I504&lt;1,I504&gt;NW),"",INDEX(WMON,I504)))</f>
        <v/>
      </c>
    </row>
    <row r="505" customFormat="false" ht="15" hidden="false" customHeight="false" outlineLevel="0" collapsed="false">
      <c r="A505" s="43"/>
      <c r="B505" s="23" t="str">
        <f aca="false">IF(H505="","",CHOOSE(WEEKDAY(H505,1),"الأحد","الاثنين","الثلاثاء","الأربعاء","الخميس","الجمعة","السبت")&amp;IF(OR(ISNUMBER(A505),LEN(TRIM(A505))&gt;=10),"","  "&amp;TEXT(DAY(H505),"00")&amp;"/"&amp;TEXT(MONTH(H505),"00")&amp;"/"&amp;YEAR(H505)))</f>
        <v/>
      </c>
      <c r="C505" s="24"/>
      <c r="D505" s="27"/>
      <c r="E505" s="44"/>
      <c r="F505" s="27"/>
      <c r="G505" s="0" t="str">
        <f aca="false">IF(AND(C505&lt;&gt;"",COUNTIF(C$6:C505,C505)=1),MAX(G$5:G504)+1,"")</f>
        <v/>
      </c>
      <c r="H505" s="0" t="str">
        <f aca="true">IF(A505="","",IF(ISNUMBER(A505),IF(A505&gt;=36526,A505,""),IFERROR(DATE(VALUE(RIGHT(RIGHT(TRIM(A505),10),4)),VALUE(MID(RIGHT(TRIM(A505),10),4,2)),VALUE(LEFT(RIGHT(TRIM(A505),10),2))),IFERROR(TODAY()-MOD(WEEKDAY(TODAY(),1)-MATCH(TRIM(A505),{"الأحد","الاثنين","الثلاثاء","الأربعاء","الخميس","الجمعة","السبت"},0),7),IFERROR(DATEVALUE(A505),"")))))</f>
        <v/>
      </c>
      <c r="I505" s="0" t="str">
        <f aca="false">IF(H505="","",INT((H505-WEEK_ONE)/7)+1)</f>
        <v/>
      </c>
      <c r="J505" s="0" t="str">
        <f aca="false">IF(I505="","",IF(OR(I505&lt;1,I505&gt;NW),"",INDEX(WMON,I505)))</f>
        <v/>
      </c>
    </row>
    <row r="506" customFormat="false" ht="15" hidden="false" customHeight="false" outlineLevel="0" collapsed="false">
      <c r="A506" s="43"/>
      <c r="B506" s="23" t="str">
        <f aca="false">IF(H506="","",CHOOSE(WEEKDAY(H506,1),"الأحد","الاثنين","الثلاثاء","الأربعاء","الخميس","الجمعة","السبت")&amp;IF(OR(ISNUMBER(A506),LEN(TRIM(A506))&gt;=10),"","  "&amp;TEXT(DAY(H506),"00")&amp;"/"&amp;TEXT(MONTH(H506),"00")&amp;"/"&amp;YEAR(H506)))</f>
        <v/>
      </c>
      <c r="C506" s="24"/>
      <c r="D506" s="27"/>
      <c r="E506" s="44"/>
      <c r="F506" s="27"/>
      <c r="G506" s="0" t="str">
        <f aca="false">IF(AND(C506&lt;&gt;"",COUNTIF(C$6:C506,C506)=1),MAX(G$5:G505)+1,"")</f>
        <v/>
      </c>
      <c r="H506" s="0" t="str">
        <f aca="true">IF(A506="","",IF(ISNUMBER(A506),IF(A506&gt;=36526,A506,""),IFERROR(DATE(VALUE(RIGHT(RIGHT(TRIM(A506),10),4)),VALUE(MID(RIGHT(TRIM(A506),10),4,2)),VALUE(LEFT(RIGHT(TRIM(A506),10),2))),IFERROR(TODAY()-MOD(WEEKDAY(TODAY(),1)-MATCH(TRIM(A506),{"الأحد","الاثنين","الثلاثاء","الأربعاء","الخميس","الجمعة","السبت"},0),7),IFERROR(DATEVALUE(A506),"")))))</f>
        <v/>
      </c>
      <c r="I506" s="0" t="str">
        <f aca="false">IF(H506="","",INT((H506-WEEK_ONE)/7)+1)</f>
        <v/>
      </c>
      <c r="J506" s="0" t="str">
        <f aca="false">IF(I506="","",IF(OR(I506&lt;1,I506&gt;NW),"",INDEX(WMON,I506)))</f>
        <v/>
      </c>
    </row>
    <row r="507" customFormat="false" ht="15" hidden="false" customHeight="false" outlineLevel="0" collapsed="false">
      <c r="A507" s="43"/>
      <c r="B507" s="23" t="str">
        <f aca="false">IF(H507="","",CHOOSE(WEEKDAY(H507,1),"الأحد","الاثنين","الثلاثاء","الأربعاء","الخميس","الجمعة","السبت")&amp;IF(OR(ISNUMBER(A507),LEN(TRIM(A507))&gt;=10),"","  "&amp;TEXT(DAY(H507),"00")&amp;"/"&amp;TEXT(MONTH(H507),"00")&amp;"/"&amp;YEAR(H507)))</f>
        <v/>
      </c>
      <c r="C507" s="24"/>
      <c r="D507" s="27"/>
      <c r="E507" s="44"/>
      <c r="F507" s="27"/>
      <c r="G507" s="0" t="str">
        <f aca="false">IF(AND(C507&lt;&gt;"",COUNTIF(C$6:C507,C507)=1),MAX(G$5:G506)+1,"")</f>
        <v/>
      </c>
      <c r="H507" s="0" t="str">
        <f aca="true">IF(A507="","",IF(ISNUMBER(A507),IF(A507&gt;=36526,A507,""),IFERROR(DATE(VALUE(RIGHT(RIGHT(TRIM(A507),10),4)),VALUE(MID(RIGHT(TRIM(A507),10),4,2)),VALUE(LEFT(RIGHT(TRIM(A507),10),2))),IFERROR(TODAY()-MOD(WEEKDAY(TODAY(),1)-MATCH(TRIM(A507),{"الأحد","الاثنين","الثلاثاء","الأربعاء","الخميس","الجمعة","السبت"},0),7),IFERROR(DATEVALUE(A507),"")))))</f>
        <v/>
      </c>
      <c r="I507" s="0" t="str">
        <f aca="false">IF(H507="","",INT((H507-WEEK_ONE)/7)+1)</f>
        <v/>
      </c>
      <c r="J507" s="0" t="str">
        <f aca="false">IF(I507="","",IF(OR(I507&lt;1,I507&gt;NW),"",INDEX(WMON,I507)))</f>
        <v/>
      </c>
    </row>
    <row r="508" customFormat="false" ht="15" hidden="false" customHeight="false" outlineLevel="0" collapsed="false">
      <c r="A508" s="43"/>
      <c r="B508" s="23" t="str">
        <f aca="false">IF(H508="","",CHOOSE(WEEKDAY(H508,1),"الأحد","الاثنين","الثلاثاء","الأربعاء","الخميس","الجمعة","السبت")&amp;IF(OR(ISNUMBER(A508),LEN(TRIM(A508))&gt;=10),"","  "&amp;TEXT(DAY(H508),"00")&amp;"/"&amp;TEXT(MONTH(H508),"00")&amp;"/"&amp;YEAR(H508)))</f>
        <v/>
      </c>
      <c r="C508" s="24"/>
      <c r="D508" s="27"/>
      <c r="E508" s="44"/>
      <c r="F508" s="27"/>
      <c r="G508" s="0" t="str">
        <f aca="false">IF(AND(C508&lt;&gt;"",COUNTIF(C$6:C508,C508)=1),MAX(G$5:G507)+1,"")</f>
        <v/>
      </c>
      <c r="H508" s="0" t="str">
        <f aca="true">IF(A508="","",IF(ISNUMBER(A508),IF(A508&gt;=36526,A508,""),IFERROR(DATE(VALUE(RIGHT(RIGHT(TRIM(A508),10),4)),VALUE(MID(RIGHT(TRIM(A508),10),4,2)),VALUE(LEFT(RIGHT(TRIM(A508),10),2))),IFERROR(TODAY()-MOD(WEEKDAY(TODAY(),1)-MATCH(TRIM(A508),{"الأحد","الاثنين","الثلاثاء","الأربعاء","الخميس","الجمعة","السبت"},0),7),IFERROR(DATEVALUE(A508),"")))))</f>
        <v/>
      </c>
      <c r="I508" s="0" t="str">
        <f aca="false">IF(H508="","",INT((H508-WEEK_ONE)/7)+1)</f>
        <v/>
      </c>
      <c r="J508" s="0" t="str">
        <f aca="false">IF(I508="","",IF(OR(I508&lt;1,I508&gt;NW),"",INDEX(WMON,I508)))</f>
        <v/>
      </c>
    </row>
    <row r="509" customFormat="false" ht="15" hidden="false" customHeight="false" outlineLevel="0" collapsed="false">
      <c r="A509" s="43"/>
      <c r="B509" s="23" t="str">
        <f aca="false">IF(H509="","",CHOOSE(WEEKDAY(H509,1),"الأحد","الاثنين","الثلاثاء","الأربعاء","الخميس","الجمعة","السبت")&amp;IF(OR(ISNUMBER(A509),LEN(TRIM(A509))&gt;=10),"","  "&amp;TEXT(DAY(H509),"00")&amp;"/"&amp;TEXT(MONTH(H509),"00")&amp;"/"&amp;YEAR(H509)))</f>
        <v/>
      </c>
      <c r="C509" s="24"/>
      <c r="D509" s="27"/>
      <c r="E509" s="44"/>
      <c r="F509" s="27"/>
      <c r="G509" s="0" t="str">
        <f aca="false">IF(AND(C509&lt;&gt;"",COUNTIF(C$6:C509,C509)=1),MAX(G$5:G508)+1,"")</f>
        <v/>
      </c>
      <c r="H509" s="0" t="str">
        <f aca="true">IF(A509="","",IF(ISNUMBER(A509),IF(A509&gt;=36526,A509,""),IFERROR(DATE(VALUE(RIGHT(RIGHT(TRIM(A509),10),4)),VALUE(MID(RIGHT(TRIM(A509),10),4,2)),VALUE(LEFT(RIGHT(TRIM(A509),10),2))),IFERROR(TODAY()-MOD(WEEKDAY(TODAY(),1)-MATCH(TRIM(A509),{"الأحد","الاثنين","الثلاثاء","الأربعاء","الخميس","الجمعة","السبت"},0),7),IFERROR(DATEVALUE(A509),"")))))</f>
        <v/>
      </c>
      <c r="I509" s="0" t="str">
        <f aca="false">IF(H509="","",INT((H509-WEEK_ONE)/7)+1)</f>
        <v/>
      </c>
      <c r="J509" s="0" t="str">
        <f aca="false">IF(I509="","",IF(OR(I509&lt;1,I509&gt;NW),"",INDEX(WMON,I509)))</f>
        <v/>
      </c>
    </row>
    <row r="510" customFormat="false" ht="15" hidden="false" customHeight="false" outlineLevel="0" collapsed="false">
      <c r="A510" s="43"/>
      <c r="B510" s="23" t="str">
        <f aca="false">IF(H510="","",CHOOSE(WEEKDAY(H510,1),"الأحد","الاثنين","الثلاثاء","الأربعاء","الخميس","الجمعة","السبت")&amp;IF(OR(ISNUMBER(A510),LEN(TRIM(A510))&gt;=10),"","  "&amp;TEXT(DAY(H510),"00")&amp;"/"&amp;TEXT(MONTH(H510),"00")&amp;"/"&amp;YEAR(H510)))</f>
        <v/>
      </c>
      <c r="C510" s="24"/>
      <c r="D510" s="27"/>
      <c r="E510" s="44"/>
      <c r="F510" s="27"/>
      <c r="G510" s="0" t="str">
        <f aca="false">IF(AND(C510&lt;&gt;"",COUNTIF(C$6:C510,C510)=1),MAX(G$5:G509)+1,"")</f>
        <v/>
      </c>
      <c r="H510" s="0" t="str">
        <f aca="true">IF(A510="","",IF(ISNUMBER(A510),IF(A510&gt;=36526,A510,""),IFERROR(DATE(VALUE(RIGHT(RIGHT(TRIM(A510),10),4)),VALUE(MID(RIGHT(TRIM(A510),10),4,2)),VALUE(LEFT(RIGHT(TRIM(A510),10),2))),IFERROR(TODAY()-MOD(WEEKDAY(TODAY(),1)-MATCH(TRIM(A510),{"الأحد","الاثنين","الثلاثاء","الأربعاء","الخميس","الجمعة","السبت"},0),7),IFERROR(DATEVALUE(A510),"")))))</f>
        <v/>
      </c>
      <c r="I510" s="0" t="str">
        <f aca="false">IF(H510="","",INT((H510-WEEK_ONE)/7)+1)</f>
        <v/>
      </c>
      <c r="J510" s="0" t="str">
        <f aca="false">IF(I510="","",IF(OR(I510&lt;1,I510&gt;NW),"",INDEX(WMON,I510)))</f>
        <v/>
      </c>
    </row>
    <row r="511" customFormat="false" ht="15" hidden="false" customHeight="false" outlineLevel="0" collapsed="false">
      <c r="A511" s="43"/>
      <c r="B511" s="23" t="str">
        <f aca="false">IF(H511="","",CHOOSE(WEEKDAY(H511,1),"الأحد","الاثنين","الثلاثاء","الأربعاء","الخميس","الجمعة","السبت")&amp;IF(OR(ISNUMBER(A511),LEN(TRIM(A511))&gt;=10),"","  "&amp;TEXT(DAY(H511),"00")&amp;"/"&amp;TEXT(MONTH(H511),"00")&amp;"/"&amp;YEAR(H511)))</f>
        <v/>
      </c>
      <c r="C511" s="24"/>
      <c r="D511" s="27"/>
      <c r="E511" s="44"/>
      <c r="F511" s="27"/>
      <c r="G511" s="0" t="str">
        <f aca="false">IF(AND(C511&lt;&gt;"",COUNTIF(C$6:C511,C511)=1),MAX(G$5:G510)+1,"")</f>
        <v/>
      </c>
      <c r="H511" s="0" t="str">
        <f aca="true">IF(A511="","",IF(ISNUMBER(A511),IF(A511&gt;=36526,A511,""),IFERROR(DATE(VALUE(RIGHT(RIGHT(TRIM(A511),10),4)),VALUE(MID(RIGHT(TRIM(A511),10),4,2)),VALUE(LEFT(RIGHT(TRIM(A511),10),2))),IFERROR(TODAY()-MOD(WEEKDAY(TODAY(),1)-MATCH(TRIM(A511),{"الأحد","الاثنين","الثلاثاء","الأربعاء","الخميس","الجمعة","السبت"},0),7),IFERROR(DATEVALUE(A511),"")))))</f>
        <v/>
      </c>
      <c r="I511" s="0" t="str">
        <f aca="false">IF(H511="","",INT((H511-WEEK_ONE)/7)+1)</f>
        <v/>
      </c>
      <c r="J511" s="0" t="str">
        <f aca="false">IF(I511="","",IF(OR(I511&lt;1,I511&gt;NW),"",INDEX(WMON,I511)))</f>
        <v/>
      </c>
    </row>
    <row r="512" customFormat="false" ht="15" hidden="false" customHeight="false" outlineLevel="0" collapsed="false">
      <c r="A512" s="43"/>
      <c r="B512" s="23" t="str">
        <f aca="false">IF(H512="","",CHOOSE(WEEKDAY(H512,1),"الأحد","الاثنين","الثلاثاء","الأربعاء","الخميس","الجمعة","السبت")&amp;IF(OR(ISNUMBER(A512),LEN(TRIM(A512))&gt;=10),"","  "&amp;TEXT(DAY(H512),"00")&amp;"/"&amp;TEXT(MONTH(H512),"00")&amp;"/"&amp;YEAR(H512)))</f>
        <v/>
      </c>
      <c r="C512" s="24"/>
      <c r="D512" s="27"/>
      <c r="E512" s="44"/>
      <c r="F512" s="27"/>
      <c r="G512" s="0" t="str">
        <f aca="false">IF(AND(C512&lt;&gt;"",COUNTIF(C$6:C512,C512)=1),MAX(G$5:G511)+1,"")</f>
        <v/>
      </c>
      <c r="H512" s="0" t="str">
        <f aca="true">IF(A512="","",IF(ISNUMBER(A512),IF(A512&gt;=36526,A512,""),IFERROR(DATE(VALUE(RIGHT(RIGHT(TRIM(A512),10),4)),VALUE(MID(RIGHT(TRIM(A512),10),4,2)),VALUE(LEFT(RIGHT(TRIM(A512),10),2))),IFERROR(TODAY()-MOD(WEEKDAY(TODAY(),1)-MATCH(TRIM(A512),{"الأحد","الاثنين","الثلاثاء","الأربعاء","الخميس","الجمعة","السبت"},0),7),IFERROR(DATEVALUE(A512),"")))))</f>
        <v/>
      </c>
      <c r="I512" s="0" t="str">
        <f aca="false">IF(H512="","",INT((H512-WEEK_ONE)/7)+1)</f>
        <v/>
      </c>
      <c r="J512" s="0" t="str">
        <f aca="false">IF(I512="","",IF(OR(I512&lt;1,I512&gt;NW),"",INDEX(WMON,I512)))</f>
        <v/>
      </c>
    </row>
    <row r="513" customFormat="false" ht="15" hidden="false" customHeight="false" outlineLevel="0" collapsed="false">
      <c r="A513" s="43"/>
      <c r="B513" s="23" t="str">
        <f aca="false">IF(H513="","",CHOOSE(WEEKDAY(H513,1),"الأحد","الاثنين","الثلاثاء","الأربعاء","الخميس","الجمعة","السبت")&amp;IF(OR(ISNUMBER(A513),LEN(TRIM(A513))&gt;=10),"","  "&amp;TEXT(DAY(H513),"00")&amp;"/"&amp;TEXT(MONTH(H513),"00")&amp;"/"&amp;YEAR(H513)))</f>
        <v/>
      </c>
      <c r="C513" s="24"/>
      <c r="D513" s="27"/>
      <c r="E513" s="44"/>
      <c r="F513" s="27"/>
      <c r="G513" s="0" t="str">
        <f aca="false">IF(AND(C513&lt;&gt;"",COUNTIF(C$6:C513,C513)=1),MAX(G$5:G512)+1,"")</f>
        <v/>
      </c>
      <c r="H513" s="0" t="str">
        <f aca="true">IF(A513="","",IF(ISNUMBER(A513),IF(A513&gt;=36526,A513,""),IFERROR(DATE(VALUE(RIGHT(RIGHT(TRIM(A513),10),4)),VALUE(MID(RIGHT(TRIM(A513),10),4,2)),VALUE(LEFT(RIGHT(TRIM(A513),10),2))),IFERROR(TODAY()-MOD(WEEKDAY(TODAY(),1)-MATCH(TRIM(A513),{"الأحد","الاثنين","الثلاثاء","الأربعاء","الخميس","الجمعة","السبت"},0),7),IFERROR(DATEVALUE(A513),"")))))</f>
        <v/>
      </c>
      <c r="I513" s="0" t="str">
        <f aca="false">IF(H513="","",INT((H513-WEEK_ONE)/7)+1)</f>
        <v/>
      </c>
      <c r="J513" s="0" t="str">
        <f aca="false">IF(I513="","",IF(OR(I513&lt;1,I513&gt;NW),"",INDEX(WMON,I513)))</f>
        <v/>
      </c>
    </row>
    <row r="514" customFormat="false" ht="15" hidden="false" customHeight="false" outlineLevel="0" collapsed="false">
      <c r="A514" s="43"/>
      <c r="B514" s="23" t="str">
        <f aca="false">IF(H514="","",CHOOSE(WEEKDAY(H514,1),"الأحد","الاثنين","الثلاثاء","الأربعاء","الخميس","الجمعة","السبت")&amp;IF(OR(ISNUMBER(A514),LEN(TRIM(A514))&gt;=10),"","  "&amp;TEXT(DAY(H514),"00")&amp;"/"&amp;TEXT(MONTH(H514),"00")&amp;"/"&amp;YEAR(H514)))</f>
        <v/>
      </c>
      <c r="C514" s="24"/>
      <c r="D514" s="27"/>
      <c r="E514" s="44"/>
      <c r="F514" s="27"/>
      <c r="G514" s="0" t="str">
        <f aca="false">IF(AND(C514&lt;&gt;"",COUNTIF(C$6:C514,C514)=1),MAX(G$5:G513)+1,"")</f>
        <v/>
      </c>
      <c r="H514" s="0" t="str">
        <f aca="true">IF(A514="","",IF(ISNUMBER(A514),IF(A514&gt;=36526,A514,""),IFERROR(DATE(VALUE(RIGHT(RIGHT(TRIM(A514),10),4)),VALUE(MID(RIGHT(TRIM(A514),10),4,2)),VALUE(LEFT(RIGHT(TRIM(A514),10),2))),IFERROR(TODAY()-MOD(WEEKDAY(TODAY(),1)-MATCH(TRIM(A514),{"الأحد","الاثنين","الثلاثاء","الأربعاء","الخميس","الجمعة","السبت"},0),7),IFERROR(DATEVALUE(A514),"")))))</f>
        <v/>
      </c>
      <c r="I514" s="0" t="str">
        <f aca="false">IF(H514="","",INT((H514-WEEK_ONE)/7)+1)</f>
        <v/>
      </c>
      <c r="J514" s="0" t="str">
        <f aca="false">IF(I514="","",IF(OR(I514&lt;1,I514&gt;NW),"",INDEX(WMON,I514)))</f>
        <v/>
      </c>
    </row>
    <row r="515" customFormat="false" ht="15" hidden="false" customHeight="false" outlineLevel="0" collapsed="false">
      <c r="A515" s="43"/>
      <c r="B515" s="23" t="str">
        <f aca="false">IF(H515="","",CHOOSE(WEEKDAY(H515,1),"الأحد","الاثنين","الثلاثاء","الأربعاء","الخميس","الجمعة","السبت")&amp;IF(OR(ISNUMBER(A515),LEN(TRIM(A515))&gt;=10),"","  "&amp;TEXT(DAY(H515),"00")&amp;"/"&amp;TEXT(MONTH(H515),"00")&amp;"/"&amp;YEAR(H515)))</f>
        <v/>
      </c>
      <c r="C515" s="24"/>
      <c r="D515" s="27"/>
      <c r="E515" s="44"/>
      <c r="F515" s="27"/>
      <c r="G515" s="0" t="str">
        <f aca="false">IF(AND(C515&lt;&gt;"",COUNTIF(C$6:C515,C515)=1),MAX(G$5:G514)+1,"")</f>
        <v/>
      </c>
      <c r="H515" s="0" t="str">
        <f aca="true">IF(A515="","",IF(ISNUMBER(A515),IF(A515&gt;=36526,A515,""),IFERROR(DATE(VALUE(RIGHT(RIGHT(TRIM(A515),10),4)),VALUE(MID(RIGHT(TRIM(A515),10),4,2)),VALUE(LEFT(RIGHT(TRIM(A515),10),2))),IFERROR(TODAY()-MOD(WEEKDAY(TODAY(),1)-MATCH(TRIM(A515),{"الأحد","الاثنين","الثلاثاء","الأربعاء","الخميس","الجمعة","السبت"},0),7),IFERROR(DATEVALUE(A515),"")))))</f>
        <v/>
      </c>
      <c r="I515" s="0" t="str">
        <f aca="false">IF(H515="","",INT((H515-WEEK_ONE)/7)+1)</f>
        <v/>
      </c>
      <c r="J515" s="0" t="str">
        <f aca="false">IF(I515="","",IF(OR(I515&lt;1,I515&gt;NW),"",INDEX(WMON,I515)))</f>
        <v/>
      </c>
    </row>
    <row r="516" customFormat="false" ht="15" hidden="false" customHeight="false" outlineLevel="0" collapsed="false">
      <c r="A516" s="43"/>
      <c r="B516" s="23" t="str">
        <f aca="false">IF(H516="","",CHOOSE(WEEKDAY(H516,1),"الأحد","الاثنين","الثلاثاء","الأربعاء","الخميس","الجمعة","السبت")&amp;IF(OR(ISNUMBER(A516),LEN(TRIM(A516))&gt;=10),"","  "&amp;TEXT(DAY(H516),"00")&amp;"/"&amp;TEXT(MONTH(H516),"00")&amp;"/"&amp;YEAR(H516)))</f>
        <v/>
      </c>
      <c r="C516" s="24"/>
      <c r="D516" s="27"/>
      <c r="E516" s="44"/>
      <c r="F516" s="27"/>
      <c r="G516" s="0" t="str">
        <f aca="false">IF(AND(C516&lt;&gt;"",COUNTIF(C$6:C516,C516)=1),MAX(G$5:G515)+1,"")</f>
        <v/>
      </c>
      <c r="H516" s="0" t="str">
        <f aca="true">IF(A516="","",IF(ISNUMBER(A516),IF(A516&gt;=36526,A516,""),IFERROR(DATE(VALUE(RIGHT(RIGHT(TRIM(A516),10),4)),VALUE(MID(RIGHT(TRIM(A516),10),4,2)),VALUE(LEFT(RIGHT(TRIM(A516),10),2))),IFERROR(TODAY()-MOD(WEEKDAY(TODAY(),1)-MATCH(TRIM(A516),{"الأحد","الاثنين","الثلاثاء","الأربعاء","الخميس","الجمعة","السبت"},0),7),IFERROR(DATEVALUE(A516),"")))))</f>
        <v/>
      </c>
      <c r="I516" s="0" t="str">
        <f aca="false">IF(H516="","",INT((H516-WEEK_ONE)/7)+1)</f>
        <v/>
      </c>
      <c r="J516" s="0" t="str">
        <f aca="false">IF(I516="","",IF(OR(I516&lt;1,I516&gt;NW),"",INDEX(WMON,I516)))</f>
        <v/>
      </c>
    </row>
    <row r="517" customFormat="false" ht="15" hidden="false" customHeight="false" outlineLevel="0" collapsed="false">
      <c r="A517" s="43"/>
      <c r="B517" s="23" t="str">
        <f aca="false">IF(H517="","",CHOOSE(WEEKDAY(H517,1),"الأحد","الاثنين","الثلاثاء","الأربعاء","الخميس","الجمعة","السبت")&amp;IF(OR(ISNUMBER(A517),LEN(TRIM(A517))&gt;=10),"","  "&amp;TEXT(DAY(H517),"00")&amp;"/"&amp;TEXT(MONTH(H517),"00")&amp;"/"&amp;YEAR(H517)))</f>
        <v/>
      </c>
      <c r="C517" s="24"/>
      <c r="D517" s="27"/>
      <c r="E517" s="44"/>
      <c r="F517" s="27"/>
      <c r="G517" s="0" t="str">
        <f aca="false">IF(AND(C517&lt;&gt;"",COUNTIF(C$6:C517,C517)=1),MAX(G$5:G516)+1,"")</f>
        <v/>
      </c>
      <c r="H517" s="0" t="str">
        <f aca="true">IF(A517="","",IF(ISNUMBER(A517),IF(A517&gt;=36526,A517,""),IFERROR(DATE(VALUE(RIGHT(RIGHT(TRIM(A517),10),4)),VALUE(MID(RIGHT(TRIM(A517),10),4,2)),VALUE(LEFT(RIGHT(TRIM(A517),10),2))),IFERROR(TODAY()-MOD(WEEKDAY(TODAY(),1)-MATCH(TRIM(A517),{"الأحد","الاثنين","الثلاثاء","الأربعاء","الخميس","الجمعة","السبت"},0),7),IFERROR(DATEVALUE(A517),"")))))</f>
        <v/>
      </c>
      <c r="I517" s="0" t="str">
        <f aca="false">IF(H517="","",INT((H517-WEEK_ONE)/7)+1)</f>
        <v/>
      </c>
      <c r="J517" s="0" t="str">
        <f aca="false">IF(I517="","",IF(OR(I517&lt;1,I517&gt;NW),"",INDEX(WMON,I517)))</f>
        <v/>
      </c>
    </row>
    <row r="518" customFormat="false" ht="15" hidden="false" customHeight="false" outlineLevel="0" collapsed="false">
      <c r="A518" s="43"/>
      <c r="B518" s="23" t="str">
        <f aca="false">IF(H518="","",CHOOSE(WEEKDAY(H518,1),"الأحد","الاثنين","الثلاثاء","الأربعاء","الخميس","الجمعة","السبت")&amp;IF(OR(ISNUMBER(A518),LEN(TRIM(A518))&gt;=10),"","  "&amp;TEXT(DAY(H518),"00")&amp;"/"&amp;TEXT(MONTH(H518),"00")&amp;"/"&amp;YEAR(H518)))</f>
        <v/>
      </c>
      <c r="C518" s="24"/>
      <c r="D518" s="27"/>
      <c r="E518" s="44"/>
      <c r="F518" s="27"/>
      <c r="G518" s="0" t="str">
        <f aca="false">IF(AND(C518&lt;&gt;"",COUNTIF(C$6:C518,C518)=1),MAX(G$5:G517)+1,"")</f>
        <v/>
      </c>
      <c r="H518" s="0" t="str">
        <f aca="true">IF(A518="","",IF(ISNUMBER(A518),IF(A518&gt;=36526,A518,""),IFERROR(DATE(VALUE(RIGHT(RIGHT(TRIM(A518),10),4)),VALUE(MID(RIGHT(TRIM(A518),10),4,2)),VALUE(LEFT(RIGHT(TRIM(A518),10),2))),IFERROR(TODAY()-MOD(WEEKDAY(TODAY(),1)-MATCH(TRIM(A518),{"الأحد","الاثنين","الثلاثاء","الأربعاء","الخميس","الجمعة","السبت"},0),7),IFERROR(DATEVALUE(A518),"")))))</f>
        <v/>
      </c>
      <c r="I518" s="0" t="str">
        <f aca="false">IF(H518="","",INT((H518-WEEK_ONE)/7)+1)</f>
        <v/>
      </c>
      <c r="J518" s="0" t="str">
        <f aca="false">IF(I518="","",IF(OR(I518&lt;1,I518&gt;NW),"",INDEX(WMON,I518)))</f>
        <v/>
      </c>
    </row>
    <row r="519" customFormat="false" ht="15" hidden="false" customHeight="false" outlineLevel="0" collapsed="false">
      <c r="A519" s="43"/>
      <c r="B519" s="23" t="str">
        <f aca="false">IF(H519="","",CHOOSE(WEEKDAY(H519,1),"الأحد","الاثنين","الثلاثاء","الأربعاء","الخميس","الجمعة","السبت")&amp;IF(OR(ISNUMBER(A519),LEN(TRIM(A519))&gt;=10),"","  "&amp;TEXT(DAY(H519),"00")&amp;"/"&amp;TEXT(MONTH(H519),"00")&amp;"/"&amp;YEAR(H519)))</f>
        <v/>
      </c>
      <c r="C519" s="24"/>
      <c r="D519" s="27"/>
      <c r="E519" s="44"/>
      <c r="F519" s="27"/>
      <c r="G519" s="0" t="str">
        <f aca="false">IF(AND(C519&lt;&gt;"",COUNTIF(C$6:C519,C519)=1),MAX(G$5:G518)+1,"")</f>
        <v/>
      </c>
      <c r="H519" s="0" t="str">
        <f aca="true">IF(A519="","",IF(ISNUMBER(A519),IF(A519&gt;=36526,A519,""),IFERROR(DATE(VALUE(RIGHT(RIGHT(TRIM(A519),10),4)),VALUE(MID(RIGHT(TRIM(A519),10),4,2)),VALUE(LEFT(RIGHT(TRIM(A519),10),2))),IFERROR(TODAY()-MOD(WEEKDAY(TODAY(),1)-MATCH(TRIM(A519),{"الأحد","الاثنين","الثلاثاء","الأربعاء","الخميس","الجمعة","السبت"},0),7),IFERROR(DATEVALUE(A519),"")))))</f>
        <v/>
      </c>
      <c r="I519" s="0" t="str">
        <f aca="false">IF(H519="","",INT((H519-WEEK_ONE)/7)+1)</f>
        <v/>
      </c>
      <c r="J519" s="0" t="str">
        <f aca="false">IF(I519="","",IF(OR(I519&lt;1,I519&gt;NW),"",INDEX(WMON,I519)))</f>
        <v/>
      </c>
    </row>
    <row r="520" customFormat="false" ht="15" hidden="false" customHeight="false" outlineLevel="0" collapsed="false">
      <c r="A520" s="43"/>
      <c r="B520" s="23" t="str">
        <f aca="false">IF(H520="","",CHOOSE(WEEKDAY(H520,1),"الأحد","الاثنين","الثلاثاء","الأربعاء","الخميس","الجمعة","السبت")&amp;IF(OR(ISNUMBER(A520),LEN(TRIM(A520))&gt;=10),"","  "&amp;TEXT(DAY(H520),"00")&amp;"/"&amp;TEXT(MONTH(H520),"00")&amp;"/"&amp;YEAR(H520)))</f>
        <v/>
      </c>
      <c r="C520" s="24"/>
      <c r="D520" s="27"/>
      <c r="E520" s="44"/>
      <c r="F520" s="27"/>
      <c r="G520" s="0" t="str">
        <f aca="false">IF(AND(C520&lt;&gt;"",COUNTIF(C$6:C520,C520)=1),MAX(G$5:G519)+1,"")</f>
        <v/>
      </c>
      <c r="H520" s="0" t="str">
        <f aca="true">IF(A520="","",IF(ISNUMBER(A520),IF(A520&gt;=36526,A520,""),IFERROR(DATE(VALUE(RIGHT(RIGHT(TRIM(A520),10),4)),VALUE(MID(RIGHT(TRIM(A520),10),4,2)),VALUE(LEFT(RIGHT(TRIM(A520),10),2))),IFERROR(TODAY()-MOD(WEEKDAY(TODAY(),1)-MATCH(TRIM(A520),{"الأحد","الاثنين","الثلاثاء","الأربعاء","الخميس","الجمعة","السبت"},0),7),IFERROR(DATEVALUE(A520),"")))))</f>
        <v/>
      </c>
      <c r="I520" s="0" t="str">
        <f aca="false">IF(H520="","",INT((H520-WEEK_ONE)/7)+1)</f>
        <v/>
      </c>
      <c r="J520" s="0" t="str">
        <f aca="false">IF(I520="","",IF(OR(I520&lt;1,I520&gt;NW),"",INDEX(WMON,I520)))</f>
        <v/>
      </c>
    </row>
    <row r="521" customFormat="false" ht="15" hidden="false" customHeight="false" outlineLevel="0" collapsed="false">
      <c r="A521" s="43"/>
      <c r="B521" s="23" t="str">
        <f aca="false">IF(H521="","",CHOOSE(WEEKDAY(H521,1),"الأحد","الاثنين","الثلاثاء","الأربعاء","الخميس","الجمعة","السبت")&amp;IF(OR(ISNUMBER(A521),LEN(TRIM(A521))&gt;=10),"","  "&amp;TEXT(DAY(H521),"00")&amp;"/"&amp;TEXT(MONTH(H521),"00")&amp;"/"&amp;YEAR(H521)))</f>
        <v/>
      </c>
      <c r="C521" s="24"/>
      <c r="D521" s="27"/>
      <c r="E521" s="44"/>
      <c r="F521" s="27"/>
      <c r="G521" s="0" t="str">
        <f aca="false">IF(AND(C521&lt;&gt;"",COUNTIF(C$6:C521,C521)=1),MAX(G$5:G520)+1,"")</f>
        <v/>
      </c>
      <c r="H521" s="0" t="str">
        <f aca="true">IF(A521="","",IF(ISNUMBER(A521),IF(A521&gt;=36526,A521,""),IFERROR(DATE(VALUE(RIGHT(RIGHT(TRIM(A521),10),4)),VALUE(MID(RIGHT(TRIM(A521),10),4,2)),VALUE(LEFT(RIGHT(TRIM(A521),10),2))),IFERROR(TODAY()-MOD(WEEKDAY(TODAY(),1)-MATCH(TRIM(A521),{"الأحد","الاثنين","الثلاثاء","الأربعاء","الخميس","الجمعة","السبت"},0),7),IFERROR(DATEVALUE(A521),"")))))</f>
        <v/>
      </c>
      <c r="I521" s="0" t="str">
        <f aca="false">IF(H521="","",INT((H521-WEEK_ONE)/7)+1)</f>
        <v/>
      </c>
      <c r="J521" s="0" t="str">
        <f aca="false">IF(I521="","",IF(OR(I521&lt;1,I521&gt;NW),"",INDEX(WMON,I521)))</f>
        <v/>
      </c>
    </row>
    <row r="522" customFormat="false" ht="15" hidden="false" customHeight="false" outlineLevel="0" collapsed="false">
      <c r="A522" s="43"/>
      <c r="B522" s="23" t="str">
        <f aca="false">IF(H522="","",CHOOSE(WEEKDAY(H522,1),"الأحد","الاثنين","الثلاثاء","الأربعاء","الخميس","الجمعة","السبت")&amp;IF(OR(ISNUMBER(A522),LEN(TRIM(A522))&gt;=10),"","  "&amp;TEXT(DAY(H522),"00")&amp;"/"&amp;TEXT(MONTH(H522),"00")&amp;"/"&amp;YEAR(H522)))</f>
        <v/>
      </c>
      <c r="C522" s="24"/>
      <c r="D522" s="27"/>
      <c r="E522" s="44"/>
      <c r="F522" s="27"/>
      <c r="G522" s="0" t="str">
        <f aca="false">IF(AND(C522&lt;&gt;"",COUNTIF(C$6:C522,C522)=1),MAX(G$5:G521)+1,"")</f>
        <v/>
      </c>
      <c r="H522" s="0" t="str">
        <f aca="true">IF(A522="","",IF(ISNUMBER(A522),IF(A522&gt;=36526,A522,""),IFERROR(DATE(VALUE(RIGHT(RIGHT(TRIM(A522),10),4)),VALUE(MID(RIGHT(TRIM(A522),10),4,2)),VALUE(LEFT(RIGHT(TRIM(A522),10),2))),IFERROR(TODAY()-MOD(WEEKDAY(TODAY(),1)-MATCH(TRIM(A522),{"الأحد","الاثنين","الثلاثاء","الأربعاء","الخميس","الجمعة","السبت"},0),7),IFERROR(DATEVALUE(A522),"")))))</f>
        <v/>
      </c>
      <c r="I522" s="0" t="str">
        <f aca="false">IF(H522="","",INT((H522-WEEK_ONE)/7)+1)</f>
        <v/>
      </c>
      <c r="J522" s="0" t="str">
        <f aca="false">IF(I522="","",IF(OR(I522&lt;1,I522&gt;NW),"",INDEX(WMON,I522)))</f>
        <v/>
      </c>
    </row>
    <row r="523" customFormat="false" ht="15" hidden="false" customHeight="false" outlineLevel="0" collapsed="false">
      <c r="A523" s="43"/>
      <c r="B523" s="23" t="str">
        <f aca="false">IF(H523="","",CHOOSE(WEEKDAY(H523,1),"الأحد","الاثنين","الثلاثاء","الأربعاء","الخميس","الجمعة","السبت")&amp;IF(OR(ISNUMBER(A523),LEN(TRIM(A523))&gt;=10),"","  "&amp;TEXT(DAY(H523),"00")&amp;"/"&amp;TEXT(MONTH(H523),"00")&amp;"/"&amp;YEAR(H523)))</f>
        <v/>
      </c>
      <c r="C523" s="24"/>
      <c r="D523" s="27"/>
      <c r="E523" s="44"/>
      <c r="F523" s="27"/>
      <c r="G523" s="0" t="str">
        <f aca="false">IF(AND(C523&lt;&gt;"",COUNTIF(C$6:C523,C523)=1),MAX(G$5:G522)+1,"")</f>
        <v/>
      </c>
      <c r="H523" s="0" t="str">
        <f aca="true">IF(A523="","",IF(ISNUMBER(A523),IF(A523&gt;=36526,A523,""),IFERROR(DATE(VALUE(RIGHT(RIGHT(TRIM(A523),10),4)),VALUE(MID(RIGHT(TRIM(A523),10),4,2)),VALUE(LEFT(RIGHT(TRIM(A523),10),2))),IFERROR(TODAY()-MOD(WEEKDAY(TODAY(),1)-MATCH(TRIM(A523),{"الأحد","الاثنين","الثلاثاء","الأربعاء","الخميس","الجمعة","السبت"},0),7),IFERROR(DATEVALUE(A523),"")))))</f>
        <v/>
      </c>
      <c r="I523" s="0" t="str">
        <f aca="false">IF(H523="","",INT((H523-WEEK_ONE)/7)+1)</f>
        <v/>
      </c>
      <c r="J523" s="0" t="str">
        <f aca="false">IF(I523="","",IF(OR(I523&lt;1,I523&gt;NW),"",INDEX(WMON,I523)))</f>
        <v/>
      </c>
    </row>
    <row r="524" customFormat="false" ht="15" hidden="false" customHeight="false" outlineLevel="0" collapsed="false">
      <c r="A524" s="43"/>
      <c r="B524" s="23" t="str">
        <f aca="false">IF(H524="","",CHOOSE(WEEKDAY(H524,1),"الأحد","الاثنين","الثلاثاء","الأربعاء","الخميس","الجمعة","السبت")&amp;IF(OR(ISNUMBER(A524),LEN(TRIM(A524))&gt;=10),"","  "&amp;TEXT(DAY(H524),"00")&amp;"/"&amp;TEXT(MONTH(H524),"00")&amp;"/"&amp;YEAR(H524)))</f>
        <v/>
      </c>
      <c r="C524" s="24"/>
      <c r="D524" s="27"/>
      <c r="E524" s="44"/>
      <c r="F524" s="27"/>
      <c r="G524" s="0" t="str">
        <f aca="false">IF(AND(C524&lt;&gt;"",COUNTIF(C$6:C524,C524)=1),MAX(G$5:G523)+1,"")</f>
        <v/>
      </c>
      <c r="H524" s="0" t="str">
        <f aca="true">IF(A524="","",IF(ISNUMBER(A524),IF(A524&gt;=36526,A524,""),IFERROR(DATE(VALUE(RIGHT(RIGHT(TRIM(A524),10),4)),VALUE(MID(RIGHT(TRIM(A524),10),4,2)),VALUE(LEFT(RIGHT(TRIM(A524),10),2))),IFERROR(TODAY()-MOD(WEEKDAY(TODAY(),1)-MATCH(TRIM(A524),{"الأحد","الاثنين","الثلاثاء","الأربعاء","الخميس","الجمعة","السبت"},0),7),IFERROR(DATEVALUE(A524),"")))))</f>
        <v/>
      </c>
      <c r="I524" s="0" t="str">
        <f aca="false">IF(H524="","",INT((H524-WEEK_ONE)/7)+1)</f>
        <v/>
      </c>
      <c r="J524" s="0" t="str">
        <f aca="false">IF(I524="","",IF(OR(I524&lt;1,I524&gt;NW),"",INDEX(WMON,I524)))</f>
        <v/>
      </c>
    </row>
    <row r="525" customFormat="false" ht="15" hidden="false" customHeight="false" outlineLevel="0" collapsed="false">
      <c r="A525" s="43"/>
      <c r="B525" s="23" t="str">
        <f aca="false">IF(H525="","",CHOOSE(WEEKDAY(H525,1),"الأحد","الاثنين","الثلاثاء","الأربعاء","الخميس","الجمعة","السبت")&amp;IF(OR(ISNUMBER(A525),LEN(TRIM(A525))&gt;=10),"","  "&amp;TEXT(DAY(H525),"00")&amp;"/"&amp;TEXT(MONTH(H525),"00")&amp;"/"&amp;YEAR(H525)))</f>
        <v/>
      </c>
      <c r="C525" s="24"/>
      <c r="D525" s="27"/>
      <c r="E525" s="44"/>
      <c r="F525" s="27"/>
      <c r="G525" s="0" t="str">
        <f aca="false">IF(AND(C525&lt;&gt;"",COUNTIF(C$6:C525,C525)=1),MAX(G$5:G524)+1,"")</f>
        <v/>
      </c>
      <c r="H525" s="0" t="str">
        <f aca="true">IF(A525="","",IF(ISNUMBER(A525),IF(A525&gt;=36526,A525,""),IFERROR(DATE(VALUE(RIGHT(RIGHT(TRIM(A525),10),4)),VALUE(MID(RIGHT(TRIM(A525),10),4,2)),VALUE(LEFT(RIGHT(TRIM(A525),10),2))),IFERROR(TODAY()-MOD(WEEKDAY(TODAY(),1)-MATCH(TRIM(A525),{"الأحد","الاثنين","الثلاثاء","الأربعاء","الخميس","الجمعة","السبت"},0),7),IFERROR(DATEVALUE(A525),"")))))</f>
        <v/>
      </c>
      <c r="I525" s="0" t="str">
        <f aca="false">IF(H525="","",INT((H525-WEEK_ONE)/7)+1)</f>
        <v/>
      </c>
      <c r="J525" s="0" t="str">
        <f aca="false">IF(I525="","",IF(OR(I525&lt;1,I525&gt;NW),"",INDEX(WMON,I525)))</f>
        <v/>
      </c>
    </row>
    <row r="526" customFormat="false" ht="15" hidden="false" customHeight="false" outlineLevel="0" collapsed="false">
      <c r="A526" s="43"/>
      <c r="B526" s="23" t="str">
        <f aca="false">IF(H526="","",CHOOSE(WEEKDAY(H526,1),"الأحد","الاثنين","الثلاثاء","الأربعاء","الخميس","الجمعة","السبت")&amp;IF(OR(ISNUMBER(A526),LEN(TRIM(A526))&gt;=10),"","  "&amp;TEXT(DAY(H526),"00")&amp;"/"&amp;TEXT(MONTH(H526),"00")&amp;"/"&amp;YEAR(H526)))</f>
        <v/>
      </c>
      <c r="C526" s="24"/>
      <c r="D526" s="27"/>
      <c r="E526" s="44"/>
      <c r="F526" s="27"/>
      <c r="G526" s="0" t="str">
        <f aca="false">IF(AND(C526&lt;&gt;"",COUNTIF(C$6:C526,C526)=1),MAX(G$5:G525)+1,"")</f>
        <v/>
      </c>
      <c r="H526" s="0" t="str">
        <f aca="true">IF(A526="","",IF(ISNUMBER(A526),IF(A526&gt;=36526,A526,""),IFERROR(DATE(VALUE(RIGHT(RIGHT(TRIM(A526),10),4)),VALUE(MID(RIGHT(TRIM(A526),10),4,2)),VALUE(LEFT(RIGHT(TRIM(A526),10),2))),IFERROR(TODAY()-MOD(WEEKDAY(TODAY(),1)-MATCH(TRIM(A526),{"الأحد","الاثنين","الثلاثاء","الأربعاء","الخميس","الجمعة","السبت"},0),7),IFERROR(DATEVALUE(A526),"")))))</f>
        <v/>
      </c>
      <c r="I526" s="0" t="str">
        <f aca="false">IF(H526="","",INT((H526-WEEK_ONE)/7)+1)</f>
        <v/>
      </c>
      <c r="J526" s="0" t="str">
        <f aca="false">IF(I526="","",IF(OR(I526&lt;1,I526&gt;NW),"",INDEX(WMON,I526)))</f>
        <v/>
      </c>
    </row>
    <row r="527" customFormat="false" ht="15" hidden="false" customHeight="false" outlineLevel="0" collapsed="false">
      <c r="A527" s="43"/>
      <c r="B527" s="23" t="str">
        <f aca="false">IF(H527="","",CHOOSE(WEEKDAY(H527,1),"الأحد","الاثنين","الثلاثاء","الأربعاء","الخميس","الجمعة","السبت")&amp;IF(OR(ISNUMBER(A527),LEN(TRIM(A527))&gt;=10),"","  "&amp;TEXT(DAY(H527),"00")&amp;"/"&amp;TEXT(MONTH(H527),"00")&amp;"/"&amp;YEAR(H527)))</f>
        <v/>
      </c>
      <c r="C527" s="24"/>
      <c r="D527" s="27"/>
      <c r="E527" s="44"/>
      <c r="F527" s="27"/>
      <c r="G527" s="0" t="str">
        <f aca="false">IF(AND(C527&lt;&gt;"",COUNTIF(C$6:C527,C527)=1),MAX(G$5:G526)+1,"")</f>
        <v/>
      </c>
      <c r="H527" s="0" t="str">
        <f aca="true">IF(A527="","",IF(ISNUMBER(A527),IF(A527&gt;=36526,A527,""),IFERROR(DATE(VALUE(RIGHT(RIGHT(TRIM(A527),10),4)),VALUE(MID(RIGHT(TRIM(A527),10),4,2)),VALUE(LEFT(RIGHT(TRIM(A527),10),2))),IFERROR(TODAY()-MOD(WEEKDAY(TODAY(),1)-MATCH(TRIM(A527),{"الأحد","الاثنين","الثلاثاء","الأربعاء","الخميس","الجمعة","السبت"},0),7),IFERROR(DATEVALUE(A527),"")))))</f>
        <v/>
      </c>
      <c r="I527" s="0" t="str">
        <f aca="false">IF(H527="","",INT((H527-WEEK_ONE)/7)+1)</f>
        <v/>
      </c>
      <c r="J527" s="0" t="str">
        <f aca="false">IF(I527="","",IF(OR(I527&lt;1,I527&gt;NW),"",INDEX(WMON,I527)))</f>
        <v/>
      </c>
    </row>
    <row r="528" customFormat="false" ht="15" hidden="false" customHeight="false" outlineLevel="0" collapsed="false">
      <c r="A528" s="43"/>
      <c r="B528" s="23" t="str">
        <f aca="false">IF(H528="","",CHOOSE(WEEKDAY(H528,1),"الأحد","الاثنين","الثلاثاء","الأربعاء","الخميس","الجمعة","السبت")&amp;IF(OR(ISNUMBER(A528),LEN(TRIM(A528))&gt;=10),"","  "&amp;TEXT(DAY(H528),"00")&amp;"/"&amp;TEXT(MONTH(H528),"00")&amp;"/"&amp;YEAR(H528)))</f>
        <v/>
      </c>
      <c r="C528" s="24"/>
      <c r="D528" s="27"/>
      <c r="E528" s="44"/>
      <c r="F528" s="27"/>
      <c r="G528" s="0" t="str">
        <f aca="false">IF(AND(C528&lt;&gt;"",COUNTIF(C$6:C528,C528)=1),MAX(G$5:G527)+1,"")</f>
        <v/>
      </c>
      <c r="H528" s="0" t="str">
        <f aca="true">IF(A528="","",IF(ISNUMBER(A528),IF(A528&gt;=36526,A528,""),IFERROR(DATE(VALUE(RIGHT(RIGHT(TRIM(A528),10),4)),VALUE(MID(RIGHT(TRIM(A528),10),4,2)),VALUE(LEFT(RIGHT(TRIM(A528),10),2))),IFERROR(TODAY()-MOD(WEEKDAY(TODAY(),1)-MATCH(TRIM(A528),{"الأحد","الاثنين","الثلاثاء","الأربعاء","الخميس","الجمعة","السبت"},0),7),IFERROR(DATEVALUE(A528),"")))))</f>
        <v/>
      </c>
      <c r="I528" s="0" t="str">
        <f aca="false">IF(H528="","",INT((H528-WEEK_ONE)/7)+1)</f>
        <v/>
      </c>
      <c r="J528" s="0" t="str">
        <f aca="false">IF(I528="","",IF(OR(I528&lt;1,I528&gt;NW),"",INDEX(WMON,I528)))</f>
        <v/>
      </c>
    </row>
    <row r="529" customFormat="false" ht="15" hidden="false" customHeight="false" outlineLevel="0" collapsed="false">
      <c r="A529" s="43"/>
      <c r="B529" s="23" t="str">
        <f aca="false">IF(H529="","",CHOOSE(WEEKDAY(H529,1),"الأحد","الاثنين","الثلاثاء","الأربعاء","الخميس","الجمعة","السبت")&amp;IF(OR(ISNUMBER(A529),LEN(TRIM(A529))&gt;=10),"","  "&amp;TEXT(DAY(H529),"00")&amp;"/"&amp;TEXT(MONTH(H529),"00")&amp;"/"&amp;YEAR(H529)))</f>
        <v/>
      </c>
      <c r="C529" s="24"/>
      <c r="D529" s="27"/>
      <c r="E529" s="44"/>
      <c r="F529" s="27"/>
      <c r="G529" s="0" t="str">
        <f aca="false">IF(AND(C529&lt;&gt;"",COUNTIF(C$6:C529,C529)=1),MAX(G$5:G528)+1,"")</f>
        <v/>
      </c>
      <c r="H529" s="0" t="str">
        <f aca="true">IF(A529="","",IF(ISNUMBER(A529),IF(A529&gt;=36526,A529,""),IFERROR(DATE(VALUE(RIGHT(RIGHT(TRIM(A529),10),4)),VALUE(MID(RIGHT(TRIM(A529),10),4,2)),VALUE(LEFT(RIGHT(TRIM(A529),10),2))),IFERROR(TODAY()-MOD(WEEKDAY(TODAY(),1)-MATCH(TRIM(A529),{"الأحد","الاثنين","الثلاثاء","الأربعاء","الخميس","الجمعة","السبت"},0),7),IFERROR(DATEVALUE(A529),"")))))</f>
        <v/>
      </c>
      <c r="I529" s="0" t="str">
        <f aca="false">IF(H529="","",INT((H529-WEEK_ONE)/7)+1)</f>
        <v/>
      </c>
      <c r="J529" s="0" t="str">
        <f aca="false">IF(I529="","",IF(OR(I529&lt;1,I529&gt;NW),"",INDEX(WMON,I529)))</f>
        <v/>
      </c>
    </row>
    <row r="530" customFormat="false" ht="15" hidden="false" customHeight="false" outlineLevel="0" collapsed="false">
      <c r="A530" s="43"/>
      <c r="B530" s="23" t="str">
        <f aca="false">IF(H530="","",CHOOSE(WEEKDAY(H530,1),"الأحد","الاثنين","الثلاثاء","الأربعاء","الخميس","الجمعة","السبت")&amp;IF(OR(ISNUMBER(A530),LEN(TRIM(A530))&gt;=10),"","  "&amp;TEXT(DAY(H530),"00")&amp;"/"&amp;TEXT(MONTH(H530),"00")&amp;"/"&amp;YEAR(H530)))</f>
        <v/>
      </c>
      <c r="C530" s="24"/>
      <c r="D530" s="27"/>
      <c r="E530" s="44"/>
      <c r="F530" s="27"/>
      <c r="G530" s="0" t="str">
        <f aca="false">IF(AND(C530&lt;&gt;"",COUNTIF(C$6:C530,C530)=1),MAX(G$5:G529)+1,"")</f>
        <v/>
      </c>
      <c r="H530" s="0" t="str">
        <f aca="true">IF(A530="","",IF(ISNUMBER(A530),IF(A530&gt;=36526,A530,""),IFERROR(DATE(VALUE(RIGHT(RIGHT(TRIM(A530),10),4)),VALUE(MID(RIGHT(TRIM(A530),10),4,2)),VALUE(LEFT(RIGHT(TRIM(A530),10),2))),IFERROR(TODAY()-MOD(WEEKDAY(TODAY(),1)-MATCH(TRIM(A530),{"الأحد","الاثنين","الثلاثاء","الأربعاء","الخميس","الجمعة","السبت"},0),7),IFERROR(DATEVALUE(A530),"")))))</f>
        <v/>
      </c>
      <c r="I530" s="0" t="str">
        <f aca="false">IF(H530="","",INT((H530-WEEK_ONE)/7)+1)</f>
        <v/>
      </c>
      <c r="J530" s="0" t="str">
        <f aca="false">IF(I530="","",IF(OR(I530&lt;1,I530&gt;NW),"",INDEX(WMON,I530)))</f>
        <v/>
      </c>
    </row>
    <row r="531" customFormat="false" ht="15" hidden="false" customHeight="false" outlineLevel="0" collapsed="false">
      <c r="A531" s="43"/>
      <c r="B531" s="23" t="str">
        <f aca="false">IF(H531="","",CHOOSE(WEEKDAY(H531,1),"الأحد","الاثنين","الثلاثاء","الأربعاء","الخميس","الجمعة","السبت")&amp;IF(OR(ISNUMBER(A531),LEN(TRIM(A531))&gt;=10),"","  "&amp;TEXT(DAY(H531),"00")&amp;"/"&amp;TEXT(MONTH(H531),"00")&amp;"/"&amp;YEAR(H531)))</f>
        <v/>
      </c>
      <c r="C531" s="24"/>
      <c r="D531" s="27"/>
      <c r="E531" s="44"/>
      <c r="F531" s="27"/>
      <c r="G531" s="0" t="str">
        <f aca="false">IF(AND(C531&lt;&gt;"",COUNTIF(C$6:C531,C531)=1),MAX(G$5:G530)+1,"")</f>
        <v/>
      </c>
      <c r="H531" s="0" t="str">
        <f aca="true">IF(A531="","",IF(ISNUMBER(A531),IF(A531&gt;=36526,A531,""),IFERROR(DATE(VALUE(RIGHT(RIGHT(TRIM(A531),10),4)),VALUE(MID(RIGHT(TRIM(A531),10),4,2)),VALUE(LEFT(RIGHT(TRIM(A531),10),2))),IFERROR(TODAY()-MOD(WEEKDAY(TODAY(),1)-MATCH(TRIM(A531),{"الأحد","الاثنين","الثلاثاء","الأربعاء","الخميس","الجمعة","السبت"},0),7),IFERROR(DATEVALUE(A531),"")))))</f>
        <v/>
      </c>
      <c r="I531" s="0" t="str">
        <f aca="false">IF(H531="","",INT((H531-WEEK_ONE)/7)+1)</f>
        <v/>
      </c>
      <c r="J531" s="0" t="str">
        <f aca="false">IF(I531="","",IF(OR(I531&lt;1,I531&gt;NW),"",INDEX(WMON,I531)))</f>
        <v/>
      </c>
    </row>
    <row r="532" customFormat="false" ht="15" hidden="false" customHeight="false" outlineLevel="0" collapsed="false">
      <c r="A532" s="43"/>
      <c r="B532" s="23" t="str">
        <f aca="false">IF(H532="","",CHOOSE(WEEKDAY(H532,1),"الأحد","الاثنين","الثلاثاء","الأربعاء","الخميس","الجمعة","السبت")&amp;IF(OR(ISNUMBER(A532),LEN(TRIM(A532))&gt;=10),"","  "&amp;TEXT(DAY(H532),"00")&amp;"/"&amp;TEXT(MONTH(H532),"00")&amp;"/"&amp;YEAR(H532)))</f>
        <v/>
      </c>
      <c r="C532" s="24"/>
      <c r="D532" s="27"/>
      <c r="E532" s="44"/>
      <c r="F532" s="27"/>
      <c r="G532" s="0" t="str">
        <f aca="false">IF(AND(C532&lt;&gt;"",COUNTIF(C$6:C532,C532)=1),MAX(G$5:G531)+1,"")</f>
        <v/>
      </c>
      <c r="H532" s="0" t="str">
        <f aca="true">IF(A532="","",IF(ISNUMBER(A532),IF(A532&gt;=36526,A532,""),IFERROR(DATE(VALUE(RIGHT(RIGHT(TRIM(A532),10),4)),VALUE(MID(RIGHT(TRIM(A532),10),4,2)),VALUE(LEFT(RIGHT(TRIM(A532),10),2))),IFERROR(TODAY()-MOD(WEEKDAY(TODAY(),1)-MATCH(TRIM(A532),{"الأحد","الاثنين","الثلاثاء","الأربعاء","الخميس","الجمعة","السبت"},0),7),IFERROR(DATEVALUE(A532),"")))))</f>
        <v/>
      </c>
      <c r="I532" s="0" t="str">
        <f aca="false">IF(H532="","",INT((H532-WEEK_ONE)/7)+1)</f>
        <v/>
      </c>
      <c r="J532" s="0" t="str">
        <f aca="false">IF(I532="","",IF(OR(I532&lt;1,I532&gt;NW),"",INDEX(WMON,I532)))</f>
        <v/>
      </c>
    </row>
    <row r="533" customFormat="false" ht="15" hidden="false" customHeight="false" outlineLevel="0" collapsed="false">
      <c r="A533" s="43"/>
      <c r="B533" s="23" t="str">
        <f aca="false">IF(H533="","",CHOOSE(WEEKDAY(H533,1),"الأحد","الاثنين","الثلاثاء","الأربعاء","الخميس","الجمعة","السبت")&amp;IF(OR(ISNUMBER(A533),LEN(TRIM(A533))&gt;=10),"","  "&amp;TEXT(DAY(H533),"00")&amp;"/"&amp;TEXT(MONTH(H533),"00")&amp;"/"&amp;YEAR(H533)))</f>
        <v/>
      </c>
      <c r="C533" s="24"/>
      <c r="D533" s="27"/>
      <c r="E533" s="44"/>
      <c r="F533" s="27"/>
      <c r="G533" s="0" t="str">
        <f aca="false">IF(AND(C533&lt;&gt;"",COUNTIF(C$6:C533,C533)=1),MAX(G$5:G532)+1,"")</f>
        <v/>
      </c>
      <c r="H533" s="0" t="str">
        <f aca="true">IF(A533="","",IF(ISNUMBER(A533),IF(A533&gt;=36526,A533,""),IFERROR(DATE(VALUE(RIGHT(RIGHT(TRIM(A533),10),4)),VALUE(MID(RIGHT(TRIM(A533),10),4,2)),VALUE(LEFT(RIGHT(TRIM(A533),10),2))),IFERROR(TODAY()-MOD(WEEKDAY(TODAY(),1)-MATCH(TRIM(A533),{"الأحد","الاثنين","الثلاثاء","الأربعاء","الخميس","الجمعة","السبت"},0),7),IFERROR(DATEVALUE(A533),"")))))</f>
        <v/>
      </c>
      <c r="I533" s="0" t="str">
        <f aca="false">IF(H533="","",INT((H533-WEEK_ONE)/7)+1)</f>
        <v/>
      </c>
      <c r="J533" s="0" t="str">
        <f aca="false">IF(I533="","",IF(OR(I533&lt;1,I533&gt;NW),"",INDEX(WMON,I533)))</f>
        <v/>
      </c>
    </row>
    <row r="534" customFormat="false" ht="15" hidden="false" customHeight="false" outlineLevel="0" collapsed="false">
      <c r="A534" s="43"/>
      <c r="B534" s="23" t="str">
        <f aca="false">IF(H534="","",CHOOSE(WEEKDAY(H534,1),"الأحد","الاثنين","الثلاثاء","الأربعاء","الخميس","الجمعة","السبت")&amp;IF(OR(ISNUMBER(A534),LEN(TRIM(A534))&gt;=10),"","  "&amp;TEXT(DAY(H534),"00")&amp;"/"&amp;TEXT(MONTH(H534),"00")&amp;"/"&amp;YEAR(H534)))</f>
        <v/>
      </c>
      <c r="C534" s="24"/>
      <c r="D534" s="27"/>
      <c r="E534" s="44"/>
      <c r="F534" s="27"/>
      <c r="G534" s="0" t="str">
        <f aca="false">IF(AND(C534&lt;&gt;"",COUNTIF(C$6:C534,C534)=1),MAX(G$5:G533)+1,"")</f>
        <v/>
      </c>
      <c r="H534" s="0" t="str">
        <f aca="true">IF(A534="","",IF(ISNUMBER(A534),IF(A534&gt;=36526,A534,""),IFERROR(DATE(VALUE(RIGHT(RIGHT(TRIM(A534),10),4)),VALUE(MID(RIGHT(TRIM(A534),10),4,2)),VALUE(LEFT(RIGHT(TRIM(A534),10),2))),IFERROR(TODAY()-MOD(WEEKDAY(TODAY(),1)-MATCH(TRIM(A534),{"الأحد","الاثنين","الثلاثاء","الأربعاء","الخميس","الجمعة","السبت"},0),7),IFERROR(DATEVALUE(A534),"")))))</f>
        <v/>
      </c>
      <c r="I534" s="0" t="str">
        <f aca="false">IF(H534="","",INT((H534-WEEK_ONE)/7)+1)</f>
        <v/>
      </c>
      <c r="J534" s="0" t="str">
        <f aca="false">IF(I534="","",IF(OR(I534&lt;1,I534&gt;NW),"",INDEX(WMON,I534)))</f>
        <v/>
      </c>
    </row>
    <row r="535" customFormat="false" ht="15" hidden="false" customHeight="false" outlineLevel="0" collapsed="false">
      <c r="A535" s="43"/>
      <c r="B535" s="23" t="str">
        <f aca="false">IF(H535="","",CHOOSE(WEEKDAY(H535,1),"الأحد","الاثنين","الثلاثاء","الأربعاء","الخميس","الجمعة","السبت")&amp;IF(OR(ISNUMBER(A535),LEN(TRIM(A535))&gt;=10),"","  "&amp;TEXT(DAY(H535),"00")&amp;"/"&amp;TEXT(MONTH(H535),"00")&amp;"/"&amp;YEAR(H535)))</f>
        <v/>
      </c>
      <c r="C535" s="24"/>
      <c r="D535" s="27"/>
      <c r="E535" s="44"/>
      <c r="F535" s="27"/>
      <c r="G535" s="0" t="str">
        <f aca="false">IF(AND(C535&lt;&gt;"",COUNTIF(C$6:C535,C535)=1),MAX(G$5:G534)+1,"")</f>
        <v/>
      </c>
      <c r="H535" s="0" t="str">
        <f aca="true">IF(A535="","",IF(ISNUMBER(A535),IF(A535&gt;=36526,A535,""),IFERROR(DATE(VALUE(RIGHT(RIGHT(TRIM(A535),10),4)),VALUE(MID(RIGHT(TRIM(A535),10),4,2)),VALUE(LEFT(RIGHT(TRIM(A535),10),2))),IFERROR(TODAY()-MOD(WEEKDAY(TODAY(),1)-MATCH(TRIM(A535),{"الأحد","الاثنين","الثلاثاء","الأربعاء","الخميس","الجمعة","السبت"},0),7),IFERROR(DATEVALUE(A535),"")))))</f>
        <v/>
      </c>
      <c r="I535" s="0" t="str">
        <f aca="false">IF(H535="","",INT((H535-WEEK_ONE)/7)+1)</f>
        <v/>
      </c>
      <c r="J535" s="0" t="str">
        <f aca="false">IF(I535="","",IF(OR(I535&lt;1,I535&gt;NW),"",INDEX(WMON,I535)))</f>
        <v/>
      </c>
    </row>
    <row r="536" customFormat="false" ht="15" hidden="false" customHeight="false" outlineLevel="0" collapsed="false">
      <c r="A536" s="43"/>
      <c r="B536" s="23" t="str">
        <f aca="false">IF(H536="","",CHOOSE(WEEKDAY(H536,1),"الأحد","الاثنين","الثلاثاء","الأربعاء","الخميس","الجمعة","السبت")&amp;IF(OR(ISNUMBER(A536),LEN(TRIM(A536))&gt;=10),"","  "&amp;TEXT(DAY(H536),"00")&amp;"/"&amp;TEXT(MONTH(H536),"00")&amp;"/"&amp;YEAR(H536)))</f>
        <v/>
      </c>
      <c r="C536" s="24"/>
      <c r="D536" s="27"/>
      <c r="E536" s="44"/>
      <c r="F536" s="27"/>
      <c r="G536" s="0" t="str">
        <f aca="false">IF(AND(C536&lt;&gt;"",COUNTIF(C$6:C536,C536)=1),MAX(G$5:G535)+1,"")</f>
        <v/>
      </c>
      <c r="H536" s="0" t="str">
        <f aca="true">IF(A536="","",IF(ISNUMBER(A536),IF(A536&gt;=36526,A536,""),IFERROR(DATE(VALUE(RIGHT(RIGHT(TRIM(A536),10),4)),VALUE(MID(RIGHT(TRIM(A536),10),4,2)),VALUE(LEFT(RIGHT(TRIM(A536),10),2))),IFERROR(TODAY()-MOD(WEEKDAY(TODAY(),1)-MATCH(TRIM(A536),{"الأحد","الاثنين","الثلاثاء","الأربعاء","الخميس","الجمعة","السبت"},0),7),IFERROR(DATEVALUE(A536),"")))))</f>
        <v/>
      </c>
      <c r="I536" s="0" t="str">
        <f aca="false">IF(H536="","",INT((H536-WEEK_ONE)/7)+1)</f>
        <v/>
      </c>
      <c r="J536" s="0" t="str">
        <f aca="false">IF(I536="","",IF(OR(I536&lt;1,I536&gt;NW),"",INDEX(WMON,I536)))</f>
        <v/>
      </c>
    </row>
    <row r="537" customFormat="false" ht="15" hidden="false" customHeight="false" outlineLevel="0" collapsed="false">
      <c r="A537" s="43"/>
      <c r="B537" s="23" t="str">
        <f aca="false">IF(H537="","",CHOOSE(WEEKDAY(H537,1),"الأحد","الاثنين","الثلاثاء","الأربعاء","الخميس","الجمعة","السبت")&amp;IF(OR(ISNUMBER(A537),LEN(TRIM(A537))&gt;=10),"","  "&amp;TEXT(DAY(H537),"00")&amp;"/"&amp;TEXT(MONTH(H537),"00")&amp;"/"&amp;YEAR(H537)))</f>
        <v/>
      </c>
      <c r="C537" s="24"/>
      <c r="D537" s="27"/>
      <c r="E537" s="44"/>
      <c r="F537" s="27"/>
      <c r="G537" s="0" t="str">
        <f aca="false">IF(AND(C537&lt;&gt;"",COUNTIF(C$6:C537,C537)=1),MAX(G$5:G536)+1,"")</f>
        <v/>
      </c>
      <c r="H537" s="0" t="str">
        <f aca="true">IF(A537="","",IF(ISNUMBER(A537),IF(A537&gt;=36526,A537,""),IFERROR(DATE(VALUE(RIGHT(RIGHT(TRIM(A537),10),4)),VALUE(MID(RIGHT(TRIM(A537),10),4,2)),VALUE(LEFT(RIGHT(TRIM(A537),10),2))),IFERROR(TODAY()-MOD(WEEKDAY(TODAY(),1)-MATCH(TRIM(A537),{"الأحد","الاثنين","الثلاثاء","الأربعاء","الخميس","الجمعة","السبت"},0),7),IFERROR(DATEVALUE(A537),"")))))</f>
        <v/>
      </c>
      <c r="I537" s="0" t="str">
        <f aca="false">IF(H537="","",INT((H537-WEEK_ONE)/7)+1)</f>
        <v/>
      </c>
      <c r="J537" s="0" t="str">
        <f aca="false">IF(I537="","",IF(OR(I537&lt;1,I537&gt;NW),"",INDEX(WMON,I537)))</f>
        <v/>
      </c>
    </row>
    <row r="538" customFormat="false" ht="15" hidden="false" customHeight="false" outlineLevel="0" collapsed="false">
      <c r="A538" s="43"/>
      <c r="B538" s="23" t="str">
        <f aca="false">IF(H538="","",CHOOSE(WEEKDAY(H538,1),"الأحد","الاثنين","الثلاثاء","الأربعاء","الخميس","الجمعة","السبت")&amp;IF(OR(ISNUMBER(A538),LEN(TRIM(A538))&gt;=10),"","  "&amp;TEXT(DAY(H538),"00")&amp;"/"&amp;TEXT(MONTH(H538),"00")&amp;"/"&amp;YEAR(H538)))</f>
        <v/>
      </c>
      <c r="C538" s="24"/>
      <c r="D538" s="27"/>
      <c r="E538" s="44"/>
      <c r="F538" s="27"/>
      <c r="G538" s="0" t="str">
        <f aca="false">IF(AND(C538&lt;&gt;"",COUNTIF(C$6:C538,C538)=1),MAX(G$5:G537)+1,"")</f>
        <v/>
      </c>
      <c r="H538" s="0" t="str">
        <f aca="true">IF(A538="","",IF(ISNUMBER(A538),IF(A538&gt;=36526,A538,""),IFERROR(DATE(VALUE(RIGHT(RIGHT(TRIM(A538),10),4)),VALUE(MID(RIGHT(TRIM(A538),10),4,2)),VALUE(LEFT(RIGHT(TRIM(A538),10),2))),IFERROR(TODAY()-MOD(WEEKDAY(TODAY(),1)-MATCH(TRIM(A538),{"الأحد","الاثنين","الثلاثاء","الأربعاء","الخميس","الجمعة","السبت"},0),7),IFERROR(DATEVALUE(A538),"")))))</f>
        <v/>
      </c>
      <c r="I538" s="0" t="str">
        <f aca="false">IF(H538="","",INT((H538-WEEK_ONE)/7)+1)</f>
        <v/>
      </c>
      <c r="J538" s="0" t="str">
        <f aca="false">IF(I538="","",IF(OR(I538&lt;1,I538&gt;NW),"",INDEX(WMON,I538)))</f>
        <v/>
      </c>
    </row>
    <row r="539" customFormat="false" ht="15" hidden="false" customHeight="false" outlineLevel="0" collapsed="false">
      <c r="A539" s="43"/>
      <c r="B539" s="23" t="str">
        <f aca="false">IF(H539="","",CHOOSE(WEEKDAY(H539,1),"الأحد","الاثنين","الثلاثاء","الأربعاء","الخميس","الجمعة","السبت")&amp;IF(OR(ISNUMBER(A539),LEN(TRIM(A539))&gt;=10),"","  "&amp;TEXT(DAY(H539),"00")&amp;"/"&amp;TEXT(MONTH(H539),"00")&amp;"/"&amp;YEAR(H539)))</f>
        <v/>
      </c>
      <c r="C539" s="24"/>
      <c r="D539" s="27"/>
      <c r="E539" s="44"/>
      <c r="F539" s="27"/>
      <c r="G539" s="0" t="str">
        <f aca="false">IF(AND(C539&lt;&gt;"",COUNTIF(C$6:C539,C539)=1),MAX(G$5:G538)+1,"")</f>
        <v/>
      </c>
      <c r="H539" s="0" t="str">
        <f aca="true">IF(A539="","",IF(ISNUMBER(A539),IF(A539&gt;=36526,A539,""),IFERROR(DATE(VALUE(RIGHT(RIGHT(TRIM(A539),10),4)),VALUE(MID(RIGHT(TRIM(A539),10),4,2)),VALUE(LEFT(RIGHT(TRIM(A539),10),2))),IFERROR(TODAY()-MOD(WEEKDAY(TODAY(),1)-MATCH(TRIM(A539),{"الأحد","الاثنين","الثلاثاء","الأربعاء","الخميس","الجمعة","السبت"},0),7),IFERROR(DATEVALUE(A539),"")))))</f>
        <v/>
      </c>
      <c r="I539" s="0" t="str">
        <f aca="false">IF(H539="","",INT((H539-WEEK_ONE)/7)+1)</f>
        <v/>
      </c>
      <c r="J539" s="0" t="str">
        <f aca="false">IF(I539="","",IF(OR(I539&lt;1,I539&gt;NW),"",INDEX(WMON,I539)))</f>
        <v/>
      </c>
    </row>
    <row r="540" customFormat="false" ht="15" hidden="false" customHeight="false" outlineLevel="0" collapsed="false">
      <c r="A540" s="43"/>
      <c r="B540" s="23" t="str">
        <f aca="false">IF(H540="","",CHOOSE(WEEKDAY(H540,1),"الأحد","الاثنين","الثلاثاء","الأربعاء","الخميس","الجمعة","السبت")&amp;IF(OR(ISNUMBER(A540),LEN(TRIM(A540))&gt;=10),"","  "&amp;TEXT(DAY(H540),"00")&amp;"/"&amp;TEXT(MONTH(H540),"00")&amp;"/"&amp;YEAR(H540)))</f>
        <v/>
      </c>
      <c r="C540" s="24"/>
      <c r="D540" s="27"/>
      <c r="E540" s="44"/>
      <c r="F540" s="27"/>
      <c r="G540" s="0" t="str">
        <f aca="false">IF(AND(C540&lt;&gt;"",COUNTIF(C$6:C540,C540)=1),MAX(G$5:G539)+1,"")</f>
        <v/>
      </c>
      <c r="H540" s="0" t="str">
        <f aca="true">IF(A540="","",IF(ISNUMBER(A540),IF(A540&gt;=36526,A540,""),IFERROR(DATE(VALUE(RIGHT(RIGHT(TRIM(A540),10),4)),VALUE(MID(RIGHT(TRIM(A540),10),4,2)),VALUE(LEFT(RIGHT(TRIM(A540),10),2))),IFERROR(TODAY()-MOD(WEEKDAY(TODAY(),1)-MATCH(TRIM(A540),{"الأحد","الاثنين","الثلاثاء","الأربعاء","الخميس","الجمعة","السبت"},0),7),IFERROR(DATEVALUE(A540),"")))))</f>
        <v/>
      </c>
      <c r="I540" s="0" t="str">
        <f aca="false">IF(H540="","",INT((H540-WEEK_ONE)/7)+1)</f>
        <v/>
      </c>
      <c r="J540" s="0" t="str">
        <f aca="false">IF(I540="","",IF(OR(I540&lt;1,I540&gt;NW),"",INDEX(WMON,I540)))</f>
        <v/>
      </c>
    </row>
    <row r="541" customFormat="false" ht="15" hidden="false" customHeight="false" outlineLevel="0" collapsed="false">
      <c r="A541" s="43"/>
      <c r="B541" s="23" t="str">
        <f aca="false">IF(H541="","",CHOOSE(WEEKDAY(H541,1),"الأحد","الاثنين","الثلاثاء","الأربعاء","الخميس","الجمعة","السبت")&amp;IF(OR(ISNUMBER(A541),LEN(TRIM(A541))&gt;=10),"","  "&amp;TEXT(DAY(H541),"00")&amp;"/"&amp;TEXT(MONTH(H541),"00")&amp;"/"&amp;YEAR(H541)))</f>
        <v/>
      </c>
      <c r="C541" s="24"/>
      <c r="D541" s="27"/>
      <c r="E541" s="44"/>
      <c r="F541" s="27"/>
      <c r="G541" s="0" t="str">
        <f aca="false">IF(AND(C541&lt;&gt;"",COUNTIF(C$6:C541,C541)=1),MAX(G$5:G540)+1,"")</f>
        <v/>
      </c>
      <c r="H541" s="0" t="str">
        <f aca="true">IF(A541="","",IF(ISNUMBER(A541),IF(A541&gt;=36526,A541,""),IFERROR(DATE(VALUE(RIGHT(RIGHT(TRIM(A541),10),4)),VALUE(MID(RIGHT(TRIM(A541),10),4,2)),VALUE(LEFT(RIGHT(TRIM(A541),10),2))),IFERROR(TODAY()-MOD(WEEKDAY(TODAY(),1)-MATCH(TRIM(A541),{"الأحد","الاثنين","الثلاثاء","الأربعاء","الخميس","الجمعة","السبت"},0),7),IFERROR(DATEVALUE(A541),"")))))</f>
        <v/>
      </c>
      <c r="I541" s="0" t="str">
        <f aca="false">IF(H541="","",INT((H541-WEEK_ONE)/7)+1)</f>
        <v/>
      </c>
      <c r="J541" s="0" t="str">
        <f aca="false">IF(I541="","",IF(OR(I541&lt;1,I541&gt;NW),"",INDEX(WMON,I541)))</f>
        <v/>
      </c>
    </row>
    <row r="542" customFormat="false" ht="15" hidden="false" customHeight="false" outlineLevel="0" collapsed="false">
      <c r="A542" s="43"/>
      <c r="B542" s="23" t="str">
        <f aca="false">IF(H542="","",CHOOSE(WEEKDAY(H542,1),"الأحد","الاثنين","الثلاثاء","الأربعاء","الخميس","الجمعة","السبت")&amp;IF(OR(ISNUMBER(A542),LEN(TRIM(A542))&gt;=10),"","  "&amp;TEXT(DAY(H542),"00")&amp;"/"&amp;TEXT(MONTH(H542),"00")&amp;"/"&amp;YEAR(H542)))</f>
        <v/>
      </c>
      <c r="C542" s="24"/>
      <c r="D542" s="27"/>
      <c r="E542" s="44"/>
      <c r="F542" s="27"/>
      <c r="G542" s="0" t="str">
        <f aca="false">IF(AND(C542&lt;&gt;"",COUNTIF(C$6:C542,C542)=1),MAX(G$5:G541)+1,"")</f>
        <v/>
      </c>
      <c r="H542" s="0" t="str">
        <f aca="true">IF(A542="","",IF(ISNUMBER(A542),IF(A542&gt;=36526,A542,""),IFERROR(DATE(VALUE(RIGHT(RIGHT(TRIM(A542),10),4)),VALUE(MID(RIGHT(TRIM(A542),10),4,2)),VALUE(LEFT(RIGHT(TRIM(A542),10),2))),IFERROR(TODAY()-MOD(WEEKDAY(TODAY(),1)-MATCH(TRIM(A542),{"الأحد","الاثنين","الثلاثاء","الأربعاء","الخميس","الجمعة","السبت"},0),7),IFERROR(DATEVALUE(A542),"")))))</f>
        <v/>
      </c>
      <c r="I542" s="0" t="str">
        <f aca="false">IF(H542="","",INT((H542-WEEK_ONE)/7)+1)</f>
        <v/>
      </c>
      <c r="J542" s="0" t="str">
        <f aca="false">IF(I542="","",IF(OR(I542&lt;1,I542&gt;NW),"",INDEX(WMON,I542)))</f>
        <v/>
      </c>
    </row>
    <row r="543" customFormat="false" ht="15" hidden="false" customHeight="false" outlineLevel="0" collapsed="false">
      <c r="A543" s="43"/>
      <c r="B543" s="23" t="str">
        <f aca="false">IF(H543="","",CHOOSE(WEEKDAY(H543,1),"الأحد","الاثنين","الثلاثاء","الأربعاء","الخميس","الجمعة","السبت")&amp;IF(OR(ISNUMBER(A543),LEN(TRIM(A543))&gt;=10),"","  "&amp;TEXT(DAY(H543),"00")&amp;"/"&amp;TEXT(MONTH(H543),"00")&amp;"/"&amp;YEAR(H543)))</f>
        <v/>
      </c>
      <c r="C543" s="24"/>
      <c r="D543" s="27"/>
      <c r="E543" s="44"/>
      <c r="F543" s="27"/>
      <c r="G543" s="0" t="str">
        <f aca="false">IF(AND(C543&lt;&gt;"",COUNTIF(C$6:C543,C543)=1),MAX(G$5:G542)+1,"")</f>
        <v/>
      </c>
      <c r="H543" s="0" t="str">
        <f aca="true">IF(A543="","",IF(ISNUMBER(A543),IF(A543&gt;=36526,A543,""),IFERROR(DATE(VALUE(RIGHT(RIGHT(TRIM(A543),10),4)),VALUE(MID(RIGHT(TRIM(A543),10),4,2)),VALUE(LEFT(RIGHT(TRIM(A543),10),2))),IFERROR(TODAY()-MOD(WEEKDAY(TODAY(),1)-MATCH(TRIM(A543),{"الأحد","الاثنين","الثلاثاء","الأربعاء","الخميس","الجمعة","السبت"},0),7),IFERROR(DATEVALUE(A543),"")))))</f>
        <v/>
      </c>
      <c r="I543" s="0" t="str">
        <f aca="false">IF(H543="","",INT((H543-WEEK_ONE)/7)+1)</f>
        <v/>
      </c>
      <c r="J543" s="0" t="str">
        <f aca="false">IF(I543="","",IF(OR(I543&lt;1,I543&gt;NW),"",INDEX(WMON,I543)))</f>
        <v/>
      </c>
    </row>
    <row r="544" customFormat="false" ht="15" hidden="false" customHeight="false" outlineLevel="0" collapsed="false">
      <c r="A544" s="43"/>
      <c r="B544" s="23" t="str">
        <f aca="false">IF(H544="","",CHOOSE(WEEKDAY(H544,1),"الأحد","الاثنين","الثلاثاء","الأربعاء","الخميس","الجمعة","السبت")&amp;IF(OR(ISNUMBER(A544),LEN(TRIM(A544))&gt;=10),"","  "&amp;TEXT(DAY(H544),"00")&amp;"/"&amp;TEXT(MONTH(H544),"00")&amp;"/"&amp;YEAR(H544)))</f>
        <v/>
      </c>
      <c r="C544" s="24"/>
      <c r="D544" s="27"/>
      <c r="E544" s="44"/>
      <c r="F544" s="27"/>
      <c r="G544" s="0" t="str">
        <f aca="false">IF(AND(C544&lt;&gt;"",COUNTIF(C$6:C544,C544)=1),MAX(G$5:G543)+1,"")</f>
        <v/>
      </c>
      <c r="H544" s="0" t="str">
        <f aca="true">IF(A544="","",IF(ISNUMBER(A544),IF(A544&gt;=36526,A544,""),IFERROR(DATE(VALUE(RIGHT(RIGHT(TRIM(A544),10),4)),VALUE(MID(RIGHT(TRIM(A544),10),4,2)),VALUE(LEFT(RIGHT(TRIM(A544),10),2))),IFERROR(TODAY()-MOD(WEEKDAY(TODAY(),1)-MATCH(TRIM(A544),{"الأحد","الاثنين","الثلاثاء","الأربعاء","الخميس","الجمعة","السبت"},0),7),IFERROR(DATEVALUE(A544),"")))))</f>
        <v/>
      </c>
      <c r="I544" s="0" t="str">
        <f aca="false">IF(H544="","",INT((H544-WEEK_ONE)/7)+1)</f>
        <v/>
      </c>
      <c r="J544" s="0" t="str">
        <f aca="false">IF(I544="","",IF(OR(I544&lt;1,I544&gt;NW),"",INDEX(WMON,I544)))</f>
        <v/>
      </c>
    </row>
    <row r="545" customFormat="false" ht="15" hidden="false" customHeight="false" outlineLevel="0" collapsed="false">
      <c r="A545" s="43"/>
      <c r="B545" s="23" t="str">
        <f aca="false">IF(H545="","",CHOOSE(WEEKDAY(H545,1),"الأحد","الاثنين","الثلاثاء","الأربعاء","الخميس","الجمعة","السبت")&amp;IF(OR(ISNUMBER(A545),LEN(TRIM(A545))&gt;=10),"","  "&amp;TEXT(DAY(H545),"00")&amp;"/"&amp;TEXT(MONTH(H545),"00")&amp;"/"&amp;YEAR(H545)))</f>
        <v/>
      </c>
      <c r="C545" s="24"/>
      <c r="D545" s="27"/>
      <c r="E545" s="44"/>
      <c r="F545" s="27"/>
      <c r="G545" s="0" t="str">
        <f aca="false">IF(AND(C545&lt;&gt;"",COUNTIF(C$6:C545,C545)=1),MAX(G$5:G544)+1,"")</f>
        <v/>
      </c>
      <c r="H545" s="0" t="str">
        <f aca="true">IF(A545="","",IF(ISNUMBER(A545),IF(A545&gt;=36526,A545,""),IFERROR(DATE(VALUE(RIGHT(RIGHT(TRIM(A545),10),4)),VALUE(MID(RIGHT(TRIM(A545),10),4,2)),VALUE(LEFT(RIGHT(TRIM(A545),10),2))),IFERROR(TODAY()-MOD(WEEKDAY(TODAY(),1)-MATCH(TRIM(A545),{"الأحد","الاثنين","الثلاثاء","الأربعاء","الخميس","الجمعة","السبت"},0),7),IFERROR(DATEVALUE(A545),"")))))</f>
        <v/>
      </c>
      <c r="I545" s="0" t="str">
        <f aca="false">IF(H545="","",INT((H545-WEEK_ONE)/7)+1)</f>
        <v/>
      </c>
      <c r="J545" s="0" t="str">
        <f aca="false">IF(I545="","",IF(OR(I545&lt;1,I545&gt;NW),"",INDEX(WMON,I545)))</f>
        <v/>
      </c>
    </row>
    <row r="546" customFormat="false" ht="15" hidden="false" customHeight="false" outlineLevel="0" collapsed="false">
      <c r="A546" s="43"/>
      <c r="B546" s="23" t="str">
        <f aca="false">IF(H546="","",CHOOSE(WEEKDAY(H546,1),"الأحد","الاثنين","الثلاثاء","الأربعاء","الخميس","الجمعة","السبت")&amp;IF(OR(ISNUMBER(A546),LEN(TRIM(A546))&gt;=10),"","  "&amp;TEXT(DAY(H546),"00")&amp;"/"&amp;TEXT(MONTH(H546),"00")&amp;"/"&amp;YEAR(H546)))</f>
        <v/>
      </c>
      <c r="C546" s="24"/>
      <c r="D546" s="27"/>
      <c r="E546" s="44"/>
      <c r="F546" s="27"/>
      <c r="G546" s="0" t="str">
        <f aca="false">IF(AND(C546&lt;&gt;"",COUNTIF(C$6:C546,C546)=1),MAX(G$5:G545)+1,"")</f>
        <v/>
      </c>
      <c r="H546" s="0" t="str">
        <f aca="true">IF(A546="","",IF(ISNUMBER(A546),IF(A546&gt;=36526,A546,""),IFERROR(DATE(VALUE(RIGHT(RIGHT(TRIM(A546),10),4)),VALUE(MID(RIGHT(TRIM(A546),10),4,2)),VALUE(LEFT(RIGHT(TRIM(A546),10),2))),IFERROR(TODAY()-MOD(WEEKDAY(TODAY(),1)-MATCH(TRIM(A546),{"الأحد","الاثنين","الثلاثاء","الأربعاء","الخميس","الجمعة","السبت"},0),7),IFERROR(DATEVALUE(A546),"")))))</f>
        <v/>
      </c>
      <c r="I546" s="0" t="str">
        <f aca="false">IF(H546="","",INT((H546-WEEK_ONE)/7)+1)</f>
        <v/>
      </c>
      <c r="J546" s="0" t="str">
        <f aca="false">IF(I546="","",IF(OR(I546&lt;1,I546&gt;NW),"",INDEX(WMON,I546)))</f>
        <v/>
      </c>
    </row>
    <row r="547" customFormat="false" ht="15" hidden="false" customHeight="false" outlineLevel="0" collapsed="false">
      <c r="A547" s="43"/>
      <c r="B547" s="23" t="str">
        <f aca="false">IF(H547="","",CHOOSE(WEEKDAY(H547,1),"الأحد","الاثنين","الثلاثاء","الأربعاء","الخميس","الجمعة","السبت")&amp;IF(OR(ISNUMBER(A547),LEN(TRIM(A547))&gt;=10),"","  "&amp;TEXT(DAY(H547),"00")&amp;"/"&amp;TEXT(MONTH(H547),"00")&amp;"/"&amp;YEAR(H547)))</f>
        <v/>
      </c>
      <c r="C547" s="24"/>
      <c r="D547" s="27"/>
      <c r="E547" s="44"/>
      <c r="F547" s="27"/>
      <c r="G547" s="0" t="str">
        <f aca="false">IF(AND(C547&lt;&gt;"",COUNTIF(C$6:C547,C547)=1),MAX(G$5:G546)+1,"")</f>
        <v/>
      </c>
      <c r="H547" s="0" t="str">
        <f aca="true">IF(A547="","",IF(ISNUMBER(A547),IF(A547&gt;=36526,A547,""),IFERROR(DATE(VALUE(RIGHT(RIGHT(TRIM(A547),10),4)),VALUE(MID(RIGHT(TRIM(A547),10),4,2)),VALUE(LEFT(RIGHT(TRIM(A547),10),2))),IFERROR(TODAY()-MOD(WEEKDAY(TODAY(),1)-MATCH(TRIM(A547),{"الأحد","الاثنين","الثلاثاء","الأربعاء","الخميس","الجمعة","السبت"},0),7),IFERROR(DATEVALUE(A547),"")))))</f>
        <v/>
      </c>
      <c r="I547" s="0" t="str">
        <f aca="false">IF(H547="","",INT((H547-WEEK_ONE)/7)+1)</f>
        <v/>
      </c>
      <c r="J547" s="0" t="str">
        <f aca="false">IF(I547="","",IF(OR(I547&lt;1,I547&gt;NW),"",INDEX(WMON,I547)))</f>
        <v/>
      </c>
    </row>
    <row r="548" customFormat="false" ht="15" hidden="false" customHeight="false" outlineLevel="0" collapsed="false">
      <c r="A548" s="43"/>
      <c r="B548" s="23" t="str">
        <f aca="false">IF(H548="","",CHOOSE(WEEKDAY(H548,1),"الأحد","الاثنين","الثلاثاء","الأربعاء","الخميس","الجمعة","السبت")&amp;IF(OR(ISNUMBER(A548),LEN(TRIM(A548))&gt;=10),"","  "&amp;TEXT(DAY(H548),"00")&amp;"/"&amp;TEXT(MONTH(H548),"00")&amp;"/"&amp;YEAR(H548)))</f>
        <v/>
      </c>
      <c r="C548" s="24"/>
      <c r="D548" s="27"/>
      <c r="E548" s="44"/>
      <c r="F548" s="27"/>
      <c r="G548" s="0" t="str">
        <f aca="false">IF(AND(C548&lt;&gt;"",COUNTIF(C$6:C548,C548)=1),MAX(G$5:G547)+1,"")</f>
        <v/>
      </c>
      <c r="H548" s="0" t="str">
        <f aca="true">IF(A548="","",IF(ISNUMBER(A548),IF(A548&gt;=36526,A548,""),IFERROR(DATE(VALUE(RIGHT(RIGHT(TRIM(A548),10),4)),VALUE(MID(RIGHT(TRIM(A548),10),4,2)),VALUE(LEFT(RIGHT(TRIM(A548),10),2))),IFERROR(TODAY()-MOD(WEEKDAY(TODAY(),1)-MATCH(TRIM(A548),{"الأحد","الاثنين","الثلاثاء","الأربعاء","الخميس","الجمعة","السبت"},0),7),IFERROR(DATEVALUE(A548),"")))))</f>
        <v/>
      </c>
      <c r="I548" s="0" t="str">
        <f aca="false">IF(H548="","",INT((H548-WEEK_ONE)/7)+1)</f>
        <v/>
      </c>
      <c r="J548" s="0" t="str">
        <f aca="false">IF(I548="","",IF(OR(I548&lt;1,I548&gt;NW),"",INDEX(WMON,I548)))</f>
        <v/>
      </c>
    </row>
    <row r="549" customFormat="false" ht="15" hidden="false" customHeight="false" outlineLevel="0" collapsed="false">
      <c r="A549" s="43"/>
      <c r="B549" s="23" t="str">
        <f aca="false">IF(H549="","",CHOOSE(WEEKDAY(H549,1),"الأحد","الاثنين","الثلاثاء","الأربعاء","الخميس","الجمعة","السبت")&amp;IF(OR(ISNUMBER(A549),LEN(TRIM(A549))&gt;=10),"","  "&amp;TEXT(DAY(H549),"00")&amp;"/"&amp;TEXT(MONTH(H549),"00")&amp;"/"&amp;YEAR(H549)))</f>
        <v/>
      </c>
      <c r="C549" s="24"/>
      <c r="D549" s="27"/>
      <c r="E549" s="44"/>
      <c r="F549" s="27"/>
      <c r="G549" s="0" t="str">
        <f aca="false">IF(AND(C549&lt;&gt;"",COUNTIF(C$6:C549,C549)=1),MAX(G$5:G548)+1,"")</f>
        <v/>
      </c>
      <c r="H549" s="0" t="str">
        <f aca="true">IF(A549="","",IF(ISNUMBER(A549),IF(A549&gt;=36526,A549,""),IFERROR(DATE(VALUE(RIGHT(RIGHT(TRIM(A549),10),4)),VALUE(MID(RIGHT(TRIM(A549),10),4,2)),VALUE(LEFT(RIGHT(TRIM(A549),10),2))),IFERROR(TODAY()-MOD(WEEKDAY(TODAY(),1)-MATCH(TRIM(A549),{"الأحد","الاثنين","الثلاثاء","الأربعاء","الخميس","الجمعة","السبت"},0),7),IFERROR(DATEVALUE(A549),"")))))</f>
        <v/>
      </c>
      <c r="I549" s="0" t="str">
        <f aca="false">IF(H549="","",INT((H549-WEEK_ONE)/7)+1)</f>
        <v/>
      </c>
      <c r="J549" s="0" t="str">
        <f aca="false">IF(I549="","",IF(OR(I549&lt;1,I549&gt;NW),"",INDEX(WMON,I549)))</f>
        <v/>
      </c>
    </row>
    <row r="550" customFormat="false" ht="15" hidden="false" customHeight="false" outlineLevel="0" collapsed="false">
      <c r="A550" s="43"/>
      <c r="B550" s="23" t="str">
        <f aca="false">IF(H550="","",CHOOSE(WEEKDAY(H550,1),"الأحد","الاثنين","الثلاثاء","الأربعاء","الخميس","الجمعة","السبت")&amp;IF(OR(ISNUMBER(A550),LEN(TRIM(A550))&gt;=10),"","  "&amp;TEXT(DAY(H550),"00")&amp;"/"&amp;TEXT(MONTH(H550),"00")&amp;"/"&amp;YEAR(H550)))</f>
        <v/>
      </c>
      <c r="C550" s="24"/>
      <c r="D550" s="27"/>
      <c r="E550" s="44"/>
      <c r="F550" s="27"/>
      <c r="G550" s="0" t="str">
        <f aca="false">IF(AND(C550&lt;&gt;"",COUNTIF(C$6:C550,C550)=1),MAX(G$5:G549)+1,"")</f>
        <v/>
      </c>
      <c r="H550" s="0" t="str">
        <f aca="true">IF(A550="","",IF(ISNUMBER(A550),IF(A550&gt;=36526,A550,""),IFERROR(DATE(VALUE(RIGHT(RIGHT(TRIM(A550),10),4)),VALUE(MID(RIGHT(TRIM(A550),10),4,2)),VALUE(LEFT(RIGHT(TRIM(A550),10),2))),IFERROR(TODAY()-MOD(WEEKDAY(TODAY(),1)-MATCH(TRIM(A550),{"الأحد","الاثنين","الثلاثاء","الأربعاء","الخميس","الجمعة","السبت"},0),7),IFERROR(DATEVALUE(A550),"")))))</f>
        <v/>
      </c>
      <c r="I550" s="0" t="str">
        <f aca="false">IF(H550="","",INT((H550-WEEK_ONE)/7)+1)</f>
        <v/>
      </c>
      <c r="J550" s="0" t="str">
        <f aca="false">IF(I550="","",IF(OR(I550&lt;1,I550&gt;NW),"",INDEX(WMON,I550)))</f>
        <v/>
      </c>
    </row>
    <row r="551" customFormat="false" ht="15" hidden="false" customHeight="false" outlineLevel="0" collapsed="false">
      <c r="A551" s="43"/>
      <c r="B551" s="23" t="str">
        <f aca="false">IF(H551="","",CHOOSE(WEEKDAY(H551,1),"الأحد","الاثنين","الثلاثاء","الأربعاء","الخميس","الجمعة","السبت")&amp;IF(OR(ISNUMBER(A551),LEN(TRIM(A551))&gt;=10),"","  "&amp;TEXT(DAY(H551),"00")&amp;"/"&amp;TEXT(MONTH(H551),"00")&amp;"/"&amp;YEAR(H551)))</f>
        <v/>
      </c>
      <c r="C551" s="24"/>
      <c r="D551" s="27"/>
      <c r="E551" s="44"/>
      <c r="F551" s="27"/>
      <c r="G551" s="0" t="str">
        <f aca="false">IF(AND(C551&lt;&gt;"",COUNTIF(C$6:C551,C551)=1),MAX(G$5:G550)+1,"")</f>
        <v/>
      </c>
      <c r="H551" s="0" t="str">
        <f aca="true">IF(A551="","",IF(ISNUMBER(A551),IF(A551&gt;=36526,A551,""),IFERROR(DATE(VALUE(RIGHT(RIGHT(TRIM(A551),10),4)),VALUE(MID(RIGHT(TRIM(A551),10),4,2)),VALUE(LEFT(RIGHT(TRIM(A551),10),2))),IFERROR(TODAY()-MOD(WEEKDAY(TODAY(),1)-MATCH(TRIM(A551),{"الأحد","الاثنين","الثلاثاء","الأربعاء","الخميس","الجمعة","السبت"},0),7),IFERROR(DATEVALUE(A551),"")))))</f>
        <v/>
      </c>
      <c r="I551" s="0" t="str">
        <f aca="false">IF(H551="","",INT((H551-WEEK_ONE)/7)+1)</f>
        <v/>
      </c>
      <c r="J551" s="0" t="str">
        <f aca="false">IF(I551="","",IF(OR(I551&lt;1,I551&gt;NW),"",INDEX(WMON,I551)))</f>
        <v/>
      </c>
    </row>
    <row r="552" customFormat="false" ht="15" hidden="false" customHeight="false" outlineLevel="0" collapsed="false">
      <c r="A552" s="43"/>
      <c r="B552" s="23" t="str">
        <f aca="false">IF(H552="","",CHOOSE(WEEKDAY(H552,1),"الأحد","الاثنين","الثلاثاء","الأربعاء","الخميس","الجمعة","السبت")&amp;IF(OR(ISNUMBER(A552),LEN(TRIM(A552))&gt;=10),"","  "&amp;TEXT(DAY(H552),"00")&amp;"/"&amp;TEXT(MONTH(H552),"00")&amp;"/"&amp;YEAR(H552)))</f>
        <v/>
      </c>
      <c r="C552" s="24"/>
      <c r="D552" s="27"/>
      <c r="E552" s="44"/>
      <c r="F552" s="27"/>
      <c r="G552" s="0" t="str">
        <f aca="false">IF(AND(C552&lt;&gt;"",COUNTIF(C$6:C552,C552)=1),MAX(G$5:G551)+1,"")</f>
        <v/>
      </c>
      <c r="H552" s="0" t="str">
        <f aca="true">IF(A552="","",IF(ISNUMBER(A552),IF(A552&gt;=36526,A552,""),IFERROR(DATE(VALUE(RIGHT(RIGHT(TRIM(A552),10),4)),VALUE(MID(RIGHT(TRIM(A552),10),4,2)),VALUE(LEFT(RIGHT(TRIM(A552),10),2))),IFERROR(TODAY()-MOD(WEEKDAY(TODAY(),1)-MATCH(TRIM(A552),{"الأحد","الاثنين","الثلاثاء","الأربعاء","الخميس","الجمعة","السبت"},0),7),IFERROR(DATEVALUE(A552),"")))))</f>
        <v/>
      </c>
      <c r="I552" s="0" t="str">
        <f aca="false">IF(H552="","",INT((H552-WEEK_ONE)/7)+1)</f>
        <v/>
      </c>
      <c r="J552" s="0" t="str">
        <f aca="false">IF(I552="","",IF(OR(I552&lt;1,I552&gt;NW),"",INDEX(WMON,I552)))</f>
        <v/>
      </c>
    </row>
    <row r="553" customFormat="false" ht="15" hidden="false" customHeight="false" outlineLevel="0" collapsed="false">
      <c r="A553" s="43"/>
      <c r="B553" s="23" t="str">
        <f aca="false">IF(H553="","",CHOOSE(WEEKDAY(H553,1),"الأحد","الاثنين","الثلاثاء","الأربعاء","الخميس","الجمعة","السبت")&amp;IF(OR(ISNUMBER(A553),LEN(TRIM(A553))&gt;=10),"","  "&amp;TEXT(DAY(H553),"00")&amp;"/"&amp;TEXT(MONTH(H553),"00")&amp;"/"&amp;YEAR(H553)))</f>
        <v/>
      </c>
      <c r="C553" s="24"/>
      <c r="D553" s="27"/>
      <c r="E553" s="44"/>
      <c r="F553" s="27"/>
      <c r="G553" s="0" t="str">
        <f aca="false">IF(AND(C553&lt;&gt;"",COUNTIF(C$6:C553,C553)=1),MAX(G$5:G552)+1,"")</f>
        <v/>
      </c>
      <c r="H553" s="0" t="str">
        <f aca="true">IF(A553="","",IF(ISNUMBER(A553),IF(A553&gt;=36526,A553,""),IFERROR(DATE(VALUE(RIGHT(RIGHT(TRIM(A553),10),4)),VALUE(MID(RIGHT(TRIM(A553),10),4,2)),VALUE(LEFT(RIGHT(TRIM(A553),10),2))),IFERROR(TODAY()-MOD(WEEKDAY(TODAY(),1)-MATCH(TRIM(A553),{"الأحد","الاثنين","الثلاثاء","الأربعاء","الخميس","الجمعة","السبت"},0),7),IFERROR(DATEVALUE(A553),"")))))</f>
        <v/>
      </c>
      <c r="I553" s="0" t="str">
        <f aca="false">IF(H553="","",INT((H553-WEEK_ONE)/7)+1)</f>
        <v/>
      </c>
      <c r="J553" s="0" t="str">
        <f aca="false">IF(I553="","",IF(OR(I553&lt;1,I553&gt;NW),"",INDEX(WMON,I553)))</f>
        <v/>
      </c>
    </row>
    <row r="554" customFormat="false" ht="15" hidden="false" customHeight="false" outlineLevel="0" collapsed="false">
      <c r="A554" s="43"/>
      <c r="B554" s="23" t="str">
        <f aca="false">IF(H554="","",CHOOSE(WEEKDAY(H554,1),"الأحد","الاثنين","الثلاثاء","الأربعاء","الخميس","الجمعة","السبت")&amp;IF(OR(ISNUMBER(A554),LEN(TRIM(A554))&gt;=10),"","  "&amp;TEXT(DAY(H554),"00")&amp;"/"&amp;TEXT(MONTH(H554),"00")&amp;"/"&amp;YEAR(H554)))</f>
        <v/>
      </c>
      <c r="C554" s="24"/>
      <c r="D554" s="27"/>
      <c r="E554" s="44"/>
      <c r="F554" s="27"/>
      <c r="G554" s="0" t="str">
        <f aca="false">IF(AND(C554&lt;&gt;"",COUNTIF(C$6:C554,C554)=1),MAX(G$5:G553)+1,"")</f>
        <v/>
      </c>
      <c r="H554" s="0" t="str">
        <f aca="true">IF(A554="","",IF(ISNUMBER(A554),IF(A554&gt;=36526,A554,""),IFERROR(DATE(VALUE(RIGHT(RIGHT(TRIM(A554),10),4)),VALUE(MID(RIGHT(TRIM(A554),10),4,2)),VALUE(LEFT(RIGHT(TRIM(A554),10),2))),IFERROR(TODAY()-MOD(WEEKDAY(TODAY(),1)-MATCH(TRIM(A554),{"الأحد","الاثنين","الثلاثاء","الأربعاء","الخميس","الجمعة","السبت"},0),7),IFERROR(DATEVALUE(A554),"")))))</f>
        <v/>
      </c>
      <c r="I554" s="0" t="str">
        <f aca="false">IF(H554="","",INT((H554-WEEK_ONE)/7)+1)</f>
        <v/>
      </c>
      <c r="J554" s="0" t="str">
        <f aca="false">IF(I554="","",IF(OR(I554&lt;1,I554&gt;NW),"",INDEX(WMON,I554)))</f>
        <v/>
      </c>
    </row>
    <row r="555" customFormat="false" ht="15" hidden="false" customHeight="false" outlineLevel="0" collapsed="false">
      <c r="A555" s="43"/>
      <c r="B555" s="23" t="str">
        <f aca="false">IF(H555="","",CHOOSE(WEEKDAY(H555,1),"الأحد","الاثنين","الثلاثاء","الأربعاء","الخميس","الجمعة","السبت")&amp;IF(OR(ISNUMBER(A555),LEN(TRIM(A555))&gt;=10),"","  "&amp;TEXT(DAY(H555),"00")&amp;"/"&amp;TEXT(MONTH(H555),"00")&amp;"/"&amp;YEAR(H555)))</f>
        <v/>
      </c>
      <c r="C555" s="24"/>
      <c r="D555" s="27"/>
      <c r="E555" s="44"/>
      <c r="F555" s="27"/>
      <c r="G555" s="0" t="str">
        <f aca="false">IF(AND(C555&lt;&gt;"",COUNTIF(C$6:C555,C555)=1),MAX(G$5:G554)+1,"")</f>
        <v/>
      </c>
      <c r="H555" s="0" t="str">
        <f aca="true">IF(A555="","",IF(ISNUMBER(A555),IF(A555&gt;=36526,A555,""),IFERROR(DATE(VALUE(RIGHT(RIGHT(TRIM(A555),10),4)),VALUE(MID(RIGHT(TRIM(A555),10),4,2)),VALUE(LEFT(RIGHT(TRIM(A555),10),2))),IFERROR(TODAY()-MOD(WEEKDAY(TODAY(),1)-MATCH(TRIM(A555),{"الأحد","الاثنين","الثلاثاء","الأربعاء","الخميس","الجمعة","السبت"},0),7),IFERROR(DATEVALUE(A555),"")))))</f>
        <v/>
      </c>
      <c r="I555" s="0" t="str">
        <f aca="false">IF(H555="","",INT((H555-WEEK_ONE)/7)+1)</f>
        <v/>
      </c>
      <c r="J555" s="0" t="str">
        <f aca="false">IF(I555="","",IF(OR(I555&lt;1,I555&gt;NW),"",INDEX(WMON,I555)))</f>
        <v/>
      </c>
    </row>
    <row r="556" customFormat="false" ht="15" hidden="false" customHeight="false" outlineLevel="0" collapsed="false">
      <c r="A556" s="43"/>
      <c r="B556" s="23" t="str">
        <f aca="false">IF(H556="","",CHOOSE(WEEKDAY(H556,1),"الأحد","الاثنين","الثلاثاء","الأربعاء","الخميس","الجمعة","السبت")&amp;IF(OR(ISNUMBER(A556),LEN(TRIM(A556))&gt;=10),"","  "&amp;TEXT(DAY(H556),"00")&amp;"/"&amp;TEXT(MONTH(H556),"00")&amp;"/"&amp;YEAR(H556)))</f>
        <v/>
      </c>
      <c r="C556" s="24"/>
      <c r="D556" s="27"/>
      <c r="E556" s="44"/>
      <c r="F556" s="27"/>
      <c r="G556" s="0" t="str">
        <f aca="false">IF(AND(C556&lt;&gt;"",COUNTIF(C$6:C556,C556)=1),MAX(G$5:G555)+1,"")</f>
        <v/>
      </c>
      <c r="H556" s="0" t="str">
        <f aca="true">IF(A556="","",IF(ISNUMBER(A556),IF(A556&gt;=36526,A556,""),IFERROR(DATE(VALUE(RIGHT(RIGHT(TRIM(A556),10),4)),VALUE(MID(RIGHT(TRIM(A556),10),4,2)),VALUE(LEFT(RIGHT(TRIM(A556),10),2))),IFERROR(TODAY()-MOD(WEEKDAY(TODAY(),1)-MATCH(TRIM(A556),{"الأحد","الاثنين","الثلاثاء","الأربعاء","الخميس","الجمعة","السبت"},0),7),IFERROR(DATEVALUE(A556),"")))))</f>
        <v/>
      </c>
      <c r="I556" s="0" t="str">
        <f aca="false">IF(H556="","",INT((H556-WEEK_ONE)/7)+1)</f>
        <v/>
      </c>
      <c r="J556" s="0" t="str">
        <f aca="false">IF(I556="","",IF(OR(I556&lt;1,I556&gt;NW),"",INDEX(WMON,I556)))</f>
        <v/>
      </c>
    </row>
    <row r="557" customFormat="false" ht="15" hidden="false" customHeight="false" outlineLevel="0" collapsed="false">
      <c r="A557" s="43"/>
      <c r="B557" s="23" t="str">
        <f aca="false">IF(H557="","",CHOOSE(WEEKDAY(H557,1),"الأحد","الاثنين","الثلاثاء","الأربعاء","الخميس","الجمعة","السبت")&amp;IF(OR(ISNUMBER(A557),LEN(TRIM(A557))&gt;=10),"","  "&amp;TEXT(DAY(H557),"00")&amp;"/"&amp;TEXT(MONTH(H557),"00")&amp;"/"&amp;YEAR(H557)))</f>
        <v/>
      </c>
      <c r="C557" s="24"/>
      <c r="D557" s="27"/>
      <c r="E557" s="44"/>
      <c r="F557" s="27"/>
      <c r="G557" s="0" t="str">
        <f aca="false">IF(AND(C557&lt;&gt;"",COUNTIF(C$6:C557,C557)=1),MAX(G$5:G556)+1,"")</f>
        <v/>
      </c>
      <c r="H557" s="0" t="str">
        <f aca="true">IF(A557="","",IF(ISNUMBER(A557),IF(A557&gt;=36526,A557,""),IFERROR(DATE(VALUE(RIGHT(RIGHT(TRIM(A557),10),4)),VALUE(MID(RIGHT(TRIM(A557),10),4,2)),VALUE(LEFT(RIGHT(TRIM(A557),10),2))),IFERROR(TODAY()-MOD(WEEKDAY(TODAY(),1)-MATCH(TRIM(A557),{"الأحد","الاثنين","الثلاثاء","الأربعاء","الخميس","الجمعة","السبت"},0),7),IFERROR(DATEVALUE(A557),"")))))</f>
        <v/>
      </c>
      <c r="I557" s="0" t="str">
        <f aca="false">IF(H557="","",INT((H557-WEEK_ONE)/7)+1)</f>
        <v/>
      </c>
      <c r="J557" s="0" t="str">
        <f aca="false">IF(I557="","",IF(OR(I557&lt;1,I557&gt;NW),"",INDEX(WMON,I557)))</f>
        <v/>
      </c>
    </row>
    <row r="558" customFormat="false" ht="15" hidden="false" customHeight="false" outlineLevel="0" collapsed="false">
      <c r="A558" s="43"/>
      <c r="B558" s="23" t="str">
        <f aca="false">IF(H558="","",CHOOSE(WEEKDAY(H558,1),"الأحد","الاثنين","الثلاثاء","الأربعاء","الخميس","الجمعة","السبت")&amp;IF(OR(ISNUMBER(A558),LEN(TRIM(A558))&gt;=10),"","  "&amp;TEXT(DAY(H558),"00")&amp;"/"&amp;TEXT(MONTH(H558),"00")&amp;"/"&amp;YEAR(H558)))</f>
        <v/>
      </c>
      <c r="C558" s="24"/>
      <c r="D558" s="27"/>
      <c r="E558" s="44"/>
      <c r="F558" s="27"/>
      <c r="G558" s="0" t="str">
        <f aca="false">IF(AND(C558&lt;&gt;"",COUNTIF(C$6:C558,C558)=1),MAX(G$5:G557)+1,"")</f>
        <v/>
      </c>
      <c r="H558" s="0" t="str">
        <f aca="true">IF(A558="","",IF(ISNUMBER(A558),IF(A558&gt;=36526,A558,""),IFERROR(DATE(VALUE(RIGHT(RIGHT(TRIM(A558),10),4)),VALUE(MID(RIGHT(TRIM(A558),10),4,2)),VALUE(LEFT(RIGHT(TRIM(A558),10),2))),IFERROR(TODAY()-MOD(WEEKDAY(TODAY(),1)-MATCH(TRIM(A558),{"الأحد","الاثنين","الثلاثاء","الأربعاء","الخميس","الجمعة","السبت"},0),7),IFERROR(DATEVALUE(A558),"")))))</f>
        <v/>
      </c>
      <c r="I558" s="0" t="str">
        <f aca="false">IF(H558="","",INT((H558-WEEK_ONE)/7)+1)</f>
        <v/>
      </c>
      <c r="J558" s="0" t="str">
        <f aca="false">IF(I558="","",IF(OR(I558&lt;1,I558&gt;NW),"",INDEX(WMON,I558)))</f>
        <v/>
      </c>
    </row>
    <row r="559" customFormat="false" ht="15" hidden="false" customHeight="false" outlineLevel="0" collapsed="false">
      <c r="A559" s="43"/>
      <c r="B559" s="23" t="str">
        <f aca="false">IF(H559="","",CHOOSE(WEEKDAY(H559,1),"الأحد","الاثنين","الثلاثاء","الأربعاء","الخميس","الجمعة","السبت")&amp;IF(OR(ISNUMBER(A559),LEN(TRIM(A559))&gt;=10),"","  "&amp;TEXT(DAY(H559),"00")&amp;"/"&amp;TEXT(MONTH(H559),"00")&amp;"/"&amp;YEAR(H559)))</f>
        <v/>
      </c>
      <c r="C559" s="24"/>
      <c r="D559" s="27"/>
      <c r="E559" s="44"/>
      <c r="F559" s="27"/>
      <c r="G559" s="0" t="str">
        <f aca="false">IF(AND(C559&lt;&gt;"",COUNTIF(C$6:C559,C559)=1),MAX(G$5:G558)+1,"")</f>
        <v/>
      </c>
      <c r="H559" s="0" t="str">
        <f aca="true">IF(A559="","",IF(ISNUMBER(A559),IF(A559&gt;=36526,A559,""),IFERROR(DATE(VALUE(RIGHT(RIGHT(TRIM(A559),10),4)),VALUE(MID(RIGHT(TRIM(A559),10),4,2)),VALUE(LEFT(RIGHT(TRIM(A559),10),2))),IFERROR(TODAY()-MOD(WEEKDAY(TODAY(),1)-MATCH(TRIM(A559),{"الأحد","الاثنين","الثلاثاء","الأربعاء","الخميس","الجمعة","السبت"},0),7),IFERROR(DATEVALUE(A559),"")))))</f>
        <v/>
      </c>
      <c r="I559" s="0" t="str">
        <f aca="false">IF(H559="","",INT((H559-WEEK_ONE)/7)+1)</f>
        <v/>
      </c>
      <c r="J559" s="0" t="str">
        <f aca="false">IF(I559="","",IF(OR(I559&lt;1,I559&gt;NW),"",INDEX(WMON,I559)))</f>
        <v/>
      </c>
    </row>
    <row r="560" customFormat="false" ht="15" hidden="false" customHeight="false" outlineLevel="0" collapsed="false">
      <c r="A560" s="43"/>
      <c r="B560" s="23" t="str">
        <f aca="false">IF(H560="","",CHOOSE(WEEKDAY(H560,1),"الأحد","الاثنين","الثلاثاء","الأربعاء","الخميس","الجمعة","السبت")&amp;IF(OR(ISNUMBER(A560),LEN(TRIM(A560))&gt;=10),"","  "&amp;TEXT(DAY(H560),"00")&amp;"/"&amp;TEXT(MONTH(H560),"00")&amp;"/"&amp;YEAR(H560)))</f>
        <v/>
      </c>
      <c r="C560" s="24"/>
      <c r="D560" s="27"/>
      <c r="E560" s="44"/>
      <c r="F560" s="27"/>
      <c r="G560" s="0" t="str">
        <f aca="false">IF(AND(C560&lt;&gt;"",COUNTIF(C$6:C560,C560)=1),MAX(G$5:G559)+1,"")</f>
        <v/>
      </c>
      <c r="H560" s="0" t="str">
        <f aca="true">IF(A560="","",IF(ISNUMBER(A560),IF(A560&gt;=36526,A560,""),IFERROR(DATE(VALUE(RIGHT(RIGHT(TRIM(A560),10),4)),VALUE(MID(RIGHT(TRIM(A560),10),4,2)),VALUE(LEFT(RIGHT(TRIM(A560),10),2))),IFERROR(TODAY()-MOD(WEEKDAY(TODAY(),1)-MATCH(TRIM(A560),{"الأحد","الاثنين","الثلاثاء","الأربعاء","الخميس","الجمعة","السبت"},0),7),IFERROR(DATEVALUE(A560),"")))))</f>
        <v/>
      </c>
      <c r="I560" s="0" t="str">
        <f aca="false">IF(H560="","",INT((H560-WEEK_ONE)/7)+1)</f>
        <v/>
      </c>
      <c r="J560" s="0" t="str">
        <f aca="false">IF(I560="","",IF(OR(I560&lt;1,I560&gt;NW),"",INDEX(WMON,I560)))</f>
        <v/>
      </c>
    </row>
    <row r="561" customFormat="false" ht="15" hidden="false" customHeight="false" outlineLevel="0" collapsed="false">
      <c r="A561" s="43"/>
      <c r="B561" s="23" t="str">
        <f aca="false">IF(H561="","",CHOOSE(WEEKDAY(H561,1),"الأحد","الاثنين","الثلاثاء","الأربعاء","الخميس","الجمعة","السبت")&amp;IF(OR(ISNUMBER(A561),LEN(TRIM(A561))&gt;=10),"","  "&amp;TEXT(DAY(H561),"00")&amp;"/"&amp;TEXT(MONTH(H561),"00")&amp;"/"&amp;YEAR(H561)))</f>
        <v/>
      </c>
      <c r="C561" s="24"/>
      <c r="D561" s="27"/>
      <c r="E561" s="44"/>
      <c r="F561" s="27"/>
      <c r="G561" s="0" t="str">
        <f aca="false">IF(AND(C561&lt;&gt;"",COUNTIF(C$6:C561,C561)=1),MAX(G$5:G560)+1,"")</f>
        <v/>
      </c>
      <c r="H561" s="0" t="str">
        <f aca="true">IF(A561="","",IF(ISNUMBER(A561),IF(A561&gt;=36526,A561,""),IFERROR(DATE(VALUE(RIGHT(RIGHT(TRIM(A561),10),4)),VALUE(MID(RIGHT(TRIM(A561),10),4,2)),VALUE(LEFT(RIGHT(TRIM(A561),10),2))),IFERROR(TODAY()-MOD(WEEKDAY(TODAY(),1)-MATCH(TRIM(A561),{"الأحد","الاثنين","الثلاثاء","الأربعاء","الخميس","الجمعة","السبت"},0),7),IFERROR(DATEVALUE(A561),"")))))</f>
        <v/>
      </c>
      <c r="I561" s="0" t="str">
        <f aca="false">IF(H561="","",INT((H561-WEEK_ONE)/7)+1)</f>
        <v/>
      </c>
      <c r="J561" s="0" t="str">
        <f aca="false">IF(I561="","",IF(OR(I561&lt;1,I561&gt;NW),"",INDEX(WMON,I561)))</f>
        <v/>
      </c>
    </row>
    <row r="562" customFormat="false" ht="15" hidden="false" customHeight="false" outlineLevel="0" collapsed="false">
      <c r="A562" s="43"/>
      <c r="B562" s="23" t="str">
        <f aca="false">IF(H562="","",CHOOSE(WEEKDAY(H562,1),"الأحد","الاثنين","الثلاثاء","الأربعاء","الخميس","الجمعة","السبت")&amp;IF(OR(ISNUMBER(A562),LEN(TRIM(A562))&gt;=10),"","  "&amp;TEXT(DAY(H562),"00")&amp;"/"&amp;TEXT(MONTH(H562),"00")&amp;"/"&amp;YEAR(H562)))</f>
        <v/>
      </c>
      <c r="C562" s="24"/>
      <c r="D562" s="27"/>
      <c r="E562" s="44"/>
      <c r="F562" s="27"/>
      <c r="G562" s="0" t="str">
        <f aca="false">IF(AND(C562&lt;&gt;"",COUNTIF(C$6:C562,C562)=1),MAX(G$5:G561)+1,"")</f>
        <v/>
      </c>
      <c r="H562" s="0" t="str">
        <f aca="true">IF(A562="","",IF(ISNUMBER(A562),IF(A562&gt;=36526,A562,""),IFERROR(DATE(VALUE(RIGHT(RIGHT(TRIM(A562),10),4)),VALUE(MID(RIGHT(TRIM(A562),10),4,2)),VALUE(LEFT(RIGHT(TRIM(A562),10),2))),IFERROR(TODAY()-MOD(WEEKDAY(TODAY(),1)-MATCH(TRIM(A562),{"الأحد","الاثنين","الثلاثاء","الأربعاء","الخميس","الجمعة","السبت"},0),7),IFERROR(DATEVALUE(A562),"")))))</f>
        <v/>
      </c>
      <c r="I562" s="0" t="str">
        <f aca="false">IF(H562="","",INT((H562-WEEK_ONE)/7)+1)</f>
        <v/>
      </c>
      <c r="J562" s="0" t="str">
        <f aca="false">IF(I562="","",IF(OR(I562&lt;1,I562&gt;NW),"",INDEX(WMON,I562)))</f>
        <v/>
      </c>
    </row>
    <row r="563" customFormat="false" ht="15" hidden="false" customHeight="false" outlineLevel="0" collapsed="false">
      <c r="A563" s="43"/>
      <c r="B563" s="23" t="str">
        <f aca="false">IF(H563="","",CHOOSE(WEEKDAY(H563,1),"الأحد","الاثنين","الثلاثاء","الأربعاء","الخميس","الجمعة","السبت")&amp;IF(OR(ISNUMBER(A563),LEN(TRIM(A563))&gt;=10),"","  "&amp;TEXT(DAY(H563),"00")&amp;"/"&amp;TEXT(MONTH(H563),"00")&amp;"/"&amp;YEAR(H563)))</f>
        <v/>
      </c>
      <c r="C563" s="24"/>
      <c r="D563" s="27"/>
      <c r="E563" s="44"/>
      <c r="F563" s="27"/>
      <c r="G563" s="0" t="str">
        <f aca="false">IF(AND(C563&lt;&gt;"",COUNTIF(C$6:C563,C563)=1),MAX(G$5:G562)+1,"")</f>
        <v/>
      </c>
      <c r="H563" s="0" t="str">
        <f aca="true">IF(A563="","",IF(ISNUMBER(A563),IF(A563&gt;=36526,A563,""),IFERROR(DATE(VALUE(RIGHT(RIGHT(TRIM(A563),10),4)),VALUE(MID(RIGHT(TRIM(A563),10),4,2)),VALUE(LEFT(RIGHT(TRIM(A563),10),2))),IFERROR(TODAY()-MOD(WEEKDAY(TODAY(),1)-MATCH(TRIM(A563),{"الأحد","الاثنين","الثلاثاء","الأربعاء","الخميس","الجمعة","السبت"},0),7),IFERROR(DATEVALUE(A563),"")))))</f>
        <v/>
      </c>
      <c r="I563" s="0" t="str">
        <f aca="false">IF(H563="","",INT((H563-WEEK_ONE)/7)+1)</f>
        <v/>
      </c>
      <c r="J563" s="0" t="str">
        <f aca="false">IF(I563="","",IF(OR(I563&lt;1,I563&gt;NW),"",INDEX(WMON,I563)))</f>
        <v/>
      </c>
    </row>
    <row r="564" customFormat="false" ht="15" hidden="false" customHeight="false" outlineLevel="0" collapsed="false">
      <c r="A564" s="43"/>
      <c r="B564" s="23" t="str">
        <f aca="false">IF(H564="","",CHOOSE(WEEKDAY(H564,1),"الأحد","الاثنين","الثلاثاء","الأربعاء","الخميس","الجمعة","السبت")&amp;IF(OR(ISNUMBER(A564),LEN(TRIM(A564))&gt;=10),"","  "&amp;TEXT(DAY(H564),"00")&amp;"/"&amp;TEXT(MONTH(H564),"00")&amp;"/"&amp;YEAR(H564)))</f>
        <v/>
      </c>
      <c r="C564" s="24"/>
      <c r="D564" s="27"/>
      <c r="E564" s="44"/>
      <c r="F564" s="27"/>
      <c r="G564" s="0" t="str">
        <f aca="false">IF(AND(C564&lt;&gt;"",COUNTIF(C$6:C564,C564)=1),MAX(G$5:G563)+1,"")</f>
        <v/>
      </c>
      <c r="H564" s="0" t="str">
        <f aca="true">IF(A564="","",IF(ISNUMBER(A564),IF(A564&gt;=36526,A564,""),IFERROR(DATE(VALUE(RIGHT(RIGHT(TRIM(A564),10),4)),VALUE(MID(RIGHT(TRIM(A564),10),4,2)),VALUE(LEFT(RIGHT(TRIM(A564),10),2))),IFERROR(TODAY()-MOD(WEEKDAY(TODAY(),1)-MATCH(TRIM(A564),{"الأحد","الاثنين","الثلاثاء","الأربعاء","الخميس","الجمعة","السبت"},0),7),IFERROR(DATEVALUE(A564),"")))))</f>
        <v/>
      </c>
      <c r="I564" s="0" t="str">
        <f aca="false">IF(H564="","",INT((H564-WEEK_ONE)/7)+1)</f>
        <v/>
      </c>
      <c r="J564" s="0" t="str">
        <f aca="false">IF(I564="","",IF(OR(I564&lt;1,I564&gt;NW),"",INDEX(WMON,I564)))</f>
        <v/>
      </c>
    </row>
    <row r="565" customFormat="false" ht="15" hidden="false" customHeight="false" outlineLevel="0" collapsed="false">
      <c r="A565" s="43"/>
      <c r="B565" s="23" t="str">
        <f aca="false">IF(H565="","",CHOOSE(WEEKDAY(H565,1),"الأحد","الاثنين","الثلاثاء","الأربعاء","الخميس","الجمعة","السبت")&amp;IF(OR(ISNUMBER(A565),LEN(TRIM(A565))&gt;=10),"","  "&amp;TEXT(DAY(H565),"00")&amp;"/"&amp;TEXT(MONTH(H565),"00")&amp;"/"&amp;YEAR(H565)))</f>
        <v/>
      </c>
      <c r="C565" s="24"/>
      <c r="D565" s="27"/>
      <c r="E565" s="44"/>
      <c r="F565" s="27"/>
      <c r="G565" s="0" t="str">
        <f aca="false">IF(AND(C565&lt;&gt;"",COUNTIF(C$6:C565,C565)=1),MAX(G$5:G564)+1,"")</f>
        <v/>
      </c>
      <c r="H565" s="0" t="str">
        <f aca="true">IF(A565="","",IF(ISNUMBER(A565),IF(A565&gt;=36526,A565,""),IFERROR(DATE(VALUE(RIGHT(RIGHT(TRIM(A565),10),4)),VALUE(MID(RIGHT(TRIM(A565),10),4,2)),VALUE(LEFT(RIGHT(TRIM(A565),10),2))),IFERROR(TODAY()-MOD(WEEKDAY(TODAY(),1)-MATCH(TRIM(A565),{"الأحد","الاثنين","الثلاثاء","الأربعاء","الخميس","الجمعة","السبت"},0),7),IFERROR(DATEVALUE(A565),"")))))</f>
        <v/>
      </c>
      <c r="I565" s="0" t="str">
        <f aca="false">IF(H565="","",INT((H565-WEEK_ONE)/7)+1)</f>
        <v/>
      </c>
      <c r="J565" s="0" t="str">
        <f aca="false">IF(I565="","",IF(OR(I565&lt;1,I565&gt;NW),"",INDEX(WMON,I565)))</f>
        <v/>
      </c>
    </row>
    <row r="566" customFormat="false" ht="15" hidden="false" customHeight="false" outlineLevel="0" collapsed="false">
      <c r="A566" s="43"/>
      <c r="B566" s="23" t="str">
        <f aca="false">IF(H566="","",CHOOSE(WEEKDAY(H566,1),"الأحد","الاثنين","الثلاثاء","الأربعاء","الخميس","الجمعة","السبت")&amp;IF(OR(ISNUMBER(A566),LEN(TRIM(A566))&gt;=10),"","  "&amp;TEXT(DAY(H566),"00")&amp;"/"&amp;TEXT(MONTH(H566),"00")&amp;"/"&amp;YEAR(H566)))</f>
        <v/>
      </c>
      <c r="C566" s="24"/>
      <c r="D566" s="27"/>
      <c r="E566" s="44"/>
      <c r="F566" s="27"/>
      <c r="G566" s="0" t="str">
        <f aca="false">IF(AND(C566&lt;&gt;"",COUNTIF(C$6:C566,C566)=1),MAX(G$5:G565)+1,"")</f>
        <v/>
      </c>
      <c r="H566" s="0" t="str">
        <f aca="true">IF(A566="","",IF(ISNUMBER(A566),IF(A566&gt;=36526,A566,""),IFERROR(DATE(VALUE(RIGHT(RIGHT(TRIM(A566),10),4)),VALUE(MID(RIGHT(TRIM(A566),10),4,2)),VALUE(LEFT(RIGHT(TRIM(A566),10),2))),IFERROR(TODAY()-MOD(WEEKDAY(TODAY(),1)-MATCH(TRIM(A566),{"الأحد","الاثنين","الثلاثاء","الأربعاء","الخميس","الجمعة","السبت"},0),7),IFERROR(DATEVALUE(A566),"")))))</f>
        <v/>
      </c>
      <c r="I566" s="0" t="str">
        <f aca="false">IF(H566="","",INT((H566-WEEK_ONE)/7)+1)</f>
        <v/>
      </c>
      <c r="J566" s="0" t="str">
        <f aca="false">IF(I566="","",IF(OR(I566&lt;1,I566&gt;NW),"",INDEX(WMON,I566)))</f>
        <v/>
      </c>
    </row>
    <row r="567" customFormat="false" ht="15" hidden="false" customHeight="false" outlineLevel="0" collapsed="false">
      <c r="A567" s="43"/>
      <c r="B567" s="23" t="str">
        <f aca="false">IF(H567="","",CHOOSE(WEEKDAY(H567,1),"الأحد","الاثنين","الثلاثاء","الأربعاء","الخميس","الجمعة","السبت")&amp;IF(OR(ISNUMBER(A567),LEN(TRIM(A567))&gt;=10),"","  "&amp;TEXT(DAY(H567),"00")&amp;"/"&amp;TEXT(MONTH(H567),"00")&amp;"/"&amp;YEAR(H567)))</f>
        <v/>
      </c>
      <c r="C567" s="24"/>
      <c r="D567" s="27"/>
      <c r="E567" s="44"/>
      <c r="F567" s="27"/>
      <c r="G567" s="0" t="str">
        <f aca="false">IF(AND(C567&lt;&gt;"",COUNTIF(C$6:C567,C567)=1),MAX(G$5:G566)+1,"")</f>
        <v/>
      </c>
      <c r="H567" s="0" t="str">
        <f aca="true">IF(A567="","",IF(ISNUMBER(A567),IF(A567&gt;=36526,A567,""),IFERROR(DATE(VALUE(RIGHT(RIGHT(TRIM(A567),10),4)),VALUE(MID(RIGHT(TRIM(A567),10),4,2)),VALUE(LEFT(RIGHT(TRIM(A567),10),2))),IFERROR(TODAY()-MOD(WEEKDAY(TODAY(),1)-MATCH(TRIM(A567),{"الأحد","الاثنين","الثلاثاء","الأربعاء","الخميس","الجمعة","السبت"},0),7),IFERROR(DATEVALUE(A567),"")))))</f>
        <v/>
      </c>
      <c r="I567" s="0" t="str">
        <f aca="false">IF(H567="","",INT((H567-WEEK_ONE)/7)+1)</f>
        <v/>
      </c>
      <c r="J567" s="0" t="str">
        <f aca="false">IF(I567="","",IF(OR(I567&lt;1,I567&gt;NW),"",INDEX(WMON,I567)))</f>
        <v/>
      </c>
    </row>
    <row r="568" customFormat="false" ht="15" hidden="false" customHeight="false" outlineLevel="0" collapsed="false">
      <c r="A568" s="43"/>
      <c r="B568" s="23" t="str">
        <f aca="false">IF(H568="","",CHOOSE(WEEKDAY(H568,1),"الأحد","الاثنين","الثلاثاء","الأربعاء","الخميس","الجمعة","السبت")&amp;IF(OR(ISNUMBER(A568),LEN(TRIM(A568))&gt;=10),"","  "&amp;TEXT(DAY(H568),"00")&amp;"/"&amp;TEXT(MONTH(H568),"00")&amp;"/"&amp;YEAR(H568)))</f>
        <v/>
      </c>
      <c r="C568" s="24"/>
      <c r="D568" s="27"/>
      <c r="E568" s="44"/>
      <c r="F568" s="27"/>
      <c r="G568" s="0" t="str">
        <f aca="false">IF(AND(C568&lt;&gt;"",COUNTIF(C$6:C568,C568)=1),MAX(G$5:G567)+1,"")</f>
        <v/>
      </c>
      <c r="H568" s="0" t="str">
        <f aca="true">IF(A568="","",IF(ISNUMBER(A568),IF(A568&gt;=36526,A568,""),IFERROR(DATE(VALUE(RIGHT(RIGHT(TRIM(A568),10),4)),VALUE(MID(RIGHT(TRIM(A568),10),4,2)),VALUE(LEFT(RIGHT(TRIM(A568),10),2))),IFERROR(TODAY()-MOD(WEEKDAY(TODAY(),1)-MATCH(TRIM(A568),{"الأحد","الاثنين","الثلاثاء","الأربعاء","الخميس","الجمعة","السبت"},0),7),IFERROR(DATEVALUE(A568),"")))))</f>
        <v/>
      </c>
      <c r="I568" s="0" t="str">
        <f aca="false">IF(H568="","",INT((H568-WEEK_ONE)/7)+1)</f>
        <v/>
      </c>
      <c r="J568" s="0" t="str">
        <f aca="false">IF(I568="","",IF(OR(I568&lt;1,I568&gt;NW),"",INDEX(WMON,I568)))</f>
        <v/>
      </c>
    </row>
    <row r="569" customFormat="false" ht="15" hidden="false" customHeight="false" outlineLevel="0" collapsed="false">
      <c r="A569" s="43"/>
      <c r="B569" s="23" t="str">
        <f aca="false">IF(H569="","",CHOOSE(WEEKDAY(H569,1),"الأحد","الاثنين","الثلاثاء","الأربعاء","الخميس","الجمعة","السبت")&amp;IF(OR(ISNUMBER(A569),LEN(TRIM(A569))&gt;=10),"","  "&amp;TEXT(DAY(H569),"00")&amp;"/"&amp;TEXT(MONTH(H569),"00")&amp;"/"&amp;YEAR(H569)))</f>
        <v/>
      </c>
      <c r="C569" s="24"/>
      <c r="D569" s="27"/>
      <c r="E569" s="44"/>
      <c r="F569" s="27"/>
      <c r="G569" s="0" t="str">
        <f aca="false">IF(AND(C569&lt;&gt;"",COUNTIF(C$6:C569,C569)=1),MAX(G$5:G568)+1,"")</f>
        <v/>
      </c>
      <c r="H569" s="0" t="str">
        <f aca="true">IF(A569="","",IF(ISNUMBER(A569),IF(A569&gt;=36526,A569,""),IFERROR(DATE(VALUE(RIGHT(RIGHT(TRIM(A569),10),4)),VALUE(MID(RIGHT(TRIM(A569),10),4,2)),VALUE(LEFT(RIGHT(TRIM(A569),10),2))),IFERROR(TODAY()-MOD(WEEKDAY(TODAY(),1)-MATCH(TRIM(A569),{"الأحد","الاثنين","الثلاثاء","الأربعاء","الخميس","الجمعة","السبت"},0),7),IFERROR(DATEVALUE(A569),"")))))</f>
        <v/>
      </c>
      <c r="I569" s="0" t="str">
        <f aca="false">IF(H569="","",INT((H569-WEEK_ONE)/7)+1)</f>
        <v/>
      </c>
      <c r="J569" s="0" t="str">
        <f aca="false">IF(I569="","",IF(OR(I569&lt;1,I569&gt;NW),"",INDEX(WMON,I569)))</f>
        <v/>
      </c>
    </row>
    <row r="570" customFormat="false" ht="15" hidden="false" customHeight="false" outlineLevel="0" collapsed="false">
      <c r="A570" s="43"/>
      <c r="B570" s="23" t="str">
        <f aca="false">IF(H570="","",CHOOSE(WEEKDAY(H570,1),"الأحد","الاثنين","الثلاثاء","الأربعاء","الخميس","الجمعة","السبت")&amp;IF(OR(ISNUMBER(A570),LEN(TRIM(A570))&gt;=10),"","  "&amp;TEXT(DAY(H570),"00")&amp;"/"&amp;TEXT(MONTH(H570),"00")&amp;"/"&amp;YEAR(H570)))</f>
        <v/>
      </c>
      <c r="C570" s="24"/>
      <c r="D570" s="27"/>
      <c r="E570" s="44"/>
      <c r="F570" s="27"/>
      <c r="G570" s="0" t="str">
        <f aca="false">IF(AND(C570&lt;&gt;"",COUNTIF(C$6:C570,C570)=1),MAX(G$5:G569)+1,"")</f>
        <v/>
      </c>
      <c r="H570" s="0" t="str">
        <f aca="true">IF(A570="","",IF(ISNUMBER(A570),IF(A570&gt;=36526,A570,""),IFERROR(DATE(VALUE(RIGHT(RIGHT(TRIM(A570),10),4)),VALUE(MID(RIGHT(TRIM(A570),10),4,2)),VALUE(LEFT(RIGHT(TRIM(A570),10),2))),IFERROR(TODAY()-MOD(WEEKDAY(TODAY(),1)-MATCH(TRIM(A570),{"الأحد","الاثنين","الثلاثاء","الأربعاء","الخميس","الجمعة","السبت"},0),7),IFERROR(DATEVALUE(A570),"")))))</f>
        <v/>
      </c>
      <c r="I570" s="0" t="str">
        <f aca="false">IF(H570="","",INT((H570-WEEK_ONE)/7)+1)</f>
        <v/>
      </c>
      <c r="J570" s="0" t="str">
        <f aca="false">IF(I570="","",IF(OR(I570&lt;1,I570&gt;NW),"",INDEX(WMON,I570)))</f>
        <v/>
      </c>
    </row>
    <row r="571" customFormat="false" ht="15" hidden="false" customHeight="false" outlineLevel="0" collapsed="false">
      <c r="A571" s="43"/>
      <c r="B571" s="23" t="str">
        <f aca="false">IF(H571="","",CHOOSE(WEEKDAY(H571,1),"الأحد","الاثنين","الثلاثاء","الأربعاء","الخميس","الجمعة","السبت")&amp;IF(OR(ISNUMBER(A571),LEN(TRIM(A571))&gt;=10),"","  "&amp;TEXT(DAY(H571),"00")&amp;"/"&amp;TEXT(MONTH(H571),"00")&amp;"/"&amp;YEAR(H571)))</f>
        <v/>
      </c>
      <c r="C571" s="24"/>
      <c r="D571" s="27"/>
      <c r="E571" s="44"/>
      <c r="F571" s="27"/>
      <c r="G571" s="0" t="str">
        <f aca="false">IF(AND(C571&lt;&gt;"",COUNTIF(C$6:C571,C571)=1),MAX(G$5:G570)+1,"")</f>
        <v/>
      </c>
      <c r="H571" s="0" t="str">
        <f aca="true">IF(A571="","",IF(ISNUMBER(A571),IF(A571&gt;=36526,A571,""),IFERROR(DATE(VALUE(RIGHT(RIGHT(TRIM(A571),10),4)),VALUE(MID(RIGHT(TRIM(A571),10),4,2)),VALUE(LEFT(RIGHT(TRIM(A571),10),2))),IFERROR(TODAY()-MOD(WEEKDAY(TODAY(),1)-MATCH(TRIM(A571),{"الأحد","الاثنين","الثلاثاء","الأربعاء","الخميس","الجمعة","السبت"},0),7),IFERROR(DATEVALUE(A571),"")))))</f>
        <v/>
      </c>
      <c r="I571" s="0" t="str">
        <f aca="false">IF(H571="","",INT((H571-WEEK_ONE)/7)+1)</f>
        <v/>
      </c>
      <c r="J571" s="0" t="str">
        <f aca="false">IF(I571="","",IF(OR(I571&lt;1,I571&gt;NW),"",INDEX(WMON,I571)))</f>
        <v/>
      </c>
    </row>
    <row r="572" customFormat="false" ht="15" hidden="false" customHeight="false" outlineLevel="0" collapsed="false">
      <c r="A572" s="43"/>
      <c r="B572" s="23" t="str">
        <f aca="false">IF(H572="","",CHOOSE(WEEKDAY(H572,1),"الأحد","الاثنين","الثلاثاء","الأربعاء","الخميس","الجمعة","السبت")&amp;IF(OR(ISNUMBER(A572),LEN(TRIM(A572))&gt;=10),"","  "&amp;TEXT(DAY(H572),"00")&amp;"/"&amp;TEXT(MONTH(H572),"00")&amp;"/"&amp;YEAR(H572)))</f>
        <v/>
      </c>
      <c r="C572" s="24"/>
      <c r="D572" s="27"/>
      <c r="E572" s="44"/>
      <c r="F572" s="27"/>
      <c r="G572" s="0" t="str">
        <f aca="false">IF(AND(C572&lt;&gt;"",COUNTIF(C$6:C572,C572)=1),MAX(G$5:G571)+1,"")</f>
        <v/>
      </c>
      <c r="H572" s="0" t="str">
        <f aca="true">IF(A572="","",IF(ISNUMBER(A572),IF(A572&gt;=36526,A572,""),IFERROR(DATE(VALUE(RIGHT(RIGHT(TRIM(A572),10),4)),VALUE(MID(RIGHT(TRIM(A572),10),4,2)),VALUE(LEFT(RIGHT(TRIM(A572),10),2))),IFERROR(TODAY()-MOD(WEEKDAY(TODAY(),1)-MATCH(TRIM(A572),{"الأحد","الاثنين","الثلاثاء","الأربعاء","الخميس","الجمعة","السبت"},0),7),IFERROR(DATEVALUE(A572),"")))))</f>
        <v/>
      </c>
      <c r="I572" s="0" t="str">
        <f aca="false">IF(H572="","",INT((H572-WEEK_ONE)/7)+1)</f>
        <v/>
      </c>
      <c r="J572" s="0" t="str">
        <f aca="false">IF(I572="","",IF(OR(I572&lt;1,I572&gt;NW),"",INDEX(WMON,I572)))</f>
        <v/>
      </c>
    </row>
    <row r="573" customFormat="false" ht="15" hidden="false" customHeight="false" outlineLevel="0" collapsed="false">
      <c r="A573" s="43"/>
      <c r="B573" s="23" t="str">
        <f aca="false">IF(H573="","",CHOOSE(WEEKDAY(H573,1),"الأحد","الاثنين","الثلاثاء","الأربعاء","الخميس","الجمعة","السبت")&amp;IF(OR(ISNUMBER(A573),LEN(TRIM(A573))&gt;=10),"","  "&amp;TEXT(DAY(H573),"00")&amp;"/"&amp;TEXT(MONTH(H573),"00")&amp;"/"&amp;YEAR(H573)))</f>
        <v/>
      </c>
      <c r="C573" s="24"/>
      <c r="D573" s="27"/>
      <c r="E573" s="44"/>
      <c r="F573" s="27"/>
      <c r="G573" s="0" t="str">
        <f aca="false">IF(AND(C573&lt;&gt;"",COUNTIF(C$6:C573,C573)=1),MAX(G$5:G572)+1,"")</f>
        <v/>
      </c>
      <c r="H573" s="0" t="str">
        <f aca="true">IF(A573="","",IF(ISNUMBER(A573),IF(A573&gt;=36526,A573,""),IFERROR(DATE(VALUE(RIGHT(RIGHT(TRIM(A573),10),4)),VALUE(MID(RIGHT(TRIM(A573),10),4,2)),VALUE(LEFT(RIGHT(TRIM(A573),10),2))),IFERROR(TODAY()-MOD(WEEKDAY(TODAY(),1)-MATCH(TRIM(A573),{"الأحد","الاثنين","الثلاثاء","الأربعاء","الخميس","الجمعة","السبت"},0),7),IFERROR(DATEVALUE(A573),"")))))</f>
        <v/>
      </c>
      <c r="I573" s="0" t="str">
        <f aca="false">IF(H573="","",INT((H573-WEEK_ONE)/7)+1)</f>
        <v/>
      </c>
      <c r="J573" s="0" t="str">
        <f aca="false">IF(I573="","",IF(OR(I573&lt;1,I573&gt;NW),"",INDEX(WMON,I573)))</f>
        <v/>
      </c>
    </row>
    <row r="574" customFormat="false" ht="15" hidden="false" customHeight="false" outlineLevel="0" collapsed="false">
      <c r="A574" s="43"/>
      <c r="B574" s="23" t="str">
        <f aca="false">IF(H574="","",CHOOSE(WEEKDAY(H574,1),"الأحد","الاثنين","الثلاثاء","الأربعاء","الخميس","الجمعة","السبت")&amp;IF(OR(ISNUMBER(A574),LEN(TRIM(A574))&gt;=10),"","  "&amp;TEXT(DAY(H574),"00")&amp;"/"&amp;TEXT(MONTH(H574),"00")&amp;"/"&amp;YEAR(H574)))</f>
        <v/>
      </c>
      <c r="C574" s="24"/>
      <c r="D574" s="27"/>
      <c r="E574" s="44"/>
      <c r="F574" s="27"/>
      <c r="G574" s="0" t="str">
        <f aca="false">IF(AND(C574&lt;&gt;"",COUNTIF(C$6:C574,C574)=1),MAX(G$5:G573)+1,"")</f>
        <v/>
      </c>
      <c r="H574" s="0" t="str">
        <f aca="true">IF(A574="","",IF(ISNUMBER(A574),IF(A574&gt;=36526,A574,""),IFERROR(DATE(VALUE(RIGHT(RIGHT(TRIM(A574),10),4)),VALUE(MID(RIGHT(TRIM(A574),10),4,2)),VALUE(LEFT(RIGHT(TRIM(A574),10),2))),IFERROR(TODAY()-MOD(WEEKDAY(TODAY(),1)-MATCH(TRIM(A574),{"الأحد","الاثنين","الثلاثاء","الأربعاء","الخميس","الجمعة","السبت"},0),7),IFERROR(DATEVALUE(A574),"")))))</f>
        <v/>
      </c>
      <c r="I574" s="0" t="str">
        <f aca="false">IF(H574="","",INT((H574-WEEK_ONE)/7)+1)</f>
        <v/>
      </c>
      <c r="J574" s="0" t="str">
        <f aca="false">IF(I574="","",IF(OR(I574&lt;1,I574&gt;NW),"",INDEX(WMON,I574)))</f>
        <v/>
      </c>
    </row>
    <row r="575" customFormat="false" ht="15" hidden="false" customHeight="false" outlineLevel="0" collapsed="false">
      <c r="A575" s="43"/>
      <c r="B575" s="23" t="str">
        <f aca="false">IF(H575="","",CHOOSE(WEEKDAY(H575,1),"الأحد","الاثنين","الثلاثاء","الأربعاء","الخميس","الجمعة","السبت")&amp;IF(OR(ISNUMBER(A575),LEN(TRIM(A575))&gt;=10),"","  "&amp;TEXT(DAY(H575),"00")&amp;"/"&amp;TEXT(MONTH(H575),"00")&amp;"/"&amp;YEAR(H575)))</f>
        <v/>
      </c>
      <c r="C575" s="24"/>
      <c r="D575" s="27"/>
      <c r="E575" s="44"/>
      <c r="F575" s="27"/>
      <c r="G575" s="0" t="str">
        <f aca="false">IF(AND(C575&lt;&gt;"",COUNTIF(C$6:C575,C575)=1),MAX(G$5:G574)+1,"")</f>
        <v/>
      </c>
      <c r="H575" s="0" t="str">
        <f aca="true">IF(A575="","",IF(ISNUMBER(A575),IF(A575&gt;=36526,A575,""),IFERROR(DATE(VALUE(RIGHT(RIGHT(TRIM(A575),10),4)),VALUE(MID(RIGHT(TRIM(A575),10),4,2)),VALUE(LEFT(RIGHT(TRIM(A575),10),2))),IFERROR(TODAY()-MOD(WEEKDAY(TODAY(),1)-MATCH(TRIM(A575),{"الأحد","الاثنين","الثلاثاء","الأربعاء","الخميس","الجمعة","السبت"},0),7),IFERROR(DATEVALUE(A575),"")))))</f>
        <v/>
      </c>
      <c r="I575" s="0" t="str">
        <f aca="false">IF(H575="","",INT((H575-WEEK_ONE)/7)+1)</f>
        <v/>
      </c>
      <c r="J575" s="0" t="str">
        <f aca="false">IF(I575="","",IF(OR(I575&lt;1,I575&gt;NW),"",INDEX(WMON,I575)))</f>
        <v/>
      </c>
    </row>
    <row r="576" customFormat="false" ht="15" hidden="false" customHeight="false" outlineLevel="0" collapsed="false">
      <c r="A576" s="43"/>
      <c r="B576" s="23" t="str">
        <f aca="false">IF(H576="","",CHOOSE(WEEKDAY(H576,1),"الأحد","الاثنين","الثلاثاء","الأربعاء","الخميس","الجمعة","السبت")&amp;IF(OR(ISNUMBER(A576),LEN(TRIM(A576))&gt;=10),"","  "&amp;TEXT(DAY(H576),"00")&amp;"/"&amp;TEXT(MONTH(H576),"00")&amp;"/"&amp;YEAR(H576)))</f>
        <v/>
      </c>
      <c r="C576" s="24"/>
      <c r="D576" s="27"/>
      <c r="E576" s="44"/>
      <c r="F576" s="27"/>
      <c r="G576" s="0" t="str">
        <f aca="false">IF(AND(C576&lt;&gt;"",COUNTIF(C$6:C576,C576)=1),MAX(G$5:G575)+1,"")</f>
        <v/>
      </c>
      <c r="H576" s="0" t="str">
        <f aca="true">IF(A576="","",IF(ISNUMBER(A576),IF(A576&gt;=36526,A576,""),IFERROR(DATE(VALUE(RIGHT(RIGHT(TRIM(A576),10),4)),VALUE(MID(RIGHT(TRIM(A576),10),4,2)),VALUE(LEFT(RIGHT(TRIM(A576),10),2))),IFERROR(TODAY()-MOD(WEEKDAY(TODAY(),1)-MATCH(TRIM(A576),{"الأحد","الاثنين","الثلاثاء","الأربعاء","الخميس","الجمعة","السبت"},0),7),IFERROR(DATEVALUE(A576),"")))))</f>
        <v/>
      </c>
      <c r="I576" s="0" t="str">
        <f aca="false">IF(H576="","",INT((H576-WEEK_ONE)/7)+1)</f>
        <v/>
      </c>
      <c r="J576" s="0" t="str">
        <f aca="false">IF(I576="","",IF(OR(I576&lt;1,I576&gt;NW),"",INDEX(WMON,I576)))</f>
        <v/>
      </c>
    </row>
    <row r="577" customFormat="false" ht="15" hidden="false" customHeight="false" outlineLevel="0" collapsed="false">
      <c r="A577" s="43"/>
      <c r="B577" s="23" t="str">
        <f aca="false">IF(H577="","",CHOOSE(WEEKDAY(H577,1),"الأحد","الاثنين","الثلاثاء","الأربعاء","الخميس","الجمعة","السبت")&amp;IF(OR(ISNUMBER(A577),LEN(TRIM(A577))&gt;=10),"","  "&amp;TEXT(DAY(H577),"00")&amp;"/"&amp;TEXT(MONTH(H577),"00")&amp;"/"&amp;YEAR(H577)))</f>
        <v/>
      </c>
      <c r="C577" s="24"/>
      <c r="D577" s="27"/>
      <c r="E577" s="44"/>
      <c r="F577" s="27"/>
      <c r="G577" s="0" t="str">
        <f aca="false">IF(AND(C577&lt;&gt;"",COUNTIF(C$6:C577,C577)=1),MAX(G$5:G576)+1,"")</f>
        <v/>
      </c>
      <c r="H577" s="0" t="str">
        <f aca="true">IF(A577="","",IF(ISNUMBER(A577),IF(A577&gt;=36526,A577,""),IFERROR(DATE(VALUE(RIGHT(RIGHT(TRIM(A577),10),4)),VALUE(MID(RIGHT(TRIM(A577),10),4,2)),VALUE(LEFT(RIGHT(TRIM(A577),10),2))),IFERROR(TODAY()-MOD(WEEKDAY(TODAY(),1)-MATCH(TRIM(A577),{"الأحد","الاثنين","الثلاثاء","الأربعاء","الخميس","الجمعة","السبت"},0),7),IFERROR(DATEVALUE(A577),"")))))</f>
        <v/>
      </c>
      <c r="I577" s="0" t="str">
        <f aca="false">IF(H577="","",INT((H577-WEEK_ONE)/7)+1)</f>
        <v/>
      </c>
      <c r="J577" s="0" t="str">
        <f aca="false">IF(I577="","",IF(OR(I577&lt;1,I577&gt;NW),"",INDEX(WMON,I577)))</f>
        <v/>
      </c>
    </row>
    <row r="578" customFormat="false" ht="15" hidden="false" customHeight="false" outlineLevel="0" collapsed="false">
      <c r="A578" s="43"/>
      <c r="B578" s="23" t="str">
        <f aca="false">IF(H578="","",CHOOSE(WEEKDAY(H578,1),"الأحد","الاثنين","الثلاثاء","الأربعاء","الخميس","الجمعة","السبت")&amp;IF(OR(ISNUMBER(A578),LEN(TRIM(A578))&gt;=10),"","  "&amp;TEXT(DAY(H578),"00")&amp;"/"&amp;TEXT(MONTH(H578),"00")&amp;"/"&amp;YEAR(H578)))</f>
        <v/>
      </c>
      <c r="C578" s="24"/>
      <c r="D578" s="27"/>
      <c r="E578" s="44"/>
      <c r="F578" s="27"/>
      <c r="G578" s="0" t="str">
        <f aca="false">IF(AND(C578&lt;&gt;"",COUNTIF(C$6:C578,C578)=1),MAX(G$5:G577)+1,"")</f>
        <v/>
      </c>
      <c r="H578" s="0" t="str">
        <f aca="true">IF(A578="","",IF(ISNUMBER(A578),IF(A578&gt;=36526,A578,""),IFERROR(DATE(VALUE(RIGHT(RIGHT(TRIM(A578),10),4)),VALUE(MID(RIGHT(TRIM(A578),10),4,2)),VALUE(LEFT(RIGHT(TRIM(A578),10),2))),IFERROR(TODAY()-MOD(WEEKDAY(TODAY(),1)-MATCH(TRIM(A578),{"الأحد","الاثنين","الثلاثاء","الأربعاء","الخميس","الجمعة","السبت"},0),7),IFERROR(DATEVALUE(A578),"")))))</f>
        <v/>
      </c>
      <c r="I578" s="0" t="str">
        <f aca="false">IF(H578="","",INT((H578-WEEK_ONE)/7)+1)</f>
        <v/>
      </c>
      <c r="J578" s="0" t="str">
        <f aca="false">IF(I578="","",IF(OR(I578&lt;1,I578&gt;NW),"",INDEX(WMON,I578)))</f>
        <v/>
      </c>
    </row>
    <row r="579" customFormat="false" ht="15" hidden="false" customHeight="false" outlineLevel="0" collapsed="false">
      <c r="A579" s="43"/>
      <c r="B579" s="23" t="str">
        <f aca="false">IF(H579="","",CHOOSE(WEEKDAY(H579,1),"الأحد","الاثنين","الثلاثاء","الأربعاء","الخميس","الجمعة","السبت")&amp;IF(OR(ISNUMBER(A579),LEN(TRIM(A579))&gt;=10),"","  "&amp;TEXT(DAY(H579),"00")&amp;"/"&amp;TEXT(MONTH(H579),"00")&amp;"/"&amp;YEAR(H579)))</f>
        <v/>
      </c>
      <c r="C579" s="24"/>
      <c r="D579" s="27"/>
      <c r="E579" s="44"/>
      <c r="F579" s="27"/>
      <c r="G579" s="0" t="str">
        <f aca="false">IF(AND(C579&lt;&gt;"",COUNTIF(C$6:C579,C579)=1),MAX(G$5:G578)+1,"")</f>
        <v/>
      </c>
      <c r="H579" s="0" t="str">
        <f aca="true">IF(A579="","",IF(ISNUMBER(A579),IF(A579&gt;=36526,A579,""),IFERROR(DATE(VALUE(RIGHT(RIGHT(TRIM(A579),10),4)),VALUE(MID(RIGHT(TRIM(A579),10),4,2)),VALUE(LEFT(RIGHT(TRIM(A579),10),2))),IFERROR(TODAY()-MOD(WEEKDAY(TODAY(),1)-MATCH(TRIM(A579),{"الأحد","الاثنين","الثلاثاء","الأربعاء","الخميس","الجمعة","السبت"},0),7),IFERROR(DATEVALUE(A579),"")))))</f>
        <v/>
      </c>
      <c r="I579" s="0" t="str">
        <f aca="false">IF(H579="","",INT((H579-WEEK_ONE)/7)+1)</f>
        <v/>
      </c>
      <c r="J579" s="0" t="str">
        <f aca="false">IF(I579="","",IF(OR(I579&lt;1,I579&gt;NW),"",INDEX(WMON,I579)))</f>
        <v/>
      </c>
    </row>
    <row r="580" customFormat="false" ht="15" hidden="false" customHeight="false" outlineLevel="0" collapsed="false">
      <c r="A580" s="43"/>
      <c r="B580" s="23" t="str">
        <f aca="false">IF(H580="","",CHOOSE(WEEKDAY(H580,1),"الأحد","الاثنين","الثلاثاء","الأربعاء","الخميس","الجمعة","السبت")&amp;IF(OR(ISNUMBER(A580),LEN(TRIM(A580))&gt;=10),"","  "&amp;TEXT(DAY(H580),"00")&amp;"/"&amp;TEXT(MONTH(H580),"00")&amp;"/"&amp;YEAR(H580)))</f>
        <v/>
      </c>
      <c r="C580" s="24"/>
      <c r="D580" s="27"/>
      <c r="E580" s="44"/>
      <c r="F580" s="27"/>
      <c r="G580" s="0" t="str">
        <f aca="false">IF(AND(C580&lt;&gt;"",COUNTIF(C$6:C580,C580)=1),MAX(G$5:G579)+1,"")</f>
        <v/>
      </c>
      <c r="H580" s="0" t="str">
        <f aca="true">IF(A580="","",IF(ISNUMBER(A580),IF(A580&gt;=36526,A580,""),IFERROR(DATE(VALUE(RIGHT(RIGHT(TRIM(A580),10),4)),VALUE(MID(RIGHT(TRIM(A580),10),4,2)),VALUE(LEFT(RIGHT(TRIM(A580),10),2))),IFERROR(TODAY()-MOD(WEEKDAY(TODAY(),1)-MATCH(TRIM(A580),{"الأحد","الاثنين","الثلاثاء","الأربعاء","الخميس","الجمعة","السبت"},0),7),IFERROR(DATEVALUE(A580),"")))))</f>
        <v/>
      </c>
      <c r="I580" s="0" t="str">
        <f aca="false">IF(H580="","",INT((H580-WEEK_ONE)/7)+1)</f>
        <v/>
      </c>
      <c r="J580" s="0" t="str">
        <f aca="false">IF(I580="","",IF(OR(I580&lt;1,I580&gt;NW),"",INDEX(WMON,I580)))</f>
        <v/>
      </c>
    </row>
    <row r="581" customFormat="false" ht="15" hidden="false" customHeight="false" outlineLevel="0" collapsed="false">
      <c r="A581" s="43"/>
      <c r="B581" s="23" t="str">
        <f aca="false">IF(H581="","",CHOOSE(WEEKDAY(H581,1),"الأحد","الاثنين","الثلاثاء","الأربعاء","الخميس","الجمعة","السبت")&amp;IF(OR(ISNUMBER(A581),LEN(TRIM(A581))&gt;=10),"","  "&amp;TEXT(DAY(H581),"00")&amp;"/"&amp;TEXT(MONTH(H581),"00")&amp;"/"&amp;YEAR(H581)))</f>
        <v/>
      </c>
      <c r="C581" s="24"/>
      <c r="D581" s="27"/>
      <c r="E581" s="44"/>
      <c r="F581" s="27"/>
      <c r="G581" s="0" t="str">
        <f aca="false">IF(AND(C581&lt;&gt;"",COUNTIF(C$6:C581,C581)=1),MAX(G$5:G580)+1,"")</f>
        <v/>
      </c>
      <c r="H581" s="0" t="str">
        <f aca="true">IF(A581="","",IF(ISNUMBER(A581),IF(A581&gt;=36526,A581,""),IFERROR(DATE(VALUE(RIGHT(RIGHT(TRIM(A581),10),4)),VALUE(MID(RIGHT(TRIM(A581),10),4,2)),VALUE(LEFT(RIGHT(TRIM(A581),10),2))),IFERROR(TODAY()-MOD(WEEKDAY(TODAY(),1)-MATCH(TRIM(A581),{"الأحد","الاثنين","الثلاثاء","الأربعاء","الخميس","الجمعة","السبت"},0),7),IFERROR(DATEVALUE(A581),"")))))</f>
        <v/>
      </c>
      <c r="I581" s="0" t="str">
        <f aca="false">IF(H581="","",INT((H581-WEEK_ONE)/7)+1)</f>
        <v/>
      </c>
      <c r="J581" s="0" t="str">
        <f aca="false">IF(I581="","",IF(OR(I581&lt;1,I581&gt;NW),"",INDEX(WMON,I581)))</f>
        <v/>
      </c>
    </row>
    <row r="582" customFormat="false" ht="15" hidden="false" customHeight="false" outlineLevel="0" collapsed="false">
      <c r="A582" s="43"/>
      <c r="B582" s="23" t="str">
        <f aca="false">IF(H582="","",CHOOSE(WEEKDAY(H582,1),"الأحد","الاثنين","الثلاثاء","الأربعاء","الخميس","الجمعة","السبت")&amp;IF(OR(ISNUMBER(A582),LEN(TRIM(A582))&gt;=10),"","  "&amp;TEXT(DAY(H582),"00")&amp;"/"&amp;TEXT(MONTH(H582),"00")&amp;"/"&amp;YEAR(H582)))</f>
        <v/>
      </c>
      <c r="C582" s="24"/>
      <c r="D582" s="27"/>
      <c r="E582" s="44"/>
      <c r="F582" s="27"/>
      <c r="G582" s="0" t="str">
        <f aca="false">IF(AND(C582&lt;&gt;"",COUNTIF(C$6:C582,C582)=1),MAX(G$5:G581)+1,"")</f>
        <v/>
      </c>
      <c r="H582" s="0" t="str">
        <f aca="true">IF(A582="","",IF(ISNUMBER(A582),IF(A582&gt;=36526,A582,""),IFERROR(DATE(VALUE(RIGHT(RIGHT(TRIM(A582),10),4)),VALUE(MID(RIGHT(TRIM(A582),10),4,2)),VALUE(LEFT(RIGHT(TRIM(A582),10),2))),IFERROR(TODAY()-MOD(WEEKDAY(TODAY(),1)-MATCH(TRIM(A582),{"الأحد","الاثنين","الثلاثاء","الأربعاء","الخميس","الجمعة","السبت"},0),7),IFERROR(DATEVALUE(A582),"")))))</f>
        <v/>
      </c>
      <c r="I582" s="0" t="str">
        <f aca="false">IF(H582="","",INT((H582-WEEK_ONE)/7)+1)</f>
        <v/>
      </c>
      <c r="J582" s="0" t="str">
        <f aca="false">IF(I582="","",IF(OR(I582&lt;1,I582&gt;NW),"",INDEX(WMON,I582)))</f>
        <v/>
      </c>
    </row>
    <row r="583" customFormat="false" ht="15" hidden="false" customHeight="false" outlineLevel="0" collapsed="false">
      <c r="A583" s="43"/>
      <c r="B583" s="23" t="str">
        <f aca="false">IF(H583="","",CHOOSE(WEEKDAY(H583,1),"الأحد","الاثنين","الثلاثاء","الأربعاء","الخميس","الجمعة","السبت")&amp;IF(OR(ISNUMBER(A583),LEN(TRIM(A583))&gt;=10),"","  "&amp;TEXT(DAY(H583),"00")&amp;"/"&amp;TEXT(MONTH(H583),"00")&amp;"/"&amp;YEAR(H583)))</f>
        <v/>
      </c>
      <c r="C583" s="24"/>
      <c r="D583" s="27"/>
      <c r="E583" s="44"/>
      <c r="F583" s="27"/>
      <c r="G583" s="0" t="str">
        <f aca="false">IF(AND(C583&lt;&gt;"",COUNTIF(C$6:C583,C583)=1),MAX(G$5:G582)+1,"")</f>
        <v/>
      </c>
      <c r="H583" s="0" t="str">
        <f aca="true">IF(A583="","",IF(ISNUMBER(A583),IF(A583&gt;=36526,A583,""),IFERROR(DATE(VALUE(RIGHT(RIGHT(TRIM(A583),10),4)),VALUE(MID(RIGHT(TRIM(A583),10),4,2)),VALUE(LEFT(RIGHT(TRIM(A583),10),2))),IFERROR(TODAY()-MOD(WEEKDAY(TODAY(),1)-MATCH(TRIM(A583),{"الأحد","الاثنين","الثلاثاء","الأربعاء","الخميس","الجمعة","السبت"},0),7),IFERROR(DATEVALUE(A583),"")))))</f>
        <v/>
      </c>
      <c r="I583" s="0" t="str">
        <f aca="false">IF(H583="","",INT((H583-WEEK_ONE)/7)+1)</f>
        <v/>
      </c>
      <c r="J583" s="0" t="str">
        <f aca="false">IF(I583="","",IF(OR(I583&lt;1,I583&gt;NW),"",INDEX(WMON,I583)))</f>
        <v/>
      </c>
    </row>
    <row r="584" customFormat="false" ht="15" hidden="false" customHeight="false" outlineLevel="0" collapsed="false">
      <c r="A584" s="43"/>
      <c r="B584" s="23" t="str">
        <f aca="false">IF(H584="","",CHOOSE(WEEKDAY(H584,1),"الأحد","الاثنين","الثلاثاء","الأربعاء","الخميس","الجمعة","السبت")&amp;IF(OR(ISNUMBER(A584),LEN(TRIM(A584))&gt;=10),"","  "&amp;TEXT(DAY(H584),"00")&amp;"/"&amp;TEXT(MONTH(H584),"00")&amp;"/"&amp;YEAR(H584)))</f>
        <v/>
      </c>
      <c r="C584" s="24"/>
      <c r="D584" s="27"/>
      <c r="E584" s="44"/>
      <c r="F584" s="27"/>
      <c r="G584" s="0" t="str">
        <f aca="false">IF(AND(C584&lt;&gt;"",COUNTIF(C$6:C584,C584)=1),MAX(G$5:G583)+1,"")</f>
        <v/>
      </c>
      <c r="H584" s="0" t="str">
        <f aca="true">IF(A584="","",IF(ISNUMBER(A584),IF(A584&gt;=36526,A584,""),IFERROR(DATE(VALUE(RIGHT(RIGHT(TRIM(A584),10),4)),VALUE(MID(RIGHT(TRIM(A584),10),4,2)),VALUE(LEFT(RIGHT(TRIM(A584),10),2))),IFERROR(TODAY()-MOD(WEEKDAY(TODAY(),1)-MATCH(TRIM(A584),{"الأحد","الاثنين","الثلاثاء","الأربعاء","الخميس","الجمعة","السبت"},0),7),IFERROR(DATEVALUE(A584),"")))))</f>
        <v/>
      </c>
      <c r="I584" s="0" t="str">
        <f aca="false">IF(H584="","",INT((H584-WEEK_ONE)/7)+1)</f>
        <v/>
      </c>
      <c r="J584" s="0" t="str">
        <f aca="false">IF(I584="","",IF(OR(I584&lt;1,I584&gt;NW),"",INDEX(WMON,I584)))</f>
        <v/>
      </c>
    </row>
    <row r="585" customFormat="false" ht="15" hidden="false" customHeight="false" outlineLevel="0" collapsed="false">
      <c r="A585" s="43"/>
      <c r="B585" s="23" t="str">
        <f aca="false">IF(H585="","",CHOOSE(WEEKDAY(H585,1),"الأحد","الاثنين","الثلاثاء","الأربعاء","الخميس","الجمعة","السبت")&amp;IF(OR(ISNUMBER(A585),LEN(TRIM(A585))&gt;=10),"","  "&amp;TEXT(DAY(H585),"00")&amp;"/"&amp;TEXT(MONTH(H585),"00")&amp;"/"&amp;YEAR(H585)))</f>
        <v/>
      </c>
      <c r="C585" s="24"/>
      <c r="D585" s="27"/>
      <c r="E585" s="44"/>
      <c r="F585" s="27"/>
      <c r="G585" s="0" t="str">
        <f aca="false">IF(AND(C585&lt;&gt;"",COUNTIF(C$6:C585,C585)=1),MAX(G$5:G584)+1,"")</f>
        <v/>
      </c>
      <c r="H585" s="0" t="str">
        <f aca="true">IF(A585="","",IF(ISNUMBER(A585),IF(A585&gt;=36526,A585,""),IFERROR(DATE(VALUE(RIGHT(RIGHT(TRIM(A585),10),4)),VALUE(MID(RIGHT(TRIM(A585),10),4,2)),VALUE(LEFT(RIGHT(TRIM(A585),10),2))),IFERROR(TODAY()-MOD(WEEKDAY(TODAY(),1)-MATCH(TRIM(A585),{"الأحد","الاثنين","الثلاثاء","الأربعاء","الخميس","الجمعة","السبت"},0),7),IFERROR(DATEVALUE(A585),"")))))</f>
        <v/>
      </c>
      <c r="I585" s="0" t="str">
        <f aca="false">IF(H585="","",INT((H585-WEEK_ONE)/7)+1)</f>
        <v/>
      </c>
      <c r="J585" s="0" t="str">
        <f aca="false">IF(I585="","",IF(OR(I585&lt;1,I585&gt;NW),"",INDEX(WMON,I585)))</f>
        <v/>
      </c>
    </row>
    <row r="586" customFormat="false" ht="15" hidden="false" customHeight="false" outlineLevel="0" collapsed="false">
      <c r="A586" s="43"/>
      <c r="B586" s="23" t="str">
        <f aca="false">IF(H586="","",CHOOSE(WEEKDAY(H586,1),"الأحد","الاثنين","الثلاثاء","الأربعاء","الخميس","الجمعة","السبت")&amp;IF(OR(ISNUMBER(A586),LEN(TRIM(A586))&gt;=10),"","  "&amp;TEXT(DAY(H586),"00")&amp;"/"&amp;TEXT(MONTH(H586),"00")&amp;"/"&amp;YEAR(H586)))</f>
        <v/>
      </c>
      <c r="C586" s="24"/>
      <c r="D586" s="27"/>
      <c r="E586" s="44"/>
      <c r="F586" s="27"/>
      <c r="G586" s="0" t="str">
        <f aca="false">IF(AND(C586&lt;&gt;"",COUNTIF(C$6:C586,C586)=1),MAX(G$5:G585)+1,"")</f>
        <v/>
      </c>
      <c r="H586" s="0" t="str">
        <f aca="true">IF(A586="","",IF(ISNUMBER(A586),IF(A586&gt;=36526,A586,""),IFERROR(DATE(VALUE(RIGHT(RIGHT(TRIM(A586),10),4)),VALUE(MID(RIGHT(TRIM(A586),10),4,2)),VALUE(LEFT(RIGHT(TRIM(A586),10),2))),IFERROR(TODAY()-MOD(WEEKDAY(TODAY(),1)-MATCH(TRIM(A586),{"الأحد","الاثنين","الثلاثاء","الأربعاء","الخميس","الجمعة","السبت"},0),7),IFERROR(DATEVALUE(A586),"")))))</f>
        <v/>
      </c>
      <c r="I586" s="0" t="str">
        <f aca="false">IF(H586="","",INT((H586-WEEK_ONE)/7)+1)</f>
        <v/>
      </c>
      <c r="J586" s="0" t="str">
        <f aca="false">IF(I586="","",IF(OR(I586&lt;1,I586&gt;NW),"",INDEX(WMON,I586)))</f>
        <v/>
      </c>
    </row>
    <row r="587" customFormat="false" ht="15" hidden="false" customHeight="false" outlineLevel="0" collapsed="false">
      <c r="A587" s="43"/>
      <c r="B587" s="23" t="str">
        <f aca="false">IF(H587="","",CHOOSE(WEEKDAY(H587,1),"الأحد","الاثنين","الثلاثاء","الأربعاء","الخميس","الجمعة","السبت")&amp;IF(OR(ISNUMBER(A587),LEN(TRIM(A587))&gt;=10),"","  "&amp;TEXT(DAY(H587),"00")&amp;"/"&amp;TEXT(MONTH(H587),"00")&amp;"/"&amp;YEAR(H587)))</f>
        <v/>
      </c>
      <c r="C587" s="24"/>
      <c r="D587" s="27"/>
      <c r="E587" s="44"/>
      <c r="F587" s="27"/>
      <c r="G587" s="0" t="str">
        <f aca="false">IF(AND(C587&lt;&gt;"",COUNTIF(C$6:C587,C587)=1),MAX(G$5:G586)+1,"")</f>
        <v/>
      </c>
      <c r="H587" s="0" t="str">
        <f aca="true">IF(A587="","",IF(ISNUMBER(A587),IF(A587&gt;=36526,A587,""),IFERROR(DATE(VALUE(RIGHT(RIGHT(TRIM(A587),10),4)),VALUE(MID(RIGHT(TRIM(A587),10),4,2)),VALUE(LEFT(RIGHT(TRIM(A587),10),2))),IFERROR(TODAY()-MOD(WEEKDAY(TODAY(),1)-MATCH(TRIM(A587),{"الأحد","الاثنين","الثلاثاء","الأربعاء","الخميس","الجمعة","السبت"},0),7),IFERROR(DATEVALUE(A587),"")))))</f>
        <v/>
      </c>
      <c r="I587" s="0" t="str">
        <f aca="false">IF(H587="","",INT((H587-WEEK_ONE)/7)+1)</f>
        <v/>
      </c>
      <c r="J587" s="0" t="str">
        <f aca="false">IF(I587="","",IF(OR(I587&lt;1,I587&gt;NW),"",INDEX(WMON,I587)))</f>
        <v/>
      </c>
    </row>
    <row r="588" customFormat="false" ht="15" hidden="false" customHeight="false" outlineLevel="0" collapsed="false">
      <c r="A588" s="43"/>
      <c r="B588" s="23" t="str">
        <f aca="false">IF(H588="","",CHOOSE(WEEKDAY(H588,1),"الأحد","الاثنين","الثلاثاء","الأربعاء","الخميس","الجمعة","السبت")&amp;IF(OR(ISNUMBER(A588),LEN(TRIM(A588))&gt;=10),"","  "&amp;TEXT(DAY(H588),"00")&amp;"/"&amp;TEXT(MONTH(H588),"00")&amp;"/"&amp;YEAR(H588)))</f>
        <v/>
      </c>
      <c r="C588" s="24"/>
      <c r="D588" s="27"/>
      <c r="E588" s="44"/>
      <c r="F588" s="27"/>
      <c r="G588" s="0" t="str">
        <f aca="false">IF(AND(C588&lt;&gt;"",COUNTIF(C$6:C588,C588)=1),MAX(G$5:G587)+1,"")</f>
        <v/>
      </c>
      <c r="H588" s="0" t="str">
        <f aca="true">IF(A588="","",IF(ISNUMBER(A588),IF(A588&gt;=36526,A588,""),IFERROR(DATE(VALUE(RIGHT(RIGHT(TRIM(A588),10),4)),VALUE(MID(RIGHT(TRIM(A588),10),4,2)),VALUE(LEFT(RIGHT(TRIM(A588),10),2))),IFERROR(TODAY()-MOD(WEEKDAY(TODAY(),1)-MATCH(TRIM(A588),{"الأحد","الاثنين","الثلاثاء","الأربعاء","الخميس","الجمعة","السبت"},0),7),IFERROR(DATEVALUE(A588),"")))))</f>
        <v/>
      </c>
      <c r="I588" s="0" t="str">
        <f aca="false">IF(H588="","",INT((H588-WEEK_ONE)/7)+1)</f>
        <v/>
      </c>
      <c r="J588" s="0" t="str">
        <f aca="false">IF(I588="","",IF(OR(I588&lt;1,I588&gt;NW),"",INDEX(WMON,I588)))</f>
        <v/>
      </c>
    </row>
    <row r="589" customFormat="false" ht="15" hidden="false" customHeight="false" outlineLevel="0" collapsed="false">
      <c r="A589" s="43"/>
      <c r="B589" s="23" t="str">
        <f aca="false">IF(H589="","",CHOOSE(WEEKDAY(H589,1),"الأحد","الاثنين","الثلاثاء","الأربعاء","الخميس","الجمعة","السبت")&amp;IF(OR(ISNUMBER(A589),LEN(TRIM(A589))&gt;=10),"","  "&amp;TEXT(DAY(H589),"00")&amp;"/"&amp;TEXT(MONTH(H589),"00")&amp;"/"&amp;YEAR(H589)))</f>
        <v/>
      </c>
      <c r="C589" s="24"/>
      <c r="D589" s="27"/>
      <c r="E589" s="44"/>
      <c r="F589" s="27"/>
      <c r="G589" s="0" t="str">
        <f aca="false">IF(AND(C589&lt;&gt;"",COUNTIF(C$6:C589,C589)=1),MAX(G$5:G588)+1,"")</f>
        <v/>
      </c>
      <c r="H589" s="0" t="str">
        <f aca="true">IF(A589="","",IF(ISNUMBER(A589),IF(A589&gt;=36526,A589,""),IFERROR(DATE(VALUE(RIGHT(RIGHT(TRIM(A589),10),4)),VALUE(MID(RIGHT(TRIM(A589),10),4,2)),VALUE(LEFT(RIGHT(TRIM(A589),10),2))),IFERROR(TODAY()-MOD(WEEKDAY(TODAY(),1)-MATCH(TRIM(A589),{"الأحد","الاثنين","الثلاثاء","الأربعاء","الخميس","الجمعة","السبت"},0),7),IFERROR(DATEVALUE(A589),"")))))</f>
        <v/>
      </c>
      <c r="I589" s="0" t="str">
        <f aca="false">IF(H589="","",INT((H589-WEEK_ONE)/7)+1)</f>
        <v/>
      </c>
      <c r="J589" s="0" t="str">
        <f aca="false">IF(I589="","",IF(OR(I589&lt;1,I589&gt;NW),"",INDEX(WMON,I589)))</f>
        <v/>
      </c>
    </row>
    <row r="590" customFormat="false" ht="15" hidden="false" customHeight="false" outlineLevel="0" collapsed="false">
      <c r="A590" s="43"/>
      <c r="B590" s="23" t="str">
        <f aca="false">IF(H590="","",CHOOSE(WEEKDAY(H590,1),"الأحد","الاثنين","الثلاثاء","الأربعاء","الخميس","الجمعة","السبت")&amp;IF(OR(ISNUMBER(A590),LEN(TRIM(A590))&gt;=10),"","  "&amp;TEXT(DAY(H590),"00")&amp;"/"&amp;TEXT(MONTH(H590),"00")&amp;"/"&amp;YEAR(H590)))</f>
        <v/>
      </c>
      <c r="C590" s="24"/>
      <c r="D590" s="27"/>
      <c r="E590" s="44"/>
      <c r="F590" s="27"/>
      <c r="G590" s="0" t="str">
        <f aca="false">IF(AND(C590&lt;&gt;"",COUNTIF(C$6:C590,C590)=1),MAX(G$5:G589)+1,"")</f>
        <v/>
      </c>
      <c r="H590" s="0" t="str">
        <f aca="true">IF(A590="","",IF(ISNUMBER(A590),IF(A590&gt;=36526,A590,""),IFERROR(DATE(VALUE(RIGHT(RIGHT(TRIM(A590),10),4)),VALUE(MID(RIGHT(TRIM(A590),10),4,2)),VALUE(LEFT(RIGHT(TRIM(A590),10),2))),IFERROR(TODAY()-MOD(WEEKDAY(TODAY(),1)-MATCH(TRIM(A590),{"الأحد","الاثنين","الثلاثاء","الأربعاء","الخميس","الجمعة","السبت"},0),7),IFERROR(DATEVALUE(A590),"")))))</f>
        <v/>
      </c>
      <c r="I590" s="0" t="str">
        <f aca="false">IF(H590="","",INT((H590-WEEK_ONE)/7)+1)</f>
        <v/>
      </c>
      <c r="J590" s="0" t="str">
        <f aca="false">IF(I590="","",IF(OR(I590&lt;1,I590&gt;NW),"",INDEX(WMON,I590)))</f>
        <v/>
      </c>
    </row>
    <row r="591" customFormat="false" ht="15" hidden="false" customHeight="false" outlineLevel="0" collapsed="false">
      <c r="A591" s="43"/>
      <c r="B591" s="23" t="str">
        <f aca="false">IF(H591="","",CHOOSE(WEEKDAY(H591,1),"الأحد","الاثنين","الثلاثاء","الأربعاء","الخميس","الجمعة","السبت")&amp;IF(OR(ISNUMBER(A591),LEN(TRIM(A591))&gt;=10),"","  "&amp;TEXT(DAY(H591),"00")&amp;"/"&amp;TEXT(MONTH(H591),"00")&amp;"/"&amp;YEAR(H591)))</f>
        <v/>
      </c>
      <c r="C591" s="24"/>
      <c r="D591" s="27"/>
      <c r="E591" s="44"/>
      <c r="F591" s="27"/>
      <c r="G591" s="0" t="str">
        <f aca="false">IF(AND(C591&lt;&gt;"",COUNTIF(C$6:C591,C591)=1),MAX(G$5:G590)+1,"")</f>
        <v/>
      </c>
      <c r="H591" s="0" t="str">
        <f aca="true">IF(A591="","",IF(ISNUMBER(A591),IF(A591&gt;=36526,A591,""),IFERROR(DATE(VALUE(RIGHT(RIGHT(TRIM(A591),10),4)),VALUE(MID(RIGHT(TRIM(A591),10),4,2)),VALUE(LEFT(RIGHT(TRIM(A591),10),2))),IFERROR(TODAY()-MOD(WEEKDAY(TODAY(),1)-MATCH(TRIM(A591),{"الأحد","الاثنين","الثلاثاء","الأربعاء","الخميس","الجمعة","السبت"},0),7),IFERROR(DATEVALUE(A591),"")))))</f>
        <v/>
      </c>
      <c r="I591" s="0" t="str">
        <f aca="false">IF(H591="","",INT((H591-WEEK_ONE)/7)+1)</f>
        <v/>
      </c>
      <c r="J591" s="0" t="str">
        <f aca="false">IF(I591="","",IF(OR(I591&lt;1,I591&gt;NW),"",INDEX(WMON,I591)))</f>
        <v/>
      </c>
    </row>
    <row r="592" customFormat="false" ht="15" hidden="false" customHeight="false" outlineLevel="0" collapsed="false">
      <c r="A592" s="43"/>
      <c r="B592" s="23" t="str">
        <f aca="false">IF(H592="","",CHOOSE(WEEKDAY(H592,1),"الأحد","الاثنين","الثلاثاء","الأربعاء","الخميس","الجمعة","السبت")&amp;IF(OR(ISNUMBER(A592),LEN(TRIM(A592))&gt;=10),"","  "&amp;TEXT(DAY(H592),"00")&amp;"/"&amp;TEXT(MONTH(H592),"00")&amp;"/"&amp;YEAR(H592)))</f>
        <v/>
      </c>
      <c r="C592" s="24"/>
      <c r="D592" s="27"/>
      <c r="E592" s="44"/>
      <c r="F592" s="27"/>
      <c r="G592" s="0" t="str">
        <f aca="false">IF(AND(C592&lt;&gt;"",COUNTIF(C$6:C592,C592)=1),MAX(G$5:G591)+1,"")</f>
        <v/>
      </c>
      <c r="H592" s="0" t="str">
        <f aca="true">IF(A592="","",IF(ISNUMBER(A592),IF(A592&gt;=36526,A592,""),IFERROR(DATE(VALUE(RIGHT(RIGHT(TRIM(A592),10),4)),VALUE(MID(RIGHT(TRIM(A592),10),4,2)),VALUE(LEFT(RIGHT(TRIM(A592),10),2))),IFERROR(TODAY()-MOD(WEEKDAY(TODAY(),1)-MATCH(TRIM(A592),{"الأحد","الاثنين","الثلاثاء","الأربعاء","الخميس","الجمعة","السبت"},0),7),IFERROR(DATEVALUE(A592),"")))))</f>
        <v/>
      </c>
      <c r="I592" s="0" t="str">
        <f aca="false">IF(H592="","",INT((H592-WEEK_ONE)/7)+1)</f>
        <v/>
      </c>
      <c r="J592" s="0" t="str">
        <f aca="false">IF(I592="","",IF(OR(I592&lt;1,I592&gt;NW),"",INDEX(WMON,I592)))</f>
        <v/>
      </c>
    </row>
    <row r="593" customFormat="false" ht="15" hidden="false" customHeight="false" outlineLevel="0" collapsed="false">
      <c r="A593" s="43"/>
      <c r="B593" s="23" t="str">
        <f aca="false">IF(H593="","",CHOOSE(WEEKDAY(H593,1),"الأحد","الاثنين","الثلاثاء","الأربعاء","الخميس","الجمعة","السبت")&amp;IF(OR(ISNUMBER(A593),LEN(TRIM(A593))&gt;=10),"","  "&amp;TEXT(DAY(H593),"00")&amp;"/"&amp;TEXT(MONTH(H593),"00")&amp;"/"&amp;YEAR(H593)))</f>
        <v/>
      </c>
      <c r="C593" s="24"/>
      <c r="D593" s="27"/>
      <c r="E593" s="44"/>
      <c r="F593" s="27"/>
      <c r="G593" s="0" t="str">
        <f aca="false">IF(AND(C593&lt;&gt;"",COUNTIF(C$6:C593,C593)=1),MAX(G$5:G592)+1,"")</f>
        <v/>
      </c>
      <c r="H593" s="0" t="str">
        <f aca="true">IF(A593="","",IF(ISNUMBER(A593),IF(A593&gt;=36526,A593,""),IFERROR(DATE(VALUE(RIGHT(RIGHT(TRIM(A593),10),4)),VALUE(MID(RIGHT(TRIM(A593),10),4,2)),VALUE(LEFT(RIGHT(TRIM(A593),10),2))),IFERROR(TODAY()-MOD(WEEKDAY(TODAY(),1)-MATCH(TRIM(A593),{"الأحد","الاثنين","الثلاثاء","الأربعاء","الخميس","الجمعة","السبت"},0),7),IFERROR(DATEVALUE(A593),"")))))</f>
        <v/>
      </c>
      <c r="I593" s="0" t="str">
        <f aca="false">IF(H593="","",INT((H593-WEEK_ONE)/7)+1)</f>
        <v/>
      </c>
      <c r="J593" s="0" t="str">
        <f aca="false">IF(I593="","",IF(OR(I593&lt;1,I593&gt;NW),"",INDEX(WMON,I593)))</f>
        <v/>
      </c>
    </row>
    <row r="594" customFormat="false" ht="15" hidden="false" customHeight="false" outlineLevel="0" collapsed="false">
      <c r="A594" s="43"/>
      <c r="B594" s="23" t="str">
        <f aca="false">IF(H594="","",CHOOSE(WEEKDAY(H594,1),"الأحد","الاثنين","الثلاثاء","الأربعاء","الخميس","الجمعة","السبت")&amp;IF(OR(ISNUMBER(A594),LEN(TRIM(A594))&gt;=10),"","  "&amp;TEXT(DAY(H594),"00")&amp;"/"&amp;TEXT(MONTH(H594),"00")&amp;"/"&amp;YEAR(H594)))</f>
        <v/>
      </c>
      <c r="C594" s="24"/>
      <c r="D594" s="27"/>
      <c r="E594" s="44"/>
      <c r="F594" s="27"/>
      <c r="G594" s="0" t="str">
        <f aca="false">IF(AND(C594&lt;&gt;"",COUNTIF(C$6:C594,C594)=1),MAX(G$5:G593)+1,"")</f>
        <v/>
      </c>
      <c r="H594" s="0" t="str">
        <f aca="true">IF(A594="","",IF(ISNUMBER(A594),IF(A594&gt;=36526,A594,""),IFERROR(DATE(VALUE(RIGHT(RIGHT(TRIM(A594),10),4)),VALUE(MID(RIGHT(TRIM(A594),10),4,2)),VALUE(LEFT(RIGHT(TRIM(A594),10),2))),IFERROR(TODAY()-MOD(WEEKDAY(TODAY(),1)-MATCH(TRIM(A594),{"الأحد","الاثنين","الثلاثاء","الأربعاء","الخميس","الجمعة","السبت"},0),7),IFERROR(DATEVALUE(A594),"")))))</f>
        <v/>
      </c>
      <c r="I594" s="0" t="str">
        <f aca="false">IF(H594="","",INT((H594-WEEK_ONE)/7)+1)</f>
        <v/>
      </c>
      <c r="J594" s="0" t="str">
        <f aca="false">IF(I594="","",IF(OR(I594&lt;1,I594&gt;NW),"",INDEX(WMON,I594)))</f>
        <v/>
      </c>
    </row>
    <row r="595" customFormat="false" ht="15" hidden="false" customHeight="false" outlineLevel="0" collapsed="false">
      <c r="A595" s="43"/>
      <c r="B595" s="23" t="str">
        <f aca="false">IF(H595="","",CHOOSE(WEEKDAY(H595,1),"الأحد","الاثنين","الثلاثاء","الأربعاء","الخميس","الجمعة","السبت")&amp;IF(OR(ISNUMBER(A595),LEN(TRIM(A595))&gt;=10),"","  "&amp;TEXT(DAY(H595),"00")&amp;"/"&amp;TEXT(MONTH(H595),"00")&amp;"/"&amp;YEAR(H595)))</f>
        <v/>
      </c>
      <c r="C595" s="24"/>
      <c r="D595" s="27"/>
      <c r="E595" s="44"/>
      <c r="F595" s="27"/>
      <c r="G595" s="0" t="str">
        <f aca="false">IF(AND(C595&lt;&gt;"",COUNTIF(C$6:C595,C595)=1),MAX(G$5:G594)+1,"")</f>
        <v/>
      </c>
      <c r="H595" s="0" t="str">
        <f aca="true">IF(A595="","",IF(ISNUMBER(A595),IF(A595&gt;=36526,A595,""),IFERROR(DATE(VALUE(RIGHT(RIGHT(TRIM(A595),10),4)),VALUE(MID(RIGHT(TRIM(A595),10),4,2)),VALUE(LEFT(RIGHT(TRIM(A595),10),2))),IFERROR(TODAY()-MOD(WEEKDAY(TODAY(),1)-MATCH(TRIM(A595),{"الأحد","الاثنين","الثلاثاء","الأربعاء","الخميس","الجمعة","السبت"},0),7),IFERROR(DATEVALUE(A595),"")))))</f>
        <v/>
      </c>
      <c r="I595" s="0" t="str">
        <f aca="false">IF(H595="","",INT((H595-WEEK_ONE)/7)+1)</f>
        <v/>
      </c>
      <c r="J595" s="0" t="str">
        <f aca="false">IF(I595="","",IF(OR(I595&lt;1,I595&gt;NW),"",INDEX(WMON,I595)))</f>
        <v/>
      </c>
    </row>
    <row r="596" customFormat="false" ht="15" hidden="false" customHeight="false" outlineLevel="0" collapsed="false">
      <c r="A596" s="43"/>
      <c r="B596" s="23" t="str">
        <f aca="false">IF(H596="","",CHOOSE(WEEKDAY(H596,1),"الأحد","الاثنين","الثلاثاء","الأربعاء","الخميس","الجمعة","السبت")&amp;IF(OR(ISNUMBER(A596),LEN(TRIM(A596))&gt;=10),"","  "&amp;TEXT(DAY(H596),"00")&amp;"/"&amp;TEXT(MONTH(H596),"00")&amp;"/"&amp;YEAR(H596)))</f>
        <v/>
      </c>
      <c r="C596" s="24"/>
      <c r="D596" s="27"/>
      <c r="E596" s="44"/>
      <c r="F596" s="27"/>
      <c r="G596" s="0" t="str">
        <f aca="false">IF(AND(C596&lt;&gt;"",COUNTIF(C$6:C596,C596)=1),MAX(G$5:G595)+1,"")</f>
        <v/>
      </c>
      <c r="H596" s="0" t="str">
        <f aca="true">IF(A596="","",IF(ISNUMBER(A596),IF(A596&gt;=36526,A596,""),IFERROR(DATE(VALUE(RIGHT(RIGHT(TRIM(A596),10),4)),VALUE(MID(RIGHT(TRIM(A596),10),4,2)),VALUE(LEFT(RIGHT(TRIM(A596),10),2))),IFERROR(TODAY()-MOD(WEEKDAY(TODAY(),1)-MATCH(TRIM(A596),{"الأحد","الاثنين","الثلاثاء","الأربعاء","الخميس","الجمعة","السبت"},0),7),IFERROR(DATEVALUE(A596),"")))))</f>
        <v/>
      </c>
      <c r="I596" s="0" t="str">
        <f aca="false">IF(H596="","",INT((H596-WEEK_ONE)/7)+1)</f>
        <v/>
      </c>
      <c r="J596" s="0" t="str">
        <f aca="false">IF(I596="","",IF(OR(I596&lt;1,I596&gt;NW),"",INDEX(WMON,I596)))</f>
        <v/>
      </c>
    </row>
    <row r="597" customFormat="false" ht="15" hidden="false" customHeight="false" outlineLevel="0" collapsed="false">
      <c r="A597" s="43"/>
      <c r="B597" s="23" t="str">
        <f aca="false">IF(H597="","",CHOOSE(WEEKDAY(H597,1),"الأحد","الاثنين","الثلاثاء","الأربعاء","الخميس","الجمعة","السبت")&amp;IF(OR(ISNUMBER(A597),LEN(TRIM(A597))&gt;=10),"","  "&amp;TEXT(DAY(H597),"00")&amp;"/"&amp;TEXT(MONTH(H597),"00")&amp;"/"&amp;YEAR(H597)))</f>
        <v/>
      </c>
      <c r="C597" s="24"/>
      <c r="D597" s="27"/>
      <c r="E597" s="44"/>
      <c r="F597" s="27"/>
      <c r="G597" s="0" t="str">
        <f aca="false">IF(AND(C597&lt;&gt;"",COUNTIF(C$6:C597,C597)=1),MAX(G$5:G596)+1,"")</f>
        <v/>
      </c>
      <c r="H597" s="0" t="str">
        <f aca="true">IF(A597="","",IF(ISNUMBER(A597),IF(A597&gt;=36526,A597,""),IFERROR(DATE(VALUE(RIGHT(RIGHT(TRIM(A597),10),4)),VALUE(MID(RIGHT(TRIM(A597),10),4,2)),VALUE(LEFT(RIGHT(TRIM(A597),10),2))),IFERROR(TODAY()-MOD(WEEKDAY(TODAY(),1)-MATCH(TRIM(A597),{"الأحد","الاثنين","الثلاثاء","الأربعاء","الخميس","الجمعة","السبت"},0),7),IFERROR(DATEVALUE(A597),"")))))</f>
        <v/>
      </c>
      <c r="I597" s="0" t="str">
        <f aca="false">IF(H597="","",INT((H597-WEEK_ONE)/7)+1)</f>
        <v/>
      </c>
      <c r="J597" s="0" t="str">
        <f aca="false">IF(I597="","",IF(OR(I597&lt;1,I597&gt;NW),"",INDEX(WMON,I597)))</f>
        <v/>
      </c>
    </row>
    <row r="598" customFormat="false" ht="15" hidden="false" customHeight="false" outlineLevel="0" collapsed="false">
      <c r="A598" s="43"/>
      <c r="B598" s="23" t="str">
        <f aca="false">IF(H598="","",CHOOSE(WEEKDAY(H598,1),"الأحد","الاثنين","الثلاثاء","الأربعاء","الخميس","الجمعة","السبت")&amp;IF(OR(ISNUMBER(A598),LEN(TRIM(A598))&gt;=10),"","  "&amp;TEXT(DAY(H598),"00")&amp;"/"&amp;TEXT(MONTH(H598),"00")&amp;"/"&amp;YEAR(H598)))</f>
        <v/>
      </c>
      <c r="C598" s="24"/>
      <c r="D598" s="27"/>
      <c r="E598" s="44"/>
      <c r="F598" s="27"/>
      <c r="G598" s="0" t="str">
        <f aca="false">IF(AND(C598&lt;&gt;"",COUNTIF(C$6:C598,C598)=1),MAX(G$5:G597)+1,"")</f>
        <v/>
      </c>
      <c r="H598" s="0" t="str">
        <f aca="true">IF(A598="","",IF(ISNUMBER(A598),IF(A598&gt;=36526,A598,""),IFERROR(DATE(VALUE(RIGHT(RIGHT(TRIM(A598),10),4)),VALUE(MID(RIGHT(TRIM(A598),10),4,2)),VALUE(LEFT(RIGHT(TRIM(A598),10),2))),IFERROR(TODAY()-MOD(WEEKDAY(TODAY(),1)-MATCH(TRIM(A598),{"الأحد","الاثنين","الثلاثاء","الأربعاء","الخميس","الجمعة","السبت"},0),7),IFERROR(DATEVALUE(A598),"")))))</f>
        <v/>
      </c>
      <c r="I598" s="0" t="str">
        <f aca="false">IF(H598="","",INT((H598-WEEK_ONE)/7)+1)</f>
        <v/>
      </c>
      <c r="J598" s="0" t="str">
        <f aca="false">IF(I598="","",IF(OR(I598&lt;1,I598&gt;NW),"",INDEX(WMON,I598)))</f>
        <v/>
      </c>
    </row>
    <row r="599" customFormat="false" ht="15" hidden="false" customHeight="false" outlineLevel="0" collapsed="false">
      <c r="A599" s="43"/>
      <c r="B599" s="23" t="str">
        <f aca="false">IF(H599="","",CHOOSE(WEEKDAY(H599,1),"الأحد","الاثنين","الثلاثاء","الأربعاء","الخميس","الجمعة","السبت")&amp;IF(OR(ISNUMBER(A599),LEN(TRIM(A599))&gt;=10),"","  "&amp;TEXT(DAY(H599),"00")&amp;"/"&amp;TEXT(MONTH(H599),"00")&amp;"/"&amp;YEAR(H599)))</f>
        <v/>
      </c>
      <c r="C599" s="24"/>
      <c r="D599" s="27"/>
      <c r="E599" s="44"/>
      <c r="F599" s="27"/>
      <c r="G599" s="0" t="str">
        <f aca="false">IF(AND(C599&lt;&gt;"",COUNTIF(C$6:C599,C599)=1),MAX(G$5:G598)+1,"")</f>
        <v/>
      </c>
      <c r="H599" s="0" t="str">
        <f aca="true">IF(A599="","",IF(ISNUMBER(A599),IF(A599&gt;=36526,A599,""),IFERROR(DATE(VALUE(RIGHT(RIGHT(TRIM(A599),10),4)),VALUE(MID(RIGHT(TRIM(A599),10),4,2)),VALUE(LEFT(RIGHT(TRIM(A599),10),2))),IFERROR(TODAY()-MOD(WEEKDAY(TODAY(),1)-MATCH(TRIM(A599),{"الأحد","الاثنين","الثلاثاء","الأربعاء","الخميس","الجمعة","السبت"},0),7),IFERROR(DATEVALUE(A599),"")))))</f>
        <v/>
      </c>
      <c r="I599" s="0" t="str">
        <f aca="false">IF(H599="","",INT((H599-WEEK_ONE)/7)+1)</f>
        <v/>
      </c>
      <c r="J599" s="0" t="str">
        <f aca="false">IF(I599="","",IF(OR(I599&lt;1,I599&gt;NW),"",INDEX(WMON,I599)))</f>
        <v/>
      </c>
    </row>
    <row r="600" customFormat="false" ht="15" hidden="false" customHeight="false" outlineLevel="0" collapsed="false">
      <c r="A600" s="43"/>
      <c r="B600" s="23" t="str">
        <f aca="false">IF(H600="","",CHOOSE(WEEKDAY(H600,1),"الأحد","الاثنين","الثلاثاء","الأربعاء","الخميس","الجمعة","السبت")&amp;IF(OR(ISNUMBER(A600),LEN(TRIM(A600))&gt;=10),"","  "&amp;TEXT(DAY(H600),"00")&amp;"/"&amp;TEXT(MONTH(H600),"00")&amp;"/"&amp;YEAR(H600)))</f>
        <v/>
      </c>
      <c r="C600" s="24"/>
      <c r="D600" s="27"/>
      <c r="E600" s="44"/>
      <c r="F600" s="27"/>
      <c r="G600" s="0" t="str">
        <f aca="false">IF(AND(C600&lt;&gt;"",COUNTIF(C$6:C600,C600)=1),MAX(G$5:G599)+1,"")</f>
        <v/>
      </c>
      <c r="H600" s="0" t="str">
        <f aca="true">IF(A600="","",IF(ISNUMBER(A600),IF(A600&gt;=36526,A600,""),IFERROR(DATE(VALUE(RIGHT(RIGHT(TRIM(A600),10),4)),VALUE(MID(RIGHT(TRIM(A600),10),4,2)),VALUE(LEFT(RIGHT(TRIM(A600),10),2))),IFERROR(TODAY()-MOD(WEEKDAY(TODAY(),1)-MATCH(TRIM(A600),{"الأحد","الاثنين","الثلاثاء","الأربعاء","الخميس","الجمعة","السبت"},0),7),IFERROR(DATEVALUE(A600),"")))))</f>
        <v/>
      </c>
      <c r="I600" s="0" t="str">
        <f aca="false">IF(H600="","",INT((H600-WEEK_ONE)/7)+1)</f>
        <v/>
      </c>
      <c r="J600" s="0" t="str">
        <f aca="false">IF(I600="","",IF(OR(I600&lt;1,I600&gt;NW),"",INDEX(WMON,I600)))</f>
        <v/>
      </c>
    </row>
    <row r="601" customFormat="false" ht="15" hidden="false" customHeight="false" outlineLevel="0" collapsed="false">
      <c r="A601" s="43"/>
      <c r="B601" s="23" t="str">
        <f aca="false">IF(H601="","",CHOOSE(WEEKDAY(H601,1),"الأحد","الاثنين","الثلاثاء","الأربعاء","الخميس","الجمعة","السبت")&amp;IF(OR(ISNUMBER(A601),LEN(TRIM(A601))&gt;=10),"","  "&amp;TEXT(DAY(H601),"00")&amp;"/"&amp;TEXT(MONTH(H601),"00")&amp;"/"&amp;YEAR(H601)))</f>
        <v/>
      </c>
      <c r="C601" s="24"/>
      <c r="D601" s="27"/>
      <c r="E601" s="44"/>
      <c r="F601" s="27"/>
      <c r="G601" s="0" t="str">
        <f aca="false">IF(AND(C601&lt;&gt;"",COUNTIF(C$6:C601,C601)=1),MAX(G$5:G600)+1,"")</f>
        <v/>
      </c>
      <c r="H601" s="0" t="str">
        <f aca="true">IF(A601="","",IF(ISNUMBER(A601),IF(A601&gt;=36526,A601,""),IFERROR(DATE(VALUE(RIGHT(RIGHT(TRIM(A601),10),4)),VALUE(MID(RIGHT(TRIM(A601),10),4,2)),VALUE(LEFT(RIGHT(TRIM(A601),10),2))),IFERROR(TODAY()-MOD(WEEKDAY(TODAY(),1)-MATCH(TRIM(A601),{"الأحد","الاثنين","الثلاثاء","الأربعاء","الخميس","الجمعة","السبت"},0),7),IFERROR(DATEVALUE(A601),"")))))</f>
        <v/>
      </c>
      <c r="I601" s="0" t="str">
        <f aca="false">IF(H601="","",INT((H601-WEEK_ONE)/7)+1)</f>
        <v/>
      </c>
      <c r="J601" s="0" t="str">
        <f aca="false">IF(I601="","",IF(OR(I601&lt;1,I601&gt;NW),"",INDEX(WMON,I601)))</f>
        <v/>
      </c>
    </row>
    <row r="602" customFormat="false" ht="15" hidden="false" customHeight="false" outlineLevel="0" collapsed="false">
      <c r="A602" s="43"/>
      <c r="B602" s="23" t="str">
        <f aca="false">IF(H602="","",CHOOSE(WEEKDAY(H602,1),"الأحد","الاثنين","الثلاثاء","الأربعاء","الخميس","الجمعة","السبت")&amp;IF(OR(ISNUMBER(A602),LEN(TRIM(A602))&gt;=10),"","  "&amp;TEXT(DAY(H602),"00")&amp;"/"&amp;TEXT(MONTH(H602),"00")&amp;"/"&amp;YEAR(H602)))</f>
        <v/>
      </c>
      <c r="C602" s="24"/>
      <c r="D602" s="27"/>
      <c r="E602" s="44"/>
      <c r="F602" s="27"/>
      <c r="G602" s="0" t="str">
        <f aca="false">IF(AND(C602&lt;&gt;"",COUNTIF(C$6:C602,C602)=1),MAX(G$5:G601)+1,"")</f>
        <v/>
      </c>
      <c r="H602" s="0" t="str">
        <f aca="true">IF(A602="","",IF(ISNUMBER(A602),IF(A602&gt;=36526,A602,""),IFERROR(DATE(VALUE(RIGHT(RIGHT(TRIM(A602),10),4)),VALUE(MID(RIGHT(TRIM(A602),10),4,2)),VALUE(LEFT(RIGHT(TRIM(A602),10),2))),IFERROR(TODAY()-MOD(WEEKDAY(TODAY(),1)-MATCH(TRIM(A602),{"الأحد","الاثنين","الثلاثاء","الأربعاء","الخميس","الجمعة","السبت"},0),7),IFERROR(DATEVALUE(A602),"")))))</f>
        <v/>
      </c>
      <c r="I602" s="0" t="str">
        <f aca="false">IF(H602="","",INT((H602-WEEK_ONE)/7)+1)</f>
        <v/>
      </c>
      <c r="J602" s="0" t="str">
        <f aca="false">IF(I602="","",IF(OR(I602&lt;1,I602&gt;NW),"",INDEX(WMON,I602)))</f>
        <v/>
      </c>
    </row>
    <row r="603" customFormat="false" ht="15" hidden="false" customHeight="false" outlineLevel="0" collapsed="false">
      <c r="A603" s="43"/>
      <c r="B603" s="23" t="str">
        <f aca="false">IF(H603="","",CHOOSE(WEEKDAY(H603,1),"الأحد","الاثنين","الثلاثاء","الأربعاء","الخميس","الجمعة","السبت")&amp;IF(OR(ISNUMBER(A603),LEN(TRIM(A603))&gt;=10),"","  "&amp;TEXT(DAY(H603),"00")&amp;"/"&amp;TEXT(MONTH(H603),"00")&amp;"/"&amp;YEAR(H603)))</f>
        <v/>
      </c>
      <c r="C603" s="24"/>
      <c r="D603" s="27"/>
      <c r="E603" s="44"/>
      <c r="F603" s="27"/>
      <c r="G603" s="0" t="str">
        <f aca="false">IF(AND(C603&lt;&gt;"",COUNTIF(C$6:C603,C603)=1),MAX(G$5:G602)+1,"")</f>
        <v/>
      </c>
      <c r="H603" s="0" t="str">
        <f aca="true">IF(A603="","",IF(ISNUMBER(A603),IF(A603&gt;=36526,A603,""),IFERROR(DATE(VALUE(RIGHT(RIGHT(TRIM(A603),10),4)),VALUE(MID(RIGHT(TRIM(A603),10),4,2)),VALUE(LEFT(RIGHT(TRIM(A603),10),2))),IFERROR(TODAY()-MOD(WEEKDAY(TODAY(),1)-MATCH(TRIM(A603),{"الأحد","الاثنين","الثلاثاء","الأربعاء","الخميس","الجمعة","السبت"},0),7),IFERROR(DATEVALUE(A603),"")))))</f>
        <v/>
      </c>
      <c r="I603" s="0" t="str">
        <f aca="false">IF(H603="","",INT((H603-WEEK_ONE)/7)+1)</f>
        <v/>
      </c>
      <c r="J603" s="0" t="str">
        <f aca="false">IF(I603="","",IF(OR(I603&lt;1,I603&gt;NW),"",INDEX(WMON,I603)))</f>
        <v/>
      </c>
    </row>
    <row r="604" customFormat="false" ht="15" hidden="false" customHeight="false" outlineLevel="0" collapsed="false">
      <c r="A604" s="43"/>
      <c r="B604" s="23" t="str">
        <f aca="false">IF(H604="","",CHOOSE(WEEKDAY(H604,1),"الأحد","الاثنين","الثلاثاء","الأربعاء","الخميس","الجمعة","السبت")&amp;IF(OR(ISNUMBER(A604),LEN(TRIM(A604))&gt;=10),"","  "&amp;TEXT(DAY(H604),"00")&amp;"/"&amp;TEXT(MONTH(H604),"00")&amp;"/"&amp;YEAR(H604)))</f>
        <v/>
      </c>
      <c r="C604" s="24"/>
      <c r="D604" s="27"/>
      <c r="E604" s="44"/>
      <c r="F604" s="27"/>
      <c r="G604" s="0" t="str">
        <f aca="false">IF(AND(C604&lt;&gt;"",COUNTIF(C$6:C604,C604)=1),MAX(G$5:G603)+1,"")</f>
        <v/>
      </c>
      <c r="H604" s="0" t="str">
        <f aca="true">IF(A604="","",IF(ISNUMBER(A604),IF(A604&gt;=36526,A604,""),IFERROR(DATE(VALUE(RIGHT(RIGHT(TRIM(A604),10),4)),VALUE(MID(RIGHT(TRIM(A604),10),4,2)),VALUE(LEFT(RIGHT(TRIM(A604),10),2))),IFERROR(TODAY()-MOD(WEEKDAY(TODAY(),1)-MATCH(TRIM(A604),{"الأحد","الاثنين","الثلاثاء","الأربعاء","الخميس","الجمعة","السبت"},0),7),IFERROR(DATEVALUE(A604),"")))))</f>
        <v/>
      </c>
      <c r="I604" s="0" t="str">
        <f aca="false">IF(H604="","",INT((H604-WEEK_ONE)/7)+1)</f>
        <v/>
      </c>
      <c r="J604" s="0" t="str">
        <f aca="false">IF(I604="","",IF(OR(I604&lt;1,I604&gt;NW),"",INDEX(WMON,I604)))</f>
        <v/>
      </c>
    </row>
    <row r="605" customFormat="false" ht="15" hidden="false" customHeight="false" outlineLevel="0" collapsed="false">
      <c r="A605" s="43"/>
      <c r="B605" s="23" t="str">
        <f aca="false">IF(H605="","",CHOOSE(WEEKDAY(H605,1),"الأحد","الاثنين","الثلاثاء","الأربعاء","الخميس","الجمعة","السبت")&amp;IF(OR(ISNUMBER(A605),LEN(TRIM(A605))&gt;=10),"","  "&amp;TEXT(DAY(H605),"00")&amp;"/"&amp;TEXT(MONTH(H605),"00")&amp;"/"&amp;YEAR(H605)))</f>
        <v/>
      </c>
      <c r="C605" s="24"/>
      <c r="D605" s="27"/>
      <c r="E605" s="44"/>
      <c r="F605" s="27"/>
      <c r="G605" s="0" t="str">
        <f aca="false">IF(AND(C605&lt;&gt;"",COUNTIF(C$6:C605,C605)=1),MAX(G$5:G604)+1,"")</f>
        <v/>
      </c>
      <c r="H605" s="0" t="str">
        <f aca="true">IF(A605="","",IF(ISNUMBER(A605),IF(A605&gt;=36526,A605,""),IFERROR(DATE(VALUE(RIGHT(RIGHT(TRIM(A605),10),4)),VALUE(MID(RIGHT(TRIM(A605),10),4,2)),VALUE(LEFT(RIGHT(TRIM(A605),10),2))),IFERROR(TODAY()-MOD(WEEKDAY(TODAY(),1)-MATCH(TRIM(A605),{"الأحد","الاثنين","الثلاثاء","الأربعاء","الخميس","الجمعة","السبت"},0),7),IFERROR(DATEVALUE(A605),"")))))</f>
        <v/>
      </c>
      <c r="I605" s="0" t="str">
        <f aca="false">IF(H605="","",INT((H605-WEEK_ONE)/7)+1)</f>
        <v/>
      </c>
      <c r="J605" s="0" t="str">
        <f aca="false">IF(I605="","",IF(OR(I605&lt;1,I605&gt;NW),"",INDEX(WMON,I605)))</f>
        <v/>
      </c>
    </row>
    <row r="606" customFormat="false" ht="15" hidden="false" customHeight="false" outlineLevel="0" collapsed="false">
      <c r="D606" s="51" t="s">
        <v>54</v>
      </c>
      <c r="E606" s="52" t="n">
        <f aca="false">SUM(E6:E605)</f>
        <v>0</v>
      </c>
    </row>
    <row r="608" customFormat="false" ht="15" hidden="false" customHeight="false" outlineLevel="0" collapsed="false">
      <c r="A608" s="46" t="str">
        <f aca="false">"ضل "&amp;COUNTBLANK(A6:A605)&amp;" سطر فاضي بالسجل"</f>
        <v>ضل 600 سطر فاضي بالسجل</v>
      </c>
    </row>
  </sheetData>
  <sheetProtection sheet="true" formatColumns="false" formatRows="false"/>
  <mergeCells count="2">
    <mergeCell ref="A1:F1"/>
    <mergeCell ref="A3:F3"/>
  </mergeCells>
  <conditionalFormatting sqref="A6:F605">
    <cfRule type="expression" priority="2" aboveAverage="0" equalAverage="0" bottom="0" percent="0" rank="0" text="" dxfId="5">
      <formula>AND($A6&lt;&gt;"",$H6="")</formula>
    </cfRule>
  </conditionalFormatting>
  <dataValidations count="1">
    <dataValidation allowBlank="true" errorStyle="stop" operator="between" prompt="اختار اليوم من القائمة، أو اكتب التاريخ كامل 05/10/2026، أو اسم اليوم بس" promptTitle="التاريخ" showDropDown="false" showErrorMessage="false" showInputMessage="true" sqref="A6:A605" type="list">
      <formula1>القوائم!$N$1:$N$14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8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4" min="2" style="0" width="13"/>
    <col collapsed="false" customWidth="true" hidden="false" outlineLevel="0" max="6" min="5" style="0" width="11"/>
    <col collapsed="false" customWidth="true" hidden="false" outlineLevel="0" max="7" min="7" style="0" width="13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3"/>
    <col collapsed="false" customWidth="true" hidden="false" outlineLevel="0" max="11" min="11" style="0" width="12"/>
    <col collapsed="false" customWidth="true" hidden="false" outlineLevel="0" max="12" min="12" style="0" width="7"/>
  </cols>
  <sheetData>
    <row r="1" customFormat="false" ht="39.75" hidden="false" customHeight="true" outlineLevel="0" collapsed="false">
      <c r="A1" s="1" t="s">
        <v>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3" customFormat="false" ht="27.75" hidden="false" customHeight="true" outlineLevel="0" collapsed="false">
      <c r="A3" s="16" t="s">
        <v>56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</row>
    <row r="5" customFormat="false" ht="16.15" hidden="false" customHeight="true" outlineLevel="0" collapsed="false">
      <c r="A5" s="53" t="s">
        <v>12</v>
      </c>
      <c r="B5" s="53"/>
      <c r="C5" s="53"/>
      <c r="D5" s="53"/>
      <c r="E5" s="53"/>
      <c r="F5" s="53"/>
      <c r="G5" s="53"/>
      <c r="H5" s="53"/>
      <c r="I5" s="53"/>
      <c r="J5" s="53"/>
      <c r="K5" s="53"/>
      <c r="L5" s="53"/>
    </row>
    <row r="6" customFormat="false" ht="43.5" hidden="false" customHeight="true" outlineLevel="0" collapsed="false">
      <c r="A6" s="21" t="s">
        <v>2</v>
      </c>
      <c r="B6" s="21" t="s">
        <v>57</v>
      </c>
      <c r="C6" s="21" t="s">
        <v>58</v>
      </c>
      <c r="D6" s="21" t="s">
        <v>4</v>
      </c>
      <c r="E6" s="21" t="s">
        <v>5</v>
      </c>
      <c r="F6" s="21" t="s">
        <v>6</v>
      </c>
      <c r="G6" s="21" t="s">
        <v>7</v>
      </c>
      <c r="H6" s="21" t="s">
        <v>8</v>
      </c>
      <c r="I6" s="21" t="s">
        <v>9</v>
      </c>
      <c r="J6" s="21" t="s">
        <v>10</v>
      </c>
      <c r="K6" s="21"/>
      <c r="L6" s="21" t="s">
        <v>59</v>
      </c>
    </row>
    <row r="7" customFormat="false" ht="15" hidden="false" customHeight="false" outlineLevel="0" collapsed="false">
      <c r="A7" s="54" t="n">
        <f aca="false">IF(1&lt;=NW,1,"")</f>
        <v>1</v>
      </c>
      <c r="B7" s="22" t="n">
        <f aca="false">IF(1&lt;=NW,WEEK_ONE+0,"")</f>
        <v>46018</v>
      </c>
      <c r="C7" s="22" t="n">
        <f aca="false">IF(1&lt;=NW,WEEK_ONE+6,"")</f>
        <v>46024</v>
      </c>
      <c r="D7" s="55" t="str">
        <f aca="false">IF('ساعات عمر'!$M$5=1,N('ساعات عمر'!H16),"")</f>
        <v/>
      </c>
      <c r="E7" s="55" t="str">
        <f aca="false">IF('ساعات عمر'!$M$5=1,SUMIFS(ADV_AMT,ADV_E,"عمر المصري",ADV_W,1),"")</f>
        <v/>
      </c>
      <c r="F7" s="55" t="str">
        <f aca="false">IF('ساعات عمر'!$M$5=1,IF(N(D7)=0,0,MAX(0,IF(INST_MODE="تخفيض تلقائي",FLOOR(MIN(IF(SUMPRODUCT(MAX((LG_E="عمر المصري")*(LG_INST&lt;&gt;"")*(LG_D&lt;=C7)*LG_IDX))=0,السنة!$E$6,INDEX(LG_INST,SUMPRODUCT(MAX((LG_E="عمر المصري")*(LG_INST&lt;&gt;"")*(LG_D&lt;=C7)*LG_IDX)))),السنة!$D$6+SUMIFS(LG_DEBT,LG_E,"عمر المصري",LG_D,"&lt;="&amp;C7)-SUMIFS(LG_REP,LG_E,"عمر المصري",LG_D,"&lt;="&amp;C7)-0,INST_CAP*N(D7),N(D7)-N(E7)-NET_FLOOR*N(D7)),0.25),MIN(IF(SUMPRODUCT(MAX((LG_E="عمر المصري")*(LG_INST&lt;&gt;"")*(LG_D&lt;=C7)*LG_IDX))=0,السنة!$E$6,INDEX(LG_INST,SUMPRODUCT(MAX((LG_E="عمر المصري")*(LG_INST&lt;&gt;"")*(LG_D&lt;=C7)*LG_IDX)))),السنة!$D$6+SUMIFS(LG_DEBT,LG_E,"عمر المصري",LG_D,"&lt;="&amp;C7)-SUMIFS(LG_REP,LG_E,"عمر المصري",LG_D,"&lt;="&amp;C7)-0)))),"")</f>
        <v/>
      </c>
      <c r="G7" s="56" t="str">
        <f aca="false">IF('ساعات عمر'!$M$5=1,IF(1=START_O,السنة!$C$6,0)+N(D7)-N(E7)-N(F7)-N(K7),"")</f>
        <v/>
      </c>
      <c r="H7" s="55" t="str">
        <f aca="false">IF('ساعات عمر'!$M$5=1,N('ساعات عمر'!E17),"")</f>
        <v/>
      </c>
      <c r="I7" s="55" t="str">
        <f aca="false">IF('ساعات عمر'!$M$5=1,G7-H7,"")</f>
        <v/>
      </c>
      <c r="J7" s="57" t="str">
        <f aca="false">IF('ساعات عمر'!$M$5=1,MAX(0,السنة!$D$6+SUMIFS(LG_DEBT,LG_E,"عمر المصري",LG_D,"&lt;="&amp;C7)-SUMIFS(LG_REP,LG_E,"عمر المصري",LG_D,"&lt;="&amp;C7)-SUM(F7:F7)),"")</f>
        <v/>
      </c>
      <c r="K7" s="58" t="n">
        <f aca="false">0</f>
        <v>0</v>
      </c>
      <c r="L7" s="54" t="n">
        <f aca="false">IF(C7="","",MONTH(C7))</f>
        <v>1</v>
      </c>
    </row>
    <row r="8" customFormat="false" ht="15" hidden="false" customHeight="false" outlineLevel="0" collapsed="false">
      <c r="A8" s="54" t="n">
        <f aca="false">IF(2&lt;=NW,2,"")</f>
        <v>2</v>
      </c>
      <c r="B8" s="22" t="n">
        <f aca="false">IF(2&lt;=NW,WEEK_ONE+7,"")</f>
        <v>46025</v>
      </c>
      <c r="C8" s="22" t="n">
        <f aca="false">IF(2&lt;=NW,WEEK_ONE+13,"")</f>
        <v>46031</v>
      </c>
      <c r="D8" s="55" t="str">
        <f aca="false">IF('ساعات عمر'!$M$19=1,N('ساعات عمر'!H30),"")</f>
        <v/>
      </c>
      <c r="E8" s="55" t="str">
        <f aca="false">IF('ساعات عمر'!$M$19=1,SUMIFS(ADV_AMT,ADV_E,"عمر المصري",ADV_W,2),"")</f>
        <v/>
      </c>
      <c r="F8" s="55" t="str">
        <f aca="false">IF('ساعات عمر'!$M$19=1,IF(N(D8)=0,0,MAX(0,IF(INST_MODE="تخفيض تلقائي",FLOOR(MIN(IF(SUMPRODUCT(MAX((LG_E="عمر المصري")*(LG_INST&lt;&gt;"")*(LG_D&lt;=C8)*LG_IDX))=0,السنة!$E$6,INDEX(LG_INST,SUMPRODUCT(MAX((LG_E="عمر المصري")*(LG_INST&lt;&gt;"")*(LG_D&lt;=C8)*LG_IDX)))),السنة!$D$6+SUMIFS(LG_DEBT,LG_E,"عمر المصري",LG_D,"&lt;="&amp;C8)-SUMIFS(LG_REP,LG_E,"عمر المصري",LG_D,"&lt;="&amp;C8)-SUM(F7:F7),INST_CAP*N(D8),N(D8)-N(E8)-NET_FLOOR*N(D8)),0.25),MIN(IF(SUMPRODUCT(MAX((LG_E="عمر المصري")*(LG_INST&lt;&gt;"")*(LG_D&lt;=C8)*LG_IDX))=0,السنة!$E$6,INDEX(LG_INST,SUMPRODUCT(MAX((LG_E="عمر المصري")*(LG_INST&lt;&gt;"")*(LG_D&lt;=C8)*LG_IDX)))),السنة!$D$6+SUMIFS(LG_DEBT,LG_E,"عمر المصري",LG_D,"&lt;="&amp;C8)-SUMIFS(LG_REP,LG_E,"عمر المصري",LG_D,"&lt;="&amp;C8)-SUM(F7:F7))))),"")</f>
        <v/>
      </c>
      <c r="G8" s="56" t="str">
        <f aca="false">IF('ساعات عمر'!$M$19=1,IF(2=START_O,السنة!$C$6,N(I7))+N(D8)-N(E8)-N(F8)-N(K8),"")</f>
        <v/>
      </c>
      <c r="H8" s="55" t="str">
        <f aca="false">IF('ساعات عمر'!$M$19=1,N('ساعات عمر'!E31),"")</f>
        <v/>
      </c>
      <c r="I8" s="55" t="str">
        <f aca="false">IF('ساعات عمر'!$M$19=1,G8-H8,"")</f>
        <v/>
      </c>
      <c r="J8" s="57" t="str">
        <f aca="false">IF('ساعات عمر'!$M$19=1,MAX(0,السنة!$D$6+SUMIFS(LG_DEBT,LG_E,"عمر المصري",LG_D,"&lt;="&amp;C8)-SUMIFS(LG_REP,LG_E,"عمر المصري",LG_D,"&lt;="&amp;C8)-SUM(F7:F8)),"")</f>
        <v/>
      </c>
      <c r="K8" s="58" t="n">
        <f aca="false">0</f>
        <v>0</v>
      </c>
      <c r="L8" s="54" t="n">
        <f aca="false">IF(C8="","",MONTH(C8))</f>
        <v>1</v>
      </c>
    </row>
    <row r="9" customFormat="false" ht="15" hidden="false" customHeight="false" outlineLevel="0" collapsed="false">
      <c r="A9" s="54" t="n">
        <f aca="false">IF(3&lt;=NW,3,"")</f>
        <v>3</v>
      </c>
      <c r="B9" s="22" t="n">
        <f aca="false">IF(3&lt;=NW,WEEK_ONE+14,"")</f>
        <v>46032</v>
      </c>
      <c r="C9" s="22" t="n">
        <f aca="false">IF(3&lt;=NW,WEEK_ONE+20,"")</f>
        <v>46038</v>
      </c>
      <c r="D9" s="55" t="str">
        <f aca="false">IF('ساعات عمر'!$M$33=1,N('ساعات عمر'!H44),"")</f>
        <v/>
      </c>
      <c r="E9" s="55" t="str">
        <f aca="false">IF('ساعات عمر'!$M$33=1,SUMIFS(ADV_AMT,ADV_E,"عمر المصري",ADV_W,3),"")</f>
        <v/>
      </c>
      <c r="F9" s="55" t="str">
        <f aca="false">IF('ساعات عمر'!$M$33=1,IF(N(D9)=0,0,MAX(0,IF(INST_MODE="تخفيض تلقائي",FLOOR(MIN(IF(SUMPRODUCT(MAX((LG_E="عمر المصري")*(LG_INST&lt;&gt;"")*(LG_D&lt;=C9)*LG_IDX))=0,السنة!$E$6,INDEX(LG_INST,SUMPRODUCT(MAX((LG_E="عمر المصري")*(LG_INST&lt;&gt;"")*(LG_D&lt;=C9)*LG_IDX)))),السنة!$D$6+SUMIFS(LG_DEBT,LG_E,"عمر المصري",LG_D,"&lt;="&amp;C9)-SUMIFS(LG_REP,LG_E,"عمر المصري",LG_D,"&lt;="&amp;C9)-SUM(F7:F8),INST_CAP*N(D9),N(D9)-N(E9)-NET_FLOOR*N(D9)),0.25),MIN(IF(SUMPRODUCT(MAX((LG_E="عمر المصري")*(LG_INST&lt;&gt;"")*(LG_D&lt;=C9)*LG_IDX))=0,السنة!$E$6,INDEX(LG_INST,SUMPRODUCT(MAX((LG_E="عمر المصري")*(LG_INST&lt;&gt;"")*(LG_D&lt;=C9)*LG_IDX)))),السنة!$D$6+SUMIFS(LG_DEBT,LG_E,"عمر المصري",LG_D,"&lt;="&amp;C9)-SUMIFS(LG_REP,LG_E,"عمر المصري",LG_D,"&lt;="&amp;C9)-SUM(F7:F8))))),"")</f>
        <v/>
      </c>
      <c r="G9" s="56" t="str">
        <f aca="false">IF('ساعات عمر'!$M$33=1,IF(3=START_O,السنة!$C$6,N(I8))+N(D9)-N(E9)-N(F9)-N(K9),"")</f>
        <v/>
      </c>
      <c r="H9" s="55" t="str">
        <f aca="false">IF('ساعات عمر'!$M$33=1,N('ساعات عمر'!E45),"")</f>
        <v/>
      </c>
      <c r="I9" s="55" t="str">
        <f aca="false">IF('ساعات عمر'!$M$33=1,G9-H9,"")</f>
        <v/>
      </c>
      <c r="J9" s="57" t="str">
        <f aca="false">IF('ساعات عمر'!$M$33=1,MAX(0,السنة!$D$6+SUMIFS(LG_DEBT,LG_E,"عمر المصري",LG_D,"&lt;="&amp;C9)-SUMIFS(LG_REP,LG_E,"عمر المصري",LG_D,"&lt;="&amp;C9)-SUM(F7:F9)),"")</f>
        <v/>
      </c>
      <c r="K9" s="58" t="n">
        <f aca="false">0</f>
        <v>0</v>
      </c>
      <c r="L9" s="54" t="n">
        <f aca="false">IF(C9="","",MONTH(C9))</f>
        <v>1</v>
      </c>
    </row>
    <row r="10" customFormat="false" ht="15" hidden="false" customHeight="false" outlineLevel="0" collapsed="false">
      <c r="A10" s="54" t="n">
        <f aca="false">IF(4&lt;=NW,4,"")</f>
        <v>4</v>
      </c>
      <c r="B10" s="22" t="n">
        <f aca="false">IF(4&lt;=NW,WEEK_ONE+21,"")</f>
        <v>46039</v>
      </c>
      <c r="C10" s="22" t="n">
        <f aca="false">IF(4&lt;=NW,WEEK_ONE+27,"")</f>
        <v>46045</v>
      </c>
      <c r="D10" s="55" t="str">
        <f aca="false">IF('ساعات عمر'!$M$47=1,N('ساعات عمر'!H58),"")</f>
        <v/>
      </c>
      <c r="E10" s="55" t="str">
        <f aca="false">IF('ساعات عمر'!$M$47=1,SUMIFS(ADV_AMT,ADV_E,"عمر المصري",ADV_W,4),"")</f>
        <v/>
      </c>
      <c r="F10" s="55" t="str">
        <f aca="false">IF('ساعات عمر'!$M$47=1,IF(N(D10)=0,0,MAX(0,IF(INST_MODE="تخفيض تلقائي",FLOOR(MIN(IF(SUMPRODUCT(MAX((LG_E="عمر المصري")*(LG_INST&lt;&gt;"")*(LG_D&lt;=C10)*LG_IDX))=0,السنة!$E$6,INDEX(LG_INST,SUMPRODUCT(MAX((LG_E="عمر المصري")*(LG_INST&lt;&gt;"")*(LG_D&lt;=C10)*LG_IDX)))),السنة!$D$6+SUMIFS(LG_DEBT,LG_E,"عمر المصري",LG_D,"&lt;="&amp;C10)-SUMIFS(LG_REP,LG_E,"عمر المصري",LG_D,"&lt;="&amp;C10)-SUM(F7:F9),INST_CAP*N(D10),N(D10)-N(E10)-NET_FLOOR*N(D10)),0.25),MIN(IF(SUMPRODUCT(MAX((LG_E="عمر المصري")*(LG_INST&lt;&gt;"")*(LG_D&lt;=C10)*LG_IDX))=0,السنة!$E$6,INDEX(LG_INST,SUMPRODUCT(MAX((LG_E="عمر المصري")*(LG_INST&lt;&gt;"")*(LG_D&lt;=C10)*LG_IDX)))),السنة!$D$6+SUMIFS(LG_DEBT,LG_E,"عمر المصري",LG_D,"&lt;="&amp;C10)-SUMIFS(LG_REP,LG_E,"عمر المصري",LG_D,"&lt;="&amp;C10)-SUM(F7:F9))))),"")</f>
        <v/>
      </c>
      <c r="G10" s="56" t="str">
        <f aca="false">IF('ساعات عمر'!$M$47=1,IF(4=START_O,السنة!$C$6,N(I9))+N(D10)-N(E10)-N(F10)-N(K10),"")</f>
        <v/>
      </c>
      <c r="H10" s="55" t="str">
        <f aca="false">IF('ساعات عمر'!$M$47=1,N('ساعات عمر'!E59),"")</f>
        <v/>
      </c>
      <c r="I10" s="55" t="str">
        <f aca="false">IF('ساعات عمر'!$M$47=1,G10-H10,"")</f>
        <v/>
      </c>
      <c r="J10" s="57" t="str">
        <f aca="false">IF('ساعات عمر'!$M$47=1,MAX(0,السنة!$D$6+SUMIFS(LG_DEBT,LG_E,"عمر المصري",LG_D,"&lt;="&amp;C10)-SUMIFS(LG_REP,LG_E,"عمر المصري",LG_D,"&lt;="&amp;C10)-SUM(F7:F10)),"")</f>
        <v/>
      </c>
      <c r="K10" s="58" t="n">
        <f aca="false">0</f>
        <v>0</v>
      </c>
      <c r="L10" s="54" t="n">
        <f aca="false">IF(C10="","",MONTH(C10))</f>
        <v>1</v>
      </c>
    </row>
    <row r="11" customFormat="false" ht="15" hidden="false" customHeight="false" outlineLevel="0" collapsed="false">
      <c r="A11" s="54" t="n">
        <f aca="false">IF(5&lt;=NW,5,"")</f>
        <v>5</v>
      </c>
      <c r="B11" s="22" t="n">
        <f aca="false">IF(5&lt;=NW,WEEK_ONE+28,"")</f>
        <v>46046</v>
      </c>
      <c r="C11" s="22" t="n">
        <f aca="false">IF(5&lt;=NW,WEEK_ONE+34,"")</f>
        <v>46052</v>
      </c>
      <c r="D11" s="55" t="str">
        <f aca="false">IF('ساعات عمر'!$M$61=1,N('ساعات عمر'!H72),"")</f>
        <v/>
      </c>
      <c r="E11" s="55" t="str">
        <f aca="false">IF('ساعات عمر'!$M$61=1,SUMIFS(ADV_AMT,ADV_E,"عمر المصري",ADV_W,5),"")</f>
        <v/>
      </c>
      <c r="F11" s="55" t="str">
        <f aca="false">IF('ساعات عمر'!$M$61=1,IF(N(D11)=0,0,MAX(0,IF(INST_MODE="تخفيض تلقائي",FLOOR(MIN(IF(SUMPRODUCT(MAX((LG_E="عمر المصري")*(LG_INST&lt;&gt;"")*(LG_D&lt;=C11)*LG_IDX))=0,السنة!$E$6,INDEX(LG_INST,SUMPRODUCT(MAX((LG_E="عمر المصري")*(LG_INST&lt;&gt;"")*(LG_D&lt;=C11)*LG_IDX)))),السنة!$D$6+SUMIFS(LG_DEBT,LG_E,"عمر المصري",LG_D,"&lt;="&amp;C11)-SUMIFS(LG_REP,LG_E,"عمر المصري",LG_D,"&lt;="&amp;C11)-SUM(F7:F10),INST_CAP*N(D11),N(D11)-N(E11)-NET_FLOOR*N(D11)),0.25),MIN(IF(SUMPRODUCT(MAX((LG_E="عمر المصري")*(LG_INST&lt;&gt;"")*(LG_D&lt;=C11)*LG_IDX))=0,السنة!$E$6,INDEX(LG_INST,SUMPRODUCT(MAX((LG_E="عمر المصري")*(LG_INST&lt;&gt;"")*(LG_D&lt;=C11)*LG_IDX)))),السنة!$D$6+SUMIFS(LG_DEBT,LG_E,"عمر المصري",LG_D,"&lt;="&amp;C11)-SUMIFS(LG_REP,LG_E,"عمر المصري",LG_D,"&lt;="&amp;C11)-SUM(F7:F10))))),"")</f>
        <v/>
      </c>
      <c r="G11" s="56" t="str">
        <f aca="false">IF('ساعات عمر'!$M$61=1,IF(5=START_O,السنة!$C$6,N(I10))+N(D11)-N(E11)-N(F11)-N(K11),"")</f>
        <v/>
      </c>
      <c r="H11" s="55" t="str">
        <f aca="false">IF('ساعات عمر'!$M$61=1,N('ساعات عمر'!E73),"")</f>
        <v/>
      </c>
      <c r="I11" s="55" t="str">
        <f aca="false">IF('ساعات عمر'!$M$61=1,G11-H11,"")</f>
        <v/>
      </c>
      <c r="J11" s="57" t="str">
        <f aca="false">IF('ساعات عمر'!$M$61=1,MAX(0,السنة!$D$6+SUMIFS(LG_DEBT,LG_E,"عمر المصري",LG_D,"&lt;="&amp;C11)-SUMIFS(LG_REP,LG_E,"عمر المصري",LG_D,"&lt;="&amp;C11)-SUM(F7:F11)),"")</f>
        <v/>
      </c>
      <c r="K11" s="58" t="n">
        <f aca="false">0</f>
        <v>0</v>
      </c>
      <c r="L11" s="54" t="n">
        <f aca="false">IF(C11="","",MONTH(C11))</f>
        <v>1</v>
      </c>
    </row>
    <row r="12" customFormat="false" ht="15" hidden="false" customHeight="false" outlineLevel="0" collapsed="false">
      <c r="A12" s="54" t="n">
        <f aca="false">IF(6&lt;=NW,6,"")</f>
        <v>6</v>
      </c>
      <c r="B12" s="22" t="n">
        <f aca="false">IF(6&lt;=NW,WEEK_ONE+35,"")</f>
        <v>46053</v>
      </c>
      <c r="C12" s="22" t="n">
        <f aca="false">IF(6&lt;=NW,WEEK_ONE+41,"")</f>
        <v>46059</v>
      </c>
      <c r="D12" s="55" t="str">
        <f aca="false">IF('ساعات عمر'!$M$75=1,N('ساعات عمر'!H86),"")</f>
        <v/>
      </c>
      <c r="E12" s="55" t="str">
        <f aca="false">IF('ساعات عمر'!$M$75=1,SUMIFS(ADV_AMT,ADV_E,"عمر المصري",ADV_W,6),"")</f>
        <v/>
      </c>
      <c r="F12" s="55" t="str">
        <f aca="false">IF('ساعات عمر'!$M$75=1,IF(N(D12)=0,0,MAX(0,IF(INST_MODE="تخفيض تلقائي",FLOOR(MIN(IF(SUMPRODUCT(MAX((LG_E="عمر المصري")*(LG_INST&lt;&gt;"")*(LG_D&lt;=C12)*LG_IDX))=0,السنة!$E$6,INDEX(LG_INST,SUMPRODUCT(MAX((LG_E="عمر المصري")*(LG_INST&lt;&gt;"")*(LG_D&lt;=C12)*LG_IDX)))),السنة!$D$6+SUMIFS(LG_DEBT,LG_E,"عمر المصري",LG_D,"&lt;="&amp;C12)-SUMIFS(LG_REP,LG_E,"عمر المصري",LG_D,"&lt;="&amp;C12)-SUM(F7:F11),INST_CAP*N(D12),N(D12)-N(E12)-NET_FLOOR*N(D12)),0.25),MIN(IF(SUMPRODUCT(MAX((LG_E="عمر المصري")*(LG_INST&lt;&gt;"")*(LG_D&lt;=C12)*LG_IDX))=0,السنة!$E$6,INDEX(LG_INST,SUMPRODUCT(MAX((LG_E="عمر المصري")*(LG_INST&lt;&gt;"")*(LG_D&lt;=C12)*LG_IDX)))),السنة!$D$6+SUMIFS(LG_DEBT,LG_E,"عمر المصري",LG_D,"&lt;="&amp;C12)-SUMIFS(LG_REP,LG_E,"عمر المصري",LG_D,"&lt;="&amp;C12)-SUM(F7:F11))))),"")</f>
        <v/>
      </c>
      <c r="G12" s="56" t="str">
        <f aca="false">IF('ساعات عمر'!$M$75=1,IF(6=START_O,السنة!$C$6,N(I11))+N(D12)-N(E12)-N(F12)-N(K12),"")</f>
        <v/>
      </c>
      <c r="H12" s="55" t="str">
        <f aca="false">IF('ساعات عمر'!$M$75=1,N('ساعات عمر'!E87),"")</f>
        <v/>
      </c>
      <c r="I12" s="55" t="str">
        <f aca="false">IF('ساعات عمر'!$M$75=1,G12-H12,"")</f>
        <v/>
      </c>
      <c r="J12" s="57" t="str">
        <f aca="false">IF('ساعات عمر'!$M$75=1,MAX(0,السنة!$D$6+SUMIFS(LG_DEBT,LG_E,"عمر المصري",LG_D,"&lt;="&amp;C12)-SUMIFS(LG_REP,LG_E,"عمر المصري",LG_D,"&lt;="&amp;C12)-SUM(F7:F12)),"")</f>
        <v/>
      </c>
      <c r="K12" s="58" t="n">
        <f aca="false">0</f>
        <v>0</v>
      </c>
      <c r="L12" s="54" t="n">
        <f aca="false">IF(C12="","",MONTH(C12))</f>
        <v>2</v>
      </c>
    </row>
    <row r="13" customFormat="false" ht="15" hidden="false" customHeight="false" outlineLevel="0" collapsed="false">
      <c r="A13" s="54" t="n">
        <f aca="false">IF(7&lt;=NW,7,"")</f>
        <v>7</v>
      </c>
      <c r="B13" s="22" t="n">
        <f aca="false">IF(7&lt;=NW,WEEK_ONE+42,"")</f>
        <v>46060</v>
      </c>
      <c r="C13" s="22" t="n">
        <f aca="false">IF(7&lt;=NW,WEEK_ONE+48,"")</f>
        <v>46066</v>
      </c>
      <c r="D13" s="55" t="str">
        <f aca="false">IF('ساعات عمر'!$M$89=1,N('ساعات عمر'!H100),"")</f>
        <v/>
      </c>
      <c r="E13" s="55" t="str">
        <f aca="false">IF('ساعات عمر'!$M$89=1,SUMIFS(ADV_AMT,ADV_E,"عمر المصري",ADV_W,7),"")</f>
        <v/>
      </c>
      <c r="F13" s="55" t="str">
        <f aca="false">IF('ساعات عمر'!$M$89=1,IF(N(D13)=0,0,MAX(0,IF(INST_MODE="تخفيض تلقائي",FLOOR(MIN(IF(SUMPRODUCT(MAX((LG_E="عمر المصري")*(LG_INST&lt;&gt;"")*(LG_D&lt;=C13)*LG_IDX))=0,السنة!$E$6,INDEX(LG_INST,SUMPRODUCT(MAX((LG_E="عمر المصري")*(LG_INST&lt;&gt;"")*(LG_D&lt;=C13)*LG_IDX)))),السنة!$D$6+SUMIFS(LG_DEBT,LG_E,"عمر المصري",LG_D,"&lt;="&amp;C13)-SUMIFS(LG_REP,LG_E,"عمر المصري",LG_D,"&lt;="&amp;C13)-SUM(F7:F12),INST_CAP*N(D13),N(D13)-N(E13)-NET_FLOOR*N(D13)),0.25),MIN(IF(SUMPRODUCT(MAX((LG_E="عمر المصري")*(LG_INST&lt;&gt;"")*(LG_D&lt;=C13)*LG_IDX))=0,السنة!$E$6,INDEX(LG_INST,SUMPRODUCT(MAX((LG_E="عمر المصري")*(LG_INST&lt;&gt;"")*(LG_D&lt;=C13)*LG_IDX)))),السنة!$D$6+SUMIFS(LG_DEBT,LG_E,"عمر المصري",LG_D,"&lt;="&amp;C13)-SUMIFS(LG_REP,LG_E,"عمر المصري",LG_D,"&lt;="&amp;C13)-SUM(F7:F12))))),"")</f>
        <v/>
      </c>
      <c r="G13" s="56" t="str">
        <f aca="false">IF('ساعات عمر'!$M$89=1,IF(7=START_O,السنة!$C$6,N(I12))+N(D13)-N(E13)-N(F13)-N(K13),"")</f>
        <v/>
      </c>
      <c r="H13" s="55" t="str">
        <f aca="false">IF('ساعات عمر'!$M$89=1,N('ساعات عمر'!E101),"")</f>
        <v/>
      </c>
      <c r="I13" s="55" t="str">
        <f aca="false">IF('ساعات عمر'!$M$89=1,G13-H13,"")</f>
        <v/>
      </c>
      <c r="J13" s="57" t="str">
        <f aca="false">IF('ساعات عمر'!$M$89=1,MAX(0,السنة!$D$6+SUMIFS(LG_DEBT,LG_E,"عمر المصري",LG_D,"&lt;="&amp;C13)-SUMIFS(LG_REP,LG_E,"عمر المصري",LG_D,"&lt;="&amp;C13)-SUM(F7:F13)),"")</f>
        <v/>
      </c>
      <c r="K13" s="58" t="n">
        <f aca="false">0</f>
        <v>0</v>
      </c>
      <c r="L13" s="54" t="n">
        <f aca="false">IF(C13="","",MONTH(C13))</f>
        <v>2</v>
      </c>
    </row>
    <row r="14" customFormat="false" ht="15" hidden="false" customHeight="false" outlineLevel="0" collapsed="false">
      <c r="A14" s="54" t="n">
        <f aca="false">IF(8&lt;=NW,8,"")</f>
        <v>8</v>
      </c>
      <c r="B14" s="22" t="n">
        <f aca="false">IF(8&lt;=NW,WEEK_ONE+49,"")</f>
        <v>46067</v>
      </c>
      <c r="C14" s="22" t="n">
        <f aca="false">IF(8&lt;=NW,WEEK_ONE+55,"")</f>
        <v>46073</v>
      </c>
      <c r="D14" s="55" t="str">
        <f aca="false">IF('ساعات عمر'!$M$103=1,N('ساعات عمر'!H114),"")</f>
        <v/>
      </c>
      <c r="E14" s="55" t="str">
        <f aca="false">IF('ساعات عمر'!$M$103=1,SUMIFS(ADV_AMT,ADV_E,"عمر المصري",ADV_W,8),"")</f>
        <v/>
      </c>
      <c r="F14" s="55" t="str">
        <f aca="false">IF('ساعات عمر'!$M$103=1,IF(N(D14)=0,0,MAX(0,IF(INST_MODE="تخفيض تلقائي",FLOOR(MIN(IF(SUMPRODUCT(MAX((LG_E="عمر المصري")*(LG_INST&lt;&gt;"")*(LG_D&lt;=C14)*LG_IDX))=0,السنة!$E$6,INDEX(LG_INST,SUMPRODUCT(MAX((LG_E="عمر المصري")*(LG_INST&lt;&gt;"")*(LG_D&lt;=C14)*LG_IDX)))),السنة!$D$6+SUMIFS(LG_DEBT,LG_E,"عمر المصري",LG_D,"&lt;="&amp;C14)-SUMIFS(LG_REP,LG_E,"عمر المصري",LG_D,"&lt;="&amp;C14)-SUM(F7:F13),INST_CAP*N(D14),N(D14)-N(E14)-NET_FLOOR*N(D14)),0.25),MIN(IF(SUMPRODUCT(MAX((LG_E="عمر المصري")*(LG_INST&lt;&gt;"")*(LG_D&lt;=C14)*LG_IDX))=0,السنة!$E$6,INDEX(LG_INST,SUMPRODUCT(MAX((LG_E="عمر المصري")*(LG_INST&lt;&gt;"")*(LG_D&lt;=C14)*LG_IDX)))),السنة!$D$6+SUMIFS(LG_DEBT,LG_E,"عمر المصري",LG_D,"&lt;="&amp;C14)-SUMIFS(LG_REP,LG_E,"عمر المصري",LG_D,"&lt;="&amp;C14)-SUM(F7:F13))))),"")</f>
        <v/>
      </c>
      <c r="G14" s="56" t="str">
        <f aca="false">IF('ساعات عمر'!$M$103=1,IF(8=START_O,السنة!$C$6,N(I13))+N(D14)-N(E14)-N(F14)-N(K14),"")</f>
        <v/>
      </c>
      <c r="H14" s="55" t="str">
        <f aca="false">IF('ساعات عمر'!$M$103=1,N('ساعات عمر'!E115),"")</f>
        <v/>
      </c>
      <c r="I14" s="55" t="str">
        <f aca="false">IF('ساعات عمر'!$M$103=1,G14-H14,"")</f>
        <v/>
      </c>
      <c r="J14" s="57" t="str">
        <f aca="false">IF('ساعات عمر'!$M$103=1,MAX(0,السنة!$D$6+SUMIFS(LG_DEBT,LG_E,"عمر المصري",LG_D,"&lt;="&amp;C14)-SUMIFS(LG_REP,LG_E,"عمر المصري",LG_D,"&lt;="&amp;C14)-SUM(F7:F14)),"")</f>
        <v/>
      </c>
      <c r="K14" s="58" t="n">
        <f aca="false">0</f>
        <v>0</v>
      </c>
      <c r="L14" s="54" t="n">
        <f aca="false">IF(C14="","",MONTH(C14))</f>
        <v>2</v>
      </c>
    </row>
    <row r="15" customFormat="false" ht="15" hidden="false" customHeight="false" outlineLevel="0" collapsed="false">
      <c r="A15" s="54" t="n">
        <f aca="false">IF(9&lt;=NW,9,"")</f>
        <v>9</v>
      </c>
      <c r="B15" s="22" t="n">
        <f aca="false">IF(9&lt;=NW,WEEK_ONE+56,"")</f>
        <v>46074</v>
      </c>
      <c r="C15" s="22" t="n">
        <f aca="false">IF(9&lt;=NW,WEEK_ONE+62,"")</f>
        <v>46080</v>
      </c>
      <c r="D15" s="55" t="str">
        <f aca="false">IF('ساعات عمر'!$M$117=1,N('ساعات عمر'!H128),"")</f>
        <v/>
      </c>
      <c r="E15" s="55" t="str">
        <f aca="false">IF('ساعات عمر'!$M$117=1,SUMIFS(ADV_AMT,ADV_E,"عمر المصري",ADV_W,9),"")</f>
        <v/>
      </c>
      <c r="F15" s="55" t="str">
        <f aca="false">IF('ساعات عمر'!$M$117=1,IF(N(D15)=0,0,MAX(0,IF(INST_MODE="تخفيض تلقائي",FLOOR(MIN(IF(SUMPRODUCT(MAX((LG_E="عمر المصري")*(LG_INST&lt;&gt;"")*(LG_D&lt;=C15)*LG_IDX))=0,السنة!$E$6,INDEX(LG_INST,SUMPRODUCT(MAX((LG_E="عمر المصري")*(LG_INST&lt;&gt;"")*(LG_D&lt;=C15)*LG_IDX)))),السنة!$D$6+SUMIFS(LG_DEBT,LG_E,"عمر المصري",LG_D,"&lt;="&amp;C15)-SUMIFS(LG_REP,LG_E,"عمر المصري",LG_D,"&lt;="&amp;C15)-SUM(F7:F14),INST_CAP*N(D15),N(D15)-N(E15)-NET_FLOOR*N(D15)),0.25),MIN(IF(SUMPRODUCT(MAX((LG_E="عمر المصري")*(LG_INST&lt;&gt;"")*(LG_D&lt;=C15)*LG_IDX))=0,السنة!$E$6,INDEX(LG_INST,SUMPRODUCT(MAX((LG_E="عمر المصري")*(LG_INST&lt;&gt;"")*(LG_D&lt;=C15)*LG_IDX)))),السنة!$D$6+SUMIFS(LG_DEBT,LG_E,"عمر المصري",LG_D,"&lt;="&amp;C15)-SUMIFS(LG_REP,LG_E,"عمر المصري",LG_D,"&lt;="&amp;C15)-SUM(F7:F14))))),"")</f>
        <v/>
      </c>
      <c r="G15" s="56" t="str">
        <f aca="false">IF('ساعات عمر'!$M$117=1,IF(9=START_O,السنة!$C$6,N(I14))+N(D15)-N(E15)-N(F15)-N(K15),"")</f>
        <v/>
      </c>
      <c r="H15" s="55" t="str">
        <f aca="false">IF('ساعات عمر'!$M$117=1,N('ساعات عمر'!E129),"")</f>
        <v/>
      </c>
      <c r="I15" s="55" t="str">
        <f aca="false">IF('ساعات عمر'!$M$117=1,G15-H15,"")</f>
        <v/>
      </c>
      <c r="J15" s="57" t="str">
        <f aca="false">IF('ساعات عمر'!$M$117=1,MAX(0,السنة!$D$6+SUMIFS(LG_DEBT,LG_E,"عمر المصري",LG_D,"&lt;="&amp;C15)-SUMIFS(LG_REP,LG_E,"عمر المصري",LG_D,"&lt;="&amp;C15)-SUM(F7:F15)),"")</f>
        <v/>
      </c>
      <c r="K15" s="58" t="n">
        <f aca="false">0</f>
        <v>0</v>
      </c>
      <c r="L15" s="54" t="n">
        <f aca="false">IF(C15="","",MONTH(C15))</f>
        <v>2</v>
      </c>
    </row>
    <row r="16" customFormat="false" ht="15" hidden="false" customHeight="false" outlineLevel="0" collapsed="false">
      <c r="A16" s="54" t="n">
        <f aca="false">IF(10&lt;=NW,10,"")</f>
        <v>10</v>
      </c>
      <c r="B16" s="22" t="n">
        <f aca="false">IF(10&lt;=NW,WEEK_ONE+63,"")</f>
        <v>46081</v>
      </c>
      <c r="C16" s="22" t="n">
        <f aca="false">IF(10&lt;=NW,WEEK_ONE+69,"")</f>
        <v>46087</v>
      </c>
      <c r="D16" s="55" t="str">
        <f aca="false">IF('ساعات عمر'!$M$131=1,N('ساعات عمر'!H142),"")</f>
        <v/>
      </c>
      <c r="E16" s="55" t="str">
        <f aca="false">IF('ساعات عمر'!$M$131=1,SUMIFS(ADV_AMT,ADV_E,"عمر المصري",ADV_W,10),"")</f>
        <v/>
      </c>
      <c r="F16" s="55" t="str">
        <f aca="false">IF('ساعات عمر'!$M$131=1,IF(N(D16)=0,0,MAX(0,IF(INST_MODE="تخفيض تلقائي",FLOOR(MIN(IF(SUMPRODUCT(MAX((LG_E="عمر المصري")*(LG_INST&lt;&gt;"")*(LG_D&lt;=C16)*LG_IDX))=0,السنة!$E$6,INDEX(LG_INST,SUMPRODUCT(MAX((LG_E="عمر المصري")*(LG_INST&lt;&gt;"")*(LG_D&lt;=C16)*LG_IDX)))),السنة!$D$6+SUMIFS(LG_DEBT,LG_E,"عمر المصري",LG_D,"&lt;="&amp;C16)-SUMIFS(LG_REP,LG_E,"عمر المصري",LG_D,"&lt;="&amp;C16)-SUM(F7:F15),INST_CAP*N(D16),N(D16)-N(E16)-NET_FLOOR*N(D16)),0.25),MIN(IF(SUMPRODUCT(MAX((LG_E="عمر المصري")*(LG_INST&lt;&gt;"")*(LG_D&lt;=C16)*LG_IDX))=0,السنة!$E$6,INDEX(LG_INST,SUMPRODUCT(MAX((LG_E="عمر المصري")*(LG_INST&lt;&gt;"")*(LG_D&lt;=C16)*LG_IDX)))),السنة!$D$6+SUMIFS(LG_DEBT,LG_E,"عمر المصري",LG_D,"&lt;="&amp;C16)-SUMIFS(LG_REP,LG_E,"عمر المصري",LG_D,"&lt;="&amp;C16)-SUM(F7:F15))))),"")</f>
        <v/>
      </c>
      <c r="G16" s="56" t="str">
        <f aca="false">IF('ساعات عمر'!$M$131=1,IF(10=START_O,السنة!$C$6,N(I15))+N(D16)-N(E16)-N(F16)-N(K16),"")</f>
        <v/>
      </c>
      <c r="H16" s="55" t="str">
        <f aca="false">IF('ساعات عمر'!$M$131=1,N('ساعات عمر'!E143),"")</f>
        <v/>
      </c>
      <c r="I16" s="55" t="str">
        <f aca="false">IF('ساعات عمر'!$M$131=1,G16-H16,"")</f>
        <v/>
      </c>
      <c r="J16" s="57" t="str">
        <f aca="false">IF('ساعات عمر'!$M$131=1,MAX(0,السنة!$D$6+SUMIFS(LG_DEBT,LG_E,"عمر المصري",LG_D,"&lt;="&amp;C16)-SUMIFS(LG_REP,LG_E,"عمر المصري",LG_D,"&lt;="&amp;C16)-SUM(F7:F16)),"")</f>
        <v/>
      </c>
      <c r="K16" s="58" t="n">
        <f aca="false">0</f>
        <v>0</v>
      </c>
      <c r="L16" s="54" t="n">
        <f aca="false">IF(C16="","",MONTH(C16))</f>
        <v>3</v>
      </c>
    </row>
    <row r="17" customFormat="false" ht="15" hidden="false" customHeight="false" outlineLevel="0" collapsed="false">
      <c r="A17" s="54" t="n">
        <f aca="false">IF(11&lt;=NW,11,"")</f>
        <v>11</v>
      </c>
      <c r="B17" s="22" t="n">
        <f aca="false">IF(11&lt;=NW,WEEK_ONE+70,"")</f>
        <v>46088</v>
      </c>
      <c r="C17" s="22" t="n">
        <f aca="false">IF(11&lt;=NW,WEEK_ONE+76,"")</f>
        <v>46094</v>
      </c>
      <c r="D17" s="55" t="str">
        <f aca="false">IF('ساعات عمر'!$M$145=1,N('ساعات عمر'!H156),"")</f>
        <v/>
      </c>
      <c r="E17" s="55" t="str">
        <f aca="false">IF('ساعات عمر'!$M$145=1,SUMIFS(ADV_AMT,ADV_E,"عمر المصري",ADV_W,11),"")</f>
        <v/>
      </c>
      <c r="F17" s="55" t="str">
        <f aca="false">IF('ساعات عمر'!$M$145=1,IF(N(D17)=0,0,MAX(0,IF(INST_MODE="تخفيض تلقائي",FLOOR(MIN(IF(SUMPRODUCT(MAX((LG_E="عمر المصري")*(LG_INST&lt;&gt;"")*(LG_D&lt;=C17)*LG_IDX))=0,السنة!$E$6,INDEX(LG_INST,SUMPRODUCT(MAX((LG_E="عمر المصري")*(LG_INST&lt;&gt;"")*(LG_D&lt;=C17)*LG_IDX)))),السنة!$D$6+SUMIFS(LG_DEBT,LG_E,"عمر المصري",LG_D,"&lt;="&amp;C17)-SUMIFS(LG_REP,LG_E,"عمر المصري",LG_D,"&lt;="&amp;C17)-SUM(F7:F16),INST_CAP*N(D17),N(D17)-N(E17)-NET_FLOOR*N(D17)),0.25),MIN(IF(SUMPRODUCT(MAX((LG_E="عمر المصري")*(LG_INST&lt;&gt;"")*(LG_D&lt;=C17)*LG_IDX))=0,السنة!$E$6,INDEX(LG_INST,SUMPRODUCT(MAX((LG_E="عمر المصري")*(LG_INST&lt;&gt;"")*(LG_D&lt;=C17)*LG_IDX)))),السنة!$D$6+SUMIFS(LG_DEBT,LG_E,"عمر المصري",LG_D,"&lt;="&amp;C17)-SUMIFS(LG_REP,LG_E,"عمر المصري",LG_D,"&lt;="&amp;C17)-SUM(F7:F16))))),"")</f>
        <v/>
      </c>
      <c r="G17" s="56" t="str">
        <f aca="false">IF('ساعات عمر'!$M$145=1,IF(11=START_O,السنة!$C$6,N(I16))+N(D17)-N(E17)-N(F17)-N(K17),"")</f>
        <v/>
      </c>
      <c r="H17" s="55" t="str">
        <f aca="false">IF('ساعات عمر'!$M$145=1,N('ساعات عمر'!E157),"")</f>
        <v/>
      </c>
      <c r="I17" s="55" t="str">
        <f aca="false">IF('ساعات عمر'!$M$145=1,G17-H17,"")</f>
        <v/>
      </c>
      <c r="J17" s="57" t="str">
        <f aca="false">IF('ساعات عمر'!$M$145=1,MAX(0,السنة!$D$6+SUMIFS(LG_DEBT,LG_E,"عمر المصري",LG_D,"&lt;="&amp;C17)-SUMIFS(LG_REP,LG_E,"عمر المصري",LG_D,"&lt;="&amp;C17)-SUM(F7:F17)),"")</f>
        <v/>
      </c>
      <c r="K17" s="58" t="n">
        <f aca="false">0</f>
        <v>0</v>
      </c>
      <c r="L17" s="54" t="n">
        <f aca="false">IF(C17="","",MONTH(C17))</f>
        <v>3</v>
      </c>
    </row>
    <row r="18" customFormat="false" ht="15" hidden="false" customHeight="false" outlineLevel="0" collapsed="false">
      <c r="A18" s="54" t="n">
        <f aca="false">IF(12&lt;=NW,12,"")</f>
        <v>12</v>
      </c>
      <c r="B18" s="22" t="n">
        <f aca="false">IF(12&lt;=NW,WEEK_ONE+77,"")</f>
        <v>46095</v>
      </c>
      <c r="C18" s="22" t="n">
        <f aca="false">IF(12&lt;=NW,WEEK_ONE+83,"")</f>
        <v>46101</v>
      </c>
      <c r="D18" s="55" t="str">
        <f aca="false">IF('ساعات عمر'!$M$159=1,N('ساعات عمر'!H170),"")</f>
        <v/>
      </c>
      <c r="E18" s="55" t="str">
        <f aca="false">IF('ساعات عمر'!$M$159=1,SUMIFS(ADV_AMT,ADV_E,"عمر المصري",ADV_W,12),"")</f>
        <v/>
      </c>
      <c r="F18" s="55" t="str">
        <f aca="false">IF('ساعات عمر'!$M$159=1,IF(N(D18)=0,0,MAX(0,IF(INST_MODE="تخفيض تلقائي",FLOOR(MIN(IF(SUMPRODUCT(MAX((LG_E="عمر المصري")*(LG_INST&lt;&gt;"")*(LG_D&lt;=C18)*LG_IDX))=0,السنة!$E$6,INDEX(LG_INST,SUMPRODUCT(MAX((LG_E="عمر المصري")*(LG_INST&lt;&gt;"")*(LG_D&lt;=C18)*LG_IDX)))),السنة!$D$6+SUMIFS(LG_DEBT,LG_E,"عمر المصري",LG_D,"&lt;="&amp;C18)-SUMIFS(LG_REP,LG_E,"عمر المصري",LG_D,"&lt;="&amp;C18)-SUM(F7:F17),INST_CAP*N(D18),N(D18)-N(E18)-NET_FLOOR*N(D18)),0.25),MIN(IF(SUMPRODUCT(MAX((LG_E="عمر المصري")*(LG_INST&lt;&gt;"")*(LG_D&lt;=C18)*LG_IDX))=0,السنة!$E$6,INDEX(LG_INST,SUMPRODUCT(MAX((LG_E="عمر المصري")*(LG_INST&lt;&gt;"")*(LG_D&lt;=C18)*LG_IDX)))),السنة!$D$6+SUMIFS(LG_DEBT,LG_E,"عمر المصري",LG_D,"&lt;="&amp;C18)-SUMIFS(LG_REP,LG_E,"عمر المصري",LG_D,"&lt;="&amp;C18)-SUM(F7:F17))))),"")</f>
        <v/>
      </c>
      <c r="G18" s="56" t="str">
        <f aca="false">IF('ساعات عمر'!$M$159=1,IF(12=START_O,السنة!$C$6,N(I17))+N(D18)-N(E18)-N(F18)-N(K18),"")</f>
        <v/>
      </c>
      <c r="H18" s="55" t="str">
        <f aca="false">IF('ساعات عمر'!$M$159=1,N('ساعات عمر'!E171),"")</f>
        <v/>
      </c>
      <c r="I18" s="55" t="str">
        <f aca="false">IF('ساعات عمر'!$M$159=1,G18-H18,"")</f>
        <v/>
      </c>
      <c r="J18" s="57" t="str">
        <f aca="false">IF('ساعات عمر'!$M$159=1,MAX(0,السنة!$D$6+SUMIFS(LG_DEBT,LG_E,"عمر المصري",LG_D,"&lt;="&amp;C18)-SUMIFS(LG_REP,LG_E,"عمر المصري",LG_D,"&lt;="&amp;C18)-SUM(F7:F18)),"")</f>
        <v/>
      </c>
      <c r="K18" s="58" t="n">
        <f aca="false">0</f>
        <v>0</v>
      </c>
      <c r="L18" s="54" t="n">
        <f aca="false">IF(C18="","",MONTH(C18))</f>
        <v>3</v>
      </c>
    </row>
    <row r="19" customFormat="false" ht="15" hidden="false" customHeight="false" outlineLevel="0" collapsed="false">
      <c r="A19" s="54" t="n">
        <f aca="false">IF(13&lt;=NW,13,"")</f>
        <v>13</v>
      </c>
      <c r="B19" s="22" t="n">
        <f aca="false">IF(13&lt;=NW,WEEK_ONE+84,"")</f>
        <v>46102</v>
      </c>
      <c r="C19" s="22" t="n">
        <f aca="false">IF(13&lt;=NW,WEEK_ONE+90,"")</f>
        <v>46108</v>
      </c>
      <c r="D19" s="55" t="str">
        <f aca="false">IF('ساعات عمر'!$M$173=1,N('ساعات عمر'!H184),"")</f>
        <v/>
      </c>
      <c r="E19" s="55" t="str">
        <f aca="false">IF('ساعات عمر'!$M$173=1,SUMIFS(ADV_AMT,ADV_E,"عمر المصري",ADV_W,13),"")</f>
        <v/>
      </c>
      <c r="F19" s="55" t="str">
        <f aca="false">IF('ساعات عمر'!$M$173=1,IF(N(D19)=0,0,MAX(0,IF(INST_MODE="تخفيض تلقائي",FLOOR(MIN(IF(SUMPRODUCT(MAX((LG_E="عمر المصري")*(LG_INST&lt;&gt;"")*(LG_D&lt;=C19)*LG_IDX))=0,السنة!$E$6,INDEX(LG_INST,SUMPRODUCT(MAX((LG_E="عمر المصري")*(LG_INST&lt;&gt;"")*(LG_D&lt;=C19)*LG_IDX)))),السنة!$D$6+SUMIFS(LG_DEBT,LG_E,"عمر المصري",LG_D,"&lt;="&amp;C19)-SUMIFS(LG_REP,LG_E,"عمر المصري",LG_D,"&lt;="&amp;C19)-SUM(F7:F18),INST_CAP*N(D19),N(D19)-N(E19)-NET_FLOOR*N(D19)),0.25),MIN(IF(SUMPRODUCT(MAX((LG_E="عمر المصري")*(LG_INST&lt;&gt;"")*(LG_D&lt;=C19)*LG_IDX))=0,السنة!$E$6,INDEX(LG_INST,SUMPRODUCT(MAX((LG_E="عمر المصري")*(LG_INST&lt;&gt;"")*(LG_D&lt;=C19)*LG_IDX)))),السنة!$D$6+SUMIFS(LG_DEBT,LG_E,"عمر المصري",LG_D,"&lt;="&amp;C19)-SUMIFS(LG_REP,LG_E,"عمر المصري",LG_D,"&lt;="&amp;C19)-SUM(F7:F18))))),"")</f>
        <v/>
      </c>
      <c r="G19" s="56" t="str">
        <f aca="false">IF('ساعات عمر'!$M$173=1,IF(13=START_O,السنة!$C$6,N(I18))+N(D19)-N(E19)-N(F19)-N(K19),"")</f>
        <v/>
      </c>
      <c r="H19" s="55" t="str">
        <f aca="false">IF('ساعات عمر'!$M$173=1,N('ساعات عمر'!E185),"")</f>
        <v/>
      </c>
      <c r="I19" s="55" t="str">
        <f aca="false">IF('ساعات عمر'!$M$173=1,G19-H19,"")</f>
        <v/>
      </c>
      <c r="J19" s="57" t="str">
        <f aca="false">IF('ساعات عمر'!$M$173=1,MAX(0,السنة!$D$6+SUMIFS(LG_DEBT,LG_E,"عمر المصري",LG_D,"&lt;="&amp;C19)-SUMIFS(LG_REP,LG_E,"عمر المصري",LG_D,"&lt;="&amp;C19)-SUM(F7:F19)),"")</f>
        <v/>
      </c>
      <c r="K19" s="58" t="n">
        <f aca="false">0</f>
        <v>0</v>
      </c>
      <c r="L19" s="54" t="n">
        <f aca="false">IF(C19="","",MONTH(C19))</f>
        <v>3</v>
      </c>
    </row>
    <row r="20" customFormat="false" ht="15" hidden="false" customHeight="false" outlineLevel="0" collapsed="false">
      <c r="A20" s="54" t="n">
        <f aca="false">IF(14&lt;=NW,14,"")</f>
        <v>14</v>
      </c>
      <c r="B20" s="22" t="n">
        <f aca="false">IF(14&lt;=NW,WEEK_ONE+91,"")</f>
        <v>46109</v>
      </c>
      <c r="C20" s="22" t="n">
        <f aca="false">IF(14&lt;=NW,WEEK_ONE+97,"")</f>
        <v>46115</v>
      </c>
      <c r="D20" s="55" t="str">
        <f aca="false">IF('ساعات عمر'!$M$187=1,N('ساعات عمر'!H198),"")</f>
        <v/>
      </c>
      <c r="E20" s="55" t="str">
        <f aca="false">IF('ساعات عمر'!$M$187=1,SUMIFS(ADV_AMT,ADV_E,"عمر المصري",ADV_W,14),"")</f>
        <v/>
      </c>
      <c r="F20" s="55" t="str">
        <f aca="false">IF('ساعات عمر'!$M$187=1,IF(N(D20)=0,0,MAX(0,IF(INST_MODE="تخفيض تلقائي",FLOOR(MIN(IF(SUMPRODUCT(MAX((LG_E="عمر المصري")*(LG_INST&lt;&gt;"")*(LG_D&lt;=C20)*LG_IDX))=0,السنة!$E$6,INDEX(LG_INST,SUMPRODUCT(MAX((LG_E="عمر المصري")*(LG_INST&lt;&gt;"")*(LG_D&lt;=C20)*LG_IDX)))),السنة!$D$6+SUMIFS(LG_DEBT,LG_E,"عمر المصري",LG_D,"&lt;="&amp;C20)-SUMIFS(LG_REP,LG_E,"عمر المصري",LG_D,"&lt;="&amp;C20)-SUM(F7:F19),INST_CAP*N(D20),N(D20)-N(E20)-NET_FLOOR*N(D20)),0.25),MIN(IF(SUMPRODUCT(MAX((LG_E="عمر المصري")*(LG_INST&lt;&gt;"")*(LG_D&lt;=C20)*LG_IDX))=0,السنة!$E$6,INDEX(LG_INST,SUMPRODUCT(MAX((LG_E="عمر المصري")*(LG_INST&lt;&gt;"")*(LG_D&lt;=C20)*LG_IDX)))),السنة!$D$6+SUMIFS(LG_DEBT,LG_E,"عمر المصري",LG_D,"&lt;="&amp;C20)-SUMIFS(LG_REP,LG_E,"عمر المصري",LG_D,"&lt;="&amp;C20)-SUM(F7:F19))))),"")</f>
        <v/>
      </c>
      <c r="G20" s="56" t="str">
        <f aca="false">IF('ساعات عمر'!$M$187=1,IF(14=START_O,السنة!$C$6,N(I19))+N(D20)-N(E20)-N(F20)-N(K20),"")</f>
        <v/>
      </c>
      <c r="H20" s="55" t="str">
        <f aca="false">IF('ساعات عمر'!$M$187=1,N('ساعات عمر'!E199),"")</f>
        <v/>
      </c>
      <c r="I20" s="55" t="str">
        <f aca="false">IF('ساعات عمر'!$M$187=1,G20-H20,"")</f>
        <v/>
      </c>
      <c r="J20" s="57" t="str">
        <f aca="false">IF('ساعات عمر'!$M$187=1,MAX(0,السنة!$D$6+SUMIFS(LG_DEBT,LG_E,"عمر المصري",LG_D,"&lt;="&amp;C20)-SUMIFS(LG_REP,LG_E,"عمر المصري",LG_D,"&lt;="&amp;C20)-SUM(F7:F20)),"")</f>
        <v/>
      </c>
      <c r="K20" s="58" t="n">
        <f aca="false">0</f>
        <v>0</v>
      </c>
      <c r="L20" s="54" t="n">
        <f aca="false">IF(C20="","",MONTH(C20))</f>
        <v>4</v>
      </c>
    </row>
    <row r="21" customFormat="false" ht="15" hidden="false" customHeight="false" outlineLevel="0" collapsed="false">
      <c r="A21" s="54" t="n">
        <f aca="false">IF(15&lt;=NW,15,"")</f>
        <v>15</v>
      </c>
      <c r="B21" s="22" t="n">
        <f aca="false">IF(15&lt;=NW,WEEK_ONE+98,"")</f>
        <v>46116</v>
      </c>
      <c r="C21" s="22" t="n">
        <f aca="false">IF(15&lt;=NW,WEEK_ONE+104,"")</f>
        <v>46122</v>
      </c>
      <c r="D21" s="55" t="str">
        <f aca="false">IF('ساعات عمر'!$M$201=1,N('ساعات عمر'!H212),"")</f>
        <v/>
      </c>
      <c r="E21" s="55" t="str">
        <f aca="false">IF('ساعات عمر'!$M$201=1,SUMIFS(ADV_AMT,ADV_E,"عمر المصري",ADV_W,15),"")</f>
        <v/>
      </c>
      <c r="F21" s="55" t="str">
        <f aca="false">IF('ساعات عمر'!$M$201=1,IF(N(D21)=0,0,MAX(0,IF(INST_MODE="تخفيض تلقائي",FLOOR(MIN(IF(SUMPRODUCT(MAX((LG_E="عمر المصري")*(LG_INST&lt;&gt;"")*(LG_D&lt;=C21)*LG_IDX))=0,السنة!$E$6,INDEX(LG_INST,SUMPRODUCT(MAX((LG_E="عمر المصري")*(LG_INST&lt;&gt;"")*(LG_D&lt;=C21)*LG_IDX)))),السنة!$D$6+SUMIFS(LG_DEBT,LG_E,"عمر المصري",LG_D,"&lt;="&amp;C21)-SUMIFS(LG_REP,LG_E,"عمر المصري",LG_D,"&lt;="&amp;C21)-SUM(F7:F20),INST_CAP*N(D21),N(D21)-N(E21)-NET_FLOOR*N(D21)),0.25),MIN(IF(SUMPRODUCT(MAX((LG_E="عمر المصري")*(LG_INST&lt;&gt;"")*(LG_D&lt;=C21)*LG_IDX))=0,السنة!$E$6,INDEX(LG_INST,SUMPRODUCT(MAX((LG_E="عمر المصري")*(LG_INST&lt;&gt;"")*(LG_D&lt;=C21)*LG_IDX)))),السنة!$D$6+SUMIFS(LG_DEBT,LG_E,"عمر المصري",LG_D,"&lt;="&amp;C21)-SUMIFS(LG_REP,LG_E,"عمر المصري",LG_D,"&lt;="&amp;C21)-SUM(F7:F20))))),"")</f>
        <v/>
      </c>
      <c r="G21" s="56" t="str">
        <f aca="false">IF('ساعات عمر'!$M$201=1,IF(15=START_O,السنة!$C$6,N(I20))+N(D21)-N(E21)-N(F21)-N(K21),"")</f>
        <v/>
      </c>
      <c r="H21" s="55" t="str">
        <f aca="false">IF('ساعات عمر'!$M$201=1,N('ساعات عمر'!E213),"")</f>
        <v/>
      </c>
      <c r="I21" s="55" t="str">
        <f aca="false">IF('ساعات عمر'!$M$201=1,G21-H21,"")</f>
        <v/>
      </c>
      <c r="J21" s="57" t="str">
        <f aca="false">IF('ساعات عمر'!$M$201=1,MAX(0,السنة!$D$6+SUMIFS(LG_DEBT,LG_E,"عمر المصري",LG_D,"&lt;="&amp;C21)-SUMIFS(LG_REP,LG_E,"عمر المصري",LG_D,"&lt;="&amp;C21)-SUM(F7:F21)),"")</f>
        <v/>
      </c>
      <c r="K21" s="58" t="n">
        <f aca="false">0</f>
        <v>0</v>
      </c>
      <c r="L21" s="54" t="n">
        <f aca="false">IF(C21="","",MONTH(C21))</f>
        <v>4</v>
      </c>
    </row>
    <row r="22" customFormat="false" ht="15" hidden="false" customHeight="false" outlineLevel="0" collapsed="false">
      <c r="A22" s="54" t="n">
        <f aca="false">IF(16&lt;=NW,16,"")</f>
        <v>16</v>
      </c>
      <c r="B22" s="22" t="n">
        <f aca="false">IF(16&lt;=NW,WEEK_ONE+105,"")</f>
        <v>46123</v>
      </c>
      <c r="C22" s="22" t="n">
        <f aca="false">IF(16&lt;=NW,WEEK_ONE+111,"")</f>
        <v>46129</v>
      </c>
      <c r="D22" s="55" t="str">
        <f aca="false">IF('ساعات عمر'!$M$215=1,N('ساعات عمر'!H226),"")</f>
        <v/>
      </c>
      <c r="E22" s="55" t="str">
        <f aca="false">IF('ساعات عمر'!$M$215=1,SUMIFS(ADV_AMT,ADV_E,"عمر المصري",ADV_W,16),"")</f>
        <v/>
      </c>
      <c r="F22" s="55" t="str">
        <f aca="false">IF('ساعات عمر'!$M$215=1,IF(N(D22)=0,0,MAX(0,IF(INST_MODE="تخفيض تلقائي",FLOOR(MIN(IF(SUMPRODUCT(MAX((LG_E="عمر المصري")*(LG_INST&lt;&gt;"")*(LG_D&lt;=C22)*LG_IDX))=0,السنة!$E$6,INDEX(LG_INST,SUMPRODUCT(MAX((LG_E="عمر المصري")*(LG_INST&lt;&gt;"")*(LG_D&lt;=C22)*LG_IDX)))),السنة!$D$6+SUMIFS(LG_DEBT,LG_E,"عمر المصري",LG_D,"&lt;="&amp;C22)-SUMIFS(LG_REP,LG_E,"عمر المصري",LG_D,"&lt;="&amp;C22)-SUM(F7:F21),INST_CAP*N(D22),N(D22)-N(E22)-NET_FLOOR*N(D22)),0.25),MIN(IF(SUMPRODUCT(MAX((LG_E="عمر المصري")*(LG_INST&lt;&gt;"")*(LG_D&lt;=C22)*LG_IDX))=0,السنة!$E$6,INDEX(LG_INST,SUMPRODUCT(MAX((LG_E="عمر المصري")*(LG_INST&lt;&gt;"")*(LG_D&lt;=C22)*LG_IDX)))),السنة!$D$6+SUMIFS(LG_DEBT,LG_E,"عمر المصري",LG_D,"&lt;="&amp;C22)-SUMIFS(LG_REP,LG_E,"عمر المصري",LG_D,"&lt;="&amp;C22)-SUM(F7:F21))))),"")</f>
        <v/>
      </c>
      <c r="G22" s="56" t="str">
        <f aca="false">IF('ساعات عمر'!$M$215=1,IF(16=START_O,السنة!$C$6,N(I21))+N(D22)-N(E22)-N(F22)-N(K22),"")</f>
        <v/>
      </c>
      <c r="H22" s="55" t="str">
        <f aca="false">IF('ساعات عمر'!$M$215=1,N('ساعات عمر'!E227),"")</f>
        <v/>
      </c>
      <c r="I22" s="55" t="str">
        <f aca="false">IF('ساعات عمر'!$M$215=1,G22-H22,"")</f>
        <v/>
      </c>
      <c r="J22" s="57" t="str">
        <f aca="false">IF('ساعات عمر'!$M$215=1,MAX(0,السنة!$D$6+SUMIFS(LG_DEBT,LG_E,"عمر المصري",LG_D,"&lt;="&amp;C22)-SUMIFS(LG_REP,LG_E,"عمر المصري",LG_D,"&lt;="&amp;C22)-SUM(F7:F22)),"")</f>
        <v/>
      </c>
      <c r="K22" s="58" t="n">
        <f aca="false">0</f>
        <v>0</v>
      </c>
      <c r="L22" s="54" t="n">
        <f aca="false">IF(C22="","",MONTH(C22))</f>
        <v>4</v>
      </c>
    </row>
    <row r="23" customFormat="false" ht="15" hidden="false" customHeight="false" outlineLevel="0" collapsed="false">
      <c r="A23" s="54" t="n">
        <f aca="false">IF(17&lt;=NW,17,"")</f>
        <v>17</v>
      </c>
      <c r="B23" s="22" t="n">
        <f aca="false">IF(17&lt;=NW,WEEK_ONE+112,"")</f>
        <v>46130</v>
      </c>
      <c r="C23" s="22" t="n">
        <f aca="false">IF(17&lt;=NW,WEEK_ONE+118,"")</f>
        <v>46136</v>
      </c>
      <c r="D23" s="55" t="str">
        <f aca="false">IF('ساعات عمر'!$M$229=1,N('ساعات عمر'!H240),"")</f>
        <v/>
      </c>
      <c r="E23" s="55" t="str">
        <f aca="false">IF('ساعات عمر'!$M$229=1,SUMIFS(ADV_AMT,ADV_E,"عمر المصري",ADV_W,17),"")</f>
        <v/>
      </c>
      <c r="F23" s="55" t="str">
        <f aca="false">IF('ساعات عمر'!$M$229=1,IF(N(D23)=0,0,MAX(0,IF(INST_MODE="تخفيض تلقائي",FLOOR(MIN(IF(SUMPRODUCT(MAX((LG_E="عمر المصري")*(LG_INST&lt;&gt;"")*(LG_D&lt;=C23)*LG_IDX))=0,السنة!$E$6,INDEX(LG_INST,SUMPRODUCT(MAX((LG_E="عمر المصري")*(LG_INST&lt;&gt;"")*(LG_D&lt;=C23)*LG_IDX)))),السنة!$D$6+SUMIFS(LG_DEBT,LG_E,"عمر المصري",LG_D,"&lt;="&amp;C23)-SUMIFS(LG_REP,LG_E,"عمر المصري",LG_D,"&lt;="&amp;C23)-SUM(F7:F22),INST_CAP*N(D23),N(D23)-N(E23)-NET_FLOOR*N(D23)),0.25),MIN(IF(SUMPRODUCT(MAX((LG_E="عمر المصري")*(LG_INST&lt;&gt;"")*(LG_D&lt;=C23)*LG_IDX))=0,السنة!$E$6,INDEX(LG_INST,SUMPRODUCT(MAX((LG_E="عمر المصري")*(LG_INST&lt;&gt;"")*(LG_D&lt;=C23)*LG_IDX)))),السنة!$D$6+SUMIFS(LG_DEBT,LG_E,"عمر المصري",LG_D,"&lt;="&amp;C23)-SUMIFS(LG_REP,LG_E,"عمر المصري",LG_D,"&lt;="&amp;C23)-SUM(F7:F22))))),"")</f>
        <v/>
      </c>
      <c r="G23" s="56" t="str">
        <f aca="false">IF('ساعات عمر'!$M$229=1,IF(17=START_O,السنة!$C$6,N(I22))+N(D23)-N(E23)-N(F23)-N(K23),"")</f>
        <v/>
      </c>
      <c r="H23" s="55" t="str">
        <f aca="false">IF('ساعات عمر'!$M$229=1,N('ساعات عمر'!E241),"")</f>
        <v/>
      </c>
      <c r="I23" s="55" t="str">
        <f aca="false">IF('ساعات عمر'!$M$229=1,G23-H23,"")</f>
        <v/>
      </c>
      <c r="J23" s="57" t="str">
        <f aca="false">IF('ساعات عمر'!$M$229=1,MAX(0,السنة!$D$6+SUMIFS(LG_DEBT,LG_E,"عمر المصري",LG_D,"&lt;="&amp;C23)-SUMIFS(LG_REP,LG_E,"عمر المصري",LG_D,"&lt;="&amp;C23)-SUM(F7:F23)),"")</f>
        <v/>
      </c>
      <c r="K23" s="58" t="n">
        <f aca="false">0</f>
        <v>0</v>
      </c>
      <c r="L23" s="54" t="n">
        <f aca="false">IF(C23="","",MONTH(C23))</f>
        <v>4</v>
      </c>
    </row>
    <row r="24" customFormat="false" ht="15" hidden="false" customHeight="false" outlineLevel="0" collapsed="false">
      <c r="A24" s="54" t="n">
        <f aca="false">IF(18&lt;=NW,18,"")</f>
        <v>18</v>
      </c>
      <c r="B24" s="22" t="n">
        <f aca="false">IF(18&lt;=NW,WEEK_ONE+119,"")</f>
        <v>46137</v>
      </c>
      <c r="C24" s="22" t="n">
        <f aca="false">IF(18&lt;=NW,WEEK_ONE+125,"")</f>
        <v>46143</v>
      </c>
      <c r="D24" s="55" t="str">
        <f aca="false">IF('ساعات عمر'!$M$243=1,N('ساعات عمر'!H254),"")</f>
        <v/>
      </c>
      <c r="E24" s="55" t="str">
        <f aca="false">IF('ساعات عمر'!$M$243=1,SUMIFS(ADV_AMT,ADV_E,"عمر المصري",ADV_W,18),"")</f>
        <v/>
      </c>
      <c r="F24" s="55" t="str">
        <f aca="false">IF('ساعات عمر'!$M$243=1,IF(N(D24)=0,0,MAX(0,IF(INST_MODE="تخفيض تلقائي",FLOOR(MIN(IF(SUMPRODUCT(MAX((LG_E="عمر المصري")*(LG_INST&lt;&gt;"")*(LG_D&lt;=C24)*LG_IDX))=0,السنة!$E$6,INDEX(LG_INST,SUMPRODUCT(MAX((LG_E="عمر المصري")*(LG_INST&lt;&gt;"")*(LG_D&lt;=C24)*LG_IDX)))),السنة!$D$6+SUMIFS(LG_DEBT,LG_E,"عمر المصري",LG_D,"&lt;="&amp;C24)-SUMIFS(LG_REP,LG_E,"عمر المصري",LG_D,"&lt;="&amp;C24)-SUM(F7:F23),INST_CAP*N(D24),N(D24)-N(E24)-NET_FLOOR*N(D24)),0.25),MIN(IF(SUMPRODUCT(MAX((LG_E="عمر المصري")*(LG_INST&lt;&gt;"")*(LG_D&lt;=C24)*LG_IDX))=0,السنة!$E$6,INDEX(LG_INST,SUMPRODUCT(MAX((LG_E="عمر المصري")*(LG_INST&lt;&gt;"")*(LG_D&lt;=C24)*LG_IDX)))),السنة!$D$6+SUMIFS(LG_DEBT,LG_E,"عمر المصري",LG_D,"&lt;="&amp;C24)-SUMIFS(LG_REP,LG_E,"عمر المصري",LG_D,"&lt;="&amp;C24)-SUM(F7:F23))))),"")</f>
        <v/>
      </c>
      <c r="G24" s="56" t="str">
        <f aca="false">IF('ساعات عمر'!$M$243=1,IF(18=START_O,السنة!$C$6,N(I23))+N(D24)-N(E24)-N(F24)-N(K24),"")</f>
        <v/>
      </c>
      <c r="H24" s="55" t="str">
        <f aca="false">IF('ساعات عمر'!$M$243=1,N('ساعات عمر'!E255),"")</f>
        <v/>
      </c>
      <c r="I24" s="55" t="str">
        <f aca="false">IF('ساعات عمر'!$M$243=1,G24-H24,"")</f>
        <v/>
      </c>
      <c r="J24" s="57" t="str">
        <f aca="false">IF('ساعات عمر'!$M$243=1,MAX(0,السنة!$D$6+SUMIFS(LG_DEBT,LG_E,"عمر المصري",LG_D,"&lt;="&amp;C24)-SUMIFS(LG_REP,LG_E,"عمر المصري",LG_D,"&lt;="&amp;C24)-SUM(F7:F24)),"")</f>
        <v/>
      </c>
      <c r="K24" s="58" t="n">
        <f aca="false">0</f>
        <v>0</v>
      </c>
      <c r="L24" s="54" t="n">
        <f aca="false">IF(C24="","",MONTH(C24))</f>
        <v>5</v>
      </c>
    </row>
    <row r="25" customFormat="false" ht="15" hidden="false" customHeight="false" outlineLevel="0" collapsed="false">
      <c r="A25" s="54" t="n">
        <f aca="false">IF(19&lt;=NW,19,"")</f>
        <v>19</v>
      </c>
      <c r="B25" s="22" t="n">
        <f aca="false">IF(19&lt;=NW,WEEK_ONE+126,"")</f>
        <v>46144</v>
      </c>
      <c r="C25" s="22" t="n">
        <f aca="false">IF(19&lt;=NW,WEEK_ONE+132,"")</f>
        <v>46150</v>
      </c>
      <c r="D25" s="55" t="str">
        <f aca="false">IF('ساعات عمر'!$M$257=1,N('ساعات عمر'!H268),"")</f>
        <v/>
      </c>
      <c r="E25" s="55" t="str">
        <f aca="false">IF('ساعات عمر'!$M$257=1,SUMIFS(ADV_AMT,ADV_E,"عمر المصري",ADV_W,19),"")</f>
        <v/>
      </c>
      <c r="F25" s="55" t="str">
        <f aca="false">IF('ساعات عمر'!$M$257=1,IF(N(D25)=0,0,MAX(0,IF(INST_MODE="تخفيض تلقائي",FLOOR(MIN(IF(SUMPRODUCT(MAX((LG_E="عمر المصري")*(LG_INST&lt;&gt;"")*(LG_D&lt;=C25)*LG_IDX))=0,السنة!$E$6,INDEX(LG_INST,SUMPRODUCT(MAX((LG_E="عمر المصري")*(LG_INST&lt;&gt;"")*(LG_D&lt;=C25)*LG_IDX)))),السنة!$D$6+SUMIFS(LG_DEBT,LG_E,"عمر المصري",LG_D,"&lt;="&amp;C25)-SUMIFS(LG_REP,LG_E,"عمر المصري",LG_D,"&lt;="&amp;C25)-SUM(F7:F24),INST_CAP*N(D25),N(D25)-N(E25)-NET_FLOOR*N(D25)),0.25),MIN(IF(SUMPRODUCT(MAX((LG_E="عمر المصري")*(LG_INST&lt;&gt;"")*(LG_D&lt;=C25)*LG_IDX))=0,السنة!$E$6,INDEX(LG_INST,SUMPRODUCT(MAX((LG_E="عمر المصري")*(LG_INST&lt;&gt;"")*(LG_D&lt;=C25)*LG_IDX)))),السنة!$D$6+SUMIFS(LG_DEBT,LG_E,"عمر المصري",LG_D,"&lt;="&amp;C25)-SUMIFS(LG_REP,LG_E,"عمر المصري",LG_D,"&lt;="&amp;C25)-SUM(F7:F24))))),"")</f>
        <v/>
      </c>
      <c r="G25" s="56" t="str">
        <f aca="false">IF('ساعات عمر'!$M$257=1,IF(19=START_O,السنة!$C$6,N(I24))+N(D25)-N(E25)-N(F25)-N(K25),"")</f>
        <v/>
      </c>
      <c r="H25" s="55" t="str">
        <f aca="false">IF('ساعات عمر'!$M$257=1,N('ساعات عمر'!E269),"")</f>
        <v/>
      </c>
      <c r="I25" s="55" t="str">
        <f aca="false">IF('ساعات عمر'!$M$257=1,G25-H25,"")</f>
        <v/>
      </c>
      <c r="J25" s="57" t="str">
        <f aca="false">IF('ساعات عمر'!$M$257=1,MAX(0,السنة!$D$6+SUMIFS(LG_DEBT,LG_E,"عمر المصري",LG_D,"&lt;="&amp;C25)-SUMIFS(LG_REP,LG_E,"عمر المصري",LG_D,"&lt;="&amp;C25)-SUM(F7:F25)),"")</f>
        <v/>
      </c>
      <c r="K25" s="58" t="n">
        <f aca="false">0</f>
        <v>0</v>
      </c>
      <c r="L25" s="54" t="n">
        <f aca="false">IF(C25="","",MONTH(C25))</f>
        <v>5</v>
      </c>
    </row>
    <row r="26" customFormat="false" ht="15" hidden="false" customHeight="false" outlineLevel="0" collapsed="false">
      <c r="A26" s="54" t="n">
        <f aca="false">IF(20&lt;=NW,20,"")</f>
        <v>20</v>
      </c>
      <c r="B26" s="22" t="n">
        <f aca="false">IF(20&lt;=NW,WEEK_ONE+133,"")</f>
        <v>46151</v>
      </c>
      <c r="C26" s="22" t="n">
        <f aca="false">IF(20&lt;=NW,WEEK_ONE+139,"")</f>
        <v>46157</v>
      </c>
      <c r="D26" s="55" t="str">
        <f aca="false">IF('ساعات عمر'!$M$271=1,N('ساعات عمر'!H282),"")</f>
        <v/>
      </c>
      <c r="E26" s="55" t="str">
        <f aca="false">IF('ساعات عمر'!$M$271=1,SUMIFS(ADV_AMT,ADV_E,"عمر المصري",ADV_W,20),"")</f>
        <v/>
      </c>
      <c r="F26" s="55" t="str">
        <f aca="false">IF('ساعات عمر'!$M$271=1,IF(N(D26)=0,0,MAX(0,IF(INST_MODE="تخفيض تلقائي",FLOOR(MIN(IF(SUMPRODUCT(MAX((LG_E="عمر المصري")*(LG_INST&lt;&gt;"")*(LG_D&lt;=C26)*LG_IDX))=0,السنة!$E$6,INDEX(LG_INST,SUMPRODUCT(MAX((LG_E="عمر المصري")*(LG_INST&lt;&gt;"")*(LG_D&lt;=C26)*LG_IDX)))),السنة!$D$6+SUMIFS(LG_DEBT,LG_E,"عمر المصري",LG_D,"&lt;="&amp;C26)-SUMIFS(LG_REP,LG_E,"عمر المصري",LG_D,"&lt;="&amp;C26)-SUM(F7:F25),INST_CAP*N(D26),N(D26)-N(E26)-NET_FLOOR*N(D26)),0.25),MIN(IF(SUMPRODUCT(MAX((LG_E="عمر المصري")*(LG_INST&lt;&gt;"")*(LG_D&lt;=C26)*LG_IDX))=0,السنة!$E$6,INDEX(LG_INST,SUMPRODUCT(MAX((LG_E="عمر المصري")*(LG_INST&lt;&gt;"")*(LG_D&lt;=C26)*LG_IDX)))),السنة!$D$6+SUMIFS(LG_DEBT,LG_E,"عمر المصري",LG_D,"&lt;="&amp;C26)-SUMIFS(LG_REP,LG_E,"عمر المصري",LG_D,"&lt;="&amp;C26)-SUM(F7:F25))))),"")</f>
        <v/>
      </c>
      <c r="G26" s="56" t="str">
        <f aca="false">IF('ساعات عمر'!$M$271=1,IF(20=START_O,السنة!$C$6,N(I25))+N(D26)-N(E26)-N(F26)-N(K26),"")</f>
        <v/>
      </c>
      <c r="H26" s="55" t="str">
        <f aca="false">IF('ساعات عمر'!$M$271=1,N('ساعات عمر'!E283),"")</f>
        <v/>
      </c>
      <c r="I26" s="55" t="str">
        <f aca="false">IF('ساعات عمر'!$M$271=1,G26-H26,"")</f>
        <v/>
      </c>
      <c r="J26" s="57" t="str">
        <f aca="false">IF('ساعات عمر'!$M$271=1,MAX(0,السنة!$D$6+SUMIFS(LG_DEBT,LG_E,"عمر المصري",LG_D,"&lt;="&amp;C26)-SUMIFS(LG_REP,LG_E,"عمر المصري",LG_D,"&lt;="&amp;C26)-SUM(F7:F26)),"")</f>
        <v/>
      </c>
      <c r="K26" s="58" t="n">
        <f aca="false">0</f>
        <v>0</v>
      </c>
      <c r="L26" s="54" t="n">
        <f aca="false">IF(C26="","",MONTH(C26))</f>
        <v>5</v>
      </c>
    </row>
    <row r="27" customFormat="false" ht="15" hidden="false" customHeight="false" outlineLevel="0" collapsed="false">
      <c r="A27" s="54" t="n">
        <f aca="false">IF(21&lt;=NW,21,"")</f>
        <v>21</v>
      </c>
      <c r="B27" s="22" t="n">
        <f aca="false">IF(21&lt;=NW,WEEK_ONE+140,"")</f>
        <v>46158</v>
      </c>
      <c r="C27" s="22" t="n">
        <f aca="false">IF(21&lt;=NW,WEEK_ONE+146,"")</f>
        <v>46164</v>
      </c>
      <c r="D27" s="55" t="str">
        <f aca="false">IF('ساعات عمر'!$M$285=1,N('ساعات عمر'!H296),"")</f>
        <v/>
      </c>
      <c r="E27" s="55" t="str">
        <f aca="false">IF('ساعات عمر'!$M$285=1,SUMIFS(ADV_AMT,ADV_E,"عمر المصري",ADV_W,21),"")</f>
        <v/>
      </c>
      <c r="F27" s="55" t="str">
        <f aca="false">IF('ساعات عمر'!$M$285=1,IF(N(D27)=0,0,MAX(0,IF(INST_MODE="تخفيض تلقائي",FLOOR(MIN(IF(SUMPRODUCT(MAX((LG_E="عمر المصري")*(LG_INST&lt;&gt;"")*(LG_D&lt;=C27)*LG_IDX))=0,السنة!$E$6,INDEX(LG_INST,SUMPRODUCT(MAX((LG_E="عمر المصري")*(LG_INST&lt;&gt;"")*(LG_D&lt;=C27)*LG_IDX)))),السنة!$D$6+SUMIFS(LG_DEBT,LG_E,"عمر المصري",LG_D,"&lt;="&amp;C27)-SUMIFS(LG_REP,LG_E,"عمر المصري",LG_D,"&lt;="&amp;C27)-SUM(F7:F26),INST_CAP*N(D27),N(D27)-N(E27)-NET_FLOOR*N(D27)),0.25),MIN(IF(SUMPRODUCT(MAX((LG_E="عمر المصري")*(LG_INST&lt;&gt;"")*(LG_D&lt;=C27)*LG_IDX))=0,السنة!$E$6,INDEX(LG_INST,SUMPRODUCT(MAX((LG_E="عمر المصري")*(LG_INST&lt;&gt;"")*(LG_D&lt;=C27)*LG_IDX)))),السنة!$D$6+SUMIFS(LG_DEBT,LG_E,"عمر المصري",LG_D,"&lt;="&amp;C27)-SUMIFS(LG_REP,LG_E,"عمر المصري",LG_D,"&lt;="&amp;C27)-SUM(F7:F26))))),"")</f>
        <v/>
      </c>
      <c r="G27" s="56" t="str">
        <f aca="false">IF('ساعات عمر'!$M$285=1,IF(21=START_O,السنة!$C$6,N(I26))+N(D27)-N(E27)-N(F27)-N(K27),"")</f>
        <v/>
      </c>
      <c r="H27" s="55" t="str">
        <f aca="false">IF('ساعات عمر'!$M$285=1,N('ساعات عمر'!E297),"")</f>
        <v/>
      </c>
      <c r="I27" s="55" t="str">
        <f aca="false">IF('ساعات عمر'!$M$285=1,G27-H27,"")</f>
        <v/>
      </c>
      <c r="J27" s="57" t="str">
        <f aca="false">IF('ساعات عمر'!$M$285=1,MAX(0,السنة!$D$6+SUMIFS(LG_DEBT,LG_E,"عمر المصري",LG_D,"&lt;="&amp;C27)-SUMIFS(LG_REP,LG_E,"عمر المصري",LG_D,"&lt;="&amp;C27)-SUM(F7:F27)),"")</f>
        <v/>
      </c>
      <c r="K27" s="58" t="n">
        <f aca="false">0</f>
        <v>0</v>
      </c>
      <c r="L27" s="54" t="n">
        <f aca="false">IF(C27="","",MONTH(C27))</f>
        <v>5</v>
      </c>
    </row>
    <row r="28" customFormat="false" ht="15" hidden="false" customHeight="false" outlineLevel="0" collapsed="false">
      <c r="A28" s="54" t="n">
        <f aca="false">IF(22&lt;=NW,22,"")</f>
        <v>22</v>
      </c>
      <c r="B28" s="22" t="n">
        <f aca="false">IF(22&lt;=NW,WEEK_ONE+147,"")</f>
        <v>46165</v>
      </c>
      <c r="C28" s="22" t="n">
        <f aca="false">IF(22&lt;=NW,WEEK_ONE+153,"")</f>
        <v>46171</v>
      </c>
      <c r="D28" s="55" t="str">
        <f aca="false">IF('ساعات عمر'!$M$299=1,N('ساعات عمر'!H310),"")</f>
        <v/>
      </c>
      <c r="E28" s="55" t="str">
        <f aca="false">IF('ساعات عمر'!$M$299=1,SUMIFS(ADV_AMT,ADV_E,"عمر المصري",ADV_W,22),"")</f>
        <v/>
      </c>
      <c r="F28" s="55" t="str">
        <f aca="false">IF('ساعات عمر'!$M$299=1,IF(N(D28)=0,0,MAX(0,IF(INST_MODE="تخفيض تلقائي",FLOOR(MIN(IF(SUMPRODUCT(MAX((LG_E="عمر المصري")*(LG_INST&lt;&gt;"")*(LG_D&lt;=C28)*LG_IDX))=0,السنة!$E$6,INDEX(LG_INST,SUMPRODUCT(MAX((LG_E="عمر المصري")*(LG_INST&lt;&gt;"")*(LG_D&lt;=C28)*LG_IDX)))),السنة!$D$6+SUMIFS(LG_DEBT,LG_E,"عمر المصري",LG_D,"&lt;="&amp;C28)-SUMIFS(LG_REP,LG_E,"عمر المصري",LG_D,"&lt;="&amp;C28)-SUM(F7:F27),INST_CAP*N(D28),N(D28)-N(E28)-NET_FLOOR*N(D28)),0.25),MIN(IF(SUMPRODUCT(MAX((LG_E="عمر المصري")*(LG_INST&lt;&gt;"")*(LG_D&lt;=C28)*LG_IDX))=0,السنة!$E$6,INDEX(LG_INST,SUMPRODUCT(MAX((LG_E="عمر المصري")*(LG_INST&lt;&gt;"")*(LG_D&lt;=C28)*LG_IDX)))),السنة!$D$6+SUMIFS(LG_DEBT,LG_E,"عمر المصري",LG_D,"&lt;="&amp;C28)-SUMIFS(LG_REP,LG_E,"عمر المصري",LG_D,"&lt;="&amp;C28)-SUM(F7:F27))))),"")</f>
        <v/>
      </c>
      <c r="G28" s="56" t="str">
        <f aca="false">IF('ساعات عمر'!$M$299=1,IF(22=START_O,السنة!$C$6,N(I27))+N(D28)-N(E28)-N(F28)-N(K28),"")</f>
        <v/>
      </c>
      <c r="H28" s="55" t="str">
        <f aca="false">IF('ساعات عمر'!$M$299=1,N('ساعات عمر'!E311),"")</f>
        <v/>
      </c>
      <c r="I28" s="55" t="str">
        <f aca="false">IF('ساعات عمر'!$M$299=1,G28-H28,"")</f>
        <v/>
      </c>
      <c r="J28" s="57" t="str">
        <f aca="false">IF('ساعات عمر'!$M$299=1,MAX(0,السنة!$D$6+SUMIFS(LG_DEBT,LG_E,"عمر المصري",LG_D,"&lt;="&amp;C28)-SUMIFS(LG_REP,LG_E,"عمر المصري",LG_D,"&lt;="&amp;C28)-SUM(F7:F28)),"")</f>
        <v/>
      </c>
      <c r="K28" s="58" t="n">
        <f aca="false">0</f>
        <v>0</v>
      </c>
      <c r="L28" s="54" t="n">
        <f aca="false">IF(C28="","",MONTH(C28))</f>
        <v>5</v>
      </c>
    </row>
    <row r="29" customFormat="false" ht="15" hidden="false" customHeight="false" outlineLevel="0" collapsed="false">
      <c r="A29" s="54" t="n">
        <f aca="false">IF(23&lt;=NW,23,"")</f>
        <v>23</v>
      </c>
      <c r="B29" s="22" t="n">
        <f aca="false">IF(23&lt;=NW,WEEK_ONE+154,"")</f>
        <v>46172</v>
      </c>
      <c r="C29" s="22" t="n">
        <f aca="false">IF(23&lt;=NW,WEEK_ONE+160,"")</f>
        <v>46178</v>
      </c>
      <c r="D29" s="55" t="str">
        <f aca="false">IF('ساعات عمر'!$M$313=1,N('ساعات عمر'!H324),"")</f>
        <v/>
      </c>
      <c r="E29" s="55" t="str">
        <f aca="false">IF('ساعات عمر'!$M$313=1,SUMIFS(ADV_AMT,ADV_E,"عمر المصري",ADV_W,23),"")</f>
        <v/>
      </c>
      <c r="F29" s="55" t="str">
        <f aca="false">IF('ساعات عمر'!$M$313=1,IF(N(D29)=0,0,MAX(0,IF(INST_MODE="تخفيض تلقائي",FLOOR(MIN(IF(SUMPRODUCT(MAX((LG_E="عمر المصري")*(LG_INST&lt;&gt;"")*(LG_D&lt;=C29)*LG_IDX))=0,السنة!$E$6,INDEX(LG_INST,SUMPRODUCT(MAX((LG_E="عمر المصري")*(LG_INST&lt;&gt;"")*(LG_D&lt;=C29)*LG_IDX)))),السنة!$D$6+SUMIFS(LG_DEBT,LG_E,"عمر المصري",LG_D,"&lt;="&amp;C29)-SUMIFS(LG_REP,LG_E,"عمر المصري",LG_D,"&lt;="&amp;C29)-SUM(F7:F28),INST_CAP*N(D29),N(D29)-N(E29)-NET_FLOOR*N(D29)),0.25),MIN(IF(SUMPRODUCT(MAX((LG_E="عمر المصري")*(LG_INST&lt;&gt;"")*(LG_D&lt;=C29)*LG_IDX))=0,السنة!$E$6,INDEX(LG_INST,SUMPRODUCT(MAX((LG_E="عمر المصري")*(LG_INST&lt;&gt;"")*(LG_D&lt;=C29)*LG_IDX)))),السنة!$D$6+SUMIFS(LG_DEBT,LG_E,"عمر المصري",LG_D,"&lt;="&amp;C29)-SUMIFS(LG_REP,LG_E,"عمر المصري",LG_D,"&lt;="&amp;C29)-SUM(F7:F28))))),"")</f>
        <v/>
      </c>
      <c r="G29" s="56" t="str">
        <f aca="false">IF('ساعات عمر'!$M$313=1,IF(23=START_O,السنة!$C$6,N(I28))+N(D29)-N(E29)-N(F29)-N(K29),"")</f>
        <v/>
      </c>
      <c r="H29" s="55" t="str">
        <f aca="false">IF('ساعات عمر'!$M$313=1,N('ساعات عمر'!E325),"")</f>
        <v/>
      </c>
      <c r="I29" s="55" t="str">
        <f aca="false">IF('ساعات عمر'!$M$313=1,G29-H29,"")</f>
        <v/>
      </c>
      <c r="J29" s="57" t="str">
        <f aca="false">IF('ساعات عمر'!$M$313=1,MAX(0,السنة!$D$6+SUMIFS(LG_DEBT,LG_E,"عمر المصري",LG_D,"&lt;="&amp;C29)-SUMIFS(LG_REP,LG_E,"عمر المصري",LG_D,"&lt;="&amp;C29)-SUM(F7:F29)),"")</f>
        <v/>
      </c>
      <c r="K29" s="58" t="n">
        <f aca="false">0</f>
        <v>0</v>
      </c>
      <c r="L29" s="54" t="n">
        <f aca="false">IF(C29="","",MONTH(C29))</f>
        <v>6</v>
      </c>
    </row>
    <row r="30" customFormat="false" ht="15" hidden="false" customHeight="false" outlineLevel="0" collapsed="false">
      <c r="A30" s="54" t="n">
        <f aca="false">IF(24&lt;=NW,24,"")</f>
        <v>24</v>
      </c>
      <c r="B30" s="22" t="n">
        <f aca="false">IF(24&lt;=NW,WEEK_ONE+161,"")</f>
        <v>46179</v>
      </c>
      <c r="C30" s="22" t="n">
        <f aca="false">IF(24&lt;=NW,WEEK_ONE+167,"")</f>
        <v>46185</v>
      </c>
      <c r="D30" s="55" t="str">
        <f aca="false">IF('ساعات عمر'!$M$327=1,N('ساعات عمر'!H338),"")</f>
        <v/>
      </c>
      <c r="E30" s="55" t="str">
        <f aca="false">IF('ساعات عمر'!$M$327=1,SUMIFS(ADV_AMT,ADV_E,"عمر المصري",ADV_W,24),"")</f>
        <v/>
      </c>
      <c r="F30" s="55" t="str">
        <f aca="false">IF('ساعات عمر'!$M$327=1,IF(N(D30)=0,0,MAX(0,IF(INST_MODE="تخفيض تلقائي",FLOOR(MIN(IF(SUMPRODUCT(MAX((LG_E="عمر المصري")*(LG_INST&lt;&gt;"")*(LG_D&lt;=C30)*LG_IDX))=0,السنة!$E$6,INDEX(LG_INST,SUMPRODUCT(MAX((LG_E="عمر المصري")*(LG_INST&lt;&gt;"")*(LG_D&lt;=C30)*LG_IDX)))),السنة!$D$6+SUMIFS(LG_DEBT,LG_E,"عمر المصري",LG_D,"&lt;="&amp;C30)-SUMIFS(LG_REP,LG_E,"عمر المصري",LG_D,"&lt;="&amp;C30)-SUM(F7:F29),INST_CAP*N(D30),N(D30)-N(E30)-NET_FLOOR*N(D30)),0.25),MIN(IF(SUMPRODUCT(MAX((LG_E="عمر المصري")*(LG_INST&lt;&gt;"")*(LG_D&lt;=C30)*LG_IDX))=0,السنة!$E$6,INDEX(LG_INST,SUMPRODUCT(MAX((LG_E="عمر المصري")*(LG_INST&lt;&gt;"")*(LG_D&lt;=C30)*LG_IDX)))),السنة!$D$6+SUMIFS(LG_DEBT,LG_E,"عمر المصري",LG_D,"&lt;="&amp;C30)-SUMIFS(LG_REP,LG_E,"عمر المصري",LG_D,"&lt;="&amp;C30)-SUM(F7:F29))))),"")</f>
        <v/>
      </c>
      <c r="G30" s="56" t="str">
        <f aca="false">IF('ساعات عمر'!$M$327=1,IF(24=START_O,السنة!$C$6,N(I29))+N(D30)-N(E30)-N(F30)-N(K30),"")</f>
        <v/>
      </c>
      <c r="H30" s="55" t="str">
        <f aca="false">IF('ساعات عمر'!$M$327=1,N('ساعات عمر'!E339),"")</f>
        <v/>
      </c>
      <c r="I30" s="55" t="str">
        <f aca="false">IF('ساعات عمر'!$M$327=1,G30-H30,"")</f>
        <v/>
      </c>
      <c r="J30" s="57" t="str">
        <f aca="false">IF('ساعات عمر'!$M$327=1,MAX(0,السنة!$D$6+SUMIFS(LG_DEBT,LG_E,"عمر المصري",LG_D,"&lt;="&amp;C30)-SUMIFS(LG_REP,LG_E,"عمر المصري",LG_D,"&lt;="&amp;C30)-SUM(F7:F30)),"")</f>
        <v/>
      </c>
      <c r="K30" s="58" t="n">
        <f aca="false">0</f>
        <v>0</v>
      </c>
      <c r="L30" s="54" t="n">
        <f aca="false">IF(C30="","",MONTH(C30))</f>
        <v>6</v>
      </c>
    </row>
    <row r="31" customFormat="false" ht="15" hidden="false" customHeight="false" outlineLevel="0" collapsed="false">
      <c r="A31" s="54" t="n">
        <f aca="false">IF(25&lt;=NW,25,"")</f>
        <v>25</v>
      </c>
      <c r="B31" s="22" t="n">
        <f aca="false">IF(25&lt;=NW,WEEK_ONE+168,"")</f>
        <v>46186</v>
      </c>
      <c r="C31" s="22" t="n">
        <f aca="false">IF(25&lt;=NW,WEEK_ONE+174,"")</f>
        <v>46192</v>
      </c>
      <c r="D31" s="55" t="str">
        <f aca="false">IF('ساعات عمر'!$M$341=1,N('ساعات عمر'!H352),"")</f>
        <v/>
      </c>
      <c r="E31" s="55" t="str">
        <f aca="false">IF('ساعات عمر'!$M$341=1,SUMIFS(ADV_AMT,ADV_E,"عمر المصري",ADV_W,25),"")</f>
        <v/>
      </c>
      <c r="F31" s="55" t="str">
        <f aca="false">IF('ساعات عمر'!$M$341=1,IF(N(D31)=0,0,MAX(0,IF(INST_MODE="تخفيض تلقائي",FLOOR(MIN(IF(SUMPRODUCT(MAX((LG_E="عمر المصري")*(LG_INST&lt;&gt;"")*(LG_D&lt;=C31)*LG_IDX))=0,السنة!$E$6,INDEX(LG_INST,SUMPRODUCT(MAX((LG_E="عمر المصري")*(LG_INST&lt;&gt;"")*(LG_D&lt;=C31)*LG_IDX)))),السنة!$D$6+SUMIFS(LG_DEBT,LG_E,"عمر المصري",LG_D,"&lt;="&amp;C31)-SUMIFS(LG_REP,LG_E,"عمر المصري",LG_D,"&lt;="&amp;C31)-SUM(F7:F30),INST_CAP*N(D31),N(D31)-N(E31)-NET_FLOOR*N(D31)),0.25),MIN(IF(SUMPRODUCT(MAX((LG_E="عمر المصري")*(LG_INST&lt;&gt;"")*(LG_D&lt;=C31)*LG_IDX))=0,السنة!$E$6,INDEX(LG_INST,SUMPRODUCT(MAX((LG_E="عمر المصري")*(LG_INST&lt;&gt;"")*(LG_D&lt;=C31)*LG_IDX)))),السنة!$D$6+SUMIFS(LG_DEBT,LG_E,"عمر المصري",LG_D,"&lt;="&amp;C31)-SUMIFS(LG_REP,LG_E,"عمر المصري",LG_D,"&lt;="&amp;C31)-SUM(F7:F30))))),"")</f>
        <v/>
      </c>
      <c r="G31" s="56" t="str">
        <f aca="false">IF('ساعات عمر'!$M$341=1,IF(25=START_O,السنة!$C$6,N(I30))+N(D31)-N(E31)-N(F31)-N(K31),"")</f>
        <v/>
      </c>
      <c r="H31" s="55" t="str">
        <f aca="false">IF('ساعات عمر'!$M$341=1,N('ساعات عمر'!E353),"")</f>
        <v/>
      </c>
      <c r="I31" s="55" t="str">
        <f aca="false">IF('ساعات عمر'!$M$341=1,G31-H31,"")</f>
        <v/>
      </c>
      <c r="J31" s="57" t="str">
        <f aca="false">IF('ساعات عمر'!$M$341=1,MAX(0,السنة!$D$6+SUMIFS(LG_DEBT,LG_E,"عمر المصري",LG_D,"&lt;="&amp;C31)-SUMIFS(LG_REP,LG_E,"عمر المصري",LG_D,"&lt;="&amp;C31)-SUM(F7:F31)),"")</f>
        <v/>
      </c>
      <c r="K31" s="58" t="n">
        <f aca="false">0</f>
        <v>0</v>
      </c>
      <c r="L31" s="54" t="n">
        <f aca="false">IF(C31="","",MONTH(C31))</f>
        <v>6</v>
      </c>
    </row>
    <row r="32" customFormat="false" ht="15" hidden="false" customHeight="false" outlineLevel="0" collapsed="false">
      <c r="A32" s="54" t="n">
        <f aca="false">IF(26&lt;=NW,26,"")</f>
        <v>26</v>
      </c>
      <c r="B32" s="22" t="n">
        <f aca="false">IF(26&lt;=NW,WEEK_ONE+175,"")</f>
        <v>46193</v>
      </c>
      <c r="C32" s="22" t="n">
        <f aca="false">IF(26&lt;=NW,WEEK_ONE+181,"")</f>
        <v>46199</v>
      </c>
      <c r="D32" s="55" t="str">
        <f aca="false">IF('ساعات عمر'!$M$355=1,N('ساعات عمر'!H366),"")</f>
        <v/>
      </c>
      <c r="E32" s="55" t="str">
        <f aca="false">IF('ساعات عمر'!$M$355=1,SUMIFS(ADV_AMT,ADV_E,"عمر المصري",ADV_W,26),"")</f>
        <v/>
      </c>
      <c r="F32" s="55" t="str">
        <f aca="false">IF('ساعات عمر'!$M$355=1,IF(N(D32)=0,0,MAX(0,IF(INST_MODE="تخفيض تلقائي",FLOOR(MIN(IF(SUMPRODUCT(MAX((LG_E="عمر المصري")*(LG_INST&lt;&gt;"")*(LG_D&lt;=C32)*LG_IDX))=0,السنة!$E$6,INDEX(LG_INST,SUMPRODUCT(MAX((LG_E="عمر المصري")*(LG_INST&lt;&gt;"")*(LG_D&lt;=C32)*LG_IDX)))),السنة!$D$6+SUMIFS(LG_DEBT,LG_E,"عمر المصري",LG_D,"&lt;="&amp;C32)-SUMIFS(LG_REP,LG_E,"عمر المصري",LG_D,"&lt;="&amp;C32)-SUM(F7:F31),INST_CAP*N(D32),N(D32)-N(E32)-NET_FLOOR*N(D32)),0.25),MIN(IF(SUMPRODUCT(MAX((LG_E="عمر المصري")*(LG_INST&lt;&gt;"")*(LG_D&lt;=C32)*LG_IDX))=0,السنة!$E$6,INDEX(LG_INST,SUMPRODUCT(MAX((LG_E="عمر المصري")*(LG_INST&lt;&gt;"")*(LG_D&lt;=C32)*LG_IDX)))),السنة!$D$6+SUMIFS(LG_DEBT,LG_E,"عمر المصري",LG_D,"&lt;="&amp;C32)-SUMIFS(LG_REP,LG_E,"عمر المصري",LG_D,"&lt;="&amp;C32)-SUM(F7:F31))))),"")</f>
        <v/>
      </c>
      <c r="G32" s="56" t="str">
        <f aca="false">IF('ساعات عمر'!$M$355=1,IF(26=START_O,السنة!$C$6,N(I31))+N(D32)-N(E32)-N(F32)-N(K32),"")</f>
        <v/>
      </c>
      <c r="H32" s="55" t="str">
        <f aca="false">IF('ساعات عمر'!$M$355=1,N('ساعات عمر'!E367),"")</f>
        <v/>
      </c>
      <c r="I32" s="55" t="str">
        <f aca="false">IF('ساعات عمر'!$M$355=1,G32-H32,"")</f>
        <v/>
      </c>
      <c r="J32" s="57" t="str">
        <f aca="false">IF('ساعات عمر'!$M$355=1,MAX(0,السنة!$D$6+SUMIFS(LG_DEBT,LG_E,"عمر المصري",LG_D,"&lt;="&amp;C32)-SUMIFS(LG_REP,LG_E,"عمر المصري",LG_D,"&lt;="&amp;C32)-SUM(F7:F32)),"")</f>
        <v/>
      </c>
      <c r="K32" s="58" t="n">
        <f aca="false">0</f>
        <v>0</v>
      </c>
      <c r="L32" s="54" t="n">
        <f aca="false">IF(C32="","",MONTH(C32))</f>
        <v>6</v>
      </c>
    </row>
    <row r="33" customFormat="false" ht="15" hidden="false" customHeight="false" outlineLevel="0" collapsed="false">
      <c r="A33" s="54" t="n">
        <f aca="false">IF(27&lt;=NW,27,"")</f>
        <v>27</v>
      </c>
      <c r="B33" s="22" t="n">
        <f aca="false">IF(27&lt;=NW,WEEK_ONE+182,"")</f>
        <v>46200</v>
      </c>
      <c r="C33" s="22" t="n">
        <f aca="false">IF(27&lt;=NW,WEEK_ONE+188,"")</f>
        <v>46206</v>
      </c>
      <c r="D33" s="55" t="str">
        <f aca="false">IF('ساعات عمر'!$M$369=1,N('ساعات عمر'!H380),"")</f>
        <v/>
      </c>
      <c r="E33" s="55" t="str">
        <f aca="false">IF('ساعات عمر'!$M$369=1,SUMIFS(ADV_AMT,ADV_E,"عمر المصري",ADV_W,27),"")</f>
        <v/>
      </c>
      <c r="F33" s="55" t="str">
        <f aca="false">IF('ساعات عمر'!$M$369=1,IF(N(D33)=0,0,MAX(0,IF(INST_MODE="تخفيض تلقائي",FLOOR(MIN(IF(SUMPRODUCT(MAX((LG_E="عمر المصري")*(LG_INST&lt;&gt;"")*(LG_D&lt;=C33)*LG_IDX))=0,السنة!$E$6,INDEX(LG_INST,SUMPRODUCT(MAX((LG_E="عمر المصري")*(LG_INST&lt;&gt;"")*(LG_D&lt;=C33)*LG_IDX)))),السنة!$D$6+SUMIFS(LG_DEBT,LG_E,"عمر المصري",LG_D,"&lt;="&amp;C33)-SUMIFS(LG_REP,LG_E,"عمر المصري",LG_D,"&lt;="&amp;C33)-SUM(F7:F32),INST_CAP*N(D33),N(D33)-N(E33)-NET_FLOOR*N(D33)),0.25),MIN(IF(SUMPRODUCT(MAX((LG_E="عمر المصري")*(LG_INST&lt;&gt;"")*(LG_D&lt;=C33)*LG_IDX))=0,السنة!$E$6,INDEX(LG_INST,SUMPRODUCT(MAX((LG_E="عمر المصري")*(LG_INST&lt;&gt;"")*(LG_D&lt;=C33)*LG_IDX)))),السنة!$D$6+SUMIFS(LG_DEBT,LG_E,"عمر المصري",LG_D,"&lt;="&amp;C33)-SUMIFS(LG_REP,LG_E,"عمر المصري",LG_D,"&lt;="&amp;C33)-SUM(F7:F32))))),"")</f>
        <v/>
      </c>
      <c r="G33" s="56" t="str">
        <f aca="false">IF('ساعات عمر'!$M$369=1,IF(27=START_O,السنة!$C$6,N(I32))+N(D33)-N(E33)-N(F33)-N(K33),"")</f>
        <v/>
      </c>
      <c r="H33" s="55" t="str">
        <f aca="false">IF('ساعات عمر'!$M$369=1,N('ساعات عمر'!E381),"")</f>
        <v/>
      </c>
      <c r="I33" s="55" t="str">
        <f aca="false">IF('ساعات عمر'!$M$369=1,G33-H33,"")</f>
        <v/>
      </c>
      <c r="J33" s="57" t="str">
        <f aca="false">IF('ساعات عمر'!$M$369=1,MAX(0,السنة!$D$6+SUMIFS(LG_DEBT,LG_E,"عمر المصري",LG_D,"&lt;="&amp;C33)-SUMIFS(LG_REP,LG_E,"عمر المصري",LG_D,"&lt;="&amp;C33)-SUM(F7:F33)),"")</f>
        <v/>
      </c>
      <c r="K33" s="58" t="n">
        <f aca="false">0</f>
        <v>0</v>
      </c>
      <c r="L33" s="54" t="n">
        <f aca="false">IF(C33="","",MONTH(C33))</f>
        <v>7</v>
      </c>
    </row>
    <row r="34" customFormat="false" ht="15" hidden="false" customHeight="false" outlineLevel="0" collapsed="false">
      <c r="A34" s="54" t="n">
        <f aca="false">IF(28&lt;=NW,28,"")</f>
        <v>28</v>
      </c>
      <c r="B34" s="22" t="n">
        <f aca="false">IF(28&lt;=NW,WEEK_ONE+189,"")</f>
        <v>46207</v>
      </c>
      <c r="C34" s="22" t="n">
        <f aca="false">IF(28&lt;=NW,WEEK_ONE+195,"")</f>
        <v>46213</v>
      </c>
      <c r="D34" s="55" t="str">
        <f aca="false">IF('ساعات عمر'!$M$383=1,N('ساعات عمر'!H394),"")</f>
        <v/>
      </c>
      <c r="E34" s="55" t="str">
        <f aca="false">IF('ساعات عمر'!$M$383=1,SUMIFS(ADV_AMT,ADV_E,"عمر المصري",ADV_W,28),"")</f>
        <v/>
      </c>
      <c r="F34" s="55" t="str">
        <f aca="false">IF('ساعات عمر'!$M$383=1,IF(N(D34)=0,0,MAX(0,IF(INST_MODE="تخفيض تلقائي",FLOOR(MIN(IF(SUMPRODUCT(MAX((LG_E="عمر المصري")*(LG_INST&lt;&gt;"")*(LG_D&lt;=C34)*LG_IDX))=0,السنة!$E$6,INDEX(LG_INST,SUMPRODUCT(MAX((LG_E="عمر المصري")*(LG_INST&lt;&gt;"")*(LG_D&lt;=C34)*LG_IDX)))),السنة!$D$6+SUMIFS(LG_DEBT,LG_E,"عمر المصري",LG_D,"&lt;="&amp;C34)-SUMIFS(LG_REP,LG_E,"عمر المصري",LG_D,"&lt;="&amp;C34)-SUM(F7:F33),INST_CAP*N(D34),N(D34)-N(E34)-NET_FLOOR*N(D34)),0.25),MIN(IF(SUMPRODUCT(MAX((LG_E="عمر المصري")*(LG_INST&lt;&gt;"")*(LG_D&lt;=C34)*LG_IDX))=0,السنة!$E$6,INDEX(LG_INST,SUMPRODUCT(MAX((LG_E="عمر المصري")*(LG_INST&lt;&gt;"")*(LG_D&lt;=C34)*LG_IDX)))),السنة!$D$6+SUMIFS(LG_DEBT,LG_E,"عمر المصري",LG_D,"&lt;="&amp;C34)-SUMIFS(LG_REP,LG_E,"عمر المصري",LG_D,"&lt;="&amp;C34)-SUM(F7:F33))))),"")</f>
        <v/>
      </c>
      <c r="G34" s="56" t="str">
        <f aca="false">IF('ساعات عمر'!$M$383=1,IF(28=START_O,السنة!$C$6,N(I33))+N(D34)-N(E34)-N(F34)-N(K34),"")</f>
        <v/>
      </c>
      <c r="H34" s="55" t="str">
        <f aca="false">IF('ساعات عمر'!$M$383=1,N('ساعات عمر'!E395),"")</f>
        <v/>
      </c>
      <c r="I34" s="55" t="str">
        <f aca="false">IF('ساعات عمر'!$M$383=1,G34-H34,"")</f>
        <v/>
      </c>
      <c r="J34" s="57" t="str">
        <f aca="false">IF('ساعات عمر'!$M$383=1,MAX(0,السنة!$D$6+SUMIFS(LG_DEBT,LG_E,"عمر المصري",LG_D,"&lt;="&amp;C34)-SUMIFS(LG_REP,LG_E,"عمر المصري",LG_D,"&lt;="&amp;C34)-SUM(F7:F34)),"")</f>
        <v/>
      </c>
      <c r="K34" s="58" t="n">
        <f aca="false">0</f>
        <v>0</v>
      </c>
      <c r="L34" s="54" t="n">
        <f aca="false">IF(C34="","",MONTH(C34))</f>
        <v>7</v>
      </c>
    </row>
    <row r="35" customFormat="false" ht="15" hidden="false" customHeight="false" outlineLevel="0" collapsed="false">
      <c r="A35" s="54" t="n">
        <f aca="false">IF(29&lt;=NW,29,"")</f>
        <v>29</v>
      </c>
      <c r="B35" s="22" t="n">
        <f aca="false">IF(29&lt;=NW,WEEK_ONE+196,"")</f>
        <v>46214</v>
      </c>
      <c r="C35" s="22" t="n">
        <f aca="false">IF(29&lt;=NW,WEEK_ONE+202,"")</f>
        <v>46220</v>
      </c>
      <c r="D35" s="55" t="str">
        <f aca="false">IF('ساعات عمر'!$M$397=1,N('ساعات عمر'!H408),"")</f>
        <v/>
      </c>
      <c r="E35" s="55" t="str">
        <f aca="false">IF('ساعات عمر'!$M$397=1,SUMIFS(ADV_AMT,ADV_E,"عمر المصري",ADV_W,29),"")</f>
        <v/>
      </c>
      <c r="F35" s="55" t="str">
        <f aca="false">IF('ساعات عمر'!$M$397=1,IF(N(D35)=0,0,MAX(0,IF(INST_MODE="تخفيض تلقائي",FLOOR(MIN(IF(SUMPRODUCT(MAX((LG_E="عمر المصري")*(LG_INST&lt;&gt;"")*(LG_D&lt;=C35)*LG_IDX))=0,السنة!$E$6,INDEX(LG_INST,SUMPRODUCT(MAX((LG_E="عمر المصري")*(LG_INST&lt;&gt;"")*(LG_D&lt;=C35)*LG_IDX)))),السنة!$D$6+SUMIFS(LG_DEBT,LG_E,"عمر المصري",LG_D,"&lt;="&amp;C35)-SUMIFS(LG_REP,LG_E,"عمر المصري",LG_D,"&lt;="&amp;C35)-SUM(F7:F34),INST_CAP*N(D35),N(D35)-N(E35)-NET_FLOOR*N(D35)),0.25),MIN(IF(SUMPRODUCT(MAX((LG_E="عمر المصري")*(LG_INST&lt;&gt;"")*(LG_D&lt;=C35)*LG_IDX))=0,السنة!$E$6,INDEX(LG_INST,SUMPRODUCT(MAX((LG_E="عمر المصري")*(LG_INST&lt;&gt;"")*(LG_D&lt;=C35)*LG_IDX)))),السنة!$D$6+SUMIFS(LG_DEBT,LG_E,"عمر المصري",LG_D,"&lt;="&amp;C35)-SUMIFS(LG_REP,LG_E,"عمر المصري",LG_D,"&lt;="&amp;C35)-SUM(F7:F34))))),"")</f>
        <v/>
      </c>
      <c r="G35" s="56" t="str">
        <f aca="false">IF('ساعات عمر'!$M$397=1,IF(29=START_O,السنة!$C$6,N(I34))+N(D35)-N(E35)-N(F35)-N(K35),"")</f>
        <v/>
      </c>
      <c r="H35" s="55" t="str">
        <f aca="false">IF('ساعات عمر'!$M$397=1,N('ساعات عمر'!E409),"")</f>
        <v/>
      </c>
      <c r="I35" s="55" t="str">
        <f aca="false">IF('ساعات عمر'!$M$397=1,G35-H35,"")</f>
        <v/>
      </c>
      <c r="J35" s="57" t="str">
        <f aca="false">IF('ساعات عمر'!$M$397=1,MAX(0,السنة!$D$6+SUMIFS(LG_DEBT,LG_E,"عمر المصري",LG_D,"&lt;="&amp;C35)-SUMIFS(LG_REP,LG_E,"عمر المصري",LG_D,"&lt;="&amp;C35)-SUM(F7:F35)),"")</f>
        <v/>
      </c>
      <c r="K35" s="58" t="n">
        <f aca="false">0</f>
        <v>0</v>
      </c>
      <c r="L35" s="54" t="n">
        <f aca="false">IF(C35="","",MONTH(C35))</f>
        <v>7</v>
      </c>
    </row>
    <row r="36" customFormat="false" ht="15" hidden="false" customHeight="false" outlineLevel="0" collapsed="false">
      <c r="A36" s="54" t="n">
        <f aca="false">IF(30&lt;=NW,30,"")</f>
        <v>30</v>
      </c>
      <c r="B36" s="22" t="n">
        <f aca="false">IF(30&lt;=NW,WEEK_ONE+203,"")</f>
        <v>46221</v>
      </c>
      <c r="C36" s="22" t="n">
        <f aca="false">IF(30&lt;=NW,WEEK_ONE+209,"")</f>
        <v>46227</v>
      </c>
      <c r="D36" s="55" t="str">
        <f aca="false">IF('ساعات عمر'!$M$411=1,N('ساعات عمر'!H422),"")</f>
        <v/>
      </c>
      <c r="E36" s="55" t="str">
        <f aca="false">IF('ساعات عمر'!$M$411=1,SUMIFS(ADV_AMT,ADV_E,"عمر المصري",ADV_W,30),"")</f>
        <v/>
      </c>
      <c r="F36" s="55" t="str">
        <f aca="false">IF('ساعات عمر'!$M$411=1,IF(N(D36)=0,0,MAX(0,IF(INST_MODE="تخفيض تلقائي",FLOOR(MIN(IF(SUMPRODUCT(MAX((LG_E="عمر المصري")*(LG_INST&lt;&gt;"")*(LG_D&lt;=C36)*LG_IDX))=0,السنة!$E$6,INDEX(LG_INST,SUMPRODUCT(MAX((LG_E="عمر المصري")*(LG_INST&lt;&gt;"")*(LG_D&lt;=C36)*LG_IDX)))),السنة!$D$6+SUMIFS(LG_DEBT,LG_E,"عمر المصري",LG_D,"&lt;="&amp;C36)-SUMIFS(LG_REP,LG_E,"عمر المصري",LG_D,"&lt;="&amp;C36)-SUM(F7:F35),INST_CAP*N(D36),N(D36)-N(E36)-NET_FLOOR*N(D36)),0.25),MIN(IF(SUMPRODUCT(MAX((LG_E="عمر المصري")*(LG_INST&lt;&gt;"")*(LG_D&lt;=C36)*LG_IDX))=0,السنة!$E$6,INDEX(LG_INST,SUMPRODUCT(MAX((LG_E="عمر المصري")*(LG_INST&lt;&gt;"")*(LG_D&lt;=C36)*LG_IDX)))),السنة!$D$6+SUMIFS(LG_DEBT,LG_E,"عمر المصري",LG_D,"&lt;="&amp;C36)-SUMIFS(LG_REP,LG_E,"عمر المصري",LG_D,"&lt;="&amp;C36)-SUM(F7:F35))))),"")</f>
        <v/>
      </c>
      <c r="G36" s="56" t="str">
        <f aca="false">IF('ساعات عمر'!$M$411=1,IF(30=START_O,السنة!$C$6,N(I35))+N(D36)-N(E36)-N(F36)-N(K36),"")</f>
        <v/>
      </c>
      <c r="H36" s="55" t="str">
        <f aca="false">IF('ساعات عمر'!$M$411=1,N('ساعات عمر'!E423),"")</f>
        <v/>
      </c>
      <c r="I36" s="55" t="str">
        <f aca="false">IF('ساعات عمر'!$M$411=1,G36-H36,"")</f>
        <v/>
      </c>
      <c r="J36" s="57" t="str">
        <f aca="false">IF('ساعات عمر'!$M$411=1,MAX(0,السنة!$D$6+SUMIFS(LG_DEBT,LG_E,"عمر المصري",LG_D,"&lt;="&amp;C36)-SUMIFS(LG_REP,LG_E,"عمر المصري",LG_D,"&lt;="&amp;C36)-SUM(F7:F36)),"")</f>
        <v/>
      </c>
      <c r="K36" s="58" t="n">
        <f aca="false">0</f>
        <v>0</v>
      </c>
      <c r="L36" s="54" t="n">
        <f aca="false">IF(C36="","",MONTH(C36))</f>
        <v>7</v>
      </c>
    </row>
    <row r="37" customFormat="false" ht="15" hidden="false" customHeight="false" outlineLevel="0" collapsed="false">
      <c r="A37" s="54" t="n">
        <f aca="false">IF(31&lt;=NW,31,"")</f>
        <v>31</v>
      </c>
      <c r="B37" s="22" t="n">
        <f aca="false">IF(31&lt;=NW,WEEK_ONE+210,"")</f>
        <v>46228</v>
      </c>
      <c r="C37" s="22" t="n">
        <f aca="false">IF(31&lt;=NW,WEEK_ONE+216,"")</f>
        <v>46234</v>
      </c>
      <c r="D37" s="55" t="str">
        <f aca="false">IF('ساعات عمر'!$M$425=1,N('ساعات عمر'!H436),"")</f>
        <v/>
      </c>
      <c r="E37" s="55" t="str">
        <f aca="false">IF('ساعات عمر'!$M$425=1,SUMIFS(ADV_AMT,ADV_E,"عمر المصري",ADV_W,31),"")</f>
        <v/>
      </c>
      <c r="F37" s="55" t="str">
        <f aca="false">IF('ساعات عمر'!$M$425=1,IF(N(D37)=0,0,MAX(0,IF(INST_MODE="تخفيض تلقائي",FLOOR(MIN(IF(SUMPRODUCT(MAX((LG_E="عمر المصري")*(LG_INST&lt;&gt;"")*(LG_D&lt;=C37)*LG_IDX))=0,السنة!$E$6,INDEX(LG_INST,SUMPRODUCT(MAX((LG_E="عمر المصري")*(LG_INST&lt;&gt;"")*(LG_D&lt;=C37)*LG_IDX)))),السنة!$D$6+SUMIFS(LG_DEBT,LG_E,"عمر المصري",LG_D,"&lt;="&amp;C37)-SUMIFS(LG_REP,LG_E,"عمر المصري",LG_D,"&lt;="&amp;C37)-SUM(F7:F36),INST_CAP*N(D37),N(D37)-N(E37)-NET_FLOOR*N(D37)),0.25),MIN(IF(SUMPRODUCT(MAX((LG_E="عمر المصري")*(LG_INST&lt;&gt;"")*(LG_D&lt;=C37)*LG_IDX))=0,السنة!$E$6,INDEX(LG_INST,SUMPRODUCT(MAX((LG_E="عمر المصري")*(LG_INST&lt;&gt;"")*(LG_D&lt;=C37)*LG_IDX)))),السنة!$D$6+SUMIFS(LG_DEBT,LG_E,"عمر المصري",LG_D,"&lt;="&amp;C37)-SUMIFS(LG_REP,LG_E,"عمر المصري",LG_D,"&lt;="&amp;C37)-SUM(F7:F36))))),"")</f>
        <v/>
      </c>
      <c r="G37" s="56" t="str">
        <f aca="false">IF('ساعات عمر'!$M$425=1,IF(31=START_O,السنة!$C$6,N(I36))+N(D37)-N(E37)-N(F37)-N(K37),"")</f>
        <v/>
      </c>
      <c r="H37" s="55" t="str">
        <f aca="false">IF('ساعات عمر'!$M$425=1,N('ساعات عمر'!E437),"")</f>
        <v/>
      </c>
      <c r="I37" s="55" t="str">
        <f aca="false">IF('ساعات عمر'!$M$425=1,G37-H37,"")</f>
        <v/>
      </c>
      <c r="J37" s="57" t="str">
        <f aca="false">IF('ساعات عمر'!$M$425=1,MAX(0,السنة!$D$6+SUMIFS(LG_DEBT,LG_E,"عمر المصري",LG_D,"&lt;="&amp;C37)-SUMIFS(LG_REP,LG_E,"عمر المصري",LG_D,"&lt;="&amp;C37)-SUM(F7:F37)),"")</f>
        <v/>
      </c>
      <c r="K37" s="58" t="n">
        <f aca="false">0</f>
        <v>0</v>
      </c>
      <c r="L37" s="54" t="n">
        <f aca="false">IF(C37="","",MONTH(C37))</f>
        <v>7</v>
      </c>
    </row>
    <row r="38" customFormat="false" ht="15" hidden="false" customHeight="false" outlineLevel="0" collapsed="false">
      <c r="A38" s="54" t="n">
        <f aca="false">IF(32&lt;=NW,32,"")</f>
        <v>32</v>
      </c>
      <c r="B38" s="22" t="n">
        <f aca="false">IF(32&lt;=NW,WEEK_ONE+217,"")</f>
        <v>46235</v>
      </c>
      <c r="C38" s="22" t="n">
        <f aca="false">IF(32&lt;=NW,WEEK_ONE+223,"")</f>
        <v>46241</v>
      </c>
      <c r="D38" s="55" t="str">
        <f aca="false">IF('ساعات عمر'!$M$439=1,N('ساعات عمر'!H450),"")</f>
        <v/>
      </c>
      <c r="E38" s="55" t="str">
        <f aca="false">IF('ساعات عمر'!$M$439=1,SUMIFS(ADV_AMT,ADV_E,"عمر المصري",ADV_W,32),"")</f>
        <v/>
      </c>
      <c r="F38" s="55" t="str">
        <f aca="false">IF('ساعات عمر'!$M$439=1,IF(N(D38)=0,0,MAX(0,IF(INST_MODE="تخفيض تلقائي",FLOOR(MIN(IF(SUMPRODUCT(MAX((LG_E="عمر المصري")*(LG_INST&lt;&gt;"")*(LG_D&lt;=C38)*LG_IDX))=0,السنة!$E$6,INDEX(LG_INST,SUMPRODUCT(MAX((LG_E="عمر المصري")*(LG_INST&lt;&gt;"")*(LG_D&lt;=C38)*LG_IDX)))),السنة!$D$6+SUMIFS(LG_DEBT,LG_E,"عمر المصري",LG_D,"&lt;="&amp;C38)-SUMIFS(LG_REP,LG_E,"عمر المصري",LG_D,"&lt;="&amp;C38)-SUM(F7:F37),INST_CAP*N(D38),N(D38)-N(E38)-NET_FLOOR*N(D38)),0.25),MIN(IF(SUMPRODUCT(MAX((LG_E="عمر المصري")*(LG_INST&lt;&gt;"")*(LG_D&lt;=C38)*LG_IDX))=0,السنة!$E$6,INDEX(LG_INST,SUMPRODUCT(MAX((LG_E="عمر المصري")*(LG_INST&lt;&gt;"")*(LG_D&lt;=C38)*LG_IDX)))),السنة!$D$6+SUMIFS(LG_DEBT,LG_E,"عمر المصري",LG_D,"&lt;="&amp;C38)-SUMIFS(LG_REP,LG_E,"عمر المصري",LG_D,"&lt;="&amp;C38)-SUM(F7:F37))))),"")</f>
        <v/>
      </c>
      <c r="G38" s="56" t="str">
        <f aca="false">IF('ساعات عمر'!$M$439=1,IF(32=START_O,السنة!$C$6,N(I37))+N(D38)-N(E38)-N(F38)-N(K38),"")</f>
        <v/>
      </c>
      <c r="H38" s="55" t="str">
        <f aca="false">IF('ساعات عمر'!$M$439=1,N('ساعات عمر'!E451),"")</f>
        <v/>
      </c>
      <c r="I38" s="55" t="str">
        <f aca="false">IF('ساعات عمر'!$M$439=1,G38-H38,"")</f>
        <v/>
      </c>
      <c r="J38" s="57" t="str">
        <f aca="false">IF('ساعات عمر'!$M$439=1,MAX(0,السنة!$D$6+SUMIFS(LG_DEBT,LG_E,"عمر المصري",LG_D,"&lt;="&amp;C38)-SUMIFS(LG_REP,LG_E,"عمر المصري",LG_D,"&lt;="&amp;C38)-SUM(F7:F38)),"")</f>
        <v/>
      </c>
      <c r="K38" s="58" t="n">
        <f aca="false">0</f>
        <v>0</v>
      </c>
      <c r="L38" s="54" t="n">
        <f aca="false">IF(C38="","",MONTH(C38))</f>
        <v>8</v>
      </c>
    </row>
    <row r="39" customFormat="false" ht="15" hidden="false" customHeight="false" outlineLevel="0" collapsed="false">
      <c r="A39" s="54" t="n">
        <f aca="false">IF(33&lt;=NW,33,"")</f>
        <v>33</v>
      </c>
      <c r="B39" s="22" t="n">
        <f aca="false">IF(33&lt;=NW,WEEK_ONE+224,"")</f>
        <v>46242</v>
      </c>
      <c r="C39" s="22" t="n">
        <f aca="false">IF(33&lt;=NW,WEEK_ONE+230,"")</f>
        <v>46248</v>
      </c>
      <c r="D39" s="55" t="str">
        <f aca="false">IF('ساعات عمر'!$M$453=1,N('ساعات عمر'!H464),"")</f>
        <v/>
      </c>
      <c r="E39" s="55" t="str">
        <f aca="false">IF('ساعات عمر'!$M$453=1,SUMIFS(ADV_AMT,ADV_E,"عمر المصري",ADV_W,33),"")</f>
        <v/>
      </c>
      <c r="F39" s="55" t="str">
        <f aca="false">IF('ساعات عمر'!$M$453=1,IF(N(D39)=0,0,MAX(0,IF(INST_MODE="تخفيض تلقائي",FLOOR(MIN(IF(SUMPRODUCT(MAX((LG_E="عمر المصري")*(LG_INST&lt;&gt;"")*(LG_D&lt;=C39)*LG_IDX))=0,السنة!$E$6,INDEX(LG_INST,SUMPRODUCT(MAX((LG_E="عمر المصري")*(LG_INST&lt;&gt;"")*(LG_D&lt;=C39)*LG_IDX)))),السنة!$D$6+SUMIFS(LG_DEBT,LG_E,"عمر المصري",LG_D,"&lt;="&amp;C39)-SUMIFS(LG_REP,LG_E,"عمر المصري",LG_D,"&lt;="&amp;C39)-SUM(F7:F38),INST_CAP*N(D39),N(D39)-N(E39)-NET_FLOOR*N(D39)),0.25),MIN(IF(SUMPRODUCT(MAX((LG_E="عمر المصري")*(LG_INST&lt;&gt;"")*(LG_D&lt;=C39)*LG_IDX))=0,السنة!$E$6,INDEX(LG_INST,SUMPRODUCT(MAX((LG_E="عمر المصري")*(LG_INST&lt;&gt;"")*(LG_D&lt;=C39)*LG_IDX)))),السنة!$D$6+SUMIFS(LG_DEBT,LG_E,"عمر المصري",LG_D,"&lt;="&amp;C39)-SUMIFS(LG_REP,LG_E,"عمر المصري",LG_D,"&lt;="&amp;C39)-SUM(F7:F38))))),"")</f>
        <v/>
      </c>
      <c r="G39" s="56" t="str">
        <f aca="false">IF('ساعات عمر'!$M$453=1,IF(33=START_O,السنة!$C$6,N(I38))+N(D39)-N(E39)-N(F39)-N(K39),"")</f>
        <v/>
      </c>
      <c r="H39" s="55" t="str">
        <f aca="false">IF('ساعات عمر'!$M$453=1,N('ساعات عمر'!E465),"")</f>
        <v/>
      </c>
      <c r="I39" s="55" t="str">
        <f aca="false">IF('ساعات عمر'!$M$453=1,G39-H39,"")</f>
        <v/>
      </c>
      <c r="J39" s="57" t="str">
        <f aca="false">IF('ساعات عمر'!$M$453=1,MAX(0,السنة!$D$6+SUMIFS(LG_DEBT,LG_E,"عمر المصري",LG_D,"&lt;="&amp;C39)-SUMIFS(LG_REP,LG_E,"عمر المصري",LG_D,"&lt;="&amp;C39)-SUM(F7:F39)),"")</f>
        <v/>
      </c>
      <c r="K39" s="58" t="n">
        <f aca="false">0</f>
        <v>0</v>
      </c>
      <c r="L39" s="54" t="n">
        <f aca="false">IF(C39="","",MONTH(C39))</f>
        <v>8</v>
      </c>
    </row>
    <row r="40" customFormat="false" ht="15" hidden="false" customHeight="false" outlineLevel="0" collapsed="false">
      <c r="A40" s="54" t="n">
        <f aca="false">IF(34&lt;=NW,34,"")</f>
        <v>34</v>
      </c>
      <c r="B40" s="22" t="n">
        <f aca="false">IF(34&lt;=NW,WEEK_ONE+231,"")</f>
        <v>46249</v>
      </c>
      <c r="C40" s="22" t="n">
        <f aca="false">IF(34&lt;=NW,WEEK_ONE+237,"")</f>
        <v>46255</v>
      </c>
      <c r="D40" s="55" t="str">
        <f aca="false">IF('ساعات عمر'!$M$467=1,N('ساعات عمر'!H478),"")</f>
        <v/>
      </c>
      <c r="E40" s="55" t="str">
        <f aca="false">IF('ساعات عمر'!$M$467=1,SUMIFS(ADV_AMT,ADV_E,"عمر المصري",ADV_W,34),"")</f>
        <v/>
      </c>
      <c r="F40" s="55" t="str">
        <f aca="false">IF('ساعات عمر'!$M$467=1,IF(N(D40)=0,0,MAX(0,IF(INST_MODE="تخفيض تلقائي",FLOOR(MIN(IF(SUMPRODUCT(MAX((LG_E="عمر المصري")*(LG_INST&lt;&gt;"")*(LG_D&lt;=C40)*LG_IDX))=0,السنة!$E$6,INDEX(LG_INST,SUMPRODUCT(MAX((LG_E="عمر المصري")*(LG_INST&lt;&gt;"")*(LG_D&lt;=C40)*LG_IDX)))),السنة!$D$6+SUMIFS(LG_DEBT,LG_E,"عمر المصري",LG_D,"&lt;="&amp;C40)-SUMIFS(LG_REP,LG_E,"عمر المصري",LG_D,"&lt;="&amp;C40)-SUM(F7:F39),INST_CAP*N(D40),N(D40)-N(E40)-NET_FLOOR*N(D40)),0.25),MIN(IF(SUMPRODUCT(MAX((LG_E="عمر المصري")*(LG_INST&lt;&gt;"")*(LG_D&lt;=C40)*LG_IDX))=0,السنة!$E$6,INDEX(LG_INST,SUMPRODUCT(MAX((LG_E="عمر المصري")*(LG_INST&lt;&gt;"")*(LG_D&lt;=C40)*LG_IDX)))),السنة!$D$6+SUMIFS(LG_DEBT,LG_E,"عمر المصري",LG_D,"&lt;="&amp;C40)-SUMIFS(LG_REP,LG_E,"عمر المصري",LG_D,"&lt;="&amp;C40)-SUM(F7:F39))))),"")</f>
        <v/>
      </c>
      <c r="G40" s="56" t="str">
        <f aca="false">IF('ساعات عمر'!$M$467=1,IF(34=START_O,السنة!$C$6,N(I39))+N(D40)-N(E40)-N(F40)-N(K40),"")</f>
        <v/>
      </c>
      <c r="H40" s="55" t="str">
        <f aca="false">IF('ساعات عمر'!$M$467=1,N('ساعات عمر'!E479),"")</f>
        <v/>
      </c>
      <c r="I40" s="55" t="str">
        <f aca="false">IF('ساعات عمر'!$M$467=1,G40-H40,"")</f>
        <v/>
      </c>
      <c r="J40" s="57" t="str">
        <f aca="false">IF('ساعات عمر'!$M$467=1,MAX(0,السنة!$D$6+SUMIFS(LG_DEBT,LG_E,"عمر المصري",LG_D,"&lt;="&amp;C40)-SUMIFS(LG_REP,LG_E,"عمر المصري",LG_D,"&lt;="&amp;C40)-SUM(F7:F40)),"")</f>
        <v/>
      </c>
      <c r="K40" s="58" t="n">
        <f aca="false">0</f>
        <v>0</v>
      </c>
      <c r="L40" s="54" t="n">
        <f aca="false">IF(C40="","",MONTH(C40))</f>
        <v>8</v>
      </c>
    </row>
    <row r="41" customFormat="false" ht="15" hidden="false" customHeight="false" outlineLevel="0" collapsed="false">
      <c r="A41" s="54" t="n">
        <f aca="false">IF(35&lt;=NW,35,"")</f>
        <v>35</v>
      </c>
      <c r="B41" s="22" t="n">
        <f aca="false">IF(35&lt;=NW,WEEK_ONE+238,"")</f>
        <v>46256</v>
      </c>
      <c r="C41" s="22" t="n">
        <f aca="false">IF(35&lt;=NW,WEEK_ONE+244,"")</f>
        <v>46262</v>
      </c>
      <c r="D41" s="55" t="str">
        <f aca="false">IF('ساعات عمر'!$M$481=1,N('ساعات عمر'!H492),"")</f>
        <v/>
      </c>
      <c r="E41" s="55" t="str">
        <f aca="false">IF('ساعات عمر'!$M$481=1,SUMIFS(ADV_AMT,ADV_E,"عمر المصري",ADV_W,35),"")</f>
        <v/>
      </c>
      <c r="F41" s="55" t="str">
        <f aca="false">IF('ساعات عمر'!$M$481=1,IF(N(D41)=0,0,MAX(0,IF(INST_MODE="تخفيض تلقائي",FLOOR(MIN(IF(SUMPRODUCT(MAX((LG_E="عمر المصري")*(LG_INST&lt;&gt;"")*(LG_D&lt;=C41)*LG_IDX))=0,السنة!$E$6,INDEX(LG_INST,SUMPRODUCT(MAX((LG_E="عمر المصري")*(LG_INST&lt;&gt;"")*(LG_D&lt;=C41)*LG_IDX)))),السنة!$D$6+SUMIFS(LG_DEBT,LG_E,"عمر المصري",LG_D,"&lt;="&amp;C41)-SUMIFS(LG_REP,LG_E,"عمر المصري",LG_D,"&lt;="&amp;C41)-SUM(F7:F40),INST_CAP*N(D41),N(D41)-N(E41)-NET_FLOOR*N(D41)),0.25),MIN(IF(SUMPRODUCT(MAX((LG_E="عمر المصري")*(LG_INST&lt;&gt;"")*(LG_D&lt;=C41)*LG_IDX))=0,السنة!$E$6,INDEX(LG_INST,SUMPRODUCT(MAX((LG_E="عمر المصري")*(LG_INST&lt;&gt;"")*(LG_D&lt;=C41)*LG_IDX)))),السنة!$D$6+SUMIFS(LG_DEBT,LG_E,"عمر المصري",LG_D,"&lt;="&amp;C41)-SUMIFS(LG_REP,LG_E,"عمر المصري",LG_D,"&lt;="&amp;C41)-SUM(F7:F40))))),"")</f>
        <v/>
      </c>
      <c r="G41" s="56" t="str">
        <f aca="false">IF('ساعات عمر'!$M$481=1,IF(35=START_O,السنة!$C$6,N(I40))+N(D41)-N(E41)-N(F41)-N(K41),"")</f>
        <v/>
      </c>
      <c r="H41" s="55" t="str">
        <f aca="false">IF('ساعات عمر'!$M$481=1,N('ساعات عمر'!E493),"")</f>
        <v/>
      </c>
      <c r="I41" s="55" t="str">
        <f aca="false">IF('ساعات عمر'!$M$481=1,G41-H41,"")</f>
        <v/>
      </c>
      <c r="J41" s="57" t="str">
        <f aca="false">IF('ساعات عمر'!$M$481=1,MAX(0,السنة!$D$6+SUMIFS(LG_DEBT,LG_E,"عمر المصري",LG_D,"&lt;="&amp;C41)-SUMIFS(LG_REP,LG_E,"عمر المصري",LG_D,"&lt;="&amp;C41)-SUM(F7:F41)),"")</f>
        <v/>
      </c>
      <c r="K41" s="58" t="n">
        <f aca="false">0</f>
        <v>0</v>
      </c>
      <c r="L41" s="54" t="n">
        <f aca="false">IF(C41="","",MONTH(C41))</f>
        <v>8</v>
      </c>
    </row>
    <row r="42" customFormat="false" ht="15" hidden="false" customHeight="false" outlineLevel="0" collapsed="false">
      <c r="A42" s="54" t="n">
        <f aca="false">IF(36&lt;=NW,36,"")</f>
        <v>36</v>
      </c>
      <c r="B42" s="22" t="n">
        <f aca="false">IF(36&lt;=NW,WEEK_ONE+245,"")</f>
        <v>46263</v>
      </c>
      <c r="C42" s="22" t="n">
        <f aca="false">IF(36&lt;=NW,WEEK_ONE+251,"")</f>
        <v>46269</v>
      </c>
      <c r="D42" s="55" t="str">
        <f aca="false">IF('ساعات عمر'!$M$495=1,N('ساعات عمر'!H506),"")</f>
        <v/>
      </c>
      <c r="E42" s="55" t="str">
        <f aca="false">IF('ساعات عمر'!$M$495=1,SUMIFS(ADV_AMT,ADV_E,"عمر المصري",ADV_W,36),"")</f>
        <v/>
      </c>
      <c r="F42" s="55" t="str">
        <f aca="false">IF('ساعات عمر'!$M$495=1,IF(N(D42)=0,0,MAX(0,IF(INST_MODE="تخفيض تلقائي",FLOOR(MIN(IF(SUMPRODUCT(MAX((LG_E="عمر المصري")*(LG_INST&lt;&gt;"")*(LG_D&lt;=C42)*LG_IDX))=0,السنة!$E$6,INDEX(LG_INST,SUMPRODUCT(MAX((LG_E="عمر المصري")*(LG_INST&lt;&gt;"")*(LG_D&lt;=C42)*LG_IDX)))),السنة!$D$6+SUMIFS(LG_DEBT,LG_E,"عمر المصري",LG_D,"&lt;="&amp;C42)-SUMIFS(LG_REP,LG_E,"عمر المصري",LG_D,"&lt;="&amp;C42)-SUM(F7:F41),INST_CAP*N(D42),N(D42)-N(E42)-NET_FLOOR*N(D42)),0.25),MIN(IF(SUMPRODUCT(MAX((LG_E="عمر المصري")*(LG_INST&lt;&gt;"")*(LG_D&lt;=C42)*LG_IDX))=0,السنة!$E$6,INDEX(LG_INST,SUMPRODUCT(MAX((LG_E="عمر المصري")*(LG_INST&lt;&gt;"")*(LG_D&lt;=C42)*LG_IDX)))),السنة!$D$6+SUMIFS(LG_DEBT,LG_E,"عمر المصري",LG_D,"&lt;="&amp;C42)-SUMIFS(LG_REP,LG_E,"عمر المصري",LG_D,"&lt;="&amp;C42)-SUM(F7:F41))))),"")</f>
        <v/>
      </c>
      <c r="G42" s="56" t="str">
        <f aca="false">IF('ساعات عمر'!$M$495=1,IF(36=START_O,السنة!$C$6,N(I41))+N(D42)-N(E42)-N(F42)-N(K42),"")</f>
        <v/>
      </c>
      <c r="H42" s="55" t="str">
        <f aca="false">IF('ساعات عمر'!$M$495=1,N('ساعات عمر'!E507),"")</f>
        <v/>
      </c>
      <c r="I42" s="55" t="str">
        <f aca="false">IF('ساعات عمر'!$M$495=1,G42-H42,"")</f>
        <v/>
      </c>
      <c r="J42" s="57" t="str">
        <f aca="false">IF('ساعات عمر'!$M$495=1,MAX(0,السنة!$D$6+SUMIFS(LG_DEBT,LG_E,"عمر المصري",LG_D,"&lt;="&amp;C42)-SUMIFS(LG_REP,LG_E,"عمر المصري",LG_D,"&lt;="&amp;C42)-SUM(F7:F42)),"")</f>
        <v/>
      </c>
      <c r="K42" s="58" t="n">
        <f aca="false">0</f>
        <v>0</v>
      </c>
      <c r="L42" s="54" t="n">
        <f aca="false">IF(C42="","",MONTH(C42))</f>
        <v>9</v>
      </c>
    </row>
    <row r="43" customFormat="false" ht="15" hidden="false" customHeight="false" outlineLevel="0" collapsed="false">
      <c r="A43" s="54" t="n">
        <f aca="false">IF(37&lt;=NW,37,"")</f>
        <v>37</v>
      </c>
      <c r="B43" s="22" t="n">
        <f aca="false">IF(37&lt;=NW,WEEK_ONE+252,"")</f>
        <v>46270</v>
      </c>
      <c r="C43" s="22" t="n">
        <f aca="false">IF(37&lt;=NW,WEEK_ONE+258,"")</f>
        <v>46276</v>
      </c>
      <c r="D43" s="55" t="str">
        <f aca="false">IF('ساعات عمر'!$M$509=1,N('ساعات عمر'!H520),"")</f>
        <v/>
      </c>
      <c r="E43" s="55" t="str">
        <f aca="false">IF('ساعات عمر'!$M$509=1,SUMIFS(ADV_AMT,ADV_E,"عمر المصري",ADV_W,37),"")</f>
        <v/>
      </c>
      <c r="F43" s="55" t="str">
        <f aca="false">IF('ساعات عمر'!$M$509=1,IF(N(D43)=0,0,MAX(0,IF(INST_MODE="تخفيض تلقائي",FLOOR(MIN(IF(SUMPRODUCT(MAX((LG_E="عمر المصري")*(LG_INST&lt;&gt;"")*(LG_D&lt;=C43)*LG_IDX))=0,السنة!$E$6,INDEX(LG_INST,SUMPRODUCT(MAX((LG_E="عمر المصري")*(LG_INST&lt;&gt;"")*(LG_D&lt;=C43)*LG_IDX)))),السنة!$D$6+SUMIFS(LG_DEBT,LG_E,"عمر المصري",LG_D,"&lt;="&amp;C43)-SUMIFS(LG_REP,LG_E,"عمر المصري",LG_D,"&lt;="&amp;C43)-SUM(F7:F42),INST_CAP*N(D43),N(D43)-N(E43)-NET_FLOOR*N(D43)),0.25),MIN(IF(SUMPRODUCT(MAX((LG_E="عمر المصري")*(LG_INST&lt;&gt;"")*(LG_D&lt;=C43)*LG_IDX))=0,السنة!$E$6,INDEX(LG_INST,SUMPRODUCT(MAX((LG_E="عمر المصري")*(LG_INST&lt;&gt;"")*(LG_D&lt;=C43)*LG_IDX)))),السنة!$D$6+SUMIFS(LG_DEBT,LG_E,"عمر المصري",LG_D,"&lt;="&amp;C43)-SUMIFS(LG_REP,LG_E,"عمر المصري",LG_D,"&lt;="&amp;C43)-SUM(F7:F42))))),"")</f>
        <v/>
      </c>
      <c r="G43" s="56" t="str">
        <f aca="false">IF('ساعات عمر'!$M$509=1,IF(37=START_O,السنة!$C$6,N(I42))+N(D43)-N(E43)-N(F43)-N(K43),"")</f>
        <v/>
      </c>
      <c r="H43" s="55" t="str">
        <f aca="false">IF('ساعات عمر'!$M$509=1,N('ساعات عمر'!E521),"")</f>
        <v/>
      </c>
      <c r="I43" s="55" t="str">
        <f aca="false">IF('ساعات عمر'!$M$509=1,G43-H43,"")</f>
        <v/>
      </c>
      <c r="J43" s="57" t="str">
        <f aca="false">IF('ساعات عمر'!$M$509=1,MAX(0,السنة!$D$6+SUMIFS(LG_DEBT,LG_E,"عمر المصري",LG_D,"&lt;="&amp;C43)-SUMIFS(LG_REP,LG_E,"عمر المصري",LG_D,"&lt;="&amp;C43)-SUM(F7:F43)),"")</f>
        <v/>
      </c>
      <c r="K43" s="58" t="n">
        <f aca="false">0</f>
        <v>0</v>
      </c>
      <c r="L43" s="54" t="n">
        <f aca="false">IF(C43="","",MONTH(C43))</f>
        <v>9</v>
      </c>
    </row>
    <row r="44" customFormat="false" ht="15" hidden="false" customHeight="false" outlineLevel="0" collapsed="false">
      <c r="A44" s="54" t="n">
        <f aca="false">IF(38&lt;=NW,38,"")</f>
        <v>38</v>
      </c>
      <c r="B44" s="22" t="n">
        <f aca="false">IF(38&lt;=NW,WEEK_ONE+259,"")</f>
        <v>46277</v>
      </c>
      <c r="C44" s="22" t="n">
        <f aca="false">IF(38&lt;=NW,WEEK_ONE+265,"")</f>
        <v>46283</v>
      </c>
      <c r="D44" s="55" t="str">
        <f aca="false">IF('ساعات عمر'!$M$523=1,N('ساعات عمر'!H534),"")</f>
        <v/>
      </c>
      <c r="E44" s="55" t="str">
        <f aca="false">IF('ساعات عمر'!$M$523=1,SUMIFS(ADV_AMT,ADV_E,"عمر المصري",ADV_W,38),"")</f>
        <v/>
      </c>
      <c r="F44" s="55" t="str">
        <f aca="false">IF('ساعات عمر'!$M$523=1,IF(N(D44)=0,0,MAX(0,IF(INST_MODE="تخفيض تلقائي",FLOOR(MIN(IF(SUMPRODUCT(MAX((LG_E="عمر المصري")*(LG_INST&lt;&gt;"")*(LG_D&lt;=C44)*LG_IDX))=0,السنة!$E$6,INDEX(LG_INST,SUMPRODUCT(MAX((LG_E="عمر المصري")*(LG_INST&lt;&gt;"")*(LG_D&lt;=C44)*LG_IDX)))),السنة!$D$6+SUMIFS(LG_DEBT,LG_E,"عمر المصري",LG_D,"&lt;="&amp;C44)-SUMIFS(LG_REP,LG_E,"عمر المصري",LG_D,"&lt;="&amp;C44)-SUM(F7:F43),INST_CAP*N(D44),N(D44)-N(E44)-NET_FLOOR*N(D44)),0.25),MIN(IF(SUMPRODUCT(MAX((LG_E="عمر المصري")*(LG_INST&lt;&gt;"")*(LG_D&lt;=C44)*LG_IDX))=0,السنة!$E$6,INDEX(LG_INST,SUMPRODUCT(MAX((LG_E="عمر المصري")*(LG_INST&lt;&gt;"")*(LG_D&lt;=C44)*LG_IDX)))),السنة!$D$6+SUMIFS(LG_DEBT,LG_E,"عمر المصري",LG_D,"&lt;="&amp;C44)-SUMIFS(LG_REP,LG_E,"عمر المصري",LG_D,"&lt;="&amp;C44)-SUM(F7:F43))))),"")</f>
        <v/>
      </c>
      <c r="G44" s="56" t="str">
        <f aca="false">IF('ساعات عمر'!$M$523=1,IF(38=START_O,السنة!$C$6,N(I43))+N(D44)-N(E44)-N(F44)-N(K44),"")</f>
        <v/>
      </c>
      <c r="H44" s="55" t="str">
        <f aca="false">IF('ساعات عمر'!$M$523=1,N('ساعات عمر'!E535),"")</f>
        <v/>
      </c>
      <c r="I44" s="55" t="str">
        <f aca="false">IF('ساعات عمر'!$M$523=1,G44-H44,"")</f>
        <v/>
      </c>
      <c r="J44" s="57" t="str">
        <f aca="false">IF('ساعات عمر'!$M$523=1,MAX(0,السنة!$D$6+SUMIFS(LG_DEBT,LG_E,"عمر المصري",LG_D,"&lt;="&amp;C44)-SUMIFS(LG_REP,LG_E,"عمر المصري",LG_D,"&lt;="&amp;C44)-SUM(F7:F44)),"")</f>
        <v/>
      </c>
      <c r="K44" s="58" t="n">
        <f aca="false">0</f>
        <v>0</v>
      </c>
      <c r="L44" s="54" t="n">
        <f aca="false">IF(C44="","",MONTH(C44))</f>
        <v>9</v>
      </c>
    </row>
    <row r="45" customFormat="false" ht="15" hidden="false" customHeight="false" outlineLevel="0" collapsed="false">
      <c r="A45" s="54" t="n">
        <f aca="false">IF(39&lt;=NW,39,"")</f>
        <v>39</v>
      </c>
      <c r="B45" s="22" t="n">
        <f aca="false">IF(39&lt;=NW,WEEK_ONE+266,"")</f>
        <v>46284</v>
      </c>
      <c r="C45" s="22" t="n">
        <f aca="false">IF(39&lt;=NW,WEEK_ONE+272,"")</f>
        <v>46290</v>
      </c>
      <c r="D45" s="55" t="str">
        <f aca="false">IF('ساعات عمر'!$M$537=1,N('ساعات عمر'!H548),"")</f>
        <v/>
      </c>
      <c r="E45" s="55" t="str">
        <f aca="false">IF('ساعات عمر'!$M$537=1,SUMIFS(ADV_AMT,ADV_E,"عمر المصري",ADV_W,39),"")</f>
        <v/>
      </c>
      <c r="F45" s="55" t="str">
        <f aca="false">IF('ساعات عمر'!$M$537=1,IF(N(D45)=0,0,MAX(0,IF(INST_MODE="تخفيض تلقائي",FLOOR(MIN(IF(SUMPRODUCT(MAX((LG_E="عمر المصري")*(LG_INST&lt;&gt;"")*(LG_D&lt;=C45)*LG_IDX))=0,السنة!$E$6,INDEX(LG_INST,SUMPRODUCT(MAX((LG_E="عمر المصري")*(LG_INST&lt;&gt;"")*(LG_D&lt;=C45)*LG_IDX)))),السنة!$D$6+SUMIFS(LG_DEBT,LG_E,"عمر المصري",LG_D,"&lt;="&amp;C45)-SUMIFS(LG_REP,LG_E,"عمر المصري",LG_D,"&lt;="&amp;C45)-SUM(F7:F44),INST_CAP*N(D45),N(D45)-N(E45)-NET_FLOOR*N(D45)),0.25),MIN(IF(SUMPRODUCT(MAX((LG_E="عمر المصري")*(LG_INST&lt;&gt;"")*(LG_D&lt;=C45)*LG_IDX))=0,السنة!$E$6,INDEX(LG_INST,SUMPRODUCT(MAX((LG_E="عمر المصري")*(LG_INST&lt;&gt;"")*(LG_D&lt;=C45)*LG_IDX)))),السنة!$D$6+SUMIFS(LG_DEBT,LG_E,"عمر المصري",LG_D,"&lt;="&amp;C45)-SUMIFS(LG_REP,LG_E,"عمر المصري",LG_D,"&lt;="&amp;C45)-SUM(F7:F44))))),"")</f>
        <v/>
      </c>
      <c r="G45" s="56" t="str">
        <f aca="false">IF('ساعات عمر'!$M$537=1,IF(39=START_O,السنة!$C$6,N(I44))+N(D45)-N(E45)-N(F45)-N(K45),"")</f>
        <v/>
      </c>
      <c r="H45" s="55" t="str">
        <f aca="false">IF('ساعات عمر'!$M$537=1,N('ساعات عمر'!E549),"")</f>
        <v/>
      </c>
      <c r="I45" s="55" t="str">
        <f aca="false">IF('ساعات عمر'!$M$537=1,G45-H45,"")</f>
        <v/>
      </c>
      <c r="J45" s="57" t="str">
        <f aca="false">IF('ساعات عمر'!$M$537=1,MAX(0,السنة!$D$6+SUMIFS(LG_DEBT,LG_E,"عمر المصري",LG_D,"&lt;="&amp;C45)-SUMIFS(LG_REP,LG_E,"عمر المصري",LG_D,"&lt;="&amp;C45)-SUM(F7:F45)),"")</f>
        <v/>
      </c>
      <c r="K45" s="58" t="n">
        <f aca="false">0</f>
        <v>0</v>
      </c>
      <c r="L45" s="54" t="n">
        <f aca="false">IF(C45="","",MONTH(C45))</f>
        <v>9</v>
      </c>
    </row>
    <row r="46" customFormat="false" ht="15" hidden="false" customHeight="false" outlineLevel="0" collapsed="false">
      <c r="A46" s="54" t="n">
        <f aca="false">IF(40&lt;=NW,40,"")</f>
        <v>40</v>
      </c>
      <c r="B46" s="22" t="n">
        <f aca="false">IF(40&lt;=NW,WEEK_ONE+273,"")</f>
        <v>46291</v>
      </c>
      <c r="C46" s="22" t="n">
        <f aca="false">IF(40&lt;=NW,WEEK_ONE+279,"")</f>
        <v>46297</v>
      </c>
      <c r="D46" s="55" t="n">
        <f aca="false">IF('ساعات عمر'!$M$551=1,N('ساعات عمر'!H562),"")</f>
        <v>0</v>
      </c>
      <c r="E46" s="55" t="n">
        <f aca="false">IF('ساعات عمر'!$M$551=1,SUMIFS(ADV_AMT,ADV_E,"عمر المصري",ADV_W,40),"")</f>
        <v>0</v>
      </c>
      <c r="F46" s="55" t="n">
        <f aca="false">IF('ساعات عمر'!$M$551=1,IF(N(D46)=0,0,MAX(0,IF(INST_MODE="تخفيض تلقائي",FLOOR(MIN(IF(SUMPRODUCT(MAX((LG_E="عمر المصري")*(LG_INST&lt;&gt;"")*(LG_D&lt;=C46)*LG_IDX))=0,السنة!$E$6,INDEX(LG_INST,SUMPRODUCT(MAX((LG_E="عمر المصري")*(LG_INST&lt;&gt;"")*(LG_D&lt;=C46)*LG_IDX)))),السنة!$D$6+SUMIFS(LG_DEBT,LG_E,"عمر المصري",LG_D,"&lt;="&amp;C46)-SUMIFS(LG_REP,LG_E,"عمر المصري",LG_D,"&lt;="&amp;C46)-SUM(F7:F45),INST_CAP*N(D46),N(D46)-N(E46)-NET_FLOOR*N(D46)),0.25),MIN(IF(SUMPRODUCT(MAX((LG_E="عمر المصري")*(LG_INST&lt;&gt;"")*(LG_D&lt;=C46)*LG_IDX))=0,السنة!$E$6,INDEX(LG_INST,SUMPRODUCT(MAX((LG_E="عمر المصري")*(LG_INST&lt;&gt;"")*(LG_D&lt;=C46)*LG_IDX)))),السنة!$D$6+SUMIFS(LG_DEBT,LG_E,"عمر المصري",LG_D,"&lt;="&amp;C46)-SUMIFS(LG_REP,LG_E,"عمر المصري",LG_D,"&lt;="&amp;C46)-SUM(F7:F45))))),"")</f>
        <v>0</v>
      </c>
      <c r="G46" s="56" t="n">
        <f aca="false">IF('ساعات عمر'!$M$551=1,IF(40=START_O,السنة!$C$6,N(I45))+N(D46)-N(E46)-N(F46)-N(K46),"")</f>
        <v>0</v>
      </c>
      <c r="H46" s="55" t="n">
        <f aca="false">IF('ساعات عمر'!$M$551=1,N('ساعات عمر'!E563),"")</f>
        <v>0</v>
      </c>
      <c r="I46" s="55" t="n">
        <f aca="false">IF('ساعات عمر'!$M$551=1,G46-H46,"")</f>
        <v>0</v>
      </c>
      <c r="J46" s="57" t="n">
        <f aca="false">IF('ساعات عمر'!$M$551=1,MAX(0,السنة!$D$6+SUMIFS(LG_DEBT,LG_E,"عمر المصري",LG_D,"&lt;="&amp;C46)-SUMIFS(LG_REP,LG_E,"عمر المصري",LG_D,"&lt;="&amp;C46)-SUM(F7:F46)),"")</f>
        <v>0</v>
      </c>
      <c r="K46" s="58" t="n">
        <f aca="false">0</f>
        <v>0</v>
      </c>
      <c r="L46" s="54" t="n">
        <f aca="false">IF(C46="","",MONTH(C46))</f>
        <v>10</v>
      </c>
    </row>
    <row r="47" customFormat="false" ht="15" hidden="false" customHeight="false" outlineLevel="0" collapsed="false">
      <c r="A47" s="54" t="n">
        <f aca="false">IF(41&lt;=NW,41,"")</f>
        <v>41</v>
      </c>
      <c r="B47" s="22" t="n">
        <f aca="false">IF(41&lt;=NW,WEEK_ONE+280,"")</f>
        <v>46298</v>
      </c>
      <c r="C47" s="22" t="n">
        <f aca="false">IF(41&lt;=NW,WEEK_ONE+286,"")</f>
        <v>46304</v>
      </c>
      <c r="D47" s="55" t="n">
        <f aca="false">IF('ساعات عمر'!$M$565=1,N('ساعات عمر'!H576),"")</f>
        <v>0</v>
      </c>
      <c r="E47" s="55" t="n">
        <f aca="false">IF('ساعات عمر'!$M$565=1,SUMIFS(ADV_AMT,ADV_E,"عمر المصري",ADV_W,41),"")</f>
        <v>0</v>
      </c>
      <c r="F47" s="55" t="n">
        <f aca="false">IF('ساعات عمر'!$M$565=1,IF(N(D47)=0,0,MAX(0,IF(INST_MODE="تخفيض تلقائي",FLOOR(MIN(IF(SUMPRODUCT(MAX((LG_E="عمر المصري")*(LG_INST&lt;&gt;"")*(LG_D&lt;=C47)*LG_IDX))=0,السنة!$E$6,INDEX(LG_INST,SUMPRODUCT(MAX((LG_E="عمر المصري")*(LG_INST&lt;&gt;"")*(LG_D&lt;=C47)*LG_IDX)))),السنة!$D$6+SUMIFS(LG_DEBT,LG_E,"عمر المصري",LG_D,"&lt;="&amp;C47)-SUMIFS(LG_REP,LG_E,"عمر المصري",LG_D,"&lt;="&amp;C47)-SUM(F7:F46),INST_CAP*N(D47),N(D47)-N(E47)-NET_FLOOR*N(D47)),0.25),MIN(IF(SUMPRODUCT(MAX((LG_E="عمر المصري")*(LG_INST&lt;&gt;"")*(LG_D&lt;=C47)*LG_IDX))=0,السنة!$E$6,INDEX(LG_INST,SUMPRODUCT(MAX((LG_E="عمر المصري")*(LG_INST&lt;&gt;"")*(LG_D&lt;=C47)*LG_IDX)))),السنة!$D$6+SUMIFS(LG_DEBT,LG_E,"عمر المصري",LG_D,"&lt;="&amp;C47)-SUMIFS(LG_REP,LG_E,"عمر المصري",LG_D,"&lt;="&amp;C47)-SUM(F7:F46))))),"")</f>
        <v>0</v>
      </c>
      <c r="G47" s="56" t="n">
        <f aca="false">IF('ساعات عمر'!$M$565=1,IF(41=START_O,السنة!$C$6,N(I46))+N(D47)-N(E47)-N(F47)-N(K47),"")</f>
        <v>0</v>
      </c>
      <c r="H47" s="55" t="n">
        <f aca="false">IF('ساعات عمر'!$M$565=1,N('ساعات عمر'!E577),"")</f>
        <v>0</v>
      </c>
      <c r="I47" s="55" t="n">
        <f aca="false">IF('ساعات عمر'!$M$565=1,G47-H47,"")</f>
        <v>0</v>
      </c>
      <c r="J47" s="57" t="n">
        <f aca="false">IF('ساعات عمر'!$M$565=1,MAX(0,السنة!$D$6+SUMIFS(LG_DEBT,LG_E,"عمر المصري",LG_D,"&lt;="&amp;C47)-SUMIFS(LG_REP,LG_E,"عمر المصري",LG_D,"&lt;="&amp;C47)-SUM(F7:F47)),"")</f>
        <v>0</v>
      </c>
      <c r="K47" s="58" t="n">
        <f aca="false">0</f>
        <v>0</v>
      </c>
      <c r="L47" s="54" t="n">
        <f aca="false">IF(C47="","",MONTH(C47))</f>
        <v>10</v>
      </c>
    </row>
    <row r="48" customFormat="false" ht="15" hidden="false" customHeight="false" outlineLevel="0" collapsed="false">
      <c r="A48" s="54" t="n">
        <f aca="false">IF(42&lt;=NW,42,"")</f>
        <v>42</v>
      </c>
      <c r="B48" s="22" t="n">
        <f aca="false">IF(42&lt;=NW,WEEK_ONE+287,"")</f>
        <v>46305</v>
      </c>
      <c r="C48" s="22" t="n">
        <f aca="false">IF(42&lt;=NW,WEEK_ONE+293,"")</f>
        <v>46311</v>
      </c>
      <c r="D48" s="55" t="n">
        <f aca="false">IF('ساعات عمر'!$M$579=1,N('ساعات عمر'!H590),"")</f>
        <v>0</v>
      </c>
      <c r="E48" s="55" t="n">
        <f aca="false">IF('ساعات عمر'!$M$579=1,SUMIFS(ADV_AMT,ADV_E,"عمر المصري",ADV_W,42),"")</f>
        <v>0</v>
      </c>
      <c r="F48" s="55" t="n">
        <f aca="false">IF('ساعات عمر'!$M$579=1,IF(N(D48)=0,0,MAX(0,IF(INST_MODE="تخفيض تلقائي",FLOOR(MIN(IF(SUMPRODUCT(MAX((LG_E="عمر المصري")*(LG_INST&lt;&gt;"")*(LG_D&lt;=C48)*LG_IDX))=0,السنة!$E$6,INDEX(LG_INST,SUMPRODUCT(MAX((LG_E="عمر المصري")*(LG_INST&lt;&gt;"")*(LG_D&lt;=C48)*LG_IDX)))),السنة!$D$6+SUMIFS(LG_DEBT,LG_E,"عمر المصري",LG_D,"&lt;="&amp;C48)-SUMIFS(LG_REP,LG_E,"عمر المصري",LG_D,"&lt;="&amp;C48)-SUM(F7:F47),INST_CAP*N(D48),N(D48)-N(E48)-NET_FLOOR*N(D48)),0.25),MIN(IF(SUMPRODUCT(MAX((LG_E="عمر المصري")*(LG_INST&lt;&gt;"")*(LG_D&lt;=C48)*LG_IDX))=0,السنة!$E$6,INDEX(LG_INST,SUMPRODUCT(MAX((LG_E="عمر المصري")*(LG_INST&lt;&gt;"")*(LG_D&lt;=C48)*LG_IDX)))),السنة!$D$6+SUMIFS(LG_DEBT,LG_E,"عمر المصري",LG_D,"&lt;="&amp;C48)-SUMIFS(LG_REP,LG_E,"عمر المصري",LG_D,"&lt;="&amp;C48)-SUM(F7:F47))))),"")</f>
        <v>0</v>
      </c>
      <c r="G48" s="56" t="n">
        <f aca="false">IF('ساعات عمر'!$M$579=1,IF(42=START_O,السنة!$C$6,N(I47))+N(D48)-N(E48)-N(F48)-N(K48),"")</f>
        <v>0</v>
      </c>
      <c r="H48" s="55" t="n">
        <f aca="false">IF('ساعات عمر'!$M$579=1,N('ساعات عمر'!E591),"")</f>
        <v>0</v>
      </c>
      <c r="I48" s="55" t="n">
        <f aca="false">IF('ساعات عمر'!$M$579=1,G48-H48,"")</f>
        <v>0</v>
      </c>
      <c r="J48" s="57" t="n">
        <f aca="false">IF('ساعات عمر'!$M$579=1,MAX(0,السنة!$D$6+SUMIFS(LG_DEBT,LG_E,"عمر المصري",LG_D,"&lt;="&amp;C48)-SUMIFS(LG_REP,LG_E,"عمر المصري",LG_D,"&lt;="&amp;C48)-SUM(F7:F48)),"")</f>
        <v>0</v>
      </c>
      <c r="K48" s="58" t="n">
        <f aca="false">0</f>
        <v>0</v>
      </c>
      <c r="L48" s="54" t="n">
        <f aca="false">IF(C48="","",MONTH(C48))</f>
        <v>10</v>
      </c>
    </row>
    <row r="49" customFormat="false" ht="15" hidden="false" customHeight="false" outlineLevel="0" collapsed="false">
      <c r="A49" s="54" t="n">
        <f aca="false">IF(43&lt;=NW,43,"")</f>
        <v>43</v>
      </c>
      <c r="B49" s="22" t="n">
        <f aca="false">IF(43&lt;=NW,WEEK_ONE+294,"")</f>
        <v>46312</v>
      </c>
      <c r="C49" s="22" t="n">
        <f aca="false">IF(43&lt;=NW,WEEK_ONE+300,"")</f>
        <v>46318</v>
      </c>
      <c r="D49" s="55" t="n">
        <f aca="false">IF('ساعات عمر'!$M$593=1,N('ساعات عمر'!H604),"")</f>
        <v>0</v>
      </c>
      <c r="E49" s="55" t="n">
        <f aca="false">IF('ساعات عمر'!$M$593=1,SUMIFS(ADV_AMT,ADV_E,"عمر المصري",ADV_W,43),"")</f>
        <v>0</v>
      </c>
      <c r="F49" s="55" t="n">
        <f aca="false">IF('ساعات عمر'!$M$593=1,IF(N(D49)=0,0,MAX(0,IF(INST_MODE="تخفيض تلقائي",FLOOR(MIN(IF(SUMPRODUCT(MAX((LG_E="عمر المصري")*(LG_INST&lt;&gt;"")*(LG_D&lt;=C49)*LG_IDX))=0,السنة!$E$6,INDEX(LG_INST,SUMPRODUCT(MAX((LG_E="عمر المصري")*(LG_INST&lt;&gt;"")*(LG_D&lt;=C49)*LG_IDX)))),السنة!$D$6+SUMIFS(LG_DEBT,LG_E,"عمر المصري",LG_D,"&lt;="&amp;C49)-SUMIFS(LG_REP,LG_E,"عمر المصري",LG_D,"&lt;="&amp;C49)-SUM(F7:F48),INST_CAP*N(D49),N(D49)-N(E49)-NET_FLOOR*N(D49)),0.25),MIN(IF(SUMPRODUCT(MAX((LG_E="عمر المصري")*(LG_INST&lt;&gt;"")*(LG_D&lt;=C49)*LG_IDX))=0,السنة!$E$6,INDEX(LG_INST,SUMPRODUCT(MAX((LG_E="عمر المصري")*(LG_INST&lt;&gt;"")*(LG_D&lt;=C49)*LG_IDX)))),السنة!$D$6+SUMIFS(LG_DEBT,LG_E,"عمر المصري",LG_D,"&lt;="&amp;C49)-SUMIFS(LG_REP,LG_E,"عمر المصري",LG_D,"&lt;="&amp;C49)-SUM(F7:F48))))),"")</f>
        <v>0</v>
      </c>
      <c r="G49" s="56" t="n">
        <f aca="false">IF('ساعات عمر'!$M$593=1,IF(43=START_O,السنة!$C$6,N(I48))+N(D49)-N(E49)-N(F49)-N(K49),"")</f>
        <v>0</v>
      </c>
      <c r="H49" s="55" t="n">
        <f aca="false">IF('ساعات عمر'!$M$593=1,N('ساعات عمر'!E605),"")</f>
        <v>0</v>
      </c>
      <c r="I49" s="55" t="n">
        <f aca="false">IF('ساعات عمر'!$M$593=1,G49-H49,"")</f>
        <v>0</v>
      </c>
      <c r="J49" s="57" t="n">
        <f aca="false">IF('ساعات عمر'!$M$593=1,MAX(0,السنة!$D$6+SUMIFS(LG_DEBT,LG_E,"عمر المصري",LG_D,"&lt;="&amp;C49)-SUMIFS(LG_REP,LG_E,"عمر المصري",LG_D,"&lt;="&amp;C49)-SUM(F7:F49)),"")</f>
        <v>0</v>
      </c>
      <c r="K49" s="58" t="n">
        <f aca="false">0</f>
        <v>0</v>
      </c>
      <c r="L49" s="54" t="n">
        <f aca="false">IF(C49="","",MONTH(C49))</f>
        <v>10</v>
      </c>
    </row>
    <row r="50" customFormat="false" ht="15" hidden="false" customHeight="false" outlineLevel="0" collapsed="false">
      <c r="A50" s="54" t="n">
        <f aca="false">IF(44&lt;=NW,44,"")</f>
        <v>44</v>
      </c>
      <c r="B50" s="22" t="n">
        <f aca="false">IF(44&lt;=NW,WEEK_ONE+301,"")</f>
        <v>46319</v>
      </c>
      <c r="C50" s="22" t="n">
        <f aca="false">IF(44&lt;=NW,WEEK_ONE+307,"")</f>
        <v>46325</v>
      </c>
      <c r="D50" s="55" t="n">
        <f aca="false">IF('ساعات عمر'!$M$607=1,N('ساعات عمر'!H618),"")</f>
        <v>0</v>
      </c>
      <c r="E50" s="55" t="n">
        <f aca="false">IF('ساعات عمر'!$M$607=1,SUMIFS(ADV_AMT,ADV_E,"عمر المصري",ADV_W,44),"")</f>
        <v>0</v>
      </c>
      <c r="F50" s="55" t="n">
        <f aca="false">IF('ساعات عمر'!$M$607=1,IF(N(D50)=0,0,MAX(0,IF(INST_MODE="تخفيض تلقائي",FLOOR(MIN(IF(SUMPRODUCT(MAX((LG_E="عمر المصري")*(LG_INST&lt;&gt;"")*(LG_D&lt;=C50)*LG_IDX))=0,السنة!$E$6,INDEX(LG_INST,SUMPRODUCT(MAX((LG_E="عمر المصري")*(LG_INST&lt;&gt;"")*(LG_D&lt;=C50)*LG_IDX)))),السنة!$D$6+SUMIFS(LG_DEBT,LG_E,"عمر المصري",LG_D,"&lt;="&amp;C50)-SUMIFS(LG_REP,LG_E,"عمر المصري",LG_D,"&lt;="&amp;C50)-SUM(F7:F49),INST_CAP*N(D50),N(D50)-N(E50)-NET_FLOOR*N(D50)),0.25),MIN(IF(SUMPRODUCT(MAX((LG_E="عمر المصري")*(LG_INST&lt;&gt;"")*(LG_D&lt;=C50)*LG_IDX))=0,السنة!$E$6,INDEX(LG_INST,SUMPRODUCT(MAX((LG_E="عمر المصري")*(LG_INST&lt;&gt;"")*(LG_D&lt;=C50)*LG_IDX)))),السنة!$D$6+SUMIFS(LG_DEBT,LG_E,"عمر المصري",LG_D,"&lt;="&amp;C50)-SUMIFS(LG_REP,LG_E,"عمر المصري",LG_D,"&lt;="&amp;C50)-SUM(F7:F49))))),"")</f>
        <v>0</v>
      </c>
      <c r="G50" s="56" t="n">
        <f aca="false">IF('ساعات عمر'!$M$607=1,IF(44=START_O,السنة!$C$6,N(I49))+N(D50)-N(E50)-N(F50)-N(K50),"")</f>
        <v>0</v>
      </c>
      <c r="H50" s="55" t="n">
        <f aca="false">IF('ساعات عمر'!$M$607=1,N('ساعات عمر'!E619),"")</f>
        <v>0</v>
      </c>
      <c r="I50" s="55" t="n">
        <f aca="false">IF('ساعات عمر'!$M$607=1,G50-H50,"")</f>
        <v>0</v>
      </c>
      <c r="J50" s="57" t="n">
        <f aca="false">IF('ساعات عمر'!$M$607=1,MAX(0,السنة!$D$6+SUMIFS(LG_DEBT,LG_E,"عمر المصري",LG_D,"&lt;="&amp;C50)-SUMIFS(LG_REP,LG_E,"عمر المصري",LG_D,"&lt;="&amp;C50)-SUM(F7:F50)),"")</f>
        <v>0</v>
      </c>
      <c r="K50" s="58" t="n">
        <f aca="false">0</f>
        <v>0</v>
      </c>
      <c r="L50" s="54" t="n">
        <f aca="false">IF(C50="","",MONTH(C50))</f>
        <v>10</v>
      </c>
    </row>
    <row r="51" customFormat="false" ht="15" hidden="false" customHeight="false" outlineLevel="0" collapsed="false">
      <c r="A51" s="54" t="n">
        <f aca="false">IF(45&lt;=NW,45,"")</f>
        <v>45</v>
      </c>
      <c r="B51" s="22" t="n">
        <f aca="false">IF(45&lt;=NW,WEEK_ONE+308,"")</f>
        <v>46326</v>
      </c>
      <c r="C51" s="22" t="n">
        <f aca="false">IF(45&lt;=NW,WEEK_ONE+314,"")</f>
        <v>46332</v>
      </c>
      <c r="D51" s="55" t="n">
        <f aca="false">IF('ساعات عمر'!$M$621=1,N('ساعات عمر'!H632),"")</f>
        <v>0</v>
      </c>
      <c r="E51" s="55" t="n">
        <f aca="false">IF('ساعات عمر'!$M$621=1,SUMIFS(ADV_AMT,ADV_E,"عمر المصري",ADV_W,45),"")</f>
        <v>0</v>
      </c>
      <c r="F51" s="55" t="n">
        <f aca="false">IF('ساعات عمر'!$M$621=1,IF(N(D51)=0,0,MAX(0,IF(INST_MODE="تخفيض تلقائي",FLOOR(MIN(IF(SUMPRODUCT(MAX((LG_E="عمر المصري")*(LG_INST&lt;&gt;"")*(LG_D&lt;=C51)*LG_IDX))=0,السنة!$E$6,INDEX(LG_INST,SUMPRODUCT(MAX((LG_E="عمر المصري")*(LG_INST&lt;&gt;"")*(LG_D&lt;=C51)*LG_IDX)))),السنة!$D$6+SUMIFS(LG_DEBT,LG_E,"عمر المصري",LG_D,"&lt;="&amp;C51)-SUMIFS(LG_REP,LG_E,"عمر المصري",LG_D,"&lt;="&amp;C51)-SUM(F7:F50),INST_CAP*N(D51),N(D51)-N(E51)-NET_FLOOR*N(D51)),0.25),MIN(IF(SUMPRODUCT(MAX((LG_E="عمر المصري")*(LG_INST&lt;&gt;"")*(LG_D&lt;=C51)*LG_IDX))=0,السنة!$E$6,INDEX(LG_INST,SUMPRODUCT(MAX((LG_E="عمر المصري")*(LG_INST&lt;&gt;"")*(LG_D&lt;=C51)*LG_IDX)))),السنة!$D$6+SUMIFS(LG_DEBT,LG_E,"عمر المصري",LG_D,"&lt;="&amp;C51)-SUMIFS(LG_REP,LG_E,"عمر المصري",LG_D,"&lt;="&amp;C51)-SUM(F7:F50))))),"")</f>
        <v>0</v>
      </c>
      <c r="G51" s="56" t="n">
        <f aca="false">IF('ساعات عمر'!$M$621=1,IF(45=START_O,السنة!$C$6,N(I50))+N(D51)-N(E51)-N(F51)-N(K51),"")</f>
        <v>0</v>
      </c>
      <c r="H51" s="55" t="n">
        <f aca="false">IF('ساعات عمر'!$M$621=1,N('ساعات عمر'!E633),"")</f>
        <v>0</v>
      </c>
      <c r="I51" s="55" t="n">
        <f aca="false">IF('ساعات عمر'!$M$621=1,G51-H51,"")</f>
        <v>0</v>
      </c>
      <c r="J51" s="57" t="n">
        <f aca="false">IF('ساعات عمر'!$M$621=1,MAX(0,السنة!$D$6+SUMIFS(LG_DEBT,LG_E,"عمر المصري",LG_D,"&lt;="&amp;C51)-SUMIFS(LG_REP,LG_E,"عمر المصري",LG_D,"&lt;="&amp;C51)-SUM(F7:F51)),"")</f>
        <v>0</v>
      </c>
      <c r="K51" s="58" t="n">
        <f aca="false">0</f>
        <v>0</v>
      </c>
      <c r="L51" s="54" t="n">
        <f aca="false">IF(C51="","",MONTH(C51))</f>
        <v>11</v>
      </c>
    </row>
    <row r="52" customFormat="false" ht="15" hidden="false" customHeight="false" outlineLevel="0" collapsed="false">
      <c r="A52" s="54" t="n">
        <f aca="false">IF(46&lt;=NW,46,"")</f>
        <v>46</v>
      </c>
      <c r="B52" s="22" t="n">
        <f aca="false">IF(46&lt;=NW,WEEK_ONE+315,"")</f>
        <v>46333</v>
      </c>
      <c r="C52" s="22" t="n">
        <f aca="false">IF(46&lt;=NW,WEEK_ONE+321,"")</f>
        <v>46339</v>
      </c>
      <c r="D52" s="55" t="n">
        <f aca="false">IF('ساعات عمر'!$M$635=1,N('ساعات عمر'!H646),"")</f>
        <v>0</v>
      </c>
      <c r="E52" s="55" t="n">
        <f aca="false">IF('ساعات عمر'!$M$635=1,SUMIFS(ADV_AMT,ADV_E,"عمر المصري",ADV_W,46),"")</f>
        <v>0</v>
      </c>
      <c r="F52" s="55" t="n">
        <f aca="false">IF('ساعات عمر'!$M$635=1,IF(N(D52)=0,0,MAX(0,IF(INST_MODE="تخفيض تلقائي",FLOOR(MIN(IF(SUMPRODUCT(MAX((LG_E="عمر المصري")*(LG_INST&lt;&gt;"")*(LG_D&lt;=C52)*LG_IDX))=0,السنة!$E$6,INDEX(LG_INST,SUMPRODUCT(MAX((LG_E="عمر المصري")*(LG_INST&lt;&gt;"")*(LG_D&lt;=C52)*LG_IDX)))),السنة!$D$6+SUMIFS(LG_DEBT,LG_E,"عمر المصري",LG_D,"&lt;="&amp;C52)-SUMIFS(LG_REP,LG_E,"عمر المصري",LG_D,"&lt;="&amp;C52)-SUM(F7:F51),INST_CAP*N(D52),N(D52)-N(E52)-NET_FLOOR*N(D52)),0.25),MIN(IF(SUMPRODUCT(MAX((LG_E="عمر المصري")*(LG_INST&lt;&gt;"")*(LG_D&lt;=C52)*LG_IDX))=0,السنة!$E$6,INDEX(LG_INST,SUMPRODUCT(MAX((LG_E="عمر المصري")*(LG_INST&lt;&gt;"")*(LG_D&lt;=C52)*LG_IDX)))),السنة!$D$6+SUMIFS(LG_DEBT,LG_E,"عمر المصري",LG_D,"&lt;="&amp;C52)-SUMIFS(LG_REP,LG_E,"عمر المصري",LG_D,"&lt;="&amp;C52)-SUM(F7:F51))))),"")</f>
        <v>0</v>
      </c>
      <c r="G52" s="56" t="n">
        <f aca="false">IF('ساعات عمر'!$M$635=1,IF(46=START_O,السنة!$C$6,N(I51))+N(D52)-N(E52)-N(F52)-N(K52),"")</f>
        <v>0</v>
      </c>
      <c r="H52" s="55" t="n">
        <f aca="false">IF('ساعات عمر'!$M$635=1,N('ساعات عمر'!E647),"")</f>
        <v>0</v>
      </c>
      <c r="I52" s="55" t="n">
        <f aca="false">IF('ساعات عمر'!$M$635=1,G52-H52,"")</f>
        <v>0</v>
      </c>
      <c r="J52" s="57" t="n">
        <f aca="false">IF('ساعات عمر'!$M$635=1,MAX(0,السنة!$D$6+SUMIFS(LG_DEBT,LG_E,"عمر المصري",LG_D,"&lt;="&amp;C52)-SUMIFS(LG_REP,LG_E,"عمر المصري",LG_D,"&lt;="&amp;C52)-SUM(F7:F52)),"")</f>
        <v>0</v>
      </c>
      <c r="K52" s="58" t="n">
        <f aca="false">0</f>
        <v>0</v>
      </c>
      <c r="L52" s="54" t="n">
        <f aca="false">IF(C52="","",MONTH(C52))</f>
        <v>11</v>
      </c>
    </row>
    <row r="53" customFormat="false" ht="15" hidden="false" customHeight="false" outlineLevel="0" collapsed="false">
      <c r="A53" s="54" t="n">
        <f aca="false">IF(47&lt;=NW,47,"")</f>
        <v>47</v>
      </c>
      <c r="B53" s="22" t="n">
        <f aca="false">IF(47&lt;=NW,WEEK_ONE+322,"")</f>
        <v>46340</v>
      </c>
      <c r="C53" s="22" t="n">
        <f aca="false">IF(47&lt;=NW,WEEK_ONE+328,"")</f>
        <v>46346</v>
      </c>
      <c r="D53" s="55" t="n">
        <f aca="false">IF('ساعات عمر'!$M$649=1,N('ساعات عمر'!H660),"")</f>
        <v>0</v>
      </c>
      <c r="E53" s="55" t="n">
        <f aca="false">IF('ساعات عمر'!$M$649=1,SUMIFS(ADV_AMT,ADV_E,"عمر المصري",ADV_W,47),"")</f>
        <v>0</v>
      </c>
      <c r="F53" s="55" t="n">
        <f aca="false">IF('ساعات عمر'!$M$649=1,IF(N(D53)=0,0,MAX(0,IF(INST_MODE="تخفيض تلقائي",FLOOR(MIN(IF(SUMPRODUCT(MAX((LG_E="عمر المصري")*(LG_INST&lt;&gt;"")*(LG_D&lt;=C53)*LG_IDX))=0,السنة!$E$6,INDEX(LG_INST,SUMPRODUCT(MAX((LG_E="عمر المصري")*(LG_INST&lt;&gt;"")*(LG_D&lt;=C53)*LG_IDX)))),السنة!$D$6+SUMIFS(LG_DEBT,LG_E,"عمر المصري",LG_D,"&lt;="&amp;C53)-SUMIFS(LG_REP,LG_E,"عمر المصري",LG_D,"&lt;="&amp;C53)-SUM(F7:F52),INST_CAP*N(D53),N(D53)-N(E53)-NET_FLOOR*N(D53)),0.25),MIN(IF(SUMPRODUCT(MAX((LG_E="عمر المصري")*(LG_INST&lt;&gt;"")*(LG_D&lt;=C53)*LG_IDX))=0,السنة!$E$6,INDEX(LG_INST,SUMPRODUCT(MAX((LG_E="عمر المصري")*(LG_INST&lt;&gt;"")*(LG_D&lt;=C53)*LG_IDX)))),السنة!$D$6+SUMIFS(LG_DEBT,LG_E,"عمر المصري",LG_D,"&lt;="&amp;C53)-SUMIFS(LG_REP,LG_E,"عمر المصري",LG_D,"&lt;="&amp;C53)-SUM(F7:F52))))),"")</f>
        <v>0</v>
      </c>
      <c r="G53" s="56" t="n">
        <f aca="false">IF('ساعات عمر'!$M$649=1,IF(47=START_O,السنة!$C$6,N(I52))+N(D53)-N(E53)-N(F53)-N(K53),"")</f>
        <v>0</v>
      </c>
      <c r="H53" s="55" t="n">
        <f aca="false">IF('ساعات عمر'!$M$649=1,N('ساعات عمر'!E661),"")</f>
        <v>0</v>
      </c>
      <c r="I53" s="55" t="n">
        <f aca="false">IF('ساعات عمر'!$M$649=1,G53-H53,"")</f>
        <v>0</v>
      </c>
      <c r="J53" s="57" t="n">
        <f aca="false">IF('ساعات عمر'!$M$649=1,MAX(0,السنة!$D$6+SUMIFS(LG_DEBT,LG_E,"عمر المصري",LG_D,"&lt;="&amp;C53)-SUMIFS(LG_REP,LG_E,"عمر المصري",LG_D,"&lt;="&amp;C53)-SUM(F7:F53)),"")</f>
        <v>0</v>
      </c>
      <c r="K53" s="58" t="n">
        <f aca="false">0</f>
        <v>0</v>
      </c>
      <c r="L53" s="54" t="n">
        <f aca="false">IF(C53="","",MONTH(C53))</f>
        <v>11</v>
      </c>
    </row>
    <row r="54" customFormat="false" ht="15" hidden="false" customHeight="false" outlineLevel="0" collapsed="false">
      <c r="A54" s="54" t="n">
        <f aca="false">IF(48&lt;=NW,48,"")</f>
        <v>48</v>
      </c>
      <c r="B54" s="22" t="n">
        <f aca="false">IF(48&lt;=NW,WEEK_ONE+329,"")</f>
        <v>46347</v>
      </c>
      <c r="C54" s="22" t="n">
        <f aca="false">IF(48&lt;=NW,WEEK_ONE+335,"")</f>
        <v>46353</v>
      </c>
      <c r="D54" s="55" t="n">
        <f aca="false">IF('ساعات عمر'!$M$663=1,N('ساعات عمر'!H674),"")</f>
        <v>0</v>
      </c>
      <c r="E54" s="55" t="n">
        <f aca="false">IF('ساعات عمر'!$M$663=1,SUMIFS(ADV_AMT,ADV_E,"عمر المصري",ADV_W,48),"")</f>
        <v>0</v>
      </c>
      <c r="F54" s="55" t="n">
        <f aca="false">IF('ساعات عمر'!$M$663=1,IF(N(D54)=0,0,MAX(0,IF(INST_MODE="تخفيض تلقائي",FLOOR(MIN(IF(SUMPRODUCT(MAX((LG_E="عمر المصري")*(LG_INST&lt;&gt;"")*(LG_D&lt;=C54)*LG_IDX))=0,السنة!$E$6,INDEX(LG_INST,SUMPRODUCT(MAX((LG_E="عمر المصري")*(LG_INST&lt;&gt;"")*(LG_D&lt;=C54)*LG_IDX)))),السنة!$D$6+SUMIFS(LG_DEBT,LG_E,"عمر المصري",LG_D,"&lt;="&amp;C54)-SUMIFS(LG_REP,LG_E,"عمر المصري",LG_D,"&lt;="&amp;C54)-SUM(F7:F53),INST_CAP*N(D54),N(D54)-N(E54)-NET_FLOOR*N(D54)),0.25),MIN(IF(SUMPRODUCT(MAX((LG_E="عمر المصري")*(LG_INST&lt;&gt;"")*(LG_D&lt;=C54)*LG_IDX))=0,السنة!$E$6,INDEX(LG_INST,SUMPRODUCT(MAX((LG_E="عمر المصري")*(LG_INST&lt;&gt;"")*(LG_D&lt;=C54)*LG_IDX)))),السنة!$D$6+SUMIFS(LG_DEBT,LG_E,"عمر المصري",LG_D,"&lt;="&amp;C54)-SUMIFS(LG_REP,LG_E,"عمر المصري",LG_D,"&lt;="&amp;C54)-SUM(F7:F53))))),"")</f>
        <v>0</v>
      </c>
      <c r="G54" s="56" t="n">
        <f aca="false">IF('ساعات عمر'!$M$663=1,IF(48=START_O,السنة!$C$6,N(I53))+N(D54)-N(E54)-N(F54)-N(K54),"")</f>
        <v>0</v>
      </c>
      <c r="H54" s="55" t="n">
        <f aca="false">IF('ساعات عمر'!$M$663=1,N('ساعات عمر'!E675),"")</f>
        <v>0</v>
      </c>
      <c r="I54" s="55" t="n">
        <f aca="false">IF('ساعات عمر'!$M$663=1,G54-H54,"")</f>
        <v>0</v>
      </c>
      <c r="J54" s="57" t="n">
        <f aca="false">IF('ساعات عمر'!$M$663=1,MAX(0,السنة!$D$6+SUMIFS(LG_DEBT,LG_E,"عمر المصري",LG_D,"&lt;="&amp;C54)-SUMIFS(LG_REP,LG_E,"عمر المصري",LG_D,"&lt;="&amp;C54)-SUM(F7:F54)),"")</f>
        <v>0</v>
      </c>
      <c r="K54" s="58" t="n">
        <f aca="false">0</f>
        <v>0</v>
      </c>
      <c r="L54" s="54" t="n">
        <f aca="false">IF(C54="","",MONTH(C54))</f>
        <v>11</v>
      </c>
    </row>
    <row r="55" customFormat="false" ht="15" hidden="false" customHeight="false" outlineLevel="0" collapsed="false">
      <c r="A55" s="54" t="n">
        <f aca="false">IF(49&lt;=NW,49,"")</f>
        <v>49</v>
      </c>
      <c r="B55" s="22" t="n">
        <f aca="false">IF(49&lt;=NW,WEEK_ONE+336,"")</f>
        <v>46354</v>
      </c>
      <c r="C55" s="22" t="n">
        <f aca="false">IF(49&lt;=NW,WEEK_ONE+342,"")</f>
        <v>46360</v>
      </c>
      <c r="D55" s="55" t="n">
        <f aca="false">IF('ساعات عمر'!$M$677=1,N('ساعات عمر'!H688),"")</f>
        <v>0</v>
      </c>
      <c r="E55" s="55" t="n">
        <f aca="false">IF('ساعات عمر'!$M$677=1,SUMIFS(ADV_AMT,ADV_E,"عمر المصري",ADV_W,49),"")</f>
        <v>0</v>
      </c>
      <c r="F55" s="55" t="n">
        <f aca="false">IF('ساعات عمر'!$M$677=1,IF(N(D55)=0,0,MAX(0,IF(INST_MODE="تخفيض تلقائي",FLOOR(MIN(IF(SUMPRODUCT(MAX((LG_E="عمر المصري")*(LG_INST&lt;&gt;"")*(LG_D&lt;=C55)*LG_IDX))=0,السنة!$E$6,INDEX(LG_INST,SUMPRODUCT(MAX((LG_E="عمر المصري")*(LG_INST&lt;&gt;"")*(LG_D&lt;=C55)*LG_IDX)))),السنة!$D$6+SUMIFS(LG_DEBT,LG_E,"عمر المصري",LG_D,"&lt;="&amp;C55)-SUMIFS(LG_REP,LG_E,"عمر المصري",LG_D,"&lt;="&amp;C55)-SUM(F7:F54),INST_CAP*N(D55),N(D55)-N(E55)-NET_FLOOR*N(D55)),0.25),MIN(IF(SUMPRODUCT(MAX((LG_E="عمر المصري")*(LG_INST&lt;&gt;"")*(LG_D&lt;=C55)*LG_IDX))=0,السنة!$E$6,INDEX(LG_INST,SUMPRODUCT(MAX((LG_E="عمر المصري")*(LG_INST&lt;&gt;"")*(LG_D&lt;=C55)*LG_IDX)))),السنة!$D$6+SUMIFS(LG_DEBT,LG_E,"عمر المصري",LG_D,"&lt;="&amp;C55)-SUMIFS(LG_REP,LG_E,"عمر المصري",LG_D,"&lt;="&amp;C55)-SUM(F7:F54))))),"")</f>
        <v>0</v>
      </c>
      <c r="G55" s="56" t="n">
        <f aca="false">IF('ساعات عمر'!$M$677=1,IF(49=START_O,السنة!$C$6,N(I54))+N(D55)-N(E55)-N(F55)-N(K55),"")</f>
        <v>0</v>
      </c>
      <c r="H55" s="55" t="n">
        <f aca="false">IF('ساعات عمر'!$M$677=1,N('ساعات عمر'!E689),"")</f>
        <v>0</v>
      </c>
      <c r="I55" s="55" t="n">
        <f aca="false">IF('ساعات عمر'!$M$677=1,G55-H55,"")</f>
        <v>0</v>
      </c>
      <c r="J55" s="57" t="n">
        <f aca="false">IF('ساعات عمر'!$M$677=1,MAX(0,السنة!$D$6+SUMIFS(LG_DEBT,LG_E,"عمر المصري",LG_D,"&lt;="&amp;C55)-SUMIFS(LG_REP,LG_E,"عمر المصري",LG_D,"&lt;="&amp;C55)-SUM(F7:F55)),"")</f>
        <v>0</v>
      </c>
      <c r="K55" s="58" t="n">
        <f aca="false">0</f>
        <v>0</v>
      </c>
      <c r="L55" s="54" t="n">
        <f aca="false">IF(C55="","",MONTH(C55))</f>
        <v>12</v>
      </c>
    </row>
    <row r="56" customFormat="false" ht="15" hidden="false" customHeight="false" outlineLevel="0" collapsed="false">
      <c r="A56" s="54" t="n">
        <f aca="false">IF(50&lt;=NW,50,"")</f>
        <v>50</v>
      </c>
      <c r="B56" s="22" t="n">
        <f aca="false">IF(50&lt;=NW,WEEK_ONE+343,"")</f>
        <v>46361</v>
      </c>
      <c r="C56" s="22" t="n">
        <f aca="false">IF(50&lt;=NW,WEEK_ONE+349,"")</f>
        <v>46367</v>
      </c>
      <c r="D56" s="55" t="n">
        <f aca="false">IF('ساعات عمر'!$M$691=1,N('ساعات عمر'!H702),"")</f>
        <v>0</v>
      </c>
      <c r="E56" s="55" t="n">
        <f aca="false">IF('ساعات عمر'!$M$691=1,SUMIFS(ADV_AMT,ADV_E,"عمر المصري",ADV_W,50),"")</f>
        <v>0</v>
      </c>
      <c r="F56" s="55" t="n">
        <f aca="false">IF('ساعات عمر'!$M$691=1,IF(N(D56)=0,0,MAX(0,IF(INST_MODE="تخفيض تلقائي",FLOOR(MIN(IF(SUMPRODUCT(MAX((LG_E="عمر المصري")*(LG_INST&lt;&gt;"")*(LG_D&lt;=C56)*LG_IDX))=0,السنة!$E$6,INDEX(LG_INST,SUMPRODUCT(MAX((LG_E="عمر المصري")*(LG_INST&lt;&gt;"")*(LG_D&lt;=C56)*LG_IDX)))),السنة!$D$6+SUMIFS(LG_DEBT,LG_E,"عمر المصري",LG_D,"&lt;="&amp;C56)-SUMIFS(LG_REP,LG_E,"عمر المصري",LG_D,"&lt;="&amp;C56)-SUM(F7:F55),INST_CAP*N(D56),N(D56)-N(E56)-NET_FLOOR*N(D56)),0.25),MIN(IF(SUMPRODUCT(MAX((LG_E="عمر المصري")*(LG_INST&lt;&gt;"")*(LG_D&lt;=C56)*LG_IDX))=0,السنة!$E$6,INDEX(LG_INST,SUMPRODUCT(MAX((LG_E="عمر المصري")*(LG_INST&lt;&gt;"")*(LG_D&lt;=C56)*LG_IDX)))),السنة!$D$6+SUMIFS(LG_DEBT,LG_E,"عمر المصري",LG_D,"&lt;="&amp;C56)-SUMIFS(LG_REP,LG_E,"عمر المصري",LG_D,"&lt;="&amp;C56)-SUM(F7:F55))))),"")</f>
        <v>0</v>
      </c>
      <c r="G56" s="56" t="n">
        <f aca="false">IF('ساعات عمر'!$M$691=1,IF(50=START_O,السنة!$C$6,N(I55))+N(D56)-N(E56)-N(F56)-N(K56),"")</f>
        <v>0</v>
      </c>
      <c r="H56" s="55" t="n">
        <f aca="false">IF('ساعات عمر'!$M$691=1,N('ساعات عمر'!E703),"")</f>
        <v>0</v>
      </c>
      <c r="I56" s="55" t="n">
        <f aca="false">IF('ساعات عمر'!$M$691=1,G56-H56,"")</f>
        <v>0</v>
      </c>
      <c r="J56" s="57" t="n">
        <f aca="false">IF('ساعات عمر'!$M$691=1,MAX(0,السنة!$D$6+SUMIFS(LG_DEBT,LG_E,"عمر المصري",LG_D,"&lt;="&amp;C56)-SUMIFS(LG_REP,LG_E,"عمر المصري",LG_D,"&lt;="&amp;C56)-SUM(F7:F56)),"")</f>
        <v>0</v>
      </c>
      <c r="K56" s="58" t="n">
        <f aca="false">0</f>
        <v>0</v>
      </c>
      <c r="L56" s="54" t="n">
        <f aca="false">IF(C56="","",MONTH(C56))</f>
        <v>12</v>
      </c>
    </row>
    <row r="57" customFormat="false" ht="15" hidden="false" customHeight="false" outlineLevel="0" collapsed="false">
      <c r="A57" s="54" t="n">
        <f aca="false">IF(51&lt;=NW,51,"")</f>
        <v>51</v>
      </c>
      <c r="B57" s="22" t="n">
        <f aca="false">IF(51&lt;=NW,WEEK_ONE+350,"")</f>
        <v>46368</v>
      </c>
      <c r="C57" s="22" t="n">
        <f aca="false">IF(51&lt;=NW,WEEK_ONE+356,"")</f>
        <v>46374</v>
      </c>
      <c r="D57" s="55" t="n">
        <f aca="false">IF('ساعات عمر'!$M$705=1,N('ساعات عمر'!H716),"")</f>
        <v>0</v>
      </c>
      <c r="E57" s="55" t="n">
        <f aca="false">IF('ساعات عمر'!$M$705=1,SUMIFS(ADV_AMT,ADV_E,"عمر المصري",ADV_W,51),"")</f>
        <v>0</v>
      </c>
      <c r="F57" s="55" t="n">
        <f aca="false">IF('ساعات عمر'!$M$705=1,IF(N(D57)=0,0,MAX(0,IF(INST_MODE="تخفيض تلقائي",FLOOR(MIN(IF(SUMPRODUCT(MAX((LG_E="عمر المصري")*(LG_INST&lt;&gt;"")*(LG_D&lt;=C57)*LG_IDX))=0,السنة!$E$6,INDEX(LG_INST,SUMPRODUCT(MAX((LG_E="عمر المصري")*(LG_INST&lt;&gt;"")*(LG_D&lt;=C57)*LG_IDX)))),السنة!$D$6+SUMIFS(LG_DEBT,LG_E,"عمر المصري",LG_D,"&lt;="&amp;C57)-SUMIFS(LG_REP,LG_E,"عمر المصري",LG_D,"&lt;="&amp;C57)-SUM(F7:F56),INST_CAP*N(D57),N(D57)-N(E57)-NET_FLOOR*N(D57)),0.25),MIN(IF(SUMPRODUCT(MAX((LG_E="عمر المصري")*(LG_INST&lt;&gt;"")*(LG_D&lt;=C57)*LG_IDX))=0,السنة!$E$6,INDEX(LG_INST,SUMPRODUCT(MAX((LG_E="عمر المصري")*(LG_INST&lt;&gt;"")*(LG_D&lt;=C57)*LG_IDX)))),السنة!$D$6+SUMIFS(LG_DEBT,LG_E,"عمر المصري",LG_D,"&lt;="&amp;C57)-SUMIFS(LG_REP,LG_E,"عمر المصري",LG_D,"&lt;="&amp;C57)-SUM(F7:F56))))),"")</f>
        <v>0</v>
      </c>
      <c r="G57" s="56" t="n">
        <f aca="false">IF('ساعات عمر'!$M$705=1,IF(51=START_O,السنة!$C$6,N(I56))+N(D57)-N(E57)-N(F57)-N(K57),"")</f>
        <v>0</v>
      </c>
      <c r="H57" s="55" t="n">
        <f aca="false">IF('ساعات عمر'!$M$705=1,N('ساعات عمر'!E717),"")</f>
        <v>0</v>
      </c>
      <c r="I57" s="55" t="n">
        <f aca="false">IF('ساعات عمر'!$M$705=1,G57-H57,"")</f>
        <v>0</v>
      </c>
      <c r="J57" s="57" t="n">
        <f aca="false">IF('ساعات عمر'!$M$705=1,MAX(0,السنة!$D$6+SUMIFS(LG_DEBT,LG_E,"عمر المصري",LG_D,"&lt;="&amp;C57)-SUMIFS(LG_REP,LG_E,"عمر المصري",LG_D,"&lt;="&amp;C57)-SUM(F7:F57)),"")</f>
        <v>0</v>
      </c>
      <c r="K57" s="58" t="n">
        <f aca="false">0</f>
        <v>0</v>
      </c>
      <c r="L57" s="54" t="n">
        <f aca="false">IF(C57="","",MONTH(C57))</f>
        <v>12</v>
      </c>
    </row>
    <row r="58" customFormat="false" ht="15" hidden="false" customHeight="false" outlineLevel="0" collapsed="false">
      <c r="A58" s="54" t="n">
        <f aca="false">IF(52&lt;=NW,52,"")</f>
        <v>52</v>
      </c>
      <c r="B58" s="22" t="n">
        <f aca="false">IF(52&lt;=NW,WEEK_ONE+357,"")</f>
        <v>46375</v>
      </c>
      <c r="C58" s="22" t="n">
        <f aca="false">IF(52&lt;=NW,WEEK_ONE+363,"")</f>
        <v>46381</v>
      </c>
      <c r="D58" s="55" t="n">
        <f aca="false">IF('ساعات عمر'!$M$719=1,N('ساعات عمر'!H730),"")</f>
        <v>0</v>
      </c>
      <c r="E58" s="55" t="n">
        <f aca="false">IF('ساعات عمر'!$M$719=1,SUMIFS(ADV_AMT,ADV_E,"عمر المصري",ADV_W,52),"")</f>
        <v>0</v>
      </c>
      <c r="F58" s="55" t="n">
        <f aca="false">IF('ساعات عمر'!$M$719=1,IF(N(D58)=0,0,MAX(0,IF(INST_MODE="تخفيض تلقائي",FLOOR(MIN(IF(SUMPRODUCT(MAX((LG_E="عمر المصري")*(LG_INST&lt;&gt;"")*(LG_D&lt;=C58)*LG_IDX))=0,السنة!$E$6,INDEX(LG_INST,SUMPRODUCT(MAX((LG_E="عمر المصري")*(LG_INST&lt;&gt;"")*(LG_D&lt;=C58)*LG_IDX)))),السنة!$D$6+SUMIFS(LG_DEBT,LG_E,"عمر المصري",LG_D,"&lt;="&amp;C58)-SUMIFS(LG_REP,LG_E,"عمر المصري",LG_D,"&lt;="&amp;C58)-SUM(F7:F57),INST_CAP*N(D58),N(D58)-N(E58)-NET_FLOOR*N(D58)),0.25),MIN(IF(SUMPRODUCT(MAX((LG_E="عمر المصري")*(LG_INST&lt;&gt;"")*(LG_D&lt;=C58)*LG_IDX))=0,السنة!$E$6,INDEX(LG_INST,SUMPRODUCT(MAX((LG_E="عمر المصري")*(LG_INST&lt;&gt;"")*(LG_D&lt;=C58)*LG_IDX)))),السنة!$D$6+SUMIFS(LG_DEBT,LG_E,"عمر المصري",LG_D,"&lt;="&amp;C58)-SUMIFS(LG_REP,LG_E,"عمر المصري",LG_D,"&lt;="&amp;C58)-SUM(F7:F57))))),"")</f>
        <v>0</v>
      </c>
      <c r="G58" s="56" t="n">
        <f aca="false">IF('ساعات عمر'!$M$719=1,IF(52=START_O,السنة!$C$6,N(I57))+N(D58)-N(E58)-N(F58)-N(K58),"")</f>
        <v>0</v>
      </c>
      <c r="H58" s="55" t="n">
        <f aca="false">IF('ساعات عمر'!$M$719=1,N('ساعات عمر'!E731),"")</f>
        <v>0</v>
      </c>
      <c r="I58" s="55" t="n">
        <f aca="false">IF('ساعات عمر'!$M$719=1,G58-H58,"")</f>
        <v>0</v>
      </c>
      <c r="J58" s="57" t="n">
        <f aca="false">IF('ساعات عمر'!$M$719=1,MAX(0,السنة!$D$6+SUMIFS(LG_DEBT,LG_E,"عمر المصري",LG_D,"&lt;="&amp;C58)-SUMIFS(LG_REP,LG_E,"عمر المصري",LG_D,"&lt;="&amp;C58)-SUM(F7:F58)),"")</f>
        <v>0</v>
      </c>
      <c r="K58" s="58" t="n">
        <f aca="false">0</f>
        <v>0</v>
      </c>
      <c r="L58" s="54" t="n">
        <f aca="false">IF(C58="","",MONTH(C58))</f>
        <v>12</v>
      </c>
    </row>
    <row r="59" customFormat="false" ht="15" hidden="false" customHeight="false" outlineLevel="0" collapsed="false">
      <c r="A59" s="54" t="str">
        <f aca="false">IF(53&lt;=NW,53,"")</f>
        <v/>
      </c>
      <c r="B59" s="22" t="str">
        <f aca="false">IF(53&lt;=NW,WEEK_ONE+364,"")</f>
        <v/>
      </c>
      <c r="C59" s="22" t="str">
        <f aca="false">IF(53&lt;=NW,WEEK_ONE+370,"")</f>
        <v/>
      </c>
      <c r="D59" s="55" t="str">
        <f aca="false">IF('ساعات عمر'!$M$733=1,N('ساعات عمر'!H744),"")</f>
        <v/>
      </c>
      <c r="E59" s="55" t="str">
        <f aca="false">IF('ساعات عمر'!$M$733=1,SUMIFS(ADV_AMT,ADV_E,"عمر المصري",ADV_W,53),"")</f>
        <v/>
      </c>
      <c r="F59" s="55" t="str">
        <f aca="false">IF('ساعات عمر'!$M$733=1,IF(N(D59)=0,0,MAX(0,IF(INST_MODE="تخفيض تلقائي",FLOOR(MIN(IF(SUMPRODUCT(MAX((LG_E="عمر المصري")*(LG_INST&lt;&gt;"")*(LG_D&lt;=C59)*LG_IDX))=0,السنة!$E$6,INDEX(LG_INST,SUMPRODUCT(MAX((LG_E="عمر المصري")*(LG_INST&lt;&gt;"")*(LG_D&lt;=C59)*LG_IDX)))),السنة!$D$6+SUMIFS(LG_DEBT,LG_E,"عمر المصري",LG_D,"&lt;="&amp;C59)-SUMIFS(LG_REP,LG_E,"عمر المصري",LG_D,"&lt;="&amp;C59)-SUM(F7:F58),INST_CAP*N(D59),N(D59)-N(E59)-NET_FLOOR*N(D59)),0.25),MIN(IF(SUMPRODUCT(MAX((LG_E="عمر المصري")*(LG_INST&lt;&gt;"")*(LG_D&lt;=C59)*LG_IDX))=0,السنة!$E$6,INDEX(LG_INST,SUMPRODUCT(MAX((LG_E="عمر المصري")*(LG_INST&lt;&gt;"")*(LG_D&lt;=C59)*LG_IDX)))),السنة!$D$6+SUMIFS(LG_DEBT,LG_E,"عمر المصري",LG_D,"&lt;="&amp;C59)-SUMIFS(LG_REP,LG_E,"عمر المصري",LG_D,"&lt;="&amp;C59)-SUM(F7:F58))))),"")</f>
        <v/>
      </c>
      <c r="G59" s="56" t="str">
        <f aca="false">IF('ساعات عمر'!$M$733=1,IF(53=START_O,السنة!$C$6,N(I58))+N(D59)-N(E59)-N(F59)-N(K59),"")</f>
        <v/>
      </c>
      <c r="H59" s="55" t="str">
        <f aca="false">IF('ساعات عمر'!$M$733=1,N('ساعات عمر'!E745),"")</f>
        <v/>
      </c>
      <c r="I59" s="55" t="str">
        <f aca="false">IF('ساعات عمر'!$M$733=1,G59-H59,"")</f>
        <v/>
      </c>
      <c r="J59" s="57" t="str">
        <f aca="false">IF('ساعات عمر'!$M$733=1,MAX(0,السنة!$D$6+SUMIFS(LG_DEBT,LG_E,"عمر المصري",LG_D,"&lt;="&amp;C59)-SUMIFS(LG_REP,LG_E,"عمر المصري",LG_D,"&lt;="&amp;C59)-SUM(F7:F59)),"")</f>
        <v/>
      </c>
      <c r="K59" s="58" t="n">
        <f aca="false">0</f>
        <v>0</v>
      </c>
      <c r="L59" s="54" t="str">
        <f aca="false">IF(C59="","",MONTH(C59))</f>
        <v/>
      </c>
    </row>
    <row r="60" customFormat="false" ht="15" hidden="false" customHeight="true" outlineLevel="0" collapsed="false">
      <c r="A60" s="59" t="s">
        <v>54</v>
      </c>
      <c r="B60" s="59"/>
      <c r="C60" s="59"/>
      <c r="D60" s="59" t="n">
        <f aca="false">SUM(D7:D59)</f>
        <v>0</v>
      </c>
      <c r="E60" s="59" t="n">
        <f aca="false">SUM(E7:E59)</f>
        <v>0</v>
      </c>
      <c r="F60" s="59" t="n">
        <f aca="false">SUM(F7:F59)</f>
        <v>0</v>
      </c>
      <c r="G60" s="59" t="n">
        <f aca="false">SUM(G7:G59)</f>
        <v>0</v>
      </c>
      <c r="H60" s="59" t="n">
        <f aca="false">SUM(H7:H59)</f>
        <v>0</v>
      </c>
      <c r="I60" s="59"/>
      <c r="J60" s="59"/>
      <c r="K60" s="59" t="n">
        <f aca="false">SUM(K7:K59)</f>
        <v>0</v>
      </c>
      <c r="L60" s="59"/>
    </row>
    <row r="63" customFormat="false" ht="16.15" hidden="false" customHeight="true" outlineLevel="0" collapsed="false">
      <c r="A63" s="60" t="s">
        <v>13</v>
      </c>
      <c r="B63" s="60"/>
      <c r="C63" s="60"/>
      <c r="D63" s="60"/>
      <c r="E63" s="60"/>
      <c r="F63" s="60"/>
      <c r="G63" s="60"/>
      <c r="H63" s="60"/>
      <c r="I63" s="60"/>
      <c r="J63" s="60"/>
      <c r="K63" s="60"/>
      <c r="L63" s="60"/>
    </row>
    <row r="64" customFormat="false" ht="43.5" hidden="false" customHeight="true" outlineLevel="0" collapsed="false">
      <c r="A64" s="21" t="s">
        <v>2</v>
      </c>
      <c r="B64" s="21" t="s">
        <v>57</v>
      </c>
      <c r="C64" s="21" t="s">
        <v>58</v>
      </c>
      <c r="D64" s="21" t="s">
        <v>4</v>
      </c>
      <c r="E64" s="21" t="s">
        <v>5</v>
      </c>
      <c r="F64" s="21" t="s">
        <v>6</v>
      </c>
      <c r="G64" s="21" t="s">
        <v>7</v>
      </c>
      <c r="H64" s="21" t="s">
        <v>8</v>
      </c>
      <c r="I64" s="21" t="s">
        <v>9</v>
      </c>
      <c r="J64" s="21" t="s">
        <v>10</v>
      </c>
      <c r="K64" s="21" t="s">
        <v>60</v>
      </c>
      <c r="L64" s="21" t="s">
        <v>59</v>
      </c>
    </row>
    <row r="65" customFormat="false" ht="15" hidden="false" customHeight="false" outlineLevel="0" collapsed="false">
      <c r="A65" s="54" t="n">
        <f aca="false">IF(1&lt;=NW,1,"")</f>
        <v>1</v>
      </c>
      <c r="B65" s="22" t="n">
        <f aca="false">IF(1&lt;=NW,WEEK_ONE+0,"")</f>
        <v>46018</v>
      </c>
      <c r="C65" s="22" t="n">
        <f aca="false">IF(1&lt;=NW,WEEK_ONE+6,"")</f>
        <v>46024</v>
      </c>
      <c r="D65" s="55" t="str">
        <f aca="false">IF('ساعات عبدالعزيز'!$M$5=1,N('ساعات عبدالعزيز'!F16),"")</f>
        <v/>
      </c>
      <c r="E65" s="55" t="str">
        <f aca="false">IF('ساعات عبدالعزيز'!$M$5=1,SUMIFS(ADV_AMT,ADV_E,"عبدالعزيز",ADV_W,1),"")</f>
        <v/>
      </c>
      <c r="F65" s="55" t="str">
        <f aca="false">IF('ساعات عبدالعزيز'!$M$5=1,IF(N(D65)=0,0,MAX(0,IF(INST_MODE="تخفيض تلقائي",FLOOR(MIN(IF(SUMPRODUCT(MAX((LG_E="عبدالعزيز")*(LG_INST&lt;&gt;"")*(LG_D&lt;=C65)*LG_IDX))=0,السنة!$E$7,INDEX(LG_INST,SUMPRODUCT(MAX((LG_E="عبدالعزيز")*(LG_INST&lt;&gt;"")*(LG_D&lt;=C65)*LG_IDX)))),السنة!$D$7+SUMIFS(LG_DEBT,LG_E,"عبدالعزيز",LG_D,"&lt;="&amp;C65)-SUMIFS(LG_REP,LG_E,"عبدالعزيز",LG_D,"&lt;="&amp;C65)-0,INST_CAP*N(D65),N(D65)-N(E65)-NET_FLOOR*N(D65)),0.25),MIN(IF(SUMPRODUCT(MAX((LG_E="عبدالعزيز")*(LG_INST&lt;&gt;"")*(LG_D&lt;=C65)*LG_IDX))=0,السنة!$E$7,INDEX(LG_INST,SUMPRODUCT(MAX((LG_E="عبدالعزيز")*(LG_INST&lt;&gt;"")*(LG_D&lt;=C65)*LG_IDX)))),السنة!$D$7+SUMIFS(LG_DEBT,LG_E,"عبدالعزيز",LG_D,"&lt;="&amp;C65)-SUMIFS(LG_REP,LG_E,"عبدالعزيز",LG_D,"&lt;="&amp;C65)-0)))),"")</f>
        <v/>
      </c>
      <c r="G65" s="56" t="str">
        <f aca="false">IF('ساعات عبدالعزيز'!$M$5=1,IF(1=START_Z,السنة!$C$7,0)+N(D65)-N(E65)-N(F65)-N(K65),"")</f>
        <v/>
      </c>
      <c r="H65" s="55" t="str">
        <f aca="false">IF('ساعات عبدالعزيز'!$M$5=1,N('ساعات عبدالعزيز'!E17),"")</f>
        <v/>
      </c>
      <c r="I65" s="55" t="str">
        <f aca="false">IF('ساعات عبدالعزيز'!$M$5=1,G65-H65,"")</f>
        <v/>
      </c>
      <c r="J65" s="57" t="str">
        <f aca="false">IF('ساعات عبدالعزيز'!$M$5=1,MAX(0,السنة!$D$7+SUMIFS(LG_DEBT,LG_E,"عبدالعزيز",LG_D,"&lt;="&amp;C65)-SUMIFS(LG_REP,LG_E,"عبدالعزيز",LG_D,"&lt;="&amp;C65)-SUM(F65:F65)),"")</f>
        <v/>
      </c>
      <c r="K65" s="55" t="str">
        <f aca="false">IF('ساعات عبدالعزيز'!$M$5=1,N('ساعات عبدالعزيز'!W5),"")</f>
        <v/>
      </c>
      <c r="L65" s="54" t="n">
        <f aca="false">IF(C65="","",MONTH(C65))</f>
        <v>1</v>
      </c>
    </row>
    <row r="66" customFormat="false" ht="15" hidden="false" customHeight="false" outlineLevel="0" collapsed="false">
      <c r="A66" s="54" t="n">
        <f aca="false">IF(2&lt;=NW,2,"")</f>
        <v>2</v>
      </c>
      <c r="B66" s="22" t="n">
        <f aca="false">IF(2&lt;=NW,WEEK_ONE+7,"")</f>
        <v>46025</v>
      </c>
      <c r="C66" s="22" t="n">
        <f aca="false">IF(2&lt;=NW,WEEK_ONE+13,"")</f>
        <v>46031</v>
      </c>
      <c r="D66" s="55" t="str">
        <f aca="false">IF('ساعات عبدالعزيز'!$M$19=1,N('ساعات عبدالعزيز'!F30),"")</f>
        <v/>
      </c>
      <c r="E66" s="55" t="str">
        <f aca="false">IF('ساعات عبدالعزيز'!$M$19=1,SUMIFS(ADV_AMT,ADV_E,"عبدالعزيز",ADV_W,2),"")</f>
        <v/>
      </c>
      <c r="F66" s="55" t="str">
        <f aca="false">IF('ساعات عبدالعزيز'!$M$19=1,IF(N(D66)=0,0,MAX(0,IF(INST_MODE="تخفيض تلقائي",FLOOR(MIN(IF(SUMPRODUCT(MAX((LG_E="عبدالعزيز")*(LG_INST&lt;&gt;"")*(LG_D&lt;=C66)*LG_IDX))=0,السنة!$E$7,INDEX(LG_INST,SUMPRODUCT(MAX((LG_E="عبدالعزيز")*(LG_INST&lt;&gt;"")*(LG_D&lt;=C66)*LG_IDX)))),السنة!$D$7+SUMIFS(LG_DEBT,LG_E,"عبدالعزيز",LG_D,"&lt;="&amp;C66)-SUMIFS(LG_REP,LG_E,"عبدالعزيز",LG_D,"&lt;="&amp;C66)-SUM(F65:F65),INST_CAP*N(D66),N(D66)-N(E66)-NET_FLOOR*N(D66)),0.25),MIN(IF(SUMPRODUCT(MAX((LG_E="عبدالعزيز")*(LG_INST&lt;&gt;"")*(LG_D&lt;=C66)*LG_IDX))=0,السنة!$E$7,INDEX(LG_INST,SUMPRODUCT(MAX((LG_E="عبدالعزيز")*(LG_INST&lt;&gt;"")*(LG_D&lt;=C66)*LG_IDX)))),السنة!$D$7+SUMIFS(LG_DEBT,LG_E,"عبدالعزيز",LG_D,"&lt;="&amp;C66)-SUMIFS(LG_REP,LG_E,"عبدالعزيز",LG_D,"&lt;="&amp;C66)-SUM(F65:F65))))),"")</f>
        <v/>
      </c>
      <c r="G66" s="56" t="str">
        <f aca="false">IF('ساعات عبدالعزيز'!$M$19=1,IF(2=START_Z,السنة!$C$7,N(I65))+N(D66)-N(E66)-N(F66)-N(K66),"")</f>
        <v/>
      </c>
      <c r="H66" s="55" t="str">
        <f aca="false">IF('ساعات عبدالعزيز'!$M$19=1,N('ساعات عبدالعزيز'!E31),"")</f>
        <v/>
      </c>
      <c r="I66" s="55" t="str">
        <f aca="false">IF('ساعات عبدالعزيز'!$M$19=1,G66-H66,"")</f>
        <v/>
      </c>
      <c r="J66" s="57" t="str">
        <f aca="false">IF('ساعات عبدالعزيز'!$M$19=1,MAX(0,السنة!$D$7+SUMIFS(LG_DEBT,LG_E,"عبدالعزيز",LG_D,"&lt;="&amp;C66)-SUMIFS(LG_REP,LG_E,"عبدالعزيز",LG_D,"&lt;="&amp;C66)-SUM(F65:F66)),"")</f>
        <v/>
      </c>
      <c r="K66" s="55" t="str">
        <f aca="false">IF('ساعات عبدالعزيز'!$M$19=1,N('ساعات عبدالعزيز'!W19),"")</f>
        <v/>
      </c>
      <c r="L66" s="54" t="n">
        <f aca="false">IF(C66="","",MONTH(C66))</f>
        <v>1</v>
      </c>
    </row>
    <row r="67" customFormat="false" ht="15" hidden="false" customHeight="false" outlineLevel="0" collapsed="false">
      <c r="A67" s="54" t="n">
        <f aca="false">IF(3&lt;=NW,3,"")</f>
        <v>3</v>
      </c>
      <c r="B67" s="22" t="n">
        <f aca="false">IF(3&lt;=NW,WEEK_ONE+14,"")</f>
        <v>46032</v>
      </c>
      <c r="C67" s="22" t="n">
        <f aca="false">IF(3&lt;=NW,WEEK_ONE+20,"")</f>
        <v>46038</v>
      </c>
      <c r="D67" s="55" t="str">
        <f aca="false">IF('ساعات عبدالعزيز'!$M$33=1,N('ساعات عبدالعزيز'!F44),"")</f>
        <v/>
      </c>
      <c r="E67" s="55" t="str">
        <f aca="false">IF('ساعات عبدالعزيز'!$M$33=1,SUMIFS(ADV_AMT,ADV_E,"عبدالعزيز",ADV_W,3),"")</f>
        <v/>
      </c>
      <c r="F67" s="55" t="str">
        <f aca="false">IF('ساعات عبدالعزيز'!$M$33=1,IF(N(D67)=0,0,MAX(0,IF(INST_MODE="تخفيض تلقائي",FLOOR(MIN(IF(SUMPRODUCT(MAX((LG_E="عبدالعزيز")*(LG_INST&lt;&gt;"")*(LG_D&lt;=C67)*LG_IDX))=0,السنة!$E$7,INDEX(LG_INST,SUMPRODUCT(MAX((LG_E="عبدالعزيز")*(LG_INST&lt;&gt;"")*(LG_D&lt;=C67)*LG_IDX)))),السنة!$D$7+SUMIFS(LG_DEBT,LG_E,"عبدالعزيز",LG_D,"&lt;="&amp;C67)-SUMIFS(LG_REP,LG_E,"عبدالعزيز",LG_D,"&lt;="&amp;C67)-SUM(F65:F66),INST_CAP*N(D67),N(D67)-N(E67)-NET_FLOOR*N(D67)),0.25),MIN(IF(SUMPRODUCT(MAX((LG_E="عبدالعزيز")*(LG_INST&lt;&gt;"")*(LG_D&lt;=C67)*LG_IDX))=0,السنة!$E$7,INDEX(LG_INST,SUMPRODUCT(MAX((LG_E="عبدالعزيز")*(LG_INST&lt;&gt;"")*(LG_D&lt;=C67)*LG_IDX)))),السنة!$D$7+SUMIFS(LG_DEBT,LG_E,"عبدالعزيز",LG_D,"&lt;="&amp;C67)-SUMIFS(LG_REP,LG_E,"عبدالعزيز",LG_D,"&lt;="&amp;C67)-SUM(F65:F66))))),"")</f>
        <v/>
      </c>
      <c r="G67" s="56" t="str">
        <f aca="false">IF('ساعات عبدالعزيز'!$M$33=1,IF(3=START_Z,السنة!$C$7,N(I66))+N(D67)-N(E67)-N(F67)-N(K67),"")</f>
        <v/>
      </c>
      <c r="H67" s="55" t="str">
        <f aca="false">IF('ساعات عبدالعزيز'!$M$33=1,N('ساعات عبدالعزيز'!E45),"")</f>
        <v/>
      </c>
      <c r="I67" s="55" t="str">
        <f aca="false">IF('ساعات عبدالعزيز'!$M$33=1,G67-H67,"")</f>
        <v/>
      </c>
      <c r="J67" s="57" t="str">
        <f aca="false">IF('ساعات عبدالعزيز'!$M$33=1,MAX(0,السنة!$D$7+SUMIFS(LG_DEBT,LG_E,"عبدالعزيز",LG_D,"&lt;="&amp;C67)-SUMIFS(LG_REP,LG_E,"عبدالعزيز",LG_D,"&lt;="&amp;C67)-SUM(F65:F67)),"")</f>
        <v/>
      </c>
      <c r="K67" s="55" t="str">
        <f aca="false">IF('ساعات عبدالعزيز'!$M$33=1,N('ساعات عبدالعزيز'!W33),"")</f>
        <v/>
      </c>
      <c r="L67" s="54" t="n">
        <f aca="false">IF(C67="","",MONTH(C67))</f>
        <v>1</v>
      </c>
    </row>
    <row r="68" customFormat="false" ht="15" hidden="false" customHeight="false" outlineLevel="0" collapsed="false">
      <c r="A68" s="54" t="n">
        <f aca="false">IF(4&lt;=NW,4,"")</f>
        <v>4</v>
      </c>
      <c r="B68" s="22" t="n">
        <f aca="false">IF(4&lt;=NW,WEEK_ONE+21,"")</f>
        <v>46039</v>
      </c>
      <c r="C68" s="22" t="n">
        <f aca="false">IF(4&lt;=NW,WEEK_ONE+27,"")</f>
        <v>46045</v>
      </c>
      <c r="D68" s="55" t="str">
        <f aca="false">IF('ساعات عبدالعزيز'!$M$47=1,N('ساعات عبدالعزيز'!F58),"")</f>
        <v/>
      </c>
      <c r="E68" s="55" t="str">
        <f aca="false">IF('ساعات عبدالعزيز'!$M$47=1,SUMIFS(ADV_AMT,ADV_E,"عبدالعزيز",ADV_W,4),"")</f>
        <v/>
      </c>
      <c r="F68" s="55" t="str">
        <f aca="false">IF('ساعات عبدالعزيز'!$M$47=1,IF(N(D68)=0,0,MAX(0,IF(INST_MODE="تخفيض تلقائي",FLOOR(MIN(IF(SUMPRODUCT(MAX((LG_E="عبدالعزيز")*(LG_INST&lt;&gt;"")*(LG_D&lt;=C68)*LG_IDX))=0,السنة!$E$7,INDEX(LG_INST,SUMPRODUCT(MAX((LG_E="عبدالعزيز")*(LG_INST&lt;&gt;"")*(LG_D&lt;=C68)*LG_IDX)))),السنة!$D$7+SUMIFS(LG_DEBT,LG_E,"عبدالعزيز",LG_D,"&lt;="&amp;C68)-SUMIFS(LG_REP,LG_E,"عبدالعزيز",LG_D,"&lt;="&amp;C68)-SUM(F65:F67),INST_CAP*N(D68),N(D68)-N(E68)-NET_FLOOR*N(D68)),0.25),MIN(IF(SUMPRODUCT(MAX((LG_E="عبدالعزيز")*(LG_INST&lt;&gt;"")*(LG_D&lt;=C68)*LG_IDX))=0,السنة!$E$7,INDEX(LG_INST,SUMPRODUCT(MAX((LG_E="عبدالعزيز")*(LG_INST&lt;&gt;"")*(LG_D&lt;=C68)*LG_IDX)))),السنة!$D$7+SUMIFS(LG_DEBT,LG_E,"عبدالعزيز",LG_D,"&lt;="&amp;C68)-SUMIFS(LG_REP,LG_E,"عبدالعزيز",LG_D,"&lt;="&amp;C68)-SUM(F65:F67))))),"")</f>
        <v/>
      </c>
      <c r="G68" s="56" t="str">
        <f aca="false">IF('ساعات عبدالعزيز'!$M$47=1,IF(4=START_Z,السنة!$C$7,N(I67))+N(D68)-N(E68)-N(F68)-N(K68),"")</f>
        <v/>
      </c>
      <c r="H68" s="55" t="str">
        <f aca="false">IF('ساعات عبدالعزيز'!$M$47=1,N('ساعات عبدالعزيز'!E59),"")</f>
        <v/>
      </c>
      <c r="I68" s="55" t="str">
        <f aca="false">IF('ساعات عبدالعزيز'!$M$47=1,G68-H68,"")</f>
        <v/>
      </c>
      <c r="J68" s="57" t="str">
        <f aca="false">IF('ساعات عبدالعزيز'!$M$47=1,MAX(0,السنة!$D$7+SUMIFS(LG_DEBT,LG_E,"عبدالعزيز",LG_D,"&lt;="&amp;C68)-SUMIFS(LG_REP,LG_E,"عبدالعزيز",LG_D,"&lt;="&amp;C68)-SUM(F65:F68)),"")</f>
        <v/>
      </c>
      <c r="K68" s="55" t="str">
        <f aca="false">IF('ساعات عبدالعزيز'!$M$47=1,N('ساعات عبدالعزيز'!W47),"")</f>
        <v/>
      </c>
      <c r="L68" s="54" t="n">
        <f aca="false">IF(C68="","",MONTH(C68))</f>
        <v>1</v>
      </c>
    </row>
    <row r="69" customFormat="false" ht="15" hidden="false" customHeight="false" outlineLevel="0" collapsed="false">
      <c r="A69" s="54" t="n">
        <f aca="false">IF(5&lt;=NW,5,"")</f>
        <v>5</v>
      </c>
      <c r="B69" s="22" t="n">
        <f aca="false">IF(5&lt;=NW,WEEK_ONE+28,"")</f>
        <v>46046</v>
      </c>
      <c r="C69" s="22" t="n">
        <f aca="false">IF(5&lt;=NW,WEEK_ONE+34,"")</f>
        <v>46052</v>
      </c>
      <c r="D69" s="55" t="str">
        <f aca="false">IF('ساعات عبدالعزيز'!$M$61=1,N('ساعات عبدالعزيز'!F72),"")</f>
        <v/>
      </c>
      <c r="E69" s="55" t="str">
        <f aca="false">IF('ساعات عبدالعزيز'!$M$61=1,SUMIFS(ADV_AMT,ADV_E,"عبدالعزيز",ADV_W,5),"")</f>
        <v/>
      </c>
      <c r="F69" s="55" t="str">
        <f aca="false">IF('ساعات عبدالعزيز'!$M$61=1,IF(N(D69)=0,0,MAX(0,IF(INST_MODE="تخفيض تلقائي",FLOOR(MIN(IF(SUMPRODUCT(MAX((LG_E="عبدالعزيز")*(LG_INST&lt;&gt;"")*(LG_D&lt;=C69)*LG_IDX))=0,السنة!$E$7,INDEX(LG_INST,SUMPRODUCT(MAX((LG_E="عبدالعزيز")*(LG_INST&lt;&gt;"")*(LG_D&lt;=C69)*LG_IDX)))),السنة!$D$7+SUMIFS(LG_DEBT,LG_E,"عبدالعزيز",LG_D,"&lt;="&amp;C69)-SUMIFS(LG_REP,LG_E,"عبدالعزيز",LG_D,"&lt;="&amp;C69)-SUM(F65:F68),INST_CAP*N(D69),N(D69)-N(E69)-NET_FLOOR*N(D69)),0.25),MIN(IF(SUMPRODUCT(MAX((LG_E="عبدالعزيز")*(LG_INST&lt;&gt;"")*(LG_D&lt;=C69)*LG_IDX))=0,السنة!$E$7,INDEX(LG_INST,SUMPRODUCT(MAX((LG_E="عبدالعزيز")*(LG_INST&lt;&gt;"")*(LG_D&lt;=C69)*LG_IDX)))),السنة!$D$7+SUMIFS(LG_DEBT,LG_E,"عبدالعزيز",LG_D,"&lt;="&amp;C69)-SUMIFS(LG_REP,LG_E,"عبدالعزيز",LG_D,"&lt;="&amp;C69)-SUM(F65:F68))))),"")</f>
        <v/>
      </c>
      <c r="G69" s="56" t="str">
        <f aca="false">IF('ساعات عبدالعزيز'!$M$61=1,IF(5=START_Z,السنة!$C$7,N(I68))+N(D69)-N(E69)-N(F69)-N(K69),"")</f>
        <v/>
      </c>
      <c r="H69" s="55" t="str">
        <f aca="false">IF('ساعات عبدالعزيز'!$M$61=1,N('ساعات عبدالعزيز'!E73),"")</f>
        <v/>
      </c>
      <c r="I69" s="55" t="str">
        <f aca="false">IF('ساعات عبدالعزيز'!$M$61=1,G69-H69,"")</f>
        <v/>
      </c>
      <c r="J69" s="57" t="str">
        <f aca="false">IF('ساعات عبدالعزيز'!$M$61=1,MAX(0,السنة!$D$7+SUMIFS(LG_DEBT,LG_E,"عبدالعزيز",LG_D,"&lt;="&amp;C69)-SUMIFS(LG_REP,LG_E,"عبدالعزيز",LG_D,"&lt;="&amp;C69)-SUM(F65:F69)),"")</f>
        <v/>
      </c>
      <c r="K69" s="55" t="str">
        <f aca="false">IF('ساعات عبدالعزيز'!$M$61=1,N('ساعات عبدالعزيز'!W61),"")</f>
        <v/>
      </c>
      <c r="L69" s="54" t="n">
        <f aca="false">IF(C69="","",MONTH(C69))</f>
        <v>1</v>
      </c>
    </row>
    <row r="70" customFormat="false" ht="15" hidden="false" customHeight="false" outlineLevel="0" collapsed="false">
      <c r="A70" s="54" t="n">
        <f aca="false">IF(6&lt;=NW,6,"")</f>
        <v>6</v>
      </c>
      <c r="B70" s="22" t="n">
        <f aca="false">IF(6&lt;=NW,WEEK_ONE+35,"")</f>
        <v>46053</v>
      </c>
      <c r="C70" s="22" t="n">
        <f aca="false">IF(6&lt;=NW,WEEK_ONE+41,"")</f>
        <v>46059</v>
      </c>
      <c r="D70" s="55" t="str">
        <f aca="false">IF('ساعات عبدالعزيز'!$M$75=1,N('ساعات عبدالعزيز'!F86),"")</f>
        <v/>
      </c>
      <c r="E70" s="55" t="str">
        <f aca="false">IF('ساعات عبدالعزيز'!$M$75=1,SUMIFS(ADV_AMT,ADV_E,"عبدالعزيز",ADV_W,6),"")</f>
        <v/>
      </c>
      <c r="F70" s="55" t="str">
        <f aca="false">IF('ساعات عبدالعزيز'!$M$75=1,IF(N(D70)=0,0,MAX(0,IF(INST_MODE="تخفيض تلقائي",FLOOR(MIN(IF(SUMPRODUCT(MAX((LG_E="عبدالعزيز")*(LG_INST&lt;&gt;"")*(LG_D&lt;=C70)*LG_IDX))=0,السنة!$E$7,INDEX(LG_INST,SUMPRODUCT(MAX((LG_E="عبدالعزيز")*(LG_INST&lt;&gt;"")*(LG_D&lt;=C70)*LG_IDX)))),السنة!$D$7+SUMIFS(LG_DEBT,LG_E,"عبدالعزيز",LG_D,"&lt;="&amp;C70)-SUMIFS(LG_REP,LG_E,"عبدالعزيز",LG_D,"&lt;="&amp;C70)-SUM(F65:F69),INST_CAP*N(D70),N(D70)-N(E70)-NET_FLOOR*N(D70)),0.25),MIN(IF(SUMPRODUCT(MAX((LG_E="عبدالعزيز")*(LG_INST&lt;&gt;"")*(LG_D&lt;=C70)*LG_IDX))=0,السنة!$E$7,INDEX(LG_INST,SUMPRODUCT(MAX((LG_E="عبدالعزيز")*(LG_INST&lt;&gt;"")*(LG_D&lt;=C70)*LG_IDX)))),السنة!$D$7+SUMIFS(LG_DEBT,LG_E,"عبدالعزيز",LG_D,"&lt;="&amp;C70)-SUMIFS(LG_REP,LG_E,"عبدالعزيز",LG_D,"&lt;="&amp;C70)-SUM(F65:F69))))),"")</f>
        <v/>
      </c>
      <c r="G70" s="56" t="str">
        <f aca="false">IF('ساعات عبدالعزيز'!$M$75=1,IF(6=START_Z,السنة!$C$7,N(I69))+N(D70)-N(E70)-N(F70)-N(K70),"")</f>
        <v/>
      </c>
      <c r="H70" s="55" t="str">
        <f aca="false">IF('ساعات عبدالعزيز'!$M$75=1,N('ساعات عبدالعزيز'!E87),"")</f>
        <v/>
      </c>
      <c r="I70" s="55" t="str">
        <f aca="false">IF('ساعات عبدالعزيز'!$M$75=1,G70-H70,"")</f>
        <v/>
      </c>
      <c r="J70" s="57" t="str">
        <f aca="false">IF('ساعات عبدالعزيز'!$M$75=1,MAX(0,السنة!$D$7+SUMIFS(LG_DEBT,LG_E,"عبدالعزيز",LG_D,"&lt;="&amp;C70)-SUMIFS(LG_REP,LG_E,"عبدالعزيز",LG_D,"&lt;="&amp;C70)-SUM(F65:F70)),"")</f>
        <v/>
      </c>
      <c r="K70" s="55" t="str">
        <f aca="false">IF('ساعات عبدالعزيز'!$M$75=1,N('ساعات عبدالعزيز'!W75),"")</f>
        <v/>
      </c>
      <c r="L70" s="54" t="n">
        <f aca="false">IF(C70="","",MONTH(C70))</f>
        <v>2</v>
      </c>
    </row>
    <row r="71" customFormat="false" ht="15" hidden="false" customHeight="false" outlineLevel="0" collapsed="false">
      <c r="A71" s="54" t="n">
        <f aca="false">IF(7&lt;=NW,7,"")</f>
        <v>7</v>
      </c>
      <c r="B71" s="22" t="n">
        <f aca="false">IF(7&lt;=NW,WEEK_ONE+42,"")</f>
        <v>46060</v>
      </c>
      <c r="C71" s="22" t="n">
        <f aca="false">IF(7&lt;=NW,WEEK_ONE+48,"")</f>
        <v>46066</v>
      </c>
      <c r="D71" s="55" t="str">
        <f aca="false">IF('ساعات عبدالعزيز'!$M$89=1,N('ساعات عبدالعزيز'!F100),"")</f>
        <v/>
      </c>
      <c r="E71" s="55" t="str">
        <f aca="false">IF('ساعات عبدالعزيز'!$M$89=1,SUMIFS(ADV_AMT,ADV_E,"عبدالعزيز",ADV_W,7),"")</f>
        <v/>
      </c>
      <c r="F71" s="55" t="str">
        <f aca="false">IF('ساعات عبدالعزيز'!$M$89=1,IF(N(D71)=0,0,MAX(0,IF(INST_MODE="تخفيض تلقائي",FLOOR(MIN(IF(SUMPRODUCT(MAX((LG_E="عبدالعزيز")*(LG_INST&lt;&gt;"")*(LG_D&lt;=C71)*LG_IDX))=0,السنة!$E$7,INDEX(LG_INST,SUMPRODUCT(MAX((LG_E="عبدالعزيز")*(LG_INST&lt;&gt;"")*(LG_D&lt;=C71)*LG_IDX)))),السنة!$D$7+SUMIFS(LG_DEBT,LG_E,"عبدالعزيز",LG_D,"&lt;="&amp;C71)-SUMIFS(LG_REP,LG_E,"عبدالعزيز",LG_D,"&lt;="&amp;C71)-SUM(F65:F70),INST_CAP*N(D71),N(D71)-N(E71)-NET_FLOOR*N(D71)),0.25),MIN(IF(SUMPRODUCT(MAX((LG_E="عبدالعزيز")*(LG_INST&lt;&gt;"")*(LG_D&lt;=C71)*LG_IDX))=0,السنة!$E$7,INDEX(LG_INST,SUMPRODUCT(MAX((LG_E="عبدالعزيز")*(LG_INST&lt;&gt;"")*(LG_D&lt;=C71)*LG_IDX)))),السنة!$D$7+SUMIFS(LG_DEBT,LG_E,"عبدالعزيز",LG_D,"&lt;="&amp;C71)-SUMIFS(LG_REP,LG_E,"عبدالعزيز",LG_D,"&lt;="&amp;C71)-SUM(F65:F70))))),"")</f>
        <v/>
      </c>
      <c r="G71" s="56" t="str">
        <f aca="false">IF('ساعات عبدالعزيز'!$M$89=1,IF(7=START_Z,السنة!$C$7,N(I70))+N(D71)-N(E71)-N(F71)-N(K71),"")</f>
        <v/>
      </c>
      <c r="H71" s="55" t="str">
        <f aca="false">IF('ساعات عبدالعزيز'!$M$89=1,N('ساعات عبدالعزيز'!E101),"")</f>
        <v/>
      </c>
      <c r="I71" s="55" t="str">
        <f aca="false">IF('ساعات عبدالعزيز'!$M$89=1,G71-H71,"")</f>
        <v/>
      </c>
      <c r="J71" s="57" t="str">
        <f aca="false">IF('ساعات عبدالعزيز'!$M$89=1,MAX(0,السنة!$D$7+SUMIFS(LG_DEBT,LG_E,"عبدالعزيز",LG_D,"&lt;="&amp;C71)-SUMIFS(LG_REP,LG_E,"عبدالعزيز",LG_D,"&lt;="&amp;C71)-SUM(F65:F71)),"")</f>
        <v/>
      </c>
      <c r="K71" s="55" t="str">
        <f aca="false">IF('ساعات عبدالعزيز'!$M$89=1,N('ساعات عبدالعزيز'!W89),"")</f>
        <v/>
      </c>
      <c r="L71" s="54" t="n">
        <f aca="false">IF(C71="","",MONTH(C71))</f>
        <v>2</v>
      </c>
    </row>
    <row r="72" customFormat="false" ht="15" hidden="false" customHeight="false" outlineLevel="0" collapsed="false">
      <c r="A72" s="54" t="n">
        <f aca="false">IF(8&lt;=NW,8,"")</f>
        <v>8</v>
      </c>
      <c r="B72" s="22" t="n">
        <f aca="false">IF(8&lt;=NW,WEEK_ONE+49,"")</f>
        <v>46067</v>
      </c>
      <c r="C72" s="22" t="n">
        <f aca="false">IF(8&lt;=NW,WEEK_ONE+55,"")</f>
        <v>46073</v>
      </c>
      <c r="D72" s="55" t="str">
        <f aca="false">IF('ساعات عبدالعزيز'!$M$103=1,N('ساعات عبدالعزيز'!F114),"")</f>
        <v/>
      </c>
      <c r="E72" s="55" t="str">
        <f aca="false">IF('ساعات عبدالعزيز'!$M$103=1,SUMIFS(ADV_AMT,ADV_E,"عبدالعزيز",ADV_W,8),"")</f>
        <v/>
      </c>
      <c r="F72" s="55" t="str">
        <f aca="false">IF('ساعات عبدالعزيز'!$M$103=1,IF(N(D72)=0,0,MAX(0,IF(INST_MODE="تخفيض تلقائي",FLOOR(MIN(IF(SUMPRODUCT(MAX((LG_E="عبدالعزيز")*(LG_INST&lt;&gt;"")*(LG_D&lt;=C72)*LG_IDX))=0,السنة!$E$7,INDEX(LG_INST,SUMPRODUCT(MAX((LG_E="عبدالعزيز")*(LG_INST&lt;&gt;"")*(LG_D&lt;=C72)*LG_IDX)))),السنة!$D$7+SUMIFS(LG_DEBT,LG_E,"عبدالعزيز",LG_D,"&lt;="&amp;C72)-SUMIFS(LG_REP,LG_E,"عبدالعزيز",LG_D,"&lt;="&amp;C72)-SUM(F65:F71),INST_CAP*N(D72),N(D72)-N(E72)-NET_FLOOR*N(D72)),0.25),MIN(IF(SUMPRODUCT(MAX((LG_E="عبدالعزيز")*(LG_INST&lt;&gt;"")*(LG_D&lt;=C72)*LG_IDX))=0,السنة!$E$7,INDEX(LG_INST,SUMPRODUCT(MAX((LG_E="عبدالعزيز")*(LG_INST&lt;&gt;"")*(LG_D&lt;=C72)*LG_IDX)))),السنة!$D$7+SUMIFS(LG_DEBT,LG_E,"عبدالعزيز",LG_D,"&lt;="&amp;C72)-SUMIFS(LG_REP,LG_E,"عبدالعزيز",LG_D,"&lt;="&amp;C72)-SUM(F65:F71))))),"")</f>
        <v/>
      </c>
      <c r="G72" s="56" t="str">
        <f aca="false">IF('ساعات عبدالعزيز'!$M$103=1,IF(8=START_Z,السنة!$C$7,N(I71))+N(D72)-N(E72)-N(F72)-N(K72),"")</f>
        <v/>
      </c>
      <c r="H72" s="55" t="str">
        <f aca="false">IF('ساعات عبدالعزيز'!$M$103=1,N('ساعات عبدالعزيز'!E115),"")</f>
        <v/>
      </c>
      <c r="I72" s="55" t="str">
        <f aca="false">IF('ساعات عبدالعزيز'!$M$103=1,G72-H72,"")</f>
        <v/>
      </c>
      <c r="J72" s="57" t="str">
        <f aca="false">IF('ساعات عبدالعزيز'!$M$103=1,MAX(0,السنة!$D$7+SUMIFS(LG_DEBT,LG_E,"عبدالعزيز",LG_D,"&lt;="&amp;C72)-SUMIFS(LG_REP,LG_E,"عبدالعزيز",LG_D,"&lt;="&amp;C72)-SUM(F65:F72)),"")</f>
        <v/>
      </c>
      <c r="K72" s="55" t="str">
        <f aca="false">IF('ساعات عبدالعزيز'!$M$103=1,N('ساعات عبدالعزيز'!W103),"")</f>
        <v/>
      </c>
      <c r="L72" s="54" t="n">
        <f aca="false">IF(C72="","",MONTH(C72))</f>
        <v>2</v>
      </c>
    </row>
    <row r="73" customFormat="false" ht="15" hidden="false" customHeight="false" outlineLevel="0" collapsed="false">
      <c r="A73" s="54" t="n">
        <f aca="false">IF(9&lt;=NW,9,"")</f>
        <v>9</v>
      </c>
      <c r="B73" s="22" t="n">
        <f aca="false">IF(9&lt;=NW,WEEK_ONE+56,"")</f>
        <v>46074</v>
      </c>
      <c r="C73" s="22" t="n">
        <f aca="false">IF(9&lt;=NW,WEEK_ONE+62,"")</f>
        <v>46080</v>
      </c>
      <c r="D73" s="55" t="str">
        <f aca="false">IF('ساعات عبدالعزيز'!$M$117=1,N('ساعات عبدالعزيز'!F128),"")</f>
        <v/>
      </c>
      <c r="E73" s="55" t="str">
        <f aca="false">IF('ساعات عبدالعزيز'!$M$117=1,SUMIFS(ADV_AMT,ADV_E,"عبدالعزيز",ADV_W,9),"")</f>
        <v/>
      </c>
      <c r="F73" s="55" t="str">
        <f aca="false">IF('ساعات عبدالعزيز'!$M$117=1,IF(N(D73)=0,0,MAX(0,IF(INST_MODE="تخفيض تلقائي",FLOOR(MIN(IF(SUMPRODUCT(MAX((LG_E="عبدالعزيز")*(LG_INST&lt;&gt;"")*(LG_D&lt;=C73)*LG_IDX))=0,السنة!$E$7,INDEX(LG_INST,SUMPRODUCT(MAX((LG_E="عبدالعزيز")*(LG_INST&lt;&gt;"")*(LG_D&lt;=C73)*LG_IDX)))),السنة!$D$7+SUMIFS(LG_DEBT,LG_E,"عبدالعزيز",LG_D,"&lt;="&amp;C73)-SUMIFS(LG_REP,LG_E,"عبدالعزيز",LG_D,"&lt;="&amp;C73)-SUM(F65:F72),INST_CAP*N(D73),N(D73)-N(E73)-NET_FLOOR*N(D73)),0.25),MIN(IF(SUMPRODUCT(MAX((LG_E="عبدالعزيز")*(LG_INST&lt;&gt;"")*(LG_D&lt;=C73)*LG_IDX))=0,السنة!$E$7,INDEX(LG_INST,SUMPRODUCT(MAX((LG_E="عبدالعزيز")*(LG_INST&lt;&gt;"")*(LG_D&lt;=C73)*LG_IDX)))),السنة!$D$7+SUMIFS(LG_DEBT,LG_E,"عبدالعزيز",LG_D,"&lt;="&amp;C73)-SUMIFS(LG_REP,LG_E,"عبدالعزيز",LG_D,"&lt;="&amp;C73)-SUM(F65:F72))))),"")</f>
        <v/>
      </c>
      <c r="G73" s="56" t="str">
        <f aca="false">IF('ساعات عبدالعزيز'!$M$117=1,IF(9=START_Z,السنة!$C$7,N(I72))+N(D73)-N(E73)-N(F73)-N(K73),"")</f>
        <v/>
      </c>
      <c r="H73" s="55" t="str">
        <f aca="false">IF('ساعات عبدالعزيز'!$M$117=1,N('ساعات عبدالعزيز'!E129),"")</f>
        <v/>
      </c>
      <c r="I73" s="55" t="str">
        <f aca="false">IF('ساعات عبدالعزيز'!$M$117=1,G73-H73,"")</f>
        <v/>
      </c>
      <c r="J73" s="57" t="str">
        <f aca="false">IF('ساعات عبدالعزيز'!$M$117=1,MAX(0,السنة!$D$7+SUMIFS(LG_DEBT,LG_E,"عبدالعزيز",LG_D,"&lt;="&amp;C73)-SUMIFS(LG_REP,LG_E,"عبدالعزيز",LG_D,"&lt;="&amp;C73)-SUM(F65:F73)),"")</f>
        <v/>
      </c>
      <c r="K73" s="55" t="str">
        <f aca="false">IF('ساعات عبدالعزيز'!$M$117=1,N('ساعات عبدالعزيز'!W117),"")</f>
        <v/>
      </c>
      <c r="L73" s="54" t="n">
        <f aca="false">IF(C73="","",MONTH(C73))</f>
        <v>2</v>
      </c>
    </row>
    <row r="74" customFormat="false" ht="15" hidden="false" customHeight="false" outlineLevel="0" collapsed="false">
      <c r="A74" s="54" t="n">
        <f aca="false">IF(10&lt;=NW,10,"")</f>
        <v>10</v>
      </c>
      <c r="B74" s="22" t="n">
        <f aca="false">IF(10&lt;=NW,WEEK_ONE+63,"")</f>
        <v>46081</v>
      </c>
      <c r="C74" s="22" t="n">
        <f aca="false">IF(10&lt;=NW,WEEK_ONE+69,"")</f>
        <v>46087</v>
      </c>
      <c r="D74" s="55" t="str">
        <f aca="false">IF('ساعات عبدالعزيز'!$M$131=1,N('ساعات عبدالعزيز'!F142),"")</f>
        <v/>
      </c>
      <c r="E74" s="55" t="str">
        <f aca="false">IF('ساعات عبدالعزيز'!$M$131=1,SUMIFS(ADV_AMT,ADV_E,"عبدالعزيز",ADV_W,10),"")</f>
        <v/>
      </c>
      <c r="F74" s="55" t="str">
        <f aca="false">IF('ساعات عبدالعزيز'!$M$131=1,IF(N(D74)=0,0,MAX(0,IF(INST_MODE="تخفيض تلقائي",FLOOR(MIN(IF(SUMPRODUCT(MAX((LG_E="عبدالعزيز")*(LG_INST&lt;&gt;"")*(LG_D&lt;=C74)*LG_IDX))=0,السنة!$E$7,INDEX(LG_INST,SUMPRODUCT(MAX((LG_E="عبدالعزيز")*(LG_INST&lt;&gt;"")*(LG_D&lt;=C74)*LG_IDX)))),السنة!$D$7+SUMIFS(LG_DEBT,LG_E,"عبدالعزيز",LG_D,"&lt;="&amp;C74)-SUMIFS(LG_REP,LG_E,"عبدالعزيز",LG_D,"&lt;="&amp;C74)-SUM(F65:F73),INST_CAP*N(D74),N(D74)-N(E74)-NET_FLOOR*N(D74)),0.25),MIN(IF(SUMPRODUCT(MAX((LG_E="عبدالعزيز")*(LG_INST&lt;&gt;"")*(LG_D&lt;=C74)*LG_IDX))=0,السنة!$E$7,INDEX(LG_INST,SUMPRODUCT(MAX((LG_E="عبدالعزيز")*(LG_INST&lt;&gt;"")*(LG_D&lt;=C74)*LG_IDX)))),السنة!$D$7+SUMIFS(LG_DEBT,LG_E,"عبدالعزيز",LG_D,"&lt;="&amp;C74)-SUMIFS(LG_REP,LG_E,"عبدالعزيز",LG_D,"&lt;="&amp;C74)-SUM(F65:F73))))),"")</f>
        <v/>
      </c>
      <c r="G74" s="56" t="str">
        <f aca="false">IF('ساعات عبدالعزيز'!$M$131=1,IF(10=START_Z,السنة!$C$7,N(I73))+N(D74)-N(E74)-N(F74)-N(K74),"")</f>
        <v/>
      </c>
      <c r="H74" s="55" t="str">
        <f aca="false">IF('ساعات عبدالعزيز'!$M$131=1,N('ساعات عبدالعزيز'!E143),"")</f>
        <v/>
      </c>
      <c r="I74" s="55" t="str">
        <f aca="false">IF('ساعات عبدالعزيز'!$M$131=1,G74-H74,"")</f>
        <v/>
      </c>
      <c r="J74" s="57" t="str">
        <f aca="false">IF('ساعات عبدالعزيز'!$M$131=1,MAX(0,السنة!$D$7+SUMIFS(LG_DEBT,LG_E,"عبدالعزيز",LG_D,"&lt;="&amp;C74)-SUMIFS(LG_REP,LG_E,"عبدالعزيز",LG_D,"&lt;="&amp;C74)-SUM(F65:F74)),"")</f>
        <v/>
      </c>
      <c r="K74" s="55" t="str">
        <f aca="false">IF('ساعات عبدالعزيز'!$M$131=1,N('ساعات عبدالعزيز'!W131),"")</f>
        <v/>
      </c>
      <c r="L74" s="54" t="n">
        <f aca="false">IF(C74="","",MONTH(C74))</f>
        <v>3</v>
      </c>
    </row>
    <row r="75" customFormat="false" ht="15" hidden="false" customHeight="false" outlineLevel="0" collapsed="false">
      <c r="A75" s="54" t="n">
        <f aca="false">IF(11&lt;=NW,11,"")</f>
        <v>11</v>
      </c>
      <c r="B75" s="22" t="n">
        <f aca="false">IF(11&lt;=NW,WEEK_ONE+70,"")</f>
        <v>46088</v>
      </c>
      <c r="C75" s="22" t="n">
        <f aca="false">IF(11&lt;=NW,WEEK_ONE+76,"")</f>
        <v>46094</v>
      </c>
      <c r="D75" s="55" t="str">
        <f aca="false">IF('ساعات عبدالعزيز'!$M$145=1,N('ساعات عبدالعزيز'!F156),"")</f>
        <v/>
      </c>
      <c r="E75" s="55" t="str">
        <f aca="false">IF('ساعات عبدالعزيز'!$M$145=1,SUMIFS(ADV_AMT,ADV_E,"عبدالعزيز",ADV_W,11),"")</f>
        <v/>
      </c>
      <c r="F75" s="55" t="str">
        <f aca="false">IF('ساعات عبدالعزيز'!$M$145=1,IF(N(D75)=0,0,MAX(0,IF(INST_MODE="تخفيض تلقائي",FLOOR(MIN(IF(SUMPRODUCT(MAX((LG_E="عبدالعزيز")*(LG_INST&lt;&gt;"")*(LG_D&lt;=C75)*LG_IDX))=0,السنة!$E$7,INDEX(LG_INST,SUMPRODUCT(MAX((LG_E="عبدالعزيز")*(LG_INST&lt;&gt;"")*(LG_D&lt;=C75)*LG_IDX)))),السنة!$D$7+SUMIFS(LG_DEBT,LG_E,"عبدالعزيز",LG_D,"&lt;="&amp;C75)-SUMIFS(LG_REP,LG_E,"عبدالعزيز",LG_D,"&lt;="&amp;C75)-SUM(F65:F74),INST_CAP*N(D75),N(D75)-N(E75)-NET_FLOOR*N(D75)),0.25),MIN(IF(SUMPRODUCT(MAX((LG_E="عبدالعزيز")*(LG_INST&lt;&gt;"")*(LG_D&lt;=C75)*LG_IDX))=0,السنة!$E$7,INDEX(LG_INST,SUMPRODUCT(MAX((LG_E="عبدالعزيز")*(LG_INST&lt;&gt;"")*(LG_D&lt;=C75)*LG_IDX)))),السنة!$D$7+SUMIFS(LG_DEBT,LG_E,"عبدالعزيز",LG_D,"&lt;="&amp;C75)-SUMIFS(LG_REP,LG_E,"عبدالعزيز",LG_D,"&lt;="&amp;C75)-SUM(F65:F74))))),"")</f>
        <v/>
      </c>
      <c r="G75" s="56" t="str">
        <f aca="false">IF('ساعات عبدالعزيز'!$M$145=1,IF(11=START_Z,السنة!$C$7,N(I74))+N(D75)-N(E75)-N(F75)-N(K75),"")</f>
        <v/>
      </c>
      <c r="H75" s="55" t="str">
        <f aca="false">IF('ساعات عبدالعزيز'!$M$145=1,N('ساعات عبدالعزيز'!E157),"")</f>
        <v/>
      </c>
      <c r="I75" s="55" t="str">
        <f aca="false">IF('ساعات عبدالعزيز'!$M$145=1,G75-H75,"")</f>
        <v/>
      </c>
      <c r="J75" s="57" t="str">
        <f aca="false">IF('ساعات عبدالعزيز'!$M$145=1,MAX(0,السنة!$D$7+SUMIFS(LG_DEBT,LG_E,"عبدالعزيز",LG_D,"&lt;="&amp;C75)-SUMIFS(LG_REP,LG_E,"عبدالعزيز",LG_D,"&lt;="&amp;C75)-SUM(F65:F75)),"")</f>
        <v/>
      </c>
      <c r="K75" s="55" t="str">
        <f aca="false">IF('ساعات عبدالعزيز'!$M$145=1,N('ساعات عبدالعزيز'!W145),"")</f>
        <v/>
      </c>
      <c r="L75" s="54" t="n">
        <f aca="false">IF(C75="","",MONTH(C75))</f>
        <v>3</v>
      </c>
    </row>
    <row r="76" customFormat="false" ht="15" hidden="false" customHeight="false" outlineLevel="0" collapsed="false">
      <c r="A76" s="54" t="n">
        <f aca="false">IF(12&lt;=NW,12,"")</f>
        <v>12</v>
      </c>
      <c r="B76" s="22" t="n">
        <f aca="false">IF(12&lt;=NW,WEEK_ONE+77,"")</f>
        <v>46095</v>
      </c>
      <c r="C76" s="22" t="n">
        <f aca="false">IF(12&lt;=NW,WEEK_ONE+83,"")</f>
        <v>46101</v>
      </c>
      <c r="D76" s="55" t="str">
        <f aca="false">IF('ساعات عبدالعزيز'!$M$159=1,N('ساعات عبدالعزيز'!F170),"")</f>
        <v/>
      </c>
      <c r="E76" s="55" t="str">
        <f aca="false">IF('ساعات عبدالعزيز'!$M$159=1,SUMIFS(ADV_AMT,ADV_E,"عبدالعزيز",ADV_W,12),"")</f>
        <v/>
      </c>
      <c r="F76" s="55" t="str">
        <f aca="false">IF('ساعات عبدالعزيز'!$M$159=1,IF(N(D76)=0,0,MAX(0,IF(INST_MODE="تخفيض تلقائي",FLOOR(MIN(IF(SUMPRODUCT(MAX((LG_E="عبدالعزيز")*(LG_INST&lt;&gt;"")*(LG_D&lt;=C76)*LG_IDX))=0,السنة!$E$7,INDEX(LG_INST,SUMPRODUCT(MAX((LG_E="عبدالعزيز")*(LG_INST&lt;&gt;"")*(LG_D&lt;=C76)*LG_IDX)))),السنة!$D$7+SUMIFS(LG_DEBT,LG_E,"عبدالعزيز",LG_D,"&lt;="&amp;C76)-SUMIFS(LG_REP,LG_E,"عبدالعزيز",LG_D,"&lt;="&amp;C76)-SUM(F65:F75),INST_CAP*N(D76),N(D76)-N(E76)-NET_FLOOR*N(D76)),0.25),MIN(IF(SUMPRODUCT(MAX((LG_E="عبدالعزيز")*(LG_INST&lt;&gt;"")*(LG_D&lt;=C76)*LG_IDX))=0,السنة!$E$7,INDEX(LG_INST,SUMPRODUCT(MAX((LG_E="عبدالعزيز")*(LG_INST&lt;&gt;"")*(LG_D&lt;=C76)*LG_IDX)))),السنة!$D$7+SUMIFS(LG_DEBT,LG_E,"عبدالعزيز",LG_D,"&lt;="&amp;C76)-SUMIFS(LG_REP,LG_E,"عبدالعزيز",LG_D,"&lt;="&amp;C76)-SUM(F65:F75))))),"")</f>
        <v/>
      </c>
      <c r="G76" s="56" t="str">
        <f aca="false">IF('ساعات عبدالعزيز'!$M$159=1,IF(12=START_Z,السنة!$C$7,N(I75))+N(D76)-N(E76)-N(F76)-N(K76),"")</f>
        <v/>
      </c>
      <c r="H76" s="55" t="str">
        <f aca="false">IF('ساعات عبدالعزيز'!$M$159=1,N('ساعات عبدالعزيز'!E171),"")</f>
        <v/>
      </c>
      <c r="I76" s="55" t="str">
        <f aca="false">IF('ساعات عبدالعزيز'!$M$159=1,G76-H76,"")</f>
        <v/>
      </c>
      <c r="J76" s="57" t="str">
        <f aca="false">IF('ساعات عبدالعزيز'!$M$159=1,MAX(0,السنة!$D$7+SUMIFS(LG_DEBT,LG_E,"عبدالعزيز",LG_D,"&lt;="&amp;C76)-SUMIFS(LG_REP,LG_E,"عبدالعزيز",LG_D,"&lt;="&amp;C76)-SUM(F65:F76)),"")</f>
        <v/>
      </c>
      <c r="K76" s="55" t="str">
        <f aca="false">IF('ساعات عبدالعزيز'!$M$159=1,N('ساعات عبدالعزيز'!W159),"")</f>
        <v/>
      </c>
      <c r="L76" s="54" t="n">
        <f aca="false">IF(C76="","",MONTH(C76))</f>
        <v>3</v>
      </c>
    </row>
    <row r="77" customFormat="false" ht="15" hidden="false" customHeight="false" outlineLevel="0" collapsed="false">
      <c r="A77" s="54" t="n">
        <f aca="false">IF(13&lt;=NW,13,"")</f>
        <v>13</v>
      </c>
      <c r="B77" s="22" t="n">
        <f aca="false">IF(13&lt;=NW,WEEK_ONE+84,"")</f>
        <v>46102</v>
      </c>
      <c r="C77" s="22" t="n">
        <f aca="false">IF(13&lt;=NW,WEEK_ONE+90,"")</f>
        <v>46108</v>
      </c>
      <c r="D77" s="55" t="str">
        <f aca="false">IF('ساعات عبدالعزيز'!$M$173=1,N('ساعات عبدالعزيز'!F184),"")</f>
        <v/>
      </c>
      <c r="E77" s="55" t="str">
        <f aca="false">IF('ساعات عبدالعزيز'!$M$173=1,SUMIFS(ADV_AMT,ADV_E,"عبدالعزيز",ADV_W,13),"")</f>
        <v/>
      </c>
      <c r="F77" s="55" t="str">
        <f aca="false">IF('ساعات عبدالعزيز'!$M$173=1,IF(N(D77)=0,0,MAX(0,IF(INST_MODE="تخفيض تلقائي",FLOOR(MIN(IF(SUMPRODUCT(MAX((LG_E="عبدالعزيز")*(LG_INST&lt;&gt;"")*(LG_D&lt;=C77)*LG_IDX))=0,السنة!$E$7,INDEX(LG_INST,SUMPRODUCT(MAX((LG_E="عبدالعزيز")*(LG_INST&lt;&gt;"")*(LG_D&lt;=C77)*LG_IDX)))),السنة!$D$7+SUMIFS(LG_DEBT,LG_E,"عبدالعزيز",LG_D,"&lt;="&amp;C77)-SUMIFS(LG_REP,LG_E,"عبدالعزيز",LG_D,"&lt;="&amp;C77)-SUM(F65:F76),INST_CAP*N(D77),N(D77)-N(E77)-NET_FLOOR*N(D77)),0.25),MIN(IF(SUMPRODUCT(MAX((LG_E="عبدالعزيز")*(LG_INST&lt;&gt;"")*(LG_D&lt;=C77)*LG_IDX))=0,السنة!$E$7,INDEX(LG_INST,SUMPRODUCT(MAX((LG_E="عبدالعزيز")*(LG_INST&lt;&gt;"")*(LG_D&lt;=C77)*LG_IDX)))),السنة!$D$7+SUMIFS(LG_DEBT,LG_E,"عبدالعزيز",LG_D,"&lt;="&amp;C77)-SUMIFS(LG_REP,LG_E,"عبدالعزيز",LG_D,"&lt;="&amp;C77)-SUM(F65:F76))))),"")</f>
        <v/>
      </c>
      <c r="G77" s="56" t="str">
        <f aca="false">IF('ساعات عبدالعزيز'!$M$173=1,IF(13=START_Z,السنة!$C$7,N(I76))+N(D77)-N(E77)-N(F77)-N(K77),"")</f>
        <v/>
      </c>
      <c r="H77" s="55" t="str">
        <f aca="false">IF('ساعات عبدالعزيز'!$M$173=1,N('ساعات عبدالعزيز'!E185),"")</f>
        <v/>
      </c>
      <c r="I77" s="55" t="str">
        <f aca="false">IF('ساعات عبدالعزيز'!$M$173=1,G77-H77,"")</f>
        <v/>
      </c>
      <c r="J77" s="57" t="str">
        <f aca="false">IF('ساعات عبدالعزيز'!$M$173=1,MAX(0,السنة!$D$7+SUMIFS(LG_DEBT,LG_E,"عبدالعزيز",LG_D,"&lt;="&amp;C77)-SUMIFS(LG_REP,LG_E,"عبدالعزيز",LG_D,"&lt;="&amp;C77)-SUM(F65:F77)),"")</f>
        <v/>
      </c>
      <c r="K77" s="55" t="str">
        <f aca="false">IF('ساعات عبدالعزيز'!$M$173=1,N('ساعات عبدالعزيز'!W173),"")</f>
        <v/>
      </c>
      <c r="L77" s="54" t="n">
        <f aca="false">IF(C77="","",MONTH(C77))</f>
        <v>3</v>
      </c>
    </row>
    <row r="78" customFormat="false" ht="15" hidden="false" customHeight="false" outlineLevel="0" collapsed="false">
      <c r="A78" s="54" t="n">
        <f aca="false">IF(14&lt;=NW,14,"")</f>
        <v>14</v>
      </c>
      <c r="B78" s="22" t="n">
        <f aca="false">IF(14&lt;=NW,WEEK_ONE+91,"")</f>
        <v>46109</v>
      </c>
      <c r="C78" s="22" t="n">
        <f aca="false">IF(14&lt;=NW,WEEK_ONE+97,"")</f>
        <v>46115</v>
      </c>
      <c r="D78" s="55" t="str">
        <f aca="false">IF('ساعات عبدالعزيز'!$M$187=1,N('ساعات عبدالعزيز'!F198),"")</f>
        <v/>
      </c>
      <c r="E78" s="55" t="str">
        <f aca="false">IF('ساعات عبدالعزيز'!$M$187=1,SUMIFS(ADV_AMT,ADV_E,"عبدالعزيز",ADV_W,14),"")</f>
        <v/>
      </c>
      <c r="F78" s="55" t="str">
        <f aca="false">IF('ساعات عبدالعزيز'!$M$187=1,IF(N(D78)=0,0,MAX(0,IF(INST_MODE="تخفيض تلقائي",FLOOR(MIN(IF(SUMPRODUCT(MAX((LG_E="عبدالعزيز")*(LG_INST&lt;&gt;"")*(LG_D&lt;=C78)*LG_IDX))=0,السنة!$E$7,INDEX(LG_INST,SUMPRODUCT(MAX((LG_E="عبدالعزيز")*(LG_INST&lt;&gt;"")*(LG_D&lt;=C78)*LG_IDX)))),السنة!$D$7+SUMIFS(LG_DEBT,LG_E,"عبدالعزيز",LG_D,"&lt;="&amp;C78)-SUMIFS(LG_REP,LG_E,"عبدالعزيز",LG_D,"&lt;="&amp;C78)-SUM(F65:F77),INST_CAP*N(D78),N(D78)-N(E78)-NET_FLOOR*N(D78)),0.25),MIN(IF(SUMPRODUCT(MAX((LG_E="عبدالعزيز")*(LG_INST&lt;&gt;"")*(LG_D&lt;=C78)*LG_IDX))=0,السنة!$E$7,INDEX(LG_INST,SUMPRODUCT(MAX((LG_E="عبدالعزيز")*(LG_INST&lt;&gt;"")*(LG_D&lt;=C78)*LG_IDX)))),السنة!$D$7+SUMIFS(LG_DEBT,LG_E,"عبدالعزيز",LG_D,"&lt;="&amp;C78)-SUMIFS(LG_REP,LG_E,"عبدالعزيز",LG_D,"&lt;="&amp;C78)-SUM(F65:F77))))),"")</f>
        <v/>
      </c>
      <c r="G78" s="56" t="str">
        <f aca="false">IF('ساعات عبدالعزيز'!$M$187=1,IF(14=START_Z,السنة!$C$7,N(I77))+N(D78)-N(E78)-N(F78)-N(K78),"")</f>
        <v/>
      </c>
      <c r="H78" s="55" t="str">
        <f aca="false">IF('ساعات عبدالعزيز'!$M$187=1,N('ساعات عبدالعزيز'!E199),"")</f>
        <v/>
      </c>
      <c r="I78" s="55" t="str">
        <f aca="false">IF('ساعات عبدالعزيز'!$M$187=1,G78-H78,"")</f>
        <v/>
      </c>
      <c r="J78" s="57" t="str">
        <f aca="false">IF('ساعات عبدالعزيز'!$M$187=1,MAX(0,السنة!$D$7+SUMIFS(LG_DEBT,LG_E,"عبدالعزيز",LG_D,"&lt;="&amp;C78)-SUMIFS(LG_REP,LG_E,"عبدالعزيز",LG_D,"&lt;="&amp;C78)-SUM(F65:F78)),"")</f>
        <v/>
      </c>
      <c r="K78" s="55" t="str">
        <f aca="false">IF('ساعات عبدالعزيز'!$M$187=1,N('ساعات عبدالعزيز'!W187),"")</f>
        <v/>
      </c>
      <c r="L78" s="54" t="n">
        <f aca="false">IF(C78="","",MONTH(C78))</f>
        <v>4</v>
      </c>
    </row>
    <row r="79" customFormat="false" ht="15" hidden="false" customHeight="false" outlineLevel="0" collapsed="false">
      <c r="A79" s="54" t="n">
        <f aca="false">IF(15&lt;=NW,15,"")</f>
        <v>15</v>
      </c>
      <c r="B79" s="22" t="n">
        <f aca="false">IF(15&lt;=NW,WEEK_ONE+98,"")</f>
        <v>46116</v>
      </c>
      <c r="C79" s="22" t="n">
        <f aca="false">IF(15&lt;=NW,WEEK_ONE+104,"")</f>
        <v>46122</v>
      </c>
      <c r="D79" s="55" t="str">
        <f aca="false">IF('ساعات عبدالعزيز'!$M$201=1,N('ساعات عبدالعزيز'!F212),"")</f>
        <v/>
      </c>
      <c r="E79" s="55" t="str">
        <f aca="false">IF('ساعات عبدالعزيز'!$M$201=1,SUMIFS(ADV_AMT,ADV_E,"عبدالعزيز",ADV_W,15),"")</f>
        <v/>
      </c>
      <c r="F79" s="55" t="str">
        <f aca="false">IF('ساعات عبدالعزيز'!$M$201=1,IF(N(D79)=0,0,MAX(0,IF(INST_MODE="تخفيض تلقائي",FLOOR(MIN(IF(SUMPRODUCT(MAX((LG_E="عبدالعزيز")*(LG_INST&lt;&gt;"")*(LG_D&lt;=C79)*LG_IDX))=0,السنة!$E$7,INDEX(LG_INST,SUMPRODUCT(MAX((LG_E="عبدالعزيز")*(LG_INST&lt;&gt;"")*(LG_D&lt;=C79)*LG_IDX)))),السنة!$D$7+SUMIFS(LG_DEBT,LG_E,"عبدالعزيز",LG_D,"&lt;="&amp;C79)-SUMIFS(LG_REP,LG_E,"عبدالعزيز",LG_D,"&lt;="&amp;C79)-SUM(F65:F78),INST_CAP*N(D79),N(D79)-N(E79)-NET_FLOOR*N(D79)),0.25),MIN(IF(SUMPRODUCT(MAX((LG_E="عبدالعزيز")*(LG_INST&lt;&gt;"")*(LG_D&lt;=C79)*LG_IDX))=0,السنة!$E$7,INDEX(LG_INST,SUMPRODUCT(MAX((LG_E="عبدالعزيز")*(LG_INST&lt;&gt;"")*(LG_D&lt;=C79)*LG_IDX)))),السنة!$D$7+SUMIFS(LG_DEBT,LG_E,"عبدالعزيز",LG_D,"&lt;="&amp;C79)-SUMIFS(LG_REP,LG_E,"عبدالعزيز",LG_D,"&lt;="&amp;C79)-SUM(F65:F78))))),"")</f>
        <v/>
      </c>
      <c r="G79" s="56" t="str">
        <f aca="false">IF('ساعات عبدالعزيز'!$M$201=1,IF(15=START_Z,السنة!$C$7,N(I78))+N(D79)-N(E79)-N(F79)-N(K79),"")</f>
        <v/>
      </c>
      <c r="H79" s="55" t="str">
        <f aca="false">IF('ساعات عبدالعزيز'!$M$201=1,N('ساعات عبدالعزيز'!E213),"")</f>
        <v/>
      </c>
      <c r="I79" s="55" t="str">
        <f aca="false">IF('ساعات عبدالعزيز'!$M$201=1,G79-H79,"")</f>
        <v/>
      </c>
      <c r="J79" s="57" t="str">
        <f aca="false">IF('ساعات عبدالعزيز'!$M$201=1,MAX(0,السنة!$D$7+SUMIFS(LG_DEBT,LG_E,"عبدالعزيز",LG_D,"&lt;="&amp;C79)-SUMIFS(LG_REP,LG_E,"عبدالعزيز",LG_D,"&lt;="&amp;C79)-SUM(F65:F79)),"")</f>
        <v/>
      </c>
      <c r="K79" s="55" t="str">
        <f aca="false">IF('ساعات عبدالعزيز'!$M$201=1,N('ساعات عبدالعزيز'!W201),"")</f>
        <v/>
      </c>
      <c r="L79" s="54" t="n">
        <f aca="false">IF(C79="","",MONTH(C79))</f>
        <v>4</v>
      </c>
    </row>
    <row r="80" customFormat="false" ht="15" hidden="false" customHeight="false" outlineLevel="0" collapsed="false">
      <c r="A80" s="54" t="n">
        <f aca="false">IF(16&lt;=NW,16,"")</f>
        <v>16</v>
      </c>
      <c r="B80" s="22" t="n">
        <f aca="false">IF(16&lt;=NW,WEEK_ONE+105,"")</f>
        <v>46123</v>
      </c>
      <c r="C80" s="22" t="n">
        <f aca="false">IF(16&lt;=NW,WEEK_ONE+111,"")</f>
        <v>46129</v>
      </c>
      <c r="D80" s="55" t="str">
        <f aca="false">IF('ساعات عبدالعزيز'!$M$215=1,N('ساعات عبدالعزيز'!F226),"")</f>
        <v/>
      </c>
      <c r="E80" s="55" t="str">
        <f aca="false">IF('ساعات عبدالعزيز'!$M$215=1,SUMIFS(ADV_AMT,ADV_E,"عبدالعزيز",ADV_W,16),"")</f>
        <v/>
      </c>
      <c r="F80" s="55" t="str">
        <f aca="false">IF('ساعات عبدالعزيز'!$M$215=1,IF(N(D80)=0,0,MAX(0,IF(INST_MODE="تخفيض تلقائي",FLOOR(MIN(IF(SUMPRODUCT(MAX((LG_E="عبدالعزيز")*(LG_INST&lt;&gt;"")*(LG_D&lt;=C80)*LG_IDX))=0,السنة!$E$7,INDEX(LG_INST,SUMPRODUCT(MAX((LG_E="عبدالعزيز")*(LG_INST&lt;&gt;"")*(LG_D&lt;=C80)*LG_IDX)))),السنة!$D$7+SUMIFS(LG_DEBT,LG_E,"عبدالعزيز",LG_D,"&lt;="&amp;C80)-SUMIFS(LG_REP,LG_E,"عبدالعزيز",LG_D,"&lt;="&amp;C80)-SUM(F65:F79),INST_CAP*N(D80),N(D80)-N(E80)-NET_FLOOR*N(D80)),0.25),MIN(IF(SUMPRODUCT(MAX((LG_E="عبدالعزيز")*(LG_INST&lt;&gt;"")*(LG_D&lt;=C80)*LG_IDX))=0,السنة!$E$7,INDEX(LG_INST,SUMPRODUCT(MAX((LG_E="عبدالعزيز")*(LG_INST&lt;&gt;"")*(LG_D&lt;=C80)*LG_IDX)))),السنة!$D$7+SUMIFS(LG_DEBT,LG_E,"عبدالعزيز",LG_D,"&lt;="&amp;C80)-SUMIFS(LG_REP,LG_E,"عبدالعزيز",LG_D,"&lt;="&amp;C80)-SUM(F65:F79))))),"")</f>
        <v/>
      </c>
      <c r="G80" s="56" t="str">
        <f aca="false">IF('ساعات عبدالعزيز'!$M$215=1,IF(16=START_Z,السنة!$C$7,N(I79))+N(D80)-N(E80)-N(F80)-N(K80),"")</f>
        <v/>
      </c>
      <c r="H80" s="55" t="str">
        <f aca="false">IF('ساعات عبدالعزيز'!$M$215=1,N('ساعات عبدالعزيز'!E227),"")</f>
        <v/>
      </c>
      <c r="I80" s="55" t="str">
        <f aca="false">IF('ساعات عبدالعزيز'!$M$215=1,G80-H80,"")</f>
        <v/>
      </c>
      <c r="J80" s="57" t="str">
        <f aca="false">IF('ساعات عبدالعزيز'!$M$215=1,MAX(0,السنة!$D$7+SUMIFS(LG_DEBT,LG_E,"عبدالعزيز",LG_D,"&lt;="&amp;C80)-SUMIFS(LG_REP,LG_E,"عبدالعزيز",LG_D,"&lt;="&amp;C80)-SUM(F65:F80)),"")</f>
        <v/>
      </c>
      <c r="K80" s="55" t="str">
        <f aca="false">IF('ساعات عبدالعزيز'!$M$215=1,N('ساعات عبدالعزيز'!W215),"")</f>
        <v/>
      </c>
      <c r="L80" s="54" t="n">
        <f aca="false">IF(C80="","",MONTH(C80))</f>
        <v>4</v>
      </c>
    </row>
    <row r="81" customFormat="false" ht="15" hidden="false" customHeight="false" outlineLevel="0" collapsed="false">
      <c r="A81" s="54" t="n">
        <f aca="false">IF(17&lt;=NW,17,"")</f>
        <v>17</v>
      </c>
      <c r="B81" s="22" t="n">
        <f aca="false">IF(17&lt;=NW,WEEK_ONE+112,"")</f>
        <v>46130</v>
      </c>
      <c r="C81" s="22" t="n">
        <f aca="false">IF(17&lt;=NW,WEEK_ONE+118,"")</f>
        <v>46136</v>
      </c>
      <c r="D81" s="55" t="str">
        <f aca="false">IF('ساعات عبدالعزيز'!$M$229=1,N('ساعات عبدالعزيز'!F240),"")</f>
        <v/>
      </c>
      <c r="E81" s="55" t="str">
        <f aca="false">IF('ساعات عبدالعزيز'!$M$229=1,SUMIFS(ADV_AMT,ADV_E,"عبدالعزيز",ADV_W,17),"")</f>
        <v/>
      </c>
      <c r="F81" s="55" t="str">
        <f aca="false">IF('ساعات عبدالعزيز'!$M$229=1,IF(N(D81)=0,0,MAX(0,IF(INST_MODE="تخفيض تلقائي",FLOOR(MIN(IF(SUMPRODUCT(MAX((LG_E="عبدالعزيز")*(LG_INST&lt;&gt;"")*(LG_D&lt;=C81)*LG_IDX))=0,السنة!$E$7,INDEX(LG_INST,SUMPRODUCT(MAX((LG_E="عبدالعزيز")*(LG_INST&lt;&gt;"")*(LG_D&lt;=C81)*LG_IDX)))),السنة!$D$7+SUMIFS(LG_DEBT,LG_E,"عبدالعزيز",LG_D,"&lt;="&amp;C81)-SUMIFS(LG_REP,LG_E,"عبدالعزيز",LG_D,"&lt;="&amp;C81)-SUM(F65:F80),INST_CAP*N(D81),N(D81)-N(E81)-NET_FLOOR*N(D81)),0.25),MIN(IF(SUMPRODUCT(MAX((LG_E="عبدالعزيز")*(LG_INST&lt;&gt;"")*(LG_D&lt;=C81)*LG_IDX))=0,السنة!$E$7,INDEX(LG_INST,SUMPRODUCT(MAX((LG_E="عبدالعزيز")*(LG_INST&lt;&gt;"")*(LG_D&lt;=C81)*LG_IDX)))),السنة!$D$7+SUMIFS(LG_DEBT,LG_E,"عبدالعزيز",LG_D,"&lt;="&amp;C81)-SUMIFS(LG_REP,LG_E,"عبدالعزيز",LG_D,"&lt;="&amp;C81)-SUM(F65:F80))))),"")</f>
        <v/>
      </c>
      <c r="G81" s="56" t="str">
        <f aca="false">IF('ساعات عبدالعزيز'!$M$229=1,IF(17=START_Z,السنة!$C$7,N(I80))+N(D81)-N(E81)-N(F81)-N(K81),"")</f>
        <v/>
      </c>
      <c r="H81" s="55" t="str">
        <f aca="false">IF('ساعات عبدالعزيز'!$M$229=1,N('ساعات عبدالعزيز'!E241),"")</f>
        <v/>
      </c>
      <c r="I81" s="55" t="str">
        <f aca="false">IF('ساعات عبدالعزيز'!$M$229=1,G81-H81,"")</f>
        <v/>
      </c>
      <c r="J81" s="57" t="str">
        <f aca="false">IF('ساعات عبدالعزيز'!$M$229=1,MAX(0,السنة!$D$7+SUMIFS(LG_DEBT,LG_E,"عبدالعزيز",LG_D,"&lt;="&amp;C81)-SUMIFS(LG_REP,LG_E,"عبدالعزيز",LG_D,"&lt;="&amp;C81)-SUM(F65:F81)),"")</f>
        <v/>
      </c>
      <c r="K81" s="55" t="str">
        <f aca="false">IF('ساعات عبدالعزيز'!$M$229=1,N('ساعات عبدالعزيز'!W229),"")</f>
        <v/>
      </c>
      <c r="L81" s="54" t="n">
        <f aca="false">IF(C81="","",MONTH(C81))</f>
        <v>4</v>
      </c>
    </row>
    <row r="82" customFormat="false" ht="15" hidden="false" customHeight="false" outlineLevel="0" collapsed="false">
      <c r="A82" s="54" t="n">
        <f aca="false">IF(18&lt;=NW,18,"")</f>
        <v>18</v>
      </c>
      <c r="B82" s="22" t="n">
        <f aca="false">IF(18&lt;=NW,WEEK_ONE+119,"")</f>
        <v>46137</v>
      </c>
      <c r="C82" s="22" t="n">
        <f aca="false">IF(18&lt;=NW,WEEK_ONE+125,"")</f>
        <v>46143</v>
      </c>
      <c r="D82" s="55" t="str">
        <f aca="false">IF('ساعات عبدالعزيز'!$M$243=1,N('ساعات عبدالعزيز'!F254),"")</f>
        <v/>
      </c>
      <c r="E82" s="55" t="str">
        <f aca="false">IF('ساعات عبدالعزيز'!$M$243=1,SUMIFS(ADV_AMT,ADV_E,"عبدالعزيز",ADV_W,18),"")</f>
        <v/>
      </c>
      <c r="F82" s="55" t="str">
        <f aca="false">IF('ساعات عبدالعزيز'!$M$243=1,IF(N(D82)=0,0,MAX(0,IF(INST_MODE="تخفيض تلقائي",FLOOR(MIN(IF(SUMPRODUCT(MAX((LG_E="عبدالعزيز")*(LG_INST&lt;&gt;"")*(LG_D&lt;=C82)*LG_IDX))=0,السنة!$E$7,INDEX(LG_INST,SUMPRODUCT(MAX((LG_E="عبدالعزيز")*(LG_INST&lt;&gt;"")*(LG_D&lt;=C82)*LG_IDX)))),السنة!$D$7+SUMIFS(LG_DEBT,LG_E,"عبدالعزيز",LG_D,"&lt;="&amp;C82)-SUMIFS(LG_REP,LG_E,"عبدالعزيز",LG_D,"&lt;="&amp;C82)-SUM(F65:F81),INST_CAP*N(D82),N(D82)-N(E82)-NET_FLOOR*N(D82)),0.25),MIN(IF(SUMPRODUCT(MAX((LG_E="عبدالعزيز")*(LG_INST&lt;&gt;"")*(LG_D&lt;=C82)*LG_IDX))=0,السنة!$E$7,INDEX(LG_INST,SUMPRODUCT(MAX((LG_E="عبدالعزيز")*(LG_INST&lt;&gt;"")*(LG_D&lt;=C82)*LG_IDX)))),السنة!$D$7+SUMIFS(LG_DEBT,LG_E,"عبدالعزيز",LG_D,"&lt;="&amp;C82)-SUMIFS(LG_REP,LG_E,"عبدالعزيز",LG_D,"&lt;="&amp;C82)-SUM(F65:F81))))),"")</f>
        <v/>
      </c>
      <c r="G82" s="56" t="str">
        <f aca="false">IF('ساعات عبدالعزيز'!$M$243=1,IF(18=START_Z,السنة!$C$7,N(I81))+N(D82)-N(E82)-N(F82)-N(K82),"")</f>
        <v/>
      </c>
      <c r="H82" s="55" t="str">
        <f aca="false">IF('ساعات عبدالعزيز'!$M$243=1,N('ساعات عبدالعزيز'!E255),"")</f>
        <v/>
      </c>
      <c r="I82" s="55" t="str">
        <f aca="false">IF('ساعات عبدالعزيز'!$M$243=1,G82-H82,"")</f>
        <v/>
      </c>
      <c r="J82" s="57" t="str">
        <f aca="false">IF('ساعات عبدالعزيز'!$M$243=1,MAX(0,السنة!$D$7+SUMIFS(LG_DEBT,LG_E,"عبدالعزيز",LG_D,"&lt;="&amp;C82)-SUMIFS(LG_REP,LG_E,"عبدالعزيز",LG_D,"&lt;="&amp;C82)-SUM(F65:F82)),"")</f>
        <v/>
      </c>
      <c r="K82" s="55" t="str">
        <f aca="false">IF('ساعات عبدالعزيز'!$M$243=1,N('ساعات عبدالعزيز'!W243),"")</f>
        <v/>
      </c>
      <c r="L82" s="54" t="n">
        <f aca="false">IF(C82="","",MONTH(C82))</f>
        <v>5</v>
      </c>
    </row>
    <row r="83" customFormat="false" ht="15" hidden="false" customHeight="false" outlineLevel="0" collapsed="false">
      <c r="A83" s="54" t="n">
        <f aca="false">IF(19&lt;=NW,19,"")</f>
        <v>19</v>
      </c>
      <c r="B83" s="22" t="n">
        <f aca="false">IF(19&lt;=NW,WEEK_ONE+126,"")</f>
        <v>46144</v>
      </c>
      <c r="C83" s="22" t="n">
        <f aca="false">IF(19&lt;=NW,WEEK_ONE+132,"")</f>
        <v>46150</v>
      </c>
      <c r="D83" s="55" t="str">
        <f aca="false">IF('ساعات عبدالعزيز'!$M$257=1,N('ساعات عبدالعزيز'!F268),"")</f>
        <v/>
      </c>
      <c r="E83" s="55" t="str">
        <f aca="false">IF('ساعات عبدالعزيز'!$M$257=1,SUMIFS(ADV_AMT,ADV_E,"عبدالعزيز",ADV_W,19),"")</f>
        <v/>
      </c>
      <c r="F83" s="55" t="str">
        <f aca="false">IF('ساعات عبدالعزيز'!$M$257=1,IF(N(D83)=0,0,MAX(0,IF(INST_MODE="تخفيض تلقائي",FLOOR(MIN(IF(SUMPRODUCT(MAX((LG_E="عبدالعزيز")*(LG_INST&lt;&gt;"")*(LG_D&lt;=C83)*LG_IDX))=0,السنة!$E$7,INDEX(LG_INST,SUMPRODUCT(MAX((LG_E="عبدالعزيز")*(LG_INST&lt;&gt;"")*(LG_D&lt;=C83)*LG_IDX)))),السنة!$D$7+SUMIFS(LG_DEBT,LG_E,"عبدالعزيز",LG_D,"&lt;="&amp;C83)-SUMIFS(LG_REP,LG_E,"عبدالعزيز",LG_D,"&lt;="&amp;C83)-SUM(F65:F82),INST_CAP*N(D83),N(D83)-N(E83)-NET_FLOOR*N(D83)),0.25),MIN(IF(SUMPRODUCT(MAX((LG_E="عبدالعزيز")*(LG_INST&lt;&gt;"")*(LG_D&lt;=C83)*LG_IDX))=0,السنة!$E$7,INDEX(LG_INST,SUMPRODUCT(MAX((LG_E="عبدالعزيز")*(LG_INST&lt;&gt;"")*(LG_D&lt;=C83)*LG_IDX)))),السنة!$D$7+SUMIFS(LG_DEBT,LG_E,"عبدالعزيز",LG_D,"&lt;="&amp;C83)-SUMIFS(LG_REP,LG_E,"عبدالعزيز",LG_D,"&lt;="&amp;C83)-SUM(F65:F82))))),"")</f>
        <v/>
      </c>
      <c r="G83" s="56" t="str">
        <f aca="false">IF('ساعات عبدالعزيز'!$M$257=1,IF(19=START_Z,السنة!$C$7,N(I82))+N(D83)-N(E83)-N(F83)-N(K83),"")</f>
        <v/>
      </c>
      <c r="H83" s="55" t="str">
        <f aca="false">IF('ساعات عبدالعزيز'!$M$257=1,N('ساعات عبدالعزيز'!E269),"")</f>
        <v/>
      </c>
      <c r="I83" s="55" t="str">
        <f aca="false">IF('ساعات عبدالعزيز'!$M$257=1,G83-H83,"")</f>
        <v/>
      </c>
      <c r="J83" s="57" t="str">
        <f aca="false">IF('ساعات عبدالعزيز'!$M$257=1,MAX(0,السنة!$D$7+SUMIFS(LG_DEBT,LG_E,"عبدالعزيز",LG_D,"&lt;="&amp;C83)-SUMIFS(LG_REP,LG_E,"عبدالعزيز",LG_D,"&lt;="&amp;C83)-SUM(F65:F83)),"")</f>
        <v/>
      </c>
      <c r="K83" s="55" t="str">
        <f aca="false">IF('ساعات عبدالعزيز'!$M$257=1,N('ساعات عبدالعزيز'!W257),"")</f>
        <v/>
      </c>
      <c r="L83" s="54" t="n">
        <f aca="false">IF(C83="","",MONTH(C83))</f>
        <v>5</v>
      </c>
    </row>
    <row r="84" customFormat="false" ht="15" hidden="false" customHeight="false" outlineLevel="0" collapsed="false">
      <c r="A84" s="54" t="n">
        <f aca="false">IF(20&lt;=NW,20,"")</f>
        <v>20</v>
      </c>
      <c r="B84" s="22" t="n">
        <f aca="false">IF(20&lt;=NW,WEEK_ONE+133,"")</f>
        <v>46151</v>
      </c>
      <c r="C84" s="22" t="n">
        <f aca="false">IF(20&lt;=NW,WEEK_ONE+139,"")</f>
        <v>46157</v>
      </c>
      <c r="D84" s="55" t="str">
        <f aca="false">IF('ساعات عبدالعزيز'!$M$271=1,N('ساعات عبدالعزيز'!F282),"")</f>
        <v/>
      </c>
      <c r="E84" s="55" t="str">
        <f aca="false">IF('ساعات عبدالعزيز'!$M$271=1,SUMIFS(ADV_AMT,ADV_E,"عبدالعزيز",ADV_W,20),"")</f>
        <v/>
      </c>
      <c r="F84" s="55" t="str">
        <f aca="false">IF('ساعات عبدالعزيز'!$M$271=1,IF(N(D84)=0,0,MAX(0,IF(INST_MODE="تخفيض تلقائي",FLOOR(MIN(IF(SUMPRODUCT(MAX((LG_E="عبدالعزيز")*(LG_INST&lt;&gt;"")*(LG_D&lt;=C84)*LG_IDX))=0,السنة!$E$7,INDEX(LG_INST,SUMPRODUCT(MAX((LG_E="عبدالعزيز")*(LG_INST&lt;&gt;"")*(LG_D&lt;=C84)*LG_IDX)))),السنة!$D$7+SUMIFS(LG_DEBT,LG_E,"عبدالعزيز",LG_D,"&lt;="&amp;C84)-SUMIFS(LG_REP,LG_E,"عبدالعزيز",LG_D,"&lt;="&amp;C84)-SUM(F65:F83),INST_CAP*N(D84),N(D84)-N(E84)-NET_FLOOR*N(D84)),0.25),MIN(IF(SUMPRODUCT(MAX((LG_E="عبدالعزيز")*(LG_INST&lt;&gt;"")*(LG_D&lt;=C84)*LG_IDX))=0,السنة!$E$7,INDEX(LG_INST,SUMPRODUCT(MAX((LG_E="عبدالعزيز")*(LG_INST&lt;&gt;"")*(LG_D&lt;=C84)*LG_IDX)))),السنة!$D$7+SUMIFS(LG_DEBT,LG_E,"عبدالعزيز",LG_D,"&lt;="&amp;C84)-SUMIFS(LG_REP,LG_E,"عبدالعزيز",LG_D,"&lt;="&amp;C84)-SUM(F65:F83))))),"")</f>
        <v/>
      </c>
      <c r="G84" s="56" t="str">
        <f aca="false">IF('ساعات عبدالعزيز'!$M$271=1,IF(20=START_Z,السنة!$C$7,N(I83))+N(D84)-N(E84)-N(F84)-N(K84),"")</f>
        <v/>
      </c>
      <c r="H84" s="55" t="str">
        <f aca="false">IF('ساعات عبدالعزيز'!$M$271=1,N('ساعات عبدالعزيز'!E283),"")</f>
        <v/>
      </c>
      <c r="I84" s="55" t="str">
        <f aca="false">IF('ساعات عبدالعزيز'!$M$271=1,G84-H84,"")</f>
        <v/>
      </c>
      <c r="J84" s="57" t="str">
        <f aca="false">IF('ساعات عبدالعزيز'!$M$271=1,MAX(0,السنة!$D$7+SUMIFS(LG_DEBT,LG_E,"عبدالعزيز",LG_D,"&lt;="&amp;C84)-SUMIFS(LG_REP,LG_E,"عبدالعزيز",LG_D,"&lt;="&amp;C84)-SUM(F65:F84)),"")</f>
        <v/>
      </c>
      <c r="K84" s="55" t="str">
        <f aca="false">IF('ساعات عبدالعزيز'!$M$271=1,N('ساعات عبدالعزيز'!W271),"")</f>
        <v/>
      </c>
      <c r="L84" s="54" t="n">
        <f aca="false">IF(C84="","",MONTH(C84))</f>
        <v>5</v>
      </c>
    </row>
    <row r="85" customFormat="false" ht="15" hidden="false" customHeight="false" outlineLevel="0" collapsed="false">
      <c r="A85" s="54" t="n">
        <f aca="false">IF(21&lt;=NW,21,"")</f>
        <v>21</v>
      </c>
      <c r="B85" s="22" t="n">
        <f aca="false">IF(21&lt;=NW,WEEK_ONE+140,"")</f>
        <v>46158</v>
      </c>
      <c r="C85" s="22" t="n">
        <f aca="false">IF(21&lt;=NW,WEEK_ONE+146,"")</f>
        <v>46164</v>
      </c>
      <c r="D85" s="55" t="str">
        <f aca="false">IF('ساعات عبدالعزيز'!$M$285=1,N('ساعات عبدالعزيز'!F296),"")</f>
        <v/>
      </c>
      <c r="E85" s="55" t="str">
        <f aca="false">IF('ساعات عبدالعزيز'!$M$285=1,SUMIFS(ADV_AMT,ADV_E,"عبدالعزيز",ADV_W,21),"")</f>
        <v/>
      </c>
      <c r="F85" s="55" t="str">
        <f aca="false">IF('ساعات عبدالعزيز'!$M$285=1,IF(N(D85)=0,0,MAX(0,IF(INST_MODE="تخفيض تلقائي",FLOOR(MIN(IF(SUMPRODUCT(MAX((LG_E="عبدالعزيز")*(LG_INST&lt;&gt;"")*(LG_D&lt;=C85)*LG_IDX))=0,السنة!$E$7,INDEX(LG_INST,SUMPRODUCT(MAX((LG_E="عبدالعزيز")*(LG_INST&lt;&gt;"")*(LG_D&lt;=C85)*LG_IDX)))),السنة!$D$7+SUMIFS(LG_DEBT,LG_E,"عبدالعزيز",LG_D,"&lt;="&amp;C85)-SUMIFS(LG_REP,LG_E,"عبدالعزيز",LG_D,"&lt;="&amp;C85)-SUM(F65:F84),INST_CAP*N(D85),N(D85)-N(E85)-NET_FLOOR*N(D85)),0.25),MIN(IF(SUMPRODUCT(MAX((LG_E="عبدالعزيز")*(LG_INST&lt;&gt;"")*(LG_D&lt;=C85)*LG_IDX))=0,السنة!$E$7,INDEX(LG_INST,SUMPRODUCT(MAX((LG_E="عبدالعزيز")*(LG_INST&lt;&gt;"")*(LG_D&lt;=C85)*LG_IDX)))),السنة!$D$7+SUMIFS(LG_DEBT,LG_E,"عبدالعزيز",LG_D,"&lt;="&amp;C85)-SUMIFS(LG_REP,LG_E,"عبدالعزيز",LG_D,"&lt;="&amp;C85)-SUM(F65:F84))))),"")</f>
        <v/>
      </c>
      <c r="G85" s="56" t="str">
        <f aca="false">IF('ساعات عبدالعزيز'!$M$285=1,IF(21=START_Z,السنة!$C$7,N(I84))+N(D85)-N(E85)-N(F85)-N(K85),"")</f>
        <v/>
      </c>
      <c r="H85" s="55" t="str">
        <f aca="false">IF('ساعات عبدالعزيز'!$M$285=1,N('ساعات عبدالعزيز'!E297),"")</f>
        <v/>
      </c>
      <c r="I85" s="55" t="str">
        <f aca="false">IF('ساعات عبدالعزيز'!$M$285=1,G85-H85,"")</f>
        <v/>
      </c>
      <c r="J85" s="57" t="str">
        <f aca="false">IF('ساعات عبدالعزيز'!$M$285=1,MAX(0,السنة!$D$7+SUMIFS(LG_DEBT,LG_E,"عبدالعزيز",LG_D,"&lt;="&amp;C85)-SUMIFS(LG_REP,LG_E,"عبدالعزيز",LG_D,"&lt;="&amp;C85)-SUM(F65:F85)),"")</f>
        <v/>
      </c>
      <c r="K85" s="55" t="str">
        <f aca="false">IF('ساعات عبدالعزيز'!$M$285=1,N('ساعات عبدالعزيز'!W285),"")</f>
        <v/>
      </c>
      <c r="L85" s="54" t="n">
        <f aca="false">IF(C85="","",MONTH(C85))</f>
        <v>5</v>
      </c>
    </row>
    <row r="86" customFormat="false" ht="15" hidden="false" customHeight="false" outlineLevel="0" collapsed="false">
      <c r="A86" s="54" t="n">
        <f aca="false">IF(22&lt;=NW,22,"")</f>
        <v>22</v>
      </c>
      <c r="B86" s="22" t="n">
        <f aca="false">IF(22&lt;=NW,WEEK_ONE+147,"")</f>
        <v>46165</v>
      </c>
      <c r="C86" s="22" t="n">
        <f aca="false">IF(22&lt;=NW,WEEK_ONE+153,"")</f>
        <v>46171</v>
      </c>
      <c r="D86" s="55" t="str">
        <f aca="false">IF('ساعات عبدالعزيز'!$M$299=1,N('ساعات عبدالعزيز'!F310),"")</f>
        <v/>
      </c>
      <c r="E86" s="55" t="str">
        <f aca="false">IF('ساعات عبدالعزيز'!$M$299=1,SUMIFS(ADV_AMT,ADV_E,"عبدالعزيز",ADV_W,22),"")</f>
        <v/>
      </c>
      <c r="F86" s="55" t="str">
        <f aca="false">IF('ساعات عبدالعزيز'!$M$299=1,IF(N(D86)=0,0,MAX(0,IF(INST_MODE="تخفيض تلقائي",FLOOR(MIN(IF(SUMPRODUCT(MAX((LG_E="عبدالعزيز")*(LG_INST&lt;&gt;"")*(LG_D&lt;=C86)*LG_IDX))=0,السنة!$E$7,INDEX(LG_INST,SUMPRODUCT(MAX((LG_E="عبدالعزيز")*(LG_INST&lt;&gt;"")*(LG_D&lt;=C86)*LG_IDX)))),السنة!$D$7+SUMIFS(LG_DEBT,LG_E,"عبدالعزيز",LG_D,"&lt;="&amp;C86)-SUMIFS(LG_REP,LG_E,"عبدالعزيز",LG_D,"&lt;="&amp;C86)-SUM(F65:F85),INST_CAP*N(D86),N(D86)-N(E86)-NET_FLOOR*N(D86)),0.25),MIN(IF(SUMPRODUCT(MAX((LG_E="عبدالعزيز")*(LG_INST&lt;&gt;"")*(LG_D&lt;=C86)*LG_IDX))=0,السنة!$E$7,INDEX(LG_INST,SUMPRODUCT(MAX((LG_E="عبدالعزيز")*(LG_INST&lt;&gt;"")*(LG_D&lt;=C86)*LG_IDX)))),السنة!$D$7+SUMIFS(LG_DEBT,LG_E,"عبدالعزيز",LG_D,"&lt;="&amp;C86)-SUMIFS(LG_REP,LG_E,"عبدالعزيز",LG_D,"&lt;="&amp;C86)-SUM(F65:F85))))),"")</f>
        <v/>
      </c>
      <c r="G86" s="56" t="str">
        <f aca="false">IF('ساعات عبدالعزيز'!$M$299=1,IF(22=START_Z,السنة!$C$7,N(I85))+N(D86)-N(E86)-N(F86)-N(K86),"")</f>
        <v/>
      </c>
      <c r="H86" s="55" t="str">
        <f aca="false">IF('ساعات عبدالعزيز'!$M$299=1,N('ساعات عبدالعزيز'!E311),"")</f>
        <v/>
      </c>
      <c r="I86" s="55" t="str">
        <f aca="false">IF('ساعات عبدالعزيز'!$M$299=1,G86-H86,"")</f>
        <v/>
      </c>
      <c r="J86" s="57" t="str">
        <f aca="false">IF('ساعات عبدالعزيز'!$M$299=1,MAX(0,السنة!$D$7+SUMIFS(LG_DEBT,LG_E,"عبدالعزيز",LG_D,"&lt;="&amp;C86)-SUMIFS(LG_REP,LG_E,"عبدالعزيز",LG_D,"&lt;="&amp;C86)-SUM(F65:F86)),"")</f>
        <v/>
      </c>
      <c r="K86" s="55" t="str">
        <f aca="false">IF('ساعات عبدالعزيز'!$M$299=1,N('ساعات عبدالعزيز'!W299),"")</f>
        <v/>
      </c>
      <c r="L86" s="54" t="n">
        <f aca="false">IF(C86="","",MONTH(C86))</f>
        <v>5</v>
      </c>
    </row>
    <row r="87" customFormat="false" ht="15" hidden="false" customHeight="false" outlineLevel="0" collapsed="false">
      <c r="A87" s="54" t="n">
        <f aca="false">IF(23&lt;=NW,23,"")</f>
        <v>23</v>
      </c>
      <c r="B87" s="22" t="n">
        <f aca="false">IF(23&lt;=NW,WEEK_ONE+154,"")</f>
        <v>46172</v>
      </c>
      <c r="C87" s="22" t="n">
        <f aca="false">IF(23&lt;=NW,WEEK_ONE+160,"")</f>
        <v>46178</v>
      </c>
      <c r="D87" s="55" t="str">
        <f aca="false">IF('ساعات عبدالعزيز'!$M$313=1,N('ساعات عبدالعزيز'!F324),"")</f>
        <v/>
      </c>
      <c r="E87" s="55" t="str">
        <f aca="false">IF('ساعات عبدالعزيز'!$M$313=1,SUMIFS(ADV_AMT,ADV_E,"عبدالعزيز",ADV_W,23),"")</f>
        <v/>
      </c>
      <c r="F87" s="55" t="str">
        <f aca="false">IF('ساعات عبدالعزيز'!$M$313=1,IF(N(D87)=0,0,MAX(0,IF(INST_MODE="تخفيض تلقائي",FLOOR(MIN(IF(SUMPRODUCT(MAX((LG_E="عبدالعزيز")*(LG_INST&lt;&gt;"")*(LG_D&lt;=C87)*LG_IDX))=0,السنة!$E$7,INDEX(LG_INST,SUMPRODUCT(MAX((LG_E="عبدالعزيز")*(LG_INST&lt;&gt;"")*(LG_D&lt;=C87)*LG_IDX)))),السنة!$D$7+SUMIFS(LG_DEBT,LG_E,"عبدالعزيز",LG_D,"&lt;="&amp;C87)-SUMIFS(LG_REP,LG_E,"عبدالعزيز",LG_D,"&lt;="&amp;C87)-SUM(F65:F86),INST_CAP*N(D87),N(D87)-N(E87)-NET_FLOOR*N(D87)),0.25),MIN(IF(SUMPRODUCT(MAX((LG_E="عبدالعزيز")*(LG_INST&lt;&gt;"")*(LG_D&lt;=C87)*LG_IDX))=0,السنة!$E$7,INDEX(LG_INST,SUMPRODUCT(MAX((LG_E="عبدالعزيز")*(LG_INST&lt;&gt;"")*(LG_D&lt;=C87)*LG_IDX)))),السنة!$D$7+SUMIFS(LG_DEBT,LG_E,"عبدالعزيز",LG_D,"&lt;="&amp;C87)-SUMIFS(LG_REP,LG_E,"عبدالعزيز",LG_D,"&lt;="&amp;C87)-SUM(F65:F86))))),"")</f>
        <v/>
      </c>
      <c r="G87" s="56" t="str">
        <f aca="false">IF('ساعات عبدالعزيز'!$M$313=1,IF(23=START_Z,السنة!$C$7,N(I86))+N(D87)-N(E87)-N(F87)-N(K87),"")</f>
        <v/>
      </c>
      <c r="H87" s="55" t="str">
        <f aca="false">IF('ساعات عبدالعزيز'!$M$313=1,N('ساعات عبدالعزيز'!E325),"")</f>
        <v/>
      </c>
      <c r="I87" s="55" t="str">
        <f aca="false">IF('ساعات عبدالعزيز'!$M$313=1,G87-H87,"")</f>
        <v/>
      </c>
      <c r="J87" s="57" t="str">
        <f aca="false">IF('ساعات عبدالعزيز'!$M$313=1,MAX(0,السنة!$D$7+SUMIFS(LG_DEBT,LG_E,"عبدالعزيز",LG_D,"&lt;="&amp;C87)-SUMIFS(LG_REP,LG_E,"عبدالعزيز",LG_D,"&lt;="&amp;C87)-SUM(F65:F87)),"")</f>
        <v/>
      </c>
      <c r="K87" s="55" t="str">
        <f aca="false">IF('ساعات عبدالعزيز'!$M$313=1,N('ساعات عبدالعزيز'!W313),"")</f>
        <v/>
      </c>
      <c r="L87" s="54" t="n">
        <f aca="false">IF(C87="","",MONTH(C87))</f>
        <v>6</v>
      </c>
    </row>
    <row r="88" customFormat="false" ht="15" hidden="false" customHeight="false" outlineLevel="0" collapsed="false">
      <c r="A88" s="54" t="n">
        <f aca="false">IF(24&lt;=NW,24,"")</f>
        <v>24</v>
      </c>
      <c r="B88" s="22" t="n">
        <f aca="false">IF(24&lt;=NW,WEEK_ONE+161,"")</f>
        <v>46179</v>
      </c>
      <c r="C88" s="22" t="n">
        <f aca="false">IF(24&lt;=NW,WEEK_ONE+167,"")</f>
        <v>46185</v>
      </c>
      <c r="D88" s="55" t="str">
        <f aca="false">IF('ساعات عبدالعزيز'!$M$327=1,N('ساعات عبدالعزيز'!F338),"")</f>
        <v/>
      </c>
      <c r="E88" s="55" t="str">
        <f aca="false">IF('ساعات عبدالعزيز'!$M$327=1,SUMIFS(ADV_AMT,ADV_E,"عبدالعزيز",ADV_W,24),"")</f>
        <v/>
      </c>
      <c r="F88" s="55" t="str">
        <f aca="false">IF('ساعات عبدالعزيز'!$M$327=1,IF(N(D88)=0,0,MAX(0,IF(INST_MODE="تخفيض تلقائي",FLOOR(MIN(IF(SUMPRODUCT(MAX((LG_E="عبدالعزيز")*(LG_INST&lt;&gt;"")*(LG_D&lt;=C88)*LG_IDX))=0,السنة!$E$7,INDEX(LG_INST,SUMPRODUCT(MAX((LG_E="عبدالعزيز")*(LG_INST&lt;&gt;"")*(LG_D&lt;=C88)*LG_IDX)))),السنة!$D$7+SUMIFS(LG_DEBT,LG_E,"عبدالعزيز",LG_D,"&lt;="&amp;C88)-SUMIFS(LG_REP,LG_E,"عبدالعزيز",LG_D,"&lt;="&amp;C88)-SUM(F65:F87),INST_CAP*N(D88),N(D88)-N(E88)-NET_FLOOR*N(D88)),0.25),MIN(IF(SUMPRODUCT(MAX((LG_E="عبدالعزيز")*(LG_INST&lt;&gt;"")*(LG_D&lt;=C88)*LG_IDX))=0,السنة!$E$7,INDEX(LG_INST,SUMPRODUCT(MAX((LG_E="عبدالعزيز")*(LG_INST&lt;&gt;"")*(LG_D&lt;=C88)*LG_IDX)))),السنة!$D$7+SUMIFS(LG_DEBT,LG_E,"عبدالعزيز",LG_D,"&lt;="&amp;C88)-SUMIFS(LG_REP,LG_E,"عبدالعزيز",LG_D,"&lt;="&amp;C88)-SUM(F65:F87))))),"")</f>
        <v/>
      </c>
      <c r="G88" s="56" t="str">
        <f aca="false">IF('ساعات عبدالعزيز'!$M$327=1,IF(24=START_Z,السنة!$C$7,N(I87))+N(D88)-N(E88)-N(F88)-N(K88),"")</f>
        <v/>
      </c>
      <c r="H88" s="55" t="str">
        <f aca="false">IF('ساعات عبدالعزيز'!$M$327=1,N('ساعات عبدالعزيز'!E339),"")</f>
        <v/>
      </c>
      <c r="I88" s="55" t="str">
        <f aca="false">IF('ساعات عبدالعزيز'!$M$327=1,G88-H88,"")</f>
        <v/>
      </c>
      <c r="J88" s="57" t="str">
        <f aca="false">IF('ساعات عبدالعزيز'!$M$327=1,MAX(0,السنة!$D$7+SUMIFS(LG_DEBT,LG_E,"عبدالعزيز",LG_D,"&lt;="&amp;C88)-SUMIFS(LG_REP,LG_E,"عبدالعزيز",LG_D,"&lt;="&amp;C88)-SUM(F65:F88)),"")</f>
        <v/>
      </c>
      <c r="K88" s="55" t="str">
        <f aca="false">IF('ساعات عبدالعزيز'!$M$327=1,N('ساعات عبدالعزيز'!W327),"")</f>
        <v/>
      </c>
      <c r="L88" s="54" t="n">
        <f aca="false">IF(C88="","",MONTH(C88))</f>
        <v>6</v>
      </c>
    </row>
    <row r="89" customFormat="false" ht="15" hidden="false" customHeight="false" outlineLevel="0" collapsed="false">
      <c r="A89" s="54" t="n">
        <f aca="false">IF(25&lt;=NW,25,"")</f>
        <v>25</v>
      </c>
      <c r="B89" s="22" t="n">
        <f aca="false">IF(25&lt;=NW,WEEK_ONE+168,"")</f>
        <v>46186</v>
      </c>
      <c r="C89" s="22" t="n">
        <f aca="false">IF(25&lt;=NW,WEEK_ONE+174,"")</f>
        <v>46192</v>
      </c>
      <c r="D89" s="55" t="str">
        <f aca="false">IF('ساعات عبدالعزيز'!$M$341=1,N('ساعات عبدالعزيز'!F352),"")</f>
        <v/>
      </c>
      <c r="E89" s="55" t="str">
        <f aca="false">IF('ساعات عبدالعزيز'!$M$341=1,SUMIFS(ADV_AMT,ADV_E,"عبدالعزيز",ADV_W,25),"")</f>
        <v/>
      </c>
      <c r="F89" s="55" t="str">
        <f aca="false">IF('ساعات عبدالعزيز'!$M$341=1,IF(N(D89)=0,0,MAX(0,IF(INST_MODE="تخفيض تلقائي",FLOOR(MIN(IF(SUMPRODUCT(MAX((LG_E="عبدالعزيز")*(LG_INST&lt;&gt;"")*(LG_D&lt;=C89)*LG_IDX))=0,السنة!$E$7,INDEX(LG_INST,SUMPRODUCT(MAX((LG_E="عبدالعزيز")*(LG_INST&lt;&gt;"")*(LG_D&lt;=C89)*LG_IDX)))),السنة!$D$7+SUMIFS(LG_DEBT,LG_E,"عبدالعزيز",LG_D,"&lt;="&amp;C89)-SUMIFS(LG_REP,LG_E,"عبدالعزيز",LG_D,"&lt;="&amp;C89)-SUM(F65:F88),INST_CAP*N(D89),N(D89)-N(E89)-NET_FLOOR*N(D89)),0.25),MIN(IF(SUMPRODUCT(MAX((LG_E="عبدالعزيز")*(LG_INST&lt;&gt;"")*(LG_D&lt;=C89)*LG_IDX))=0,السنة!$E$7,INDEX(LG_INST,SUMPRODUCT(MAX((LG_E="عبدالعزيز")*(LG_INST&lt;&gt;"")*(LG_D&lt;=C89)*LG_IDX)))),السنة!$D$7+SUMIFS(LG_DEBT,LG_E,"عبدالعزيز",LG_D,"&lt;="&amp;C89)-SUMIFS(LG_REP,LG_E,"عبدالعزيز",LG_D,"&lt;="&amp;C89)-SUM(F65:F88))))),"")</f>
        <v/>
      </c>
      <c r="G89" s="56" t="str">
        <f aca="false">IF('ساعات عبدالعزيز'!$M$341=1,IF(25=START_Z,السنة!$C$7,N(I88))+N(D89)-N(E89)-N(F89)-N(K89),"")</f>
        <v/>
      </c>
      <c r="H89" s="55" t="str">
        <f aca="false">IF('ساعات عبدالعزيز'!$M$341=1,N('ساعات عبدالعزيز'!E353),"")</f>
        <v/>
      </c>
      <c r="I89" s="55" t="str">
        <f aca="false">IF('ساعات عبدالعزيز'!$M$341=1,G89-H89,"")</f>
        <v/>
      </c>
      <c r="J89" s="57" t="str">
        <f aca="false">IF('ساعات عبدالعزيز'!$M$341=1,MAX(0,السنة!$D$7+SUMIFS(LG_DEBT,LG_E,"عبدالعزيز",LG_D,"&lt;="&amp;C89)-SUMIFS(LG_REP,LG_E,"عبدالعزيز",LG_D,"&lt;="&amp;C89)-SUM(F65:F89)),"")</f>
        <v/>
      </c>
      <c r="K89" s="55" t="str">
        <f aca="false">IF('ساعات عبدالعزيز'!$M$341=1,N('ساعات عبدالعزيز'!W341),"")</f>
        <v/>
      </c>
      <c r="L89" s="54" t="n">
        <f aca="false">IF(C89="","",MONTH(C89))</f>
        <v>6</v>
      </c>
    </row>
    <row r="90" customFormat="false" ht="15" hidden="false" customHeight="false" outlineLevel="0" collapsed="false">
      <c r="A90" s="54" t="n">
        <f aca="false">IF(26&lt;=NW,26,"")</f>
        <v>26</v>
      </c>
      <c r="B90" s="22" t="n">
        <f aca="false">IF(26&lt;=NW,WEEK_ONE+175,"")</f>
        <v>46193</v>
      </c>
      <c r="C90" s="22" t="n">
        <f aca="false">IF(26&lt;=NW,WEEK_ONE+181,"")</f>
        <v>46199</v>
      </c>
      <c r="D90" s="55" t="str">
        <f aca="false">IF('ساعات عبدالعزيز'!$M$355=1,N('ساعات عبدالعزيز'!F366),"")</f>
        <v/>
      </c>
      <c r="E90" s="55" t="str">
        <f aca="false">IF('ساعات عبدالعزيز'!$M$355=1,SUMIFS(ADV_AMT,ADV_E,"عبدالعزيز",ADV_W,26),"")</f>
        <v/>
      </c>
      <c r="F90" s="55" t="str">
        <f aca="false">IF('ساعات عبدالعزيز'!$M$355=1,IF(N(D90)=0,0,MAX(0,IF(INST_MODE="تخفيض تلقائي",FLOOR(MIN(IF(SUMPRODUCT(MAX((LG_E="عبدالعزيز")*(LG_INST&lt;&gt;"")*(LG_D&lt;=C90)*LG_IDX))=0,السنة!$E$7,INDEX(LG_INST,SUMPRODUCT(MAX((LG_E="عبدالعزيز")*(LG_INST&lt;&gt;"")*(LG_D&lt;=C90)*LG_IDX)))),السنة!$D$7+SUMIFS(LG_DEBT,LG_E,"عبدالعزيز",LG_D,"&lt;="&amp;C90)-SUMIFS(LG_REP,LG_E,"عبدالعزيز",LG_D,"&lt;="&amp;C90)-SUM(F65:F89),INST_CAP*N(D90),N(D90)-N(E90)-NET_FLOOR*N(D90)),0.25),MIN(IF(SUMPRODUCT(MAX((LG_E="عبدالعزيز")*(LG_INST&lt;&gt;"")*(LG_D&lt;=C90)*LG_IDX))=0,السنة!$E$7,INDEX(LG_INST,SUMPRODUCT(MAX((LG_E="عبدالعزيز")*(LG_INST&lt;&gt;"")*(LG_D&lt;=C90)*LG_IDX)))),السنة!$D$7+SUMIFS(LG_DEBT,LG_E,"عبدالعزيز",LG_D,"&lt;="&amp;C90)-SUMIFS(LG_REP,LG_E,"عبدالعزيز",LG_D,"&lt;="&amp;C90)-SUM(F65:F89))))),"")</f>
        <v/>
      </c>
      <c r="G90" s="56" t="str">
        <f aca="false">IF('ساعات عبدالعزيز'!$M$355=1,IF(26=START_Z,السنة!$C$7,N(I89))+N(D90)-N(E90)-N(F90)-N(K90),"")</f>
        <v/>
      </c>
      <c r="H90" s="55" t="str">
        <f aca="false">IF('ساعات عبدالعزيز'!$M$355=1,N('ساعات عبدالعزيز'!E367),"")</f>
        <v/>
      </c>
      <c r="I90" s="55" t="str">
        <f aca="false">IF('ساعات عبدالعزيز'!$M$355=1,G90-H90,"")</f>
        <v/>
      </c>
      <c r="J90" s="57" t="str">
        <f aca="false">IF('ساعات عبدالعزيز'!$M$355=1,MAX(0,السنة!$D$7+SUMIFS(LG_DEBT,LG_E,"عبدالعزيز",LG_D,"&lt;="&amp;C90)-SUMIFS(LG_REP,LG_E,"عبدالعزيز",LG_D,"&lt;="&amp;C90)-SUM(F65:F90)),"")</f>
        <v/>
      </c>
      <c r="K90" s="55" t="str">
        <f aca="false">IF('ساعات عبدالعزيز'!$M$355=1,N('ساعات عبدالعزيز'!W355),"")</f>
        <v/>
      </c>
      <c r="L90" s="54" t="n">
        <f aca="false">IF(C90="","",MONTH(C90))</f>
        <v>6</v>
      </c>
    </row>
    <row r="91" customFormat="false" ht="15" hidden="false" customHeight="false" outlineLevel="0" collapsed="false">
      <c r="A91" s="54" t="n">
        <f aca="false">IF(27&lt;=NW,27,"")</f>
        <v>27</v>
      </c>
      <c r="B91" s="22" t="n">
        <f aca="false">IF(27&lt;=NW,WEEK_ONE+182,"")</f>
        <v>46200</v>
      </c>
      <c r="C91" s="22" t="n">
        <f aca="false">IF(27&lt;=NW,WEEK_ONE+188,"")</f>
        <v>46206</v>
      </c>
      <c r="D91" s="55" t="str">
        <f aca="false">IF('ساعات عبدالعزيز'!$M$369=1,N('ساعات عبدالعزيز'!F380),"")</f>
        <v/>
      </c>
      <c r="E91" s="55" t="str">
        <f aca="false">IF('ساعات عبدالعزيز'!$M$369=1,SUMIFS(ADV_AMT,ADV_E,"عبدالعزيز",ADV_W,27),"")</f>
        <v/>
      </c>
      <c r="F91" s="55" t="str">
        <f aca="false">IF('ساعات عبدالعزيز'!$M$369=1,IF(N(D91)=0,0,MAX(0,IF(INST_MODE="تخفيض تلقائي",FLOOR(MIN(IF(SUMPRODUCT(MAX((LG_E="عبدالعزيز")*(LG_INST&lt;&gt;"")*(LG_D&lt;=C91)*LG_IDX))=0,السنة!$E$7,INDEX(LG_INST,SUMPRODUCT(MAX((LG_E="عبدالعزيز")*(LG_INST&lt;&gt;"")*(LG_D&lt;=C91)*LG_IDX)))),السنة!$D$7+SUMIFS(LG_DEBT,LG_E,"عبدالعزيز",LG_D,"&lt;="&amp;C91)-SUMIFS(LG_REP,LG_E,"عبدالعزيز",LG_D,"&lt;="&amp;C91)-SUM(F65:F90),INST_CAP*N(D91),N(D91)-N(E91)-NET_FLOOR*N(D91)),0.25),MIN(IF(SUMPRODUCT(MAX((LG_E="عبدالعزيز")*(LG_INST&lt;&gt;"")*(LG_D&lt;=C91)*LG_IDX))=0,السنة!$E$7,INDEX(LG_INST,SUMPRODUCT(MAX((LG_E="عبدالعزيز")*(LG_INST&lt;&gt;"")*(LG_D&lt;=C91)*LG_IDX)))),السنة!$D$7+SUMIFS(LG_DEBT,LG_E,"عبدالعزيز",LG_D,"&lt;="&amp;C91)-SUMIFS(LG_REP,LG_E,"عبدالعزيز",LG_D,"&lt;="&amp;C91)-SUM(F65:F90))))),"")</f>
        <v/>
      </c>
      <c r="G91" s="56" t="str">
        <f aca="false">IF('ساعات عبدالعزيز'!$M$369=1,IF(27=START_Z,السنة!$C$7,N(I90))+N(D91)-N(E91)-N(F91)-N(K91),"")</f>
        <v/>
      </c>
      <c r="H91" s="55" t="str">
        <f aca="false">IF('ساعات عبدالعزيز'!$M$369=1,N('ساعات عبدالعزيز'!E381),"")</f>
        <v/>
      </c>
      <c r="I91" s="55" t="str">
        <f aca="false">IF('ساعات عبدالعزيز'!$M$369=1,G91-H91,"")</f>
        <v/>
      </c>
      <c r="J91" s="57" t="str">
        <f aca="false">IF('ساعات عبدالعزيز'!$M$369=1,MAX(0,السنة!$D$7+SUMIFS(LG_DEBT,LG_E,"عبدالعزيز",LG_D,"&lt;="&amp;C91)-SUMIFS(LG_REP,LG_E,"عبدالعزيز",LG_D,"&lt;="&amp;C91)-SUM(F65:F91)),"")</f>
        <v/>
      </c>
      <c r="K91" s="55" t="str">
        <f aca="false">IF('ساعات عبدالعزيز'!$M$369=1,N('ساعات عبدالعزيز'!W369),"")</f>
        <v/>
      </c>
      <c r="L91" s="54" t="n">
        <f aca="false">IF(C91="","",MONTH(C91))</f>
        <v>7</v>
      </c>
    </row>
    <row r="92" customFormat="false" ht="15" hidden="false" customHeight="false" outlineLevel="0" collapsed="false">
      <c r="A92" s="54" t="n">
        <f aca="false">IF(28&lt;=NW,28,"")</f>
        <v>28</v>
      </c>
      <c r="B92" s="22" t="n">
        <f aca="false">IF(28&lt;=NW,WEEK_ONE+189,"")</f>
        <v>46207</v>
      </c>
      <c r="C92" s="22" t="n">
        <f aca="false">IF(28&lt;=NW,WEEK_ONE+195,"")</f>
        <v>46213</v>
      </c>
      <c r="D92" s="55" t="str">
        <f aca="false">IF('ساعات عبدالعزيز'!$M$383=1,N('ساعات عبدالعزيز'!F394),"")</f>
        <v/>
      </c>
      <c r="E92" s="55" t="str">
        <f aca="false">IF('ساعات عبدالعزيز'!$M$383=1,SUMIFS(ADV_AMT,ADV_E,"عبدالعزيز",ADV_W,28),"")</f>
        <v/>
      </c>
      <c r="F92" s="55" t="str">
        <f aca="false">IF('ساعات عبدالعزيز'!$M$383=1,IF(N(D92)=0,0,MAX(0,IF(INST_MODE="تخفيض تلقائي",FLOOR(MIN(IF(SUMPRODUCT(MAX((LG_E="عبدالعزيز")*(LG_INST&lt;&gt;"")*(LG_D&lt;=C92)*LG_IDX))=0,السنة!$E$7,INDEX(LG_INST,SUMPRODUCT(MAX((LG_E="عبدالعزيز")*(LG_INST&lt;&gt;"")*(LG_D&lt;=C92)*LG_IDX)))),السنة!$D$7+SUMIFS(LG_DEBT,LG_E,"عبدالعزيز",LG_D,"&lt;="&amp;C92)-SUMIFS(LG_REP,LG_E,"عبدالعزيز",LG_D,"&lt;="&amp;C92)-SUM(F65:F91),INST_CAP*N(D92),N(D92)-N(E92)-NET_FLOOR*N(D92)),0.25),MIN(IF(SUMPRODUCT(MAX((LG_E="عبدالعزيز")*(LG_INST&lt;&gt;"")*(LG_D&lt;=C92)*LG_IDX))=0,السنة!$E$7,INDEX(LG_INST,SUMPRODUCT(MAX((LG_E="عبدالعزيز")*(LG_INST&lt;&gt;"")*(LG_D&lt;=C92)*LG_IDX)))),السنة!$D$7+SUMIFS(LG_DEBT,LG_E,"عبدالعزيز",LG_D,"&lt;="&amp;C92)-SUMIFS(LG_REP,LG_E,"عبدالعزيز",LG_D,"&lt;="&amp;C92)-SUM(F65:F91))))),"")</f>
        <v/>
      </c>
      <c r="G92" s="56" t="str">
        <f aca="false">IF('ساعات عبدالعزيز'!$M$383=1,IF(28=START_Z,السنة!$C$7,N(I91))+N(D92)-N(E92)-N(F92)-N(K92),"")</f>
        <v/>
      </c>
      <c r="H92" s="55" t="str">
        <f aca="false">IF('ساعات عبدالعزيز'!$M$383=1,N('ساعات عبدالعزيز'!E395),"")</f>
        <v/>
      </c>
      <c r="I92" s="55" t="str">
        <f aca="false">IF('ساعات عبدالعزيز'!$M$383=1,G92-H92,"")</f>
        <v/>
      </c>
      <c r="J92" s="57" t="str">
        <f aca="false">IF('ساعات عبدالعزيز'!$M$383=1,MAX(0,السنة!$D$7+SUMIFS(LG_DEBT,LG_E,"عبدالعزيز",LG_D,"&lt;="&amp;C92)-SUMIFS(LG_REP,LG_E,"عبدالعزيز",LG_D,"&lt;="&amp;C92)-SUM(F65:F92)),"")</f>
        <v/>
      </c>
      <c r="K92" s="55" t="str">
        <f aca="false">IF('ساعات عبدالعزيز'!$M$383=1,N('ساعات عبدالعزيز'!W383),"")</f>
        <v/>
      </c>
      <c r="L92" s="54" t="n">
        <f aca="false">IF(C92="","",MONTH(C92))</f>
        <v>7</v>
      </c>
    </row>
    <row r="93" customFormat="false" ht="15" hidden="false" customHeight="false" outlineLevel="0" collapsed="false">
      <c r="A93" s="54" t="n">
        <f aca="false">IF(29&lt;=NW,29,"")</f>
        <v>29</v>
      </c>
      <c r="B93" s="22" t="n">
        <f aca="false">IF(29&lt;=NW,WEEK_ONE+196,"")</f>
        <v>46214</v>
      </c>
      <c r="C93" s="22" t="n">
        <f aca="false">IF(29&lt;=NW,WEEK_ONE+202,"")</f>
        <v>46220</v>
      </c>
      <c r="D93" s="55" t="str">
        <f aca="false">IF('ساعات عبدالعزيز'!$M$397=1,N('ساعات عبدالعزيز'!F408),"")</f>
        <v/>
      </c>
      <c r="E93" s="55" t="str">
        <f aca="false">IF('ساعات عبدالعزيز'!$M$397=1,SUMIFS(ADV_AMT,ADV_E,"عبدالعزيز",ADV_W,29),"")</f>
        <v/>
      </c>
      <c r="F93" s="55" t="str">
        <f aca="false">IF('ساعات عبدالعزيز'!$M$397=1,IF(N(D93)=0,0,MAX(0,IF(INST_MODE="تخفيض تلقائي",FLOOR(MIN(IF(SUMPRODUCT(MAX((LG_E="عبدالعزيز")*(LG_INST&lt;&gt;"")*(LG_D&lt;=C93)*LG_IDX))=0,السنة!$E$7,INDEX(LG_INST,SUMPRODUCT(MAX((LG_E="عبدالعزيز")*(LG_INST&lt;&gt;"")*(LG_D&lt;=C93)*LG_IDX)))),السنة!$D$7+SUMIFS(LG_DEBT,LG_E,"عبدالعزيز",LG_D,"&lt;="&amp;C93)-SUMIFS(LG_REP,LG_E,"عبدالعزيز",LG_D,"&lt;="&amp;C93)-SUM(F65:F92),INST_CAP*N(D93),N(D93)-N(E93)-NET_FLOOR*N(D93)),0.25),MIN(IF(SUMPRODUCT(MAX((LG_E="عبدالعزيز")*(LG_INST&lt;&gt;"")*(LG_D&lt;=C93)*LG_IDX))=0,السنة!$E$7,INDEX(LG_INST,SUMPRODUCT(MAX((LG_E="عبدالعزيز")*(LG_INST&lt;&gt;"")*(LG_D&lt;=C93)*LG_IDX)))),السنة!$D$7+SUMIFS(LG_DEBT,LG_E,"عبدالعزيز",LG_D,"&lt;="&amp;C93)-SUMIFS(LG_REP,LG_E,"عبدالعزيز",LG_D,"&lt;="&amp;C93)-SUM(F65:F92))))),"")</f>
        <v/>
      </c>
      <c r="G93" s="56" t="str">
        <f aca="false">IF('ساعات عبدالعزيز'!$M$397=1,IF(29=START_Z,السنة!$C$7,N(I92))+N(D93)-N(E93)-N(F93)-N(K93),"")</f>
        <v/>
      </c>
      <c r="H93" s="55" t="str">
        <f aca="false">IF('ساعات عبدالعزيز'!$M$397=1,N('ساعات عبدالعزيز'!E409),"")</f>
        <v/>
      </c>
      <c r="I93" s="55" t="str">
        <f aca="false">IF('ساعات عبدالعزيز'!$M$397=1,G93-H93,"")</f>
        <v/>
      </c>
      <c r="J93" s="57" t="str">
        <f aca="false">IF('ساعات عبدالعزيز'!$M$397=1,MAX(0,السنة!$D$7+SUMIFS(LG_DEBT,LG_E,"عبدالعزيز",LG_D,"&lt;="&amp;C93)-SUMIFS(LG_REP,LG_E,"عبدالعزيز",LG_D,"&lt;="&amp;C93)-SUM(F65:F93)),"")</f>
        <v/>
      </c>
      <c r="K93" s="55" t="str">
        <f aca="false">IF('ساعات عبدالعزيز'!$M$397=1,N('ساعات عبدالعزيز'!W397),"")</f>
        <v/>
      </c>
      <c r="L93" s="54" t="n">
        <f aca="false">IF(C93="","",MONTH(C93))</f>
        <v>7</v>
      </c>
    </row>
    <row r="94" customFormat="false" ht="15" hidden="false" customHeight="false" outlineLevel="0" collapsed="false">
      <c r="A94" s="54" t="n">
        <f aca="false">IF(30&lt;=NW,30,"")</f>
        <v>30</v>
      </c>
      <c r="B94" s="22" t="n">
        <f aca="false">IF(30&lt;=NW,WEEK_ONE+203,"")</f>
        <v>46221</v>
      </c>
      <c r="C94" s="22" t="n">
        <f aca="false">IF(30&lt;=NW,WEEK_ONE+209,"")</f>
        <v>46227</v>
      </c>
      <c r="D94" s="55" t="str">
        <f aca="false">IF('ساعات عبدالعزيز'!$M$411=1,N('ساعات عبدالعزيز'!F422),"")</f>
        <v/>
      </c>
      <c r="E94" s="55" t="str">
        <f aca="false">IF('ساعات عبدالعزيز'!$M$411=1,SUMIFS(ADV_AMT,ADV_E,"عبدالعزيز",ADV_W,30),"")</f>
        <v/>
      </c>
      <c r="F94" s="55" t="str">
        <f aca="false">IF('ساعات عبدالعزيز'!$M$411=1,IF(N(D94)=0,0,MAX(0,IF(INST_MODE="تخفيض تلقائي",FLOOR(MIN(IF(SUMPRODUCT(MAX((LG_E="عبدالعزيز")*(LG_INST&lt;&gt;"")*(LG_D&lt;=C94)*LG_IDX))=0,السنة!$E$7,INDEX(LG_INST,SUMPRODUCT(MAX((LG_E="عبدالعزيز")*(LG_INST&lt;&gt;"")*(LG_D&lt;=C94)*LG_IDX)))),السنة!$D$7+SUMIFS(LG_DEBT,LG_E,"عبدالعزيز",LG_D,"&lt;="&amp;C94)-SUMIFS(LG_REP,LG_E,"عبدالعزيز",LG_D,"&lt;="&amp;C94)-SUM(F65:F93),INST_CAP*N(D94),N(D94)-N(E94)-NET_FLOOR*N(D94)),0.25),MIN(IF(SUMPRODUCT(MAX((LG_E="عبدالعزيز")*(LG_INST&lt;&gt;"")*(LG_D&lt;=C94)*LG_IDX))=0,السنة!$E$7,INDEX(LG_INST,SUMPRODUCT(MAX((LG_E="عبدالعزيز")*(LG_INST&lt;&gt;"")*(LG_D&lt;=C94)*LG_IDX)))),السنة!$D$7+SUMIFS(LG_DEBT,LG_E,"عبدالعزيز",LG_D,"&lt;="&amp;C94)-SUMIFS(LG_REP,LG_E,"عبدالعزيز",LG_D,"&lt;="&amp;C94)-SUM(F65:F93))))),"")</f>
        <v/>
      </c>
      <c r="G94" s="56" t="str">
        <f aca="false">IF('ساعات عبدالعزيز'!$M$411=1,IF(30=START_Z,السنة!$C$7,N(I93))+N(D94)-N(E94)-N(F94)-N(K94),"")</f>
        <v/>
      </c>
      <c r="H94" s="55" t="str">
        <f aca="false">IF('ساعات عبدالعزيز'!$M$411=1,N('ساعات عبدالعزيز'!E423),"")</f>
        <v/>
      </c>
      <c r="I94" s="55" t="str">
        <f aca="false">IF('ساعات عبدالعزيز'!$M$411=1,G94-H94,"")</f>
        <v/>
      </c>
      <c r="J94" s="57" t="str">
        <f aca="false">IF('ساعات عبدالعزيز'!$M$411=1,MAX(0,السنة!$D$7+SUMIFS(LG_DEBT,LG_E,"عبدالعزيز",LG_D,"&lt;="&amp;C94)-SUMIFS(LG_REP,LG_E,"عبدالعزيز",LG_D,"&lt;="&amp;C94)-SUM(F65:F94)),"")</f>
        <v/>
      </c>
      <c r="K94" s="55" t="str">
        <f aca="false">IF('ساعات عبدالعزيز'!$M$411=1,N('ساعات عبدالعزيز'!W411),"")</f>
        <v/>
      </c>
      <c r="L94" s="54" t="n">
        <f aca="false">IF(C94="","",MONTH(C94))</f>
        <v>7</v>
      </c>
    </row>
    <row r="95" customFormat="false" ht="15" hidden="false" customHeight="false" outlineLevel="0" collapsed="false">
      <c r="A95" s="54" t="n">
        <f aca="false">IF(31&lt;=NW,31,"")</f>
        <v>31</v>
      </c>
      <c r="B95" s="22" t="n">
        <f aca="false">IF(31&lt;=NW,WEEK_ONE+210,"")</f>
        <v>46228</v>
      </c>
      <c r="C95" s="22" t="n">
        <f aca="false">IF(31&lt;=NW,WEEK_ONE+216,"")</f>
        <v>46234</v>
      </c>
      <c r="D95" s="55" t="str">
        <f aca="false">IF('ساعات عبدالعزيز'!$M$425=1,N('ساعات عبدالعزيز'!F436),"")</f>
        <v/>
      </c>
      <c r="E95" s="55" t="str">
        <f aca="false">IF('ساعات عبدالعزيز'!$M$425=1,SUMIFS(ADV_AMT,ADV_E,"عبدالعزيز",ADV_W,31),"")</f>
        <v/>
      </c>
      <c r="F95" s="55" t="str">
        <f aca="false">IF('ساعات عبدالعزيز'!$M$425=1,IF(N(D95)=0,0,MAX(0,IF(INST_MODE="تخفيض تلقائي",FLOOR(MIN(IF(SUMPRODUCT(MAX((LG_E="عبدالعزيز")*(LG_INST&lt;&gt;"")*(LG_D&lt;=C95)*LG_IDX))=0,السنة!$E$7,INDEX(LG_INST,SUMPRODUCT(MAX((LG_E="عبدالعزيز")*(LG_INST&lt;&gt;"")*(LG_D&lt;=C95)*LG_IDX)))),السنة!$D$7+SUMIFS(LG_DEBT,LG_E,"عبدالعزيز",LG_D,"&lt;="&amp;C95)-SUMIFS(LG_REP,LG_E,"عبدالعزيز",LG_D,"&lt;="&amp;C95)-SUM(F65:F94),INST_CAP*N(D95),N(D95)-N(E95)-NET_FLOOR*N(D95)),0.25),MIN(IF(SUMPRODUCT(MAX((LG_E="عبدالعزيز")*(LG_INST&lt;&gt;"")*(LG_D&lt;=C95)*LG_IDX))=0,السنة!$E$7,INDEX(LG_INST,SUMPRODUCT(MAX((LG_E="عبدالعزيز")*(LG_INST&lt;&gt;"")*(LG_D&lt;=C95)*LG_IDX)))),السنة!$D$7+SUMIFS(LG_DEBT,LG_E,"عبدالعزيز",LG_D,"&lt;="&amp;C95)-SUMIFS(LG_REP,LG_E,"عبدالعزيز",LG_D,"&lt;="&amp;C95)-SUM(F65:F94))))),"")</f>
        <v/>
      </c>
      <c r="G95" s="56" t="str">
        <f aca="false">IF('ساعات عبدالعزيز'!$M$425=1,IF(31=START_Z,السنة!$C$7,N(I94))+N(D95)-N(E95)-N(F95)-N(K95),"")</f>
        <v/>
      </c>
      <c r="H95" s="55" t="str">
        <f aca="false">IF('ساعات عبدالعزيز'!$M$425=1,N('ساعات عبدالعزيز'!E437),"")</f>
        <v/>
      </c>
      <c r="I95" s="55" t="str">
        <f aca="false">IF('ساعات عبدالعزيز'!$M$425=1,G95-H95,"")</f>
        <v/>
      </c>
      <c r="J95" s="57" t="str">
        <f aca="false">IF('ساعات عبدالعزيز'!$M$425=1,MAX(0,السنة!$D$7+SUMIFS(LG_DEBT,LG_E,"عبدالعزيز",LG_D,"&lt;="&amp;C95)-SUMIFS(LG_REP,LG_E,"عبدالعزيز",LG_D,"&lt;="&amp;C95)-SUM(F65:F95)),"")</f>
        <v/>
      </c>
      <c r="K95" s="55" t="str">
        <f aca="false">IF('ساعات عبدالعزيز'!$M$425=1,N('ساعات عبدالعزيز'!W425),"")</f>
        <v/>
      </c>
      <c r="L95" s="54" t="n">
        <f aca="false">IF(C95="","",MONTH(C95))</f>
        <v>7</v>
      </c>
    </row>
    <row r="96" customFormat="false" ht="15" hidden="false" customHeight="false" outlineLevel="0" collapsed="false">
      <c r="A96" s="54" t="n">
        <f aca="false">IF(32&lt;=NW,32,"")</f>
        <v>32</v>
      </c>
      <c r="B96" s="22" t="n">
        <f aca="false">IF(32&lt;=NW,WEEK_ONE+217,"")</f>
        <v>46235</v>
      </c>
      <c r="C96" s="22" t="n">
        <f aca="false">IF(32&lt;=NW,WEEK_ONE+223,"")</f>
        <v>46241</v>
      </c>
      <c r="D96" s="55" t="str">
        <f aca="false">IF('ساعات عبدالعزيز'!$M$439=1,N('ساعات عبدالعزيز'!F450),"")</f>
        <v/>
      </c>
      <c r="E96" s="55" t="str">
        <f aca="false">IF('ساعات عبدالعزيز'!$M$439=1,SUMIFS(ADV_AMT,ADV_E,"عبدالعزيز",ADV_W,32),"")</f>
        <v/>
      </c>
      <c r="F96" s="55" t="str">
        <f aca="false">IF('ساعات عبدالعزيز'!$M$439=1,IF(N(D96)=0,0,MAX(0,IF(INST_MODE="تخفيض تلقائي",FLOOR(MIN(IF(SUMPRODUCT(MAX((LG_E="عبدالعزيز")*(LG_INST&lt;&gt;"")*(LG_D&lt;=C96)*LG_IDX))=0,السنة!$E$7,INDEX(LG_INST,SUMPRODUCT(MAX((LG_E="عبدالعزيز")*(LG_INST&lt;&gt;"")*(LG_D&lt;=C96)*LG_IDX)))),السنة!$D$7+SUMIFS(LG_DEBT,LG_E,"عبدالعزيز",LG_D,"&lt;="&amp;C96)-SUMIFS(LG_REP,LG_E,"عبدالعزيز",LG_D,"&lt;="&amp;C96)-SUM(F65:F95),INST_CAP*N(D96),N(D96)-N(E96)-NET_FLOOR*N(D96)),0.25),MIN(IF(SUMPRODUCT(MAX((LG_E="عبدالعزيز")*(LG_INST&lt;&gt;"")*(LG_D&lt;=C96)*LG_IDX))=0,السنة!$E$7,INDEX(LG_INST,SUMPRODUCT(MAX((LG_E="عبدالعزيز")*(LG_INST&lt;&gt;"")*(LG_D&lt;=C96)*LG_IDX)))),السنة!$D$7+SUMIFS(LG_DEBT,LG_E,"عبدالعزيز",LG_D,"&lt;="&amp;C96)-SUMIFS(LG_REP,LG_E,"عبدالعزيز",LG_D,"&lt;="&amp;C96)-SUM(F65:F95))))),"")</f>
        <v/>
      </c>
      <c r="G96" s="56" t="str">
        <f aca="false">IF('ساعات عبدالعزيز'!$M$439=1,IF(32=START_Z,السنة!$C$7,N(I95))+N(D96)-N(E96)-N(F96)-N(K96),"")</f>
        <v/>
      </c>
      <c r="H96" s="55" t="str">
        <f aca="false">IF('ساعات عبدالعزيز'!$M$439=1,N('ساعات عبدالعزيز'!E451),"")</f>
        <v/>
      </c>
      <c r="I96" s="55" t="str">
        <f aca="false">IF('ساعات عبدالعزيز'!$M$439=1,G96-H96,"")</f>
        <v/>
      </c>
      <c r="J96" s="57" t="str">
        <f aca="false">IF('ساعات عبدالعزيز'!$M$439=1,MAX(0,السنة!$D$7+SUMIFS(LG_DEBT,LG_E,"عبدالعزيز",LG_D,"&lt;="&amp;C96)-SUMIFS(LG_REP,LG_E,"عبدالعزيز",LG_D,"&lt;="&amp;C96)-SUM(F65:F96)),"")</f>
        <v/>
      </c>
      <c r="K96" s="55" t="str">
        <f aca="false">IF('ساعات عبدالعزيز'!$M$439=1,N('ساعات عبدالعزيز'!W439),"")</f>
        <v/>
      </c>
      <c r="L96" s="54" t="n">
        <f aca="false">IF(C96="","",MONTH(C96))</f>
        <v>8</v>
      </c>
    </row>
    <row r="97" customFormat="false" ht="15" hidden="false" customHeight="false" outlineLevel="0" collapsed="false">
      <c r="A97" s="54" t="n">
        <f aca="false">IF(33&lt;=NW,33,"")</f>
        <v>33</v>
      </c>
      <c r="B97" s="22" t="n">
        <f aca="false">IF(33&lt;=NW,WEEK_ONE+224,"")</f>
        <v>46242</v>
      </c>
      <c r="C97" s="22" t="n">
        <f aca="false">IF(33&lt;=NW,WEEK_ONE+230,"")</f>
        <v>46248</v>
      </c>
      <c r="D97" s="55" t="str">
        <f aca="false">IF('ساعات عبدالعزيز'!$M$453=1,N('ساعات عبدالعزيز'!F464),"")</f>
        <v/>
      </c>
      <c r="E97" s="55" t="str">
        <f aca="false">IF('ساعات عبدالعزيز'!$M$453=1,SUMIFS(ADV_AMT,ADV_E,"عبدالعزيز",ADV_W,33),"")</f>
        <v/>
      </c>
      <c r="F97" s="55" t="str">
        <f aca="false">IF('ساعات عبدالعزيز'!$M$453=1,IF(N(D97)=0,0,MAX(0,IF(INST_MODE="تخفيض تلقائي",FLOOR(MIN(IF(SUMPRODUCT(MAX((LG_E="عبدالعزيز")*(LG_INST&lt;&gt;"")*(LG_D&lt;=C97)*LG_IDX))=0,السنة!$E$7,INDEX(LG_INST,SUMPRODUCT(MAX((LG_E="عبدالعزيز")*(LG_INST&lt;&gt;"")*(LG_D&lt;=C97)*LG_IDX)))),السنة!$D$7+SUMIFS(LG_DEBT,LG_E,"عبدالعزيز",LG_D,"&lt;="&amp;C97)-SUMIFS(LG_REP,LG_E,"عبدالعزيز",LG_D,"&lt;="&amp;C97)-SUM(F65:F96),INST_CAP*N(D97),N(D97)-N(E97)-NET_FLOOR*N(D97)),0.25),MIN(IF(SUMPRODUCT(MAX((LG_E="عبدالعزيز")*(LG_INST&lt;&gt;"")*(LG_D&lt;=C97)*LG_IDX))=0,السنة!$E$7,INDEX(LG_INST,SUMPRODUCT(MAX((LG_E="عبدالعزيز")*(LG_INST&lt;&gt;"")*(LG_D&lt;=C97)*LG_IDX)))),السنة!$D$7+SUMIFS(LG_DEBT,LG_E,"عبدالعزيز",LG_D,"&lt;="&amp;C97)-SUMIFS(LG_REP,LG_E,"عبدالعزيز",LG_D,"&lt;="&amp;C97)-SUM(F65:F96))))),"")</f>
        <v/>
      </c>
      <c r="G97" s="56" t="str">
        <f aca="false">IF('ساعات عبدالعزيز'!$M$453=1,IF(33=START_Z,السنة!$C$7,N(I96))+N(D97)-N(E97)-N(F97)-N(K97),"")</f>
        <v/>
      </c>
      <c r="H97" s="55" t="str">
        <f aca="false">IF('ساعات عبدالعزيز'!$M$453=1,N('ساعات عبدالعزيز'!E465),"")</f>
        <v/>
      </c>
      <c r="I97" s="55" t="str">
        <f aca="false">IF('ساعات عبدالعزيز'!$M$453=1,G97-H97,"")</f>
        <v/>
      </c>
      <c r="J97" s="57" t="str">
        <f aca="false">IF('ساعات عبدالعزيز'!$M$453=1,MAX(0,السنة!$D$7+SUMIFS(LG_DEBT,LG_E,"عبدالعزيز",LG_D,"&lt;="&amp;C97)-SUMIFS(LG_REP,LG_E,"عبدالعزيز",LG_D,"&lt;="&amp;C97)-SUM(F65:F97)),"")</f>
        <v/>
      </c>
      <c r="K97" s="55" t="str">
        <f aca="false">IF('ساعات عبدالعزيز'!$M$453=1,N('ساعات عبدالعزيز'!W453),"")</f>
        <v/>
      </c>
      <c r="L97" s="54" t="n">
        <f aca="false">IF(C97="","",MONTH(C97))</f>
        <v>8</v>
      </c>
    </row>
    <row r="98" customFormat="false" ht="15" hidden="false" customHeight="false" outlineLevel="0" collapsed="false">
      <c r="A98" s="54" t="n">
        <f aca="false">IF(34&lt;=NW,34,"")</f>
        <v>34</v>
      </c>
      <c r="B98" s="22" t="n">
        <f aca="false">IF(34&lt;=NW,WEEK_ONE+231,"")</f>
        <v>46249</v>
      </c>
      <c r="C98" s="22" t="n">
        <f aca="false">IF(34&lt;=NW,WEEK_ONE+237,"")</f>
        <v>46255</v>
      </c>
      <c r="D98" s="55" t="str">
        <f aca="false">IF('ساعات عبدالعزيز'!$M$467=1,N('ساعات عبدالعزيز'!F478),"")</f>
        <v/>
      </c>
      <c r="E98" s="55" t="str">
        <f aca="false">IF('ساعات عبدالعزيز'!$M$467=1,SUMIFS(ADV_AMT,ADV_E,"عبدالعزيز",ADV_W,34),"")</f>
        <v/>
      </c>
      <c r="F98" s="55" t="str">
        <f aca="false">IF('ساعات عبدالعزيز'!$M$467=1,IF(N(D98)=0,0,MAX(0,IF(INST_MODE="تخفيض تلقائي",FLOOR(MIN(IF(SUMPRODUCT(MAX((LG_E="عبدالعزيز")*(LG_INST&lt;&gt;"")*(LG_D&lt;=C98)*LG_IDX))=0,السنة!$E$7,INDEX(LG_INST,SUMPRODUCT(MAX((LG_E="عبدالعزيز")*(LG_INST&lt;&gt;"")*(LG_D&lt;=C98)*LG_IDX)))),السنة!$D$7+SUMIFS(LG_DEBT,LG_E,"عبدالعزيز",LG_D,"&lt;="&amp;C98)-SUMIFS(LG_REP,LG_E,"عبدالعزيز",LG_D,"&lt;="&amp;C98)-SUM(F65:F97),INST_CAP*N(D98),N(D98)-N(E98)-NET_FLOOR*N(D98)),0.25),MIN(IF(SUMPRODUCT(MAX((LG_E="عبدالعزيز")*(LG_INST&lt;&gt;"")*(LG_D&lt;=C98)*LG_IDX))=0,السنة!$E$7,INDEX(LG_INST,SUMPRODUCT(MAX((LG_E="عبدالعزيز")*(LG_INST&lt;&gt;"")*(LG_D&lt;=C98)*LG_IDX)))),السنة!$D$7+SUMIFS(LG_DEBT,LG_E,"عبدالعزيز",LG_D,"&lt;="&amp;C98)-SUMIFS(LG_REP,LG_E,"عبدالعزيز",LG_D,"&lt;="&amp;C98)-SUM(F65:F97))))),"")</f>
        <v/>
      </c>
      <c r="G98" s="56" t="str">
        <f aca="false">IF('ساعات عبدالعزيز'!$M$467=1,IF(34=START_Z,السنة!$C$7,N(I97))+N(D98)-N(E98)-N(F98)-N(K98),"")</f>
        <v/>
      </c>
      <c r="H98" s="55" t="str">
        <f aca="false">IF('ساعات عبدالعزيز'!$M$467=1,N('ساعات عبدالعزيز'!E479),"")</f>
        <v/>
      </c>
      <c r="I98" s="55" t="str">
        <f aca="false">IF('ساعات عبدالعزيز'!$M$467=1,G98-H98,"")</f>
        <v/>
      </c>
      <c r="J98" s="57" t="str">
        <f aca="false">IF('ساعات عبدالعزيز'!$M$467=1,MAX(0,السنة!$D$7+SUMIFS(LG_DEBT,LG_E,"عبدالعزيز",LG_D,"&lt;="&amp;C98)-SUMIFS(LG_REP,LG_E,"عبدالعزيز",LG_D,"&lt;="&amp;C98)-SUM(F65:F98)),"")</f>
        <v/>
      </c>
      <c r="K98" s="55" t="str">
        <f aca="false">IF('ساعات عبدالعزيز'!$M$467=1,N('ساعات عبدالعزيز'!W467),"")</f>
        <v/>
      </c>
      <c r="L98" s="54" t="n">
        <f aca="false">IF(C98="","",MONTH(C98))</f>
        <v>8</v>
      </c>
    </row>
    <row r="99" customFormat="false" ht="15" hidden="false" customHeight="false" outlineLevel="0" collapsed="false">
      <c r="A99" s="54" t="n">
        <f aca="false">IF(35&lt;=NW,35,"")</f>
        <v>35</v>
      </c>
      <c r="B99" s="22" t="n">
        <f aca="false">IF(35&lt;=NW,WEEK_ONE+238,"")</f>
        <v>46256</v>
      </c>
      <c r="C99" s="22" t="n">
        <f aca="false">IF(35&lt;=NW,WEEK_ONE+244,"")</f>
        <v>46262</v>
      </c>
      <c r="D99" s="55" t="str">
        <f aca="false">IF('ساعات عبدالعزيز'!$M$481=1,N('ساعات عبدالعزيز'!F492),"")</f>
        <v/>
      </c>
      <c r="E99" s="55" t="str">
        <f aca="false">IF('ساعات عبدالعزيز'!$M$481=1,SUMIFS(ADV_AMT,ADV_E,"عبدالعزيز",ADV_W,35),"")</f>
        <v/>
      </c>
      <c r="F99" s="55" t="str">
        <f aca="false">IF('ساعات عبدالعزيز'!$M$481=1,IF(N(D99)=0,0,MAX(0,IF(INST_MODE="تخفيض تلقائي",FLOOR(MIN(IF(SUMPRODUCT(MAX((LG_E="عبدالعزيز")*(LG_INST&lt;&gt;"")*(LG_D&lt;=C99)*LG_IDX))=0,السنة!$E$7,INDEX(LG_INST,SUMPRODUCT(MAX((LG_E="عبدالعزيز")*(LG_INST&lt;&gt;"")*(LG_D&lt;=C99)*LG_IDX)))),السنة!$D$7+SUMIFS(LG_DEBT,LG_E,"عبدالعزيز",LG_D,"&lt;="&amp;C99)-SUMIFS(LG_REP,LG_E,"عبدالعزيز",LG_D,"&lt;="&amp;C99)-SUM(F65:F98),INST_CAP*N(D99),N(D99)-N(E99)-NET_FLOOR*N(D99)),0.25),MIN(IF(SUMPRODUCT(MAX((LG_E="عبدالعزيز")*(LG_INST&lt;&gt;"")*(LG_D&lt;=C99)*LG_IDX))=0,السنة!$E$7,INDEX(LG_INST,SUMPRODUCT(MAX((LG_E="عبدالعزيز")*(LG_INST&lt;&gt;"")*(LG_D&lt;=C99)*LG_IDX)))),السنة!$D$7+SUMIFS(LG_DEBT,LG_E,"عبدالعزيز",LG_D,"&lt;="&amp;C99)-SUMIFS(LG_REP,LG_E,"عبدالعزيز",LG_D,"&lt;="&amp;C99)-SUM(F65:F98))))),"")</f>
        <v/>
      </c>
      <c r="G99" s="56" t="str">
        <f aca="false">IF('ساعات عبدالعزيز'!$M$481=1,IF(35=START_Z,السنة!$C$7,N(I98))+N(D99)-N(E99)-N(F99)-N(K99),"")</f>
        <v/>
      </c>
      <c r="H99" s="55" t="str">
        <f aca="false">IF('ساعات عبدالعزيز'!$M$481=1,N('ساعات عبدالعزيز'!E493),"")</f>
        <v/>
      </c>
      <c r="I99" s="55" t="str">
        <f aca="false">IF('ساعات عبدالعزيز'!$M$481=1,G99-H99,"")</f>
        <v/>
      </c>
      <c r="J99" s="57" t="str">
        <f aca="false">IF('ساعات عبدالعزيز'!$M$481=1,MAX(0,السنة!$D$7+SUMIFS(LG_DEBT,LG_E,"عبدالعزيز",LG_D,"&lt;="&amp;C99)-SUMIFS(LG_REP,LG_E,"عبدالعزيز",LG_D,"&lt;="&amp;C99)-SUM(F65:F99)),"")</f>
        <v/>
      </c>
      <c r="K99" s="55" t="str">
        <f aca="false">IF('ساعات عبدالعزيز'!$M$481=1,N('ساعات عبدالعزيز'!W481),"")</f>
        <v/>
      </c>
      <c r="L99" s="54" t="n">
        <f aca="false">IF(C99="","",MONTH(C99))</f>
        <v>8</v>
      </c>
    </row>
    <row r="100" customFormat="false" ht="15" hidden="false" customHeight="false" outlineLevel="0" collapsed="false">
      <c r="A100" s="54" t="n">
        <f aca="false">IF(36&lt;=NW,36,"")</f>
        <v>36</v>
      </c>
      <c r="B100" s="22" t="n">
        <f aca="false">IF(36&lt;=NW,WEEK_ONE+245,"")</f>
        <v>46263</v>
      </c>
      <c r="C100" s="22" t="n">
        <f aca="false">IF(36&lt;=NW,WEEK_ONE+251,"")</f>
        <v>46269</v>
      </c>
      <c r="D100" s="55" t="str">
        <f aca="false">IF('ساعات عبدالعزيز'!$M$495=1,N('ساعات عبدالعزيز'!F506),"")</f>
        <v/>
      </c>
      <c r="E100" s="55" t="str">
        <f aca="false">IF('ساعات عبدالعزيز'!$M$495=1,SUMIFS(ADV_AMT,ADV_E,"عبدالعزيز",ADV_W,36),"")</f>
        <v/>
      </c>
      <c r="F100" s="55" t="str">
        <f aca="false">IF('ساعات عبدالعزيز'!$M$495=1,IF(N(D100)=0,0,MAX(0,IF(INST_MODE="تخفيض تلقائي",FLOOR(MIN(IF(SUMPRODUCT(MAX((LG_E="عبدالعزيز")*(LG_INST&lt;&gt;"")*(LG_D&lt;=C100)*LG_IDX))=0,السنة!$E$7,INDEX(LG_INST,SUMPRODUCT(MAX((LG_E="عبدالعزيز")*(LG_INST&lt;&gt;"")*(LG_D&lt;=C100)*LG_IDX)))),السنة!$D$7+SUMIFS(LG_DEBT,LG_E,"عبدالعزيز",LG_D,"&lt;="&amp;C100)-SUMIFS(LG_REP,LG_E,"عبدالعزيز",LG_D,"&lt;="&amp;C100)-SUM(F65:F99),INST_CAP*N(D100),N(D100)-N(E100)-NET_FLOOR*N(D100)),0.25),MIN(IF(SUMPRODUCT(MAX((LG_E="عبدالعزيز")*(LG_INST&lt;&gt;"")*(LG_D&lt;=C100)*LG_IDX))=0,السنة!$E$7,INDEX(LG_INST,SUMPRODUCT(MAX((LG_E="عبدالعزيز")*(LG_INST&lt;&gt;"")*(LG_D&lt;=C100)*LG_IDX)))),السنة!$D$7+SUMIFS(LG_DEBT,LG_E,"عبدالعزيز",LG_D,"&lt;="&amp;C100)-SUMIFS(LG_REP,LG_E,"عبدالعزيز",LG_D,"&lt;="&amp;C100)-SUM(F65:F99))))),"")</f>
        <v/>
      </c>
      <c r="G100" s="56" t="str">
        <f aca="false">IF('ساعات عبدالعزيز'!$M$495=1,IF(36=START_Z,السنة!$C$7,N(I99))+N(D100)-N(E100)-N(F100)-N(K100),"")</f>
        <v/>
      </c>
      <c r="H100" s="55" t="str">
        <f aca="false">IF('ساعات عبدالعزيز'!$M$495=1,N('ساعات عبدالعزيز'!E507),"")</f>
        <v/>
      </c>
      <c r="I100" s="55" t="str">
        <f aca="false">IF('ساعات عبدالعزيز'!$M$495=1,G100-H100,"")</f>
        <v/>
      </c>
      <c r="J100" s="57" t="str">
        <f aca="false">IF('ساعات عبدالعزيز'!$M$495=1,MAX(0,السنة!$D$7+SUMIFS(LG_DEBT,LG_E,"عبدالعزيز",LG_D,"&lt;="&amp;C100)-SUMIFS(LG_REP,LG_E,"عبدالعزيز",LG_D,"&lt;="&amp;C100)-SUM(F65:F100)),"")</f>
        <v/>
      </c>
      <c r="K100" s="55" t="str">
        <f aca="false">IF('ساعات عبدالعزيز'!$M$495=1,N('ساعات عبدالعزيز'!W495),"")</f>
        <v/>
      </c>
      <c r="L100" s="54" t="n">
        <f aca="false">IF(C100="","",MONTH(C100))</f>
        <v>9</v>
      </c>
    </row>
    <row r="101" customFormat="false" ht="15" hidden="false" customHeight="false" outlineLevel="0" collapsed="false">
      <c r="A101" s="54" t="n">
        <f aca="false">IF(37&lt;=NW,37,"")</f>
        <v>37</v>
      </c>
      <c r="B101" s="22" t="n">
        <f aca="false">IF(37&lt;=NW,WEEK_ONE+252,"")</f>
        <v>46270</v>
      </c>
      <c r="C101" s="22" t="n">
        <f aca="false">IF(37&lt;=NW,WEEK_ONE+258,"")</f>
        <v>46276</v>
      </c>
      <c r="D101" s="55" t="str">
        <f aca="false">IF('ساعات عبدالعزيز'!$M$509=1,N('ساعات عبدالعزيز'!F520),"")</f>
        <v/>
      </c>
      <c r="E101" s="55" t="str">
        <f aca="false">IF('ساعات عبدالعزيز'!$M$509=1,SUMIFS(ADV_AMT,ADV_E,"عبدالعزيز",ADV_W,37),"")</f>
        <v/>
      </c>
      <c r="F101" s="55" t="str">
        <f aca="false">IF('ساعات عبدالعزيز'!$M$509=1,IF(N(D101)=0,0,MAX(0,IF(INST_MODE="تخفيض تلقائي",FLOOR(MIN(IF(SUMPRODUCT(MAX((LG_E="عبدالعزيز")*(LG_INST&lt;&gt;"")*(LG_D&lt;=C101)*LG_IDX))=0,السنة!$E$7,INDEX(LG_INST,SUMPRODUCT(MAX((LG_E="عبدالعزيز")*(LG_INST&lt;&gt;"")*(LG_D&lt;=C101)*LG_IDX)))),السنة!$D$7+SUMIFS(LG_DEBT,LG_E,"عبدالعزيز",LG_D,"&lt;="&amp;C101)-SUMIFS(LG_REP,LG_E,"عبدالعزيز",LG_D,"&lt;="&amp;C101)-SUM(F65:F100),INST_CAP*N(D101),N(D101)-N(E101)-NET_FLOOR*N(D101)),0.25),MIN(IF(SUMPRODUCT(MAX((LG_E="عبدالعزيز")*(LG_INST&lt;&gt;"")*(LG_D&lt;=C101)*LG_IDX))=0,السنة!$E$7,INDEX(LG_INST,SUMPRODUCT(MAX((LG_E="عبدالعزيز")*(LG_INST&lt;&gt;"")*(LG_D&lt;=C101)*LG_IDX)))),السنة!$D$7+SUMIFS(LG_DEBT,LG_E,"عبدالعزيز",LG_D,"&lt;="&amp;C101)-SUMIFS(LG_REP,LG_E,"عبدالعزيز",LG_D,"&lt;="&amp;C101)-SUM(F65:F100))))),"")</f>
        <v/>
      </c>
      <c r="G101" s="56" t="str">
        <f aca="false">IF('ساعات عبدالعزيز'!$M$509=1,IF(37=START_Z,السنة!$C$7,N(I100))+N(D101)-N(E101)-N(F101)-N(K101),"")</f>
        <v/>
      </c>
      <c r="H101" s="55" t="str">
        <f aca="false">IF('ساعات عبدالعزيز'!$M$509=1,N('ساعات عبدالعزيز'!E521),"")</f>
        <v/>
      </c>
      <c r="I101" s="55" t="str">
        <f aca="false">IF('ساعات عبدالعزيز'!$M$509=1,G101-H101,"")</f>
        <v/>
      </c>
      <c r="J101" s="57" t="str">
        <f aca="false">IF('ساعات عبدالعزيز'!$M$509=1,MAX(0,السنة!$D$7+SUMIFS(LG_DEBT,LG_E,"عبدالعزيز",LG_D,"&lt;="&amp;C101)-SUMIFS(LG_REP,LG_E,"عبدالعزيز",LG_D,"&lt;="&amp;C101)-SUM(F65:F101)),"")</f>
        <v/>
      </c>
      <c r="K101" s="55" t="str">
        <f aca="false">IF('ساعات عبدالعزيز'!$M$509=1,N('ساعات عبدالعزيز'!W509),"")</f>
        <v/>
      </c>
      <c r="L101" s="54" t="n">
        <f aca="false">IF(C101="","",MONTH(C101))</f>
        <v>9</v>
      </c>
    </row>
    <row r="102" customFormat="false" ht="15" hidden="false" customHeight="false" outlineLevel="0" collapsed="false">
      <c r="A102" s="54" t="n">
        <f aca="false">IF(38&lt;=NW,38,"")</f>
        <v>38</v>
      </c>
      <c r="B102" s="22" t="n">
        <f aca="false">IF(38&lt;=NW,WEEK_ONE+259,"")</f>
        <v>46277</v>
      </c>
      <c r="C102" s="22" t="n">
        <f aca="false">IF(38&lt;=NW,WEEK_ONE+265,"")</f>
        <v>46283</v>
      </c>
      <c r="D102" s="55" t="str">
        <f aca="false">IF('ساعات عبدالعزيز'!$M$523=1,N('ساعات عبدالعزيز'!F534),"")</f>
        <v/>
      </c>
      <c r="E102" s="55" t="str">
        <f aca="false">IF('ساعات عبدالعزيز'!$M$523=1,SUMIFS(ADV_AMT,ADV_E,"عبدالعزيز",ADV_W,38),"")</f>
        <v/>
      </c>
      <c r="F102" s="55" t="str">
        <f aca="false">IF('ساعات عبدالعزيز'!$M$523=1,IF(N(D102)=0,0,MAX(0,IF(INST_MODE="تخفيض تلقائي",FLOOR(MIN(IF(SUMPRODUCT(MAX((LG_E="عبدالعزيز")*(LG_INST&lt;&gt;"")*(LG_D&lt;=C102)*LG_IDX))=0,السنة!$E$7,INDEX(LG_INST,SUMPRODUCT(MAX((LG_E="عبدالعزيز")*(LG_INST&lt;&gt;"")*(LG_D&lt;=C102)*LG_IDX)))),السنة!$D$7+SUMIFS(LG_DEBT,LG_E,"عبدالعزيز",LG_D,"&lt;="&amp;C102)-SUMIFS(LG_REP,LG_E,"عبدالعزيز",LG_D,"&lt;="&amp;C102)-SUM(F65:F101),INST_CAP*N(D102),N(D102)-N(E102)-NET_FLOOR*N(D102)),0.25),MIN(IF(SUMPRODUCT(MAX((LG_E="عبدالعزيز")*(LG_INST&lt;&gt;"")*(LG_D&lt;=C102)*LG_IDX))=0,السنة!$E$7,INDEX(LG_INST,SUMPRODUCT(MAX((LG_E="عبدالعزيز")*(LG_INST&lt;&gt;"")*(LG_D&lt;=C102)*LG_IDX)))),السنة!$D$7+SUMIFS(LG_DEBT,LG_E,"عبدالعزيز",LG_D,"&lt;="&amp;C102)-SUMIFS(LG_REP,LG_E,"عبدالعزيز",LG_D,"&lt;="&amp;C102)-SUM(F65:F101))))),"")</f>
        <v/>
      </c>
      <c r="G102" s="56" t="str">
        <f aca="false">IF('ساعات عبدالعزيز'!$M$523=1,IF(38=START_Z,السنة!$C$7,N(I101))+N(D102)-N(E102)-N(F102)-N(K102),"")</f>
        <v/>
      </c>
      <c r="H102" s="55" t="str">
        <f aca="false">IF('ساعات عبدالعزيز'!$M$523=1,N('ساعات عبدالعزيز'!E535),"")</f>
        <v/>
      </c>
      <c r="I102" s="55" t="str">
        <f aca="false">IF('ساعات عبدالعزيز'!$M$523=1,G102-H102,"")</f>
        <v/>
      </c>
      <c r="J102" s="57" t="str">
        <f aca="false">IF('ساعات عبدالعزيز'!$M$523=1,MAX(0,السنة!$D$7+SUMIFS(LG_DEBT,LG_E,"عبدالعزيز",LG_D,"&lt;="&amp;C102)-SUMIFS(LG_REP,LG_E,"عبدالعزيز",LG_D,"&lt;="&amp;C102)-SUM(F65:F102)),"")</f>
        <v/>
      </c>
      <c r="K102" s="55" t="str">
        <f aca="false">IF('ساعات عبدالعزيز'!$M$523=1,N('ساعات عبدالعزيز'!W523),"")</f>
        <v/>
      </c>
      <c r="L102" s="54" t="n">
        <f aca="false">IF(C102="","",MONTH(C102))</f>
        <v>9</v>
      </c>
    </row>
    <row r="103" customFormat="false" ht="15" hidden="false" customHeight="false" outlineLevel="0" collapsed="false">
      <c r="A103" s="54" t="n">
        <f aca="false">IF(39&lt;=NW,39,"")</f>
        <v>39</v>
      </c>
      <c r="B103" s="22" t="n">
        <f aca="false">IF(39&lt;=NW,WEEK_ONE+266,"")</f>
        <v>46284</v>
      </c>
      <c r="C103" s="22" t="n">
        <f aca="false">IF(39&lt;=NW,WEEK_ONE+272,"")</f>
        <v>46290</v>
      </c>
      <c r="D103" s="55" t="str">
        <f aca="false">IF('ساعات عبدالعزيز'!$M$537=1,N('ساعات عبدالعزيز'!F548),"")</f>
        <v/>
      </c>
      <c r="E103" s="55" t="str">
        <f aca="false">IF('ساعات عبدالعزيز'!$M$537=1,SUMIFS(ADV_AMT,ADV_E,"عبدالعزيز",ADV_W,39),"")</f>
        <v/>
      </c>
      <c r="F103" s="55" t="str">
        <f aca="false">IF('ساعات عبدالعزيز'!$M$537=1,IF(N(D103)=0,0,MAX(0,IF(INST_MODE="تخفيض تلقائي",FLOOR(MIN(IF(SUMPRODUCT(MAX((LG_E="عبدالعزيز")*(LG_INST&lt;&gt;"")*(LG_D&lt;=C103)*LG_IDX))=0,السنة!$E$7,INDEX(LG_INST,SUMPRODUCT(MAX((LG_E="عبدالعزيز")*(LG_INST&lt;&gt;"")*(LG_D&lt;=C103)*LG_IDX)))),السنة!$D$7+SUMIFS(LG_DEBT,LG_E,"عبدالعزيز",LG_D,"&lt;="&amp;C103)-SUMIFS(LG_REP,LG_E,"عبدالعزيز",LG_D,"&lt;="&amp;C103)-SUM(F65:F102),INST_CAP*N(D103),N(D103)-N(E103)-NET_FLOOR*N(D103)),0.25),MIN(IF(SUMPRODUCT(MAX((LG_E="عبدالعزيز")*(LG_INST&lt;&gt;"")*(LG_D&lt;=C103)*LG_IDX))=0,السنة!$E$7,INDEX(LG_INST,SUMPRODUCT(MAX((LG_E="عبدالعزيز")*(LG_INST&lt;&gt;"")*(LG_D&lt;=C103)*LG_IDX)))),السنة!$D$7+SUMIFS(LG_DEBT,LG_E,"عبدالعزيز",LG_D,"&lt;="&amp;C103)-SUMIFS(LG_REP,LG_E,"عبدالعزيز",LG_D,"&lt;="&amp;C103)-SUM(F65:F102))))),"")</f>
        <v/>
      </c>
      <c r="G103" s="56" t="str">
        <f aca="false">IF('ساعات عبدالعزيز'!$M$537=1,IF(39=START_Z,السنة!$C$7,N(I102))+N(D103)-N(E103)-N(F103)-N(K103),"")</f>
        <v/>
      </c>
      <c r="H103" s="55" t="str">
        <f aca="false">IF('ساعات عبدالعزيز'!$M$537=1,N('ساعات عبدالعزيز'!E549),"")</f>
        <v/>
      </c>
      <c r="I103" s="55" t="str">
        <f aca="false">IF('ساعات عبدالعزيز'!$M$537=1,G103-H103,"")</f>
        <v/>
      </c>
      <c r="J103" s="57" t="str">
        <f aca="false">IF('ساعات عبدالعزيز'!$M$537=1,MAX(0,السنة!$D$7+SUMIFS(LG_DEBT,LG_E,"عبدالعزيز",LG_D,"&lt;="&amp;C103)-SUMIFS(LG_REP,LG_E,"عبدالعزيز",LG_D,"&lt;="&amp;C103)-SUM(F65:F103)),"")</f>
        <v/>
      </c>
      <c r="K103" s="55" t="str">
        <f aca="false">IF('ساعات عبدالعزيز'!$M$537=1,N('ساعات عبدالعزيز'!W537),"")</f>
        <v/>
      </c>
      <c r="L103" s="54" t="n">
        <f aca="false">IF(C103="","",MONTH(C103))</f>
        <v>9</v>
      </c>
    </row>
    <row r="104" customFormat="false" ht="15" hidden="false" customHeight="false" outlineLevel="0" collapsed="false">
      <c r="A104" s="54" t="n">
        <f aca="false">IF(40&lt;=NW,40,"")</f>
        <v>40</v>
      </c>
      <c r="B104" s="22" t="n">
        <f aca="false">IF(40&lt;=NW,WEEK_ONE+273,"")</f>
        <v>46291</v>
      </c>
      <c r="C104" s="22" t="n">
        <f aca="false">IF(40&lt;=NW,WEEK_ONE+279,"")</f>
        <v>46297</v>
      </c>
      <c r="D104" s="55" t="n">
        <f aca="false">IF('ساعات عبدالعزيز'!$M$551=1,N('ساعات عبدالعزيز'!F562),"")</f>
        <v>0</v>
      </c>
      <c r="E104" s="55" t="n">
        <f aca="false">IF('ساعات عبدالعزيز'!$M$551=1,SUMIFS(ADV_AMT,ADV_E,"عبدالعزيز",ADV_W,40),"")</f>
        <v>0</v>
      </c>
      <c r="F104" s="55" t="n">
        <f aca="false">IF('ساعات عبدالعزيز'!$M$551=1,IF(N(D104)=0,0,MAX(0,IF(INST_MODE="تخفيض تلقائي",FLOOR(MIN(IF(SUMPRODUCT(MAX((LG_E="عبدالعزيز")*(LG_INST&lt;&gt;"")*(LG_D&lt;=C104)*LG_IDX))=0,السنة!$E$7,INDEX(LG_INST,SUMPRODUCT(MAX((LG_E="عبدالعزيز")*(LG_INST&lt;&gt;"")*(LG_D&lt;=C104)*LG_IDX)))),السنة!$D$7+SUMIFS(LG_DEBT,LG_E,"عبدالعزيز",LG_D,"&lt;="&amp;C104)-SUMIFS(LG_REP,LG_E,"عبدالعزيز",LG_D,"&lt;="&amp;C104)-SUM(F65:F103),INST_CAP*N(D104),N(D104)-N(E104)-NET_FLOOR*N(D104)),0.25),MIN(IF(SUMPRODUCT(MAX((LG_E="عبدالعزيز")*(LG_INST&lt;&gt;"")*(LG_D&lt;=C104)*LG_IDX))=0,السنة!$E$7,INDEX(LG_INST,SUMPRODUCT(MAX((LG_E="عبدالعزيز")*(LG_INST&lt;&gt;"")*(LG_D&lt;=C104)*LG_IDX)))),السنة!$D$7+SUMIFS(LG_DEBT,LG_E,"عبدالعزيز",LG_D,"&lt;="&amp;C104)-SUMIFS(LG_REP,LG_E,"عبدالعزيز",LG_D,"&lt;="&amp;C104)-SUM(F65:F103))))),"")</f>
        <v>0</v>
      </c>
      <c r="G104" s="56" t="n">
        <f aca="false">IF('ساعات عبدالعزيز'!$M$551=1,IF(40=START_Z,السنة!$C$7,N(I103))+N(D104)-N(E104)-N(F104)-N(K104),"")</f>
        <v>0</v>
      </c>
      <c r="H104" s="55" t="n">
        <f aca="false">IF('ساعات عبدالعزيز'!$M$551=1,N('ساعات عبدالعزيز'!E563),"")</f>
        <v>0</v>
      </c>
      <c r="I104" s="55" t="n">
        <f aca="false">IF('ساعات عبدالعزيز'!$M$551=1,G104-H104,"")</f>
        <v>0</v>
      </c>
      <c r="J104" s="57" t="n">
        <f aca="false">IF('ساعات عبدالعزيز'!$M$551=1,MAX(0,السنة!$D$7+SUMIFS(LG_DEBT,LG_E,"عبدالعزيز",LG_D,"&lt;="&amp;C104)-SUMIFS(LG_REP,LG_E,"عبدالعزيز",LG_D,"&lt;="&amp;C104)-SUM(F65:F104)),"")</f>
        <v>0</v>
      </c>
      <c r="K104" s="55" t="n">
        <f aca="false">IF('ساعات عبدالعزيز'!$M$551=1,N('ساعات عبدالعزيز'!W551),"")</f>
        <v>0</v>
      </c>
      <c r="L104" s="54" t="n">
        <f aca="false">IF(C104="","",MONTH(C104))</f>
        <v>10</v>
      </c>
    </row>
    <row r="105" customFormat="false" ht="15" hidden="false" customHeight="false" outlineLevel="0" collapsed="false">
      <c r="A105" s="54" t="n">
        <f aca="false">IF(41&lt;=NW,41,"")</f>
        <v>41</v>
      </c>
      <c r="B105" s="22" t="n">
        <f aca="false">IF(41&lt;=NW,WEEK_ONE+280,"")</f>
        <v>46298</v>
      </c>
      <c r="C105" s="22" t="n">
        <f aca="false">IF(41&lt;=NW,WEEK_ONE+286,"")</f>
        <v>46304</v>
      </c>
      <c r="D105" s="55" t="n">
        <f aca="false">IF('ساعات عبدالعزيز'!$M$565=1,N('ساعات عبدالعزيز'!F576),"")</f>
        <v>0</v>
      </c>
      <c r="E105" s="55" t="n">
        <f aca="false">IF('ساعات عبدالعزيز'!$M$565=1,SUMIFS(ADV_AMT,ADV_E,"عبدالعزيز",ADV_W,41),"")</f>
        <v>0</v>
      </c>
      <c r="F105" s="55" t="n">
        <f aca="false">IF('ساعات عبدالعزيز'!$M$565=1,IF(N(D105)=0,0,MAX(0,IF(INST_MODE="تخفيض تلقائي",FLOOR(MIN(IF(SUMPRODUCT(MAX((LG_E="عبدالعزيز")*(LG_INST&lt;&gt;"")*(LG_D&lt;=C105)*LG_IDX))=0,السنة!$E$7,INDEX(LG_INST,SUMPRODUCT(MAX((LG_E="عبدالعزيز")*(LG_INST&lt;&gt;"")*(LG_D&lt;=C105)*LG_IDX)))),السنة!$D$7+SUMIFS(LG_DEBT,LG_E,"عبدالعزيز",LG_D,"&lt;="&amp;C105)-SUMIFS(LG_REP,LG_E,"عبدالعزيز",LG_D,"&lt;="&amp;C105)-SUM(F65:F104),INST_CAP*N(D105),N(D105)-N(E105)-NET_FLOOR*N(D105)),0.25),MIN(IF(SUMPRODUCT(MAX((LG_E="عبدالعزيز")*(LG_INST&lt;&gt;"")*(LG_D&lt;=C105)*LG_IDX))=0,السنة!$E$7,INDEX(LG_INST,SUMPRODUCT(MAX((LG_E="عبدالعزيز")*(LG_INST&lt;&gt;"")*(LG_D&lt;=C105)*LG_IDX)))),السنة!$D$7+SUMIFS(LG_DEBT,LG_E,"عبدالعزيز",LG_D,"&lt;="&amp;C105)-SUMIFS(LG_REP,LG_E,"عبدالعزيز",LG_D,"&lt;="&amp;C105)-SUM(F65:F104))))),"")</f>
        <v>0</v>
      </c>
      <c r="G105" s="56" t="n">
        <f aca="false">IF('ساعات عبدالعزيز'!$M$565=1,IF(41=START_Z,السنة!$C$7,N(I104))+N(D105)-N(E105)-N(F105)-N(K105),"")</f>
        <v>0</v>
      </c>
      <c r="H105" s="55" t="n">
        <f aca="false">IF('ساعات عبدالعزيز'!$M$565=1,N('ساعات عبدالعزيز'!E577),"")</f>
        <v>0</v>
      </c>
      <c r="I105" s="55" t="n">
        <f aca="false">IF('ساعات عبدالعزيز'!$M$565=1,G105-H105,"")</f>
        <v>0</v>
      </c>
      <c r="J105" s="57" t="n">
        <f aca="false">IF('ساعات عبدالعزيز'!$M$565=1,MAX(0,السنة!$D$7+SUMIFS(LG_DEBT,LG_E,"عبدالعزيز",LG_D,"&lt;="&amp;C105)-SUMIFS(LG_REP,LG_E,"عبدالعزيز",LG_D,"&lt;="&amp;C105)-SUM(F65:F105)),"")</f>
        <v>0</v>
      </c>
      <c r="K105" s="55" t="n">
        <f aca="false">IF('ساعات عبدالعزيز'!$M$565=1,N('ساعات عبدالعزيز'!W565),"")</f>
        <v>0</v>
      </c>
      <c r="L105" s="54" t="n">
        <f aca="false">IF(C105="","",MONTH(C105))</f>
        <v>10</v>
      </c>
    </row>
    <row r="106" customFormat="false" ht="15" hidden="false" customHeight="false" outlineLevel="0" collapsed="false">
      <c r="A106" s="54" t="n">
        <f aca="false">IF(42&lt;=NW,42,"")</f>
        <v>42</v>
      </c>
      <c r="B106" s="22" t="n">
        <f aca="false">IF(42&lt;=NW,WEEK_ONE+287,"")</f>
        <v>46305</v>
      </c>
      <c r="C106" s="22" t="n">
        <f aca="false">IF(42&lt;=NW,WEEK_ONE+293,"")</f>
        <v>46311</v>
      </c>
      <c r="D106" s="55" t="n">
        <f aca="false">IF('ساعات عبدالعزيز'!$M$579=1,N('ساعات عبدالعزيز'!F590),"")</f>
        <v>0</v>
      </c>
      <c r="E106" s="55" t="n">
        <f aca="false">IF('ساعات عبدالعزيز'!$M$579=1,SUMIFS(ADV_AMT,ADV_E,"عبدالعزيز",ADV_W,42),"")</f>
        <v>0</v>
      </c>
      <c r="F106" s="55" t="n">
        <f aca="false">IF('ساعات عبدالعزيز'!$M$579=1,IF(N(D106)=0,0,MAX(0,IF(INST_MODE="تخفيض تلقائي",FLOOR(MIN(IF(SUMPRODUCT(MAX((LG_E="عبدالعزيز")*(LG_INST&lt;&gt;"")*(LG_D&lt;=C106)*LG_IDX))=0,السنة!$E$7,INDEX(LG_INST,SUMPRODUCT(MAX((LG_E="عبدالعزيز")*(LG_INST&lt;&gt;"")*(LG_D&lt;=C106)*LG_IDX)))),السنة!$D$7+SUMIFS(LG_DEBT,LG_E,"عبدالعزيز",LG_D,"&lt;="&amp;C106)-SUMIFS(LG_REP,LG_E,"عبدالعزيز",LG_D,"&lt;="&amp;C106)-SUM(F65:F105),INST_CAP*N(D106),N(D106)-N(E106)-NET_FLOOR*N(D106)),0.25),MIN(IF(SUMPRODUCT(MAX((LG_E="عبدالعزيز")*(LG_INST&lt;&gt;"")*(LG_D&lt;=C106)*LG_IDX))=0,السنة!$E$7,INDEX(LG_INST,SUMPRODUCT(MAX((LG_E="عبدالعزيز")*(LG_INST&lt;&gt;"")*(LG_D&lt;=C106)*LG_IDX)))),السنة!$D$7+SUMIFS(LG_DEBT,LG_E,"عبدالعزيز",LG_D,"&lt;="&amp;C106)-SUMIFS(LG_REP,LG_E,"عبدالعزيز",LG_D,"&lt;="&amp;C106)-SUM(F65:F105))))),"")</f>
        <v>0</v>
      </c>
      <c r="G106" s="56" t="n">
        <f aca="false">IF('ساعات عبدالعزيز'!$M$579=1,IF(42=START_Z,السنة!$C$7,N(I105))+N(D106)-N(E106)-N(F106)-N(K106),"")</f>
        <v>0</v>
      </c>
      <c r="H106" s="55" t="n">
        <f aca="false">IF('ساعات عبدالعزيز'!$M$579=1,N('ساعات عبدالعزيز'!E591),"")</f>
        <v>0</v>
      </c>
      <c r="I106" s="55" t="n">
        <f aca="false">IF('ساعات عبدالعزيز'!$M$579=1,G106-H106,"")</f>
        <v>0</v>
      </c>
      <c r="J106" s="57" t="n">
        <f aca="false">IF('ساعات عبدالعزيز'!$M$579=1,MAX(0,السنة!$D$7+SUMIFS(LG_DEBT,LG_E,"عبدالعزيز",LG_D,"&lt;="&amp;C106)-SUMIFS(LG_REP,LG_E,"عبدالعزيز",LG_D,"&lt;="&amp;C106)-SUM(F65:F106)),"")</f>
        <v>0</v>
      </c>
      <c r="K106" s="55" t="n">
        <f aca="false">IF('ساعات عبدالعزيز'!$M$579=1,N('ساعات عبدالعزيز'!W579),"")</f>
        <v>0</v>
      </c>
      <c r="L106" s="54" t="n">
        <f aca="false">IF(C106="","",MONTH(C106))</f>
        <v>10</v>
      </c>
    </row>
    <row r="107" customFormat="false" ht="15" hidden="false" customHeight="false" outlineLevel="0" collapsed="false">
      <c r="A107" s="54" t="n">
        <f aca="false">IF(43&lt;=NW,43,"")</f>
        <v>43</v>
      </c>
      <c r="B107" s="22" t="n">
        <f aca="false">IF(43&lt;=NW,WEEK_ONE+294,"")</f>
        <v>46312</v>
      </c>
      <c r="C107" s="22" t="n">
        <f aca="false">IF(43&lt;=NW,WEEK_ONE+300,"")</f>
        <v>46318</v>
      </c>
      <c r="D107" s="55" t="n">
        <f aca="false">IF('ساعات عبدالعزيز'!$M$593=1,N('ساعات عبدالعزيز'!F604),"")</f>
        <v>0</v>
      </c>
      <c r="E107" s="55" t="n">
        <f aca="false">IF('ساعات عبدالعزيز'!$M$593=1,SUMIFS(ADV_AMT,ADV_E,"عبدالعزيز",ADV_W,43),"")</f>
        <v>0</v>
      </c>
      <c r="F107" s="55" t="n">
        <f aca="false">IF('ساعات عبدالعزيز'!$M$593=1,IF(N(D107)=0,0,MAX(0,IF(INST_MODE="تخفيض تلقائي",FLOOR(MIN(IF(SUMPRODUCT(MAX((LG_E="عبدالعزيز")*(LG_INST&lt;&gt;"")*(LG_D&lt;=C107)*LG_IDX))=0,السنة!$E$7,INDEX(LG_INST,SUMPRODUCT(MAX((LG_E="عبدالعزيز")*(LG_INST&lt;&gt;"")*(LG_D&lt;=C107)*LG_IDX)))),السنة!$D$7+SUMIFS(LG_DEBT,LG_E,"عبدالعزيز",LG_D,"&lt;="&amp;C107)-SUMIFS(LG_REP,LG_E,"عبدالعزيز",LG_D,"&lt;="&amp;C107)-SUM(F65:F106),INST_CAP*N(D107),N(D107)-N(E107)-NET_FLOOR*N(D107)),0.25),MIN(IF(SUMPRODUCT(MAX((LG_E="عبدالعزيز")*(LG_INST&lt;&gt;"")*(LG_D&lt;=C107)*LG_IDX))=0,السنة!$E$7,INDEX(LG_INST,SUMPRODUCT(MAX((LG_E="عبدالعزيز")*(LG_INST&lt;&gt;"")*(LG_D&lt;=C107)*LG_IDX)))),السنة!$D$7+SUMIFS(LG_DEBT,LG_E,"عبدالعزيز",LG_D,"&lt;="&amp;C107)-SUMIFS(LG_REP,LG_E,"عبدالعزيز",LG_D,"&lt;="&amp;C107)-SUM(F65:F106))))),"")</f>
        <v>0</v>
      </c>
      <c r="G107" s="56" t="n">
        <f aca="false">IF('ساعات عبدالعزيز'!$M$593=1,IF(43=START_Z,السنة!$C$7,N(I106))+N(D107)-N(E107)-N(F107)-N(K107),"")</f>
        <v>0</v>
      </c>
      <c r="H107" s="55" t="n">
        <f aca="false">IF('ساعات عبدالعزيز'!$M$593=1,N('ساعات عبدالعزيز'!E605),"")</f>
        <v>0</v>
      </c>
      <c r="I107" s="55" t="n">
        <f aca="false">IF('ساعات عبدالعزيز'!$M$593=1,G107-H107,"")</f>
        <v>0</v>
      </c>
      <c r="J107" s="57" t="n">
        <f aca="false">IF('ساعات عبدالعزيز'!$M$593=1,MAX(0,السنة!$D$7+SUMIFS(LG_DEBT,LG_E,"عبدالعزيز",LG_D,"&lt;="&amp;C107)-SUMIFS(LG_REP,LG_E,"عبدالعزيز",LG_D,"&lt;="&amp;C107)-SUM(F65:F107)),"")</f>
        <v>0</v>
      </c>
      <c r="K107" s="55" t="n">
        <f aca="false">IF('ساعات عبدالعزيز'!$M$593=1,N('ساعات عبدالعزيز'!W593),"")</f>
        <v>0</v>
      </c>
      <c r="L107" s="54" t="n">
        <f aca="false">IF(C107="","",MONTH(C107))</f>
        <v>10</v>
      </c>
    </row>
    <row r="108" customFormat="false" ht="15" hidden="false" customHeight="false" outlineLevel="0" collapsed="false">
      <c r="A108" s="54" t="n">
        <f aca="false">IF(44&lt;=NW,44,"")</f>
        <v>44</v>
      </c>
      <c r="B108" s="22" t="n">
        <f aca="false">IF(44&lt;=NW,WEEK_ONE+301,"")</f>
        <v>46319</v>
      </c>
      <c r="C108" s="22" t="n">
        <f aca="false">IF(44&lt;=NW,WEEK_ONE+307,"")</f>
        <v>46325</v>
      </c>
      <c r="D108" s="55" t="n">
        <f aca="false">IF('ساعات عبدالعزيز'!$M$607=1,N('ساعات عبدالعزيز'!F618),"")</f>
        <v>0</v>
      </c>
      <c r="E108" s="55" t="n">
        <f aca="false">IF('ساعات عبدالعزيز'!$M$607=1,SUMIFS(ADV_AMT,ADV_E,"عبدالعزيز",ADV_W,44),"")</f>
        <v>0</v>
      </c>
      <c r="F108" s="55" t="n">
        <f aca="false">IF('ساعات عبدالعزيز'!$M$607=1,IF(N(D108)=0,0,MAX(0,IF(INST_MODE="تخفيض تلقائي",FLOOR(MIN(IF(SUMPRODUCT(MAX((LG_E="عبدالعزيز")*(LG_INST&lt;&gt;"")*(LG_D&lt;=C108)*LG_IDX))=0,السنة!$E$7,INDEX(LG_INST,SUMPRODUCT(MAX((LG_E="عبدالعزيز")*(LG_INST&lt;&gt;"")*(LG_D&lt;=C108)*LG_IDX)))),السنة!$D$7+SUMIFS(LG_DEBT,LG_E,"عبدالعزيز",LG_D,"&lt;="&amp;C108)-SUMIFS(LG_REP,LG_E,"عبدالعزيز",LG_D,"&lt;="&amp;C108)-SUM(F65:F107),INST_CAP*N(D108),N(D108)-N(E108)-NET_FLOOR*N(D108)),0.25),MIN(IF(SUMPRODUCT(MAX((LG_E="عبدالعزيز")*(LG_INST&lt;&gt;"")*(LG_D&lt;=C108)*LG_IDX))=0,السنة!$E$7,INDEX(LG_INST,SUMPRODUCT(MAX((LG_E="عبدالعزيز")*(LG_INST&lt;&gt;"")*(LG_D&lt;=C108)*LG_IDX)))),السنة!$D$7+SUMIFS(LG_DEBT,LG_E,"عبدالعزيز",LG_D,"&lt;="&amp;C108)-SUMIFS(LG_REP,LG_E,"عبدالعزيز",LG_D,"&lt;="&amp;C108)-SUM(F65:F107))))),"")</f>
        <v>0</v>
      </c>
      <c r="G108" s="56" t="n">
        <f aca="false">IF('ساعات عبدالعزيز'!$M$607=1,IF(44=START_Z,السنة!$C$7,N(I107))+N(D108)-N(E108)-N(F108)-N(K108),"")</f>
        <v>0</v>
      </c>
      <c r="H108" s="55" t="n">
        <f aca="false">IF('ساعات عبدالعزيز'!$M$607=1,N('ساعات عبدالعزيز'!E619),"")</f>
        <v>0</v>
      </c>
      <c r="I108" s="55" t="n">
        <f aca="false">IF('ساعات عبدالعزيز'!$M$607=1,G108-H108,"")</f>
        <v>0</v>
      </c>
      <c r="J108" s="57" t="n">
        <f aca="false">IF('ساعات عبدالعزيز'!$M$607=1,MAX(0,السنة!$D$7+SUMIFS(LG_DEBT,LG_E,"عبدالعزيز",LG_D,"&lt;="&amp;C108)-SUMIFS(LG_REP,LG_E,"عبدالعزيز",LG_D,"&lt;="&amp;C108)-SUM(F65:F108)),"")</f>
        <v>0</v>
      </c>
      <c r="K108" s="55" t="n">
        <f aca="false">IF('ساعات عبدالعزيز'!$M$607=1,N('ساعات عبدالعزيز'!W607),"")</f>
        <v>0</v>
      </c>
      <c r="L108" s="54" t="n">
        <f aca="false">IF(C108="","",MONTH(C108))</f>
        <v>10</v>
      </c>
    </row>
    <row r="109" customFormat="false" ht="15" hidden="false" customHeight="false" outlineLevel="0" collapsed="false">
      <c r="A109" s="54" t="n">
        <f aca="false">IF(45&lt;=NW,45,"")</f>
        <v>45</v>
      </c>
      <c r="B109" s="22" t="n">
        <f aca="false">IF(45&lt;=NW,WEEK_ONE+308,"")</f>
        <v>46326</v>
      </c>
      <c r="C109" s="22" t="n">
        <f aca="false">IF(45&lt;=NW,WEEK_ONE+314,"")</f>
        <v>46332</v>
      </c>
      <c r="D109" s="55" t="n">
        <f aca="false">IF('ساعات عبدالعزيز'!$M$621=1,N('ساعات عبدالعزيز'!F632),"")</f>
        <v>0</v>
      </c>
      <c r="E109" s="55" t="n">
        <f aca="false">IF('ساعات عبدالعزيز'!$M$621=1,SUMIFS(ADV_AMT,ADV_E,"عبدالعزيز",ADV_W,45),"")</f>
        <v>0</v>
      </c>
      <c r="F109" s="55" t="n">
        <f aca="false">IF('ساعات عبدالعزيز'!$M$621=1,IF(N(D109)=0,0,MAX(0,IF(INST_MODE="تخفيض تلقائي",FLOOR(MIN(IF(SUMPRODUCT(MAX((LG_E="عبدالعزيز")*(LG_INST&lt;&gt;"")*(LG_D&lt;=C109)*LG_IDX))=0,السنة!$E$7,INDEX(LG_INST,SUMPRODUCT(MAX((LG_E="عبدالعزيز")*(LG_INST&lt;&gt;"")*(LG_D&lt;=C109)*LG_IDX)))),السنة!$D$7+SUMIFS(LG_DEBT,LG_E,"عبدالعزيز",LG_D,"&lt;="&amp;C109)-SUMIFS(LG_REP,LG_E,"عبدالعزيز",LG_D,"&lt;="&amp;C109)-SUM(F65:F108),INST_CAP*N(D109),N(D109)-N(E109)-NET_FLOOR*N(D109)),0.25),MIN(IF(SUMPRODUCT(MAX((LG_E="عبدالعزيز")*(LG_INST&lt;&gt;"")*(LG_D&lt;=C109)*LG_IDX))=0,السنة!$E$7,INDEX(LG_INST,SUMPRODUCT(MAX((LG_E="عبدالعزيز")*(LG_INST&lt;&gt;"")*(LG_D&lt;=C109)*LG_IDX)))),السنة!$D$7+SUMIFS(LG_DEBT,LG_E,"عبدالعزيز",LG_D,"&lt;="&amp;C109)-SUMIFS(LG_REP,LG_E,"عبدالعزيز",LG_D,"&lt;="&amp;C109)-SUM(F65:F108))))),"")</f>
        <v>0</v>
      </c>
      <c r="G109" s="56" t="n">
        <f aca="false">IF('ساعات عبدالعزيز'!$M$621=1,IF(45=START_Z,السنة!$C$7,N(I108))+N(D109)-N(E109)-N(F109)-N(K109),"")</f>
        <v>0</v>
      </c>
      <c r="H109" s="55" t="n">
        <f aca="false">IF('ساعات عبدالعزيز'!$M$621=1,N('ساعات عبدالعزيز'!E633),"")</f>
        <v>0</v>
      </c>
      <c r="I109" s="55" t="n">
        <f aca="false">IF('ساعات عبدالعزيز'!$M$621=1,G109-H109,"")</f>
        <v>0</v>
      </c>
      <c r="J109" s="57" t="n">
        <f aca="false">IF('ساعات عبدالعزيز'!$M$621=1,MAX(0,السنة!$D$7+SUMIFS(LG_DEBT,LG_E,"عبدالعزيز",LG_D,"&lt;="&amp;C109)-SUMIFS(LG_REP,LG_E,"عبدالعزيز",LG_D,"&lt;="&amp;C109)-SUM(F65:F109)),"")</f>
        <v>0</v>
      </c>
      <c r="K109" s="55" t="n">
        <f aca="false">IF('ساعات عبدالعزيز'!$M$621=1,N('ساعات عبدالعزيز'!W621),"")</f>
        <v>0</v>
      </c>
      <c r="L109" s="54" t="n">
        <f aca="false">IF(C109="","",MONTH(C109))</f>
        <v>11</v>
      </c>
    </row>
    <row r="110" customFormat="false" ht="15" hidden="false" customHeight="false" outlineLevel="0" collapsed="false">
      <c r="A110" s="54" t="n">
        <f aca="false">IF(46&lt;=NW,46,"")</f>
        <v>46</v>
      </c>
      <c r="B110" s="22" t="n">
        <f aca="false">IF(46&lt;=NW,WEEK_ONE+315,"")</f>
        <v>46333</v>
      </c>
      <c r="C110" s="22" t="n">
        <f aca="false">IF(46&lt;=NW,WEEK_ONE+321,"")</f>
        <v>46339</v>
      </c>
      <c r="D110" s="55" t="n">
        <f aca="false">IF('ساعات عبدالعزيز'!$M$635=1,N('ساعات عبدالعزيز'!F646),"")</f>
        <v>0</v>
      </c>
      <c r="E110" s="55" t="n">
        <f aca="false">IF('ساعات عبدالعزيز'!$M$635=1,SUMIFS(ADV_AMT,ADV_E,"عبدالعزيز",ADV_W,46),"")</f>
        <v>0</v>
      </c>
      <c r="F110" s="55" t="n">
        <f aca="false">IF('ساعات عبدالعزيز'!$M$635=1,IF(N(D110)=0,0,MAX(0,IF(INST_MODE="تخفيض تلقائي",FLOOR(MIN(IF(SUMPRODUCT(MAX((LG_E="عبدالعزيز")*(LG_INST&lt;&gt;"")*(LG_D&lt;=C110)*LG_IDX))=0,السنة!$E$7,INDEX(LG_INST,SUMPRODUCT(MAX((LG_E="عبدالعزيز")*(LG_INST&lt;&gt;"")*(LG_D&lt;=C110)*LG_IDX)))),السنة!$D$7+SUMIFS(LG_DEBT,LG_E,"عبدالعزيز",LG_D,"&lt;="&amp;C110)-SUMIFS(LG_REP,LG_E,"عبدالعزيز",LG_D,"&lt;="&amp;C110)-SUM(F65:F109),INST_CAP*N(D110),N(D110)-N(E110)-NET_FLOOR*N(D110)),0.25),MIN(IF(SUMPRODUCT(MAX((LG_E="عبدالعزيز")*(LG_INST&lt;&gt;"")*(LG_D&lt;=C110)*LG_IDX))=0,السنة!$E$7,INDEX(LG_INST,SUMPRODUCT(MAX((LG_E="عبدالعزيز")*(LG_INST&lt;&gt;"")*(LG_D&lt;=C110)*LG_IDX)))),السنة!$D$7+SUMIFS(LG_DEBT,LG_E,"عبدالعزيز",LG_D,"&lt;="&amp;C110)-SUMIFS(LG_REP,LG_E,"عبدالعزيز",LG_D,"&lt;="&amp;C110)-SUM(F65:F109))))),"")</f>
        <v>0</v>
      </c>
      <c r="G110" s="56" t="n">
        <f aca="false">IF('ساعات عبدالعزيز'!$M$635=1,IF(46=START_Z,السنة!$C$7,N(I109))+N(D110)-N(E110)-N(F110)-N(K110),"")</f>
        <v>0</v>
      </c>
      <c r="H110" s="55" t="n">
        <f aca="false">IF('ساعات عبدالعزيز'!$M$635=1,N('ساعات عبدالعزيز'!E647),"")</f>
        <v>0</v>
      </c>
      <c r="I110" s="55" t="n">
        <f aca="false">IF('ساعات عبدالعزيز'!$M$635=1,G110-H110,"")</f>
        <v>0</v>
      </c>
      <c r="J110" s="57" t="n">
        <f aca="false">IF('ساعات عبدالعزيز'!$M$635=1,MAX(0,السنة!$D$7+SUMIFS(LG_DEBT,LG_E,"عبدالعزيز",LG_D,"&lt;="&amp;C110)-SUMIFS(LG_REP,LG_E,"عبدالعزيز",LG_D,"&lt;="&amp;C110)-SUM(F65:F110)),"")</f>
        <v>0</v>
      </c>
      <c r="K110" s="55" t="n">
        <f aca="false">IF('ساعات عبدالعزيز'!$M$635=1,N('ساعات عبدالعزيز'!W635),"")</f>
        <v>0</v>
      </c>
      <c r="L110" s="54" t="n">
        <f aca="false">IF(C110="","",MONTH(C110))</f>
        <v>11</v>
      </c>
    </row>
    <row r="111" customFormat="false" ht="15" hidden="false" customHeight="false" outlineLevel="0" collapsed="false">
      <c r="A111" s="54" t="n">
        <f aca="false">IF(47&lt;=NW,47,"")</f>
        <v>47</v>
      </c>
      <c r="B111" s="22" t="n">
        <f aca="false">IF(47&lt;=NW,WEEK_ONE+322,"")</f>
        <v>46340</v>
      </c>
      <c r="C111" s="22" t="n">
        <f aca="false">IF(47&lt;=NW,WEEK_ONE+328,"")</f>
        <v>46346</v>
      </c>
      <c r="D111" s="55" t="n">
        <f aca="false">IF('ساعات عبدالعزيز'!$M$649=1,N('ساعات عبدالعزيز'!F660),"")</f>
        <v>0</v>
      </c>
      <c r="E111" s="55" t="n">
        <f aca="false">IF('ساعات عبدالعزيز'!$M$649=1,SUMIFS(ADV_AMT,ADV_E,"عبدالعزيز",ADV_W,47),"")</f>
        <v>0</v>
      </c>
      <c r="F111" s="55" t="n">
        <f aca="false">IF('ساعات عبدالعزيز'!$M$649=1,IF(N(D111)=0,0,MAX(0,IF(INST_MODE="تخفيض تلقائي",FLOOR(MIN(IF(SUMPRODUCT(MAX((LG_E="عبدالعزيز")*(LG_INST&lt;&gt;"")*(LG_D&lt;=C111)*LG_IDX))=0,السنة!$E$7,INDEX(LG_INST,SUMPRODUCT(MAX((LG_E="عبدالعزيز")*(LG_INST&lt;&gt;"")*(LG_D&lt;=C111)*LG_IDX)))),السنة!$D$7+SUMIFS(LG_DEBT,LG_E,"عبدالعزيز",LG_D,"&lt;="&amp;C111)-SUMIFS(LG_REP,LG_E,"عبدالعزيز",LG_D,"&lt;="&amp;C111)-SUM(F65:F110),INST_CAP*N(D111),N(D111)-N(E111)-NET_FLOOR*N(D111)),0.25),MIN(IF(SUMPRODUCT(MAX((LG_E="عبدالعزيز")*(LG_INST&lt;&gt;"")*(LG_D&lt;=C111)*LG_IDX))=0,السنة!$E$7,INDEX(LG_INST,SUMPRODUCT(MAX((LG_E="عبدالعزيز")*(LG_INST&lt;&gt;"")*(LG_D&lt;=C111)*LG_IDX)))),السنة!$D$7+SUMIFS(LG_DEBT,LG_E,"عبدالعزيز",LG_D,"&lt;="&amp;C111)-SUMIFS(LG_REP,LG_E,"عبدالعزيز",LG_D,"&lt;="&amp;C111)-SUM(F65:F110))))),"")</f>
        <v>0</v>
      </c>
      <c r="G111" s="56" t="n">
        <f aca="false">IF('ساعات عبدالعزيز'!$M$649=1,IF(47=START_Z,السنة!$C$7,N(I110))+N(D111)-N(E111)-N(F111)-N(K111),"")</f>
        <v>0</v>
      </c>
      <c r="H111" s="55" t="n">
        <f aca="false">IF('ساعات عبدالعزيز'!$M$649=1,N('ساعات عبدالعزيز'!E661),"")</f>
        <v>0</v>
      </c>
      <c r="I111" s="55" t="n">
        <f aca="false">IF('ساعات عبدالعزيز'!$M$649=1,G111-H111,"")</f>
        <v>0</v>
      </c>
      <c r="J111" s="57" t="n">
        <f aca="false">IF('ساعات عبدالعزيز'!$M$649=1,MAX(0,السنة!$D$7+SUMIFS(LG_DEBT,LG_E,"عبدالعزيز",LG_D,"&lt;="&amp;C111)-SUMIFS(LG_REP,LG_E,"عبدالعزيز",LG_D,"&lt;="&amp;C111)-SUM(F65:F111)),"")</f>
        <v>0</v>
      </c>
      <c r="K111" s="55" t="n">
        <f aca="false">IF('ساعات عبدالعزيز'!$M$649=1,N('ساعات عبدالعزيز'!W649),"")</f>
        <v>0</v>
      </c>
      <c r="L111" s="54" t="n">
        <f aca="false">IF(C111="","",MONTH(C111))</f>
        <v>11</v>
      </c>
    </row>
    <row r="112" customFormat="false" ht="15" hidden="false" customHeight="false" outlineLevel="0" collapsed="false">
      <c r="A112" s="54" t="n">
        <f aca="false">IF(48&lt;=NW,48,"")</f>
        <v>48</v>
      </c>
      <c r="B112" s="22" t="n">
        <f aca="false">IF(48&lt;=NW,WEEK_ONE+329,"")</f>
        <v>46347</v>
      </c>
      <c r="C112" s="22" t="n">
        <f aca="false">IF(48&lt;=NW,WEEK_ONE+335,"")</f>
        <v>46353</v>
      </c>
      <c r="D112" s="55" t="n">
        <f aca="false">IF('ساعات عبدالعزيز'!$M$663=1,N('ساعات عبدالعزيز'!F674),"")</f>
        <v>0</v>
      </c>
      <c r="E112" s="55" t="n">
        <f aca="false">IF('ساعات عبدالعزيز'!$M$663=1,SUMIFS(ADV_AMT,ADV_E,"عبدالعزيز",ADV_W,48),"")</f>
        <v>0</v>
      </c>
      <c r="F112" s="55" t="n">
        <f aca="false">IF('ساعات عبدالعزيز'!$M$663=1,IF(N(D112)=0,0,MAX(0,IF(INST_MODE="تخفيض تلقائي",FLOOR(MIN(IF(SUMPRODUCT(MAX((LG_E="عبدالعزيز")*(LG_INST&lt;&gt;"")*(LG_D&lt;=C112)*LG_IDX))=0,السنة!$E$7,INDEX(LG_INST,SUMPRODUCT(MAX((LG_E="عبدالعزيز")*(LG_INST&lt;&gt;"")*(LG_D&lt;=C112)*LG_IDX)))),السنة!$D$7+SUMIFS(LG_DEBT,LG_E,"عبدالعزيز",LG_D,"&lt;="&amp;C112)-SUMIFS(LG_REP,LG_E,"عبدالعزيز",LG_D,"&lt;="&amp;C112)-SUM(F65:F111),INST_CAP*N(D112),N(D112)-N(E112)-NET_FLOOR*N(D112)),0.25),MIN(IF(SUMPRODUCT(MAX((LG_E="عبدالعزيز")*(LG_INST&lt;&gt;"")*(LG_D&lt;=C112)*LG_IDX))=0,السنة!$E$7,INDEX(LG_INST,SUMPRODUCT(MAX((LG_E="عبدالعزيز")*(LG_INST&lt;&gt;"")*(LG_D&lt;=C112)*LG_IDX)))),السنة!$D$7+SUMIFS(LG_DEBT,LG_E,"عبدالعزيز",LG_D,"&lt;="&amp;C112)-SUMIFS(LG_REP,LG_E,"عبدالعزيز",LG_D,"&lt;="&amp;C112)-SUM(F65:F111))))),"")</f>
        <v>0</v>
      </c>
      <c r="G112" s="56" t="n">
        <f aca="false">IF('ساعات عبدالعزيز'!$M$663=1,IF(48=START_Z,السنة!$C$7,N(I111))+N(D112)-N(E112)-N(F112)-N(K112),"")</f>
        <v>0</v>
      </c>
      <c r="H112" s="55" t="n">
        <f aca="false">IF('ساعات عبدالعزيز'!$M$663=1,N('ساعات عبدالعزيز'!E675),"")</f>
        <v>0</v>
      </c>
      <c r="I112" s="55" t="n">
        <f aca="false">IF('ساعات عبدالعزيز'!$M$663=1,G112-H112,"")</f>
        <v>0</v>
      </c>
      <c r="J112" s="57" t="n">
        <f aca="false">IF('ساعات عبدالعزيز'!$M$663=1,MAX(0,السنة!$D$7+SUMIFS(LG_DEBT,LG_E,"عبدالعزيز",LG_D,"&lt;="&amp;C112)-SUMIFS(LG_REP,LG_E,"عبدالعزيز",LG_D,"&lt;="&amp;C112)-SUM(F65:F112)),"")</f>
        <v>0</v>
      </c>
      <c r="K112" s="55" t="n">
        <f aca="false">IF('ساعات عبدالعزيز'!$M$663=1,N('ساعات عبدالعزيز'!W663),"")</f>
        <v>0</v>
      </c>
      <c r="L112" s="54" t="n">
        <f aca="false">IF(C112="","",MONTH(C112))</f>
        <v>11</v>
      </c>
    </row>
    <row r="113" customFormat="false" ht="15" hidden="false" customHeight="false" outlineLevel="0" collapsed="false">
      <c r="A113" s="54" t="n">
        <f aca="false">IF(49&lt;=NW,49,"")</f>
        <v>49</v>
      </c>
      <c r="B113" s="22" t="n">
        <f aca="false">IF(49&lt;=NW,WEEK_ONE+336,"")</f>
        <v>46354</v>
      </c>
      <c r="C113" s="22" t="n">
        <f aca="false">IF(49&lt;=NW,WEEK_ONE+342,"")</f>
        <v>46360</v>
      </c>
      <c r="D113" s="55" t="n">
        <f aca="false">IF('ساعات عبدالعزيز'!$M$677=1,N('ساعات عبدالعزيز'!F688),"")</f>
        <v>0</v>
      </c>
      <c r="E113" s="55" t="n">
        <f aca="false">IF('ساعات عبدالعزيز'!$M$677=1,SUMIFS(ADV_AMT,ADV_E,"عبدالعزيز",ADV_W,49),"")</f>
        <v>0</v>
      </c>
      <c r="F113" s="55" t="n">
        <f aca="false">IF('ساعات عبدالعزيز'!$M$677=1,IF(N(D113)=0,0,MAX(0,IF(INST_MODE="تخفيض تلقائي",FLOOR(MIN(IF(SUMPRODUCT(MAX((LG_E="عبدالعزيز")*(LG_INST&lt;&gt;"")*(LG_D&lt;=C113)*LG_IDX))=0,السنة!$E$7,INDEX(LG_INST,SUMPRODUCT(MAX((LG_E="عبدالعزيز")*(LG_INST&lt;&gt;"")*(LG_D&lt;=C113)*LG_IDX)))),السنة!$D$7+SUMIFS(LG_DEBT,LG_E,"عبدالعزيز",LG_D,"&lt;="&amp;C113)-SUMIFS(LG_REP,LG_E,"عبدالعزيز",LG_D,"&lt;="&amp;C113)-SUM(F65:F112),INST_CAP*N(D113),N(D113)-N(E113)-NET_FLOOR*N(D113)),0.25),MIN(IF(SUMPRODUCT(MAX((LG_E="عبدالعزيز")*(LG_INST&lt;&gt;"")*(LG_D&lt;=C113)*LG_IDX))=0,السنة!$E$7,INDEX(LG_INST,SUMPRODUCT(MAX((LG_E="عبدالعزيز")*(LG_INST&lt;&gt;"")*(LG_D&lt;=C113)*LG_IDX)))),السنة!$D$7+SUMIFS(LG_DEBT,LG_E,"عبدالعزيز",LG_D,"&lt;="&amp;C113)-SUMIFS(LG_REP,LG_E,"عبدالعزيز",LG_D,"&lt;="&amp;C113)-SUM(F65:F112))))),"")</f>
        <v>0</v>
      </c>
      <c r="G113" s="56" t="n">
        <f aca="false">IF('ساعات عبدالعزيز'!$M$677=1,IF(49=START_Z,السنة!$C$7,N(I112))+N(D113)-N(E113)-N(F113)-N(K113),"")</f>
        <v>0</v>
      </c>
      <c r="H113" s="55" t="n">
        <f aca="false">IF('ساعات عبدالعزيز'!$M$677=1,N('ساعات عبدالعزيز'!E689),"")</f>
        <v>0</v>
      </c>
      <c r="I113" s="55" t="n">
        <f aca="false">IF('ساعات عبدالعزيز'!$M$677=1,G113-H113,"")</f>
        <v>0</v>
      </c>
      <c r="J113" s="57" t="n">
        <f aca="false">IF('ساعات عبدالعزيز'!$M$677=1,MAX(0,السنة!$D$7+SUMIFS(LG_DEBT,LG_E,"عبدالعزيز",LG_D,"&lt;="&amp;C113)-SUMIFS(LG_REP,LG_E,"عبدالعزيز",LG_D,"&lt;="&amp;C113)-SUM(F65:F113)),"")</f>
        <v>0</v>
      </c>
      <c r="K113" s="55" t="n">
        <f aca="false">IF('ساعات عبدالعزيز'!$M$677=1,N('ساعات عبدالعزيز'!W677),"")</f>
        <v>0</v>
      </c>
      <c r="L113" s="54" t="n">
        <f aca="false">IF(C113="","",MONTH(C113))</f>
        <v>12</v>
      </c>
    </row>
    <row r="114" customFormat="false" ht="15" hidden="false" customHeight="false" outlineLevel="0" collapsed="false">
      <c r="A114" s="54" t="n">
        <f aca="false">IF(50&lt;=NW,50,"")</f>
        <v>50</v>
      </c>
      <c r="B114" s="22" t="n">
        <f aca="false">IF(50&lt;=NW,WEEK_ONE+343,"")</f>
        <v>46361</v>
      </c>
      <c r="C114" s="22" t="n">
        <f aca="false">IF(50&lt;=NW,WEEK_ONE+349,"")</f>
        <v>46367</v>
      </c>
      <c r="D114" s="55" t="n">
        <f aca="false">IF('ساعات عبدالعزيز'!$M$691=1,N('ساعات عبدالعزيز'!F702),"")</f>
        <v>0</v>
      </c>
      <c r="E114" s="55" t="n">
        <f aca="false">IF('ساعات عبدالعزيز'!$M$691=1,SUMIFS(ADV_AMT,ADV_E,"عبدالعزيز",ADV_W,50),"")</f>
        <v>0</v>
      </c>
      <c r="F114" s="55" t="n">
        <f aca="false">IF('ساعات عبدالعزيز'!$M$691=1,IF(N(D114)=0,0,MAX(0,IF(INST_MODE="تخفيض تلقائي",FLOOR(MIN(IF(SUMPRODUCT(MAX((LG_E="عبدالعزيز")*(LG_INST&lt;&gt;"")*(LG_D&lt;=C114)*LG_IDX))=0,السنة!$E$7,INDEX(LG_INST,SUMPRODUCT(MAX((LG_E="عبدالعزيز")*(LG_INST&lt;&gt;"")*(LG_D&lt;=C114)*LG_IDX)))),السنة!$D$7+SUMIFS(LG_DEBT,LG_E,"عبدالعزيز",LG_D,"&lt;="&amp;C114)-SUMIFS(LG_REP,LG_E,"عبدالعزيز",LG_D,"&lt;="&amp;C114)-SUM(F65:F113),INST_CAP*N(D114),N(D114)-N(E114)-NET_FLOOR*N(D114)),0.25),MIN(IF(SUMPRODUCT(MAX((LG_E="عبدالعزيز")*(LG_INST&lt;&gt;"")*(LG_D&lt;=C114)*LG_IDX))=0,السنة!$E$7,INDEX(LG_INST,SUMPRODUCT(MAX((LG_E="عبدالعزيز")*(LG_INST&lt;&gt;"")*(LG_D&lt;=C114)*LG_IDX)))),السنة!$D$7+SUMIFS(LG_DEBT,LG_E,"عبدالعزيز",LG_D,"&lt;="&amp;C114)-SUMIFS(LG_REP,LG_E,"عبدالعزيز",LG_D,"&lt;="&amp;C114)-SUM(F65:F113))))),"")</f>
        <v>0</v>
      </c>
      <c r="G114" s="56" t="n">
        <f aca="false">IF('ساعات عبدالعزيز'!$M$691=1,IF(50=START_Z,السنة!$C$7,N(I113))+N(D114)-N(E114)-N(F114)-N(K114),"")</f>
        <v>0</v>
      </c>
      <c r="H114" s="55" t="n">
        <f aca="false">IF('ساعات عبدالعزيز'!$M$691=1,N('ساعات عبدالعزيز'!E703),"")</f>
        <v>0</v>
      </c>
      <c r="I114" s="55" t="n">
        <f aca="false">IF('ساعات عبدالعزيز'!$M$691=1,G114-H114,"")</f>
        <v>0</v>
      </c>
      <c r="J114" s="57" t="n">
        <f aca="false">IF('ساعات عبدالعزيز'!$M$691=1,MAX(0,السنة!$D$7+SUMIFS(LG_DEBT,LG_E,"عبدالعزيز",LG_D,"&lt;="&amp;C114)-SUMIFS(LG_REP,LG_E,"عبدالعزيز",LG_D,"&lt;="&amp;C114)-SUM(F65:F114)),"")</f>
        <v>0</v>
      </c>
      <c r="K114" s="55" t="n">
        <f aca="false">IF('ساعات عبدالعزيز'!$M$691=1,N('ساعات عبدالعزيز'!W691),"")</f>
        <v>0</v>
      </c>
      <c r="L114" s="54" t="n">
        <f aca="false">IF(C114="","",MONTH(C114))</f>
        <v>12</v>
      </c>
    </row>
    <row r="115" customFormat="false" ht="15" hidden="false" customHeight="false" outlineLevel="0" collapsed="false">
      <c r="A115" s="54" t="n">
        <f aca="false">IF(51&lt;=NW,51,"")</f>
        <v>51</v>
      </c>
      <c r="B115" s="22" t="n">
        <f aca="false">IF(51&lt;=NW,WEEK_ONE+350,"")</f>
        <v>46368</v>
      </c>
      <c r="C115" s="22" t="n">
        <f aca="false">IF(51&lt;=NW,WEEK_ONE+356,"")</f>
        <v>46374</v>
      </c>
      <c r="D115" s="55" t="n">
        <f aca="false">IF('ساعات عبدالعزيز'!$M$705=1,N('ساعات عبدالعزيز'!F716),"")</f>
        <v>0</v>
      </c>
      <c r="E115" s="55" t="n">
        <f aca="false">IF('ساعات عبدالعزيز'!$M$705=1,SUMIFS(ADV_AMT,ADV_E,"عبدالعزيز",ADV_W,51),"")</f>
        <v>0</v>
      </c>
      <c r="F115" s="55" t="n">
        <f aca="false">IF('ساعات عبدالعزيز'!$M$705=1,IF(N(D115)=0,0,MAX(0,IF(INST_MODE="تخفيض تلقائي",FLOOR(MIN(IF(SUMPRODUCT(MAX((LG_E="عبدالعزيز")*(LG_INST&lt;&gt;"")*(LG_D&lt;=C115)*LG_IDX))=0,السنة!$E$7,INDEX(LG_INST,SUMPRODUCT(MAX((LG_E="عبدالعزيز")*(LG_INST&lt;&gt;"")*(LG_D&lt;=C115)*LG_IDX)))),السنة!$D$7+SUMIFS(LG_DEBT,LG_E,"عبدالعزيز",LG_D,"&lt;="&amp;C115)-SUMIFS(LG_REP,LG_E,"عبدالعزيز",LG_D,"&lt;="&amp;C115)-SUM(F65:F114),INST_CAP*N(D115),N(D115)-N(E115)-NET_FLOOR*N(D115)),0.25),MIN(IF(SUMPRODUCT(MAX((LG_E="عبدالعزيز")*(LG_INST&lt;&gt;"")*(LG_D&lt;=C115)*LG_IDX))=0,السنة!$E$7,INDEX(LG_INST,SUMPRODUCT(MAX((LG_E="عبدالعزيز")*(LG_INST&lt;&gt;"")*(LG_D&lt;=C115)*LG_IDX)))),السنة!$D$7+SUMIFS(LG_DEBT,LG_E,"عبدالعزيز",LG_D,"&lt;="&amp;C115)-SUMIFS(LG_REP,LG_E,"عبدالعزيز",LG_D,"&lt;="&amp;C115)-SUM(F65:F114))))),"")</f>
        <v>0</v>
      </c>
      <c r="G115" s="56" t="n">
        <f aca="false">IF('ساعات عبدالعزيز'!$M$705=1,IF(51=START_Z,السنة!$C$7,N(I114))+N(D115)-N(E115)-N(F115)-N(K115),"")</f>
        <v>0</v>
      </c>
      <c r="H115" s="55" t="n">
        <f aca="false">IF('ساعات عبدالعزيز'!$M$705=1,N('ساعات عبدالعزيز'!E717),"")</f>
        <v>0</v>
      </c>
      <c r="I115" s="55" t="n">
        <f aca="false">IF('ساعات عبدالعزيز'!$M$705=1,G115-H115,"")</f>
        <v>0</v>
      </c>
      <c r="J115" s="57" t="n">
        <f aca="false">IF('ساعات عبدالعزيز'!$M$705=1,MAX(0,السنة!$D$7+SUMIFS(LG_DEBT,LG_E,"عبدالعزيز",LG_D,"&lt;="&amp;C115)-SUMIFS(LG_REP,LG_E,"عبدالعزيز",LG_D,"&lt;="&amp;C115)-SUM(F65:F115)),"")</f>
        <v>0</v>
      </c>
      <c r="K115" s="55" t="n">
        <f aca="false">IF('ساعات عبدالعزيز'!$M$705=1,N('ساعات عبدالعزيز'!W705),"")</f>
        <v>0</v>
      </c>
      <c r="L115" s="54" t="n">
        <f aca="false">IF(C115="","",MONTH(C115))</f>
        <v>12</v>
      </c>
    </row>
    <row r="116" customFormat="false" ht="15" hidden="false" customHeight="false" outlineLevel="0" collapsed="false">
      <c r="A116" s="54" t="n">
        <f aca="false">IF(52&lt;=NW,52,"")</f>
        <v>52</v>
      </c>
      <c r="B116" s="22" t="n">
        <f aca="false">IF(52&lt;=NW,WEEK_ONE+357,"")</f>
        <v>46375</v>
      </c>
      <c r="C116" s="22" t="n">
        <f aca="false">IF(52&lt;=NW,WEEK_ONE+363,"")</f>
        <v>46381</v>
      </c>
      <c r="D116" s="55" t="n">
        <f aca="false">IF('ساعات عبدالعزيز'!$M$719=1,N('ساعات عبدالعزيز'!F730),"")</f>
        <v>0</v>
      </c>
      <c r="E116" s="55" t="n">
        <f aca="false">IF('ساعات عبدالعزيز'!$M$719=1,SUMIFS(ADV_AMT,ADV_E,"عبدالعزيز",ADV_W,52),"")</f>
        <v>0</v>
      </c>
      <c r="F116" s="55" t="n">
        <f aca="false">IF('ساعات عبدالعزيز'!$M$719=1,IF(N(D116)=0,0,MAX(0,IF(INST_MODE="تخفيض تلقائي",FLOOR(MIN(IF(SUMPRODUCT(MAX((LG_E="عبدالعزيز")*(LG_INST&lt;&gt;"")*(LG_D&lt;=C116)*LG_IDX))=0,السنة!$E$7,INDEX(LG_INST,SUMPRODUCT(MAX((LG_E="عبدالعزيز")*(LG_INST&lt;&gt;"")*(LG_D&lt;=C116)*LG_IDX)))),السنة!$D$7+SUMIFS(LG_DEBT,LG_E,"عبدالعزيز",LG_D,"&lt;="&amp;C116)-SUMIFS(LG_REP,LG_E,"عبدالعزيز",LG_D,"&lt;="&amp;C116)-SUM(F65:F115),INST_CAP*N(D116),N(D116)-N(E116)-NET_FLOOR*N(D116)),0.25),MIN(IF(SUMPRODUCT(MAX((LG_E="عبدالعزيز")*(LG_INST&lt;&gt;"")*(LG_D&lt;=C116)*LG_IDX))=0,السنة!$E$7,INDEX(LG_INST,SUMPRODUCT(MAX((LG_E="عبدالعزيز")*(LG_INST&lt;&gt;"")*(LG_D&lt;=C116)*LG_IDX)))),السنة!$D$7+SUMIFS(LG_DEBT,LG_E,"عبدالعزيز",LG_D,"&lt;="&amp;C116)-SUMIFS(LG_REP,LG_E,"عبدالعزيز",LG_D,"&lt;="&amp;C116)-SUM(F65:F115))))),"")</f>
        <v>0</v>
      </c>
      <c r="G116" s="56" t="n">
        <f aca="false">IF('ساعات عبدالعزيز'!$M$719=1,IF(52=START_Z,السنة!$C$7,N(I115))+N(D116)-N(E116)-N(F116)-N(K116),"")</f>
        <v>0</v>
      </c>
      <c r="H116" s="55" t="n">
        <f aca="false">IF('ساعات عبدالعزيز'!$M$719=1,N('ساعات عبدالعزيز'!E731),"")</f>
        <v>0</v>
      </c>
      <c r="I116" s="55" t="n">
        <f aca="false">IF('ساعات عبدالعزيز'!$M$719=1,G116-H116,"")</f>
        <v>0</v>
      </c>
      <c r="J116" s="57" t="n">
        <f aca="false">IF('ساعات عبدالعزيز'!$M$719=1,MAX(0,السنة!$D$7+SUMIFS(LG_DEBT,LG_E,"عبدالعزيز",LG_D,"&lt;="&amp;C116)-SUMIFS(LG_REP,LG_E,"عبدالعزيز",LG_D,"&lt;="&amp;C116)-SUM(F65:F116)),"")</f>
        <v>0</v>
      </c>
      <c r="K116" s="55" t="n">
        <f aca="false">IF('ساعات عبدالعزيز'!$M$719=1,N('ساعات عبدالعزيز'!W719),"")</f>
        <v>0</v>
      </c>
      <c r="L116" s="54" t="n">
        <f aca="false">IF(C116="","",MONTH(C116))</f>
        <v>12</v>
      </c>
    </row>
    <row r="117" customFormat="false" ht="15" hidden="false" customHeight="false" outlineLevel="0" collapsed="false">
      <c r="A117" s="54" t="str">
        <f aca="false">IF(53&lt;=NW,53,"")</f>
        <v/>
      </c>
      <c r="B117" s="22" t="str">
        <f aca="false">IF(53&lt;=NW,WEEK_ONE+364,"")</f>
        <v/>
      </c>
      <c r="C117" s="22" t="str">
        <f aca="false">IF(53&lt;=NW,WEEK_ONE+370,"")</f>
        <v/>
      </c>
      <c r="D117" s="55" t="str">
        <f aca="false">IF('ساعات عبدالعزيز'!$M$733=1,N('ساعات عبدالعزيز'!F744),"")</f>
        <v/>
      </c>
      <c r="E117" s="55" t="str">
        <f aca="false">IF('ساعات عبدالعزيز'!$M$733=1,SUMIFS(ADV_AMT,ADV_E,"عبدالعزيز",ADV_W,53),"")</f>
        <v/>
      </c>
      <c r="F117" s="55" t="str">
        <f aca="false">IF('ساعات عبدالعزيز'!$M$733=1,IF(N(D117)=0,0,MAX(0,IF(INST_MODE="تخفيض تلقائي",FLOOR(MIN(IF(SUMPRODUCT(MAX((LG_E="عبدالعزيز")*(LG_INST&lt;&gt;"")*(LG_D&lt;=C117)*LG_IDX))=0,السنة!$E$7,INDEX(LG_INST,SUMPRODUCT(MAX((LG_E="عبدالعزيز")*(LG_INST&lt;&gt;"")*(LG_D&lt;=C117)*LG_IDX)))),السنة!$D$7+SUMIFS(LG_DEBT,LG_E,"عبدالعزيز",LG_D,"&lt;="&amp;C117)-SUMIFS(LG_REP,LG_E,"عبدالعزيز",LG_D,"&lt;="&amp;C117)-SUM(F65:F116),INST_CAP*N(D117),N(D117)-N(E117)-NET_FLOOR*N(D117)),0.25),MIN(IF(SUMPRODUCT(MAX((LG_E="عبدالعزيز")*(LG_INST&lt;&gt;"")*(LG_D&lt;=C117)*LG_IDX))=0,السنة!$E$7,INDEX(LG_INST,SUMPRODUCT(MAX((LG_E="عبدالعزيز")*(LG_INST&lt;&gt;"")*(LG_D&lt;=C117)*LG_IDX)))),السنة!$D$7+SUMIFS(LG_DEBT,LG_E,"عبدالعزيز",LG_D,"&lt;="&amp;C117)-SUMIFS(LG_REP,LG_E,"عبدالعزيز",LG_D,"&lt;="&amp;C117)-SUM(F65:F116))))),"")</f>
        <v/>
      </c>
      <c r="G117" s="56" t="str">
        <f aca="false">IF('ساعات عبدالعزيز'!$M$733=1,IF(53=START_Z,السنة!$C$7,N(I116))+N(D117)-N(E117)-N(F117)-N(K117),"")</f>
        <v/>
      </c>
      <c r="H117" s="55" t="str">
        <f aca="false">IF('ساعات عبدالعزيز'!$M$733=1,N('ساعات عبدالعزيز'!E745),"")</f>
        <v/>
      </c>
      <c r="I117" s="55" t="str">
        <f aca="false">IF('ساعات عبدالعزيز'!$M$733=1,G117-H117,"")</f>
        <v/>
      </c>
      <c r="J117" s="57" t="str">
        <f aca="false">IF('ساعات عبدالعزيز'!$M$733=1,MAX(0,السنة!$D$7+SUMIFS(LG_DEBT,LG_E,"عبدالعزيز",LG_D,"&lt;="&amp;C117)-SUMIFS(LG_REP,LG_E,"عبدالعزيز",LG_D,"&lt;="&amp;C117)-SUM(F65:F117)),"")</f>
        <v/>
      </c>
      <c r="K117" s="55" t="str">
        <f aca="false">IF('ساعات عبدالعزيز'!$M$733=1,N('ساعات عبدالعزيز'!W733),"")</f>
        <v/>
      </c>
      <c r="L117" s="54" t="str">
        <f aca="false">IF(C117="","",MONTH(C117))</f>
        <v/>
      </c>
    </row>
    <row r="118" customFormat="false" ht="15" hidden="false" customHeight="true" outlineLevel="0" collapsed="false">
      <c r="A118" s="59" t="s">
        <v>54</v>
      </c>
      <c r="B118" s="59"/>
      <c r="C118" s="59"/>
      <c r="D118" s="59" t="n">
        <f aca="false">SUM(D65:D117)</f>
        <v>0</v>
      </c>
      <c r="E118" s="59" t="n">
        <f aca="false">SUM(E65:E117)</f>
        <v>0</v>
      </c>
      <c r="F118" s="59" t="n">
        <f aca="false">SUM(F65:F117)</f>
        <v>0</v>
      </c>
      <c r="G118" s="59" t="n">
        <f aca="false">SUM(G65:G117)</f>
        <v>0</v>
      </c>
      <c r="H118" s="59" t="n">
        <f aca="false">SUM(H65:H117)</f>
        <v>0</v>
      </c>
      <c r="I118" s="59"/>
      <c r="J118" s="59"/>
      <c r="K118" s="59" t="n">
        <f aca="false">SUM(K65:K117)</f>
        <v>0</v>
      </c>
      <c r="L118" s="59"/>
    </row>
  </sheetData>
  <sheetProtection sheet="true" formatColumns="false" formatRows="false"/>
  <mergeCells count="6">
    <mergeCell ref="A1:L1"/>
    <mergeCell ref="A3:L3"/>
    <mergeCell ref="A5:L5"/>
    <mergeCell ref="A60:C60"/>
    <mergeCell ref="A63:L63"/>
    <mergeCell ref="A118:C118"/>
  </mergeCells>
  <conditionalFormatting sqref="A7:L59">
    <cfRule type="expression" priority="2" aboveAverage="0" equalAverage="0" bottom="0" percent="0" rank="0" text="" dxfId="7">
      <formula>$A7=WK</formula>
    </cfRule>
    <cfRule type="expression" priority="3" aboveAverage="0" equalAverage="0" bottom="0" percent="0" rank="0" text="" dxfId="3">
      <formula>AND($A7&lt;&gt;"",N($H7)&gt;0)</formula>
    </cfRule>
  </conditionalFormatting>
  <conditionalFormatting sqref="A65:L117">
    <cfRule type="expression" priority="4" aboveAverage="0" equalAverage="0" bottom="0" percent="0" rank="0" text="" dxfId="7">
      <formula>$A65=WK</formula>
    </cfRule>
    <cfRule type="expression" priority="5" aboveAverage="0" equalAverage="0" bottom="0" percent="0" rank="0" text="" dxfId="3">
      <formula>AND($A65&lt;&gt;"",N($H65)&gt;0)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5" min="4" style="0" width="16"/>
    <col collapsed="false" customWidth="true" hidden="false" outlineLevel="0" max="6" min="6" style="0" width="14"/>
    <col collapsed="false" customWidth="true" hidden="false" outlineLevel="0" max="7" min="7" style="0" width="30"/>
  </cols>
  <sheetData>
    <row r="1" customFormat="false" ht="39.75" hidden="false" customHeight="true" outlineLevel="0" collapsed="false">
      <c r="A1" s="41" t="s">
        <v>61</v>
      </c>
      <c r="B1" s="41"/>
      <c r="C1" s="41"/>
      <c r="D1" s="41"/>
      <c r="E1" s="41"/>
      <c r="F1" s="41"/>
      <c r="G1" s="41"/>
    </row>
    <row r="3" customFormat="false" ht="30" hidden="false" customHeight="true" outlineLevel="0" collapsed="false">
      <c r="A3" s="61" t="s">
        <v>62</v>
      </c>
      <c r="C3" s="62" t="n">
        <v>2026</v>
      </c>
      <c r="D3" s="63" t="str">
        <f aca="false">"فيها "&amp;NW&amp;" أسبوع · الأسبوع 1: "&amp;TEXT(DAY(WEEK_ONE),"00")&amp;"/"&amp;TEXT(MONTH(WEEK_ONE),"00")&amp;"/"&amp;YEAR(WEEK_ONE)&amp;"  -  "&amp;TEXT(DAY(WEEK_ONE+6),"00")&amp;"/"&amp;TEXT(MONTH(WEEK_ONE+6),"00")&amp;"/"&amp;YEAR(WEEK_ONE+6)</f>
        <v>فيها 52 أسبوع · الأسبوع 1: 27/12/2025  -  02/01/2026</v>
      </c>
      <c r="E3" s="63"/>
      <c r="F3" s="63"/>
      <c r="G3" s="63"/>
    </row>
    <row r="4" customFormat="false" ht="16.15" hidden="false" customHeight="true" outlineLevel="0" collapsed="false">
      <c r="A4" s="64" t="s">
        <v>63</v>
      </c>
      <c r="B4" s="64"/>
      <c r="C4" s="64"/>
      <c r="D4" s="64"/>
      <c r="E4" s="64"/>
      <c r="F4" s="64"/>
      <c r="G4" s="64"/>
    </row>
    <row r="5" customFormat="false" ht="48" hidden="false" customHeight="true" outlineLevel="0" collapsed="false">
      <c r="A5" s="21" t="s">
        <v>3</v>
      </c>
      <c r="B5" s="21" t="s">
        <v>64</v>
      </c>
      <c r="C5" s="21" t="s">
        <v>65</v>
      </c>
      <c r="D5" s="21" t="s">
        <v>66</v>
      </c>
      <c r="E5" s="21" t="s">
        <v>67</v>
      </c>
      <c r="F5" s="21" t="s">
        <v>2</v>
      </c>
      <c r="G5" s="21"/>
    </row>
    <row r="6" customFormat="false" ht="15" hidden="false" customHeight="false" outlineLevel="0" collapsed="false">
      <c r="A6" s="65" t="s">
        <v>12</v>
      </c>
      <c r="B6" s="66" t="n">
        <v>40</v>
      </c>
      <c r="C6" s="34" t="n">
        <v>0</v>
      </c>
      <c r="D6" s="34" t="n">
        <v>0</v>
      </c>
      <c r="E6" s="34" t="n">
        <v>0</v>
      </c>
      <c r="F6" s="67" t="str">
        <f aca="false">IFERROR(TEXT(DAY(INDEX(WSAT,B6)),"00")&amp;"/"&amp;TEXT(MONTH(INDEX(WSAT,B6)),"00")&amp;"/"&amp;YEAR(INDEX(WSAT,B6))&amp;"  -  "&amp;TEXT(DAY(INDEX(WFRI,B6)),"00")&amp;"/"&amp;TEXT(MONTH(INDEX(WFRI,B6)),"00")&amp;"/"&amp;YEAR(INDEX(WFRI,B6)),"")</f>
        <v>26/09/2026  -  02/10/2026</v>
      </c>
      <c r="G6" s="67"/>
    </row>
    <row r="7" customFormat="false" ht="15" hidden="false" customHeight="false" outlineLevel="0" collapsed="false">
      <c r="A7" s="65" t="s">
        <v>13</v>
      </c>
      <c r="B7" s="66" t="n">
        <v>40</v>
      </c>
      <c r="C7" s="34" t="n">
        <v>0</v>
      </c>
      <c r="D7" s="34" t="n">
        <v>0</v>
      </c>
      <c r="E7" s="34" t="n">
        <v>0</v>
      </c>
      <c r="F7" s="67" t="str">
        <f aca="false">IFERROR(TEXT(DAY(INDEX(WSAT,B7)),"00")&amp;"/"&amp;TEXT(MONTH(INDEX(WSAT,B7)),"00")&amp;"/"&amp;YEAR(INDEX(WSAT,B7))&amp;"  -  "&amp;TEXT(DAY(INDEX(WFRI,B7)),"00")&amp;"/"&amp;TEXT(MONTH(INDEX(WFRI,B7)),"00")&amp;"/"&amp;YEAR(INDEX(WFRI,B7)),"")</f>
        <v>26/09/2026  -  02/10/2026</v>
      </c>
      <c r="G7" s="67"/>
    </row>
    <row r="8" customFormat="false" ht="30" hidden="false" customHeight="true" outlineLevel="0" collapsed="false">
      <c r="A8" s="16" t="s">
        <v>68</v>
      </c>
      <c r="B8" s="16"/>
      <c r="C8" s="16"/>
      <c r="D8" s="16"/>
      <c r="E8" s="16"/>
      <c r="F8" s="16"/>
      <c r="G8" s="16"/>
    </row>
    <row r="11" customFormat="false" ht="16.15" hidden="false" customHeight="true" outlineLevel="0" collapsed="false">
      <c r="A11" s="64" t="s">
        <v>69</v>
      </c>
      <c r="B11" s="64"/>
      <c r="C11" s="64"/>
      <c r="D11" s="64"/>
      <c r="E11" s="64"/>
      <c r="F11" s="64"/>
      <c r="G11" s="64"/>
    </row>
    <row r="12" customFormat="false" ht="48" hidden="false" customHeight="true" outlineLevel="0" collapsed="false">
      <c r="A12" s="21" t="s">
        <v>3</v>
      </c>
      <c r="B12" s="21" t="s">
        <v>70</v>
      </c>
      <c r="C12" s="21" t="s">
        <v>71</v>
      </c>
      <c r="D12" s="21" t="s">
        <v>66</v>
      </c>
      <c r="E12" s="21" t="s">
        <v>67</v>
      </c>
      <c r="F12" s="21" t="s">
        <v>72</v>
      </c>
      <c r="G12" s="21"/>
    </row>
    <row r="13" customFormat="false" ht="15" hidden="false" customHeight="false" outlineLevel="0" collapsed="false">
      <c r="A13" s="9" t="s">
        <v>12</v>
      </c>
      <c r="B13" s="68" t="str">
        <f aca="false">"الأسبوع "&amp;NW&amp;" ("&amp;TEXT(DAY(INDEX(WFRI,NW)),"00")&amp;"/"&amp;TEXT(MONTH(INDEX(WFRI,NW)),"00")&amp;"/"&amp;YEAR(INDEX(WFRI,NW))&amp;")"</f>
        <v>الأسبوع 52 (25/12/2026)</v>
      </c>
      <c r="C13" s="42" t="n">
        <f aca="false">N(INDEX(LO_REM,NW))</f>
        <v>0</v>
      </c>
      <c r="D13" s="42" t="n">
        <f aca="false">N(INDEX(LO_DEBT,NW))</f>
        <v>0</v>
      </c>
      <c r="E13" s="42" t="n">
        <f aca="false">IF(D13&gt;0,IF(SUMPRODUCT(MAX((LG_E="عمر المصري")*(LG_INST&lt;&gt;"")*(LG_D&lt;=INDEX(WFRI,NW))*LG_IDX))=0,$E$6,INDEX(LG_INST,SUMPRODUCT(MAX((LG_E="عمر المصري")*(LG_INST&lt;&gt;"")*(LG_D&lt;=INDEX(WFRI,NW))*LG_IDX)))),0)</f>
        <v>0</v>
      </c>
      <c r="F13" s="63" t="str">
        <f aca="false">IF(C13&gt;0.0005,"المحل لسا مدين إله بـ "&amp;TEXT(C13,"0.000"),IF(C13&lt;-0.0005,"قبض زيادة "&amp;TEXT(-C13,"0.000"),"ما إله شي"))&amp;IF(D13&gt;0.0005,"  ·  وعليه دين "&amp;TEXT(D13,"0.000"),"")</f>
        <v>ما إله شي</v>
      </c>
      <c r="G13" s="63"/>
    </row>
    <row r="14" customFormat="false" ht="15" hidden="false" customHeight="false" outlineLevel="0" collapsed="false">
      <c r="A14" s="9" t="s">
        <v>13</v>
      </c>
      <c r="B14" s="68" t="str">
        <f aca="false">"الأسبوع "&amp;NW&amp;" ("&amp;TEXT(DAY(INDEX(WFRI,NW)),"00")&amp;"/"&amp;TEXT(MONTH(INDEX(WFRI,NW)),"00")&amp;"/"&amp;YEAR(INDEX(WFRI,NW))&amp;")"</f>
        <v>الأسبوع 52 (25/12/2026)</v>
      </c>
      <c r="C14" s="42" t="n">
        <f aca="false">N(INDEX(LZ_REM,NW))</f>
        <v>0</v>
      </c>
      <c r="D14" s="42" t="n">
        <f aca="false">N(INDEX(LZ_DEBT,NW))</f>
        <v>0</v>
      </c>
      <c r="E14" s="42" t="n">
        <f aca="false">IF(D14&gt;0,IF(SUMPRODUCT(MAX((LG_E="عبدالعزيز")*(LG_INST&lt;&gt;"")*(LG_D&lt;=INDEX(WFRI,NW))*LG_IDX))=0,$E$7,INDEX(LG_INST,SUMPRODUCT(MAX((LG_E="عبدالعزيز")*(LG_INST&lt;&gt;"")*(LG_D&lt;=INDEX(WFRI,NW))*LG_IDX)))),0)</f>
        <v>0</v>
      </c>
      <c r="F14" s="63" t="str">
        <f aca="false">IF(C14&gt;0.0005,"المحل لسا مدين إله بـ "&amp;TEXT(C14,"0.000"),IF(C14&lt;-0.0005,"قبض زيادة "&amp;TEXT(-C14,"0.000"),"ما إله شي"))&amp;IF(D14&gt;0.0005,"  ·  وعليه دين "&amp;TEXT(D14,"0.000"),"")</f>
        <v>ما إله شي</v>
      </c>
      <c r="G14" s="63"/>
    </row>
  </sheetData>
  <sheetProtection sheet="true" formatColumns="false" formatRows="false"/>
  <mergeCells count="11">
    <mergeCell ref="A1:G1"/>
    <mergeCell ref="D3:G3"/>
    <mergeCell ref="A4:G4"/>
    <mergeCell ref="F5:G5"/>
    <mergeCell ref="F6:G6"/>
    <mergeCell ref="F7:G7"/>
    <mergeCell ref="A8:G8"/>
    <mergeCell ref="A11:G11"/>
    <mergeCell ref="F12:G12"/>
    <mergeCell ref="F13:G13"/>
    <mergeCell ref="F14:G14"/>
  </mergeCells>
  <dataValidations count="1">
    <dataValidation allowBlank="true" errorStyle="stop" operator="between" prompt="اختار السنة — كل الملف بيتبرمج عليها" promptTitle="السنة" showDropDown="false" showErrorMessage="false" showInputMessage="true" sqref="C3" type="list">
      <formula1>القوائم!$E$1:$E$10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0"/>
    <col collapsed="false" customWidth="true" hidden="false" outlineLevel="0" max="4" min="3" style="0" width="16"/>
    <col collapsed="false" customWidth="true" hidden="false" outlineLevel="0" max="5" min="5" style="0" width="44"/>
    <col collapsed="false" customWidth="true" hidden="true" outlineLevel="0" max="7" min="7" style="0" width="13"/>
  </cols>
  <sheetData>
    <row r="1" customFormat="false" ht="39.75" hidden="false" customHeight="true" outlineLevel="0" collapsed="false">
      <c r="A1" s="69" t="s">
        <v>73</v>
      </c>
      <c r="B1" s="69"/>
      <c r="C1" s="69"/>
      <c r="D1" s="69"/>
      <c r="E1" s="69"/>
    </row>
    <row r="3" customFormat="false" ht="39.75" hidden="false" customHeight="true" outlineLevel="0" collapsed="false">
      <c r="A3" s="8" t="s">
        <v>74</v>
      </c>
      <c r="B3" s="8" t="s">
        <v>75</v>
      </c>
      <c r="C3" s="8" t="s">
        <v>76</v>
      </c>
      <c r="D3" s="8"/>
      <c r="E3" s="8" t="s">
        <v>77</v>
      </c>
    </row>
    <row r="4" customFormat="false" ht="30" hidden="false" customHeight="true" outlineLevel="0" collapsed="false">
      <c r="A4" s="70" t="n">
        <v>1</v>
      </c>
      <c r="B4" s="71" t="s">
        <v>78</v>
      </c>
      <c r="C4" s="72" t="n">
        <v>0.75</v>
      </c>
      <c r="D4" s="72"/>
      <c r="E4" s="73" t="s">
        <v>79</v>
      </c>
    </row>
    <row r="5" customFormat="false" ht="30" hidden="false" customHeight="true" outlineLevel="0" collapsed="false">
      <c r="A5" s="70" t="n">
        <v>2</v>
      </c>
      <c r="B5" s="71" t="s">
        <v>80</v>
      </c>
      <c r="C5" s="72" t="n">
        <v>0.583333333333333</v>
      </c>
      <c r="D5" s="72"/>
      <c r="E5" s="73" t="s">
        <v>81</v>
      </c>
    </row>
    <row r="6" customFormat="false" ht="30" hidden="false" customHeight="true" outlineLevel="0" collapsed="false">
      <c r="A6" s="70" t="n">
        <v>3</v>
      </c>
      <c r="B6" s="71" t="s">
        <v>82</v>
      </c>
      <c r="C6" s="72" t="n">
        <v>0.958333333333333</v>
      </c>
      <c r="D6" s="72"/>
      <c r="E6" s="73"/>
    </row>
    <row r="7" customFormat="false" ht="30" hidden="false" customHeight="true" outlineLevel="0" collapsed="false">
      <c r="A7" s="70" t="n">
        <v>4</v>
      </c>
      <c r="B7" s="71" t="s">
        <v>83</v>
      </c>
      <c r="C7" s="74" t="s">
        <v>84</v>
      </c>
      <c r="D7" s="74"/>
      <c r="E7" s="73" t="s">
        <v>85</v>
      </c>
    </row>
    <row r="8" customFormat="false" ht="30" hidden="false" customHeight="true" outlineLevel="0" collapsed="false">
      <c r="A8" s="70" t="n">
        <v>5</v>
      </c>
      <c r="B8" s="71" t="s">
        <v>86</v>
      </c>
      <c r="C8" s="75" t="n">
        <v>0.6</v>
      </c>
      <c r="D8" s="75"/>
      <c r="E8" s="73" t="s">
        <v>87</v>
      </c>
    </row>
    <row r="9" customFormat="false" ht="30" hidden="false" customHeight="true" outlineLevel="0" collapsed="false">
      <c r="A9" s="70" t="n">
        <v>6</v>
      </c>
      <c r="B9" s="71" t="s">
        <v>88</v>
      </c>
      <c r="C9" s="75" t="n">
        <v>0.25</v>
      </c>
      <c r="D9" s="75"/>
      <c r="E9" s="73" t="s">
        <v>89</v>
      </c>
    </row>
    <row r="10" customFormat="false" ht="30" hidden="false" customHeight="true" outlineLevel="0" collapsed="false">
      <c r="A10" s="70" t="n">
        <v>7</v>
      </c>
      <c r="B10" s="71" t="s">
        <v>90</v>
      </c>
      <c r="C10" s="75" t="n">
        <v>0.65</v>
      </c>
      <c r="D10" s="75"/>
      <c r="E10" s="73" t="s">
        <v>91</v>
      </c>
    </row>
    <row r="11" customFormat="false" ht="30" hidden="false" customHeight="true" outlineLevel="0" collapsed="false">
      <c r="A11" s="70" t="n">
        <v>8</v>
      </c>
      <c r="B11" s="71" t="s">
        <v>92</v>
      </c>
      <c r="C11" s="74" t="s">
        <v>93</v>
      </c>
      <c r="D11" s="74"/>
      <c r="E11" s="73" t="s">
        <v>94</v>
      </c>
    </row>
    <row r="13" customFormat="false" ht="33.75" hidden="false" customHeight="true" outlineLevel="0" collapsed="false">
      <c r="A13" s="76" t="s">
        <v>95</v>
      </c>
      <c r="B13" s="76"/>
      <c r="C13" s="76"/>
      <c r="D13" s="76"/>
      <c r="E13" s="76"/>
    </row>
    <row r="14" customFormat="false" ht="48" hidden="false" customHeight="true" outlineLevel="0" collapsed="false">
      <c r="A14" s="21" t="s">
        <v>96</v>
      </c>
      <c r="B14" s="21" t="s">
        <v>97</v>
      </c>
      <c r="C14" s="21" t="s">
        <v>98</v>
      </c>
      <c r="D14" s="21" t="s">
        <v>99</v>
      </c>
      <c r="E14" s="21" t="s">
        <v>100</v>
      </c>
    </row>
    <row r="15" customFormat="false" ht="39.55" hidden="false" customHeight="false" outlineLevel="0" collapsed="false">
      <c r="A15" s="77" t="n">
        <v>46023</v>
      </c>
      <c r="B15" s="78" t="n">
        <v>1.25</v>
      </c>
      <c r="C15" s="78" t="n">
        <v>1.5</v>
      </c>
      <c r="D15" s="78" t="n">
        <v>1</v>
      </c>
      <c r="E15" s="78" t="n">
        <v>2.5</v>
      </c>
      <c r="G15" s="18" t="n">
        <f aca="false">IF(A15="",99999999,A15)</f>
        <v>46023</v>
      </c>
    </row>
    <row r="16" customFormat="false" ht="15" hidden="false" customHeight="false" outlineLevel="0" collapsed="false">
      <c r="A16" s="77"/>
      <c r="B16" s="78"/>
      <c r="C16" s="78"/>
      <c r="D16" s="78"/>
      <c r="E16" s="78"/>
      <c r="G16" s="19" t="n">
        <f aca="false">IF(A16="",99999999,A16)</f>
        <v>99999999</v>
      </c>
    </row>
    <row r="17" customFormat="false" ht="15" hidden="false" customHeight="false" outlineLevel="0" collapsed="false">
      <c r="A17" s="77"/>
      <c r="B17" s="78"/>
      <c r="C17" s="78"/>
      <c r="D17" s="78"/>
      <c r="E17" s="78"/>
      <c r="G17" s="19" t="n">
        <f aca="false">IF(A17="",99999999,A17)</f>
        <v>99999999</v>
      </c>
    </row>
    <row r="18" customFormat="false" ht="15" hidden="false" customHeight="false" outlineLevel="0" collapsed="false">
      <c r="A18" s="77"/>
      <c r="B18" s="78"/>
      <c r="C18" s="78"/>
      <c r="D18" s="78"/>
      <c r="E18" s="78"/>
      <c r="G18" s="19" t="n">
        <f aca="false">IF(A18="",99999999,A18)</f>
        <v>99999999</v>
      </c>
    </row>
    <row r="19" customFormat="false" ht="15" hidden="false" customHeight="false" outlineLevel="0" collapsed="false">
      <c r="A19" s="77"/>
      <c r="B19" s="78"/>
      <c r="C19" s="78"/>
      <c r="D19" s="78"/>
      <c r="E19" s="78"/>
      <c r="G19" s="19" t="n">
        <f aca="false">IF(A19="",99999999,A19)</f>
        <v>99999999</v>
      </c>
    </row>
    <row r="20" customFormat="false" ht="15" hidden="false" customHeight="false" outlineLevel="0" collapsed="false">
      <c r="A20" s="77"/>
      <c r="B20" s="78"/>
      <c r="C20" s="78"/>
      <c r="D20" s="78"/>
      <c r="E20" s="78"/>
      <c r="G20" s="19" t="n">
        <f aca="false">IF(A20="",99999999,A20)</f>
        <v>99999999</v>
      </c>
    </row>
    <row r="21" customFormat="false" ht="15" hidden="false" customHeight="false" outlineLevel="0" collapsed="false">
      <c r="A21" s="77"/>
      <c r="B21" s="78"/>
      <c r="C21" s="78"/>
      <c r="D21" s="78"/>
      <c r="E21" s="78"/>
      <c r="G21" s="19" t="n">
        <f aca="false">IF(A21="",99999999,A21)</f>
        <v>99999999</v>
      </c>
    </row>
    <row r="22" customFormat="false" ht="15" hidden="false" customHeight="false" outlineLevel="0" collapsed="false">
      <c r="A22" s="77"/>
      <c r="B22" s="78"/>
      <c r="C22" s="78"/>
      <c r="D22" s="78"/>
      <c r="E22" s="78"/>
      <c r="G22" s="19" t="n">
        <f aca="false">IF(A22="",99999999,A22)</f>
        <v>99999999</v>
      </c>
    </row>
    <row r="23" customFormat="false" ht="15" hidden="false" customHeight="false" outlineLevel="0" collapsed="false">
      <c r="A23" s="77"/>
      <c r="B23" s="78"/>
      <c r="C23" s="78"/>
      <c r="D23" s="78"/>
      <c r="E23" s="78"/>
      <c r="G23" s="19" t="n">
        <f aca="false">IF(A23="",99999999,A23)</f>
        <v>99999999</v>
      </c>
    </row>
    <row r="24" customFormat="false" ht="15" hidden="false" customHeight="false" outlineLevel="0" collapsed="false">
      <c r="A24" s="77"/>
      <c r="B24" s="78"/>
      <c r="C24" s="78"/>
      <c r="D24" s="78"/>
      <c r="E24" s="78"/>
      <c r="G24" s="19" t="n">
        <f aca="false">IF(A24="",99999999,A24)</f>
        <v>99999999</v>
      </c>
    </row>
  </sheetData>
  <sheetProtection sheet="true" formatColumns="false" formatRows="false"/>
  <mergeCells count="11">
    <mergeCell ref="A1:E1"/>
    <mergeCell ref="C3:D3"/>
    <mergeCell ref="C4:D4"/>
    <mergeCell ref="C5:D5"/>
    <mergeCell ref="C6:D6"/>
    <mergeCell ref="C7:D7"/>
    <mergeCell ref="C8:D8"/>
    <mergeCell ref="C9:D9"/>
    <mergeCell ref="C10:D10"/>
    <mergeCell ref="C11:D11"/>
    <mergeCell ref="A13:E13"/>
  </mergeCells>
  <dataValidations count="2">
    <dataValidation allowBlank="true" errorStyle="stop" operator="between" showDropDown="false" showErrorMessage="false" showInputMessage="false" sqref="C7" type="list">
      <formula1>"لأقرب ربع,للأعلى"</formula1>
      <formula2>0</formula2>
    </dataValidation>
    <dataValidation allowBlank="true" errorStyle="stop" operator="between" showDropDown="false" showErrorMessage="false" showInputMessage="false" sqref="C11" type="list">
      <formula1>"ينخصم كامل,تخفيض تلقائي"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1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3" min="2" style="0" width="12"/>
    <col collapsed="false" customWidth="true" hidden="false" outlineLevel="0" max="4" min="4" style="0" width="8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0" min="10" style="0" width="12"/>
    <col collapsed="false" customWidth="true" hidden="false" outlineLevel="0" max="11" min="11" style="0" width="11"/>
    <col collapsed="false" customWidth="true" hidden="false" outlineLevel="0" max="12" min="12" style="0" width="12"/>
  </cols>
  <sheetData>
    <row r="1" customFormat="false" ht="39.75" hidden="false" customHeight="true" outlineLevel="0" collapsed="false">
      <c r="A1" s="1" t="s">
        <v>101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3" customFormat="false" ht="16.15" hidden="false" customHeight="true" outlineLevel="0" collapsed="false">
      <c r="A3" s="53" t="s">
        <v>102</v>
      </c>
      <c r="B3" s="53"/>
      <c r="C3" s="53"/>
      <c r="D3" s="53"/>
      <c r="E3" s="53"/>
      <c r="F3" s="53"/>
      <c r="G3" s="53"/>
      <c r="H3" s="53"/>
      <c r="I3" s="53"/>
      <c r="J3" s="53"/>
      <c r="K3" s="53"/>
      <c r="L3" s="53"/>
    </row>
    <row r="5" customFormat="false" ht="54" hidden="false" customHeight="true" outlineLevel="0" collapsed="false">
      <c r="A5" s="79" t="s">
        <v>103</v>
      </c>
      <c r="B5" s="79" t="s">
        <v>104</v>
      </c>
      <c r="C5" s="79" t="s">
        <v>105</v>
      </c>
      <c r="D5" s="79" t="s">
        <v>106</v>
      </c>
      <c r="E5" s="79" t="s">
        <v>107</v>
      </c>
      <c r="F5" s="79" t="s">
        <v>108</v>
      </c>
      <c r="G5" s="79" t="s">
        <v>109</v>
      </c>
      <c r="H5" s="79" t="s">
        <v>110</v>
      </c>
      <c r="I5" s="79" t="s">
        <v>111</v>
      </c>
      <c r="J5" s="79" t="s">
        <v>112</v>
      </c>
      <c r="K5" s="79" t="s">
        <v>113</v>
      </c>
      <c r="L5" s="79" t="s">
        <v>114</v>
      </c>
    </row>
    <row r="6" customFormat="false" ht="15" hidden="false" customHeight="false" outlineLevel="0" collapsed="false">
      <c r="A6" s="80" t="s">
        <v>115</v>
      </c>
      <c r="B6" s="22" t="n">
        <f aca="false">IFERROR(INDEX(WSAT,MATCH(1,WMON,0)),"")</f>
        <v>46018</v>
      </c>
      <c r="C6" s="22" t="n">
        <f aca="false">IFERROR(INDEX(WFRI,MATCH(1,WMON,0)+COUNTIF(WMON,1)-1),"")</f>
        <v>46052</v>
      </c>
      <c r="D6" s="54" t="n">
        <f aca="false">COUNTIF(WMON,1)</f>
        <v>5</v>
      </c>
      <c r="E6" s="55" t="n">
        <f aca="false">SUMIFS(LO_PAID,LO_MON,1)</f>
        <v>0</v>
      </c>
      <c r="F6" s="55" t="n">
        <f aca="false">SUMIFS(LZ_PAID,LZ_MON,1)+SUMIFS(LZ_DAILY,LZ_MON,1)</f>
        <v>0</v>
      </c>
      <c r="G6" s="55" t="n">
        <f aca="false">SUMIFS(ADV_AMT,ADV_M,1)</f>
        <v>0</v>
      </c>
      <c r="H6" s="55" t="n">
        <f aca="false">SUMIFS(TASK_AMT,TASK_M,1)</f>
        <v>0</v>
      </c>
      <c r="I6" s="56" t="n">
        <f aca="false">E6+F6+G6+H6</f>
        <v>0</v>
      </c>
      <c r="J6" s="55" t="n">
        <f aca="false">SUMIFS(LO_DUE,LO_MON,1)+SUMIFS(LZ_DUE,LZ_MON,1)+H6</f>
        <v>0</v>
      </c>
      <c r="K6" s="55" t="n">
        <f aca="false">SUMIFS(LG_DEBT,LG_TYPE,"بضاعة",LG_M,1)</f>
        <v>0</v>
      </c>
      <c r="L6" s="55" t="n">
        <f aca="false">SUMIFS(LG_DEBT,LG_TYPE,"قرض كاش",LG_M,1)</f>
        <v>0</v>
      </c>
    </row>
    <row r="7" customFormat="false" ht="15" hidden="false" customHeight="false" outlineLevel="0" collapsed="false">
      <c r="A7" s="80" t="s">
        <v>116</v>
      </c>
      <c r="B7" s="22" t="n">
        <f aca="false">IFERROR(INDEX(WSAT,MATCH(2,WMON,0)),"")</f>
        <v>46053</v>
      </c>
      <c r="C7" s="22" t="n">
        <f aca="false">IFERROR(INDEX(WFRI,MATCH(2,WMON,0)+COUNTIF(WMON,2)-1),"")</f>
        <v>46080</v>
      </c>
      <c r="D7" s="54" t="n">
        <f aca="false">COUNTIF(WMON,2)</f>
        <v>4</v>
      </c>
      <c r="E7" s="55" t="n">
        <f aca="false">SUMIFS(LO_PAID,LO_MON,2)</f>
        <v>0</v>
      </c>
      <c r="F7" s="55" t="n">
        <f aca="false">SUMIFS(LZ_PAID,LZ_MON,2)+SUMIFS(LZ_DAILY,LZ_MON,2)</f>
        <v>0</v>
      </c>
      <c r="G7" s="55" t="n">
        <f aca="false">SUMIFS(ADV_AMT,ADV_M,2)</f>
        <v>0</v>
      </c>
      <c r="H7" s="55" t="n">
        <f aca="false">SUMIFS(TASK_AMT,TASK_M,2)</f>
        <v>0</v>
      </c>
      <c r="I7" s="56" t="n">
        <f aca="false">E7+F7+G7+H7</f>
        <v>0</v>
      </c>
      <c r="J7" s="55" t="n">
        <f aca="false">SUMIFS(LO_DUE,LO_MON,2)+SUMIFS(LZ_DUE,LZ_MON,2)+H7</f>
        <v>0</v>
      </c>
      <c r="K7" s="55" t="n">
        <f aca="false">SUMIFS(LG_DEBT,LG_TYPE,"بضاعة",LG_M,2)</f>
        <v>0</v>
      </c>
      <c r="L7" s="55" t="n">
        <f aca="false">SUMIFS(LG_DEBT,LG_TYPE,"قرض كاش",LG_M,2)</f>
        <v>0</v>
      </c>
    </row>
    <row r="8" customFormat="false" ht="15" hidden="false" customHeight="false" outlineLevel="0" collapsed="false">
      <c r="A8" s="80" t="s">
        <v>117</v>
      </c>
      <c r="B8" s="22" t="n">
        <f aca="false">IFERROR(INDEX(WSAT,MATCH(3,WMON,0)),"")</f>
        <v>46081</v>
      </c>
      <c r="C8" s="22" t="n">
        <f aca="false">IFERROR(INDEX(WFRI,MATCH(3,WMON,0)+COUNTIF(WMON,3)-1),"")</f>
        <v>46108</v>
      </c>
      <c r="D8" s="54" t="n">
        <f aca="false">COUNTIF(WMON,3)</f>
        <v>4</v>
      </c>
      <c r="E8" s="55" t="n">
        <f aca="false">SUMIFS(LO_PAID,LO_MON,3)</f>
        <v>0</v>
      </c>
      <c r="F8" s="55" t="n">
        <f aca="false">SUMIFS(LZ_PAID,LZ_MON,3)+SUMIFS(LZ_DAILY,LZ_MON,3)</f>
        <v>0</v>
      </c>
      <c r="G8" s="55" t="n">
        <f aca="false">SUMIFS(ADV_AMT,ADV_M,3)</f>
        <v>0</v>
      </c>
      <c r="H8" s="55" t="n">
        <f aca="false">SUMIFS(TASK_AMT,TASK_M,3)</f>
        <v>0</v>
      </c>
      <c r="I8" s="56" t="n">
        <f aca="false">E8+F8+G8+H8</f>
        <v>0</v>
      </c>
      <c r="J8" s="55" t="n">
        <f aca="false">SUMIFS(LO_DUE,LO_MON,3)+SUMIFS(LZ_DUE,LZ_MON,3)+H8</f>
        <v>0</v>
      </c>
      <c r="K8" s="55" t="n">
        <f aca="false">SUMIFS(LG_DEBT,LG_TYPE,"بضاعة",LG_M,3)</f>
        <v>0</v>
      </c>
      <c r="L8" s="55" t="n">
        <f aca="false">SUMIFS(LG_DEBT,LG_TYPE,"قرض كاش",LG_M,3)</f>
        <v>0</v>
      </c>
    </row>
    <row r="9" customFormat="false" ht="15" hidden="false" customHeight="false" outlineLevel="0" collapsed="false">
      <c r="A9" s="80" t="s">
        <v>118</v>
      </c>
      <c r="B9" s="22" t="n">
        <f aca="false">IFERROR(INDEX(WSAT,MATCH(4,WMON,0)),"")</f>
        <v>46109</v>
      </c>
      <c r="C9" s="22" t="n">
        <f aca="false">IFERROR(INDEX(WFRI,MATCH(4,WMON,0)+COUNTIF(WMON,4)-1),"")</f>
        <v>46136</v>
      </c>
      <c r="D9" s="54" t="n">
        <f aca="false">COUNTIF(WMON,4)</f>
        <v>4</v>
      </c>
      <c r="E9" s="55" t="n">
        <f aca="false">SUMIFS(LO_PAID,LO_MON,4)</f>
        <v>0</v>
      </c>
      <c r="F9" s="55" t="n">
        <f aca="false">SUMIFS(LZ_PAID,LZ_MON,4)+SUMIFS(LZ_DAILY,LZ_MON,4)</f>
        <v>0</v>
      </c>
      <c r="G9" s="55" t="n">
        <f aca="false">SUMIFS(ADV_AMT,ADV_M,4)</f>
        <v>0</v>
      </c>
      <c r="H9" s="55" t="n">
        <f aca="false">SUMIFS(TASK_AMT,TASK_M,4)</f>
        <v>0</v>
      </c>
      <c r="I9" s="56" t="n">
        <f aca="false">E9+F9+G9+H9</f>
        <v>0</v>
      </c>
      <c r="J9" s="55" t="n">
        <f aca="false">SUMIFS(LO_DUE,LO_MON,4)+SUMIFS(LZ_DUE,LZ_MON,4)+H9</f>
        <v>0</v>
      </c>
      <c r="K9" s="55" t="n">
        <f aca="false">SUMIFS(LG_DEBT,LG_TYPE,"بضاعة",LG_M,4)</f>
        <v>0</v>
      </c>
      <c r="L9" s="55" t="n">
        <f aca="false">SUMIFS(LG_DEBT,LG_TYPE,"قرض كاش",LG_M,4)</f>
        <v>0</v>
      </c>
    </row>
    <row r="10" customFormat="false" ht="15" hidden="false" customHeight="false" outlineLevel="0" collapsed="false">
      <c r="A10" s="80" t="s">
        <v>119</v>
      </c>
      <c r="B10" s="22" t="n">
        <f aca="false">IFERROR(INDEX(WSAT,MATCH(5,WMON,0)),"")</f>
        <v>46137</v>
      </c>
      <c r="C10" s="22" t="n">
        <f aca="false">IFERROR(INDEX(WFRI,MATCH(5,WMON,0)+COUNTIF(WMON,5)-1),"")</f>
        <v>46171</v>
      </c>
      <c r="D10" s="54" t="n">
        <f aca="false">COUNTIF(WMON,5)</f>
        <v>5</v>
      </c>
      <c r="E10" s="55" t="n">
        <f aca="false">SUMIFS(LO_PAID,LO_MON,5)</f>
        <v>0</v>
      </c>
      <c r="F10" s="55" t="n">
        <f aca="false">SUMIFS(LZ_PAID,LZ_MON,5)+SUMIFS(LZ_DAILY,LZ_MON,5)</f>
        <v>0</v>
      </c>
      <c r="G10" s="55" t="n">
        <f aca="false">SUMIFS(ADV_AMT,ADV_M,5)</f>
        <v>0</v>
      </c>
      <c r="H10" s="55" t="n">
        <f aca="false">SUMIFS(TASK_AMT,TASK_M,5)</f>
        <v>0</v>
      </c>
      <c r="I10" s="56" t="n">
        <f aca="false">E10+F10+G10+H10</f>
        <v>0</v>
      </c>
      <c r="J10" s="55" t="n">
        <f aca="false">SUMIFS(LO_DUE,LO_MON,5)+SUMIFS(LZ_DUE,LZ_MON,5)+H10</f>
        <v>0</v>
      </c>
      <c r="K10" s="55" t="n">
        <f aca="false">SUMIFS(LG_DEBT,LG_TYPE,"بضاعة",LG_M,5)</f>
        <v>0</v>
      </c>
      <c r="L10" s="55" t="n">
        <f aca="false">SUMIFS(LG_DEBT,LG_TYPE,"قرض كاش",LG_M,5)</f>
        <v>0</v>
      </c>
    </row>
    <row r="11" customFormat="false" ht="15" hidden="false" customHeight="false" outlineLevel="0" collapsed="false">
      <c r="A11" s="80" t="s">
        <v>120</v>
      </c>
      <c r="B11" s="22" t="n">
        <f aca="false">IFERROR(INDEX(WSAT,MATCH(6,WMON,0)),"")</f>
        <v>46172</v>
      </c>
      <c r="C11" s="22" t="n">
        <f aca="false">IFERROR(INDEX(WFRI,MATCH(6,WMON,0)+COUNTIF(WMON,6)-1),"")</f>
        <v>46199</v>
      </c>
      <c r="D11" s="54" t="n">
        <f aca="false">COUNTIF(WMON,6)</f>
        <v>4</v>
      </c>
      <c r="E11" s="55" t="n">
        <f aca="false">SUMIFS(LO_PAID,LO_MON,6)</f>
        <v>0</v>
      </c>
      <c r="F11" s="55" t="n">
        <f aca="false">SUMIFS(LZ_PAID,LZ_MON,6)+SUMIFS(LZ_DAILY,LZ_MON,6)</f>
        <v>0</v>
      </c>
      <c r="G11" s="55" t="n">
        <f aca="false">SUMIFS(ADV_AMT,ADV_M,6)</f>
        <v>0</v>
      </c>
      <c r="H11" s="55" t="n">
        <f aca="false">SUMIFS(TASK_AMT,TASK_M,6)</f>
        <v>0</v>
      </c>
      <c r="I11" s="56" t="n">
        <f aca="false">E11+F11+G11+H11</f>
        <v>0</v>
      </c>
      <c r="J11" s="55" t="n">
        <f aca="false">SUMIFS(LO_DUE,LO_MON,6)+SUMIFS(LZ_DUE,LZ_MON,6)+H11</f>
        <v>0</v>
      </c>
      <c r="K11" s="55" t="n">
        <f aca="false">SUMIFS(LG_DEBT,LG_TYPE,"بضاعة",LG_M,6)</f>
        <v>0</v>
      </c>
      <c r="L11" s="55" t="n">
        <f aca="false">SUMIFS(LG_DEBT,LG_TYPE,"قرض كاش",LG_M,6)</f>
        <v>0</v>
      </c>
    </row>
    <row r="12" customFormat="false" ht="15" hidden="false" customHeight="false" outlineLevel="0" collapsed="false">
      <c r="A12" s="80" t="s">
        <v>121</v>
      </c>
      <c r="B12" s="22" t="n">
        <f aca="false">IFERROR(INDEX(WSAT,MATCH(7,WMON,0)),"")</f>
        <v>46200</v>
      </c>
      <c r="C12" s="22" t="n">
        <f aca="false">IFERROR(INDEX(WFRI,MATCH(7,WMON,0)+COUNTIF(WMON,7)-1),"")</f>
        <v>46234</v>
      </c>
      <c r="D12" s="54" t="n">
        <f aca="false">COUNTIF(WMON,7)</f>
        <v>5</v>
      </c>
      <c r="E12" s="55" t="n">
        <f aca="false">SUMIFS(LO_PAID,LO_MON,7)</f>
        <v>0</v>
      </c>
      <c r="F12" s="55" t="n">
        <f aca="false">SUMIFS(LZ_PAID,LZ_MON,7)+SUMIFS(LZ_DAILY,LZ_MON,7)</f>
        <v>0</v>
      </c>
      <c r="G12" s="55" t="n">
        <f aca="false">SUMIFS(ADV_AMT,ADV_M,7)</f>
        <v>0</v>
      </c>
      <c r="H12" s="55" t="n">
        <f aca="false">SUMIFS(TASK_AMT,TASK_M,7)</f>
        <v>0</v>
      </c>
      <c r="I12" s="56" t="n">
        <f aca="false">E12+F12+G12+H12</f>
        <v>0</v>
      </c>
      <c r="J12" s="55" t="n">
        <f aca="false">SUMIFS(LO_DUE,LO_MON,7)+SUMIFS(LZ_DUE,LZ_MON,7)+H12</f>
        <v>0</v>
      </c>
      <c r="K12" s="55" t="n">
        <f aca="false">SUMIFS(LG_DEBT,LG_TYPE,"بضاعة",LG_M,7)</f>
        <v>0</v>
      </c>
      <c r="L12" s="55" t="n">
        <f aca="false">SUMIFS(LG_DEBT,LG_TYPE,"قرض كاش",LG_M,7)</f>
        <v>0</v>
      </c>
    </row>
    <row r="13" customFormat="false" ht="15" hidden="false" customHeight="false" outlineLevel="0" collapsed="false">
      <c r="A13" s="80" t="s">
        <v>122</v>
      </c>
      <c r="B13" s="22" t="n">
        <f aca="false">IFERROR(INDEX(WSAT,MATCH(8,WMON,0)),"")</f>
        <v>46235</v>
      </c>
      <c r="C13" s="22" t="n">
        <f aca="false">IFERROR(INDEX(WFRI,MATCH(8,WMON,0)+COUNTIF(WMON,8)-1),"")</f>
        <v>46262</v>
      </c>
      <c r="D13" s="54" t="n">
        <f aca="false">COUNTIF(WMON,8)</f>
        <v>4</v>
      </c>
      <c r="E13" s="55" t="n">
        <f aca="false">SUMIFS(LO_PAID,LO_MON,8)</f>
        <v>0</v>
      </c>
      <c r="F13" s="55" t="n">
        <f aca="false">SUMIFS(LZ_PAID,LZ_MON,8)+SUMIFS(LZ_DAILY,LZ_MON,8)</f>
        <v>0</v>
      </c>
      <c r="G13" s="55" t="n">
        <f aca="false">SUMIFS(ADV_AMT,ADV_M,8)</f>
        <v>0</v>
      </c>
      <c r="H13" s="55" t="n">
        <f aca="false">SUMIFS(TASK_AMT,TASK_M,8)</f>
        <v>0</v>
      </c>
      <c r="I13" s="56" t="n">
        <f aca="false">E13+F13+G13+H13</f>
        <v>0</v>
      </c>
      <c r="J13" s="55" t="n">
        <f aca="false">SUMIFS(LO_DUE,LO_MON,8)+SUMIFS(LZ_DUE,LZ_MON,8)+H13</f>
        <v>0</v>
      </c>
      <c r="K13" s="55" t="n">
        <f aca="false">SUMIFS(LG_DEBT,LG_TYPE,"بضاعة",LG_M,8)</f>
        <v>0</v>
      </c>
      <c r="L13" s="55" t="n">
        <f aca="false">SUMIFS(LG_DEBT,LG_TYPE,"قرض كاش",LG_M,8)</f>
        <v>0</v>
      </c>
    </row>
    <row r="14" customFormat="false" ht="15" hidden="false" customHeight="false" outlineLevel="0" collapsed="false">
      <c r="A14" s="80" t="s">
        <v>123</v>
      </c>
      <c r="B14" s="22" t="n">
        <f aca="false">IFERROR(INDEX(WSAT,MATCH(9,WMON,0)),"")</f>
        <v>46263</v>
      </c>
      <c r="C14" s="22" t="n">
        <f aca="false">IFERROR(INDEX(WFRI,MATCH(9,WMON,0)+COUNTIF(WMON,9)-1),"")</f>
        <v>46290</v>
      </c>
      <c r="D14" s="54" t="n">
        <f aca="false">COUNTIF(WMON,9)</f>
        <v>4</v>
      </c>
      <c r="E14" s="55" t="n">
        <f aca="false">SUMIFS(LO_PAID,LO_MON,9)</f>
        <v>0</v>
      </c>
      <c r="F14" s="55" t="n">
        <f aca="false">SUMIFS(LZ_PAID,LZ_MON,9)+SUMIFS(LZ_DAILY,LZ_MON,9)</f>
        <v>0</v>
      </c>
      <c r="G14" s="55" t="n">
        <f aca="false">SUMIFS(ADV_AMT,ADV_M,9)</f>
        <v>0</v>
      </c>
      <c r="H14" s="55" t="n">
        <f aca="false">SUMIFS(TASK_AMT,TASK_M,9)</f>
        <v>0</v>
      </c>
      <c r="I14" s="56" t="n">
        <f aca="false">E14+F14+G14+H14</f>
        <v>0</v>
      </c>
      <c r="J14" s="55" t="n">
        <f aca="false">SUMIFS(LO_DUE,LO_MON,9)+SUMIFS(LZ_DUE,LZ_MON,9)+H14</f>
        <v>0</v>
      </c>
      <c r="K14" s="55" t="n">
        <f aca="false">SUMIFS(LG_DEBT,LG_TYPE,"بضاعة",LG_M,9)</f>
        <v>0</v>
      </c>
      <c r="L14" s="55" t="n">
        <f aca="false">SUMIFS(LG_DEBT,LG_TYPE,"قرض كاش",LG_M,9)</f>
        <v>0</v>
      </c>
    </row>
    <row r="15" customFormat="false" ht="15" hidden="false" customHeight="false" outlineLevel="0" collapsed="false">
      <c r="A15" s="80" t="s">
        <v>124</v>
      </c>
      <c r="B15" s="22" t="n">
        <f aca="false">IFERROR(INDEX(WSAT,MATCH(10,WMON,0)),"")</f>
        <v>46291</v>
      </c>
      <c r="C15" s="22" t="n">
        <f aca="false">IFERROR(INDEX(WFRI,MATCH(10,WMON,0)+COUNTIF(WMON,10)-1),"")</f>
        <v>46325</v>
      </c>
      <c r="D15" s="54" t="n">
        <f aca="false">COUNTIF(WMON,10)</f>
        <v>5</v>
      </c>
      <c r="E15" s="55" t="n">
        <f aca="false">SUMIFS(LO_PAID,LO_MON,10)</f>
        <v>0</v>
      </c>
      <c r="F15" s="55" t="n">
        <f aca="false">SUMIFS(LZ_PAID,LZ_MON,10)+SUMIFS(LZ_DAILY,LZ_MON,10)</f>
        <v>0</v>
      </c>
      <c r="G15" s="55" t="n">
        <f aca="false">SUMIFS(ADV_AMT,ADV_M,10)</f>
        <v>0</v>
      </c>
      <c r="H15" s="55" t="n">
        <f aca="false">SUMIFS(TASK_AMT,TASK_M,10)</f>
        <v>0</v>
      </c>
      <c r="I15" s="56" t="n">
        <f aca="false">E15+F15+G15+H15</f>
        <v>0</v>
      </c>
      <c r="J15" s="55" t="n">
        <f aca="false">SUMIFS(LO_DUE,LO_MON,10)+SUMIFS(LZ_DUE,LZ_MON,10)+H15</f>
        <v>0</v>
      </c>
      <c r="K15" s="55" t="n">
        <f aca="false">SUMIFS(LG_DEBT,LG_TYPE,"بضاعة",LG_M,10)</f>
        <v>0</v>
      </c>
      <c r="L15" s="55" t="n">
        <f aca="false">SUMIFS(LG_DEBT,LG_TYPE,"قرض كاش",LG_M,10)</f>
        <v>0</v>
      </c>
    </row>
    <row r="16" customFormat="false" ht="15" hidden="false" customHeight="false" outlineLevel="0" collapsed="false">
      <c r="A16" s="80" t="s">
        <v>125</v>
      </c>
      <c r="B16" s="22" t="n">
        <f aca="false">IFERROR(INDEX(WSAT,MATCH(11,WMON,0)),"")</f>
        <v>46326</v>
      </c>
      <c r="C16" s="22" t="n">
        <f aca="false">IFERROR(INDEX(WFRI,MATCH(11,WMON,0)+COUNTIF(WMON,11)-1),"")</f>
        <v>46353</v>
      </c>
      <c r="D16" s="54" t="n">
        <f aca="false">COUNTIF(WMON,11)</f>
        <v>4</v>
      </c>
      <c r="E16" s="55" t="n">
        <f aca="false">SUMIFS(LO_PAID,LO_MON,11)</f>
        <v>0</v>
      </c>
      <c r="F16" s="55" t="n">
        <f aca="false">SUMIFS(LZ_PAID,LZ_MON,11)+SUMIFS(LZ_DAILY,LZ_MON,11)</f>
        <v>0</v>
      </c>
      <c r="G16" s="55" t="n">
        <f aca="false">SUMIFS(ADV_AMT,ADV_M,11)</f>
        <v>0</v>
      </c>
      <c r="H16" s="55" t="n">
        <f aca="false">SUMIFS(TASK_AMT,TASK_M,11)</f>
        <v>0</v>
      </c>
      <c r="I16" s="56" t="n">
        <f aca="false">E16+F16+G16+H16</f>
        <v>0</v>
      </c>
      <c r="J16" s="55" t="n">
        <f aca="false">SUMIFS(LO_DUE,LO_MON,11)+SUMIFS(LZ_DUE,LZ_MON,11)+H16</f>
        <v>0</v>
      </c>
      <c r="K16" s="55" t="n">
        <f aca="false">SUMIFS(LG_DEBT,LG_TYPE,"بضاعة",LG_M,11)</f>
        <v>0</v>
      </c>
      <c r="L16" s="55" t="n">
        <f aca="false">SUMIFS(LG_DEBT,LG_TYPE,"قرض كاش",LG_M,11)</f>
        <v>0</v>
      </c>
    </row>
    <row r="17" customFormat="false" ht="15" hidden="false" customHeight="false" outlineLevel="0" collapsed="false">
      <c r="A17" s="80" t="s">
        <v>126</v>
      </c>
      <c r="B17" s="22" t="n">
        <f aca="false">IFERROR(INDEX(WSAT,MATCH(12,WMON,0)),"")</f>
        <v>46354</v>
      </c>
      <c r="C17" s="22" t="n">
        <f aca="false">IFERROR(INDEX(WFRI,MATCH(12,WMON,0)+COUNTIF(WMON,12)-1),"")</f>
        <v>46381</v>
      </c>
      <c r="D17" s="54" t="n">
        <f aca="false">COUNTIF(WMON,12)</f>
        <v>4</v>
      </c>
      <c r="E17" s="55" t="n">
        <f aca="false">SUMIFS(LO_PAID,LO_MON,12)</f>
        <v>0</v>
      </c>
      <c r="F17" s="55" t="n">
        <f aca="false">SUMIFS(LZ_PAID,LZ_MON,12)+SUMIFS(LZ_DAILY,LZ_MON,12)</f>
        <v>0</v>
      </c>
      <c r="G17" s="55" t="n">
        <f aca="false">SUMIFS(ADV_AMT,ADV_M,12)</f>
        <v>0</v>
      </c>
      <c r="H17" s="55" t="n">
        <f aca="false">SUMIFS(TASK_AMT,TASK_M,12)</f>
        <v>0</v>
      </c>
      <c r="I17" s="56" t="n">
        <f aca="false">E17+F17+G17+H17</f>
        <v>0</v>
      </c>
      <c r="J17" s="55" t="n">
        <f aca="false">SUMIFS(LO_DUE,LO_MON,12)+SUMIFS(LZ_DUE,LZ_MON,12)+H17</f>
        <v>0</v>
      </c>
      <c r="K17" s="55" t="n">
        <f aca="false">SUMIFS(LG_DEBT,LG_TYPE,"بضاعة",LG_M,12)</f>
        <v>0</v>
      </c>
      <c r="L17" s="55" t="n">
        <f aca="false">SUMIFS(LG_DEBT,LG_TYPE,"قرض كاش",LG_M,12)</f>
        <v>0</v>
      </c>
    </row>
    <row r="18" customFormat="false" ht="16.15" hidden="false" customHeight="false" outlineLevel="0" collapsed="false">
      <c r="A18" s="81" t="s">
        <v>54</v>
      </c>
      <c r="B18" s="82" t="n">
        <f aca="false">WEEK_ONE</f>
        <v>46018</v>
      </c>
      <c r="C18" s="82" t="n">
        <f aca="false">WEEK_ONE+7*NW-1</f>
        <v>46381</v>
      </c>
      <c r="D18" s="83" t="n">
        <f aca="false">SUM(D6:D17)</f>
        <v>52</v>
      </c>
      <c r="E18" s="59" t="n">
        <f aca="false">SUM(E6:E17)</f>
        <v>0</v>
      </c>
      <c r="F18" s="59" t="n">
        <f aca="false">SUM(F6:F17)</f>
        <v>0</v>
      </c>
      <c r="G18" s="59" t="n">
        <f aca="false">SUM(G6:G17)</f>
        <v>0</v>
      </c>
      <c r="H18" s="59" t="n">
        <f aca="false">SUM(H6:H17)</f>
        <v>0</v>
      </c>
      <c r="I18" s="84" t="n">
        <f aca="false">SUM(I6:I17)</f>
        <v>0</v>
      </c>
      <c r="J18" s="59" t="n">
        <f aca="false">SUM(J6:J17)</f>
        <v>0</v>
      </c>
      <c r="K18" s="59" t="n">
        <f aca="false">SUM(K6:K17)</f>
        <v>0</v>
      </c>
      <c r="L18" s="59" t="n">
        <f aca="false">SUM(L6:L17)</f>
        <v>0</v>
      </c>
    </row>
    <row r="19" customFormat="false" ht="30" hidden="false" customHeight="true" outlineLevel="0" collapsed="false">
      <c r="A19" s="16" t="s">
        <v>127</v>
      </c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</row>
    <row r="21" customFormat="false" ht="16.15" hidden="false" customHeight="false" outlineLevel="0" collapsed="false">
      <c r="A21" s="53" t="str">
        <f aca="false">"وضع كل موظف لحد الأسبوع "&amp;WK&amp;":  "&amp;INDEX(WTITLE,WK)</f>
        <v>وضع كل موظف لحد الأسبوع 40:  26/09/2026  -  02/10/2026   ·   الأسبوع 40</v>
      </c>
      <c r="B21" s="53"/>
      <c r="C21" s="53"/>
      <c r="D21" s="53"/>
      <c r="E21" s="53"/>
      <c r="F21" s="53"/>
      <c r="G21" s="53"/>
      <c r="H21" s="53"/>
      <c r="I21" s="53"/>
      <c r="J21" s="53"/>
      <c r="K21" s="53"/>
      <c r="L21" s="53"/>
    </row>
    <row r="22" customFormat="false" ht="49.5" hidden="false" customHeight="true" outlineLevel="0" collapsed="false">
      <c r="A22" s="79" t="s">
        <v>3</v>
      </c>
      <c r="B22" s="79" t="s">
        <v>128</v>
      </c>
      <c r="C22" s="79" t="s">
        <v>4</v>
      </c>
      <c r="D22" s="79" t="s">
        <v>129</v>
      </c>
      <c r="E22" s="79" t="s">
        <v>130</v>
      </c>
      <c r="F22" s="79" t="s">
        <v>131</v>
      </c>
      <c r="G22" s="79" t="s">
        <v>132</v>
      </c>
      <c r="H22" s="79" t="s">
        <v>133</v>
      </c>
      <c r="I22" s="79" t="s">
        <v>10</v>
      </c>
      <c r="J22" s="79" t="s">
        <v>134</v>
      </c>
    </row>
    <row r="23" customFormat="false" ht="15" hidden="false" customHeight="false" outlineLevel="0" collapsed="false">
      <c r="A23" s="47" t="s">
        <v>12</v>
      </c>
      <c r="B23" s="25" t="n">
        <f aca="false">IF(1&lt;=WK,N('ساعات عمر'!U5),0)+IF(2&lt;=WK,N('ساعات عمر'!U19),0)+IF(3&lt;=WK,N('ساعات عمر'!U33),0)+IF(4&lt;=WK,N('ساعات عمر'!U47),0)+IF(5&lt;=WK,N('ساعات عمر'!U61),0)+IF(6&lt;=WK,N('ساعات عمر'!U75),0)+IF(7&lt;=WK,N('ساعات عمر'!U89),0)+IF(8&lt;=WK,N('ساعات عمر'!U103),0)+IF(9&lt;=WK,N('ساعات عمر'!U117),0)+IF(10&lt;=WK,N('ساعات عمر'!U131),0)+IF(11&lt;=WK,N('ساعات عمر'!U145),0)+IF(12&lt;=WK,N('ساعات عمر'!U159),0)+IF(13&lt;=WK,N('ساعات عمر'!U173),0)+IF(14&lt;=WK,N('ساعات عمر'!U187),0)+IF(15&lt;=WK,N('ساعات عمر'!U201),0)+IF(16&lt;=WK,N('ساعات عمر'!U215),0)+IF(17&lt;=WK,N('ساعات عمر'!U229),0)+IF(18&lt;=WK,N('ساعات عمر'!U243),0)+IF(19&lt;=WK,N('ساعات عمر'!U257),0)+IF(20&lt;=WK,N('ساعات عمر'!U271),0)+IF(21&lt;=WK,N('ساعات عمر'!U285),0)+IF(22&lt;=WK,N('ساعات عمر'!U299),0)+IF(23&lt;=WK,N('ساعات عمر'!U313),0)+IF(24&lt;=WK,N('ساعات عمر'!U327),0)+IF(25&lt;=WK,N('ساعات عمر'!U341),0)+IF(26&lt;=WK,N('ساعات عمر'!U355),0)+IF(27&lt;=WK,N('ساعات عمر'!U369),0)+IF(28&lt;=WK,N('ساعات عمر'!U383),0)+IF(29&lt;=WK,N('ساعات عمر'!U397),0)+IF(30&lt;=WK,N('ساعات عمر'!U411),0)+IF(31&lt;=WK,N('ساعات عمر'!U425),0)+IF(32&lt;=WK,N('ساعات عمر'!U439),0)+IF(33&lt;=WK,N('ساعات عمر'!U453),0)+IF(34&lt;=WK,N('ساعات عمر'!U467),0)+IF(35&lt;=WK,N('ساعات عمر'!U481),0)+IF(36&lt;=WK,N('ساعات عمر'!U495),0)+IF(37&lt;=WK,N('ساعات عمر'!U509),0)+IF(38&lt;=WK,N('ساعات عمر'!U523),0)+IF(39&lt;=WK,N('ساعات عمر'!U537),0)+IF(40&lt;=WK,N('ساعات عمر'!U551),0)+IF(41&lt;=WK,N('ساعات عمر'!U565),0)+IF(42&lt;=WK,N('ساعات عمر'!U579),0)+IF(43&lt;=WK,N('ساعات عمر'!U593),0)+IF(44&lt;=WK,N('ساعات عمر'!U607),0)+IF(45&lt;=WK,N('ساعات عمر'!U621),0)+IF(46&lt;=WK,N('ساعات عمر'!U635),0)+IF(47&lt;=WK,N('ساعات عمر'!U649),0)+IF(48&lt;=WK,N('ساعات عمر'!U663),0)+IF(49&lt;=WK,N('ساعات عمر'!U677),0)+IF(50&lt;=WK,N('ساعات عمر'!U691),0)+IF(51&lt;=WK,N('ساعات عمر'!U705),0)+IF(52&lt;=WK,N('ساعات عمر'!U719),0)+IF(53&lt;=WK,N('ساعات عمر'!U733),0)</f>
        <v>0</v>
      </c>
      <c r="C23" s="48" t="n">
        <f aca="false">السنة!$C$6+SUMIFS(LO_DUE,LO_WK,"&lt;="&amp;WK)</f>
        <v>0</v>
      </c>
      <c r="D23" s="55" t="n">
        <f aca="false">SUMIFS(LO_PAID,LO_WK,"&lt;="&amp;WK)+SUMIFS(LO_DAILY,LO_WK,"&lt;="&amp;WK)</f>
        <v>0</v>
      </c>
      <c r="E23" s="55" t="n">
        <f aca="false">SUMIFS(LO_ADV,LO_WK,"&lt;="&amp;WK)</f>
        <v>0</v>
      </c>
      <c r="F23" s="55" t="n">
        <f aca="false">SUMIFS(LO_INST,LO_WK,"&lt;="&amp;WK)</f>
        <v>0</v>
      </c>
      <c r="G23" s="55" t="n">
        <f aca="false">N(INDEX(LO_REM,WK))</f>
        <v>0</v>
      </c>
      <c r="H23" s="48" t="n">
        <f aca="false">D23+E23+F23+G23</f>
        <v>0</v>
      </c>
      <c r="I23" s="12" t="n">
        <f aca="false">N(INDEX(LO_DEBT,WK))</f>
        <v>0</v>
      </c>
      <c r="J23" s="85" t="str">
        <f aca="false">IF(ABS(H23-C23)&lt;0.0005,"✔ مطابق","⚠️ فرق "&amp;TEXT(H23-C23,"0.000"))</f>
        <v>✔ مطابق</v>
      </c>
    </row>
    <row r="24" customFormat="false" ht="15" hidden="false" customHeight="false" outlineLevel="0" collapsed="false">
      <c r="A24" s="47" t="s">
        <v>13</v>
      </c>
      <c r="B24" s="25" t="n">
        <f aca="false">IF(1&lt;=WK,N('ساعات عبدالعزيز'!U5),0)+IF(2&lt;=WK,N('ساعات عبدالعزيز'!U19),0)+IF(3&lt;=WK,N('ساعات عبدالعزيز'!U33),0)+IF(4&lt;=WK,N('ساعات عبدالعزيز'!U47),0)+IF(5&lt;=WK,N('ساعات عبدالعزيز'!U61),0)+IF(6&lt;=WK,N('ساعات عبدالعزيز'!U75),0)+IF(7&lt;=WK,N('ساعات عبدالعزيز'!U89),0)+IF(8&lt;=WK,N('ساعات عبدالعزيز'!U103),0)+IF(9&lt;=WK,N('ساعات عبدالعزيز'!U117),0)+IF(10&lt;=WK,N('ساعات عبدالعزيز'!U131),0)+IF(11&lt;=WK,N('ساعات عبدالعزيز'!U145),0)+IF(12&lt;=WK,N('ساعات عبدالعزيز'!U159),0)+IF(13&lt;=WK,N('ساعات عبدالعزيز'!U173),0)+IF(14&lt;=WK,N('ساعات عبدالعزيز'!U187),0)+IF(15&lt;=WK,N('ساعات عبدالعزيز'!U201),0)+IF(16&lt;=WK,N('ساعات عبدالعزيز'!U215),0)+IF(17&lt;=WK,N('ساعات عبدالعزيز'!U229),0)+IF(18&lt;=WK,N('ساعات عبدالعزيز'!U243),0)+IF(19&lt;=WK,N('ساعات عبدالعزيز'!U257),0)+IF(20&lt;=WK,N('ساعات عبدالعزيز'!U271),0)+IF(21&lt;=WK,N('ساعات عبدالعزيز'!U285),0)+IF(22&lt;=WK,N('ساعات عبدالعزيز'!U299),0)+IF(23&lt;=WK,N('ساعات عبدالعزيز'!U313),0)+IF(24&lt;=WK,N('ساعات عبدالعزيز'!U327),0)+IF(25&lt;=WK,N('ساعات عبدالعزيز'!U341),0)+IF(26&lt;=WK,N('ساعات عبدالعزيز'!U355),0)+IF(27&lt;=WK,N('ساعات عبدالعزيز'!U369),0)+IF(28&lt;=WK,N('ساعات عبدالعزيز'!U383),0)+IF(29&lt;=WK,N('ساعات عبدالعزيز'!U397),0)+IF(30&lt;=WK,N('ساعات عبدالعزيز'!U411),0)+IF(31&lt;=WK,N('ساعات عبدالعزيز'!U425),0)+IF(32&lt;=WK,N('ساعات عبدالعزيز'!U439),0)+IF(33&lt;=WK,N('ساعات عبدالعزيز'!U453),0)+IF(34&lt;=WK,N('ساعات عبدالعزيز'!U467),0)+IF(35&lt;=WK,N('ساعات عبدالعزيز'!U481),0)+IF(36&lt;=WK,N('ساعات عبدالعزيز'!U495),0)+IF(37&lt;=WK,N('ساعات عبدالعزيز'!U509),0)+IF(38&lt;=WK,N('ساعات عبدالعزيز'!U523),0)+IF(39&lt;=WK,N('ساعات عبدالعزيز'!U537),0)+IF(40&lt;=WK,N('ساعات عبدالعزيز'!U551),0)+IF(41&lt;=WK,N('ساعات عبدالعزيز'!U565),0)+IF(42&lt;=WK,N('ساعات عبدالعزيز'!U579),0)+IF(43&lt;=WK,N('ساعات عبدالعزيز'!U593),0)+IF(44&lt;=WK,N('ساعات عبدالعزيز'!U607),0)+IF(45&lt;=WK,N('ساعات عبدالعزيز'!U621),0)+IF(46&lt;=WK,N('ساعات عبدالعزيز'!U635),0)+IF(47&lt;=WK,N('ساعات عبدالعزيز'!U649),0)+IF(48&lt;=WK,N('ساعات عبدالعزيز'!U663),0)+IF(49&lt;=WK,N('ساعات عبدالعزيز'!U677),0)+IF(50&lt;=WK,N('ساعات عبدالعزيز'!U691),0)+IF(51&lt;=WK,N('ساعات عبدالعزيز'!U705),0)+IF(52&lt;=WK,N('ساعات عبدالعزيز'!U719),0)+IF(53&lt;=WK,N('ساعات عبدالعزيز'!U733),0)</f>
        <v>0</v>
      </c>
      <c r="C24" s="48" t="n">
        <f aca="false">السنة!$C$7+SUMIFS(LZ_DUE,LZ_WK,"&lt;="&amp;WK)</f>
        <v>0</v>
      </c>
      <c r="D24" s="55" t="n">
        <f aca="false">SUMIFS(LZ_PAID,LZ_WK,"&lt;="&amp;WK)+SUMIFS(LZ_DAILY,LZ_WK,"&lt;="&amp;WK)</f>
        <v>0</v>
      </c>
      <c r="E24" s="55" t="n">
        <f aca="false">SUMIFS(LZ_ADV,LZ_WK,"&lt;="&amp;WK)</f>
        <v>0</v>
      </c>
      <c r="F24" s="55" t="n">
        <f aca="false">SUMIFS(LZ_INST,LZ_WK,"&lt;="&amp;WK)</f>
        <v>0</v>
      </c>
      <c r="G24" s="55" t="n">
        <f aca="false">N(INDEX(LZ_REM,WK))</f>
        <v>0</v>
      </c>
      <c r="H24" s="48" t="n">
        <f aca="false">D24+E24+F24+G24</f>
        <v>0</v>
      </c>
      <c r="I24" s="12" t="n">
        <f aca="false">N(INDEX(LZ_DEBT,WK))</f>
        <v>0</v>
      </c>
      <c r="J24" s="85" t="str">
        <f aca="false">IF(ABS(H24-C24)&lt;0.0005,"✔ مطابق","⚠️ فرق "&amp;TEXT(H24-C24,"0.000"))</f>
        <v>✔ مطابق</v>
      </c>
    </row>
    <row r="25" customFormat="false" ht="15" hidden="false" customHeight="false" outlineLevel="0" collapsed="false">
      <c r="A25" s="86" t="str">
        <f aca="false">"• "&amp;A23&amp;": "&amp;IF(G23&gt;0.0005,"المحل لسا مدين إله بـ "&amp;TEXT(G23,"0.000"),IF(G23&lt;-0.0005,"قبض زيادة "&amp;TEXT(-G23,"0.000"),"مخالص — ما إله شي"))&amp;IF(I23&gt;0.0005,"  ·  وعليه دين "&amp;TEXT(I23,"0.000"),"")</f>
        <v>• عمر المصري: مخالص — ما إله شي</v>
      </c>
      <c r="B25" s="86"/>
      <c r="C25" s="86"/>
      <c r="D25" s="86"/>
      <c r="E25" s="86"/>
      <c r="F25" s="86"/>
      <c r="G25" s="86"/>
      <c r="H25" s="86"/>
      <c r="I25" s="86"/>
      <c r="J25" s="86"/>
      <c r="K25" s="86"/>
      <c r="L25" s="86"/>
    </row>
    <row r="26" customFormat="false" ht="15" hidden="false" customHeight="false" outlineLevel="0" collapsed="false">
      <c r="A26" s="86" t="str">
        <f aca="false">"• "&amp;A24&amp;": "&amp;IF(G24&gt;0.0005,"المحل لسا مدين إله بـ "&amp;TEXT(G24,"0.000"),IF(G24&lt;-0.0005,"قبض زيادة "&amp;TEXT(-G24,"0.000"),"مخالص — ما إله شي"))&amp;IF(I24&gt;0.0005,"  ·  وعليه دين "&amp;TEXT(I24,"0.000"),"")</f>
        <v>• عبدالعزيز: مخالص — ما إله شي</v>
      </c>
      <c r="B26" s="86"/>
      <c r="C26" s="86"/>
      <c r="D26" s="86"/>
      <c r="E26" s="86"/>
      <c r="F26" s="86"/>
      <c r="G26" s="86"/>
      <c r="H26" s="86"/>
      <c r="I26" s="86"/>
      <c r="J26" s="86"/>
      <c r="K26" s="86"/>
      <c r="L26" s="86"/>
    </row>
    <row r="27" customFormat="false" ht="15" hidden="false" customHeight="true" outlineLevel="0" collapsed="false">
      <c r="A27" s="16" t="s">
        <v>135</v>
      </c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</row>
    <row r="29" customFormat="false" ht="16.15" hidden="false" customHeight="true" outlineLevel="0" collapsed="false">
      <c r="A29" s="87" t="s">
        <v>136</v>
      </c>
      <c r="B29" s="87"/>
      <c r="C29" s="87"/>
      <c r="D29" s="87"/>
      <c r="E29" s="87"/>
      <c r="F29" s="87"/>
      <c r="H29" s="88" t="s">
        <v>137</v>
      </c>
      <c r="I29" s="89" t="n">
        <f aca="false">INDEX(WMON,WK)</f>
        <v>10</v>
      </c>
      <c r="J29" s="16" t="str">
        <f aca="false">IFERROR(TEXT(DAY(INDEX(WSAT,MATCH(I29,WMON,0))),"00")&amp;"/"&amp;TEXT(MONTH(INDEX(WSAT,MATCH(I29,WMON,0))),"00")&amp;"/"&amp;YEAR(INDEX(WSAT,MATCH(I29,WMON,0)))&amp;"  -  "&amp;TEXT(DAY(INDEX(WFRI,MATCH(I29,WMON,0)+COUNTIF(WMON,I29)-1)),"00")&amp;"/"&amp;TEXT(MONTH(INDEX(WFRI,MATCH(I29,WMON,0)+COUNTIF(WMON,I29)-1)),"00")&amp;"/"&amp;YEAR(INDEX(WFRI,MATCH(I29,WMON,0)+COUNTIF(WMON,I29)-1)),"")</f>
        <v>26/09/2026  -  30/10/2026</v>
      </c>
      <c r="K29" s="16"/>
      <c r="L29" s="16"/>
    </row>
    <row r="30" customFormat="false" ht="42" hidden="false" customHeight="true" outlineLevel="0" collapsed="false">
      <c r="A30" s="21" t="s">
        <v>74</v>
      </c>
      <c r="B30" s="21" t="s">
        <v>138</v>
      </c>
      <c r="C30" s="21" t="s">
        <v>139</v>
      </c>
      <c r="D30" s="21" t="s">
        <v>140</v>
      </c>
      <c r="E30" s="21" t="s">
        <v>141</v>
      </c>
      <c r="F30" s="21" t="s">
        <v>142</v>
      </c>
    </row>
    <row r="31" customFormat="false" ht="15" hidden="false" customHeight="false" outlineLevel="0" collapsed="false">
      <c r="A31" s="23" t="str">
        <f aca="false">IF(B31="","",1)</f>
        <v/>
      </c>
      <c r="B31" s="23" t="str">
        <f aca="false">IFERROR(INDEX(TASK_B,MATCH(1,TASK_G,0)),"")</f>
        <v/>
      </c>
      <c r="C31" s="23" t="str">
        <f aca="false">IF(B31="","",COUNTIF(TASK_B,B31))</f>
        <v/>
      </c>
      <c r="D31" s="55" t="str">
        <f aca="false">IF(B31="","",SUMIFS(TASK_AMT,TASK_B,B31))</f>
        <v/>
      </c>
      <c r="E31" s="23" t="str">
        <f aca="false">IF(B31="","",COUNTIFS(TASK_B,B31,TASK_M,$I$29))</f>
        <v/>
      </c>
      <c r="F31" s="55" t="str">
        <f aca="false">IF(B31="","",SUMIFS(TASK_AMT,TASK_B,B31,TASK_M,$I$29))</f>
        <v/>
      </c>
    </row>
    <row r="32" customFormat="false" ht="15" hidden="false" customHeight="false" outlineLevel="0" collapsed="false">
      <c r="A32" s="23" t="str">
        <f aca="false">IF(B32="","",2)</f>
        <v/>
      </c>
      <c r="B32" s="23" t="str">
        <f aca="false">IFERROR(INDEX(TASK_B,MATCH(2,TASK_G,0)),"")</f>
        <v/>
      </c>
      <c r="C32" s="23" t="str">
        <f aca="false">IF(B32="","",COUNTIF(TASK_B,B32))</f>
        <v/>
      </c>
      <c r="D32" s="55" t="str">
        <f aca="false">IF(B32="","",SUMIFS(TASK_AMT,TASK_B,B32))</f>
        <v/>
      </c>
      <c r="E32" s="23" t="str">
        <f aca="false">IF(B32="","",COUNTIFS(TASK_B,B32,TASK_M,$I$29))</f>
        <v/>
      </c>
      <c r="F32" s="55" t="str">
        <f aca="false">IF(B32="","",SUMIFS(TASK_AMT,TASK_B,B32,TASK_M,$I$29))</f>
        <v/>
      </c>
    </row>
    <row r="33" customFormat="false" ht="15" hidden="false" customHeight="false" outlineLevel="0" collapsed="false">
      <c r="A33" s="23" t="str">
        <f aca="false">IF(B33="","",3)</f>
        <v/>
      </c>
      <c r="B33" s="23" t="str">
        <f aca="false">IFERROR(INDEX(TASK_B,MATCH(3,TASK_G,0)),"")</f>
        <v/>
      </c>
      <c r="C33" s="23" t="str">
        <f aca="false">IF(B33="","",COUNTIF(TASK_B,B33))</f>
        <v/>
      </c>
      <c r="D33" s="55" t="str">
        <f aca="false">IF(B33="","",SUMIFS(TASK_AMT,TASK_B,B33))</f>
        <v/>
      </c>
      <c r="E33" s="23" t="str">
        <f aca="false">IF(B33="","",COUNTIFS(TASK_B,B33,TASK_M,$I$29))</f>
        <v/>
      </c>
      <c r="F33" s="55" t="str">
        <f aca="false">IF(B33="","",SUMIFS(TASK_AMT,TASK_B,B33,TASK_M,$I$29))</f>
        <v/>
      </c>
    </row>
    <row r="34" customFormat="false" ht="15" hidden="false" customHeight="false" outlineLevel="0" collapsed="false">
      <c r="A34" s="23" t="str">
        <f aca="false">IF(B34="","",4)</f>
        <v/>
      </c>
      <c r="B34" s="23" t="str">
        <f aca="false">IFERROR(INDEX(TASK_B,MATCH(4,TASK_G,0)),"")</f>
        <v/>
      </c>
      <c r="C34" s="23" t="str">
        <f aca="false">IF(B34="","",COUNTIF(TASK_B,B34))</f>
        <v/>
      </c>
      <c r="D34" s="55" t="str">
        <f aca="false">IF(B34="","",SUMIFS(TASK_AMT,TASK_B,B34))</f>
        <v/>
      </c>
      <c r="E34" s="23" t="str">
        <f aca="false">IF(B34="","",COUNTIFS(TASK_B,B34,TASK_M,$I$29))</f>
        <v/>
      </c>
      <c r="F34" s="55" t="str">
        <f aca="false">IF(B34="","",SUMIFS(TASK_AMT,TASK_B,B34,TASK_M,$I$29))</f>
        <v/>
      </c>
    </row>
    <row r="35" customFormat="false" ht="15" hidden="false" customHeight="false" outlineLevel="0" collapsed="false">
      <c r="A35" s="23" t="str">
        <f aca="false">IF(B35="","",5)</f>
        <v/>
      </c>
      <c r="B35" s="23" t="str">
        <f aca="false">IFERROR(INDEX(TASK_B,MATCH(5,TASK_G,0)),"")</f>
        <v/>
      </c>
      <c r="C35" s="23" t="str">
        <f aca="false">IF(B35="","",COUNTIF(TASK_B,B35))</f>
        <v/>
      </c>
      <c r="D35" s="55" t="str">
        <f aca="false">IF(B35="","",SUMIFS(TASK_AMT,TASK_B,B35))</f>
        <v/>
      </c>
      <c r="E35" s="23" t="str">
        <f aca="false">IF(B35="","",COUNTIFS(TASK_B,B35,TASK_M,$I$29))</f>
        <v/>
      </c>
      <c r="F35" s="55" t="str">
        <f aca="false">IF(B35="","",SUMIFS(TASK_AMT,TASK_B,B35,TASK_M,$I$29))</f>
        <v/>
      </c>
    </row>
    <row r="36" customFormat="false" ht="15" hidden="false" customHeight="false" outlineLevel="0" collapsed="false">
      <c r="A36" s="23" t="str">
        <f aca="false">IF(B36="","",6)</f>
        <v/>
      </c>
      <c r="B36" s="23" t="str">
        <f aca="false">IFERROR(INDEX(TASK_B,MATCH(6,TASK_G,0)),"")</f>
        <v/>
      </c>
      <c r="C36" s="23" t="str">
        <f aca="false">IF(B36="","",COUNTIF(TASK_B,B36))</f>
        <v/>
      </c>
      <c r="D36" s="55" t="str">
        <f aca="false">IF(B36="","",SUMIFS(TASK_AMT,TASK_B,B36))</f>
        <v/>
      </c>
      <c r="E36" s="23" t="str">
        <f aca="false">IF(B36="","",COUNTIFS(TASK_B,B36,TASK_M,$I$29))</f>
        <v/>
      </c>
      <c r="F36" s="55" t="str">
        <f aca="false">IF(B36="","",SUMIFS(TASK_AMT,TASK_B,B36,TASK_M,$I$29))</f>
        <v/>
      </c>
    </row>
    <row r="37" customFormat="false" ht="15" hidden="false" customHeight="false" outlineLevel="0" collapsed="false">
      <c r="A37" s="23" t="str">
        <f aca="false">IF(B37="","",7)</f>
        <v/>
      </c>
      <c r="B37" s="23" t="str">
        <f aca="false">IFERROR(INDEX(TASK_B,MATCH(7,TASK_G,0)),"")</f>
        <v/>
      </c>
      <c r="C37" s="23" t="str">
        <f aca="false">IF(B37="","",COUNTIF(TASK_B,B37))</f>
        <v/>
      </c>
      <c r="D37" s="55" t="str">
        <f aca="false">IF(B37="","",SUMIFS(TASK_AMT,TASK_B,B37))</f>
        <v/>
      </c>
      <c r="E37" s="23" t="str">
        <f aca="false">IF(B37="","",COUNTIFS(TASK_B,B37,TASK_M,$I$29))</f>
        <v/>
      </c>
      <c r="F37" s="55" t="str">
        <f aca="false">IF(B37="","",SUMIFS(TASK_AMT,TASK_B,B37,TASK_M,$I$29))</f>
        <v/>
      </c>
    </row>
    <row r="38" customFormat="false" ht="15" hidden="false" customHeight="false" outlineLevel="0" collapsed="false">
      <c r="A38" s="23" t="str">
        <f aca="false">IF(B38="","",8)</f>
        <v/>
      </c>
      <c r="B38" s="23" t="str">
        <f aca="false">IFERROR(INDEX(TASK_B,MATCH(8,TASK_G,0)),"")</f>
        <v/>
      </c>
      <c r="C38" s="23" t="str">
        <f aca="false">IF(B38="","",COUNTIF(TASK_B,B38))</f>
        <v/>
      </c>
      <c r="D38" s="55" t="str">
        <f aca="false">IF(B38="","",SUMIFS(TASK_AMT,TASK_B,B38))</f>
        <v/>
      </c>
      <c r="E38" s="23" t="str">
        <f aca="false">IF(B38="","",COUNTIFS(TASK_B,B38,TASK_M,$I$29))</f>
        <v/>
      </c>
      <c r="F38" s="55" t="str">
        <f aca="false">IF(B38="","",SUMIFS(TASK_AMT,TASK_B,B38,TASK_M,$I$29))</f>
        <v/>
      </c>
    </row>
    <row r="39" customFormat="false" ht="15" hidden="false" customHeight="false" outlineLevel="0" collapsed="false">
      <c r="A39" s="23" t="str">
        <f aca="false">IF(B39="","",9)</f>
        <v/>
      </c>
      <c r="B39" s="23" t="str">
        <f aca="false">IFERROR(INDEX(TASK_B,MATCH(9,TASK_G,0)),"")</f>
        <v/>
      </c>
      <c r="C39" s="23" t="str">
        <f aca="false">IF(B39="","",COUNTIF(TASK_B,B39))</f>
        <v/>
      </c>
      <c r="D39" s="55" t="str">
        <f aca="false">IF(B39="","",SUMIFS(TASK_AMT,TASK_B,B39))</f>
        <v/>
      </c>
      <c r="E39" s="23" t="str">
        <f aca="false">IF(B39="","",COUNTIFS(TASK_B,B39,TASK_M,$I$29))</f>
        <v/>
      </c>
      <c r="F39" s="55" t="str">
        <f aca="false">IF(B39="","",SUMIFS(TASK_AMT,TASK_B,B39,TASK_M,$I$29))</f>
        <v/>
      </c>
    </row>
    <row r="40" customFormat="false" ht="15" hidden="false" customHeight="false" outlineLevel="0" collapsed="false">
      <c r="A40" s="23" t="str">
        <f aca="false">IF(B40="","",10)</f>
        <v/>
      </c>
      <c r="B40" s="23" t="str">
        <f aca="false">IFERROR(INDEX(TASK_B,MATCH(10,TASK_G,0)),"")</f>
        <v/>
      </c>
      <c r="C40" s="23" t="str">
        <f aca="false">IF(B40="","",COUNTIF(TASK_B,B40))</f>
        <v/>
      </c>
      <c r="D40" s="55" t="str">
        <f aca="false">IF(B40="","",SUMIFS(TASK_AMT,TASK_B,B40))</f>
        <v/>
      </c>
      <c r="E40" s="23" t="str">
        <f aca="false">IF(B40="","",COUNTIFS(TASK_B,B40,TASK_M,$I$29))</f>
        <v/>
      </c>
      <c r="F40" s="55" t="str">
        <f aca="false">IF(B40="","",SUMIFS(TASK_AMT,TASK_B,B40,TASK_M,$I$29))</f>
        <v/>
      </c>
    </row>
    <row r="41" customFormat="false" ht="15" hidden="false" customHeight="false" outlineLevel="0" collapsed="false">
      <c r="A41" s="23" t="str">
        <f aca="false">IF(B41="","",11)</f>
        <v/>
      </c>
      <c r="B41" s="23" t="str">
        <f aca="false">IFERROR(INDEX(TASK_B,MATCH(11,TASK_G,0)),"")</f>
        <v/>
      </c>
      <c r="C41" s="23" t="str">
        <f aca="false">IF(B41="","",COUNTIF(TASK_B,B41))</f>
        <v/>
      </c>
      <c r="D41" s="55" t="str">
        <f aca="false">IF(B41="","",SUMIFS(TASK_AMT,TASK_B,B41))</f>
        <v/>
      </c>
      <c r="E41" s="23" t="str">
        <f aca="false">IF(B41="","",COUNTIFS(TASK_B,B41,TASK_M,$I$29))</f>
        <v/>
      </c>
      <c r="F41" s="55" t="str">
        <f aca="false">IF(B41="","",SUMIFS(TASK_AMT,TASK_B,B41,TASK_M,$I$29))</f>
        <v/>
      </c>
    </row>
    <row r="42" customFormat="false" ht="15" hidden="false" customHeight="false" outlineLevel="0" collapsed="false">
      <c r="A42" s="23" t="str">
        <f aca="false">IF(B42="","",12)</f>
        <v/>
      </c>
      <c r="B42" s="23" t="str">
        <f aca="false">IFERROR(INDEX(TASK_B,MATCH(12,TASK_G,0)),"")</f>
        <v/>
      </c>
      <c r="C42" s="23" t="str">
        <f aca="false">IF(B42="","",COUNTIF(TASK_B,B42))</f>
        <v/>
      </c>
      <c r="D42" s="55" t="str">
        <f aca="false">IF(B42="","",SUMIFS(TASK_AMT,TASK_B,B42))</f>
        <v/>
      </c>
      <c r="E42" s="23" t="str">
        <f aca="false">IF(B42="","",COUNTIFS(TASK_B,B42,TASK_M,$I$29))</f>
        <v/>
      </c>
      <c r="F42" s="55" t="str">
        <f aca="false">IF(B42="","",SUMIFS(TASK_AMT,TASK_B,B42,TASK_M,$I$29))</f>
        <v/>
      </c>
    </row>
    <row r="43" customFormat="false" ht="15" hidden="false" customHeight="false" outlineLevel="0" collapsed="false">
      <c r="A43" s="23" t="str">
        <f aca="false">IF(B43="","",13)</f>
        <v/>
      </c>
      <c r="B43" s="23" t="str">
        <f aca="false">IFERROR(INDEX(TASK_B,MATCH(13,TASK_G,0)),"")</f>
        <v/>
      </c>
      <c r="C43" s="23" t="str">
        <f aca="false">IF(B43="","",COUNTIF(TASK_B,B43))</f>
        <v/>
      </c>
      <c r="D43" s="55" t="str">
        <f aca="false">IF(B43="","",SUMIFS(TASK_AMT,TASK_B,B43))</f>
        <v/>
      </c>
      <c r="E43" s="23" t="str">
        <f aca="false">IF(B43="","",COUNTIFS(TASK_B,B43,TASK_M,$I$29))</f>
        <v/>
      </c>
      <c r="F43" s="55" t="str">
        <f aca="false">IF(B43="","",SUMIFS(TASK_AMT,TASK_B,B43,TASK_M,$I$29))</f>
        <v/>
      </c>
    </row>
    <row r="44" customFormat="false" ht="15" hidden="false" customHeight="false" outlineLevel="0" collapsed="false">
      <c r="A44" s="23" t="str">
        <f aca="false">IF(B44="","",14)</f>
        <v/>
      </c>
      <c r="B44" s="23" t="str">
        <f aca="false">IFERROR(INDEX(TASK_B,MATCH(14,TASK_G,0)),"")</f>
        <v/>
      </c>
      <c r="C44" s="23" t="str">
        <f aca="false">IF(B44="","",COUNTIF(TASK_B,B44))</f>
        <v/>
      </c>
      <c r="D44" s="55" t="str">
        <f aca="false">IF(B44="","",SUMIFS(TASK_AMT,TASK_B,B44))</f>
        <v/>
      </c>
      <c r="E44" s="23" t="str">
        <f aca="false">IF(B44="","",COUNTIFS(TASK_B,B44,TASK_M,$I$29))</f>
        <v/>
      </c>
      <c r="F44" s="55" t="str">
        <f aca="false">IF(B44="","",SUMIFS(TASK_AMT,TASK_B,B44,TASK_M,$I$29))</f>
        <v/>
      </c>
    </row>
    <row r="45" customFormat="false" ht="15" hidden="false" customHeight="false" outlineLevel="0" collapsed="false">
      <c r="A45" s="23" t="str">
        <f aca="false">IF(B45="","",15)</f>
        <v/>
      </c>
      <c r="B45" s="23" t="str">
        <f aca="false">IFERROR(INDEX(TASK_B,MATCH(15,TASK_G,0)),"")</f>
        <v/>
      </c>
      <c r="C45" s="23" t="str">
        <f aca="false">IF(B45="","",COUNTIF(TASK_B,B45))</f>
        <v/>
      </c>
      <c r="D45" s="55" t="str">
        <f aca="false">IF(B45="","",SUMIFS(TASK_AMT,TASK_B,B45))</f>
        <v/>
      </c>
      <c r="E45" s="23" t="str">
        <f aca="false">IF(B45="","",COUNTIFS(TASK_B,B45,TASK_M,$I$29))</f>
        <v/>
      </c>
      <c r="F45" s="55" t="str">
        <f aca="false">IF(B45="","",SUMIFS(TASK_AMT,TASK_B,B45,TASK_M,$I$29))</f>
        <v/>
      </c>
    </row>
    <row r="46" customFormat="false" ht="15" hidden="false" customHeight="false" outlineLevel="0" collapsed="false">
      <c r="A46" s="23" t="str">
        <f aca="false">IF(B46="","",16)</f>
        <v/>
      </c>
      <c r="B46" s="23" t="str">
        <f aca="false">IFERROR(INDEX(TASK_B,MATCH(16,TASK_G,0)),"")</f>
        <v/>
      </c>
      <c r="C46" s="23" t="str">
        <f aca="false">IF(B46="","",COUNTIF(TASK_B,B46))</f>
        <v/>
      </c>
      <c r="D46" s="55" t="str">
        <f aca="false">IF(B46="","",SUMIFS(TASK_AMT,TASK_B,B46))</f>
        <v/>
      </c>
      <c r="E46" s="23" t="str">
        <f aca="false">IF(B46="","",COUNTIFS(TASK_B,B46,TASK_M,$I$29))</f>
        <v/>
      </c>
      <c r="F46" s="55" t="str">
        <f aca="false">IF(B46="","",SUMIFS(TASK_AMT,TASK_B,B46,TASK_M,$I$29))</f>
        <v/>
      </c>
    </row>
    <row r="47" customFormat="false" ht="15" hidden="false" customHeight="false" outlineLevel="0" collapsed="false">
      <c r="A47" s="23" t="str">
        <f aca="false">IF(B47="","",17)</f>
        <v/>
      </c>
      <c r="B47" s="23" t="str">
        <f aca="false">IFERROR(INDEX(TASK_B,MATCH(17,TASK_G,0)),"")</f>
        <v/>
      </c>
      <c r="C47" s="23" t="str">
        <f aca="false">IF(B47="","",COUNTIF(TASK_B,B47))</f>
        <v/>
      </c>
      <c r="D47" s="55" t="str">
        <f aca="false">IF(B47="","",SUMIFS(TASK_AMT,TASK_B,B47))</f>
        <v/>
      </c>
      <c r="E47" s="23" t="str">
        <f aca="false">IF(B47="","",COUNTIFS(TASK_B,B47,TASK_M,$I$29))</f>
        <v/>
      </c>
      <c r="F47" s="55" t="str">
        <f aca="false">IF(B47="","",SUMIFS(TASK_AMT,TASK_B,B47,TASK_M,$I$29))</f>
        <v/>
      </c>
    </row>
    <row r="48" customFormat="false" ht="15" hidden="false" customHeight="false" outlineLevel="0" collapsed="false">
      <c r="A48" s="23" t="str">
        <f aca="false">IF(B48="","",18)</f>
        <v/>
      </c>
      <c r="B48" s="23" t="str">
        <f aca="false">IFERROR(INDEX(TASK_B,MATCH(18,TASK_G,0)),"")</f>
        <v/>
      </c>
      <c r="C48" s="23" t="str">
        <f aca="false">IF(B48="","",COUNTIF(TASK_B,B48))</f>
        <v/>
      </c>
      <c r="D48" s="55" t="str">
        <f aca="false">IF(B48="","",SUMIFS(TASK_AMT,TASK_B,B48))</f>
        <v/>
      </c>
      <c r="E48" s="23" t="str">
        <f aca="false">IF(B48="","",COUNTIFS(TASK_B,B48,TASK_M,$I$29))</f>
        <v/>
      </c>
      <c r="F48" s="55" t="str">
        <f aca="false">IF(B48="","",SUMIFS(TASK_AMT,TASK_B,B48,TASK_M,$I$29))</f>
        <v/>
      </c>
    </row>
    <row r="49" customFormat="false" ht="15" hidden="false" customHeight="false" outlineLevel="0" collapsed="false">
      <c r="A49" s="23" t="str">
        <f aca="false">IF(B49="","",19)</f>
        <v/>
      </c>
      <c r="B49" s="23" t="str">
        <f aca="false">IFERROR(INDEX(TASK_B,MATCH(19,TASK_G,0)),"")</f>
        <v/>
      </c>
      <c r="C49" s="23" t="str">
        <f aca="false">IF(B49="","",COUNTIF(TASK_B,B49))</f>
        <v/>
      </c>
      <c r="D49" s="55" t="str">
        <f aca="false">IF(B49="","",SUMIFS(TASK_AMT,TASK_B,B49))</f>
        <v/>
      </c>
      <c r="E49" s="23" t="str">
        <f aca="false">IF(B49="","",COUNTIFS(TASK_B,B49,TASK_M,$I$29))</f>
        <v/>
      </c>
      <c r="F49" s="55" t="str">
        <f aca="false">IF(B49="","",SUMIFS(TASK_AMT,TASK_B,B49,TASK_M,$I$29))</f>
        <v/>
      </c>
    </row>
    <row r="50" customFormat="false" ht="15" hidden="false" customHeight="false" outlineLevel="0" collapsed="false">
      <c r="A50" s="23" t="str">
        <f aca="false">IF(B50="","",20)</f>
        <v/>
      </c>
      <c r="B50" s="23" t="str">
        <f aca="false">IFERROR(INDEX(TASK_B,MATCH(20,TASK_G,0)),"")</f>
        <v/>
      </c>
      <c r="C50" s="23" t="str">
        <f aca="false">IF(B50="","",COUNTIF(TASK_B,B50))</f>
        <v/>
      </c>
      <c r="D50" s="55" t="str">
        <f aca="false">IF(B50="","",SUMIFS(TASK_AMT,TASK_B,B50))</f>
        <v/>
      </c>
      <c r="E50" s="23" t="str">
        <f aca="false">IF(B50="","",COUNTIFS(TASK_B,B50,TASK_M,$I$29))</f>
        <v/>
      </c>
      <c r="F50" s="55" t="str">
        <f aca="false">IF(B50="","",SUMIFS(TASK_AMT,TASK_B,B50,TASK_M,$I$29))</f>
        <v/>
      </c>
    </row>
    <row r="51" customFormat="false" ht="15" hidden="false" customHeight="false" outlineLevel="0" collapsed="false">
      <c r="A51" s="81"/>
      <c r="B51" s="81" t="s">
        <v>133</v>
      </c>
      <c r="C51" s="81" t="n">
        <f aca="false">COUNTA(TASK_B)</f>
        <v>0</v>
      </c>
      <c r="D51" s="59" t="n">
        <f aca="false">'عمال المهام'!E606</f>
        <v>0</v>
      </c>
      <c r="E51" s="81" t="n">
        <f aca="false">COUNTIFS(TASK_M,$I$29)</f>
        <v>0</v>
      </c>
      <c r="F51" s="59" t="n">
        <f aca="false">SUMIFS(TASK_AMT,TASK_M,$I$29)</f>
        <v>0</v>
      </c>
    </row>
  </sheetData>
  <sheetProtection sheet="true" formatColumns="false" formatRows="false"/>
  <mergeCells count="9">
    <mergeCell ref="A1:L1"/>
    <mergeCell ref="A3:L3"/>
    <mergeCell ref="A19:L19"/>
    <mergeCell ref="A21:L21"/>
    <mergeCell ref="A25:L25"/>
    <mergeCell ref="A26:L26"/>
    <mergeCell ref="A27:L27"/>
    <mergeCell ref="A29:F29"/>
    <mergeCell ref="J29:L29"/>
  </mergeCells>
  <conditionalFormatting sqref="A6:L17">
    <cfRule type="expression" priority="2" aboveAverage="0" equalAverage="0" bottom="0" percent="0" rank="0" text="" dxfId="4">
      <formula>INDEX(WMON,WK)=ROW()-5</formula>
    </cfRule>
  </conditionalFormatting>
  <dataValidations count="1">
    <dataValidation allowBlank="true" errorStyle="stop" operator="between" prompt="رقم الشهر 1–12" showDropDown="false" showErrorMessage="false" showInputMessage="true" sqref="I29" type="list">
      <formula1>القوائم!$D$1:$D$12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8"/>
  </cols>
  <sheetData>
    <row r="1" customFormat="false" ht="18.65" hidden="false" customHeight="false" outlineLevel="0" collapsed="false">
      <c r="B1" s="90" t="s">
        <v>143</v>
      </c>
    </row>
    <row r="3" customFormat="false" ht="15" hidden="false" customHeight="false" outlineLevel="0" collapsed="false">
      <c r="B3" s="91" t="s">
        <v>144</v>
      </c>
    </row>
    <row r="4" customFormat="false" ht="36" hidden="false" customHeight="true" outlineLevel="0" collapsed="false">
      <c r="A4" s="92" t="s">
        <v>145</v>
      </c>
      <c r="B4" s="93" t="s">
        <v>146</v>
      </c>
    </row>
    <row r="5" customFormat="false" ht="36" hidden="false" customHeight="true" outlineLevel="0" collapsed="false">
      <c r="A5" s="92" t="s">
        <v>147</v>
      </c>
      <c r="B5" s="93" t="s">
        <v>148</v>
      </c>
    </row>
    <row r="6" customFormat="false" ht="15" hidden="false" customHeight="false" outlineLevel="0" collapsed="false">
      <c r="B6" s="91" t="s">
        <v>149</v>
      </c>
    </row>
    <row r="7" customFormat="false" ht="36" hidden="false" customHeight="true" outlineLevel="0" collapsed="false">
      <c r="A7" s="92" t="s">
        <v>150</v>
      </c>
      <c r="B7" s="93" t="s">
        <v>151</v>
      </c>
    </row>
    <row r="8" customFormat="false" ht="15" hidden="false" customHeight="false" outlineLevel="0" collapsed="false">
      <c r="B8" s="91" t="s">
        <v>152</v>
      </c>
    </row>
    <row r="9" customFormat="false" ht="36" hidden="false" customHeight="true" outlineLevel="0" collapsed="false">
      <c r="A9" s="92" t="s">
        <v>153</v>
      </c>
      <c r="B9" s="93" t="s">
        <v>154</v>
      </c>
    </row>
    <row r="10" customFormat="false" ht="15" hidden="false" customHeight="false" outlineLevel="0" collapsed="false">
      <c r="B10" s="91" t="s">
        <v>155</v>
      </c>
    </row>
    <row r="11" customFormat="false" ht="36" hidden="false" customHeight="true" outlineLevel="0" collapsed="false">
      <c r="A11" s="92" t="s">
        <v>156</v>
      </c>
      <c r="B11" s="93" t="s">
        <v>157</v>
      </c>
    </row>
    <row r="12" customFormat="false" ht="36" hidden="false" customHeight="true" outlineLevel="0" collapsed="false">
      <c r="A12" s="92" t="s">
        <v>158</v>
      </c>
      <c r="B12" s="93" t="s">
        <v>159</v>
      </c>
    </row>
    <row r="13" customFormat="false" ht="15" hidden="false" customHeight="false" outlineLevel="0" collapsed="false">
      <c r="B13" s="91" t="s">
        <v>160</v>
      </c>
    </row>
    <row r="14" customFormat="false" ht="36" hidden="false" customHeight="true" outlineLevel="0" collapsed="false">
      <c r="A14" s="92" t="s">
        <v>161</v>
      </c>
      <c r="B14" s="93" t="s">
        <v>162</v>
      </c>
    </row>
    <row r="15" customFormat="false" ht="36" hidden="false" customHeight="true" outlineLevel="0" collapsed="false">
      <c r="A15" s="92" t="s">
        <v>163</v>
      </c>
      <c r="B15" s="93" t="s">
        <v>164</v>
      </c>
    </row>
    <row r="16" customFormat="false" ht="15" hidden="false" customHeight="false" outlineLevel="0" collapsed="false">
      <c r="B16" s="91" t="s">
        <v>165</v>
      </c>
    </row>
    <row r="17" customFormat="false" ht="36" hidden="false" customHeight="true" outlineLevel="0" collapsed="false">
      <c r="A17" s="92" t="s">
        <v>166</v>
      </c>
      <c r="B17" s="93" t="s">
        <v>167</v>
      </c>
    </row>
    <row r="18" customFormat="false" ht="15" hidden="false" customHeight="false" outlineLevel="0" collapsed="false">
      <c r="B18" s="91" t="s">
        <v>168</v>
      </c>
    </row>
    <row r="19" customFormat="false" ht="36" hidden="false" customHeight="true" outlineLevel="0" collapsed="false">
      <c r="A19" s="92" t="s">
        <v>169</v>
      </c>
      <c r="B19" s="93" t="s">
        <v>170</v>
      </c>
    </row>
    <row r="20" customFormat="false" ht="15" hidden="false" customHeight="false" outlineLevel="0" collapsed="false">
      <c r="B20" s="91" t="s">
        <v>171</v>
      </c>
    </row>
    <row r="21" customFormat="false" ht="36" hidden="false" customHeight="true" outlineLevel="0" collapsed="false">
      <c r="A21" s="92" t="s">
        <v>172</v>
      </c>
      <c r="B21" s="93" t="s">
        <v>173</v>
      </c>
    </row>
  </sheetData>
  <sheetProtection sheet="true" formatColumns="false" formatRows="fals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174</v>
      </c>
      <c r="B1" s="28" t="n">
        <v>0.25</v>
      </c>
      <c r="D1" s="0" t="n">
        <v>1</v>
      </c>
      <c r="E1" s="0" t="n">
        <v>2026</v>
      </c>
      <c r="G1" s="18" t="n">
        <f aca="false">DATE(G4,1,1)+MOD(6-WEEKDAY(DATE(G4,1,1),1),7)-6</f>
        <v>46018</v>
      </c>
      <c r="N1" s="0" t="str">
        <f aca="true">CHOOSE(WEEKDAY((TODAY()-0),1),"الأحد","الاثنين","الثلاثاء","الأربعاء","الخميس","الجمعة","السبت")&amp;" "&amp;TEXT(DAY((TODAY()-0)),"00")&amp;"/"&amp;TEXT(MONTH((TODAY()-0)),"00")&amp;"/"&amp;YEAR((TODAY()-0))</f>
        <v>الخميس 01/10/2026</v>
      </c>
      <c r="P1" s="19" t="s">
        <v>175</v>
      </c>
    </row>
    <row r="2" customFormat="false" ht="15" hidden="false" customHeight="false" outlineLevel="0" collapsed="false">
      <c r="A2" s="0" t="s">
        <v>176</v>
      </c>
      <c r="B2" s="28" t="n">
        <v>0.253472222222222</v>
      </c>
      <c r="D2" s="0" t="n">
        <v>2</v>
      </c>
      <c r="E2" s="0" t="n">
        <v>2027</v>
      </c>
      <c r="G2" s="19" t="n">
        <f aca="false">INT((DATE(G4,12,31)-(G1+6))/7)+1</f>
        <v>52</v>
      </c>
      <c r="N2" s="0" t="str">
        <f aca="true">CHOOSE(WEEKDAY((TODAY()-1),1),"الأحد","الاثنين","الثلاثاء","الأربعاء","الخميس","الجمعة","السبت")&amp;" "&amp;TEXT(DAY((TODAY()-1)),"00")&amp;"/"&amp;TEXT(MONTH((TODAY()-1)),"00")&amp;"/"&amp;YEAR((TODAY()-1))</f>
        <v>الأربعاء 30/09/2026</v>
      </c>
      <c r="P2" s="0" t="n">
        <v>17</v>
      </c>
    </row>
    <row r="3" customFormat="false" ht="15" hidden="false" customHeight="false" outlineLevel="0" collapsed="false">
      <c r="A3" s="0" t="s">
        <v>177</v>
      </c>
      <c r="B3" s="28" t="n">
        <v>0.256944444444444</v>
      </c>
      <c r="D3" s="0" t="n">
        <v>3</v>
      </c>
      <c r="E3" s="0" t="n">
        <v>2028</v>
      </c>
      <c r="G3" s="19" t="n">
        <f aca="true">IF(AND(TODAY()&gt;=G1,TODAY()&lt;=G1+7*G2-1),INT((TODAY()-G1)/7)+1,1)</f>
        <v>40</v>
      </c>
      <c r="N3" s="0" t="str">
        <f aca="true">CHOOSE(WEEKDAY((TODAY()-2),1),"الأحد","الاثنين","الثلاثاء","الأربعاء","الخميس","الجمعة","السبت")&amp;" "&amp;TEXT(DAY((TODAY()-2)),"00")&amp;"/"&amp;TEXT(MONTH((TODAY()-2)),"00")&amp;"/"&amp;YEAR((TODAY()-2))</f>
        <v>الثلاثاء 29/09/2026</v>
      </c>
      <c r="P3" s="19" t="s">
        <v>178</v>
      </c>
    </row>
    <row r="4" customFormat="false" ht="15" hidden="false" customHeight="false" outlineLevel="0" collapsed="false">
      <c r="A4" s="0" t="s">
        <v>179</v>
      </c>
      <c r="B4" s="28" t="n">
        <v>0.260416666666667</v>
      </c>
      <c r="D4" s="0" t="n">
        <v>4</v>
      </c>
      <c r="E4" s="0" t="n">
        <v>2029</v>
      </c>
      <c r="G4" s="94" t="n">
        <f aca="false">IF(AND(ISNUMBER(السنة!$C$3),السنة!$C$3&gt;=2000,السنة!$C$3&lt;=2100),السنة!$C$3,2026)</f>
        <v>2026</v>
      </c>
      <c r="N4" s="0" t="str">
        <f aca="true">CHOOSE(WEEKDAY((TODAY()-3),1),"الأحد","الاثنين","الثلاثاء","الأربعاء","الخميس","الجمعة","السبت")&amp;" "&amp;TEXT(DAY((TODAY()-3)),"00")&amp;"/"&amp;TEXT(MONTH((TODAY()-3)),"00")&amp;"/"&amp;YEAR((TODAY()-3))</f>
        <v>الاثنين 28/09/2026</v>
      </c>
    </row>
    <row r="5" customFormat="false" ht="15" hidden="false" customHeight="false" outlineLevel="0" collapsed="false">
      <c r="A5" s="0" t="s">
        <v>180</v>
      </c>
      <c r="B5" s="28" t="n">
        <v>0.263888888888889</v>
      </c>
      <c r="D5" s="0" t="n">
        <v>5</v>
      </c>
      <c r="E5" s="0" t="n">
        <v>2030</v>
      </c>
      <c r="N5" s="0" t="str">
        <f aca="true">CHOOSE(WEEKDAY((TODAY()-4),1),"الأحد","الاثنين","الثلاثاء","الأربعاء","الخميس","الجمعة","السبت")&amp;" "&amp;TEXT(DAY((TODAY()-4)),"00")&amp;"/"&amp;TEXT(MONTH((TODAY()-4)),"00")&amp;"/"&amp;YEAR((TODAY()-4))</f>
        <v>الأحد 27/09/2026</v>
      </c>
    </row>
    <row r="6" customFormat="false" ht="15" hidden="false" customHeight="false" outlineLevel="0" collapsed="false">
      <c r="A6" s="0" t="s">
        <v>181</v>
      </c>
      <c r="B6" s="28" t="n">
        <v>0.267361111111111</v>
      </c>
      <c r="D6" s="0" t="n">
        <v>6</v>
      </c>
      <c r="E6" s="0" t="n">
        <v>2031</v>
      </c>
      <c r="N6" s="0" t="str">
        <f aca="true">CHOOSE(WEEKDAY((TODAY()-5),1),"الأحد","الاثنين","الثلاثاء","الأربعاء","الخميس","الجمعة","السبت")&amp;" "&amp;TEXT(DAY((TODAY()-5)),"00")&amp;"/"&amp;TEXT(MONTH((TODAY()-5)),"00")&amp;"/"&amp;YEAR((TODAY()-5))</f>
        <v>السبت 26/09/2026</v>
      </c>
    </row>
    <row r="7" customFormat="false" ht="15" hidden="false" customHeight="false" outlineLevel="0" collapsed="false">
      <c r="A7" s="0" t="s">
        <v>182</v>
      </c>
      <c r="B7" s="28" t="n">
        <v>0.270833333333333</v>
      </c>
      <c r="D7" s="0" t="n">
        <v>7</v>
      </c>
      <c r="E7" s="0" t="n">
        <v>2032</v>
      </c>
      <c r="N7" s="0" t="str">
        <f aca="true">CHOOSE(WEEKDAY((TODAY()-6),1),"الأحد","الاثنين","الثلاثاء","الأربعاء","الخميس","الجمعة","السبت")&amp;" "&amp;TEXT(DAY((TODAY()-6)),"00")&amp;"/"&amp;TEXT(MONTH((TODAY()-6)),"00")&amp;"/"&amp;YEAR((TODAY()-6))</f>
        <v>الجمعة 25/09/2026</v>
      </c>
    </row>
    <row r="8" customFormat="false" ht="15" hidden="false" customHeight="false" outlineLevel="0" collapsed="false">
      <c r="A8" s="0" t="s">
        <v>183</v>
      </c>
      <c r="B8" s="28" t="n">
        <v>0.274305555555556</v>
      </c>
      <c r="D8" s="0" t="n">
        <v>8</v>
      </c>
      <c r="E8" s="0" t="n">
        <v>2033</v>
      </c>
      <c r="N8" s="0" t="str">
        <f aca="true">CHOOSE(WEEKDAY((TODAY()-7),1),"الأحد","الاثنين","الثلاثاء","الأربعاء","الخميس","الجمعة","السبت")&amp;" "&amp;TEXT(DAY((TODAY()-7)),"00")&amp;"/"&amp;TEXT(MONTH((TODAY()-7)),"00")&amp;"/"&amp;YEAR((TODAY()-7))</f>
        <v>الخميس 24/09/2026</v>
      </c>
    </row>
    <row r="9" customFormat="false" ht="15" hidden="false" customHeight="false" outlineLevel="0" collapsed="false">
      <c r="A9" s="0" t="s">
        <v>184</v>
      </c>
      <c r="B9" s="28" t="n">
        <v>0.277777777777778</v>
      </c>
      <c r="D9" s="0" t="n">
        <v>9</v>
      </c>
      <c r="E9" s="0" t="n">
        <v>2034</v>
      </c>
      <c r="N9" s="0" t="str">
        <f aca="true">CHOOSE(WEEKDAY((TODAY()-8),1),"الأحد","الاثنين","الثلاثاء","الأربعاء","الخميس","الجمعة","السبت")&amp;" "&amp;TEXT(DAY((TODAY()-8)),"00")&amp;"/"&amp;TEXT(MONTH((TODAY()-8)),"00")&amp;"/"&amp;YEAR((TODAY()-8))</f>
        <v>الأربعاء 23/09/2026</v>
      </c>
    </row>
    <row r="10" customFormat="false" ht="15" hidden="false" customHeight="false" outlineLevel="0" collapsed="false">
      <c r="A10" s="0" t="s">
        <v>185</v>
      </c>
      <c r="B10" s="28" t="n">
        <v>0.28125</v>
      </c>
      <c r="D10" s="0" t="n">
        <v>10</v>
      </c>
      <c r="E10" s="0" t="n">
        <v>2035</v>
      </c>
      <c r="N10" s="0" t="str">
        <f aca="true">CHOOSE(WEEKDAY((TODAY()-9),1),"الأحد","الاثنين","الثلاثاء","الأربعاء","الخميس","الجمعة","السبت")&amp;" "&amp;TEXT(DAY((TODAY()-9)),"00")&amp;"/"&amp;TEXT(MONTH((TODAY()-9)),"00")&amp;"/"&amp;YEAR((TODAY()-9))</f>
        <v>الثلاثاء 22/09/2026</v>
      </c>
    </row>
    <row r="11" customFormat="false" ht="15" hidden="false" customHeight="false" outlineLevel="0" collapsed="false">
      <c r="A11" s="0" t="s">
        <v>186</v>
      </c>
      <c r="B11" s="28" t="n">
        <v>0.284722222222222</v>
      </c>
      <c r="D11" s="0" t="n">
        <v>11</v>
      </c>
      <c r="H11" s="18" t="n">
        <f aca="false">IF(1&lt;=NW,WEEK_ONE+0,"")</f>
        <v>46018</v>
      </c>
      <c r="I11" s="18" t="n">
        <f aca="false">IF(1&lt;=NW,WEEK_ONE+6,"")</f>
        <v>46024</v>
      </c>
      <c r="J11" s="0" t="str">
        <f aca="false">IF(1&lt;=NW,TEXT(DAY(H11),"00")&amp;"/"&amp;TEXT(MONTH(H11),"00")&amp;"/"&amp;YEAR(H11)&amp;"  -  "&amp;TEXT(DAY(I11),"00")&amp;"/"&amp;TEXT(MONTH(I11),"00")&amp;"/"&amp;YEAR(I11)&amp;"   ·   الأسبوع 1","")</f>
        <v>27/12/2025  -  02/01/2026   ·   الأسبوع 1</v>
      </c>
      <c r="K11" s="19" t="n">
        <f aca="false">IF(1&lt;=NW,MONTH(I11),"")</f>
        <v>1</v>
      </c>
      <c r="L11" s="0" t="n">
        <v>1</v>
      </c>
      <c r="N11" s="0" t="str">
        <f aca="true">CHOOSE(WEEKDAY((TODAY()-10),1),"الأحد","الاثنين","الثلاثاء","الأربعاء","الخميس","الجمعة","السبت")&amp;" "&amp;TEXT(DAY((TODAY()-10)),"00")&amp;"/"&amp;TEXT(MONTH((TODAY()-10)),"00")&amp;"/"&amp;YEAR((TODAY()-10))</f>
        <v>الاثنين 21/09/2026</v>
      </c>
    </row>
    <row r="12" customFormat="false" ht="15" hidden="false" customHeight="false" outlineLevel="0" collapsed="false">
      <c r="A12" s="0" t="s">
        <v>187</v>
      </c>
      <c r="B12" s="28" t="n">
        <v>0.288194444444444</v>
      </c>
      <c r="D12" s="0" t="n">
        <v>12</v>
      </c>
      <c r="H12" s="18" t="n">
        <f aca="false">IF(2&lt;=NW,WEEK_ONE+7,"")</f>
        <v>46025</v>
      </c>
      <c r="I12" s="18" t="n">
        <f aca="false">IF(2&lt;=NW,WEEK_ONE+13,"")</f>
        <v>46031</v>
      </c>
      <c r="J12" s="0" t="str">
        <f aca="false">IF(2&lt;=NW,TEXT(DAY(H12),"00")&amp;"/"&amp;TEXT(MONTH(H12),"00")&amp;"/"&amp;YEAR(H12)&amp;"  -  "&amp;TEXT(DAY(I12),"00")&amp;"/"&amp;TEXT(MONTH(I12),"00")&amp;"/"&amp;YEAR(I12)&amp;"   ·   الأسبوع 2","")</f>
        <v>03/01/2026  -  09/01/2026   ·   الأسبوع 2</v>
      </c>
      <c r="K12" s="19" t="n">
        <f aca="false">IF(2&lt;=NW,MONTH(I12),"")</f>
        <v>1</v>
      </c>
      <c r="L12" s="0" t="n">
        <v>2</v>
      </c>
      <c r="N12" s="0" t="str">
        <f aca="true">CHOOSE(WEEKDAY((TODAY()-11),1),"الأحد","الاثنين","الثلاثاء","الأربعاء","الخميس","الجمعة","السبت")&amp;" "&amp;TEXT(DAY((TODAY()-11)),"00")&amp;"/"&amp;TEXT(MONTH((TODAY()-11)),"00")&amp;"/"&amp;YEAR((TODAY()-11))</f>
        <v>الأحد 20/09/2026</v>
      </c>
    </row>
    <row r="13" customFormat="false" ht="15" hidden="false" customHeight="false" outlineLevel="0" collapsed="false">
      <c r="A13" s="0" t="s">
        <v>188</v>
      </c>
      <c r="B13" s="28" t="n">
        <v>0.291666666666667</v>
      </c>
      <c r="H13" s="18" t="n">
        <f aca="false">IF(3&lt;=NW,WEEK_ONE+14,"")</f>
        <v>46032</v>
      </c>
      <c r="I13" s="18" t="n">
        <f aca="false">IF(3&lt;=NW,WEEK_ONE+20,"")</f>
        <v>46038</v>
      </c>
      <c r="J13" s="0" t="str">
        <f aca="false">IF(3&lt;=NW,TEXT(DAY(H13),"00")&amp;"/"&amp;TEXT(MONTH(H13),"00")&amp;"/"&amp;YEAR(H13)&amp;"  -  "&amp;TEXT(DAY(I13),"00")&amp;"/"&amp;TEXT(MONTH(I13),"00")&amp;"/"&amp;YEAR(I13)&amp;"   ·   الأسبوع 3","")</f>
        <v>10/01/2026  -  16/01/2026   ·   الأسبوع 3</v>
      </c>
      <c r="K13" s="19" t="n">
        <f aca="false">IF(3&lt;=NW,MONTH(I13),"")</f>
        <v>1</v>
      </c>
      <c r="L13" s="0" t="n">
        <v>3</v>
      </c>
      <c r="N13" s="0" t="str">
        <f aca="true">CHOOSE(WEEKDAY((TODAY()-12),1),"الأحد","الاثنين","الثلاثاء","الأربعاء","الخميس","الجمعة","السبت")&amp;" "&amp;TEXT(DAY((TODAY()-12)),"00")&amp;"/"&amp;TEXT(MONTH((TODAY()-12)),"00")&amp;"/"&amp;YEAR((TODAY()-12))</f>
        <v>السبت 19/09/2026</v>
      </c>
    </row>
    <row r="14" customFormat="false" ht="15" hidden="false" customHeight="false" outlineLevel="0" collapsed="false">
      <c r="A14" s="0" t="s">
        <v>189</v>
      </c>
      <c r="B14" s="28" t="n">
        <v>0.295138888888889</v>
      </c>
      <c r="H14" s="18" t="n">
        <f aca="false">IF(4&lt;=NW,WEEK_ONE+21,"")</f>
        <v>46039</v>
      </c>
      <c r="I14" s="18" t="n">
        <f aca="false">IF(4&lt;=NW,WEEK_ONE+27,"")</f>
        <v>46045</v>
      </c>
      <c r="J14" s="0" t="str">
        <f aca="false">IF(4&lt;=NW,TEXT(DAY(H14),"00")&amp;"/"&amp;TEXT(MONTH(H14),"00")&amp;"/"&amp;YEAR(H14)&amp;"  -  "&amp;TEXT(DAY(I14),"00")&amp;"/"&amp;TEXT(MONTH(I14),"00")&amp;"/"&amp;YEAR(I14)&amp;"   ·   الأسبوع 4","")</f>
        <v>17/01/2026  -  23/01/2026   ·   الأسبوع 4</v>
      </c>
      <c r="K14" s="19" t="n">
        <f aca="false">IF(4&lt;=NW,MONTH(I14),"")</f>
        <v>1</v>
      </c>
      <c r="L14" s="0" t="n">
        <v>4</v>
      </c>
      <c r="N14" s="0" t="str">
        <f aca="true">CHOOSE(WEEKDAY((TODAY()-13),1),"الأحد","الاثنين","الثلاثاء","الأربعاء","الخميس","الجمعة","السبت")&amp;" "&amp;TEXT(DAY((TODAY()-13)),"00")&amp;"/"&amp;TEXT(MONTH((TODAY()-13)),"00")&amp;"/"&amp;YEAR((TODAY()-13))</f>
        <v>الجمعة 18/09/2026</v>
      </c>
    </row>
    <row r="15" customFormat="false" ht="15" hidden="false" customHeight="false" outlineLevel="0" collapsed="false">
      <c r="A15" s="0" t="s">
        <v>190</v>
      </c>
      <c r="B15" s="28" t="n">
        <v>0.298611111111111</v>
      </c>
      <c r="H15" s="18" t="n">
        <f aca="false">IF(5&lt;=NW,WEEK_ONE+28,"")</f>
        <v>46046</v>
      </c>
      <c r="I15" s="18" t="n">
        <f aca="false">IF(5&lt;=NW,WEEK_ONE+34,"")</f>
        <v>46052</v>
      </c>
      <c r="J15" s="0" t="str">
        <f aca="false">IF(5&lt;=NW,TEXT(DAY(H15),"00")&amp;"/"&amp;TEXT(MONTH(H15),"00")&amp;"/"&amp;YEAR(H15)&amp;"  -  "&amp;TEXT(DAY(I15),"00")&amp;"/"&amp;TEXT(MONTH(I15),"00")&amp;"/"&amp;YEAR(I15)&amp;"   ·   الأسبوع 5","")</f>
        <v>24/01/2026  -  30/01/2026   ·   الأسبوع 5</v>
      </c>
      <c r="K15" s="19" t="n">
        <f aca="false">IF(5&lt;=NW,MONTH(I15),"")</f>
        <v>1</v>
      </c>
      <c r="L15" s="0" t="n">
        <v>5</v>
      </c>
    </row>
    <row r="16" customFormat="false" ht="15" hidden="false" customHeight="false" outlineLevel="0" collapsed="false">
      <c r="A16" s="0" t="s">
        <v>191</v>
      </c>
      <c r="B16" s="28" t="n">
        <v>0.302083333333333</v>
      </c>
      <c r="H16" s="18" t="n">
        <f aca="false">IF(6&lt;=NW,WEEK_ONE+35,"")</f>
        <v>46053</v>
      </c>
      <c r="I16" s="18" t="n">
        <f aca="false">IF(6&lt;=NW,WEEK_ONE+41,"")</f>
        <v>46059</v>
      </c>
      <c r="J16" s="0" t="str">
        <f aca="false">IF(6&lt;=NW,TEXT(DAY(H16),"00")&amp;"/"&amp;TEXT(MONTH(H16),"00")&amp;"/"&amp;YEAR(H16)&amp;"  -  "&amp;TEXT(DAY(I16),"00")&amp;"/"&amp;TEXT(MONTH(I16),"00")&amp;"/"&amp;YEAR(I16)&amp;"   ·   الأسبوع 6","")</f>
        <v>31/01/2026  -  06/02/2026   ·   الأسبوع 6</v>
      </c>
      <c r="K16" s="19" t="n">
        <f aca="false">IF(6&lt;=NW,MONTH(I16),"")</f>
        <v>2</v>
      </c>
      <c r="L16" s="0" t="n">
        <v>6</v>
      </c>
    </row>
    <row r="17" customFormat="false" ht="15" hidden="false" customHeight="false" outlineLevel="0" collapsed="false">
      <c r="A17" s="0" t="s">
        <v>192</v>
      </c>
      <c r="B17" s="28" t="n">
        <v>0.305555555555556</v>
      </c>
      <c r="H17" s="18" t="n">
        <f aca="false">IF(7&lt;=NW,WEEK_ONE+42,"")</f>
        <v>46060</v>
      </c>
      <c r="I17" s="18" t="n">
        <f aca="false">IF(7&lt;=NW,WEEK_ONE+48,"")</f>
        <v>46066</v>
      </c>
      <c r="J17" s="0" t="str">
        <f aca="false">IF(7&lt;=NW,TEXT(DAY(H17),"00")&amp;"/"&amp;TEXT(MONTH(H17),"00")&amp;"/"&amp;YEAR(H17)&amp;"  -  "&amp;TEXT(DAY(I17),"00")&amp;"/"&amp;TEXT(MONTH(I17),"00")&amp;"/"&amp;YEAR(I17)&amp;"   ·   الأسبوع 7","")</f>
        <v>07/02/2026  -  13/02/2026   ·   الأسبوع 7</v>
      </c>
      <c r="K17" s="19" t="n">
        <f aca="false">IF(7&lt;=NW,MONTH(I17),"")</f>
        <v>2</v>
      </c>
      <c r="L17" s="0" t="n">
        <v>7</v>
      </c>
    </row>
    <row r="18" customFormat="false" ht="15" hidden="false" customHeight="false" outlineLevel="0" collapsed="false">
      <c r="A18" s="0" t="s">
        <v>193</v>
      </c>
      <c r="B18" s="28" t="n">
        <v>0.309027777777778</v>
      </c>
      <c r="H18" s="18" t="n">
        <f aca="false">IF(8&lt;=NW,WEEK_ONE+49,"")</f>
        <v>46067</v>
      </c>
      <c r="I18" s="18" t="n">
        <f aca="false">IF(8&lt;=NW,WEEK_ONE+55,"")</f>
        <v>46073</v>
      </c>
      <c r="J18" s="0" t="str">
        <f aca="false">IF(8&lt;=NW,TEXT(DAY(H18),"00")&amp;"/"&amp;TEXT(MONTH(H18),"00")&amp;"/"&amp;YEAR(H18)&amp;"  -  "&amp;TEXT(DAY(I18),"00")&amp;"/"&amp;TEXT(MONTH(I18),"00")&amp;"/"&amp;YEAR(I18)&amp;"   ·   الأسبوع 8","")</f>
        <v>14/02/2026  -  20/02/2026   ·   الأسبوع 8</v>
      </c>
      <c r="K18" s="19" t="n">
        <f aca="false">IF(8&lt;=NW,MONTH(I18),"")</f>
        <v>2</v>
      </c>
      <c r="L18" s="0" t="n">
        <v>8</v>
      </c>
    </row>
    <row r="19" customFormat="false" ht="15" hidden="false" customHeight="false" outlineLevel="0" collapsed="false">
      <c r="A19" s="0" t="s">
        <v>194</v>
      </c>
      <c r="B19" s="28" t="n">
        <v>0.3125</v>
      </c>
      <c r="H19" s="18" t="n">
        <f aca="false">IF(9&lt;=NW,WEEK_ONE+56,"")</f>
        <v>46074</v>
      </c>
      <c r="I19" s="18" t="n">
        <f aca="false">IF(9&lt;=NW,WEEK_ONE+62,"")</f>
        <v>46080</v>
      </c>
      <c r="J19" s="0" t="str">
        <f aca="false">IF(9&lt;=NW,TEXT(DAY(H19),"00")&amp;"/"&amp;TEXT(MONTH(H19),"00")&amp;"/"&amp;YEAR(H19)&amp;"  -  "&amp;TEXT(DAY(I19),"00")&amp;"/"&amp;TEXT(MONTH(I19),"00")&amp;"/"&amp;YEAR(I19)&amp;"   ·   الأسبوع 9","")</f>
        <v>21/02/2026  -  27/02/2026   ·   الأسبوع 9</v>
      </c>
      <c r="K19" s="19" t="n">
        <f aca="false">IF(9&lt;=NW,MONTH(I19),"")</f>
        <v>2</v>
      </c>
      <c r="L19" s="0" t="n">
        <v>9</v>
      </c>
    </row>
    <row r="20" customFormat="false" ht="15" hidden="false" customHeight="false" outlineLevel="0" collapsed="false">
      <c r="A20" s="0" t="s">
        <v>195</v>
      </c>
      <c r="B20" s="28" t="n">
        <v>0.315972222222222</v>
      </c>
      <c r="H20" s="18" t="n">
        <f aca="false">IF(10&lt;=NW,WEEK_ONE+63,"")</f>
        <v>46081</v>
      </c>
      <c r="I20" s="18" t="n">
        <f aca="false">IF(10&lt;=NW,WEEK_ONE+69,"")</f>
        <v>46087</v>
      </c>
      <c r="J20" s="0" t="str">
        <f aca="false">IF(10&lt;=NW,TEXT(DAY(H20),"00")&amp;"/"&amp;TEXT(MONTH(H20),"00")&amp;"/"&amp;YEAR(H20)&amp;"  -  "&amp;TEXT(DAY(I20),"00")&amp;"/"&amp;TEXT(MONTH(I20),"00")&amp;"/"&amp;YEAR(I20)&amp;"   ·   الأسبوع 10","")</f>
        <v>28/02/2026  -  06/03/2026   ·   الأسبوع 10</v>
      </c>
      <c r="K20" s="19" t="n">
        <f aca="false">IF(10&lt;=NW,MONTH(I20),"")</f>
        <v>3</v>
      </c>
      <c r="L20" s="0" t="n">
        <v>10</v>
      </c>
    </row>
    <row r="21" customFormat="false" ht="15" hidden="false" customHeight="false" outlineLevel="0" collapsed="false">
      <c r="A21" s="0" t="s">
        <v>196</v>
      </c>
      <c r="B21" s="28" t="n">
        <v>0.319444444444444</v>
      </c>
      <c r="H21" s="18" t="n">
        <f aca="false">IF(11&lt;=NW,WEEK_ONE+70,"")</f>
        <v>46088</v>
      </c>
      <c r="I21" s="18" t="n">
        <f aca="false">IF(11&lt;=NW,WEEK_ONE+76,"")</f>
        <v>46094</v>
      </c>
      <c r="J21" s="0" t="str">
        <f aca="false">IF(11&lt;=NW,TEXT(DAY(H21),"00")&amp;"/"&amp;TEXT(MONTH(H21),"00")&amp;"/"&amp;YEAR(H21)&amp;"  -  "&amp;TEXT(DAY(I21),"00")&amp;"/"&amp;TEXT(MONTH(I21),"00")&amp;"/"&amp;YEAR(I21)&amp;"   ·   الأسبوع 11","")</f>
        <v>07/03/2026  -  13/03/2026   ·   الأسبوع 11</v>
      </c>
      <c r="K21" s="19" t="n">
        <f aca="false">IF(11&lt;=NW,MONTH(I21),"")</f>
        <v>3</v>
      </c>
      <c r="L21" s="0" t="n">
        <v>11</v>
      </c>
    </row>
    <row r="22" customFormat="false" ht="15" hidden="false" customHeight="false" outlineLevel="0" collapsed="false">
      <c r="A22" s="0" t="s">
        <v>197</v>
      </c>
      <c r="B22" s="28" t="n">
        <v>0.322916666666667</v>
      </c>
      <c r="H22" s="18" t="n">
        <f aca="false">IF(12&lt;=NW,WEEK_ONE+77,"")</f>
        <v>46095</v>
      </c>
      <c r="I22" s="18" t="n">
        <f aca="false">IF(12&lt;=NW,WEEK_ONE+83,"")</f>
        <v>46101</v>
      </c>
      <c r="J22" s="0" t="str">
        <f aca="false">IF(12&lt;=NW,TEXT(DAY(H22),"00")&amp;"/"&amp;TEXT(MONTH(H22),"00")&amp;"/"&amp;YEAR(H22)&amp;"  -  "&amp;TEXT(DAY(I22),"00")&amp;"/"&amp;TEXT(MONTH(I22),"00")&amp;"/"&amp;YEAR(I22)&amp;"   ·   الأسبوع 12","")</f>
        <v>14/03/2026  -  20/03/2026   ·   الأسبوع 12</v>
      </c>
      <c r="K22" s="19" t="n">
        <f aca="false">IF(12&lt;=NW,MONTH(I22),"")</f>
        <v>3</v>
      </c>
      <c r="L22" s="0" t="n">
        <v>12</v>
      </c>
    </row>
    <row r="23" customFormat="false" ht="15" hidden="false" customHeight="false" outlineLevel="0" collapsed="false">
      <c r="A23" s="0" t="s">
        <v>198</v>
      </c>
      <c r="B23" s="28" t="n">
        <v>0.326388888888889</v>
      </c>
      <c r="H23" s="18" t="n">
        <f aca="false">IF(13&lt;=NW,WEEK_ONE+84,"")</f>
        <v>46102</v>
      </c>
      <c r="I23" s="18" t="n">
        <f aca="false">IF(13&lt;=NW,WEEK_ONE+90,"")</f>
        <v>46108</v>
      </c>
      <c r="J23" s="0" t="str">
        <f aca="false">IF(13&lt;=NW,TEXT(DAY(H23),"00")&amp;"/"&amp;TEXT(MONTH(H23),"00")&amp;"/"&amp;YEAR(H23)&amp;"  -  "&amp;TEXT(DAY(I23),"00")&amp;"/"&amp;TEXT(MONTH(I23),"00")&amp;"/"&amp;YEAR(I23)&amp;"   ·   الأسبوع 13","")</f>
        <v>21/03/2026  -  27/03/2026   ·   الأسبوع 13</v>
      </c>
      <c r="K23" s="19" t="n">
        <f aca="false">IF(13&lt;=NW,MONTH(I23),"")</f>
        <v>3</v>
      </c>
      <c r="L23" s="0" t="n">
        <v>13</v>
      </c>
    </row>
    <row r="24" customFormat="false" ht="15" hidden="false" customHeight="false" outlineLevel="0" collapsed="false">
      <c r="A24" s="0" t="s">
        <v>199</v>
      </c>
      <c r="B24" s="28" t="n">
        <v>0.329861111111111</v>
      </c>
      <c r="H24" s="18" t="n">
        <f aca="false">IF(14&lt;=NW,WEEK_ONE+91,"")</f>
        <v>46109</v>
      </c>
      <c r="I24" s="18" t="n">
        <f aca="false">IF(14&lt;=NW,WEEK_ONE+97,"")</f>
        <v>46115</v>
      </c>
      <c r="J24" s="0" t="str">
        <f aca="false">IF(14&lt;=NW,TEXT(DAY(H24),"00")&amp;"/"&amp;TEXT(MONTH(H24),"00")&amp;"/"&amp;YEAR(H24)&amp;"  -  "&amp;TEXT(DAY(I24),"00")&amp;"/"&amp;TEXT(MONTH(I24),"00")&amp;"/"&amp;YEAR(I24)&amp;"   ·   الأسبوع 14","")</f>
        <v>28/03/2026  -  03/04/2026   ·   الأسبوع 14</v>
      </c>
      <c r="K24" s="19" t="n">
        <f aca="false">IF(14&lt;=NW,MONTH(I24),"")</f>
        <v>4</v>
      </c>
      <c r="L24" s="0" t="n">
        <v>14</v>
      </c>
    </row>
    <row r="25" customFormat="false" ht="15" hidden="false" customHeight="false" outlineLevel="0" collapsed="false">
      <c r="A25" s="0" t="s">
        <v>200</v>
      </c>
      <c r="B25" s="28" t="n">
        <v>0.333333333333333</v>
      </c>
      <c r="H25" s="18" t="n">
        <f aca="false">IF(15&lt;=NW,WEEK_ONE+98,"")</f>
        <v>46116</v>
      </c>
      <c r="I25" s="18" t="n">
        <f aca="false">IF(15&lt;=NW,WEEK_ONE+104,"")</f>
        <v>46122</v>
      </c>
      <c r="J25" s="0" t="str">
        <f aca="false">IF(15&lt;=NW,TEXT(DAY(H25),"00")&amp;"/"&amp;TEXT(MONTH(H25),"00")&amp;"/"&amp;YEAR(H25)&amp;"  -  "&amp;TEXT(DAY(I25),"00")&amp;"/"&amp;TEXT(MONTH(I25),"00")&amp;"/"&amp;YEAR(I25)&amp;"   ·   الأسبوع 15","")</f>
        <v>04/04/2026  -  10/04/2026   ·   الأسبوع 15</v>
      </c>
      <c r="K25" s="19" t="n">
        <f aca="false">IF(15&lt;=NW,MONTH(I25),"")</f>
        <v>4</v>
      </c>
      <c r="L25" s="0" t="n">
        <v>15</v>
      </c>
    </row>
    <row r="26" customFormat="false" ht="15" hidden="false" customHeight="false" outlineLevel="0" collapsed="false">
      <c r="A26" s="0" t="s">
        <v>201</v>
      </c>
      <c r="B26" s="28" t="n">
        <v>0.336805555555556</v>
      </c>
      <c r="H26" s="18" t="n">
        <f aca="false">IF(16&lt;=NW,WEEK_ONE+105,"")</f>
        <v>46123</v>
      </c>
      <c r="I26" s="18" t="n">
        <f aca="false">IF(16&lt;=NW,WEEK_ONE+111,"")</f>
        <v>46129</v>
      </c>
      <c r="J26" s="0" t="str">
        <f aca="false">IF(16&lt;=NW,TEXT(DAY(H26),"00")&amp;"/"&amp;TEXT(MONTH(H26),"00")&amp;"/"&amp;YEAR(H26)&amp;"  -  "&amp;TEXT(DAY(I26),"00")&amp;"/"&amp;TEXT(MONTH(I26),"00")&amp;"/"&amp;YEAR(I26)&amp;"   ·   الأسبوع 16","")</f>
        <v>11/04/2026  -  17/04/2026   ·   الأسبوع 16</v>
      </c>
      <c r="K26" s="19" t="n">
        <f aca="false">IF(16&lt;=NW,MONTH(I26),"")</f>
        <v>4</v>
      </c>
      <c r="L26" s="0" t="n">
        <v>16</v>
      </c>
    </row>
    <row r="27" customFormat="false" ht="15" hidden="false" customHeight="false" outlineLevel="0" collapsed="false">
      <c r="A27" s="0" t="s">
        <v>202</v>
      </c>
      <c r="B27" s="28" t="n">
        <v>0.340277777777778</v>
      </c>
      <c r="H27" s="18" t="n">
        <f aca="false">IF(17&lt;=NW,WEEK_ONE+112,"")</f>
        <v>46130</v>
      </c>
      <c r="I27" s="18" t="n">
        <f aca="false">IF(17&lt;=NW,WEEK_ONE+118,"")</f>
        <v>46136</v>
      </c>
      <c r="J27" s="0" t="str">
        <f aca="false">IF(17&lt;=NW,TEXT(DAY(H27),"00")&amp;"/"&amp;TEXT(MONTH(H27),"00")&amp;"/"&amp;YEAR(H27)&amp;"  -  "&amp;TEXT(DAY(I27),"00")&amp;"/"&amp;TEXT(MONTH(I27),"00")&amp;"/"&amp;YEAR(I27)&amp;"   ·   الأسبوع 17","")</f>
        <v>18/04/2026  -  24/04/2026   ·   الأسبوع 17</v>
      </c>
      <c r="K27" s="19" t="n">
        <f aca="false">IF(17&lt;=NW,MONTH(I27),"")</f>
        <v>4</v>
      </c>
      <c r="L27" s="0" t="n">
        <v>17</v>
      </c>
    </row>
    <row r="28" customFormat="false" ht="15" hidden="false" customHeight="false" outlineLevel="0" collapsed="false">
      <c r="A28" s="0" t="s">
        <v>203</v>
      </c>
      <c r="B28" s="28" t="n">
        <v>0.34375</v>
      </c>
      <c r="H28" s="18" t="n">
        <f aca="false">IF(18&lt;=NW,WEEK_ONE+119,"")</f>
        <v>46137</v>
      </c>
      <c r="I28" s="18" t="n">
        <f aca="false">IF(18&lt;=NW,WEEK_ONE+125,"")</f>
        <v>46143</v>
      </c>
      <c r="J28" s="0" t="str">
        <f aca="false">IF(18&lt;=NW,TEXT(DAY(H28),"00")&amp;"/"&amp;TEXT(MONTH(H28),"00")&amp;"/"&amp;YEAR(H28)&amp;"  -  "&amp;TEXT(DAY(I28),"00")&amp;"/"&amp;TEXT(MONTH(I28),"00")&amp;"/"&amp;YEAR(I28)&amp;"   ·   الأسبوع 18","")</f>
        <v>25/04/2026  -  01/05/2026   ·   الأسبوع 18</v>
      </c>
      <c r="K28" s="19" t="n">
        <f aca="false">IF(18&lt;=NW,MONTH(I28),"")</f>
        <v>5</v>
      </c>
      <c r="L28" s="0" t="n">
        <v>18</v>
      </c>
    </row>
    <row r="29" customFormat="false" ht="15" hidden="false" customHeight="false" outlineLevel="0" collapsed="false">
      <c r="A29" s="0" t="s">
        <v>204</v>
      </c>
      <c r="B29" s="28" t="n">
        <v>0.347222222222222</v>
      </c>
      <c r="H29" s="18" t="n">
        <f aca="false">IF(19&lt;=NW,WEEK_ONE+126,"")</f>
        <v>46144</v>
      </c>
      <c r="I29" s="18" t="n">
        <f aca="false">IF(19&lt;=NW,WEEK_ONE+132,"")</f>
        <v>46150</v>
      </c>
      <c r="J29" s="0" t="str">
        <f aca="false">IF(19&lt;=NW,TEXT(DAY(H29),"00")&amp;"/"&amp;TEXT(MONTH(H29),"00")&amp;"/"&amp;YEAR(H29)&amp;"  -  "&amp;TEXT(DAY(I29),"00")&amp;"/"&amp;TEXT(MONTH(I29),"00")&amp;"/"&amp;YEAR(I29)&amp;"   ·   الأسبوع 19","")</f>
        <v>02/05/2026  -  08/05/2026   ·   الأسبوع 19</v>
      </c>
      <c r="K29" s="19" t="n">
        <f aca="false">IF(19&lt;=NW,MONTH(I29),"")</f>
        <v>5</v>
      </c>
      <c r="L29" s="0" t="n">
        <v>19</v>
      </c>
    </row>
    <row r="30" customFormat="false" ht="15" hidden="false" customHeight="false" outlineLevel="0" collapsed="false">
      <c r="A30" s="0" t="s">
        <v>205</v>
      </c>
      <c r="B30" s="28" t="n">
        <v>0.350694444444444</v>
      </c>
      <c r="H30" s="18" t="n">
        <f aca="false">IF(20&lt;=NW,WEEK_ONE+133,"")</f>
        <v>46151</v>
      </c>
      <c r="I30" s="18" t="n">
        <f aca="false">IF(20&lt;=NW,WEEK_ONE+139,"")</f>
        <v>46157</v>
      </c>
      <c r="J30" s="0" t="str">
        <f aca="false">IF(20&lt;=NW,TEXT(DAY(H30),"00")&amp;"/"&amp;TEXT(MONTH(H30),"00")&amp;"/"&amp;YEAR(H30)&amp;"  -  "&amp;TEXT(DAY(I30),"00")&amp;"/"&amp;TEXT(MONTH(I30),"00")&amp;"/"&amp;YEAR(I30)&amp;"   ·   الأسبوع 20","")</f>
        <v>09/05/2026  -  15/05/2026   ·   الأسبوع 20</v>
      </c>
      <c r="K30" s="19" t="n">
        <f aca="false">IF(20&lt;=NW,MONTH(I30),"")</f>
        <v>5</v>
      </c>
      <c r="L30" s="0" t="n">
        <v>20</v>
      </c>
    </row>
    <row r="31" customFormat="false" ht="15" hidden="false" customHeight="false" outlineLevel="0" collapsed="false">
      <c r="A31" s="0" t="s">
        <v>206</v>
      </c>
      <c r="B31" s="28" t="n">
        <v>0.354166666666667</v>
      </c>
      <c r="H31" s="18" t="n">
        <f aca="false">IF(21&lt;=NW,WEEK_ONE+140,"")</f>
        <v>46158</v>
      </c>
      <c r="I31" s="18" t="n">
        <f aca="false">IF(21&lt;=NW,WEEK_ONE+146,"")</f>
        <v>46164</v>
      </c>
      <c r="J31" s="0" t="str">
        <f aca="false">IF(21&lt;=NW,TEXT(DAY(H31),"00")&amp;"/"&amp;TEXT(MONTH(H31),"00")&amp;"/"&amp;YEAR(H31)&amp;"  -  "&amp;TEXT(DAY(I31),"00")&amp;"/"&amp;TEXT(MONTH(I31),"00")&amp;"/"&amp;YEAR(I31)&amp;"   ·   الأسبوع 21","")</f>
        <v>16/05/2026  -  22/05/2026   ·   الأسبوع 21</v>
      </c>
      <c r="K31" s="19" t="n">
        <f aca="false">IF(21&lt;=NW,MONTH(I31),"")</f>
        <v>5</v>
      </c>
      <c r="L31" s="0" t="n">
        <v>21</v>
      </c>
    </row>
    <row r="32" customFormat="false" ht="15" hidden="false" customHeight="false" outlineLevel="0" collapsed="false">
      <c r="A32" s="0" t="s">
        <v>207</v>
      </c>
      <c r="B32" s="28" t="n">
        <v>0.357638888888889</v>
      </c>
      <c r="H32" s="18" t="n">
        <f aca="false">IF(22&lt;=NW,WEEK_ONE+147,"")</f>
        <v>46165</v>
      </c>
      <c r="I32" s="18" t="n">
        <f aca="false">IF(22&lt;=NW,WEEK_ONE+153,"")</f>
        <v>46171</v>
      </c>
      <c r="J32" s="0" t="str">
        <f aca="false">IF(22&lt;=NW,TEXT(DAY(H32),"00")&amp;"/"&amp;TEXT(MONTH(H32),"00")&amp;"/"&amp;YEAR(H32)&amp;"  -  "&amp;TEXT(DAY(I32),"00")&amp;"/"&amp;TEXT(MONTH(I32),"00")&amp;"/"&amp;YEAR(I32)&amp;"   ·   الأسبوع 22","")</f>
        <v>23/05/2026  -  29/05/2026   ·   الأسبوع 22</v>
      </c>
      <c r="K32" s="19" t="n">
        <f aca="false">IF(22&lt;=NW,MONTH(I32),"")</f>
        <v>5</v>
      </c>
      <c r="L32" s="0" t="n">
        <v>22</v>
      </c>
    </row>
    <row r="33" customFormat="false" ht="15" hidden="false" customHeight="false" outlineLevel="0" collapsed="false">
      <c r="A33" s="0" t="s">
        <v>208</v>
      </c>
      <c r="B33" s="28" t="n">
        <v>0.361111111111111</v>
      </c>
      <c r="H33" s="18" t="n">
        <f aca="false">IF(23&lt;=NW,WEEK_ONE+154,"")</f>
        <v>46172</v>
      </c>
      <c r="I33" s="18" t="n">
        <f aca="false">IF(23&lt;=NW,WEEK_ONE+160,"")</f>
        <v>46178</v>
      </c>
      <c r="J33" s="0" t="str">
        <f aca="false">IF(23&lt;=NW,TEXT(DAY(H33),"00")&amp;"/"&amp;TEXT(MONTH(H33),"00")&amp;"/"&amp;YEAR(H33)&amp;"  -  "&amp;TEXT(DAY(I33),"00")&amp;"/"&amp;TEXT(MONTH(I33),"00")&amp;"/"&amp;YEAR(I33)&amp;"   ·   الأسبوع 23","")</f>
        <v>30/05/2026  -  05/06/2026   ·   الأسبوع 23</v>
      </c>
      <c r="K33" s="19" t="n">
        <f aca="false">IF(23&lt;=NW,MONTH(I33),"")</f>
        <v>6</v>
      </c>
      <c r="L33" s="0" t="n">
        <v>23</v>
      </c>
    </row>
    <row r="34" customFormat="false" ht="15" hidden="false" customHeight="false" outlineLevel="0" collapsed="false">
      <c r="A34" s="0" t="s">
        <v>209</v>
      </c>
      <c r="B34" s="28" t="n">
        <v>0.364583333333333</v>
      </c>
      <c r="H34" s="18" t="n">
        <f aca="false">IF(24&lt;=NW,WEEK_ONE+161,"")</f>
        <v>46179</v>
      </c>
      <c r="I34" s="18" t="n">
        <f aca="false">IF(24&lt;=NW,WEEK_ONE+167,"")</f>
        <v>46185</v>
      </c>
      <c r="J34" s="0" t="str">
        <f aca="false">IF(24&lt;=NW,TEXT(DAY(H34),"00")&amp;"/"&amp;TEXT(MONTH(H34),"00")&amp;"/"&amp;YEAR(H34)&amp;"  -  "&amp;TEXT(DAY(I34),"00")&amp;"/"&amp;TEXT(MONTH(I34),"00")&amp;"/"&amp;YEAR(I34)&amp;"   ·   الأسبوع 24","")</f>
        <v>06/06/2026  -  12/06/2026   ·   الأسبوع 24</v>
      </c>
      <c r="K34" s="19" t="n">
        <f aca="false">IF(24&lt;=NW,MONTH(I34),"")</f>
        <v>6</v>
      </c>
      <c r="L34" s="0" t="n">
        <v>24</v>
      </c>
    </row>
    <row r="35" customFormat="false" ht="15" hidden="false" customHeight="false" outlineLevel="0" collapsed="false">
      <c r="A35" s="0" t="s">
        <v>210</v>
      </c>
      <c r="B35" s="28" t="n">
        <v>0.368055555555556</v>
      </c>
      <c r="H35" s="18" t="n">
        <f aca="false">IF(25&lt;=NW,WEEK_ONE+168,"")</f>
        <v>46186</v>
      </c>
      <c r="I35" s="18" t="n">
        <f aca="false">IF(25&lt;=NW,WEEK_ONE+174,"")</f>
        <v>46192</v>
      </c>
      <c r="J35" s="0" t="str">
        <f aca="false">IF(25&lt;=NW,TEXT(DAY(H35),"00")&amp;"/"&amp;TEXT(MONTH(H35),"00")&amp;"/"&amp;YEAR(H35)&amp;"  -  "&amp;TEXT(DAY(I35),"00")&amp;"/"&amp;TEXT(MONTH(I35),"00")&amp;"/"&amp;YEAR(I35)&amp;"   ·   الأسبوع 25","")</f>
        <v>13/06/2026  -  19/06/2026   ·   الأسبوع 25</v>
      </c>
      <c r="K35" s="19" t="n">
        <f aca="false">IF(25&lt;=NW,MONTH(I35),"")</f>
        <v>6</v>
      </c>
      <c r="L35" s="0" t="n">
        <v>25</v>
      </c>
    </row>
    <row r="36" customFormat="false" ht="15" hidden="false" customHeight="false" outlineLevel="0" collapsed="false">
      <c r="A36" s="0" t="s">
        <v>211</v>
      </c>
      <c r="B36" s="28" t="n">
        <v>0.371527777777778</v>
      </c>
      <c r="H36" s="18" t="n">
        <f aca="false">IF(26&lt;=NW,WEEK_ONE+175,"")</f>
        <v>46193</v>
      </c>
      <c r="I36" s="18" t="n">
        <f aca="false">IF(26&lt;=NW,WEEK_ONE+181,"")</f>
        <v>46199</v>
      </c>
      <c r="J36" s="0" t="str">
        <f aca="false">IF(26&lt;=NW,TEXT(DAY(H36),"00")&amp;"/"&amp;TEXT(MONTH(H36),"00")&amp;"/"&amp;YEAR(H36)&amp;"  -  "&amp;TEXT(DAY(I36),"00")&amp;"/"&amp;TEXT(MONTH(I36),"00")&amp;"/"&amp;YEAR(I36)&amp;"   ·   الأسبوع 26","")</f>
        <v>20/06/2026  -  26/06/2026   ·   الأسبوع 26</v>
      </c>
      <c r="K36" s="19" t="n">
        <f aca="false">IF(26&lt;=NW,MONTH(I36),"")</f>
        <v>6</v>
      </c>
      <c r="L36" s="0" t="n">
        <v>26</v>
      </c>
    </row>
    <row r="37" customFormat="false" ht="15" hidden="false" customHeight="false" outlineLevel="0" collapsed="false">
      <c r="A37" s="0" t="s">
        <v>212</v>
      </c>
      <c r="B37" s="28" t="n">
        <v>0.375</v>
      </c>
      <c r="H37" s="18" t="n">
        <f aca="false">IF(27&lt;=NW,WEEK_ONE+182,"")</f>
        <v>46200</v>
      </c>
      <c r="I37" s="18" t="n">
        <f aca="false">IF(27&lt;=NW,WEEK_ONE+188,"")</f>
        <v>46206</v>
      </c>
      <c r="J37" s="0" t="str">
        <f aca="false">IF(27&lt;=NW,TEXT(DAY(H37),"00")&amp;"/"&amp;TEXT(MONTH(H37),"00")&amp;"/"&amp;YEAR(H37)&amp;"  -  "&amp;TEXT(DAY(I37),"00")&amp;"/"&amp;TEXT(MONTH(I37),"00")&amp;"/"&amp;YEAR(I37)&amp;"   ·   الأسبوع 27","")</f>
        <v>27/06/2026  -  03/07/2026   ·   الأسبوع 27</v>
      </c>
      <c r="K37" s="19" t="n">
        <f aca="false">IF(27&lt;=NW,MONTH(I37),"")</f>
        <v>7</v>
      </c>
      <c r="L37" s="0" t="n">
        <v>27</v>
      </c>
    </row>
    <row r="38" customFormat="false" ht="15" hidden="false" customHeight="false" outlineLevel="0" collapsed="false">
      <c r="A38" s="0" t="s">
        <v>213</v>
      </c>
      <c r="B38" s="28" t="n">
        <v>0.378472222222222</v>
      </c>
      <c r="H38" s="18" t="n">
        <f aca="false">IF(28&lt;=NW,WEEK_ONE+189,"")</f>
        <v>46207</v>
      </c>
      <c r="I38" s="18" t="n">
        <f aca="false">IF(28&lt;=NW,WEEK_ONE+195,"")</f>
        <v>46213</v>
      </c>
      <c r="J38" s="0" t="str">
        <f aca="false">IF(28&lt;=NW,TEXT(DAY(H38),"00")&amp;"/"&amp;TEXT(MONTH(H38),"00")&amp;"/"&amp;YEAR(H38)&amp;"  -  "&amp;TEXT(DAY(I38),"00")&amp;"/"&amp;TEXT(MONTH(I38),"00")&amp;"/"&amp;YEAR(I38)&amp;"   ·   الأسبوع 28","")</f>
        <v>04/07/2026  -  10/07/2026   ·   الأسبوع 28</v>
      </c>
      <c r="K38" s="19" t="n">
        <f aca="false">IF(28&lt;=NW,MONTH(I38),"")</f>
        <v>7</v>
      </c>
      <c r="L38" s="0" t="n">
        <v>28</v>
      </c>
    </row>
    <row r="39" customFormat="false" ht="15" hidden="false" customHeight="false" outlineLevel="0" collapsed="false">
      <c r="A39" s="0" t="s">
        <v>214</v>
      </c>
      <c r="B39" s="28" t="n">
        <v>0.381944444444444</v>
      </c>
      <c r="H39" s="18" t="n">
        <f aca="false">IF(29&lt;=NW,WEEK_ONE+196,"")</f>
        <v>46214</v>
      </c>
      <c r="I39" s="18" t="n">
        <f aca="false">IF(29&lt;=NW,WEEK_ONE+202,"")</f>
        <v>46220</v>
      </c>
      <c r="J39" s="0" t="str">
        <f aca="false">IF(29&lt;=NW,TEXT(DAY(H39),"00")&amp;"/"&amp;TEXT(MONTH(H39),"00")&amp;"/"&amp;YEAR(H39)&amp;"  -  "&amp;TEXT(DAY(I39),"00")&amp;"/"&amp;TEXT(MONTH(I39),"00")&amp;"/"&amp;YEAR(I39)&amp;"   ·   الأسبوع 29","")</f>
        <v>11/07/2026  -  17/07/2026   ·   الأسبوع 29</v>
      </c>
      <c r="K39" s="19" t="n">
        <f aca="false">IF(29&lt;=NW,MONTH(I39),"")</f>
        <v>7</v>
      </c>
      <c r="L39" s="0" t="n">
        <v>29</v>
      </c>
    </row>
    <row r="40" customFormat="false" ht="15" hidden="false" customHeight="false" outlineLevel="0" collapsed="false">
      <c r="A40" s="0" t="s">
        <v>215</v>
      </c>
      <c r="B40" s="28" t="n">
        <v>0.385416666666667</v>
      </c>
      <c r="H40" s="18" t="n">
        <f aca="false">IF(30&lt;=NW,WEEK_ONE+203,"")</f>
        <v>46221</v>
      </c>
      <c r="I40" s="18" t="n">
        <f aca="false">IF(30&lt;=NW,WEEK_ONE+209,"")</f>
        <v>46227</v>
      </c>
      <c r="J40" s="0" t="str">
        <f aca="false">IF(30&lt;=NW,TEXT(DAY(H40),"00")&amp;"/"&amp;TEXT(MONTH(H40),"00")&amp;"/"&amp;YEAR(H40)&amp;"  -  "&amp;TEXT(DAY(I40),"00")&amp;"/"&amp;TEXT(MONTH(I40),"00")&amp;"/"&amp;YEAR(I40)&amp;"   ·   الأسبوع 30","")</f>
        <v>18/07/2026  -  24/07/2026   ·   الأسبوع 30</v>
      </c>
      <c r="K40" s="19" t="n">
        <f aca="false">IF(30&lt;=NW,MONTH(I40),"")</f>
        <v>7</v>
      </c>
      <c r="L40" s="0" t="n">
        <v>30</v>
      </c>
    </row>
    <row r="41" customFormat="false" ht="15" hidden="false" customHeight="false" outlineLevel="0" collapsed="false">
      <c r="A41" s="0" t="s">
        <v>216</v>
      </c>
      <c r="B41" s="28" t="n">
        <v>0.388888888888889</v>
      </c>
      <c r="H41" s="18" t="n">
        <f aca="false">IF(31&lt;=NW,WEEK_ONE+210,"")</f>
        <v>46228</v>
      </c>
      <c r="I41" s="18" t="n">
        <f aca="false">IF(31&lt;=NW,WEEK_ONE+216,"")</f>
        <v>46234</v>
      </c>
      <c r="J41" s="0" t="str">
        <f aca="false">IF(31&lt;=NW,TEXT(DAY(H41),"00")&amp;"/"&amp;TEXT(MONTH(H41),"00")&amp;"/"&amp;YEAR(H41)&amp;"  -  "&amp;TEXT(DAY(I41),"00")&amp;"/"&amp;TEXT(MONTH(I41),"00")&amp;"/"&amp;YEAR(I41)&amp;"   ·   الأسبوع 31","")</f>
        <v>25/07/2026  -  31/07/2026   ·   الأسبوع 31</v>
      </c>
      <c r="K41" s="19" t="n">
        <f aca="false">IF(31&lt;=NW,MONTH(I41),"")</f>
        <v>7</v>
      </c>
      <c r="L41" s="0" t="n">
        <v>31</v>
      </c>
    </row>
    <row r="42" customFormat="false" ht="15" hidden="false" customHeight="false" outlineLevel="0" collapsed="false">
      <c r="A42" s="0" t="s">
        <v>217</v>
      </c>
      <c r="B42" s="28" t="n">
        <v>0.392361111111111</v>
      </c>
      <c r="H42" s="18" t="n">
        <f aca="false">IF(32&lt;=NW,WEEK_ONE+217,"")</f>
        <v>46235</v>
      </c>
      <c r="I42" s="18" t="n">
        <f aca="false">IF(32&lt;=NW,WEEK_ONE+223,"")</f>
        <v>46241</v>
      </c>
      <c r="J42" s="0" t="str">
        <f aca="false">IF(32&lt;=NW,TEXT(DAY(H42),"00")&amp;"/"&amp;TEXT(MONTH(H42),"00")&amp;"/"&amp;YEAR(H42)&amp;"  -  "&amp;TEXT(DAY(I42),"00")&amp;"/"&amp;TEXT(MONTH(I42),"00")&amp;"/"&amp;YEAR(I42)&amp;"   ·   الأسبوع 32","")</f>
        <v>01/08/2026  -  07/08/2026   ·   الأسبوع 32</v>
      </c>
      <c r="K42" s="19" t="n">
        <f aca="false">IF(32&lt;=NW,MONTH(I42),"")</f>
        <v>8</v>
      </c>
      <c r="L42" s="0" t="n">
        <v>32</v>
      </c>
    </row>
    <row r="43" customFormat="false" ht="15" hidden="false" customHeight="false" outlineLevel="0" collapsed="false">
      <c r="A43" s="0" t="s">
        <v>218</v>
      </c>
      <c r="B43" s="28" t="n">
        <v>0.395833333333333</v>
      </c>
      <c r="H43" s="18" t="n">
        <f aca="false">IF(33&lt;=NW,WEEK_ONE+224,"")</f>
        <v>46242</v>
      </c>
      <c r="I43" s="18" t="n">
        <f aca="false">IF(33&lt;=NW,WEEK_ONE+230,"")</f>
        <v>46248</v>
      </c>
      <c r="J43" s="0" t="str">
        <f aca="false">IF(33&lt;=NW,TEXT(DAY(H43),"00")&amp;"/"&amp;TEXT(MONTH(H43),"00")&amp;"/"&amp;YEAR(H43)&amp;"  -  "&amp;TEXT(DAY(I43),"00")&amp;"/"&amp;TEXT(MONTH(I43),"00")&amp;"/"&amp;YEAR(I43)&amp;"   ·   الأسبوع 33","")</f>
        <v>08/08/2026  -  14/08/2026   ·   الأسبوع 33</v>
      </c>
      <c r="K43" s="19" t="n">
        <f aca="false">IF(33&lt;=NW,MONTH(I43),"")</f>
        <v>8</v>
      </c>
      <c r="L43" s="0" t="n">
        <v>33</v>
      </c>
    </row>
    <row r="44" customFormat="false" ht="15" hidden="false" customHeight="false" outlineLevel="0" collapsed="false">
      <c r="A44" s="0" t="s">
        <v>219</v>
      </c>
      <c r="B44" s="28" t="n">
        <v>0.399305555555556</v>
      </c>
      <c r="H44" s="18" t="n">
        <f aca="false">IF(34&lt;=NW,WEEK_ONE+231,"")</f>
        <v>46249</v>
      </c>
      <c r="I44" s="18" t="n">
        <f aca="false">IF(34&lt;=NW,WEEK_ONE+237,"")</f>
        <v>46255</v>
      </c>
      <c r="J44" s="0" t="str">
        <f aca="false">IF(34&lt;=NW,TEXT(DAY(H44),"00")&amp;"/"&amp;TEXT(MONTH(H44),"00")&amp;"/"&amp;YEAR(H44)&amp;"  -  "&amp;TEXT(DAY(I44),"00")&amp;"/"&amp;TEXT(MONTH(I44),"00")&amp;"/"&amp;YEAR(I44)&amp;"   ·   الأسبوع 34","")</f>
        <v>15/08/2026  -  21/08/2026   ·   الأسبوع 34</v>
      </c>
      <c r="K44" s="19" t="n">
        <f aca="false">IF(34&lt;=NW,MONTH(I44),"")</f>
        <v>8</v>
      </c>
      <c r="L44" s="0" t="n">
        <v>34</v>
      </c>
    </row>
    <row r="45" customFormat="false" ht="15" hidden="false" customHeight="false" outlineLevel="0" collapsed="false">
      <c r="A45" s="0" t="s">
        <v>220</v>
      </c>
      <c r="B45" s="28" t="n">
        <v>0.402777777777778</v>
      </c>
      <c r="H45" s="18" t="n">
        <f aca="false">IF(35&lt;=NW,WEEK_ONE+238,"")</f>
        <v>46256</v>
      </c>
      <c r="I45" s="18" t="n">
        <f aca="false">IF(35&lt;=NW,WEEK_ONE+244,"")</f>
        <v>46262</v>
      </c>
      <c r="J45" s="0" t="str">
        <f aca="false">IF(35&lt;=NW,TEXT(DAY(H45),"00")&amp;"/"&amp;TEXT(MONTH(H45),"00")&amp;"/"&amp;YEAR(H45)&amp;"  -  "&amp;TEXT(DAY(I45),"00")&amp;"/"&amp;TEXT(MONTH(I45),"00")&amp;"/"&amp;YEAR(I45)&amp;"   ·   الأسبوع 35","")</f>
        <v>22/08/2026  -  28/08/2026   ·   الأسبوع 35</v>
      </c>
      <c r="K45" s="19" t="n">
        <f aca="false">IF(35&lt;=NW,MONTH(I45),"")</f>
        <v>8</v>
      </c>
      <c r="L45" s="0" t="n">
        <v>35</v>
      </c>
    </row>
    <row r="46" customFormat="false" ht="15" hidden="false" customHeight="false" outlineLevel="0" collapsed="false">
      <c r="A46" s="0" t="s">
        <v>221</v>
      </c>
      <c r="B46" s="28" t="n">
        <v>0.40625</v>
      </c>
      <c r="H46" s="18" t="n">
        <f aca="false">IF(36&lt;=NW,WEEK_ONE+245,"")</f>
        <v>46263</v>
      </c>
      <c r="I46" s="18" t="n">
        <f aca="false">IF(36&lt;=NW,WEEK_ONE+251,"")</f>
        <v>46269</v>
      </c>
      <c r="J46" s="0" t="str">
        <f aca="false">IF(36&lt;=NW,TEXT(DAY(H46),"00")&amp;"/"&amp;TEXT(MONTH(H46),"00")&amp;"/"&amp;YEAR(H46)&amp;"  -  "&amp;TEXT(DAY(I46),"00")&amp;"/"&amp;TEXT(MONTH(I46),"00")&amp;"/"&amp;YEAR(I46)&amp;"   ·   الأسبوع 36","")</f>
        <v>29/08/2026  -  04/09/2026   ·   الأسبوع 36</v>
      </c>
      <c r="K46" s="19" t="n">
        <f aca="false">IF(36&lt;=NW,MONTH(I46),"")</f>
        <v>9</v>
      </c>
      <c r="L46" s="0" t="n">
        <v>36</v>
      </c>
    </row>
    <row r="47" customFormat="false" ht="15" hidden="false" customHeight="false" outlineLevel="0" collapsed="false">
      <c r="A47" s="0" t="s">
        <v>222</v>
      </c>
      <c r="B47" s="28" t="n">
        <v>0.409722222222222</v>
      </c>
      <c r="H47" s="18" t="n">
        <f aca="false">IF(37&lt;=NW,WEEK_ONE+252,"")</f>
        <v>46270</v>
      </c>
      <c r="I47" s="18" t="n">
        <f aca="false">IF(37&lt;=NW,WEEK_ONE+258,"")</f>
        <v>46276</v>
      </c>
      <c r="J47" s="0" t="str">
        <f aca="false">IF(37&lt;=NW,TEXT(DAY(H47),"00")&amp;"/"&amp;TEXT(MONTH(H47),"00")&amp;"/"&amp;YEAR(H47)&amp;"  -  "&amp;TEXT(DAY(I47),"00")&amp;"/"&amp;TEXT(MONTH(I47),"00")&amp;"/"&amp;YEAR(I47)&amp;"   ·   الأسبوع 37","")</f>
        <v>05/09/2026  -  11/09/2026   ·   الأسبوع 37</v>
      </c>
      <c r="K47" s="19" t="n">
        <f aca="false">IF(37&lt;=NW,MONTH(I47),"")</f>
        <v>9</v>
      </c>
      <c r="L47" s="0" t="n">
        <v>37</v>
      </c>
    </row>
    <row r="48" customFormat="false" ht="15" hidden="false" customHeight="false" outlineLevel="0" collapsed="false">
      <c r="A48" s="0" t="s">
        <v>223</v>
      </c>
      <c r="B48" s="28" t="n">
        <v>0.413194444444444</v>
      </c>
      <c r="H48" s="18" t="n">
        <f aca="false">IF(38&lt;=NW,WEEK_ONE+259,"")</f>
        <v>46277</v>
      </c>
      <c r="I48" s="18" t="n">
        <f aca="false">IF(38&lt;=NW,WEEK_ONE+265,"")</f>
        <v>46283</v>
      </c>
      <c r="J48" s="0" t="str">
        <f aca="false">IF(38&lt;=NW,TEXT(DAY(H48),"00")&amp;"/"&amp;TEXT(MONTH(H48),"00")&amp;"/"&amp;YEAR(H48)&amp;"  -  "&amp;TEXT(DAY(I48),"00")&amp;"/"&amp;TEXT(MONTH(I48),"00")&amp;"/"&amp;YEAR(I48)&amp;"   ·   الأسبوع 38","")</f>
        <v>12/09/2026  -  18/09/2026   ·   الأسبوع 38</v>
      </c>
      <c r="K48" s="19" t="n">
        <f aca="false">IF(38&lt;=NW,MONTH(I48),"")</f>
        <v>9</v>
      </c>
      <c r="L48" s="0" t="n">
        <v>38</v>
      </c>
    </row>
    <row r="49" customFormat="false" ht="15" hidden="false" customHeight="false" outlineLevel="0" collapsed="false">
      <c r="A49" s="0" t="s">
        <v>224</v>
      </c>
      <c r="B49" s="28" t="n">
        <v>0.416666666666667</v>
      </c>
      <c r="H49" s="18" t="n">
        <f aca="false">IF(39&lt;=NW,WEEK_ONE+266,"")</f>
        <v>46284</v>
      </c>
      <c r="I49" s="18" t="n">
        <f aca="false">IF(39&lt;=NW,WEEK_ONE+272,"")</f>
        <v>46290</v>
      </c>
      <c r="J49" s="0" t="str">
        <f aca="false">IF(39&lt;=NW,TEXT(DAY(H49),"00")&amp;"/"&amp;TEXT(MONTH(H49),"00")&amp;"/"&amp;YEAR(H49)&amp;"  -  "&amp;TEXT(DAY(I49),"00")&amp;"/"&amp;TEXT(MONTH(I49),"00")&amp;"/"&amp;YEAR(I49)&amp;"   ·   الأسبوع 39","")</f>
        <v>19/09/2026  -  25/09/2026   ·   الأسبوع 39</v>
      </c>
      <c r="K49" s="19" t="n">
        <f aca="false">IF(39&lt;=NW,MONTH(I49),"")</f>
        <v>9</v>
      </c>
      <c r="L49" s="0" t="n">
        <v>39</v>
      </c>
    </row>
    <row r="50" customFormat="false" ht="15" hidden="false" customHeight="false" outlineLevel="0" collapsed="false">
      <c r="A50" s="0" t="s">
        <v>225</v>
      </c>
      <c r="B50" s="28" t="n">
        <v>0.420138888888889</v>
      </c>
      <c r="H50" s="18" t="n">
        <f aca="false">IF(40&lt;=NW,WEEK_ONE+273,"")</f>
        <v>46291</v>
      </c>
      <c r="I50" s="18" t="n">
        <f aca="false">IF(40&lt;=NW,WEEK_ONE+279,"")</f>
        <v>46297</v>
      </c>
      <c r="J50" s="0" t="str">
        <f aca="false">IF(40&lt;=NW,TEXT(DAY(H50),"00")&amp;"/"&amp;TEXT(MONTH(H50),"00")&amp;"/"&amp;YEAR(H50)&amp;"  -  "&amp;TEXT(DAY(I50),"00")&amp;"/"&amp;TEXT(MONTH(I50),"00")&amp;"/"&amp;YEAR(I50)&amp;"   ·   الأسبوع 40","")</f>
        <v>26/09/2026  -  02/10/2026   ·   الأسبوع 40</v>
      </c>
      <c r="K50" s="19" t="n">
        <f aca="false">IF(40&lt;=NW,MONTH(I50),"")</f>
        <v>10</v>
      </c>
      <c r="L50" s="0" t="n">
        <v>40</v>
      </c>
    </row>
    <row r="51" customFormat="false" ht="15" hidden="false" customHeight="false" outlineLevel="0" collapsed="false">
      <c r="A51" s="0" t="s">
        <v>226</v>
      </c>
      <c r="B51" s="28" t="n">
        <v>0.423611111111111</v>
      </c>
      <c r="H51" s="18" t="n">
        <f aca="false">IF(41&lt;=NW,WEEK_ONE+280,"")</f>
        <v>46298</v>
      </c>
      <c r="I51" s="18" t="n">
        <f aca="false">IF(41&lt;=NW,WEEK_ONE+286,"")</f>
        <v>46304</v>
      </c>
      <c r="J51" s="0" t="str">
        <f aca="false">IF(41&lt;=NW,TEXT(DAY(H51),"00")&amp;"/"&amp;TEXT(MONTH(H51),"00")&amp;"/"&amp;YEAR(H51)&amp;"  -  "&amp;TEXT(DAY(I51),"00")&amp;"/"&amp;TEXT(MONTH(I51),"00")&amp;"/"&amp;YEAR(I51)&amp;"   ·   الأسبوع 41","")</f>
        <v>03/10/2026  -  09/10/2026   ·   الأسبوع 41</v>
      </c>
      <c r="K51" s="19" t="n">
        <f aca="false">IF(41&lt;=NW,MONTH(I51),"")</f>
        <v>10</v>
      </c>
      <c r="L51" s="0" t="n">
        <v>41</v>
      </c>
    </row>
    <row r="52" customFormat="false" ht="15" hidden="false" customHeight="false" outlineLevel="0" collapsed="false">
      <c r="A52" s="0" t="s">
        <v>227</v>
      </c>
      <c r="B52" s="28" t="n">
        <v>0.427083333333333</v>
      </c>
      <c r="H52" s="18" t="n">
        <f aca="false">IF(42&lt;=NW,WEEK_ONE+287,"")</f>
        <v>46305</v>
      </c>
      <c r="I52" s="18" t="n">
        <f aca="false">IF(42&lt;=NW,WEEK_ONE+293,"")</f>
        <v>46311</v>
      </c>
      <c r="J52" s="0" t="str">
        <f aca="false">IF(42&lt;=NW,TEXT(DAY(H52),"00")&amp;"/"&amp;TEXT(MONTH(H52),"00")&amp;"/"&amp;YEAR(H52)&amp;"  -  "&amp;TEXT(DAY(I52),"00")&amp;"/"&amp;TEXT(MONTH(I52),"00")&amp;"/"&amp;YEAR(I52)&amp;"   ·   الأسبوع 42","")</f>
        <v>10/10/2026  -  16/10/2026   ·   الأسبوع 42</v>
      </c>
      <c r="K52" s="19" t="n">
        <f aca="false">IF(42&lt;=NW,MONTH(I52),"")</f>
        <v>10</v>
      </c>
      <c r="L52" s="0" t="n">
        <v>42</v>
      </c>
    </row>
    <row r="53" customFormat="false" ht="15" hidden="false" customHeight="false" outlineLevel="0" collapsed="false">
      <c r="A53" s="0" t="s">
        <v>228</v>
      </c>
      <c r="B53" s="28" t="n">
        <v>0.430555555555556</v>
      </c>
      <c r="H53" s="18" t="n">
        <f aca="false">IF(43&lt;=NW,WEEK_ONE+294,"")</f>
        <v>46312</v>
      </c>
      <c r="I53" s="18" t="n">
        <f aca="false">IF(43&lt;=NW,WEEK_ONE+300,"")</f>
        <v>46318</v>
      </c>
      <c r="J53" s="0" t="str">
        <f aca="false">IF(43&lt;=NW,TEXT(DAY(H53),"00")&amp;"/"&amp;TEXT(MONTH(H53),"00")&amp;"/"&amp;YEAR(H53)&amp;"  -  "&amp;TEXT(DAY(I53),"00")&amp;"/"&amp;TEXT(MONTH(I53),"00")&amp;"/"&amp;YEAR(I53)&amp;"   ·   الأسبوع 43","")</f>
        <v>17/10/2026  -  23/10/2026   ·   الأسبوع 43</v>
      </c>
      <c r="K53" s="19" t="n">
        <f aca="false">IF(43&lt;=NW,MONTH(I53),"")</f>
        <v>10</v>
      </c>
      <c r="L53" s="0" t="n">
        <v>43</v>
      </c>
    </row>
    <row r="54" customFormat="false" ht="15" hidden="false" customHeight="false" outlineLevel="0" collapsed="false">
      <c r="A54" s="0" t="s">
        <v>229</v>
      </c>
      <c r="B54" s="28" t="n">
        <v>0.434027777777778</v>
      </c>
      <c r="H54" s="18" t="n">
        <f aca="false">IF(44&lt;=NW,WEEK_ONE+301,"")</f>
        <v>46319</v>
      </c>
      <c r="I54" s="18" t="n">
        <f aca="false">IF(44&lt;=NW,WEEK_ONE+307,"")</f>
        <v>46325</v>
      </c>
      <c r="J54" s="0" t="str">
        <f aca="false">IF(44&lt;=NW,TEXT(DAY(H54),"00")&amp;"/"&amp;TEXT(MONTH(H54),"00")&amp;"/"&amp;YEAR(H54)&amp;"  -  "&amp;TEXT(DAY(I54),"00")&amp;"/"&amp;TEXT(MONTH(I54),"00")&amp;"/"&amp;YEAR(I54)&amp;"   ·   الأسبوع 44","")</f>
        <v>24/10/2026  -  30/10/2026   ·   الأسبوع 44</v>
      </c>
      <c r="K54" s="19" t="n">
        <f aca="false">IF(44&lt;=NW,MONTH(I54),"")</f>
        <v>10</v>
      </c>
      <c r="L54" s="0" t="n">
        <v>44</v>
      </c>
    </row>
    <row r="55" customFormat="false" ht="15" hidden="false" customHeight="false" outlineLevel="0" collapsed="false">
      <c r="A55" s="0" t="s">
        <v>230</v>
      </c>
      <c r="B55" s="28" t="n">
        <v>0.4375</v>
      </c>
      <c r="H55" s="18" t="n">
        <f aca="false">IF(45&lt;=NW,WEEK_ONE+308,"")</f>
        <v>46326</v>
      </c>
      <c r="I55" s="18" t="n">
        <f aca="false">IF(45&lt;=NW,WEEK_ONE+314,"")</f>
        <v>46332</v>
      </c>
      <c r="J55" s="0" t="str">
        <f aca="false">IF(45&lt;=NW,TEXT(DAY(H55),"00")&amp;"/"&amp;TEXT(MONTH(H55),"00")&amp;"/"&amp;YEAR(H55)&amp;"  -  "&amp;TEXT(DAY(I55),"00")&amp;"/"&amp;TEXT(MONTH(I55),"00")&amp;"/"&amp;YEAR(I55)&amp;"   ·   الأسبوع 45","")</f>
        <v>31/10/2026  -  06/11/2026   ·   الأسبوع 45</v>
      </c>
      <c r="K55" s="19" t="n">
        <f aca="false">IF(45&lt;=NW,MONTH(I55),"")</f>
        <v>11</v>
      </c>
      <c r="L55" s="0" t="n">
        <v>45</v>
      </c>
    </row>
    <row r="56" customFormat="false" ht="15" hidden="false" customHeight="false" outlineLevel="0" collapsed="false">
      <c r="A56" s="0" t="s">
        <v>231</v>
      </c>
      <c r="B56" s="28" t="n">
        <v>0.440972222222222</v>
      </c>
      <c r="H56" s="18" t="n">
        <f aca="false">IF(46&lt;=NW,WEEK_ONE+315,"")</f>
        <v>46333</v>
      </c>
      <c r="I56" s="18" t="n">
        <f aca="false">IF(46&lt;=NW,WEEK_ONE+321,"")</f>
        <v>46339</v>
      </c>
      <c r="J56" s="0" t="str">
        <f aca="false">IF(46&lt;=NW,TEXT(DAY(H56),"00")&amp;"/"&amp;TEXT(MONTH(H56),"00")&amp;"/"&amp;YEAR(H56)&amp;"  -  "&amp;TEXT(DAY(I56),"00")&amp;"/"&amp;TEXT(MONTH(I56),"00")&amp;"/"&amp;YEAR(I56)&amp;"   ·   الأسبوع 46","")</f>
        <v>07/11/2026  -  13/11/2026   ·   الأسبوع 46</v>
      </c>
      <c r="K56" s="19" t="n">
        <f aca="false">IF(46&lt;=NW,MONTH(I56),"")</f>
        <v>11</v>
      </c>
      <c r="L56" s="0" t="n">
        <v>46</v>
      </c>
    </row>
    <row r="57" customFormat="false" ht="15" hidden="false" customHeight="false" outlineLevel="0" collapsed="false">
      <c r="A57" s="0" t="s">
        <v>232</v>
      </c>
      <c r="B57" s="28" t="n">
        <v>0.444444444444444</v>
      </c>
      <c r="H57" s="18" t="n">
        <f aca="false">IF(47&lt;=NW,WEEK_ONE+322,"")</f>
        <v>46340</v>
      </c>
      <c r="I57" s="18" t="n">
        <f aca="false">IF(47&lt;=NW,WEEK_ONE+328,"")</f>
        <v>46346</v>
      </c>
      <c r="J57" s="0" t="str">
        <f aca="false">IF(47&lt;=NW,TEXT(DAY(H57),"00")&amp;"/"&amp;TEXT(MONTH(H57),"00")&amp;"/"&amp;YEAR(H57)&amp;"  -  "&amp;TEXT(DAY(I57),"00")&amp;"/"&amp;TEXT(MONTH(I57),"00")&amp;"/"&amp;YEAR(I57)&amp;"   ·   الأسبوع 47","")</f>
        <v>14/11/2026  -  20/11/2026   ·   الأسبوع 47</v>
      </c>
      <c r="K57" s="19" t="n">
        <f aca="false">IF(47&lt;=NW,MONTH(I57),"")</f>
        <v>11</v>
      </c>
      <c r="L57" s="0" t="n">
        <v>47</v>
      </c>
    </row>
    <row r="58" customFormat="false" ht="15" hidden="false" customHeight="false" outlineLevel="0" collapsed="false">
      <c r="A58" s="0" t="s">
        <v>233</v>
      </c>
      <c r="B58" s="28" t="n">
        <v>0.447916666666667</v>
      </c>
      <c r="H58" s="18" t="n">
        <f aca="false">IF(48&lt;=NW,WEEK_ONE+329,"")</f>
        <v>46347</v>
      </c>
      <c r="I58" s="18" t="n">
        <f aca="false">IF(48&lt;=NW,WEEK_ONE+335,"")</f>
        <v>46353</v>
      </c>
      <c r="J58" s="0" t="str">
        <f aca="false">IF(48&lt;=NW,TEXT(DAY(H58),"00")&amp;"/"&amp;TEXT(MONTH(H58),"00")&amp;"/"&amp;YEAR(H58)&amp;"  -  "&amp;TEXT(DAY(I58),"00")&amp;"/"&amp;TEXT(MONTH(I58),"00")&amp;"/"&amp;YEAR(I58)&amp;"   ·   الأسبوع 48","")</f>
        <v>21/11/2026  -  27/11/2026   ·   الأسبوع 48</v>
      </c>
      <c r="K58" s="19" t="n">
        <f aca="false">IF(48&lt;=NW,MONTH(I58),"")</f>
        <v>11</v>
      </c>
      <c r="L58" s="0" t="n">
        <v>48</v>
      </c>
    </row>
    <row r="59" customFormat="false" ht="15" hidden="false" customHeight="false" outlineLevel="0" collapsed="false">
      <c r="A59" s="0" t="s">
        <v>234</v>
      </c>
      <c r="B59" s="28" t="n">
        <v>0.451388888888889</v>
      </c>
      <c r="H59" s="18" t="n">
        <f aca="false">IF(49&lt;=NW,WEEK_ONE+336,"")</f>
        <v>46354</v>
      </c>
      <c r="I59" s="18" t="n">
        <f aca="false">IF(49&lt;=NW,WEEK_ONE+342,"")</f>
        <v>46360</v>
      </c>
      <c r="J59" s="0" t="str">
        <f aca="false">IF(49&lt;=NW,TEXT(DAY(H59),"00")&amp;"/"&amp;TEXT(MONTH(H59),"00")&amp;"/"&amp;YEAR(H59)&amp;"  -  "&amp;TEXT(DAY(I59),"00")&amp;"/"&amp;TEXT(MONTH(I59),"00")&amp;"/"&amp;YEAR(I59)&amp;"   ·   الأسبوع 49","")</f>
        <v>28/11/2026  -  04/12/2026   ·   الأسبوع 49</v>
      </c>
      <c r="K59" s="19" t="n">
        <f aca="false">IF(49&lt;=NW,MONTH(I59),"")</f>
        <v>12</v>
      </c>
      <c r="L59" s="0" t="n">
        <v>49</v>
      </c>
    </row>
    <row r="60" customFormat="false" ht="15" hidden="false" customHeight="false" outlineLevel="0" collapsed="false">
      <c r="A60" s="0" t="s">
        <v>235</v>
      </c>
      <c r="B60" s="28" t="n">
        <v>0.454861111111111</v>
      </c>
      <c r="H60" s="18" t="n">
        <f aca="false">IF(50&lt;=NW,WEEK_ONE+343,"")</f>
        <v>46361</v>
      </c>
      <c r="I60" s="18" t="n">
        <f aca="false">IF(50&lt;=NW,WEEK_ONE+349,"")</f>
        <v>46367</v>
      </c>
      <c r="J60" s="0" t="str">
        <f aca="false">IF(50&lt;=NW,TEXT(DAY(H60),"00")&amp;"/"&amp;TEXT(MONTH(H60),"00")&amp;"/"&amp;YEAR(H60)&amp;"  -  "&amp;TEXT(DAY(I60),"00")&amp;"/"&amp;TEXT(MONTH(I60),"00")&amp;"/"&amp;YEAR(I60)&amp;"   ·   الأسبوع 50","")</f>
        <v>05/12/2026  -  11/12/2026   ·   الأسبوع 50</v>
      </c>
      <c r="K60" s="19" t="n">
        <f aca="false">IF(50&lt;=NW,MONTH(I60),"")</f>
        <v>12</v>
      </c>
      <c r="L60" s="0" t="n">
        <v>50</v>
      </c>
    </row>
    <row r="61" customFormat="false" ht="15" hidden="false" customHeight="false" outlineLevel="0" collapsed="false">
      <c r="A61" s="0" t="s">
        <v>236</v>
      </c>
      <c r="B61" s="28" t="n">
        <v>0.458333333333333</v>
      </c>
      <c r="H61" s="18" t="n">
        <f aca="false">IF(51&lt;=NW,WEEK_ONE+350,"")</f>
        <v>46368</v>
      </c>
      <c r="I61" s="18" t="n">
        <f aca="false">IF(51&lt;=NW,WEEK_ONE+356,"")</f>
        <v>46374</v>
      </c>
      <c r="J61" s="0" t="str">
        <f aca="false">IF(51&lt;=NW,TEXT(DAY(H61),"00")&amp;"/"&amp;TEXT(MONTH(H61),"00")&amp;"/"&amp;YEAR(H61)&amp;"  -  "&amp;TEXT(DAY(I61),"00")&amp;"/"&amp;TEXT(MONTH(I61),"00")&amp;"/"&amp;YEAR(I61)&amp;"   ·   الأسبوع 51","")</f>
        <v>12/12/2026  -  18/12/2026   ·   الأسبوع 51</v>
      </c>
      <c r="K61" s="19" t="n">
        <f aca="false">IF(51&lt;=NW,MONTH(I61),"")</f>
        <v>12</v>
      </c>
      <c r="L61" s="0" t="n">
        <v>51</v>
      </c>
    </row>
    <row r="62" customFormat="false" ht="15" hidden="false" customHeight="false" outlineLevel="0" collapsed="false">
      <c r="A62" s="0" t="s">
        <v>237</v>
      </c>
      <c r="B62" s="28" t="n">
        <v>0.461805555555556</v>
      </c>
      <c r="H62" s="18" t="n">
        <f aca="false">IF(52&lt;=NW,WEEK_ONE+357,"")</f>
        <v>46375</v>
      </c>
      <c r="I62" s="18" t="n">
        <f aca="false">IF(52&lt;=NW,WEEK_ONE+363,"")</f>
        <v>46381</v>
      </c>
      <c r="J62" s="0" t="str">
        <f aca="false">IF(52&lt;=NW,TEXT(DAY(H62),"00")&amp;"/"&amp;TEXT(MONTH(H62),"00")&amp;"/"&amp;YEAR(H62)&amp;"  -  "&amp;TEXT(DAY(I62),"00")&amp;"/"&amp;TEXT(MONTH(I62),"00")&amp;"/"&amp;YEAR(I62)&amp;"   ·   الأسبوع 52","")</f>
        <v>19/12/2026  -  25/12/2026   ·   الأسبوع 52</v>
      </c>
      <c r="K62" s="19" t="n">
        <f aca="false">IF(52&lt;=NW,MONTH(I62),"")</f>
        <v>12</v>
      </c>
      <c r="L62" s="0" t="n">
        <v>52</v>
      </c>
    </row>
    <row r="63" customFormat="false" ht="15" hidden="false" customHeight="false" outlineLevel="0" collapsed="false">
      <c r="A63" s="0" t="s">
        <v>238</v>
      </c>
      <c r="B63" s="28" t="n">
        <v>0.465277777777778</v>
      </c>
      <c r="H63" s="18" t="str">
        <f aca="false">IF(53&lt;=NW,WEEK_ONE+364,"")</f>
        <v/>
      </c>
      <c r="I63" s="18" t="str">
        <f aca="false">IF(53&lt;=NW,WEEK_ONE+370,"")</f>
        <v/>
      </c>
      <c r="J63" s="0" t="str">
        <f aca="false">IF(53&lt;=NW,TEXT(DAY(H63),"00")&amp;"/"&amp;TEXT(MONTH(H63),"00")&amp;"/"&amp;YEAR(H63)&amp;"  -  "&amp;TEXT(DAY(I63),"00")&amp;"/"&amp;TEXT(MONTH(I63),"00")&amp;"/"&amp;YEAR(I63)&amp;"   ·   الأسبوع 53","")</f>
        <v/>
      </c>
      <c r="K63" s="0" t="str">
        <f aca="false">IF(53&lt;=NW,MONTH(I63),"")</f>
        <v/>
      </c>
      <c r="L63" s="0" t="n">
        <v>53</v>
      </c>
    </row>
    <row r="64" customFormat="false" ht="15" hidden="false" customHeight="false" outlineLevel="0" collapsed="false">
      <c r="A64" s="0" t="s">
        <v>239</v>
      </c>
      <c r="B64" s="28" t="n">
        <v>0.46875</v>
      </c>
    </row>
    <row r="65" customFormat="false" ht="15" hidden="false" customHeight="false" outlineLevel="0" collapsed="false">
      <c r="A65" s="0" t="s">
        <v>240</v>
      </c>
      <c r="B65" s="28" t="n">
        <v>0.472222222222222</v>
      </c>
    </row>
    <row r="66" customFormat="false" ht="15" hidden="false" customHeight="false" outlineLevel="0" collapsed="false">
      <c r="A66" s="0" t="s">
        <v>241</v>
      </c>
      <c r="B66" s="28" t="n">
        <v>0.475694444444444</v>
      </c>
    </row>
    <row r="67" customFormat="false" ht="15" hidden="false" customHeight="false" outlineLevel="0" collapsed="false">
      <c r="A67" s="0" t="s">
        <v>242</v>
      </c>
      <c r="B67" s="28" t="n">
        <v>0.479166666666667</v>
      </c>
    </row>
    <row r="68" customFormat="false" ht="15" hidden="false" customHeight="false" outlineLevel="0" collapsed="false">
      <c r="A68" s="0" t="s">
        <v>243</v>
      </c>
      <c r="B68" s="28" t="n">
        <v>0.482638888888889</v>
      </c>
    </row>
    <row r="69" customFormat="false" ht="15" hidden="false" customHeight="false" outlineLevel="0" collapsed="false">
      <c r="A69" s="0" t="s">
        <v>244</v>
      </c>
      <c r="B69" s="28" t="n">
        <v>0.486111111111111</v>
      </c>
    </row>
    <row r="70" customFormat="false" ht="15" hidden="false" customHeight="false" outlineLevel="0" collapsed="false">
      <c r="A70" s="0" t="s">
        <v>245</v>
      </c>
      <c r="B70" s="28" t="n">
        <v>0.489583333333333</v>
      </c>
    </row>
    <row r="71" customFormat="false" ht="15" hidden="false" customHeight="false" outlineLevel="0" collapsed="false">
      <c r="A71" s="0" t="s">
        <v>246</v>
      </c>
      <c r="B71" s="28" t="n">
        <v>0.493055555555556</v>
      </c>
    </row>
    <row r="72" customFormat="false" ht="15" hidden="false" customHeight="false" outlineLevel="0" collapsed="false">
      <c r="A72" s="0" t="s">
        <v>247</v>
      </c>
      <c r="B72" s="28" t="n">
        <v>0.496527777777778</v>
      </c>
    </row>
    <row r="73" customFormat="false" ht="15" hidden="false" customHeight="false" outlineLevel="0" collapsed="false">
      <c r="A73" s="0" t="s">
        <v>248</v>
      </c>
      <c r="B73" s="28" t="n">
        <v>0.5</v>
      </c>
    </row>
    <row r="74" customFormat="false" ht="15" hidden="false" customHeight="false" outlineLevel="0" collapsed="false">
      <c r="A74" s="0" t="s">
        <v>249</v>
      </c>
      <c r="B74" s="28" t="n">
        <v>0.503472222222222</v>
      </c>
    </row>
    <row r="75" customFormat="false" ht="15" hidden="false" customHeight="false" outlineLevel="0" collapsed="false">
      <c r="A75" s="0" t="s">
        <v>250</v>
      </c>
      <c r="B75" s="28" t="n">
        <v>0.506944444444444</v>
      </c>
    </row>
    <row r="76" customFormat="false" ht="15" hidden="false" customHeight="false" outlineLevel="0" collapsed="false">
      <c r="A76" s="0" t="s">
        <v>251</v>
      </c>
      <c r="B76" s="28" t="n">
        <v>0.510416666666667</v>
      </c>
    </row>
    <row r="77" customFormat="false" ht="15" hidden="false" customHeight="false" outlineLevel="0" collapsed="false">
      <c r="A77" s="0" t="s">
        <v>252</v>
      </c>
      <c r="B77" s="28" t="n">
        <v>0.513888888888889</v>
      </c>
    </row>
    <row r="78" customFormat="false" ht="15" hidden="false" customHeight="false" outlineLevel="0" collapsed="false">
      <c r="A78" s="0" t="s">
        <v>253</v>
      </c>
      <c r="B78" s="28" t="n">
        <v>0.517361111111111</v>
      </c>
    </row>
    <row r="79" customFormat="false" ht="15" hidden="false" customHeight="false" outlineLevel="0" collapsed="false">
      <c r="A79" s="0" t="s">
        <v>254</v>
      </c>
      <c r="B79" s="28" t="n">
        <v>0.520833333333333</v>
      </c>
    </row>
    <row r="80" customFormat="false" ht="15" hidden="false" customHeight="false" outlineLevel="0" collapsed="false">
      <c r="A80" s="0" t="s">
        <v>255</v>
      </c>
      <c r="B80" s="28" t="n">
        <v>0.524305555555556</v>
      </c>
    </row>
    <row r="81" customFormat="false" ht="15" hidden="false" customHeight="false" outlineLevel="0" collapsed="false">
      <c r="A81" s="0" t="s">
        <v>256</v>
      </c>
      <c r="B81" s="28" t="n">
        <v>0.527777777777778</v>
      </c>
    </row>
    <row r="82" customFormat="false" ht="15" hidden="false" customHeight="false" outlineLevel="0" collapsed="false">
      <c r="A82" s="0" t="s">
        <v>257</v>
      </c>
      <c r="B82" s="28" t="n">
        <v>0.53125</v>
      </c>
    </row>
    <row r="83" customFormat="false" ht="15" hidden="false" customHeight="false" outlineLevel="0" collapsed="false">
      <c r="A83" s="0" t="s">
        <v>258</v>
      </c>
      <c r="B83" s="28" t="n">
        <v>0.534722222222222</v>
      </c>
    </row>
    <row r="84" customFormat="false" ht="15" hidden="false" customHeight="false" outlineLevel="0" collapsed="false">
      <c r="A84" s="0" t="s">
        <v>259</v>
      </c>
      <c r="B84" s="28" t="n">
        <v>0.538194444444444</v>
      </c>
    </row>
    <row r="85" customFormat="false" ht="15" hidden="false" customHeight="false" outlineLevel="0" collapsed="false">
      <c r="A85" s="0" t="s">
        <v>260</v>
      </c>
      <c r="B85" s="28" t="n">
        <v>0.541666666666667</v>
      </c>
    </row>
    <row r="86" customFormat="false" ht="15" hidden="false" customHeight="false" outlineLevel="0" collapsed="false">
      <c r="A86" s="0" t="s">
        <v>261</v>
      </c>
      <c r="B86" s="28" t="n">
        <v>0.545138888888889</v>
      </c>
    </row>
    <row r="87" customFormat="false" ht="15" hidden="false" customHeight="false" outlineLevel="0" collapsed="false">
      <c r="A87" s="0" t="s">
        <v>262</v>
      </c>
      <c r="B87" s="28" t="n">
        <v>0.548611111111111</v>
      </c>
    </row>
    <row r="88" customFormat="false" ht="15" hidden="false" customHeight="false" outlineLevel="0" collapsed="false">
      <c r="A88" s="0" t="s">
        <v>263</v>
      </c>
      <c r="B88" s="28" t="n">
        <v>0.552083333333333</v>
      </c>
    </row>
    <row r="89" customFormat="false" ht="15" hidden="false" customHeight="false" outlineLevel="0" collapsed="false">
      <c r="A89" s="0" t="s">
        <v>264</v>
      </c>
      <c r="B89" s="28" t="n">
        <v>0.555555555555556</v>
      </c>
    </row>
    <row r="90" customFormat="false" ht="15" hidden="false" customHeight="false" outlineLevel="0" collapsed="false">
      <c r="A90" s="0" t="s">
        <v>265</v>
      </c>
      <c r="B90" s="28" t="n">
        <v>0.559027777777778</v>
      </c>
    </row>
    <row r="91" customFormat="false" ht="15" hidden="false" customHeight="false" outlineLevel="0" collapsed="false">
      <c r="A91" s="0" t="s">
        <v>266</v>
      </c>
      <c r="B91" s="28" t="n">
        <v>0.5625</v>
      </c>
    </row>
    <row r="92" customFormat="false" ht="15" hidden="false" customHeight="false" outlineLevel="0" collapsed="false">
      <c r="A92" s="0" t="s">
        <v>267</v>
      </c>
      <c r="B92" s="28" t="n">
        <v>0.565972222222222</v>
      </c>
    </row>
    <row r="93" customFormat="false" ht="15" hidden="false" customHeight="false" outlineLevel="0" collapsed="false">
      <c r="A93" s="0" t="s">
        <v>268</v>
      </c>
      <c r="B93" s="28" t="n">
        <v>0.569444444444444</v>
      </c>
    </row>
    <row r="94" customFormat="false" ht="15" hidden="false" customHeight="false" outlineLevel="0" collapsed="false">
      <c r="A94" s="0" t="s">
        <v>269</v>
      </c>
      <c r="B94" s="28" t="n">
        <v>0.572916666666667</v>
      </c>
    </row>
    <row r="95" customFormat="false" ht="15" hidden="false" customHeight="false" outlineLevel="0" collapsed="false">
      <c r="A95" s="0" t="s">
        <v>270</v>
      </c>
      <c r="B95" s="28" t="n">
        <v>0.576388888888889</v>
      </c>
    </row>
    <row r="96" customFormat="false" ht="15" hidden="false" customHeight="false" outlineLevel="0" collapsed="false">
      <c r="A96" s="0" t="s">
        <v>271</v>
      </c>
      <c r="B96" s="28" t="n">
        <v>0.579861111111111</v>
      </c>
    </row>
    <row r="97" customFormat="false" ht="15" hidden="false" customHeight="false" outlineLevel="0" collapsed="false">
      <c r="A97" s="0" t="s">
        <v>272</v>
      </c>
      <c r="B97" s="28" t="n">
        <v>0.583333333333333</v>
      </c>
    </row>
    <row r="98" customFormat="false" ht="15" hidden="false" customHeight="false" outlineLevel="0" collapsed="false">
      <c r="A98" s="0" t="s">
        <v>273</v>
      </c>
      <c r="B98" s="28" t="n">
        <v>0.586805555555556</v>
      </c>
    </row>
    <row r="99" customFormat="false" ht="15" hidden="false" customHeight="false" outlineLevel="0" collapsed="false">
      <c r="A99" s="0" t="s">
        <v>274</v>
      </c>
      <c r="B99" s="28" t="n">
        <v>0.590277777777778</v>
      </c>
    </row>
    <row r="100" customFormat="false" ht="15" hidden="false" customHeight="false" outlineLevel="0" collapsed="false">
      <c r="A100" s="0" t="s">
        <v>275</v>
      </c>
      <c r="B100" s="28" t="n">
        <v>0.59375</v>
      </c>
    </row>
    <row r="101" customFormat="false" ht="15" hidden="false" customHeight="false" outlineLevel="0" collapsed="false">
      <c r="A101" s="0" t="s">
        <v>276</v>
      </c>
      <c r="B101" s="28" t="n">
        <v>0.597222222222222</v>
      </c>
    </row>
    <row r="102" customFormat="false" ht="15" hidden="false" customHeight="false" outlineLevel="0" collapsed="false">
      <c r="A102" s="0" t="s">
        <v>277</v>
      </c>
      <c r="B102" s="28" t="n">
        <v>0.600694444444444</v>
      </c>
    </row>
    <row r="103" customFormat="false" ht="15" hidden="false" customHeight="false" outlineLevel="0" collapsed="false">
      <c r="A103" s="0" t="s">
        <v>278</v>
      </c>
      <c r="B103" s="28" t="n">
        <v>0.604166666666667</v>
      </c>
    </row>
    <row r="104" customFormat="false" ht="15" hidden="false" customHeight="false" outlineLevel="0" collapsed="false">
      <c r="A104" s="0" t="s">
        <v>279</v>
      </c>
      <c r="B104" s="28" t="n">
        <v>0.607638888888889</v>
      </c>
    </row>
    <row r="105" customFormat="false" ht="15" hidden="false" customHeight="false" outlineLevel="0" collapsed="false">
      <c r="A105" s="0" t="s">
        <v>280</v>
      </c>
      <c r="B105" s="28" t="n">
        <v>0.611111111111111</v>
      </c>
    </row>
    <row r="106" customFormat="false" ht="15" hidden="false" customHeight="false" outlineLevel="0" collapsed="false">
      <c r="A106" s="0" t="s">
        <v>281</v>
      </c>
      <c r="B106" s="28" t="n">
        <v>0.614583333333333</v>
      </c>
    </row>
    <row r="107" customFormat="false" ht="15" hidden="false" customHeight="false" outlineLevel="0" collapsed="false">
      <c r="A107" s="0" t="s">
        <v>282</v>
      </c>
      <c r="B107" s="28" t="n">
        <v>0.618055555555556</v>
      </c>
    </row>
    <row r="108" customFormat="false" ht="15" hidden="false" customHeight="false" outlineLevel="0" collapsed="false">
      <c r="A108" s="0" t="s">
        <v>283</v>
      </c>
      <c r="B108" s="28" t="n">
        <v>0.621527777777778</v>
      </c>
    </row>
    <row r="109" customFormat="false" ht="15" hidden="false" customHeight="false" outlineLevel="0" collapsed="false">
      <c r="A109" s="0" t="s">
        <v>284</v>
      </c>
      <c r="B109" s="28" t="n">
        <v>0.625</v>
      </c>
    </row>
    <row r="110" customFormat="false" ht="15" hidden="false" customHeight="false" outlineLevel="0" collapsed="false">
      <c r="A110" s="0" t="s">
        <v>285</v>
      </c>
      <c r="B110" s="28" t="n">
        <v>0.628472222222222</v>
      </c>
    </row>
    <row r="111" customFormat="false" ht="15" hidden="false" customHeight="false" outlineLevel="0" collapsed="false">
      <c r="A111" s="0" t="s">
        <v>286</v>
      </c>
      <c r="B111" s="28" t="n">
        <v>0.631944444444444</v>
      </c>
    </row>
    <row r="112" customFormat="false" ht="15" hidden="false" customHeight="false" outlineLevel="0" collapsed="false">
      <c r="A112" s="0" t="s">
        <v>287</v>
      </c>
      <c r="B112" s="28" t="n">
        <v>0.635416666666667</v>
      </c>
    </row>
    <row r="113" customFormat="false" ht="15" hidden="false" customHeight="false" outlineLevel="0" collapsed="false">
      <c r="A113" s="0" t="s">
        <v>288</v>
      </c>
      <c r="B113" s="28" t="n">
        <v>0.638888888888889</v>
      </c>
    </row>
    <row r="114" customFormat="false" ht="15" hidden="false" customHeight="false" outlineLevel="0" collapsed="false">
      <c r="A114" s="0" t="s">
        <v>289</v>
      </c>
      <c r="B114" s="28" t="n">
        <v>0.642361111111111</v>
      </c>
    </row>
    <row r="115" customFormat="false" ht="15" hidden="false" customHeight="false" outlineLevel="0" collapsed="false">
      <c r="A115" s="0" t="s">
        <v>290</v>
      </c>
      <c r="B115" s="28" t="n">
        <v>0.645833333333333</v>
      </c>
    </row>
    <row r="116" customFormat="false" ht="15" hidden="false" customHeight="false" outlineLevel="0" collapsed="false">
      <c r="A116" s="0" t="s">
        <v>291</v>
      </c>
      <c r="B116" s="28" t="n">
        <v>0.649305555555556</v>
      </c>
    </row>
    <row r="117" customFormat="false" ht="15" hidden="false" customHeight="false" outlineLevel="0" collapsed="false">
      <c r="A117" s="0" t="s">
        <v>292</v>
      </c>
      <c r="B117" s="28" t="n">
        <v>0.652777777777778</v>
      </c>
    </row>
    <row r="118" customFormat="false" ht="15" hidden="false" customHeight="false" outlineLevel="0" collapsed="false">
      <c r="A118" s="0" t="s">
        <v>293</v>
      </c>
      <c r="B118" s="28" t="n">
        <v>0.65625</v>
      </c>
    </row>
    <row r="119" customFormat="false" ht="15" hidden="false" customHeight="false" outlineLevel="0" collapsed="false">
      <c r="A119" s="0" t="s">
        <v>294</v>
      </c>
      <c r="B119" s="28" t="n">
        <v>0.659722222222222</v>
      </c>
    </row>
    <row r="120" customFormat="false" ht="15" hidden="false" customHeight="false" outlineLevel="0" collapsed="false">
      <c r="A120" s="0" t="s">
        <v>295</v>
      </c>
      <c r="B120" s="28" t="n">
        <v>0.663194444444444</v>
      </c>
    </row>
    <row r="121" customFormat="false" ht="15" hidden="false" customHeight="false" outlineLevel="0" collapsed="false">
      <c r="A121" s="0" t="s">
        <v>296</v>
      </c>
      <c r="B121" s="28" t="n">
        <v>0.666666666666667</v>
      </c>
    </row>
    <row r="122" customFormat="false" ht="15" hidden="false" customHeight="false" outlineLevel="0" collapsed="false">
      <c r="A122" s="0" t="s">
        <v>297</v>
      </c>
      <c r="B122" s="28" t="n">
        <v>0.670138888888889</v>
      </c>
    </row>
    <row r="123" customFormat="false" ht="15" hidden="false" customHeight="false" outlineLevel="0" collapsed="false">
      <c r="A123" s="0" t="s">
        <v>298</v>
      </c>
      <c r="B123" s="28" t="n">
        <v>0.673611111111111</v>
      </c>
    </row>
    <row r="124" customFormat="false" ht="15" hidden="false" customHeight="false" outlineLevel="0" collapsed="false">
      <c r="A124" s="0" t="s">
        <v>299</v>
      </c>
      <c r="B124" s="28" t="n">
        <v>0.677083333333333</v>
      </c>
    </row>
    <row r="125" customFormat="false" ht="15" hidden="false" customHeight="false" outlineLevel="0" collapsed="false">
      <c r="A125" s="0" t="s">
        <v>300</v>
      </c>
      <c r="B125" s="28" t="n">
        <v>0.680555555555556</v>
      </c>
    </row>
    <row r="126" customFormat="false" ht="15" hidden="false" customHeight="false" outlineLevel="0" collapsed="false">
      <c r="A126" s="0" t="s">
        <v>301</v>
      </c>
      <c r="B126" s="28" t="n">
        <v>0.684027777777778</v>
      </c>
    </row>
    <row r="127" customFormat="false" ht="15" hidden="false" customHeight="false" outlineLevel="0" collapsed="false">
      <c r="A127" s="0" t="s">
        <v>302</v>
      </c>
      <c r="B127" s="28" t="n">
        <v>0.6875</v>
      </c>
    </row>
    <row r="128" customFormat="false" ht="15" hidden="false" customHeight="false" outlineLevel="0" collapsed="false">
      <c r="A128" s="0" t="s">
        <v>303</v>
      </c>
      <c r="B128" s="28" t="n">
        <v>0.690972222222222</v>
      </c>
    </row>
    <row r="129" customFormat="false" ht="15" hidden="false" customHeight="false" outlineLevel="0" collapsed="false">
      <c r="A129" s="0" t="s">
        <v>304</v>
      </c>
      <c r="B129" s="28" t="n">
        <v>0.694444444444444</v>
      </c>
    </row>
    <row r="130" customFormat="false" ht="15" hidden="false" customHeight="false" outlineLevel="0" collapsed="false">
      <c r="A130" s="0" t="s">
        <v>305</v>
      </c>
      <c r="B130" s="28" t="n">
        <v>0.697916666666667</v>
      </c>
    </row>
    <row r="131" customFormat="false" ht="15" hidden="false" customHeight="false" outlineLevel="0" collapsed="false">
      <c r="A131" s="0" t="s">
        <v>306</v>
      </c>
      <c r="B131" s="28" t="n">
        <v>0.701388888888889</v>
      </c>
    </row>
    <row r="132" customFormat="false" ht="15" hidden="false" customHeight="false" outlineLevel="0" collapsed="false">
      <c r="A132" s="0" t="s">
        <v>307</v>
      </c>
      <c r="B132" s="28" t="n">
        <v>0.704861111111111</v>
      </c>
    </row>
    <row r="133" customFormat="false" ht="15" hidden="false" customHeight="false" outlineLevel="0" collapsed="false">
      <c r="A133" s="0" t="s">
        <v>308</v>
      </c>
      <c r="B133" s="28" t="n">
        <v>0.708333333333333</v>
      </c>
    </row>
    <row r="134" customFormat="false" ht="15" hidden="false" customHeight="false" outlineLevel="0" collapsed="false">
      <c r="A134" s="0" t="s">
        <v>309</v>
      </c>
      <c r="B134" s="28" t="n">
        <v>0.711805555555556</v>
      </c>
    </row>
    <row r="135" customFormat="false" ht="15" hidden="false" customHeight="false" outlineLevel="0" collapsed="false">
      <c r="A135" s="0" t="s">
        <v>310</v>
      </c>
      <c r="B135" s="28" t="n">
        <v>0.715277777777778</v>
      </c>
    </row>
    <row r="136" customFormat="false" ht="15" hidden="false" customHeight="false" outlineLevel="0" collapsed="false">
      <c r="A136" s="0" t="s">
        <v>311</v>
      </c>
      <c r="B136" s="28" t="n">
        <v>0.71875</v>
      </c>
    </row>
    <row r="137" customFormat="false" ht="15" hidden="false" customHeight="false" outlineLevel="0" collapsed="false">
      <c r="A137" s="0" t="s">
        <v>312</v>
      </c>
      <c r="B137" s="28" t="n">
        <v>0.722222222222222</v>
      </c>
    </row>
    <row r="138" customFormat="false" ht="15" hidden="false" customHeight="false" outlineLevel="0" collapsed="false">
      <c r="A138" s="0" t="s">
        <v>313</v>
      </c>
      <c r="B138" s="28" t="n">
        <v>0.725694444444444</v>
      </c>
    </row>
    <row r="139" customFormat="false" ht="15" hidden="false" customHeight="false" outlineLevel="0" collapsed="false">
      <c r="A139" s="0" t="s">
        <v>314</v>
      </c>
      <c r="B139" s="28" t="n">
        <v>0.729166666666667</v>
      </c>
    </row>
    <row r="140" customFormat="false" ht="15" hidden="false" customHeight="false" outlineLevel="0" collapsed="false">
      <c r="A140" s="0" t="s">
        <v>315</v>
      </c>
      <c r="B140" s="28" t="n">
        <v>0.732638888888889</v>
      </c>
    </row>
    <row r="141" customFormat="false" ht="15" hidden="false" customHeight="false" outlineLevel="0" collapsed="false">
      <c r="A141" s="0" t="s">
        <v>316</v>
      </c>
      <c r="B141" s="28" t="n">
        <v>0.736111111111111</v>
      </c>
    </row>
    <row r="142" customFormat="false" ht="15" hidden="false" customHeight="false" outlineLevel="0" collapsed="false">
      <c r="A142" s="0" t="s">
        <v>317</v>
      </c>
      <c r="B142" s="28" t="n">
        <v>0.739583333333333</v>
      </c>
    </row>
    <row r="143" customFormat="false" ht="15" hidden="false" customHeight="false" outlineLevel="0" collapsed="false">
      <c r="A143" s="0" t="s">
        <v>318</v>
      </c>
      <c r="B143" s="28" t="n">
        <v>0.743055555555556</v>
      </c>
    </row>
    <row r="144" customFormat="false" ht="15" hidden="false" customHeight="false" outlineLevel="0" collapsed="false">
      <c r="A144" s="0" t="s">
        <v>319</v>
      </c>
      <c r="B144" s="28" t="n">
        <v>0.746527777777778</v>
      </c>
    </row>
    <row r="145" customFormat="false" ht="15" hidden="false" customHeight="false" outlineLevel="0" collapsed="false">
      <c r="A145" s="0" t="s">
        <v>320</v>
      </c>
      <c r="B145" s="28" t="n">
        <v>0.75</v>
      </c>
    </row>
    <row r="146" customFormat="false" ht="15" hidden="false" customHeight="false" outlineLevel="0" collapsed="false">
      <c r="A146" s="0" t="s">
        <v>321</v>
      </c>
      <c r="B146" s="28" t="n">
        <v>0.753472222222222</v>
      </c>
    </row>
    <row r="147" customFormat="false" ht="15" hidden="false" customHeight="false" outlineLevel="0" collapsed="false">
      <c r="A147" s="0" t="s">
        <v>322</v>
      </c>
      <c r="B147" s="28" t="n">
        <v>0.756944444444444</v>
      </c>
    </row>
    <row r="148" customFormat="false" ht="15" hidden="false" customHeight="false" outlineLevel="0" collapsed="false">
      <c r="A148" s="0" t="s">
        <v>323</v>
      </c>
      <c r="B148" s="28" t="n">
        <v>0.760416666666667</v>
      </c>
    </row>
    <row r="149" customFormat="false" ht="15" hidden="false" customHeight="false" outlineLevel="0" collapsed="false">
      <c r="A149" s="0" t="s">
        <v>324</v>
      </c>
      <c r="B149" s="28" t="n">
        <v>0.763888888888889</v>
      </c>
    </row>
    <row r="150" customFormat="false" ht="15" hidden="false" customHeight="false" outlineLevel="0" collapsed="false">
      <c r="A150" s="0" t="s">
        <v>325</v>
      </c>
      <c r="B150" s="28" t="n">
        <v>0.767361111111111</v>
      </c>
    </row>
    <row r="151" customFormat="false" ht="15" hidden="false" customHeight="false" outlineLevel="0" collapsed="false">
      <c r="A151" s="0" t="s">
        <v>326</v>
      </c>
      <c r="B151" s="28" t="n">
        <v>0.770833333333333</v>
      </c>
    </row>
    <row r="152" customFormat="false" ht="15" hidden="false" customHeight="false" outlineLevel="0" collapsed="false">
      <c r="A152" s="0" t="s">
        <v>327</v>
      </c>
      <c r="B152" s="28" t="n">
        <v>0.774305555555556</v>
      </c>
    </row>
    <row r="153" customFormat="false" ht="15" hidden="false" customHeight="false" outlineLevel="0" collapsed="false">
      <c r="A153" s="0" t="s">
        <v>328</v>
      </c>
      <c r="B153" s="28" t="n">
        <v>0.777777777777778</v>
      </c>
    </row>
    <row r="154" customFormat="false" ht="15" hidden="false" customHeight="false" outlineLevel="0" collapsed="false">
      <c r="A154" s="0" t="s">
        <v>329</v>
      </c>
      <c r="B154" s="28" t="n">
        <v>0.78125</v>
      </c>
    </row>
    <row r="155" customFormat="false" ht="15" hidden="false" customHeight="false" outlineLevel="0" collapsed="false">
      <c r="A155" s="0" t="s">
        <v>330</v>
      </c>
      <c r="B155" s="28" t="n">
        <v>0.784722222222222</v>
      </c>
    </row>
    <row r="156" customFormat="false" ht="15" hidden="false" customHeight="false" outlineLevel="0" collapsed="false">
      <c r="A156" s="0" t="s">
        <v>331</v>
      </c>
      <c r="B156" s="28" t="n">
        <v>0.788194444444444</v>
      </c>
    </row>
    <row r="157" customFormat="false" ht="15" hidden="false" customHeight="false" outlineLevel="0" collapsed="false">
      <c r="A157" s="0" t="s">
        <v>332</v>
      </c>
      <c r="B157" s="28" t="n">
        <v>0.791666666666667</v>
      </c>
    </row>
    <row r="158" customFormat="false" ht="15" hidden="false" customHeight="false" outlineLevel="0" collapsed="false">
      <c r="A158" s="0" t="s">
        <v>333</v>
      </c>
      <c r="B158" s="28" t="n">
        <v>0.795138888888889</v>
      </c>
    </row>
    <row r="159" customFormat="false" ht="15" hidden="false" customHeight="false" outlineLevel="0" collapsed="false">
      <c r="A159" s="0" t="s">
        <v>334</v>
      </c>
      <c r="B159" s="28" t="n">
        <v>0.798611111111111</v>
      </c>
    </row>
    <row r="160" customFormat="false" ht="15" hidden="false" customHeight="false" outlineLevel="0" collapsed="false">
      <c r="A160" s="0" t="s">
        <v>335</v>
      </c>
      <c r="B160" s="28" t="n">
        <v>0.802083333333333</v>
      </c>
    </row>
    <row r="161" customFormat="false" ht="15" hidden="false" customHeight="false" outlineLevel="0" collapsed="false">
      <c r="A161" s="0" t="s">
        <v>336</v>
      </c>
      <c r="B161" s="28" t="n">
        <v>0.805555555555556</v>
      </c>
    </row>
    <row r="162" customFormat="false" ht="15" hidden="false" customHeight="false" outlineLevel="0" collapsed="false">
      <c r="A162" s="0" t="s">
        <v>337</v>
      </c>
      <c r="B162" s="28" t="n">
        <v>0.809027777777778</v>
      </c>
    </row>
    <row r="163" customFormat="false" ht="15" hidden="false" customHeight="false" outlineLevel="0" collapsed="false">
      <c r="A163" s="0" t="s">
        <v>338</v>
      </c>
      <c r="B163" s="28" t="n">
        <v>0.8125</v>
      </c>
    </row>
    <row r="164" customFormat="false" ht="15" hidden="false" customHeight="false" outlineLevel="0" collapsed="false">
      <c r="A164" s="0" t="s">
        <v>339</v>
      </c>
      <c r="B164" s="28" t="n">
        <v>0.815972222222222</v>
      </c>
    </row>
    <row r="165" customFormat="false" ht="15" hidden="false" customHeight="false" outlineLevel="0" collapsed="false">
      <c r="A165" s="0" t="s">
        <v>340</v>
      </c>
      <c r="B165" s="28" t="n">
        <v>0.819444444444444</v>
      </c>
    </row>
    <row r="166" customFormat="false" ht="15" hidden="false" customHeight="false" outlineLevel="0" collapsed="false">
      <c r="A166" s="0" t="s">
        <v>341</v>
      </c>
      <c r="B166" s="28" t="n">
        <v>0.822916666666667</v>
      </c>
    </row>
    <row r="167" customFormat="false" ht="15" hidden="false" customHeight="false" outlineLevel="0" collapsed="false">
      <c r="A167" s="0" t="s">
        <v>342</v>
      </c>
      <c r="B167" s="28" t="n">
        <v>0.826388888888889</v>
      </c>
    </row>
    <row r="168" customFormat="false" ht="15" hidden="false" customHeight="false" outlineLevel="0" collapsed="false">
      <c r="A168" s="0" t="s">
        <v>343</v>
      </c>
      <c r="B168" s="28" t="n">
        <v>0.829861111111111</v>
      </c>
    </row>
    <row r="169" customFormat="false" ht="15" hidden="false" customHeight="false" outlineLevel="0" collapsed="false">
      <c r="A169" s="0" t="s">
        <v>344</v>
      </c>
      <c r="B169" s="28" t="n">
        <v>0.833333333333333</v>
      </c>
    </row>
    <row r="170" customFormat="false" ht="15" hidden="false" customHeight="false" outlineLevel="0" collapsed="false">
      <c r="A170" s="0" t="s">
        <v>345</v>
      </c>
      <c r="B170" s="28" t="n">
        <v>0.836805555555556</v>
      </c>
    </row>
    <row r="171" customFormat="false" ht="15" hidden="false" customHeight="false" outlineLevel="0" collapsed="false">
      <c r="A171" s="0" t="s">
        <v>346</v>
      </c>
      <c r="B171" s="28" t="n">
        <v>0.840277777777778</v>
      </c>
    </row>
    <row r="172" customFormat="false" ht="15" hidden="false" customHeight="false" outlineLevel="0" collapsed="false">
      <c r="A172" s="0" t="s">
        <v>347</v>
      </c>
      <c r="B172" s="28" t="n">
        <v>0.84375</v>
      </c>
    </row>
    <row r="173" customFormat="false" ht="15" hidden="false" customHeight="false" outlineLevel="0" collapsed="false">
      <c r="A173" s="0" t="s">
        <v>348</v>
      </c>
      <c r="B173" s="28" t="n">
        <v>0.847222222222222</v>
      </c>
    </row>
    <row r="174" customFormat="false" ht="15" hidden="false" customHeight="false" outlineLevel="0" collapsed="false">
      <c r="A174" s="0" t="s">
        <v>349</v>
      </c>
      <c r="B174" s="28" t="n">
        <v>0.850694444444444</v>
      </c>
    </row>
    <row r="175" customFormat="false" ht="15" hidden="false" customHeight="false" outlineLevel="0" collapsed="false">
      <c r="A175" s="0" t="s">
        <v>350</v>
      </c>
      <c r="B175" s="28" t="n">
        <v>0.854166666666667</v>
      </c>
    </row>
    <row r="176" customFormat="false" ht="15" hidden="false" customHeight="false" outlineLevel="0" collapsed="false">
      <c r="A176" s="0" t="s">
        <v>351</v>
      </c>
      <c r="B176" s="28" t="n">
        <v>0.857638888888889</v>
      </c>
    </row>
    <row r="177" customFormat="false" ht="15" hidden="false" customHeight="false" outlineLevel="0" collapsed="false">
      <c r="A177" s="0" t="s">
        <v>352</v>
      </c>
      <c r="B177" s="28" t="n">
        <v>0.861111111111111</v>
      </c>
    </row>
    <row r="178" customFormat="false" ht="15" hidden="false" customHeight="false" outlineLevel="0" collapsed="false">
      <c r="A178" s="0" t="s">
        <v>353</v>
      </c>
      <c r="B178" s="28" t="n">
        <v>0.864583333333333</v>
      </c>
    </row>
    <row r="179" customFormat="false" ht="15" hidden="false" customHeight="false" outlineLevel="0" collapsed="false">
      <c r="A179" s="0" t="s">
        <v>354</v>
      </c>
      <c r="B179" s="28" t="n">
        <v>0.868055555555556</v>
      </c>
    </row>
    <row r="180" customFormat="false" ht="15" hidden="false" customHeight="false" outlineLevel="0" collapsed="false">
      <c r="A180" s="0" t="s">
        <v>355</v>
      </c>
      <c r="B180" s="28" t="n">
        <v>0.871527777777778</v>
      </c>
    </row>
    <row r="181" customFormat="false" ht="15" hidden="false" customHeight="false" outlineLevel="0" collapsed="false">
      <c r="A181" s="0" t="s">
        <v>356</v>
      </c>
      <c r="B181" s="28" t="n">
        <v>0.875</v>
      </c>
    </row>
    <row r="182" customFormat="false" ht="15" hidden="false" customHeight="false" outlineLevel="0" collapsed="false">
      <c r="A182" s="0" t="s">
        <v>357</v>
      </c>
      <c r="B182" s="28" t="n">
        <v>0.878472222222222</v>
      </c>
    </row>
    <row r="183" customFormat="false" ht="15" hidden="false" customHeight="false" outlineLevel="0" collapsed="false">
      <c r="A183" s="0" t="s">
        <v>358</v>
      </c>
      <c r="B183" s="28" t="n">
        <v>0.881944444444444</v>
      </c>
    </row>
    <row r="184" customFormat="false" ht="15" hidden="false" customHeight="false" outlineLevel="0" collapsed="false">
      <c r="A184" s="0" t="s">
        <v>359</v>
      </c>
      <c r="B184" s="28" t="n">
        <v>0.885416666666667</v>
      </c>
    </row>
    <row r="185" customFormat="false" ht="15" hidden="false" customHeight="false" outlineLevel="0" collapsed="false">
      <c r="A185" s="0" t="s">
        <v>360</v>
      </c>
      <c r="B185" s="28" t="n">
        <v>0.888888888888889</v>
      </c>
    </row>
    <row r="186" customFormat="false" ht="15" hidden="false" customHeight="false" outlineLevel="0" collapsed="false">
      <c r="A186" s="0" t="s">
        <v>361</v>
      </c>
      <c r="B186" s="28" t="n">
        <v>0.892361111111111</v>
      </c>
    </row>
    <row r="187" customFormat="false" ht="15" hidden="false" customHeight="false" outlineLevel="0" collapsed="false">
      <c r="A187" s="0" t="s">
        <v>362</v>
      </c>
      <c r="B187" s="28" t="n">
        <v>0.895833333333333</v>
      </c>
    </row>
    <row r="188" customFormat="false" ht="15" hidden="false" customHeight="false" outlineLevel="0" collapsed="false">
      <c r="A188" s="0" t="s">
        <v>363</v>
      </c>
      <c r="B188" s="28" t="n">
        <v>0.899305555555556</v>
      </c>
    </row>
    <row r="189" customFormat="false" ht="15" hidden="false" customHeight="false" outlineLevel="0" collapsed="false">
      <c r="A189" s="0" t="s">
        <v>364</v>
      </c>
      <c r="B189" s="28" t="n">
        <v>0.902777777777778</v>
      </c>
    </row>
    <row r="190" customFormat="false" ht="15" hidden="false" customHeight="false" outlineLevel="0" collapsed="false">
      <c r="A190" s="0" t="s">
        <v>365</v>
      </c>
      <c r="B190" s="28" t="n">
        <v>0.90625</v>
      </c>
    </row>
    <row r="191" customFormat="false" ht="15" hidden="false" customHeight="false" outlineLevel="0" collapsed="false">
      <c r="A191" s="0" t="s">
        <v>366</v>
      </c>
      <c r="B191" s="28" t="n">
        <v>0.909722222222222</v>
      </c>
    </row>
    <row r="192" customFormat="false" ht="15" hidden="false" customHeight="false" outlineLevel="0" collapsed="false">
      <c r="A192" s="0" t="s">
        <v>367</v>
      </c>
      <c r="B192" s="28" t="n">
        <v>0.913194444444444</v>
      </c>
    </row>
    <row r="193" customFormat="false" ht="15" hidden="false" customHeight="false" outlineLevel="0" collapsed="false">
      <c r="A193" s="0" t="s">
        <v>368</v>
      </c>
      <c r="B193" s="28" t="n">
        <v>0.916666666666667</v>
      </c>
    </row>
    <row r="194" customFormat="false" ht="15" hidden="false" customHeight="false" outlineLevel="0" collapsed="false">
      <c r="A194" s="0" t="s">
        <v>369</v>
      </c>
      <c r="B194" s="28" t="n">
        <v>0.920138888888889</v>
      </c>
    </row>
    <row r="195" customFormat="false" ht="15" hidden="false" customHeight="false" outlineLevel="0" collapsed="false">
      <c r="A195" s="0" t="s">
        <v>370</v>
      </c>
      <c r="B195" s="28" t="n">
        <v>0.923611111111111</v>
      </c>
    </row>
    <row r="196" customFormat="false" ht="15" hidden="false" customHeight="false" outlineLevel="0" collapsed="false">
      <c r="A196" s="0" t="s">
        <v>371</v>
      </c>
      <c r="B196" s="28" t="n">
        <v>0.927083333333333</v>
      </c>
    </row>
    <row r="197" customFormat="false" ht="15" hidden="false" customHeight="false" outlineLevel="0" collapsed="false">
      <c r="A197" s="0" t="s">
        <v>372</v>
      </c>
      <c r="B197" s="28" t="n">
        <v>0.930555555555556</v>
      </c>
    </row>
    <row r="198" customFormat="false" ht="15" hidden="false" customHeight="false" outlineLevel="0" collapsed="false">
      <c r="A198" s="0" t="s">
        <v>373</v>
      </c>
      <c r="B198" s="28" t="n">
        <v>0.934027777777778</v>
      </c>
    </row>
    <row r="199" customFormat="false" ht="15" hidden="false" customHeight="false" outlineLevel="0" collapsed="false">
      <c r="A199" s="0" t="s">
        <v>374</v>
      </c>
      <c r="B199" s="28" t="n">
        <v>0.9375</v>
      </c>
    </row>
    <row r="200" customFormat="false" ht="15" hidden="false" customHeight="false" outlineLevel="0" collapsed="false">
      <c r="A200" s="0" t="s">
        <v>375</v>
      </c>
      <c r="B200" s="28" t="n">
        <v>0.940972222222222</v>
      </c>
    </row>
    <row r="201" customFormat="false" ht="15" hidden="false" customHeight="false" outlineLevel="0" collapsed="false">
      <c r="A201" s="0" t="s">
        <v>376</v>
      </c>
      <c r="B201" s="28" t="n">
        <v>0.944444444444444</v>
      </c>
    </row>
    <row r="202" customFormat="false" ht="15" hidden="false" customHeight="false" outlineLevel="0" collapsed="false">
      <c r="A202" s="0" t="s">
        <v>377</v>
      </c>
      <c r="B202" s="28" t="n">
        <v>0.947916666666667</v>
      </c>
    </row>
    <row r="203" customFormat="false" ht="15" hidden="false" customHeight="false" outlineLevel="0" collapsed="false">
      <c r="A203" s="0" t="s">
        <v>378</v>
      </c>
      <c r="B203" s="28" t="n">
        <v>0.951388888888889</v>
      </c>
    </row>
    <row r="204" customFormat="false" ht="15" hidden="false" customHeight="false" outlineLevel="0" collapsed="false">
      <c r="A204" s="0" t="s">
        <v>379</v>
      </c>
      <c r="B204" s="28" t="n">
        <v>0.954861111111111</v>
      </c>
    </row>
    <row r="205" customFormat="false" ht="15" hidden="false" customHeight="false" outlineLevel="0" collapsed="false">
      <c r="A205" s="0" t="s">
        <v>380</v>
      </c>
      <c r="B205" s="28" t="n">
        <v>0.958333333333333</v>
      </c>
    </row>
    <row r="206" customFormat="false" ht="15" hidden="false" customHeight="false" outlineLevel="0" collapsed="false">
      <c r="A206" s="0" t="s">
        <v>381</v>
      </c>
      <c r="B206" s="28" t="n">
        <v>0.961805555555556</v>
      </c>
    </row>
    <row r="207" customFormat="false" ht="15" hidden="false" customHeight="false" outlineLevel="0" collapsed="false">
      <c r="A207" s="0" t="s">
        <v>382</v>
      </c>
      <c r="B207" s="28" t="n">
        <v>0.965277777777778</v>
      </c>
    </row>
    <row r="208" customFormat="false" ht="15" hidden="false" customHeight="false" outlineLevel="0" collapsed="false">
      <c r="A208" s="0" t="s">
        <v>383</v>
      </c>
      <c r="B208" s="28" t="n">
        <v>0.96875</v>
      </c>
    </row>
    <row r="209" customFormat="false" ht="15" hidden="false" customHeight="false" outlineLevel="0" collapsed="false">
      <c r="A209" s="0" t="s">
        <v>384</v>
      </c>
      <c r="B209" s="28" t="n">
        <v>0.972222222222222</v>
      </c>
    </row>
    <row r="210" customFormat="false" ht="15" hidden="false" customHeight="false" outlineLevel="0" collapsed="false">
      <c r="A210" s="0" t="s">
        <v>385</v>
      </c>
      <c r="B210" s="28" t="n">
        <v>0.975694444444444</v>
      </c>
    </row>
    <row r="211" customFormat="false" ht="15" hidden="false" customHeight="false" outlineLevel="0" collapsed="false">
      <c r="A211" s="0" t="s">
        <v>386</v>
      </c>
      <c r="B211" s="28" t="n">
        <v>0.979166666666667</v>
      </c>
    </row>
    <row r="212" customFormat="false" ht="15" hidden="false" customHeight="false" outlineLevel="0" collapsed="false">
      <c r="A212" s="0" t="s">
        <v>387</v>
      </c>
      <c r="B212" s="28" t="n">
        <v>0.982638888888889</v>
      </c>
    </row>
    <row r="213" customFormat="false" ht="15" hidden="false" customHeight="false" outlineLevel="0" collapsed="false">
      <c r="A213" s="0" t="s">
        <v>388</v>
      </c>
      <c r="B213" s="28" t="n">
        <v>0.986111111111111</v>
      </c>
    </row>
    <row r="214" customFormat="false" ht="15" hidden="false" customHeight="false" outlineLevel="0" collapsed="false">
      <c r="A214" s="0" t="s">
        <v>389</v>
      </c>
      <c r="B214" s="28" t="n">
        <v>0.989583333333333</v>
      </c>
    </row>
    <row r="215" customFormat="false" ht="15" hidden="false" customHeight="false" outlineLevel="0" collapsed="false">
      <c r="A215" s="0" t="s">
        <v>390</v>
      </c>
      <c r="B215" s="28" t="n">
        <v>0.993055555555556</v>
      </c>
    </row>
    <row r="216" customFormat="false" ht="15" hidden="false" customHeight="false" outlineLevel="0" collapsed="false">
      <c r="A216" s="0" t="s">
        <v>391</v>
      </c>
      <c r="B216" s="28" t="n">
        <v>0.996527777777778</v>
      </c>
    </row>
    <row r="217" customFormat="false" ht="15" hidden="false" customHeight="false" outlineLevel="0" collapsed="false">
      <c r="A217" s="0" t="s">
        <v>392</v>
      </c>
      <c r="B217" s="28" t="n">
        <v>0</v>
      </c>
    </row>
    <row r="218" customFormat="false" ht="15" hidden="false" customHeight="false" outlineLevel="0" collapsed="false">
      <c r="A218" s="0" t="s">
        <v>393</v>
      </c>
      <c r="B218" s="28" t="n">
        <v>0.00347222222222222</v>
      </c>
    </row>
    <row r="219" customFormat="false" ht="15" hidden="false" customHeight="false" outlineLevel="0" collapsed="false">
      <c r="A219" s="0" t="s">
        <v>394</v>
      </c>
      <c r="B219" s="28" t="n">
        <v>0.00694444444444444</v>
      </c>
    </row>
    <row r="220" customFormat="false" ht="15" hidden="false" customHeight="false" outlineLevel="0" collapsed="false">
      <c r="A220" s="0" t="s">
        <v>395</v>
      </c>
      <c r="B220" s="28" t="n">
        <v>0.0104166666666667</v>
      </c>
    </row>
    <row r="221" customFormat="false" ht="15" hidden="false" customHeight="false" outlineLevel="0" collapsed="false">
      <c r="A221" s="0" t="s">
        <v>396</v>
      </c>
      <c r="B221" s="28" t="n">
        <v>0.0138888888888889</v>
      </c>
    </row>
    <row r="222" customFormat="false" ht="15" hidden="false" customHeight="false" outlineLevel="0" collapsed="false">
      <c r="A222" s="0" t="s">
        <v>397</v>
      </c>
      <c r="B222" s="28" t="n">
        <v>0.0173611111111111</v>
      </c>
    </row>
    <row r="223" customFormat="false" ht="15" hidden="false" customHeight="false" outlineLevel="0" collapsed="false">
      <c r="A223" s="0" t="s">
        <v>398</v>
      </c>
      <c r="B223" s="28" t="n">
        <v>0.0208333333333333</v>
      </c>
    </row>
    <row r="224" customFormat="false" ht="15" hidden="false" customHeight="false" outlineLevel="0" collapsed="false">
      <c r="A224" s="0" t="s">
        <v>399</v>
      </c>
      <c r="B224" s="28" t="n">
        <v>0.0243055555555556</v>
      </c>
    </row>
    <row r="225" customFormat="false" ht="15" hidden="false" customHeight="false" outlineLevel="0" collapsed="false">
      <c r="A225" s="0" t="s">
        <v>400</v>
      </c>
      <c r="B225" s="28" t="n">
        <v>0.0277777777777778</v>
      </c>
    </row>
    <row r="226" customFormat="false" ht="15" hidden="false" customHeight="false" outlineLevel="0" collapsed="false">
      <c r="A226" s="0" t="s">
        <v>401</v>
      </c>
      <c r="B226" s="28" t="n">
        <v>0.03125</v>
      </c>
    </row>
    <row r="227" customFormat="false" ht="15" hidden="false" customHeight="false" outlineLevel="0" collapsed="false">
      <c r="A227" s="0" t="s">
        <v>402</v>
      </c>
      <c r="B227" s="28" t="n">
        <v>0.0347222222222222</v>
      </c>
    </row>
    <row r="228" customFormat="false" ht="15" hidden="false" customHeight="false" outlineLevel="0" collapsed="false">
      <c r="A228" s="0" t="s">
        <v>403</v>
      </c>
      <c r="B228" s="28" t="n">
        <v>0.0381944444444445</v>
      </c>
    </row>
    <row r="229" customFormat="false" ht="15" hidden="false" customHeight="false" outlineLevel="0" collapsed="false">
      <c r="A229" s="0" t="s">
        <v>404</v>
      </c>
      <c r="B229" s="28" t="n">
        <v>0.0416666666666667</v>
      </c>
    </row>
    <row r="230" customFormat="false" ht="15" hidden="false" customHeight="false" outlineLevel="0" collapsed="false">
      <c r="A230" s="0" t="s">
        <v>405</v>
      </c>
      <c r="B230" s="28" t="n">
        <v>0.0451388888888889</v>
      </c>
    </row>
    <row r="231" customFormat="false" ht="15" hidden="false" customHeight="false" outlineLevel="0" collapsed="false">
      <c r="A231" s="0" t="s">
        <v>406</v>
      </c>
      <c r="B231" s="28" t="n">
        <v>0.0486111111111111</v>
      </c>
    </row>
    <row r="232" customFormat="false" ht="15" hidden="false" customHeight="false" outlineLevel="0" collapsed="false">
      <c r="A232" s="0" t="s">
        <v>407</v>
      </c>
      <c r="B232" s="28" t="n">
        <v>0.0520833333333333</v>
      </c>
    </row>
    <row r="233" customFormat="false" ht="15" hidden="false" customHeight="false" outlineLevel="0" collapsed="false">
      <c r="A233" s="0" t="s">
        <v>408</v>
      </c>
      <c r="B233" s="28" t="n">
        <v>0.0555555555555556</v>
      </c>
    </row>
    <row r="234" customFormat="false" ht="15" hidden="false" customHeight="false" outlineLevel="0" collapsed="false">
      <c r="A234" s="0" t="s">
        <v>409</v>
      </c>
      <c r="B234" s="28" t="n">
        <v>0.0590277777777778</v>
      </c>
    </row>
    <row r="235" customFormat="false" ht="15" hidden="false" customHeight="false" outlineLevel="0" collapsed="false">
      <c r="A235" s="0" t="s">
        <v>410</v>
      </c>
      <c r="B235" s="28" t="n">
        <v>0.0625</v>
      </c>
    </row>
    <row r="236" customFormat="false" ht="15" hidden="false" customHeight="false" outlineLevel="0" collapsed="false">
      <c r="A236" s="0" t="s">
        <v>411</v>
      </c>
      <c r="B236" s="28" t="n">
        <v>0.0659722222222222</v>
      </c>
    </row>
    <row r="237" customFormat="false" ht="15" hidden="false" customHeight="false" outlineLevel="0" collapsed="false">
      <c r="A237" s="0" t="s">
        <v>412</v>
      </c>
      <c r="B237" s="28" t="n">
        <v>0.0694444444444445</v>
      </c>
    </row>
    <row r="238" customFormat="false" ht="15" hidden="false" customHeight="false" outlineLevel="0" collapsed="false">
      <c r="A238" s="0" t="s">
        <v>413</v>
      </c>
      <c r="B238" s="28" t="n">
        <v>0.0729166666666667</v>
      </c>
    </row>
    <row r="239" customFormat="false" ht="15" hidden="false" customHeight="false" outlineLevel="0" collapsed="false">
      <c r="A239" s="0" t="s">
        <v>414</v>
      </c>
      <c r="B239" s="28" t="n">
        <v>0.0763888888888889</v>
      </c>
    </row>
    <row r="240" customFormat="false" ht="15" hidden="false" customHeight="false" outlineLevel="0" collapsed="false">
      <c r="A240" s="0" t="s">
        <v>415</v>
      </c>
      <c r="B240" s="28" t="n">
        <v>0.0798611111111111</v>
      </c>
    </row>
    <row r="241" customFormat="false" ht="15" hidden="false" customHeight="false" outlineLevel="0" collapsed="false">
      <c r="A241" s="0" t="s">
        <v>416</v>
      </c>
      <c r="B241" s="28" t="n">
        <v>0.0833333333333333</v>
      </c>
    </row>
    <row r="242" customFormat="false" ht="15" hidden="false" customHeight="false" outlineLevel="0" collapsed="false">
      <c r="A242" s="0" t="s">
        <v>417</v>
      </c>
      <c r="B242" s="28" t="n">
        <v>0.0868055555555556</v>
      </c>
    </row>
    <row r="243" customFormat="false" ht="15" hidden="false" customHeight="false" outlineLevel="0" collapsed="false">
      <c r="A243" s="0" t="s">
        <v>418</v>
      </c>
      <c r="B243" s="28" t="n">
        <v>0.0902777777777778</v>
      </c>
    </row>
    <row r="244" customFormat="false" ht="15" hidden="false" customHeight="false" outlineLevel="0" collapsed="false">
      <c r="A244" s="0" t="s">
        <v>419</v>
      </c>
      <c r="B244" s="28" t="n">
        <v>0.09375</v>
      </c>
    </row>
    <row r="245" customFormat="false" ht="15" hidden="false" customHeight="false" outlineLevel="0" collapsed="false">
      <c r="A245" s="0" t="s">
        <v>420</v>
      </c>
      <c r="B245" s="28" t="n">
        <v>0.0972222222222222</v>
      </c>
    </row>
    <row r="246" customFormat="false" ht="15" hidden="false" customHeight="false" outlineLevel="0" collapsed="false">
      <c r="A246" s="0" t="s">
        <v>421</v>
      </c>
      <c r="B246" s="28" t="n">
        <v>0.100694444444444</v>
      </c>
    </row>
    <row r="247" customFormat="false" ht="15" hidden="false" customHeight="false" outlineLevel="0" collapsed="false">
      <c r="A247" s="0" t="s">
        <v>422</v>
      </c>
      <c r="B247" s="28" t="n">
        <v>0.104166666666667</v>
      </c>
    </row>
    <row r="248" customFormat="false" ht="15" hidden="false" customHeight="false" outlineLevel="0" collapsed="false">
      <c r="A248" s="0" t="s">
        <v>423</v>
      </c>
      <c r="B248" s="28" t="n">
        <v>0.107638888888889</v>
      </c>
    </row>
    <row r="249" customFormat="false" ht="15" hidden="false" customHeight="false" outlineLevel="0" collapsed="false">
      <c r="A249" s="0" t="s">
        <v>424</v>
      </c>
      <c r="B249" s="28" t="n">
        <v>0.111111111111111</v>
      </c>
    </row>
    <row r="250" customFormat="false" ht="15" hidden="false" customHeight="false" outlineLevel="0" collapsed="false">
      <c r="A250" s="0" t="s">
        <v>425</v>
      </c>
      <c r="B250" s="28" t="n">
        <v>0.114583333333333</v>
      </c>
    </row>
    <row r="251" customFormat="false" ht="15" hidden="false" customHeight="false" outlineLevel="0" collapsed="false">
      <c r="A251" s="0" t="s">
        <v>426</v>
      </c>
      <c r="B251" s="28" t="n">
        <v>0.118055555555556</v>
      </c>
    </row>
    <row r="252" customFormat="false" ht="15" hidden="false" customHeight="false" outlineLevel="0" collapsed="false">
      <c r="A252" s="0" t="s">
        <v>427</v>
      </c>
      <c r="B252" s="28" t="n">
        <v>0.121527777777778</v>
      </c>
    </row>
    <row r="253" customFormat="false" ht="15" hidden="false" customHeight="false" outlineLevel="0" collapsed="false">
      <c r="A253" s="0" t="s">
        <v>428</v>
      </c>
      <c r="B253" s="28" t="n">
        <v>0.125</v>
      </c>
    </row>
    <row r="254" customFormat="false" ht="15" hidden="false" customHeight="false" outlineLevel="0" collapsed="false">
      <c r="A254" s="0" t="s">
        <v>429</v>
      </c>
      <c r="B254" s="28" t="n">
        <v>0.128472222222222</v>
      </c>
    </row>
    <row r="255" customFormat="false" ht="15" hidden="false" customHeight="false" outlineLevel="0" collapsed="false">
      <c r="A255" s="0" t="s">
        <v>430</v>
      </c>
      <c r="B255" s="28" t="n">
        <v>0.131944444444444</v>
      </c>
    </row>
    <row r="256" customFormat="false" ht="15" hidden="false" customHeight="false" outlineLevel="0" collapsed="false">
      <c r="A256" s="0" t="s">
        <v>431</v>
      </c>
      <c r="B256" s="28" t="n">
        <v>0.135416666666667</v>
      </c>
    </row>
    <row r="257" customFormat="false" ht="15" hidden="false" customHeight="false" outlineLevel="0" collapsed="false">
      <c r="A257" s="0" t="s">
        <v>432</v>
      </c>
      <c r="B257" s="28" t="n">
        <v>0.138888888888889</v>
      </c>
    </row>
    <row r="258" customFormat="false" ht="15" hidden="false" customHeight="false" outlineLevel="0" collapsed="false">
      <c r="A258" s="0" t="s">
        <v>433</v>
      </c>
      <c r="B258" s="28" t="n">
        <v>0.142361111111111</v>
      </c>
    </row>
    <row r="259" customFormat="false" ht="15" hidden="false" customHeight="false" outlineLevel="0" collapsed="false">
      <c r="A259" s="0" t="s">
        <v>434</v>
      </c>
      <c r="B259" s="28" t="n">
        <v>0.145833333333333</v>
      </c>
    </row>
    <row r="260" customFormat="false" ht="15" hidden="false" customHeight="false" outlineLevel="0" collapsed="false">
      <c r="A260" s="0" t="s">
        <v>435</v>
      </c>
      <c r="B260" s="28" t="n">
        <v>0.149305555555556</v>
      </c>
    </row>
    <row r="261" customFormat="false" ht="15" hidden="false" customHeight="false" outlineLevel="0" collapsed="false">
      <c r="A261" s="0" t="s">
        <v>436</v>
      </c>
      <c r="B261" s="28" t="n">
        <v>0.152777777777778</v>
      </c>
    </row>
    <row r="262" customFormat="false" ht="15" hidden="false" customHeight="false" outlineLevel="0" collapsed="false">
      <c r="A262" s="0" t="s">
        <v>437</v>
      </c>
      <c r="B262" s="28" t="n">
        <v>0.15625</v>
      </c>
    </row>
    <row r="263" customFormat="false" ht="15" hidden="false" customHeight="false" outlineLevel="0" collapsed="false">
      <c r="A263" s="0" t="s">
        <v>438</v>
      </c>
      <c r="B263" s="28" t="n">
        <v>0.159722222222222</v>
      </c>
    </row>
    <row r="264" customFormat="false" ht="15" hidden="false" customHeight="false" outlineLevel="0" collapsed="false">
      <c r="A264" s="0" t="s">
        <v>439</v>
      </c>
      <c r="B264" s="28" t="n">
        <v>0.163194444444444</v>
      </c>
    </row>
    <row r="265" customFormat="false" ht="15" hidden="false" customHeight="false" outlineLevel="0" collapsed="false">
      <c r="A265" s="0" t="s">
        <v>440</v>
      </c>
      <c r="B265" s="28" t="n">
        <v>0.166666666666667</v>
      </c>
    </row>
    <row r="266" customFormat="false" ht="15" hidden="false" customHeight="false" outlineLevel="0" collapsed="false">
      <c r="A266" s="0" t="s">
        <v>441</v>
      </c>
      <c r="B266" s="28" t="n">
        <v>0.170138888888889</v>
      </c>
    </row>
    <row r="267" customFormat="false" ht="15" hidden="false" customHeight="false" outlineLevel="0" collapsed="false">
      <c r="A267" s="0" t="s">
        <v>442</v>
      </c>
      <c r="B267" s="28" t="n">
        <v>0.173611111111111</v>
      </c>
    </row>
    <row r="268" customFormat="false" ht="15" hidden="false" customHeight="false" outlineLevel="0" collapsed="false">
      <c r="A268" s="0" t="s">
        <v>443</v>
      </c>
      <c r="B268" s="28" t="n">
        <v>0.177083333333333</v>
      </c>
    </row>
    <row r="269" customFormat="false" ht="15" hidden="false" customHeight="false" outlineLevel="0" collapsed="false">
      <c r="A269" s="0" t="s">
        <v>444</v>
      </c>
      <c r="B269" s="28" t="n">
        <v>0.180555555555556</v>
      </c>
    </row>
    <row r="270" customFormat="false" ht="15" hidden="false" customHeight="false" outlineLevel="0" collapsed="false">
      <c r="A270" s="0" t="s">
        <v>445</v>
      </c>
      <c r="B270" s="28" t="n">
        <v>0.184027777777778</v>
      </c>
    </row>
    <row r="271" customFormat="false" ht="15" hidden="false" customHeight="false" outlineLevel="0" collapsed="false">
      <c r="A271" s="0" t="s">
        <v>446</v>
      </c>
      <c r="B271" s="28" t="n">
        <v>0.1875</v>
      </c>
    </row>
    <row r="272" customFormat="false" ht="15" hidden="false" customHeight="false" outlineLevel="0" collapsed="false">
      <c r="A272" s="0" t="s">
        <v>447</v>
      </c>
      <c r="B272" s="28" t="n">
        <v>0.190972222222222</v>
      </c>
    </row>
    <row r="273" customFormat="false" ht="15" hidden="false" customHeight="false" outlineLevel="0" collapsed="false">
      <c r="A273" s="0" t="s">
        <v>448</v>
      </c>
      <c r="B273" s="28" t="n">
        <v>0.194444444444444</v>
      </c>
    </row>
    <row r="274" customFormat="false" ht="15" hidden="false" customHeight="false" outlineLevel="0" collapsed="false">
      <c r="A274" s="0" t="s">
        <v>449</v>
      </c>
      <c r="B274" s="28" t="n">
        <v>0.197916666666667</v>
      </c>
    </row>
    <row r="275" customFormat="false" ht="15" hidden="false" customHeight="false" outlineLevel="0" collapsed="false">
      <c r="A275" s="0" t="s">
        <v>450</v>
      </c>
      <c r="B275" s="28" t="n">
        <v>0.201388888888889</v>
      </c>
    </row>
    <row r="276" customFormat="false" ht="15" hidden="false" customHeight="false" outlineLevel="0" collapsed="false">
      <c r="A276" s="0" t="s">
        <v>451</v>
      </c>
      <c r="B276" s="28" t="n">
        <v>0.204861111111111</v>
      </c>
    </row>
    <row r="277" customFormat="false" ht="15" hidden="false" customHeight="false" outlineLevel="0" collapsed="false">
      <c r="A277" s="0" t="s">
        <v>452</v>
      </c>
      <c r="B277" s="28" t="n">
        <v>0.208333333333333</v>
      </c>
    </row>
    <row r="278" customFormat="false" ht="15" hidden="false" customHeight="false" outlineLevel="0" collapsed="false">
      <c r="A278" s="0" t="s">
        <v>453</v>
      </c>
      <c r="B278" s="28" t="n">
        <v>0.211805555555556</v>
      </c>
    </row>
    <row r="279" customFormat="false" ht="15" hidden="false" customHeight="false" outlineLevel="0" collapsed="false">
      <c r="A279" s="0" t="s">
        <v>454</v>
      </c>
      <c r="B279" s="28" t="n">
        <v>0.215277777777778</v>
      </c>
    </row>
    <row r="280" customFormat="false" ht="15" hidden="false" customHeight="false" outlineLevel="0" collapsed="false">
      <c r="A280" s="0" t="s">
        <v>455</v>
      </c>
      <c r="B280" s="28" t="n">
        <v>0.21875</v>
      </c>
    </row>
    <row r="281" customFormat="false" ht="15" hidden="false" customHeight="false" outlineLevel="0" collapsed="false">
      <c r="A281" s="0" t="s">
        <v>456</v>
      </c>
      <c r="B281" s="28" t="n">
        <v>0.222222222222222</v>
      </c>
    </row>
    <row r="282" customFormat="false" ht="15" hidden="false" customHeight="false" outlineLevel="0" collapsed="false">
      <c r="A282" s="0" t="s">
        <v>457</v>
      </c>
      <c r="B282" s="28" t="n">
        <v>0.225694444444444</v>
      </c>
    </row>
    <row r="283" customFormat="false" ht="15" hidden="false" customHeight="false" outlineLevel="0" collapsed="false">
      <c r="A283" s="0" t="s">
        <v>458</v>
      </c>
      <c r="B283" s="28" t="n">
        <v>0.229166666666667</v>
      </c>
    </row>
    <row r="284" customFormat="false" ht="15" hidden="false" customHeight="false" outlineLevel="0" collapsed="false">
      <c r="A284" s="0" t="s">
        <v>459</v>
      </c>
      <c r="B284" s="28" t="n">
        <v>0.232638888888889</v>
      </c>
    </row>
    <row r="285" customFormat="false" ht="15" hidden="false" customHeight="false" outlineLevel="0" collapsed="false">
      <c r="A285" s="0" t="s">
        <v>460</v>
      </c>
      <c r="B285" s="28" t="n">
        <v>0.236111111111111</v>
      </c>
    </row>
    <row r="286" customFormat="false" ht="15" hidden="false" customHeight="false" outlineLevel="0" collapsed="false">
      <c r="A286" s="0" t="s">
        <v>461</v>
      </c>
      <c r="B286" s="28" t="n">
        <v>0.239583333333333</v>
      </c>
    </row>
    <row r="287" customFormat="false" ht="15" hidden="false" customHeight="false" outlineLevel="0" collapsed="false">
      <c r="A287" s="0" t="s">
        <v>462</v>
      </c>
      <c r="B287" s="28" t="n">
        <v>0.243055555555556</v>
      </c>
    </row>
    <row r="288" customFormat="false" ht="15" hidden="false" customHeight="false" outlineLevel="0" collapsed="false">
      <c r="A288" s="0" t="s">
        <v>463</v>
      </c>
      <c r="B288" s="28" t="n">
        <v>0.246527777777778</v>
      </c>
    </row>
  </sheetData>
  <sheetProtection sheet="true" formatColumns="false" formatRows="fals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2026-10-01T15:02:07Z</dcterms:created>
  <dc:creator>openpyxl</dc:creator>
  <dc:description/>
  <dc:language>en-US</dc:language>
  <cp:lastModifiedBy/>
  <dcterms:modified xsi:type="dcterms:W3CDTF">2026-10-01T15:02:10Z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