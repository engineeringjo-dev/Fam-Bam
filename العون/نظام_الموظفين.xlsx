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تسوية" sheetId="1" state="visible" r:id="rId3"/>
    <sheet name="ساعات عمر" sheetId="2" state="visible" r:id="rId4"/>
    <sheet name="ساعات عبدالعزيز" sheetId="3" state="visible" r:id="rId5"/>
    <sheet name="السلف" sheetId="4" state="visible" r:id="rId6"/>
    <sheet name="القروض والديون" sheetId="5" state="visible" r:id="rId7"/>
    <sheet name="المدير" sheetId="6" state="visible" r:id="rId8"/>
    <sheet name="عمال المهام" sheetId="7" state="visible" r:id="rId9"/>
    <sheet name="القواعد" sheetId="8" state="visible" r:id="rId10"/>
    <sheet name="التعليمات" sheetId="9" state="visible" r:id="rId11"/>
    <sheet name="القوائم" sheetId="10" state="hidden" r:id="rId12"/>
  </sheets>
  <definedNames>
    <definedName function="false" hidden="false" name="ADV_AMT" vbProcedure="false">السلف!$C$10:$C$129</definedName>
    <definedName function="false" hidden="false" name="ADV_CAP" vbProcedure="false">القواعد!$C$12</definedName>
    <definedName function="false" hidden="false" name="ADV_D" vbProcedure="false">السلف!$F$10:$F$129</definedName>
    <definedName function="false" hidden="false" name="ADV_E" vbProcedure="false">السلف!$B$10:$B$129</definedName>
    <definedName function="false" hidden="false" name="AZZ_RATE" vbProcedure="false">القواعد!$C$9</definedName>
    <definedName function="false" hidden="false" name="GYP_RATE" vbProcedure="false">القواعد!$C$10</definedName>
    <definedName function="false" hidden="false" name="LG_D" vbProcedure="false">'القروض والديون'!$K$11:$K$130</definedName>
    <definedName function="false" hidden="false" name="LG_DEBT" vbProcedure="false">'القروض والديون'!$C$11:$C$130</definedName>
    <definedName function="false" hidden="false" name="LG_E" vbProcedure="false">'القروض والديون'!$B$11:$B$130</definedName>
    <definedName function="false" hidden="false" name="LG_IDX" vbProcedure="false">'القروض والديون'!$J$11:$J$130</definedName>
    <definedName function="false" hidden="false" name="LG_INST" vbProcedure="false">'القروض والديون'!$D$11:$D$130</definedName>
    <definedName function="false" hidden="false" name="LG_REP" vbProcedure="false">'القروض والديون'!$E$11:$E$130</definedName>
    <definedName function="false" hidden="false" name="MEND" vbProcedure="false">القوائم!$G$2</definedName>
    <definedName function="false" hidden="false" name="MGR_SAL" vbProcedure="false">القواعد!$C$13</definedName>
    <definedName function="false" hidden="false" name="MGR_START" vbProcedure="false">القواعد!$C$14</definedName>
    <definedName function="false" hidden="false" name="MSTART" vbProcedure="false">القوائم!$G$1</definedName>
    <definedName function="false" hidden="false" name="NW" vbProcedure="false">القوائم!$G$4</definedName>
    <definedName function="false" hidden="false" name="OMR_FRI_IN" vbProcedure="false">القواعد!$C$7</definedName>
    <definedName function="false" hidden="false" name="OMR_FRI_OUT" vbProcedure="false">القواعد!$C$8</definedName>
    <definedName function="false" hidden="false" name="OMR_OT" vbProcedure="false">القواعد!$C$5</definedName>
    <definedName function="false" hidden="false" name="OMR_OT_AT" vbProcedure="false">القواعد!$C$6</definedName>
    <definedName function="false" hidden="false" name="OMR_RATE" vbProcedure="false">القواعد!$C$4</definedName>
    <definedName function="false" hidden="false" name="ROUND_MODE" vbProcedure="false">القواعد!$C$11</definedName>
    <definedName function="false" hidden="false" name="WE" vbProcedure="false">INDEX(القوائم!$I$11:$I$16,التسوية!$N$5)</definedName>
    <definedName function="false" hidden="false" name="WFIRST" vbProcedure="false">القوائم!$G$3</definedName>
    <definedName function="false" hidden="false" name="WK" vbProcedure="false">التسوية!$N$5</definedName>
    <definedName function="false" hidden="false" name="WS" vbProcedure="false">INDEX(القوائم!$H$11:$H$16,التسوية!$N$5)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<sst xmlns="http://schemas.openxmlformats.org/spreadsheetml/2006/main" count="309" uniqueCount="240">
  <si>
    <t xml:space="preserve">نظام الموظفين — التسوية الأسبوعية والشهرية</t>
  </si>
  <si>
    <t xml:space="preserve">اختر الشهر</t>
  </si>
  <si>
    <t xml:space="preserve">اختر السنة</t>
  </si>
  <si>
    <t xml:space="preserve">← أول شي اختار الشهر والسنة — كل الملف (الأسابيع وتواريخ الأيام) بيتبرمج عليهم</t>
  </si>
  <si>
    <t xml:space="preserve">الأسبوع</t>
  </si>
  <si>
    <t xml:space="preserve">الأسبوع الأول</t>
  </si>
  <si>
    <t xml:space="preserve">افتتاح الشهر — انقل الأرقام من «إقفال الشهر» بملف الشهر الماضي</t>
  </si>
  <si>
    <t xml:space="preserve">الموظف</t>
  </si>
  <si>
    <t xml:space="preserve">مستحق له لسا ما قبضه (دينار)</t>
  </si>
  <si>
    <t xml:space="preserve">قرض أو دين متبقي عليه (دينار)</t>
  </si>
  <si>
    <t xml:space="preserve">القسط الأسبوعي (دينار)</t>
  </si>
  <si>
    <t xml:space="preserve">«مستحق له» = أيام اشتغلها آخر الشهر الماضي وما انقبضت (مثلاً أسبوع مقطوع). بينضاف لصافي أول أسبوع. · «دين متبقي» = اللي ضل عليه من ديون وبضاعة. بينخصم منه القسط الأسبوعي لحد ما يخلص.</t>
  </si>
  <si>
    <t xml:space="preserve">عمر المصري</t>
  </si>
  <si>
    <t xml:space="preserve">عبدالعزيز</t>
  </si>
  <si>
    <t xml:space="preserve">عدد الساعات</t>
  </si>
  <si>
    <t xml:space="preserve">المستحق (دينار)</t>
  </si>
  <si>
    <t xml:space="preserve">+ مدوّر</t>
  </si>
  <si>
    <t xml:space="preserve">− مقبوض يومياً</t>
  </si>
  <si>
    <t xml:space="preserve">− السلف</t>
  </si>
  <si>
    <t xml:space="preserve">− القسط</t>
  </si>
  <si>
    <t xml:space="preserve">الصافي للدفع</t>
  </si>
  <si>
    <t xml:space="preserve">المدفوع (دينار)</t>
  </si>
  <si>
    <t xml:space="preserve">الباقي له</t>
  </si>
  <si>
    <t xml:space="preserve">الدين المتبقي</t>
  </si>
  <si>
    <t xml:space="preserve">ملاحظة</t>
  </si>
  <si>
    <t xml:space="preserve">المدفوع بينكتب بجداول الشهر تحت (سطر الأسبوع) — وهون بيطلع لحاله. المدير بورقته لحال · عمال المهام بورقتهم.</t>
  </si>
  <si>
    <t xml:space="preserve">عمر المصري — كل أسابيع الشهر</t>
  </si>
  <si>
    <t xml:space="preserve">مجموع الشهر</t>
  </si>
  <si>
    <t xml:space="preserve">عبدالعزيز — كل أسابيع الشهر</t>
  </si>
  <si>
    <t xml:space="preserve">إقفال الشهر — هالأرقام بتنكتب بـ«افتتاح الشهر» بملف الشهر الجاي</t>
  </si>
  <si>
    <t xml:space="preserve">ساعات عمر المصري</t>
  </si>
  <si>
    <t xml:space="preserve">اختر الدخول والخروج (AM/PM) — عدد الساعات والعادي والإضافي والمستحق بيطلعوا لحالهم. السبت–الخميس: بعد 6:00 PM إضافي @1.500 · الجمعة كل الساعات @1.250. ساعات تحميل الجبسمبورد بتنكتب مرة وحدة تحت كل أسبوع. مستحق الأسبوع بيتجبر لربع دينار.</t>
  </si>
  <si>
    <t xml:space="preserve">التاريخ</t>
  </si>
  <si>
    <t xml:space="preserve">اليوم</t>
  </si>
  <si>
    <t xml:space="preserve">دخول</t>
  </si>
  <si>
    <t xml:space="preserve">خروج</t>
  </si>
  <si>
    <t xml:space="preserve">منها عادي</t>
  </si>
  <si>
    <t xml:space="preserve">منها إضافي</t>
  </si>
  <si>
    <t xml:space="preserve">ملاحظات</t>
  </si>
  <si>
    <t xml:space="preserve">ساعات عبدالعزيز — بيقبض نهاية كل يوم</t>
  </si>
  <si>
    <t xml:space="preserve">دينار للساعة أي يوم. مستحق كل يوم مجبور لربع دينار. لما يقبض آخر اليوم: «نعم» + المبلغ. ساعات الجبسمبورد تحت كل أسبوع — فرقها بينضاف لمستحق الأسبوع وبيندفع آخره.</t>
  </si>
  <si>
    <t xml:space="preserve">مستحق اليوم (دينار)</t>
  </si>
  <si>
    <t xml:space="preserve">قبض؟</t>
  </si>
  <si>
    <t xml:space="preserve">المقبوض (دينار)</t>
  </si>
  <si>
    <t xml:space="preserve">السلف الأسبوعية — بتنخصم كاملة من راتب نفس الأسبوع</t>
  </si>
  <si>
    <t xml:space="preserve">سلف هالشهر (دينار)</t>
  </si>
  <si>
    <t xml:space="preserve">سلف الأسبوع المختار (دينار)</t>
  </si>
  <si>
    <t xml:space="preserve">• كاش بياخذه وسط الأسبوع ← بينخصم كامل من صافي نفس الأسبوع. القروض والبضاعة (اللي بتنخصم أقساط) بورقة «القروض والديون».</t>
  </si>
  <si>
    <t xml:space="preserve">المبلغ (دينار)</t>
  </si>
  <si>
    <t xml:space="preserve">البيان</t>
  </si>
  <si>
    <t xml:space="preserve">مثال: 5 · عمر المصري · 20.000 · «كاش من الصندوق»</t>
  </si>
  <si>
    <t xml:space="preserve">القروض والديون — بتنخصم أقساط كل أسبوع</t>
  </si>
  <si>
    <t xml:space="preserve">القروض والديون (مع الماضي)</t>
  </si>
  <si>
    <t xml:space="preserve">انخصم أقساط هالشهر</t>
  </si>
  <si>
    <t xml:space="preserve">تسديد مباشر</t>
  </si>
  <si>
    <t xml:space="preserve">القسط الأسبوعي الحالي</t>
  </si>
  <si>
    <t xml:space="preserve">قديش ضل</t>
  </si>
  <si>
    <t xml:space="preserve">• قرض أو دين أو بضاعة: اكتب المبلغ والقسط الأسبوعي بنفس السطر ← القسط بينخصم كل أسبوع لحاله لحد ما يخلص (آخر قسط = الباقي بس).</t>
  </si>
  <si>
    <t xml:space="preserve">• بدك تغيّر القسط؟ سطر جديد فيه القسط الجديد بس. · تسديد مباشر: لو دفع من جيبته ← بينقص من الدين فوراً.</t>
  </si>
  <si>
    <t xml:space="preserve">قرض / دين / بضاعة (دينار)</t>
  </si>
  <si>
    <t xml:space="preserve">تسديد مباشر (دينار)</t>
  </si>
  <si>
    <t xml:space="preserve">أمثلة: 7 · عمر المصري · 497.000 · القسط 30.000 · «قرض»   |   20 · عمر المصري · تسديد مباشر 50.000</t>
  </si>
  <si>
    <t xml:space="preserve">المدير — 125 دينار كل 10 أيام</t>
  </si>
  <si>
    <t xml:space="preserve">الفترات بتطلع لحالها من «بداية أول فترة» بورقة القواعد، وكل فترة بتنحسب بملف الشهر اللي بتخلص فيه. سلفه وديونه بجدول تحت بهالورقة نفسها.</t>
  </si>
  <si>
    <t xml:space="preserve">افتتاح الشهر</t>
  </si>
  <si>
    <t xml:space="preserve">مستحق له لسا ما قبضه</t>
  </si>
  <si>
    <t xml:space="preserve">دين متبقي عليه</t>
  </si>
  <si>
    <t xml:space="preserve">القسط كل فترة</t>
  </si>
  <si>
    <t xml:space="preserve">من الشهر الماضي</t>
  </si>
  <si>
    <t xml:space="preserve">الفترة</t>
  </si>
  <si>
    <t xml:space="preserve">من</t>
  </si>
  <si>
    <t xml:space="preserve">إلى</t>
  </si>
  <si>
    <t xml:space="preserve">الراتب (دينار)</t>
  </si>
  <si>
    <t xml:space="preserve">الصافي</t>
  </si>
  <si>
    <t xml:space="preserve">إقفال الشهر ← افتتاح الشهر الجاي:</t>
  </si>
  <si>
    <t xml:space="preserve">مستحق له</t>
  </si>
  <si>
    <t xml:space="preserve">دين عليه</t>
  </si>
  <si>
    <t xml:space="preserve">سلفة (دينار)</t>
  </si>
  <si>
    <t xml:space="preserve">القسط كل فترة (دينار)</t>
  </si>
  <si>
    <t xml:space="preserve">عمال المهام — بيندفعلهم مباشرة</t>
  </si>
  <si>
    <t xml:space="preserve">كل مهمة سطر: التاريخ، العامل، شو عمل، وقديش أخذ. بلا أسعار ثابتة.</t>
  </si>
  <si>
    <t xml:space="preserve">اسم العامل</t>
  </si>
  <si>
    <t xml:space="preserve">المهمة</t>
  </si>
  <si>
    <t xml:space="preserve">المبلغ المدفوع (دينار)</t>
  </si>
  <si>
    <t xml:space="preserve">مثال: 07/10/2026 · محمد · تنزيل طبلية جبسمبورد · 10.000</t>
  </si>
  <si>
    <t xml:space="preserve">القواعد والأسعار — كل الحسابات بتقرأ من هون</t>
  </si>
  <si>
    <t xml:space="preserve">#</t>
  </si>
  <si>
    <t xml:space="preserve">القاعدة</t>
  </si>
  <si>
    <t xml:space="preserve">القيمة</t>
  </si>
  <si>
    <t xml:space="preserve">الشرح</t>
  </si>
  <si>
    <t xml:space="preserve">عمر المصري — أجر الساعة العادية (دينار)</t>
  </si>
  <si>
    <t xml:space="preserve">السبت–الخميس لحد بداية الإضافي، والجمعة كل ساعاته.</t>
  </si>
  <si>
    <t xml:space="preserve">عمر المصري — أجر ساعة الإضافي (دينار)</t>
  </si>
  <si>
    <t xml:space="preserve">السبت–الخميس بعد الوقت اللي تحت.</t>
  </si>
  <si>
    <t xml:space="preserve">عمر المصري — بداية الإضافي</t>
  </si>
  <si>
    <t xml:space="preserve">الجمعة ما إلها إضافي.</t>
  </si>
  <si>
    <t xml:space="preserve">عمر المصري — دوام الجمعة من</t>
  </si>
  <si>
    <t xml:space="preserve">للتنبيه بس — الحساب حسب الساعات الفعلية.</t>
  </si>
  <si>
    <t xml:space="preserve">عمر المصري — دوام الجمعة إلى</t>
  </si>
  <si>
    <t xml:space="preserve">عبدالعزيز — أجر الساعة (دينار)</t>
  </si>
  <si>
    <t xml:space="preserve">أي يوم. بيقبض نهاية كل يوم.</t>
  </si>
  <si>
    <t xml:space="preserve">تحميل الجبسمبورد — أجر الساعة (دينار)</t>
  </si>
  <si>
    <t xml:space="preserve">ساعات التحميل جزء من ساعات الدوام، بس بتنحسب @2.5 بدل الأجر العادي.</t>
  </si>
  <si>
    <t xml:space="preserve">جبر المستحق</t>
  </si>
  <si>
    <t xml:space="preserve">لأقرب ربع</t>
  </si>
  <si>
    <t xml:space="preserve">لأقرب ربع: 18.300←18.250 و18.400←18.500 · للأعلى: أي كسر بيطلع للربع اللي فوقه.</t>
  </si>
  <si>
    <t xml:space="preserve">سقف السلف بالأسبوع (نسبة من المستحق)</t>
  </si>
  <si>
    <t xml:space="preserve">تنبيه لو السلف تجاوزت. 0 = بلا سقف.</t>
  </si>
  <si>
    <t xml:space="preserve">المدير — راتب كل 10 أيام (دينار)</t>
  </si>
  <si>
    <t xml:space="preserve">المدير — بداية أول فترة</t>
  </si>
  <si>
    <t xml:space="preserve">الفترات بتتسلسل من هالتاريخ كل 10 أيام. ثابت لكل الشهور.</t>
  </si>
  <si>
    <t xml:space="preserve">كيف يشتغل الملف</t>
  </si>
  <si>
    <t xml:space="preserve">أول كل شهر</t>
  </si>
  <si>
    <t xml:space="preserve">1</t>
  </si>
  <si>
    <t xml:space="preserve">خذ نسخة من الملف وسمّيها برقم الشهر. أول شي فوق بورقة «التسوية»: اختر الشهر والسنة — كل الملف (الأسابيع وتواريخ الأيام) بيتبرمج عليهم.</t>
  </si>
  <si>
    <t xml:space="preserve">2</t>
  </si>
  <si>
    <t xml:space="preserve">انقل أرقام «إقفال الشهر» من ملف الشهر الماضي لـ«افتتاح الشهر»: مستحق له لسا ما قبضه · دين متبقي عليه · القسط الأسبوعي. (وكمان للمدير بورقته.)</t>
  </si>
  <si>
    <t xml:space="preserve">الأسبوع اللي بيقطع بين شهرين</t>
  </si>
  <si>
    <t xml:space="preserve">3</t>
  </si>
  <si>
    <t xml:space="preserve">الملف فيه أيام الشهر بس. مثلاً شهر 10/2026 بيبدأ الخميس 01/10: «الأسبوع الأول» = الخميس والجمعة بس، والسبت 26/09 لـالأربعاء 30/09 كانوا بملف شهر 9.</t>
  </si>
  <si>
    <t xml:space="preserve">4</t>
  </si>
  <si>
    <t xml:space="preserve">وآخر الشهر نفس الشي: السبت 31/10 بس بملف شهر 10، والباقي بملف شهر 11. اللي اشتغله وما انقبض بيطلع بـ«إقفال الشهر» ← «مستحق له» بافتتاح الشهر الجاي، وبينضاف لصافي أول أسبوع.</t>
  </si>
  <si>
    <t xml:space="preserve">كل يوم</t>
  </si>
  <si>
    <t xml:space="preserve">5</t>
  </si>
  <si>
    <t xml:space="preserve">بورقة الساعات: اختر الدخول والخروج من القائمة (كل ربع ساعة، AM/PM) — أو اكتبه مثل 7:30 AM. عدد الساعات (مثل 11 س 30 د) والعادي والإضافي والمستحق بيطلعوا لحالهم. عبدالعزيز: آخر اليوم «قبض؟ نعم» + المبلغ.</t>
  </si>
  <si>
    <t xml:space="preserve">6</t>
  </si>
  <si>
    <t xml:space="preserve">ساعات تحميل الجبسمبورد: مرة وحدة تحت كل أسبوع (مجموع ساعات التحميل بالأسبوع).</t>
  </si>
  <si>
    <t xml:space="preserve">7</t>
  </si>
  <si>
    <t xml:space="preserve">سلفة الأسبوع (كاش وسط الأسبوع): سطر بورقة «السلف» — بتنخصم كاملة من نفس الأسبوع. قرض أو دين أو بضاعة: سطر بورقة «القروض والديون» فيه المبلغ والقسط الأسبوعي — القسط بينخصم لحاله كل أسبوع، وفوق الورقة ملخّص: قديش عليه، قديش ضل، وكم أسبوع.</t>
  </si>
  <si>
    <t xml:space="preserve">آخر الأسبوع</t>
  </si>
  <si>
    <t xml:space="preserve">8</t>
  </si>
  <si>
    <t xml:space="preserve">بورقة «التسوية» اختر الأسبوع — بيطلعلك لكل واحد المستحق (مجبور لربع دينار) ناقص السلف والقسط = الصافي للدفع.</t>
  </si>
  <si>
    <t xml:space="preserve">9</t>
  </si>
  <si>
    <t xml:space="preserve">لما تدفع: اكتب المبلغ بخانة «المدفوع» بسطر الأسبوع بجدول الشهر.</t>
  </si>
  <si>
    <t xml:space="preserve">الحماية</t>
  </si>
  <si>
    <t xml:space="preserve">10</t>
  </si>
  <si>
    <t xml:space="preserve">الخلايا الصفراء بس بتنكتب. الباقي محمي عشان المعادلات ما تنخرب (الحماية بلا كلمة سر — من «مراجعة ← إلغاء حماية الورقة» إذا لزم).</t>
  </si>
  <si>
    <t xml:space="preserve">11</t>
  </si>
  <si>
    <t xml:space="preserve">كل التواريخ بالملف يوم/شهر/سنة (05/10/2026). بخانة التاريخ: اختار من القائمة، أو اكتب رقم اليوم لحاله (5 = يوم 5 من الشهر المختار)، أو يوم وشهر (0510 = 05/10)، أو 5/10.</t>
  </si>
  <si>
    <t xml:space="preserve">6:00 AM</t>
  </si>
  <si>
    <t xml:space="preserve">6:15 AM</t>
  </si>
  <si>
    <t xml:space="preserve">6:30 AM</t>
  </si>
  <si>
    <t xml:space="preserve">6:45 AM</t>
  </si>
  <si>
    <t xml:space="preserve">7:00 AM</t>
  </si>
  <si>
    <t xml:space="preserve">7:15 AM</t>
  </si>
  <si>
    <t xml:space="preserve">7:30 AM</t>
  </si>
  <si>
    <t xml:space="preserve">7:45 AM</t>
  </si>
  <si>
    <t xml:space="preserve">8:00 AM</t>
  </si>
  <si>
    <t xml:space="preserve">8:15 AM</t>
  </si>
  <si>
    <t xml:space="preserve">8:30 AM</t>
  </si>
  <si>
    <t xml:space="preserve">8:45 AM</t>
  </si>
  <si>
    <t xml:space="preserve">الأسبوع الثاني</t>
  </si>
  <si>
    <t xml:space="preserve">9:00 AM</t>
  </si>
  <si>
    <t xml:space="preserve">الأسبوع الثالث</t>
  </si>
  <si>
    <t xml:space="preserve">9:15 AM</t>
  </si>
  <si>
    <t xml:space="preserve">الأسبوع الرابع</t>
  </si>
  <si>
    <t xml:space="preserve">9:30 AM</t>
  </si>
  <si>
    <t xml:space="preserve">الأسبوع الخامس</t>
  </si>
  <si>
    <t xml:space="preserve">9:45 AM</t>
  </si>
  <si>
    <t xml:space="preserve">الأسبوع السادس</t>
  </si>
  <si>
    <t xml:space="preserve">10:00 AM</t>
  </si>
  <si>
    <t xml:space="preserve">10:15 AM</t>
  </si>
  <si>
    <t xml:space="preserve">10:30 AM</t>
  </si>
  <si>
    <t xml:space="preserve">10:45 AM</t>
  </si>
  <si>
    <t xml:space="preserve">11:00 AM</t>
  </si>
  <si>
    <t xml:space="preserve">11:15 AM</t>
  </si>
  <si>
    <t xml:space="preserve">11:30 AM</t>
  </si>
  <si>
    <t xml:space="preserve">11:45 AM</t>
  </si>
  <si>
    <t xml:space="preserve">12:00 PM</t>
  </si>
  <si>
    <t xml:space="preserve">12:15 PM</t>
  </si>
  <si>
    <t xml:space="preserve">12:30 PM</t>
  </si>
  <si>
    <t xml:space="preserve">12:45 PM</t>
  </si>
  <si>
    <t xml:space="preserve">1:00 PM</t>
  </si>
  <si>
    <t xml:space="preserve">1:15 PM</t>
  </si>
  <si>
    <t xml:space="preserve">1:30 PM</t>
  </si>
  <si>
    <t xml:space="preserve">1:45 PM</t>
  </si>
  <si>
    <t xml:space="preserve">2:00 PM</t>
  </si>
  <si>
    <t xml:space="preserve">2:15 PM</t>
  </si>
  <si>
    <t xml:space="preserve">2:30 PM</t>
  </si>
  <si>
    <t xml:space="preserve">2:45 PM</t>
  </si>
  <si>
    <t xml:space="preserve">3:00 PM</t>
  </si>
  <si>
    <t xml:space="preserve">3:15 PM</t>
  </si>
  <si>
    <t xml:space="preserve">3:30 PM</t>
  </si>
  <si>
    <t xml:space="preserve">3:45 PM</t>
  </si>
  <si>
    <t xml:space="preserve">4:00 PM</t>
  </si>
  <si>
    <t xml:space="preserve">4:15 PM</t>
  </si>
  <si>
    <t xml:space="preserve">4:30 PM</t>
  </si>
  <si>
    <t xml:space="preserve">4:45 PM</t>
  </si>
  <si>
    <t xml:space="preserve">5:00 PM</t>
  </si>
  <si>
    <t xml:space="preserve">5:15 PM</t>
  </si>
  <si>
    <t xml:space="preserve">5:30 PM</t>
  </si>
  <si>
    <t xml:space="preserve">5:45 PM</t>
  </si>
  <si>
    <t xml:space="preserve">6:00 PM</t>
  </si>
  <si>
    <t xml:space="preserve">6:15 PM</t>
  </si>
  <si>
    <t xml:space="preserve">6:30 PM</t>
  </si>
  <si>
    <t xml:space="preserve">6:45 PM</t>
  </si>
  <si>
    <t xml:space="preserve">7:00 PM</t>
  </si>
  <si>
    <t xml:space="preserve">7:15 PM</t>
  </si>
  <si>
    <t xml:space="preserve">7:30 PM</t>
  </si>
  <si>
    <t xml:space="preserve">7:45 PM</t>
  </si>
  <si>
    <t xml:space="preserve">8:00 PM</t>
  </si>
  <si>
    <t xml:space="preserve">8:15 PM</t>
  </si>
  <si>
    <t xml:space="preserve">8:30 PM</t>
  </si>
  <si>
    <t xml:space="preserve">8:45 PM</t>
  </si>
  <si>
    <t xml:space="preserve">9:00 PM</t>
  </si>
  <si>
    <t xml:space="preserve">9:15 PM</t>
  </si>
  <si>
    <t xml:space="preserve">9:30 PM</t>
  </si>
  <si>
    <t xml:space="preserve">9:45 PM</t>
  </si>
  <si>
    <t xml:space="preserve">10:00 PM</t>
  </si>
  <si>
    <t xml:space="preserve">10:15 PM</t>
  </si>
  <si>
    <t xml:space="preserve">10:30 PM</t>
  </si>
  <si>
    <t xml:space="preserve">10:45 PM</t>
  </si>
  <si>
    <t xml:space="preserve">11:00 PM</t>
  </si>
  <si>
    <t xml:space="preserve">11:15 PM</t>
  </si>
  <si>
    <t xml:space="preserve">11:30 PM</t>
  </si>
  <si>
    <t xml:space="preserve">11:45 PM</t>
  </si>
  <si>
    <t xml:space="preserve">12:00 AM</t>
  </si>
  <si>
    <t xml:space="preserve">12:15 AM</t>
  </si>
  <si>
    <t xml:space="preserve">12:30 AM</t>
  </si>
  <si>
    <t xml:space="preserve">12:45 AM</t>
  </si>
  <si>
    <t xml:space="preserve">1:00 AM</t>
  </si>
  <si>
    <t xml:space="preserve">1:15 AM</t>
  </si>
  <si>
    <t xml:space="preserve">1:30 AM</t>
  </si>
  <si>
    <t xml:space="preserve">1:45 AM</t>
  </si>
  <si>
    <t xml:space="preserve">2:00 AM</t>
  </si>
  <si>
    <t xml:space="preserve">2:15 AM</t>
  </si>
  <si>
    <t xml:space="preserve">2:30 AM</t>
  </si>
  <si>
    <t xml:space="preserve">2:45 AM</t>
  </si>
  <si>
    <t xml:space="preserve">3:00 AM</t>
  </si>
  <si>
    <t xml:space="preserve">3:15 AM</t>
  </si>
  <si>
    <t xml:space="preserve">3:30 AM</t>
  </si>
  <si>
    <t xml:space="preserve">3:45 AM</t>
  </si>
  <si>
    <t xml:space="preserve">4:00 AM</t>
  </si>
  <si>
    <t xml:space="preserve">4:15 AM</t>
  </si>
  <si>
    <t xml:space="preserve">4:30 AM</t>
  </si>
  <si>
    <t xml:space="preserve">4:45 AM</t>
  </si>
  <si>
    <t xml:space="preserve">5:00 AM</t>
  </si>
  <si>
    <t xml:space="preserve">5:15 AM</t>
  </si>
  <si>
    <t xml:space="preserve">5:30 AM</t>
  </si>
  <si>
    <t xml:space="preserve">5:45 AM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</si>
</sst>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0"/>
    <numFmt numFmtId="166" formatCode="0"/>
    <numFmt numFmtId="167" formatCode="General"/>
    <numFmt numFmtId="168" formatCode="#,##0.000;[RED]\-#,##0.000;\-"/>
    <numFmt numFmtId="169" formatCode="[h]&quot; س &quot;mm&quot; د&quot;"/>
    <numFmt numFmtId="170" formatCode="dd/mm/yyyy"/>
    <numFmt numFmtId="171" formatCode="h:mm\ AM/PM"/>
    <numFmt numFmtId="172" formatCode="0.00"/>
    <numFmt numFmtId="173" formatCode="[&lt;=31]&quot;يوم &quot;0;[&lt;=3112]00\/00;dd/mm/yyyy"/>
    <numFmt numFmtId="174" formatCode="0.000"/>
    <numFmt numFmtId="175" formatCode="@"/>
    <numFmt numFmtId="176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F4E6B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0"/>
      <color rgb="FF8B3A2F"/>
      <name val="Arial"/>
      <family val="0"/>
      <charset val="1"/>
    </font>
    <font>
      <b val="true"/>
      <sz val="12"/>
      <color rgb="FF1F4E6B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8"/>
      <color rgb="FFBBBBBB"/>
      <name val="Arial"/>
      <family val="0"/>
      <charset val="1"/>
    </font>
    <font>
      <b val="true"/>
      <sz val="12"/>
      <color rgb="FF8B3A2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8B3A2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4E6B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3"/>
      <color rgb="FF0F6E6E"/>
      <name val="Arial"/>
      <family val="0"/>
      <charset val="1"/>
    </font>
    <font>
      <b val="true"/>
      <sz val="11"/>
      <color rgb="FF0F6E6E"/>
      <name val="Arial"/>
      <family val="0"/>
      <charset val="1"/>
    </font>
    <font>
      <b val="true"/>
      <sz val="13"/>
      <color rgb="FF8B3A2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8B3A2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6B"/>
      <name val="Arial"/>
      <family val="0"/>
      <charset val="1"/>
    </font>
    <font>
      <b val="true"/>
      <sz val="12"/>
      <color rgb="FFC55A11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2"/>
      <color rgb="FF0F6E6E"/>
      <name val="Arial"/>
      <family val="0"/>
      <charset val="1"/>
    </font>
    <font>
      <b val="true"/>
      <sz val="14"/>
      <color rgb="FF0F6E6E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8A6A00"/>
      <name val="Arial"/>
      <family val="0"/>
      <charset val="1"/>
    </font>
    <font>
      <b val="true"/>
      <sz val="12"/>
      <color rgb="FF5B3A6B"/>
      <name val="Arial"/>
      <family val="0"/>
      <charset val="1"/>
    </font>
    <font>
      <b val="true"/>
      <sz val="16"/>
      <color rgb="FF1F4E6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6B"/>
        <bgColor rgb="FF0F6E6E"/>
      </patternFill>
    </fill>
    <fill>
      <patternFill patternType="solid">
        <fgColor rgb="FFFFF6CC"/>
        <bgColor rgb="FFFFF2B3"/>
      </patternFill>
    </fill>
    <fill>
      <patternFill patternType="solid">
        <fgColor rgb="FF8B3A2F"/>
        <bgColor rgb="FF993366"/>
      </patternFill>
    </fill>
    <fill>
      <patternFill patternType="solid">
        <fgColor rgb="FFFFFFFF"/>
        <bgColor rgb="FFEDEDED"/>
      </patternFill>
    </fill>
    <fill>
      <patternFill patternType="solid">
        <fgColor rgb="FFEDEDED"/>
        <bgColor rgb="FFE3EFE3"/>
      </patternFill>
    </fill>
    <fill>
      <patternFill patternType="solid">
        <fgColor rgb="FFE3EFE3"/>
        <bgColor rgb="FFEDEDED"/>
      </patternFill>
    </fill>
    <fill>
      <patternFill patternType="solid">
        <fgColor rgb="FF0F6E6E"/>
        <bgColor rgb="FF008080"/>
      </patternFill>
    </fill>
    <fill>
      <patternFill patternType="solid">
        <fgColor rgb="FFDCE6EE"/>
        <bgColor rgb="FFE3EFE3"/>
      </patternFill>
    </fill>
    <fill>
      <patternFill patternType="solid">
        <fgColor rgb="FF8A6A00"/>
        <bgColor rgb="FFC55A11"/>
      </patternFill>
    </fill>
    <fill>
      <patternFill patternType="solid">
        <fgColor rgb="FF5B3A6B"/>
        <bgColor rgb="FF55555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AA5AD"/>
      </left>
      <right/>
      <top style="thin">
        <color rgb="FF9AA5AD"/>
      </top>
      <bottom style="thin">
        <color rgb="FF9AA5AD"/>
      </bottom>
      <diagonal/>
    </border>
    <border diagonalUp="false" diagonalDown="false">
      <left style="thin">
        <color rgb="FF9AA5AD"/>
      </left>
      <right style="thin">
        <color rgb="FF9AA5AD"/>
      </right>
      <top style="thin">
        <color rgb="FF9AA5AD"/>
      </top>
      <bottom style="thin">
        <color rgb="FF9AA5AD"/>
      </bottom>
      <diagonal/>
    </border>
    <border diagonalUp="false" diagonalDown="false">
      <left style="medium">
        <color rgb="FF1F4E6B"/>
      </left>
      <right style="medium">
        <color rgb="FF1F4E6B"/>
      </right>
      <top style="medium">
        <color rgb="FF1F4E6B"/>
      </top>
      <bottom style="medium">
        <color rgb="FF1F4E6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6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3" borderId="2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8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5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6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F2B3"/>
        </patternFill>
      </fill>
    </dxf>
    <dxf>
      <fill>
        <patternFill>
          <bgColor rgb="FFFDE2C8"/>
        </patternFill>
      </fill>
    </dxf>
    <dxf>
      <fill>
        <patternFill>
          <bgColor rgb="FFD9D9D9"/>
        </patternFill>
      </fill>
    </dxf>
    <dxf>
      <font>
        <b val="1"/>
        <color rgb="FFFFFFFF"/>
      </font>
      <fill>
        <patternFill>
          <bgColor rgb="FFED7D31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00"/>
      <rgbColor rgb="FF800080"/>
      <rgbColor rgb="FF0F6E6E"/>
      <rgbColor rgb="FFBBBBBB"/>
      <rgbColor rgb="FF808080"/>
      <rgbColor rgb="FF9999FF"/>
      <rgbColor rgb="FFC55A11"/>
      <rgbColor rgb="FFFFF6CC"/>
      <rgbColor rgb="FFDCE6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3EFE3"/>
      <rgbColor rgb="FFFFF2B3"/>
      <rgbColor rgb="FF99CCFF"/>
      <rgbColor rgb="FFFF99CC"/>
      <rgbColor rgb="FFCC99FF"/>
      <rgbColor rgb="FFFDE2C8"/>
      <rgbColor rgb="FF3366FF"/>
      <rgbColor rgb="FF33CCCC"/>
      <rgbColor rgb="FF99CC00"/>
      <rgbColor rgb="FFFFCC00"/>
      <rgbColor rgb="FFFF9900"/>
      <rgbColor rgb="FFED7D31"/>
      <rgbColor rgb="FF555555"/>
      <rgbColor rgb="FF9AA5AD"/>
      <rgbColor rgb="FF1F4E6B"/>
      <rgbColor rgb="FF339966"/>
      <rgbColor rgb="FF003300"/>
      <rgbColor rgb="FF333300"/>
      <rgbColor rgb="FF8B3A2F"/>
      <rgbColor rgb="FF993366"/>
      <rgbColor rgb="FF5B3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11" min="5" style="0" width="12"/>
    <col collapsed="false" customWidth="true" hidden="false" outlineLevel="0" max="12" min="12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0" hidden="false" customHeight="true" outlineLevel="0" collapsed="false">
      <c r="B3" s="2" t="s">
        <v>1</v>
      </c>
      <c r="C3" s="3" t="n">
        <v>10</v>
      </c>
      <c r="D3" s="2" t="s">
        <v>2</v>
      </c>
      <c r="E3" s="4" t="n">
        <v>2026</v>
      </c>
      <c r="F3" s="5" t="s">
        <v>3</v>
      </c>
      <c r="G3" s="5"/>
      <c r="H3" s="5"/>
      <c r="I3" s="5"/>
      <c r="J3" s="5"/>
      <c r="K3" s="5"/>
      <c r="L3" s="5"/>
    </row>
    <row r="5" customFormat="false" ht="30" hidden="false" customHeight="true" outlineLevel="0" collapsed="false">
      <c r="B5" s="6" t="s">
        <v>4</v>
      </c>
      <c r="C5" s="7" t="s">
        <v>5</v>
      </c>
      <c r="D5" s="7"/>
      <c r="N5" s="8" t="n">
        <f aca="false">IFERROR(MIN(MATCH($C$5,القوائم!$K$11:$K$16,0),NW),1)</f>
        <v>1</v>
      </c>
    </row>
    <row r="7" customFormat="false" ht="15" hidden="false" customHeight="true" outlineLevel="0" collapsed="false">
      <c r="A7" s="9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customFormat="false" ht="33.75" hidden="false" customHeight="true" outlineLevel="0" collapsed="false">
      <c r="A8" s="10" t="s">
        <v>7</v>
      </c>
      <c r="B8" s="10" t="s">
        <v>8</v>
      </c>
      <c r="C8" s="10" t="s">
        <v>9</v>
      </c>
      <c r="D8" s="10" t="s">
        <v>10</v>
      </c>
      <c r="E8" s="11" t="s">
        <v>11</v>
      </c>
      <c r="F8" s="11"/>
      <c r="G8" s="11"/>
      <c r="H8" s="11"/>
      <c r="I8" s="11"/>
      <c r="J8" s="11"/>
      <c r="K8" s="11"/>
      <c r="L8" s="11"/>
    </row>
    <row r="9" customFormat="false" ht="15" hidden="false" customHeight="false" outlineLevel="0" collapsed="false">
      <c r="A9" s="12" t="s">
        <v>12</v>
      </c>
      <c r="B9" s="13" t="n">
        <v>0</v>
      </c>
      <c r="C9" s="13" t="n">
        <v>0</v>
      </c>
      <c r="D9" s="13" t="n">
        <v>0</v>
      </c>
    </row>
    <row r="10" customFormat="false" ht="15" hidden="false" customHeight="false" outlineLevel="0" collapsed="false">
      <c r="A10" s="12" t="s">
        <v>13</v>
      </c>
      <c r="B10" s="13" t="n">
        <v>0</v>
      </c>
      <c r="C10" s="13" t="n">
        <v>0</v>
      </c>
      <c r="D10" s="13" t="n">
        <v>0</v>
      </c>
    </row>
    <row r="12" customFormat="false" ht="24" hidden="false" customHeight="true" outlineLevel="0" collapsed="false">
      <c r="A12" s="14" t="str">
        <f aca="false">"تسوية الأسبوع المختار   ·   "&amp;$C$5</f>
        <v>تسوية الأسبوع المختار   ·   الأسبوع الأول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33.75" hidden="false" customHeight="true" outlineLevel="0" collapsed="false">
      <c r="A13" s="15" t="s">
        <v>7</v>
      </c>
      <c r="B13" s="15" t="s">
        <v>14</v>
      </c>
      <c r="C13" s="15" t="s">
        <v>15</v>
      </c>
      <c r="D13" s="15" t="s">
        <v>16</v>
      </c>
      <c r="E13" s="15" t="s">
        <v>17</v>
      </c>
      <c r="F13" s="15" t="s">
        <v>18</v>
      </c>
      <c r="G13" s="15" t="s">
        <v>19</v>
      </c>
      <c r="H13" s="15" t="s">
        <v>20</v>
      </c>
      <c r="I13" s="15" t="s">
        <v>21</v>
      </c>
      <c r="J13" s="15" t="s">
        <v>22</v>
      </c>
      <c r="K13" s="15" t="s">
        <v>23</v>
      </c>
      <c r="L13" s="15" t="s">
        <v>24</v>
      </c>
    </row>
    <row r="14" customFormat="false" ht="24" hidden="false" customHeight="true" outlineLevel="0" collapsed="false">
      <c r="A14" s="16" t="s">
        <v>12</v>
      </c>
      <c r="B14" s="17" t="n">
        <f aca="false">N(INDEX(B22:B27,WK))</f>
        <v>0</v>
      </c>
      <c r="C14" s="18" t="n">
        <f aca="false">N(INDEX(C22:C27,WK))</f>
        <v>0</v>
      </c>
      <c r="D14" s="18" t="n">
        <f aca="false">N(INDEX(D22:D27,WK))</f>
        <v>0</v>
      </c>
      <c r="E14" s="18" t="n">
        <v>0</v>
      </c>
      <c r="F14" s="18" t="n">
        <f aca="false">N(INDEX(E22:E27,WK))</f>
        <v>0</v>
      </c>
      <c r="G14" s="18" t="n">
        <f aca="false">N(INDEX(F22:F27,WK))</f>
        <v>0</v>
      </c>
      <c r="H14" s="19" t="n">
        <f aca="false">N(INDEX(G22:G27,WK))</f>
        <v>0</v>
      </c>
      <c r="I14" s="18" t="n">
        <f aca="false">N(INDEX(H22:H27,WK))</f>
        <v>0</v>
      </c>
      <c r="J14" s="18" t="n">
        <f aca="false">N(INDEX(I22:I27,WK))</f>
        <v>0</v>
      </c>
      <c r="K14" s="20" t="n">
        <f aca="false">N(INDEX(J22:J27,WK))</f>
        <v>0</v>
      </c>
      <c r="L14" s="21" t="str">
        <f aca="false">IF(AND(ADV_CAP&gt;0,C14&gt;0,F14&gt;ADV_CAP*C14),"⚠️ السلف فوق السقف",IF(H14&lt;0,"⚠️ السلف أكثر من المستحق",IF(AND(H14&gt;0,J14=0),"✔ مدفوع",IF(H14&gt;0,"لسا ما اندفع",""))))</f>
        <v/>
      </c>
    </row>
    <row r="15" customFormat="false" ht="24" hidden="false" customHeight="true" outlineLevel="0" collapsed="false">
      <c r="A15" s="16" t="s">
        <v>13</v>
      </c>
      <c r="B15" s="17" t="n">
        <f aca="false">N(INDEX(B32:B37,WK))</f>
        <v>0</v>
      </c>
      <c r="C15" s="18" t="n">
        <f aca="false">N(INDEX(C32:C37,WK))</f>
        <v>0</v>
      </c>
      <c r="D15" s="18" t="n">
        <f aca="false">N(INDEX(D32:D37,WK))</f>
        <v>0</v>
      </c>
      <c r="E15" s="18" t="n">
        <f aca="false">N(INDEX(E32:E37,WK))</f>
        <v>0</v>
      </c>
      <c r="F15" s="18" t="n">
        <f aca="false">N(INDEX(F32:F37,WK))</f>
        <v>0</v>
      </c>
      <c r="G15" s="18" t="n">
        <f aca="false">N(INDEX(G32:G37,WK))</f>
        <v>0</v>
      </c>
      <c r="H15" s="19" t="n">
        <f aca="false">N(INDEX(H32:H37,WK))</f>
        <v>0</v>
      </c>
      <c r="I15" s="18" t="n">
        <f aca="false">N(INDEX(I32:I37,WK))</f>
        <v>0</v>
      </c>
      <c r="J15" s="18" t="n">
        <f aca="false">N(INDEX(J32:J37,WK))</f>
        <v>0</v>
      </c>
      <c r="K15" s="20" t="n">
        <f aca="false">N(INDEX(K32:K37,WK))</f>
        <v>0</v>
      </c>
      <c r="L15" s="21" t="str">
        <f aca="false">IF(AND(ADV_CAP&gt;0,C15&gt;0,F15&gt;ADV_CAP*C15),"⚠️ السلف فوق السقف",IF(H15&lt;0,"⚠️ السلف أكثر من المستحق",IF(AND(H15&gt;0,J15=0),"✔ مدفوع",IF(H15&gt;0,"لسا ما اندفع",""))))</f>
        <v/>
      </c>
    </row>
    <row r="17" customFormat="false" ht="15" hidden="false" customHeight="true" outlineLevel="0" collapsed="false">
      <c r="A17" s="11" t="s">
        <v>25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20" customFormat="false" ht="16.15" hidden="false" customHeight="true" outlineLevel="0" collapsed="false">
      <c r="A20" s="14" t="s">
        <v>26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33.75" hidden="false" customHeight="true" outlineLevel="0" collapsed="false">
      <c r="A21" s="15" t="s">
        <v>4</v>
      </c>
      <c r="B21" s="15" t="s">
        <v>14</v>
      </c>
      <c r="C21" s="15" t="s">
        <v>15</v>
      </c>
      <c r="D21" s="15" t="s">
        <v>16</v>
      </c>
      <c r="E21" s="15" t="s">
        <v>18</v>
      </c>
      <c r="F21" s="15" t="s">
        <v>19</v>
      </c>
      <c r="G21" s="15" t="s">
        <v>20</v>
      </c>
      <c r="H21" s="15" t="s">
        <v>21</v>
      </c>
      <c r="I21" s="15" t="s">
        <v>22</v>
      </c>
      <c r="J21" s="15" t="s">
        <v>23</v>
      </c>
      <c r="K21" s="15" t="s">
        <v>24</v>
      </c>
    </row>
    <row r="22" customFormat="false" ht="15" hidden="false" customHeight="false" outlineLevel="0" collapsed="false">
      <c r="A22" s="22" t="str">
        <f aca="false">IF(1&lt;=NW,"الأسبوع الأول","")</f>
        <v>الأسبوع الأول</v>
      </c>
      <c r="B22" s="17" t="n">
        <f aca="false">IF(1&lt;=NW,N('ساعات عمر'!E14),"")</f>
        <v>0</v>
      </c>
      <c r="C22" s="18" t="n">
        <f aca="false">IF(1&lt;=NW,N('ساعات عمر'!H15),"")</f>
        <v>0</v>
      </c>
      <c r="D22" s="18" t="n">
        <f aca="false">IF(1&lt;=NW,$B$9,"")</f>
        <v>0</v>
      </c>
      <c r="E22" s="18" t="n">
        <f aca="false">IF(1&lt;=NW,SUMIFS(ADV_AMT,ADV_E,"عمر المصري",ADV_D,"&gt;="&amp;القوائم!$H$11,ADV_D,"&lt;="&amp;القوائم!$I$11),"")</f>
        <v>0</v>
      </c>
      <c r="F22" s="18" t="n">
        <f aca="false">IF(1&lt;=NW,IF(N(C22)=0,0,MAX(0,MIN(IF(_xlfn.MAXIFS(LG_IDX,LG_E,"عمر المصري",LG_INST,"&lt;&gt;",LG_D,"&lt;="&amp;القوائم!$I$11)=0,$D$9,INDEX(LG_INST,_xlfn.MAXIFS(LG_IDX,LG_E,"عمر المصري",LG_INST,"&lt;&gt;",LG_D,"&lt;="&amp;القوائم!$I$11))),$C$9+SUMIFS(LG_DEBT,LG_E,"عمر المصري",LG_D,"&lt;="&amp;القوائم!$I$11)-SUMIFS(LG_REP,LG_E,"عمر المصري",LG_D,"&lt;="&amp;القوائم!$I$11)-0,N(C22)+N(D22)-N(E22)))),"")</f>
        <v>0</v>
      </c>
      <c r="G22" s="18" t="n">
        <f aca="false">IF(1&lt;=NW,C22+D22-E22-F22,"")</f>
        <v>0</v>
      </c>
      <c r="H22" s="23"/>
      <c r="I22" s="18" t="n">
        <f aca="false">IF(1&lt;=NW,G22-N(H22),"")</f>
        <v>0</v>
      </c>
      <c r="J22" s="20" t="n">
        <f aca="false">IF(1&lt;=NW,MAX(0,$C$9+SUMIFS(LG_DEBT,LG_E,"عمر المصري",LG_D,"&lt;="&amp;القوائم!$I$11)-SUMIFS(LG_REP,LG_E,"عمر المصري",LG_D,"&lt;="&amp;القوائم!$I$11)-SUM(F22:F22)),"")</f>
        <v>0</v>
      </c>
      <c r="K22" s="24" t="str">
        <f aca="false">IF(1&lt;=NW,IF(AND(ADV_CAP&gt;0,C22&gt;0,E22&gt;ADV_CAP*C22),"⚠️ السلف فوق السقف",IF(G22&lt;0,"⚠️ السلف أكثر من المستحق","")),"")</f>
        <v/>
      </c>
    </row>
    <row r="23" customFormat="false" ht="15" hidden="false" customHeight="false" outlineLevel="0" collapsed="false">
      <c r="A23" s="22" t="str">
        <f aca="false">IF(2&lt;=NW,"الأسبوع الثاني","")</f>
        <v>الأسبوع الثاني</v>
      </c>
      <c r="B23" s="17" t="n">
        <f aca="false">IF(2&lt;=NW,N('ساعات عمر'!E24),"")</f>
        <v>0</v>
      </c>
      <c r="C23" s="18" t="n">
        <f aca="false">IF(2&lt;=NW,N('ساعات عمر'!H25),"")</f>
        <v>0</v>
      </c>
      <c r="D23" s="18" t="n">
        <f aca="false">IF(2&lt;=NW,0,"")</f>
        <v>0</v>
      </c>
      <c r="E23" s="18" t="n">
        <f aca="false">IF(2&lt;=NW,SUMIFS(ADV_AMT,ADV_E,"عمر المصري",ADV_D,"&gt;="&amp;القوائم!$H$12,ADV_D,"&lt;="&amp;القوائم!$I$12),"")</f>
        <v>0</v>
      </c>
      <c r="F23" s="18" t="n">
        <f aca="false">IF(2&lt;=NW,IF(N(C23)=0,0,MAX(0,MIN(IF(_xlfn.MAXIFS(LG_IDX,LG_E,"عمر المصري",LG_INST,"&lt;&gt;",LG_D,"&lt;="&amp;القوائم!$I$12)=0,$D$9,INDEX(LG_INST,_xlfn.MAXIFS(LG_IDX,LG_E,"عمر المصري",LG_INST,"&lt;&gt;",LG_D,"&lt;="&amp;القوائم!$I$12))),$C$9+SUMIFS(LG_DEBT,LG_E,"عمر المصري",LG_D,"&lt;="&amp;القوائم!$I$12)-SUMIFS(LG_REP,LG_E,"عمر المصري",LG_D,"&lt;="&amp;القوائم!$I$12)-SUM(F22:F22),N(C23)+N(D23)-N(E23)))),"")</f>
        <v>0</v>
      </c>
      <c r="G23" s="18" t="n">
        <f aca="false">IF(2&lt;=NW,C23+D23-E23-F23,"")</f>
        <v>0</v>
      </c>
      <c r="H23" s="23"/>
      <c r="I23" s="18" t="n">
        <f aca="false">IF(2&lt;=NW,G23-N(H23),"")</f>
        <v>0</v>
      </c>
      <c r="J23" s="20" t="n">
        <f aca="false">IF(2&lt;=NW,MAX(0,$C$9+SUMIFS(LG_DEBT,LG_E,"عمر المصري",LG_D,"&lt;="&amp;القوائم!$I$12)-SUMIFS(LG_REP,LG_E,"عمر المصري",LG_D,"&lt;="&amp;القوائم!$I$12)-SUM(F22:F23)),"")</f>
        <v>0</v>
      </c>
      <c r="K23" s="24" t="str">
        <f aca="false">IF(2&lt;=NW,IF(AND(ADV_CAP&gt;0,C23&gt;0,E23&gt;ADV_CAP*C23),"⚠️ السلف فوق السقف",IF(G23&lt;0,"⚠️ السلف أكثر من المستحق","")),"")</f>
        <v/>
      </c>
    </row>
    <row r="24" customFormat="false" ht="15" hidden="false" customHeight="false" outlineLevel="0" collapsed="false">
      <c r="A24" s="22" t="str">
        <f aca="false">IF(3&lt;=NW,"الأسبوع الثالث","")</f>
        <v>الأسبوع الثالث</v>
      </c>
      <c r="B24" s="17" t="n">
        <f aca="false">IF(3&lt;=NW,N('ساعات عمر'!E34),"")</f>
        <v>0</v>
      </c>
      <c r="C24" s="18" t="n">
        <f aca="false">IF(3&lt;=NW,N('ساعات عمر'!H35),"")</f>
        <v>0</v>
      </c>
      <c r="D24" s="18" t="n">
        <f aca="false">IF(3&lt;=NW,0,"")</f>
        <v>0</v>
      </c>
      <c r="E24" s="18" t="n">
        <f aca="false">IF(3&lt;=NW,SUMIFS(ADV_AMT,ADV_E,"عمر المصري",ADV_D,"&gt;="&amp;القوائم!$H$13,ADV_D,"&lt;="&amp;القوائم!$I$13),"")</f>
        <v>0</v>
      </c>
      <c r="F24" s="18" t="n">
        <f aca="false">IF(3&lt;=NW,IF(N(C24)=0,0,MAX(0,MIN(IF(_xlfn.MAXIFS(LG_IDX,LG_E,"عمر المصري",LG_INST,"&lt;&gt;",LG_D,"&lt;="&amp;القوائم!$I$13)=0,$D$9,INDEX(LG_INST,_xlfn.MAXIFS(LG_IDX,LG_E,"عمر المصري",LG_INST,"&lt;&gt;",LG_D,"&lt;="&amp;القوائم!$I$13))),$C$9+SUMIFS(LG_DEBT,LG_E,"عمر المصري",LG_D,"&lt;="&amp;القوائم!$I$13)-SUMIFS(LG_REP,LG_E,"عمر المصري",LG_D,"&lt;="&amp;القوائم!$I$13)-SUM(F22:F23),N(C24)+N(D24)-N(E24)))),"")</f>
        <v>0</v>
      </c>
      <c r="G24" s="18" t="n">
        <f aca="false">IF(3&lt;=NW,C24+D24-E24-F24,"")</f>
        <v>0</v>
      </c>
      <c r="H24" s="23"/>
      <c r="I24" s="18" t="n">
        <f aca="false">IF(3&lt;=NW,G24-N(H24),"")</f>
        <v>0</v>
      </c>
      <c r="J24" s="20" t="n">
        <f aca="false">IF(3&lt;=NW,MAX(0,$C$9+SUMIFS(LG_DEBT,LG_E,"عمر المصري",LG_D,"&lt;="&amp;القوائم!$I$13)-SUMIFS(LG_REP,LG_E,"عمر المصري",LG_D,"&lt;="&amp;القوائم!$I$13)-SUM(F22:F24)),"")</f>
        <v>0</v>
      </c>
      <c r="K24" s="24" t="str">
        <f aca="false">IF(3&lt;=NW,IF(AND(ADV_CAP&gt;0,C24&gt;0,E24&gt;ADV_CAP*C24),"⚠️ السلف فوق السقف",IF(G24&lt;0,"⚠️ السلف أكثر من المستحق","")),"")</f>
        <v/>
      </c>
    </row>
    <row r="25" customFormat="false" ht="15" hidden="false" customHeight="false" outlineLevel="0" collapsed="false">
      <c r="A25" s="22" t="str">
        <f aca="false">IF(4&lt;=NW,"الأسبوع الرابع","")</f>
        <v>الأسبوع الرابع</v>
      </c>
      <c r="B25" s="17" t="n">
        <f aca="false">IF(4&lt;=NW,N('ساعات عمر'!E44),"")</f>
        <v>0</v>
      </c>
      <c r="C25" s="18" t="n">
        <f aca="false">IF(4&lt;=NW,N('ساعات عمر'!H45),"")</f>
        <v>0</v>
      </c>
      <c r="D25" s="18" t="n">
        <f aca="false">IF(4&lt;=NW,0,"")</f>
        <v>0</v>
      </c>
      <c r="E25" s="18" t="n">
        <f aca="false">IF(4&lt;=NW,SUMIFS(ADV_AMT,ADV_E,"عمر المصري",ADV_D,"&gt;="&amp;القوائم!$H$14,ADV_D,"&lt;="&amp;القوائم!$I$14),"")</f>
        <v>0</v>
      </c>
      <c r="F25" s="18" t="n">
        <f aca="false">IF(4&lt;=NW,IF(N(C25)=0,0,MAX(0,MIN(IF(_xlfn.MAXIFS(LG_IDX,LG_E,"عمر المصري",LG_INST,"&lt;&gt;",LG_D,"&lt;="&amp;القوائم!$I$14)=0,$D$9,INDEX(LG_INST,_xlfn.MAXIFS(LG_IDX,LG_E,"عمر المصري",LG_INST,"&lt;&gt;",LG_D,"&lt;="&amp;القوائم!$I$14))),$C$9+SUMIFS(LG_DEBT,LG_E,"عمر المصري",LG_D,"&lt;="&amp;القوائم!$I$14)-SUMIFS(LG_REP,LG_E,"عمر المصري",LG_D,"&lt;="&amp;القوائم!$I$14)-SUM(F22:F24),N(C25)+N(D25)-N(E25)))),"")</f>
        <v>0</v>
      </c>
      <c r="G25" s="18" t="n">
        <f aca="false">IF(4&lt;=NW,C25+D25-E25-F25,"")</f>
        <v>0</v>
      </c>
      <c r="H25" s="23"/>
      <c r="I25" s="18" t="n">
        <f aca="false">IF(4&lt;=NW,G25-N(H25),"")</f>
        <v>0</v>
      </c>
      <c r="J25" s="20" t="n">
        <f aca="false">IF(4&lt;=NW,MAX(0,$C$9+SUMIFS(LG_DEBT,LG_E,"عمر المصري",LG_D,"&lt;="&amp;القوائم!$I$14)-SUMIFS(LG_REP,LG_E,"عمر المصري",LG_D,"&lt;="&amp;القوائم!$I$14)-SUM(F22:F25)),"")</f>
        <v>0</v>
      </c>
      <c r="K25" s="24" t="str">
        <f aca="false">IF(4&lt;=NW,IF(AND(ADV_CAP&gt;0,C25&gt;0,E25&gt;ADV_CAP*C25),"⚠️ السلف فوق السقف",IF(G25&lt;0,"⚠️ السلف أكثر من المستحق","")),"")</f>
        <v/>
      </c>
    </row>
    <row r="26" customFormat="false" ht="15" hidden="false" customHeight="false" outlineLevel="0" collapsed="false">
      <c r="A26" s="22" t="str">
        <f aca="false">IF(5&lt;=NW,"الأسبوع الخامس","")</f>
        <v>الأسبوع الخامس</v>
      </c>
      <c r="B26" s="17" t="n">
        <f aca="false">IF(5&lt;=NW,N('ساعات عمر'!E54),"")</f>
        <v>0</v>
      </c>
      <c r="C26" s="18" t="n">
        <f aca="false">IF(5&lt;=NW,N('ساعات عمر'!H55),"")</f>
        <v>0</v>
      </c>
      <c r="D26" s="18" t="n">
        <f aca="false">IF(5&lt;=NW,0,"")</f>
        <v>0</v>
      </c>
      <c r="E26" s="18" t="n">
        <f aca="false">IF(5&lt;=NW,SUMIFS(ADV_AMT,ADV_E,"عمر المصري",ADV_D,"&gt;="&amp;القوائم!$H$15,ADV_D,"&lt;="&amp;القوائم!$I$15),"")</f>
        <v>0</v>
      </c>
      <c r="F26" s="18" t="n">
        <f aca="false">IF(5&lt;=NW,IF(N(C26)=0,0,MAX(0,MIN(IF(_xlfn.MAXIFS(LG_IDX,LG_E,"عمر المصري",LG_INST,"&lt;&gt;",LG_D,"&lt;="&amp;القوائم!$I$15)=0,$D$9,INDEX(LG_INST,_xlfn.MAXIFS(LG_IDX,LG_E,"عمر المصري",LG_INST,"&lt;&gt;",LG_D,"&lt;="&amp;القوائم!$I$15))),$C$9+SUMIFS(LG_DEBT,LG_E,"عمر المصري",LG_D,"&lt;="&amp;القوائم!$I$15)-SUMIFS(LG_REP,LG_E,"عمر المصري",LG_D,"&lt;="&amp;القوائم!$I$15)-SUM(F22:F25),N(C26)+N(D26)-N(E26)))),"")</f>
        <v>0</v>
      </c>
      <c r="G26" s="18" t="n">
        <f aca="false">IF(5&lt;=NW,C26+D26-E26-F26,"")</f>
        <v>0</v>
      </c>
      <c r="H26" s="23"/>
      <c r="I26" s="18" t="n">
        <f aca="false">IF(5&lt;=NW,G26-N(H26),"")</f>
        <v>0</v>
      </c>
      <c r="J26" s="20" t="n">
        <f aca="false">IF(5&lt;=NW,MAX(0,$C$9+SUMIFS(LG_DEBT,LG_E,"عمر المصري",LG_D,"&lt;="&amp;القوائم!$I$15)-SUMIFS(LG_REP,LG_E,"عمر المصري",LG_D,"&lt;="&amp;القوائم!$I$15)-SUM(F22:F26)),"")</f>
        <v>0</v>
      </c>
      <c r="K26" s="24" t="str">
        <f aca="false">IF(5&lt;=NW,IF(AND(ADV_CAP&gt;0,C26&gt;0,E26&gt;ADV_CAP*C26),"⚠️ السلف فوق السقف",IF(G26&lt;0,"⚠️ السلف أكثر من المستحق","")),"")</f>
        <v/>
      </c>
    </row>
    <row r="27" customFormat="false" ht="15" hidden="false" customHeight="false" outlineLevel="0" collapsed="false">
      <c r="A27" s="22" t="str">
        <f aca="false">IF(6&lt;=NW,"الأسبوع السادس","")</f>
        <v>الأسبوع السادس</v>
      </c>
      <c r="B27" s="17" t="n">
        <f aca="false">IF(6&lt;=NW,N('ساعات عمر'!E64),"")</f>
        <v>0</v>
      </c>
      <c r="C27" s="18" t="n">
        <f aca="false">IF(6&lt;=NW,N('ساعات عمر'!H65),"")</f>
        <v>0</v>
      </c>
      <c r="D27" s="18" t="n">
        <f aca="false">IF(6&lt;=NW,0,"")</f>
        <v>0</v>
      </c>
      <c r="E27" s="18" t="n">
        <f aca="false">IF(6&lt;=NW,SUMIFS(ADV_AMT,ADV_E,"عمر المصري",ADV_D,"&gt;="&amp;القوائم!$H$16,ADV_D,"&lt;="&amp;القوائم!$I$16),"")</f>
        <v>0</v>
      </c>
      <c r="F27" s="18" t="n">
        <f aca="false">IF(6&lt;=NW,IF(N(C27)=0,0,MAX(0,MIN(IF(_xlfn.MAXIFS(LG_IDX,LG_E,"عمر المصري",LG_INST,"&lt;&gt;",LG_D,"&lt;="&amp;القوائم!$I$16)=0,$D$9,INDEX(LG_INST,_xlfn.MAXIFS(LG_IDX,LG_E,"عمر المصري",LG_INST,"&lt;&gt;",LG_D,"&lt;="&amp;القوائم!$I$16))),$C$9+SUMIFS(LG_DEBT,LG_E,"عمر المصري",LG_D,"&lt;="&amp;القوائم!$I$16)-SUMIFS(LG_REP,LG_E,"عمر المصري",LG_D,"&lt;="&amp;القوائم!$I$16)-SUM(F22:F26),N(C27)+N(D27)-N(E27)))),"")</f>
        <v>0</v>
      </c>
      <c r="G27" s="18" t="n">
        <f aca="false">IF(6&lt;=NW,C27+D27-E27-F27,"")</f>
        <v>0</v>
      </c>
      <c r="H27" s="23"/>
      <c r="I27" s="18" t="n">
        <f aca="false">IF(6&lt;=NW,G27-N(H27),"")</f>
        <v>0</v>
      </c>
      <c r="J27" s="20" t="n">
        <f aca="false">IF(6&lt;=NW,MAX(0,$C$9+SUMIFS(LG_DEBT,LG_E,"عمر المصري",LG_D,"&lt;="&amp;القوائم!$I$16)-SUMIFS(LG_REP,LG_E,"عمر المصري",LG_D,"&lt;="&amp;القوائم!$I$16)-SUM(F22:F27)),"")</f>
        <v>0</v>
      </c>
      <c r="K27" s="24" t="str">
        <f aca="false">IF(6&lt;=NW,IF(AND(ADV_CAP&gt;0,C27&gt;0,E27&gt;ADV_CAP*C27),"⚠️ السلف فوق السقف",IF(G27&lt;0,"⚠️ السلف أكثر من المستحق","")),"")</f>
        <v/>
      </c>
    </row>
    <row r="28" customFormat="false" ht="15" hidden="false" customHeight="false" outlineLevel="0" collapsed="false">
      <c r="A28" s="25" t="s">
        <v>27</v>
      </c>
      <c r="B28" s="26" t="n">
        <f aca="false">SUM(B22:B27)</f>
        <v>0</v>
      </c>
      <c r="C28" s="27" t="n">
        <f aca="false">SUM(C22:C27)</f>
        <v>0</v>
      </c>
      <c r="D28" s="27" t="n">
        <f aca="false">SUM(D22:D27)</f>
        <v>0</v>
      </c>
      <c r="E28" s="27" t="n">
        <f aca="false">SUM(E22:E27)</f>
        <v>0</v>
      </c>
      <c r="F28" s="27" t="n">
        <f aca="false">SUM(F22:F27)</f>
        <v>0</v>
      </c>
      <c r="G28" s="27" t="n">
        <f aca="false">SUM(G22:G27)</f>
        <v>0</v>
      </c>
      <c r="H28" s="27" t="n">
        <f aca="false">SUM(H22:H27)</f>
        <v>0</v>
      </c>
      <c r="I28" s="27" t="n">
        <f aca="false">SUM(I22:I27)</f>
        <v>0</v>
      </c>
      <c r="J28" s="27" t="n">
        <f aca="false">MAX(0,$C$9+SUMIFS(LG_DEBT,LG_E,"عمر المصري")-SUMIFS(LG_REP,LG_E,"عمر المصري")-F28)</f>
        <v>0</v>
      </c>
      <c r="K28" s="25"/>
    </row>
    <row r="30" customFormat="false" ht="16.15" hidden="false" customHeight="true" outlineLevel="0" collapsed="false">
      <c r="A30" s="28" t="s">
        <v>28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customFormat="false" ht="33.75" hidden="false" customHeight="true" outlineLevel="0" collapsed="false">
      <c r="A31" s="29" t="s">
        <v>4</v>
      </c>
      <c r="B31" s="29" t="s">
        <v>14</v>
      </c>
      <c r="C31" s="29" t="s">
        <v>15</v>
      </c>
      <c r="D31" s="29" t="s">
        <v>16</v>
      </c>
      <c r="E31" s="29" t="s">
        <v>17</v>
      </c>
      <c r="F31" s="29" t="s">
        <v>18</v>
      </c>
      <c r="G31" s="29" t="s">
        <v>19</v>
      </c>
      <c r="H31" s="29" t="s">
        <v>20</v>
      </c>
      <c r="I31" s="29" t="s">
        <v>21</v>
      </c>
      <c r="J31" s="29" t="s">
        <v>22</v>
      </c>
      <c r="K31" s="29" t="s">
        <v>23</v>
      </c>
    </row>
    <row r="32" customFormat="false" ht="15" hidden="false" customHeight="false" outlineLevel="0" collapsed="false">
      <c r="A32" s="30" t="str">
        <f aca="false">IF(1&lt;=NW,"الأسبوع الأول","")</f>
        <v>الأسبوع الأول</v>
      </c>
      <c r="B32" s="17" t="n">
        <f aca="false">IF(1&lt;=NW,N('ساعات عبدالعزيز'!E14),"")</f>
        <v>0</v>
      </c>
      <c r="C32" s="18" t="n">
        <f aca="false">IF(1&lt;=NW,N('ساعات عبدالعزيز'!F15),"")</f>
        <v>0</v>
      </c>
      <c r="D32" s="18" t="n">
        <f aca="false">IF(1&lt;=NW,$B$10,"")</f>
        <v>0</v>
      </c>
      <c r="E32" s="18" t="n">
        <f aca="false">IF(1&lt;=NW,N('ساعات عبدالعزيز'!H14),"")</f>
        <v>0</v>
      </c>
      <c r="F32" s="18" t="n">
        <f aca="false">IF(1&lt;=NW,SUMIFS(ADV_AMT,ADV_E,"عبدالعزيز",ADV_D,"&gt;="&amp;القوائم!$H$11,ADV_D,"&lt;="&amp;القوائم!$I$11),"")</f>
        <v>0</v>
      </c>
      <c r="G32" s="18" t="n">
        <f aca="false">IF(1&lt;=NW,IF(N(C32)=0,0,MAX(0,MIN(IF(_xlfn.MAXIFS(LG_IDX,LG_E,"عبدالعزيز",LG_INST,"&lt;&gt;",LG_D,"&lt;="&amp;القوائم!$I$11)=0,$D$10,INDEX(LG_INST,_xlfn.MAXIFS(LG_IDX,LG_E,"عبدالعزيز",LG_INST,"&lt;&gt;",LG_D,"&lt;="&amp;القوائم!$I$11))),$C$10+SUMIFS(LG_DEBT,LG_E,"عبدالعزيز",LG_D,"&lt;="&amp;القوائم!$I$11)-SUMIFS(LG_REP,LG_E,"عبدالعزيز",LG_D,"&lt;="&amp;القوائم!$I$11)-0,N(C32)+N(D32)-N(E32)-N(F32)))),"")</f>
        <v>0</v>
      </c>
      <c r="H32" s="18" t="n">
        <f aca="false">IF(1&lt;=NW,C32+D32-E32-F32-G32,"")</f>
        <v>0</v>
      </c>
      <c r="I32" s="23"/>
      <c r="J32" s="18" t="n">
        <f aca="false">IF(1&lt;=NW,H32-N(I32),"")</f>
        <v>0</v>
      </c>
      <c r="K32" s="20" t="n">
        <f aca="false">IF(1&lt;=NW,MAX(0,$C$10+SUMIFS(LG_DEBT,LG_E,"عبدالعزيز",LG_D,"&lt;="&amp;القوائم!$I$11)-SUMIFS(LG_REP,LG_E,"عبدالعزيز",LG_D,"&lt;="&amp;القوائم!$I$11)-SUM(G32:G32)),"")</f>
        <v>0</v>
      </c>
    </row>
    <row r="33" customFormat="false" ht="15" hidden="false" customHeight="false" outlineLevel="0" collapsed="false">
      <c r="A33" s="30" t="str">
        <f aca="false">IF(2&lt;=NW,"الأسبوع الثاني","")</f>
        <v>الأسبوع الثاني</v>
      </c>
      <c r="B33" s="17" t="n">
        <f aca="false">IF(2&lt;=NW,N('ساعات عبدالعزيز'!E24),"")</f>
        <v>0</v>
      </c>
      <c r="C33" s="18" t="n">
        <f aca="false">IF(2&lt;=NW,N('ساعات عبدالعزيز'!F25),"")</f>
        <v>0</v>
      </c>
      <c r="D33" s="18" t="n">
        <f aca="false">IF(2&lt;=NW,0,"")</f>
        <v>0</v>
      </c>
      <c r="E33" s="18" t="n">
        <f aca="false">IF(2&lt;=NW,N('ساعات عبدالعزيز'!H24),"")</f>
        <v>0</v>
      </c>
      <c r="F33" s="18" t="n">
        <f aca="false">IF(2&lt;=NW,SUMIFS(ADV_AMT,ADV_E,"عبدالعزيز",ADV_D,"&gt;="&amp;القوائم!$H$12,ADV_D,"&lt;="&amp;القوائم!$I$12),"")</f>
        <v>0</v>
      </c>
      <c r="G33" s="18" t="n">
        <f aca="false">IF(2&lt;=NW,IF(N(C33)=0,0,MAX(0,MIN(IF(_xlfn.MAXIFS(LG_IDX,LG_E,"عبدالعزيز",LG_INST,"&lt;&gt;",LG_D,"&lt;="&amp;القوائم!$I$12)=0,$D$10,INDEX(LG_INST,_xlfn.MAXIFS(LG_IDX,LG_E,"عبدالعزيز",LG_INST,"&lt;&gt;",LG_D,"&lt;="&amp;القوائم!$I$12))),$C$10+SUMIFS(LG_DEBT,LG_E,"عبدالعزيز",LG_D,"&lt;="&amp;القوائم!$I$12)-SUMIFS(LG_REP,LG_E,"عبدالعزيز",LG_D,"&lt;="&amp;القوائم!$I$12)-SUM(G32:G32),N(C33)+N(D33)-N(E33)-N(F33)))),"")</f>
        <v>0</v>
      </c>
      <c r="H33" s="18" t="n">
        <f aca="false">IF(2&lt;=NW,C33+D33-E33-F33-G33,"")</f>
        <v>0</v>
      </c>
      <c r="I33" s="23"/>
      <c r="J33" s="18" t="n">
        <f aca="false">IF(2&lt;=NW,H33-N(I33),"")</f>
        <v>0</v>
      </c>
      <c r="K33" s="20" t="n">
        <f aca="false">IF(2&lt;=NW,MAX(0,$C$10+SUMIFS(LG_DEBT,LG_E,"عبدالعزيز",LG_D,"&lt;="&amp;القوائم!$I$12)-SUMIFS(LG_REP,LG_E,"عبدالعزيز",LG_D,"&lt;="&amp;القوائم!$I$12)-SUM(G32:G33)),"")</f>
        <v>0</v>
      </c>
    </row>
    <row r="34" customFormat="false" ht="15" hidden="false" customHeight="false" outlineLevel="0" collapsed="false">
      <c r="A34" s="30" t="str">
        <f aca="false">IF(3&lt;=NW,"الأسبوع الثالث","")</f>
        <v>الأسبوع الثالث</v>
      </c>
      <c r="B34" s="17" t="n">
        <f aca="false">IF(3&lt;=NW,N('ساعات عبدالعزيز'!E34),"")</f>
        <v>0</v>
      </c>
      <c r="C34" s="18" t="n">
        <f aca="false">IF(3&lt;=NW,N('ساعات عبدالعزيز'!F35),"")</f>
        <v>0</v>
      </c>
      <c r="D34" s="18" t="n">
        <f aca="false">IF(3&lt;=NW,0,"")</f>
        <v>0</v>
      </c>
      <c r="E34" s="18" t="n">
        <f aca="false">IF(3&lt;=NW,N('ساعات عبدالعزيز'!H34),"")</f>
        <v>0</v>
      </c>
      <c r="F34" s="18" t="n">
        <f aca="false">IF(3&lt;=NW,SUMIFS(ADV_AMT,ADV_E,"عبدالعزيز",ADV_D,"&gt;="&amp;القوائم!$H$13,ADV_D,"&lt;="&amp;القوائم!$I$13),"")</f>
        <v>0</v>
      </c>
      <c r="G34" s="18" t="n">
        <f aca="false">IF(3&lt;=NW,IF(N(C34)=0,0,MAX(0,MIN(IF(_xlfn.MAXIFS(LG_IDX,LG_E,"عبدالعزيز",LG_INST,"&lt;&gt;",LG_D,"&lt;="&amp;القوائم!$I$13)=0,$D$10,INDEX(LG_INST,_xlfn.MAXIFS(LG_IDX,LG_E,"عبدالعزيز",LG_INST,"&lt;&gt;",LG_D,"&lt;="&amp;القوائم!$I$13))),$C$10+SUMIFS(LG_DEBT,LG_E,"عبدالعزيز",LG_D,"&lt;="&amp;القوائم!$I$13)-SUMIFS(LG_REP,LG_E,"عبدالعزيز",LG_D,"&lt;="&amp;القوائم!$I$13)-SUM(G32:G33),N(C34)+N(D34)-N(E34)-N(F34)))),"")</f>
        <v>0</v>
      </c>
      <c r="H34" s="18" t="n">
        <f aca="false">IF(3&lt;=NW,C34+D34-E34-F34-G34,"")</f>
        <v>0</v>
      </c>
      <c r="I34" s="23"/>
      <c r="J34" s="18" t="n">
        <f aca="false">IF(3&lt;=NW,H34-N(I34),"")</f>
        <v>0</v>
      </c>
      <c r="K34" s="20" t="n">
        <f aca="false">IF(3&lt;=NW,MAX(0,$C$10+SUMIFS(LG_DEBT,LG_E,"عبدالعزيز",LG_D,"&lt;="&amp;القوائم!$I$13)-SUMIFS(LG_REP,LG_E,"عبدالعزيز",LG_D,"&lt;="&amp;القوائم!$I$13)-SUM(G32:G34)),"")</f>
        <v>0</v>
      </c>
    </row>
    <row r="35" customFormat="false" ht="15" hidden="false" customHeight="false" outlineLevel="0" collapsed="false">
      <c r="A35" s="30" t="str">
        <f aca="false">IF(4&lt;=NW,"الأسبوع الرابع","")</f>
        <v>الأسبوع الرابع</v>
      </c>
      <c r="B35" s="17" t="n">
        <f aca="false">IF(4&lt;=NW,N('ساعات عبدالعزيز'!E44),"")</f>
        <v>0</v>
      </c>
      <c r="C35" s="18" t="n">
        <f aca="false">IF(4&lt;=NW,N('ساعات عبدالعزيز'!F45),"")</f>
        <v>0</v>
      </c>
      <c r="D35" s="18" t="n">
        <f aca="false">IF(4&lt;=NW,0,"")</f>
        <v>0</v>
      </c>
      <c r="E35" s="18" t="n">
        <f aca="false">IF(4&lt;=NW,N('ساعات عبدالعزيز'!H44),"")</f>
        <v>0</v>
      </c>
      <c r="F35" s="18" t="n">
        <f aca="false">IF(4&lt;=NW,SUMIFS(ADV_AMT,ADV_E,"عبدالعزيز",ADV_D,"&gt;="&amp;القوائم!$H$14,ADV_D,"&lt;="&amp;القوائم!$I$14),"")</f>
        <v>0</v>
      </c>
      <c r="G35" s="18" t="n">
        <f aca="false">IF(4&lt;=NW,IF(N(C35)=0,0,MAX(0,MIN(IF(_xlfn.MAXIFS(LG_IDX,LG_E,"عبدالعزيز",LG_INST,"&lt;&gt;",LG_D,"&lt;="&amp;القوائم!$I$14)=0,$D$10,INDEX(LG_INST,_xlfn.MAXIFS(LG_IDX,LG_E,"عبدالعزيز",LG_INST,"&lt;&gt;",LG_D,"&lt;="&amp;القوائم!$I$14))),$C$10+SUMIFS(LG_DEBT,LG_E,"عبدالعزيز",LG_D,"&lt;="&amp;القوائم!$I$14)-SUMIFS(LG_REP,LG_E,"عبدالعزيز",LG_D,"&lt;="&amp;القوائم!$I$14)-SUM(G32:G34),N(C35)+N(D35)-N(E35)-N(F35)))),"")</f>
        <v>0</v>
      </c>
      <c r="H35" s="18" t="n">
        <f aca="false">IF(4&lt;=NW,C35+D35-E35-F35-G35,"")</f>
        <v>0</v>
      </c>
      <c r="I35" s="23"/>
      <c r="J35" s="18" t="n">
        <f aca="false">IF(4&lt;=NW,H35-N(I35),"")</f>
        <v>0</v>
      </c>
      <c r="K35" s="20" t="n">
        <f aca="false">IF(4&lt;=NW,MAX(0,$C$10+SUMIFS(LG_DEBT,LG_E,"عبدالعزيز",LG_D,"&lt;="&amp;القوائم!$I$14)-SUMIFS(LG_REP,LG_E,"عبدالعزيز",LG_D,"&lt;="&amp;القوائم!$I$14)-SUM(G32:G35)),"")</f>
        <v>0</v>
      </c>
    </row>
    <row r="36" customFormat="false" ht="15" hidden="false" customHeight="false" outlineLevel="0" collapsed="false">
      <c r="A36" s="30" t="str">
        <f aca="false">IF(5&lt;=NW,"الأسبوع الخامس","")</f>
        <v>الأسبوع الخامس</v>
      </c>
      <c r="B36" s="17" t="n">
        <f aca="false">IF(5&lt;=NW,N('ساعات عبدالعزيز'!E54),"")</f>
        <v>0</v>
      </c>
      <c r="C36" s="18" t="n">
        <f aca="false">IF(5&lt;=NW,N('ساعات عبدالعزيز'!F55),"")</f>
        <v>0</v>
      </c>
      <c r="D36" s="18" t="n">
        <f aca="false">IF(5&lt;=NW,0,"")</f>
        <v>0</v>
      </c>
      <c r="E36" s="18" t="n">
        <f aca="false">IF(5&lt;=NW,N('ساعات عبدالعزيز'!H54),"")</f>
        <v>0</v>
      </c>
      <c r="F36" s="18" t="n">
        <f aca="false">IF(5&lt;=NW,SUMIFS(ADV_AMT,ADV_E,"عبدالعزيز",ADV_D,"&gt;="&amp;القوائم!$H$15,ADV_D,"&lt;="&amp;القوائم!$I$15),"")</f>
        <v>0</v>
      </c>
      <c r="G36" s="18" t="n">
        <f aca="false">IF(5&lt;=NW,IF(N(C36)=0,0,MAX(0,MIN(IF(_xlfn.MAXIFS(LG_IDX,LG_E,"عبدالعزيز",LG_INST,"&lt;&gt;",LG_D,"&lt;="&amp;القوائم!$I$15)=0,$D$10,INDEX(LG_INST,_xlfn.MAXIFS(LG_IDX,LG_E,"عبدالعزيز",LG_INST,"&lt;&gt;",LG_D,"&lt;="&amp;القوائم!$I$15))),$C$10+SUMIFS(LG_DEBT,LG_E,"عبدالعزيز",LG_D,"&lt;="&amp;القوائم!$I$15)-SUMIFS(LG_REP,LG_E,"عبدالعزيز",LG_D,"&lt;="&amp;القوائم!$I$15)-SUM(G32:G35),N(C36)+N(D36)-N(E36)-N(F36)))),"")</f>
        <v>0</v>
      </c>
      <c r="H36" s="18" t="n">
        <f aca="false">IF(5&lt;=NW,C36+D36-E36-F36-G36,"")</f>
        <v>0</v>
      </c>
      <c r="I36" s="23"/>
      <c r="J36" s="18" t="n">
        <f aca="false">IF(5&lt;=NW,H36-N(I36),"")</f>
        <v>0</v>
      </c>
      <c r="K36" s="20" t="n">
        <f aca="false">IF(5&lt;=NW,MAX(0,$C$10+SUMIFS(LG_DEBT,LG_E,"عبدالعزيز",LG_D,"&lt;="&amp;القوائم!$I$15)-SUMIFS(LG_REP,LG_E,"عبدالعزيز",LG_D,"&lt;="&amp;القوائم!$I$15)-SUM(G32:G36)),"")</f>
        <v>0</v>
      </c>
    </row>
    <row r="37" customFormat="false" ht="15" hidden="false" customHeight="false" outlineLevel="0" collapsed="false">
      <c r="A37" s="30" t="str">
        <f aca="false">IF(6&lt;=NW,"الأسبوع السادس","")</f>
        <v>الأسبوع السادس</v>
      </c>
      <c r="B37" s="17" t="n">
        <f aca="false">IF(6&lt;=NW,N('ساعات عبدالعزيز'!E64),"")</f>
        <v>0</v>
      </c>
      <c r="C37" s="18" t="n">
        <f aca="false">IF(6&lt;=NW,N('ساعات عبدالعزيز'!F65),"")</f>
        <v>0</v>
      </c>
      <c r="D37" s="18" t="n">
        <f aca="false">IF(6&lt;=NW,0,"")</f>
        <v>0</v>
      </c>
      <c r="E37" s="18" t="n">
        <f aca="false">IF(6&lt;=NW,N('ساعات عبدالعزيز'!H64),"")</f>
        <v>0</v>
      </c>
      <c r="F37" s="18" t="n">
        <f aca="false">IF(6&lt;=NW,SUMIFS(ADV_AMT,ADV_E,"عبدالعزيز",ADV_D,"&gt;="&amp;القوائم!$H$16,ADV_D,"&lt;="&amp;القوائم!$I$16),"")</f>
        <v>0</v>
      </c>
      <c r="G37" s="18" t="n">
        <f aca="false">IF(6&lt;=NW,IF(N(C37)=0,0,MAX(0,MIN(IF(_xlfn.MAXIFS(LG_IDX,LG_E,"عبدالعزيز",LG_INST,"&lt;&gt;",LG_D,"&lt;="&amp;القوائم!$I$16)=0,$D$10,INDEX(LG_INST,_xlfn.MAXIFS(LG_IDX,LG_E,"عبدالعزيز",LG_INST,"&lt;&gt;",LG_D,"&lt;="&amp;القوائم!$I$16))),$C$10+SUMIFS(LG_DEBT,LG_E,"عبدالعزيز",LG_D,"&lt;="&amp;القوائم!$I$16)-SUMIFS(LG_REP,LG_E,"عبدالعزيز",LG_D,"&lt;="&amp;القوائم!$I$16)-SUM(G32:G36),N(C37)+N(D37)-N(E37)-N(F37)))),"")</f>
        <v>0</v>
      </c>
      <c r="H37" s="18" t="n">
        <f aca="false">IF(6&lt;=NW,C37+D37-E37-F37-G37,"")</f>
        <v>0</v>
      </c>
      <c r="I37" s="23"/>
      <c r="J37" s="18" t="n">
        <f aca="false">IF(6&lt;=NW,H37-N(I37),"")</f>
        <v>0</v>
      </c>
      <c r="K37" s="20" t="n">
        <f aca="false">IF(6&lt;=NW,MAX(0,$C$10+SUMIFS(LG_DEBT,LG_E,"عبدالعزيز",LG_D,"&lt;="&amp;القوائم!$I$16)-SUMIFS(LG_REP,LG_E,"عبدالعزيز",LG_D,"&lt;="&amp;القوائم!$I$16)-SUM(G32:G37)),"")</f>
        <v>0</v>
      </c>
    </row>
    <row r="38" customFormat="false" ht="15" hidden="false" customHeight="false" outlineLevel="0" collapsed="false">
      <c r="A38" s="25" t="s">
        <v>27</v>
      </c>
      <c r="B38" s="26" t="n">
        <f aca="false">SUM(B32:B37)</f>
        <v>0</v>
      </c>
      <c r="C38" s="27" t="n">
        <f aca="false">SUM(C32:C37)</f>
        <v>0</v>
      </c>
      <c r="D38" s="27" t="n">
        <f aca="false">SUM(D32:D37)</f>
        <v>0</v>
      </c>
      <c r="E38" s="27" t="n">
        <f aca="false">SUM(E32:E37)</f>
        <v>0</v>
      </c>
      <c r="F38" s="27" t="n">
        <f aca="false">SUM(F32:F37)</f>
        <v>0</v>
      </c>
      <c r="G38" s="27" t="n">
        <f aca="false">SUM(G32:G37)</f>
        <v>0</v>
      </c>
      <c r="H38" s="27" t="n">
        <f aca="false">SUM(H32:H37)</f>
        <v>0</v>
      </c>
      <c r="I38" s="27" t="n">
        <f aca="false">SUM(I32:I37)</f>
        <v>0</v>
      </c>
      <c r="J38" s="27" t="n">
        <f aca="false">SUM(J32:J37)</f>
        <v>0</v>
      </c>
      <c r="K38" s="27" t="n">
        <f aca="false">MAX(0,$C$10+SUMIFS(LG_DEBT,LG_E,"عبدالعزيز")-SUMIFS(LG_REP,LG_E,"عبدالعزيز")-G38)</f>
        <v>0</v>
      </c>
    </row>
    <row r="41" customFormat="false" ht="16.15" hidden="false" customHeight="true" outlineLevel="0" collapsed="false">
      <c r="A41" s="31" t="s">
        <v>29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customFormat="false" ht="33.75" hidden="false" customHeight="true" outlineLevel="0" collapsed="false">
      <c r="A42" s="10" t="s">
        <v>7</v>
      </c>
      <c r="B42" s="10" t="s">
        <v>8</v>
      </c>
      <c r="C42" s="10" t="s">
        <v>9</v>
      </c>
      <c r="D42" s="10" t="s">
        <v>10</v>
      </c>
    </row>
    <row r="43" customFormat="false" ht="15" hidden="false" customHeight="false" outlineLevel="0" collapsed="false">
      <c r="A43" s="32" t="s">
        <v>12</v>
      </c>
      <c r="B43" s="33" t="n">
        <f aca="false">I28</f>
        <v>0</v>
      </c>
      <c r="C43" s="33" t="n">
        <f aca="false">$C$9+SUMIFS(LG_DEBT,LG_E,A43)-SUMIFS(LG_REP,LG_E,A43)-F28</f>
        <v>0</v>
      </c>
      <c r="D43" s="33" t="n">
        <f aca="false">IF(C43&gt;0,IF(_xlfn.MAXIFS(LG_IDX,LG_E,"عمر المصري",LG_INST,"&lt;&gt;",LG_D,"&lt;="&amp;MEND)=0,$D$9,INDEX(LG_INST,_xlfn.MAXIFS(LG_IDX,LG_E,"عمر المصري",LG_INST,"&lt;&gt;",LG_D,"&lt;="&amp;MEND))),0)</f>
        <v>0</v>
      </c>
      <c r="E43" s="34" t="str">
        <f aca="false">IF(B43&gt;0.0005,"المحل لسا مدين إله بـ "&amp;TEXT(B43,"0.000"),IF(B43&lt;-0.0005,"قبض زيادة "&amp;TEXT(-B43,"0.000")&amp;" — بتنخصم الشهر الجاي","ما إله شي"))&amp;IF(C43&gt;0.0005,"  ·  وعليه دين "&amp;TEXT(C43,"0.000"),"")</f>
        <v>ما إله شي</v>
      </c>
      <c r="F43" s="34"/>
      <c r="G43" s="34"/>
      <c r="H43" s="34"/>
      <c r="I43" s="34"/>
      <c r="J43" s="34"/>
      <c r="K43" s="34"/>
      <c r="L43" s="34"/>
    </row>
    <row r="44" customFormat="false" ht="15" hidden="false" customHeight="false" outlineLevel="0" collapsed="false">
      <c r="A44" s="32" t="s">
        <v>13</v>
      </c>
      <c r="B44" s="33" t="n">
        <f aca="false">J38</f>
        <v>0</v>
      </c>
      <c r="C44" s="33" t="n">
        <f aca="false">$C$10+SUMIFS(LG_DEBT,LG_E,A44)-SUMIFS(LG_REP,LG_E,A44)-G38</f>
        <v>0</v>
      </c>
      <c r="D44" s="33" t="n">
        <f aca="false">IF(C44&gt;0,IF(_xlfn.MAXIFS(LG_IDX,LG_E,"عبدالعزيز",LG_INST,"&lt;&gt;",LG_D,"&lt;="&amp;MEND)=0,$D$10,INDEX(LG_INST,_xlfn.MAXIFS(LG_IDX,LG_E,"عبدالعزيز",LG_INST,"&lt;&gt;",LG_D,"&lt;="&amp;MEND))),0)</f>
        <v>0</v>
      </c>
      <c r="E44" s="34" t="str">
        <f aca="false">IF(B44&gt;0.0005,"المحل لسا مدين إله بـ "&amp;TEXT(B44,"0.000"),IF(B44&lt;-0.0005,"قبض زيادة "&amp;TEXT(-B44,"0.000")&amp;" — بتنخصم الشهر الجاي","ما إله شي"))&amp;IF(C44&gt;0.0005,"  ·  وعليه دين "&amp;TEXT(C44,"0.000"),"")</f>
        <v>ما إله شي</v>
      </c>
      <c r="F44" s="34"/>
      <c r="G44" s="34"/>
      <c r="H44" s="34"/>
      <c r="I44" s="34"/>
      <c r="J44" s="34"/>
      <c r="K44" s="34"/>
      <c r="L44" s="34"/>
    </row>
  </sheetData>
  <sheetProtection sheet="true" formatColumns="false" formatRows="false"/>
  <mergeCells count="12">
    <mergeCell ref="A1:L1"/>
    <mergeCell ref="F3:L3"/>
    <mergeCell ref="C5:D5"/>
    <mergeCell ref="A7:L7"/>
    <mergeCell ref="E8:L8"/>
    <mergeCell ref="A12:L12"/>
    <mergeCell ref="A17:L17"/>
    <mergeCell ref="A20:L20"/>
    <mergeCell ref="A30:L30"/>
    <mergeCell ref="A41:L41"/>
    <mergeCell ref="E43:L43"/>
    <mergeCell ref="E44:L44"/>
  </mergeCells>
  <conditionalFormatting sqref="A22:K27">
    <cfRule type="expression" priority="2" aboveAverage="0" equalAverage="0" bottom="0" percent="0" rank="0" text="" dxfId="0">
      <formula>AND($A22&lt;&gt;"",ROW()-22+1=WK)</formula>
    </cfRule>
  </conditionalFormatting>
  <conditionalFormatting sqref="A32:K37">
    <cfRule type="expression" priority="3" aboveAverage="0" equalAverage="0" bottom="0" percent="0" rank="0" text="" dxfId="0">
      <formula>AND($A32&lt;&gt;"",ROW()-32+1=WK)</formula>
    </cfRule>
  </conditionalFormatting>
  <dataValidations count="3">
    <dataValidation allowBlank="true" errorStyle="stop" operator="between" prompt="رقم الشهر 1–12" showDropDown="false" showErrorMessage="false" showInputMessage="true" sqref="C3" type="list">
      <formula1>القوائم!$D$1:$D$12</formula1>
      <formula2>0</formula2>
    </dataValidation>
    <dataValidation allowBlank="true" errorStyle="stop" operator="between" showDropDown="false" showErrorMessage="false" showInputMessage="false" sqref="E3" type="list">
      <formula1>القوائم!$E$1:$E$10</formula1>
      <formula2>0</formula2>
    </dataValidation>
    <dataValidation allowBlank="true" errorStyle="stop" operator="between" prompt="القائمة بتتغيّر حسب الشهر" showDropDown="false" showErrorMessage="false" showInputMessage="true" sqref="C5" type="list">
      <formula1>القوائم!$J$11:$J$16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true" outlineLevel="0" max="13" min="11" style="0" width="13"/>
  </cols>
  <sheetData>
    <row r="1" customFormat="false" ht="31.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35" t="str">
        <f aca="false">"شهر "&amp;TEXT(التسوية!$C$3,"00")&amp;" / "&amp;التسوية!$E$3&amp;"   (الشهر والسنة بتنختار من ورقة التسوية)"</f>
        <v>شهر 10 / 2026   (الشهر والسنة بتنختار من ورقة التسوية)</v>
      </c>
      <c r="B2" s="35"/>
      <c r="C2" s="35"/>
      <c r="D2" s="35"/>
      <c r="E2" s="35"/>
      <c r="F2" s="35"/>
      <c r="G2" s="35"/>
      <c r="H2" s="35"/>
      <c r="I2" s="35"/>
    </row>
    <row r="3" customFormat="false" ht="36" hidden="false" customHeight="true" outlineLevel="0" collapsed="false">
      <c r="A3" s="36" t="s">
        <v>31</v>
      </c>
      <c r="B3" s="36"/>
      <c r="C3" s="36"/>
      <c r="D3" s="36"/>
      <c r="E3" s="36"/>
      <c r="F3" s="36"/>
      <c r="G3" s="36"/>
      <c r="H3" s="36"/>
      <c r="I3" s="36"/>
    </row>
    <row r="5" customFormat="false" ht="31.5" hidden="false" customHeight="true" outlineLevel="0" collapsed="false">
      <c r="A5" s="37" t="s">
        <v>32</v>
      </c>
      <c r="B5" s="37" t="s">
        <v>33</v>
      </c>
      <c r="C5" s="37" t="s">
        <v>34</v>
      </c>
      <c r="D5" s="37" t="s">
        <v>35</v>
      </c>
      <c r="E5" s="37" t="s">
        <v>14</v>
      </c>
      <c r="F5" s="37" t="s">
        <v>36</v>
      </c>
      <c r="G5" s="37" t="s">
        <v>37</v>
      </c>
      <c r="H5" s="37" t="s">
        <v>15</v>
      </c>
      <c r="I5" s="37" t="s">
        <v>38</v>
      </c>
    </row>
    <row r="6" customFormat="false" ht="27.75" hidden="false" customHeight="true" outlineLevel="0" collapsed="false">
      <c r="A6" s="38" t="str">
        <f aca="false">IF(1&lt;=NW,"الأسبوع الأول","")</f>
        <v>الأسبوع الأول</v>
      </c>
      <c r="B6" s="38"/>
      <c r="C6" s="38"/>
      <c r="D6" s="38"/>
      <c r="E6" s="38"/>
      <c r="F6" s="38"/>
      <c r="G6" s="38"/>
      <c r="H6" s="38"/>
      <c r="I6" s="38"/>
    </row>
    <row r="7" customFormat="false" ht="15" hidden="false" customHeight="false" outlineLevel="0" collapsed="false">
      <c r="A7" s="39" t="str">
        <f aca="false">IF(AND(1&lt;=NW,WFIRST+0&gt;=MSTART,WFIRST+0&lt;=MEND),WFIRST+0,"")</f>
        <v/>
      </c>
      <c r="B7" s="40" t="str">
        <f aca="false">IF(A7="","",CHOOSE(WEEKDAY(A7,1),"الأحد","الاثنين","الثلاثاء","الأربعاء","الخميس","الجمعة","السبت"))</f>
        <v/>
      </c>
      <c r="C7" s="41"/>
      <c r="D7" s="41"/>
      <c r="E7" s="17" t="str">
        <f aca="false">IF(OR(M7=0,K7="",L7=""),"",MOD(L7-K7,1))</f>
        <v/>
      </c>
      <c r="F7" s="17" t="str">
        <f aca="false">IF(OR(E7="",M7=0),"",IF(WEEKDAY(A7,1)=6,E7,MIN(E7,MAX(0,MIN(IF(L7&lt;K7,L7+1,L7),OMR_OT_AT)-K7))))</f>
        <v/>
      </c>
      <c r="G7" s="17" t="str">
        <f aca="false">IF(OR(E7="",M7=0),"",MAX(0,E7-F7))</f>
        <v/>
      </c>
      <c r="H7" s="18" t="str">
        <f aca="false">IF(OR(E7="",M7=0),"",ROUND((F7*OMR_RATE+G7*OMR_OT)*24,3))</f>
        <v/>
      </c>
      <c r="I7" s="41"/>
      <c r="K7" s="42" t="str">
        <f aca="false">IF(OR(M7=0,C7=""),"",IF(ISNUMBER(C7),MOD(C7,1),IFERROR(INDEX(القوائم!$B$1:$B$96,MATCH(TRIM(C7),القوائم!$A$1:$A$96,0)),IFERROR(MOD(TIMEVALUE(C7),1),""))))</f>
        <v/>
      </c>
      <c r="L7" s="42" t="str">
        <f aca="false">IF(OR(M7=0,D7=""),"",IF(ISNUMBER(D7),MOD(D7,1),IFERROR(INDEX(القوائم!$B$1:$B$96,MATCH(TRIM(D7),القوائم!$A$1:$A$96,0)),IFERROR(MOD(TIMEVALUE(D7),1),""))))</f>
        <v/>
      </c>
      <c r="M7" s="43" t="n">
        <f aca="false">IF(A7="",0,IF(AND(A7&gt;=MSTART,A7&lt;=MEND),1,0))</f>
        <v>0</v>
      </c>
    </row>
    <row r="8" customFormat="false" ht="15" hidden="false" customHeight="false" outlineLevel="0" collapsed="false">
      <c r="A8" s="39" t="str">
        <f aca="false">IF(AND(1&lt;=NW,WFIRST+1&gt;=MSTART,WFIRST+1&lt;=MEND),WFIRST+1,"")</f>
        <v/>
      </c>
      <c r="B8" s="40" t="str">
        <f aca="false">IF(A8="","",CHOOSE(WEEKDAY(A8,1),"الأحد","الاثنين","الثلاثاء","الأربعاء","الخميس","الجمعة","السبت"))</f>
        <v/>
      </c>
      <c r="C8" s="41"/>
      <c r="D8" s="41"/>
      <c r="E8" s="17" t="str">
        <f aca="false">IF(OR(M8=0,K8="",L8=""),"",MOD(L8-K8,1))</f>
        <v/>
      </c>
      <c r="F8" s="17" t="str">
        <f aca="false">IF(OR(E8="",M8=0),"",IF(WEEKDAY(A8,1)=6,E8,MIN(E8,MAX(0,MIN(IF(L8&lt;K8,L8+1,L8),OMR_OT_AT)-K8))))</f>
        <v/>
      </c>
      <c r="G8" s="17" t="str">
        <f aca="false">IF(OR(E8="",M8=0),"",MAX(0,E8-F8))</f>
        <v/>
      </c>
      <c r="H8" s="18" t="str">
        <f aca="false">IF(OR(E8="",M8=0),"",ROUND((F8*OMR_RATE+G8*OMR_OT)*24,3))</f>
        <v/>
      </c>
      <c r="I8" s="41"/>
      <c r="K8" s="42" t="str">
        <f aca="false">IF(OR(M8=0,C8=""),"",IF(ISNUMBER(C8),MOD(C8,1),IFERROR(INDEX(القوائم!$B$1:$B$96,MATCH(TRIM(C8),القوائم!$A$1:$A$96,0)),IFERROR(MOD(TIMEVALUE(C8),1),""))))</f>
        <v/>
      </c>
      <c r="L8" s="42" t="str">
        <f aca="false">IF(OR(M8=0,D8=""),"",IF(ISNUMBER(D8),MOD(D8,1),IFERROR(INDEX(القوائم!$B$1:$B$96,MATCH(TRIM(D8),القوائم!$A$1:$A$96,0)),IFERROR(MOD(TIMEVALUE(D8),1),""))))</f>
        <v/>
      </c>
      <c r="M8" s="43" t="n">
        <f aca="false">IF(A8="",0,IF(AND(A8&gt;=MSTART,A8&lt;=MEND),1,0))</f>
        <v>0</v>
      </c>
    </row>
    <row r="9" customFormat="false" ht="15" hidden="false" customHeight="false" outlineLevel="0" collapsed="false">
      <c r="A9" s="39" t="str">
        <f aca="false">IF(AND(1&lt;=NW,WFIRST+2&gt;=MSTART,WFIRST+2&lt;=MEND),WFIRST+2,"")</f>
        <v/>
      </c>
      <c r="B9" s="40" t="str">
        <f aca="false">IF(A9="","",CHOOSE(WEEKDAY(A9,1),"الأحد","الاثنين","الثلاثاء","الأربعاء","الخميس","الجمعة","السبت"))</f>
        <v/>
      </c>
      <c r="C9" s="41"/>
      <c r="D9" s="41"/>
      <c r="E9" s="17" t="str">
        <f aca="false">IF(OR(M9=0,K9="",L9=""),"",MOD(L9-K9,1))</f>
        <v/>
      </c>
      <c r="F9" s="17" t="str">
        <f aca="false">IF(OR(E9="",M9=0),"",IF(WEEKDAY(A9,1)=6,E9,MIN(E9,MAX(0,MIN(IF(L9&lt;K9,L9+1,L9),OMR_OT_AT)-K9))))</f>
        <v/>
      </c>
      <c r="G9" s="17" t="str">
        <f aca="false">IF(OR(E9="",M9=0),"",MAX(0,E9-F9))</f>
        <v/>
      </c>
      <c r="H9" s="18" t="str">
        <f aca="false">IF(OR(E9="",M9=0),"",ROUND((F9*OMR_RATE+G9*OMR_OT)*24,3))</f>
        <v/>
      </c>
      <c r="I9" s="41"/>
      <c r="K9" s="42" t="str">
        <f aca="false">IF(OR(M9=0,C9=""),"",IF(ISNUMBER(C9),MOD(C9,1),IFERROR(INDEX(القوائم!$B$1:$B$96,MATCH(TRIM(C9),القوائم!$A$1:$A$96,0)),IFERROR(MOD(TIMEVALUE(C9),1),""))))</f>
        <v/>
      </c>
      <c r="L9" s="42" t="str">
        <f aca="false">IF(OR(M9=0,D9=""),"",IF(ISNUMBER(D9),MOD(D9,1),IFERROR(INDEX(القوائم!$B$1:$B$96,MATCH(TRIM(D9),القوائم!$A$1:$A$96,0)),IFERROR(MOD(TIMEVALUE(D9),1),""))))</f>
        <v/>
      </c>
      <c r="M9" s="43" t="n">
        <f aca="false">IF(A9="",0,IF(AND(A9&gt;=MSTART,A9&lt;=MEND),1,0))</f>
        <v>0</v>
      </c>
    </row>
    <row r="10" customFormat="false" ht="15" hidden="false" customHeight="false" outlineLevel="0" collapsed="false">
      <c r="A10" s="39" t="str">
        <f aca="false">IF(AND(1&lt;=NW,WFIRST+3&gt;=MSTART,WFIRST+3&lt;=MEND),WFIRST+3,"")</f>
        <v/>
      </c>
      <c r="B10" s="40" t="str">
        <f aca="false">IF(A10="","",CHOOSE(WEEKDAY(A10,1),"الأحد","الاثنين","الثلاثاء","الأربعاء","الخميس","الجمعة","السبت"))</f>
        <v/>
      </c>
      <c r="C10" s="41"/>
      <c r="D10" s="41"/>
      <c r="E10" s="17" t="str">
        <f aca="false">IF(OR(M10=0,K10="",L10=""),"",MOD(L10-K10,1))</f>
        <v/>
      </c>
      <c r="F10" s="17" t="str">
        <f aca="false">IF(OR(E10="",M10=0),"",IF(WEEKDAY(A10,1)=6,E10,MIN(E10,MAX(0,MIN(IF(L10&lt;K10,L10+1,L10),OMR_OT_AT)-K10))))</f>
        <v/>
      </c>
      <c r="G10" s="17" t="str">
        <f aca="false">IF(OR(E10="",M10=0),"",MAX(0,E10-F10))</f>
        <v/>
      </c>
      <c r="H10" s="18" t="str">
        <f aca="false">IF(OR(E10="",M10=0),"",ROUND((F10*OMR_RATE+G10*OMR_OT)*24,3))</f>
        <v/>
      </c>
      <c r="I10" s="41"/>
      <c r="K10" s="42" t="str">
        <f aca="false">IF(OR(M10=0,C10=""),"",IF(ISNUMBER(C10),MOD(C10,1),IFERROR(INDEX(القوائم!$B$1:$B$96,MATCH(TRIM(C10),القوائم!$A$1:$A$96,0)),IFERROR(MOD(TIMEVALUE(C10),1),""))))</f>
        <v/>
      </c>
      <c r="L10" s="42" t="str">
        <f aca="false">IF(OR(M10=0,D10=""),"",IF(ISNUMBER(D10),MOD(D10,1),IFERROR(INDEX(القوائم!$B$1:$B$96,MATCH(TRIM(D10),القوائم!$A$1:$A$96,0)),IFERROR(MOD(TIMEVALUE(D10),1),""))))</f>
        <v/>
      </c>
      <c r="M10" s="43" t="n">
        <f aca="false">IF(A10="",0,IF(AND(A10&gt;=MSTART,A10&lt;=MEND),1,0))</f>
        <v>0</v>
      </c>
    </row>
    <row r="11" customFormat="false" ht="15" hidden="false" customHeight="false" outlineLevel="0" collapsed="false">
      <c r="A11" s="39" t="str">
        <f aca="false">IF(AND(1&lt;=NW,WFIRST+4&gt;=MSTART,WFIRST+4&lt;=MEND),WFIRST+4,"")</f>
        <v/>
      </c>
      <c r="B11" s="40" t="str">
        <f aca="false">IF(A11="","",CHOOSE(WEEKDAY(A11,1),"الأحد","الاثنين","الثلاثاء","الأربعاء","الخميس","الجمعة","السبت"))</f>
        <v/>
      </c>
      <c r="C11" s="41"/>
      <c r="D11" s="41"/>
      <c r="E11" s="17" t="str">
        <f aca="false">IF(OR(M11=0,K11="",L11=""),"",MOD(L11-K11,1))</f>
        <v/>
      </c>
      <c r="F11" s="17" t="str">
        <f aca="false">IF(OR(E11="",M11=0),"",IF(WEEKDAY(A11,1)=6,E11,MIN(E11,MAX(0,MIN(IF(L11&lt;K11,L11+1,L11),OMR_OT_AT)-K11))))</f>
        <v/>
      </c>
      <c r="G11" s="17" t="str">
        <f aca="false">IF(OR(E11="",M11=0),"",MAX(0,E11-F11))</f>
        <v/>
      </c>
      <c r="H11" s="18" t="str">
        <f aca="false">IF(OR(E11="",M11=0),"",ROUND((F11*OMR_RATE+G11*OMR_OT)*24,3))</f>
        <v/>
      </c>
      <c r="I11" s="41"/>
      <c r="K11" s="42" t="str">
        <f aca="false">IF(OR(M11=0,C11=""),"",IF(ISNUMBER(C11),MOD(C11,1),IFERROR(INDEX(القوائم!$B$1:$B$96,MATCH(TRIM(C11),القوائم!$A$1:$A$96,0)),IFERROR(MOD(TIMEVALUE(C11),1),""))))</f>
        <v/>
      </c>
      <c r="L11" s="42" t="str">
        <f aca="false">IF(OR(M11=0,D11=""),"",IF(ISNUMBER(D11),MOD(D11,1),IFERROR(INDEX(القوائم!$B$1:$B$96,MATCH(TRIM(D11),القوائم!$A$1:$A$96,0)),IFERROR(MOD(TIMEVALUE(D11),1),""))))</f>
        <v/>
      </c>
      <c r="M11" s="43" t="n">
        <f aca="false">IF(A11="",0,IF(AND(A11&gt;=MSTART,A11&lt;=MEND),1,0))</f>
        <v>0</v>
      </c>
    </row>
    <row r="12" customFormat="false" ht="15" hidden="false" customHeight="false" outlineLevel="0" collapsed="false">
      <c r="A12" s="39" t="n">
        <f aca="false">IF(AND(1&lt;=NW,WFIRST+5&gt;=MSTART,WFIRST+5&lt;=MEND),WFIRST+5,"")</f>
        <v>46296</v>
      </c>
      <c r="B12" s="40" t="str">
        <f aca="false">IF(A12="","",CHOOSE(WEEKDAY(A12,1),"الأحد","الاثنين","الثلاثاء","الأربعاء","الخميس","الجمعة","السبت"))</f>
        <v>الخميس</v>
      </c>
      <c r="C12" s="41"/>
      <c r="D12" s="41"/>
      <c r="E12" s="17" t="str">
        <f aca="false">IF(OR(M12=0,K12="",L12=""),"",MOD(L12-K12,1))</f>
        <v/>
      </c>
      <c r="F12" s="17" t="str">
        <f aca="false">IF(OR(E12="",M12=0),"",IF(WEEKDAY(A12,1)=6,E12,MIN(E12,MAX(0,MIN(IF(L12&lt;K12,L12+1,L12),OMR_OT_AT)-K12))))</f>
        <v/>
      </c>
      <c r="G12" s="17" t="str">
        <f aca="false">IF(OR(E12="",M12=0),"",MAX(0,E12-F12))</f>
        <v/>
      </c>
      <c r="H12" s="18" t="str">
        <f aca="false">IF(OR(E12="",M12=0),"",ROUND((F12*OMR_RATE+G12*OMR_OT)*24,3))</f>
        <v/>
      </c>
      <c r="I12" s="41"/>
      <c r="K12" s="42" t="str">
        <f aca="false">IF(OR(M12=0,C12=""),"",IF(ISNUMBER(C12),MOD(C12,1),IFERROR(INDEX(القوائم!$B$1:$B$96,MATCH(TRIM(C12),القوائم!$A$1:$A$96,0)),IFERROR(MOD(TIMEVALUE(C12),1),""))))</f>
        <v/>
      </c>
      <c r="L12" s="42" t="str">
        <f aca="false">IF(OR(M12=0,D12=""),"",IF(ISNUMBER(D12),MOD(D12,1),IFERROR(INDEX(القوائم!$B$1:$B$96,MATCH(TRIM(D12),القوائم!$A$1:$A$96,0)),IFERROR(MOD(TIMEVALUE(D12),1),""))))</f>
        <v/>
      </c>
      <c r="M12" s="43" t="n">
        <f aca="false">IF(A12="",0,IF(AND(A12&gt;=MSTART,A12&lt;=MEND),1,0))</f>
        <v>1</v>
      </c>
    </row>
    <row r="13" customFormat="false" ht="15" hidden="false" customHeight="false" outlineLevel="0" collapsed="false">
      <c r="A13" s="44" t="n">
        <f aca="false">IF(AND(1&lt;=NW,WFIRST+6&gt;=MSTART,WFIRST+6&lt;=MEND),WFIRST+6,"")</f>
        <v>46297</v>
      </c>
      <c r="B13" s="22" t="str">
        <f aca="false">IF(A13="","",CHOOSE(WEEKDAY(A13,1),"الأحد","الاثنين","الثلاثاء","الأربعاء","الخميس","الجمعة","السبت"))</f>
        <v>الجمعة</v>
      </c>
      <c r="C13" s="41"/>
      <c r="D13" s="41"/>
      <c r="E13" s="17" t="str">
        <f aca="false">IF(OR(M13=0,K13="",L13=""),"",MOD(L13-K13,1))</f>
        <v/>
      </c>
      <c r="F13" s="17" t="str">
        <f aca="false">IF(OR(E13="",M13=0),"",IF(WEEKDAY(A13,1)=6,E13,MIN(E13,MAX(0,MIN(IF(L13&lt;K13,L13+1,L13),OMR_OT_AT)-K13))))</f>
        <v/>
      </c>
      <c r="G13" s="17" t="str">
        <f aca="false">IF(OR(E13="",M13=0),"",MAX(0,E13-F13))</f>
        <v/>
      </c>
      <c r="H13" s="18" t="str">
        <f aca="false">IF(OR(E13="",M13=0),"",ROUND((F13*OMR_RATE+G13*OMR_OT)*24,3))</f>
        <v/>
      </c>
      <c r="I13" s="41"/>
      <c r="K13" s="42" t="str">
        <f aca="false">IF(OR(M13=0,C13=""),"",IF(ISNUMBER(C13),MOD(C13,1),IFERROR(INDEX(القوائم!$B$1:$B$96,MATCH(TRIM(C13),القوائم!$A$1:$A$96,0)),IFERROR(MOD(TIMEVALUE(C13),1),""))))</f>
        <v/>
      </c>
      <c r="L13" s="42" t="str">
        <f aca="false">IF(OR(M13=0,D13=""),"",IF(ISNUMBER(D13),MOD(D13,1),IFERROR(INDEX(القوائم!$B$1:$B$96,MATCH(TRIM(D13),القوائم!$A$1:$A$96,0)),IFERROR(MOD(TIMEVALUE(D13),1),""))))</f>
        <v/>
      </c>
      <c r="M13" s="43" t="n">
        <f aca="false">IF(A13="",0,IF(AND(A13&gt;=MSTART,A13&lt;=MEND),1,0))</f>
        <v>1</v>
      </c>
    </row>
    <row r="14" customFormat="false" ht="15" hidden="false" customHeight="false" outlineLevel="0" collapsed="false">
      <c r="A14" s="25" t="str">
        <f aca="false">IF(1&lt;=NW,"مجموع أيام الأسبوع الأول","")</f>
        <v>مجموع أيام الأسبوع الأول</v>
      </c>
      <c r="B14" s="25"/>
      <c r="C14" s="25"/>
      <c r="D14" s="25"/>
      <c r="E14" s="26" t="n">
        <f aca="false">IF(1&lt;=NW,SUM(E7:E13),"")</f>
        <v>0</v>
      </c>
      <c r="F14" s="26" t="n">
        <f aca="false">IF(1&lt;=NW,SUM(F7:F13),"")</f>
        <v>0</v>
      </c>
      <c r="G14" s="26" t="n">
        <f aca="false">IF(1&lt;=NW,SUM(G7:G13),"")</f>
        <v>0</v>
      </c>
      <c r="H14" s="27" t="n">
        <f aca="false">IF(1&lt;=NW,SUM(H7:H13),"")</f>
        <v>0</v>
      </c>
      <c r="I14" s="25"/>
    </row>
    <row r="15" customFormat="false" ht="31.5" hidden="false" customHeight="true" outlineLevel="0" collapsed="false">
      <c r="A15" s="45" t="str">
        <f aca="false">IF(1&lt;=NW,"ساعات تحميل الجبسمبورد بهالأسبوع (رقم: 2 أو 1.5) ←","")</f>
        <v>ساعات تحميل الجبسمبورد بهالأسبوع (رقم: 2 أو 1.5) ←</v>
      </c>
      <c r="B15" s="45"/>
      <c r="C15" s="45"/>
      <c r="D15" s="45"/>
      <c r="E15" s="46"/>
      <c r="F15" s="47" t="str">
        <f aca="false">IF(1&lt;=NW,"المستحق النهائي للأسبوع (دينار) ←","")</f>
        <v>المستحق النهائي للأسبوع (دينار) ←</v>
      </c>
      <c r="G15" s="47"/>
      <c r="H15" s="48" t="n">
        <f aca="false">IF(1&lt;=NW,IF(ROUND_MODE="للأعلى",CEILING(ROUND((N(H14)+N(E15)*(GYP_RATE-OMR_RATE)),3),0.25),ROUND((N(H14)+N(E15)*(GYP_RATE-OMR_RATE))*4,0)/4),"")</f>
        <v>0</v>
      </c>
      <c r="I15" s="49" t="str">
        <f aca="false">IF(1&lt;=NW,"قبل الجبر: "&amp;TEXT(N(H14)+N(E15)*(GYP_RATE-OMR_RATE),"0.000"),"")</f>
        <v>قبل الجبر: 0.000</v>
      </c>
    </row>
    <row r="16" customFormat="false" ht="27.75" hidden="false" customHeight="true" outlineLevel="0" collapsed="false">
      <c r="A16" s="38" t="str">
        <f aca="false">IF(2&lt;=NW,"الأسبوع الثاني","")</f>
        <v>الأسبوع الثاني</v>
      </c>
      <c r="B16" s="38"/>
      <c r="C16" s="38"/>
      <c r="D16" s="38"/>
      <c r="E16" s="38"/>
      <c r="F16" s="38"/>
      <c r="G16" s="38"/>
      <c r="H16" s="38"/>
      <c r="I16" s="38"/>
    </row>
    <row r="17" customFormat="false" ht="15" hidden="false" customHeight="false" outlineLevel="0" collapsed="false">
      <c r="A17" s="39" t="n">
        <f aca="false">IF(AND(2&lt;=NW,WFIRST+7&gt;=MSTART,WFIRST+7&lt;=MEND),WFIRST+7,"")</f>
        <v>46298</v>
      </c>
      <c r="B17" s="40" t="str">
        <f aca="false">IF(A17="","",CHOOSE(WEEKDAY(A17,1),"الأحد","الاثنين","الثلاثاء","الأربعاء","الخميس","الجمعة","السبت"))</f>
        <v>السبت</v>
      </c>
      <c r="C17" s="41"/>
      <c r="D17" s="41"/>
      <c r="E17" s="17" t="str">
        <f aca="false">IF(OR(M17=0,K17="",L17=""),"",MOD(L17-K17,1))</f>
        <v/>
      </c>
      <c r="F17" s="17" t="str">
        <f aca="false">IF(OR(E17="",M17=0),"",IF(WEEKDAY(A17,1)=6,E17,MIN(E17,MAX(0,MIN(IF(L17&lt;K17,L17+1,L17),OMR_OT_AT)-K17))))</f>
        <v/>
      </c>
      <c r="G17" s="17" t="str">
        <f aca="false">IF(OR(E17="",M17=0),"",MAX(0,E17-F17))</f>
        <v/>
      </c>
      <c r="H17" s="18" t="str">
        <f aca="false">IF(OR(E17="",M17=0),"",ROUND((F17*OMR_RATE+G17*OMR_OT)*24,3))</f>
        <v/>
      </c>
      <c r="I17" s="41"/>
      <c r="K17" s="42" t="str">
        <f aca="false">IF(OR(M17=0,C17=""),"",IF(ISNUMBER(C17),MOD(C17,1),IFERROR(INDEX(القوائم!$B$1:$B$96,MATCH(TRIM(C17),القوائم!$A$1:$A$96,0)),IFERROR(MOD(TIMEVALUE(C17),1),""))))</f>
        <v/>
      </c>
      <c r="L17" s="42" t="str">
        <f aca="false">IF(OR(M17=0,D17=""),"",IF(ISNUMBER(D17),MOD(D17,1),IFERROR(INDEX(القوائم!$B$1:$B$96,MATCH(TRIM(D17),القوائم!$A$1:$A$96,0)),IFERROR(MOD(TIMEVALUE(D17),1),""))))</f>
        <v/>
      </c>
      <c r="M17" s="43" t="n">
        <f aca="false">IF(A17="",0,IF(AND(A17&gt;=MSTART,A17&lt;=MEND),1,0))</f>
        <v>1</v>
      </c>
    </row>
    <row r="18" customFormat="false" ht="15" hidden="false" customHeight="false" outlineLevel="0" collapsed="false">
      <c r="A18" s="39" t="n">
        <f aca="false">IF(AND(2&lt;=NW,WFIRST+8&gt;=MSTART,WFIRST+8&lt;=MEND),WFIRST+8,"")</f>
        <v>46299</v>
      </c>
      <c r="B18" s="40" t="str">
        <f aca="false">IF(A18="","",CHOOSE(WEEKDAY(A18,1),"الأحد","الاثنين","الثلاثاء","الأربعاء","الخميس","الجمعة","السبت"))</f>
        <v>الأحد</v>
      </c>
      <c r="C18" s="41"/>
      <c r="D18" s="41"/>
      <c r="E18" s="17" t="str">
        <f aca="false">IF(OR(M18=0,K18="",L18=""),"",MOD(L18-K18,1))</f>
        <v/>
      </c>
      <c r="F18" s="17" t="str">
        <f aca="false">IF(OR(E18="",M18=0),"",IF(WEEKDAY(A18,1)=6,E18,MIN(E18,MAX(0,MIN(IF(L18&lt;K18,L18+1,L18),OMR_OT_AT)-K18))))</f>
        <v/>
      </c>
      <c r="G18" s="17" t="str">
        <f aca="false">IF(OR(E18="",M18=0),"",MAX(0,E18-F18))</f>
        <v/>
      </c>
      <c r="H18" s="18" t="str">
        <f aca="false">IF(OR(E18="",M18=0),"",ROUND((F18*OMR_RATE+G18*OMR_OT)*24,3))</f>
        <v/>
      </c>
      <c r="I18" s="41"/>
      <c r="K18" s="42" t="str">
        <f aca="false">IF(OR(M18=0,C18=""),"",IF(ISNUMBER(C18),MOD(C18,1),IFERROR(INDEX(القوائم!$B$1:$B$96,MATCH(TRIM(C18),القوائم!$A$1:$A$96,0)),IFERROR(MOD(TIMEVALUE(C18),1),""))))</f>
        <v/>
      </c>
      <c r="L18" s="42" t="str">
        <f aca="false">IF(OR(M18=0,D18=""),"",IF(ISNUMBER(D18),MOD(D18,1),IFERROR(INDEX(القوائم!$B$1:$B$96,MATCH(TRIM(D18),القوائم!$A$1:$A$96,0)),IFERROR(MOD(TIMEVALUE(D18),1),""))))</f>
        <v/>
      </c>
      <c r="M18" s="43" t="n">
        <f aca="false">IF(A18="",0,IF(AND(A18&gt;=MSTART,A18&lt;=MEND),1,0))</f>
        <v>1</v>
      </c>
    </row>
    <row r="19" customFormat="false" ht="15" hidden="false" customHeight="false" outlineLevel="0" collapsed="false">
      <c r="A19" s="39" t="n">
        <f aca="false">IF(AND(2&lt;=NW,WFIRST+9&gt;=MSTART,WFIRST+9&lt;=MEND),WFIRST+9,"")</f>
        <v>46300</v>
      </c>
      <c r="B19" s="40" t="str">
        <f aca="false">IF(A19="","",CHOOSE(WEEKDAY(A19,1),"الأحد","الاثنين","الثلاثاء","الأربعاء","الخميس","الجمعة","السبت"))</f>
        <v>الاثنين</v>
      </c>
      <c r="C19" s="41"/>
      <c r="D19" s="41"/>
      <c r="E19" s="17" t="str">
        <f aca="false">IF(OR(M19=0,K19="",L19=""),"",MOD(L19-K19,1))</f>
        <v/>
      </c>
      <c r="F19" s="17" t="str">
        <f aca="false">IF(OR(E19="",M19=0),"",IF(WEEKDAY(A19,1)=6,E19,MIN(E19,MAX(0,MIN(IF(L19&lt;K19,L19+1,L19),OMR_OT_AT)-K19))))</f>
        <v/>
      </c>
      <c r="G19" s="17" t="str">
        <f aca="false">IF(OR(E19="",M19=0),"",MAX(0,E19-F19))</f>
        <v/>
      </c>
      <c r="H19" s="18" t="str">
        <f aca="false">IF(OR(E19="",M19=0),"",ROUND((F19*OMR_RATE+G19*OMR_OT)*24,3))</f>
        <v/>
      </c>
      <c r="I19" s="41"/>
      <c r="K19" s="42" t="str">
        <f aca="false">IF(OR(M19=0,C19=""),"",IF(ISNUMBER(C19),MOD(C19,1),IFERROR(INDEX(القوائم!$B$1:$B$96,MATCH(TRIM(C19),القوائم!$A$1:$A$96,0)),IFERROR(MOD(TIMEVALUE(C19),1),""))))</f>
        <v/>
      </c>
      <c r="L19" s="42" t="str">
        <f aca="false">IF(OR(M19=0,D19=""),"",IF(ISNUMBER(D19),MOD(D19,1),IFERROR(INDEX(القوائم!$B$1:$B$96,MATCH(TRIM(D19),القوائم!$A$1:$A$96,0)),IFERROR(MOD(TIMEVALUE(D19),1),""))))</f>
        <v/>
      </c>
      <c r="M19" s="43" t="n">
        <f aca="false">IF(A19="",0,IF(AND(A19&gt;=MSTART,A19&lt;=MEND),1,0))</f>
        <v>1</v>
      </c>
    </row>
    <row r="20" customFormat="false" ht="15" hidden="false" customHeight="false" outlineLevel="0" collapsed="false">
      <c r="A20" s="39" t="n">
        <f aca="false">IF(AND(2&lt;=NW,WFIRST+10&gt;=MSTART,WFIRST+10&lt;=MEND),WFIRST+10,"")</f>
        <v>46301</v>
      </c>
      <c r="B20" s="40" t="str">
        <f aca="false">IF(A20="","",CHOOSE(WEEKDAY(A20,1),"الأحد","الاثنين","الثلاثاء","الأربعاء","الخميس","الجمعة","السبت"))</f>
        <v>الثلاثاء</v>
      </c>
      <c r="C20" s="41"/>
      <c r="D20" s="41"/>
      <c r="E20" s="17" t="str">
        <f aca="false">IF(OR(M20=0,K20="",L20=""),"",MOD(L20-K20,1))</f>
        <v/>
      </c>
      <c r="F20" s="17" t="str">
        <f aca="false">IF(OR(E20="",M20=0),"",IF(WEEKDAY(A20,1)=6,E20,MIN(E20,MAX(0,MIN(IF(L20&lt;K20,L20+1,L20),OMR_OT_AT)-K20))))</f>
        <v/>
      </c>
      <c r="G20" s="17" t="str">
        <f aca="false">IF(OR(E20="",M20=0),"",MAX(0,E20-F20))</f>
        <v/>
      </c>
      <c r="H20" s="18" t="str">
        <f aca="false">IF(OR(E20="",M20=0),"",ROUND((F20*OMR_RATE+G20*OMR_OT)*24,3))</f>
        <v/>
      </c>
      <c r="I20" s="41"/>
      <c r="K20" s="42" t="str">
        <f aca="false">IF(OR(M20=0,C20=""),"",IF(ISNUMBER(C20),MOD(C20,1),IFERROR(INDEX(القوائم!$B$1:$B$96,MATCH(TRIM(C20),القوائم!$A$1:$A$96,0)),IFERROR(MOD(TIMEVALUE(C20),1),""))))</f>
        <v/>
      </c>
      <c r="L20" s="42" t="str">
        <f aca="false">IF(OR(M20=0,D20=""),"",IF(ISNUMBER(D20),MOD(D20,1),IFERROR(INDEX(القوائم!$B$1:$B$96,MATCH(TRIM(D20),القوائم!$A$1:$A$96,0)),IFERROR(MOD(TIMEVALUE(D20),1),""))))</f>
        <v/>
      </c>
      <c r="M20" s="43" t="n">
        <f aca="false">IF(A20="",0,IF(AND(A20&gt;=MSTART,A20&lt;=MEND),1,0))</f>
        <v>1</v>
      </c>
    </row>
    <row r="21" customFormat="false" ht="15" hidden="false" customHeight="false" outlineLevel="0" collapsed="false">
      <c r="A21" s="39" t="n">
        <f aca="false">IF(AND(2&lt;=NW,WFIRST+11&gt;=MSTART,WFIRST+11&lt;=MEND),WFIRST+11,"")</f>
        <v>46302</v>
      </c>
      <c r="B21" s="40" t="str">
        <f aca="false">IF(A21="","",CHOOSE(WEEKDAY(A21,1),"الأحد","الاثنين","الثلاثاء","الأربعاء","الخميس","الجمعة","السبت"))</f>
        <v>الأربعاء</v>
      </c>
      <c r="C21" s="41"/>
      <c r="D21" s="41"/>
      <c r="E21" s="17" t="str">
        <f aca="false">IF(OR(M21=0,K21="",L21=""),"",MOD(L21-K21,1))</f>
        <v/>
      </c>
      <c r="F21" s="17" t="str">
        <f aca="false">IF(OR(E21="",M21=0),"",IF(WEEKDAY(A21,1)=6,E21,MIN(E21,MAX(0,MIN(IF(L21&lt;K21,L21+1,L21),OMR_OT_AT)-K21))))</f>
        <v/>
      </c>
      <c r="G21" s="17" t="str">
        <f aca="false">IF(OR(E21="",M21=0),"",MAX(0,E21-F21))</f>
        <v/>
      </c>
      <c r="H21" s="18" t="str">
        <f aca="false">IF(OR(E21="",M21=0),"",ROUND((F21*OMR_RATE+G21*OMR_OT)*24,3))</f>
        <v/>
      </c>
      <c r="I21" s="41"/>
      <c r="K21" s="42" t="str">
        <f aca="false">IF(OR(M21=0,C21=""),"",IF(ISNUMBER(C21),MOD(C21,1),IFERROR(INDEX(القوائم!$B$1:$B$96,MATCH(TRIM(C21),القوائم!$A$1:$A$96,0)),IFERROR(MOD(TIMEVALUE(C21),1),""))))</f>
        <v/>
      </c>
      <c r="L21" s="42" t="str">
        <f aca="false">IF(OR(M21=0,D21=""),"",IF(ISNUMBER(D21),MOD(D21,1),IFERROR(INDEX(القوائم!$B$1:$B$96,MATCH(TRIM(D21),القوائم!$A$1:$A$96,0)),IFERROR(MOD(TIMEVALUE(D21),1),""))))</f>
        <v/>
      </c>
      <c r="M21" s="43" t="n">
        <f aca="false">IF(A21="",0,IF(AND(A21&gt;=MSTART,A21&lt;=MEND),1,0))</f>
        <v>1</v>
      </c>
    </row>
    <row r="22" customFormat="false" ht="15" hidden="false" customHeight="false" outlineLevel="0" collapsed="false">
      <c r="A22" s="39" t="n">
        <f aca="false">IF(AND(2&lt;=NW,WFIRST+12&gt;=MSTART,WFIRST+12&lt;=MEND),WFIRST+12,"")</f>
        <v>46303</v>
      </c>
      <c r="B22" s="40" t="str">
        <f aca="false">IF(A22="","",CHOOSE(WEEKDAY(A22,1),"الأحد","الاثنين","الثلاثاء","الأربعاء","الخميس","الجمعة","السبت"))</f>
        <v>الخميس</v>
      </c>
      <c r="C22" s="41"/>
      <c r="D22" s="41"/>
      <c r="E22" s="17" t="str">
        <f aca="false">IF(OR(M22=0,K22="",L22=""),"",MOD(L22-K22,1))</f>
        <v/>
      </c>
      <c r="F22" s="17" t="str">
        <f aca="false">IF(OR(E22="",M22=0),"",IF(WEEKDAY(A22,1)=6,E22,MIN(E22,MAX(0,MIN(IF(L22&lt;K22,L22+1,L22),OMR_OT_AT)-K22))))</f>
        <v/>
      </c>
      <c r="G22" s="17" t="str">
        <f aca="false">IF(OR(E22="",M22=0),"",MAX(0,E22-F22))</f>
        <v/>
      </c>
      <c r="H22" s="18" t="str">
        <f aca="false">IF(OR(E22="",M22=0),"",ROUND((F22*OMR_RATE+G22*OMR_OT)*24,3))</f>
        <v/>
      </c>
      <c r="I22" s="41"/>
      <c r="K22" s="42" t="str">
        <f aca="false">IF(OR(M22=0,C22=""),"",IF(ISNUMBER(C22),MOD(C22,1),IFERROR(INDEX(القوائم!$B$1:$B$96,MATCH(TRIM(C22),القوائم!$A$1:$A$96,0)),IFERROR(MOD(TIMEVALUE(C22),1),""))))</f>
        <v/>
      </c>
      <c r="L22" s="42" t="str">
        <f aca="false">IF(OR(M22=0,D22=""),"",IF(ISNUMBER(D22),MOD(D22,1),IFERROR(INDEX(القوائم!$B$1:$B$96,MATCH(TRIM(D22),القوائم!$A$1:$A$96,0)),IFERROR(MOD(TIMEVALUE(D22),1),""))))</f>
        <v/>
      </c>
      <c r="M22" s="43" t="n">
        <f aca="false">IF(A22="",0,IF(AND(A22&gt;=MSTART,A22&lt;=MEND),1,0))</f>
        <v>1</v>
      </c>
    </row>
    <row r="23" customFormat="false" ht="15" hidden="false" customHeight="false" outlineLevel="0" collapsed="false">
      <c r="A23" s="44" t="n">
        <f aca="false">IF(AND(2&lt;=NW,WFIRST+13&gt;=MSTART,WFIRST+13&lt;=MEND),WFIRST+13,"")</f>
        <v>46304</v>
      </c>
      <c r="B23" s="22" t="str">
        <f aca="false">IF(A23="","",CHOOSE(WEEKDAY(A23,1),"الأحد","الاثنين","الثلاثاء","الأربعاء","الخميس","الجمعة","السبت"))</f>
        <v>الجمعة</v>
      </c>
      <c r="C23" s="41"/>
      <c r="D23" s="41"/>
      <c r="E23" s="17" t="str">
        <f aca="false">IF(OR(M23=0,K23="",L23=""),"",MOD(L23-K23,1))</f>
        <v/>
      </c>
      <c r="F23" s="17" t="str">
        <f aca="false">IF(OR(E23="",M23=0),"",IF(WEEKDAY(A23,1)=6,E23,MIN(E23,MAX(0,MIN(IF(L23&lt;K23,L23+1,L23),OMR_OT_AT)-K23))))</f>
        <v/>
      </c>
      <c r="G23" s="17" t="str">
        <f aca="false">IF(OR(E23="",M23=0),"",MAX(0,E23-F23))</f>
        <v/>
      </c>
      <c r="H23" s="18" t="str">
        <f aca="false">IF(OR(E23="",M23=0),"",ROUND((F23*OMR_RATE+G23*OMR_OT)*24,3))</f>
        <v/>
      </c>
      <c r="I23" s="41"/>
      <c r="K23" s="42" t="str">
        <f aca="false">IF(OR(M23=0,C23=""),"",IF(ISNUMBER(C23),MOD(C23,1),IFERROR(INDEX(القوائم!$B$1:$B$96,MATCH(TRIM(C23),القوائم!$A$1:$A$96,0)),IFERROR(MOD(TIMEVALUE(C23),1),""))))</f>
        <v/>
      </c>
      <c r="L23" s="42" t="str">
        <f aca="false">IF(OR(M23=0,D23=""),"",IF(ISNUMBER(D23),MOD(D23,1),IFERROR(INDEX(القوائم!$B$1:$B$96,MATCH(TRIM(D23),القوائم!$A$1:$A$96,0)),IFERROR(MOD(TIMEVALUE(D23),1),""))))</f>
        <v/>
      </c>
      <c r="M23" s="43" t="n">
        <f aca="false">IF(A23="",0,IF(AND(A23&gt;=MSTART,A23&lt;=MEND),1,0))</f>
        <v>1</v>
      </c>
    </row>
    <row r="24" customFormat="false" ht="15" hidden="false" customHeight="false" outlineLevel="0" collapsed="false">
      <c r="A24" s="25" t="str">
        <f aca="false">IF(2&lt;=NW,"مجموع أيام الأسبوع الثاني","")</f>
        <v>مجموع أيام الأسبوع الثاني</v>
      </c>
      <c r="B24" s="25"/>
      <c r="C24" s="25"/>
      <c r="D24" s="25"/>
      <c r="E24" s="26" t="n">
        <f aca="false">IF(2&lt;=NW,SUM(E17:E23),"")</f>
        <v>0</v>
      </c>
      <c r="F24" s="26" t="n">
        <f aca="false">IF(2&lt;=NW,SUM(F17:F23),"")</f>
        <v>0</v>
      </c>
      <c r="G24" s="26" t="n">
        <f aca="false">IF(2&lt;=NW,SUM(G17:G23),"")</f>
        <v>0</v>
      </c>
      <c r="H24" s="27" t="n">
        <f aca="false">IF(2&lt;=NW,SUM(H17:H23),"")</f>
        <v>0</v>
      </c>
      <c r="I24" s="25"/>
    </row>
    <row r="25" customFormat="false" ht="31.5" hidden="false" customHeight="true" outlineLevel="0" collapsed="false">
      <c r="A25" s="45" t="str">
        <f aca="false">IF(2&lt;=NW,"ساعات تحميل الجبسمبورد بهالأسبوع (رقم: 2 أو 1.5) ←","")</f>
        <v>ساعات تحميل الجبسمبورد بهالأسبوع (رقم: 2 أو 1.5) ←</v>
      </c>
      <c r="B25" s="45"/>
      <c r="C25" s="45"/>
      <c r="D25" s="45"/>
      <c r="E25" s="46"/>
      <c r="F25" s="47" t="str">
        <f aca="false">IF(2&lt;=NW,"المستحق النهائي للأسبوع (دينار) ←","")</f>
        <v>المستحق النهائي للأسبوع (دينار) ←</v>
      </c>
      <c r="G25" s="47"/>
      <c r="H25" s="48" t="n">
        <f aca="false">IF(2&lt;=NW,IF(ROUND_MODE="للأعلى",CEILING(ROUND((N(H24)+N(E25)*(GYP_RATE-OMR_RATE)),3),0.25),ROUND((N(H24)+N(E25)*(GYP_RATE-OMR_RATE))*4,0)/4),"")</f>
        <v>0</v>
      </c>
      <c r="I25" s="49" t="str">
        <f aca="false">IF(2&lt;=NW,"قبل الجبر: "&amp;TEXT(N(H24)+N(E25)*(GYP_RATE-OMR_RATE),"0.000"),"")</f>
        <v>قبل الجبر: 0.000</v>
      </c>
    </row>
    <row r="26" customFormat="false" ht="27.75" hidden="false" customHeight="true" outlineLevel="0" collapsed="false">
      <c r="A26" s="38" t="str">
        <f aca="false">IF(3&lt;=NW,"الأسبوع الثالث","")</f>
        <v>الأسبوع الثالث</v>
      </c>
      <c r="B26" s="38"/>
      <c r="C26" s="38"/>
      <c r="D26" s="38"/>
      <c r="E26" s="38"/>
      <c r="F26" s="38"/>
      <c r="G26" s="38"/>
      <c r="H26" s="38"/>
      <c r="I26" s="38"/>
    </row>
    <row r="27" customFormat="false" ht="15" hidden="false" customHeight="false" outlineLevel="0" collapsed="false">
      <c r="A27" s="39" t="n">
        <f aca="false">IF(AND(3&lt;=NW,WFIRST+14&gt;=MSTART,WFIRST+14&lt;=MEND),WFIRST+14,"")</f>
        <v>46305</v>
      </c>
      <c r="B27" s="40" t="str">
        <f aca="false">IF(A27="","",CHOOSE(WEEKDAY(A27,1),"الأحد","الاثنين","الثلاثاء","الأربعاء","الخميس","الجمعة","السبت"))</f>
        <v>السبت</v>
      </c>
      <c r="C27" s="41"/>
      <c r="D27" s="41"/>
      <c r="E27" s="17" t="str">
        <f aca="false">IF(OR(M27=0,K27="",L27=""),"",MOD(L27-K27,1))</f>
        <v/>
      </c>
      <c r="F27" s="17" t="str">
        <f aca="false">IF(OR(E27="",M27=0),"",IF(WEEKDAY(A27,1)=6,E27,MIN(E27,MAX(0,MIN(IF(L27&lt;K27,L27+1,L27),OMR_OT_AT)-K27))))</f>
        <v/>
      </c>
      <c r="G27" s="17" t="str">
        <f aca="false">IF(OR(E27="",M27=0),"",MAX(0,E27-F27))</f>
        <v/>
      </c>
      <c r="H27" s="18" t="str">
        <f aca="false">IF(OR(E27="",M27=0),"",ROUND((F27*OMR_RATE+G27*OMR_OT)*24,3))</f>
        <v/>
      </c>
      <c r="I27" s="41"/>
      <c r="K27" s="42" t="str">
        <f aca="false">IF(OR(M27=0,C27=""),"",IF(ISNUMBER(C27),MOD(C27,1),IFERROR(INDEX(القوائم!$B$1:$B$96,MATCH(TRIM(C27),القوائم!$A$1:$A$96,0)),IFERROR(MOD(TIMEVALUE(C27),1),""))))</f>
        <v/>
      </c>
      <c r="L27" s="42" t="str">
        <f aca="false">IF(OR(M27=0,D27=""),"",IF(ISNUMBER(D27),MOD(D27,1),IFERROR(INDEX(القوائم!$B$1:$B$96,MATCH(TRIM(D27),القوائم!$A$1:$A$96,0)),IFERROR(MOD(TIMEVALUE(D27),1),""))))</f>
        <v/>
      </c>
      <c r="M27" s="43" t="n">
        <f aca="false">IF(A27="",0,IF(AND(A27&gt;=MSTART,A27&lt;=MEND),1,0))</f>
        <v>1</v>
      </c>
    </row>
    <row r="28" customFormat="false" ht="15" hidden="false" customHeight="false" outlineLevel="0" collapsed="false">
      <c r="A28" s="39" t="n">
        <f aca="false">IF(AND(3&lt;=NW,WFIRST+15&gt;=MSTART,WFIRST+15&lt;=MEND),WFIRST+15,"")</f>
        <v>46306</v>
      </c>
      <c r="B28" s="40" t="str">
        <f aca="false">IF(A28="","",CHOOSE(WEEKDAY(A28,1),"الأحد","الاثنين","الثلاثاء","الأربعاء","الخميس","الجمعة","السبت"))</f>
        <v>الأحد</v>
      </c>
      <c r="C28" s="41"/>
      <c r="D28" s="41"/>
      <c r="E28" s="17" t="str">
        <f aca="false">IF(OR(M28=0,K28="",L28=""),"",MOD(L28-K28,1))</f>
        <v/>
      </c>
      <c r="F28" s="17" t="str">
        <f aca="false">IF(OR(E28="",M28=0),"",IF(WEEKDAY(A28,1)=6,E28,MIN(E28,MAX(0,MIN(IF(L28&lt;K28,L28+1,L28),OMR_OT_AT)-K28))))</f>
        <v/>
      </c>
      <c r="G28" s="17" t="str">
        <f aca="false">IF(OR(E28="",M28=0),"",MAX(0,E28-F28))</f>
        <v/>
      </c>
      <c r="H28" s="18" t="str">
        <f aca="false">IF(OR(E28="",M28=0),"",ROUND((F28*OMR_RATE+G28*OMR_OT)*24,3))</f>
        <v/>
      </c>
      <c r="I28" s="41"/>
      <c r="K28" s="42" t="str">
        <f aca="false">IF(OR(M28=0,C28=""),"",IF(ISNUMBER(C28),MOD(C28,1),IFERROR(INDEX(القوائم!$B$1:$B$96,MATCH(TRIM(C28),القوائم!$A$1:$A$96,0)),IFERROR(MOD(TIMEVALUE(C28),1),""))))</f>
        <v/>
      </c>
      <c r="L28" s="42" t="str">
        <f aca="false">IF(OR(M28=0,D28=""),"",IF(ISNUMBER(D28),MOD(D28,1),IFERROR(INDEX(القوائم!$B$1:$B$96,MATCH(TRIM(D28),القوائم!$A$1:$A$96,0)),IFERROR(MOD(TIMEVALUE(D28),1),""))))</f>
        <v/>
      </c>
      <c r="M28" s="43" t="n">
        <f aca="false">IF(A28="",0,IF(AND(A28&gt;=MSTART,A28&lt;=MEND),1,0))</f>
        <v>1</v>
      </c>
    </row>
    <row r="29" customFormat="false" ht="15" hidden="false" customHeight="false" outlineLevel="0" collapsed="false">
      <c r="A29" s="39" t="n">
        <f aca="false">IF(AND(3&lt;=NW,WFIRST+16&gt;=MSTART,WFIRST+16&lt;=MEND),WFIRST+16,"")</f>
        <v>46307</v>
      </c>
      <c r="B29" s="40" t="str">
        <f aca="false">IF(A29="","",CHOOSE(WEEKDAY(A29,1),"الأحد","الاثنين","الثلاثاء","الأربعاء","الخميس","الجمعة","السبت"))</f>
        <v>الاثنين</v>
      </c>
      <c r="C29" s="41"/>
      <c r="D29" s="41"/>
      <c r="E29" s="17" t="str">
        <f aca="false">IF(OR(M29=0,K29="",L29=""),"",MOD(L29-K29,1))</f>
        <v/>
      </c>
      <c r="F29" s="17" t="str">
        <f aca="false">IF(OR(E29="",M29=0),"",IF(WEEKDAY(A29,1)=6,E29,MIN(E29,MAX(0,MIN(IF(L29&lt;K29,L29+1,L29),OMR_OT_AT)-K29))))</f>
        <v/>
      </c>
      <c r="G29" s="17" t="str">
        <f aca="false">IF(OR(E29="",M29=0),"",MAX(0,E29-F29))</f>
        <v/>
      </c>
      <c r="H29" s="18" t="str">
        <f aca="false">IF(OR(E29="",M29=0),"",ROUND((F29*OMR_RATE+G29*OMR_OT)*24,3))</f>
        <v/>
      </c>
      <c r="I29" s="41"/>
      <c r="K29" s="42" t="str">
        <f aca="false">IF(OR(M29=0,C29=""),"",IF(ISNUMBER(C29),MOD(C29,1),IFERROR(INDEX(القوائم!$B$1:$B$96,MATCH(TRIM(C29),القوائم!$A$1:$A$96,0)),IFERROR(MOD(TIMEVALUE(C29),1),""))))</f>
        <v/>
      </c>
      <c r="L29" s="42" t="str">
        <f aca="false">IF(OR(M29=0,D29=""),"",IF(ISNUMBER(D29),MOD(D29,1),IFERROR(INDEX(القوائم!$B$1:$B$96,MATCH(TRIM(D29),القوائم!$A$1:$A$96,0)),IFERROR(MOD(TIMEVALUE(D29),1),""))))</f>
        <v/>
      </c>
      <c r="M29" s="43" t="n">
        <f aca="false">IF(A29="",0,IF(AND(A29&gt;=MSTART,A29&lt;=MEND),1,0))</f>
        <v>1</v>
      </c>
    </row>
    <row r="30" customFormat="false" ht="15" hidden="false" customHeight="false" outlineLevel="0" collapsed="false">
      <c r="A30" s="39" t="n">
        <f aca="false">IF(AND(3&lt;=NW,WFIRST+17&gt;=MSTART,WFIRST+17&lt;=MEND),WFIRST+17,"")</f>
        <v>46308</v>
      </c>
      <c r="B30" s="40" t="str">
        <f aca="false">IF(A30="","",CHOOSE(WEEKDAY(A30,1),"الأحد","الاثنين","الثلاثاء","الأربعاء","الخميس","الجمعة","السبت"))</f>
        <v>الثلاثاء</v>
      </c>
      <c r="C30" s="41"/>
      <c r="D30" s="41"/>
      <c r="E30" s="17" t="str">
        <f aca="false">IF(OR(M30=0,K30="",L30=""),"",MOD(L30-K30,1))</f>
        <v/>
      </c>
      <c r="F30" s="17" t="str">
        <f aca="false">IF(OR(E30="",M30=0),"",IF(WEEKDAY(A30,1)=6,E30,MIN(E30,MAX(0,MIN(IF(L30&lt;K30,L30+1,L30),OMR_OT_AT)-K30))))</f>
        <v/>
      </c>
      <c r="G30" s="17" t="str">
        <f aca="false">IF(OR(E30="",M30=0),"",MAX(0,E30-F30))</f>
        <v/>
      </c>
      <c r="H30" s="18" t="str">
        <f aca="false">IF(OR(E30="",M30=0),"",ROUND((F30*OMR_RATE+G30*OMR_OT)*24,3))</f>
        <v/>
      </c>
      <c r="I30" s="41"/>
      <c r="K30" s="42" t="str">
        <f aca="false">IF(OR(M30=0,C30=""),"",IF(ISNUMBER(C30),MOD(C30,1),IFERROR(INDEX(القوائم!$B$1:$B$96,MATCH(TRIM(C30),القوائم!$A$1:$A$96,0)),IFERROR(MOD(TIMEVALUE(C30),1),""))))</f>
        <v/>
      </c>
      <c r="L30" s="42" t="str">
        <f aca="false">IF(OR(M30=0,D30=""),"",IF(ISNUMBER(D30),MOD(D30,1),IFERROR(INDEX(القوائم!$B$1:$B$96,MATCH(TRIM(D30),القوائم!$A$1:$A$96,0)),IFERROR(MOD(TIMEVALUE(D30),1),""))))</f>
        <v/>
      </c>
      <c r="M30" s="43" t="n">
        <f aca="false">IF(A30="",0,IF(AND(A30&gt;=MSTART,A30&lt;=MEND),1,0))</f>
        <v>1</v>
      </c>
    </row>
    <row r="31" customFormat="false" ht="15" hidden="false" customHeight="false" outlineLevel="0" collapsed="false">
      <c r="A31" s="39" t="n">
        <f aca="false">IF(AND(3&lt;=NW,WFIRST+18&gt;=MSTART,WFIRST+18&lt;=MEND),WFIRST+18,"")</f>
        <v>46309</v>
      </c>
      <c r="B31" s="40" t="str">
        <f aca="false">IF(A31="","",CHOOSE(WEEKDAY(A31,1),"الأحد","الاثنين","الثلاثاء","الأربعاء","الخميس","الجمعة","السبت"))</f>
        <v>الأربعاء</v>
      </c>
      <c r="C31" s="41"/>
      <c r="D31" s="41"/>
      <c r="E31" s="17" t="str">
        <f aca="false">IF(OR(M31=0,K31="",L31=""),"",MOD(L31-K31,1))</f>
        <v/>
      </c>
      <c r="F31" s="17" t="str">
        <f aca="false">IF(OR(E31="",M31=0),"",IF(WEEKDAY(A31,1)=6,E31,MIN(E31,MAX(0,MIN(IF(L31&lt;K31,L31+1,L31),OMR_OT_AT)-K31))))</f>
        <v/>
      </c>
      <c r="G31" s="17" t="str">
        <f aca="false">IF(OR(E31="",M31=0),"",MAX(0,E31-F31))</f>
        <v/>
      </c>
      <c r="H31" s="18" t="str">
        <f aca="false">IF(OR(E31="",M31=0),"",ROUND((F31*OMR_RATE+G31*OMR_OT)*24,3))</f>
        <v/>
      </c>
      <c r="I31" s="41"/>
      <c r="K31" s="42" t="str">
        <f aca="false">IF(OR(M31=0,C31=""),"",IF(ISNUMBER(C31),MOD(C31,1),IFERROR(INDEX(القوائم!$B$1:$B$96,MATCH(TRIM(C31),القوائم!$A$1:$A$96,0)),IFERROR(MOD(TIMEVALUE(C31),1),""))))</f>
        <v/>
      </c>
      <c r="L31" s="42" t="str">
        <f aca="false">IF(OR(M31=0,D31=""),"",IF(ISNUMBER(D31),MOD(D31,1),IFERROR(INDEX(القوائم!$B$1:$B$96,MATCH(TRIM(D31),القوائم!$A$1:$A$96,0)),IFERROR(MOD(TIMEVALUE(D31),1),""))))</f>
        <v/>
      </c>
      <c r="M31" s="43" t="n">
        <f aca="false">IF(A31="",0,IF(AND(A31&gt;=MSTART,A31&lt;=MEND),1,0))</f>
        <v>1</v>
      </c>
    </row>
    <row r="32" customFormat="false" ht="15" hidden="false" customHeight="false" outlineLevel="0" collapsed="false">
      <c r="A32" s="39" t="n">
        <f aca="false">IF(AND(3&lt;=NW,WFIRST+19&gt;=MSTART,WFIRST+19&lt;=MEND),WFIRST+19,"")</f>
        <v>46310</v>
      </c>
      <c r="B32" s="40" t="str">
        <f aca="false">IF(A32="","",CHOOSE(WEEKDAY(A32,1),"الأحد","الاثنين","الثلاثاء","الأربعاء","الخميس","الجمعة","السبت"))</f>
        <v>الخميس</v>
      </c>
      <c r="C32" s="41"/>
      <c r="D32" s="41"/>
      <c r="E32" s="17" t="str">
        <f aca="false">IF(OR(M32=0,K32="",L32=""),"",MOD(L32-K32,1))</f>
        <v/>
      </c>
      <c r="F32" s="17" t="str">
        <f aca="false">IF(OR(E32="",M32=0),"",IF(WEEKDAY(A32,1)=6,E32,MIN(E32,MAX(0,MIN(IF(L32&lt;K32,L32+1,L32),OMR_OT_AT)-K32))))</f>
        <v/>
      </c>
      <c r="G32" s="17" t="str">
        <f aca="false">IF(OR(E32="",M32=0),"",MAX(0,E32-F32))</f>
        <v/>
      </c>
      <c r="H32" s="18" t="str">
        <f aca="false">IF(OR(E32="",M32=0),"",ROUND((F32*OMR_RATE+G32*OMR_OT)*24,3))</f>
        <v/>
      </c>
      <c r="I32" s="41"/>
      <c r="K32" s="42" t="str">
        <f aca="false">IF(OR(M32=0,C32=""),"",IF(ISNUMBER(C32),MOD(C32,1),IFERROR(INDEX(القوائم!$B$1:$B$96,MATCH(TRIM(C32),القوائم!$A$1:$A$96,0)),IFERROR(MOD(TIMEVALUE(C32),1),""))))</f>
        <v/>
      </c>
      <c r="L32" s="42" t="str">
        <f aca="false">IF(OR(M32=0,D32=""),"",IF(ISNUMBER(D32),MOD(D32,1),IFERROR(INDEX(القوائم!$B$1:$B$96,MATCH(TRIM(D32),القوائم!$A$1:$A$96,0)),IFERROR(MOD(TIMEVALUE(D32),1),""))))</f>
        <v/>
      </c>
      <c r="M32" s="43" t="n">
        <f aca="false">IF(A32="",0,IF(AND(A32&gt;=MSTART,A32&lt;=MEND),1,0))</f>
        <v>1</v>
      </c>
    </row>
    <row r="33" customFormat="false" ht="15" hidden="false" customHeight="false" outlineLevel="0" collapsed="false">
      <c r="A33" s="44" t="n">
        <f aca="false">IF(AND(3&lt;=NW,WFIRST+20&gt;=MSTART,WFIRST+20&lt;=MEND),WFIRST+20,"")</f>
        <v>46311</v>
      </c>
      <c r="B33" s="22" t="str">
        <f aca="false">IF(A33="","",CHOOSE(WEEKDAY(A33,1),"الأحد","الاثنين","الثلاثاء","الأربعاء","الخميس","الجمعة","السبت"))</f>
        <v>الجمعة</v>
      </c>
      <c r="C33" s="41"/>
      <c r="D33" s="41"/>
      <c r="E33" s="17" t="str">
        <f aca="false">IF(OR(M33=0,K33="",L33=""),"",MOD(L33-K33,1))</f>
        <v/>
      </c>
      <c r="F33" s="17" t="str">
        <f aca="false">IF(OR(E33="",M33=0),"",IF(WEEKDAY(A33,1)=6,E33,MIN(E33,MAX(0,MIN(IF(L33&lt;K33,L33+1,L33),OMR_OT_AT)-K33))))</f>
        <v/>
      </c>
      <c r="G33" s="17" t="str">
        <f aca="false">IF(OR(E33="",M33=0),"",MAX(0,E33-F33))</f>
        <v/>
      </c>
      <c r="H33" s="18" t="str">
        <f aca="false">IF(OR(E33="",M33=0),"",ROUND((F33*OMR_RATE+G33*OMR_OT)*24,3))</f>
        <v/>
      </c>
      <c r="I33" s="41"/>
      <c r="K33" s="42" t="str">
        <f aca="false">IF(OR(M33=0,C33=""),"",IF(ISNUMBER(C33),MOD(C33,1),IFERROR(INDEX(القوائم!$B$1:$B$96,MATCH(TRIM(C33),القوائم!$A$1:$A$96,0)),IFERROR(MOD(TIMEVALUE(C33),1),""))))</f>
        <v/>
      </c>
      <c r="L33" s="42" t="str">
        <f aca="false">IF(OR(M33=0,D33=""),"",IF(ISNUMBER(D33),MOD(D33,1),IFERROR(INDEX(القوائم!$B$1:$B$96,MATCH(TRIM(D33),القوائم!$A$1:$A$96,0)),IFERROR(MOD(TIMEVALUE(D33),1),""))))</f>
        <v/>
      </c>
      <c r="M33" s="43" t="n">
        <f aca="false">IF(A33="",0,IF(AND(A33&gt;=MSTART,A33&lt;=MEND),1,0))</f>
        <v>1</v>
      </c>
    </row>
    <row r="34" customFormat="false" ht="15" hidden="false" customHeight="false" outlineLevel="0" collapsed="false">
      <c r="A34" s="25" t="str">
        <f aca="false">IF(3&lt;=NW,"مجموع أيام الأسبوع الثالث","")</f>
        <v>مجموع أيام الأسبوع الثالث</v>
      </c>
      <c r="B34" s="25"/>
      <c r="C34" s="25"/>
      <c r="D34" s="25"/>
      <c r="E34" s="26" t="n">
        <f aca="false">IF(3&lt;=NW,SUM(E27:E33),"")</f>
        <v>0</v>
      </c>
      <c r="F34" s="26" t="n">
        <f aca="false">IF(3&lt;=NW,SUM(F27:F33),"")</f>
        <v>0</v>
      </c>
      <c r="G34" s="26" t="n">
        <f aca="false">IF(3&lt;=NW,SUM(G27:G33),"")</f>
        <v>0</v>
      </c>
      <c r="H34" s="27" t="n">
        <f aca="false">IF(3&lt;=NW,SUM(H27:H33),"")</f>
        <v>0</v>
      </c>
      <c r="I34" s="25"/>
    </row>
    <row r="35" customFormat="false" ht="31.5" hidden="false" customHeight="true" outlineLevel="0" collapsed="false">
      <c r="A35" s="45" t="str">
        <f aca="false">IF(3&lt;=NW,"ساعات تحميل الجبسمبورد بهالأسبوع (رقم: 2 أو 1.5) ←","")</f>
        <v>ساعات تحميل الجبسمبورد بهالأسبوع (رقم: 2 أو 1.5) ←</v>
      </c>
      <c r="B35" s="45"/>
      <c r="C35" s="45"/>
      <c r="D35" s="45"/>
      <c r="E35" s="46"/>
      <c r="F35" s="47" t="str">
        <f aca="false">IF(3&lt;=NW,"المستحق النهائي للأسبوع (دينار) ←","")</f>
        <v>المستحق النهائي للأسبوع (دينار) ←</v>
      </c>
      <c r="G35" s="47"/>
      <c r="H35" s="48" t="n">
        <f aca="false">IF(3&lt;=NW,IF(ROUND_MODE="للأعلى",CEILING(ROUND((N(H34)+N(E35)*(GYP_RATE-OMR_RATE)),3),0.25),ROUND((N(H34)+N(E35)*(GYP_RATE-OMR_RATE))*4,0)/4),"")</f>
        <v>0</v>
      </c>
      <c r="I35" s="49" t="str">
        <f aca="false">IF(3&lt;=NW,"قبل الجبر: "&amp;TEXT(N(H34)+N(E35)*(GYP_RATE-OMR_RATE),"0.000"),"")</f>
        <v>قبل الجبر: 0.000</v>
      </c>
    </row>
    <row r="36" customFormat="false" ht="27.75" hidden="false" customHeight="true" outlineLevel="0" collapsed="false">
      <c r="A36" s="38" t="str">
        <f aca="false">IF(4&lt;=NW,"الأسبوع الرابع","")</f>
        <v>الأسبوع الرابع</v>
      </c>
      <c r="B36" s="38"/>
      <c r="C36" s="38"/>
      <c r="D36" s="38"/>
      <c r="E36" s="38"/>
      <c r="F36" s="38"/>
      <c r="G36" s="38"/>
      <c r="H36" s="38"/>
      <c r="I36" s="38"/>
    </row>
    <row r="37" customFormat="false" ht="15" hidden="false" customHeight="false" outlineLevel="0" collapsed="false">
      <c r="A37" s="39" t="n">
        <f aca="false">IF(AND(4&lt;=NW,WFIRST+21&gt;=MSTART,WFIRST+21&lt;=MEND),WFIRST+21,"")</f>
        <v>46312</v>
      </c>
      <c r="B37" s="40" t="str">
        <f aca="false">IF(A37="","",CHOOSE(WEEKDAY(A37,1),"الأحد","الاثنين","الثلاثاء","الأربعاء","الخميس","الجمعة","السبت"))</f>
        <v>السبت</v>
      </c>
      <c r="C37" s="41"/>
      <c r="D37" s="41"/>
      <c r="E37" s="17" t="str">
        <f aca="false">IF(OR(M37=0,K37="",L37=""),"",MOD(L37-K37,1))</f>
        <v/>
      </c>
      <c r="F37" s="17" t="str">
        <f aca="false">IF(OR(E37="",M37=0),"",IF(WEEKDAY(A37,1)=6,E37,MIN(E37,MAX(0,MIN(IF(L37&lt;K37,L37+1,L37),OMR_OT_AT)-K37))))</f>
        <v/>
      </c>
      <c r="G37" s="17" t="str">
        <f aca="false">IF(OR(E37="",M37=0),"",MAX(0,E37-F37))</f>
        <v/>
      </c>
      <c r="H37" s="18" t="str">
        <f aca="false">IF(OR(E37="",M37=0),"",ROUND((F37*OMR_RATE+G37*OMR_OT)*24,3))</f>
        <v/>
      </c>
      <c r="I37" s="41"/>
      <c r="K37" s="42" t="str">
        <f aca="false">IF(OR(M37=0,C37=""),"",IF(ISNUMBER(C37),MOD(C37,1),IFERROR(INDEX(القوائم!$B$1:$B$96,MATCH(TRIM(C37),القوائم!$A$1:$A$96,0)),IFERROR(MOD(TIMEVALUE(C37),1),""))))</f>
        <v/>
      </c>
      <c r="L37" s="42" t="str">
        <f aca="false">IF(OR(M37=0,D37=""),"",IF(ISNUMBER(D37),MOD(D37,1),IFERROR(INDEX(القوائم!$B$1:$B$96,MATCH(TRIM(D37),القوائم!$A$1:$A$96,0)),IFERROR(MOD(TIMEVALUE(D37),1),""))))</f>
        <v/>
      </c>
      <c r="M37" s="43" t="n">
        <f aca="false">IF(A37="",0,IF(AND(A37&gt;=MSTART,A37&lt;=MEND),1,0))</f>
        <v>1</v>
      </c>
    </row>
    <row r="38" customFormat="false" ht="15" hidden="false" customHeight="false" outlineLevel="0" collapsed="false">
      <c r="A38" s="39" t="n">
        <f aca="false">IF(AND(4&lt;=NW,WFIRST+22&gt;=MSTART,WFIRST+22&lt;=MEND),WFIRST+22,"")</f>
        <v>46313</v>
      </c>
      <c r="B38" s="40" t="str">
        <f aca="false">IF(A38="","",CHOOSE(WEEKDAY(A38,1),"الأحد","الاثنين","الثلاثاء","الأربعاء","الخميس","الجمعة","السبت"))</f>
        <v>الأحد</v>
      </c>
      <c r="C38" s="41"/>
      <c r="D38" s="41"/>
      <c r="E38" s="17" t="str">
        <f aca="false">IF(OR(M38=0,K38="",L38=""),"",MOD(L38-K38,1))</f>
        <v/>
      </c>
      <c r="F38" s="17" t="str">
        <f aca="false">IF(OR(E38="",M38=0),"",IF(WEEKDAY(A38,1)=6,E38,MIN(E38,MAX(0,MIN(IF(L38&lt;K38,L38+1,L38),OMR_OT_AT)-K38))))</f>
        <v/>
      </c>
      <c r="G38" s="17" t="str">
        <f aca="false">IF(OR(E38="",M38=0),"",MAX(0,E38-F38))</f>
        <v/>
      </c>
      <c r="H38" s="18" t="str">
        <f aca="false">IF(OR(E38="",M38=0),"",ROUND((F38*OMR_RATE+G38*OMR_OT)*24,3))</f>
        <v/>
      </c>
      <c r="I38" s="41"/>
      <c r="K38" s="42" t="str">
        <f aca="false">IF(OR(M38=0,C38=""),"",IF(ISNUMBER(C38),MOD(C38,1),IFERROR(INDEX(القوائم!$B$1:$B$96,MATCH(TRIM(C38),القوائم!$A$1:$A$96,0)),IFERROR(MOD(TIMEVALUE(C38),1),""))))</f>
        <v/>
      </c>
      <c r="L38" s="42" t="str">
        <f aca="false">IF(OR(M38=0,D38=""),"",IF(ISNUMBER(D38),MOD(D38,1),IFERROR(INDEX(القوائم!$B$1:$B$96,MATCH(TRIM(D38),القوائم!$A$1:$A$96,0)),IFERROR(MOD(TIMEVALUE(D38),1),""))))</f>
        <v/>
      </c>
      <c r="M38" s="43" t="n">
        <f aca="false">IF(A38="",0,IF(AND(A38&gt;=MSTART,A38&lt;=MEND),1,0))</f>
        <v>1</v>
      </c>
    </row>
    <row r="39" customFormat="false" ht="15" hidden="false" customHeight="false" outlineLevel="0" collapsed="false">
      <c r="A39" s="39" t="n">
        <f aca="false">IF(AND(4&lt;=NW,WFIRST+23&gt;=MSTART,WFIRST+23&lt;=MEND),WFIRST+23,"")</f>
        <v>46314</v>
      </c>
      <c r="B39" s="40" t="str">
        <f aca="false">IF(A39="","",CHOOSE(WEEKDAY(A39,1),"الأحد","الاثنين","الثلاثاء","الأربعاء","الخميس","الجمعة","السبت"))</f>
        <v>الاثنين</v>
      </c>
      <c r="C39" s="41"/>
      <c r="D39" s="41"/>
      <c r="E39" s="17" t="str">
        <f aca="false">IF(OR(M39=0,K39="",L39=""),"",MOD(L39-K39,1))</f>
        <v/>
      </c>
      <c r="F39" s="17" t="str">
        <f aca="false">IF(OR(E39="",M39=0),"",IF(WEEKDAY(A39,1)=6,E39,MIN(E39,MAX(0,MIN(IF(L39&lt;K39,L39+1,L39),OMR_OT_AT)-K39))))</f>
        <v/>
      </c>
      <c r="G39" s="17" t="str">
        <f aca="false">IF(OR(E39="",M39=0),"",MAX(0,E39-F39))</f>
        <v/>
      </c>
      <c r="H39" s="18" t="str">
        <f aca="false">IF(OR(E39="",M39=0),"",ROUND((F39*OMR_RATE+G39*OMR_OT)*24,3))</f>
        <v/>
      </c>
      <c r="I39" s="41"/>
      <c r="K39" s="42" t="str">
        <f aca="false">IF(OR(M39=0,C39=""),"",IF(ISNUMBER(C39),MOD(C39,1),IFERROR(INDEX(القوائم!$B$1:$B$96,MATCH(TRIM(C39),القوائم!$A$1:$A$96,0)),IFERROR(MOD(TIMEVALUE(C39),1),""))))</f>
        <v/>
      </c>
      <c r="L39" s="42" t="str">
        <f aca="false">IF(OR(M39=0,D39=""),"",IF(ISNUMBER(D39),MOD(D39,1),IFERROR(INDEX(القوائم!$B$1:$B$96,MATCH(TRIM(D39),القوائم!$A$1:$A$96,0)),IFERROR(MOD(TIMEVALUE(D39),1),""))))</f>
        <v/>
      </c>
      <c r="M39" s="43" t="n">
        <f aca="false">IF(A39="",0,IF(AND(A39&gt;=MSTART,A39&lt;=MEND),1,0))</f>
        <v>1</v>
      </c>
    </row>
    <row r="40" customFormat="false" ht="15" hidden="false" customHeight="false" outlineLevel="0" collapsed="false">
      <c r="A40" s="39" t="n">
        <f aca="false">IF(AND(4&lt;=NW,WFIRST+24&gt;=MSTART,WFIRST+24&lt;=MEND),WFIRST+24,"")</f>
        <v>46315</v>
      </c>
      <c r="B40" s="40" t="str">
        <f aca="false">IF(A40="","",CHOOSE(WEEKDAY(A40,1),"الأحد","الاثنين","الثلاثاء","الأربعاء","الخميس","الجمعة","السبت"))</f>
        <v>الثلاثاء</v>
      </c>
      <c r="C40" s="41"/>
      <c r="D40" s="41"/>
      <c r="E40" s="17" t="str">
        <f aca="false">IF(OR(M40=0,K40="",L40=""),"",MOD(L40-K40,1))</f>
        <v/>
      </c>
      <c r="F40" s="17" t="str">
        <f aca="false">IF(OR(E40="",M40=0),"",IF(WEEKDAY(A40,1)=6,E40,MIN(E40,MAX(0,MIN(IF(L40&lt;K40,L40+1,L40),OMR_OT_AT)-K40))))</f>
        <v/>
      </c>
      <c r="G40" s="17" t="str">
        <f aca="false">IF(OR(E40="",M40=0),"",MAX(0,E40-F40))</f>
        <v/>
      </c>
      <c r="H40" s="18" t="str">
        <f aca="false">IF(OR(E40="",M40=0),"",ROUND((F40*OMR_RATE+G40*OMR_OT)*24,3))</f>
        <v/>
      </c>
      <c r="I40" s="41"/>
      <c r="K40" s="42" t="str">
        <f aca="false">IF(OR(M40=0,C40=""),"",IF(ISNUMBER(C40),MOD(C40,1),IFERROR(INDEX(القوائم!$B$1:$B$96,MATCH(TRIM(C40),القوائم!$A$1:$A$96,0)),IFERROR(MOD(TIMEVALUE(C40),1),""))))</f>
        <v/>
      </c>
      <c r="L40" s="42" t="str">
        <f aca="false">IF(OR(M40=0,D40=""),"",IF(ISNUMBER(D40),MOD(D40,1),IFERROR(INDEX(القوائم!$B$1:$B$96,MATCH(TRIM(D40),القوائم!$A$1:$A$96,0)),IFERROR(MOD(TIMEVALUE(D40),1),""))))</f>
        <v/>
      </c>
      <c r="M40" s="43" t="n">
        <f aca="false">IF(A40="",0,IF(AND(A40&gt;=MSTART,A40&lt;=MEND),1,0))</f>
        <v>1</v>
      </c>
    </row>
    <row r="41" customFormat="false" ht="15" hidden="false" customHeight="false" outlineLevel="0" collapsed="false">
      <c r="A41" s="39" t="n">
        <f aca="false">IF(AND(4&lt;=NW,WFIRST+25&gt;=MSTART,WFIRST+25&lt;=MEND),WFIRST+25,"")</f>
        <v>46316</v>
      </c>
      <c r="B41" s="40" t="str">
        <f aca="false">IF(A41="","",CHOOSE(WEEKDAY(A41,1),"الأحد","الاثنين","الثلاثاء","الأربعاء","الخميس","الجمعة","السبت"))</f>
        <v>الأربعاء</v>
      </c>
      <c r="C41" s="41"/>
      <c r="D41" s="41"/>
      <c r="E41" s="17" t="str">
        <f aca="false">IF(OR(M41=0,K41="",L41=""),"",MOD(L41-K41,1))</f>
        <v/>
      </c>
      <c r="F41" s="17" t="str">
        <f aca="false">IF(OR(E41="",M41=0),"",IF(WEEKDAY(A41,1)=6,E41,MIN(E41,MAX(0,MIN(IF(L41&lt;K41,L41+1,L41),OMR_OT_AT)-K41))))</f>
        <v/>
      </c>
      <c r="G41" s="17" t="str">
        <f aca="false">IF(OR(E41="",M41=0),"",MAX(0,E41-F41))</f>
        <v/>
      </c>
      <c r="H41" s="18" t="str">
        <f aca="false">IF(OR(E41="",M41=0),"",ROUND((F41*OMR_RATE+G41*OMR_OT)*24,3))</f>
        <v/>
      </c>
      <c r="I41" s="41"/>
      <c r="K41" s="42" t="str">
        <f aca="false">IF(OR(M41=0,C41=""),"",IF(ISNUMBER(C41),MOD(C41,1),IFERROR(INDEX(القوائم!$B$1:$B$96,MATCH(TRIM(C41),القوائم!$A$1:$A$96,0)),IFERROR(MOD(TIMEVALUE(C41),1),""))))</f>
        <v/>
      </c>
      <c r="L41" s="42" t="str">
        <f aca="false">IF(OR(M41=0,D41=""),"",IF(ISNUMBER(D41),MOD(D41,1),IFERROR(INDEX(القوائم!$B$1:$B$96,MATCH(TRIM(D41),القوائم!$A$1:$A$96,0)),IFERROR(MOD(TIMEVALUE(D41),1),""))))</f>
        <v/>
      </c>
      <c r="M41" s="43" t="n">
        <f aca="false">IF(A41="",0,IF(AND(A41&gt;=MSTART,A41&lt;=MEND),1,0))</f>
        <v>1</v>
      </c>
    </row>
    <row r="42" customFormat="false" ht="15" hidden="false" customHeight="false" outlineLevel="0" collapsed="false">
      <c r="A42" s="39" t="n">
        <f aca="false">IF(AND(4&lt;=NW,WFIRST+26&gt;=MSTART,WFIRST+26&lt;=MEND),WFIRST+26,"")</f>
        <v>46317</v>
      </c>
      <c r="B42" s="40" t="str">
        <f aca="false">IF(A42="","",CHOOSE(WEEKDAY(A42,1),"الأحد","الاثنين","الثلاثاء","الأربعاء","الخميس","الجمعة","السبت"))</f>
        <v>الخميس</v>
      </c>
      <c r="C42" s="41"/>
      <c r="D42" s="41"/>
      <c r="E42" s="17" t="str">
        <f aca="false">IF(OR(M42=0,K42="",L42=""),"",MOD(L42-K42,1))</f>
        <v/>
      </c>
      <c r="F42" s="17" t="str">
        <f aca="false">IF(OR(E42="",M42=0),"",IF(WEEKDAY(A42,1)=6,E42,MIN(E42,MAX(0,MIN(IF(L42&lt;K42,L42+1,L42),OMR_OT_AT)-K42))))</f>
        <v/>
      </c>
      <c r="G42" s="17" t="str">
        <f aca="false">IF(OR(E42="",M42=0),"",MAX(0,E42-F42))</f>
        <v/>
      </c>
      <c r="H42" s="18" t="str">
        <f aca="false">IF(OR(E42="",M42=0),"",ROUND((F42*OMR_RATE+G42*OMR_OT)*24,3))</f>
        <v/>
      </c>
      <c r="I42" s="41"/>
      <c r="K42" s="42" t="str">
        <f aca="false">IF(OR(M42=0,C42=""),"",IF(ISNUMBER(C42),MOD(C42,1),IFERROR(INDEX(القوائم!$B$1:$B$96,MATCH(TRIM(C42),القوائم!$A$1:$A$96,0)),IFERROR(MOD(TIMEVALUE(C42),1),""))))</f>
        <v/>
      </c>
      <c r="L42" s="42" t="str">
        <f aca="false">IF(OR(M42=0,D42=""),"",IF(ISNUMBER(D42),MOD(D42,1),IFERROR(INDEX(القوائم!$B$1:$B$96,MATCH(TRIM(D42),القوائم!$A$1:$A$96,0)),IFERROR(MOD(TIMEVALUE(D42),1),""))))</f>
        <v/>
      </c>
      <c r="M42" s="43" t="n">
        <f aca="false">IF(A42="",0,IF(AND(A42&gt;=MSTART,A42&lt;=MEND),1,0))</f>
        <v>1</v>
      </c>
    </row>
    <row r="43" customFormat="false" ht="15" hidden="false" customHeight="false" outlineLevel="0" collapsed="false">
      <c r="A43" s="44" t="n">
        <f aca="false">IF(AND(4&lt;=NW,WFIRST+27&gt;=MSTART,WFIRST+27&lt;=MEND),WFIRST+27,"")</f>
        <v>46318</v>
      </c>
      <c r="B43" s="22" t="str">
        <f aca="false">IF(A43="","",CHOOSE(WEEKDAY(A43,1),"الأحد","الاثنين","الثلاثاء","الأربعاء","الخميس","الجمعة","السبت"))</f>
        <v>الجمعة</v>
      </c>
      <c r="C43" s="41"/>
      <c r="D43" s="41"/>
      <c r="E43" s="17" t="str">
        <f aca="false">IF(OR(M43=0,K43="",L43=""),"",MOD(L43-K43,1))</f>
        <v/>
      </c>
      <c r="F43" s="17" t="str">
        <f aca="false">IF(OR(E43="",M43=0),"",IF(WEEKDAY(A43,1)=6,E43,MIN(E43,MAX(0,MIN(IF(L43&lt;K43,L43+1,L43),OMR_OT_AT)-K43))))</f>
        <v/>
      </c>
      <c r="G43" s="17" t="str">
        <f aca="false">IF(OR(E43="",M43=0),"",MAX(0,E43-F43))</f>
        <v/>
      </c>
      <c r="H43" s="18" t="str">
        <f aca="false">IF(OR(E43="",M43=0),"",ROUND((F43*OMR_RATE+G43*OMR_OT)*24,3))</f>
        <v/>
      </c>
      <c r="I43" s="41"/>
      <c r="K43" s="42" t="str">
        <f aca="false">IF(OR(M43=0,C43=""),"",IF(ISNUMBER(C43),MOD(C43,1),IFERROR(INDEX(القوائم!$B$1:$B$96,MATCH(TRIM(C43),القوائم!$A$1:$A$96,0)),IFERROR(MOD(TIMEVALUE(C43),1),""))))</f>
        <v/>
      </c>
      <c r="L43" s="42" t="str">
        <f aca="false">IF(OR(M43=0,D43=""),"",IF(ISNUMBER(D43),MOD(D43,1),IFERROR(INDEX(القوائم!$B$1:$B$96,MATCH(TRIM(D43),القوائم!$A$1:$A$96,0)),IFERROR(MOD(TIMEVALUE(D43),1),""))))</f>
        <v/>
      </c>
      <c r="M43" s="43" t="n">
        <f aca="false">IF(A43="",0,IF(AND(A43&gt;=MSTART,A43&lt;=MEND),1,0))</f>
        <v>1</v>
      </c>
    </row>
    <row r="44" customFormat="false" ht="15" hidden="false" customHeight="false" outlineLevel="0" collapsed="false">
      <c r="A44" s="25" t="str">
        <f aca="false">IF(4&lt;=NW,"مجموع أيام الأسبوع الرابع","")</f>
        <v>مجموع أيام الأسبوع الرابع</v>
      </c>
      <c r="B44" s="25"/>
      <c r="C44" s="25"/>
      <c r="D44" s="25"/>
      <c r="E44" s="26" t="n">
        <f aca="false">IF(4&lt;=NW,SUM(E37:E43),"")</f>
        <v>0</v>
      </c>
      <c r="F44" s="26" t="n">
        <f aca="false">IF(4&lt;=NW,SUM(F37:F43),"")</f>
        <v>0</v>
      </c>
      <c r="G44" s="26" t="n">
        <f aca="false">IF(4&lt;=NW,SUM(G37:G43),"")</f>
        <v>0</v>
      </c>
      <c r="H44" s="27" t="n">
        <f aca="false">IF(4&lt;=NW,SUM(H37:H43),"")</f>
        <v>0</v>
      </c>
      <c r="I44" s="25"/>
    </row>
    <row r="45" customFormat="false" ht="31.5" hidden="false" customHeight="true" outlineLevel="0" collapsed="false">
      <c r="A45" s="45" t="str">
        <f aca="false">IF(4&lt;=NW,"ساعات تحميل الجبسمبورد بهالأسبوع (رقم: 2 أو 1.5) ←","")</f>
        <v>ساعات تحميل الجبسمبورد بهالأسبوع (رقم: 2 أو 1.5) ←</v>
      </c>
      <c r="B45" s="45"/>
      <c r="C45" s="45"/>
      <c r="D45" s="45"/>
      <c r="E45" s="46"/>
      <c r="F45" s="47" t="str">
        <f aca="false">IF(4&lt;=NW,"المستحق النهائي للأسبوع (دينار) ←","")</f>
        <v>المستحق النهائي للأسبوع (دينار) ←</v>
      </c>
      <c r="G45" s="47"/>
      <c r="H45" s="48" t="n">
        <f aca="false">IF(4&lt;=NW,IF(ROUND_MODE="للأعلى",CEILING(ROUND((N(H44)+N(E45)*(GYP_RATE-OMR_RATE)),3),0.25),ROUND((N(H44)+N(E45)*(GYP_RATE-OMR_RATE))*4,0)/4),"")</f>
        <v>0</v>
      </c>
      <c r="I45" s="49" t="str">
        <f aca="false">IF(4&lt;=NW,"قبل الجبر: "&amp;TEXT(N(H44)+N(E45)*(GYP_RATE-OMR_RATE),"0.000"),"")</f>
        <v>قبل الجبر: 0.000</v>
      </c>
    </row>
    <row r="46" customFormat="false" ht="27.75" hidden="false" customHeight="true" outlineLevel="0" collapsed="false">
      <c r="A46" s="38" t="str">
        <f aca="false">IF(5&lt;=NW,"الأسبوع الخامس","")</f>
        <v>الأسبوع الخامس</v>
      </c>
      <c r="B46" s="38"/>
      <c r="C46" s="38"/>
      <c r="D46" s="38"/>
      <c r="E46" s="38"/>
      <c r="F46" s="38"/>
      <c r="G46" s="38"/>
      <c r="H46" s="38"/>
      <c r="I46" s="38"/>
    </row>
    <row r="47" customFormat="false" ht="15" hidden="false" customHeight="false" outlineLevel="0" collapsed="false">
      <c r="A47" s="39" t="n">
        <f aca="false">IF(AND(5&lt;=NW,WFIRST+28&gt;=MSTART,WFIRST+28&lt;=MEND),WFIRST+28,"")</f>
        <v>46319</v>
      </c>
      <c r="B47" s="40" t="str">
        <f aca="false">IF(A47="","",CHOOSE(WEEKDAY(A47,1),"الأحد","الاثنين","الثلاثاء","الأربعاء","الخميس","الجمعة","السبت"))</f>
        <v>السبت</v>
      </c>
      <c r="C47" s="41"/>
      <c r="D47" s="41"/>
      <c r="E47" s="17" t="str">
        <f aca="false">IF(OR(M47=0,K47="",L47=""),"",MOD(L47-K47,1))</f>
        <v/>
      </c>
      <c r="F47" s="17" t="str">
        <f aca="false">IF(OR(E47="",M47=0),"",IF(WEEKDAY(A47,1)=6,E47,MIN(E47,MAX(0,MIN(IF(L47&lt;K47,L47+1,L47),OMR_OT_AT)-K47))))</f>
        <v/>
      </c>
      <c r="G47" s="17" t="str">
        <f aca="false">IF(OR(E47="",M47=0),"",MAX(0,E47-F47))</f>
        <v/>
      </c>
      <c r="H47" s="18" t="str">
        <f aca="false">IF(OR(E47="",M47=0),"",ROUND((F47*OMR_RATE+G47*OMR_OT)*24,3))</f>
        <v/>
      </c>
      <c r="I47" s="41"/>
      <c r="K47" s="42" t="str">
        <f aca="false">IF(OR(M47=0,C47=""),"",IF(ISNUMBER(C47),MOD(C47,1),IFERROR(INDEX(القوائم!$B$1:$B$96,MATCH(TRIM(C47),القوائم!$A$1:$A$96,0)),IFERROR(MOD(TIMEVALUE(C47),1),""))))</f>
        <v/>
      </c>
      <c r="L47" s="42" t="str">
        <f aca="false">IF(OR(M47=0,D47=""),"",IF(ISNUMBER(D47),MOD(D47,1),IFERROR(INDEX(القوائم!$B$1:$B$96,MATCH(TRIM(D47),القوائم!$A$1:$A$96,0)),IFERROR(MOD(TIMEVALUE(D47),1),""))))</f>
        <v/>
      </c>
      <c r="M47" s="43" t="n">
        <f aca="false">IF(A47="",0,IF(AND(A47&gt;=MSTART,A47&lt;=MEND),1,0))</f>
        <v>1</v>
      </c>
    </row>
    <row r="48" customFormat="false" ht="15" hidden="false" customHeight="false" outlineLevel="0" collapsed="false">
      <c r="A48" s="39" t="n">
        <f aca="false">IF(AND(5&lt;=NW,WFIRST+29&gt;=MSTART,WFIRST+29&lt;=MEND),WFIRST+29,"")</f>
        <v>46320</v>
      </c>
      <c r="B48" s="40" t="str">
        <f aca="false">IF(A48="","",CHOOSE(WEEKDAY(A48,1),"الأحد","الاثنين","الثلاثاء","الأربعاء","الخميس","الجمعة","السبت"))</f>
        <v>الأحد</v>
      </c>
      <c r="C48" s="41"/>
      <c r="D48" s="41"/>
      <c r="E48" s="17" t="str">
        <f aca="false">IF(OR(M48=0,K48="",L48=""),"",MOD(L48-K48,1))</f>
        <v/>
      </c>
      <c r="F48" s="17" t="str">
        <f aca="false">IF(OR(E48="",M48=0),"",IF(WEEKDAY(A48,1)=6,E48,MIN(E48,MAX(0,MIN(IF(L48&lt;K48,L48+1,L48),OMR_OT_AT)-K48))))</f>
        <v/>
      </c>
      <c r="G48" s="17" t="str">
        <f aca="false">IF(OR(E48="",M48=0),"",MAX(0,E48-F48))</f>
        <v/>
      </c>
      <c r="H48" s="18" t="str">
        <f aca="false">IF(OR(E48="",M48=0),"",ROUND((F48*OMR_RATE+G48*OMR_OT)*24,3))</f>
        <v/>
      </c>
      <c r="I48" s="41"/>
      <c r="K48" s="42" t="str">
        <f aca="false">IF(OR(M48=0,C48=""),"",IF(ISNUMBER(C48),MOD(C48,1),IFERROR(INDEX(القوائم!$B$1:$B$96,MATCH(TRIM(C48),القوائم!$A$1:$A$96,0)),IFERROR(MOD(TIMEVALUE(C48),1),""))))</f>
        <v/>
      </c>
      <c r="L48" s="42" t="str">
        <f aca="false">IF(OR(M48=0,D48=""),"",IF(ISNUMBER(D48),MOD(D48,1),IFERROR(INDEX(القوائم!$B$1:$B$96,MATCH(TRIM(D48),القوائم!$A$1:$A$96,0)),IFERROR(MOD(TIMEVALUE(D48),1),""))))</f>
        <v/>
      </c>
      <c r="M48" s="43" t="n">
        <f aca="false">IF(A48="",0,IF(AND(A48&gt;=MSTART,A48&lt;=MEND),1,0))</f>
        <v>1</v>
      </c>
    </row>
    <row r="49" customFormat="false" ht="15" hidden="false" customHeight="false" outlineLevel="0" collapsed="false">
      <c r="A49" s="39" t="n">
        <f aca="false">IF(AND(5&lt;=NW,WFIRST+30&gt;=MSTART,WFIRST+30&lt;=MEND),WFIRST+30,"")</f>
        <v>46321</v>
      </c>
      <c r="B49" s="40" t="str">
        <f aca="false">IF(A49="","",CHOOSE(WEEKDAY(A49,1),"الأحد","الاثنين","الثلاثاء","الأربعاء","الخميس","الجمعة","السبت"))</f>
        <v>الاثنين</v>
      </c>
      <c r="C49" s="41"/>
      <c r="D49" s="41"/>
      <c r="E49" s="17" t="str">
        <f aca="false">IF(OR(M49=0,K49="",L49=""),"",MOD(L49-K49,1))</f>
        <v/>
      </c>
      <c r="F49" s="17" t="str">
        <f aca="false">IF(OR(E49="",M49=0),"",IF(WEEKDAY(A49,1)=6,E49,MIN(E49,MAX(0,MIN(IF(L49&lt;K49,L49+1,L49),OMR_OT_AT)-K49))))</f>
        <v/>
      </c>
      <c r="G49" s="17" t="str">
        <f aca="false">IF(OR(E49="",M49=0),"",MAX(0,E49-F49))</f>
        <v/>
      </c>
      <c r="H49" s="18" t="str">
        <f aca="false">IF(OR(E49="",M49=0),"",ROUND((F49*OMR_RATE+G49*OMR_OT)*24,3))</f>
        <v/>
      </c>
      <c r="I49" s="41"/>
      <c r="K49" s="42" t="str">
        <f aca="false">IF(OR(M49=0,C49=""),"",IF(ISNUMBER(C49),MOD(C49,1),IFERROR(INDEX(القوائم!$B$1:$B$96,MATCH(TRIM(C49),القوائم!$A$1:$A$96,0)),IFERROR(MOD(TIMEVALUE(C49),1),""))))</f>
        <v/>
      </c>
      <c r="L49" s="42" t="str">
        <f aca="false">IF(OR(M49=0,D49=""),"",IF(ISNUMBER(D49),MOD(D49,1),IFERROR(INDEX(القوائم!$B$1:$B$96,MATCH(TRIM(D49),القوائم!$A$1:$A$96,0)),IFERROR(MOD(TIMEVALUE(D49),1),""))))</f>
        <v/>
      </c>
      <c r="M49" s="43" t="n">
        <f aca="false">IF(A49="",0,IF(AND(A49&gt;=MSTART,A49&lt;=MEND),1,0))</f>
        <v>1</v>
      </c>
    </row>
    <row r="50" customFormat="false" ht="15" hidden="false" customHeight="false" outlineLevel="0" collapsed="false">
      <c r="A50" s="39" t="n">
        <f aca="false">IF(AND(5&lt;=NW,WFIRST+31&gt;=MSTART,WFIRST+31&lt;=MEND),WFIRST+31,"")</f>
        <v>46322</v>
      </c>
      <c r="B50" s="40" t="str">
        <f aca="false">IF(A50="","",CHOOSE(WEEKDAY(A50,1),"الأحد","الاثنين","الثلاثاء","الأربعاء","الخميس","الجمعة","السبت"))</f>
        <v>الثلاثاء</v>
      </c>
      <c r="C50" s="41"/>
      <c r="D50" s="41"/>
      <c r="E50" s="17" t="str">
        <f aca="false">IF(OR(M50=0,K50="",L50=""),"",MOD(L50-K50,1))</f>
        <v/>
      </c>
      <c r="F50" s="17" t="str">
        <f aca="false">IF(OR(E50="",M50=0),"",IF(WEEKDAY(A50,1)=6,E50,MIN(E50,MAX(0,MIN(IF(L50&lt;K50,L50+1,L50),OMR_OT_AT)-K50))))</f>
        <v/>
      </c>
      <c r="G50" s="17" t="str">
        <f aca="false">IF(OR(E50="",M50=0),"",MAX(0,E50-F50))</f>
        <v/>
      </c>
      <c r="H50" s="18" t="str">
        <f aca="false">IF(OR(E50="",M50=0),"",ROUND((F50*OMR_RATE+G50*OMR_OT)*24,3))</f>
        <v/>
      </c>
      <c r="I50" s="41"/>
      <c r="K50" s="42" t="str">
        <f aca="false">IF(OR(M50=0,C50=""),"",IF(ISNUMBER(C50),MOD(C50,1),IFERROR(INDEX(القوائم!$B$1:$B$96,MATCH(TRIM(C50),القوائم!$A$1:$A$96,0)),IFERROR(MOD(TIMEVALUE(C50),1),""))))</f>
        <v/>
      </c>
      <c r="L50" s="42" t="str">
        <f aca="false">IF(OR(M50=0,D50=""),"",IF(ISNUMBER(D50),MOD(D50,1),IFERROR(INDEX(القوائم!$B$1:$B$96,MATCH(TRIM(D50),القوائم!$A$1:$A$96,0)),IFERROR(MOD(TIMEVALUE(D50),1),""))))</f>
        <v/>
      </c>
      <c r="M50" s="43" t="n">
        <f aca="false">IF(A50="",0,IF(AND(A50&gt;=MSTART,A50&lt;=MEND),1,0))</f>
        <v>1</v>
      </c>
    </row>
    <row r="51" customFormat="false" ht="15" hidden="false" customHeight="false" outlineLevel="0" collapsed="false">
      <c r="A51" s="39" t="n">
        <f aca="false">IF(AND(5&lt;=NW,WFIRST+32&gt;=MSTART,WFIRST+32&lt;=MEND),WFIRST+32,"")</f>
        <v>46323</v>
      </c>
      <c r="B51" s="40" t="str">
        <f aca="false">IF(A51="","",CHOOSE(WEEKDAY(A51,1),"الأحد","الاثنين","الثلاثاء","الأربعاء","الخميس","الجمعة","السبت"))</f>
        <v>الأربعاء</v>
      </c>
      <c r="C51" s="41"/>
      <c r="D51" s="41"/>
      <c r="E51" s="17" t="str">
        <f aca="false">IF(OR(M51=0,K51="",L51=""),"",MOD(L51-K51,1))</f>
        <v/>
      </c>
      <c r="F51" s="17" t="str">
        <f aca="false">IF(OR(E51="",M51=0),"",IF(WEEKDAY(A51,1)=6,E51,MIN(E51,MAX(0,MIN(IF(L51&lt;K51,L51+1,L51),OMR_OT_AT)-K51))))</f>
        <v/>
      </c>
      <c r="G51" s="17" t="str">
        <f aca="false">IF(OR(E51="",M51=0),"",MAX(0,E51-F51))</f>
        <v/>
      </c>
      <c r="H51" s="18" t="str">
        <f aca="false">IF(OR(E51="",M51=0),"",ROUND((F51*OMR_RATE+G51*OMR_OT)*24,3))</f>
        <v/>
      </c>
      <c r="I51" s="41"/>
      <c r="K51" s="42" t="str">
        <f aca="false">IF(OR(M51=0,C51=""),"",IF(ISNUMBER(C51),MOD(C51,1),IFERROR(INDEX(القوائم!$B$1:$B$96,MATCH(TRIM(C51),القوائم!$A$1:$A$96,0)),IFERROR(MOD(TIMEVALUE(C51),1),""))))</f>
        <v/>
      </c>
      <c r="L51" s="42" t="str">
        <f aca="false">IF(OR(M51=0,D51=""),"",IF(ISNUMBER(D51),MOD(D51,1),IFERROR(INDEX(القوائم!$B$1:$B$96,MATCH(TRIM(D51),القوائم!$A$1:$A$96,0)),IFERROR(MOD(TIMEVALUE(D51),1),""))))</f>
        <v/>
      </c>
      <c r="M51" s="43" t="n">
        <f aca="false">IF(A51="",0,IF(AND(A51&gt;=MSTART,A51&lt;=MEND),1,0))</f>
        <v>1</v>
      </c>
    </row>
    <row r="52" customFormat="false" ht="15" hidden="false" customHeight="false" outlineLevel="0" collapsed="false">
      <c r="A52" s="39" t="n">
        <f aca="false">IF(AND(5&lt;=NW,WFIRST+33&gt;=MSTART,WFIRST+33&lt;=MEND),WFIRST+33,"")</f>
        <v>46324</v>
      </c>
      <c r="B52" s="40" t="str">
        <f aca="false">IF(A52="","",CHOOSE(WEEKDAY(A52,1),"الأحد","الاثنين","الثلاثاء","الأربعاء","الخميس","الجمعة","السبت"))</f>
        <v>الخميس</v>
      </c>
      <c r="C52" s="41"/>
      <c r="D52" s="41"/>
      <c r="E52" s="17" t="str">
        <f aca="false">IF(OR(M52=0,K52="",L52=""),"",MOD(L52-K52,1))</f>
        <v/>
      </c>
      <c r="F52" s="17" t="str">
        <f aca="false">IF(OR(E52="",M52=0),"",IF(WEEKDAY(A52,1)=6,E52,MIN(E52,MAX(0,MIN(IF(L52&lt;K52,L52+1,L52),OMR_OT_AT)-K52))))</f>
        <v/>
      </c>
      <c r="G52" s="17" t="str">
        <f aca="false">IF(OR(E52="",M52=0),"",MAX(0,E52-F52))</f>
        <v/>
      </c>
      <c r="H52" s="18" t="str">
        <f aca="false">IF(OR(E52="",M52=0),"",ROUND((F52*OMR_RATE+G52*OMR_OT)*24,3))</f>
        <v/>
      </c>
      <c r="I52" s="41"/>
      <c r="K52" s="42" t="str">
        <f aca="false">IF(OR(M52=0,C52=""),"",IF(ISNUMBER(C52),MOD(C52,1),IFERROR(INDEX(القوائم!$B$1:$B$96,MATCH(TRIM(C52),القوائم!$A$1:$A$96,0)),IFERROR(MOD(TIMEVALUE(C52),1),""))))</f>
        <v/>
      </c>
      <c r="L52" s="42" t="str">
        <f aca="false">IF(OR(M52=0,D52=""),"",IF(ISNUMBER(D52),MOD(D52,1),IFERROR(INDEX(القوائم!$B$1:$B$96,MATCH(TRIM(D52),القوائم!$A$1:$A$96,0)),IFERROR(MOD(TIMEVALUE(D52),1),""))))</f>
        <v/>
      </c>
      <c r="M52" s="43" t="n">
        <f aca="false">IF(A52="",0,IF(AND(A52&gt;=MSTART,A52&lt;=MEND),1,0))</f>
        <v>1</v>
      </c>
    </row>
    <row r="53" customFormat="false" ht="15" hidden="false" customHeight="false" outlineLevel="0" collapsed="false">
      <c r="A53" s="44" t="n">
        <f aca="false">IF(AND(5&lt;=NW,WFIRST+34&gt;=MSTART,WFIRST+34&lt;=MEND),WFIRST+34,"")</f>
        <v>46325</v>
      </c>
      <c r="B53" s="22" t="str">
        <f aca="false">IF(A53="","",CHOOSE(WEEKDAY(A53,1),"الأحد","الاثنين","الثلاثاء","الأربعاء","الخميس","الجمعة","السبت"))</f>
        <v>الجمعة</v>
      </c>
      <c r="C53" s="41"/>
      <c r="D53" s="41"/>
      <c r="E53" s="17" t="str">
        <f aca="false">IF(OR(M53=0,K53="",L53=""),"",MOD(L53-K53,1))</f>
        <v/>
      </c>
      <c r="F53" s="17" t="str">
        <f aca="false">IF(OR(E53="",M53=0),"",IF(WEEKDAY(A53,1)=6,E53,MIN(E53,MAX(0,MIN(IF(L53&lt;K53,L53+1,L53),OMR_OT_AT)-K53))))</f>
        <v/>
      </c>
      <c r="G53" s="17" t="str">
        <f aca="false">IF(OR(E53="",M53=0),"",MAX(0,E53-F53))</f>
        <v/>
      </c>
      <c r="H53" s="18" t="str">
        <f aca="false">IF(OR(E53="",M53=0),"",ROUND((F53*OMR_RATE+G53*OMR_OT)*24,3))</f>
        <v/>
      </c>
      <c r="I53" s="41"/>
      <c r="K53" s="42" t="str">
        <f aca="false">IF(OR(M53=0,C53=""),"",IF(ISNUMBER(C53),MOD(C53,1),IFERROR(INDEX(القوائم!$B$1:$B$96,MATCH(TRIM(C53),القوائم!$A$1:$A$96,0)),IFERROR(MOD(TIMEVALUE(C53),1),""))))</f>
        <v/>
      </c>
      <c r="L53" s="42" t="str">
        <f aca="false">IF(OR(M53=0,D53=""),"",IF(ISNUMBER(D53),MOD(D53,1),IFERROR(INDEX(القوائم!$B$1:$B$96,MATCH(TRIM(D53),القوائم!$A$1:$A$96,0)),IFERROR(MOD(TIMEVALUE(D53),1),""))))</f>
        <v/>
      </c>
      <c r="M53" s="43" t="n">
        <f aca="false">IF(A53="",0,IF(AND(A53&gt;=MSTART,A53&lt;=MEND),1,0))</f>
        <v>1</v>
      </c>
    </row>
    <row r="54" customFormat="false" ht="15" hidden="false" customHeight="false" outlineLevel="0" collapsed="false">
      <c r="A54" s="25" t="str">
        <f aca="false">IF(5&lt;=NW,"مجموع أيام الأسبوع الخامس","")</f>
        <v>مجموع أيام الأسبوع الخامس</v>
      </c>
      <c r="B54" s="25"/>
      <c r="C54" s="25"/>
      <c r="D54" s="25"/>
      <c r="E54" s="26" t="n">
        <f aca="false">IF(5&lt;=NW,SUM(E47:E53),"")</f>
        <v>0</v>
      </c>
      <c r="F54" s="26" t="n">
        <f aca="false">IF(5&lt;=NW,SUM(F47:F53),"")</f>
        <v>0</v>
      </c>
      <c r="G54" s="26" t="n">
        <f aca="false">IF(5&lt;=NW,SUM(G47:G53),"")</f>
        <v>0</v>
      </c>
      <c r="H54" s="27" t="n">
        <f aca="false">IF(5&lt;=NW,SUM(H47:H53),"")</f>
        <v>0</v>
      </c>
      <c r="I54" s="25"/>
    </row>
    <row r="55" customFormat="false" ht="31.5" hidden="false" customHeight="true" outlineLevel="0" collapsed="false">
      <c r="A55" s="45" t="str">
        <f aca="false">IF(5&lt;=NW,"ساعات تحميل الجبسمبورد بهالأسبوع (رقم: 2 أو 1.5) ←","")</f>
        <v>ساعات تحميل الجبسمبورد بهالأسبوع (رقم: 2 أو 1.5) ←</v>
      </c>
      <c r="B55" s="45"/>
      <c r="C55" s="45"/>
      <c r="D55" s="45"/>
      <c r="E55" s="46"/>
      <c r="F55" s="47" t="str">
        <f aca="false">IF(5&lt;=NW,"المستحق النهائي للأسبوع (دينار) ←","")</f>
        <v>المستحق النهائي للأسبوع (دينار) ←</v>
      </c>
      <c r="G55" s="47"/>
      <c r="H55" s="48" t="n">
        <f aca="false">IF(5&lt;=NW,IF(ROUND_MODE="للأعلى",CEILING(ROUND((N(H54)+N(E55)*(GYP_RATE-OMR_RATE)),3),0.25),ROUND((N(H54)+N(E55)*(GYP_RATE-OMR_RATE))*4,0)/4),"")</f>
        <v>0</v>
      </c>
      <c r="I55" s="49" t="str">
        <f aca="false">IF(5&lt;=NW,"قبل الجبر: "&amp;TEXT(N(H54)+N(E55)*(GYP_RATE-OMR_RATE),"0.000"),"")</f>
        <v>قبل الجبر: 0.000</v>
      </c>
    </row>
    <row r="56" customFormat="false" ht="27.75" hidden="false" customHeight="true" outlineLevel="0" collapsed="false">
      <c r="A56" s="38" t="str">
        <f aca="false">IF(6&lt;=NW,"الأسبوع السادس","")</f>
        <v>الأسبوع السادس</v>
      </c>
      <c r="B56" s="38"/>
      <c r="C56" s="38"/>
      <c r="D56" s="38"/>
      <c r="E56" s="38"/>
      <c r="F56" s="38"/>
      <c r="G56" s="38"/>
      <c r="H56" s="38"/>
      <c r="I56" s="38"/>
    </row>
    <row r="57" customFormat="false" ht="15" hidden="false" customHeight="false" outlineLevel="0" collapsed="false">
      <c r="A57" s="39" t="n">
        <f aca="false">IF(AND(6&lt;=NW,WFIRST+35&gt;=MSTART,WFIRST+35&lt;=MEND),WFIRST+35,"")</f>
        <v>46326</v>
      </c>
      <c r="B57" s="40" t="str">
        <f aca="false">IF(A57="","",CHOOSE(WEEKDAY(A57,1),"الأحد","الاثنين","الثلاثاء","الأربعاء","الخميس","الجمعة","السبت"))</f>
        <v>السبت</v>
      </c>
      <c r="C57" s="41"/>
      <c r="D57" s="41"/>
      <c r="E57" s="17" t="str">
        <f aca="false">IF(OR(M57=0,K57="",L57=""),"",MOD(L57-K57,1))</f>
        <v/>
      </c>
      <c r="F57" s="17" t="str">
        <f aca="false">IF(OR(E57="",M57=0),"",IF(WEEKDAY(A57,1)=6,E57,MIN(E57,MAX(0,MIN(IF(L57&lt;K57,L57+1,L57),OMR_OT_AT)-K57))))</f>
        <v/>
      </c>
      <c r="G57" s="17" t="str">
        <f aca="false">IF(OR(E57="",M57=0),"",MAX(0,E57-F57))</f>
        <v/>
      </c>
      <c r="H57" s="18" t="str">
        <f aca="false">IF(OR(E57="",M57=0),"",ROUND((F57*OMR_RATE+G57*OMR_OT)*24,3))</f>
        <v/>
      </c>
      <c r="I57" s="41"/>
      <c r="K57" s="42" t="str">
        <f aca="false">IF(OR(M57=0,C57=""),"",IF(ISNUMBER(C57),MOD(C57,1),IFERROR(INDEX(القوائم!$B$1:$B$96,MATCH(TRIM(C57),القوائم!$A$1:$A$96,0)),IFERROR(MOD(TIMEVALUE(C57),1),""))))</f>
        <v/>
      </c>
      <c r="L57" s="42" t="str">
        <f aca="false">IF(OR(M57=0,D57=""),"",IF(ISNUMBER(D57),MOD(D57,1),IFERROR(INDEX(القوائم!$B$1:$B$96,MATCH(TRIM(D57),القوائم!$A$1:$A$96,0)),IFERROR(MOD(TIMEVALUE(D57),1),""))))</f>
        <v/>
      </c>
      <c r="M57" s="43" t="n">
        <f aca="false">IF(A57="",0,IF(AND(A57&gt;=MSTART,A57&lt;=MEND),1,0))</f>
        <v>1</v>
      </c>
    </row>
    <row r="58" customFormat="false" ht="15" hidden="false" customHeight="false" outlineLevel="0" collapsed="false">
      <c r="A58" s="39" t="str">
        <f aca="false">IF(AND(6&lt;=NW,WFIRST+36&gt;=MSTART,WFIRST+36&lt;=MEND),WFIRST+36,"")</f>
        <v/>
      </c>
      <c r="B58" s="40" t="str">
        <f aca="false">IF(A58="","",CHOOSE(WEEKDAY(A58,1),"الأحد","الاثنين","الثلاثاء","الأربعاء","الخميس","الجمعة","السبت"))</f>
        <v/>
      </c>
      <c r="C58" s="41"/>
      <c r="D58" s="41"/>
      <c r="E58" s="17" t="str">
        <f aca="false">IF(OR(M58=0,K58="",L58=""),"",MOD(L58-K58,1))</f>
        <v/>
      </c>
      <c r="F58" s="17" t="str">
        <f aca="false">IF(OR(E58="",M58=0),"",IF(WEEKDAY(A58,1)=6,E58,MIN(E58,MAX(0,MIN(IF(L58&lt;K58,L58+1,L58),OMR_OT_AT)-K58))))</f>
        <v/>
      </c>
      <c r="G58" s="17" t="str">
        <f aca="false">IF(OR(E58="",M58=0),"",MAX(0,E58-F58))</f>
        <v/>
      </c>
      <c r="H58" s="18" t="str">
        <f aca="false">IF(OR(E58="",M58=0),"",ROUND((F58*OMR_RATE+G58*OMR_OT)*24,3))</f>
        <v/>
      </c>
      <c r="I58" s="41"/>
      <c r="K58" s="42" t="str">
        <f aca="false">IF(OR(M58=0,C58=""),"",IF(ISNUMBER(C58),MOD(C58,1),IFERROR(INDEX(القوائم!$B$1:$B$96,MATCH(TRIM(C58),القوائم!$A$1:$A$96,0)),IFERROR(MOD(TIMEVALUE(C58),1),""))))</f>
        <v/>
      </c>
      <c r="L58" s="42" t="str">
        <f aca="false">IF(OR(M58=0,D58=""),"",IF(ISNUMBER(D58),MOD(D58,1),IFERROR(INDEX(القوائم!$B$1:$B$96,MATCH(TRIM(D58),القوائم!$A$1:$A$96,0)),IFERROR(MOD(TIMEVALUE(D58),1),""))))</f>
        <v/>
      </c>
      <c r="M58" s="43" t="n">
        <f aca="false">IF(A58="",0,IF(AND(A58&gt;=MSTART,A58&lt;=MEND),1,0))</f>
        <v>0</v>
      </c>
    </row>
    <row r="59" customFormat="false" ht="15" hidden="false" customHeight="false" outlineLevel="0" collapsed="false">
      <c r="A59" s="39" t="str">
        <f aca="false">IF(AND(6&lt;=NW,WFIRST+37&gt;=MSTART,WFIRST+37&lt;=MEND),WFIRST+37,"")</f>
        <v/>
      </c>
      <c r="B59" s="40" t="str">
        <f aca="false">IF(A59="","",CHOOSE(WEEKDAY(A59,1),"الأحد","الاثنين","الثلاثاء","الأربعاء","الخميس","الجمعة","السبت"))</f>
        <v/>
      </c>
      <c r="C59" s="41"/>
      <c r="D59" s="41"/>
      <c r="E59" s="17" t="str">
        <f aca="false">IF(OR(M59=0,K59="",L59=""),"",MOD(L59-K59,1))</f>
        <v/>
      </c>
      <c r="F59" s="17" t="str">
        <f aca="false">IF(OR(E59="",M59=0),"",IF(WEEKDAY(A59,1)=6,E59,MIN(E59,MAX(0,MIN(IF(L59&lt;K59,L59+1,L59),OMR_OT_AT)-K59))))</f>
        <v/>
      </c>
      <c r="G59" s="17" t="str">
        <f aca="false">IF(OR(E59="",M59=0),"",MAX(0,E59-F59))</f>
        <v/>
      </c>
      <c r="H59" s="18" t="str">
        <f aca="false">IF(OR(E59="",M59=0),"",ROUND((F59*OMR_RATE+G59*OMR_OT)*24,3))</f>
        <v/>
      </c>
      <c r="I59" s="41"/>
      <c r="K59" s="42" t="str">
        <f aca="false">IF(OR(M59=0,C59=""),"",IF(ISNUMBER(C59),MOD(C59,1),IFERROR(INDEX(القوائم!$B$1:$B$96,MATCH(TRIM(C59),القوائم!$A$1:$A$96,0)),IFERROR(MOD(TIMEVALUE(C59),1),""))))</f>
        <v/>
      </c>
      <c r="L59" s="42" t="str">
        <f aca="false">IF(OR(M59=0,D59=""),"",IF(ISNUMBER(D59),MOD(D59,1),IFERROR(INDEX(القوائم!$B$1:$B$96,MATCH(TRIM(D59),القوائم!$A$1:$A$96,0)),IFERROR(MOD(TIMEVALUE(D59),1),""))))</f>
        <v/>
      </c>
      <c r="M59" s="43" t="n">
        <f aca="false">IF(A59="",0,IF(AND(A59&gt;=MSTART,A59&lt;=MEND),1,0))</f>
        <v>0</v>
      </c>
    </row>
    <row r="60" customFormat="false" ht="15" hidden="false" customHeight="false" outlineLevel="0" collapsed="false">
      <c r="A60" s="39" t="str">
        <f aca="false">IF(AND(6&lt;=NW,WFIRST+38&gt;=MSTART,WFIRST+38&lt;=MEND),WFIRST+38,"")</f>
        <v/>
      </c>
      <c r="B60" s="40" t="str">
        <f aca="false">IF(A60="","",CHOOSE(WEEKDAY(A60,1),"الأحد","الاثنين","الثلاثاء","الأربعاء","الخميس","الجمعة","السبت"))</f>
        <v/>
      </c>
      <c r="C60" s="41"/>
      <c r="D60" s="41"/>
      <c r="E60" s="17" t="str">
        <f aca="false">IF(OR(M60=0,K60="",L60=""),"",MOD(L60-K60,1))</f>
        <v/>
      </c>
      <c r="F60" s="17" t="str">
        <f aca="false">IF(OR(E60="",M60=0),"",IF(WEEKDAY(A60,1)=6,E60,MIN(E60,MAX(0,MIN(IF(L60&lt;K60,L60+1,L60),OMR_OT_AT)-K60))))</f>
        <v/>
      </c>
      <c r="G60" s="17" t="str">
        <f aca="false">IF(OR(E60="",M60=0),"",MAX(0,E60-F60))</f>
        <v/>
      </c>
      <c r="H60" s="18" t="str">
        <f aca="false">IF(OR(E60="",M60=0),"",ROUND((F60*OMR_RATE+G60*OMR_OT)*24,3))</f>
        <v/>
      </c>
      <c r="I60" s="41"/>
      <c r="K60" s="42" t="str">
        <f aca="false">IF(OR(M60=0,C60=""),"",IF(ISNUMBER(C60),MOD(C60,1),IFERROR(INDEX(القوائم!$B$1:$B$96,MATCH(TRIM(C60),القوائم!$A$1:$A$96,0)),IFERROR(MOD(TIMEVALUE(C60),1),""))))</f>
        <v/>
      </c>
      <c r="L60" s="42" t="str">
        <f aca="false">IF(OR(M60=0,D60=""),"",IF(ISNUMBER(D60),MOD(D60,1),IFERROR(INDEX(القوائم!$B$1:$B$96,MATCH(TRIM(D60),القوائم!$A$1:$A$96,0)),IFERROR(MOD(TIMEVALUE(D60),1),""))))</f>
        <v/>
      </c>
      <c r="M60" s="43" t="n">
        <f aca="false">IF(A60="",0,IF(AND(A60&gt;=MSTART,A60&lt;=MEND),1,0))</f>
        <v>0</v>
      </c>
    </row>
    <row r="61" customFormat="false" ht="15" hidden="false" customHeight="false" outlineLevel="0" collapsed="false">
      <c r="A61" s="39" t="str">
        <f aca="false">IF(AND(6&lt;=NW,WFIRST+39&gt;=MSTART,WFIRST+39&lt;=MEND),WFIRST+39,"")</f>
        <v/>
      </c>
      <c r="B61" s="40" t="str">
        <f aca="false">IF(A61="","",CHOOSE(WEEKDAY(A61,1),"الأحد","الاثنين","الثلاثاء","الأربعاء","الخميس","الجمعة","السبت"))</f>
        <v/>
      </c>
      <c r="C61" s="41"/>
      <c r="D61" s="41"/>
      <c r="E61" s="17" t="str">
        <f aca="false">IF(OR(M61=0,K61="",L61=""),"",MOD(L61-K61,1))</f>
        <v/>
      </c>
      <c r="F61" s="17" t="str">
        <f aca="false">IF(OR(E61="",M61=0),"",IF(WEEKDAY(A61,1)=6,E61,MIN(E61,MAX(0,MIN(IF(L61&lt;K61,L61+1,L61),OMR_OT_AT)-K61))))</f>
        <v/>
      </c>
      <c r="G61" s="17" t="str">
        <f aca="false">IF(OR(E61="",M61=0),"",MAX(0,E61-F61))</f>
        <v/>
      </c>
      <c r="H61" s="18" t="str">
        <f aca="false">IF(OR(E61="",M61=0),"",ROUND((F61*OMR_RATE+G61*OMR_OT)*24,3))</f>
        <v/>
      </c>
      <c r="I61" s="41"/>
      <c r="K61" s="42" t="str">
        <f aca="false">IF(OR(M61=0,C61=""),"",IF(ISNUMBER(C61),MOD(C61,1),IFERROR(INDEX(القوائم!$B$1:$B$96,MATCH(TRIM(C61),القوائم!$A$1:$A$96,0)),IFERROR(MOD(TIMEVALUE(C61),1),""))))</f>
        <v/>
      </c>
      <c r="L61" s="42" t="str">
        <f aca="false">IF(OR(M61=0,D61=""),"",IF(ISNUMBER(D61),MOD(D61,1),IFERROR(INDEX(القوائم!$B$1:$B$96,MATCH(TRIM(D61),القوائم!$A$1:$A$96,0)),IFERROR(MOD(TIMEVALUE(D61),1),""))))</f>
        <v/>
      </c>
      <c r="M61" s="43" t="n">
        <f aca="false">IF(A61="",0,IF(AND(A61&gt;=MSTART,A61&lt;=MEND),1,0))</f>
        <v>0</v>
      </c>
    </row>
    <row r="62" customFormat="false" ht="15" hidden="false" customHeight="false" outlineLevel="0" collapsed="false">
      <c r="A62" s="39" t="str">
        <f aca="false">IF(AND(6&lt;=NW,WFIRST+40&gt;=MSTART,WFIRST+40&lt;=MEND),WFIRST+40,"")</f>
        <v/>
      </c>
      <c r="B62" s="40" t="str">
        <f aca="false">IF(A62="","",CHOOSE(WEEKDAY(A62,1),"الأحد","الاثنين","الثلاثاء","الأربعاء","الخميس","الجمعة","السبت"))</f>
        <v/>
      </c>
      <c r="C62" s="41"/>
      <c r="D62" s="41"/>
      <c r="E62" s="17" t="str">
        <f aca="false">IF(OR(M62=0,K62="",L62=""),"",MOD(L62-K62,1))</f>
        <v/>
      </c>
      <c r="F62" s="17" t="str">
        <f aca="false">IF(OR(E62="",M62=0),"",IF(WEEKDAY(A62,1)=6,E62,MIN(E62,MAX(0,MIN(IF(L62&lt;K62,L62+1,L62),OMR_OT_AT)-K62))))</f>
        <v/>
      </c>
      <c r="G62" s="17" t="str">
        <f aca="false">IF(OR(E62="",M62=0),"",MAX(0,E62-F62))</f>
        <v/>
      </c>
      <c r="H62" s="18" t="str">
        <f aca="false">IF(OR(E62="",M62=0),"",ROUND((F62*OMR_RATE+G62*OMR_OT)*24,3))</f>
        <v/>
      </c>
      <c r="I62" s="41"/>
      <c r="K62" s="42" t="str">
        <f aca="false">IF(OR(M62=0,C62=""),"",IF(ISNUMBER(C62),MOD(C62,1),IFERROR(INDEX(القوائم!$B$1:$B$96,MATCH(TRIM(C62),القوائم!$A$1:$A$96,0)),IFERROR(MOD(TIMEVALUE(C62),1),""))))</f>
        <v/>
      </c>
      <c r="L62" s="42" t="str">
        <f aca="false">IF(OR(M62=0,D62=""),"",IF(ISNUMBER(D62),MOD(D62,1),IFERROR(INDEX(القوائم!$B$1:$B$96,MATCH(TRIM(D62),القوائم!$A$1:$A$96,0)),IFERROR(MOD(TIMEVALUE(D62),1),""))))</f>
        <v/>
      </c>
      <c r="M62" s="43" t="n">
        <f aca="false">IF(A62="",0,IF(AND(A62&gt;=MSTART,A62&lt;=MEND),1,0))</f>
        <v>0</v>
      </c>
    </row>
    <row r="63" customFormat="false" ht="15" hidden="false" customHeight="false" outlineLevel="0" collapsed="false">
      <c r="A63" s="44" t="str">
        <f aca="false">IF(AND(6&lt;=NW,WFIRST+41&gt;=MSTART,WFIRST+41&lt;=MEND),WFIRST+41,"")</f>
        <v/>
      </c>
      <c r="B63" s="22" t="str">
        <f aca="false">IF(A63="","",CHOOSE(WEEKDAY(A63,1),"الأحد","الاثنين","الثلاثاء","الأربعاء","الخميس","الجمعة","السبت"))</f>
        <v/>
      </c>
      <c r="C63" s="41"/>
      <c r="D63" s="41"/>
      <c r="E63" s="17" t="str">
        <f aca="false">IF(OR(M63=0,K63="",L63=""),"",MOD(L63-K63,1))</f>
        <v/>
      </c>
      <c r="F63" s="17" t="str">
        <f aca="false">IF(OR(E63="",M63=0),"",IF(WEEKDAY(A63,1)=6,E63,MIN(E63,MAX(0,MIN(IF(L63&lt;K63,L63+1,L63),OMR_OT_AT)-K63))))</f>
        <v/>
      </c>
      <c r="G63" s="17" t="str">
        <f aca="false">IF(OR(E63="",M63=0),"",MAX(0,E63-F63))</f>
        <v/>
      </c>
      <c r="H63" s="18" t="str">
        <f aca="false">IF(OR(E63="",M63=0),"",ROUND((F63*OMR_RATE+G63*OMR_OT)*24,3))</f>
        <v/>
      </c>
      <c r="I63" s="41"/>
      <c r="K63" s="42" t="str">
        <f aca="false">IF(OR(M63=0,C63=""),"",IF(ISNUMBER(C63),MOD(C63,1),IFERROR(INDEX(القوائم!$B$1:$B$96,MATCH(TRIM(C63),القوائم!$A$1:$A$96,0)),IFERROR(MOD(TIMEVALUE(C63),1),""))))</f>
        <v/>
      </c>
      <c r="L63" s="42" t="str">
        <f aca="false">IF(OR(M63=0,D63=""),"",IF(ISNUMBER(D63),MOD(D63,1),IFERROR(INDEX(القوائم!$B$1:$B$96,MATCH(TRIM(D63),القوائم!$A$1:$A$96,0)),IFERROR(MOD(TIMEVALUE(D63),1),""))))</f>
        <v/>
      </c>
      <c r="M63" s="43" t="n">
        <f aca="false">IF(A63="",0,IF(AND(A63&gt;=MSTART,A63&lt;=MEND),1,0))</f>
        <v>0</v>
      </c>
    </row>
    <row r="64" customFormat="false" ht="15" hidden="false" customHeight="false" outlineLevel="0" collapsed="false">
      <c r="A64" s="25" t="str">
        <f aca="false">IF(6&lt;=NW,"مجموع أيام الأسبوع السادس","")</f>
        <v>مجموع أيام الأسبوع السادس</v>
      </c>
      <c r="B64" s="25"/>
      <c r="C64" s="25"/>
      <c r="D64" s="25"/>
      <c r="E64" s="26" t="n">
        <f aca="false">IF(6&lt;=NW,SUM(E57:E63),"")</f>
        <v>0</v>
      </c>
      <c r="F64" s="26" t="n">
        <f aca="false">IF(6&lt;=NW,SUM(F57:F63),"")</f>
        <v>0</v>
      </c>
      <c r="G64" s="26" t="n">
        <f aca="false">IF(6&lt;=NW,SUM(G57:G63),"")</f>
        <v>0</v>
      </c>
      <c r="H64" s="27" t="n">
        <f aca="false">IF(6&lt;=NW,SUM(H57:H63),"")</f>
        <v>0</v>
      </c>
      <c r="I64" s="25"/>
    </row>
    <row r="65" customFormat="false" ht="31.5" hidden="false" customHeight="true" outlineLevel="0" collapsed="false">
      <c r="A65" s="45" t="str">
        <f aca="false">IF(6&lt;=NW,"ساعات تحميل الجبسمبورد بهالأسبوع (رقم: 2 أو 1.5) ←","")</f>
        <v>ساعات تحميل الجبسمبورد بهالأسبوع (رقم: 2 أو 1.5) ←</v>
      </c>
      <c r="B65" s="45"/>
      <c r="C65" s="45"/>
      <c r="D65" s="45"/>
      <c r="E65" s="46"/>
      <c r="F65" s="47" t="str">
        <f aca="false">IF(6&lt;=NW,"المستحق النهائي للأسبوع (دينار) ←","")</f>
        <v>المستحق النهائي للأسبوع (دينار) ←</v>
      </c>
      <c r="G65" s="47"/>
      <c r="H65" s="48" t="n">
        <f aca="false">IF(6&lt;=NW,IF(ROUND_MODE="للأعلى",CEILING(ROUND((N(H64)+N(E65)*(GYP_RATE-OMR_RATE)),3),0.25),ROUND((N(H64)+N(E65)*(GYP_RATE-OMR_RATE))*4,0)/4),"")</f>
        <v>0</v>
      </c>
      <c r="I65" s="49" t="str">
        <f aca="false">IF(6&lt;=NW,"قبل الجبر: "&amp;TEXT(N(H64)+N(E65)*(GYP_RATE-OMR_RATE),"0.000"),"")</f>
        <v>قبل الجبر: 0.000</v>
      </c>
    </row>
  </sheetData>
  <sheetProtection sheet="true" formatColumns="false" formatRows="false"/>
  <mergeCells count="27">
    <mergeCell ref="A1:I1"/>
    <mergeCell ref="A2:I2"/>
    <mergeCell ref="A3:I3"/>
    <mergeCell ref="A6:I6"/>
    <mergeCell ref="A14:D14"/>
    <mergeCell ref="A15:D15"/>
    <mergeCell ref="F15:G15"/>
    <mergeCell ref="A16:I16"/>
    <mergeCell ref="A24:D24"/>
    <mergeCell ref="A25:D25"/>
    <mergeCell ref="F25:G25"/>
    <mergeCell ref="A26:I26"/>
    <mergeCell ref="A34:D34"/>
    <mergeCell ref="A35:D35"/>
    <mergeCell ref="F35:G35"/>
    <mergeCell ref="A36:I36"/>
    <mergeCell ref="A44:D44"/>
    <mergeCell ref="A45:D45"/>
    <mergeCell ref="F45:G45"/>
    <mergeCell ref="A46:I46"/>
    <mergeCell ref="A54:D54"/>
    <mergeCell ref="A55:D55"/>
    <mergeCell ref="F55:G55"/>
    <mergeCell ref="A56:I56"/>
    <mergeCell ref="A64:D64"/>
    <mergeCell ref="A65:D65"/>
    <mergeCell ref="F65:G65"/>
  </mergeCells>
  <conditionalFormatting sqref="C6:D65">
    <cfRule type="expression" priority="2" aboveAverage="0" equalAverage="0" bottom="0" percent="0" rank="0" text="" dxfId="1">
      <formula>AND($M6=1,$K6&lt;&gt;"",$L6&lt;&gt;"",WEEKDAY($A6,1)=6,OR($K6&lt;OMR_FRI_IN,$L6&gt;OMR_FRI_OUT))</formula>
    </cfRule>
    <cfRule type="expression" priority="3" aboveAverage="0" equalAverage="0" bottom="0" percent="0" rank="0" text="" dxfId="2">
      <formula>AND($A6="",$B6="")</formula>
    </cfRule>
  </conditionalFormatting>
  <conditionalFormatting sqref="H15">
    <cfRule type="expression" priority="4" aboveAverage="0" equalAverage="0" bottom="0" percent="0" rank="0" text="" dxfId="3">
      <formula>H15&lt;&gt;""</formula>
    </cfRule>
  </conditionalFormatting>
  <conditionalFormatting sqref="H25">
    <cfRule type="expression" priority="5" aboveAverage="0" equalAverage="0" bottom="0" percent="0" rank="0" text="" dxfId="3">
      <formula>H25&lt;&gt;""</formula>
    </cfRule>
  </conditionalFormatting>
  <conditionalFormatting sqref="H35">
    <cfRule type="expression" priority="6" aboveAverage="0" equalAverage="0" bottom="0" percent="0" rank="0" text="" dxfId="3">
      <formula>H35&lt;&gt;""</formula>
    </cfRule>
  </conditionalFormatting>
  <conditionalFormatting sqref="H45">
    <cfRule type="expression" priority="7" aboveAverage="0" equalAverage="0" bottom="0" percent="0" rank="0" text="" dxfId="3">
      <formula>H45&lt;&gt;""</formula>
    </cfRule>
  </conditionalFormatting>
  <conditionalFormatting sqref="H55">
    <cfRule type="expression" priority="8" aboveAverage="0" equalAverage="0" bottom="0" percent="0" rank="0" text="" dxfId="3">
      <formula>H55&lt;&gt;""</formula>
    </cfRule>
  </conditionalFormatting>
  <conditionalFormatting sqref="H65">
    <cfRule type="expression" priority="9" aboveAverage="0" equalAverage="0" bottom="0" percent="0" rank="0" text="" dxfId="3">
      <formula>H65&lt;&gt;""</formula>
    </cfRule>
  </conditionalFormatting>
  <dataValidations count="1">
    <dataValidation allowBlank="true" errorStyle="stop" operator="between" showDropDown="false" showErrorMessage="false" showInputMessage="false" sqref="C6:D65" type="list">
      <formula1>القوائم!$A$1:$A$96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true" outlineLevel="0" max="13" min="11" style="0" width="13"/>
  </cols>
  <sheetData>
    <row r="1" customFormat="false" ht="31.5" hidden="false" customHeight="true" outlineLevel="0" collapsed="false">
      <c r="A1" s="50" t="s">
        <v>39</v>
      </c>
      <c r="B1" s="50"/>
      <c r="C1" s="50"/>
      <c r="D1" s="50"/>
      <c r="E1" s="50"/>
      <c r="F1" s="50"/>
      <c r="G1" s="50"/>
      <c r="H1" s="50"/>
      <c r="I1" s="50"/>
    </row>
    <row r="2" customFormat="false" ht="21.75" hidden="false" customHeight="true" outlineLevel="0" collapsed="false">
      <c r="A2" s="51" t="str">
        <f aca="false">"شهر "&amp;TEXT(التسوية!$C$3,"00")&amp;" / "&amp;التسوية!$E$3&amp;"   (الشهر والسنة بتنختار من ورقة التسوية)"</f>
        <v>شهر 10 / 2026   (الشهر والسنة بتنختار من ورقة التسوية)</v>
      </c>
      <c r="B2" s="51"/>
      <c r="C2" s="51"/>
      <c r="D2" s="51"/>
      <c r="E2" s="51"/>
      <c r="F2" s="51"/>
      <c r="G2" s="51"/>
      <c r="H2" s="51"/>
      <c r="I2" s="51"/>
    </row>
    <row r="3" customFormat="false" ht="36" hidden="false" customHeight="true" outlineLevel="0" collapsed="false">
      <c r="A3" s="36" t="s">
        <v>40</v>
      </c>
      <c r="B3" s="36"/>
      <c r="C3" s="36"/>
      <c r="D3" s="36"/>
      <c r="E3" s="36"/>
      <c r="F3" s="36"/>
      <c r="G3" s="36"/>
      <c r="H3" s="36"/>
      <c r="I3" s="36"/>
    </row>
    <row r="5" customFormat="false" ht="31.5" hidden="false" customHeight="true" outlineLevel="0" collapsed="false">
      <c r="A5" s="52" t="s">
        <v>32</v>
      </c>
      <c r="B5" s="52" t="s">
        <v>33</v>
      </c>
      <c r="C5" s="52" t="s">
        <v>34</v>
      </c>
      <c r="D5" s="52" t="s">
        <v>35</v>
      </c>
      <c r="E5" s="52" t="s">
        <v>14</v>
      </c>
      <c r="F5" s="52" t="s">
        <v>41</v>
      </c>
      <c r="G5" s="52" t="s">
        <v>42</v>
      </c>
      <c r="H5" s="52" t="s">
        <v>43</v>
      </c>
      <c r="I5" s="52" t="s">
        <v>38</v>
      </c>
    </row>
    <row r="6" customFormat="false" ht="27.75" hidden="false" customHeight="true" outlineLevel="0" collapsed="false">
      <c r="A6" s="53" t="str">
        <f aca="false">IF(1&lt;=NW,"الأسبوع الأول","")</f>
        <v>الأسبوع الأول</v>
      </c>
      <c r="B6" s="53"/>
      <c r="C6" s="53"/>
      <c r="D6" s="53"/>
      <c r="E6" s="53"/>
      <c r="F6" s="53"/>
      <c r="G6" s="53"/>
      <c r="H6" s="53"/>
      <c r="I6" s="53"/>
    </row>
    <row r="7" customFormat="false" ht="15" hidden="false" customHeight="false" outlineLevel="0" collapsed="false">
      <c r="A7" s="39" t="str">
        <f aca="false">IF(AND(1&lt;=NW,WFIRST+0&gt;=MSTART,WFIRST+0&lt;=MEND),WFIRST+0,"")</f>
        <v/>
      </c>
      <c r="B7" s="40" t="str">
        <f aca="false">IF(A7="","",CHOOSE(WEEKDAY(A7,1),"الأحد","الاثنين","الثلاثاء","الأربعاء","الخميس","الجمعة","السبت"))</f>
        <v/>
      </c>
      <c r="C7" s="41"/>
      <c r="D7" s="41"/>
      <c r="E7" s="17" t="str">
        <f aca="false">IF(OR(M7=0,K7="",L7=""),"",MOD(L7-K7,1))</f>
        <v/>
      </c>
      <c r="F7" s="18" t="str">
        <f aca="false">IF(OR(E7="",M7=0),"",IF(ROUND_MODE="للأعلى",CEILING(ROUND((E7*24*AZZ_RATE),3),0.25),ROUND((E7*24*AZZ_RATE)*4,0)/4))</f>
        <v/>
      </c>
      <c r="G7" s="41"/>
      <c r="H7" s="23"/>
      <c r="I7" s="41"/>
      <c r="K7" s="42" t="str">
        <f aca="false">IF(OR(M7=0,C7=""),"",IF(ISNUMBER(C7),MOD(C7,1),IFERROR(INDEX(القوائم!$B$1:$B$96,MATCH(TRIM(C7),القوائم!$A$1:$A$96,0)),IFERROR(MOD(TIMEVALUE(C7),1),""))))</f>
        <v/>
      </c>
      <c r="L7" s="42" t="str">
        <f aca="false">IF(OR(M7=0,D7=""),"",IF(ISNUMBER(D7),MOD(D7,1),IFERROR(INDEX(القوائم!$B$1:$B$96,MATCH(TRIM(D7),القوائم!$A$1:$A$96,0)),IFERROR(MOD(TIMEVALUE(D7),1),""))))</f>
        <v/>
      </c>
      <c r="M7" s="43" t="n">
        <f aca="false">IF(A7="",0,IF(AND(A7&gt;=MSTART,A7&lt;=MEND),1,0))</f>
        <v>0</v>
      </c>
    </row>
    <row r="8" customFormat="false" ht="15" hidden="false" customHeight="false" outlineLevel="0" collapsed="false">
      <c r="A8" s="39" t="str">
        <f aca="false">IF(AND(1&lt;=NW,WFIRST+1&gt;=MSTART,WFIRST+1&lt;=MEND),WFIRST+1,"")</f>
        <v/>
      </c>
      <c r="B8" s="40" t="str">
        <f aca="false">IF(A8="","",CHOOSE(WEEKDAY(A8,1),"الأحد","الاثنين","الثلاثاء","الأربعاء","الخميس","الجمعة","السبت"))</f>
        <v/>
      </c>
      <c r="C8" s="41"/>
      <c r="D8" s="41"/>
      <c r="E8" s="17" t="str">
        <f aca="false">IF(OR(M8=0,K8="",L8=""),"",MOD(L8-K8,1))</f>
        <v/>
      </c>
      <c r="F8" s="18" t="str">
        <f aca="false">IF(OR(E8="",M8=0),"",IF(ROUND_MODE="للأعلى",CEILING(ROUND((E8*24*AZZ_RATE),3),0.25),ROUND((E8*24*AZZ_RATE)*4,0)/4))</f>
        <v/>
      </c>
      <c r="G8" s="41"/>
      <c r="H8" s="23"/>
      <c r="I8" s="41"/>
      <c r="K8" s="42" t="str">
        <f aca="false">IF(OR(M8=0,C8=""),"",IF(ISNUMBER(C8),MOD(C8,1),IFERROR(INDEX(القوائم!$B$1:$B$96,MATCH(TRIM(C8),القوائم!$A$1:$A$96,0)),IFERROR(MOD(TIMEVALUE(C8),1),""))))</f>
        <v/>
      </c>
      <c r="L8" s="42" t="str">
        <f aca="false">IF(OR(M8=0,D8=""),"",IF(ISNUMBER(D8),MOD(D8,1),IFERROR(INDEX(القوائم!$B$1:$B$96,MATCH(TRIM(D8),القوائم!$A$1:$A$96,0)),IFERROR(MOD(TIMEVALUE(D8),1),""))))</f>
        <v/>
      </c>
      <c r="M8" s="43" t="n">
        <f aca="false">IF(A8="",0,IF(AND(A8&gt;=MSTART,A8&lt;=MEND),1,0))</f>
        <v>0</v>
      </c>
    </row>
    <row r="9" customFormat="false" ht="15" hidden="false" customHeight="false" outlineLevel="0" collapsed="false">
      <c r="A9" s="39" t="str">
        <f aca="false">IF(AND(1&lt;=NW,WFIRST+2&gt;=MSTART,WFIRST+2&lt;=MEND),WFIRST+2,"")</f>
        <v/>
      </c>
      <c r="B9" s="40" t="str">
        <f aca="false">IF(A9="","",CHOOSE(WEEKDAY(A9,1),"الأحد","الاثنين","الثلاثاء","الأربعاء","الخميس","الجمعة","السبت"))</f>
        <v/>
      </c>
      <c r="C9" s="41"/>
      <c r="D9" s="41"/>
      <c r="E9" s="17" t="str">
        <f aca="false">IF(OR(M9=0,K9="",L9=""),"",MOD(L9-K9,1))</f>
        <v/>
      </c>
      <c r="F9" s="18" t="str">
        <f aca="false">IF(OR(E9="",M9=0),"",IF(ROUND_MODE="للأعلى",CEILING(ROUND((E9*24*AZZ_RATE),3),0.25),ROUND((E9*24*AZZ_RATE)*4,0)/4))</f>
        <v/>
      </c>
      <c r="G9" s="41"/>
      <c r="H9" s="23"/>
      <c r="I9" s="41"/>
      <c r="K9" s="42" t="str">
        <f aca="false">IF(OR(M9=0,C9=""),"",IF(ISNUMBER(C9),MOD(C9,1),IFERROR(INDEX(القوائم!$B$1:$B$96,MATCH(TRIM(C9),القوائم!$A$1:$A$96,0)),IFERROR(MOD(TIMEVALUE(C9),1),""))))</f>
        <v/>
      </c>
      <c r="L9" s="42" t="str">
        <f aca="false">IF(OR(M9=0,D9=""),"",IF(ISNUMBER(D9),MOD(D9,1),IFERROR(INDEX(القوائم!$B$1:$B$96,MATCH(TRIM(D9),القوائم!$A$1:$A$96,0)),IFERROR(MOD(TIMEVALUE(D9),1),""))))</f>
        <v/>
      </c>
      <c r="M9" s="43" t="n">
        <f aca="false">IF(A9="",0,IF(AND(A9&gt;=MSTART,A9&lt;=MEND),1,0))</f>
        <v>0</v>
      </c>
    </row>
    <row r="10" customFormat="false" ht="15" hidden="false" customHeight="false" outlineLevel="0" collapsed="false">
      <c r="A10" s="39" t="str">
        <f aca="false">IF(AND(1&lt;=NW,WFIRST+3&gt;=MSTART,WFIRST+3&lt;=MEND),WFIRST+3,"")</f>
        <v/>
      </c>
      <c r="B10" s="40" t="str">
        <f aca="false">IF(A10="","",CHOOSE(WEEKDAY(A10,1),"الأحد","الاثنين","الثلاثاء","الأربعاء","الخميس","الجمعة","السبت"))</f>
        <v/>
      </c>
      <c r="C10" s="41"/>
      <c r="D10" s="41"/>
      <c r="E10" s="17" t="str">
        <f aca="false">IF(OR(M10=0,K10="",L10=""),"",MOD(L10-K10,1))</f>
        <v/>
      </c>
      <c r="F10" s="18" t="str">
        <f aca="false">IF(OR(E10="",M10=0),"",IF(ROUND_MODE="للأعلى",CEILING(ROUND((E10*24*AZZ_RATE),3),0.25),ROUND((E10*24*AZZ_RATE)*4,0)/4))</f>
        <v/>
      </c>
      <c r="G10" s="41"/>
      <c r="H10" s="23"/>
      <c r="I10" s="41"/>
      <c r="K10" s="42" t="str">
        <f aca="false">IF(OR(M10=0,C10=""),"",IF(ISNUMBER(C10),MOD(C10,1),IFERROR(INDEX(القوائم!$B$1:$B$96,MATCH(TRIM(C10),القوائم!$A$1:$A$96,0)),IFERROR(MOD(TIMEVALUE(C10),1),""))))</f>
        <v/>
      </c>
      <c r="L10" s="42" t="str">
        <f aca="false">IF(OR(M10=0,D10=""),"",IF(ISNUMBER(D10),MOD(D10,1),IFERROR(INDEX(القوائم!$B$1:$B$96,MATCH(TRIM(D10),القوائم!$A$1:$A$96,0)),IFERROR(MOD(TIMEVALUE(D10),1),""))))</f>
        <v/>
      </c>
      <c r="M10" s="43" t="n">
        <f aca="false">IF(A10="",0,IF(AND(A10&gt;=MSTART,A10&lt;=MEND),1,0))</f>
        <v>0</v>
      </c>
    </row>
    <row r="11" customFormat="false" ht="15" hidden="false" customHeight="false" outlineLevel="0" collapsed="false">
      <c r="A11" s="39" t="str">
        <f aca="false">IF(AND(1&lt;=NW,WFIRST+4&gt;=MSTART,WFIRST+4&lt;=MEND),WFIRST+4,"")</f>
        <v/>
      </c>
      <c r="B11" s="40" t="str">
        <f aca="false">IF(A11="","",CHOOSE(WEEKDAY(A11,1),"الأحد","الاثنين","الثلاثاء","الأربعاء","الخميس","الجمعة","السبت"))</f>
        <v/>
      </c>
      <c r="C11" s="41"/>
      <c r="D11" s="41"/>
      <c r="E11" s="17" t="str">
        <f aca="false">IF(OR(M11=0,K11="",L11=""),"",MOD(L11-K11,1))</f>
        <v/>
      </c>
      <c r="F11" s="18" t="str">
        <f aca="false">IF(OR(E11="",M11=0),"",IF(ROUND_MODE="للأعلى",CEILING(ROUND((E11*24*AZZ_RATE),3),0.25),ROUND((E11*24*AZZ_RATE)*4,0)/4))</f>
        <v/>
      </c>
      <c r="G11" s="41"/>
      <c r="H11" s="23"/>
      <c r="I11" s="41"/>
      <c r="K11" s="42" t="str">
        <f aca="false">IF(OR(M11=0,C11=""),"",IF(ISNUMBER(C11),MOD(C11,1),IFERROR(INDEX(القوائم!$B$1:$B$96,MATCH(TRIM(C11),القوائم!$A$1:$A$96,0)),IFERROR(MOD(TIMEVALUE(C11),1),""))))</f>
        <v/>
      </c>
      <c r="L11" s="42" t="str">
        <f aca="false">IF(OR(M11=0,D11=""),"",IF(ISNUMBER(D11),MOD(D11,1),IFERROR(INDEX(القوائم!$B$1:$B$96,MATCH(TRIM(D11),القوائم!$A$1:$A$96,0)),IFERROR(MOD(TIMEVALUE(D11),1),""))))</f>
        <v/>
      </c>
      <c r="M11" s="43" t="n">
        <f aca="false">IF(A11="",0,IF(AND(A11&gt;=MSTART,A11&lt;=MEND),1,0))</f>
        <v>0</v>
      </c>
    </row>
    <row r="12" customFormat="false" ht="15" hidden="false" customHeight="false" outlineLevel="0" collapsed="false">
      <c r="A12" s="39" t="n">
        <f aca="false">IF(AND(1&lt;=NW,WFIRST+5&gt;=MSTART,WFIRST+5&lt;=MEND),WFIRST+5,"")</f>
        <v>46296</v>
      </c>
      <c r="B12" s="40" t="str">
        <f aca="false">IF(A12="","",CHOOSE(WEEKDAY(A12,1),"الأحد","الاثنين","الثلاثاء","الأربعاء","الخميس","الجمعة","السبت"))</f>
        <v>الخميس</v>
      </c>
      <c r="C12" s="41"/>
      <c r="D12" s="41"/>
      <c r="E12" s="17" t="str">
        <f aca="false">IF(OR(M12=0,K12="",L12=""),"",MOD(L12-K12,1))</f>
        <v/>
      </c>
      <c r="F12" s="18" t="str">
        <f aca="false">IF(OR(E12="",M12=0),"",IF(ROUND_MODE="للأعلى",CEILING(ROUND((E12*24*AZZ_RATE),3),0.25),ROUND((E12*24*AZZ_RATE)*4,0)/4))</f>
        <v/>
      </c>
      <c r="G12" s="41"/>
      <c r="H12" s="23"/>
      <c r="I12" s="41"/>
      <c r="K12" s="42" t="str">
        <f aca="false">IF(OR(M12=0,C12=""),"",IF(ISNUMBER(C12),MOD(C12,1),IFERROR(INDEX(القوائم!$B$1:$B$96,MATCH(TRIM(C12),القوائم!$A$1:$A$96,0)),IFERROR(MOD(TIMEVALUE(C12),1),""))))</f>
        <v/>
      </c>
      <c r="L12" s="42" t="str">
        <f aca="false">IF(OR(M12=0,D12=""),"",IF(ISNUMBER(D12),MOD(D12,1),IFERROR(INDEX(القوائم!$B$1:$B$96,MATCH(TRIM(D12),القوائم!$A$1:$A$96,0)),IFERROR(MOD(TIMEVALUE(D12),1),""))))</f>
        <v/>
      </c>
      <c r="M12" s="43" t="n">
        <f aca="false">IF(A12="",0,IF(AND(A12&gt;=MSTART,A12&lt;=MEND),1,0))</f>
        <v>1</v>
      </c>
    </row>
    <row r="13" customFormat="false" ht="15" hidden="false" customHeight="false" outlineLevel="0" collapsed="false">
      <c r="A13" s="44" t="n">
        <f aca="false">IF(AND(1&lt;=NW,WFIRST+6&gt;=MSTART,WFIRST+6&lt;=MEND),WFIRST+6,"")</f>
        <v>46297</v>
      </c>
      <c r="B13" s="22" t="str">
        <f aca="false">IF(A13="","",CHOOSE(WEEKDAY(A13,1),"الأحد","الاثنين","الثلاثاء","الأربعاء","الخميس","الجمعة","السبت"))</f>
        <v>الجمعة</v>
      </c>
      <c r="C13" s="41"/>
      <c r="D13" s="41"/>
      <c r="E13" s="17" t="str">
        <f aca="false">IF(OR(M13=0,K13="",L13=""),"",MOD(L13-K13,1))</f>
        <v/>
      </c>
      <c r="F13" s="18" t="str">
        <f aca="false">IF(OR(E13="",M13=0),"",IF(ROUND_MODE="للأعلى",CEILING(ROUND((E13*24*AZZ_RATE),3),0.25),ROUND((E13*24*AZZ_RATE)*4,0)/4))</f>
        <v/>
      </c>
      <c r="G13" s="41"/>
      <c r="H13" s="23"/>
      <c r="I13" s="41"/>
      <c r="K13" s="42" t="str">
        <f aca="false">IF(OR(M13=0,C13=""),"",IF(ISNUMBER(C13),MOD(C13,1),IFERROR(INDEX(القوائم!$B$1:$B$96,MATCH(TRIM(C13),القوائم!$A$1:$A$96,0)),IFERROR(MOD(TIMEVALUE(C13),1),""))))</f>
        <v/>
      </c>
      <c r="L13" s="42" t="str">
        <f aca="false">IF(OR(M13=0,D13=""),"",IF(ISNUMBER(D13),MOD(D13,1),IFERROR(INDEX(القوائم!$B$1:$B$96,MATCH(TRIM(D13),القوائم!$A$1:$A$96,0)),IFERROR(MOD(TIMEVALUE(D13),1),""))))</f>
        <v/>
      </c>
      <c r="M13" s="43" t="n">
        <f aca="false">IF(A13="",0,IF(AND(A13&gt;=MSTART,A13&lt;=MEND),1,0))</f>
        <v>1</v>
      </c>
    </row>
    <row r="14" customFormat="false" ht="15" hidden="false" customHeight="false" outlineLevel="0" collapsed="false">
      <c r="A14" s="25" t="str">
        <f aca="false">IF(1&lt;=NW,"مجموع أيام الأسبوع الأول","")</f>
        <v>مجموع أيام الأسبوع الأول</v>
      </c>
      <c r="B14" s="25"/>
      <c r="C14" s="25"/>
      <c r="D14" s="25"/>
      <c r="E14" s="26" t="n">
        <f aca="false">IF(1&lt;=NW,SUM(E7:E13),"")</f>
        <v>0</v>
      </c>
      <c r="F14" s="27" t="n">
        <f aca="false">IF(1&lt;=NW,SUM(F7:F13),"")</f>
        <v>0</v>
      </c>
      <c r="G14" s="25"/>
      <c r="H14" s="27" t="n">
        <f aca="false">IF(1&lt;=NW,SUM(H7:H13),"")</f>
        <v>0</v>
      </c>
      <c r="I14" s="25"/>
    </row>
    <row r="15" customFormat="false" ht="31.5" hidden="false" customHeight="true" outlineLevel="0" collapsed="false">
      <c r="A15" s="45" t="str">
        <f aca="false">IF(1&lt;=NW,"ساعات تحميل الجبسمبورد بهالأسبوع (رقم: 2 أو 1.5) ←","")</f>
        <v>ساعات تحميل الجبسمبورد بهالأسبوع (رقم: 2 أو 1.5) ←</v>
      </c>
      <c r="B15" s="45"/>
      <c r="C15" s="45"/>
      <c r="D15" s="45"/>
      <c r="E15" s="46"/>
      <c r="F15" s="48" t="n">
        <f aca="false">IF(1&lt;=NW,N(F14)+IF(ROUND_MODE="للأعلى",CEILING(ROUND((N(E15)*(GYP_RATE-AZZ_RATE)),3),0.25),ROUND((N(E15)*(GYP_RATE-AZZ_RATE))*4,0)/4),"")</f>
        <v>0</v>
      </c>
      <c r="G15" s="47" t="str">
        <f aca="false">IF(1&lt;=NW,"← المستحق النهائي للأسبوع (دينار) مع فرق الجبسمبورد","")</f>
        <v>← المستحق النهائي للأسبوع (دينار) مع فرق الجبسمبورد</v>
      </c>
      <c r="H15" s="47"/>
      <c r="I15" s="47"/>
    </row>
    <row r="16" customFormat="false" ht="27.75" hidden="false" customHeight="true" outlineLevel="0" collapsed="false">
      <c r="A16" s="53" t="str">
        <f aca="false">IF(2&lt;=NW,"الأسبوع الثاني","")</f>
        <v>الأسبوع الثاني</v>
      </c>
      <c r="B16" s="53"/>
      <c r="C16" s="53"/>
      <c r="D16" s="53"/>
      <c r="E16" s="53"/>
      <c r="F16" s="53"/>
      <c r="G16" s="53"/>
      <c r="H16" s="53"/>
      <c r="I16" s="53"/>
    </row>
    <row r="17" customFormat="false" ht="15" hidden="false" customHeight="false" outlineLevel="0" collapsed="false">
      <c r="A17" s="39" t="n">
        <f aca="false">IF(AND(2&lt;=NW,WFIRST+7&gt;=MSTART,WFIRST+7&lt;=MEND),WFIRST+7,"")</f>
        <v>46298</v>
      </c>
      <c r="B17" s="40" t="str">
        <f aca="false">IF(A17="","",CHOOSE(WEEKDAY(A17,1),"الأحد","الاثنين","الثلاثاء","الأربعاء","الخميس","الجمعة","السبت"))</f>
        <v>السبت</v>
      </c>
      <c r="C17" s="41"/>
      <c r="D17" s="41"/>
      <c r="E17" s="17" t="str">
        <f aca="false">IF(OR(M17=0,K17="",L17=""),"",MOD(L17-K17,1))</f>
        <v/>
      </c>
      <c r="F17" s="18" t="str">
        <f aca="false">IF(OR(E17="",M17=0),"",IF(ROUND_MODE="للأعلى",CEILING(ROUND((E17*24*AZZ_RATE),3),0.25),ROUND((E17*24*AZZ_RATE)*4,0)/4))</f>
        <v/>
      </c>
      <c r="G17" s="41"/>
      <c r="H17" s="23"/>
      <c r="I17" s="41"/>
      <c r="K17" s="42" t="str">
        <f aca="false">IF(OR(M17=0,C17=""),"",IF(ISNUMBER(C17),MOD(C17,1),IFERROR(INDEX(القوائم!$B$1:$B$96,MATCH(TRIM(C17),القوائم!$A$1:$A$96,0)),IFERROR(MOD(TIMEVALUE(C17),1),""))))</f>
        <v/>
      </c>
      <c r="L17" s="42" t="str">
        <f aca="false">IF(OR(M17=0,D17=""),"",IF(ISNUMBER(D17),MOD(D17,1),IFERROR(INDEX(القوائم!$B$1:$B$96,MATCH(TRIM(D17),القوائم!$A$1:$A$96,0)),IFERROR(MOD(TIMEVALUE(D17),1),""))))</f>
        <v/>
      </c>
      <c r="M17" s="43" t="n">
        <f aca="false">IF(A17="",0,IF(AND(A17&gt;=MSTART,A17&lt;=MEND),1,0))</f>
        <v>1</v>
      </c>
    </row>
    <row r="18" customFormat="false" ht="15" hidden="false" customHeight="false" outlineLevel="0" collapsed="false">
      <c r="A18" s="39" t="n">
        <f aca="false">IF(AND(2&lt;=NW,WFIRST+8&gt;=MSTART,WFIRST+8&lt;=MEND),WFIRST+8,"")</f>
        <v>46299</v>
      </c>
      <c r="B18" s="40" t="str">
        <f aca="false">IF(A18="","",CHOOSE(WEEKDAY(A18,1),"الأحد","الاثنين","الثلاثاء","الأربعاء","الخميس","الجمعة","السبت"))</f>
        <v>الأحد</v>
      </c>
      <c r="C18" s="41"/>
      <c r="D18" s="41"/>
      <c r="E18" s="17" t="str">
        <f aca="false">IF(OR(M18=0,K18="",L18=""),"",MOD(L18-K18,1))</f>
        <v/>
      </c>
      <c r="F18" s="18" t="str">
        <f aca="false">IF(OR(E18="",M18=0),"",IF(ROUND_MODE="للأعلى",CEILING(ROUND((E18*24*AZZ_RATE),3),0.25),ROUND((E18*24*AZZ_RATE)*4,0)/4))</f>
        <v/>
      </c>
      <c r="G18" s="41"/>
      <c r="H18" s="23"/>
      <c r="I18" s="41"/>
      <c r="K18" s="42" t="str">
        <f aca="false">IF(OR(M18=0,C18=""),"",IF(ISNUMBER(C18),MOD(C18,1),IFERROR(INDEX(القوائم!$B$1:$B$96,MATCH(TRIM(C18),القوائم!$A$1:$A$96,0)),IFERROR(MOD(TIMEVALUE(C18),1),""))))</f>
        <v/>
      </c>
      <c r="L18" s="42" t="str">
        <f aca="false">IF(OR(M18=0,D18=""),"",IF(ISNUMBER(D18),MOD(D18,1),IFERROR(INDEX(القوائم!$B$1:$B$96,MATCH(TRIM(D18),القوائم!$A$1:$A$96,0)),IFERROR(MOD(TIMEVALUE(D18),1),""))))</f>
        <v/>
      </c>
      <c r="M18" s="43" t="n">
        <f aca="false">IF(A18="",0,IF(AND(A18&gt;=MSTART,A18&lt;=MEND),1,0))</f>
        <v>1</v>
      </c>
    </row>
    <row r="19" customFormat="false" ht="15" hidden="false" customHeight="false" outlineLevel="0" collapsed="false">
      <c r="A19" s="39" t="n">
        <f aca="false">IF(AND(2&lt;=NW,WFIRST+9&gt;=MSTART,WFIRST+9&lt;=MEND),WFIRST+9,"")</f>
        <v>46300</v>
      </c>
      <c r="B19" s="40" t="str">
        <f aca="false">IF(A19="","",CHOOSE(WEEKDAY(A19,1),"الأحد","الاثنين","الثلاثاء","الأربعاء","الخميس","الجمعة","السبت"))</f>
        <v>الاثنين</v>
      </c>
      <c r="C19" s="41"/>
      <c r="D19" s="41"/>
      <c r="E19" s="17" t="str">
        <f aca="false">IF(OR(M19=0,K19="",L19=""),"",MOD(L19-K19,1))</f>
        <v/>
      </c>
      <c r="F19" s="18" t="str">
        <f aca="false">IF(OR(E19="",M19=0),"",IF(ROUND_MODE="للأعلى",CEILING(ROUND((E19*24*AZZ_RATE),3),0.25),ROUND((E19*24*AZZ_RATE)*4,0)/4))</f>
        <v/>
      </c>
      <c r="G19" s="41"/>
      <c r="H19" s="23"/>
      <c r="I19" s="41"/>
      <c r="K19" s="42" t="str">
        <f aca="false">IF(OR(M19=0,C19=""),"",IF(ISNUMBER(C19),MOD(C19,1),IFERROR(INDEX(القوائم!$B$1:$B$96,MATCH(TRIM(C19),القوائم!$A$1:$A$96,0)),IFERROR(MOD(TIMEVALUE(C19),1),""))))</f>
        <v/>
      </c>
      <c r="L19" s="42" t="str">
        <f aca="false">IF(OR(M19=0,D19=""),"",IF(ISNUMBER(D19),MOD(D19,1),IFERROR(INDEX(القوائم!$B$1:$B$96,MATCH(TRIM(D19),القوائم!$A$1:$A$96,0)),IFERROR(MOD(TIMEVALUE(D19),1),""))))</f>
        <v/>
      </c>
      <c r="M19" s="43" t="n">
        <f aca="false">IF(A19="",0,IF(AND(A19&gt;=MSTART,A19&lt;=MEND),1,0))</f>
        <v>1</v>
      </c>
    </row>
    <row r="20" customFormat="false" ht="15" hidden="false" customHeight="false" outlineLevel="0" collapsed="false">
      <c r="A20" s="39" t="n">
        <f aca="false">IF(AND(2&lt;=NW,WFIRST+10&gt;=MSTART,WFIRST+10&lt;=MEND),WFIRST+10,"")</f>
        <v>46301</v>
      </c>
      <c r="B20" s="40" t="str">
        <f aca="false">IF(A20="","",CHOOSE(WEEKDAY(A20,1),"الأحد","الاثنين","الثلاثاء","الأربعاء","الخميس","الجمعة","السبت"))</f>
        <v>الثلاثاء</v>
      </c>
      <c r="C20" s="41"/>
      <c r="D20" s="41"/>
      <c r="E20" s="17" t="str">
        <f aca="false">IF(OR(M20=0,K20="",L20=""),"",MOD(L20-K20,1))</f>
        <v/>
      </c>
      <c r="F20" s="18" t="str">
        <f aca="false">IF(OR(E20="",M20=0),"",IF(ROUND_MODE="للأعلى",CEILING(ROUND((E20*24*AZZ_RATE),3),0.25),ROUND((E20*24*AZZ_RATE)*4,0)/4))</f>
        <v/>
      </c>
      <c r="G20" s="41"/>
      <c r="H20" s="23"/>
      <c r="I20" s="41"/>
      <c r="K20" s="42" t="str">
        <f aca="false">IF(OR(M20=0,C20=""),"",IF(ISNUMBER(C20),MOD(C20,1),IFERROR(INDEX(القوائم!$B$1:$B$96,MATCH(TRIM(C20),القوائم!$A$1:$A$96,0)),IFERROR(MOD(TIMEVALUE(C20),1),""))))</f>
        <v/>
      </c>
      <c r="L20" s="42" t="str">
        <f aca="false">IF(OR(M20=0,D20=""),"",IF(ISNUMBER(D20),MOD(D20,1),IFERROR(INDEX(القوائم!$B$1:$B$96,MATCH(TRIM(D20),القوائم!$A$1:$A$96,0)),IFERROR(MOD(TIMEVALUE(D20),1),""))))</f>
        <v/>
      </c>
      <c r="M20" s="43" t="n">
        <f aca="false">IF(A20="",0,IF(AND(A20&gt;=MSTART,A20&lt;=MEND),1,0))</f>
        <v>1</v>
      </c>
    </row>
    <row r="21" customFormat="false" ht="15" hidden="false" customHeight="false" outlineLevel="0" collapsed="false">
      <c r="A21" s="39" t="n">
        <f aca="false">IF(AND(2&lt;=NW,WFIRST+11&gt;=MSTART,WFIRST+11&lt;=MEND),WFIRST+11,"")</f>
        <v>46302</v>
      </c>
      <c r="B21" s="40" t="str">
        <f aca="false">IF(A21="","",CHOOSE(WEEKDAY(A21,1),"الأحد","الاثنين","الثلاثاء","الأربعاء","الخميس","الجمعة","السبت"))</f>
        <v>الأربعاء</v>
      </c>
      <c r="C21" s="41"/>
      <c r="D21" s="41"/>
      <c r="E21" s="17" t="str">
        <f aca="false">IF(OR(M21=0,K21="",L21=""),"",MOD(L21-K21,1))</f>
        <v/>
      </c>
      <c r="F21" s="18" t="str">
        <f aca="false">IF(OR(E21="",M21=0),"",IF(ROUND_MODE="للأعلى",CEILING(ROUND((E21*24*AZZ_RATE),3),0.25),ROUND((E21*24*AZZ_RATE)*4,0)/4))</f>
        <v/>
      </c>
      <c r="G21" s="41"/>
      <c r="H21" s="23"/>
      <c r="I21" s="41"/>
      <c r="K21" s="42" t="str">
        <f aca="false">IF(OR(M21=0,C21=""),"",IF(ISNUMBER(C21),MOD(C21,1),IFERROR(INDEX(القوائم!$B$1:$B$96,MATCH(TRIM(C21),القوائم!$A$1:$A$96,0)),IFERROR(MOD(TIMEVALUE(C21),1),""))))</f>
        <v/>
      </c>
      <c r="L21" s="42" t="str">
        <f aca="false">IF(OR(M21=0,D21=""),"",IF(ISNUMBER(D21),MOD(D21,1),IFERROR(INDEX(القوائم!$B$1:$B$96,MATCH(TRIM(D21),القوائم!$A$1:$A$96,0)),IFERROR(MOD(TIMEVALUE(D21),1),""))))</f>
        <v/>
      </c>
      <c r="M21" s="43" t="n">
        <f aca="false">IF(A21="",0,IF(AND(A21&gt;=MSTART,A21&lt;=MEND),1,0))</f>
        <v>1</v>
      </c>
    </row>
    <row r="22" customFormat="false" ht="15" hidden="false" customHeight="false" outlineLevel="0" collapsed="false">
      <c r="A22" s="39" t="n">
        <f aca="false">IF(AND(2&lt;=NW,WFIRST+12&gt;=MSTART,WFIRST+12&lt;=MEND),WFIRST+12,"")</f>
        <v>46303</v>
      </c>
      <c r="B22" s="40" t="str">
        <f aca="false">IF(A22="","",CHOOSE(WEEKDAY(A22,1),"الأحد","الاثنين","الثلاثاء","الأربعاء","الخميس","الجمعة","السبت"))</f>
        <v>الخميس</v>
      </c>
      <c r="C22" s="41"/>
      <c r="D22" s="41"/>
      <c r="E22" s="17" t="str">
        <f aca="false">IF(OR(M22=0,K22="",L22=""),"",MOD(L22-K22,1))</f>
        <v/>
      </c>
      <c r="F22" s="18" t="str">
        <f aca="false">IF(OR(E22="",M22=0),"",IF(ROUND_MODE="للأعلى",CEILING(ROUND((E22*24*AZZ_RATE),3),0.25),ROUND((E22*24*AZZ_RATE)*4,0)/4))</f>
        <v/>
      </c>
      <c r="G22" s="41"/>
      <c r="H22" s="23"/>
      <c r="I22" s="41"/>
      <c r="K22" s="42" t="str">
        <f aca="false">IF(OR(M22=0,C22=""),"",IF(ISNUMBER(C22),MOD(C22,1),IFERROR(INDEX(القوائم!$B$1:$B$96,MATCH(TRIM(C22),القوائم!$A$1:$A$96,0)),IFERROR(MOD(TIMEVALUE(C22),1),""))))</f>
        <v/>
      </c>
      <c r="L22" s="42" t="str">
        <f aca="false">IF(OR(M22=0,D22=""),"",IF(ISNUMBER(D22),MOD(D22,1),IFERROR(INDEX(القوائم!$B$1:$B$96,MATCH(TRIM(D22),القوائم!$A$1:$A$96,0)),IFERROR(MOD(TIMEVALUE(D22),1),""))))</f>
        <v/>
      </c>
      <c r="M22" s="43" t="n">
        <f aca="false">IF(A22="",0,IF(AND(A22&gt;=MSTART,A22&lt;=MEND),1,0))</f>
        <v>1</v>
      </c>
    </row>
    <row r="23" customFormat="false" ht="15" hidden="false" customHeight="false" outlineLevel="0" collapsed="false">
      <c r="A23" s="44" t="n">
        <f aca="false">IF(AND(2&lt;=NW,WFIRST+13&gt;=MSTART,WFIRST+13&lt;=MEND),WFIRST+13,"")</f>
        <v>46304</v>
      </c>
      <c r="B23" s="22" t="str">
        <f aca="false">IF(A23="","",CHOOSE(WEEKDAY(A23,1),"الأحد","الاثنين","الثلاثاء","الأربعاء","الخميس","الجمعة","السبت"))</f>
        <v>الجمعة</v>
      </c>
      <c r="C23" s="41"/>
      <c r="D23" s="41"/>
      <c r="E23" s="17" t="str">
        <f aca="false">IF(OR(M23=0,K23="",L23=""),"",MOD(L23-K23,1))</f>
        <v/>
      </c>
      <c r="F23" s="18" t="str">
        <f aca="false">IF(OR(E23="",M23=0),"",IF(ROUND_MODE="للأعلى",CEILING(ROUND((E23*24*AZZ_RATE),3),0.25),ROUND((E23*24*AZZ_RATE)*4,0)/4))</f>
        <v/>
      </c>
      <c r="G23" s="41"/>
      <c r="H23" s="23"/>
      <c r="I23" s="41"/>
      <c r="K23" s="42" t="str">
        <f aca="false">IF(OR(M23=0,C23=""),"",IF(ISNUMBER(C23),MOD(C23,1),IFERROR(INDEX(القوائم!$B$1:$B$96,MATCH(TRIM(C23),القوائم!$A$1:$A$96,0)),IFERROR(MOD(TIMEVALUE(C23),1),""))))</f>
        <v/>
      </c>
      <c r="L23" s="42" t="str">
        <f aca="false">IF(OR(M23=0,D23=""),"",IF(ISNUMBER(D23),MOD(D23,1),IFERROR(INDEX(القوائم!$B$1:$B$96,MATCH(TRIM(D23),القوائم!$A$1:$A$96,0)),IFERROR(MOD(TIMEVALUE(D23),1),""))))</f>
        <v/>
      </c>
      <c r="M23" s="43" t="n">
        <f aca="false">IF(A23="",0,IF(AND(A23&gt;=MSTART,A23&lt;=MEND),1,0))</f>
        <v>1</v>
      </c>
    </row>
    <row r="24" customFormat="false" ht="15" hidden="false" customHeight="false" outlineLevel="0" collapsed="false">
      <c r="A24" s="25" t="str">
        <f aca="false">IF(2&lt;=NW,"مجموع أيام الأسبوع الثاني","")</f>
        <v>مجموع أيام الأسبوع الثاني</v>
      </c>
      <c r="B24" s="25"/>
      <c r="C24" s="25"/>
      <c r="D24" s="25"/>
      <c r="E24" s="26" t="n">
        <f aca="false">IF(2&lt;=NW,SUM(E17:E23),"")</f>
        <v>0</v>
      </c>
      <c r="F24" s="27" t="n">
        <f aca="false">IF(2&lt;=NW,SUM(F17:F23),"")</f>
        <v>0</v>
      </c>
      <c r="G24" s="25"/>
      <c r="H24" s="27" t="n">
        <f aca="false">IF(2&lt;=NW,SUM(H17:H23),"")</f>
        <v>0</v>
      </c>
      <c r="I24" s="25"/>
    </row>
    <row r="25" customFormat="false" ht="31.5" hidden="false" customHeight="true" outlineLevel="0" collapsed="false">
      <c r="A25" s="45" t="str">
        <f aca="false">IF(2&lt;=NW,"ساعات تحميل الجبسمبورد بهالأسبوع (رقم: 2 أو 1.5) ←","")</f>
        <v>ساعات تحميل الجبسمبورد بهالأسبوع (رقم: 2 أو 1.5) ←</v>
      </c>
      <c r="B25" s="45"/>
      <c r="C25" s="45"/>
      <c r="D25" s="45"/>
      <c r="E25" s="46"/>
      <c r="F25" s="48" t="n">
        <f aca="false">IF(2&lt;=NW,N(F24)+IF(ROUND_MODE="للأعلى",CEILING(ROUND((N(E25)*(GYP_RATE-AZZ_RATE)),3),0.25),ROUND((N(E25)*(GYP_RATE-AZZ_RATE))*4,0)/4),"")</f>
        <v>0</v>
      </c>
      <c r="G25" s="47" t="str">
        <f aca="false">IF(2&lt;=NW,"← المستحق النهائي للأسبوع (دينار) مع فرق الجبسمبورد","")</f>
        <v>← المستحق النهائي للأسبوع (دينار) مع فرق الجبسمبورد</v>
      </c>
      <c r="H25" s="47"/>
      <c r="I25" s="47"/>
    </row>
    <row r="26" customFormat="false" ht="27.75" hidden="false" customHeight="true" outlineLevel="0" collapsed="false">
      <c r="A26" s="53" t="str">
        <f aca="false">IF(3&lt;=NW,"الأسبوع الثالث","")</f>
        <v>الأسبوع الثالث</v>
      </c>
      <c r="B26" s="53"/>
      <c r="C26" s="53"/>
      <c r="D26" s="53"/>
      <c r="E26" s="53"/>
      <c r="F26" s="53"/>
      <c r="G26" s="53"/>
      <c r="H26" s="53"/>
      <c r="I26" s="53"/>
    </row>
    <row r="27" customFormat="false" ht="15" hidden="false" customHeight="false" outlineLevel="0" collapsed="false">
      <c r="A27" s="39" t="n">
        <f aca="false">IF(AND(3&lt;=NW,WFIRST+14&gt;=MSTART,WFIRST+14&lt;=MEND),WFIRST+14,"")</f>
        <v>46305</v>
      </c>
      <c r="B27" s="40" t="str">
        <f aca="false">IF(A27="","",CHOOSE(WEEKDAY(A27,1),"الأحد","الاثنين","الثلاثاء","الأربعاء","الخميس","الجمعة","السبت"))</f>
        <v>السبت</v>
      </c>
      <c r="C27" s="41"/>
      <c r="D27" s="41"/>
      <c r="E27" s="17" t="str">
        <f aca="false">IF(OR(M27=0,K27="",L27=""),"",MOD(L27-K27,1))</f>
        <v/>
      </c>
      <c r="F27" s="18" t="str">
        <f aca="false">IF(OR(E27="",M27=0),"",IF(ROUND_MODE="للأعلى",CEILING(ROUND((E27*24*AZZ_RATE),3),0.25),ROUND((E27*24*AZZ_RATE)*4,0)/4))</f>
        <v/>
      </c>
      <c r="G27" s="41"/>
      <c r="H27" s="23"/>
      <c r="I27" s="41"/>
      <c r="K27" s="42" t="str">
        <f aca="false">IF(OR(M27=0,C27=""),"",IF(ISNUMBER(C27),MOD(C27,1),IFERROR(INDEX(القوائم!$B$1:$B$96,MATCH(TRIM(C27),القوائم!$A$1:$A$96,0)),IFERROR(MOD(TIMEVALUE(C27),1),""))))</f>
        <v/>
      </c>
      <c r="L27" s="42" t="str">
        <f aca="false">IF(OR(M27=0,D27=""),"",IF(ISNUMBER(D27),MOD(D27,1),IFERROR(INDEX(القوائم!$B$1:$B$96,MATCH(TRIM(D27),القوائم!$A$1:$A$96,0)),IFERROR(MOD(TIMEVALUE(D27),1),""))))</f>
        <v/>
      </c>
      <c r="M27" s="43" t="n">
        <f aca="false">IF(A27="",0,IF(AND(A27&gt;=MSTART,A27&lt;=MEND),1,0))</f>
        <v>1</v>
      </c>
    </row>
    <row r="28" customFormat="false" ht="15" hidden="false" customHeight="false" outlineLevel="0" collapsed="false">
      <c r="A28" s="39" t="n">
        <f aca="false">IF(AND(3&lt;=NW,WFIRST+15&gt;=MSTART,WFIRST+15&lt;=MEND),WFIRST+15,"")</f>
        <v>46306</v>
      </c>
      <c r="B28" s="40" t="str">
        <f aca="false">IF(A28="","",CHOOSE(WEEKDAY(A28,1),"الأحد","الاثنين","الثلاثاء","الأربعاء","الخميس","الجمعة","السبت"))</f>
        <v>الأحد</v>
      </c>
      <c r="C28" s="41"/>
      <c r="D28" s="41"/>
      <c r="E28" s="17" t="str">
        <f aca="false">IF(OR(M28=0,K28="",L28=""),"",MOD(L28-K28,1))</f>
        <v/>
      </c>
      <c r="F28" s="18" t="str">
        <f aca="false">IF(OR(E28="",M28=0),"",IF(ROUND_MODE="للأعلى",CEILING(ROUND((E28*24*AZZ_RATE),3),0.25),ROUND((E28*24*AZZ_RATE)*4,0)/4))</f>
        <v/>
      </c>
      <c r="G28" s="41"/>
      <c r="H28" s="23"/>
      <c r="I28" s="41"/>
      <c r="K28" s="42" t="str">
        <f aca="false">IF(OR(M28=0,C28=""),"",IF(ISNUMBER(C28),MOD(C28,1),IFERROR(INDEX(القوائم!$B$1:$B$96,MATCH(TRIM(C28),القوائم!$A$1:$A$96,0)),IFERROR(MOD(TIMEVALUE(C28),1),""))))</f>
        <v/>
      </c>
      <c r="L28" s="42" t="str">
        <f aca="false">IF(OR(M28=0,D28=""),"",IF(ISNUMBER(D28),MOD(D28,1),IFERROR(INDEX(القوائم!$B$1:$B$96,MATCH(TRIM(D28),القوائم!$A$1:$A$96,0)),IFERROR(MOD(TIMEVALUE(D28),1),""))))</f>
        <v/>
      </c>
      <c r="M28" s="43" t="n">
        <f aca="false">IF(A28="",0,IF(AND(A28&gt;=MSTART,A28&lt;=MEND),1,0))</f>
        <v>1</v>
      </c>
    </row>
    <row r="29" customFormat="false" ht="15" hidden="false" customHeight="false" outlineLevel="0" collapsed="false">
      <c r="A29" s="39" t="n">
        <f aca="false">IF(AND(3&lt;=NW,WFIRST+16&gt;=MSTART,WFIRST+16&lt;=MEND),WFIRST+16,"")</f>
        <v>46307</v>
      </c>
      <c r="B29" s="40" t="str">
        <f aca="false">IF(A29="","",CHOOSE(WEEKDAY(A29,1),"الأحد","الاثنين","الثلاثاء","الأربعاء","الخميس","الجمعة","السبت"))</f>
        <v>الاثنين</v>
      </c>
      <c r="C29" s="41"/>
      <c r="D29" s="41"/>
      <c r="E29" s="17" t="str">
        <f aca="false">IF(OR(M29=0,K29="",L29=""),"",MOD(L29-K29,1))</f>
        <v/>
      </c>
      <c r="F29" s="18" t="str">
        <f aca="false">IF(OR(E29="",M29=0),"",IF(ROUND_MODE="للأعلى",CEILING(ROUND((E29*24*AZZ_RATE),3),0.25),ROUND((E29*24*AZZ_RATE)*4,0)/4))</f>
        <v/>
      </c>
      <c r="G29" s="41"/>
      <c r="H29" s="23"/>
      <c r="I29" s="41"/>
      <c r="K29" s="42" t="str">
        <f aca="false">IF(OR(M29=0,C29=""),"",IF(ISNUMBER(C29),MOD(C29,1),IFERROR(INDEX(القوائم!$B$1:$B$96,MATCH(TRIM(C29),القوائم!$A$1:$A$96,0)),IFERROR(MOD(TIMEVALUE(C29),1),""))))</f>
        <v/>
      </c>
      <c r="L29" s="42" t="str">
        <f aca="false">IF(OR(M29=0,D29=""),"",IF(ISNUMBER(D29),MOD(D29,1),IFERROR(INDEX(القوائم!$B$1:$B$96,MATCH(TRIM(D29),القوائم!$A$1:$A$96,0)),IFERROR(MOD(TIMEVALUE(D29),1),""))))</f>
        <v/>
      </c>
      <c r="M29" s="43" t="n">
        <f aca="false">IF(A29="",0,IF(AND(A29&gt;=MSTART,A29&lt;=MEND),1,0))</f>
        <v>1</v>
      </c>
    </row>
    <row r="30" customFormat="false" ht="15" hidden="false" customHeight="false" outlineLevel="0" collapsed="false">
      <c r="A30" s="39" t="n">
        <f aca="false">IF(AND(3&lt;=NW,WFIRST+17&gt;=MSTART,WFIRST+17&lt;=MEND),WFIRST+17,"")</f>
        <v>46308</v>
      </c>
      <c r="B30" s="40" t="str">
        <f aca="false">IF(A30="","",CHOOSE(WEEKDAY(A30,1),"الأحد","الاثنين","الثلاثاء","الأربعاء","الخميس","الجمعة","السبت"))</f>
        <v>الثلاثاء</v>
      </c>
      <c r="C30" s="41"/>
      <c r="D30" s="41"/>
      <c r="E30" s="17" t="str">
        <f aca="false">IF(OR(M30=0,K30="",L30=""),"",MOD(L30-K30,1))</f>
        <v/>
      </c>
      <c r="F30" s="18" t="str">
        <f aca="false">IF(OR(E30="",M30=0),"",IF(ROUND_MODE="للأعلى",CEILING(ROUND((E30*24*AZZ_RATE),3),0.25),ROUND((E30*24*AZZ_RATE)*4,0)/4))</f>
        <v/>
      </c>
      <c r="G30" s="41"/>
      <c r="H30" s="23"/>
      <c r="I30" s="41"/>
      <c r="K30" s="42" t="str">
        <f aca="false">IF(OR(M30=0,C30=""),"",IF(ISNUMBER(C30),MOD(C30,1),IFERROR(INDEX(القوائم!$B$1:$B$96,MATCH(TRIM(C30),القوائم!$A$1:$A$96,0)),IFERROR(MOD(TIMEVALUE(C30),1),""))))</f>
        <v/>
      </c>
      <c r="L30" s="42" t="str">
        <f aca="false">IF(OR(M30=0,D30=""),"",IF(ISNUMBER(D30),MOD(D30,1),IFERROR(INDEX(القوائم!$B$1:$B$96,MATCH(TRIM(D30),القوائم!$A$1:$A$96,0)),IFERROR(MOD(TIMEVALUE(D30),1),""))))</f>
        <v/>
      </c>
      <c r="M30" s="43" t="n">
        <f aca="false">IF(A30="",0,IF(AND(A30&gt;=MSTART,A30&lt;=MEND),1,0))</f>
        <v>1</v>
      </c>
    </row>
    <row r="31" customFormat="false" ht="15" hidden="false" customHeight="false" outlineLevel="0" collapsed="false">
      <c r="A31" s="39" t="n">
        <f aca="false">IF(AND(3&lt;=NW,WFIRST+18&gt;=MSTART,WFIRST+18&lt;=MEND),WFIRST+18,"")</f>
        <v>46309</v>
      </c>
      <c r="B31" s="40" t="str">
        <f aca="false">IF(A31="","",CHOOSE(WEEKDAY(A31,1),"الأحد","الاثنين","الثلاثاء","الأربعاء","الخميس","الجمعة","السبت"))</f>
        <v>الأربعاء</v>
      </c>
      <c r="C31" s="41"/>
      <c r="D31" s="41"/>
      <c r="E31" s="17" t="str">
        <f aca="false">IF(OR(M31=0,K31="",L31=""),"",MOD(L31-K31,1))</f>
        <v/>
      </c>
      <c r="F31" s="18" t="str">
        <f aca="false">IF(OR(E31="",M31=0),"",IF(ROUND_MODE="للأعلى",CEILING(ROUND((E31*24*AZZ_RATE),3),0.25),ROUND((E31*24*AZZ_RATE)*4,0)/4))</f>
        <v/>
      </c>
      <c r="G31" s="41"/>
      <c r="H31" s="23"/>
      <c r="I31" s="41"/>
      <c r="K31" s="42" t="str">
        <f aca="false">IF(OR(M31=0,C31=""),"",IF(ISNUMBER(C31),MOD(C31,1),IFERROR(INDEX(القوائم!$B$1:$B$96,MATCH(TRIM(C31),القوائم!$A$1:$A$96,0)),IFERROR(MOD(TIMEVALUE(C31),1),""))))</f>
        <v/>
      </c>
      <c r="L31" s="42" t="str">
        <f aca="false">IF(OR(M31=0,D31=""),"",IF(ISNUMBER(D31),MOD(D31,1),IFERROR(INDEX(القوائم!$B$1:$B$96,MATCH(TRIM(D31),القوائم!$A$1:$A$96,0)),IFERROR(MOD(TIMEVALUE(D31),1),""))))</f>
        <v/>
      </c>
      <c r="M31" s="43" t="n">
        <f aca="false">IF(A31="",0,IF(AND(A31&gt;=MSTART,A31&lt;=MEND),1,0))</f>
        <v>1</v>
      </c>
    </row>
    <row r="32" customFormat="false" ht="15" hidden="false" customHeight="false" outlineLevel="0" collapsed="false">
      <c r="A32" s="39" t="n">
        <f aca="false">IF(AND(3&lt;=NW,WFIRST+19&gt;=MSTART,WFIRST+19&lt;=MEND),WFIRST+19,"")</f>
        <v>46310</v>
      </c>
      <c r="B32" s="40" t="str">
        <f aca="false">IF(A32="","",CHOOSE(WEEKDAY(A32,1),"الأحد","الاثنين","الثلاثاء","الأربعاء","الخميس","الجمعة","السبت"))</f>
        <v>الخميس</v>
      </c>
      <c r="C32" s="41"/>
      <c r="D32" s="41"/>
      <c r="E32" s="17" t="str">
        <f aca="false">IF(OR(M32=0,K32="",L32=""),"",MOD(L32-K32,1))</f>
        <v/>
      </c>
      <c r="F32" s="18" t="str">
        <f aca="false">IF(OR(E32="",M32=0),"",IF(ROUND_MODE="للأعلى",CEILING(ROUND((E32*24*AZZ_RATE),3),0.25),ROUND((E32*24*AZZ_RATE)*4,0)/4))</f>
        <v/>
      </c>
      <c r="G32" s="41"/>
      <c r="H32" s="23"/>
      <c r="I32" s="41"/>
      <c r="K32" s="42" t="str">
        <f aca="false">IF(OR(M32=0,C32=""),"",IF(ISNUMBER(C32),MOD(C32,1),IFERROR(INDEX(القوائم!$B$1:$B$96,MATCH(TRIM(C32),القوائم!$A$1:$A$96,0)),IFERROR(MOD(TIMEVALUE(C32),1),""))))</f>
        <v/>
      </c>
      <c r="L32" s="42" t="str">
        <f aca="false">IF(OR(M32=0,D32=""),"",IF(ISNUMBER(D32),MOD(D32,1),IFERROR(INDEX(القوائم!$B$1:$B$96,MATCH(TRIM(D32),القوائم!$A$1:$A$96,0)),IFERROR(MOD(TIMEVALUE(D32),1),""))))</f>
        <v/>
      </c>
      <c r="M32" s="43" t="n">
        <f aca="false">IF(A32="",0,IF(AND(A32&gt;=MSTART,A32&lt;=MEND),1,0))</f>
        <v>1</v>
      </c>
    </row>
    <row r="33" customFormat="false" ht="15" hidden="false" customHeight="false" outlineLevel="0" collapsed="false">
      <c r="A33" s="44" t="n">
        <f aca="false">IF(AND(3&lt;=NW,WFIRST+20&gt;=MSTART,WFIRST+20&lt;=MEND),WFIRST+20,"")</f>
        <v>46311</v>
      </c>
      <c r="B33" s="22" t="str">
        <f aca="false">IF(A33="","",CHOOSE(WEEKDAY(A33,1),"الأحد","الاثنين","الثلاثاء","الأربعاء","الخميس","الجمعة","السبت"))</f>
        <v>الجمعة</v>
      </c>
      <c r="C33" s="41"/>
      <c r="D33" s="41"/>
      <c r="E33" s="17" t="str">
        <f aca="false">IF(OR(M33=0,K33="",L33=""),"",MOD(L33-K33,1))</f>
        <v/>
      </c>
      <c r="F33" s="18" t="str">
        <f aca="false">IF(OR(E33="",M33=0),"",IF(ROUND_MODE="للأعلى",CEILING(ROUND((E33*24*AZZ_RATE),3),0.25),ROUND((E33*24*AZZ_RATE)*4,0)/4))</f>
        <v/>
      </c>
      <c r="G33" s="41"/>
      <c r="H33" s="23"/>
      <c r="I33" s="41"/>
      <c r="K33" s="42" t="str">
        <f aca="false">IF(OR(M33=0,C33=""),"",IF(ISNUMBER(C33),MOD(C33,1),IFERROR(INDEX(القوائم!$B$1:$B$96,MATCH(TRIM(C33),القوائم!$A$1:$A$96,0)),IFERROR(MOD(TIMEVALUE(C33),1),""))))</f>
        <v/>
      </c>
      <c r="L33" s="42" t="str">
        <f aca="false">IF(OR(M33=0,D33=""),"",IF(ISNUMBER(D33),MOD(D33,1),IFERROR(INDEX(القوائم!$B$1:$B$96,MATCH(TRIM(D33),القوائم!$A$1:$A$96,0)),IFERROR(MOD(TIMEVALUE(D33),1),""))))</f>
        <v/>
      </c>
      <c r="M33" s="43" t="n">
        <f aca="false">IF(A33="",0,IF(AND(A33&gt;=MSTART,A33&lt;=MEND),1,0))</f>
        <v>1</v>
      </c>
    </row>
    <row r="34" customFormat="false" ht="15" hidden="false" customHeight="false" outlineLevel="0" collapsed="false">
      <c r="A34" s="25" t="str">
        <f aca="false">IF(3&lt;=NW,"مجموع أيام الأسبوع الثالث","")</f>
        <v>مجموع أيام الأسبوع الثالث</v>
      </c>
      <c r="B34" s="25"/>
      <c r="C34" s="25"/>
      <c r="D34" s="25"/>
      <c r="E34" s="26" t="n">
        <f aca="false">IF(3&lt;=NW,SUM(E27:E33),"")</f>
        <v>0</v>
      </c>
      <c r="F34" s="27" t="n">
        <f aca="false">IF(3&lt;=NW,SUM(F27:F33),"")</f>
        <v>0</v>
      </c>
      <c r="G34" s="25"/>
      <c r="H34" s="27" t="n">
        <f aca="false">IF(3&lt;=NW,SUM(H27:H33),"")</f>
        <v>0</v>
      </c>
      <c r="I34" s="25"/>
    </row>
    <row r="35" customFormat="false" ht="31.5" hidden="false" customHeight="true" outlineLevel="0" collapsed="false">
      <c r="A35" s="45" t="str">
        <f aca="false">IF(3&lt;=NW,"ساعات تحميل الجبسمبورد بهالأسبوع (رقم: 2 أو 1.5) ←","")</f>
        <v>ساعات تحميل الجبسمبورد بهالأسبوع (رقم: 2 أو 1.5) ←</v>
      </c>
      <c r="B35" s="45"/>
      <c r="C35" s="45"/>
      <c r="D35" s="45"/>
      <c r="E35" s="46"/>
      <c r="F35" s="48" t="n">
        <f aca="false">IF(3&lt;=NW,N(F34)+IF(ROUND_MODE="للأعلى",CEILING(ROUND((N(E35)*(GYP_RATE-AZZ_RATE)),3),0.25),ROUND((N(E35)*(GYP_RATE-AZZ_RATE))*4,0)/4),"")</f>
        <v>0</v>
      </c>
      <c r="G35" s="47" t="str">
        <f aca="false">IF(3&lt;=NW,"← المستحق النهائي للأسبوع (دينار) مع فرق الجبسمبورد","")</f>
        <v>← المستحق النهائي للأسبوع (دينار) مع فرق الجبسمبورد</v>
      </c>
      <c r="H35" s="47"/>
      <c r="I35" s="47"/>
    </row>
    <row r="36" customFormat="false" ht="27.75" hidden="false" customHeight="true" outlineLevel="0" collapsed="false">
      <c r="A36" s="53" t="str">
        <f aca="false">IF(4&lt;=NW,"الأسبوع الرابع","")</f>
        <v>الأسبوع الرابع</v>
      </c>
      <c r="B36" s="53"/>
      <c r="C36" s="53"/>
      <c r="D36" s="53"/>
      <c r="E36" s="53"/>
      <c r="F36" s="53"/>
      <c r="G36" s="53"/>
      <c r="H36" s="53"/>
      <c r="I36" s="53"/>
    </row>
    <row r="37" customFormat="false" ht="15" hidden="false" customHeight="false" outlineLevel="0" collapsed="false">
      <c r="A37" s="39" t="n">
        <f aca="false">IF(AND(4&lt;=NW,WFIRST+21&gt;=MSTART,WFIRST+21&lt;=MEND),WFIRST+21,"")</f>
        <v>46312</v>
      </c>
      <c r="B37" s="40" t="str">
        <f aca="false">IF(A37="","",CHOOSE(WEEKDAY(A37,1),"الأحد","الاثنين","الثلاثاء","الأربعاء","الخميس","الجمعة","السبت"))</f>
        <v>السبت</v>
      </c>
      <c r="C37" s="41"/>
      <c r="D37" s="41"/>
      <c r="E37" s="17" t="str">
        <f aca="false">IF(OR(M37=0,K37="",L37=""),"",MOD(L37-K37,1))</f>
        <v/>
      </c>
      <c r="F37" s="18" t="str">
        <f aca="false">IF(OR(E37="",M37=0),"",IF(ROUND_MODE="للأعلى",CEILING(ROUND((E37*24*AZZ_RATE),3),0.25),ROUND((E37*24*AZZ_RATE)*4,0)/4))</f>
        <v/>
      </c>
      <c r="G37" s="41"/>
      <c r="H37" s="23"/>
      <c r="I37" s="41"/>
      <c r="K37" s="42" t="str">
        <f aca="false">IF(OR(M37=0,C37=""),"",IF(ISNUMBER(C37),MOD(C37,1),IFERROR(INDEX(القوائم!$B$1:$B$96,MATCH(TRIM(C37),القوائم!$A$1:$A$96,0)),IFERROR(MOD(TIMEVALUE(C37),1),""))))</f>
        <v/>
      </c>
      <c r="L37" s="42" t="str">
        <f aca="false">IF(OR(M37=0,D37=""),"",IF(ISNUMBER(D37),MOD(D37,1),IFERROR(INDEX(القوائم!$B$1:$B$96,MATCH(TRIM(D37),القوائم!$A$1:$A$96,0)),IFERROR(MOD(TIMEVALUE(D37),1),""))))</f>
        <v/>
      </c>
      <c r="M37" s="43" t="n">
        <f aca="false">IF(A37="",0,IF(AND(A37&gt;=MSTART,A37&lt;=MEND),1,0))</f>
        <v>1</v>
      </c>
    </row>
    <row r="38" customFormat="false" ht="15" hidden="false" customHeight="false" outlineLevel="0" collapsed="false">
      <c r="A38" s="39" t="n">
        <f aca="false">IF(AND(4&lt;=NW,WFIRST+22&gt;=MSTART,WFIRST+22&lt;=MEND),WFIRST+22,"")</f>
        <v>46313</v>
      </c>
      <c r="B38" s="40" t="str">
        <f aca="false">IF(A38="","",CHOOSE(WEEKDAY(A38,1),"الأحد","الاثنين","الثلاثاء","الأربعاء","الخميس","الجمعة","السبت"))</f>
        <v>الأحد</v>
      </c>
      <c r="C38" s="41"/>
      <c r="D38" s="41"/>
      <c r="E38" s="17" t="str">
        <f aca="false">IF(OR(M38=0,K38="",L38=""),"",MOD(L38-K38,1))</f>
        <v/>
      </c>
      <c r="F38" s="18" t="str">
        <f aca="false">IF(OR(E38="",M38=0),"",IF(ROUND_MODE="للأعلى",CEILING(ROUND((E38*24*AZZ_RATE),3),0.25),ROUND((E38*24*AZZ_RATE)*4,0)/4))</f>
        <v/>
      </c>
      <c r="G38" s="41"/>
      <c r="H38" s="23"/>
      <c r="I38" s="41"/>
      <c r="K38" s="42" t="str">
        <f aca="false">IF(OR(M38=0,C38=""),"",IF(ISNUMBER(C38),MOD(C38,1),IFERROR(INDEX(القوائم!$B$1:$B$96,MATCH(TRIM(C38),القوائم!$A$1:$A$96,0)),IFERROR(MOD(TIMEVALUE(C38),1),""))))</f>
        <v/>
      </c>
      <c r="L38" s="42" t="str">
        <f aca="false">IF(OR(M38=0,D38=""),"",IF(ISNUMBER(D38),MOD(D38,1),IFERROR(INDEX(القوائم!$B$1:$B$96,MATCH(TRIM(D38),القوائم!$A$1:$A$96,0)),IFERROR(MOD(TIMEVALUE(D38),1),""))))</f>
        <v/>
      </c>
      <c r="M38" s="43" t="n">
        <f aca="false">IF(A38="",0,IF(AND(A38&gt;=MSTART,A38&lt;=MEND),1,0))</f>
        <v>1</v>
      </c>
    </row>
    <row r="39" customFormat="false" ht="15" hidden="false" customHeight="false" outlineLevel="0" collapsed="false">
      <c r="A39" s="39" t="n">
        <f aca="false">IF(AND(4&lt;=NW,WFIRST+23&gt;=MSTART,WFIRST+23&lt;=MEND),WFIRST+23,"")</f>
        <v>46314</v>
      </c>
      <c r="B39" s="40" t="str">
        <f aca="false">IF(A39="","",CHOOSE(WEEKDAY(A39,1),"الأحد","الاثنين","الثلاثاء","الأربعاء","الخميس","الجمعة","السبت"))</f>
        <v>الاثنين</v>
      </c>
      <c r="C39" s="41"/>
      <c r="D39" s="41"/>
      <c r="E39" s="17" t="str">
        <f aca="false">IF(OR(M39=0,K39="",L39=""),"",MOD(L39-K39,1))</f>
        <v/>
      </c>
      <c r="F39" s="18" t="str">
        <f aca="false">IF(OR(E39="",M39=0),"",IF(ROUND_MODE="للأعلى",CEILING(ROUND((E39*24*AZZ_RATE),3),0.25),ROUND((E39*24*AZZ_RATE)*4,0)/4))</f>
        <v/>
      </c>
      <c r="G39" s="41"/>
      <c r="H39" s="23"/>
      <c r="I39" s="41"/>
      <c r="K39" s="42" t="str">
        <f aca="false">IF(OR(M39=0,C39=""),"",IF(ISNUMBER(C39),MOD(C39,1),IFERROR(INDEX(القوائم!$B$1:$B$96,MATCH(TRIM(C39),القوائم!$A$1:$A$96,0)),IFERROR(MOD(TIMEVALUE(C39),1),""))))</f>
        <v/>
      </c>
      <c r="L39" s="42" t="str">
        <f aca="false">IF(OR(M39=0,D39=""),"",IF(ISNUMBER(D39),MOD(D39,1),IFERROR(INDEX(القوائم!$B$1:$B$96,MATCH(TRIM(D39),القوائم!$A$1:$A$96,0)),IFERROR(MOD(TIMEVALUE(D39),1),""))))</f>
        <v/>
      </c>
      <c r="M39" s="43" t="n">
        <f aca="false">IF(A39="",0,IF(AND(A39&gt;=MSTART,A39&lt;=MEND),1,0))</f>
        <v>1</v>
      </c>
    </row>
    <row r="40" customFormat="false" ht="15" hidden="false" customHeight="false" outlineLevel="0" collapsed="false">
      <c r="A40" s="39" t="n">
        <f aca="false">IF(AND(4&lt;=NW,WFIRST+24&gt;=MSTART,WFIRST+24&lt;=MEND),WFIRST+24,"")</f>
        <v>46315</v>
      </c>
      <c r="B40" s="40" t="str">
        <f aca="false">IF(A40="","",CHOOSE(WEEKDAY(A40,1),"الأحد","الاثنين","الثلاثاء","الأربعاء","الخميس","الجمعة","السبت"))</f>
        <v>الثلاثاء</v>
      </c>
      <c r="C40" s="41"/>
      <c r="D40" s="41"/>
      <c r="E40" s="17" t="str">
        <f aca="false">IF(OR(M40=0,K40="",L40=""),"",MOD(L40-K40,1))</f>
        <v/>
      </c>
      <c r="F40" s="18" t="str">
        <f aca="false">IF(OR(E40="",M40=0),"",IF(ROUND_MODE="للأعلى",CEILING(ROUND((E40*24*AZZ_RATE),3),0.25),ROUND((E40*24*AZZ_RATE)*4,0)/4))</f>
        <v/>
      </c>
      <c r="G40" s="41"/>
      <c r="H40" s="23"/>
      <c r="I40" s="41"/>
      <c r="K40" s="42" t="str">
        <f aca="false">IF(OR(M40=0,C40=""),"",IF(ISNUMBER(C40),MOD(C40,1),IFERROR(INDEX(القوائم!$B$1:$B$96,MATCH(TRIM(C40),القوائم!$A$1:$A$96,0)),IFERROR(MOD(TIMEVALUE(C40),1),""))))</f>
        <v/>
      </c>
      <c r="L40" s="42" t="str">
        <f aca="false">IF(OR(M40=0,D40=""),"",IF(ISNUMBER(D40),MOD(D40,1),IFERROR(INDEX(القوائم!$B$1:$B$96,MATCH(TRIM(D40),القوائم!$A$1:$A$96,0)),IFERROR(MOD(TIMEVALUE(D40),1),""))))</f>
        <v/>
      </c>
      <c r="M40" s="43" t="n">
        <f aca="false">IF(A40="",0,IF(AND(A40&gt;=MSTART,A40&lt;=MEND),1,0))</f>
        <v>1</v>
      </c>
    </row>
    <row r="41" customFormat="false" ht="15" hidden="false" customHeight="false" outlineLevel="0" collapsed="false">
      <c r="A41" s="39" t="n">
        <f aca="false">IF(AND(4&lt;=NW,WFIRST+25&gt;=MSTART,WFIRST+25&lt;=MEND),WFIRST+25,"")</f>
        <v>46316</v>
      </c>
      <c r="B41" s="40" t="str">
        <f aca="false">IF(A41="","",CHOOSE(WEEKDAY(A41,1),"الأحد","الاثنين","الثلاثاء","الأربعاء","الخميس","الجمعة","السبت"))</f>
        <v>الأربعاء</v>
      </c>
      <c r="C41" s="41"/>
      <c r="D41" s="41"/>
      <c r="E41" s="17" t="str">
        <f aca="false">IF(OR(M41=0,K41="",L41=""),"",MOD(L41-K41,1))</f>
        <v/>
      </c>
      <c r="F41" s="18" t="str">
        <f aca="false">IF(OR(E41="",M41=0),"",IF(ROUND_MODE="للأعلى",CEILING(ROUND((E41*24*AZZ_RATE),3),0.25),ROUND((E41*24*AZZ_RATE)*4,0)/4))</f>
        <v/>
      </c>
      <c r="G41" s="41"/>
      <c r="H41" s="23"/>
      <c r="I41" s="41"/>
      <c r="K41" s="42" t="str">
        <f aca="false">IF(OR(M41=0,C41=""),"",IF(ISNUMBER(C41),MOD(C41,1),IFERROR(INDEX(القوائم!$B$1:$B$96,MATCH(TRIM(C41),القوائم!$A$1:$A$96,0)),IFERROR(MOD(TIMEVALUE(C41),1),""))))</f>
        <v/>
      </c>
      <c r="L41" s="42" t="str">
        <f aca="false">IF(OR(M41=0,D41=""),"",IF(ISNUMBER(D41),MOD(D41,1),IFERROR(INDEX(القوائم!$B$1:$B$96,MATCH(TRIM(D41),القوائم!$A$1:$A$96,0)),IFERROR(MOD(TIMEVALUE(D41),1),""))))</f>
        <v/>
      </c>
      <c r="M41" s="43" t="n">
        <f aca="false">IF(A41="",0,IF(AND(A41&gt;=MSTART,A41&lt;=MEND),1,0))</f>
        <v>1</v>
      </c>
    </row>
    <row r="42" customFormat="false" ht="15" hidden="false" customHeight="false" outlineLevel="0" collapsed="false">
      <c r="A42" s="39" t="n">
        <f aca="false">IF(AND(4&lt;=NW,WFIRST+26&gt;=MSTART,WFIRST+26&lt;=MEND),WFIRST+26,"")</f>
        <v>46317</v>
      </c>
      <c r="B42" s="40" t="str">
        <f aca="false">IF(A42="","",CHOOSE(WEEKDAY(A42,1),"الأحد","الاثنين","الثلاثاء","الأربعاء","الخميس","الجمعة","السبت"))</f>
        <v>الخميس</v>
      </c>
      <c r="C42" s="41"/>
      <c r="D42" s="41"/>
      <c r="E42" s="17" t="str">
        <f aca="false">IF(OR(M42=0,K42="",L42=""),"",MOD(L42-K42,1))</f>
        <v/>
      </c>
      <c r="F42" s="18" t="str">
        <f aca="false">IF(OR(E42="",M42=0),"",IF(ROUND_MODE="للأعلى",CEILING(ROUND((E42*24*AZZ_RATE),3),0.25),ROUND((E42*24*AZZ_RATE)*4,0)/4))</f>
        <v/>
      </c>
      <c r="G42" s="41"/>
      <c r="H42" s="23"/>
      <c r="I42" s="41"/>
      <c r="K42" s="42" t="str">
        <f aca="false">IF(OR(M42=0,C42=""),"",IF(ISNUMBER(C42),MOD(C42,1),IFERROR(INDEX(القوائم!$B$1:$B$96,MATCH(TRIM(C42),القوائم!$A$1:$A$96,0)),IFERROR(MOD(TIMEVALUE(C42),1),""))))</f>
        <v/>
      </c>
      <c r="L42" s="42" t="str">
        <f aca="false">IF(OR(M42=0,D42=""),"",IF(ISNUMBER(D42),MOD(D42,1),IFERROR(INDEX(القوائم!$B$1:$B$96,MATCH(TRIM(D42),القوائم!$A$1:$A$96,0)),IFERROR(MOD(TIMEVALUE(D42),1),""))))</f>
        <v/>
      </c>
      <c r="M42" s="43" t="n">
        <f aca="false">IF(A42="",0,IF(AND(A42&gt;=MSTART,A42&lt;=MEND),1,0))</f>
        <v>1</v>
      </c>
    </row>
    <row r="43" customFormat="false" ht="15" hidden="false" customHeight="false" outlineLevel="0" collapsed="false">
      <c r="A43" s="44" t="n">
        <f aca="false">IF(AND(4&lt;=NW,WFIRST+27&gt;=MSTART,WFIRST+27&lt;=MEND),WFIRST+27,"")</f>
        <v>46318</v>
      </c>
      <c r="B43" s="22" t="str">
        <f aca="false">IF(A43="","",CHOOSE(WEEKDAY(A43,1),"الأحد","الاثنين","الثلاثاء","الأربعاء","الخميس","الجمعة","السبت"))</f>
        <v>الجمعة</v>
      </c>
      <c r="C43" s="41"/>
      <c r="D43" s="41"/>
      <c r="E43" s="17" t="str">
        <f aca="false">IF(OR(M43=0,K43="",L43=""),"",MOD(L43-K43,1))</f>
        <v/>
      </c>
      <c r="F43" s="18" t="str">
        <f aca="false">IF(OR(E43="",M43=0),"",IF(ROUND_MODE="للأعلى",CEILING(ROUND((E43*24*AZZ_RATE),3),0.25),ROUND((E43*24*AZZ_RATE)*4,0)/4))</f>
        <v/>
      </c>
      <c r="G43" s="41"/>
      <c r="H43" s="23"/>
      <c r="I43" s="41"/>
      <c r="K43" s="42" t="str">
        <f aca="false">IF(OR(M43=0,C43=""),"",IF(ISNUMBER(C43),MOD(C43,1),IFERROR(INDEX(القوائم!$B$1:$B$96,MATCH(TRIM(C43),القوائم!$A$1:$A$96,0)),IFERROR(MOD(TIMEVALUE(C43),1),""))))</f>
        <v/>
      </c>
      <c r="L43" s="42" t="str">
        <f aca="false">IF(OR(M43=0,D43=""),"",IF(ISNUMBER(D43),MOD(D43,1),IFERROR(INDEX(القوائم!$B$1:$B$96,MATCH(TRIM(D43),القوائم!$A$1:$A$96,0)),IFERROR(MOD(TIMEVALUE(D43),1),""))))</f>
        <v/>
      </c>
      <c r="M43" s="43" t="n">
        <f aca="false">IF(A43="",0,IF(AND(A43&gt;=MSTART,A43&lt;=MEND),1,0))</f>
        <v>1</v>
      </c>
    </row>
    <row r="44" customFormat="false" ht="15" hidden="false" customHeight="false" outlineLevel="0" collapsed="false">
      <c r="A44" s="25" t="str">
        <f aca="false">IF(4&lt;=NW,"مجموع أيام الأسبوع الرابع","")</f>
        <v>مجموع أيام الأسبوع الرابع</v>
      </c>
      <c r="B44" s="25"/>
      <c r="C44" s="25"/>
      <c r="D44" s="25"/>
      <c r="E44" s="26" t="n">
        <f aca="false">IF(4&lt;=NW,SUM(E37:E43),"")</f>
        <v>0</v>
      </c>
      <c r="F44" s="27" t="n">
        <f aca="false">IF(4&lt;=NW,SUM(F37:F43),"")</f>
        <v>0</v>
      </c>
      <c r="G44" s="25"/>
      <c r="H44" s="27" t="n">
        <f aca="false">IF(4&lt;=NW,SUM(H37:H43),"")</f>
        <v>0</v>
      </c>
      <c r="I44" s="25"/>
    </row>
    <row r="45" customFormat="false" ht="31.5" hidden="false" customHeight="true" outlineLevel="0" collapsed="false">
      <c r="A45" s="45" t="str">
        <f aca="false">IF(4&lt;=NW,"ساعات تحميل الجبسمبورد بهالأسبوع (رقم: 2 أو 1.5) ←","")</f>
        <v>ساعات تحميل الجبسمبورد بهالأسبوع (رقم: 2 أو 1.5) ←</v>
      </c>
      <c r="B45" s="45"/>
      <c r="C45" s="45"/>
      <c r="D45" s="45"/>
      <c r="E45" s="46"/>
      <c r="F45" s="48" t="n">
        <f aca="false">IF(4&lt;=NW,N(F44)+IF(ROUND_MODE="للأعلى",CEILING(ROUND((N(E45)*(GYP_RATE-AZZ_RATE)),3),0.25),ROUND((N(E45)*(GYP_RATE-AZZ_RATE))*4,0)/4),"")</f>
        <v>0</v>
      </c>
      <c r="G45" s="47" t="str">
        <f aca="false">IF(4&lt;=NW,"← المستحق النهائي للأسبوع (دينار) مع فرق الجبسمبورد","")</f>
        <v>← المستحق النهائي للأسبوع (دينار) مع فرق الجبسمبورد</v>
      </c>
      <c r="H45" s="47"/>
      <c r="I45" s="47"/>
    </row>
    <row r="46" customFormat="false" ht="27.75" hidden="false" customHeight="true" outlineLevel="0" collapsed="false">
      <c r="A46" s="53" t="str">
        <f aca="false">IF(5&lt;=NW,"الأسبوع الخامس","")</f>
        <v>الأسبوع الخامس</v>
      </c>
      <c r="B46" s="53"/>
      <c r="C46" s="53"/>
      <c r="D46" s="53"/>
      <c r="E46" s="53"/>
      <c r="F46" s="53"/>
      <c r="G46" s="53"/>
      <c r="H46" s="53"/>
      <c r="I46" s="53"/>
    </row>
    <row r="47" customFormat="false" ht="15" hidden="false" customHeight="false" outlineLevel="0" collapsed="false">
      <c r="A47" s="39" t="n">
        <f aca="false">IF(AND(5&lt;=NW,WFIRST+28&gt;=MSTART,WFIRST+28&lt;=MEND),WFIRST+28,"")</f>
        <v>46319</v>
      </c>
      <c r="B47" s="40" t="str">
        <f aca="false">IF(A47="","",CHOOSE(WEEKDAY(A47,1),"الأحد","الاثنين","الثلاثاء","الأربعاء","الخميس","الجمعة","السبت"))</f>
        <v>السبت</v>
      </c>
      <c r="C47" s="41"/>
      <c r="D47" s="41"/>
      <c r="E47" s="17" t="str">
        <f aca="false">IF(OR(M47=0,K47="",L47=""),"",MOD(L47-K47,1))</f>
        <v/>
      </c>
      <c r="F47" s="18" t="str">
        <f aca="false">IF(OR(E47="",M47=0),"",IF(ROUND_MODE="للأعلى",CEILING(ROUND((E47*24*AZZ_RATE),3),0.25),ROUND((E47*24*AZZ_RATE)*4,0)/4))</f>
        <v/>
      </c>
      <c r="G47" s="41"/>
      <c r="H47" s="23"/>
      <c r="I47" s="41"/>
      <c r="K47" s="42" t="str">
        <f aca="false">IF(OR(M47=0,C47=""),"",IF(ISNUMBER(C47),MOD(C47,1),IFERROR(INDEX(القوائم!$B$1:$B$96,MATCH(TRIM(C47),القوائم!$A$1:$A$96,0)),IFERROR(MOD(TIMEVALUE(C47),1),""))))</f>
        <v/>
      </c>
      <c r="L47" s="42" t="str">
        <f aca="false">IF(OR(M47=0,D47=""),"",IF(ISNUMBER(D47),MOD(D47,1),IFERROR(INDEX(القوائم!$B$1:$B$96,MATCH(TRIM(D47),القوائم!$A$1:$A$96,0)),IFERROR(MOD(TIMEVALUE(D47),1),""))))</f>
        <v/>
      </c>
      <c r="M47" s="43" t="n">
        <f aca="false">IF(A47="",0,IF(AND(A47&gt;=MSTART,A47&lt;=MEND),1,0))</f>
        <v>1</v>
      </c>
    </row>
    <row r="48" customFormat="false" ht="15" hidden="false" customHeight="false" outlineLevel="0" collapsed="false">
      <c r="A48" s="39" t="n">
        <f aca="false">IF(AND(5&lt;=NW,WFIRST+29&gt;=MSTART,WFIRST+29&lt;=MEND),WFIRST+29,"")</f>
        <v>46320</v>
      </c>
      <c r="B48" s="40" t="str">
        <f aca="false">IF(A48="","",CHOOSE(WEEKDAY(A48,1),"الأحد","الاثنين","الثلاثاء","الأربعاء","الخميس","الجمعة","السبت"))</f>
        <v>الأحد</v>
      </c>
      <c r="C48" s="41"/>
      <c r="D48" s="41"/>
      <c r="E48" s="17" t="str">
        <f aca="false">IF(OR(M48=0,K48="",L48=""),"",MOD(L48-K48,1))</f>
        <v/>
      </c>
      <c r="F48" s="18" t="str">
        <f aca="false">IF(OR(E48="",M48=0),"",IF(ROUND_MODE="للأعلى",CEILING(ROUND((E48*24*AZZ_RATE),3),0.25),ROUND((E48*24*AZZ_RATE)*4,0)/4))</f>
        <v/>
      </c>
      <c r="G48" s="41"/>
      <c r="H48" s="23"/>
      <c r="I48" s="41"/>
      <c r="K48" s="42" t="str">
        <f aca="false">IF(OR(M48=0,C48=""),"",IF(ISNUMBER(C48),MOD(C48,1),IFERROR(INDEX(القوائم!$B$1:$B$96,MATCH(TRIM(C48),القوائم!$A$1:$A$96,0)),IFERROR(MOD(TIMEVALUE(C48),1),""))))</f>
        <v/>
      </c>
      <c r="L48" s="42" t="str">
        <f aca="false">IF(OR(M48=0,D48=""),"",IF(ISNUMBER(D48),MOD(D48,1),IFERROR(INDEX(القوائم!$B$1:$B$96,MATCH(TRIM(D48),القوائم!$A$1:$A$96,0)),IFERROR(MOD(TIMEVALUE(D48),1),""))))</f>
        <v/>
      </c>
      <c r="M48" s="43" t="n">
        <f aca="false">IF(A48="",0,IF(AND(A48&gt;=MSTART,A48&lt;=MEND),1,0))</f>
        <v>1</v>
      </c>
    </row>
    <row r="49" customFormat="false" ht="15" hidden="false" customHeight="false" outlineLevel="0" collapsed="false">
      <c r="A49" s="39" t="n">
        <f aca="false">IF(AND(5&lt;=NW,WFIRST+30&gt;=MSTART,WFIRST+30&lt;=MEND),WFIRST+30,"")</f>
        <v>46321</v>
      </c>
      <c r="B49" s="40" t="str">
        <f aca="false">IF(A49="","",CHOOSE(WEEKDAY(A49,1),"الأحد","الاثنين","الثلاثاء","الأربعاء","الخميس","الجمعة","السبت"))</f>
        <v>الاثنين</v>
      </c>
      <c r="C49" s="41"/>
      <c r="D49" s="41"/>
      <c r="E49" s="17" t="str">
        <f aca="false">IF(OR(M49=0,K49="",L49=""),"",MOD(L49-K49,1))</f>
        <v/>
      </c>
      <c r="F49" s="18" t="str">
        <f aca="false">IF(OR(E49="",M49=0),"",IF(ROUND_MODE="للأعلى",CEILING(ROUND((E49*24*AZZ_RATE),3),0.25),ROUND((E49*24*AZZ_RATE)*4,0)/4))</f>
        <v/>
      </c>
      <c r="G49" s="41"/>
      <c r="H49" s="23"/>
      <c r="I49" s="41"/>
      <c r="K49" s="42" t="str">
        <f aca="false">IF(OR(M49=0,C49=""),"",IF(ISNUMBER(C49),MOD(C49,1),IFERROR(INDEX(القوائم!$B$1:$B$96,MATCH(TRIM(C49),القوائم!$A$1:$A$96,0)),IFERROR(MOD(TIMEVALUE(C49),1),""))))</f>
        <v/>
      </c>
      <c r="L49" s="42" t="str">
        <f aca="false">IF(OR(M49=0,D49=""),"",IF(ISNUMBER(D49),MOD(D49,1),IFERROR(INDEX(القوائم!$B$1:$B$96,MATCH(TRIM(D49),القوائم!$A$1:$A$96,0)),IFERROR(MOD(TIMEVALUE(D49),1),""))))</f>
        <v/>
      </c>
      <c r="M49" s="43" t="n">
        <f aca="false">IF(A49="",0,IF(AND(A49&gt;=MSTART,A49&lt;=MEND),1,0))</f>
        <v>1</v>
      </c>
    </row>
    <row r="50" customFormat="false" ht="15" hidden="false" customHeight="false" outlineLevel="0" collapsed="false">
      <c r="A50" s="39" t="n">
        <f aca="false">IF(AND(5&lt;=NW,WFIRST+31&gt;=MSTART,WFIRST+31&lt;=MEND),WFIRST+31,"")</f>
        <v>46322</v>
      </c>
      <c r="B50" s="40" t="str">
        <f aca="false">IF(A50="","",CHOOSE(WEEKDAY(A50,1),"الأحد","الاثنين","الثلاثاء","الأربعاء","الخميس","الجمعة","السبت"))</f>
        <v>الثلاثاء</v>
      </c>
      <c r="C50" s="41"/>
      <c r="D50" s="41"/>
      <c r="E50" s="17" t="str">
        <f aca="false">IF(OR(M50=0,K50="",L50=""),"",MOD(L50-K50,1))</f>
        <v/>
      </c>
      <c r="F50" s="18" t="str">
        <f aca="false">IF(OR(E50="",M50=0),"",IF(ROUND_MODE="للأعلى",CEILING(ROUND((E50*24*AZZ_RATE),3),0.25),ROUND((E50*24*AZZ_RATE)*4,0)/4))</f>
        <v/>
      </c>
      <c r="G50" s="41"/>
      <c r="H50" s="23"/>
      <c r="I50" s="41"/>
      <c r="K50" s="42" t="str">
        <f aca="false">IF(OR(M50=0,C50=""),"",IF(ISNUMBER(C50),MOD(C50,1),IFERROR(INDEX(القوائم!$B$1:$B$96,MATCH(TRIM(C50),القوائم!$A$1:$A$96,0)),IFERROR(MOD(TIMEVALUE(C50),1),""))))</f>
        <v/>
      </c>
      <c r="L50" s="42" t="str">
        <f aca="false">IF(OR(M50=0,D50=""),"",IF(ISNUMBER(D50),MOD(D50,1),IFERROR(INDEX(القوائم!$B$1:$B$96,MATCH(TRIM(D50),القوائم!$A$1:$A$96,0)),IFERROR(MOD(TIMEVALUE(D50),1),""))))</f>
        <v/>
      </c>
      <c r="M50" s="43" t="n">
        <f aca="false">IF(A50="",0,IF(AND(A50&gt;=MSTART,A50&lt;=MEND),1,0))</f>
        <v>1</v>
      </c>
    </row>
    <row r="51" customFormat="false" ht="15" hidden="false" customHeight="false" outlineLevel="0" collapsed="false">
      <c r="A51" s="39" t="n">
        <f aca="false">IF(AND(5&lt;=NW,WFIRST+32&gt;=MSTART,WFIRST+32&lt;=MEND),WFIRST+32,"")</f>
        <v>46323</v>
      </c>
      <c r="B51" s="40" t="str">
        <f aca="false">IF(A51="","",CHOOSE(WEEKDAY(A51,1),"الأحد","الاثنين","الثلاثاء","الأربعاء","الخميس","الجمعة","السبت"))</f>
        <v>الأربعاء</v>
      </c>
      <c r="C51" s="41"/>
      <c r="D51" s="41"/>
      <c r="E51" s="17" t="str">
        <f aca="false">IF(OR(M51=0,K51="",L51=""),"",MOD(L51-K51,1))</f>
        <v/>
      </c>
      <c r="F51" s="18" t="str">
        <f aca="false">IF(OR(E51="",M51=0),"",IF(ROUND_MODE="للأعلى",CEILING(ROUND((E51*24*AZZ_RATE),3),0.25),ROUND((E51*24*AZZ_RATE)*4,0)/4))</f>
        <v/>
      </c>
      <c r="G51" s="41"/>
      <c r="H51" s="23"/>
      <c r="I51" s="41"/>
      <c r="K51" s="42" t="str">
        <f aca="false">IF(OR(M51=0,C51=""),"",IF(ISNUMBER(C51),MOD(C51,1),IFERROR(INDEX(القوائم!$B$1:$B$96,MATCH(TRIM(C51),القوائم!$A$1:$A$96,0)),IFERROR(MOD(TIMEVALUE(C51),1),""))))</f>
        <v/>
      </c>
      <c r="L51" s="42" t="str">
        <f aca="false">IF(OR(M51=0,D51=""),"",IF(ISNUMBER(D51),MOD(D51,1),IFERROR(INDEX(القوائم!$B$1:$B$96,MATCH(TRIM(D51),القوائم!$A$1:$A$96,0)),IFERROR(MOD(TIMEVALUE(D51),1),""))))</f>
        <v/>
      </c>
      <c r="M51" s="43" t="n">
        <f aca="false">IF(A51="",0,IF(AND(A51&gt;=MSTART,A51&lt;=MEND),1,0))</f>
        <v>1</v>
      </c>
    </row>
    <row r="52" customFormat="false" ht="15" hidden="false" customHeight="false" outlineLevel="0" collapsed="false">
      <c r="A52" s="39" t="n">
        <f aca="false">IF(AND(5&lt;=NW,WFIRST+33&gt;=MSTART,WFIRST+33&lt;=MEND),WFIRST+33,"")</f>
        <v>46324</v>
      </c>
      <c r="B52" s="40" t="str">
        <f aca="false">IF(A52="","",CHOOSE(WEEKDAY(A52,1),"الأحد","الاثنين","الثلاثاء","الأربعاء","الخميس","الجمعة","السبت"))</f>
        <v>الخميس</v>
      </c>
      <c r="C52" s="41"/>
      <c r="D52" s="41"/>
      <c r="E52" s="17" t="str">
        <f aca="false">IF(OR(M52=0,K52="",L52=""),"",MOD(L52-K52,1))</f>
        <v/>
      </c>
      <c r="F52" s="18" t="str">
        <f aca="false">IF(OR(E52="",M52=0),"",IF(ROUND_MODE="للأعلى",CEILING(ROUND((E52*24*AZZ_RATE),3),0.25),ROUND((E52*24*AZZ_RATE)*4,0)/4))</f>
        <v/>
      </c>
      <c r="G52" s="41"/>
      <c r="H52" s="23"/>
      <c r="I52" s="41"/>
      <c r="K52" s="42" t="str">
        <f aca="false">IF(OR(M52=0,C52=""),"",IF(ISNUMBER(C52),MOD(C52,1),IFERROR(INDEX(القوائم!$B$1:$B$96,MATCH(TRIM(C52),القوائم!$A$1:$A$96,0)),IFERROR(MOD(TIMEVALUE(C52),1),""))))</f>
        <v/>
      </c>
      <c r="L52" s="42" t="str">
        <f aca="false">IF(OR(M52=0,D52=""),"",IF(ISNUMBER(D52),MOD(D52,1),IFERROR(INDEX(القوائم!$B$1:$B$96,MATCH(TRIM(D52),القوائم!$A$1:$A$96,0)),IFERROR(MOD(TIMEVALUE(D52),1),""))))</f>
        <v/>
      </c>
      <c r="M52" s="43" t="n">
        <f aca="false">IF(A52="",0,IF(AND(A52&gt;=MSTART,A52&lt;=MEND),1,0))</f>
        <v>1</v>
      </c>
    </row>
    <row r="53" customFormat="false" ht="15" hidden="false" customHeight="false" outlineLevel="0" collapsed="false">
      <c r="A53" s="44" t="n">
        <f aca="false">IF(AND(5&lt;=NW,WFIRST+34&gt;=MSTART,WFIRST+34&lt;=MEND),WFIRST+34,"")</f>
        <v>46325</v>
      </c>
      <c r="B53" s="22" t="str">
        <f aca="false">IF(A53="","",CHOOSE(WEEKDAY(A53,1),"الأحد","الاثنين","الثلاثاء","الأربعاء","الخميس","الجمعة","السبت"))</f>
        <v>الجمعة</v>
      </c>
      <c r="C53" s="41"/>
      <c r="D53" s="41"/>
      <c r="E53" s="17" t="str">
        <f aca="false">IF(OR(M53=0,K53="",L53=""),"",MOD(L53-K53,1))</f>
        <v/>
      </c>
      <c r="F53" s="18" t="str">
        <f aca="false">IF(OR(E53="",M53=0),"",IF(ROUND_MODE="للأعلى",CEILING(ROUND((E53*24*AZZ_RATE),3),0.25),ROUND((E53*24*AZZ_RATE)*4,0)/4))</f>
        <v/>
      </c>
      <c r="G53" s="41"/>
      <c r="H53" s="23"/>
      <c r="I53" s="41"/>
      <c r="K53" s="42" t="str">
        <f aca="false">IF(OR(M53=0,C53=""),"",IF(ISNUMBER(C53),MOD(C53,1),IFERROR(INDEX(القوائم!$B$1:$B$96,MATCH(TRIM(C53),القوائم!$A$1:$A$96,0)),IFERROR(MOD(TIMEVALUE(C53),1),""))))</f>
        <v/>
      </c>
      <c r="L53" s="42" t="str">
        <f aca="false">IF(OR(M53=0,D53=""),"",IF(ISNUMBER(D53),MOD(D53,1),IFERROR(INDEX(القوائم!$B$1:$B$96,MATCH(TRIM(D53),القوائم!$A$1:$A$96,0)),IFERROR(MOD(TIMEVALUE(D53),1),""))))</f>
        <v/>
      </c>
      <c r="M53" s="43" t="n">
        <f aca="false">IF(A53="",0,IF(AND(A53&gt;=MSTART,A53&lt;=MEND),1,0))</f>
        <v>1</v>
      </c>
    </row>
    <row r="54" customFormat="false" ht="15" hidden="false" customHeight="false" outlineLevel="0" collapsed="false">
      <c r="A54" s="25" t="str">
        <f aca="false">IF(5&lt;=NW,"مجموع أيام الأسبوع الخامس","")</f>
        <v>مجموع أيام الأسبوع الخامس</v>
      </c>
      <c r="B54" s="25"/>
      <c r="C54" s="25"/>
      <c r="D54" s="25"/>
      <c r="E54" s="26" t="n">
        <f aca="false">IF(5&lt;=NW,SUM(E47:E53),"")</f>
        <v>0</v>
      </c>
      <c r="F54" s="27" t="n">
        <f aca="false">IF(5&lt;=NW,SUM(F47:F53),"")</f>
        <v>0</v>
      </c>
      <c r="G54" s="25"/>
      <c r="H54" s="27" t="n">
        <f aca="false">IF(5&lt;=NW,SUM(H47:H53),"")</f>
        <v>0</v>
      </c>
      <c r="I54" s="25"/>
    </row>
    <row r="55" customFormat="false" ht="31.5" hidden="false" customHeight="true" outlineLevel="0" collapsed="false">
      <c r="A55" s="45" t="str">
        <f aca="false">IF(5&lt;=NW,"ساعات تحميل الجبسمبورد بهالأسبوع (رقم: 2 أو 1.5) ←","")</f>
        <v>ساعات تحميل الجبسمبورد بهالأسبوع (رقم: 2 أو 1.5) ←</v>
      </c>
      <c r="B55" s="45"/>
      <c r="C55" s="45"/>
      <c r="D55" s="45"/>
      <c r="E55" s="46"/>
      <c r="F55" s="48" t="n">
        <f aca="false">IF(5&lt;=NW,N(F54)+IF(ROUND_MODE="للأعلى",CEILING(ROUND((N(E55)*(GYP_RATE-AZZ_RATE)),3),0.25),ROUND((N(E55)*(GYP_RATE-AZZ_RATE))*4,0)/4),"")</f>
        <v>0</v>
      </c>
      <c r="G55" s="47" t="str">
        <f aca="false">IF(5&lt;=NW,"← المستحق النهائي للأسبوع (دينار) مع فرق الجبسمبورد","")</f>
        <v>← المستحق النهائي للأسبوع (دينار) مع فرق الجبسمبورد</v>
      </c>
      <c r="H55" s="47"/>
      <c r="I55" s="47"/>
    </row>
    <row r="56" customFormat="false" ht="27.75" hidden="false" customHeight="true" outlineLevel="0" collapsed="false">
      <c r="A56" s="53" t="str">
        <f aca="false">IF(6&lt;=NW,"الأسبوع السادس","")</f>
        <v>الأسبوع السادس</v>
      </c>
      <c r="B56" s="53"/>
      <c r="C56" s="53"/>
      <c r="D56" s="53"/>
      <c r="E56" s="53"/>
      <c r="F56" s="53"/>
      <c r="G56" s="53"/>
      <c r="H56" s="53"/>
      <c r="I56" s="53"/>
    </row>
    <row r="57" customFormat="false" ht="15" hidden="false" customHeight="false" outlineLevel="0" collapsed="false">
      <c r="A57" s="39" t="n">
        <f aca="false">IF(AND(6&lt;=NW,WFIRST+35&gt;=MSTART,WFIRST+35&lt;=MEND),WFIRST+35,"")</f>
        <v>46326</v>
      </c>
      <c r="B57" s="40" t="str">
        <f aca="false">IF(A57="","",CHOOSE(WEEKDAY(A57,1),"الأحد","الاثنين","الثلاثاء","الأربعاء","الخميس","الجمعة","السبت"))</f>
        <v>السبت</v>
      </c>
      <c r="C57" s="41"/>
      <c r="D57" s="41"/>
      <c r="E57" s="17" t="str">
        <f aca="false">IF(OR(M57=0,K57="",L57=""),"",MOD(L57-K57,1))</f>
        <v/>
      </c>
      <c r="F57" s="18" t="str">
        <f aca="false">IF(OR(E57="",M57=0),"",IF(ROUND_MODE="للأعلى",CEILING(ROUND((E57*24*AZZ_RATE),3),0.25),ROUND((E57*24*AZZ_RATE)*4,0)/4))</f>
        <v/>
      </c>
      <c r="G57" s="41"/>
      <c r="H57" s="23"/>
      <c r="I57" s="41"/>
      <c r="K57" s="42" t="str">
        <f aca="false">IF(OR(M57=0,C57=""),"",IF(ISNUMBER(C57),MOD(C57,1),IFERROR(INDEX(القوائم!$B$1:$B$96,MATCH(TRIM(C57),القوائم!$A$1:$A$96,0)),IFERROR(MOD(TIMEVALUE(C57),1),""))))</f>
        <v/>
      </c>
      <c r="L57" s="42" t="str">
        <f aca="false">IF(OR(M57=0,D57=""),"",IF(ISNUMBER(D57),MOD(D57,1),IFERROR(INDEX(القوائم!$B$1:$B$96,MATCH(TRIM(D57),القوائم!$A$1:$A$96,0)),IFERROR(MOD(TIMEVALUE(D57),1),""))))</f>
        <v/>
      </c>
      <c r="M57" s="43" t="n">
        <f aca="false">IF(A57="",0,IF(AND(A57&gt;=MSTART,A57&lt;=MEND),1,0))</f>
        <v>1</v>
      </c>
    </row>
    <row r="58" customFormat="false" ht="15" hidden="false" customHeight="false" outlineLevel="0" collapsed="false">
      <c r="A58" s="39" t="str">
        <f aca="false">IF(AND(6&lt;=NW,WFIRST+36&gt;=MSTART,WFIRST+36&lt;=MEND),WFIRST+36,"")</f>
        <v/>
      </c>
      <c r="B58" s="40" t="str">
        <f aca="false">IF(A58="","",CHOOSE(WEEKDAY(A58,1),"الأحد","الاثنين","الثلاثاء","الأربعاء","الخميس","الجمعة","السبت"))</f>
        <v/>
      </c>
      <c r="C58" s="41"/>
      <c r="D58" s="41"/>
      <c r="E58" s="17" t="str">
        <f aca="false">IF(OR(M58=0,K58="",L58=""),"",MOD(L58-K58,1))</f>
        <v/>
      </c>
      <c r="F58" s="18" t="str">
        <f aca="false">IF(OR(E58="",M58=0),"",IF(ROUND_MODE="للأعلى",CEILING(ROUND((E58*24*AZZ_RATE),3),0.25),ROUND((E58*24*AZZ_RATE)*4,0)/4))</f>
        <v/>
      </c>
      <c r="G58" s="41"/>
      <c r="H58" s="23"/>
      <c r="I58" s="41"/>
      <c r="K58" s="42" t="str">
        <f aca="false">IF(OR(M58=0,C58=""),"",IF(ISNUMBER(C58),MOD(C58,1),IFERROR(INDEX(القوائم!$B$1:$B$96,MATCH(TRIM(C58),القوائم!$A$1:$A$96,0)),IFERROR(MOD(TIMEVALUE(C58),1),""))))</f>
        <v/>
      </c>
      <c r="L58" s="42" t="str">
        <f aca="false">IF(OR(M58=0,D58=""),"",IF(ISNUMBER(D58),MOD(D58,1),IFERROR(INDEX(القوائم!$B$1:$B$96,MATCH(TRIM(D58),القوائم!$A$1:$A$96,0)),IFERROR(MOD(TIMEVALUE(D58),1),""))))</f>
        <v/>
      </c>
      <c r="M58" s="43" t="n">
        <f aca="false">IF(A58="",0,IF(AND(A58&gt;=MSTART,A58&lt;=MEND),1,0))</f>
        <v>0</v>
      </c>
    </row>
    <row r="59" customFormat="false" ht="15" hidden="false" customHeight="false" outlineLevel="0" collapsed="false">
      <c r="A59" s="39" t="str">
        <f aca="false">IF(AND(6&lt;=NW,WFIRST+37&gt;=MSTART,WFIRST+37&lt;=MEND),WFIRST+37,"")</f>
        <v/>
      </c>
      <c r="B59" s="40" t="str">
        <f aca="false">IF(A59="","",CHOOSE(WEEKDAY(A59,1),"الأحد","الاثنين","الثلاثاء","الأربعاء","الخميس","الجمعة","السبت"))</f>
        <v/>
      </c>
      <c r="C59" s="41"/>
      <c r="D59" s="41"/>
      <c r="E59" s="17" t="str">
        <f aca="false">IF(OR(M59=0,K59="",L59=""),"",MOD(L59-K59,1))</f>
        <v/>
      </c>
      <c r="F59" s="18" t="str">
        <f aca="false">IF(OR(E59="",M59=0),"",IF(ROUND_MODE="للأعلى",CEILING(ROUND((E59*24*AZZ_RATE),3),0.25),ROUND((E59*24*AZZ_RATE)*4,0)/4))</f>
        <v/>
      </c>
      <c r="G59" s="41"/>
      <c r="H59" s="23"/>
      <c r="I59" s="41"/>
      <c r="K59" s="42" t="str">
        <f aca="false">IF(OR(M59=0,C59=""),"",IF(ISNUMBER(C59),MOD(C59,1),IFERROR(INDEX(القوائم!$B$1:$B$96,MATCH(TRIM(C59),القوائم!$A$1:$A$96,0)),IFERROR(MOD(TIMEVALUE(C59),1),""))))</f>
        <v/>
      </c>
      <c r="L59" s="42" t="str">
        <f aca="false">IF(OR(M59=0,D59=""),"",IF(ISNUMBER(D59),MOD(D59,1),IFERROR(INDEX(القوائم!$B$1:$B$96,MATCH(TRIM(D59),القوائم!$A$1:$A$96,0)),IFERROR(MOD(TIMEVALUE(D59),1),""))))</f>
        <v/>
      </c>
      <c r="M59" s="43" t="n">
        <f aca="false">IF(A59="",0,IF(AND(A59&gt;=MSTART,A59&lt;=MEND),1,0))</f>
        <v>0</v>
      </c>
    </row>
    <row r="60" customFormat="false" ht="15" hidden="false" customHeight="false" outlineLevel="0" collapsed="false">
      <c r="A60" s="39" t="str">
        <f aca="false">IF(AND(6&lt;=NW,WFIRST+38&gt;=MSTART,WFIRST+38&lt;=MEND),WFIRST+38,"")</f>
        <v/>
      </c>
      <c r="B60" s="40" t="str">
        <f aca="false">IF(A60="","",CHOOSE(WEEKDAY(A60,1),"الأحد","الاثنين","الثلاثاء","الأربعاء","الخميس","الجمعة","السبت"))</f>
        <v/>
      </c>
      <c r="C60" s="41"/>
      <c r="D60" s="41"/>
      <c r="E60" s="17" t="str">
        <f aca="false">IF(OR(M60=0,K60="",L60=""),"",MOD(L60-K60,1))</f>
        <v/>
      </c>
      <c r="F60" s="18" t="str">
        <f aca="false">IF(OR(E60="",M60=0),"",IF(ROUND_MODE="للأعلى",CEILING(ROUND((E60*24*AZZ_RATE),3),0.25),ROUND((E60*24*AZZ_RATE)*4,0)/4))</f>
        <v/>
      </c>
      <c r="G60" s="41"/>
      <c r="H60" s="23"/>
      <c r="I60" s="41"/>
      <c r="K60" s="42" t="str">
        <f aca="false">IF(OR(M60=0,C60=""),"",IF(ISNUMBER(C60),MOD(C60,1),IFERROR(INDEX(القوائم!$B$1:$B$96,MATCH(TRIM(C60),القوائم!$A$1:$A$96,0)),IFERROR(MOD(TIMEVALUE(C60),1),""))))</f>
        <v/>
      </c>
      <c r="L60" s="42" t="str">
        <f aca="false">IF(OR(M60=0,D60=""),"",IF(ISNUMBER(D60),MOD(D60,1),IFERROR(INDEX(القوائم!$B$1:$B$96,MATCH(TRIM(D60),القوائم!$A$1:$A$96,0)),IFERROR(MOD(TIMEVALUE(D60),1),""))))</f>
        <v/>
      </c>
      <c r="M60" s="43" t="n">
        <f aca="false">IF(A60="",0,IF(AND(A60&gt;=MSTART,A60&lt;=MEND),1,0))</f>
        <v>0</v>
      </c>
    </row>
    <row r="61" customFormat="false" ht="15" hidden="false" customHeight="false" outlineLevel="0" collapsed="false">
      <c r="A61" s="39" t="str">
        <f aca="false">IF(AND(6&lt;=NW,WFIRST+39&gt;=MSTART,WFIRST+39&lt;=MEND),WFIRST+39,"")</f>
        <v/>
      </c>
      <c r="B61" s="40" t="str">
        <f aca="false">IF(A61="","",CHOOSE(WEEKDAY(A61,1),"الأحد","الاثنين","الثلاثاء","الأربعاء","الخميس","الجمعة","السبت"))</f>
        <v/>
      </c>
      <c r="C61" s="41"/>
      <c r="D61" s="41"/>
      <c r="E61" s="17" t="str">
        <f aca="false">IF(OR(M61=0,K61="",L61=""),"",MOD(L61-K61,1))</f>
        <v/>
      </c>
      <c r="F61" s="18" t="str">
        <f aca="false">IF(OR(E61="",M61=0),"",IF(ROUND_MODE="للأعلى",CEILING(ROUND((E61*24*AZZ_RATE),3),0.25),ROUND((E61*24*AZZ_RATE)*4,0)/4))</f>
        <v/>
      </c>
      <c r="G61" s="41"/>
      <c r="H61" s="23"/>
      <c r="I61" s="41"/>
      <c r="K61" s="42" t="str">
        <f aca="false">IF(OR(M61=0,C61=""),"",IF(ISNUMBER(C61),MOD(C61,1),IFERROR(INDEX(القوائم!$B$1:$B$96,MATCH(TRIM(C61),القوائم!$A$1:$A$96,0)),IFERROR(MOD(TIMEVALUE(C61),1),""))))</f>
        <v/>
      </c>
      <c r="L61" s="42" t="str">
        <f aca="false">IF(OR(M61=0,D61=""),"",IF(ISNUMBER(D61),MOD(D61,1),IFERROR(INDEX(القوائم!$B$1:$B$96,MATCH(TRIM(D61),القوائم!$A$1:$A$96,0)),IFERROR(MOD(TIMEVALUE(D61),1),""))))</f>
        <v/>
      </c>
      <c r="M61" s="43" t="n">
        <f aca="false">IF(A61="",0,IF(AND(A61&gt;=MSTART,A61&lt;=MEND),1,0))</f>
        <v>0</v>
      </c>
    </row>
    <row r="62" customFormat="false" ht="15" hidden="false" customHeight="false" outlineLevel="0" collapsed="false">
      <c r="A62" s="39" t="str">
        <f aca="false">IF(AND(6&lt;=NW,WFIRST+40&gt;=MSTART,WFIRST+40&lt;=MEND),WFIRST+40,"")</f>
        <v/>
      </c>
      <c r="B62" s="40" t="str">
        <f aca="false">IF(A62="","",CHOOSE(WEEKDAY(A62,1),"الأحد","الاثنين","الثلاثاء","الأربعاء","الخميس","الجمعة","السبت"))</f>
        <v/>
      </c>
      <c r="C62" s="41"/>
      <c r="D62" s="41"/>
      <c r="E62" s="17" t="str">
        <f aca="false">IF(OR(M62=0,K62="",L62=""),"",MOD(L62-K62,1))</f>
        <v/>
      </c>
      <c r="F62" s="18" t="str">
        <f aca="false">IF(OR(E62="",M62=0),"",IF(ROUND_MODE="للأعلى",CEILING(ROUND((E62*24*AZZ_RATE),3),0.25),ROUND((E62*24*AZZ_RATE)*4,0)/4))</f>
        <v/>
      </c>
      <c r="G62" s="41"/>
      <c r="H62" s="23"/>
      <c r="I62" s="41"/>
      <c r="K62" s="42" t="str">
        <f aca="false">IF(OR(M62=0,C62=""),"",IF(ISNUMBER(C62),MOD(C62,1),IFERROR(INDEX(القوائم!$B$1:$B$96,MATCH(TRIM(C62),القوائم!$A$1:$A$96,0)),IFERROR(MOD(TIMEVALUE(C62),1),""))))</f>
        <v/>
      </c>
      <c r="L62" s="42" t="str">
        <f aca="false">IF(OR(M62=0,D62=""),"",IF(ISNUMBER(D62),MOD(D62,1),IFERROR(INDEX(القوائم!$B$1:$B$96,MATCH(TRIM(D62),القوائم!$A$1:$A$96,0)),IFERROR(MOD(TIMEVALUE(D62),1),""))))</f>
        <v/>
      </c>
      <c r="M62" s="43" t="n">
        <f aca="false">IF(A62="",0,IF(AND(A62&gt;=MSTART,A62&lt;=MEND),1,0))</f>
        <v>0</v>
      </c>
    </row>
    <row r="63" customFormat="false" ht="15" hidden="false" customHeight="false" outlineLevel="0" collapsed="false">
      <c r="A63" s="44" t="str">
        <f aca="false">IF(AND(6&lt;=NW,WFIRST+41&gt;=MSTART,WFIRST+41&lt;=MEND),WFIRST+41,"")</f>
        <v/>
      </c>
      <c r="B63" s="22" t="str">
        <f aca="false">IF(A63="","",CHOOSE(WEEKDAY(A63,1),"الأحد","الاثنين","الثلاثاء","الأربعاء","الخميس","الجمعة","السبت"))</f>
        <v/>
      </c>
      <c r="C63" s="41"/>
      <c r="D63" s="41"/>
      <c r="E63" s="17" t="str">
        <f aca="false">IF(OR(M63=0,K63="",L63=""),"",MOD(L63-K63,1))</f>
        <v/>
      </c>
      <c r="F63" s="18" t="str">
        <f aca="false">IF(OR(E63="",M63=0),"",IF(ROUND_MODE="للأعلى",CEILING(ROUND((E63*24*AZZ_RATE),3),0.25),ROUND((E63*24*AZZ_RATE)*4,0)/4))</f>
        <v/>
      </c>
      <c r="G63" s="41"/>
      <c r="H63" s="23"/>
      <c r="I63" s="41"/>
      <c r="K63" s="42" t="str">
        <f aca="false">IF(OR(M63=0,C63=""),"",IF(ISNUMBER(C63),MOD(C63,1),IFERROR(INDEX(القوائم!$B$1:$B$96,MATCH(TRIM(C63),القوائم!$A$1:$A$96,0)),IFERROR(MOD(TIMEVALUE(C63),1),""))))</f>
        <v/>
      </c>
      <c r="L63" s="42" t="str">
        <f aca="false">IF(OR(M63=0,D63=""),"",IF(ISNUMBER(D63),MOD(D63,1),IFERROR(INDEX(القوائم!$B$1:$B$96,MATCH(TRIM(D63),القوائم!$A$1:$A$96,0)),IFERROR(MOD(TIMEVALUE(D63),1),""))))</f>
        <v/>
      </c>
      <c r="M63" s="43" t="n">
        <f aca="false">IF(A63="",0,IF(AND(A63&gt;=MSTART,A63&lt;=MEND),1,0))</f>
        <v>0</v>
      </c>
    </row>
    <row r="64" customFormat="false" ht="15" hidden="false" customHeight="false" outlineLevel="0" collapsed="false">
      <c r="A64" s="25" t="str">
        <f aca="false">IF(6&lt;=NW,"مجموع أيام الأسبوع السادس","")</f>
        <v>مجموع أيام الأسبوع السادس</v>
      </c>
      <c r="B64" s="25"/>
      <c r="C64" s="25"/>
      <c r="D64" s="25"/>
      <c r="E64" s="26" t="n">
        <f aca="false">IF(6&lt;=NW,SUM(E57:E63),"")</f>
        <v>0</v>
      </c>
      <c r="F64" s="27" t="n">
        <f aca="false">IF(6&lt;=NW,SUM(F57:F63),"")</f>
        <v>0</v>
      </c>
      <c r="G64" s="25"/>
      <c r="H64" s="27" t="n">
        <f aca="false">IF(6&lt;=NW,SUM(H57:H63),"")</f>
        <v>0</v>
      </c>
      <c r="I64" s="25"/>
    </row>
    <row r="65" customFormat="false" ht="31.5" hidden="false" customHeight="true" outlineLevel="0" collapsed="false">
      <c r="A65" s="45" t="str">
        <f aca="false">IF(6&lt;=NW,"ساعات تحميل الجبسمبورد بهالأسبوع (رقم: 2 أو 1.5) ←","")</f>
        <v>ساعات تحميل الجبسمبورد بهالأسبوع (رقم: 2 أو 1.5) ←</v>
      </c>
      <c r="B65" s="45"/>
      <c r="C65" s="45"/>
      <c r="D65" s="45"/>
      <c r="E65" s="46"/>
      <c r="F65" s="48" t="n">
        <f aca="false">IF(6&lt;=NW,N(F64)+IF(ROUND_MODE="للأعلى",CEILING(ROUND((N(E65)*(GYP_RATE-AZZ_RATE)),3),0.25),ROUND((N(E65)*(GYP_RATE-AZZ_RATE))*4,0)/4),"")</f>
        <v>0</v>
      </c>
      <c r="G65" s="47" t="str">
        <f aca="false">IF(6&lt;=NW,"← المستحق النهائي للأسبوع (دينار) مع فرق الجبسمبورد","")</f>
        <v>← المستحق النهائي للأسبوع (دينار) مع فرق الجبسمبورد</v>
      </c>
      <c r="H65" s="47"/>
      <c r="I65" s="47"/>
    </row>
  </sheetData>
  <sheetProtection sheet="true" formatColumns="false" formatRows="false"/>
  <mergeCells count="27">
    <mergeCell ref="A1:I1"/>
    <mergeCell ref="A2:I2"/>
    <mergeCell ref="A3:I3"/>
    <mergeCell ref="A6:I6"/>
    <mergeCell ref="A14:D14"/>
    <mergeCell ref="A15:D15"/>
    <mergeCell ref="G15:I15"/>
    <mergeCell ref="A16:I16"/>
    <mergeCell ref="A24:D24"/>
    <mergeCell ref="A25:D25"/>
    <mergeCell ref="G25:I25"/>
    <mergeCell ref="A26:I26"/>
    <mergeCell ref="A34:D34"/>
    <mergeCell ref="A35:D35"/>
    <mergeCell ref="G35:I35"/>
    <mergeCell ref="A36:I36"/>
    <mergeCell ref="A44:D44"/>
    <mergeCell ref="A45:D45"/>
    <mergeCell ref="G45:I45"/>
    <mergeCell ref="A46:I46"/>
    <mergeCell ref="A54:D54"/>
    <mergeCell ref="A55:D55"/>
    <mergeCell ref="G55:I55"/>
    <mergeCell ref="A56:I56"/>
    <mergeCell ref="A64:D64"/>
    <mergeCell ref="A65:D65"/>
    <mergeCell ref="G65:I65"/>
  </mergeCells>
  <conditionalFormatting sqref="H6:H65">
    <cfRule type="expression" priority="2" aboveAverage="0" equalAverage="0" bottom="0" percent="0" rank="0" text="" dxfId="1">
      <formula>AND($G6="نعم",ISNUMBER($F6),N($H6)&lt;&gt;$F6)</formula>
    </cfRule>
  </conditionalFormatting>
  <conditionalFormatting sqref="C6:D65">
    <cfRule type="expression" priority="3" aboveAverage="0" equalAverage="0" bottom="0" percent="0" rank="0" text="" dxfId="2">
      <formula>AND($A6="",$B6="")</formula>
    </cfRule>
  </conditionalFormatting>
  <conditionalFormatting sqref="F15">
    <cfRule type="expression" priority="4" aboveAverage="0" equalAverage="0" bottom="0" percent="0" rank="0" text="" dxfId="3">
      <formula>F15&lt;&gt;""</formula>
    </cfRule>
  </conditionalFormatting>
  <conditionalFormatting sqref="F25">
    <cfRule type="expression" priority="5" aboveAverage="0" equalAverage="0" bottom="0" percent="0" rank="0" text="" dxfId="3">
      <formula>F25&lt;&gt;""</formula>
    </cfRule>
  </conditionalFormatting>
  <conditionalFormatting sqref="F35">
    <cfRule type="expression" priority="6" aboveAverage="0" equalAverage="0" bottom="0" percent="0" rank="0" text="" dxfId="3">
      <formula>F35&lt;&gt;""</formula>
    </cfRule>
  </conditionalFormatting>
  <conditionalFormatting sqref="F45">
    <cfRule type="expression" priority="7" aboveAverage="0" equalAverage="0" bottom="0" percent="0" rank="0" text="" dxfId="3">
      <formula>F45&lt;&gt;""</formula>
    </cfRule>
  </conditionalFormatting>
  <conditionalFormatting sqref="F55">
    <cfRule type="expression" priority="8" aboveAverage="0" equalAverage="0" bottom="0" percent="0" rank="0" text="" dxfId="3">
      <formula>F55&lt;&gt;""</formula>
    </cfRule>
  </conditionalFormatting>
  <conditionalFormatting sqref="F65">
    <cfRule type="expression" priority="9" aboveAverage="0" equalAverage="0" bottom="0" percent="0" rank="0" text="" dxfId="3">
      <formula>F65&lt;&gt;""</formula>
    </cfRule>
  </conditionalFormatting>
  <dataValidations count="2">
    <dataValidation allowBlank="true" errorStyle="stop" operator="between" showDropDown="false" showErrorMessage="false" showInputMessage="false" sqref="C6:D65" type="list">
      <formula1>القوائم!$A$1:$A$96</formula1>
      <formula2>0</formula2>
    </dataValidation>
    <dataValidation allowBlank="true" errorStyle="stop" operator="between" showDropDown="false" showErrorMessage="false" showInputMessage="false" sqref="G6:G65" type="list">
      <formula1>"نعم,لا"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8"/>
    <col collapsed="false" customWidth="true" hidden="false" outlineLevel="0" max="4" min="4" style="0" width="40"/>
    <col collapsed="false" customWidth="true" hidden="true" outlineLevel="0" max="6" min="6" style="0" width="13"/>
  </cols>
  <sheetData>
    <row r="1" customFormat="false" ht="31.5" hidden="false" customHeight="true" outlineLevel="0" collapsed="false">
      <c r="A1" s="54" t="s">
        <v>44</v>
      </c>
      <c r="B1" s="54"/>
      <c r="C1" s="54"/>
      <c r="D1" s="54"/>
    </row>
    <row r="2" customFormat="false" ht="21.75" hidden="false" customHeight="true" outlineLevel="0" collapsed="false">
      <c r="A2" s="55" t="str">
        <f aca="false">"شهر "&amp;TEXT(التسوية!$C$3,"00")&amp;" / "&amp;التسوية!$E$3</f>
        <v>شهر 10 / 2026</v>
      </c>
      <c r="B2" s="55"/>
      <c r="C2" s="55"/>
      <c r="D2" s="55"/>
    </row>
    <row r="3" customFormat="false" ht="31.5" hidden="false" customHeight="true" outlineLevel="0" collapsed="false">
      <c r="A3" s="10" t="s">
        <v>7</v>
      </c>
      <c r="B3" s="10" t="s">
        <v>45</v>
      </c>
      <c r="C3" s="10" t="s">
        <v>46</v>
      </c>
      <c r="D3" s="10"/>
    </row>
    <row r="4" customFormat="false" ht="15" hidden="false" customHeight="false" outlineLevel="0" collapsed="false">
      <c r="A4" s="32" t="s">
        <v>12</v>
      </c>
      <c r="B4" s="33" t="n">
        <f aca="false">SUMIFS(ADV_AMT,ADV_E,A4)</f>
        <v>0</v>
      </c>
      <c r="C4" s="33" t="n">
        <f aca="false">SUMIFS(ADV_AMT,ADV_E,A4,ADV_D,"&gt;="&amp;WS,ADV_D,"&lt;="&amp;WE)</f>
        <v>0</v>
      </c>
    </row>
    <row r="5" customFormat="false" ht="15" hidden="false" customHeight="false" outlineLevel="0" collapsed="false">
      <c r="A5" s="32" t="s">
        <v>13</v>
      </c>
      <c r="B5" s="33" t="n">
        <f aca="false">SUMIFS(ADV_AMT,ADV_E,A5)</f>
        <v>0</v>
      </c>
      <c r="C5" s="33" t="n">
        <f aca="false">SUMIFS(ADV_AMT,ADV_E,A5,ADV_D,"&gt;="&amp;WS,ADV_D,"&lt;="&amp;WE)</f>
        <v>0</v>
      </c>
    </row>
    <row r="7" customFormat="false" ht="30" hidden="false" customHeight="true" outlineLevel="0" collapsed="false">
      <c r="A7" s="56" t="s">
        <v>47</v>
      </c>
      <c r="B7" s="56"/>
      <c r="C7" s="56"/>
      <c r="D7" s="56"/>
    </row>
    <row r="9" customFormat="false" ht="30" hidden="false" customHeight="true" outlineLevel="0" collapsed="false">
      <c r="A9" s="57" t="s">
        <v>32</v>
      </c>
      <c r="B9" s="57" t="s">
        <v>7</v>
      </c>
      <c r="C9" s="57" t="s">
        <v>48</v>
      </c>
      <c r="D9" s="57" t="s">
        <v>49</v>
      </c>
    </row>
    <row r="10" customFormat="false" ht="15" hidden="false" customHeight="false" outlineLevel="0" collapsed="false">
      <c r="A10" s="58"/>
      <c r="B10" s="41"/>
      <c r="C10" s="23"/>
      <c r="D10" s="59"/>
      <c r="F10" s="0" t="str">
        <f aca="false">IF(A10="","",IF(ISNUMBER(A10),IF(A10&lt;=31,DATE(YEAR(MSTART),MONTH(MSTART),A10),IF(A10&lt;=3112,DATE(YEAR(MSTART),MOD(A10,100),INT(A10/100)),A10)),IFERROR(DATEVALUE(A10),"")))</f>
        <v/>
      </c>
    </row>
    <row r="11" customFormat="false" ht="15" hidden="false" customHeight="false" outlineLevel="0" collapsed="false">
      <c r="A11" s="58"/>
      <c r="B11" s="41"/>
      <c r="C11" s="23"/>
      <c r="D11" s="59"/>
      <c r="F11" s="0" t="str">
        <f aca="false">IF(A11="","",IF(ISNUMBER(A11),IF(A11&lt;=31,DATE(YEAR(MSTART),MONTH(MSTART),A11),IF(A11&lt;=3112,DATE(YEAR(MSTART),MOD(A11,100),INT(A11/100)),A11)),IFERROR(DATEVALUE(A11),"")))</f>
        <v/>
      </c>
    </row>
    <row r="12" customFormat="false" ht="15" hidden="false" customHeight="false" outlineLevel="0" collapsed="false">
      <c r="A12" s="58"/>
      <c r="B12" s="41"/>
      <c r="C12" s="23"/>
      <c r="D12" s="59"/>
      <c r="F12" s="0" t="str">
        <f aca="false">IF(A12="","",IF(ISNUMBER(A12),IF(A12&lt;=31,DATE(YEAR(MSTART),MONTH(MSTART),A12),IF(A12&lt;=3112,DATE(YEAR(MSTART),MOD(A12,100),INT(A12/100)),A12)),IFERROR(DATEVALUE(A12),"")))</f>
        <v/>
      </c>
    </row>
    <row r="13" customFormat="false" ht="15" hidden="false" customHeight="false" outlineLevel="0" collapsed="false">
      <c r="A13" s="58"/>
      <c r="B13" s="41"/>
      <c r="C13" s="23"/>
      <c r="D13" s="59"/>
      <c r="F13" s="0" t="str">
        <f aca="false">IF(A13="","",IF(ISNUMBER(A13),IF(A13&lt;=31,DATE(YEAR(MSTART),MONTH(MSTART),A13),IF(A13&lt;=3112,DATE(YEAR(MSTART),MOD(A13,100),INT(A13/100)),A13)),IFERROR(DATEVALUE(A13),"")))</f>
        <v/>
      </c>
    </row>
    <row r="14" customFormat="false" ht="15" hidden="false" customHeight="false" outlineLevel="0" collapsed="false">
      <c r="A14" s="58"/>
      <c r="B14" s="41"/>
      <c r="C14" s="23"/>
      <c r="D14" s="59"/>
      <c r="F14" s="0" t="str">
        <f aca="false">IF(A14="","",IF(ISNUMBER(A14),IF(A14&lt;=31,DATE(YEAR(MSTART),MONTH(MSTART),A14),IF(A14&lt;=3112,DATE(YEAR(MSTART),MOD(A14,100),INT(A14/100)),A14)),IFERROR(DATEVALUE(A14),"")))</f>
        <v/>
      </c>
    </row>
    <row r="15" customFormat="false" ht="15" hidden="false" customHeight="false" outlineLevel="0" collapsed="false">
      <c r="A15" s="58"/>
      <c r="B15" s="41"/>
      <c r="C15" s="23"/>
      <c r="D15" s="59"/>
      <c r="F15" s="0" t="str">
        <f aca="false">IF(A15="","",IF(ISNUMBER(A15),IF(A15&lt;=31,DATE(YEAR(MSTART),MONTH(MSTART),A15),IF(A15&lt;=3112,DATE(YEAR(MSTART),MOD(A15,100),INT(A15/100)),A15)),IFERROR(DATEVALUE(A15),"")))</f>
        <v/>
      </c>
    </row>
    <row r="16" customFormat="false" ht="15" hidden="false" customHeight="false" outlineLevel="0" collapsed="false">
      <c r="A16" s="58"/>
      <c r="B16" s="41"/>
      <c r="C16" s="23"/>
      <c r="D16" s="59"/>
      <c r="F16" s="0" t="str">
        <f aca="false">IF(A16="","",IF(ISNUMBER(A16),IF(A16&lt;=31,DATE(YEAR(MSTART),MONTH(MSTART),A16),IF(A16&lt;=3112,DATE(YEAR(MSTART),MOD(A16,100),INT(A16/100)),A16)),IFERROR(DATEVALUE(A16),"")))</f>
        <v/>
      </c>
    </row>
    <row r="17" customFormat="false" ht="15" hidden="false" customHeight="false" outlineLevel="0" collapsed="false">
      <c r="A17" s="58"/>
      <c r="B17" s="41"/>
      <c r="C17" s="23"/>
      <c r="D17" s="59"/>
      <c r="F17" s="0" t="str">
        <f aca="false">IF(A17="","",IF(ISNUMBER(A17),IF(A17&lt;=31,DATE(YEAR(MSTART),MONTH(MSTART),A17),IF(A17&lt;=3112,DATE(YEAR(MSTART),MOD(A17,100),INT(A17/100)),A17)),IFERROR(DATEVALUE(A17),"")))</f>
        <v/>
      </c>
    </row>
    <row r="18" customFormat="false" ht="15" hidden="false" customHeight="false" outlineLevel="0" collapsed="false">
      <c r="A18" s="58"/>
      <c r="B18" s="41"/>
      <c r="C18" s="23"/>
      <c r="D18" s="59"/>
      <c r="F18" s="0" t="str">
        <f aca="false">IF(A18="","",IF(ISNUMBER(A18),IF(A18&lt;=31,DATE(YEAR(MSTART),MONTH(MSTART),A18),IF(A18&lt;=3112,DATE(YEAR(MSTART),MOD(A18,100),INT(A18/100)),A18)),IFERROR(DATEVALUE(A18),"")))</f>
        <v/>
      </c>
    </row>
    <row r="19" customFormat="false" ht="15" hidden="false" customHeight="false" outlineLevel="0" collapsed="false">
      <c r="A19" s="58"/>
      <c r="B19" s="41"/>
      <c r="C19" s="23"/>
      <c r="D19" s="59"/>
      <c r="F19" s="0" t="str">
        <f aca="false">IF(A19="","",IF(ISNUMBER(A19),IF(A19&lt;=31,DATE(YEAR(MSTART),MONTH(MSTART),A19),IF(A19&lt;=3112,DATE(YEAR(MSTART),MOD(A19,100),INT(A19/100)),A19)),IFERROR(DATEVALUE(A19),"")))</f>
        <v/>
      </c>
    </row>
    <row r="20" customFormat="false" ht="15" hidden="false" customHeight="false" outlineLevel="0" collapsed="false">
      <c r="A20" s="58"/>
      <c r="B20" s="41"/>
      <c r="C20" s="23"/>
      <c r="D20" s="59"/>
      <c r="F20" s="0" t="str">
        <f aca="false">IF(A20="","",IF(ISNUMBER(A20),IF(A20&lt;=31,DATE(YEAR(MSTART),MONTH(MSTART),A20),IF(A20&lt;=3112,DATE(YEAR(MSTART),MOD(A20,100),INT(A20/100)),A20)),IFERROR(DATEVALUE(A20),"")))</f>
        <v/>
      </c>
    </row>
    <row r="21" customFormat="false" ht="15" hidden="false" customHeight="false" outlineLevel="0" collapsed="false">
      <c r="A21" s="58"/>
      <c r="B21" s="41"/>
      <c r="C21" s="23"/>
      <c r="D21" s="59"/>
      <c r="F21" s="0" t="str">
        <f aca="false">IF(A21="","",IF(ISNUMBER(A21),IF(A21&lt;=31,DATE(YEAR(MSTART),MONTH(MSTART),A21),IF(A21&lt;=3112,DATE(YEAR(MSTART),MOD(A21,100),INT(A21/100)),A21)),IFERROR(DATEVALUE(A21),"")))</f>
        <v/>
      </c>
    </row>
    <row r="22" customFormat="false" ht="15" hidden="false" customHeight="false" outlineLevel="0" collapsed="false">
      <c r="A22" s="58"/>
      <c r="B22" s="41"/>
      <c r="C22" s="23"/>
      <c r="D22" s="59"/>
      <c r="F22" s="0" t="str">
        <f aca="false">IF(A22="","",IF(ISNUMBER(A22),IF(A22&lt;=31,DATE(YEAR(MSTART),MONTH(MSTART),A22),IF(A22&lt;=3112,DATE(YEAR(MSTART),MOD(A22,100),INT(A22/100)),A22)),IFERROR(DATEVALUE(A22),"")))</f>
        <v/>
      </c>
    </row>
    <row r="23" customFormat="false" ht="15" hidden="false" customHeight="false" outlineLevel="0" collapsed="false">
      <c r="A23" s="58"/>
      <c r="B23" s="41"/>
      <c r="C23" s="23"/>
      <c r="D23" s="59"/>
      <c r="F23" s="0" t="str">
        <f aca="false">IF(A23="","",IF(ISNUMBER(A23),IF(A23&lt;=31,DATE(YEAR(MSTART),MONTH(MSTART),A23),IF(A23&lt;=3112,DATE(YEAR(MSTART),MOD(A23,100),INT(A23/100)),A23)),IFERROR(DATEVALUE(A23),"")))</f>
        <v/>
      </c>
    </row>
    <row r="24" customFormat="false" ht="15" hidden="false" customHeight="false" outlineLevel="0" collapsed="false">
      <c r="A24" s="58"/>
      <c r="B24" s="41"/>
      <c r="C24" s="23"/>
      <c r="D24" s="59"/>
      <c r="F24" s="0" t="str">
        <f aca="false">IF(A24="","",IF(ISNUMBER(A24),IF(A24&lt;=31,DATE(YEAR(MSTART),MONTH(MSTART),A24),IF(A24&lt;=3112,DATE(YEAR(MSTART),MOD(A24,100),INT(A24/100)),A24)),IFERROR(DATEVALUE(A24),"")))</f>
        <v/>
      </c>
    </row>
    <row r="25" customFormat="false" ht="15" hidden="false" customHeight="false" outlineLevel="0" collapsed="false">
      <c r="A25" s="58"/>
      <c r="B25" s="41"/>
      <c r="C25" s="23"/>
      <c r="D25" s="59"/>
      <c r="F25" s="0" t="str">
        <f aca="false">IF(A25="","",IF(ISNUMBER(A25),IF(A25&lt;=31,DATE(YEAR(MSTART),MONTH(MSTART),A25),IF(A25&lt;=3112,DATE(YEAR(MSTART),MOD(A25,100),INT(A25/100)),A25)),IFERROR(DATEVALUE(A25),"")))</f>
        <v/>
      </c>
    </row>
    <row r="26" customFormat="false" ht="15" hidden="false" customHeight="false" outlineLevel="0" collapsed="false">
      <c r="A26" s="58"/>
      <c r="B26" s="41"/>
      <c r="C26" s="23"/>
      <c r="D26" s="59"/>
      <c r="F26" s="0" t="str">
        <f aca="false">IF(A26="","",IF(ISNUMBER(A26),IF(A26&lt;=31,DATE(YEAR(MSTART),MONTH(MSTART),A26),IF(A26&lt;=3112,DATE(YEAR(MSTART),MOD(A26,100),INT(A26/100)),A26)),IFERROR(DATEVALUE(A26),"")))</f>
        <v/>
      </c>
    </row>
    <row r="27" customFormat="false" ht="15" hidden="false" customHeight="false" outlineLevel="0" collapsed="false">
      <c r="A27" s="58"/>
      <c r="B27" s="41"/>
      <c r="C27" s="23"/>
      <c r="D27" s="59"/>
      <c r="F27" s="0" t="str">
        <f aca="false">IF(A27="","",IF(ISNUMBER(A27),IF(A27&lt;=31,DATE(YEAR(MSTART),MONTH(MSTART),A27),IF(A27&lt;=3112,DATE(YEAR(MSTART),MOD(A27,100),INT(A27/100)),A27)),IFERROR(DATEVALUE(A27),"")))</f>
        <v/>
      </c>
    </row>
    <row r="28" customFormat="false" ht="15" hidden="false" customHeight="false" outlineLevel="0" collapsed="false">
      <c r="A28" s="58"/>
      <c r="B28" s="41"/>
      <c r="C28" s="23"/>
      <c r="D28" s="59"/>
      <c r="F28" s="0" t="str">
        <f aca="false">IF(A28="","",IF(ISNUMBER(A28),IF(A28&lt;=31,DATE(YEAR(MSTART),MONTH(MSTART),A28),IF(A28&lt;=3112,DATE(YEAR(MSTART),MOD(A28,100),INT(A28/100)),A28)),IFERROR(DATEVALUE(A28),"")))</f>
        <v/>
      </c>
    </row>
    <row r="29" customFormat="false" ht="15" hidden="false" customHeight="false" outlineLevel="0" collapsed="false">
      <c r="A29" s="58"/>
      <c r="B29" s="41"/>
      <c r="C29" s="23"/>
      <c r="D29" s="59"/>
      <c r="F29" s="0" t="str">
        <f aca="false">IF(A29="","",IF(ISNUMBER(A29),IF(A29&lt;=31,DATE(YEAR(MSTART),MONTH(MSTART),A29),IF(A29&lt;=3112,DATE(YEAR(MSTART),MOD(A29,100),INT(A29/100)),A29)),IFERROR(DATEVALUE(A29),"")))</f>
        <v/>
      </c>
    </row>
    <row r="30" customFormat="false" ht="15" hidden="false" customHeight="false" outlineLevel="0" collapsed="false">
      <c r="A30" s="58"/>
      <c r="B30" s="41"/>
      <c r="C30" s="23"/>
      <c r="D30" s="59"/>
      <c r="F30" s="0" t="str">
        <f aca="false">IF(A30="","",IF(ISNUMBER(A30),IF(A30&lt;=31,DATE(YEAR(MSTART),MONTH(MSTART),A30),IF(A30&lt;=3112,DATE(YEAR(MSTART),MOD(A30,100),INT(A30/100)),A30)),IFERROR(DATEVALUE(A30),"")))</f>
        <v/>
      </c>
    </row>
    <row r="31" customFormat="false" ht="15" hidden="false" customHeight="false" outlineLevel="0" collapsed="false">
      <c r="A31" s="58"/>
      <c r="B31" s="41"/>
      <c r="C31" s="23"/>
      <c r="D31" s="59"/>
      <c r="F31" s="0" t="str">
        <f aca="false">IF(A31="","",IF(ISNUMBER(A31),IF(A31&lt;=31,DATE(YEAR(MSTART),MONTH(MSTART),A31),IF(A31&lt;=3112,DATE(YEAR(MSTART),MOD(A31,100),INT(A31/100)),A31)),IFERROR(DATEVALUE(A31),"")))</f>
        <v/>
      </c>
    </row>
    <row r="32" customFormat="false" ht="15" hidden="false" customHeight="false" outlineLevel="0" collapsed="false">
      <c r="A32" s="58"/>
      <c r="B32" s="41"/>
      <c r="C32" s="23"/>
      <c r="D32" s="59"/>
      <c r="F32" s="0" t="str">
        <f aca="false">IF(A32="","",IF(ISNUMBER(A32),IF(A32&lt;=31,DATE(YEAR(MSTART),MONTH(MSTART),A32),IF(A32&lt;=3112,DATE(YEAR(MSTART),MOD(A32,100),INT(A32/100)),A32)),IFERROR(DATEVALUE(A32),"")))</f>
        <v/>
      </c>
    </row>
    <row r="33" customFormat="false" ht="15" hidden="false" customHeight="false" outlineLevel="0" collapsed="false">
      <c r="A33" s="58"/>
      <c r="B33" s="41"/>
      <c r="C33" s="23"/>
      <c r="D33" s="59"/>
      <c r="F33" s="0" t="str">
        <f aca="false">IF(A33="","",IF(ISNUMBER(A33),IF(A33&lt;=31,DATE(YEAR(MSTART),MONTH(MSTART),A33),IF(A33&lt;=3112,DATE(YEAR(MSTART),MOD(A33,100),INT(A33/100)),A33)),IFERROR(DATEVALUE(A33),"")))</f>
        <v/>
      </c>
    </row>
    <row r="34" customFormat="false" ht="15" hidden="false" customHeight="false" outlineLevel="0" collapsed="false">
      <c r="A34" s="58"/>
      <c r="B34" s="41"/>
      <c r="C34" s="23"/>
      <c r="D34" s="59"/>
      <c r="F34" s="0" t="str">
        <f aca="false">IF(A34="","",IF(ISNUMBER(A34),IF(A34&lt;=31,DATE(YEAR(MSTART),MONTH(MSTART),A34),IF(A34&lt;=3112,DATE(YEAR(MSTART),MOD(A34,100),INT(A34/100)),A34)),IFERROR(DATEVALUE(A34),"")))</f>
        <v/>
      </c>
    </row>
    <row r="35" customFormat="false" ht="15" hidden="false" customHeight="false" outlineLevel="0" collapsed="false">
      <c r="A35" s="58"/>
      <c r="B35" s="41"/>
      <c r="C35" s="23"/>
      <c r="D35" s="59"/>
      <c r="F35" s="0" t="str">
        <f aca="false">IF(A35="","",IF(ISNUMBER(A35),IF(A35&lt;=31,DATE(YEAR(MSTART),MONTH(MSTART),A35),IF(A35&lt;=3112,DATE(YEAR(MSTART),MOD(A35,100),INT(A35/100)),A35)),IFERROR(DATEVALUE(A35),"")))</f>
        <v/>
      </c>
    </row>
    <row r="36" customFormat="false" ht="15" hidden="false" customHeight="false" outlineLevel="0" collapsed="false">
      <c r="A36" s="58"/>
      <c r="B36" s="41"/>
      <c r="C36" s="23"/>
      <c r="D36" s="59"/>
      <c r="F36" s="0" t="str">
        <f aca="false">IF(A36="","",IF(ISNUMBER(A36),IF(A36&lt;=31,DATE(YEAR(MSTART),MONTH(MSTART),A36),IF(A36&lt;=3112,DATE(YEAR(MSTART),MOD(A36,100),INT(A36/100)),A36)),IFERROR(DATEVALUE(A36),"")))</f>
        <v/>
      </c>
    </row>
    <row r="37" customFormat="false" ht="15" hidden="false" customHeight="false" outlineLevel="0" collapsed="false">
      <c r="A37" s="58"/>
      <c r="B37" s="41"/>
      <c r="C37" s="23"/>
      <c r="D37" s="59"/>
      <c r="F37" s="0" t="str">
        <f aca="false">IF(A37="","",IF(ISNUMBER(A37),IF(A37&lt;=31,DATE(YEAR(MSTART),MONTH(MSTART),A37),IF(A37&lt;=3112,DATE(YEAR(MSTART),MOD(A37,100),INT(A37/100)),A37)),IFERROR(DATEVALUE(A37),"")))</f>
        <v/>
      </c>
    </row>
    <row r="38" customFormat="false" ht="15" hidden="false" customHeight="false" outlineLevel="0" collapsed="false">
      <c r="A38" s="58"/>
      <c r="B38" s="41"/>
      <c r="C38" s="23"/>
      <c r="D38" s="59"/>
      <c r="F38" s="0" t="str">
        <f aca="false">IF(A38="","",IF(ISNUMBER(A38),IF(A38&lt;=31,DATE(YEAR(MSTART),MONTH(MSTART),A38),IF(A38&lt;=3112,DATE(YEAR(MSTART),MOD(A38,100),INT(A38/100)),A38)),IFERROR(DATEVALUE(A38),"")))</f>
        <v/>
      </c>
    </row>
    <row r="39" customFormat="false" ht="15" hidden="false" customHeight="false" outlineLevel="0" collapsed="false">
      <c r="A39" s="58"/>
      <c r="B39" s="41"/>
      <c r="C39" s="23"/>
      <c r="D39" s="59"/>
      <c r="F39" s="0" t="str">
        <f aca="false">IF(A39="","",IF(ISNUMBER(A39),IF(A39&lt;=31,DATE(YEAR(MSTART),MONTH(MSTART),A39),IF(A39&lt;=3112,DATE(YEAR(MSTART),MOD(A39,100),INT(A39/100)),A39)),IFERROR(DATEVALUE(A39),"")))</f>
        <v/>
      </c>
    </row>
    <row r="40" customFormat="false" ht="15" hidden="false" customHeight="false" outlineLevel="0" collapsed="false">
      <c r="A40" s="58"/>
      <c r="B40" s="41"/>
      <c r="C40" s="23"/>
      <c r="D40" s="59"/>
      <c r="F40" s="0" t="str">
        <f aca="false">IF(A40="","",IF(ISNUMBER(A40),IF(A40&lt;=31,DATE(YEAR(MSTART),MONTH(MSTART),A40),IF(A40&lt;=3112,DATE(YEAR(MSTART),MOD(A40,100),INT(A40/100)),A40)),IFERROR(DATEVALUE(A40),"")))</f>
        <v/>
      </c>
    </row>
    <row r="41" customFormat="false" ht="15" hidden="false" customHeight="false" outlineLevel="0" collapsed="false">
      <c r="A41" s="58"/>
      <c r="B41" s="41"/>
      <c r="C41" s="23"/>
      <c r="D41" s="59"/>
      <c r="F41" s="0" t="str">
        <f aca="false">IF(A41="","",IF(ISNUMBER(A41),IF(A41&lt;=31,DATE(YEAR(MSTART),MONTH(MSTART),A41),IF(A41&lt;=3112,DATE(YEAR(MSTART),MOD(A41,100),INT(A41/100)),A41)),IFERROR(DATEVALUE(A41),"")))</f>
        <v/>
      </c>
    </row>
    <row r="42" customFormat="false" ht="15" hidden="false" customHeight="false" outlineLevel="0" collapsed="false">
      <c r="A42" s="58"/>
      <c r="B42" s="41"/>
      <c r="C42" s="23"/>
      <c r="D42" s="59"/>
      <c r="F42" s="0" t="str">
        <f aca="false">IF(A42="","",IF(ISNUMBER(A42),IF(A42&lt;=31,DATE(YEAR(MSTART),MONTH(MSTART),A42),IF(A42&lt;=3112,DATE(YEAR(MSTART),MOD(A42,100),INT(A42/100)),A42)),IFERROR(DATEVALUE(A42),"")))</f>
        <v/>
      </c>
    </row>
    <row r="43" customFormat="false" ht="15" hidden="false" customHeight="false" outlineLevel="0" collapsed="false">
      <c r="A43" s="58"/>
      <c r="B43" s="41"/>
      <c r="C43" s="23"/>
      <c r="D43" s="59"/>
      <c r="F43" s="0" t="str">
        <f aca="false">IF(A43="","",IF(ISNUMBER(A43),IF(A43&lt;=31,DATE(YEAR(MSTART),MONTH(MSTART),A43),IF(A43&lt;=3112,DATE(YEAR(MSTART),MOD(A43,100),INT(A43/100)),A43)),IFERROR(DATEVALUE(A43),"")))</f>
        <v/>
      </c>
    </row>
    <row r="44" customFormat="false" ht="15" hidden="false" customHeight="false" outlineLevel="0" collapsed="false">
      <c r="A44" s="58"/>
      <c r="B44" s="41"/>
      <c r="C44" s="23"/>
      <c r="D44" s="59"/>
      <c r="F44" s="0" t="str">
        <f aca="false">IF(A44="","",IF(ISNUMBER(A44),IF(A44&lt;=31,DATE(YEAR(MSTART),MONTH(MSTART),A44),IF(A44&lt;=3112,DATE(YEAR(MSTART),MOD(A44,100),INT(A44/100)),A44)),IFERROR(DATEVALUE(A44),"")))</f>
        <v/>
      </c>
    </row>
    <row r="45" customFormat="false" ht="15" hidden="false" customHeight="false" outlineLevel="0" collapsed="false">
      <c r="A45" s="58"/>
      <c r="B45" s="41"/>
      <c r="C45" s="23"/>
      <c r="D45" s="59"/>
      <c r="F45" s="0" t="str">
        <f aca="false">IF(A45="","",IF(ISNUMBER(A45),IF(A45&lt;=31,DATE(YEAR(MSTART),MONTH(MSTART),A45),IF(A45&lt;=3112,DATE(YEAR(MSTART),MOD(A45,100),INT(A45/100)),A45)),IFERROR(DATEVALUE(A45),"")))</f>
        <v/>
      </c>
    </row>
    <row r="46" customFormat="false" ht="15" hidden="false" customHeight="false" outlineLevel="0" collapsed="false">
      <c r="A46" s="58"/>
      <c r="B46" s="41"/>
      <c r="C46" s="23"/>
      <c r="D46" s="59"/>
      <c r="F46" s="0" t="str">
        <f aca="false">IF(A46="","",IF(ISNUMBER(A46),IF(A46&lt;=31,DATE(YEAR(MSTART),MONTH(MSTART),A46),IF(A46&lt;=3112,DATE(YEAR(MSTART),MOD(A46,100),INT(A46/100)),A46)),IFERROR(DATEVALUE(A46),"")))</f>
        <v/>
      </c>
    </row>
    <row r="47" customFormat="false" ht="15" hidden="false" customHeight="false" outlineLevel="0" collapsed="false">
      <c r="A47" s="58"/>
      <c r="B47" s="41"/>
      <c r="C47" s="23"/>
      <c r="D47" s="59"/>
      <c r="F47" s="0" t="str">
        <f aca="false">IF(A47="","",IF(ISNUMBER(A47),IF(A47&lt;=31,DATE(YEAR(MSTART),MONTH(MSTART),A47),IF(A47&lt;=3112,DATE(YEAR(MSTART),MOD(A47,100),INT(A47/100)),A47)),IFERROR(DATEVALUE(A47),"")))</f>
        <v/>
      </c>
    </row>
    <row r="48" customFormat="false" ht="15" hidden="false" customHeight="false" outlineLevel="0" collapsed="false">
      <c r="A48" s="58"/>
      <c r="B48" s="41"/>
      <c r="C48" s="23"/>
      <c r="D48" s="59"/>
      <c r="F48" s="0" t="str">
        <f aca="false">IF(A48="","",IF(ISNUMBER(A48),IF(A48&lt;=31,DATE(YEAR(MSTART),MONTH(MSTART),A48),IF(A48&lt;=3112,DATE(YEAR(MSTART),MOD(A48,100),INT(A48/100)),A48)),IFERROR(DATEVALUE(A48),"")))</f>
        <v/>
      </c>
    </row>
    <row r="49" customFormat="false" ht="15" hidden="false" customHeight="false" outlineLevel="0" collapsed="false">
      <c r="A49" s="58"/>
      <c r="B49" s="41"/>
      <c r="C49" s="23"/>
      <c r="D49" s="59"/>
      <c r="F49" s="0" t="str">
        <f aca="false">IF(A49="","",IF(ISNUMBER(A49),IF(A49&lt;=31,DATE(YEAR(MSTART),MONTH(MSTART),A49),IF(A49&lt;=3112,DATE(YEAR(MSTART),MOD(A49,100),INT(A49/100)),A49)),IFERROR(DATEVALUE(A49),"")))</f>
        <v/>
      </c>
    </row>
    <row r="50" customFormat="false" ht="15" hidden="false" customHeight="false" outlineLevel="0" collapsed="false">
      <c r="A50" s="58"/>
      <c r="B50" s="41"/>
      <c r="C50" s="23"/>
      <c r="D50" s="59"/>
      <c r="F50" s="0" t="str">
        <f aca="false">IF(A50="","",IF(ISNUMBER(A50),IF(A50&lt;=31,DATE(YEAR(MSTART),MONTH(MSTART),A50),IF(A50&lt;=3112,DATE(YEAR(MSTART),MOD(A50,100),INT(A50/100)),A50)),IFERROR(DATEVALUE(A50),"")))</f>
        <v/>
      </c>
    </row>
    <row r="51" customFormat="false" ht="15" hidden="false" customHeight="false" outlineLevel="0" collapsed="false">
      <c r="A51" s="58"/>
      <c r="B51" s="41"/>
      <c r="C51" s="23"/>
      <c r="D51" s="59"/>
      <c r="F51" s="0" t="str">
        <f aca="false">IF(A51="","",IF(ISNUMBER(A51),IF(A51&lt;=31,DATE(YEAR(MSTART),MONTH(MSTART),A51),IF(A51&lt;=3112,DATE(YEAR(MSTART),MOD(A51,100),INT(A51/100)),A51)),IFERROR(DATEVALUE(A51),"")))</f>
        <v/>
      </c>
    </row>
    <row r="52" customFormat="false" ht="15" hidden="false" customHeight="false" outlineLevel="0" collapsed="false">
      <c r="A52" s="58"/>
      <c r="B52" s="41"/>
      <c r="C52" s="23"/>
      <c r="D52" s="59"/>
      <c r="F52" s="0" t="str">
        <f aca="false">IF(A52="","",IF(ISNUMBER(A52),IF(A52&lt;=31,DATE(YEAR(MSTART),MONTH(MSTART),A52),IF(A52&lt;=3112,DATE(YEAR(MSTART),MOD(A52,100),INT(A52/100)),A52)),IFERROR(DATEVALUE(A52),"")))</f>
        <v/>
      </c>
    </row>
    <row r="53" customFormat="false" ht="15" hidden="false" customHeight="false" outlineLevel="0" collapsed="false">
      <c r="A53" s="58"/>
      <c r="B53" s="41"/>
      <c r="C53" s="23"/>
      <c r="D53" s="59"/>
      <c r="F53" s="0" t="str">
        <f aca="false">IF(A53="","",IF(ISNUMBER(A53),IF(A53&lt;=31,DATE(YEAR(MSTART),MONTH(MSTART),A53),IF(A53&lt;=3112,DATE(YEAR(MSTART),MOD(A53,100),INT(A53/100)),A53)),IFERROR(DATEVALUE(A53),"")))</f>
        <v/>
      </c>
    </row>
    <row r="54" customFormat="false" ht="15" hidden="false" customHeight="false" outlineLevel="0" collapsed="false">
      <c r="A54" s="58"/>
      <c r="B54" s="41"/>
      <c r="C54" s="23"/>
      <c r="D54" s="59"/>
      <c r="F54" s="0" t="str">
        <f aca="false">IF(A54="","",IF(ISNUMBER(A54),IF(A54&lt;=31,DATE(YEAR(MSTART),MONTH(MSTART),A54),IF(A54&lt;=3112,DATE(YEAR(MSTART),MOD(A54,100),INT(A54/100)),A54)),IFERROR(DATEVALUE(A54),"")))</f>
        <v/>
      </c>
    </row>
    <row r="55" customFormat="false" ht="15" hidden="false" customHeight="false" outlineLevel="0" collapsed="false">
      <c r="A55" s="58"/>
      <c r="B55" s="41"/>
      <c r="C55" s="23"/>
      <c r="D55" s="59"/>
      <c r="F55" s="0" t="str">
        <f aca="false">IF(A55="","",IF(ISNUMBER(A55),IF(A55&lt;=31,DATE(YEAR(MSTART),MONTH(MSTART),A55),IF(A55&lt;=3112,DATE(YEAR(MSTART),MOD(A55,100),INT(A55/100)),A55)),IFERROR(DATEVALUE(A55),"")))</f>
        <v/>
      </c>
    </row>
    <row r="56" customFormat="false" ht="15" hidden="false" customHeight="false" outlineLevel="0" collapsed="false">
      <c r="A56" s="58"/>
      <c r="B56" s="41"/>
      <c r="C56" s="23"/>
      <c r="D56" s="59"/>
      <c r="F56" s="0" t="str">
        <f aca="false">IF(A56="","",IF(ISNUMBER(A56),IF(A56&lt;=31,DATE(YEAR(MSTART),MONTH(MSTART),A56),IF(A56&lt;=3112,DATE(YEAR(MSTART),MOD(A56,100),INT(A56/100)),A56)),IFERROR(DATEVALUE(A56),"")))</f>
        <v/>
      </c>
    </row>
    <row r="57" customFormat="false" ht="15" hidden="false" customHeight="false" outlineLevel="0" collapsed="false">
      <c r="A57" s="58"/>
      <c r="B57" s="41"/>
      <c r="C57" s="23"/>
      <c r="D57" s="59"/>
      <c r="F57" s="0" t="str">
        <f aca="false">IF(A57="","",IF(ISNUMBER(A57),IF(A57&lt;=31,DATE(YEAR(MSTART),MONTH(MSTART),A57),IF(A57&lt;=3112,DATE(YEAR(MSTART),MOD(A57,100),INT(A57/100)),A57)),IFERROR(DATEVALUE(A57),"")))</f>
        <v/>
      </c>
    </row>
    <row r="58" customFormat="false" ht="15" hidden="false" customHeight="false" outlineLevel="0" collapsed="false">
      <c r="A58" s="58"/>
      <c r="B58" s="41"/>
      <c r="C58" s="23"/>
      <c r="D58" s="59"/>
      <c r="F58" s="0" t="str">
        <f aca="false">IF(A58="","",IF(ISNUMBER(A58),IF(A58&lt;=31,DATE(YEAR(MSTART),MONTH(MSTART),A58),IF(A58&lt;=3112,DATE(YEAR(MSTART),MOD(A58,100),INT(A58/100)),A58)),IFERROR(DATEVALUE(A58),"")))</f>
        <v/>
      </c>
    </row>
    <row r="59" customFormat="false" ht="15" hidden="false" customHeight="false" outlineLevel="0" collapsed="false">
      <c r="A59" s="58"/>
      <c r="B59" s="41"/>
      <c r="C59" s="23"/>
      <c r="D59" s="59"/>
      <c r="F59" s="0" t="str">
        <f aca="false">IF(A59="","",IF(ISNUMBER(A59),IF(A59&lt;=31,DATE(YEAR(MSTART),MONTH(MSTART),A59),IF(A59&lt;=3112,DATE(YEAR(MSTART),MOD(A59,100),INT(A59/100)),A59)),IFERROR(DATEVALUE(A59),"")))</f>
        <v/>
      </c>
    </row>
    <row r="60" customFormat="false" ht="15" hidden="false" customHeight="false" outlineLevel="0" collapsed="false">
      <c r="A60" s="58"/>
      <c r="B60" s="41"/>
      <c r="C60" s="23"/>
      <c r="D60" s="59"/>
      <c r="F60" s="0" t="str">
        <f aca="false">IF(A60="","",IF(ISNUMBER(A60),IF(A60&lt;=31,DATE(YEAR(MSTART),MONTH(MSTART),A60),IF(A60&lt;=3112,DATE(YEAR(MSTART),MOD(A60,100),INT(A60/100)),A60)),IFERROR(DATEVALUE(A60),"")))</f>
        <v/>
      </c>
    </row>
    <row r="61" customFormat="false" ht="15" hidden="false" customHeight="false" outlineLevel="0" collapsed="false">
      <c r="A61" s="58"/>
      <c r="B61" s="41"/>
      <c r="C61" s="23"/>
      <c r="D61" s="59"/>
      <c r="F61" s="0" t="str">
        <f aca="false">IF(A61="","",IF(ISNUMBER(A61),IF(A61&lt;=31,DATE(YEAR(MSTART),MONTH(MSTART),A61),IF(A61&lt;=3112,DATE(YEAR(MSTART),MOD(A61,100),INT(A61/100)),A61)),IFERROR(DATEVALUE(A61),"")))</f>
        <v/>
      </c>
    </row>
    <row r="62" customFormat="false" ht="15" hidden="false" customHeight="false" outlineLevel="0" collapsed="false">
      <c r="A62" s="58"/>
      <c r="B62" s="41"/>
      <c r="C62" s="23"/>
      <c r="D62" s="59"/>
      <c r="F62" s="0" t="str">
        <f aca="false">IF(A62="","",IF(ISNUMBER(A62),IF(A62&lt;=31,DATE(YEAR(MSTART),MONTH(MSTART),A62),IF(A62&lt;=3112,DATE(YEAR(MSTART),MOD(A62,100),INT(A62/100)),A62)),IFERROR(DATEVALUE(A62),"")))</f>
        <v/>
      </c>
    </row>
    <row r="63" customFormat="false" ht="15" hidden="false" customHeight="false" outlineLevel="0" collapsed="false">
      <c r="A63" s="58"/>
      <c r="B63" s="41"/>
      <c r="C63" s="23"/>
      <c r="D63" s="59"/>
      <c r="F63" s="0" t="str">
        <f aca="false">IF(A63="","",IF(ISNUMBER(A63),IF(A63&lt;=31,DATE(YEAR(MSTART),MONTH(MSTART),A63),IF(A63&lt;=3112,DATE(YEAR(MSTART),MOD(A63,100),INT(A63/100)),A63)),IFERROR(DATEVALUE(A63),"")))</f>
        <v/>
      </c>
    </row>
    <row r="64" customFormat="false" ht="15" hidden="false" customHeight="false" outlineLevel="0" collapsed="false">
      <c r="A64" s="58"/>
      <c r="B64" s="41"/>
      <c r="C64" s="23"/>
      <c r="D64" s="59"/>
      <c r="F64" s="0" t="str">
        <f aca="false">IF(A64="","",IF(ISNUMBER(A64),IF(A64&lt;=31,DATE(YEAR(MSTART),MONTH(MSTART),A64),IF(A64&lt;=3112,DATE(YEAR(MSTART),MOD(A64,100),INT(A64/100)),A64)),IFERROR(DATEVALUE(A64),"")))</f>
        <v/>
      </c>
    </row>
    <row r="65" customFormat="false" ht="15" hidden="false" customHeight="false" outlineLevel="0" collapsed="false">
      <c r="A65" s="58"/>
      <c r="B65" s="41"/>
      <c r="C65" s="23"/>
      <c r="D65" s="59"/>
      <c r="F65" s="0" t="str">
        <f aca="false">IF(A65="","",IF(ISNUMBER(A65),IF(A65&lt;=31,DATE(YEAR(MSTART),MONTH(MSTART),A65),IF(A65&lt;=3112,DATE(YEAR(MSTART),MOD(A65,100),INT(A65/100)),A65)),IFERROR(DATEVALUE(A65),"")))</f>
        <v/>
      </c>
    </row>
    <row r="66" customFormat="false" ht="15" hidden="false" customHeight="false" outlineLevel="0" collapsed="false">
      <c r="A66" s="58"/>
      <c r="B66" s="41"/>
      <c r="C66" s="23"/>
      <c r="D66" s="59"/>
      <c r="F66" s="0" t="str">
        <f aca="false">IF(A66="","",IF(ISNUMBER(A66),IF(A66&lt;=31,DATE(YEAR(MSTART),MONTH(MSTART),A66),IF(A66&lt;=3112,DATE(YEAR(MSTART),MOD(A66,100),INT(A66/100)),A66)),IFERROR(DATEVALUE(A66),"")))</f>
        <v/>
      </c>
    </row>
    <row r="67" customFormat="false" ht="15" hidden="false" customHeight="false" outlineLevel="0" collapsed="false">
      <c r="A67" s="58"/>
      <c r="B67" s="41"/>
      <c r="C67" s="23"/>
      <c r="D67" s="59"/>
      <c r="F67" s="0" t="str">
        <f aca="false">IF(A67="","",IF(ISNUMBER(A67),IF(A67&lt;=31,DATE(YEAR(MSTART),MONTH(MSTART),A67),IF(A67&lt;=3112,DATE(YEAR(MSTART),MOD(A67,100),INT(A67/100)),A67)),IFERROR(DATEVALUE(A67),"")))</f>
        <v/>
      </c>
    </row>
    <row r="68" customFormat="false" ht="15" hidden="false" customHeight="false" outlineLevel="0" collapsed="false">
      <c r="A68" s="58"/>
      <c r="B68" s="41"/>
      <c r="C68" s="23"/>
      <c r="D68" s="59"/>
      <c r="F68" s="0" t="str">
        <f aca="false">IF(A68="","",IF(ISNUMBER(A68),IF(A68&lt;=31,DATE(YEAR(MSTART),MONTH(MSTART),A68),IF(A68&lt;=3112,DATE(YEAR(MSTART),MOD(A68,100),INT(A68/100)),A68)),IFERROR(DATEVALUE(A68),"")))</f>
        <v/>
      </c>
    </row>
    <row r="69" customFormat="false" ht="15" hidden="false" customHeight="false" outlineLevel="0" collapsed="false">
      <c r="A69" s="58"/>
      <c r="B69" s="41"/>
      <c r="C69" s="23"/>
      <c r="D69" s="59"/>
      <c r="F69" s="0" t="str">
        <f aca="false">IF(A69="","",IF(ISNUMBER(A69),IF(A69&lt;=31,DATE(YEAR(MSTART),MONTH(MSTART),A69),IF(A69&lt;=3112,DATE(YEAR(MSTART),MOD(A69,100),INT(A69/100)),A69)),IFERROR(DATEVALUE(A69),"")))</f>
        <v/>
      </c>
    </row>
    <row r="70" customFormat="false" ht="15" hidden="false" customHeight="false" outlineLevel="0" collapsed="false">
      <c r="A70" s="58"/>
      <c r="B70" s="41"/>
      <c r="C70" s="23"/>
      <c r="D70" s="59"/>
      <c r="F70" s="0" t="str">
        <f aca="false">IF(A70="","",IF(ISNUMBER(A70),IF(A70&lt;=31,DATE(YEAR(MSTART),MONTH(MSTART),A70),IF(A70&lt;=3112,DATE(YEAR(MSTART),MOD(A70,100),INT(A70/100)),A70)),IFERROR(DATEVALUE(A70),"")))</f>
        <v/>
      </c>
    </row>
    <row r="71" customFormat="false" ht="15" hidden="false" customHeight="false" outlineLevel="0" collapsed="false">
      <c r="A71" s="58"/>
      <c r="B71" s="41"/>
      <c r="C71" s="23"/>
      <c r="D71" s="59"/>
      <c r="F71" s="0" t="str">
        <f aca="false">IF(A71="","",IF(ISNUMBER(A71),IF(A71&lt;=31,DATE(YEAR(MSTART),MONTH(MSTART),A71),IF(A71&lt;=3112,DATE(YEAR(MSTART),MOD(A71,100),INT(A71/100)),A71)),IFERROR(DATEVALUE(A71),"")))</f>
        <v/>
      </c>
    </row>
    <row r="72" customFormat="false" ht="15" hidden="false" customHeight="false" outlineLevel="0" collapsed="false">
      <c r="A72" s="58"/>
      <c r="B72" s="41"/>
      <c r="C72" s="23"/>
      <c r="D72" s="59"/>
      <c r="F72" s="0" t="str">
        <f aca="false">IF(A72="","",IF(ISNUMBER(A72),IF(A72&lt;=31,DATE(YEAR(MSTART),MONTH(MSTART),A72),IF(A72&lt;=3112,DATE(YEAR(MSTART),MOD(A72,100),INT(A72/100)),A72)),IFERROR(DATEVALUE(A72),"")))</f>
        <v/>
      </c>
    </row>
    <row r="73" customFormat="false" ht="15" hidden="false" customHeight="false" outlineLevel="0" collapsed="false">
      <c r="A73" s="58"/>
      <c r="B73" s="41"/>
      <c r="C73" s="23"/>
      <c r="D73" s="59"/>
      <c r="F73" s="0" t="str">
        <f aca="false">IF(A73="","",IF(ISNUMBER(A73),IF(A73&lt;=31,DATE(YEAR(MSTART),MONTH(MSTART),A73),IF(A73&lt;=3112,DATE(YEAR(MSTART),MOD(A73,100),INT(A73/100)),A73)),IFERROR(DATEVALUE(A73),"")))</f>
        <v/>
      </c>
    </row>
    <row r="74" customFormat="false" ht="15" hidden="false" customHeight="false" outlineLevel="0" collapsed="false">
      <c r="A74" s="58"/>
      <c r="B74" s="41"/>
      <c r="C74" s="23"/>
      <c r="D74" s="59"/>
      <c r="F74" s="0" t="str">
        <f aca="false">IF(A74="","",IF(ISNUMBER(A74),IF(A74&lt;=31,DATE(YEAR(MSTART),MONTH(MSTART),A74),IF(A74&lt;=3112,DATE(YEAR(MSTART),MOD(A74,100),INT(A74/100)),A74)),IFERROR(DATEVALUE(A74),"")))</f>
        <v/>
      </c>
    </row>
    <row r="75" customFormat="false" ht="15" hidden="false" customHeight="false" outlineLevel="0" collapsed="false">
      <c r="A75" s="58"/>
      <c r="B75" s="41"/>
      <c r="C75" s="23"/>
      <c r="D75" s="59"/>
      <c r="F75" s="0" t="str">
        <f aca="false">IF(A75="","",IF(ISNUMBER(A75),IF(A75&lt;=31,DATE(YEAR(MSTART),MONTH(MSTART),A75),IF(A75&lt;=3112,DATE(YEAR(MSTART),MOD(A75,100),INT(A75/100)),A75)),IFERROR(DATEVALUE(A75),"")))</f>
        <v/>
      </c>
    </row>
    <row r="76" customFormat="false" ht="15" hidden="false" customHeight="false" outlineLevel="0" collapsed="false">
      <c r="A76" s="58"/>
      <c r="B76" s="41"/>
      <c r="C76" s="23"/>
      <c r="D76" s="59"/>
      <c r="F76" s="0" t="str">
        <f aca="false">IF(A76="","",IF(ISNUMBER(A76),IF(A76&lt;=31,DATE(YEAR(MSTART),MONTH(MSTART),A76),IF(A76&lt;=3112,DATE(YEAR(MSTART),MOD(A76,100),INT(A76/100)),A76)),IFERROR(DATEVALUE(A76),"")))</f>
        <v/>
      </c>
    </row>
    <row r="77" customFormat="false" ht="15" hidden="false" customHeight="false" outlineLevel="0" collapsed="false">
      <c r="A77" s="58"/>
      <c r="B77" s="41"/>
      <c r="C77" s="23"/>
      <c r="D77" s="59"/>
      <c r="F77" s="0" t="str">
        <f aca="false">IF(A77="","",IF(ISNUMBER(A77),IF(A77&lt;=31,DATE(YEAR(MSTART),MONTH(MSTART),A77),IF(A77&lt;=3112,DATE(YEAR(MSTART),MOD(A77,100),INT(A77/100)),A77)),IFERROR(DATEVALUE(A77),"")))</f>
        <v/>
      </c>
    </row>
    <row r="78" customFormat="false" ht="15" hidden="false" customHeight="false" outlineLevel="0" collapsed="false">
      <c r="A78" s="58"/>
      <c r="B78" s="41"/>
      <c r="C78" s="23"/>
      <c r="D78" s="59"/>
      <c r="F78" s="0" t="str">
        <f aca="false">IF(A78="","",IF(ISNUMBER(A78),IF(A78&lt;=31,DATE(YEAR(MSTART),MONTH(MSTART),A78),IF(A78&lt;=3112,DATE(YEAR(MSTART),MOD(A78,100),INT(A78/100)),A78)),IFERROR(DATEVALUE(A78),"")))</f>
        <v/>
      </c>
    </row>
    <row r="79" customFormat="false" ht="15" hidden="false" customHeight="false" outlineLevel="0" collapsed="false">
      <c r="A79" s="58"/>
      <c r="B79" s="41"/>
      <c r="C79" s="23"/>
      <c r="D79" s="59"/>
      <c r="F79" s="0" t="str">
        <f aca="false">IF(A79="","",IF(ISNUMBER(A79),IF(A79&lt;=31,DATE(YEAR(MSTART),MONTH(MSTART),A79),IF(A79&lt;=3112,DATE(YEAR(MSTART),MOD(A79,100),INT(A79/100)),A79)),IFERROR(DATEVALUE(A79),"")))</f>
        <v/>
      </c>
    </row>
    <row r="80" customFormat="false" ht="15" hidden="false" customHeight="false" outlineLevel="0" collapsed="false">
      <c r="A80" s="58"/>
      <c r="B80" s="41"/>
      <c r="C80" s="23"/>
      <c r="D80" s="59"/>
      <c r="F80" s="0" t="str">
        <f aca="false">IF(A80="","",IF(ISNUMBER(A80),IF(A80&lt;=31,DATE(YEAR(MSTART),MONTH(MSTART),A80),IF(A80&lt;=3112,DATE(YEAR(MSTART),MOD(A80,100),INT(A80/100)),A80)),IFERROR(DATEVALUE(A80),"")))</f>
        <v/>
      </c>
    </row>
    <row r="81" customFormat="false" ht="15" hidden="false" customHeight="false" outlineLevel="0" collapsed="false">
      <c r="A81" s="58"/>
      <c r="B81" s="41"/>
      <c r="C81" s="23"/>
      <c r="D81" s="59"/>
      <c r="F81" s="0" t="str">
        <f aca="false">IF(A81="","",IF(ISNUMBER(A81),IF(A81&lt;=31,DATE(YEAR(MSTART),MONTH(MSTART),A81),IF(A81&lt;=3112,DATE(YEAR(MSTART),MOD(A81,100),INT(A81/100)),A81)),IFERROR(DATEVALUE(A81),"")))</f>
        <v/>
      </c>
    </row>
    <row r="82" customFormat="false" ht="15" hidden="false" customHeight="false" outlineLevel="0" collapsed="false">
      <c r="A82" s="58"/>
      <c r="B82" s="41"/>
      <c r="C82" s="23"/>
      <c r="D82" s="59"/>
      <c r="F82" s="0" t="str">
        <f aca="false">IF(A82="","",IF(ISNUMBER(A82),IF(A82&lt;=31,DATE(YEAR(MSTART),MONTH(MSTART),A82),IF(A82&lt;=3112,DATE(YEAR(MSTART),MOD(A82,100),INT(A82/100)),A82)),IFERROR(DATEVALUE(A82),"")))</f>
        <v/>
      </c>
    </row>
    <row r="83" customFormat="false" ht="15" hidden="false" customHeight="false" outlineLevel="0" collapsed="false">
      <c r="A83" s="58"/>
      <c r="B83" s="41"/>
      <c r="C83" s="23"/>
      <c r="D83" s="59"/>
      <c r="F83" s="0" t="str">
        <f aca="false">IF(A83="","",IF(ISNUMBER(A83),IF(A83&lt;=31,DATE(YEAR(MSTART),MONTH(MSTART),A83),IF(A83&lt;=3112,DATE(YEAR(MSTART),MOD(A83,100),INT(A83/100)),A83)),IFERROR(DATEVALUE(A83),"")))</f>
        <v/>
      </c>
    </row>
    <row r="84" customFormat="false" ht="15" hidden="false" customHeight="false" outlineLevel="0" collapsed="false">
      <c r="A84" s="58"/>
      <c r="B84" s="41"/>
      <c r="C84" s="23"/>
      <c r="D84" s="59"/>
      <c r="F84" s="0" t="str">
        <f aca="false">IF(A84="","",IF(ISNUMBER(A84),IF(A84&lt;=31,DATE(YEAR(MSTART),MONTH(MSTART),A84),IF(A84&lt;=3112,DATE(YEAR(MSTART),MOD(A84,100),INT(A84/100)),A84)),IFERROR(DATEVALUE(A84),"")))</f>
        <v/>
      </c>
    </row>
    <row r="85" customFormat="false" ht="15" hidden="false" customHeight="false" outlineLevel="0" collapsed="false">
      <c r="A85" s="58"/>
      <c r="B85" s="41"/>
      <c r="C85" s="23"/>
      <c r="D85" s="59"/>
      <c r="F85" s="0" t="str">
        <f aca="false">IF(A85="","",IF(ISNUMBER(A85),IF(A85&lt;=31,DATE(YEAR(MSTART),MONTH(MSTART),A85),IF(A85&lt;=3112,DATE(YEAR(MSTART),MOD(A85,100),INT(A85/100)),A85)),IFERROR(DATEVALUE(A85),"")))</f>
        <v/>
      </c>
    </row>
    <row r="86" customFormat="false" ht="15" hidden="false" customHeight="false" outlineLevel="0" collapsed="false">
      <c r="A86" s="58"/>
      <c r="B86" s="41"/>
      <c r="C86" s="23"/>
      <c r="D86" s="59"/>
      <c r="F86" s="0" t="str">
        <f aca="false">IF(A86="","",IF(ISNUMBER(A86),IF(A86&lt;=31,DATE(YEAR(MSTART),MONTH(MSTART),A86),IF(A86&lt;=3112,DATE(YEAR(MSTART),MOD(A86,100),INT(A86/100)),A86)),IFERROR(DATEVALUE(A86),"")))</f>
        <v/>
      </c>
    </row>
    <row r="87" customFormat="false" ht="15" hidden="false" customHeight="false" outlineLevel="0" collapsed="false">
      <c r="A87" s="58"/>
      <c r="B87" s="41"/>
      <c r="C87" s="23"/>
      <c r="D87" s="59"/>
      <c r="F87" s="0" t="str">
        <f aca="false">IF(A87="","",IF(ISNUMBER(A87),IF(A87&lt;=31,DATE(YEAR(MSTART),MONTH(MSTART),A87),IF(A87&lt;=3112,DATE(YEAR(MSTART),MOD(A87,100),INT(A87/100)),A87)),IFERROR(DATEVALUE(A87),"")))</f>
        <v/>
      </c>
    </row>
    <row r="88" customFormat="false" ht="15" hidden="false" customHeight="false" outlineLevel="0" collapsed="false">
      <c r="A88" s="58"/>
      <c r="B88" s="41"/>
      <c r="C88" s="23"/>
      <c r="D88" s="59"/>
      <c r="F88" s="0" t="str">
        <f aca="false">IF(A88="","",IF(ISNUMBER(A88),IF(A88&lt;=31,DATE(YEAR(MSTART),MONTH(MSTART),A88),IF(A88&lt;=3112,DATE(YEAR(MSTART),MOD(A88,100),INT(A88/100)),A88)),IFERROR(DATEVALUE(A88),"")))</f>
        <v/>
      </c>
    </row>
    <row r="89" customFormat="false" ht="15" hidden="false" customHeight="false" outlineLevel="0" collapsed="false">
      <c r="A89" s="58"/>
      <c r="B89" s="41"/>
      <c r="C89" s="23"/>
      <c r="D89" s="59"/>
      <c r="F89" s="0" t="str">
        <f aca="false">IF(A89="","",IF(ISNUMBER(A89),IF(A89&lt;=31,DATE(YEAR(MSTART),MONTH(MSTART),A89),IF(A89&lt;=3112,DATE(YEAR(MSTART),MOD(A89,100),INT(A89/100)),A89)),IFERROR(DATEVALUE(A89),"")))</f>
        <v/>
      </c>
    </row>
    <row r="90" customFormat="false" ht="15" hidden="false" customHeight="false" outlineLevel="0" collapsed="false">
      <c r="A90" s="58"/>
      <c r="B90" s="41"/>
      <c r="C90" s="23"/>
      <c r="D90" s="59"/>
      <c r="F90" s="0" t="str">
        <f aca="false">IF(A90="","",IF(ISNUMBER(A90),IF(A90&lt;=31,DATE(YEAR(MSTART),MONTH(MSTART),A90),IF(A90&lt;=3112,DATE(YEAR(MSTART),MOD(A90,100),INT(A90/100)),A90)),IFERROR(DATEVALUE(A90),"")))</f>
        <v/>
      </c>
    </row>
    <row r="91" customFormat="false" ht="15" hidden="false" customHeight="false" outlineLevel="0" collapsed="false">
      <c r="A91" s="58"/>
      <c r="B91" s="41"/>
      <c r="C91" s="23"/>
      <c r="D91" s="59"/>
      <c r="F91" s="0" t="str">
        <f aca="false">IF(A91="","",IF(ISNUMBER(A91),IF(A91&lt;=31,DATE(YEAR(MSTART),MONTH(MSTART),A91),IF(A91&lt;=3112,DATE(YEAR(MSTART),MOD(A91,100),INT(A91/100)),A91)),IFERROR(DATEVALUE(A91),"")))</f>
        <v/>
      </c>
    </row>
    <row r="92" customFormat="false" ht="15" hidden="false" customHeight="false" outlineLevel="0" collapsed="false">
      <c r="A92" s="58"/>
      <c r="B92" s="41"/>
      <c r="C92" s="23"/>
      <c r="D92" s="59"/>
      <c r="F92" s="0" t="str">
        <f aca="false">IF(A92="","",IF(ISNUMBER(A92),IF(A92&lt;=31,DATE(YEAR(MSTART),MONTH(MSTART),A92),IF(A92&lt;=3112,DATE(YEAR(MSTART),MOD(A92,100),INT(A92/100)),A92)),IFERROR(DATEVALUE(A92),"")))</f>
        <v/>
      </c>
    </row>
    <row r="93" customFormat="false" ht="15" hidden="false" customHeight="false" outlineLevel="0" collapsed="false">
      <c r="A93" s="58"/>
      <c r="B93" s="41"/>
      <c r="C93" s="23"/>
      <c r="D93" s="59"/>
      <c r="F93" s="0" t="str">
        <f aca="false">IF(A93="","",IF(ISNUMBER(A93),IF(A93&lt;=31,DATE(YEAR(MSTART),MONTH(MSTART),A93),IF(A93&lt;=3112,DATE(YEAR(MSTART),MOD(A93,100),INT(A93/100)),A93)),IFERROR(DATEVALUE(A93),"")))</f>
        <v/>
      </c>
    </row>
    <row r="94" customFormat="false" ht="15" hidden="false" customHeight="false" outlineLevel="0" collapsed="false">
      <c r="A94" s="58"/>
      <c r="B94" s="41"/>
      <c r="C94" s="23"/>
      <c r="D94" s="59"/>
      <c r="F94" s="0" t="str">
        <f aca="false">IF(A94="","",IF(ISNUMBER(A94),IF(A94&lt;=31,DATE(YEAR(MSTART),MONTH(MSTART),A94),IF(A94&lt;=3112,DATE(YEAR(MSTART),MOD(A94,100),INT(A94/100)),A94)),IFERROR(DATEVALUE(A94),"")))</f>
        <v/>
      </c>
    </row>
    <row r="95" customFormat="false" ht="15" hidden="false" customHeight="false" outlineLevel="0" collapsed="false">
      <c r="A95" s="58"/>
      <c r="B95" s="41"/>
      <c r="C95" s="23"/>
      <c r="D95" s="59"/>
      <c r="F95" s="0" t="str">
        <f aca="false">IF(A95="","",IF(ISNUMBER(A95),IF(A95&lt;=31,DATE(YEAR(MSTART),MONTH(MSTART),A95),IF(A95&lt;=3112,DATE(YEAR(MSTART),MOD(A95,100),INT(A95/100)),A95)),IFERROR(DATEVALUE(A95),"")))</f>
        <v/>
      </c>
    </row>
    <row r="96" customFormat="false" ht="15" hidden="false" customHeight="false" outlineLevel="0" collapsed="false">
      <c r="A96" s="58"/>
      <c r="B96" s="41"/>
      <c r="C96" s="23"/>
      <c r="D96" s="59"/>
      <c r="F96" s="0" t="str">
        <f aca="false">IF(A96="","",IF(ISNUMBER(A96),IF(A96&lt;=31,DATE(YEAR(MSTART),MONTH(MSTART),A96),IF(A96&lt;=3112,DATE(YEAR(MSTART),MOD(A96,100),INT(A96/100)),A96)),IFERROR(DATEVALUE(A96),"")))</f>
        <v/>
      </c>
    </row>
    <row r="97" customFormat="false" ht="15" hidden="false" customHeight="false" outlineLevel="0" collapsed="false">
      <c r="A97" s="58"/>
      <c r="B97" s="41"/>
      <c r="C97" s="23"/>
      <c r="D97" s="59"/>
      <c r="F97" s="0" t="str">
        <f aca="false">IF(A97="","",IF(ISNUMBER(A97),IF(A97&lt;=31,DATE(YEAR(MSTART),MONTH(MSTART),A97),IF(A97&lt;=3112,DATE(YEAR(MSTART),MOD(A97,100),INT(A97/100)),A97)),IFERROR(DATEVALUE(A97),"")))</f>
        <v/>
      </c>
    </row>
    <row r="98" customFormat="false" ht="15" hidden="false" customHeight="false" outlineLevel="0" collapsed="false">
      <c r="A98" s="58"/>
      <c r="B98" s="41"/>
      <c r="C98" s="23"/>
      <c r="D98" s="59"/>
      <c r="F98" s="0" t="str">
        <f aca="false">IF(A98="","",IF(ISNUMBER(A98),IF(A98&lt;=31,DATE(YEAR(MSTART),MONTH(MSTART),A98),IF(A98&lt;=3112,DATE(YEAR(MSTART),MOD(A98,100),INT(A98/100)),A98)),IFERROR(DATEVALUE(A98),"")))</f>
        <v/>
      </c>
    </row>
    <row r="99" customFormat="false" ht="15" hidden="false" customHeight="false" outlineLevel="0" collapsed="false">
      <c r="A99" s="58"/>
      <c r="B99" s="41"/>
      <c r="C99" s="23"/>
      <c r="D99" s="59"/>
      <c r="F99" s="0" t="str">
        <f aca="false">IF(A99="","",IF(ISNUMBER(A99),IF(A99&lt;=31,DATE(YEAR(MSTART),MONTH(MSTART),A99),IF(A99&lt;=3112,DATE(YEAR(MSTART),MOD(A99,100),INT(A99/100)),A99)),IFERROR(DATEVALUE(A99),"")))</f>
        <v/>
      </c>
    </row>
    <row r="100" customFormat="false" ht="15" hidden="false" customHeight="false" outlineLevel="0" collapsed="false">
      <c r="A100" s="58"/>
      <c r="B100" s="41"/>
      <c r="C100" s="23"/>
      <c r="D100" s="59"/>
      <c r="F100" s="0" t="str">
        <f aca="false">IF(A100="","",IF(ISNUMBER(A100),IF(A100&lt;=31,DATE(YEAR(MSTART),MONTH(MSTART),A100),IF(A100&lt;=3112,DATE(YEAR(MSTART),MOD(A100,100),INT(A100/100)),A100)),IFERROR(DATEVALUE(A100),"")))</f>
        <v/>
      </c>
    </row>
    <row r="101" customFormat="false" ht="15" hidden="false" customHeight="false" outlineLevel="0" collapsed="false">
      <c r="A101" s="58"/>
      <c r="B101" s="41"/>
      <c r="C101" s="23"/>
      <c r="D101" s="59"/>
      <c r="F101" s="0" t="str">
        <f aca="false">IF(A101="","",IF(ISNUMBER(A101),IF(A101&lt;=31,DATE(YEAR(MSTART),MONTH(MSTART),A101),IF(A101&lt;=3112,DATE(YEAR(MSTART),MOD(A101,100),INT(A101/100)),A101)),IFERROR(DATEVALUE(A101),"")))</f>
        <v/>
      </c>
    </row>
    <row r="102" customFormat="false" ht="15" hidden="false" customHeight="false" outlineLevel="0" collapsed="false">
      <c r="A102" s="58"/>
      <c r="B102" s="41"/>
      <c r="C102" s="23"/>
      <c r="D102" s="59"/>
      <c r="F102" s="0" t="str">
        <f aca="false">IF(A102="","",IF(ISNUMBER(A102),IF(A102&lt;=31,DATE(YEAR(MSTART),MONTH(MSTART),A102),IF(A102&lt;=3112,DATE(YEAR(MSTART),MOD(A102,100),INT(A102/100)),A102)),IFERROR(DATEVALUE(A102),"")))</f>
        <v/>
      </c>
    </row>
    <row r="103" customFormat="false" ht="15" hidden="false" customHeight="false" outlineLevel="0" collapsed="false">
      <c r="A103" s="58"/>
      <c r="B103" s="41"/>
      <c r="C103" s="23"/>
      <c r="D103" s="59"/>
      <c r="F103" s="0" t="str">
        <f aca="false">IF(A103="","",IF(ISNUMBER(A103),IF(A103&lt;=31,DATE(YEAR(MSTART),MONTH(MSTART),A103),IF(A103&lt;=3112,DATE(YEAR(MSTART),MOD(A103,100),INT(A103/100)),A103)),IFERROR(DATEVALUE(A103),"")))</f>
        <v/>
      </c>
    </row>
    <row r="104" customFormat="false" ht="15" hidden="false" customHeight="false" outlineLevel="0" collapsed="false">
      <c r="A104" s="58"/>
      <c r="B104" s="41"/>
      <c r="C104" s="23"/>
      <c r="D104" s="59"/>
      <c r="F104" s="0" t="str">
        <f aca="false">IF(A104="","",IF(ISNUMBER(A104),IF(A104&lt;=31,DATE(YEAR(MSTART),MONTH(MSTART),A104),IF(A104&lt;=3112,DATE(YEAR(MSTART),MOD(A104,100),INT(A104/100)),A104)),IFERROR(DATEVALUE(A104),"")))</f>
        <v/>
      </c>
    </row>
    <row r="105" customFormat="false" ht="15" hidden="false" customHeight="false" outlineLevel="0" collapsed="false">
      <c r="A105" s="58"/>
      <c r="B105" s="41"/>
      <c r="C105" s="23"/>
      <c r="D105" s="59"/>
      <c r="F105" s="0" t="str">
        <f aca="false">IF(A105="","",IF(ISNUMBER(A105),IF(A105&lt;=31,DATE(YEAR(MSTART),MONTH(MSTART),A105),IF(A105&lt;=3112,DATE(YEAR(MSTART),MOD(A105,100),INT(A105/100)),A105)),IFERROR(DATEVALUE(A105),"")))</f>
        <v/>
      </c>
    </row>
    <row r="106" customFormat="false" ht="15" hidden="false" customHeight="false" outlineLevel="0" collapsed="false">
      <c r="A106" s="58"/>
      <c r="B106" s="41"/>
      <c r="C106" s="23"/>
      <c r="D106" s="59"/>
      <c r="F106" s="0" t="str">
        <f aca="false">IF(A106="","",IF(ISNUMBER(A106),IF(A106&lt;=31,DATE(YEAR(MSTART),MONTH(MSTART),A106),IF(A106&lt;=3112,DATE(YEAR(MSTART),MOD(A106,100),INT(A106/100)),A106)),IFERROR(DATEVALUE(A106),"")))</f>
        <v/>
      </c>
    </row>
    <row r="107" customFormat="false" ht="15" hidden="false" customHeight="false" outlineLevel="0" collapsed="false">
      <c r="A107" s="58"/>
      <c r="B107" s="41"/>
      <c r="C107" s="23"/>
      <c r="D107" s="59"/>
      <c r="F107" s="0" t="str">
        <f aca="false">IF(A107="","",IF(ISNUMBER(A107),IF(A107&lt;=31,DATE(YEAR(MSTART),MONTH(MSTART),A107),IF(A107&lt;=3112,DATE(YEAR(MSTART),MOD(A107,100),INT(A107/100)),A107)),IFERROR(DATEVALUE(A107),"")))</f>
        <v/>
      </c>
    </row>
    <row r="108" customFormat="false" ht="15" hidden="false" customHeight="false" outlineLevel="0" collapsed="false">
      <c r="A108" s="58"/>
      <c r="B108" s="41"/>
      <c r="C108" s="23"/>
      <c r="D108" s="59"/>
      <c r="F108" s="0" t="str">
        <f aca="false">IF(A108="","",IF(ISNUMBER(A108),IF(A108&lt;=31,DATE(YEAR(MSTART),MONTH(MSTART),A108),IF(A108&lt;=3112,DATE(YEAR(MSTART),MOD(A108,100),INT(A108/100)),A108)),IFERROR(DATEVALUE(A108),"")))</f>
        <v/>
      </c>
    </row>
    <row r="109" customFormat="false" ht="15" hidden="false" customHeight="false" outlineLevel="0" collapsed="false">
      <c r="A109" s="58"/>
      <c r="B109" s="41"/>
      <c r="C109" s="23"/>
      <c r="D109" s="59"/>
      <c r="F109" s="0" t="str">
        <f aca="false">IF(A109="","",IF(ISNUMBER(A109),IF(A109&lt;=31,DATE(YEAR(MSTART),MONTH(MSTART),A109),IF(A109&lt;=3112,DATE(YEAR(MSTART),MOD(A109,100),INT(A109/100)),A109)),IFERROR(DATEVALUE(A109),"")))</f>
        <v/>
      </c>
    </row>
    <row r="110" customFormat="false" ht="15" hidden="false" customHeight="false" outlineLevel="0" collapsed="false">
      <c r="A110" s="58"/>
      <c r="B110" s="41"/>
      <c r="C110" s="23"/>
      <c r="D110" s="59"/>
      <c r="F110" s="0" t="str">
        <f aca="false">IF(A110="","",IF(ISNUMBER(A110),IF(A110&lt;=31,DATE(YEAR(MSTART),MONTH(MSTART),A110),IF(A110&lt;=3112,DATE(YEAR(MSTART),MOD(A110,100),INT(A110/100)),A110)),IFERROR(DATEVALUE(A110),"")))</f>
        <v/>
      </c>
    </row>
    <row r="111" customFormat="false" ht="15" hidden="false" customHeight="false" outlineLevel="0" collapsed="false">
      <c r="A111" s="58"/>
      <c r="B111" s="41"/>
      <c r="C111" s="23"/>
      <c r="D111" s="59"/>
      <c r="F111" s="0" t="str">
        <f aca="false">IF(A111="","",IF(ISNUMBER(A111),IF(A111&lt;=31,DATE(YEAR(MSTART),MONTH(MSTART),A111),IF(A111&lt;=3112,DATE(YEAR(MSTART),MOD(A111,100),INT(A111/100)),A111)),IFERROR(DATEVALUE(A111),"")))</f>
        <v/>
      </c>
    </row>
    <row r="112" customFormat="false" ht="15" hidden="false" customHeight="false" outlineLevel="0" collapsed="false">
      <c r="A112" s="58"/>
      <c r="B112" s="41"/>
      <c r="C112" s="23"/>
      <c r="D112" s="59"/>
      <c r="F112" s="0" t="str">
        <f aca="false">IF(A112="","",IF(ISNUMBER(A112),IF(A112&lt;=31,DATE(YEAR(MSTART),MONTH(MSTART),A112),IF(A112&lt;=3112,DATE(YEAR(MSTART),MOD(A112,100),INT(A112/100)),A112)),IFERROR(DATEVALUE(A112),"")))</f>
        <v/>
      </c>
    </row>
    <row r="113" customFormat="false" ht="15" hidden="false" customHeight="false" outlineLevel="0" collapsed="false">
      <c r="A113" s="58"/>
      <c r="B113" s="41"/>
      <c r="C113" s="23"/>
      <c r="D113" s="59"/>
      <c r="F113" s="0" t="str">
        <f aca="false">IF(A113="","",IF(ISNUMBER(A113),IF(A113&lt;=31,DATE(YEAR(MSTART),MONTH(MSTART),A113),IF(A113&lt;=3112,DATE(YEAR(MSTART),MOD(A113,100),INT(A113/100)),A113)),IFERROR(DATEVALUE(A113),"")))</f>
        <v/>
      </c>
    </row>
    <row r="114" customFormat="false" ht="15" hidden="false" customHeight="false" outlineLevel="0" collapsed="false">
      <c r="A114" s="58"/>
      <c r="B114" s="41"/>
      <c r="C114" s="23"/>
      <c r="D114" s="59"/>
      <c r="F114" s="0" t="str">
        <f aca="false">IF(A114="","",IF(ISNUMBER(A114),IF(A114&lt;=31,DATE(YEAR(MSTART),MONTH(MSTART),A114),IF(A114&lt;=3112,DATE(YEAR(MSTART),MOD(A114,100),INT(A114/100)),A114)),IFERROR(DATEVALUE(A114),"")))</f>
        <v/>
      </c>
    </row>
    <row r="115" customFormat="false" ht="15" hidden="false" customHeight="false" outlineLevel="0" collapsed="false">
      <c r="A115" s="58"/>
      <c r="B115" s="41"/>
      <c r="C115" s="23"/>
      <c r="D115" s="59"/>
      <c r="F115" s="0" t="str">
        <f aca="false">IF(A115="","",IF(ISNUMBER(A115),IF(A115&lt;=31,DATE(YEAR(MSTART),MONTH(MSTART),A115),IF(A115&lt;=3112,DATE(YEAR(MSTART),MOD(A115,100),INT(A115/100)),A115)),IFERROR(DATEVALUE(A115),"")))</f>
        <v/>
      </c>
    </row>
    <row r="116" customFormat="false" ht="15" hidden="false" customHeight="false" outlineLevel="0" collapsed="false">
      <c r="A116" s="58"/>
      <c r="B116" s="41"/>
      <c r="C116" s="23"/>
      <c r="D116" s="59"/>
      <c r="F116" s="0" t="str">
        <f aca="false">IF(A116="","",IF(ISNUMBER(A116),IF(A116&lt;=31,DATE(YEAR(MSTART),MONTH(MSTART),A116),IF(A116&lt;=3112,DATE(YEAR(MSTART),MOD(A116,100),INT(A116/100)),A116)),IFERROR(DATEVALUE(A116),"")))</f>
        <v/>
      </c>
    </row>
    <row r="117" customFormat="false" ht="15" hidden="false" customHeight="false" outlineLevel="0" collapsed="false">
      <c r="A117" s="58"/>
      <c r="B117" s="41"/>
      <c r="C117" s="23"/>
      <c r="D117" s="59"/>
      <c r="F117" s="0" t="str">
        <f aca="false">IF(A117="","",IF(ISNUMBER(A117),IF(A117&lt;=31,DATE(YEAR(MSTART),MONTH(MSTART),A117),IF(A117&lt;=3112,DATE(YEAR(MSTART),MOD(A117,100),INT(A117/100)),A117)),IFERROR(DATEVALUE(A117),"")))</f>
        <v/>
      </c>
    </row>
    <row r="118" customFormat="false" ht="15" hidden="false" customHeight="false" outlineLevel="0" collapsed="false">
      <c r="A118" s="58"/>
      <c r="B118" s="41"/>
      <c r="C118" s="23"/>
      <c r="D118" s="59"/>
      <c r="F118" s="0" t="str">
        <f aca="false">IF(A118="","",IF(ISNUMBER(A118),IF(A118&lt;=31,DATE(YEAR(MSTART),MONTH(MSTART),A118),IF(A118&lt;=3112,DATE(YEAR(MSTART),MOD(A118,100),INT(A118/100)),A118)),IFERROR(DATEVALUE(A118),"")))</f>
        <v/>
      </c>
    </row>
    <row r="119" customFormat="false" ht="15" hidden="false" customHeight="false" outlineLevel="0" collapsed="false">
      <c r="A119" s="58"/>
      <c r="B119" s="41"/>
      <c r="C119" s="23"/>
      <c r="D119" s="59"/>
      <c r="F119" s="0" t="str">
        <f aca="false">IF(A119="","",IF(ISNUMBER(A119),IF(A119&lt;=31,DATE(YEAR(MSTART),MONTH(MSTART),A119),IF(A119&lt;=3112,DATE(YEAR(MSTART),MOD(A119,100),INT(A119/100)),A119)),IFERROR(DATEVALUE(A119),"")))</f>
        <v/>
      </c>
    </row>
    <row r="120" customFormat="false" ht="15" hidden="false" customHeight="false" outlineLevel="0" collapsed="false">
      <c r="A120" s="58"/>
      <c r="B120" s="41"/>
      <c r="C120" s="23"/>
      <c r="D120" s="59"/>
      <c r="F120" s="0" t="str">
        <f aca="false">IF(A120="","",IF(ISNUMBER(A120),IF(A120&lt;=31,DATE(YEAR(MSTART),MONTH(MSTART),A120),IF(A120&lt;=3112,DATE(YEAR(MSTART),MOD(A120,100),INT(A120/100)),A120)),IFERROR(DATEVALUE(A120),"")))</f>
        <v/>
      </c>
    </row>
    <row r="121" customFormat="false" ht="15" hidden="false" customHeight="false" outlineLevel="0" collapsed="false">
      <c r="A121" s="58"/>
      <c r="B121" s="41"/>
      <c r="C121" s="23"/>
      <c r="D121" s="59"/>
      <c r="F121" s="0" t="str">
        <f aca="false">IF(A121="","",IF(ISNUMBER(A121),IF(A121&lt;=31,DATE(YEAR(MSTART),MONTH(MSTART),A121),IF(A121&lt;=3112,DATE(YEAR(MSTART),MOD(A121,100),INT(A121/100)),A121)),IFERROR(DATEVALUE(A121),"")))</f>
        <v/>
      </c>
    </row>
    <row r="122" customFormat="false" ht="15" hidden="false" customHeight="false" outlineLevel="0" collapsed="false">
      <c r="A122" s="58"/>
      <c r="B122" s="41"/>
      <c r="C122" s="23"/>
      <c r="D122" s="59"/>
      <c r="F122" s="0" t="str">
        <f aca="false">IF(A122="","",IF(ISNUMBER(A122),IF(A122&lt;=31,DATE(YEAR(MSTART),MONTH(MSTART),A122),IF(A122&lt;=3112,DATE(YEAR(MSTART),MOD(A122,100),INT(A122/100)),A122)),IFERROR(DATEVALUE(A122),"")))</f>
        <v/>
      </c>
    </row>
    <row r="123" customFormat="false" ht="15" hidden="false" customHeight="false" outlineLevel="0" collapsed="false">
      <c r="A123" s="58"/>
      <c r="B123" s="41"/>
      <c r="C123" s="23"/>
      <c r="D123" s="59"/>
      <c r="F123" s="0" t="str">
        <f aca="false">IF(A123="","",IF(ISNUMBER(A123),IF(A123&lt;=31,DATE(YEAR(MSTART),MONTH(MSTART),A123),IF(A123&lt;=3112,DATE(YEAR(MSTART),MOD(A123,100),INT(A123/100)),A123)),IFERROR(DATEVALUE(A123),"")))</f>
        <v/>
      </c>
    </row>
    <row r="124" customFormat="false" ht="15" hidden="false" customHeight="false" outlineLevel="0" collapsed="false">
      <c r="A124" s="58"/>
      <c r="B124" s="41"/>
      <c r="C124" s="23"/>
      <c r="D124" s="59"/>
      <c r="F124" s="0" t="str">
        <f aca="false">IF(A124="","",IF(ISNUMBER(A124),IF(A124&lt;=31,DATE(YEAR(MSTART),MONTH(MSTART),A124),IF(A124&lt;=3112,DATE(YEAR(MSTART),MOD(A124,100),INT(A124/100)),A124)),IFERROR(DATEVALUE(A124),"")))</f>
        <v/>
      </c>
    </row>
    <row r="125" customFormat="false" ht="15" hidden="false" customHeight="false" outlineLevel="0" collapsed="false">
      <c r="A125" s="58"/>
      <c r="B125" s="41"/>
      <c r="C125" s="23"/>
      <c r="D125" s="59"/>
      <c r="F125" s="0" t="str">
        <f aca="false">IF(A125="","",IF(ISNUMBER(A125),IF(A125&lt;=31,DATE(YEAR(MSTART),MONTH(MSTART),A125),IF(A125&lt;=3112,DATE(YEAR(MSTART),MOD(A125,100),INT(A125/100)),A125)),IFERROR(DATEVALUE(A125),"")))</f>
        <v/>
      </c>
    </row>
    <row r="126" customFormat="false" ht="15" hidden="false" customHeight="false" outlineLevel="0" collapsed="false">
      <c r="A126" s="58"/>
      <c r="B126" s="41"/>
      <c r="C126" s="23"/>
      <c r="D126" s="59"/>
      <c r="F126" s="0" t="str">
        <f aca="false">IF(A126="","",IF(ISNUMBER(A126),IF(A126&lt;=31,DATE(YEAR(MSTART),MONTH(MSTART),A126),IF(A126&lt;=3112,DATE(YEAR(MSTART),MOD(A126,100),INT(A126/100)),A126)),IFERROR(DATEVALUE(A126),"")))</f>
        <v/>
      </c>
    </row>
    <row r="127" customFormat="false" ht="15" hidden="false" customHeight="false" outlineLevel="0" collapsed="false">
      <c r="A127" s="58"/>
      <c r="B127" s="41"/>
      <c r="C127" s="23"/>
      <c r="D127" s="59"/>
      <c r="F127" s="0" t="str">
        <f aca="false">IF(A127="","",IF(ISNUMBER(A127),IF(A127&lt;=31,DATE(YEAR(MSTART),MONTH(MSTART),A127),IF(A127&lt;=3112,DATE(YEAR(MSTART),MOD(A127,100),INT(A127/100)),A127)),IFERROR(DATEVALUE(A127),"")))</f>
        <v/>
      </c>
    </row>
    <row r="128" customFormat="false" ht="15" hidden="false" customHeight="false" outlineLevel="0" collapsed="false">
      <c r="A128" s="58"/>
      <c r="B128" s="41"/>
      <c r="C128" s="23"/>
      <c r="D128" s="59"/>
      <c r="F128" s="0" t="str">
        <f aca="false">IF(A128="","",IF(ISNUMBER(A128),IF(A128&lt;=31,DATE(YEAR(MSTART),MONTH(MSTART),A128),IF(A128&lt;=3112,DATE(YEAR(MSTART),MOD(A128,100),INT(A128/100)),A128)),IFERROR(DATEVALUE(A128),"")))</f>
        <v/>
      </c>
    </row>
    <row r="129" customFormat="false" ht="15" hidden="false" customHeight="false" outlineLevel="0" collapsed="false">
      <c r="A129" s="58"/>
      <c r="B129" s="41"/>
      <c r="C129" s="23"/>
      <c r="D129" s="59"/>
      <c r="F129" s="0" t="str">
        <f aca="false">IF(A129="","",IF(ISNUMBER(A129),IF(A129&lt;=31,DATE(YEAR(MSTART),MONTH(MSTART),A129),IF(A129&lt;=3112,DATE(YEAR(MSTART),MOD(A129,100),INT(A129/100)),A129)),IFERROR(DATEVALUE(A129),"")))</f>
        <v/>
      </c>
    </row>
    <row r="131" customFormat="false" ht="15" hidden="false" customHeight="true" outlineLevel="0" collapsed="false">
      <c r="A131" s="36" t="s">
        <v>50</v>
      </c>
      <c r="B131" s="36"/>
      <c r="C131" s="36"/>
      <c r="D131" s="36"/>
    </row>
  </sheetData>
  <sheetProtection sheet="true" formatColumns="false" formatRows="false"/>
  <mergeCells count="4">
    <mergeCell ref="A1:D1"/>
    <mergeCell ref="A2:D2"/>
    <mergeCell ref="A7:D7"/>
    <mergeCell ref="A131:D131"/>
  </mergeCells>
  <dataValidations count="2">
    <dataValidation allowBlank="true" errorStyle="stop" operator="between" showDropDown="false" showErrorMessage="false" showInputMessage="false" sqref="B10:B129" type="list">
      <formula1>"عمر المصري,عبدالعزيز"</formula1>
      <formula2>0</formula2>
    </dataValidation>
    <dataValidation allowBlank="true" errorStyle="stop" operator="between" prompt="اختار من القائمة، أو اكتب رقم اليوم لحاله (مثل 5) — بينحسب من الشهر المختار" promptTitle="التاريخ" showDropDown="false" showErrorMessage="false" showInputMessage="true" sqref="A10:A129" type="list">
      <formula1>القوائم!$N$1:$N$31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true" outlineLevel="0" max="11" min="10" style="0" width="13"/>
  </cols>
  <sheetData>
    <row r="1" customFormat="false" ht="31.5" hidden="false" customHeight="true" outlineLevel="0" collapsed="false">
      <c r="A1" s="54" t="s">
        <v>51</v>
      </c>
      <c r="B1" s="54"/>
      <c r="C1" s="54"/>
      <c r="D1" s="54"/>
      <c r="E1" s="54"/>
      <c r="F1" s="54"/>
      <c r="G1" s="54"/>
    </row>
    <row r="2" customFormat="false" ht="21.75" hidden="false" customHeight="true" outlineLevel="0" collapsed="false">
      <c r="A2" s="55" t="str">
        <f aca="false">"شهر "&amp;TEXT(التسوية!$C$3,"00")&amp;" / "&amp;التسوية!$E$3</f>
        <v>شهر 10 / 2026</v>
      </c>
      <c r="B2" s="55"/>
      <c r="C2" s="55"/>
      <c r="D2" s="55"/>
      <c r="E2" s="55"/>
      <c r="F2" s="55"/>
      <c r="G2" s="55"/>
    </row>
    <row r="3" customFormat="false" ht="33.75" hidden="false" customHeight="true" outlineLevel="0" collapsed="false">
      <c r="A3" s="10" t="s">
        <v>7</v>
      </c>
      <c r="B3" s="10" t="s">
        <v>52</v>
      </c>
      <c r="C3" s="10" t="s">
        <v>53</v>
      </c>
      <c r="D3" s="10" t="s">
        <v>54</v>
      </c>
      <c r="E3" s="10" t="s">
        <v>23</v>
      </c>
      <c r="F3" s="10" t="s">
        <v>55</v>
      </c>
      <c r="G3" s="10" t="s">
        <v>56</v>
      </c>
    </row>
    <row r="4" customFormat="false" ht="24" hidden="false" customHeight="true" outlineLevel="0" collapsed="false">
      <c r="A4" s="16" t="s">
        <v>12</v>
      </c>
      <c r="B4" s="60" t="n">
        <f aca="false">التسوية!$C$9+SUMIFS(LG_DEBT,LG_E,A4)</f>
        <v>0</v>
      </c>
      <c r="C4" s="60" t="n">
        <f aca="false">التسوية!F28</f>
        <v>0</v>
      </c>
      <c r="D4" s="60" t="n">
        <f aca="false">SUMIFS(LG_REP,LG_E,A4)</f>
        <v>0</v>
      </c>
      <c r="E4" s="61" t="n">
        <f aca="false">MAX(0,B4-C4-D4)</f>
        <v>0</v>
      </c>
      <c r="F4" s="60" t="n">
        <f aca="false">IF(E4&gt;0,IF(_xlfn.MAXIFS(LG_IDX,LG_E,"عمر المصري",LG_INST,"&lt;&gt;",LG_D,"&lt;="&amp;MEND)=0,التسوية!$D$9,INDEX(LG_INST,_xlfn.MAXIFS(LG_IDX,LG_E,"عمر المصري",LG_INST,"&lt;&gt;",LG_D,"&lt;="&amp;MEND))),0)</f>
        <v>0</v>
      </c>
      <c r="G4" s="16" t="str">
        <f aca="false">IF(E4&lt;0.0005,"✔ ما عليه شي",IF(F4&gt;0,ROUNDUP(E4/F4,0)&amp;" أسبوع تقريباً","⚠️ حدّد القسط"))</f>
        <v>✔ ما عليه شي</v>
      </c>
    </row>
    <row r="5" customFormat="false" ht="24" hidden="false" customHeight="true" outlineLevel="0" collapsed="false">
      <c r="A5" s="16" t="s">
        <v>13</v>
      </c>
      <c r="B5" s="60" t="n">
        <f aca="false">التسوية!$C$10+SUMIFS(LG_DEBT,LG_E,A5)</f>
        <v>0</v>
      </c>
      <c r="C5" s="60" t="n">
        <f aca="false">التسوية!G38</f>
        <v>0</v>
      </c>
      <c r="D5" s="60" t="n">
        <f aca="false">SUMIFS(LG_REP,LG_E,A5)</f>
        <v>0</v>
      </c>
      <c r="E5" s="61" t="n">
        <f aca="false">MAX(0,B5-C5-D5)</f>
        <v>0</v>
      </c>
      <c r="F5" s="60" t="n">
        <f aca="false">IF(E5&gt;0,IF(_xlfn.MAXIFS(LG_IDX,LG_E,"عبدالعزيز",LG_INST,"&lt;&gt;",LG_D,"&lt;="&amp;MEND)=0,التسوية!$D$10,INDEX(LG_INST,_xlfn.MAXIFS(LG_IDX,LG_E,"عبدالعزيز",LG_INST,"&lt;&gt;",LG_D,"&lt;="&amp;MEND))),0)</f>
        <v>0</v>
      </c>
      <c r="G5" s="16" t="str">
        <f aca="false">IF(E5&lt;0.0005,"✔ ما عليه شي",IF(F5&gt;0,ROUNDUP(E5/F5,0)&amp;" أسبوع تقريباً","⚠️ حدّد القسط"))</f>
        <v>✔ ما عليه شي</v>
      </c>
    </row>
    <row r="7" customFormat="false" ht="21.75" hidden="false" customHeight="true" outlineLevel="0" collapsed="false">
      <c r="A7" s="56" t="s">
        <v>57</v>
      </c>
      <c r="B7" s="56"/>
      <c r="C7" s="56"/>
      <c r="D7" s="56"/>
      <c r="E7" s="56"/>
      <c r="F7" s="56"/>
      <c r="G7" s="56"/>
    </row>
    <row r="8" customFormat="false" ht="21.75" hidden="false" customHeight="true" outlineLevel="0" collapsed="false">
      <c r="A8" s="56" t="s">
        <v>58</v>
      </c>
      <c r="B8" s="56"/>
      <c r="C8" s="56"/>
      <c r="D8" s="56"/>
      <c r="E8" s="56"/>
      <c r="F8" s="56"/>
      <c r="G8" s="56"/>
    </row>
    <row r="10" customFormat="false" ht="33.75" hidden="false" customHeight="true" outlineLevel="0" collapsed="false">
      <c r="A10" s="57" t="s">
        <v>32</v>
      </c>
      <c r="B10" s="57" t="s">
        <v>7</v>
      </c>
      <c r="C10" s="57" t="s">
        <v>59</v>
      </c>
      <c r="D10" s="57" t="s">
        <v>10</v>
      </c>
      <c r="E10" s="57" t="s">
        <v>60</v>
      </c>
      <c r="F10" s="57" t="s">
        <v>49</v>
      </c>
      <c r="G10" s="57"/>
    </row>
    <row r="11" customFormat="false" ht="15" hidden="false" customHeight="false" outlineLevel="0" collapsed="false">
      <c r="A11" s="58"/>
      <c r="B11" s="41"/>
      <c r="C11" s="23"/>
      <c r="D11" s="23"/>
      <c r="E11" s="23"/>
      <c r="F11" s="62"/>
      <c r="G11" s="62"/>
      <c r="J11" s="0" t="n">
        <v>1</v>
      </c>
      <c r="K11" s="0" t="str">
        <f aca="false">IF(A11="","",IF(ISNUMBER(A11),IF(A11&lt;=31,DATE(YEAR(MSTART),MONTH(MSTART),A11),IF(A11&lt;=3112,DATE(YEAR(MSTART),MOD(A11,100),INT(A11/100)),A11)),IFERROR(DATEVALUE(A11),"")))</f>
        <v/>
      </c>
    </row>
    <row r="12" customFormat="false" ht="15" hidden="false" customHeight="false" outlineLevel="0" collapsed="false">
      <c r="A12" s="58"/>
      <c r="B12" s="41"/>
      <c r="C12" s="23"/>
      <c r="D12" s="23"/>
      <c r="E12" s="23"/>
      <c r="F12" s="62"/>
      <c r="G12" s="62"/>
      <c r="J12" s="0" t="n">
        <v>2</v>
      </c>
      <c r="K12" s="0" t="str">
        <f aca="false">IF(A12="","",IF(ISNUMBER(A12),IF(A12&lt;=31,DATE(YEAR(MSTART),MONTH(MSTART),A12),IF(A12&lt;=3112,DATE(YEAR(MSTART),MOD(A12,100),INT(A12/100)),A12)),IFERROR(DATEVALUE(A12),"")))</f>
        <v/>
      </c>
    </row>
    <row r="13" customFormat="false" ht="15" hidden="false" customHeight="false" outlineLevel="0" collapsed="false">
      <c r="A13" s="58"/>
      <c r="B13" s="41"/>
      <c r="C13" s="23"/>
      <c r="D13" s="23"/>
      <c r="E13" s="23"/>
      <c r="F13" s="62"/>
      <c r="G13" s="62"/>
      <c r="J13" s="0" t="n">
        <v>3</v>
      </c>
      <c r="K13" s="0" t="str">
        <f aca="false">IF(A13="","",IF(ISNUMBER(A13),IF(A13&lt;=31,DATE(YEAR(MSTART),MONTH(MSTART),A13),IF(A13&lt;=3112,DATE(YEAR(MSTART),MOD(A13,100),INT(A13/100)),A13)),IFERROR(DATEVALUE(A13),"")))</f>
        <v/>
      </c>
    </row>
    <row r="14" customFormat="false" ht="15" hidden="false" customHeight="false" outlineLevel="0" collapsed="false">
      <c r="A14" s="58"/>
      <c r="B14" s="41"/>
      <c r="C14" s="23"/>
      <c r="D14" s="23"/>
      <c r="E14" s="23"/>
      <c r="F14" s="62"/>
      <c r="G14" s="62"/>
      <c r="J14" s="0" t="n">
        <v>4</v>
      </c>
      <c r="K14" s="0" t="str">
        <f aca="false">IF(A14="","",IF(ISNUMBER(A14),IF(A14&lt;=31,DATE(YEAR(MSTART),MONTH(MSTART),A14),IF(A14&lt;=3112,DATE(YEAR(MSTART),MOD(A14,100),INT(A14/100)),A14)),IFERROR(DATEVALUE(A14),"")))</f>
        <v/>
      </c>
    </row>
    <row r="15" customFormat="false" ht="15" hidden="false" customHeight="false" outlineLevel="0" collapsed="false">
      <c r="A15" s="58"/>
      <c r="B15" s="41"/>
      <c r="C15" s="23"/>
      <c r="D15" s="23"/>
      <c r="E15" s="23"/>
      <c r="F15" s="62"/>
      <c r="G15" s="62"/>
      <c r="J15" s="0" t="n">
        <v>5</v>
      </c>
      <c r="K15" s="0" t="str">
        <f aca="false">IF(A15="","",IF(ISNUMBER(A15),IF(A15&lt;=31,DATE(YEAR(MSTART),MONTH(MSTART),A15),IF(A15&lt;=3112,DATE(YEAR(MSTART),MOD(A15,100),INT(A15/100)),A15)),IFERROR(DATEVALUE(A15),"")))</f>
        <v/>
      </c>
    </row>
    <row r="16" customFormat="false" ht="15" hidden="false" customHeight="false" outlineLevel="0" collapsed="false">
      <c r="A16" s="58"/>
      <c r="B16" s="41"/>
      <c r="C16" s="23"/>
      <c r="D16" s="23"/>
      <c r="E16" s="23"/>
      <c r="F16" s="62"/>
      <c r="G16" s="62"/>
      <c r="J16" s="0" t="n">
        <v>6</v>
      </c>
      <c r="K16" s="0" t="str">
        <f aca="false">IF(A16="","",IF(ISNUMBER(A16),IF(A16&lt;=31,DATE(YEAR(MSTART),MONTH(MSTART),A16),IF(A16&lt;=3112,DATE(YEAR(MSTART),MOD(A16,100),INT(A16/100)),A16)),IFERROR(DATEVALUE(A16),"")))</f>
        <v/>
      </c>
    </row>
    <row r="17" customFormat="false" ht="15" hidden="false" customHeight="false" outlineLevel="0" collapsed="false">
      <c r="A17" s="58"/>
      <c r="B17" s="41"/>
      <c r="C17" s="23"/>
      <c r="D17" s="23"/>
      <c r="E17" s="23"/>
      <c r="F17" s="62"/>
      <c r="G17" s="62"/>
      <c r="J17" s="0" t="n">
        <v>7</v>
      </c>
      <c r="K17" s="0" t="str">
        <f aca="false">IF(A17="","",IF(ISNUMBER(A17),IF(A17&lt;=31,DATE(YEAR(MSTART),MONTH(MSTART),A17),IF(A17&lt;=3112,DATE(YEAR(MSTART),MOD(A17,100),INT(A17/100)),A17)),IFERROR(DATEVALUE(A17),"")))</f>
        <v/>
      </c>
    </row>
    <row r="18" customFormat="false" ht="15" hidden="false" customHeight="false" outlineLevel="0" collapsed="false">
      <c r="A18" s="58"/>
      <c r="B18" s="41"/>
      <c r="C18" s="23"/>
      <c r="D18" s="23"/>
      <c r="E18" s="23"/>
      <c r="F18" s="62"/>
      <c r="G18" s="62"/>
      <c r="J18" s="0" t="n">
        <v>8</v>
      </c>
      <c r="K18" s="0" t="str">
        <f aca="false">IF(A18="","",IF(ISNUMBER(A18),IF(A18&lt;=31,DATE(YEAR(MSTART),MONTH(MSTART),A18),IF(A18&lt;=3112,DATE(YEAR(MSTART),MOD(A18,100),INT(A18/100)),A18)),IFERROR(DATEVALUE(A18),"")))</f>
        <v/>
      </c>
    </row>
    <row r="19" customFormat="false" ht="15" hidden="false" customHeight="false" outlineLevel="0" collapsed="false">
      <c r="A19" s="58"/>
      <c r="B19" s="41"/>
      <c r="C19" s="23"/>
      <c r="D19" s="23"/>
      <c r="E19" s="23"/>
      <c r="F19" s="62"/>
      <c r="G19" s="62"/>
      <c r="J19" s="0" t="n">
        <v>9</v>
      </c>
      <c r="K19" s="0" t="str">
        <f aca="false">IF(A19="","",IF(ISNUMBER(A19),IF(A19&lt;=31,DATE(YEAR(MSTART),MONTH(MSTART),A19),IF(A19&lt;=3112,DATE(YEAR(MSTART),MOD(A19,100),INT(A19/100)),A19)),IFERROR(DATEVALUE(A19),"")))</f>
        <v/>
      </c>
    </row>
    <row r="20" customFormat="false" ht="15" hidden="false" customHeight="false" outlineLevel="0" collapsed="false">
      <c r="A20" s="58"/>
      <c r="B20" s="41"/>
      <c r="C20" s="23"/>
      <c r="D20" s="23"/>
      <c r="E20" s="23"/>
      <c r="F20" s="62"/>
      <c r="G20" s="62"/>
      <c r="J20" s="0" t="n">
        <v>10</v>
      </c>
      <c r="K20" s="0" t="str">
        <f aca="false">IF(A20="","",IF(ISNUMBER(A20),IF(A20&lt;=31,DATE(YEAR(MSTART),MONTH(MSTART),A20),IF(A20&lt;=3112,DATE(YEAR(MSTART),MOD(A20,100),INT(A20/100)),A20)),IFERROR(DATEVALUE(A20),"")))</f>
        <v/>
      </c>
    </row>
    <row r="21" customFormat="false" ht="15" hidden="false" customHeight="false" outlineLevel="0" collapsed="false">
      <c r="A21" s="58"/>
      <c r="B21" s="41"/>
      <c r="C21" s="23"/>
      <c r="D21" s="23"/>
      <c r="E21" s="23"/>
      <c r="F21" s="62"/>
      <c r="G21" s="62"/>
      <c r="J21" s="0" t="n">
        <v>11</v>
      </c>
      <c r="K21" s="0" t="str">
        <f aca="false">IF(A21="","",IF(ISNUMBER(A21),IF(A21&lt;=31,DATE(YEAR(MSTART),MONTH(MSTART),A21),IF(A21&lt;=3112,DATE(YEAR(MSTART),MOD(A21,100),INT(A21/100)),A21)),IFERROR(DATEVALUE(A21),"")))</f>
        <v/>
      </c>
    </row>
    <row r="22" customFormat="false" ht="15" hidden="false" customHeight="false" outlineLevel="0" collapsed="false">
      <c r="A22" s="58"/>
      <c r="B22" s="41"/>
      <c r="C22" s="23"/>
      <c r="D22" s="23"/>
      <c r="E22" s="23"/>
      <c r="F22" s="62"/>
      <c r="G22" s="62"/>
      <c r="J22" s="0" t="n">
        <v>12</v>
      </c>
      <c r="K22" s="0" t="str">
        <f aca="false">IF(A22="","",IF(ISNUMBER(A22),IF(A22&lt;=31,DATE(YEAR(MSTART),MONTH(MSTART),A22),IF(A22&lt;=3112,DATE(YEAR(MSTART),MOD(A22,100),INT(A22/100)),A22)),IFERROR(DATEVALUE(A22),"")))</f>
        <v/>
      </c>
    </row>
    <row r="23" customFormat="false" ht="15" hidden="false" customHeight="false" outlineLevel="0" collapsed="false">
      <c r="A23" s="58"/>
      <c r="B23" s="41"/>
      <c r="C23" s="23"/>
      <c r="D23" s="23"/>
      <c r="E23" s="23"/>
      <c r="F23" s="62"/>
      <c r="G23" s="62"/>
      <c r="J23" s="0" t="n">
        <v>13</v>
      </c>
      <c r="K23" s="0" t="str">
        <f aca="false">IF(A23="","",IF(ISNUMBER(A23),IF(A23&lt;=31,DATE(YEAR(MSTART),MONTH(MSTART),A23),IF(A23&lt;=3112,DATE(YEAR(MSTART),MOD(A23,100),INT(A23/100)),A23)),IFERROR(DATEVALUE(A23),"")))</f>
        <v/>
      </c>
    </row>
    <row r="24" customFormat="false" ht="15" hidden="false" customHeight="false" outlineLevel="0" collapsed="false">
      <c r="A24" s="58"/>
      <c r="B24" s="41"/>
      <c r="C24" s="23"/>
      <c r="D24" s="23"/>
      <c r="E24" s="23"/>
      <c r="F24" s="62"/>
      <c r="G24" s="62"/>
      <c r="J24" s="0" t="n">
        <v>14</v>
      </c>
      <c r="K24" s="0" t="str">
        <f aca="false">IF(A24="","",IF(ISNUMBER(A24),IF(A24&lt;=31,DATE(YEAR(MSTART),MONTH(MSTART),A24),IF(A24&lt;=3112,DATE(YEAR(MSTART),MOD(A24,100),INT(A24/100)),A24)),IFERROR(DATEVALUE(A24),"")))</f>
        <v/>
      </c>
    </row>
    <row r="25" customFormat="false" ht="15" hidden="false" customHeight="false" outlineLevel="0" collapsed="false">
      <c r="A25" s="58"/>
      <c r="B25" s="41"/>
      <c r="C25" s="23"/>
      <c r="D25" s="23"/>
      <c r="E25" s="23"/>
      <c r="F25" s="62"/>
      <c r="G25" s="62"/>
      <c r="J25" s="0" t="n">
        <v>15</v>
      </c>
      <c r="K25" s="0" t="str">
        <f aca="false">IF(A25="","",IF(ISNUMBER(A25),IF(A25&lt;=31,DATE(YEAR(MSTART),MONTH(MSTART),A25),IF(A25&lt;=3112,DATE(YEAR(MSTART),MOD(A25,100),INT(A25/100)),A25)),IFERROR(DATEVALUE(A25),"")))</f>
        <v/>
      </c>
    </row>
    <row r="26" customFormat="false" ht="15" hidden="false" customHeight="false" outlineLevel="0" collapsed="false">
      <c r="A26" s="58"/>
      <c r="B26" s="41"/>
      <c r="C26" s="23"/>
      <c r="D26" s="23"/>
      <c r="E26" s="23"/>
      <c r="F26" s="62"/>
      <c r="G26" s="62"/>
      <c r="J26" s="0" t="n">
        <v>16</v>
      </c>
      <c r="K26" s="0" t="str">
        <f aca="false">IF(A26="","",IF(ISNUMBER(A26),IF(A26&lt;=31,DATE(YEAR(MSTART),MONTH(MSTART),A26),IF(A26&lt;=3112,DATE(YEAR(MSTART),MOD(A26,100),INT(A26/100)),A26)),IFERROR(DATEVALUE(A26),"")))</f>
        <v/>
      </c>
    </row>
    <row r="27" customFormat="false" ht="15" hidden="false" customHeight="false" outlineLevel="0" collapsed="false">
      <c r="A27" s="58"/>
      <c r="B27" s="41"/>
      <c r="C27" s="23"/>
      <c r="D27" s="23"/>
      <c r="E27" s="23"/>
      <c r="F27" s="62"/>
      <c r="G27" s="62"/>
      <c r="J27" s="0" t="n">
        <v>17</v>
      </c>
      <c r="K27" s="0" t="str">
        <f aca="false">IF(A27="","",IF(ISNUMBER(A27),IF(A27&lt;=31,DATE(YEAR(MSTART),MONTH(MSTART),A27),IF(A27&lt;=3112,DATE(YEAR(MSTART),MOD(A27,100),INT(A27/100)),A27)),IFERROR(DATEVALUE(A27),"")))</f>
        <v/>
      </c>
    </row>
    <row r="28" customFormat="false" ht="15" hidden="false" customHeight="false" outlineLevel="0" collapsed="false">
      <c r="A28" s="58"/>
      <c r="B28" s="41"/>
      <c r="C28" s="23"/>
      <c r="D28" s="23"/>
      <c r="E28" s="23"/>
      <c r="F28" s="62"/>
      <c r="G28" s="62"/>
      <c r="J28" s="0" t="n">
        <v>18</v>
      </c>
      <c r="K28" s="0" t="str">
        <f aca="false">IF(A28="","",IF(ISNUMBER(A28),IF(A28&lt;=31,DATE(YEAR(MSTART),MONTH(MSTART),A28),IF(A28&lt;=3112,DATE(YEAR(MSTART),MOD(A28,100),INT(A28/100)),A28)),IFERROR(DATEVALUE(A28),"")))</f>
        <v/>
      </c>
    </row>
    <row r="29" customFormat="false" ht="15" hidden="false" customHeight="false" outlineLevel="0" collapsed="false">
      <c r="A29" s="58"/>
      <c r="B29" s="41"/>
      <c r="C29" s="23"/>
      <c r="D29" s="23"/>
      <c r="E29" s="23"/>
      <c r="F29" s="62"/>
      <c r="G29" s="62"/>
      <c r="J29" s="0" t="n">
        <v>19</v>
      </c>
      <c r="K29" s="0" t="str">
        <f aca="false">IF(A29="","",IF(ISNUMBER(A29),IF(A29&lt;=31,DATE(YEAR(MSTART),MONTH(MSTART),A29),IF(A29&lt;=3112,DATE(YEAR(MSTART),MOD(A29,100),INT(A29/100)),A29)),IFERROR(DATEVALUE(A29),"")))</f>
        <v/>
      </c>
    </row>
    <row r="30" customFormat="false" ht="15" hidden="false" customHeight="false" outlineLevel="0" collapsed="false">
      <c r="A30" s="58"/>
      <c r="B30" s="41"/>
      <c r="C30" s="23"/>
      <c r="D30" s="23"/>
      <c r="E30" s="23"/>
      <c r="F30" s="62"/>
      <c r="G30" s="62"/>
      <c r="J30" s="0" t="n">
        <v>20</v>
      </c>
      <c r="K30" s="0" t="str">
        <f aca="false">IF(A30="","",IF(ISNUMBER(A30),IF(A30&lt;=31,DATE(YEAR(MSTART),MONTH(MSTART),A30),IF(A30&lt;=3112,DATE(YEAR(MSTART),MOD(A30,100),INT(A30/100)),A30)),IFERROR(DATEVALUE(A30),"")))</f>
        <v/>
      </c>
    </row>
    <row r="31" customFormat="false" ht="15" hidden="false" customHeight="false" outlineLevel="0" collapsed="false">
      <c r="A31" s="58"/>
      <c r="B31" s="41"/>
      <c r="C31" s="23"/>
      <c r="D31" s="23"/>
      <c r="E31" s="23"/>
      <c r="F31" s="62"/>
      <c r="G31" s="62"/>
      <c r="J31" s="0" t="n">
        <v>21</v>
      </c>
      <c r="K31" s="0" t="str">
        <f aca="false">IF(A31="","",IF(ISNUMBER(A31),IF(A31&lt;=31,DATE(YEAR(MSTART),MONTH(MSTART),A31),IF(A31&lt;=3112,DATE(YEAR(MSTART),MOD(A31,100),INT(A31/100)),A31)),IFERROR(DATEVALUE(A31),"")))</f>
        <v/>
      </c>
    </row>
    <row r="32" customFormat="false" ht="15" hidden="false" customHeight="false" outlineLevel="0" collapsed="false">
      <c r="A32" s="58"/>
      <c r="B32" s="41"/>
      <c r="C32" s="23"/>
      <c r="D32" s="23"/>
      <c r="E32" s="23"/>
      <c r="F32" s="62"/>
      <c r="G32" s="62"/>
      <c r="J32" s="0" t="n">
        <v>22</v>
      </c>
      <c r="K32" s="0" t="str">
        <f aca="false">IF(A32="","",IF(ISNUMBER(A32),IF(A32&lt;=31,DATE(YEAR(MSTART),MONTH(MSTART),A32),IF(A32&lt;=3112,DATE(YEAR(MSTART),MOD(A32,100),INT(A32/100)),A32)),IFERROR(DATEVALUE(A32),"")))</f>
        <v/>
      </c>
    </row>
    <row r="33" customFormat="false" ht="15" hidden="false" customHeight="false" outlineLevel="0" collapsed="false">
      <c r="A33" s="58"/>
      <c r="B33" s="41"/>
      <c r="C33" s="23"/>
      <c r="D33" s="23"/>
      <c r="E33" s="23"/>
      <c r="F33" s="62"/>
      <c r="G33" s="62"/>
      <c r="J33" s="0" t="n">
        <v>23</v>
      </c>
      <c r="K33" s="0" t="str">
        <f aca="false">IF(A33="","",IF(ISNUMBER(A33),IF(A33&lt;=31,DATE(YEAR(MSTART),MONTH(MSTART),A33),IF(A33&lt;=3112,DATE(YEAR(MSTART),MOD(A33,100),INT(A33/100)),A33)),IFERROR(DATEVALUE(A33),"")))</f>
        <v/>
      </c>
    </row>
    <row r="34" customFormat="false" ht="15" hidden="false" customHeight="false" outlineLevel="0" collapsed="false">
      <c r="A34" s="58"/>
      <c r="B34" s="41"/>
      <c r="C34" s="23"/>
      <c r="D34" s="23"/>
      <c r="E34" s="23"/>
      <c r="F34" s="62"/>
      <c r="G34" s="62"/>
      <c r="J34" s="0" t="n">
        <v>24</v>
      </c>
      <c r="K34" s="0" t="str">
        <f aca="false">IF(A34="","",IF(ISNUMBER(A34),IF(A34&lt;=31,DATE(YEAR(MSTART),MONTH(MSTART),A34),IF(A34&lt;=3112,DATE(YEAR(MSTART),MOD(A34,100),INT(A34/100)),A34)),IFERROR(DATEVALUE(A34),"")))</f>
        <v/>
      </c>
    </row>
    <row r="35" customFormat="false" ht="15" hidden="false" customHeight="false" outlineLevel="0" collapsed="false">
      <c r="A35" s="58"/>
      <c r="B35" s="41"/>
      <c r="C35" s="23"/>
      <c r="D35" s="23"/>
      <c r="E35" s="23"/>
      <c r="F35" s="62"/>
      <c r="G35" s="62"/>
      <c r="J35" s="0" t="n">
        <v>25</v>
      </c>
      <c r="K35" s="0" t="str">
        <f aca="false">IF(A35="","",IF(ISNUMBER(A35),IF(A35&lt;=31,DATE(YEAR(MSTART),MONTH(MSTART),A35),IF(A35&lt;=3112,DATE(YEAR(MSTART),MOD(A35,100),INT(A35/100)),A35)),IFERROR(DATEVALUE(A35),"")))</f>
        <v/>
      </c>
    </row>
    <row r="36" customFormat="false" ht="15" hidden="false" customHeight="false" outlineLevel="0" collapsed="false">
      <c r="A36" s="58"/>
      <c r="B36" s="41"/>
      <c r="C36" s="23"/>
      <c r="D36" s="23"/>
      <c r="E36" s="23"/>
      <c r="F36" s="62"/>
      <c r="G36" s="62"/>
      <c r="J36" s="0" t="n">
        <v>26</v>
      </c>
      <c r="K36" s="0" t="str">
        <f aca="false">IF(A36="","",IF(ISNUMBER(A36),IF(A36&lt;=31,DATE(YEAR(MSTART),MONTH(MSTART),A36),IF(A36&lt;=3112,DATE(YEAR(MSTART),MOD(A36,100),INT(A36/100)),A36)),IFERROR(DATEVALUE(A36),"")))</f>
        <v/>
      </c>
    </row>
    <row r="37" customFormat="false" ht="15" hidden="false" customHeight="false" outlineLevel="0" collapsed="false">
      <c r="A37" s="58"/>
      <c r="B37" s="41"/>
      <c r="C37" s="23"/>
      <c r="D37" s="23"/>
      <c r="E37" s="23"/>
      <c r="F37" s="62"/>
      <c r="G37" s="62"/>
      <c r="J37" s="0" t="n">
        <v>27</v>
      </c>
      <c r="K37" s="0" t="str">
        <f aca="false">IF(A37="","",IF(ISNUMBER(A37),IF(A37&lt;=31,DATE(YEAR(MSTART),MONTH(MSTART),A37),IF(A37&lt;=3112,DATE(YEAR(MSTART),MOD(A37,100),INT(A37/100)),A37)),IFERROR(DATEVALUE(A37),"")))</f>
        <v/>
      </c>
    </row>
    <row r="38" customFormat="false" ht="15" hidden="false" customHeight="false" outlineLevel="0" collapsed="false">
      <c r="A38" s="58"/>
      <c r="B38" s="41"/>
      <c r="C38" s="23"/>
      <c r="D38" s="23"/>
      <c r="E38" s="23"/>
      <c r="F38" s="62"/>
      <c r="G38" s="62"/>
      <c r="J38" s="0" t="n">
        <v>28</v>
      </c>
      <c r="K38" s="0" t="str">
        <f aca="false">IF(A38="","",IF(ISNUMBER(A38),IF(A38&lt;=31,DATE(YEAR(MSTART),MONTH(MSTART),A38),IF(A38&lt;=3112,DATE(YEAR(MSTART),MOD(A38,100),INT(A38/100)),A38)),IFERROR(DATEVALUE(A38),"")))</f>
        <v/>
      </c>
    </row>
    <row r="39" customFormat="false" ht="15" hidden="false" customHeight="false" outlineLevel="0" collapsed="false">
      <c r="A39" s="58"/>
      <c r="B39" s="41"/>
      <c r="C39" s="23"/>
      <c r="D39" s="23"/>
      <c r="E39" s="23"/>
      <c r="F39" s="62"/>
      <c r="G39" s="62"/>
      <c r="J39" s="0" t="n">
        <v>29</v>
      </c>
      <c r="K39" s="0" t="str">
        <f aca="false">IF(A39="","",IF(ISNUMBER(A39),IF(A39&lt;=31,DATE(YEAR(MSTART),MONTH(MSTART),A39),IF(A39&lt;=3112,DATE(YEAR(MSTART),MOD(A39,100),INT(A39/100)),A39)),IFERROR(DATEVALUE(A39),"")))</f>
        <v/>
      </c>
    </row>
    <row r="40" customFormat="false" ht="15" hidden="false" customHeight="false" outlineLevel="0" collapsed="false">
      <c r="A40" s="58"/>
      <c r="B40" s="41"/>
      <c r="C40" s="23"/>
      <c r="D40" s="23"/>
      <c r="E40" s="23"/>
      <c r="F40" s="62"/>
      <c r="G40" s="62"/>
      <c r="J40" s="0" t="n">
        <v>30</v>
      </c>
      <c r="K40" s="0" t="str">
        <f aca="false">IF(A40="","",IF(ISNUMBER(A40),IF(A40&lt;=31,DATE(YEAR(MSTART),MONTH(MSTART),A40),IF(A40&lt;=3112,DATE(YEAR(MSTART),MOD(A40,100),INT(A40/100)),A40)),IFERROR(DATEVALUE(A40),"")))</f>
        <v/>
      </c>
    </row>
    <row r="41" customFormat="false" ht="15" hidden="false" customHeight="false" outlineLevel="0" collapsed="false">
      <c r="A41" s="58"/>
      <c r="B41" s="41"/>
      <c r="C41" s="23"/>
      <c r="D41" s="23"/>
      <c r="E41" s="23"/>
      <c r="F41" s="62"/>
      <c r="G41" s="62"/>
      <c r="J41" s="0" t="n">
        <v>31</v>
      </c>
      <c r="K41" s="0" t="str">
        <f aca="false">IF(A41="","",IF(ISNUMBER(A41),IF(A41&lt;=31,DATE(YEAR(MSTART),MONTH(MSTART),A41),IF(A41&lt;=3112,DATE(YEAR(MSTART),MOD(A41,100),INT(A41/100)),A41)),IFERROR(DATEVALUE(A41),"")))</f>
        <v/>
      </c>
    </row>
    <row r="42" customFormat="false" ht="15" hidden="false" customHeight="false" outlineLevel="0" collapsed="false">
      <c r="A42" s="58"/>
      <c r="B42" s="41"/>
      <c r="C42" s="23"/>
      <c r="D42" s="23"/>
      <c r="E42" s="23"/>
      <c r="F42" s="62"/>
      <c r="G42" s="62"/>
      <c r="J42" s="0" t="n">
        <v>32</v>
      </c>
      <c r="K42" s="0" t="str">
        <f aca="false">IF(A42="","",IF(ISNUMBER(A42),IF(A42&lt;=31,DATE(YEAR(MSTART),MONTH(MSTART),A42),IF(A42&lt;=3112,DATE(YEAR(MSTART),MOD(A42,100),INT(A42/100)),A42)),IFERROR(DATEVALUE(A42),"")))</f>
        <v/>
      </c>
    </row>
    <row r="43" customFormat="false" ht="15" hidden="false" customHeight="false" outlineLevel="0" collapsed="false">
      <c r="A43" s="58"/>
      <c r="B43" s="41"/>
      <c r="C43" s="23"/>
      <c r="D43" s="23"/>
      <c r="E43" s="23"/>
      <c r="F43" s="62"/>
      <c r="G43" s="62"/>
      <c r="J43" s="0" t="n">
        <v>33</v>
      </c>
      <c r="K43" s="0" t="str">
        <f aca="false">IF(A43="","",IF(ISNUMBER(A43),IF(A43&lt;=31,DATE(YEAR(MSTART),MONTH(MSTART),A43),IF(A43&lt;=3112,DATE(YEAR(MSTART),MOD(A43,100),INT(A43/100)),A43)),IFERROR(DATEVALUE(A43),"")))</f>
        <v/>
      </c>
    </row>
    <row r="44" customFormat="false" ht="15" hidden="false" customHeight="false" outlineLevel="0" collapsed="false">
      <c r="A44" s="58"/>
      <c r="B44" s="41"/>
      <c r="C44" s="23"/>
      <c r="D44" s="23"/>
      <c r="E44" s="23"/>
      <c r="F44" s="62"/>
      <c r="G44" s="62"/>
      <c r="J44" s="0" t="n">
        <v>34</v>
      </c>
      <c r="K44" s="0" t="str">
        <f aca="false">IF(A44="","",IF(ISNUMBER(A44),IF(A44&lt;=31,DATE(YEAR(MSTART),MONTH(MSTART),A44),IF(A44&lt;=3112,DATE(YEAR(MSTART),MOD(A44,100),INT(A44/100)),A44)),IFERROR(DATEVALUE(A44),"")))</f>
        <v/>
      </c>
    </row>
    <row r="45" customFormat="false" ht="15" hidden="false" customHeight="false" outlineLevel="0" collapsed="false">
      <c r="A45" s="58"/>
      <c r="B45" s="41"/>
      <c r="C45" s="23"/>
      <c r="D45" s="23"/>
      <c r="E45" s="23"/>
      <c r="F45" s="62"/>
      <c r="G45" s="62"/>
      <c r="J45" s="0" t="n">
        <v>35</v>
      </c>
      <c r="K45" s="0" t="str">
        <f aca="false">IF(A45="","",IF(ISNUMBER(A45),IF(A45&lt;=31,DATE(YEAR(MSTART),MONTH(MSTART),A45),IF(A45&lt;=3112,DATE(YEAR(MSTART),MOD(A45,100),INT(A45/100)),A45)),IFERROR(DATEVALUE(A45),"")))</f>
        <v/>
      </c>
    </row>
    <row r="46" customFormat="false" ht="15" hidden="false" customHeight="false" outlineLevel="0" collapsed="false">
      <c r="A46" s="58"/>
      <c r="B46" s="41"/>
      <c r="C46" s="23"/>
      <c r="D46" s="23"/>
      <c r="E46" s="23"/>
      <c r="F46" s="62"/>
      <c r="G46" s="62"/>
      <c r="J46" s="0" t="n">
        <v>36</v>
      </c>
      <c r="K46" s="0" t="str">
        <f aca="false">IF(A46="","",IF(ISNUMBER(A46),IF(A46&lt;=31,DATE(YEAR(MSTART),MONTH(MSTART),A46),IF(A46&lt;=3112,DATE(YEAR(MSTART),MOD(A46,100),INT(A46/100)),A46)),IFERROR(DATEVALUE(A46),"")))</f>
        <v/>
      </c>
    </row>
    <row r="47" customFormat="false" ht="15" hidden="false" customHeight="false" outlineLevel="0" collapsed="false">
      <c r="A47" s="58"/>
      <c r="B47" s="41"/>
      <c r="C47" s="23"/>
      <c r="D47" s="23"/>
      <c r="E47" s="23"/>
      <c r="F47" s="62"/>
      <c r="G47" s="62"/>
      <c r="J47" s="0" t="n">
        <v>37</v>
      </c>
      <c r="K47" s="0" t="str">
        <f aca="false">IF(A47="","",IF(ISNUMBER(A47),IF(A47&lt;=31,DATE(YEAR(MSTART),MONTH(MSTART),A47),IF(A47&lt;=3112,DATE(YEAR(MSTART),MOD(A47,100),INT(A47/100)),A47)),IFERROR(DATEVALUE(A47),"")))</f>
        <v/>
      </c>
    </row>
    <row r="48" customFormat="false" ht="15" hidden="false" customHeight="false" outlineLevel="0" collapsed="false">
      <c r="A48" s="58"/>
      <c r="B48" s="41"/>
      <c r="C48" s="23"/>
      <c r="D48" s="23"/>
      <c r="E48" s="23"/>
      <c r="F48" s="62"/>
      <c r="G48" s="62"/>
      <c r="J48" s="0" t="n">
        <v>38</v>
      </c>
      <c r="K48" s="0" t="str">
        <f aca="false">IF(A48="","",IF(ISNUMBER(A48),IF(A48&lt;=31,DATE(YEAR(MSTART),MONTH(MSTART),A48),IF(A48&lt;=3112,DATE(YEAR(MSTART),MOD(A48,100),INT(A48/100)),A48)),IFERROR(DATEVALUE(A48),"")))</f>
        <v/>
      </c>
    </row>
    <row r="49" customFormat="false" ht="15" hidden="false" customHeight="false" outlineLevel="0" collapsed="false">
      <c r="A49" s="58"/>
      <c r="B49" s="41"/>
      <c r="C49" s="23"/>
      <c r="D49" s="23"/>
      <c r="E49" s="23"/>
      <c r="F49" s="62"/>
      <c r="G49" s="62"/>
      <c r="J49" s="0" t="n">
        <v>39</v>
      </c>
      <c r="K49" s="0" t="str">
        <f aca="false">IF(A49="","",IF(ISNUMBER(A49),IF(A49&lt;=31,DATE(YEAR(MSTART),MONTH(MSTART),A49),IF(A49&lt;=3112,DATE(YEAR(MSTART),MOD(A49,100),INT(A49/100)),A49)),IFERROR(DATEVALUE(A49),"")))</f>
        <v/>
      </c>
    </row>
    <row r="50" customFormat="false" ht="15" hidden="false" customHeight="false" outlineLevel="0" collapsed="false">
      <c r="A50" s="58"/>
      <c r="B50" s="41"/>
      <c r="C50" s="23"/>
      <c r="D50" s="23"/>
      <c r="E50" s="23"/>
      <c r="F50" s="62"/>
      <c r="G50" s="62"/>
      <c r="J50" s="0" t="n">
        <v>40</v>
      </c>
      <c r="K50" s="0" t="str">
        <f aca="false">IF(A50="","",IF(ISNUMBER(A50),IF(A50&lt;=31,DATE(YEAR(MSTART),MONTH(MSTART),A50),IF(A50&lt;=3112,DATE(YEAR(MSTART),MOD(A50,100),INT(A50/100)),A50)),IFERROR(DATEVALUE(A50),"")))</f>
        <v/>
      </c>
    </row>
    <row r="51" customFormat="false" ht="15" hidden="false" customHeight="false" outlineLevel="0" collapsed="false">
      <c r="A51" s="58"/>
      <c r="B51" s="41"/>
      <c r="C51" s="23"/>
      <c r="D51" s="23"/>
      <c r="E51" s="23"/>
      <c r="F51" s="62"/>
      <c r="G51" s="62"/>
      <c r="J51" s="0" t="n">
        <v>41</v>
      </c>
      <c r="K51" s="0" t="str">
        <f aca="false">IF(A51="","",IF(ISNUMBER(A51),IF(A51&lt;=31,DATE(YEAR(MSTART),MONTH(MSTART),A51),IF(A51&lt;=3112,DATE(YEAR(MSTART),MOD(A51,100),INT(A51/100)),A51)),IFERROR(DATEVALUE(A51),"")))</f>
        <v/>
      </c>
    </row>
    <row r="52" customFormat="false" ht="15" hidden="false" customHeight="false" outlineLevel="0" collapsed="false">
      <c r="A52" s="58"/>
      <c r="B52" s="41"/>
      <c r="C52" s="23"/>
      <c r="D52" s="23"/>
      <c r="E52" s="23"/>
      <c r="F52" s="62"/>
      <c r="G52" s="62"/>
      <c r="J52" s="0" t="n">
        <v>42</v>
      </c>
      <c r="K52" s="0" t="str">
        <f aca="false">IF(A52="","",IF(ISNUMBER(A52),IF(A52&lt;=31,DATE(YEAR(MSTART),MONTH(MSTART),A52),IF(A52&lt;=3112,DATE(YEAR(MSTART),MOD(A52,100),INT(A52/100)),A52)),IFERROR(DATEVALUE(A52),"")))</f>
        <v/>
      </c>
    </row>
    <row r="53" customFormat="false" ht="15" hidden="false" customHeight="false" outlineLevel="0" collapsed="false">
      <c r="A53" s="58"/>
      <c r="B53" s="41"/>
      <c r="C53" s="23"/>
      <c r="D53" s="23"/>
      <c r="E53" s="23"/>
      <c r="F53" s="62"/>
      <c r="G53" s="62"/>
      <c r="J53" s="0" t="n">
        <v>43</v>
      </c>
      <c r="K53" s="0" t="str">
        <f aca="false">IF(A53="","",IF(ISNUMBER(A53),IF(A53&lt;=31,DATE(YEAR(MSTART),MONTH(MSTART),A53),IF(A53&lt;=3112,DATE(YEAR(MSTART),MOD(A53,100),INT(A53/100)),A53)),IFERROR(DATEVALUE(A53),"")))</f>
        <v/>
      </c>
    </row>
    <row r="54" customFormat="false" ht="15" hidden="false" customHeight="false" outlineLevel="0" collapsed="false">
      <c r="A54" s="58"/>
      <c r="B54" s="41"/>
      <c r="C54" s="23"/>
      <c r="D54" s="23"/>
      <c r="E54" s="23"/>
      <c r="F54" s="62"/>
      <c r="G54" s="62"/>
      <c r="J54" s="0" t="n">
        <v>44</v>
      </c>
      <c r="K54" s="0" t="str">
        <f aca="false">IF(A54="","",IF(ISNUMBER(A54),IF(A54&lt;=31,DATE(YEAR(MSTART),MONTH(MSTART),A54),IF(A54&lt;=3112,DATE(YEAR(MSTART),MOD(A54,100),INT(A54/100)),A54)),IFERROR(DATEVALUE(A54),"")))</f>
        <v/>
      </c>
    </row>
    <row r="55" customFormat="false" ht="15" hidden="false" customHeight="false" outlineLevel="0" collapsed="false">
      <c r="A55" s="58"/>
      <c r="B55" s="41"/>
      <c r="C55" s="23"/>
      <c r="D55" s="23"/>
      <c r="E55" s="23"/>
      <c r="F55" s="62"/>
      <c r="G55" s="62"/>
      <c r="J55" s="0" t="n">
        <v>45</v>
      </c>
      <c r="K55" s="0" t="str">
        <f aca="false">IF(A55="","",IF(ISNUMBER(A55),IF(A55&lt;=31,DATE(YEAR(MSTART),MONTH(MSTART),A55),IF(A55&lt;=3112,DATE(YEAR(MSTART),MOD(A55,100),INT(A55/100)),A55)),IFERROR(DATEVALUE(A55),"")))</f>
        <v/>
      </c>
    </row>
    <row r="56" customFormat="false" ht="15" hidden="false" customHeight="false" outlineLevel="0" collapsed="false">
      <c r="A56" s="58"/>
      <c r="B56" s="41"/>
      <c r="C56" s="23"/>
      <c r="D56" s="23"/>
      <c r="E56" s="23"/>
      <c r="F56" s="62"/>
      <c r="G56" s="62"/>
      <c r="J56" s="0" t="n">
        <v>46</v>
      </c>
      <c r="K56" s="0" t="str">
        <f aca="false">IF(A56="","",IF(ISNUMBER(A56),IF(A56&lt;=31,DATE(YEAR(MSTART),MONTH(MSTART),A56),IF(A56&lt;=3112,DATE(YEAR(MSTART),MOD(A56,100),INT(A56/100)),A56)),IFERROR(DATEVALUE(A56),"")))</f>
        <v/>
      </c>
    </row>
    <row r="57" customFormat="false" ht="15" hidden="false" customHeight="false" outlineLevel="0" collapsed="false">
      <c r="A57" s="58"/>
      <c r="B57" s="41"/>
      <c r="C57" s="23"/>
      <c r="D57" s="23"/>
      <c r="E57" s="23"/>
      <c r="F57" s="62"/>
      <c r="G57" s="62"/>
      <c r="J57" s="0" t="n">
        <v>47</v>
      </c>
      <c r="K57" s="0" t="str">
        <f aca="false">IF(A57="","",IF(ISNUMBER(A57),IF(A57&lt;=31,DATE(YEAR(MSTART),MONTH(MSTART),A57),IF(A57&lt;=3112,DATE(YEAR(MSTART),MOD(A57,100),INT(A57/100)),A57)),IFERROR(DATEVALUE(A57),"")))</f>
        <v/>
      </c>
    </row>
    <row r="58" customFormat="false" ht="15" hidden="false" customHeight="false" outlineLevel="0" collapsed="false">
      <c r="A58" s="58"/>
      <c r="B58" s="41"/>
      <c r="C58" s="23"/>
      <c r="D58" s="23"/>
      <c r="E58" s="23"/>
      <c r="F58" s="62"/>
      <c r="G58" s="62"/>
      <c r="J58" s="0" t="n">
        <v>48</v>
      </c>
      <c r="K58" s="0" t="str">
        <f aca="false">IF(A58="","",IF(ISNUMBER(A58),IF(A58&lt;=31,DATE(YEAR(MSTART),MONTH(MSTART),A58),IF(A58&lt;=3112,DATE(YEAR(MSTART),MOD(A58,100),INT(A58/100)),A58)),IFERROR(DATEVALUE(A58),"")))</f>
        <v/>
      </c>
    </row>
    <row r="59" customFormat="false" ht="15" hidden="false" customHeight="false" outlineLevel="0" collapsed="false">
      <c r="A59" s="58"/>
      <c r="B59" s="41"/>
      <c r="C59" s="23"/>
      <c r="D59" s="23"/>
      <c r="E59" s="23"/>
      <c r="F59" s="62"/>
      <c r="G59" s="62"/>
      <c r="J59" s="0" t="n">
        <v>49</v>
      </c>
      <c r="K59" s="0" t="str">
        <f aca="false">IF(A59="","",IF(ISNUMBER(A59),IF(A59&lt;=31,DATE(YEAR(MSTART),MONTH(MSTART),A59),IF(A59&lt;=3112,DATE(YEAR(MSTART),MOD(A59,100),INT(A59/100)),A59)),IFERROR(DATEVALUE(A59),"")))</f>
        <v/>
      </c>
    </row>
    <row r="60" customFormat="false" ht="15" hidden="false" customHeight="false" outlineLevel="0" collapsed="false">
      <c r="A60" s="58"/>
      <c r="B60" s="41"/>
      <c r="C60" s="23"/>
      <c r="D60" s="23"/>
      <c r="E60" s="23"/>
      <c r="F60" s="62"/>
      <c r="G60" s="62"/>
      <c r="J60" s="0" t="n">
        <v>50</v>
      </c>
      <c r="K60" s="0" t="str">
        <f aca="false">IF(A60="","",IF(ISNUMBER(A60),IF(A60&lt;=31,DATE(YEAR(MSTART),MONTH(MSTART),A60),IF(A60&lt;=3112,DATE(YEAR(MSTART),MOD(A60,100),INT(A60/100)),A60)),IFERROR(DATEVALUE(A60),"")))</f>
        <v/>
      </c>
    </row>
    <row r="61" customFormat="false" ht="15" hidden="false" customHeight="false" outlineLevel="0" collapsed="false">
      <c r="A61" s="58"/>
      <c r="B61" s="41"/>
      <c r="C61" s="23"/>
      <c r="D61" s="23"/>
      <c r="E61" s="23"/>
      <c r="F61" s="62"/>
      <c r="G61" s="62"/>
      <c r="J61" s="0" t="n">
        <v>51</v>
      </c>
      <c r="K61" s="0" t="str">
        <f aca="false">IF(A61="","",IF(ISNUMBER(A61),IF(A61&lt;=31,DATE(YEAR(MSTART),MONTH(MSTART),A61),IF(A61&lt;=3112,DATE(YEAR(MSTART),MOD(A61,100),INT(A61/100)),A61)),IFERROR(DATEVALUE(A61),"")))</f>
        <v/>
      </c>
    </row>
    <row r="62" customFormat="false" ht="15" hidden="false" customHeight="false" outlineLevel="0" collapsed="false">
      <c r="A62" s="58"/>
      <c r="B62" s="41"/>
      <c r="C62" s="23"/>
      <c r="D62" s="23"/>
      <c r="E62" s="23"/>
      <c r="F62" s="62"/>
      <c r="G62" s="62"/>
      <c r="J62" s="0" t="n">
        <v>52</v>
      </c>
      <c r="K62" s="0" t="str">
        <f aca="false">IF(A62="","",IF(ISNUMBER(A62),IF(A62&lt;=31,DATE(YEAR(MSTART),MONTH(MSTART),A62),IF(A62&lt;=3112,DATE(YEAR(MSTART),MOD(A62,100),INT(A62/100)),A62)),IFERROR(DATEVALUE(A62),"")))</f>
        <v/>
      </c>
    </row>
    <row r="63" customFormat="false" ht="15" hidden="false" customHeight="false" outlineLevel="0" collapsed="false">
      <c r="A63" s="58"/>
      <c r="B63" s="41"/>
      <c r="C63" s="23"/>
      <c r="D63" s="23"/>
      <c r="E63" s="23"/>
      <c r="F63" s="62"/>
      <c r="G63" s="62"/>
      <c r="J63" s="0" t="n">
        <v>53</v>
      </c>
      <c r="K63" s="0" t="str">
        <f aca="false">IF(A63="","",IF(ISNUMBER(A63),IF(A63&lt;=31,DATE(YEAR(MSTART),MONTH(MSTART),A63),IF(A63&lt;=3112,DATE(YEAR(MSTART),MOD(A63,100),INT(A63/100)),A63)),IFERROR(DATEVALUE(A63),"")))</f>
        <v/>
      </c>
    </row>
    <row r="64" customFormat="false" ht="15" hidden="false" customHeight="false" outlineLevel="0" collapsed="false">
      <c r="A64" s="58"/>
      <c r="B64" s="41"/>
      <c r="C64" s="23"/>
      <c r="D64" s="23"/>
      <c r="E64" s="23"/>
      <c r="F64" s="62"/>
      <c r="G64" s="62"/>
      <c r="J64" s="0" t="n">
        <v>54</v>
      </c>
      <c r="K64" s="0" t="str">
        <f aca="false">IF(A64="","",IF(ISNUMBER(A64),IF(A64&lt;=31,DATE(YEAR(MSTART),MONTH(MSTART),A64),IF(A64&lt;=3112,DATE(YEAR(MSTART),MOD(A64,100),INT(A64/100)),A64)),IFERROR(DATEVALUE(A64),"")))</f>
        <v/>
      </c>
    </row>
    <row r="65" customFormat="false" ht="15" hidden="false" customHeight="false" outlineLevel="0" collapsed="false">
      <c r="A65" s="58"/>
      <c r="B65" s="41"/>
      <c r="C65" s="23"/>
      <c r="D65" s="23"/>
      <c r="E65" s="23"/>
      <c r="F65" s="62"/>
      <c r="G65" s="62"/>
      <c r="J65" s="0" t="n">
        <v>55</v>
      </c>
      <c r="K65" s="0" t="str">
        <f aca="false">IF(A65="","",IF(ISNUMBER(A65),IF(A65&lt;=31,DATE(YEAR(MSTART),MONTH(MSTART),A65),IF(A65&lt;=3112,DATE(YEAR(MSTART),MOD(A65,100),INT(A65/100)),A65)),IFERROR(DATEVALUE(A65),"")))</f>
        <v/>
      </c>
    </row>
    <row r="66" customFormat="false" ht="15" hidden="false" customHeight="false" outlineLevel="0" collapsed="false">
      <c r="A66" s="58"/>
      <c r="B66" s="41"/>
      <c r="C66" s="23"/>
      <c r="D66" s="23"/>
      <c r="E66" s="23"/>
      <c r="F66" s="62"/>
      <c r="G66" s="62"/>
      <c r="J66" s="0" t="n">
        <v>56</v>
      </c>
      <c r="K66" s="0" t="str">
        <f aca="false">IF(A66="","",IF(ISNUMBER(A66),IF(A66&lt;=31,DATE(YEAR(MSTART),MONTH(MSTART),A66),IF(A66&lt;=3112,DATE(YEAR(MSTART),MOD(A66,100),INT(A66/100)),A66)),IFERROR(DATEVALUE(A66),"")))</f>
        <v/>
      </c>
    </row>
    <row r="67" customFormat="false" ht="15" hidden="false" customHeight="false" outlineLevel="0" collapsed="false">
      <c r="A67" s="58"/>
      <c r="B67" s="41"/>
      <c r="C67" s="23"/>
      <c r="D67" s="23"/>
      <c r="E67" s="23"/>
      <c r="F67" s="62"/>
      <c r="G67" s="62"/>
      <c r="J67" s="0" t="n">
        <v>57</v>
      </c>
      <c r="K67" s="0" t="str">
        <f aca="false">IF(A67="","",IF(ISNUMBER(A67),IF(A67&lt;=31,DATE(YEAR(MSTART),MONTH(MSTART),A67),IF(A67&lt;=3112,DATE(YEAR(MSTART),MOD(A67,100),INT(A67/100)),A67)),IFERROR(DATEVALUE(A67),"")))</f>
        <v/>
      </c>
    </row>
    <row r="68" customFormat="false" ht="15" hidden="false" customHeight="false" outlineLevel="0" collapsed="false">
      <c r="A68" s="58"/>
      <c r="B68" s="41"/>
      <c r="C68" s="23"/>
      <c r="D68" s="23"/>
      <c r="E68" s="23"/>
      <c r="F68" s="62"/>
      <c r="G68" s="62"/>
      <c r="J68" s="0" t="n">
        <v>58</v>
      </c>
      <c r="K68" s="0" t="str">
        <f aca="false">IF(A68="","",IF(ISNUMBER(A68),IF(A68&lt;=31,DATE(YEAR(MSTART),MONTH(MSTART),A68),IF(A68&lt;=3112,DATE(YEAR(MSTART),MOD(A68,100),INT(A68/100)),A68)),IFERROR(DATEVALUE(A68),"")))</f>
        <v/>
      </c>
    </row>
    <row r="69" customFormat="false" ht="15" hidden="false" customHeight="false" outlineLevel="0" collapsed="false">
      <c r="A69" s="58"/>
      <c r="B69" s="41"/>
      <c r="C69" s="23"/>
      <c r="D69" s="23"/>
      <c r="E69" s="23"/>
      <c r="F69" s="62"/>
      <c r="G69" s="62"/>
      <c r="J69" s="0" t="n">
        <v>59</v>
      </c>
      <c r="K69" s="0" t="str">
        <f aca="false">IF(A69="","",IF(ISNUMBER(A69),IF(A69&lt;=31,DATE(YEAR(MSTART),MONTH(MSTART),A69),IF(A69&lt;=3112,DATE(YEAR(MSTART),MOD(A69,100),INT(A69/100)),A69)),IFERROR(DATEVALUE(A69),"")))</f>
        <v/>
      </c>
    </row>
    <row r="70" customFormat="false" ht="15" hidden="false" customHeight="false" outlineLevel="0" collapsed="false">
      <c r="A70" s="58"/>
      <c r="B70" s="41"/>
      <c r="C70" s="23"/>
      <c r="D70" s="23"/>
      <c r="E70" s="23"/>
      <c r="F70" s="62"/>
      <c r="G70" s="62"/>
      <c r="J70" s="0" t="n">
        <v>60</v>
      </c>
      <c r="K70" s="0" t="str">
        <f aca="false">IF(A70="","",IF(ISNUMBER(A70),IF(A70&lt;=31,DATE(YEAR(MSTART),MONTH(MSTART),A70),IF(A70&lt;=3112,DATE(YEAR(MSTART),MOD(A70,100),INT(A70/100)),A70)),IFERROR(DATEVALUE(A70),"")))</f>
        <v/>
      </c>
    </row>
    <row r="71" customFormat="false" ht="15" hidden="false" customHeight="false" outlineLevel="0" collapsed="false">
      <c r="A71" s="58"/>
      <c r="B71" s="41"/>
      <c r="C71" s="23"/>
      <c r="D71" s="23"/>
      <c r="E71" s="23"/>
      <c r="F71" s="62"/>
      <c r="G71" s="62"/>
      <c r="J71" s="0" t="n">
        <v>61</v>
      </c>
      <c r="K71" s="0" t="str">
        <f aca="false">IF(A71="","",IF(ISNUMBER(A71),IF(A71&lt;=31,DATE(YEAR(MSTART),MONTH(MSTART),A71),IF(A71&lt;=3112,DATE(YEAR(MSTART),MOD(A71,100),INT(A71/100)),A71)),IFERROR(DATEVALUE(A71),"")))</f>
        <v/>
      </c>
    </row>
    <row r="72" customFormat="false" ht="15" hidden="false" customHeight="false" outlineLevel="0" collapsed="false">
      <c r="A72" s="58"/>
      <c r="B72" s="41"/>
      <c r="C72" s="23"/>
      <c r="D72" s="23"/>
      <c r="E72" s="23"/>
      <c r="F72" s="62"/>
      <c r="G72" s="62"/>
      <c r="J72" s="0" t="n">
        <v>62</v>
      </c>
      <c r="K72" s="0" t="str">
        <f aca="false">IF(A72="","",IF(ISNUMBER(A72),IF(A72&lt;=31,DATE(YEAR(MSTART),MONTH(MSTART),A72),IF(A72&lt;=3112,DATE(YEAR(MSTART),MOD(A72,100),INT(A72/100)),A72)),IFERROR(DATEVALUE(A72),"")))</f>
        <v/>
      </c>
    </row>
    <row r="73" customFormat="false" ht="15" hidden="false" customHeight="false" outlineLevel="0" collapsed="false">
      <c r="A73" s="58"/>
      <c r="B73" s="41"/>
      <c r="C73" s="23"/>
      <c r="D73" s="23"/>
      <c r="E73" s="23"/>
      <c r="F73" s="62"/>
      <c r="G73" s="62"/>
      <c r="J73" s="0" t="n">
        <v>63</v>
      </c>
      <c r="K73" s="0" t="str">
        <f aca="false">IF(A73="","",IF(ISNUMBER(A73),IF(A73&lt;=31,DATE(YEAR(MSTART),MONTH(MSTART),A73),IF(A73&lt;=3112,DATE(YEAR(MSTART),MOD(A73,100),INT(A73/100)),A73)),IFERROR(DATEVALUE(A73),"")))</f>
        <v/>
      </c>
    </row>
    <row r="74" customFormat="false" ht="15" hidden="false" customHeight="false" outlineLevel="0" collapsed="false">
      <c r="A74" s="58"/>
      <c r="B74" s="41"/>
      <c r="C74" s="23"/>
      <c r="D74" s="23"/>
      <c r="E74" s="23"/>
      <c r="F74" s="62"/>
      <c r="G74" s="62"/>
      <c r="J74" s="0" t="n">
        <v>64</v>
      </c>
      <c r="K74" s="0" t="str">
        <f aca="false">IF(A74="","",IF(ISNUMBER(A74),IF(A74&lt;=31,DATE(YEAR(MSTART),MONTH(MSTART),A74),IF(A74&lt;=3112,DATE(YEAR(MSTART),MOD(A74,100),INT(A74/100)),A74)),IFERROR(DATEVALUE(A74),"")))</f>
        <v/>
      </c>
    </row>
    <row r="75" customFormat="false" ht="15" hidden="false" customHeight="false" outlineLevel="0" collapsed="false">
      <c r="A75" s="58"/>
      <c r="B75" s="41"/>
      <c r="C75" s="23"/>
      <c r="D75" s="23"/>
      <c r="E75" s="23"/>
      <c r="F75" s="62"/>
      <c r="G75" s="62"/>
      <c r="J75" s="0" t="n">
        <v>65</v>
      </c>
      <c r="K75" s="0" t="str">
        <f aca="false">IF(A75="","",IF(ISNUMBER(A75),IF(A75&lt;=31,DATE(YEAR(MSTART),MONTH(MSTART),A75),IF(A75&lt;=3112,DATE(YEAR(MSTART),MOD(A75,100),INT(A75/100)),A75)),IFERROR(DATEVALUE(A75),"")))</f>
        <v/>
      </c>
    </row>
    <row r="76" customFormat="false" ht="15" hidden="false" customHeight="false" outlineLevel="0" collapsed="false">
      <c r="A76" s="58"/>
      <c r="B76" s="41"/>
      <c r="C76" s="23"/>
      <c r="D76" s="23"/>
      <c r="E76" s="23"/>
      <c r="F76" s="62"/>
      <c r="G76" s="62"/>
      <c r="J76" s="0" t="n">
        <v>66</v>
      </c>
      <c r="K76" s="0" t="str">
        <f aca="false">IF(A76="","",IF(ISNUMBER(A76),IF(A76&lt;=31,DATE(YEAR(MSTART),MONTH(MSTART),A76),IF(A76&lt;=3112,DATE(YEAR(MSTART),MOD(A76,100),INT(A76/100)),A76)),IFERROR(DATEVALUE(A76),"")))</f>
        <v/>
      </c>
    </row>
    <row r="77" customFormat="false" ht="15" hidden="false" customHeight="false" outlineLevel="0" collapsed="false">
      <c r="A77" s="58"/>
      <c r="B77" s="41"/>
      <c r="C77" s="23"/>
      <c r="D77" s="23"/>
      <c r="E77" s="23"/>
      <c r="F77" s="62"/>
      <c r="G77" s="62"/>
      <c r="J77" s="0" t="n">
        <v>67</v>
      </c>
      <c r="K77" s="0" t="str">
        <f aca="false">IF(A77="","",IF(ISNUMBER(A77),IF(A77&lt;=31,DATE(YEAR(MSTART),MONTH(MSTART),A77),IF(A77&lt;=3112,DATE(YEAR(MSTART),MOD(A77,100),INT(A77/100)),A77)),IFERROR(DATEVALUE(A77),"")))</f>
        <v/>
      </c>
    </row>
    <row r="78" customFormat="false" ht="15" hidden="false" customHeight="false" outlineLevel="0" collapsed="false">
      <c r="A78" s="58"/>
      <c r="B78" s="41"/>
      <c r="C78" s="23"/>
      <c r="D78" s="23"/>
      <c r="E78" s="23"/>
      <c r="F78" s="62"/>
      <c r="G78" s="62"/>
      <c r="J78" s="0" t="n">
        <v>68</v>
      </c>
      <c r="K78" s="0" t="str">
        <f aca="false">IF(A78="","",IF(ISNUMBER(A78),IF(A78&lt;=31,DATE(YEAR(MSTART),MONTH(MSTART),A78),IF(A78&lt;=3112,DATE(YEAR(MSTART),MOD(A78,100),INT(A78/100)),A78)),IFERROR(DATEVALUE(A78),"")))</f>
        <v/>
      </c>
    </row>
    <row r="79" customFormat="false" ht="15" hidden="false" customHeight="false" outlineLevel="0" collapsed="false">
      <c r="A79" s="58"/>
      <c r="B79" s="41"/>
      <c r="C79" s="23"/>
      <c r="D79" s="23"/>
      <c r="E79" s="23"/>
      <c r="F79" s="62"/>
      <c r="G79" s="62"/>
      <c r="J79" s="0" t="n">
        <v>69</v>
      </c>
      <c r="K79" s="0" t="str">
        <f aca="false">IF(A79="","",IF(ISNUMBER(A79),IF(A79&lt;=31,DATE(YEAR(MSTART),MONTH(MSTART),A79),IF(A79&lt;=3112,DATE(YEAR(MSTART),MOD(A79,100),INT(A79/100)),A79)),IFERROR(DATEVALUE(A79),"")))</f>
        <v/>
      </c>
    </row>
    <row r="80" customFormat="false" ht="15" hidden="false" customHeight="false" outlineLevel="0" collapsed="false">
      <c r="A80" s="58"/>
      <c r="B80" s="41"/>
      <c r="C80" s="23"/>
      <c r="D80" s="23"/>
      <c r="E80" s="23"/>
      <c r="F80" s="62"/>
      <c r="G80" s="62"/>
      <c r="J80" s="0" t="n">
        <v>70</v>
      </c>
      <c r="K80" s="0" t="str">
        <f aca="false">IF(A80="","",IF(ISNUMBER(A80),IF(A80&lt;=31,DATE(YEAR(MSTART),MONTH(MSTART),A80),IF(A80&lt;=3112,DATE(YEAR(MSTART),MOD(A80,100),INT(A80/100)),A80)),IFERROR(DATEVALUE(A80),"")))</f>
        <v/>
      </c>
    </row>
    <row r="81" customFormat="false" ht="15" hidden="false" customHeight="false" outlineLevel="0" collapsed="false">
      <c r="A81" s="58"/>
      <c r="B81" s="41"/>
      <c r="C81" s="23"/>
      <c r="D81" s="23"/>
      <c r="E81" s="23"/>
      <c r="F81" s="62"/>
      <c r="G81" s="62"/>
      <c r="J81" s="0" t="n">
        <v>71</v>
      </c>
      <c r="K81" s="0" t="str">
        <f aca="false">IF(A81="","",IF(ISNUMBER(A81),IF(A81&lt;=31,DATE(YEAR(MSTART),MONTH(MSTART),A81),IF(A81&lt;=3112,DATE(YEAR(MSTART),MOD(A81,100),INT(A81/100)),A81)),IFERROR(DATEVALUE(A81),"")))</f>
        <v/>
      </c>
    </row>
    <row r="82" customFormat="false" ht="15" hidden="false" customHeight="false" outlineLevel="0" collapsed="false">
      <c r="A82" s="58"/>
      <c r="B82" s="41"/>
      <c r="C82" s="23"/>
      <c r="D82" s="23"/>
      <c r="E82" s="23"/>
      <c r="F82" s="62"/>
      <c r="G82" s="62"/>
      <c r="J82" s="0" t="n">
        <v>72</v>
      </c>
      <c r="K82" s="0" t="str">
        <f aca="false">IF(A82="","",IF(ISNUMBER(A82),IF(A82&lt;=31,DATE(YEAR(MSTART),MONTH(MSTART),A82),IF(A82&lt;=3112,DATE(YEAR(MSTART),MOD(A82,100),INT(A82/100)),A82)),IFERROR(DATEVALUE(A82),"")))</f>
        <v/>
      </c>
    </row>
    <row r="83" customFormat="false" ht="15" hidden="false" customHeight="false" outlineLevel="0" collapsed="false">
      <c r="A83" s="58"/>
      <c r="B83" s="41"/>
      <c r="C83" s="23"/>
      <c r="D83" s="23"/>
      <c r="E83" s="23"/>
      <c r="F83" s="62"/>
      <c r="G83" s="62"/>
      <c r="J83" s="0" t="n">
        <v>73</v>
      </c>
      <c r="K83" s="0" t="str">
        <f aca="false">IF(A83="","",IF(ISNUMBER(A83),IF(A83&lt;=31,DATE(YEAR(MSTART),MONTH(MSTART),A83),IF(A83&lt;=3112,DATE(YEAR(MSTART),MOD(A83,100),INT(A83/100)),A83)),IFERROR(DATEVALUE(A83),"")))</f>
        <v/>
      </c>
    </row>
    <row r="84" customFormat="false" ht="15" hidden="false" customHeight="false" outlineLevel="0" collapsed="false">
      <c r="A84" s="58"/>
      <c r="B84" s="41"/>
      <c r="C84" s="23"/>
      <c r="D84" s="23"/>
      <c r="E84" s="23"/>
      <c r="F84" s="62"/>
      <c r="G84" s="62"/>
      <c r="J84" s="0" t="n">
        <v>74</v>
      </c>
      <c r="K84" s="0" t="str">
        <f aca="false">IF(A84="","",IF(ISNUMBER(A84),IF(A84&lt;=31,DATE(YEAR(MSTART),MONTH(MSTART),A84),IF(A84&lt;=3112,DATE(YEAR(MSTART),MOD(A84,100),INT(A84/100)),A84)),IFERROR(DATEVALUE(A84),"")))</f>
        <v/>
      </c>
    </row>
    <row r="85" customFormat="false" ht="15" hidden="false" customHeight="false" outlineLevel="0" collapsed="false">
      <c r="A85" s="58"/>
      <c r="B85" s="41"/>
      <c r="C85" s="23"/>
      <c r="D85" s="23"/>
      <c r="E85" s="23"/>
      <c r="F85" s="62"/>
      <c r="G85" s="62"/>
      <c r="J85" s="0" t="n">
        <v>75</v>
      </c>
      <c r="K85" s="0" t="str">
        <f aca="false">IF(A85="","",IF(ISNUMBER(A85),IF(A85&lt;=31,DATE(YEAR(MSTART),MONTH(MSTART),A85),IF(A85&lt;=3112,DATE(YEAR(MSTART),MOD(A85,100),INT(A85/100)),A85)),IFERROR(DATEVALUE(A85),"")))</f>
        <v/>
      </c>
    </row>
    <row r="86" customFormat="false" ht="15" hidden="false" customHeight="false" outlineLevel="0" collapsed="false">
      <c r="A86" s="58"/>
      <c r="B86" s="41"/>
      <c r="C86" s="23"/>
      <c r="D86" s="23"/>
      <c r="E86" s="23"/>
      <c r="F86" s="62"/>
      <c r="G86" s="62"/>
      <c r="J86" s="0" t="n">
        <v>76</v>
      </c>
      <c r="K86" s="0" t="str">
        <f aca="false">IF(A86="","",IF(ISNUMBER(A86),IF(A86&lt;=31,DATE(YEAR(MSTART),MONTH(MSTART),A86),IF(A86&lt;=3112,DATE(YEAR(MSTART),MOD(A86,100),INT(A86/100)),A86)),IFERROR(DATEVALUE(A86),"")))</f>
        <v/>
      </c>
    </row>
    <row r="87" customFormat="false" ht="15" hidden="false" customHeight="false" outlineLevel="0" collapsed="false">
      <c r="A87" s="58"/>
      <c r="B87" s="41"/>
      <c r="C87" s="23"/>
      <c r="D87" s="23"/>
      <c r="E87" s="23"/>
      <c r="F87" s="62"/>
      <c r="G87" s="62"/>
      <c r="J87" s="0" t="n">
        <v>77</v>
      </c>
      <c r="K87" s="0" t="str">
        <f aca="false">IF(A87="","",IF(ISNUMBER(A87),IF(A87&lt;=31,DATE(YEAR(MSTART),MONTH(MSTART),A87),IF(A87&lt;=3112,DATE(YEAR(MSTART),MOD(A87,100),INT(A87/100)),A87)),IFERROR(DATEVALUE(A87),"")))</f>
        <v/>
      </c>
    </row>
    <row r="88" customFormat="false" ht="15" hidden="false" customHeight="false" outlineLevel="0" collapsed="false">
      <c r="A88" s="58"/>
      <c r="B88" s="41"/>
      <c r="C88" s="23"/>
      <c r="D88" s="23"/>
      <c r="E88" s="23"/>
      <c r="F88" s="62"/>
      <c r="G88" s="62"/>
      <c r="J88" s="0" t="n">
        <v>78</v>
      </c>
      <c r="K88" s="0" t="str">
        <f aca="false">IF(A88="","",IF(ISNUMBER(A88),IF(A88&lt;=31,DATE(YEAR(MSTART),MONTH(MSTART),A88),IF(A88&lt;=3112,DATE(YEAR(MSTART),MOD(A88,100),INT(A88/100)),A88)),IFERROR(DATEVALUE(A88),"")))</f>
        <v/>
      </c>
    </row>
    <row r="89" customFormat="false" ht="15" hidden="false" customHeight="false" outlineLevel="0" collapsed="false">
      <c r="A89" s="58"/>
      <c r="B89" s="41"/>
      <c r="C89" s="23"/>
      <c r="D89" s="23"/>
      <c r="E89" s="23"/>
      <c r="F89" s="62"/>
      <c r="G89" s="62"/>
      <c r="J89" s="0" t="n">
        <v>79</v>
      </c>
      <c r="K89" s="0" t="str">
        <f aca="false">IF(A89="","",IF(ISNUMBER(A89),IF(A89&lt;=31,DATE(YEAR(MSTART),MONTH(MSTART),A89),IF(A89&lt;=3112,DATE(YEAR(MSTART),MOD(A89,100),INT(A89/100)),A89)),IFERROR(DATEVALUE(A89),"")))</f>
        <v/>
      </c>
    </row>
    <row r="90" customFormat="false" ht="15" hidden="false" customHeight="false" outlineLevel="0" collapsed="false">
      <c r="A90" s="58"/>
      <c r="B90" s="41"/>
      <c r="C90" s="23"/>
      <c r="D90" s="23"/>
      <c r="E90" s="23"/>
      <c r="F90" s="62"/>
      <c r="G90" s="62"/>
      <c r="J90" s="0" t="n">
        <v>80</v>
      </c>
      <c r="K90" s="0" t="str">
        <f aca="false">IF(A90="","",IF(ISNUMBER(A90),IF(A90&lt;=31,DATE(YEAR(MSTART),MONTH(MSTART),A90),IF(A90&lt;=3112,DATE(YEAR(MSTART),MOD(A90,100),INT(A90/100)),A90)),IFERROR(DATEVALUE(A90),"")))</f>
        <v/>
      </c>
    </row>
    <row r="91" customFormat="false" ht="15" hidden="false" customHeight="false" outlineLevel="0" collapsed="false">
      <c r="A91" s="58"/>
      <c r="B91" s="41"/>
      <c r="C91" s="23"/>
      <c r="D91" s="23"/>
      <c r="E91" s="23"/>
      <c r="F91" s="62"/>
      <c r="G91" s="62"/>
      <c r="J91" s="0" t="n">
        <v>81</v>
      </c>
      <c r="K91" s="0" t="str">
        <f aca="false">IF(A91="","",IF(ISNUMBER(A91),IF(A91&lt;=31,DATE(YEAR(MSTART),MONTH(MSTART),A91),IF(A91&lt;=3112,DATE(YEAR(MSTART),MOD(A91,100),INT(A91/100)),A91)),IFERROR(DATEVALUE(A91),"")))</f>
        <v/>
      </c>
    </row>
    <row r="92" customFormat="false" ht="15" hidden="false" customHeight="false" outlineLevel="0" collapsed="false">
      <c r="A92" s="58"/>
      <c r="B92" s="41"/>
      <c r="C92" s="23"/>
      <c r="D92" s="23"/>
      <c r="E92" s="23"/>
      <c r="F92" s="62"/>
      <c r="G92" s="62"/>
      <c r="J92" s="0" t="n">
        <v>82</v>
      </c>
      <c r="K92" s="0" t="str">
        <f aca="false">IF(A92="","",IF(ISNUMBER(A92),IF(A92&lt;=31,DATE(YEAR(MSTART),MONTH(MSTART),A92),IF(A92&lt;=3112,DATE(YEAR(MSTART),MOD(A92,100),INT(A92/100)),A92)),IFERROR(DATEVALUE(A92),"")))</f>
        <v/>
      </c>
    </row>
    <row r="93" customFormat="false" ht="15" hidden="false" customHeight="false" outlineLevel="0" collapsed="false">
      <c r="A93" s="58"/>
      <c r="B93" s="41"/>
      <c r="C93" s="23"/>
      <c r="D93" s="23"/>
      <c r="E93" s="23"/>
      <c r="F93" s="62"/>
      <c r="G93" s="62"/>
      <c r="J93" s="0" t="n">
        <v>83</v>
      </c>
      <c r="K93" s="0" t="str">
        <f aca="false">IF(A93="","",IF(ISNUMBER(A93),IF(A93&lt;=31,DATE(YEAR(MSTART),MONTH(MSTART),A93),IF(A93&lt;=3112,DATE(YEAR(MSTART),MOD(A93,100),INT(A93/100)),A93)),IFERROR(DATEVALUE(A93),"")))</f>
        <v/>
      </c>
    </row>
    <row r="94" customFormat="false" ht="15" hidden="false" customHeight="false" outlineLevel="0" collapsed="false">
      <c r="A94" s="58"/>
      <c r="B94" s="41"/>
      <c r="C94" s="23"/>
      <c r="D94" s="23"/>
      <c r="E94" s="23"/>
      <c r="F94" s="62"/>
      <c r="G94" s="62"/>
      <c r="J94" s="0" t="n">
        <v>84</v>
      </c>
      <c r="K94" s="0" t="str">
        <f aca="false">IF(A94="","",IF(ISNUMBER(A94),IF(A94&lt;=31,DATE(YEAR(MSTART),MONTH(MSTART),A94),IF(A94&lt;=3112,DATE(YEAR(MSTART),MOD(A94,100),INT(A94/100)),A94)),IFERROR(DATEVALUE(A94),"")))</f>
        <v/>
      </c>
    </row>
    <row r="95" customFormat="false" ht="15" hidden="false" customHeight="false" outlineLevel="0" collapsed="false">
      <c r="A95" s="58"/>
      <c r="B95" s="41"/>
      <c r="C95" s="23"/>
      <c r="D95" s="23"/>
      <c r="E95" s="23"/>
      <c r="F95" s="62"/>
      <c r="G95" s="62"/>
      <c r="J95" s="0" t="n">
        <v>85</v>
      </c>
      <c r="K95" s="0" t="str">
        <f aca="false">IF(A95="","",IF(ISNUMBER(A95),IF(A95&lt;=31,DATE(YEAR(MSTART),MONTH(MSTART),A95),IF(A95&lt;=3112,DATE(YEAR(MSTART),MOD(A95,100),INT(A95/100)),A95)),IFERROR(DATEVALUE(A95),"")))</f>
        <v/>
      </c>
    </row>
    <row r="96" customFormat="false" ht="15" hidden="false" customHeight="false" outlineLevel="0" collapsed="false">
      <c r="A96" s="58"/>
      <c r="B96" s="41"/>
      <c r="C96" s="23"/>
      <c r="D96" s="23"/>
      <c r="E96" s="23"/>
      <c r="F96" s="62"/>
      <c r="G96" s="62"/>
      <c r="J96" s="0" t="n">
        <v>86</v>
      </c>
      <c r="K96" s="0" t="str">
        <f aca="false">IF(A96="","",IF(ISNUMBER(A96),IF(A96&lt;=31,DATE(YEAR(MSTART),MONTH(MSTART),A96),IF(A96&lt;=3112,DATE(YEAR(MSTART),MOD(A96,100),INT(A96/100)),A96)),IFERROR(DATEVALUE(A96),"")))</f>
        <v/>
      </c>
    </row>
    <row r="97" customFormat="false" ht="15" hidden="false" customHeight="false" outlineLevel="0" collapsed="false">
      <c r="A97" s="58"/>
      <c r="B97" s="41"/>
      <c r="C97" s="23"/>
      <c r="D97" s="23"/>
      <c r="E97" s="23"/>
      <c r="F97" s="62"/>
      <c r="G97" s="62"/>
      <c r="J97" s="0" t="n">
        <v>87</v>
      </c>
      <c r="K97" s="0" t="str">
        <f aca="false">IF(A97="","",IF(ISNUMBER(A97),IF(A97&lt;=31,DATE(YEAR(MSTART),MONTH(MSTART),A97),IF(A97&lt;=3112,DATE(YEAR(MSTART),MOD(A97,100),INT(A97/100)),A97)),IFERROR(DATEVALUE(A97),"")))</f>
        <v/>
      </c>
    </row>
    <row r="98" customFormat="false" ht="15" hidden="false" customHeight="false" outlineLevel="0" collapsed="false">
      <c r="A98" s="58"/>
      <c r="B98" s="41"/>
      <c r="C98" s="23"/>
      <c r="D98" s="23"/>
      <c r="E98" s="23"/>
      <c r="F98" s="62"/>
      <c r="G98" s="62"/>
      <c r="J98" s="0" t="n">
        <v>88</v>
      </c>
      <c r="K98" s="0" t="str">
        <f aca="false">IF(A98="","",IF(ISNUMBER(A98),IF(A98&lt;=31,DATE(YEAR(MSTART),MONTH(MSTART),A98),IF(A98&lt;=3112,DATE(YEAR(MSTART),MOD(A98,100),INT(A98/100)),A98)),IFERROR(DATEVALUE(A98),"")))</f>
        <v/>
      </c>
    </row>
    <row r="99" customFormat="false" ht="15" hidden="false" customHeight="false" outlineLevel="0" collapsed="false">
      <c r="A99" s="58"/>
      <c r="B99" s="41"/>
      <c r="C99" s="23"/>
      <c r="D99" s="23"/>
      <c r="E99" s="23"/>
      <c r="F99" s="62"/>
      <c r="G99" s="62"/>
      <c r="J99" s="0" t="n">
        <v>89</v>
      </c>
      <c r="K99" s="0" t="str">
        <f aca="false">IF(A99="","",IF(ISNUMBER(A99),IF(A99&lt;=31,DATE(YEAR(MSTART),MONTH(MSTART),A99),IF(A99&lt;=3112,DATE(YEAR(MSTART),MOD(A99,100),INT(A99/100)),A99)),IFERROR(DATEVALUE(A99),"")))</f>
        <v/>
      </c>
    </row>
    <row r="100" customFormat="false" ht="15" hidden="false" customHeight="false" outlineLevel="0" collapsed="false">
      <c r="A100" s="58"/>
      <c r="B100" s="41"/>
      <c r="C100" s="23"/>
      <c r="D100" s="23"/>
      <c r="E100" s="23"/>
      <c r="F100" s="62"/>
      <c r="G100" s="62"/>
      <c r="J100" s="0" t="n">
        <v>90</v>
      </c>
      <c r="K100" s="0" t="str">
        <f aca="false">IF(A100="","",IF(ISNUMBER(A100),IF(A100&lt;=31,DATE(YEAR(MSTART),MONTH(MSTART),A100),IF(A100&lt;=3112,DATE(YEAR(MSTART),MOD(A100,100),INT(A100/100)),A100)),IFERROR(DATEVALUE(A100),"")))</f>
        <v/>
      </c>
    </row>
    <row r="101" customFormat="false" ht="15" hidden="false" customHeight="false" outlineLevel="0" collapsed="false">
      <c r="A101" s="58"/>
      <c r="B101" s="41"/>
      <c r="C101" s="23"/>
      <c r="D101" s="23"/>
      <c r="E101" s="23"/>
      <c r="F101" s="62"/>
      <c r="G101" s="62"/>
      <c r="J101" s="0" t="n">
        <v>91</v>
      </c>
      <c r="K101" s="0" t="str">
        <f aca="false">IF(A101="","",IF(ISNUMBER(A101),IF(A101&lt;=31,DATE(YEAR(MSTART),MONTH(MSTART),A101),IF(A101&lt;=3112,DATE(YEAR(MSTART),MOD(A101,100),INT(A101/100)),A101)),IFERROR(DATEVALUE(A101),"")))</f>
        <v/>
      </c>
    </row>
    <row r="102" customFormat="false" ht="15" hidden="false" customHeight="false" outlineLevel="0" collapsed="false">
      <c r="A102" s="58"/>
      <c r="B102" s="41"/>
      <c r="C102" s="23"/>
      <c r="D102" s="23"/>
      <c r="E102" s="23"/>
      <c r="F102" s="62"/>
      <c r="G102" s="62"/>
      <c r="J102" s="0" t="n">
        <v>92</v>
      </c>
      <c r="K102" s="0" t="str">
        <f aca="false">IF(A102="","",IF(ISNUMBER(A102),IF(A102&lt;=31,DATE(YEAR(MSTART),MONTH(MSTART),A102),IF(A102&lt;=3112,DATE(YEAR(MSTART),MOD(A102,100),INT(A102/100)),A102)),IFERROR(DATEVALUE(A102),"")))</f>
        <v/>
      </c>
    </row>
    <row r="103" customFormat="false" ht="15" hidden="false" customHeight="false" outlineLevel="0" collapsed="false">
      <c r="A103" s="58"/>
      <c r="B103" s="41"/>
      <c r="C103" s="23"/>
      <c r="D103" s="23"/>
      <c r="E103" s="23"/>
      <c r="F103" s="62"/>
      <c r="G103" s="62"/>
      <c r="J103" s="0" t="n">
        <v>93</v>
      </c>
      <c r="K103" s="0" t="str">
        <f aca="false">IF(A103="","",IF(ISNUMBER(A103),IF(A103&lt;=31,DATE(YEAR(MSTART),MONTH(MSTART),A103),IF(A103&lt;=3112,DATE(YEAR(MSTART),MOD(A103,100),INT(A103/100)),A103)),IFERROR(DATEVALUE(A103),"")))</f>
        <v/>
      </c>
    </row>
    <row r="104" customFormat="false" ht="15" hidden="false" customHeight="false" outlineLevel="0" collapsed="false">
      <c r="A104" s="58"/>
      <c r="B104" s="41"/>
      <c r="C104" s="23"/>
      <c r="D104" s="23"/>
      <c r="E104" s="23"/>
      <c r="F104" s="62"/>
      <c r="G104" s="62"/>
      <c r="J104" s="0" t="n">
        <v>94</v>
      </c>
      <c r="K104" s="0" t="str">
        <f aca="false">IF(A104="","",IF(ISNUMBER(A104),IF(A104&lt;=31,DATE(YEAR(MSTART),MONTH(MSTART),A104),IF(A104&lt;=3112,DATE(YEAR(MSTART),MOD(A104,100),INT(A104/100)),A104)),IFERROR(DATEVALUE(A104),"")))</f>
        <v/>
      </c>
    </row>
    <row r="105" customFormat="false" ht="15" hidden="false" customHeight="false" outlineLevel="0" collapsed="false">
      <c r="A105" s="58"/>
      <c r="B105" s="41"/>
      <c r="C105" s="23"/>
      <c r="D105" s="23"/>
      <c r="E105" s="23"/>
      <c r="F105" s="62"/>
      <c r="G105" s="62"/>
      <c r="J105" s="0" t="n">
        <v>95</v>
      </c>
      <c r="K105" s="0" t="str">
        <f aca="false">IF(A105="","",IF(ISNUMBER(A105),IF(A105&lt;=31,DATE(YEAR(MSTART),MONTH(MSTART),A105),IF(A105&lt;=3112,DATE(YEAR(MSTART),MOD(A105,100),INT(A105/100)),A105)),IFERROR(DATEVALUE(A105),"")))</f>
        <v/>
      </c>
    </row>
    <row r="106" customFormat="false" ht="15" hidden="false" customHeight="false" outlineLevel="0" collapsed="false">
      <c r="A106" s="58"/>
      <c r="B106" s="41"/>
      <c r="C106" s="23"/>
      <c r="D106" s="23"/>
      <c r="E106" s="23"/>
      <c r="F106" s="62"/>
      <c r="G106" s="62"/>
      <c r="J106" s="0" t="n">
        <v>96</v>
      </c>
      <c r="K106" s="0" t="str">
        <f aca="false">IF(A106="","",IF(ISNUMBER(A106),IF(A106&lt;=31,DATE(YEAR(MSTART),MONTH(MSTART),A106),IF(A106&lt;=3112,DATE(YEAR(MSTART),MOD(A106,100),INT(A106/100)),A106)),IFERROR(DATEVALUE(A106),"")))</f>
        <v/>
      </c>
    </row>
    <row r="107" customFormat="false" ht="15" hidden="false" customHeight="false" outlineLevel="0" collapsed="false">
      <c r="A107" s="58"/>
      <c r="B107" s="41"/>
      <c r="C107" s="23"/>
      <c r="D107" s="23"/>
      <c r="E107" s="23"/>
      <c r="F107" s="62"/>
      <c r="G107" s="62"/>
      <c r="J107" s="0" t="n">
        <v>97</v>
      </c>
      <c r="K107" s="0" t="str">
        <f aca="false">IF(A107="","",IF(ISNUMBER(A107),IF(A107&lt;=31,DATE(YEAR(MSTART),MONTH(MSTART),A107),IF(A107&lt;=3112,DATE(YEAR(MSTART),MOD(A107,100),INT(A107/100)),A107)),IFERROR(DATEVALUE(A107),"")))</f>
        <v/>
      </c>
    </row>
    <row r="108" customFormat="false" ht="15" hidden="false" customHeight="false" outlineLevel="0" collapsed="false">
      <c r="A108" s="58"/>
      <c r="B108" s="41"/>
      <c r="C108" s="23"/>
      <c r="D108" s="23"/>
      <c r="E108" s="23"/>
      <c r="F108" s="62"/>
      <c r="G108" s="62"/>
      <c r="J108" s="0" t="n">
        <v>98</v>
      </c>
      <c r="K108" s="0" t="str">
        <f aca="false">IF(A108="","",IF(ISNUMBER(A108),IF(A108&lt;=31,DATE(YEAR(MSTART),MONTH(MSTART),A108),IF(A108&lt;=3112,DATE(YEAR(MSTART),MOD(A108,100),INT(A108/100)),A108)),IFERROR(DATEVALUE(A108),"")))</f>
        <v/>
      </c>
    </row>
    <row r="109" customFormat="false" ht="15" hidden="false" customHeight="false" outlineLevel="0" collapsed="false">
      <c r="A109" s="58"/>
      <c r="B109" s="41"/>
      <c r="C109" s="23"/>
      <c r="D109" s="23"/>
      <c r="E109" s="23"/>
      <c r="F109" s="62"/>
      <c r="G109" s="62"/>
      <c r="J109" s="0" t="n">
        <v>99</v>
      </c>
      <c r="K109" s="0" t="str">
        <f aca="false">IF(A109="","",IF(ISNUMBER(A109),IF(A109&lt;=31,DATE(YEAR(MSTART),MONTH(MSTART),A109),IF(A109&lt;=3112,DATE(YEAR(MSTART),MOD(A109,100),INT(A109/100)),A109)),IFERROR(DATEVALUE(A109),"")))</f>
        <v/>
      </c>
    </row>
    <row r="110" customFormat="false" ht="15" hidden="false" customHeight="false" outlineLevel="0" collapsed="false">
      <c r="A110" s="58"/>
      <c r="B110" s="41"/>
      <c r="C110" s="23"/>
      <c r="D110" s="23"/>
      <c r="E110" s="23"/>
      <c r="F110" s="62"/>
      <c r="G110" s="62"/>
      <c r="J110" s="0" t="n">
        <v>100</v>
      </c>
      <c r="K110" s="0" t="str">
        <f aca="false">IF(A110="","",IF(ISNUMBER(A110),IF(A110&lt;=31,DATE(YEAR(MSTART),MONTH(MSTART),A110),IF(A110&lt;=3112,DATE(YEAR(MSTART),MOD(A110,100),INT(A110/100)),A110)),IFERROR(DATEVALUE(A110),"")))</f>
        <v/>
      </c>
    </row>
    <row r="111" customFormat="false" ht="15" hidden="false" customHeight="false" outlineLevel="0" collapsed="false">
      <c r="A111" s="58"/>
      <c r="B111" s="41"/>
      <c r="C111" s="23"/>
      <c r="D111" s="23"/>
      <c r="E111" s="23"/>
      <c r="F111" s="62"/>
      <c r="G111" s="62"/>
      <c r="J111" s="0" t="n">
        <v>101</v>
      </c>
      <c r="K111" s="0" t="str">
        <f aca="false">IF(A111="","",IF(ISNUMBER(A111),IF(A111&lt;=31,DATE(YEAR(MSTART),MONTH(MSTART),A111),IF(A111&lt;=3112,DATE(YEAR(MSTART),MOD(A111,100),INT(A111/100)),A111)),IFERROR(DATEVALUE(A111),"")))</f>
        <v/>
      </c>
    </row>
    <row r="112" customFormat="false" ht="15" hidden="false" customHeight="false" outlineLevel="0" collapsed="false">
      <c r="A112" s="58"/>
      <c r="B112" s="41"/>
      <c r="C112" s="23"/>
      <c r="D112" s="23"/>
      <c r="E112" s="23"/>
      <c r="F112" s="62"/>
      <c r="G112" s="62"/>
      <c r="J112" s="0" t="n">
        <v>102</v>
      </c>
      <c r="K112" s="0" t="str">
        <f aca="false">IF(A112="","",IF(ISNUMBER(A112),IF(A112&lt;=31,DATE(YEAR(MSTART),MONTH(MSTART),A112),IF(A112&lt;=3112,DATE(YEAR(MSTART),MOD(A112,100),INT(A112/100)),A112)),IFERROR(DATEVALUE(A112),"")))</f>
        <v/>
      </c>
    </row>
    <row r="113" customFormat="false" ht="15" hidden="false" customHeight="false" outlineLevel="0" collapsed="false">
      <c r="A113" s="58"/>
      <c r="B113" s="41"/>
      <c r="C113" s="23"/>
      <c r="D113" s="23"/>
      <c r="E113" s="23"/>
      <c r="F113" s="62"/>
      <c r="G113" s="62"/>
      <c r="J113" s="0" t="n">
        <v>103</v>
      </c>
      <c r="K113" s="0" t="str">
        <f aca="false">IF(A113="","",IF(ISNUMBER(A113),IF(A113&lt;=31,DATE(YEAR(MSTART),MONTH(MSTART),A113),IF(A113&lt;=3112,DATE(YEAR(MSTART),MOD(A113,100),INT(A113/100)),A113)),IFERROR(DATEVALUE(A113),"")))</f>
        <v/>
      </c>
    </row>
    <row r="114" customFormat="false" ht="15" hidden="false" customHeight="false" outlineLevel="0" collapsed="false">
      <c r="A114" s="58"/>
      <c r="B114" s="41"/>
      <c r="C114" s="23"/>
      <c r="D114" s="23"/>
      <c r="E114" s="23"/>
      <c r="F114" s="62"/>
      <c r="G114" s="62"/>
      <c r="J114" s="0" t="n">
        <v>104</v>
      </c>
      <c r="K114" s="0" t="str">
        <f aca="false">IF(A114="","",IF(ISNUMBER(A114),IF(A114&lt;=31,DATE(YEAR(MSTART),MONTH(MSTART),A114),IF(A114&lt;=3112,DATE(YEAR(MSTART),MOD(A114,100),INT(A114/100)),A114)),IFERROR(DATEVALUE(A114),"")))</f>
        <v/>
      </c>
    </row>
    <row r="115" customFormat="false" ht="15" hidden="false" customHeight="false" outlineLevel="0" collapsed="false">
      <c r="A115" s="58"/>
      <c r="B115" s="41"/>
      <c r="C115" s="23"/>
      <c r="D115" s="23"/>
      <c r="E115" s="23"/>
      <c r="F115" s="62"/>
      <c r="G115" s="62"/>
      <c r="J115" s="0" t="n">
        <v>105</v>
      </c>
      <c r="K115" s="0" t="str">
        <f aca="false">IF(A115="","",IF(ISNUMBER(A115),IF(A115&lt;=31,DATE(YEAR(MSTART),MONTH(MSTART),A115),IF(A115&lt;=3112,DATE(YEAR(MSTART),MOD(A115,100),INT(A115/100)),A115)),IFERROR(DATEVALUE(A115),"")))</f>
        <v/>
      </c>
    </row>
    <row r="116" customFormat="false" ht="15" hidden="false" customHeight="false" outlineLevel="0" collapsed="false">
      <c r="A116" s="58"/>
      <c r="B116" s="41"/>
      <c r="C116" s="23"/>
      <c r="D116" s="23"/>
      <c r="E116" s="23"/>
      <c r="F116" s="62"/>
      <c r="G116" s="62"/>
      <c r="J116" s="0" t="n">
        <v>106</v>
      </c>
      <c r="K116" s="0" t="str">
        <f aca="false">IF(A116="","",IF(ISNUMBER(A116),IF(A116&lt;=31,DATE(YEAR(MSTART),MONTH(MSTART),A116),IF(A116&lt;=3112,DATE(YEAR(MSTART),MOD(A116,100),INT(A116/100)),A116)),IFERROR(DATEVALUE(A116),"")))</f>
        <v/>
      </c>
    </row>
    <row r="117" customFormat="false" ht="15" hidden="false" customHeight="false" outlineLevel="0" collapsed="false">
      <c r="A117" s="58"/>
      <c r="B117" s="41"/>
      <c r="C117" s="23"/>
      <c r="D117" s="23"/>
      <c r="E117" s="23"/>
      <c r="F117" s="62"/>
      <c r="G117" s="62"/>
      <c r="J117" s="0" t="n">
        <v>107</v>
      </c>
      <c r="K117" s="0" t="str">
        <f aca="false">IF(A117="","",IF(ISNUMBER(A117),IF(A117&lt;=31,DATE(YEAR(MSTART),MONTH(MSTART),A117),IF(A117&lt;=3112,DATE(YEAR(MSTART),MOD(A117,100),INT(A117/100)),A117)),IFERROR(DATEVALUE(A117),"")))</f>
        <v/>
      </c>
    </row>
    <row r="118" customFormat="false" ht="15" hidden="false" customHeight="false" outlineLevel="0" collapsed="false">
      <c r="A118" s="58"/>
      <c r="B118" s="41"/>
      <c r="C118" s="23"/>
      <c r="D118" s="23"/>
      <c r="E118" s="23"/>
      <c r="F118" s="62"/>
      <c r="G118" s="62"/>
      <c r="J118" s="0" t="n">
        <v>108</v>
      </c>
      <c r="K118" s="0" t="str">
        <f aca="false">IF(A118="","",IF(ISNUMBER(A118),IF(A118&lt;=31,DATE(YEAR(MSTART),MONTH(MSTART),A118),IF(A118&lt;=3112,DATE(YEAR(MSTART),MOD(A118,100),INT(A118/100)),A118)),IFERROR(DATEVALUE(A118),"")))</f>
        <v/>
      </c>
    </row>
    <row r="119" customFormat="false" ht="15" hidden="false" customHeight="false" outlineLevel="0" collapsed="false">
      <c r="A119" s="58"/>
      <c r="B119" s="41"/>
      <c r="C119" s="23"/>
      <c r="D119" s="23"/>
      <c r="E119" s="23"/>
      <c r="F119" s="62"/>
      <c r="G119" s="62"/>
      <c r="J119" s="0" t="n">
        <v>109</v>
      </c>
      <c r="K119" s="0" t="str">
        <f aca="false">IF(A119="","",IF(ISNUMBER(A119),IF(A119&lt;=31,DATE(YEAR(MSTART),MONTH(MSTART),A119),IF(A119&lt;=3112,DATE(YEAR(MSTART),MOD(A119,100),INT(A119/100)),A119)),IFERROR(DATEVALUE(A119),"")))</f>
        <v/>
      </c>
    </row>
    <row r="120" customFormat="false" ht="15" hidden="false" customHeight="false" outlineLevel="0" collapsed="false">
      <c r="A120" s="58"/>
      <c r="B120" s="41"/>
      <c r="C120" s="23"/>
      <c r="D120" s="23"/>
      <c r="E120" s="23"/>
      <c r="F120" s="62"/>
      <c r="G120" s="62"/>
      <c r="J120" s="0" t="n">
        <v>110</v>
      </c>
      <c r="K120" s="0" t="str">
        <f aca="false">IF(A120="","",IF(ISNUMBER(A120),IF(A120&lt;=31,DATE(YEAR(MSTART),MONTH(MSTART),A120),IF(A120&lt;=3112,DATE(YEAR(MSTART),MOD(A120,100),INT(A120/100)),A120)),IFERROR(DATEVALUE(A120),"")))</f>
        <v/>
      </c>
    </row>
    <row r="121" customFormat="false" ht="15" hidden="false" customHeight="false" outlineLevel="0" collapsed="false">
      <c r="A121" s="58"/>
      <c r="B121" s="41"/>
      <c r="C121" s="23"/>
      <c r="D121" s="23"/>
      <c r="E121" s="23"/>
      <c r="F121" s="62"/>
      <c r="G121" s="62"/>
      <c r="J121" s="0" t="n">
        <v>111</v>
      </c>
      <c r="K121" s="0" t="str">
        <f aca="false">IF(A121="","",IF(ISNUMBER(A121),IF(A121&lt;=31,DATE(YEAR(MSTART),MONTH(MSTART),A121),IF(A121&lt;=3112,DATE(YEAR(MSTART),MOD(A121,100),INT(A121/100)),A121)),IFERROR(DATEVALUE(A121),"")))</f>
        <v/>
      </c>
    </row>
    <row r="122" customFormat="false" ht="15" hidden="false" customHeight="false" outlineLevel="0" collapsed="false">
      <c r="A122" s="58"/>
      <c r="B122" s="41"/>
      <c r="C122" s="23"/>
      <c r="D122" s="23"/>
      <c r="E122" s="23"/>
      <c r="F122" s="62"/>
      <c r="G122" s="62"/>
      <c r="J122" s="0" t="n">
        <v>112</v>
      </c>
      <c r="K122" s="0" t="str">
        <f aca="false">IF(A122="","",IF(ISNUMBER(A122),IF(A122&lt;=31,DATE(YEAR(MSTART),MONTH(MSTART),A122),IF(A122&lt;=3112,DATE(YEAR(MSTART),MOD(A122,100),INT(A122/100)),A122)),IFERROR(DATEVALUE(A122),"")))</f>
        <v/>
      </c>
    </row>
    <row r="123" customFormat="false" ht="15" hidden="false" customHeight="false" outlineLevel="0" collapsed="false">
      <c r="A123" s="58"/>
      <c r="B123" s="41"/>
      <c r="C123" s="23"/>
      <c r="D123" s="23"/>
      <c r="E123" s="23"/>
      <c r="F123" s="62"/>
      <c r="G123" s="62"/>
      <c r="J123" s="0" t="n">
        <v>113</v>
      </c>
      <c r="K123" s="0" t="str">
        <f aca="false">IF(A123="","",IF(ISNUMBER(A123),IF(A123&lt;=31,DATE(YEAR(MSTART),MONTH(MSTART),A123),IF(A123&lt;=3112,DATE(YEAR(MSTART),MOD(A123,100),INT(A123/100)),A123)),IFERROR(DATEVALUE(A123),"")))</f>
        <v/>
      </c>
    </row>
    <row r="124" customFormat="false" ht="15" hidden="false" customHeight="false" outlineLevel="0" collapsed="false">
      <c r="A124" s="58"/>
      <c r="B124" s="41"/>
      <c r="C124" s="23"/>
      <c r="D124" s="23"/>
      <c r="E124" s="23"/>
      <c r="F124" s="62"/>
      <c r="G124" s="62"/>
      <c r="J124" s="0" t="n">
        <v>114</v>
      </c>
      <c r="K124" s="0" t="str">
        <f aca="false">IF(A124="","",IF(ISNUMBER(A124),IF(A124&lt;=31,DATE(YEAR(MSTART),MONTH(MSTART),A124),IF(A124&lt;=3112,DATE(YEAR(MSTART),MOD(A124,100),INT(A124/100)),A124)),IFERROR(DATEVALUE(A124),"")))</f>
        <v/>
      </c>
    </row>
    <row r="125" customFormat="false" ht="15" hidden="false" customHeight="false" outlineLevel="0" collapsed="false">
      <c r="A125" s="58"/>
      <c r="B125" s="41"/>
      <c r="C125" s="23"/>
      <c r="D125" s="23"/>
      <c r="E125" s="23"/>
      <c r="F125" s="62"/>
      <c r="G125" s="62"/>
      <c r="J125" s="0" t="n">
        <v>115</v>
      </c>
      <c r="K125" s="0" t="str">
        <f aca="false">IF(A125="","",IF(ISNUMBER(A125),IF(A125&lt;=31,DATE(YEAR(MSTART),MONTH(MSTART),A125),IF(A125&lt;=3112,DATE(YEAR(MSTART),MOD(A125,100),INT(A125/100)),A125)),IFERROR(DATEVALUE(A125),"")))</f>
        <v/>
      </c>
    </row>
    <row r="126" customFormat="false" ht="15" hidden="false" customHeight="false" outlineLevel="0" collapsed="false">
      <c r="A126" s="58"/>
      <c r="B126" s="41"/>
      <c r="C126" s="23"/>
      <c r="D126" s="23"/>
      <c r="E126" s="23"/>
      <c r="F126" s="62"/>
      <c r="G126" s="62"/>
      <c r="J126" s="0" t="n">
        <v>116</v>
      </c>
      <c r="K126" s="0" t="str">
        <f aca="false">IF(A126="","",IF(ISNUMBER(A126),IF(A126&lt;=31,DATE(YEAR(MSTART),MONTH(MSTART),A126),IF(A126&lt;=3112,DATE(YEAR(MSTART),MOD(A126,100),INT(A126/100)),A126)),IFERROR(DATEVALUE(A126),"")))</f>
        <v/>
      </c>
    </row>
    <row r="127" customFormat="false" ht="15" hidden="false" customHeight="false" outlineLevel="0" collapsed="false">
      <c r="A127" s="58"/>
      <c r="B127" s="41"/>
      <c r="C127" s="23"/>
      <c r="D127" s="23"/>
      <c r="E127" s="23"/>
      <c r="F127" s="62"/>
      <c r="G127" s="62"/>
      <c r="J127" s="0" t="n">
        <v>117</v>
      </c>
      <c r="K127" s="0" t="str">
        <f aca="false">IF(A127="","",IF(ISNUMBER(A127),IF(A127&lt;=31,DATE(YEAR(MSTART),MONTH(MSTART),A127),IF(A127&lt;=3112,DATE(YEAR(MSTART),MOD(A127,100),INT(A127/100)),A127)),IFERROR(DATEVALUE(A127),"")))</f>
        <v/>
      </c>
    </row>
    <row r="128" customFormat="false" ht="15" hidden="false" customHeight="false" outlineLevel="0" collapsed="false">
      <c r="A128" s="58"/>
      <c r="B128" s="41"/>
      <c r="C128" s="23"/>
      <c r="D128" s="23"/>
      <c r="E128" s="23"/>
      <c r="F128" s="62"/>
      <c r="G128" s="62"/>
      <c r="J128" s="0" t="n">
        <v>118</v>
      </c>
      <c r="K128" s="0" t="str">
        <f aca="false">IF(A128="","",IF(ISNUMBER(A128),IF(A128&lt;=31,DATE(YEAR(MSTART),MONTH(MSTART),A128),IF(A128&lt;=3112,DATE(YEAR(MSTART),MOD(A128,100),INT(A128/100)),A128)),IFERROR(DATEVALUE(A128),"")))</f>
        <v/>
      </c>
    </row>
    <row r="129" customFormat="false" ht="15" hidden="false" customHeight="false" outlineLevel="0" collapsed="false">
      <c r="A129" s="58"/>
      <c r="B129" s="41"/>
      <c r="C129" s="23"/>
      <c r="D129" s="23"/>
      <c r="E129" s="23"/>
      <c r="F129" s="62"/>
      <c r="G129" s="62"/>
      <c r="J129" s="0" t="n">
        <v>119</v>
      </c>
      <c r="K129" s="0" t="str">
        <f aca="false">IF(A129="","",IF(ISNUMBER(A129),IF(A129&lt;=31,DATE(YEAR(MSTART),MONTH(MSTART),A129),IF(A129&lt;=3112,DATE(YEAR(MSTART),MOD(A129,100),INT(A129/100)),A129)),IFERROR(DATEVALUE(A129),"")))</f>
        <v/>
      </c>
    </row>
    <row r="130" customFormat="false" ht="15" hidden="false" customHeight="false" outlineLevel="0" collapsed="false">
      <c r="A130" s="58"/>
      <c r="B130" s="41"/>
      <c r="C130" s="23"/>
      <c r="D130" s="23"/>
      <c r="E130" s="23"/>
      <c r="F130" s="62"/>
      <c r="G130" s="62"/>
      <c r="J130" s="0" t="n">
        <v>120</v>
      </c>
      <c r="K130" s="0" t="str">
        <f aca="false">IF(A130="","",IF(ISNUMBER(A130),IF(A130&lt;=31,DATE(YEAR(MSTART),MONTH(MSTART),A130),IF(A130&lt;=3112,DATE(YEAR(MSTART),MOD(A130,100),INT(A130/100)),A130)),IFERROR(DATEVALUE(A130),"")))</f>
        <v/>
      </c>
    </row>
    <row r="132" customFormat="false" ht="15" hidden="false" customHeight="true" outlineLevel="0" collapsed="false">
      <c r="A132" s="36" t="s">
        <v>61</v>
      </c>
      <c r="B132" s="36"/>
      <c r="C132" s="36"/>
      <c r="D132" s="36"/>
      <c r="E132" s="36"/>
      <c r="F132" s="36"/>
      <c r="G132" s="36"/>
    </row>
  </sheetData>
  <sheetProtection sheet="true" formatColumns="false" formatRows="false"/>
  <mergeCells count="125">
    <mergeCell ref="A1:G1"/>
    <mergeCell ref="A2:G2"/>
    <mergeCell ref="A7:G7"/>
    <mergeCell ref="A8:G8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A132:G132"/>
  </mergeCells>
  <dataValidations count="2">
    <dataValidation allowBlank="true" errorStyle="stop" operator="between" showDropDown="false" showErrorMessage="false" showInputMessage="false" sqref="B11:B130" type="list">
      <formula1>"عمر المصري,عبدالعزيز"</formula1>
      <formula2>0</formula2>
    </dataValidation>
    <dataValidation allowBlank="true" errorStyle="stop" operator="between" prompt="اختار من القائمة، أو اكتب رقم اليوم لحاله (مثل 5) — بينحسب من الشهر المختار" promptTitle="التاريخ" showDropDown="false" showErrorMessage="false" showInputMessage="true" sqref="A11:A130" type="list">
      <formula1>القوائم!$N$1:$N$31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6" min="4" style="0" width="12"/>
    <col collapsed="false" customWidth="true" hidden="false" outlineLevel="0" max="9" min="7" style="0" width="13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true" outlineLevel="0" max="13" min="12" style="0" width="13"/>
  </cols>
  <sheetData>
    <row r="1" customFormat="false" ht="31.5" hidden="false" customHeight="true" outlineLevel="0" collapsed="false">
      <c r="A1" s="63" t="s">
        <v>62</v>
      </c>
      <c r="B1" s="63"/>
      <c r="C1" s="63"/>
      <c r="D1" s="63"/>
      <c r="E1" s="63"/>
      <c r="F1" s="63"/>
      <c r="G1" s="63"/>
      <c r="H1" s="63"/>
      <c r="I1" s="63"/>
      <c r="J1" s="63"/>
    </row>
    <row r="2" customFormat="false" ht="21.75" hidden="false" customHeight="true" outlineLevel="0" collapsed="false">
      <c r="A2" s="64" t="str">
        <f aca="false">"شهر "&amp;TEXT(التسوية!$C$3,"00")&amp;" / "&amp;التسوية!$E$3&amp;"   ·   الفترات اللي بتخلص بهالشهر"</f>
        <v>شهر 10 / 2026   ·   الفترات اللي بتخلص بهالشهر</v>
      </c>
      <c r="B2" s="64"/>
      <c r="C2" s="64"/>
      <c r="D2" s="64"/>
      <c r="E2" s="64"/>
      <c r="F2" s="64"/>
      <c r="G2" s="64"/>
      <c r="H2" s="64"/>
      <c r="I2" s="64"/>
      <c r="J2" s="64"/>
    </row>
    <row r="3" customFormat="false" ht="31.5" hidden="false" customHeight="true" outlineLevel="0" collapsed="false">
      <c r="A3" s="36" t="s">
        <v>63</v>
      </c>
      <c r="B3" s="36"/>
      <c r="C3" s="36"/>
      <c r="D3" s="36"/>
      <c r="E3" s="36"/>
      <c r="F3" s="36"/>
      <c r="G3" s="36"/>
      <c r="H3" s="36"/>
      <c r="I3" s="36"/>
      <c r="J3" s="36"/>
    </row>
    <row r="5" customFormat="false" ht="30" hidden="false" customHeight="true" outlineLevel="0" collapsed="false">
      <c r="A5" s="65" t="s">
        <v>64</v>
      </c>
      <c r="B5" s="65" t="s">
        <v>65</v>
      </c>
      <c r="C5" s="65" t="s">
        <v>66</v>
      </c>
      <c r="D5" s="65" t="s">
        <v>67</v>
      </c>
    </row>
    <row r="6" customFormat="false" ht="15" hidden="false" customHeight="false" outlineLevel="0" collapsed="false">
      <c r="A6" s="12" t="s">
        <v>68</v>
      </c>
      <c r="B6" s="13" t="n">
        <v>0</v>
      </c>
      <c r="C6" s="13" t="n">
        <v>0</v>
      </c>
      <c r="D6" s="13" t="n">
        <v>0</v>
      </c>
    </row>
    <row r="8" customFormat="false" ht="30" hidden="false" customHeight="true" outlineLevel="0" collapsed="false">
      <c r="A8" s="65" t="s">
        <v>69</v>
      </c>
      <c r="B8" s="65" t="s">
        <v>70</v>
      </c>
      <c r="C8" s="65" t="s">
        <v>71</v>
      </c>
      <c r="D8" s="65" t="s">
        <v>72</v>
      </c>
      <c r="E8" s="65" t="s">
        <v>16</v>
      </c>
      <c r="F8" s="65" t="s">
        <v>18</v>
      </c>
      <c r="G8" s="65" t="s">
        <v>19</v>
      </c>
      <c r="H8" s="65" t="s">
        <v>73</v>
      </c>
      <c r="I8" s="65" t="s">
        <v>21</v>
      </c>
      <c r="J8" s="65" t="s">
        <v>22</v>
      </c>
      <c r="K8" s="65" t="s">
        <v>23</v>
      </c>
      <c r="L8" s="8" t="n">
        <f aca="false">MAX(0,ROUNDUP((MSTART-MGR_START-9)/10,0))</f>
        <v>0</v>
      </c>
    </row>
    <row r="9" customFormat="false" ht="15" hidden="false" customHeight="false" outlineLevel="0" collapsed="false">
      <c r="A9" s="40" t="str">
        <f aca="false">IF(B9="","","الفترة الأولى")</f>
        <v>الفترة الأولى</v>
      </c>
      <c r="B9" s="39" t="n">
        <f aca="false">IF(AND(MGR_START+10*($L$8+0)+9&gt;=MSTART,MGR_START+10*($L$8+0)+9&lt;=MEND),MGR_START+10*($L$8+0),"")</f>
        <v>46291</v>
      </c>
      <c r="C9" s="39" t="n">
        <f aca="false">IF(B9="","",B9+9)</f>
        <v>46300</v>
      </c>
      <c r="D9" s="18" t="n">
        <f aca="false">IF(B9="","",MGR_SAL)</f>
        <v>125</v>
      </c>
      <c r="E9" s="18" t="n">
        <f aca="false">IF(B9="","",$B$6)</f>
        <v>0</v>
      </c>
      <c r="F9" s="18" t="n">
        <f aca="false">IF(B9="","",SUMIFS($B$18:$B$42,$M$18:$M$42,"&gt;="&amp;B9,$M$18:$M$42,"&lt;="&amp;C9))</f>
        <v>0</v>
      </c>
      <c r="G9" s="18" t="n">
        <f aca="false">IF(B9="","",MIN(IF(_xlfn.MAXIFS($L$18:$L$42,$D$18:$D$42,"&lt;&gt;",$M$18:$M$42,"&lt;="&amp;C9)=0,$D$6,INDEX($D$18:$D$42,_xlfn.MAXIFS($L$18:$L$42,$D$18:$D$42,"&lt;&gt;",$M$18:$M$42,"&lt;="&amp;C9))),MAX(0,$C$6+SUMIFS($C$18:$C$42,$M$18:$M$42,"&lt;="&amp;C9)-SUMIFS($E$18:$E$42,$M$18:$M$42,"&lt;="&amp;C9)-0)))</f>
        <v>0</v>
      </c>
      <c r="H9" s="18" t="n">
        <f aca="false">IF(B9="","",D9+E9-F9-G9)</f>
        <v>125</v>
      </c>
      <c r="I9" s="23"/>
      <c r="J9" s="18" t="n">
        <f aca="false">IF(B9="","",H9-N(I9))</f>
        <v>125</v>
      </c>
      <c r="K9" s="20" t="n">
        <f aca="false">IF(B9="","",MAX(0,$C$6+SUMIFS($C$18:$C$42,$M$18:$M$42,"&lt;="&amp;C9)-SUMIFS($E$18:$E$42,$M$18:$M$42,"&lt;="&amp;C9)-SUM(G9:G9)))</f>
        <v>0</v>
      </c>
    </row>
    <row r="10" customFormat="false" ht="15" hidden="false" customHeight="false" outlineLevel="0" collapsed="false">
      <c r="A10" s="40" t="str">
        <f aca="false">IF(B10="","","الفترة الثانية")</f>
        <v>الفترة الثانية</v>
      </c>
      <c r="B10" s="39" t="n">
        <f aca="false">IF(AND(MGR_START+10*($L$8+1)+9&gt;=MSTART,MGR_START+10*($L$8+1)+9&lt;=MEND),MGR_START+10*($L$8+1),"")</f>
        <v>46301</v>
      </c>
      <c r="C10" s="39" t="n">
        <f aca="false">IF(B10="","",B10+9)</f>
        <v>46310</v>
      </c>
      <c r="D10" s="18" t="n">
        <f aca="false">IF(B10="","",MGR_SAL)</f>
        <v>125</v>
      </c>
      <c r="E10" s="18" t="n">
        <f aca="false">IF(B10="","",0)</f>
        <v>0</v>
      </c>
      <c r="F10" s="18" t="n">
        <f aca="false">IF(B10="","",SUMIFS($B$18:$B$42,$M$18:$M$42,"&gt;="&amp;B10,$M$18:$M$42,"&lt;="&amp;C10))</f>
        <v>0</v>
      </c>
      <c r="G10" s="18" t="n">
        <f aca="false">IF(B10="","",MIN(IF(_xlfn.MAXIFS($L$18:$L$42,$D$18:$D$42,"&lt;&gt;",$M$18:$M$42,"&lt;="&amp;C10)=0,$D$6,INDEX($D$18:$D$42,_xlfn.MAXIFS($L$18:$L$42,$D$18:$D$42,"&lt;&gt;",$M$18:$M$42,"&lt;="&amp;C10))),MAX(0,$C$6+SUMIFS($C$18:$C$42,$M$18:$M$42,"&lt;="&amp;C10)-SUMIFS($E$18:$E$42,$M$18:$M$42,"&lt;="&amp;C10)-SUM(G9:G9))))</f>
        <v>0</v>
      </c>
      <c r="H10" s="18" t="n">
        <f aca="false">IF(B10="","",D10+E10-F10-G10)</f>
        <v>125</v>
      </c>
      <c r="I10" s="23"/>
      <c r="J10" s="18" t="n">
        <f aca="false">IF(B10="","",H10-N(I10))</f>
        <v>125</v>
      </c>
      <c r="K10" s="20" t="n">
        <f aca="false">IF(B10="","",MAX(0,$C$6+SUMIFS($C$18:$C$42,$M$18:$M$42,"&lt;="&amp;C10)-SUMIFS($E$18:$E$42,$M$18:$M$42,"&lt;="&amp;C10)-SUM(G9:G10)))</f>
        <v>0</v>
      </c>
    </row>
    <row r="11" customFormat="false" ht="15" hidden="false" customHeight="false" outlineLevel="0" collapsed="false">
      <c r="A11" s="40" t="str">
        <f aca="false">IF(B11="","","الفترة الثالثة")</f>
        <v>الفترة الثالثة</v>
      </c>
      <c r="B11" s="39" t="n">
        <f aca="false">IF(AND(MGR_START+10*($L$8+2)+9&gt;=MSTART,MGR_START+10*($L$8+2)+9&lt;=MEND),MGR_START+10*($L$8+2),"")</f>
        <v>46311</v>
      </c>
      <c r="C11" s="39" t="n">
        <f aca="false">IF(B11="","",B11+9)</f>
        <v>46320</v>
      </c>
      <c r="D11" s="18" t="n">
        <f aca="false">IF(B11="","",MGR_SAL)</f>
        <v>125</v>
      </c>
      <c r="E11" s="18" t="n">
        <f aca="false">IF(B11="","",0)</f>
        <v>0</v>
      </c>
      <c r="F11" s="18" t="n">
        <f aca="false">IF(B11="","",SUMIFS($B$18:$B$42,$M$18:$M$42,"&gt;="&amp;B11,$M$18:$M$42,"&lt;="&amp;C11))</f>
        <v>0</v>
      </c>
      <c r="G11" s="18" t="n">
        <f aca="false">IF(B11="","",MIN(IF(_xlfn.MAXIFS($L$18:$L$42,$D$18:$D$42,"&lt;&gt;",$M$18:$M$42,"&lt;="&amp;C11)=0,$D$6,INDEX($D$18:$D$42,_xlfn.MAXIFS($L$18:$L$42,$D$18:$D$42,"&lt;&gt;",$M$18:$M$42,"&lt;="&amp;C11))),MAX(0,$C$6+SUMIFS($C$18:$C$42,$M$18:$M$42,"&lt;="&amp;C11)-SUMIFS($E$18:$E$42,$M$18:$M$42,"&lt;="&amp;C11)-SUM(G9:G10))))</f>
        <v>0</v>
      </c>
      <c r="H11" s="18" t="n">
        <f aca="false">IF(B11="","",D11+E11-F11-G11)</f>
        <v>125</v>
      </c>
      <c r="I11" s="23"/>
      <c r="J11" s="18" t="n">
        <f aca="false">IF(B11="","",H11-N(I11))</f>
        <v>125</v>
      </c>
      <c r="K11" s="20" t="n">
        <f aca="false">IF(B11="","",MAX(0,$C$6+SUMIFS($C$18:$C$42,$M$18:$M$42,"&lt;="&amp;C11)-SUMIFS($E$18:$E$42,$M$18:$M$42,"&lt;="&amp;C11)-SUM(G9:G11)))</f>
        <v>0</v>
      </c>
    </row>
    <row r="12" customFormat="false" ht="15" hidden="false" customHeight="false" outlineLevel="0" collapsed="false">
      <c r="A12" s="40" t="str">
        <f aca="false">IF(B12="","","الفترة الرابعة")</f>
        <v/>
      </c>
      <c r="B12" s="39" t="str">
        <f aca="false">IF(AND(MGR_START+10*($L$8+3)+9&gt;=MSTART,MGR_START+10*($L$8+3)+9&lt;=MEND),MGR_START+10*($L$8+3),"")</f>
        <v/>
      </c>
      <c r="C12" s="39" t="str">
        <f aca="false">IF(B12="","",B12+9)</f>
        <v/>
      </c>
      <c r="D12" s="18" t="str">
        <f aca="false">IF(B12="","",MGR_SAL)</f>
        <v/>
      </c>
      <c r="E12" s="18" t="str">
        <f aca="false">IF(B12="","",0)</f>
        <v/>
      </c>
      <c r="F12" s="18" t="str">
        <f aca="false">IF(B12="","",SUMIFS($B$18:$B$42,$M$18:$M$42,"&gt;="&amp;B12,$M$18:$M$42,"&lt;="&amp;C12))</f>
        <v/>
      </c>
      <c r="G12" s="18" t="str">
        <f aca="false">IF(B12="","",MIN(IF(_xlfn.MAXIFS($L$18:$L$42,$D$18:$D$42,"&lt;&gt;",$M$18:$M$42,"&lt;="&amp;C12)=0,$D$6,INDEX($D$18:$D$42,_xlfn.MAXIFS($L$18:$L$42,$D$18:$D$42,"&lt;&gt;",$M$18:$M$42,"&lt;="&amp;C12))),MAX(0,$C$6+SUMIFS($C$18:$C$42,$M$18:$M$42,"&lt;="&amp;C12)-SUMIFS($E$18:$E$42,$M$18:$M$42,"&lt;="&amp;C12)-SUM(G9:G11))))</f>
        <v/>
      </c>
      <c r="H12" s="18" t="str">
        <f aca="false">IF(B12="","",D12+E12-F12-G12)</f>
        <v/>
      </c>
      <c r="I12" s="23"/>
      <c r="J12" s="18" t="str">
        <f aca="false">IF(B12="","",H12-N(I12))</f>
        <v/>
      </c>
      <c r="K12" s="20" t="str">
        <f aca="false">IF(B12="","",MAX(0,$C$6+SUMIFS($C$18:$C$42,$M$18:$M$42,"&lt;="&amp;C12)-SUMIFS($E$18:$E$42,$M$18:$M$42,"&lt;="&amp;C12)-SUM(G9:G12)))</f>
        <v/>
      </c>
    </row>
    <row r="13" customFormat="false" ht="15" hidden="false" customHeight="false" outlineLevel="0" collapsed="false">
      <c r="A13" s="25" t="s">
        <v>27</v>
      </c>
      <c r="B13" s="25"/>
      <c r="C13" s="25"/>
      <c r="D13" s="27" t="n">
        <f aca="false">SUM(D9:D12)</f>
        <v>375</v>
      </c>
      <c r="E13" s="27" t="n">
        <f aca="false">SUM(E9:E12)</f>
        <v>0</v>
      </c>
      <c r="F13" s="27" t="n">
        <f aca="false">SUM(F9:F12)</f>
        <v>0</v>
      </c>
      <c r="G13" s="27" t="n">
        <f aca="false">SUM(G9:G12)</f>
        <v>0</v>
      </c>
      <c r="H13" s="27" t="n">
        <f aca="false">SUM(H9:H12)</f>
        <v>375</v>
      </c>
      <c r="I13" s="27" t="n">
        <f aca="false">SUM(I9:I12)</f>
        <v>0</v>
      </c>
      <c r="J13" s="27" t="n">
        <f aca="false">SUM(J9:J12)</f>
        <v>375</v>
      </c>
    </row>
    <row r="15" customFormat="false" ht="15" hidden="false" customHeight="false" outlineLevel="0" collapsed="false">
      <c r="A15" s="66" t="s">
        <v>74</v>
      </c>
      <c r="C15" s="43" t="s">
        <v>75</v>
      </c>
      <c r="D15" s="33" t="n">
        <f aca="false">J13</f>
        <v>375</v>
      </c>
      <c r="E15" s="43" t="s">
        <v>76</v>
      </c>
      <c r="F15" s="33" t="n">
        <f aca="false">MAX(0,C6+SUM(C18:C42)-SUM(E18:E42)-G13)</f>
        <v>0</v>
      </c>
    </row>
    <row r="17" customFormat="false" ht="33.75" hidden="false" customHeight="true" outlineLevel="0" collapsed="false">
      <c r="A17" s="10" t="s">
        <v>32</v>
      </c>
      <c r="B17" s="10" t="s">
        <v>77</v>
      </c>
      <c r="C17" s="10" t="s">
        <v>59</v>
      </c>
      <c r="D17" s="10" t="s">
        <v>78</v>
      </c>
      <c r="E17" s="10" t="s">
        <v>60</v>
      </c>
      <c r="F17" s="10" t="s">
        <v>49</v>
      </c>
      <c r="G17" s="10"/>
      <c r="H17" s="10"/>
      <c r="I17" s="10"/>
      <c r="J17" s="10"/>
    </row>
    <row r="18" customFormat="false" ht="15" hidden="false" customHeight="false" outlineLevel="0" collapsed="false">
      <c r="A18" s="58"/>
      <c r="B18" s="23"/>
      <c r="C18" s="23"/>
      <c r="D18" s="23"/>
      <c r="E18" s="23"/>
      <c r="F18" s="62"/>
      <c r="G18" s="62"/>
      <c r="H18" s="62"/>
      <c r="I18" s="62"/>
      <c r="J18" s="62"/>
      <c r="L18" s="0" t="n">
        <v>1</v>
      </c>
      <c r="M18" s="0" t="str">
        <f aca="false">IF(A18="","",IF(ISNUMBER(A18),IF(A18&lt;=31,DATE(YEAR(MSTART),MONTH(MSTART),A18),IF(A18&lt;=3112,DATE(YEAR(MSTART),MOD(A18,100),INT(A18/100)),A18)),IFERROR(DATEVALUE(A18),"")))</f>
        <v/>
      </c>
    </row>
    <row r="19" customFormat="false" ht="15" hidden="false" customHeight="false" outlineLevel="0" collapsed="false">
      <c r="A19" s="58"/>
      <c r="B19" s="23"/>
      <c r="C19" s="23"/>
      <c r="D19" s="23"/>
      <c r="E19" s="23"/>
      <c r="F19" s="62"/>
      <c r="G19" s="62"/>
      <c r="H19" s="62"/>
      <c r="I19" s="62"/>
      <c r="J19" s="62"/>
      <c r="L19" s="0" t="n">
        <v>2</v>
      </c>
      <c r="M19" s="0" t="str">
        <f aca="false">IF(A19="","",IF(ISNUMBER(A19),IF(A19&lt;=31,DATE(YEAR(MSTART),MONTH(MSTART),A19),IF(A19&lt;=3112,DATE(YEAR(MSTART),MOD(A19,100),INT(A19/100)),A19)),IFERROR(DATEVALUE(A19),"")))</f>
        <v/>
      </c>
    </row>
    <row r="20" customFormat="false" ht="15" hidden="false" customHeight="false" outlineLevel="0" collapsed="false">
      <c r="A20" s="58"/>
      <c r="B20" s="23"/>
      <c r="C20" s="23"/>
      <c r="D20" s="23"/>
      <c r="E20" s="23"/>
      <c r="F20" s="62"/>
      <c r="G20" s="62"/>
      <c r="H20" s="62"/>
      <c r="I20" s="62"/>
      <c r="J20" s="62"/>
      <c r="L20" s="0" t="n">
        <v>3</v>
      </c>
      <c r="M20" s="0" t="str">
        <f aca="false">IF(A20="","",IF(ISNUMBER(A20),IF(A20&lt;=31,DATE(YEAR(MSTART),MONTH(MSTART),A20),IF(A20&lt;=3112,DATE(YEAR(MSTART),MOD(A20,100),INT(A20/100)),A20)),IFERROR(DATEVALUE(A20),"")))</f>
        <v/>
      </c>
    </row>
    <row r="21" customFormat="false" ht="15" hidden="false" customHeight="false" outlineLevel="0" collapsed="false">
      <c r="A21" s="58"/>
      <c r="B21" s="23"/>
      <c r="C21" s="23"/>
      <c r="D21" s="23"/>
      <c r="E21" s="23"/>
      <c r="F21" s="62"/>
      <c r="G21" s="62"/>
      <c r="H21" s="62"/>
      <c r="I21" s="62"/>
      <c r="J21" s="62"/>
      <c r="L21" s="0" t="n">
        <v>4</v>
      </c>
      <c r="M21" s="0" t="str">
        <f aca="false">IF(A21="","",IF(ISNUMBER(A21),IF(A21&lt;=31,DATE(YEAR(MSTART),MONTH(MSTART),A21),IF(A21&lt;=3112,DATE(YEAR(MSTART),MOD(A21,100),INT(A21/100)),A21)),IFERROR(DATEVALUE(A21),"")))</f>
        <v/>
      </c>
    </row>
    <row r="22" customFormat="false" ht="15" hidden="false" customHeight="false" outlineLevel="0" collapsed="false">
      <c r="A22" s="58"/>
      <c r="B22" s="23"/>
      <c r="C22" s="23"/>
      <c r="D22" s="23"/>
      <c r="E22" s="23"/>
      <c r="F22" s="62"/>
      <c r="G22" s="62"/>
      <c r="H22" s="62"/>
      <c r="I22" s="62"/>
      <c r="J22" s="62"/>
      <c r="L22" s="0" t="n">
        <v>5</v>
      </c>
      <c r="M22" s="0" t="str">
        <f aca="false">IF(A22="","",IF(ISNUMBER(A22),IF(A22&lt;=31,DATE(YEAR(MSTART),MONTH(MSTART),A22),IF(A22&lt;=3112,DATE(YEAR(MSTART),MOD(A22,100),INT(A22/100)),A22)),IFERROR(DATEVALUE(A22),"")))</f>
        <v/>
      </c>
    </row>
    <row r="23" customFormat="false" ht="15" hidden="false" customHeight="false" outlineLevel="0" collapsed="false">
      <c r="A23" s="58"/>
      <c r="B23" s="23"/>
      <c r="C23" s="23"/>
      <c r="D23" s="23"/>
      <c r="E23" s="23"/>
      <c r="F23" s="62"/>
      <c r="G23" s="62"/>
      <c r="H23" s="62"/>
      <c r="I23" s="62"/>
      <c r="J23" s="62"/>
      <c r="L23" s="0" t="n">
        <v>6</v>
      </c>
      <c r="M23" s="0" t="str">
        <f aca="false">IF(A23="","",IF(ISNUMBER(A23),IF(A23&lt;=31,DATE(YEAR(MSTART),MONTH(MSTART),A23),IF(A23&lt;=3112,DATE(YEAR(MSTART),MOD(A23,100),INT(A23/100)),A23)),IFERROR(DATEVALUE(A23),"")))</f>
        <v/>
      </c>
    </row>
    <row r="24" customFormat="false" ht="15" hidden="false" customHeight="false" outlineLevel="0" collapsed="false">
      <c r="A24" s="58"/>
      <c r="B24" s="23"/>
      <c r="C24" s="23"/>
      <c r="D24" s="23"/>
      <c r="E24" s="23"/>
      <c r="F24" s="62"/>
      <c r="G24" s="62"/>
      <c r="H24" s="62"/>
      <c r="I24" s="62"/>
      <c r="J24" s="62"/>
      <c r="L24" s="0" t="n">
        <v>7</v>
      </c>
      <c r="M24" s="0" t="str">
        <f aca="false">IF(A24="","",IF(ISNUMBER(A24),IF(A24&lt;=31,DATE(YEAR(MSTART),MONTH(MSTART),A24),IF(A24&lt;=3112,DATE(YEAR(MSTART),MOD(A24,100),INT(A24/100)),A24)),IFERROR(DATEVALUE(A24),"")))</f>
        <v/>
      </c>
    </row>
    <row r="25" customFormat="false" ht="15" hidden="false" customHeight="false" outlineLevel="0" collapsed="false">
      <c r="A25" s="58"/>
      <c r="B25" s="23"/>
      <c r="C25" s="23"/>
      <c r="D25" s="23"/>
      <c r="E25" s="23"/>
      <c r="F25" s="62"/>
      <c r="G25" s="62"/>
      <c r="H25" s="62"/>
      <c r="I25" s="62"/>
      <c r="J25" s="62"/>
      <c r="L25" s="0" t="n">
        <v>8</v>
      </c>
      <c r="M25" s="0" t="str">
        <f aca="false">IF(A25="","",IF(ISNUMBER(A25),IF(A25&lt;=31,DATE(YEAR(MSTART),MONTH(MSTART),A25),IF(A25&lt;=3112,DATE(YEAR(MSTART),MOD(A25,100),INT(A25/100)),A25)),IFERROR(DATEVALUE(A25),"")))</f>
        <v/>
      </c>
    </row>
    <row r="26" customFormat="false" ht="15" hidden="false" customHeight="false" outlineLevel="0" collapsed="false">
      <c r="A26" s="58"/>
      <c r="B26" s="23"/>
      <c r="C26" s="23"/>
      <c r="D26" s="23"/>
      <c r="E26" s="23"/>
      <c r="F26" s="62"/>
      <c r="G26" s="62"/>
      <c r="H26" s="62"/>
      <c r="I26" s="62"/>
      <c r="J26" s="62"/>
      <c r="L26" s="0" t="n">
        <v>9</v>
      </c>
      <c r="M26" s="0" t="str">
        <f aca="false">IF(A26="","",IF(ISNUMBER(A26),IF(A26&lt;=31,DATE(YEAR(MSTART),MONTH(MSTART),A26),IF(A26&lt;=3112,DATE(YEAR(MSTART),MOD(A26,100),INT(A26/100)),A26)),IFERROR(DATEVALUE(A26),"")))</f>
        <v/>
      </c>
    </row>
    <row r="27" customFormat="false" ht="15" hidden="false" customHeight="false" outlineLevel="0" collapsed="false">
      <c r="A27" s="58"/>
      <c r="B27" s="23"/>
      <c r="C27" s="23"/>
      <c r="D27" s="23"/>
      <c r="E27" s="23"/>
      <c r="F27" s="62"/>
      <c r="G27" s="62"/>
      <c r="H27" s="62"/>
      <c r="I27" s="62"/>
      <c r="J27" s="62"/>
      <c r="L27" s="0" t="n">
        <v>10</v>
      </c>
      <c r="M27" s="0" t="str">
        <f aca="false">IF(A27="","",IF(ISNUMBER(A27),IF(A27&lt;=31,DATE(YEAR(MSTART),MONTH(MSTART),A27),IF(A27&lt;=3112,DATE(YEAR(MSTART),MOD(A27,100),INT(A27/100)),A27)),IFERROR(DATEVALUE(A27),"")))</f>
        <v/>
      </c>
    </row>
    <row r="28" customFormat="false" ht="15" hidden="false" customHeight="false" outlineLevel="0" collapsed="false">
      <c r="A28" s="58"/>
      <c r="B28" s="23"/>
      <c r="C28" s="23"/>
      <c r="D28" s="23"/>
      <c r="E28" s="23"/>
      <c r="F28" s="62"/>
      <c r="G28" s="62"/>
      <c r="H28" s="62"/>
      <c r="I28" s="62"/>
      <c r="J28" s="62"/>
      <c r="L28" s="0" t="n">
        <v>11</v>
      </c>
      <c r="M28" s="0" t="str">
        <f aca="false">IF(A28="","",IF(ISNUMBER(A28),IF(A28&lt;=31,DATE(YEAR(MSTART),MONTH(MSTART),A28),IF(A28&lt;=3112,DATE(YEAR(MSTART),MOD(A28,100),INT(A28/100)),A28)),IFERROR(DATEVALUE(A28),"")))</f>
        <v/>
      </c>
    </row>
    <row r="29" customFormat="false" ht="15" hidden="false" customHeight="false" outlineLevel="0" collapsed="false">
      <c r="A29" s="58"/>
      <c r="B29" s="23"/>
      <c r="C29" s="23"/>
      <c r="D29" s="23"/>
      <c r="E29" s="23"/>
      <c r="F29" s="62"/>
      <c r="G29" s="62"/>
      <c r="H29" s="62"/>
      <c r="I29" s="62"/>
      <c r="J29" s="62"/>
      <c r="L29" s="0" t="n">
        <v>12</v>
      </c>
      <c r="M29" s="0" t="str">
        <f aca="false">IF(A29="","",IF(ISNUMBER(A29),IF(A29&lt;=31,DATE(YEAR(MSTART),MONTH(MSTART),A29),IF(A29&lt;=3112,DATE(YEAR(MSTART),MOD(A29,100),INT(A29/100)),A29)),IFERROR(DATEVALUE(A29),"")))</f>
        <v/>
      </c>
    </row>
    <row r="30" customFormat="false" ht="15" hidden="false" customHeight="false" outlineLevel="0" collapsed="false">
      <c r="A30" s="58"/>
      <c r="B30" s="23"/>
      <c r="C30" s="23"/>
      <c r="D30" s="23"/>
      <c r="E30" s="23"/>
      <c r="F30" s="62"/>
      <c r="G30" s="62"/>
      <c r="H30" s="62"/>
      <c r="I30" s="62"/>
      <c r="J30" s="62"/>
      <c r="L30" s="0" t="n">
        <v>13</v>
      </c>
      <c r="M30" s="0" t="str">
        <f aca="false">IF(A30="","",IF(ISNUMBER(A30),IF(A30&lt;=31,DATE(YEAR(MSTART),MONTH(MSTART),A30),IF(A30&lt;=3112,DATE(YEAR(MSTART),MOD(A30,100),INT(A30/100)),A30)),IFERROR(DATEVALUE(A30),"")))</f>
        <v/>
      </c>
    </row>
    <row r="31" customFormat="false" ht="15" hidden="false" customHeight="false" outlineLevel="0" collapsed="false">
      <c r="A31" s="58"/>
      <c r="B31" s="23"/>
      <c r="C31" s="23"/>
      <c r="D31" s="23"/>
      <c r="E31" s="23"/>
      <c r="F31" s="62"/>
      <c r="G31" s="62"/>
      <c r="H31" s="62"/>
      <c r="I31" s="62"/>
      <c r="J31" s="62"/>
      <c r="L31" s="0" t="n">
        <v>14</v>
      </c>
      <c r="M31" s="0" t="str">
        <f aca="false">IF(A31="","",IF(ISNUMBER(A31),IF(A31&lt;=31,DATE(YEAR(MSTART),MONTH(MSTART),A31),IF(A31&lt;=3112,DATE(YEAR(MSTART),MOD(A31,100),INT(A31/100)),A31)),IFERROR(DATEVALUE(A31),"")))</f>
        <v/>
      </c>
    </row>
    <row r="32" customFormat="false" ht="15" hidden="false" customHeight="false" outlineLevel="0" collapsed="false">
      <c r="A32" s="58"/>
      <c r="B32" s="23"/>
      <c r="C32" s="23"/>
      <c r="D32" s="23"/>
      <c r="E32" s="23"/>
      <c r="F32" s="62"/>
      <c r="G32" s="62"/>
      <c r="H32" s="62"/>
      <c r="I32" s="62"/>
      <c r="J32" s="62"/>
      <c r="L32" s="0" t="n">
        <v>15</v>
      </c>
      <c r="M32" s="0" t="str">
        <f aca="false">IF(A32="","",IF(ISNUMBER(A32),IF(A32&lt;=31,DATE(YEAR(MSTART),MONTH(MSTART),A32),IF(A32&lt;=3112,DATE(YEAR(MSTART),MOD(A32,100),INT(A32/100)),A32)),IFERROR(DATEVALUE(A32),"")))</f>
        <v/>
      </c>
    </row>
    <row r="33" customFormat="false" ht="15" hidden="false" customHeight="false" outlineLevel="0" collapsed="false">
      <c r="A33" s="58"/>
      <c r="B33" s="23"/>
      <c r="C33" s="23"/>
      <c r="D33" s="23"/>
      <c r="E33" s="23"/>
      <c r="F33" s="62"/>
      <c r="G33" s="62"/>
      <c r="H33" s="62"/>
      <c r="I33" s="62"/>
      <c r="J33" s="62"/>
      <c r="L33" s="0" t="n">
        <v>16</v>
      </c>
      <c r="M33" s="0" t="str">
        <f aca="false">IF(A33="","",IF(ISNUMBER(A33),IF(A33&lt;=31,DATE(YEAR(MSTART),MONTH(MSTART),A33),IF(A33&lt;=3112,DATE(YEAR(MSTART),MOD(A33,100),INT(A33/100)),A33)),IFERROR(DATEVALUE(A33),"")))</f>
        <v/>
      </c>
    </row>
    <row r="34" customFormat="false" ht="15" hidden="false" customHeight="false" outlineLevel="0" collapsed="false">
      <c r="A34" s="58"/>
      <c r="B34" s="23"/>
      <c r="C34" s="23"/>
      <c r="D34" s="23"/>
      <c r="E34" s="23"/>
      <c r="F34" s="62"/>
      <c r="G34" s="62"/>
      <c r="H34" s="62"/>
      <c r="I34" s="62"/>
      <c r="J34" s="62"/>
      <c r="L34" s="0" t="n">
        <v>17</v>
      </c>
      <c r="M34" s="0" t="str">
        <f aca="false">IF(A34="","",IF(ISNUMBER(A34),IF(A34&lt;=31,DATE(YEAR(MSTART),MONTH(MSTART),A34),IF(A34&lt;=3112,DATE(YEAR(MSTART),MOD(A34,100),INT(A34/100)),A34)),IFERROR(DATEVALUE(A34),"")))</f>
        <v/>
      </c>
    </row>
    <row r="35" customFormat="false" ht="15" hidden="false" customHeight="false" outlineLevel="0" collapsed="false">
      <c r="A35" s="58"/>
      <c r="B35" s="23"/>
      <c r="C35" s="23"/>
      <c r="D35" s="23"/>
      <c r="E35" s="23"/>
      <c r="F35" s="62"/>
      <c r="G35" s="62"/>
      <c r="H35" s="62"/>
      <c r="I35" s="62"/>
      <c r="J35" s="62"/>
      <c r="L35" s="0" t="n">
        <v>18</v>
      </c>
      <c r="M35" s="0" t="str">
        <f aca="false">IF(A35="","",IF(ISNUMBER(A35),IF(A35&lt;=31,DATE(YEAR(MSTART),MONTH(MSTART),A35),IF(A35&lt;=3112,DATE(YEAR(MSTART),MOD(A35,100),INT(A35/100)),A35)),IFERROR(DATEVALUE(A35),"")))</f>
        <v/>
      </c>
    </row>
    <row r="36" customFormat="false" ht="15" hidden="false" customHeight="false" outlineLevel="0" collapsed="false">
      <c r="A36" s="58"/>
      <c r="B36" s="23"/>
      <c r="C36" s="23"/>
      <c r="D36" s="23"/>
      <c r="E36" s="23"/>
      <c r="F36" s="62"/>
      <c r="G36" s="62"/>
      <c r="H36" s="62"/>
      <c r="I36" s="62"/>
      <c r="J36" s="62"/>
      <c r="L36" s="0" t="n">
        <v>19</v>
      </c>
      <c r="M36" s="0" t="str">
        <f aca="false">IF(A36="","",IF(ISNUMBER(A36),IF(A36&lt;=31,DATE(YEAR(MSTART),MONTH(MSTART),A36),IF(A36&lt;=3112,DATE(YEAR(MSTART),MOD(A36,100),INT(A36/100)),A36)),IFERROR(DATEVALUE(A36),"")))</f>
        <v/>
      </c>
    </row>
    <row r="37" customFormat="false" ht="15" hidden="false" customHeight="false" outlineLevel="0" collapsed="false">
      <c r="A37" s="58"/>
      <c r="B37" s="23"/>
      <c r="C37" s="23"/>
      <c r="D37" s="23"/>
      <c r="E37" s="23"/>
      <c r="F37" s="62"/>
      <c r="G37" s="62"/>
      <c r="H37" s="62"/>
      <c r="I37" s="62"/>
      <c r="J37" s="62"/>
      <c r="L37" s="0" t="n">
        <v>20</v>
      </c>
      <c r="M37" s="0" t="str">
        <f aca="false">IF(A37="","",IF(ISNUMBER(A37),IF(A37&lt;=31,DATE(YEAR(MSTART),MONTH(MSTART),A37),IF(A37&lt;=3112,DATE(YEAR(MSTART),MOD(A37,100),INT(A37/100)),A37)),IFERROR(DATEVALUE(A37),"")))</f>
        <v/>
      </c>
    </row>
    <row r="38" customFormat="false" ht="15" hidden="false" customHeight="false" outlineLevel="0" collapsed="false">
      <c r="A38" s="58"/>
      <c r="B38" s="23"/>
      <c r="C38" s="23"/>
      <c r="D38" s="23"/>
      <c r="E38" s="23"/>
      <c r="F38" s="62"/>
      <c r="G38" s="62"/>
      <c r="H38" s="62"/>
      <c r="I38" s="62"/>
      <c r="J38" s="62"/>
      <c r="L38" s="0" t="n">
        <v>21</v>
      </c>
      <c r="M38" s="0" t="str">
        <f aca="false">IF(A38="","",IF(ISNUMBER(A38),IF(A38&lt;=31,DATE(YEAR(MSTART),MONTH(MSTART),A38),IF(A38&lt;=3112,DATE(YEAR(MSTART),MOD(A38,100),INT(A38/100)),A38)),IFERROR(DATEVALUE(A38),"")))</f>
        <v/>
      </c>
    </row>
    <row r="39" customFormat="false" ht="15" hidden="false" customHeight="false" outlineLevel="0" collapsed="false">
      <c r="A39" s="58"/>
      <c r="B39" s="23"/>
      <c r="C39" s="23"/>
      <c r="D39" s="23"/>
      <c r="E39" s="23"/>
      <c r="F39" s="62"/>
      <c r="G39" s="62"/>
      <c r="H39" s="62"/>
      <c r="I39" s="62"/>
      <c r="J39" s="62"/>
      <c r="L39" s="0" t="n">
        <v>22</v>
      </c>
      <c r="M39" s="0" t="str">
        <f aca="false">IF(A39="","",IF(ISNUMBER(A39),IF(A39&lt;=31,DATE(YEAR(MSTART),MONTH(MSTART),A39),IF(A39&lt;=3112,DATE(YEAR(MSTART),MOD(A39,100),INT(A39/100)),A39)),IFERROR(DATEVALUE(A39),"")))</f>
        <v/>
      </c>
    </row>
    <row r="40" customFormat="false" ht="15" hidden="false" customHeight="false" outlineLevel="0" collapsed="false">
      <c r="A40" s="58"/>
      <c r="B40" s="23"/>
      <c r="C40" s="23"/>
      <c r="D40" s="23"/>
      <c r="E40" s="23"/>
      <c r="F40" s="62"/>
      <c r="G40" s="62"/>
      <c r="H40" s="62"/>
      <c r="I40" s="62"/>
      <c r="J40" s="62"/>
      <c r="L40" s="0" t="n">
        <v>23</v>
      </c>
      <c r="M40" s="0" t="str">
        <f aca="false">IF(A40="","",IF(ISNUMBER(A40),IF(A40&lt;=31,DATE(YEAR(MSTART),MONTH(MSTART),A40),IF(A40&lt;=3112,DATE(YEAR(MSTART),MOD(A40,100),INT(A40/100)),A40)),IFERROR(DATEVALUE(A40),"")))</f>
        <v/>
      </c>
    </row>
    <row r="41" customFormat="false" ht="15" hidden="false" customHeight="false" outlineLevel="0" collapsed="false">
      <c r="A41" s="58"/>
      <c r="B41" s="23"/>
      <c r="C41" s="23"/>
      <c r="D41" s="23"/>
      <c r="E41" s="23"/>
      <c r="F41" s="62"/>
      <c r="G41" s="62"/>
      <c r="H41" s="62"/>
      <c r="I41" s="62"/>
      <c r="J41" s="62"/>
      <c r="L41" s="0" t="n">
        <v>24</v>
      </c>
      <c r="M41" s="0" t="str">
        <f aca="false">IF(A41="","",IF(ISNUMBER(A41),IF(A41&lt;=31,DATE(YEAR(MSTART),MONTH(MSTART),A41),IF(A41&lt;=3112,DATE(YEAR(MSTART),MOD(A41,100),INT(A41/100)),A41)),IFERROR(DATEVALUE(A41),"")))</f>
        <v/>
      </c>
    </row>
    <row r="42" customFormat="false" ht="15" hidden="false" customHeight="false" outlineLevel="0" collapsed="false">
      <c r="A42" s="58"/>
      <c r="B42" s="23"/>
      <c r="C42" s="23"/>
      <c r="D42" s="23"/>
      <c r="E42" s="23"/>
      <c r="F42" s="62"/>
      <c r="G42" s="62"/>
      <c r="H42" s="62"/>
      <c r="I42" s="62"/>
      <c r="J42" s="62"/>
      <c r="L42" s="0" t="n">
        <v>25</v>
      </c>
      <c r="M42" s="0" t="str">
        <f aca="false">IF(A42="","",IF(ISNUMBER(A42),IF(A42&lt;=31,DATE(YEAR(MSTART),MONTH(MSTART),A42),IF(A42&lt;=3112,DATE(YEAR(MSTART),MOD(A42,100),INT(A42/100)),A42)),IFERROR(DATEVALUE(A42),"")))</f>
        <v/>
      </c>
    </row>
  </sheetData>
  <sheetProtection sheet="true" formatColumns="false" formatRows="false"/>
  <mergeCells count="29">
    <mergeCell ref="A1:J1"/>
    <mergeCell ref="A2:J2"/>
    <mergeCell ref="A3:J3"/>
    <mergeCell ref="F17:J17"/>
    <mergeCell ref="F18:J18"/>
    <mergeCell ref="F19:J19"/>
    <mergeCell ref="F20:J20"/>
    <mergeCell ref="F21:J21"/>
    <mergeCell ref="F22:J22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34:J34"/>
    <mergeCell ref="F35:J35"/>
    <mergeCell ref="F36:J36"/>
    <mergeCell ref="F37:J37"/>
    <mergeCell ref="F38:J38"/>
    <mergeCell ref="F39:J39"/>
    <mergeCell ref="F40:J40"/>
    <mergeCell ref="F41:J41"/>
    <mergeCell ref="F42:J42"/>
  </mergeCells>
  <dataValidations count="1">
    <dataValidation allowBlank="true" errorStyle="stop" operator="between" prompt="اختار من القائمة، أو اكتب رقم اليوم لحاله (مثل 5) — بينحسب من الشهر المختار" promptTitle="التاريخ" showDropDown="false" showErrorMessage="false" showInputMessage="true" sqref="A18:A42" type="list">
      <formula1>القوائم!$N$1:$N$31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32"/>
  </cols>
  <sheetData>
    <row r="1" customFormat="false" ht="31.5" hidden="false" customHeight="true" outlineLevel="0" collapsed="false">
      <c r="A1" s="67" t="s">
        <v>79</v>
      </c>
      <c r="B1" s="67"/>
      <c r="C1" s="67"/>
      <c r="D1" s="67"/>
      <c r="E1" s="67"/>
    </row>
    <row r="2" customFormat="false" ht="21.75" hidden="false" customHeight="true" outlineLevel="0" collapsed="false">
      <c r="A2" s="68" t="str">
        <f aca="false">"شهر "&amp;TEXT(التسوية!$C$3,"00")&amp;" / "&amp;التسوية!$E$3</f>
        <v>شهر 10 / 2026</v>
      </c>
      <c r="B2" s="68"/>
      <c r="C2" s="68"/>
      <c r="D2" s="68"/>
      <c r="E2" s="68"/>
    </row>
    <row r="3" customFormat="false" ht="15" hidden="false" customHeight="true" outlineLevel="0" collapsed="false">
      <c r="A3" s="36" t="s">
        <v>80</v>
      </c>
      <c r="B3" s="36"/>
      <c r="C3" s="36"/>
      <c r="D3" s="36"/>
      <c r="E3" s="36"/>
    </row>
    <row r="5" customFormat="false" ht="30" hidden="false" customHeight="true" outlineLevel="0" collapsed="false">
      <c r="A5" s="69" t="s">
        <v>32</v>
      </c>
      <c r="B5" s="69" t="s">
        <v>81</v>
      </c>
      <c r="C5" s="69" t="s">
        <v>82</v>
      </c>
      <c r="D5" s="69" t="s">
        <v>83</v>
      </c>
      <c r="E5" s="69" t="s">
        <v>38</v>
      </c>
    </row>
    <row r="6" customFormat="false" ht="15" hidden="false" customHeight="false" outlineLevel="0" collapsed="false">
      <c r="A6" s="58"/>
      <c r="B6" s="41"/>
      <c r="C6" s="59"/>
      <c r="D6" s="23"/>
      <c r="E6" s="59"/>
    </row>
    <row r="7" customFormat="false" ht="15" hidden="false" customHeight="false" outlineLevel="0" collapsed="false">
      <c r="A7" s="58"/>
      <c r="B7" s="41"/>
      <c r="C7" s="59"/>
      <c r="D7" s="23"/>
      <c r="E7" s="59"/>
    </row>
    <row r="8" customFormat="false" ht="15" hidden="false" customHeight="false" outlineLevel="0" collapsed="false">
      <c r="A8" s="58"/>
      <c r="B8" s="41"/>
      <c r="C8" s="59"/>
      <c r="D8" s="23"/>
      <c r="E8" s="59"/>
    </row>
    <row r="9" customFormat="false" ht="15" hidden="false" customHeight="false" outlineLevel="0" collapsed="false">
      <c r="A9" s="58"/>
      <c r="B9" s="41"/>
      <c r="C9" s="59"/>
      <c r="D9" s="23"/>
      <c r="E9" s="59"/>
    </row>
    <row r="10" customFormat="false" ht="15" hidden="false" customHeight="false" outlineLevel="0" collapsed="false">
      <c r="A10" s="58"/>
      <c r="B10" s="41"/>
      <c r="C10" s="59"/>
      <c r="D10" s="23"/>
      <c r="E10" s="59"/>
    </row>
    <row r="11" customFormat="false" ht="15" hidden="false" customHeight="false" outlineLevel="0" collapsed="false">
      <c r="A11" s="58"/>
      <c r="B11" s="41"/>
      <c r="C11" s="59"/>
      <c r="D11" s="23"/>
      <c r="E11" s="59"/>
    </row>
    <row r="12" customFormat="false" ht="15" hidden="false" customHeight="false" outlineLevel="0" collapsed="false">
      <c r="A12" s="58"/>
      <c r="B12" s="41"/>
      <c r="C12" s="59"/>
      <c r="D12" s="23"/>
      <c r="E12" s="59"/>
    </row>
    <row r="13" customFormat="false" ht="15" hidden="false" customHeight="false" outlineLevel="0" collapsed="false">
      <c r="A13" s="58"/>
      <c r="B13" s="41"/>
      <c r="C13" s="59"/>
      <c r="D13" s="23"/>
      <c r="E13" s="59"/>
    </row>
    <row r="14" customFormat="false" ht="15" hidden="false" customHeight="false" outlineLevel="0" collapsed="false">
      <c r="A14" s="58"/>
      <c r="B14" s="41"/>
      <c r="C14" s="59"/>
      <c r="D14" s="23"/>
      <c r="E14" s="59"/>
    </row>
    <row r="15" customFormat="false" ht="15" hidden="false" customHeight="false" outlineLevel="0" collapsed="false">
      <c r="A15" s="58"/>
      <c r="B15" s="41"/>
      <c r="C15" s="59"/>
      <c r="D15" s="23"/>
      <c r="E15" s="59"/>
    </row>
    <row r="16" customFormat="false" ht="15" hidden="false" customHeight="false" outlineLevel="0" collapsed="false">
      <c r="A16" s="58"/>
      <c r="B16" s="41"/>
      <c r="C16" s="59"/>
      <c r="D16" s="23"/>
      <c r="E16" s="59"/>
    </row>
    <row r="17" customFormat="false" ht="15" hidden="false" customHeight="false" outlineLevel="0" collapsed="false">
      <c r="A17" s="58"/>
      <c r="B17" s="41"/>
      <c r="C17" s="59"/>
      <c r="D17" s="23"/>
      <c r="E17" s="59"/>
    </row>
    <row r="18" customFormat="false" ht="15" hidden="false" customHeight="false" outlineLevel="0" collapsed="false">
      <c r="A18" s="58"/>
      <c r="B18" s="41"/>
      <c r="C18" s="59"/>
      <c r="D18" s="23"/>
      <c r="E18" s="59"/>
    </row>
    <row r="19" customFormat="false" ht="15" hidden="false" customHeight="false" outlineLevel="0" collapsed="false">
      <c r="A19" s="58"/>
      <c r="B19" s="41"/>
      <c r="C19" s="59"/>
      <c r="D19" s="23"/>
      <c r="E19" s="59"/>
    </row>
    <row r="20" customFormat="false" ht="15" hidden="false" customHeight="false" outlineLevel="0" collapsed="false">
      <c r="A20" s="58"/>
      <c r="B20" s="41"/>
      <c r="C20" s="59"/>
      <c r="D20" s="23"/>
      <c r="E20" s="59"/>
    </row>
    <row r="21" customFormat="false" ht="15" hidden="false" customHeight="false" outlineLevel="0" collapsed="false">
      <c r="A21" s="58"/>
      <c r="B21" s="41"/>
      <c r="C21" s="59"/>
      <c r="D21" s="23"/>
      <c r="E21" s="59"/>
    </row>
    <row r="22" customFormat="false" ht="15" hidden="false" customHeight="false" outlineLevel="0" collapsed="false">
      <c r="A22" s="58"/>
      <c r="B22" s="41"/>
      <c r="C22" s="59"/>
      <c r="D22" s="23"/>
      <c r="E22" s="59"/>
    </row>
    <row r="23" customFormat="false" ht="15" hidden="false" customHeight="false" outlineLevel="0" collapsed="false">
      <c r="A23" s="58"/>
      <c r="B23" s="41"/>
      <c r="C23" s="59"/>
      <c r="D23" s="23"/>
      <c r="E23" s="59"/>
    </row>
    <row r="24" customFormat="false" ht="15" hidden="false" customHeight="false" outlineLevel="0" collapsed="false">
      <c r="A24" s="58"/>
      <c r="B24" s="41"/>
      <c r="C24" s="59"/>
      <c r="D24" s="23"/>
      <c r="E24" s="59"/>
    </row>
    <row r="25" customFormat="false" ht="15" hidden="false" customHeight="false" outlineLevel="0" collapsed="false">
      <c r="A25" s="58"/>
      <c r="B25" s="41"/>
      <c r="C25" s="59"/>
      <c r="D25" s="23"/>
      <c r="E25" s="59"/>
    </row>
    <row r="26" customFormat="false" ht="15" hidden="false" customHeight="false" outlineLevel="0" collapsed="false">
      <c r="A26" s="58"/>
      <c r="B26" s="41"/>
      <c r="C26" s="59"/>
      <c r="D26" s="23"/>
      <c r="E26" s="59"/>
    </row>
    <row r="27" customFormat="false" ht="15" hidden="false" customHeight="false" outlineLevel="0" collapsed="false">
      <c r="A27" s="58"/>
      <c r="B27" s="41"/>
      <c r="C27" s="59"/>
      <c r="D27" s="23"/>
      <c r="E27" s="59"/>
    </row>
    <row r="28" customFormat="false" ht="15" hidden="false" customHeight="false" outlineLevel="0" collapsed="false">
      <c r="A28" s="58"/>
      <c r="B28" s="41"/>
      <c r="C28" s="59"/>
      <c r="D28" s="23"/>
      <c r="E28" s="59"/>
    </row>
    <row r="29" customFormat="false" ht="15" hidden="false" customHeight="false" outlineLevel="0" collapsed="false">
      <c r="A29" s="58"/>
      <c r="B29" s="41"/>
      <c r="C29" s="59"/>
      <c r="D29" s="23"/>
      <c r="E29" s="59"/>
    </row>
    <row r="30" customFormat="false" ht="15" hidden="false" customHeight="false" outlineLevel="0" collapsed="false">
      <c r="A30" s="58"/>
      <c r="B30" s="41"/>
      <c r="C30" s="59"/>
      <c r="D30" s="23"/>
      <c r="E30" s="59"/>
    </row>
    <row r="31" customFormat="false" ht="15" hidden="false" customHeight="false" outlineLevel="0" collapsed="false">
      <c r="A31" s="58"/>
      <c r="B31" s="41"/>
      <c r="C31" s="59"/>
      <c r="D31" s="23"/>
      <c r="E31" s="59"/>
    </row>
    <row r="32" customFormat="false" ht="15" hidden="false" customHeight="false" outlineLevel="0" collapsed="false">
      <c r="A32" s="58"/>
      <c r="B32" s="41"/>
      <c r="C32" s="59"/>
      <c r="D32" s="23"/>
      <c r="E32" s="59"/>
    </row>
    <row r="33" customFormat="false" ht="15" hidden="false" customHeight="false" outlineLevel="0" collapsed="false">
      <c r="A33" s="58"/>
      <c r="B33" s="41"/>
      <c r="C33" s="59"/>
      <c r="D33" s="23"/>
      <c r="E33" s="59"/>
    </row>
    <row r="34" customFormat="false" ht="15" hidden="false" customHeight="false" outlineLevel="0" collapsed="false">
      <c r="A34" s="58"/>
      <c r="B34" s="41"/>
      <c r="C34" s="59"/>
      <c r="D34" s="23"/>
      <c r="E34" s="59"/>
    </row>
    <row r="35" customFormat="false" ht="15" hidden="false" customHeight="false" outlineLevel="0" collapsed="false">
      <c r="A35" s="58"/>
      <c r="B35" s="41"/>
      <c r="C35" s="59"/>
      <c r="D35" s="23"/>
      <c r="E35" s="59"/>
    </row>
    <row r="36" customFormat="false" ht="15" hidden="false" customHeight="false" outlineLevel="0" collapsed="false">
      <c r="A36" s="58"/>
      <c r="B36" s="41"/>
      <c r="C36" s="59"/>
      <c r="D36" s="23"/>
      <c r="E36" s="59"/>
    </row>
    <row r="37" customFormat="false" ht="15" hidden="false" customHeight="false" outlineLevel="0" collapsed="false">
      <c r="A37" s="58"/>
      <c r="B37" s="41"/>
      <c r="C37" s="59"/>
      <c r="D37" s="23"/>
      <c r="E37" s="59"/>
    </row>
    <row r="38" customFormat="false" ht="15" hidden="false" customHeight="false" outlineLevel="0" collapsed="false">
      <c r="A38" s="58"/>
      <c r="B38" s="41"/>
      <c r="C38" s="59"/>
      <c r="D38" s="23"/>
      <c r="E38" s="59"/>
    </row>
    <row r="39" customFormat="false" ht="15" hidden="false" customHeight="false" outlineLevel="0" collapsed="false">
      <c r="A39" s="58"/>
      <c r="B39" s="41"/>
      <c r="C39" s="59"/>
      <c r="D39" s="23"/>
      <c r="E39" s="59"/>
    </row>
    <row r="40" customFormat="false" ht="15" hidden="false" customHeight="false" outlineLevel="0" collapsed="false">
      <c r="A40" s="58"/>
      <c r="B40" s="41"/>
      <c r="C40" s="59"/>
      <c r="D40" s="23"/>
      <c r="E40" s="59"/>
    </row>
    <row r="41" customFormat="false" ht="15" hidden="false" customHeight="false" outlineLevel="0" collapsed="false">
      <c r="A41" s="58"/>
      <c r="B41" s="41"/>
      <c r="C41" s="59"/>
      <c r="D41" s="23"/>
      <c r="E41" s="59"/>
    </row>
    <row r="42" customFormat="false" ht="15" hidden="false" customHeight="false" outlineLevel="0" collapsed="false">
      <c r="A42" s="58"/>
      <c r="B42" s="41"/>
      <c r="C42" s="59"/>
      <c r="D42" s="23"/>
      <c r="E42" s="59"/>
    </row>
    <row r="43" customFormat="false" ht="15" hidden="false" customHeight="false" outlineLevel="0" collapsed="false">
      <c r="A43" s="58"/>
      <c r="B43" s="41"/>
      <c r="C43" s="59"/>
      <c r="D43" s="23"/>
      <c r="E43" s="59"/>
    </row>
    <row r="44" customFormat="false" ht="15" hidden="false" customHeight="false" outlineLevel="0" collapsed="false">
      <c r="A44" s="58"/>
      <c r="B44" s="41"/>
      <c r="C44" s="59"/>
      <c r="D44" s="23"/>
      <c r="E44" s="59"/>
    </row>
    <row r="45" customFormat="false" ht="15" hidden="false" customHeight="false" outlineLevel="0" collapsed="false">
      <c r="A45" s="58"/>
      <c r="B45" s="41"/>
      <c r="C45" s="59"/>
      <c r="D45" s="23"/>
      <c r="E45" s="59"/>
    </row>
    <row r="46" customFormat="false" ht="15" hidden="false" customHeight="false" outlineLevel="0" collapsed="false">
      <c r="A46" s="58"/>
      <c r="B46" s="41"/>
      <c r="C46" s="59"/>
      <c r="D46" s="23"/>
      <c r="E46" s="59"/>
    </row>
    <row r="47" customFormat="false" ht="15" hidden="false" customHeight="false" outlineLevel="0" collapsed="false">
      <c r="A47" s="58"/>
      <c r="B47" s="41"/>
      <c r="C47" s="59"/>
      <c r="D47" s="23"/>
      <c r="E47" s="59"/>
    </row>
    <row r="48" customFormat="false" ht="15" hidden="false" customHeight="false" outlineLevel="0" collapsed="false">
      <c r="A48" s="58"/>
      <c r="B48" s="41"/>
      <c r="C48" s="59"/>
      <c r="D48" s="23"/>
      <c r="E48" s="59"/>
    </row>
    <row r="49" customFormat="false" ht="15" hidden="false" customHeight="false" outlineLevel="0" collapsed="false">
      <c r="A49" s="58"/>
      <c r="B49" s="41"/>
      <c r="C49" s="59"/>
      <c r="D49" s="23"/>
      <c r="E49" s="59"/>
    </row>
    <row r="50" customFormat="false" ht="15" hidden="false" customHeight="false" outlineLevel="0" collapsed="false">
      <c r="A50" s="58"/>
      <c r="B50" s="41"/>
      <c r="C50" s="59"/>
      <c r="D50" s="23"/>
      <c r="E50" s="59"/>
    </row>
    <row r="51" customFormat="false" ht="15" hidden="false" customHeight="false" outlineLevel="0" collapsed="false">
      <c r="A51" s="58"/>
      <c r="B51" s="41"/>
      <c r="C51" s="59"/>
      <c r="D51" s="23"/>
      <c r="E51" s="59"/>
    </row>
    <row r="52" customFormat="false" ht="15" hidden="false" customHeight="false" outlineLevel="0" collapsed="false">
      <c r="A52" s="58"/>
      <c r="B52" s="41"/>
      <c r="C52" s="59"/>
      <c r="D52" s="23"/>
      <c r="E52" s="59"/>
    </row>
    <row r="53" customFormat="false" ht="15" hidden="false" customHeight="false" outlineLevel="0" collapsed="false">
      <c r="A53" s="58"/>
      <c r="B53" s="41"/>
      <c r="C53" s="59"/>
      <c r="D53" s="23"/>
      <c r="E53" s="59"/>
    </row>
    <row r="54" customFormat="false" ht="15" hidden="false" customHeight="false" outlineLevel="0" collapsed="false">
      <c r="A54" s="58"/>
      <c r="B54" s="41"/>
      <c r="C54" s="59"/>
      <c r="D54" s="23"/>
      <c r="E54" s="59"/>
    </row>
    <row r="55" customFormat="false" ht="15" hidden="false" customHeight="false" outlineLevel="0" collapsed="false">
      <c r="A55" s="58"/>
      <c r="B55" s="41"/>
      <c r="C55" s="59"/>
      <c r="D55" s="23"/>
      <c r="E55" s="59"/>
    </row>
    <row r="56" customFormat="false" ht="15" hidden="false" customHeight="false" outlineLevel="0" collapsed="false">
      <c r="A56" s="58"/>
      <c r="B56" s="41"/>
      <c r="C56" s="59"/>
      <c r="D56" s="23"/>
      <c r="E56" s="59"/>
    </row>
    <row r="57" customFormat="false" ht="15" hidden="false" customHeight="false" outlineLevel="0" collapsed="false">
      <c r="A57" s="58"/>
      <c r="B57" s="41"/>
      <c r="C57" s="59"/>
      <c r="D57" s="23"/>
      <c r="E57" s="59"/>
    </row>
    <row r="58" customFormat="false" ht="15" hidden="false" customHeight="false" outlineLevel="0" collapsed="false">
      <c r="A58" s="58"/>
      <c r="B58" s="41"/>
      <c r="C58" s="59"/>
      <c r="D58" s="23"/>
      <c r="E58" s="59"/>
    </row>
    <row r="59" customFormat="false" ht="15" hidden="false" customHeight="false" outlineLevel="0" collapsed="false">
      <c r="A59" s="58"/>
      <c r="B59" s="41"/>
      <c r="C59" s="59"/>
      <c r="D59" s="23"/>
      <c r="E59" s="59"/>
    </row>
    <row r="60" customFormat="false" ht="15" hidden="false" customHeight="false" outlineLevel="0" collapsed="false">
      <c r="A60" s="58"/>
      <c r="B60" s="41"/>
      <c r="C60" s="59"/>
      <c r="D60" s="23"/>
      <c r="E60" s="59"/>
    </row>
    <row r="61" customFormat="false" ht="15" hidden="false" customHeight="false" outlineLevel="0" collapsed="false">
      <c r="A61" s="58"/>
      <c r="B61" s="41"/>
      <c r="C61" s="59"/>
      <c r="D61" s="23"/>
      <c r="E61" s="59"/>
    </row>
    <row r="62" customFormat="false" ht="15" hidden="false" customHeight="false" outlineLevel="0" collapsed="false">
      <c r="A62" s="58"/>
      <c r="B62" s="41"/>
      <c r="C62" s="59"/>
      <c r="D62" s="23"/>
      <c r="E62" s="59"/>
    </row>
    <row r="63" customFormat="false" ht="15" hidden="false" customHeight="false" outlineLevel="0" collapsed="false">
      <c r="A63" s="58"/>
      <c r="B63" s="41"/>
      <c r="C63" s="59"/>
      <c r="D63" s="23"/>
      <c r="E63" s="59"/>
    </row>
    <row r="64" customFormat="false" ht="15" hidden="false" customHeight="false" outlineLevel="0" collapsed="false">
      <c r="A64" s="58"/>
      <c r="B64" s="41"/>
      <c r="C64" s="59"/>
      <c r="D64" s="23"/>
      <c r="E64" s="59"/>
    </row>
    <row r="65" customFormat="false" ht="15" hidden="false" customHeight="false" outlineLevel="0" collapsed="false">
      <c r="A65" s="58"/>
      <c r="B65" s="41"/>
      <c r="C65" s="59"/>
      <c r="D65" s="23"/>
      <c r="E65" s="59"/>
    </row>
    <row r="66" customFormat="false" ht="15" hidden="false" customHeight="false" outlineLevel="0" collapsed="false">
      <c r="C66" s="25" t="s">
        <v>27</v>
      </c>
      <c r="D66" s="70" t="n">
        <f aca="false">SUM(D6:D65)</f>
        <v>0</v>
      </c>
    </row>
    <row r="68" customFormat="false" ht="15" hidden="false" customHeight="true" outlineLevel="0" collapsed="false">
      <c r="A68" s="36" t="s">
        <v>84</v>
      </c>
      <c r="B68" s="36"/>
      <c r="C68" s="36"/>
      <c r="D68" s="36"/>
      <c r="E68" s="36"/>
    </row>
  </sheetData>
  <sheetProtection sheet="true" formatColumns="false" formatRows="false"/>
  <mergeCells count="4">
    <mergeCell ref="A1:E1"/>
    <mergeCell ref="A2:E2"/>
    <mergeCell ref="A3:E3"/>
    <mergeCell ref="A68:E68"/>
  </mergeCells>
  <dataValidations count="1">
    <dataValidation allowBlank="true" errorStyle="stop" operator="between" prompt="اختار من القائمة، أو اكتب رقم اليوم لحاله (مثل 5) — بينحسب من الشهر المختار" promptTitle="التاريخ" showDropDown="false" showErrorMessage="false" showInputMessage="true" sqref="A6:A65" type="list">
      <formula1>القوائم!$N$1:$N$31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58"/>
  </cols>
  <sheetData>
    <row r="1" customFormat="false" ht="31.5" hidden="false" customHeight="true" outlineLevel="0" collapsed="false">
      <c r="A1" s="63" t="s">
        <v>85</v>
      </c>
      <c r="B1" s="63"/>
      <c r="C1" s="63"/>
      <c r="D1" s="63"/>
    </row>
    <row r="3" customFormat="false" ht="25.5" hidden="false" customHeight="true" outlineLevel="0" collapsed="false">
      <c r="A3" s="71" t="s">
        <v>86</v>
      </c>
      <c r="B3" s="71" t="s">
        <v>87</v>
      </c>
      <c r="C3" s="71" t="s">
        <v>88</v>
      </c>
      <c r="D3" s="71" t="s">
        <v>89</v>
      </c>
    </row>
    <row r="4" customFormat="false" ht="30" hidden="false" customHeight="true" outlineLevel="0" collapsed="false">
      <c r="A4" s="72" t="n">
        <v>1</v>
      </c>
      <c r="B4" s="73" t="s">
        <v>90</v>
      </c>
      <c r="C4" s="74" t="n">
        <v>1.25</v>
      </c>
      <c r="D4" s="75" t="s">
        <v>91</v>
      </c>
    </row>
    <row r="5" customFormat="false" ht="30" hidden="false" customHeight="true" outlineLevel="0" collapsed="false">
      <c r="A5" s="72" t="n">
        <v>2</v>
      </c>
      <c r="B5" s="73" t="s">
        <v>92</v>
      </c>
      <c r="C5" s="74" t="n">
        <v>1.5</v>
      </c>
      <c r="D5" s="75" t="s">
        <v>93</v>
      </c>
    </row>
    <row r="6" customFormat="false" ht="30" hidden="false" customHeight="true" outlineLevel="0" collapsed="false">
      <c r="A6" s="72" t="n">
        <v>3</v>
      </c>
      <c r="B6" s="73" t="s">
        <v>94</v>
      </c>
      <c r="C6" s="76" t="n">
        <v>0.75</v>
      </c>
      <c r="D6" s="75" t="s">
        <v>95</v>
      </c>
    </row>
    <row r="7" customFormat="false" ht="30" hidden="false" customHeight="true" outlineLevel="0" collapsed="false">
      <c r="A7" s="72" t="n">
        <v>4</v>
      </c>
      <c r="B7" s="73" t="s">
        <v>96</v>
      </c>
      <c r="C7" s="76" t="n">
        <v>0.583333333333333</v>
      </c>
      <c r="D7" s="75" t="s">
        <v>97</v>
      </c>
    </row>
    <row r="8" customFormat="false" ht="30" hidden="false" customHeight="true" outlineLevel="0" collapsed="false">
      <c r="A8" s="72" t="n">
        <v>5</v>
      </c>
      <c r="B8" s="73" t="s">
        <v>98</v>
      </c>
      <c r="C8" s="76" t="n">
        <v>0.958333333333333</v>
      </c>
      <c r="D8" s="75"/>
    </row>
    <row r="9" customFormat="false" ht="30" hidden="false" customHeight="true" outlineLevel="0" collapsed="false">
      <c r="A9" s="72" t="n">
        <v>6</v>
      </c>
      <c r="B9" s="73" t="s">
        <v>99</v>
      </c>
      <c r="C9" s="74" t="n">
        <v>1</v>
      </c>
      <c r="D9" s="75" t="s">
        <v>100</v>
      </c>
    </row>
    <row r="10" customFormat="false" ht="30" hidden="false" customHeight="true" outlineLevel="0" collapsed="false">
      <c r="A10" s="72" t="n">
        <v>7</v>
      </c>
      <c r="B10" s="73" t="s">
        <v>101</v>
      </c>
      <c r="C10" s="74" t="n">
        <v>2.5</v>
      </c>
      <c r="D10" s="75" t="s">
        <v>102</v>
      </c>
    </row>
    <row r="11" customFormat="false" ht="30" hidden="false" customHeight="true" outlineLevel="0" collapsed="false">
      <c r="A11" s="72" t="n">
        <v>8</v>
      </c>
      <c r="B11" s="73" t="s">
        <v>103</v>
      </c>
      <c r="C11" s="77" t="s">
        <v>104</v>
      </c>
      <c r="D11" s="75" t="s">
        <v>105</v>
      </c>
    </row>
    <row r="12" customFormat="false" ht="30" hidden="false" customHeight="true" outlineLevel="0" collapsed="false">
      <c r="A12" s="72" t="n">
        <v>9</v>
      </c>
      <c r="B12" s="73" t="s">
        <v>106</v>
      </c>
      <c r="C12" s="78" t="n">
        <v>0.5</v>
      </c>
      <c r="D12" s="75" t="s">
        <v>107</v>
      </c>
    </row>
    <row r="13" customFormat="false" ht="30" hidden="false" customHeight="true" outlineLevel="0" collapsed="false">
      <c r="A13" s="72" t="n">
        <v>10</v>
      </c>
      <c r="B13" s="73" t="s">
        <v>108</v>
      </c>
      <c r="C13" s="74" t="n">
        <v>125</v>
      </c>
      <c r="D13" s="75"/>
    </row>
    <row r="14" customFormat="false" ht="30" hidden="false" customHeight="true" outlineLevel="0" collapsed="false">
      <c r="A14" s="72" t="n">
        <v>11</v>
      </c>
      <c r="B14" s="73" t="s">
        <v>109</v>
      </c>
      <c r="C14" s="79" t="n">
        <v>46291</v>
      </c>
      <c r="D14" s="75" t="s">
        <v>110</v>
      </c>
    </row>
  </sheetData>
  <sheetProtection sheet="true" formatColumns="false" formatRows="false"/>
  <mergeCells count="1">
    <mergeCell ref="A1:D1"/>
  </mergeCells>
  <dataValidations count="1">
    <dataValidation allowBlank="true" errorStyle="stop" operator="between" showDropDown="false" showErrorMessage="false" showInputMessage="false" sqref="C11" type="list">
      <formula1>"لأقرب ربع,للأعلى"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8"/>
  </cols>
  <sheetData>
    <row r="1" customFormat="false" ht="19.7" hidden="false" customHeight="false" outlineLevel="0" collapsed="false">
      <c r="B1" s="80" t="s">
        <v>111</v>
      </c>
    </row>
    <row r="3" customFormat="false" ht="15" hidden="false" customHeight="false" outlineLevel="0" collapsed="false">
      <c r="B3" s="81" t="s">
        <v>112</v>
      </c>
    </row>
    <row r="4" customFormat="false" ht="33.75" hidden="false" customHeight="true" outlineLevel="0" collapsed="false">
      <c r="A4" s="82" t="s">
        <v>113</v>
      </c>
      <c r="B4" s="83" t="s">
        <v>114</v>
      </c>
    </row>
    <row r="5" customFormat="false" ht="33.75" hidden="false" customHeight="true" outlineLevel="0" collapsed="false">
      <c r="A5" s="82" t="s">
        <v>115</v>
      </c>
      <c r="B5" s="83" t="s">
        <v>116</v>
      </c>
    </row>
    <row r="6" customFormat="false" ht="15" hidden="false" customHeight="false" outlineLevel="0" collapsed="false">
      <c r="B6" s="81" t="s">
        <v>117</v>
      </c>
    </row>
    <row r="7" customFormat="false" ht="33.75" hidden="false" customHeight="true" outlineLevel="0" collapsed="false">
      <c r="A7" s="82" t="s">
        <v>118</v>
      </c>
      <c r="B7" s="83" t="s">
        <v>119</v>
      </c>
    </row>
    <row r="8" customFormat="false" ht="33.75" hidden="false" customHeight="true" outlineLevel="0" collapsed="false">
      <c r="A8" s="82" t="s">
        <v>120</v>
      </c>
      <c r="B8" s="83" t="s">
        <v>121</v>
      </c>
    </row>
    <row r="9" customFormat="false" ht="15" hidden="false" customHeight="false" outlineLevel="0" collapsed="false">
      <c r="B9" s="81" t="s">
        <v>122</v>
      </c>
    </row>
    <row r="10" customFormat="false" ht="33.75" hidden="false" customHeight="true" outlineLevel="0" collapsed="false">
      <c r="A10" s="82" t="s">
        <v>123</v>
      </c>
      <c r="B10" s="83" t="s">
        <v>124</v>
      </c>
    </row>
    <row r="11" customFormat="false" ht="33.75" hidden="false" customHeight="true" outlineLevel="0" collapsed="false">
      <c r="A11" s="82" t="s">
        <v>125</v>
      </c>
      <c r="B11" s="83" t="s">
        <v>126</v>
      </c>
    </row>
    <row r="12" customFormat="false" ht="33.75" hidden="false" customHeight="true" outlineLevel="0" collapsed="false">
      <c r="A12" s="82" t="s">
        <v>127</v>
      </c>
      <c r="B12" s="83" t="s">
        <v>128</v>
      </c>
    </row>
    <row r="13" customFormat="false" ht="15" hidden="false" customHeight="false" outlineLevel="0" collapsed="false">
      <c r="B13" s="81" t="s">
        <v>129</v>
      </c>
    </row>
    <row r="14" customFormat="false" ht="33.75" hidden="false" customHeight="true" outlineLevel="0" collapsed="false">
      <c r="A14" s="82" t="s">
        <v>130</v>
      </c>
      <c r="B14" s="83" t="s">
        <v>131</v>
      </c>
    </row>
    <row r="15" customFormat="false" ht="33.75" hidden="false" customHeight="true" outlineLevel="0" collapsed="false">
      <c r="A15" s="82" t="s">
        <v>132</v>
      </c>
      <c r="B15" s="83" t="s">
        <v>133</v>
      </c>
    </row>
    <row r="16" customFormat="false" ht="15" hidden="false" customHeight="false" outlineLevel="0" collapsed="false">
      <c r="B16" s="81" t="s">
        <v>134</v>
      </c>
    </row>
    <row r="17" customFormat="false" ht="33.75" hidden="false" customHeight="true" outlineLevel="0" collapsed="false">
      <c r="A17" s="82" t="s">
        <v>135</v>
      </c>
      <c r="B17" s="83" t="s">
        <v>136</v>
      </c>
    </row>
    <row r="18" customFormat="false" ht="15" hidden="false" customHeight="false" outlineLevel="0" collapsed="false">
      <c r="B18" s="81" t="s">
        <v>32</v>
      </c>
    </row>
    <row r="19" customFormat="false" ht="33.75" hidden="false" customHeight="true" outlineLevel="0" collapsed="false">
      <c r="A19" s="82" t="s">
        <v>137</v>
      </c>
      <c r="B19" s="83" t="s">
        <v>138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139</v>
      </c>
      <c r="B1" s="42" t="n">
        <v>0.25</v>
      </c>
      <c r="D1" s="0" t="n">
        <v>1</v>
      </c>
      <c r="E1" s="0" t="n">
        <v>2026</v>
      </c>
      <c r="G1" s="84" t="n">
        <f aca="false">DATE(التسوية!$E$3,التسوية!$C$3,1)</f>
        <v>46296</v>
      </c>
      <c r="N1" s="84" t="n">
        <f aca="false">IF(1&lt;=DAY(MEND),MSTART+0,"")</f>
        <v>46296</v>
      </c>
    </row>
    <row r="2" customFormat="false" ht="15" hidden="false" customHeight="false" outlineLevel="0" collapsed="false">
      <c r="A2" s="0" t="s">
        <v>140</v>
      </c>
      <c r="B2" s="42" t="n">
        <v>0.260416666666667</v>
      </c>
      <c r="D2" s="0" t="n">
        <v>2</v>
      </c>
      <c r="E2" s="0" t="n">
        <v>2027</v>
      </c>
      <c r="G2" s="84" t="n">
        <f aca="false">EOMONTH(G1,0)</f>
        <v>46326</v>
      </c>
      <c r="N2" s="84" t="n">
        <f aca="false">IF(2&lt;=DAY(MEND),MSTART+1,"")</f>
        <v>46297</v>
      </c>
    </row>
    <row r="3" customFormat="false" ht="15" hidden="false" customHeight="false" outlineLevel="0" collapsed="false">
      <c r="A3" s="0" t="s">
        <v>141</v>
      </c>
      <c r="B3" s="42" t="n">
        <v>0.270833333333333</v>
      </c>
      <c r="D3" s="0" t="n">
        <v>3</v>
      </c>
      <c r="E3" s="0" t="n">
        <v>2028</v>
      </c>
      <c r="G3" s="84" t="n">
        <f aca="false">G1-MOD(WEEKDAY(G1,1),7)</f>
        <v>46291</v>
      </c>
      <c r="N3" s="84" t="n">
        <f aca="false">IF(3&lt;=DAY(MEND),MSTART+2,"")</f>
        <v>46298</v>
      </c>
    </row>
    <row r="4" customFormat="false" ht="15" hidden="false" customHeight="false" outlineLevel="0" collapsed="false">
      <c r="A4" s="0" t="s">
        <v>142</v>
      </c>
      <c r="B4" s="42" t="n">
        <v>0.28125</v>
      </c>
      <c r="D4" s="0" t="n">
        <v>4</v>
      </c>
      <c r="E4" s="0" t="n">
        <v>2029</v>
      </c>
      <c r="G4" s="43" t="n">
        <f aca="false">INT((G2-G3)/7)+1</f>
        <v>6</v>
      </c>
      <c r="N4" s="84" t="n">
        <f aca="false">IF(4&lt;=DAY(MEND),MSTART+3,"")</f>
        <v>46299</v>
      </c>
    </row>
    <row r="5" customFormat="false" ht="15" hidden="false" customHeight="false" outlineLevel="0" collapsed="false">
      <c r="A5" s="0" t="s">
        <v>143</v>
      </c>
      <c r="B5" s="42" t="n">
        <v>0.291666666666667</v>
      </c>
      <c r="D5" s="0" t="n">
        <v>5</v>
      </c>
      <c r="E5" s="0" t="n">
        <v>2030</v>
      </c>
      <c r="N5" s="84" t="n">
        <f aca="false">IF(5&lt;=DAY(MEND),MSTART+4,"")</f>
        <v>46300</v>
      </c>
    </row>
    <row r="6" customFormat="false" ht="15" hidden="false" customHeight="false" outlineLevel="0" collapsed="false">
      <c r="A6" s="0" t="s">
        <v>144</v>
      </c>
      <c r="B6" s="42" t="n">
        <v>0.302083333333333</v>
      </c>
      <c r="D6" s="0" t="n">
        <v>6</v>
      </c>
      <c r="E6" s="0" t="n">
        <v>2031</v>
      </c>
      <c r="N6" s="84" t="n">
        <f aca="false">IF(6&lt;=DAY(MEND),MSTART+5,"")</f>
        <v>46301</v>
      </c>
    </row>
    <row r="7" customFormat="false" ht="15" hidden="false" customHeight="false" outlineLevel="0" collapsed="false">
      <c r="A7" s="0" t="s">
        <v>145</v>
      </c>
      <c r="B7" s="42" t="n">
        <v>0.3125</v>
      </c>
      <c r="D7" s="0" t="n">
        <v>7</v>
      </c>
      <c r="E7" s="0" t="n">
        <v>2032</v>
      </c>
      <c r="N7" s="84" t="n">
        <f aca="false">IF(7&lt;=DAY(MEND),MSTART+6,"")</f>
        <v>46302</v>
      </c>
    </row>
    <row r="8" customFormat="false" ht="15" hidden="false" customHeight="false" outlineLevel="0" collapsed="false">
      <c r="A8" s="0" t="s">
        <v>146</v>
      </c>
      <c r="B8" s="42" t="n">
        <v>0.322916666666667</v>
      </c>
      <c r="D8" s="0" t="n">
        <v>8</v>
      </c>
      <c r="E8" s="0" t="n">
        <v>2033</v>
      </c>
      <c r="N8" s="84" t="n">
        <f aca="false">IF(8&lt;=DAY(MEND),MSTART+7,"")</f>
        <v>46303</v>
      </c>
    </row>
    <row r="9" customFormat="false" ht="15" hidden="false" customHeight="false" outlineLevel="0" collapsed="false">
      <c r="A9" s="0" t="s">
        <v>147</v>
      </c>
      <c r="B9" s="42" t="n">
        <v>0.333333333333333</v>
      </c>
      <c r="D9" s="0" t="n">
        <v>9</v>
      </c>
      <c r="E9" s="0" t="n">
        <v>2034</v>
      </c>
      <c r="N9" s="84" t="n">
        <f aca="false">IF(9&lt;=DAY(MEND),MSTART+8,"")</f>
        <v>46304</v>
      </c>
    </row>
    <row r="10" customFormat="false" ht="15" hidden="false" customHeight="false" outlineLevel="0" collapsed="false">
      <c r="A10" s="0" t="s">
        <v>148</v>
      </c>
      <c r="B10" s="42" t="n">
        <v>0.34375</v>
      </c>
      <c r="D10" s="0" t="n">
        <v>10</v>
      </c>
      <c r="E10" s="0" t="n">
        <v>2035</v>
      </c>
      <c r="N10" s="84" t="n">
        <f aca="false">IF(10&lt;=DAY(MEND),MSTART+9,"")</f>
        <v>46305</v>
      </c>
    </row>
    <row r="11" customFormat="false" ht="15" hidden="false" customHeight="false" outlineLevel="0" collapsed="false">
      <c r="A11" s="0" t="s">
        <v>149</v>
      </c>
      <c r="B11" s="42" t="n">
        <v>0.354166666666667</v>
      </c>
      <c r="D11" s="0" t="n">
        <v>11</v>
      </c>
      <c r="H11" s="84" t="n">
        <f aca="false">IF(1&lt;=NW,MAX(WFIRST+0,MSTART),"")</f>
        <v>46296</v>
      </c>
      <c r="I11" s="84" t="n">
        <f aca="false">IF(1&lt;=NW,MIN(WFIRST+0+6,MEND),"")</f>
        <v>46297</v>
      </c>
      <c r="J11" s="0" t="str">
        <f aca="false">IF(1&lt;=NW,"الأسبوع الأول","")</f>
        <v>الأسبوع الأول</v>
      </c>
      <c r="K11" s="43" t="s">
        <v>5</v>
      </c>
      <c r="L11" s="0" t="str">
        <f aca="false">IF(1&lt;=NW,IF(WFIRST+0&lt;MSTART,"بدأ بالشهر الماضي — أيامه قبل "&amp;TEXT(DAY(MSTART),"00")&amp;"/"&amp;TEXT(MONTH(MSTART),"00")&amp;"/"&amp;YEAR(MSTART)&amp;" بملف الشهر الماضي",IF(WFIRST+0+6&gt;MEND,"بيكمل بالشهر الجاي — أيامه بعد "&amp;TEXT(DAY(MEND),"00")&amp;"/"&amp;TEXT(MONTH(MEND),"00")&amp;"/"&amp;YEAR(MEND)&amp;" بملف الشهر الجاي","أسبوع كامل")),"")</f>
        <v>بدأ بالشهر الماضي — أيامه قبل 01/10/2026 بملف الشهر الماضي</v>
      </c>
      <c r="N11" s="84" t="n">
        <f aca="false">IF(11&lt;=DAY(MEND),MSTART+10,"")</f>
        <v>46306</v>
      </c>
    </row>
    <row r="12" customFormat="false" ht="15" hidden="false" customHeight="false" outlineLevel="0" collapsed="false">
      <c r="A12" s="0" t="s">
        <v>150</v>
      </c>
      <c r="B12" s="42" t="n">
        <v>0.364583333333333</v>
      </c>
      <c r="D12" s="0" t="n">
        <v>12</v>
      </c>
      <c r="H12" s="84" t="n">
        <f aca="false">IF(2&lt;=NW,MAX(WFIRST+7,MSTART),"")</f>
        <v>46298</v>
      </c>
      <c r="I12" s="84" t="n">
        <f aca="false">IF(2&lt;=NW,MIN(WFIRST+7+6,MEND),"")</f>
        <v>46304</v>
      </c>
      <c r="J12" s="0" t="str">
        <f aca="false">IF(2&lt;=NW,"الأسبوع الثاني","")</f>
        <v>الأسبوع الثاني</v>
      </c>
      <c r="K12" s="43" t="s">
        <v>151</v>
      </c>
      <c r="L12" s="0" t="str">
        <f aca="false">IF(2&lt;=NW,IF(WFIRST+7&lt;MSTART,"بدأ بالشهر الماضي — أيامه قبل "&amp;TEXT(DAY(MSTART),"00")&amp;"/"&amp;TEXT(MONTH(MSTART),"00")&amp;"/"&amp;YEAR(MSTART)&amp;" بملف الشهر الماضي",IF(WFIRST+7+6&gt;MEND,"بيكمل بالشهر الجاي — أيامه بعد "&amp;TEXT(DAY(MEND),"00")&amp;"/"&amp;TEXT(MONTH(MEND),"00")&amp;"/"&amp;YEAR(MEND)&amp;" بملف الشهر الجاي","أسبوع كامل")),"")</f>
        <v>أسبوع كامل</v>
      </c>
      <c r="N12" s="84" t="n">
        <f aca="false">IF(12&lt;=DAY(MEND),MSTART+11,"")</f>
        <v>46307</v>
      </c>
    </row>
    <row r="13" customFormat="false" ht="15" hidden="false" customHeight="false" outlineLevel="0" collapsed="false">
      <c r="A13" s="0" t="s">
        <v>152</v>
      </c>
      <c r="B13" s="42" t="n">
        <v>0.375</v>
      </c>
      <c r="H13" s="84" t="n">
        <f aca="false">IF(3&lt;=NW,MAX(WFIRST+14,MSTART),"")</f>
        <v>46305</v>
      </c>
      <c r="I13" s="84" t="n">
        <f aca="false">IF(3&lt;=NW,MIN(WFIRST+14+6,MEND),"")</f>
        <v>46311</v>
      </c>
      <c r="J13" s="0" t="str">
        <f aca="false">IF(3&lt;=NW,"الأسبوع الثالث","")</f>
        <v>الأسبوع الثالث</v>
      </c>
      <c r="K13" s="43" t="s">
        <v>153</v>
      </c>
      <c r="L13" s="0" t="str">
        <f aca="false">IF(3&lt;=NW,IF(WFIRST+14&lt;MSTART,"بدأ بالشهر الماضي — أيامه قبل "&amp;TEXT(DAY(MSTART),"00")&amp;"/"&amp;TEXT(MONTH(MSTART),"00")&amp;"/"&amp;YEAR(MSTART)&amp;" بملف الشهر الماضي",IF(WFIRST+14+6&gt;MEND,"بيكمل بالشهر الجاي — أيامه بعد "&amp;TEXT(DAY(MEND),"00")&amp;"/"&amp;TEXT(MONTH(MEND),"00")&amp;"/"&amp;YEAR(MEND)&amp;" بملف الشهر الجاي","أسبوع كامل")),"")</f>
        <v>أسبوع كامل</v>
      </c>
      <c r="N13" s="84" t="n">
        <f aca="false">IF(13&lt;=DAY(MEND),MSTART+12,"")</f>
        <v>46308</v>
      </c>
    </row>
    <row r="14" customFormat="false" ht="15" hidden="false" customHeight="false" outlineLevel="0" collapsed="false">
      <c r="A14" s="0" t="s">
        <v>154</v>
      </c>
      <c r="B14" s="42" t="n">
        <v>0.385416666666667</v>
      </c>
      <c r="H14" s="84" t="n">
        <f aca="false">IF(4&lt;=NW,MAX(WFIRST+21,MSTART),"")</f>
        <v>46312</v>
      </c>
      <c r="I14" s="84" t="n">
        <f aca="false">IF(4&lt;=NW,MIN(WFIRST+21+6,MEND),"")</f>
        <v>46318</v>
      </c>
      <c r="J14" s="0" t="str">
        <f aca="false">IF(4&lt;=NW,"الأسبوع الرابع","")</f>
        <v>الأسبوع الرابع</v>
      </c>
      <c r="K14" s="43" t="s">
        <v>155</v>
      </c>
      <c r="L14" s="0" t="str">
        <f aca="false">IF(4&lt;=NW,IF(WFIRST+21&lt;MSTART,"بدأ بالشهر الماضي — أيامه قبل "&amp;TEXT(DAY(MSTART),"00")&amp;"/"&amp;TEXT(MONTH(MSTART),"00")&amp;"/"&amp;YEAR(MSTART)&amp;" بملف الشهر الماضي",IF(WFIRST+21+6&gt;MEND,"بيكمل بالشهر الجاي — أيامه بعد "&amp;TEXT(DAY(MEND),"00")&amp;"/"&amp;TEXT(MONTH(MEND),"00")&amp;"/"&amp;YEAR(MEND)&amp;" بملف الشهر الجاي","أسبوع كامل")),"")</f>
        <v>أسبوع كامل</v>
      </c>
      <c r="N14" s="84" t="n">
        <f aca="false">IF(14&lt;=DAY(MEND),MSTART+13,"")</f>
        <v>46309</v>
      </c>
    </row>
    <row r="15" customFormat="false" ht="15" hidden="false" customHeight="false" outlineLevel="0" collapsed="false">
      <c r="A15" s="0" t="s">
        <v>156</v>
      </c>
      <c r="B15" s="42" t="n">
        <v>0.395833333333333</v>
      </c>
      <c r="H15" s="84" t="n">
        <f aca="false">IF(5&lt;=NW,MAX(WFIRST+28,MSTART),"")</f>
        <v>46319</v>
      </c>
      <c r="I15" s="84" t="n">
        <f aca="false">IF(5&lt;=NW,MIN(WFIRST+28+6,MEND),"")</f>
        <v>46325</v>
      </c>
      <c r="J15" s="0" t="str">
        <f aca="false">IF(5&lt;=NW,"الأسبوع الخامس","")</f>
        <v>الأسبوع الخامس</v>
      </c>
      <c r="K15" s="43" t="s">
        <v>157</v>
      </c>
      <c r="L15" s="0" t="str">
        <f aca="false">IF(5&lt;=NW,IF(WFIRST+28&lt;MSTART,"بدأ بالشهر الماضي — أيامه قبل "&amp;TEXT(DAY(MSTART),"00")&amp;"/"&amp;TEXT(MONTH(MSTART),"00")&amp;"/"&amp;YEAR(MSTART)&amp;" بملف الشهر الماضي",IF(WFIRST+28+6&gt;MEND,"بيكمل بالشهر الجاي — أيامه بعد "&amp;TEXT(DAY(MEND),"00")&amp;"/"&amp;TEXT(MONTH(MEND),"00")&amp;"/"&amp;YEAR(MEND)&amp;" بملف الشهر الجاي","أسبوع كامل")),"")</f>
        <v>أسبوع كامل</v>
      </c>
      <c r="N15" s="84" t="n">
        <f aca="false">IF(15&lt;=DAY(MEND),MSTART+14,"")</f>
        <v>46310</v>
      </c>
    </row>
    <row r="16" customFormat="false" ht="15" hidden="false" customHeight="false" outlineLevel="0" collapsed="false">
      <c r="A16" s="0" t="s">
        <v>158</v>
      </c>
      <c r="B16" s="42" t="n">
        <v>0.40625</v>
      </c>
      <c r="H16" s="84" t="n">
        <f aca="false">IF(6&lt;=NW,MAX(WFIRST+35,MSTART),"")</f>
        <v>46326</v>
      </c>
      <c r="I16" s="84" t="n">
        <f aca="false">IF(6&lt;=NW,MIN(WFIRST+35+6,MEND),"")</f>
        <v>46326</v>
      </c>
      <c r="J16" s="0" t="str">
        <f aca="false">IF(6&lt;=NW,"الأسبوع السادس","")</f>
        <v>الأسبوع السادس</v>
      </c>
      <c r="K16" s="43" t="s">
        <v>159</v>
      </c>
      <c r="L16" s="0" t="str">
        <f aca="false">IF(6&lt;=NW,IF(WFIRST+35&lt;MSTART,"بدأ بالشهر الماضي — أيامه قبل "&amp;TEXT(DAY(MSTART),"00")&amp;"/"&amp;TEXT(MONTH(MSTART),"00")&amp;"/"&amp;YEAR(MSTART)&amp;" بملف الشهر الماضي",IF(WFIRST+35+6&gt;MEND,"بيكمل بالشهر الجاي — أيامه بعد "&amp;TEXT(DAY(MEND),"00")&amp;"/"&amp;TEXT(MONTH(MEND),"00")&amp;"/"&amp;YEAR(MEND)&amp;" بملف الشهر الجاي","أسبوع كامل")),"")</f>
        <v>بيكمل بالشهر الجاي — أيامه بعد 31/10/2026 بملف الشهر الجاي</v>
      </c>
      <c r="N16" s="84" t="n">
        <f aca="false">IF(16&lt;=DAY(MEND),MSTART+15,"")</f>
        <v>46311</v>
      </c>
    </row>
    <row r="17" customFormat="false" ht="15" hidden="false" customHeight="false" outlineLevel="0" collapsed="false">
      <c r="A17" s="0" t="s">
        <v>160</v>
      </c>
      <c r="B17" s="42" t="n">
        <v>0.416666666666667</v>
      </c>
      <c r="N17" s="84" t="n">
        <f aca="false">IF(17&lt;=DAY(MEND),MSTART+16,"")</f>
        <v>46312</v>
      </c>
    </row>
    <row r="18" customFormat="false" ht="15" hidden="false" customHeight="false" outlineLevel="0" collapsed="false">
      <c r="A18" s="0" t="s">
        <v>161</v>
      </c>
      <c r="B18" s="42" t="n">
        <v>0.427083333333333</v>
      </c>
      <c r="N18" s="84" t="n">
        <f aca="false">IF(18&lt;=DAY(MEND),MSTART+17,"")</f>
        <v>46313</v>
      </c>
    </row>
    <row r="19" customFormat="false" ht="15" hidden="false" customHeight="false" outlineLevel="0" collapsed="false">
      <c r="A19" s="0" t="s">
        <v>162</v>
      </c>
      <c r="B19" s="42" t="n">
        <v>0.4375</v>
      </c>
      <c r="N19" s="84" t="n">
        <f aca="false">IF(19&lt;=DAY(MEND),MSTART+18,"")</f>
        <v>46314</v>
      </c>
    </row>
    <row r="20" customFormat="false" ht="15" hidden="false" customHeight="false" outlineLevel="0" collapsed="false">
      <c r="A20" s="0" t="s">
        <v>163</v>
      </c>
      <c r="B20" s="42" t="n">
        <v>0.447916666666667</v>
      </c>
      <c r="N20" s="84" t="n">
        <f aca="false">IF(20&lt;=DAY(MEND),MSTART+19,"")</f>
        <v>46315</v>
      </c>
    </row>
    <row r="21" customFormat="false" ht="15" hidden="false" customHeight="false" outlineLevel="0" collapsed="false">
      <c r="A21" s="0" t="s">
        <v>164</v>
      </c>
      <c r="B21" s="42" t="n">
        <v>0.458333333333333</v>
      </c>
      <c r="N21" s="84" t="n">
        <f aca="false">IF(21&lt;=DAY(MEND),MSTART+20,"")</f>
        <v>46316</v>
      </c>
    </row>
    <row r="22" customFormat="false" ht="15" hidden="false" customHeight="false" outlineLevel="0" collapsed="false">
      <c r="A22" s="0" t="s">
        <v>165</v>
      </c>
      <c r="B22" s="42" t="n">
        <v>0.46875</v>
      </c>
      <c r="N22" s="84" t="n">
        <f aca="false">IF(22&lt;=DAY(MEND),MSTART+21,"")</f>
        <v>46317</v>
      </c>
    </row>
    <row r="23" customFormat="false" ht="15" hidden="false" customHeight="false" outlineLevel="0" collapsed="false">
      <c r="A23" s="0" t="s">
        <v>166</v>
      </c>
      <c r="B23" s="42" t="n">
        <v>0.479166666666667</v>
      </c>
      <c r="N23" s="84" t="n">
        <f aca="false">IF(23&lt;=DAY(MEND),MSTART+22,"")</f>
        <v>46318</v>
      </c>
    </row>
    <row r="24" customFormat="false" ht="15" hidden="false" customHeight="false" outlineLevel="0" collapsed="false">
      <c r="A24" s="0" t="s">
        <v>167</v>
      </c>
      <c r="B24" s="42" t="n">
        <v>0.489583333333333</v>
      </c>
      <c r="N24" s="84" t="n">
        <f aca="false">IF(24&lt;=DAY(MEND),MSTART+23,"")</f>
        <v>46319</v>
      </c>
    </row>
    <row r="25" customFormat="false" ht="15" hidden="false" customHeight="false" outlineLevel="0" collapsed="false">
      <c r="A25" s="0" t="s">
        <v>168</v>
      </c>
      <c r="B25" s="42" t="n">
        <v>0.5</v>
      </c>
      <c r="N25" s="84" t="n">
        <f aca="false">IF(25&lt;=DAY(MEND),MSTART+24,"")</f>
        <v>46320</v>
      </c>
    </row>
    <row r="26" customFormat="false" ht="15" hidden="false" customHeight="false" outlineLevel="0" collapsed="false">
      <c r="A26" s="0" t="s">
        <v>169</v>
      </c>
      <c r="B26" s="42" t="n">
        <v>0.510416666666667</v>
      </c>
      <c r="N26" s="84" t="n">
        <f aca="false">IF(26&lt;=DAY(MEND),MSTART+25,"")</f>
        <v>46321</v>
      </c>
    </row>
    <row r="27" customFormat="false" ht="15" hidden="false" customHeight="false" outlineLevel="0" collapsed="false">
      <c r="A27" s="0" t="s">
        <v>170</v>
      </c>
      <c r="B27" s="42" t="n">
        <v>0.520833333333333</v>
      </c>
      <c r="N27" s="84" t="n">
        <f aca="false">IF(27&lt;=DAY(MEND),MSTART+26,"")</f>
        <v>46322</v>
      </c>
    </row>
    <row r="28" customFormat="false" ht="15" hidden="false" customHeight="false" outlineLevel="0" collapsed="false">
      <c r="A28" s="0" t="s">
        <v>171</v>
      </c>
      <c r="B28" s="42" t="n">
        <v>0.53125</v>
      </c>
      <c r="N28" s="84" t="n">
        <f aca="false">IF(28&lt;=DAY(MEND),MSTART+27,"")</f>
        <v>46323</v>
      </c>
    </row>
    <row r="29" customFormat="false" ht="15" hidden="false" customHeight="false" outlineLevel="0" collapsed="false">
      <c r="A29" s="0" t="s">
        <v>172</v>
      </c>
      <c r="B29" s="42" t="n">
        <v>0.541666666666667</v>
      </c>
      <c r="N29" s="84" t="n">
        <f aca="false">IF(29&lt;=DAY(MEND),MSTART+28,"")</f>
        <v>46324</v>
      </c>
    </row>
    <row r="30" customFormat="false" ht="15" hidden="false" customHeight="false" outlineLevel="0" collapsed="false">
      <c r="A30" s="0" t="s">
        <v>173</v>
      </c>
      <c r="B30" s="42" t="n">
        <v>0.552083333333333</v>
      </c>
      <c r="N30" s="84" t="n">
        <f aca="false">IF(30&lt;=DAY(MEND),MSTART+29,"")</f>
        <v>46325</v>
      </c>
    </row>
    <row r="31" customFormat="false" ht="15" hidden="false" customHeight="false" outlineLevel="0" collapsed="false">
      <c r="A31" s="0" t="s">
        <v>174</v>
      </c>
      <c r="B31" s="42" t="n">
        <v>0.5625</v>
      </c>
      <c r="N31" s="84" t="n">
        <f aca="false">IF(31&lt;=DAY(MEND),MSTART+30,"")</f>
        <v>46326</v>
      </c>
    </row>
    <row r="32" customFormat="false" ht="15" hidden="false" customHeight="false" outlineLevel="0" collapsed="false">
      <c r="A32" s="0" t="s">
        <v>175</v>
      </c>
      <c r="B32" s="42" t="n">
        <v>0.572916666666667</v>
      </c>
    </row>
    <row r="33" customFormat="false" ht="15" hidden="false" customHeight="false" outlineLevel="0" collapsed="false">
      <c r="A33" s="0" t="s">
        <v>176</v>
      </c>
      <c r="B33" s="42" t="n">
        <v>0.583333333333333</v>
      </c>
    </row>
    <row r="34" customFormat="false" ht="15" hidden="false" customHeight="false" outlineLevel="0" collapsed="false">
      <c r="A34" s="0" t="s">
        <v>177</v>
      </c>
      <c r="B34" s="42" t="n">
        <v>0.59375</v>
      </c>
    </row>
    <row r="35" customFormat="false" ht="15" hidden="false" customHeight="false" outlineLevel="0" collapsed="false">
      <c r="A35" s="0" t="s">
        <v>178</v>
      </c>
      <c r="B35" s="42" t="n">
        <v>0.604166666666667</v>
      </c>
    </row>
    <row r="36" customFormat="false" ht="15" hidden="false" customHeight="false" outlineLevel="0" collapsed="false">
      <c r="A36" s="0" t="s">
        <v>179</v>
      </c>
      <c r="B36" s="42" t="n">
        <v>0.614583333333333</v>
      </c>
    </row>
    <row r="37" customFormat="false" ht="15" hidden="false" customHeight="false" outlineLevel="0" collapsed="false">
      <c r="A37" s="0" t="s">
        <v>180</v>
      </c>
      <c r="B37" s="42" t="n">
        <v>0.625</v>
      </c>
    </row>
    <row r="38" customFormat="false" ht="15" hidden="false" customHeight="false" outlineLevel="0" collapsed="false">
      <c r="A38" s="0" t="s">
        <v>181</v>
      </c>
      <c r="B38" s="42" t="n">
        <v>0.635416666666667</v>
      </c>
    </row>
    <row r="39" customFormat="false" ht="15" hidden="false" customHeight="false" outlineLevel="0" collapsed="false">
      <c r="A39" s="0" t="s">
        <v>182</v>
      </c>
      <c r="B39" s="42" t="n">
        <v>0.645833333333333</v>
      </c>
    </row>
    <row r="40" customFormat="false" ht="15" hidden="false" customHeight="false" outlineLevel="0" collapsed="false">
      <c r="A40" s="0" t="s">
        <v>183</v>
      </c>
      <c r="B40" s="42" t="n">
        <v>0.65625</v>
      </c>
    </row>
    <row r="41" customFormat="false" ht="15" hidden="false" customHeight="false" outlineLevel="0" collapsed="false">
      <c r="A41" s="0" t="s">
        <v>184</v>
      </c>
      <c r="B41" s="42" t="n">
        <v>0.666666666666667</v>
      </c>
    </row>
    <row r="42" customFormat="false" ht="15" hidden="false" customHeight="false" outlineLevel="0" collapsed="false">
      <c r="A42" s="0" t="s">
        <v>185</v>
      </c>
      <c r="B42" s="42" t="n">
        <v>0.677083333333333</v>
      </c>
    </row>
    <row r="43" customFormat="false" ht="15" hidden="false" customHeight="false" outlineLevel="0" collapsed="false">
      <c r="A43" s="0" t="s">
        <v>186</v>
      </c>
      <c r="B43" s="42" t="n">
        <v>0.6875</v>
      </c>
    </row>
    <row r="44" customFormat="false" ht="15" hidden="false" customHeight="false" outlineLevel="0" collapsed="false">
      <c r="A44" s="0" t="s">
        <v>187</v>
      </c>
      <c r="B44" s="42" t="n">
        <v>0.697916666666667</v>
      </c>
    </row>
    <row r="45" customFormat="false" ht="15" hidden="false" customHeight="false" outlineLevel="0" collapsed="false">
      <c r="A45" s="0" t="s">
        <v>188</v>
      </c>
      <c r="B45" s="42" t="n">
        <v>0.708333333333333</v>
      </c>
    </row>
    <row r="46" customFormat="false" ht="15" hidden="false" customHeight="false" outlineLevel="0" collapsed="false">
      <c r="A46" s="0" t="s">
        <v>189</v>
      </c>
      <c r="B46" s="42" t="n">
        <v>0.71875</v>
      </c>
    </row>
    <row r="47" customFormat="false" ht="15" hidden="false" customHeight="false" outlineLevel="0" collapsed="false">
      <c r="A47" s="0" t="s">
        <v>190</v>
      </c>
      <c r="B47" s="42" t="n">
        <v>0.729166666666667</v>
      </c>
    </row>
    <row r="48" customFormat="false" ht="15" hidden="false" customHeight="false" outlineLevel="0" collapsed="false">
      <c r="A48" s="0" t="s">
        <v>191</v>
      </c>
      <c r="B48" s="42" t="n">
        <v>0.739583333333333</v>
      </c>
    </row>
    <row r="49" customFormat="false" ht="15" hidden="false" customHeight="false" outlineLevel="0" collapsed="false">
      <c r="A49" s="0" t="s">
        <v>192</v>
      </c>
      <c r="B49" s="42" t="n">
        <v>0.75</v>
      </c>
    </row>
    <row r="50" customFormat="false" ht="15" hidden="false" customHeight="false" outlineLevel="0" collapsed="false">
      <c r="A50" s="0" t="s">
        <v>193</v>
      </c>
      <c r="B50" s="42" t="n">
        <v>0.760416666666667</v>
      </c>
    </row>
    <row r="51" customFormat="false" ht="15" hidden="false" customHeight="false" outlineLevel="0" collapsed="false">
      <c r="A51" s="0" t="s">
        <v>194</v>
      </c>
      <c r="B51" s="42" t="n">
        <v>0.770833333333333</v>
      </c>
    </row>
    <row r="52" customFormat="false" ht="15" hidden="false" customHeight="false" outlineLevel="0" collapsed="false">
      <c r="A52" s="0" t="s">
        <v>195</v>
      </c>
      <c r="B52" s="42" t="n">
        <v>0.78125</v>
      </c>
    </row>
    <row r="53" customFormat="false" ht="15" hidden="false" customHeight="false" outlineLevel="0" collapsed="false">
      <c r="A53" s="0" t="s">
        <v>196</v>
      </c>
      <c r="B53" s="42" t="n">
        <v>0.791666666666667</v>
      </c>
    </row>
    <row r="54" customFormat="false" ht="15" hidden="false" customHeight="false" outlineLevel="0" collapsed="false">
      <c r="A54" s="0" t="s">
        <v>197</v>
      </c>
      <c r="B54" s="42" t="n">
        <v>0.802083333333333</v>
      </c>
    </row>
    <row r="55" customFormat="false" ht="15" hidden="false" customHeight="false" outlineLevel="0" collapsed="false">
      <c r="A55" s="0" t="s">
        <v>198</v>
      </c>
      <c r="B55" s="42" t="n">
        <v>0.8125</v>
      </c>
    </row>
    <row r="56" customFormat="false" ht="15" hidden="false" customHeight="false" outlineLevel="0" collapsed="false">
      <c r="A56" s="0" t="s">
        <v>199</v>
      </c>
      <c r="B56" s="42" t="n">
        <v>0.822916666666667</v>
      </c>
    </row>
    <row r="57" customFormat="false" ht="15" hidden="false" customHeight="false" outlineLevel="0" collapsed="false">
      <c r="A57" s="0" t="s">
        <v>200</v>
      </c>
      <c r="B57" s="42" t="n">
        <v>0.833333333333333</v>
      </c>
    </row>
    <row r="58" customFormat="false" ht="15" hidden="false" customHeight="false" outlineLevel="0" collapsed="false">
      <c r="A58" s="0" t="s">
        <v>201</v>
      </c>
      <c r="B58" s="42" t="n">
        <v>0.84375</v>
      </c>
    </row>
    <row r="59" customFormat="false" ht="15" hidden="false" customHeight="false" outlineLevel="0" collapsed="false">
      <c r="A59" s="0" t="s">
        <v>202</v>
      </c>
      <c r="B59" s="42" t="n">
        <v>0.854166666666667</v>
      </c>
    </row>
    <row r="60" customFormat="false" ht="15" hidden="false" customHeight="false" outlineLevel="0" collapsed="false">
      <c r="A60" s="0" t="s">
        <v>203</v>
      </c>
      <c r="B60" s="42" t="n">
        <v>0.864583333333333</v>
      </c>
    </row>
    <row r="61" customFormat="false" ht="15" hidden="false" customHeight="false" outlineLevel="0" collapsed="false">
      <c r="A61" s="0" t="s">
        <v>204</v>
      </c>
      <c r="B61" s="42" t="n">
        <v>0.875</v>
      </c>
    </row>
    <row r="62" customFormat="false" ht="15" hidden="false" customHeight="false" outlineLevel="0" collapsed="false">
      <c r="A62" s="0" t="s">
        <v>205</v>
      </c>
      <c r="B62" s="42" t="n">
        <v>0.885416666666667</v>
      </c>
    </row>
    <row r="63" customFormat="false" ht="15" hidden="false" customHeight="false" outlineLevel="0" collapsed="false">
      <c r="A63" s="0" t="s">
        <v>206</v>
      </c>
      <c r="B63" s="42" t="n">
        <v>0.895833333333333</v>
      </c>
    </row>
    <row r="64" customFormat="false" ht="15" hidden="false" customHeight="false" outlineLevel="0" collapsed="false">
      <c r="A64" s="0" t="s">
        <v>207</v>
      </c>
      <c r="B64" s="42" t="n">
        <v>0.90625</v>
      </c>
    </row>
    <row r="65" customFormat="false" ht="15" hidden="false" customHeight="false" outlineLevel="0" collapsed="false">
      <c r="A65" s="0" t="s">
        <v>208</v>
      </c>
      <c r="B65" s="42" t="n">
        <v>0.916666666666667</v>
      </c>
    </row>
    <row r="66" customFormat="false" ht="15" hidden="false" customHeight="false" outlineLevel="0" collapsed="false">
      <c r="A66" s="0" t="s">
        <v>209</v>
      </c>
      <c r="B66" s="42" t="n">
        <v>0.927083333333333</v>
      </c>
    </row>
    <row r="67" customFormat="false" ht="15" hidden="false" customHeight="false" outlineLevel="0" collapsed="false">
      <c r="A67" s="0" t="s">
        <v>210</v>
      </c>
      <c r="B67" s="42" t="n">
        <v>0.9375</v>
      </c>
    </row>
    <row r="68" customFormat="false" ht="15" hidden="false" customHeight="false" outlineLevel="0" collapsed="false">
      <c r="A68" s="0" t="s">
        <v>211</v>
      </c>
      <c r="B68" s="42" t="n">
        <v>0.947916666666667</v>
      </c>
    </row>
    <row r="69" customFormat="false" ht="15" hidden="false" customHeight="false" outlineLevel="0" collapsed="false">
      <c r="A69" s="0" t="s">
        <v>212</v>
      </c>
      <c r="B69" s="42" t="n">
        <v>0.958333333333333</v>
      </c>
    </row>
    <row r="70" customFormat="false" ht="15" hidden="false" customHeight="false" outlineLevel="0" collapsed="false">
      <c r="A70" s="0" t="s">
        <v>213</v>
      </c>
      <c r="B70" s="42" t="n">
        <v>0.96875</v>
      </c>
    </row>
    <row r="71" customFormat="false" ht="15" hidden="false" customHeight="false" outlineLevel="0" collapsed="false">
      <c r="A71" s="0" t="s">
        <v>214</v>
      </c>
      <c r="B71" s="42" t="n">
        <v>0.979166666666667</v>
      </c>
    </row>
    <row r="72" customFormat="false" ht="15" hidden="false" customHeight="false" outlineLevel="0" collapsed="false">
      <c r="A72" s="0" t="s">
        <v>215</v>
      </c>
      <c r="B72" s="42" t="n">
        <v>0.989583333333333</v>
      </c>
    </row>
    <row r="73" customFormat="false" ht="15" hidden="false" customHeight="false" outlineLevel="0" collapsed="false">
      <c r="A73" s="0" t="s">
        <v>216</v>
      </c>
      <c r="B73" s="42" t="n">
        <v>0</v>
      </c>
    </row>
    <row r="74" customFormat="false" ht="15" hidden="false" customHeight="false" outlineLevel="0" collapsed="false">
      <c r="A74" s="0" t="s">
        <v>217</v>
      </c>
      <c r="B74" s="42" t="n">
        <v>0.0104166666666667</v>
      </c>
    </row>
    <row r="75" customFormat="false" ht="15" hidden="false" customHeight="false" outlineLevel="0" collapsed="false">
      <c r="A75" s="0" t="s">
        <v>218</v>
      </c>
      <c r="B75" s="42" t="n">
        <v>0.0208333333333333</v>
      </c>
    </row>
    <row r="76" customFormat="false" ht="15" hidden="false" customHeight="false" outlineLevel="0" collapsed="false">
      <c r="A76" s="0" t="s">
        <v>219</v>
      </c>
      <c r="B76" s="42" t="n">
        <v>0.03125</v>
      </c>
    </row>
    <row r="77" customFormat="false" ht="15" hidden="false" customHeight="false" outlineLevel="0" collapsed="false">
      <c r="A77" s="0" t="s">
        <v>220</v>
      </c>
      <c r="B77" s="42" t="n">
        <v>0.0416666666666667</v>
      </c>
    </row>
    <row r="78" customFormat="false" ht="15" hidden="false" customHeight="false" outlineLevel="0" collapsed="false">
      <c r="A78" s="0" t="s">
        <v>221</v>
      </c>
      <c r="B78" s="42" t="n">
        <v>0.0520833333333333</v>
      </c>
    </row>
    <row r="79" customFormat="false" ht="15" hidden="false" customHeight="false" outlineLevel="0" collapsed="false">
      <c r="A79" s="0" t="s">
        <v>222</v>
      </c>
      <c r="B79" s="42" t="n">
        <v>0.0625</v>
      </c>
    </row>
    <row r="80" customFormat="false" ht="15" hidden="false" customHeight="false" outlineLevel="0" collapsed="false">
      <c r="A80" s="0" t="s">
        <v>223</v>
      </c>
      <c r="B80" s="42" t="n">
        <v>0.0729166666666667</v>
      </c>
    </row>
    <row r="81" customFormat="false" ht="15" hidden="false" customHeight="false" outlineLevel="0" collapsed="false">
      <c r="A81" s="0" t="s">
        <v>224</v>
      </c>
      <c r="B81" s="42" t="n">
        <v>0.0833333333333333</v>
      </c>
    </row>
    <row r="82" customFormat="false" ht="15" hidden="false" customHeight="false" outlineLevel="0" collapsed="false">
      <c r="A82" s="0" t="s">
        <v>225</v>
      </c>
      <c r="B82" s="42" t="n">
        <v>0.09375</v>
      </c>
    </row>
    <row r="83" customFormat="false" ht="15" hidden="false" customHeight="false" outlineLevel="0" collapsed="false">
      <c r="A83" s="0" t="s">
        <v>226</v>
      </c>
      <c r="B83" s="42" t="n">
        <v>0.104166666666667</v>
      </c>
    </row>
    <row r="84" customFormat="false" ht="15" hidden="false" customHeight="false" outlineLevel="0" collapsed="false">
      <c r="A84" s="0" t="s">
        <v>227</v>
      </c>
      <c r="B84" s="42" t="n">
        <v>0.114583333333333</v>
      </c>
    </row>
    <row r="85" customFormat="false" ht="15" hidden="false" customHeight="false" outlineLevel="0" collapsed="false">
      <c r="A85" s="0" t="s">
        <v>228</v>
      </c>
      <c r="B85" s="42" t="n">
        <v>0.125</v>
      </c>
    </row>
    <row r="86" customFormat="false" ht="15" hidden="false" customHeight="false" outlineLevel="0" collapsed="false">
      <c r="A86" s="0" t="s">
        <v>229</v>
      </c>
      <c r="B86" s="42" t="n">
        <v>0.135416666666667</v>
      </c>
    </row>
    <row r="87" customFormat="false" ht="15" hidden="false" customHeight="false" outlineLevel="0" collapsed="false">
      <c r="A87" s="0" t="s">
        <v>230</v>
      </c>
      <c r="B87" s="42" t="n">
        <v>0.145833333333333</v>
      </c>
    </row>
    <row r="88" customFormat="false" ht="15" hidden="false" customHeight="false" outlineLevel="0" collapsed="false">
      <c r="A88" s="0" t="s">
        <v>231</v>
      </c>
      <c r="B88" s="42" t="n">
        <v>0.15625</v>
      </c>
    </row>
    <row r="89" customFormat="false" ht="15" hidden="false" customHeight="false" outlineLevel="0" collapsed="false">
      <c r="A89" s="0" t="s">
        <v>232</v>
      </c>
      <c r="B89" s="42" t="n">
        <v>0.166666666666667</v>
      </c>
    </row>
    <row r="90" customFormat="false" ht="15" hidden="false" customHeight="false" outlineLevel="0" collapsed="false">
      <c r="A90" s="0" t="s">
        <v>233</v>
      </c>
      <c r="B90" s="42" t="n">
        <v>0.177083333333333</v>
      </c>
    </row>
    <row r="91" customFormat="false" ht="15" hidden="false" customHeight="false" outlineLevel="0" collapsed="false">
      <c r="A91" s="0" t="s">
        <v>234</v>
      </c>
      <c r="B91" s="42" t="n">
        <v>0.1875</v>
      </c>
    </row>
    <row r="92" customFormat="false" ht="15" hidden="false" customHeight="false" outlineLevel="0" collapsed="false">
      <c r="A92" s="0" t="s">
        <v>235</v>
      </c>
      <c r="B92" s="42" t="n">
        <v>0.197916666666667</v>
      </c>
    </row>
    <row r="93" customFormat="false" ht="15" hidden="false" customHeight="false" outlineLevel="0" collapsed="false">
      <c r="A93" s="0" t="s">
        <v>236</v>
      </c>
      <c r="B93" s="42" t="n">
        <v>0.208333333333333</v>
      </c>
    </row>
    <row r="94" customFormat="false" ht="15" hidden="false" customHeight="false" outlineLevel="0" collapsed="false">
      <c r="A94" s="0" t="s">
        <v>237</v>
      </c>
      <c r="B94" s="42" t="n">
        <v>0.21875</v>
      </c>
    </row>
    <row r="95" customFormat="false" ht="15" hidden="false" customHeight="false" outlineLevel="0" collapsed="false">
      <c r="A95" s="0" t="s">
        <v>238</v>
      </c>
      <c r="B95" s="42" t="n">
        <v>0.229166666666667</v>
      </c>
    </row>
    <row r="96" customFormat="false" ht="15" hidden="false" customHeight="false" outlineLevel="0" collapsed="false">
      <c r="A96" s="0" t="s">
        <v>239</v>
      </c>
      <c r="B96" s="42" t="n">
        <v>0.239583333333333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2026-09-29T09:49:48Z</dcterms:created>
  <dc:creator>openpyxl</dc:creator>
  <dc:description/>
  <dc:language>en-US</dc:language>
  <cp:lastModifiedBy/>
  <dcterms:modified xsi:type="dcterms:W3CDTF">2026-09-29T09:49:49Z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